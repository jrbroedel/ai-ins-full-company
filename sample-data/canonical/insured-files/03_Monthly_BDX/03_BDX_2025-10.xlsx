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README" sheetId="1" state="visible" r:id="rId3"/>
    <sheet name="Header" sheetId="2" state="visible" r:id="rId4"/>
    <sheet name="UW Bordereaux" sheetId="3" state="visible" r:id="rId5"/>
    <sheet name="Reconciliation" sheetId="4" state="visible" r:id="rId6"/>
    <sheet name="Field Definitions" sheetId="5" state="visible" r:id="rId7"/>
    <sheet name="Lists" sheetId="6" state="visible" r:id="rId8"/>
    <sheet name="Lists1" sheetId="7" state="visible" r:id="rId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<sst xmlns="http://schemas.openxmlformats.org/spreadsheetml/2006/main" count="688" uniqueCount="426">
  <si>
    <t xml:space="preserve">EXOTIC &amp; COLLECTOR AUTOMOBILE MGA  —  UNDERWRITING BORDEREAUX</t>
  </si>
  <si>
    <t xml:space="preserve">Monthly delegated authority underwriting reporting to the Lloyd's syndicate panel. Distinct from the claims bordereaux — this reports bound policies, not claims.</t>
  </si>
  <si>
    <t xml:space="preserve">SHEETS IN THIS WORKBOOK</t>
  </si>
  <si>
    <t xml:space="preserve">Header</t>
  </si>
  <si>
    <t xml:space="preserve">Contract identification, reporting period, binding and discount authority limits, syndicate participation table, and a live submission control summary linking to the bordereaux data.</t>
  </si>
  <si>
    <t xml:space="preserve">UW Bordereaux</t>
  </si>
  <si>
    <t xml:space="preserve">The data sheet. One row per policy per reporting period. 56 columns, 200 pre-formatted rows. Blue columns are for entry; grey columns calculate. Report every risk — new business, renewals, endorsements, cancellations.</t>
  </si>
  <si>
    <t xml:space="preserve">Reconciliation</t>
  </si>
  <si>
    <t xml:space="preserve">Premium reconciliation (GWP minus commission equals net to capacity; total due reconciles through fees and tax) plus twelve automated submission control checks. Run before every submission.</t>
  </si>
  <si>
    <t xml:space="preserve">Field Definitions</t>
  </si>
  <si>
    <t xml:space="preserve">Every column explained with its population rule and source.</t>
  </si>
  <si>
    <t xml:space="preserve">Lists</t>
  </si>
  <si>
    <t xml:space="preserve">Source of every drop-down. Amend here to change available options.</t>
  </si>
  <si>
    <t xml:space="preserve">HOW THIS BORDEREAUX DIFFERS FROM THE CLAIMS BORDEREAUX</t>
  </si>
  <si>
    <t xml:space="preserve">-  The underwriting bordereaux reports POLICIES BOUND. The claims bordereaux reports CLAIMS NOTIFIED. Both go to the same syndicate panel under the same binding authority, but they are separate documents with separate submission schedules.</t>
  </si>
  <si>
    <t xml:space="preserve">-  The underwriting bordereaux is typically submitted monthly (or quarterly for lower-volume binders) and covers every risk bound, renewed, endorsed or cancelled in the period. It is the primary document the syndicates use to monitor premium volume, rate adequacy and class mix.</t>
  </si>
  <si>
    <t xml:space="preserve">-  Rate adequacy is the metric the lead syndicate watches most closely on a delegated motor book. The rate adequacy column and the Header summary are the underwriting bdx's equivalent of the loss ratio on the claims bdx — they tell the syndicate whether the coverholder is generating business at an adequate price.</t>
  </si>
  <si>
    <t xml:space="preserve">-  This bordereaux does not feed the claims bdx automatically — the two documents are matched by certificate number and insured name at the syndicate level during the bureau reconciliation process.</t>
  </si>
  <si>
    <t xml:space="preserve">HOW TO USE</t>
  </si>
  <si>
    <t xml:space="preserve">-  Complete the Header sheet before the first submission: UMR, coverholder name, PIN, reporting period, authority limits. These cells carry through to every calculation in the bordereaux data sheet.</t>
  </si>
  <si>
    <t xml:space="preserve">-  Enter one row per policy. For endorsements and renewals, carry the original certificate number and set the movement type accordingly — do not create a new certificate number.</t>
  </si>
  <si>
    <t xml:space="preserve">-  The technical premium column (AB) must be entered manually or copied from the Portfolio Register. It represents the rate-adequate price the rater produced before any UW judgement adjustment. If it is left blank, the GWP, rate adequacy and all downstream commission calculations will be blank too.</t>
  </si>
  <si>
    <t xml:space="preserve">-  Surplus lines tax rate (column AF) must be entered for every bound risk. The formula calculates the dollar amount, but the rate itself is your responsibility — verify it with the stamping office or your filing service before the bordereaux is sent.</t>
  </si>
  <si>
    <t xml:space="preserve">-  Run the Reconciliation sheet before every submission. Any FAIL must be resolved. A WARN on rate adequacy should be noted and explained to the lead syndicate; it does not block submission but will be questioned.</t>
  </si>
  <si>
    <t xml:space="preserve">-  Six specimen risks are pre-loaded to show the intended level of detail. Delete them before issuing to the syndicates.</t>
  </si>
  <si>
    <t xml:space="preserve">IMPORTANT — This template follows the general structure and field set of Lloyd's coverholder underwriting reporting, but it is NOT a certified Lloyd's Coverholder Reporting Standards file. Before your first submission, obtain the exact required template, mandatory field list and column order from your Lloyd's broker or the lead syndicate's delegated authority team. Requirements differ by syndicate, by class and by year of account, and they change annually. The LCRS v5.2 schema (and its successors) governs the accepted electronic format.</t>
  </si>
  <si>
    <t xml:space="preserve">UNDERWRITING BORDEREAUX  —  HEADER AND SUBMISSION DETAILS</t>
  </si>
  <si>
    <t xml:space="preserve">Complete before every submission. These fields identify the contract and reporting period.</t>
  </si>
  <si>
    <t xml:space="preserve">Commission stack: 25% total = 12.5% broker + 12.5% Torque Underwriters (MGA). Net to capacity 75%.</t>
  </si>
  <si>
    <t xml:space="preserve">Total ceding</t>
  </si>
  <si>
    <t xml:space="preserve">Broker</t>
  </si>
  <si>
    <t xml:space="preserve">Torque (MGA)</t>
  </si>
  <si>
    <t xml:space="preserve">PC hurdle</t>
  </si>
  <si>
    <t xml:space="preserve">PC share</t>
  </si>
  <si>
    <t xml:space="preserve">SECTION A  —  CONTRACT IDENTIFICATION</t>
  </si>
  <si>
    <t xml:space="preserve">Unique Market Reference (UMR)</t>
  </si>
  <si>
    <t xml:space="preserve">B0999TQ260149</t>
  </si>
  <si>
    <t xml:space="preserve">Must match exactly on every submission and on every certificate issued under the binder.</t>
  </si>
  <si>
    <t xml:space="preserve">Binding authority reference</t>
  </si>
  <si>
    <t xml:space="preserve">BA-EXO-2026-01</t>
  </si>
  <si>
    <t xml:space="preserve">Coverholder name</t>
  </si>
  <si>
    <t xml:space="preserve">Torque Underwriters LLC</t>
  </si>
  <si>
    <t xml:space="preserve">Lloyd's coverholder PIN</t>
  </si>
  <si>
    <t xml:space="preserve">TQ-COV-0000</t>
  </si>
  <si>
    <t xml:space="preserve">Issued on coverholder approval. Required on every submission.</t>
  </si>
  <si>
    <t xml:space="preserve">Risk code</t>
  </si>
  <si>
    <t xml:space="preserve">MT</t>
  </si>
  <si>
    <t xml:space="preserve">Lloyd's risk code. MT = Motor. Confirm with your Lloyd's broker.</t>
  </si>
  <si>
    <t xml:space="preserve">Year of account</t>
  </si>
  <si>
    <t xml:space="preserve">Class of business</t>
  </si>
  <si>
    <t xml:space="preserve">Exotic, supercar and collector automobile</t>
  </si>
  <si>
    <t xml:space="preserve">Reporting period start</t>
  </si>
  <si>
    <t xml:space="preserve">Reporting period end</t>
  </si>
  <si>
    <t xml:space="preserve">Submission date</t>
  </si>
  <si>
    <t xml:space="preserve">Most binders require submission within 15–30 days of period end. Verify yours.</t>
  </si>
  <si>
    <t xml:space="preserve">Prepared by</t>
  </si>
  <si>
    <t xml:space="preserve">Torque Underwriters, Delegated Authority</t>
  </si>
  <si>
    <t xml:space="preserve">Reporting currency</t>
  </si>
  <si>
    <t xml:space="preserve">USD</t>
  </si>
  <si>
    <t xml:space="preserve">Settlement currency</t>
  </si>
  <si>
    <t xml:space="preserve">Coverholder binding authority limit (AV)</t>
  </si>
  <si>
    <t xml:space="preserve">Per Technical Premium row 16. Risks above this value require individual referral.</t>
  </si>
  <si>
    <t xml:space="preserve">Discount authority limit</t>
  </si>
  <si>
    <t xml:space="preserve">Per Technical Premium row 19. Risks priced beyond this require senior approval.</t>
  </si>
  <si>
    <t xml:space="preserve">Minimum premium per policy</t>
  </si>
  <si>
    <t xml:space="preserve">Confirm in the binding authority wording. Applies irrespective of the formula result.</t>
  </si>
  <si>
    <t xml:space="preserve">SECTION B  —  SYNDICATE PARTICIPATION AND SHARE ALLOCATION</t>
  </si>
  <si>
    <t xml:space="preserve">Syndicate</t>
  </si>
  <si>
    <t xml:space="preserve">Managing agent</t>
  </si>
  <si>
    <t xml:space="preserve">Line % (share of risk)</t>
  </si>
  <si>
    <t xml:space="preserve">GWP at line</t>
  </si>
  <si>
    <t xml:space="preserve">Technical prem at line</t>
  </si>
  <si>
    <t xml:space="preserve">NET TO CAPACITY at line</t>
  </si>
  <si>
    <t xml:space="preserve">2623 / 623</t>
  </si>
  <si>
    <t xml:space="preserve">Beazley Furlonge Ltd</t>
  </si>
  <si>
    <t xml:space="preserve">33</t>
  </si>
  <si>
    <t xml:space="preserve">Hiscox Syndicates Ltd</t>
  </si>
  <si>
    <t xml:space="preserve">1084</t>
  </si>
  <si>
    <t xml:space="preserve">Chaucer Syndicates Ltd</t>
  </si>
  <si>
    <t xml:space="preserve">4020</t>
  </si>
  <si>
    <t xml:space="preserve">Ark Syndicate Management</t>
  </si>
  <si>
    <t xml:space="preserve">2987</t>
  </si>
  <si>
    <t xml:space="preserve">Brit Syndicates Ltd</t>
  </si>
  <si>
    <t xml:space="preserve">4444</t>
  </si>
  <si>
    <t xml:space="preserve">Canopius Managing Agents</t>
  </si>
  <si>
    <t xml:space="preserve">1969</t>
  </si>
  <si>
    <t xml:space="preserve">Apollo Syndicate Management</t>
  </si>
  <si>
    <t xml:space="preserve">1274</t>
  </si>
  <si>
    <t xml:space="preserve">Antares Managing Agency</t>
  </si>
  <si>
    <t xml:space="preserve">2001</t>
  </si>
  <si>
    <t xml:space="preserve">MS Amlin Underwriting</t>
  </si>
  <si>
    <t xml:space="preserve">1414</t>
  </si>
  <si>
    <t xml:space="preserve">Ascot Underwriting Ltd</t>
  </si>
  <si>
    <t xml:space="preserve">PANEL TOTAL</t>
  </si>
  <si>
    <t xml:space="preserve">SECTION C  —  SUBMISSION CONTROL SUMMARY  (live from UW Bordereaux)</t>
  </si>
  <si>
    <t xml:space="preserve">Policies reported this period</t>
  </si>
  <si>
    <t xml:space="preserve">  of which bound</t>
  </si>
  <si>
    <t xml:space="preserve">  of which declined / lapsed</t>
  </si>
  <si>
    <t xml:space="preserve">TOTAL GWP BOUND</t>
  </si>
  <si>
    <t xml:space="preserve">TOTAL TECHNICAL PREMIUM</t>
  </si>
  <si>
    <t xml:space="preserve">PORTFOLIO RATE ADEQUACY</t>
  </si>
  <si>
    <t xml:space="preserve">Total net premium to capacity</t>
  </si>
  <si>
    <t xml:space="preserve">Total policy fees collected</t>
  </si>
  <si>
    <t xml:space="preserve">Total surplus lines tax collected</t>
  </si>
  <si>
    <t xml:space="preserve">Risks above auto-bind limit</t>
  </si>
  <si>
    <t xml:space="preserve">Risks bound beyond discount auth.</t>
  </si>
  <si>
    <t xml:space="preserve">Missing certificate numbers</t>
  </si>
  <si>
    <t xml:space="preserve">Rows failing mandatory checks</t>
  </si>
  <si>
    <t xml:space="preserve">UNDERWRITING BORDEREAUX</t>
  </si>
  <si>
    <t xml:space="preserve">One row per policy per reporting period. Blue columns are for entry; grey columns calculate from the Portfolio Register or from other inputs. Report every bound risk — new business, renewals and endorsements.</t>
  </si>
  <si>
    <t xml:space="preserve">POLICY IDENTIFICATION</t>
  </si>
  <si>
    <t xml:space="preserve">RISK DATA</t>
  </si>
  <si>
    <t xml:space="preserve">GARAGING &amp; CAT</t>
  </si>
  <si>
    <t xml:space="preserve">COVERAGE TERMS</t>
  </si>
  <si>
    <t xml:space="preserve">PREMIUM  —  100% GROSS</t>
  </si>
  <si>
    <t xml:space="preserve">COMMISSION &amp; NET</t>
  </si>
  <si>
    <t xml:space="preserve">RATING METRICS</t>
  </si>
  <si>
    <t xml:space="preserve">CONTROLS</t>
  </si>
  <si>
    <t xml:space="preserve">DATA QUALITY</t>
  </si>
  <si>
    <t xml:space="preserve">Certificate / policy ref</t>
  </si>
  <si>
    <t xml:space="preserve">Named insured</t>
  </si>
  <si>
    <t xml:space="preserve">Effective date</t>
  </si>
  <si>
    <t xml:space="preserve">Binding status</t>
  </si>
  <si>
    <t xml:space="preserve">Movement type</t>
  </si>
  <si>
    <t xml:space="preserve">UMR</t>
  </si>
  <si>
    <t xml:space="preserve">Vehicle year</t>
  </si>
  <si>
    <t xml:space="preserve">Make</t>
  </si>
  <si>
    <t xml:space="preserve">Model</t>
  </si>
  <si>
    <t xml:space="preserve">VIN / chassis</t>
  </si>
  <si>
    <t xml:space="preserve">Vehicle class</t>
  </si>
  <si>
    <t xml:space="preserve">Agreed value (USD)</t>
  </si>
  <si>
    <t xml:space="preserve">Policy type</t>
  </si>
  <si>
    <t xml:space="preserve">Usage description</t>
  </si>
  <si>
    <t xml:space="preserve">Annual mileage band</t>
  </si>
  <si>
    <t xml:space="preserve">Garaging state</t>
  </si>
  <si>
    <t xml:space="preserve">Garaging ZIP</t>
  </si>
  <si>
    <t xml:space="preserve">Catastrophe zone</t>
  </si>
  <si>
    <t xml:space="preserve">Zone multiplier</t>
  </si>
  <si>
    <t xml:space="preserve">Cat deductible</t>
  </si>
  <si>
    <t xml:space="preserve">Valuation basis</t>
  </si>
  <si>
    <t xml:space="preserve">PD deductible</t>
  </si>
  <si>
    <t xml:space="preserve">Liability limit (CSL)</t>
  </si>
  <si>
    <t xml:space="preserve">Endorsements / special terms</t>
  </si>
  <si>
    <t xml:space="preserve">Conditions</t>
  </si>
  <si>
    <t xml:space="preserve">Surplus lines / admitted</t>
  </si>
  <si>
    <t xml:space="preserve">Technical premium (100%)</t>
  </si>
  <si>
    <t xml:space="preserve">UW judgement adj %</t>
  </si>
  <si>
    <t xml:space="preserve">GROSS WRITTEN PREMIUM (100%)</t>
  </si>
  <si>
    <t xml:space="preserve">Policy fee (100%)</t>
  </si>
  <si>
    <t xml:space="preserve">Inspection / appraisal fee</t>
  </si>
  <si>
    <t xml:space="preserve">Surplus lines tax %</t>
  </si>
  <si>
    <t xml:space="preserve">Surplus lines tax $</t>
  </si>
  <si>
    <t xml:space="preserve">Stamping fee $</t>
  </si>
  <si>
    <t xml:space="preserve">TOTAL DUE FROM INSURED (100%)</t>
  </si>
  <si>
    <t xml:space="preserve">Rate adequacy check</t>
  </si>
  <si>
    <t xml:space="preserve">Bind band</t>
  </si>
  <si>
    <t xml:space="preserve">Total ceding commission %</t>
  </si>
  <si>
    <t xml:space="preserve">Commission $ (100%)</t>
  </si>
  <si>
    <t xml:space="preserve">Broker commission $ 12.5% (100%)</t>
  </si>
  <si>
    <t xml:space="preserve">Torque (MGA) commission $ 12.5% (100%)</t>
  </si>
  <si>
    <t xml:space="preserve">NET TO CAPACITY 75% (100%)</t>
  </si>
  <si>
    <t xml:space="preserve">GWP at signed line</t>
  </si>
  <si>
    <t xml:space="preserve">Tech prem at signed line</t>
  </si>
  <si>
    <t xml:space="preserve">Technical rate per $100</t>
  </si>
  <si>
    <t xml:space="preserve">Charged rate per $100</t>
  </si>
  <si>
    <t xml:space="preserve">Portfolio rate adequacy</t>
  </si>
  <si>
    <t xml:space="preserve">Profit commission accrual</t>
  </si>
  <si>
    <t xml:space="preserve">MANDATORY FIELD CHECK</t>
  </si>
  <si>
    <t xml:space="preserve">Above auto-bind limit?</t>
  </si>
  <si>
    <t xml:space="preserve">Min premium met?</t>
  </si>
  <si>
    <t xml:space="preserve">Surplus lines tax verified?</t>
  </si>
  <si>
    <t xml:space="preserve">Signed by approver?</t>
  </si>
  <si>
    <t xml:space="preserve">Notes</t>
  </si>
  <si>
    <t xml:space="preserve">Class / year consistency</t>
  </si>
  <si>
    <t xml:space="preserve">Row foots to GWP</t>
  </si>
  <si>
    <t xml:space="preserve">TQ-C-2026-0149</t>
  </si>
  <si>
    <t xml:space="preserve">Lorenzo Harrington</t>
  </si>
  <si>
    <t xml:space="preserve">Bound - within authority</t>
  </si>
  <si>
    <t xml:space="preserve">New business</t>
  </si>
  <si>
    <t xml:space="preserve">McLaren</t>
  </si>
  <si>
    <t xml:space="preserve">750S</t>
  </si>
  <si>
    <t xml:space="preserve">JFB2K6KWK4WRLCXF9</t>
  </si>
  <si>
    <t xml:space="preserve">03 - Supercar</t>
  </si>
  <si>
    <t xml:space="preserve">Personal</t>
  </si>
  <si>
    <t xml:space="preserve">Personal - regular use</t>
  </si>
  <si>
    <t xml:space="preserve">1,000 - 2,500</t>
  </si>
  <si>
    <t xml:space="preserve">Massachusetts</t>
  </si>
  <si>
    <t xml:space="preserve">02493</t>
  </si>
  <si>
    <t xml:space="preserve">Tier 3 - Coastal wind (25-100 miles)</t>
  </si>
  <si>
    <t xml:space="preserve">2% of agreed value, minimum $10,000</t>
  </si>
  <si>
    <t xml:space="preserve">Agreed Value</t>
  </si>
  <si>
    <t xml:space="preserve">$5,000</t>
  </si>
  <si>
    <t xml:space="preserve">$1,000,000 CSL</t>
  </si>
  <si>
    <t xml:space="preserve">EX-14 OEM parts guarantee</t>
  </si>
  <si>
    <t xml:space="preserve">Surplus Lines</t>
  </si>
  <si>
    <t xml:space="preserve">At technical</t>
  </si>
  <si>
    <t xml:space="preserve">Yes</t>
  </si>
  <si>
    <t xml:space="preserve">Register ref CANON-202510-001366. Bound within delegated authority. Schedule cert under master UMR B0999TQ260149. SL tax rate verified Massachusetts.</t>
  </si>
  <si>
    <t xml:space="preserve">TQ-C-2026-0175</t>
  </si>
  <si>
    <t xml:space="preserve">B0999TQ260175</t>
  </si>
  <si>
    <t xml:space="preserve">Ferrari</t>
  </si>
  <si>
    <t xml:space="preserve">275 GTB/4</t>
  </si>
  <si>
    <t xml:space="preserve">PR39BTFUPC2MT96F5</t>
  </si>
  <si>
    <t xml:space="preserve">07 - Post-War Classic (1946-1972)</t>
  </si>
  <si>
    <t xml:space="preserve">$2,500</t>
  </si>
  <si>
    <t xml:space="preserve">EX-04 Appreciation; EX-05 DIV; EX-09 Worldwide 90 days</t>
  </si>
  <si>
    <t xml:space="preserve">Register ref CANON-202508-000059. Bound within delegated authority. Schedule cert under master UMR B0999TQ260149. SL tax rate verified Massachusetts.</t>
  </si>
  <si>
    <t xml:space="preserve">TQ-C-2026-0176</t>
  </si>
  <si>
    <t xml:space="preserve">B0999TQ260176</t>
  </si>
  <si>
    <t xml:space="preserve">Other / Bespoke</t>
  </si>
  <si>
    <t xml:space="preserve">280SL Pagoda</t>
  </si>
  <si>
    <t xml:space="preserve">B8BCYPCFBN1T568FK</t>
  </si>
  <si>
    <t xml:space="preserve">EX-17 Pair &amp; Set</t>
  </si>
  <si>
    <t xml:space="preserve">Register ref CANON-202509-000795. Bound within delegated authority. Schedule cert under master UMR B0999TQ260149. SL tax rate verified Massachusetts.</t>
  </si>
  <si>
    <t xml:space="preserve">TQ-C-2026-0177</t>
  </si>
  <si>
    <t xml:space="preserve">B0999TQ260177</t>
  </si>
  <si>
    <t xml:space="preserve">Lamborghini</t>
  </si>
  <si>
    <t xml:space="preserve">Huracan EVO</t>
  </si>
  <si>
    <t xml:space="preserve">UL6R2X0KYJWNJ50RW</t>
  </si>
  <si>
    <t xml:space="preserve">Renter agreement; GPS active</t>
  </si>
  <si>
    <t xml:space="preserve">Register ref CANON-202510-001368. Bound within delegated authority. Schedule cert under master UMR B0999TQ260149. SL tax rate verified Massachusetts.</t>
  </si>
  <si>
    <t xml:space="preserve">HPDE certificate on file</t>
  </si>
  <si>
    <t xml:space="preserve">EX-05 DIV; EX-16 full glass</t>
  </si>
  <si>
    <t xml:space="preserve">UNDERWRITING BORDEREAUX  —  RECONCILIATION AND CONTROL CHECKS</t>
  </si>
  <si>
    <t xml:space="preserve">Run every check before submitting. A bordereaux with missing mandatory fields or a panel that does not sign 100% will be rejected.</t>
  </si>
  <si>
    <t xml:space="preserve">SECTION A  —  PREMIUM RECONCILIATION</t>
  </si>
  <si>
    <t xml:space="preserve">TOTAL GROSS WRITTEN PREMIUM (bound risks, 100%)</t>
  </si>
  <si>
    <t xml:space="preserve">  less: total commission (100%)</t>
  </si>
  <si>
    <t xml:space="preserve">NET PREMIUM TO CAPACITY (100%)</t>
  </si>
  <si>
    <t xml:space="preserve">  check: GWP less commission</t>
  </si>
  <si>
    <t xml:space="preserve">VARIANCE (should be zero)</t>
  </si>
  <si>
    <t xml:space="preserve">TOTAL DUE FROM INSUREDS</t>
  </si>
  <si>
    <t xml:space="preserve">Sum of GWP + fees + tax (check)</t>
  </si>
  <si>
    <t xml:space="preserve">Lead syndicate GWP at signed line</t>
  </si>
  <si>
    <t xml:space="preserve">Panel total GWP at signed line</t>
  </si>
  <si>
    <t xml:space="preserve">SECTION B  —  SUBMISSION CONTROL CHECKS</t>
  </si>
  <si>
    <t xml:space="preserve">Check</t>
  </si>
  <si>
    <t xml:space="preserve">Result</t>
  </si>
  <si>
    <t xml:space="preserve">Every bound risk has a certificate number</t>
  </si>
  <si>
    <t xml:space="preserve">Every row has a binding status</t>
  </si>
  <si>
    <t xml:space="preserve">Effective date present on all bound risks</t>
  </si>
  <si>
    <t xml:space="preserve">Technical premium entered on all bound risks</t>
  </si>
  <si>
    <t xml:space="preserve">Surplus lines tax % entered on all bound risks</t>
  </si>
  <si>
    <t xml:space="preserve">Verify rate with the stamping office before invoicing. Do not rely on defaults.</t>
  </si>
  <si>
    <t xml:space="preserve">No negative agreed values</t>
  </si>
  <si>
    <t xml:space="preserve">No agreed value below programme minimum ($100,000)</t>
  </si>
  <si>
    <t xml:space="preserve">Syndicate panel signs 100%</t>
  </si>
  <si>
    <t xml:space="preserve">Rate adequacy — no risk below 85%</t>
  </si>
  <si>
    <t xml:space="preserve">Warning only — not a hard stop. Refer risks below 85% to the lead syndicate.</t>
  </si>
  <si>
    <t xml:space="preserve">Risks at or above auto-bind limit</t>
  </si>
  <si>
    <t xml:space="preserve">Risks bound beyond discount authority</t>
  </si>
  <si>
    <t xml:space="preserve">Mandatory field check — all rows passing</t>
  </si>
  <si>
    <t xml:space="preserve">Do not submit until all rows show PASS in column AW of the bordereaux.</t>
  </si>
  <si>
    <t xml:space="preserve">Vehicle class matches vehicle year</t>
  </si>
  <si>
    <t xml:space="preserve">Every row foots: broker + Torque + net = GWP</t>
  </si>
  <si>
    <t xml:space="preserve">Commission splits sum to total ceding rate</t>
  </si>
  <si>
    <t xml:space="preserve">10 markets each at a 10% line, panel = 100%</t>
  </si>
  <si>
    <t xml:space="preserve">COMMISSION RECONCILIATION</t>
  </si>
  <si>
    <t xml:space="preserve">Gross written premium (100%)</t>
  </si>
  <si>
    <t xml:space="preserve">  Broker commission 12.5%</t>
  </si>
  <si>
    <t xml:space="preserve">  Torque (MGA) commission 12.5%</t>
  </si>
  <si>
    <t xml:space="preserve">  Net to capacity 75%</t>
  </si>
  <si>
    <t xml:space="preserve">Sum of the three components</t>
  </si>
  <si>
    <t xml:space="preserve">VARIANCE TO GWP</t>
  </si>
  <si>
    <t xml:space="preserve">Broker as % of GWP</t>
  </si>
  <si>
    <t xml:space="preserve">Torque as % of GWP</t>
  </si>
  <si>
    <t xml:space="preserve">Net to capacity as % of GWP</t>
  </si>
  <si>
    <t xml:space="preserve">Each 10% line receives (% of GWP)</t>
  </si>
  <si>
    <t xml:space="preserve">Rounding: broker and Torque commission are each ROUNDed to 2 decimals; net to capacity is derived as GWP less the two rounded commissions. Every row therefore foots to the cent and the book total foots exactly - no rounding plug is ever required.</t>
  </si>
  <si>
    <t xml:space="preserve">UNDERWRITING BORDEREAUX  —  FIELD DEFINITIONS</t>
  </si>
  <si>
    <t xml:space="preserve">Every column explained, with population rules and source.</t>
  </si>
  <si>
    <t xml:space="preserve">Col</t>
  </si>
  <si>
    <t xml:space="preserve">Field</t>
  </si>
  <si>
    <t xml:space="preserve">Type</t>
  </si>
  <si>
    <t xml:space="preserve">Source / notes</t>
  </si>
  <si>
    <t xml:space="preserve">A</t>
  </si>
  <si>
    <t xml:space="preserve">Free text</t>
  </si>
  <si>
    <t xml:space="preserve">Your unique certificate number for this risk. Must be consistent across all submissions and across both the claims and underwriting bordereaux for the same policy.</t>
  </si>
  <si>
    <t xml:space="preserve">B</t>
  </si>
  <si>
    <t xml:space="preserve">C</t>
  </si>
  <si>
    <t xml:space="preserve">Date</t>
  </si>
  <si>
    <t xml:space="preserve">D</t>
  </si>
  <si>
    <t xml:space="preserve">Drop-down</t>
  </si>
  <si>
    <t xml:space="preserve">E</t>
  </si>
  <si>
    <t xml:space="preserve">F</t>
  </si>
  <si>
    <t xml:space="preserve">G</t>
  </si>
  <si>
    <t xml:space="preserve">CALCULATED</t>
  </si>
  <si>
    <t xml:space="preserve">Calculated from the effective date. Lloyd's accounts are managed by year of account; do not use the reporting period date.</t>
  </si>
  <si>
    <t xml:space="preserve">H</t>
  </si>
  <si>
    <t xml:space="preserve">Number</t>
  </si>
  <si>
    <t xml:space="preserve">I</t>
  </si>
  <si>
    <t xml:space="preserve">J</t>
  </si>
  <si>
    <t xml:space="preserve">K</t>
  </si>
  <si>
    <t xml:space="preserve">L</t>
  </si>
  <si>
    <t xml:space="preserve">M</t>
  </si>
  <si>
    <t xml:space="preserve">Currency</t>
  </si>
  <si>
    <t xml:space="preserve">N</t>
  </si>
  <si>
    <t xml:space="preserve">O</t>
  </si>
  <si>
    <t xml:space="preserve">P</t>
  </si>
  <si>
    <t xml:space="preserve">Q</t>
  </si>
  <si>
    <t xml:space="preserve">R</t>
  </si>
  <si>
    <t xml:space="preserve">S</t>
  </si>
  <si>
    <t xml:space="preserve">T</t>
  </si>
  <si>
    <t xml:space="preserve">Calculated from the catastrophe zone using the multipliers on the Natural Catastrophe sheet. Feeds into the cat load component of the technical premium.</t>
  </si>
  <si>
    <t xml:space="preserve">U</t>
  </si>
  <si>
    <t xml:space="preserve">V</t>
  </si>
  <si>
    <t xml:space="preserve">W</t>
  </si>
  <si>
    <t xml:space="preserve">X</t>
  </si>
  <si>
    <t xml:space="preserve">Y</t>
  </si>
  <si>
    <t xml:space="preserve">Z</t>
  </si>
  <si>
    <t xml:space="preserve">AA</t>
  </si>
  <si>
    <t xml:space="preserve">AB</t>
  </si>
  <si>
    <t xml:space="preserve">Enter the technical premium from the Portfolio Register or the Rating Engine for this risk. It must reflect the rate-adequate price before any UW judgement adjustment.</t>
  </si>
  <si>
    <t xml:space="preserve">AC</t>
  </si>
  <si>
    <t xml:space="preserve">Percentage</t>
  </si>
  <si>
    <t xml:space="preserve">The adjustment applied above or below technical. Negative = below. Feeds the GWP calculation. Must be consistent with the value entered on the Portfolio Register.</t>
  </si>
  <si>
    <t xml:space="preserve">AD</t>
  </si>
  <si>
    <t xml:space="preserve">Calculated: technical premium × (1 + UW judgement adjustment %). Report at 100% of the risk regardless of syndicate share.</t>
  </si>
  <si>
    <t xml:space="preserve">AE</t>
  </si>
  <si>
    <t xml:space="preserve">AF</t>
  </si>
  <si>
    <t xml:space="preserve">AG</t>
  </si>
  <si>
    <t xml:space="preserve">AH</t>
  </si>
  <si>
    <t xml:space="preserve">Calculated: (GWP + policy fee + inspection fee) × surplus lines tax %. Verify the rate for every state — rates change frequently and the formula carries the rate you enter, not a live lookup.</t>
  </si>
  <si>
    <t xml:space="preserve">AI</t>
  </si>
  <si>
    <t xml:space="preserve">AJ</t>
  </si>
  <si>
    <t xml:space="preserve">Calculated: GWP + policy fee + inspection fee + surplus lines tax + stamping fee. This is the gross invoice amount before any commission is netted off.</t>
  </si>
  <si>
    <t xml:space="preserve">AK</t>
  </si>
  <si>
    <t xml:space="preserve">Calculated: total due ÷ technical premium. The portfolio rate adequacy in the Header summary uses GWP; this cell uses total due including fees, so it will be slightly above 100% even at technical.</t>
  </si>
  <si>
    <t xml:space="preserve">AL</t>
  </si>
  <si>
    <t xml:space="preserve">Whether the risk was written above, at, or below technical rate. BEYOND AUTHORITY means the discount exceeded the authority limit. Must match the Portfolio Register for the same risk.</t>
  </si>
  <si>
    <t xml:space="preserve">AM</t>
  </si>
  <si>
    <t xml:space="preserve">Linked from the Commission Structure sheet. If the commission rate is specific to this risk (e.g. a non-standard agreement), override manually and note it in the Notes column.</t>
  </si>
  <si>
    <t xml:space="preserve">AN</t>
  </si>
  <si>
    <t xml:space="preserve">From Portfolio Register</t>
  </si>
  <si>
    <t xml:space="preserve">AO</t>
  </si>
  <si>
    <t xml:space="preserve">Broker commission $ (100%)</t>
  </si>
  <si>
    <t xml:space="preserve">AP</t>
  </si>
  <si>
    <t xml:space="preserve">MGA net commission $ (100%)</t>
  </si>
  <si>
    <t xml:space="preserve">AQ</t>
  </si>
  <si>
    <t xml:space="preserve">GWP less total ceding commission. This is what reaches the Lloyd's trust fund before deduction of Lloyd's charges, central fund contributions and reinsurance.</t>
  </si>
  <si>
    <t xml:space="preserve">AR</t>
  </si>
  <si>
    <t xml:space="preserve">The lead syndicate's proportional share of GWP. Uses the lead line from the Header panel table; adjust if the lead line differs by risk.</t>
  </si>
  <si>
    <t xml:space="preserve">AS</t>
  </si>
  <si>
    <t xml:space="preserve">AT</t>
  </si>
  <si>
    <t xml:space="preserve">AU</t>
  </si>
  <si>
    <t xml:space="preserve">AV</t>
  </si>
  <si>
    <t xml:space="preserve">AW</t>
  </si>
  <si>
    <t xml:space="preserve">AX</t>
  </si>
  <si>
    <t xml:space="preserve">Calculated. Reads PASS when all sixteen mandatory fields are populated, FAIL followed by a description of what is missing when any are blank. Do not submit rows showing FAIL.</t>
  </si>
  <si>
    <t xml:space="preserve">AY</t>
  </si>
  <si>
    <t xml:space="preserve">Calculated against the threshold in Header row 18. A YES means an individual referral must be on file in the Referral Log before this row is submitted.</t>
  </si>
  <si>
    <t xml:space="preserve">AZ</t>
  </si>
  <si>
    <t xml:space="preserve">Calculated against the minimum premium in Header row 20. BELOW MIN PREMIUM means the premium must be loaded to the minimum, subject to the insured's consent.</t>
  </si>
  <si>
    <t xml:space="preserve">BA</t>
  </si>
  <si>
    <t xml:space="preserve">BB</t>
  </si>
  <si>
    <t xml:space="preserve">BC</t>
  </si>
  <si>
    <t xml:space="preserve">VALIDATION LISTS</t>
  </si>
  <si>
    <t xml:space="preserve">Source of every drop-down in this workbook.</t>
  </si>
  <si>
    <t xml:space="preserve">Movement Type</t>
  </si>
  <si>
    <t xml:space="preserve">Binding Status</t>
  </si>
  <si>
    <t xml:space="preserve">Policy Type</t>
  </si>
  <si>
    <t xml:space="preserve">Vehicle Class</t>
  </si>
  <si>
    <t xml:space="preserve">Valuation Basis</t>
  </si>
  <si>
    <t xml:space="preserve">Liability Limit</t>
  </si>
  <si>
    <t xml:space="preserve">Cat Zone</t>
  </si>
  <si>
    <t xml:space="preserve">Bind Band</t>
  </si>
  <si>
    <t xml:space="preserve">Yes No</t>
  </si>
  <si>
    <t xml:space="preserve">Surplus Lines Admitted</t>
  </si>
  <si>
    <t xml:space="preserve">01 - Luxury Sedan / SUV</t>
  </si>
  <si>
    <t xml:space="preserve">$300,000 CSL</t>
  </si>
  <si>
    <t xml:space="preserve">Tier 1 - Coastal wind / surge (0-1 mile, FEMA V or Coastal A)</t>
  </si>
  <si>
    <t xml:space="preserve">Above technical</t>
  </si>
  <si>
    <t xml:space="preserve">Renewal</t>
  </si>
  <si>
    <t xml:space="preserve">Bound - approved referral</t>
  </si>
  <si>
    <t xml:space="preserve">Commercial</t>
  </si>
  <si>
    <t xml:space="preserve">02 - Sports / GT</t>
  </si>
  <si>
    <t xml:space="preserve">Agreed Value + Appreciation clause</t>
  </si>
  <si>
    <t xml:space="preserve">$500,000 CSL</t>
  </si>
  <si>
    <t xml:space="preserve">Tier 2 - Coastal wind (1-25 miles)</t>
  </si>
  <si>
    <t xml:space="preserve">GBP</t>
  </si>
  <si>
    <t xml:space="preserve">No</t>
  </si>
  <si>
    <t xml:space="preserve">Admitted</t>
  </si>
  <si>
    <t xml:space="preserve">Mid-term endorsement</t>
  </si>
  <si>
    <t xml:space="preserve">Quoted - not yet bound</t>
  </si>
  <si>
    <t xml:space="preserve">Stated Value (up to)</t>
  </si>
  <si>
    <t xml:space="preserve">BELOW technical</t>
  </si>
  <si>
    <t xml:space="preserve">EUR</t>
  </si>
  <si>
    <t xml:space="preserve">London Direct</t>
  </si>
  <si>
    <t xml:space="preserve">Mid-term cancellation</t>
  </si>
  <si>
    <t xml:space="preserve">Declined</t>
  </si>
  <si>
    <t xml:space="preserve">04 - Hypercar</t>
  </si>
  <si>
    <t xml:space="preserve">Actual Cash Value</t>
  </si>
  <si>
    <t xml:space="preserve">$2,000,000 CSL</t>
  </si>
  <si>
    <t xml:space="preserve">Inland - hurricane remnant only (100+ miles)</t>
  </si>
  <si>
    <t xml:space="preserve">BEYOND AUTHORITY</t>
  </si>
  <si>
    <t xml:space="preserve">CAD</t>
  </si>
  <si>
    <t xml:space="preserve">Reinstatement</t>
  </si>
  <si>
    <t xml:space="preserve">Cancelled</t>
  </si>
  <si>
    <t xml:space="preserve">05 - Limited Edition / Track-Focused</t>
  </si>
  <si>
    <t xml:space="preserve">$5,000,000 CSL</t>
  </si>
  <si>
    <t xml:space="preserve">Severe convective - hail alley (high)</t>
  </si>
  <si>
    <t xml:space="preserve">Correction / restatement</t>
  </si>
  <si>
    <t xml:space="preserve">Lapsed</t>
  </si>
  <si>
    <t xml:space="preserve">06 - Vintage Pre-War (pre-1946)</t>
  </si>
  <si>
    <t xml:space="preserve">$10,000,000 CSL</t>
  </si>
  <si>
    <t xml:space="preserve">Severe convective - hail / tornado (moderate)</t>
  </si>
  <si>
    <t xml:space="preserve">No change this period</t>
  </si>
  <si>
    <t xml:space="preserve">Void</t>
  </si>
  <si>
    <t xml:space="preserve">Wildfire - WUI high hazard</t>
  </si>
  <si>
    <t xml:space="preserve">08 - Modern Classic (1973-1999)</t>
  </si>
  <si>
    <t xml:space="preserve">Wildfire - moderate hazard</t>
  </si>
  <si>
    <t xml:space="preserve">09 - Youngtimer / Collectible (2000-2010)</t>
  </si>
  <si>
    <t xml:space="preserve">Earthquake - high (CA, Cascadia, New Madrid)</t>
  </si>
  <si>
    <t xml:space="preserve">10 - Competition / Race Car</t>
  </si>
  <si>
    <t xml:space="preserve">Flood - FEMA SFHA (zone A / AE / V)</t>
  </si>
  <si>
    <t xml:space="preserve">11 - Restomod / Coachbuilt / Bespoke</t>
  </si>
  <si>
    <t xml:space="preserve">Winter freeze / ice / severe road salt</t>
  </si>
  <si>
    <t xml:space="preserve">12 - Performance EV / Electric Hyper</t>
  </si>
  <si>
    <t xml:space="preserve">Low hazard - inland benign</t>
  </si>
  <si>
    <t xml:space="preserve">Parameter</t>
  </si>
  <si>
    <t xml:space="preserve">Value</t>
  </si>
  <si>
    <t xml:space="preserve">Stamping fee rate</t>
  </si>
  <si>
    <t xml:space="preserve">Policy fee</t>
  </si>
  <si>
    <t xml:space="preserve">Inspection fee (AV at or above threshold)</t>
  </si>
  <si>
    <t xml:space="preserve">Inspection fee threshold (AV)</t>
  </si>
  <si>
    <t xml:space="preserve">Source: rating matrix (Technical Premium rows 14-15, Commission Structure row 21, Natural Catastrophe Section A). Update here if the matrix changes.</t>
  </si>
</sst>
</file>

<file path=xl/styles.xml><?xml version="1.0" encoding="utf-8"?>
<styleSheet xmlns="http://schemas.openxmlformats.org/spreadsheetml/2006/main">
  <numFmts count="13">
    <numFmt numFmtId="164" formatCode="General"/>
    <numFmt numFmtId="165" formatCode="0.00%"/>
    <numFmt numFmtId="166" formatCode="\$#,##0;&quot;($&quot;#,##0\);\-"/>
    <numFmt numFmtId="167" formatCode="dd\-mmm\-yyyy"/>
    <numFmt numFmtId="168" formatCode="#,##0"/>
    <numFmt numFmtId="169" formatCode="\$#,##0"/>
    <numFmt numFmtId="170" formatCode="0.0%"/>
    <numFmt numFmtId="171" formatCode="0.000"/>
    <numFmt numFmtId="172" formatCode="0.00%;\(0.00%\);\-"/>
    <numFmt numFmtId="173" formatCode="0.0%;\(0.0%\);\-"/>
    <numFmt numFmtId="174" formatCode="\$0.000"/>
    <numFmt numFmtId="175" formatCode="\$#,##0.00"/>
    <numFmt numFmtId="176" formatCode="0.000%"/>
  </numFmts>
  <fonts count="22">
    <font>
      <sz val="11"/>
      <color theme="1"/>
      <name val="Calibri"/>
      <family val="2"/>
      <charset val="1"/>
    </font>
    <font>
      <sz val="10"/>
      <name val="Arial"/>
      <family val="0"/>
    </font>
    <font>
      <sz val="10"/>
      <name val="Arial"/>
      <family val="0"/>
    </font>
    <font>
      <sz val="10"/>
      <name val="Arial"/>
      <family val="0"/>
    </font>
    <font>
      <b val="true"/>
      <sz val="14"/>
      <color rgb="FFFFFFFF"/>
      <name val="Arial"/>
      <family val="0"/>
      <charset val="1"/>
    </font>
    <font>
      <i val="true"/>
      <sz val="9"/>
      <color rgb="FFFFFFFF"/>
      <name val="Arial"/>
      <family val="0"/>
      <charset val="1"/>
    </font>
    <font>
      <b val="true"/>
      <sz val="11"/>
      <color rgb="FFFFFFFF"/>
      <name val="Arial"/>
      <family val="0"/>
      <charset val="1"/>
    </font>
    <font>
      <b val="true"/>
      <sz val="10"/>
      <name val="Arial"/>
      <family val="0"/>
      <charset val="1"/>
    </font>
    <font>
      <sz val="9"/>
      <name val="Arial"/>
      <family val="0"/>
      <charset val="1"/>
    </font>
    <font>
      <b val="true"/>
      <i val="true"/>
      <sz val="9"/>
      <color rgb="FFC00000"/>
      <name val="Arial"/>
      <family val="0"/>
      <charset val="1"/>
    </font>
    <font>
      <i val="true"/>
      <sz val="9"/>
      <color rgb="FF595959"/>
      <name val="Arial"/>
      <family val="0"/>
      <charset val="1"/>
    </font>
    <font>
      <sz val="9"/>
      <color rgb="FF0000FF"/>
      <name val="Arial"/>
      <family val="0"/>
      <charset val="1"/>
    </font>
    <font>
      <sz val="10"/>
      <name val="Arial"/>
      <family val="0"/>
      <charset val="1"/>
    </font>
    <font>
      <b val="true"/>
      <sz val="8"/>
      <color rgb="FFFFFFFF"/>
      <name val="Arial"/>
      <family val="0"/>
      <charset val="1"/>
    </font>
    <font>
      <b val="true"/>
      <sz val="11"/>
      <color rgb="FF1F3864"/>
      <name val="Arial"/>
      <family val="0"/>
      <charset val="1"/>
    </font>
    <font>
      <b val="true"/>
      <sz val="9"/>
      <color rgb="FFFFFFFF"/>
      <name val="Arial"/>
      <family val="0"/>
      <charset val="1"/>
    </font>
    <font>
      <sz val="8"/>
      <color rgb="FF0000FF"/>
      <name val="Arial"/>
      <family val="0"/>
      <charset val="1"/>
    </font>
    <font>
      <sz val="8"/>
      <color rgb="FF000000"/>
      <name val="Arial"/>
      <family val="0"/>
      <charset val="1"/>
    </font>
    <font>
      <b val="true"/>
      <sz val="8"/>
      <color rgb="FF1F3864"/>
      <name val="Arial"/>
      <family val="0"/>
      <charset val="1"/>
    </font>
    <font>
      <sz val="8"/>
      <name val="Arial"/>
      <family val="0"/>
      <charset val="1"/>
    </font>
    <font>
      <b val="true"/>
      <sz val="9"/>
      <color rgb="FFC00000"/>
      <name val="Arial"/>
      <family val="0"/>
      <charset val="1"/>
    </font>
    <font>
      <b val="true"/>
      <sz val="9"/>
      <name val="Arial"/>
      <family val="0"/>
      <charset val="1"/>
    </font>
  </fonts>
  <fills count="8">
    <fill>
      <patternFill patternType="none"/>
    </fill>
    <fill>
      <patternFill patternType="gray125"/>
    </fill>
    <fill>
      <patternFill patternType="solid">
        <fgColor rgb="FF1F3864"/>
        <bgColor rgb="FF333333"/>
      </patternFill>
    </fill>
    <fill>
      <patternFill patternType="solid">
        <fgColor rgb="FF2E5A88"/>
        <bgColor rgb="FF595959"/>
      </patternFill>
    </fill>
    <fill>
      <patternFill patternType="solid">
        <fgColor rgb="FFFFF2CC"/>
        <bgColor rgb="FFEDEDED"/>
      </patternFill>
    </fill>
    <fill>
      <patternFill patternType="solid">
        <fgColor rgb="FFF2F5FA"/>
        <bgColor rgb="FFEDEDED"/>
      </patternFill>
    </fill>
    <fill>
      <patternFill patternType="solid">
        <fgColor rgb="FFD9E2F3"/>
        <bgColor rgb="FFEDEDED"/>
      </patternFill>
    </fill>
    <fill>
      <patternFill patternType="solid">
        <fgColor rgb="FFEDEDED"/>
        <bgColor rgb="FFF2F5FA"/>
      </patternFill>
    </fill>
  </fills>
  <borders count="3">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 diagonalUp="false" diagonalDown="false">
      <left/>
      <right style="thin">
        <color rgb="FFBFBFBF"/>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8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false" applyProtection="false">
      <alignment horizontal="general" vertical="bottom" textRotation="0" wrapText="false" indent="0" shrinkToFit="false"/>
      <protection locked="true" hidden="false"/>
    </xf>
    <xf numFmtId="164" fontId="5" fillId="2" borderId="0" xfId="0" applyFont="true" applyBorder="true" applyAlignment="false" applyProtection="false">
      <alignment horizontal="general" vertical="bottom" textRotation="0" wrapText="false" indent="0" shrinkToFit="false"/>
      <protection locked="true" hidden="false"/>
    </xf>
    <xf numFmtId="164" fontId="6" fillId="3" borderId="0" xfId="0" applyFont="true" applyBorder="tru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xf numFmtId="164" fontId="8" fillId="0" borderId="0" xfId="0" applyFont="true" applyBorder="true" applyAlignment="true" applyProtection="false">
      <alignment horizontal="general" vertical="top" textRotation="0" wrapText="true" indent="0" shrinkToFit="false"/>
      <protection locked="true" hidden="false"/>
    </xf>
    <xf numFmtId="164" fontId="9" fillId="0" borderId="0" xfId="0" applyFont="true" applyBorder="true" applyAlignment="true" applyProtection="false">
      <alignment horizontal="general" vertical="top" textRotation="0" wrapText="true" indent="0" shrinkToFit="false"/>
      <protection locked="true" hidden="false"/>
    </xf>
    <xf numFmtId="164" fontId="10" fillId="0" borderId="0" xfId="0" applyFont="true" applyBorder="true" applyAlignment="true" applyProtection="false">
      <alignment horizontal="general" vertical="bottom" textRotation="0" wrapText="tru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5" fontId="11" fillId="4" borderId="1" xfId="0" applyFont="true" applyBorder="true" applyAlignment="true" applyProtection="false">
      <alignment horizontal="center"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4" fontId="11" fillId="4" borderId="1" xfId="0" applyFont="true" applyBorder="true" applyAlignment="true" applyProtection="false">
      <alignment horizontal="center"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6" fontId="11" fillId="4" borderId="1" xfId="0" applyFont="true" applyBorder="true" applyAlignment="true" applyProtection="false">
      <alignment horizontal="center" vertical="bottom" textRotation="0" wrapText="false" indent="0" shrinkToFit="false"/>
      <protection locked="true" hidden="false"/>
    </xf>
    <xf numFmtId="167" fontId="11" fillId="4" borderId="1" xfId="0" applyFont="true" applyBorder="true" applyAlignment="true" applyProtection="false">
      <alignment horizontal="center" vertical="bottom" textRotation="0" wrapText="false" indent="0" shrinkToFit="false"/>
      <protection locked="true" hidden="false"/>
    </xf>
    <xf numFmtId="164" fontId="13" fillId="3"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center" vertical="bottom" textRotation="0" wrapText="false" indent="0" shrinkToFit="false"/>
      <protection locked="true" hidden="false"/>
    </xf>
    <xf numFmtId="164" fontId="8" fillId="0" borderId="1" xfId="0" applyFont="true" applyBorder="true" applyAlignment="true" applyProtection="false">
      <alignment horizontal="left" vertical="bottom" textRotation="0" wrapText="false" indent="0" shrinkToFit="false"/>
      <protection locked="true" hidden="false"/>
    </xf>
    <xf numFmtId="166" fontId="8" fillId="0" borderId="1" xfId="0" applyFont="true" applyBorder="true" applyAlignment="true" applyProtection="false">
      <alignment horizontal="center" vertical="bottom" textRotation="0" wrapText="false" indent="0" shrinkToFit="false"/>
      <protection locked="true" hidden="false"/>
    </xf>
    <xf numFmtId="164" fontId="7" fillId="5" borderId="1" xfId="0" applyFont="true" applyBorder="true" applyAlignment="true" applyProtection="false">
      <alignment horizontal="center" vertical="bottom" textRotation="0" wrapText="false" indent="0" shrinkToFit="false"/>
      <protection locked="true" hidden="false"/>
    </xf>
    <xf numFmtId="164" fontId="8" fillId="5" borderId="1" xfId="0" applyFont="true" applyBorder="true" applyAlignment="true" applyProtection="false">
      <alignment horizontal="left" vertical="bottom" textRotation="0" wrapText="false" indent="0" shrinkToFit="false"/>
      <protection locked="true" hidden="false"/>
    </xf>
    <xf numFmtId="165" fontId="11" fillId="5" borderId="1" xfId="0" applyFont="true" applyBorder="true" applyAlignment="true" applyProtection="false">
      <alignment horizontal="center" vertical="bottom" textRotation="0" wrapText="false" indent="0" shrinkToFit="false"/>
      <protection locked="true" hidden="false"/>
    </xf>
    <xf numFmtId="166" fontId="8" fillId="5" borderId="1" xfId="0" applyFont="true" applyBorder="true" applyAlignment="true" applyProtection="false">
      <alignment horizontal="center" vertical="bottom" textRotation="0" wrapText="false" indent="0" shrinkToFit="false"/>
      <protection locked="true" hidden="false"/>
    </xf>
    <xf numFmtId="164" fontId="14" fillId="6" borderId="1" xfId="0" applyFont="true" applyBorder="true" applyAlignment="true" applyProtection="false">
      <alignment horizontal="center" vertical="bottom" textRotation="0" wrapText="false" indent="0" shrinkToFit="false"/>
      <protection locked="true" hidden="false"/>
    </xf>
    <xf numFmtId="165" fontId="14" fillId="6" borderId="1" xfId="0" applyFont="true" applyBorder="true" applyAlignment="true" applyProtection="false">
      <alignment horizontal="center" vertical="bottom" textRotation="0" wrapText="false" indent="0" shrinkToFit="false"/>
      <protection locked="true" hidden="false"/>
    </xf>
    <xf numFmtId="166" fontId="14" fillId="6" borderId="1" xfId="0" applyFont="true" applyBorder="true" applyAlignment="true" applyProtection="false">
      <alignment horizontal="center" vertical="bottom" textRotation="0" wrapText="false" indent="0" shrinkToFit="false"/>
      <protection locked="true" hidden="false"/>
    </xf>
    <xf numFmtId="164" fontId="9" fillId="0" borderId="0" xfId="0" applyFont="true" applyBorder="true" applyAlignment="false" applyProtection="false">
      <alignment horizontal="general" vertical="bottom" textRotation="0" wrapText="false" indent="0" shrinkToFit="false"/>
      <protection locked="true" hidden="false"/>
    </xf>
    <xf numFmtId="164" fontId="12" fillId="0" borderId="1" xfId="0" applyFont="true" applyBorder="true" applyAlignment="false" applyProtection="false">
      <alignment horizontal="general" vertical="bottom" textRotation="0" wrapText="false" indent="0" shrinkToFit="false"/>
      <protection locked="true" hidden="false"/>
    </xf>
    <xf numFmtId="168" fontId="12" fillId="0" borderId="1" xfId="0" applyFont="true" applyBorder="true" applyAlignment="true" applyProtection="false">
      <alignment horizontal="center" vertical="bottom" textRotation="0" wrapText="false" indent="0" shrinkToFit="false"/>
      <protection locked="true" hidden="false"/>
    </xf>
    <xf numFmtId="164" fontId="14" fillId="6" borderId="1" xfId="0" applyFont="true" applyBorder="true" applyAlignment="false" applyProtection="false">
      <alignment horizontal="general" vertical="bottom" textRotation="0" wrapText="false" indent="0" shrinkToFit="false"/>
      <protection locked="true" hidden="false"/>
    </xf>
    <xf numFmtId="169" fontId="14" fillId="6" borderId="1" xfId="0" applyFont="true" applyBorder="true" applyAlignment="true" applyProtection="false">
      <alignment horizontal="center" vertical="bottom" textRotation="0" wrapText="false" indent="0" shrinkToFit="false"/>
      <protection locked="true" hidden="false"/>
    </xf>
    <xf numFmtId="170" fontId="14" fillId="6" borderId="1" xfId="0" applyFont="true" applyBorder="true" applyAlignment="true" applyProtection="false">
      <alignment horizontal="center" vertical="bottom" textRotation="0" wrapText="false" indent="0" shrinkToFit="false"/>
      <protection locked="true" hidden="false"/>
    </xf>
    <xf numFmtId="169" fontId="12" fillId="0" borderId="1" xfId="0" applyFont="true" applyBorder="true" applyAlignment="true" applyProtection="false">
      <alignment horizontal="center" vertical="bottom" textRotation="0" wrapText="false" indent="0" shrinkToFit="false"/>
      <protection locked="true" hidden="false"/>
    </xf>
    <xf numFmtId="164" fontId="15" fillId="3" borderId="0" xfId="0" applyFont="true" applyBorder="true" applyAlignment="true" applyProtection="false">
      <alignment horizontal="center" vertical="bottom" textRotation="0" wrapText="false" indent="0" shrinkToFit="false"/>
      <protection locked="true" hidden="false"/>
    </xf>
    <xf numFmtId="164" fontId="15" fillId="3" borderId="0" xfId="0" applyFont="true" applyBorder="false" applyAlignment="true" applyProtection="false">
      <alignment horizontal="center" vertical="bottom" textRotation="0" wrapText="false" indent="0" shrinkToFit="false"/>
      <protection locked="true" hidden="false"/>
    </xf>
    <xf numFmtId="164" fontId="0" fillId="3" borderId="0" xfId="0" applyFont="false" applyBorder="false" applyAlignment="false" applyProtection="false">
      <alignment horizontal="general" vertical="bottom" textRotation="0" wrapText="false" indent="0" shrinkToFit="false"/>
      <protection locked="true" hidden="false"/>
    </xf>
    <xf numFmtId="164" fontId="16" fillId="0" borderId="1" xfId="0" applyFont="true" applyBorder="true" applyAlignment="true" applyProtection="false">
      <alignment horizontal="left" vertical="center" textRotation="0" wrapText="true" indent="0" shrinkToFit="false"/>
      <protection locked="true" hidden="false"/>
    </xf>
    <xf numFmtId="167" fontId="16" fillId="0" borderId="1" xfId="0" applyFont="true" applyBorder="true" applyAlignment="true" applyProtection="false">
      <alignment horizontal="center" vertical="center" textRotation="0" wrapText="true" indent="0" shrinkToFit="false"/>
      <protection locked="true" hidden="false"/>
    </xf>
    <xf numFmtId="164" fontId="16" fillId="0" borderId="1" xfId="0" applyFont="true" applyBorder="true" applyAlignment="true" applyProtection="false">
      <alignment horizontal="center" vertical="center" textRotation="0" wrapText="true" indent="0" shrinkToFit="false"/>
      <protection locked="true" hidden="false"/>
    </xf>
    <xf numFmtId="168" fontId="17" fillId="7" borderId="1" xfId="0" applyFont="true" applyBorder="true" applyAlignment="true" applyProtection="false">
      <alignment horizontal="center" vertical="center" textRotation="0" wrapText="true" indent="0" shrinkToFit="false"/>
      <protection locked="true" hidden="false"/>
    </xf>
    <xf numFmtId="168" fontId="16" fillId="0" borderId="1" xfId="0" applyFont="true" applyBorder="true" applyAlignment="true" applyProtection="false">
      <alignment horizontal="center" vertical="center" textRotation="0" wrapText="true" indent="0" shrinkToFit="false"/>
      <protection locked="true" hidden="false"/>
    </xf>
    <xf numFmtId="166" fontId="16" fillId="0" borderId="1" xfId="0" applyFont="true" applyBorder="true" applyAlignment="true" applyProtection="false">
      <alignment horizontal="center" vertical="center" textRotation="0" wrapText="true" indent="0" shrinkToFit="false"/>
      <protection locked="true" hidden="false"/>
    </xf>
    <xf numFmtId="171" fontId="17" fillId="7" borderId="1" xfId="0" applyFont="true" applyBorder="true" applyAlignment="true" applyProtection="false">
      <alignment horizontal="center" vertical="center" textRotation="0" wrapText="true" indent="0" shrinkToFit="false"/>
      <protection locked="true" hidden="false"/>
    </xf>
    <xf numFmtId="172" fontId="16" fillId="0" borderId="1" xfId="0" applyFont="true" applyBorder="true" applyAlignment="true" applyProtection="false">
      <alignment horizontal="center" vertical="center" textRotation="0" wrapText="true" indent="0" shrinkToFit="false"/>
      <protection locked="true" hidden="false"/>
    </xf>
    <xf numFmtId="166" fontId="18" fillId="7" borderId="1" xfId="0" applyFont="true" applyBorder="true" applyAlignment="true" applyProtection="false">
      <alignment horizontal="center" vertical="center" textRotation="0" wrapText="true" indent="0" shrinkToFit="false"/>
      <protection locked="true" hidden="false"/>
    </xf>
    <xf numFmtId="166" fontId="17" fillId="7" borderId="1" xfId="0" applyFont="true" applyBorder="true" applyAlignment="true" applyProtection="false">
      <alignment horizontal="center" vertical="center" textRotation="0" wrapText="true" indent="0" shrinkToFit="false"/>
      <protection locked="true" hidden="false"/>
    </xf>
    <xf numFmtId="173" fontId="17" fillId="7" borderId="1" xfId="0" applyFont="true" applyBorder="true" applyAlignment="true" applyProtection="false">
      <alignment horizontal="center" vertical="center" textRotation="0" wrapText="true" indent="0" shrinkToFit="false"/>
      <protection locked="true" hidden="false"/>
    </xf>
    <xf numFmtId="172" fontId="17" fillId="7" borderId="1" xfId="0" applyFont="true" applyBorder="true" applyAlignment="true" applyProtection="false">
      <alignment horizontal="center" vertical="center" textRotation="0" wrapText="true" indent="0" shrinkToFit="false"/>
      <protection locked="true" hidden="false"/>
    </xf>
    <xf numFmtId="174" fontId="17" fillId="7" borderId="1" xfId="0" applyFont="true" applyBorder="true" applyAlignment="true" applyProtection="false">
      <alignment horizontal="center" vertical="center" textRotation="0" wrapText="true" indent="0" shrinkToFit="false"/>
      <protection locked="true" hidden="false"/>
    </xf>
    <xf numFmtId="164" fontId="18" fillId="7" borderId="1" xfId="0" applyFont="true" applyBorder="true" applyAlignment="true" applyProtection="false">
      <alignment horizontal="center" vertical="center" textRotation="0" wrapText="true" indent="0" shrinkToFit="false"/>
      <protection locked="true" hidden="false"/>
    </xf>
    <xf numFmtId="164" fontId="17" fillId="7" borderId="1" xfId="0" applyFont="true" applyBorder="true" applyAlignment="true" applyProtection="false">
      <alignment horizontal="center" vertical="center" textRotation="0" wrapText="true" indent="0" shrinkToFit="false"/>
      <protection locked="true" hidden="false"/>
    </xf>
    <xf numFmtId="164" fontId="19" fillId="0" borderId="1" xfId="0" applyFont="true" applyBorder="true" applyAlignment="true" applyProtection="false">
      <alignment horizontal="center" vertical="bottom" textRotation="0" wrapText="true" indent="0" shrinkToFit="false"/>
      <protection locked="true" hidden="false"/>
    </xf>
    <xf numFmtId="164" fontId="16" fillId="5" borderId="1" xfId="0" applyFont="true" applyBorder="true" applyAlignment="true" applyProtection="false">
      <alignment horizontal="left" vertical="center" textRotation="0" wrapText="true" indent="0" shrinkToFit="false"/>
      <protection locked="true" hidden="false"/>
    </xf>
    <xf numFmtId="167" fontId="16" fillId="5" borderId="1" xfId="0" applyFont="true" applyBorder="true" applyAlignment="true" applyProtection="false">
      <alignment horizontal="center" vertical="center" textRotation="0" wrapText="true" indent="0" shrinkToFit="false"/>
      <protection locked="true" hidden="false"/>
    </xf>
    <xf numFmtId="164" fontId="16" fillId="5" borderId="1" xfId="0" applyFont="true" applyBorder="true" applyAlignment="true" applyProtection="false">
      <alignment horizontal="center" vertical="center" textRotation="0" wrapText="true" indent="0" shrinkToFit="false"/>
      <protection locked="true" hidden="false"/>
    </xf>
    <xf numFmtId="168" fontId="16" fillId="5" borderId="1" xfId="0" applyFont="true" applyBorder="true" applyAlignment="true" applyProtection="false">
      <alignment horizontal="center" vertical="center" textRotation="0" wrapText="true" indent="0" shrinkToFit="false"/>
      <protection locked="true" hidden="false"/>
    </xf>
    <xf numFmtId="166" fontId="16" fillId="5" borderId="1" xfId="0" applyFont="true" applyBorder="true" applyAlignment="true" applyProtection="false">
      <alignment horizontal="center" vertical="center" textRotation="0" wrapText="true" indent="0" shrinkToFit="false"/>
      <protection locked="true" hidden="false"/>
    </xf>
    <xf numFmtId="172" fontId="16" fillId="5" borderId="1" xfId="0" applyFont="true" applyBorder="true" applyAlignment="true" applyProtection="false">
      <alignment horizontal="center" vertical="center" textRotation="0" wrapText="true" indent="0" shrinkToFit="false"/>
      <protection locked="true" hidden="false"/>
    </xf>
    <xf numFmtId="166" fontId="12" fillId="0" borderId="1" xfId="0" applyFont="true" applyBorder="true" applyAlignment="true" applyProtection="false">
      <alignment horizontal="center" vertical="bottom" textRotation="0" wrapText="false" indent="0" shrinkToFit="false"/>
      <protection locked="true" hidden="false"/>
    </xf>
    <xf numFmtId="164" fontId="20" fillId="0" borderId="0" xfId="0" applyFont="true" applyBorder="false" applyAlignment="false" applyProtection="false">
      <alignment horizontal="general" vertical="bottom" textRotation="0" wrapText="false" indent="0" shrinkToFit="false"/>
      <protection locked="true" hidden="false"/>
    </xf>
    <xf numFmtId="175" fontId="12" fillId="0" borderId="1" xfId="0" applyFont="true" applyBorder="true" applyAlignment="true" applyProtection="false">
      <alignment horizontal="center" vertical="bottom" textRotation="0" wrapText="false" indent="0" shrinkToFit="false"/>
      <protection locked="true" hidden="false"/>
    </xf>
    <xf numFmtId="164" fontId="8" fillId="0" borderId="1" xfId="0" applyFont="true" applyBorder="true" applyAlignment="false" applyProtection="false">
      <alignment horizontal="general" vertical="bottom" textRotation="0" wrapText="false" indent="0" shrinkToFit="false"/>
      <protection locked="true" hidden="false"/>
    </xf>
    <xf numFmtId="164" fontId="21" fillId="0" borderId="1" xfId="0" applyFont="true" applyBorder="true" applyAlignment="false" applyProtection="false">
      <alignment horizontal="general" vertical="bottom" textRotation="0" wrapText="false" indent="0" shrinkToFit="false"/>
      <protection locked="true" hidden="false"/>
    </xf>
    <xf numFmtId="164" fontId="10" fillId="0" borderId="2" xfId="0" applyFont="true" applyBorder="true" applyAlignment="false" applyProtection="false">
      <alignment horizontal="general" vertical="bottom" textRotation="0" wrapText="false" indent="0" shrinkToFit="false"/>
      <protection locked="true" hidden="false"/>
    </xf>
    <xf numFmtId="164" fontId="8" fillId="5" borderId="1" xfId="0" applyFont="true" applyBorder="true" applyAlignment="false" applyProtection="false">
      <alignment horizontal="general" vertical="bottom" textRotation="0" wrapText="false" indent="0" shrinkToFit="false"/>
      <protection locked="true" hidden="false"/>
    </xf>
    <xf numFmtId="164" fontId="21" fillId="5" borderId="1" xfId="0" applyFont="true" applyBorder="true" applyAlignment="false" applyProtection="false">
      <alignment horizontal="general" vertical="bottom" textRotation="0" wrapText="false" indent="0" shrinkToFit="false"/>
      <protection locked="true" hidden="false"/>
    </xf>
    <xf numFmtId="164" fontId="10" fillId="5" borderId="2" xfId="0" applyFont="true" applyBorder="true" applyAlignment="false" applyProtection="false">
      <alignment horizontal="general" vertical="bottom" textRotation="0" wrapText="fals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75" fontId="14" fillId="6" borderId="1" xfId="0" applyFont="true" applyBorder="true" applyAlignment="true" applyProtection="false">
      <alignment horizontal="center" vertical="bottom" textRotation="0" wrapText="false" indent="0" shrinkToFit="false"/>
      <protection locked="true" hidden="false"/>
    </xf>
    <xf numFmtId="175" fontId="8" fillId="0" borderId="1" xfId="0" applyFont="true" applyBorder="true" applyAlignment="true" applyProtection="false">
      <alignment horizontal="center" vertical="bottom" textRotation="0" wrapText="false" indent="0" shrinkToFit="false"/>
      <protection locked="true" hidden="false"/>
    </xf>
    <xf numFmtId="176" fontId="8" fillId="0" borderId="1" xfId="0" applyFont="true" applyBorder="true" applyAlignment="true" applyProtection="false">
      <alignment horizontal="center" vertical="bottom" textRotation="0" wrapText="false" indent="0" shrinkToFit="false"/>
      <protection locked="true" hidden="false"/>
    </xf>
    <xf numFmtId="164" fontId="10" fillId="0" borderId="0" xfId="0" applyFont="true" applyBorder="true" applyAlignment="true" applyProtection="false">
      <alignment horizontal="general" vertical="top" textRotation="0" wrapText="true" indent="0" shrinkToFit="false"/>
      <protection locked="true" hidden="false"/>
    </xf>
    <xf numFmtId="164" fontId="8" fillId="0" borderId="1" xfId="0" applyFont="true" applyBorder="true" applyAlignment="true" applyProtection="false">
      <alignment horizontal="center" vertical="bottom" textRotation="0" wrapText="fals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4" fontId="8" fillId="0" borderId="1" xfId="0" applyFont="true" applyBorder="true" applyAlignment="true" applyProtection="false">
      <alignment horizontal="general" vertical="center" textRotation="0" wrapText="true" indent="0" shrinkToFit="false"/>
      <protection locked="true" hidden="false"/>
    </xf>
    <xf numFmtId="164" fontId="8" fillId="5" borderId="1" xfId="0" applyFont="true" applyBorder="true" applyAlignment="true" applyProtection="false">
      <alignment horizontal="center" vertical="bottom" textRotation="0" wrapText="false" indent="0" shrinkToFit="false"/>
      <protection locked="true" hidden="false"/>
    </xf>
    <xf numFmtId="164" fontId="7" fillId="5" borderId="1" xfId="0" applyFont="true" applyBorder="true" applyAlignment="false" applyProtection="false">
      <alignment horizontal="general" vertical="bottom" textRotation="0" wrapText="false" indent="0" shrinkToFit="false"/>
      <protection locked="true" hidden="false"/>
    </xf>
    <xf numFmtId="164" fontId="8" fillId="5" borderId="1" xfId="0" applyFont="true" applyBorder="true" applyAlignment="true" applyProtection="false">
      <alignment horizontal="general" vertical="center" textRotation="0" wrapText="true" indent="0" shrinkToFit="false"/>
      <protection locked="true" hidden="false"/>
    </xf>
    <xf numFmtId="164" fontId="20" fillId="0" borderId="1" xfId="0" applyFont="true" applyBorder="true" applyAlignment="true" applyProtection="false">
      <alignment horizontal="center" vertical="bottom" textRotation="0" wrapText="false" indent="0" shrinkToFit="false"/>
      <protection locked="true" hidden="false"/>
    </xf>
    <xf numFmtId="164" fontId="20" fillId="5" borderId="1" xfId="0" applyFont="true" applyBorder="true" applyAlignment="true" applyProtection="false">
      <alignment horizontal="center"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F2F5FA"/>
      <rgbColor rgb="FF660066"/>
      <rgbColor rgb="FFFF8080"/>
      <rgbColor rgb="FF0066CC"/>
      <rgbColor rgb="FFD9E2F3"/>
      <rgbColor rgb="FF000080"/>
      <rgbColor rgb="FFFF00FF"/>
      <rgbColor rgb="FFFFFF00"/>
      <rgbColor rgb="FF00FFFF"/>
      <rgbColor rgb="FF800080"/>
      <rgbColor rgb="FF800000"/>
      <rgbColor rgb="FF008080"/>
      <rgbColor rgb="FF0000FF"/>
      <rgbColor rgb="FF00CCFF"/>
      <rgbColor rgb="FFEDEDED"/>
      <rgbColor rgb="FFCCFFCC"/>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2E5A88"/>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3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703125" defaultRowHeight="15" zeroHeight="false" outlineLevelRow="0" outlineLevelCol="0"/>
  <cols>
    <col collapsed="false" customWidth="true" hidden="false" outlineLevel="0" max="1" min="1" style="0" width="2"/>
    <col collapsed="false" customWidth="true" hidden="false" outlineLevel="0" max="2" min="2" style="0" width="30"/>
    <col collapsed="false" customWidth="true" hidden="false" outlineLevel="0" max="3" min="3" style="0" width="100"/>
    <col collapsed="false" customWidth="true" hidden="false" outlineLevel="0" max="7" min="4" style="0" width="14"/>
  </cols>
  <sheetData>
    <row r="1" customFormat="false" ht="25.5" hidden="false" customHeight="true" outlineLevel="0" collapsed="false">
      <c r="A1" s="1" t="s">
        <v>0</v>
      </c>
      <c r="B1" s="1"/>
      <c r="C1" s="1"/>
      <c r="D1" s="1"/>
      <c r="E1" s="1"/>
      <c r="F1" s="1"/>
      <c r="G1" s="1"/>
    </row>
    <row r="2" customFormat="false" ht="15" hidden="false" customHeight="true" outlineLevel="0" collapsed="false">
      <c r="A2" s="2" t="s">
        <v>1</v>
      </c>
      <c r="B2" s="2"/>
      <c r="C2" s="2"/>
      <c r="D2" s="2"/>
      <c r="E2" s="2"/>
      <c r="F2" s="2"/>
      <c r="G2" s="2"/>
    </row>
    <row r="4" customFormat="false" ht="18" hidden="false" customHeight="true" outlineLevel="0" collapsed="false">
      <c r="B4" s="3" t="s">
        <v>2</v>
      </c>
      <c r="C4" s="3"/>
      <c r="D4" s="3"/>
      <c r="E4" s="3"/>
      <c r="F4" s="3"/>
      <c r="G4" s="3"/>
    </row>
    <row r="6" customFormat="false" ht="31.5" hidden="false" customHeight="true" outlineLevel="0" collapsed="false">
      <c r="B6" s="4" t="s">
        <v>3</v>
      </c>
      <c r="C6" s="5" t="s">
        <v>4</v>
      </c>
    </row>
    <row r="7" customFormat="false" ht="31.5" hidden="false" customHeight="true" outlineLevel="0" collapsed="false">
      <c r="B7" s="4" t="s">
        <v>5</v>
      </c>
      <c r="C7" s="5" t="s">
        <v>6</v>
      </c>
    </row>
    <row r="8" customFormat="false" ht="31.5" hidden="false" customHeight="true" outlineLevel="0" collapsed="false">
      <c r="B8" s="4" t="s">
        <v>7</v>
      </c>
      <c r="C8" s="5" t="s">
        <v>8</v>
      </c>
    </row>
    <row r="9" customFormat="false" ht="31.5" hidden="false" customHeight="true" outlineLevel="0" collapsed="false">
      <c r="B9" s="4" t="s">
        <v>9</v>
      </c>
      <c r="C9" s="5" t="s">
        <v>10</v>
      </c>
    </row>
    <row r="10" customFormat="false" ht="31.5" hidden="false" customHeight="true" outlineLevel="0" collapsed="false">
      <c r="B10" s="4" t="s">
        <v>11</v>
      </c>
      <c r="C10" s="5" t="s">
        <v>12</v>
      </c>
    </row>
    <row r="12" customFormat="false" ht="18" hidden="false" customHeight="true" outlineLevel="0" collapsed="false">
      <c r="B12" s="3" t="s">
        <v>13</v>
      </c>
      <c r="C12" s="3"/>
      <c r="D12" s="3"/>
      <c r="E12" s="3"/>
      <c r="F12" s="3"/>
      <c r="G12" s="3"/>
    </row>
    <row r="14" customFormat="false" ht="30" hidden="false" customHeight="true" outlineLevel="0" collapsed="false">
      <c r="B14" s="6" t="s">
        <v>14</v>
      </c>
      <c r="C14" s="6"/>
      <c r="D14" s="6"/>
      <c r="E14" s="6"/>
      <c r="F14" s="6"/>
      <c r="G14" s="6"/>
    </row>
    <row r="15" customFormat="false" ht="30" hidden="false" customHeight="true" outlineLevel="0" collapsed="false">
      <c r="B15" s="6" t="s">
        <v>15</v>
      </c>
      <c r="C15" s="6"/>
      <c r="D15" s="6"/>
      <c r="E15" s="6"/>
      <c r="F15" s="6"/>
      <c r="G15" s="6"/>
    </row>
    <row r="16" customFormat="false" ht="30" hidden="false" customHeight="true" outlineLevel="0" collapsed="false">
      <c r="B16" s="6" t="s">
        <v>16</v>
      </c>
      <c r="C16" s="6"/>
      <c r="D16" s="6"/>
      <c r="E16" s="6"/>
      <c r="F16" s="6"/>
      <c r="G16" s="6"/>
    </row>
    <row r="17" customFormat="false" ht="30" hidden="false" customHeight="true" outlineLevel="0" collapsed="false">
      <c r="B17" s="6" t="s">
        <v>17</v>
      </c>
      <c r="C17" s="6"/>
      <c r="D17" s="6"/>
      <c r="E17" s="6"/>
      <c r="F17" s="6"/>
      <c r="G17" s="6"/>
    </row>
    <row r="19" customFormat="false" ht="18" hidden="false" customHeight="true" outlineLevel="0" collapsed="false">
      <c r="B19" s="3" t="s">
        <v>18</v>
      </c>
      <c r="C19" s="3"/>
      <c r="D19" s="3"/>
      <c r="E19" s="3"/>
      <c r="F19" s="3"/>
      <c r="G19" s="3"/>
    </row>
    <row r="21" customFormat="false" ht="27.75" hidden="false" customHeight="true" outlineLevel="0" collapsed="false">
      <c r="B21" s="6" t="s">
        <v>19</v>
      </c>
      <c r="C21" s="6"/>
      <c r="D21" s="6"/>
      <c r="E21" s="6"/>
      <c r="F21" s="6"/>
      <c r="G21" s="6"/>
    </row>
    <row r="22" customFormat="false" ht="27.75" hidden="false" customHeight="true" outlineLevel="0" collapsed="false">
      <c r="B22" s="6" t="s">
        <v>20</v>
      </c>
      <c r="C22" s="6"/>
      <c r="D22" s="6"/>
      <c r="E22" s="6"/>
      <c r="F22" s="6"/>
      <c r="G22" s="6"/>
    </row>
    <row r="23" customFormat="false" ht="27.75" hidden="false" customHeight="true" outlineLevel="0" collapsed="false">
      <c r="B23" s="6" t="s">
        <v>21</v>
      </c>
      <c r="C23" s="6"/>
      <c r="D23" s="6"/>
      <c r="E23" s="6"/>
      <c r="F23" s="6"/>
      <c r="G23" s="6"/>
    </row>
    <row r="24" customFormat="false" ht="27.75" hidden="false" customHeight="true" outlineLevel="0" collapsed="false">
      <c r="B24" s="6" t="s">
        <v>22</v>
      </c>
      <c r="C24" s="6"/>
      <c r="D24" s="6"/>
      <c r="E24" s="6"/>
      <c r="F24" s="6"/>
      <c r="G24" s="6"/>
    </row>
    <row r="25" customFormat="false" ht="27.75" hidden="false" customHeight="true" outlineLevel="0" collapsed="false">
      <c r="B25" s="6" t="s">
        <v>23</v>
      </c>
      <c r="C25" s="6"/>
      <c r="D25" s="6"/>
      <c r="E25" s="6"/>
      <c r="F25" s="6"/>
      <c r="G25" s="6"/>
    </row>
    <row r="26" customFormat="false" ht="27.75" hidden="false" customHeight="true" outlineLevel="0" collapsed="false">
      <c r="B26" s="6" t="s">
        <v>24</v>
      </c>
      <c r="C26" s="6"/>
      <c r="D26" s="6"/>
      <c r="E26" s="6"/>
      <c r="F26" s="6"/>
      <c r="G26" s="6"/>
    </row>
    <row r="28" customFormat="false" ht="15" hidden="false" customHeight="true" outlineLevel="0" collapsed="false">
      <c r="B28" s="7" t="s">
        <v>25</v>
      </c>
      <c r="C28" s="7"/>
      <c r="D28" s="7"/>
      <c r="E28" s="7"/>
      <c r="F28" s="7"/>
      <c r="G28" s="7"/>
    </row>
    <row r="29" customFormat="false" ht="15" hidden="false" customHeight="true" outlineLevel="0" collapsed="false">
      <c r="B29" s="7"/>
      <c r="C29" s="7"/>
      <c r="D29" s="7"/>
      <c r="E29" s="7"/>
      <c r="F29" s="7"/>
      <c r="G29" s="7"/>
    </row>
    <row r="30" customFormat="false" ht="15" hidden="false" customHeight="true" outlineLevel="0" collapsed="false">
      <c r="B30" s="7"/>
      <c r="C30" s="7"/>
      <c r="D30" s="7"/>
      <c r="E30" s="7"/>
      <c r="F30" s="7"/>
      <c r="G30" s="7"/>
    </row>
    <row r="31" customFormat="false" ht="15" hidden="false" customHeight="true" outlineLevel="0" collapsed="false">
      <c r="B31" s="7"/>
      <c r="C31" s="7"/>
      <c r="D31" s="7"/>
      <c r="E31" s="7"/>
      <c r="F31" s="7"/>
      <c r="G31" s="7"/>
    </row>
  </sheetData>
  <mergeCells count="16">
    <mergeCell ref="A1:G1"/>
    <mergeCell ref="A2:G2"/>
    <mergeCell ref="B4:G4"/>
    <mergeCell ref="B12:G12"/>
    <mergeCell ref="B14:G14"/>
    <mergeCell ref="B15:G15"/>
    <mergeCell ref="B16:G16"/>
    <mergeCell ref="B17:G17"/>
    <mergeCell ref="B19:G19"/>
    <mergeCell ref="B21:G21"/>
    <mergeCell ref="B22:G22"/>
    <mergeCell ref="B23:G23"/>
    <mergeCell ref="B24:G24"/>
    <mergeCell ref="B25:G25"/>
    <mergeCell ref="B26:G26"/>
    <mergeCell ref="B28:G3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R50"/>
  <sheetViews>
    <sheetView showFormulas="false" showGridLines="false" showRowColHeaders="true" showZeros="true" rightToLeft="false" tabSelected="true" showOutlineSymbols="true" defaultGridColor="true" view="normal" topLeftCell="A13" colorId="64" zoomScale="100" zoomScaleNormal="100" zoomScalePageLayoutView="100" workbookViewId="0">
      <selection pane="topLeft" activeCell="A28" activeCellId="0" sqref="A28"/>
    </sheetView>
  </sheetViews>
  <sheetFormatPr defaultColWidth="8.5703125" defaultRowHeight="15" zeroHeight="false" outlineLevelRow="0" outlineLevelCol="0"/>
  <cols>
    <col collapsed="false" customWidth="true" hidden="false" outlineLevel="0" max="1" min="1" style="0" width="2"/>
    <col collapsed="false" customWidth="true" hidden="false" outlineLevel="0" max="2" min="2" style="0" width="40"/>
    <col collapsed="false" customWidth="true" hidden="false" outlineLevel="0" max="3" min="3" style="0" width="34"/>
    <col collapsed="false" customWidth="true" hidden="false" outlineLevel="0" max="6" min="4" style="0" width="16"/>
    <col collapsed="false" customWidth="true" hidden="false" outlineLevel="0" max="7" min="7" style="0" width="62"/>
  </cols>
  <sheetData>
    <row r="1" customFormat="false" ht="25.5" hidden="false" customHeight="true" outlineLevel="0" collapsed="false">
      <c r="A1" s="1" t="s">
        <v>26</v>
      </c>
      <c r="B1" s="1"/>
      <c r="C1" s="1"/>
      <c r="D1" s="1"/>
      <c r="E1" s="1"/>
      <c r="F1" s="1"/>
      <c r="G1" s="1"/>
    </row>
    <row r="2" customFormat="false" ht="15" hidden="false" customHeight="true" outlineLevel="0" collapsed="false">
      <c r="A2" s="2" t="s">
        <v>27</v>
      </c>
      <c r="B2" s="2"/>
      <c r="C2" s="2"/>
      <c r="D2" s="2"/>
      <c r="E2" s="2"/>
      <c r="F2" s="2"/>
      <c r="G2" s="2"/>
    </row>
    <row r="3" customFormat="false" ht="27.75" hidden="false" customHeight="true" outlineLevel="0" collapsed="false">
      <c r="B3" s="8" t="s">
        <v>28</v>
      </c>
      <c r="C3" s="8"/>
      <c r="D3" s="8"/>
      <c r="E3" s="8"/>
      <c r="F3" s="8"/>
      <c r="G3" s="8"/>
      <c r="H3" s="9" t="s">
        <v>29</v>
      </c>
      <c r="I3" s="10" t="n">
        <v>0.25</v>
      </c>
      <c r="J3" s="9" t="s">
        <v>30</v>
      </c>
      <c r="K3" s="10" t="n">
        <v>0.125</v>
      </c>
      <c r="L3" s="9" t="s">
        <v>31</v>
      </c>
      <c r="M3" s="10" t="n">
        <v>0.125</v>
      </c>
      <c r="N3" s="9" t="s">
        <v>32</v>
      </c>
      <c r="O3" s="10" t="n">
        <v>0.6</v>
      </c>
      <c r="P3" s="9" t="s">
        <v>33</v>
      </c>
      <c r="Q3" s="10" t="n">
        <v>0.15</v>
      </c>
      <c r="R3" s="11" t="str">
        <f aca="false">IF(ROUND($K$3+$M$3-$I$3,6)=0,"Splits foot — OK","ERROR: broker + Torque &lt;&gt; total")</f>
        <v>Splits foot — OK</v>
      </c>
    </row>
    <row r="4" customFormat="false" ht="18" hidden="false" customHeight="true" outlineLevel="0" collapsed="false">
      <c r="B4" s="3" t="s">
        <v>34</v>
      </c>
      <c r="C4" s="3"/>
      <c r="D4" s="3"/>
      <c r="E4" s="3"/>
      <c r="F4" s="3"/>
      <c r="G4" s="3"/>
    </row>
    <row r="5" customFormat="false" ht="15" hidden="false" customHeight="true" outlineLevel="0" collapsed="false">
      <c r="B5" s="12" t="s">
        <v>35</v>
      </c>
      <c r="C5" s="13" t="s">
        <v>36</v>
      </c>
      <c r="G5" s="14" t="s">
        <v>37</v>
      </c>
    </row>
    <row r="6" customFormat="false" ht="15" hidden="false" customHeight="true" outlineLevel="0" collapsed="false">
      <c r="B6" s="12" t="s">
        <v>38</v>
      </c>
      <c r="C6" s="13" t="s">
        <v>39</v>
      </c>
      <c r="G6" s="14"/>
    </row>
    <row r="7" customFormat="false" ht="15" hidden="false" customHeight="true" outlineLevel="0" collapsed="false">
      <c r="B7" s="12" t="s">
        <v>40</v>
      </c>
      <c r="C7" s="13" t="s">
        <v>41</v>
      </c>
      <c r="G7" s="14"/>
    </row>
    <row r="8" customFormat="false" ht="15" hidden="false" customHeight="true" outlineLevel="0" collapsed="false">
      <c r="B8" s="12" t="s">
        <v>42</v>
      </c>
      <c r="C8" s="13" t="s">
        <v>43</v>
      </c>
      <c r="G8" s="14" t="s">
        <v>44</v>
      </c>
    </row>
    <row r="9" customFormat="false" ht="15" hidden="false" customHeight="true" outlineLevel="0" collapsed="false">
      <c r="B9" s="12" t="s">
        <v>45</v>
      </c>
      <c r="C9" s="13" t="s">
        <v>46</v>
      </c>
      <c r="G9" s="14" t="s">
        <v>47</v>
      </c>
    </row>
    <row r="10" customFormat="false" ht="15" hidden="false" customHeight="true" outlineLevel="0" collapsed="false">
      <c r="B10" s="12" t="s">
        <v>48</v>
      </c>
      <c r="C10" s="15" t="n">
        <v>2025</v>
      </c>
      <c r="G10" s="14"/>
    </row>
    <row r="11" customFormat="false" ht="15" hidden="false" customHeight="true" outlineLevel="0" collapsed="false">
      <c r="B11" s="12" t="s">
        <v>49</v>
      </c>
      <c r="C11" s="13" t="s">
        <v>50</v>
      </c>
      <c r="G11" s="14"/>
    </row>
    <row r="12" customFormat="false" ht="15" hidden="false" customHeight="true" outlineLevel="0" collapsed="false">
      <c r="B12" s="12" t="s">
        <v>51</v>
      </c>
      <c r="C12" s="16" t="n">
        <v>45931</v>
      </c>
      <c r="G12" s="14"/>
    </row>
    <row r="13" customFormat="false" ht="15" hidden="false" customHeight="true" outlineLevel="0" collapsed="false">
      <c r="B13" s="12" t="s">
        <v>52</v>
      </c>
      <c r="C13" s="16" t="n">
        <v>45961</v>
      </c>
      <c r="G13" s="14"/>
    </row>
    <row r="14" customFormat="false" ht="15" hidden="false" customHeight="true" outlineLevel="0" collapsed="false">
      <c r="B14" s="12" t="s">
        <v>53</v>
      </c>
      <c r="C14" s="16" t="n">
        <v>45961</v>
      </c>
      <c r="G14" s="14" t="s">
        <v>54</v>
      </c>
    </row>
    <row r="15" customFormat="false" ht="15" hidden="false" customHeight="true" outlineLevel="0" collapsed="false">
      <c r="B15" s="12" t="s">
        <v>55</v>
      </c>
      <c r="C15" s="13" t="s">
        <v>56</v>
      </c>
      <c r="G15" s="14"/>
    </row>
    <row r="16" customFormat="false" ht="15" hidden="false" customHeight="true" outlineLevel="0" collapsed="false">
      <c r="B16" s="12" t="s">
        <v>57</v>
      </c>
      <c r="C16" s="13" t="s">
        <v>58</v>
      </c>
      <c r="G16" s="14"/>
    </row>
    <row r="17" customFormat="false" ht="15" hidden="false" customHeight="true" outlineLevel="0" collapsed="false">
      <c r="B17" s="12" t="s">
        <v>59</v>
      </c>
      <c r="C17" s="13" t="s">
        <v>58</v>
      </c>
      <c r="G17" s="14"/>
    </row>
    <row r="18" customFormat="false" ht="15" hidden="false" customHeight="true" outlineLevel="0" collapsed="false">
      <c r="B18" s="12" t="s">
        <v>60</v>
      </c>
      <c r="C18" s="13" t="n">
        <v>2000000</v>
      </c>
      <c r="G18" s="14" t="s">
        <v>61</v>
      </c>
    </row>
    <row r="19" customFormat="false" ht="15" hidden="false" customHeight="true" outlineLevel="0" collapsed="false">
      <c r="B19" s="12" t="s">
        <v>62</v>
      </c>
      <c r="C19" s="13" t="n">
        <v>-0.15</v>
      </c>
      <c r="G19" s="14" t="s">
        <v>63</v>
      </c>
    </row>
    <row r="20" customFormat="false" ht="15" hidden="false" customHeight="true" outlineLevel="0" collapsed="false">
      <c r="B20" s="12" t="s">
        <v>64</v>
      </c>
      <c r="C20" s="15" t="n">
        <v>5000</v>
      </c>
      <c r="G20" s="14" t="s">
        <v>65</v>
      </c>
    </row>
    <row r="22" customFormat="false" ht="18" hidden="false" customHeight="true" outlineLevel="0" collapsed="false">
      <c r="B22" s="3" t="s">
        <v>66</v>
      </c>
      <c r="C22" s="3"/>
      <c r="D22" s="3"/>
      <c r="E22" s="3"/>
      <c r="F22" s="3"/>
      <c r="G22" s="3"/>
    </row>
    <row r="23" customFormat="false" ht="33.75" hidden="false" customHeight="true" outlineLevel="0" collapsed="false">
      <c r="B23" s="17" t="s">
        <v>67</v>
      </c>
      <c r="C23" s="17" t="s">
        <v>68</v>
      </c>
      <c r="D23" s="17" t="s">
        <v>69</v>
      </c>
      <c r="E23" s="17" t="s">
        <v>70</v>
      </c>
      <c r="F23" s="17" t="s">
        <v>71</v>
      </c>
      <c r="G23" s="17" t="s">
        <v>72</v>
      </c>
    </row>
    <row r="24" customFormat="false" ht="15" hidden="false" customHeight="true" outlineLevel="0" collapsed="false">
      <c r="B24" s="18" t="s">
        <v>73</v>
      </c>
      <c r="C24" s="19" t="s">
        <v>74</v>
      </c>
      <c r="D24" s="10" t="n">
        <v>0.1</v>
      </c>
      <c r="E24" s="20" t="n">
        <f aca="false">(SUMIF('UW Bordereaux'!$D$5:$D$204,"Bound*",'UW Bordereaux'!$AD$5:$AD$204))*$D24</f>
        <v>4358.855</v>
      </c>
      <c r="F24" s="20" t="n">
        <f aca="false">(SUMIF('UW Bordereaux'!$D$5:$D$204,"Bound*",'UW Bordereaux'!$AB$5:$AB$204))*$D24</f>
        <v>4358.855</v>
      </c>
      <c r="G24" s="20" t="n">
        <f aca="false">(SUMIF('UW Bordereaux'!$D$5:$D$204,"Bound*",'UW Bordereaux'!$AQ$5:$AQ$204))*$D24</f>
        <v>3269.141</v>
      </c>
    </row>
    <row r="25" customFormat="false" ht="15" hidden="false" customHeight="true" outlineLevel="0" collapsed="false">
      <c r="B25" s="21" t="s">
        <v>75</v>
      </c>
      <c r="C25" s="22" t="s">
        <v>76</v>
      </c>
      <c r="D25" s="23" t="n">
        <v>0.1</v>
      </c>
      <c r="E25" s="24" t="n">
        <f aca="false">(SUMIF('UW Bordereaux'!$D$5:$D$204,"Bound*",'UW Bordereaux'!$AD$5:$AD$204))*$D25</f>
        <v>4358.855</v>
      </c>
      <c r="F25" s="24" t="n">
        <f aca="false">(SUMIF('UW Bordereaux'!$D$5:$D$204,"Bound*",'UW Bordereaux'!$AB$5:$AB$204))*$D25</f>
        <v>4358.855</v>
      </c>
      <c r="G25" s="24" t="n">
        <f aca="false">(SUMIF('UW Bordereaux'!$D$5:$D$204,"Bound*",'UW Bordereaux'!$AQ$5:$AQ$204))*$D25</f>
        <v>3269.141</v>
      </c>
    </row>
    <row r="26" customFormat="false" ht="15" hidden="false" customHeight="true" outlineLevel="0" collapsed="false">
      <c r="B26" s="18" t="s">
        <v>77</v>
      </c>
      <c r="C26" s="19" t="s">
        <v>78</v>
      </c>
      <c r="D26" s="10" t="n">
        <v>0.1</v>
      </c>
      <c r="E26" s="20" t="n">
        <f aca="false">(SUMIF('UW Bordereaux'!$D$5:$D$204,"Bound*",'UW Bordereaux'!$AD$5:$AD$204))*$D26</f>
        <v>4358.855</v>
      </c>
      <c r="F26" s="20" t="n">
        <f aca="false">(SUMIF('UW Bordereaux'!$D$5:$D$204,"Bound*",'UW Bordereaux'!$AB$5:$AB$204))*$D26</f>
        <v>4358.855</v>
      </c>
      <c r="G26" s="20" t="n">
        <f aca="false">(SUMIF('UW Bordereaux'!$D$5:$D$204,"Bound*",'UW Bordereaux'!$AQ$5:$AQ$204))*$D26</f>
        <v>3269.141</v>
      </c>
    </row>
    <row r="27" customFormat="false" ht="15" hidden="false" customHeight="true" outlineLevel="0" collapsed="false">
      <c r="B27" s="21" t="s">
        <v>79</v>
      </c>
      <c r="C27" s="22" t="s">
        <v>80</v>
      </c>
      <c r="D27" s="23" t="n">
        <v>0.1</v>
      </c>
      <c r="E27" s="24" t="n">
        <f aca="false">(SUMIF('UW Bordereaux'!$D$5:$D$204,"Bound*",'UW Bordereaux'!$AD$5:$AD$204))*$D27</f>
        <v>4358.855</v>
      </c>
      <c r="F27" s="24" t="n">
        <f aca="false">(SUMIF('UW Bordereaux'!$D$5:$D$204,"Bound*",'UW Bordereaux'!$AB$5:$AB$204))*$D27</f>
        <v>4358.855</v>
      </c>
      <c r="G27" s="24" t="n">
        <f aca="false">(SUMIF('UW Bordereaux'!$D$5:$D$204,"Bound*",'UW Bordereaux'!$AQ$5:$AQ$204))*$D27</f>
        <v>3269.141</v>
      </c>
    </row>
    <row r="28" customFormat="false" ht="15" hidden="false" customHeight="true" outlineLevel="0" collapsed="false">
      <c r="B28" s="18" t="s">
        <v>81</v>
      </c>
      <c r="C28" s="19" t="s">
        <v>82</v>
      </c>
      <c r="D28" s="10" t="n">
        <v>0.1</v>
      </c>
      <c r="E28" s="20" t="n">
        <f aca="false">(SUMIF('UW Bordereaux'!$D$5:$D$204,"Bound*",'UW Bordereaux'!$AD$5:$AD$204))*$D28</f>
        <v>4358.855</v>
      </c>
      <c r="F28" s="20" t="n">
        <f aca="false">(SUMIF('UW Bordereaux'!$D$5:$D$204,"Bound*",'UW Bordereaux'!$AB$5:$AB$204))*$D28</f>
        <v>4358.855</v>
      </c>
      <c r="G28" s="20" t="n">
        <f aca="false">(SUMIF('UW Bordereaux'!$D$5:$D$204,"Bound*",'UW Bordereaux'!$AQ$5:$AQ$204))*$D28</f>
        <v>3269.141</v>
      </c>
    </row>
    <row r="29" customFormat="false" ht="15" hidden="false" customHeight="true" outlineLevel="0" collapsed="false">
      <c r="B29" s="21" t="s">
        <v>83</v>
      </c>
      <c r="C29" s="22" t="s">
        <v>84</v>
      </c>
      <c r="D29" s="23" t="n">
        <v>0.1</v>
      </c>
      <c r="E29" s="24" t="n">
        <f aca="false">(SUMIF('UW Bordereaux'!$D$5:$D$204,"Bound*",'UW Bordereaux'!$AD$5:$AD$204))*$D29</f>
        <v>4358.855</v>
      </c>
      <c r="F29" s="24" t="n">
        <f aca="false">(SUMIF('UW Bordereaux'!$D$5:$D$204,"Bound*",'UW Bordereaux'!$AB$5:$AB$204))*$D29</f>
        <v>4358.855</v>
      </c>
      <c r="G29" s="24" t="n">
        <f aca="false">(SUMIF('UW Bordereaux'!$D$5:$D$204,"Bound*",'UW Bordereaux'!$AQ$5:$AQ$204))*$D29</f>
        <v>3269.141</v>
      </c>
    </row>
    <row r="30" customFormat="false" ht="15" hidden="false" customHeight="true" outlineLevel="0" collapsed="false">
      <c r="B30" s="18" t="s">
        <v>85</v>
      </c>
      <c r="C30" s="19" t="s">
        <v>86</v>
      </c>
      <c r="D30" s="10" t="n">
        <v>0.1</v>
      </c>
      <c r="E30" s="20" t="n">
        <f aca="false">(SUMIF('UW Bordereaux'!$D$5:$D$204,"Bound*",'UW Bordereaux'!$AD$5:$AD$204))*$D30</f>
        <v>4358.855</v>
      </c>
      <c r="F30" s="20" t="n">
        <f aca="false">(SUMIF('UW Bordereaux'!$D$5:$D$204,"Bound*",'UW Bordereaux'!$AB$5:$AB$204))*$D30</f>
        <v>4358.855</v>
      </c>
      <c r="G30" s="20" t="n">
        <f aca="false">(SUMIF('UW Bordereaux'!$D$5:$D$204,"Bound*",'UW Bordereaux'!$AQ$5:$AQ$204))*$D30</f>
        <v>3269.141</v>
      </c>
    </row>
    <row r="31" customFormat="false" ht="15" hidden="false" customHeight="true" outlineLevel="0" collapsed="false">
      <c r="B31" s="21" t="s">
        <v>87</v>
      </c>
      <c r="C31" s="22" t="s">
        <v>88</v>
      </c>
      <c r="D31" s="23" t="n">
        <v>0.1</v>
      </c>
      <c r="E31" s="24" t="n">
        <f aca="false">(SUMIF('UW Bordereaux'!$D$5:$D$204,"Bound*",'UW Bordereaux'!$AD$5:$AD$204))*$D31</f>
        <v>4358.855</v>
      </c>
      <c r="F31" s="24" t="n">
        <f aca="false">(SUMIF('UW Bordereaux'!$D$5:$D$204,"Bound*",'UW Bordereaux'!$AB$5:$AB$204))*$D31</f>
        <v>4358.855</v>
      </c>
      <c r="G31" s="24" t="n">
        <f aca="false">(SUMIF('UW Bordereaux'!$D$5:$D$204,"Bound*",'UW Bordereaux'!$AQ$5:$AQ$204))*$D31</f>
        <v>3269.141</v>
      </c>
    </row>
    <row r="32" customFormat="false" ht="15" hidden="false" customHeight="true" outlineLevel="0" collapsed="false">
      <c r="B32" s="18" t="s">
        <v>89</v>
      </c>
      <c r="C32" s="19" t="s">
        <v>90</v>
      </c>
      <c r="D32" s="10" t="n">
        <v>0.1</v>
      </c>
      <c r="E32" s="20" t="n">
        <f aca="false">(SUMIF('UW Bordereaux'!$D$5:$D$204,"Bound*",'UW Bordereaux'!$AD$5:$AD$204))*$D32</f>
        <v>4358.855</v>
      </c>
      <c r="F32" s="20" t="n">
        <f aca="false">(SUMIF('UW Bordereaux'!$D$5:$D$204,"Bound*",'UW Bordereaux'!$AB$5:$AB$204))*$D32</f>
        <v>4358.855</v>
      </c>
      <c r="G32" s="20" t="n">
        <f aca="false">(SUMIF('UW Bordereaux'!$D$5:$D$204,"Bound*",'UW Bordereaux'!$AQ$5:$AQ$204))*$D32</f>
        <v>3269.141</v>
      </c>
    </row>
    <row r="33" customFormat="false" ht="15" hidden="false" customHeight="true" outlineLevel="0" collapsed="false">
      <c r="B33" s="21" t="s">
        <v>91</v>
      </c>
      <c r="C33" s="22" t="s">
        <v>92</v>
      </c>
      <c r="D33" s="23" t="n">
        <v>0.1</v>
      </c>
      <c r="E33" s="24" t="n">
        <f aca="false">(SUMIF('UW Bordereaux'!$D$5:$D$204,"Bound*",'UW Bordereaux'!$AD$5:$AD$204))*$D33</f>
        <v>4358.855</v>
      </c>
      <c r="F33" s="24" t="n">
        <f aca="false">(SUMIF('UW Bordereaux'!$D$5:$D$204,"Bound*",'UW Bordereaux'!$AB$5:$AB$204))*$D33</f>
        <v>4358.855</v>
      </c>
      <c r="G33" s="24" t="n">
        <f aca="false">(SUMIF('UW Bordereaux'!$D$5:$D$204,"Bound*",'UW Bordereaux'!$AQ$5:$AQ$204))*$D33</f>
        <v>3269.141</v>
      </c>
    </row>
    <row r="34" customFormat="false" ht="15" hidden="false" customHeight="true" outlineLevel="0" collapsed="false">
      <c r="C34" s="25" t="s">
        <v>93</v>
      </c>
      <c r="D34" s="26" t="n">
        <f aca="false">SUM(D24:D33)</f>
        <v>1</v>
      </c>
      <c r="E34" s="27" t="n">
        <f aca="false">SUMIF('UW Bordereaux'!$D$5:$D$204,"Bound*",'UW Bordereaux'!$AD$5:$AD$204)</f>
        <v>43588.55</v>
      </c>
      <c r="F34" s="27" t="n">
        <f aca="false">SUMIF('UW Bordereaux'!$D$5:$D$204,"Bound*",'UW Bordereaux'!$AB$5:$AB$204)</f>
        <v>43588.55</v>
      </c>
      <c r="G34" s="27" t="n">
        <f aca="false">SUMIF('UW Bordereaux'!$D$5:$D$204,"Bound*",'UW Bordereaux'!$AQ$5:$AQ$204)</f>
        <v>32691.41</v>
      </c>
    </row>
    <row r="35" customFormat="false" ht="15" hidden="false" customHeight="true" outlineLevel="0" collapsed="false">
      <c r="D35" s="28" t="str">
        <f aca="false">IF(ROUND(D34,6)=1,"Panel signs 100% — OK","ERROR: panel signs "&amp;TEXT(D34,"0.00%"))</f>
        <v>Panel signs 100% — OK</v>
      </c>
      <c r="E35" s="28"/>
      <c r="F35" s="28"/>
      <c r="G35" s="28"/>
    </row>
    <row r="37" customFormat="false" ht="18" hidden="false" customHeight="true" outlineLevel="0" collapsed="false">
      <c r="B37" s="3" t="s">
        <v>94</v>
      </c>
      <c r="C37" s="3"/>
      <c r="D37" s="3"/>
      <c r="E37" s="3"/>
      <c r="F37" s="3"/>
      <c r="G37" s="3"/>
    </row>
    <row r="38" customFormat="false" ht="15" hidden="false" customHeight="true" outlineLevel="0" collapsed="false">
      <c r="B38" s="29" t="s">
        <v>95</v>
      </c>
      <c r="C38" s="30" t="n">
        <f aca="false">COUNTA('UW Bordereaux'!$A$5:$A$204)</f>
        <v>4</v>
      </c>
    </row>
    <row r="39" customFormat="false" ht="15" hidden="false" customHeight="true" outlineLevel="0" collapsed="false">
      <c r="B39" s="29" t="s">
        <v>96</v>
      </c>
      <c r="C39" s="30" t="n">
        <f aca="false">COUNTIF('UW Bordereaux'!$D$5:$D$204,"Bound*")</f>
        <v>4</v>
      </c>
    </row>
    <row r="40" customFormat="false" ht="15" hidden="false" customHeight="true" outlineLevel="0" collapsed="false">
      <c r="B40" s="29" t="s">
        <v>97</v>
      </c>
      <c r="C40" s="30" t="n">
        <f aca="false">COUNTIF('UW Bordereaux'!$D$5:$D$204,"Declined")+COUNTIF('UW Bordereaux'!$D$5:$D$204,"Cancelled")+COUNTIF('UW Bordereaux'!$D$5:$D$204,"Lapsed")</f>
        <v>0</v>
      </c>
    </row>
    <row r="41" customFormat="false" ht="15" hidden="false" customHeight="true" outlineLevel="0" collapsed="false">
      <c r="B41" s="31" t="s">
        <v>98</v>
      </c>
      <c r="C41" s="32" t="n">
        <f aca="false">SUMIF('UW Bordereaux'!$D$5:$D$204,"Bound*",'UW Bordereaux'!$AD$5:$AD$204)</f>
        <v>43588.55</v>
      </c>
    </row>
    <row r="42" customFormat="false" ht="15" hidden="false" customHeight="true" outlineLevel="0" collapsed="false">
      <c r="B42" s="31" t="s">
        <v>99</v>
      </c>
      <c r="C42" s="32" t="n">
        <f aca="false">SUMIF('UW Bordereaux'!$D$5:$D$204,"Bound*",'UW Bordereaux'!$AB$5:$AB$204)</f>
        <v>43588.55</v>
      </c>
    </row>
    <row r="43" customFormat="false" ht="15" hidden="false" customHeight="true" outlineLevel="0" collapsed="false">
      <c r="B43" s="31" t="s">
        <v>100</v>
      </c>
      <c r="C43" s="33" t="n">
        <f aca="false">IFERROR((SUMIF('UW Bordereaux'!$D$5:$D$204,"Bound*",'UW Bordereaux'!$AD$5:$AD$204))/(SUMIF('UW Bordereaux'!$D$5:$D$204,"Bound*",'UW Bordereaux'!$AB$5:$AB$204)),0)</f>
        <v>1</v>
      </c>
    </row>
    <row r="44" customFormat="false" ht="15" hidden="false" customHeight="true" outlineLevel="0" collapsed="false">
      <c r="B44" s="29" t="s">
        <v>101</v>
      </c>
      <c r="C44" s="34" t="n">
        <f aca="false">SUMIF('UW Bordereaux'!$D$5:$D$204,"Bound*",'UW Bordereaux'!$AQ$5:$AQ$204)</f>
        <v>32691.41</v>
      </c>
    </row>
    <row r="45" customFormat="false" ht="15" hidden="false" customHeight="true" outlineLevel="0" collapsed="false">
      <c r="B45" s="29" t="s">
        <v>102</v>
      </c>
      <c r="C45" s="34" t="n">
        <f aca="false">SUMIF('UW Bordereaux'!$D$5:$D$204,"Bound*",'UW Bordereaux'!$AE$5:$AE$204)</f>
        <v>1000</v>
      </c>
    </row>
    <row r="46" customFormat="false" ht="15" hidden="false" customHeight="true" outlineLevel="0" collapsed="false">
      <c r="B46" s="29" t="s">
        <v>103</v>
      </c>
      <c r="C46" s="34" t="n">
        <f aca="false">SUMIF('UW Bordereaux'!$D$5:$D$204,"Bound*",'UW Bordereaux'!$AH$5:$AH$204)</f>
        <v>1807.542</v>
      </c>
    </row>
    <row r="47" customFormat="false" ht="15" hidden="false" customHeight="true" outlineLevel="0" collapsed="false">
      <c r="B47" s="29" t="s">
        <v>104</v>
      </c>
      <c r="C47" s="30" t="n">
        <f aca="false">COUNTIFS('UW Bordereaux'!$AD$5:$AD$204,"&gt;="&amp;Header!$C$18,'UW Bordereaux'!$D$5:$D$204,"Bound*")</f>
        <v>0</v>
      </c>
    </row>
    <row r="48" customFormat="false" ht="15" hidden="false" customHeight="true" outlineLevel="0" collapsed="false">
      <c r="B48" s="29" t="s">
        <v>105</v>
      </c>
      <c r="C48" s="30" t="n">
        <f aca="false">COUNTIF('UW Bordereaux'!$AL$5:$AL$204,"BEYOND AUTHORITY")</f>
        <v>0</v>
      </c>
    </row>
    <row r="49" customFormat="false" ht="15" hidden="false" customHeight="true" outlineLevel="0" collapsed="false">
      <c r="B49" s="29" t="s">
        <v>106</v>
      </c>
      <c r="C49" s="30" t="n">
        <f aca="false">COUNTA('UW Bordereaux'!$A$5:$A$204)-COUNTIF('UW Bordereaux'!$D$5:$D$204,"Bound*")-COUNTIF('UW Bordereaux'!$D$5:$D$204,"Declined")-COUNTIF('UW Bordereaux'!$D$5:$D$204,"Cancelled")-COUNTIF('UW Bordereaux'!$D$5:$D$204,"Lapsed")-COUNTIF('UW Bordereaux'!$D$5:$D$204,"Quoted*")-COUNTIF('UW Bordereaux'!$D$5:$D$204,"Void")-COUNTIF('UW Bordereaux'!$D$5:$D$204,"Reinstatement")</f>
        <v>0</v>
      </c>
    </row>
    <row r="50" customFormat="false" ht="15" hidden="false" customHeight="true" outlineLevel="0" collapsed="false">
      <c r="B50" s="29" t="s">
        <v>107</v>
      </c>
      <c r="C50" s="30" t="n">
        <f aca="false">COUNTIF('UW Bordereaux'!$AX$5:$AX$204,"FAIL*")</f>
        <v>0</v>
      </c>
    </row>
  </sheetData>
  <mergeCells count="7">
    <mergeCell ref="A1:G1"/>
    <mergeCell ref="A2:G2"/>
    <mergeCell ref="B3:G3"/>
    <mergeCell ref="B4:G4"/>
    <mergeCell ref="B22:G22"/>
    <mergeCell ref="D35:G35"/>
    <mergeCell ref="B37:G3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F20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8" ySplit="4" topLeftCell="I5" activePane="bottomRight" state="frozen"/>
      <selection pane="topLeft" activeCell="A1" activeCellId="0" sqref="A1"/>
      <selection pane="topRight" activeCell="I1" activeCellId="0" sqref="I1"/>
      <selection pane="bottomLeft" activeCell="A5" activeCellId="0" sqref="A5"/>
      <selection pane="bottomRight" activeCell="A1" activeCellId="0" sqref="A1"/>
    </sheetView>
  </sheetViews>
  <sheetFormatPr defaultColWidth="8.5703125" defaultRowHeight="15" zeroHeight="false" outlineLevelRow="0" outlineLevelCol="0"/>
  <cols>
    <col collapsed="false" customWidth="true" hidden="false" outlineLevel="0" max="1" min="1" style="0" width="14"/>
    <col collapsed="false" customWidth="true" hidden="false" outlineLevel="0" max="2" min="2" style="0" width="22"/>
    <col collapsed="false" customWidth="true" hidden="false" outlineLevel="0" max="3" min="3" style="0" width="12"/>
    <col collapsed="false" customWidth="true" hidden="false" outlineLevel="0" max="5" min="4" style="0" width="20"/>
    <col collapsed="false" customWidth="true" hidden="false" outlineLevel="0" max="6" min="6" style="0" width="14"/>
    <col collapsed="false" customWidth="true" hidden="false" outlineLevel="0" max="7" min="7" style="0" width="10"/>
    <col collapsed="false" customWidth="true" hidden="false" outlineLevel="0" max="8" min="8" style="0" width="9"/>
    <col collapsed="false" customWidth="true" hidden="false" outlineLevel="0" max="9" min="9" style="0" width="16"/>
    <col collapsed="false" customWidth="true" hidden="false" outlineLevel="0" max="10" min="10" style="0" width="20"/>
    <col collapsed="false" customWidth="true" hidden="false" outlineLevel="0" max="11" min="11" style="0" width="18"/>
    <col collapsed="false" customWidth="true" hidden="false" outlineLevel="0" max="12" min="12" style="0" width="24"/>
    <col collapsed="false" customWidth="true" hidden="false" outlineLevel="0" max="13" min="13" style="0" width="13"/>
    <col collapsed="false" customWidth="true" hidden="false" outlineLevel="0" max="14" min="14" style="0" width="11"/>
    <col collapsed="false" customWidth="true" hidden="false" outlineLevel="0" max="15" min="15" style="0" width="22"/>
    <col collapsed="false" customWidth="true" hidden="false" outlineLevel="0" max="16" min="16" style="0" width="13"/>
    <col collapsed="false" customWidth="true" hidden="false" outlineLevel="0" max="17" min="17" style="0" width="11"/>
    <col collapsed="false" customWidth="true" hidden="false" outlineLevel="0" max="18" min="18" style="0" width="10"/>
    <col collapsed="false" customWidth="true" hidden="false" outlineLevel="0" max="19" min="19" style="0" width="26"/>
    <col collapsed="false" customWidth="true" hidden="false" outlineLevel="0" max="20" min="20" style="0" width="10"/>
    <col collapsed="false" customWidth="true" hidden="false" outlineLevel="0" max="21" min="21" style="0" width="22"/>
    <col collapsed="false" customWidth="true" hidden="false" outlineLevel="0" max="22" min="22" style="0" width="18"/>
    <col collapsed="false" customWidth="true" hidden="false" outlineLevel="0" max="23" min="23" style="0" width="13"/>
    <col collapsed="false" customWidth="true" hidden="false" outlineLevel="0" max="24" min="24" style="0" width="14"/>
    <col collapsed="false" customWidth="true" hidden="false" outlineLevel="0" max="25" min="25" style="0" width="26"/>
    <col collapsed="false" customWidth="true" hidden="false" outlineLevel="0" max="26" min="26" style="0" width="22"/>
    <col collapsed="false" customWidth="true" hidden="false" outlineLevel="0" max="27" min="27" style="0" width="18"/>
    <col collapsed="false" customWidth="true" hidden="false" outlineLevel="0" max="28" min="28" style="0" width="15"/>
    <col collapsed="false" customWidth="true" hidden="false" outlineLevel="0" max="29" min="29" style="0" width="10"/>
    <col collapsed="false" customWidth="true" hidden="false" outlineLevel="0" max="30" min="30" style="0" width="16"/>
    <col collapsed="false" customWidth="true" hidden="false" outlineLevel="0" max="32" min="31" style="0" width="12"/>
    <col collapsed="false" customWidth="true" hidden="false" outlineLevel="0" max="33" min="33" style="0" width="10"/>
    <col collapsed="false" customWidth="true" hidden="false" outlineLevel="0" max="34" min="34" style="0" width="12"/>
    <col collapsed="false" customWidth="true" hidden="false" outlineLevel="0" max="35" min="35" style="0" width="10"/>
    <col collapsed="false" customWidth="true" hidden="false" outlineLevel="0" max="36" min="36" style="0" width="16"/>
    <col collapsed="false" customWidth="true" hidden="false" outlineLevel="0" max="37" min="37" style="0" width="14"/>
    <col collapsed="false" customWidth="true" hidden="false" outlineLevel="0" max="38" min="38" style="0" width="16"/>
    <col collapsed="false" customWidth="true" hidden="false" outlineLevel="0" max="39" min="39" style="0" width="14"/>
    <col collapsed="false" customWidth="true" hidden="false" outlineLevel="0" max="42" min="40" style="0" width="13"/>
    <col collapsed="false" customWidth="true" hidden="false" outlineLevel="0" max="43" min="43" style="0" width="16"/>
    <col collapsed="false" customWidth="true" hidden="false" outlineLevel="0" max="45" min="44" style="0" width="13"/>
    <col collapsed="false" customWidth="true" hidden="false" outlineLevel="0" max="48" min="46" style="0" width="11"/>
    <col collapsed="false" customWidth="true" hidden="false" outlineLevel="0" max="49" min="49" style="0" width="12"/>
    <col collapsed="false" customWidth="true" hidden="false" outlineLevel="0" max="50" min="50" style="0" width="18"/>
    <col collapsed="false" customWidth="true" hidden="false" outlineLevel="0" max="52" min="51" style="0" width="12"/>
    <col collapsed="false" customWidth="true" hidden="false" outlineLevel="0" max="54" min="53" style="0" width="14"/>
    <col collapsed="false" customWidth="true" hidden="false" outlineLevel="0" max="55" min="55" style="0" width="36"/>
    <col collapsed="false" customWidth="true" hidden="false" outlineLevel="0" max="57" min="57" style="0" width="16"/>
    <col collapsed="false" customWidth="true" hidden="false" outlineLevel="0" max="58" min="58" style="0" width="14"/>
  </cols>
  <sheetData>
    <row r="1" customFormat="false" ht="25.5" hidden="false" customHeight="true" outlineLevel="0" collapsed="false">
      <c r="A1" s="1" t="s">
        <v>108</v>
      </c>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row>
    <row r="2" customFormat="false" ht="15" hidden="false" customHeight="true" outlineLevel="0" collapsed="false">
      <c r="A2" s="2" t="s">
        <v>109</v>
      </c>
      <c r="B2" s="2"/>
      <c r="C2" s="2"/>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row>
    <row r="3" customFormat="false" ht="19.5" hidden="false" customHeight="true" outlineLevel="0" collapsed="false">
      <c r="A3" s="35" t="s">
        <v>110</v>
      </c>
      <c r="B3" s="35"/>
      <c r="C3" s="35"/>
      <c r="D3" s="35"/>
      <c r="E3" s="35"/>
      <c r="F3" s="35"/>
      <c r="G3" s="35"/>
      <c r="H3" s="35" t="s">
        <v>111</v>
      </c>
      <c r="I3" s="35"/>
      <c r="J3" s="35"/>
      <c r="K3" s="35"/>
      <c r="L3" s="35"/>
      <c r="M3" s="35"/>
      <c r="N3" s="35"/>
      <c r="O3" s="35"/>
      <c r="P3" s="35"/>
      <c r="Q3" s="35"/>
      <c r="R3" s="35" t="s">
        <v>112</v>
      </c>
      <c r="S3" s="35"/>
      <c r="T3" s="35"/>
      <c r="U3" s="35"/>
      <c r="V3" s="35"/>
      <c r="W3" s="35" t="s">
        <v>113</v>
      </c>
      <c r="X3" s="35"/>
      <c r="Y3" s="35"/>
      <c r="Z3" s="35"/>
      <c r="AA3" s="35"/>
      <c r="AB3" s="35"/>
      <c r="AC3" s="35" t="s">
        <v>114</v>
      </c>
      <c r="AD3" s="35"/>
      <c r="AE3" s="35"/>
      <c r="AF3" s="35"/>
      <c r="AG3" s="35"/>
      <c r="AH3" s="35"/>
      <c r="AI3" s="35"/>
      <c r="AJ3" s="35"/>
      <c r="AK3" s="35"/>
      <c r="AL3" s="35"/>
      <c r="AM3" s="35"/>
      <c r="AN3" s="35"/>
      <c r="AO3" s="35" t="s">
        <v>115</v>
      </c>
      <c r="AP3" s="35"/>
      <c r="AQ3" s="35"/>
      <c r="AR3" s="35"/>
      <c r="AS3" s="35"/>
      <c r="AT3" s="35" t="s">
        <v>116</v>
      </c>
      <c r="AU3" s="35"/>
      <c r="AV3" s="35"/>
      <c r="AW3" s="35"/>
      <c r="AX3" s="35"/>
      <c r="AY3" s="35"/>
      <c r="AZ3" s="35" t="s">
        <v>117</v>
      </c>
      <c r="BA3" s="35"/>
      <c r="BB3" s="35"/>
      <c r="BC3" s="35"/>
      <c r="BD3" s="35"/>
      <c r="BE3" s="36" t="s">
        <v>118</v>
      </c>
      <c r="BF3" s="37"/>
    </row>
    <row r="4" customFormat="false" ht="43.5" hidden="false" customHeight="true" outlineLevel="0" collapsed="false">
      <c r="A4" s="17" t="s">
        <v>119</v>
      </c>
      <c r="B4" s="17" t="s">
        <v>120</v>
      </c>
      <c r="C4" s="17" t="s">
        <v>121</v>
      </c>
      <c r="D4" s="17" t="s">
        <v>122</v>
      </c>
      <c r="E4" s="17" t="s">
        <v>123</v>
      </c>
      <c r="F4" s="17" t="s">
        <v>124</v>
      </c>
      <c r="G4" s="17" t="s">
        <v>48</v>
      </c>
      <c r="H4" s="17" t="s">
        <v>125</v>
      </c>
      <c r="I4" s="17" t="s">
        <v>126</v>
      </c>
      <c r="J4" s="17" t="s">
        <v>127</v>
      </c>
      <c r="K4" s="17" t="s">
        <v>128</v>
      </c>
      <c r="L4" s="17" t="s">
        <v>129</v>
      </c>
      <c r="M4" s="17" t="s">
        <v>130</v>
      </c>
      <c r="N4" s="17" t="s">
        <v>131</v>
      </c>
      <c r="O4" s="17" t="s">
        <v>132</v>
      </c>
      <c r="P4" s="17" t="s">
        <v>133</v>
      </c>
      <c r="Q4" s="17" t="s">
        <v>134</v>
      </c>
      <c r="R4" s="17" t="s">
        <v>135</v>
      </c>
      <c r="S4" s="17" t="s">
        <v>136</v>
      </c>
      <c r="T4" s="17" t="s">
        <v>137</v>
      </c>
      <c r="U4" s="17" t="s">
        <v>138</v>
      </c>
      <c r="V4" s="17" t="s">
        <v>139</v>
      </c>
      <c r="W4" s="17" t="s">
        <v>140</v>
      </c>
      <c r="X4" s="17" t="s">
        <v>141</v>
      </c>
      <c r="Y4" s="17" t="s">
        <v>142</v>
      </c>
      <c r="Z4" s="17" t="s">
        <v>143</v>
      </c>
      <c r="AA4" s="17" t="s">
        <v>144</v>
      </c>
      <c r="AB4" s="17" t="s">
        <v>145</v>
      </c>
      <c r="AC4" s="17" t="s">
        <v>146</v>
      </c>
      <c r="AD4" s="17" t="s">
        <v>147</v>
      </c>
      <c r="AE4" s="17" t="s">
        <v>148</v>
      </c>
      <c r="AF4" s="17" t="s">
        <v>149</v>
      </c>
      <c r="AG4" s="17" t="s">
        <v>150</v>
      </c>
      <c r="AH4" s="17" t="s">
        <v>151</v>
      </c>
      <c r="AI4" s="17" t="s">
        <v>152</v>
      </c>
      <c r="AJ4" s="17" t="s">
        <v>153</v>
      </c>
      <c r="AK4" s="17" t="s">
        <v>154</v>
      </c>
      <c r="AL4" s="17" t="s">
        <v>155</v>
      </c>
      <c r="AM4" s="17" t="s">
        <v>156</v>
      </c>
      <c r="AN4" s="17" t="s">
        <v>157</v>
      </c>
      <c r="AO4" s="17" t="s">
        <v>158</v>
      </c>
      <c r="AP4" s="17" t="s">
        <v>159</v>
      </c>
      <c r="AQ4" s="17" t="s">
        <v>160</v>
      </c>
      <c r="AR4" s="17" t="s">
        <v>161</v>
      </c>
      <c r="AS4" s="17" t="s">
        <v>162</v>
      </c>
      <c r="AT4" s="17" t="s">
        <v>163</v>
      </c>
      <c r="AU4" s="17" t="s">
        <v>164</v>
      </c>
      <c r="AV4" s="17" t="s">
        <v>165</v>
      </c>
      <c r="AW4" s="17" t="s">
        <v>166</v>
      </c>
      <c r="AX4" s="17" t="s">
        <v>167</v>
      </c>
      <c r="AY4" s="17" t="s">
        <v>168</v>
      </c>
      <c r="AZ4" s="17" t="s">
        <v>169</v>
      </c>
      <c r="BA4" s="17" t="s">
        <v>170</v>
      </c>
      <c r="BB4" s="17" t="s">
        <v>171</v>
      </c>
      <c r="BC4" s="17" t="s">
        <v>172</v>
      </c>
      <c r="BE4" s="17" t="s">
        <v>173</v>
      </c>
      <c r="BF4" s="17" t="s">
        <v>174</v>
      </c>
    </row>
    <row r="5" customFormat="false" ht="18.75" hidden="false" customHeight="true" outlineLevel="0" collapsed="false">
      <c r="A5" s="38" t="s">
        <v>175</v>
      </c>
      <c r="B5" s="38" t="s">
        <v>176</v>
      </c>
      <c r="C5" s="39" t="n">
        <v>45956</v>
      </c>
      <c r="D5" s="40" t="s">
        <v>177</v>
      </c>
      <c r="E5" s="40" t="s">
        <v>178</v>
      </c>
      <c r="F5" s="38" t="s">
        <v>36</v>
      </c>
      <c r="G5" s="41" t="n">
        <f aca="false">IF($A5="","",IF($C5="","",YEAR($C5)))</f>
        <v>2025</v>
      </c>
      <c r="H5" s="42" t="n">
        <v>2024</v>
      </c>
      <c r="I5" s="38" t="s">
        <v>179</v>
      </c>
      <c r="J5" s="38" t="s">
        <v>180</v>
      </c>
      <c r="K5" s="38" t="s">
        <v>181</v>
      </c>
      <c r="L5" s="40" t="s">
        <v>182</v>
      </c>
      <c r="M5" s="43" t="n">
        <v>665000</v>
      </c>
      <c r="N5" s="40" t="s">
        <v>183</v>
      </c>
      <c r="O5" s="38" t="s">
        <v>184</v>
      </c>
      <c r="P5" s="38" t="s">
        <v>185</v>
      </c>
      <c r="Q5" s="38" t="s">
        <v>186</v>
      </c>
      <c r="R5" s="38" t="s">
        <v>187</v>
      </c>
      <c r="S5" s="40" t="s">
        <v>188</v>
      </c>
      <c r="T5" s="44" t="str">
        <f aca="false">IF($A5="","",IF($S5="","",IFERROR(INDEX(Lists!$N$5:$N$16,MATCH($S5,Lists!$M$5:$M$16,0)),"?")))</f>
        <v>?</v>
      </c>
      <c r="U5" s="38" t="s">
        <v>189</v>
      </c>
      <c r="V5" s="40" t="s">
        <v>190</v>
      </c>
      <c r="W5" s="38" t="s">
        <v>191</v>
      </c>
      <c r="X5" s="40" t="s">
        <v>192</v>
      </c>
      <c r="Y5" s="38" t="s">
        <v>193</v>
      </c>
      <c r="Z5" s="38"/>
      <c r="AA5" s="40" t="s">
        <v>194</v>
      </c>
      <c r="AB5" s="43" t="n">
        <v>14412.62</v>
      </c>
      <c r="AC5" s="45" t="n">
        <v>0</v>
      </c>
      <c r="AD5" s="46" t="n">
        <f aca="false">IF(ISNUMBER($AB5),$AB5*(1+N($AC5)),"")</f>
        <v>14412.62</v>
      </c>
      <c r="AE5" s="43" t="n">
        <v>250</v>
      </c>
      <c r="AF5" s="43" t="n">
        <v>150</v>
      </c>
      <c r="AG5" s="45" t="n">
        <v>0.04</v>
      </c>
      <c r="AH5" s="47" t="n">
        <f aca="false">IF(ISNUMBER($AD5),($AD5+$AE5+$AF5)*$AG5,"")</f>
        <v>592.5048</v>
      </c>
      <c r="AI5" s="43"/>
      <c r="AJ5" s="46" t="n">
        <f aca="false">IF(ISNUMBER($AD5),SUM($AD5:$AH5),"")</f>
        <v>15405.1648</v>
      </c>
      <c r="AK5" s="48" t="n">
        <f aca="false">IF(AND(ISNUMBER($AB5),ISNUMBER($AD5)),IF($AB5&gt;0,$AD5/$AB5,""),"")</f>
        <v>1</v>
      </c>
      <c r="AL5" s="40" t="s">
        <v>195</v>
      </c>
      <c r="AM5" s="49" t="n">
        <f aca="false">IF(ISNUMBER($AD5),Header!$I$3,"")</f>
        <v>0.25</v>
      </c>
      <c r="AN5" s="47" t="n">
        <f aca="false">IF(ISNUMBER($AD5),$AO5+$AP5,"")</f>
        <v>3603.16</v>
      </c>
      <c r="AO5" s="47" t="n">
        <f aca="false">IF(ISNUMBER($AD5),ROUND($AD5*Header!$K$3,2),"")</f>
        <v>1801.58</v>
      </c>
      <c r="AP5" s="47" t="n">
        <f aca="false">IF(ISNUMBER($AD5),ROUND($AD5*Header!$M$3,2),"")</f>
        <v>1801.58</v>
      </c>
      <c r="AQ5" s="46" t="n">
        <f aca="false">IF(ISNUMBER($AD5),ROUND($AD5,2)-$AO5-$AP5,"")</f>
        <v>10809.46</v>
      </c>
      <c r="AR5" s="47" t="n">
        <f aca="false">IF(ISNUMBER($AD5),IF(Header!$D$34="","?",$AD5*Header!$D$34),"")</f>
        <v>14412.62</v>
      </c>
      <c r="AS5" s="47" t="n">
        <f aca="false">IF(ISNUMBER($AB5),IF(Header!$D$34="","?",$AB5*Header!$D$34),"")</f>
        <v>14412.62</v>
      </c>
      <c r="AT5" s="50" t="n">
        <f aca="false">IF(AND(ISNUMBER($AB5),$M5&gt;0),$AB5/$M5*100,"")</f>
        <v>2.16731127819549</v>
      </c>
      <c r="AU5" s="50" t="n">
        <f aca="false">IF(AND(ISNUMBER($AD5),$M5&gt;0),$AD5/$M5*100,"")</f>
        <v>2.16731127819549</v>
      </c>
      <c r="AV5" s="48" t="n">
        <f aca="false">IF(AND(ISNUMBER($AB5),ISNUMBER($AD5),ABS($AB5)&gt;0),$AD5/$AB5,"")</f>
        <v>1</v>
      </c>
      <c r="AW5" s="47" t="n">
        <f aca="false">IF(ISNUMBER($AD5),MAX(0,(1-0.55-Header!$O$3)*Header!$Q$3*$AQ5),"")</f>
        <v>0</v>
      </c>
      <c r="AX5" s="51" t="str">
        <f aca="false">IF($A5="","",IF(TRIM(IF($A5="","Missing certificate ref. ","") &amp; IF($C5="","Missing effective date. ","") &amp; IF($D5="","Missing binding status. ","") &amp; IF($E5="","Missing movement type. ","") &amp; IF($I5="","Missing make. ","") &amp; IF($L5="","Missing vehicle class. ","") &amp; IF($M5="","Missing agreed value. ","") &amp; IF($N5="","Missing policy type. ","") &amp; IF($Q5="","Missing garaging state. ","") &amp; IF($R5="","Missing garaging ZIP. ","") &amp; IF($S5="","Missing cat zone. ","") &amp; IF($V5="","Missing valuation basis. ","") &amp; IF($W5="","Missing PD deductible. ","") &amp; IF($X5="","Missing liability limit. ","") &amp; IF($AB5="","Missing technical premium. ","") &amp; IF($AF5="","Missing surplus lines tax %. ",""))="","PASS","FAIL: "&amp;TRIM(IF($A5="","Missing certificate ref. ","") &amp; IF($C5="","Missing effective date. ","") &amp; IF($D5="","Missing binding status. ","") &amp; IF($E5="","Missing movement type. ","") &amp; IF($I5="","Missing make. ","") &amp; IF($L5="","Missing vehicle class. ","") &amp; IF($M5="","Missing agreed value. ","") &amp; IF($N5="","Missing policy type. ","") &amp; IF($Q5="","Missing garaging state. ","") &amp; IF($R5="","Missing garaging ZIP. ","") &amp; IF($S5="","Missing cat zone. ","") &amp; IF($V5="","Missing valuation basis. ","") &amp; IF($W5="","Missing PD deductible. ","") &amp; IF($X5="","Missing liability limit. ","") &amp; IF($AB5="","Missing technical premium. ","") &amp; IF($AF5="","Missing surplus lines tax %. ",""))))</f>
        <v>PASS</v>
      </c>
      <c r="AY5" s="52" t="str">
        <f aca="false">IF($M5="","",IF(ISNUMBER($M5),IF($M5&gt;=Header!$C$18,"YES — refer","No"),""))</f>
        <v>No</v>
      </c>
      <c r="AZ5" s="52" t="str">
        <f aca="false">IF($AD5="","",IF(ISNUMBER($AD5),IF($AD5&lt;Header!$C$20,"BELOW MIN PREMIUM","OK"),""))</f>
        <v>OK</v>
      </c>
      <c r="BA5" s="40" t="s">
        <v>196</v>
      </c>
      <c r="BB5" s="40"/>
      <c r="BC5" s="38" t="s">
        <v>197</v>
      </c>
      <c r="BE5" s="53" t="str">
        <f aca="false">IF(OR($A5="",$L5="",$H5=""),"",IF(AND(LEFT($L5,2)="06",$H5&gt;1945),"FAIL - pre-war class, year "&amp;$H5,IF(AND(LEFT($L5,2)="07",OR($H5&lt;1946,$H5&gt;1972)),"FAIL - 1946-72 class, year "&amp;$H5,IF(AND(LEFT($L5,2)="08",OR($H5&lt;1973,$H5&gt;1999)),"FAIL - 1973-99 class, year "&amp;$H5,IF(AND(LEFT($L5,2)="09",OR($H5&lt;2000,$H5&gt;2010)),"FAIL - 2000-10 class, year "&amp;$H5,"OK")))))</f>
        <v>OK</v>
      </c>
      <c r="BF5" s="53" t="str">
        <f aca="false">IF($AD5="","",IF(ROUND($AO5+$AP5+$AQ5-$AD5,2)=0,"OK","FAIL - out by "&amp;TEXT($AO5+$AP5+$AQ5-$AD5,"$0.00")))</f>
        <v>OK</v>
      </c>
    </row>
    <row r="6" customFormat="false" ht="18.75" hidden="false" customHeight="true" outlineLevel="0" collapsed="false">
      <c r="A6" s="54" t="s">
        <v>198</v>
      </c>
      <c r="B6" s="54" t="s">
        <v>176</v>
      </c>
      <c r="C6" s="55" t="n">
        <v>45956</v>
      </c>
      <c r="D6" s="56" t="s">
        <v>177</v>
      </c>
      <c r="E6" s="56" t="s">
        <v>178</v>
      </c>
      <c r="F6" s="54" t="s">
        <v>199</v>
      </c>
      <c r="G6" s="41" t="n">
        <f aca="false">IF($A6="","",IF($C6="","",YEAR($C6)))</f>
        <v>2025</v>
      </c>
      <c r="H6" s="57" t="n">
        <v>1967</v>
      </c>
      <c r="I6" s="54" t="s">
        <v>200</v>
      </c>
      <c r="J6" s="54" t="s">
        <v>201</v>
      </c>
      <c r="K6" s="54" t="s">
        <v>202</v>
      </c>
      <c r="L6" s="56" t="s">
        <v>203</v>
      </c>
      <c r="M6" s="58" t="n">
        <v>445000</v>
      </c>
      <c r="N6" s="56" t="s">
        <v>183</v>
      </c>
      <c r="O6" s="54" t="s">
        <v>184</v>
      </c>
      <c r="P6" s="54" t="s">
        <v>185</v>
      </c>
      <c r="Q6" s="54" t="s">
        <v>186</v>
      </c>
      <c r="R6" s="54" t="s">
        <v>187</v>
      </c>
      <c r="S6" s="56" t="s">
        <v>188</v>
      </c>
      <c r="T6" s="44" t="str">
        <f aca="false">IF($A6="","",IF($S6="","",IFERROR(INDEX(Lists!$N$5:$N$16,MATCH($S6,Lists!$M$5:$M$16,0)),"?")))</f>
        <v>?</v>
      </c>
      <c r="U6" s="54" t="s">
        <v>189</v>
      </c>
      <c r="V6" s="56" t="s">
        <v>190</v>
      </c>
      <c r="W6" s="54" t="s">
        <v>204</v>
      </c>
      <c r="X6" s="56" t="s">
        <v>192</v>
      </c>
      <c r="Y6" s="54" t="s">
        <v>205</v>
      </c>
      <c r="Z6" s="54"/>
      <c r="AA6" s="56" t="s">
        <v>194</v>
      </c>
      <c r="AB6" s="58" t="n">
        <v>6932.58</v>
      </c>
      <c r="AC6" s="59" t="n">
        <v>0</v>
      </c>
      <c r="AD6" s="46" t="n">
        <f aca="false">IF(ISNUMBER($AB6),$AB6*(1+N($AC6)),"")</f>
        <v>6932.58</v>
      </c>
      <c r="AE6" s="58" t="n">
        <v>250</v>
      </c>
      <c r="AF6" s="58" t="n">
        <v>150</v>
      </c>
      <c r="AG6" s="59" t="n">
        <v>0.04</v>
      </c>
      <c r="AH6" s="47" t="n">
        <f aca="false">IF(ISNUMBER($AD6),($AD6+$AE6+$AF6)*$AG6,"")</f>
        <v>293.3032</v>
      </c>
      <c r="AI6" s="58"/>
      <c r="AJ6" s="46" t="n">
        <f aca="false">IF(ISNUMBER($AD6),SUM($AD6:$AH6),"")</f>
        <v>7625.9232</v>
      </c>
      <c r="AK6" s="48" t="n">
        <f aca="false">IF(AND(ISNUMBER($AB6),ISNUMBER($AD6)),IF($AB6&gt;0,$AD6/$AB6,""),"")</f>
        <v>1</v>
      </c>
      <c r="AL6" s="56" t="s">
        <v>195</v>
      </c>
      <c r="AM6" s="49" t="n">
        <f aca="false">IF(ISNUMBER($AD6),Header!$I$3,"")</f>
        <v>0.25</v>
      </c>
      <c r="AN6" s="47" t="n">
        <f aca="false">IF(ISNUMBER($AD6),$AO6+$AP6,"")</f>
        <v>1733.14</v>
      </c>
      <c r="AO6" s="47" t="n">
        <f aca="false">IF(ISNUMBER($AD6),ROUND($AD6*Header!$K$3,2),"")</f>
        <v>866.57</v>
      </c>
      <c r="AP6" s="47" t="n">
        <f aca="false">IF(ISNUMBER($AD6),ROUND($AD6*Header!$M$3,2),"")</f>
        <v>866.57</v>
      </c>
      <c r="AQ6" s="46" t="n">
        <f aca="false">IF(ISNUMBER($AD6),ROUND($AD6,2)-$AO6-$AP6,"")</f>
        <v>5199.44</v>
      </c>
      <c r="AR6" s="47" t="n">
        <f aca="false">IF(ISNUMBER($AD6),IF(Header!$D$34="","?",$AD6*Header!$D$34),"")</f>
        <v>6932.58</v>
      </c>
      <c r="AS6" s="47" t="n">
        <f aca="false">IF(ISNUMBER($AB6),IF(Header!$D$34="","?",$AB6*Header!$D$34),"")</f>
        <v>6932.58</v>
      </c>
      <c r="AT6" s="50" t="n">
        <f aca="false">IF(AND(ISNUMBER($AB6),$M6&gt;0),$AB6/$M6*100,"")</f>
        <v>1.55788314606742</v>
      </c>
      <c r="AU6" s="50" t="n">
        <f aca="false">IF(AND(ISNUMBER($AD6),$M6&gt;0),$AD6/$M6*100,"")</f>
        <v>1.55788314606742</v>
      </c>
      <c r="AV6" s="48" t="n">
        <f aca="false">IF(AND(ISNUMBER($AB6),ISNUMBER($AD6),ABS($AB6)&gt;0),$AD6/$AB6,"")</f>
        <v>1</v>
      </c>
      <c r="AW6" s="47" t="n">
        <f aca="false">IF(ISNUMBER($AD6),MAX(0,(1-0.55-Header!$O$3)*Header!$Q$3*$AQ6),"")</f>
        <v>0</v>
      </c>
      <c r="AX6" s="51" t="str">
        <f aca="false">IF($A6="","",IF(TRIM(IF($A6="","Missing certificate ref. ","") &amp; IF($C6="","Missing effective date. ","") &amp; IF($D6="","Missing binding status. ","") &amp; IF($E6="","Missing movement type. ","") &amp; IF($I6="","Missing make. ","") &amp; IF($L6="","Missing vehicle class. ","") &amp; IF($M6="","Missing agreed value. ","") &amp; IF($N6="","Missing policy type. ","") &amp; IF($Q6="","Missing garaging state. ","") &amp; IF($R6="","Missing garaging ZIP. ","") &amp; IF($S6="","Missing cat zone. ","") &amp; IF($V6="","Missing valuation basis. ","") &amp; IF($W6="","Missing PD deductible. ","") &amp; IF($X6="","Missing liability limit. ","") &amp; IF($AB6="","Missing technical premium. ","") &amp; IF($AF6="","Missing surplus lines tax %. ",""))="","PASS","FAIL: "&amp;TRIM(IF($A6="","Missing certificate ref. ","") &amp; IF($C6="","Missing effective date. ","") &amp; IF($D6="","Missing binding status. ","") &amp; IF($E6="","Missing movement type. ","") &amp; IF($I6="","Missing make. ","") &amp; IF($L6="","Missing vehicle class. ","") &amp; IF($M6="","Missing agreed value. ","") &amp; IF($N6="","Missing policy type. ","") &amp; IF($Q6="","Missing garaging state. ","") &amp; IF($R6="","Missing garaging ZIP. ","") &amp; IF($S6="","Missing cat zone. ","") &amp; IF($V6="","Missing valuation basis. ","") &amp; IF($W6="","Missing PD deductible. ","") &amp; IF($X6="","Missing liability limit. ","") &amp; IF($AB6="","Missing technical premium. ","") &amp; IF($AF6="","Missing surplus lines tax %. ",""))))</f>
        <v>PASS</v>
      </c>
      <c r="AY6" s="52" t="str">
        <f aca="false">IF($M6="","",IF(ISNUMBER($M6),IF($M6&gt;=Header!$C$18,"YES — refer","No"),""))</f>
        <v>No</v>
      </c>
      <c r="AZ6" s="52" t="str">
        <f aca="false">IF($AD6="","",IF(ISNUMBER($AD6),IF($AD6&lt;Header!$C$20,"BELOW MIN PREMIUM","OK"),""))</f>
        <v>OK</v>
      </c>
      <c r="BA6" s="56" t="s">
        <v>196</v>
      </c>
      <c r="BB6" s="56"/>
      <c r="BC6" s="54" t="s">
        <v>206</v>
      </c>
      <c r="BE6" s="53" t="str">
        <f aca="false">IF(OR($A6="",$L6="",$H6=""),"",IF(AND(LEFT($L6,2)="06",$H6&gt;1945),"FAIL - pre-war class, year "&amp;$H6,IF(AND(LEFT($L6,2)="07",OR($H6&lt;1946,$H6&gt;1972)),"FAIL - 1946-72 class, year "&amp;$H6,IF(AND(LEFT($L6,2)="08",OR($H6&lt;1973,$H6&gt;1999)),"FAIL - 1973-99 class, year "&amp;$H6,IF(AND(LEFT($L6,2)="09",OR($H6&lt;2000,$H6&gt;2010)),"FAIL - 2000-10 class, year "&amp;$H6,"OK")))))</f>
        <v>OK</v>
      </c>
      <c r="BF6" s="53" t="str">
        <f aca="false">IF($AD6="","",IF(ROUND($AO6+$AP6+$AQ6-$AD6,2)=0,"OK","FAIL - out by "&amp;TEXT($AO6+$AP6+$AQ6-$AD6,"$0.00")))</f>
        <v>OK</v>
      </c>
    </row>
    <row r="7" customFormat="false" ht="18.75" hidden="false" customHeight="true" outlineLevel="0" collapsed="false">
      <c r="A7" s="38" t="s">
        <v>207</v>
      </c>
      <c r="B7" s="38" t="s">
        <v>176</v>
      </c>
      <c r="C7" s="39" t="n">
        <v>45956</v>
      </c>
      <c r="D7" s="40" t="s">
        <v>177</v>
      </c>
      <c r="E7" s="40" t="s">
        <v>178</v>
      </c>
      <c r="F7" s="38" t="s">
        <v>208</v>
      </c>
      <c r="G7" s="41" t="n">
        <f aca="false">IF($A7="","",IF($C7="","",YEAR($C7)))</f>
        <v>2025</v>
      </c>
      <c r="H7" s="42" t="n">
        <v>1967</v>
      </c>
      <c r="I7" s="38" t="s">
        <v>209</v>
      </c>
      <c r="J7" s="38" t="s">
        <v>210</v>
      </c>
      <c r="K7" s="38" t="s">
        <v>211</v>
      </c>
      <c r="L7" s="40" t="s">
        <v>203</v>
      </c>
      <c r="M7" s="43" t="n">
        <v>1090000</v>
      </c>
      <c r="N7" s="40" t="s">
        <v>183</v>
      </c>
      <c r="O7" s="38" t="s">
        <v>184</v>
      </c>
      <c r="P7" s="38" t="s">
        <v>185</v>
      </c>
      <c r="Q7" s="38" t="s">
        <v>186</v>
      </c>
      <c r="R7" s="38" t="s">
        <v>187</v>
      </c>
      <c r="S7" s="40" t="s">
        <v>188</v>
      </c>
      <c r="T7" s="44" t="str">
        <f aca="false">IF($A7="","",IF($S7="","",IFERROR(INDEX(Lists!$N$5:$N$16,MATCH($S7,Lists!$M$5:$M$16,0)),"?")))</f>
        <v>?</v>
      </c>
      <c r="U7" s="38" t="s">
        <v>189</v>
      </c>
      <c r="V7" s="40" t="s">
        <v>190</v>
      </c>
      <c r="W7" s="38" t="s">
        <v>204</v>
      </c>
      <c r="X7" s="40" t="s">
        <v>192</v>
      </c>
      <c r="Y7" s="38" t="s">
        <v>212</v>
      </c>
      <c r="Z7" s="38"/>
      <c r="AA7" s="40" t="s">
        <v>194</v>
      </c>
      <c r="AB7" s="43" t="n">
        <v>11138.86</v>
      </c>
      <c r="AC7" s="45" t="n">
        <v>0</v>
      </c>
      <c r="AD7" s="46" t="n">
        <f aca="false">IF(ISNUMBER($AB7),$AB7*(1+N($AC7)),"")</f>
        <v>11138.86</v>
      </c>
      <c r="AE7" s="43" t="n">
        <v>250</v>
      </c>
      <c r="AF7" s="43" t="n">
        <v>150</v>
      </c>
      <c r="AG7" s="45" t="n">
        <v>0.04</v>
      </c>
      <c r="AH7" s="47" t="n">
        <f aca="false">IF(ISNUMBER($AD7),($AD7+$AE7+$AF7)*$AG7,"")</f>
        <v>461.5544</v>
      </c>
      <c r="AI7" s="43"/>
      <c r="AJ7" s="46" t="n">
        <f aca="false">IF(ISNUMBER($AD7),SUM($AD7:$AH7),"")</f>
        <v>12000.4544</v>
      </c>
      <c r="AK7" s="48" t="n">
        <f aca="false">IF(AND(ISNUMBER($AB7),ISNUMBER($AD7)),IF($AB7&gt;0,$AD7/$AB7,""),"")</f>
        <v>1</v>
      </c>
      <c r="AL7" s="40" t="s">
        <v>195</v>
      </c>
      <c r="AM7" s="49" t="n">
        <f aca="false">IF(ISNUMBER($AD7),Header!$I$3,"")</f>
        <v>0.25</v>
      </c>
      <c r="AN7" s="47" t="n">
        <f aca="false">IF(ISNUMBER($AD7),$AO7+$AP7,"")</f>
        <v>2784.72</v>
      </c>
      <c r="AO7" s="47" t="n">
        <f aca="false">IF(ISNUMBER($AD7),ROUND($AD7*Header!$K$3,2),"")</f>
        <v>1392.36</v>
      </c>
      <c r="AP7" s="47" t="n">
        <f aca="false">IF(ISNUMBER($AD7),ROUND($AD7*Header!$M$3,2),"")</f>
        <v>1392.36</v>
      </c>
      <c r="AQ7" s="46" t="n">
        <f aca="false">IF(ISNUMBER($AD7),ROUND($AD7,2)-$AO7-$AP7,"")</f>
        <v>8354.14</v>
      </c>
      <c r="AR7" s="47" t="n">
        <f aca="false">IF(ISNUMBER($AD7),IF(Header!$D$34="","?",$AD7*Header!$D$34),"")</f>
        <v>11138.86</v>
      </c>
      <c r="AS7" s="47" t="n">
        <f aca="false">IF(ISNUMBER($AB7),IF(Header!$D$34="","?",$AB7*Header!$D$34),"")</f>
        <v>11138.86</v>
      </c>
      <c r="AT7" s="50" t="n">
        <f aca="false">IF(AND(ISNUMBER($AB7),$M7&gt;0),$AB7/$M7*100,"")</f>
        <v>1.02191376146789</v>
      </c>
      <c r="AU7" s="50" t="n">
        <f aca="false">IF(AND(ISNUMBER($AD7),$M7&gt;0),$AD7/$M7*100,"")</f>
        <v>1.02191376146789</v>
      </c>
      <c r="AV7" s="48" t="n">
        <f aca="false">IF(AND(ISNUMBER($AB7),ISNUMBER($AD7),ABS($AB7)&gt;0),$AD7/$AB7,"")</f>
        <v>1</v>
      </c>
      <c r="AW7" s="47" t="n">
        <f aca="false">IF(ISNUMBER($AD7),MAX(0,(1-0.55-Header!$O$3)*Header!$Q$3*$AQ7),"")</f>
        <v>0</v>
      </c>
      <c r="AX7" s="51" t="str">
        <f aca="false">IF($A7="","",IF(TRIM(IF($A7="","Missing certificate ref. ","") &amp; IF($C7="","Missing effective date. ","") &amp; IF($D7="","Missing binding status. ","") &amp; IF($E7="","Missing movement type. ","") &amp; IF($I7="","Missing make. ","") &amp; IF($L7="","Missing vehicle class. ","") &amp; IF($M7="","Missing agreed value. ","") &amp; IF($N7="","Missing policy type. ","") &amp; IF($Q7="","Missing garaging state. ","") &amp; IF($R7="","Missing garaging ZIP. ","") &amp; IF($S7="","Missing cat zone. ","") &amp; IF($V7="","Missing valuation basis. ","") &amp; IF($W7="","Missing PD deductible. ","") &amp; IF($X7="","Missing liability limit. ","") &amp; IF($AB7="","Missing technical premium. ","") &amp; IF($AF7="","Missing surplus lines tax %. ",""))="","PASS","FAIL: "&amp;TRIM(IF($A7="","Missing certificate ref. ","") &amp; IF($C7="","Missing effective date. ","") &amp; IF($D7="","Missing binding status. ","") &amp; IF($E7="","Missing movement type. ","") &amp; IF($I7="","Missing make. ","") &amp; IF($L7="","Missing vehicle class. ","") &amp; IF($M7="","Missing agreed value. ","") &amp; IF($N7="","Missing policy type. ","") &amp; IF($Q7="","Missing garaging state. ","") &amp; IF($R7="","Missing garaging ZIP. ","") &amp; IF($S7="","Missing cat zone. ","") &amp; IF($V7="","Missing valuation basis. ","") &amp; IF($W7="","Missing PD deductible. ","") &amp; IF($X7="","Missing liability limit. ","") &amp; IF($AB7="","Missing technical premium. ","") &amp; IF($AF7="","Missing surplus lines tax %. ",""))))</f>
        <v>PASS</v>
      </c>
      <c r="AY7" s="52" t="str">
        <f aca="false">IF($M7="","",IF(ISNUMBER($M7),IF($M7&gt;=Header!$C$18,"YES — refer","No"),""))</f>
        <v>No</v>
      </c>
      <c r="AZ7" s="52" t="str">
        <f aca="false">IF($AD7="","",IF(ISNUMBER($AD7),IF($AD7&lt;Header!$C$20,"BELOW MIN PREMIUM","OK"),""))</f>
        <v>OK</v>
      </c>
      <c r="BA7" s="40" t="s">
        <v>196</v>
      </c>
      <c r="BB7" s="40"/>
      <c r="BC7" s="38" t="s">
        <v>213</v>
      </c>
      <c r="BE7" s="53" t="str">
        <f aca="false">IF(OR($A7="",$L7="",$H7=""),"",IF(AND(LEFT($L7,2)="06",$H7&gt;1945),"FAIL - pre-war class, year "&amp;$H7,IF(AND(LEFT($L7,2)="07",OR($H7&lt;1946,$H7&gt;1972)),"FAIL - 1946-72 class, year "&amp;$H7,IF(AND(LEFT($L7,2)="08",OR($H7&lt;1973,$H7&gt;1999)),"FAIL - 1973-99 class, year "&amp;$H7,IF(AND(LEFT($L7,2)="09",OR($H7&lt;2000,$H7&gt;2010)),"FAIL - 2000-10 class, year "&amp;$H7,"OK")))))</f>
        <v>OK</v>
      </c>
      <c r="BF7" s="53" t="str">
        <f aca="false">IF($AD7="","",IF(ROUND($AO7+$AP7+$AQ7-$AD7,2)=0,"OK","FAIL - out by "&amp;TEXT($AO7+$AP7+$AQ7-$AD7,"$0.00")))</f>
        <v>OK</v>
      </c>
    </row>
    <row r="8" customFormat="false" ht="18.75" hidden="false" customHeight="true" outlineLevel="0" collapsed="false">
      <c r="A8" s="54" t="s">
        <v>214</v>
      </c>
      <c r="B8" s="54" t="s">
        <v>176</v>
      </c>
      <c r="C8" s="55" t="n">
        <v>45956</v>
      </c>
      <c r="D8" s="56" t="s">
        <v>177</v>
      </c>
      <c r="E8" s="56" t="s">
        <v>178</v>
      </c>
      <c r="F8" s="54" t="s">
        <v>215</v>
      </c>
      <c r="G8" s="41" t="n">
        <f aca="false">IF($A8="","",IF($C8="","",YEAR($C8)))</f>
        <v>2025</v>
      </c>
      <c r="H8" s="57" t="n">
        <v>2021</v>
      </c>
      <c r="I8" s="54" t="s">
        <v>216</v>
      </c>
      <c r="J8" s="54" t="s">
        <v>217</v>
      </c>
      <c r="K8" s="54" t="s">
        <v>218</v>
      </c>
      <c r="L8" s="56" t="s">
        <v>182</v>
      </c>
      <c r="M8" s="58" t="n">
        <v>560000</v>
      </c>
      <c r="N8" s="56" t="s">
        <v>183</v>
      </c>
      <c r="O8" s="54" t="s">
        <v>184</v>
      </c>
      <c r="P8" s="54" t="s">
        <v>185</v>
      </c>
      <c r="Q8" s="54" t="s">
        <v>186</v>
      </c>
      <c r="R8" s="54" t="s">
        <v>187</v>
      </c>
      <c r="S8" s="56" t="s">
        <v>188</v>
      </c>
      <c r="T8" s="44" t="str">
        <f aca="false">IF($A8="","",IF($S8="","",IFERROR(INDEX(Lists!$N$5:$N$16,MATCH($S8,Lists!$M$5:$M$16,0)),"?")))</f>
        <v>?</v>
      </c>
      <c r="U8" s="54" t="s">
        <v>189</v>
      </c>
      <c r="V8" s="56" t="s">
        <v>190</v>
      </c>
      <c r="W8" s="54" t="s">
        <v>191</v>
      </c>
      <c r="X8" s="56" t="s">
        <v>192</v>
      </c>
      <c r="Y8" s="54" t="s">
        <v>219</v>
      </c>
      <c r="Z8" s="54"/>
      <c r="AA8" s="56" t="s">
        <v>194</v>
      </c>
      <c r="AB8" s="58" t="n">
        <v>11104.49</v>
      </c>
      <c r="AC8" s="59" t="n">
        <v>0</v>
      </c>
      <c r="AD8" s="46" t="n">
        <f aca="false">IF(ISNUMBER($AB8),$AB8*(1+N($AC8)),"")</f>
        <v>11104.49</v>
      </c>
      <c r="AE8" s="58" t="n">
        <v>250</v>
      </c>
      <c r="AF8" s="58" t="n">
        <v>150</v>
      </c>
      <c r="AG8" s="59" t="n">
        <v>0.04</v>
      </c>
      <c r="AH8" s="47" t="n">
        <f aca="false">IF(ISNUMBER($AD8),($AD8+$AE8+$AF8)*$AG8,"")</f>
        <v>460.1796</v>
      </c>
      <c r="AI8" s="58"/>
      <c r="AJ8" s="46" t="n">
        <f aca="false">IF(ISNUMBER($AD8),SUM($AD8:$AH8),"")</f>
        <v>11964.7096</v>
      </c>
      <c r="AK8" s="48" t="n">
        <f aca="false">IF(AND(ISNUMBER($AB8),ISNUMBER($AD8)),IF($AB8&gt;0,$AD8/$AB8,""),"")</f>
        <v>1</v>
      </c>
      <c r="AL8" s="56" t="s">
        <v>195</v>
      </c>
      <c r="AM8" s="49" t="n">
        <f aca="false">IF(ISNUMBER($AD8),Header!$I$3,"")</f>
        <v>0.25</v>
      </c>
      <c r="AN8" s="47" t="n">
        <f aca="false">IF(ISNUMBER($AD8),$AO8+$AP8,"")</f>
        <v>2776.12</v>
      </c>
      <c r="AO8" s="47" t="n">
        <f aca="false">IF(ISNUMBER($AD8),ROUND($AD8*Header!$K$3,2),"")</f>
        <v>1388.06</v>
      </c>
      <c r="AP8" s="47" t="n">
        <f aca="false">IF(ISNUMBER($AD8),ROUND($AD8*Header!$M$3,2),"")</f>
        <v>1388.06</v>
      </c>
      <c r="AQ8" s="46" t="n">
        <f aca="false">IF(ISNUMBER($AD8),ROUND($AD8,2)-$AO8-$AP8,"")</f>
        <v>8328.37</v>
      </c>
      <c r="AR8" s="47" t="n">
        <f aca="false">IF(ISNUMBER($AD8),IF(Header!$D$34="","?",$AD8*Header!$D$34),"")</f>
        <v>11104.49</v>
      </c>
      <c r="AS8" s="47" t="n">
        <f aca="false">IF(ISNUMBER($AB8),IF(Header!$D$34="","?",$AB8*Header!$D$34),"")</f>
        <v>11104.49</v>
      </c>
      <c r="AT8" s="50" t="n">
        <f aca="false">IF(AND(ISNUMBER($AB8),$M8&gt;0),$AB8/$M8*100,"")</f>
        <v>1.98294464285714</v>
      </c>
      <c r="AU8" s="50" t="n">
        <f aca="false">IF(AND(ISNUMBER($AD8),$M8&gt;0),$AD8/$M8*100,"")</f>
        <v>1.98294464285714</v>
      </c>
      <c r="AV8" s="48" t="n">
        <f aca="false">IF(AND(ISNUMBER($AB8),ISNUMBER($AD8),ABS($AB8)&gt;0),$AD8/$AB8,"")</f>
        <v>1</v>
      </c>
      <c r="AW8" s="47" t="n">
        <f aca="false">IF(ISNUMBER($AD8),MAX(0,(1-0.55-Header!$O$3)*Header!$Q$3*$AQ8),"")</f>
        <v>0</v>
      </c>
      <c r="AX8" s="51" t="str">
        <f aca="false">IF($A8="","",IF(TRIM(IF($A8="","Missing certificate ref. ","") &amp; IF($C8="","Missing effective date. ","") &amp; IF($D8="","Missing binding status. ","") &amp; IF($E8="","Missing movement type. ","") &amp; IF($I8="","Missing make. ","") &amp; IF($L8="","Missing vehicle class. ","") &amp; IF($M8="","Missing agreed value. ","") &amp; IF($N8="","Missing policy type. ","") &amp; IF($Q8="","Missing garaging state. ","") &amp; IF($R8="","Missing garaging ZIP. ","") &amp; IF($S8="","Missing cat zone. ","") &amp; IF($V8="","Missing valuation basis. ","") &amp; IF($W8="","Missing PD deductible. ","") &amp; IF($X8="","Missing liability limit. ","") &amp; IF($AB8="","Missing technical premium. ","") &amp; IF($AF8="","Missing surplus lines tax %. ",""))="","PASS","FAIL: "&amp;TRIM(IF($A8="","Missing certificate ref. ","") &amp; IF($C8="","Missing effective date. ","") &amp; IF($D8="","Missing binding status. ","") &amp; IF($E8="","Missing movement type. ","") &amp; IF($I8="","Missing make. ","") &amp; IF($L8="","Missing vehicle class. ","") &amp; IF($M8="","Missing agreed value. ","") &amp; IF($N8="","Missing policy type. ","") &amp; IF($Q8="","Missing garaging state. ","") &amp; IF($R8="","Missing garaging ZIP. ","") &amp; IF($S8="","Missing cat zone. ","") &amp; IF($V8="","Missing valuation basis. ","") &amp; IF($W8="","Missing PD deductible. ","") &amp; IF($X8="","Missing liability limit. ","") &amp; IF($AB8="","Missing technical premium. ","") &amp; IF($AF8="","Missing surplus lines tax %. ",""))))</f>
        <v>PASS</v>
      </c>
      <c r="AY8" s="52" t="str">
        <f aca="false">IF($M8="","",IF(ISNUMBER($M8),IF($M8&gt;=Header!$C$18,"YES — refer","No"),""))</f>
        <v>No</v>
      </c>
      <c r="AZ8" s="52" t="str">
        <f aca="false">IF($AD8="","",IF(ISNUMBER($AD8),IF($AD8&lt;Header!$C$20,"BELOW MIN PREMIUM","OK"),""))</f>
        <v>OK</v>
      </c>
      <c r="BA8" s="56" t="s">
        <v>196</v>
      </c>
      <c r="BB8" s="56"/>
      <c r="BC8" s="54" t="s">
        <v>220</v>
      </c>
      <c r="BE8" s="53" t="str">
        <f aca="false">IF(OR($A8="",$L8="",$H8=""),"",IF(AND(LEFT($L8,2)="06",$H8&gt;1945),"FAIL - pre-war class, year "&amp;$H8,IF(AND(LEFT($L8,2)="07",OR($H8&lt;1946,$H8&gt;1972)),"FAIL - 1946-72 class, year "&amp;$H8,IF(AND(LEFT($L8,2)="08",OR($H8&lt;1973,$H8&gt;1999)),"FAIL - 1973-99 class, year "&amp;$H8,IF(AND(LEFT($L8,2)="09",OR($H8&lt;2000,$H8&gt;2010)),"FAIL - 2000-10 class, year "&amp;$H8,"OK")))))</f>
        <v>OK</v>
      </c>
      <c r="BF8" s="53" t="str">
        <f aca="false">IF($AD8="","",IF(ROUND($AO8+$AP8+$AQ8-$AD8,2)=0,"OK","FAIL - out by "&amp;TEXT($AO8+$AP8+$AQ8-$AD8,"$0.00")))</f>
        <v>OK</v>
      </c>
    </row>
    <row r="9" customFormat="false" ht="18.75" hidden="false" customHeight="true" outlineLevel="0" collapsed="false">
      <c r="A9" s="38"/>
      <c r="B9" s="38"/>
      <c r="C9" s="39"/>
      <c r="D9" s="40"/>
      <c r="E9" s="40"/>
      <c r="F9" s="38"/>
      <c r="G9" s="41" t="str">
        <f aca="false">IF($A9="","",IF($C9="","",YEAR($C9)))</f>
        <v/>
      </c>
      <c r="H9" s="42"/>
      <c r="I9" s="38"/>
      <c r="J9" s="38"/>
      <c r="K9" s="38"/>
      <c r="L9" s="40"/>
      <c r="M9" s="43"/>
      <c r="N9" s="40"/>
      <c r="O9" s="38"/>
      <c r="P9" s="38"/>
      <c r="Q9" s="38"/>
      <c r="R9" s="38"/>
      <c r="S9" s="40"/>
      <c r="T9" s="44" t="str">
        <f aca="false">IF($A9="","",IF($S9="","",IFERROR(INDEX(Lists!$N$5:$N$16,MATCH($S9,Lists!$M$5:$M$16,0)),"?")))</f>
        <v/>
      </c>
      <c r="U9" s="38"/>
      <c r="V9" s="40"/>
      <c r="W9" s="38"/>
      <c r="X9" s="40"/>
      <c r="Y9" s="38" t="s">
        <v>221</v>
      </c>
      <c r="Z9" s="38"/>
      <c r="AA9" s="40"/>
      <c r="AB9" s="43"/>
      <c r="AC9" s="45"/>
      <c r="AD9" s="46" t="str">
        <f aca="false">IF(ISNUMBER($AB9),$AB9*(1+N($AC9)),"")</f>
        <v/>
      </c>
      <c r="AE9" s="43"/>
      <c r="AF9" s="43"/>
      <c r="AG9" s="45"/>
      <c r="AH9" s="47" t="str">
        <f aca="false">IF(ISNUMBER($AD9),($AD9+$AE9+$AF9)*$AG9,"")</f>
        <v/>
      </c>
      <c r="AI9" s="43"/>
      <c r="AJ9" s="46" t="str">
        <f aca="false">IF(ISNUMBER($AD9),SUM($AD9:$AH9),"")</f>
        <v/>
      </c>
      <c r="AK9" s="48" t="str">
        <f aca="false">IF(AND(ISNUMBER($AB9),ISNUMBER($AD9)),IF($AB9&gt;0,$AD9/$AB9,""),"")</f>
        <v/>
      </c>
      <c r="AL9" s="40"/>
      <c r="AM9" s="49" t="str">
        <f aca="false">IF(ISNUMBER($AD9),Header!$I$3,"")</f>
        <v/>
      </c>
      <c r="AN9" s="47" t="str">
        <f aca="false">IF(ISNUMBER($AD9),$AO9+$AP9,"")</f>
        <v/>
      </c>
      <c r="AO9" s="47" t="str">
        <f aca="false">IF(ISNUMBER($AD9),ROUND($AD9*Header!$K$3,2),"")</f>
        <v/>
      </c>
      <c r="AP9" s="47" t="str">
        <f aca="false">IF(ISNUMBER($AD9),ROUND($AD9*Header!$M$3,2),"")</f>
        <v/>
      </c>
      <c r="AQ9" s="46" t="str">
        <f aca="false">IF(ISNUMBER($AD9),ROUND($AD9,2)-$AO9-$AP9,"")</f>
        <v/>
      </c>
      <c r="AR9" s="47" t="str">
        <f aca="false">IF(ISNUMBER($AD9),IF(Header!$D$34="","?",$AD9*Header!$D$34),"")</f>
        <v/>
      </c>
      <c r="AS9" s="47" t="str">
        <f aca="false">IF(ISNUMBER($AB9),IF(Header!$D$34="","?",$AB9*Header!$D$34),"")</f>
        <v/>
      </c>
      <c r="AT9" s="50" t="str">
        <f aca="false">IF(AND(ISNUMBER($AB9),$M9&gt;0),$AB9/$M9*100,"")</f>
        <v/>
      </c>
      <c r="AU9" s="50" t="str">
        <f aca="false">IF(AND(ISNUMBER($AD9),$M9&gt;0),$AD9/$M9*100,"")</f>
        <v/>
      </c>
      <c r="AV9" s="48" t="str">
        <f aca="false">IF(AND(ISNUMBER($AB9),ISNUMBER($AD9),ABS($AB9)&gt;0),$AD9/$AB9,"")</f>
        <v/>
      </c>
      <c r="AW9" s="47" t="str">
        <f aca="false">IF(ISNUMBER($AD9),MAX(0,(1-0.55-Header!$O$3)*Header!$Q$3*$AQ9),"")</f>
        <v/>
      </c>
      <c r="AX9" s="51" t="str">
        <f aca="false">IF($A9="","",IF(TRIM(IF($A9="","Missing certificate ref. ","") &amp; IF($C9="","Missing effective date. ","") &amp; IF($D9="","Missing binding status. ","") &amp; IF($E9="","Missing movement type. ","") &amp; IF($I9="","Missing make. ","") &amp; IF($L9="","Missing vehicle class. ","") &amp; IF($M9="","Missing agreed value. ","") &amp; IF($N9="","Missing policy type. ","") &amp; IF($Q9="","Missing garaging state. ","") &amp; IF($R9="","Missing garaging ZIP. ","") &amp; IF($S9="","Missing cat zone. ","") &amp; IF($V9="","Missing valuation basis. ","") &amp; IF($W9="","Missing PD deductible. ","") &amp; IF($X9="","Missing liability limit. ","") &amp; IF($AB9="","Missing technical premium. ","") &amp; IF($AF9="","Missing surplus lines tax %. ",""))="","PASS","FAIL: "&amp;TRIM(IF($A9="","Missing certificate ref. ","") &amp; IF($C9="","Missing effective date. ","") &amp; IF($D9="","Missing binding status. ","") &amp; IF($E9="","Missing movement type. ","") &amp; IF($I9="","Missing make. ","") &amp; IF($L9="","Missing vehicle class. ","") &amp; IF($M9="","Missing agreed value. ","") &amp; IF($N9="","Missing policy type. ","") &amp; IF($Q9="","Missing garaging state. ","") &amp; IF($R9="","Missing garaging ZIP. ","") &amp; IF($S9="","Missing cat zone. ","") &amp; IF($V9="","Missing valuation basis. ","") &amp; IF($W9="","Missing PD deductible. ","") &amp; IF($X9="","Missing liability limit. ","") &amp; IF($AB9="","Missing technical premium. ","") &amp; IF($AF9="","Missing surplus lines tax %. ",""))))</f>
        <v/>
      </c>
      <c r="AY9" s="52" t="str">
        <f aca="false">IF($M9="","",IF(ISNUMBER($M9),IF($M9&gt;=Header!$C$18,"YES — refer","No"),""))</f>
        <v/>
      </c>
      <c r="AZ9" s="52" t="str">
        <f aca="false">IF($AD9="","",IF(ISNUMBER($AD9),IF($AD9&lt;Header!$C$20,"BELOW MIN PREMIUM","OK"),""))</f>
        <v/>
      </c>
      <c r="BA9" s="40"/>
      <c r="BB9" s="40"/>
      <c r="BC9" s="38"/>
      <c r="BE9" s="53" t="str">
        <f aca="false">IF(OR($A9="",$L9="",$H9=""),"",IF(AND(LEFT($L9,2)="06",$H9&gt;1945),"FAIL - pre-war class, year "&amp;$H9,IF(AND(LEFT($L9,2)="07",OR($H9&lt;1946,$H9&gt;1972)),"FAIL - 1946-72 class, year "&amp;$H9,IF(AND(LEFT($L9,2)="08",OR($H9&lt;1973,$H9&gt;1999)),"FAIL - 1973-99 class, year "&amp;$H9,IF(AND(LEFT($L9,2)="09",OR($H9&lt;2000,$H9&gt;2010)),"FAIL - 2000-10 class, year "&amp;$H9,"OK")))))</f>
        <v/>
      </c>
      <c r="BF9" s="53" t="str">
        <f aca="false">IF($AD9="","",IF(ROUND($AO9+$AP9+$AQ9-$AD9,2)=0,"OK","FAIL - out by "&amp;TEXT($AO9+$AP9+$AQ9-$AD9,"$0.00")))</f>
        <v/>
      </c>
    </row>
    <row r="10" customFormat="false" ht="18.75" hidden="false" customHeight="true" outlineLevel="0" collapsed="false">
      <c r="A10" s="54"/>
      <c r="B10" s="54"/>
      <c r="C10" s="55"/>
      <c r="D10" s="56"/>
      <c r="E10" s="56"/>
      <c r="F10" s="54"/>
      <c r="G10" s="41" t="str">
        <f aca="false">IF($A10="","",IF($C10="","",YEAR($C10)))</f>
        <v/>
      </c>
      <c r="H10" s="57"/>
      <c r="I10" s="54"/>
      <c r="J10" s="54"/>
      <c r="K10" s="54"/>
      <c r="L10" s="56"/>
      <c r="M10" s="58"/>
      <c r="N10" s="56"/>
      <c r="O10" s="54"/>
      <c r="P10" s="54"/>
      <c r="Q10" s="54"/>
      <c r="R10" s="54"/>
      <c r="S10" s="56"/>
      <c r="T10" s="44" t="str">
        <f aca="false">IF($A10="","",IF($S10="","",IFERROR(INDEX(Lists!$N$5:$N$16,MATCH($S10,Lists!$M$5:$M$16,0)),"?")))</f>
        <v/>
      </c>
      <c r="U10" s="54"/>
      <c r="V10" s="56"/>
      <c r="W10" s="54"/>
      <c r="X10" s="56"/>
      <c r="Y10" s="54" t="s">
        <v>222</v>
      </c>
      <c r="Z10" s="54"/>
      <c r="AA10" s="56"/>
      <c r="AB10" s="58"/>
      <c r="AC10" s="59"/>
      <c r="AD10" s="46" t="str">
        <f aca="false">IF(ISNUMBER($AB10),$AB10*(1+N($AC10)),"")</f>
        <v/>
      </c>
      <c r="AE10" s="58"/>
      <c r="AF10" s="58"/>
      <c r="AG10" s="59"/>
      <c r="AH10" s="47" t="str">
        <f aca="false">IF(ISNUMBER($AD10),($AD10+$AE10+$AF10)*$AG10,"")</f>
        <v/>
      </c>
      <c r="AI10" s="58"/>
      <c r="AJ10" s="46" t="str">
        <f aca="false">IF(ISNUMBER($AD10),SUM($AD10:$AH10),"")</f>
        <v/>
      </c>
      <c r="AK10" s="48" t="str">
        <f aca="false">IF(AND(ISNUMBER($AB10),ISNUMBER($AD10)),IF($AB10&gt;0,$AD10/$AB10,""),"")</f>
        <v/>
      </c>
      <c r="AL10" s="56"/>
      <c r="AM10" s="49" t="str">
        <f aca="false">IF(ISNUMBER($AD10),Header!$I$3,"")</f>
        <v/>
      </c>
      <c r="AN10" s="47" t="str">
        <f aca="false">IF(ISNUMBER($AD10),$AO10+$AP10,"")</f>
        <v/>
      </c>
      <c r="AO10" s="47" t="str">
        <f aca="false">IF(ISNUMBER($AD10),ROUND($AD10*Header!$K$3,2),"")</f>
        <v/>
      </c>
      <c r="AP10" s="47" t="str">
        <f aca="false">IF(ISNUMBER($AD10),ROUND($AD10*Header!$M$3,2),"")</f>
        <v/>
      </c>
      <c r="AQ10" s="46" t="str">
        <f aca="false">IF(ISNUMBER($AD10),ROUND($AD10,2)-$AO10-$AP10,"")</f>
        <v/>
      </c>
      <c r="AR10" s="47" t="str">
        <f aca="false">IF(ISNUMBER($AD10),IF(Header!$D$34="","?",$AD10*Header!$D$34),"")</f>
        <v/>
      </c>
      <c r="AS10" s="47" t="str">
        <f aca="false">IF(ISNUMBER($AB10),IF(Header!$D$34="","?",$AB10*Header!$D$34),"")</f>
        <v/>
      </c>
      <c r="AT10" s="50" t="str">
        <f aca="false">IF(AND(ISNUMBER($AB10),$M10&gt;0),$AB10/$M10*100,"")</f>
        <v/>
      </c>
      <c r="AU10" s="50" t="str">
        <f aca="false">IF(AND(ISNUMBER($AD10),$M10&gt;0),$AD10/$M10*100,"")</f>
        <v/>
      </c>
      <c r="AV10" s="48" t="str">
        <f aca="false">IF(AND(ISNUMBER($AB10),ISNUMBER($AD10),ABS($AB10)&gt;0),$AD10/$AB10,"")</f>
        <v/>
      </c>
      <c r="AW10" s="47" t="str">
        <f aca="false">IF(ISNUMBER($AD10),MAX(0,(1-0.55-Header!$O$3)*Header!$Q$3*$AQ10),"")</f>
        <v/>
      </c>
      <c r="AX10" s="51" t="str">
        <f aca="false">IF($A10="","",IF(TRIM(IF($A10="","Missing certificate ref. ","") &amp; IF($C10="","Missing effective date. ","") &amp; IF($D10="","Missing binding status. ","") &amp; IF($E10="","Missing movement type. ","") &amp; IF($I10="","Missing make. ","") &amp; IF($L10="","Missing vehicle class. ","") &amp; IF($M10="","Missing agreed value. ","") &amp; IF($N10="","Missing policy type. ","") &amp; IF($Q10="","Missing garaging state. ","") &amp; IF($R10="","Missing garaging ZIP. ","") &amp; IF($S10="","Missing cat zone. ","") &amp; IF($V10="","Missing valuation basis. ","") &amp; IF($W10="","Missing PD deductible. ","") &amp; IF($X10="","Missing liability limit. ","") &amp; IF($AB10="","Missing technical premium. ","") &amp; IF($AF10="","Missing surplus lines tax %. ",""))="","PASS","FAIL: "&amp;TRIM(IF($A10="","Missing certificate ref. ","") &amp; IF($C10="","Missing effective date. ","") &amp; IF($D10="","Missing binding status. ","") &amp; IF($E10="","Missing movement type. ","") &amp; IF($I10="","Missing make. ","") &amp; IF($L10="","Missing vehicle class. ","") &amp; IF($M10="","Missing agreed value. ","") &amp; IF($N10="","Missing policy type. ","") &amp; IF($Q10="","Missing garaging state. ","") &amp; IF($R10="","Missing garaging ZIP. ","") &amp; IF($S10="","Missing cat zone. ","") &amp; IF($V10="","Missing valuation basis. ","") &amp; IF($W10="","Missing PD deductible. ","") &amp; IF($X10="","Missing liability limit. ","") &amp; IF($AB10="","Missing technical premium. ","") &amp; IF($AF10="","Missing surplus lines tax %. ",""))))</f>
        <v/>
      </c>
      <c r="AY10" s="52" t="str">
        <f aca="false">IF($M10="","",IF(ISNUMBER($M10),IF($M10&gt;=Header!$C$18,"YES — refer","No"),""))</f>
        <v/>
      </c>
      <c r="AZ10" s="52" t="str">
        <f aca="false">IF($AD10="","",IF(ISNUMBER($AD10),IF($AD10&lt;Header!$C$20,"BELOW MIN PREMIUM","OK"),""))</f>
        <v/>
      </c>
      <c r="BA10" s="56"/>
      <c r="BB10" s="56"/>
      <c r="BC10" s="54"/>
      <c r="BE10" s="53" t="str">
        <f aca="false">IF(OR($A10="",$L10="",$H10=""),"",IF(AND(LEFT($L10,2)="06",$H10&gt;1945),"FAIL - pre-war class, year "&amp;$H10,IF(AND(LEFT($L10,2)="07",OR($H10&lt;1946,$H10&gt;1972)),"FAIL - 1946-72 class, year "&amp;$H10,IF(AND(LEFT($L10,2)="08",OR($H10&lt;1973,$H10&gt;1999)),"FAIL - 1973-99 class, year "&amp;$H10,IF(AND(LEFT($L10,2)="09",OR($H10&lt;2000,$H10&gt;2010)),"FAIL - 2000-10 class, year "&amp;$H10,"OK")))))</f>
        <v/>
      </c>
      <c r="BF10" s="53" t="str">
        <f aca="false">IF($AD10="","",IF(ROUND($AO10+$AP10+$AQ10-$AD10,2)=0,"OK","FAIL - out by "&amp;TEXT($AO10+$AP10+$AQ10-$AD10,"$0.00")))</f>
        <v/>
      </c>
    </row>
    <row r="11" customFormat="false" ht="15" hidden="false" customHeight="true" outlineLevel="0" collapsed="false">
      <c r="A11" s="38"/>
      <c r="B11" s="38"/>
      <c r="C11" s="39"/>
      <c r="D11" s="40"/>
      <c r="E11" s="40"/>
      <c r="F11" s="38"/>
      <c r="G11" s="41" t="str">
        <f aca="false">IF($A11="","",IF($C11="","",YEAR($C11)))</f>
        <v/>
      </c>
      <c r="H11" s="42"/>
      <c r="I11" s="38"/>
      <c r="J11" s="38"/>
      <c r="K11" s="38"/>
      <c r="L11" s="40"/>
      <c r="M11" s="43"/>
      <c r="N11" s="40"/>
      <c r="O11" s="38"/>
      <c r="P11" s="38"/>
      <c r="Q11" s="38"/>
      <c r="R11" s="38"/>
      <c r="S11" s="40"/>
      <c r="T11" s="44" t="str">
        <f aca="false">IF($A11="","",IF($S11="","",IFERROR(INDEX(Lists!$N$5:$N$16,MATCH($S11,Lists!$M$5:$M$16,0)),"?")))</f>
        <v/>
      </c>
      <c r="U11" s="38"/>
      <c r="V11" s="40"/>
      <c r="W11" s="38"/>
      <c r="X11" s="40"/>
      <c r="Y11" s="38"/>
      <c r="Z11" s="38"/>
      <c r="AA11" s="40"/>
      <c r="AB11" s="43"/>
      <c r="AC11" s="45"/>
      <c r="AD11" s="46" t="str">
        <f aca="false">IF(ISNUMBER($AB11),$AB11*(1+N($AC11)),"")</f>
        <v/>
      </c>
      <c r="AE11" s="43"/>
      <c r="AF11" s="43"/>
      <c r="AG11" s="45"/>
      <c r="AH11" s="47" t="str">
        <f aca="false">IF(ISNUMBER($AD11),($AD11+$AE11+$AF11)*$AG11,"")</f>
        <v/>
      </c>
      <c r="AI11" s="43"/>
      <c r="AJ11" s="46" t="str">
        <f aca="false">IF(ISNUMBER($AD11),SUM($AD11:$AH11),"")</f>
        <v/>
      </c>
      <c r="AK11" s="48" t="str">
        <f aca="false">IF(AND(ISNUMBER($AB11),ISNUMBER($AD11)),IF($AB11&gt;0,$AD11/$AB11,""),"")</f>
        <v/>
      </c>
      <c r="AL11" s="40"/>
      <c r="AM11" s="49" t="str">
        <f aca="false">IF(ISNUMBER($AD11),Header!$I$3,"")</f>
        <v/>
      </c>
      <c r="AN11" s="47" t="str">
        <f aca="false">IF(ISNUMBER($AD11),$AO11+$AP11,"")</f>
        <v/>
      </c>
      <c r="AO11" s="47" t="str">
        <f aca="false">IF(ISNUMBER($AD11),ROUND($AD11*Header!$K$3,2),"")</f>
        <v/>
      </c>
      <c r="AP11" s="47" t="str">
        <f aca="false">IF(ISNUMBER($AD11),ROUND($AD11*Header!$M$3,2),"")</f>
        <v/>
      </c>
      <c r="AQ11" s="46" t="str">
        <f aca="false">IF(ISNUMBER($AD11),ROUND($AD11,2)-$AO11-$AP11,"")</f>
        <v/>
      </c>
      <c r="AR11" s="47" t="str">
        <f aca="false">IF(ISNUMBER($AD11),IF(Header!$D$34="","?",$AD11*Header!$D$34),"")</f>
        <v/>
      </c>
      <c r="AS11" s="47" t="str">
        <f aca="false">IF(ISNUMBER($AB11),IF(Header!$D$34="","?",$AB11*Header!$D$34),"")</f>
        <v/>
      </c>
      <c r="AT11" s="50" t="str">
        <f aca="false">IF(AND(ISNUMBER($AB11),$M11&gt;0),$AB11/$M11*100,"")</f>
        <v/>
      </c>
      <c r="AU11" s="50" t="str">
        <f aca="false">IF(AND(ISNUMBER($AD11),$M11&gt;0),$AD11/$M11*100,"")</f>
        <v/>
      </c>
      <c r="AV11" s="48" t="str">
        <f aca="false">IF(AND(ISNUMBER($AB11),ISNUMBER($AD11),ABS($AB11)&gt;0),$AD11/$AB11,"")</f>
        <v/>
      </c>
      <c r="AW11" s="47" t="str">
        <f aca="false">IF(ISNUMBER($AD11),MAX(0,(1-0.55-Header!$O$3)*Header!$Q$3*$AQ11),"")</f>
        <v/>
      </c>
      <c r="AX11" s="51" t="str">
        <f aca="false">IF($A11="","",IF(TRIM(IF($A11="","Missing certificate ref. ","") &amp; IF($C11="","Missing effective date. ","") &amp; IF($D11="","Missing binding status. ","") &amp; IF($E11="","Missing movement type. ","") &amp; IF($I11="","Missing make. ","") &amp; IF($L11="","Missing vehicle class. ","") &amp; IF($M11="","Missing agreed value. ","") &amp; IF($N11="","Missing policy type. ","") &amp; IF($Q11="","Missing garaging state. ","") &amp; IF($R11="","Missing garaging ZIP. ","") &amp; IF($S11="","Missing cat zone. ","") &amp; IF($V11="","Missing valuation basis. ","") &amp; IF($W11="","Missing PD deductible. ","") &amp; IF($X11="","Missing liability limit. ","") &amp; IF($AB11="","Missing technical premium. ","") &amp; IF($AF11="","Missing surplus lines tax %. ",""))="","PASS","FAIL: "&amp;TRIM(IF($A11="","Missing certificate ref. ","") &amp; IF($C11="","Missing effective date. ","") &amp; IF($D11="","Missing binding status. ","") &amp; IF($E11="","Missing movement type. ","") &amp; IF($I11="","Missing make. ","") &amp; IF($L11="","Missing vehicle class. ","") &amp; IF($M11="","Missing agreed value. ","") &amp; IF($N11="","Missing policy type. ","") &amp; IF($Q11="","Missing garaging state. ","") &amp; IF($R11="","Missing garaging ZIP. ","") &amp; IF($S11="","Missing cat zone. ","") &amp; IF($V11="","Missing valuation basis. ","") &amp; IF($W11="","Missing PD deductible. ","") &amp; IF($X11="","Missing liability limit. ","") &amp; IF($AB11="","Missing technical premium. ","") &amp; IF($AF11="","Missing surplus lines tax %. ",""))))</f>
        <v/>
      </c>
      <c r="AY11" s="52" t="str">
        <f aca="false">IF($M11="","",IF(ISNUMBER($M11),IF($M11&gt;=Header!$C$18,"YES — refer","No"),""))</f>
        <v/>
      </c>
      <c r="AZ11" s="52" t="str">
        <f aca="false">IF($AD11="","",IF(ISNUMBER($AD11),IF($AD11&lt;Header!$C$20,"BELOW MIN PREMIUM","OK"),""))</f>
        <v/>
      </c>
      <c r="BA11" s="40"/>
      <c r="BB11" s="40"/>
      <c r="BC11" s="38"/>
      <c r="BE11" s="53" t="str">
        <f aca="false">IF(OR($A11="",$L11="",$H11=""),"",IF(AND(LEFT($L11,2)="06",$H11&gt;1945),"FAIL - pre-war class, year "&amp;$H11,IF(AND(LEFT($L11,2)="07",OR($H11&lt;1946,$H11&gt;1972)),"FAIL - 1946-72 class, year "&amp;$H11,IF(AND(LEFT($L11,2)="08",OR($H11&lt;1973,$H11&gt;1999)),"FAIL - 1973-99 class, year "&amp;$H11,IF(AND(LEFT($L11,2)="09",OR($H11&lt;2000,$H11&gt;2010)),"FAIL - 2000-10 class, year "&amp;$H11,"OK")))))</f>
        <v/>
      </c>
      <c r="BF11" s="53" t="str">
        <f aca="false">IF($AD11="","",IF(ROUND($AO11+$AP11+$AQ11-$AD11,2)=0,"OK","FAIL - out by "&amp;TEXT($AO11+$AP11+$AQ11-$AD11,"$0.00")))</f>
        <v/>
      </c>
    </row>
    <row r="12" customFormat="false" ht="15" hidden="false" customHeight="true" outlineLevel="0" collapsed="false">
      <c r="A12" s="54"/>
      <c r="B12" s="54"/>
      <c r="C12" s="55"/>
      <c r="D12" s="56"/>
      <c r="E12" s="56"/>
      <c r="F12" s="54"/>
      <c r="G12" s="41" t="str">
        <f aca="false">IF($A12="","",IF($C12="","",YEAR($C12)))</f>
        <v/>
      </c>
      <c r="H12" s="57"/>
      <c r="I12" s="54"/>
      <c r="J12" s="54"/>
      <c r="K12" s="54"/>
      <c r="L12" s="56"/>
      <c r="M12" s="58"/>
      <c r="N12" s="56"/>
      <c r="O12" s="54"/>
      <c r="P12" s="54"/>
      <c r="Q12" s="54"/>
      <c r="R12" s="54"/>
      <c r="S12" s="56"/>
      <c r="T12" s="44" t="str">
        <f aca="false">IF($A12="","",IF($S12="","",IFERROR(INDEX(Lists!$N$5:$N$16,MATCH($S12,Lists!$M$5:$M$16,0)),"?")))</f>
        <v/>
      </c>
      <c r="U12" s="54"/>
      <c r="V12" s="56"/>
      <c r="W12" s="54"/>
      <c r="X12" s="56"/>
      <c r="Y12" s="54"/>
      <c r="Z12" s="54"/>
      <c r="AA12" s="56"/>
      <c r="AB12" s="58"/>
      <c r="AC12" s="59"/>
      <c r="AD12" s="46" t="str">
        <f aca="false">IF(ISNUMBER($AB12),$AB12*(1+N($AC12)),"")</f>
        <v/>
      </c>
      <c r="AE12" s="58"/>
      <c r="AF12" s="58"/>
      <c r="AG12" s="59"/>
      <c r="AH12" s="47" t="str">
        <f aca="false">IF(ISNUMBER($AD12),($AD12+$AE12+$AF12)*$AG12,"")</f>
        <v/>
      </c>
      <c r="AI12" s="58"/>
      <c r="AJ12" s="46" t="str">
        <f aca="false">IF(ISNUMBER($AD12),SUM($AD12:$AH12),"")</f>
        <v/>
      </c>
      <c r="AK12" s="48" t="str">
        <f aca="false">IF(AND(ISNUMBER($AB12),ISNUMBER($AD12)),IF($AB12&gt;0,$AD12/$AB12,""),"")</f>
        <v/>
      </c>
      <c r="AL12" s="56"/>
      <c r="AM12" s="49" t="str">
        <f aca="false">IF(ISNUMBER($AD12),Header!$I$3,"")</f>
        <v/>
      </c>
      <c r="AN12" s="47" t="str">
        <f aca="false">IF(ISNUMBER($AD12),$AO12+$AP12,"")</f>
        <v/>
      </c>
      <c r="AO12" s="47" t="str">
        <f aca="false">IF(ISNUMBER($AD12),ROUND($AD12*Header!$K$3,2),"")</f>
        <v/>
      </c>
      <c r="AP12" s="47" t="str">
        <f aca="false">IF(ISNUMBER($AD12),ROUND($AD12*Header!$M$3,2),"")</f>
        <v/>
      </c>
      <c r="AQ12" s="46" t="str">
        <f aca="false">IF(ISNUMBER($AD12),ROUND($AD12,2)-$AO12-$AP12,"")</f>
        <v/>
      </c>
      <c r="AR12" s="47" t="str">
        <f aca="false">IF(ISNUMBER($AD12),IF(Header!$D$34="","?",$AD12*Header!$D$34),"")</f>
        <v/>
      </c>
      <c r="AS12" s="47" t="str">
        <f aca="false">IF(ISNUMBER($AB12),IF(Header!$D$34="","?",$AB12*Header!$D$34),"")</f>
        <v/>
      </c>
      <c r="AT12" s="50" t="str">
        <f aca="false">IF(AND(ISNUMBER($AB12),$M12&gt;0),$AB12/$M12*100,"")</f>
        <v/>
      </c>
      <c r="AU12" s="50" t="str">
        <f aca="false">IF(AND(ISNUMBER($AD12),$M12&gt;0),$AD12/$M12*100,"")</f>
        <v/>
      </c>
      <c r="AV12" s="48" t="str">
        <f aca="false">IF(AND(ISNUMBER($AB12),ISNUMBER($AD12),ABS($AB12)&gt;0),$AD12/$AB12,"")</f>
        <v/>
      </c>
      <c r="AW12" s="47" t="str">
        <f aca="false">IF(ISNUMBER($AD12),MAX(0,(1-0.55-Header!$O$3)*Header!$Q$3*$AQ12),"")</f>
        <v/>
      </c>
      <c r="AX12" s="51" t="str">
        <f aca="false">IF($A12="","",IF(TRIM(IF($A12="","Missing certificate ref. ","") &amp; IF($C12="","Missing effective date. ","") &amp; IF($D12="","Missing binding status. ","") &amp; IF($E12="","Missing movement type. ","") &amp; IF($I12="","Missing make. ","") &amp; IF($L12="","Missing vehicle class. ","") &amp; IF($M12="","Missing agreed value. ","") &amp; IF($N12="","Missing policy type. ","") &amp; IF($Q12="","Missing garaging state. ","") &amp; IF($R12="","Missing garaging ZIP. ","") &amp; IF($S12="","Missing cat zone. ","") &amp; IF($V12="","Missing valuation basis. ","") &amp; IF($W12="","Missing PD deductible. ","") &amp; IF($X12="","Missing liability limit. ","") &amp; IF($AB12="","Missing technical premium. ","") &amp; IF($AF12="","Missing surplus lines tax %. ",""))="","PASS","FAIL: "&amp;TRIM(IF($A12="","Missing certificate ref. ","") &amp; IF($C12="","Missing effective date. ","") &amp; IF($D12="","Missing binding status. ","") &amp; IF($E12="","Missing movement type. ","") &amp; IF($I12="","Missing make. ","") &amp; IF($L12="","Missing vehicle class. ","") &amp; IF($M12="","Missing agreed value. ","") &amp; IF($N12="","Missing policy type. ","") &amp; IF($Q12="","Missing garaging state. ","") &amp; IF($R12="","Missing garaging ZIP. ","") &amp; IF($S12="","Missing cat zone. ","") &amp; IF($V12="","Missing valuation basis. ","") &amp; IF($W12="","Missing PD deductible. ","") &amp; IF($X12="","Missing liability limit. ","") &amp; IF($AB12="","Missing technical premium. ","") &amp; IF($AF12="","Missing surplus lines tax %. ",""))))</f>
        <v/>
      </c>
      <c r="AY12" s="52" t="str">
        <f aca="false">IF($M12="","",IF(ISNUMBER($M12),IF($M12&gt;=Header!$C$18,"YES — refer","No"),""))</f>
        <v/>
      </c>
      <c r="AZ12" s="52" t="str">
        <f aca="false">IF($AD12="","",IF(ISNUMBER($AD12),IF($AD12&lt;Header!$C$20,"BELOW MIN PREMIUM","OK"),""))</f>
        <v/>
      </c>
      <c r="BA12" s="56"/>
      <c r="BB12" s="56"/>
      <c r="BC12" s="54"/>
      <c r="BE12" s="53" t="str">
        <f aca="false">IF(OR($A12="",$L12="",$H12=""),"",IF(AND(LEFT($L12,2)="06",$H12&gt;1945),"FAIL - pre-war class, year "&amp;$H12,IF(AND(LEFT($L12,2)="07",OR($H12&lt;1946,$H12&gt;1972)),"FAIL - 1946-72 class, year "&amp;$H12,IF(AND(LEFT($L12,2)="08",OR($H12&lt;1973,$H12&gt;1999)),"FAIL - 1973-99 class, year "&amp;$H12,IF(AND(LEFT($L12,2)="09",OR($H12&lt;2000,$H12&gt;2010)),"FAIL - 2000-10 class, year "&amp;$H12,"OK")))))</f>
        <v/>
      </c>
      <c r="BF12" s="53" t="str">
        <f aca="false">IF($AD12="","",IF(ROUND($AO12+$AP12+$AQ12-$AD12,2)=0,"OK","FAIL - out by "&amp;TEXT($AO12+$AP12+$AQ12-$AD12,"$0.00")))</f>
        <v/>
      </c>
    </row>
    <row r="13" customFormat="false" ht="15" hidden="false" customHeight="true" outlineLevel="0" collapsed="false">
      <c r="A13" s="38"/>
      <c r="B13" s="38"/>
      <c r="C13" s="39"/>
      <c r="D13" s="40"/>
      <c r="E13" s="40"/>
      <c r="F13" s="38"/>
      <c r="G13" s="41" t="str">
        <f aca="false">IF($A13="","",IF($C13="","",YEAR($C13)))</f>
        <v/>
      </c>
      <c r="H13" s="42"/>
      <c r="I13" s="38"/>
      <c r="J13" s="38"/>
      <c r="K13" s="38"/>
      <c r="L13" s="40"/>
      <c r="M13" s="43"/>
      <c r="N13" s="40"/>
      <c r="O13" s="38"/>
      <c r="P13" s="38"/>
      <c r="Q13" s="38"/>
      <c r="R13" s="38"/>
      <c r="S13" s="40"/>
      <c r="T13" s="44" t="str">
        <f aca="false">IF($A13="","",IF($S13="","",IFERROR(INDEX(Lists!$N$5:$N$16,MATCH($S13,Lists!$M$5:$M$16,0)),"?")))</f>
        <v/>
      </c>
      <c r="U13" s="38"/>
      <c r="V13" s="40"/>
      <c r="W13" s="38"/>
      <c r="X13" s="40"/>
      <c r="Y13" s="38"/>
      <c r="Z13" s="38"/>
      <c r="AA13" s="40"/>
      <c r="AB13" s="43"/>
      <c r="AC13" s="45"/>
      <c r="AD13" s="46" t="str">
        <f aca="false">IF(ISNUMBER($AB13),$AB13*(1+N($AC13)),"")</f>
        <v/>
      </c>
      <c r="AE13" s="43"/>
      <c r="AF13" s="43"/>
      <c r="AG13" s="45"/>
      <c r="AH13" s="47" t="str">
        <f aca="false">IF(ISNUMBER($AD13),($AD13+$AE13+$AF13)*$AG13,"")</f>
        <v/>
      </c>
      <c r="AI13" s="43"/>
      <c r="AJ13" s="46" t="str">
        <f aca="false">IF(ISNUMBER($AD13),SUM($AD13:$AH13),"")</f>
        <v/>
      </c>
      <c r="AK13" s="48" t="str">
        <f aca="false">IF(AND(ISNUMBER($AB13),ISNUMBER($AD13)),IF($AB13&gt;0,$AD13/$AB13,""),"")</f>
        <v/>
      </c>
      <c r="AL13" s="40"/>
      <c r="AM13" s="49" t="str">
        <f aca="false">IF(ISNUMBER($AD13),Header!$I$3,"")</f>
        <v/>
      </c>
      <c r="AN13" s="47" t="str">
        <f aca="false">IF(ISNUMBER($AD13),$AO13+$AP13,"")</f>
        <v/>
      </c>
      <c r="AO13" s="47" t="str">
        <f aca="false">IF(ISNUMBER($AD13),ROUND($AD13*Header!$K$3,2),"")</f>
        <v/>
      </c>
      <c r="AP13" s="47" t="str">
        <f aca="false">IF(ISNUMBER($AD13),ROUND($AD13*Header!$M$3,2),"")</f>
        <v/>
      </c>
      <c r="AQ13" s="46" t="str">
        <f aca="false">IF(ISNUMBER($AD13),ROUND($AD13,2)-$AO13-$AP13,"")</f>
        <v/>
      </c>
      <c r="AR13" s="47" t="str">
        <f aca="false">IF(ISNUMBER($AD13),IF(Header!$D$34="","?",$AD13*Header!$D$34),"")</f>
        <v/>
      </c>
      <c r="AS13" s="47" t="str">
        <f aca="false">IF(ISNUMBER($AB13),IF(Header!$D$34="","?",$AB13*Header!$D$34),"")</f>
        <v/>
      </c>
      <c r="AT13" s="50" t="str">
        <f aca="false">IF(AND(ISNUMBER($AB13),$M13&gt;0),$AB13/$M13*100,"")</f>
        <v/>
      </c>
      <c r="AU13" s="50" t="str">
        <f aca="false">IF(AND(ISNUMBER($AD13),$M13&gt;0),$AD13/$M13*100,"")</f>
        <v/>
      </c>
      <c r="AV13" s="48" t="str">
        <f aca="false">IF(AND(ISNUMBER($AB13),ISNUMBER($AD13),ABS($AB13)&gt;0),$AD13/$AB13,"")</f>
        <v/>
      </c>
      <c r="AW13" s="47" t="str">
        <f aca="false">IF(ISNUMBER($AD13),MAX(0,(1-0.55-Header!$O$3)*Header!$Q$3*$AQ13),"")</f>
        <v/>
      </c>
      <c r="AX13" s="51" t="str">
        <f aca="false">IF($A13="","",IF(TRIM(IF($A13="","Missing certificate ref. ","") &amp; IF($C13="","Missing effective date. ","") &amp; IF($D13="","Missing binding status. ","") &amp; IF($E13="","Missing movement type. ","") &amp; IF($I13="","Missing make. ","") &amp; IF($L13="","Missing vehicle class. ","") &amp; IF($M13="","Missing agreed value. ","") &amp; IF($N13="","Missing policy type. ","") &amp; IF($Q13="","Missing garaging state. ","") &amp; IF($R13="","Missing garaging ZIP. ","") &amp; IF($S13="","Missing cat zone. ","") &amp; IF($V13="","Missing valuation basis. ","") &amp; IF($W13="","Missing PD deductible. ","") &amp; IF($X13="","Missing liability limit. ","") &amp; IF($AB13="","Missing technical premium. ","") &amp; IF($AF13="","Missing surplus lines tax %. ",""))="","PASS","FAIL: "&amp;TRIM(IF($A13="","Missing certificate ref. ","") &amp; IF($C13="","Missing effective date. ","") &amp; IF($D13="","Missing binding status. ","") &amp; IF($E13="","Missing movement type. ","") &amp; IF($I13="","Missing make. ","") &amp; IF($L13="","Missing vehicle class. ","") &amp; IF($M13="","Missing agreed value. ","") &amp; IF($N13="","Missing policy type. ","") &amp; IF($Q13="","Missing garaging state. ","") &amp; IF($R13="","Missing garaging ZIP. ","") &amp; IF($S13="","Missing cat zone. ","") &amp; IF($V13="","Missing valuation basis. ","") &amp; IF($W13="","Missing PD deductible. ","") &amp; IF($X13="","Missing liability limit. ","") &amp; IF($AB13="","Missing technical premium. ","") &amp; IF($AF13="","Missing surplus lines tax %. ",""))))</f>
        <v/>
      </c>
      <c r="AY13" s="52" t="str">
        <f aca="false">IF($M13="","",IF(ISNUMBER($M13),IF($M13&gt;=Header!$C$18,"YES — refer","No"),""))</f>
        <v/>
      </c>
      <c r="AZ13" s="52" t="str">
        <f aca="false">IF($AD13="","",IF(ISNUMBER($AD13),IF($AD13&lt;Header!$C$20,"BELOW MIN PREMIUM","OK"),""))</f>
        <v/>
      </c>
      <c r="BA13" s="40"/>
      <c r="BB13" s="40"/>
      <c r="BC13" s="38"/>
      <c r="BE13" s="53" t="str">
        <f aca="false">IF(OR($A13="",$L13="",$H13=""),"",IF(AND(LEFT($L13,2)="06",$H13&gt;1945),"FAIL - pre-war class, year "&amp;$H13,IF(AND(LEFT($L13,2)="07",OR($H13&lt;1946,$H13&gt;1972)),"FAIL - 1946-72 class, year "&amp;$H13,IF(AND(LEFT($L13,2)="08",OR($H13&lt;1973,$H13&gt;1999)),"FAIL - 1973-99 class, year "&amp;$H13,IF(AND(LEFT($L13,2)="09",OR($H13&lt;2000,$H13&gt;2010)),"FAIL - 2000-10 class, year "&amp;$H13,"OK")))))</f>
        <v/>
      </c>
      <c r="BF13" s="53" t="str">
        <f aca="false">IF($AD13="","",IF(ROUND($AO13+$AP13+$AQ13-$AD13,2)=0,"OK","FAIL - out by "&amp;TEXT($AO13+$AP13+$AQ13-$AD13,"$0.00")))</f>
        <v/>
      </c>
    </row>
    <row r="14" customFormat="false" ht="15" hidden="false" customHeight="true" outlineLevel="0" collapsed="false">
      <c r="A14" s="54"/>
      <c r="B14" s="54"/>
      <c r="C14" s="55"/>
      <c r="D14" s="56"/>
      <c r="E14" s="56"/>
      <c r="F14" s="54"/>
      <c r="G14" s="41" t="str">
        <f aca="false">IF($A14="","",IF($C14="","",YEAR($C14)))</f>
        <v/>
      </c>
      <c r="H14" s="57"/>
      <c r="I14" s="54"/>
      <c r="J14" s="54"/>
      <c r="K14" s="54"/>
      <c r="L14" s="56"/>
      <c r="M14" s="58"/>
      <c r="N14" s="56"/>
      <c r="O14" s="54"/>
      <c r="P14" s="54"/>
      <c r="Q14" s="54"/>
      <c r="R14" s="54"/>
      <c r="S14" s="56"/>
      <c r="T14" s="44" t="str">
        <f aca="false">IF($A14="","",IF($S14="","",IFERROR(INDEX(Lists!$N$5:$N$16,MATCH($S14,Lists!$M$5:$M$16,0)),"?")))</f>
        <v/>
      </c>
      <c r="U14" s="54"/>
      <c r="V14" s="56"/>
      <c r="W14" s="54"/>
      <c r="X14" s="56"/>
      <c r="Y14" s="54"/>
      <c r="Z14" s="54"/>
      <c r="AA14" s="56"/>
      <c r="AB14" s="58"/>
      <c r="AC14" s="59"/>
      <c r="AD14" s="46" t="str">
        <f aca="false">IF(ISNUMBER($AB14),$AB14*(1+N($AC14)),"")</f>
        <v/>
      </c>
      <c r="AE14" s="58"/>
      <c r="AF14" s="58"/>
      <c r="AG14" s="59"/>
      <c r="AH14" s="47" t="str">
        <f aca="false">IF(ISNUMBER($AD14),($AD14+$AE14+$AF14)*$AG14,"")</f>
        <v/>
      </c>
      <c r="AI14" s="58"/>
      <c r="AJ14" s="46" t="str">
        <f aca="false">IF(ISNUMBER($AD14),SUM($AD14:$AH14),"")</f>
        <v/>
      </c>
      <c r="AK14" s="48" t="str">
        <f aca="false">IF(AND(ISNUMBER($AB14),ISNUMBER($AD14)),IF($AB14&gt;0,$AD14/$AB14,""),"")</f>
        <v/>
      </c>
      <c r="AL14" s="56"/>
      <c r="AM14" s="49" t="str">
        <f aca="false">IF(ISNUMBER($AD14),Header!$I$3,"")</f>
        <v/>
      </c>
      <c r="AN14" s="47" t="str">
        <f aca="false">IF(ISNUMBER($AD14),$AO14+$AP14,"")</f>
        <v/>
      </c>
      <c r="AO14" s="47" t="str">
        <f aca="false">IF(ISNUMBER($AD14),ROUND($AD14*Header!$K$3,2),"")</f>
        <v/>
      </c>
      <c r="AP14" s="47" t="str">
        <f aca="false">IF(ISNUMBER($AD14),ROUND($AD14*Header!$M$3,2),"")</f>
        <v/>
      </c>
      <c r="AQ14" s="46" t="str">
        <f aca="false">IF(ISNUMBER($AD14),ROUND($AD14,2)-$AO14-$AP14,"")</f>
        <v/>
      </c>
      <c r="AR14" s="47" t="str">
        <f aca="false">IF(ISNUMBER($AD14),IF(Header!$D$34="","?",$AD14*Header!$D$34),"")</f>
        <v/>
      </c>
      <c r="AS14" s="47" t="str">
        <f aca="false">IF(ISNUMBER($AB14),IF(Header!$D$34="","?",$AB14*Header!$D$34),"")</f>
        <v/>
      </c>
      <c r="AT14" s="50" t="str">
        <f aca="false">IF(AND(ISNUMBER($AB14),$M14&gt;0),$AB14/$M14*100,"")</f>
        <v/>
      </c>
      <c r="AU14" s="50" t="str">
        <f aca="false">IF(AND(ISNUMBER($AD14),$M14&gt;0),$AD14/$M14*100,"")</f>
        <v/>
      </c>
      <c r="AV14" s="48" t="str">
        <f aca="false">IF(AND(ISNUMBER($AB14),ISNUMBER($AD14),ABS($AB14)&gt;0),$AD14/$AB14,"")</f>
        <v/>
      </c>
      <c r="AW14" s="47" t="str">
        <f aca="false">IF(ISNUMBER($AD14),MAX(0,(1-0.55-Header!$O$3)*Header!$Q$3*$AQ14),"")</f>
        <v/>
      </c>
      <c r="AX14" s="51" t="str">
        <f aca="false">IF($A14="","",IF(TRIM(IF($A14="","Missing certificate ref. ","") &amp; IF($C14="","Missing effective date. ","") &amp; IF($D14="","Missing binding status. ","") &amp; IF($E14="","Missing movement type. ","") &amp; IF($I14="","Missing make. ","") &amp; IF($L14="","Missing vehicle class. ","") &amp; IF($M14="","Missing agreed value. ","") &amp; IF($N14="","Missing policy type. ","") &amp; IF($Q14="","Missing garaging state. ","") &amp; IF($R14="","Missing garaging ZIP. ","") &amp; IF($S14="","Missing cat zone. ","") &amp; IF($V14="","Missing valuation basis. ","") &amp; IF($W14="","Missing PD deductible. ","") &amp; IF($X14="","Missing liability limit. ","") &amp; IF($AB14="","Missing technical premium. ","") &amp; IF($AF14="","Missing surplus lines tax %. ",""))="","PASS","FAIL: "&amp;TRIM(IF($A14="","Missing certificate ref. ","") &amp; IF($C14="","Missing effective date. ","") &amp; IF($D14="","Missing binding status. ","") &amp; IF($E14="","Missing movement type. ","") &amp; IF($I14="","Missing make. ","") &amp; IF($L14="","Missing vehicle class. ","") &amp; IF($M14="","Missing agreed value. ","") &amp; IF($N14="","Missing policy type. ","") &amp; IF($Q14="","Missing garaging state. ","") &amp; IF($R14="","Missing garaging ZIP. ","") &amp; IF($S14="","Missing cat zone. ","") &amp; IF($V14="","Missing valuation basis. ","") &amp; IF($W14="","Missing PD deductible. ","") &amp; IF($X14="","Missing liability limit. ","") &amp; IF($AB14="","Missing technical premium. ","") &amp; IF($AF14="","Missing surplus lines tax %. ",""))))</f>
        <v/>
      </c>
      <c r="AY14" s="52" t="str">
        <f aca="false">IF($M14="","",IF(ISNUMBER($M14),IF($M14&gt;=Header!$C$18,"YES — refer","No"),""))</f>
        <v/>
      </c>
      <c r="AZ14" s="52" t="str">
        <f aca="false">IF($AD14="","",IF(ISNUMBER($AD14),IF($AD14&lt;Header!$C$20,"BELOW MIN PREMIUM","OK"),""))</f>
        <v/>
      </c>
      <c r="BA14" s="56"/>
      <c r="BB14" s="56"/>
      <c r="BC14" s="54"/>
      <c r="BE14" s="53" t="str">
        <f aca="false">IF(OR($A14="",$L14="",$H14=""),"",IF(AND(LEFT($L14,2)="06",$H14&gt;1945),"FAIL - pre-war class, year "&amp;$H14,IF(AND(LEFT($L14,2)="07",OR($H14&lt;1946,$H14&gt;1972)),"FAIL - 1946-72 class, year "&amp;$H14,IF(AND(LEFT($L14,2)="08",OR($H14&lt;1973,$H14&gt;1999)),"FAIL - 1973-99 class, year "&amp;$H14,IF(AND(LEFT($L14,2)="09",OR($H14&lt;2000,$H14&gt;2010)),"FAIL - 2000-10 class, year "&amp;$H14,"OK")))))</f>
        <v/>
      </c>
      <c r="BF14" s="53" t="str">
        <f aca="false">IF($AD14="","",IF(ROUND($AO14+$AP14+$AQ14-$AD14,2)=0,"OK","FAIL - out by "&amp;TEXT($AO14+$AP14+$AQ14-$AD14,"$0.00")))</f>
        <v/>
      </c>
    </row>
    <row r="15" customFormat="false" ht="15" hidden="false" customHeight="true" outlineLevel="0" collapsed="false">
      <c r="A15" s="38"/>
      <c r="B15" s="38"/>
      <c r="C15" s="39"/>
      <c r="D15" s="40"/>
      <c r="E15" s="40"/>
      <c r="F15" s="38"/>
      <c r="G15" s="41" t="str">
        <f aca="false">IF($A15="","",IF($C15="","",YEAR($C15)))</f>
        <v/>
      </c>
      <c r="H15" s="42"/>
      <c r="I15" s="38"/>
      <c r="J15" s="38"/>
      <c r="K15" s="38"/>
      <c r="L15" s="40"/>
      <c r="M15" s="43"/>
      <c r="N15" s="40"/>
      <c r="O15" s="38"/>
      <c r="P15" s="38"/>
      <c r="Q15" s="38"/>
      <c r="R15" s="38"/>
      <c r="S15" s="40"/>
      <c r="T15" s="44" t="str">
        <f aca="false">IF($A15="","",IF($S15="","",IFERROR(INDEX(Lists!$N$5:$N$16,MATCH($S15,Lists!$M$5:$M$16,0)),"?")))</f>
        <v/>
      </c>
      <c r="U15" s="38"/>
      <c r="V15" s="40"/>
      <c r="W15" s="38"/>
      <c r="X15" s="40"/>
      <c r="Y15" s="38"/>
      <c r="Z15" s="38"/>
      <c r="AA15" s="40"/>
      <c r="AB15" s="43"/>
      <c r="AC15" s="45"/>
      <c r="AD15" s="46" t="str">
        <f aca="false">IF(ISNUMBER($AB15),$AB15*(1+N($AC15)),"")</f>
        <v/>
      </c>
      <c r="AE15" s="43"/>
      <c r="AF15" s="43"/>
      <c r="AG15" s="45"/>
      <c r="AH15" s="47" t="str">
        <f aca="false">IF(ISNUMBER($AD15),($AD15+$AE15+$AF15)*$AG15,"")</f>
        <v/>
      </c>
      <c r="AI15" s="43"/>
      <c r="AJ15" s="46" t="str">
        <f aca="false">IF(ISNUMBER($AD15),SUM($AD15:$AH15),"")</f>
        <v/>
      </c>
      <c r="AK15" s="48" t="str">
        <f aca="false">IF(AND(ISNUMBER($AB15),ISNUMBER($AD15)),IF($AB15&gt;0,$AD15/$AB15,""),"")</f>
        <v/>
      </c>
      <c r="AL15" s="40"/>
      <c r="AM15" s="49" t="str">
        <f aca="false">IF(ISNUMBER($AD15),Header!$I$3,"")</f>
        <v/>
      </c>
      <c r="AN15" s="47" t="str">
        <f aca="false">IF(ISNUMBER($AD15),$AO15+$AP15,"")</f>
        <v/>
      </c>
      <c r="AO15" s="47" t="str">
        <f aca="false">IF(ISNUMBER($AD15),ROUND($AD15*Header!$K$3,2),"")</f>
        <v/>
      </c>
      <c r="AP15" s="47" t="str">
        <f aca="false">IF(ISNUMBER($AD15),ROUND($AD15*Header!$M$3,2),"")</f>
        <v/>
      </c>
      <c r="AQ15" s="46" t="str">
        <f aca="false">IF(ISNUMBER($AD15),ROUND($AD15,2)-$AO15-$AP15,"")</f>
        <v/>
      </c>
      <c r="AR15" s="47" t="str">
        <f aca="false">IF(ISNUMBER($AD15),IF(Header!$D$34="","?",$AD15*Header!$D$34),"")</f>
        <v/>
      </c>
      <c r="AS15" s="47" t="str">
        <f aca="false">IF(ISNUMBER($AB15),IF(Header!$D$34="","?",$AB15*Header!$D$34),"")</f>
        <v/>
      </c>
      <c r="AT15" s="50" t="str">
        <f aca="false">IF(AND(ISNUMBER($AB15),$M15&gt;0),$AB15/$M15*100,"")</f>
        <v/>
      </c>
      <c r="AU15" s="50" t="str">
        <f aca="false">IF(AND(ISNUMBER($AD15),$M15&gt;0),$AD15/$M15*100,"")</f>
        <v/>
      </c>
      <c r="AV15" s="48" t="str">
        <f aca="false">IF(AND(ISNUMBER($AB15),ISNUMBER($AD15),ABS($AB15)&gt;0),$AD15/$AB15,"")</f>
        <v/>
      </c>
      <c r="AW15" s="47" t="str">
        <f aca="false">IF(ISNUMBER($AD15),MAX(0,(1-0.55-Header!$O$3)*Header!$Q$3*$AQ15),"")</f>
        <v/>
      </c>
      <c r="AX15" s="51" t="str">
        <f aca="false">IF($A15="","",IF(TRIM(IF($A15="","Missing certificate ref. ","") &amp; IF($C15="","Missing effective date. ","") &amp; IF($D15="","Missing binding status. ","") &amp; IF($E15="","Missing movement type. ","") &amp; IF($I15="","Missing make. ","") &amp; IF($L15="","Missing vehicle class. ","") &amp; IF($M15="","Missing agreed value. ","") &amp; IF($N15="","Missing policy type. ","") &amp; IF($Q15="","Missing garaging state. ","") &amp; IF($R15="","Missing garaging ZIP. ","") &amp; IF($S15="","Missing cat zone. ","") &amp; IF($V15="","Missing valuation basis. ","") &amp; IF($W15="","Missing PD deductible. ","") &amp; IF($X15="","Missing liability limit. ","") &amp; IF($AB15="","Missing technical premium. ","") &amp; IF($AF15="","Missing surplus lines tax %. ",""))="","PASS","FAIL: "&amp;TRIM(IF($A15="","Missing certificate ref. ","") &amp; IF($C15="","Missing effective date. ","") &amp; IF($D15="","Missing binding status. ","") &amp; IF($E15="","Missing movement type. ","") &amp; IF($I15="","Missing make. ","") &amp; IF($L15="","Missing vehicle class. ","") &amp; IF($M15="","Missing agreed value. ","") &amp; IF($N15="","Missing policy type. ","") &amp; IF($Q15="","Missing garaging state. ","") &amp; IF($R15="","Missing garaging ZIP. ","") &amp; IF($S15="","Missing cat zone. ","") &amp; IF($V15="","Missing valuation basis. ","") &amp; IF($W15="","Missing PD deductible. ","") &amp; IF($X15="","Missing liability limit. ","") &amp; IF($AB15="","Missing technical premium. ","") &amp; IF($AF15="","Missing surplus lines tax %. ",""))))</f>
        <v/>
      </c>
      <c r="AY15" s="52" t="str">
        <f aca="false">IF($M15="","",IF(ISNUMBER($M15),IF($M15&gt;=Header!$C$18,"YES — refer","No"),""))</f>
        <v/>
      </c>
      <c r="AZ15" s="52" t="str">
        <f aca="false">IF($AD15="","",IF(ISNUMBER($AD15),IF($AD15&lt;Header!$C$20,"BELOW MIN PREMIUM","OK"),""))</f>
        <v/>
      </c>
      <c r="BA15" s="40"/>
      <c r="BB15" s="40"/>
      <c r="BC15" s="38"/>
      <c r="BE15" s="53" t="str">
        <f aca="false">IF(OR($A15="",$L15="",$H15=""),"",IF(AND(LEFT($L15,2)="06",$H15&gt;1945),"FAIL - pre-war class, year "&amp;$H15,IF(AND(LEFT($L15,2)="07",OR($H15&lt;1946,$H15&gt;1972)),"FAIL - 1946-72 class, year "&amp;$H15,IF(AND(LEFT($L15,2)="08",OR($H15&lt;1973,$H15&gt;1999)),"FAIL - 1973-99 class, year "&amp;$H15,IF(AND(LEFT($L15,2)="09",OR($H15&lt;2000,$H15&gt;2010)),"FAIL - 2000-10 class, year "&amp;$H15,"OK")))))</f>
        <v/>
      </c>
      <c r="BF15" s="53" t="str">
        <f aca="false">IF($AD15="","",IF(ROUND($AO15+$AP15+$AQ15-$AD15,2)=0,"OK","FAIL - out by "&amp;TEXT($AO15+$AP15+$AQ15-$AD15,"$0.00")))</f>
        <v/>
      </c>
    </row>
    <row r="16" customFormat="false" ht="15" hidden="false" customHeight="true" outlineLevel="0" collapsed="false">
      <c r="A16" s="54"/>
      <c r="B16" s="54"/>
      <c r="C16" s="55"/>
      <c r="D16" s="56"/>
      <c r="E16" s="56"/>
      <c r="F16" s="54"/>
      <c r="G16" s="41" t="str">
        <f aca="false">IF($A16="","",IF($C16="","",YEAR($C16)))</f>
        <v/>
      </c>
      <c r="H16" s="57"/>
      <c r="I16" s="54"/>
      <c r="J16" s="54"/>
      <c r="K16" s="54"/>
      <c r="L16" s="56"/>
      <c r="M16" s="58"/>
      <c r="N16" s="56"/>
      <c r="O16" s="54"/>
      <c r="P16" s="54"/>
      <c r="Q16" s="54"/>
      <c r="R16" s="54"/>
      <c r="S16" s="56"/>
      <c r="T16" s="44" t="str">
        <f aca="false">IF($A16="","",IF($S16="","",IFERROR(INDEX(Lists!$N$5:$N$16,MATCH($S16,Lists!$M$5:$M$16,0)),"?")))</f>
        <v/>
      </c>
      <c r="U16" s="54"/>
      <c r="V16" s="56"/>
      <c r="W16" s="54"/>
      <c r="X16" s="56"/>
      <c r="Y16" s="54"/>
      <c r="Z16" s="54"/>
      <c r="AA16" s="56"/>
      <c r="AB16" s="58"/>
      <c r="AC16" s="59"/>
      <c r="AD16" s="46" t="str">
        <f aca="false">IF(ISNUMBER($AB16),$AB16*(1+N($AC16)),"")</f>
        <v/>
      </c>
      <c r="AE16" s="58"/>
      <c r="AF16" s="58"/>
      <c r="AG16" s="59"/>
      <c r="AH16" s="47" t="str">
        <f aca="false">IF(ISNUMBER($AD16),($AD16+$AE16+$AF16)*$AG16,"")</f>
        <v/>
      </c>
      <c r="AI16" s="58"/>
      <c r="AJ16" s="46" t="str">
        <f aca="false">IF(ISNUMBER($AD16),SUM($AD16:$AH16),"")</f>
        <v/>
      </c>
      <c r="AK16" s="48" t="str">
        <f aca="false">IF(AND(ISNUMBER($AB16),ISNUMBER($AD16)),IF($AB16&gt;0,$AD16/$AB16,""),"")</f>
        <v/>
      </c>
      <c r="AL16" s="56"/>
      <c r="AM16" s="49" t="str">
        <f aca="false">IF(ISNUMBER($AD16),Header!$I$3,"")</f>
        <v/>
      </c>
      <c r="AN16" s="47" t="str">
        <f aca="false">IF(ISNUMBER($AD16),$AO16+$AP16,"")</f>
        <v/>
      </c>
      <c r="AO16" s="47" t="str">
        <f aca="false">IF(ISNUMBER($AD16),ROUND($AD16*Header!$K$3,2),"")</f>
        <v/>
      </c>
      <c r="AP16" s="47" t="str">
        <f aca="false">IF(ISNUMBER($AD16),ROUND($AD16*Header!$M$3,2),"")</f>
        <v/>
      </c>
      <c r="AQ16" s="46" t="str">
        <f aca="false">IF(ISNUMBER($AD16),ROUND($AD16,2)-$AO16-$AP16,"")</f>
        <v/>
      </c>
      <c r="AR16" s="47" t="str">
        <f aca="false">IF(ISNUMBER($AD16),IF(Header!$D$34="","?",$AD16*Header!$D$34),"")</f>
        <v/>
      </c>
      <c r="AS16" s="47" t="str">
        <f aca="false">IF(ISNUMBER($AB16),IF(Header!$D$34="","?",$AB16*Header!$D$34),"")</f>
        <v/>
      </c>
      <c r="AT16" s="50" t="str">
        <f aca="false">IF(AND(ISNUMBER($AB16),$M16&gt;0),$AB16/$M16*100,"")</f>
        <v/>
      </c>
      <c r="AU16" s="50" t="str">
        <f aca="false">IF(AND(ISNUMBER($AD16),$M16&gt;0),$AD16/$M16*100,"")</f>
        <v/>
      </c>
      <c r="AV16" s="48" t="str">
        <f aca="false">IF(AND(ISNUMBER($AB16),ISNUMBER($AD16),ABS($AB16)&gt;0),$AD16/$AB16,"")</f>
        <v/>
      </c>
      <c r="AW16" s="47" t="str">
        <f aca="false">IF(ISNUMBER($AD16),MAX(0,(1-0.55-Header!$O$3)*Header!$Q$3*$AQ16),"")</f>
        <v/>
      </c>
      <c r="AX16" s="51" t="str">
        <f aca="false">IF($A16="","",IF(TRIM(IF($A16="","Missing certificate ref. ","") &amp; IF($C16="","Missing effective date. ","") &amp; IF($D16="","Missing binding status. ","") &amp; IF($E16="","Missing movement type. ","") &amp; IF($I16="","Missing make. ","") &amp; IF($L16="","Missing vehicle class. ","") &amp; IF($M16="","Missing agreed value. ","") &amp; IF($N16="","Missing policy type. ","") &amp; IF($Q16="","Missing garaging state. ","") &amp; IF($R16="","Missing garaging ZIP. ","") &amp; IF($S16="","Missing cat zone. ","") &amp; IF($V16="","Missing valuation basis. ","") &amp; IF($W16="","Missing PD deductible. ","") &amp; IF($X16="","Missing liability limit. ","") &amp; IF($AB16="","Missing technical premium. ","") &amp; IF($AF16="","Missing surplus lines tax %. ",""))="","PASS","FAIL: "&amp;TRIM(IF($A16="","Missing certificate ref. ","") &amp; IF($C16="","Missing effective date. ","") &amp; IF($D16="","Missing binding status. ","") &amp; IF($E16="","Missing movement type. ","") &amp; IF($I16="","Missing make. ","") &amp; IF($L16="","Missing vehicle class. ","") &amp; IF($M16="","Missing agreed value. ","") &amp; IF($N16="","Missing policy type. ","") &amp; IF($Q16="","Missing garaging state. ","") &amp; IF($R16="","Missing garaging ZIP. ","") &amp; IF($S16="","Missing cat zone. ","") &amp; IF($V16="","Missing valuation basis. ","") &amp; IF($W16="","Missing PD deductible. ","") &amp; IF($X16="","Missing liability limit. ","") &amp; IF($AB16="","Missing technical premium. ","") &amp; IF($AF16="","Missing surplus lines tax %. ",""))))</f>
        <v/>
      </c>
      <c r="AY16" s="52" t="str">
        <f aca="false">IF($M16="","",IF(ISNUMBER($M16),IF($M16&gt;=Header!$C$18,"YES — refer","No"),""))</f>
        <v/>
      </c>
      <c r="AZ16" s="52" t="str">
        <f aca="false">IF($AD16="","",IF(ISNUMBER($AD16),IF($AD16&lt;Header!$C$20,"BELOW MIN PREMIUM","OK"),""))</f>
        <v/>
      </c>
      <c r="BA16" s="56"/>
      <c r="BB16" s="56"/>
      <c r="BC16" s="54"/>
      <c r="BE16" s="53" t="str">
        <f aca="false">IF(OR($A16="",$L16="",$H16=""),"",IF(AND(LEFT($L16,2)="06",$H16&gt;1945),"FAIL - pre-war class, year "&amp;$H16,IF(AND(LEFT($L16,2)="07",OR($H16&lt;1946,$H16&gt;1972)),"FAIL - 1946-72 class, year "&amp;$H16,IF(AND(LEFT($L16,2)="08",OR($H16&lt;1973,$H16&gt;1999)),"FAIL - 1973-99 class, year "&amp;$H16,IF(AND(LEFT($L16,2)="09",OR($H16&lt;2000,$H16&gt;2010)),"FAIL - 2000-10 class, year "&amp;$H16,"OK")))))</f>
        <v/>
      </c>
      <c r="BF16" s="53" t="str">
        <f aca="false">IF($AD16="","",IF(ROUND($AO16+$AP16+$AQ16-$AD16,2)=0,"OK","FAIL - out by "&amp;TEXT($AO16+$AP16+$AQ16-$AD16,"$0.00")))</f>
        <v/>
      </c>
    </row>
    <row r="17" customFormat="false" ht="15" hidden="false" customHeight="true" outlineLevel="0" collapsed="false">
      <c r="A17" s="38"/>
      <c r="B17" s="38"/>
      <c r="C17" s="39"/>
      <c r="D17" s="40"/>
      <c r="E17" s="40"/>
      <c r="F17" s="38"/>
      <c r="G17" s="41" t="str">
        <f aca="false">IF($A17="","",IF($C17="","",YEAR($C17)))</f>
        <v/>
      </c>
      <c r="H17" s="42"/>
      <c r="I17" s="38"/>
      <c r="J17" s="38"/>
      <c r="K17" s="38"/>
      <c r="L17" s="40"/>
      <c r="M17" s="43"/>
      <c r="N17" s="40"/>
      <c r="O17" s="38"/>
      <c r="P17" s="38"/>
      <c r="Q17" s="38"/>
      <c r="R17" s="38"/>
      <c r="S17" s="40"/>
      <c r="T17" s="44" t="str">
        <f aca="false">IF($A17="","",IF($S17="","",IFERROR(INDEX(Lists!$N$5:$N$16,MATCH($S17,Lists!$M$5:$M$16,0)),"?")))</f>
        <v/>
      </c>
      <c r="U17" s="38"/>
      <c r="V17" s="40"/>
      <c r="W17" s="38"/>
      <c r="X17" s="40"/>
      <c r="Y17" s="38"/>
      <c r="Z17" s="38"/>
      <c r="AA17" s="40"/>
      <c r="AB17" s="43"/>
      <c r="AC17" s="45"/>
      <c r="AD17" s="46" t="str">
        <f aca="false">IF(ISNUMBER($AB17),$AB17*(1+N($AC17)),"")</f>
        <v/>
      </c>
      <c r="AE17" s="43"/>
      <c r="AF17" s="43"/>
      <c r="AG17" s="45"/>
      <c r="AH17" s="47" t="str">
        <f aca="false">IF(ISNUMBER($AD17),($AD17+$AE17+$AF17)*$AG17,"")</f>
        <v/>
      </c>
      <c r="AI17" s="43"/>
      <c r="AJ17" s="46" t="str">
        <f aca="false">IF(ISNUMBER($AD17),SUM($AD17:$AH17),"")</f>
        <v/>
      </c>
      <c r="AK17" s="48" t="str">
        <f aca="false">IF(AND(ISNUMBER($AB17),ISNUMBER($AD17)),IF($AB17&gt;0,$AD17/$AB17,""),"")</f>
        <v/>
      </c>
      <c r="AL17" s="40"/>
      <c r="AM17" s="49" t="str">
        <f aca="false">IF(ISNUMBER($AD17),Header!$I$3,"")</f>
        <v/>
      </c>
      <c r="AN17" s="47" t="str">
        <f aca="false">IF(ISNUMBER($AD17),$AO17+$AP17,"")</f>
        <v/>
      </c>
      <c r="AO17" s="47" t="str">
        <f aca="false">IF(ISNUMBER($AD17),ROUND($AD17*Header!$K$3,2),"")</f>
        <v/>
      </c>
      <c r="AP17" s="47" t="str">
        <f aca="false">IF(ISNUMBER($AD17),ROUND($AD17*Header!$M$3,2),"")</f>
        <v/>
      </c>
      <c r="AQ17" s="46" t="str">
        <f aca="false">IF(ISNUMBER($AD17),ROUND($AD17,2)-$AO17-$AP17,"")</f>
        <v/>
      </c>
      <c r="AR17" s="47" t="str">
        <f aca="false">IF(ISNUMBER($AD17),IF(Header!$D$34="","?",$AD17*Header!$D$34),"")</f>
        <v/>
      </c>
      <c r="AS17" s="47" t="str">
        <f aca="false">IF(ISNUMBER($AB17),IF(Header!$D$34="","?",$AB17*Header!$D$34),"")</f>
        <v/>
      </c>
      <c r="AT17" s="50" t="str">
        <f aca="false">IF(AND(ISNUMBER($AB17),$M17&gt;0),$AB17/$M17*100,"")</f>
        <v/>
      </c>
      <c r="AU17" s="50" t="str">
        <f aca="false">IF(AND(ISNUMBER($AD17),$M17&gt;0),$AD17/$M17*100,"")</f>
        <v/>
      </c>
      <c r="AV17" s="48" t="str">
        <f aca="false">IF(AND(ISNUMBER($AB17),ISNUMBER($AD17),ABS($AB17)&gt;0),$AD17/$AB17,"")</f>
        <v/>
      </c>
      <c r="AW17" s="47" t="str">
        <f aca="false">IF(ISNUMBER($AD17),MAX(0,(1-0.55-Header!$O$3)*Header!$Q$3*$AQ17),"")</f>
        <v/>
      </c>
      <c r="AX17" s="51" t="str">
        <f aca="false">IF($A17="","",IF(TRIM(IF($A17="","Missing certificate ref. ","") &amp; IF($C17="","Missing effective date. ","") &amp; IF($D17="","Missing binding status. ","") &amp; IF($E17="","Missing movement type. ","") &amp; IF($I17="","Missing make. ","") &amp; IF($L17="","Missing vehicle class. ","") &amp; IF($M17="","Missing agreed value. ","") &amp; IF($N17="","Missing policy type. ","") &amp; IF($Q17="","Missing garaging state. ","") &amp; IF($R17="","Missing garaging ZIP. ","") &amp; IF($S17="","Missing cat zone. ","") &amp; IF($V17="","Missing valuation basis. ","") &amp; IF($W17="","Missing PD deductible. ","") &amp; IF($X17="","Missing liability limit. ","") &amp; IF($AB17="","Missing technical premium. ","") &amp; IF($AF17="","Missing surplus lines tax %. ",""))="","PASS","FAIL: "&amp;TRIM(IF($A17="","Missing certificate ref. ","") &amp; IF($C17="","Missing effective date. ","") &amp; IF($D17="","Missing binding status. ","") &amp; IF($E17="","Missing movement type. ","") &amp; IF($I17="","Missing make. ","") &amp; IF($L17="","Missing vehicle class. ","") &amp; IF($M17="","Missing agreed value. ","") &amp; IF($N17="","Missing policy type. ","") &amp; IF($Q17="","Missing garaging state. ","") &amp; IF($R17="","Missing garaging ZIP. ","") &amp; IF($S17="","Missing cat zone. ","") &amp; IF($V17="","Missing valuation basis. ","") &amp; IF($W17="","Missing PD deductible. ","") &amp; IF($X17="","Missing liability limit. ","") &amp; IF($AB17="","Missing technical premium. ","") &amp; IF($AF17="","Missing surplus lines tax %. ",""))))</f>
        <v/>
      </c>
      <c r="AY17" s="52" t="str">
        <f aca="false">IF($M17="","",IF(ISNUMBER($M17),IF($M17&gt;=Header!$C$18,"YES — refer","No"),""))</f>
        <v/>
      </c>
      <c r="AZ17" s="52" t="str">
        <f aca="false">IF($AD17="","",IF(ISNUMBER($AD17),IF($AD17&lt;Header!$C$20,"BELOW MIN PREMIUM","OK"),""))</f>
        <v/>
      </c>
      <c r="BA17" s="40"/>
      <c r="BB17" s="40"/>
      <c r="BC17" s="38"/>
      <c r="BE17" s="53" t="str">
        <f aca="false">IF(OR($A17="",$L17="",$H17=""),"",IF(AND(LEFT($L17,2)="06",$H17&gt;1945),"FAIL - pre-war class, year "&amp;$H17,IF(AND(LEFT($L17,2)="07",OR($H17&lt;1946,$H17&gt;1972)),"FAIL - 1946-72 class, year "&amp;$H17,IF(AND(LEFT($L17,2)="08",OR($H17&lt;1973,$H17&gt;1999)),"FAIL - 1973-99 class, year "&amp;$H17,IF(AND(LEFT($L17,2)="09",OR($H17&lt;2000,$H17&gt;2010)),"FAIL - 2000-10 class, year "&amp;$H17,"OK")))))</f>
        <v/>
      </c>
      <c r="BF17" s="53" t="str">
        <f aca="false">IF($AD17="","",IF(ROUND($AO17+$AP17+$AQ17-$AD17,2)=0,"OK","FAIL - out by "&amp;TEXT($AO17+$AP17+$AQ17-$AD17,"$0.00")))</f>
        <v/>
      </c>
    </row>
    <row r="18" customFormat="false" ht="15" hidden="false" customHeight="true" outlineLevel="0" collapsed="false">
      <c r="A18" s="54"/>
      <c r="B18" s="54"/>
      <c r="C18" s="55"/>
      <c r="D18" s="56"/>
      <c r="E18" s="56"/>
      <c r="F18" s="54"/>
      <c r="G18" s="41" t="str">
        <f aca="false">IF($A18="","",IF($C18="","",YEAR($C18)))</f>
        <v/>
      </c>
      <c r="H18" s="57"/>
      <c r="I18" s="54"/>
      <c r="J18" s="54"/>
      <c r="K18" s="54"/>
      <c r="L18" s="56"/>
      <c r="M18" s="58"/>
      <c r="N18" s="56"/>
      <c r="O18" s="54"/>
      <c r="P18" s="54"/>
      <c r="Q18" s="54"/>
      <c r="R18" s="54"/>
      <c r="S18" s="56"/>
      <c r="T18" s="44" t="str">
        <f aca="false">IF($A18="","",IF($S18="","",IFERROR(INDEX(Lists!$N$5:$N$16,MATCH($S18,Lists!$M$5:$M$16,0)),"?")))</f>
        <v/>
      </c>
      <c r="U18" s="54"/>
      <c r="V18" s="56"/>
      <c r="W18" s="54"/>
      <c r="X18" s="56"/>
      <c r="Y18" s="54"/>
      <c r="Z18" s="54"/>
      <c r="AA18" s="56"/>
      <c r="AB18" s="58"/>
      <c r="AC18" s="59"/>
      <c r="AD18" s="46" t="str">
        <f aca="false">IF(ISNUMBER($AB18),$AB18*(1+N($AC18)),"")</f>
        <v/>
      </c>
      <c r="AE18" s="58"/>
      <c r="AF18" s="58"/>
      <c r="AG18" s="59"/>
      <c r="AH18" s="47" t="str">
        <f aca="false">IF(ISNUMBER($AD18),($AD18+$AE18+$AF18)*$AG18,"")</f>
        <v/>
      </c>
      <c r="AI18" s="58"/>
      <c r="AJ18" s="46" t="str">
        <f aca="false">IF(ISNUMBER($AD18),SUM($AD18:$AH18),"")</f>
        <v/>
      </c>
      <c r="AK18" s="48" t="str">
        <f aca="false">IF(AND(ISNUMBER($AB18),ISNUMBER($AD18)),IF($AB18&gt;0,$AD18/$AB18,""),"")</f>
        <v/>
      </c>
      <c r="AL18" s="56"/>
      <c r="AM18" s="49" t="str">
        <f aca="false">IF(ISNUMBER($AD18),Header!$I$3,"")</f>
        <v/>
      </c>
      <c r="AN18" s="47" t="str">
        <f aca="false">IF(ISNUMBER($AD18),$AO18+$AP18,"")</f>
        <v/>
      </c>
      <c r="AO18" s="47" t="str">
        <f aca="false">IF(ISNUMBER($AD18),ROUND($AD18*Header!$K$3,2),"")</f>
        <v/>
      </c>
      <c r="AP18" s="47" t="str">
        <f aca="false">IF(ISNUMBER($AD18),ROUND($AD18*Header!$M$3,2),"")</f>
        <v/>
      </c>
      <c r="AQ18" s="46" t="str">
        <f aca="false">IF(ISNUMBER($AD18),ROUND($AD18,2)-$AO18-$AP18,"")</f>
        <v/>
      </c>
      <c r="AR18" s="47" t="str">
        <f aca="false">IF(ISNUMBER($AD18),IF(Header!$D$34="","?",$AD18*Header!$D$34),"")</f>
        <v/>
      </c>
      <c r="AS18" s="47" t="str">
        <f aca="false">IF(ISNUMBER($AB18),IF(Header!$D$34="","?",$AB18*Header!$D$34),"")</f>
        <v/>
      </c>
      <c r="AT18" s="50" t="str">
        <f aca="false">IF(AND(ISNUMBER($AB18),$M18&gt;0),$AB18/$M18*100,"")</f>
        <v/>
      </c>
      <c r="AU18" s="50" t="str">
        <f aca="false">IF(AND(ISNUMBER($AD18),$M18&gt;0),$AD18/$M18*100,"")</f>
        <v/>
      </c>
      <c r="AV18" s="48" t="str">
        <f aca="false">IF(AND(ISNUMBER($AB18),ISNUMBER($AD18),ABS($AB18)&gt;0),$AD18/$AB18,"")</f>
        <v/>
      </c>
      <c r="AW18" s="47" t="str">
        <f aca="false">IF(ISNUMBER($AD18),MAX(0,(1-0.55-Header!$O$3)*Header!$Q$3*$AQ18),"")</f>
        <v/>
      </c>
      <c r="AX18" s="51" t="str">
        <f aca="false">IF($A18="","",IF(TRIM(IF($A18="","Missing certificate ref. ","") &amp; IF($C18="","Missing effective date. ","") &amp; IF($D18="","Missing binding status. ","") &amp; IF($E18="","Missing movement type. ","") &amp; IF($I18="","Missing make. ","") &amp; IF($L18="","Missing vehicle class. ","") &amp; IF($M18="","Missing agreed value. ","") &amp; IF($N18="","Missing policy type. ","") &amp; IF($Q18="","Missing garaging state. ","") &amp; IF($R18="","Missing garaging ZIP. ","") &amp; IF($S18="","Missing cat zone. ","") &amp; IF($V18="","Missing valuation basis. ","") &amp; IF($W18="","Missing PD deductible. ","") &amp; IF($X18="","Missing liability limit. ","") &amp; IF($AB18="","Missing technical premium. ","") &amp; IF($AF18="","Missing surplus lines tax %. ",""))="","PASS","FAIL: "&amp;TRIM(IF($A18="","Missing certificate ref. ","") &amp; IF($C18="","Missing effective date. ","") &amp; IF($D18="","Missing binding status. ","") &amp; IF($E18="","Missing movement type. ","") &amp; IF($I18="","Missing make. ","") &amp; IF($L18="","Missing vehicle class. ","") &amp; IF($M18="","Missing agreed value. ","") &amp; IF($N18="","Missing policy type. ","") &amp; IF($Q18="","Missing garaging state. ","") &amp; IF($R18="","Missing garaging ZIP. ","") &amp; IF($S18="","Missing cat zone. ","") &amp; IF($V18="","Missing valuation basis. ","") &amp; IF($W18="","Missing PD deductible. ","") &amp; IF($X18="","Missing liability limit. ","") &amp; IF($AB18="","Missing technical premium. ","") &amp; IF($AF18="","Missing surplus lines tax %. ",""))))</f>
        <v/>
      </c>
      <c r="AY18" s="52" t="str">
        <f aca="false">IF($M18="","",IF(ISNUMBER($M18),IF($M18&gt;=Header!$C$18,"YES — refer","No"),""))</f>
        <v/>
      </c>
      <c r="AZ18" s="52" t="str">
        <f aca="false">IF($AD18="","",IF(ISNUMBER($AD18),IF($AD18&lt;Header!$C$20,"BELOW MIN PREMIUM","OK"),""))</f>
        <v/>
      </c>
      <c r="BA18" s="56"/>
      <c r="BB18" s="56"/>
      <c r="BC18" s="54"/>
      <c r="BE18" s="53" t="str">
        <f aca="false">IF(OR($A18="",$L18="",$H18=""),"",IF(AND(LEFT($L18,2)="06",$H18&gt;1945),"FAIL - pre-war class, year "&amp;$H18,IF(AND(LEFT($L18,2)="07",OR($H18&lt;1946,$H18&gt;1972)),"FAIL - 1946-72 class, year "&amp;$H18,IF(AND(LEFT($L18,2)="08",OR($H18&lt;1973,$H18&gt;1999)),"FAIL - 1973-99 class, year "&amp;$H18,IF(AND(LEFT($L18,2)="09",OR($H18&lt;2000,$H18&gt;2010)),"FAIL - 2000-10 class, year "&amp;$H18,"OK")))))</f>
        <v/>
      </c>
      <c r="BF18" s="53" t="str">
        <f aca="false">IF($AD18="","",IF(ROUND($AO18+$AP18+$AQ18-$AD18,2)=0,"OK","FAIL - out by "&amp;TEXT($AO18+$AP18+$AQ18-$AD18,"$0.00")))</f>
        <v/>
      </c>
    </row>
    <row r="19" customFormat="false" ht="15" hidden="false" customHeight="true" outlineLevel="0" collapsed="false">
      <c r="A19" s="38"/>
      <c r="B19" s="38"/>
      <c r="C19" s="39"/>
      <c r="D19" s="40"/>
      <c r="E19" s="40"/>
      <c r="F19" s="38"/>
      <c r="G19" s="41" t="str">
        <f aca="false">IF($A19="","",IF($C19="","",YEAR($C19)))</f>
        <v/>
      </c>
      <c r="H19" s="42"/>
      <c r="I19" s="38"/>
      <c r="J19" s="38"/>
      <c r="K19" s="38"/>
      <c r="L19" s="40"/>
      <c r="M19" s="43"/>
      <c r="N19" s="40"/>
      <c r="O19" s="38"/>
      <c r="P19" s="38"/>
      <c r="Q19" s="38"/>
      <c r="R19" s="38"/>
      <c r="S19" s="40"/>
      <c r="T19" s="44" t="str">
        <f aca="false">IF($A19="","",IF($S19="","",IFERROR(INDEX(Lists!$N$5:$N$16,MATCH($S19,Lists!$M$5:$M$16,0)),"?")))</f>
        <v/>
      </c>
      <c r="U19" s="38"/>
      <c r="V19" s="40"/>
      <c r="W19" s="38"/>
      <c r="X19" s="40"/>
      <c r="Y19" s="38"/>
      <c r="Z19" s="38"/>
      <c r="AA19" s="40"/>
      <c r="AB19" s="43"/>
      <c r="AC19" s="45"/>
      <c r="AD19" s="46" t="str">
        <f aca="false">IF(ISNUMBER($AB19),$AB19*(1+N($AC19)),"")</f>
        <v/>
      </c>
      <c r="AE19" s="43"/>
      <c r="AF19" s="43"/>
      <c r="AG19" s="45"/>
      <c r="AH19" s="47" t="str">
        <f aca="false">IF(ISNUMBER($AD19),($AD19+$AE19+$AF19)*$AG19,"")</f>
        <v/>
      </c>
      <c r="AI19" s="43"/>
      <c r="AJ19" s="46" t="str">
        <f aca="false">IF(ISNUMBER($AD19),SUM($AD19:$AH19),"")</f>
        <v/>
      </c>
      <c r="AK19" s="48" t="str">
        <f aca="false">IF(AND(ISNUMBER($AB19),ISNUMBER($AD19)),IF($AB19&gt;0,$AD19/$AB19,""),"")</f>
        <v/>
      </c>
      <c r="AL19" s="40"/>
      <c r="AM19" s="49" t="str">
        <f aca="false">IF(ISNUMBER($AD19),Header!$I$3,"")</f>
        <v/>
      </c>
      <c r="AN19" s="47" t="str">
        <f aca="false">IF(ISNUMBER($AD19),$AO19+$AP19,"")</f>
        <v/>
      </c>
      <c r="AO19" s="47" t="str">
        <f aca="false">IF(ISNUMBER($AD19),ROUND($AD19*Header!$K$3,2),"")</f>
        <v/>
      </c>
      <c r="AP19" s="47" t="str">
        <f aca="false">IF(ISNUMBER($AD19),ROUND($AD19*Header!$M$3,2),"")</f>
        <v/>
      </c>
      <c r="AQ19" s="46" t="str">
        <f aca="false">IF(ISNUMBER($AD19),ROUND($AD19,2)-$AO19-$AP19,"")</f>
        <v/>
      </c>
      <c r="AR19" s="47" t="str">
        <f aca="false">IF(ISNUMBER($AD19),IF(Header!$D$34="","?",$AD19*Header!$D$34),"")</f>
        <v/>
      </c>
      <c r="AS19" s="47" t="str">
        <f aca="false">IF(ISNUMBER($AB19),IF(Header!$D$34="","?",$AB19*Header!$D$34),"")</f>
        <v/>
      </c>
      <c r="AT19" s="50" t="str">
        <f aca="false">IF(AND(ISNUMBER($AB19),$M19&gt;0),$AB19/$M19*100,"")</f>
        <v/>
      </c>
      <c r="AU19" s="50" t="str">
        <f aca="false">IF(AND(ISNUMBER($AD19),$M19&gt;0),$AD19/$M19*100,"")</f>
        <v/>
      </c>
      <c r="AV19" s="48" t="str">
        <f aca="false">IF(AND(ISNUMBER($AB19),ISNUMBER($AD19),ABS($AB19)&gt;0),$AD19/$AB19,"")</f>
        <v/>
      </c>
      <c r="AW19" s="47" t="str">
        <f aca="false">IF(ISNUMBER($AD19),MAX(0,(1-0.55-Header!$O$3)*Header!$Q$3*$AQ19),"")</f>
        <v/>
      </c>
      <c r="AX19" s="51" t="str">
        <f aca="false">IF($A19="","",IF(TRIM(IF($A19="","Missing certificate ref. ","") &amp; IF($C19="","Missing effective date. ","") &amp; IF($D19="","Missing binding status. ","") &amp; IF($E19="","Missing movement type. ","") &amp; IF($I19="","Missing make. ","") &amp; IF($L19="","Missing vehicle class. ","") &amp; IF($M19="","Missing agreed value. ","") &amp; IF($N19="","Missing policy type. ","") &amp; IF($Q19="","Missing garaging state. ","") &amp; IF($R19="","Missing garaging ZIP. ","") &amp; IF($S19="","Missing cat zone. ","") &amp; IF($V19="","Missing valuation basis. ","") &amp; IF($W19="","Missing PD deductible. ","") &amp; IF($X19="","Missing liability limit. ","") &amp; IF($AB19="","Missing technical premium. ","") &amp; IF($AF19="","Missing surplus lines tax %. ",""))="","PASS","FAIL: "&amp;TRIM(IF($A19="","Missing certificate ref. ","") &amp; IF($C19="","Missing effective date. ","") &amp; IF($D19="","Missing binding status. ","") &amp; IF($E19="","Missing movement type. ","") &amp; IF($I19="","Missing make. ","") &amp; IF($L19="","Missing vehicle class. ","") &amp; IF($M19="","Missing agreed value. ","") &amp; IF($N19="","Missing policy type. ","") &amp; IF($Q19="","Missing garaging state. ","") &amp; IF($R19="","Missing garaging ZIP. ","") &amp; IF($S19="","Missing cat zone. ","") &amp; IF($V19="","Missing valuation basis. ","") &amp; IF($W19="","Missing PD deductible. ","") &amp; IF($X19="","Missing liability limit. ","") &amp; IF($AB19="","Missing technical premium. ","") &amp; IF($AF19="","Missing surplus lines tax %. ",""))))</f>
        <v/>
      </c>
      <c r="AY19" s="52" t="str">
        <f aca="false">IF($M19="","",IF(ISNUMBER($M19),IF($M19&gt;=Header!$C$18,"YES — refer","No"),""))</f>
        <v/>
      </c>
      <c r="AZ19" s="52" t="str">
        <f aca="false">IF($AD19="","",IF(ISNUMBER($AD19),IF($AD19&lt;Header!$C$20,"BELOW MIN PREMIUM","OK"),""))</f>
        <v/>
      </c>
      <c r="BA19" s="40"/>
      <c r="BB19" s="40"/>
      <c r="BC19" s="38"/>
      <c r="BE19" s="53" t="str">
        <f aca="false">IF(OR($A19="",$L19="",$H19=""),"",IF(AND(LEFT($L19,2)="06",$H19&gt;1945),"FAIL - pre-war class, year "&amp;$H19,IF(AND(LEFT($L19,2)="07",OR($H19&lt;1946,$H19&gt;1972)),"FAIL - 1946-72 class, year "&amp;$H19,IF(AND(LEFT($L19,2)="08",OR($H19&lt;1973,$H19&gt;1999)),"FAIL - 1973-99 class, year "&amp;$H19,IF(AND(LEFT($L19,2)="09",OR($H19&lt;2000,$H19&gt;2010)),"FAIL - 2000-10 class, year "&amp;$H19,"OK")))))</f>
        <v/>
      </c>
      <c r="BF19" s="53" t="str">
        <f aca="false">IF($AD19="","",IF(ROUND($AO19+$AP19+$AQ19-$AD19,2)=0,"OK","FAIL - out by "&amp;TEXT($AO19+$AP19+$AQ19-$AD19,"$0.00")))</f>
        <v/>
      </c>
    </row>
    <row r="20" customFormat="false" ht="15" hidden="false" customHeight="true" outlineLevel="0" collapsed="false">
      <c r="A20" s="54"/>
      <c r="B20" s="54"/>
      <c r="C20" s="55"/>
      <c r="D20" s="56"/>
      <c r="E20" s="56"/>
      <c r="F20" s="54"/>
      <c r="G20" s="41" t="str">
        <f aca="false">IF($A20="","",IF($C20="","",YEAR($C20)))</f>
        <v/>
      </c>
      <c r="H20" s="57"/>
      <c r="I20" s="54"/>
      <c r="J20" s="54"/>
      <c r="K20" s="54"/>
      <c r="L20" s="56"/>
      <c r="M20" s="58"/>
      <c r="N20" s="56"/>
      <c r="O20" s="54"/>
      <c r="P20" s="54"/>
      <c r="Q20" s="54"/>
      <c r="R20" s="54"/>
      <c r="S20" s="56"/>
      <c r="T20" s="44" t="str">
        <f aca="false">IF($A20="","",IF($S20="","",IFERROR(INDEX(Lists!$N$5:$N$16,MATCH($S20,Lists!$M$5:$M$16,0)),"?")))</f>
        <v/>
      </c>
      <c r="U20" s="54"/>
      <c r="V20" s="56"/>
      <c r="W20" s="54"/>
      <c r="X20" s="56"/>
      <c r="Y20" s="54"/>
      <c r="Z20" s="54"/>
      <c r="AA20" s="56"/>
      <c r="AB20" s="58"/>
      <c r="AC20" s="59"/>
      <c r="AD20" s="46" t="str">
        <f aca="false">IF(ISNUMBER($AB20),$AB20*(1+N($AC20)),"")</f>
        <v/>
      </c>
      <c r="AE20" s="58"/>
      <c r="AF20" s="58"/>
      <c r="AG20" s="59"/>
      <c r="AH20" s="47" t="str">
        <f aca="false">IF(ISNUMBER($AD20),($AD20+$AE20+$AF20)*$AG20,"")</f>
        <v/>
      </c>
      <c r="AI20" s="58"/>
      <c r="AJ20" s="46" t="str">
        <f aca="false">IF(ISNUMBER($AD20),SUM($AD20:$AH20),"")</f>
        <v/>
      </c>
      <c r="AK20" s="48" t="str">
        <f aca="false">IF(AND(ISNUMBER($AB20),ISNUMBER($AD20)),IF($AB20&gt;0,$AD20/$AB20,""),"")</f>
        <v/>
      </c>
      <c r="AL20" s="56"/>
      <c r="AM20" s="49" t="str">
        <f aca="false">IF(ISNUMBER($AD20),Header!$I$3,"")</f>
        <v/>
      </c>
      <c r="AN20" s="47" t="str">
        <f aca="false">IF(ISNUMBER($AD20),$AO20+$AP20,"")</f>
        <v/>
      </c>
      <c r="AO20" s="47" t="str">
        <f aca="false">IF(ISNUMBER($AD20),ROUND($AD20*Header!$K$3,2),"")</f>
        <v/>
      </c>
      <c r="AP20" s="47" t="str">
        <f aca="false">IF(ISNUMBER($AD20),ROUND($AD20*Header!$M$3,2),"")</f>
        <v/>
      </c>
      <c r="AQ20" s="46" t="str">
        <f aca="false">IF(ISNUMBER($AD20),ROUND($AD20,2)-$AO20-$AP20,"")</f>
        <v/>
      </c>
      <c r="AR20" s="47" t="str">
        <f aca="false">IF(ISNUMBER($AD20),IF(Header!$D$34="","?",$AD20*Header!$D$34),"")</f>
        <v/>
      </c>
      <c r="AS20" s="47" t="str">
        <f aca="false">IF(ISNUMBER($AB20),IF(Header!$D$34="","?",$AB20*Header!$D$34),"")</f>
        <v/>
      </c>
      <c r="AT20" s="50" t="str">
        <f aca="false">IF(AND(ISNUMBER($AB20),$M20&gt;0),$AB20/$M20*100,"")</f>
        <v/>
      </c>
      <c r="AU20" s="50" t="str">
        <f aca="false">IF(AND(ISNUMBER($AD20),$M20&gt;0),$AD20/$M20*100,"")</f>
        <v/>
      </c>
      <c r="AV20" s="48" t="str">
        <f aca="false">IF(AND(ISNUMBER($AB20),ISNUMBER($AD20),ABS($AB20)&gt;0),$AD20/$AB20,"")</f>
        <v/>
      </c>
      <c r="AW20" s="47" t="str">
        <f aca="false">IF(ISNUMBER($AD20),MAX(0,(1-0.55-Header!$O$3)*Header!$Q$3*$AQ20),"")</f>
        <v/>
      </c>
      <c r="AX20" s="51" t="str">
        <f aca="false">IF($A20="","",IF(TRIM(IF($A20="","Missing certificate ref. ","") &amp; IF($C20="","Missing effective date. ","") &amp; IF($D20="","Missing binding status. ","") &amp; IF($E20="","Missing movement type. ","") &amp; IF($I20="","Missing make. ","") &amp; IF($L20="","Missing vehicle class. ","") &amp; IF($M20="","Missing agreed value. ","") &amp; IF($N20="","Missing policy type. ","") &amp; IF($Q20="","Missing garaging state. ","") &amp; IF($R20="","Missing garaging ZIP. ","") &amp; IF($S20="","Missing cat zone. ","") &amp; IF($V20="","Missing valuation basis. ","") &amp; IF($W20="","Missing PD deductible. ","") &amp; IF($X20="","Missing liability limit. ","") &amp; IF($AB20="","Missing technical premium. ","") &amp; IF($AF20="","Missing surplus lines tax %. ",""))="","PASS","FAIL: "&amp;TRIM(IF($A20="","Missing certificate ref. ","") &amp; IF($C20="","Missing effective date. ","") &amp; IF($D20="","Missing binding status. ","") &amp; IF($E20="","Missing movement type. ","") &amp; IF($I20="","Missing make. ","") &amp; IF($L20="","Missing vehicle class. ","") &amp; IF($M20="","Missing agreed value. ","") &amp; IF($N20="","Missing policy type. ","") &amp; IF($Q20="","Missing garaging state. ","") &amp; IF($R20="","Missing garaging ZIP. ","") &amp; IF($S20="","Missing cat zone. ","") &amp; IF($V20="","Missing valuation basis. ","") &amp; IF($W20="","Missing PD deductible. ","") &amp; IF($X20="","Missing liability limit. ","") &amp; IF($AB20="","Missing technical premium. ","") &amp; IF($AF20="","Missing surplus lines tax %. ",""))))</f>
        <v/>
      </c>
      <c r="AY20" s="52" t="str">
        <f aca="false">IF($M20="","",IF(ISNUMBER($M20),IF($M20&gt;=Header!$C$18,"YES — refer","No"),""))</f>
        <v/>
      </c>
      <c r="AZ20" s="52" t="str">
        <f aca="false">IF($AD20="","",IF(ISNUMBER($AD20),IF($AD20&lt;Header!$C$20,"BELOW MIN PREMIUM","OK"),""))</f>
        <v/>
      </c>
      <c r="BA20" s="56"/>
      <c r="BB20" s="56"/>
      <c r="BC20" s="54"/>
      <c r="BE20" s="53" t="str">
        <f aca="false">IF(OR($A20="",$L20="",$H20=""),"",IF(AND(LEFT($L20,2)="06",$H20&gt;1945),"FAIL - pre-war class, year "&amp;$H20,IF(AND(LEFT($L20,2)="07",OR($H20&lt;1946,$H20&gt;1972)),"FAIL - 1946-72 class, year "&amp;$H20,IF(AND(LEFT($L20,2)="08",OR($H20&lt;1973,$H20&gt;1999)),"FAIL - 1973-99 class, year "&amp;$H20,IF(AND(LEFT($L20,2)="09",OR($H20&lt;2000,$H20&gt;2010)),"FAIL - 2000-10 class, year "&amp;$H20,"OK")))))</f>
        <v/>
      </c>
      <c r="BF20" s="53" t="str">
        <f aca="false">IF($AD20="","",IF(ROUND($AO20+$AP20+$AQ20-$AD20,2)=0,"OK","FAIL - out by "&amp;TEXT($AO20+$AP20+$AQ20-$AD20,"$0.00")))</f>
        <v/>
      </c>
    </row>
    <row r="21" customFormat="false" ht="15" hidden="false" customHeight="true" outlineLevel="0" collapsed="false">
      <c r="A21" s="38"/>
      <c r="B21" s="38"/>
      <c r="C21" s="39"/>
      <c r="D21" s="40"/>
      <c r="E21" s="40"/>
      <c r="F21" s="38"/>
      <c r="G21" s="41" t="str">
        <f aca="false">IF($A21="","",IF($C21="","",YEAR($C21)))</f>
        <v/>
      </c>
      <c r="H21" s="42"/>
      <c r="I21" s="38"/>
      <c r="J21" s="38"/>
      <c r="K21" s="38"/>
      <c r="L21" s="40"/>
      <c r="M21" s="43"/>
      <c r="N21" s="40"/>
      <c r="O21" s="38"/>
      <c r="P21" s="38"/>
      <c r="Q21" s="38"/>
      <c r="R21" s="38"/>
      <c r="S21" s="40"/>
      <c r="T21" s="44" t="str">
        <f aca="false">IF($A21="","",IF($S21="","",IFERROR(INDEX(Lists!$N$5:$N$16,MATCH($S21,Lists!$M$5:$M$16,0)),"?")))</f>
        <v/>
      </c>
      <c r="U21" s="38"/>
      <c r="V21" s="40"/>
      <c r="W21" s="38"/>
      <c r="X21" s="40"/>
      <c r="Y21" s="38"/>
      <c r="Z21" s="38"/>
      <c r="AA21" s="40"/>
      <c r="AB21" s="43"/>
      <c r="AC21" s="45"/>
      <c r="AD21" s="46" t="str">
        <f aca="false">IF(ISNUMBER($AB21),$AB21*(1+N($AC21)),"")</f>
        <v/>
      </c>
      <c r="AE21" s="43"/>
      <c r="AF21" s="43"/>
      <c r="AG21" s="45"/>
      <c r="AH21" s="47" t="str">
        <f aca="false">IF(ISNUMBER($AD21),($AD21+$AE21+$AF21)*$AG21,"")</f>
        <v/>
      </c>
      <c r="AI21" s="43"/>
      <c r="AJ21" s="46" t="str">
        <f aca="false">IF(ISNUMBER($AD21),SUM($AD21:$AH21),"")</f>
        <v/>
      </c>
      <c r="AK21" s="48" t="str">
        <f aca="false">IF(AND(ISNUMBER($AB21),ISNUMBER($AD21)),IF($AB21&gt;0,$AD21/$AB21,""),"")</f>
        <v/>
      </c>
      <c r="AL21" s="40"/>
      <c r="AM21" s="49" t="str">
        <f aca="false">IF(ISNUMBER($AD21),Header!$I$3,"")</f>
        <v/>
      </c>
      <c r="AN21" s="47" t="str">
        <f aca="false">IF(ISNUMBER($AD21),$AO21+$AP21,"")</f>
        <v/>
      </c>
      <c r="AO21" s="47" t="str">
        <f aca="false">IF(ISNUMBER($AD21),ROUND($AD21*Header!$K$3,2),"")</f>
        <v/>
      </c>
      <c r="AP21" s="47" t="str">
        <f aca="false">IF(ISNUMBER($AD21),ROUND($AD21*Header!$M$3,2),"")</f>
        <v/>
      </c>
      <c r="AQ21" s="46" t="str">
        <f aca="false">IF(ISNUMBER($AD21),ROUND($AD21,2)-$AO21-$AP21,"")</f>
        <v/>
      </c>
      <c r="AR21" s="47" t="str">
        <f aca="false">IF(ISNUMBER($AD21),IF(Header!$D$34="","?",$AD21*Header!$D$34),"")</f>
        <v/>
      </c>
      <c r="AS21" s="47" t="str">
        <f aca="false">IF(ISNUMBER($AB21),IF(Header!$D$34="","?",$AB21*Header!$D$34),"")</f>
        <v/>
      </c>
      <c r="AT21" s="50" t="str">
        <f aca="false">IF(AND(ISNUMBER($AB21),$M21&gt;0),$AB21/$M21*100,"")</f>
        <v/>
      </c>
      <c r="AU21" s="50" t="str">
        <f aca="false">IF(AND(ISNUMBER($AD21),$M21&gt;0),$AD21/$M21*100,"")</f>
        <v/>
      </c>
      <c r="AV21" s="48" t="str">
        <f aca="false">IF(AND(ISNUMBER($AB21),ISNUMBER($AD21),ABS($AB21)&gt;0),$AD21/$AB21,"")</f>
        <v/>
      </c>
      <c r="AW21" s="47" t="str">
        <f aca="false">IF(ISNUMBER($AD21),MAX(0,(1-0.55-Header!$O$3)*Header!$Q$3*$AQ21),"")</f>
        <v/>
      </c>
      <c r="AX21" s="51" t="str">
        <f aca="false">IF($A21="","",IF(TRIM(IF($A21="","Missing certificate ref. ","") &amp; IF($C21="","Missing effective date. ","") &amp; IF($D21="","Missing binding status. ","") &amp; IF($E21="","Missing movement type. ","") &amp; IF($I21="","Missing make. ","") &amp; IF($L21="","Missing vehicle class. ","") &amp; IF($M21="","Missing agreed value. ","") &amp; IF($N21="","Missing policy type. ","") &amp; IF($Q21="","Missing garaging state. ","") &amp; IF($R21="","Missing garaging ZIP. ","") &amp; IF($S21="","Missing cat zone. ","") &amp; IF($V21="","Missing valuation basis. ","") &amp; IF($W21="","Missing PD deductible. ","") &amp; IF($X21="","Missing liability limit. ","") &amp; IF($AB21="","Missing technical premium. ","") &amp; IF($AF21="","Missing surplus lines tax %. ",""))="","PASS","FAIL: "&amp;TRIM(IF($A21="","Missing certificate ref. ","") &amp; IF($C21="","Missing effective date. ","") &amp; IF($D21="","Missing binding status. ","") &amp; IF($E21="","Missing movement type. ","") &amp; IF($I21="","Missing make. ","") &amp; IF($L21="","Missing vehicle class. ","") &amp; IF($M21="","Missing agreed value. ","") &amp; IF($N21="","Missing policy type. ","") &amp; IF($Q21="","Missing garaging state. ","") &amp; IF($R21="","Missing garaging ZIP. ","") &amp; IF($S21="","Missing cat zone. ","") &amp; IF($V21="","Missing valuation basis. ","") &amp; IF($W21="","Missing PD deductible. ","") &amp; IF($X21="","Missing liability limit. ","") &amp; IF($AB21="","Missing technical premium. ","") &amp; IF($AF21="","Missing surplus lines tax %. ",""))))</f>
        <v/>
      </c>
      <c r="AY21" s="52" t="str">
        <f aca="false">IF($M21="","",IF(ISNUMBER($M21),IF($M21&gt;=Header!$C$18,"YES — refer","No"),""))</f>
        <v/>
      </c>
      <c r="AZ21" s="52" t="str">
        <f aca="false">IF($AD21="","",IF(ISNUMBER($AD21),IF($AD21&lt;Header!$C$20,"BELOW MIN PREMIUM","OK"),""))</f>
        <v/>
      </c>
      <c r="BA21" s="40"/>
      <c r="BB21" s="40"/>
      <c r="BC21" s="38"/>
      <c r="BE21" s="53" t="str">
        <f aca="false">IF(OR($A21="",$L21="",$H21=""),"",IF(AND(LEFT($L21,2)="06",$H21&gt;1945),"FAIL - pre-war class, year "&amp;$H21,IF(AND(LEFT($L21,2)="07",OR($H21&lt;1946,$H21&gt;1972)),"FAIL - 1946-72 class, year "&amp;$H21,IF(AND(LEFT($L21,2)="08",OR($H21&lt;1973,$H21&gt;1999)),"FAIL - 1973-99 class, year "&amp;$H21,IF(AND(LEFT($L21,2)="09",OR($H21&lt;2000,$H21&gt;2010)),"FAIL - 2000-10 class, year "&amp;$H21,"OK")))))</f>
        <v/>
      </c>
      <c r="BF21" s="53" t="str">
        <f aca="false">IF($AD21="","",IF(ROUND($AO21+$AP21+$AQ21-$AD21,2)=0,"OK","FAIL - out by "&amp;TEXT($AO21+$AP21+$AQ21-$AD21,"$0.00")))</f>
        <v/>
      </c>
    </row>
    <row r="22" customFormat="false" ht="15" hidden="false" customHeight="true" outlineLevel="0" collapsed="false">
      <c r="A22" s="54"/>
      <c r="B22" s="54"/>
      <c r="C22" s="55"/>
      <c r="D22" s="56"/>
      <c r="E22" s="56"/>
      <c r="F22" s="54"/>
      <c r="G22" s="41" t="str">
        <f aca="false">IF($A22="","",IF($C22="","",YEAR($C22)))</f>
        <v/>
      </c>
      <c r="H22" s="57"/>
      <c r="I22" s="54"/>
      <c r="J22" s="54"/>
      <c r="K22" s="54"/>
      <c r="L22" s="56"/>
      <c r="M22" s="58"/>
      <c r="N22" s="56"/>
      <c r="O22" s="54"/>
      <c r="P22" s="54"/>
      <c r="Q22" s="54"/>
      <c r="R22" s="54"/>
      <c r="S22" s="56"/>
      <c r="T22" s="44" t="str">
        <f aca="false">IF($A22="","",IF($S22="","",IFERROR(INDEX(Lists!$N$5:$N$16,MATCH($S22,Lists!$M$5:$M$16,0)),"?")))</f>
        <v/>
      </c>
      <c r="U22" s="54"/>
      <c r="V22" s="56"/>
      <c r="W22" s="54"/>
      <c r="X22" s="56"/>
      <c r="Y22" s="54"/>
      <c r="Z22" s="54"/>
      <c r="AA22" s="56"/>
      <c r="AB22" s="58"/>
      <c r="AC22" s="59"/>
      <c r="AD22" s="46" t="str">
        <f aca="false">IF(ISNUMBER($AB22),$AB22*(1+N($AC22)),"")</f>
        <v/>
      </c>
      <c r="AE22" s="58"/>
      <c r="AF22" s="58"/>
      <c r="AG22" s="59"/>
      <c r="AH22" s="47" t="str">
        <f aca="false">IF(ISNUMBER($AD22),($AD22+$AE22+$AF22)*$AG22,"")</f>
        <v/>
      </c>
      <c r="AI22" s="58"/>
      <c r="AJ22" s="46" t="str">
        <f aca="false">IF(ISNUMBER($AD22),SUM($AD22:$AH22),"")</f>
        <v/>
      </c>
      <c r="AK22" s="48" t="str">
        <f aca="false">IF(AND(ISNUMBER($AB22),ISNUMBER($AD22)),IF($AB22&gt;0,$AD22/$AB22,""),"")</f>
        <v/>
      </c>
      <c r="AL22" s="56"/>
      <c r="AM22" s="49" t="str">
        <f aca="false">IF(ISNUMBER($AD22),Header!$I$3,"")</f>
        <v/>
      </c>
      <c r="AN22" s="47" t="str">
        <f aca="false">IF(ISNUMBER($AD22),$AO22+$AP22,"")</f>
        <v/>
      </c>
      <c r="AO22" s="47" t="str">
        <f aca="false">IF(ISNUMBER($AD22),ROUND($AD22*Header!$K$3,2),"")</f>
        <v/>
      </c>
      <c r="AP22" s="47" t="str">
        <f aca="false">IF(ISNUMBER($AD22),ROUND($AD22*Header!$M$3,2),"")</f>
        <v/>
      </c>
      <c r="AQ22" s="46" t="str">
        <f aca="false">IF(ISNUMBER($AD22),ROUND($AD22,2)-$AO22-$AP22,"")</f>
        <v/>
      </c>
      <c r="AR22" s="47" t="str">
        <f aca="false">IF(ISNUMBER($AD22),IF(Header!$D$34="","?",$AD22*Header!$D$34),"")</f>
        <v/>
      </c>
      <c r="AS22" s="47" t="str">
        <f aca="false">IF(ISNUMBER($AB22),IF(Header!$D$34="","?",$AB22*Header!$D$34),"")</f>
        <v/>
      </c>
      <c r="AT22" s="50" t="str">
        <f aca="false">IF(AND(ISNUMBER($AB22),$M22&gt;0),$AB22/$M22*100,"")</f>
        <v/>
      </c>
      <c r="AU22" s="50" t="str">
        <f aca="false">IF(AND(ISNUMBER($AD22),$M22&gt;0),$AD22/$M22*100,"")</f>
        <v/>
      </c>
      <c r="AV22" s="48" t="str">
        <f aca="false">IF(AND(ISNUMBER($AB22),ISNUMBER($AD22),ABS($AB22)&gt;0),$AD22/$AB22,"")</f>
        <v/>
      </c>
      <c r="AW22" s="47" t="str">
        <f aca="false">IF(ISNUMBER($AD22),MAX(0,(1-0.55-Header!$O$3)*Header!$Q$3*$AQ22),"")</f>
        <v/>
      </c>
      <c r="AX22" s="51" t="str">
        <f aca="false">IF($A22="","",IF(TRIM(IF($A22="","Missing certificate ref. ","") &amp; IF($C22="","Missing effective date. ","") &amp; IF($D22="","Missing binding status. ","") &amp; IF($E22="","Missing movement type. ","") &amp; IF($I22="","Missing make. ","") &amp; IF($L22="","Missing vehicle class. ","") &amp; IF($M22="","Missing agreed value. ","") &amp; IF($N22="","Missing policy type. ","") &amp; IF($Q22="","Missing garaging state. ","") &amp; IF($R22="","Missing garaging ZIP. ","") &amp; IF($S22="","Missing cat zone. ","") &amp; IF($V22="","Missing valuation basis. ","") &amp; IF($W22="","Missing PD deductible. ","") &amp; IF($X22="","Missing liability limit. ","") &amp; IF($AB22="","Missing technical premium. ","") &amp; IF($AF22="","Missing surplus lines tax %. ",""))="","PASS","FAIL: "&amp;TRIM(IF($A22="","Missing certificate ref. ","") &amp; IF($C22="","Missing effective date. ","") &amp; IF($D22="","Missing binding status. ","") &amp; IF($E22="","Missing movement type. ","") &amp; IF($I22="","Missing make. ","") &amp; IF($L22="","Missing vehicle class. ","") &amp; IF($M22="","Missing agreed value. ","") &amp; IF($N22="","Missing policy type. ","") &amp; IF($Q22="","Missing garaging state. ","") &amp; IF($R22="","Missing garaging ZIP. ","") &amp; IF($S22="","Missing cat zone. ","") &amp; IF($V22="","Missing valuation basis. ","") &amp; IF($W22="","Missing PD deductible. ","") &amp; IF($X22="","Missing liability limit. ","") &amp; IF($AB22="","Missing technical premium. ","") &amp; IF($AF22="","Missing surplus lines tax %. ",""))))</f>
        <v/>
      </c>
      <c r="AY22" s="52" t="str">
        <f aca="false">IF($M22="","",IF(ISNUMBER($M22),IF($M22&gt;=Header!$C$18,"YES — refer","No"),""))</f>
        <v/>
      </c>
      <c r="AZ22" s="52" t="str">
        <f aca="false">IF($AD22="","",IF(ISNUMBER($AD22),IF($AD22&lt;Header!$C$20,"BELOW MIN PREMIUM","OK"),""))</f>
        <v/>
      </c>
      <c r="BA22" s="56"/>
      <c r="BB22" s="56"/>
      <c r="BC22" s="54"/>
      <c r="BE22" s="53" t="str">
        <f aca="false">IF(OR($A22="",$L22="",$H22=""),"",IF(AND(LEFT($L22,2)="06",$H22&gt;1945),"FAIL - pre-war class, year "&amp;$H22,IF(AND(LEFT($L22,2)="07",OR($H22&lt;1946,$H22&gt;1972)),"FAIL - 1946-72 class, year "&amp;$H22,IF(AND(LEFT($L22,2)="08",OR($H22&lt;1973,$H22&gt;1999)),"FAIL - 1973-99 class, year "&amp;$H22,IF(AND(LEFT($L22,2)="09",OR($H22&lt;2000,$H22&gt;2010)),"FAIL - 2000-10 class, year "&amp;$H22,"OK")))))</f>
        <v/>
      </c>
      <c r="BF22" s="53" t="str">
        <f aca="false">IF($AD22="","",IF(ROUND($AO22+$AP22+$AQ22-$AD22,2)=0,"OK","FAIL - out by "&amp;TEXT($AO22+$AP22+$AQ22-$AD22,"$0.00")))</f>
        <v/>
      </c>
    </row>
    <row r="23" customFormat="false" ht="15" hidden="false" customHeight="true" outlineLevel="0" collapsed="false">
      <c r="A23" s="38"/>
      <c r="B23" s="38"/>
      <c r="C23" s="39"/>
      <c r="D23" s="40"/>
      <c r="E23" s="40"/>
      <c r="F23" s="38"/>
      <c r="G23" s="41" t="str">
        <f aca="false">IF($A23="","",IF($C23="","",YEAR($C23)))</f>
        <v/>
      </c>
      <c r="H23" s="42"/>
      <c r="I23" s="38"/>
      <c r="J23" s="38"/>
      <c r="K23" s="38"/>
      <c r="L23" s="40"/>
      <c r="M23" s="43"/>
      <c r="N23" s="40"/>
      <c r="O23" s="38"/>
      <c r="P23" s="38"/>
      <c r="Q23" s="38"/>
      <c r="R23" s="38"/>
      <c r="S23" s="40"/>
      <c r="T23" s="44" t="str">
        <f aca="false">IF($A23="","",IF($S23="","",IFERROR(INDEX(Lists!$N$5:$N$16,MATCH($S23,Lists!$M$5:$M$16,0)),"?")))</f>
        <v/>
      </c>
      <c r="U23" s="38"/>
      <c r="V23" s="40"/>
      <c r="W23" s="38"/>
      <c r="X23" s="40"/>
      <c r="Y23" s="38"/>
      <c r="Z23" s="38"/>
      <c r="AA23" s="40"/>
      <c r="AB23" s="43"/>
      <c r="AC23" s="45"/>
      <c r="AD23" s="46" t="str">
        <f aca="false">IF(ISNUMBER($AB23),$AB23*(1+N($AC23)),"")</f>
        <v/>
      </c>
      <c r="AE23" s="43"/>
      <c r="AF23" s="43"/>
      <c r="AG23" s="45"/>
      <c r="AH23" s="47" t="str">
        <f aca="false">IF(ISNUMBER($AD23),($AD23+$AE23+$AF23)*$AG23,"")</f>
        <v/>
      </c>
      <c r="AI23" s="43"/>
      <c r="AJ23" s="46" t="str">
        <f aca="false">IF(ISNUMBER($AD23),SUM($AD23:$AH23),"")</f>
        <v/>
      </c>
      <c r="AK23" s="48" t="str">
        <f aca="false">IF(AND(ISNUMBER($AB23),ISNUMBER($AD23)),IF($AB23&gt;0,$AD23/$AB23,""),"")</f>
        <v/>
      </c>
      <c r="AL23" s="40"/>
      <c r="AM23" s="49" t="str">
        <f aca="false">IF(ISNUMBER($AD23),Header!$I$3,"")</f>
        <v/>
      </c>
      <c r="AN23" s="47" t="str">
        <f aca="false">IF(ISNUMBER($AD23),$AO23+$AP23,"")</f>
        <v/>
      </c>
      <c r="AO23" s="47" t="str">
        <f aca="false">IF(ISNUMBER($AD23),ROUND($AD23*Header!$K$3,2),"")</f>
        <v/>
      </c>
      <c r="AP23" s="47" t="str">
        <f aca="false">IF(ISNUMBER($AD23),ROUND($AD23*Header!$M$3,2),"")</f>
        <v/>
      </c>
      <c r="AQ23" s="46" t="str">
        <f aca="false">IF(ISNUMBER($AD23),ROUND($AD23,2)-$AO23-$AP23,"")</f>
        <v/>
      </c>
      <c r="AR23" s="47" t="str">
        <f aca="false">IF(ISNUMBER($AD23),IF(Header!$D$34="","?",$AD23*Header!$D$34),"")</f>
        <v/>
      </c>
      <c r="AS23" s="47" t="str">
        <f aca="false">IF(ISNUMBER($AB23),IF(Header!$D$34="","?",$AB23*Header!$D$34),"")</f>
        <v/>
      </c>
      <c r="AT23" s="50" t="str">
        <f aca="false">IF(AND(ISNUMBER($AB23),$M23&gt;0),$AB23/$M23*100,"")</f>
        <v/>
      </c>
      <c r="AU23" s="50" t="str">
        <f aca="false">IF(AND(ISNUMBER($AD23),$M23&gt;0),$AD23/$M23*100,"")</f>
        <v/>
      </c>
      <c r="AV23" s="48" t="str">
        <f aca="false">IF(AND(ISNUMBER($AB23),ISNUMBER($AD23),ABS($AB23)&gt;0),$AD23/$AB23,"")</f>
        <v/>
      </c>
      <c r="AW23" s="47" t="str">
        <f aca="false">IF(ISNUMBER($AD23),MAX(0,(1-0.55-Header!$O$3)*Header!$Q$3*$AQ23),"")</f>
        <v/>
      </c>
      <c r="AX23" s="51" t="str">
        <f aca="false">IF($A23="","",IF(TRIM(IF($A23="","Missing certificate ref. ","") &amp; IF($C23="","Missing effective date. ","") &amp; IF($D23="","Missing binding status. ","") &amp; IF($E23="","Missing movement type. ","") &amp; IF($I23="","Missing make. ","") &amp; IF($L23="","Missing vehicle class. ","") &amp; IF($M23="","Missing agreed value. ","") &amp; IF($N23="","Missing policy type. ","") &amp; IF($Q23="","Missing garaging state. ","") &amp; IF($R23="","Missing garaging ZIP. ","") &amp; IF($S23="","Missing cat zone. ","") &amp; IF($V23="","Missing valuation basis. ","") &amp; IF($W23="","Missing PD deductible. ","") &amp; IF($X23="","Missing liability limit. ","") &amp; IF($AB23="","Missing technical premium. ","") &amp; IF($AF23="","Missing surplus lines tax %. ",""))="","PASS","FAIL: "&amp;TRIM(IF($A23="","Missing certificate ref. ","") &amp; IF($C23="","Missing effective date. ","") &amp; IF($D23="","Missing binding status. ","") &amp; IF($E23="","Missing movement type. ","") &amp; IF($I23="","Missing make. ","") &amp; IF($L23="","Missing vehicle class. ","") &amp; IF($M23="","Missing agreed value. ","") &amp; IF($N23="","Missing policy type. ","") &amp; IF($Q23="","Missing garaging state. ","") &amp; IF($R23="","Missing garaging ZIP. ","") &amp; IF($S23="","Missing cat zone. ","") &amp; IF($V23="","Missing valuation basis. ","") &amp; IF($W23="","Missing PD deductible. ","") &amp; IF($X23="","Missing liability limit. ","") &amp; IF($AB23="","Missing technical premium. ","") &amp; IF($AF23="","Missing surplus lines tax %. ",""))))</f>
        <v/>
      </c>
      <c r="AY23" s="52" t="str">
        <f aca="false">IF($M23="","",IF(ISNUMBER($M23),IF($M23&gt;=Header!$C$18,"YES — refer","No"),""))</f>
        <v/>
      </c>
      <c r="AZ23" s="52" t="str">
        <f aca="false">IF($AD23="","",IF(ISNUMBER($AD23),IF($AD23&lt;Header!$C$20,"BELOW MIN PREMIUM","OK"),""))</f>
        <v/>
      </c>
      <c r="BA23" s="40"/>
      <c r="BB23" s="40"/>
      <c r="BC23" s="38"/>
      <c r="BE23" s="53" t="str">
        <f aca="false">IF(OR($A23="",$L23="",$H23=""),"",IF(AND(LEFT($L23,2)="06",$H23&gt;1945),"FAIL - pre-war class, year "&amp;$H23,IF(AND(LEFT($L23,2)="07",OR($H23&lt;1946,$H23&gt;1972)),"FAIL - 1946-72 class, year "&amp;$H23,IF(AND(LEFT($L23,2)="08",OR($H23&lt;1973,$H23&gt;1999)),"FAIL - 1973-99 class, year "&amp;$H23,IF(AND(LEFT($L23,2)="09",OR($H23&lt;2000,$H23&gt;2010)),"FAIL - 2000-10 class, year "&amp;$H23,"OK")))))</f>
        <v/>
      </c>
      <c r="BF23" s="53" t="str">
        <f aca="false">IF($AD23="","",IF(ROUND($AO23+$AP23+$AQ23-$AD23,2)=0,"OK","FAIL - out by "&amp;TEXT($AO23+$AP23+$AQ23-$AD23,"$0.00")))</f>
        <v/>
      </c>
    </row>
    <row r="24" customFormat="false" ht="15" hidden="false" customHeight="true" outlineLevel="0" collapsed="false">
      <c r="A24" s="54"/>
      <c r="B24" s="54"/>
      <c r="C24" s="55"/>
      <c r="D24" s="56"/>
      <c r="E24" s="56"/>
      <c r="F24" s="54"/>
      <c r="G24" s="41" t="str">
        <f aca="false">IF($A24="","",IF($C24="","",YEAR($C24)))</f>
        <v/>
      </c>
      <c r="H24" s="57"/>
      <c r="I24" s="54"/>
      <c r="J24" s="54"/>
      <c r="K24" s="54"/>
      <c r="L24" s="56"/>
      <c r="M24" s="58"/>
      <c r="N24" s="56"/>
      <c r="O24" s="54"/>
      <c r="P24" s="54"/>
      <c r="Q24" s="54"/>
      <c r="R24" s="54"/>
      <c r="S24" s="56"/>
      <c r="T24" s="44" t="str">
        <f aca="false">IF($A24="","",IF($S24="","",IFERROR(INDEX(Lists!$N$5:$N$16,MATCH($S24,Lists!$M$5:$M$16,0)),"?")))</f>
        <v/>
      </c>
      <c r="U24" s="54"/>
      <c r="V24" s="56"/>
      <c r="W24" s="54"/>
      <c r="X24" s="56"/>
      <c r="Y24" s="54"/>
      <c r="Z24" s="54"/>
      <c r="AA24" s="56"/>
      <c r="AB24" s="58"/>
      <c r="AC24" s="59"/>
      <c r="AD24" s="46" t="str">
        <f aca="false">IF(ISNUMBER($AB24),$AB24*(1+N($AC24)),"")</f>
        <v/>
      </c>
      <c r="AE24" s="58"/>
      <c r="AF24" s="58"/>
      <c r="AG24" s="59"/>
      <c r="AH24" s="47" t="str">
        <f aca="false">IF(ISNUMBER($AD24),($AD24+$AE24+$AF24)*$AG24,"")</f>
        <v/>
      </c>
      <c r="AI24" s="58"/>
      <c r="AJ24" s="46" t="str">
        <f aca="false">IF(ISNUMBER($AD24),SUM($AD24:$AH24),"")</f>
        <v/>
      </c>
      <c r="AK24" s="48" t="str">
        <f aca="false">IF(AND(ISNUMBER($AB24),ISNUMBER($AD24)),IF($AB24&gt;0,$AD24/$AB24,""),"")</f>
        <v/>
      </c>
      <c r="AL24" s="56"/>
      <c r="AM24" s="49" t="str">
        <f aca="false">IF(ISNUMBER($AD24),Header!$I$3,"")</f>
        <v/>
      </c>
      <c r="AN24" s="47" t="str">
        <f aca="false">IF(ISNUMBER($AD24),$AO24+$AP24,"")</f>
        <v/>
      </c>
      <c r="AO24" s="47" t="str">
        <f aca="false">IF(ISNUMBER($AD24),ROUND($AD24*Header!$K$3,2),"")</f>
        <v/>
      </c>
      <c r="AP24" s="47" t="str">
        <f aca="false">IF(ISNUMBER($AD24),ROUND($AD24*Header!$M$3,2),"")</f>
        <v/>
      </c>
      <c r="AQ24" s="46" t="str">
        <f aca="false">IF(ISNUMBER($AD24),ROUND($AD24,2)-$AO24-$AP24,"")</f>
        <v/>
      </c>
      <c r="AR24" s="47" t="str">
        <f aca="false">IF(ISNUMBER($AD24),IF(Header!$D$34="","?",$AD24*Header!$D$34),"")</f>
        <v/>
      </c>
      <c r="AS24" s="47" t="str">
        <f aca="false">IF(ISNUMBER($AB24),IF(Header!$D$34="","?",$AB24*Header!$D$34),"")</f>
        <v/>
      </c>
      <c r="AT24" s="50" t="str">
        <f aca="false">IF(AND(ISNUMBER($AB24),$M24&gt;0),$AB24/$M24*100,"")</f>
        <v/>
      </c>
      <c r="AU24" s="50" t="str">
        <f aca="false">IF(AND(ISNUMBER($AD24),$M24&gt;0),$AD24/$M24*100,"")</f>
        <v/>
      </c>
      <c r="AV24" s="48" t="str">
        <f aca="false">IF(AND(ISNUMBER($AB24),ISNUMBER($AD24),ABS($AB24)&gt;0),$AD24/$AB24,"")</f>
        <v/>
      </c>
      <c r="AW24" s="47" t="str">
        <f aca="false">IF(ISNUMBER($AD24),MAX(0,(1-0.55-Header!$O$3)*Header!$Q$3*$AQ24),"")</f>
        <v/>
      </c>
      <c r="AX24" s="51" t="str">
        <f aca="false">IF($A24="","",IF(TRIM(IF($A24="","Missing certificate ref. ","") &amp; IF($C24="","Missing effective date. ","") &amp; IF($D24="","Missing binding status. ","") &amp; IF($E24="","Missing movement type. ","") &amp; IF($I24="","Missing make. ","") &amp; IF($L24="","Missing vehicle class. ","") &amp; IF($M24="","Missing agreed value. ","") &amp; IF($N24="","Missing policy type. ","") &amp; IF($Q24="","Missing garaging state. ","") &amp; IF($R24="","Missing garaging ZIP. ","") &amp; IF($S24="","Missing cat zone. ","") &amp; IF($V24="","Missing valuation basis. ","") &amp; IF($W24="","Missing PD deductible. ","") &amp; IF($X24="","Missing liability limit. ","") &amp; IF($AB24="","Missing technical premium. ","") &amp; IF($AF24="","Missing surplus lines tax %. ",""))="","PASS","FAIL: "&amp;TRIM(IF($A24="","Missing certificate ref. ","") &amp; IF($C24="","Missing effective date. ","") &amp; IF($D24="","Missing binding status. ","") &amp; IF($E24="","Missing movement type. ","") &amp; IF($I24="","Missing make. ","") &amp; IF($L24="","Missing vehicle class. ","") &amp; IF($M24="","Missing agreed value. ","") &amp; IF($N24="","Missing policy type. ","") &amp; IF($Q24="","Missing garaging state. ","") &amp; IF($R24="","Missing garaging ZIP. ","") &amp; IF($S24="","Missing cat zone. ","") &amp; IF($V24="","Missing valuation basis. ","") &amp; IF($W24="","Missing PD deductible. ","") &amp; IF($X24="","Missing liability limit. ","") &amp; IF($AB24="","Missing technical premium. ","") &amp; IF($AF24="","Missing surplus lines tax %. ",""))))</f>
        <v/>
      </c>
      <c r="AY24" s="52" t="str">
        <f aca="false">IF($M24="","",IF(ISNUMBER($M24),IF($M24&gt;=Header!$C$18,"YES — refer","No"),""))</f>
        <v/>
      </c>
      <c r="AZ24" s="52" t="str">
        <f aca="false">IF($AD24="","",IF(ISNUMBER($AD24),IF($AD24&lt;Header!$C$20,"BELOW MIN PREMIUM","OK"),""))</f>
        <v/>
      </c>
      <c r="BA24" s="56"/>
      <c r="BB24" s="56"/>
      <c r="BC24" s="54"/>
      <c r="BE24" s="53" t="str">
        <f aca="false">IF(OR($A24="",$L24="",$H24=""),"",IF(AND(LEFT($L24,2)="06",$H24&gt;1945),"FAIL - pre-war class, year "&amp;$H24,IF(AND(LEFT($L24,2)="07",OR($H24&lt;1946,$H24&gt;1972)),"FAIL - 1946-72 class, year "&amp;$H24,IF(AND(LEFT($L24,2)="08",OR($H24&lt;1973,$H24&gt;1999)),"FAIL - 1973-99 class, year "&amp;$H24,IF(AND(LEFT($L24,2)="09",OR($H24&lt;2000,$H24&gt;2010)),"FAIL - 2000-10 class, year "&amp;$H24,"OK")))))</f>
        <v/>
      </c>
      <c r="BF24" s="53" t="str">
        <f aca="false">IF($AD24="","",IF(ROUND($AO24+$AP24+$AQ24-$AD24,2)=0,"OK","FAIL - out by "&amp;TEXT($AO24+$AP24+$AQ24-$AD24,"$0.00")))</f>
        <v/>
      </c>
    </row>
    <row r="25" customFormat="false" ht="15" hidden="false" customHeight="true" outlineLevel="0" collapsed="false">
      <c r="A25" s="38"/>
      <c r="B25" s="38"/>
      <c r="C25" s="39"/>
      <c r="D25" s="40"/>
      <c r="E25" s="40"/>
      <c r="F25" s="38"/>
      <c r="G25" s="41" t="str">
        <f aca="false">IF($A25="","",IF($C25="","",YEAR($C25)))</f>
        <v/>
      </c>
      <c r="H25" s="42"/>
      <c r="I25" s="38"/>
      <c r="J25" s="38"/>
      <c r="K25" s="38"/>
      <c r="L25" s="40"/>
      <c r="M25" s="43"/>
      <c r="N25" s="40"/>
      <c r="O25" s="38"/>
      <c r="P25" s="38"/>
      <c r="Q25" s="38"/>
      <c r="R25" s="38"/>
      <c r="S25" s="40"/>
      <c r="T25" s="44" t="str">
        <f aca="false">IF($A25="","",IF($S25="","",IFERROR(INDEX(Lists!$N$5:$N$16,MATCH($S25,Lists!$M$5:$M$16,0)),"?")))</f>
        <v/>
      </c>
      <c r="U25" s="38"/>
      <c r="V25" s="40"/>
      <c r="W25" s="38"/>
      <c r="X25" s="40"/>
      <c r="Y25" s="38"/>
      <c r="Z25" s="38"/>
      <c r="AA25" s="40"/>
      <c r="AB25" s="43"/>
      <c r="AC25" s="45"/>
      <c r="AD25" s="46" t="str">
        <f aca="false">IF(ISNUMBER($AB25),$AB25*(1+N($AC25)),"")</f>
        <v/>
      </c>
      <c r="AE25" s="43"/>
      <c r="AF25" s="43"/>
      <c r="AG25" s="45"/>
      <c r="AH25" s="47" t="str">
        <f aca="false">IF(ISNUMBER($AD25),($AD25+$AE25+$AF25)*$AG25,"")</f>
        <v/>
      </c>
      <c r="AI25" s="43"/>
      <c r="AJ25" s="46" t="str">
        <f aca="false">IF(ISNUMBER($AD25),SUM($AD25:$AH25),"")</f>
        <v/>
      </c>
      <c r="AK25" s="48" t="str">
        <f aca="false">IF(AND(ISNUMBER($AB25),ISNUMBER($AD25)),IF($AB25&gt;0,$AD25/$AB25,""),"")</f>
        <v/>
      </c>
      <c r="AL25" s="40"/>
      <c r="AM25" s="49" t="str">
        <f aca="false">IF(ISNUMBER($AD25),Header!$I$3,"")</f>
        <v/>
      </c>
      <c r="AN25" s="47" t="str">
        <f aca="false">IF(ISNUMBER($AD25),$AO25+$AP25,"")</f>
        <v/>
      </c>
      <c r="AO25" s="47" t="str">
        <f aca="false">IF(ISNUMBER($AD25),ROUND($AD25*Header!$K$3,2),"")</f>
        <v/>
      </c>
      <c r="AP25" s="47" t="str">
        <f aca="false">IF(ISNUMBER($AD25),ROUND($AD25*Header!$M$3,2),"")</f>
        <v/>
      </c>
      <c r="AQ25" s="46" t="str">
        <f aca="false">IF(ISNUMBER($AD25),ROUND($AD25,2)-$AO25-$AP25,"")</f>
        <v/>
      </c>
      <c r="AR25" s="47" t="str">
        <f aca="false">IF(ISNUMBER($AD25),IF(Header!$D$34="","?",$AD25*Header!$D$34),"")</f>
        <v/>
      </c>
      <c r="AS25" s="47" t="str">
        <f aca="false">IF(ISNUMBER($AB25),IF(Header!$D$34="","?",$AB25*Header!$D$34),"")</f>
        <v/>
      </c>
      <c r="AT25" s="50" t="str">
        <f aca="false">IF(AND(ISNUMBER($AB25),$M25&gt;0),$AB25/$M25*100,"")</f>
        <v/>
      </c>
      <c r="AU25" s="50" t="str">
        <f aca="false">IF(AND(ISNUMBER($AD25),$M25&gt;0),$AD25/$M25*100,"")</f>
        <v/>
      </c>
      <c r="AV25" s="48" t="str">
        <f aca="false">IF(AND(ISNUMBER($AB25),ISNUMBER($AD25),ABS($AB25)&gt;0),$AD25/$AB25,"")</f>
        <v/>
      </c>
      <c r="AW25" s="47" t="str">
        <f aca="false">IF(ISNUMBER($AD25),MAX(0,(1-0.55-Header!$O$3)*Header!$Q$3*$AQ25),"")</f>
        <v/>
      </c>
      <c r="AX25" s="51" t="str">
        <f aca="false">IF($A25="","",IF(TRIM(IF($A25="","Missing certificate ref. ","") &amp; IF($C25="","Missing effective date. ","") &amp; IF($D25="","Missing binding status. ","") &amp; IF($E25="","Missing movement type. ","") &amp; IF($I25="","Missing make. ","") &amp; IF($L25="","Missing vehicle class. ","") &amp; IF($M25="","Missing agreed value. ","") &amp; IF($N25="","Missing policy type. ","") &amp; IF($Q25="","Missing garaging state. ","") &amp; IF($R25="","Missing garaging ZIP. ","") &amp; IF($S25="","Missing cat zone. ","") &amp; IF($V25="","Missing valuation basis. ","") &amp; IF($W25="","Missing PD deductible. ","") &amp; IF($X25="","Missing liability limit. ","") &amp; IF($AB25="","Missing technical premium. ","") &amp; IF($AF25="","Missing surplus lines tax %. ",""))="","PASS","FAIL: "&amp;TRIM(IF($A25="","Missing certificate ref. ","") &amp; IF($C25="","Missing effective date. ","") &amp; IF($D25="","Missing binding status. ","") &amp; IF($E25="","Missing movement type. ","") &amp; IF($I25="","Missing make. ","") &amp; IF($L25="","Missing vehicle class. ","") &amp; IF($M25="","Missing agreed value. ","") &amp; IF($N25="","Missing policy type. ","") &amp; IF($Q25="","Missing garaging state. ","") &amp; IF($R25="","Missing garaging ZIP. ","") &amp; IF($S25="","Missing cat zone. ","") &amp; IF($V25="","Missing valuation basis. ","") &amp; IF($W25="","Missing PD deductible. ","") &amp; IF($X25="","Missing liability limit. ","") &amp; IF($AB25="","Missing technical premium. ","") &amp; IF($AF25="","Missing surplus lines tax %. ",""))))</f>
        <v/>
      </c>
      <c r="AY25" s="52" t="str">
        <f aca="false">IF($M25="","",IF(ISNUMBER($M25),IF($M25&gt;=Header!$C$18,"YES — refer","No"),""))</f>
        <v/>
      </c>
      <c r="AZ25" s="52" t="str">
        <f aca="false">IF($AD25="","",IF(ISNUMBER($AD25),IF($AD25&lt;Header!$C$20,"BELOW MIN PREMIUM","OK"),""))</f>
        <v/>
      </c>
      <c r="BA25" s="40"/>
      <c r="BB25" s="40"/>
      <c r="BC25" s="38"/>
      <c r="BE25" s="53" t="str">
        <f aca="false">IF(OR($A25="",$L25="",$H25=""),"",IF(AND(LEFT($L25,2)="06",$H25&gt;1945),"FAIL - pre-war class, year "&amp;$H25,IF(AND(LEFT($L25,2)="07",OR($H25&lt;1946,$H25&gt;1972)),"FAIL - 1946-72 class, year "&amp;$H25,IF(AND(LEFT($L25,2)="08",OR($H25&lt;1973,$H25&gt;1999)),"FAIL - 1973-99 class, year "&amp;$H25,IF(AND(LEFT($L25,2)="09",OR($H25&lt;2000,$H25&gt;2010)),"FAIL - 2000-10 class, year "&amp;$H25,"OK")))))</f>
        <v/>
      </c>
      <c r="BF25" s="53" t="str">
        <f aca="false">IF($AD25="","",IF(ROUND($AO25+$AP25+$AQ25-$AD25,2)=0,"OK","FAIL - out by "&amp;TEXT($AO25+$AP25+$AQ25-$AD25,"$0.00")))</f>
        <v/>
      </c>
    </row>
    <row r="26" customFormat="false" ht="15" hidden="false" customHeight="true" outlineLevel="0" collapsed="false">
      <c r="A26" s="54"/>
      <c r="B26" s="54"/>
      <c r="C26" s="55"/>
      <c r="D26" s="56"/>
      <c r="E26" s="56"/>
      <c r="F26" s="54"/>
      <c r="G26" s="41" t="str">
        <f aca="false">IF($A26="","",IF($C26="","",YEAR($C26)))</f>
        <v/>
      </c>
      <c r="H26" s="57"/>
      <c r="I26" s="54"/>
      <c r="J26" s="54"/>
      <c r="K26" s="54"/>
      <c r="L26" s="56"/>
      <c r="M26" s="58"/>
      <c r="N26" s="56"/>
      <c r="O26" s="54"/>
      <c r="P26" s="54"/>
      <c r="Q26" s="54"/>
      <c r="R26" s="54"/>
      <c r="S26" s="56"/>
      <c r="T26" s="44" t="str">
        <f aca="false">IF($A26="","",IF($S26="","",IFERROR(INDEX(Lists!$N$5:$N$16,MATCH($S26,Lists!$M$5:$M$16,0)),"?")))</f>
        <v/>
      </c>
      <c r="U26" s="54"/>
      <c r="V26" s="56"/>
      <c r="W26" s="54"/>
      <c r="X26" s="56"/>
      <c r="Y26" s="54"/>
      <c r="Z26" s="54"/>
      <c r="AA26" s="56"/>
      <c r="AB26" s="58"/>
      <c r="AC26" s="59"/>
      <c r="AD26" s="46" t="str">
        <f aca="false">IF(ISNUMBER($AB26),$AB26*(1+N($AC26)),"")</f>
        <v/>
      </c>
      <c r="AE26" s="58"/>
      <c r="AF26" s="58"/>
      <c r="AG26" s="59"/>
      <c r="AH26" s="47" t="str">
        <f aca="false">IF(ISNUMBER($AD26),($AD26+$AE26+$AF26)*$AG26,"")</f>
        <v/>
      </c>
      <c r="AI26" s="58"/>
      <c r="AJ26" s="46" t="str">
        <f aca="false">IF(ISNUMBER($AD26),SUM($AD26:$AH26),"")</f>
        <v/>
      </c>
      <c r="AK26" s="48" t="str">
        <f aca="false">IF(AND(ISNUMBER($AB26),ISNUMBER($AD26)),IF($AB26&gt;0,$AD26/$AB26,""),"")</f>
        <v/>
      </c>
      <c r="AL26" s="56"/>
      <c r="AM26" s="49" t="str">
        <f aca="false">IF(ISNUMBER($AD26),Header!$I$3,"")</f>
        <v/>
      </c>
      <c r="AN26" s="47" t="str">
        <f aca="false">IF(ISNUMBER($AD26),$AO26+$AP26,"")</f>
        <v/>
      </c>
      <c r="AO26" s="47" t="str">
        <f aca="false">IF(ISNUMBER($AD26),ROUND($AD26*Header!$K$3,2),"")</f>
        <v/>
      </c>
      <c r="AP26" s="47" t="str">
        <f aca="false">IF(ISNUMBER($AD26),ROUND($AD26*Header!$M$3,2),"")</f>
        <v/>
      </c>
      <c r="AQ26" s="46" t="str">
        <f aca="false">IF(ISNUMBER($AD26),ROUND($AD26,2)-$AO26-$AP26,"")</f>
        <v/>
      </c>
      <c r="AR26" s="47" t="str">
        <f aca="false">IF(ISNUMBER($AD26),IF(Header!$D$34="","?",$AD26*Header!$D$34),"")</f>
        <v/>
      </c>
      <c r="AS26" s="47" t="str">
        <f aca="false">IF(ISNUMBER($AB26),IF(Header!$D$34="","?",$AB26*Header!$D$34),"")</f>
        <v/>
      </c>
      <c r="AT26" s="50" t="str">
        <f aca="false">IF(AND(ISNUMBER($AB26),$M26&gt;0),$AB26/$M26*100,"")</f>
        <v/>
      </c>
      <c r="AU26" s="50" t="str">
        <f aca="false">IF(AND(ISNUMBER($AD26),$M26&gt;0),$AD26/$M26*100,"")</f>
        <v/>
      </c>
      <c r="AV26" s="48" t="str">
        <f aca="false">IF(AND(ISNUMBER($AB26),ISNUMBER($AD26),ABS($AB26)&gt;0),$AD26/$AB26,"")</f>
        <v/>
      </c>
      <c r="AW26" s="47" t="str">
        <f aca="false">IF(ISNUMBER($AD26),MAX(0,(1-0.55-Header!$O$3)*Header!$Q$3*$AQ26),"")</f>
        <v/>
      </c>
      <c r="AX26" s="51" t="str">
        <f aca="false">IF($A26="","",IF(TRIM(IF($A26="","Missing certificate ref. ","") &amp; IF($C26="","Missing effective date. ","") &amp; IF($D26="","Missing binding status. ","") &amp; IF($E26="","Missing movement type. ","") &amp; IF($I26="","Missing make. ","") &amp; IF($L26="","Missing vehicle class. ","") &amp; IF($M26="","Missing agreed value. ","") &amp; IF($N26="","Missing policy type. ","") &amp; IF($Q26="","Missing garaging state. ","") &amp; IF($R26="","Missing garaging ZIP. ","") &amp; IF($S26="","Missing cat zone. ","") &amp; IF($V26="","Missing valuation basis. ","") &amp; IF($W26="","Missing PD deductible. ","") &amp; IF($X26="","Missing liability limit. ","") &amp; IF($AB26="","Missing technical premium. ","") &amp; IF($AF26="","Missing surplus lines tax %. ",""))="","PASS","FAIL: "&amp;TRIM(IF($A26="","Missing certificate ref. ","") &amp; IF($C26="","Missing effective date. ","") &amp; IF($D26="","Missing binding status. ","") &amp; IF($E26="","Missing movement type. ","") &amp; IF($I26="","Missing make. ","") &amp; IF($L26="","Missing vehicle class. ","") &amp; IF($M26="","Missing agreed value. ","") &amp; IF($N26="","Missing policy type. ","") &amp; IF($Q26="","Missing garaging state. ","") &amp; IF($R26="","Missing garaging ZIP. ","") &amp; IF($S26="","Missing cat zone. ","") &amp; IF($V26="","Missing valuation basis. ","") &amp; IF($W26="","Missing PD deductible. ","") &amp; IF($X26="","Missing liability limit. ","") &amp; IF($AB26="","Missing technical premium. ","") &amp; IF($AF26="","Missing surplus lines tax %. ",""))))</f>
        <v/>
      </c>
      <c r="AY26" s="52" t="str">
        <f aca="false">IF($M26="","",IF(ISNUMBER($M26),IF($M26&gt;=Header!$C$18,"YES — refer","No"),""))</f>
        <v/>
      </c>
      <c r="AZ26" s="52" t="str">
        <f aca="false">IF($AD26="","",IF(ISNUMBER($AD26),IF($AD26&lt;Header!$C$20,"BELOW MIN PREMIUM","OK"),""))</f>
        <v/>
      </c>
      <c r="BA26" s="56"/>
      <c r="BB26" s="56"/>
      <c r="BC26" s="54"/>
      <c r="BE26" s="53" t="str">
        <f aca="false">IF(OR($A26="",$L26="",$H26=""),"",IF(AND(LEFT($L26,2)="06",$H26&gt;1945),"FAIL - pre-war class, year "&amp;$H26,IF(AND(LEFT($L26,2)="07",OR($H26&lt;1946,$H26&gt;1972)),"FAIL - 1946-72 class, year "&amp;$H26,IF(AND(LEFT($L26,2)="08",OR($H26&lt;1973,$H26&gt;1999)),"FAIL - 1973-99 class, year "&amp;$H26,IF(AND(LEFT($L26,2)="09",OR($H26&lt;2000,$H26&gt;2010)),"FAIL - 2000-10 class, year "&amp;$H26,"OK")))))</f>
        <v/>
      </c>
      <c r="BF26" s="53" t="str">
        <f aca="false">IF($AD26="","",IF(ROUND($AO26+$AP26+$AQ26-$AD26,2)=0,"OK","FAIL - out by "&amp;TEXT($AO26+$AP26+$AQ26-$AD26,"$0.00")))</f>
        <v/>
      </c>
    </row>
    <row r="27" customFormat="false" ht="15" hidden="false" customHeight="true" outlineLevel="0" collapsed="false">
      <c r="A27" s="38"/>
      <c r="B27" s="38"/>
      <c r="C27" s="39"/>
      <c r="D27" s="40"/>
      <c r="E27" s="40"/>
      <c r="F27" s="38"/>
      <c r="G27" s="41" t="str">
        <f aca="false">IF($A27="","",IF($C27="","",YEAR($C27)))</f>
        <v/>
      </c>
      <c r="H27" s="42"/>
      <c r="I27" s="38"/>
      <c r="J27" s="38"/>
      <c r="K27" s="38"/>
      <c r="L27" s="40"/>
      <c r="M27" s="43"/>
      <c r="N27" s="40"/>
      <c r="O27" s="38"/>
      <c r="P27" s="38"/>
      <c r="Q27" s="38"/>
      <c r="R27" s="38"/>
      <c r="S27" s="40"/>
      <c r="T27" s="44" t="str">
        <f aca="false">IF($A27="","",IF($S27="","",IFERROR(INDEX(Lists!$N$5:$N$16,MATCH($S27,Lists!$M$5:$M$16,0)),"?")))</f>
        <v/>
      </c>
      <c r="U27" s="38"/>
      <c r="V27" s="40"/>
      <c r="W27" s="38"/>
      <c r="X27" s="40"/>
      <c r="Y27" s="38"/>
      <c r="Z27" s="38"/>
      <c r="AA27" s="40"/>
      <c r="AB27" s="43"/>
      <c r="AC27" s="45"/>
      <c r="AD27" s="46" t="str">
        <f aca="false">IF(ISNUMBER($AB27),$AB27*(1+N($AC27)),"")</f>
        <v/>
      </c>
      <c r="AE27" s="43"/>
      <c r="AF27" s="43"/>
      <c r="AG27" s="45"/>
      <c r="AH27" s="47" t="str">
        <f aca="false">IF(ISNUMBER($AD27),($AD27+$AE27+$AF27)*$AG27,"")</f>
        <v/>
      </c>
      <c r="AI27" s="43"/>
      <c r="AJ27" s="46" t="str">
        <f aca="false">IF(ISNUMBER($AD27),SUM($AD27:$AH27),"")</f>
        <v/>
      </c>
      <c r="AK27" s="48" t="str">
        <f aca="false">IF(AND(ISNUMBER($AB27),ISNUMBER($AD27)),IF($AB27&gt;0,$AD27/$AB27,""),"")</f>
        <v/>
      </c>
      <c r="AL27" s="40"/>
      <c r="AM27" s="49" t="str">
        <f aca="false">IF(ISNUMBER($AD27),Header!$I$3,"")</f>
        <v/>
      </c>
      <c r="AN27" s="47" t="str">
        <f aca="false">IF(ISNUMBER($AD27),$AO27+$AP27,"")</f>
        <v/>
      </c>
      <c r="AO27" s="47" t="str">
        <f aca="false">IF(ISNUMBER($AD27),ROUND($AD27*Header!$K$3,2),"")</f>
        <v/>
      </c>
      <c r="AP27" s="47" t="str">
        <f aca="false">IF(ISNUMBER($AD27),ROUND($AD27*Header!$M$3,2),"")</f>
        <v/>
      </c>
      <c r="AQ27" s="46" t="str">
        <f aca="false">IF(ISNUMBER($AD27),ROUND($AD27,2)-$AO27-$AP27,"")</f>
        <v/>
      </c>
      <c r="AR27" s="47" t="str">
        <f aca="false">IF(ISNUMBER($AD27),IF(Header!$D$34="","?",$AD27*Header!$D$34),"")</f>
        <v/>
      </c>
      <c r="AS27" s="47" t="str">
        <f aca="false">IF(ISNUMBER($AB27),IF(Header!$D$34="","?",$AB27*Header!$D$34),"")</f>
        <v/>
      </c>
      <c r="AT27" s="50" t="str">
        <f aca="false">IF(AND(ISNUMBER($AB27),$M27&gt;0),$AB27/$M27*100,"")</f>
        <v/>
      </c>
      <c r="AU27" s="50" t="str">
        <f aca="false">IF(AND(ISNUMBER($AD27),$M27&gt;0),$AD27/$M27*100,"")</f>
        <v/>
      </c>
      <c r="AV27" s="48" t="str">
        <f aca="false">IF(AND(ISNUMBER($AB27),ISNUMBER($AD27),ABS($AB27)&gt;0),$AD27/$AB27,"")</f>
        <v/>
      </c>
      <c r="AW27" s="47" t="str">
        <f aca="false">IF(ISNUMBER($AD27),MAX(0,(1-0.55-Header!$O$3)*Header!$Q$3*$AQ27),"")</f>
        <v/>
      </c>
      <c r="AX27" s="51" t="str">
        <f aca="false">IF($A27="","",IF(TRIM(IF($A27="","Missing certificate ref. ","") &amp; IF($C27="","Missing effective date. ","") &amp; IF($D27="","Missing binding status. ","") &amp; IF($E27="","Missing movement type. ","") &amp; IF($I27="","Missing make. ","") &amp; IF($L27="","Missing vehicle class. ","") &amp; IF($M27="","Missing agreed value. ","") &amp; IF($N27="","Missing policy type. ","") &amp; IF($Q27="","Missing garaging state. ","") &amp; IF($R27="","Missing garaging ZIP. ","") &amp; IF($S27="","Missing cat zone. ","") &amp; IF($V27="","Missing valuation basis. ","") &amp; IF($W27="","Missing PD deductible. ","") &amp; IF($X27="","Missing liability limit. ","") &amp; IF($AB27="","Missing technical premium. ","") &amp; IF($AF27="","Missing surplus lines tax %. ",""))="","PASS","FAIL: "&amp;TRIM(IF($A27="","Missing certificate ref. ","") &amp; IF($C27="","Missing effective date. ","") &amp; IF($D27="","Missing binding status. ","") &amp; IF($E27="","Missing movement type. ","") &amp; IF($I27="","Missing make. ","") &amp; IF($L27="","Missing vehicle class. ","") &amp; IF($M27="","Missing agreed value. ","") &amp; IF($N27="","Missing policy type. ","") &amp; IF($Q27="","Missing garaging state. ","") &amp; IF($R27="","Missing garaging ZIP. ","") &amp; IF($S27="","Missing cat zone. ","") &amp; IF($V27="","Missing valuation basis. ","") &amp; IF($W27="","Missing PD deductible. ","") &amp; IF($X27="","Missing liability limit. ","") &amp; IF($AB27="","Missing technical premium. ","") &amp; IF($AF27="","Missing surplus lines tax %. ",""))))</f>
        <v/>
      </c>
      <c r="AY27" s="52" t="str">
        <f aca="false">IF($M27="","",IF(ISNUMBER($M27),IF($M27&gt;=Header!$C$18,"YES — refer","No"),""))</f>
        <v/>
      </c>
      <c r="AZ27" s="52" t="str">
        <f aca="false">IF($AD27="","",IF(ISNUMBER($AD27),IF($AD27&lt;Header!$C$20,"BELOW MIN PREMIUM","OK"),""))</f>
        <v/>
      </c>
      <c r="BA27" s="40"/>
      <c r="BB27" s="40"/>
      <c r="BC27" s="38"/>
      <c r="BE27" s="53" t="str">
        <f aca="false">IF(OR($A27="",$L27="",$H27=""),"",IF(AND(LEFT($L27,2)="06",$H27&gt;1945),"FAIL - pre-war class, year "&amp;$H27,IF(AND(LEFT($L27,2)="07",OR($H27&lt;1946,$H27&gt;1972)),"FAIL - 1946-72 class, year "&amp;$H27,IF(AND(LEFT($L27,2)="08",OR($H27&lt;1973,$H27&gt;1999)),"FAIL - 1973-99 class, year "&amp;$H27,IF(AND(LEFT($L27,2)="09",OR($H27&lt;2000,$H27&gt;2010)),"FAIL - 2000-10 class, year "&amp;$H27,"OK")))))</f>
        <v/>
      </c>
      <c r="BF27" s="53" t="str">
        <f aca="false">IF($AD27="","",IF(ROUND($AO27+$AP27+$AQ27-$AD27,2)=0,"OK","FAIL - out by "&amp;TEXT($AO27+$AP27+$AQ27-$AD27,"$0.00")))</f>
        <v/>
      </c>
    </row>
    <row r="28" customFormat="false" ht="15" hidden="false" customHeight="true" outlineLevel="0" collapsed="false">
      <c r="A28" s="54"/>
      <c r="B28" s="54"/>
      <c r="C28" s="55"/>
      <c r="D28" s="56"/>
      <c r="E28" s="56"/>
      <c r="F28" s="54"/>
      <c r="G28" s="41" t="str">
        <f aca="false">IF($A28="","",IF($C28="","",YEAR($C28)))</f>
        <v/>
      </c>
      <c r="H28" s="57"/>
      <c r="I28" s="54"/>
      <c r="J28" s="54"/>
      <c r="K28" s="54"/>
      <c r="L28" s="56"/>
      <c r="M28" s="58"/>
      <c r="N28" s="56"/>
      <c r="O28" s="54"/>
      <c r="P28" s="54"/>
      <c r="Q28" s="54"/>
      <c r="R28" s="54"/>
      <c r="S28" s="56"/>
      <c r="T28" s="44" t="str">
        <f aca="false">IF($A28="","",IF($S28="","",IFERROR(INDEX(Lists!$N$5:$N$16,MATCH($S28,Lists!$M$5:$M$16,0)),"?")))</f>
        <v/>
      </c>
      <c r="U28" s="54"/>
      <c r="V28" s="56"/>
      <c r="W28" s="54"/>
      <c r="X28" s="56"/>
      <c r="Y28" s="54"/>
      <c r="Z28" s="54"/>
      <c r="AA28" s="56"/>
      <c r="AB28" s="58"/>
      <c r="AC28" s="59"/>
      <c r="AD28" s="46" t="str">
        <f aca="false">IF(ISNUMBER($AB28),$AB28*(1+N($AC28)),"")</f>
        <v/>
      </c>
      <c r="AE28" s="58"/>
      <c r="AF28" s="58"/>
      <c r="AG28" s="59"/>
      <c r="AH28" s="47" t="str">
        <f aca="false">IF(ISNUMBER($AD28),($AD28+$AE28+$AF28)*$AG28,"")</f>
        <v/>
      </c>
      <c r="AI28" s="58"/>
      <c r="AJ28" s="46" t="str">
        <f aca="false">IF(ISNUMBER($AD28),SUM($AD28:$AH28),"")</f>
        <v/>
      </c>
      <c r="AK28" s="48" t="str">
        <f aca="false">IF(AND(ISNUMBER($AB28),ISNUMBER($AD28)),IF($AB28&gt;0,$AD28/$AB28,""),"")</f>
        <v/>
      </c>
      <c r="AL28" s="56"/>
      <c r="AM28" s="49" t="str">
        <f aca="false">IF(ISNUMBER($AD28),Header!$I$3,"")</f>
        <v/>
      </c>
      <c r="AN28" s="47" t="str">
        <f aca="false">IF(ISNUMBER($AD28),$AO28+$AP28,"")</f>
        <v/>
      </c>
      <c r="AO28" s="47" t="str">
        <f aca="false">IF(ISNUMBER($AD28),ROUND($AD28*Header!$K$3,2),"")</f>
        <v/>
      </c>
      <c r="AP28" s="47" t="str">
        <f aca="false">IF(ISNUMBER($AD28),ROUND($AD28*Header!$M$3,2),"")</f>
        <v/>
      </c>
      <c r="AQ28" s="46" t="str">
        <f aca="false">IF(ISNUMBER($AD28),ROUND($AD28,2)-$AO28-$AP28,"")</f>
        <v/>
      </c>
      <c r="AR28" s="47" t="str">
        <f aca="false">IF(ISNUMBER($AD28),IF(Header!$D$34="","?",$AD28*Header!$D$34),"")</f>
        <v/>
      </c>
      <c r="AS28" s="47" t="str">
        <f aca="false">IF(ISNUMBER($AB28),IF(Header!$D$34="","?",$AB28*Header!$D$34),"")</f>
        <v/>
      </c>
      <c r="AT28" s="50" t="str">
        <f aca="false">IF(AND(ISNUMBER($AB28),$M28&gt;0),$AB28/$M28*100,"")</f>
        <v/>
      </c>
      <c r="AU28" s="50" t="str">
        <f aca="false">IF(AND(ISNUMBER($AD28),$M28&gt;0),$AD28/$M28*100,"")</f>
        <v/>
      </c>
      <c r="AV28" s="48" t="str">
        <f aca="false">IF(AND(ISNUMBER($AB28),ISNUMBER($AD28),ABS($AB28)&gt;0),$AD28/$AB28,"")</f>
        <v/>
      </c>
      <c r="AW28" s="47" t="str">
        <f aca="false">IF(ISNUMBER($AD28),MAX(0,(1-0.55-Header!$O$3)*Header!$Q$3*$AQ28),"")</f>
        <v/>
      </c>
      <c r="AX28" s="51" t="str">
        <f aca="false">IF($A28="","",IF(TRIM(IF($A28="","Missing certificate ref. ","") &amp; IF($C28="","Missing effective date. ","") &amp; IF($D28="","Missing binding status. ","") &amp; IF($E28="","Missing movement type. ","") &amp; IF($I28="","Missing make. ","") &amp; IF($L28="","Missing vehicle class. ","") &amp; IF($M28="","Missing agreed value. ","") &amp; IF($N28="","Missing policy type. ","") &amp; IF($Q28="","Missing garaging state. ","") &amp; IF($R28="","Missing garaging ZIP. ","") &amp; IF($S28="","Missing cat zone. ","") &amp; IF($V28="","Missing valuation basis. ","") &amp; IF($W28="","Missing PD deductible. ","") &amp; IF($X28="","Missing liability limit. ","") &amp; IF($AB28="","Missing technical premium. ","") &amp; IF($AF28="","Missing surplus lines tax %. ",""))="","PASS","FAIL: "&amp;TRIM(IF($A28="","Missing certificate ref. ","") &amp; IF($C28="","Missing effective date. ","") &amp; IF($D28="","Missing binding status. ","") &amp; IF($E28="","Missing movement type. ","") &amp; IF($I28="","Missing make. ","") &amp; IF($L28="","Missing vehicle class. ","") &amp; IF($M28="","Missing agreed value. ","") &amp; IF($N28="","Missing policy type. ","") &amp; IF($Q28="","Missing garaging state. ","") &amp; IF($R28="","Missing garaging ZIP. ","") &amp; IF($S28="","Missing cat zone. ","") &amp; IF($V28="","Missing valuation basis. ","") &amp; IF($W28="","Missing PD deductible. ","") &amp; IF($X28="","Missing liability limit. ","") &amp; IF($AB28="","Missing technical premium. ","") &amp; IF($AF28="","Missing surplus lines tax %. ",""))))</f>
        <v/>
      </c>
      <c r="AY28" s="52" t="str">
        <f aca="false">IF($M28="","",IF(ISNUMBER($M28),IF($M28&gt;=Header!$C$18,"YES — refer","No"),""))</f>
        <v/>
      </c>
      <c r="AZ28" s="52" t="str">
        <f aca="false">IF($AD28="","",IF(ISNUMBER($AD28),IF($AD28&lt;Header!$C$20,"BELOW MIN PREMIUM","OK"),""))</f>
        <v/>
      </c>
      <c r="BA28" s="56"/>
      <c r="BB28" s="56"/>
      <c r="BC28" s="54"/>
      <c r="BE28" s="53" t="str">
        <f aca="false">IF(OR($A28="",$L28="",$H28=""),"",IF(AND(LEFT($L28,2)="06",$H28&gt;1945),"FAIL - pre-war class, year "&amp;$H28,IF(AND(LEFT($L28,2)="07",OR($H28&lt;1946,$H28&gt;1972)),"FAIL - 1946-72 class, year "&amp;$H28,IF(AND(LEFT($L28,2)="08",OR($H28&lt;1973,$H28&gt;1999)),"FAIL - 1973-99 class, year "&amp;$H28,IF(AND(LEFT($L28,2)="09",OR($H28&lt;2000,$H28&gt;2010)),"FAIL - 2000-10 class, year "&amp;$H28,"OK")))))</f>
        <v/>
      </c>
      <c r="BF28" s="53" t="str">
        <f aca="false">IF($AD28="","",IF(ROUND($AO28+$AP28+$AQ28-$AD28,2)=0,"OK","FAIL - out by "&amp;TEXT($AO28+$AP28+$AQ28-$AD28,"$0.00")))</f>
        <v/>
      </c>
    </row>
    <row r="29" customFormat="false" ht="15" hidden="false" customHeight="true" outlineLevel="0" collapsed="false">
      <c r="A29" s="38"/>
      <c r="B29" s="38"/>
      <c r="C29" s="39"/>
      <c r="D29" s="40"/>
      <c r="E29" s="40"/>
      <c r="F29" s="38"/>
      <c r="G29" s="41" t="str">
        <f aca="false">IF($A29="","",IF($C29="","",YEAR($C29)))</f>
        <v/>
      </c>
      <c r="H29" s="42"/>
      <c r="I29" s="38"/>
      <c r="J29" s="38"/>
      <c r="K29" s="38"/>
      <c r="L29" s="40"/>
      <c r="M29" s="43"/>
      <c r="N29" s="40"/>
      <c r="O29" s="38"/>
      <c r="P29" s="38"/>
      <c r="Q29" s="38"/>
      <c r="R29" s="38"/>
      <c r="S29" s="40"/>
      <c r="T29" s="44" t="str">
        <f aca="false">IF($A29="","",IF($S29="","",IFERROR(INDEX(Lists!$N$5:$N$16,MATCH($S29,Lists!$M$5:$M$16,0)),"?")))</f>
        <v/>
      </c>
      <c r="U29" s="38"/>
      <c r="V29" s="40"/>
      <c r="W29" s="38"/>
      <c r="X29" s="40"/>
      <c r="Y29" s="38"/>
      <c r="Z29" s="38"/>
      <c r="AA29" s="40"/>
      <c r="AB29" s="43"/>
      <c r="AC29" s="45"/>
      <c r="AD29" s="46" t="str">
        <f aca="false">IF(ISNUMBER($AB29),$AB29*(1+N($AC29)),"")</f>
        <v/>
      </c>
      <c r="AE29" s="43"/>
      <c r="AF29" s="43"/>
      <c r="AG29" s="45"/>
      <c r="AH29" s="47" t="str">
        <f aca="false">IF(ISNUMBER($AD29),($AD29+$AE29+$AF29)*$AG29,"")</f>
        <v/>
      </c>
      <c r="AI29" s="43"/>
      <c r="AJ29" s="46" t="str">
        <f aca="false">IF(ISNUMBER($AD29),SUM($AD29:$AH29),"")</f>
        <v/>
      </c>
      <c r="AK29" s="48" t="str">
        <f aca="false">IF(AND(ISNUMBER($AB29),ISNUMBER($AD29)),IF($AB29&gt;0,$AD29/$AB29,""),"")</f>
        <v/>
      </c>
      <c r="AL29" s="40"/>
      <c r="AM29" s="49" t="str">
        <f aca="false">IF(ISNUMBER($AD29),Header!$I$3,"")</f>
        <v/>
      </c>
      <c r="AN29" s="47" t="str">
        <f aca="false">IF(ISNUMBER($AD29),$AO29+$AP29,"")</f>
        <v/>
      </c>
      <c r="AO29" s="47" t="str">
        <f aca="false">IF(ISNUMBER($AD29),ROUND($AD29*Header!$K$3,2),"")</f>
        <v/>
      </c>
      <c r="AP29" s="47" t="str">
        <f aca="false">IF(ISNUMBER($AD29),ROUND($AD29*Header!$M$3,2),"")</f>
        <v/>
      </c>
      <c r="AQ29" s="46" t="str">
        <f aca="false">IF(ISNUMBER($AD29),ROUND($AD29,2)-$AO29-$AP29,"")</f>
        <v/>
      </c>
      <c r="AR29" s="47" t="str">
        <f aca="false">IF(ISNUMBER($AD29),IF(Header!$D$34="","?",$AD29*Header!$D$34),"")</f>
        <v/>
      </c>
      <c r="AS29" s="47" t="str">
        <f aca="false">IF(ISNUMBER($AB29),IF(Header!$D$34="","?",$AB29*Header!$D$34),"")</f>
        <v/>
      </c>
      <c r="AT29" s="50" t="str">
        <f aca="false">IF(AND(ISNUMBER($AB29),$M29&gt;0),$AB29/$M29*100,"")</f>
        <v/>
      </c>
      <c r="AU29" s="50" t="str">
        <f aca="false">IF(AND(ISNUMBER($AD29),$M29&gt;0),$AD29/$M29*100,"")</f>
        <v/>
      </c>
      <c r="AV29" s="48" t="str">
        <f aca="false">IF(AND(ISNUMBER($AB29),ISNUMBER($AD29),ABS($AB29)&gt;0),$AD29/$AB29,"")</f>
        <v/>
      </c>
      <c r="AW29" s="47" t="str">
        <f aca="false">IF(ISNUMBER($AD29),MAX(0,(1-0.55-Header!$O$3)*Header!$Q$3*$AQ29),"")</f>
        <v/>
      </c>
      <c r="AX29" s="51" t="str">
        <f aca="false">IF($A29="","",IF(TRIM(IF($A29="","Missing certificate ref. ","") &amp; IF($C29="","Missing effective date. ","") &amp; IF($D29="","Missing binding status. ","") &amp; IF($E29="","Missing movement type. ","") &amp; IF($I29="","Missing make. ","") &amp; IF($L29="","Missing vehicle class. ","") &amp; IF($M29="","Missing agreed value. ","") &amp; IF($N29="","Missing policy type. ","") &amp; IF($Q29="","Missing garaging state. ","") &amp; IF($R29="","Missing garaging ZIP. ","") &amp; IF($S29="","Missing cat zone. ","") &amp; IF($V29="","Missing valuation basis. ","") &amp; IF($W29="","Missing PD deductible. ","") &amp; IF($X29="","Missing liability limit. ","") &amp; IF($AB29="","Missing technical premium. ","") &amp; IF($AF29="","Missing surplus lines tax %. ",""))="","PASS","FAIL: "&amp;TRIM(IF($A29="","Missing certificate ref. ","") &amp; IF($C29="","Missing effective date. ","") &amp; IF($D29="","Missing binding status. ","") &amp; IF($E29="","Missing movement type. ","") &amp; IF($I29="","Missing make. ","") &amp; IF($L29="","Missing vehicle class. ","") &amp; IF($M29="","Missing agreed value. ","") &amp; IF($N29="","Missing policy type. ","") &amp; IF($Q29="","Missing garaging state. ","") &amp; IF($R29="","Missing garaging ZIP. ","") &amp; IF($S29="","Missing cat zone. ","") &amp; IF($V29="","Missing valuation basis. ","") &amp; IF($W29="","Missing PD deductible. ","") &amp; IF($X29="","Missing liability limit. ","") &amp; IF($AB29="","Missing technical premium. ","") &amp; IF($AF29="","Missing surplus lines tax %. ",""))))</f>
        <v/>
      </c>
      <c r="AY29" s="52" t="str">
        <f aca="false">IF($M29="","",IF(ISNUMBER($M29),IF($M29&gt;=Header!$C$18,"YES — refer","No"),""))</f>
        <v/>
      </c>
      <c r="AZ29" s="52" t="str">
        <f aca="false">IF($AD29="","",IF(ISNUMBER($AD29),IF($AD29&lt;Header!$C$20,"BELOW MIN PREMIUM","OK"),""))</f>
        <v/>
      </c>
      <c r="BA29" s="40"/>
      <c r="BB29" s="40"/>
      <c r="BC29" s="38"/>
      <c r="BE29" s="53" t="str">
        <f aca="false">IF(OR($A29="",$L29="",$H29=""),"",IF(AND(LEFT($L29,2)="06",$H29&gt;1945),"FAIL - pre-war class, year "&amp;$H29,IF(AND(LEFT($L29,2)="07",OR($H29&lt;1946,$H29&gt;1972)),"FAIL - 1946-72 class, year "&amp;$H29,IF(AND(LEFT($L29,2)="08",OR($H29&lt;1973,$H29&gt;1999)),"FAIL - 1973-99 class, year "&amp;$H29,IF(AND(LEFT($L29,2)="09",OR($H29&lt;2000,$H29&gt;2010)),"FAIL - 2000-10 class, year "&amp;$H29,"OK")))))</f>
        <v/>
      </c>
      <c r="BF29" s="53" t="str">
        <f aca="false">IF($AD29="","",IF(ROUND($AO29+$AP29+$AQ29-$AD29,2)=0,"OK","FAIL - out by "&amp;TEXT($AO29+$AP29+$AQ29-$AD29,"$0.00")))</f>
        <v/>
      </c>
    </row>
    <row r="30" customFormat="false" ht="15" hidden="false" customHeight="true" outlineLevel="0" collapsed="false">
      <c r="A30" s="54"/>
      <c r="B30" s="54"/>
      <c r="C30" s="55"/>
      <c r="D30" s="56"/>
      <c r="E30" s="56"/>
      <c r="F30" s="54"/>
      <c r="G30" s="41" t="str">
        <f aca="false">IF($A30="","",IF($C30="","",YEAR($C30)))</f>
        <v/>
      </c>
      <c r="H30" s="57"/>
      <c r="I30" s="54"/>
      <c r="J30" s="54"/>
      <c r="K30" s="54"/>
      <c r="L30" s="56"/>
      <c r="M30" s="58"/>
      <c r="N30" s="56"/>
      <c r="O30" s="54"/>
      <c r="P30" s="54"/>
      <c r="Q30" s="54"/>
      <c r="R30" s="54"/>
      <c r="S30" s="56"/>
      <c r="T30" s="44" t="str">
        <f aca="false">IF($A30="","",IF($S30="","",IFERROR(INDEX(Lists!$N$5:$N$16,MATCH($S30,Lists!$M$5:$M$16,0)),"?")))</f>
        <v/>
      </c>
      <c r="U30" s="54"/>
      <c r="V30" s="56"/>
      <c r="W30" s="54"/>
      <c r="X30" s="56"/>
      <c r="Y30" s="54"/>
      <c r="Z30" s="54"/>
      <c r="AA30" s="56"/>
      <c r="AB30" s="58"/>
      <c r="AC30" s="59"/>
      <c r="AD30" s="46" t="str">
        <f aca="false">IF(ISNUMBER($AB30),$AB30*(1+N($AC30)),"")</f>
        <v/>
      </c>
      <c r="AE30" s="58"/>
      <c r="AF30" s="58"/>
      <c r="AG30" s="59"/>
      <c r="AH30" s="47" t="str">
        <f aca="false">IF(ISNUMBER($AD30),($AD30+$AE30+$AF30)*$AG30,"")</f>
        <v/>
      </c>
      <c r="AI30" s="58"/>
      <c r="AJ30" s="46" t="str">
        <f aca="false">IF(ISNUMBER($AD30),SUM($AD30:$AH30),"")</f>
        <v/>
      </c>
      <c r="AK30" s="48" t="str">
        <f aca="false">IF(AND(ISNUMBER($AB30),ISNUMBER($AD30)),IF($AB30&gt;0,$AD30/$AB30,""),"")</f>
        <v/>
      </c>
      <c r="AL30" s="56"/>
      <c r="AM30" s="49" t="str">
        <f aca="false">IF(ISNUMBER($AD30),Header!$I$3,"")</f>
        <v/>
      </c>
      <c r="AN30" s="47" t="str">
        <f aca="false">IF(ISNUMBER($AD30),$AO30+$AP30,"")</f>
        <v/>
      </c>
      <c r="AO30" s="47" t="str">
        <f aca="false">IF(ISNUMBER($AD30),ROUND($AD30*Header!$K$3,2),"")</f>
        <v/>
      </c>
      <c r="AP30" s="47" t="str">
        <f aca="false">IF(ISNUMBER($AD30),ROUND($AD30*Header!$M$3,2),"")</f>
        <v/>
      </c>
      <c r="AQ30" s="46" t="str">
        <f aca="false">IF(ISNUMBER($AD30),ROUND($AD30,2)-$AO30-$AP30,"")</f>
        <v/>
      </c>
      <c r="AR30" s="47" t="str">
        <f aca="false">IF(ISNUMBER($AD30),IF(Header!$D$34="","?",$AD30*Header!$D$34),"")</f>
        <v/>
      </c>
      <c r="AS30" s="47" t="str">
        <f aca="false">IF(ISNUMBER($AB30),IF(Header!$D$34="","?",$AB30*Header!$D$34),"")</f>
        <v/>
      </c>
      <c r="AT30" s="50" t="str">
        <f aca="false">IF(AND(ISNUMBER($AB30),$M30&gt;0),$AB30/$M30*100,"")</f>
        <v/>
      </c>
      <c r="AU30" s="50" t="str">
        <f aca="false">IF(AND(ISNUMBER($AD30),$M30&gt;0),$AD30/$M30*100,"")</f>
        <v/>
      </c>
      <c r="AV30" s="48" t="str">
        <f aca="false">IF(AND(ISNUMBER($AB30),ISNUMBER($AD30),ABS($AB30)&gt;0),$AD30/$AB30,"")</f>
        <v/>
      </c>
      <c r="AW30" s="47" t="str">
        <f aca="false">IF(ISNUMBER($AD30),MAX(0,(1-0.55-Header!$O$3)*Header!$Q$3*$AQ30),"")</f>
        <v/>
      </c>
      <c r="AX30" s="51" t="str">
        <f aca="false">IF($A30="","",IF(TRIM(IF($A30="","Missing certificate ref. ","") &amp; IF($C30="","Missing effective date. ","") &amp; IF($D30="","Missing binding status. ","") &amp; IF($E30="","Missing movement type. ","") &amp; IF($I30="","Missing make. ","") &amp; IF($L30="","Missing vehicle class. ","") &amp; IF($M30="","Missing agreed value. ","") &amp; IF($N30="","Missing policy type. ","") &amp; IF($Q30="","Missing garaging state. ","") &amp; IF($R30="","Missing garaging ZIP. ","") &amp; IF($S30="","Missing cat zone. ","") &amp; IF($V30="","Missing valuation basis. ","") &amp; IF($W30="","Missing PD deductible. ","") &amp; IF($X30="","Missing liability limit. ","") &amp; IF($AB30="","Missing technical premium. ","") &amp; IF($AF30="","Missing surplus lines tax %. ",""))="","PASS","FAIL: "&amp;TRIM(IF($A30="","Missing certificate ref. ","") &amp; IF($C30="","Missing effective date. ","") &amp; IF($D30="","Missing binding status. ","") &amp; IF($E30="","Missing movement type. ","") &amp; IF($I30="","Missing make. ","") &amp; IF($L30="","Missing vehicle class. ","") &amp; IF($M30="","Missing agreed value. ","") &amp; IF($N30="","Missing policy type. ","") &amp; IF($Q30="","Missing garaging state. ","") &amp; IF($R30="","Missing garaging ZIP. ","") &amp; IF($S30="","Missing cat zone. ","") &amp; IF($V30="","Missing valuation basis. ","") &amp; IF($W30="","Missing PD deductible. ","") &amp; IF($X30="","Missing liability limit. ","") &amp; IF($AB30="","Missing technical premium. ","") &amp; IF($AF30="","Missing surplus lines tax %. ",""))))</f>
        <v/>
      </c>
      <c r="AY30" s="52" t="str">
        <f aca="false">IF($M30="","",IF(ISNUMBER($M30),IF($M30&gt;=Header!$C$18,"YES — refer","No"),""))</f>
        <v/>
      </c>
      <c r="AZ30" s="52" t="str">
        <f aca="false">IF($AD30="","",IF(ISNUMBER($AD30),IF($AD30&lt;Header!$C$20,"BELOW MIN PREMIUM","OK"),""))</f>
        <v/>
      </c>
      <c r="BA30" s="56"/>
      <c r="BB30" s="56"/>
      <c r="BC30" s="54"/>
      <c r="BE30" s="53" t="str">
        <f aca="false">IF(OR($A30="",$L30="",$H30=""),"",IF(AND(LEFT($L30,2)="06",$H30&gt;1945),"FAIL - pre-war class, year "&amp;$H30,IF(AND(LEFT($L30,2)="07",OR($H30&lt;1946,$H30&gt;1972)),"FAIL - 1946-72 class, year "&amp;$H30,IF(AND(LEFT($L30,2)="08",OR($H30&lt;1973,$H30&gt;1999)),"FAIL - 1973-99 class, year "&amp;$H30,IF(AND(LEFT($L30,2)="09",OR($H30&lt;2000,$H30&gt;2010)),"FAIL - 2000-10 class, year "&amp;$H30,"OK")))))</f>
        <v/>
      </c>
      <c r="BF30" s="53" t="str">
        <f aca="false">IF($AD30="","",IF(ROUND($AO30+$AP30+$AQ30-$AD30,2)=0,"OK","FAIL - out by "&amp;TEXT($AO30+$AP30+$AQ30-$AD30,"$0.00")))</f>
        <v/>
      </c>
    </row>
    <row r="31" customFormat="false" ht="15" hidden="false" customHeight="true" outlineLevel="0" collapsed="false">
      <c r="A31" s="38"/>
      <c r="B31" s="38"/>
      <c r="C31" s="39"/>
      <c r="D31" s="40"/>
      <c r="E31" s="40"/>
      <c r="F31" s="38"/>
      <c r="G31" s="41" t="str">
        <f aca="false">IF($A31="","",IF($C31="","",YEAR($C31)))</f>
        <v/>
      </c>
      <c r="H31" s="42"/>
      <c r="I31" s="38"/>
      <c r="J31" s="38"/>
      <c r="K31" s="38"/>
      <c r="L31" s="40"/>
      <c r="M31" s="43"/>
      <c r="N31" s="40"/>
      <c r="O31" s="38"/>
      <c r="P31" s="38"/>
      <c r="Q31" s="38"/>
      <c r="R31" s="38"/>
      <c r="S31" s="40"/>
      <c r="T31" s="44" t="str">
        <f aca="false">IF($A31="","",IF($S31="","",IFERROR(INDEX(Lists!$N$5:$N$16,MATCH($S31,Lists!$M$5:$M$16,0)),"?")))</f>
        <v/>
      </c>
      <c r="U31" s="38"/>
      <c r="V31" s="40"/>
      <c r="W31" s="38"/>
      <c r="X31" s="40"/>
      <c r="Y31" s="38"/>
      <c r="Z31" s="38"/>
      <c r="AA31" s="40"/>
      <c r="AB31" s="43"/>
      <c r="AC31" s="45"/>
      <c r="AD31" s="46" t="str">
        <f aca="false">IF(ISNUMBER($AB31),$AB31*(1+N($AC31)),"")</f>
        <v/>
      </c>
      <c r="AE31" s="43"/>
      <c r="AF31" s="43"/>
      <c r="AG31" s="45"/>
      <c r="AH31" s="47" t="str">
        <f aca="false">IF(ISNUMBER($AD31),($AD31+$AE31+$AF31)*$AG31,"")</f>
        <v/>
      </c>
      <c r="AI31" s="43"/>
      <c r="AJ31" s="46" t="str">
        <f aca="false">IF(ISNUMBER($AD31),SUM($AD31:$AH31),"")</f>
        <v/>
      </c>
      <c r="AK31" s="48" t="str">
        <f aca="false">IF(AND(ISNUMBER($AB31),ISNUMBER($AD31)),IF($AB31&gt;0,$AD31/$AB31,""),"")</f>
        <v/>
      </c>
      <c r="AL31" s="40"/>
      <c r="AM31" s="49" t="str">
        <f aca="false">IF(ISNUMBER($AD31),Header!$I$3,"")</f>
        <v/>
      </c>
      <c r="AN31" s="47" t="str">
        <f aca="false">IF(ISNUMBER($AD31),$AO31+$AP31,"")</f>
        <v/>
      </c>
      <c r="AO31" s="47" t="str">
        <f aca="false">IF(ISNUMBER($AD31),ROUND($AD31*Header!$K$3,2),"")</f>
        <v/>
      </c>
      <c r="AP31" s="47" t="str">
        <f aca="false">IF(ISNUMBER($AD31),ROUND($AD31*Header!$M$3,2),"")</f>
        <v/>
      </c>
      <c r="AQ31" s="46" t="str">
        <f aca="false">IF(ISNUMBER($AD31),ROUND($AD31,2)-$AO31-$AP31,"")</f>
        <v/>
      </c>
      <c r="AR31" s="47" t="str">
        <f aca="false">IF(ISNUMBER($AD31),IF(Header!$D$34="","?",$AD31*Header!$D$34),"")</f>
        <v/>
      </c>
      <c r="AS31" s="47" t="str">
        <f aca="false">IF(ISNUMBER($AB31),IF(Header!$D$34="","?",$AB31*Header!$D$34),"")</f>
        <v/>
      </c>
      <c r="AT31" s="50" t="str">
        <f aca="false">IF(AND(ISNUMBER($AB31),$M31&gt;0),$AB31/$M31*100,"")</f>
        <v/>
      </c>
      <c r="AU31" s="50" t="str">
        <f aca="false">IF(AND(ISNUMBER($AD31),$M31&gt;0),$AD31/$M31*100,"")</f>
        <v/>
      </c>
      <c r="AV31" s="48" t="str">
        <f aca="false">IF(AND(ISNUMBER($AB31),ISNUMBER($AD31),ABS($AB31)&gt;0),$AD31/$AB31,"")</f>
        <v/>
      </c>
      <c r="AW31" s="47" t="str">
        <f aca="false">IF(ISNUMBER($AD31),MAX(0,(1-0.55-Header!$O$3)*Header!$Q$3*$AQ31),"")</f>
        <v/>
      </c>
      <c r="AX31" s="51" t="str">
        <f aca="false">IF($A31="","",IF(TRIM(IF($A31="","Missing certificate ref. ","") &amp; IF($C31="","Missing effective date. ","") &amp; IF($D31="","Missing binding status. ","") &amp; IF($E31="","Missing movement type. ","") &amp; IF($I31="","Missing make. ","") &amp; IF($L31="","Missing vehicle class. ","") &amp; IF($M31="","Missing agreed value. ","") &amp; IF($N31="","Missing policy type. ","") &amp; IF($Q31="","Missing garaging state. ","") &amp; IF($R31="","Missing garaging ZIP. ","") &amp; IF($S31="","Missing cat zone. ","") &amp; IF($V31="","Missing valuation basis. ","") &amp; IF($W31="","Missing PD deductible. ","") &amp; IF($X31="","Missing liability limit. ","") &amp; IF($AB31="","Missing technical premium. ","") &amp; IF($AF31="","Missing surplus lines tax %. ",""))="","PASS","FAIL: "&amp;TRIM(IF($A31="","Missing certificate ref. ","") &amp; IF($C31="","Missing effective date. ","") &amp; IF($D31="","Missing binding status. ","") &amp; IF($E31="","Missing movement type. ","") &amp; IF($I31="","Missing make. ","") &amp; IF($L31="","Missing vehicle class. ","") &amp; IF($M31="","Missing agreed value. ","") &amp; IF($N31="","Missing policy type. ","") &amp; IF($Q31="","Missing garaging state. ","") &amp; IF($R31="","Missing garaging ZIP. ","") &amp; IF($S31="","Missing cat zone. ","") &amp; IF($V31="","Missing valuation basis. ","") &amp; IF($W31="","Missing PD deductible. ","") &amp; IF($X31="","Missing liability limit. ","") &amp; IF($AB31="","Missing technical premium. ","") &amp; IF($AF31="","Missing surplus lines tax %. ",""))))</f>
        <v/>
      </c>
      <c r="AY31" s="52" t="str">
        <f aca="false">IF($M31="","",IF(ISNUMBER($M31),IF($M31&gt;=Header!$C$18,"YES — refer","No"),""))</f>
        <v/>
      </c>
      <c r="AZ31" s="52" t="str">
        <f aca="false">IF($AD31="","",IF(ISNUMBER($AD31),IF($AD31&lt;Header!$C$20,"BELOW MIN PREMIUM","OK"),""))</f>
        <v/>
      </c>
      <c r="BA31" s="40"/>
      <c r="BB31" s="40"/>
      <c r="BC31" s="38"/>
      <c r="BE31" s="53" t="str">
        <f aca="false">IF(OR($A31="",$L31="",$H31=""),"",IF(AND(LEFT($L31,2)="06",$H31&gt;1945),"FAIL - pre-war class, year "&amp;$H31,IF(AND(LEFT($L31,2)="07",OR($H31&lt;1946,$H31&gt;1972)),"FAIL - 1946-72 class, year "&amp;$H31,IF(AND(LEFT($L31,2)="08",OR($H31&lt;1973,$H31&gt;1999)),"FAIL - 1973-99 class, year "&amp;$H31,IF(AND(LEFT($L31,2)="09",OR($H31&lt;2000,$H31&gt;2010)),"FAIL - 2000-10 class, year "&amp;$H31,"OK")))))</f>
        <v/>
      </c>
      <c r="BF31" s="53" t="str">
        <f aca="false">IF($AD31="","",IF(ROUND($AO31+$AP31+$AQ31-$AD31,2)=0,"OK","FAIL - out by "&amp;TEXT($AO31+$AP31+$AQ31-$AD31,"$0.00")))</f>
        <v/>
      </c>
    </row>
    <row r="32" customFormat="false" ht="15" hidden="false" customHeight="true" outlineLevel="0" collapsed="false">
      <c r="A32" s="54"/>
      <c r="B32" s="54"/>
      <c r="C32" s="55"/>
      <c r="D32" s="56"/>
      <c r="E32" s="56"/>
      <c r="F32" s="54"/>
      <c r="G32" s="41" t="str">
        <f aca="false">IF($A32="","",IF($C32="","",YEAR($C32)))</f>
        <v/>
      </c>
      <c r="H32" s="57"/>
      <c r="I32" s="54"/>
      <c r="J32" s="54"/>
      <c r="K32" s="54"/>
      <c r="L32" s="56"/>
      <c r="M32" s="58"/>
      <c r="N32" s="56"/>
      <c r="O32" s="54"/>
      <c r="P32" s="54"/>
      <c r="Q32" s="54"/>
      <c r="R32" s="54"/>
      <c r="S32" s="56"/>
      <c r="T32" s="44" t="str">
        <f aca="false">IF($A32="","",IF($S32="","",IFERROR(INDEX(Lists!$N$5:$N$16,MATCH($S32,Lists!$M$5:$M$16,0)),"?")))</f>
        <v/>
      </c>
      <c r="U32" s="54"/>
      <c r="V32" s="56"/>
      <c r="W32" s="54"/>
      <c r="X32" s="56"/>
      <c r="Y32" s="54"/>
      <c r="Z32" s="54"/>
      <c r="AA32" s="56"/>
      <c r="AB32" s="58"/>
      <c r="AC32" s="59"/>
      <c r="AD32" s="46" t="str">
        <f aca="false">IF(ISNUMBER($AB32),$AB32*(1+N($AC32)),"")</f>
        <v/>
      </c>
      <c r="AE32" s="58"/>
      <c r="AF32" s="58"/>
      <c r="AG32" s="59"/>
      <c r="AH32" s="47" t="str">
        <f aca="false">IF(ISNUMBER($AD32),($AD32+$AE32+$AF32)*$AG32,"")</f>
        <v/>
      </c>
      <c r="AI32" s="58"/>
      <c r="AJ32" s="46" t="str">
        <f aca="false">IF(ISNUMBER($AD32),SUM($AD32:$AH32),"")</f>
        <v/>
      </c>
      <c r="AK32" s="48" t="str">
        <f aca="false">IF(AND(ISNUMBER($AB32),ISNUMBER($AD32)),IF($AB32&gt;0,$AD32/$AB32,""),"")</f>
        <v/>
      </c>
      <c r="AL32" s="56"/>
      <c r="AM32" s="49" t="str">
        <f aca="false">IF(ISNUMBER($AD32),Header!$I$3,"")</f>
        <v/>
      </c>
      <c r="AN32" s="47" t="str">
        <f aca="false">IF(ISNUMBER($AD32),$AO32+$AP32,"")</f>
        <v/>
      </c>
      <c r="AO32" s="47" t="str">
        <f aca="false">IF(ISNUMBER($AD32),ROUND($AD32*Header!$K$3,2),"")</f>
        <v/>
      </c>
      <c r="AP32" s="47" t="str">
        <f aca="false">IF(ISNUMBER($AD32),ROUND($AD32*Header!$M$3,2),"")</f>
        <v/>
      </c>
      <c r="AQ32" s="46" t="str">
        <f aca="false">IF(ISNUMBER($AD32),ROUND($AD32,2)-$AO32-$AP32,"")</f>
        <v/>
      </c>
      <c r="AR32" s="47" t="str">
        <f aca="false">IF(ISNUMBER($AD32),IF(Header!$D$34="","?",$AD32*Header!$D$34),"")</f>
        <v/>
      </c>
      <c r="AS32" s="47" t="str">
        <f aca="false">IF(ISNUMBER($AB32),IF(Header!$D$34="","?",$AB32*Header!$D$34),"")</f>
        <v/>
      </c>
      <c r="AT32" s="50" t="str">
        <f aca="false">IF(AND(ISNUMBER($AB32),$M32&gt;0),$AB32/$M32*100,"")</f>
        <v/>
      </c>
      <c r="AU32" s="50" t="str">
        <f aca="false">IF(AND(ISNUMBER($AD32),$M32&gt;0),$AD32/$M32*100,"")</f>
        <v/>
      </c>
      <c r="AV32" s="48" t="str">
        <f aca="false">IF(AND(ISNUMBER($AB32),ISNUMBER($AD32),ABS($AB32)&gt;0),$AD32/$AB32,"")</f>
        <v/>
      </c>
      <c r="AW32" s="47" t="str">
        <f aca="false">IF(ISNUMBER($AD32),MAX(0,(1-0.55-Header!$O$3)*Header!$Q$3*$AQ32),"")</f>
        <v/>
      </c>
      <c r="AX32" s="51" t="str">
        <f aca="false">IF($A32="","",IF(TRIM(IF($A32="","Missing certificate ref. ","") &amp; IF($C32="","Missing effective date. ","") &amp; IF($D32="","Missing binding status. ","") &amp; IF($E32="","Missing movement type. ","") &amp; IF($I32="","Missing make. ","") &amp; IF($L32="","Missing vehicle class. ","") &amp; IF($M32="","Missing agreed value. ","") &amp; IF($N32="","Missing policy type. ","") &amp; IF($Q32="","Missing garaging state. ","") &amp; IF($R32="","Missing garaging ZIP. ","") &amp; IF($S32="","Missing cat zone. ","") &amp; IF($V32="","Missing valuation basis. ","") &amp; IF($W32="","Missing PD deductible. ","") &amp; IF($X32="","Missing liability limit. ","") &amp; IF($AB32="","Missing technical premium. ","") &amp; IF($AF32="","Missing surplus lines tax %. ",""))="","PASS","FAIL: "&amp;TRIM(IF($A32="","Missing certificate ref. ","") &amp; IF($C32="","Missing effective date. ","") &amp; IF($D32="","Missing binding status. ","") &amp; IF($E32="","Missing movement type. ","") &amp; IF($I32="","Missing make. ","") &amp; IF($L32="","Missing vehicle class. ","") &amp; IF($M32="","Missing agreed value. ","") &amp; IF($N32="","Missing policy type. ","") &amp; IF($Q32="","Missing garaging state. ","") &amp; IF($R32="","Missing garaging ZIP. ","") &amp; IF($S32="","Missing cat zone. ","") &amp; IF($V32="","Missing valuation basis. ","") &amp; IF($W32="","Missing PD deductible. ","") &amp; IF($X32="","Missing liability limit. ","") &amp; IF($AB32="","Missing technical premium. ","") &amp; IF($AF32="","Missing surplus lines tax %. ",""))))</f>
        <v/>
      </c>
      <c r="AY32" s="52" t="str">
        <f aca="false">IF($M32="","",IF(ISNUMBER($M32),IF($M32&gt;=Header!$C$18,"YES — refer","No"),""))</f>
        <v/>
      </c>
      <c r="AZ32" s="52" t="str">
        <f aca="false">IF($AD32="","",IF(ISNUMBER($AD32),IF($AD32&lt;Header!$C$20,"BELOW MIN PREMIUM","OK"),""))</f>
        <v/>
      </c>
      <c r="BA32" s="56"/>
      <c r="BB32" s="56"/>
      <c r="BC32" s="54"/>
      <c r="BE32" s="53" t="str">
        <f aca="false">IF(OR($A32="",$L32="",$H32=""),"",IF(AND(LEFT($L32,2)="06",$H32&gt;1945),"FAIL - pre-war class, year "&amp;$H32,IF(AND(LEFT($L32,2)="07",OR($H32&lt;1946,$H32&gt;1972)),"FAIL - 1946-72 class, year "&amp;$H32,IF(AND(LEFT($L32,2)="08",OR($H32&lt;1973,$H32&gt;1999)),"FAIL - 1973-99 class, year "&amp;$H32,IF(AND(LEFT($L32,2)="09",OR($H32&lt;2000,$H32&gt;2010)),"FAIL - 2000-10 class, year "&amp;$H32,"OK")))))</f>
        <v/>
      </c>
      <c r="BF32" s="53" t="str">
        <f aca="false">IF($AD32="","",IF(ROUND($AO32+$AP32+$AQ32-$AD32,2)=0,"OK","FAIL - out by "&amp;TEXT($AO32+$AP32+$AQ32-$AD32,"$0.00")))</f>
        <v/>
      </c>
    </row>
    <row r="33" customFormat="false" ht="15" hidden="false" customHeight="true" outlineLevel="0" collapsed="false">
      <c r="A33" s="38"/>
      <c r="B33" s="38"/>
      <c r="C33" s="39"/>
      <c r="D33" s="40"/>
      <c r="E33" s="40"/>
      <c r="F33" s="38"/>
      <c r="G33" s="41" t="str">
        <f aca="false">IF($A33="","",IF($C33="","",YEAR($C33)))</f>
        <v/>
      </c>
      <c r="H33" s="42"/>
      <c r="I33" s="38"/>
      <c r="J33" s="38"/>
      <c r="K33" s="38"/>
      <c r="L33" s="40"/>
      <c r="M33" s="43"/>
      <c r="N33" s="40"/>
      <c r="O33" s="38"/>
      <c r="P33" s="38"/>
      <c r="Q33" s="38"/>
      <c r="R33" s="38"/>
      <c r="S33" s="40"/>
      <c r="T33" s="44" t="str">
        <f aca="false">IF($A33="","",IF($S33="","",IFERROR(INDEX(Lists!$N$5:$N$16,MATCH($S33,Lists!$M$5:$M$16,0)),"?")))</f>
        <v/>
      </c>
      <c r="U33" s="38"/>
      <c r="V33" s="40"/>
      <c r="W33" s="38"/>
      <c r="X33" s="40"/>
      <c r="Y33" s="38"/>
      <c r="Z33" s="38"/>
      <c r="AA33" s="40"/>
      <c r="AB33" s="43"/>
      <c r="AC33" s="45"/>
      <c r="AD33" s="46" t="str">
        <f aca="false">IF(ISNUMBER($AB33),$AB33*(1+N($AC33)),"")</f>
        <v/>
      </c>
      <c r="AE33" s="43"/>
      <c r="AF33" s="43"/>
      <c r="AG33" s="45"/>
      <c r="AH33" s="47" t="str">
        <f aca="false">IF(ISNUMBER($AD33),($AD33+$AE33+$AF33)*$AG33,"")</f>
        <v/>
      </c>
      <c r="AI33" s="43"/>
      <c r="AJ33" s="46" t="str">
        <f aca="false">IF(ISNUMBER($AD33),SUM($AD33:$AH33),"")</f>
        <v/>
      </c>
      <c r="AK33" s="48" t="str">
        <f aca="false">IF(AND(ISNUMBER($AB33),ISNUMBER($AD33)),IF($AB33&gt;0,$AD33/$AB33,""),"")</f>
        <v/>
      </c>
      <c r="AL33" s="40"/>
      <c r="AM33" s="49" t="str">
        <f aca="false">IF(ISNUMBER($AD33),Header!$I$3,"")</f>
        <v/>
      </c>
      <c r="AN33" s="47" t="str">
        <f aca="false">IF(ISNUMBER($AD33),$AO33+$AP33,"")</f>
        <v/>
      </c>
      <c r="AO33" s="47" t="str">
        <f aca="false">IF(ISNUMBER($AD33),ROUND($AD33*Header!$K$3,2),"")</f>
        <v/>
      </c>
      <c r="AP33" s="47" t="str">
        <f aca="false">IF(ISNUMBER($AD33),ROUND($AD33*Header!$M$3,2),"")</f>
        <v/>
      </c>
      <c r="AQ33" s="46" t="str">
        <f aca="false">IF(ISNUMBER($AD33),ROUND($AD33,2)-$AO33-$AP33,"")</f>
        <v/>
      </c>
      <c r="AR33" s="47" t="str">
        <f aca="false">IF(ISNUMBER($AD33),IF(Header!$D$34="","?",$AD33*Header!$D$34),"")</f>
        <v/>
      </c>
      <c r="AS33" s="47" t="str">
        <f aca="false">IF(ISNUMBER($AB33),IF(Header!$D$34="","?",$AB33*Header!$D$34),"")</f>
        <v/>
      </c>
      <c r="AT33" s="50" t="str">
        <f aca="false">IF(AND(ISNUMBER($AB33),$M33&gt;0),$AB33/$M33*100,"")</f>
        <v/>
      </c>
      <c r="AU33" s="50" t="str">
        <f aca="false">IF(AND(ISNUMBER($AD33),$M33&gt;0),$AD33/$M33*100,"")</f>
        <v/>
      </c>
      <c r="AV33" s="48" t="str">
        <f aca="false">IF(AND(ISNUMBER($AB33),ISNUMBER($AD33),ABS($AB33)&gt;0),$AD33/$AB33,"")</f>
        <v/>
      </c>
      <c r="AW33" s="47" t="str">
        <f aca="false">IF(ISNUMBER($AD33),MAX(0,(1-0.55-Header!$O$3)*Header!$Q$3*$AQ33),"")</f>
        <v/>
      </c>
      <c r="AX33" s="51" t="str">
        <f aca="false">IF($A33="","",IF(TRIM(IF($A33="","Missing certificate ref. ","") &amp; IF($C33="","Missing effective date. ","") &amp; IF($D33="","Missing binding status. ","") &amp; IF($E33="","Missing movement type. ","") &amp; IF($I33="","Missing make. ","") &amp; IF($L33="","Missing vehicle class. ","") &amp; IF($M33="","Missing agreed value. ","") &amp; IF($N33="","Missing policy type. ","") &amp; IF($Q33="","Missing garaging state. ","") &amp; IF($R33="","Missing garaging ZIP. ","") &amp; IF($S33="","Missing cat zone. ","") &amp; IF($V33="","Missing valuation basis. ","") &amp; IF($W33="","Missing PD deductible. ","") &amp; IF($X33="","Missing liability limit. ","") &amp; IF($AB33="","Missing technical premium. ","") &amp; IF($AF33="","Missing surplus lines tax %. ",""))="","PASS","FAIL: "&amp;TRIM(IF($A33="","Missing certificate ref. ","") &amp; IF($C33="","Missing effective date. ","") &amp; IF($D33="","Missing binding status. ","") &amp; IF($E33="","Missing movement type. ","") &amp; IF($I33="","Missing make. ","") &amp; IF($L33="","Missing vehicle class. ","") &amp; IF($M33="","Missing agreed value. ","") &amp; IF($N33="","Missing policy type. ","") &amp; IF($Q33="","Missing garaging state. ","") &amp; IF($R33="","Missing garaging ZIP. ","") &amp; IF($S33="","Missing cat zone. ","") &amp; IF($V33="","Missing valuation basis. ","") &amp; IF($W33="","Missing PD deductible. ","") &amp; IF($X33="","Missing liability limit. ","") &amp; IF($AB33="","Missing technical premium. ","") &amp; IF($AF33="","Missing surplus lines tax %. ",""))))</f>
        <v/>
      </c>
      <c r="AY33" s="52" t="str">
        <f aca="false">IF($M33="","",IF(ISNUMBER($M33),IF($M33&gt;=Header!$C$18,"YES — refer","No"),""))</f>
        <v/>
      </c>
      <c r="AZ33" s="52" t="str">
        <f aca="false">IF($AD33="","",IF(ISNUMBER($AD33),IF($AD33&lt;Header!$C$20,"BELOW MIN PREMIUM","OK"),""))</f>
        <v/>
      </c>
      <c r="BA33" s="40"/>
      <c r="BB33" s="40"/>
      <c r="BC33" s="38"/>
      <c r="BE33" s="53" t="str">
        <f aca="false">IF(OR($A33="",$L33="",$H33=""),"",IF(AND(LEFT($L33,2)="06",$H33&gt;1945),"FAIL - pre-war class, year "&amp;$H33,IF(AND(LEFT($L33,2)="07",OR($H33&lt;1946,$H33&gt;1972)),"FAIL - 1946-72 class, year "&amp;$H33,IF(AND(LEFT($L33,2)="08",OR($H33&lt;1973,$H33&gt;1999)),"FAIL - 1973-99 class, year "&amp;$H33,IF(AND(LEFT($L33,2)="09",OR($H33&lt;2000,$H33&gt;2010)),"FAIL - 2000-10 class, year "&amp;$H33,"OK")))))</f>
        <v/>
      </c>
      <c r="BF33" s="53" t="str">
        <f aca="false">IF($AD33="","",IF(ROUND($AO33+$AP33+$AQ33-$AD33,2)=0,"OK","FAIL - out by "&amp;TEXT($AO33+$AP33+$AQ33-$AD33,"$0.00")))</f>
        <v/>
      </c>
    </row>
    <row r="34" customFormat="false" ht="15" hidden="false" customHeight="true" outlineLevel="0" collapsed="false">
      <c r="A34" s="54"/>
      <c r="B34" s="54"/>
      <c r="C34" s="55"/>
      <c r="D34" s="56"/>
      <c r="E34" s="56"/>
      <c r="F34" s="54"/>
      <c r="G34" s="41" t="str">
        <f aca="false">IF($A34="","",IF($C34="","",YEAR($C34)))</f>
        <v/>
      </c>
      <c r="H34" s="57"/>
      <c r="I34" s="54"/>
      <c r="J34" s="54"/>
      <c r="K34" s="54"/>
      <c r="L34" s="56"/>
      <c r="M34" s="58"/>
      <c r="N34" s="56"/>
      <c r="O34" s="54"/>
      <c r="P34" s="54"/>
      <c r="Q34" s="54"/>
      <c r="R34" s="54"/>
      <c r="S34" s="56"/>
      <c r="T34" s="44" t="str">
        <f aca="false">IF($A34="","",IF($S34="","",IFERROR(INDEX(Lists!$N$5:$N$16,MATCH($S34,Lists!$M$5:$M$16,0)),"?")))</f>
        <v/>
      </c>
      <c r="U34" s="54"/>
      <c r="V34" s="56"/>
      <c r="W34" s="54"/>
      <c r="X34" s="56"/>
      <c r="Y34" s="54"/>
      <c r="Z34" s="54"/>
      <c r="AA34" s="56"/>
      <c r="AB34" s="58"/>
      <c r="AC34" s="59"/>
      <c r="AD34" s="46" t="str">
        <f aca="false">IF(ISNUMBER($AB34),$AB34*(1+N($AC34)),"")</f>
        <v/>
      </c>
      <c r="AE34" s="58"/>
      <c r="AF34" s="58"/>
      <c r="AG34" s="59"/>
      <c r="AH34" s="47" t="str">
        <f aca="false">IF(ISNUMBER($AD34),($AD34+$AE34+$AF34)*$AG34,"")</f>
        <v/>
      </c>
      <c r="AI34" s="58"/>
      <c r="AJ34" s="46" t="str">
        <f aca="false">IF(ISNUMBER($AD34),SUM($AD34:$AH34),"")</f>
        <v/>
      </c>
      <c r="AK34" s="48" t="str">
        <f aca="false">IF(AND(ISNUMBER($AB34),ISNUMBER($AD34)),IF($AB34&gt;0,$AD34/$AB34,""),"")</f>
        <v/>
      </c>
      <c r="AL34" s="56"/>
      <c r="AM34" s="49" t="str">
        <f aca="false">IF(ISNUMBER($AD34),Header!$I$3,"")</f>
        <v/>
      </c>
      <c r="AN34" s="47" t="str">
        <f aca="false">IF(ISNUMBER($AD34),$AO34+$AP34,"")</f>
        <v/>
      </c>
      <c r="AO34" s="47" t="str">
        <f aca="false">IF(ISNUMBER($AD34),ROUND($AD34*Header!$K$3,2),"")</f>
        <v/>
      </c>
      <c r="AP34" s="47" t="str">
        <f aca="false">IF(ISNUMBER($AD34),ROUND($AD34*Header!$M$3,2),"")</f>
        <v/>
      </c>
      <c r="AQ34" s="46" t="str">
        <f aca="false">IF(ISNUMBER($AD34),ROUND($AD34,2)-$AO34-$AP34,"")</f>
        <v/>
      </c>
      <c r="AR34" s="47" t="str">
        <f aca="false">IF(ISNUMBER($AD34),IF(Header!$D$34="","?",$AD34*Header!$D$34),"")</f>
        <v/>
      </c>
      <c r="AS34" s="47" t="str">
        <f aca="false">IF(ISNUMBER($AB34),IF(Header!$D$34="","?",$AB34*Header!$D$34),"")</f>
        <v/>
      </c>
      <c r="AT34" s="50" t="str">
        <f aca="false">IF(AND(ISNUMBER($AB34),$M34&gt;0),$AB34/$M34*100,"")</f>
        <v/>
      </c>
      <c r="AU34" s="50" t="str">
        <f aca="false">IF(AND(ISNUMBER($AD34),$M34&gt;0),$AD34/$M34*100,"")</f>
        <v/>
      </c>
      <c r="AV34" s="48" t="str">
        <f aca="false">IF(AND(ISNUMBER($AB34),ISNUMBER($AD34),ABS($AB34)&gt;0),$AD34/$AB34,"")</f>
        <v/>
      </c>
      <c r="AW34" s="47" t="str">
        <f aca="false">IF(ISNUMBER($AD34),MAX(0,(1-0.55-Header!$O$3)*Header!$Q$3*$AQ34),"")</f>
        <v/>
      </c>
      <c r="AX34" s="51" t="str">
        <f aca="false">IF($A34="","",IF(TRIM(IF($A34="","Missing certificate ref. ","") &amp; IF($C34="","Missing effective date. ","") &amp; IF($D34="","Missing binding status. ","") &amp; IF($E34="","Missing movement type. ","") &amp; IF($I34="","Missing make. ","") &amp; IF($L34="","Missing vehicle class. ","") &amp; IF($M34="","Missing agreed value. ","") &amp; IF($N34="","Missing policy type. ","") &amp; IF($Q34="","Missing garaging state. ","") &amp; IF($R34="","Missing garaging ZIP. ","") &amp; IF($S34="","Missing cat zone. ","") &amp; IF($V34="","Missing valuation basis. ","") &amp; IF($W34="","Missing PD deductible. ","") &amp; IF($X34="","Missing liability limit. ","") &amp; IF($AB34="","Missing technical premium. ","") &amp; IF($AF34="","Missing surplus lines tax %. ",""))="","PASS","FAIL: "&amp;TRIM(IF($A34="","Missing certificate ref. ","") &amp; IF($C34="","Missing effective date. ","") &amp; IF($D34="","Missing binding status. ","") &amp; IF($E34="","Missing movement type. ","") &amp; IF($I34="","Missing make. ","") &amp; IF($L34="","Missing vehicle class. ","") &amp; IF($M34="","Missing agreed value. ","") &amp; IF($N34="","Missing policy type. ","") &amp; IF($Q34="","Missing garaging state. ","") &amp; IF($R34="","Missing garaging ZIP. ","") &amp; IF($S34="","Missing cat zone. ","") &amp; IF($V34="","Missing valuation basis. ","") &amp; IF($W34="","Missing PD deductible. ","") &amp; IF($X34="","Missing liability limit. ","") &amp; IF($AB34="","Missing technical premium. ","") &amp; IF($AF34="","Missing surplus lines tax %. ",""))))</f>
        <v/>
      </c>
      <c r="AY34" s="52" t="str">
        <f aca="false">IF($M34="","",IF(ISNUMBER($M34),IF($M34&gt;=Header!$C$18,"YES — refer","No"),""))</f>
        <v/>
      </c>
      <c r="AZ34" s="52" t="str">
        <f aca="false">IF($AD34="","",IF(ISNUMBER($AD34),IF($AD34&lt;Header!$C$20,"BELOW MIN PREMIUM","OK"),""))</f>
        <v/>
      </c>
      <c r="BA34" s="56"/>
      <c r="BB34" s="56"/>
      <c r="BC34" s="54"/>
      <c r="BE34" s="53" t="str">
        <f aca="false">IF(OR($A34="",$L34="",$H34=""),"",IF(AND(LEFT($L34,2)="06",$H34&gt;1945),"FAIL - pre-war class, year "&amp;$H34,IF(AND(LEFT($L34,2)="07",OR($H34&lt;1946,$H34&gt;1972)),"FAIL - 1946-72 class, year "&amp;$H34,IF(AND(LEFT($L34,2)="08",OR($H34&lt;1973,$H34&gt;1999)),"FAIL - 1973-99 class, year "&amp;$H34,IF(AND(LEFT($L34,2)="09",OR($H34&lt;2000,$H34&gt;2010)),"FAIL - 2000-10 class, year "&amp;$H34,"OK")))))</f>
        <v/>
      </c>
      <c r="BF34" s="53" t="str">
        <f aca="false">IF($AD34="","",IF(ROUND($AO34+$AP34+$AQ34-$AD34,2)=0,"OK","FAIL - out by "&amp;TEXT($AO34+$AP34+$AQ34-$AD34,"$0.00")))</f>
        <v/>
      </c>
    </row>
    <row r="35" customFormat="false" ht="15" hidden="false" customHeight="true" outlineLevel="0" collapsed="false">
      <c r="A35" s="38"/>
      <c r="B35" s="38"/>
      <c r="C35" s="39"/>
      <c r="D35" s="40"/>
      <c r="E35" s="40"/>
      <c r="F35" s="38"/>
      <c r="G35" s="41" t="str">
        <f aca="false">IF($A35="","",IF($C35="","",YEAR($C35)))</f>
        <v/>
      </c>
      <c r="H35" s="42"/>
      <c r="I35" s="38"/>
      <c r="J35" s="38"/>
      <c r="K35" s="38"/>
      <c r="L35" s="40"/>
      <c r="M35" s="43"/>
      <c r="N35" s="40"/>
      <c r="O35" s="38"/>
      <c r="P35" s="38"/>
      <c r="Q35" s="38"/>
      <c r="R35" s="38"/>
      <c r="S35" s="40"/>
      <c r="T35" s="44" t="str">
        <f aca="false">IF($A35="","",IF($S35="","",IFERROR(INDEX(Lists!$N$5:$N$16,MATCH($S35,Lists!$M$5:$M$16,0)),"?")))</f>
        <v/>
      </c>
      <c r="U35" s="38"/>
      <c r="V35" s="40"/>
      <c r="W35" s="38"/>
      <c r="X35" s="40"/>
      <c r="Y35" s="38"/>
      <c r="Z35" s="38"/>
      <c r="AA35" s="40"/>
      <c r="AB35" s="43"/>
      <c r="AC35" s="45"/>
      <c r="AD35" s="46" t="str">
        <f aca="false">IF(ISNUMBER($AB35),$AB35*(1+N($AC35)),"")</f>
        <v/>
      </c>
      <c r="AE35" s="43"/>
      <c r="AF35" s="43"/>
      <c r="AG35" s="45"/>
      <c r="AH35" s="47" t="str">
        <f aca="false">IF(ISNUMBER($AD35),($AD35+$AE35+$AF35)*$AG35,"")</f>
        <v/>
      </c>
      <c r="AI35" s="43"/>
      <c r="AJ35" s="46" t="str">
        <f aca="false">IF(ISNUMBER($AD35),SUM($AD35:$AH35),"")</f>
        <v/>
      </c>
      <c r="AK35" s="48" t="str">
        <f aca="false">IF(AND(ISNUMBER($AB35),ISNUMBER($AD35)),IF($AB35&gt;0,$AD35/$AB35,""),"")</f>
        <v/>
      </c>
      <c r="AL35" s="40"/>
      <c r="AM35" s="49" t="str">
        <f aca="false">IF(ISNUMBER($AD35),Header!$I$3,"")</f>
        <v/>
      </c>
      <c r="AN35" s="47" t="str">
        <f aca="false">IF(ISNUMBER($AD35),$AO35+$AP35,"")</f>
        <v/>
      </c>
      <c r="AO35" s="47" t="str">
        <f aca="false">IF(ISNUMBER($AD35),ROUND($AD35*Header!$K$3,2),"")</f>
        <v/>
      </c>
      <c r="AP35" s="47" t="str">
        <f aca="false">IF(ISNUMBER($AD35),ROUND($AD35*Header!$M$3,2),"")</f>
        <v/>
      </c>
      <c r="AQ35" s="46" t="str">
        <f aca="false">IF(ISNUMBER($AD35),ROUND($AD35,2)-$AO35-$AP35,"")</f>
        <v/>
      </c>
      <c r="AR35" s="47" t="str">
        <f aca="false">IF(ISNUMBER($AD35),IF(Header!$D$34="","?",$AD35*Header!$D$34),"")</f>
        <v/>
      </c>
      <c r="AS35" s="47" t="str">
        <f aca="false">IF(ISNUMBER($AB35),IF(Header!$D$34="","?",$AB35*Header!$D$34),"")</f>
        <v/>
      </c>
      <c r="AT35" s="50" t="str">
        <f aca="false">IF(AND(ISNUMBER($AB35),$M35&gt;0),$AB35/$M35*100,"")</f>
        <v/>
      </c>
      <c r="AU35" s="50" t="str">
        <f aca="false">IF(AND(ISNUMBER($AD35),$M35&gt;0),$AD35/$M35*100,"")</f>
        <v/>
      </c>
      <c r="AV35" s="48" t="str">
        <f aca="false">IF(AND(ISNUMBER($AB35),ISNUMBER($AD35),ABS($AB35)&gt;0),$AD35/$AB35,"")</f>
        <v/>
      </c>
      <c r="AW35" s="47" t="str">
        <f aca="false">IF(ISNUMBER($AD35),MAX(0,(1-0.55-Header!$O$3)*Header!$Q$3*$AQ35),"")</f>
        <v/>
      </c>
      <c r="AX35" s="51" t="str">
        <f aca="false">IF($A35="","",IF(TRIM(IF($A35="","Missing certificate ref. ","") &amp; IF($C35="","Missing effective date. ","") &amp; IF($D35="","Missing binding status. ","") &amp; IF($E35="","Missing movement type. ","") &amp; IF($I35="","Missing make. ","") &amp; IF($L35="","Missing vehicle class. ","") &amp; IF($M35="","Missing agreed value. ","") &amp; IF($N35="","Missing policy type. ","") &amp; IF($Q35="","Missing garaging state. ","") &amp; IF($R35="","Missing garaging ZIP. ","") &amp; IF($S35="","Missing cat zone. ","") &amp; IF($V35="","Missing valuation basis. ","") &amp; IF($W35="","Missing PD deductible. ","") &amp; IF($X35="","Missing liability limit. ","") &amp; IF($AB35="","Missing technical premium. ","") &amp; IF($AF35="","Missing surplus lines tax %. ",""))="","PASS","FAIL: "&amp;TRIM(IF($A35="","Missing certificate ref. ","") &amp; IF($C35="","Missing effective date. ","") &amp; IF($D35="","Missing binding status. ","") &amp; IF($E35="","Missing movement type. ","") &amp; IF($I35="","Missing make. ","") &amp; IF($L35="","Missing vehicle class. ","") &amp; IF($M35="","Missing agreed value. ","") &amp; IF($N35="","Missing policy type. ","") &amp; IF($Q35="","Missing garaging state. ","") &amp; IF($R35="","Missing garaging ZIP. ","") &amp; IF($S35="","Missing cat zone. ","") &amp; IF($V35="","Missing valuation basis. ","") &amp; IF($W35="","Missing PD deductible. ","") &amp; IF($X35="","Missing liability limit. ","") &amp; IF($AB35="","Missing technical premium. ","") &amp; IF($AF35="","Missing surplus lines tax %. ",""))))</f>
        <v/>
      </c>
      <c r="AY35" s="52" t="str">
        <f aca="false">IF($M35="","",IF(ISNUMBER($M35),IF($M35&gt;=Header!$C$18,"YES — refer","No"),""))</f>
        <v/>
      </c>
      <c r="AZ35" s="52" t="str">
        <f aca="false">IF($AD35="","",IF(ISNUMBER($AD35),IF($AD35&lt;Header!$C$20,"BELOW MIN PREMIUM","OK"),""))</f>
        <v/>
      </c>
      <c r="BA35" s="40"/>
      <c r="BB35" s="40"/>
      <c r="BC35" s="38"/>
      <c r="BE35" s="53" t="str">
        <f aca="false">IF(OR($A35="",$L35="",$H35=""),"",IF(AND(LEFT($L35,2)="06",$H35&gt;1945),"FAIL - pre-war class, year "&amp;$H35,IF(AND(LEFT($L35,2)="07",OR($H35&lt;1946,$H35&gt;1972)),"FAIL - 1946-72 class, year "&amp;$H35,IF(AND(LEFT($L35,2)="08",OR($H35&lt;1973,$H35&gt;1999)),"FAIL - 1973-99 class, year "&amp;$H35,IF(AND(LEFT($L35,2)="09",OR($H35&lt;2000,$H35&gt;2010)),"FAIL - 2000-10 class, year "&amp;$H35,"OK")))))</f>
        <v/>
      </c>
      <c r="BF35" s="53" t="str">
        <f aca="false">IF($AD35="","",IF(ROUND($AO35+$AP35+$AQ35-$AD35,2)=0,"OK","FAIL - out by "&amp;TEXT($AO35+$AP35+$AQ35-$AD35,"$0.00")))</f>
        <v/>
      </c>
    </row>
    <row r="36" customFormat="false" ht="15" hidden="false" customHeight="true" outlineLevel="0" collapsed="false">
      <c r="A36" s="54"/>
      <c r="B36" s="54"/>
      <c r="C36" s="55"/>
      <c r="D36" s="56"/>
      <c r="E36" s="56"/>
      <c r="F36" s="54"/>
      <c r="G36" s="41" t="str">
        <f aca="false">IF($A36="","",IF($C36="","",YEAR($C36)))</f>
        <v/>
      </c>
      <c r="H36" s="57"/>
      <c r="I36" s="54"/>
      <c r="J36" s="54"/>
      <c r="K36" s="54"/>
      <c r="L36" s="56"/>
      <c r="M36" s="58"/>
      <c r="N36" s="56"/>
      <c r="O36" s="54"/>
      <c r="P36" s="54"/>
      <c r="Q36" s="54"/>
      <c r="R36" s="54"/>
      <c r="S36" s="56"/>
      <c r="T36" s="44" t="str">
        <f aca="false">IF($A36="","",IF($S36="","",IFERROR(INDEX(Lists!$N$5:$N$16,MATCH($S36,Lists!$M$5:$M$16,0)),"?")))</f>
        <v/>
      </c>
      <c r="U36" s="54"/>
      <c r="V36" s="56"/>
      <c r="W36" s="54"/>
      <c r="X36" s="56"/>
      <c r="Y36" s="54"/>
      <c r="Z36" s="54"/>
      <c r="AA36" s="56"/>
      <c r="AB36" s="58"/>
      <c r="AC36" s="59"/>
      <c r="AD36" s="46" t="str">
        <f aca="false">IF(ISNUMBER($AB36),$AB36*(1+N($AC36)),"")</f>
        <v/>
      </c>
      <c r="AE36" s="58"/>
      <c r="AF36" s="58"/>
      <c r="AG36" s="59"/>
      <c r="AH36" s="47" t="str">
        <f aca="false">IF(ISNUMBER($AD36),($AD36+$AE36+$AF36)*$AG36,"")</f>
        <v/>
      </c>
      <c r="AI36" s="58"/>
      <c r="AJ36" s="46" t="str">
        <f aca="false">IF(ISNUMBER($AD36),SUM($AD36:$AH36),"")</f>
        <v/>
      </c>
      <c r="AK36" s="48" t="str">
        <f aca="false">IF(AND(ISNUMBER($AB36),ISNUMBER($AD36)),IF($AB36&gt;0,$AD36/$AB36,""),"")</f>
        <v/>
      </c>
      <c r="AL36" s="56"/>
      <c r="AM36" s="49" t="str">
        <f aca="false">IF(ISNUMBER($AD36),Header!$I$3,"")</f>
        <v/>
      </c>
      <c r="AN36" s="47" t="str">
        <f aca="false">IF(ISNUMBER($AD36),$AO36+$AP36,"")</f>
        <v/>
      </c>
      <c r="AO36" s="47" t="str">
        <f aca="false">IF(ISNUMBER($AD36),ROUND($AD36*Header!$K$3,2),"")</f>
        <v/>
      </c>
      <c r="AP36" s="47" t="str">
        <f aca="false">IF(ISNUMBER($AD36),ROUND($AD36*Header!$M$3,2),"")</f>
        <v/>
      </c>
      <c r="AQ36" s="46" t="str">
        <f aca="false">IF(ISNUMBER($AD36),ROUND($AD36,2)-$AO36-$AP36,"")</f>
        <v/>
      </c>
      <c r="AR36" s="47" t="str">
        <f aca="false">IF(ISNUMBER($AD36),IF(Header!$D$34="","?",$AD36*Header!$D$34),"")</f>
        <v/>
      </c>
      <c r="AS36" s="47" t="str">
        <f aca="false">IF(ISNUMBER($AB36),IF(Header!$D$34="","?",$AB36*Header!$D$34),"")</f>
        <v/>
      </c>
      <c r="AT36" s="50" t="str">
        <f aca="false">IF(AND(ISNUMBER($AB36),$M36&gt;0),$AB36/$M36*100,"")</f>
        <v/>
      </c>
      <c r="AU36" s="50" t="str">
        <f aca="false">IF(AND(ISNUMBER($AD36),$M36&gt;0),$AD36/$M36*100,"")</f>
        <v/>
      </c>
      <c r="AV36" s="48" t="str">
        <f aca="false">IF(AND(ISNUMBER($AB36),ISNUMBER($AD36),ABS($AB36)&gt;0),$AD36/$AB36,"")</f>
        <v/>
      </c>
      <c r="AW36" s="47" t="str">
        <f aca="false">IF(ISNUMBER($AD36),MAX(0,(1-0.55-Header!$O$3)*Header!$Q$3*$AQ36),"")</f>
        <v/>
      </c>
      <c r="AX36" s="51" t="str">
        <f aca="false">IF($A36="","",IF(TRIM(IF($A36="","Missing certificate ref. ","") &amp; IF($C36="","Missing effective date. ","") &amp; IF($D36="","Missing binding status. ","") &amp; IF($E36="","Missing movement type. ","") &amp; IF($I36="","Missing make. ","") &amp; IF($L36="","Missing vehicle class. ","") &amp; IF($M36="","Missing agreed value. ","") &amp; IF($N36="","Missing policy type. ","") &amp; IF($Q36="","Missing garaging state. ","") &amp; IF($R36="","Missing garaging ZIP. ","") &amp; IF($S36="","Missing cat zone. ","") &amp; IF($V36="","Missing valuation basis. ","") &amp; IF($W36="","Missing PD deductible. ","") &amp; IF($X36="","Missing liability limit. ","") &amp; IF($AB36="","Missing technical premium. ","") &amp; IF($AF36="","Missing surplus lines tax %. ",""))="","PASS","FAIL: "&amp;TRIM(IF($A36="","Missing certificate ref. ","") &amp; IF($C36="","Missing effective date. ","") &amp; IF($D36="","Missing binding status. ","") &amp; IF($E36="","Missing movement type. ","") &amp; IF($I36="","Missing make. ","") &amp; IF($L36="","Missing vehicle class. ","") &amp; IF($M36="","Missing agreed value. ","") &amp; IF($N36="","Missing policy type. ","") &amp; IF($Q36="","Missing garaging state. ","") &amp; IF($R36="","Missing garaging ZIP. ","") &amp; IF($S36="","Missing cat zone. ","") &amp; IF($V36="","Missing valuation basis. ","") &amp; IF($W36="","Missing PD deductible. ","") &amp; IF($X36="","Missing liability limit. ","") &amp; IF($AB36="","Missing technical premium. ","") &amp; IF($AF36="","Missing surplus lines tax %. ",""))))</f>
        <v/>
      </c>
      <c r="AY36" s="52" t="str">
        <f aca="false">IF($M36="","",IF(ISNUMBER($M36),IF($M36&gt;=Header!$C$18,"YES — refer","No"),""))</f>
        <v/>
      </c>
      <c r="AZ36" s="52" t="str">
        <f aca="false">IF($AD36="","",IF(ISNUMBER($AD36),IF($AD36&lt;Header!$C$20,"BELOW MIN PREMIUM","OK"),""))</f>
        <v/>
      </c>
      <c r="BA36" s="56"/>
      <c r="BB36" s="56"/>
      <c r="BC36" s="54"/>
      <c r="BE36" s="53" t="str">
        <f aca="false">IF(OR($A36="",$L36="",$H36=""),"",IF(AND(LEFT($L36,2)="06",$H36&gt;1945),"FAIL - pre-war class, year "&amp;$H36,IF(AND(LEFT($L36,2)="07",OR($H36&lt;1946,$H36&gt;1972)),"FAIL - 1946-72 class, year "&amp;$H36,IF(AND(LEFT($L36,2)="08",OR($H36&lt;1973,$H36&gt;1999)),"FAIL - 1973-99 class, year "&amp;$H36,IF(AND(LEFT($L36,2)="09",OR($H36&lt;2000,$H36&gt;2010)),"FAIL - 2000-10 class, year "&amp;$H36,"OK")))))</f>
        <v/>
      </c>
      <c r="BF36" s="53" t="str">
        <f aca="false">IF($AD36="","",IF(ROUND($AO36+$AP36+$AQ36-$AD36,2)=0,"OK","FAIL - out by "&amp;TEXT($AO36+$AP36+$AQ36-$AD36,"$0.00")))</f>
        <v/>
      </c>
    </row>
    <row r="37" customFormat="false" ht="15" hidden="false" customHeight="true" outlineLevel="0" collapsed="false">
      <c r="A37" s="38"/>
      <c r="B37" s="38"/>
      <c r="C37" s="39"/>
      <c r="D37" s="40"/>
      <c r="E37" s="40"/>
      <c r="F37" s="38"/>
      <c r="G37" s="41" t="str">
        <f aca="false">IF($A37="","",IF($C37="","",YEAR($C37)))</f>
        <v/>
      </c>
      <c r="H37" s="42"/>
      <c r="I37" s="38"/>
      <c r="J37" s="38"/>
      <c r="K37" s="38"/>
      <c r="L37" s="40"/>
      <c r="M37" s="43"/>
      <c r="N37" s="40"/>
      <c r="O37" s="38"/>
      <c r="P37" s="38"/>
      <c r="Q37" s="38"/>
      <c r="R37" s="38"/>
      <c r="S37" s="40"/>
      <c r="T37" s="44" t="str">
        <f aca="false">IF($A37="","",IF($S37="","",IFERROR(INDEX(Lists!$N$5:$N$16,MATCH($S37,Lists!$M$5:$M$16,0)),"?")))</f>
        <v/>
      </c>
      <c r="U37" s="38"/>
      <c r="V37" s="40"/>
      <c r="W37" s="38"/>
      <c r="X37" s="40"/>
      <c r="Y37" s="38"/>
      <c r="Z37" s="38"/>
      <c r="AA37" s="40"/>
      <c r="AB37" s="43"/>
      <c r="AC37" s="45"/>
      <c r="AD37" s="46" t="str">
        <f aca="false">IF(ISNUMBER($AB37),$AB37*(1+N($AC37)),"")</f>
        <v/>
      </c>
      <c r="AE37" s="43"/>
      <c r="AF37" s="43"/>
      <c r="AG37" s="45"/>
      <c r="AH37" s="47" t="str">
        <f aca="false">IF(ISNUMBER($AD37),($AD37+$AE37+$AF37)*$AG37,"")</f>
        <v/>
      </c>
      <c r="AI37" s="43"/>
      <c r="AJ37" s="46" t="str">
        <f aca="false">IF(ISNUMBER($AD37),SUM($AD37:$AH37),"")</f>
        <v/>
      </c>
      <c r="AK37" s="48" t="str">
        <f aca="false">IF(AND(ISNUMBER($AB37),ISNUMBER($AD37)),IF($AB37&gt;0,$AD37/$AB37,""),"")</f>
        <v/>
      </c>
      <c r="AL37" s="40"/>
      <c r="AM37" s="49" t="str">
        <f aca="false">IF(ISNUMBER($AD37),Header!$I$3,"")</f>
        <v/>
      </c>
      <c r="AN37" s="47" t="str">
        <f aca="false">IF(ISNUMBER($AD37),$AO37+$AP37,"")</f>
        <v/>
      </c>
      <c r="AO37" s="47" t="str">
        <f aca="false">IF(ISNUMBER($AD37),ROUND($AD37*Header!$K$3,2),"")</f>
        <v/>
      </c>
      <c r="AP37" s="47" t="str">
        <f aca="false">IF(ISNUMBER($AD37),ROUND($AD37*Header!$M$3,2),"")</f>
        <v/>
      </c>
      <c r="AQ37" s="46" t="str">
        <f aca="false">IF(ISNUMBER($AD37),ROUND($AD37,2)-$AO37-$AP37,"")</f>
        <v/>
      </c>
      <c r="AR37" s="47" t="str">
        <f aca="false">IF(ISNUMBER($AD37),IF(Header!$D$34="","?",$AD37*Header!$D$34),"")</f>
        <v/>
      </c>
      <c r="AS37" s="47" t="str">
        <f aca="false">IF(ISNUMBER($AB37),IF(Header!$D$34="","?",$AB37*Header!$D$34),"")</f>
        <v/>
      </c>
      <c r="AT37" s="50" t="str">
        <f aca="false">IF(AND(ISNUMBER($AB37),$M37&gt;0),$AB37/$M37*100,"")</f>
        <v/>
      </c>
      <c r="AU37" s="50" t="str">
        <f aca="false">IF(AND(ISNUMBER($AD37),$M37&gt;0),$AD37/$M37*100,"")</f>
        <v/>
      </c>
      <c r="AV37" s="48" t="str">
        <f aca="false">IF(AND(ISNUMBER($AB37),ISNUMBER($AD37),ABS($AB37)&gt;0),$AD37/$AB37,"")</f>
        <v/>
      </c>
      <c r="AW37" s="47" t="str">
        <f aca="false">IF(ISNUMBER($AD37),MAX(0,(1-0.55-Header!$O$3)*Header!$Q$3*$AQ37),"")</f>
        <v/>
      </c>
      <c r="AX37" s="51" t="str">
        <f aca="false">IF($A37="","",IF(TRIM(IF($A37="","Missing certificate ref. ","") &amp; IF($C37="","Missing effective date. ","") &amp; IF($D37="","Missing binding status. ","") &amp; IF($E37="","Missing movement type. ","") &amp; IF($I37="","Missing make. ","") &amp; IF($L37="","Missing vehicle class. ","") &amp; IF($M37="","Missing agreed value. ","") &amp; IF($N37="","Missing policy type. ","") &amp; IF($Q37="","Missing garaging state. ","") &amp; IF($R37="","Missing garaging ZIP. ","") &amp; IF($S37="","Missing cat zone. ","") &amp; IF($V37="","Missing valuation basis. ","") &amp; IF($W37="","Missing PD deductible. ","") &amp; IF($X37="","Missing liability limit. ","") &amp; IF($AB37="","Missing technical premium. ","") &amp; IF($AF37="","Missing surplus lines tax %. ",""))="","PASS","FAIL: "&amp;TRIM(IF($A37="","Missing certificate ref. ","") &amp; IF($C37="","Missing effective date. ","") &amp; IF($D37="","Missing binding status. ","") &amp; IF($E37="","Missing movement type. ","") &amp; IF($I37="","Missing make. ","") &amp; IF($L37="","Missing vehicle class. ","") &amp; IF($M37="","Missing agreed value. ","") &amp; IF($N37="","Missing policy type. ","") &amp; IF($Q37="","Missing garaging state. ","") &amp; IF($R37="","Missing garaging ZIP. ","") &amp; IF($S37="","Missing cat zone. ","") &amp; IF($V37="","Missing valuation basis. ","") &amp; IF($W37="","Missing PD deductible. ","") &amp; IF($X37="","Missing liability limit. ","") &amp; IF($AB37="","Missing technical premium. ","") &amp; IF($AF37="","Missing surplus lines tax %. ",""))))</f>
        <v/>
      </c>
      <c r="AY37" s="52" t="str">
        <f aca="false">IF($M37="","",IF(ISNUMBER($M37),IF($M37&gt;=Header!$C$18,"YES — refer","No"),""))</f>
        <v/>
      </c>
      <c r="AZ37" s="52" t="str">
        <f aca="false">IF($AD37="","",IF(ISNUMBER($AD37),IF($AD37&lt;Header!$C$20,"BELOW MIN PREMIUM","OK"),""))</f>
        <v/>
      </c>
      <c r="BA37" s="40"/>
      <c r="BB37" s="40"/>
      <c r="BC37" s="38"/>
      <c r="BE37" s="53" t="str">
        <f aca="false">IF(OR($A37="",$L37="",$H37=""),"",IF(AND(LEFT($L37,2)="06",$H37&gt;1945),"FAIL - pre-war class, year "&amp;$H37,IF(AND(LEFT($L37,2)="07",OR($H37&lt;1946,$H37&gt;1972)),"FAIL - 1946-72 class, year "&amp;$H37,IF(AND(LEFT($L37,2)="08",OR($H37&lt;1973,$H37&gt;1999)),"FAIL - 1973-99 class, year "&amp;$H37,IF(AND(LEFT($L37,2)="09",OR($H37&lt;2000,$H37&gt;2010)),"FAIL - 2000-10 class, year "&amp;$H37,"OK")))))</f>
        <v/>
      </c>
      <c r="BF37" s="53" t="str">
        <f aca="false">IF($AD37="","",IF(ROUND($AO37+$AP37+$AQ37-$AD37,2)=0,"OK","FAIL - out by "&amp;TEXT($AO37+$AP37+$AQ37-$AD37,"$0.00")))</f>
        <v/>
      </c>
    </row>
    <row r="38" customFormat="false" ht="15" hidden="false" customHeight="true" outlineLevel="0" collapsed="false">
      <c r="A38" s="54"/>
      <c r="B38" s="54"/>
      <c r="C38" s="55"/>
      <c r="D38" s="56"/>
      <c r="E38" s="56"/>
      <c r="F38" s="54"/>
      <c r="G38" s="41" t="str">
        <f aca="false">IF($A38="","",IF($C38="","",YEAR($C38)))</f>
        <v/>
      </c>
      <c r="H38" s="57"/>
      <c r="I38" s="54"/>
      <c r="J38" s="54"/>
      <c r="K38" s="54"/>
      <c r="L38" s="56"/>
      <c r="M38" s="58"/>
      <c r="N38" s="56"/>
      <c r="O38" s="54"/>
      <c r="P38" s="54"/>
      <c r="Q38" s="54"/>
      <c r="R38" s="54"/>
      <c r="S38" s="56"/>
      <c r="T38" s="44" t="str">
        <f aca="false">IF($A38="","",IF($S38="","",IFERROR(INDEX(Lists!$N$5:$N$16,MATCH($S38,Lists!$M$5:$M$16,0)),"?")))</f>
        <v/>
      </c>
      <c r="U38" s="54"/>
      <c r="V38" s="56"/>
      <c r="W38" s="54"/>
      <c r="X38" s="56"/>
      <c r="Y38" s="54"/>
      <c r="Z38" s="54"/>
      <c r="AA38" s="56"/>
      <c r="AB38" s="58"/>
      <c r="AC38" s="59"/>
      <c r="AD38" s="46" t="str">
        <f aca="false">IF(ISNUMBER($AB38),$AB38*(1+N($AC38)),"")</f>
        <v/>
      </c>
      <c r="AE38" s="58"/>
      <c r="AF38" s="58"/>
      <c r="AG38" s="59"/>
      <c r="AH38" s="47" t="str">
        <f aca="false">IF(ISNUMBER($AD38),($AD38+$AE38+$AF38)*$AG38,"")</f>
        <v/>
      </c>
      <c r="AI38" s="58"/>
      <c r="AJ38" s="46" t="str">
        <f aca="false">IF(ISNUMBER($AD38),SUM($AD38:$AH38),"")</f>
        <v/>
      </c>
      <c r="AK38" s="48" t="str">
        <f aca="false">IF(AND(ISNUMBER($AB38),ISNUMBER($AD38)),IF($AB38&gt;0,$AD38/$AB38,""),"")</f>
        <v/>
      </c>
      <c r="AL38" s="56"/>
      <c r="AM38" s="49" t="str">
        <f aca="false">IF(ISNUMBER($AD38),Header!$I$3,"")</f>
        <v/>
      </c>
      <c r="AN38" s="47" t="str">
        <f aca="false">IF(ISNUMBER($AD38),$AO38+$AP38,"")</f>
        <v/>
      </c>
      <c r="AO38" s="47" t="str">
        <f aca="false">IF(ISNUMBER($AD38),ROUND($AD38*Header!$K$3,2),"")</f>
        <v/>
      </c>
      <c r="AP38" s="47" t="str">
        <f aca="false">IF(ISNUMBER($AD38),ROUND($AD38*Header!$M$3,2),"")</f>
        <v/>
      </c>
      <c r="AQ38" s="46" t="str">
        <f aca="false">IF(ISNUMBER($AD38),ROUND($AD38,2)-$AO38-$AP38,"")</f>
        <v/>
      </c>
      <c r="AR38" s="47" t="str">
        <f aca="false">IF(ISNUMBER($AD38),IF(Header!$D$34="","?",$AD38*Header!$D$34),"")</f>
        <v/>
      </c>
      <c r="AS38" s="47" t="str">
        <f aca="false">IF(ISNUMBER($AB38),IF(Header!$D$34="","?",$AB38*Header!$D$34),"")</f>
        <v/>
      </c>
      <c r="AT38" s="50" t="str">
        <f aca="false">IF(AND(ISNUMBER($AB38),$M38&gt;0),$AB38/$M38*100,"")</f>
        <v/>
      </c>
      <c r="AU38" s="50" t="str">
        <f aca="false">IF(AND(ISNUMBER($AD38),$M38&gt;0),$AD38/$M38*100,"")</f>
        <v/>
      </c>
      <c r="AV38" s="48" t="str">
        <f aca="false">IF(AND(ISNUMBER($AB38),ISNUMBER($AD38),ABS($AB38)&gt;0),$AD38/$AB38,"")</f>
        <v/>
      </c>
      <c r="AW38" s="47" t="str">
        <f aca="false">IF(ISNUMBER($AD38),MAX(0,(1-0.55-Header!$O$3)*Header!$Q$3*$AQ38),"")</f>
        <v/>
      </c>
      <c r="AX38" s="51" t="str">
        <f aca="false">IF($A38="","",IF(TRIM(IF($A38="","Missing certificate ref. ","") &amp; IF($C38="","Missing effective date. ","") &amp; IF($D38="","Missing binding status. ","") &amp; IF($E38="","Missing movement type. ","") &amp; IF($I38="","Missing make. ","") &amp; IF($L38="","Missing vehicle class. ","") &amp; IF($M38="","Missing agreed value. ","") &amp; IF($N38="","Missing policy type. ","") &amp; IF($Q38="","Missing garaging state. ","") &amp; IF($R38="","Missing garaging ZIP. ","") &amp; IF($S38="","Missing cat zone. ","") &amp; IF($V38="","Missing valuation basis. ","") &amp; IF($W38="","Missing PD deductible. ","") &amp; IF($X38="","Missing liability limit. ","") &amp; IF($AB38="","Missing technical premium. ","") &amp; IF($AF38="","Missing surplus lines tax %. ",""))="","PASS","FAIL: "&amp;TRIM(IF($A38="","Missing certificate ref. ","") &amp; IF($C38="","Missing effective date. ","") &amp; IF($D38="","Missing binding status. ","") &amp; IF($E38="","Missing movement type. ","") &amp; IF($I38="","Missing make. ","") &amp; IF($L38="","Missing vehicle class. ","") &amp; IF($M38="","Missing agreed value. ","") &amp; IF($N38="","Missing policy type. ","") &amp; IF($Q38="","Missing garaging state. ","") &amp; IF($R38="","Missing garaging ZIP. ","") &amp; IF($S38="","Missing cat zone. ","") &amp; IF($V38="","Missing valuation basis. ","") &amp; IF($W38="","Missing PD deductible. ","") &amp; IF($X38="","Missing liability limit. ","") &amp; IF($AB38="","Missing technical premium. ","") &amp; IF($AF38="","Missing surplus lines tax %. ",""))))</f>
        <v/>
      </c>
      <c r="AY38" s="52" t="str">
        <f aca="false">IF($M38="","",IF(ISNUMBER($M38),IF($M38&gt;=Header!$C$18,"YES — refer","No"),""))</f>
        <v/>
      </c>
      <c r="AZ38" s="52" t="str">
        <f aca="false">IF($AD38="","",IF(ISNUMBER($AD38),IF($AD38&lt;Header!$C$20,"BELOW MIN PREMIUM","OK"),""))</f>
        <v/>
      </c>
      <c r="BA38" s="56"/>
      <c r="BB38" s="56"/>
      <c r="BC38" s="54"/>
      <c r="BE38" s="53" t="str">
        <f aca="false">IF(OR($A38="",$L38="",$H38=""),"",IF(AND(LEFT($L38,2)="06",$H38&gt;1945),"FAIL - pre-war class, year "&amp;$H38,IF(AND(LEFT($L38,2)="07",OR($H38&lt;1946,$H38&gt;1972)),"FAIL - 1946-72 class, year "&amp;$H38,IF(AND(LEFT($L38,2)="08",OR($H38&lt;1973,$H38&gt;1999)),"FAIL - 1973-99 class, year "&amp;$H38,IF(AND(LEFT($L38,2)="09",OR($H38&lt;2000,$H38&gt;2010)),"FAIL - 2000-10 class, year "&amp;$H38,"OK")))))</f>
        <v/>
      </c>
      <c r="BF38" s="53" t="str">
        <f aca="false">IF($AD38="","",IF(ROUND($AO38+$AP38+$AQ38-$AD38,2)=0,"OK","FAIL - out by "&amp;TEXT($AO38+$AP38+$AQ38-$AD38,"$0.00")))</f>
        <v/>
      </c>
    </row>
    <row r="39" customFormat="false" ht="15" hidden="false" customHeight="true" outlineLevel="0" collapsed="false">
      <c r="A39" s="38"/>
      <c r="B39" s="38"/>
      <c r="C39" s="39"/>
      <c r="D39" s="40"/>
      <c r="E39" s="40"/>
      <c r="F39" s="38"/>
      <c r="G39" s="41" t="str">
        <f aca="false">IF($A39="","",IF($C39="","",YEAR($C39)))</f>
        <v/>
      </c>
      <c r="H39" s="42"/>
      <c r="I39" s="38"/>
      <c r="J39" s="38"/>
      <c r="K39" s="38"/>
      <c r="L39" s="40"/>
      <c r="M39" s="43"/>
      <c r="N39" s="40"/>
      <c r="O39" s="38"/>
      <c r="P39" s="38"/>
      <c r="Q39" s="38"/>
      <c r="R39" s="38"/>
      <c r="S39" s="40"/>
      <c r="T39" s="44" t="str">
        <f aca="false">IF($A39="","",IF($S39="","",IFERROR(INDEX(Lists!$N$5:$N$16,MATCH($S39,Lists!$M$5:$M$16,0)),"?")))</f>
        <v/>
      </c>
      <c r="U39" s="38"/>
      <c r="V39" s="40"/>
      <c r="W39" s="38"/>
      <c r="X39" s="40"/>
      <c r="Y39" s="38"/>
      <c r="Z39" s="38"/>
      <c r="AA39" s="40"/>
      <c r="AB39" s="43"/>
      <c r="AC39" s="45"/>
      <c r="AD39" s="46" t="str">
        <f aca="false">IF(ISNUMBER($AB39),$AB39*(1+N($AC39)),"")</f>
        <v/>
      </c>
      <c r="AE39" s="43"/>
      <c r="AF39" s="43"/>
      <c r="AG39" s="45"/>
      <c r="AH39" s="47" t="str">
        <f aca="false">IF(ISNUMBER($AD39),($AD39+$AE39+$AF39)*$AG39,"")</f>
        <v/>
      </c>
      <c r="AI39" s="43"/>
      <c r="AJ39" s="46" t="str">
        <f aca="false">IF(ISNUMBER($AD39),SUM($AD39:$AH39),"")</f>
        <v/>
      </c>
      <c r="AK39" s="48" t="str">
        <f aca="false">IF(AND(ISNUMBER($AB39),ISNUMBER($AD39)),IF($AB39&gt;0,$AD39/$AB39,""),"")</f>
        <v/>
      </c>
      <c r="AL39" s="40"/>
      <c r="AM39" s="49" t="str">
        <f aca="false">IF(ISNUMBER($AD39),Header!$I$3,"")</f>
        <v/>
      </c>
      <c r="AN39" s="47" t="str">
        <f aca="false">IF(ISNUMBER($AD39),$AO39+$AP39,"")</f>
        <v/>
      </c>
      <c r="AO39" s="47" t="str">
        <f aca="false">IF(ISNUMBER($AD39),ROUND($AD39*Header!$K$3,2),"")</f>
        <v/>
      </c>
      <c r="AP39" s="47" t="str">
        <f aca="false">IF(ISNUMBER($AD39),ROUND($AD39*Header!$M$3,2),"")</f>
        <v/>
      </c>
      <c r="AQ39" s="46" t="str">
        <f aca="false">IF(ISNUMBER($AD39),ROUND($AD39,2)-$AO39-$AP39,"")</f>
        <v/>
      </c>
      <c r="AR39" s="47" t="str">
        <f aca="false">IF(ISNUMBER($AD39),IF(Header!$D$34="","?",$AD39*Header!$D$34),"")</f>
        <v/>
      </c>
      <c r="AS39" s="47" t="str">
        <f aca="false">IF(ISNUMBER($AB39),IF(Header!$D$34="","?",$AB39*Header!$D$34),"")</f>
        <v/>
      </c>
      <c r="AT39" s="50" t="str">
        <f aca="false">IF(AND(ISNUMBER($AB39),$M39&gt;0),$AB39/$M39*100,"")</f>
        <v/>
      </c>
      <c r="AU39" s="50" t="str">
        <f aca="false">IF(AND(ISNUMBER($AD39),$M39&gt;0),$AD39/$M39*100,"")</f>
        <v/>
      </c>
      <c r="AV39" s="48" t="str">
        <f aca="false">IF(AND(ISNUMBER($AB39),ISNUMBER($AD39),ABS($AB39)&gt;0),$AD39/$AB39,"")</f>
        <v/>
      </c>
      <c r="AW39" s="47" t="str">
        <f aca="false">IF(ISNUMBER($AD39),MAX(0,(1-0.55-Header!$O$3)*Header!$Q$3*$AQ39),"")</f>
        <v/>
      </c>
      <c r="AX39" s="51" t="str">
        <f aca="false">IF($A39="","",IF(TRIM(IF($A39="","Missing certificate ref. ","") &amp; IF($C39="","Missing effective date. ","") &amp; IF($D39="","Missing binding status. ","") &amp; IF($E39="","Missing movement type. ","") &amp; IF($I39="","Missing make. ","") &amp; IF($L39="","Missing vehicle class. ","") &amp; IF($M39="","Missing agreed value. ","") &amp; IF($N39="","Missing policy type. ","") &amp; IF($Q39="","Missing garaging state. ","") &amp; IF($R39="","Missing garaging ZIP. ","") &amp; IF($S39="","Missing cat zone. ","") &amp; IF($V39="","Missing valuation basis. ","") &amp; IF($W39="","Missing PD deductible. ","") &amp; IF($X39="","Missing liability limit. ","") &amp; IF($AB39="","Missing technical premium. ","") &amp; IF($AF39="","Missing surplus lines tax %. ",""))="","PASS","FAIL: "&amp;TRIM(IF($A39="","Missing certificate ref. ","") &amp; IF($C39="","Missing effective date. ","") &amp; IF($D39="","Missing binding status. ","") &amp; IF($E39="","Missing movement type. ","") &amp; IF($I39="","Missing make. ","") &amp; IF($L39="","Missing vehicle class. ","") &amp; IF($M39="","Missing agreed value. ","") &amp; IF($N39="","Missing policy type. ","") &amp; IF($Q39="","Missing garaging state. ","") &amp; IF($R39="","Missing garaging ZIP. ","") &amp; IF($S39="","Missing cat zone. ","") &amp; IF($V39="","Missing valuation basis. ","") &amp; IF($W39="","Missing PD deductible. ","") &amp; IF($X39="","Missing liability limit. ","") &amp; IF($AB39="","Missing technical premium. ","") &amp; IF($AF39="","Missing surplus lines tax %. ",""))))</f>
        <v/>
      </c>
      <c r="AY39" s="52" t="str">
        <f aca="false">IF($M39="","",IF(ISNUMBER($M39),IF($M39&gt;=Header!$C$18,"YES — refer","No"),""))</f>
        <v/>
      </c>
      <c r="AZ39" s="52" t="str">
        <f aca="false">IF($AD39="","",IF(ISNUMBER($AD39),IF($AD39&lt;Header!$C$20,"BELOW MIN PREMIUM","OK"),""))</f>
        <v/>
      </c>
      <c r="BA39" s="40"/>
      <c r="BB39" s="40"/>
      <c r="BC39" s="38"/>
      <c r="BE39" s="53" t="str">
        <f aca="false">IF(OR($A39="",$L39="",$H39=""),"",IF(AND(LEFT($L39,2)="06",$H39&gt;1945),"FAIL - pre-war class, year "&amp;$H39,IF(AND(LEFT($L39,2)="07",OR($H39&lt;1946,$H39&gt;1972)),"FAIL - 1946-72 class, year "&amp;$H39,IF(AND(LEFT($L39,2)="08",OR($H39&lt;1973,$H39&gt;1999)),"FAIL - 1973-99 class, year "&amp;$H39,IF(AND(LEFT($L39,2)="09",OR($H39&lt;2000,$H39&gt;2010)),"FAIL - 2000-10 class, year "&amp;$H39,"OK")))))</f>
        <v/>
      </c>
      <c r="BF39" s="53" t="str">
        <f aca="false">IF($AD39="","",IF(ROUND($AO39+$AP39+$AQ39-$AD39,2)=0,"OK","FAIL - out by "&amp;TEXT($AO39+$AP39+$AQ39-$AD39,"$0.00")))</f>
        <v/>
      </c>
    </row>
    <row r="40" customFormat="false" ht="15" hidden="false" customHeight="true" outlineLevel="0" collapsed="false">
      <c r="A40" s="54"/>
      <c r="B40" s="54"/>
      <c r="C40" s="55"/>
      <c r="D40" s="56"/>
      <c r="E40" s="56"/>
      <c r="F40" s="54"/>
      <c r="G40" s="41" t="str">
        <f aca="false">IF($A40="","",IF($C40="","",YEAR($C40)))</f>
        <v/>
      </c>
      <c r="H40" s="57"/>
      <c r="I40" s="54"/>
      <c r="J40" s="54"/>
      <c r="K40" s="54"/>
      <c r="L40" s="56"/>
      <c r="M40" s="58"/>
      <c r="N40" s="56"/>
      <c r="O40" s="54"/>
      <c r="P40" s="54"/>
      <c r="Q40" s="54"/>
      <c r="R40" s="54"/>
      <c r="S40" s="56"/>
      <c r="T40" s="44" t="str">
        <f aca="false">IF($A40="","",IF($S40="","",IFERROR(INDEX(Lists!$N$5:$N$16,MATCH($S40,Lists!$M$5:$M$16,0)),"?")))</f>
        <v/>
      </c>
      <c r="U40" s="54"/>
      <c r="V40" s="56"/>
      <c r="W40" s="54"/>
      <c r="X40" s="56"/>
      <c r="Y40" s="54"/>
      <c r="Z40" s="54"/>
      <c r="AA40" s="56"/>
      <c r="AB40" s="58"/>
      <c r="AC40" s="59"/>
      <c r="AD40" s="46" t="str">
        <f aca="false">IF(ISNUMBER($AB40),$AB40*(1+N($AC40)),"")</f>
        <v/>
      </c>
      <c r="AE40" s="58"/>
      <c r="AF40" s="58"/>
      <c r="AG40" s="59"/>
      <c r="AH40" s="47" t="str">
        <f aca="false">IF(ISNUMBER($AD40),($AD40+$AE40+$AF40)*$AG40,"")</f>
        <v/>
      </c>
      <c r="AI40" s="58"/>
      <c r="AJ40" s="46" t="str">
        <f aca="false">IF(ISNUMBER($AD40),SUM($AD40:$AH40),"")</f>
        <v/>
      </c>
      <c r="AK40" s="48" t="str">
        <f aca="false">IF(AND(ISNUMBER($AB40),ISNUMBER($AD40)),IF($AB40&gt;0,$AD40/$AB40,""),"")</f>
        <v/>
      </c>
      <c r="AL40" s="56"/>
      <c r="AM40" s="49" t="str">
        <f aca="false">IF(ISNUMBER($AD40),Header!$I$3,"")</f>
        <v/>
      </c>
      <c r="AN40" s="47" t="str">
        <f aca="false">IF(ISNUMBER($AD40),$AO40+$AP40,"")</f>
        <v/>
      </c>
      <c r="AO40" s="47" t="str">
        <f aca="false">IF(ISNUMBER($AD40),ROUND($AD40*Header!$K$3,2),"")</f>
        <v/>
      </c>
      <c r="AP40" s="47" t="str">
        <f aca="false">IF(ISNUMBER($AD40),ROUND($AD40*Header!$M$3,2),"")</f>
        <v/>
      </c>
      <c r="AQ40" s="46" t="str">
        <f aca="false">IF(ISNUMBER($AD40),ROUND($AD40,2)-$AO40-$AP40,"")</f>
        <v/>
      </c>
      <c r="AR40" s="47" t="str">
        <f aca="false">IF(ISNUMBER($AD40),IF(Header!$D$34="","?",$AD40*Header!$D$34),"")</f>
        <v/>
      </c>
      <c r="AS40" s="47" t="str">
        <f aca="false">IF(ISNUMBER($AB40),IF(Header!$D$34="","?",$AB40*Header!$D$34),"")</f>
        <v/>
      </c>
      <c r="AT40" s="50" t="str">
        <f aca="false">IF(AND(ISNUMBER($AB40),$M40&gt;0),$AB40/$M40*100,"")</f>
        <v/>
      </c>
      <c r="AU40" s="50" t="str">
        <f aca="false">IF(AND(ISNUMBER($AD40),$M40&gt;0),$AD40/$M40*100,"")</f>
        <v/>
      </c>
      <c r="AV40" s="48" t="str">
        <f aca="false">IF(AND(ISNUMBER($AB40),ISNUMBER($AD40),ABS($AB40)&gt;0),$AD40/$AB40,"")</f>
        <v/>
      </c>
      <c r="AW40" s="47" t="str">
        <f aca="false">IF(ISNUMBER($AD40),MAX(0,(1-0.55-Header!$O$3)*Header!$Q$3*$AQ40),"")</f>
        <v/>
      </c>
      <c r="AX40" s="51" t="str">
        <f aca="false">IF($A40="","",IF(TRIM(IF($A40="","Missing certificate ref. ","") &amp; IF($C40="","Missing effective date. ","") &amp; IF($D40="","Missing binding status. ","") &amp; IF($E40="","Missing movement type. ","") &amp; IF($I40="","Missing make. ","") &amp; IF($L40="","Missing vehicle class. ","") &amp; IF($M40="","Missing agreed value. ","") &amp; IF($N40="","Missing policy type. ","") &amp; IF($Q40="","Missing garaging state. ","") &amp; IF($R40="","Missing garaging ZIP. ","") &amp; IF($S40="","Missing cat zone. ","") &amp; IF($V40="","Missing valuation basis. ","") &amp; IF($W40="","Missing PD deductible. ","") &amp; IF($X40="","Missing liability limit. ","") &amp; IF($AB40="","Missing technical premium. ","") &amp; IF($AF40="","Missing surplus lines tax %. ",""))="","PASS","FAIL: "&amp;TRIM(IF($A40="","Missing certificate ref. ","") &amp; IF($C40="","Missing effective date. ","") &amp; IF($D40="","Missing binding status. ","") &amp; IF($E40="","Missing movement type. ","") &amp; IF($I40="","Missing make. ","") &amp; IF($L40="","Missing vehicle class. ","") &amp; IF($M40="","Missing agreed value. ","") &amp; IF($N40="","Missing policy type. ","") &amp; IF($Q40="","Missing garaging state. ","") &amp; IF($R40="","Missing garaging ZIP. ","") &amp; IF($S40="","Missing cat zone. ","") &amp; IF($V40="","Missing valuation basis. ","") &amp; IF($W40="","Missing PD deductible. ","") &amp; IF($X40="","Missing liability limit. ","") &amp; IF($AB40="","Missing technical premium. ","") &amp; IF($AF40="","Missing surplus lines tax %. ",""))))</f>
        <v/>
      </c>
      <c r="AY40" s="52" t="str">
        <f aca="false">IF($M40="","",IF(ISNUMBER($M40),IF($M40&gt;=Header!$C$18,"YES — refer","No"),""))</f>
        <v/>
      </c>
      <c r="AZ40" s="52" t="str">
        <f aca="false">IF($AD40="","",IF(ISNUMBER($AD40),IF($AD40&lt;Header!$C$20,"BELOW MIN PREMIUM","OK"),""))</f>
        <v/>
      </c>
      <c r="BA40" s="56"/>
      <c r="BB40" s="56"/>
      <c r="BC40" s="54"/>
      <c r="BE40" s="53" t="str">
        <f aca="false">IF(OR($A40="",$L40="",$H40=""),"",IF(AND(LEFT($L40,2)="06",$H40&gt;1945),"FAIL - pre-war class, year "&amp;$H40,IF(AND(LEFT($L40,2)="07",OR($H40&lt;1946,$H40&gt;1972)),"FAIL - 1946-72 class, year "&amp;$H40,IF(AND(LEFT($L40,2)="08",OR($H40&lt;1973,$H40&gt;1999)),"FAIL - 1973-99 class, year "&amp;$H40,IF(AND(LEFT($L40,2)="09",OR($H40&lt;2000,$H40&gt;2010)),"FAIL - 2000-10 class, year "&amp;$H40,"OK")))))</f>
        <v/>
      </c>
      <c r="BF40" s="53" t="str">
        <f aca="false">IF($AD40="","",IF(ROUND($AO40+$AP40+$AQ40-$AD40,2)=0,"OK","FAIL - out by "&amp;TEXT($AO40+$AP40+$AQ40-$AD40,"$0.00")))</f>
        <v/>
      </c>
    </row>
    <row r="41" customFormat="false" ht="15" hidden="false" customHeight="true" outlineLevel="0" collapsed="false">
      <c r="A41" s="38"/>
      <c r="B41" s="38"/>
      <c r="C41" s="39"/>
      <c r="D41" s="40"/>
      <c r="E41" s="40"/>
      <c r="F41" s="38"/>
      <c r="G41" s="41" t="str">
        <f aca="false">IF($A41="","",IF($C41="","",YEAR($C41)))</f>
        <v/>
      </c>
      <c r="H41" s="42"/>
      <c r="I41" s="38"/>
      <c r="J41" s="38"/>
      <c r="K41" s="38"/>
      <c r="L41" s="40"/>
      <c r="M41" s="43"/>
      <c r="N41" s="40"/>
      <c r="O41" s="38"/>
      <c r="P41" s="38"/>
      <c r="Q41" s="38"/>
      <c r="R41" s="38"/>
      <c r="S41" s="40"/>
      <c r="T41" s="44" t="str">
        <f aca="false">IF($A41="","",IF($S41="","",IFERROR(INDEX(Lists!$N$5:$N$16,MATCH($S41,Lists!$M$5:$M$16,0)),"?")))</f>
        <v/>
      </c>
      <c r="U41" s="38"/>
      <c r="V41" s="40"/>
      <c r="W41" s="38"/>
      <c r="X41" s="40"/>
      <c r="Y41" s="38"/>
      <c r="Z41" s="38"/>
      <c r="AA41" s="40"/>
      <c r="AB41" s="43"/>
      <c r="AC41" s="45"/>
      <c r="AD41" s="46" t="str">
        <f aca="false">IF(ISNUMBER($AB41),$AB41*(1+N($AC41)),"")</f>
        <v/>
      </c>
      <c r="AE41" s="43"/>
      <c r="AF41" s="43"/>
      <c r="AG41" s="45"/>
      <c r="AH41" s="47" t="str">
        <f aca="false">IF(ISNUMBER($AD41),($AD41+$AE41+$AF41)*$AG41,"")</f>
        <v/>
      </c>
      <c r="AI41" s="43"/>
      <c r="AJ41" s="46" t="str">
        <f aca="false">IF(ISNUMBER($AD41),SUM($AD41:$AH41),"")</f>
        <v/>
      </c>
      <c r="AK41" s="48" t="str">
        <f aca="false">IF(AND(ISNUMBER($AB41),ISNUMBER($AD41)),IF($AB41&gt;0,$AD41/$AB41,""),"")</f>
        <v/>
      </c>
      <c r="AL41" s="40"/>
      <c r="AM41" s="49" t="str">
        <f aca="false">IF(ISNUMBER($AD41),Header!$I$3,"")</f>
        <v/>
      </c>
      <c r="AN41" s="47" t="str">
        <f aca="false">IF(ISNUMBER($AD41),$AO41+$AP41,"")</f>
        <v/>
      </c>
      <c r="AO41" s="47" t="str">
        <f aca="false">IF(ISNUMBER($AD41),ROUND($AD41*Header!$K$3,2),"")</f>
        <v/>
      </c>
      <c r="AP41" s="47" t="str">
        <f aca="false">IF(ISNUMBER($AD41),ROUND($AD41*Header!$M$3,2),"")</f>
        <v/>
      </c>
      <c r="AQ41" s="46" t="str">
        <f aca="false">IF(ISNUMBER($AD41),ROUND($AD41,2)-$AO41-$AP41,"")</f>
        <v/>
      </c>
      <c r="AR41" s="47" t="str">
        <f aca="false">IF(ISNUMBER($AD41),IF(Header!$D$34="","?",$AD41*Header!$D$34),"")</f>
        <v/>
      </c>
      <c r="AS41" s="47" t="str">
        <f aca="false">IF(ISNUMBER($AB41),IF(Header!$D$34="","?",$AB41*Header!$D$34),"")</f>
        <v/>
      </c>
      <c r="AT41" s="50" t="str">
        <f aca="false">IF(AND(ISNUMBER($AB41),$M41&gt;0),$AB41/$M41*100,"")</f>
        <v/>
      </c>
      <c r="AU41" s="50" t="str">
        <f aca="false">IF(AND(ISNUMBER($AD41),$M41&gt;0),$AD41/$M41*100,"")</f>
        <v/>
      </c>
      <c r="AV41" s="48" t="str">
        <f aca="false">IF(AND(ISNUMBER($AB41),ISNUMBER($AD41),ABS($AB41)&gt;0),$AD41/$AB41,"")</f>
        <v/>
      </c>
      <c r="AW41" s="47" t="str">
        <f aca="false">IF(ISNUMBER($AD41),MAX(0,(1-0.55-Header!$O$3)*Header!$Q$3*$AQ41),"")</f>
        <v/>
      </c>
      <c r="AX41" s="51" t="str">
        <f aca="false">IF($A41="","",IF(TRIM(IF($A41="","Missing certificate ref. ","") &amp; IF($C41="","Missing effective date. ","") &amp; IF($D41="","Missing binding status. ","") &amp; IF($E41="","Missing movement type. ","") &amp; IF($I41="","Missing make. ","") &amp; IF($L41="","Missing vehicle class. ","") &amp; IF($M41="","Missing agreed value. ","") &amp; IF($N41="","Missing policy type. ","") &amp; IF($Q41="","Missing garaging state. ","") &amp; IF($R41="","Missing garaging ZIP. ","") &amp; IF($S41="","Missing cat zone. ","") &amp; IF($V41="","Missing valuation basis. ","") &amp; IF($W41="","Missing PD deductible. ","") &amp; IF($X41="","Missing liability limit. ","") &amp; IF($AB41="","Missing technical premium. ","") &amp; IF($AF41="","Missing surplus lines tax %. ",""))="","PASS","FAIL: "&amp;TRIM(IF($A41="","Missing certificate ref. ","") &amp; IF($C41="","Missing effective date. ","") &amp; IF($D41="","Missing binding status. ","") &amp; IF($E41="","Missing movement type. ","") &amp; IF($I41="","Missing make. ","") &amp; IF($L41="","Missing vehicle class. ","") &amp; IF($M41="","Missing agreed value. ","") &amp; IF($N41="","Missing policy type. ","") &amp; IF($Q41="","Missing garaging state. ","") &amp; IF($R41="","Missing garaging ZIP. ","") &amp; IF($S41="","Missing cat zone. ","") &amp; IF($V41="","Missing valuation basis. ","") &amp; IF($W41="","Missing PD deductible. ","") &amp; IF($X41="","Missing liability limit. ","") &amp; IF($AB41="","Missing technical premium. ","") &amp; IF($AF41="","Missing surplus lines tax %. ",""))))</f>
        <v/>
      </c>
      <c r="AY41" s="52" t="str">
        <f aca="false">IF($M41="","",IF(ISNUMBER($M41),IF($M41&gt;=Header!$C$18,"YES — refer","No"),""))</f>
        <v/>
      </c>
      <c r="AZ41" s="52" t="str">
        <f aca="false">IF($AD41="","",IF(ISNUMBER($AD41),IF($AD41&lt;Header!$C$20,"BELOW MIN PREMIUM","OK"),""))</f>
        <v/>
      </c>
      <c r="BA41" s="40"/>
      <c r="BB41" s="40"/>
      <c r="BC41" s="38"/>
      <c r="BE41" s="53" t="str">
        <f aca="false">IF(OR($A41="",$L41="",$H41=""),"",IF(AND(LEFT($L41,2)="06",$H41&gt;1945),"FAIL - pre-war class, year "&amp;$H41,IF(AND(LEFT($L41,2)="07",OR($H41&lt;1946,$H41&gt;1972)),"FAIL - 1946-72 class, year "&amp;$H41,IF(AND(LEFT($L41,2)="08",OR($H41&lt;1973,$H41&gt;1999)),"FAIL - 1973-99 class, year "&amp;$H41,IF(AND(LEFT($L41,2)="09",OR($H41&lt;2000,$H41&gt;2010)),"FAIL - 2000-10 class, year "&amp;$H41,"OK")))))</f>
        <v/>
      </c>
      <c r="BF41" s="53" t="str">
        <f aca="false">IF($AD41="","",IF(ROUND($AO41+$AP41+$AQ41-$AD41,2)=0,"OK","FAIL - out by "&amp;TEXT($AO41+$AP41+$AQ41-$AD41,"$0.00")))</f>
        <v/>
      </c>
    </row>
    <row r="42" customFormat="false" ht="15" hidden="false" customHeight="true" outlineLevel="0" collapsed="false">
      <c r="A42" s="54"/>
      <c r="B42" s="54"/>
      <c r="C42" s="55"/>
      <c r="D42" s="56"/>
      <c r="E42" s="56"/>
      <c r="F42" s="54"/>
      <c r="G42" s="41" t="str">
        <f aca="false">IF($A42="","",IF($C42="","",YEAR($C42)))</f>
        <v/>
      </c>
      <c r="H42" s="57"/>
      <c r="I42" s="54"/>
      <c r="J42" s="54"/>
      <c r="K42" s="54"/>
      <c r="L42" s="56"/>
      <c r="M42" s="58"/>
      <c r="N42" s="56"/>
      <c r="O42" s="54"/>
      <c r="P42" s="54"/>
      <c r="Q42" s="54"/>
      <c r="R42" s="54"/>
      <c r="S42" s="56"/>
      <c r="T42" s="44" t="str">
        <f aca="false">IF($A42="","",IF($S42="","",IFERROR(INDEX(Lists!$N$5:$N$16,MATCH($S42,Lists!$M$5:$M$16,0)),"?")))</f>
        <v/>
      </c>
      <c r="U42" s="54"/>
      <c r="V42" s="56"/>
      <c r="W42" s="54"/>
      <c r="X42" s="56"/>
      <c r="Y42" s="54"/>
      <c r="Z42" s="54"/>
      <c r="AA42" s="56"/>
      <c r="AB42" s="58"/>
      <c r="AC42" s="59"/>
      <c r="AD42" s="46" t="str">
        <f aca="false">IF(ISNUMBER($AB42),$AB42*(1+N($AC42)),"")</f>
        <v/>
      </c>
      <c r="AE42" s="58"/>
      <c r="AF42" s="58"/>
      <c r="AG42" s="59"/>
      <c r="AH42" s="47" t="str">
        <f aca="false">IF(ISNUMBER($AD42),($AD42+$AE42+$AF42)*$AG42,"")</f>
        <v/>
      </c>
      <c r="AI42" s="58"/>
      <c r="AJ42" s="46" t="str">
        <f aca="false">IF(ISNUMBER($AD42),SUM($AD42:$AH42),"")</f>
        <v/>
      </c>
      <c r="AK42" s="48" t="str">
        <f aca="false">IF(AND(ISNUMBER($AB42),ISNUMBER($AD42)),IF($AB42&gt;0,$AD42/$AB42,""),"")</f>
        <v/>
      </c>
      <c r="AL42" s="56"/>
      <c r="AM42" s="49" t="str">
        <f aca="false">IF(ISNUMBER($AD42),Header!$I$3,"")</f>
        <v/>
      </c>
      <c r="AN42" s="47" t="str">
        <f aca="false">IF(ISNUMBER($AD42),$AO42+$AP42,"")</f>
        <v/>
      </c>
      <c r="AO42" s="47" t="str">
        <f aca="false">IF(ISNUMBER($AD42),ROUND($AD42*Header!$K$3,2),"")</f>
        <v/>
      </c>
      <c r="AP42" s="47" t="str">
        <f aca="false">IF(ISNUMBER($AD42),ROUND($AD42*Header!$M$3,2),"")</f>
        <v/>
      </c>
      <c r="AQ42" s="46" t="str">
        <f aca="false">IF(ISNUMBER($AD42),ROUND($AD42,2)-$AO42-$AP42,"")</f>
        <v/>
      </c>
      <c r="AR42" s="47" t="str">
        <f aca="false">IF(ISNUMBER($AD42),IF(Header!$D$34="","?",$AD42*Header!$D$34),"")</f>
        <v/>
      </c>
      <c r="AS42" s="47" t="str">
        <f aca="false">IF(ISNUMBER($AB42),IF(Header!$D$34="","?",$AB42*Header!$D$34),"")</f>
        <v/>
      </c>
      <c r="AT42" s="50" t="str">
        <f aca="false">IF(AND(ISNUMBER($AB42),$M42&gt;0),$AB42/$M42*100,"")</f>
        <v/>
      </c>
      <c r="AU42" s="50" t="str">
        <f aca="false">IF(AND(ISNUMBER($AD42),$M42&gt;0),$AD42/$M42*100,"")</f>
        <v/>
      </c>
      <c r="AV42" s="48" t="str">
        <f aca="false">IF(AND(ISNUMBER($AB42),ISNUMBER($AD42),ABS($AB42)&gt;0),$AD42/$AB42,"")</f>
        <v/>
      </c>
      <c r="AW42" s="47" t="str">
        <f aca="false">IF(ISNUMBER($AD42),MAX(0,(1-0.55-Header!$O$3)*Header!$Q$3*$AQ42),"")</f>
        <v/>
      </c>
      <c r="AX42" s="51" t="str">
        <f aca="false">IF($A42="","",IF(TRIM(IF($A42="","Missing certificate ref. ","") &amp; IF($C42="","Missing effective date. ","") &amp; IF($D42="","Missing binding status. ","") &amp; IF($E42="","Missing movement type. ","") &amp; IF($I42="","Missing make. ","") &amp; IF($L42="","Missing vehicle class. ","") &amp; IF($M42="","Missing agreed value. ","") &amp; IF($N42="","Missing policy type. ","") &amp; IF($Q42="","Missing garaging state. ","") &amp; IF($R42="","Missing garaging ZIP. ","") &amp; IF($S42="","Missing cat zone. ","") &amp; IF($V42="","Missing valuation basis. ","") &amp; IF($W42="","Missing PD deductible. ","") &amp; IF($X42="","Missing liability limit. ","") &amp; IF($AB42="","Missing technical premium. ","") &amp; IF($AF42="","Missing surplus lines tax %. ",""))="","PASS","FAIL: "&amp;TRIM(IF($A42="","Missing certificate ref. ","") &amp; IF($C42="","Missing effective date. ","") &amp; IF($D42="","Missing binding status. ","") &amp; IF($E42="","Missing movement type. ","") &amp; IF($I42="","Missing make. ","") &amp; IF($L42="","Missing vehicle class. ","") &amp; IF($M42="","Missing agreed value. ","") &amp; IF($N42="","Missing policy type. ","") &amp; IF($Q42="","Missing garaging state. ","") &amp; IF($R42="","Missing garaging ZIP. ","") &amp; IF($S42="","Missing cat zone. ","") &amp; IF($V42="","Missing valuation basis. ","") &amp; IF($W42="","Missing PD deductible. ","") &amp; IF($X42="","Missing liability limit. ","") &amp; IF($AB42="","Missing technical premium. ","") &amp; IF($AF42="","Missing surplus lines tax %. ",""))))</f>
        <v/>
      </c>
      <c r="AY42" s="52" t="str">
        <f aca="false">IF($M42="","",IF(ISNUMBER($M42),IF($M42&gt;=Header!$C$18,"YES — refer","No"),""))</f>
        <v/>
      </c>
      <c r="AZ42" s="52" t="str">
        <f aca="false">IF($AD42="","",IF(ISNUMBER($AD42),IF($AD42&lt;Header!$C$20,"BELOW MIN PREMIUM","OK"),""))</f>
        <v/>
      </c>
      <c r="BA42" s="56"/>
      <c r="BB42" s="56"/>
      <c r="BC42" s="54"/>
      <c r="BE42" s="53" t="str">
        <f aca="false">IF(OR($A42="",$L42="",$H42=""),"",IF(AND(LEFT($L42,2)="06",$H42&gt;1945),"FAIL - pre-war class, year "&amp;$H42,IF(AND(LEFT($L42,2)="07",OR($H42&lt;1946,$H42&gt;1972)),"FAIL - 1946-72 class, year "&amp;$H42,IF(AND(LEFT($L42,2)="08",OR($H42&lt;1973,$H42&gt;1999)),"FAIL - 1973-99 class, year "&amp;$H42,IF(AND(LEFT($L42,2)="09",OR($H42&lt;2000,$H42&gt;2010)),"FAIL - 2000-10 class, year "&amp;$H42,"OK")))))</f>
        <v/>
      </c>
      <c r="BF42" s="53" t="str">
        <f aca="false">IF($AD42="","",IF(ROUND($AO42+$AP42+$AQ42-$AD42,2)=0,"OK","FAIL - out by "&amp;TEXT($AO42+$AP42+$AQ42-$AD42,"$0.00")))</f>
        <v/>
      </c>
    </row>
    <row r="43" customFormat="false" ht="15" hidden="false" customHeight="true" outlineLevel="0" collapsed="false">
      <c r="A43" s="38"/>
      <c r="B43" s="38"/>
      <c r="C43" s="39"/>
      <c r="D43" s="40"/>
      <c r="E43" s="40"/>
      <c r="F43" s="38"/>
      <c r="G43" s="41" t="str">
        <f aca="false">IF($A43="","",IF($C43="","",YEAR($C43)))</f>
        <v/>
      </c>
      <c r="H43" s="42"/>
      <c r="I43" s="38"/>
      <c r="J43" s="38"/>
      <c r="K43" s="38"/>
      <c r="L43" s="40"/>
      <c r="M43" s="43"/>
      <c r="N43" s="40"/>
      <c r="O43" s="38"/>
      <c r="P43" s="38"/>
      <c r="Q43" s="38"/>
      <c r="R43" s="38"/>
      <c r="S43" s="40"/>
      <c r="T43" s="44" t="str">
        <f aca="false">IF($A43="","",IF($S43="","",IFERROR(INDEX(Lists!$N$5:$N$16,MATCH($S43,Lists!$M$5:$M$16,0)),"?")))</f>
        <v/>
      </c>
      <c r="U43" s="38"/>
      <c r="V43" s="40"/>
      <c r="W43" s="38"/>
      <c r="X43" s="40"/>
      <c r="Y43" s="38"/>
      <c r="Z43" s="38"/>
      <c r="AA43" s="40"/>
      <c r="AB43" s="43"/>
      <c r="AC43" s="45"/>
      <c r="AD43" s="46" t="str">
        <f aca="false">IF(ISNUMBER($AB43),$AB43*(1+N($AC43)),"")</f>
        <v/>
      </c>
      <c r="AE43" s="43"/>
      <c r="AF43" s="43"/>
      <c r="AG43" s="45"/>
      <c r="AH43" s="47" t="str">
        <f aca="false">IF(ISNUMBER($AD43),($AD43+$AE43+$AF43)*$AG43,"")</f>
        <v/>
      </c>
      <c r="AI43" s="43"/>
      <c r="AJ43" s="46" t="str">
        <f aca="false">IF(ISNUMBER($AD43),SUM($AD43:$AH43),"")</f>
        <v/>
      </c>
      <c r="AK43" s="48" t="str">
        <f aca="false">IF(AND(ISNUMBER($AB43),ISNUMBER($AD43)),IF($AB43&gt;0,$AD43/$AB43,""),"")</f>
        <v/>
      </c>
      <c r="AL43" s="40"/>
      <c r="AM43" s="49" t="str">
        <f aca="false">IF(ISNUMBER($AD43),Header!$I$3,"")</f>
        <v/>
      </c>
      <c r="AN43" s="47" t="str">
        <f aca="false">IF(ISNUMBER($AD43),$AO43+$AP43,"")</f>
        <v/>
      </c>
      <c r="AO43" s="47" t="str">
        <f aca="false">IF(ISNUMBER($AD43),ROUND($AD43*Header!$K$3,2),"")</f>
        <v/>
      </c>
      <c r="AP43" s="47" t="str">
        <f aca="false">IF(ISNUMBER($AD43),ROUND($AD43*Header!$M$3,2),"")</f>
        <v/>
      </c>
      <c r="AQ43" s="46" t="str">
        <f aca="false">IF(ISNUMBER($AD43),ROUND($AD43,2)-$AO43-$AP43,"")</f>
        <v/>
      </c>
      <c r="AR43" s="47" t="str">
        <f aca="false">IF(ISNUMBER($AD43),IF(Header!$D$34="","?",$AD43*Header!$D$34),"")</f>
        <v/>
      </c>
      <c r="AS43" s="47" t="str">
        <f aca="false">IF(ISNUMBER($AB43),IF(Header!$D$34="","?",$AB43*Header!$D$34),"")</f>
        <v/>
      </c>
      <c r="AT43" s="50" t="str">
        <f aca="false">IF(AND(ISNUMBER($AB43),$M43&gt;0),$AB43/$M43*100,"")</f>
        <v/>
      </c>
      <c r="AU43" s="50" t="str">
        <f aca="false">IF(AND(ISNUMBER($AD43),$M43&gt;0),$AD43/$M43*100,"")</f>
        <v/>
      </c>
      <c r="AV43" s="48" t="str">
        <f aca="false">IF(AND(ISNUMBER($AB43),ISNUMBER($AD43),ABS($AB43)&gt;0),$AD43/$AB43,"")</f>
        <v/>
      </c>
      <c r="AW43" s="47" t="str">
        <f aca="false">IF(ISNUMBER($AD43),MAX(0,(1-0.55-Header!$O$3)*Header!$Q$3*$AQ43),"")</f>
        <v/>
      </c>
      <c r="AX43" s="51" t="str">
        <f aca="false">IF($A43="","",IF(TRIM(IF($A43="","Missing certificate ref. ","") &amp; IF($C43="","Missing effective date. ","") &amp; IF($D43="","Missing binding status. ","") &amp; IF($E43="","Missing movement type. ","") &amp; IF($I43="","Missing make. ","") &amp; IF($L43="","Missing vehicle class. ","") &amp; IF($M43="","Missing agreed value. ","") &amp; IF($N43="","Missing policy type. ","") &amp; IF($Q43="","Missing garaging state. ","") &amp; IF($R43="","Missing garaging ZIP. ","") &amp; IF($S43="","Missing cat zone. ","") &amp; IF($V43="","Missing valuation basis. ","") &amp; IF($W43="","Missing PD deductible. ","") &amp; IF($X43="","Missing liability limit. ","") &amp; IF($AB43="","Missing technical premium. ","") &amp; IF($AF43="","Missing surplus lines tax %. ",""))="","PASS","FAIL: "&amp;TRIM(IF($A43="","Missing certificate ref. ","") &amp; IF($C43="","Missing effective date. ","") &amp; IF($D43="","Missing binding status. ","") &amp; IF($E43="","Missing movement type. ","") &amp; IF($I43="","Missing make. ","") &amp; IF($L43="","Missing vehicle class. ","") &amp; IF($M43="","Missing agreed value. ","") &amp; IF($N43="","Missing policy type. ","") &amp; IF($Q43="","Missing garaging state. ","") &amp; IF($R43="","Missing garaging ZIP. ","") &amp; IF($S43="","Missing cat zone. ","") &amp; IF($V43="","Missing valuation basis. ","") &amp; IF($W43="","Missing PD deductible. ","") &amp; IF($X43="","Missing liability limit. ","") &amp; IF($AB43="","Missing technical premium. ","") &amp; IF($AF43="","Missing surplus lines tax %. ",""))))</f>
        <v/>
      </c>
      <c r="AY43" s="52" t="str">
        <f aca="false">IF($M43="","",IF(ISNUMBER($M43),IF($M43&gt;=Header!$C$18,"YES — refer","No"),""))</f>
        <v/>
      </c>
      <c r="AZ43" s="52" t="str">
        <f aca="false">IF($AD43="","",IF(ISNUMBER($AD43),IF($AD43&lt;Header!$C$20,"BELOW MIN PREMIUM","OK"),""))</f>
        <v/>
      </c>
      <c r="BA43" s="40"/>
      <c r="BB43" s="40"/>
      <c r="BC43" s="38"/>
      <c r="BE43" s="53" t="str">
        <f aca="false">IF(OR($A43="",$L43="",$H43=""),"",IF(AND(LEFT($L43,2)="06",$H43&gt;1945),"FAIL - pre-war class, year "&amp;$H43,IF(AND(LEFT($L43,2)="07",OR($H43&lt;1946,$H43&gt;1972)),"FAIL - 1946-72 class, year "&amp;$H43,IF(AND(LEFT($L43,2)="08",OR($H43&lt;1973,$H43&gt;1999)),"FAIL - 1973-99 class, year "&amp;$H43,IF(AND(LEFT($L43,2)="09",OR($H43&lt;2000,$H43&gt;2010)),"FAIL - 2000-10 class, year "&amp;$H43,"OK")))))</f>
        <v/>
      </c>
      <c r="BF43" s="53" t="str">
        <f aca="false">IF($AD43="","",IF(ROUND($AO43+$AP43+$AQ43-$AD43,2)=0,"OK","FAIL - out by "&amp;TEXT($AO43+$AP43+$AQ43-$AD43,"$0.00")))</f>
        <v/>
      </c>
    </row>
    <row r="44" customFormat="false" ht="15" hidden="false" customHeight="true" outlineLevel="0" collapsed="false">
      <c r="A44" s="54"/>
      <c r="B44" s="54"/>
      <c r="C44" s="55"/>
      <c r="D44" s="56"/>
      <c r="E44" s="56"/>
      <c r="F44" s="54"/>
      <c r="G44" s="41" t="str">
        <f aca="false">IF($A44="","",IF($C44="","",YEAR($C44)))</f>
        <v/>
      </c>
      <c r="H44" s="57"/>
      <c r="I44" s="54"/>
      <c r="J44" s="54"/>
      <c r="K44" s="54"/>
      <c r="L44" s="56"/>
      <c r="M44" s="58"/>
      <c r="N44" s="56"/>
      <c r="O44" s="54"/>
      <c r="P44" s="54"/>
      <c r="Q44" s="54"/>
      <c r="R44" s="54"/>
      <c r="S44" s="56"/>
      <c r="T44" s="44" t="str">
        <f aca="false">IF($A44="","",IF($S44="","",IFERROR(INDEX(Lists!$N$5:$N$16,MATCH($S44,Lists!$M$5:$M$16,0)),"?")))</f>
        <v/>
      </c>
      <c r="U44" s="54"/>
      <c r="V44" s="56"/>
      <c r="W44" s="54"/>
      <c r="X44" s="56"/>
      <c r="Y44" s="54"/>
      <c r="Z44" s="54"/>
      <c r="AA44" s="56"/>
      <c r="AB44" s="58"/>
      <c r="AC44" s="59"/>
      <c r="AD44" s="46" t="str">
        <f aca="false">IF(ISNUMBER($AB44),$AB44*(1+N($AC44)),"")</f>
        <v/>
      </c>
      <c r="AE44" s="58"/>
      <c r="AF44" s="58"/>
      <c r="AG44" s="59"/>
      <c r="AH44" s="47" t="str">
        <f aca="false">IF(ISNUMBER($AD44),($AD44+$AE44+$AF44)*$AG44,"")</f>
        <v/>
      </c>
      <c r="AI44" s="58"/>
      <c r="AJ44" s="46" t="str">
        <f aca="false">IF(ISNUMBER($AD44),SUM($AD44:$AH44),"")</f>
        <v/>
      </c>
      <c r="AK44" s="48" t="str">
        <f aca="false">IF(AND(ISNUMBER($AB44),ISNUMBER($AD44)),IF($AB44&gt;0,$AD44/$AB44,""),"")</f>
        <v/>
      </c>
      <c r="AL44" s="56"/>
      <c r="AM44" s="49" t="str">
        <f aca="false">IF(ISNUMBER($AD44),Header!$I$3,"")</f>
        <v/>
      </c>
      <c r="AN44" s="47" t="str">
        <f aca="false">IF(ISNUMBER($AD44),$AO44+$AP44,"")</f>
        <v/>
      </c>
      <c r="AO44" s="47" t="str">
        <f aca="false">IF(ISNUMBER($AD44),ROUND($AD44*Header!$K$3,2),"")</f>
        <v/>
      </c>
      <c r="AP44" s="47" t="str">
        <f aca="false">IF(ISNUMBER($AD44),ROUND($AD44*Header!$M$3,2),"")</f>
        <v/>
      </c>
      <c r="AQ44" s="46" t="str">
        <f aca="false">IF(ISNUMBER($AD44),ROUND($AD44,2)-$AO44-$AP44,"")</f>
        <v/>
      </c>
      <c r="AR44" s="47" t="str">
        <f aca="false">IF(ISNUMBER($AD44),IF(Header!$D$34="","?",$AD44*Header!$D$34),"")</f>
        <v/>
      </c>
      <c r="AS44" s="47" t="str">
        <f aca="false">IF(ISNUMBER($AB44),IF(Header!$D$34="","?",$AB44*Header!$D$34),"")</f>
        <v/>
      </c>
      <c r="AT44" s="50" t="str">
        <f aca="false">IF(AND(ISNUMBER($AB44),$M44&gt;0),$AB44/$M44*100,"")</f>
        <v/>
      </c>
      <c r="AU44" s="50" t="str">
        <f aca="false">IF(AND(ISNUMBER($AD44),$M44&gt;0),$AD44/$M44*100,"")</f>
        <v/>
      </c>
      <c r="AV44" s="48" t="str">
        <f aca="false">IF(AND(ISNUMBER($AB44),ISNUMBER($AD44),ABS($AB44)&gt;0),$AD44/$AB44,"")</f>
        <v/>
      </c>
      <c r="AW44" s="47" t="str">
        <f aca="false">IF(ISNUMBER($AD44),MAX(0,(1-0.55-Header!$O$3)*Header!$Q$3*$AQ44),"")</f>
        <v/>
      </c>
      <c r="AX44" s="51" t="str">
        <f aca="false">IF($A44="","",IF(TRIM(IF($A44="","Missing certificate ref. ","") &amp; IF($C44="","Missing effective date. ","") &amp; IF($D44="","Missing binding status. ","") &amp; IF($E44="","Missing movement type. ","") &amp; IF($I44="","Missing make. ","") &amp; IF($L44="","Missing vehicle class. ","") &amp; IF($M44="","Missing agreed value. ","") &amp; IF($N44="","Missing policy type. ","") &amp; IF($Q44="","Missing garaging state. ","") &amp; IF($R44="","Missing garaging ZIP. ","") &amp; IF($S44="","Missing cat zone. ","") &amp; IF($V44="","Missing valuation basis. ","") &amp; IF($W44="","Missing PD deductible. ","") &amp; IF($X44="","Missing liability limit. ","") &amp; IF($AB44="","Missing technical premium. ","") &amp; IF($AF44="","Missing surplus lines tax %. ",""))="","PASS","FAIL: "&amp;TRIM(IF($A44="","Missing certificate ref. ","") &amp; IF($C44="","Missing effective date. ","") &amp; IF($D44="","Missing binding status. ","") &amp; IF($E44="","Missing movement type. ","") &amp; IF($I44="","Missing make. ","") &amp; IF($L44="","Missing vehicle class. ","") &amp; IF($M44="","Missing agreed value. ","") &amp; IF($N44="","Missing policy type. ","") &amp; IF($Q44="","Missing garaging state. ","") &amp; IF($R44="","Missing garaging ZIP. ","") &amp; IF($S44="","Missing cat zone. ","") &amp; IF($V44="","Missing valuation basis. ","") &amp; IF($W44="","Missing PD deductible. ","") &amp; IF($X44="","Missing liability limit. ","") &amp; IF($AB44="","Missing technical premium. ","") &amp; IF($AF44="","Missing surplus lines tax %. ",""))))</f>
        <v/>
      </c>
      <c r="AY44" s="52" t="str">
        <f aca="false">IF($M44="","",IF(ISNUMBER($M44),IF($M44&gt;=Header!$C$18,"YES — refer","No"),""))</f>
        <v/>
      </c>
      <c r="AZ44" s="52" t="str">
        <f aca="false">IF($AD44="","",IF(ISNUMBER($AD44),IF($AD44&lt;Header!$C$20,"BELOW MIN PREMIUM","OK"),""))</f>
        <v/>
      </c>
      <c r="BA44" s="56"/>
      <c r="BB44" s="56"/>
      <c r="BC44" s="54"/>
      <c r="BE44" s="53" t="str">
        <f aca="false">IF(OR($A44="",$L44="",$H44=""),"",IF(AND(LEFT($L44,2)="06",$H44&gt;1945),"FAIL - pre-war class, year "&amp;$H44,IF(AND(LEFT($L44,2)="07",OR($H44&lt;1946,$H44&gt;1972)),"FAIL - 1946-72 class, year "&amp;$H44,IF(AND(LEFT($L44,2)="08",OR($H44&lt;1973,$H44&gt;1999)),"FAIL - 1973-99 class, year "&amp;$H44,IF(AND(LEFT($L44,2)="09",OR($H44&lt;2000,$H44&gt;2010)),"FAIL - 2000-10 class, year "&amp;$H44,"OK")))))</f>
        <v/>
      </c>
      <c r="BF44" s="53" t="str">
        <f aca="false">IF($AD44="","",IF(ROUND($AO44+$AP44+$AQ44-$AD44,2)=0,"OK","FAIL - out by "&amp;TEXT($AO44+$AP44+$AQ44-$AD44,"$0.00")))</f>
        <v/>
      </c>
    </row>
    <row r="45" customFormat="false" ht="15" hidden="false" customHeight="true" outlineLevel="0" collapsed="false">
      <c r="A45" s="38"/>
      <c r="B45" s="38"/>
      <c r="C45" s="39"/>
      <c r="D45" s="40"/>
      <c r="E45" s="40"/>
      <c r="F45" s="38"/>
      <c r="G45" s="41" t="str">
        <f aca="false">IF($A45="","",IF($C45="","",YEAR($C45)))</f>
        <v/>
      </c>
      <c r="H45" s="42"/>
      <c r="I45" s="38"/>
      <c r="J45" s="38"/>
      <c r="K45" s="38"/>
      <c r="L45" s="40"/>
      <c r="M45" s="43"/>
      <c r="N45" s="40"/>
      <c r="O45" s="38"/>
      <c r="P45" s="38"/>
      <c r="Q45" s="38"/>
      <c r="R45" s="38"/>
      <c r="S45" s="40"/>
      <c r="T45" s="44" t="str">
        <f aca="false">IF($A45="","",IF($S45="","",IFERROR(INDEX(Lists!$N$5:$N$16,MATCH($S45,Lists!$M$5:$M$16,0)),"?")))</f>
        <v/>
      </c>
      <c r="U45" s="38"/>
      <c r="V45" s="40"/>
      <c r="W45" s="38"/>
      <c r="X45" s="40"/>
      <c r="Y45" s="38"/>
      <c r="Z45" s="38"/>
      <c r="AA45" s="40"/>
      <c r="AB45" s="43"/>
      <c r="AC45" s="45"/>
      <c r="AD45" s="46" t="str">
        <f aca="false">IF(ISNUMBER($AB45),$AB45*(1+N($AC45)),"")</f>
        <v/>
      </c>
      <c r="AE45" s="43"/>
      <c r="AF45" s="43"/>
      <c r="AG45" s="45"/>
      <c r="AH45" s="47" t="str">
        <f aca="false">IF(ISNUMBER($AD45),($AD45+$AE45+$AF45)*$AG45,"")</f>
        <v/>
      </c>
      <c r="AI45" s="43"/>
      <c r="AJ45" s="46" t="str">
        <f aca="false">IF(ISNUMBER($AD45),SUM($AD45:$AH45),"")</f>
        <v/>
      </c>
      <c r="AK45" s="48" t="str">
        <f aca="false">IF(AND(ISNUMBER($AB45),ISNUMBER($AD45)),IF($AB45&gt;0,$AD45/$AB45,""),"")</f>
        <v/>
      </c>
      <c r="AL45" s="40"/>
      <c r="AM45" s="49" t="str">
        <f aca="false">IF(ISNUMBER($AD45),Header!$I$3,"")</f>
        <v/>
      </c>
      <c r="AN45" s="47" t="str">
        <f aca="false">IF(ISNUMBER($AD45),$AO45+$AP45,"")</f>
        <v/>
      </c>
      <c r="AO45" s="47" t="str">
        <f aca="false">IF(ISNUMBER($AD45),ROUND($AD45*Header!$K$3,2),"")</f>
        <v/>
      </c>
      <c r="AP45" s="47" t="str">
        <f aca="false">IF(ISNUMBER($AD45),ROUND($AD45*Header!$M$3,2),"")</f>
        <v/>
      </c>
      <c r="AQ45" s="46" t="str">
        <f aca="false">IF(ISNUMBER($AD45),ROUND($AD45,2)-$AO45-$AP45,"")</f>
        <v/>
      </c>
      <c r="AR45" s="47" t="str">
        <f aca="false">IF(ISNUMBER($AD45),IF(Header!$D$34="","?",$AD45*Header!$D$34),"")</f>
        <v/>
      </c>
      <c r="AS45" s="47" t="str">
        <f aca="false">IF(ISNUMBER($AB45),IF(Header!$D$34="","?",$AB45*Header!$D$34),"")</f>
        <v/>
      </c>
      <c r="AT45" s="50" t="str">
        <f aca="false">IF(AND(ISNUMBER($AB45),$M45&gt;0),$AB45/$M45*100,"")</f>
        <v/>
      </c>
      <c r="AU45" s="50" t="str">
        <f aca="false">IF(AND(ISNUMBER($AD45),$M45&gt;0),$AD45/$M45*100,"")</f>
        <v/>
      </c>
      <c r="AV45" s="48" t="str">
        <f aca="false">IF(AND(ISNUMBER($AB45),ISNUMBER($AD45),ABS($AB45)&gt;0),$AD45/$AB45,"")</f>
        <v/>
      </c>
      <c r="AW45" s="47" t="str">
        <f aca="false">IF(ISNUMBER($AD45),MAX(0,(1-0.55-Header!$O$3)*Header!$Q$3*$AQ45),"")</f>
        <v/>
      </c>
      <c r="AX45" s="51" t="str">
        <f aca="false">IF($A45="","",IF(TRIM(IF($A45="","Missing certificate ref. ","") &amp; IF($C45="","Missing effective date. ","") &amp; IF($D45="","Missing binding status. ","") &amp; IF($E45="","Missing movement type. ","") &amp; IF($I45="","Missing make. ","") &amp; IF($L45="","Missing vehicle class. ","") &amp; IF($M45="","Missing agreed value. ","") &amp; IF($N45="","Missing policy type. ","") &amp; IF($Q45="","Missing garaging state. ","") &amp; IF($R45="","Missing garaging ZIP. ","") &amp; IF($S45="","Missing cat zone. ","") &amp; IF($V45="","Missing valuation basis. ","") &amp; IF($W45="","Missing PD deductible. ","") &amp; IF($X45="","Missing liability limit. ","") &amp; IF($AB45="","Missing technical premium. ","") &amp; IF($AF45="","Missing surplus lines tax %. ",""))="","PASS","FAIL: "&amp;TRIM(IF($A45="","Missing certificate ref. ","") &amp; IF($C45="","Missing effective date. ","") &amp; IF($D45="","Missing binding status. ","") &amp; IF($E45="","Missing movement type. ","") &amp; IF($I45="","Missing make. ","") &amp; IF($L45="","Missing vehicle class. ","") &amp; IF($M45="","Missing agreed value. ","") &amp; IF($N45="","Missing policy type. ","") &amp; IF($Q45="","Missing garaging state. ","") &amp; IF($R45="","Missing garaging ZIP. ","") &amp; IF($S45="","Missing cat zone. ","") &amp; IF($V45="","Missing valuation basis. ","") &amp; IF($W45="","Missing PD deductible. ","") &amp; IF($X45="","Missing liability limit. ","") &amp; IF($AB45="","Missing technical premium. ","") &amp; IF($AF45="","Missing surplus lines tax %. ",""))))</f>
        <v/>
      </c>
      <c r="AY45" s="52" t="str">
        <f aca="false">IF($M45="","",IF(ISNUMBER($M45),IF($M45&gt;=Header!$C$18,"YES — refer","No"),""))</f>
        <v/>
      </c>
      <c r="AZ45" s="52" t="str">
        <f aca="false">IF($AD45="","",IF(ISNUMBER($AD45),IF($AD45&lt;Header!$C$20,"BELOW MIN PREMIUM","OK"),""))</f>
        <v/>
      </c>
      <c r="BA45" s="40"/>
      <c r="BB45" s="40"/>
      <c r="BC45" s="38"/>
      <c r="BE45" s="53" t="str">
        <f aca="false">IF(OR($A45="",$L45="",$H45=""),"",IF(AND(LEFT($L45,2)="06",$H45&gt;1945),"FAIL - pre-war class, year "&amp;$H45,IF(AND(LEFT($L45,2)="07",OR($H45&lt;1946,$H45&gt;1972)),"FAIL - 1946-72 class, year "&amp;$H45,IF(AND(LEFT($L45,2)="08",OR($H45&lt;1973,$H45&gt;1999)),"FAIL - 1973-99 class, year "&amp;$H45,IF(AND(LEFT($L45,2)="09",OR($H45&lt;2000,$H45&gt;2010)),"FAIL - 2000-10 class, year "&amp;$H45,"OK")))))</f>
        <v/>
      </c>
      <c r="BF45" s="53" t="str">
        <f aca="false">IF($AD45="","",IF(ROUND($AO45+$AP45+$AQ45-$AD45,2)=0,"OK","FAIL - out by "&amp;TEXT($AO45+$AP45+$AQ45-$AD45,"$0.00")))</f>
        <v/>
      </c>
    </row>
    <row r="46" customFormat="false" ht="15" hidden="false" customHeight="true" outlineLevel="0" collapsed="false">
      <c r="A46" s="54"/>
      <c r="B46" s="54"/>
      <c r="C46" s="55"/>
      <c r="D46" s="56"/>
      <c r="E46" s="56"/>
      <c r="F46" s="54"/>
      <c r="G46" s="41" t="str">
        <f aca="false">IF($A46="","",IF($C46="","",YEAR($C46)))</f>
        <v/>
      </c>
      <c r="H46" s="57"/>
      <c r="I46" s="54"/>
      <c r="J46" s="54"/>
      <c r="K46" s="54"/>
      <c r="L46" s="56"/>
      <c r="M46" s="58"/>
      <c r="N46" s="56"/>
      <c r="O46" s="54"/>
      <c r="P46" s="54"/>
      <c r="Q46" s="54"/>
      <c r="R46" s="54"/>
      <c r="S46" s="56"/>
      <c r="T46" s="44" t="str">
        <f aca="false">IF($A46="","",IF($S46="","",IFERROR(INDEX(Lists!$N$5:$N$16,MATCH($S46,Lists!$M$5:$M$16,0)),"?")))</f>
        <v/>
      </c>
      <c r="U46" s="54"/>
      <c r="V46" s="56"/>
      <c r="W46" s="54"/>
      <c r="X46" s="56"/>
      <c r="Y46" s="54"/>
      <c r="Z46" s="54"/>
      <c r="AA46" s="56"/>
      <c r="AB46" s="58"/>
      <c r="AC46" s="59"/>
      <c r="AD46" s="46" t="str">
        <f aca="false">IF(ISNUMBER($AB46),$AB46*(1+N($AC46)),"")</f>
        <v/>
      </c>
      <c r="AE46" s="58"/>
      <c r="AF46" s="58"/>
      <c r="AG46" s="59"/>
      <c r="AH46" s="47" t="str">
        <f aca="false">IF(ISNUMBER($AD46),($AD46+$AE46+$AF46)*$AG46,"")</f>
        <v/>
      </c>
      <c r="AI46" s="58"/>
      <c r="AJ46" s="46" t="str">
        <f aca="false">IF(ISNUMBER($AD46),SUM($AD46:$AH46),"")</f>
        <v/>
      </c>
      <c r="AK46" s="48" t="str">
        <f aca="false">IF(AND(ISNUMBER($AB46),ISNUMBER($AD46)),IF($AB46&gt;0,$AD46/$AB46,""),"")</f>
        <v/>
      </c>
      <c r="AL46" s="56"/>
      <c r="AM46" s="49" t="str">
        <f aca="false">IF(ISNUMBER($AD46),Header!$I$3,"")</f>
        <v/>
      </c>
      <c r="AN46" s="47" t="str">
        <f aca="false">IF(ISNUMBER($AD46),$AO46+$AP46,"")</f>
        <v/>
      </c>
      <c r="AO46" s="47" t="str">
        <f aca="false">IF(ISNUMBER($AD46),ROUND($AD46*Header!$K$3,2),"")</f>
        <v/>
      </c>
      <c r="AP46" s="47" t="str">
        <f aca="false">IF(ISNUMBER($AD46),ROUND($AD46*Header!$M$3,2),"")</f>
        <v/>
      </c>
      <c r="AQ46" s="46" t="str">
        <f aca="false">IF(ISNUMBER($AD46),ROUND($AD46,2)-$AO46-$AP46,"")</f>
        <v/>
      </c>
      <c r="AR46" s="47" t="str">
        <f aca="false">IF(ISNUMBER($AD46),IF(Header!$D$34="","?",$AD46*Header!$D$34),"")</f>
        <v/>
      </c>
      <c r="AS46" s="47" t="str">
        <f aca="false">IF(ISNUMBER($AB46),IF(Header!$D$34="","?",$AB46*Header!$D$34),"")</f>
        <v/>
      </c>
      <c r="AT46" s="50" t="str">
        <f aca="false">IF(AND(ISNUMBER($AB46),$M46&gt;0),$AB46/$M46*100,"")</f>
        <v/>
      </c>
      <c r="AU46" s="50" t="str">
        <f aca="false">IF(AND(ISNUMBER($AD46),$M46&gt;0),$AD46/$M46*100,"")</f>
        <v/>
      </c>
      <c r="AV46" s="48" t="str">
        <f aca="false">IF(AND(ISNUMBER($AB46),ISNUMBER($AD46),ABS($AB46)&gt;0),$AD46/$AB46,"")</f>
        <v/>
      </c>
      <c r="AW46" s="47" t="str">
        <f aca="false">IF(ISNUMBER($AD46),MAX(0,(1-0.55-Header!$O$3)*Header!$Q$3*$AQ46),"")</f>
        <v/>
      </c>
      <c r="AX46" s="51" t="str">
        <f aca="false">IF($A46="","",IF(TRIM(IF($A46="","Missing certificate ref. ","") &amp; IF($C46="","Missing effective date. ","") &amp; IF($D46="","Missing binding status. ","") &amp; IF($E46="","Missing movement type. ","") &amp; IF($I46="","Missing make. ","") &amp; IF($L46="","Missing vehicle class. ","") &amp; IF($M46="","Missing agreed value. ","") &amp; IF($N46="","Missing policy type. ","") &amp; IF($Q46="","Missing garaging state. ","") &amp; IF($R46="","Missing garaging ZIP. ","") &amp; IF($S46="","Missing cat zone. ","") &amp; IF($V46="","Missing valuation basis. ","") &amp; IF($W46="","Missing PD deductible. ","") &amp; IF($X46="","Missing liability limit. ","") &amp; IF($AB46="","Missing technical premium. ","") &amp; IF($AF46="","Missing surplus lines tax %. ",""))="","PASS","FAIL: "&amp;TRIM(IF($A46="","Missing certificate ref. ","") &amp; IF($C46="","Missing effective date. ","") &amp; IF($D46="","Missing binding status. ","") &amp; IF($E46="","Missing movement type. ","") &amp; IF($I46="","Missing make. ","") &amp; IF($L46="","Missing vehicle class. ","") &amp; IF($M46="","Missing agreed value. ","") &amp; IF($N46="","Missing policy type. ","") &amp; IF($Q46="","Missing garaging state. ","") &amp; IF($R46="","Missing garaging ZIP. ","") &amp; IF($S46="","Missing cat zone. ","") &amp; IF($V46="","Missing valuation basis. ","") &amp; IF($W46="","Missing PD deductible. ","") &amp; IF($X46="","Missing liability limit. ","") &amp; IF($AB46="","Missing technical premium. ","") &amp; IF($AF46="","Missing surplus lines tax %. ",""))))</f>
        <v/>
      </c>
      <c r="AY46" s="52" t="str">
        <f aca="false">IF($M46="","",IF(ISNUMBER($M46),IF($M46&gt;=Header!$C$18,"YES — refer","No"),""))</f>
        <v/>
      </c>
      <c r="AZ46" s="52" t="str">
        <f aca="false">IF($AD46="","",IF(ISNUMBER($AD46),IF($AD46&lt;Header!$C$20,"BELOW MIN PREMIUM","OK"),""))</f>
        <v/>
      </c>
      <c r="BA46" s="56"/>
      <c r="BB46" s="56"/>
      <c r="BC46" s="54"/>
      <c r="BE46" s="53" t="str">
        <f aca="false">IF(OR($A46="",$L46="",$H46=""),"",IF(AND(LEFT($L46,2)="06",$H46&gt;1945),"FAIL - pre-war class, year "&amp;$H46,IF(AND(LEFT($L46,2)="07",OR($H46&lt;1946,$H46&gt;1972)),"FAIL - 1946-72 class, year "&amp;$H46,IF(AND(LEFT($L46,2)="08",OR($H46&lt;1973,$H46&gt;1999)),"FAIL - 1973-99 class, year "&amp;$H46,IF(AND(LEFT($L46,2)="09",OR($H46&lt;2000,$H46&gt;2010)),"FAIL - 2000-10 class, year "&amp;$H46,"OK")))))</f>
        <v/>
      </c>
      <c r="BF46" s="53" t="str">
        <f aca="false">IF($AD46="","",IF(ROUND($AO46+$AP46+$AQ46-$AD46,2)=0,"OK","FAIL - out by "&amp;TEXT($AO46+$AP46+$AQ46-$AD46,"$0.00")))</f>
        <v/>
      </c>
    </row>
    <row r="47" customFormat="false" ht="15" hidden="false" customHeight="true" outlineLevel="0" collapsed="false">
      <c r="A47" s="38"/>
      <c r="B47" s="38"/>
      <c r="C47" s="39"/>
      <c r="D47" s="40"/>
      <c r="E47" s="40"/>
      <c r="F47" s="38"/>
      <c r="G47" s="41" t="str">
        <f aca="false">IF($A47="","",IF($C47="","",YEAR($C47)))</f>
        <v/>
      </c>
      <c r="H47" s="42"/>
      <c r="I47" s="38"/>
      <c r="J47" s="38"/>
      <c r="K47" s="38"/>
      <c r="L47" s="40"/>
      <c r="M47" s="43"/>
      <c r="N47" s="40"/>
      <c r="O47" s="38"/>
      <c r="P47" s="38"/>
      <c r="Q47" s="38"/>
      <c r="R47" s="38"/>
      <c r="S47" s="40"/>
      <c r="T47" s="44" t="str">
        <f aca="false">IF($A47="","",IF($S47="","",IFERROR(INDEX(Lists!$N$5:$N$16,MATCH($S47,Lists!$M$5:$M$16,0)),"?")))</f>
        <v/>
      </c>
      <c r="U47" s="38"/>
      <c r="V47" s="40"/>
      <c r="W47" s="38"/>
      <c r="X47" s="40"/>
      <c r="Y47" s="38"/>
      <c r="Z47" s="38"/>
      <c r="AA47" s="40"/>
      <c r="AB47" s="43"/>
      <c r="AC47" s="45"/>
      <c r="AD47" s="46" t="str">
        <f aca="false">IF(ISNUMBER($AB47),$AB47*(1+N($AC47)),"")</f>
        <v/>
      </c>
      <c r="AE47" s="43"/>
      <c r="AF47" s="43"/>
      <c r="AG47" s="45"/>
      <c r="AH47" s="47" t="str">
        <f aca="false">IF(ISNUMBER($AD47),($AD47+$AE47+$AF47)*$AG47,"")</f>
        <v/>
      </c>
      <c r="AI47" s="43"/>
      <c r="AJ47" s="46" t="str">
        <f aca="false">IF(ISNUMBER($AD47),SUM($AD47:$AH47),"")</f>
        <v/>
      </c>
      <c r="AK47" s="48" t="str">
        <f aca="false">IF(AND(ISNUMBER($AB47),ISNUMBER($AD47)),IF($AB47&gt;0,$AD47/$AB47,""),"")</f>
        <v/>
      </c>
      <c r="AL47" s="40"/>
      <c r="AM47" s="49" t="str">
        <f aca="false">IF(ISNUMBER($AD47),Header!$I$3,"")</f>
        <v/>
      </c>
      <c r="AN47" s="47" t="str">
        <f aca="false">IF(ISNUMBER($AD47),$AO47+$AP47,"")</f>
        <v/>
      </c>
      <c r="AO47" s="47" t="str">
        <f aca="false">IF(ISNUMBER($AD47),ROUND($AD47*Header!$K$3,2),"")</f>
        <v/>
      </c>
      <c r="AP47" s="47" t="str">
        <f aca="false">IF(ISNUMBER($AD47),ROUND($AD47*Header!$M$3,2),"")</f>
        <v/>
      </c>
      <c r="AQ47" s="46" t="str">
        <f aca="false">IF(ISNUMBER($AD47),ROUND($AD47,2)-$AO47-$AP47,"")</f>
        <v/>
      </c>
      <c r="AR47" s="47" t="str">
        <f aca="false">IF(ISNUMBER($AD47),IF(Header!$D$34="","?",$AD47*Header!$D$34),"")</f>
        <v/>
      </c>
      <c r="AS47" s="47" t="str">
        <f aca="false">IF(ISNUMBER($AB47),IF(Header!$D$34="","?",$AB47*Header!$D$34),"")</f>
        <v/>
      </c>
      <c r="AT47" s="50" t="str">
        <f aca="false">IF(AND(ISNUMBER($AB47),$M47&gt;0),$AB47/$M47*100,"")</f>
        <v/>
      </c>
      <c r="AU47" s="50" t="str">
        <f aca="false">IF(AND(ISNUMBER($AD47),$M47&gt;0),$AD47/$M47*100,"")</f>
        <v/>
      </c>
      <c r="AV47" s="48" t="str">
        <f aca="false">IF(AND(ISNUMBER($AB47),ISNUMBER($AD47),ABS($AB47)&gt;0),$AD47/$AB47,"")</f>
        <v/>
      </c>
      <c r="AW47" s="47" t="str">
        <f aca="false">IF(ISNUMBER($AD47),MAX(0,(1-0.55-Header!$O$3)*Header!$Q$3*$AQ47),"")</f>
        <v/>
      </c>
      <c r="AX47" s="51" t="str">
        <f aca="false">IF($A47="","",IF(TRIM(IF($A47="","Missing certificate ref. ","") &amp; IF($C47="","Missing effective date. ","") &amp; IF($D47="","Missing binding status. ","") &amp; IF($E47="","Missing movement type. ","") &amp; IF($I47="","Missing make. ","") &amp; IF($L47="","Missing vehicle class. ","") &amp; IF($M47="","Missing agreed value. ","") &amp; IF($N47="","Missing policy type. ","") &amp; IF($Q47="","Missing garaging state. ","") &amp; IF($R47="","Missing garaging ZIP. ","") &amp; IF($S47="","Missing cat zone. ","") &amp; IF($V47="","Missing valuation basis. ","") &amp; IF($W47="","Missing PD deductible. ","") &amp; IF($X47="","Missing liability limit. ","") &amp; IF($AB47="","Missing technical premium. ","") &amp; IF($AF47="","Missing surplus lines tax %. ",""))="","PASS","FAIL: "&amp;TRIM(IF($A47="","Missing certificate ref. ","") &amp; IF($C47="","Missing effective date. ","") &amp; IF($D47="","Missing binding status. ","") &amp; IF($E47="","Missing movement type. ","") &amp; IF($I47="","Missing make. ","") &amp; IF($L47="","Missing vehicle class. ","") &amp; IF($M47="","Missing agreed value. ","") &amp; IF($N47="","Missing policy type. ","") &amp; IF($Q47="","Missing garaging state. ","") &amp; IF($R47="","Missing garaging ZIP. ","") &amp; IF($S47="","Missing cat zone. ","") &amp; IF($V47="","Missing valuation basis. ","") &amp; IF($W47="","Missing PD deductible. ","") &amp; IF($X47="","Missing liability limit. ","") &amp; IF($AB47="","Missing technical premium. ","") &amp; IF($AF47="","Missing surplus lines tax %. ",""))))</f>
        <v/>
      </c>
      <c r="AY47" s="52" t="str">
        <f aca="false">IF($M47="","",IF(ISNUMBER($M47),IF($M47&gt;=Header!$C$18,"YES — refer","No"),""))</f>
        <v/>
      </c>
      <c r="AZ47" s="52" t="str">
        <f aca="false">IF($AD47="","",IF(ISNUMBER($AD47),IF($AD47&lt;Header!$C$20,"BELOW MIN PREMIUM","OK"),""))</f>
        <v/>
      </c>
      <c r="BA47" s="40"/>
      <c r="BB47" s="40"/>
      <c r="BC47" s="38"/>
      <c r="BE47" s="53" t="str">
        <f aca="false">IF(OR($A47="",$L47="",$H47=""),"",IF(AND(LEFT($L47,2)="06",$H47&gt;1945),"FAIL - pre-war class, year "&amp;$H47,IF(AND(LEFT($L47,2)="07",OR($H47&lt;1946,$H47&gt;1972)),"FAIL - 1946-72 class, year "&amp;$H47,IF(AND(LEFT($L47,2)="08",OR($H47&lt;1973,$H47&gt;1999)),"FAIL - 1973-99 class, year "&amp;$H47,IF(AND(LEFT($L47,2)="09",OR($H47&lt;2000,$H47&gt;2010)),"FAIL - 2000-10 class, year "&amp;$H47,"OK")))))</f>
        <v/>
      </c>
      <c r="BF47" s="53" t="str">
        <f aca="false">IF($AD47="","",IF(ROUND($AO47+$AP47+$AQ47-$AD47,2)=0,"OK","FAIL - out by "&amp;TEXT($AO47+$AP47+$AQ47-$AD47,"$0.00")))</f>
        <v/>
      </c>
    </row>
    <row r="48" customFormat="false" ht="15" hidden="false" customHeight="true" outlineLevel="0" collapsed="false">
      <c r="A48" s="54"/>
      <c r="B48" s="54"/>
      <c r="C48" s="55"/>
      <c r="D48" s="56"/>
      <c r="E48" s="56"/>
      <c r="F48" s="54"/>
      <c r="G48" s="41" t="str">
        <f aca="false">IF($A48="","",IF($C48="","",YEAR($C48)))</f>
        <v/>
      </c>
      <c r="H48" s="57"/>
      <c r="I48" s="54"/>
      <c r="J48" s="54"/>
      <c r="K48" s="54"/>
      <c r="L48" s="56"/>
      <c r="M48" s="58"/>
      <c r="N48" s="56"/>
      <c r="O48" s="54"/>
      <c r="P48" s="54"/>
      <c r="Q48" s="54"/>
      <c r="R48" s="54"/>
      <c r="S48" s="56"/>
      <c r="T48" s="44" t="str">
        <f aca="false">IF($A48="","",IF($S48="","",IFERROR(INDEX(Lists!$N$5:$N$16,MATCH($S48,Lists!$M$5:$M$16,0)),"?")))</f>
        <v/>
      </c>
      <c r="U48" s="54"/>
      <c r="V48" s="56"/>
      <c r="W48" s="54"/>
      <c r="X48" s="56"/>
      <c r="Y48" s="54"/>
      <c r="Z48" s="54"/>
      <c r="AA48" s="56"/>
      <c r="AB48" s="58"/>
      <c r="AC48" s="59"/>
      <c r="AD48" s="46" t="str">
        <f aca="false">IF(ISNUMBER($AB48),$AB48*(1+N($AC48)),"")</f>
        <v/>
      </c>
      <c r="AE48" s="58"/>
      <c r="AF48" s="58"/>
      <c r="AG48" s="59"/>
      <c r="AH48" s="47" t="str">
        <f aca="false">IF(ISNUMBER($AD48),($AD48+$AE48+$AF48)*$AG48,"")</f>
        <v/>
      </c>
      <c r="AI48" s="58"/>
      <c r="AJ48" s="46" t="str">
        <f aca="false">IF(ISNUMBER($AD48),SUM($AD48:$AH48),"")</f>
        <v/>
      </c>
      <c r="AK48" s="48" t="str">
        <f aca="false">IF(AND(ISNUMBER($AB48),ISNUMBER($AD48)),IF($AB48&gt;0,$AD48/$AB48,""),"")</f>
        <v/>
      </c>
      <c r="AL48" s="56"/>
      <c r="AM48" s="49" t="str">
        <f aca="false">IF(ISNUMBER($AD48),Header!$I$3,"")</f>
        <v/>
      </c>
      <c r="AN48" s="47" t="str">
        <f aca="false">IF(ISNUMBER($AD48),$AO48+$AP48,"")</f>
        <v/>
      </c>
      <c r="AO48" s="47" t="str">
        <f aca="false">IF(ISNUMBER($AD48),ROUND($AD48*Header!$K$3,2),"")</f>
        <v/>
      </c>
      <c r="AP48" s="47" t="str">
        <f aca="false">IF(ISNUMBER($AD48),ROUND($AD48*Header!$M$3,2),"")</f>
        <v/>
      </c>
      <c r="AQ48" s="46" t="str">
        <f aca="false">IF(ISNUMBER($AD48),ROUND($AD48,2)-$AO48-$AP48,"")</f>
        <v/>
      </c>
      <c r="AR48" s="47" t="str">
        <f aca="false">IF(ISNUMBER($AD48),IF(Header!$D$34="","?",$AD48*Header!$D$34),"")</f>
        <v/>
      </c>
      <c r="AS48" s="47" t="str">
        <f aca="false">IF(ISNUMBER($AB48),IF(Header!$D$34="","?",$AB48*Header!$D$34),"")</f>
        <v/>
      </c>
      <c r="AT48" s="50" t="str">
        <f aca="false">IF(AND(ISNUMBER($AB48),$M48&gt;0),$AB48/$M48*100,"")</f>
        <v/>
      </c>
      <c r="AU48" s="50" t="str">
        <f aca="false">IF(AND(ISNUMBER($AD48),$M48&gt;0),$AD48/$M48*100,"")</f>
        <v/>
      </c>
      <c r="AV48" s="48" t="str">
        <f aca="false">IF(AND(ISNUMBER($AB48),ISNUMBER($AD48),ABS($AB48)&gt;0),$AD48/$AB48,"")</f>
        <v/>
      </c>
      <c r="AW48" s="47" t="str">
        <f aca="false">IF(ISNUMBER($AD48),MAX(0,(1-0.55-Header!$O$3)*Header!$Q$3*$AQ48),"")</f>
        <v/>
      </c>
      <c r="AX48" s="51" t="str">
        <f aca="false">IF($A48="","",IF(TRIM(IF($A48="","Missing certificate ref. ","") &amp; IF($C48="","Missing effective date. ","") &amp; IF($D48="","Missing binding status. ","") &amp; IF($E48="","Missing movement type. ","") &amp; IF($I48="","Missing make. ","") &amp; IF($L48="","Missing vehicle class. ","") &amp; IF($M48="","Missing agreed value. ","") &amp; IF($N48="","Missing policy type. ","") &amp; IF($Q48="","Missing garaging state. ","") &amp; IF($R48="","Missing garaging ZIP. ","") &amp; IF($S48="","Missing cat zone. ","") &amp; IF($V48="","Missing valuation basis. ","") &amp; IF($W48="","Missing PD deductible. ","") &amp; IF($X48="","Missing liability limit. ","") &amp; IF($AB48="","Missing technical premium. ","") &amp; IF($AF48="","Missing surplus lines tax %. ",""))="","PASS","FAIL: "&amp;TRIM(IF($A48="","Missing certificate ref. ","") &amp; IF($C48="","Missing effective date. ","") &amp; IF($D48="","Missing binding status. ","") &amp; IF($E48="","Missing movement type. ","") &amp; IF($I48="","Missing make. ","") &amp; IF($L48="","Missing vehicle class. ","") &amp; IF($M48="","Missing agreed value. ","") &amp; IF($N48="","Missing policy type. ","") &amp; IF($Q48="","Missing garaging state. ","") &amp; IF($R48="","Missing garaging ZIP. ","") &amp; IF($S48="","Missing cat zone. ","") &amp; IF($V48="","Missing valuation basis. ","") &amp; IF($W48="","Missing PD deductible. ","") &amp; IF($X48="","Missing liability limit. ","") &amp; IF($AB48="","Missing technical premium. ","") &amp; IF($AF48="","Missing surplus lines tax %. ",""))))</f>
        <v/>
      </c>
      <c r="AY48" s="52" t="str">
        <f aca="false">IF($M48="","",IF(ISNUMBER($M48),IF($M48&gt;=Header!$C$18,"YES — refer","No"),""))</f>
        <v/>
      </c>
      <c r="AZ48" s="52" t="str">
        <f aca="false">IF($AD48="","",IF(ISNUMBER($AD48),IF($AD48&lt;Header!$C$20,"BELOW MIN PREMIUM","OK"),""))</f>
        <v/>
      </c>
      <c r="BA48" s="56"/>
      <c r="BB48" s="56"/>
      <c r="BC48" s="54"/>
      <c r="BE48" s="53" t="str">
        <f aca="false">IF(OR($A48="",$L48="",$H48=""),"",IF(AND(LEFT($L48,2)="06",$H48&gt;1945),"FAIL - pre-war class, year "&amp;$H48,IF(AND(LEFT($L48,2)="07",OR($H48&lt;1946,$H48&gt;1972)),"FAIL - 1946-72 class, year "&amp;$H48,IF(AND(LEFT($L48,2)="08",OR($H48&lt;1973,$H48&gt;1999)),"FAIL - 1973-99 class, year "&amp;$H48,IF(AND(LEFT($L48,2)="09",OR($H48&lt;2000,$H48&gt;2010)),"FAIL - 2000-10 class, year "&amp;$H48,"OK")))))</f>
        <v/>
      </c>
      <c r="BF48" s="53" t="str">
        <f aca="false">IF($AD48="","",IF(ROUND($AO48+$AP48+$AQ48-$AD48,2)=0,"OK","FAIL - out by "&amp;TEXT($AO48+$AP48+$AQ48-$AD48,"$0.00")))</f>
        <v/>
      </c>
    </row>
    <row r="49" customFormat="false" ht="15" hidden="false" customHeight="true" outlineLevel="0" collapsed="false">
      <c r="A49" s="38"/>
      <c r="B49" s="38"/>
      <c r="C49" s="39"/>
      <c r="D49" s="40"/>
      <c r="E49" s="40"/>
      <c r="F49" s="38"/>
      <c r="G49" s="41" t="str">
        <f aca="false">IF($A49="","",IF($C49="","",YEAR($C49)))</f>
        <v/>
      </c>
      <c r="H49" s="42"/>
      <c r="I49" s="38"/>
      <c r="J49" s="38"/>
      <c r="K49" s="38"/>
      <c r="L49" s="40"/>
      <c r="M49" s="43"/>
      <c r="N49" s="40"/>
      <c r="O49" s="38"/>
      <c r="P49" s="38"/>
      <c r="Q49" s="38"/>
      <c r="R49" s="38"/>
      <c r="S49" s="40"/>
      <c r="T49" s="44" t="str">
        <f aca="false">IF($A49="","",IF($S49="","",IFERROR(INDEX(Lists!$N$5:$N$16,MATCH($S49,Lists!$M$5:$M$16,0)),"?")))</f>
        <v/>
      </c>
      <c r="U49" s="38"/>
      <c r="V49" s="40"/>
      <c r="W49" s="38"/>
      <c r="X49" s="40"/>
      <c r="Y49" s="38"/>
      <c r="Z49" s="38"/>
      <c r="AA49" s="40"/>
      <c r="AB49" s="43"/>
      <c r="AC49" s="45"/>
      <c r="AD49" s="46" t="str">
        <f aca="false">IF(ISNUMBER($AB49),$AB49*(1+N($AC49)),"")</f>
        <v/>
      </c>
      <c r="AE49" s="43"/>
      <c r="AF49" s="43"/>
      <c r="AG49" s="45"/>
      <c r="AH49" s="47" t="str">
        <f aca="false">IF(ISNUMBER($AD49),($AD49+$AE49+$AF49)*$AG49,"")</f>
        <v/>
      </c>
      <c r="AI49" s="43"/>
      <c r="AJ49" s="46" t="str">
        <f aca="false">IF(ISNUMBER($AD49),SUM($AD49:$AH49),"")</f>
        <v/>
      </c>
      <c r="AK49" s="48" t="str">
        <f aca="false">IF(AND(ISNUMBER($AB49),ISNUMBER($AD49)),IF($AB49&gt;0,$AD49/$AB49,""),"")</f>
        <v/>
      </c>
      <c r="AL49" s="40"/>
      <c r="AM49" s="49" t="str">
        <f aca="false">IF(ISNUMBER($AD49),Header!$I$3,"")</f>
        <v/>
      </c>
      <c r="AN49" s="47" t="str">
        <f aca="false">IF(ISNUMBER($AD49),$AO49+$AP49,"")</f>
        <v/>
      </c>
      <c r="AO49" s="47" t="str">
        <f aca="false">IF(ISNUMBER($AD49),ROUND($AD49*Header!$K$3,2),"")</f>
        <v/>
      </c>
      <c r="AP49" s="47" t="str">
        <f aca="false">IF(ISNUMBER($AD49),ROUND($AD49*Header!$M$3,2),"")</f>
        <v/>
      </c>
      <c r="AQ49" s="46" t="str">
        <f aca="false">IF(ISNUMBER($AD49),ROUND($AD49,2)-$AO49-$AP49,"")</f>
        <v/>
      </c>
      <c r="AR49" s="47" t="str">
        <f aca="false">IF(ISNUMBER($AD49),IF(Header!$D$34="","?",$AD49*Header!$D$34),"")</f>
        <v/>
      </c>
      <c r="AS49" s="47" t="str">
        <f aca="false">IF(ISNUMBER($AB49),IF(Header!$D$34="","?",$AB49*Header!$D$34),"")</f>
        <v/>
      </c>
      <c r="AT49" s="50" t="str">
        <f aca="false">IF(AND(ISNUMBER($AB49),$M49&gt;0),$AB49/$M49*100,"")</f>
        <v/>
      </c>
      <c r="AU49" s="50" t="str">
        <f aca="false">IF(AND(ISNUMBER($AD49),$M49&gt;0),$AD49/$M49*100,"")</f>
        <v/>
      </c>
      <c r="AV49" s="48" t="str">
        <f aca="false">IF(AND(ISNUMBER($AB49),ISNUMBER($AD49),ABS($AB49)&gt;0),$AD49/$AB49,"")</f>
        <v/>
      </c>
      <c r="AW49" s="47" t="str">
        <f aca="false">IF(ISNUMBER($AD49),MAX(0,(1-0.55-Header!$O$3)*Header!$Q$3*$AQ49),"")</f>
        <v/>
      </c>
      <c r="AX49" s="51" t="str">
        <f aca="false">IF($A49="","",IF(TRIM(IF($A49="","Missing certificate ref. ","") &amp; IF($C49="","Missing effective date. ","") &amp; IF($D49="","Missing binding status. ","") &amp; IF($E49="","Missing movement type. ","") &amp; IF($I49="","Missing make. ","") &amp; IF($L49="","Missing vehicle class. ","") &amp; IF($M49="","Missing agreed value. ","") &amp; IF($N49="","Missing policy type. ","") &amp; IF($Q49="","Missing garaging state. ","") &amp; IF($R49="","Missing garaging ZIP. ","") &amp; IF($S49="","Missing cat zone. ","") &amp; IF($V49="","Missing valuation basis. ","") &amp; IF($W49="","Missing PD deductible. ","") &amp; IF($X49="","Missing liability limit. ","") &amp; IF($AB49="","Missing technical premium. ","") &amp; IF($AF49="","Missing surplus lines tax %. ",""))="","PASS","FAIL: "&amp;TRIM(IF($A49="","Missing certificate ref. ","") &amp; IF($C49="","Missing effective date. ","") &amp; IF($D49="","Missing binding status. ","") &amp; IF($E49="","Missing movement type. ","") &amp; IF($I49="","Missing make. ","") &amp; IF($L49="","Missing vehicle class. ","") &amp; IF($M49="","Missing agreed value. ","") &amp; IF($N49="","Missing policy type. ","") &amp; IF($Q49="","Missing garaging state. ","") &amp; IF($R49="","Missing garaging ZIP. ","") &amp; IF($S49="","Missing cat zone. ","") &amp; IF($V49="","Missing valuation basis. ","") &amp; IF($W49="","Missing PD deductible. ","") &amp; IF($X49="","Missing liability limit. ","") &amp; IF($AB49="","Missing technical premium. ","") &amp; IF($AF49="","Missing surplus lines tax %. ",""))))</f>
        <v/>
      </c>
      <c r="AY49" s="52" t="str">
        <f aca="false">IF($M49="","",IF(ISNUMBER($M49),IF($M49&gt;=Header!$C$18,"YES — refer","No"),""))</f>
        <v/>
      </c>
      <c r="AZ49" s="52" t="str">
        <f aca="false">IF($AD49="","",IF(ISNUMBER($AD49),IF($AD49&lt;Header!$C$20,"BELOW MIN PREMIUM","OK"),""))</f>
        <v/>
      </c>
      <c r="BA49" s="40"/>
      <c r="BB49" s="40"/>
      <c r="BC49" s="38"/>
      <c r="BE49" s="53" t="str">
        <f aca="false">IF(OR($A49="",$L49="",$H49=""),"",IF(AND(LEFT($L49,2)="06",$H49&gt;1945),"FAIL - pre-war class, year "&amp;$H49,IF(AND(LEFT($L49,2)="07",OR($H49&lt;1946,$H49&gt;1972)),"FAIL - 1946-72 class, year "&amp;$H49,IF(AND(LEFT($L49,2)="08",OR($H49&lt;1973,$H49&gt;1999)),"FAIL - 1973-99 class, year "&amp;$H49,IF(AND(LEFT($L49,2)="09",OR($H49&lt;2000,$H49&gt;2010)),"FAIL - 2000-10 class, year "&amp;$H49,"OK")))))</f>
        <v/>
      </c>
      <c r="BF49" s="53" t="str">
        <f aca="false">IF($AD49="","",IF(ROUND($AO49+$AP49+$AQ49-$AD49,2)=0,"OK","FAIL - out by "&amp;TEXT($AO49+$AP49+$AQ49-$AD49,"$0.00")))</f>
        <v/>
      </c>
    </row>
    <row r="50" customFormat="false" ht="15" hidden="false" customHeight="true" outlineLevel="0" collapsed="false">
      <c r="A50" s="54"/>
      <c r="B50" s="54"/>
      <c r="C50" s="55"/>
      <c r="D50" s="56"/>
      <c r="E50" s="56"/>
      <c r="F50" s="54"/>
      <c r="G50" s="41" t="str">
        <f aca="false">IF($A50="","",IF($C50="","",YEAR($C50)))</f>
        <v/>
      </c>
      <c r="H50" s="57"/>
      <c r="I50" s="54"/>
      <c r="J50" s="54"/>
      <c r="K50" s="54"/>
      <c r="L50" s="56"/>
      <c r="M50" s="58"/>
      <c r="N50" s="56"/>
      <c r="O50" s="54"/>
      <c r="P50" s="54"/>
      <c r="Q50" s="54"/>
      <c r="R50" s="54"/>
      <c r="S50" s="56"/>
      <c r="T50" s="44" t="str">
        <f aca="false">IF($A50="","",IF($S50="","",IFERROR(INDEX(Lists!$N$5:$N$16,MATCH($S50,Lists!$M$5:$M$16,0)),"?")))</f>
        <v/>
      </c>
      <c r="U50" s="54"/>
      <c r="V50" s="56"/>
      <c r="W50" s="54"/>
      <c r="X50" s="56"/>
      <c r="Y50" s="54"/>
      <c r="Z50" s="54"/>
      <c r="AA50" s="56"/>
      <c r="AB50" s="58"/>
      <c r="AC50" s="59"/>
      <c r="AD50" s="46" t="str">
        <f aca="false">IF(ISNUMBER($AB50),$AB50*(1+N($AC50)),"")</f>
        <v/>
      </c>
      <c r="AE50" s="58"/>
      <c r="AF50" s="58"/>
      <c r="AG50" s="59"/>
      <c r="AH50" s="47" t="str">
        <f aca="false">IF(ISNUMBER($AD50),($AD50+$AE50+$AF50)*$AG50,"")</f>
        <v/>
      </c>
      <c r="AI50" s="58"/>
      <c r="AJ50" s="46" t="str">
        <f aca="false">IF(ISNUMBER($AD50),SUM($AD50:$AH50),"")</f>
        <v/>
      </c>
      <c r="AK50" s="48" t="str">
        <f aca="false">IF(AND(ISNUMBER($AB50),ISNUMBER($AD50)),IF($AB50&gt;0,$AD50/$AB50,""),"")</f>
        <v/>
      </c>
      <c r="AL50" s="56"/>
      <c r="AM50" s="49" t="str">
        <f aca="false">IF(ISNUMBER($AD50),Header!$I$3,"")</f>
        <v/>
      </c>
      <c r="AN50" s="47" t="str">
        <f aca="false">IF(ISNUMBER($AD50),$AO50+$AP50,"")</f>
        <v/>
      </c>
      <c r="AO50" s="47" t="str">
        <f aca="false">IF(ISNUMBER($AD50),ROUND($AD50*Header!$K$3,2),"")</f>
        <v/>
      </c>
      <c r="AP50" s="47" t="str">
        <f aca="false">IF(ISNUMBER($AD50),ROUND($AD50*Header!$M$3,2),"")</f>
        <v/>
      </c>
      <c r="AQ50" s="46" t="str">
        <f aca="false">IF(ISNUMBER($AD50),ROUND($AD50,2)-$AO50-$AP50,"")</f>
        <v/>
      </c>
      <c r="AR50" s="47" t="str">
        <f aca="false">IF(ISNUMBER($AD50),IF(Header!$D$34="","?",$AD50*Header!$D$34),"")</f>
        <v/>
      </c>
      <c r="AS50" s="47" t="str">
        <f aca="false">IF(ISNUMBER($AB50),IF(Header!$D$34="","?",$AB50*Header!$D$34),"")</f>
        <v/>
      </c>
      <c r="AT50" s="50" t="str">
        <f aca="false">IF(AND(ISNUMBER($AB50),$M50&gt;0),$AB50/$M50*100,"")</f>
        <v/>
      </c>
      <c r="AU50" s="50" t="str">
        <f aca="false">IF(AND(ISNUMBER($AD50),$M50&gt;0),$AD50/$M50*100,"")</f>
        <v/>
      </c>
      <c r="AV50" s="48" t="str">
        <f aca="false">IF(AND(ISNUMBER($AB50),ISNUMBER($AD50),ABS($AB50)&gt;0),$AD50/$AB50,"")</f>
        <v/>
      </c>
      <c r="AW50" s="47" t="str">
        <f aca="false">IF(ISNUMBER($AD50),MAX(0,(1-0.55-Header!$O$3)*Header!$Q$3*$AQ50),"")</f>
        <v/>
      </c>
      <c r="AX50" s="51" t="str">
        <f aca="false">IF($A50="","",IF(TRIM(IF($A50="","Missing certificate ref. ","") &amp; IF($C50="","Missing effective date. ","") &amp; IF($D50="","Missing binding status. ","") &amp; IF($E50="","Missing movement type. ","") &amp; IF($I50="","Missing make. ","") &amp; IF($L50="","Missing vehicle class. ","") &amp; IF($M50="","Missing agreed value. ","") &amp; IF($N50="","Missing policy type. ","") &amp; IF($Q50="","Missing garaging state. ","") &amp; IF($R50="","Missing garaging ZIP. ","") &amp; IF($S50="","Missing cat zone. ","") &amp; IF($V50="","Missing valuation basis. ","") &amp; IF($W50="","Missing PD deductible. ","") &amp; IF($X50="","Missing liability limit. ","") &amp; IF($AB50="","Missing technical premium. ","") &amp; IF($AF50="","Missing surplus lines tax %. ",""))="","PASS","FAIL: "&amp;TRIM(IF($A50="","Missing certificate ref. ","") &amp; IF($C50="","Missing effective date. ","") &amp; IF($D50="","Missing binding status. ","") &amp; IF($E50="","Missing movement type. ","") &amp; IF($I50="","Missing make. ","") &amp; IF($L50="","Missing vehicle class. ","") &amp; IF($M50="","Missing agreed value. ","") &amp; IF($N50="","Missing policy type. ","") &amp; IF($Q50="","Missing garaging state. ","") &amp; IF($R50="","Missing garaging ZIP. ","") &amp; IF($S50="","Missing cat zone. ","") &amp; IF($V50="","Missing valuation basis. ","") &amp; IF($W50="","Missing PD deductible. ","") &amp; IF($X50="","Missing liability limit. ","") &amp; IF($AB50="","Missing technical premium. ","") &amp; IF($AF50="","Missing surplus lines tax %. ",""))))</f>
        <v/>
      </c>
      <c r="AY50" s="52" t="str">
        <f aca="false">IF($M50="","",IF(ISNUMBER($M50),IF($M50&gt;=Header!$C$18,"YES — refer","No"),""))</f>
        <v/>
      </c>
      <c r="AZ50" s="52" t="str">
        <f aca="false">IF($AD50="","",IF(ISNUMBER($AD50),IF($AD50&lt;Header!$C$20,"BELOW MIN PREMIUM","OK"),""))</f>
        <v/>
      </c>
      <c r="BA50" s="56"/>
      <c r="BB50" s="56"/>
      <c r="BC50" s="54"/>
      <c r="BE50" s="53" t="str">
        <f aca="false">IF(OR($A50="",$L50="",$H50=""),"",IF(AND(LEFT($L50,2)="06",$H50&gt;1945),"FAIL - pre-war class, year "&amp;$H50,IF(AND(LEFT($L50,2)="07",OR($H50&lt;1946,$H50&gt;1972)),"FAIL - 1946-72 class, year "&amp;$H50,IF(AND(LEFT($L50,2)="08",OR($H50&lt;1973,$H50&gt;1999)),"FAIL - 1973-99 class, year "&amp;$H50,IF(AND(LEFT($L50,2)="09",OR($H50&lt;2000,$H50&gt;2010)),"FAIL - 2000-10 class, year "&amp;$H50,"OK")))))</f>
        <v/>
      </c>
      <c r="BF50" s="53" t="str">
        <f aca="false">IF($AD50="","",IF(ROUND($AO50+$AP50+$AQ50-$AD50,2)=0,"OK","FAIL - out by "&amp;TEXT($AO50+$AP50+$AQ50-$AD50,"$0.00")))</f>
        <v/>
      </c>
    </row>
    <row r="51" customFormat="false" ht="15" hidden="false" customHeight="true" outlineLevel="0" collapsed="false">
      <c r="A51" s="38"/>
      <c r="B51" s="38"/>
      <c r="C51" s="39"/>
      <c r="D51" s="40"/>
      <c r="E51" s="40"/>
      <c r="F51" s="38"/>
      <c r="G51" s="41" t="str">
        <f aca="false">IF($A51="","",IF($C51="","",YEAR($C51)))</f>
        <v/>
      </c>
      <c r="H51" s="42"/>
      <c r="I51" s="38"/>
      <c r="J51" s="38"/>
      <c r="K51" s="38"/>
      <c r="L51" s="40"/>
      <c r="M51" s="43"/>
      <c r="N51" s="40"/>
      <c r="O51" s="38"/>
      <c r="P51" s="38"/>
      <c r="Q51" s="38"/>
      <c r="R51" s="38"/>
      <c r="S51" s="40"/>
      <c r="T51" s="44" t="str">
        <f aca="false">IF($A51="","",IF($S51="","",IFERROR(INDEX(Lists!$N$5:$N$16,MATCH($S51,Lists!$M$5:$M$16,0)),"?")))</f>
        <v/>
      </c>
      <c r="U51" s="38"/>
      <c r="V51" s="40"/>
      <c r="W51" s="38"/>
      <c r="X51" s="40"/>
      <c r="Y51" s="38"/>
      <c r="Z51" s="38"/>
      <c r="AA51" s="40"/>
      <c r="AB51" s="43"/>
      <c r="AC51" s="45"/>
      <c r="AD51" s="46" t="str">
        <f aca="false">IF(ISNUMBER($AB51),$AB51*(1+N($AC51)),"")</f>
        <v/>
      </c>
      <c r="AE51" s="43"/>
      <c r="AF51" s="43"/>
      <c r="AG51" s="45"/>
      <c r="AH51" s="47" t="str">
        <f aca="false">IF(ISNUMBER($AD51),($AD51+$AE51+$AF51)*$AG51,"")</f>
        <v/>
      </c>
      <c r="AI51" s="43"/>
      <c r="AJ51" s="46" t="str">
        <f aca="false">IF(ISNUMBER($AD51),SUM($AD51:$AH51),"")</f>
        <v/>
      </c>
      <c r="AK51" s="48" t="str">
        <f aca="false">IF(AND(ISNUMBER($AB51),ISNUMBER($AD51)),IF($AB51&gt;0,$AD51/$AB51,""),"")</f>
        <v/>
      </c>
      <c r="AL51" s="40"/>
      <c r="AM51" s="49" t="str">
        <f aca="false">IF(ISNUMBER($AD51),Header!$I$3,"")</f>
        <v/>
      </c>
      <c r="AN51" s="47" t="str">
        <f aca="false">IF(ISNUMBER($AD51),$AO51+$AP51,"")</f>
        <v/>
      </c>
      <c r="AO51" s="47" t="str">
        <f aca="false">IF(ISNUMBER($AD51),ROUND($AD51*Header!$K$3,2),"")</f>
        <v/>
      </c>
      <c r="AP51" s="47" t="str">
        <f aca="false">IF(ISNUMBER($AD51),ROUND($AD51*Header!$M$3,2),"")</f>
        <v/>
      </c>
      <c r="AQ51" s="46" t="str">
        <f aca="false">IF(ISNUMBER($AD51),ROUND($AD51,2)-$AO51-$AP51,"")</f>
        <v/>
      </c>
      <c r="AR51" s="47" t="str">
        <f aca="false">IF(ISNUMBER($AD51),IF(Header!$D$34="","?",$AD51*Header!$D$34),"")</f>
        <v/>
      </c>
      <c r="AS51" s="47" t="str">
        <f aca="false">IF(ISNUMBER($AB51),IF(Header!$D$34="","?",$AB51*Header!$D$34),"")</f>
        <v/>
      </c>
      <c r="AT51" s="50" t="str">
        <f aca="false">IF(AND(ISNUMBER($AB51),$M51&gt;0),$AB51/$M51*100,"")</f>
        <v/>
      </c>
      <c r="AU51" s="50" t="str">
        <f aca="false">IF(AND(ISNUMBER($AD51),$M51&gt;0),$AD51/$M51*100,"")</f>
        <v/>
      </c>
      <c r="AV51" s="48" t="str">
        <f aca="false">IF(AND(ISNUMBER($AB51),ISNUMBER($AD51),ABS($AB51)&gt;0),$AD51/$AB51,"")</f>
        <v/>
      </c>
      <c r="AW51" s="47" t="str">
        <f aca="false">IF(ISNUMBER($AD51),MAX(0,(1-0.55-Header!$O$3)*Header!$Q$3*$AQ51),"")</f>
        <v/>
      </c>
      <c r="AX51" s="51" t="str">
        <f aca="false">IF($A51="","",IF(TRIM(IF($A51="","Missing certificate ref. ","") &amp; IF($C51="","Missing effective date. ","") &amp; IF($D51="","Missing binding status. ","") &amp; IF($E51="","Missing movement type. ","") &amp; IF($I51="","Missing make. ","") &amp; IF($L51="","Missing vehicle class. ","") &amp; IF($M51="","Missing agreed value. ","") &amp; IF($N51="","Missing policy type. ","") &amp; IF($Q51="","Missing garaging state. ","") &amp; IF($R51="","Missing garaging ZIP. ","") &amp; IF($S51="","Missing cat zone. ","") &amp; IF($V51="","Missing valuation basis. ","") &amp; IF($W51="","Missing PD deductible. ","") &amp; IF($X51="","Missing liability limit. ","") &amp; IF($AB51="","Missing technical premium. ","") &amp; IF($AF51="","Missing surplus lines tax %. ",""))="","PASS","FAIL: "&amp;TRIM(IF($A51="","Missing certificate ref. ","") &amp; IF($C51="","Missing effective date. ","") &amp; IF($D51="","Missing binding status. ","") &amp; IF($E51="","Missing movement type. ","") &amp; IF($I51="","Missing make. ","") &amp; IF($L51="","Missing vehicle class. ","") &amp; IF($M51="","Missing agreed value. ","") &amp; IF($N51="","Missing policy type. ","") &amp; IF($Q51="","Missing garaging state. ","") &amp; IF($R51="","Missing garaging ZIP. ","") &amp; IF($S51="","Missing cat zone. ","") &amp; IF($V51="","Missing valuation basis. ","") &amp; IF($W51="","Missing PD deductible. ","") &amp; IF($X51="","Missing liability limit. ","") &amp; IF($AB51="","Missing technical premium. ","") &amp; IF($AF51="","Missing surplus lines tax %. ",""))))</f>
        <v/>
      </c>
      <c r="AY51" s="52" t="str">
        <f aca="false">IF($M51="","",IF(ISNUMBER($M51),IF($M51&gt;=Header!$C$18,"YES — refer","No"),""))</f>
        <v/>
      </c>
      <c r="AZ51" s="52" t="str">
        <f aca="false">IF($AD51="","",IF(ISNUMBER($AD51),IF($AD51&lt;Header!$C$20,"BELOW MIN PREMIUM","OK"),""))</f>
        <v/>
      </c>
      <c r="BA51" s="40"/>
      <c r="BB51" s="40"/>
      <c r="BC51" s="38"/>
      <c r="BE51" s="53" t="str">
        <f aca="false">IF(OR($A51="",$L51="",$H51=""),"",IF(AND(LEFT($L51,2)="06",$H51&gt;1945),"FAIL - pre-war class, year "&amp;$H51,IF(AND(LEFT($L51,2)="07",OR($H51&lt;1946,$H51&gt;1972)),"FAIL - 1946-72 class, year "&amp;$H51,IF(AND(LEFT($L51,2)="08",OR($H51&lt;1973,$H51&gt;1999)),"FAIL - 1973-99 class, year "&amp;$H51,IF(AND(LEFT($L51,2)="09",OR($H51&lt;2000,$H51&gt;2010)),"FAIL - 2000-10 class, year "&amp;$H51,"OK")))))</f>
        <v/>
      </c>
      <c r="BF51" s="53" t="str">
        <f aca="false">IF($AD51="","",IF(ROUND($AO51+$AP51+$AQ51-$AD51,2)=0,"OK","FAIL - out by "&amp;TEXT($AO51+$AP51+$AQ51-$AD51,"$0.00")))</f>
        <v/>
      </c>
    </row>
    <row r="52" customFormat="false" ht="15" hidden="false" customHeight="true" outlineLevel="0" collapsed="false">
      <c r="A52" s="54"/>
      <c r="B52" s="54"/>
      <c r="C52" s="55"/>
      <c r="D52" s="56"/>
      <c r="E52" s="56"/>
      <c r="F52" s="54"/>
      <c r="G52" s="41" t="str">
        <f aca="false">IF($A52="","",IF($C52="","",YEAR($C52)))</f>
        <v/>
      </c>
      <c r="H52" s="57"/>
      <c r="I52" s="54"/>
      <c r="J52" s="54"/>
      <c r="K52" s="54"/>
      <c r="L52" s="56"/>
      <c r="M52" s="58"/>
      <c r="N52" s="56"/>
      <c r="O52" s="54"/>
      <c r="P52" s="54"/>
      <c r="Q52" s="54"/>
      <c r="R52" s="54"/>
      <c r="S52" s="56"/>
      <c r="T52" s="44" t="str">
        <f aca="false">IF($A52="","",IF($S52="","",IFERROR(INDEX(Lists!$N$5:$N$16,MATCH($S52,Lists!$M$5:$M$16,0)),"?")))</f>
        <v/>
      </c>
      <c r="U52" s="54"/>
      <c r="V52" s="56"/>
      <c r="W52" s="54"/>
      <c r="X52" s="56"/>
      <c r="Y52" s="54"/>
      <c r="Z52" s="54"/>
      <c r="AA52" s="56"/>
      <c r="AB52" s="58"/>
      <c r="AC52" s="59"/>
      <c r="AD52" s="46" t="str">
        <f aca="false">IF(ISNUMBER($AB52),$AB52*(1+N($AC52)),"")</f>
        <v/>
      </c>
      <c r="AE52" s="58"/>
      <c r="AF52" s="58"/>
      <c r="AG52" s="59"/>
      <c r="AH52" s="47" t="str">
        <f aca="false">IF(ISNUMBER($AD52),($AD52+$AE52+$AF52)*$AG52,"")</f>
        <v/>
      </c>
      <c r="AI52" s="58"/>
      <c r="AJ52" s="46" t="str">
        <f aca="false">IF(ISNUMBER($AD52),SUM($AD52:$AH52),"")</f>
        <v/>
      </c>
      <c r="AK52" s="48" t="str">
        <f aca="false">IF(AND(ISNUMBER($AB52),ISNUMBER($AD52)),IF($AB52&gt;0,$AD52/$AB52,""),"")</f>
        <v/>
      </c>
      <c r="AL52" s="56"/>
      <c r="AM52" s="49" t="str">
        <f aca="false">IF(ISNUMBER($AD52),Header!$I$3,"")</f>
        <v/>
      </c>
      <c r="AN52" s="47" t="str">
        <f aca="false">IF(ISNUMBER($AD52),$AO52+$AP52,"")</f>
        <v/>
      </c>
      <c r="AO52" s="47" t="str">
        <f aca="false">IF(ISNUMBER($AD52),ROUND($AD52*Header!$K$3,2),"")</f>
        <v/>
      </c>
      <c r="AP52" s="47" t="str">
        <f aca="false">IF(ISNUMBER($AD52),ROUND($AD52*Header!$M$3,2),"")</f>
        <v/>
      </c>
      <c r="AQ52" s="46" t="str">
        <f aca="false">IF(ISNUMBER($AD52),ROUND($AD52,2)-$AO52-$AP52,"")</f>
        <v/>
      </c>
      <c r="AR52" s="47" t="str">
        <f aca="false">IF(ISNUMBER($AD52),IF(Header!$D$34="","?",$AD52*Header!$D$34),"")</f>
        <v/>
      </c>
      <c r="AS52" s="47" t="str">
        <f aca="false">IF(ISNUMBER($AB52),IF(Header!$D$34="","?",$AB52*Header!$D$34),"")</f>
        <v/>
      </c>
      <c r="AT52" s="50" t="str">
        <f aca="false">IF(AND(ISNUMBER($AB52),$M52&gt;0),$AB52/$M52*100,"")</f>
        <v/>
      </c>
      <c r="AU52" s="50" t="str">
        <f aca="false">IF(AND(ISNUMBER($AD52),$M52&gt;0),$AD52/$M52*100,"")</f>
        <v/>
      </c>
      <c r="AV52" s="48" t="str">
        <f aca="false">IF(AND(ISNUMBER($AB52),ISNUMBER($AD52),ABS($AB52)&gt;0),$AD52/$AB52,"")</f>
        <v/>
      </c>
      <c r="AW52" s="47" t="str">
        <f aca="false">IF(ISNUMBER($AD52),MAX(0,(1-0.55-Header!$O$3)*Header!$Q$3*$AQ52),"")</f>
        <v/>
      </c>
      <c r="AX52" s="51" t="str">
        <f aca="false">IF($A52="","",IF(TRIM(IF($A52="","Missing certificate ref. ","") &amp; IF($C52="","Missing effective date. ","") &amp; IF($D52="","Missing binding status. ","") &amp; IF($E52="","Missing movement type. ","") &amp; IF($I52="","Missing make. ","") &amp; IF($L52="","Missing vehicle class. ","") &amp; IF($M52="","Missing agreed value. ","") &amp; IF($N52="","Missing policy type. ","") &amp; IF($Q52="","Missing garaging state. ","") &amp; IF($R52="","Missing garaging ZIP. ","") &amp; IF($S52="","Missing cat zone. ","") &amp; IF($V52="","Missing valuation basis. ","") &amp; IF($W52="","Missing PD deductible. ","") &amp; IF($X52="","Missing liability limit. ","") &amp; IF($AB52="","Missing technical premium. ","") &amp; IF($AF52="","Missing surplus lines tax %. ",""))="","PASS","FAIL: "&amp;TRIM(IF($A52="","Missing certificate ref. ","") &amp; IF($C52="","Missing effective date. ","") &amp; IF($D52="","Missing binding status. ","") &amp; IF($E52="","Missing movement type. ","") &amp; IF($I52="","Missing make. ","") &amp; IF($L52="","Missing vehicle class. ","") &amp; IF($M52="","Missing agreed value. ","") &amp; IF($N52="","Missing policy type. ","") &amp; IF($Q52="","Missing garaging state. ","") &amp; IF($R52="","Missing garaging ZIP. ","") &amp; IF($S52="","Missing cat zone. ","") &amp; IF($V52="","Missing valuation basis. ","") &amp; IF($W52="","Missing PD deductible. ","") &amp; IF($X52="","Missing liability limit. ","") &amp; IF($AB52="","Missing technical premium. ","") &amp; IF($AF52="","Missing surplus lines tax %. ",""))))</f>
        <v/>
      </c>
      <c r="AY52" s="52" t="str">
        <f aca="false">IF($M52="","",IF(ISNUMBER($M52),IF($M52&gt;=Header!$C$18,"YES — refer","No"),""))</f>
        <v/>
      </c>
      <c r="AZ52" s="52" t="str">
        <f aca="false">IF($AD52="","",IF(ISNUMBER($AD52),IF($AD52&lt;Header!$C$20,"BELOW MIN PREMIUM","OK"),""))</f>
        <v/>
      </c>
      <c r="BA52" s="56"/>
      <c r="BB52" s="56"/>
      <c r="BC52" s="54"/>
      <c r="BE52" s="53" t="str">
        <f aca="false">IF(OR($A52="",$L52="",$H52=""),"",IF(AND(LEFT($L52,2)="06",$H52&gt;1945),"FAIL - pre-war class, year "&amp;$H52,IF(AND(LEFT($L52,2)="07",OR($H52&lt;1946,$H52&gt;1972)),"FAIL - 1946-72 class, year "&amp;$H52,IF(AND(LEFT($L52,2)="08",OR($H52&lt;1973,$H52&gt;1999)),"FAIL - 1973-99 class, year "&amp;$H52,IF(AND(LEFT($L52,2)="09",OR($H52&lt;2000,$H52&gt;2010)),"FAIL - 2000-10 class, year "&amp;$H52,"OK")))))</f>
        <v/>
      </c>
      <c r="BF52" s="53" t="str">
        <f aca="false">IF($AD52="","",IF(ROUND($AO52+$AP52+$AQ52-$AD52,2)=0,"OK","FAIL - out by "&amp;TEXT($AO52+$AP52+$AQ52-$AD52,"$0.00")))</f>
        <v/>
      </c>
    </row>
    <row r="53" customFormat="false" ht="15" hidden="false" customHeight="true" outlineLevel="0" collapsed="false">
      <c r="A53" s="38"/>
      <c r="B53" s="38"/>
      <c r="C53" s="39"/>
      <c r="D53" s="40"/>
      <c r="E53" s="40"/>
      <c r="F53" s="38"/>
      <c r="G53" s="41" t="str">
        <f aca="false">IF($A53="","",IF($C53="","",YEAR($C53)))</f>
        <v/>
      </c>
      <c r="H53" s="42"/>
      <c r="I53" s="38"/>
      <c r="J53" s="38"/>
      <c r="K53" s="38"/>
      <c r="L53" s="40"/>
      <c r="M53" s="43"/>
      <c r="N53" s="40"/>
      <c r="O53" s="38"/>
      <c r="P53" s="38"/>
      <c r="Q53" s="38"/>
      <c r="R53" s="38"/>
      <c r="S53" s="40"/>
      <c r="T53" s="44" t="str">
        <f aca="false">IF($A53="","",IF($S53="","",IFERROR(INDEX(Lists!$N$5:$N$16,MATCH($S53,Lists!$M$5:$M$16,0)),"?")))</f>
        <v/>
      </c>
      <c r="U53" s="38"/>
      <c r="V53" s="40"/>
      <c r="W53" s="38"/>
      <c r="X53" s="40"/>
      <c r="Y53" s="38"/>
      <c r="Z53" s="38"/>
      <c r="AA53" s="40"/>
      <c r="AB53" s="43"/>
      <c r="AC53" s="45"/>
      <c r="AD53" s="46" t="str">
        <f aca="false">IF(ISNUMBER($AB53),$AB53*(1+N($AC53)),"")</f>
        <v/>
      </c>
      <c r="AE53" s="43"/>
      <c r="AF53" s="43"/>
      <c r="AG53" s="45"/>
      <c r="AH53" s="47" t="str">
        <f aca="false">IF(ISNUMBER($AD53),($AD53+$AE53+$AF53)*$AG53,"")</f>
        <v/>
      </c>
      <c r="AI53" s="43"/>
      <c r="AJ53" s="46" t="str">
        <f aca="false">IF(ISNUMBER($AD53),SUM($AD53:$AH53),"")</f>
        <v/>
      </c>
      <c r="AK53" s="48" t="str">
        <f aca="false">IF(AND(ISNUMBER($AB53),ISNUMBER($AD53)),IF($AB53&gt;0,$AD53/$AB53,""),"")</f>
        <v/>
      </c>
      <c r="AL53" s="40"/>
      <c r="AM53" s="49" t="str">
        <f aca="false">IF(ISNUMBER($AD53),Header!$I$3,"")</f>
        <v/>
      </c>
      <c r="AN53" s="47" t="str">
        <f aca="false">IF(ISNUMBER($AD53),$AO53+$AP53,"")</f>
        <v/>
      </c>
      <c r="AO53" s="47" t="str">
        <f aca="false">IF(ISNUMBER($AD53),ROUND($AD53*Header!$K$3,2),"")</f>
        <v/>
      </c>
      <c r="AP53" s="47" t="str">
        <f aca="false">IF(ISNUMBER($AD53),ROUND($AD53*Header!$M$3,2),"")</f>
        <v/>
      </c>
      <c r="AQ53" s="46" t="str">
        <f aca="false">IF(ISNUMBER($AD53),ROUND($AD53,2)-$AO53-$AP53,"")</f>
        <v/>
      </c>
      <c r="AR53" s="47" t="str">
        <f aca="false">IF(ISNUMBER($AD53),IF(Header!$D$34="","?",$AD53*Header!$D$34),"")</f>
        <v/>
      </c>
      <c r="AS53" s="47" t="str">
        <f aca="false">IF(ISNUMBER($AB53),IF(Header!$D$34="","?",$AB53*Header!$D$34),"")</f>
        <v/>
      </c>
      <c r="AT53" s="50" t="str">
        <f aca="false">IF(AND(ISNUMBER($AB53),$M53&gt;0),$AB53/$M53*100,"")</f>
        <v/>
      </c>
      <c r="AU53" s="50" t="str">
        <f aca="false">IF(AND(ISNUMBER($AD53),$M53&gt;0),$AD53/$M53*100,"")</f>
        <v/>
      </c>
      <c r="AV53" s="48" t="str">
        <f aca="false">IF(AND(ISNUMBER($AB53),ISNUMBER($AD53),ABS($AB53)&gt;0),$AD53/$AB53,"")</f>
        <v/>
      </c>
      <c r="AW53" s="47" t="str">
        <f aca="false">IF(ISNUMBER($AD53),MAX(0,(1-0.55-Header!$O$3)*Header!$Q$3*$AQ53),"")</f>
        <v/>
      </c>
      <c r="AX53" s="51" t="str">
        <f aca="false">IF($A53="","",IF(TRIM(IF($A53="","Missing certificate ref. ","") &amp; IF($C53="","Missing effective date. ","") &amp; IF($D53="","Missing binding status. ","") &amp; IF($E53="","Missing movement type. ","") &amp; IF($I53="","Missing make. ","") &amp; IF($L53="","Missing vehicle class. ","") &amp; IF($M53="","Missing agreed value. ","") &amp; IF($N53="","Missing policy type. ","") &amp; IF($Q53="","Missing garaging state. ","") &amp; IF($R53="","Missing garaging ZIP. ","") &amp; IF($S53="","Missing cat zone. ","") &amp; IF($V53="","Missing valuation basis. ","") &amp; IF($W53="","Missing PD deductible. ","") &amp; IF($X53="","Missing liability limit. ","") &amp; IF($AB53="","Missing technical premium. ","") &amp; IF($AF53="","Missing surplus lines tax %. ",""))="","PASS","FAIL: "&amp;TRIM(IF($A53="","Missing certificate ref. ","") &amp; IF($C53="","Missing effective date. ","") &amp; IF($D53="","Missing binding status. ","") &amp; IF($E53="","Missing movement type. ","") &amp; IF($I53="","Missing make. ","") &amp; IF($L53="","Missing vehicle class. ","") &amp; IF($M53="","Missing agreed value. ","") &amp; IF($N53="","Missing policy type. ","") &amp; IF($Q53="","Missing garaging state. ","") &amp; IF($R53="","Missing garaging ZIP. ","") &amp; IF($S53="","Missing cat zone. ","") &amp; IF($V53="","Missing valuation basis. ","") &amp; IF($W53="","Missing PD deductible. ","") &amp; IF($X53="","Missing liability limit. ","") &amp; IF($AB53="","Missing technical premium. ","") &amp; IF($AF53="","Missing surplus lines tax %. ",""))))</f>
        <v/>
      </c>
      <c r="AY53" s="52" t="str">
        <f aca="false">IF($M53="","",IF(ISNUMBER($M53),IF($M53&gt;=Header!$C$18,"YES — refer","No"),""))</f>
        <v/>
      </c>
      <c r="AZ53" s="52" t="str">
        <f aca="false">IF($AD53="","",IF(ISNUMBER($AD53),IF($AD53&lt;Header!$C$20,"BELOW MIN PREMIUM","OK"),""))</f>
        <v/>
      </c>
      <c r="BA53" s="40"/>
      <c r="BB53" s="40"/>
      <c r="BC53" s="38"/>
      <c r="BE53" s="53" t="str">
        <f aca="false">IF(OR($A53="",$L53="",$H53=""),"",IF(AND(LEFT($L53,2)="06",$H53&gt;1945),"FAIL - pre-war class, year "&amp;$H53,IF(AND(LEFT($L53,2)="07",OR($H53&lt;1946,$H53&gt;1972)),"FAIL - 1946-72 class, year "&amp;$H53,IF(AND(LEFT($L53,2)="08",OR($H53&lt;1973,$H53&gt;1999)),"FAIL - 1973-99 class, year "&amp;$H53,IF(AND(LEFT($L53,2)="09",OR($H53&lt;2000,$H53&gt;2010)),"FAIL - 2000-10 class, year "&amp;$H53,"OK")))))</f>
        <v/>
      </c>
      <c r="BF53" s="53" t="str">
        <f aca="false">IF($AD53="","",IF(ROUND($AO53+$AP53+$AQ53-$AD53,2)=0,"OK","FAIL - out by "&amp;TEXT($AO53+$AP53+$AQ53-$AD53,"$0.00")))</f>
        <v/>
      </c>
    </row>
    <row r="54" customFormat="false" ht="15" hidden="false" customHeight="true" outlineLevel="0" collapsed="false">
      <c r="A54" s="54"/>
      <c r="B54" s="54"/>
      <c r="C54" s="55"/>
      <c r="D54" s="56"/>
      <c r="E54" s="56"/>
      <c r="F54" s="54"/>
      <c r="G54" s="41" t="str">
        <f aca="false">IF($A54="","",IF($C54="","",YEAR($C54)))</f>
        <v/>
      </c>
      <c r="H54" s="57"/>
      <c r="I54" s="54"/>
      <c r="J54" s="54"/>
      <c r="K54" s="54"/>
      <c r="L54" s="56"/>
      <c r="M54" s="58"/>
      <c r="N54" s="56"/>
      <c r="O54" s="54"/>
      <c r="P54" s="54"/>
      <c r="Q54" s="54"/>
      <c r="R54" s="54"/>
      <c r="S54" s="56"/>
      <c r="T54" s="44" t="str">
        <f aca="false">IF($A54="","",IF($S54="","",IFERROR(INDEX(Lists!$N$5:$N$16,MATCH($S54,Lists!$M$5:$M$16,0)),"?")))</f>
        <v/>
      </c>
      <c r="U54" s="54"/>
      <c r="V54" s="56"/>
      <c r="W54" s="54"/>
      <c r="X54" s="56"/>
      <c r="Y54" s="54"/>
      <c r="Z54" s="54"/>
      <c r="AA54" s="56"/>
      <c r="AB54" s="58"/>
      <c r="AC54" s="59"/>
      <c r="AD54" s="46" t="str">
        <f aca="false">IF(ISNUMBER($AB54),$AB54*(1+N($AC54)),"")</f>
        <v/>
      </c>
      <c r="AE54" s="58"/>
      <c r="AF54" s="58"/>
      <c r="AG54" s="59"/>
      <c r="AH54" s="47" t="str">
        <f aca="false">IF(ISNUMBER($AD54),($AD54+$AE54+$AF54)*$AG54,"")</f>
        <v/>
      </c>
      <c r="AI54" s="58"/>
      <c r="AJ54" s="46" t="str">
        <f aca="false">IF(ISNUMBER($AD54),SUM($AD54:$AH54),"")</f>
        <v/>
      </c>
      <c r="AK54" s="48" t="str">
        <f aca="false">IF(AND(ISNUMBER($AB54),ISNUMBER($AD54)),IF($AB54&gt;0,$AD54/$AB54,""),"")</f>
        <v/>
      </c>
      <c r="AL54" s="56"/>
      <c r="AM54" s="49" t="str">
        <f aca="false">IF(ISNUMBER($AD54),Header!$I$3,"")</f>
        <v/>
      </c>
      <c r="AN54" s="47" t="str">
        <f aca="false">IF(ISNUMBER($AD54),$AO54+$AP54,"")</f>
        <v/>
      </c>
      <c r="AO54" s="47" t="str">
        <f aca="false">IF(ISNUMBER($AD54),ROUND($AD54*Header!$K$3,2),"")</f>
        <v/>
      </c>
      <c r="AP54" s="47" t="str">
        <f aca="false">IF(ISNUMBER($AD54),ROUND($AD54*Header!$M$3,2),"")</f>
        <v/>
      </c>
      <c r="AQ54" s="46" t="str">
        <f aca="false">IF(ISNUMBER($AD54),ROUND($AD54,2)-$AO54-$AP54,"")</f>
        <v/>
      </c>
      <c r="AR54" s="47" t="str">
        <f aca="false">IF(ISNUMBER($AD54),IF(Header!$D$34="","?",$AD54*Header!$D$34),"")</f>
        <v/>
      </c>
      <c r="AS54" s="47" t="str">
        <f aca="false">IF(ISNUMBER($AB54),IF(Header!$D$34="","?",$AB54*Header!$D$34),"")</f>
        <v/>
      </c>
      <c r="AT54" s="50" t="str">
        <f aca="false">IF(AND(ISNUMBER($AB54),$M54&gt;0),$AB54/$M54*100,"")</f>
        <v/>
      </c>
      <c r="AU54" s="50" t="str">
        <f aca="false">IF(AND(ISNUMBER($AD54),$M54&gt;0),$AD54/$M54*100,"")</f>
        <v/>
      </c>
      <c r="AV54" s="48" t="str">
        <f aca="false">IF(AND(ISNUMBER($AB54),ISNUMBER($AD54),ABS($AB54)&gt;0),$AD54/$AB54,"")</f>
        <v/>
      </c>
      <c r="AW54" s="47" t="str">
        <f aca="false">IF(ISNUMBER($AD54),MAX(0,(1-0.55-Header!$O$3)*Header!$Q$3*$AQ54),"")</f>
        <v/>
      </c>
      <c r="AX54" s="51" t="str">
        <f aca="false">IF($A54="","",IF(TRIM(IF($A54="","Missing certificate ref. ","") &amp; IF($C54="","Missing effective date. ","") &amp; IF($D54="","Missing binding status. ","") &amp; IF($E54="","Missing movement type. ","") &amp; IF($I54="","Missing make. ","") &amp; IF($L54="","Missing vehicle class. ","") &amp; IF($M54="","Missing agreed value. ","") &amp; IF($N54="","Missing policy type. ","") &amp; IF($Q54="","Missing garaging state. ","") &amp; IF($R54="","Missing garaging ZIP. ","") &amp; IF($S54="","Missing cat zone. ","") &amp; IF($V54="","Missing valuation basis. ","") &amp; IF($W54="","Missing PD deductible. ","") &amp; IF($X54="","Missing liability limit. ","") &amp; IF($AB54="","Missing technical premium. ","") &amp; IF($AF54="","Missing surplus lines tax %. ",""))="","PASS","FAIL: "&amp;TRIM(IF($A54="","Missing certificate ref. ","") &amp; IF($C54="","Missing effective date. ","") &amp; IF($D54="","Missing binding status. ","") &amp; IF($E54="","Missing movement type. ","") &amp; IF($I54="","Missing make. ","") &amp; IF($L54="","Missing vehicle class. ","") &amp; IF($M54="","Missing agreed value. ","") &amp; IF($N54="","Missing policy type. ","") &amp; IF($Q54="","Missing garaging state. ","") &amp; IF($R54="","Missing garaging ZIP. ","") &amp; IF($S54="","Missing cat zone. ","") &amp; IF($V54="","Missing valuation basis. ","") &amp; IF($W54="","Missing PD deductible. ","") &amp; IF($X54="","Missing liability limit. ","") &amp; IF($AB54="","Missing technical premium. ","") &amp; IF($AF54="","Missing surplus lines tax %. ",""))))</f>
        <v/>
      </c>
      <c r="AY54" s="52" t="str">
        <f aca="false">IF($M54="","",IF(ISNUMBER($M54),IF($M54&gt;=Header!$C$18,"YES — refer","No"),""))</f>
        <v/>
      </c>
      <c r="AZ54" s="52" t="str">
        <f aca="false">IF($AD54="","",IF(ISNUMBER($AD54),IF($AD54&lt;Header!$C$20,"BELOW MIN PREMIUM","OK"),""))</f>
        <v/>
      </c>
      <c r="BA54" s="56"/>
      <c r="BB54" s="56"/>
      <c r="BC54" s="54"/>
      <c r="BE54" s="53" t="str">
        <f aca="false">IF(OR($A54="",$L54="",$H54=""),"",IF(AND(LEFT($L54,2)="06",$H54&gt;1945),"FAIL - pre-war class, year "&amp;$H54,IF(AND(LEFT($L54,2)="07",OR($H54&lt;1946,$H54&gt;1972)),"FAIL - 1946-72 class, year "&amp;$H54,IF(AND(LEFT($L54,2)="08",OR($H54&lt;1973,$H54&gt;1999)),"FAIL - 1973-99 class, year "&amp;$H54,IF(AND(LEFT($L54,2)="09",OR($H54&lt;2000,$H54&gt;2010)),"FAIL - 2000-10 class, year "&amp;$H54,"OK")))))</f>
        <v/>
      </c>
      <c r="BF54" s="53" t="str">
        <f aca="false">IF($AD54="","",IF(ROUND($AO54+$AP54+$AQ54-$AD54,2)=0,"OK","FAIL - out by "&amp;TEXT($AO54+$AP54+$AQ54-$AD54,"$0.00")))</f>
        <v/>
      </c>
    </row>
    <row r="55" customFormat="false" ht="15" hidden="false" customHeight="true" outlineLevel="0" collapsed="false">
      <c r="A55" s="38"/>
      <c r="B55" s="38"/>
      <c r="C55" s="39"/>
      <c r="D55" s="40"/>
      <c r="E55" s="40"/>
      <c r="F55" s="38"/>
      <c r="G55" s="41" t="str">
        <f aca="false">IF($A55="","",IF($C55="","",YEAR($C55)))</f>
        <v/>
      </c>
      <c r="H55" s="42"/>
      <c r="I55" s="38"/>
      <c r="J55" s="38"/>
      <c r="K55" s="38"/>
      <c r="L55" s="40"/>
      <c r="M55" s="43"/>
      <c r="N55" s="40"/>
      <c r="O55" s="38"/>
      <c r="P55" s="38"/>
      <c r="Q55" s="38"/>
      <c r="R55" s="38"/>
      <c r="S55" s="40"/>
      <c r="T55" s="44" t="str">
        <f aca="false">IF($A55="","",IF($S55="","",IFERROR(INDEX(Lists!$N$5:$N$16,MATCH($S55,Lists!$M$5:$M$16,0)),"?")))</f>
        <v/>
      </c>
      <c r="U55" s="38"/>
      <c r="V55" s="40"/>
      <c r="W55" s="38"/>
      <c r="X55" s="40"/>
      <c r="Y55" s="38"/>
      <c r="Z55" s="38"/>
      <c r="AA55" s="40"/>
      <c r="AB55" s="43"/>
      <c r="AC55" s="45"/>
      <c r="AD55" s="46" t="str">
        <f aca="false">IF(ISNUMBER($AB55),$AB55*(1+N($AC55)),"")</f>
        <v/>
      </c>
      <c r="AE55" s="43"/>
      <c r="AF55" s="43"/>
      <c r="AG55" s="45"/>
      <c r="AH55" s="47" t="str">
        <f aca="false">IF(ISNUMBER($AD55),($AD55+$AE55+$AF55)*$AG55,"")</f>
        <v/>
      </c>
      <c r="AI55" s="43"/>
      <c r="AJ55" s="46" t="str">
        <f aca="false">IF(ISNUMBER($AD55),SUM($AD55:$AH55),"")</f>
        <v/>
      </c>
      <c r="AK55" s="48" t="str">
        <f aca="false">IF(AND(ISNUMBER($AB55),ISNUMBER($AD55)),IF($AB55&gt;0,$AD55/$AB55,""),"")</f>
        <v/>
      </c>
      <c r="AL55" s="40"/>
      <c r="AM55" s="49" t="str">
        <f aca="false">IF(ISNUMBER($AD55),Header!$I$3,"")</f>
        <v/>
      </c>
      <c r="AN55" s="47" t="str">
        <f aca="false">IF(ISNUMBER($AD55),$AO55+$AP55,"")</f>
        <v/>
      </c>
      <c r="AO55" s="47" t="str">
        <f aca="false">IF(ISNUMBER($AD55),ROUND($AD55*Header!$K$3,2),"")</f>
        <v/>
      </c>
      <c r="AP55" s="47" t="str">
        <f aca="false">IF(ISNUMBER($AD55),ROUND($AD55*Header!$M$3,2),"")</f>
        <v/>
      </c>
      <c r="AQ55" s="46" t="str">
        <f aca="false">IF(ISNUMBER($AD55),ROUND($AD55,2)-$AO55-$AP55,"")</f>
        <v/>
      </c>
      <c r="AR55" s="47" t="str">
        <f aca="false">IF(ISNUMBER($AD55),IF(Header!$D$34="","?",$AD55*Header!$D$34),"")</f>
        <v/>
      </c>
      <c r="AS55" s="47" t="str">
        <f aca="false">IF(ISNUMBER($AB55),IF(Header!$D$34="","?",$AB55*Header!$D$34),"")</f>
        <v/>
      </c>
      <c r="AT55" s="50" t="str">
        <f aca="false">IF(AND(ISNUMBER($AB55),$M55&gt;0),$AB55/$M55*100,"")</f>
        <v/>
      </c>
      <c r="AU55" s="50" t="str">
        <f aca="false">IF(AND(ISNUMBER($AD55),$M55&gt;0),$AD55/$M55*100,"")</f>
        <v/>
      </c>
      <c r="AV55" s="48" t="str">
        <f aca="false">IF(AND(ISNUMBER($AB55),ISNUMBER($AD55),ABS($AB55)&gt;0),$AD55/$AB55,"")</f>
        <v/>
      </c>
      <c r="AW55" s="47" t="str">
        <f aca="false">IF(ISNUMBER($AD55),MAX(0,(1-0.55-Header!$O$3)*Header!$Q$3*$AQ55),"")</f>
        <v/>
      </c>
      <c r="AX55" s="51" t="str">
        <f aca="false">IF($A55="","",IF(TRIM(IF($A55="","Missing certificate ref. ","") &amp; IF($C55="","Missing effective date. ","") &amp; IF($D55="","Missing binding status. ","") &amp; IF($E55="","Missing movement type. ","") &amp; IF($I55="","Missing make. ","") &amp; IF($L55="","Missing vehicle class. ","") &amp; IF($M55="","Missing agreed value. ","") &amp; IF($N55="","Missing policy type. ","") &amp; IF($Q55="","Missing garaging state. ","") &amp; IF($R55="","Missing garaging ZIP. ","") &amp; IF($S55="","Missing cat zone. ","") &amp; IF($V55="","Missing valuation basis. ","") &amp; IF($W55="","Missing PD deductible. ","") &amp; IF($X55="","Missing liability limit. ","") &amp; IF($AB55="","Missing technical premium. ","") &amp; IF($AF55="","Missing surplus lines tax %. ",""))="","PASS","FAIL: "&amp;TRIM(IF($A55="","Missing certificate ref. ","") &amp; IF($C55="","Missing effective date. ","") &amp; IF($D55="","Missing binding status. ","") &amp; IF($E55="","Missing movement type. ","") &amp; IF($I55="","Missing make. ","") &amp; IF($L55="","Missing vehicle class. ","") &amp; IF($M55="","Missing agreed value. ","") &amp; IF($N55="","Missing policy type. ","") &amp; IF($Q55="","Missing garaging state. ","") &amp; IF($R55="","Missing garaging ZIP. ","") &amp; IF($S55="","Missing cat zone. ","") &amp; IF($V55="","Missing valuation basis. ","") &amp; IF($W55="","Missing PD deductible. ","") &amp; IF($X55="","Missing liability limit. ","") &amp; IF($AB55="","Missing technical premium. ","") &amp; IF($AF55="","Missing surplus lines tax %. ",""))))</f>
        <v/>
      </c>
      <c r="AY55" s="52" t="str">
        <f aca="false">IF($M55="","",IF(ISNUMBER($M55),IF($M55&gt;=Header!$C$18,"YES — refer","No"),""))</f>
        <v/>
      </c>
      <c r="AZ55" s="52" t="str">
        <f aca="false">IF($AD55="","",IF(ISNUMBER($AD55),IF($AD55&lt;Header!$C$20,"BELOW MIN PREMIUM","OK"),""))</f>
        <v/>
      </c>
      <c r="BA55" s="40"/>
      <c r="BB55" s="40"/>
      <c r="BC55" s="38"/>
      <c r="BE55" s="53" t="str">
        <f aca="false">IF(OR($A55="",$L55="",$H55=""),"",IF(AND(LEFT($L55,2)="06",$H55&gt;1945),"FAIL - pre-war class, year "&amp;$H55,IF(AND(LEFT($L55,2)="07",OR($H55&lt;1946,$H55&gt;1972)),"FAIL - 1946-72 class, year "&amp;$H55,IF(AND(LEFT($L55,2)="08",OR($H55&lt;1973,$H55&gt;1999)),"FAIL - 1973-99 class, year "&amp;$H55,IF(AND(LEFT($L55,2)="09",OR($H55&lt;2000,$H55&gt;2010)),"FAIL - 2000-10 class, year "&amp;$H55,"OK")))))</f>
        <v/>
      </c>
      <c r="BF55" s="53" t="str">
        <f aca="false">IF($AD55="","",IF(ROUND($AO55+$AP55+$AQ55-$AD55,2)=0,"OK","FAIL - out by "&amp;TEXT($AO55+$AP55+$AQ55-$AD55,"$0.00")))</f>
        <v/>
      </c>
    </row>
    <row r="56" customFormat="false" ht="15" hidden="false" customHeight="true" outlineLevel="0" collapsed="false">
      <c r="A56" s="54"/>
      <c r="B56" s="54"/>
      <c r="C56" s="55"/>
      <c r="D56" s="56"/>
      <c r="E56" s="56"/>
      <c r="F56" s="54"/>
      <c r="G56" s="41" t="str">
        <f aca="false">IF($A56="","",IF($C56="","",YEAR($C56)))</f>
        <v/>
      </c>
      <c r="H56" s="57"/>
      <c r="I56" s="54"/>
      <c r="J56" s="54"/>
      <c r="K56" s="54"/>
      <c r="L56" s="56"/>
      <c r="M56" s="58"/>
      <c r="N56" s="56"/>
      <c r="O56" s="54"/>
      <c r="P56" s="54"/>
      <c r="Q56" s="54"/>
      <c r="R56" s="54"/>
      <c r="S56" s="56"/>
      <c r="T56" s="44" t="str">
        <f aca="false">IF($A56="","",IF($S56="","",IFERROR(INDEX(Lists!$N$5:$N$16,MATCH($S56,Lists!$M$5:$M$16,0)),"?")))</f>
        <v/>
      </c>
      <c r="U56" s="54"/>
      <c r="V56" s="56"/>
      <c r="W56" s="54"/>
      <c r="X56" s="56"/>
      <c r="Y56" s="54"/>
      <c r="Z56" s="54"/>
      <c r="AA56" s="56"/>
      <c r="AB56" s="58"/>
      <c r="AC56" s="59"/>
      <c r="AD56" s="46" t="str">
        <f aca="false">IF(ISNUMBER($AB56),$AB56*(1+N($AC56)),"")</f>
        <v/>
      </c>
      <c r="AE56" s="58"/>
      <c r="AF56" s="58"/>
      <c r="AG56" s="59"/>
      <c r="AH56" s="47" t="str">
        <f aca="false">IF(ISNUMBER($AD56),($AD56+$AE56+$AF56)*$AG56,"")</f>
        <v/>
      </c>
      <c r="AI56" s="58"/>
      <c r="AJ56" s="46" t="str">
        <f aca="false">IF(ISNUMBER($AD56),SUM($AD56:$AH56),"")</f>
        <v/>
      </c>
      <c r="AK56" s="48" t="str">
        <f aca="false">IF(AND(ISNUMBER($AB56),ISNUMBER($AD56)),IF($AB56&gt;0,$AD56/$AB56,""),"")</f>
        <v/>
      </c>
      <c r="AL56" s="56"/>
      <c r="AM56" s="49" t="str">
        <f aca="false">IF(ISNUMBER($AD56),Header!$I$3,"")</f>
        <v/>
      </c>
      <c r="AN56" s="47" t="str">
        <f aca="false">IF(ISNUMBER($AD56),$AO56+$AP56,"")</f>
        <v/>
      </c>
      <c r="AO56" s="47" t="str">
        <f aca="false">IF(ISNUMBER($AD56),ROUND($AD56*Header!$K$3,2),"")</f>
        <v/>
      </c>
      <c r="AP56" s="47" t="str">
        <f aca="false">IF(ISNUMBER($AD56),ROUND($AD56*Header!$M$3,2),"")</f>
        <v/>
      </c>
      <c r="AQ56" s="46" t="str">
        <f aca="false">IF(ISNUMBER($AD56),ROUND($AD56,2)-$AO56-$AP56,"")</f>
        <v/>
      </c>
      <c r="AR56" s="47" t="str">
        <f aca="false">IF(ISNUMBER($AD56),IF(Header!$D$34="","?",$AD56*Header!$D$34),"")</f>
        <v/>
      </c>
      <c r="AS56" s="47" t="str">
        <f aca="false">IF(ISNUMBER($AB56),IF(Header!$D$34="","?",$AB56*Header!$D$34),"")</f>
        <v/>
      </c>
      <c r="AT56" s="50" t="str">
        <f aca="false">IF(AND(ISNUMBER($AB56),$M56&gt;0),$AB56/$M56*100,"")</f>
        <v/>
      </c>
      <c r="AU56" s="50" t="str">
        <f aca="false">IF(AND(ISNUMBER($AD56),$M56&gt;0),$AD56/$M56*100,"")</f>
        <v/>
      </c>
      <c r="AV56" s="48" t="str">
        <f aca="false">IF(AND(ISNUMBER($AB56),ISNUMBER($AD56),ABS($AB56)&gt;0),$AD56/$AB56,"")</f>
        <v/>
      </c>
      <c r="AW56" s="47" t="str">
        <f aca="false">IF(ISNUMBER($AD56),MAX(0,(1-0.55-Header!$O$3)*Header!$Q$3*$AQ56),"")</f>
        <v/>
      </c>
      <c r="AX56" s="51" t="str">
        <f aca="false">IF($A56="","",IF(TRIM(IF($A56="","Missing certificate ref. ","") &amp; IF($C56="","Missing effective date. ","") &amp; IF($D56="","Missing binding status. ","") &amp; IF($E56="","Missing movement type. ","") &amp; IF($I56="","Missing make. ","") &amp; IF($L56="","Missing vehicle class. ","") &amp; IF($M56="","Missing agreed value. ","") &amp; IF($N56="","Missing policy type. ","") &amp; IF($Q56="","Missing garaging state. ","") &amp; IF($R56="","Missing garaging ZIP. ","") &amp; IF($S56="","Missing cat zone. ","") &amp; IF($V56="","Missing valuation basis. ","") &amp; IF($W56="","Missing PD deductible. ","") &amp; IF($X56="","Missing liability limit. ","") &amp; IF($AB56="","Missing technical premium. ","") &amp; IF($AF56="","Missing surplus lines tax %. ",""))="","PASS","FAIL: "&amp;TRIM(IF($A56="","Missing certificate ref. ","") &amp; IF($C56="","Missing effective date. ","") &amp; IF($D56="","Missing binding status. ","") &amp; IF($E56="","Missing movement type. ","") &amp; IF($I56="","Missing make. ","") &amp; IF($L56="","Missing vehicle class. ","") &amp; IF($M56="","Missing agreed value. ","") &amp; IF($N56="","Missing policy type. ","") &amp; IF($Q56="","Missing garaging state. ","") &amp; IF($R56="","Missing garaging ZIP. ","") &amp; IF($S56="","Missing cat zone. ","") &amp; IF($V56="","Missing valuation basis. ","") &amp; IF($W56="","Missing PD deductible. ","") &amp; IF($X56="","Missing liability limit. ","") &amp; IF($AB56="","Missing technical premium. ","") &amp; IF($AF56="","Missing surplus lines tax %. ",""))))</f>
        <v/>
      </c>
      <c r="AY56" s="52" t="str">
        <f aca="false">IF($M56="","",IF(ISNUMBER($M56),IF($M56&gt;=Header!$C$18,"YES — refer","No"),""))</f>
        <v/>
      </c>
      <c r="AZ56" s="52" t="str">
        <f aca="false">IF($AD56="","",IF(ISNUMBER($AD56),IF($AD56&lt;Header!$C$20,"BELOW MIN PREMIUM","OK"),""))</f>
        <v/>
      </c>
      <c r="BA56" s="56"/>
      <c r="BB56" s="56"/>
      <c r="BC56" s="54"/>
      <c r="BE56" s="53" t="str">
        <f aca="false">IF(OR($A56="",$L56="",$H56=""),"",IF(AND(LEFT($L56,2)="06",$H56&gt;1945),"FAIL - pre-war class, year "&amp;$H56,IF(AND(LEFT($L56,2)="07",OR($H56&lt;1946,$H56&gt;1972)),"FAIL - 1946-72 class, year "&amp;$H56,IF(AND(LEFT($L56,2)="08",OR($H56&lt;1973,$H56&gt;1999)),"FAIL - 1973-99 class, year "&amp;$H56,IF(AND(LEFT($L56,2)="09",OR($H56&lt;2000,$H56&gt;2010)),"FAIL - 2000-10 class, year "&amp;$H56,"OK")))))</f>
        <v/>
      </c>
      <c r="BF56" s="53" t="str">
        <f aca="false">IF($AD56="","",IF(ROUND($AO56+$AP56+$AQ56-$AD56,2)=0,"OK","FAIL - out by "&amp;TEXT($AO56+$AP56+$AQ56-$AD56,"$0.00")))</f>
        <v/>
      </c>
    </row>
    <row r="57" customFormat="false" ht="15" hidden="false" customHeight="true" outlineLevel="0" collapsed="false">
      <c r="A57" s="38"/>
      <c r="B57" s="38"/>
      <c r="C57" s="39"/>
      <c r="D57" s="40"/>
      <c r="E57" s="40"/>
      <c r="F57" s="38"/>
      <c r="G57" s="41" t="str">
        <f aca="false">IF($A57="","",IF($C57="","",YEAR($C57)))</f>
        <v/>
      </c>
      <c r="H57" s="42"/>
      <c r="I57" s="38"/>
      <c r="J57" s="38"/>
      <c r="K57" s="38"/>
      <c r="L57" s="40"/>
      <c r="M57" s="43"/>
      <c r="N57" s="40"/>
      <c r="O57" s="38"/>
      <c r="P57" s="38"/>
      <c r="Q57" s="38"/>
      <c r="R57" s="38"/>
      <c r="S57" s="40"/>
      <c r="T57" s="44" t="str">
        <f aca="false">IF($A57="","",IF($S57="","",IFERROR(INDEX(Lists!$N$5:$N$16,MATCH($S57,Lists!$M$5:$M$16,0)),"?")))</f>
        <v/>
      </c>
      <c r="U57" s="38"/>
      <c r="V57" s="40"/>
      <c r="W57" s="38"/>
      <c r="X57" s="40"/>
      <c r="Y57" s="38"/>
      <c r="Z57" s="38"/>
      <c r="AA57" s="40"/>
      <c r="AB57" s="43"/>
      <c r="AC57" s="45"/>
      <c r="AD57" s="46" t="str">
        <f aca="false">IF(ISNUMBER($AB57),$AB57*(1+N($AC57)),"")</f>
        <v/>
      </c>
      <c r="AE57" s="43"/>
      <c r="AF57" s="43"/>
      <c r="AG57" s="45"/>
      <c r="AH57" s="47" t="str">
        <f aca="false">IF(ISNUMBER($AD57),($AD57+$AE57+$AF57)*$AG57,"")</f>
        <v/>
      </c>
      <c r="AI57" s="43"/>
      <c r="AJ57" s="46" t="str">
        <f aca="false">IF(ISNUMBER($AD57),SUM($AD57:$AH57),"")</f>
        <v/>
      </c>
      <c r="AK57" s="48" t="str">
        <f aca="false">IF(AND(ISNUMBER($AB57),ISNUMBER($AD57)),IF($AB57&gt;0,$AD57/$AB57,""),"")</f>
        <v/>
      </c>
      <c r="AL57" s="40"/>
      <c r="AM57" s="49" t="str">
        <f aca="false">IF(ISNUMBER($AD57),Header!$I$3,"")</f>
        <v/>
      </c>
      <c r="AN57" s="47" t="str">
        <f aca="false">IF(ISNUMBER($AD57),$AO57+$AP57,"")</f>
        <v/>
      </c>
      <c r="AO57" s="47" t="str">
        <f aca="false">IF(ISNUMBER($AD57),ROUND($AD57*Header!$K$3,2),"")</f>
        <v/>
      </c>
      <c r="AP57" s="47" t="str">
        <f aca="false">IF(ISNUMBER($AD57),ROUND($AD57*Header!$M$3,2),"")</f>
        <v/>
      </c>
      <c r="AQ57" s="46" t="str">
        <f aca="false">IF(ISNUMBER($AD57),ROUND($AD57,2)-$AO57-$AP57,"")</f>
        <v/>
      </c>
      <c r="AR57" s="47" t="str">
        <f aca="false">IF(ISNUMBER($AD57),IF(Header!$D$34="","?",$AD57*Header!$D$34),"")</f>
        <v/>
      </c>
      <c r="AS57" s="47" t="str">
        <f aca="false">IF(ISNUMBER($AB57),IF(Header!$D$34="","?",$AB57*Header!$D$34),"")</f>
        <v/>
      </c>
      <c r="AT57" s="50" t="str">
        <f aca="false">IF(AND(ISNUMBER($AB57),$M57&gt;0),$AB57/$M57*100,"")</f>
        <v/>
      </c>
      <c r="AU57" s="50" t="str">
        <f aca="false">IF(AND(ISNUMBER($AD57),$M57&gt;0),$AD57/$M57*100,"")</f>
        <v/>
      </c>
      <c r="AV57" s="48" t="str">
        <f aca="false">IF(AND(ISNUMBER($AB57),ISNUMBER($AD57),ABS($AB57)&gt;0),$AD57/$AB57,"")</f>
        <v/>
      </c>
      <c r="AW57" s="47" t="str">
        <f aca="false">IF(ISNUMBER($AD57),MAX(0,(1-0.55-Header!$O$3)*Header!$Q$3*$AQ57),"")</f>
        <v/>
      </c>
      <c r="AX57" s="51" t="str">
        <f aca="false">IF($A57="","",IF(TRIM(IF($A57="","Missing certificate ref. ","") &amp; IF($C57="","Missing effective date. ","") &amp; IF($D57="","Missing binding status. ","") &amp; IF($E57="","Missing movement type. ","") &amp; IF($I57="","Missing make. ","") &amp; IF($L57="","Missing vehicle class. ","") &amp; IF($M57="","Missing agreed value. ","") &amp; IF($N57="","Missing policy type. ","") &amp; IF($Q57="","Missing garaging state. ","") &amp; IF($R57="","Missing garaging ZIP. ","") &amp; IF($S57="","Missing cat zone. ","") &amp; IF($V57="","Missing valuation basis. ","") &amp; IF($W57="","Missing PD deductible. ","") &amp; IF($X57="","Missing liability limit. ","") &amp; IF($AB57="","Missing technical premium. ","") &amp; IF($AF57="","Missing surplus lines tax %. ",""))="","PASS","FAIL: "&amp;TRIM(IF($A57="","Missing certificate ref. ","") &amp; IF($C57="","Missing effective date. ","") &amp; IF($D57="","Missing binding status. ","") &amp; IF($E57="","Missing movement type. ","") &amp; IF($I57="","Missing make. ","") &amp; IF($L57="","Missing vehicle class. ","") &amp; IF($M57="","Missing agreed value. ","") &amp; IF($N57="","Missing policy type. ","") &amp; IF($Q57="","Missing garaging state. ","") &amp; IF($R57="","Missing garaging ZIP. ","") &amp; IF($S57="","Missing cat zone. ","") &amp; IF($V57="","Missing valuation basis. ","") &amp; IF($W57="","Missing PD deductible. ","") &amp; IF($X57="","Missing liability limit. ","") &amp; IF($AB57="","Missing technical premium. ","") &amp; IF($AF57="","Missing surplus lines tax %. ",""))))</f>
        <v/>
      </c>
      <c r="AY57" s="52" t="str">
        <f aca="false">IF($M57="","",IF(ISNUMBER($M57),IF($M57&gt;=Header!$C$18,"YES — refer","No"),""))</f>
        <v/>
      </c>
      <c r="AZ57" s="52" t="str">
        <f aca="false">IF($AD57="","",IF(ISNUMBER($AD57),IF($AD57&lt;Header!$C$20,"BELOW MIN PREMIUM","OK"),""))</f>
        <v/>
      </c>
      <c r="BA57" s="40"/>
      <c r="BB57" s="40"/>
      <c r="BC57" s="38"/>
      <c r="BE57" s="53" t="str">
        <f aca="false">IF(OR($A57="",$L57="",$H57=""),"",IF(AND(LEFT($L57,2)="06",$H57&gt;1945),"FAIL - pre-war class, year "&amp;$H57,IF(AND(LEFT($L57,2)="07",OR($H57&lt;1946,$H57&gt;1972)),"FAIL - 1946-72 class, year "&amp;$H57,IF(AND(LEFT($L57,2)="08",OR($H57&lt;1973,$H57&gt;1999)),"FAIL - 1973-99 class, year "&amp;$H57,IF(AND(LEFT($L57,2)="09",OR($H57&lt;2000,$H57&gt;2010)),"FAIL - 2000-10 class, year "&amp;$H57,"OK")))))</f>
        <v/>
      </c>
      <c r="BF57" s="53" t="str">
        <f aca="false">IF($AD57="","",IF(ROUND($AO57+$AP57+$AQ57-$AD57,2)=0,"OK","FAIL - out by "&amp;TEXT($AO57+$AP57+$AQ57-$AD57,"$0.00")))</f>
        <v/>
      </c>
    </row>
    <row r="58" customFormat="false" ht="15" hidden="false" customHeight="true" outlineLevel="0" collapsed="false">
      <c r="A58" s="54"/>
      <c r="B58" s="54"/>
      <c r="C58" s="55"/>
      <c r="D58" s="56"/>
      <c r="E58" s="56"/>
      <c r="F58" s="54"/>
      <c r="G58" s="41" t="str">
        <f aca="false">IF($A58="","",IF($C58="","",YEAR($C58)))</f>
        <v/>
      </c>
      <c r="H58" s="57"/>
      <c r="I58" s="54"/>
      <c r="J58" s="54"/>
      <c r="K58" s="54"/>
      <c r="L58" s="56"/>
      <c r="M58" s="58"/>
      <c r="N58" s="56"/>
      <c r="O58" s="54"/>
      <c r="P58" s="54"/>
      <c r="Q58" s="54"/>
      <c r="R58" s="54"/>
      <c r="S58" s="56"/>
      <c r="T58" s="44" t="str">
        <f aca="false">IF($A58="","",IF($S58="","",IFERROR(INDEX(Lists!$N$5:$N$16,MATCH($S58,Lists!$M$5:$M$16,0)),"?")))</f>
        <v/>
      </c>
      <c r="U58" s="54"/>
      <c r="V58" s="56"/>
      <c r="W58" s="54"/>
      <c r="X58" s="56"/>
      <c r="Y58" s="54"/>
      <c r="Z58" s="54"/>
      <c r="AA58" s="56"/>
      <c r="AB58" s="58"/>
      <c r="AC58" s="59"/>
      <c r="AD58" s="46" t="str">
        <f aca="false">IF(ISNUMBER($AB58),$AB58*(1+N($AC58)),"")</f>
        <v/>
      </c>
      <c r="AE58" s="58"/>
      <c r="AF58" s="58"/>
      <c r="AG58" s="59"/>
      <c r="AH58" s="47" t="str">
        <f aca="false">IF(ISNUMBER($AD58),($AD58+$AE58+$AF58)*$AG58,"")</f>
        <v/>
      </c>
      <c r="AI58" s="58"/>
      <c r="AJ58" s="46" t="str">
        <f aca="false">IF(ISNUMBER($AD58),SUM($AD58:$AH58),"")</f>
        <v/>
      </c>
      <c r="AK58" s="48" t="str">
        <f aca="false">IF(AND(ISNUMBER($AB58),ISNUMBER($AD58)),IF($AB58&gt;0,$AD58/$AB58,""),"")</f>
        <v/>
      </c>
      <c r="AL58" s="56"/>
      <c r="AM58" s="49" t="str">
        <f aca="false">IF(ISNUMBER($AD58),Header!$I$3,"")</f>
        <v/>
      </c>
      <c r="AN58" s="47" t="str">
        <f aca="false">IF(ISNUMBER($AD58),$AO58+$AP58,"")</f>
        <v/>
      </c>
      <c r="AO58" s="47" t="str">
        <f aca="false">IF(ISNUMBER($AD58),ROUND($AD58*Header!$K$3,2),"")</f>
        <v/>
      </c>
      <c r="AP58" s="47" t="str">
        <f aca="false">IF(ISNUMBER($AD58),ROUND($AD58*Header!$M$3,2),"")</f>
        <v/>
      </c>
      <c r="AQ58" s="46" t="str">
        <f aca="false">IF(ISNUMBER($AD58),ROUND($AD58,2)-$AO58-$AP58,"")</f>
        <v/>
      </c>
      <c r="AR58" s="47" t="str">
        <f aca="false">IF(ISNUMBER($AD58),IF(Header!$D$34="","?",$AD58*Header!$D$34),"")</f>
        <v/>
      </c>
      <c r="AS58" s="47" t="str">
        <f aca="false">IF(ISNUMBER($AB58),IF(Header!$D$34="","?",$AB58*Header!$D$34),"")</f>
        <v/>
      </c>
      <c r="AT58" s="50" t="str">
        <f aca="false">IF(AND(ISNUMBER($AB58),$M58&gt;0),$AB58/$M58*100,"")</f>
        <v/>
      </c>
      <c r="AU58" s="50" t="str">
        <f aca="false">IF(AND(ISNUMBER($AD58),$M58&gt;0),$AD58/$M58*100,"")</f>
        <v/>
      </c>
      <c r="AV58" s="48" t="str">
        <f aca="false">IF(AND(ISNUMBER($AB58),ISNUMBER($AD58),ABS($AB58)&gt;0),$AD58/$AB58,"")</f>
        <v/>
      </c>
      <c r="AW58" s="47" t="str">
        <f aca="false">IF(ISNUMBER($AD58),MAX(0,(1-0.55-Header!$O$3)*Header!$Q$3*$AQ58),"")</f>
        <v/>
      </c>
      <c r="AX58" s="51" t="str">
        <f aca="false">IF($A58="","",IF(TRIM(IF($A58="","Missing certificate ref. ","") &amp; IF($C58="","Missing effective date. ","") &amp; IF($D58="","Missing binding status. ","") &amp; IF($E58="","Missing movement type. ","") &amp; IF($I58="","Missing make. ","") &amp; IF($L58="","Missing vehicle class. ","") &amp; IF($M58="","Missing agreed value. ","") &amp; IF($N58="","Missing policy type. ","") &amp; IF($Q58="","Missing garaging state. ","") &amp; IF($R58="","Missing garaging ZIP. ","") &amp; IF($S58="","Missing cat zone. ","") &amp; IF($V58="","Missing valuation basis. ","") &amp; IF($W58="","Missing PD deductible. ","") &amp; IF($X58="","Missing liability limit. ","") &amp; IF($AB58="","Missing technical premium. ","") &amp; IF($AF58="","Missing surplus lines tax %. ",""))="","PASS","FAIL: "&amp;TRIM(IF($A58="","Missing certificate ref. ","") &amp; IF($C58="","Missing effective date. ","") &amp; IF($D58="","Missing binding status. ","") &amp; IF($E58="","Missing movement type. ","") &amp; IF($I58="","Missing make. ","") &amp; IF($L58="","Missing vehicle class. ","") &amp; IF($M58="","Missing agreed value. ","") &amp; IF($N58="","Missing policy type. ","") &amp; IF($Q58="","Missing garaging state. ","") &amp; IF($R58="","Missing garaging ZIP. ","") &amp; IF($S58="","Missing cat zone. ","") &amp; IF($V58="","Missing valuation basis. ","") &amp; IF($W58="","Missing PD deductible. ","") &amp; IF($X58="","Missing liability limit. ","") &amp; IF($AB58="","Missing technical premium. ","") &amp; IF($AF58="","Missing surplus lines tax %. ",""))))</f>
        <v/>
      </c>
      <c r="AY58" s="52" t="str">
        <f aca="false">IF($M58="","",IF(ISNUMBER($M58),IF($M58&gt;=Header!$C$18,"YES — refer","No"),""))</f>
        <v/>
      </c>
      <c r="AZ58" s="52" t="str">
        <f aca="false">IF($AD58="","",IF(ISNUMBER($AD58),IF($AD58&lt;Header!$C$20,"BELOW MIN PREMIUM","OK"),""))</f>
        <v/>
      </c>
      <c r="BA58" s="56"/>
      <c r="BB58" s="56"/>
      <c r="BC58" s="54"/>
      <c r="BE58" s="53" t="str">
        <f aca="false">IF(OR($A58="",$L58="",$H58=""),"",IF(AND(LEFT($L58,2)="06",$H58&gt;1945),"FAIL - pre-war class, year "&amp;$H58,IF(AND(LEFT($L58,2)="07",OR($H58&lt;1946,$H58&gt;1972)),"FAIL - 1946-72 class, year "&amp;$H58,IF(AND(LEFT($L58,2)="08",OR($H58&lt;1973,$H58&gt;1999)),"FAIL - 1973-99 class, year "&amp;$H58,IF(AND(LEFT($L58,2)="09",OR($H58&lt;2000,$H58&gt;2010)),"FAIL - 2000-10 class, year "&amp;$H58,"OK")))))</f>
        <v/>
      </c>
      <c r="BF58" s="53" t="str">
        <f aca="false">IF($AD58="","",IF(ROUND($AO58+$AP58+$AQ58-$AD58,2)=0,"OK","FAIL - out by "&amp;TEXT($AO58+$AP58+$AQ58-$AD58,"$0.00")))</f>
        <v/>
      </c>
    </row>
    <row r="59" customFormat="false" ht="15" hidden="false" customHeight="true" outlineLevel="0" collapsed="false">
      <c r="A59" s="38"/>
      <c r="B59" s="38"/>
      <c r="C59" s="39"/>
      <c r="D59" s="40"/>
      <c r="E59" s="40"/>
      <c r="F59" s="38"/>
      <c r="G59" s="41" t="str">
        <f aca="false">IF($A59="","",IF($C59="","",YEAR($C59)))</f>
        <v/>
      </c>
      <c r="H59" s="42"/>
      <c r="I59" s="38"/>
      <c r="J59" s="38"/>
      <c r="K59" s="38"/>
      <c r="L59" s="40"/>
      <c r="M59" s="43"/>
      <c r="N59" s="40"/>
      <c r="O59" s="38"/>
      <c r="P59" s="38"/>
      <c r="Q59" s="38"/>
      <c r="R59" s="38"/>
      <c r="S59" s="40"/>
      <c r="T59" s="44" t="str">
        <f aca="false">IF($A59="","",IF($S59="","",IFERROR(INDEX(Lists!$N$5:$N$16,MATCH($S59,Lists!$M$5:$M$16,0)),"?")))</f>
        <v/>
      </c>
      <c r="U59" s="38"/>
      <c r="V59" s="40"/>
      <c r="W59" s="38"/>
      <c r="X59" s="40"/>
      <c r="Y59" s="38"/>
      <c r="Z59" s="38"/>
      <c r="AA59" s="40"/>
      <c r="AB59" s="43"/>
      <c r="AC59" s="45"/>
      <c r="AD59" s="46" t="str">
        <f aca="false">IF(ISNUMBER($AB59),$AB59*(1+N($AC59)),"")</f>
        <v/>
      </c>
      <c r="AE59" s="43"/>
      <c r="AF59" s="43"/>
      <c r="AG59" s="45"/>
      <c r="AH59" s="47" t="str">
        <f aca="false">IF(ISNUMBER($AD59),($AD59+$AE59+$AF59)*$AG59,"")</f>
        <v/>
      </c>
      <c r="AI59" s="43"/>
      <c r="AJ59" s="46" t="str">
        <f aca="false">IF(ISNUMBER($AD59),SUM($AD59:$AH59),"")</f>
        <v/>
      </c>
      <c r="AK59" s="48" t="str">
        <f aca="false">IF(AND(ISNUMBER($AB59),ISNUMBER($AD59)),IF($AB59&gt;0,$AD59/$AB59,""),"")</f>
        <v/>
      </c>
      <c r="AL59" s="40"/>
      <c r="AM59" s="49" t="str">
        <f aca="false">IF(ISNUMBER($AD59),Header!$I$3,"")</f>
        <v/>
      </c>
      <c r="AN59" s="47" t="str">
        <f aca="false">IF(ISNUMBER($AD59),$AO59+$AP59,"")</f>
        <v/>
      </c>
      <c r="AO59" s="47" t="str">
        <f aca="false">IF(ISNUMBER($AD59),ROUND($AD59*Header!$K$3,2),"")</f>
        <v/>
      </c>
      <c r="AP59" s="47" t="str">
        <f aca="false">IF(ISNUMBER($AD59),ROUND($AD59*Header!$M$3,2),"")</f>
        <v/>
      </c>
      <c r="AQ59" s="46" t="str">
        <f aca="false">IF(ISNUMBER($AD59),ROUND($AD59,2)-$AO59-$AP59,"")</f>
        <v/>
      </c>
      <c r="AR59" s="47" t="str">
        <f aca="false">IF(ISNUMBER($AD59),IF(Header!$D$34="","?",$AD59*Header!$D$34),"")</f>
        <v/>
      </c>
      <c r="AS59" s="47" t="str">
        <f aca="false">IF(ISNUMBER($AB59),IF(Header!$D$34="","?",$AB59*Header!$D$34),"")</f>
        <v/>
      </c>
      <c r="AT59" s="50" t="str">
        <f aca="false">IF(AND(ISNUMBER($AB59),$M59&gt;0),$AB59/$M59*100,"")</f>
        <v/>
      </c>
      <c r="AU59" s="50" t="str">
        <f aca="false">IF(AND(ISNUMBER($AD59),$M59&gt;0),$AD59/$M59*100,"")</f>
        <v/>
      </c>
      <c r="AV59" s="48" t="str">
        <f aca="false">IF(AND(ISNUMBER($AB59),ISNUMBER($AD59),ABS($AB59)&gt;0),$AD59/$AB59,"")</f>
        <v/>
      </c>
      <c r="AW59" s="47" t="str">
        <f aca="false">IF(ISNUMBER($AD59),MAX(0,(1-0.55-Header!$O$3)*Header!$Q$3*$AQ59),"")</f>
        <v/>
      </c>
      <c r="AX59" s="51" t="str">
        <f aca="false">IF($A59="","",IF(TRIM(IF($A59="","Missing certificate ref. ","") &amp; IF($C59="","Missing effective date. ","") &amp; IF($D59="","Missing binding status. ","") &amp; IF($E59="","Missing movement type. ","") &amp; IF($I59="","Missing make. ","") &amp; IF($L59="","Missing vehicle class. ","") &amp; IF($M59="","Missing agreed value. ","") &amp; IF($N59="","Missing policy type. ","") &amp; IF($Q59="","Missing garaging state. ","") &amp; IF($R59="","Missing garaging ZIP. ","") &amp; IF($S59="","Missing cat zone. ","") &amp; IF($V59="","Missing valuation basis. ","") &amp; IF($W59="","Missing PD deductible. ","") &amp; IF($X59="","Missing liability limit. ","") &amp; IF($AB59="","Missing technical premium. ","") &amp; IF($AF59="","Missing surplus lines tax %. ",""))="","PASS","FAIL: "&amp;TRIM(IF($A59="","Missing certificate ref. ","") &amp; IF($C59="","Missing effective date. ","") &amp; IF($D59="","Missing binding status. ","") &amp; IF($E59="","Missing movement type. ","") &amp; IF($I59="","Missing make. ","") &amp; IF($L59="","Missing vehicle class. ","") &amp; IF($M59="","Missing agreed value. ","") &amp; IF($N59="","Missing policy type. ","") &amp; IF($Q59="","Missing garaging state. ","") &amp; IF($R59="","Missing garaging ZIP. ","") &amp; IF($S59="","Missing cat zone. ","") &amp; IF($V59="","Missing valuation basis. ","") &amp; IF($W59="","Missing PD deductible. ","") &amp; IF($X59="","Missing liability limit. ","") &amp; IF($AB59="","Missing technical premium. ","") &amp; IF($AF59="","Missing surplus lines tax %. ",""))))</f>
        <v/>
      </c>
      <c r="AY59" s="52" t="str">
        <f aca="false">IF($M59="","",IF(ISNUMBER($M59),IF($M59&gt;=Header!$C$18,"YES — refer","No"),""))</f>
        <v/>
      </c>
      <c r="AZ59" s="52" t="str">
        <f aca="false">IF($AD59="","",IF(ISNUMBER($AD59),IF($AD59&lt;Header!$C$20,"BELOW MIN PREMIUM","OK"),""))</f>
        <v/>
      </c>
      <c r="BA59" s="40"/>
      <c r="BB59" s="40"/>
      <c r="BC59" s="38"/>
      <c r="BE59" s="53" t="str">
        <f aca="false">IF(OR($A59="",$L59="",$H59=""),"",IF(AND(LEFT($L59,2)="06",$H59&gt;1945),"FAIL - pre-war class, year "&amp;$H59,IF(AND(LEFT($L59,2)="07",OR($H59&lt;1946,$H59&gt;1972)),"FAIL - 1946-72 class, year "&amp;$H59,IF(AND(LEFT($L59,2)="08",OR($H59&lt;1973,$H59&gt;1999)),"FAIL - 1973-99 class, year "&amp;$H59,IF(AND(LEFT($L59,2)="09",OR($H59&lt;2000,$H59&gt;2010)),"FAIL - 2000-10 class, year "&amp;$H59,"OK")))))</f>
        <v/>
      </c>
      <c r="BF59" s="53" t="str">
        <f aca="false">IF($AD59="","",IF(ROUND($AO59+$AP59+$AQ59-$AD59,2)=0,"OK","FAIL - out by "&amp;TEXT($AO59+$AP59+$AQ59-$AD59,"$0.00")))</f>
        <v/>
      </c>
    </row>
    <row r="60" customFormat="false" ht="15" hidden="false" customHeight="true" outlineLevel="0" collapsed="false">
      <c r="A60" s="54"/>
      <c r="B60" s="54"/>
      <c r="C60" s="55"/>
      <c r="D60" s="56"/>
      <c r="E60" s="56"/>
      <c r="F60" s="54"/>
      <c r="G60" s="41" t="str">
        <f aca="false">IF($A60="","",IF($C60="","",YEAR($C60)))</f>
        <v/>
      </c>
      <c r="H60" s="57"/>
      <c r="I60" s="54"/>
      <c r="J60" s="54"/>
      <c r="K60" s="54"/>
      <c r="L60" s="56"/>
      <c r="M60" s="58"/>
      <c r="N60" s="56"/>
      <c r="O60" s="54"/>
      <c r="P60" s="54"/>
      <c r="Q60" s="54"/>
      <c r="R60" s="54"/>
      <c r="S60" s="56"/>
      <c r="T60" s="44" t="str">
        <f aca="false">IF($A60="","",IF($S60="","",IFERROR(INDEX(Lists!$N$5:$N$16,MATCH($S60,Lists!$M$5:$M$16,0)),"?")))</f>
        <v/>
      </c>
      <c r="U60" s="54"/>
      <c r="V60" s="56"/>
      <c r="W60" s="54"/>
      <c r="X60" s="56"/>
      <c r="Y60" s="54"/>
      <c r="Z60" s="54"/>
      <c r="AA60" s="56"/>
      <c r="AB60" s="58"/>
      <c r="AC60" s="59"/>
      <c r="AD60" s="46" t="str">
        <f aca="false">IF(ISNUMBER($AB60),$AB60*(1+N($AC60)),"")</f>
        <v/>
      </c>
      <c r="AE60" s="58"/>
      <c r="AF60" s="58"/>
      <c r="AG60" s="59"/>
      <c r="AH60" s="47" t="str">
        <f aca="false">IF(ISNUMBER($AD60),($AD60+$AE60+$AF60)*$AG60,"")</f>
        <v/>
      </c>
      <c r="AI60" s="58"/>
      <c r="AJ60" s="46" t="str">
        <f aca="false">IF(ISNUMBER($AD60),SUM($AD60:$AH60),"")</f>
        <v/>
      </c>
      <c r="AK60" s="48" t="str">
        <f aca="false">IF(AND(ISNUMBER($AB60),ISNUMBER($AD60)),IF($AB60&gt;0,$AD60/$AB60,""),"")</f>
        <v/>
      </c>
      <c r="AL60" s="56"/>
      <c r="AM60" s="49" t="str">
        <f aca="false">IF(ISNUMBER($AD60),Header!$I$3,"")</f>
        <v/>
      </c>
      <c r="AN60" s="47" t="str">
        <f aca="false">IF(ISNUMBER($AD60),$AO60+$AP60,"")</f>
        <v/>
      </c>
      <c r="AO60" s="47" t="str">
        <f aca="false">IF(ISNUMBER($AD60),ROUND($AD60*Header!$K$3,2),"")</f>
        <v/>
      </c>
      <c r="AP60" s="47" t="str">
        <f aca="false">IF(ISNUMBER($AD60),ROUND($AD60*Header!$M$3,2),"")</f>
        <v/>
      </c>
      <c r="AQ60" s="46" t="str">
        <f aca="false">IF(ISNUMBER($AD60),ROUND($AD60,2)-$AO60-$AP60,"")</f>
        <v/>
      </c>
      <c r="AR60" s="47" t="str">
        <f aca="false">IF(ISNUMBER($AD60),IF(Header!$D$34="","?",$AD60*Header!$D$34),"")</f>
        <v/>
      </c>
      <c r="AS60" s="47" t="str">
        <f aca="false">IF(ISNUMBER($AB60),IF(Header!$D$34="","?",$AB60*Header!$D$34),"")</f>
        <v/>
      </c>
      <c r="AT60" s="50" t="str">
        <f aca="false">IF(AND(ISNUMBER($AB60),$M60&gt;0),$AB60/$M60*100,"")</f>
        <v/>
      </c>
      <c r="AU60" s="50" t="str">
        <f aca="false">IF(AND(ISNUMBER($AD60),$M60&gt;0),$AD60/$M60*100,"")</f>
        <v/>
      </c>
      <c r="AV60" s="48" t="str">
        <f aca="false">IF(AND(ISNUMBER($AB60),ISNUMBER($AD60),ABS($AB60)&gt;0),$AD60/$AB60,"")</f>
        <v/>
      </c>
      <c r="AW60" s="47" t="str">
        <f aca="false">IF(ISNUMBER($AD60),MAX(0,(1-0.55-Header!$O$3)*Header!$Q$3*$AQ60),"")</f>
        <v/>
      </c>
      <c r="AX60" s="51" t="str">
        <f aca="false">IF($A60="","",IF(TRIM(IF($A60="","Missing certificate ref. ","") &amp; IF($C60="","Missing effective date. ","") &amp; IF($D60="","Missing binding status. ","") &amp; IF($E60="","Missing movement type. ","") &amp; IF($I60="","Missing make. ","") &amp; IF($L60="","Missing vehicle class. ","") &amp; IF($M60="","Missing agreed value. ","") &amp; IF($N60="","Missing policy type. ","") &amp; IF($Q60="","Missing garaging state. ","") &amp; IF($R60="","Missing garaging ZIP. ","") &amp; IF($S60="","Missing cat zone. ","") &amp; IF($V60="","Missing valuation basis. ","") &amp; IF($W60="","Missing PD deductible. ","") &amp; IF($X60="","Missing liability limit. ","") &amp; IF($AB60="","Missing technical premium. ","") &amp; IF($AF60="","Missing surplus lines tax %. ",""))="","PASS","FAIL: "&amp;TRIM(IF($A60="","Missing certificate ref. ","") &amp; IF($C60="","Missing effective date. ","") &amp; IF($D60="","Missing binding status. ","") &amp; IF($E60="","Missing movement type. ","") &amp; IF($I60="","Missing make. ","") &amp; IF($L60="","Missing vehicle class. ","") &amp; IF($M60="","Missing agreed value. ","") &amp; IF($N60="","Missing policy type. ","") &amp; IF($Q60="","Missing garaging state. ","") &amp; IF($R60="","Missing garaging ZIP. ","") &amp; IF($S60="","Missing cat zone. ","") &amp; IF($V60="","Missing valuation basis. ","") &amp; IF($W60="","Missing PD deductible. ","") &amp; IF($X60="","Missing liability limit. ","") &amp; IF($AB60="","Missing technical premium. ","") &amp; IF($AF60="","Missing surplus lines tax %. ",""))))</f>
        <v/>
      </c>
      <c r="AY60" s="52" t="str">
        <f aca="false">IF($M60="","",IF(ISNUMBER($M60),IF($M60&gt;=Header!$C$18,"YES — refer","No"),""))</f>
        <v/>
      </c>
      <c r="AZ60" s="52" t="str">
        <f aca="false">IF($AD60="","",IF(ISNUMBER($AD60),IF($AD60&lt;Header!$C$20,"BELOW MIN PREMIUM","OK"),""))</f>
        <v/>
      </c>
      <c r="BA60" s="56"/>
      <c r="BB60" s="56"/>
      <c r="BC60" s="54"/>
      <c r="BE60" s="53" t="str">
        <f aca="false">IF(OR($A60="",$L60="",$H60=""),"",IF(AND(LEFT($L60,2)="06",$H60&gt;1945),"FAIL - pre-war class, year "&amp;$H60,IF(AND(LEFT($L60,2)="07",OR($H60&lt;1946,$H60&gt;1972)),"FAIL - 1946-72 class, year "&amp;$H60,IF(AND(LEFT($L60,2)="08",OR($H60&lt;1973,$H60&gt;1999)),"FAIL - 1973-99 class, year "&amp;$H60,IF(AND(LEFT($L60,2)="09",OR($H60&lt;2000,$H60&gt;2010)),"FAIL - 2000-10 class, year "&amp;$H60,"OK")))))</f>
        <v/>
      </c>
      <c r="BF60" s="53" t="str">
        <f aca="false">IF($AD60="","",IF(ROUND($AO60+$AP60+$AQ60-$AD60,2)=0,"OK","FAIL - out by "&amp;TEXT($AO60+$AP60+$AQ60-$AD60,"$0.00")))</f>
        <v/>
      </c>
    </row>
    <row r="61" customFormat="false" ht="15" hidden="false" customHeight="true" outlineLevel="0" collapsed="false">
      <c r="A61" s="38"/>
      <c r="B61" s="38"/>
      <c r="C61" s="39"/>
      <c r="D61" s="40"/>
      <c r="E61" s="40"/>
      <c r="F61" s="38"/>
      <c r="G61" s="41" t="str">
        <f aca="false">IF($A61="","",IF($C61="","",YEAR($C61)))</f>
        <v/>
      </c>
      <c r="H61" s="42"/>
      <c r="I61" s="38"/>
      <c r="J61" s="38"/>
      <c r="K61" s="38"/>
      <c r="L61" s="40"/>
      <c r="M61" s="43"/>
      <c r="N61" s="40"/>
      <c r="O61" s="38"/>
      <c r="P61" s="38"/>
      <c r="Q61" s="38"/>
      <c r="R61" s="38"/>
      <c r="S61" s="40"/>
      <c r="T61" s="44" t="str">
        <f aca="false">IF($A61="","",IF($S61="","",IFERROR(INDEX(Lists!$N$5:$N$16,MATCH($S61,Lists!$M$5:$M$16,0)),"?")))</f>
        <v/>
      </c>
      <c r="U61" s="38"/>
      <c r="V61" s="40"/>
      <c r="W61" s="38"/>
      <c r="X61" s="40"/>
      <c r="Y61" s="38"/>
      <c r="Z61" s="38"/>
      <c r="AA61" s="40"/>
      <c r="AB61" s="43"/>
      <c r="AC61" s="45"/>
      <c r="AD61" s="46" t="str">
        <f aca="false">IF(ISNUMBER($AB61),$AB61*(1+N($AC61)),"")</f>
        <v/>
      </c>
      <c r="AE61" s="43"/>
      <c r="AF61" s="43"/>
      <c r="AG61" s="45"/>
      <c r="AH61" s="47" t="str">
        <f aca="false">IF(ISNUMBER($AD61),($AD61+$AE61+$AF61)*$AG61,"")</f>
        <v/>
      </c>
      <c r="AI61" s="43"/>
      <c r="AJ61" s="46" t="str">
        <f aca="false">IF(ISNUMBER($AD61),SUM($AD61:$AH61),"")</f>
        <v/>
      </c>
      <c r="AK61" s="48" t="str">
        <f aca="false">IF(AND(ISNUMBER($AB61),ISNUMBER($AD61)),IF($AB61&gt;0,$AD61/$AB61,""),"")</f>
        <v/>
      </c>
      <c r="AL61" s="40"/>
      <c r="AM61" s="49" t="str">
        <f aca="false">IF(ISNUMBER($AD61),Header!$I$3,"")</f>
        <v/>
      </c>
      <c r="AN61" s="47" t="str">
        <f aca="false">IF(ISNUMBER($AD61),$AO61+$AP61,"")</f>
        <v/>
      </c>
      <c r="AO61" s="47" t="str">
        <f aca="false">IF(ISNUMBER($AD61),ROUND($AD61*Header!$K$3,2),"")</f>
        <v/>
      </c>
      <c r="AP61" s="47" t="str">
        <f aca="false">IF(ISNUMBER($AD61),ROUND($AD61*Header!$M$3,2),"")</f>
        <v/>
      </c>
      <c r="AQ61" s="46" t="str">
        <f aca="false">IF(ISNUMBER($AD61),ROUND($AD61,2)-$AO61-$AP61,"")</f>
        <v/>
      </c>
      <c r="AR61" s="47" t="str">
        <f aca="false">IF(ISNUMBER($AD61),IF(Header!$D$34="","?",$AD61*Header!$D$34),"")</f>
        <v/>
      </c>
      <c r="AS61" s="47" t="str">
        <f aca="false">IF(ISNUMBER($AB61),IF(Header!$D$34="","?",$AB61*Header!$D$34),"")</f>
        <v/>
      </c>
      <c r="AT61" s="50" t="str">
        <f aca="false">IF(AND(ISNUMBER($AB61),$M61&gt;0),$AB61/$M61*100,"")</f>
        <v/>
      </c>
      <c r="AU61" s="50" t="str">
        <f aca="false">IF(AND(ISNUMBER($AD61),$M61&gt;0),$AD61/$M61*100,"")</f>
        <v/>
      </c>
      <c r="AV61" s="48" t="str">
        <f aca="false">IF(AND(ISNUMBER($AB61),ISNUMBER($AD61),ABS($AB61)&gt;0),$AD61/$AB61,"")</f>
        <v/>
      </c>
      <c r="AW61" s="47" t="str">
        <f aca="false">IF(ISNUMBER($AD61),MAX(0,(1-0.55-Header!$O$3)*Header!$Q$3*$AQ61),"")</f>
        <v/>
      </c>
      <c r="AX61" s="51" t="str">
        <f aca="false">IF($A61="","",IF(TRIM(IF($A61="","Missing certificate ref. ","") &amp; IF($C61="","Missing effective date. ","") &amp; IF($D61="","Missing binding status. ","") &amp; IF($E61="","Missing movement type. ","") &amp; IF($I61="","Missing make. ","") &amp; IF($L61="","Missing vehicle class. ","") &amp; IF($M61="","Missing agreed value. ","") &amp; IF($N61="","Missing policy type. ","") &amp; IF($Q61="","Missing garaging state. ","") &amp; IF($R61="","Missing garaging ZIP. ","") &amp; IF($S61="","Missing cat zone. ","") &amp; IF($V61="","Missing valuation basis. ","") &amp; IF($W61="","Missing PD deductible. ","") &amp; IF($X61="","Missing liability limit. ","") &amp; IF($AB61="","Missing technical premium. ","") &amp; IF($AF61="","Missing surplus lines tax %. ",""))="","PASS","FAIL: "&amp;TRIM(IF($A61="","Missing certificate ref. ","") &amp; IF($C61="","Missing effective date. ","") &amp; IF($D61="","Missing binding status. ","") &amp; IF($E61="","Missing movement type. ","") &amp; IF($I61="","Missing make. ","") &amp; IF($L61="","Missing vehicle class. ","") &amp; IF($M61="","Missing agreed value. ","") &amp; IF($N61="","Missing policy type. ","") &amp; IF($Q61="","Missing garaging state. ","") &amp; IF($R61="","Missing garaging ZIP. ","") &amp; IF($S61="","Missing cat zone. ","") &amp; IF($V61="","Missing valuation basis. ","") &amp; IF($W61="","Missing PD deductible. ","") &amp; IF($X61="","Missing liability limit. ","") &amp; IF($AB61="","Missing technical premium. ","") &amp; IF($AF61="","Missing surplus lines tax %. ",""))))</f>
        <v/>
      </c>
      <c r="AY61" s="52" t="str">
        <f aca="false">IF($M61="","",IF(ISNUMBER($M61),IF($M61&gt;=Header!$C$18,"YES — refer","No"),""))</f>
        <v/>
      </c>
      <c r="AZ61" s="52" t="str">
        <f aca="false">IF($AD61="","",IF(ISNUMBER($AD61),IF($AD61&lt;Header!$C$20,"BELOW MIN PREMIUM","OK"),""))</f>
        <v/>
      </c>
      <c r="BA61" s="40"/>
      <c r="BB61" s="40"/>
      <c r="BC61" s="38"/>
      <c r="BE61" s="53" t="str">
        <f aca="false">IF(OR($A61="",$L61="",$H61=""),"",IF(AND(LEFT($L61,2)="06",$H61&gt;1945),"FAIL - pre-war class, year "&amp;$H61,IF(AND(LEFT($L61,2)="07",OR($H61&lt;1946,$H61&gt;1972)),"FAIL - 1946-72 class, year "&amp;$H61,IF(AND(LEFT($L61,2)="08",OR($H61&lt;1973,$H61&gt;1999)),"FAIL - 1973-99 class, year "&amp;$H61,IF(AND(LEFT($L61,2)="09",OR($H61&lt;2000,$H61&gt;2010)),"FAIL - 2000-10 class, year "&amp;$H61,"OK")))))</f>
        <v/>
      </c>
      <c r="BF61" s="53" t="str">
        <f aca="false">IF($AD61="","",IF(ROUND($AO61+$AP61+$AQ61-$AD61,2)=0,"OK","FAIL - out by "&amp;TEXT($AO61+$AP61+$AQ61-$AD61,"$0.00")))</f>
        <v/>
      </c>
    </row>
    <row r="62" customFormat="false" ht="15" hidden="false" customHeight="true" outlineLevel="0" collapsed="false">
      <c r="A62" s="54"/>
      <c r="B62" s="54"/>
      <c r="C62" s="55"/>
      <c r="D62" s="56"/>
      <c r="E62" s="56"/>
      <c r="F62" s="54"/>
      <c r="G62" s="41" t="str">
        <f aca="false">IF($A62="","",IF($C62="","",YEAR($C62)))</f>
        <v/>
      </c>
      <c r="H62" s="57"/>
      <c r="I62" s="54"/>
      <c r="J62" s="54"/>
      <c r="K62" s="54"/>
      <c r="L62" s="56"/>
      <c r="M62" s="58"/>
      <c r="N62" s="56"/>
      <c r="O62" s="54"/>
      <c r="P62" s="54"/>
      <c r="Q62" s="54"/>
      <c r="R62" s="54"/>
      <c r="S62" s="56"/>
      <c r="T62" s="44" t="str">
        <f aca="false">IF($A62="","",IF($S62="","",IFERROR(INDEX(Lists!$N$5:$N$16,MATCH($S62,Lists!$M$5:$M$16,0)),"?")))</f>
        <v/>
      </c>
      <c r="U62" s="54"/>
      <c r="V62" s="56"/>
      <c r="W62" s="54"/>
      <c r="X62" s="56"/>
      <c r="Y62" s="54"/>
      <c r="Z62" s="54"/>
      <c r="AA62" s="56"/>
      <c r="AB62" s="58"/>
      <c r="AC62" s="59"/>
      <c r="AD62" s="46" t="str">
        <f aca="false">IF(ISNUMBER($AB62),$AB62*(1+N($AC62)),"")</f>
        <v/>
      </c>
      <c r="AE62" s="58"/>
      <c r="AF62" s="58"/>
      <c r="AG62" s="59"/>
      <c r="AH62" s="47" t="str">
        <f aca="false">IF(ISNUMBER($AD62),($AD62+$AE62+$AF62)*$AG62,"")</f>
        <v/>
      </c>
      <c r="AI62" s="58"/>
      <c r="AJ62" s="46" t="str">
        <f aca="false">IF(ISNUMBER($AD62),SUM($AD62:$AH62),"")</f>
        <v/>
      </c>
      <c r="AK62" s="48" t="str">
        <f aca="false">IF(AND(ISNUMBER($AB62),ISNUMBER($AD62)),IF($AB62&gt;0,$AD62/$AB62,""),"")</f>
        <v/>
      </c>
      <c r="AL62" s="56"/>
      <c r="AM62" s="49" t="str">
        <f aca="false">IF(ISNUMBER($AD62),Header!$I$3,"")</f>
        <v/>
      </c>
      <c r="AN62" s="47" t="str">
        <f aca="false">IF(ISNUMBER($AD62),$AO62+$AP62,"")</f>
        <v/>
      </c>
      <c r="AO62" s="47" t="str">
        <f aca="false">IF(ISNUMBER($AD62),ROUND($AD62*Header!$K$3,2),"")</f>
        <v/>
      </c>
      <c r="AP62" s="47" t="str">
        <f aca="false">IF(ISNUMBER($AD62),ROUND($AD62*Header!$M$3,2),"")</f>
        <v/>
      </c>
      <c r="AQ62" s="46" t="str">
        <f aca="false">IF(ISNUMBER($AD62),ROUND($AD62,2)-$AO62-$AP62,"")</f>
        <v/>
      </c>
      <c r="AR62" s="47" t="str">
        <f aca="false">IF(ISNUMBER($AD62),IF(Header!$D$34="","?",$AD62*Header!$D$34),"")</f>
        <v/>
      </c>
      <c r="AS62" s="47" t="str">
        <f aca="false">IF(ISNUMBER($AB62),IF(Header!$D$34="","?",$AB62*Header!$D$34),"")</f>
        <v/>
      </c>
      <c r="AT62" s="50" t="str">
        <f aca="false">IF(AND(ISNUMBER($AB62),$M62&gt;0),$AB62/$M62*100,"")</f>
        <v/>
      </c>
      <c r="AU62" s="50" t="str">
        <f aca="false">IF(AND(ISNUMBER($AD62),$M62&gt;0),$AD62/$M62*100,"")</f>
        <v/>
      </c>
      <c r="AV62" s="48" t="str">
        <f aca="false">IF(AND(ISNUMBER($AB62),ISNUMBER($AD62),ABS($AB62)&gt;0),$AD62/$AB62,"")</f>
        <v/>
      </c>
      <c r="AW62" s="47" t="str">
        <f aca="false">IF(ISNUMBER($AD62),MAX(0,(1-0.55-Header!$O$3)*Header!$Q$3*$AQ62),"")</f>
        <v/>
      </c>
      <c r="AX62" s="51" t="str">
        <f aca="false">IF($A62="","",IF(TRIM(IF($A62="","Missing certificate ref. ","") &amp; IF($C62="","Missing effective date. ","") &amp; IF($D62="","Missing binding status. ","") &amp; IF($E62="","Missing movement type. ","") &amp; IF($I62="","Missing make. ","") &amp; IF($L62="","Missing vehicle class. ","") &amp; IF($M62="","Missing agreed value. ","") &amp; IF($N62="","Missing policy type. ","") &amp; IF($Q62="","Missing garaging state. ","") &amp; IF($R62="","Missing garaging ZIP. ","") &amp; IF($S62="","Missing cat zone. ","") &amp; IF($V62="","Missing valuation basis. ","") &amp; IF($W62="","Missing PD deductible. ","") &amp; IF($X62="","Missing liability limit. ","") &amp; IF($AB62="","Missing technical premium. ","") &amp; IF($AF62="","Missing surplus lines tax %. ",""))="","PASS","FAIL: "&amp;TRIM(IF($A62="","Missing certificate ref. ","") &amp; IF($C62="","Missing effective date. ","") &amp; IF($D62="","Missing binding status. ","") &amp; IF($E62="","Missing movement type. ","") &amp; IF($I62="","Missing make. ","") &amp; IF($L62="","Missing vehicle class. ","") &amp; IF($M62="","Missing agreed value. ","") &amp; IF($N62="","Missing policy type. ","") &amp; IF($Q62="","Missing garaging state. ","") &amp; IF($R62="","Missing garaging ZIP. ","") &amp; IF($S62="","Missing cat zone. ","") &amp; IF($V62="","Missing valuation basis. ","") &amp; IF($W62="","Missing PD deductible. ","") &amp; IF($X62="","Missing liability limit. ","") &amp; IF($AB62="","Missing technical premium. ","") &amp; IF($AF62="","Missing surplus lines tax %. ",""))))</f>
        <v/>
      </c>
      <c r="AY62" s="52" t="str">
        <f aca="false">IF($M62="","",IF(ISNUMBER($M62),IF($M62&gt;=Header!$C$18,"YES — refer","No"),""))</f>
        <v/>
      </c>
      <c r="AZ62" s="52" t="str">
        <f aca="false">IF($AD62="","",IF(ISNUMBER($AD62),IF($AD62&lt;Header!$C$20,"BELOW MIN PREMIUM","OK"),""))</f>
        <v/>
      </c>
      <c r="BA62" s="56"/>
      <c r="BB62" s="56"/>
      <c r="BC62" s="54"/>
      <c r="BE62" s="53" t="str">
        <f aca="false">IF(OR($A62="",$L62="",$H62=""),"",IF(AND(LEFT($L62,2)="06",$H62&gt;1945),"FAIL - pre-war class, year "&amp;$H62,IF(AND(LEFT($L62,2)="07",OR($H62&lt;1946,$H62&gt;1972)),"FAIL - 1946-72 class, year "&amp;$H62,IF(AND(LEFT($L62,2)="08",OR($H62&lt;1973,$H62&gt;1999)),"FAIL - 1973-99 class, year "&amp;$H62,IF(AND(LEFT($L62,2)="09",OR($H62&lt;2000,$H62&gt;2010)),"FAIL - 2000-10 class, year "&amp;$H62,"OK")))))</f>
        <v/>
      </c>
      <c r="BF62" s="53" t="str">
        <f aca="false">IF($AD62="","",IF(ROUND($AO62+$AP62+$AQ62-$AD62,2)=0,"OK","FAIL - out by "&amp;TEXT($AO62+$AP62+$AQ62-$AD62,"$0.00")))</f>
        <v/>
      </c>
    </row>
    <row r="63" customFormat="false" ht="15" hidden="false" customHeight="true" outlineLevel="0" collapsed="false">
      <c r="A63" s="38"/>
      <c r="B63" s="38"/>
      <c r="C63" s="39"/>
      <c r="D63" s="40"/>
      <c r="E63" s="40"/>
      <c r="F63" s="38"/>
      <c r="G63" s="41" t="str">
        <f aca="false">IF($A63="","",IF($C63="","",YEAR($C63)))</f>
        <v/>
      </c>
      <c r="H63" s="42"/>
      <c r="I63" s="38"/>
      <c r="J63" s="38"/>
      <c r="K63" s="38"/>
      <c r="L63" s="40"/>
      <c r="M63" s="43"/>
      <c r="N63" s="40"/>
      <c r="O63" s="38"/>
      <c r="P63" s="38"/>
      <c r="Q63" s="38"/>
      <c r="R63" s="38"/>
      <c r="S63" s="40"/>
      <c r="T63" s="44" t="str">
        <f aca="false">IF($A63="","",IF($S63="","",IFERROR(INDEX(Lists!$N$5:$N$16,MATCH($S63,Lists!$M$5:$M$16,0)),"?")))</f>
        <v/>
      </c>
      <c r="U63" s="38"/>
      <c r="V63" s="40"/>
      <c r="W63" s="38"/>
      <c r="X63" s="40"/>
      <c r="Y63" s="38"/>
      <c r="Z63" s="38"/>
      <c r="AA63" s="40"/>
      <c r="AB63" s="43"/>
      <c r="AC63" s="45"/>
      <c r="AD63" s="46" t="str">
        <f aca="false">IF(ISNUMBER($AB63),$AB63*(1+N($AC63)),"")</f>
        <v/>
      </c>
      <c r="AE63" s="43"/>
      <c r="AF63" s="43"/>
      <c r="AG63" s="45"/>
      <c r="AH63" s="47" t="str">
        <f aca="false">IF(ISNUMBER($AD63),($AD63+$AE63+$AF63)*$AG63,"")</f>
        <v/>
      </c>
      <c r="AI63" s="43"/>
      <c r="AJ63" s="46" t="str">
        <f aca="false">IF(ISNUMBER($AD63),SUM($AD63:$AH63),"")</f>
        <v/>
      </c>
      <c r="AK63" s="48" t="str">
        <f aca="false">IF(AND(ISNUMBER($AB63),ISNUMBER($AD63)),IF($AB63&gt;0,$AD63/$AB63,""),"")</f>
        <v/>
      </c>
      <c r="AL63" s="40"/>
      <c r="AM63" s="49" t="str">
        <f aca="false">IF(ISNUMBER($AD63),Header!$I$3,"")</f>
        <v/>
      </c>
      <c r="AN63" s="47" t="str">
        <f aca="false">IF(ISNUMBER($AD63),$AO63+$AP63,"")</f>
        <v/>
      </c>
      <c r="AO63" s="47" t="str">
        <f aca="false">IF(ISNUMBER($AD63),ROUND($AD63*Header!$K$3,2),"")</f>
        <v/>
      </c>
      <c r="AP63" s="47" t="str">
        <f aca="false">IF(ISNUMBER($AD63),ROUND($AD63*Header!$M$3,2),"")</f>
        <v/>
      </c>
      <c r="AQ63" s="46" t="str">
        <f aca="false">IF(ISNUMBER($AD63),ROUND($AD63,2)-$AO63-$AP63,"")</f>
        <v/>
      </c>
      <c r="AR63" s="47" t="str">
        <f aca="false">IF(ISNUMBER($AD63),IF(Header!$D$34="","?",$AD63*Header!$D$34),"")</f>
        <v/>
      </c>
      <c r="AS63" s="47" t="str">
        <f aca="false">IF(ISNUMBER($AB63),IF(Header!$D$34="","?",$AB63*Header!$D$34),"")</f>
        <v/>
      </c>
      <c r="AT63" s="50" t="str">
        <f aca="false">IF(AND(ISNUMBER($AB63),$M63&gt;0),$AB63/$M63*100,"")</f>
        <v/>
      </c>
      <c r="AU63" s="50" t="str">
        <f aca="false">IF(AND(ISNUMBER($AD63),$M63&gt;0),$AD63/$M63*100,"")</f>
        <v/>
      </c>
      <c r="AV63" s="48" t="str">
        <f aca="false">IF(AND(ISNUMBER($AB63),ISNUMBER($AD63),ABS($AB63)&gt;0),$AD63/$AB63,"")</f>
        <v/>
      </c>
      <c r="AW63" s="47" t="str">
        <f aca="false">IF(ISNUMBER($AD63),MAX(0,(1-0.55-Header!$O$3)*Header!$Q$3*$AQ63),"")</f>
        <v/>
      </c>
      <c r="AX63" s="51" t="str">
        <f aca="false">IF($A63="","",IF(TRIM(IF($A63="","Missing certificate ref. ","") &amp; IF($C63="","Missing effective date. ","") &amp; IF($D63="","Missing binding status. ","") &amp; IF($E63="","Missing movement type. ","") &amp; IF($I63="","Missing make. ","") &amp; IF($L63="","Missing vehicle class. ","") &amp; IF($M63="","Missing agreed value. ","") &amp; IF($N63="","Missing policy type. ","") &amp; IF($Q63="","Missing garaging state. ","") &amp; IF($R63="","Missing garaging ZIP. ","") &amp; IF($S63="","Missing cat zone. ","") &amp; IF($V63="","Missing valuation basis. ","") &amp; IF($W63="","Missing PD deductible. ","") &amp; IF($X63="","Missing liability limit. ","") &amp; IF($AB63="","Missing technical premium. ","") &amp; IF($AF63="","Missing surplus lines tax %. ",""))="","PASS","FAIL: "&amp;TRIM(IF($A63="","Missing certificate ref. ","") &amp; IF($C63="","Missing effective date. ","") &amp; IF($D63="","Missing binding status. ","") &amp; IF($E63="","Missing movement type. ","") &amp; IF($I63="","Missing make. ","") &amp; IF($L63="","Missing vehicle class. ","") &amp; IF($M63="","Missing agreed value. ","") &amp; IF($N63="","Missing policy type. ","") &amp; IF($Q63="","Missing garaging state. ","") &amp; IF($R63="","Missing garaging ZIP. ","") &amp; IF($S63="","Missing cat zone. ","") &amp; IF($V63="","Missing valuation basis. ","") &amp; IF($W63="","Missing PD deductible. ","") &amp; IF($X63="","Missing liability limit. ","") &amp; IF($AB63="","Missing technical premium. ","") &amp; IF($AF63="","Missing surplus lines tax %. ",""))))</f>
        <v/>
      </c>
      <c r="AY63" s="52" t="str">
        <f aca="false">IF($M63="","",IF(ISNUMBER($M63),IF($M63&gt;=Header!$C$18,"YES — refer","No"),""))</f>
        <v/>
      </c>
      <c r="AZ63" s="52" t="str">
        <f aca="false">IF($AD63="","",IF(ISNUMBER($AD63),IF($AD63&lt;Header!$C$20,"BELOW MIN PREMIUM","OK"),""))</f>
        <v/>
      </c>
      <c r="BA63" s="40"/>
      <c r="BB63" s="40"/>
      <c r="BC63" s="38"/>
      <c r="BE63" s="53" t="str">
        <f aca="false">IF(OR($A63="",$L63="",$H63=""),"",IF(AND(LEFT($L63,2)="06",$H63&gt;1945),"FAIL - pre-war class, year "&amp;$H63,IF(AND(LEFT($L63,2)="07",OR($H63&lt;1946,$H63&gt;1972)),"FAIL - 1946-72 class, year "&amp;$H63,IF(AND(LEFT($L63,2)="08",OR($H63&lt;1973,$H63&gt;1999)),"FAIL - 1973-99 class, year "&amp;$H63,IF(AND(LEFT($L63,2)="09",OR($H63&lt;2000,$H63&gt;2010)),"FAIL - 2000-10 class, year "&amp;$H63,"OK")))))</f>
        <v/>
      </c>
      <c r="BF63" s="53" t="str">
        <f aca="false">IF($AD63="","",IF(ROUND($AO63+$AP63+$AQ63-$AD63,2)=0,"OK","FAIL - out by "&amp;TEXT($AO63+$AP63+$AQ63-$AD63,"$0.00")))</f>
        <v/>
      </c>
    </row>
    <row r="64" customFormat="false" ht="15" hidden="false" customHeight="true" outlineLevel="0" collapsed="false">
      <c r="A64" s="54"/>
      <c r="B64" s="54"/>
      <c r="C64" s="55"/>
      <c r="D64" s="56"/>
      <c r="E64" s="56"/>
      <c r="F64" s="54"/>
      <c r="G64" s="41" t="str">
        <f aca="false">IF($A64="","",IF($C64="","",YEAR($C64)))</f>
        <v/>
      </c>
      <c r="H64" s="57"/>
      <c r="I64" s="54"/>
      <c r="J64" s="54"/>
      <c r="K64" s="54"/>
      <c r="L64" s="56"/>
      <c r="M64" s="58"/>
      <c r="N64" s="56"/>
      <c r="O64" s="54"/>
      <c r="P64" s="54"/>
      <c r="Q64" s="54"/>
      <c r="R64" s="54"/>
      <c r="S64" s="56"/>
      <c r="T64" s="44" t="str">
        <f aca="false">IF($A64="","",IF($S64="","",IFERROR(INDEX(Lists!$N$5:$N$16,MATCH($S64,Lists!$M$5:$M$16,0)),"?")))</f>
        <v/>
      </c>
      <c r="U64" s="54"/>
      <c r="V64" s="56"/>
      <c r="W64" s="54"/>
      <c r="X64" s="56"/>
      <c r="Y64" s="54"/>
      <c r="Z64" s="54"/>
      <c r="AA64" s="56"/>
      <c r="AB64" s="58"/>
      <c r="AC64" s="59"/>
      <c r="AD64" s="46" t="str">
        <f aca="false">IF(ISNUMBER($AB64),$AB64*(1+N($AC64)),"")</f>
        <v/>
      </c>
      <c r="AE64" s="58"/>
      <c r="AF64" s="58"/>
      <c r="AG64" s="59"/>
      <c r="AH64" s="47" t="str">
        <f aca="false">IF(ISNUMBER($AD64),($AD64+$AE64+$AF64)*$AG64,"")</f>
        <v/>
      </c>
      <c r="AI64" s="58"/>
      <c r="AJ64" s="46" t="str">
        <f aca="false">IF(ISNUMBER($AD64),SUM($AD64:$AH64),"")</f>
        <v/>
      </c>
      <c r="AK64" s="48" t="str">
        <f aca="false">IF(AND(ISNUMBER($AB64),ISNUMBER($AD64)),IF($AB64&gt;0,$AD64/$AB64,""),"")</f>
        <v/>
      </c>
      <c r="AL64" s="56"/>
      <c r="AM64" s="49" t="str">
        <f aca="false">IF(ISNUMBER($AD64),Header!$I$3,"")</f>
        <v/>
      </c>
      <c r="AN64" s="47" t="str">
        <f aca="false">IF(ISNUMBER($AD64),$AO64+$AP64,"")</f>
        <v/>
      </c>
      <c r="AO64" s="47" t="str">
        <f aca="false">IF(ISNUMBER($AD64),ROUND($AD64*Header!$K$3,2),"")</f>
        <v/>
      </c>
      <c r="AP64" s="47" t="str">
        <f aca="false">IF(ISNUMBER($AD64),ROUND($AD64*Header!$M$3,2),"")</f>
        <v/>
      </c>
      <c r="AQ64" s="46" t="str">
        <f aca="false">IF(ISNUMBER($AD64),ROUND($AD64,2)-$AO64-$AP64,"")</f>
        <v/>
      </c>
      <c r="AR64" s="47" t="str">
        <f aca="false">IF(ISNUMBER($AD64),IF(Header!$D$34="","?",$AD64*Header!$D$34),"")</f>
        <v/>
      </c>
      <c r="AS64" s="47" t="str">
        <f aca="false">IF(ISNUMBER($AB64),IF(Header!$D$34="","?",$AB64*Header!$D$34),"")</f>
        <v/>
      </c>
      <c r="AT64" s="50" t="str">
        <f aca="false">IF(AND(ISNUMBER($AB64),$M64&gt;0),$AB64/$M64*100,"")</f>
        <v/>
      </c>
      <c r="AU64" s="50" t="str">
        <f aca="false">IF(AND(ISNUMBER($AD64),$M64&gt;0),$AD64/$M64*100,"")</f>
        <v/>
      </c>
      <c r="AV64" s="48" t="str">
        <f aca="false">IF(AND(ISNUMBER($AB64),ISNUMBER($AD64),ABS($AB64)&gt;0),$AD64/$AB64,"")</f>
        <v/>
      </c>
      <c r="AW64" s="47" t="str">
        <f aca="false">IF(ISNUMBER($AD64),MAX(0,(1-0.55-Header!$O$3)*Header!$Q$3*$AQ64),"")</f>
        <v/>
      </c>
      <c r="AX64" s="51" t="str">
        <f aca="false">IF($A64="","",IF(TRIM(IF($A64="","Missing certificate ref. ","") &amp; IF($C64="","Missing effective date. ","") &amp; IF($D64="","Missing binding status. ","") &amp; IF($E64="","Missing movement type. ","") &amp; IF($I64="","Missing make. ","") &amp; IF($L64="","Missing vehicle class. ","") &amp; IF($M64="","Missing agreed value. ","") &amp; IF($N64="","Missing policy type. ","") &amp; IF($Q64="","Missing garaging state. ","") &amp; IF($R64="","Missing garaging ZIP. ","") &amp; IF($S64="","Missing cat zone. ","") &amp; IF($V64="","Missing valuation basis. ","") &amp; IF($W64="","Missing PD deductible. ","") &amp; IF($X64="","Missing liability limit. ","") &amp; IF($AB64="","Missing technical premium. ","") &amp; IF($AF64="","Missing surplus lines tax %. ",""))="","PASS","FAIL: "&amp;TRIM(IF($A64="","Missing certificate ref. ","") &amp; IF($C64="","Missing effective date. ","") &amp; IF($D64="","Missing binding status. ","") &amp; IF($E64="","Missing movement type. ","") &amp; IF($I64="","Missing make. ","") &amp; IF($L64="","Missing vehicle class. ","") &amp; IF($M64="","Missing agreed value. ","") &amp; IF($N64="","Missing policy type. ","") &amp; IF($Q64="","Missing garaging state. ","") &amp; IF($R64="","Missing garaging ZIP. ","") &amp; IF($S64="","Missing cat zone. ","") &amp; IF($V64="","Missing valuation basis. ","") &amp; IF($W64="","Missing PD deductible. ","") &amp; IF($X64="","Missing liability limit. ","") &amp; IF($AB64="","Missing technical premium. ","") &amp; IF($AF64="","Missing surplus lines tax %. ",""))))</f>
        <v/>
      </c>
      <c r="AY64" s="52" t="str">
        <f aca="false">IF($M64="","",IF(ISNUMBER($M64),IF($M64&gt;=Header!$C$18,"YES — refer","No"),""))</f>
        <v/>
      </c>
      <c r="AZ64" s="52" t="str">
        <f aca="false">IF($AD64="","",IF(ISNUMBER($AD64),IF($AD64&lt;Header!$C$20,"BELOW MIN PREMIUM","OK"),""))</f>
        <v/>
      </c>
      <c r="BA64" s="56"/>
      <c r="BB64" s="56"/>
      <c r="BC64" s="54"/>
      <c r="BE64" s="53" t="str">
        <f aca="false">IF(OR($A64="",$L64="",$H64=""),"",IF(AND(LEFT($L64,2)="06",$H64&gt;1945),"FAIL - pre-war class, year "&amp;$H64,IF(AND(LEFT($L64,2)="07",OR($H64&lt;1946,$H64&gt;1972)),"FAIL - 1946-72 class, year "&amp;$H64,IF(AND(LEFT($L64,2)="08",OR($H64&lt;1973,$H64&gt;1999)),"FAIL - 1973-99 class, year "&amp;$H64,IF(AND(LEFT($L64,2)="09",OR($H64&lt;2000,$H64&gt;2010)),"FAIL - 2000-10 class, year "&amp;$H64,"OK")))))</f>
        <v/>
      </c>
      <c r="BF64" s="53" t="str">
        <f aca="false">IF($AD64="","",IF(ROUND($AO64+$AP64+$AQ64-$AD64,2)=0,"OK","FAIL - out by "&amp;TEXT($AO64+$AP64+$AQ64-$AD64,"$0.00")))</f>
        <v/>
      </c>
    </row>
    <row r="65" customFormat="false" ht="15" hidden="false" customHeight="true" outlineLevel="0" collapsed="false">
      <c r="A65" s="38"/>
      <c r="B65" s="38"/>
      <c r="C65" s="39"/>
      <c r="D65" s="40"/>
      <c r="E65" s="40"/>
      <c r="F65" s="38"/>
      <c r="G65" s="41" t="str">
        <f aca="false">IF($A65="","",IF($C65="","",YEAR($C65)))</f>
        <v/>
      </c>
      <c r="H65" s="42"/>
      <c r="I65" s="38"/>
      <c r="J65" s="38"/>
      <c r="K65" s="38"/>
      <c r="L65" s="40"/>
      <c r="M65" s="43"/>
      <c r="N65" s="40"/>
      <c r="O65" s="38"/>
      <c r="P65" s="38"/>
      <c r="Q65" s="38"/>
      <c r="R65" s="38"/>
      <c r="S65" s="40"/>
      <c r="T65" s="44" t="str">
        <f aca="false">IF($A65="","",IF($S65="","",IFERROR(INDEX(Lists!$N$5:$N$16,MATCH($S65,Lists!$M$5:$M$16,0)),"?")))</f>
        <v/>
      </c>
      <c r="U65" s="38"/>
      <c r="V65" s="40"/>
      <c r="W65" s="38"/>
      <c r="X65" s="40"/>
      <c r="Y65" s="38"/>
      <c r="Z65" s="38"/>
      <c r="AA65" s="40"/>
      <c r="AB65" s="43"/>
      <c r="AC65" s="45"/>
      <c r="AD65" s="46" t="str">
        <f aca="false">IF(ISNUMBER($AB65),$AB65*(1+N($AC65)),"")</f>
        <v/>
      </c>
      <c r="AE65" s="43"/>
      <c r="AF65" s="43"/>
      <c r="AG65" s="45"/>
      <c r="AH65" s="47" t="str">
        <f aca="false">IF(ISNUMBER($AD65),($AD65+$AE65+$AF65)*$AG65,"")</f>
        <v/>
      </c>
      <c r="AI65" s="43"/>
      <c r="AJ65" s="46" t="str">
        <f aca="false">IF(ISNUMBER($AD65),SUM($AD65:$AH65),"")</f>
        <v/>
      </c>
      <c r="AK65" s="48" t="str">
        <f aca="false">IF(AND(ISNUMBER($AB65),ISNUMBER($AD65)),IF($AB65&gt;0,$AD65/$AB65,""),"")</f>
        <v/>
      </c>
      <c r="AL65" s="40"/>
      <c r="AM65" s="49" t="str">
        <f aca="false">IF(ISNUMBER($AD65),Header!$I$3,"")</f>
        <v/>
      </c>
      <c r="AN65" s="47" t="str">
        <f aca="false">IF(ISNUMBER($AD65),$AO65+$AP65,"")</f>
        <v/>
      </c>
      <c r="AO65" s="47" t="str">
        <f aca="false">IF(ISNUMBER($AD65),ROUND($AD65*Header!$K$3,2),"")</f>
        <v/>
      </c>
      <c r="AP65" s="47" t="str">
        <f aca="false">IF(ISNUMBER($AD65),ROUND($AD65*Header!$M$3,2),"")</f>
        <v/>
      </c>
      <c r="AQ65" s="46" t="str">
        <f aca="false">IF(ISNUMBER($AD65),ROUND($AD65,2)-$AO65-$AP65,"")</f>
        <v/>
      </c>
      <c r="AR65" s="47" t="str">
        <f aca="false">IF(ISNUMBER($AD65),IF(Header!$D$34="","?",$AD65*Header!$D$34),"")</f>
        <v/>
      </c>
      <c r="AS65" s="47" t="str">
        <f aca="false">IF(ISNUMBER($AB65),IF(Header!$D$34="","?",$AB65*Header!$D$34),"")</f>
        <v/>
      </c>
      <c r="AT65" s="50" t="str">
        <f aca="false">IF(AND(ISNUMBER($AB65),$M65&gt;0),$AB65/$M65*100,"")</f>
        <v/>
      </c>
      <c r="AU65" s="50" t="str">
        <f aca="false">IF(AND(ISNUMBER($AD65),$M65&gt;0),$AD65/$M65*100,"")</f>
        <v/>
      </c>
      <c r="AV65" s="48" t="str">
        <f aca="false">IF(AND(ISNUMBER($AB65),ISNUMBER($AD65),ABS($AB65)&gt;0),$AD65/$AB65,"")</f>
        <v/>
      </c>
      <c r="AW65" s="47" t="str">
        <f aca="false">IF(ISNUMBER($AD65),MAX(0,(1-0.55-Header!$O$3)*Header!$Q$3*$AQ65),"")</f>
        <v/>
      </c>
      <c r="AX65" s="51" t="str">
        <f aca="false">IF($A65="","",IF(TRIM(IF($A65="","Missing certificate ref. ","") &amp; IF($C65="","Missing effective date. ","") &amp; IF($D65="","Missing binding status. ","") &amp; IF($E65="","Missing movement type. ","") &amp; IF($I65="","Missing make. ","") &amp; IF($L65="","Missing vehicle class. ","") &amp; IF($M65="","Missing agreed value. ","") &amp; IF($N65="","Missing policy type. ","") &amp; IF($Q65="","Missing garaging state. ","") &amp; IF($R65="","Missing garaging ZIP. ","") &amp; IF($S65="","Missing cat zone. ","") &amp; IF($V65="","Missing valuation basis. ","") &amp; IF($W65="","Missing PD deductible. ","") &amp; IF($X65="","Missing liability limit. ","") &amp; IF($AB65="","Missing technical premium. ","") &amp; IF($AF65="","Missing surplus lines tax %. ",""))="","PASS","FAIL: "&amp;TRIM(IF($A65="","Missing certificate ref. ","") &amp; IF($C65="","Missing effective date. ","") &amp; IF($D65="","Missing binding status. ","") &amp; IF($E65="","Missing movement type. ","") &amp; IF($I65="","Missing make. ","") &amp; IF($L65="","Missing vehicle class. ","") &amp; IF($M65="","Missing agreed value. ","") &amp; IF($N65="","Missing policy type. ","") &amp; IF($Q65="","Missing garaging state. ","") &amp; IF($R65="","Missing garaging ZIP. ","") &amp; IF($S65="","Missing cat zone. ","") &amp; IF($V65="","Missing valuation basis. ","") &amp; IF($W65="","Missing PD deductible. ","") &amp; IF($X65="","Missing liability limit. ","") &amp; IF($AB65="","Missing technical premium. ","") &amp; IF($AF65="","Missing surplus lines tax %. ",""))))</f>
        <v/>
      </c>
      <c r="AY65" s="52" t="str">
        <f aca="false">IF($M65="","",IF(ISNUMBER($M65),IF($M65&gt;=Header!$C$18,"YES — refer","No"),""))</f>
        <v/>
      </c>
      <c r="AZ65" s="52" t="str">
        <f aca="false">IF($AD65="","",IF(ISNUMBER($AD65),IF($AD65&lt;Header!$C$20,"BELOW MIN PREMIUM","OK"),""))</f>
        <v/>
      </c>
      <c r="BA65" s="40"/>
      <c r="BB65" s="40"/>
      <c r="BC65" s="38"/>
      <c r="BE65" s="53" t="str">
        <f aca="false">IF(OR($A65="",$L65="",$H65=""),"",IF(AND(LEFT($L65,2)="06",$H65&gt;1945),"FAIL - pre-war class, year "&amp;$H65,IF(AND(LEFT($L65,2)="07",OR($H65&lt;1946,$H65&gt;1972)),"FAIL - 1946-72 class, year "&amp;$H65,IF(AND(LEFT($L65,2)="08",OR($H65&lt;1973,$H65&gt;1999)),"FAIL - 1973-99 class, year "&amp;$H65,IF(AND(LEFT($L65,2)="09",OR($H65&lt;2000,$H65&gt;2010)),"FAIL - 2000-10 class, year "&amp;$H65,"OK")))))</f>
        <v/>
      </c>
      <c r="BF65" s="53" t="str">
        <f aca="false">IF($AD65="","",IF(ROUND($AO65+$AP65+$AQ65-$AD65,2)=0,"OK","FAIL - out by "&amp;TEXT($AO65+$AP65+$AQ65-$AD65,"$0.00")))</f>
        <v/>
      </c>
    </row>
    <row r="66" customFormat="false" ht="15" hidden="false" customHeight="true" outlineLevel="0" collapsed="false">
      <c r="A66" s="54"/>
      <c r="B66" s="54"/>
      <c r="C66" s="55"/>
      <c r="D66" s="56"/>
      <c r="E66" s="56"/>
      <c r="F66" s="54"/>
      <c r="G66" s="41" t="str">
        <f aca="false">IF($A66="","",IF($C66="","",YEAR($C66)))</f>
        <v/>
      </c>
      <c r="H66" s="57"/>
      <c r="I66" s="54"/>
      <c r="J66" s="54"/>
      <c r="K66" s="54"/>
      <c r="L66" s="56"/>
      <c r="M66" s="58"/>
      <c r="N66" s="56"/>
      <c r="O66" s="54"/>
      <c r="P66" s="54"/>
      <c r="Q66" s="54"/>
      <c r="R66" s="54"/>
      <c r="S66" s="56"/>
      <c r="T66" s="44" t="str">
        <f aca="false">IF($A66="","",IF($S66="","",IFERROR(INDEX(Lists!$N$5:$N$16,MATCH($S66,Lists!$M$5:$M$16,0)),"?")))</f>
        <v/>
      </c>
      <c r="U66" s="54"/>
      <c r="V66" s="56"/>
      <c r="W66" s="54"/>
      <c r="X66" s="56"/>
      <c r="Y66" s="54"/>
      <c r="Z66" s="54"/>
      <c r="AA66" s="56"/>
      <c r="AB66" s="58"/>
      <c r="AC66" s="59"/>
      <c r="AD66" s="46" t="str">
        <f aca="false">IF(ISNUMBER($AB66),$AB66*(1+N($AC66)),"")</f>
        <v/>
      </c>
      <c r="AE66" s="58"/>
      <c r="AF66" s="58"/>
      <c r="AG66" s="59"/>
      <c r="AH66" s="47" t="str">
        <f aca="false">IF(ISNUMBER($AD66),($AD66+$AE66+$AF66)*$AG66,"")</f>
        <v/>
      </c>
      <c r="AI66" s="58"/>
      <c r="AJ66" s="46" t="str">
        <f aca="false">IF(ISNUMBER($AD66),SUM($AD66:$AH66),"")</f>
        <v/>
      </c>
      <c r="AK66" s="48" t="str">
        <f aca="false">IF(AND(ISNUMBER($AB66),ISNUMBER($AD66)),IF($AB66&gt;0,$AD66/$AB66,""),"")</f>
        <v/>
      </c>
      <c r="AL66" s="56"/>
      <c r="AM66" s="49" t="str">
        <f aca="false">IF(ISNUMBER($AD66),Header!$I$3,"")</f>
        <v/>
      </c>
      <c r="AN66" s="47" t="str">
        <f aca="false">IF(ISNUMBER($AD66),$AO66+$AP66,"")</f>
        <v/>
      </c>
      <c r="AO66" s="47" t="str">
        <f aca="false">IF(ISNUMBER($AD66),ROUND($AD66*Header!$K$3,2),"")</f>
        <v/>
      </c>
      <c r="AP66" s="47" t="str">
        <f aca="false">IF(ISNUMBER($AD66),ROUND($AD66*Header!$M$3,2),"")</f>
        <v/>
      </c>
      <c r="AQ66" s="46" t="str">
        <f aca="false">IF(ISNUMBER($AD66),ROUND($AD66,2)-$AO66-$AP66,"")</f>
        <v/>
      </c>
      <c r="AR66" s="47" t="str">
        <f aca="false">IF(ISNUMBER($AD66),IF(Header!$D$34="","?",$AD66*Header!$D$34),"")</f>
        <v/>
      </c>
      <c r="AS66" s="47" t="str">
        <f aca="false">IF(ISNUMBER($AB66),IF(Header!$D$34="","?",$AB66*Header!$D$34),"")</f>
        <v/>
      </c>
      <c r="AT66" s="50" t="str">
        <f aca="false">IF(AND(ISNUMBER($AB66),$M66&gt;0),$AB66/$M66*100,"")</f>
        <v/>
      </c>
      <c r="AU66" s="50" t="str">
        <f aca="false">IF(AND(ISNUMBER($AD66),$M66&gt;0),$AD66/$M66*100,"")</f>
        <v/>
      </c>
      <c r="AV66" s="48" t="str">
        <f aca="false">IF(AND(ISNUMBER($AB66),ISNUMBER($AD66),ABS($AB66)&gt;0),$AD66/$AB66,"")</f>
        <v/>
      </c>
      <c r="AW66" s="47" t="str">
        <f aca="false">IF(ISNUMBER($AD66),MAX(0,(1-0.55-Header!$O$3)*Header!$Q$3*$AQ66),"")</f>
        <v/>
      </c>
      <c r="AX66" s="51" t="str">
        <f aca="false">IF($A66="","",IF(TRIM(IF($A66="","Missing certificate ref. ","") &amp; IF($C66="","Missing effective date. ","") &amp; IF($D66="","Missing binding status. ","") &amp; IF($E66="","Missing movement type. ","") &amp; IF($I66="","Missing make. ","") &amp; IF($L66="","Missing vehicle class. ","") &amp; IF($M66="","Missing agreed value. ","") &amp; IF($N66="","Missing policy type. ","") &amp; IF($Q66="","Missing garaging state. ","") &amp; IF($R66="","Missing garaging ZIP. ","") &amp; IF($S66="","Missing cat zone. ","") &amp; IF($V66="","Missing valuation basis. ","") &amp; IF($W66="","Missing PD deductible. ","") &amp; IF($X66="","Missing liability limit. ","") &amp; IF($AB66="","Missing technical premium. ","") &amp; IF($AF66="","Missing surplus lines tax %. ",""))="","PASS","FAIL: "&amp;TRIM(IF($A66="","Missing certificate ref. ","") &amp; IF($C66="","Missing effective date. ","") &amp; IF($D66="","Missing binding status. ","") &amp; IF($E66="","Missing movement type. ","") &amp; IF($I66="","Missing make. ","") &amp; IF($L66="","Missing vehicle class. ","") &amp; IF($M66="","Missing agreed value. ","") &amp; IF($N66="","Missing policy type. ","") &amp; IF($Q66="","Missing garaging state. ","") &amp; IF($R66="","Missing garaging ZIP. ","") &amp; IF($S66="","Missing cat zone. ","") &amp; IF($V66="","Missing valuation basis. ","") &amp; IF($W66="","Missing PD deductible. ","") &amp; IF($X66="","Missing liability limit. ","") &amp; IF($AB66="","Missing technical premium. ","") &amp; IF($AF66="","Missing surplus lines tax %. ",""))))</f>
        <v/>
      </c>
      <c r="AY66" s="52" t="str">
        <f aca="false">IF($M66="","",IF(ISNUMBER($M66),IF($M66&gt;=Header!$C$18,"YES — refer","No"),""))</f>
        <v/>
      </c>
      <c r="AZ66" s="52" t="str">
        <f aca="false">IF($AD66="","",IF(ISNUMBER($AD66),IF($AD66&lt;Header!$C$20,"BELOW MIN PREMIUM","OK"),""))</f>
        <v/>
      </c>
      <c r="BA66" s="56"/>
      <c r="BB66" s="56"/>
      <c r="BC66" s="54"/>
      <c r="BE66" s="53" t="str">
        <f aca="false">IF(OR($A66="",$L66="",$H66=""),"",IF(AND(LEFT($L66,2)="06",$H66&gt;1945),"FAIL - pre-war class, year "&amp;$H66,IF(AND(LEFT($L66,2)="07",OR($H66&lt;1946,$H66&gt;1972)),"FAIL - 1946-72 class, year "&amp;$H66,IF(AND(LEFT($L66,2)="08",OR($H66&lt;1973,$H66&gt;1999)),"FAIL - 1973-99 class, year "&amp;$H66,IF(AND(LEFT($L66,2)="09",OR($H66&lt;2000,$H66&gt;2010)),"FAIL - 2000-10 class, year "&amp;$H66,"OK")))))</f>
        <v/>
      </c>
      <c r="BF66" s="53" t="str">
        <f aca="false">IF($AD66="","",IF(ROUND($AO66+$AP66+$AQ66-$AD66,2)=0,"OK","FAIL - out by "&amp;TEXT($AO66+$AP66+$AQ66-$AD66,"$0.00")))</f>
        <v/>
      </c>
    </row>
    <row r="67" customFormat="false" ht="15" hidden="false" customHeight="true" outlineLevel="0" collapsed="false">
      <c r="A67" s="38"/>
      <c r="B67" s="38"/>
      <c r="C67" s="39"/>
      <c r="D67" s="40"/>
      <c r="E67" s="40"/>
      <c r="F67" s="38"/>
      <c r="G67" s="41" t="str">
        <f aca="false">IF($A67="","",IF($C67="","",YEAR($C67)))</f>
        <v/>
      </c>
      <c r="H67" s="42"/>
      <c r="I67" s="38"/>
      <c r="J67" s="38"/>
      <c r="K67" s="38"/>
      <c r="L67" s="40"/>
      <c r="M67" s="43"/>
      <c r="N67" s="40"/>
      <c r="O67" s="38"/>
      <c r="P67" s="38"/>
      <c r="Q67" s="38"/>
      <c r="R67" s="38"/>
      <c r="S67" s="40"/>
      <c r="T67" s="44" t="str">
        <f aca="false">IF($A67="","",IF($S67="","",IFERROR(INDEX(Lists!$N$5:$N$16,MATCH($S67,Lists!$M$5:$M$16,0)),"?")))</f>
        <v/>
      </c>
      <c r="U67" s="38"/>
      <c r="V67" s="40"/>
      <c r="W67" s="38"/>
      <c r="X67" s="40"/>
      <c r="Y67" s="38"/>
      <c r="Z67" s="38"/>
      <c r="AA67" s="40"/>
      <c r="AB67" s="43"/>
      <c r="AC67" s="45"/>
      <c r="AD67" s="46" t="str">
        <f aca="false">IF(ISNUMBER($AB67),$AB67*(1+N($AC67)),"")</f>
        <v/>
      </c>
      <c r="AE67" s="43"/>
      <c r="AF67" s="43"/>
      <c r="AG67" s="45"/>
      <c r="AH67" s="47" t="str">
        <f aca="false">IF(ISNUMBER($AD67),($AD67+$AE67+$AF67)*$AG67,"")</f>
        <v/>
      </c>
      <c r="AI67" s="43"/>
      <c r="AJ67" s="46" t="str">
        <f aca="false">IF(ISNUMBER($AD67),SUM($AD67:$AH67),"")</f>
        <v/>
      </c>
      <c r="AK67" s="48" t="str">
        <f aca="false">IF(AND(ISNUMBER($AB67),ISNUMBER($AD67)),IF($AB67&gt;0,$AD67/$AB67,""),"")</f>
        <v/>
      </c>
      <c r="AL67" s="40"/>
      <c r="AM67" s="49" t="str">
        <f aca="false">IF(ISNUMBER($AD67),Header!$I$3,"")</f>
        <v/>
      </c>
      <c r="AN67" s="47" t="str">
        <f aca="false">IF(ISNUMBER($AD67),$AO67+$AP67,"")</f>
        <v/>
      </c>
      <c r="AO67" s="47" t="str">
        <f aca="false">IF(ISNUMBER($AD67),ROUND($AD67*Header!$K$3,2),"")</f>
        <v/>
      </c>
      <c r="AP67" s="47" t="str">
        <f aca="false">IF(ISNUMBER($AD67),ROUND($AD67*Header!$M$3,2),"")</f>
        <v/>
      </c>
      <c r="AQ67" s="46" t="str">
        <f aca="false">IF(ISNUMBER($AD67),ROUND($AD67,2)-$AO67-$AP67,"")</f>
        <v/>
      </c>
      <c r="AR67" s="47" t="str">
        <f aca="false">IF(ISNUMBER($AD67),IF(Header!$D$34="","?",$AD67*Header!$D$34),"")</f>
        <v/>
      </c>
      <c r="AS67" s="47" t="str">
        <f aca="false">IF(ISNUMBER($AB67),IF(Header!$D$34="","?",$AB67*Header!$D$34),"")</f>
        <v/>
      </c>
      <c r="AT67" s="50" t="str">
        <f aca="false">IF(AND(ISNUMBER($AB67),$M67&gt;0),$AB67/$M67*100,"")</f>
        <v/>
      </c>
      <c r="AU67" s="50" t="str">
        <f aca="false">IF(AND(ISNUMBER($AD67),$M67&gt;0),$AD67/$M67*100,"")</f>
        <v/>
      </c>
      <c r="AV67" s="48" t="str">
        <f aca="false">IF(AND(ISNUMBER($AB67),ISNUMBER($AD67),ABS($AB67)&gt;0),$AD67/$AB67,"")</f>
        <v/>
      </c>
      <c r="AW67" s="47" t="str">
        <f aca="false">IF(ISNUMBER($AD67),MAX(0,(1-0.55-Header!$O$3)*Header!$Q$3*$AQ67),"")</f>
        <v/>
      </c>
      <c r="AX67" s="51" t="str">
        <f aca="false">IF($A67="","",IF(TRIM(IF($A67="","Missing certificate ref. ","") &amp; IF($C67="","Missing effective date. ","") &amp; IF($D67="","Missing binding status. ","") &amp; IF($E67="","Missing movement type. ","") &amp; IF($I67="","Missing make. ","") &amp; IF($L67="","Missing vehicle class. ","") &amp; IF($M67="","Missing agreed value. ","") &amp; IF($N67="","Missing policy type. ","") &amp; IF($Q67="","Missing garaging state. ","") &amp; IF($R67="","Missing garaging ZIP. ","") &amp; IF($S67="","Missing cat zone. ","") &amp; IF($V67="","Missing valuation basis. ","") &amp; IF($W67="","Missing PD deductible. ","") &amp; IF($X67="","Missing liability limit. ","") &amp; IF($AB67="","Missing technical premium. ","") &amp; IF($AF67="","Missing surplus lines tax %. ",""))="","PASS","FAIL: "&amp;TRIM(IF($A67="","Missing certificate ref. ","") &amp; IF($C67="","Missing effective date. ","") &amp; IF($D67="","Missing binding status. ","") &amp; IF($E67="","Missing movement type. ","") &amp; IF($I67="","Missing make. ","") &amp; IF($L67="","Missing vehicle class. ","") &amp; IF($M67="","Missing agreed value. ","") &amp; IF($N67="","Missing policy type. ","") &amp; IF($Q67="","Missing garaging state. ","") &amp; IF($R67="","Missing garaging ZIP. ","") &amp; IF($S67="","Missing cat zone. ","") &amp; IF($V67="","Missing valuation basis. ","") &amp; IF($W67="","Missing PD deductible. ","") &amp; IF($X67="","Missing liability limit. ","") &amp; IF($AB67="","Missing technical premium. ","") &amp; IF($AF67="","Missing surplus lines tax %. ",""))))</f>
        <v/>
      </c>
      <c r="AY67" s="52" t="str">
        <f aca="false">IF($M67="","",IF(ISNUMBER($M67),IF($M67&gt;=Header!$C$18,"YES — refer","No"),""))</f>
        <v/>
      </c>
      <c r="AZ67" s="52" t="str">
        <f aca="false">IF($AD67="","",IF(ISNUMBER($AD67),IF($AD67&lt;Header!$C$20,"BELOW MIN PREMIUM","OK"),""))</f>
        <v/>
      </c>
      <c r="BA67" s="40"/>
      <c r="BB67" s="40"/>
      <c r="BC67" s="38"/>
      <c r="BE67" s="53" t="str">
        <f aca="false">IF(OR($A67="",$L67="",$H67=""),"",IF(AND(LEFT($L67,2)="06",$H67&gt;1945),"FAIL - pre-war class, year "&amp;$H67,IF(AND(LEFT($L67,2)="07",OR($H67&lt;1946,$H67&gt;1972)),"FAIL - 1946-72 class, year "&amp;$H67,IF(AND(LEFT($L67,2)="08",OR($H67&lt;1973,$H67&gt;1999)),"FAIL - 1973-99 class, year "&amp;$H67,IF(AND(LEFT($L67,2)="09",OR($H67&lt;2000,$H67&gt;2010)),"FAIL - 2000-10 class, year "&amp;$H67,"OK")))))</f>
        <v/>
      </c>
      <c r="BF67" s="53" t="str">
        <f aca="false">IF($AD67="","",IF(ROUND($AO67+$AP67+$AQ67-$AD67,2)=0,"OK","FAIL - out by "&amp;TEXT($AO67+$AP67+$AQ67-$AD67,"$0.00")))</f>
        <v/>
      </c>
    </row>
    <row r="68" customFormat="false" ht="15" hidden="false" customHeight="true" outlineLevel="0" collapsed="false">
      <c r="A68" s="54"/>
      <c r="B68" s="54"/>
      <c r="C68" s="55"/>
      <c r="D68" s="56"/>
      <c r="E68" s="56"/>
      <c r="F68" s="54"/>
      <c r="G68" s="41" t="str">
        <f aca="false">IF($A68="","",IF($C68="","",YEAR($C68)))</f>
        <v/>
      </c>
      <c r="H68" s="57"/>
      <c r="I68" s="54"/>
      <c r="J68" s="54"/>
      <c r="K68" s="54"/>
      <c r="L68" s="56"/>
      <c r="M68" s="58"/>
      <c r="N68" s="56"/>
      <c r="O68" s="54"/>
      <c r="P68" s="54"/>
      <c r="Q68" s="54"/>
      <c r="R68" s="54"/>
      <c r="S68" s="56"/>
      <c r="T68" s="44" t="str">
        <f aca="false">IF($A68="","",IF($S68="","",IFERROR(INDEX(Lists!$N$5:$N$16,MATCH($S68,Lists!$M$5:$M$16,0)),"?")))</f>
        <v/>
      </c>
      <c r="U68" s="54"/>
      <c r="V68" s="56"/>
      <c r="W68" s="54"/>
      <c r="X68" s="56"/>
      <c r="Y68" s="54"/>
      <c r="Z68" s="54"/>
      <c r="AA68" s="56"/>
      <c r="AB68" s="58"/>
      <c r="AC68" s="59"/>
      <c r="AD68" s="46" t="str">
        <f aca="false">IF(ISNUMBER($AB68),$AB68*(1+N($AC68)),"")</f>
        <v/>
      </c>
      <c r="AE68" s="58"/>
      <c r="AF68" s="58"/>
      <c r="AG68" s="59"/>
      <c r="AH68" s="47" t="str">
        <f aca="false">IF(ISNUMBER($AD68),($AD68+$AE68+$AF68)*$AG68,"")</f>
        <v/>
      </c>
      <c r="AI68" s="58"/>
      <c r="AJ68" s="46" t="str">
        <f aca="false">IF(ISNUMBER($AD68),SUM($AD68:$AH68),"")</f>
        <v/>
      </c>
      <c r="AK68" s="48" t="str">
        <f aca="false">IF(AND(ISNUMBER($AB68),ISNUMBER($AD68)),IF($AB68&gt;0,$AD68/$AB68,""),"")</f>
        <v/>
      </c>
      <c r="AL68" s="56"/>
      <c r="AM68" s="49" t="str">
        <f aca="false">IF(ISNUMBER($AD68),Header!$I$3,"")</f>
        <v/>
      </c>
      <c r="AN68" s="47" t="str">
        <f aca="false">IF(ISNUMBER($AD68),$AO68+$AP68,"")</f>
        <v/>
      </c>
      <c r="AO68" s="47" t="str">
        <f aca="false">IF(ISNUMBER($AD68),ROUND($AD68*Header!$K$3,2),"")</f>
        <v/>
      </c>
      <c r="AP68" s="47" t="str">
        <f aca="false">IF(ISNUMBER($AD68),ROUND($AD68*Header!$M$3,2),"")</f>
        <v/>
      </c>
      <c r="AQ68" s="46" t="str">
        <f aca="false">IF(ISNUMBER($AD68),ROUND($AD68,2)-$AO68-$AP68,"")</f>
        <v/>
      </c>
      <c r="AR68" s="47" t="str">
        <f aca="false">IF(ISNUMBER($AD68),IF(Header!$D$34="","?",$AD68*Header!$D$34),"")</f>
        <v/>
      </c>
      <c r="AS68" s="47" t="str">
        <f aca="false">IF(ISNUMBER($AB68),IF(Header!$D$34="","?",$AB68*Header!$D$34),"")</f>
        <v/>
      </c>
      <c r="AT68" s="50" t="str">
        <f aca="false">IF(AND(ISNUMBER($AB68),$M68&gt;0),$AB68/$M68*100,"")</f>
        <v/>
      </c>
      <c r="AU68" s="50" t="str">
        <f aca="false">IF(AND(ISNUMBER($AD68),$M68&gt;0),$AD68/$M68*100,"")</f>
        <v/>
      </c>
      <c r="AV68" s="48" t="str">
        <f aca="false">IF(AND(ISNUMBER($AB68),ISNUMBER($AD68),ABS($AB68)&gt;0),$AD68/$AB68,"")</f>
        <v/>
      </c>
      <c r="AW68" s="47" t="str">
        <f aca="false">IF(ISNUMBER($AD68),MAX(0,(1-0.55-Header!$O$3)*Header!$Q$3*$AQ68),"")</f>
        <v/>
      </c>
      <c r="AX68" s="51" t="str">
        <f aca="false">IF($A68="","",IF(TRIM(IF($A68="","Missing certificate ref. ","") &amp; IF($C68="","Missing effective date. ","") &amp; IF($D68="","Missing binding status. ","") &amp; IF($E68="","Missing movement type. ","") &amp; IF($I68="","Missing make. ","") &amp; IF($L68="","Missing vehicle class. ","") &amp; IF($M68="","Missing agreed value. ","") &amp; IF($N68="","Missing policy type. ","") &amp; IF($Q68="","Missing garaging state. ","") &amp; IF($R68="","Missing garaging ZIP. ","") &amp; IF($S68="","Missing cat zone. ","") &amp; IF($V68="","Missing valuation basis. ","") &amp; IF($W68="","Missing PD deductible. ","") &amp; IF($X68="","Missing liability limit. ","") &amp; IF($AB68="","Missing technical premium. ","") &amp; IF($AF68="","Missing surplus lines tax %. ",""))="","PASS","FAIL: "&amp;TRIM(IF($A68="","Missing certificate ref. ","") &amp; IF($C68="","Missing effective date. ","") &amp; IF($D68="","Missing binding status. ","") &amp; IF($E68="","Missing movement type. ","") &amp; IF($I68="","Missing make. ","") &amp; IF($L68="","Missing vehicle class. ","") &amp; IF($M68="","Missing agreed value. ","") &amp; IF($N68="","Missing policy type. ","") &amp; IF($Q68="","Missing garaging state. ","") &amp; IF($R68="","Missing garaging ZIP. ","") &amp; IF($S68="","Missing cat zone. ","") &amp; IF($V68="","Missing valuation basis. ","") &amp; IF($W68="","Missing PD deductible. ","") &amp; IF($X68="","Missing liability limit. ","") &amp; IF($AB68="","Missing technical premium. ","") &amp; IF($AF68="","Missing surplus lines tax %. ",""))))</f>
        <v/>
      </c>
      <c r="AY68" s="52" t="str">
        <f aca="false">IF($M68="","",IF(ISNUMBER($M68),IF($M68&gt;=Header!$C$18,"YES — refer","No"),""))</f>
        <v/>
      </c>
      <c r="AZ68" s="52" t="str">
        <f aca="false">IF($AD68="","",IF(ISNUMBER($AD68),IF($AD68&lt;Header!$C$20,"BELOW MIN PREMIUM","OK"),""))</f>
        <v/>
      </c>
      <c r="BA68" s="56"/>
      <c r="BB68" s="56"/>
      <c r="BC68" s="54"/>
      <c r="BE68" s="53" t="str">
        <f aca="false">IF(OR($A68="",$L68="",$H68=""),"",IF(AND(LEFT($L68,2)="06",$H68&gt;1945),"FAIL - pre-war class, year "&amp;$H68,IF(AND(LEFT($L68,2)="07",OR($H68&lt;1946,$H68&gt;1972)),"FAIL - 1946-72 class, year "&amp;$H68,IF(AND(LEFT($L68,2)="08",OR($H68&lt;1973,$H68&gt;1999)),"FAIL - 1973-99 class, year "&amp;$H68,IF(AND(LEFT($L68,2)="09",OR($H68&lt;2000,$H68&gt;2010)),"FAIL - 2000-10 class, year "&amp;$H68,"OK")))))</f>
        <v/>
      </c>
      <c r="BF68" s="53" t="str">
        <f aca="false">IF($AD68="","",IF(ROUND($AO68+$AP68+$AQ68-$AD68,2)=0,"OK","FAIL - out by "&amp;TEXT($AO68+$AP68+$AQ68-$AD68,"$0.00")))</f>
        <v/>
      </c>
    </row>
    <row r="69" customFormat="false" ht="15" hidden="false" customHeight="true" outlineLevel="0" collapsed="false">
      <c r="A69" s="38"/>
      <c r="B69" s="38"/>
      <c r="C69" s="39"/>
      <c r="D69" s="40"/>
      <c r="E69" s="40"/>
      <c r="F69" s="38"/>
      <c r="G69" s="41" t="str">
        <f aca="false">IF($A69="","",IF($C69="","",YEAR($C69)))</f>
        <v/>
      </c>
      <c r="H69" s="42"/>
      <c r="I69" s="38"/>
      <c r="J69" s="38"/>
      <c r="K69" s="38"/>
      <c r="L69" s="40"/>
      <c r="M69" s="43"/>
      <c r="N69" s="40"/>
      <c r="O69" s="38"/>
      <c r="P69" s="38"/>
      <c r="Q69" s="38"/>
      <c r="R69" s="38"/>
      <c r="S69" s="40"/>
      <c r="T69" s="44" t="str">
        <f aca="false">IF($A69="","",IF($S69="","",IFERROR(INDEX(Lists!$N$5:$N$16,MATCH($S69,Lists!$M$5:$M$16,0)),"?")))</f>
        <v/>
      </c>
      <c r="U69" s="38"/>
      <c r="V69" s="40"/>
      <c r="W69" s="38"/>
      <c r="X69" s="40"/>
      <c r="Y69" s="38"/>
      <c r="Z69" s="38"/>
      <c r="AA69" s="40"/>
      <c r="AB69" s="43"/>
      <c r="AC69" s="45"/>
      <c r="AD69" s="46" t="str">
        <f aca="false">IF(ISNUMBER($AB69),$AB69*(1+N($AC69)),"")</f>
        <v/>
      </c>
      <c r="AE69" s="43"/>
      <c r="AF69" s="43"/>
      <c r="AG69" s="45"/>
      <c r="AH69" s="47" t="str">
        <f aca="false">IF(ISNUMBER($AD69),($AD69+$AE69+$AF69)*$AG69,"")</f>
        <v/>
      </c>
      <c r="AI69" s="43"/>
      <c r="AJ69" s="46" t="str">
        <f aca="false">IF(ISNUMBER($AD69),SUM($AD69:$AH69),"")</f>
        <v/>
      </c>
      <c r="AK69" s="48" t="str">
        <f aca="false">IF(AND(ISNUMBER($AB69),ISNUMBER($AD69)),IF($AB69&gt;0,$AD69/$AB69,""),"")</f>
        <v/>
      </c>
      <c r="AL69" s="40"/>
      <c r="AM69" s="49" t="str">
        <f aca="false">IF(ISNUMBER($AD69),Header!$I$3,"")</f>
        <v/>
      </c>
      <c r="AN69" s="47" t="str">
        <f aca="false">IF(ISNUMBER($AD69),$AO69+$AP69,"")</f>
        <v/>
      </c>
      <c r="AO69" s="47" t="str">
        <f aca="false">IF(ISNUMBER($AD69),ROUND($AD69*Header!$K$3,2),"")</f>
        <v/>
      </c>
      <c r="AP69" s="47" t="str">
        <f aca="false">IF(ISNUMBER($AD69),ROUND($AD69*Header!$M$3,2),"")</f>
        <v/>
      </c>
      <c r="AQ69" s="46" t="str">
        <f aca="false">IF(ISNUMBER($AD69),ROUND($AD69,2)-$AO69-$AP69,"")</f>
        <v/>
      </c>
      <c r="AR69" s="47" t="str">
        <f aca="false">IF(ISNUMBER($AD69),IF(Header!$D$34="","?",$AD69*Header!$D$34),"")</f>
        <v/>
      </c>
      <c r="AS69" s="47" t="str">
        <f aca="false">IF(ISNUMBER($AB69),IF(Header!$D$34="","?",$AB69*Header!$D$34),"")</f>
        <v/>
      </c>
      <c r="AT69" s="50" t="str">
        <f aca="false">IF(AND(ISNUMBER($AB69),$M69&gt;0),$AB69/$M69*100,"")</f>
        <v/>
      </c>
      <c r="AU69" s="50" t="str">
        <f aca="false">IF(AND(ISNUMBER($AD69),$M69&gt;0),$AD69/$M69*100,"")</f>
        <v/>
      </c>
      <c r="AV69" s="48" t="str">
        <f aca="false">IF(AND(ISNUMBER($AB69),ISNUMBER($AD69),ABS($AB69)&gt;0),$AD69/$AB69,"")</f>
        <v/>
      </c>
      <c r="AW69" s="47" t="str">
        <f aca="false">IF(ISNUMBER($AD69),MAX(0,(1-0.55-Header!$O$3)*Header!$Q$3*$AQ69),"")</f>
        <v/>
      </c>
      <c r="AX69" s="51" t="str">
        <f aca="false">IF($A69="","",IF(TRIM(IF($A69="","Missing certificate ref. ","") &amp; IF($C69="","Missing effective date. ","") &amp; IF($D69="","Missing binding status. ","") &amp; IF($E69="","Missing movement type. ","") &amp; IF($I69="","Missing make. ","") &amp; IF($L69="","Missing vehicle class. ","") &amp; IF($M69="","Missing agreed value. ","") &amp; IF($N69="","Missing policy type. ","") &amp; IF($Q69="","Missing garaging state. ","") &amp; IF($R69="","Missing garaging ZIP. ","") &amp; IF($S69="","Missing cat zone. ","") &amp; IF($V69="","Missing valuation basis. ","") &amp; IF($W69="","Missing PD deductible. ","") &amp; IF($X69="","Missing liability limit. ","") &amp; IF($AB69="","Missing technical premium. ","") &amp; IF($AF69="","Missing surplus lines tax %. ",""))="","PASS","FAIL: "&amp;TRIM(IF($A69="","Missing certificate ref. ","") &amp; IF($C69="","Missing effective date. ","") &amp; IF($D69="","Missing binding status. ","") &amp; IF($E69="","Missing movement type. ","") &amp; IF($I69="","Missing make. ","") &amp; IF($L69="","Missing vehicle class. ","") &amp; IF($M69="","Missing agreed value. ","") &amp; IF($N69="","Missing policy type. ","") &amp; IF($Q69="","Missing garaging state. ","") &amp; IF($R69="","Missing garaging ZIP. ","") &amp; IF($S69="","Missing cat zone. ","") &amp; IF($V69="","Missing valuation basis. ","") &amp; IF($W69="","Missing PD deductible. ","") &amp; IF($X69="","Missing liability limit. ","") &amp; IF($AB69="","Missing technical premium. ","") &amp; IF($AF69="","Missing surplus lines tax %. ",""))))</f>
        <v/>
      </c>
      <c r="AY69" s="52" t="str">
        <f aca="false">IF($M69="","",IF(ISNUMBER($M69),IF($M69&gt;=Header!$C$18,"YES — refer","No"),""))</f>
        <v/>
      </c>
      <c r="AZ69" s="52" t="str">
        <f aca="false">IF($AD69="","",IF(ISNUMBER($AD69),IF($AD69&lt;Header!$C$20,"BELOW MIN PREMIUM","OK"),""))</f>
        <v/>
      </c>
      <c r="BA69" s="40"/>
      <c r="BB69" s="40"/>
      <c r="BC69" s="38"/>
      <c r="BE69" s="53" t="str">
        <f aca="false">IF(OR($A69="",$L69="",$H69=""),"",IF(AND(LEFT($L69,2)="06",$H69&gt;1945),"FAIL - pre-war class, year "&amp;$H69,IF(AND(LEFT($L69,2)="07",OR($H69&lt;1946,$H69&gt;1972)),"FAIL - 1946-72 class, year "&amp;$H69,IF(AND(LEFT($L69,2)="08",OR($H69&lt;1973,$H69&gt;1999)),"FAIL - 1973-99 class, year "&amp;$H69,IF(AND(LEFT($L69,2)="09",OR($H69&lt;2000,$H69&gt;2010)),"FAIL - 2000-10 class, year "&amp;$H69,"OK")))))</f>
        <v/>
      </c>
      <c r="BF69" s="53" t="str">
        <f aca="false">IF($AD69="","",IF(ROUND($AO69+$AP69+$AQ69-$AD69,2)=0,"OK","FAIL - out by "&amp;TEXT($AO69+$AP69+$AQ69-$AD69,"$0.00")))</f>
        <v/>
      </c>
    </row>
    <row r="70" customFormat="false" ht="15" hidden="false" customHeight="true" outlineLevel="0" collapsed="false">
      <c r="A70" s="54"/>
      <c r="B70" s="54"/>
      <c r="C70" s="55"/>
      <c r="D70" s="56"/>
      <c r="E70" s="56"/>
      <c r="F70" s="54"/>
      <c r="G70" s="41" t="str">
        <f aca="false">IF($A70="","",IF($C70="","",YEAR($C70)))</f>
        <v/>
      </c>
      <c r="H70" s="57"/>
      <c r="I70" s="54"/>
      <c r="J70" s="54"/>
      <c r="K70" s="54"/>
      <c r="L70" s="56"/>
      <c r="M70" s="58"/>
      <c r="N70" s="56"/>
      <c r="O70" s="54"/>
      <c r="P70" s="54"/>
      <c r="Q70" s="54"/>
      <c r="R70" s="54"/>
      <c r="S70" s="56"/>
      <c r="T70" s="44" t="str">
        <f aca="false">IF($A70="","",IF($S70="","",IFERROR(INDEX(Lists!$N$5:$N$16,MATCH($S70,Lists!$M$5:$M$16,0)),"?")))</f>
        <v/>
      </c>
      <c r="U70" s="54"/>
      <c r="V70" s="56"/>
      <c r="W70" s="54"/>
      <c r="X70" s="56"/>
      <c r="Y70" s="54"/>
      <c r="Z70" s="54"/>
      <c r="AA70" s="56"/>
      <c r="AB70" s="58"/>
      <c r="AC70" s="59"/>
      <c r="AD70" s="46" t="str">
        <f aca="false">IF(ISNUMBER($AB70),$AB70*(1+N($AC70)),"")</f>
        <v/>
      </c>
      <c r="AE70" s="58"/>
      <c r="AF70" s="58"/>
      <c r="AG70" s="59"/>
      <c r="AH70" s="47" t="str">
        <f aca="false">IF(ISNUMBER($AD70),($AD70+$AE70+$AF70)*$AG70,"")</f>
        <v/>
      </c>
      <c r="AI70" s="58"/>
      <c r="AJ70" s="46" t="str">
        <f aca="false">IF(ISNUMBER($AD70),SUM($AD70:$AH70),"")</f>
        <v/>
      </c>
      <c r="AK70" s="48" t="str">
        <f aca="false">IF(AND(ISNUMBER($AB70),ISNUMBER($AD70)),IF($AB70&gt;0,$AD70/$AB70,""),"")</f>
        <v/>
      </c>
      <c r="AL70" s="56"/>
      <c r="AM70" s="49" t="str">
        <f aca="false">IF(ISNUMBER($AD70),Header!$I$3,"")</f>
        <v/>
      </c>
      <c r="AN70" s="47" t="str">
        <f aca="false">IF(ISNUMBER($AD70),$AO70+$AP70,"")</f>
        <v/>
      </c>
      <c r="AO70" s="47" t="str">
        <f aca="false">IF(ISNUMBER($AD70),ROUND($AD70*Header!$K$3,2),"")</f>
        <v/>
      </c>
      <c r="AP70" s="47" t="str">
        <f aca="false">IF(ISNUMBER($AD70),ROUND($AD70*Header!$M$3,2),"")</f>
        <v/>
      </c>
      <c r="AQ70" s="46" t="str">
        <f aca="false">IF(ISNUMBER($AD70),ROUND($AD70,2)-$AO70-$AP70,"")</f>
        <v/>
      </c>
      <c r="AR70" s="47" t="str">
        <f aca="false">IF(ISNUMBER($AD70),IF(Header!$D$34="","?",$AD70*Header!$D$34),"")</f>
        <v/>
      </c>
      <c r="AS70" s="47" t="str">
        <f aca="false">IF(ISNUMBER($AB70),IF(Header!$D$34="","?",$AB70*Header!$D$34),"")</f>
        <v/>
      </c>
      <c r="AT70" s="50" t="str">
        <f aca="false">IF(AND(ISNUMBER($AB70),$M70&gt;0),$AB70/$M70*100,"")</f>
        <v/>
      </c>
      <c r="AU70" s="50" t="str">
        <f aca="false">IF(AND(ISNUMBER($AD70),$M70&gt;0),$AD70/$M70*100,"")</f>
        <v/>
      </c>
      <c r="AV70" s="48" t="str">
        <f aca="false">IF(AND(ISNUMBER($AB70),ISNUMBER($AD70),ABS($AB70)&gt;0),$AD70/$AB70,"")</f>
        <v/>
      </c>
      <c r="AW70" s="47" t="str">
        <f aca="false">IF(ISNUMBER($AD70),MAX(0,(1-0.55-Header!$O$3)*Header!$Q$3*$AQ70),"")</f>
        <v/>
      </c>
      <c r="AX70" s="51" t="str">
        <f aca="false">IF($A70="","",IF(TRIM(IF($A70="","Missing certificate ref. ","") &amp; IF($C70="","Missing effective date. ","") &amp; IF($D70="","Missing binding status. ","") &amp; IF($E70="","Missing movement type. ","") &amp; IF($I70="","Missing make. ","") &amp; IF($L70="","Missing vehicle class. ","") &amp; IF($M70="","Missing agreed value. ","") &amp; IF($N70="","Missing policy type. ","") &amp; IF($Q70="","Missing garaging state. ","") &amp; IF($R70="","Missing garaging ZIP. ","") &amp; IF($S70="","Missing cat zone. ","") &amp; IF($V70="","Missing valuation basis. ","") &amp; IF($W70="","Missing PD deductible. ","") &amp; IF($X70="","Missing liability limit. ","") &amp; IF($AB70="","Missing technical premium. ","") &amp; IF($AF70="","Missing surplus lines tax %. ",""))="","PASS","FAIL: "&amp;TRIM(IF($A70="","Missing certificate ref. ","") &amp; IF($C70="","Missing effective date. ","") &amp; IF($D70="","Missing binding status. ","") &amp; IF($E70="","Missing movement type. ","") &amp; IF($I70="","Missing make. ","") &amp; IF($L70="","Missing vehicle class. ","") &amp; IF($M70="","Missing agreed value. ","") &amp; IF($N70="","Missing policy type. ","") &amp; IF($Q70="","Missing garaging state. ","") &amp; IF($R70="","Missing garaging ZIP. ","") &amp; IF($S70="","Missing cat zone. ","") &amp; IF($V70="","Missing valuation basis. ","") &amp; IF($W70="","Missing PD deductible. ","") &amp; IF($X70="","Missing liability limit. ","") &amp; IF($AB70="","Missing technical premium. ","") &amp; IF($AF70="","Missing surplus lines tax %. ",""))))</f>
        <v/>
      </c>
      <c r="AY70" s="52" t="str">
        <f aca="false">IF($M70="","",IF(ISNUMBER($M70),IF($M70&gt;=Header!$C$18,"YES — refer","No"),""))</f>
        <v/>
      </c>
      <c r="AZ70" s="52" t="str">
        <f aca="false">IF($AD70="","",IF(ISNUMBER($AD70),IF($AD70&lt;Header!$C$20,"BELOW MIN PREMIUM","OK"),""))</f>
        <v/>
      </c>
      <c r="BA70" s="56"/>
      <c r="BB70" s="56"/>
      <c r="BC70" s="54"/>
      <c r="BE70" s="53" t="str">
        <f aca="false">IF(OR($A70="",$L70="",$H70=""),"",IF(AND(LEFT($L70,2)="06",$H70&gt;1945),"FAIL - pre-war class, year "&amp;$H70,IF(AND(LEFT($L70,2)="07",OR($H70&lt;1946,$H70&gt;1972)),"FAIL - 1946-72 class, year "&amp;$H70,IF(AND(LEFT($L70,2)="08",OR($H70&lt;1973,$H70&gt;1999)),"FAIL - 1973-99 class, year "&amp;$H70,IF(AND(LEFT($L70,2)="09",OR($H70&lt;2000,$H70&gt;2010)),"FAIL - 2000-10 class, year "&amp;$H70,"OK")))))</f>
        <v/>
      </c>
      <c r="BF70" s="53" t="str">
        <f aca="false">IF($AD70="","",IF(ROUND($AO70+$AP70+$AQ70-$AD70,2)=0,"OK","FAIL - out by "&amp;TEXT($AO70+$AP70+$AQ70-$AD70,"$0.00")))</f>
        <v/>
      </c>
    </row>
    <row r="71" customFormat="false" ht="15" hidden="false" customHeight="true" outlineLevel="0" collapsed="false">
      <c r="A71" s="38"/>
      <c r="B71" s="38"/>
      <c r="C71" s="39"/>
      <c r="D71" s="40"/>
      <c r="E71" s="40"/>
      <c r="F71" s="38"/>
      <c r="G71" s="41" t="str">
        <f aca="false">IF($A71="","",IF($C71="","",YEAR($C71)))</f>
        <v/>
      </c>
      <c r="H71" s="42"/>
      <c r="I71" s="38"/>
      <c r="J71" s="38"/>
      <c r="K71" s="38"/>
      <c r="L71" s="40"/>
      <c r="M71" s="43"/>
      <c r="N71" s="40"/>
      <c r="O71" s="38"/>
      <c r="P71" s="38"/>
      <c r="Q71" s="38"/>
      <c r="R71" s="38"/>
      <c r="S71" s="40"/>
      <c r="T71" s="44" t="str">
        <f aca="false">IF($A71="","",IF($S71="","",IFERROR(INDEX(Lists!$N$5:$N$16,MATCH($S71,Lists!$M$5:$M$16,0)),"?")))</f>
        <v/>
      </c>
      <c r="U71" s="38"/>
      <c r="V71" s="40"/>
      <c r="W71" s="38"/>
      <c r="X71" s="40"/>
      <c r="Y71" s="38"/>
      <c r="Z71" s="38"/>
      <c r="AA71" s="40"/>
      <c r="AB71" s="43"/>
      <c r="AC71" s="45"/>
      <c r="AD71" s="46" t="str">
        <f aca="false">IF(ISNUMBER($AB71),$AB71*(1+N($AC71)),"")</f>
        <v/>
      </c>
      <c r="AE71" s="43"/>
      <c r="AF71" s="43"/>
      <c r="AG71" s="45"/>
      <c r="AH71" s="47" t="str">
        <f aca="false">IF(ISNUMBER($AD71),($AD71+$AE71+$AF71)*$AG71,"")</f>
        <v/>
      </c>
      <c r="AI71" s="43"/>
      <c r="AJ71" s="46" t="str">
        <f aca="false">IF(ISNUMBER($AD71),SUM($AD71:$AH71),"")</f>
        <v/>
      </c>
      <c r="AK71" s="48" t="str">
        <f aca="false">IF(AND(ISNUMBER($AB71),ISNUMBER($AD71)),IF($AB71&gt;0,$AD71/$AB71,""),"")</f>
        <v/>
      </c>
      <c r="AL71" s="40"/>
      <c r="AM71" s="49" t="str">
        <f aca="false">IF(ISNUMBER($AD71),Header!$I$3,"")</f>
        <v/>
      </c>
      <c r="AN71" s="47" t="str">
        <f aca="false">IF(ISNUMBER($AD71),$AO71+$AP71,"")</f>
        <v/>
      </c>
      <c r="AO71" s="47" t="str">
        <f aca="false">IF(ISNUMBER($AD71),ROUND($AD71*Header!$K$3,2),"")</f>
        <v/>
      </c>
      <c r="AP71" s="47" t="str">
        <f aca="false">IF(ISNUMBER($AD71),ROUND($AD71*Header!$M$3,2),"")</f>
        <v/>
      </c>
      <c r="AQ71" s="46" t="str">
        <f aca="false">IF(ISNUMBER($AD71),ROUND($AD71,2)-$AO71-$AP71,"")</f>
        <v/>
      </c>
      <c r="AR71" s="47" t="str">
        <f aca="false">IF(ISNUMBER($AD71),IF(Header!$D$34="","?",$AD71*Header!$D$34),"")</f>
        <v/>
      </c>
      <c r="AS71" s="47" t="str">
        <f aca="false">IF(ISNUMBER($AB71),IF(Header!$D$34="","?",$AB71*Header!$D$34),"")</f>
        <v/>
      </c>
      <c r="AT71" s="50" t="str">
        <f aca="false">IF(AND(ISNUMBER($AB71),$M71&gt;0),$AB71/$M71*100,"")</f>
        <v/>
      </c>
      <c r="AU71" s="50" t="str">
        <f aca="false">IF(AND(ISNUMBER($AD71),$M71&gt;0),$AD71/$M71*100,"")</f>
        <v/>
      </c>
      <c r="AV71" s="48" t="str">
        <f aca="false">IF(AND(ISNUMBER($AB71),ISNUMBER($AD71),ABS($AB71)&gt;0),$AD71/$AB71,"")</f>
        <v/>
      </c>
      <c r="AW71" s="47" t="str">
        <f aca="false">IF(ISNUMBER($AD71),MAX(0,(1-0.55-Header!$O$3)*Header!$Q$3*$AQ71),"")</f>
        <v/>
      </c>
      <c r="AX71" s="51" t="str">
        <f aca="false">IF($A71="","",IF(TRIM(IF($A71="","Missing certificate ref. ","") &amp; IF($C71="","Missing effective date. ","") &amp; IF($D71="","Missing binding status. ","") &amp; IF($E71="","Missing movement type. ","") &amp; IF($I71="","Missing make. ","") &amp; IF($L71="","Missing vehicle class. ","") &amp; IF($M71="","Missing agreed value. ","") &amp; IF($N71="","Missing policy type. ","") &amp; IF($Q71="","Missing garaging state. ","") &amp; IF($R71="","Missing garaging ZIP. ","") &amp; IF($S71="","Missing cat zone. ","") &amp; IF($V71="","Missing valuation basis. ","") &amp; IF($W71="","Missing PD deductible. ","") &amp; IF($X71="","Missing liability limit. ","") &amp; IF($AB71="","Missing technical premium. ","") &amp; IF($AF71="","Missing surplus lines tax %. ",""))="","PASS","FAIL: "&amp;TRIM(IF($A71="","Missing certificate ref. ","") &amp; IF($C71="","Missing effective date. ","") &amp; IF($D71="","Missing binding status. ","") &amp; IF($E71="","Missing movement type. ","") &amp; IF($I71="","Missing make. ","") &amp; IF($L71="","Missing vehicle class. ","") &amp; IF($M71="","Missing agreed value. ","") &amp; IF($N71="","Missing policy type. ","") &amp; IF($Q71="","Missing garaging state. ","") &amp; IF($R71="","Missing garaging ZIP. ","") &amp; IF($S71="","Missing cat zone. ","") &amp; IF($V71="","Missing valuation basis. ","") &amp; IF($W71="","Missing PD deductible. ","") &amp; IF($X71="","Missing liability limit. ","") &amp; IF($AB71="","Missing technical premium. ","") &amp; IF($AF71="","Missing surplus lines tax %. ",""))))</f>
        <v/>
      </c>
      <c r="AY71" s="52" t="str">
        <f aca="false">IF($M71="","",IF(ISNUMBER($M71),IF($M71&gt;=Header!$C$18,"YES — refer","No"),""))</f>
        <v/>
      </c>
      <c r="AZ71" s="52" t="str">
        <f aca="false">IF($AD71="","",IF(ISNUMBER($AD71),IF($AD71&lt;Header!$C$20,"BELOW MIN PREMIUM","OK"),""))</f>
        <v/>
      </c>
      <c r="BA71" s="40"/>
      <c r="BB71" s="40"/>
      <c r="BC71" s="38"/>
      <c r="BE71" s="53" t="str">
        <f aca="false">IF(OR($A71="",$L71="",$H71=""),"",IF(AND(LEFT($L71,2)="06",$H71&gt;1945),"FAIL - pre-war class, year "&amp;$H71,IF(AND(LEFT($L71,2)="07",OR($H71&lt;1946,$H71&gt;1972)),"FAIL - 1946-72 class, year "&amp;$H71,IF(AND(LEFT($L71,2)="08",OR($H71&lt;1973,$H71&gt;1999)),"FAIL - 1973-99 class, year "&amp;$H71,IF(AND(LEFT($L71,2)="09",OR($H71&lt;2000,$H71&gt;2010)),"FAIL - 2000-10 class, year "&amp;$H71,"OK")))))</f>
        <v/>
      </c>
      <c r="BF71" s="53" t="str">
        <f aca="false">IF($AD71="","",IF(ROUND($AO71+$AP71+$AQ71-$AD71,2)=0,"OK","FAIL - out by "&amp;TEXT($AO71+$AP71+$AQ71-$AD71,"$0.00")))</f>
        <v/>
      </c>
    </row>
    <row r="72" customFormat="false" ht="15" hidden="false" customHeight="true" outlineLevel="0" collapsed="false">
      <c r="A72" s="54"/>
      <c r="B72" s="54"/>
      <c r="C72" s="55"/>
      <c r="D72" s="56"/>
      <c r="E72" s="56"/>
      <c r="F72" s="54"/>
      <c r="G72" s="41" t="str">
        <f aca="false">IF($A72="","",IF($C72="","",YEAR($C72)))</f>
        <v/>
      </c>
      <c r="H72" s="57"/>
      <c r="I72" s="54"/>
      <c r="J72" s="54"/>
      <c r="K72" s="54"/>
      <c r="L72" s="56"/>
      <c r="M72" s="58"/>
      <c r="N72" s="56"/>
      <c r="O72" s="54"/>
      <c r="P72" s="54"/>
      <c r="Q72" s="54"/>
      <c r="R72" s="54"/>
      <c r="S72" s="56"/>
      <c r="T72" s="44" t="str">
        <f aca="false">IF($A72="","",IF($S72="","",IFERROR(INDEX(Lists!$N$5:$N$16,MATCH($S72,Lists!$M$5:$M$16,0)),"?")))</f>
        <v/>
      </c>
      <c r="U72" s="54"/>
      <c r="V72" s="56"/>
      <c r="W72" s="54"/>
      <c r="X72" s="56"/>
      <c r="Y72" s="54"/>
      <c r="Z72" s="54"/>
      <c r="AA72" s="56"/>
      <c r="AB72" s="58"/>
      <c r="AC72" s="59"/>
      <c r="AD72" s="46" t="str">
        <f aca="false">IF(ISNUMBER($AB72),$AB72*(1+N($AC72)),"")</f>
        <v/>
      </c>
      <c r="AE72" s="58"/>
      <c r="AF72" s="58"/>
      <c r="AG72" s="59"/>
      <c r="AH72" s="47" t="str">
        <f aca="false">IF(ISNUMBER($AD72),($AD72+$AE72+$AF72)*$AG72,"")</f>
        <v/>
      </c>
      <c r="AI72" s="58"/>
      <c r="AJ72" s="46" t="str">
        <f aca="false">IF(ISNUMBER($AD72),SUM($AD72:$AH72),"")</f>
        <v/>
      </c>
      <c r="AK72" s="48" t="str">
        <f aca="false">IF(AND(ISNUMBER($AB72),ISNUMBER($AD72)),IF($AB72&gt;0,$AD72/$AB72,""),"")</f>
        <v/>
      </c>
      <c r="AL72" s="56"/>
      <c r="AM72" s="49" t="str">
        <f aca="false">IF(ISNUMBER($AD72),Header!$I$3,"")</f>
        <v/>
      </c>
      <c r="AN72" s="47" t="str">
        <f aca="false">IF(ISNUMBER($AD72),$AO72+$AP72,"")</f>
        <v/>
      </c>
      <c r="AO72" s="47" t="str">
        <f aca="false">IF(ISNUMBER($AD72),ROUND($AD72*Header!$K$3,2),"")</f>
        <v/>
      </c>
      <c r="AP72" s="47" t="str">
        <f aca="false">IF(ISNUMBER($AD72),ROUND($AD72*Header!$M$3,2),"")</f>
        <v/>
      </c>
      <c r="AQ72" s="46" t="str">
        <f aca="false">IF(ISNUMBER($AD72),ROUND($AD72,2)-$AO72-$AP72,"")</f>
        <v/>
      </c>
      <c r="AR72" s="47" t="str">
        <f aca="false">IF(ISNUMBER($AD72),IF(Header!$D$34="","?",$AD72*Header!$D$34),"")</f>
        <v/>
      </c>
      <c r="AS72" s="47" t="str">
        <f aca="false">IF(ISNUMBER($AB72),IF(Header!$D$34="","?",$AB72*Header!$D$34),"")</f>
        <v/>
      </c>
      <c r="AT72" s="50" t="str">
        <f aca="false">IF(AND(ISNUMBER($AB72),$M72&gt;0),$AB72/$M72*100,"")</f>
        <v/>
      </c>
      <c r="AU72" s="50" t="str">
        <f aca="false">IF(AND(ISNUMBER($AD72),$M72&gt;0),$AD72/$M72*100,"")</f>
        <v/>
      </c>
      <c r="AV72" s="48" t="str">
        <f aca="false">IF(AND(ISNUMBER($AB72),ISNUMBER($AD72),ABS($AB72)&gt;0),$AD72/$AB72,"")</f>
        <v/>
      </c>
      <c r="AW72" s="47" t="str">
        <f aca="false">IF(ISNUMBER($AD72),MAX(0,(1-0.55-Header!$O$3)*Header!$Q$3*$AQ72),"")</f>
        <v/>
      </c>
      <c r="AX72" s="51" t="str">
        <f aca="false">IF($A72="","",IF(TRIM(IF($A72="","Missing certificate ref. ","") &amp; IF($C72="","Missing effective date. ","") &amp; IF($D72="","Missing binding status. ","") &amp; IF($E72="","Missing movement type. ","") &amp; IF($I72="","Missing make. ","") &amp; IF($L72="","Missing vehicle class. ","") &amp; IF($M72="","Missing agreed value. ","") &amp; IF($N72="","Missing policy type. ","") &amp; IF($Q72="","Missing garaging state. ","") &amp; IF($R72="","Missing garaging ZIP. ","") &amp; IF($S72="","Missing cat zone. ","") &amp; IF($V72="","Missing valuation basis. ","") &amp; IF($W72="","Missing PD deductible. ","") &amp; IF($X72="","Missing liability limit. ","") &amp; IF($AB72="","Missing technical premium. ","") &amp; IF($AF72="","Missing surplus lines tax %. ",""))="","PASS","FAIL: "&amp;TRIM(IF($A72="","Missing certificate ref. ","") &amp; IF($C72="","Missing effective date. ","") &amp; IF($D72="","Missing binding status. ","") &amp; IF($E72="","Missing movement type. ","") &amp; IF($I72="","Missing make. ","") &amp; IF($L72="","Missing vehicle class. ","") &amp; IF($M72="","Missing agreed value. ","") &amp; IF($N72="","Missing policy type. ","") &amp; IF($Q72="","Missing garaging state. ","") &amp; IF($R72="","Missing garaging ZIP. ","") &amp; IF($S72="","Missing cat zone. ","") &amp; IF($V72="","Missing valuation basis. ","") &amp; IF($W72="","Missing PD deductible. ","") &amp; IF($X72="","Missing liability limit. ","") &amp; IF($AB72="","Missing technical premium. ","") &amp; IF($AF72="","Missing surplus lines tax %. ",""))))</f>
        <v/>
      </c>
      <c r="AY72" s="52" t="str">
        <f aca="false">IF($M72="","",IF(ISNUMBER($M72),IF($M72&gt;=Header!$C$18,"YES — refer","No"),""))</f>
        <v/>
      </c>
      <c r="AZ72" s="52" t="str">
        <f aca="false">IF($AD72="","",IF(ISNUMBER($AD72),IF($AD72&lt;Header!$C$20,"BELOW MIN PREMIUM","OK"),""))</f>
        <v/>
      </c>
      <c r="BA72" s="56"/>
      <c r="BB72" s="56"/>
      <c r="BC72" s="54"/>
      <c r="BE72" s="53" t="str">
        <f aca="false">IF(OR($A72="",$L72="",$H72=""),"",IF(AND(LEFT($L72,2)="06",$H72&gt;1945),"FAIL - pre-war class, year "&amp;$H72,IF(AND(LEFT($L72,2)="07",OR($H72&lt;1946,$H72&gt;1972)),"FAIL - 1946-72 class, year "&amp;$H72,IF(AND(LEFT($L72,2)="08",OR($H72&lt;1973,$H72&gt;1999)),"FAIL - 1973-99 class, year "&amp;$H72,IF(AND(LEFT($L72,2)="09",OR($H72&lt;2000,$H72&gt;2010)),"FAIL - 2000-10 class, year "&amp;$H72,"OK")))))</f>
        <v/>
      </c>
      <c r="BF72" s="53" t="str">
        <f aca="false">IF($AD72="","",IF(ROUND($AO72+$AP72+$AQ72-$AD72,2)=0,"OK","FAIL - out by "&amp;TEXT($AO72+$AP72+$AQ72-$AD72,"$0.00")))</f>
        <v/>
      </c>
    </row>
    <row r="73" customFormat="false" ht="15" hidden="false" customHeight="true" outlineLevel="0" collapsed="false">
      <c r="A73" s="38"/>
      <c r="B73" s="38"/>
      <c r="C73" s="39"/>
      <c r="D73" s="40"/>
      <c r="E73" s="40"/>
      <c r="F73" s="38"/>
      <c r="G73" s="41" t="str">
        <f aca="false">IF($A73="","",IF($C73="","",YEAR($C73)))</f>
        <v/>
      </c>
      <c r="H73" s="42"/>
      <c r="I73" s="38"/>
      <c r="J73" s="38"/>
      <c r="K73" s="38"/>
      <c r="L73" s="40"/>
      <c r="M73" s="43"/>
      <c r="N73" s="40"/>
      <c r="O73" s="38"/>
      <c r="P73" s="38"/>
      <c r="Q73" s="38"/>
      <c r="R73" s="38"/>
      <c r="S73" s="40"/>
      <c r="T73" s="44" t="str">
        <f aca="false">IF($A73="","",IF($S73="","",IFERROR(INDEX(Lists!$N$5:$N$16,MATCH($S73,Lists!$M$5:$M$16,0)),"?")))</f>
        <v/>
      </c>
      <c r="U73" s="38"/>
      <c r="V73" s="40"/>
      <c r="W73" s="38"/>
      <c r="X73" s="40"/>
      <c r="Y73" s="38"/>
      <c r="Z73" s="38"/>
      <c r="AA73" s="40"/>
      <c r="AB73" s="43"/>
      <c r="AC73" s="45"/>
      <c r="AD73" s="46" t="str">
        <f aca="false">IF(ISNUMBER($AB73),$AB73*(1+N($AC73)),"")</f>
        <v/>
      </c>
      <c r="AE73" s="43"/>
      <c r="AF73" s="43"/>
      <c r="AG73" s="45"/>
      <c r="AH73" s="47" t="str">
        <f aca="false">IF(ISNUMBER($AD73),($AD73+$AE73+$AF73)*$AG73,"")</f>
        <v/>
      </c>
      <c r="AI73" s="43"/>
      <c r="AJ73" s="46" t="str">
        <f aca="false">IF(ISNUMBER($AD73),SUM($AD73:$AH73),"")</f>
        <v/>
      </c>
      <c r="AK73" s="48" t="str">
        <f aca="false">IF(AND(ISNUMBER($AB73),ISNUMBER($AD73)),IF($AB73&gt;0,$AD73/$AB73,""),"")</f>
        <v/>
      </c>
      <c r="AL73" s="40"/>
      <c r="AM73" s="49" t="str">
        <f aca="false">IF(ISNUMBER($AD73),Header!$I$3,"")</f>
        <v/>
      </c>
      <c r="AN73" s="47" t="str">
        <f aca="false">IF(ISNUMBER($AD73),$AO73+$AP73,"")</f>
        <v/>
      </c>
      <c r="AO73" s="47" t="str">
        <f aca="false">IF(ISNUMBER($AD73),ROUND($AD73*Header!$K$3,2),"")</f>
        <v/>
      </c>
      <c r="AP73" s="47" t="str">
        <f aca="false">IF(ISNUMBER($AD73),ROUND($AD73*Header!$M$3,2),"")</f>
        <v/>
      </c>
      <c r="AQ73" s="46" t="str">
        <f aca="false">IF(ISNUMBER($AD73),ROUND($AD73,2)-$AO73-$AP73,"")</f>
        <v/>
      </c>
      <c r="AR73" s="47" t="str">
        <f aca="false">IF(ISNUMBER($AD73),IF(Header!$D$34="","?",$AD73*Header!$D$34),"")</f>
        <v/>
      </c>
      <c r="AS73" s="47" t="str">
        <f aca="false">IF(ISNUMBER($AB73),IF(Header!$D$34="","?",$AB73*Header!$D$34),"")</f>
        <v/>
      </c>
      <c r="AT73" s="50" t="str">
        <f aca="false">IF(AND(ISNUMBER($AB73),$M73&gt;0),$AB73/$M73*100,"")</f>
        <v/>
      </c>
      <c r="AU73" s="50" t="str">
        <f aca="false">IF(AND(ISNUMBER($AD73),$M73&gt;0),$AD73/$M73*100,"")</f>
        <v/>
      </c>
      <c r="AV73" s="48" t="str">
        <f aca="false">IF(AND(ISNUMBER($AB73),ISNUMBER($AD73),ABS($AB73)&gt;0),$AD73/$AB73,"")</f>
        <v/>
      </c>
      <c r="AW73" s="47" t="str">
        <f aca="false">IF(ISNUMBER($AD73),MAX(0,(1-0.55-Header!$O$3)*Header!$Q$3*$AQ73),"")</f>
        <v/>
      </c>
      <c r="AX73" s="51" t="str">
        <f aca="false">IF($A73="","",IF(TRIM(IF($A73="","Missing certificate ref. ","") &amp; IF($C73="","Missing effective date. ","") &amp; IF($D73="","Missing binding status. ","") &amp; IF($E73="","Missing movement type. ","") &amp; IF($I73="","Missing make. ","") &amp; IF($L73="","Missing vehicle class. ","") &amp; IF($M73="","Missing agreed value. ","") &amp; IF($N73="","Missing policy type. ","") &amp; IF($Q73="","Missing garaging state. ","") &amp; IF($R73="","Missing garaging ZIP. ","") &amp; IF($S73="","Missing cat zone. ","") &amp; IF($V73="","Missing valuation basis. ","") &amp; IF($W73="","Missing PD deductible. ","") &amp; IF($X73="","Missing liability limit. ","") &amp; IF($AB73="","Missing technical premium. ","") &amp; IF($AF73="","Missing surplus lines tax %. ",""))="","PASS","FAIL: "&amp;TRIM(IF($A73="","Missing certificate ref. ","") &amp; IF($C73="","Missing effective date. ","") &amp; IF($D73="","Missing binding status. ","") &amp; IF($E73="","Missing movement type. ","") &amp; IF($I73="","Missing make. ","") &amp; IF($L73="","Missing vehicle class. ","") &amp; IF($M73="","Missing agreed value. ","") &amp; IF($N73="","Missing policy type. ","") &amp; IF($Q73="","Missing garaging state. ","") &amp; IF($R73="","Missing garaging ZIP. ","") &amp; IF($S73="","Missing cat zone. ","") &amp; IF($V73="","Missing valuation basis. ","") &amp; IF($W73="","Missing PD deductible. ","") &amp; IF($X73="","Missing liability limit. ","") &amp; IF($AB73="","Missing technical premium. ","") &amp; IF($AF73="","Missing surplus lines tax %. ",""))))</f>
        <v/>
      </c>
      <c r="AY73" s="52" t="str">
        <f aca="false">IF($M73="","",IF(ISNUMBER($M73),IF($M73&gt;=Header!$C$18,"YES — refer","No"),""))</f>
        <v/>
      </c>
      <c r="AZ73" s="52" t="str">
        <f aca="false">IF($AD73="","",IF(ISNUMBER($AD73),IF($AD73&lt;Header!$C$20,"BELOW MIN PREMIUM","OK"),""))</f>
        <v/>
      </c>
      <c r="BA73" s="40"/>
      <c r="BB73" s="40"/>
      <c r="BC73" s="38"/>
      <c r="BE73" s="53" t="str">
        <f aca="false">IF(OR($A73="",$L73="",$H73=""),"",IF(AND(LEFT($L73,2)="06",$H73&gt;1945),"FAIL - pre-war class, year "&amp;$H73,IF(AND(LEFT($L73,2)="07",OR($H73&lt;1946,$H73&gt;1972)),"FAIL - 1946-72 class, year "&amp;$H73,IF(AND(LEFT($L73,2)="08",OR($H73&lt;1973,$H73&gt;1999)),"FAIL - 1973-99 class, year "&amp;$H73,IF(AND(LEFT($L73,2)="09",OR($H73&lt;2000,$H73&gt;2010)),"FAIL - 2000-10 class, year "&amp;$H73,"OK")))))</f>
        <v/>
      </c>
      <c r="BF73" s="53" t="str">
        <f aca="false">IF($AD73="","",IF(ROUND($AO73+$AP73+$AQ73-$AD73,2)=0,"OK","FAIL - out by "&amp;TEXT($AO73+$AP73+$AQ73-$AD73,"$0.00")))</f>
        <v/>
      </c>
    </row>
    <row r="74" customFormat="false" ht="15" hidden="false" customHeight="true" outlineLevel="0" collapsed="false">
      <c r="A74" s="54"/>
      <c r="B74" s="54"/>
      <c r="C74" s="55"/>
      <c r="D74" s="56"/>
      <c r="E74" s="56"/>
      <c r="F74" s="54"/>
      <c r="G74" s="41" t="str">
        <f aca="false">IF($A74="","",IF($C74="","",YEAR($C74)))</f>
        <v/>
      </c>
      <c r="H74" s="57"/>
      <c r="I74" s="54"/>
      <c r="J74" s="54"/>
      <c r="K74" s="54"/>
      <c r="L74" s="56"/>
      <c r="M74" s="58"/>
      <c r="N74" s="56"/>
      <c r="O74" s="54"/>
      <c r="P74" s="54"/>
      <c r="Q74" s="54"/>
      <c r="R74" s="54"/>
      <c r="S74" s="56"/>
      <c r="T74" s="44" t="str">
        <f aca="false">IF($A74="","",IF($S74="","",IFERROR(INDEX(Lists!$N$5:$N$16,MATCH($S74,Lists!$M$5:$M$16,0)),"?")))</f>
        <v/>
      </c>
      <c r="U74" s="54"/>
      <c r="V74" s="56"/>
      <c r="W74" s="54"/>
      <c r="X74" s="56"/>
      <c r="Y74" s="54"/>
      <c r="Z74" s="54"/>
      <c r="AA74" s="56"/>
      <c r="AB74" s="58"/>
      <c r="AC74" s="59"/>
      <c r="AD74" s="46" t="str">
        <f aca="false">IF(ISNUMBER($AB74),$AB74*(1+N($AC74)),"")</f>
        <v/>
      </c>
      <c r="AE74" s="58"/>
      <c r="AF74" s="58"/>
      <c r="AG74" s="59"/>
      <c r="AH74" s="47" t="str">
        <f aca="false">IF(ISNUMBER($AD74),($AD74+$AE74+$AF74)*$AG74,"")</f>
        <v/>
      </c>
      <c r="AI74" s="58"/>
      <c r="AJ74" s="46" t="str">
        <f aca="false">IF(ISNUMBER($AD74),SUM($AD74:$AH74),"")</f>
        <v/>
      </c>
      <c r="AK74" s="48" t="str">
        <f aca="false">IF(AND(ISNUMBER($AB74),ISNUMBER($AD74)),IF($AB74&gt;0,$AD74/$AB74,""),"")</f>
        <v/>
      </c>
      <c r="AL74" s="56"/>
      <c r="AM74" s="49" t="str">
        <f aca="false">IF(ISNUMBER($AD74),Header!$I$3,"")</f>
        <v/>
      </c>
      <c r="AN74" s="47" t="str">
        <f aca="false">IF(ISNUMBER($AD74),$AO74+$AP74,"")</f>
        <v/>
      </c>
      <c r="AO74" s="47" t="str">
        <f aca="false">IF(ISNUMBER($AD74),ROUND($AD74*Header!$K$3,2),"")</f>
        <v/>
      </c>
      <c r="AP74" s="47" t="str">
        <f aca="false">IF(ISNUMBER($AD74),ROUND($AD74*Header!$M$3,2),"")</f>
        <v/>
      </c>
      <c r="AQ74" s="46" t="str">
        <f aca="false">IF(ISNUMBER($AD74),ROUND($AD74,2)-$AO74-$AP74,"")</f>
        <v/>
      </c>
      <c r="AR74" s="47" t="str">
        <f aca="false">IF(ISNUMBER($AD74),IF(Header!$D$34="","?",$AD74*Header!$D$34),"")</f>
        <v/>
      </c>
      <c r="AS74" s="47" t="str">
        <f aca="false">IF(ISNUMBER($AB74),IF(Header!$D$34="","?",$AB74*Header!$D$34),"")</f>
        <v/>
      </c>
      <c r="AT74" s="50" t="str">
        <f aca="false">IF(AND(ISNUMBER($AB74),$M74&gt;0),$AB74/$M74*100,"")</f>
        <v/>
      </c>
      <c r="AU74" s="50" t="str">
        <f aca="false">IF(AND(ISNUMBER($AD74),$M74&gt;0),$AD74/$M74*100,"")</f>
        <v/>
      </c>
      <c r="AV74" s="48" t="str">
        <f aca="false">IF(AND(ISNUMBER($AB74),ISNUMBER($AD74),ABS($AB74)&gt;0),$AD74/$AB74,"")</f>
        <v/>
      </c>
      <c r="AW74" s="47" t="str">
        <f aca="false">IF(ISNUMBER($AD74),MAX(0,(1-0.55-Header!$O$3)*Header!$Q$3*$AQ74),"")</f>
        <v/>
      </c>
      <c r="AX74" s="51" t="str">
        <f aca="false">IF($A74="","",IF(TRIM(IF($A74="","Missing certificate ref. ","") &amp; IF($C74="","Missing effective date. ","") &amp; IF($D74="","Missing binding status. ","") &amp; IF($E74="","Missing movement type. ","") &amp; IF($I74="","Missing make. ","") &amp; IF($L74="","Missing vehicle class. ","") &amp; IF($M74="","Missing agreed value. ","") &amp; IF($N74="","Missing policy type. ","") &amp; IF($Q74="","Missing garaging state. ","") &amp; IF($R74="","Missing garaging ZIP. ","") &amp; IF($S74="","Missing cat zone. ","") &amp; IF($V74="","Missing valuation basis. ","") &amp; IF($W74="","Missing PD deductible. ","") &amp; IF($X74="","Missing liability limit. ","") &amp; IF($AB74="","Missing technical premium. ","") &amp; IF($AF74="","Missing surplus lines tax %. ",""))="","PASS","FAIL: "&amp;TRIM(IF($A74="","Missing certificate ref. ","") &amp; IF($C74="","Missing effective date. ","") &amp; IF($D74="","Missing binding status. ","") &amp; IF($E74="","Missing movement type. ","") &amp; IF($I74="","Missing make. ","") &amp; IF($L74="","Missing vehicle class. ","") &amp; IF($M74="","Missing agreed value. ","") &amp; IF($N74="","Missing policy type. ","") &amp; IF($Q74="","Missing garaging state. ","") &amp; IF($R74="","Missing garaging ZIP. ","") &amp; IF($S74="","Missing cat zone. ","") &amp; IF($V74="","Missing valuation basis. ","") &amp; IF($W74="","Missing PD deductible. ","") &amp; IF($X74="","Missing liability limit. ","") &amp; IF($AB74="","Missing technical premium. ","") &amp; IF($AF74="","Missing surplus lines tax %. ",""))))</f>
        <v/>
      </c>
      <c r="AY74" s="52" t="str">
        <f aca="false">IF($M74="","",IF(ISNUMBER($M74),IF($M74&gt;=Header!$C$18,"YES — refer","No"),""))</f>
        <v/>
      </c>
      <c r="AZ74" s="52" t="str">
        <f aca="false">IF($AD74="","",IF(ISNUMBER($AD74),IF($AD74&lt;Header!$C$20,"BELOW MIN PREMIUM","OK"),""))</f>
        <v/>
      </c>
      <c r="BA74" s="56"/>
      <c r="BB74" s="56"/>
      <c r="BC74" s="54"/>
      <c r="BE74" s="53" t="str">
        <f aca="false">IF(OR($A74="",$L74="",$H74=""),"",IF(AND(LEFT($L74,2)="06",$H74&gt;1945),"FAIL - pre-war class, year "&amp;$H74,IF(AND(LEFT($L74,2)="07",OR($H74&lt;1946,$H74&gt;1972)),"FAIL - 1946-72 class, year "&amp;$H74,IF(AND(LEFT($L74,2)="08",OR($H74&lt;1973,$H74&gt;1999)),"FAIL - 1973-99 class, year "&amp;$H74,IF(AND(LEFT($L74,2)="09",OR($H74&lt;2000,$H74&gt;2010)),"FAIL - 2000-10 class, year "&amp;$H74,"OK")))))</f>
        <v/>
      </c>
      <c r="BF74" s="53" t="str">
        <f aca="false">IF($AD74="","",IF(ROUND($AO74+$AP74+$AQ74-$AD74,2)=0,"OK","FAIL - out by "&amp;TEXT($AO74+$AP74+$AQ74-$AD74,"$0.00")))</f>
        <v/>
      </c>
    </row>
    <row r="75" customFormat="false" ht="15" hidden="false" customHeight="true" outlineLevel="0" collapsed="false">
      <c r="A75" s="38"/>
      <c r="B75" s="38"/>
      <c r="C75" s="39"/>
      <c r="D75" s="40"/>
      <c r="E75" s="40"/>
      <c r="F75" s="38"/>
      <c r="G75" s="41" t="str">
        <f aca="false">IF($A75="","",IF($C75="","",YEAR($C75)))</f>
        <v/>
      </c>
      <c r="H75" s="42"/>
      <c r="I75" s="38"/>
      <c r="J75" s="38"/>
      <c r="K75" s="38"/>
      <c r="L75" s="40"/>
      <c r="M75" s="43"/>
      <c r="N75" s="40"/>
      <c r="O75" s="38"/>
      <c r="P75" s="38"/>
      <c r="Q75" s="38"/>
      <c r="R75" s="38"/>
      <c r="S75" s="40"/>
      <c r="T75" s="44" t="str">
        <f aca="false">IF($A75="","",IF($S75="","",IFERROR(INDEX(Lists!$N$5:$N$16,MATCH($S75,Lists!$M$5:$M$16,0)),"?")))</f>
        <v/>
      </c>
      <c r="U75" s="38"/>
      <c r="V75" s="40"/>
      <c r="W75" s="38"/>
      <c r="X75" s="40"/>
      <c r="Y75" s="38"/>
      <c r="Z75" s="38"/>
      <c r="AA75" s="40"/>
      <c r="AB75" s="43"/>
      <c r="AC75" s="45"/>
      <c r="AD75" s="46" t="str">
        <f aca="false">IF(ISNUMBER($AB75),$AB75*(1+N($AC75)),"")</f>
        <v/>
      </c>
      <c r="AE75" s="43"/>
      <c r="AF75" s="43"/>
      <c r="AG75" s="45"/>
      <c r="AH75" s="47" t="str">
        <f aca="false">IF(ISNUMBER($AD75),($AD75+$AE75+$AF75)*$AG75,"")</f>
        <v/>
      </c>
      <c r="AI75" s="43"/>
      <c r="AJ75" s="46" t="str">
        <f aca="false">IF(ISNUMBER($AD75),SUM($AD75:$AH75),"")</f>
        <v/>
      </c>
      <c r="AK75" s="48" t="str">
        <f aca="false">IF(AND(ISNUMBER($AB75),ISNUMBER($AD75)),IF($AB75&gt;0,$AD75/$AB75,""),"")</f>
        <v/>
      </c>
      <c r="AL75" s="40"/>
      <c r="AM75" s="49" t="str">
        <f aca="false">IF(ISNUMBER($AD75),Header!$I$3,"")</f>
        <v/>
      </c>
      <c r="AN75" s="47" t="str">
        <f aca="false">IF(ISNUMBER($AD75),$AO75+$AP75,"")</f>
        <v/>
      </c>
      <c r="AO75" s="47" t="str">
        <f aca="false">IF(ISNUMBER($AD75),ROUND($AD75*Header!$K$3,2),"")</f>
        <v/>
      </c>
      <c r="AP75" s="47" t="str">
        <f aca="false">IF(ISNUMBER($AD75),ROUND($AD75*Header!$M$3,2),"")</f>
        <v/>
      </c>
      <c r="AQ75" s="46" t="str">
        <f aca="false">IF(ISNUMBER($AD75),ROUND($AD75,2)-$AO75-$AP75,"")</f>
        <v/>
      </c>
      <c r="AR75" s="47" t="str">
        <f aca="false">IF(ISNUMBER($AD75),IF(Header!$D$34="","?",$AD75*Header!$D$34),"")</f>
        <v/>
      </c>
      <c r="AS75" s="47" t="str">
        <f aca="false">IF(ISNUMBER($AB75),IF(Header!$D$34="","?",$AB75*Header!$D$34),"")</f>
        <v/>
      </c>
      <c r="AT75" s="50" t="str">
        <f aca="false">IF(AND(ISNUMBER($AB75),$M75&gt;0),$AB75/$M75*100,"")</f>
        <v/>
      </c>
      <c r="AU75" s="50" t="str">
        <f aca="false">IF(AND(ISNUMBER($AD75),$M75&gt;0),$AD75/$M75*100,"")</f>
        <v/>
      </c>
      <c r="AV75" s="48" t="str">
        <f aca="false">IF(AND(ISNUMBER($AB75),ISNUMBER($AD75),ABS($AB75)&gt;0),$AD75/$AB75,"")</f>
        <v/>
      </c>
      <c r="AW75" s="47" t="str">
        <f aca="false">IF(ISNUMBER($AD75),MAX(0,(1-0.55-Header!$O$3)*Header!$Q$3*$AQ75),"")</f>
        <v/>
      </c>
      <c r="AX75" s="51" t="str">
        <f aca="false">IF($A75="","",IF(TRIM(IF($A75="","Missing certificate ref. ","") &amp; IF($C75="","Missing effective date. ","") &amp; IF($D75="","Missing binding status. ","") &amp; IF($E75="","Missing movement type. ","") &amp; IF($I75="","Missing make. ","") &amp; IF($L75="","Missing vehicle class. ","") &amp; IF($M75="","Missing agreed value. ","") &amp; IF($N75="","Missing policy type. ","") &amp; IF($Q75="","Missing garaging state. ","") &amp; IF($R75="","Missing garaging ZIP. ","") &amp; IF($S75="","Missing cat zone. ","") &amp; IF($V75="","Missing valuation basis. ","") &amp; IF($W75="","Missing PD deductible. ","") &amp; IF($X75="","Missing liability limit. ","") &amp; IF($AB75="","Missing technical premium. ","") &amp; IF($AF75="","Missing surplus lines tax %. ",""))="","PASS","FAIL: "&amp;TRIM(IF($A75="","Missing certificate ref. ","") &amp; IF($C75="","Missing effective date. ","") &amp; IF($D75="","Missing binding status. ","") &amp; IF($E75="","Missing movement type. ","") &amp; IF($I75="","Missing make. ","") &amp; IF($L75="","Missing vehicle class. ","") &amp; IF($M75="","Missing agreed value. ","") &amp; IF($N75="","Missing policy type. ","") &amp; IF($Q75="","Missing garaging state. ","") &amp; IF($R75="","Missing garaging ZIP. ","") &amp; IF($S75="","Missing cat zone. ","") &amp; IF($V75="","Missing valuation basis. ","") &amp; IF($W75="","Missing PD deductible. ","") &amp; IF($X75="","Missing liability limit. ","") &amp; IF($AB75="","Missing technical premium. ","") &amp; IF($AF75="","Missing surplus lines tax %. ",""))))</f>
        <v/>
      </c>
      <c r="AY75" s="52" t="str">
        <f aca="false">IF($M75="","",IF(ISNUMBER($M75),IF($M75&gt;=Header!$C$18,"YES — refer","No"),""))</f>
        <v/>
      </c>
      <c r="AZ75" s="52" t="str">
        <f aca="false">IF($AD75="","",IF(ISNUMBER($AD75),IF($AD75&lt;Header!$C$20,"BELOW MIN PREMIUM","OK"),""))</f>
        <v/>
      </c>
      <c r="BA75" s="40"/>
      <c r="BB75" s="40"/>
      <c r="BC75" s="38"/>
      <c r="BE75" s="53" t="str">
        <f aca="false">IF(OR($A75="",$L75="",$H75=""),"",IF(AND(LEFT($L75,2)="06",$H75&gt;1945),"FAIL - pre-war class, year "&amp;$H75,IF(AND(LEFT($L75,2)="07",OR($H75&lt;1946,$H75&gt;1972)),"FAIL - 1946-72 class, year "&amp;$H75,IF(AND(LEFT($L75,2)="08",OR($H75&lt;1973,$H75&gt;1999)),"FAIL - 1973-99 class, year "&amp;$H75,IF(AND(LEFT($L75,2)="09",OR($H75&lt;2000,$H75&gt;2010)),"FAIL - 2000-10 class, year "&amp;$H75,"OK")))))</f>
        <v/>
      </c>
      <c r="BF75" s="53" t="str">
        <f aca="false">IF($AD75="","",IF(ROUND($AO75+$AP75+$AQ75-$AD75,2)=0,"OK","FAIL - out by "&amp;TEXT($AO75+$AP75+$AQ75-$AD75,"$0.00")))</f>
        <v/>
      </c>
    </row>
    <row r="76" customFormat="false" ht="15" hidden="false" customHeight="true" outlineLevel="0" collapsed="false">
      <c r="A76" s="54"/>
      <c r="B76" s="54"/>
      <c r="C76" s="55"/>
      <c r="D76" s="56"/>
      <c r="E76" s="56"/>
      <c r="F76" s="54"/>
      <c r="G76" s="41" t="str">
        <f aca="false">IF($A76="","",IF($C76="","",YEAR($C76)))</f>
        <v/>
      </c>
      <c r="H76" s="57"/>
      <c r="I76" s="54"/>
      <c r="J76" s="54"/>
      <c r="K76" s="54"/>
      <c r="L76" s="56"/>
      <c r="M76" s="58"/>
      <c r="N76" s="56"/>
      <c r="O76" s="54"/>
      <c r="P76" s="54"/>
      <c r="Q76" s="54"/>
      <c r="R76" s="54"/>
      <c r="S76" s="56"/>
      <c r="T76" s="44" t="str">
        <f aca="false">IF($A76="","",IF($S76="","",IFERROR(INDEX(Lists!$N$5:$N$16,MATCH($S76,Lists!$M$5:$M$16,0)),"?")))</f>
        <v/>
      </c>
      <c r="U76" s="54"/>
      <c r="V76" s="56"/>
      <c r="W76" s="54"/>
      <c r="X76" s="56"/>
      <c r="Y76" s="54"/>
      <c r="Z76" s="54"/>
      <c r="AA76" s="56"/>
      <c r="AB76" s="58"/>
      <c r="AC76" s="59"/>
      <c r="AD76" s="46" t="str">
        <f aca="false">IF(ISNUMBER($AB76),$AB76*(1+N($AC76)),"")</f>
        <v/>
      </c>
      <c r="AE76" s="58"/>
      <c r="AF76" s="58"/>
      <c r="AG76" s="59"/>
      <c r="AH76" s="47" t="str">
        <f aca="false">IF(ISNUMBER($AD76),($AD76+$AE76+$AF76)*$AG76,"")</f>
        <v/>
      </c>
      <c r="AI76" s="58"/>
      <c r="AJ76" s="46" t="str">
        <f aca="false">IF(ISNUMBER($AD76),SUM($AD76:$AH76),"")</f>
        <v/>
      </c>
      <c r="AK76" s="48" t="str">
        <f aca="false">IF(AND(ISNUMBER($AB76),ISNUMBER($AD76)),IF($AB76&gt;0,$AD76/$AB76,""),"")</f>
        <v/>
      </c>
      <c r="AL76" s="56"/>
      <c r="AM76" s="49" t="str">
        <f aca="false">IF(ISNUMBER($AD76),Header!$I$3,"")</f>
        <v/>
      </c>
      <c r="AN76" s="47" t="str">
        <f aca="false">IF(ISNUMBER($AD76),$AO76+$AP76,"")</f>
        <v/>
      </c>
      <c r="AO76" s="47" t="str">
        <f aca="false">IF(ISNUMBER($AD76),ROUND($AD76*Header!$K$3,2),"")</f>
        <v/>
      </c>
      <c r="AP76" s="47" t="str">
        <f aca="false">IF(ISNUMBER($AD76),ROUND($AD76*Header!$M$3,2),"")</f>
        <v/>
      </c>
      <c r="AQ76" s="46" t="str">
        <f aca="false">IF(ISNUMBER($AD76),ROUND($AD76,2)-$AO76-$AP76,"")</f>
        <v/>
      </c>
      <c r="AR76" s="47" t="str">
        <f aca="false">IF(ISNUMBER($AD76),IF(Header!$D$34="","?",$AD76*Header!$D$34),"")</f>
        <v/>
      </c>
      <c r="AS76" s="47" t="str">
        <f aca="false">IF(ISNUMBER($AB76),IF(Header!$D$34="","?",$AB76*Header!$D$34),"")</f>
        <v/>
      </c>
      <c r="AT76" s="50" t="str">
        <f aca="false">IF(AND(ISNUMBER($AB76),$M76&gt;0),$AB76/$M76*100,"")</f>
        <v/>
      </c>
      <c r="AU76" s="50" t="str">
        <f aca="false">IF(AND(ISNUMBER($AD76),$M76&gt;0),$AD76/$M76*100,"")</f>
        <v/>
      </c>
      <c r="AV76" s="48" t="str">
        <f aca="false">IF(AND(ISNUMBER($AB76),ISNUMBER($AD76),ABS($AB76)&gt;0),$AD76/$AB76,"")</f>
        <v/>
      </c>
      <c r="AW76" s="47" t="str">
        <f aca="false">IF(ISNUMBER($AD76),MAX(0,(1-0.55-Header!$O$3)*Header!$Q$3*$AQ76),"")</f>
        <v/>
      </c>
      <c r="AX76" s="51" t="str">
        <f aca="false">IF($A76="","",IF(TRIM(IF($A76="","Missing certificate ref. ","") &amp; IF($C76="","Missing effective date. ","") &amp; IF($D76="","Missing binding status. ","") &amp; IF($E76="","Missing movement type. ","") &amp; IF($I76="","Missing make. ","") &amp; IF($L76="","Missing vehicle class. ","") &amp; IF($M76="","Missing agreed value. ","") &amp; IF($N76="","Missing policy type. ","") &amp; IF($Q76="","Missing garaging state. ","") &amp; IF($R76="","Missing garaging ZIP. ","") &amp; IF($S76="","Missing cat zone. ","") &amp; IF($V76="","Missing valuation basis. ","") &amp; IF($W76="","Missing PD deductible. ","") &amp; IF($X76="","Missing liability limit. ","") &amp; IF($AB76="","Missing technical premium. ","") &amp; IF($AF76="","Missing surplus lines tax %. ",""))="","PASS","FAIL: "&amp;TRIM(IF($A76="","Missing certificate ref. ","") &amp; IF($C76="","Missing effective date. ","") &amp; IF($D76="","Missing binding status. ","") &amp; IF($E76="","Missing movement type. ","") &amp; IF($I76="","Missing make. ","") &amp; IF($L76="","Missing vehicle class. ","") &amp; IF($M76="","Missing agreed value. ","") &amp; IF($N76="","Missing policy type. ","") &amp; IF($Q76="","Missing garaging state. ","") &amp; IF($R76="","Missing garaging ZIP. ","") &amp; IF($S76="","Missing cat zone. ","") &amp; IF($V76="","Missing valuation basis. ","") &amp; IF($W76="","Missing PD deductible. ","") &amp; IF($X76="","Missing liability limit. ","") &amp; IF($AB76="","Missing technical premium. ","") &amp; IF($AF76="","Missing surplus lines tax %. ",""))))</f>
        <v/>
      </c>
      <c r="AY76" s="52" t="str">
        <f aca="false">IF($M76="","",IF(ISNUMBER($M76),IF($M76&gt;=Header!$C$18,"YES — refer","No"),""))</f>
        <v/>
      </c>
      <c r="AZ76" s="52" t="str">
        <f aca="false">IF($AD76="","",IF(ISNUMBER($AD76),IF($AD76&lt;Header!$C$20,"BELOW MIN PREMIUM","OK"),""))</f>
        <v/>
      </c>
      <c r="BA76" s="56"/>
      <c r="BB76" s="56"/>
      <c r="BC76" s="54"/>
      <c r="BE76" s="53" t="str">
        <f aca="false">IF(OR($A76="",$L76="",$H76=""),"",IF(AND(LEFT($L76,2)="06",$H76&gt;1945),"FAIL - pre-war class, year "&amp;$H76,IF(AND(LEFT($L76,2)="07",OR($H76&lt;1946,$H76&gt;1972)),"FAIL - 1946-72 class, year "&amp;$H76,IF(AND(LEFT($L76,2)="08",OR($H76&lt;1973,$H76&gt;1999)),"FAIL - 1973-99 class, year "&amp;$H76,IF(AND(LEFT($L76,2)="09",OR($H76&lt;2000,$H76&gt;2010)),"FAIL - 2000-10 class, year "&amp;$H76,"OK")))))</f>
        <v/>
      </c>
      <c r="BF76" s="53" t="str">
        <f aca="false">IF($AD76="","",IF(ROUND($AO76+$AP76+$AQ76-$AD76,2)=0,"OK","FAIL - out by "&amp;TEXT($AO76+$AP76+$AQ76-$AD76,"$0.00")))</f>
        <v/>
      </c>
    </row>
    <row r="77" customFormat="false" ht="15" hidden="false" customHeight="true" outlineLevel="0" collapsed="false">
      <c r="A77" s="38"/>
      <c r="B77" s="38"/>
      <c r="C77" s="39"/>
      <c r="D77" s="40"/>
      <c r="E77" s="40"/>
      <c r="F77" s="38"/>
      <c r="G77" s="41" t="str">
        <f aca="false">IF($A77="","",IF($C77="","",YEAR($C77)))</f>
        <v/>
      </c>
      <c r="H77" s="42"/>
      <c r="I77" s="38"/>
      <c r="J77" s="38"/>
      <c r="K77" s="38"/>
      <c r="L77" s="40"/>
      <c r="M77" s="43"/>
      <c r="N77" s="40"/>
      <c r="O77" s="38"/>
      <c r="P77" s="38"/>
      <c r="Q77" s="38"/>
      <c r="R77" s="38"/>
      <c r="S77" s="40"/>
      <c r="T77" s="44" t="str">
        <f aca="false">IF($A77="","",IF($S77="","",IFERROR(INDEX(Lists!$N$5:$N$16,MATCH($S77,Lists!$M$5:$M$16,0)),"?")))</f>
        <v/>
      </c>
      <c r="U77" s="38"/>
      <c r="V77" s="40"/>
      <c r="W77" s="38"/>
      <c r="X77" s="40"/>
      <c r="Y77" s="38"/>
      <c r="Z77" s="38"/>
      <c r="AA77" s="40"/>
      <c r="AB77" s="43"/>
      <c r="AC77" s="45"/>
      <c r="AD77" s="46" t="str">
        <f aca="false">IF(ISNUMBER($AB77),$AB77*(1+N($AC77)),"")</f>
        <v/>
      </c>
      <c r="AE77" s="43"/>
      <c r="AF77" s="43"/>
      <c r="AG77" s="45"/>
      <c r="AH77" s="47" t="str">
        <f aca="false">IF(ISNUMBER($AD77),($AD77+$AE77+$AF77)*$AG77,"")</f>
        <v/>
      </c>
      <c r="AI77" s="43"/>
      <c r="AJ77" s="46" t="str">
        <f aca="false">IF(ISNUMBER($AD77),SUM($AD77:$AH77),"")</f>
        <v/>
      </c>
      <c r="AK77" s="48" t="str">
        <f aca="false">IF(AND(ISNUMBER($AB77),ISNUMBER($AD77)),IF($AB77&gt;0,$AD77/$AB77,""),"")</f>
        <v/>
      </c>
      <c r="AL77" s="40"/>
      <c r="AM77" s="49" t="str">
        <f aca="false">IF(ISNUMBER($AD77),Header!$I$3,"")</f>
        <v/>
      </c>
      <c r="AN77" s="47" t="str">
        <f aca="false">IF(ISNUMBER($AD77),$AO77+$AP77,"")</f>
        <v/>
      </c>
      <c r="AO77" s="47" t="str">
        <f aca="false">IF(ISNUMBER($AD77),ROUND($AD77*Header!$K$3,2),"")</f>
        <v/>
      </c>
      <c r="AP77" s="47" t="str">
        <f aca="false">IF(ISNUMBER($AD77),ROUND($AD77*Header!$M$3,2),"")</f>
        <v/>
      </c>
      <c r="AQ77" s="46" t="str">
        <f aca="false">IF(ISNUMBER($AD77),ROUND($AD77,2)-$AO77-$AP77,"")</f>
        <v/>
      </c>
      <c r="AR77" s="47" t="str">
        <f aca="false">IF(ISNUMBER($AD77),IF(Header!$D$34="","?",$AD77*Header!$D$34),"")</f>
        <v/>
      </c>
      <c r="AS77" s="47" t="str">
        <f aca="false">IF(ISNUMBER($AB77),IF(Header!$D$34="","?",$AB77*Header!$D$34),"")</f>
        <v/>
      </c>
      <c r="AT77" s="50" t="str">
        <f aca="false">IF(AND(ISNUMBER($AB77),$M77&gt;0),$AB77/$M77*100,"")</f>
        <v/>
      </c>
      <c r="AU77" s="50" t="str">
        <f aca="false">IF(AND(ISNUMBER($AD77),$M77&gt;0),$AD77/$M77*100,"")</f>
        <v/>
      </c>
      <c r="AV77" s="48" t="str">
        <f aca="false">IF(AND(ISNUMBER($AB77),ISNUMBER($AD77),ABS($AB77)&gt;0),$AD77/$AB77,"")</f>
        <v/>
      </c>
      <c r="AW77" s="47" t="str">
        <f aca="false">IF(ISNUMBER($AD77),MAX(0,(1-0.55-Header!$O$3)*Header!$Q$3*$AQ77),"")</f>
        <v/>
      </c>
      <c r="AX77" s="51" t="str">
        <f aca="false">IF($A77="","",IF(TRIM(IF($A77="","Missing certificate ref. ","") &amp; IF($C77="","Missing effective date. ","") &amp; IF($D77="","Missing binding status. ","") &amp; IF($E77="","Missing movement type. ","") &amp; IF($I77="","Missing make. ","") &amp; IF($L77="","Missing vehicle class. ","") &amp; IF($M77="","Missing agreed value. ","") &amp; IF($N77="","Missing policy type. ","") &amp; IF($Q77="","Missing garaging state. ","") &amp; IF($R77="","Missing garaging ZIP. ","") &amp; IF($S77="","Missing cat zone. ","") &amp; IF($V77="","Missing valuation basis. ","") &amp; IF($W77="","Missing PD deductible. ","") &amp; IF($X77="","Missing liability limit. ","") &amp; IF($AB77="","Missing technical premium. ","") &amp; IF($AF77="","Missing surplus lines tax %. ",""))="","PASS","FAIL: "&amp;TRIM(IF($A77="","Missing certificate ref. ","") &amp; IF($C77="","Missing effective date. ","") &amp; IF($D77="","Missing binding status. ","") &amp; IF($E77="","Missing movement type. ","") &amp; IF($I77="","Missing make. ","") &amp; IF($L77="","Missing vehicle class. ","") &amp; IF($M77="","Missing agreed value. ","") &amp; IF($N77="","Missing policy type. ","") &amp; IF($Q77="","Missing garaging state. ","") &amp; IF($R77="","Missing garaging ZIP. ","") &amp; IF($S77="","Missing cat zone. ","") &amp; IF($V77="","Missing valuation basis. ","") &amp; IF($W77="","Missing PD deductible. ","") &amp; IF($X77="","Missing liability limit. ","") &amp; IF($AB77="","Missing technical premium. ","") &amp; IF($AF77="","Missing surplus lines tax %. ",""))))</f>
        <v/>
      </c>
      <c r="AY77" s="52" t="str">
        <f aca="false">IF($M77="","",IF(ISNUMBER($M77),IF($M77&gt;=Header!$C$18,"YES — refer","No"),""))</f>
        <v/>
      </c>
      <c r="AZ77" s="52" t="str">
        <f aca="false">IF($AD77="","",IF(ISNUMBER($AD77),IF($AD77&lt;Header!$C$20,"BELOW MIN PREMIUM","OK"),""))</f>
        <v/>
      </c>
      <c r="BA77" s="40"/>
      <c r="BB77" s="40"/>
      <c r="BC77" s="38"/>
      <c r="BE77" s="53" t="str">
        <f aca="false">IF(OR($A77="",$L77="",$H77=""),"",IF(AND(LEFT($L77,2)="06",$H77&gt;1945),"FAIL - pre-war class, year "&amp;$H77,IF(AND(LEFT($L77,2)="07",OR($H77&lt;1946,$H77&gt;1972)),"FAIL - 1946-72 class, year "&amp;$H77,IF(AND(LEFT($L77,2)="08",OR($H77&lt;1973,$H77&gt;1999)),"FAIL - 1973-99 class, year "&amp;$H77,IF(AND(LEFT($L77,2)="09",OR($H77&lt;2000,$H77&gt;2010)),"FAIL - 2000-10 class, year "&amp;$H77,"OK")))))</f>
        <v/>
      </c>
      <c r="BF77" s="53" t="str">
        <f aca="false">IF($AD77="","",IF(ROUND($AO77+$AP77+$AQ77-$AD77,2)=0,"OK","FAIL - out by "&amp;TEXT($AO77+$AP77+$AQ77-$AD77,"$0.00")))</f>
        <v/>
      </c>
    </row>
    <row r="78" customFormat="false" ht="15" hidden="false" customHeight="true" outlineLevel="0" collapsed="false">
      <c r="A78" s="54"/>
      <c r="B78" s="54"/>
      <c r="C78" s="55"/>
      <c r="D78" s="56"/>
      <c r="E78" s="56"/>
      <c r="F78" s="54"/>
      <c r="G78" s="41" t="str">
        <f aca="false">IF($A78="","",IF($C78="","",YEAR($C78)))</f>
        <v/>
      </c>
      <c r="H78" s="57"/>
      <c r="I78" s="54"/>
      <c r="J78" s="54"/>
      <c r="K78" s="54"/>
      <c r="L78" s="56"/>
      <c r="M78" s="58"/>
      <c r="N78" s="56"/>
      <c r="O78" s="54"/>
      <c r="P78" s="54"/>
      <c r="Q78" s="54"/>
      <c r="R78" s="54"/>
      <c r="S78" s="56"/>
      <c r="T78" s="44" t="str">
        <f aca="false">IF($A78="","",IF($S78="","",IFERROR(INDEX(Lists!$N$5:$N$16,MATCH($S78,Lists!$M$5:$M$16,0)),"?")))</f>
        <v/>
      </c>
      <c r="U78" s="54"/>
      <c r="V78" s="56"/>
      <c r="W78" s="54"/>
      <c r="X78" s="56"/>
      <c r="Y78" s="54"/>
      <c r="Z78" s="54"/>
      <c r="AA78" s="56"/>
      <c r="AB78" s="58"/>
      <c r="AC78" s="59"/>
      <c r="AD78" s="46" t="str">
        <f aca="false">IF(ISNUMBER($AB78),$AB78*(1+N($AC78)),"")</f>
        <v/>
      </c>
      <c r="AE78" s="58"/>
      <c r="AF78" s="58"/>
      <c r="AG78" s="59"/>
      <c r="AH78" s="47" t="str">
        <f aca="false">IF(ISNUMBER($AD78),($AD78+$AE78+$AF78)*$AG78,"")</f>
        <v/>
      </c>
      <c r="AI78" s="58"/>
      <c r="AJ78" s="46" t="str">
        <f aca="false">IF(ISNUMBER($AD78),SUM($AD78:$AH78),"")</f>
        <v/>
      </c>
      <c r="AK78" s="48" t="str">
        <f aca="false">IF(AND(ISNUMBER($AB78),ISNUMBER($AD78)),IF($AB78&gt;0,$AD78/$AB78,""),"")</f>
        <v/>
      </c>
      <c r="AL78" s="56"/>
      <c r="AM78" s="49" t="str">
        <f aca="false">IF(ISNUMBER($AD78),Header!$I$3,"")</f>
        <v/>
      </c>
      <c r="AN78" s="47" t="str">
        <f aca="false">IF(ISNUMBER($AD78),$AO78+$AP78,"")</f>
        <v/>
      </c>
      <c r="AO78" s="47" t="str">
        <f aca="false">IF(ISNUMBER($AD78),ROUND($AD78*Header!$K$3,2),"")</f>
        <v/>
      </c>
      <c r="AP78" s="47" t="str">
        <f aca="false">IF(ISNUMBER($AD78),ROUND($AD78*Header!$M$3,2),"")</f>
        <v/>
      </c>
      <c r="AQ78" s="46" t="str">
        <f aca="false">IF(ISNUMBER($AD78),ROUND($AD78,2)-$AO78-$AP78,"")</f>
        <v/>
      </c>
      <c r="AR78" s="47" t="str">
        <f aca="false">IF(ISNUMBER($AD78),IF(Header!$D$34="","?",$AD78*Header!$D$34),"")</f>
        <v/>
      </c>
      <c r="AS78" s="47" t="str">
        <f aca="false">IF(ISNUMBER($AB78),IF(Header!$D$34="","?",$AB78*Header!$D$34),"")</f>
        <v/>
      </c>
      <c r="AT78" s="50" t="str">
        <f aca="false">IF(AND(ISNUMBER($AB78),$M78&gt;0),$AB78/$M78*100,"")</f>
        <v/>
      </c>
      <c r="AU78" s="50" t="str">
        <f aca="false">IF(AND(ISNUMBER($AD78),$M78&gt;0),$AD78/$M78*100,"")</f>
        <v/>
      </c>
      <c r="AV78" s="48" t="str">
        <f aca="false">IF(AND(ISNUMBER($AB78),ISNUMBER($AD78),ABS($AB78)&gt;0),$AD78/$AB78,"")</f>
        <v/>
      </c>
      <c r="AW78" s="47" t="str">
        <f aca="false">IF(ISNUMBER($AD78),MAX(0,(1-0.55-Header!$O$3)*Header!$Q$3*$AQ78),"")</f>
        <v/>
      </c>
      <c r="AX78" s="51" t="str">
        <f aca="false">IF($A78="","",IF(TRIM(IF($A78="","Missing certificate ref. ","") &amp; IF($C78="","Missing effective date. ","") &amp; IF($D78="","Missing binding status. ","") &amp; IF($E78="","Missing movement type. ","") &amp; IF($I78="","Missing make. ","") &amp; IF($L78="","Missing vehicle class. ","") &amp; IF($M78="","Missing agreed value. ","") &amp; IF($N78="","Missing policy type. ","") &amp; IF($Q78="","Missing garaging state. ","") &amp; IF($R78="","Missing garaging ZIP. ","") &amp; IF($S78="","Missing cat zone. ","") &amp; IF($V78="","Missing valuation basis. ","") &amp; IF($W78="","Missing PD deductible. ","") &amp; IF($X78="","Missing liability limit. ","") &amp; IF($AB78="","Missing technical premium. ","") &amp; IF($AF78="","Missing surplus lines tax %. ",""))="","PASS","FAIL: "&amp;TRIM(IF($A78="","Missing certificate ref. ","") &amp; IF($C78="","Missing effective date. ","") &amp; IF($D78="","Missing binding status. ","") &amp; IF($E78="","Missing movement type. ","") &amp; IF($I78="","Missing make. ","") &amp; IF($L78="","Missing vehicle class. ","") &amp; IF($M78="","Missing agreed value. ","") &amp; IF($N78="","Missing policy type. ","") &amp; IF($Q78="","Missing garaging state. ","") &amp; IF($R78="","Missing garaging ZIP. ","") &amp; IF($S78="","Missing cat zone. ","") &amp; IF($V78="","Missing valuation basis. ","") &amp; IF($W78="","Missing PD deductible. ","") &amp; IF($X78="","Missing liability limit. ","") &amp; IF($AB78="","Missing technical premium. ","") &amp; IF($AF78="","Missing surplus lines tax %. ",""))))</f>
        <v/>
      </c>
      <c r="AY78" s="52" t="str">
        <f aca="false">IF($M78="","",IF(ISNUMBER($M78),IF($M78&gt;=Header!$C$18,"YES — refer","No"),""))</f>
        <v/>
      </c>
      <c r="AZ78" s="52" t="str">
        <f aca="false">IF($AD78="","",IF(ISNUMBER($AD78),IF($AD78&lt;Header!$C$20,"BELOW MIN PREMIUM","OK"),""))</f>
        <v/>
      </c>
      <c r="BA78" s="56"/>
      <c r="BB78" s="56"/>
      <c r="BC78" s="54"/>
      <c r="BE78" s="53" t="str">
        <f aca="false">IF(OR($A78="",$L78="",$H78=""),"",IF(AND(LEFT($L78,2)="06",$H78&gt;1945),"FAIL - pre-war class, year "&amp;$H78,IF(AND(LEFT($L78,2)="07",OR($H78&lt;1946,$H78&gt;1972)),"FAIL - 1946-72 class, year "&amp;$H78,IF(AND(LEFT($L78,2)="08",OR($H78&lt;1973,$H78&gt;1999)),"FAIL - 1973-99 class, year "&amp;$H78,IF(AND(LEFT($L78,2)="09",OR($H78&lt;2000,$H78&gt;2010)),"FAIL - 2000-10 class, year "&amp;$H78,"OK")))))</f>
        <v/>
      </c>
      <c r="BF78" s="53" t="str">
        <f aca="false">IF($AD78="","",IF(ROUND($AO78+$AP78+$AQ78-$AD78,2)=0,"OK","FAIL - out by "&amp;TEXT($AO78+$AP78+$AQ78-$AD78,"$0.00")))</f>
        <v/>
      </c>
    </row>
    <row r="79" customFormat="false" ht="15" hidden="false" customHeight="true" outlineLevel="0" collapsed="false">
      <c r="A79" s="38"/>
      <c r="B79" s="38"/>
      <c r="C79" s="39"/>
      <c r="D79" s="40"/>
      <c r="E79" s="40"/>
      <c r="F79" s="38"/>
      <c r="G79" s="41" t="str">
        <f aca="false">IF($A79="","",IF($C79="","",YEAR($C79)))</f>
        <v/>
      </c>
      <c r="H79" s="42"/>
      <c r="I79" s="38"/>
      <c r="J79" s="38"/>
      <c r="K79" s="38"/>
      <c r="L79" s="40"/>
      <c r="M79" s="43"/>
      <c r="N79" s="40"/>
      <c r="O79" s="38"/>
      <c r="P79" s="38"/>
      <c r="Q79" s="38"/>
      <c r="R79" s="38"/>
      <c r="S79" s="40"/>
      <c r="T79" s="44" t="str">
        <f aca="false">IF($A79="","",IF($S79="","",IFERROR(INDEX(Lists!$N$5:$N$16,MATCH($S79,Lists!$M$5:$M$16,0)),"?")))</f>
        <v/>
      </c>
      <c r="U79" s="38"/>
      <c r="V79" s="40"/>
      <c r="W79" s="38"/>
      <c r="X79" s="40"/>
      <c r="Y79" s="38"/>
      <c r="Z79" s="38"/>
      <c r="AA79" s="40"/>
      <c r="AB79" s="43"/>
      <c r="AC79" s="45"/>
      <c r="AD79" s="46" t="str">
        <f aca="false">IF(ISNUMBER($AB79),$AB79*(1+N($AC79)),"")</f>
        <v/>
      </c>
      <c r="AE79" s="43"/>
      <c r="AF79" s="43"/>
      <c r="AG79" s="45"/>
      <c r="AH79" s="47" t="str">
        <f aca="false">IF(ISNUMBER($AD79),($AD79+$AE79+$AF79)*$AG79,"")</f>
        <v/>
      </c>
      <c r="AI79" s="43"/>
      <c r="AJ79" s="46" t="str">
        <f aca="false">IF(ISNUMBER($AD79),SUM($AD79:$AH79),"")</f>
        <v/>
      </c>
      <c r="AK79" s="48" t="str">
        <f aca="false">IF(AND(ISNUMBER($AB79),ISNUMBER($AD79)),IF($AB79&gt;0,$AD79/$AB79,""),"")</f>
        <v/>
      </c>
      <c r="AL79" s="40"/>
      <c r="AM79" s="49" t="str">
        <f aca="false">IF(ISNUMBER($AD79),Header!$I$3,"")</f>
        <v/>
      </c>
      <c r="AN79" s="47" t="str">
        <f aca="false">IF(ISNUMBER($AD79),$AO79+$AP79,"")</f>
        <v/>
      </c>
      <c r="AO79" s="47" t="str">
        <f aca="false">IF(ISNUMBER($AD79),ROUND($AD79*Header!$K$3,2),"")</f>
        <v/>
      </c>
      <c r="AP79" s="47" t="str">
        <f aca="false">IF(ISNUMBER($AD79),ROUND($AD79*Header!$M$3,2),"")</f>
        <v/>
      </c>
      <c r="AQ79" s="46" t="str">
        <f aca="false">IF(ISNUMBER($AD79),ROUND($AD79,2)-$AO79-$AP79,"")</f>
        <v/>
      </c>
      <c r="AR79" s="47" t="str">
        <f aca="false">IF(ISNUMBER($AD79),IF(Header!$D$34="","?",$AD79*Header!$D$34),"")</f>
        <v/>
      </c>
      <c r="AS79" s="47" t="str">
        <f aca="false">IF(ISNUMBER($AB79),IF(Header!$D$34="","?",$AB79*Header!$D$34),"")</f>
        <v/>
      </c>
      <c r="AT79" s="50" t="str">
        <f aca="false">IF(AND(ISNUMBER($AB79),$M79&gt;0),$AB79/$M79*100,"")</f>
        <v/>
      </c>
      <c r="AU79" s="50" t="str">
        <f aca="false">IF(AND(ISNUMBER($AD79),$M79&gt;0),$AD79/$M79*100,"")</f>
        <v/>
      </c>
      <c r="AV79" s="48" t="str">
        <f aca="false">IF(AND(ISNUMBER($AB79),ISNUMBER($AD79),ABS($AB79)&gt;0),$AD79/$AB79,"")</f>
        <v/>
      </c>
      <c r="AW79" s="47" t="str">
        <f aca="false">IF(ISNUMBER($AD79),MAX(0,(1-0.55-Header!$O$3)*Header!$Q$3*$AQ79),"")</f>
        <v/>
      </c>
      <c r="AX79" s="51" t="str">
        <f aca="false">IF($A79="","",IF(TRIM(IF($A79="","Missing certificate ref. ","") &amp; IF($C79="","Missing effective date. ","") &amp; IF($D79="","Missing binding status. ","") &amp; IF($E79="","Missing movement type. ","") &amp; IF($I79="","Missing make. ","") &amp; IF($L79="","Missing vehicle class. ","") &amp; IF($M79="","Missing agreed value. ","") &amp; IF($N79="","Missing policy type. ","") &amp; IF($Q79="","Missing garaging state. ","") &amp; IF($R79="","Missing garaging ZIP. ","") &amp; IF($S79="","Missing cat zone. ","") &amp; IF($V79="","Missing valuation basis. ","") &amp; IF($W79="","Missing PD deductible. ","") &amp; IF($X79="","Missing liability limit. ","") &amp; IF($AB79="","Missing technical premium. ","") &amp; IF($AF79="","Missing surplus lines tax %. ",""))="","PASS","FAIL: "&amp;TRIM(IF($A79="","Missing certificate ref. ","") &amp; IF($C79="","Missing effective date. ","") &amp; IF($D79="","Missing binding status. ","") &amp; IF($E79="","Missing movement type. ","") &amp; IF($I79="","Missing make. ","") &amp; IF($L79="","Missing vehicle class. ","") &amp; IF($M79="","Missing agreed value. ","") &amp; IF($N79="","Missing policy type. ","") &amp; IF($Q79="","Missing garaging state. ","") &amp; IF($R79="","Missing garaging ZIP. ","") &amp; IF($S79="","Missing cat zone. ","") &amp; IF($V79="","Missing valuation basis. ","") &amp; IF($W79="","Missing PD deductible. ","") &amp; IF($X79="","Missing liability limit. ","") &amp; IF($AB79="","Missing technical premium. ","") &amp; IF($AF79="","Missing surplus lines tax %. ",""))))</f>
        <v/>
      </c>
      <c r="AY79" s="52" t="str">
        <f aca="false">IF($M79="","",IF(ISNUMBER($M79),IF($M79&gt;=Header!$C$18,"YES — refer","No"),""))</f>
        <v/>
      </c>
      <c r="AZ79" s="52" t="str">
        <f aca="false">IF($AD79="","",IF(ISNUMBER($AD79),IF($AD79&lt;Header!$C$20,"BELOW MIN PREMIUM","OK"),""))</f>
        <v/>
      </c>
      <c r="BA79" s="40"/>
      <c r="BB79" s="40"/>
      <c r="BC79" s="38"/>
      <c r="BE79" s="53" t="str">
        <f aca="false">IF(OR($A79="",$L79="",$H79=""),"",IF(AND(LEFT($L79,2)="06",$H79&gt;1945),"FAIL - pre-war class, year "&amp;$H79,IF(AND(LEFT($L79,2)="07",OR($H79&lt;1946,$H79&gt;1972)),"FAIL - 1946-72 class, year "&amp;$H79,IF(AND(LEFT($L79,2)="08",OR($H79&lt;1973,$H79&gt;1999)),"FAIL - 1973-99 class, year "&amp;$H79,IF(AND(LEFT($L79,2)="09",OR($H79&lt;2000,$H79&gt;2010)),"FAIL - 2000-10 class, year "&amp;$H79,"OK")))))</f>
        <v/>
      </c>
      <c r="BF79" s="53" t="str">
        <f aca="false">IF($AD79="","",IF(ROUND($AO79+$AP79+$AQ79-$AD79,2)=0,"OK","FAIL - out by "&amp;TEXT($AO79+$AP79+$AQ79-$AD79,"$0.00")))</f>
        <v/>
      </c>
    </row>
    <row r="80" customFormat="false" ht="15" hidden="false" customHeight="true" outlineLevel="0" collapsed="false">
      <c r="A80" s="54"/>
      <c r="B80" s="54"/>
      <c r="C80" s="55"/>
      <c r="D80" s="56"/>
      <c r="E80" s="56"/>
      <c r="F80" s="54"/>
      <c r="G80" s="41" t="str">
        <f aca="false">IF($A80="","",IF($C80="","",YEAR($C80)))</f>
        <v/>
      </c>
      <c r="H80" s="57"/>
      <c r="I80" s="54"/>
      <c r="J80" s="54"/>
      <c r="K80" s="54"/>
      <c r="L80" s="56"/>
      <c r="M80" s="58"/>
      <c r="N80" s="56"/>
      <c r="O80" s="54"/>
      <c r="P80" s="54"/>
      <c r="Q80" s="54"/>
      <c r="R80" s="54"/>
      <c r="S80" s="56"/>
      <c r="T80" s="44" t="str">
        <f aca="false">IF($A80="","",IF($S80="","",IFERROR(INDEX(Lists!$N$5:$N$16,MATCH($S80,Lists!$M$5:$M$16,0)),"?")))</f>
        <v/>
      </c>
      <c r="U80" s="54"/>
      <c r="V80" s="56"/>
      <c r="W80" s="54"/>
      <c r="X80" s="56"/>
      <c r="Y80" s="54"/>
      <c r="Z80" s="54"/>
      <c r="AA80" s="56"/>
      <c r="AB80" s="58"/>
      <c r="AC80" s="59"/>
      <c r="AD80" s="46" t="str">
        <f aca="false">IF(ISNUMBER($AB80),$AB80*(1+N($AC80)),"")</f>
        <v/>
      </c>
      <c r="AE80" s="58"/>
      <c r="AF80" s="58"/>
      <c r="AG80" s="59"/>
      <c r="AH80" s="47" t="str">
        <f aca="false">IF(ISNUMBER($AD80),($AD80+$AE80+$AF80)*$AG80,"")</f>
        <v/>
      </c>
      <c r="AI80" s="58"/>
      <c r="AJ80" s="46" t="str">
        <f aca="false">IF(ISNUMBER($AD80),SUM($AD80:$AH80),"")</f>
        <v/>
      </c>
      <c r="AK80" s="48" t="str">
        <f aca="false">IF(AND(ISNUMBER($AB80),ISNUMBER($AD80)),IF($AB80&gt;0,$AD80/$AB80,""),"")</f>
        <v/>
      </c>
      <c r="AL80" s="56"/>
      <c r="AM80" s="49" t="str">
        <f aca="false">IF(ISNUMBER($AD80),Header!$I$3,"")</f>
        <v/>
      </c>
      <c r="AN80" s="47" t="str">
        <f aca="false">IF(ISNUMBER($AD80),$AO80+$AP80,"")</f>
        <v/>
      </c>
      <c r="AO80" s="47" t="str">
        <f aca="false">IF(ISNUMBER($AD80),ROUND($AD80*Header!$K$3,2),"")</f>
        <v/>
      </c>
      <c r="AP80" s="47" t="str">
        <f aca="false">IF(ISNUMBER($AD80),ROUND($AD80*Header!$M$3,2),"")</f>
        <v/>
      </c>
      <c r="AQ80" s="46" t="str">
        <f aca="false">IF(ISNUMBER($AD80),ROUND($AD80,2)-$AO80-$AP80,"")</f>
        <v/>
      </c>
      <c r="AR80" s="47" t="str">
        <f aca="false">IF(ISNUMBER($AD80),IF(Header!$D$34="","?",$AD80*Header!$D$34),"")</f>
        <v/>
      </c>
      <c r="AS80" s="47" t="str">
        <f aca="false">IF(ISNUMBER($AB80),IF(Header!$D$34="","?",$AB80*Header!$D$34),"")</f>
        <v/>
      </c>
      <c r="AT80" s="50" t="str">
        <f aca="false">IF(AND(ISNUMBER($AB80),$M80&gt;0),$AB80/$M80*100,"")</f>
        <v/>
      </c>
      <c r="AU80" s="50" t="str">
        <f aca="false">IF(AND(ISNUMBER($AD80),$M80&gt;0),$AD80/$M80*100,"")</f>
        <v/>
      </c>
      <c r="AV80" s="48" t="str">
        <f aca="false">IF(AND(ISNUMBER($AB80),ISNUMBER($AD80),ABS($AB80)&gt;0),$AD80/$AB80,"")</f>
        <v/>
      </c>
      <c r="AW80" s="47" t="str">
        <f aca="false">IF(ISNUMBER($AD80),MAX(0,(1-0.55-Header!$O$3)*Header!$Q$3*$AQ80),"")</f>
        <v/>
      </c>
      <c r="AX80" s="51" t="str">
        <f aca="false">IF($A80="","",IF(TRIM(IF($A80="","Missing certificate ref. ","") &amp; IF($C80="","Missing effective date. ","") &amp; IF($D80="","Missing binding status. ","") &amp; IF($E80="","Missing movement type. ","") &amp; IF($I80="","Missing make. ","") &amp; IF($L80="","Missing vehicle class. ","") &amp; IF($M80="","Missing agreed value. ","") &amp; IF($N80="","Missing policy type. ","") &amp; IF($Q80="","Missing garaging state. ","") &amp; IF($R80="","Missing garaging ZIP. ","") &amp; IF($S80="","Missing cat zone. ","") &amp; IF($V80="","Missing valuation basis. ","") &amp; IF($W80="","Missing PD deductible. ","") &amp; IF($X80="","Missing liability limit. ","") &amp; IF($AB80="","Missing technical premium. ","") &amp; IF($AF80="","Missing surplus lines tax %. ",""))="","PASS","FAIL: "&amp;TRIM(IF($A80="","Missing certificate ref. ","") &amp; IF($C80="","Missing effective date. ","") &amp; IF($D80="","Missing binding status. ","") &amp; IF($E80="","Missing movement type. ","") &amp; IF($I80="","Missing make. ","") &amp; IF($L80="","Missing vehicle class. ","") &amp; IF($M80="","Missing agreed value. ","") &amp; IF($N80="","Missing policy type. ","") &amp; IF($Q80="","Missing garaging state. ","") &amp; IF($R80="","Missing garaging ZIP. ","") &amp; IF($S80="","Missing cat zone. ","") &amp; IF($V80="","Missing valuation basis. ","") &amp; IF($W80="","Missing PD deductible. ","") &amp; IF($X80="","Missing liability limit. ","") &amp; IF($AB80="","Missing technical premium. ","") &amp; IF($AF80="","Missing surplus lines tax %. ",""))))</f>
        <v/>
      </c>
      <c r="AY80" s="52" t="str">
        <f aca="false">IF($M80="","",IF(ISNUMBER($M80),IF($M80&gt;=Header!$C$18,"YES — refer","No"),""))</f>
        <v/>
      </c>
      <c r="AZ80" s="52" t="str">
        <f aca="false">IF($AD80="","",IF(ISNUMBER($AD80),IF($AD80&lt;Header!$C$20,"BELOW MIN PREMIUM","OK"),""))</f>
        <v/>
      </c>
      <c r="BA80" s="56"/>
      <c r="BB80" s="56"/>
      <c r="BC80" s="54"/>
      <c r="BE80" s="53" t="str">
        <f aca="false">IF(OR($A80="",$L80="",$H80=""),"",IF(AND(LEFT($L80,2)="06",$H80&gt;1945),"FAIL - pre-war class, year "&amp;$H80,IF(AND(LEFT($L80,2)="07",OR($H80&lt;1946,$H80&gt;1972)),"FAIL - 1946-72 class, year "&amp;$H80,IF(AND(LEFT($L80,2)="08",OR($H80&lt;1973,$H80&gt;1999)),"FAIL - 1973-99 class, year "&amp;$H80,IF(AND(LEFT($L80,2)="09",OR($H80&lt;2000,$H80&gt;2010)),"FAIL - 2000-10 class, year "&amp;$H80,"OK")))))</f>
        <v/>
      </c>
      <c r="BF80" s="53" t="str">
        <f aca="false">IF($AD80="","",IF(ROUND($AO80+$AP80+$AQ80-$AD80,2)=0,"OK","FAIL - out by "&amp;TEXT($AO80+$AP80+$AQ80-$AD80,"$0.00")))</f>
        <v/>
      </c>
    </row>
    <row r="81" customFormat="false" ht="15" hidden="false" customHeight="true" outlineLevel="0" collapsed="false">
      <c r="A81" s="38"/>
      <c r="B81" s="38"/>
      <c r="C81" s="39"/>
      <c r="D81" s="40"/>
      <c r="E81" s="40"/>
      <c r="F81" s="38"/>
      <c r="G81" s="41" t="str">
        <f aca="false">IF($A81="","",IF($C81="","",YEAR($C81)))</f>
        <v/>
      </c>
      <c r="H81" s="42"/>
      <c r="I81" s="38"/>
      <c r="J81" s="38"/>
      <c r="K81" s="38"/>
      <c r="L81" s="40"/>
      <c r="M81" s="43"/>
      <c r="N81" s="40"/>
      <c r="O81" s="38"/>
      <c r="P81" s="38"/>
      <c r="Q81" s="38"/>
      <c r="R81" s="38"/>
      <c r="S81" s="40"/>
      <c r="T81" s="44" t="str">
        <f aca="false">IF($A81="","",IF($S81="","",IFERROR(INDEX(Lists!$N$5:$N$16,MATCH($S81,Lists!$M$5:$M$16,0)),"?")))</f>
        <v/>
      </c>
      <c r="U81" s="38"/>
      <c r="V81" s="40"/>
      <c r="W81" s="38"/>
      <c r="X81" s="40"/>
      <c r="Y81" s="38"/>
      <c r="Z81" s="38"/>
      <c r="AA81" s="40"/>
      <c r="AB81" s="43"/>
      <c r="AC81" s="45"/>
      <c r="AD81" s="46" t="str">
        <f aca="false">IF(ISNUMBER($AB81),$AB81*(1+N($AC81)),"")</f>
        <v/>
      </c>
      <c r="AE81" s="43"/>
      <c r="AF81" s="43"/>
      <c r="AG81" s="45"/>
      <c r="AH81" s="47" t="str">
        <f aca="false">IF(ISNUMBER($AD81),($AD81+$AE81+$AF81)*$AG81,"")</f>
        <v/>
      </c>
      <c r="AI81" s="43"/>
      <c r="AJ81" s="46" t="str">
        <f aca="false">IF(ISNUMBER($AD81),SUM($AD81:$AH81),"")</f>
        <v/>
      </c>
      <c r="AK81" s="48" t="str">
        <f aca="false">IF(AND(ISNUMBER($AB81),ISNUMBER($AD81)),IF($AB81&gt;0,$AD81/$AB81,""),"")</f>
        <v/>
      </c>
      <c r="AL81" s="40"/>
      <c r="AM81" s="49" t="str">
        <f aca="false">IF(ISNUMBER($AD81),Header!$I$3,"")</f>
        <v/>
      </c>
      <c r="AN81" s="47" t="str">
        <f aca="false">IF(ISNUMBER($AD81),$AO81+$AP81,"")</f>
        <v/>
      </c>
      <c r="AO81" s="47" t="str">
        <f aca="false">IF(ISNUMBER($AD81),ROUND($AD81*Header!$K$3,2),"")</f>
        <v/>
      </c>
      <c r="AP81" s="47" t="str">
        <f aca="false">IF(ISNUMBER($AD81),ROUND($AD81*Header!$M$3,2),"")</f>
        <v/>
      </c>
      <c r="AQ81" s="46" t="str">
        <f aca="false">IF(ISNUMBER($AD81),ROUND($AD81,2)-$AO81-$AP81,"")</f>
        <v/>
      </c>
      <c r="AR81" s="47" t="str">
        <f aca="false">IF(ISNUMBER($AD81),IF(Header!$D$34="","?",$AD81*Header!$D$34),"")</f>
        <v/>
      </c>
      <c r="AS81" s="47" t="str">
        <f aca="false">IF(ISNUMBER($AB81),IF(Header!$D$34="","?",$AB81*Header!$D$34),"")</f>
        <v/>
      </c>
      <c r="AT81" s="50" t="str">
        <f aca="false">IF(AND(ISNUMBER($AB81),$M81&gt;0),$AB81/$M81*100,"")</f>
        <v/>
      </c>
      <c r="AU81" s="50" t="str">
        <f aca="false">IF(AND(ISNUMBER($AD81),$M81&gt;0),$AD81/$M81*100,"")</f>
        <v/>
      </c>
      <c r="AV81" s="48" t="str">
        <f aca="false">IF(AND(ISNUMBER($AB81),ISNUMBER($AD81),ABS($AB81)&gt;0),$AD81/$AB81,"")</f>
        <v/>
      </c>
      <c r="AW81" s="47" t="str">
        <f aca="false">IF(ISNUMBER($AD81),MAX(0,(1-0.55-Header!$O$3)*Header!$Q$3*$AQ81),"")</f>
        <v/>
      </c>
      <c r="AX81" s="51" t="str">
        <f aca="false">IF($A81="","",IF(TRIM(IF($A81="","Missing certificate ref. ","") &amp; IF($C81="","Missing effective date. ","") &amp; IF($D81="","Missing binding status. ","") &amp; IF($E81="","Missing movement type. ","") &amp; IF($I81="","Missing make. ","") &amp; IF($L81="","Missing vehicle class. ","") &amp; IF($M81="","Missing agreed value. ","") &amp; IF($N81="","Missing policy type. ","") &amp; IF($Q81="","Missing garaging state. ","") &amp; IF($R81="","Missing garaging ZIP. ","") &amp; IF($S81="","Missing cat zone. ","") &amp; IF($V81="","Missing valuation basis. ","") &amp; IF($W81="","Missing PD deductible. ","") &amp; IF($X81="","Missing liability limit. ","") &amp; IF($AB81="","Missing technical premium. ","") &amp; IF($AF81="","Missing surplus lines tax %. ",""))="","PASS","FAIL: "&amp;TRIM(IF($A81="","Missing certificate ref. ","") &amp; IF($C81="","Missing effective date. ","") &amp; IF($D81="","Missing binding status. ","") &amp; IF($E81="","Missing movement type. ","") &amp; IF($I81="","Missing make. ","") &amp; IF($L81="","Missing vehicle class. ","") &amp; IF($M81="","Missing agreed value. ","") &amp; IF($N81="","Missing policy type. ","") &amp; IF($Q81="","Missing garaging state. ","") &amp; IF($R81="","Missing garaging ZIP. ","") &amp; IF($S81="","Missing cat zone. ","") &amp; IF($V81="","Missing valuation basis. ","") &amp; IF($W81="","Missing PD deductible. ","") &amp; IF($X81="","Missing liability limit. ","") &amp; IF($AB81="","Missing technical premium. ","") &amp; IF($AF81="","Missing surplus lines tax %. ",""))))</f>
        <v/>
      </c>
      <c r="AY81" s="52" t="str">
        <f aca="false">IF($M81="","",IF(ISNUMBER($M81),IF($M81&gt;=Header!$C$18,"YES — refer","No"),""))</f>
        <v/>
      </c>
      <c r="AZ81" s="52" t="str">
        <f aca="false">IF($AD81="","",IF(ISNUMBER($AD81),IF($AD81&lt;Header!$C$20,"BELOW MIN PREMIUM","OK"),""))</f>
        <v/>
      </c>
      <c r="BA81" s="40"/>
      <c r="BB81" s="40"/>
      <c r="BC81" s="38"/>
      <c r="BE81" s="53" t="str">
        <f aca="false">IF(OR($A81="",$L81="",$H81=""),"",IF(AND(LEFT($L81,2)="06",$H81&gt;1945),"FAIL - pre-war class, year "&amp;$H81,IF(AND(LEFT($L81,2)="07",OR($H81&lt;1946,$H81&gt;1972)),"FAIL - 1946-72 class, year "&amp;$H81,IF(AND(LEFT($L81,2)="08",OR($H81&lt;1973,$H81&gt;1999)),"FAIL - 1973-99 class, year "&amp;$H81,IF(AND(LEFT($L81,2)="09",OR($H81&lt;2000,$H81&gt;2010)),"FAIL - 2000-10 class, year "&amp;$H81,"OK")))))</f>
        <v/>
      </c>
      <c r="BF81" s="53" t="str">
        <f aca="false">IF($AD81="","",IF(ROUND($AO81+$AP81+$AQ81-$AD81,2)=0,"OK","FAIL - out by "&amp;TEXT($AO81+$AP81+$AQ81-$AD81,"$0.00")))</f>
        <v/>
      </c>
    </row>
    <row r="82" customFormat="false" ht="15" hidden="false" customHeight="true" outlineLevel="0" collapsed="false">
      <c r="A82" s="54"/>
      <c r="B82" s="54"/>
      <c r="C82" s="55"/>
      <c r="D82" s="56"/>
      <c r="E82" s="56"/>
      <c r="F82" s="54"/>
      <c r="G82" s="41" t="str">
        <f aca="false">IF($A82="","",IF($C82="","",YEAR($C82)))</f>
        <v/>
      </c>
      <c r="H82" s="57"/>
      <c r="I82" s="54"/>
      <c r="J82" s="54"/>
      <c r="K82" s="54"/>
      <c r="L82" s="56"/>
      <c r="M82" s="58"/>
      <c r="N82" s="56"/>
      <c r="O82" s="54"/>
      <c r="P82" s="54"/>
      <c r="Q82" s="54"/>
      <c r="R82" s="54"/>
      <c r="S82" s="56"/>
      <c r="T82" s="44" t="str">
        <f aca="false">IF($A82="","",IF($S82="","",IFERROR(INDEX(Lists!$N$5:$N$16,MATCH($S82,Lists!$M$5:$M$16,0)),"?")))</f>
        <v/>
      </c>
      <c r="U82" s="54"/>
      <c r="V82" s="56"/>
      <c r="W82" s="54"/>
      <c r="X82" s="56"/>
      <c r="Y82" s="54"/>
      <c r="Z82" s="54"/>
      <c r="AA82" s="56"/>
      <c r="AB82" s="58"/>
      <c r="AC82" s="59"/>
      <c r="AD82" s="46" t="str">
        <f aca="false">IF(ISNUMBER($AB82),$AB82*(1+N($AC82)),"")</f>
        <v/>
      </c>
      <c r="AE82" s="58"/>
      <c r="AF82" s="58"/>
      <c r="AG82" s="59"/>
      <c r="AH82" s="47" t="str">
        <f aca="false">IF(ISNUMBER($AD82),($AD82+$AE82+$AF82)*$AG82,"")</f>
        <v/>
      </c>
      <c r="AI82" s="58"/>
      <c r="AJ82" s="46" t="str">
        <f aca="false">IF(ISNUMBER($AD82),SUM($AD82:$AH82),"")</f>
        <v/>
      </c>
      <c r="AK82" s="48" t="str">
        <f aca="false">IF(AND(ISNUMBER($AB82),ISNUMBER($AD82)),IF($AB82&gt;0,$AD82/$AB82,""),"")</f>
        <v/>
      </c>
      <c r="AL82" s="56"/>
      <c r="AM82" s="49" t="str">
        <f aca="false">IF(ISNUMBER($AD82),Header!$I$3,"")</f>
        <v/>
      </c>
      <c r="AN82" s="47" t="str">
        <f aca="false">IF(ISNUMBER($AD82),$AO82+$AP82,"")</f>
        <v/>
      </c>
      <c r="AO82" s="47" t="str">
        <f aca="false">IF(ISNUMBER($AD82),ROUND($AD82*Header!$K$3,2),"")</f>
        <v/>
      </c>
      <c r="AP82" s="47" t="str">
        <f aca="false">IF(ISNUMBER($AD82),ROUND($AD82*Header!$M$3,2),"")</f>
        <v/>
      </c>
      <c r="AQ82" s="46" t="str">
        <f aca="false">IF(ISNUMBER($AD82),ROUND($AD82,2)-$AO82-$AP82,"")</f>
        <v/>
      </c>
      <c r="AR82" s="47" t="str">
        <f aca="false">IF(ISNUMBER($AD82),IF(Header!$D$34="","?",$AD82*Header!$D$34),"")</f>
        <v/>
      </c>
      <c r="AS82" s="47" t="str">
        <f aca="false">IF(ISNUMBER($AB82),IF(Header!$D$34="","?",$AB82*Header!$D$34),"")</f>
        <v/>
      </c>
      <c r="AT82" s="50" t="str">
        <f aca="false">IF(AND(ISNUMBER($AB82),$M82&gt;0),$AB82/$M82*100,"")</f>
        <v/>
      </c>
      <c r="AU82" s="50" t="str">
        <f aca="false">IF(AND(ISNUMBER($AD82),$M82&gt;0),$AD82/$M82*100,"")</f>
        <v/>
      </c>
      <c r="AV82" s="48" t="str">
        <f aca="false">IF(AND(ISNUMBER($AB82),ISNUMBER($AD82),ABS($AB82)&gt;0),$AD82/$AB82,"")</f>
        <v/>
      </c>
      <c r="AW82" s="47" t="str">
        <f aca="false">IF(ISNUMBER($AD82),MAX(0,(1-0.55-Header!$O$3)*Header!$Q$3*$AQ82),"")</f>
        <v/>
      </c>
      <c r="AX82" s="51" t="str">
        <f aca="false">IF($A82="","",IF(TRIM(IF($A82="","Missing certificate ref. ","") &amp; IF($C82="","Missing effective date. ","") &amp; IF($D82="","Missing binding status. ","") &amp; IF($E82="","Missing movement type. ","") &amp; IF($I82="","Missing make. ","") &amp; IF($L82="","Missing vehicle class. ","") &amp; IF($M82="","Missing agreed value. ","") &amp; IF($N82="","Missing policy type. ","") &amp; IF($Q82="","Missing garaging state. ","") &amp; IF($R82="","Missing garaging ZIP. ","") &amp; IF($S82="","Missing cat zone. ","") &amp; IF($V82="","Missing valuation basis. ","") &amp; IF($W82="","Missing PD deductible. ","") &amp; IF($X82="","Missing liability limit. ","") &amp; IF($AB82="","Missing technical premium. ","") &amp; IF($AF82="","Missing surplus lines tax %. ",""))="","PASS","FAIL: "&amp;TRIM(IF($A82="","Missing certificate ref. ","") &amp; IF($C82="","Missing effective date. ","") &amp; IF($D82="","Missing binding status. ","") &amp; IF($E82="","Missing movement type. ","") &amp; IF($I82="","Missing make. ","") &amp; IF($L82="","Missing vehicle class. ","") &amp; IF($M82="","Missing agreed value. ","") &amp; IF($N82="","Missing policy type. ","") &amp; IF($Q82="","Missing garaging state. ","") &amp; IF($R82="","Missing garaging ZIP. ","") &amp; IF($S82="","Missing cat zone. ","") &amp; IF($V82="","Missing valuation basis. ","") &amp; IF($W82="","Missing PD deductible. ","") &amp; IF($X82="","Missing liability limit. ","") &amp; IF($AB82="","Missing technical premium. ","") &amp; IF($AF82="","Missing surplus lines tax %. ",""))))</f>
        <v/>
      </c>
      <c r="AY82" s="52" t="str">
        <f aca="false">IF($M82="","",IF(ISNUMBER($M82),IF($M82&gt;=Header!$C$18,"YES — refer","No"),""))</f>
        <v/>
      </c>
      <c r="AZ82" s="52" t="str">
        <f aca="false">IF($AD82="","",IF(ISNUMBER($AD82),IF($AD82&lt;Header!$C$20,"BELOW MIN PREMIUM","OK"),""))</f>
        <v/>
      </c>
      <c r="BA82" s="56"/>
      <c r="BB82" s="56"/>
      <c r="BC82" s="54"/>
      <c r="BE82" s="53" t="str">
        <f aca="false">IF(OR($A82="",$L82="",$H82=""),"",IF(AND(LEFT($L82,2)="06",$H82&gt;1945),"FAIL - pre-war class, year "&amp;$H82,IF(AND(LEFT($L82,2)="07",OR($H82&lt;1946,$H82&gt;1972)),"FAIL - 1946-72 class, year "&amp;$H82,IF(AND(LEFT($L82,2)="08",OR($H82&lt;1973,$H82&gt;1999)),"FAIL - 1973-99 class, year "&amp;$H82,IF(AND(LEFT($L82,2)="09",OR($H82&lt;2000,$H82&gt;2010)),"FAIL - 2000-10 class, year "&amp;$H82,"OK")))))</f>
        <v/>
      </c>
      <c r="BF82" s="53" t="str">
        <f aca="false">IF($AD82="","",IF(ROUND($AO82+$AP82+$AQ82-$AD82,2)=0,"OK","FAIL - out by "&amp;TEXT($AO82+$AP82+$AQ82-$AD82,"$0.00")))</f>
        <v/>
      </c>
    </row>
    <row r="83" customFormat="false" ht="15" hidden="false" customHeight="true" outlineLevel="0" collapsed="false">
      <c r="A83" s="38"/>
      <c r="B83" s="38"/>
      <c r="C83" s="39"/>
      <c r="D83" s="40"/>
      <c r="E83" s="40"/>
      <c r="F83" s="38"/>
      <c r="G83" s="41" t="str">
        <f aca="false">IF($A83="","",IF($C83="","",YEAR($C83)))</f>
        <v/>
      </c>
      <c r="H83" s="42"/>
      <c r="I83" s="38"/>
      <c r="J83" s="38"/>
      <c r="K83" s="38"/>
      <c r="L83" s="40"/>
      <c r="M83" s="43"/>
      <c r="N83" s="40"/>
      <c r="O83" s="38"/>
      <c r="P83" s="38"/>
      <c r="Q83" s="38"/>
      <c r="R83" s="38"/>
      <c r="S83" s="40"/>
      <c r="T83" s="44" t="str">
        <f aca="false">IF($A83="","",IF($S83="","",IFERROR(INDEX(Lists!$N$5:$N$16,MATCH($S83,Lists!$M$5:$M$16,0)),"?")))</f>
        <v/>
      </c>
      <c r="U83" s="38"/>
      <c r="V83" s="40"/>
      <c r="W83" s="38"/>
      <c r="X83" s="40"/>
      <c r="Y83" s="38"/>
      <c r="Z83" s="38"/>
      <c r="AA83" s="40"/>
      <c r="AB83" s="43"/>
      <c r="AC83" s="45"/>
      <c r="AD83" s="46" t="str">
        <f aca="false">IF(ISNUMBER($AB83),$AB83*(1+N($AC83)),"")</f>
        <v/>
      </c>
      <c r="AE83" s="43"/>
      <c r="AF83" s="43"/>
      <c r="AG83" s="45"/>
      <c r="AH83" s="47" t="str">
        <f aca="false">IF(ISNUMBER($AD83),($AD83+$AE83+$AF83)*$AG83,"")</f>
        <v/>
      </c>
      <c r="AI83" s="43"/>
      <c r="AJ83" s="46" t="str">
        <f aca="false">IF(ISNUMBER($AD83),SUM($AD83:$AH83),"")</f>
        <v/>
      </c>
      <c r="AK83" s="48" t="str">
        <f aca="false">IF(AND(ISNUMBER($AB83),ISNUMBER($AD83)),IF($AB83&gt;0,$AD83/$AB83,""),"")</f>
        <v/>
      </c>
      <c r="AL83" s="40"/>
      <c r="AM83" s="49" t="str">
        <f aca="false">IF(ISNUMBER($AD83),Header!$I$3,"")</f>
        <v/>
      </c>
      <c r="AN83" s="47" t="str">
        <f aca="false">IF(ISNUMBER($AD83),$AO83+$AP83,"")</f>
        <v/>
      </c>
      <c r="AO83" s="47" t="str">
        <f aca="false">IF(ISNUMBER($AD83),ROUND($AD83*Header!$K$3,2),"")</f>
        <v/>
      </c>
      <c r="AP83" s="47" t="str">
        <f aca="false">IF(ISNUMBER($AD83),ROUND($AD83*Header!$M$3,2),"")</f>
        <v/>
      </c>
      <c r="AQ83" s="46" t="str">
        <f aca="false">IF(ISNUMBER($AD83),ROUND($AD83,2)-$AO83-$AP83,"")</f>
        <v/>
      </c>
      <c r="AR83" s="47" t="str">
        <f aca="false">IF(ISNUMBER($AD83),IF(Header!$D$34="","?",$AD83*Header!$D$34),"")</f>
        <v/>
      </c>
      <c r="AS83" s="47" t="str">
        <f aca="false">IF(ISNUMBER($AB83),IF(Header!$D$34="","?",$AB83*Header!$D$34),"")</f>
        <v/>
      </c>
      <c r="AT83" s="50" t="str">
        <f aca="false">IF(AND(ISNUMBER($AB83),$M83&gt;0),$AB83/$M83*100,"")</f>
        <v/>
      </c>
      <c r="AU83" s="50" t="str">
        <f aca="false">IF(AND(ISNUMBER($AD83),$M83&gt;0),$AD83/$M83*100,"")</f>
        <v/>
      </c>
      <c r="AV83" s="48" t="str">
        <f aca="false">IF(AND(ISNUMBER($AB83),ISNUMBER($AD83),ABS($AB83)&gt;0),$AD83/$AB83,"")</f>
        <v/>
      </c>
      <c r="AW83" s="47" t="str">
        <f aca="false">IF(ISNUMBER($AD83),MAX(0,(1-0.55-Header!$O$3)*Header!$Q$3*$AQ83),"")</f>
        <v/>
      </c>
      <c r="AX83" s="51" t="str">
        <f aca="false">IF($A83="","",IF(TRIM(IF($A83="","Missing certificate ref. ","") &amp; IF($C83="","Missing effective date. ","") &amp; IF($D83="","Missing binding status. ","") &amp; IF($E83="","Missing movement type. ","") &amp; IF($I83="","Missing make. ","") &amp; IF($L83="","Missing vehicle class. ","") &amp; IF($M83="","Missing agreed value. ","") &amp; IF($N83="","Missing policy type. ","") &amp; IF($Q83="","Missing garaging state. ","") &amp; IF($R83="","Missing garaging ZIP. ","") &amp; IF($S83="","Missing cat zone. ","") &amp; IF($V83="","Missing valuation basis. ","") &amp; IF($W83="","Missing PD deductible. ","") &amp; IF($X83="","Missing liability limit. ","") &amp; IF($AB83="","Missing technical premium. ","") &amp; IF($AF83="","Missing surplus lines tax %. ",""))="","PASS","FAIL: "&amp;TRIM(IF($A83="","Missing certificate ref. ","") &amp; IF($C83="","Missing effective date. ","") &amp; IF($D83="","Missing binding status. ","") &amp; IF($E83="","Missing movement type. ","") &amp; IF($I83="","Missing make. ","") &amp; IF($L83="","Missing vehicle class. ","") &amp; IF($M83="","Missing agreed value. ","") &amp; IF($N83="","Missing policy type. ","") &amp; IF($Q83="","Missing garaging state. ","") &amp; IF($R83="","Missing garaging ZIP. ","") &amp; IF($S83="","Missing cat zone. ","") &amp; IF($V83="","Missing valuation basis. ","") &amp; IF($W83="","Missing PD deductible. ","") &amp; IF($X83="","Missing liability limit. ","") &amp; IF($AB83="","Missing technical premium. ","") &amp; IF($AF83="","Missing surplus lines tax %. ",""))))</f>
        <v/>
      </c>
      <c r="AY83" s="52" t="str">
        <f aca="false">IF($M83="","",IF(ISNUMBER($M83),IF($M83&gt;=Header!$C$18,"YES — refer","No"),""))</f>
        <v/>
      </c>
      <c r="AZ83" s="52" t="str">
        <f aca="false">IF($AD83="","",IF(ISNUMBER($AD83),IF($AD83&lt;Header!$C$20,"BELOW MIN PREMIUM","OK"),""))</f>
        <v/>
      </c>
      <c r="BA83" s="40"/>
      <c r="BB83" s="40"/>
      <c r="BC83" s="38"/>
      <c r="BE83" s="53" t="str">
        <f aca="false">IF(OR($A83="",$L83="",$H83=""),"",IF(AND(LEFT($L83,2)="06",$H83&gt;1945),"FAIL - pre-war class, year "&amp;$H83,IF(AND(LEFT($L83,2)="07",OR($H83&lt;1946,$H83&gt;1972)),"FAIL - 1946-72 class, year "&amp;$H83,IF(AND(LEFT($L83,2)="08",OR($H83&lt;1973,$H83&gt;1999)),"FAIL - 1973-99 class, year "&amp;$H83,IF(AND(LEFT($L83,2)="09",OR($H83&lt;2000,$H83&gt;2010)),"FAIL - 2000-10 class, year "&amp;$H83,"OK")))))</f>
        <v/>
      </c>
      <c r="BF83" s="53" t="str">
        <f aca="false">IF($AD83="","",IF(ROUND($AO83+$AP83+$AQ83-$AD83,2)=0,"OK","FAIL - out by "&amp;TEXT($AO83+$AP83+$AQ83-$AD83,"$0.00")))</f>
        <v/>
      </c>
    </row>
    <row r="84" customFormat="false" ht="15" hidden="false" customHeight="true" outlineLevel="0" collapsed="false">
      <c r="A84" s="54"/>
      <c r="B84" s="54"/>
      <c r="C84" s="55"/>
      <c r="D84" s="56"/>
      <c r="E84" s="56"/>
      <c r="F84" s="54"/>
      <c r="G84" s="41" t="str">
        <f aca="false">IF($A84="","",IF($C84="","",YEAR($C84)))</f>
        <v/>
      </c>
      <c r="H84" s="57"/>
      <c r="I84" s="54"/>
      <c r="J84" s="54"/>
      <c r="K84" s="54"/>
      <c r="L84" s="56"/>
      <c r="M84" s="58"/>
      <c r="N84" s="56"/>
      <c r="O84" s="54"/>
      <c r="P84" s="54"/>
      <c r="Q84" s="54"/>
      <c r="R84" s="54"/>
      <c r="S84" s="56"/>
      <c r="T84" s="44" t="str">
        <f aca="false">IF($A84="","",IF($S84="","",IFERROR(INDEX(Lists!$N$5:$N$16,MATCH($S84,Lists!$M$5:$M$16,0)),"?")))</f>
        <v/>
      </c>
      <c r="U84" s="54"/>
      <c r="V84" s="56"/>
      <c r="W84" s="54"/>
      <c r="X84" s="56"/>
      <c r="Y84" s="54"/>
      <c r="Z84" s="54"/>
      <c r="AA84" s="56"/>
      <c r="AB84" s="58"/>
      <c r="AC84" s="59"/>
      <c r="AD84" s="46" t="str">
        <f aca="false">IF(ISNUMBER($AB84),$AB84*(1+N($AC84)),"")</f>
        <v/>
      </c>
      <c r="AE84" s="58"/>
      <c r="AF84" s="58"/>
      <c r="AG84" s="59"/>
      <c r="AH84" s="47" t="str">
        <f aca="false">IF(ISNUMBER($AD84),($AD84+$AE84+$AF84)*$AG84,"")</f>
        <v/>
      </c>
      <c r="AI84" s="58"/>
      <c r="AJ84" s="46" t="str">
        <f aca="false">IF(ISNUMBER($AD84),SUM($AD84:$AH84),"")</f>
        <v/>
      </c>
      <c r="AK84" s="48" t="str">
        <f aca="false">IF(AND(ISNUMBER($AB84),ISNUMBER($AD84)),IF($AB84&gt;0,$AD84/$AB84,""),"")</f>
        <v/>
      </c>
      <c r="AL84" s="56"/>
      <c r="AM84" s="49" t="str">
        <f aca="false">IF(ISNUMBER($AD84),Header!$I$3,"")</f>
        <v/>
      </c>
      <c r="AN84" s="47" t="str">
        <f aca="false">IF(ISNUMBER($AD84),$AO84+$AP84,"")</f>
        <v/>
      </c>
      <c r="AO84" s="47" t="str">
        <f aca="false">IF(ISNUMBER($AD84),ROUND($AD84*Header!$K$3,2),"")</f>
        <v/>
      </c>
      <c r="AP84" s="47" t="str">
        <f aca="false">IF(ISNUMBER($AD84),ROUND($AD84*Header!$M$3,2),"")</f>
        <v/>
      </c>
      <c r="AQ84" s="46" t="str">
        <f aca="false">IF(ISNUMBER($AD84),ROUND($AD84,2)-$AO84-$AP84,"")</f>
        <v/>
      </c>
      <c r="AR84" s="47" t="str">
        <f aca="false">IF(ISNUMBER($AD84),IF(Header!$D$34="","?",$AD84*Header!$D$34),"")</f>
        <v/>
      </c>
      <c r="AS84" s="47" t="str">
        <f aca="false">IF(ISNUMBER($AB84),IF(Header!$D$34="","?",$AB84*Header!$D$34),"")</f>
        <v/>
      </c>
      <c r="AT84" s="50" t="str">
        <f aca="false">IF(AND(ISNUMBER($AB84),$M84&gt;0),$AB84/$M84*100,"")</f>
        <v/>
      </c>
      <c r="AU84" s="50" t="str">
        <f aca="false">IF(AND(ISNUMBER($AD84),$M84&gt;0),$AD84/$M84*100,"")</f>
        <v/>
      </c>
      <c r="AV84" s="48" t="str">
        <f aca="false">IF(AND(ISNUMBER($AB84),ISNUMBER($AD84),ABS($AB84)&gt;0),$AD84/$AB84,"")</f>
        <v/>
      </c>
      <c r="AW84" s="47" t="str">
        <f aca="false">IF(ISNUMBER($AD84),MAX(0,(1-0.55-Header!$O$3)*Header!$Q$3*$AQ84),"")</f>
        <v/>
      </c>
      <c r="AX84" s="51" t="str">
        <f aca="false">IF($A84="","",IF(TRIM(IF($A84="","Missing certificate ref. ","") &amp; IF($C84="","Missing effective date. ","") &amp; IF($D84="","Missing binding status. ","") &amp; IF($E84="","Missing movement type. ","") &amp; IF($I84="","Missing make. ","") &amp; IF($L84="","Missing vehicle class. ","") &amp; IF($M84="","Missing agreed value. ","") &amp; IF($N84="","Missing policy type. ","") &amp; IF($Q84="","Missing garaging state. ","") &amp; IF($R84="","Missing garaging ZIP. ","") &amp; IF($S84="","Missing cat zone. ","") &amp; IF($V84="","Missing valuation basis. ","") &amp; IF($W84="","Missing PD deductible. ","") &amp; IF($X84="","Missing liability limit. ","") &amp; IF($AB84="","Missing technical premium. ","") &amp; IF($AF84="","Missing surplus lines tax %. ",""))="","PASS","FAIL: "&amp;TRIM(IF($A84="","Missing certificate ref. ","") &amp; IF($C84="","Missing effective date. ","") &amp; IF($D84="","Missing binding status. ","") &amp; IF($E84="","Missing movement type. ","") &amp; IF($I84="","Missing make. ","") &amp; IF($L84="","Missing vehicle class. ","") &amp; IF($M84="","Missing agreed value. ","") &amp; IF($N84="","Missing policy type. ","") &amp; IF($Q84="","Missing garaging state. ","") &amp; IF($R84="","Missing garaging ZIP. ","") &amp; IF($S84="","Missing cat zone. ","") &amp; IF($V84="","Missing valuation basis. ","") &amp; IF($W84="","Missing PD deductible. ","") &amp; IF($X84="","Missing liability limit. ","") &amp; IF($AB84="","Missing technical premium. ","") &amp; IF($AF84="","Missing surplus lines tax %. ",""))))</f>
        <v/>
      </c>
      <c r="AY84" s="52" t="str">
        <f aca="false">IF($M84="","",IF(ISNUMBER($M84),IF($M84&gt;=Header!$C$18,"YES — refer","No"),""))</f>
        <v/>
      </c>
      <c r="AZ84" s="52" t="str">
        <f aca="false">IF($AD84="","",IF(ISNUMBER($AD84),IF($AD84&lt;Header!$C$20,"BELOW MIN PREMIUM","OK"),""))</f>
        <v/>
      </c>
      <c r="BA84" s="56"/>
      <c r="BB84" s="56"/>
      <c r="BC84" s="54"/>
      <c r="BE84" s="53" t="str">
        <f aca="false">IF(OR($A84="",$L84="",$H84=""),"",IF(AND(LEFT($L84,2)="06",$H84&gt;1945),"FAIL - pre-war class, year "&amp;$H84,IF(AND(LEFT($L84,2)="07",OR($H84&lt;1946,$H84&gt;1972)),"FAIL - 1946-72 class, year "&amp;$H84,IF(AND(LEFT($L84,2)="08",OR($H84&lt;1973,$H84&gt;1999)),"FAIL - 1973-99 class, year "&amp;$H84,IF(AND(LEFT($L84,2)="09",OR($H84&lt;2000,$H84&gt;2010)),"FAIL - 2000-10 class, year "&amp;$H84,"OK")))))</f>
        <v/>
      </c>
      <c r="BF84" s="53" t="str">
        <f aca="false">IF($AD84="","",IF(ROUND($AO84+$AP84+$AQ84-$AD84,2)=0,"OK","FAIL - out by "&amp;TEXT($AO84+$AP84+$AQ84-$AD84,"$0.00")))</f>
        <v/>
      </c>
    </row>
    <row r="85" customFormat="false" ht="15" hidden="false" customHeight="true" outlineLevel="0" collapsed="false">
      <c r="A85" s="38"/>
      <c r="B85" s="38"/>
      <c r="C85" s="39"/>
      <c r="D85" s="40"/>
      <c r="E85" s="40"/>
      <c r="F85" s="38"/>
      <c r="G85" s="41" t="str">
        <f aca="false">IF($A85="","",IF($C85="","",YEAR($C85)))</f>
        <v/>
      </c>
      <c r="H85" s="42"/>
      <c r="I85" s="38"/>
      <c r="J85" s="38"/>
      <c r="K85" s="38"/>
      <c r="L85" s="40"/>
      <c r="M85" s="43"/>
      <c r="N85" s="40"/>
      <c r="O85" s="38"/>
      <c r="P85" s="38"/>
      <c r="Q85" s="38"/>
      <c r="R85" s="38"/>
      <c r="S85" s="40"/>
      <c r="T85" s="44" t="str">
        <f aca="false">IF($A85="","",IF($S85="","",IFERROR(INDEX(Lists!$N$5:$N$16,MATCH($S85,Lists!$M$5:$M$16,0)),"?")))</f>
        <v/>
      </c>
      <c r="U85" s="38"/>
      <c r="V85" s="40"/>
      <c r="W85" s="38"/>
      <c r="X85" s="40"/>
      <c r="Y85" s="38"/>
      <c r="Z85" s="38"/>
      <c r="AA85" s="40"/>
      <c r="AB85" s="43"/>
      <c r="AC85" s="45"/>
      <c r="AD85" s="46" t="str">
        <f aca="false">IF(ISNUMBER($AB85),$AB85*(1+N($AC85)),"")</f>
        <v/>
      </c>
      <c r="AE85" s="43"/>
      <c r="AF85" s="43"/>
      <c r="AG85" s="45"/>
      <c r="AH85" s="47" t="str">
        <f aca="false">IF(ISNUMBER($AD85),($AD85+$AE85+$AF85)*$AG85,"")</f>
        <v/>
      </c>
      <c r="AI85" s="43"/>
      <c r="AJ85" s="46" t="str">
        <f aca="false">IF(ISNUMBER($AD85),SUM($AD85:$AH85),"")</f>
        <v/>
      </c>
      <c r="AK85" s="48" t="str">
        <f aca="false">IF(AND(ISNUMBER($AB85),ISNUMBER($AD85)),IF($AB85&gt;0,$AD85/$AB85,""),"")</f>
        <v/>
      </c>
      <c r="AL85" s="40"/>
      <c r="AM85" s="49" t="str">
        <f aca="false">IF(ISNUMBER($AD85),Header!$I$3,"")</f>
        <v/>
      </c>
      <c r="AN85" s="47" t="str">
        <f aca="false">IF(ISNUMBER($AD85),$AO85+$AP85,"")</f>
        <v/>
      </c>
      <c r="AO85" s="47" t="str">
        <f aca="false">IF(ISNUMBER($AD85),ROUND($AD85*Header!$K$3,2),"")</f>
        <v/>
      </c>
      <c r="AP85" s="47" t="str">
        <f aca="false">IF(ISNUMBER($AD85),ROUND($AD85*Header!$M$3,2),"")</f>
        <v/>
      </c>
      <c r="AQ85" s="46" t="str">
        <f aca="false">IF(ISNUMBER($AD85),ROUND($AD85,2)-$AO85-$AP85,"")</f>
        <v/>
      </c>
      <c r="AR85" s="47" t="str">
        <f aca="false">IF(ISNUMBER($AD85),IF(Header!$D$34="","?",$AD85*Header!$D$34),"")</f>
        <v/>
      </c>
      <c r="AS85" s="47" t="str">
        <f aca="false">IF(ISNUMBER($AB85),IF(Header!$D$34="","?",$AB85*Header!$D$34),"")</f>
        <v/>
      </c>
      <c r="AT85" s="50" t="str">
        <f aca="false">IF(AND(ISNUMBER($AB85),$M85&gt;0),$AB85/$M85*100,"")</f>
        <v/>
      </c>
      <c r="AU85" s="50" t="str">
        <f aca="false">IF(AND(ISNUMBER($AD85),$M85&gt;0),$AD85/$M85*100,"")</f>
        <v/>
      </c>
      <c r="AV85" s="48" t="str">
        <f aca="false">IF(AND(ISNUMBER($AB85),ISNUMBER($AD85),ABS($AB85)&gt;0),$AD85/$AB85,"")</f>
        <v/>
      </c>
      <c r="AW85" s="47" t="str">
        <f aca="false">IF(ISNUMBER($AD85),MAX(0,(1-0.55-Header!$O$3)*Header!$Q$3*$AQ85),"")</f>
        <v/>
      </c>
      <c r="AX85" s="51" t="str">
        <f aca="false">IF($A85="","",IF(TRIM(IF($A85="","Missing certificate ref. ","") &amp; IF($C85="","Missing effective date. ","") &amp; IF($D85="","Missing binding status. ","") &amp; IF($E85="","Missing movement type. ","") &amp; IF($I85="","Missing make. ","") &amp; IF($L85="","Missing vehicle class. ","") &amp; IF($M85="","Missing agreed value. ","") &amp; IF($N85="","Missing policy type. ","") &amp; IF($Q85="","Missing garaging state. ","") &amp; IF($R85="","Missing garaging ZIP. ","") &amp; IF($S85="","Missing cat zone. ","") &amp; IF($V85="","Missing valuation basis. ","") &amp; IF($W85="","Missing PD deductible. ","") &amp; IF($X85="","Missing liability limit. ","") &amp; IF($AB85="","Missing technical premium. ","") &amp; IF($AF85="","Missing surplus lines tax %. ",""))="","PASS","FAIL: "&amp;TRIM(IF($A85="","Missing certificate ref. ","") &amp; IF($C85="","Missing effective date. ","") &amp; IF($D85="","Missing binding status. ","") &amp; IF($E85="","Missing movement type. ","") &amp; IF($I85="","Missing make. ","") &amp; IF($L85="","Missing vehicle class. ","") &amp; IF($M85="","Missing agreed value. ","") &amp; IF($N85="","Missing policy type. ","") &amp; IF($Q85="","Missing garaging state. ","") &amp; IF($R85="","Missing garaging ZIP. ","") &amp; IF($S85="","Missing cat zone. ","") &amp; IF($V85="","Missing valuation basis. ","") &amp; IF($W85="","Missing PD deductible. ","") &amp; IF($X85="","Missing liability limit. ","") &amp; IF($AB85="","Missing technical premium. ","") &amp; IF($AF85="","Missing surplus lines tax %. ",""))))</f>
        <v/>
      </c>
      <c r="AY85" s="52" t="str">
        <f aca="false">IF($M85="","",IF(ISNUMBER($M85),IF($M85&gt;=Header!$C$18,"YES — refer","No"),""))</f>
        <v/>
      </c>
      <c r="AZ85" s="52" t="str">
        <f aca="false">IF($AD85="","",IF(ISNUMBER($AD85),IF($AD85&lt;Header!$C$20,"BELOW MIN PREMIUM","OK"),""))</f>
        <v/>
      </c>
      <c r="BA85" s="40"/>
      <c r="BB85" s="40"/>
      <c r="BC85" s="38"/>
      <c r="BE85" s="53" t="str">
        <f aca="false">IF(OR($A85="",$L85="",$H85=""),"",IF(AND(LEFT($L85,2)="06",$H85&gt;1945),"FAIL - pre-war class, year "&amp;$H85,IF(AND(LEFT($L85,2)="07",OR($H85&lt;1946,$H85&gt;1972)),"FAIL - 1946-72 class, year "&amp;$H85,IF(AND(LEFT($L85,2)="08",OR($H85&lt;1973,$H85&gt;1999)),"FAIL - 1973-99 class, year "&amp;$H85,IF(AND(LEFT($L85,2)="09",OR($H85&lt;2000,$H85&gt;2010)),"FAIL - 2000-10 class, year "&amp;$H85,"OK")))))</f>
        <v/>
      </c>
      <c r="BF85" s="53" t="str">
        <f aca="false">IF($AD85="","",IF(ROUND($AO85+$AP85+$AQ85-$AD85,2)=0,"OK","FAIL - out by "&amp;TEXT($AO85+$AP85+$AQ85-$AD85,"$0.00")))</f>
        <v/>
      </c>
    </row>
    <row r="86" customFormat="false" ht="15" hidden="false" customHeight="true" outlineLevel="0" collapsed="false">
      <c r="A86" s="54"/>
      <c r="B86" s="54"/>
      <c r="C86" s="55"/>
      <c r="D86" s="56"/>
      <c r="E86" s="56"/>
      <c r="F86" s="54"/>
      <c r="G86" s="41" t="str">
        <f aca="false">IF($A86="","",IF($C86="","",YEAR($C86)))</f>
        <v/>
      </c>
      <c r="H86" s="57"/>
      <c r="I86" s="54"/>
      <c r="J86" s="54"/>
      <c r="K86" s="54"/>
      <c r="L86" s="56"/>
      <c r="M86" s="58"/>
      <c r="N86" s="56"/>
      <c r="O86" s="54"/>
      <c r="P86" s="54"/>
      <c r="Q86" s="54"/>
      <c r="R86" s="54"/>
      <c r="S86" s="56"/>
      <c r="T86" s="44" t="str">
        <f aca="false">IF($A86="","",IF($S86="","",IFERROR(INDEX(Lists!$N$5:$N$16,MATCH($S86,Lists!$M$5:$M$16,0)),"?")))</f>
        <v/>
      </c>
      <c r="U86" s="54"/>
      <c r="V86" s="56"/>
      <c r="W86" s="54"/>
      <c r="X86" s="56"/>
      <c r="Y86" s="54"/>
      <c r="Z86" s="54"/>
      <c r="AA86" s="56"/>
      <c r="AB86" s="58"/>
      <c r="AC86" s="59"/>
      <c r="AD86" s="46" t="str">
        <f aca="false">IF(ISNUMBER($AB86),$AB86*(1+N($AC86)),"")</f>
        <v/>
      </c>
      <c r="AE86" s="58"/>
      <c r="AF86" s="58"/>
      <c r="AG86" s="59"/>
      <c r="AH86" s="47" t="str">
        <f aca="false">IF(ISNUMBER($AD86),($AD86+$AE86+$AF86)*$AG86,"")</f>
        <v/>
      </c>
      <c r="AI86" s="58"/>
      <c r="AJ86" s="46" t="str">
        <f aca="false">IF(ISNUMBER($AD86),SUM($AD86:$AH86),"")</f>
        <v/>
      </c>
      <c r="AK86" s="48" t="str">
        <f aca="false">IF(AND(ISNUMBER($AB86),ISNUMBER($AD86)),IF($AB86&gt;0,$AD86/$AB86,""),"")</f>
        <v/>
      </c>
      <c r="AL86" s="56"/>
      <c r="AM86" s="49" t="str">
        <f aca="false">IF(ISNUMBER($AD86),Header!$I$3,"")</f>
        <v/>
      </c>
      <c r="AN86" s="47" t="str">
        <f aca="false">IF(ISNUMBER($AD86),$AO86+$AP86,"")</f>
        <v/>
      </c>
      <c r="AO86" s="47" t="str">
        <f aca="false">IF(ISNUMBER($AD86),ROUND($AD86*Header!$K$3,2),"")</f>
        <v/>
      </c>
      <c r="AP86" s="47" t="str">
        <f aca="false">IF(ISNUMBER($AD86),ROUND($AD86*Header!$M$3,2),"")</f>
        <v/>
      </c>
      <c r="AQ86" s="46" t="str">
        <f aca="false">IF(ISNUMBER($AD86),ROUND($AD86,2)-$AO86-$AP86,"")</f>
        <v/>
      </c>
      <c r="AR86" s="47" t="str">
        <f aca="false">IF(ISNUMBER($AD86),IF(Header!$D$34="","?",$AD86*Header!$D$34),"")</f>
        <v/>
      </c>
      <c r="AS86" s="47" t="str">
        <f aca="false">IF(ISNUMBER($AB86),IF(Header!$D$34="","?",$AB86*Header!$D$34),"")</f>
        <v/>
      </c>
      <c r="AT86" s="50" t="str">
        <f aca="false">IF(AND(ISNUMBER($AB86),$M86&gt;0),$AB86/$M86*100,"")</f>
        <v/>
      </c>
      <c r="AU86" s="50" t="str">
        <f aca="false">IF(AND(ISNUMBER($AD86),$M86&gt;0),$AD86/$M86*100,"")</f>
        <v/>
      </c>
      <c r="AV86" s="48" t="str">
        <f aca="false">IF(AND(ISNUMBER($AB86),ISNUMBER($AD86),ABS($AB86)&gt;0),$AD86/$AB86,"")</f>
        <v/>
      </c>
      <c r="AW86" s="47" t="str">
        <f aca="false">IF(ISNUMBER($AD86),MAX(0,(1-0.55-Header!$O$3)*Header!$Q$3*$AQ86),"")</f>
        <v/>
      </c>
      <c r="AX86" s="51" t="str">
        <f aca="false">IF($A86="","",IF(TRIM(IF($A86="","Missing certificate ref. ","") &amp; IF($C86="","Missing effective date. ","") &amp; IF($D86="","Missing binding status. ","") &amp; IF($E86="","Missing movement type. ","") &amp; IF($I86="","Missing make. ","") &amp; IF($L86="","Missing vehicle class. ","") &amp; IF($M86="","Missing agreed value. ","") &amp; IF($N86="","Missing policy type. ","") &amp; IF($Q86="","Missing garaging state. ","") &amp; IF($R86="","Missing garaging ZIP. ","") &amp; IF($S86="","Missing cat zone. ","") &amp; IF($V86="","Missing valuation basis. ","") &amp; IF($W86="","Missing PD deductible. ","") &amp; IF($X86="","Missing liability limit. ","") &amp; IF($AB86="","Missing technical premium. ","") &amp; IF($AF86="","Missing surplus lines tax %. ",""))="","PASS","FAIL: "&amp;TRIM(IF($A86="","Missing certificate ref. ","") &amp; IF($C86="","Missing effective date. ","") &amp; IF($D86="","Missing binding status. ","") &amp; IF($E86="","Missing movement type. ","") &amp; IF($I86="","Missing make. ","") &amp; IF($L86="","Missing vehicle class. ","") &amp; IF($M86="","Missing agreed value. ","") &amp; IF($N86="","Missing policy type. ","") &amp; IF($Q86="","Missing garaging state. ","") &amp; IF($R86="","Missing garaging ZIP. ","") &amp; IF($S86="","Missing cat zone. ","") &amp; IF($V86="","Missing valuation basis. ","") &amp; IF($W86="","Missing PD deductible. ","") &amp; IF($X86="","Missing liability limit. ","") &amp; IF($AB86="","Missing technical premium. ","") &amp; IF($AF86="","Missing surplus lines tax %. ",""))))</f>
        <v/>
      </c>
      <c r="AY86" s="52" t="str">
        <f aca="false">IF($M86="","",IF(ISNUMBER($M86),IF($M86&gt;=Header!$C$18,"YES — refer","No"),""))</f>
        <v/>
      </c>
      <c r="AZ86" s="52" t="str">
        <f aca="false">IF($AD86="","",IF(ISNUMBER($AD86),IF($AD86&lt;Header!$C$20,"BELOW MIN PREMIUM","OK"),""))</f>
        <v/>
      </c>
      <c r="BA86" s="56"/>
      <c r="BB86" s="56"/>
      <c r="BC86" s="54"/>
      <c r="BE86" s="53" t="str">
        <f aca="false">IF(OR($A86="",$L86="",$H86=""),"",IF(AND(LEFT($L86,2)="06",$H86&gt;1945),"FAIL - pre-war class, year "&amp;$H86,IF(AND(LEFT($L86,2)="07",OR($H86&lt;1946,$H86&gt;1972)),"FAIL - 1946-72 class, year "&amp;$H86,IF(AND(LEFT($L86,2)="08",OR($H86&lt;1973,$H86&gt;1999)),"FAIL - 1973-99 class, year "&amp;$H86,IF(AND(LEFT($L86,2)="09",OR($H86&lt;2000,$H86&gt;2010)),"FAIL - 2000-10 class, year "&amp;$H86,"OK")))))</f>
        <v/>
      </c>
      <c r="BF86" s="53" t="str">
        <f aca="false">IF($AD86="","",IF(ROUND($AO86+$AP86+$AQ86-$AD86,2)=0,"OK","FAIL - out by "&amp;TEXT($AO86+$AP86+$AQ86-$AD86,"$0.00")))</f>
        <v/>
      </c>
    </row>
    <row r="87" customFormat="false" ht="15" hidden="false" customHeight="true" outlineLevel="0" collapsed="false">
      <c r="A87" s="38"/>
      <c r="B87" s="38"/>
      <c r="C87" s="39"/>
      <c r="D87" s="40"/>
      <c r="E87" s="40"/>
      <c r="F87" s="38"/>
      <c r="G87" s="41" t="str">
        <f aca="false">IF($A87="","",IF($C87="","",YEAR($C87)))</f>
        <v/>
      </c>
      <c r="H87" s="42"/>
      <c r="I87" s="38"/>
      <c r="J87" s="38"/>
      <c r="K87" s="38"/>
      <c r="L87" s="40"/>
      <c r="M87" s="43"/>
      <c r="N87" s="40"/>
      <c r="O87" s="38"/>
      <c r="P87" s="38"/>
      <c r="Q87" s="38"/>
      <c r="R87" s="38"/>
      <c r="S87" s="40"/>
      <c r="T87" s="44" t="str">
        <f aca="false">IF($A87="","",IF($S87="","",IFERROR(INDEX(Lists!$N$5:$N$16,MATCH($S87,Lists!$M$5:$M$16,0)),"?")))</f>
        <v/>
      </c>
      <c r="U87" s="38"/>
      <c r="V87" s="40"/>
      <c r="W87" s="38"/>
      <c r="X87" s="40"/>
      <c r="Y87" s="38"/>
      <c r="Z87" s="38"/>
      <c r="AA87" s="40"/>
      <c r="AB87" s="43"/>
      <c r="AC87" s="45"/>
      <c r="AD87" s="46" t="str">
        <f aca="false">IF(ISNUMBER($AB87),$AB87*(1+N($AC87)),"")</f>
        <v/>
      </c>
      <c r="AE87" s="43"/>
      <c r="AF87" s="43"/>
      <c r="AG87" s="45"/>
      <c r="AH87" s="47" t="str">
        <f aca="false">IF(ISNUMBER($AD87),($AD87+$AE87+$AF87)*$AG87,"")</f>
        <v/>
      </c>
      <c r="AI87" s="43"/>
      <c r="AJ87" s="46" t="str">
        <f aca="false">IF(ISNUMBER($AD87),SUM($AD87:$AH87),"")</f>
        <v/>
      </c>
      <c r="AK87" s="48" t="str">
        <f aca="false">IF(AND(ISNUMBER($AB87),ISNUMBER($AD87)),IF($AB87&gt;0,$AD87/$AB87,""),"")</f>
        <v/>
      </c>
      <c r="AL87" s="40"/>
      <c r="AM87" s="49" t="str">
        <f aca="false">IF(ISNUMBER($AD87),Header!$I$3,"")</f>
        <v/>
      </c>
      <c r="AN87" s="47" t="str">
        <f aca="false">IF(ISNUMBER($AD87),$AO87+$AP87,"")</f>
        <v/>
      </c>
      <c r="AO87" s="47" t="str">
        <f aca="false">IF(ISNUMBER($AD87),ROUND($AD87*Header!$K$3,2),"")</f>
        <v/>
      </c>
      <c r="AP87" s="47" t="str">
        <f aca="false">IF(ISNUMBER($AD87),ROUND($AD87*Header!$M$3,2),"")</f>
        <v/>
      </c>
      <c r="AQ87" s="46" t="str">
        <f aca="false">IF(ISNUMBER($AD87),ROUND($AD87,2)-$AO87-$AP87,"")</f>
        <v/>
      </c>
      <c r="AR87" s="47" t="str">
        <f aca="false">IF(ISNUMBER($AD87),IF(Header!$D$34="","?",$AD87*Header!$D$34),"")</f>
        <v/>
      </c>
      <c r="AS87" s="47" t="str">
        <f aca="false">IF(ISNUMBER($AB87),IF(Header!$D$34="","?",$AB87*Header!$D$34),"")</f>
        <v/>
      </c>
      <c r="AT87" s="50" t="str">
        <f aca="false">IF(AND(ISNUMBER($AB87),$M87&gt;0),$AB87/$M87*100,"")</f>
        <v/>
      </c>
      <c r="AU87" s="50" t="str">
        <f aca="false">IF(AND(ISNUMBER($AD87),$M87&gt;0),$AD87/$M87*100,"")</f>
        <v/>
      </c>
      <c r="AV87" s="48" t="str">
        <f aca="false">IF(AND(ISNUMBER($AB87),ISNUMBER($AD87),ABS($AB87)&gt;0),$AD87/$AB87,"")</f>
        <v/>
      </c>
      <c r="AW87" s="47" t="str">
        <f aca="false">IF(ISNUMBER($AD87),MAX(0,(1-0.55-Header!$O$3)*Header!$Q$3*$AQ87),"")</f>
        <v/>
      </c>
      <c r="AX87" s="51" t="str">
        <f aca="false">IF($A87="","",IF(TRIM(IF($A87="","Missing certificate ref. ","") &amp; IF($C87="","Missing effective date. ","") &amp; IF($D87="","Missing binding status. ","") &amp; IF($E87="","Missing movement type. ","") &amp; IF($I87="","Missing make. ","") &amp; IF($L87="","Missing vehicle class. ","") &amp; IF($M87="","Missing agreed value. ","") &amp; IF($N87="","Missing policy type. ","") &amp; IF($Q87="","Missing garaging state. ","") &amp; IF($R87="","Missing garaging ZIP. ","") &amp; IF($S87="","Missing cat zone. ","") &amp; IF($V87="","Missing valuation basis. ","") &amp; IF($W87="","Missing PD deductible. ","") &amp; IF($X87="","Missing liability limit. ","") &amp; IF($AB87="","Missing technical premium. ","") &amp; IF($AF87="","Missing surplus lines tax %. ",""))="","PASS","FAIL: "&amp;TRIM(IF($A87="","Missing certificate ref. ","") &amp; IF($C87="","Missing effective date. ","") &amp; IF($D87="","Missing binding status. ","") &amp; IF($E87="","Missing movement type. ","") &amp; IF($I87="","Missing make. ","") &amp; IF($L87="","Missing vehicle class. ","") &amp; IF($M87="","Missing agreed value. ","") &amp; IF($N87="","Missing policy type. ","") &amp; IF($Q87="","Missing garaging state. ","") &amp; IF($R87="","Missing garaging ZIP. ","") &amp; IF($S87="","Missing cat zone. ","") &amp; IF($V87="","Missing valuation basis. ","") &amp; IF($W87="","Missing PD deductible. ","") &amp; IF($X87="","Missing liability limit. ","") &amp; IF($AB87="","Missing technical premium. ","") &amp; IF($AF87="","Missing surplus lines tax %. ",""))))</f>
        <v/>
      </c>
      <c r="AY87" s="52" t="str">
        <f aca="false">IF($M87="","",IF(ISNUMBER($M87),IF($M87&gt;=Header!$C$18,"YES — refer","No"),""))</f>
        <v/>
      </c>
      <c r="AZ87" s="52" t="str">
        <f aca="false">IF($AD87="","",IF(ISNUMBER($AD87),IF($AD87&lt;Header!$C$20,"BELOW MIN PREMIUM","OK"),""))</f>
        <v/>
      </c>
      <c r="BA87" s="40"/>
      <c r="BB87" s="40"/>
      <c r="BC87" s="38"/>
      <c r="BE87" s="53" t="str">
        <f aca="false">IF(OR($A87="",$L87="",$H87=""),"",IF(AND(LEFT($L87,2)="06",$H87&gt;1945),"FAIL - pre-war class, year "&amp;$H87,IF(AND(LEFT($L87,2)="07",OR($H87&lt;1946,$H87&gt;1972)),"FAIL - 1946-72 class, year "&amp;$H87,IF(AND(LEFT($L87,2)="08",OR($H87&lt;1973,$H87&gt;1999)),"FAIL - 1973-99 class, year "&amp;$H87,IF(AND(LEFT($L87,2)="09",OR($H87&lt;2000,$H87&gt;2010)),"FAIL - 2000-10 class, year "&amp;$H87,"OK")))))</f>
        <v/>
      </c>
      <c r="BF87" s="53" t="str">
        <f aca="false">IF($AD87="","",IF(ROUND($AO87+$AP87+$AQ87-$AD87,2)=0,"OK","FAIL - out by "&amp;TEXT($AO87+$AP87+$AQ87-$AD87,"$0.00")))</f>
        <v/>
      </c>
    </row>
    <row r="88" customFormat="false" ht="15" hidden="false" customHeight="true" outlineLevel="0" collapsed="false">
      <c r="A88" s="54"/>
      <c r="B88" s="54"/>
      <c r="C88" s="55"/>
      <c r="D88" s="56"/>
      <c r="E88" s="56"/>
      <c r="F88" s="54"/>
      <c r="G88" s="41" t="str">
        <f aca="false">IF($A88="","",IF($C88="","",YEAR($C88)))</f>
        <v/>
      </c>
      <c r="H88" s="57"/>
      <c r="I88" s="54"/>
      <c r="J88" s="54"/>
      <c r="K88" s="54"/>
      <c r="L88" s="56"/>
      <c r="M88" s="58"/>
      <c r="N88" s="56"/>
      <c r="O88" s="54"/>
      <c r="P88" s="54"/>
      <c r="Q88" s="54"/>
      <c r="R88" s="54"/>
      <c r="S88" s="56"/>
      <c r="T88" s="44" t="str">
        <f aca="false">IF($A88="","",IF($S88="","",IFERROR(INDEX(Lists!$N$5:$N$16,MATCH($S88,Lists!$M$5:$M$16,0)),"?")))</f>
        <v/>
      </c>
      <c r="U88" s="54"/>
      <c r="V88" s="56"/>
      <c r="W88" s="54"/>
      <c r="X88" s="56"/>
      <c r="Y88" s="54"/>
      <c r="Z88" s="54"/>
      <c r="AA88" s="56"/>
      <c r="AB88" s="58"/>
      <c r="AC88" s="59"/>
      <c r="AD88" s="46" t="str">
        <f aca="false">IF(ISNUMBER($AB88),$AB88*(1+N($AC88)),"")</f>
        <v/>
      </c>
      <c r="AE88" s="58"/>
      <c r="AF88" s="58"/>
      <c r="AG88" s="59"/>
      <c r="AH88" s="47" t="str">
        <f aca="false">IF(ISNUMBER($AD88),($AD88+$AE88+$AF88)*$AG88,"")</f>
        <v/>
      </c>
      <c r="AI88" s="58"/>
      <c r="AJ88" s="46" t="str">
        <f aca="false">IF(ISNUMBER($AD88),SUM($AD88:$AH88),"")</f>
        <v/>
      </c>
      <c r="AK88" s="48" t="str">
        <f aca="false">IF(AND(ISNUMBER($AB88),ISNUMBER($AD88)),IF($AB88&gt;0,$AD88/$AB88,""),"")</f>
        <v/>
      </c>
      <c r="AL88" s="56"/>
      <c r="AM88" s="49" t="str">
        <f aca="false">IF(ISNUMBER($AD88),Header!$I$3,"")</f>
        <v/>
      </c>
      <c r="AN88" s="47" t="str">
        <f aca="false">IF(ISNUMBER($AD88),$AO88+$AP88,"")</f>
        <v/>
      </c>
      <c r="AO88" s="47" t="str">
        <f aca="false">IF(ISNUMBER($AD88),ROUND($AD88*Header!$K$3,2),"")</f>
        <v/>
      </c>
      <c r="AP88" s="47" t="str">
        <f aca="false">IF(ISNUMBER($AD88),ROUND($AD88*Header!$M$3,2),"")</f>
        <v/>
      </c>
      <c r="AQ88" s="46" t="str">
        <f aca="false">IF(ISNUMBER($AD88),ROUND($AD88,2)-$AO88-$AP88,"")</f>
        <v/>
      </c>
      <c r="AR88" s="47" t="str">
        <f aca="false">IF(ISNUMBER($AD88),IF(Header!$D$34="","?",$AD88*Header!$D$34),"")</f>
        <v/>
      </c>
      <c r="AS88" s="47" t="str">
        <f aca="false">IF(ISNUMBER($AB88),IF(Header!$D$34="","?",$AB88*Header!$D$34),"")</f>
        <v/>
      </c>
      <c r="AT88" s="50" t="str">
        <f aca="false">IF(AND(ISNUMBER($AB88),$M88&gt;0),$AB88/$M88*100,"")</f>
        <v/>
      </c>
      <c r="AU88" s="50" t="str">
        <f aca="false">IF(AND(ISNUMBER($AD88),$M88&gt;0),$AD88/$M88*100,"")</f>
        <v/>
      </c>
      <c r="AV88" s="48" t="str">
        <f aca="false">IF(AND(ISNUMBER($AB88),ISNUMBER($AD88),ABS($AB88)&gt;0),$AD88/$AB88,"")</f>
        <v/>
      </c>
      <c r="AW88" s="47" t="str">
        <f aca="false">IF(ISNUMBER($AD88),MAX(0,(1-0.55-Header!$O$3)*Header!$Q$3*$AQ88),"")</f>
        <v/>
      </c>
      <c r="AX88" s="51" t="str">
        <f aca="false">IF($A88="","",IF(TRIM(IF($A88="","Missing certificate ref. ","") &amp; IF($C88="","Missing effective date. ","") &amp; IF($D88="","Missing binding status. ","") &amp; IF($E88="","Missing movement type. ","") &amp; IF($I88="","Missing make. ","") &amp; IF($L88="","Missing vehicle class. ","") &amp; IF($M88="","Missing agreed value. ","") &amp; IF($N88="","Missing policy type. ","") &amp; IF($Q88="","Missing garaging state. ","") &amp; IF($R88="","Missing garaging ZIP. ","") &amp; IF($S88="","Missing cat zone. ","") &amp; IF($V88="","Missing valuation basis. ","") &amp; IF($W88="","Missing PD deductible. ","") &amp; IF($X88="","Missing liability limit. ","") &amp; IF($AB88="","Missing technical premium. ","") &amp; IF($AF88="","Missing surplus lines tax %. ",""))="","PASS","FAIL: "&amp;TRIM(IF($A88="","Missing certificate ref. ","") &amp; IF($C88="","Missing effective date. ","") &amp; IF($D88="","Missing binding status. ","") &amp; IF($E88="","Missing movement type. ","") &amp; IF($I88="","Missing make. ","") &amp; IF($L88="","Missing vehicle class. ","") &amp; IF($M88="","Missing agreed value. ","") &amp; IF($N88="","Missing policy type. ","") &amp; IF($Q88="","Missing garaging state. ","") &amp; IF($R88="","Missing garaging ZIP. ","") &amp; IF($S88="","Missing cat zone. ","") &amp; IF($V88="","Missing valuation basis. ","") &amp; IF($W88="","Missing PD deductible. ","") &amp; IF($X88="","Missing liability limit. ","") &amp; IF($AB88="","Missing technical premium. ","") &amp; IF($AF88="","Missing surplus lines tax %. ",""))))</f>
        <v/>
      </c>
      <c r="AY88" s="52" t="str">
        <f aca="false">IF($M88="","",IF(ISNUMBER($M88),IF($M88&gt;=Header!$C$18,"YES — refer","No"),""))</f>
        <v/>
      </c>
      <c r="AZ88" s="52" t="str">
        <f aca="false">IF($AD88="","",IF(ISNUMBER($AD88),IF($AD88&lt;Header!$C$20,"BELOW MIN PREMIUM","OK"),""))</f>
        <v/>
      </c>
      <c r="BA88" s="56"/>
      <c r="BB88" s="56"/>
      <c r="BC88" s="54"/>
      <c r="BE88" s="53" t="str">
        <f aca="false">IF(OR($A88="",$L88="",$H88=""),"",IF(AND(LEFT($L88,2)="06",$H88&gt;1945),"FAIL - pre-war class, year "&amp;$H88,IF(AND(LEFT($L88,2)="07",OR($H88&lt;1946,$H88&gt;1972)),"FAIL - 1946-72 class, year "&amp;$H88,IF(AND(LEFT($L88,2)="08",OR($H88&lt;1973,$H88&gt;1999)),"FAIL - 1973-99 class, year "&amp;$H88,IF(AND(LEFT($L88,2)="09",OR($H88&lt;2000,$H88&gt;2010)),"FAIL - 2000-10 class, year "&amp;$H88,"OK")))))</f>
        <v/>
      </c>
      <c r="BF88" s="53" t="str">
        <f aca="false">IF($AD88="","",IF(ROUND($AO88+$AP88+$AQ88-$AD88,2)=0,"OK","FAIL - out by "&amp;TEXT($AO88+$AP88+$AQ88-$AD88,"$0.00")))</f>
        <v/>
      </c>
    </row>
    <row r="89" customFormat="false" ht="15" hidden="false" customHeight="true" outlineLevel="0" collapsed="false">
      <c r="A89" s="38"/>
      <c r="B89" s="38"/>
      <c r="C89" s="39"/>
      <c r="D89" s="40"/>
      <c r="E89" s="40"/>
      <c r="F89" s="38"/>
      <c r="G89" s="41" t="str">
        <f aca="false">IF($A89="","",IF($C89="","",YEAR($C89)))</f>
        <v/>
      </c>
      <c r="H89" s="42"/>
      <c r="I89" s="38"/>
      <c r="J89" s="38"/>
      <c r="K89" s="38"/>
      <c r="L89" s="40"/>
      <c r="M89" s="43"/>
      <c r="N89" s="40"/>
      <c r="O89" s="38"/>
      <c r="P89" s="38"/>
      <c r="Q89" s="38"/>
      <c r="R89" s="38"/>
      <c r="S89" s="40"/>
      <c r="T89" s="44" t="str">
        <f aca="false">IF($A89="","",IF($S89="","",IFERROR(INDEX(Lists!$N$5:$N$16,MATCH($S89,Lists!$M$5:$M$16,0)),"?")))</f>
        <v/>
      </c>
      <c r="U89" s="38"/>
      <c r="V89" s="40"/>
      <c r="W89" s="38"/>
      <c r="X89" s="40"/>
      <c r="Y89" s="38"/>
      <c r="Z89" s="38"/>
      <c r="AA89" s="40"/>
      <c r="AB89" s="43"/>
      <c r="AC89" s="45"/>
      <c r="AD89" s="46" t="str">
        <f aca="false">IF(ISNUMBER($AB89),$AB89*(1+N($AC89)),"")</f>
        <v/>
      </c>
      <c r="AE89" s="43"/>
      <c r="AF89" s="43"/>
      <c r="AG89" s="45"/>
      <c r="AH89" s="47" t="str">
        <f aca="false">IF(ISNUMBER($AD89),($AD89+$AE89+$AF89)*$AG89,"")</f>
        <v/>
      </c>
      <c r="AI89" s="43"/>
      <c r="AJ89" s="46" t="str">
        <f aca="false">IF(ISNUMBER($AD89),SUM($AD89:$AH89),"")</f>
        <v/>
      </c>
      <c r="AK89" s="48" t="str">
        <f aca="false">IF(AND(ISNUMBER($AB89),ISNUMBER($AD89)),IF($AB89&gt;0,$AD89/$AB89,""),"")</f>
        <v/>
      </c>
      <c r="AL89" s="40"/>
      <c r="AM89" s="49" t="str">
        <f aca="false">IF(ISNUMBER($AD89),Header!$I$3,"")</f>
        <v/>
      </c>
      <c r="AN89" s="47" t="str">
        <f aca="false">IF(ISNUMBER($AD89),$AO89+$AP89,"")</f>
        <v/>
      </c>
      <c r="AO89" s="47" t="str">
        <f aca="false">IF(ISNUMBER($AD89),ROUND($AD89*Header!$K$3,2),"")</f>
        <v/>
      </c>
      <c r="AP89" s="47" t="str">
        <f aca="false">IF(ISNUMBER($AD89),ROUND($AD89*Header!$M$3,2),"")</f>
        <v/>
      </c>
      <c r="AQ89" s="46" t="str">
        <f aca="false">IF(ISNUMBER($AD89),ROUND($AD89,2)-$AO89-$AP89,"")</f>
        <v/>
      </c>
      <c r="AR89" s="47" t="str">
        <f aca="false">IF(ISNUMBER($AD89),IF(Header!$D$34="","?",$AD89*Header!$D$34),"")</f>
        <v/>
      </c>
      <c r="AS89" s="47" t="str">
        <f aca="false">IF(ISNUMBER($AB89),IF(Header!$D$34="","?",$AB89*Header!$D$34),"")</f>
        <v/>
      </c>
      <c r="AT89" s="50" t="str">
        <f aca="false">IF(AND(ISNUMBER($AB89),$M89&gt;0),$AB89/$M89*100,"")</f>
        <v/>
      </c>
      <c r="AU89" s="50" t="str">
        <f aca="false">IF(AND(ISNUMBER($AD89),$M89&gt;0),$AD89/$M89*100,"")</f>
        <v/>
      </c>
      <c r="AV89" s="48" t="str">
        <f aca="false">IF(AND(ISNUMBER($AB89),ISNUMBER($AD89),ABS($AB89)&gt;0),$AD89/$AB89,"")</f>
        <v/>
      </c>
      <c r="AW89" s="47" t="str">
        <f aca="false">IF(ISNUMBER($AD89),MAX(0,(1-0.55-Header!$O$3)*Header!$Q$3*$AQ89),"")</f>
        <v/>
      </c>
      <c r="AX89" s="51" t="str">
        <f aca="false">IF($A89="","",IF(TRIM(IF($A89="","Missing certificate ref. ","") &amp; IF($C89="","Missing effective date. ","") &amp; IF($D89="","Missing binding status. ","") &amp; IF($E89="","Missing movement type. ","") &amp; IF($I89="","Missing make. ","") &amp; IF($L89="","Missing vehicle class. ","") &amp; IF($M89="","Missing agreed value. ","") &amp; IF($N89="","Missing policy type. ","") &amp; IF($Q89="","Missing garaging state. ","") &amp; IF($R89="","Missing garaging ZIP. ","") &amp; IF($S89="","Missing cat zone. ","") &amp; IF($V89="","Missing valuation basis. ","") &amp; IF($W89="","Missing PD deductible. ","") &amp; IF($X89="","Missing liability limit. ","") &amp; IF($AB89="","Missing technical premium. ","") &amp; IF($AF89="","Missing surplus lines tax %. ",""))="","PASS","FAIL: "&amp;TRIM(IF($A89="","Missing certificate ref. ","") &amp; IF($C89="","Missing effective date. ","") &amp; IF($D89="","Missing binding status. ","") &amp; IF($E89="","Missing movement type. ","") &amp; IF($I89="","Missing make. ","") &amp; IF($L89="","Missing vehicle class. ","") &amp; IF($M89="","Missing agreed value. ","") &amp; IF($N89="","Missing policy type. ","") &amp; IF($Q89="","Missing garaging state. ","") &amp; IF($R89="","Missing garaging ZIP. ","") &amp; IF($S89="","Missing cat zone. ","") &amp; IF($V89="","Missing valuation basis. ","") &amp; IF($W89="","Missing PD deductible. ","") &amp; IF($X89="","Missing liability limit. ","") &amp; IF($AB89="","Missing technical premium. ","") &amp; IF($AF89="","Missing surplus lines tax %. ",""))))</f>
        <v/>
      </c>
      <c r="AY89" s="52" t="str">
        <f aca="false">IF($M89="","",IF(ISNUMBER($M89),IF($M89&gt;=Header!$C$18,"YES — refer","No"),""))</f>
        <v/>
      </c>
      <c r="AZ89" s="52" t="str">
        <f aca="false">IF($AD89="","",IF(ISNUMBER($AD89),IF($AD89&lt;Header!$C$20,"BELOW MIN PREMIUM","OK"),""))</f>
        <v/>
      </c>
      <c r="BA89" s="40"/>
      <c r="BB89" s="40"/>
      <c r="BC89" s="38"/>
      <c r="BE89" s="53" t="str">
        <f aca="false">IF(OR($A89="",$L89="",$H89=""),"",IF(AND(LEFT($L89,2)="06",$H89&gt;1945),"FAIL - pre-war class, year "&amp;$H89,IF(AND(LEFT($L89,2)="07",OR($H89&lt;1946,$H89&gt;1972)),"FAIL - 1946-72 class, year "&amp;$H89,IF(AND(LEFT($L89,2)="08",OR($H89&lt;1973,$H89&gt;1999)),"FAIL - 1973-99 class, year "&amp;$H89,IF(AND(LEFT($L89,2)="09",OR($H89&lt;2000,$H89&gt;2010)),"FAIL - 2000-10 class, year "&amp;$H89,"OK")))))</f>
        <v/>
      </c>
      <c r="BF89" s="53" t="str">
        <f aca="false">IF($AD89="","",IF(ROUND($AO89+$AP89+$AQ89-$AD89,2)=0,"OK","FAIL - out by "&amp;TEXT($AO89+$AP89+$AQ89-$AD89,"$0.00")))</f>
        <v/>
      </c>
    </row>
    <row r="90" customFormat="false" ht="15" hidden="false" customHeight="true" outlineLevel="0" collapsed="false">
      <c r="A90" s="54"/>
      <c r="B90" s="54"/>
      <c r="C90" s="55"/>
      <c r="D90" s="56"/>
      <c r="E90" s="56"/>
      <c r="F90" s="54"/>
      <c r="G90" s="41" t="str">
        <f aca="false">IF($A90="","",IF($C90="","",YEAR($C90)))</f>
        <v/>
      </c>
      <c r="H90" s="57"/>
      <c r="I90" s="54"/>
      <c r="J90" s="54"/>
      <c r="K90" s="54"/>
      <c r="L90" s="56"/>
      <c r="M90" s="58"/>
      <c r="N90" s="56"/>
      <c r="O90" s="54"/>
      <c r="P90" s="54"/>
      <c r="Q90" s="54"/>
      <c r="R90" s="54"/>
      <c r="S90" s="56"/>
      <c r="T90" s="44" t="str">
        <f aca="false">IF($A90="","",IF($S90="","",IFERROR(INDEX(Lists!$N$5:$N$16,MATCH($S90,Lists!$M$5:$M$16,0)),"?")))</f>
        <v/>
      </c>
      <c r="U90" s="54"/>
      <c r="V90" s="56"/>
      <c r="W90" s="54"/>
      <c r="X90" s="56"/>
      <c r="Y90" s="54"/>
      <c r="Z90" s="54"/>
      <c r="AA90" s="56"/>
      <c r="AB90" s="58"/>
      <c r="AC90" s="59"/>
      <c r="AD90" s="46" t="str">
        <f aca="false">IF(ISNUMBER($AB90),$AB90*(1+N($AC90)),"")</f>
        <v/>
      </c>
      <c r="AE90" s="58"/>
      <c r="AF90" s="58"/>
      <c r="AG90" s="59"/>
      <c r="AH90" s="47" t="str">
        <f aca="false">IF(ISNUMBER($AD90),($AD90+$AE90+$AF90)*$AG90,"")</f>
        <v/>
      </c>
      <c r="AI90" s="58"/>
      <c r="AJ90" s="46" t="str">
        <f aca="false">IF(ISNUMBER($AD90),SUM($AD90:$AH90),"")</f>
        <v/>
      </c>
      <c r="AK90" s="48" t="str">
        <f aca="false">IF(AND(ISNUMBER($AB90),ISNUMBER($AD90)),IF($AB90&gt;0,$AD90/$AB90,""),"")</f>
        <v/>
      </c>
      <c r="AL90" s="56"/>
      <c r="AM90" s="49" t="str">
        <f aca="false">IF(ISNUMBER($AD90),Header!$I$3,"")</f>
        <v/>
      </c>
      <c r="AN90" s="47" t="str">
        <f aca="false">IF(ISNUMBER($AD90),$AO90+$AP90,"")</f>
        <v/>
      </c>
      <c r="AO90" s="47" t="str">
        <f aca="false">IF(ISNUMBER($AD90),ROUND($AD90*Header!$K$3,2),"")</f>
        <v/>
      </c>
      <c r="AP90" s="47" t="str">
        <f aca="false">IF(ISNUMBER($AD90),ROUND($AD90*Header!$M$3,2),"")</f>
        <v/>
      </c>
      <c r="AQ90" s="46" t="str">
        <f aca="false">IF(ISNUMBER($AD90),ROUND($AD90,2)-$AO90-$AP90,"")</f>
        <v/>
      </c>
      <c r="AR90" s="47" t="str">
        <f aca="false">IF(ISNUMBER($AD90),IF(Header!$D$34="","?",$AD90*Header!$D$34),"")</f>
        <v/>
      </c>
      <c r="AS90" s="47" t="str">
        <f aca="false">IF(ISNUMBER($AB90),IF(Header!$D$34="","?",$AB90*Header!$D$34),"")</f>
        <v/>
      </c>
      <c r="AT90" s="50" t="str">
        <f aca="false">IF(AND(ISNUMBER($AB90),$M90&gt;0),$AB90/$M90*100,"")</f>
        <v/>
      </c>
      <c r="AU90" s="50" t="str">
        <f aca="false">IF(AND(ISNUMBER($AD90),$M90&gt;0),$AD90/$M90*100,"")</f>
        <v/>
      </c>
      <c r="AV90" s="48" t="str">
        <f aca="false">IF(AND(ISNUMBER($AB90),ISNUMBER($AD90),ABS($AB90)&gt;0),$AD90/$AB90,"")</f>
        <v/>
      </c>
      <c r="AW90" s="47" t="str">
        <f aca="false">IF(ISNUMBER($AD90),MAX(0,(1-0.55-Header!$O$3)*Header!$Q$3*$AQ90),"")</f>
        <v/>
      </c>
      <c r="AX90" s="51" t="str">
        <f aca="false">IF($A90="","",IF(TRIM(IF($A90="","Missing certificate ref. ","") &amp; IF($C90="","Missing effective date. ","") &amp; IF($D90="","Missing binding status. ","") &amp; IF($E90="","Missing movement type. ","") &amp; IF($I90="","Missing make. ","") &amp; IF($L90="","Missing vehicle class. ","") &amp; IF($M90="","Missing agreed value. ","") &amp; IF($N90="","Missing policy type. ","") &amp; IF($Q90="","Missing garaging state. ","") &amp; IF($R90="","Missing garaging ZIP. ","") &amp; IF($S90="","Missing cat zone. ","") &amp; IF($V90="","Missing valuation basis. ","") &amp; IF($W90="","Missing PD deductible. ","") &amp; IF($X90="","Missing liability limit. ","") &amp; IF($AB90="","Missing technical premium. ","") &amp; IF($AF90="","Missing surplus lines tax %. ",""))="","PASS","FAIL: "&amp;TRIM(IF($A90="","Missing certificate ref. ","") &amp; IF($C90="","Missing effective date. ","") &amp; IF($D90="","Missing binding status. ","") &amp; IF($E90="","Missing movement type. ","") &amp; IF($I90="","Missing make. ","") &amp; IF($L90="","Missing vehicle class. ","") &amp; IF($M90="","Missing agreed value. ","") &amp; IF($N90="","Missing policy type. ","") &amp; IF($Q90="","Missing garaging state. ","") &amp; IF($R90="","Missing garaging ZIP. ","") &amp; IF($S90="","Missing cat zone. ","") &amp; IF($V90="","Missing valuation basis. ","") &amp; IF($W90="","Missing PD deductible. ","") &amp; IF($X90="","Missing liability limit. ","") &amp; IF($AB90="","Missing technical premium. ","") &amp; IF($AF90="","Missing surplus lines tax %. ",""))))</f>
        <v/>
      </c>
      <c r="AY90" s="52" t="str">
        <f aca="false">IF($M90="","",IF(ISNUMBER($M90),IF($M90&gt;=Header!$C$18,"YES — refer","No"),""))</f>
        <v/>
      </c>
      <c r="AZ90" s="52" t="str">
        <f aca="false">IF($AD90="","",IF(ISNUMBER($AD90),IF($AD90&lt;Header!$C$20,"BELOW MIN PREMIUM","OK"),""))</f>
        <v/>
      </c>
      <c r="BA90" s="56"/>
      <c r="BB90" s="56"/>
      <c r="BC90" s="54"/>
      <c r="BE90" s="53" t="str">
        <f aca="false">IF(OR($A90="",$L90="",$H90=""),"",IF(AND(LEFT($L90,2)="06",$H90&gt;1945),"FAIL - pre-war class, year "&amp;$H90,IF(AND(LEFT($L90,2)="07",OR($H90&lt;1946,$H90&gt;1972)),"FAIL - 1946-72 class, year "&amp;$H90,IF(AND(LEFT($L90,2)="08",OR($H90&lt;1973,$H90&gt;1999)),"FAIL - 1973-99 class, year "&amp;$H90,IF(AND(LEFT($L90,2)="09",OR($H90&lt;2000,$H90&gt;2010)),"FAIL - 2000-10 class, year "&amp;$H90,"OK")))))</f>
        <v/>
      </c>
      <c r="BF90" s="53" t="str">
        <f aca="false">IF($AD90="","",IF(ROUND($AO90+$AP90+$AQ90-$AD90,2)=0,"OK","FAIL - out by "&amp;TEXT($AO90+$AP90+$AQ90-$AD90,"$0.00")))</f>
        <v/>
      </c>
    </row>
    <row r="91" customFormat="false" ht="15" hidden="false" customHeight="true" outlineLevel="0" collapsed="false">
      <c r="A91" s="38"/>
      <c r="B91" s="38"/>
      <c r="C91" s="39"/>
      <c r="D91" s="40"/>
      <c r="E91" s="40"/>
      <c r="F91" s="38"/>
      <c r="G91" s="41" t="str">
        <f aca="false">IF($A91="","",IF($C91="","",YEAR($C91)))</f>
        <v/>
      </c>
      <c r="H91" s="42"/>
      <c r="I91" s="38"/>
      <c r="J91" s="38"/>
      <c r="K91" s="38"/>
      <c r="L91" s="40"/>
      <c r="M91" s="43"/>
      <c r="N91" s="40"/>
      <c r="O91" s="38"/>
      <c r="P91" s="38"/>
      <c r="Q91" s="38"/>
      <c r="R91" s="38"/>
      <c r="S91" s="40"/>
      <c r="T91" s="44" t="str">
        <f aca="false">IF($A91="","",IF($S91="","",IFERROR(INDEX(Lists!$N$5:$N$16,MATCH($S91,Lists!$M$5:$M$16,0)),"?")))</f>
        <v/>
      </c>
      <c r="U91" s="38"/>
      <c r="V91" s="40"/>
      <c r="W91" s="38"/>
      <c r="X91" s="40"/>
      <c r="Y91" s="38"/>
      <c r="Z91" s="38"/>
      <c r="AA91" s="40"/>
      <c r="AB91" s="43"/>
      <c r="AC91" s="45"/>
      <c r="AD91" s="46" t="str">
        <f aca="false">IF(ISNUMBER($AB91),$AB91*(1+N($AC91)),"")</f>
        <v/>
      </c>
      <c r="AE91" s="43"/>
      <c r="AF91" s="43"/>
      <c r="AG91" s="45"/>
      <c r="AH91" s="47" t="str">
        <f aca="false">IF(ISNUMBER($AD91),($AD91+$AE91+$AF91)*$AG91,"")</f>
        <v/>
      </c>
      <c r="AI91" s="43"/>
      <c r="AJ91" s="46" t="str">
        <f aca="false">IF(ISNUMBER($AD91),SUM($AD91:$AH91),"")</f>
        <v/>
      </c>
      <c r="AK91" s="48" t="str">
        <f aca="false">IF(AND(ISNUMBER($AB91),ISNUMBER($AD91)),IF($AB91&gt;0,$AD91/$AB91,""),"")</f>
        <v/>
      </c>
      <c r="AL91" s="40"/>
      <c r="AM91" s="49" t="str">
        <f aca="false">IF(ISNUMBER($AD91),Header!$I$3,"")</f>
        <v/>
      </c>
      <c r="AN91" s="47" t="str">
        <f aca="false">IF(ISNUMBER($AD91),$AO91+$AP91,"")</f>
        <v/>
      </c>
      <c r="AO91" s="47" t="str">
        <f aca="false">IF(ISNUMBER($AD91),ROUND($AD91*Header!$K$3,2),"")</f>
        <v/>
      </c>
      <c r="AP91" s="47" t="str">
        <f aca="false">IF(ISNUMBER($AD91),ROUND($AD91*Header!$M$3,2),"")</f>
        <v/>
      </c>
      <c r="AQ91" s="46" t="str">
        <f aca="false">IF(ISNUMBER($AD91),ROUND($AD91,2)-$AO91-$AP91,"")</f>
        <v/>
      </c>
      <c r="AR91" s="47" t="str">
        <f aca="false">IF(ISNUMBER($AD91),IF(Header!$D$34="","?",$AD91*Header!$D$34),"")</f>
        <v/>
      </c>
      <c r="AS91" s="47" t="str">
        <f aca="false">IF(ISNUMBER($AB91),IF(Header!$D$34="","?",$AB91*Header!$D$34),"")</f>
        <v/>
      </c>
      <c r="AT91" s="50" t="str">
        <f aca="false">IF(AND(ISNUMBER($AB91),$M91&gt;0),$AB91/$M91*100,"")</f>
        <v/>
      </c>
      <c r="AU91" s="50" t="str">
        <f aca="false">IF(AND(ISNUMBER($AD91),$M91&gt;0),$AD91/$M91*100,"")</f>
        <v/>
      </c>
      <c r="AV91" s="48" t="str">
        <f aca="false">IF(AND(ISNUMBER($AB91),ISNUMBER($AD91),ABS($AB91)&gt;0),$AD91/$AB91,"")</f>
        <v/>
      </c>
      <c r="AW91" s="47" t="str">
        <f aca="false">IF(ISNUMBER($AD91),MAX(0,(1-0.55-Header!$O$3)*Header!$Q$3*$AQ91),"")</f>
        <v/>
      </c>
      <c r="AX91" s="51" t="str">
        <f aca="false">IF($A91="","",IF(TRIM(IF($A91="","Missing certificate ref. ","") &amp; IF($C91="","Missing effective date. ","") &amp; IF($D91="","Missing binding status. ","") &amp; IF($E91="","Missing movement type. ","") &amp; IF($I91="","Missing make. ","") &amp; IF($L91="","Missing vehicle class. ","") &amp; IF($M91="","Missing agreed value. ","") &amp; IF($N91="","Missing policy type. ","") &amp; IF($Q91="","Missing garaging state. ","") &amp; IF($R91="","Missing garaging ZIP. ","") &amp; IF($S91="","Missing cat zone. ","") &amp; IF($V91="","Missing valuation basis. ","") &amp; IF($W91="","Missing PD deductible. ","") &amp; IF($X91="","Missing liability limit. ","") &amp; IF($AB91="","Missing technical premium. ","") &amp; IF($AF91="","Missing surplus lines tax %. ",""))="","PASS","FAIL: "&amp;TRIM(IF($A91="","Missing certificate ref. ","") &amp; IF($C91="","Missing effective date. ","") &amp; IF($D91="","Missing binding status. ","") &amp; IF($E91="","Missing movement type. ","") &amp; IF($I91="","Missing make. ","") &amp; IF($L91="","Missing vehicle class. ","") &amp; IF($M91="","Missing agreed value. ","") &amp; IF($N91="","Missing policy type. ","") &amp; IF($Q91="","Missing garaging state. ","") &amp; IF($R91="","Missing garaging ZIP. ","") &amp; IF($S91="","Missing cat zone. ","") &amp; IF($V91="","Missing valuation basis. ","") &amp; IF($W91="","Missing PD deductible. ","") &amp; IF($X91="","Missing liability limit. ","") &amp; IF($AB91="","Missing technical premium. ","") &amp; IF($AF91="","Missing surplus lines tax %. ",""))))</f>
        <v/>
      </c>
      <c r="AY91" s="52" t="str">
        <f aca="false">IF($M91="","",IF(ISNUMBER($M91),IF($M91&gt;=Header!$C$18,"YES — refer","No"),""))</f>
        <v/>
      </c>
      <c r="AZ91" s="52" t="str">
        <f aca="false">IF($AD91="","",IF(ISNUMBER($AD91),IF($AD91&lt;Header!$C$20,"BELOW MIN PREMIUM","OK"),""))</f>
        <v/>
      </c>
      <c r="BA91" s="40"/>
      <c r="BB91" s="40"/>
      <c r="BC91" s="38"/>
      <c r="BE91" s="53" t="str">
        <f aca="false">IF(OR($A91="",$L91="",$H91=""),"",IF(AND(LEFT($L91,2)="06",$H91&gt;1945),"FAIL - pre-war class, year "&amp;$H91,IF(AND(LEFT($L91,2)="07",OR($H91&lt;1946,$H91&gt;1972)),"FAIL - 1946-72 class, year "&amp;$H91,IF(AND(LEFT($L91,2)="08",OR($H91&lt;1973,$H91&gt;1999)),"FAIL - 1973-99 class, year "&amp;$H91,IF(AND(LEFT($L91,2)="09",OR($H91&lt;2000,$H91&gt;2010)),"FAIL - 2000-10 class, year "&amp;$H91,"OK")))))</f>
        <v/>
      </c>
      <c r="BF91" s="53" t="str">
        <f aca="false">IF($AD91="","",IF(ROUND($AO91+$AP91+$AQ91-$AD91,2)=0,"OK","FAIL - out by "&amp;TEXT($AO91+$AP91+$AQ91-$AD91,"$0.00")))</f>
        <v/>
      </c>
    </row>
    <row r="92" customFormat="false" ht="15" hidden="false" customHeight="true" outlineLevel="0" collapsed="false">
      <c r="A92" s="54"/>
      <c r="B92" s="54"/>
      <c r="C92" s="55"/>
      <c r="D92" s="56"/>
      <c r="E92" s="56"/>
      <c r="F92" s="54"/>
      <c r="G92" s="41" t="str">
        <f aca="false">IF($A92="","",IF($C92="","",YEAR($C92)))</f>
        <v/>
      </c>
      <c r="H92" s="57"/>
      <c r="I92" s="54"/>
      <c r="J92" s="54"/>
      <c r="K92" s="54"/>
      <c r="L92" s="56"/>
      <c r="M92" s="58"/>
      <c r="N92" s="56"/>
      <c r="O92" s="54"/>
      <c r="P92" s="54"/>
      <c r="Q92" s="54"/>
      <c r="R92" s="54"/>
      <c r="S92" s="56"/>
      <c r="T92" s="44" t="str">
        <f aca="false">IF($A92="","",IF($S92="","",IFERROR(INDEX(Lists!$N$5:$N$16,MATCH($S92,Lists!$M$5:$M$16,0)),"?")))</f>
        <v/>
      </c>
      <c r="U92" s="54"/>
      <c r="V92" s="56"/>
      <c r="W92" s="54"/>
      <c r="X92" s="56"/>
      <c r="Y92" s="54"/>
      <c r="Z92" s="54"/>
      <c r="AA92" s="56"/>
      <c r="AB92" s="58"/>
      <c r="AC92" s="59"/>
      <c r="AD92" s="46" t="str">
        <f aca="false">IF(ISNUMBER($AB92),$AB92*(1+N($AC92)),"")</f>
        <v/>
      </c>
      <c r="AE92" s="58"/>
      <c r="AF92" s="58"/>
      <c r="AG92" s="59"/>
      <c r="AH92" s="47" t="str">
        <f aca="false">IF(ISNUMBER($AD92),($AD92+$AE92+$AF92)*$AG92,"")</f>
        <v/>
      </c>
      <c r="AI92" s="58"/>
      <c r="AJ92" s="46" t="str">
        <f aca="false">IF(ISNUMBER($AD92),SUM($AD92:$AH92),"")</f>
        <v/>
      </c>
      <c r="AK92" s="48" t="str">
        <f aca="false">IF(AND(ISNUMBER($AB92),ISNUMBER($AD92)),IF($AB92&gt;0,$AD92/$AB92,""),"")</f>
        <v/>
      </c>
      <c r="AL92" s="56"/>
      <c r="AM92" s="49" t="str">
        <f aca="false">IF(ISNUMBER($AD92),Header!$I$3,"")</f>
        <v/>
      </c>
      <c r="AN92" s="47" t="str">
        <f aca="false">IF(ISNUMBER($AD92),$AO92+$AP92,"")</f>
        <v/>
      </c>
      <c r="AO92" s="47" t="str">
        <f aca="false">IF(ISNUMBER($AD92),ROUND($AD92*Header!$K$3,2),"")</f>
        <v/>
      </c>
      <c r="AP92" s="47" t="str">
        <f aca="false">IF(ISNUMBER($AD92),ROUND($AD92*Header!$M$3,2),"")</f>
        <v/>
      </c>
      <c r="AQ92" s="46" t="str">
        <f aca="false">IF(ISNUMBER($AD92),ROUND($AD92,2)-$AO92-$AP92,"")</f>
        <v/>
      </c>
      <c r="AR92" s="47" t="str">
        <f aca="false">IF(ISNUMBER($AD92),IF(Header!$D$34="","?",$AD92*Header!$D$34),"")</f>
        <v/>
      </c>
      <c r="AS92" s="47" t="str">
        <f aca="false">IF(ISNUMBER($AB92),IF(Header!$D$34="","?",$AB92*Header!$D$34),"")</f>
        <v/>
      </c>
      <c r="AT92" s="50" t="str">
        <f aca="false">IF(AND(ISNUMBER($AB92),$M92&gt;0),$AB92/$M92*100,"")</f>
        <v/>
      </c>
      <c r="AU92" s="50" t="str">
        <f aca="false">IF(AND(ISNUMBER($AD92),$M92&gt;0),$AD92/$M92*100,"")</f>
        <v/>
      </c>
      <c r="AV92" s="48" t="str">
        <f aca="false">IF(AND(ISNUMBER($AB92),ISNUMBER($AD92),ABS($AB92)&gt;0),$AD92/$AB92,"")</f>
        <v/>
      </c>
      <c r="AW92" s="47" t="str">
        <f aca="false">IF(ISNUMBER($AD92),MAX(0,(1-0.55-Header!$O$3)*Header!$Q$3*$AQ92),"")</f>
        <v/>
      </c>
      <c r="AX92" s="51" t="str">
        <f aca="false">IF($A92="","",IF(TRIM(IF($A92="","Missing certificate ref. ","") &amp; IF($C92="","Missing effective date. ","") &amp; IF($D92="","Missing binding status. ","") &amp; IF($E92="","Missing movement type. ","") &amp; IF($I92="","Missing make. ","") &amp; IF($L92="","Missing vehicle class. ","") &amp; IF($M92="","Missing agreed value. ","") &amp; IF($N92="","Missing policy type. ","") &amp; IF($Q92="","Missing garaging state. ","") &amp; IF($R92="","Missing garaging ZIP. ","") &amp; IF($S92="","Missing cat zone. ","") &amp; IF($V92="","Missing valuation basis. ","") &amp; IF($W92="","Missing PD deductible. ","") &amp; IF($X92="","Missing liability limit. ","") &amp; IF($AB92="","Missing technical premium. ","") &amp; IF($AF92="","Missing surplus lines tax %. ",""))="","PASS","FAIL: "&amp;TRIM(IF($A92="","Missing certificate ref. ","") &amp; IF($C92="","Missing effective date. ","") &amp; IF($D92="","Missing binding status. ","") &amp; IF($E92="","Missing movement type. ","") &amp; IF($I92="","Missing make. ","") &amp; IF($L92="","Missing vehicle class. ","") &amp; IF($M92="","Missing agreed value. ","") &amp; IF($N92="","Missing policy type. ","") &amp; IF($Q92="","Missing garaging state. ","") &amp; IF($R92="","Missing garaging ZIP. ","") &amp; IF($S92="","Missing cat zone. ","") &amp; IF($V92="","Missing valuation basis. ","") &amp; IF($W92="","Missing PD deductible. ","") &amp; IF($X92="","Missing liability limit. ","") &amp; IF($AB92="","Missing technical premium. ","") &amp; IF($AF92="","Missing surplus lines tax %. ",""))))</f>
        <v/>
      </c>
      <c r="AY92" s="52" t="str">
        <f aca="false">IF($M92="","",IF(ISNUMBER($M92),IF($M92&gt;=Header!$C$18,"YES — refer","No"),""))</f>
        <v/>
      </c>
      <c r="AZ92" s="52" t="str">
        <f aca="false">IF($AD92="","",IF(ISNUMBER($AD92),IF($AD92&lt;Header!$C$20,"BELOW MIN PREMIUM","OK"),""))</f>
        <v/>
      </c>
      <c r="BA92" s="56"/>
      <c r="BB92" s="56"/>
      <c r="BC92" s="54"/>
      <c r="BE92" s="53" t="str">
        <f aca="false">IF(OR($A92="",$L92="",$H92=""),"",IF(AND(LEFT($L92,2)="06",$H92&gt;1945),"FAIL - pre-war class, year "&amp;$H92,IF(AND(LEFT($L92,2)="07",OR($H92&lt;1946,$H92&gt;1972)),"FAIL - 1946-72 class, year "&amp;$H92,IF(AND(LEFT($L92,2)="08",OR($H92&lt;1973,$H92&gt;1999)),"FAIL - 1973-99 class, year "&amp;$H92,IF(AND(LEFT($L92,2)="09",OR($H92&lt;2000,$H92&gt;2010)),"FAIL - 2000-10 class, year "&amp;$H92,"OK")))))</f>
        <v/>
      </c>
      <c r="BF92" s="53" t="str">
        <f aca="false">IF($AD92="","",IF(ROUND($AO92+$AP92+$AQ92-$AD92,2)=0,"OK","FAIL - out by "&amp;TEXT($AO92+$AP92+$AQ92-$AD92,"$0.00")))</f>
        <v/>
      </c>
    </row>
    <row r="93" customFormat="false" ht="15" hidden="false" customHeight="true" outlineLevel="0" collapsed="false">
      <c r="A93" s="38"/>
      <c r="B93" s="38"/>
      <c r="C93" s="39"/>
      <c r="D93" s="40"/>
      <c r="E93" s="40"/>
      <c r="F93" s="38"/>
      <c r="G93" s="41" t="str">
        <f aca="false">IF($A93="","",IF($C93="","",YEAR($C93)))</f>
        <v/>
      </c>
      <c r="H93" s="42"/>
      <c r="I93" s="38"/>
      <c r="J93" s="38"/>
      <c r="K93" s="38"/>
      <c r="L93" s="40"/>
      <c r="M93" s="43"/>
      <c r="N93" s="40"/>
      <c r="O93" s="38"/>
      <c r="P93" s="38"/>
      <c r="Q93" s="38"/>
      <c r="R93" s="38"/>
      <c r="S93" s="40"/>
      <c r="T93" s="44" t="str">
        <f aca="false">IF($A93="","",IF($S93="","",IFERROR(INDEX(Lists!$N$5:$N$16,MATCH($S93,Lists!$M$5:$M$16,0)),"?")))</f>
        <v/>
      </c>
      <c r="U93" s="38"/>
      <c r="V93" s="40"/>
      <c r="W93" s="38"/>
      <c r="X93" s="40"/>
      <c r="Y93" s="38"/>
      <c r="Z93" s="38"/>
      <c r="AA93" s="40"/>
      <c r="AB93" s="43"/>
      <c r="AC93" s="45"/>
      <c r="AD93" s="46" t="str">
        <f aca="false">IF(ISNUMBER($AB93),$AB93*(1+N($AC93)),"")</f>
        <v/>
      </c>
      <c r="AE93" s="43"/>
      <c r="AF93" s="43"/>
      <c r="AG93" s="45"/>
      <c r="AH93" s="47" t="str">
        <f aca="false">IF(ISNUMBER($AD93),($AD93+$AE93+$AF93)*$AG93,"")</f>
        <v/>
      </c>
      <c r="AI93" s="43"/>
      <c r="AJ93" s="46" t="str">
        <f aca="false">IF(ISNUMBER($AD93),SUM($AD93:$AH93),"")</f>
        <v/>
      </c>
      <c r="AK93" s="48" t="str">
        <f aca="false">IF(AND(ISNUMBER($AB93),ISNUMBER($AD93)),IF($AB93&gt;0,$AD93/$AB93,""),"")</f>
        <v/>
      </c>
      <c r="AL93" s="40"/>
      <c r="AM93" s="49" t="str">
        <f aca="false">IF(ISNUMBER($AD93),Header!$I$3,"")</f>
        <v/>
      </c>
      <c r="AN93" s="47" t="str">
        <f aca="false">IF(ISNUMBER($AD93),$AO93+$AP93,"")</f>
        <v/>
      </c>
      <c r="AO93" s="47" t="str">
        <f aca="false">IF(ISNUMBER($AD93),ROUND($AD93*Header!$K$3,2),"")</f>
        <v/>
      </c>
      <c r="AP93" s="47" t="str">
        <f aca="false">IF(ISNUMBER($AD93),ROUND($AD93*Header!$M$3,2),"")</f>
        <v/>
      </c>
      <c r="AQ93" s="46" t="str">
        <f aca="false">IF(ISNUMBER($AD93),ROUND($AD93,2)-$AO93-$AP93,"")</f>
        <v/>
      </c>
      <c r="AR93" s="47" t="str">
        <f aca="false">IF(ISNUMBER($AD93),IF(Header!$D$34="","?",$AD93*Header!$D$34),"")</f>
        <v/>
      </c>
      <c r="AS93" s="47" t="str">
        <f aca="false">IF(ISNUMBER($AB93),IF(Header!$D$34="","?",$AB93*Header!$D$34),"")</f>
        <v/>
      </c>
      <c r="AT93" s="50" t="str">
        <f aca="false">IF(AND(ISNUMBER($AB93),$M93&gt;0),$AB93/$M93*100,"")</f>
        <v/>
      </c>
      <c r="AU93" s="50" t="str">
        <f aca="false">IF(AND(ISNUMBER($AD93),$M93&gt;0),$AD93/$M93*100,"")</f>
        <v/>
      </c>
      <c r="AV93" s="48" t="str">
        <f aca="false">IF(AND(ISNUMBER($AB93),ISNUMBER($AD93),ABS($AB93)&gt;0),$AD93/$AB93,"")</f>
        <v/>
      </c>
      <c r="AW93" s="47" t="str">
        <f aca="false">IF(ISNUMBER($AD93),MAX(0,(1-0.55-Header!$O$3)*Header!$Q$3*$AQ93),"")</f>
        <v/>
      </c>
      <c r="AX93" s="51" t="str">
        <f aca="false">IF($A93="","",IF(TRIM(IF($A93="","Missing certificate ref. ","") &amp; IF($C93="","Missing effective date. ","") &amp; IF($D93="","Missing binding status. ","") &amp; IF($E93="","Missing movement type. ","") &amp; IF($I93="","Missing make. ","") &amp; IF($L93="","Missing vehicle class. ","") &amp; IF($M93="","Missing agreed value. ","") &amp; IF($N93="","Missing policy type. ","") &amp; IF($Q93="","Missing garaging state. ","") &amp; IF($R93="","Missing garaging ZIP. ","") &amp; IF($S93="","Missing cat zone. ","") &amp; IF($V93="","Missing valuation basis. ","") &amp; IF($W93="","Missing PD deductible. ","") &amp; IF($X93="","Missing liability limit. ","") &amp; IF($AB93="","Missing technical premium. ","") &amp; IF($AF93="","Missing surplus lines tax %. ",""))="","PASS","FAIL: "&amp;TRIM(IF($A93="","Missing certificate ref. ","") &amp; IF($C93="","Missing effective date. ","") &amp; IF($D93="","Missing binding status. ","") &amp; IF($E93="","Missing movement type. ","") &amp; IF($I93="","Missing make. ","") &amp; IF($L93="","Missing vehicle class. ","") &amp; IF($M93="","Missing agreed value. ","") &amp; IF($N93="","Missing policy type. ","") &amp; IF($Q93="","Missing garaging state. ","") &amp; IF($R93="","Missing garaging ZIP. ","") &amp; IF($S93="","Missing cat zone. ","") &amp; IF($V93="","Missing valuation basis. ","") &amp; IF($W93="","Missing PD deductible. ","") &amp; IF($X93="","Missing liability limit. ","") &amp; IF($AB93="","Missing technical premium. ","") &amp; IF($AF93="","Missing surplus lines tax %. ",""))))</f>
        <v/>
      </c>
      <c r="AY93" s="52" t="str">
        <f aca="false">IF($M93="","",IF(ISNUMBER($M93),IF($M93&gt;=Header!$C$18,"YES — refer","No"),""))</f>
        <v/>
      </c>
      <c r="AZ93" s="52" t="str">
        <f aca="false">IF($AD93="","",IF(ISNUMBER($AD93),IF($AD93&lt;Header!$C$20,"BELOW MIN PREMIUM","OK"),""))</f>
        <v/>
      </c>
      <c r="BA93" s="40"/>
      <c r="BB93" s="40"/>
      <c r="BC93" s="38"/>
      <c r="BE93" s="53" t="str">
        <f aca="false">IF(OR($A93="",$L93="",$H93=""),"",IF(AND(LEFT($L93,2)="06",$H93&gt;1945),"FAIL - pre-war class, year "&amp;$H93,IF(AND(LEFT($L93,2)="07",OR($H93&lt;1946,$H93&gt;1972)),"FAIL - 1946-72 class, year "&amp;$H93,IF(AND(LEFT($L93,2)="08",OR($H93&lt;1973,$H93&gt;1999)),"FAIL - 1973-99 class, year "&amp;$H93,IF(AND(LEFT($L93,2)="09",OR($H93&lt;2000,$H93&gt;2010)),"FAIL - 2000-10 class, year "&amp;$H93,"OK")))))</f>
        <v/>
      </c>
      <c r="BF93" s="53" t="str">
        <f aca="false">IF($AD93="","",IF(ROUND($AO93+$AP93+$AQ93-$AD93,2)=0,"OK","FAIL - out by "&amp;TEXT($AO93+$AP93+$AQ93-$AD93,"$0.00")))</f>
        <v/>
      </c>
    </row>
    <row r="94" customFormat="false" ht="15" hidden="false" customHeight="true" outlineLevel="0" collapsed="false">
      <c r="A94" s="54"/>
      <c r="B94" s="54"/>
      <c r="C94" s="55"/>
      <c r="D94" s="56"/>
      <c r="E94" s="56"/>
      <c r="F94" s="54"/>
      <c r="G94" s="41" t="str">
        <f aca="false">IF($A94="","",IF($C94="","",YEAR($C94)))</f>
        <v/>
      </c>
      <c r="H94" s="57"/>
      <c r="I94" s="54"/>
      <c r="J94" s="54"/>
      <c r="K94" s="54"/>
      <c r="L94" s="56"/>
      <c r="M94" s="58"/>
      <c r="N94" s="56"/>
      <c r="O94" s="54"/>
      <c r="P94" s="54"/>
      <c r="Q94" s="54"/>
      <c r="R94" s="54"/>
      <c r="S94" s="56"/>
      <c r="T94" s="44" t="str">
        <f aca="false">IF($A94="","",IF($S94="","",IFERROR(INDEX(Lists!$N$5:$N$16,MATCH($S94,Lists!$M$5:$M$16,0)),"?")))</f>
        <v/>
      </c>
      <c r="U94" s="54"/>
      <c r="V94" s="56"/>
      <c r="W94" s="54"/>
      <c r="X94" s="56"/>
      <c r="Y94" s="54"/>
      <c r="Z94" s="54"/>
      <c r="AA94" s="56"/>
      <c r="AB94" s="58"/>
      <c r="AC94" s="59"/>
      <c r="AD94" s="46" t="str">
        <f aca="false">IF(ISNUMBER($AB94),$AB94*(1+N($AC94)),"")</f>
        <v/>
      </c>
      <c r="AE94" s="58"/>
      <c r="AF94" s="58"/>
      <c r="AG94" s="59"/>
      <c r="AH94" s="47" t="str">
        <f aca="false">IF(ISNUMBER($AD94),($AD94+$AE94+$AF94)*$AG94,"")</f>
        <v/>
      </c>
      <c r="AI94" s="58"/>
      <c r="AJ94" s="46" t="str">
        <f aca="false">IF(ISNUMBER($AD94),SUM($AD94:$AH94),"")</f>
        <v/>
      </c>
      <c r="AK94" s="48" t="str">
        <f aca="false">IF(AND(ISNUMBER($AB94),ISNUMBER($AD94)),IF($AB94&gt;0,$AD94/$AB94,""),"")</f>
        <v/>
      </c>
      <c r="AL94" s="56"/>
      <c r="AM94" s="49" t="str">
        <f aca="false">IF(ISNUMBER($AD94),Header!$I$3,"")</f>
        <v/>
      </c>
      <c r="AN94" s="47" t="str">
        <f aca="false">IF(ISNUMBER($AD94),$AO94+$AP94,"")</f>
        <v/>
      </c>
      <c r="AO94" s="47" t="str">
        <f aca="false">IF(ISNUMBER($AD94),ROUND($AD94*Header!$K$3,2),"")</f>
        <v/>
      </c>
      <c r="AP94" s="47" t="str">
        <f aca="false">IF(ISNUMBER($AD94),ROUND($AD94*Header!$M$3,2),"")</f>
        <v/>
      </c>
      <c r="AQ94" s="46" t="str">
        <f aca="false">IF(ISNUMBER($AD94),ROUND($AD94,2)-$AO94-$AP94,"")</f>
        <v/>
      </c>
      <c r="AR94" s="47" t="str">
        <f aca="false">IF(ISNUMBER($AD94),IF(Header!$D$34="","?",$AD94*Header!$D$34),"")</f>
        <v/>
      </c>
      <c r="AS94" s="47" t="str">
        <f aca="false">IF(ISNUMBER($AB94),IF(Header!$D$34="","?",$AB94*Header!$D$34),"")</f>
        <v/>
      </c>
      <c r="AT94" s="50" t="str">
        <f aca="false">IF(AND(ISNUMBER($AB94),$M94&gt;0),$AB94/$M94*100,"")</f>
        <v/>
      </c>
      <c r="AU94" s="50" t="str">
        <f aca="false">IF(AND(ISNUMBER($AD94),$M94&gt;0),$AD94/$M94*100,"")</f>
        <v/>
      </c>
      <c r="AV94" s="48" t="str">
        <f aca="false">IF(AND(ISNUMBER($AB94),ISNUMBER($AD94),ABS($AB94)&gt;0),$AD94/$AB94,"")</f>
        <v/>
      </c>
      <c r="AW94" s="47" t="str">
        <f aca="false">IF(ISNUMBER($AD94),MAX(0,(1-0.55-Header!$O$3)*Header!$Q$3*$AQ94),"")</f>
        <v/>
      </c>
      <c r="AX94" s="51" t="str">
        <f aca="false">IF($A94="","",IF(TRIM(IF($A94="","Missing certificate ref. ","") &amp; IF($C94="","Missing effective date. ","") &amp; IF($D94="","Missing binding status. ","") &amp; IF($E94="","Missing movement type. ","") &amp; IF($I94="","Missing make. ","") &amp; IF($L94="","Missing vehicle class. ","") &amp; IF($M94="","Missing agreed value. ","") &amp; IF($N94="","Missing policy type. ","") &amp; IF($Q94="","Missing garaging state. ","") &amp; IF($R94="","Missing garaging ZIP. ","") &amp; IF($S94="","Missing cat zone. ","") &amp; IF($V94="","Missing valuation basis. ","") &amp; IF($W94="","Missing PD deductible. ","") &amp; IF($X94="","Missing liability limit. ","") &amp; IF($AB94="","Missing technical premium. ","") &amp; IF($AF94="","Missing surplus lines tax %. ",""))="","PASS","FAIL: "&amp;TRIM(IF($A94="","Missing certificate ref. ","") &amp; IF($C94="","Missing effective date. ","") &amp; IF($D94="","Missing binding status. ","") &amp; IF($E94="","Missing movement type. ","") &amp; IF($I94="","Missing make. ","") &amp; IF($L94="","Missing vehicle class. ","") &amp; IF($M94="","Missing agreed value. ","") &amp; IF($N94="","Missing policy type. ","") &amp; IF($Q94="","Missing garaging state. ","") &amp; IF($R94="","Missing garaging ZIP. ","") &amp; IF($S94="","Missing cat zone. ","") &amp; IF($V94="","Missing valuation basis. ","") &amp; IF($W94="","Missing PD deductible. ","") &amp; IF($X94="","Missing liability limit. ","") &amp; IF($AB94="","Missing technical premium. ","") &amp; IF($AF94="","Missing surplus lines tax %. ",""))))</f>
        <v/>
      </c>
      <c r="AY94" s="52" t="str">
        <f aca="false">IF($M94="","",IF(ISNUMBER($M94),IF($M94&gt;=Header!$C$18,"YES — refer","No"),""))</f>
        <v/>
      </c>
      <c r="AZ94" s="52" t="str">
        <f aca="false">IF($AD94="","",IF(ISNUMBER($AD94),IF($AD94&lt;Header!$C$20,"BELOW MIN PREMIUM","OK"),""))</f>
        <v/>
      </c>
      <c r="BA94" s="56"/>
      <c r="BB94" s="56"/>
      <c r="BC94" s="54"/>
      <c r="BE94" s="53" t="str">
        <f aca="false">IF(OR($A94="",$L94="",$H94=""),"",IF(AND(LEFT($L94,2)="06",$H94&gt;1945),"FAIL - pre-war class, year "&amp;$H94,IF(AND(LEFT($L94,2)="07",OR($H94&lt;1946,$H94&gt;1972)),"FAIL - 1946-72 class, year "&amp;$H94,IF(AND(LEFT($L94,2)="08",OR($H94&lt;1973,$H94&gt;1999)),"FAIL - 1973-99 class, year "&amp;$H94,IF(AND(LEFT($L94,2)="09",OR($H94&lt;2000,$H94&gt;2010)),"FAIL - 2000-10 class, year "&amp;$H94,"OK")))))</f>
        <v/>
      </c>
      <c r="BF94" s="53" t="str">
        <f aca="false">IF($AD94="","",IF(ROUND($AO94+$AP94+$AQ94-$AD94,2)=0,"OK","FAIL - out by "&amp;TEXT($AO94+$AP94+$AQ94-$AD94,"$0.00")))</f>
        <v/>
      </c>
    </row>
    <row r="95" customFormat="false" ht="15" hidden="false" customHeight="true" outlineLevel="0" collapsed="false">
      <c r="A95" s="38"/>
      <c r="B95" s="38"/>
      <c r="C95" s="39"/>
      <c r="D95" s="40"/>
      <c r="E95" s="40"/>
      <c r="F95" s="38"/>
      <c r="G95" s="41" t="str">
        <f aca="false">IF($A95="","",IF($C95="","",YEAR($C95)))</f>
        <v/>
      </c>
      <c r="H95" s="42"/>
      <c r="I95" s="38"/>
      <c r="J95" s="38"/>
      <c r="K95" s="38"/>
      <c r="L95" s="40"/>
      <c r="M95" s="43"/>
      <c r="N95" s="40"/>
      <c r="O95" s="38"/>
      <c r="P95" s="38"/>
      <c r="Q95" s="38"/>
      <c r="R95" s="38"/>
      <c r="S95" s="40"/>
      <c r="T95" s="44" t="str">
        <f aca="false">IF($A95="","",IF($S95="","",IFERROR(INDEX(Lists!$N$5:$N$16,MATCH($S95,Lists!$M$5:$M$16,0)),"?")))</f>
        <v/>
      </c>
      <c r="U95" s="38"/>
      <c r="V95" s="40"/>
      <c r="W95" s="38"/>
      <c r="X95" s="40"/>
      <c r="Y95" s="38"/>
      <c r="Z95" s="38"/>
      <c r="AA95" s="40"/>
      <c r="AB95" s="43"/>
      <c r="AC95" s="45"/>
      <c r="AD95" s="46" t="str">
        <f aca="false">IF(ISNUMBER($AB95),$AB95*(1+N($AC95)),"")</f>
        <v/>
      </c>
      <c r="AE95" s="43"/>
      <c r="AF95" s="43"/>
      <c r="AG95" s="45"/>
      <c r="AH95" s="47" t="str">
        <f aca="false">IF(ISNUMBER($AD95),($AD95+$AE95+$AF95)*$AG95,"")</f>
        <v/>
      </c>
      <c r="AI95" s="43"/>
      <c r="AJ95" s="46" t="str">
        <f aca="false">IF(ISNUMBER($AD95),SUM($AD95:$AH95),"")</f>
        <v/>
      </c>
      <c r="AK95" s="48" t="str">
        <f aca="false">IF(AND(ISNUMBER($AB95),ISNUMBER($AD95)),IF($AB95&gt;0,$AD95/$AB95,""),"")</f>
        <v/>
      </c>
      <c r="AL95" s="40"/>
      <c r="AM95" s="49" t="str">
        <f aca="false">IF(ISNUMBER($AD95),Header!$I$3,"")</f>
        <v/>
      </c>
      <c r="AN95" s="47" t="str">
        <f aca="false">IF(ISNUMBER($AD95),$AO95+$AP95,"")</f>
        <v/>
      </c>
      <c r="AO95" s="47" t="str">
        <f aca="false">IF(ISNUMBER($AD95),ROUND($AD95*Header!$K$3,2),"")</f>
        <v/>
      </c>
      <c r="AP95" s="47" t="str">
        <f aca="false">IF(ISNUMBER($AD95),ROUND($AD95*Header!$M$3,2),"")</f>
        <v/>
      </c>
      <c r="AQ95" s="46" t="str">
        <f aca="false">IF(ISNUMBER($AD95),ROUND($AD95,2)-$AO95-$AP95,"")</f>
        <v/>
      </c>
      <c r="AR95" s="47" t="str">
        <f aca="false">IF(ISNUMBER($AD95),IF(Header!$D$34="","?",$AD95*Header!$D$34),"")</f>
        <v/>
      </c>
      <c r="AS95" s="47" t="str">
        <f aca="false">IF(ISNUMBER($AB95),IF(Header!$D$34="","?",$AB95*Header!$D$34),"")</f>
        <v/>
      </c>
      <c r="AT95" s="50" t="str">
        <f aca="false">IF(AND(ISNUMBER($AB95),$M95&gt;0),$AB95/$M95*100,"")</f>
        <v/>
      </c>
      <c r="AU95" s="50" t="str">
        <f aca="false">IF(AND(ISNUMBER($AD95),$M95&gt;0),$AD95/$M95*100,"")</f>
        <v/>
      </c>
      <c r="AV95" s="48" t="str">
        <f aca="false">IF(AND(ISNUMBER($AB95),ISNUMBER($AD95),ABS($AB95)&gt;0),$AD95/$AB95,"")</f>
        <v/>
      </c>
      <c r="AW95" s="47" t="str">
        <f aca="false">IF(ISNUMBER($AD95),MAX(0,(1-0.55-Header!$O$3)*Header!$Q$3*$AQ95),"")</f>
        <v/>
      </c>
      <c r="AX95" s="51" t="str">
        <f aca="false">IF($A95="","",IF(TRIM(IF($A95="","Missing certificate ref. ","") &amp; IF($C95="","Missing effective date. ","") &amp; IF($D95="","Missing binding status. ","") &amp; IF($E95="","Missing movement type. ","") &amp; IF($I95="","Missing make. ","") &amp; IF($L95="","Missing vehicle class. ","") &amp; IF($M95="","Missing agreed value. ","") &amp; IF($N95="","Missing policy type. ","") &amp; IF($Q95="","Missing garaging state. ","") &amp; IF($R95="","Missing garaging ZIP. ","") &amp; IF($S95="","Missing cat zone. ","") &amp; IF($V95="","Missing valuation basis. ","") &amp; IF($W95="","Missing PD deductible. ","") &amp; IF($X95="","Missing liability limit. ","") &amp; IF($AB95="","Missing technical premium. ","") &amp; IF($AF95="","Missing surplus lines tax %. ",""))="","PASS","FAIL: "&amp;TRIM(IF($A95="","Missing certificate ref. ","") &amp; IF($C95="","Missing effective date. ","") &amp; IF($D95="","Missing binding status. ","") &amp; IF($E95="","Missing movement type. ","") &amp; IF($I95="","Missing make. ","") &amp; IF($L95="","Missing vehicle class. ","") &amp; IF($M95="","Missing agreed value. ","") &amp; IF($N95="","Missing policy type. ","") &amp; IF($Q95="","Missing garaging state. ","") &amp; IF($R95="","Missing garaging ZIP. ","") &amp; IF($S95="","Missing cat zone. ","") &amp; IF($V95="","Missing valuation basis. ","") &amp; IF($W95="","Missing PD deductible. ","") &amp; IF($X95="","Missing liability limit. ","") &amp; IF($AB95="","Missing technical premium. ","") &amp; IF($AF95="","Missing surplus lines tax %. ",""))))</f>
        <v/>
      </c>
      <c r="AY95" s="52" t="str">
        <f aca="false">IF($M95="","",IF(ISNUMBER($M95),IF($M95&gt;=Header!$C$18,"YES — refer","No"),""))</f>
        <v/>
      </c>
      <c r="AZ95" s="52" t="str">
        <f aca="false">IF($AD95="","",IF(ISNUMBER($AD95),IF($AD95&lt;Header!$C$20,"BELOW MIN PREMIUM","OK"),""))</f>
        <v/>
      </c>
      <c r="BA95" s="40"/>
      <c r="BB95" s="40"/>
      <c r="BC95" s="38"/>
      <c r="BE95" s="53" t="str">
        <f aca="false">IF(OR($A95="",$L95="",$H95=""),"",IF(AND(LEFT($L95,2)="06",$H95&gt;1945),"FAIL - pre-war class, year "&amp;$H95,IF(AND(LEFT($L95,2)="07",OR($H95&lt;1946,$H95&gt;1972)),"FAIL - 1946-72 class, year "&amp;$H95,IF(AND(LEFT($L95,2)="08",OR($H95&lt;1973,$H95&gt;1999)),"FAIL - 1973-99 class, year "&amp;$H95,IF(AND(LEFT($L95,2)="09",OR($H95&lt;2000,$H95&gt;2010)),"FAIL - 2000-10 class, year "&amp;$H95,"OK")))))</f>
        <v/>
      </c>
      <c r="BF95" s="53" t="str">
        <f aca="false">IF($AD95="","",IF(ROUND($AO95+$AP95+$AQ95-$AD95,2)=0,"OK","FAIL - out by "&amp;TEXT($AO95+$AP95+$AQ95-$AD95,"$0.00")))</f>
        <v/>
      </c>
    </row>
    <row r="96" customFormat="false" ht="15" hidden="false" customHeight="true" outlineLevel="0" collapsed="false">
      <c r="A96" s="54"/>
      <c r="B96" s="54"/>
      <c r="C96" s="55"/>
      <c r="D96" s="56"/>
      <c r="E96" s="56"/>
      <c r="F96" s="54"/>
      <c r="G96" s="41" t="str">
        <f aca="false">IF($A96="","",IF($C96="","",YEAR($C96)))</f>
        <v/>
      </c>
      <c r="H96" s="57"/>
      <c r="I96" s="54"/>
      <c r="J96" s="54"/>
      <c r="K96" s="54"/>
      <c r="L96" s="56"/>
      <c r="M96" s="58"/>
      <c r="N96" s="56"/>
      <c r="O96" s="54"/>
      <c r="P96" s="54"/>
      <c r="Q96" s="54"/>
      <c r="R96" s="54"/>
      <c r="S96" s="56"/>
      <c r="T96" s="44" t="str">
        <f aca="false">IF($A96="","",IF($S96="","",IFERROR(INDEX(Lists!$N$5:$N$16,MATCH($S96,Lists!$M$5:$M$16,0)),"?")))</f>
        <v/>
      </c>
      <c r="U96" s="54"/>
      <c r="V96" s="56"/>
      <c r="W96" s="54"/>
      <c r="X96" s="56"/>
      <c r="Y96" s="54"/>
      <c r="Z96" s="54"/>
      <c r="AA96" s="56"/>
      <c r="AB96" s="58"/>
      <c r="AC96" s="59"/>
      <c r="AD96" s="46" t="str">
        <f aca="false">IF(ISNUMBER($AB96),$AB96*(1+N($AC96)),"")</f>
        <v/>
      </c>
      <c r="AE96" s="58"/>
      <c r="AF96" s="58"/>
      <c r="AG96" s="59"/>
      <c r="AH96" s="47" t="str">
        <f aca="false">IF(ISNUMBER($AD96),($AD96+$AE96+$AF96)*$AG96,"")</f>
        <v/>
      </c>
      <c r="AI96" s="58"/>
      <c r="AJ96" s="46" t="str">
        <f aca="false">IF(ISNUMBER($AD96),SUM($AD96:$AH96),"")</f>
        <v/>
      </c>
      <c r="AK96" s="48" t="str">
        <f aca="false">IF(AND(ISNUMBER($AB96),ISNUMBER($AD96)),IF($AB96&gt;0,$AD96/$AB96,""),"")</f>
        <v/>
      </c>
      <c r="AL96" s="56"/>
      <c r="AM96" s="49" t="str">
        <f aca="false">IF(ISNUMBER($AD96),Header!$I$3,"")</f>
        <v/>
      </c>
      <c r="AN96" s="47" t="str">
        <f aca="false">IF(ISNUMBER($AD96),$AO96+$AP96,"")</f>
        <v/>
      </c>
      <c r="AO96" s="47" t="str">
        <f aca="false">IF(ISNUMBER($AD96),ROUND($AD96*Header!$K$3,2),"")</f>
        <v/>
      </c>
      <c r="AP96" s="47" t="str">
        <f aca="false">IF(ISNUMBER($AD96),ROUND($AD96*Header!$M$3,2),"")</f>
        <v/>
      </c>
      <c r="AQ96" s="46" t="str">
        <f aca="false">IF(ISNUMBER($AD96),ROUND($AD96,2)-$AO96-$AP96,"")</f>
        <v/>
      </c>
      <c r="AR96" s="47" t="str">
        <f aca="false">IF(ISNUMBER($AD96),IF(Header!$D$34="","?",$AD96*Header!$D$34),"")</f>
        <v/>
      </c>
      <c r="AS96" s="47" t="str">
        <f aca="false">IF(ISNUMBER($AB96),IF(Header!$D$34="","?",$AB96*Header!$D$34),"")</f>
        <v/>
      </c>
      <c r="AT96" s="50" t="str">
        <f aca="false">IF(AND(ISNUMBER($AB96),$M96&gt;0),$AB96/$M96*100,"")</f>
        <v/>
      </c>
      <c r="AU96" s="50" t="str">
        <f aca="false">IF(AND(ISNUMBER($AD96),$M96&gt;0),$AD96/$M96*100,"")</f>
        <v/>
      </c>
      <c r="AV96" s="48" t="str">
        <f aca="false">IF(AND(ISNUMBER($AB96),ISNUMBER($AD96),ABS($AB96)&gt;0),$AD96/$AB96,"")</f>
        <v/>
      </c>
      <c r="AW96" s="47" t="str">
        <f aca="false">IF(ISNUMBER($AD96),MAX(0,(1-0.55-Header!$O$3)*Header!$Q$3*$AQ96),"")</f>
        <v/>
      </c>
      <c r="AX96" s="51" t="str">
        <f aca="false">IF($A96="","",IF(TRIM(IF($A96="","Missing certificate ref. ","") &amp; IF($C96="","Missing effective date. ","") &amp; IF($D96="","Missing binding status. ","") &amp; IF($E96="","Missing movement type. ","") &amp; IF($I96="","Missing make. ","") &amp; IF($L96="","Missing vehicle class. ","") &amp; IF($M96="","Missing agreed value. ","") &amp; IF($N96="","Missing policy type. ","") &amp; IF($Q96="","Missing garaging state. ","") &amp; IF($R96="","Missing garaging ZIP. ","") &amp; IF($S96="","Missing cat zone. ","") &amp; IF($V96="","Missing valuation basis. ","") &amp; IF($W96="","Missing PD deductible. ","") &amp; IF($X96="","Missing liability limit. ","") &amp; IF($AB96="","Missing technical premium. ","") &amp; IF($AF96="","Missing surplus lines tax %. ",""))="","PASS","FAIL: "&amp;TRIM(IF($A96="","Missing certificate ref. ","") &amp; IF($C96="","Missing effective date. ","") &amp; IF($D96="","Missing binding status. ","") &amp; IF($E96="","Missing movement type. ","") &amp; IF($I96="","Missing make. ","") &amp; IF($L96="","Missing vehicle class. ","") &amp; IF($M96="","Missing agreed value. ","") &amp; IF($N96="","Missing policy type. ","") &amp; IF($Q96="","Missing garaging state. ","") &amp; IF($R96="","Missing garaging ZIP. ","") &amp; IF($S96="","Missing cat zone. ","") &amp; IF($V96="","Missing valuation basis. ","") &amp; IF($W96="","Missing PD deductible. ","") &amp; IF($X96="","Missing liability limit. ","") &amp; IF($AB96="","Missing technical premium. ","") &amp; IF($AF96="","Missing surplus lines tax %. ",""))))</f>
        <v/>
      </c>
      <c r="AY96" s="52" t="str">
        <f aca="false">IF($M96="","",IF(ISNUMBER($M96),IF($M96&gt;=Header!$C$18,"YES — refer","No"),""))</f>
        <v/>
      </c>
      <c r="AZ96" s="52" t="str">
        <f aca="false">IF($AD96="","",IF(ISNUMBER($AD96),IF($AD96&lt;Header!$C$20,"BELOW MIN PREMIUM","OK"),""))</f>
        <v/>
      </c>
      <c r="BA96" s="56"/>
      <c r="BB96" s="56"/>
      <c r="BC96" s="54"/>
      <c r="BE96" s="53" t="str">
        <f aca="false">IF(OR($A96="",$L96="",$H96=""),"",IF(AND(LEFT($L96,2)="06",$H96&gt;1945),"FAIL - pre-war class, year "&amp;$H96,IF(AND(LEFT($L96,2)="07",OR($H96&lt;1946,$H96&gt;1972)),"FAIL - 1946-72 class, year "&amp;$H96,IF(AND(LEFT($L96,2)="08",OR($H96&lt;1973,$H96&gt;1999)),"FAIL - 1973-99 class, year "&amp;$H96,IF(AND(LEFT($L96,2)="09",OR($H96&lt;2000,$H96&gt;2010)),"FAIL - 2000-10 class, year "&amp;$H96,"OK")))))</f>
        <v/>
      </c>
      <c r="BF96" s="53" t="str">
        <f aca="false">IF($AD96="","",IF(ROUND($AO96+$AP96+$AQ96-$AD96,2)=0,"OK","FAIL - out by "&amp;TEXT($AO96+$AP96+$AQ96-$AD96,"$0.00")))</f>
        <v/>
      </c>
    </row>
    <row r="97" customFormat="false" ht="15" hidden="false" customHeight="true" outlineLevel="0" collapsed="false">
      <c r="A97" s="38"/>
      <c r="B97" s="38"/>
      <c r="C97" s="39"/>
      <c r="D97" s="40"/>
      <c r="E97" s="40"/>
      <c r="F97" s="38"/>
      <c r="G97" s="41" t="str">
        <f aca="false">IF($A97="","",IF($C97="","",YEAR($C97)))</f>
        <v/>
      </c>
      <c r="H97" s="42"/>
      <c r="I97" s="38"/>
      <c r="J97" s="38"/>
      <c r="K97" s="38"/>
      <c r="L97" s="40"/>
      <c r="M97" s="43"/>
      <c r="N97" s="40"/>
      <c r="O97" s="38"/>
      <c r="P97" s="38"/>
      <c r="Q97" s="38"/>
      <c r="R97" s="38"/>
      <c r="S97" s="40"/>
      <c r="T97" s="44" t="str">
        <f aca="false">IF($A97="","",IF($S97="","",IFERROR(INDEX(Lists!$N$5:$N$16,MATCH($S97,Lists!$M$5:$M$16,0)),"?")))</f>
        <v/>
      </c>
      <c r="U97" s="38"/>
      <c r="V97" s="40"/>
      <c r="W97" s="38"/>
      <c r="X97" s="40"/>
      <c r="Y97" s="38"/>
      <c r="Z97" s="38"/>
      <c r="AA97" s="40"/>
      <c r="AB97" s="43"/>
      <c r="AC97" s="45"/>
      <c r="AD97" s="46" t="str">
        <f aca="false">IF(ISNUMBER($AB97),$AB97*(1+N($AC97)),"")</f>
        <v/>
      </c>
      <c r="AE97" s="43"/>
      <c r="AF97" s="43"/>
      <c r="AG97" s="45"/>
      <c r="AH97" s="47" t="str">
        <f aca="false">IF(ISNUMBER($AD97),($AD97+$AE97+$AF97)*$AG97,"")</f>
        <v/>
      </c>
      <c r="AI97" s="43"/>
      <c r="AJ97" s="46" t="str">
        <f aca="false">IF(ISNUMBER($AD97),SUM($AD97:$AH97),"")</f>
        <v/>
      </c>
      <c r="AK97" s="48" t="str">
        <f aca="false">IF(AND(ISNUMBER($AB97),ISNUMBER($AD97)),IF($AB97&gt;0,$AD97/$AB97,""),"")</f>
        <v/>
      </c>
      <c r="AL97" s="40"/>
      <c r="AM97" s="49" t="str">
        <f aca="false">IF(ISNUMBER($AD97),Header!$I$3,"")</f>
        <v/>
      </c>
      <c r="AN97" s="47" t="str">
        <f aca="false">IF(ISNUMBER($AD97),$AO97+$AP97,"")</f>
        <v/>
      </c>
      <c r="AO97" s="47" t="str">
        <f aca="false">IF(ISNUMBER($AD97),ROUND($AD97*Header!$K$3,2),"")</f>
        <v/>
      </c>
      <c r="AP97" s="47" t="str">
        <f aca="false">IF(ISNUMBER($AD97),ROUND($AD97*Header!$M$3,2),"")</f>
        <v/>
      </c>
      <c r="AQ97" s="46" t="str">
        <f aca="false">IF(ISNUMBER($AD97),ROUND($AD97,2)-$AO97-$AP97,"")</f>
        <v/>
      </c>
      <c r="AR97" s="47" t="str">
        <f aca="false">IF(ISNUMBER($AD97),IF(Header!$D$34="","?",$AD97*Header!$D$34),"")</f>
        <v/>
      </c>
      <c r="AS97" s="47" t="str">
        <f aca="false">IF(ISNUMBER($AB97),IF(Header!$D$34="","?",$AB97*Header!$D$34),"")</f>
        <v/>
      </c>
      <c r="AT97" s="50" t="str">
        <f aca="false">IF(AND(ISNUMBER($AB97),$M97&gt;0),$AB97/$M97*100,"")</f>
        <v/>
      </c>
      <c r="AU97" s="50" t="str">
        <f aca="false">IF(AND(ISNUMBER($AD97),$M97&gt;0),$AD97/$M97*100,"")</f>
        <v/>
      </c>
      <c r="AV97" s="48" t="str">
        <f aca="false">IF(AND(ISNUMBER($AB97),ISNUMBER($AD97),ABS($AB97)&gt;0),$AD97/$AB97,"")</f>
        <v/>
      </c>
      <c r="AW97" s="47" t="str">
        <f aca="false">IF(ISNUMBER($AD97),MAX(0,(1-0.55-Header!$O$3)*Header!$Q$3*$AQ97),"")</f>
        <v/>
      </c>
      <c r="AX97" s="51" t="str">
        <f aca="false">IF($A97="","",IF(TRIM(IF($A97="","Missing certificate ref. ","") &amp; IF($C97="","Missing effective date. ","") &amp; IF($D97="","Missing binding status. ","") &amp; IF($E97="","Missing movement type. ","") &amp; IF($I97="","Missing make. ","") &amp; IF($L97="","Missing vehicle class. ","") &amp; IF($M97="","Missing agreed value. ","") &amp; IF($N97="","Missing policy type. ","") &amp; IF($Q97="","Missing garaging state. ","") &amp; IF($R97="","Missing garaging ZIP. ","") &amp; IF($S97="","Missing cat zone. ","") &amp; IF($V97="","Missing valuation basis. ","") &amp; IF($W97="","Missing PD deductible. ","") &amp; IF($X97="","Missing liability limit. ","") &amp; IF($AB97="","Missing technical premium. ","") &amp; IF($AF97="","Missing surplus lines tax %. ",""))="","PASS","FAIL: "&amp;TRIM(IF($A97="","Missing certificate ref. ","") &amp; IF($C97="","Missing effective date. ","") &amp; IF($D97="","Missing binding status. ","") &amp; IF($E97="","Missing movement type. ","") &amp; IF($I97="","Missing make. ","") &amp; IF($L97="","Missing vehicle class. ","") &amp; IF($M97="","Missing agreed value. ","") &amp; IF($N97="","Missing policy type. ","") &amp; IF($Q97="","Missing garaging state. ","") &amp; IF($R97="","Missing garaging ZIP. ","") &amp; IF($S97="","Missing cat zone. ","") &amp; IF($V97="","Missing valuation basis. ","") &amp; IF($W97="","Missing PD deductible. ","") &amp; IF($X97="","Missing liability limit. ","") &amp; IF($AB97="","Missing technical premium. ","") &amp; IF($AF97="","Missing surplus lines tax %. ",""))))</f>
        <v/>
      </c>
      <c r="AY97" s="52" t="str">
        <f aca="false">IF($M97="","",IF(ISNUMBER($M97),IF($M97&gt;=Header!$C$18,"YES — refer","No"),""))</f>
        <v/>
      </c>
      <c r="AZ97" s="52" t="str">
        <f aca="false">IF($AD97="","",IF(ISNUMBER($AD97),IF($AD97&lt;Header!$C$20,"BELOW MIN PREMIUM","OK"),""))</f>
        <v/>
      </c>
      <c r="BA97" s="40"/>
      <c r="BB97" s="40"/>
      <c r="BC97" s="38"/>
      <c r="BE97" s="53" t="str">
        <f aca="false">IF(OR($A97="",$L97="",$H97=""),"",IF(AND(LEFT($L97,2)="06",$H97&gt;1945),"FAIL - pre-war class, year "&amp;$H97,IF(AND(LEFT($L97,2)="07",OR($H97&lt;1946,$H97&gt;1972)),"FAIL - 1946-72 class, year "&amp;$H97,IF(AND(LEFT($L97,2)="08",OR($H97&lt;1973,$H97&gt;1999)),"FAIL - 1973-99 class, year "&amp;$H97,IF(AND(LEFT($L97,2)="09",OR($H97&lt;2000,$H97&gt;2010)),"FAIL - 2000-10 class, year "&amp;$H97,"OK")))))</f>
        <v/>
      </c>
      <c r="BF97" s="53" t="str">
        <f aca="false">IF($AD97="","",IF(ROUND($AO97+$AP97+$AQ97-$AD97,2)=0,"OK","FAIL - out by "&amp;TEXT($AO97+$AP97+$AQ97-$AD97,"$0.00")))</f>
        <v/>
      </c>
    </row>
    <row r="98" customFormat="false" ht="15" hidden="false" customHeight="true" outlineLevel="0" collapsed="false">
      <c r="A98" s="54"/>
      <c r="B98" s="54"/>
      <c r="C98" s="55"/>
      <c r="D98" s="56"/>
      <c r="E98" s="56"/>
      <c r="F98" s="54"/>
      <c r="G98" s="41" t="str">
        <f aca="false">IF($A98="","",IF($C98="","",YEAR($C98)))</f>
        <v/>
      </c>
      <c r="H98" s="57"/>
      <c r="I98" s="54"/>
      <c r="J98" s="54"/>
      <c r="K98" s="54"/>
      <c r="L98" s="56"/>
      <c r="M98" s="58"/>
      <c r="N98" s="56"/>
      <c r="O98" s="54"/>
      <c r="P98" s="54"/>
      <c r="Q98" s="54"/>
      <c r="R98" s="54"/>
      <c r="S98" s="56"/>
      <c r="T98" s="44" t="str">
        <f aca="false">IF($A98="","",IF($S98="","",IFERROR(INDEX(Lists!$N$5:$N$16,MATCH($S98,Lists!$M$5:$M$16,0)),"?")))</f>
        <v/>
      </c>
      <c r="U98" s="54"/>
      <c r="V98" s="56"/>
      <c r="W98" s="54"/>
      <c r="X98" s="56"/>
      <c r="Y98" s="54"/>
      <c r="Z98" s="54"/>
      <c r="AA98" s="56"/>
      <c r="AB98" s="58"/>
      <c r="AC98" s="59"/>
      <c r="AD98" s="46" t="str">
        <f aca="false">IF(ISNUMBER($AB98),$AB98*(1+N($AC98)),"")</f>
        <v/>
      </c>
      <c r="AE98" s="58"/>
      <c r="AF98" s="58"/>
      <c r="AG98" s="59"/>
      <c r="AH98" s="47" t="str">
        <f aca="false">IF(ISNUMBER($AD98),($AD98+$AE98+$AF98)*$AG98,"")</f>
        <v/>
      </c>
      <c r="AI98" s="58"/>
      <c r="AJ98" s="46" t="str">
        <f aca="false">IF(ISNUMBER($AD98),SUM($AD98:$AH98),"")</f>
        <v/>
      </c>
      <c r="AK98" s="48" t="str">
        <f aca="false">IF(AND(ISNUMBER($AB98),ISNUMBER($AD98)),IF($AB98&gt;0,$AD98/$AB98,""),"")</f>
        <v/>
      </c>
      <c r="AL98" s="56"/>
      <c r="AM98" s="49" t="str">
        <f aca="false">IF(ISNUMBER($AD98),Header!$I$3,"")</f>
        <v/>
      </c>
      <c r="AN98" s="47" t="str">
        <f aca="false">IF(ISNUMBER($AD98),$AO98+$AP98,"")</f>
        <v/>
      </c>
      <c r="AO98" s="47" t="str">
        <f aca="false">IF(ISNUMBER($AD98),ROUND($AD98*Header!$K$3,2),"")</f>
        <v/>
      </c>
      <c r="AP98" s="47" t="str">
        <f aca="false">IF(ISNUMBER($AD98),ROUND($AD98*Header!$M$3,2),"")</f>
        <v/>
      </c>
      <c r="AQ98" s="46" t="str">
        <f aca="false">IF(ISNUMBER($AD98),ROUND($AD98,2)-$AO98-$AP98,"")</f>
        <v/>
      </c>
      <c r="AR98" s="47" t="str">
        <f aca="false">IF(ISNUMBER($AD98),IF(Header!$D$34="","?",$AD98*Header!$D$34),"")</f>
        <v/>
      </c>
      <c r="AS98" s="47" t="str">
        <f aca="false">IF(ISNUMBER($AB98),IF(Header!$D$34="","?",$AB98*Header!$D$34),"")</f>
        <v/>
      </c>
      <c r="AT98" s="50" t="str">
        <f aca="false">IF(AND(ISNUMBER($AB98),$M98&gt;0),$AB98/$M98*100,"")</f>
        <v/>
      </c>
      <c r="AU98" s="50" t="str">
        <f aca="false">IF(AND(ISNUMBER($AD98),$M98&gt;0),$AD98/$M98*100,"")</f>
        <v/>
      </c>
      <c r="AV98" s="48" t="str">
        <f aca="false">IF(AND(ISNUMBER($AB98),ISNUMBER($AD98),ABS($AB98)&gt;0),$AD98/$AB98,"")</f>
        <v/>
      </c>
      <c r="AW98" s="47" t="str">
        <f aca="false">IF(ISNUMBER($AD98),MAX(0,(1-0.55-Header!$O$3)*Header!$Q$3*$AQ98),"")</f>
        <v/>
      </c>
      <c r="AX98" s="51" t="str">
        <f aca="false">IF($A98="","",IF(TRIM(IF($A98="","Missing certificate ref. ","") &amp; IF($C98="","Missing effective date. ","") &amp; IF($D98="","Missing binding status. ","") &amp; IF($E98="","Missing movement type. ","") &amp; IF($I98="","Missing make. ","") &amp; IF($L98="","Missing vehicle class. ","") &amp; IF($M98="","Missing agreed value. ","") &amp; IF($N98="","Missing policy type. ","") &amp; IF($Q98="","Missing garaging state. ","") &amp; IF($R98="","Missing garaging ZIP. ","") &amp; IF($S98="","Missing cat zone. ","") &amp; IF($V98="","Missing valuation basis. ","") &amp; IF($W98="","Missing PD deductible. ","") &amp; IF($X98="","Missing liability limit. ","") &amp; IF($AB98="","Missing technical premium. ","") &amp; IF($AF98="","Missing surplus lines tax %. ",""))="","PASS","FAIL: "&amp;TRIM(IF($A98="","Missing certificate ref. ","") &amp; IF($C98="","Missing effective date. ","") &amp; IF($D98="","Missing binding status. ","") &amp; IF($E98="","Missing movement type. ","") &amp; IF($I98="","Missing make. ","") &amp; IF($L98="","Missing vehicle class. ","") &amp; IF($M98="","Missing agreed value. ","") &amp; IF($N98="","Missing policy type. ","") &amp; IF($Q98="","Missing garaging state. ","") &amp; IF($R98="","Missing garaging ZIP. ","") &amp; IF($S98="","Missing cat zone. ","") &amp; IF($V98="","Missing valuation basis. ","") &amp; IF($W98="","Missing PD deductible. ","") &amp; IF($X98="","Missing liability limit. ","") &amp; IF($AB98="","Missing technical premium. ","") &amp; IF($AF98="","Missing surplus lines tax %. ",""))))</f>
        <v/>
      </c>
      <c r="AY98" s="52" t="str">
        <f aca="false">IF($M98="","",IF(ISNUMBER($M98),IF($M98&gt;=Header!$C$18,"YES — refer","No"),""))</f>
        <v/>
      </c>
      <c r="AZ98" s="52" t="str">
        <f aca="false">IF($AD98="","",IF(ISNUMBER($AD98),IF($AD98&lt;Header!$C$20,"BELOW MIN PREMIUM","OK"),""))</f>
        <v/>
      </c>
      <c r="BA98" s="56"/>
      <c r="BB98" s="56"/>
      <c r="BC98" s="54"/>
      <c r="BE98" s="53" t="str">
        <f aca="false">IF(OR($A98="",$L98="",$H98=""),"",IF(AND(LEFT($L98,2)="06",$H98&gt;1945),"FAIL - pre-war class, year "&amp;$H98,IF(AND(LEFT($L98,2)="07",OR($H98&lt;1946,$H98&gt;1972)),"FAIL - 1946-72 class, year "&amp;$H98,IF(AND(LEFT($L98,2)="08",OR($H98&lt;1973,$H98&gt;1999)),"FAIL - 1973-99 class, year "&amp;$H98,IF(AND(LEFT($L98,2)="09",OR($H98&lt;2000,$H98&gt;2010)),"FAIL - 2000-10 class, year "&amp;$H98,"OK")))))</f>
        <v/>
      </c>
      <c r="BF98" s="53" t="str">
        <f aca="false">IF($AD98="","",IF(ROUND($AO98+$AP98+$AQ98-$AD98,2)=0,"OK","FAIL - out by "&amp;TEXT($AO98+$AP98+$AQ98-$AD98,"$0.00")))</f>
        <v/>
      </c>
    </row>
    <row r="99" customFormat="false" ht="15" hidden="false" customHeight="true" outlineLevel="0" collapsed="false">
      <c r="A99" s="38"/>
      <c r="B99" s="38"/>
      <c r="C99" s="39"/>
      <c r="D99" s="40"/>
      <c r="E99" s="40"/>
      <c r="F99" s="38"/>
      <c r="G99" s="41" t="str">
        <f aca="false">IF($A99="","",IF($C99="","",YEAR($C99)))</f>
        <v/>
      </c>
      <c r="H99" s="42"/>
      <c r="I99" s="38"/>
      <c r="J99" s="38"/>
      <c r="K99" s="38"/>
      <c r="L99" s="40"/>
      <c r="M99" s="43"/>
      <c r="N99" s="40"/>
      <c r="O99" s="38"/>
      <c r="P99" s="38"/>
      <c r="Q99" s="38"/>
      <c r="R99" s="38"/>
      <c r="S99" s="40"/>
      <c r="T99" s="44" t="str">
        <f aca="false">IF($A99="","",IF($S99="","",IFERROR(INDEX(Lists!$N$5:$N$16,MATCH($S99,Lists!$M$5:$M$16,0)),"?")))</f>
        <v/>
      </c>
      <c r="U99" s="38"/>
      <c r="V99" s="40"/>
      <c r="W99" s="38"/>
      <c r="X99" s="40"/>
      <c r="Y99" s="38"/>
      <c r="Z99" s="38"/>
      <c r="AA99" s="40"/>
      <c r="AB99" s="43"/>
      <c r="AC99" s="45"/>
      <c r="AD99" s="46" t="str">
        <f aca="false">IF(ISNUMBER($AB99),$AB99*(1+N($AC99)),"")</f>
        <v/>
      </c>
      <c r="AE99" s="43"/>
      <c r="AF99" s="43"/>
      <c r="AG99" s="45"/>
      <c r="AH99" s="47" t="str">
        <f aca="false">IF(ISNUMBER($AD99),($AD99+$AE99+$AF99)*$AG99,"")</f>
        <v/>
      </c>
      <c r="AI99" s="43"/>
      <c r="AJ99" s="46" t="str">
        <f aca="false">IF(ISNUMBER($AD99),SUM($AD99:$AH99),"")</f>
        <v/>
      </c>
      <c r="AK99" s="48" t="str">
        <f aca="false">IF(AND(ISNUMBER($AB99),ISNUMBER($AD99)),IF($AB99&gt;0,$AD99/$AB99,""),"")</f>
        <v/>
      </c>
      <c r="AL99" s="40"/>
      <c r="AM99" s="49" t="str">
        <f aca="false">IF(ISNUMBER($AD99),Header!$I$3,"")</f>
        <v/>
      </c>
      <c r="AN99" s="47" t="str">
        <f aca="false">IF(ISNUMBER($AD99),$AO99+$AP99,"")</f>
        <v/>
      </c>
      <c r="AO99" s="47" t="str">
        <f aca="false">IF(ISNUMBER($AD99),ROUND($AD99*Header!$K$3,2),"")</f>
        <v/>
      </c>
      <c r="AP99" s="47" t="str">
        <f aca="false">IF(ISNUMBER($AD99),ROUND($AD99*Header!$M$3,2),"")</f>
        <v/>
      </c>
      <c r="AQ99" s="46" t="str">
        <f aca="false">IF(ISNUMBER($AD99),ROUND($AD99,2)-$AO99-$AP99,"")</f>
        <v/>
      </c>
      <c r="AR99" s="47" t="str">
        <f aca="false">IF(ISNUMBER($AD99),IF(Header!$D$34="","?",$AD99*Header!$D$34),"")</f>
        <v/>
      </c>
      <c r="AS99" s="47" t="str">
        <f aca="false">IF(ISNUMBER($AB99),IF(Header!$D$34="","?",$AB99*Header!$D$34),"")</f>
        <v/>
      </c>
      <c r="AT99" s="50" t="str">
        <f aca="false">IF(AND(ISNUMBER($AB99),$M99&gt;0),$AB99/$M99*100,"")</f>
        <v/>
      </c>
      <c r="AU99" s="50" t="str">
        <f aca="false">IF(AND(ISNUMBER($AD99),$M99&gt;0),$AD99/$M99*100,"")</f>
        <v/>
      </c>
      <c r="AV99" s="48" t="str">
        <f aca="false">IF(AND(ISNUMBER($AB99),ISNUMBER($AD99),ABS($AB99)&gt;0),$AD99/$AB99,"")</f>
        <v/>
      </c>
      <c r="AW99" s="47" t="str">
        <f aca="false">IF(ISNUMBER($AD99),MAX(0,(1-0.55-Header!$O$3)*Header!$Q$3*$AQ99),"")</f>
        <v/>
      </c>
      <c r="AX99" s="51" t="str">
        <f aca="false">IF($A99="","",IF(TRIM(IF($A99="","Missing certificate ref. ","") &amp; IF($C99="","Missing effective date. ","") &amp; IF($D99="","Missing binding status. ","") &amp; IF($E99="","Missing movement type. ","") &amp; IF($I99="","Missing make. ","") &amp; IF($L99="","Missing vehicle class. ","") &amp; IF($M99="","Missing agreed value. ","") &amp; IF($N99="","Missing policy type. ","") &amp; IF($Q99="","Missing garaging state. ","") &amp; IF($R99="","Missing garaging ZIP. ","") &amp; IF($S99="","Missing cat zone. ","") &amp; IF($V99="","Missing valuation basis. ","") &amp; IF($W99="","Missing PD deductible. ","") &amp; IF($X99="","Missing liability limit. ","") &amp; IF($AB99="","Missing technical premium. ","") &amp; IF($AF99="","Missing surplus lines tax %. ",""))="","PASS","FAIL: "&amp;TRIM(IF($A99="","Missing certificate ref. ","") &amp; IF($C99="","Missing effective date. ","") &amp; IF($D99="","Missing binding status. ","") &amp; IF($E99="","Missing movement type. ","") &amp; IF($I99="","Missing make. ","") &amp; IF($L99="","Missing vehicle class. ","") &amp; IF($M99="","Missing agreed value. ","") &amp; IF($N99="","Missing policy type. ","") &amp; IF($Q99="","Missing garaging state. ","") &amp; IF($R99="","Missing garaging ZIP. ","") &amp; IF($S99="","Missing cat zone. ","") &amp; IF($V99="","Missing valuation basis. ","") &amp; IF($W99="","Missing PD deductible. ","") &amp; IF($X99="","Missing liability limit. ","") &amp; IF($AB99="","Missing technical premium. ","") &amp; IF($AF99="","Missing surplus lines tax %. ",""))))</f>
        <v/>
      </c>
      <c r="AY99" s="52" t="str">
        <f aca="false">IF($M99="","",IF(ISNUMBER($M99),IF($M99&gt;=Header!$C$18,"YES — refer","No"),""))</f>
        <v/>
      </c>
      <c r="AZ99" s="52" t="str">
        <f aca="false">IF($AD99="","",IF(ISNUMBER($AD99),IF($AD99&lt;Header!$C$20,"BELOW MIN PREMIUM","OK"),""))</f>
        <v/>
      </c>
      <c r="BA99" s="40"/>
      <c r="BB99" s="40"/>
      <c r="BC99" s="38"/>
      <c r="BE99" s="53" t="str">
        <f aca="false">IF(OR($A99="",$L99="",$H99=""),"",IF(AND(LEFT($L99,2)="06",$H99&gt;1945),"FAIL - pre-war class, year "&amp;$H99,IF(AND(LEFT($L99,2)="07",OR($H99&lt;1946,$H99&gt;1972)),"FAIL - 1946-72 class, year "&amp;$H99,IF(AND(LEFT($L99,2)="08",OR($H99&lt;1973,$H99&gt;1999)),"FAIL - 1973-99 class, year "&amp;$H99,IF(AND(LEFT($L99,2)="09",OR($H99&lt;2000,$H99&gt;2010)),"FAIL - 2000-10 class, year "&amp;$H99,"OK")))))</f>
        <v/>
      </c>
      <c r="BF99" s="53" t="str">
        <f aca="false">IF($AD99="","",IF(ROUND($AO99+$AP99+$AQ99-$AD99,2)=0,"OK","FAIL - out by "&amp;TEXT($AO99+$AP99+$AQ99-$AD99,"$0.00")))</f>
        <v/>
      </c>
    </row>
    <row r="100" customFormat="false" ht="15" hidden="false" customHeight="true" outlineLevel="0" collapsed="false">
      <c r="A100" s="54"/>
      <c r="B100" s="54"/>
      <c r="C100" s="55"/>
      <c r="D100" s="56"/>
      <c r="E100" s="56"/>
      <c r="F100" s="54"/>
      <c r="G100" s="41" t="str">
        <f aca="false">IF($A100="","",IF($C100="","",YEAR($C100)))</f>
        <v/>
      </c>
      <c r="H100" s="57"/>
      <c r="I100" s="54"/>
      <c r="J100" s="54"/>
      <c r="K100" s="54"/>
      <c r="L100" s="56"/>
      <c r="M100" s="58"/>
      <c r="N100" s="56"/>
      <c r="O100" s="54"/>
      <c r="P100" s="54"/>
      <c r="Q100" s="54"/>
      <c r="R100" s="54"/>
      <c r="S100" s="56"/>
      <c r="T100" s="44" t="str">
        <f aca="false">IF($A100="","",IF($S100="","",IFERROR(INDEX(Lists!$N$5:$N$16,MATCH($S100,Lists!$M$5:$M$16,0)),"?")))</f>
        <v/>
      </c>
      <c r="U100" s="54"/>
      <c r="V100" s="56"/>
      <c r="W100" s="54"/>
      <c r="X100" s="56"/>
      <c r="Y100" s="54"/>
      <c r="Z100" s="54"/>
      <c r="AA100" s="56"/>
      <c r="AB100" s="58"/>
      <c r="AC100" s="59"/>
      <c r="AD100" s="46" t="str">
        <f aca="false">IF(ISNUMBER($AB100),$AB100*(1+N($AC100)),"")</f>
        <v/>
      </c>
      <c r="AE100" s="58"/>
      <c r="AF100" s="58"/>
      <c r="AG100" s="59"/>
      <c r="AH100" s="47" t="str">
        <f aca="false">IF(ISNUMBER($AD100),($AD100+$AE100+$AF100)*$AG100,"")</f>
        <v/>
      </c>
      <c r="AI100" s="58"/>
      <c r="AJ100" s="46" t="str">
        <f aca="false">IF(ISNUMBER($AD100),SUM($AD100:$AH100),"")</f>
        <v/>
      </c>
      <c r="AK100" s="48" t="str">
        <f aca="false">IF(AND(ISNUMBER($AB100),ISNUMBER($AD100)),IF($AB100&gt;0,$AD100/$AB100,""),"")</f>
        <v/>
      </c>
      <c r="AL100" s="56"/>
      <c r="AM100" s="49" t="str">
        <f aca="false">IF(ISNUMBER($AD100),Header!$I$3,"")</f>
        <v/>
      </c>
      <c r="AN100" s="47" t="str">
        <f aca="false">IF(ISNUMBER($AD100),$AO100+$AP100,"")</f>
        <v/>
      </c>
      <c r="AO100" s="47" t="str">
        <f aca="false">IF(ISNUMBER($AD100),ROUND($AD100*Header!$K$3,2),"")</f>
        <v/>
      </c>
      <c r="AP100" s="47" t="str">
        <f aca="false">IF(ISNUMBER($AD100),ROUND($AD100*Header!$M$3,2),"")</f>
        <v/>
      </c>
      <c r="AQ100" s="46" t="str">
        <f aca="false">IF(ISNUMBER($AD100),ROUND($AD100,2)-$AO100-$AP100,"")</f>
        <v/>
      </c>
      <c r="AR100" s="47" t="str">
        <f aca="false">IF(ISNUMBER($AD100),IF(Header!$D$34="","?",$AD100*Header!$D$34),"")</f>
        <v/>
      </c>
      <c r="AS100" s="47" t="str">
        <f aca="false">IF(ISNUMBER($AB100),IF(Header!$D$34="","?",$AB100*Header!$D$34),"")</f>
        <v/>
      </c>
      <c r="AT100" s="50" t="str">
        <f aca="false">IF(AND(ISNUMBER($AB100),$M100&gt;0),$AB100/$M100*100,"")</f>
        <v/>
      </c>
      <c r="AU100" s="50" t="str">
        <f aca="false">IF(AND(ISNUMBER($AD100),$M100&gt;0),$AD100/$M100*100,"")</f>
        <v/>
      </c>
      <c r="AV100" s="48" t="str">
        <f aca="false">IF(AND(ISNUMBER($AB100),ISNUMBER($AD100),ABS($AB100)&gt;0),$AD100/$AB100,"")</f>
        <v/>
      </c>
      <c r="AW100" s="47" t="str">
        <f aca="false">IF(ISNUMBER($AD100),MAX(0,(1-0.55-Header!$O$3)*Header!$Q$3*$AQ100),"")</f>
        <v/>
      </c>
      <c r="AX100" s="51" t="str">
        <f aca="false">IF($A100="","",IF(TRIM(IF($A100="","Missing certificate ref. ","") &amp; IF($C100="","Missing effective date. ","") &amp; IF($D100="","Missing binding status. ","") &amp; IF($E100="","Missing movement type. ","") &amp; IF($I100="","Missing make. ","") &amp; IF($L100="","Missing vehicle class. ","") &amp; IF($M100="","Missing agreed value. ","") &amp; IF($N100="","Missing policy type. ","") &amp; IF($Q100="","Missing garaging state. ","") &amp; IF($R100="","Missing garaging ZIP. ","") &amp; IF($S100="","Missing cat zone. ","") &amp; IF($V100="","Missing valuation basis. ","") &amp; IF($W100="","Missing PD deductible. ","") &amp; IF($X100="","Missing liability limit. ","") &amp; IF($AB100="","Missing technical premium. ","") &amp; IF($AF100="","Missing surplus lines tax %. ",""))="","PASS","FAIL: "&amp;TRIM(IF($A100="","Missing certificate ref. ","") &amp; IF($C100="","Missing effective date. ","") &amp; IF($D100="","Missing binding status. ","") &amp; IF($E100="","Missing movement type. ","") &amp; IF($I100="","Missing make. ","") &amp; IF($L100="","Missing vehicle class. ","") &amp; IF($M100="","Missing agreed value. ","") &amp; IF($N100="","Missing policy type. ","") &amp; IF($Q100="","Missing garaging state. ","") &amp; IF($R100="","Missing garaging ZIP. ","") &amp; IF($S100="","Missing cat zone. ","") &amp; IF($V100="","Missing valuation basis. ","") &amp; IF($W100="","Missing PD deductible. ","") &amp; IF($X100="","Missing liability limit. ","") &amp; IF($AB100="","Missing technical premium. ","") &amp; IF($AF100="","Missing surplus lines tax %. ",""))))</f>
        <v/>
      </c>
      <c r="AY100" s="52" t="str">
        <f aca="false">IF($M100="","",IF(ISNUMBER($M100),IF($M100&gt;=Header!$C$18,"YES — refer","No"),""))</f>
        <v/>
      </c>
      <c r="AZ100" s="52" t="str">
        <f aca="false">IF($AD100="","",IF(ISNUMBER($AD100),IF($AD100&lt;Header!$C$20,"BELOW MIN PREMIUM","OK"),""))</f>
        <v/>
      </c>
      <c r="BA100" s="56"/>
      <c r="BB100" s="56"/>
      <c r="BC100" s="54"/>
      <c r="BE100" s="53" t="str">
        <f aca="false">IF(OR($A100="",$L100="",$H100=""),"",IF(AND(LEFT($L100,2)="06",$H100&gt;1945),"FAIL - pre-war class, year "&amp;$H100,IF(AND(LEFT($L100,2)="07",OR($H100&lt;1946,$H100&gt;1972)),"FAIL - 1946-72 class, year "&amp;$H100,IF(AND(LEFT($L100,2)="08",OR($H100&lt;1973,$H100&gt;1999)),"FAIL - 1973-99 class, year "&amp;$H100,IF(AND(LEFT($L100,2)="09",OR($H100&lt;2000,$H100&gt;2010)),"FAIL - 2000-10 class, year "&amp;$H100,"OK")))))</f>
        <v/>
      </c>
      <c r="BF100" s="53" t="str">
        <f aca="false">IF($AD100="","",IF(ROUND($AO100+$AP100+$AQ100-$AD100,2)=0,"OK","FAIL - out by "&amp;TEXT($AO100+$AP100+$AQ100-$AD100,"$0.00")))</f>
        <v/>
      </c>
    </row>
    <row r="101" customFormat="false" ht="15" hidden="false" customHeight="true" outlineLevel="0" collapsed="false">
      <c r="A101" s="38"/>
      <c r="B101" s="38"/>
      <c r="C101" s="39"/>
      <c r="D101" s="40"/>
      <c r="E101" s="40"/>
      <c r="F101" s="38"/>
      <c r="G101" s="41" t="str">
        <f aca="false">IF($A101="","",IF($C101="","",YEAR($C101)))</f>
        <v/>
      </c>
      <c r="H101" s="42"/>
      <c r="I101" s="38"/>
      <c r="J101" s="38"/>
      <c r="K101" s="38"/>
      <c r="L101" s="40"/>
      <c r="M101" s="43"/>
      <c r="N101" s="40"/>
      <c r="O101" s="38"/>
      <c r="P101" s="38"/>
      <c r="Q101" s="38"/>
      <c r="R101" s="38"/>
      <c r="S101" s="40"/>
      <c r="T101" s="44" t="str">
        <f aca="false">IF($A101="","",IF($S101="","",IFERROR(INDEX(Lists!$N$5:$N$16,MATCH($S101,Lists!$M$5:$M$16,0)),"?")))</f>
        <v/>
      </c>
      <c r="U101" s="38"/>
      <c r="V101" s="40"/>
      <c r="W101" s="38"/>
      <c r="X101" s="40"/>
      <c r="Y101" s="38"/>
      <c r="Z101" s="38"/>
      <c r="AA101" s="40"/>
      <c r="AB101" s="43"/>
      <c r="AC101" s="45"/>
      <c r="AD101" s="46" t="str">
        <f aca="false">IF(ISNUMBER($AB101),$AB101*(1+N($AC101)),"")</f>
        <v/>
      </c>
      <c r="AE101" s="43"/>
      <c r="AF101" s="43"/>
      <c r="AG101" s="45"/>
      <c r="AH101" s="47" t="str">
        <f aca="false">IF(ISNUMBER($AD101),($AD101+$AE101+$AF101)*$AG101,"")</f>
        <v/>
      </c>
      <c r="AI101" s="43"/>
      <c r="AJ101" s="46" t="str">
        <f aca="false">IF(ISNUMBER($AD101),SUM($AD101:$AH101),"")</f>
        <v/>
      </c>
      <c r="AK101" s="48" t="str">
        <f aca="false">IF(AND(ISNUMBER($AB101),ISNUMBER($AD101)),IF($AB101&gt;0,$AD101/$AB101,""),"")</f>
        <v/>
      </c>
      <c r="AL101" s="40"/>
      <c r="AM101" s="49" t="str">
        <f aca="false">IF(ISNUMBER($AD101),Header!$I$3,"")</f>
        <v/>
      </c>
      <c r="AN101" s="47" t="str">
        <f aca="false">IF(ISNUMBER($AD101),$AO101+$AP101,"")</f>
        <v/>
      </c>
      <c r="AO101" s="47" t="str">
        <f aca="false">IF(ISNUMBER($AD101),ROUND($AD101*Header!$K$3,2),"")</f>
        <v/>
      </c>
      <c r="AP101" s="47" t="str">
        <f aca="false">IF(ISNUMBER($AD101),ROUND($AD101*Header!$M$3,2),"")</f>
        <v/>
      </c>
      <c r="AQ101" s="46" t="str">
        <f aca="false">IF(ISNUMBER($AD101),ROUND($AD101,2)-$AO101-$AP101,"")</f>
        <v/>
      </c>
      <c r="AR101" s="47" t="str">
        <f aca="false">IF(ISNUMBER($AD101),IF(Header!$D$34="","?",$AD101*Header!$D$34),"")</f>
        <v/>
      </c>
      <c r="AS101" s="47" t="str">
        <f aca="false">IF(ISNUMBER($AB101),IF(Header!$D$34="","?",$AB101*Header!$D$34),"")</f>
        <v/>
      </c>
      <c r="AT101" s="50" t="str">
        <f aca="false">IF(AND(ISNUMBER($AB101),$M101&gt;0),$AB101/$M101*100,"")</f>
        <v/>
      </c>
      <c r="AU101" s="50" t="str">
        <f aca="false">IF(AND(ISNUMBER($AD101),$M101&gt;0),$AD101/$M101*100,"")</f>
        <v/>
      </c>
      <c r="AV101" s="48" t="str">
        <f aca="false">IF(AND(ISNUMBER($AB101),ISNUMBER($AD101),ABS($AB101)&gt;0),$AD101/$AB101,"")</f>
        <v/>
      </c>
      <c r="AW101" s="47" t="str">
        <f aca="false">IF(ISNUMBER($AD101),MAX(0,(1-0.55-Header!$O$3)*Header!$Q$3*$AQ101),"")</f>
        <v/>
      </c>
      <c r="AX101" s="51" t="str">
        <f aca="false">IF($A101="","",IF(TRIM(IF($A101="","Missing certificate ref. ","") &amp; IF($C101="","Missing effective date. ","") &amp; IF($D101="","Missing binding status. ","") &amp; IF($E101="","Missing movement type. ","") &amp; IF($I101="","Missing make. ","") &amp; IF($L101="","Missing vehicle class. ","") &amp; IF($M101="","Missing agreed value. ","") &amp; IF($N101="","Missing policy type. ","") &amp; IF($Q101="","Missing garaging state. ","") &amp; IF($R101="","Missing garaging ZIP. ","") &amp; IF($S101="","Missing cat zone. ","") &amp; IF($V101="","Missing valuation basis. ","") &amp; IF($W101="","Missing PD deductible. ","") &amp; IF($X101="","Missing liability limit. ","") &amp; IF($AB101="","Missing technical premium. ","") &amp; IF($AF101="","Missing surplus lines tax %. ",""))="","PASS","FAIL: "&amp;TRIM(IF($A101="","Missing certificate ref. ","") &amp; IF($C101="","Missing effective date. ","") &amp; IF($D101="","Missing binding status. ","") &amp; IF($E101="","Missing movement type. ","") &amp; IF($I101="","Missing make. ","") &amp; IF($L101="","Missing vehicle class. ","") &amp; IF($M101="","Missing agreed value. ","") &amp; IF($N101="","Missing policy type. ","") &amp; IF($Q101="","Missing garaging state. ","") &amp; IF($R101="","Missing garaging ZIP. ","") &amp; IF($S101="","Missing cat zone. ","") &amp; IF($V101="","Missing valuation basis. ","") &amp; IF($W101="","Missing PD deductible. ","") &amp; IF($X101="","Missing liability limit. ","") &amp; IF($AB101="","Missing technical premium. ","") &amp; IF($AF101="","Missing surplus lines tax %. ",""))))</f>
        <v/>
      </c>
      <c r="AY101" s="52" t="str">
        <f aca="false">IF($M101="","",IF(ISNUMBER($M101),IF($M101&gt;=Header!$C$18,"YES — refer","No"),""))</f>
        <v/>
      </c>
      <c r="AZ101" s="52" t="str">
        <f aca="false">IF($AD101="","",IF(ISNUMBER($AD101),IF($AD101&lt;Header!$C$20,"BELOW MIN PREMIUM","OK"),""))</f>
        <v/>
      </c>
      <c r="BA101" s="40"/>
      <c r="BB101" s="40"/>
      <c r="BC101" s="38"/>
      <c r="BE101" s="53" t="str">
        <f aca="false">IF(OR($A101="",$L101="",$H101=""),"",IF(AND(LEFT($L101,2)="06",$H101&gt;1945),"FAIL - pre-war class, year "&amp;$H101,IF(AND(LEFT($L101,2)="07",OR($H101&lt;1946,$H101&gt;1972)),"FAIL - 1946-72 class, year "&amp;$H101,IF(AND(LEFT($L101,2)="08",OR($H101&lt;1973,$H101&gt;1999)),"FAIL - 1973-99 class, year "&amp;$H101,IF(AND(LEFT($L101,2)="09",OR($H101&lt;2000,$H101&gt;2010)),"FAIL - 2000-10 class, year "&amp;$H101,"OK")))))</f>
        <v/>
      </c>
      <c r="BF101" s="53" t="str">
        <f aca="false">IF($AD101="","",IF(ROUND($AO101+$AP101+$AQ101-$AD101,2)=0,"OK","FAIL - out by "&amp;TEXT($AO101+$AP101+$AQ101-$AD101,"$0.00")))</f>
        <v/>
      </c>
    </row>
    <row r="102" customFormat="false" ht="15" hidden="false" customHeight="true" outlineLevel="0" collapsed="false">
      <c r="A102" s="54"/>
      <c r="B102" s="54"/>
      <c r="C102" s="55"/>
      <c r="D102" s="56"/>
      <c r="E102" s="56"/>
      <c r="F102" s="54"/>
      <c r="G102" s="41" t="str">
        <f aca="false">IF($A102="","",IF($C102="","",YEAR($C102)))</f>
        <v/>
      </c>
      <c r="H102" s="57"/>
      <c r="I102" s="54"/>
      <c r="J102" s="54"/>
      <c r="K102" s="54"/>
      <c r="L102" s="56"/>
      <c r="M102" s="58"/>
      <c r="N102" s="56"/>
      <c r="O102" s="54"/>
      <c r="P102" s="54"/>
      <c r="Q102" s="54"/>
      <c r="R102" s="54"/>
      <c r="S102" s="56"/>
      <c r="T102" s="44" t="str">
        <f aca="false">IF($A102="","",IF($S102="","",IFERROR(INDEX(Lists!$N$5:$N$16,MATCH($S102,Lists!$M$5:$M$16,0)),"?")))</f>
        <v/>
      </c>
      <c r="U102" s="54"/>
      <c r="V102" s="56"/>
      <c r="W102" s="54"/>
      <c r="X102" s="56"/>
      <c r="Y102" s="54"/>
      <c r="Z102" s="54"/>
      <c r="AA102" s="56"/>
      <c r="AB102" s="58"/>
      <c r="AC102" s="59"/>
      <c r="AD102" s="46" t="str">
        <f aca="false">IF(ISNUMBER($AB102),$AB102*(1+N($AC102)),"")</f>
        <v/>
      </c>
      <c r="AE102" s="58"/>
      <c r="AF102" s="58"/>
      <c r="AG102" s="59"/>
      <c r="AH102" s="47" t="str">
        <f aca="false">IF(ISNUMBER($AD102),($AD102+$AE102+$AF102)*$AG102,"")</f>
        <v/>
      </c>
      <c r="AI102" s="58"/>
      <c r="AJ102" s="46" t="str">
        <f aca="false">IF(ISNUMBER($AD102),SUM($AD102:$AH102),"")</f>
        <v/>
      </c>
      <c r="AK102" s="48" t="str">
        <f aca="false">IF(AND(ISNUMBER($AB102),ISNUMBER($AD102)),IF($AB102&gt;0,$AD102/$AB102,""),"")</f>
        <v/>
      </c>
      <c r="AL102" s="56"/>
      <c r="AM102" s="49" t="str">
        <f aca="false">IF(ISNUMBER($AD102),Header!$I$3,"")</f>
        <v/>
      </c>
      <c r="AN102" s="47" t="str">
        <f aca="false">IF(ISNUMBER($AD102),$AO102+$AP102,"")</f>
        <v/>
      </c>
      <c r="AO102" s="47" t="str">
        <f aca="false">IF(ISNUMBER($AD102),ROUND($AD102*Header!$K$3,2),"")</f>
        <v/>
      </c>
      <c r="AP102" s="47" t="str">
        <f aca="false">IF(ISNUMBER($AD102),ROUND($AD102*Header!$M$3,2),"")</f>
        <v/>
      </c>
      <c r="AQ102" s="46" t="str">
        <f aca="false">IF(ISNUMBER($AD102),ROUND($AD102,2)-$AO102-$AP102,"")</f>
        <v/>
      </c>
      <c r="AR102" s="47" t="str">
        <f aca="false">IF(ISNUMBER($AD102),IF(Header!$D$34="","?",$AD102*Header!$D$34),"")</f>
        <v/>
      </c>
      <c r="AS102" s="47" t="str">
        <f aca="false">IF(ISNUMBER($AB102),IF(Header!$D$34="","?",$AB102*Header!$D$34),"")</f>
        <v/>
      </c>
      <c r="AT102" s="50" t="str">
        <f aca="false">IF(AND(ISNUMBER($AB102),$M102&gt;0),$AB102/$M102*100,"")</f>
        <v/>
      </c>
      <c r="AU102" s="50" t="str">
        <f aca="false">IF(AND(ISNUMBER($AD102),$M102&gt;0),$AD102/$M102*100,"")</f>
        <v/>
      </c>
      <c r="AV102" s="48" t="str">
        <f aca="false">IF(AND(ISNUMBER($AB102),ISNUMBER($AD102),ABS($AB102)&gt;0),$AD102/$AB102,"")</f>
        <v/>
      </c>
      <c r="AW102" s="47" t="str">
        <f aca="false">IF(ISNUMBER($AD102),MAX(0,(1-0.55-Header!$O$3)*Header!$Q$3*$AQ102),"")</f>
        <v/>
      </c>
      <c r="AX102" s="51" t="str">
        <f aca="false">IF($A102="","",IF(TRIM(IF($A102="","Missing certificate ref. ","") &amp; IF($C102="","Missing effective date. ","") &amp; IF($D102="","Missing binding status. ","") &amp; IF($E102="","Missing movement type. ","") &amp; IF($I102="","Missing make. ","") &amp; IF($L102="","Missing vehicle class. ","") &amp; IF($M102="","Missing agreed value. ","") &amp; IF($N102="","Missing policy type. ","") &amp; IF($Q102="","Missing garaging state. ","") &amp; IF($R102="","Missing garaging ZIP. ","") &amp; IF($S102="","Missing cat zone. ","") &amp; IF($V102="","Missing valuation basis. ","") &amp; IF($W102="","Missing PD deductible. ","") &amp; IF($X102="","Missing liability limit. ","") &amp; IF($AB102="","Missing technical premium. ","") &amp; IF($AF102="","Missing surplus lines tax %. ",""))="","PASS","FAIL: "&amp;TRIM(IF($A102="","Missing certificate ref. ","") &amp; IF($C102="","Missing effective date. ","") &amp; IF($D102="","Missing binding status. ","") &amp; IF($E102="","Missing movement type. ","") &amp; IF($I102="","Missing make. ","") &amp; IF($L102="","Missing vehicle class. ","") &amp; IF($M102="","Missing agreed value. ","") &amp; IF($N102="","Missing policy type. ","") &amp; IF($Q102="","Missing garaging state. ","") &amp; IF($R102="","Missing garaging ZIP. ","") &amp; IF($S102="","Missing cat zone. ","") &amp; IF($V102="","Missing valuation basis. ","") &amp; IF($W102="","Missing PD deductible. ","") &amp; IF($X102="","Missing liability limit. ","") &amp; IF($AB102="","Missing technical premium. ","") &amp; IF($AF102="","Missing surplus lines tax %. ",""))))</f>
        <v/>
      </c>
      <c r="AY102" s="52" t="str">
        <f aca="false">IF($M102="","",IF(ISNUMBER($M102),IF($M102&gt;=Header!$C$18,"YES — refer","No"),""))</f>
        <v/>
      </c>
      <c r="AZ102" s="52" t="str">
        <f aca="false">IF($AD102="","",IF(ISNUMBER($AD102),IF($AD102&lt;Header!$C$20,"BELOW MIN PREMIUM","OK"),""))</f>
        <v/>
      </c>
      <c r="BA102" s="56"/>
      <c r="BB102" s="56"/>
      <c r="BC102" s="54"/>
      <c r="BE102" s="53" t="str">
        <f aca="false">IF(OR($A102="",$L102="",$H102=""),"",IF(AND(LEFT($L102,2)="06",$H102&gt;1945),"FAIL - pre-war class, year "&amp;$H102,IF(AND(LEFT($L102,2)="07",OR($H102&lt;1946,$H102&gt;1972)),"FAIL - 1946-72 class, year "&amp;$H102,IF(AND(LEFT($L102,2)="08",OR($H102&lt;1973,$H102&gt;1999)),"FAIL - 1973-99 class, year "&amp;$H102,IF(AND(LEFT($L102,2)="09",OR($H102&lt;2000,$H102&gt;2010)),"FAIL - 2000-10 class, year "&amp;$H102,"OK")))))</f>
        <v/>
      </c>
      <c r="BF102" s="53" t="str">
        <f aca="false">IF($AD102="","",IF(ROUND($AO102+$AP102+$AQ102-$AD102,2)=0,"OK","FAIL - out by "&amp;TEXT($AO102+$AP102+$AQ102-$AD102,"$0.00")))</f>
        <v/>
      </c>
    </row>
    <row r="103" customFormat="false" ht="15" hidden="false" customHeight="true" outlineLevel="0" collapsed="false">
      <c r="A103" s="38"/>
      <c r="B103" s="38"/>
      <c r="C103" s="39"/>
      <c r="D103" s="40"/>
      <c r="E103" s="40"/>
      <c r="F103" s="38"/>
      <c r="G103" s="41" t="str">
        <f aca="false">IF($A103="","",IF($C103="","",YEAR($C103)))</f>
        <v/>
      </c>
      <c r="H103" s="42"/>
      <c r="I103" s="38"/>
      <c r="J103" s="38"/>
      <c r="K103" s="38"/>
      <c r="L103" s="40"/>
      <c r="M103" s="43"/>
      <c r="N103" s="40"/>
      <c r="O103" s="38"/>
      <c r="P103" s="38"/>
      <c r="Q103" s="38"/>
      <c r="R103" s="38"/>
      <c r="S103" s="40"/>
      <c r="T103" s="44" t="str">
        <f aca="false">IF($A103="","",IF($S103="","",IFERROR(INDEX(Lists!$N$5:$N$16,MATCH($S103,Lists!$M$5:$M$16,0)),"?")))</f>
        <v/>
      </c>
      <c r="U103" s="38"/>
      <c r="V103" s="40"/>
      <c r="W103" s="38"/>
      <c r="X103" s="40"/>
      <c r="Y103" s="38"/>
      <c r="Z103" s="38"/>
      <c r="AA103" s="40"/>
      <c r="AB103" s="43"/>
      <c r="AC103" s="45"/>
      <c r="AD103" s="46" t="str">
        <f aca="false">IF(ISNUMBER($AB103),$AB103*(1+N($AC103)),"")</f>
        <v/>
      </c>
      <c r="AE103" s="43"/>
      <c r="AF103" s="43"/>
      <c r="AG103" s="45"/>
      <c r="AH103" s="47" t="str">
        <f aca="false">IF(ISNUMBER($AD103),($AD103+$AE103+$AF103)*$AG103,"")</f>
        <v/>
      </c>
      <c r="AI103" s="43"/>
      <c r="AJ103" s="46" t="str">
        <f aca="false">IF(ISNUMBER($AD103),SUM($AD103:$AH103),"")</f>
        <v/>
      </c>
      <c r="AK103" s="48" t="str">
        <f aca="false">IF(AND(ISNUMBER($AB103),ISNUMBER($AD103)),IF($AB103&gt;0,$AD103/$AB103,""),"")</f>
        <v/>
      </c>
      <c r="AL103" s="40"/>
      <c r="AM103" s="49" t="str">
        <f aca="false">IF(ISNUMBER($AD103),Header!$I$3,"")</f>
        <v/>
      </c>
      <c r="AN103" s="47" t="str">
        <f aca="false">IF(ISNUMBER($AD103),$AO103+$AP103,"")</f>
        <v/>
      </c>
      <c r="AO103" s="47" t="str">
        <f aca="false">IF(ISNUMBER($AD103),ROUND($AD103*Header!$K$3,2),"")</f>
        <v/>
      </c>
      <c r="AP103" s="47" t="str">
        <f aca="false">IF(ISNUMBER($AD103),ROUND($AD103*Header!$M$3,2),"")</f>
        <v/>
      </c>
      <c r="AQ103" s="46" t="str">
        <f aca="false">IF(ISNUMBER($AD103),ROUND($AD103,2)-$AO103-$AP103,"")</f>
        <v/>
      </c>
      <c r="AR103" s="47" t="str">
        <f aca="false">IF(ISNUMBER($AD103),IF(Header!$D$34="","?",$AD103*Header!$D$34),"")</f>
        <v/>
      </c>
      <c r="AS103" s="47" t="str">
        <f aca="false">IF(ISNUMBER($AB103),IF(Header!$D$34="","?",$AB103*Header!$D$34),"")</f>
        <v/>
      </c>
      <c r="AT103" s="50" t="str">
        <f aca="false">IF(AND(ISNUMBER($AB103),$M103&gt;0),$AB103/$M103*100,"")</f>
        <v/>
      </c>
      <c r="AU103" s="50" t="str">
        <f aca="false">IF(AND(ISNUMBER($AD103),$M103&gt;0),$AD103/$M103*100,"")</f>
        <v/>
      </c>
      <c r="AV103" s="48" t="str">
        <f aca="false">IF(AND(ISNUMBER($AB103),ISNUMBER($AD103),ABS($AB103)&gt;0),$AD103/$AB103,"")</f>
        <v/>
      </c>
      <c r="AW103" s="47" t="str">
        <f aca="false">IF(ISNUMBER($AD103),MAX(0,(1-0.55-Header!$O$3)*Header!$Q$3*$AQ103),"")</f>
        <v/>
      </c>
      <c r="AX103" s="51" t="str">
        <f aca="false">IF($A103="","",IF(TRIM(IF($A103="","Missing certificate ref. ","") &amp; IF($C103="","Missing effective date. ","") &amp; IF($D103="","Missing binding status. ","") &amp; IF($E103="","Missing movement type. ","") &amp; IF($I103="","Missing make. ","") &amp; IF($L103="","Missing vehicle class. ","") &amp; IF($M103="","Missing agreed value. ","") &amp; IF($N103="","Missing policy type. ","") &amp; IF($Q103="","Missing garaging state. ","") &amp; IF($R103="","Missing garaging ZIP. ","") &amp; IF($S103="","Missing cat zone. ","") &amp; IF($V103="","Missing valuation basis. ","") &amp; IF($W103="","Missing PD deductible. ","") &amp; IF($X103="","Missing liability limit. ","") &amp; IF($AB103="","Missing technical premium. ","") &amp; IF($AF103="","Missing surplus lines tax %. ",""))="","PASS","FAIL: "&amp;TRIM(IF($A103="","Missing certificate ref. ","") &amp; IF($C103="","Missing effective date. ","") &amp; IF($D103="","Missing binding status. ","") &amp; IF($E103="","Missing movement type. ","") &amp; IF($I103="","Missing make. ","") &amp; IF($L103="","Missing vehicle class. ","") &amp; IF($M103="","Missing agreed value. ","") &amp; IF($N103="","Missing policy type. ","") &amp; IF($Q103="","Missing garaging state. ","") &amp; IF($R103="","Missing garaging ZIP. ","") &amp; IF($S103="","Missing cat zone. ","") &amp; IF($V103="","Missing valuation basis. ","") &amp; IF($W103="","Missing PD deductible. ","") &amp; IF($X103="","Missing liability limit. ","") &amp; IF($AB103="","Missing technical premium. ","") &amp; IF($AF103="","Missing surplus lines tax %. ",""))))</f>
        <v/>
      </c>
      <c r="AY103" s="52" t="str">
        <f aca="false">IF($M103="","",IF(ISNUMBER($M103),IF($M103&gt;=Header!$C$18,"YES — refer","No"),""))</f>
        <v/>
      </c>
      <c r="AZ103" s="52" t="str">
        <f aca="false">IF($AD103="","",IF(ISNUMBER($AD103),IF($AD103&lt;Header!$C$20,"BELOW MIN PREMIUM","OK"),""))</f>
        <v/>
      </c>
      <c r="BA103" s="40"/>
      <c r="BB103" s="40"/>
      <c r="BC103" s="38"/>
      <c r="BE103" s="53" t="str">
        <f aca="false">IF(OR($A103="",$L103="",$H103=""),"",IF(AND(LEFT($L103,2)="06",$H103&gt;1945),"FAIL - pre-war class, year "&amp;$H103,IF(AND(LEFT($L103,2)="07",OR($H103&lt;1946,$H103&gt;1972)),"FAIL - 1946-72 class, year "&amp;$H103,IF(AND(LEFT($L103,2)="08",OR($H103&lt;1973,$H103&gt;1999)),"FAIL - 1973-99 class, year "&amp;$H103,IF(AND(LEFT($L103,2)="09",OR($H103&lt;2000,$H103&gt;2010)),"FAIL - 2000-10 class, year "&amp;$H103,"OK")))))</f>
        <v/>
      </c>
      <c r="BF103" s="53" t="str">
        <f aca="false">IF($AD103="","",IF(ROUND($AO103+$AP103+$AQ103-$AD103,2)=0,"OK","FAIL - out by "&amp;TEXT($AO103+$AP103+$AQ103-$AD103,"$0.00")))</f>
        <v/>
      </c>
    </row>
    <row r="104" customFormat="false" ht="15" hidden="false" customHeight="true" outlineLevel="0" collapsed="false">
      <c r="A104" s="54"/>
      <c r="B104" s="54"/>
      <c r="C104" s="55"/>
      <c r="D104" s="56"/>
      <c r="E104" s="56"/>
      <c r="F104" s="54"/>
      <c r="G104" s="41" t="str">
        <f aca="false">IF($A104="","",IF($C104="","",YEAR($C104)))</f>
        <v/>
      </c>
      <c r="H104" s="57"/>
      <c r="I104" s="54"/>
      <c r="J104" s="54"/>
      <c r="K104" s="54"/>
      <c r="L104" s="56"/>
      <c r="M104" s="58"/>
      <c r="N104" s="56"/>
      <c r="O104" s="54"/>
      <c r="P104" s="54"/>
      <c r="Q104" s="54"/>
      <c r="R104" s="54"/>
      <c r="S104" s="56"/>
      <c r="T104" s="44" t="str">
        <f aca="false">IF($A104="","",IF($S104="","",IFERROR(INDEX(Lists!$N$5:$N$16,MATCH($S104,Lists!$M$5:$M$16,0)),"?")))</f>
        <v/>
      </c>
      <c r="U104" s="54"/>
      <c r="V104" s="56"/>
      <c r="W104" s="54"/>
      <c r="X104" s="56"/>
      <c r="Y104" s="54"/>
      <c r="Z104" s="54"/>
      <c r="AA104" s="56"/>
      <c r="AB104" s="58"/>
      <c r="AC104" s="59"/>
      <c r="AD104" s="46" t="str">
        <f aca="false">IF(ISNUMBER($AB104),$AB104*(1+N($AC104)),"")</f>
        <v/>
      </c>
      <c r="AE104" s="58"/>
      <c r="AF104" s="58"/>
      <c r="AG104" s="59"/>
      <c r="AH104" s="47" t="str">
        <f aca="false">IF(ISNUMBER($AD104),($AD104+$AE104+$AF104)*$AG104,"")</f>
        <v/>
      </c>
      <c r="AI104" s="58"/>
      <c r="AJ104" s="46" t="str">
        <f aca="false">IF(ISNUMBER($AD104),SUM($AD104:$AH104),"")</f>
        <v/>
      </c>
      <c r="AK104" s="48" t="str">
        <f aca="false">IF(AND(ISNUMBER($AB104),ISNUMBER($AD104)),IF($AB104&gt;0,$AD104/$AB104,""),"")</f>
        <v/>
      </c>
      <c r="AL104" s="56"/>
      <c r="AM104" s="49" t="str">
        <f aca="false">IF(ISNUMBER($AD104),Header!$I$3,"")</f>
        <v/>
      </c>
      <c r="AN104" s="47" t="str">
        <f aca="false">IF(ISNUMBER($AD104),$AO104+$AP104,"")</f>
        <v/>
      </c>
      <c r="AO104" s="47" t="str">
        <f aca="false">IF(ISNUMBER($AD104),ROUND($AD104*Header!$K$3,2),"")</f>
        <v/>
      </c>
      <c r="AP104" s="47" t="str">
        <f aca="false">IF(ISNUMBER($AD104),ROUND($AD104*Header!$M$3,2),"")</f>
        <v/>
      </c>
      <c r="AQ104" s="46" t="str">
        <f aca="false">IF(ISNUMBER($AD104),ROUND($AD104,2)-$AO104-$AP104,"")</f>
        <v/>
      </c>
      <c r="AR104" s="47" t="str">
        <f aca="false">IF(ISNUMBER($AD104),IF(Header!$D$34="","?",$AD104*Header!$D$34),"")</f>
        <v/>
      </c>
      <c r="AS104" s="47" t="str">
        <f aca="false">IF(ISNUMBER($AB104),IF(Header!$D$34="","?",$AB104*Header!$D$34),"")</f>
        <v/>
      </c>
      <c r="AT104" s="50" t="str">
        <f aca="false">IF(AND(ISNUMBER($AB104),$M104&gt;0),$AB104/$M104*100,"")</f>
        <v/>
      </c>
      <c r="AU104" s="50" t="str">
        <f aca="false">IF(AND(ISNUMBER($AD104),$M104&gt;0),$AD104/$M104*100,"")</f>
        <v/>
      </c>
      <c r="AV104" s="48" t="str">
        <f aca="false">IF(AND(ISNUMBER($AB104),ISNUMBER($AD104),ABS($AB104)&gt;0),$AD104/$AB104,"")</f>
        <v/>
      </c>
      <c r="AW104" s="47" t="str">
        <f aca="false">IF(ISNUMBER($AD104),MAX(0,(1-0.55-Header!$O$3)*Header!$Q$3*$AQ104),"")</f>
        <v/>
      </c>
      <c r="AX104" s="51" t="str">
        <f aca="false">IF($A104="","",IF(TRIM(IF($A104="","Missing certificate ref. ","") &amp; IF($C104="","Missing effective date. ","") &amp; IF($D104="","Missing binding status. ","") &amp; IF($E104="","Missing movement type. ","") &amp; IF($I104="","Missing make. ","") &amp; IF($L104="","Missing vehicle class. ","") &amp; IF($M104="","Missing agreed value. ","") &amp; IF($N104="","Missing policy type. ","") &amp; IF($Q104="","Missing garaging state. ","") &amp; IF($R104="","Missing garaging ZIP. ","") &amp; IF($S104="","Missing cat zone. ","") &amp; IF($V104="","Missing valuation basis. ","") &amp; IF($W104="","Missing PD deductible. ","") &amp; IF($X104="","Missing liability limit. ","") &amp; IF($AB104="","Missing technical premium. ","") &amp; IF($AF104="","Missing surplus lines tax %. ",""))="","PASS","FAIL: "&amp;TRIM(IF($A104="","Missing certificate ref. ","") &amp; IF($C104="","Missing effective date. ","") &amp; IF($D104="","Missing binding status. ","") &amp; IF($E104="","Missing movement type. ","") &amp; IF($I104="","Missing make. ","") &amp; IF($L104="","Missing vehicle class. ","") &amp; IF($M104="","Missing agreed value. ","") &amp; IF($N104="","Missing policy type. ","") &amp; IF($Q104="","Missing garaging state. ","") &amp; IF($R104="","Missing garaging ZIP. ","") &amp; IF($S104="","Missing cat zone. ","") &amp; IF($V104="","Missing valuation basis. ","") &amp; IF($W104="","Missing PD deductible. ","") &amp; IF($X104="","Missing liability limit. ","") &amp; IF($AB104="","Missing technical premium. ","") &amp; IF($AF104="","Missing surplus lines tax %. ",""))))</f>
        <v/>
      </c>
      <c r="AY104" s="52" t="str">
        <f aca="false">IF($M104="","",IF(ISNUMBER($M104),IF($M104&gt;=Header!$C$18,"YES — refer","No"),""))</f>
        <v/>
      </c>
      <c r="AZ104" s="52" t="str">
        <f aca="false">IF($AD104="","",IF(ISNUMBER($AD104),IF($AD104&lt;Header!$C$20,"BELOW MIN PREMIUM","OK"),""))</f>
        <v/>
      </c>
      <c r="BA104" s="56"/>
      <c r="BB104" s="56"/>
      <c r="BC104" s="54"/>
      <c r="BE104" s="53" t="str">
        <f aca="false">IF(OR($A104="",$L104="",$H104=""),"",IF(AND(LEFT($L104,2)="06",$H104&gt;1945),"FAIL - pre-war class, year "&amp;$H104,IF(AND(LEFT($L104,2)="07",OR($H104&lt;1946,$H104&gt;1972)),"FAIL - 1946-72 class, year "&amp;$H104,IF(AND(LEFT($L104,2)="08",OR($H104&lt;1973,$H104&gt;1999)),"FAIL - 1973-99 class, year "&amp;$H104,IF(AND(LEFT($L104,2)="09",OR($H104&lt;2000,$H104&gt;2010)),"FAIL - 2000-10 class, year "&amp;$H104,"OK")))))</f>
        <v/>
      </c>
      <c r="BF104" s="53" t="str">
        <f aca="false">IF($AD104="","",IF(ROUND($AO104+$AP104+$AQ104-$AD104,2)=0,"OK","FAIL - out by "&amp;TEXT($AO104+$AP104+$AQ104-$AD104,"$0.00")))</f>
        <v/>
      </c>
    </row>
    <row r="105" customFormat="false" ht="15" hidden="false" customHeight="true" outlineLevel="0" collapsed="false">
      <c r="A105" s="38"/>
      <c r="B105" s="38"/>
      <c r="C105" s="39"/>
      <c r="D105" s="40"/>
      <c r="E105" s="40"/>
      <c r="F105" s="38"/>
      <c r="G105" s="41" t="str">
        <f aca="false">IF($A105="","",IF($C105="","",YEAR($C105)))</f>
        <v/>
      </c>
      <c r="H105" s="42"/>
      <c r="I105" s="38"/>
      <c r="J105" s="38"/>
      <c r="K105" s="38"/>
      <c r="L105" s="40"/>
      <c r="M105" s="43"/>
      <c r="N105" s="40"/>
      <c r="O105" s="38"/>
      <c r="P105" s="38"/>
      <c r="Q105" s="38"/>
      <c r="R105" s="38"/>
      <c r="S105" s="40"/>
      <c r="T105" s="44" t="str">
        <f aca="false">IF($A105="","",IF($S105="","",IFERROR(INDEX(Lists!$N$5:$N$16,MATCH($S105,Lists!$M$5:$M$16,0)),"?")))</f>
        <v/>
      </c>
      <c r="U105" s="38"/>
      <c r="V105" s="40"/>
      <c r="W105" s="38"/>
      <c r="X105" s="40"/>
      <c r="Y105" s="38"/>
      <c r="Z105" s="38"/>
      <c r="AA105" s="40"/>
      <c r="AB105" s="43"/>
      <c r="AC105" s="45"/>
      <c r="AD105" s="46" t="str">
        <f aca="false">IF(ISNUMBER($AB105),$AB105*(1+N($AC105)),"")</f>
        <v/>
      </c>
      <c r="AE105" s="43"/>
      <c r="AF105" s="43"/>
      <c r="AG105" s="45"/>
      <c r="AH105" s="47" t="str">
        <f aca="false">IF(ISNUMBER($AD105),($AD105+$AE105+$AF105)*$AG105,"")</f>
        <v/>
      </c>
      <c r="AI105" s="43"/>
      <c r="AJ105" s="46" t="str">
        <f aca="false">IF(ISNUMBER($AD105),SUM($AD105:$AH105),"")</f>
        <v/>
      </c>
      <c r="AK105" s="48" t="str">
        <f aca="false">IF(AND(ISNUMBER($AB105),ISNUMBER($AD105)),IF($AB105&gt;0,$AD105/$AB105,""),"")</f>
        <v/>
      </c>
      <c r="AL105" s="40"/>
      <c r="AM105" s="49" t="str">
        <f aca="false">IF(ISNUMBER($AD105),Header!$I$3,"")</f>
        <v/>
      </c>
      <c r="AN105" s="47" t="str">
        <f aca="false">IF(ISNUMBER($AD105),$AO105+$AP105,"")</f>
        <v/>
      </c>
      <c r="AO105" s="47" t="str">
        <f aca="false">IF(ISNUMBER($AD105),ROUND($AD105*Header!$K$3,2),"")</f>
        <v/>
      </c>
      <c r="AP105" s="47" t="str">
        <f aca="false">IF(ISNUMBER($AD105),ROUND($AD105*Header!$M$3,2),"")</f>
        <v/>
      </c>
      <c r="AQ105" s="46" t="str">
        <f aca="false">IF(ISNUMBER($AD105),ROUND($AD105,2)-$AO105-$AP105,"")</f>
        <v/>
      </c>
      <c r="AR105" s="47" t="str">
        <f aca="false">IF(ISNUMBER($AD105),IF(Header!$D$34="","?",$AD105*Header!$D$34),"")</f>
        <v/>
      </c>
      <c r="AS105" s="47" t="str">
        <f aca="false">IF(ISNUMBER($AB105),IF(Header!$D$34="","?",$AB105*Header!$D$34),"")</f>
        <v/>
      </c>
      <c r="AT105" s="50" t="str">
        <f aca="false">IF(AND(ISNUMBER($AB105),$M105&gt;0),$AB105/$M105*100,"")</f>
        <v/>
      </c>
      <c r="AU105" s="50" t="str">
        <f aca="false">IF(AND(ISNUMBER($AD105),$M105&gt;0),$AD105/$M105*100,"")</f>
        <v/>
      </c>
      <c r="AV105" s="48" t="str">
        <f aca="false">IF(AND(ISNUMBER($AB105),ISNUMBER($AD105),ABS($AB105)&gt;0),$AD105/$AB105,"")</f>
        <v/>
      </c>
      <c r="AW105" s="47" t="str">
        <f aca="false">IF(ISNUMBER($AD105),MAX(0,(1-0.55-Header!$O$3)*Header!$Q$3*$AQ105),"")</f>
        <v/>
      </c>
      <c r="AX105" s="51" t="str">
        <f aca="false">IF($A105="","",IF(TRIM(IF($A105="","Missing certificate ref. ","") &amp; IF($C105="","Missing effective date. ","") &amp; IF($D105="","Missing binding status. ","") &amp; IF($E105="","Missing movement type. ","") &amp; IF($I105="","Missing make. ","") &amp; IF($L105="","Missing vehicle class. ","") &amp; IF($M105="","Missing agreed value. ","") &amp; IF($N105="","Missing policy type. ","") &amp; IF($Q105="","Missing garaging state. ","") &amp; IF($R105="","Missing garaging ZIP. ","") &amp; IF($S105="","Missing cat zone. ","") &amp; IF($V105="","Missing valuation basis. ","") &amp; IF($W105="","Missing PD deductible. ","") &amp; IF($X105="","Missing liability limit. ","") &amp; IF($AB105="","Missing technical premium. ","") &amp; IF($AF105="","Missing surplus lines tax %. ",""))="","PASS","FAIL: "&amp;TRIM(IF($A105="","Missing certificate ref. ","") &amp; IF($C105="","Missing effective date. ","") &amp; IF($D105="","Missing binding status. ","") &amp; IF($E105="","Missing movement type. ","") &amp; IF($I105="","Missing make. ","") &amp; IF($L105="","Missing vehicle class. ","") &amp; IF($M105="","Missing agreed value. ","") &amp; IF($N105="","Missing policy type. ","") &amp; IF($Q105="","Missing garaging state. ","") &amp; IF($R105="","Missing garaging ZIP. ","") &amp; IF($S105="","Missing cat zone. ","") &amp; IF($V105="","Missing valuation basis. ","") &amp; IF($W105="","Missing PD deductible. ","") &amp; IF($X105="","Missing liability limit. ","") &amp; IF($AB105="","Missing technical premium. ","") &amp; IF($AF105="","Missing surplus lines tax %. ",""))))</f>
        <v/>
      </c>
      <c r="AY105" s="52" t="str">
        <f aca="false">IF($M105="","",IF(ISNUMBER($M105),IF($M105&gt;=Header!$C$18,"YES — refer","No"),""))</f>
        <v/>
      </c>
      <c r="AZ105" s="52" t="str">
        <f aca="false">IF($AD105="","",IF(ISNUMBER($AD105),IF($AD105&lt;Header!$C$20,"BELOW MIN PREMIUM","OK"),""))</f>
        <v/>
      </c>
      <c r="BA105" s="40"/>
      <c r="BB105" s="40"/>
      <c r="BC105" s="38"/>
      <c r="BE105" s="53" t="str">
        <f aca="false">IF(OR($A105="",$L105="",$H105=""),"",IF(AND(LEFT($L105,2)="06",$H105&gt;1945),"FAIL - pre-war class, year "&amp;$H105,IF(AND(LEFT($L105,2)="07",OR($H105&lt;1946,$H105&gt;1972)),"FAIL - 1946-72 class, year "&amp;$H105,IF(AND(LEFT($L105,2)="08",OR($H105&lt;1973,$H105&gt;1999)),"FAIL - 1973-99 class, year "&amp;$H105,IF(AND(LEFT($L105,2)="09",OR($H105&lt;2000,$H105&gt;2010)),"FAIL - 2000-10 class, year "&amp;$H105,"OK")))))</f>
        <v/>
      </c>
      <c r="BF105" s="53" t="str">
        <f aca="false">IF($AD105="","",IF(ROUND($AO105+$AP105+$AQ105-$AD105,2)=0,"OK","FAIL - out by "&amp;TEXT($AO105+$AP105+$AQ105-$AD105,"$0.00")))</f>
        <v/>
      </c>
    </row>
    <row r="106" customFormat="false" ht="15" hidden="false" customHeight="true" outlineLevel="0" collapsed="false">
      <c r="A106" s="54"/>
      <c r="B106" s="54"/>
      <c r="C106" s="55"/>
      <c r="D106" s="56"/>
      <c r="E106" s="56"/>
      <c r="F106" s="54"/>
      <c r="G106" s="41" t="str">
        <f aca="false">IF($A106="","",IF($C106="","",YEAR($C106)))</f>
        <v/>
      </c>
      <c r="H106" s="57"/>
      <c r="I106" s="54"/>
      <c r="J106" s="54"/>
      <c r="K106" s="54"/>
      <c r="L106" s="56"/>
      <c r="M106" s="58"/>
      <c r="N106" s="56"/>
      <c r="O106" s="54"/>
      <c r="P106" s="54"/>
      <c r="Q106" s="54"/>
      <c r="R106" s="54"/>
      <c r="S106" s="56"/>
      <c r="T106" s="44" t="str">
        <f aca="false">IF($A106="","",IF($S106="","",IFERROR(INDEX(Lists!$N$5:$N$16,MATCH($S106,Lists!$M$5:$M$16,0)),"?")))</f>
        <v/>
      </c>
      <c r="U106" s="54"/>
      <c r="V106" s="56"/>
      <c r="W106" s="54"/>
      <c r="X106" s="56"/>
      <c r="Y106" s="54"/>
      <c r="Z106" s="54"/>
      <c r="AA106" s="56"/>
      <c r="AB106" s="58"/>
      <c r="AC106" s="59"/>
      <c r="AD106" s="46" t="str">
        <f aca="false">IF(ISNUMBER($AB106),$AB106*(1+N($AC106)),"")</f>
        <v/>
      </c>
      <c r="AE106" s="58"/>
      <c r="AF106" s="58"/>
      <c r="AG106" s="59"/>
      <c r="AH106" s="47" t="str">
        <f aca="false">IF(ISNUMBER($AD106),($AD106+$AE106+$AF106)*$AG106,"")</f>
        <v/>
      </c>
      <c r="AI106" s="58"/>
      <c r="AJ106" s="46" t="str">
        <f aca="false">IF(ISNUMBER($AD106),SUM($AD106:$AH106),"")</f>
        <v/>
      </c>
      <c r="AK106" s="48" t="str">
        <f aca="false">IF(AND(ISNUMBER($AB106),ISNUMBER($AD106)),IF($AB106&gt;0,$AD106/$AB106,""),"")</f>
        <v/>
      </c>
      <c r="AL106" s="56"/>
      <c r="AM106" s="49" t="str">
        <f aca="false">IF(ISNUMBER($AD106),Header!$I$3,"")</f>
        <v/>
      </c>
      <c r="AN106" s="47" t="str">
        <f aca="false">IF(ISNUMBER($AD106),$AO106+$AP106,"")</f>
        <v/>
      </c>
      <c r="AO106" s="47" t="str">
        <f aca="false">IF(ISNUMBER($AD106),ROUND($AD106*Header!$K$3,2),"")</f>
        <v/>
      </c>
      <c r="AP106" s="47" t="str">
        <f aca="false">IF(ISNUMBER($AD106),ROUND($AD106*Header!$M$3,2),"")</f>
        <v/>
      </c>
      <c r="AQ106" s="46" t="str">
        <f aca="false">IF(ISNUMBER($AD106),ROUND($AD106,2)-$AO106-$AP106,"")</f>
        <v/>
      </c>
      <c r="AR106" s="47" t="str">
        <f aca="false">IF(ISNUMBER($AD106),IF(Header!$D$34="","?",$AD106*Header!$D$34),"")</f>
        <v/>
      </c>
      <c r="AS106" s="47" t="str">
        <f aca="false">IF(ISNUMBER($AB106),IF(Header!$D$34="","?",$AB106*Header!$D$34),"")</f>
        <v/>
      </c>
      <c r="AT106" s="50" t="str">
        <f aca="false">IF(AND(ISNUMBER($AB106),$M106&gt;0),$AB106/$M106*100,"")</f>
        <v/>
      </c>
      <c r="AU106" s="50" t="str">
        <f aca="false">IF(AND(ISNUMBER($AD106),$M106&gt;0),$AD106/$M106*100,"")</f>
        <v/>
      </c>
      <c r="AV106" s="48" t="str">
        <f aca="false">IF(AND(ISNUMBER($AB106),ISNUMBER($AD106),ABS($AB106)&gt;0),$AD106/$AB106,"")</f>
        <v/>
      </c>
      <c r="AW106" s="47" t="str">
        <f aca="false">IF(ISNUMBER($AD106),MAX(0,(1-0.55-Header!$O$3)*Header!$Q$3*$AQ106),"")</f>
        <v/>
      </c>
      <c r="AX106" s="51" t="str">
        <f aca="false">IF($A106="","",IF(TRIM(IF($A106="","Missing certificate ref. ","") &amp; IF($C106="","Missing effective date. ","") &amp; IF($D106="","Missing binding status. ","") &amp; IF($E106="","Missing movement type. ","") &amp; IF($I106="","Missing make. ","") &amp; IF($L106="","Missing vehicle class. ","") &amp; IF($M106="","Missing agreed value. ","") &amp; IF($N106="","Missing policy type. ","") &amp; IF($Q106="","Missing garaging state. ","") &amp; IF($R106="","Missing garaging ZIP. ","") &amp; IF($S106="","Missing cat zone. ","") &amp; IF($V106="","Missing valuation basis. ","") &amp; IF($W106="","Missing PD deductible. ","") &amp; IF($X106="","Missing liability limit. ","") &amp; IF($AB106="","Missing technical premium. ","") &amp; IF($AF106="","Missing surplus lines tax %. ",""))="","PASS","FAIL: "&amp;TRIM(IF($A106="","Missing certificate ref. ","") &amp; IF($C106="","Missing effective date. ","") &amp; IF($D106="","Missing binding status. ","") &amp; IF($E106="","Missing movement type. ","") &amp; IF($I106="","Missing make. ","") &amp; IF($L106="","Missing vehicle class. ","") &amp; IF($M106="","Missing agreed value. ","") &amp; IF($N106="","Missing policy type. ","") &amp; IF($Q106="","Missing garaging state. ","") &amp; IF($R106="","Missing garaging ZIP. ","") &amp; IF($S106="","Missing cat zone. ","") &amp; IF($V106="","Missing valuation basis. ","") &amp; IF($W106="","Missing PD deductible. ","") &amp; IF($X106="","Missing liability limit. ","") &amp; IF($AB106="","Missing technical premium. ","") &amp; IF($AF106="","Missing surplus lines tax %. ",""))))</f>
        <v/>
      </c>
      <c r="AY106" s="52" t="str">
        <f aca="false">IF($M106="","",IF(ISNUMBER($M106),IF($M106&gt;=Header!$C$18,"YES — refer","No"),""))</f>
        <v/>
      </c>
      <c r="AZ106" s="52" t="str">
        <f aca="false">IF($AD106="","",IF(ISNUMBER($AD106),IF($AD106&lt;Header!$C$20,"BELOW MIN PREMIUM","OK"),""))</f>
        <v/>
      </c>
      <c r="BA106" s="56"/>
      <c r="BB106" s="56"/>
      <c r="BC106" s="54"/>
      <c r="BE106" s="53" t="str">
        <f aca="false">IF(OR($A106="",$L106="",$H106=""),"",IF(AND(LEFT($L106,2)="06",$H106&gt;1945),"FAIL - pre-war class, year "&amp;$H106,IF(AND(LEFT($L106,2)="07",OR($H106&lt;1946,$H106&gt;1972)),"FAIL - 1946-72 class, year "&amp;$H106,IF(AND(LEFT($L106,2)="08",OR($H106&lt;1973,$H106&gt;1999)),"FAIL - 1973-99 class, year "&amp;$H106,IF(AND(LEFT($L106,2)="09",OR($H106&lt;2000,$H106&gt;2010)),"FAIL - 2000-10 class, year "&amp;$H106,"OK")))))</f>
        <v/>
      </c>
      <c r="BF106" s="53" t="str">
        <f aca="false">IF($AD106="","",IF(ROUND($AO106+$AP106+$AQ106-$AD106,2)=0,"OK","FAIL - out by "&amp;TEXT($AO106+$AP106+$AQ106-$AD106,"$0.00")))</f>
        <v/>
      </c>
    </row>
    <row r="107" customFormat="false" ht="15" hidden="false" customHeight="true" outlineLevel="0" collapsed="false">
      <c r="A107" s="38"/>
      <c r="B107" s="38"/>
      <c r="C107" s="39"/>
      <c r="D107" s="40"/>
      <c r="E107" s="40"/>
      <c r="F107" s="38"/>
      <c r="G107" s="41" t="str">
        <f aca="false">IF($A107="","",IF($C107="","",YEAR($C107)))</f>
        <v/>
      </c>
      <c r="H107" s="42"/>
      <c r="I107" s="38"/>
      <c r="J107" s="38"/>
      <c r="K107" s="38"/>
      <c r="L107" s="40"/>
      <c r="M107" s="43"/>
      <c r="N107" s="40"/>
      <c r="O107" s="38"/>
      <c r="P107" s="38"/>
      <c r="Q107" s="38"/>
      <c r="R107" s="38"/>
      <c r="S107" s="40"/>
      <c r="T107" s="44" t="str">
        <f aca="false">IF($A107="","",IF($S107="","",IFERROR(INDEX(Lists!$N$5:$N$16,MATCH($S107,Lists!$M$5:$M$16,0)),"?")))</f>
        <v/>
      </c>
      <c r="U107" s="38"/>
      <c r="V107" s="40"/>
      <c r="W107" s="38"/>
      <c r="X107" s="40"/>
      <c r="Y107" s="38"/>
      <c r="Z107" s="38"/>
      <c r="AA107" s="40"/>
      <c r="AB107" s="43"/>
      <c r="AC107" s="45"/>
      <c r="AD107" s="46" t="str">
        <f aca="false">IF(ISNUMBER($AB107),$AB107*(1+N($AC107)),"")</f>
        <v/>
      </c>
      <c r="AE107" s="43"/>
      <c r="AF107" s="43"/>
      <c r="AG107" s="45"/>
      <c r="AH107" s="47" t="str">
        <f aca="false">IF(ISNUMBER($AD107),($AD107+$AE107+$AF107)*$AG107,"")</f>
        <v/>
      </c>
      <c r="AI107" s="43"/>
      <c r="AJ107" s="46" t="str">
        <f aca="false">IF(ISNUMBER($AD107),SUM($AD107:$AH107),"")</f>
        <v/>
      </c>
      <c r="AK107" s="48" t="str">
        <f aca="false">IF(AND(ISNUMBER($AB107),ISNUMBER($AD107)),IF($AB107&gt;0,$AD107/$AB107,""),"")</f>
        <v/>
      </c>
      <c r="AL107" s="40"/>
      <c r="AM107" s="49" t="str">
        <f aca="false">IF(ISNUMBER($AD107),Header!$I$3,"")</f>
        <v/>
      </c>
      <c r="AN107" s="47" t="str">
        <f aca="false">IF(ISNUMBER($AD107),$AO107+$AP107,"")</f>
        <v/>
      </c>
      <c r="AO107" s="47" t="str">
        <f aca="false">IF(ISNUMBER($AD107),ROUND($AD107*Header!$K$3,2),"")</f>
        <v/>
      </c>
      <c r="AP107" s="47" t="str">
        <f aca="false">IF(ISNUMBER($AD107),ROUND($AD107*Header!$M$3,2),"")</f>
        <v/>
      </c>
      <c r="AQ107" s="46" t="str">
        <f aca="false">IF(ISNUMBER($AD107),ROUND($AD107,2)-$AO107-$AP107,"")</f>
        <v/>
      </c>
      <c r="AR107" s="47" t="str">
        <f aca="false">IF(ISNUMBER($AD107),IF(Header!$D$34="","?",$AD107*Header!$D$34),"")</f>
        <v/>
      </c>
      <c r="AS107" s="47" t="str">
        <f aca="false">IF(ISNUMBER($AB107),IF(Header!$D$34="","?",$AB107*Header!$D$34),"")</f>
        <v/>
      </c>
      <c r="AT107" s="50" t="str">
        <f aca="false">IF(AND(ISNUMBER($AB107),$M107&gt;0),$AB107/$M107*100,"")</f>
        <v/>
      </c>
      <c r="AU107" s="50" t="str">
        <f aca="false">IF(AND(ISNUMBER($AD107),$M107&gt;0),$AD107/$M107*100,"")</f>
        <v/>
      </c>
      <c r="AV107" s="48" t="str">
        <f aca="false">IF(AND(ISNUMBER($AB107),ISNUMBER($AD107),ABS($AB107)&gt;0),$AD107/$AB107,"")</f>
        <v/>
      </c>
      <c r="AW107" s="47" t="str">
        <f aca="false">IF(ISNUMBER($AD107),MAX(0,(1-0.55-Header!$O$3)*Header!$Q$3*$AQ107),"")</f>
        <v/>
      </c>
      <c r="AX107" s="51" t="str">
        <f aca="false">IF($A107="","",IF(TRIM(IF($A107="","Missing certificate ref. ","") &amp; IF($C107="","Missing effective date. ","") &amp; IF($D107="","Missing binding status. ","") &amp; IF($E107="","Missing movement type. ","") &amp; IF($I107="","Missing make. ","") &amp; IF($L107="","Missing vehicle class. ","") &amp; IF($M107="","Missing agreed value. ","") &amp; IF($N107="","Missing policy type. ","") &amp; IF($Q107="","Missing garaging state. ","") &amp; IF($R107="","Missing garaging ZIP. ","") &amp; IF($S107="","Missing cat zone. ","") &amp; IF($V107="","Missing valuation basis. ","") &amp; IF($W107="","Missing PD deductible. ","") &amp; IF($X107="","Missing liability limit. ","") &amp; IF($AB107="","Missing technical premium. ","") &amp; IF($AF107="","Missing surplus lines tax %. ",""))="","PASS","FAIL: "&amp;TRIM(IF($A107="","Missing certificate ref. ","") &amp; IF($C107="","Missing effective date. ","") &amp; IF($D107="","Missing binding status. ","") &amp; IF($E107="","Missing movement type. ","") &amp; IF($I107="","Missing make. ","") &amp; IF($L107="","Missing vehicle class. ","") &amp; IF($M107="","Missing agreed value. ","") &amp; IF($N107="","Missing policy type. ","") &amp; IF($Q107="","Missing garaging state. ","") &amp; IF($R107="","Missing garaging ZIP. ","") &amp; IF($S107="","Missing cat zone. ","") &amp; IF($V107="","Missing valuation basis. ","") &amp; IF($W107="","Missing PD deductible. ","") &amp; IF($X107="","Missing liability limit. ","") &amp; IF($AB107="","Missing technical premium. ","") &amp; IF($AF107="","Missing surplus lines tax %. ",""))))</f>
        <v/>
      </c>
      <c r="AY107" s="52" t="str">
        <f aca="false">IF($M107="","",IF(ISNUMBER($M107),IF($M107&gt;=Header!$C$18,"YES — refer","No"),""))</f>
        <v/>
      </c>
      <c r="AZ107" s="52" t="str">
        <f aca="false">IF($AD107="","",IF(ISNUMBER($AD107),IF($AD107&lt;Header!$C$20,"BELOW MIN PREMIUM","OK"),""))</f>
        <v/>
      </c>
      <c r="BA107" s="40"/>
      <c r="BB107" s="40"/>
      <c r="BC107" s="38"/>
      <c r="BE107" s="53" t="str">
        <f aca="false">IF(OR($A107="",$L107="",$H107=""),"",IF(AND(LEFT($L107,2)="06",$H107&gt;1945),"FAIL - pre-war class, year "&amp;$H107,IF(AND(LEFT($L107,2)="07",OR($H107&lt;1946,$H107&gt;1972)),"FAIL - 1946-72 class, year "&amp;$H107,IF(AND(LEFT($L107,2)="08",OR($H107&lt;1973,$H107&gt;1999)),"FAIL - 1973-99 class, year "&amp;$H107,IF(AND(LEFT($L107,2)="09",OR($H107&lt;2000,$H107&gt;2010)),"FAIL - 2000-10 class, year "&amp;$H107,"OK")))))</f>
        <v/>
      </c>
      <c r="BF107" s="53" t="str">
        <f aca="false">IF($AD107="","",IF(ROUND($AO107+$AP107+$AQ107-$AD107,2)=0,"OK","FAIL - out by "&amp;TEXT($AO107+$AP107+$AQ107-$AD107,"$0.00")))</f>
        <v/>
      </c>
    </row>
    <row r="108" customFormat="false" ht="15" hidden="false" customHeight="true" outlineLevel="0" collapsed="false">
      <c r="A108" s="54"/>
      <c r="B108" s="54"/>
      <c r="C108" s="55"/>
      <c r="D108" s="56"/>
      <c r="E108" s="56"/>
      <c r="F108" s="54"/>
      <c r="G108" s="41" t="str">
        <f aca="false">IF($A108="","",IF($C108="","",YEAR($C108)))</f>
        <v/>
      </c>
      <c r="H108" s="57"/>
      <c r="I108" s="54"/>
      <c r="J108" s="54"/>
      <c r="K108" s="54"/>
      <c r="L108" s="56"/>
      <c r="M108" s="58"/>
      <c r="N108" s="56"/>
      <c r="O108" s="54"/>
      <c r="P108" s="54"/>
      <c r="Q108" s="54"/>
      <c r="R108" s="54"/>
      <c r="S108" s="56"/>
      <c r="T108" s="44" t="str">
        <f aca="false">IF($A108="","",IF($S108="","",IFERROR(INDEX(Lists!$N$5:$N$16,MATCH($S108,Lists!$M$5:$M$16,0)),"?")))</f>
        <v/>
      </c>
      <c r="U108" s="54"/>
      <c r="V108" s="56"/>
      <c r="W108" s="54"/>
      <c r="X108" s="56"/>
      <c r="Y108" s="54"/>
      <c r="Z108" s="54"/>
      <c r="AA108" s="56"/>
      <c r="AB108" s="58"/>
      <c r="AC108" s="59"/>
      <c r="AD108" s="46" t="str">
        <f aca="false">IF(ISNUMBER($AB108),$AB108*(1+N($AC108)),"")</f>
        <v/>
      </c>
      <c r="AE108" s="58"/>
      <c r="AF108" s="58"/>
      <c r="AG108" s="59"/>
      <c r="AH108" s="47" t="str">
        <f aca="false">IF(ISNUMBER($AD108),($AD108+$AE108+$AF108)*$AG108,"")</f>
        <v/>
      </c>
      <c r="AI108" s="58"/>
      <c r="AJ108" s="46" t="str">
        <f aca="false">IF(ISNUMBER($AD108),SUM($AD108:$AH108),"")</f>
        <v/>
      </c>
      <c r="AK108" s="48" t="str">
        <f aca="false">IF(AND(ISNUMBER($AB108),ISNUMBER($AD108)),IF($AB108&gt;0,$AD108/$AB108,""),"")</f>
        <v/>
      </c>
      <c r="AL108" s="56"/>
      <c r="AM108" s="49" t="str">
        <f aca="false">IF(ISNUMBER($AD108),Header!$I$3,"")</f>
        <v/>
      </c>
      <c r="AN108" s="47" t="str">
        <f aca="false">IF(ISNUMBER($AD108),$AO108+$AP108,"")</f>
        <v/>
      </c>
      <c r="AO108" s="47" t="str">
        <f aca="false">IF(ISNUMBER($AD108),ROUND($AD108*Header!$K$3,2),"")</f>
        <v/>
      </c>
      <c r="AP108" s="47" t="str">
        <f aca="false">IF(ISNUMBER($AD108),ROUND($AD108*Header!$M$3,2),"")</f>
        <v/>
      </c>
      <c r="AQ108" s="46" t="str">
        <f aca="false">IF(ISNUMBER($AD108),ROUND($AD108,2)-$AO108-$AP108,"")</f>
        <v/>
      </c>
      <c r="AR108" s="47" t="str">
        <f aca="false">IF(ISNUMBER($AD108),IF(Header!$D$34="","?",$AD108*Header!$D$34),"")</f>
        <v/>
      </c>
      <c r="AS108" s="47" t="str">
        <f aca="false">IF(ISNUMBER($AB108),IF(Header!$D$34="","?",$AB108*Header!$D$34),"")</f>
        <v/>
      </c>
      <c r="AT108" s="50" t="str">
        <f aca="false">IF(AND(ISNUMBER($AB108),$M108&gt;0),$AB108/$M108*100,"")</f>
        <v/>
      </c>
      <c r="AU108" s="50" t="str">
        <f aca="false">IF(AND(ISNUMBER($AD108),$M108&gt;0),$AD108/$M108*100,"")</f>
        <v/>
      </c>
      <c r="AV108" s="48" t="str">
        <f aca="false">IF(AND(ISNUMBER($AB108),ISNUMBER($AD108),ABS($AB108)&gt;0),$AD108/$AB108,"")</f>
        <v/>
      </c>
      <c r="AW108" s="47" t="str">
        <f aca="false">IF(ISNUMBER($AD108),MAX(0,(1-0.55-Header!$O$3)*Header!$Q$3*$AQ108),"")</f>
        <v/>
      </c>
      <c r="AX108" s="51" t="str">
        <f aca="false">IF($A108="","",IF(TRIM(IF($A108="","Missing certificate ref. ","") &amp; IF($C108="","Missing effective date. ","") &amp; IF($D108="","Missing binding status. ","") &amp; IF($E108="","Missing movement type. ","") &amp; IF($I108="","Missing make. ","") &amp; IF($L108="","Missing vehicle class. ","") &amp; IF($M108="","Missing agreed value. ","") &amp; IF($N108="","Missing policy type. ","") &amp; IF($Q108="","Missing garaging state. ","") &amp; IF($R108="","Missing garaging ZIP. ","") &amp; IF($S108="","Missing cat zone. ","") &amp; IF($V108="","Missing valuation basis. ","") &amp; IF($W108="","Missing PD deductible. ","") &amp; IF($X108="","Missing liability limit. ","") &amp; IF($AB108="","Missing technical premium. ","") &amp; IF($AF108="","Missing surplus lines tax %. ",""))="","PASS","FAIL: "&amp;TRIM(IF($A108="","Missing certificate ref. ","") &amp; IF($C108="","Missing effective date. ","") &amp; IF($D108="","Missing binding status. ","") &amp; IF($E108="","Missing movement type. ","") &amp; IF($I108="","Missing make. ","") &amp; IF($L108="","Missing vehicle class. ","") &amp; IF($M108="","Missing agreed value. ","") &amp; IF($N108="","Missing policy type. ","") &amp; IF($Q108="","Missing garaging state. ","") &amp; IF($R108="","Missing garaging ZIP. ","") &amp; IF($S108="","Missing cat zone. ","") &amp; IF($V108="","Missing valuation basis. ","") &amp; IF($W108="","Missing PD deductible. ","") &amp; IF($X108="","Missing liability limit. ","") &amp; IF($AB108="","Missing technical premium. ","") &amp; IF($AF108="","Missing surplus lines tax %. ",""))))</f>
        <v/>
      </c>
      <c r="AY108" s="52" t="str">
        <f aca="false">IF($M108="","",IF(ISNUMBER($M108),IF($M108&gt;=Header!$C$18,"YES — refer","No"),""))</f>
        <v/>
      </c>
      <c r="AZ108" s="52" t="str">
        <f aca="false">IF($AD108="","",IF(ISNUMBER($AD108),IF($AD108&lt;Header!$C$20,"BELOW MIN PREMIUM","OK"),""))</f>
        <v/>
      </c>
      <c r="BA108" s="56"/>
      <c r="BB108" s="56"/>
      <c r="BC108" s="54"/>
      <c r="BE108" s="53" t="str">
        <f aca="false">IF(OR($A108="",$L108="",$H108=""),"",IF(AND(LEFT($L108,2)="06",$H108&gt;1945),"FAIL - pre-war class, year "&amp;$H108,IF(AND(LEFT($L108,2)="07",OR($H108&lt;1946,$H108&gt;1972)),"FAIL - 1946-72 class, year "&amp;$H108,IF(AND(LEFT($L108,2)="08",OR($H108&lt;1973,$H108&gt;1999)),"FAIL - 1973-99 class, year "&amp;$H108,IF(AND(LEFT($L108,2)="09",OR($H108&lt;2000,$H108&gt;2010)),"FAIL - 2000-10 class, year "&amp;$H108,"OK")))))</f>
        <v/>
      </c>
      <c r="BF108" s="53" t="str">
        <f aca="false">IF($AD108="","",IF(ROUND($AO108+$AP108+$AQ108-$AD108,2)=0,"OK","FAIL - out by "&amp;TEXT($AO108+$AP108+$AQ108-$AD108,"$0.00")))</f>
        <v/>
      </c>
    </row>
    <row r="109" customFormat="false" ht="15" hidden="false" customHeight="true" outlineLevel="0" collapsed="false">
      <c r="A109" s="38"/>
      <c r="B109" s="38"/>
      <c r="C109" s="39"/>
      <c r="D109" s="40"/>
      <c r="E109" s="40"/>
      <c r="F109" s="38"/>
      <c r="G109" s="41" t="str">
        <f aca="false">IF($A109="","",IF($C109="","",YEAR($C109)))</f>
        <v/>
      </c>
      <c r="H109" s="42"/>
      <c r="I109" s="38"/>
      <c r="J109" s="38"/>
      <c r="K109" s="38"/>
      <c r="L109" s="40"/>
      <c r="M109" s="43"/>
      <c r="N109" s="40"/>
      <c r="O109" s="38"/>
      <c r="P109" s="38"/>
      <c r="Q109" s="38"/>
      <c r="R109" s="38"/>
      <c r="S109" s="40"/>
      <c r="T109" s="44" t="str">
        <f aca="false">IF($A109="","",IF($S109="","",IFERROR(INDEX(Lists!$N$5:$N$16,MATCH($S109,Lists!$M$5:$M$16,0)),"?")))</f>
        <v/>
      </c>
      <c r="U109" s="38"/>
      <c r="V109" s="40"/>
      <c r="W109" s="38"/>
      <c r="X109" s="40"/>
      <c r="Y109" s="38"/>
      <c r="Z109" s="38"/>
      <c r="AA109" s="40"/>
      <c r="AB109" s="43"/>
      <c r="AC109" s="45"/>
      <c r="AD109" s="46" t="str">
        <f aca="false">IF(ISNUMBER($AB109),$AB109*(1+N($AC109)),"")</f>
        <v/>
      </c>
      <c r="AE109" s="43"/>
      <c r="AF109" s="43"/>
      <c r="AG109" s="45"/>
      <c r="AH109" s="47" t="str">
        <f aca="false">IF(ISNUMBER($AD109),($AD109+$AE109+$AF109)*$AG109,"")</f>
        <v/>
      </c>
      <c r="AI109" s="43"/>
      <c r="AJ109" s="46" t="str">
        <f aca="false">IF(ISNUMBER($AD109),SUM($AD109:$AH109),"")</f>
        <v/>
      </c>
      <c r="AK109" s="48" t="str">
        <f aca="false">IF(AND(ISNUMBER($AB109),ISNUMBER($AD109)),IF($AB109&gt;0,$AD109/$AB109,""),"")</f>
        <v/>
      </c>
      <c r="AL109" s="40"/>
      <c r="AM109" s="49" t="str">
        <f aca="false">IF(ISNUMBER($AD109),Header!$I$3,"")</f>
        <v/>
      </c>
      <c r="AN109" s="47" t="str">
        <f aca="false">IF(ISNUMBER($AD109),$AO109+$AP109,"")</f>
        <v/>
      </c>
      <c r="AO109" s="47" t="str">
        <f aca="false">IF(ISNUMBER($AD109),ROUND($AD109*Header!$K$3,2),"")</f>
        <v/>
      </c>
      <c r="AP109" s="47" t="str">
        <f aca="false">IF(ISNUMBER($AD109),ROUND($AD109*Header!$M$3,2),"")</f>
        <v/>
      </c>
      <c r="AQ109" s="46" t="str">
        <f aca="false">IF(ISNUMBER($AD109),ROUND($AD109,2)-$AO109-$AP109,"")</f>
        <v/>
      </c>
      <c r="AR109" s="47" t="str">
        <f aca="false">IF(ISNUMBER($AD109),IF(Header!$D$34="","?",$AD109*Header!$D$34),"")</f>
        <v/>
      </c>
      <c r="AS109" s="47" t="str">
        <f aca="false">IF(ISNUMBER($AB109),IF(Header!$D$34="","?",$AB109*Header!$D$34),"")</f>
        <v/>
      </c>
      <c r="AT109" s="50" t="str">
        <f aca="false">IF(AND(ISNUMBER($AB109),$M109&gt;0),$AB109/$M109*100,"")</f>
        <v/>
      </c>
      <c r="AU109" s="50" t="str">
        <f aca="false">IF(AND(ISNUMBER($AD109),$M109&gt;0),$AD109/$M109*100,"")</f>
        <v/>
      </c>
      <c r="AV109" s="48" t="str">
        <f aca="false">IF(AND(ISNUMBER($AB109),ISNUMBER($AD109),ABS($AB109)&gt;0),$AD109/$AB109,"")</f>
        <v/>
      </c>
      <c r="AW109" s="47" t="str">
        <f aca="false">IF(ISNUMBER($AD109),MAX(0,(1-0.55-Header!$O$3)*Header!$Q$3*$AQ109),"")</f>
        <v/>
      </c>
      <c r="AX109" s="51" t="str">
        <f aca="false">IF($A109="","",IF(TRIM(IF($A109="","Missing certificate ref. ","") &amp; IF($C109="","Missing effective date. ","") &amp; IF($D109="","Missing binding status. ","") &amp; IF($E109="","Missing movement type. ","") &amp; IF($I109="","Missing make. ","") &amp; IF($L109="","Missing vehicle class. ","") &amp; IF($M109="","Missing agreed value. ","") &amp; IF($N109="","Missing policy type. ","") &amp; IF($Q109="","Missing garaging state. ","") &amp; IF($R109="","Missing garaging ZIP. ","") &amp; IF($S109="","Missing cat zone. ","") &amp; IF($V109="","Missing valuation basis. ","") &amp; IF($W109="","Missing PD deductible. ","") &amp; IF($X109="","Missing liability limit. ","") &amp; IF($AB109="","Missing technical premium. ","") &amp; IF($AF109="","Missing surplus lines tax %. ",""))="","PASS","FAIL: "&amp;TRIM(IF($A109="","Missing certificate ref. ","") &amp; IF($C109="","Missing effective date. ","") &amp; IF($D109="","Missing binding status. ","") &amp; IF($E109="","Missing movement type. ","") &amp; IF($I109="","Missing make. ","") &amp; IF($L109="","Missing vehicle class. ","") &amp; IF($M109="","Missing agreed value. ","") &amp; IF($N109="","Missing policy type. ","") &amp; IF($Q109="","Missing garaging state. ","") &amp; IF($R109="","Missing garaging ZIP. ","") &amp; IF($S109="","Missing cat zone. ","") &amp; IF($V109="","Missing valuation basis. ","") &amp; IF($W109="","Missing PD deductible. ","") &amp; IF($X109="","Missing liability limit. ","") &amp; IF($AB109="","Missing technical premium. ","") &amp; IF($AF109="","Missing surplus lines tax %. ",""))))</f>
        <v/>
      </c>
      <c r="AY109" s="52" t="str">
        <f aca="false">IF($M109="","",IF(ISNUMBER($M109),IF($M109&gt;=Header!$C$18,"YES — refer","No"),""))</f>
        <v/>
      </c>
      <c r="AZ109" s="52" t="str">
        <f aca="false">IF($AD109="","",IF(ISNUMBER($AD109),IF($AD109&lt;Header!$C$20,"BELOW MIN PREMIUM","OK"),""))</f>
        <v/>
      </c>
      <c r="BA109" s="40"/>
      <c r="BB109" s="40"/>
      <c r="BC109" s="38"/>
      <c r="BE109" s="53" t="str">
        <f aca="false">IF(OR($A109="",$L109="",$H109=""),"",IF(AND(LEFT($L109,2)="06",$H109&gt;1945),"FAIL - pre-war class, year "&amp;$H109,IF(AND(LEFT($L109,2)="07",OR($H109&lt;1946,$H109&gt;1972)),"FAIL - 1946-72 class, year "&amp;$H109,IF(AND(LEFT($L109,2)="08",OR($H109&lt;1973,$H109&gt;1999)),"FAIL - 1973-99 class, year "&amp;$H109,IF(AND(LEFT($L109,2)="09",OR($H109&lt;2000,$H109&gt;2010)),"FAIL - 2000-10 class, year "&amp;$H109,"OK")))))</f>
        <v/>
      </c>
      <c r="BF109" s="53" t="str">
        <f aca="false">IF($AD109="","",IF(ROUND($AO109+$AP109+$AQ109-$AD109,2)=0,"OK","FAIL - out by "&amp;TEXT($AO109+$AP109+$AQ109-$AD109,"$0.00")))</f>
        <v/>
      </c>
    </row>
    <row r="110" customFormat="false" ht="15" hidden="false" customHeight="true" outlineLevel="0" collapsed="false">
      <c r="A110" s="54"/>
      <c r="B110" s="54"/>
      <c r="C110" s="55"/>
      <c r="D110" s="56"/>
      <c r="E110" s="56"/>
      <c r="F110" s="54"/>
      <c r="G110" s="41" t="str">
        <f aca="false">IF($A110="","",IF($C110="","",YEAR($C110)))</f>
        <v/>
      </c>
      <c r="H110" s="57"/>
      <c r="I110" s="54"/>
      <c r="J110" s="54"/>
      <c r="K110" s="54"/>
      <c r="L110" s="56"/>
      <c r="M110" s="58"/>
      <c r="N110" s="56"/>
      <c r="O110" s="54"/>
      <c r="P110" s="54"/>
      <c r="Q110" s="54"/>
      <c r="R110" s="54"/>
      <c r="S110" s="56"/>
      <c r="T110" s="44" t="str">
        <f aca="false">IF($A110="","",IF($S110="","",IFERROR(INDEX(Lists!$N$5:$N$16,MATCH($S110,Lists!$M$5:$M$16,0)),"?")))</f>
        <v/>
      </c>
      <c r="U110" s="54"/>
      <c r="V110" s="56"/>
      <c r="W110" s="54"/>
      <c r="X110" s="56"/>
      <c r="Y110" s="54"/>
      <c r="Z110" s="54"/>
      <c r="AA110" s="56"/>
      <c r="AB110" s="58"/>
      <c r="AC110" s="59"/>
      <c r="AD110" s="46" t="str">
        <f aca="false">IF(ISNUMBER($AB110),$AB110*(1+N($AC110)),"")</f>
        <v/>
      </c>
      <c r="AE110" s="58"/>
      <c r="AF110" s="58"/>
      <c r="AG110" s="59"/>
      <c r="AH110" s="47" t="str">
        <f aca="false">IF(ISNUMBER($AD110),($AD110+$AE110+$AF110)*$AG110,"")</f>
        <v/>
      </c>
      <c r="AI110" s="58"/>
      <c r="AJ110" s="46" t="str">
        <f aca="false">IF(ISNUMBER($AD110),SUM($AD110:$AH110),"")</f>
        <v/>
      </c>
      <c r="AK110" s="48" t="str">
        <f aca="false">IF(AND(ISNUMBER($AB110),ISNUMBER($AD110)),IF($AB110&gt;0,$AD110/$AB110,""),"")</f>
        <v/>
      </c>
      <c r="AL110" s="56"/>
      <c r="AM110" s="49" t="str">
        <f aca="false">IF(ISNUMBER($AD110),Header!$I$3,"")</f>
        <v/>
      </c>
      <c r="AN110" s="47" t="str">
        <f aca="false">IF(ISNUMBER($AD110),$AO110+$AP110,"")</f>
        <v/>
      </c>
      <c r="AO110" s="47" t="str">
        <f aca="false">IF(ISNUMBER($AD110),ROUND($AD110*Header!$K$3,2),"")</f>
        <v/>
      </c>
      <c r="AP110" s="47" t="str">
        <f aca="false">IF(ISNUMBER($AD110),ROUND($AD110*Header!$M$3,2),"")</f>
        <v/>
      </c>
      <c r="AQ110" s="46" t="str">
        <f aca="false">IF(ISNUMBER($AD110),ROUND($AD110,2)-$AO110-$AP110,"")</f>
        <v/>
      </c>
      <c r="AR110" s="47" t="str">
        <f aca="false">IF(ISNUMBER($AD110),IF(Header!$D$34="","?",$AD110*Header!$D$34),"")</f>
        <v/>
      </c>
      <c r="AS110" s="47" t="str">
        <f aca="false">IF(ISNUMBER($AB110),IF(Header!$D$34="","?",$AB110*Header!$D$34),"")</f>
        <v/>
      </c>
      <c r="AT110" s="50" t="str">
        <f aca="false">IF(AND(ISNUMBER($AB110),$M110&gt;0),$AB110/$M110*100,"")</f>
        <v/>
      </c>
      <c r="AU110" s="50" t="str">
        <f aca="false">IF(AND(ISNUMBER($AD110),$M110&gt;0),$AD110/$M110*100,"")</f>
        <v/>
      </c>
      <c r="AV110" s="48" t="str">
        <f aca="false">IF(AND(ISNUMBER($AB110),ISNUMBER($AD110),ABS($AB110)&gt;0),$AD110/$AB110,"")</f>
        <v/>
      </c>
      <c r="AW110" s="47" t="str">
        <f aca="false">IF(ISNUMBER($AD110),MAX(0,(1-0.55-Header!$O$3)*Header!$Q$3*$AQ110),"")</f>
        <v/>
      </c>
      <c r="AX110" s="51" t="str">
        <f aca="false">IF($A110="","",IF(TRIM(IF($A110="","Missing certificate ref. ","") &amp; IF($C110="","Missing effective date. ","") &amp; IF($D110="","Missing binding status. ","") &amp; IF($E110="","Missing movement type. ","") &amp; IF($I110="","Missing make. ","") &amp; IF($L110="","Missing vehicle class. ","") &amp; IF($M110="","Missing agreed value. ","") &amp; IF($N110="","Missing policy type. ","") &amp; IF($Q110="","Missing garaging state. ","") &amp; IF($R110="","Missing garaging ZIP. ","") &amp; IF($S110="","Missing cat zone. ","") &amp; IF($V110="","Missing valuation basis. ","") &amp; IF($W110="","Missing PD deductible. ","") &amp; IF($X110="","Missing liability limit. ","") &amp; IF($AB110="","Missing technical premium. ","") &amp; IF($AF110="","Missing surplus lines tax %. ",""))="","PASS","FAIL: "&amp;TRIM(IF($A110="","Missing certificate ref. ","") &amp; IF($C110="","Missing effective date. ","") &amp; IF($D110="","Missing binding status. ","") &amp; IF($E110="","Missing movement type. ","") &amp; IF($I110="","Missing make. ","") &amp; IF($L110="","Missing vehicle class. ","") &amp; IF($M110="","Missing agreed value. ","") &amp; IF($N110="","Missing policy type. ","") &amp; IF($Q110="","Missing garaging state. ","") &amp; IF($R110="","Missing garaging ZIP. ","") &amp; IF($S110="","Missing cat zone. ","") &amp; IF($V110="","Missing valuation basis. ","") &amp; IF($W110="","Missing PD deductible. ","") &amp; IF($X110="","Missing liability limit. ","") &amp; IF($AB110="","Missing technical premium. ","") &amp; IF($AF110="","Missing surplus lines tax %. ",""))))</f>
        <v/>
      </c>
      <c r="AY110" s="52" t="str">
        <f aca="false">IF($M110="","",IF(ISNUMBER($M110),IF($M110&gt;=Header!$C$18,"YES — refer","No"),""))</f>
        <v/>
      </c>
      <c r="AZ110" s="52" t="str">
        <f aca="false">IF($AD110="","",IF(ISNUMBER($AD110),IF($AD110&lt;Header!$C$20,"BELOW MIN PREMIUM","OK"),""))</f>
        <v/>
      </c>
      <c r="BA110" s="56"/>
      <c r="BB110" s="56"/>
      <c r="BC110" s="54"/>
      <c r="BE110" s="53" t="str">
        <f aca="false">IF(OR($A110="",$L110="",$H110=""),"",IF(AND(LEFT($L110,2)="06",$H110&gt;1945),"FAIL - pre-war class, year "&amp;$H110,IF(AND(LEFT($L110,2)="07",OR($H110&lt;1946,$H110&gt;1972)),"FAIL - 1946-72 class, year "&amp;$H110,IF(AND(LEFT($L110,2)="08",OR($H110&lt;1973,$H110&gt;1999)),"FAIL - 1973-99 class, year "&amp;$H110,IF(AND(LEFT($L110,2)="09",OR($H110&lt;2000,$H110&gt;2010)),"FAIL - 2000-10 class, year "&amp;$H110,"OK")))))</f>
        <v/>
      </c>
      <c r="BF110" s="53" t="str">
        <f aca="false">IF($AD110="","",IF(ROUND($AO110+$AP110+$AQ110-$AD110,2)=0,"OK","FAIL - out by "&amp;TEXT($AO110+$AP110+$AQ110-$AD110,"$0.00")))</f>
        <v/>
      </c>
    </row>
    <row r="111" customFormat="false" ht="15" hidden="false" customHeight="true" outlineLevel="0" collapsed="false">
      <c r="A111" s="38"/>
      <c r="B111" s="38"/>
      <c r="C111" s="39"/>
      <c r="D111" s="40"/>
      <c r="E111" s="40"/>
      <c r="F111" s="38"/>
      <c r="G111" s="41" t="str">
        <f aca="false">IF($A111="","",IF($C111="","",YEAR($C111)))</f>
        <v/>
      </c>
      <c r="H111" s="42"/>
      <c r="I111" s="38"/>
      <c r="J111" s="38"/>
      <c r="K111" s="38"/>
      <c r="L111" s="40"/>
      <c r="M111" s="43"/>
      <c r="N111" s="40"/>
      <c r="O111" s="38"/>
      <c r="P111" s="38"/>
      <c r="Q111" s="38"/>
      <c r="R111" s="38"/>
      <c r="S111" s="40"/>
      <c r="T111" s="44" t="str">
        <f aca="false">IF($A111="","",IF($S111="","",IFERROR(INDEX(Lists!$N$5:$N$16,MATCH($S111,Lists!$M$5:$M$16,0)),"?")))</f>
        <v/>
      </c>
      <c r="U111" s="38"/>
      <c r="V111" s="40"/>
      <c r="W111" s="38"/>
      <c r="X111" s="40"/>
      <c r="Y111" s="38"/>
      <c r="Z111" s="38"/>
      <c r="AA111" s="40"/>
      <c r="AB111" s="43"/>
      <c r="AC111" s="45"/>
      <c r="AD111" s="46" t="str">
        <f aca="false">IF(ISNUMBER($AB111),$AB111*(1+N($AC111)),"")</f>
        <v/>
      </c>
      <c r="AE111" s="43"/>
      <c r="AF111" s="43"/>
      <c r="AG111" s="45"/>
      <c r="AH111" s="47" t="str">
        <f aca="false">IF(ISNUMBER($AD111),($AD111+$AE111+$AF111)*$AG111,"")</f>
        <v/>
      </c>
      <c r="AI111" s="43"/>
      <c r="AJ111" s="46" t="str">
        <f aca="false">IF(ISNUMBER($AD111),SUM($AD111:$AH111),"")</f>
        <v/>
      </c>
      <c r="AK111" s="48" t="str">
        <f aca="false">IF(AND(ISNUMBER($AB111),ISNUMBER($AD111)),IF($AB111&gt;0,$AD111/$AB111,""),"")</f>
        <v/>
      </c>
      <c r="AL111" s="40"/>
      <c r="AM111" s="49" t="str">
        <f aca="false">IF(ISNUMBER($AD111),Header!$I$3,"")</f>
        <v/>
      </c>
      <c r="AN111" s="47" t="str">
        <f aca="false">IF(ISNUMBER($AD111),$AO111+$AP111,"")</f>
        <v/>
      </c>
      <c r="AO111" s="47" t="str">
        <f aca="false">IF(ISNUMBER($AD111),ROUND($AD111*Header!$K$3,2),"")</f>
        <v/>
      </c>
      <c r="AP111" s="47" t="str">
        <f aca="false">IF(ISNUMBER($AD111),ROUND($AD111*Header!$M$3,2),"")</f>
        <v/>
      </c>
      <c r="AQ111" s="46" t="str">
        <f aca="false">IF(ISNUMBER($AD111),ROUND($AD111,2)-$AO111-$AP111,"")</f>
        <v/>
      </c>
      <c r="AR111" s="47" t="str">
        <f aca="false">IF(ISNUMBER($AD111),IF(Header!$D$34="","?",$AD111*Header!$D$34),"")</f>
        <v/>
      </c>
      <c r="AS111" s="47" t="str">
        <f aca="false">IF(ISNUMBER($AB111),IF(Header!$D$34="","?",$AB111*Header!$D$34),"")</f>
        <v/>
      </c>
      <c r="AT111" s="50" t="str">
        <f aca="false">IF(AND(ISNUMBER($AB111),$M111&gt;0),$AB111/$M111*100,"")</f>
        <v/>
      </c>
      <c r="AU111" s="50" t="str">
        <f aca="false">IF(AND(ISNUMBER($AD111),$M111&gt;0),$AD111/$M111*100,"")</f>
        <v/>
      </c>
      <c r="AV111" s="48" t="str">
        <f aca="false">IF(AND(ISNUMBER($AB111),ISNUMBER($AD111),ABS($AB111)&gt;0),$AD111/$AB111,"")</f>
        <v/>
      </c>
      <c r="AW111" s="47" t="str">
        <f aca="false">IF(ISNUMBER($AD111),MAX(0,(1-0.55-Header!$O$3)*Header!$Q$3*$AQ111),"")</f>
        <v/>
      </c>
      <c r="AX111" s="51" t="str">
        <f aca="false">IF($A111="","",IF(TRIM(IF($A111="","Missing certificate ref. ","") &amp; IF($C111="","Missing effective date. ","") &amp; IF($D111="","Missing binding status. ","") &amp; IF($E111="","Missing movement type. ","") &amp; IF($I111="","Missing make. ","") &amp; IF($L111="","Missing vehicle class. ","") &amp; IF($M111="","Missing agreed value. ","") &amp; IF($N111="","Missing policy type. ","") &amp; IF($Q111="","Missing garaging state. ","") &amp; IF($R111="","Missing garaging ZIP. ","") &amp; IF($S111="","Missing cat zone. ","") &amp; IF($V111="","Missing valuation basis. ","") &amp; IF($W111="","Missing PD deductible. ","") &amp; IF($X111="","Missing liability limit. ","") &amp; IF($AB111="","Missing technical premium. ","") &amp; IF($AF111="","Missing surplus lines tax %. ",""))="","PASS","FAIL: "&amp;TRIM(IF($A111="","Missing certificate ref. ","") &amp; IF($C111="","Missing effective date. ","") &amp; IF($D111="","Missing binding status. ","") &amp; IF($E111="","Missing movement type. ","") &amp; IF($I111="","Missing make. ","") &amp; IF($L111="","Missing vehicle class. ","") &amp; IF($M111="","Missing agreed value. ","") &amp; IF($N111="","Missing policy type. ","") &amp; IF($Q111="","Missing garaging state. ","") &amp; IF($R111="","Missing garaging ZIP. ","") &amp; IF($S111="","Missing cat zone. ","") &amp; IF($V111="","Missing valuation basis. ","") &amp; IF($W111="","Missing PD deductible. ","") &amp; IF($X111="","Missing liability limit. ","") &amp; IF($AB111="","Missing technical premium. ","") &amp; IF($AF111="","Missing surplus lines tax %. ",""))))</f>
        <v/>
      </c>
      <c r="AY111" s="52" t="str">
        <f aca="false">IF($M111="","",IF(ISNUMBER($M111),IF($M111&gt;=Header!$C$18,"YES — refer","No"),""))</f>
        <v/>
      </c>
      <c r="AZ111" s="52" t="str">
        <f aca="false">IF($AD111="","",IF(ISNUMBER($AD111),IF($AD111&lt;Header!$C$20,"BELOW MIN PREMIUM","OK"),""))</f>
        <v/>
      </c>
      <c r="BA111" s="40"/>
      <c r="BB111" s="40"/>
      <c r="BC111" s="38"/>
      <c r="BE111" s="53" t="str">
        <f aca="false">IF(OR($A111="",$L111="",$H111=""),"",IF(AND(LEFT($L111,2)="06",$H111&gt;1945),"FAIL - pre-war class, year "&amp;$H111,IF(AND(LEFT($L111,2)="07",OR($H111&lt;1946,$H111&gt;1972)),"FAIL - 1946-72 class, year "&amp;$H111,IF(AND(LEFT($L111,2)="08",OR($H111&lt;1973,$H111&gt;1999)),"FAIL - 1973-99 class, year "&amp;$H111,IF(AND(LEFT($L111,2)="09",OR($H111&lt;2000,$H111&gt;2010)),"FAIL - 2000-10 class, year "&amp;$H111,"OK")))))</f>
        <v/>
      </c>
      <c r="BF111" s="53" t="str">
        <f aca="false">IF($AD111="","",IF(ROUND($AO111+$AP111+$AQ111-$AD111,2)=0,"OK","FAIL - out by "&amp;TEXT($AO111+$AP111+$AQ111-$AD111,"$0.00")))</f>
        <v/>
      </c>
    </row>
    <row r="112" customFormat="false" ht="15" hidden="false" customHeight="true" outlineLevel="0" collapsed="false">
      <c r="A112" s="54"/>
      <c r="B112" s="54"/>
      <c r="C112" s="55"/>
      <c r="D112" s="56"/>
      <c r="E112" s="56"/>
      <c r="F112" s="54"/>
      <c r="G112" s="41" t="str">
        <f aca="false">IF($A112="","",IF($C112="","",YEAR($C112)))</f>
        <v/>
      </c>
      <c r="H112" s="57"/>
      <c r="I112" s="54"/>
      <c r="J112" s="54"/>
      <c r="K112" s="54"/>
      <c r="L112" s="56"/>
      <c r="M112" s="58"/>
      <c r="N112" s="56"/>
      <c r="O112" s="54"/>
      <c r="P112" s="54"/>
      <c r="Q112" s="54"/>
      <c r="R112" s="54"/>
      <c r="S112" s="56"/>
      <c r="T112" s="44" t="str">
        <f aca="false">IF($A112="","",IF($S112="","",IFERROR(INDEX(Lists!$N$5:$N$16,MATCH($S112,Lists!$M$5:$M$16,0)),"?")))</f>
        <v/>
      </c>
      <c r="U112" s="54"/>
      <c r="V112" s="56"/>
      <c r="W112" s="54"/>
      <c r="X112" s="56"/>
      <c r="Y112" s="54"/>
      <c r="Z112" s="54"/>
      <c r="AA112" s="56"/>
      <c r="AB112" s="58"/>
      <c r="AC112" s="59"/>
      <c r="AD112" s="46" t="str">
        <f aca="false">IF(ISNUMBER($AB112),$AB112*(1+N($AC112)),"")</f>
        <v/>
      </c>
      <c r="AE112" s="58"/>
      <c r="AF112" s="58"/>
      <c r="AG112" s="59"/>
      <c r="AH112" s="47" t="str">
        <f aca="false">IF(ISNUMBER($AD112),($AD112+$AE112+$AF112)*$AG112,"")</f>
        <v/>
      </c>
      <c r="AI112" s="58"/>
      <c r="AJ112" s="46" t="str">
        <f aca="false">IF(ISNUMBER($AD112),SUM($AD112:$AH112),"")</f>
        <v/>
      </c>
      <c r="AK112" s="48" t="str">
        <f aca="false">IF(AND(ISNUMBER($AB112),ISNUMBER($AD112)),IF($AB112&gt;0,$AD112/$AB112,""),"")</f>
        <v/>
      </c>
      <c r="AL112" s="56"/>
      <c r="AM112" s="49" t="str">
        <f aca="false">IF(ISNUMBER($AD112),Header!$I$3,"")</f>
        <v/>
      </c>
      <c r="AN112" s="47" t="str">
        <f aca="false">IF(ISNUMBER($AD112),$AO112+$AP112,"")</f>
        <v/>
      </c>
      <c r="AO112" s="47" t="str">
        <f aca="false">IF(ISNUMBER($AD112),ROUND($AD112*Header!$K$3,2),"")</f>
        <v/>
      </c>
      <c r="AP112" s="47" t="str">
        <f aca="false">IF(ISNUMBER($AD112),ROUND($AD112*Header!$M$3,2),"")</f>
        <v/>
      </c>
      <c r="AQ112" s="46" t="str">
        <f aca="false">IF(ISNUMBER($AD112),ROUND($AD112,2)-$AO112-$AP112,"")</f>
        <v/>
      </c>
      <c r="AR112" s="47" t="str">
        <f aca="false">IF(ISNUMBER($AD112),IF(Header!$D$34="","?",$AD112*Header!$D$34),"")</f>
        <v/>
      </c>
      <c r="AS112" s="47" t="str">
        <f aca="false">IF(ISNUMBER($AB112),IF(Header!$D$34="","?",$AB112*Header!$D$34),"")</f>
        <v/>
      </c>
      <c r="AT112" s="50" t="str">
        <f aca="false">IF(AND(ISNUMBER($AB112),$M112&gt;0),$AB112/$M112*100,"")</f>
        <v/>
      </c>
      <c r="AU112" s="50" t="str">
        <f aca="false">IF(AND(ISNUMBER($AD112),$M112&gt;0),$AD112/$M112*100,"")</f>
        <v/>
      </c>
      <c r="AV112" s="48" t="str">
        <f aca="false">IF(AND(ISNUMBER($AB112),ISNUMBER($AD112),ABS($AB112)&gt;0),$AD112/$AB112,"")</f>
        <v/>
      </c>
      <c r="AW112" s="47" t="str">
        <f aca="false">IF(ISNUMBER($AD112),MAX(0,(1-0.55-Header!$O$3)*Header!$Q$3*$AQ112),"")</f>
        <v/>
      </c>
      <c r="AX112" s="51" t="str">
        <f aca="false">IF($A112="","",IF(TRIM(IF($A112="","Missing certificate ref. ","") &amp; IF($C112="","Missing effective date. ","") &amp; IF($D112="","Missing binding status. ","") &amp; IF($E112="","Missing movement type. ","") &amp; IF($I112="","Missing make. ","") &amp; IF($L112="","Missing vehicle class. ","") &amp; IF($M112="","Missing agreed value. ","") &amp; IF($N112="","Missing policy type. ","") &amp; IF($Q112="","Missing garaging state. ","") &amp; IF($R112="","Missing garaging ZIP. ","") &amp; IF($S112="","Missing cat zone. ","") &amp; IF($V112="","Missing valuation basis. ","") &amp; IF($W112="","Missing PD deductible. ","") &amp; IF($X112="","Missing liability limit. ","") &amp; IF($AB112="","Missing technical premium. ","") &amp; IF($AF112="","Missing surplus lines tax %. ",""))="","PASS","FAIL: "&amp;TRIM(IF($A112="","Missing certificate ref. ","") &amp; IF($C112="","Missing effective date. ","") &amp; IF($D112="","Missing binding status. ","") &amp; IF($E112="","Missing movement type. ","") &amp; IF($I112="","Missing make. ","") &amp; IF($L112="","Missing vehicle class. ","") &amp; IF($M112="","Missing agreed value. ","") &amp; IF($N112="","Missing policy type. ","") &amp; IF($Q112="","Missing garaging state. ","") &amp; IF($R112="","Missing garaging ZIP. ","") &amp; IF($S112="","Missing cat zone. ","") &amp; IF($V112="","Missing valuation basis. ","") &amp; IF($W112="","Missing PD deductible. ","") &amp; IF($X112="","Missing liability limit. ","") &amp; IF($AB112="","Missing technical premium. ","") &amp; IF($AF112="","Missing surplus lines tax %. ",""))))</f>
        <v/>
      </c>
      <c r="AY112" s="52" t="str">
        <f aca="false">IF($M112="","",IF(ISNUMBER($M112),IF($M112&gt;=Header!$C$18,"YES — refer","No"),""))</f>
        <v/>
      </c>
      <c r="AZ112" s="52" t="str">
        <f aca="false">IF($AD112="","",IF(ISNUMBER($AD112),IF($AD112&lt;Header!$C$20,"BELOW MIN PREMIUM","OK"),""))</f>
        <v/>
      </c>
      <c r="BA112" s="56"/>
      <c r="BB112" s="56"/>
      <c r="BC112" s="54"/>
      <c r="BE112" s="53" t="str">
        <f aca="false">IF(OR($A112="",$L112="",$H112=""),"",IF(AND(LEFT($L112,2)="06",$H112&gt;1945),"FAIL - pre-war class, year "&amp;$H112,IF(AND(LEFT($L112,2)="07",OR($H112&lt;1946,$H112&gt;1972)),"FAIL - 1946-72 class, year "&amp;$H112,IF(AND(LEFT($L112,2)="08",OR($H112&lt;1973,$H112&gt;1999)),"FAIL - 1973-99 class, year "&amp;$H112,IF(AND(LEFT($L112,2)="09",OR($H112&lt;2000,$H112&gt;2010)),"FAIL - 2000-10 class, year "&amp;$H112,"OK")))))</f>
        <v/>
      </c>
      <c r="BF112" s="53" t="str">
        <f aca="false">IF($AD112="","",IF(ROUND($AO112+$AP112+$AQ112-$AD112,2)=0,"OK","FAIL - out by "&amp;TEXT($AO112+$AP112+$AQ112-$AD112,"$0.00")))</f>
        <v/>
      </c>
    </row>
    <row r="113" customFormat="false" ht="15" hidden="false" customHeight="true" outlineLevel="0" collapsed="false">
      <c r="A113" s="38"/>
      <c r="B113" s="38"/>
      <c r="C113" s="39"/>
      <c r="D113" s="40"/>
      <c r="E113" s="40"/>
      <c r="F113" s="38"/>
      <c r="G113" s="41" t="str">
        <f aca="false">IF($A113="","",IF($C113="","",YEAR($C113)))</f>
        <v/>
      </c>
      <c r="H113" s="42"/>
      <c r="I113" s="38"/>
      <c r="J113" s="38"/>
      <c r="K113" s="38"/>
      <c r="L113" s="40"/>
      <c r="M113" s="43"/>
      <c r="N113" s="40"/>
      <c r="O113" s="38"/>
      <c r="P113" s="38"/>
      <c r="Q113" s="38"/>
      <c r="R113" s="38"/>
      <c r="S113" s="40"/>
      <c r="T113" s="44" t="str">
        <f aca="false">IF($A113="","",IF($S113="","",IFERROR(INDEX(Lists!$N$5:$N$16,MATCH($S113,Lists!$M$5:$M$16,0)),"?")))</f>
        <v/>
      </c>
      <c r="U113" s="38"/>
      <c r="V113" s="40"/>
      <c r="W113" s="38"/>
      <c r="X113" s="40"/>
      <c r="Y113" s="38"/>
      <c r="Z113" s="38"/>
      <c r="AA113" s="40"/>
      <c r="AB113" s="43"/>
      <c r="AC113" s="45"/>
      <c r="AD113" s="46" t="str">
        <f aca="false">IF(ISNUMBER($AB113),$AB113*(1+N($AC113)),"")</f>
        <v/>
      </c>
      <c r="AE113" s="43"/>
      <c r="AF113" s="43"/>
      <c r="AG113" s="45"/>
      <c r="AH113" s="47" t="str">
        <f aca="false">IF(ISNUMBER($AD113),($AD113+$AE113+$AF113)*$AG113,"")</f>
        <v/>
      </c>
      <c r="AI113" s="43"/>
      <c r="AJ113" s="46" t="str">
        <f aca="false">IF(ISNUMBER($AD113),SUM($AD113:$AH113),"")</f>
        <v/>
      </c>
      <c r="AK113" s="48" t="str">
        <f aca="false">IF(AND(ISNUMBER($AB113),ISNUMBER($AD113)),IF($AB113&gt;0,$AD113/$AB113,""),"")</f>
        <v/>
      </c>
      <c r="AL113" s="40"/>
      <c r="AM113" s="49" t="str">
        <f aca="false">IF(ISNUMBER($AD113),Header!$I$3,"")</f>
        <v/>
      </c>
      <c r="AN113" s="47" t="str">
        <f aca="false">IF(ISNUMBER($AD113),$AO113+$AP113,"")</f>
        <v/>
      </c>
      <c r="AO113" s="47" t="str">
        <f aca="false">IF(ISNUMBER($AD113),ROUND($AD113*Header!$K$3,2),"")</f>
        <v/>
      </c>
      <c r="AP113" s="47" t="str">
        <f aca="false">IF(ISNUMBER($AD113),ROUND($AD113*Header!$M$3,2),"")</f>
        <v/>
      </c>
      <c r="AQ113" s="46" t="str">
        <f aca="false">IF(ISNUMBER($AD113),ROUND($AD113,2)-$AO113-$AP113,"")</f>
        <v/>
      </c>
      <c r="AR113" s="47" t="str">
        <f aca="false">IF(ISNUMBER($AD113),IF(Header!$D$34="","?",$AD113*Header!$D$34),"")</f>
        <v/>
      </c>
      <c r="AS113" s="47" t="str">
        <f aca="false">IF(ISNUMBER($AB113),IF(Header!$D$34="","?",$AB113*Header!$D$34),"")</f>
        <v/>
      </c>
      <c r="AT113" s="50" t="str">
        <f aca="false">IF(AND(ISNUMBER($AB113),$M113&gt;0),$AB113/$M113*100,"")</f>
        <v/>
      </c>
      <c r="AU113" s="50" t="str">
        <f aca="false">IF(AND(ISNUMBER($AD113),$M113&gt;0),$AD113/$M113*100,"")</f>
        <v/>
      </c>
      <c r="AV113" s="48" t="str">
        <f aca="false">IF(AND(ISNUMBER($AB113),ISNUMBER($AD113),ABS($AB113)&gt;0),$AD113/$AB113,"")</f>
        <v/>
      </c>
      <c r="AW113" s="47" t="str">
        <f aca="false">IF(ISNUMBER($AD113),MAX(0,(1-0.55-Header!$O$3)*Header!$Q$3*$AQ113),"")</f>
        <v/>
      </c>
      <c r="AX113" s="51" t="str">
        <f aca="false">IF($A113="","",IF(TRIM(IF($A113="","Missing certificate ref. ","") &amp; IF($C113="","Missing effective date. ","") &amp; IF($D113="","Missing binding status. ","") &amp; IF($E113="","Missing movement type. ","") &amp; IF($I113="","Missing make. ","") &amp; IF($L113="","Missing vehicle class. ","") &amp; IF($M113="","Missing agreed value. ","") &amp; IF($N113="","Missing policy type. ","") &amp; IF($Q113="","Missing garaging state. ","") &amp; IF($R113="","Missing garaging ZIP. ","") &amp; IF($S113="","Missing cat zone. ","") &amp; IF($V113="","Missing valuation basis. ","") &amp; IF($W113="","Missing PD deductible. ","") &amp; IF($X113="","Missing liability limit. ","") &amp; IF($AB113="","Missing technical premium. ","") &amp; IF($AF113="","Missing surplus lines tax %. ",""))="","PASS","FAIL: "&amp;TRIM(IF($A113="","Missing certificate ref. ","") &amp; IF($C113="","Missing effective date. ","") &amp; IF($D113="","Missing binding status. ","") &amp; IF($E113="","Missing movement type. ","") &amp; IF($I113="","Missing make. ","") &amp; IF($L113="","Missing vehicle class. ","") &amp; IF($M113="","Missing agreed value. ","") &amp; IF($N113="","Missing policy type. ","") &amp; IF($Q113="","Missing garaging state. ","") &amp; IF($R113="","Missing garaging ZIP. ","") &amp; IF($S113="","Missing cat zone. ","") &amp; IF($V113="","Missing valuation basis. ","") &amp; IF($W113="","Missing PD deductible. ","") &amp; IF($X113="","Missing liability limit. ","") &amp; IF($AB113="","Missing technical premium. ","") &amp; IF($AF113="","Missing surplus lines tax %. ",""))))</f>
        <v/>
      </c>
      <c r="AY113" s="52" t="str">
        <f aca="false">IF($M113="","",IF(ISNUMBER($M113),IF($M113&gt;=Header!$C$18,"YES — refer","No"),""))</f>
        <v/>
      </c>
      <c r="AZ113" s="52" t="str">
        <f aca="false">IF($AD113="","",IF(ISNUMBER($AD113),IF($AD113&lt;Header!$C$20,"BELOW MIN PREMIUM","OK"),""))</f>
        <v/>
      </c>
      <c r="BA113" s="40"/>
      <c r="BB113" s="40"/>
      <c r="BC113" s="38"/>
      <c r="BE113" s="53" t="str">
        <f aca="false">IF(OR($A113="",$L113="",$H113=""),"",IF(AND(LEFT($L113,2)="06",$H113&gt;1945),"FAIL - pre-war class, year "&amp;$H113,IF(AND(LEFT($L113,2)="07",OR($H113&lt;1946,$H113&gt;1972)),"FAIL - 1946-72 class, year "&amp;$H113,IF(AND(LEFT($L113,2)="08",OR($H113&lt;1973,$H113&gt;1999)),"FAIL - 1973-99 class, year "&amp;$H113,IF(AND(LEFT($L113,2)="09",OR($H113&lt;2000,$H113&gt;2010)),"FAIL - 2000-10 class, year "&amp;$H113,"OK")))))</f>
        <v/>
      </c>
      <c r="BF113" s="53" t="str">
        <f aca="false">IF($AD113="","",IF(ROUND($AO113+$AP113+$AQ113-$AD113,2)=0,"OK","FAIL - out by "&amp;TEXT($AO113+$AP113+$AQ113-$AD113,"$0.00")))</f>
        <v/>
      </c>
    </row>
    <row r="114" customFormat="false" ht="15" hidden="false" customHeight="true" outlineLevel="0" collapsed="false">
      <c r="A114" s="54"/>
      <c r="B114" s="54"/>
      <c r="C114" s="55"/>
      <c r="D114" s="56"/>
      <c r="E114" s="56"/>
      <c r="F114" s="54"/>
      <c r="G114" s="41" t="str">
        <f aca="false">IF($A114="","",IF($C114="","",YEAR($C114)))</f>
        <v/>
      </c>
      <c r="H114" s="57"/>
      <c r="I114" s="54"/>
      <c r="J114" s="54"/>
      <c r="K114" s="54"/>
      <c r="L114" s="56"/>
      <c r="M114" s="58"/>
      <c r="N114" s="56"/>
      <c r="O114" s="54"/>
      <c r="P114" s="54"/>
      <c r="Q114" s="54"/>
      <c r="R114" s="54"/>
      <c r="S114" s="56"/>
      <c r="T114" s="44" t="str">
        <f aca="false">IF($A114="","",IF($S114="","",IFERROR(INDEX(Lists!$N$5:$N$16,MATCH($S114,Lists!$M$5:$M$16,0)),"?")))</f>
        <v/>
      </c>
      <c r="U114" s="54"/>
      <c r="V114" s="56"/>
      <c r="W114" s="54"/>
      <c r="X114" s="56"/>
      <c r="Y114" s="54"/>
      <c r="Z114" s="54"/>
      <c r="AA114" s="56"/>
      <c r="AB114" s="58"/>
      <c r="AC114" s="59"/>
      <c r="AD114" s="46" t="str">
        <f aca="false">IF(ISNUMBER($AB114),$AB114*(1+N($AC114)),"")</f>
        <v/>
      </c>
      <c r="AE114" s="58"/>
      <c r="AF114" s="58"/>
      <c r="AG114" s="59"/>
      <c r="AH114" s="47" t="str">
        <f aca="false">IF(ISNUMBER($AD114),($AD114+$AE114+$AF114)*$AG114,"")</f>
        <v/>
      </c>
      <c r="AI114" s="58"/>
      <c r="AJ114" s="46" t="str">
        <f aca="false">IF(ISNUMBER($AD114),SUM($AD114:$AH114),"")</f>
        <v/>
      </c>
      <c r="AK114" s="48" t="str">
        <f aca="false">IF(AND(ISNUMBER($AB114),ISNUMBER($AD114)),IF($AB114&gt;0,$AD114/$AB114,""),"")</f>
        <v/>
      </c>
      <c r="AL114" s="56"/>
      <c r="AM114" s="49" t="str">
        <f aca="false">IF(ISNUMBER($AD114),Header!$I$3,"")</f>
        <v/>
      </c>
      <c r="AN114" s="47" t="str">
        <f aca="false">IF(ISNUMBER($AD114),$AO114+$AP114,"")</f>
        <v/>
      </c>
      <c r="AO114" s="47" t="str">
        <f aca="false">IF(ISNUMBER($AD114),ROUND($AD114*Header!$K$3,2),"")</f>
        <v/>
      </c>
      <c r="AP114" s="47" t="str">
        <f aca="false">IF(ISNUMBER($AD114),ROUND($AD114*Header!$M$3,2),"")</f>
        <v/>
      </c>
      <c r="AQ114" s="46" t="str">
        <f aca="false">IF(ISNUMBER($AD114),ROUND($AD114,2)-$AO114-$AP114,"")</f>
        <v/>
      </c>
      <c r="AR114" s="47" t="str">
        <f aca="false">IF(ISNUMBER($AD114),IF(Header!$D$34="","?",$AD114*Header!$D$34),"")</f>
        <v/>
      </c>
      <c r="AS114" s="47" t="str">
        <f aca="false">IF(ISNUMBER($AB114),IF(Header!$D$34="","?",$AB114*Header!$D$34),"")</f>
        <v/>
      </c>
      <c r="AT114" s="50" t="str">
        <f aca="false">IF(AND(ISNUMBER($AB114),$M114&gt;0),$AB114/$M114*100,"")</f>
        <v/>
      </c>
      <c r="AU114" s="50" t="str">
        <f aca="false">IF(AND(ISNUMBER($AD114),$M114&gt;0),$AD114/$M114*100,"")</f>
        <v/>
      </c>
      <c r="AV114" s="48" t="str">
        <f aca="false">IF(AND(ISNUMBER($AB114),ISNUMBER($AD114),ABS($AB114)&gt;0),$AD114/$AB114,"")</f>
        <v/>
      </c>
      <c r="AW114" s="47" t="str">
        <f aca="false">IF(ISNUMBER($AD114),MAX(0,(1-0.55-Header!$O$3)*Header!$Q$3*$AQ114),"")</f>
        <v/>
      </c>
      <c r="AX114" s="51" t="str">
        <f aca="false">IF($A114="","",IF(TRIM(IF($A114="","Missing certificate ref. ","") &amp; IF($C114="","Missing effective date. ","") &amp; IF($D114="","Missing binding status. ","") &amp; IF($E114="","Missing movement type. ","") &amp; IF($I114="","Missing make. ","") &amp; IF($L114="","Missing vehicle class. ","") &amp; IF($M114="","Missing agreed value. ","") &amp; IF($N114="","Missing policy type. ","") &amp; IF($Q114="","Missing garaging state. ","") &amp; IF($R114="","Missing garaging ZIP. ","") &amp; IF($S114="","Missing cat zone. ","") &amp; IF($V114="","Missing valuation basis. ","") &amp; IF($W114="","Missing PD deductible. ","") &amp; IF($X114="","Missing liability limit. ","") &amp; IF($AB114="","Missing technical premium. ","") &amp; IF($AF114="","Missing surplus lines tax %. ",""))="","PASS","FAIL: "&amp;TRIM(IF($A114="","Missing certificate ref. ","") &amp; IF($C114="","Missing effective date. ","") &amp; IF($D114="","Missing binding status. ","") &amp; IF($E114="","Missing movement type. ","") &amp; IF($I114="","Missing make. ","") &amp; IF($L114="","Missing vehicle class. ","") &amp; IF($M114="","Missing agreed value. ","") &amp; IF($N114="","Missing policy type. ","") &amp; IF($Q114="","Missing garaging state. ","") &amp; IF($R114="","Missing garaging ZIP. ","") &amp; IF($S114="","Missing cat zone. ","") &amp; IF($V114="","Missing valuation basis. ","") &amp; IF($W114="","Missing PD deductible. ","") &amp; IF($X114="","Missing liability limit. ","") &amp; IF($AB114="","Missing technical premium. ","") &amp; IF($AF114="","Missing surplus lines tax %. ",""))))</f>
        <v/>
      </c>
      <c r="AY114" s="52" t="str">
        <f aca="false">IF($M114="","",IF(ISNUMBER($M114),IF($M114&gt;=Header!$C$18,"YES — refer","No"),""))</f>
        <v/>
      </c>
      <c r="AZ114" s="52" t="str">
        <f aca="false">IF($AD114="","",IF(ISNUMBER($AD114),IF($AD114&lt;Header!$C$20,"BELOW MIN PREMIUM","OK"),""))</f>
        <v/>
      </c>
      <c r="BA114" s="56"/>
      <c r="BB114" s="56"/>
      <c r="BC114" s="54"/>
      <c r="BE114" s="53" t="str">
        <f aca="false">IF(OR($A114="",$L114="",$H114=""),"",IF(AND(LEFT($L114,2)="06",$H114&gt;1945),"FAIL - pre-war class, year "&amp;$H114,IF(AND(LEFT($L114,2)="07",OR($H114&lt;1946,$H114&gt;1972)),"FAIL - 1946-72 class, year "&amp;$H114,IF(AND(LEFT($L114,2)="08",OR($H114&lt;1973,$H114&gt;1999)),"FAIL - 1973-99 class, year "&amp;$H114,IF(AND(LEFT($L114,2)="09",OR($H114&lt;2000,$H114&gt;2010)),"FAIL - 2000-10 class, year "&amp;$H114,"OK")))))</f>
        <v/>
      </c>
      <c r="BF114" s="53" t="str">
        <f aca="false">IF($AD114="","",IF(ROUND($AO114+$AP114+$AQ114-$AD114,2)=0,"OK","FAIL - out by "&amp;TEXT($AO114+$AP114+$AQ114-$AD114,"$0.00")))</f>
        <v/>
      </c>
    </row>
    <row r="115" customFormat="false" ht="15" hidden="false" customHeight="true" outlineLevel="0" collapsed="false">
      <c r="A115" s="38"/>
      <c r="B115" s="38"/>
      <c r="C115" s="39"/>
      <c r="D115" s="40"/>
      <c r="E115" s="40"/>
      <c r="F115" s="38"/>
      <c r="G115" s="41" t="str">
        <f aca="false">IF($A115="","",IF($C115="","",YEAR($C115)))</f>
        <v/>
      </c>
      <c r="H115" s="42"/>
      <c r="I115" s="38"/>
      <c r="J115" s="38"/>
      <c r="K115" s="38"/>
      <c r="L115" s="40"/>
      <c r="M115" s="43"/>
      <c r="N115" s="40"/>
      <c r="O115" s="38"/>
      <c r="P115" s="38"/>
      <c r="Q115" s="38"/>
      <c r="R115" s="38"/>
      <c r="S115" s="40"/>
      <c r="T115" s="44" t="str">
        <f aca="false">IF($A115="","",IF($S115="","",IFERROR(INDEX(Lists!$N$5:$N$16,MATCH($S115,Lists!$M$5:$M$16,0)),"?")))</f>
        <v/>
      </c>
      <c r="U115" s="38"/>
      <c r="V115" s="40"/>
      <c r="W115" s="38"/>
      <c r="X115" s="40"/>
      <c r="Y115" s="38"/>
      <c r="Z115" s="38"/>
      <c r="AA115" s="40"/>
      <c r="AB115" s="43"/>
      <c r="AC115" s="45"/>
      <c r="AD115" s="46" t="str">
        <f aca="false">IF(ISNUMBER($AB115),$AB115*(1+N($AC115)),"")</f>
        <v/>
      </c>
      <c r="AE115" s="43"/>
      <c r="AF115" s="43"/>
      <c r="AG115" s="45"/>
      <c r="AH115" s="47" t="str">
        <f aca="false">IF(ISNUMBER($AD115),($AD115+$AE115+$AF115)*$AG115,"")</f>
        <v/>
      </c>
      <c r="AI115" s="43"/>
      <c r="AJ115" s="46" t="str">
        <f aca="false">IF(ISNUMBER($AD115),SUM($AD115:$AH115),"")</f>
        <v/>
      </c>
      <c r="AK115" s="48" t="str">
        <f aca="false">IF(AND(ISNUMBER($AB115),ISNUMBER($AD115)),IF($AB115&gt;0,$AD115/$AB115,""),"")</f>
        <v/>
      </c>
      <c r="AL115" s="40"/>
      <c r="AM115" s="49" t="str">
        <f aca="false">IF(ISNUMBER($AD115),Header!$I$3,"")</f>
        <v/>
      </c>
      <c r="AN115" s="47" t="str">
        <f aca="false">IF(ISNUMBER($AD115),$AO115+$AP115,"")</f>
        <v/>
      </c>
      <c r="AO115" s="47" t="str">
        <f aca="false">IF(ISNUMBER($AD115),ROUND($AD115*Header!$K$3,2),"")</f>
        <v/>
      </c>
      <c r="AP115" s="47" t="str">
        <f aca="false">IF(ISNUMBER($AD115),ROUND($AD115*Header!$M$3,2),"")</f>
        <v/>
      </c>
      <c r="AQ115" s="46" t="str">
        <f aca="false">IF(ISNUMBER($AD115),ROUND($AD115,2)-$AO115-$AP115,"")</f>
        <v/>
      </c>
      <c r="AR115" s="47" t="str">
        <f aca="false">IF(ISNUMBER($AD115),IF(Header!$D$34="","?",$AD115*Header!$D$34),"")</f>
        <v/>
      </c>
      <c r="AS115" s="47" t="str">
        <f aca="false">IF(ISNUMBER($AB115),IF(Header!$D$34="","?",$AB115*Header!$D$34),"")</f>
        <v/>
      </c>
      <c r="AT115" s="50" t="str">
        <f aca="false">IF(AND(ISNUMBER($AB115),$M115&gt;0),$AB115/$M115*100,"")</f>
        <v/>
      </c>
      <c r="AU115" s="50" t="str">
        <f aca="false">IF(AND(ISNUMBER($AD115),$M115&gt;0),$AD115/$M115*100,"")</f>
        <v/>
      </c>
      <c r="AV115" s="48" t="str">
        <f aca="false">IF(AND(ISNUMBER($AB115),ISNUMBER($AD115),ABS($AB115)&gt;0),$AD115/$AB115,"")</f>
        <v/>
      </c>
      <c r="AW115" s="47" t="str">
        <f aca="false">IF(ISNUMBER($AD115),MAX(0,(1-0.55-Header!$O$3)*Header!$Q$3*$AQ115),"")</f>
        <v/>
      </c>
      <c r="AX115" s="51" t="str">
        <f aca="false">IF($A115="","",IF(TRIM(IF($A115="","Missing certificate ref. ","") &amp; IF($C115="","Missing effective date. ","") &amp; IF($D115="","Missing binding status. ","") &amp; IF($E115="","Missing movement type. ","") &amp; IF($I115="","Missing make. ","") &amp; IF($L115="","Missing vehicle class. ","") &amp; IF($M115="","Missing agreed value. ","") &amp; IF($N115="","Missing policy type. ","") &amp; IF($Q115="","Missing garaging state. ","") &amp; IF($R115="","Missing garaging ZIP. ","") &amp; IF($S115="","Missing cat zone. ","") &amp; IF($V115="","Missing valuation basis. ","") &amp; IF($W115="","Missing PD deductible. ","") &amp; IF($X115="","Missing liability limit. ","") &amp; IF($AB115="","Missing technical premium. ","") &amp; IF($AF115="","Missing surplus lines tax %. ",""))="","PASS","FAIL: "&amp;TRIM(IF($A115="","Missing certificate ref. ","") &amp; IF($C115="","Missing effective date. ","") &amp; IF($D115="","Missing binding status. ","") &amp; IF($E115="","Missing movement type. ","") &amp; IF($I115="","Missing make. ","") &amp; IF($L115="","Missing vehicle class. ","") &amp; IF($M115="","Missing agreed value. ","") &amp; IF($N115="","Missing policy type. ","") &amp; IF($Q115="","Missing garaging state. ","") &amp; IF($R115="","Missing garaging ZIP. ","") &amp; IF($S115="","Missing cat zone. ","") &amp; IF($V115="","Missing valuation basis. ","") &amp; IF($W115="","Missing PD deductible. ","") &amp; IF($X115="","Missing liability limit. ","") &amp; IF($AB115="","Missing technical premium. ","") &amp; IF($AF115="","Missing surplus lines tax %. ",""))))</f>
        <v/>
      </c>
      <c r="AY115" s="52" t="str">
        <f aca="false">IF($M115="","",IF(ISNUMBER($M115),IF($M115&gt;=Header!$C$18,"YES — refer","No"),""))</f>
        <v/>
      </c>
      <c r="AZ115" s="52" t="str">
        <f aca="false">IF($AD115="","",IF(ISNUMBER($AD115),IF($AD115&lt;Header!$C$20,"BELOW MIN PREMIUM","OK"),""))</f>
        <v/>
      </c>
      <c r="BA115" s="40"/>
      <c r="BB115" s="40"/>
      <c r="BC115" s="38"/>
      <c r="BE115" s="53" t="str">
        <f aca="false">IF(OR($A115="",$L115="",$H115=""),"",IF(AND(LEFT($L115,2)="06",$H115&gt;1945),"FAIL - pre-war class, year "&amp;$H115,IF(AND(LEFT($L115,2)="07",OR($H115&lt;1946,$H115&gt;1972)),"FAIL - 1946-72 class, year "&amp;$H115,IF(AND(LEFT($L115,2)="08",OR($H115&lt;1973,$H115&gt;1999)),"FAIL - 1973-99 class, year "&amp;$H115,IF(AND(LEFT($L115,2)="09",OR($H115&lt;2000,$H115&gt;2010)),"FAIL - 2000-10 class, year "&amp;$H115,"OK")))))</f>
        <v/>
      </c>
      <c r="BF115" s="53" t="str">
        <f aca="false">IF($AD115="","",IF(ROUND($AO115+$AP115+$AQ115-$AD115,2)=0,"OK","FAIL - out by "&amp;TEXT($AO115+$AP115+$AQ115-$AD115,"$0.00")))</f>
        <v/>
      </c>
    </row>
    <row r="116" customFormat="false" ht="15" hidden="false" customHeight="true" outlineLevel="0" collapsed="false">
      <c r="A116" s="54"/>
      <c r="B116" s="54"/>
      <c r="C116" s="55"/>
      <c r="D116" s="56"/>
      <c r="E116" s="56"/>
      <c r="F116" s="54"/>
      <c r="G116" s="41" t="str">
        <f aca="false">IF($A116="","",IF($C116="","",YEAR($C116)))</f>
        <v/>
      </c>
      <c r="H116" s="57"/>
      <c r="I116" s="54"/>
      <c r="J116" s="54"/>
      <c r="K116" s="54"/>
      <c r="L116" s="56"/>
      <c r="M116" s="58"/>
      <c r="N116" s="56"/>
      <c r="O116" s="54"/>
      <c r="P116" s="54"/>
      <c r="Q116" s="54"/>
      <c r="R116" s="54"/>
      <c r="S116" s="56"/>
      <c r="T116" s="44" t="str">
        <f aca="false">IF($A116="","",IF($S116="","",IFERROR(INDEX(Lists!$N$5:$N$16,MATCH($S116,Lists!$M$5:$M$16,0)),"?")))</f>
        <v/>
      </c>
      <c r="U116" s="54"/>
      <c r="V116" s="56"/>
      <c r="W116" s="54"/>
      <c r="X116" s="56"/>
      <c r="Y116" s="54"/>
      <c r="Z116" s="54"/>
      <c r="AA116" s="56"/>
      <c r="AB116" s="58"/>
      <c r="AC116" s="59"/>
      <c r="AD116" s="46" t="str">
        <f aca="false">IF(ISNUMBER($AB116),$AB116*(1+N($AC116)),"")</f>
        <v/>
      </c>
      <c r="AE116" s="58"/>
      <c r="AF116" s="58"/>
      <c r="AG116" s="59"/>
      <c r="AH116" s="47" t="str">
        <f aca="false">IF(ISNUMBER($AD116),($AD116+$AE116+$AF116)*$AG116,"")</f>
        <v/>
      </c>
      <c r="AI116" s="58"/>
      <c r="AJ116" s="46" t="str">
        <f aca="false">IF(ISNUMBER($AD116),SUM($AD116:$AH116),"")</f>
        <v/>
      </c>
      <c r="AK116" s="48" t="str">
        <f aca="false">IF(AND(ISNUMBER($AB116),ISNUMBER($AD116)),IF($AB116&gt;0,$AD116/$AB116,""),"")</f>
        <v/>
      </c>
      <c r="AL116" s="56"/>
      <c r="AM116" s="49" t="str">
        <f aca="false">IF(ISNUMBER($AD116),Header!$I$3,"")</f>
        <v/>
      </c>
      <c r="AN116" s="47" t="str">
        <f aca="false">IF(ISNUMBER($AD116),$AO116+$AP116,"")</f>
        <v/>
      </c>
      <c r="AO116" s="47" t="str">
        <f aca="false">IF(ISNUMBER($AD116),ROUND($AD116*Header!$K$3,2),"")</f>
        <v/>
      </c>
      <c r="AP116" s="47" t="str">
        <f aca="false">IF(ISNUMBER($AD116),ROUND($AD116*Header!$M$3,2),"")</f>
        <v/>
      </c>
      <c r="AQ116" s="46" t="str">
        <f aca="false">IF(ISNUMBER($AD116),ROUND($AD116,2)-$AO116-$AP116,"")</f>
        <v/>
      </c>
      <c r="AR116" s="47" t="str">
        <f aca="false">IF(ISNUMBER($AD116),IF(Header!$D$34="","?",$AD116*Header!$D$34),"")</f>
        <v/>
      </c>
      <c r="AS116" s="47" t="str">
        <f aca="false">IF(ISNUMBER($AB116),IF(Header!$D$34="","?",$AB116*Header!$D$34),"")</f>
        <v/>
      </c>
      <c r="AT116" s="50" t="str">
        <f aca="false">IF(AND(ISNUMBER($AB116),$M116&gt;0),$AB116/$M116*100,"")</f>
        <v/>
      </c>
      <c r="AU116" s="50" t="str">
        <f aca="false">IF(AND(ISNUMBER($AD116),$M116&gt;0),$AD116/$M116*100,"")</f>
        <v/>
      </c>
      <c r="AV116" s="48" t="str">
        <f aca="false">IF(AND(ISNUMBER($AB116),ISNUMBER($AD116),ABS($AB116)&gt;0),$AD116/$AB116,"")</f>
        <v/>
      </c>
      <c r="AW116" s="47" t="str">
        <f aca="false">IF(ISNUMBER($AD116),MAX(0,(1-0.55-Header!$O$3)*Header!$Q$3*$AQ116),"")</f>
        <v/>
      </c>
      <c r="AX116" s="51" t="str">
        <f aca="false">IF($A116="","",IF(TRIM(IF($A116="","Missing certificate ref. ","") &amp; IF($C116="","Missing effective date. ","") &amp; IF($D116="","Missing binding status. ","") &amp; IF($E116="","Missing movement type. ","") &amp; IF($I116="","Missing make. ","") &amp; IF($L116="","Missing vehicle class. ","") &amp; IF($M116="","Missing agreed value. ","") &amp; IF($N116="","Missing policy type. ","") &amp; IF($Q116="","Missing garaging state. ","") &amp; IF($R116="","Missing garaging ZIP. ","") &amp; IF($S116="","Missing cat zone. ","") &amp; IF($V116="","Missing valuation basis. ","") &amp; IF($W116="","Missing PD deductible. ","") &amp; IF($X116="","Missing liability limit. ","") &amp; IF($AB116="","Missing technical premium. ","") &amp; IF($AF116="","Missing surplus lines tax %. ",""))="","PASS","FAIL: "&amp;TRIM(IF($A116="","Missing certificate ref. ","") &amp; IF($C116="","Missing effective date. ","") &amp; IF($D116="","Missing binding status. ","") &amp; IF($E116="","Missing movement type. ","") &amp; IF($I116="","Missing make. ","") &amp; IF($L116="","Missing vehicle class. ","") &amp; IF($M116="","Missing agreed value. ","") &amp; IF($N116="","Missing policy type. ","") &amp; IF($Q116="","Missing garaging state. ","") &amp; IF($R116="","Missing garaging ZIP. ","") &amp; IF($S116="","Missing cat zone. ","") &amp; IF($V116="","Missing valuation basis. ","") &amp; IF($W116="","Missing PD deductible. ","") &amp; IF($X116="","Missing liability limit. ","") &amp; IF($AB116="","Missing technical premium. ","") &amp; IF($AF116="","Missing surplus lines tax %. ",""))))</f>
        <v/>
      </c>
      <c r="AY116" s="52" t="str">
        <f aca="false">IF($M116="","",IF(ISNUMBER($M116),IF($M116&gt;=Header!$C$18,"YES — refer","No"),""))</f>
        <v/>
      </c>
      <c r="AZ116" s="52" t="str">
        <f aca="false">IF($AD116="","",IF(ISNUMBER($AD116),IF($AD116&lt;Header!$C$20,"BELOW MIN PREMIUM","OK"),""))</f>
        <v/>
      </c>
      <c r="BA116" s="56"/>
      <c r="BB116" s="56"/>
      <c r="BC116" s="54"/>
      <c r="BE116" s="53" t="str">
        <f aca="false">IF(OR($A116="",$L116="",$H116=""),"",IF(AND(LEFT($L116,2)="06",$H116&gt;1945),"FAIL - pre-war class, year "&amp;$H116,IF(AND(LEFT($L116,2)="07",OR($H116&lt;1946,$H116&gt;1972)),"FAIL - 1946-72 class, year "&amp;$H116,IF(AND(LEFT($L116,2)="08",OR($H116&lt;1973,$H116&gt;1999)),"FAIL - 1973-99 class, year "&amp;$H116,IF(AND(LEFT($L116,2)="09",OR($H116&lt;2000,$H116&gt;2010)),"FAIL - 2000-10 class, year "&amp;$H116,"OK")))))</f>
        <v/>
      </c>
      <c r="BF116" s="53" t="str">
        <f aca="false">IF($AD116="","",IF(ROUND($AO116+$AP116+$AQ116-$AD116,2)=0,"OK","FAIL - out by "&amp;TEXT($AO116+$AP116+$AQ116-$AD116,"$0.00")))</f>
        <v/>
      </c>
    </row>
    <row r="117" customFormat="false" ht="15" hidden="false" customHeight="true" outlineLevel="0" collapsed="false">
      <c r="A117" s="38"/>
      <c r="B117" s="38"/>
      <c r="C117" s="39"/>
      <c r="D117" s="40"/>
      <c r="E117" s="40"/>
      <c r="F117" s="38"/>
      <c r="G117" s="41" t="str">
        <f aca="false">IF($A117="","",IF($C117="","",YEAR($C117)))</f>
        <v/>
      </c>
      <c r="H117" s="42"/>
      <c r="I117" s="38"/>
      <c r="J117" s="38"/>
      <c r="K117" s="38"/>
      <c r="L117" s="40"/>
      <c r="M117" s="43"/>
      <c r="N117" s="40"/>
      <c r="O117" s="38"/>
      <c r="P117" s="38"/>
      <c r="Q117" s="38"/>
      <c r="R117" s="38"/>
      <c r="S117" s="40"/>
      <c r="T117" s="44" t="str">
        <f aca="false">IF($A117="","",IF($S117="","",IFERROR(INDEX(Lists!$N$5:$N$16,MATCH($S117,Lists!$M$5:$M$16,0)),"?")))</f>
        <v/>
      </c>
      <c r="U117" s="38"/>
      <c r="V117" s="40"/>
      <c r="W117" s="38"/>
      <c r="X117" s="40"/>
      <c r="Y117" s="38"/>
      <c r="Z117" s="38"/>
      <c r="AA117" s="40"/>
      <c r="AB117" s="43"/>
      <c r="AC117" s="45"/>
      <c r="AD117" s="46" t="str">
        <f aca="false">IF(ISNUMBER($AB117),$AB117*(1+N($AC117)),"")</f>
        <v/>
      </c>
      <c r="AE117" s="43"/>
      <c r="AF117" s="43"/>
      <c r="AG117" s="45"/>
      <c r="AH117" s="47" t="str">
        <f aca="false">IF(ISNUMBER($AD117),($AD117+$AE117+$AF117)*$AG117,"")</f>
        <v/>
      </c>
      <c r="AI117" s="43"/>
      <c r="AJ117" s="46" t="str">
        <f aca="false">IF(ISNUMBER($AD117),SUM($AD117:$AH117),"")</f>
        <v/>
      </c>
      <c r="AK117" s="48" t="str">
        <f aca="false">IF(AND(ISNUMBER($AB117),ISNUMBER($AD117)),IF($AB117&gt;0,$AD117/$AB117,""),"")</f>
        <v/>
      </c>
      <c r="AL117" s="40"/>
      <c r="AM117" s="49" t="str">
        <f aca="false">IF(ISNUMBER($AD117),Header!$I$3,"")</f>
        <v/>
      </c>
      <c r="AN117" s="47" t="str">
        <f aca="false">IF(ISNUMBER($AD117),$AO117+$AP117,"")</f>
        <v/>
      </c>
      <c r="AO117" s="47" t="str">
        <f aca="false">IF(ISNUMBER($AD117),ROUND($AD117*Header!$K$3,2),"")</f>
        <v/>
      </c>
      <c r="AP117" s="47" t="str">
        <f aca="false">IF(ISNUMBER($AD117),ROUND($AD117*Header!$M$3,2),"")</f>
        <v/>
      </c>
      <c r="AQ117" s="46" t="str">
        <f aca="false">IF(ISNUMBER($AD117),ROUND($AD117,2)-$AO117-$AP117,"")</f>
        <v/>
      </c>
      <c r="AR117" s="47" t="str">
        <f aca="false">IF(ISNUMBER($AD117),IF(Header!$D$34="","?",$AD117*Header!$D$34),"")</f>
        <v/>
      </c>
      <c r="AS117" s="47" t="str">
        <f aca="false">IF(ISNUMBER($AB117),IF(Header!$D$34="","?",$AB117*Header!$D$34),"")</f>
        <v/>
      </c>
      <c r="AT117" s="50" t="str">
        <f aca="false">IF(AND(ISNUMBER($AB117),$M117&gt;0),$AB117/$M117*100,"")</f>
        <v/>
      </c>
      <c r="AU117" s="50" t="str">
        <f aca="false">IF(AND(ISNUMBER($AD117),$M117&gt;0),$AD117/$M117*100,"")</f>
        <v/>
      </c>
      <c r="AV117" s="48" t="str">
        <f aca="false">IF(AND(ISNUMBER($AB117),ISNUMBER($AD117),ABS($AB117)&gt;0),$AD117/$AB117,"")</f>
        <v/>
      </c>
      <c r="AW117" s="47" t="str">
        <f aca="false">IF(ISNUMBER($AD117),MAX(0,(1-0.55-Header!$O$3)*Header!$Q$3*$AQ117),"")</f>
        <v/>
      </c>
      <c r="AX117" s="51" t="str">
        <f aca="false">IF($A117="","",IF(TRIM(IF($A117="","Missing certificate ref. ","") &amp; IF($C117="","Missing effective date. ","") &amp; IF($D117="","Missing binding status. ","") &amp; IF($E117="","Missing movement type. ","") &amp; IF($I117="","Missing make. ","") &amp; IF($L117="","Missing vehicle class. ","") &amp; IF($M117="","Missing agreed value. ","") &amp; IF($N117="","Missing policy type. ","") &amp; IF($Q117="","Missing garaging state. ","") &amp; IF($R117="","Missing garaging ZIP. ","") &amp; IF($S117="","Missing cat zone. ","") &amp; IF($V117="","Missing valuation basis. ","") &amp; IF($W117="","Missing PD deductible. ","") &amp; IF($X117="","Missing liability limit. ","") &amp; IF($AB117="","Missing technical premium. ","") &amp; IF($AF117="","Missing surplus lines tax %. ",""))="","PASS","FAIL: "&amp;TRIM(IF($A117="","Missing certificate ref. ","") &amp; IF($C117="","Missing effective date. ","") &amp; IF($D117="","Missing binding status. ","") &amp; IF($E117="","Missing movement type. ","") &amp; IF($I117="","Missing make. ","") &amp; IF($L117="","Missing vehicle class. ","") &amp; IF($M117="","Missing agreed value. ","") &amp; IF($N117="","Missing policy type. ","") &amp; IF($Q117="","Missing garaging state. ","") &amp; IF($R117="","Missing garaging ZIP. ","") &amp; IF($S117="","Missing cat zone. ","") &amp; IF($V117="","Missing valuation basis. ","") &amp; IF($W117="","Missing PD deductible. ","") &amp; IF($X117="","Missing liability limit. ","") &amp; IF($AB117="","Missing technical premium. ","") &amp; IF($AF117="","Missing surplus lines tax %. ",""))))</f>
        <v/>
      </c>
      <c r="AY117" s="52" t="str">
        <f aca="false">IF($M117="","",IF(ISNUMBER($M117),IF($M117&gt;=Header!$C$18,"YES — refer","No"),""))</f>
        <v/>
      </c>
      <c r="AZ117" s="52" t="str">
        <f aca="false">IF($AD117="","",IF(ISNUMBER($AD117),IF($AD117&lt;Header!$C$20,"BELOW MIN PREMIUM","OK"),""))</f>
        <v/>
      </c>
      <c r="BA117" s="40"/>
      <c r="BB117" s="40"/>
      <c r="BC117" s="38"/>
      <c r="BE117" s="53" t="str">
        <f aca="false">IF(OR($A117="",$L117="",$H117=""),"",IF(AND(LEFT($L117,2)="06",$H117&gt;1945),"FAIL - pre-war class, year "&amp;$H117,IF(AND(LEFT($L117,2)="07",OR($H117&lt;1946,$H117&gt;1972)),"FAIL - 1946-72 class, year "&amp;$H117,IF(AND(LEFT($L117,2)="08",OR($H117&lt;1973,$H117&gt;1999)),"FAIL - 1973-99 class, year "&amp;$H117,IF(AND(LEFT($L117,2)="09",OR($H117&lt;2000,$H117&gt;2010)),"FAIL - 2000-10 class, year "&amp;$H117,"OK")))))</f>
        <v/>
      </c>
      <c r="BF117" s="53" t="str">
        <f aca="false">IF($AD117="","",IF(ROUND($AO117+$AP117+$AQ117-$AD117,2)=0,"OK","FAIL - out by "&amp;TEXT($AO117+$AP117+$AQ117-$AD117,"$0.00")))</f>
        <v/>
      </c>
    </row>
    <row r="118" customFormat="false" ht="15" hidden="false" customHeight="true" outlineLevel="0" collapsed="false">
      <c r="A118" s="54"/>
      <c r="B118" s="54"/>
      <c r="C118" s="55"/>
      <c r="D118" s="56"/>
      <c r="E118" s="56"/>
      <c r="F118" s="54"/>
      <c r="G118" s="41" t="str">
        <f aca="false">IF($A118="","",IF($C118="","",YEAR($C118)))</f>
        <v/>
      </c>
      <c r="H118" s="57"/>
      <c r="I118" s="54"/>
      <c r="J118" s="54"/>
      <c r="K118" s="54"/>
      <c r="L118" s="56"/>
      <c r="M118" s="58"/>
      <c r="N118" s="56"/>
      <c r="O118" s="54"/>
      <c r="P118" s="54"/>
      <c r="Q118" s="54"/>
      <c r="R118" s="54"/>
      <c r="S118" s="56"/>
      <c r="T118" s="44" t="str">
        <f aca="false">IF($A118="","",IF($S118="","",IFERROR(INDEX(Lists!$N$5:$N$16,MATCH($S118,Lists!$M$5:$M$16,0)),"?")))</f>
        <v/>
      </c>
      <c r="U118" s="54"/>
      <c r="V118" s="56"/>
      <c r="W118" s="54"/>
      <c r="X118" s="56"/>
      <c r="Y118" s="54"/>
      <c r="Z118" s="54"/>
      <c r="AA118" s="56"/>
      <c r="AB118" s="58"/>
      <c r="AC118" s="59"/>
      <c r="AD118" s="46" t="str">
        <f aca="false">IF(ISNUMBER($AB118),$AB118*(1+N($AC118)),"")</f>
        <v/>
      </c>
      <c r="AE118" s="58"/>
      <c r="AF118" s="58"/>
      <c r="AG118" s="59"/>
      <c r="AH118" s="47" t="str">
        <f aca="false">IF(ISNUMBER($AD118),($AD118+$AE118+$AF118)*$AG118,"")</f>
        <v/>
      </c>
      <c r="AI118" s="58"/>
      <c r="AJ118" s="46" t="str">
        <f aca="false">IF(ISNUMBER($AD118),SUM($AD118:$AH118),"")</f>
        <v/>
      </c>
      <c r="AK118" s="48" t="str">
        <f aca="false">IF(AND(ISNUMBER($AB118),ISNUMBER($AD118)),IF($AB118&gt;0,$AD118/$AB118,""),"")</f>
        <v/>
      </c>
      <c r="AL118" s="56"/>
      <c r="AM118" s="49" t="str">
        <f aca="false">IF(ISNUMBER($AD118),Header!$I$3,"")</f>
        <v/>
      </c>
      <c r="AN118" s="47" t="str">
        <f aca="false">IF(ISNUMBER($AD118),$AO118+$AP118,"")</f>
        <v/>
      </c>
      <c r="AO118" s="47" t="str">
        <f aca="false">IF(ISNUMBER($AD118),ROUND($AD118*Header!$K$3,2),"")</f>
        <v/>
      </c>
      <c r="AP118" s="47" t="str">
        <f aca="false">IF(ISNUMBER($AD118),ROUND($AD118*Header!$M$3,2),"")</f>
        <v/>
      </c>
      <c r="AQ118" s="46" t="str">
        <f aca="false">IF(ISNUMBER($AD118),ROUND($AD118,2)-$AO118-$AP118,"")</f>
        <v/>
      </c>
      <c r="AR118" s="47" t="str">
        <f aca="false">IF(ISNUMBER($AD118),IF(Header!$D$34="","?",$AD118*Header!$D$34),"")</f>
        <v/>
      </c>
      <c r="AS118" s="47" t="str">
        <f aca="false">IF(ISNUMBER($AB118),IF(Header!$D$34="","?",$AB118*Header!$D$34),"")</f>
        <v/>
      </c>
      <c r="AT118" s="50" t="str">
        <f aca="false">IF(AND(ISNUMBER($AB118),$M118&gt;0),$AB118/$M118*100,"")</f>
        <v/>
      </c>
      <c r="AU118" s="50" t="str">
        <f aca="false">IF(AND(ISNUMBER($AD118),$M118&gt;0),$AD118/$M118*100,"")</f>
        <v/>
      </c>
      <c r="AV118" s="48" t="str">
        <f aca="false">IF(AND(ISNUMBER($AB118),ISNUMBER($AD118),ABS($AB118)&gt;0),$AD118/$AB118,"")</f>
        <v/>
      </c>
      <c r="AW118" s="47" t="str">
        <f aca="false">IF(ISNUMBER($AD118),MAX(0,(1-0.55-Header!$O$3)*Header!$Q$3*$AQ118),"")</f>
        <v/>
      </c>
      <c r="AX118" s="51" t="str">
        <f aca="false">IF($A118="","",IF(TRIM(IF($A118="","Missing certificate ref. ","") &amp; IF($C118="","Missing effective date. ","") &amp; IF($D118="","Missing binding status. ","") &amp; IF($E118="","Missing movement type. ","") &amp; IF($I118="","Missing make. ","") &amp; IF($L118="","Missing vehicle class. ","") &amp; IF($M118="","Missing agreed value. ","") &amp; IF($N118="","Missing policy type. ","") &amp; IF($Q118="","Missing garaging state. ","") &amp; IF($R118="","Missing garaging ZIP. ","") &amp; IF($S118="","Missing cat zone. ","") &amp; IF($V118="","Missing valuation basis. ","") &amp; IF($W118="","Missing PD deductible. ","") &amp; IF($X118="","Missing liability limit. ","") &amp; IF($AB118="","Missing technical premium. ","") &amp; IF($AF118="","Missing surplus lines tax %. ",""))="","PASS","FAIL: "&amp;TRIM(IF($A118="","Missing certificate ref. ","") &amp; IF($C118="","Missing effective date. ","") &amp; IF($D118="","Missing binding status. ","") &amp; IF($E118="","Missing movement type. ","") &amp; IF($I118="","Missing make. ","") &amp; IF($L118="","Missing vehicle class. ","") &amp; IF($M118="","Missing agreed value. ","") &amp; IF($N118="","Missing policy type. ","") &amp; IF($Q118="","Missing garaging state. ","") &amp; IF($R118="","Missing garaging ZIP. ","") &amp; IF($S118="","Missing cat zone. ","") &amp; IF($V118="","Missing valuation basis. ","") &amp; IF($W118="","Missing PD deductible. ","") &amp; IF($X118="","Missing liability limit. ","") &amp; IF($AB118="","Missing technical premium. ","") &amp; IF($AF118="","Missing surplus lines tax %. ",""))))</f>
        <v/>
      </c>
      <c r="AY118" s="52" t="str">
        <f aca="false">IF($M118="","",IF(ISNUMBER($M118),IF($M118&gt;=Header!$C$18,"YES — refer","No"),""))</f>
        <v/>
      </c>
      <c r="AZ118" s="52" t="str">
        <f aca="false">IF($AD118="","",IF(ISNUMBER($AD118),IF($AD118&lt;Header!$C$20,"BELOW MIN PREMIUM","OK"),""))</f>
        <v/>
      </c>
      <c r="BA118" s="56"/>
      <c r="BB118" s="56"/>
      <c r="BC118" s="54"/>
      <c r="BE118" s="53" t="str">
        <f aca="false">IF(OR($A118="",$L118="",$H118=""),"",IF(AND(LEFT($L118,2)="06",$H118&gt;1945),"FAIL - pre-war class, year "&amp;$H118,IF(AND(LEFT($L118,2)="07",OR($H118&lt;1946,$H118&gt;1972)),"FAIL - 1946-72 class, year "&amp;$H118,IF(AND(LEFT($L118,2)="08",OR($H118&lt;1973,$H118&gt;1999)),"FAIL - 1973-99 class, year "&amp;$H118,IF(AND(LEFT($L118,2)="09",OR($H118&lt;2000,$H118&gt;2010)),"FAIL - 2000-10 class, year "&amp;$H118,"OK")))))</f>
        <v/>
      </c>
      <c r="BF118" s="53" t="str">
        <f aca="false">IF($AD118="","",IF(ROUND($AO118+$AP118+$AQ118-$AD118,2)=0,"OK","FAIL - out by "&amp;TEXT($AO118+$AP118+$AQ118-$AD118,"$0.00")))</f>
        <v/>
      </c>
    </row>
    <row r="119" customFormat="false" ht="15" hidden="false" customHeight="true" outlineLevel="0" collapsed="false">
      <c r="A119" s="38"/>
      <c r="B119" s="38"/>
      <c r="C119" s="39"/>
      <c r="D119" s="40"/>
      <c r="E119" s="40"/>
      <c r="F119" s="38"/>
      <c r="G119" s="41" t="str">
        <f aca="false">IF($A119="","",IF($C119="","",YEAR($C119)))</f>
        <v/>
      </c>
      <c r="H119" s="42"/>
      <c r="I119" s="38"/>
      <c r="J119" s="38"/>
      <c r="K119" s="38"/>
      <c r="L119" s="40"/>
      <c r="M119" s="43"/>
      <c r="N119" s="40"/>
      <c r="O119" s="38"/>
      <c r="P119" s="38"/>
      <c r="Q119" s="38"/>
      <c r="R119" s="38"/>
      <c r="S119" s="40"/>
      <c r="T119" s="44" t="str">
        <f aca="false">IF($A119="","",IF($S119="","",IFERROR(INDEX(Lists!$N$5:$N$16,MATCH($S119,Lists!$M$5:$M$16,0)),"?")))</f>
        <v/>
      </c>
      <c r="U119" s="38"/>
      <c r="V119" s="40"/>
      <c r="W119" s="38"/>
      <c r="X119" s="40"/>
      <c r="Y119" s="38"/>
      <c r="Z119" s="38"/>
      <c r="AA119" s="40"/>
      <c r="AB119" s="43"/>
      <c r="AC119" s="45"/>
      <c r="AD119" s="46" t="str">
        <f aca="false">IF(ISNUMBER($AB119),$AB119*(1+N($AC119)),"")</f>
        <v/>
      </c>
      <c r="AE119" s="43"/>
      <c r="AF119" s="43"/>
      <c r="AG119" s="45"/>
      <c r="AH119" s="47" t="str">
        <f aca="false">IF(ISNUMBER($AD119),($AD119+$AE119+$AF119)*$AG119,"")</f>
        <v/>
      </c>
      <c r="AI119" s="43"/>
      <c r="AJ119" s="46" t="str">
        <f aca="false">IF(ISNUMBER($AD119),SUM($AD119:$AH119),"")</f>
        <v/>
      </c>
      <c r="AK119" s="48" t="str">
        <f aca="false">IF(AND(ISNUMBER($AB119),ISNUMBER($AD119)),IF($AB119&gt;0,$AD119/$AB119,""),"")</f>
        <v/>
      </c>
      <c r="AL119" s="40"/>
      <c r="AM119" s="49" t="str">
        <f aca="false">IF(ISNUMBER($AD119),Header!$I$3,"")</f>
        <v/>
      </c>
      <c r="AN119" s="47" t="str">
        <f aca="false">IF(ISNUMBER($AD119),$AO119+$AP119,"")</f>
        <v/>
      </c>
      <c r="AO119" s="47" t="str">
        <f aca="false">IF(ISNUMBER($AD119),ROUND($AD119*Header!$K$3,2),"")</f>
        <v/>
      </c>
      <c r="AP119" s="47" t="str">
        <f aca="false">IF(ISNUMBER($AD119),ROUND($AD119*Header!$M$3,2),"")</f>
        <v/>
      </c>
      <c r="AQ119" s="46" t="str">
        <f aca="false">IF(ISNUMBER($AD119),ROUND($AD119,2)-$AO119-$AP119,"")</f>
        <v/>
      </c>
      <c r="AR119" s="47" t="str">
        <f aca="false">IF(ISNUMBER($AD119),IF(Header!$D$34="","?",$AD119*Header!$D$34),"")</f>
        <v/>
      </c>
      <c r="AS119" s="47" t="str">
        <f aca="false">IF(ISNUMBER($AB119),IF(Header!$D$34="","?",$AB119*Header!$D$34),"")</f>
        <v/>
      </c>
      <c r="AT119" s="50" t="str">
        <f aca="false">IF(AND(ISNUMBER($AB119),$M119&gt;0),$AB119/$M119*100,"")</f>
        <v/>
      </c>
      <c r="AU119" s="50" t="str">
        <f aca="false">IF(AND(ISNUMBER($AD119),$M119&gt;0),$AD119/$M119*100,"")</f>
        <v/>
      </c>
      <c r="AV119" s="48" t="str">
        <f aca="false">IF(AND(ISNUMBER($AB119),ISNUMBER($AD119),ABS($AB119)&gt;0),$AD119/$AB119,"")</f>
        <v/>
      </c>
      <c r="AW119" s="47" t="str">
        <f aca="false">IF(ISNUMBER($AD119),MAX(0,(1-0.55-Header!$O$3)*Header!$Q$3*$AQ119),"")</f>
        <v/>
      </c>
      <c r="AX119" s="51" t="str">
        <f aca="false">IF($A119="","",IF(TRIM(IF($A119="","Missing certificate ref. ","") &amp; IF($C119="","Missing effective date. ","") &amp; IF($D119="","Missing binding status. ","") &amp; IF($E119="","Missing movement type. ","") &amp; IF($I119="","Missing make. ","") &amp; IF($L119="","Missing vehicle class. ","") &amp; IF($M119="","Missing agreed value. ","") &amp; IF($N119="","Missing policy type. ","") &amp; IF($Q119="","Missing garaging state. ","") &amp; IF($R119="","Missing garaging ZIP. ","") &amp; IF($S119="","Missing cat zone. ","") &amp; IF($V119="","Missing valuation basis. ","") &amp; IF($W119="","Missing PD deductible. ","") &amp; IF($X119="","Missing liability limit. ","") &amp; IF($AB119="","Missing technical premium. ","") &amp; IF($AF119="","Missing surplus lines tax %. ",""))="","PASS","FAIL: "&amp;TRIM(IF($A119="","Missing certificate ref. ","") &amp; IF($C119="","Missing effective date. ","") &amp; IF($D119="","Missing binding status. ","") &amp; IF($E119="","Missing movement type. ","") &amp; IF($I119="","Missing make. ","") &amp; IF($L119="","Missing vehicle class. ","") &amp; IF($M119="","Missing agreed value. ","") &amp; IF($N119="","Missing policy type. ","") &amp; IF($Q119="","Missing garaging state. ","") &amp; IF($R119="","Missing garaging ZIP. ","") &amp; IF($S119="","Missing cat zone. ","") &amp; IF($V119="","Missing valuation basis. ","") &amp; IF($W119="","Missing PD deductible. ","") &amp; IF($X119="","Missing liability limit. ","") &amp; IF($AB119="","Missing technical premium. ","") &amp; IF($AF119="","Missing surplus lines tax %. ",""))))</f>
        <v/>
      </c>
      <c r="AY119" s="52" t="str">
        <f aca="false">IF($M119="","",IF(ISNUMBER($M119),IF($M119&gt;=Header!$C$18,"YES — refer","No"),""))</f>
        <v/>
      </c>
      <c r="AZ119" s="52" t="str">
        <f aca="false">IF($AD119="","",IF(ISNUMBER($AD119),IF($AD119&lt;Header!$C$20,"BELOW MIN PREMIUM","OK"),""))</f>
        <v/>
      </c>
      <c r="BA119" s="40"/>
      <c r="BB119" s="40"/>
      <c r="BC119" s="38"/>
      <c r="BE119" s="53" t="str">
        <f aca="false">IF(OR($A119="",$L119="",$H119=""),"",IF(AND(LEFT($L119,2)="06",$H119&gt;1945),"FAIL - pre-war class, year "&amp;$H119,IF(AND(LEFT($L119,2)="07",OR($H119&lt;1946,$H119&gt;1972)),"FAIL - 1946-72 class, year "&amp;$H119,IF(AND(LEFT($L119,2)="08",OR($H119&lt;1973,$H119&gt;1999)),"FAIL - 1973-99 class, year "&amp;$H119,IF(AND(LEFT($L119,2)="09",OR($H119&lt;2000,$H119&gt;2010)),"FAIL - 2000-10 class, year "&amp;$H119,"OK")))))</f>
        <v/>
      </c>
      <c r="BF119" s="53" t="str">
        <f aca="false">IF($AD119="","",IF(ROUND($AO119+$AP119+$AQ119-$AD119,2)=0,"OK","FAIL - out by "&amp;TEXT($AO119+$AP119+$AQ119-$AD119,"$0.00")))</f>
        <v/>
      </c>
    </row>
    <row r="120" customFormat="false" ht="15" hidden="false" customHeight="true" outlineLevel="0" collapsed="false">
      <c r="A120" s="54"/>
      <c r="B120" s="54"/>
      <c r="C120" s="55"/>
      <c r="D120" s="56"/>
      <c r="E120" s="56"/>
      <c r="F120" s="54"/>
      <c r="G120" s="41" t="str">
        <f aca="false">IF($A120="","",IF($C120="","",YEAR($C120)))</f>
        <v/>
      </c>
      <c r="H120" s="57"/>
      <c r="I120" s="54"/>
      <c r="J120" s="54"/>
      <c r="K120" s="54"/>
      <c r="L120" s="56"/>
      <c r="M120" s="58"/>
      <c r="N120" s="56"/>
      <c r="O120" s="54"/>
      <c r="P120" s="54"/>
      <c r="Q120" s="54"/>
      <c r="R120" s="54"/>
      <c r="S120" s="56"/>
      <c r="T120" s="44" t="str">
        <f aca="false">IF($A120="","",IF($S120="","",IFERROR(INDEX(Lists!$N$5:$N$16,MATCH($S120,Lists!$M$5:$M$16,0)),"?")))</f>
        <v/>
      </c>
      <c r="U120" s="54"/>
      <c r="V120" s="56"/>
      <c r="W120" s="54"/>
      <c r="X120" s="56"/>
      <c r="Y120" s="54"/>
      <c r="Z120" s="54"/>
      <c r="AA120" s="56"/>
      <c r="AB120" s="58"/>
      <c r="AC120" s="59"/>
      <c r="AD120" s="46" t="str">
        <f aca="false">IF(ISNUMBER($AB120),$AB120*(1+N($AC120)),"")</f>
        <v/>
      </c>
      <c r="AE120" s="58"/>
      <c r="AF120" s="58"/>
      <c r="AG120" s="59"/>
      <c r="AH120" s="47" t="str">
        <f aca="false">IF(ISNUMBER($AD120),($AD120+$AE120+$AF120)*$AG120,"")</f>
        <v/>
      </c>
      <c r="AI120" s="58"/>
      <c r="AJ120" s="46" t="str">
        <f aca="false">IF(ISNUMBER($AD120),SUM($AD120:$AH120),"")</f>
        <v/>
      </c>
      <c r="AK120" s="48" t="str">
        <f aca="false">IF(AND(ISNUMBER($AB120),ISNUMBER($AD120)),IF($AB120&gt;0,$AD120/$AB120,""),"")</f>
        <v/>
      </c>
      <c r="AL120" s="56"/>
      <c r="AM120" s="49" t="str">
        <f aca="false">IF(ISNUMBER($AD120),Header!$I$3,"")</f>
        <v/>
      </c>
      <c r="AN120" s="47" t="str">
        <f aca="false">IF(ISNUMBER($AD120),$AO120+$AP120,"")</f>
        <v/>
      </c>
      <c r="AO120" s="47" t="str">
        <f aca="false">IF(ISNUMBER($AD120),ROUND($AD120*Header!$K$3,2),"")</f>
        <v/>
      </c>
      <c r="AP120" s="47" t="str">
        <f aca="false">IF(ISNUMBER($AD120),ROUND($AD120*Header!$M$3,2),"")</f>
        <v/>
      </c>
      <c r="AQ120" s="46" t="str">
        <f aca="false">IF(ISNUMBER($AD120),ROUND($AD120,2)-$AO120-$AP120,"")</f>
        <v/>
      </c>
      <c r="AR120" s="47" t="str">
        <f aca="false">IF(ISNUMBER($AD120),IF(Header!$D$34="","?",$AD120*Header!$D$34),"")</f>
        <v/>
      </c>
      <c r="AS120" s="47" t="str">
        <f aca="false">IF(ISNUMBER($AB120),IF(Header!$D$34="","?",$AB120*Header!$D$34),"")</f>
        <v/>
      </c>
      <c r="AT120" s="50" t="str">
        <f aca="false">IF(AND(ISNUMBER($AB120),$M120&gt;0),$AB120/$M120*100,"")</f>
        <v/>
      </c>
      <c r="AU120" s="50" t="str">
        <f aca="false">IF(AND(ISNUMBER($AD120),$M120&gt;0),$AD120/$M120*100,"")</f>
        <v/>
      </c>
      <c r="AV120" s="48" t="str">
        <f aca="false">IF(AND(ISNUMBER($AB120),ISNUMBER($AD120),ABS($AB120)&gt;0),$AD120/$AB120,"")</f>
        <v/>
      </c>
      <c r="AW120" s="47" t="str">
        <f aca="false">IF(ISNUMBER($AD120),MAX(0,(1-0.55-Header!$O$3)*Header!$Q$3*$AQ120),"")</f>
        <v/>
      </c>
      <c r="AX120" s="51" t="str">
        <f aca="false">IF($A120="","",IF(TRIM(IF($A120="","Missing certificate ref. ","") &amp; IF($C120="","Missing effective date. ","") &amp; IF($D120="","Missing binding status. ","") &amp; IF($E120="","Missing movement type. ","") &amp; IF($I120="","Missing make. ","") &amp; IF($L120="","Missing vehicle class. ","") &amp; IF($M120="","Missing agreed value. ","") &amp; IF($N120="","Missing policy type. ","") &amp; IF($Q120="","Missing garaging state. ","") &amp; IF($R120="","Missing garaging ZIP. ","") &amp; IF($S120="","Missing cat zone. ","") &amp; IF($V120="","Missing valuation basis. ","") &amp; IF($W120="","Missing PD deductible. ","") &amp; IF($X120="","Missing liability limit. ","") &amp; IF($AB120="","Missing technical premium. ","") &amp; IF($AF120="","Missing surplus lines tax %. ",""))="","PASS","FAIL: "&amp;TRIM(IF($A120="","Missing certificate ref. ","") &amp; IF($C120="","Missing effective date. ","") &amp; IF($D120="","Missing binding status. ","") &amp; IF($E120="","Missing movement type. ","") &amp; IF($I120="","Missing make. ","") &amp; IF($L120="","Missing vehicle class. ","") &amp; IF($M120="","Missing agreed value. ","") &amp; IF($N120="","Missing policy type. ","") &amp; IF($Q120="","Missing garaging state. ","") &amp; IF($R120="","Missing garaging ZIP. ","") &amp; IF($S120="","Missing cat zone. ","") &amp; IF($V120="","Missing valuation basis. ","") &amp; IF($W120="","Missing PD deductible. ","") &amp; IF($X120="","Missing liability limit. ","") &amp; IF($AB120="","Missing technical premium. ","") &amp; IF($AF120="","Missing surplus lines tax %. ",""))))</f>
        <v/>
      </c>
      <c r="AY120" s="52" t="str">
        <f aca="false">IF($M120="","",IF(ISNUMBER($M120),IF($M120&gt;=Header!$C$18,"YES — refer","No"),""))</f>
        <v/>
      </c>
      <c r="AZ120" s="52" t="str">
        <f aca="false">IF($AD120="","",IF(ISNUMBER($AD120),IF($AD120&lt;Header!$C$20,"BELOW MIN PREMIUM","OK"),""))</f>
        <v/>
      </c>
      <c r="BA120" s="56"/>
      <c r="BB120" s="56"/>
      <c r="BC120" s="54"/>
      <c r="BE120" s="53" t="str">
        <f aca="false">IF(OR($A120="",$L120="",$H120=""),"",IF(AND(LEFT($L120,2)="06",$H120&gt;1945),"FAIL - pre-war class, year "&amp;$H120,IF(AND(LEFT($L120,2)="07",OR($H120&lt;1946,$H120&gt;1972)),"FAIL - 1946-72 class, year "&amp;$H120,IF(AND(LEFT($L120,2)="08",OR($H120&lt;1973,$H120&gt;1999)),"FAIL - 1973-99 class, year "&amp;$H120,IF(AND(LEFT($L120,2)="09",OR($H120&lt;2000,$H120&gt;2010)),"FAIL - 2000-10 class, year "&amp;$H120,"OK")))))</f>
        <v/>
      </c>
      <c r="BF120" s="53" t="str">
        <f aca="false">IF($AD120="","",IF(ROUND($AO120+$AP120+$AQ120-$AD120,2)=0,"OK","FAIL - out by "&amp;TEXT($AO120+$AP120+$AQ120-$AD120,"$0.00")))</f>
        <v/>
      </c>
    </row>
    <row r="121" customFormat="false" ht="15" hidden="false" customHeight="true" outlineLevel="0" collapsed="false">
      <c r="A121" s="38"/>
      <c r="B121" s="38"/>
      <c r="C121" s="39"/>
      <c r="D121" s="40"/>
      <c r="E121" s="40"/>
      <c r="F121" s="38"/>
      <c r="G121" s="41" t="str">
        <f aca="false">IF($A121="","",IF($C121="","",YEAR($C121)))</f>
        <v/>
      </c>
      <c r="H121" s="42"/>
      <c r="I121" s="38"/>
      <c r="J121" s="38"/>
      <c r="K121" s="38"/>
      <c r="L121" s="40"/>
      <c r="M121" s="43"/>
      <c r="N121" s="40"/>
      <c r="O121" s="38"/>
      <c r="P121" s="38"/>
      <c r="Q121" s="38"/>
      <c r="R121" s="38"/>
      <c r="S121" s="40"/>
      <c r="T121" s="44" t="str">
        <f aca="false">IF($A121="","",IF($S121="","",IFERROR(INDEX(Lists!$N$5:$N$16,MATCH($S121,Lists!$M$5:$M$16,0)),"?")))</f>
        <v/>
      </c>
      <c r="U121" s="38"/>
      <c r="V121" s="40"/>
      <c r="W121" s="38"/>
      <c r="X121" s="40"/>
      <c r="Y121" s="38"/>
      <c r="Z121" s="38"/>
      <c r="AA121" s="40"/>
      <c r="AB121" s="43"/>
      <c r="AC121" s="45"/>
      <c r="AD121" s="46" t="str">
        <f aca="false">IF(ISNUMBER($AB121),$AB121*(1+N($AC121)),"")</f>
        <v/>
      </c>
      <c r="AE121" s="43"/>
      <c r="AF121" s="43"/>
      <c r="AG121" s="45"/>
      <c r="AH121" s="47" t="str">
        <f aca="false">IF(ISNUMBER($AD121),($AD121+$AE121+$AF121)*$AG121,"")</f>
        <v/>
      </c>
      <c r="AI121" s="43"/>
      <c r="AJ121" s="46" t="str">
        <f aca="false">IF(ISNUMBER($AD121),SUM($AD121:$AH121),"")</f>
        <v/>
      </c>
      <c r="AK121" s="48" t="str">
        <f aca="false">IF(AND(ISNUMBER($AB121),ISNUMBER($AD121)),IF($AB121&gt;0,$AD121/$AB121,""),"")</f>
        <v/>
      </c>
      <c r="AL121" s="40"/>
      <c r="AM121" s="49" t="str">
        <f aca="false">IF(ISNUMBER($AD121),Header!$I$3,"")</f>
        <v/>
      </c>
      <c r="AN121" s="47" t="str">
        <f aca="false">IF(ISNUMBER($AD121),$AO121+$AP121,"")</f>
        <v/>
      </c>
      <c r="AO121" s="47" t="str">
        <f aca="false">IF(ISNUMBER($AD121),ROUND($AD121*Header!$K$3,2),"")</f>
        <v/>
      </c>
      <c r="AP121" s="47" t="str">
        <f aca="false">IF(ISNUMBER($AD121),ROUND($AD121*Header!$M$3,2),"")</f>
        <v/>
      </c>
      <c r="AQ121" s="46" t="str">
        <f aca="false">IF(ISNUMBER($AD121),ROUND($AD121,2)-$AO121-$AP121,"")</f>
        <v/>
      </c>
      <c r="AR121" s="47" t="str">
        <f aca="false">IF(ISNUMBER($AD121),IF(Header!$D$34="","?",$AD121*Header!$D$34),"")</f>
        <v/>
      </c>
      <c r="AS121" s="47" t="str">
        <f aca="false">IF(ISNUMBER($AB121),IF(Header!$D$34="","?",$AB121*Header!$D$34),"")</f>
        <v/>
      </c>
      <c r="AT121" s="50" t="str">
        <f aca="false">IF(AND(ISNUMBER($AB121),$M121&gt;0),$AB121/$M121*100,"")</f>
        <v/>
      </c>
      <c r="AU121" s="50" t="str">
        <f aca="false">IF(AND(ISNUMBER($AD121),$M121&gt;0),$AD121/$M121*100,"")</f>
        <v/>
      </c>
      <c r="AV121" s="48" t="str">
        <f aca="false">IF(AND(ISNUMBER($AB121),ISNUMBER($AD121),ABS($AB121)&gt;0),$AD121/$AB121,"")</f>
        <v/>
      </c>
      <c r="AW121" s="47" t="str">
        <f aca="false">IF(ISNUMBER($AD121),MAX(0,(1-0.55-Header!$O$3)*Header!$Q$3*$AQ121),"")</f>
        <v/>
      </c>
      <c r="AX121" s="51" t="str">
        <f aca="false">IF($A121="","",IF(TRIM(IF($A121="","Missing certificate ref. ","") &amp; IF($C121="","Missing effective date. ","") &amp; IF($D121="","Missing binding status. ","") &amp; IF($E121="","Missing movement type. ","") &amp; IF($I121="","Missing make. ","") &amp; IF($L121="","Missing vehicle class. ","") &amp; IF($M121="","Missing agreed value. ","") &amp; IF($N121="","Missing policy type. ","") &amp; IF($Q121="","Missing garaging state. ","") &amp; IF($R121="","Missing garaging ZIP. ","") &amp; IF($S121="","Missing cat zone. ","") &amp; IF($V121="","Missing valuation basis. ","") &amp; IF($W121="","Missing PD deductible. ","") &amp; IF($X121="","Missing liability limit. ","") &amp; IF($AB121="","Missing technical premium. ","") &amp; IF($AF121="","Missing surplus lines tax %. ",""))="","PASS","FAIL: "&amp;TRIM(IF($A121="","Missing certificate ref. ","") &amp; IF($C121="","Missing effective date. ","") &amp; IF($D121="","Missing binding status. ","") &amp; IF($E121="","Missing movement type. ","") &amp; IF($I121="","Missing make. ","") &amp; IF($L121="","Missing vehicle class. ","") &amp; IF($M121="","Missing agreed value. ","") &amp; IF($N121="","Missing policy type. ","") &amp; IF($Q121="","Missing garaging state. ","") &amp; IF($R121="","Missing garaging ZIP. ","") &amp; IF($S121="","Missing cat zone. ","") &amp; IF($V121="","Missing valuation basis. ","") &amp; IF($W121="","Missing PD deductible. ","") &amp; IF($X121="","Missing liability limit. ","") &amp; IF($AB121="","Missing technical premium. ","") &amp; IF($AF121="","Missing surplus lines tax %. ",""))))</f>
        <v/>
      </c>
      <c r="AY121" s="52" t="str">
        <f aca="false">IF($M121="","",IF(ISNUMBER($M121),IF($M121&gt;=Header!$C$18,"YES — refer","No"),""))</f>
        <v/>
      </c>
      <c r="AZ121" s="52" t="str">
        <f aca="false">IF($AD121="","",IF(ISNUMBER($AD121),IF($AD121&lt;Header!$C$20,"BELOW MIN PREMIUM","OK"),""))</f>
        <v/>
      </c>
      <c r="BA121" s="40"/>
      <c r="BB121" s="40"/>
      <c r="BC121" s="38"/>
      <c r="BE121" s="53" t="str">
        <f aca="false">IF(OR($A121="",$L121="",$H121=""),"",IF(AND(LEFT($L121,2)="06",$H121&gt;1945),"FAIL - pre-war class, year "&amp;$H121,IF(AND(LEFT($L121,2)="07",OR($H121&lt;1946,$H121&gt;1972)),"FAIL - 1946-72 class, year "&amp;$H121,IF(AND(LEFT($L121,2)="08",OR($H121&lt;1973,$H121&gt;1999)),"FAIL - 1973-99 class, year "&amp;$H121,IF(AND(LEFT($L121,2)="09",OR($H121&lt;2000,$H121&gt;2010)),"FAIL - 2000-10 class, year "&amp;$H121,"OK")))))</f>
        <v/>
      </c>
      <c r="BF121" s="53" t="str">
        <f aca="false">IF($AD121="","",IF(ROUND($AO121+$AP121+$AQ121-$AD121,2)=0,"OK","FAIL - out by "&amp;TEXT($AO121+$AP121+$AQ121-$AD121,"$0.00")))</f>
        <v/>
      </c>
    </row>
    <row r="122" customFormat="false" ht="15" hidden="false" customHeight="true" outlineLevel="0" collapsed="false">
      <c r="A122" s="54"/>
      <c r="B122" s="54"/>
      <c r="C122" s="55"/>
      <c r="D122" s="56"/>
      <c r="E122" s="56"/>
      <c r="F122" s="54"/>
      <c r="G122" s="41" t="str">
        <f aca="false">IF($A122="","",IF($C122="","",YEAR($C122)))</f>
        <v/>
      </c>
      <c r="H122" s="57"/>
      <c r="I122" s="54"/>
      <c r="J122" s="54"/>
      <c r="K122" s="54"/>
      <c r="L122" s="56"/>
      <c r="M122" s="58"/>
      <c r="N122" s="56"/>
      <c r="O122" s="54"/>
      <c r="P122" s="54"/>
      <c r="Q122" s="54"/>
      <c r="R122" s="54"/>
      <c r="S122" s="56"/>
      <c r="T122" s="44" t="str">
        <f aca="false">IF($A122="","",IF($S122="","",IFERROR(INDEX(Lists!$N$5:$N$16,MATCH($S122,Lists!$M$5:$M$16,0)),"?")))</f>
        <v/>
      </c>
      <c r="U122" s="54"/>
      <c r="V122" s="56"/>
      <c r="W122" s="54"/>
      <c r="X122" s="56"/>
      <c r="Y122" s="54"/>
      <c r="Z122" s="54"/>
      <c r="AA122" s="56"/>
      <c r="AB122" s="58"/>
      <c r="AC122" s="59"/>
      <c r="AD122" s="46" t="str">
        <f aca="false">IF(ISNUMBER($AB122),$AB122*(1+N($AC122)),"")</f>
        <v/>
      </c>
      <c r="AE122" s="58"/>
      <c r="AF122" s="58"/>
      <c r="AG122" s="59"/>
      <c r="AH122" s="47" t="str">
        <f aca="false">IF(ISNUMBER($AD122),($AD122+$AE122+$AF122)*$AG122,"")</f>
        <v/>
      </c>
      <c r="AI122" s="58"/>
      <c r="AJ122" s="46" t="str">
        <f aca="false">IF(ISNUMBER($AD122),SUM($AD122:$AH122),"")</f>
        <v/>
      </c>
      <c r="AK122" s="48" t="str">
        <f aca="false">IF(AND(ISNUMBER($AB122),ISNUMBER($AD122)),IF($AB122&gt;0,$AD122/$AB122,""),"")</f>
        <v/>
      </c>
      <c r="AL122" s="56"/>
      <c r="AM122" s="49" t="str">
        <f aca="false">IF(ISNUMBER($AD122),Header!$I$3,"")</f>
        <v/>
      </c>
      <c r="AN122" s="47" t="str">
        <f aca="false">IF(ISNUMBER($AD122),$AO122+$AP122,"")</f>
        <v/>
      </c>
      <c r="AO122" s="47" t="str">
        <f aca="false">IF(ISNUMBER($AD122),ROUND($AD122*Header!$K$3,2),"")</f>
        <v/>
      </c>
      <c r="AP122" s="47" t="str">
        <f aca="false">IF(ISNUMBER($AD122),ROUND($AD122*Header!$M$3,2),"")</f>
        <v/>
      </c>
      <c r="AQ122" s="46" t="str">
        <f aca="false">IF(ISNUMBER($AD122),ROUND($AD122,2)-$AO122-$AP122,"")</f>
        <v/>
      </c>
      <c r="AR122" s="47" t="str">
        <f aca="false">IF(ISNUMBER($AD122),IF(Header!$D$34="","?",$AD122*Header!$D$34),"")</f>
        <v/>
      </c>
      <c r="AS122" s="47" t="str">
        <f aca="false">IF(ISNUMBER($AB122),IF(Header!$D$34="","?",$AB122*Header!$D$34),"")</f>
        <v/>
      </c>
      <c r="AT122" s="50" t="str">
        <f aca="false">IF(AND(ISNUMBER($AB122),$M122&gt;0),$AB122/$M122*100,"")</f>
        <v/>
      </c>
      <c r="AU122" s="50" t="str">
        <f aca="false">IF(AND(ISNUMBER($AD122),$M122&gt;0),$AD122/$M122*100,"")</f>
        <v/>
      </c>
      <c r="AV122" s="48" t="str">
        <f aca="false">IF(AND(ISNUMBER($AB122),ISNUMBER($AD122),ABS($AB122)&gt;0),$AD122/$AB122,"")</f>
        <v/>
      </c>
      <c r="AW122" s="47" t="str">
        <f aca="false">IF(ISNUMBER($AD122),MAX(0,(1-0.55-Header!$O$3)*Header!$Q$3*$AQ122),"")</f>
        <v/>
      </c>
      <c r="AX122" s="51" t="str">
        <f aca="false">IF($A122="","",IF(TRIM(IF($A122="","Missing certificate ref. ","") &amp; IF($C122="","Missing effective date. ","") &amp; IF($D122="","Missing binding status. ","") &amp; IF($E122="","Missing movement type. ","") &amp; IF($I122="","Missing make. ","") &amp; IF($L122="","Missing vehicle class. ","") &amp; IF($M122="","Missing agreed value. ","") &amp; IF($N122="","Missing policy type. ","") &amp; IF($Q122="","Missing garaging state. ","") &amp; IF($R122="","Missing garaging ZIP. ","") &amp; IF($S122="","Missing cat zone. ","") &amp; IF($V122="","Missing valuation basis. ","") &amp; IF($W122="","Missing PD deductible. ","") &amp; IF($X122="","Missing liability limit. ","") &amp; IF($AB122="","Missing technical premium. ","") &amp; IF($AF122="","Missing surplus lines tax %. ",""))="","PASS","FAIL: "&amp;TRIM(IF($A122="","Missing certificate ref. ","") &amp; IF($C122="","Missing effective date. ","") &amp; IF($D122="","Missing binding status. ","") &amp; IF($E122="","Missing movement type. ","") &amp; IF($I122="","Missing make. ","") &amp; IF($L122="","Missing vehicle class. ","") &amp; IF($M122="","Missing agreed value. ","") &amp; IF($N122="","Missing policy type. ","") &amp; IF($Q122="","Missing garaging state. ","") &amp; IF($R122="","Missing garaging ZIP. ","") &amp; IF($S122="","Missing cat zone. ","") &amp; IF($V122="","Missing valuation basis. ","") &amp; IF($W122="","Missing PD deductible. ","") &amp; IF($X122="","Missing liability limit. ","") &amp; IF($AB122="","Missing technical premium. ","") &amp; IF($AF122="","Missing surplus lines tax %. ",""))))</f>
        <v/>
      </c>
      <c r="AY122" s="52" t="str">
        <f aca="false">IF($M122="","",IF(ISNUMBER($M122),IF($M122&gt;=Header!$C$18,"YES — refer","No"),""))</f>
        <v/>
      </c>
      <c r="AZ122" s="52" t="str">
        <f aca="false">IF($AD122="","",IF(ISNUMBER($AD122),IF($AD122&lt;Header!$C$20,"BELOW MIN PREMIUM","OK"),""))</f>
        <v/>
      </c>
      <c r="BA122" s="56"/>
      <c r="BB122" s="56"/>
      <c r="BC122" s="54"/>
      <c r="BE122" s="53" t="str">
        <f aca="false">IF(OR($A122="",$L122="",$H122=""),"",IF(AND(LEFT($L122,2)="06",$H122&gt;1945),"FAIL - pre-war class, year "&amp;$H122,IF(AND(LEFT($L122,2)="07",OR($H122&lt;1946,$H122&gt;1972)),"FAIL - 1946-72 class, year "&amp;$H122,IF(AND(LEFT($L122,2)="08",OR($H122&lt;1973,$H122&gt;1999)),"FAIL - 1973-99 class, year "&amp;$H122,IF(AND(LEFT($L122,2)="09",OR($H122&lt;2000,$H122&gt;2010)),"FAIL - 2000-10 class, year "&amp;$H122,"OK")))))</f>
        <v/>
      </c>
      <c r="BF122" s="53" t="str">
        <f aca="false">IF($AD122="","",IF(ROUND($AO122+$AP122+$AQ122-$AD122,2)=0,"OK","FAIL - out by "&amp;TEXT($AO122+$AP122+$AQ122-$AD122,"$0.00")))</f>
        <v/>
      </c>
    </row>
    <row r="123" customFormat="false" ht="15" hidden="false" customHeight="true" outlineLevel="0" collapsed="false">
      <c r="A123" s="38"/>
      <c r="B123" s="38"/>
      <c r="C123" s="39"/>
      <c r="D123" s="40"/>
      <c r="E123" s="40"/>
      <c r="F123" s="38"/>
      <c r="G123" s="41" t="str">
        <f aca="false">IF($A123="","",IF($C123="","",YEAR($C123)))</f>
        <v/>
      </c>
      <c r="H123" s="42"/>
      <c r="I123" s="38"/>
      <c r="J123" s="38"/>
      <c r="K123" s="38"/>
      <c r="L123" s="40"/>
      <c r="M123" s="43"/>
      <c r="N123" s="40"/>
      <c r="O123" s="38"/>
      <c r="P123" s="38"/>
      <c r="Q123" s="38"/>
      <c r="R123" s="38"/>
      <c r="S123" s="40"/>
      <c r="T123" s="44" t="str">
        <f aca="false">IF($A123="","",IF($S123="","",IFERROR(INDEX(Lists!$N$5:$N$16,MATCH($S123,Lists!$M$5:$M$16,0)),"?")))</f>
        <v/>
      </c>
      <c r="U123" s="38"/>
      <c r="V123" s="40"/>
      <c r="W123" s="38"/>
      <c r="X123" s="40"/>
      <c r="Y123" s="38"/>
      <c r="Z123" s="38"/>
      <c r="AA123" s="40"/>
      <c r="AB123" s="43"/>
      <c r="AC123" s="45"/>
      <c r="AD123" s="46" t="str">
        <f aca="false">IF(ISNUMBER($AB123),$AB123*(1+N($AC123)),"")</f>
        <v/>
      </c>
      <c r="AE123" s="43"/>
      <c r="AF123" s="43"/>
      <c r="AG123" s="45"/>
      <c r="AH123" s="47" t="str">
        <f aca="false">IF(ISNUMBER($AD123),($AD123+$AE123+$AF123)*$AG123,"")</f>
        <v/>
      </c>
      <c r="AI123" s="43"/>
      <c r="AJ123" s="46" t="str">
        <f aca="false">IF(ISNUMBER($AD123),SUM($AD123:$AH123),"")</f>
        <v/>
      </c>
      <c r="AK123" s="48" t="str">
        <f aca="false">IF(AND(ISNUMBER($AB123),ISNUMBER($AD123)),IF($AB123&gt;0,$AD123/$AB123,""),"")</f>
        <v/>
      </c>
      <c r="AL123" s="40"/>
      <c r="AM123" s="49" t="str">
        <f aca="false">IF(ISNUMBER($AD123),Header!$I$3,"")</f>
        <v/>
      </c>
      <c r="AN123" s="47" t="str">
        <f aca="false">IF(ISNUMBER($AD123),$AO123+$AP123,"")</f>
        <v/>
      </c>
      <c r="AO123" s="47" t="str">
        <f aca="false">IF(ISNUMBER($AD123),ROUND($AD123*Header!$K$3,2),"")</f>
        <v/>
      </c>
      <c r="AP123" s="47" t="str">
        <f aca="false">IF(ISNUMBER($AD123),ROUND($AD123*Header!$M$3,2),"")</f>
        <v/>
      </c>
      <c r="AQ123" s="46" t="str">
        <f aca="false">IF(ISNUMBER($AD123),ROUND($AD123,2)-$AO123-$AP123,"")</f>
        <v/>
      </c>
      <c r="AR123" s="47" t="str">
        <f aca="false">IF(ISNUMBER($AD123),IF(Header!$D$34="","?",$AD123*Header!$D$34),"")</f>
        <v/>
      </c>
      <c r="AS123" s="47" t="str">
        <f aca="false">IF(ISNUMBER($AB123),IF(Header!$D$34="","?",$AB123*Header!$D$34),"")</f>
        <v/>
      </c>
      <c r="AT123" s="50" t="str">
        <f aca="false">IF(AND(ISNUMBER($AB123),$M123&gt;0),$AB123/$M123*100,"")</f>
        <v/>
      </c>
      <c r="AU123" s="50" t="str">
        <f aca="false">IF(AND(ISNUMBER($AD123),$M123&gt;0),$AD123/$M123*100,"")</f>
        <v/>
      </c>
      <c r="AV123" s="48" t="str">
        <f aca="false">IF(AND(ISNUMBER($AB123),ISNUMBER($AD123),ABS($AB123)&gt;0),$AD123/$AB123,"")</f>
        <v/>
      </c>
      <c r="AW123" s="47" t="str">
        <f aca="false">IF(ISNUMBER($AD123),MAX(0,(1-0.55-Header!$O$3)*Header!$Q$3*$AQ123),"")</f>
        <v/>
      </c>
      <c r="AX123" s="51" t="str">
        <f aca="false">IF($A123="","",IF(TRIM(IF($A123="","Missing certificate ref. ","") &amp; IF($C123="","Missing effective date. ","") &amp; IF($D123="","Missing binding status. ","") &amp; IF($E123="","Missing movement type. ","") &amp; IF($I123="","Missing make. ","") &amp; IF($L123="","Missing vehicle class. ","") &amp; IF($M123="","Missing agreed value. ","") &amp; IF($N123="","Missing policy type. ","") &amp; IF($Q123="","Missing garaging state. ","") &amp; IF($R123="","Missing garaging ZIP. ","") &amp; IF($S123="","Missing cat zone. ","") &amp; IF($V123="","Missing valuation basis. ","") &amp; IF($W123="","Missing PD deductible. ","") &amp; IF($X123="","Missing liability limit. ","") &amp; IF($AB123="","Missing technical premium. ","") &amp; IF($AF123="","Missing surplus lines tax %. ",""))="","PASS","FAIL: "&amp;TRIM(IF($A123="","Missing certificate ref. ","") &amp; IF($C123="","Missing effective date. ","") &amp; IF($D123="","Missing binding status. ","") &amp; IF($E123="","Missing movement type. ","") &amp; IF($I123="","Missing make. ","") &amp; IF($L123="","Missing vehicle class. ","") &amp; IF($M123="","Missing agreed value. ","") &amp; IF($N123="","Missing policy type. ","") &amp; IF($Q123="","Missing garaging state. ","") &amp; IF($R123="","Missing garaging ZIP. ","") &amp; IF($S123="","Missing cat zone. ","") &amp; IF($V123="","Missing valuation basis. ","") &amp; IF($W123="","Missing PD deductible. ","") &amp; IF($X123="","Missing liability limit. ","") &amp; IF($AB123="","Missing technical premium. ","") &amp; IF($AF123="","Missing surplus lines tax %. ",""))))</f>
        <v/>
      </c>
      <c r="AY123" s="52" t="str">
        <f aca="false">IF($M123="","",IF(ISNUMBER($M123),IF($M123&gt;=Header!$C$18,"YES — refer","No"),""))</f>
        <v/>
      </c>
      <c r="AZ123" s="52" t="str">
        <f aca="false">IF($AD123="","",IF(ISNUMBER($AD123),IF($AD123&lt;Header!$C$20,"BELOW MIN PREMIUM","OK"),""))</f>
        <v/>
      </c>
      <c r="BA123" s="40"/>
      <c r="BB123" s="40"/>
      <c r="BC123" s="38"/>
      <c r="BE123" s="53" t="str">
        <f aca="false">IF(OR($A123="",$L123="",$H123=""),"",IF(AND(LEFT($L123,2)="06",$H123&gt;1945),"FAIL - pre-war class, year "&amp;$H123,IF(AND(LEFT($L123,2)="07",OR($H123&lt;1946,$H123&gt;1972)),"FAIL - 1946-72 class, year "&amp;$H123,IF(AND(LEFT($L123,2)="08",OR($H123&lt;1973,$H123&gt;1999)),"FAIL - 1973-99 class, year "&amp;$H123,IF(AND(LEFT($L123,2)="09",OR($H123&lt;2000,$H123&gt;2010)),"FAIL - 2000-10 class, year "&amp;$H123,"OK")))))</f>
        <v/>
      </c>
      <c r="BF123" s="53" t="str">
        <f aca="false">IF($AD123="","",IF(ROUND($AO123+$AP123+$AQ123-$AD123,2)=0,"OK","FAIL - out by "&amp;TEXT($AO123+$AP123+$AQ123-$AD123,"$0.00")))</f>
        <v/>
      </c>
    </row>
    <row r="124" customFormat="false" ht="15" hidden="false" customHeight="true" outlineLevel="0" collapsed="false">
      <c r="A124" s="54"/>
      <c r="B124" s="54"/>
      <c r="C124" s="55"/>
      <c r="D124" s="56"/>
      <c r="E124" s="56"/>
      <c r="F124" s="54"/>
      <c r="G124" s="41" t="str">
        <f aca="false">IF($A124="","",IF($C124="","",YEAR($C124)))</f>
        <v/>
      </c>
      <c r="H124" s="57"/>
      <c r="I124" s="54"/>
      <c r="J124" s="54"/>
      <c r="K124" s="54"/>
      <c r="L124" s="56"/>
      <c r="M124" s="58"/>
      <c r="N124" s="56"/>
      <c r="O124" s="54"/>
      <c r="P124" s="54"/>
      <c r="Q124" s="54"/>
      <c r="R124" s="54"/>
      <c r="S124" s="56"/>
      <c r="T124" s="44" t="str">
        <f aca="false">IF($A124="","",IF($S124="","",IFERROR(INDEX(Lists!$N$5:$N$16,MATCH($S124,Lists!$M$5:$M$16,0)),"?")))</f>
        <v/>
      </c>
      <c r="U124" s="54"/>
      <c r="V124" s="56"/>
      <c r="W124" s="54"/>
      <c r="X124" s="56"/>
      <c r="Y124" s="54"/>
      <c r="Z124" s="54"/>
      <c r="AA124" s="56"/>
      <c r="AB124" s="58"/>
      <c r="AC124" s="59"/>
      <c r="AD124" s="46" t="str">
        <f aca="false">IF(ISNUMBER($AB124),$AB124*(1+N($AC124)),"")</f>
        <v/>
      </c>
      <c r="AE124" s="58"/>
      <c r="AF124" s="58"/>
      <c r="AG124" s="59"/>
      <c r="AH124" s="47" t="str">
        <f aca="false">IF(ISNUMBER($AD124),($AD124+$AE124+$AF124)*$AG124,"")</f>
        <v/>
      </c>
      <c r="AI124" s="58"/>
      <c r="AJ124" s="46" t="str">
        <f aca="false">IF(ISNUMBER($AD124),SUM($AD124:$AH124),"")</f>
        <v/>
      </c>
      <c r="AK124" s="48" t="str">
        <f aca="false">IF(AND(ISNUMBER($AB124),ISNUMBER($AD124)),IF($AB124&gt;0,$AD124/$AB124,""),"")</f>
        <v/>
      </c>
      <c r="AL124" s="56"/>
      <c r="AM124" s="49" t="str">
        <f aca="false">IF(ISNUMBER($AD124),Header!$I$3,"")</f>
        <v/>
      </c>
      <c r="AN124" s="47" t="str">
        <f aca="false">IF(ISNUMBER($AD124),$AO124+$AP124,"")</f>
        <v/>
      </c>
      <c r="AO124" s="47" t="str">
        <f aca="false">IF(ISNUMBER($AD124),ROUND($AD124*Header!$K$3,2),"")</f>
        <v/>
      </c>
      <c r="AP124" s="47" t="str">
        <f aca="false">IF(ISNUMBER($AD124),ROUND($AD124*Header!$M$3,2),"")</f>
        <v/>
      </c>
      <c r="AQ124" s="46" t="str">
        <f aca="false">IF(ISNUMBER($AD124),ROUND($AD124,2)-$AO124-$AP124,"")</f>
        <v/>
      </c>
      <c r="AR124" s="47" t="str">
        <f aca="false">IF(ISNUMBER($AD124),IF(Header!$D$34="","?",$AD124*Header!$D$34),"")</f>
        <v/>
      </c>
      <c r="AS124" s="47" t="str">
        <f aca="false">IF(ISNUMBER($AB124),IF(Header!$D$34="","?",$AB124*Header!$D$34),"")</f>
        <v/>
      </c>
      <c r="AT124" s="50" t="str">
        <f aca="false">IF(AND(ISNUMBER($AB124),$M124&gt;0),$AB124/$M124*100,"")</f>
        <v/>
      </c>
      <c r="AU124" s="50" t="str">
        <f aca="false">IF(AND(ISNUMBER($AD124),$M124&gt;0),$AD124/$M124*100,"")</f>
        <v/>
      </c>
      <c r="AV124" s="48" t="str">
        <f aca="false">IF(AND(ISNUMBER($AB124),ISNUMBER($AD124),ABS($AB124)&gt;0),$AD124/$AB124,"")</f>
        <v/>
      </c>
      <c r="AW124" s="47" t="str">
        <f aca="false">IF(ISNUMBER($AD124),MAX(0,(1-0.55-Header!$O$3)*Header!$Q$3*$AQ124),"")</f>
        <v/>
      </c>
      <c r="AX124" s="51" t="str">
        <f aca="false">IF($A124="","",IF(TRIM(IF($A124="","Missing certificate ref. ","") &amp; IF($C124="","Missing effective date. ","") &amp; IF($D124="","Missing binding status. ","") &amp; IF($E124="","Missing movement type. ","") &amp; IF($I124="","Missing make. ","") &amp; IF($L124="","Missing vehicle class. ","") &amp; IF($M124="","Missing agreed value. ","") &amp; IF($N124="","Missing policy type. ","") &amp; IF($Q124="","Missing garaging state. ","") &amp; IF($R124="","Missing garaging ZIP. ","") &amp; IF($S124="","Missing cat zone. ","") &amp; IF($V124="","Missing valuation basis. ","") &amp; IF($W124="","Missing PD deductible. ","") &amp; IF($X124="","Missing liability limit. ","") &amp; IF($AB124="","Missing technical premium. ","") &amp; IF($AF124="","Missing surplus lines tax %. ",""))="","PASS","FAIL: "&amp;TRIM(IF($A124="","Missing certificate ref. ","") &amp; IF($C124="","Missing effective date. ","") &amp; IF($D124="","Missing binding status. ","") &amp; IF($E124="","Missing movement type. ","") &amp; IF($I124="","Missing make. ","") &amp; IF($L124="","Missing vehicle class. ","") &amp; IF($M124="","Missing agreed value. ","") &amp; IF($N124="","Missing policy type. ","") &amp; IF($Q124="","Missing garaging state. ","") &amp; IF($R124="","Missing garaging ZIP. ","") &amp; IF($S124="","Missing cat zone. ","") &amp; IF($V124="","Missing valuation basis. ","") &amp; IF($W124="","Missing PD deductible. ","") &amp; IF($X124="","Missing liability limit. ","") &amp; IF($AB124="","Missing technical premium. ","") &amp; IF($AF124="","Missing surplus lines tax %. ",""))))</f>
        <v/>
      </c>
      <c r="AY124" s="52" t="str">
        <f aca="false">IF($M124="","",IF(ISNUMBER($M124),IF($M124&gt;=Header!$C$18,"YES — refer","No"),""))</f>
        <v/>
      </c>
      <c r="AZ124" s="52" t="str">
        <f aca="false">IF($AD124="","",IF(ISNUMBER($AD124),IF($AD124&lt;Header!$C$20,"BELOW MIN PREMIUM","OK"),""))</f>
        <v/>
      </c>
      <c r="BA124" s="56"/>
      <c r="BB124" s="56"/>
      <c r="BC124" s="54"/>
      <c r="BE124" s="53" t="str">
        <f aca="false">IF(OR($A124="",$L124="",$H124=""),"",IF(AND(LEFT($L124,2)="06",$H124&gt;1945),"FAIL - pre-war class, year "&amp;$H124,IF(AND(LEFT($L124,2)="07",OR($H124&lt;1946,$H124&gt;1972)),"FAIL - 1946-72 class, year "&amp;$H124,IF(AND(LEFT($L124,2)="08",OR($H124&lt;1973,$H124&gt;1999)),"FAIL - 1973-99 class, year "&amp;$H124,IF(AND(LEFT($L124,2)="09",OR($H124&lt;2000,$H124&gt;2010)),"FAIL - 2000-10 class, year "&amp;$H124,"OK")))))</f>
        <v/>
      </c>
      <c r="BF124" s="53" t="str">
        <f aca="false">IF($AD124="","",IF(ROUND($AO124+$AP124+$AQ124-$AD124,2)=0,"OK","FAIL - out by "&amp;TEXT($AO124+$AP124+$AQ124-$AD124,"$0.00")))</f>
        <v/>
      </c>
    </row>
    <row r="125" customFormat="false" ht="15" hidden="false" customHeight="true" outlineLevel="0" collapsed="false">
      <c r="A125" s="38"/>
      <c r="B125" s="38"/>
      <c r="C125" s="39"/>
      <c r="D125" s="40"/>
      <c r="E125" s="40"/>
      <c r="F125" s="38"/>
      <c r="G125" s="41" t="str">
        <f aca="false">IF($A125="","",IF($C125="","",YEAR($C125)))</f>
        <v/>
      </c>
      <c r="H125" s="42"/>
      <c r="I125" s="38"/>
      <c r="J125" s="38"/>
      <c r="K125" s="38"/>
      <c r="L125" s="40"/>
      <c r="M125" s="43"/>
      <c r="N125" s="40"/>
      <c r="O125" s="38"/>
      <c r="P125" s="38"/>
      <c r="Q125" s="38"/>
      <c r="R125" s="38"/>
      <c r="S125" s="40"/>
      <c r="T125" s="44" t="str">
        <f aca="false">IF($A125="","",IF($S125="","",IFERROR(INDEX(Lists!$N$5:$N$16,MATCH($S125,Lists!$M$5:$M$16,0)),"?")))</f>
        <v/>
      </c>
      <c r="U125" s="38"/>
      <c r="V125" s="40"/>
      <c r="W125" s="38"/>
      <c r="X125" s="40"/>
      <c r="Y125" s="38"/>
      <c r="Z125" s="38"/>
      <c r="AA125" s="40"/>
      <c r="AB125" s="43"/>
      <c r="AC125" s="45"/>
      <c r="AD125" s="46" t="str">
        <f aca="false">IF(ISNUMBER($AB125),$AB125*(1+N($AC125)),"")</f>
        <v/>
      </c>
      <c r="AE125" s="43"/>
      <c r="AF125" s="43"/>
      <c r="AG125" s="45"/>
      <c r="AH125" s="47" t="str">
        <f aca="false">IF(ISNUMBER($AD125),($AD125+$AE125+$AF125)*$AG125,"")</f>
        <v/>
      </c>
      <c r="AI125" s="43"/>
      <c r="AJ125" s="46" t="str">
        <f aca="false">IF(ISNUMBER($AD125),SUM($AD125:$AH125),"")</f>
        <v/>
      </c>
      <c r="AK125" s="48" t="str">
        <f aca="false">IF(AND(ISNUMBER($AB125),ISNUMBER($AD125)),IF($AB125&gt;0,$AD125/$AB125,""),"")</f>
        <v/>
      </c>
      <c r="AL125" s="40"/>
      <c r="AM125" s="49" t="str">
        <f aca="false">IF(ISNUMBER($AD125),Header!$I$3,"")</f>
        <v/>
      </c>
      <c r="AN125" s="47" t="str">
        <f aca="false">IF(ISNUMBER($AD125),$AO125+$AP125,"")</f>
        <v/>
      </c>
      <c r="AO125" s="47" t="str">
        <f aca="false">IF(ISNUMBER($AD125),ROUND($AD125*Header!$K$3,2),"")</f>
        <v/>
      </c>
      <c r="AP125" s="47" t="str">
        <f aca="false">IF(ISNUMBER($AD125),ROUND($AD125*Header!$M$3,2),"")</f>
        <v/>
      </c>
      <c r="AQ125" s="46" t="str">
        <f aca="false">IF(ISNUMBER($AD125),ROUND($AD125,2)-$AO125-$AP125,"")</f>
        <v/>
      </c>
      <c r="AR125" s="47" t="str">
        <f aca="false">IF(ISNUMBER($AD125),IF(Header!$D$34="","?",$AD125*Header!$D$34),"")</f>
        <v/>
      </c>
      <c r="AS125" s="47" t="str">
        <f aca="false">IF(ISNUMBER($AB125),IF(Header!$D$34="","?",$AB125*Header!$D$34),"")</f>
        <v/>
      </c>
      <c r="AT125" s="50" t="str">
        <f aca="false">IF(AND(ISNUMBER($AB125),$M125&gt;0),$AB125/$M125*100,"")</f>
        <v/>
      </c>
      <c r="AU125" s="50" t="str">
        <f aca="false">IF(AND(ISNUMBER($AD125),$M125&gt;0),$AD125/$M125*100,"")</f>
        <v/>
      </c>
      <c r="AV125" s="48" t="str">
        <f aca="false">IF(AND(ISNUMBER($AB125),ISNUMBER($AD125),ABS($AB125)&gt;0),$AD125/$AB125,"")</f>
        <v/>
      </c>
      <c r="AW125" s="47" t="str">
        <f aca="false">IF(ISNUMBER($AD125),MAX(0,(1-0.55-Header!$O$3)*Header!$Q$3*$AQ125),"")</f>
        <v/>
      </c>
      <c r="AX125" s="51" t="str">
        <f aca="false">IF($A125="","",IF(TRIM(IF($A125="","Missing certificate ref. ","") &amp; IF($C125="","Missing effective date. ","") &amp; IF($D125="","Missing binding status. ","") &amp; IF($E125="","Missing movement type. ","") &amp; IF($I125="","Missing make. ","") &amp; IF($L125="","Missing vehicle class. ","") &amp; IF($M125="","Missing agreed value. ","") &amp; IF($N125="","Missing policy type. ","") &amp; IF($Q125="","Missing garaging state. ","") &amp; IF($R125="","Missing garaging ZIP. ","") &amp; IF($S125="","Missing cat zone. ","") &amp; IF($V125="","Missing valuation basis. ","") &amp; IF($W125="","Missing PD deductible. ","") &amp; IF($X125="","Missing liability limit. ","") &amp; IF($AB125="","Missing technical premium. ","") &amp; IF($AF125="","Missing surplus lines tax %. ",""))="","PASS","FAIL: "&amp;TRIM(IF($A125="","Missing certificate ref. ","") &amp; IF($C125="","Missing effective date. ","") &amp; IF($D125="","Missing binding status. ","") &amp; IF($E125="","Missing movement type. ","") &amp; IF($I125="","Missing make. ","") &amp; IF($L125="","Missing vehicle class. ","") &amp; IF($M125="","Missing agreed value. ","") &amp; IF($N125="","Missing policy type. ","") &amp; IF($Q125="","Missing garaging state. ","") &amp; IF($R125="","Missing garaging ZIP. ","") &amp; IF($S125="","Missing cat zone. ","") &amp; IF($V125="","Missing valuation basis. ","") &amp; IF($W125="","Missing PD deductible. ","") &amp; IF($X125="","Missing liability limit. ","") &amp; IF($AB125="","Missing technical premium. ","") &amp; IF($AF125="","Missing surplus lines tax %. ",""))))</f>
        <v/>
      </c>
      <c r="AY125" s="52" t="str">
        <f aca="false">IF($M125="","",IF(ISNUMBER($M125),IF($M125&gt;=Header!$C$18,"YES — refer","No"),""))</f>
        <v/>
      </c>
      <c r="AZ125" s="52" t="str">
        <f aca="false">IF($AD125="","",IF(ISNUMBER($AD125),IF($AD125&lt;Header!$C$20,"BELOW MIN PREMIUM","OK"),""))</f>
        <v/>
      </c>
      <c r="BA125" s="40"/>
      <c r="BB125" s="40"/>
      <c r="BC125" s="38"/>
      <c r="BE125" s="53" t="str">
        <f aca="false">IF(OR($A125="",$L125="",$H125=""),"",IF(AND(LEFT($L125,2)="06",$H125&gt;1945),"FAIL - pre-war class, year "&amp;$H125,IF(AND(LEFT($L125,2)="07",OR($H125&lt;1946,$H125&gt;1972)),"FAIL - 1946-72 class, year "&amp;$H125,IF(AND(LEFT($L125,2)="08",OR($H125&lt;1973,$H125&gt;1999)),"FAIL - 1973-99 class, year "&amp;$H125,IF(AND(LEFT($L125,2)="09",OR($H125&lt;2000,$H125&gt;2010)),"FAIL - 2000-10 class, year "&amp;$H125,"OK")))))</f>
        <v/>
      </c>
      <c r="BF125" s="53" t="str">
        <f aca="false">IF($AD125="","",IF(ROUND($AO125+$AP125+$AQ125-$AD125,2)=0,"OK","FAIL - out by "&amp;TEXT($AO125+$AP125+$AQ125-$AD125,"$0.00")))</f>
        <v/>
      </c>
    </row>
    <row r="126" customFormat="false" ht="15" hidden="false" customHeight="true" outlineLevel="0" collapsed="false">
      <c r="A126" s="54"/>
      <c r="B126" s="54"/>
      <c r="C126" s="55"/>
      <c r="D126" s="56"/>
      <c r="E126" s="56"/>
      <c r="F126" s="54"/>
      <c r="G126" s="41" t="str">
        <f aca="false">IF($A126="","",IF($C126="","",YEAR($C126)))</f>
        <v/>
      </c>
      <c r="H126" s="57"/>
      <c r="I126" s="54"/>
      <c r="J126" s="54"/>
      <c r="K126" s="54"/>
      <c r="L126" s="56"/>
      <c r="M126" s="58"/>
      <c r="N126" s="56"/>
      <c r="O126" s="54"/>
      <c r="P126" s="54"/>
      <c r="Q126" s="54"/>
      <c r="R126" s="54"/>
      <c r="S126" s="56"/>
      <c r="T126" s="44" t="str">
        <f aca="false">IF($A126="","",IF($S126="","",IFERROR(INDEX(Lists!$N$5:$N$16,MATCH($S126,Lists!$M$5:$M$16,0)),"?")))</f>
        <v/>
      </c>
      <c r="U126" s="54"/>
      <c r="V126" s="56"/>
      <c r="W126" s="54"/>
      <c r="X126" s="56"/>
      <c r="Y126" s="54"/>
      <c r="Z126" s="54"/>
      <c r="AA126" s="56"/>
      <c r="AB126" s="58"/>
      <c r="AC126" s="59"/>
      <c r="AD126" s="46" t="str">
        <f aca="false">IF(ISNUMBER($AB126),$AB126*(1+N($AC126)),"")</f>
        <v/>
      </c>
      <c r="AE126" s="58"/>
      <c r="AF126" s="58"/>
      <c r="AG126" s="59"/>
      <c r="AH126" s="47" t="str">
        <f aca="false">IF(ISNUMBER($AD126),($AD126+$AE126+$AF126)*$AG126,"")</f>
        <v/>
      </c>
      <c r="AI126" s="58"/>
      <c r="AJ126" s="46" t="str">
        <f aca="false">IF(ISNUMBER($AD126),SUM($AD126:$AH126),"")</f>
        <v/>
      </c>
      <c r="AK126" s="48" t="str">
        <f aca="false">IF(AND(ISNUMBER($AB126),ISNUMBER($AD126)),IF($AB126&gt;0,$AD126/$AB126,""),"")</f>
        <v/>
      </c>
      <c r="AL126" s="56"/>
      <c r="AM126" s="49" t="str">
        <f aca="false">IF(ISNUMBER($AD126),Header!$I$3,"")</f>
        <v/>
      </c>
      <c r="AN126" s="47" t="str">
        <f aca="false">IF(ISNUMBER($AD126),$AO126+$AP126,"")</f>
        <v/>
      </c>
      <c r="AO126" s="47" t="str">
        <f aca="false">IF(ISNUMBER($AD126),ROUND($AD126*Header!$K$3,2),"")</f>
        <v/>
      </c>
      <c r="AP126" s="47" t="str">
        <f aca="false">IF(ISNUMBER($AD126),ROUND($AD126*Header!$M$3,2),"")</f>
        <v/>
      </c>
      <c r="AQ126" s="46" t="str">
        <f aca="false">IF(ISNUMBER($AD126),ROUND($AD126,2)-$AO126-$AP126,"")</f>
        <v/>
      </c>
      <c r="AR126" s="47" t="str">
        <f aca="false">IF(ISNUMBER($AD126),IF(Header!$D$34="","?",$AD126*Header!$D$34),"")</f>
        <v/>
      </c>
      <c r="AS126" s="47" t="str">
        <f aca="false">IF(ISNUMBER($AB126),IF(Header!$D$34="","?",$AB126*Header!$D$34),"")</f>
        <v/>
      </c>
      <c r="AT126" s="50" t="str">
        <f aca="false">IF(AND(ISNUMBER($AB126),$M126&gt;0),$AB126/$M126*100,"")</f>
        <v/>
      </c>
      <c r="AU126" s="50" t="str">
        <f aca="false">IF(AND(ISNUMBER($AD126),$M126&gt;0),$AD126/$M126*100,"")</f>
        <v/>
      </c>
      <c r="AV126" s="48" t="str">
        <f aca="false">IF(AND(ISNUMBER($AB126),ISNUMBER($AD126),ABS($AB126)&gt;0),$AD126/$AB126,"")</f>
        <v/>
      </c>
      <c r="AW126" s="47" t="str">
        <f aca="false">IF(ISNUMBER($AD126),MAX(0,(1-0.55-Header!$O$3)*Header!$Q$3*$AQ126),"")</f>
        <v/>
      </c>
      <c r="AX126" s="51" t="str">
        <f aca="false">IF($A126="","",IF(TRIM(IF($A126="","Missing certificate ref. ","") &amp; IF($C126="","Missing effective date. ","") &amp; IF($D126="","Missing binding status. ","") &amp; IF($E126="","Missing movement type. ","") &amp; IF($I126="","Missing make. ","") &amp; IF($L126="","Missing vehicle class. ","") &amp; IF($M126="","Missing agreed value. ","") &amp; IF($N126="","Missing policy type. ","") &amp; IF($Q126="","Missing garaging state. ","") &amp; IF($R126="","Missing garaging ZIP. ","") &amp; IF($S126="","Missing cat zone. ","") &amp; IF($V126="","Missing valuation basis. ","") &amp; IF($W126="","Missing PD deductible. ","") &amp; IF($X126="","Missing liability limit. ","") &amp; IF($AB126="","Missing technical premium. ","") &amp; IF($AF126="","Missing surplus lines tax %. ",""))="","PASS","FAIL: "&amp;TRIM(IF($A126="","Missing certificate ref. ","") &amp; IF($C126="","Missing effective date. ","") &amp; IF($D126="","Missing binding status. ","") &amp; IF($E126="","Missing movement type. ","") &amp; IF($I126="","Missing make. ","") &amp; IF($L126="","Missing vehicle class. ","") &amp; IF($M126="","Missing agreed value. ","") &amp; IF($N126="","Missing policy type. ","") &amp; IF($Q126="","Missing garaging state. ","") &amp; IF($R126="","Missing garaging ZIP. ","") &amp; IF($S126="","Missing cat zone. ","") &amp; IF($V126="","Missing valuation basis. ","") &amp; IF($W126="","Missing PD deductible. ","") &amp; IF($X126="","Missing liability limit. ","") &amp; IF($AB126="","Missing technical premium. ","") &amp; IF($AF126="","Missing surplus lines tax %. ",""))))</f>
        <v/>
      </c>
      <c r="AY126" s="52" t="str">
        <f aca="false">IF($M126="","",IF(ISNUMBER($M126),IF($M126&gt;=Header!$C$18,"YES — refer","No"),""))</f>
        <v/>
      </c>
      <c r="AZ126" s="52" t="str">
        <f aca="false">IF($AD126="","",IF(ISNUMBER($AD126),IF($AD126&lt;Header!$C$20,"BELOW MIN PREMIUM","OK"),""))</f>
        <v/>
      </c>
      <c r="BA126" s="56"/>
      <c r="BB126" s="56"/>
      <c r="BC126" s="54"/>
      <c r="BE126" s="53" t="str">
        <f aca="false">IF(OR($A126="",$L126="",$H126=""),"",IF(AND(LEFT($L126,2)="06",$H126&gt;1945),"FAIL - pre-war class, year "&amp;$H126,IF(AND(LEFT($L126,2)="07",OR($H126&lt;1946,$H126&gt;1972)),"FAIL - 1946-72 class, year "&amp;$H126,IF(AND(LEFT($L126,2)="08",OR($H126&lt;1973,$H126&gt;1999)),"FAIL - 1973-99 class, year "&amp;$H126,IF(AND(LEFT($L126,2)="09",OR($H126&lt;2000,$H126&gt;2010)),"FAIL - 2000-10 class, year "&amp;$H126,"OK")))))</f>
        <v/>
      </c>
      <c r="BF126" s="53" t="str">
        <f aca="false">IF($AD126="","",IF(ROUND($AO126+$AP126+$AQ126-$AD126,2)=0,"OK","FAIL - out by "&amp;TEXT($AO126+$AP126+$AQ126-$AD126,"$0.00")))</f>
        <v/>
      </c>
    </row>
    <row r="127" customFormat="false" ht="15" hidden="false" customHeight="true" outlineLevel="0" collapsed="false">
      <c r="A127" s="38"/>
      <c r="B127" s="38"/>
      <c r="C127" s="39"/>
      <c r="D127" s="40"/>
      <c r="E127" s="40"/>
      <c r="F127" s="38"/>
      <c r="G127" s="41" t="str">
        <f aca="false">IF($A127="","",IF($C127="","",YEAR($C127)))</f>
        <v/>
      </c>
      <c r="H127" s="42"/>
      <c r="I127" s="38"/>
      <c r="J127" s="38"/>
      <c r="K127" s="38"/>
      <c r="L127" s="40"/>
      <c r="M127" s="43"/>
      <c r="N127" s="40"/>
      <c r="O127" s="38"/>
      <c r="P127" s="38"/>
      <c r="Q127" s="38"/>
      <c r="R127" s="38"/>
      <c r="S127" s="40"/>
      <c r="T127" s="44" t="str">
        <f aca="false">IF($A127="","",IF($S127="","",IFERROR(INDEX(Lists!$N$5:$N$16,MATCH($S127,Lists!$M$5:$M$16,0)),"?")))</f>
        <v/>
      </c>
      <c r="U127" s="38"/>
      <c r="V127" s="40"/>
      <c r="W127" s="38"/>
      <c r="X127" s="40"/>
      <c r="Y127" s="38"/>
      <c r="Z127" s="38"/>
      <c r="AA127" s="40"/>
      <c r="AB127" s="43"/>
      <c r="AC127" s="45"/>
      <c r="AD127" s="46" t="str">
        <f aca="false">IF(ISNUMBER($AB127),$AB127*(1+N($AC127)),"")</f>
        <v/>
      </c>
      <c r="AE127" s="43"/>
      <c r="AF127" s="43"/>
      <c r="AG127" s="45"/>
      <c r="AH127" s="47" t="str">
        <f aca="false">IF(ISNUMBER($AD127),($AD127+$AE127+$AF127)*$AG127,"")</f>
        <v/>
      </c>
      <c r="AI127" s="43"/>
      <c r="AJ127" s="46" t="str">
        <f aca="false">IF(ISNUMBER($AD127),SUM($AD127:$AH127),"")</f>
        <v/>
      </c>
      <c r="AK127" s="48" t="str">
        <f aca="false">IF(AND(ISNUMBER($AB127),ISNUMBER($AD127)),IF($AB127&gt;0,$AD127/$AB127,""),"")</f>
        <v/>
      </c>
      <c r="AL127" s="40"/>
      <c r="AM127" s="49" t="str">
        <f aca="false">IF(ISNUMBER($AD127),Header!$I$3,"")</f>
        <v/>
      </c>
      <c r="AN127" s="47" t="str">
        <f aca="false">IF(ISNUMBER($AD127),$AO127+$AP127,"")</f>
        <v/>
      </c>
      <c r="AO127" s="47" t="str">
        <f aca="false">IF(ISNUMBER($AD127),ROUND($AD127*Header!$K$3,2),"")</f>
        <v/>
      </c>
      <c r="AP127" s="47" t="str">
        <f aca="false">IF(ISNUMBER($AD127),ROUND($AD127*Header!$M$3,2),"")</f>
        <v/>
      </c>
      <c r="AQ127" s="46" t="str">
        <f aca="false">IF(ISNUMBER($AD127),ROUND($AD127,2)-$AO127-$AP127,"")</f>
        <v/>
      </c>
      <c r="AR127" s="47" t="str">
        <f aca="false">IF(ISNUMBER($AD127),IF(Header!$D$34="","?",$AD127*Header!$D$34),"")</f>
        <v/>
      </c>
      <c r="AS127" s="47" t="str">
        <f aca="false">IF(ISNUMBER($AB127),IF(Header!$D$34="","?",$AB127*Header!$D$34),"")</f>
        <v/>
      </c>
      <c r="AT127" s="50" t="str">
        <f aca="false">IF(AND(ISNUMBER($AB127),$M127&gt;0),$AB127/$M127*100,"")</f>
        <v/>
      </c>
      <c r="AU127" s="50" t="str">
        <f aca="false">IF(AND(ISNUMBER($AD127),$M127&gt;0),$AD127/$M127*100,"")</f>
        <v/>
      </c>
      <c r="AV127" s="48" t="str">
        <f aca="false">IF(AND(ISNUMBER($AB127),ISNUMBER($AD127),ABS($AB127)&gt;0),$AD127/$AB127,"")</f>
        <v/>
      </c>
      <c r="AW127" s="47" t="str">
        <f aca="false">IF(ISNUMBER($AD127),MAX(0,(1-0.55-Header!$O$3)*Header!$Q$3*$AQ127),"")</f>
        <v/>
      </c>
      <c r="AX127" s="51" t="str">
        <f aca="false">IF($A127="","",IF(TRIM(IF($A127="","Missing certificate ref. ","") &amp; IF($C127="","Missing effective date. ","") &amp; IF($D127="","Missing binding status. ","") &amp; IF($E127="","Missing movement type. ","") &amp; IF($I127="","Missing make. ","") &amp; IF($L127="","Missing vehicle class. ","") &amp; IF($M127="","Missing agreed value. ","") &amp; IF($N127="","Missing policy type. ","") &amp; IF($Q127="","Missing garaging state. ","") &amp; IF($R127="","Missing garaging ZIP. ","") &amp; IF($S127="","Missing cat zone. ","") &amp; IF($V127="","Missing valuation basis. ","") &amp; IF($W127="","Missing PD deductible. ","") &amp; IF($X127="","Missing liability limit. ","") &amp; IF($AB127="","Missing technical premium. ","") &amp; IF($AF127="","Missing surplus lines tax %. ",""))="","PASS","FAIL: "&amp;TRIM(IF($A127="","Missing certificate ref. ","") &amp; IF($C127="","Missing effective date. ","") &amp; IF($D127="","Missing binding status. ","") &amp; IF($E127="","Missing movement type. ","") &amp; IF($I127="","Missing make. ","") &amp; IF($L127="","Missing vehicle class. ","") &amp; IF($M127="","Missing agreed value. ","") &amp; IF($N127="","Missing policy type. ","") &amp; IF($Q127="","Missing garaging state. ","") &amp; IF($R127="","Missing garaging ZIP. ","") &amp; IF($S127="","Missing cat zone. ","") &amp; IF($V127="","Missing valuation basis. ","") &amp; IF($W127="","Missing PD deductible. ","") &amp; IF($X127="","Missing liability limit. ","") &amp; IF($AB127="","Missing technical premium. ","") &amp; IF($AF127="","Missing surplus lines tax %. ",""))))</f>
        <v/>
      </c>
      <c r="AY127" s="52" t="str">
        <f aca="false">IF($M127="","",IF(ISNUMBER($M127),IF($M127&gt;=Header!$C$18,"YES — refer","No"),""))</f>
        <v/>
      </c>
      <c r="AZ127" s="52" t="str">
        <f aca="false">IF($AD127="","",IF(ISNUMBER($AD127),IF($AD127&lt;Header!$C$20,"BELOW MIN PREMIUM","OK"),""))</f>
        <v/>
      </c>
      <c r="BA127" s="40"/>
      <c r="BB127" s="40"/>
      <c r="BC127" s="38"/>
      <c r="BE127" s="53" t="str">
        <f aca="false">IF(OR($A127="",$L127="",$H127=""),"",IF(AND(LEFT($L127,2)="06",$H127&gt;1945),"FAIL - pre-war class, year "&amp;$H127,IF(AND(LEFT($L127,2)="07",OR($H127&lt;1946,$H127&gt;1972)),"FAIL - 1946-72 class, year "&amp;$H127,IF(AND(LEFT($L127,2)="08",OR($H127&lt;1973,$H127&gt;1999)),"FAIL - 1973-99 class, year "&amp;$H127,IF(AND(LEFT($L127,2)="09",OR($H127&lt;2000,$H127&gt;2010)),"FAIL - 2000-10 class, year "&amp;$H127,"OK")))))</f>
        <v/>
      </c>
      <c r="BF127" s="53" t="str">
        <f aca="false">IF($AD127="","",IF(ROUND($AO127+$AP127+$AQ127-$AD127,2)=0,"OK","FAIL - out by "&amp;TEXT($AO127+$AP127+$AQ127-$AD127,"$0.00")))</f>
        <v/>
      </c>
    </row>
    <row r="128" customFormat="false" ht="15" hidden="false" customHeight="true" outlineLevel="0" collapsed="false">
      <c r="A128" s="54"/>
      <c r="B128" s="54"/>
      <c r="C128" s="55"/>
      <c r="D128" s="56"/>
      <c r="E128" s="56"/>
      <c r="F128" s="54"/>
      <c r="G128" s="41" t="str">
        <f aca="false">IF($A128="","",IF($C128="","",YEAR($C128)))</f>
        <v/>
      </c>
      <c r="H128" s="57"/>
      <c r="I128" s="54"/>
      <c r="J128" s="54"/>
      <c r="K128" s="54"/>
      <c r="L128" s="56"/>
      <c r="M128" s="58"/>
      <c r="N128" s="56"/>
      <c r="O128" s="54"/>
      <c r="P128" s="54"/>
      <c r="Q128" s="54"/>
      <c r="R128" s="54"/>
      <c r="S128" s="56"/>
      <c r="T128" s="44" t="str">
        <f aca="false">IF($A128="","",IF($S128="","",IFERROR(INDEX(Lists!$N$5:$N$16,MATCH($S128,Lists!$M$5:$M$16,0)),"?")))</f>
        <v/>
      </c>
      <c r="U128" s="54"/>
      <c r="V128" s="56"/>
      <c r="W128" s="54"/>
      <c r="X128" s="56"/>
      <c r="Y128" s="54"/>
      <c r="Z128" s="54"/>
      <c r="AA128" s="56"/>
      <c r="AB128" s="58"/>
      <c r="AC128" s="59"/>
      <c r="AD128" s="46" t="str">
        <f aca="false">IF(ISNUMBER($AB128),$AB128*(1+N($AC128)),"")</f>
        <v/>
      </c>
      <c r="AE128" s="58"/>
      <c r="AF128" s="58"/>
      <c r="AG128" s="59"/>
      <c r="AH128" s="47" t="str">
        <f aca="false">IF(ISNUMBER($AD128),($AD128+$AE128+$AF128)*$AG128,"")</f>
        <v/>
      </c>
      <c r="AI128" s="58"/>
      <c r="AJ128" s="46" t="str">
        <f aca="false">IF(ISNUMBER($AD128),SUM($AD128:$AH128),"")</f>
        <v/>
      </c>
      <c r="AK128" s="48" t="str">
        <f aca="false">IF(AND(ISNUMBER($AB128),ISNUMBER($AD128)),IF($AB128&gt;0,$AD128/$AB128,""),"")</f>
        <v/>
      </c>
      <c r="AL128" s="56"/>
      <c r="AM128" s="49" t="str">
        <f aca="false">IF(ISNUMBER($AD128),Header!$I$3,"")</f>
        <v/>
      </c>
      <c r="AN128" s="47" t="str">
        <f aca="false">IF(ISNUMBER($AD128),$AO128+$AP128,"")</f>
        <v/>
      </c>
      <c r="AO128" s="47" t="str">
        <f aca="false">IF(ISNUMBER($AD128),ROUND($AD128*Header!$K$3,2),"")</f>
        <v/>
      </c>
      <c r="AP128" s="47" t="str">
        <f aca="false">IF(ISNUMBER($AD128),ROUND($AD128*Header!$M$3,2),"")</f>
        <v/>
      </c>
      <c r="AQ128" s="46" t="str">
        <f aca="false">IF(ISNUMBER($AD128),ROUND($AD128,2)-$AO128-$AP128,"")</f>
        <v/>
      </c>
      <c r="AR128" s="47" t="str">
        <f aca="false">IF(ISNUMBER($AD128),IF(Header!$D$34="","?",$AD128*Header!$D$34),"")</f>
        <v/>
      </c>
      <c r="AS128" s="47" t="str">
        <f aca="false">IF(ISNUMBER($AB128),IF(Header!$D$34="","?",$AB128*Header!$D$34),"")</f>
        <v/>
      </c>
      <c r="AT128" s="50" t="str">
        <f aca="false">IF(AND(ISNUMBER($AB128),$M128&gt;0),$AB128/$M128*100,"")</f>
        <v/>
      </c>
      <c r="AU128" s="50" t="str">
        <f aca="false">IF(AND(ISNUMBER($AD128),$M128&gt;0),$AD128/$M128*100,"")</f>
        <v/>
      </c>
      <c r="AV128" s="48" t="str">
        <f aca="false">IF(AND(ISNUMBER($AB128),ISNUMBER($AD128),ABS($AB128)&gt;0),$AD128/$AB128,"")</f>
        <v/>
      </c>
      <c r="AW128" s="47" t="str">
        <f aca="false">IF(ISNUMBER($AD128),MAX(0,(1-0.55-Header!$O$3)*Header!$Q$3*$AQ128),"")</f>
        <v/>
      </c>
      <c r="AX128" s="51" t="str">
        <f aca="false">IF($A128="","",IF(TRIM(IF($A128="","Missing certificate ref. ","") &amp; IF($C128="","Missing effective date. ","") &amp; IF($D128="","Missing binding status. ","") &amp; IF($E128="","Missing movement type. ","") &amp; IF($I128="","Missing make. ","") &amp; IF($L128="","Missing vehicle class. ","") &amp; IF($M128="","Missing agreed value. ","") &amp; IF($N128="","Missing policy type. ","") &amp; IF($Q128="","Missing garaging state. ","") &amp; IF($R128="","Missing garaging ZIP. ","") &amp; IF($S128="","Missing cat zone. ","") &amp; IF($V128="","Missing valuation basis. ","") &amp; IF($W128="","Missing PD deductible. ","") &amp; IF($X128="","Missing liability limit. ","") &amp; IF($AB128="","Missing technical premium. ","") &amp; IF($AF128="","Missing surplus lines tax %. ",""))="","PASS","FAIL: "&amp;TRIM(IF($A128="","Missing certificate ref. ","") &amp; IF($C128="","Missing effective date. ","") &amp; IF($D128="","Missing binding status. ","") &amp; IF($E128="","Missing movement type. ","") &amp; IF($I128="","Missing make. ","") &amp; IF($L128="","Missing vehicle class. ","") &amp; IF($M128="","Missing agreed value. ","") &amp; IF($N128="","Missing policy type. ","") &amp; IF($Q128="","Missing garaging state. ","") &amp; IF($R128="","Missing garaging ZIP. ","") &amp; IF($S128="","Missing cat zone. ","") &amp; IF($V128="","Missing valuation basis. ","") &amp; IF($W128="","Missing PD deductible. ","") &amp; IF($X128="","Missing liability limit. ","") &amp; IF($AB128="","Missing technical premium. ","") &amp; IF($AF128="","Missing surplus lines tax %. ",""))))</f>
        <v/>
      </c>
      <c r="AY128" s="52" t="str">
        <f aca="false">IF($M128="","",IF(ISNUMBER($M128),IF($M128&gt;=Header!$C$18,"YES — refer","No"),""))</f>
        <v/>
      </c>
      <c r="AZ128" s="52" t="str">
        <f aca="false">IF($AD128="","",IF(ISNUMBER($AD128),IF($AD128&lt;Header!$C$20,"BELOW MIN PREMIUM","OK"),""))</f>
        <v/>
      </c>
      <c r="BA128" s="56"/>
      <c r="BB128" s="56"/>
      <c r="BC128" s="54"/>
      <c r="BE128" s="53" t="str">
        <f aca="false">IF(OR($A128="",$L128="",$H128=""),"",IF(AND(LEFT($L128,2)="06",$H128&gt;1945),"FAIL - pre-war class, year "&amp;$H128,IF(AND(LEFT($L128,2)="07",OR($H128&lt;1946,$H128&gt;1972)),"FAIL - 1946-72 class, year "&amp;$H128,IF(AND(LEFT($L128,2)="08",OR($H128&lt;1973,$H128&gt;1999)),"FAIL - 1973-99 class, year "&amp;$H128,IF(AND(LEFT($L128,2)="09",OR($H128&lt;2000,$H128&gt;2010)),"FAIL - 2000-10 class, year "&amp;$H128,"OK")))))</f>
        <v/>
      </c>
      <c r="BF128" s="53" t="str">
        <f aca="false">IF($AD128="","",IF(ROUND($AO128+$AP128+$AQ128-$AD128,2)=0,"OK","FAIL - out by "&amp;TEXT($AO128+$AP128+$AQ128-$AD128,"$0.00")))</f>
        <v/>
      </c>
    </row>
    <row r="129" customFormat="false" ht="15" hidden="false" customHeight="true" outlineLevel="0" collapsed="false">
      <c r="A129" s="38"/>
      <c r="B129" s="38"/>
      <c r="C129" s="39"/>
      <c r="D129" s="40"/>
      <c r="E129" s="40"/>
      <c r="F129" s="38"/>
      <c r="G129" s="41" t="str">
        <f aca="false">IF($A129="","",IF($C129="","",YEAR($C129)))</f>
        <v/>
      </c>
      <c r="H129" s="42"/>
      <c r="I129" s="38"/>
      <c r="J129" s="38"/>
      <c r="K129" s="38"/>
      <c r="L129" s="40"/>
      <c r="M129" s="43"/>
      <c r="N129" s="40"/>
      <c r="O129" s="38"/>
      <c r="P129" s="38"/>
      <c r="Q129" s="38"/>
      <c r="R129" s="38"/>
      <c r="S129" s="40"/>
      <c r="T129" s="44" t="str">
        <f aca="false">IF($A129="","",IF($S129="","",IFERROR(INDEX(Lists!$N$5:$N$16,MATCH($S129,Lists!$M$5:$M$16,0)),"?")))</f>
        <v/>
      </c>
      <c r="U129" s="38"/>
      <c r="V129" s="40"/>
      <c r="W129" s="38"/>
      <c r="X129" s="40"/>
      <c r="Y129" s="38"/>
      <c r="Z129" s="38"/>
      <c r="AA129" s="40"/>
      <c r="AB129" s="43"/>
      <c r="AC129" s="45"/>
      <c r="AD129" s="46" t="str">
        <f aca="false">IF(ISNUMBER($AB129),$AB129*(1+N($AC129)),"")</f>
        <v/>
      </c>
      <c r="AE129" s="43"/>
      <c r="AF129" s="43"/>
      <c r="AG129" s="45"/>
      <c r="AH129" s="47" t="str">
        <f aca="false">IF(ISNUMBER($AD129),($AD129+$AE129+$AF129)*$AG129,"")</f>
        <v/>
      </c>
      <c r="AI129" s="43"/>
      <c r="AJ129" s="46" t="str">
        <f aca="false">IF(ISNUMBER($AD129),SUM($AD129:$AH129),"")</f>
        <v/>
      </c>
      <c r="AK129" s="48" t="str">
        <f aca="false">IF(AND(ISNUMBER($AB129),ISNUMBER($AD129)),IF($AB129&gt;0,$AD129/$AB129,""),"")</f>
        <v/>
      </c>
      <c r="AL129" s="40"/>
      <c r="AM129" s="49" t="str">
        <f aca="false">IF(ISNUMBER($AD129),Header!$I$3,"")</f>
        <v/>
      </c>
      <c r="AN129" s="47" t="str">
        <f aca="false">IF(ISNUMBER($AD129),$AO129+$AP129,"")</f>
        <v/>
      </c>
      <c r="AO129" s="47" t="str">
        <f aca="false">IF(ISNUMBER($AD129),ROUND($AD129*Header!$K$3,2),"")</f>
        <v/>
      </c>
      <c r="AP129" s="47" t="str">
        <f aca="false">IF(ISNUMBER($AD129),ROUND($AD129*Header!$M$3,2),"")</f>
        <v/>
      </c>
      <c r="AQ129" s="46" t="str">
        <f aca="false">IF(ISNUMBER($AD129),ROUND($AD129,2)-$AO129-$AP129,"")</f>
        <v/>
      </c>
      <c r="AR129" s="47" t="str">
        <f aca="false">IF(ISNUMBER($AD129),IF(Header!$D$34="","?",$AD129*Header!$D$34),"")</f>
        <v/>
      </c>
      <c r="AS129" s="47" t="str">
        <f aca="false">IF(ISNUMBER($AB129),IF(Header!$D$34="","?",$AB129*Header!$D$34),"")</f>
        <v/>
      </c>
      <c r="AT129" s="50" t="str">
        <f aca="false">IF(AND(ISNUMBER($AB129),$M129&gt;0),$AB129/$M129*100,"")</f>
        <v/>
      </c>
      <c r="AU129" s="50" t="str">
        <f aca="false">IF(AND(ISNUMBER($AD129),$M129&gt;0),$AD129/$M129*100,"")</f>
        <v/>
      </c>
      <c r="AV129" s="48" t="str">
        <f aca="false">IF(AND(ISNUMBER($AB129),ISNUMBER($AD129),ABS($AB129)&gt;0),$AD129/$AB129,"")</f>
        <v/>
      </c>
      <c r="AW129" s="47" t="str">
        <f aca="false">IF(ISNUMBER($AD129),MAX(0,(1-0.55-Header!$O$3)*Header!$Q$3*$AQ129),"")</f>
        <v/>
      </c>
      <c r="AX129" s="51" t="str">
        <f aca="false">IF($A129="","",IF(TRIM(IF($A129="","Missing certificate ref. ","") &amp; IF($C129="","Missing effective date. ","") &amp; IF($D129="","Missing binding status. ","") &amp; IF($E129="","Missing movement type. ","") &amp; IF($I129="","Missing make. ","") &amp; IF($L129="","Missing vehicle class. ","") &amp; IF($M129="","Missing agreed value. ","") &amp; IF($N129="","Missing policy type. ","") &amp; IF($Q129="","Missing garaging state. ","") &amp; IF($R129="","Missing garaging ZIP. ","") &amp; IF($S129="","Missing cat zone. ","") &amp; IF($V129="","Missing valuation basis. ","") &amp; IF($W129="","Missing PD deductible. ","") &amp; IF($X129="","Missing liability limit. ","") &amp; IF($AB129="","Missing technical premium. ","") &amp; IF($AF129="","Missing surplus lines tax %. ",""))="","PASS","FAIL: "&amp;TRIM(IF($A129="","Missing certificate ref. ","") &amp; IF($C129="","Missing effective date. ","") &amp; IF($D129="","Missing binding status. ","") &amp; IF($E129="","Missing movement type. ","") &amp; IF($I129="","Missing make. ","") &amp; IF($L129="","Missing vehicle class. ","") &amp; IF($M129="","Missing agreed value. ","") &amp; IF($N129="","Missing policy type. ","") &amp; IF($Q129="","Missing garaging state. ","") &amp; IF($R129="","Missing garaging ZIP. ","") &amp; IF($S129="","Missing cat zone. ","") &amp; IF($V129="","Missing valuation basis. ","") &amp; IF($W129="","Missing PD deductible. ","") &amp; IF($X129="","Missing liability limit. ","") &amp; IF($AB129="","Missing technical premium. ","") &amp; IF($AF129="","Missing surplus lines tax %. ",""))))</f>
        <v/>
      </c>
      <c r="AY129" s="52" t="str">
        <f aca="false">IF($M129="","",IF(ISNUMBER($M129),IF($M129&gt;=Header!$C$18,"YES — refer","No"),""))</f>
        <v/>
      </c>
      <c r="AZ129" s="52" t="str">
        <f aca="false">IF($AD129="","",IF(ISNUMBER($AD129),IF($AD129&lt;Header!$C$20,"BELOW MIN PREMIUM","OK"),""))</f>
        <v/>
      </c>
      <c r="BA129" s="40"/>
      <c r="BB129" s="40"/>
      <c r="BC129" s="38"/>
      <c r="BE129" s="53" t="str">
        <f aca="false">IF(OR($A129="",$L129="",$H129=""),"",IF(AND(LEFT($L129,2)="06",$H129&gt;1945),"FAIL - pre-war class, year "&amp;$H129,IF(AND(LEFT($L129,2)="07",OR($H129&lt;1946,$H129&gt;1972)),"FAIL - 1946-72 class, year "&amp;$H129,IF(AND(LEFT($L129,2)="08",OR($H129&lt;1973,$H129&gt;1999)),"FAIL - 1973-99 class, year "&amp;$H129,IF(AND(LEFT($L129,2)="09",OR($H129&lt;2000,$H129&gt;2010)),"FAIL - 2000-10 class, year "&amp;$H129,"OK")))))</f>
        <v/>
      </c>
      <c r="BF129" s="53" t="str">
        <f aca="false">IF($AD129="","",IF(ROUND($AO129+$AP129+$AQ129-$AD129,2)=0,"OK","FAIL - out by "&amp;TEXT($AO129+$AP129+$AQ129-$AD129,"$0.00")))</f>
        <v/>
      </c>
    </row>
    <row r="130" customFormat="false" ht="15" hidden="false" customHeight="true" outlineLevel="0" collapsed="false">
      <c r="A130" s="54"/>
      <c r="B130" s="54"/>
      <c r="C130" s="55"/>
      <c r="D130" s="56"/>
      <c r="E130" s="56"/>
      <c r="F130" s="54"/>
      <c r="G130" s="41" t="str">
        <f aca="false">IF($A130="","",IF($C130="","",YEAR($C130)))</f>
        <v/>
      </c>
      <c r="H130" s="57"/>
      <c r="I130" s="54"/>
      <c r="J130" s="54"/>
      <c r="K130" s="54"/>
      <c r="L130" s="56"/>
      <c r="M130" s="58"/>
      <c r="N130" s="56"/>
      <c r="O130" s="54"/>
      <c r="P130" s="54"/>
      <c r="Q130" s="54"/>
      <c r="R130" s="54"/>
      <c r="S130" s="56"/>
      <c r="T130" s="44" t="str">
        <f aca="false">IF($A130="","",IF($S130="","",IFERROR(INDEX(Lists!$N$5:$N$16,MATCH($S130,Lists!$M$5:$M$16,0)),"?")))</f>
        <v/>
      </c>
      <c r="U130" s="54"/>
      <c r="V130" s="56"/>
      <c r="W130" s="54"/>
      <c r="X130" s="56"/>
      <c r="Y130" s="54"/>
      <c r="Z130" s="54"/>
      <c r="AA130" s="56"/>
      <c r="AB130" s="58"/>
      <c r="AC130" s="59"/>
      <c r="AD130" s="46" t="str">
        <f aca="false">IF(ISNUMBER($AB130),$AB130*(1+N($AC130)),"")</f>
        <v/>
      </c>
      <c r="AE130" s="58"/>
      <c r="AF130" s="58"/>
      <c r="AG130" s="59"/>
      <c r="AH130" s="47" t="str">
        <f aca="false">IF(ISNUMBER($AD130),($AD130+$AE130+$AF130)*$AG130,"")</f>
        <v/>
      </c>
      <c r="AI130" s="58"/>
      <c r="AJ130" s="46" t="str">
        <f aca="false">IF(ISNUMBER($AD130),SUM($AD130:$AH130),"")</f>
        <v/>
      </c>
      <c r="AK130" s="48" t="str">
        <f aca="false">IF(AND(ISNUMBER($AB130),ISNUMBER($AD130)),IF($AB130&gt;0,$AD130/$AB130,""),"")</f>
        <v/>
      </c>
      <c r="AL130" s="56"/>
      <c r="AM130" s="49" t="str">
        <f aca="false">IF(ISNUMBER($AD130),Header!$I$3,"")</f>
        <v/>
      </c>
      <c r="AN130" s="47" t="str">
        <f aca="false">IF(ISNUMBER($AD130),$AO130+$AP130,"")</f>
        <v/>
      </c>
      <c r="AO130" s="47" t="str">
        <f aca="false">IF(ISNUMBER($AD130),ROUND($AD130*Header!$K$3,2),"")</f>
        <v/>
      </c>
      <c r="AP130" s="47" t="str">
        <f aca="false">IF(ISNUMBER($AD130),ROUND($AD130*Header!$M$3,2),"")</f>
        <v/>
      </c>
      <c r="AQ130" s="46" t="str">
        <f aca="false">IF(ISNUMBER($AD130),ROUND($AD130,2)-$AO130-$AP130,"")</f>
        <v/>
      </c>
      <c r="AR130" s="47" t="str">
        <f aca="false">IF(ISNUMBER($AD130),IF(Header!$D$34="","?",$AD130*Header!$D$34),"")</f>
        <v/>
      </c>
      <c r="AS130" s="47" t="str">
        <f aca="false">IF(ISNUMBER($AB130),IF(Header!$D$34="","?",$AB130*Header!$D$34),"")</f>
        <v/>
      </c>
      <c r="AT130" s="50" t="str">
        <f aca="false">IF(AND(ISNUMBER($AB130),$M130&gt;0),$AB130/$M130*100,"")</f>
        <v/>
      </c>
      <c r="AU130" s="50" t="str">
        <f aca="false">IF(AND(ISNUMBER($AD130),$M130&gt;0),$AD130/$M130*100,"")</f>
        <v/>
      </c>
      <c r="AV130" s="48" t="str">
        <f aca="false">IF(AND(ISNUMBER($AB130),ISNUMBER($AD130),ABS($AB130)&gt;0),$AD130/$AB130,"")</f>
        <v/>
      </c>
      <c r="AW130" s="47" t="str">
        <f aca="false">IF(ISNUMBER($AD130),MAX(0,(1-0.55-Header!$O$3)*Header!$Q$3*$AQ130),"")</f>
        <v/>
      </c>
      <c r="AX130" s="51" t="str">
        <f aca="false">IF($A130="","",IF(TRIM(IF($A130="","Missing certificate ref. ","") &amp; IF($C130="","Missing effective date. ","") &amp; IF($D130="","Missing binding status. ","") &amp; IF($E130="","Missing movement type. ","") &amp; IF($I130="","Missing make. ","") &amp; IF($L130="","Missing vehicle class. ","") &amp; IF($M130="","Missing agreed value. ","") &amp; IF($N130="","Missing policy type. ","") &amp; IF($Q130="","Missing garaging state. ","") &amp; IF($R130="","Missing garaging ZIP. ","") &amp; IF($S130="","Missing cat zone. ","") &amp; IF($V130="","Missing valuation basis. ","") &amp; IF($W130="","Missing PD deductible. ","") &amp; IF($X130="","Missing liability limit. ","") &amp; IF($AB130="","Missing technical premium. ","") &amp; IF($AF130="","Missing surplus lines tax %. ",""))="","PASS","FAIL: "&amp;TRIM(IF($A130="","Missing certificate ref. ","") &amp; IF($C130="","Missing effective date. ","") &amp; IF($D130="","Missing binding status. ","") &amp; IF($E130="","Missing movement type. ","") &amp; IF($I130="","Missing make. ","") &amp; IF($L130="","Missing vehicle class. ","") &amp; IF($M130="","Missing agreed value. ","") &amp; IF($N130="","Missing policy type. ","") &amp; IF($Q130="","Missing garaging state. ","") &amp; IF($R130="","Missing garaging ZIP. ","") &amp; IF($S130="","Missing cat zone. ","") &amp; IF($V130="","Missing valuation basis. ","") &amp; IF($W130="","Missing PD deductible. ","") &amp; IF($X130="","Missing liability limit. ","") &amp; IF($AB130="","Missing technical premium. ","") &amp; IF($AF130="","Missing surplus lines tax %. ",""))))</f>
        <v/>
      </c>
      <c r="AY130" s="52" t="str">
        <f aca="false">IF($M130="","",IF(ISNUMBER($M130),IF($M130&gt;=Header!$C$18,"YES — refer","No"),""))</f>
        <v/>
      </c>
      <c r="AZ130" s="52" t="str">
        <f aca="false">IF($AD130="","",IF(ISNUMBER($AD130),IF($AD130&lt;Header!$C$20,"BELOW MIN PREMIUM","OK"),""))</f>
        <v/>
      </c>
      <c r="BA130" s="56"/>
      <c r="BB130" s="56"/>
      <c r="BC130" s="54"/>
      <c r="BE130" s="53" t="str">
        <f aca="false">IF(OR($A130="",$L130="",$H130=""),"",IF(AND(LEFT($L130,2)="06",$H130&gt;1945),"FAIL - pre-war class, year "&amp;$H130,IF(AND(LEFT($L130,2)="07",OR($H130&lt;1946,$H130&gt;1972)),"FAIL - 1946-72 class, year "&amp;$H130,IF(AND(LEFT($L130,2)="08",OR($H130&lt;1973,$H130&gt;1999)),"FAIL - 1973-99 class, year "&amp;$H130,IF(AND(LEFT($L130,2)="09",OR($H130&lt;2000,$H130&gt;2010)),"FAIL - 2000-10 class, year "&amp;$H130,"OK")))))</f>
        <v/>
      </c>
      <c r="BF130" s="53" t="str">
        <f aca="false">IF($AD130="","",IF(ROUND($AO130+$AP130+$AQ130-$AD130,2)=0,"OK","FAIL - out by "&amp;TEXT($AO130+$AP130+$AQ130-$AD130,"$0.00")))</f>
        <v/>
      </c>
    </row>
    <row r="131" customFormat="false" ht="15" hidden="false" customHeight="true" outlineLevel="0" collapsed="false">
      <c r="A131" s="38"/>
      <c r="B131" s="38"/>
      <c r="C131" s="39"/>
      <c r="D131" s="40"/>
      <c r="E131" s="40"/>
      <c r="F131" s="38"/>
      <c r="G131" s="41" t="str">
        <f aca="false">IF($A131="","",IF($C131="","",YEAR($C131)))</f>
        <v/>
      </c>
      <c r="H131" s="42"/>
      <c r="I131" s="38"/>
      <c r="J131" s="38"/>
      <c r="K131" s="38"/>
      <c r="L131" s="40"/>
      <c r="M131" s="43"/>
      <c r="N131" s="40"/>
      <c r="O131" s="38"/>
      <c r="P131" s="38"/>
      <c r="Q131" s="38"/>
      <c r="R131" s="38"/>
      <c r="S131" s="40"/>
      <c r="T131" s="44" t="str">
        <f aca="false">IF($A131="","",IF($S131="","",IFERROR(INDEX(Lists!$N$5:$N$16,MATCH($S131,Lists!$M$5:$M$16,0)),"?")))</f>
        <v/>
      </c>
      <c r="U131" s="38"/>
      <c r="V131" s="40"/>
      <c r="W131" s="38"/>
      <c r="X131" s="40"/>
      <c r="Y131" s="38"/>
      <c r="Z131" s="38"/>
      <c r="AA131" s="40"/>
      <c r="AB131" s="43"/>
      <c r="AC131" s="45"/>
      <c r="AD131" s="46" t="str">
        <f aca="false">IF(ISNUMBER($AB131),$AB131*(1+N($AC131)),"")</f>
        <v/>
      </c>
      <c r="AE131" s="43"/>
      <c r="AF131" s="43"/>
      <c r="AG131" s="45"/>
      <c r="AH131" s="47" t="str">
        <f aca="false">IF(ISNUMBER($AD131),($AD131+$AE131+$AF131)*$AG131,"")</f>
        <v/>
      </c>
      <c r="AI131" s="43"/>
      <c r="AJ131" s="46" t="str">
        <f aca="false">IF(ISNUMBER($AD131),SUM($AD131:$AH131),"")</f>
        <v/>
      </c>
      <c r="AK131" s="48" t="str">
        <f aca="false">IF(AND(ISNUMBER($AB131),ISNUMBER($AD131)),IF($AB131&gt;0,$AD131/$AB131,""),"")</f>
        <v/>
      </c>
      <c r="AL131" s="40"/>
      <c r="AM131" s="49" t="str">
        <f aca="false">IF(ISNUMBER($AD131),Header!$I$3,"")</f>
        <v/>
      </c>
      <c r="AN131" s="47" t="str">
        <f aca="false">IF(ISNUMBER($AD131),$AO131+$AP131,"")</f>
        <v/>
      </c>
      <c r="AO131" s="47" t="str">
        <f aca="false">IF(ISNUMBER($AD131),ROUND($AD131*Header!$K$3,2),"")</f>
        <v/>
      </c>
      <c r="AP131" s="47" t="str">
        <f aca="false">IF(ISNUMBER($AD131),ROUND($AD131*Header!$M$3,2),"")</f>
        <v/>
      </c>
      <c r="AQ131" s="46" t="str">
        <f aca="false">IF(ISNUMBER($AD131),ROUND($AD131,2)-$AO131-$AP131,"")</f>
        <v/>
      </c>
      <c r="AR131" s="47" t="str">
        <f aca="false">IF(ISNUMBER($AD131),IF(Header!$D$34="","?",$AD131*Header!$D$34),"")</f>
        <v/>
      </c>
      <c r="AS131" s="47" t="str">
        <f aca="false">IF(ISNUMBER($AB131),IF(Header!$D$34="","?",$AB131*Header!$D$34),"")</f>
        <v/>
      </c>
      <c r="AT131" s="50" t="str">
        <f aca="false">IF(AND(ISNUMBER($AB131),$M131&gt;0),$AB131/$M131*100,"")</f>
        <v/>
      </c>
      <c r="AU131" s="50" t="str">
        <f aca="false">IF(AND(ISNUMBER($AD131),$M131&gt;0),$AD131/$M131*100,"")</f>
        <v/>
      </c>
      <c r="AV131" s="48" t="str">
        <f aca="false">IF(AND(ISNUMBER($AB131),ISNUMBER($AD131),ABS($AB131)&gt;0),$AD131/$AB131,"")</f>
        <v/>
      </c>
      <c r="AW131" s="47" t="str">
        <f aca="false">IF(ISNUMBER($AD131),MAX(0,(1-0.55-Header!$O$3)*Header!$Q$3*$AQ131),"")</f>
        <v/>
      </c>
      <c r="AX131" s="51" t="str">
        <f aca="false">IF($A131="","",IF(TRIM(IF($A131="","Missing certificate ref. ","") &amp; IF($C131="","Missing effective date. ","") &amp; IF($D131="","Missing binding status. ","") &amp; IF($E131="","Missing movement type. ","") &amp; IF($I131="","Missing make. ","") &amp; IF($L131="","Missing vehicle class. ","") &amp; IF($M131="","Missing agreed value. ","") &amp; IF($N131="","Missing policy type. ","") &amp; IF($Q131="","Missing garaging state. ","") &amp; IF($R131="","Missing garaging ZIP. ","") &amp; IF($S131="","Missing cat zone. ","") &amp; IF($V131="","Missing valuation basis. ","") &amp; IF($W131="","Missing PD deductible. ","") &amp; IF($X131="","Missing liability limit. ","") &amp; IF($AB131="","Missing technical premium. ","") &amp; IF($AF131="","Missing surplus lines tax %. ",""))="","PASS","FAIL: "&amp;TRIM(IF($A131="","Missing certificate ref. ","") &amp; IF($C131="","Missing effective date. ","") &amp; IF($D131="","Missing binding status. ","") &amp; IF($E131="","Missing movement type. ","") &amp; IF($I131="","Missing make. ","") &amp; IF($L131="","Missing vehicle class. ","") &amp; IF($M131="","Missing agreed value. ","") &amp; IF($N131="","Missing policy type. ","") &amp; IF($Q131="","Missing garaging state. ","") &amp; IF($R131="","Missing garaging ZIP. ","") &amp; IF($S131="","Missing cat zone. ","") &amp; IF($V131="","Missing valuation basis. ","") &amp; IF($W131="","Missing PD deductible. ","") &amp; IF($X131="","Missing liability limit. ","") &amp; IF($AB131="","Missing technical premium. ","") &amp; IF($AF131="","Missing surplus lines tax %. ",""))))</f>
        <v/>
      </c>
      <c r="AY131" s="52" t="str">
        <f aca="false">IF($M131="","",IF(ISNUMBER($M131),IF($M131&gt;=Header!$C$18,"YES — refer","No"),""))</f>
        <v/>
      </c>
      <c r="AZ131" s="52" t="str">
        <f aca="false">IF($AD131="","",IF(ISNUMBER($AD131),IF($AD131&lt;Header!$C$20,"BELOW MIN PREMIUM","OK"),""))</f>
        <v/>
      </c>
      <c r="BA131" s="40"/>
      <c r="BB131" s="40"/>
      <c r="BC131" s="38"/>
      <c r="BE131" s="53" t="str">
        <f aca="false">IF(OR($A131="",$L131="",$H131=""),"",IF(AND(LEFT($L131,2)="06",$H131&gt;1945),"FAIL - pre-war class, year "&amp;$H131,IF(AND(LEFT($L131,2)="07",OR($H131&lt;1946,$H131&gt;1972)),"FAIL - 1946-72 class, year "&amp;$H131,IF(AND(LEFT($L131,2)="08",OR($H131&lt;1973,$H131&gt;1999)),"FAIL - 1973-99 class, year "&amp;$H131,IF(AND(LEFT($L131,2)="09",OR($H131&lt;2000,$H131&gt;2010)),"FAIL - 2000-10 class, year "&amp;$H131,"OK")))))</f>
        <v/>
      </c>
      <c r="BF131" s="53" t="str">
        <f aca="false">IF($AD131="","",IF(ROUND($AO131+$AP131+$AQ131-$AD131,2)=0,"OK","FAIL - out by "&amp;TEXT($AO131+$AP131+$AQ131-$AD131,"$0.00")))</f>
        <v/>
      </c>
    </row>
    <row r="132" customFormat="false" ht="15" hidden="false" customHeight="true" outlineLevel="0" collapsed="false">
      <c r="A132" s="54"/>
      <c r="B132" s="54"/>
      <c r="C132" s="55"/>
      <c r="D132" s="56"/>
      <c r="E132" s="56"/>
      <c r="F132" s="54"/>
      <c r="G132" s="41" t="str">
        <f aca="false">IF($A132="","",IF($C132="","",YEAR($C132)))</f>
        <v/>
      </c>
      <c r="H132" s="57"/>
      <c r="I132" s="54"/>
      <c r="J132" s="54"/>
      <c r="K132" s="54"/>
      <c r="L132" s="56"/>
      <c r="M132" s="58"/>
      <c r="N132" s="56"/>
      <c r="O132" s="54"/>
      <c r="P132" s="54"/>
      <c r="Q132" s="54"/>
      <c r="R132" s="54"/>
      <c r="S132" s="56"/>
      <c r="T132" s="44" t="str">
        <f aca="false">IF($A132="","",IF($S132="","",IFERROR(INDEX(Lists!$N$5:$N$16,MATCH($S132,Lists!$M$5:$M$16,0)),"?")))</f>
        <v/>
      </c>
      <c r="U132" s="54"/>
      <c r="V132" s="56"/>
      <c r="W132" s="54"/>
      <c r="X132" s="56"/>
      <c r="Y132" s="54"/>
      <c r="Z132" s="54"/>
      <c r="AA132" s="56"/>
      <c r="AB132" s="58"/>
      <c r="AC132" s="59"/>
      <c r="AD132" s="46" t="str">
        <f aca="false">IF(ISNUMBER($AB132),$AB132*(1+N($AC132)),"")</f>
        <v/>
      </c>
      <c r="AE132" s="58"/>
      <c r="AF132" s="58"/>
      <c r="AG132" s="59"/>
      <c r="AH132" s="47" t="str">
        <f aca="false">IF(ISNUMBER($AD132),($AD132+$AE132+$AF132)*$AG132,"")</f>
        <v/>
      </c>
      <c r="AI132" s="58"/>
      <c r="AJ132" s="46" t="str">
        <f aca="false">IF(ISNUMBER($AD132),SUM($AD132:$AH132),"")</f>
        <v/>
      </c>
      <c r="AK132" s="48" t="str">
        <f aca="false">IF(AND(ISNUMBER($AB132),ISNUMBER($AD132)),IF($AB132&gt;0,$AD132/$AB132,""),"")</f>
        <v/>
      </c>
      <c r="AL132" s="56"/>
      <c r="AM132" s="49" t="str">
        <f aca="false">IF(ISNUMBER($AD132),Header!$I$3,"")</f>
        <v/>
      </c>
      <c r="AN132" s="47" t="str">
        <f aca="false">IF(ISNUMBER($AD132),$AO132+$AP132,"")</f>
        <v/>
      </c>
      <c r="AO132" s="47" t="str">
        <f aca="false">IF(ISNUMBER($AD132),ROUND($AD132*Header!$K$3,2),"")</f>
        <v/>
      </c>
      <c r="AP132" s="47" t="str">
        <f aca="false">IF(ISNUMBER($AD132),ROUND($AD132*Header!$M$3,2),"")</f>
        <v/>
      </c>
      <c r="AQ132" s="46" t="str">
        <f aca="false">IF(ISNUMBER($AD132),ROUND($AD132,2)-$AO132-$AP132,"")</f>
        <v/>
      </c>
      <c r="AR132" s="47" t="str">
        <f aca="false">IF(ISNUMBER($AD132),IF(Header!$D$34="","?",$AD132*Header!$D$34),"")</f>
        <v/>
      </c>
      <c r="AS132" s="47" t="str">
        <f aca="false">IF(ISNUMBER($AB132),IF(Header!$D$34="","?",$AB132*Header!$D$34),"")</f>
        <v/>
      </c>
      <c r="AT132" s="50" t="str">
        <f aca="false">IF(AND(ISNUMBER($AB132),$M132&gt;0),$AB132/$M132*100,"")</f>
        <v/>
      </c>
      <c r="AU132" s="50" t="str">
        <f aca="false">IF(AND(ISNUMBER($AD132),$M132&gt;0),$AD132/$M132*100,"")</f>
        <v/>
      </c>
      <c r="AV132" s="48" t="str">
        <f aca="false">IF(AND(ISNUMBER($AB132),ISNUMBER($AD132),ABS($AB132)&gt;0),$AD132/$AB132,"")</f>
        <v/>
      </c>
      <c r="AW132" s="47" t="str">
        <f aca="false">IF(ISNUMBER($AD132),MAX(0,(1-0.55-Header!$O$3)*Header!$Q$3*$AQ132),"")</f>
        <v/>
      </c>
      <c r="AX132" s="51" t="str">
        <f aca="false">IF($A132="","",IF(TRIM(IF($A132="","Missing certificate ref. ","") &amp; IF($C132="","Missing effective date. ","") &amp; IF($D132="","Missing binding status. ","") &amp; IF($E132="","Missing movement type. ","") &amp; IF($I132="","Missing make. ","") &amp; IF($L132="","Missing vehicle class. ","") &amp; IF($M132="","Missing agreed value. ","") &amp; IF($N132="","Missing policy type. ","") &amp; IF($Q132="","Missing garaging state. ","") &amp; IF($R132="","Missing garaging ZIP. ","") &amp; IF($S132="","Missing cat zone. ","") &amp; IF($V132="","Missing valuation basis. ","") &amp; IF($W132="","Missing PD deductible. ","") &amp; IF($X132="","Missing liability limit. ","") &amp; IF($AB132="","Missing technical premium. ","") &amp; IF($AF132="","Missing surplus lines tax %. ",""))="","PASS","FAIL: "&amp;TRIM(IF($A132="","Missing certificate ref. ","") &amp; IF($C132="","Missing effective date. ","") &amp; IF($D132="","Missing binding status. ","") &amp; IF($E132="","Missing movement type. ","") &amp; IF($I132="","Missing make. ","") &amp; IF($L132="","Missing vehicle class. ","") &amp; IF($M132="","Missing agreed value. ","") &amp; IF($N132="","Missing policy type. ","") &amp; IF($Q132="","Missing garaging state. ","") &amp; IF($R132="","Missing garaging ZIP. ","") &amp; IF($S132="","Missing cat zone. ","") &amp; IF($V132="","Missing valuation basis. ","") &amp; IF($W132="","Missing PD deductible. ","") &amp; IF($X132="","Missing liability limit. ","") &amp; IF($AB132="","Missing technical premium. ","") &amp; IF($AF132="","Missing surplus lines tax %. ",""))))</f>
        <v/>
      </c>
      <c r="AY132" s="52" t="str">
        <f aca="false">IF($M132="","",IF(ISNUMBER($M132),IF($M132&gt;=Header!$C$18,"YES — refer","No"),""))</f>
        <v/>
      </c>
      <c r="AZ132" s="52" t="str">
        <f aca="false">IF($AD132="","",IF(ISNUMBER($AD132),IF($AD132&lt;Header!$C$20,"BELOW MIN PREMIUM","OK"),""))</f>
        <v/>
      </c>
      <c r="BA132" s="56"/>
      <c r="BB132" s="56"/>
      <c r="BC132" s="54"/>
      <c r="BE132" s="53" t="str">
        <f aca="false">IF(OR($A132="",$L132="",$H132=""),"",IF(AND(LEFT($L132,2)="06",$H132&gt;1945),"FAIL - pre-war class, year "&amp;$H132,IF(AND(LEFT($L132,2)="07",OR($H132&lt;1946,$H132&gt;1972)),"FAIL - 1946-72 class, year "&amp;$H132,IF(AND(LEFT($L132,2)="08",OR($H132&lt;1973,$H132&gt;1999)),"FAIL - 1973-99 class, year "&amp;$H132,IF(AND(LEFT($L132,2)="09",OR($H132&lt;2000,$H132&gt;2010)),"FAIL - 2000-10 class, year "&amp;$H132,"OK")))))</f>
        <v/>
      </c>
      <c r="BF132" s="53" t="str">
        <f aca="false">IF($AD132="","",IF(ROUND($AO132+$AP132+$AQ132-$AD132,2)=0,"OK","FAIL - out by "&amp;TEXT($AO132+$AP132+$AQ132-$AD132,"$0.00")))</f>
        <v/>
      </c>
    </row>
    <row r="133" customFormat="false" ht="15" hidden="false" customHeight="true" outlineLevel="0" collapsed="false">
      <c r="A133" s="38"/>
      <c r="B133" s="38"/>
      <c r="C133" s="39"/>
      <c r="D133" s="40"/>
      <c r="E133" s="40"/>
      <c r="F133" s="38"/>
      <c r="G133" s="41" t="str">
        <f aca="false">IF($A133="","",IF($C133="","",YEAR($C133)))</f>
        <v/>
      </c>
      <c r="H133" s="42"/>
      <c r="I133" s="38"/>
      <c r="J133" s="38"/>
      <c r="K133" s="38"/>
      <c r="L133" s="40"/>
      <c r="M133" s="43"/>
      <c r="N133" s="40"/>
      <c r="O133" s="38"/>
      <c r="P133" s="38"/>
      <c r="Q133" s="38"/>
      <c r="R133" s="38"/>
      <c r="S133" s="40"/>
      <c r="T133" s="44" t="str">
        <f aca="false">IF($A133="","",IF($S133="","",IFERROR(INDEX(Lists!$N$5:$N$16,MATCH($S133,Lists!$M$5:$M$16,0)),"?")))</f>
        <v/>
      </c>
      <c r="U133" s="38"/>
      <c r="V133" s="40"/>
      <c r="W133" s="38"/>
      <c r="X133" s="40"/>
      <c r="Y133" s="38"/>
      <c r="Z133" s="38"/>
      <c r="AA133" s="40"/>
      <c r="AB133" s="43"/>
      <c r="AC133" s="45"/>
      <c r="AD133" s="46" t="str">
        <f aca="false">IF(ISNUMBER($AB133),$AB133*(1+N($AC133)),"")</f>
        <v/>
      </c>
      <c r="AE133" s="43"/>
      <c r="AF133" s="43"/>
      <c r="AG133" s="45"/>
      <c r="AH133" s="47" t="str">
        <f aca="false">IF(ISNUMBER($AD133),($AD133+$AE133+$AF133)*$AG133,"")</f>
        <v/>
      </c>
      <c r="AI133" s="43"/>
      <c r="AJ133" s="46" t="str">
        <f aca="false">IF(ISNUMBER($AD133),SUM($AD133:$AH133),"")</f>
        <v/>
      </c>
      <c r="AK133" s="48" t="str">
        <f aca="false">IF(AND(ISNUMBER($AB133),ISNUMBER($AD133)),IF($AB133&gt;0,$AD133/$AB133,""),"")</f>
        <v/>
      </c>
      <c r="AL133" s="40"/>
      <c r="AM133" s="49" t="str">
        <f aca="false">IF(ISNUMBER($AD133),Header!$I$3,"")</f>
        <v/>
      </c>
      <c r="AN133" s="47" t="str">
        <f aca="false">IF(ISNUMBER($AD133),$AO133+$AP133,"")</f>
        <v/>
      </c>
      <c r="AO133" s="47" t="str">
        <f aca="false">IF(ISNUMBER($AD133),ROUND($AD133*Header!$K$3,2),"")</f>
        <v/>
      </c>
      <c r="AP133" s="47" t="str">
        <f aca="false">IF(ISNUMBER($AD133),ROUND($AD133*Header!$M$3,2),"")</f>
        <v/>
      </c>
      <c r="AQ133" s="46" t="str">
        <f aca="false">IF(ISNUMBER($AD133),ROUND($AD133,2)-$AO133-$AP133,"")</f>
        <v/>
      </c>
      <c r="AR133" s="47" t="str">
        <f aca="false">IF(ISNUMBER($AD133),IF(Header!$D$34="","?",$AD133*Header!$D$34),"")</f>
        <v/>
      </c>
      <c r="AS133" s="47" t="str">
        <f aca="false">IF(ISNUMBER($AB133),IF(Header!$D$34="","?",$AB133*Header!$D$34),"")</f>
        <v/>
      </c>
      <c r="AT133" s="50" t="str">
        <f aca="false">IF(AND(ISNUMBER($AB133),$M133&gt;0),$AB133/$M133*100,"")</f>
        <v/>
      </c>
      <c r="AU133" s="50" t="str">
        <f aca="false">IF(AND(ISNUMBER($AD133),$M133&gt;0),$AD133/$M133*100,"")</f>
        <v/>
      </c>
      <c r="AV133" s="48" t="str">
        <f aca="false">IF(AND(ISNUMBER($AB133),ISNUMBER($AD133),ABS($AB133)&gt;0),$AD133/$AB133,"")</f>
        <v/>
      </c>
      <c r="AW133" s="47" t="str">
        <f aca="false">IF(ISNUMBER($AD133),MAX(0,(1-0.55-Header!$O$3)*Header!$Q$3*$AQ133),"")</f>
        <v/>
      </c>
      <c r="AX133" s="51" t="str">
        <f aca="false">IF($A133="","",IF(TRIM(IF($A133="","Missing certificate ref. ","") &amp; IF($C133="","Missing effective date. ","") &amp; IF($D133="","Missing binding status. ","") &amp; IF($E133="","Missing movement type. ","") &amp; IF($I133="","Missing make. ","") &amp; IF($L133="","Missing vehicle class. ","") &amp; IF($M133="","Missing agreed value. ","") &amp; IF($N133="","Missing policy type. ","") &amp; IF($Q133="","Missing garaging state. ","") &amp; IF($R133="","Missing garaging ZIP. ","") &amp; IF($S133="","Missing cat zone. ","") &amp; IF($V133="","Missing valuation basis. ","") &amp; IF($W133="","Missing PD deductible. ","") &amp; IF($X133="","Missing liability limit. ","") &amp; IF($AB133="","Missing technical premium. ","") &amp; IF($AF133="","Missing surplus lines tax %. ",""))="","PASS","FAIL: "&amp;TRIM(IF($A133="","Missing certificate ref. ","") &amp; IF($C133="","Missing effective date. ","") &amp; IF($D133="","Missing binding status. ","") &amp; IF($E133="","Missing movement type. ","") &amp; IF($I133="","Missing make. ","") &amp; IF($L133="","Missing vehicle class. ","") &amp; IF($M133="","Missing agreed value. ","") &amp; IF($N133="","Missing policy type. ","") &amp; IF($Q133="","Missing garaging state. ","") &amp; IF($R133="","Missing garaging ZIP. ","") &amp; IF($S133="","Missing cat zone. ","") &amp; IF($V133="","Missing valuation basis. ","") &amp; IF($W133="","Missing PD deductible. ","") &amp; IF($X133="","Missing liability limit. ","") &amp; IF($AB133="","Missing technical premium. ","") &amp; IF($AF133="","Missing surplus lines tax %. ",""))))</f>
        <v/>
      </c>
      <c r="AY133" s="52" t="str">
        <f aca="false">IF($M133="","",IF(ISNUMBER($M133),IF($M133&gt;=Header!$C$18,"YES — refer","No"),""))</f>
        <v/>
      </c>
      <c r="AZ133" s="52" t="str">
        <f aca="false">IF($AD133="","",IF(ISNUMBER($AD133),IF($AD133&lt;Header!$C$20,"BELOW MIN PREMIUM","OK"),""))</f>
        <v/>
      </c>
      <c r="BA133" s="40"/>
      <c r="BB133" s="40"/>
      <c r="BC133" s="38"/>
      <c r="BE133" s="53" t="str">
        <f aca="false">IF(OR($A133="",$L133="",$H133=""),"",IF(AND(LEFT($L133,2)="06",$H133&gt;1945),"FAIL - pre-war class, year "&amp;$H133,IF(AND(LEFT($L133,2)="07",OR($H133&lt;1946,$H133&gt;1972)),"FAIL - 1946-72 class, year "&amp;$H133,IF(AND(LEFT($L133,2)="08",OR($H133&lt;1973,$H133&gt;1999)),"FAIL - 1973-99 class, year "&amp;$H133,IF(AND(LEFT($L133,2)="09",OR($H133&lt;2000,$H133&gt;2010)),"FAIL - 2000-10 class, year "&amp;$H133,"OK")))))</f>
        <v/>
      </c>
      <c r="BF133" s="53" t="str">
        <f aca="false">IF($AD133="","",IF(ROUND($AO133+$AP133+$AQ133-$AD133,2)=0,"OK","FAIL - out by "&amp;TEXT($AO133+$AP133+$AQ133-$AD133,"$0.00")))</f>
        <v/>
      </c>
    </row>
    <row r="134" customFormat="false" ht="15" hidden="false" customHeight="true" outlineLevel="0" collapsed="false">
      <c r="A134" s="54"/>
      <c r="B134" s="54"/>
      <c r="C134" s="55"/>
      <c r="D134" s="56"/>
      <c r="E134" s="56"/>
      <c r="F134" s="54"/>
      <c r="G134" s="41" t="str">
        <f aca="false">IF($A134="","",IF($C134="","",YEAR($C134)))</f>
        <v/>
      </c>
      <c r="H134" s="57"/>
      <c r="I134" s="54"/>
      <c r="J134" s="54"/>
      <c r="K134" s="54"/>
      <c r="L134" s="56"/>
      <c r="M134" s="58"/>
      <c r="N134" s="56"/>
      <c r="O134" s="54"/>
      <c r="P134" s="54"/>
      <c r="Q134" s="54"/>
      <c r="R134" s="54"/>
      <c r="S134" s="56"/>
      <c r="T134" s="44" t="str">
        <f aca="false">IF($A134="","",IF($S134="","",IFERROR(INDEX(Lists!$N$5:$N$16,MATCH($S134,Lists!$M$5:$M$16,0)),"?")))</f>
        <v/>
      </c>
      <c r="U134" s="54"/>
      <c r="V134" s="56"/>
      <c r="W134" s="54"/>
      <c r="X134" s="56"/>
      <c r="Y134" s="54"/>
      <c r="Z134" s="54"/>
      <c r="AA134" s="56"/>
      <c r="AB134" s="58"/>
      <c r="AC134" s="59"/>
      <c r="AD134" s="46" t="str">
        <f aca="false">IF(ISNUMBER($AB134),$AB134*(1+N($AC134)),"")</f>
        <v/>
      </c>
      <c r="AE134" s="58"/>
      <c r="AF134" s="58"/>
      <c r="AG134" s="59"/>
      <c r="AH134" s="47" t="str">
        <f aca="false">IF(ISNUMBER($AD134),($AD134+$AE134+$AF134)*$AG134,"")</f>
        <v/>
      </c>
      <c r="AI134" s="58"/>
      <c r="AJ134" s="46" t="str">
        <f aca="false">IF(ISNUMBER($AD134),SUM($AD134:$AH134),"")</f>
        <v/>
      </c>
      <c r="AK134" s="48" t="str">
        <f aca="false">IF(AND(ISNUMBER($AB134),ISNUMBER($AD134)),IF($AB134&gt;0,$AD134/$AB134,""),"")</f>
        <v/>
      </c>
      <c r="AL134" s="56"/>
      <c r="AM134" s="49" t="str">
        <f aca="false">IF(ISNUMBER($AD134),Header!$I$3,"")</f>
        <v/>
      </c>
      <c r="AN134" s="47" t="str">
        <f aca="false">IF(ISNUMBER($AD134),$AO134+$AP134,"")</f>
        <v/>
      </c>
      <c r="AO134" s="47" t="str">
        <f aca="false">IF(ISNUMBER($AD134),ROUND($AD134*Header!$K$3,2),"")</f>
        <v/>
      </c>
      <c r="AP134" s="47" t="str">
        <f aca="false">IF(ISNUMBER($AD134),ROUND($AD134*Header!$M$3,2),"")</f>
        <v/>
      </c>
      <c r="AQ134" s="46" t="str">
        <f aca="false">IF(ISNUMBER($AD134),ROUND($AD134,2)-$AO134-$AP134,"")</f>
        <v/>
      </c>
      <c r="AR134" s="47" t="str">
        <f aca="false">IF(ISNUMBER($AD134),IF(Header!$D$34="","?",$AD134*Header!$D$34),"")</f>
        <v/>
      </c>
      <c r="AS134" s="47" t="str">
        <f aca="false">IF(ISNUMBER($AB134),IF(Header!$D$34="","?",$AB134*Header!$D$34),"")</f>
        <v/>
      </c>
      <c r="AT134" s="50" t="str">
        <f aca="false">IF(AND(ISNUMBER($AB134),$M134&gt;0),$AB134/$M134*100,"")</f>
        <v/>
      </c>
      <c r="AU134" s="50" t="str">
        <f aca="false">IF(AND(ISNUMBER($AD134),$M134&gt;0),$AD134/$M134*100,"")</f>
        <v/>
      </c>
      <c r="AV134" s="48" t="str">
        <f aca="false">IF(AND(ISNUMBER($AB134),ISNUMBER($AD134),ABS($AB134)&gt;0),$AD134/$AB134,"")</f>
        <v/>
      </c>
      <c r="AW134" s="47" t="str">
        <f aca="false">IF(ISNUMBER($AD134),MAX(0,(1-0.55-Header!$O$3)*Header!$Q$3*$AQ134),"")</f>
        <v/>
      </c>
      <c r="AX134" s="51" t="str">
        <f aca="false">IF($A134="","",IF(TRIM(IF($A134="","Missing certificate ref. ","") &amp; IF($C134="","Missing effective date. ","") &amp; IF($D134="","Missing binding status. ","") &amp; IF($E134="","Missing movement type. ","") &amp; IF($I134="","Missing make. ","") &amp; IF($L134="","Missing vehicle class. ","") &amp; IF($M134="","Missing agreed value. ","") &amp; IF($N134="","Missing policy type. ","") &amp; IF($Q134="","Missing garaging state. ","") &amp; IF($R134="","Missing garaging ZIP. ","") &amp; IF($S134="","Missing cat zone. ","") &amp; IF($V134="","Missing valuation basis. ","") &amp; IF($W134="","Missing PD deductible. ","") &amp; IF($X134="","Missing liability limit. ","") &amp; IF($AB134="","Missing technical premium. ","") &amp; IF($AF134="","Missing surplus lines tax %. ",""))="","PASS","FAIL: "&amp;TRIM(IF($A134="","Missing certificate ref. ","") &amp; IF($C134="","Missing effective date. ","") &amp; IF($D134="","Missing binding status. ","") &amp; IF($E134="","Missing movement type. ","") &amp; IF($I134="","Missing make. ","") &amp; IF($L134="","Missing vehicle class. ","") &amp; IF($M134="","Missing agreed value. ","") &amp; IF($N134="","Missing policy type. ","") &amp; IF($Q134="","Missing garaging state. ","") &amp; IF($R134="","Missing garaging ZIP. ","") &amp; IF($S134="","Missing cat zone. ","") &amp; IF($V134="","Missing valuation basis. ","") &amp; IF($W134="","Missing PD deductible. ","") &amp; IF($X134="","Missing liability limit. ","") &amp; IF($AB134="","Missing technical premium. ","") &amp; IF($AF134="","Missing surplus lines tax %. ",""))))</f>
        <v/>
      </c>
      <c r="AY134" s="52" t="str">
        <f aca="false">IF($M134="","",IF(ISNUMBER($M134),IF($M134&gt;=Header!$C$18,"YES — refer","No"),""))</f>
        <v/>
      </c>
      <c r="AZ134" s="52" t="str">
        <f aca="false">IF($AD134="","",IF(ISNUMBER($AD134),IF($AD134&lt;Header!$C$20,"BELOW MIN PREMIUM","OK"),""))</f>
        <v/>
      </c>
      <c r="BA134" s="56"/>
      <c r="BB134" s="56"/>
      <c r="BC134" s="54"/>
      <c r="BE134" s="53" t="str">
        <f aca="false">IF(OR($A134="",$L134="",$H134=""),"",IF(AND(LEFT($L134,2)="06",$H134&gt;1945),"FAIL - pre-war class, year "&amp;$H134,IF(AND(LEFT($L134,2)="07",OR($H134&lt;1946,$H134&gt;1972)),"FAIL - 1946-72 class, year "&amp;$H134,IF(AND(LEFT($L134,2)="08",OR($H134&lt;1973,$H134&gt;1999)),"FAIL - 1973-99 class, year "&amp;$H134,IF(AND(LEFT($L134,2)="09",OR($H134&lt;2000,$H134&gt;2010)),"FAIL - 2000-10 class, year "&amp;$H134,"OK")))))</f>
        <v/>
      </c>
      <c r="BF134" s="53" t="str">
        <f aca="false">IF($AD134="","",IF(ROUND($AO134+$AP134+$AQ134-$AD134,2)=0,"OK","FAIL - out by "&amp;TEXT($AO134+$AP134+$AQ134-$AD134,"$0.00")))</f>
        <v/>
      </c>
    </row>
    <row r="135" customFormat="false" ht="15" hidden="false" customHeight="true" outlineLevel="0" collapsed="false">
      <c r="A135" s="38"/>
      <c r="B135" s="38"/>
      <c r="C135" s="39"/>
      <c r="D135" s="40"/>
      <c r="E135" s="40"/>
      <c r="F135" s="38"/>
      <c r="G135" s="41" t="str">
        <f aca="false">IF($A135="","",IF($C135="","",YEAR($C135)))</f>
        <v/>
      </c>
      <c r="H135" s="42"/>
      <c r="I135" s="38"/>
      <c r="J135" s="38"/>
      <c r="K135" s="38"/>
      <c r="L135" s="40"/>
      <c r="M135" s="43"/>
      <c r="N135" s="40"/>
      <c r="O135" s="38"/>
      <c r="P135" s="38"/>
      <c r="Q135" s="38"/>
      <c r="R135" s="38"/>
      <c r="S135" s="40"/>
      <c r="T135" s="44" t="str">
        <f aca="false">IF($A135="","",IF($S135="","",IFERROR(INDEX(Lists!$N$5:$N$16,MATCH($S135,Lists!$M$5:$M$16,0)),"?")))</f>
        <v/>
      </c>
      <c r="U135" s="38"/>
      <c r="V135" s="40"/>
      <c r="W135" s="38"/>
      <c r="X135" s="40"/>
      <c r="Y135" s="38"/>
      <c r="Z135" s="38"/>
      <c r="AA135" s="40"/>
      <c r="AB135" s="43"/>
      <c r="AC135" s="45"/>
      <c r="AD135" s="46" t="str">
        <f aca="false">IF(ISNUMBER($AB135),$AB135*(1+N($AC135)),"")</f>
        <v/>
      </c>
      <c r="AE135" s="43"/>
      <c r="AF135" s="43"/>
      <c r="AG135" s="45"/>
      <c r="AH135" s="47" t="str">
        <f aca="false">IF(ISNUMBER($AD135),($AD135+$AE135+$AF135)*$AG135,"")</f>
        <v/>
      </c>
      <c r="AI135" s="43"/>
      <c r="AJ135" s="46" t="str">
        <f aca="false">IF(ISNUMBER($AD135),SUM($AD135:$AH135),"")</f>
        <v/>
      </c>
      <c r="AK135" s="48" t="str">
        <f aca="false">IF(AND(ISNUMBER($AB135),ISNUMBER($AD135)),IF($AB135&gt;0,$AD135/$AB135,""),"")</f>
        <v/>
      </c>
      <c r="AL135" s="40"/>
      <c r="AM135" s="49" t="str">
        <f aca="false">IF(ISNUMBER($AD135),Header!$I$3,"")</f>
        <v/>
      </c>
      <c r="AN135" s="47" t="str">
        <f aca="false">IF(ISNUMBER($AD135),$AO135+$AP135,"")</f>
        <v/>
      </c>
      <c r="AO135" s="47" t="str">
        <f aca="false">IF(ISNUMBER($AD135),ROUND($AD135*Header!$K$3,2),"")</f>
        <v/>
      </c>
      <c r="AP135" s="47" t="str">
        <f aca="false">IF(ISNUMBER($AD135),ROUND($AD135*Header!$M$3,2),"")</f>
        <v/>
      </c>
      <c r="AQ135" s="46" t="str">
        <f aca="false">IF(ISNUMBER($AD135),ROUND($AD135,2)-$AO135-$AP135,"")</f>
        <v/>
      </c>
      <c r="AR135" s="47" t="str">
        <f aca="false">IF(ISNUMBER($AD135),IF(Header!$D$34="","?",$AD135*Header!$D$34),"")</f>
        <v/>
      </c>
      <c r="AS135" s="47" t="str">
        <f aca="false">IF(ISNUMBER($AB135),IF(Header!$D$34="","?",$AB135*Header!$D$34),"")</f>
        <v/>
      </c>
      <c r="AT135" s="50" t="str">
        <f aca="false">IF(AND(ISNUMBER($AB135),$M135&gt;0),$AB135/$M135*100,"")</f>
        <v/>
      </c>
      <c r="AU135" s="50" t="str">
        <f aca="false">IF(AND(ISNUMBER($AD135),$M135&gt;0),$AD135/$M135*100,"")</f>
        <v/>
      </c>
      <c r="AV135" s="48" t="str">
        <f aca="false">IF(AND(ISNUMBER($AB135),ISNUMBER($AD135),ABS($AB135)&gt;0),$AD135/$AB135,"")</f>
        <v/>
      </c>
      <c r="AW135" s="47" t="str">
        <f aca="false">IF(ISNUMBER($AD135),MAX(0,(1-0.55-Header!$O$3)*Header!$Q$3*$AQ135),"")</f>
        <v/>
      </c>
      <c r="AX135" s="51" t="str">
        <f aca="false">IF($A135="","",IF(TRIM(IF($A135="","Missing certificate ref. ","") &amp; IF($C135="","Missing effective date. ","") &amp; IF($D135="","Missing binding status. ","") &amp; IF($E135="","Missing movement type. ","") &amp; IF($I135="","Missing make. ","") &amp; IF($L135="","Missing vehicle class. ","") &amp; IF($M135="","Missing agreed value. ","") &amp; IF($N135="","Missing policy type. ","") &amp; IF($Q135="","Missing garaging state. ","") &amp; IF($R135="","Missing garaging ZIP. ","") &amp; IF($S135="","Missing cat zone. ","") &amp; IF($V135="","Missing valuation basis. ","") &amp; IF($W135="","Missing PD deductible. ","") &amp; IF($X135="","Missing liability limit. ","") &amp; IF($AB135="","Missing technical premium. ","") &amp; IF($AF135="","Missing surplus lines tax %. ",""))="","PASS","FAIL: "&amp;TRIM(IF($A135="","Missing certificate ref. ","") &amp; IF($C135="","Missing effective date. ","") &amp; IF($D135="","Missing binding status. ","") &amp; IF($E135="","Missing movement type. ","") &amp; IF($I135="","Missing make. ","") &amp; IF($L135="","Missing vehicle class. ","") &amp; IF($M135="","Missing agreed value. ","") &amp; IF($N135="","Missing policy type. ","") &amp; IF($Q135="","Missing garaging state. ","") &amp; IF($R135="","Missing garaging ZIP. ","") &amp; IF($S135="","Missing cat zone. ","") &amp; IF($V135="","Missing valuation basis. ","") &amp; IF($W135="","Missing PD deductible. ","") &amp; IF($X135="","Missing liability limit. ","") &amp; IF($AB135="","Missing technical premium. ","") &amp; IF($AF135="","Missing surplus lines tax %. ",""))))</f>
        <v/>
      </c>
      <c r="AY135" s="52" t="str">
        <f aca="false">IF($M135="","",IF(ISNUMBER($M135),IF($M135&gt;=Header!$C$18,"YES — refer","No"),""))</f>
        <v/>
      </c>
      <c r="AZ135" s="52" t="str">
        <f aca="false">IF($AD135="","",IF(ISNUMBER($AD135),IF($AD135&lt;Header!$C$20,"BELOW MIN PREMIUM","OK"),""))</f>
        <v/>
      </c>
      <c r="BA135" s="40"/>
      <c r="BB135" s="40"/>
      <c r="BC135" s="38"/>
      <c r="BE135" s="53" t="str">
        <f aca="false">IF(OR($A135="",$L135="",$H135=""),"",IF(AND(LEFT($L135,2)="06",$H135&gt;1945),"FAIL - pre-war class, year "&amp;$H135,IF(AND(LEFT($L135,2)="07",OR($H135&lt;1946,$H135&gt;1972)),"FAIL - 1946-72 class, year "&amp;$H135,IF(AND(LEFT($L135,2)="08",OR($H135&lt;1973,$H135&gt;1999)),"FAIL - 1973-99 class, year "&amp;$H135,IF(AND(LEFT($L135,2)="09",OR($H135&lt;2000,$H135&gt;2010)),"FAIL - 2000-10 class, year "&amp;$H135,"OK")))))</f>
        <v/>
      </c>
      <c r="BF135" s="53" t="str">
        <f aca="false">IF($AD135="","",IF(ROUND($AO135+$AP135+$AQ135-$AD135,2)=0,"OK","FAIL - out by "&amp;TEXT($AO135+$AP135+$AQ135-$AD135,"$0.00")))</f>
        <v/>
      </c>
    </row>
    <row r="136" customFormat="false" ht="15" hidden="false" customHeight="true" outlineLevel="0" collapsed="false">
      <c r="A136" s="54"/>
      <c r="B136" s="54"/>
      <c r="C136" s="55"/>
      <c r="D136" s="56"/>
      <c r="E136" s="56"/>
      <c r="F136" s="54"/>
      <c r="G136" s="41" t="str">
        <f aca="false">IF($A136="","",IF($C136="","",YEAR($C136)))</f>
        <v/>
      </c>
      <c r="H136" s="57"/>
      <c r="I136" s="54"/>
      <c r="J136" s="54"/>
      <c r="K136" s="54"/>
      <c r="L136" s="56"/>
      <c r="M136" s="58"/>
      <c r="N136" s="56"/>
      <c r="O136" s="54"/>
      <c r="P136" s="54"/>
      <c r="Q136" s="54"/>
      <c r="R136" s="54"/>
      <c r="S136" s="56"/>
      <c r="T136" s="44" t="str">
        <f aca="false">IF($A136="","",IF($S136="","",IFERROR(INDEX(Lists!$N$5:$N$16,MATCH($S136,Lists!$M$5:$M$16,0)),"?")))</f>
        <v/>
      </c>
      <c r="U136" s="54"/>
      <c r="V136" s="56"/>
      <c r="W136" s="54"/>
      <c r="X136" s="56"/>
      <c r="Y136" s="54"/>
      <c r="Z136" s="54"/>
      <c r="AA136" s="56"/>
      <c r="AB136" s="58"/>
      <c r="AC136" s="59"/>
      <c r="AD136" s="46" t="str">
        <f aca="false">IF(ISNUMBER($AB136),$AB136*(1+N($AC136)),"")</f>
        <v/>
      </c>
      <c r="AE136" s="58"/>
      <c r="AF136" s="58"/>
      <c r="AG136" s="59"/>
      <c r="AH136" s="47" t="str">
        <f aca="false">IF(ISNUMBER($AD136),($AD136+$AE136+$AF136)*$AG136,"")</f>
        <v/>
      </c>
      <c r="AI136" s="58"/>
      <c r="AJ136" s="46" t="str">
        <f aca="false">IF(ISNUMBER($AD136),SUM($AD136:$AH136),"")</f>
        <v/>
      </c>
      <c r="AK136" s="48" t="str">
        <f aca="false">IF(AND(ISNUMBER($AB136),ISNUMBER($AD136)),IF($AB136&gt;0,$AD136/$AB136,""),"")</f>
        <v/>
      </c>
      <c r="AL136" s="56"/>
      <c r="AM136" s="49" t="str">
        <f aca="false">IF(ISNUMBER($AD136),Header!$I$3,"")</f>
        <v/>
      </c>
      <c r="AN136" s="47" t="str">
        <f aca="false">IF(ISNUMBER($AD136),$AO136+$AP136,"")</f>
        <v/>
      </c>
      <c r="AO136" s="47" t="str">
        <f aca="false">IF(ISNUMBER($AD136),ROUND($AD136*Header!$K$3,2),"")</f>
        <v/>
      </c>
      <c r="AP136" s="47" t="str">
        <f aca="false">IF(ISNUMBER($AD136),ROUND($AD136*Header!$M$3,2),"")</f>
        <v/>
      </c>
      <c r="AQ136" s="46" t="str">
        <f aca="false">IF(ISNUMBER($AD136),ROUND($AD136,2)-$AO136-$AP136,"")</f>
        <v/>
      </c>
      <c r="AR136" s="47" t="str">
        <f aca="false">IF(ISNUMBER($AD136),IF(Header!$D$34="","?",$AD136*Header!$D$34),"")</f>
        <v/>
      </c>
      <c r="AS136" s="47" t="str">
        <f aca="false">IF(ISNUMBER($AB136),IF(Header!$D$34="","?",$AB136*Header!$D$34),"")</f>
        <v/>
      </c>
      <c r="AT136" s="50" t="str">
        <f aca="false">IF(AND(ISNUMBER($AB136),$M136&gt;0),$AB136/$M136*100,"")</f>
        <v/>
      </c>
      <c r="AU136" s="50" t="str">
        <f aca="false">IF(AND(ISNUMBER($AD136),$M136&gt;0),$AD136/$M136*100,"")</f>
        <v/>
      </c>
      <c r="AV136" s="48" t="str">
        <f aca="false">IF(AND(ISNUMBER($AB136),ISNUMBER($AD136),ABS($AB136)&gt;0),$AD136/$AB136,"")</f>
        <v/>
      </c>
      <c r="AW136" s="47" t="str">
        <f aca="false">IF(ISNUMBER($AD136),MAX(0,(1-0.55-Header!$O$3)*Header!$Q$3*$AQ136),"")</f>
        <v/>
      </c>
      <c r="AX136" s="51" t="str">
        <f aca="false">IF($A136="","",IF(TRIM(IF($A136="","Missing certificate ref. ","") &amp; IF($C136="","Missing effective date. ","") &amp; IF($D136="","Missing binding status. ","") &amp; IF($E136="","Missing movement type. ","") &amp; IF($I136="","Missing make. ","") &amp; IF($L136="","Missing vehicle class. ","") &amp; IF($M136="","Missing agreed value. ","") &amp; IF($N136="","Missing policy type. ","") &amp; IF($Q136="","Missing garaging state. ","") &amp; IF($R136="","Missing garaging ZIP. ","") &amp; IF($S136="","Missing cat zone. ","") &amp; IF($V136="","Missing valuation basis. ","") &amp; IF($W136="","Missing PD deductible. ","") &amp; IF($X136="","Missing liability limit. ","") &amp; IF($AB136="","Missing technical premium. ","") &amp; IF($AF136="","Missing surplus lines tax %. ",""))="","PASS","FAIL: "&amp;TRIM(IF($A136="","Missing certificate ref. ","") &amp; IF($C136="","Missing effective date. ","") &amp; IF($D136="","Missing binding status. ","") &amp; IF($E136="","Missing movement type. ","") &amp; IF($I136="","Missing make. ","") &amp; IF($L136="","Missing vehicle class. ","") &amp; IF($M136="","Missing agreed value. ","") &amp; IF($N136="","Missing policy type. ","") &amp; IF($Q136="","Missing garaging state. ","") &amp; IF($R136="","Missing garaging ZIP. ","") &amp; IF($S136="","Missing cat zone. ","") &amp; IF($V136="","Missing valuation basis. ","") &amp; IF($W136="","Missing PD deductible. ","") &amp; IF($X136="","Missing liability limit. ","") &amp; IF($AB136="","Missing technical premium. ","") &amp; IF($AF136="","Missing surplus lines tax %. ",""))))</f>
        <v/>
      </c>
      <c r="AY136" s="52" t="str">
        <f aca="false">IF($M136="","",IF(ISNUMBER($M136),IF($M136&gt;=Header!$C$18,"YES — refer","No"),""))</f>
        <v/>
      </c>
      <c r="AZ136" s="52" t="str">
        <f aca="false">IF($AD136="","",IF(ISNUMBER($AD136),IF($AD136&lt;Header!$C$20,"BELOW MIN PREMIUM","OK"),""))</f>
        <v/>
      </c>
      <c r="BA136" s="56"/>
      <c r="BB136" s="56"/>
      <c r="BC136" s="54"/>
      <c r="BE136" s="53" t="str">
        <f aca="false">IF(OR($A136="",$L136="",$H136=""),"",IF(AND(LEFT($L136,2)="06",$H136&gt;1945),"FAIL - pre-war class, year "&amp;$H136,IF(AND(LEFT($L136,2)="07",OR($H136&lt;1946,$H136&gt;1972)),"FAIL - 1946-72 class, year "&amp;$H136,IF(AND(LEFT($L136,2)="08",OR($H136&lt;1973,$H136&gt;1999)),"FAIL - 1973-99 class, year "&amp;$H136,IF(AND(LEFT($L136,2)="09",OR($H136&lt;2000,$H136&gt;2010)),"FAIL - 2000-10 class, year "&amp;$H136,"OK")))))</f>
        <v/>
      </c>
      <c r="BF136" s="53" t="str">
        <f aca="false">IF($AD136="","",IF(ROUND($AO136+$AP136+$AQ136-$AD136,2)=0,"OK","FAIL - out by "&amp;TEXT($AO136+$AP136+$AQ136-$AD136,"$0.00")))</f>
        <v/>
      </c>
    </row>
    <row r="137" customFormat="false" ht="15" hidden="false" customHeight="true" outlineLevel="0" collapsed="false">
      <c r="A137" s="38"/>
      <c r="B137" s="38"/>
      <c r="C137" s="39"/>
      <c r="D137" s="40"/>
      <c r="E137" s="40"/>
      <c r="F137" s="38"/>
      <c r="G137" s="41" t="str">
        <f aca="false">IF($A137="","",IF($C137="","",YEAR($C137)))</f>
        <v/>
      </c>
      <c r="H137" s="42"/>
      <c r="I137" s="38"/>
      <c r="J137" s="38"/>
      <c r="K137" s="38"/>
      <c r="L137" s="40"/>
      <c r="M137" s="43"/>
      <c r="N137" s="40"/>
      <c r="O137" s="38"/>
      <c r="P137" s="38"/>
      <c r="Q137" s="38"/>
      <c r="R137" s="38"/>
      <c r="S137" s="40"/>
      <c r="T137" s="44" t="str">
        <f aca="false">IF($A137="","",IF($S137="","",IFERROR(INDEX(Lists!$N$5:$N$16,MATCH($S137,Lists!$M$5:$M$16,0)),"?")))</f>
        <v/>
      </c>
      <c r="U137" s="38"/>
      <c r="V137" s="40"/>
      <c r="W137" s="38"/>
      <c r="X137" s="40"/>
      <c r="Y137" s="38"/>
      <c r="Z137" s="38"/>
      <c r="AA137" s="40"/>
      <c r="AB137" s="43"/>
      <c r="AC137" s="45"/>
      <c r="AD137" s="46" t="str">
        <f aca="false">IF(ISNUMBER($AB137),$AB137*(1+N($AC137)),"")</f>
        <v/>
      </c>
      <c r="AE137" s="43"/>
      <c r="AF137" s="43"/>
      <c r="AG137" s="45"/>
      <c r="AH137" s="47" t="str">
        <f aca="false">IF(ISNUMBER($AD137),($AD137+$AE137+$AF137)*$AG137,"")</f>
        <v/>
      </c>
      <c r="AI137" s="43"/>
      <c r="AJ137" s="46" t="str">
        <f aca="false">IF(ISNUMBER($AD137),SUM($AD137:$AH137),"")</f>
        <v/>
      </c>
      <c r="AK137" s="48" t="str">
        <f aca="false">IF(AND(ISNUMBER($AB137),ISNUMBER($AD137)),IF($AB137&gt;0,$AD137/$AB137,""),"")</f>
        <v/>
      </c>
      <c r="AL137" s="40"/>
      <c r="AM137" s="49" t="str">
        <f aca="false">IF(ISNUMBER($AD137),Header!$I$3,"")</f>
        <v/>
      </c>
      <c r="AN137" s="47" t="str">
        <f aca="false">IF(ISNUMBER($AD137),$AO137+$AP137,"")</f>
        <v/>
      </c>
      <c r="AO137" s="47" t="str">
        <f aca="false">IF(ISNUMBER($AD137),ROUND($AD137*Header!$K$3,2),"")</f>
        <v/>
      </c>
      <c r="AP137" s="47" t="str">
        <f aca="false">IF(ISNUMBER($AD137),ROUND($AD137*Header!$M$3,2),"")</f>
        <v/>
      </c>
      <c r="AQ137" s="46" t="str">
        <f aca="false">IF(ISNUMBER($AD137),ROUND($AD137,2)-$AO137-$AP137,"")</f>
        <v/>
      </c>
      <c r="AR137" s="47" t="str">
        <f aca="false">IF(ISNUMBER($AD137),IF(Header!$D$34="","?",$AD137*Header!$D$34),"")</f>
        <v/>
      </c>
      <c r="AS137" s="47" t="str">
        <f aca="false">IF(ISNUMBER($AB137),IF(Header!$D$34="","?",$AB137*Header!$D$34),"")</f>
        <v/>
      </c>
      <c r="AT137" s="50" t="str">
        <f aca="false">IF(AND(ISNUMBER($AB137),$M137&gt;0),$AB137/$M137*100,"")</f>
        <v/>
      </c>
      <c r="AU137" s="50" t="str">
        <f aca="false">IF(AND(ISNUMBER($AD137),$M137&gt;0),$AD137/$M137*100,"")</f>
        <v/>
      </c>
      <c r="AV137" s="48" t="str">
        <f aca="false">IF(AND(ISNUMBER($AB137),ISNUMBER($AD137),ABS($AB137)&gt;0),$AD137/$AB137,"")</f>
        <v/>
      </c>
      <c r="AW137" s="47" t="str">
        <f aca="false">IF(ISNUMBER($AD137),MAX(0,(1-0.55-Header!$O$3)*Header!$Q$3*$AQ137),"")</f>
        <v/>
      </c>
      <c r="AX137" s="51" t="str">
        <f aca="false">IF($A137="","",IF(TRIM(IF($A137="","Missing certificate ref. ","") &amp; IF($C137="","Missing effective date. ","") &amp; IF($D137="","Missing binding status. ","") &amp; IF($E137="","Missing movement type. ","") &amp; IF($I137="","Missing make. ","") &amp; IF($L137="","Missing vehicle class. ","") &amp; IF($M137="","Missing agreed value. ","") &amp; IF($N137="","Missing policy type. ","") &amp; IF($Q137="","Missing garaging state. ","") &amp; IF($R137="","Missing garaging ZIP. ","") &amp; IF($S137="","Missing cat zone. ","") &amp; IF($V137="","Missing valuation basis. ","") &amp; IF($W137="","Missing PD deductible. ","") &amp; IF($X137="","Missing liability limit. ","") &amp; IF($AB137="","Missing technical premium. ","") &amp; IF($AF137="","Missing surplus lines tax %. ",""))="","PASS","FAIL: "&amp;TRIM(IF($A137="","Missing certificate ref. ","") &amp; IF($C137="","Missing effective date. ","") &amp; IF($D137="","Missing binding status. ","") &amp; IF($E137="","Missing movement type. ","") &amp; IF($I137="","Missing make. ","") &amp; IF($L137="","Missing vehicle class. ","") &amp; IF($M137="","Missing agreed value. ","") &amp; IF($N137="","Missing policy type. ","") &amp; IF($Q137="","Missing garaging state. ","") &amp; IF($R137="","Missing garaging ZIP. ","") &amp; IF($S137="","Missing cat zone. ","") &amp; IF($V137="","Missing valuation basis. ","") &amp; IF($W137="","Missing PD deductible. ","") &amp; IF($X137="","Missing liability limit. ","") &amp; IF($AB137="","Missing technical premium. ","") &amp; IF($AF137="","Missing surplus lines tax %. ",""))))</f>
        <v/>
      </c>
      <c r="AY137" s="52" t="str">
        <f aca="false">IF($M137="","",IF(ISNUMBER($M137),IF($M137&gt;=Header!$C$18,"YES — refer","No"),""))</f>
        <v/>
      </c>
      <c r="AZ137" s="52" t="str">
        <f aca="false">IF($AD137="","",IF(ISNUMBER($AD137),IF($AD137&lt;Header!$C$20,"BELOW MIN PREMIUM","OK"),""))</f>
        <v/>
      </c>
      <c r="BA137" s="40"/>
      <c r="BB137" s="40"/>
      <c r="BC137" s="38"/>
      <c r="BE137" s="53" t="str">
        <f aca="false">IF(OR($A137="",$L137="",$H137=""),"",IF(AND(LEFT($L137,2)="06",$H137&gt;1945),"FAIL - pre-war class, year "&amp;$H137,IF(AND(LEFT($L137,2)="07",OR($H137&lt;1946,$H137&gt;1972)),"FAIL - 1946-72 class, year "&amp;$H137,IF(AND(LEFT($L137,2)="08",OR($H137&lt;1973,$H137&gt;1999)),"FAIL - 1973-99 class, year "&amp;$H137,IF(AND(LEFT($L137,2)="09",OR($H137&lt;2000,$H137&gt;2010)),"FAIL - 2000-10 class, year "&amp;$H137,"OK")))))</f>
        <v/>
      </c>
      <c r="BF137" s="53" t="str">
        <f aca="false">IF($AD137="","",IF(ROUND($AO137+$AP137+$AQ137-$AD137,2)=0,"OK","FAIL - out by "&amp;TEXT($AO137+$AP137+$AQ137-$AD137,"$0.00")))</f>
        <v/>
      </c>
    </row>
    <row r="138" customFormat="false" ht="15" hidden="false" customHeight="true" outlineLevel="0" collapsed="false">
      <c r="A138" s="54"/>
      <c r="B138" s="54"/>
      <c r="C138" s="55"/>
      <c r="D138" s="56"/>
      <c r="E138" s="56"/>
      <c r="F138" s="54"/>
      <c r="G138" s="41" t="str">
        <f aca="false">IF($A138="","",IF($C138="","",YEAR($C138)))</f>
        <v/>
      </c>
      <c r="H138" s="57"/>
      <c r="I138" s="54"/>
      <c r="J138" s="54"/>
      <c r="K138" s="54"/>
      <c r="L138" s="56"/>
      <c r="M138" s="58"/>
      <c r="N138" s="56"/>
      <c r="O138" s="54"/>
      <c r="P138" s="54"/>
      <c r="Q138" s="54"/>
      <c r="R138" s="54"/>
      <c r="S138" s="56"/>
      <c r="T138" s="44" t="str">
        <f aca="false">IF($A138="","",IF($S138="","",IFERROR(INDEX(Lists!$N$5:$N$16,MATCH($S138,Lists!$M$5:$M$16,0)),"?")))</f>
        <v/>
      </c>
      <c r="U138" s="54"/>
      <c r="V138" s="56"/>
      <c r="W138" s="54"/>
      <c r="X138" s="56"/>
      <c r="Y138" s="54"/>
      <c r="Z138" s="54"/>
      <c r="AA138" s="56"/>
      <c r="AB138" s="58"/>
      <c r="AC138" s="59"/>
      <c r="AD138" s="46" t="str">
        <f aca="false">IF(ISNUMBER($AB138),$AB138*(1+N($AC138)),"")</f>
        <v/>
      </c>
      <c r="AE138" s="58"/>
      <c r="AF138" s="58"/>
      <c r="AG138" s="59"/>
      <c r="AH138" s="47" t="str">
        <f aca="false">IF(ISNUMBER($AD138),($AD138+$AE138+$AF138)*$AG138,"")</f>
        <v/>
      </c>
      <c r="AI138" s="58"/>
      <c r="AJ138" s="46" t="str">
        <f aca="false">IF(ISNUMBER($AD138),SUM($AD138:$AH138),"")</f>
        <v/>
      </c>
      <c r="AK138" s="48" t="str">
        <f aca="false">IF(AND(ISNUMBER($AB138),ISNUMBER($AD138)),IF($AB138&gt;0,$AD138/$AB138,""),"")</f>
        <v/>
      </c>
      <c r="AL138" s="56"/>
      <c r="AM138" s="49" t="str">
        <f aca="false">IF(ISNUMBER($AD138),Header!$I$3,"")</f>
        <v/>
      </c>
      <c r="AN138" s="47" t="str">
        <f aca="false">IF(ISNUMBER($AD138),$AO138+$AP138,"")</f>
        <v/>
      </c>
      <c r="AO138" s="47" t="str">
        <f aca="false">IF(ISNUMBER($AD138),ROUND($AD138*Header!$K$3,2),"")</f>
        <v/>
      </c>
      <c r="AP138" s="47" t="str">
        <f aca="false">IF(ISNUMBER($AD138),ROUND($AD138*Header!$M$3,2),"")</f>
        <v/>
      </c>
      <c r="AQ138" s="46" t="str">
        <f aca="false">IF(ISNUMBER($AD138),ROUND($AD138,2)-$AO138-$AP138,"")</f>
        <v/>
      </c>
      <c r="AR138" s="47" t="str">
        <f aca="false">IF(ISNUMBER($AD138),IF(Header!$D$34="","?",$AD138*Header!$D$34),"")</f>
        <v/>
      </c>
      <c r="AS138" s="47" t="str">
        <f aca="false">IF(ISNUMBER($AB138),IF(Header!$D$34="","?",$AB138*Header!$D$34),"")</f>
        <v/>
      </c>
      <c r="AT138" s="50" t="str">
        <f aca="false">IF(AND(ISNUMBER($AB138),$M138&gt;0),$AB138/$M138*100,"")</f>
        <v/>
      </c>
      <c r="AU138" s="50" t="str">
        <f aca="false">IF(AND(ISNUMBER($AD138),$M138&gt;0),$AD138/$M138*100,"")</f>
        <v/>
      </c>
      <c r="AV138" s="48" t="str">
        <f aca="false">IF(AND(ISNUMBER($AB138),ISNUMBER($AD138),ABS($AB138)&gt;0),$AD138/$AB138,"")</f>
        <v/>
      </c>
      <c r="AW138" s="47" t="str">
        <f aca="false">IF(ISNUMBER($AD138),MAX(0,(1-0.55-Header!$O$3)*Header!$Q$3*$AQ138),"")</f>
        <v/>
      </c>
      <c r="AX138" s="51" t="str">
        <f aca="false">IF($A138="","",IF(TRIM(IF($A138="","Missing certificate ref. ","") &amp; IF($C138="","Missing effective date. ","") &amp; IF($D138="","Missing binding status. ","") &amp; IF($E138="","Missing movement type. ","") &amp; IF($I138="","Missing make. ","") &amp; IF($L138="","Missing vehicle class. ","") &amp; IF($M138="","Missing agreed value. ","") &amp; IF($N138="","Missing policy type. ","") &amp; IF($Q138="","Missing garaging state. ","") &amp; IF($R138="","Missing garaging ZIP. ","") &amp; IF($S138="","Missing cat zone. ","") &amp; IF($V138="","Missing valuation basis. ","") &amp; IF($W138="","Missing PD deductible. ","") &amp; IF($X138="","Missing liability limit. ","") &amp; IF($AB138="","Missing technical premium. ","") &amp; IF($AF138="","Missing surplus lines tax %. ",""))="","PASS","FAIL: "&amp;TRIM(IF($A138="","Missing certificate ref. ","") &amp; IF($C138="","Missing effective date. ","") &amp; IF($D138="","Missing binding status. ","") &amp; IF($E138="","Missing movement type. ","") &amp; IF($I138="","Missing make. ","") &amp; IF($L138="","Missing vehicle class. ","") &amp; IF($M138="","Missing agreed value. ","") &amp; IF($N138="","Missing policy type. ","") &amp; IF($Q138="","Missing garaging state. ","") &amp; IF($R138="","Missing garaging ZIP. ","") &amp; IF($S138="","Missing cat zone. ","") &amp; IF($V138="","Missing valuation basis. ","") &amp; IF($W138="","Missing PD deductible. ","") &amp; IF($X138="","Missing liability limit. ","") &amp; IF($AB138="","Missing technical premium. ","") &amp; IF($AF138="","Missing surplus lines tax %. ",""))))</f>
        <v/>
      </c>
      <c r="AY138" s="52" t="str">
        <f aca="false">IF($M138="","",IF(ISNUMBER($M138),IF($M138&gt;=Header!$C$18,"YES — refer","No"),""))</f>
        <v/>
      </c>
      <c r="AZ138" s="52" t="str">
        <f aca="false">IF($AD138="","",IF(ISNUMBER($AD138),IF($AD138&lt;Header!$C$20,"BELOW MIN PREMIUM","OK"),""))</f>
        <v/>
      </c>
      <c r="BA138" s="56"/>
      <c r="BB138" s="56"/>
      <c r="BC138" s="54"/>
      <c r="BE138" s="53" t="str">
        <f aca="false">IF(OR($A138="",$L138="",$H138=""),"",IF(AND(LEFT($L138,2)="06",$H138&gt;1945),"FAIL - pre-war class, year "&amp;$H138,IF(AND(LEFT($L138,2)="07",OR($H138&lt;1946,$H138&gt;1972)),"FAIL - 1946-72 class, year "&amp;$H138,IF(AND(LEFT($L138,2)="08",OR($H138&lt;1973,$H138&gt;1999)),"FAIL - 1973-99 class, year "&amp;$H138,IF(AND(LEFT($L138,2)="09",OR($H138&lt;2000,$H138&gt;2010)),"FAIL - 2000-10 class, year "&amp;$H138,"OK")))))</f>
        <v/>
      </c>
      <c r="BF138" s="53" t="str">
        <f aca="false">IF($AD138="","",IF(ROUND($AO138+$AP138+$AQ138-$AD138,2)=0,"OK","FAIL - out by "&amp;TEXT($AO138+$AP138+$AQ138-$AD138,"$0.00")))</f>
        <v/>
      </c>
    </row>
    <row r="139" customFormat="false" ht="15" hidden="false" customHeight="true" outlineLevel="0" collapsed="false">
      <c r="A139" s="38"/>
      <c r="B139" s="38"/>
      <c r="C139" s="39"/>
      <c r="D139" s="40"/>
      <c r="E139" s="40"/>
      <c r="F139" s="38"/>
      <c r="G139" s="41" t="str">
        <f aca="false">IF($A139="","",IF($C139="","",YEAR($C139)))</f>
        <v/>
      </c>
      <c r="H139" s="42"/>
      <c r="I139" s="38"/>
      <c r="J139" s="38"/>
      <c r="K139" s="38"/>
      <c r="L139" s="40"/>
      <c r="M139" s="43"/>
      <c r="N139" s="40"/>
      <c r="O139" s="38"/>
      <c r="P139" s="38"/>
      <c r="Q139" s="38"/>
      <c r="R139" s="38"/>
      <c r="S139" s="40"/>
      <c r="T139" s="44" t="str">
        <f aca="false">IF($A139="","",IF($S139="","",IFERROR(INDEX(Lists!$N$5:$N$16,MATCH($S139,Lists!$M$5:$M$16,0)),"?")))</f>
        <v/>
      </c>
      <c r="U139" s="38"/>
      <c r="V139" s="40"/>
      <c r="W139" s="38"/>
      <c r="X139" s="40"/>
      <c r="Y139" s="38"/>
      <c r="Z139" s="38"/>
      <c r="AA139" s="40"/>
      <c r="AB139" s="43"/>
      <c r="AC139" s="45"/>
      <c r="AD139" s="46" t="str">
        <f aca="false">IF(ISNUMBER($AB139),$AB139*(1+N($AC139)),"")</f>
        <v/>
      </c>
      <c r="AE139" s="43"/>
      <c r="AF139" s="43"/>
      <c r="AG139" s="45"/>
      <c r="AH139" s="47" t="str">
        <f aca="false">IF(ISNUMBER($AD139),($AD139+$AE139+$AF139)*$AG139,"")</f>
        <v/>
      </c>
      <c r="AI139" s="43"/>
      <c r="AJ139" s="46" t="str">
        <f aca="false">IF(ISNUMBER($AD139),SUM($AD139:$AH139),"")</f>
        <v/>
      </c>
      <c r="AK139" s="48" t="str">
        <f aca="false">IF(AND(ISNUMBER($AB139),ISNUMBER($AD139)),IF($AB139&gt;0,$AD139/$AB139,""),"")</f>
        <v/>
      </c>
      <c r="AL139" s="40"/>
      <c r="AM139" s="49" t="str">
        <f aca="false">IF(ISNUMBER($AD139),Header!$I$3,"")</f>
        <v/>
      </c>
      <c r="AN139" s="47" t="str">
        <f aca="false">IF(ISNUMBER($AD139),$AO139+$AP139,"")</f>
        <v/>
      </c>
      <c r="AO139" s="47" t="str">
        <f aca="false">IF(ISNUMBER($AD139),ROUND($AD139*Header!$K$3,2),"")</f>
        <v/>
      </c>
      <c r="AP139" s="47" t="str">
        <f aca="false">IF(ISNUMBER($AD139),ROUND($AD139*Header!$M$3,2),"")</f>
        <v/>
      </c>
      <c r="AQ139" s="46" t="str">
        <f aca="false">IF(ISNUMBER($AD139),ROUND($AD139,2)-$AO139-$AP139,"")</f>
        <v/>
      </c>
      <c r="AR139" s="47" t="str">
        <f aca="false">IF(ISNUMBER($AD139),IF(Header!$D$34="","?",$AD139*Header!$D$34),"")</f>
        <v/>
      </c>
      <c r="AS139" s="47" t="str">
        <f aca="false">IF(ISNUMBER($AB139),IF(Header!$D$34="","?",$AB139*Header!$D$34),"")</f>
        <v/>
      </c>
      <c r="AT139" s="50" t="str">
        <f aca="false">IF(AND(ISNUMBER($AB139),$M139&gt;0),$AB139/$M139*100,"")</f>
        <v/>
      </c>
      <c r="AU139" s="50" t="str">
        <f aca="false">IF(AND(ISNUMBER($AD139),$M139&gt;0),$AD139/$M139*100,"")</f>
        <v/>
      </c>
      <c r="AV139" s="48" t="str">
        <f aca="false">IF(AND(ISNUMBER($AB139),ISNUMBER($AD139),ABS($AB139)&gt;0),$AD139/$AB139,"")</f>
        <v/>
      </c>
      <c r="AW139" s="47" t="str">
        <f aca="false">IF(ISNUMBER($AD139),MAX(0,(1-0.55-Header!$O$3)*Header!$Q$3*$AQ139),"")</f>
        <v/>
      </c>
      <c r="AX139" s="51" t="str">
        <f aca="false">IF($A139="","",IF(TRIM(IF($A139="","Missing certificate ref. ","") &amp; IF($C139="","Missing effective date. ","") &amp; IF($D139="","Missing binding status. ","") &amp; IF($E139="","Missing movement type. ","") &amp; IF($I139="","Missing make. ","") &amp; IF($L139="","Missing vehicle class. ","") &amp; IF($M139="","Missing agreed value. ","") &amp; IF($N139="","Missing policy type. ","") &amp; IF($Q139="","Missing garaging state. ","") &amp; IF($R139="","Missing garaging ZIP. ","") &amp; IF($S139="","Missing cat zone. ","") &amp; IF($V139="","Missing valuation basis. ","") &amp; IF($W139="","Missing PD deductible. ","") &amp; IF($X139="","Missing liability limit. ","") &amp; IF($AB139="","Missing technical premium. ","") &amp; IF($AF139="","Missing surplus lines tax %. ",""))="","PASS","FAIL: "&amp;TRIM(IF($A139="","Missing certificate ref. ","") &amp; IF($C139="","Missing effective date. ","") &amp; IF($D139="","Missing binding status. ","") &amp; IF($E139="","Missing movement type. ","") &amp; IF($I139="","Missing make. ","") &amp; IF($L139="","Missing vehicle class. ","") &amp; IF($M139="","Missing agreed value. ","") &amp; IF($N139="","Missing policy type. ","") &amp; IF($Q139="","Missing garaging state. ","") &amp; IF($R139="","Missing garaging ZIP. ","") &amp; IF($S139="","Missing cat zone. ","") &amp; IF($V139="","Missing valuation basis. ","") &amp; IF($W139="","Missing PD deductible. ","") &amp; IF($X139="","Missing liability limit. ","") &amp; IF($AB139="","Missing technical premium. ","") &amp; IF($AF139="","Missing surplus lines tax %. ",""))))</f>
        <v/>
      </c>
      <c r="AY139" s="52" t="str">
        <f aca="false">IF($M139="","",IF(ISNUMBER($M139),IF($M139&gt;=Header!$C$18,"YES — refer","No"),""))</f>
        <v/>
      </c>
      <c r="AZ139" s="52" t="str">
        <f aca="false">IF($AD139="","",IF(ISNUMBER($AD139),IF($AD139&lt;Header!$C$20,"BELOW MIN PREMIUM","OK"),""))</f>
        <v/>
      </c>
      <c r="BA139" s="40"/>
      <c r="BB139" s="40"/>
      <c r="BC139" s="38"/>
      <c r="BE139" s="53" t="str">
        <f aca="false">IF(OR($A139="",$L139="",$H139=""),"",IF(AND(LEFT($L139,2)="06",$H139&gt;1945),"FAIL - pre-war class, year "&amp;$H139,IF(AND(LEFT($L139,2)="07",OR($H139&lt;1946,$H139&gt;1972)),"FAIL - 1946-72 class, year "&amp;$H139,IF(AND(LEFT($L139,2)="08",OR($H139&lt;1973,$H139&gt;1999)),"FAIL - 1973-99 class, year "&amp;$H139,IF(AND(LEFT($L139,2)="09",OR($H139&lt;2000,$H139&gt;2010)),"FAIL - 2000-10 class, year "&amp;$H139,"OK")))))</f>
        <v/>
      </c>
      <c r="BF139" s="53" t="str">
        <f aca="false">IF($AD139="","",IF(ROUND($AO139+$AP139+$AQ139-$AD139,2)=0,"OK","FAIL - out by "&amp;TEXT($AO139+$AP139+$AQ139-$AD139,"$0.00")))</f>
        <v/>
      </c>
    </row>
    <row r="140" customFormat="false" ht="15" hidden="false" customHeight="true" outlineLevel="0" collapsed="false">
      <c r="A140" s="54"/>
      <c r="B140" s="54"/>
      <c r="C140" s="55"/>
      <c r="D140" s="56"/>
      <c r="E140" s="56"/>
      <c r="F140" s="54"/>
      <c r="G140" s="41" t="str">
        <f aca="false">IF($A140="","",IF($C140="","",YEAR($C140)))</f>
        <v/>
      </c>
      <c r="H140" s="57"/>
      <c r="I140" s="54"/>
      <c r="J140" s="54"/>
      <c r="K140" s="54"/>
      <c r="L140" s="56"/>
      <c r="M140" s="58"/>
      <c r="N140" s="56"/>
      <c r="O140" s="54"/>
      <c r="P140" s="54"/>
      <c r="Q140" s="54"/>
      <c r="R140" s="54"/>
      <c r="S140" s="56"/>
      <c r="T140" s="44" t="str">
        <f aca="false">IF($A140="","",IF($S140="","",IFERROR(INDEX(Lists!$N$5:$N$16,MATCH($S140,Lists!$M$5:$M$16,0)),"?")))</f>
        <v/>
      </c>
      <c r="U140" s="54"/>
      <c r="V140" s="56"/>
      <c r="W140" s="54"/>
      <c r="X140" s="56"/>
      <c r="Y140" s="54"/>
      <c r="Z140" s="54"/>
      <c r="AA140" s="56"/>
      <c r="AB140" s="58"/>
      <c r="AC140" s="59"/>
      <c r="AD140" s="46" t="str">
        <f aca="false">IF(ISNUMBER($AB140),$AB140*(1+N($AC140)),"")</f>
        <v/>
      </c>
      <c r="AE140" s="58"/>
      <c r="AF140" s="58"/>
      <c r="AG140" s="59"/>
      <c r="AH140" s="47" t="str">
        <f aca="false">IF(ISNUMBER($AD140),($AD140+$AE140+$AF140)*$AG140,"")</f>
        <v/>
      </c>
      <c r="AI140" s="58"/>
      <c r="AJ140" s="46" t="str">
        <f aca="false">IF(ISNUMBER($AD140),SUM($AD140:$AH140),"")</f>
        <v/>
      </c>
      <c r="AK140" s="48" t="str">
        <f aca="false">IF(AND(ISNUMBER($AB140),ISNUMBER($AD140)),IF($AB140&gt;0,$AD140/$AB140,""),"")</f>
        <v/>
      </c>
      <c r="AL140" s="56"/>
      <c r="AM140" s="49" t="str">
        <f aca="false">IF(ISNUMBER($AD140),Header!$I$3,"")</f>
        <v/>
      </c>
      <c r="AN140" s="47" t="str">
        <f aca="false">IF(ISNUMBER($AD140),$AO140+$AP140,"")</f>
        <v/>
      </c>
      <c r="AO140" s="47" t="str">
        <f aca="false">IF(ISNUMBER($AD140),ROUND($AD140*Header!$K$3,2),"")</f>
        <v/>
      </c>
      <c r="AP140" s="47" t="str">
        <f aca="false">IF(ISNUMBER($AD140),ROUND($AD140*Header!$M$3,2),"")</f>
        <v/>
      </c>
      <c r="AQ140" s="46" t="str">
        <f aca="false">IF(ISNUMBER($AD140),ROUND($AD140,2)-$AO140-$AP140,"")</f>
        <v/>
      </c>
      <c r="AR140" s="47" t="str">
        <f aca="false">IF(ISNUMBER($AD140),IF(Header!$D$34="","?",$AD140*Header!$D$34),"")</f>
        <v/>
      </c>
      <c r="AS140" s="47" t="str">
        <f aca="false">IF(ISNUMBER($AB140),IF(Header!$D$34="","?",$AB140*Header!$D$34),"")</f>
        <v/>
      </c>
      <c r="AT140" s="50" t="str">
        <f aca="false">IF(AND(ISNUMBER($AB140),$M140&gt;0),$AB140/$M140*100,"")</f>
        <v/>
      </c>
      <c r="AU140" s="50" t="str">
        <f aca="false">IF(AND(ISNUMBER($AD140),$M140&gt;0),$AD140/$M140*100,"")</f>
        <v/>
      </c>
      <c r="AV140" s="48" t="str">
        <f aca="false">IF(AND(ISNUMBER($AB140),ISNUMBER($AD140),ABS($AB140)&gt;0),$AD140/$AB140,"")</f>
        <v/>
      </c>
      <c r="AW140" s="47" t="str">
        <f aca="false">IF(ISNUMBER($AD140),MAX(0,(1-0.55-Header!$O$3)*Header!$Q$3*$AQ140),"")</f>
        <v/>
      </c>
      <c r="AX140" s="51" t="str">
        <f aca="false">IF($A140="","",IF(TRIM(IF($A140="","Missing certificate ref. ","") &amp; IF($C140="","Missing effective date. ","") &amp; IF($D140="","Missing binding status. ","") &amp; IF($E140="","Missing movement type. ","") &amp; IF($I140="","Missing make. ","") &amp; IF($L140="","Missing vehicle class. ","") &amp; IF($M140="","Missing agreed value. ","") &amp; IF($N140="","Missing policy type. ","") &amp; IF($Q140="","Missing garaging state. ","") &amp; IF($R140="","Missing garaging ZIP. ","") &amp; IF($S140="","Missing cat zone. ","") &amp; IF($V140="","Missing valuation basis. ","") &amp; IF($W140="","Missing PD deductible. ","") &amp; IF($X140="","Missing liability limit. ","") &amp; IF($AB140="","Missing technical premium. ","") &amp; IF($AF140="","Missing surplus lines tax %. ",""))="","PASS","FAIL: "&amp;TRIM(IF($A140="","Missing certificate ref. ","") &amp; IF($C140="","Missing effective date. ","") &amp; IF($D140="","Missing binding status. ","") &amp; IF($E140="","Missing movement type. ","") &amp; IF($I140="","Missing make. ","") &amp; IF($L140="","Missing vehicle class. ","") &amp; IF($M140="","Missing agreed value. ","") &amp; IF($N140="","Missing policy type. ","") &amp; IF($Q140="","Missing garaging state. ","") &amp; IF($R140="","Missing garaging ZIP. ","") &amp; IF($S140="","Missing cat zone. ","") &amp; IF($V140="","Missing valuation basis. ","") &amp; IF($W140="","Missing PD deductible. ","") &amp; IF($X140="","Missing liability limit. ","") &amp; IF($AB140="","Missing technical premium. ","") &amp; IF($AF140="","Missing surplus lines tax %. ",""))))</f>
        <v/>
      </c>
      <c r="AY140" s="52" t="str">
        <f aca="false">IF($M140="","",IF(ISNUMBER($M140),IF($M140&gt;=Header!$C$18,"YES — refer","No"),""))</f>
        <v/>
      </c>
      <c r="AZ140" s="52" t="str">
        <f aca="false">IF($AD140="","",IF(ISNUMBER($AD140),IF($AD140&lt;Header!$C$20,"BELOW MIN PREMIUM","OK"),""))</f>
        <v/>
      </c>
      <c r="BA140" s="56"/>
      <c r="BB140" s="56"/>
      <c r="BC140" s="54"/>
      <c r="BE140" s="53" t="str">
        <f aca="false">IF(OR($A140="",$L140="",$H140=""),"",IF(AND(LEFT($L140,2)="06",$H140&gt;1945),"FAIL - pre-war class, year "&amp;$H140,IF(AND(LEFT($L140,2)="07",OR($H140&lt;1946,$H140&gt;1972)),"FAIL - 1946-72 class, year "&amp;$H140,IF(AND(LEFT($L140,2)="08",OR($H140&lt;1973,$H140&gt;1999)),"FAIL - 1973-99 class, year "&amp;$H140,IF(AND(LEFT($L140,2)="09",OR($H140&lt;2000,$H140&gt;2010)),"FAIL - 2000-10 class, year "&amp;$H140,"OK")))))</f>
        <v/>
      </c>
      <c r="BF140" s="53" t="str">
        <f aca="false">IF($AD140="","",IF(ROUND($AO140+$AP140+$AQ140-$AD140,2)=0,"OK","FAIL - out by "&amp;TEXT($AO140+$AP140+$AQ140-$AD140,"$0.00")))</f>
        <v/>
      </c>
    </row>
    <row r="141" customFormat="false" ht="15" hidden="false" customHeight="true" outlineLevel="0" collapsed="false">
      <c r="A141" s="38"/>
      <c r="B141" s="38"/>
      <c r="C141" s="39"/>
      <c r="D141" s="40"/>
      <c r="E141" s="40"/>
      <c r="F141" s="38"/>
      <c r="G141" s="41" t="str">
        <f aca="false">IF($A141="","",IF($C141="","",YEAR($C141)))</f>
        <v/>
      </c>
      <c r="H141" s="42"/>
      <c r="I141" s="38"/>
      <c r="J141" s="38"/>
      <c r="K141" s="38"/>
      <c r="L141" s="40"/>
      <c r="M141" s="43"/>
      <c r="N141" s="40"/>
      <c r="O141" s="38"/>
      <c r="P141" s="38"/>
      <c r="Q141" s="38"/>
      <c r="R141" s="38"/>
      <c r="S141" s="40"/>
      <c r="T141" s="44" t="str">
        <f aca="false">IF($A141="","",IF($S141="","",IFERROR(INDEX(Lists!$N$5:$N$16,MATCH($S141,Lists!$M$5:$M$16,0)),"?")))</f>
        <v/>
      </c>
      <c r="U141" s="38"/>
      <c r="V141" s="40"/>
      <c r="W141" s="38"/>
      <c r="X141" s="40"/>
      <c r="Y141" s="38"/>
      <c r="Z141" s="38"/>
      <c r="AA141" s="40"/>
      <c r="AB141" s="43"/>
      <c r="AC141" s="45"/>
      <c r="AD141" s="46" t="str">
        <f aca="false">IF(ISNUMBER($AB141),$AB141*(1+N($AC141)),"")</f>
        <v/>
      </c>
      <c r="AE141" s="43"/>
      <c r="AF141" s="43"/>
      <c r="AG141" s="45"/>
      <c r="AH141" s="47" t="str">
        <f aca="false">IF(ISNUMBER($AD141),($AD141+$AE141+$AF141)*$AG141,"")</f>
        <v/>
      </c>
      <c r="AI141" s="43"/>
      <c r="AJ141" s="46" t="str">
        <f aca="false">IF(ISNUMBER($AD141),SUM($AD141:$AH141),"")</f>
        <v/>
      </c>
      <c r="AK141" s="48" t="str">
        <f aca="false">IF(AND(ISNUMBER($AB141),ISNUMBER($AD141)),IF($AB141&gt;0,$AD141/$AB141,""),"")</f>
        <v/>
      </c>
      <c r="AL141" s="40"/>
      <c r="AM141" s="49" t="str">
        <f aca="false">IF(ISNUMBER($AD141),Header!$I$3,"")</f>
        <v/>
      </c>
      <c r="AN141" s="47" t="str">
        <f aca="false">IF(ISNUMBER($AD141),$AO141+$AP141,"")</f>
        <v/>
      </c>
      <c r="AO141" s="47" t="str">
        <f aca="false">IF(ISNUMBER($AD141),ROUND($AD141*Header!$K$3,2),"")</f>
        <v/>
      </c>
      <c r="AP141" s="47" t="str">
        <f aca="false">IF(ISNUMBER($AD141),ROUND($AD141*Header!$M$3,2),"")</f>
        <v/>
      </c>
      <c r="AQ141" s="46" t="str">
        <f aca="false">IF(ISNUMBER($AD141),ROUND($AD141,2)-$AO141-$AP141,"")</f>
        <v/>
      </c>
      <c r="AR141" s="47" t="str">
        <f aca="false">IF(ISNUMBER($AD141),IF(Header!$D$34="","?",$AD141*Header!$D$34),"")</f>
        <v/>
      </c>
      <c r="AS141" s="47" t="str">
        <f aca="false">IF(ISNUMBER($AB141),IF(Header!$D$34="","?",$AB141*Header!$D$34),"")</f>
        <v/>
      </c>
      <c r="AT141" s="50" t="str">
        <f aca="false">IF(AND(ISNUMBER($AB141),$M141&gt;0),$AB141/$M141*100,"")</f>
        <v/>
      </c>
      <c r="AU141" s="50" t="str">
        <f aca="false">IF(AND(ISNUMBER($AD141),$M141&gt;0),$AD141/$M141*100,"")</f>
        <v/>
      </c>
      <c r="AV141" s="48" t="str">
        <f aca="false">IF(AND(ISNUMBER($AB141),ISNUMBER($AD141),ABS($AB141)&gt;0),$AD141/$AB141,"")</f>
        <v/>
      </c>
      <c r="AW141" s="47" t="str">
        <f aca="false">IF(ISNUMBER($AD141),MAX(0,(1-0.55-Header!$O$3)*Header!$Q$3*$AQ141),"")</f>
        <v/>
      </c>
      <c r="AX141" s="51" t="str">
        <f aca="false">IF($A141="","",IF(TRIM(IF($A141="","Missing certificate ref. ","") &amp; IF($C141="","Missing effective date. ","") &amp; IF($D141="","Missing binding status. ","") &amp; IF($E141="","Missing movement type. ","") &amp; IF($I141="","Missing make. ","") &amp; IF($L141="","Missing vehicle class. ","") &amp; IF($M141="","Missing agreed value. ","") &amp; IF($N141="","Missing policy type. ","") &amp; IF($Q141="","Missing garaging state. ","") &amp; IF($R141="","Missing garaging ZIP. ","") &amp; IF($S141="","Missing cat zone. ","") &amp; IF($V141="","Missing valuation basis. ","") &amp; IF($W141="","Missing PD deductible. ","") &amp; IF($X141="","Missing liability limit. ","") &amp; IF($AB141="","Missing technical premium. ","") &amp; IF($AF141="","Missing surplus lines tax %. ",""))="","PASS","FAIL: "&amp;TRIM(IF($A141="","Missing certificate ref. ","") &amp; IF($C141="","Missing effective date. ","") &amp; IF($D141="","Missing binding status. ","") &amp; IF($E141="","Missing movement type. ","") &amp; IF($I141="","Missing make. ","") &amp; IF($L141="","Missing vehicle class. ","") &amp; IF($M141="","Missing agreed value. ","") &amp; IF($N141="","Missing policy type. ","") &amp; IF($Q141="","Missing garaging state. ","") &amp; IF($R141="","Missing garaging ZIP. ","") &amp; IF($S141="","Missing cat zone. ","") &amp; IF($V141="","Missing valuation basis. ","") &amp; IF($W141="","Missing PD deductible. ","") &amp; IF($X141="","Missing liability limit. ","") &amp; IF($AB141="","Missing technical premium. ","") &amp; IF($AF141="","Missing surplus lines tax %. ",""))))</f>
        <v/>
      </c>
      <c r="AY141" s="52" t="str">
        <f aca="false">IF($M141="","",IF(ISNUMBER($M141),IF($M141&gt;=Header!$C$18,"YES — refer","No"),""))</f>
        <v/>
      </c>
      <c r="AZ141" s="52" t="str">
        <f aca="false">IF($AD141="","",IF(ISNUMBER($AD141),IF($AD141&lt;Header!$C$20,"BELOW MIN PREMIUM","OK"),""))</f>
        <v/>
      </c>
      <c r="BA141" s="40"/>
      <c r="BB141" s="40"/>
      <c r="BC141" s="38"/>
      <c r="BE141" s="53" t="str">
        <f aca="false">IF(OR($A141="",$L141="",$H141=""),"",IF(AND(LEFT($L141,2)="06",$H141&gt;1945),"FAIL - pre-war class, year "&amp;$H141,IF(AND(LEFT($L141,2)="07",OR($H141&lt;1946,$H141&gt;1972)),"FAIL - 1946-72 class, year "&amp;$H141,IF(AND(LEFT($L141,2)="08",OR($H141&lt;1973,$H141&gt;1999)),"FAIL - 1973-99 class, year "&amp;$H141,IF(AND(LEFT($L141,2)="09",OR($H141&lt;2000,$H141&gt;2010)),"FAIL - 2000-10 class, year "&amp;$H141,"OK")))))</f>
        <v/>
      </c>
      <c r="BF141" s="53" t="str">
        <f aca="false">IF($AD141="","",IF(ROUND($AO141+$AP141+$AQ141-$AD141,2)=0,"OK","FAIL - out by "&amp;TEXT($AO141+$AP141+$AQ141-$AD141,"$0.00")))</f>
        <v/>
      </c>
    </row>
    <row r="142" customFormat="false" ht="15" hidden="false" customHeight="true" outlineLevel="0" collapsed="false">
      <c r="A142" s="54"/>
      <c r="B142" s="54"/>
      <c r="C142" s="55"/>
      <c r="D142" s="56"/>
      <c r="E142" s="56"/>
      <c r="F142" s="54"/>
      <c r="G142" s="41" t="str">
        <f aca="false">IF($A142="","",IF($C142="","",YEAR($C142)))</f>
        <v/>
      </c>
      <c r="H142" s="57"/>
      <c r="I142" s="54"/>
      <c r="J142" s="54"/>
      <c r="K142" s="54"/>
      <c r="L142" s="56"/>
      <c r="M142" s="58"/>
      <c r="N142" s="56"/>
      <c r="O142" s="54"/>
      <c r="P142" s="54"/>
      <c r="Q142" s="54"/>
      <c r="R142" s="54"/>
      <c r="S142" s="56"/>
      <c r="T142" s="44" t="str">
        <f aca="false">IF($A142="","",IF($S142="","",IFERROR(INDEX(Lists!$N$5:$N$16,MATCH($S142,Lists!$M$5:$M$16,0)),"?")))</f>
        <v/>
      </c>
      <c r="U142" s="54"/>
      <c r="V142" s="56"/>
      <c r="W142" s="54"/>
      <c r="X142" s="56"/>
      <c r="Y142" s="54"/>
      <c r="Z142" s="54"/>
      <c r="AA142" s="56"/>
      <c r="AB142" s="58"/>
      <c r="AC142" s="59"/>
      <c r="AD142" s="46" t="str">
        <f aca="false">IF(ISNUMBER($AB142),$AB142*(1+N($AC142)),"")</f>
        <v/>
      </c>
      <c r="AE142" s="58"/>
      <c r="AF142" s="58"/>
      <c r="AG142" s="59"/>
      <c r="AH142" s="47" t="str">
        <f aca="false">IF(ISNUMBER($AD142),($AD142+$AE142+$AF142)*$AG142,"")</f>
        <v/>
      </c>
      <c r="AI142" s="58"/>
      <c r="AJ142" s="46" t="str">
        <f aca="false">IF(ISNUMBER($AD142),SUM($AD142:$AH142),"")</f>
        <v/>
      </c>
      <c r="AK142" s="48" t="str">
        <f aca="false">IF(AND(ISNUMBER($AB142),ISNUMBER($AD142)),IF($AB142&gt;0,$AD142/$AB142,""),"")</f>
        <v/>
      </c>
      <c r="AL142" s="56"/>
      <c r="AM142" s="49" t="str">
        <f aca="false">IF(ISNUMBER($AD142),Header!$I$3,"")</f>
        <v/>
      </c>
      <c r="AN142" s="47" t="str">
        <f aca="false">IF(ISNUMBER($AD142),$AO142+$AP142,"")</f>
        <v/>
      </c>
      <c r="AO142" s="47" t="str">
        <f aca="false">IF(ISNUMBER($AD142),ROUND($AD142*Header!$K$3,2),"")</f>
        <v/>
      </c>
      <c r="AP142" s="47" t="str">
        <f aca="false">IF(ISNUMBER($AD142),ROUND($AD142*Header!$M$3,2),"")</f>
        <v/>
      </c>
      <c r="AQ142" s="46" t="str">
        <f aca="false">IF(ISNUMBER($AD142),ROUND($AD142,2)-$AO142-$AP142,"")</f>
        <v/>
      </c>
      <c r="AR142" s="47" t="str">
        <f aca="false">IF(ISNUMBER($AD142),IF(Header!$D$34="","?",$AD142*Header!$D$34),"")</f>
        <v/>
      </c>
      <c r="AS142" s="47" t="str">
        <f aca="false">IF(ISNUMBER($AB142),IF(Header!$D$34="","?",$AB142*Header!$D$34),"")</f>
        <v/>
      </c>
      <c r="AT142" s="50" t="str">
        <f aca="false">IF(AND(ISNUMBER($AB142),$M142&gt;0),$AB142/$M142*100,"")</f>
        <v/>
      </c>
      <c r="AU142" s="50" t="str">
        <f aca="false">IF(AND(ISNUMBER($AD142),$M142&gt;0),$AD142/$M142*100,"")</f>
        <v/>
      </c>
      <c r="AV142" s="48" t="str">
        <f aca="false">IF(AND(ISNUMBER($AB142),ISNUMBER($AD142),ABS($AB142)&gt;0),$AD142/$AB142,"")</f>
        <v/>
      </c>
      <c r="AW142" s="47" t="str">
        <f aca="false">IF(ISNUMBER($AD142),MAX(0,(1-0.55-Header!$O$3)*Header!$Q$3*$AQ142),"")</f>
        <v/>
      </c>
      <c r="AX142" s="51" t="str">
        <f aca="false">IF($A142="","",IF(TRIM(IF($A142="","Missing certificate ref. ","") &amp; IF($C142="","Missing effective date. ","") &amp; IF($D142="","Missing binding status. ","") &amp; IF($E142="","Missing movement type. ","") &amp; IF($I142="","Missing make. ","") &amp; IF($L142="","Missing vehicle class. ","") &amp; IF($M142="","Missing agreed value. ","") &amp; IF($N142="","Missing policy type. ","") &amp; IF($Q142="","Missing garaging state. ","") &amp; IF($R142="","Missing garaging ZIP. ","") &amp; IF($S142="","Missing cat zone. ","") &amp; IF($V142="","Missing valuation basis. ","") &amp; IF($W142="","Missing PD deductible. ","") &amp; IF($X142="","Missing liability limit. ","") &amp; IF($AB142="","Missing technical premium. ","") &amp; IF($AF142="","Missing surplus lines tax %. ",""))="","PASS","FAIL: "&amp;TRIM(IF($A142="","Missing certificate ref. ","") &amp; IF($C142="","Missing effective date. ","") &amp; IF($D142="","Missing binding status. ","") &amp; IF($E142="","Missing movement type. ","") &amp; IF($I142="","Missing make. ","") &amp; IF($L142="","Missing vehicle class. ","") &amp; IF($M142="","Missing agreed value. ","") &amp; IF($N142="","Missing policy type. ","") &amp; IF($Q142="","Missing garaging state. ","") &amp; IF($R142="","Missing garaging ZIP. ","") &amp; IF($S142="","Missing cat zone. ","") &amp; IF($V142="","Missing valuation basis. ","") &amp; IF($W142="","Missing PD deductible. ","") &amp; IF($X142="","Missing liability limit. ","") &amp; IF($AB142="","Missing technical premium. ","") &amp; IF($AF142="","Missing surplus lines tax %. ",""))))</f>
        <v/>
      </c>
      <c r="AY142" s="52" t="str">
        <f aca="false">IF($M142="","",IF(ISNUMBER($M142),IF($M142&gt;=Header!$C$18,"YES — refer","No"),""))</f>
        <v/>
      </c>
      <c r="AZ142" s="52" t="str">
        <f aca="false">IF($AD142="","",IF(ISNUMBER($AD142),IF($AD142&lt;Header!$C$20,"BELOW MIN PREMIUM","OK"),""))</f>
        <v/>
      </c>
      <c r="BA142" s="56"/>
      <c r="BB142" s="56"/>
      <c r="BC142" s="54"/>
      <c r="BE142" s="53" t="str">
        <f aca="false">IF(OR($A142="",$L142="",$H142=""),"",IF(AND(LEFT($L142,2)="06",$H142&gt;1945),"FAIL - pre-war class, year "&amp;$H142,IF(AND(LEFT($L142,2)="07",OR($H142&lt;1946,$H142&gt;1972)),"FAIL - 1946-72 class, year "&amp;$H142,IF(AND(LEFT($L142,2)="08",OR($H142&lt;1973,$H142&gt;1999)),"FAIL - 1973-99 class, year "&amp;$H142,IF(AND(LEFT($L142,2)="09",OR($H142&lt;2000,$H142&gt;2010)),"FAIL - 2000-10 class, year "&amp;$H142,"OK")))))</f>
        <v/>
      </c>
      <c r="BF142" s="53" t="str">
        <f aca="false">IF($AD142="","",IF(ROUND($AO142+$AP142+$AQ142-$AD142,2)=0,"OK","FAIL - out by "&amp;TEXT($AO142+$AP142+$AQ142-$AD142,"$0.00")))</f>
        <v/>
      </c>
    </row>
    <row r="143" customFormat="false" ht="15" hidden="false" customHeight="true" outlineLevel="0" collapsed="false">
      <c r="A143" s="38"/>
      <c r="B143" s="38"/>
      <c r="C143" s="39"/>
      <c r="D143" s="40"/>
      <c r="E143" s="40"/>
      <c r="F143" s="38"/>
      <c r="G143" s="41" t="str">
        <f aca="false">IF($A143="","",IF($C143="","",YEAR($C143)))</f>
        <v/>
      </c>
      <c r="H143" s="42"/>
      <c r="I143" s="38"/>
      <c r="J143" s="38"/>
      <c r="K143" s="38"/>
      <c r="L143" s="40"/>
      <c r="M143" s="43"/>
      <c r="N143" s="40"/>
      <c r="O143" s="38"/>
      <c r="P143" s="38"/>
      <c r="Q143" s="38"/>
      <c r="R143" s="38"/>
      <c r="S143" s="40"/>
      <c r="T143" s="44" t="str">
        <f aca="false">IF($A143="","",IF($S143="","",IFERROR(INDEX(Lists!$N$5:$N$16,MATCH($S143,Lists!$M$5:$M$16,0)),"?")))</f>
        <v/>
      </c>
      <c r="U143" s="38"/>
      <c r="V143" s="40"/>
      <c r="W143" s="38"/>
      <c r="X143" s="40"/>
      <c r="Y143" s="38"/>
      <c r="Z143" s="38"/>
      <c r="AA143" s="40"/>
      <c r="AB143" s="43"/>
      <c r="AC143" s="45"/>
      <c r="AD143" s="46" t="str">
        <f aca="false">IF(ISNUMBER($AB143),$AB143*(1+N($AC143)),"")</f>
        <v/>
      </c>
      <c r="AE143" s="43"/>
      <c r="AF143" s="43"/>
      <c r="AG143" s="45"/>
      <c r="AH143" s="47" t="str">
        <f aca="false">IF(ISNUMBER($AD143),($AD143+$AE143+$AF143)*$AG143,"")</f>
        <v/>
      </c>
      <c r="AI143" s="43"/>
      <c r="AJ143" s="46" t="str">
        <f aca="false">IF(ISNUMBER($AD143),SUM($AD143:$AH143),"")</f>
        <v/>
      </c>
      <c r="AK143" s="48" t="str">
        <f aca="false">IF(AND(ISNUMBER($AB143),ISNUMBER($AD143)),IF($AB143&gt;0,$AD143/$AB143,""),"")</f>
        <v/>
      </c>
      <c r="AL143" s="40"/>
      <c r="AM143" s="49" t="str">
        <f aca="false">IF(ISNUMBER($AD143),Header!$I$3,"")</f>
        <v/>
      </c>
      <c r="AN143" s="47" t="str">
        <f aca="false">IF(ISNUMBER($AD143),$AO143+$AP143,"")</f>
        <v/>
      </c>
      <c r="AO143" s="47" t="str">
        <f aca="false">IF(ISNUMBER($AD143),ROUND($AD143*Header!$K$3,2),"")</f>
        <v/>
      </c>
      <c r="AP143" s="47" t="str">
        <f aca="false">IF(ISNUMBER($AD143),ROUND($AD143*Header!$M$3,2),"")</f>
        <v/>
      </c>
      <c r="AQ143" s="46" t="str">
        <f aca="false">IF(ISNUMBER($AD143),ROUND($AD143,2)-$AO143-$AP143,"")</f>
        <v/>
      </c>
      <c r="AR143" s="47" t="str">
        <f aca="false">IF(ISNUMBER($AD143),IF(Header!$D$34="","?",$AD143*Header!$D$34),"")</f>
        <v/>
      </c>
      <c r="AS143" s="47" t="str">
        <f aca="false">IF(ISNUMBER($AB143),IF(Header!$D$34="","?",$AB143*Header!$D$34),"")</f>
        <v/>
      </c>
      <c r="AT143" s="50" t="str">
        <f aca="false">IF(AND(ISNUMBER($AB143),$M143&gt;0),$AB143/$M143*100,"")</f>
        <v/>
      </c>
      <c r="AU143" s="50" t="str">
        <f aca="false">IF(AND(ISNUMBER($AD143),$M143&gt;0),$AD143/$M143*100,"")</f>
        <v/>
      </c>
      <c r="AV143" s="48" t="str">
        <f aca="false">IF(AND(ISNUMBER($AB143),ISNUMBER($AD143),ABS($AB143)&gt;0),$AD143/$AB143,"")</f>
        <v/>
      </c>
      <c r="AW143" s="47" t="str">
        <f aca="false">IF(ISNUMBER($AD143),MAX(0,(1-0.55-Header!$O$3)*Header!$Q$3*$AQ143),"")</f>
        <v/>
      </c>
      <c r="AX143" s="51" t="str">
        <f aca="false">IF($A143="","",IF(TRIM(IF($A143="","Missing certificate ref. ","") &amp; IF($C143="","Missing effective date. ","") &amp; IF($D143="","Missing binding status. ","") &amp; IF($E143="","Missing movement type. ","") &amp; IF($I143="","Missing make. ","") &amp; IF($L143="","Missing vehicle class. ","") &amp; IF($M143="","Missing agreed value. ","") &amp; IF($N143="","Missing policy type. ","") &amp; IF($Q143="","Missing garaging state. ","") &amp; IF($R143="","Missing garaging ZIP. ","") &amp; IF($S143="","Missing cat zone. ","") &amp; IF($V143="","Missing valuation basis. ","") &amp; IF($W143="","Missing PD deductible. ","") &amp; IF($X143="","Missing liability limit. ","") &amp; IF($AB143="","Missing technical premium. ","") &amp; IF($AF143="","Missing surplus lines tax %. ",""))="","PASS","FAIL: "&amp;TRIM(IF($A143="","Missing certificate ref. ","") &amp; IF($C143="","Missing effective date. ","") &amp; IF($D143="","Missing binding status. ","") &amp; IF($E143="","Missing movement type. ","") &amp; IF($I143="","Missing make. ","") &amp; IF($L143="","Missing vehicle class. ","") &amp; IF($M143="","Missing agreed value. ","") &amp; IF($N143="","Missing policy type. ","") &amp; IF($Q143="","Missing garaging state. ","") &amp; IF($R143="","Missing garaging ZIP. ","") &amp; IF($S143="","Missing cat zone. ","") &amp; IF($V143="","Missing valuation basis. ","") &amp; IF($W143="","Missing PD deductible. ","") &amp; IF($X143="","Missing liability limit. ","") &amp; IF($AB143="","Missing technical premium. ","") &amp; IF($AF143="","Missing surplus lines tax %. ",""))))</f>
        <v/>
      </c>
      <c r="AY143" s="52" t="str">
        <f aca="false">IF($M143="","",IF(ISNUMBER($M143),IF($M143&gt;=Header!$C$18,"YES — refer","No"),""))</f>
        <v/>
      </c>
      <c r="AZ143" s="52" t="str">
        <f aca="false">IF($AD143="","",IF(ISNUMBER($AD143),IF($AD143&lt;Header!$C$20,"BELOW MIN PREMIUM","OK"),""))</f>
        <v/>
      </c>
      <c r="BA143" s="40"/>
      <c r="BB143" s="40"/>
      <c r="BC143" s="38"/>
      <c r="BE143" s="53" t="str">
        <f aca="false">IF(OR($A143="",$L143="",$H143=""),"",IF(AND(LEFT($L143,2)="06",$H143&gt;1945),"FAIL - pre-war class, year "&amp;$H143,IF(AND(LEFT($L143,2)="07",OR($H143&lt;1946,$H143&gt;1972)),"FAIL - 1946-72 class, year "&amp;$H143,IF(AND(LEFT($L143,2)="08",OR($H143&lt;1973,$H143&gt;1999)),"FAIL - 1973-99 class, year "&amp;$H143,IF(AND(LEFT($L143,2)="09",OR($H143&lt;2000,$H143&gt;2010)),"FAIL - 2000-10 class, year "&amp;$H143,"OK")))))</f>
        <v/>
      </c>
      <c r="BF143" s="53" t="str">
        <f aca="false">IF($AD143="","",IF(ROUND($AO143+$AP143+$AQ143-$AD143,2)=0,"OK","FAIL - out by "&amp;TEXT($AO143+$AP143+$AQ143-$AD143,"$0.00")))</f>
        <v/>
      </c>
    </row>
    <row r="144" customFormat="false" ht="15" hidden="false" customHeight="true" outlineLevel="0" collapsed="false">
      <c r="A144" s="54"/>
      <c r="B144" s="54"/>
      <c r="C144" s="55"/>
      <c r="D144" s="56"/>
      <c r="E144" s="56"/>
      <c r="F144" s="54"/>
      <c r="G144" s="41" t="str">
        <f aca="false">IF($A144="","",IF($C144="","",YEAR($C144)))</f>
        <v/>
      </c>
      <c r="H144" s="57"/>
      <c r="I144" s="54"/>
      <c r="J144" s="54"/>
      <c r="K144" s="54"/>
      <c r="L144" s="56"/>
      <c r="M144" s="58"/>
      <c r="N144" s="56"/>
      <c r="O144" s="54"/>
      <c r="P144" s="54"/>
      <c r="Q144" s="54"/>
      <c r="R144" s="54"/>
      <c r="S144" s="56"/>
      <c r="T144" s="44" t="str">
        <f aca="false">IF($A144="","",IF($S144="","",IFERROR(INDEX(Lists!$N$5:$N$16,MATCH($S144,Lists!$M$5:$M$16,0)),"?")))</f>
        <v/>
      </c>
      <c r="U144" s="54"/>
      <c r="V144" s="56"/>
      <c r="W144" s="54"/>
      <c r="X144" s="56"/>
      <c r="Y144" s="54"/>
      <c r="Z144" s="54"/>
      <c r="AA144" s="56"/>
      <c r="AB144" s="58"/>
      <c r="AC144" s="59"/>
      <c r="AD144" s="46" t="str">
        <f aca="false">IF(ISNUMBER($AB144),$AB144*(1+N($AC144)),"")</f>
        <v/>
      </c>
      <c r="AE144" s="58"/>
      <c r="AF144" s="58"/>
      <c r="AG144" s="59"/>
      <c r="AH144" s="47" t="str">
        <f aca="false">IF(ISNUMBER($AD144),($AD144+$AE144+$AF144)*$AG144,"")</f>
        <v/>
      </c>
      <c r="AI144" s="58"/>
      <c r="AJ144" s="46" t="str">
        <f aca="false">IF(ISNUMBER($AD144),SUM($AD144:$AH144),"")</f>
        <v/>
      </c>
      <c r="AK144" s="48" t="str">
        <f aca="false">IF(AND(ISNUMBER($AB144),ISNUMBER($AD144)),IF($AB144&gt;0,$AD144/$AB144,""),"")</f>
        <v/>
      </c>
      <c r="AL144" s="56"/>
      <c r="AM144" s="49" t="str">
        <f aca="false">IF(ISNUMBER($AD144),Header!$I$3,"")</f>
        <v/>
      </c>
      <c r="AN144" s="47" t="str">
        <f aca="false">IF(ISNUMBER($AD144),$AO144+$AP144,"")</f>
        <v/>
      </c>
      <c r="AO144" s="47" t="str">
        <f aca="false">IF(ISNUMBER($AD144),ROUND($AD144*Header!$K$3,2),"")</f>
        <v/>
      </c>
      <c r="AP144" s="47" t="str">
        <f aca="false">IF(ISNUMBER($AD144),ROUND($AD144*Header!$M$3,2),"")</f>
        <v/>
      </c>
      <c r="AQ144" s="46" t="str">
        <f aca="false">IF(ISNUMBER($AD144),ROUND($AD144,2)-$AO144-$AP144,"")</f>
        <v/>
      </c>
      <c r="AR144" s="47" t="str">
        <f aca="false">IF(ISNUMBER($AD144),IF(Header!$D$34="","?",$AD144*Header!$D$34),"")</f>
        <v/>
      </c>
      <c r="AS144" s="47" t="str">
        <f aca="false">IF(ISNUMBER($AB144),IF(Header!$D$34="","?",$AB144*Header!$D$34),"")</f>
        <v/>
      </c>
      <c r="AT144" s="50" t="str">
        <f aca="false">IF(AND(ISNUMBER($AB144),$M144&gt;0),$AB144/$M144*100,"")</f>
        <v/>
      </c>
      <c r="AU144" s="50" t="str">
        <f aca="false">IF(AND(ISNUMBER($AD144),$M144&gt;0),$AD144/$M144*100,"")</f>
        <v/>
      </c>
      <c r="AV144" s="48" t="str">
        <f aca="false">IF(AND(ISNUMBER($AB144),ISNUMBER($AD144),ABS($AB144)&gt;0),$AD144/$AB144,"")</f>
        <v/>
      </c>
      <c r="AW144" s="47" t="str">
        <f aca="false">IF(ISNUMBER($AD144),MAX(0,(1-0.55-Header!$O$3)*Header!$Q$3*$AQ144),"")</f>
        <v/>
      </c>
      <c r="AX144" s="51" t="str">
        <f aca="false">IF($A144="","",IF(TRIM(IF($A144="","Missing certificate ref. ","") &amp; IF($C144="","Missing effective date. ","") &amp; IF($D144="","Missing binding status. ","") &amp; IF($E144="","Missing movement type. ","") &amp; IF($I144="","Missing make. ","") &amp; IF($L144="","Missing vehicle class. ","") &amp; IF($M144="","Missing agreed value. ","") &amp; IF($N144="","Missing policy type. ","") &amp; IF($Q144="","Missing garaging state. ","") &amp; IF($R144="","Missing garaging ZIP. ","") &amp; IF($S144="","Missing cat zone. ","") &amp; IF($V144="","Missing valuation basis. ","") &amp; IF($W144="","Missing PD deductible. ","") &amp; IF($X144="","Missing liability limit. ","") &amp; IF($AB144="","Missing technical premium. ","") &amp; IF($AF144="","Missing surplus lines tax %. ",""))="","PASS","FAIL: "&amp;TRIM(IF($A144="","Missing certificate ref. ","") &amp; IF($C144="","Missing effective date. ","") &amp; IF($D144="","Missing binding status. ","") &amp; IF($E144="","Missing movement type. ","") &amp; IF($I144="","Missing make. ","") &amp; IF($L144="","Missing vehicle class. ","") &amp; IF($M144="","Missing agreed value. ","") &amp; IF($N144="","Missing policy type. ","") &amp; IF($Q144="","Missing garaging state. ","") &amp; IF($R144="","Missing garaging ZIP. ","") &amp; IF($S144="","Missing cat zone. ","") &amp; IF($V144="","Missing valuation basis. ","") &amp; IF($W144="","Missing PD deductible. ","") &amp; IF($X144="","Missing liability limit. ","") &amp; IF($AB144="","Missing technical premium. ","") &amp; IF($AF144="","Missing surplus lines tax %. ",""))))</f>
        <v/>
      </c>
      <c r="AY144" s="52" t="str">
        <f aca="false">IF($M144="","",IF(ISNUMBER($M144),IF($M144&gt;=Header!$C$18,"YES — refer","No"),""))</f>
        <v/>
      </c>
      <c r="AZ144" s="52" t="str">
        <f aca="false">IF($AD144="","",IF(ISNUMBER($AD144),IF($AD144&lt;Header!$C$20,"BELOW MIN PREMIUM","OK"),""))</f>
        <v/>
      </c>
      <c r="BA144" s="56"/>
      <c r="BB144" s="56"/>
      <c r="BC144" s="54"/>
      <c r="BE144" s="53" t="str">
        <f aca="false">IF(OR($A144="",$L144="",$H144=""),"",IF(AND(LEFT($L144,2)="06",$H144&gt;1945),"FAIL - pre-war class, year "&amp;$H144,IF(AND(LEFT($L144,2)="07",OR($H144&lt;1946,$H144&gt;1972)),"FAIL - 1946-72 class, year "&amp;$H144,IF(AND(LEFT($L144,2)="08",OR($H144&lt;1973,$H144&gt;1999)),"FAIL - 1973-99 class, year "&amp;$H144,IF(AND(LEFT($L144,2)="09",OR($H144&lt;2000,$H144&gt;2010)),"FAIL - 2000-10 class, year "&amp;$H144,"OK")))))</f>
        <v/>
      </c>
      <c r="BF144" s="53" t="str">
        <f aca="false">IF($AD144="","",IF(ROUND($AO144+$AP144+$AQ144-$AD144,2)=0,"OK","FAIL - out by "&amp;TEXT($AO144+$AP144+$AQ144-$AD144,"$0.00")))</f>
        <v/>
      </c>
    </row>
    <row r="145" customFormat="false" ht="15" hidden="false" customHeight="true" outlineLevel="0" collapsed="false">
      <c r="A145" s="38"/>
      <c r="B145" s="38"/>
      <c r="C145" s="39"/>
      <c r="D145" s="40"/>
      <c r="E145" s="40"/>
      <c r="F145" s="38"/>
      <c r="G145" s="41" t="str">
        <f aca="false">IF($A145="","",IF($C145="","",YEAR($C145)))</f>
        <v/>
      </c>
      <c r="H145" s="42"/>
      <c r="I145" s="38"/>
      <c r="J145" s="38"/>
      <c r="K145" s="38"/>
      <c r="L145" s="40"/>
      <c r="M145" s="43"/>
      <c r="N145" s="40"/>
      <c r="O145" s="38"/>
      <c r="P145" s="38"/>
      <c r="Q145" s="38"/>
      <c r="R145" s="38"/>
      <c r="S145" s="40"/>
      <c r="T145" s="44" t="str">
        <f aca="false">IF($A145="","",IF($S145="","",IFERROR(INDEX(Lists!$N$5:$N$16,MATCH($S145,Lists!$M$5:$M$16,0)),"?")))</f>
        <v/>
      </c>
      <c r="U145" s="38"/>
      <c r="V145" s="40"/>
      <c r="W145" s="38"/>
      <c r="X145" s="40"/>
      <c r="Y145" s="38"/>
      <c r="Z145" s="38"/>
      <c r="AA145" s="40"/>
      <c r="AB145" s="43"/>
      <c r="AC145" s="45"/>
      <c r="AD145" s="46" t="str">
        <f aca="false">IF(ISNUMBER($AB145),$AB145*(1+N($AC145)),"")</f>
        <v/>
      </c>
      <c r="AE145" s="43"/>
      <c r="AF145" s="43"/>
      <c r="AG145" s="45"/>
      <c r="AH145" s="47" t="str">
        <f aca="false">IF(ISNUMBER($AD145),($AD145+$AE145+$AF145)*$AG145,"")</f>
        <v/>
      </c>
      <c r="AI145" s="43"/>
      <c r="AJ145" s="46" t="str">
        <f aca="false">IF(ISNUMBER($AD145),SUM($AD145:$AH145),"")</f>
        <v/>
      </c>
      <c r="AK145" s="48" t="str">
        <f aca="false">IF(AND(ISNUMBER($AB145),ISNUMBER($AD145)),IF($AB145&gt;0,$AD145/$AB145,""),"")</f>
        <v/>
      </c>
      <c r="AL145" s="40"/>
      <c r="AM145" s="49" t="str">
        <f aca="false">IF(ISNUMBER($AD145),Header!$I$3,"")</f>
        <v/>
      </c>
      <c r="AN145" s="47" t="str">
        <f aca="false">IF(ISNUMBER($AD145),$AO145+$AP145,"")</f>
        <v/>
      </c>
      <c r="AO145" s="47" t="str">
        <f aca="false">IF(ISNUMBER($AD145),ROUND($AD145*Header!$K$3,2),"")</f>
        <v/>
      </c>
      <c r="AP145" s="47" t="str">
        <f aca="false">IF(ISNUMBER($AD145),ROUND($AD145*Header!$M$3,2),"")</f>
        <v/>
      </c>
      <c r="AQ145" s="46" t="str">
        <f aca="false">IF(ISNUMBER($AD145),ROUND($AD145,2)-$AO145-$AP145,"")</f>
        <v/>
      </c>
      <c r="AR145" s="47" t="str">
        <f aca="false">IF(ISNUMBER($AD145),IF(Header!$D$34="","?",$AD145*Header!$D$34),"")</f>
        <v/>
      </c>
      <c r="AS145" s="47" t="str">
        <f aca="false">IF(ISNUMBER($AB145),IF(Header!$D$34="","?",$AB145*Header!$D$34),"")</f>
        <v/>
      </c>
      <c r="AT145" s="50" t="str">
        <f aca="false">IF(AND(ISNUMBER($AB145),$M145&gt;0),$AB145/$M145*100,"")</f>
        <v/>
      </c>
      <c r="AU145" s="50" t="str">
        <f aca="false">IF(AND(ISNUMBER($AD145),$M145&gt;0),$AD145/$M145*100,"")</f>
        <v/>
      </c>
      <c r="AV145" s="48" t="str">
        <f aca="false">IF(AND(ISNUMBER($AB145),ISNUMBER($AD145),ABS($AB145)&gt;0),$AD145/$AB145,"")</f>
        <v/>
      </c>
      <c r="AW145" s="47" t="str">
        <f aca="false">IF(ISNUMBER($AD145),MAX(0,(1-0.55-Header!$O$3)*Header!$Q$3*$AQ145),"")</f>
        <v/>
      </c>
      <c r="AX145" s="51" t="str">
        <f aca="false">IF($A145="","",IF(TRIM(IF($A145="","Missing certificate ref. ","") &amp; IF($C145="","Missing effective date. ","") &amp; IF($D145="","Missing binding status. ","") &amp; IF($E145="","Missing movement type. ","") &amp; IF($I145="","Missing make. ","") &amp; IF($L145="","Missing vehicle class. ","") &amp; IF($M145="","Missing agreed value. ","") &amp; IF($N145="","Missing policy type. ","") &amp; IF($Q145="","Missing garaging state. ","") &amp; IF($R145="","Missing garaging ZIP. ","") &amp; IF($S145="","Missing cat zone. ","") &amp; IF($V145="","Missing valuation basis. ","") &amp; IF($W145="","Missing PD deductible. ","") &amp; IF($X145="","Missing liability limit. ","") &amp; IF($AB145="","Missing technical premium. ","") &amp; IF($AF145="","Missing surplus lines tax %. ",""))="","PASS","FAIL: "&amp;TRIM(IF($A145="","Missing certificate ref. ","") &amp; IF($C145="","Missing effective date. ","") &amp; IF($D145="","Missing binding status. ","") &amp; IF($E145="","Missing movement type. ","") &amp; IF($I145="","Missing make. ","") &amp; IF($L145="","Missing vehicle class. ","") &amp; IF($M145="","Missing agreed value. ","") &amp; IF($N145="","Missing policy type. ","") &amp; IF($Q145="","Missing garaging state. ","") &amp; IF($R145="","Missing garaging ZIP. ","") &amp; IF($S145="","Missing cat zone. ","") &amp; IF($V145="","Missing valuation basis. ","") &amp; IF($W145="","Missing PD deductible. ","") &amp; IF($X145="","Missing liability limit. ","") &amp; IF($AB145="","Missing technical premium. ","") &amp; IF($AF145="","Missing surplus lines tax %. ",""))))</f>
        <v/>
      </c>
      <c r="AY145" s="52" t="str">
        <f aca="false">IF($M145="","",IF(ISNUMBER($M145),IF($M145&gt;=Header!$C$18,"YES — refer","No"),""))</f>
        <v/>
      </c>
      <c r="AZ145" s="52" t="str">
        <f aca="false">IF($AD145="","",IF(ISNUMBER($AD145),IF($AD145&lt;Header!$C$20,"BELOW MIN PREMIUM","OK"),""))</f>
        <v/>
      </c>
      <c r="BA145" s="40"/>
      <c r="BB145" s="40"/>
      <c r="BC145" s="38"/>
      <c r="BE145" s="53" t="str">
        <f aca="false">IF(OR($A145="",$L145="",$H145=""),"",IF(AND(LEFT($L145,2)="06",$H145&gt;1945),"FAIL - pre-war class, year "&amp;$H145,IF(AND(LEFT($L145,2)="07",OR($H145&lt;1946,$H145&gt;1972)),"FAIL - 1946-72 class, year "&amp;$H145,IF(AND(LEFT($L145,2)="08",OR($H145&lt;1973,$H145&gt;1999)),"FAIL - 1973-99 class, year "&amp;$H145,IF(AND(LEFT($L145,2)="09",OR($H145&lt;2000,$H145&gt;2010)),"FAIL - 2000-10 class, year "&amp;$H145,"OK")))))</f>
        <v/>
      </c>
      <c r="BF145" s="53" t="str">
        <f aca="false">IF($AD145="","",IF(ROUND($AO145+$AP145+$AQ145-$AD145,2)=0,"OK","FAIL - out by "&amp;TEXT($AO145+$AP145+$AQ145-$AD145,"$0.00")))</f>
        <v/>
      </c>
    </row>
    <row r="146" customFormat="false" ht="15" hidden="false" customHeight="true" outlineLevel="0" collapsed="false">
      <c r="A146" s="54"/>
      <c r="B146" s="54"/>
      <c r="C146" s="55"/>
      <c r="D146" s="56"/>
      <c r="E146" s="56"/>
      <c r="F146" s="54"/>
      <c r="G146" s="41" t="str">
        <f aca="false">IF($A146="","",IF($C146="","",YEAR($C146)))</f>
        <v/>
      </c>
      <c r="H146" s="57"/>
      <c r="I146" s="54"/>
      <c r="J146" s="54"/>
      <c r="K146" s="54"/>
      <c r="L146" s="56"/>
      <c r="M146" s="58"/>
      <c r="N146" s="56"/>
      <c r="O146" s="54"/>
      <c r="P146" s="54"/>
      <c r="Q146" s="54"/>
      <c r="R146" s="54"/>
      <c r="S146" s="56"/>
      <c r="T146" s="44" t="str">
        <f aca="false">IF($A146="","",IF($S146="","",IFERROR(INDEX(Lists!$N$5:$N$16,MATCH($S146,Lists!$M$5:$M$16,0)),"?")))</f>
        <v/>
      </c>
      <c r="U146" s="54"/>
      <c r="V146" s="56"/>
      <c r="W146" s="54"/>
      <c r="X146" s="56"/>
      <c r="Y146" s="54"/>
      <c r="Z146" s="54"/>
      <c r="AA146" s="56"/>
      <c r="AB146" s="58"/>
      <c r="AC146" s="59"/>
      <c r="AD146" s="46" t="str">
        <f aca="false">IF(ISNUMBER($AB146),$AB146*(1+N($AC146)),"")</f>
        <v/>
      </c>
      <c r="AE146" s="58"/>
      <c r="AF146" s="58"/>
      <c r="AG146" s="59"/>
      <c r="AH146" s="47" t="str">
        <f aca="false">IF(ISNUMBER($AD146),($AD146+$AE146+$AF146)*$AG146,"")</f>
        <v/>
      </c>
      <c r="AI146" s="58"/>
      <c r="AJ146" s="46" t="str">
        <f aca="false">IF(ISNUMBER($AD146),SUM($AD146:$AH146),"")</f>
        <v/>
      </c>
      <c r="AK146" s="48" t="str">
        <f aca="false">IF(AND(ISNUMBER($AB146),ISNUMBER($AD146)),IF($AB146&gt;0,$AD146/$AB146,""),"")</f>
        <v/>
      </c>
      <c r="AL146" s="56"/>
      <c r="AM146" s="49" t="str">
        <f aca="false">IF(ISNUMBER($AD146),Header!$I$3,"")</f>
        <v/>
      </c>
      <c r="AN146" s="47" t="str">
        <f aca="false">IF(ISNUMBER($AD146),$AO146+$AP146,"")</f>
        <v/>
      </c>
      <c r="AO146" s="47" t="str">
        <f aca="false">IF(ISNUMBER($AD146),ROUND($AD146*Header!$K$3,2),"")</f>
        <v/>
      </c>
      <c r="AP146" s="47" t="str">
        <f aca="false">IF(ISNUMBER($AD146),ROUND($AD146*Header!$M$3,2),"")</f>
        <v/>
      </c>
      <c r="AQ146" s="46" t="str">
        <f aca="false">IF(ISNUMBER($AD146),ROUND($AD146,2)-$AO146-$AP146,"")</f>
        <v/>
      </c>
      <c r="AR146" s="47" t="str">
        <f aca="false">IF(ISNUMBER($AD146),IF(Header!$D$34="","?",$AD146*Header!$D$34),"")</f>
        <v/>
      </c>
      <c r="AS146" s="47" t="str">
        <f aca="false">IF(ISNUMBER($AB146),IF(Header!$D$34="","?",$AB146*Header!$D$34),"")</f>
        <v/>
      </c>
      <c r="AT146" s="50" t="str">
        <f aca="false">IF(AND(ISNUMBER($AB146),$M146&gt;0),$AB146/$M146*100,"")</f>
        <v/>
      </c>
      <c r="AU146" s="50" t="str">
        <f aca="false">IF(AND(ISNUMBER($AD146),$M146&gt;0),$AD146/$M146*100,"")</f>
        <v/>
      </c>
      <c r="AV146" s="48" t="str">
        <f aca="false">IF(AND(ISNUMBER($AB146),ISNUMBER($AD146),ABS($AB146)&gt;0),$AD146/$AB146,"")</f>
        <v/>
      </c>
      <c r="AW146" s="47" t="str">
        <f aca="false">IF(ISNUMBER($AD146),MAX(0,(1-0.55-Header!$O$3)*Header!$Q$3*$AQ146),"")</f>
        <v/>
      </c>
      <c r="AX146" s="51" t="str">
        <f aca="false">IF($A146="","",IF(TRIM(IF($A146="","Missing certificate ref. ","") &amp; IF($C146="","Missing effective date. ","") &amp; IF($D146="","Missing binding status. ","") &amp; IF($E146="","Missing movement type. ","") &amp; IF($I146="","Missing make. ","") &amp; IF($L146="","Missing vehicle class. ","") &amp; IF($M146="","Missing agreed value. ","") &amp; IF($N146="","Missing policy type. ","") &amp; IF($Q146="","Missing garaging state. ","") &amp; IF($R146="","Missing garaging ZIP. ","") &amp; IF($S146="","Missing cat zone. ","") &amp; IF($V146="","Missing valuation basis. ","") &amp; IF($W146="","Missing PD deductible. ","") &amp; IF($X146="","Missing liability limit. ","") &amp; IF($AB146="","Missing technical premium. ","") &amp; IF($AF146="","Missing surplus lines tax %. ",""))="","PASS","FAIL: "&amp;TRIM(IF($A146="","Missing certificate ref. ","") &amp; IF($C146="","Missing effective date. ","") &amp; IF($D146="","Missing binding status. ","") &amp; IF($E146="","Missing movement type. ","") &amp; IF($I146="","Missing make. ","") &amp; IF($L146="","Missing vehicle class. ","") &amp; IF($M146="","Missing agreed value. ","") &amp; IF($N146="","Missing policy type. ","") &amp; IF($Q146="","Missing garaging state. ","") &amp; IF($R146="","Missing garaging ZIP. ","") &amp; IF($S146="","Missing cat zone. ","") &amp; IF($V146="","Missing valuation basis. ","") &amp; IF($W146="","Missing PD deductible. ","") &amp; IF($X146="","Missing liability limit. ","") &amp; IF($AB146="","Missing technical premium. ","") &amp; IF($AF146="","Missing surplus lines tax %. ",""))))</f>
        <v/>
      </c>
      <c r="AY146" s="52" t="str">
        <f aca="false">IF($M146="","",IF(ISNUMBER($M146),IF($M146&gt;=Header!$C$18,"YES — refer","No"),""))</f>
        <v/>
      </c>
      <c r="AZ146" s="52" t="str">
        <f aca="false">IF($AD146="","",IF(ISNUMBER($AD146),IF($AD146&lt;Header!$C$20,"BELOW MIN PREMIUM","OK"),""))</f>
        <v/>
      </c>
      <c r="BA146" s="56"/>
      <c r="BB146" s="56"/>
      <c r="BC146" s="54"/>
      <c r="BE146" s="53" t="str">
        <f aca="false">IF(OR($A146="",$L146="",$H146=""),"",IF(AND(LEFT($L146,2)="06",$H146&gt;1945),"FAIL - pre-war class, year "&amp;$H146,IF(AND(LEFT($L146,2)="07",OR($H146&lt;1946,$H146&gt;1972)),"FAIL - 1946-72 class, year "&amp;$H146,IF(AND(LEFT($L146,2)="08",OR($H146&lt;1973,$H146&gt;1999)),"FAIL - 1973-99 class, year "&amp;$H146,IF(AND(LEFT($L146,2)="09",OR($H146&lt;2000,$H146&gt;2010)),"FAIL - 2000-10 class, year "&amp;$H146,"OK")))))</f>
        <v/>
      </c>
      <c r="BF146" s="53" t="str">
        <f aca="false">IF($AD146="","",IF(ROUND($AO146+$AP146+$AQ146-$AD146,2)=0,"OK","FAIL - out by "&amp;TEXT($AO146+$AP146+$AQ146-$AD146,"$0.00")))</f>
        <v/>
      </c>
    </row>
    <row r="147" customFormat="false" ht="15" hidden="false" customHeight="true" outlineLevel="0" collapsed="false">
      <c r="A147" s="38"/>
      <c r="B147" s="38"/>
      <c r="C147" s="39"/>
      <c r="D147" s="40"/>
      <c r="E147" s="40"/>
      <c r="F147" s="38"/>
      <c r="G147" s="41" t="str">
        <f aca="false">IF($A147="","",IF($C147="","",YEAR($C147)))</f>
        <v/>
      </c>
      <c r="H147" s="42"/>
      <c r="I147" s="38"/>
      <c r="J147" s="38"/>
      <c r="K147" s="38"/>
      <c r="L147" s="40"/>
      <c r="M147" s="43"/>
      <c r="N147" s="40"/>
      <c r="O147" s="38"/>
      <c r="P147" s="38"/>
      <c r="Q147" s="38"/>
      <c r="R147" s="38"/>
      <c r="S147" s="40"/>
      <c r="T147" s="44" t="str">
        <f aca="false">IF($A147="","",IF($S147="","",IFERROR(INDEX(Lists!$N$5:$N$16,MATCH($S147,Lists!$M$5:$M$16,0)),"?")))</f>
        <v/>
      </c>
      <c r="U147" s="38"/>
      <c r="V147" s="40"/>
      <c r="W147" s="38"/>
      <c r="X147" s="40"/>
      <c r="Y147" s="38"/>
      <c r="Z147" s="38"/>
      <c r="AA147" s="40"/>
      <c r="AB147" s="43"/>
      <c r="AC147" s="45"/>
      <c r="AD147" s="46" t="str">
        <f aca="false">IF(ISNUMBER($AB147),$AB147*(1+N($AC147)),"")</f>
        <v/>
      </c>
      <c r="AE147" s="43"/>
      <c r="AF147" s="43"/>
      <c r="AG147" s="45"/>
      <c r="AH147" s="47" t="str">
        <f aca="false">IF(ISNUMBER($AD147),($AD147+$AE147+$AF147)*$AG147,"")</f>
        <v/>
      </c>
      <c r="AI147" s="43"/>
      <c r="AJ147" s="46" t="str">
        <f aca="false">IF(ISNUMBER($AD147),SUM($AD147:$AH147),"")</f>
        <v/>
      </c>
      <c r="AK147" s="48" t="str">
        <f aca="false">IF(AND(ISNUMBER($AB147),ISNUMBER($AD147)),IF($AB147&gt;0,$AD147/$AB147,""),"")</f>
        <v/>
      </c>
      <c r="AL147" s="40"/>
      <c r="AM147" s="49" t="str">
        <f aca="false">IF(ISNUMBER($AD147),Header!$I$3,"")</f>
        <v/>
      </c>
      <c r="AN147" s="47" t="str">
        <f aca="false">IF(ISNUMBER($AD147),$AO147+$AP147,"")</f>
        <v/>
      </c>
      <c r="AO147" s="47" t="str">
        <f aca="false">IF(ISNUMBER($AD147),ROUND($AD147*Header!$K$3,2),"")</f>
        <v/>
      </c>
      <c r="AP147" s="47" t="str">
        <f aca="false">IF(ISNUMBER($AD147),ROUND($AD147*Header!$M$3,2),"")</f>
        <v/>
      </c>
      <c r="AQ147" s="46" t="str">
        <f aca="false">IF(ISNUMBER($AD147),ROUND($AD147,2)-$AO147-$AP147,"")</f>
        <v/>
      </c>
      <c r="AR147" s="47" t="str">
        <f aca="false">IF(ISNUMBER($AD147),IF(Header!$D$34="","?",$AD147*Header!$D$34),"")</f>
        <v/>
      </c>
      <c r="AS147" s="47" t="str">
        <f aca="false">IF(ISNUMBER($AB147),IF(Header!$D$34="","?",$AB147*Header!$D$34),"")</f>
        <v/>
      </c>
      <c r="AT147" s="50" t="str">
        <f aca="false">IF(AND(ISNUMBER($AB147),$M147&gt;0),$AB147/$M147*100,"")</f>
        <v/>
      </c>
      <c r="AU147" s="50" t="str">
        <f aca="false">IF(AND(ISNUMBER($AD147),$M147&gt;0),$AD147/$M147*100,"")</f>
        <v/>
      </c>
      <c r="AV147" s="48" t="str">
        <f aca="false">IF(AND(ISNUMBER($AB147),ISNUMBER($AD147),ABS($AB147)&gt;0),$AD147/$AB147,"")</f>
        <v/>
      </c>
      <c r="AW147" s="47" t="str">
        <f aca="false">IF(ISNUMBER($AD147),MAX(0,(1-0.55-Header!$O$3)*Header!$Q$3*$AQ147),"")</f>
        <v/>
      </c>
      <c r="AX147" s="51" t="str">
        <f aca="false">IF($A147="","",IF(TRIM(IF($A147="","Missing certificate ref. ","") &amp; IF($C147="","Missing effective date. ","") &amp; IF($D147="","Missing binding status. ","") &amp; IF($E147="","Missing movement type. ","") &amp; IF($I147="","Missing make. ","") &amp; IF($L147="","Missing vehicle class. ","") &amp; IF($M147="","Missing agreed value. ","") &amp; IF($N147="","Missing policy type. ","") &amp; IF($Q147="","Missing garaging state. ","") &amp; IF($R147="","Missing garaging ZIP. ","") &amp; IF($S147="","Missing cat zone. ","") &amp; IF($V147="","Missing valuation basis. ","") &amp; IF($W147="","Missing PD deductible. ","") &amp; IF($X147="","Missing liability limit. ","") &amp; IF($AB147="","Missing technical premium. ","") &amp; IF($AF147="","Missing surplus lines tax %. ",""))="","PASS","FAIL: "&amp;TRIM(IF($A147="","Missing certificate ref. ","") &amp; IF($C147="","Missing effective date. ","") &amp; IF($D147="","Missing binding status. ","") &amp; IF($E147="","Missing movement type. ","") &amp; IF($I147="","Missing make. ","") &amp; IF($L147="","Missing vehicle class. ","") &amp; IF($M147="","Missing agreed value. ","") &amp; IF($N147="","Missing policy type. ","") &amp; IF($Q147="","Missing garaging state. ","") &amp; IF($R147="","Missing garaging ZIP. ","") &amp; IF($S147="","Missing cat zone. ","") &amp; IF($V147="","Missing valuation basis. ","") &amp; IF($W147="","Missing PD deductible. ","") &amp; IF($X147="","Missing liability limit. ","") &amp; IF($AB147="","Missing technical premium. ","") &amp; IF($AF147="","Missing surplus lines tax %. ",""))))</f>
        <v/>
      </c>
      <c r="AY147" s="52" t="str">
        <f aca="false">IF($M147="","",IF(ISNUMBER($M147),IF($M147&gt;=Header!$C$18,"YES — refer","No"),""))</f>
        <v/>
      </c>
      <c r="AZ147" s="52" t="str">
        <f aca="false">IF($AD147="","",IF(ISNUMBER($AD147),IF($AD147&lt;Header!$C$20,"BELOW MIN PREMIUM","OK"),""))</f>
        <v/>
      </c>
      <c r="BA147" s="40"/>
      <c r="BB147" s="40"/>
      <c r="BC147" s="38"/>
      <c r="BE147" s="53" t="str">
        <f aca="false">IF(OR($A147="",$L147="",$H147=""),"",IF(AND(LEFT($L147,2)="06",$H147&gt;1945),"FAIL - pre-war class, year "&amp;$H147,IF(AND(LEFT($L147,2)="07",OR($H147&lt;1946,$H147&gt;1972)),"FAIL - 1946-72 class, year "&amp;$H147,IF(AND(LEFT($L147,2)="08",OR($H147&lt;1973,$H147&gt;1999)),"FAIL - 1973-99 class, year "&amp;$H147,IF(AND(LEFT($L147,2)="09",OR($H147&lt;2000,$H147&gt;2010)),"FAIL - 2000-10 class, year "&amp;$H147,"OK")))))</f>
        <v/>
      </c>
      <c r="BF147" s="53" t="str">
        <f aca="false">IF($AD147="","",IF(ROUND($AO147+$AP147+$AQ147-$AD147,2)=0,"OK","FAIL - out by "&amp;TEXT($AO147+$AP147+$AQ147-$AD147,"$0.00")))</f>
        <v/>
      </c>
    </row>
    <row r="148" customFormat="false" ht="15" hidden="false" customHeight="true" outlineLevel="0" collapsed="false">
      <c r="A148" s="54"/>
      <c r="B148" s="54"/>
      <c r="C148" s="55"/>
      <c r="D148" s="56"/>
      <c r="E148" s="56"/>
      <c r="F148" s="54"/>
      <c r="G148" s="41" t="str">
        <f aca="false">IF($A148="","",IF($C148="","",YEAR($C148)))</f>
        <v/>
      </c>
      <c r="H148" s="57"/>
      <c r="I148" s="54"/>
      <c r="J148" s="54"/>
      <c r="K148" s="54"/>
      <c r="L148" s="56"/>
      <c r="M148" s="58"/>
      <c r="N148" s="56"/>
      <c r="O148" s="54"/>
      <c r="P148" s="54"/>
      <c r="Q148" s="54"/>
      <c r="R148" s="54"/>
      <c r="S148" s="56"/>
      <c r="T148" s="44" t="str">
        <f aca="false">IF($A148="","",IF($S148="","",IFERROR(INDEX(Lists!$N$5:$N$16,MATCH($S148,Lists!$M$5:$M$16,0)),"?")))</f>
        <v/>
      </c>
      <c r="U148" s="54"/>
      <c r="V148" s="56"/>
      <c r="W148" s="54"/>
      <c r="X148" s="56"/>
      <c r="Y148" s="54"/>
      <c r="Z148" s="54"/>
      <c r="AA148" s="56"/>
      <c r="AB148" s="58"/>
      <c r="AC148" s="59"/>
      <c r="AD148" s="46" t="str">
        <f aca="false">IF(ISNUMBER($AB148),$AB148*(1+N($AC148)),"")</f>
        <v/>
      </c>
      <c r="AE148" s="58"/>
      <c r="AF148" s="58"/>
      <c r="AG148" s="59"/>
      <c r="AH148" s="47" t="str">
        <f aca="false">IF(ISNUMBER($AD148),($AD148+$AE148+$AF148)*$AG148,"")</f>
        <v/>
      </c>
      <c r="AI148" s="58"/>
      <c r="AJ148" s="46" t="str">
        <f aca="false">IF(ISNUMBER($AD148),SUM($AD148:$AH148),"")</f>
        <v/>
      </c>
      <c r="AK148" s="48" t="str">
        <f aca="false">IF(AND(ISNUMBER($AB148),ISNUMBER($AD148)),IF($AB148&gt;0,$AD148/$AB148,""),"")</f>
        <v/>
      </c>
      <c r="AL148" s="56"/>
      <c r="AM148" s="49" t="str">
        <f aca="false">IF(ISNUMBER($AD148),Header!$I$3,"")</f>
        <v/>
      </c>
      <c r="AN148" s="47" t="str">
        <f aca="false">IF(ISNUMBER($AD148),$AO148+$AP148,"")</f>
        <v/>
      </c>
      <c r="AO148" s="47" t="str">
        <f aca="false">IF(ISNUMBER($AD148),ROUND($AD148*Header!$K$3,2),"")</f>
        <v/>
      </c>
      <c r="AP148" s="47" t="str">
        <f aca="false">IF(ISNUMBER($AD148),ROUND($AD148*Header!$M$3,2),"")</f>
        <v/>
      </c>
      <c r="AQ148" s="46" t="str">
        <f aca="false">IF(ISNUMBER($AD148),ROUND($AD148,2)-$AO148-$AP148,"")</f>
        <v/>
      </c>
      <c r="AR148" s="47" t="str">
        <f aca="false">IF(ISNUMBER($AD148),IF(Header!$D$34="","?",$AD148*Header!$D$34),"")</f>
        <v/>
      </c>
      <c r="AS148" s="47" t="str">
        <f aca="false">IF(ISNUMBER($AB148),IF(Header!$D$34="","?",$AB148*Header!$D$34),"")</f>
        <v/>
      </c>
      <c r="AT148" s="50" t="str">
        <f aca="false">IF(AND(ISNUMBER($AB148),$M148&gt;0),$AB148/$M148*100,"")</f>
        <v/>
      </c>
      <c r="AU148" s="50" t="str">
        <f aca="false">IF(AND(ISNUMBER($AD148),$M148&gt;0),$AD148/$M148*100,"")</f>
        <v/>
      </c>
      <c r="AV148" s="48" t="str">
        <f aca="false">IF(AND(ISNUMBER($AB148),ISNUMBER($AD148),ABS($AB148)&gt;0),$AD148/$AB148,"")</f>
        <v/>
      </c>
      <c r="AW148" s="47" t="str">
        <f aca="false">IF(ISNUMBER($AD148),MAX(0,(1-0.55-Header!$O$3)*Header!$Q$3*$AQ148),"")</f>
        <v/>
      </c>
      <c r="AX148" s="51" t="str">
        <f aca="false">IF($A148="","",IF(TRIM(IF($A148="","Missing certificate ref. ","") &amp; IF($C148="","Missing effective date. ","") &amp; IF($D148="","Missing binding status. ","") &amp; IF($E148="","Missing movement type. ","") &amp; IF($I148="","Missing make. ","") &amp; IF($L148="","Missing vehicle class. ","") &amp; IF($M148="","Missing agreed value. ","") &amp; IF($N148="","Missing policy type. ","") &amp; IF($Q148="","Missing garaging state. ","") &amp; IF($R148="","Missing garaging ZIP. ","") &amp; IF($S148="","Missing cat zone. ","") &amp; IF($V148="","Missing valuation basis. ","") &amp; IF($W148="","Missing PD deductible. ","") &amp; IF($X148="","Missing liability limit. ","") &amp; IF($AB148="","Missing technical premium. ","") &amp; IF($AF148="","Missing surplus lines tax %. ",""))="","PASS","FAIL: "&amp;TRIM(IF($A148="","Missing certificate ref. ","") &amp; IF($C148="","Missing effective date. ","") &amp; IF($D148="","Missing binding status. ","") &amp; IF($E148="","Missing movement type. ","") &amp; IF($I148="","Missing make. ","") &amp; IF($L148="","Missing vehicle class. ","") &amp; IF($M148="","Missing agreed value. ","") &amp; IF($N148="","Missing policy type. ","") &amp; IF($Q148="","Missing garaging state. ","") &amp; IF($R148="","Missing garaging ZIP. ","") &amp; IF($S148="","Missing cat zone. ","") &amp; IF($V148="","Missing valuation basis. ","") &amp; IF($W148="","Missing PD deductible. ","") &amp; IF($X148="","Missing liability limit. ","") &amp; IF($AB148="","Missing technical premium. ","") &amp; IF($AF148="","Missing surplus lines tax %. ",""))))</f>
        <v/>
      </c>
      <c r="AY148" s="52" t="str">
        <f aca="false">IF($M148="","",IF(ISNUMBER($M148),IF($M148&gt;=Header!$C$18,"YES — refer","No"),""))</f>
        <v/>
      </c>
      <c r="AZ148" s="52" t="str">
        <f aca="false">IF($AD148="","",IF(ISNUMBER($AD148),IF($AD148&lt;Header!$C$20,"BELOW MIN PREMIUM","OK"),""))</f>
        <v/>
      </c>
      <c r="BA148" s="56"/>
      <c r="BB148" s="56"/>
      <c r="BC148" s="54"/>
      <c r="BE148" s="53" t="str">
        <f aca="false">IF(OR($A148="",$L148="",$H148=""),"",IF(AND(LEFT($L148,2)="06",$H148&gt;1945),"FAIL - pre-war class, year "&amp;$H148,IF(AND(LEFT($L148,2)="07",OR($H148&lt;1946,$H148&gt;1972)),"FAIL - 1946-72 class, year "&amp;$H148,IF(AND(LEFT($L148,2)="08",OR($H148&lt;1973,$H148&gt;1999)),"FAIL - 1973-99 class, year "&amp;$H148,IF(AND(LEFT($L148,2)="09",OR($H148&lt;2000,$H148&gt;2010)),"FAIL - 2000-10 class, year "&amp;$H148,"OK")))))</f>
        <v/>
      </c>
      <c r="BF148" s="53" t="str">
        <f aca="false">IF($AD148="","",IF(ROUND($AO148+$AP148+$AQ148-$AD148,2)=0,"OK","FAIL - out by "&amp;TEXT($AO148+$AP148+$AQ148-$AD148,"$0.00")))</f>
        <v/>
      </c>
    </row>
    <row r="149" customFormat="false" ht="15" hidden="false" customHeight="true" outlineLevel="0" collapsed="false">
      <c r="A149" s="38"/>
      <c r="B149" s="38"/>
      <c r="C149" s="39"/>
      <c r="D149" s="40"/>
      <c r="E149" s="40"/>
      <c r="F149" s="38"/>
      <c r="G149" s="41" t="str">
        <f aca="false">IF($A149="","",IF($C149="","",YEAR($C149)))</f>
        <v/>
      </c>
      <c r="H149" s="42"/>
      <c r="I149" s="38"/>
      <c r="J149" s="38"/>
      <c r="K149" s="38"/>
      <c r="L149" s="40"/>
      <c r="M149" s="43"/>
      <c r="N149" s="40"/>
      <c r="O149" s="38"/>
      <c r="P149" s="38"/>
      <c r="Q149" s="38"/>
      <c r="R149" s="38"/>
      <c r="S149" s="40"/>
      <c r="T149" s="44" t="str">
        <f aca="false">IF($A149="","",IF($S149="","",IFERROR(INDEX(Lists!$N$5:$N$16,MATCH($S149,Lists!$M$5:$M$16,0)),"?")))</f>
        <v/>
      </c>
      <c r="U149" s="38"/>
      <c r="V149" s="40"/>
      <c r="W149" s="38"/>
      <c r="X149" s="40"/>
      <c r="Y149" s="38"/>
      <c r="Z149" s="38"/>
      <c r="AA149" s="40"/>
      <c r="AB149" s="43"/>
      <c r="AC149" s="45"/>
      <c r="AD149" s="46" t="str">
        <f aca="false">IF(ISNUMBER($AB149),$AB149*(1+N($AC149)),"")</f>
        <v/>
      </c>
      <c r="AE149" s="43"/>
      <c r="AF149" s="43"/>
      <c r="AG149" s="45"/>
      <c r="AH149" s="47" t="str">
        <f aca="false">IF(ISNUMBER($AD149),($AD149+$AE149+$AF149)*$AG149,"")</f>
        <v/>
      </c>
      <c r="AI149" s="43"/>
      <c r="AJ149" s="46" t="str">
        <f aca="false">IF(ISNUMBER($AD149),SUM($AD149:$AH149),"")</f>
        <v/>
      </c>
      <c r="AK149" s="48" t="str">
        <f aca="false">IF(AND(ISNUMBER($AB149),ISNUMBER($AD149)),IF($AB149&gt;0,$AD149/$AB149,""),"")</f>
        <v/>
      </c>
      <c r="AL149" s="40"/>
      <c r="AM149" s="49" t="str">
        <f aca="false">IF(ISNUMBER($AD149),Header!$I$3,"")</f>
        <v/>
      </c>
      <c r="AN149" s="47" t="str">
        <f aca="false">IF(ISNUMBER($AD149),$AO149+$AP149,"")</f>
        <v/>
      </c>
      <c r="AO149" s="47" t="str">
        <f aca="false">IF(ISNUMBER($AD149),ROUND($AD149*Header!$K$3,2),"")</f>
        <v/>
      </c>
      <c r="AP149" s="47" t="str">
        <f aca="false">IF(ISNUMBER($AD149),ROUND($AD149*Header!$M$3,2),"")</f>
        <v/>
      </c>
      <c r="AQ149" s="46" t="str">
        <f aca="false">IF(ISNUMBER($AD149),ROUND($AD149,2)-$AO149-$AP149,"")</f>
        <v/>
      </c>
      <c r="AR149" s="47" t="str">
        <f aca="false">IF(ISNUMBER($AD149),IF(Header!$D$34="","?",$AD149*Header!$D$34),"")</f>
        <v/>
      </c>
      <c r="AS149" s="47" t="str">
        <f aca="false">IF(ISNUMBER($AB149),IF(Header!$D$34="","?",$AB149*Header!$D$34),"")</f>
        <v/>
      </c>
      <c r="AT149" s="50" t="str">
        <f aca="false">IF(AND(ISNUMBER($AB149),$M149&gt;0),$AB149/$M149*100,"")</f>
        <v/>
      </c>
      <c r="AU149" s="50" t="str">
        <f aca="false">IF(AND(ISNUMBER($AD149),$M149&gt;0),$AD149/$M149*100,"")</f>
        <v/>
      </c>
      <c r="AV149" s="48" t="str">
        <f aca="false">IF(AND(ISNUMBER($AB149),ISNUMBER($AD149),ABS($AB149)&gt;0),$AD149/$AB149,"")</f>
        <v/>
      </c>
      <c r="AW149" s="47" t="str">
        <f aca="false">IF(ISNUMBER($AD149),MAX(0,(1-0.55-Header!$O$3)*Header!$Q$3*$AQ149),"")</f>
        <v/>
      </c>
      <c r="AX149" s="51" t="str">
        <f aca="false">IF($A149="","",IF(TRIM(IF($A149="","Missing certificate ref. ","") &amp; IF($C149="","Missing effective date. ","") &amp; IF($D149="","Missing binding status. ","") &amp; IF($E149="","Missing movement type. ","") &amp; IF($I149="","Missing make. ","") &amp; IF($L149="","Missing vehicle class. ","") &amp; IF($M149="","Missing agreed value. ","") &amp; IF($N149="","Missing policy type. ","") &amp; IF($Q149="","Missing garaging state. ","") &amp; IF($R149="","Missing garaging ZIP. ","") &amp; IF($S149="","Missing cat zone. ","") &amp; IF($V149="","Missing valuation basis. ","") &amp; IF($W149="","Missing PD deductible. ","") &amp; IF($X149="","Missing liability limit. ","") &amp; IF($AB149="","Missing technical premium. ","") &amp; IF($AF149="","Missing surplus lines tax %. ",""))="","PASS","FAIL: "&amp;TRIM(IF($A149="","Missing certificate ref. ","") &amp; IF($C149="","Missing effective date. ","") &amp; IF($D149="","Missing binding status. ","") &amp; IF($E149="","Missing movement type. ","") &amp; IF($I149="","Missing make. ","") &amp; IF($L149="","Missing vehicle class. ","") &amp; IF($M149="","Missing agreed value. ","") &amp; IF($N149="","Missing policy type. ","") &amp; IF($Q149="","Missing garaging state. ","") &amp; IF($R149="","Missing garaging ZIP. ","") &amp; IF($S149="","Missing cat zone. ","") &amp; IF($V149="","Missing valuation basis. ","") &amp; IF($W149="","Missing PD deductible. ","") &amp; IF($X149="","Missing liability limit. ","") &amp; IF($AB149="","Missing technical premium. ","") &amp; IF($AF149="","Missing surplus lines tax %. ",""))))</f>
        <v/>
      </c>
      <c r="AY149" s="52" t="str">
        <f aca="false">IF($M149="","",IF(ISNUMBER($M149),IF($M149&gt;=Header!$C$18,"YES — refer","No"),""))</f>
        <v/>
      </c>
      <c r="AZ149" s="52" t="str">
        <f aca="false">IF($AD149="","",IF(ISNUMBER($AD149),IF($AD149&lt;Header!$C$20,"BELOW MIN PREMIUM","OK"),""))</f>
        <v/>
      </c>
      <c r="BA149" s="40"/>
      <c r="BB149" s="40"/>
      <c r="BC149" s="38"/>
      <c r="BE149" s="53" t="str">
        <f aca="false">IF(OR($A149="",$L149="",$H149=""),"",IF(AND(LEFT($L149,2)="06",$H149&gt;1945),"FAIL - pre-war class, year "&amp;$H149,IF(AND(LEFT($L149,2)="07",OR($H149&lt;1946,$H149&gt;1972)),"FAIL - 1946-72 class, year "&amp;$H149,IF(AND(LEFT($L149,2)="08",OR($H149&lt;1973,$H149&gt;1999)),"FAIL - 1973-99 class, year "&amp;$H149,IF(AND(LEFT($L149,2)="09",OR($H149&lt;2000,$H149&gt;2010)),"FAIL - 2000-10 class, year "&amp;$H149,"OK")))))</f>
        <v/>
      </c>
      <c r="BF149" s="53" t="str">
        <f aca="false">IF($AD149="","",IF(ROUND($AO149+$AP149+$AQ149-$AD149,2)=0,"OK","FAIL - out by "&amp;TEXT($AO149+$AP149+$AQ149-$AD149,"$0.00")))</f>
        <v/>
      </c>
    </row>
    <row r="150" customFormat="false" ht="15" hidden="false" customHeight="true" outlineLevel="0" collapsed="false">
      <c r="A150" s="54"/>
      <c r="B150" s="54"/>
      <c r="C150" s="55"/>
      <c r="D150" s="56"/>
      <c r="E150" s="56"/>
      <c r="F150" s="54"/>
      <c r="G150" s="41" t="str">
        <f aca="false">IF($A150="","",IF($C150="","",YEAR($C150)))</f>
        <v/>
      </c>
      <c r="H150" s="57"/>
      <c r="I150" s="54"/>
      <c r="J150" s="54"/>
      <c r="K150" s="54"/>
      <c r="L150" s="56"/>
      <c r="M150" s="58"/>
      <c r="N150" s="56"/>
      <c r="O150" s="54"/>
      <c r="P150" s="54"/>
      <c r="Q150" s="54"/>
      <c r="R150" s="54"/>
      <c r="S150" s="56"/>
      <c r="T150" s="44" t="str">
        <f aca="false">IF($A150="","",IF($S150="","",IFERROR(INDEX(Lists!$N$5:$N$16,MATCH($S150,Lists!$M$5:$M$16,0)),"?")))</f>
        <v/>
      </c>
      <c r="U150" s="54"/>
      <c r="V150" s="56"/>
      <c r="W150" s="54"/>
      <c r="X150" s="56"/>
      <c r="Y150" s="54"/>
      <c r="Z150" s="54"/>
      <c r="AA150" s="56"/>
      <c r="AB150" s="58"/>
      <c r="AC150" s="59"/>
      <c r="AD150" s="46" t="str">
        <f aca="false">IF(ISNUMBER($AB150),$AB150*(1+N($AC150)),"")</f>
        <v/>
      </c>
      <c r="AE150" s="58"/>
      <c r="AF150" s="58"/>
      <c r="AG150" s="59"/>
      <c r="AH150" s="47" t="str">
        <f aca="false">IF(ISNUMBER($AD150),($AD150+$AE150+$AF150)*$AG150,"")</f>
        <v/>
      </c>
      <c r="AI150" s="58"/>
      <c r="AJ150" s="46" t="str">
        <f aca="false">IF(ISNUMBER($AD150),SUM($AD150:$AH150),"")</f>
        <v/>
      </c>
      <c r="AK150" s="48" t="str">
        <f aca="false">IF(AND(ISNUMBER($AB150),ISNUMBER($AD150)),IF($AB150&gt;0,$AD150/$AB150,""),"")</f>
        <v/>
      </c>
      <c r="AL150" s="56"/>
      <c r="AM150" s="49" t="str">
        <f aca="false">IF(ISNUMBER($AD150),Header!$I$3,"")</f>
        <v/>
      </c>
      <c r="AN150" s="47" t="str">
        <f aca="false">IF(ISNUMBER($AD150),$AO150+$AP150,"")</f>
        <v/>
      </c>
      <c r="AO150" s="47" t="str">
        <f aca="false">IF(ISNUMBER($AD150),ROUND($AD150*Header!$K$3,2),"")</f>
        <v/>
      </c>
      <c r="AP150" s="47" t="str">
        <f aca="false">IF(ISNUMBER($AD150),ROUND($AD150*Header!$M$3,2),"")</f>
        <v/>
      </c>
      <c r="AQ150" s="46" t="str">
        <f aca="false">IF(ISNUMBER($AD150),ROUND($AD150,2)-$AO150-$AP150,"")</f>
        <v/>
      </c>
      <c r="AR150" s="47" t="str">
        <f aca="false">IF(ISNUMBER($AD150),IF(Header!$D$34="","?",$AD150*Header!$D$34),"")</f>
        <v/>
      </c>
      <c r="AS150" s="47" t="str">
        <f aca="false">IF(ISNUMBER($AB150),IF(Header!$D$34="","?",$AB150*Header!$D$34),"")</f>
        <v/>
      </c>
      <c r="AT150" s="50" t="str">
        <f aca="false">IF(AND(ISNUMBER($AB150),$M150&gt;0),$AB150/$M150*100,"")</f>
        <v/>
      </c>
      <c r="AU150" s="50" t="str">
        <f aca="false">IF(AND(ISNUMBER($AD150),$M150&gt;0),$AD150/$M150*100,"")</f>
        <v/>
      </c>
      <c r="AV150" s="48" t="str">
        <f aca="false">IF(AND(ISNUMBER($AB150),ISNUMBER($AD150),ABS($AB150)&gt;0),$AD150/$AB150,"")</f>
        <v/>
      </c>
      <c r="AW150" s="47" t="str">
        <f aca="false">IF(ISNUMBER($AD150),MAX(0,(1-0.55-Header!$O$3)*Header!$Q$3*$AQ150),"")</f>
        <v/>
      </c>
      <c r="AX150" s="51" t="str">
        <f aca="false">IF($A150="","",IF(TRIM(IF($A150="","Missing certificate ref. ","") &amp; IF($C150="","Missing effective date. ","") &amp; IF($D150="","Missing binding status. ","") &amp; IF($E150="","Missing movement type. ","") &amp; IF($I150="","Missing make. ","") &amp; IF($L150="","Missing vehicle class. ","") &amp; IF($M150="","Missing agreed value. ","") &amp; IF($N150="","Missing policy type. ","") &amp; IF($Q150="","Missing garaging state. ","") &amp; IF($R150="","Missing garaging ZIP. ","") &amp; IF($S150="","Missing cat zone. ","") &amp; IF($V150="","Missing valuation basis. ","") &amp; IF($W150="","Missing PD deductible. ","") &amp; IF($X150="","Missing liability limit. ","") &amp; IF($AB150="","Missing technical premium. ","") &amp; IF($AF150="","Missing surplus lines tax %. ",""))="","PASS","FAIL: "&amp;TRIM(IF($A150="","Missing certificate ref. ","") &amp; IF($C150="","Missing effective date. ","") &amp; IF($D150="","Missing binding status. ","") &amp; IF($E150="","Missing movement type. ","") &amp; IF($I150="","Missing make. ","") &amp; IF($L150="","Missing vehicle class. ","") &amp; IF($M150="","Missing agreed value. ","") &amp; IF($N150="","Missing policy type. ","") &amp; IF($Q150="","Missing garaging state. ","") &amp; IF($R150="","Missing garaging ZIP. ","") &amp; IF($S150="","Missing cat zone. ","") &amp; IF($V150="","Missing valuation basis. ","") &amp; IF($W150="","Missing PD deductible. ","") &amp; IF($X150="","Missing liability limit. ","") &amp; IF($AB150="","Missing technical premium. ","") &amp; IF($AF150="","Missing surplus lines tax %. ",""))))</f>
        <v/>
      </c>
      <c r="AY150" s="52" t="str">
        <f aca="false">IF($M150="","",IF(ISNUMBER($M150),IF($M150&gt;=Header!$C$18,"YES — refer","No"),""))</f>
        <v/>
      </c>
      <c r="AZ150" s="52" t="str">
        <f aca="false">IF($AD150="","",IF(ISNUMBER($AD150),IF($AD150&lt;Header!$C$20,"BELOW MIN PREMIUM","OK"),""))</f>
        <v/>
      </c>
      <c r="BA150" s="56"/>
      <c r="BB150" s="56"/>
      <c r="BC150" s="54"/>
      <c r="BE150" s="53" t="str">
        <f aca="false">IF(OR($A150="",$L150="",$H150=""),"",IF(AND(LEFT($L150,2)="06",$H150&gt;1945),"FAIL - pre-war class, year "&amp;$H150,IF(AND(LEFT($L150,2)="07",OR($H150&lt;1946,$H150&gt;1972)),"FAIL - 1946-72 class, year "&amp;$H150,IF(AND(LEFT($L150,2)="08",OR($H150&lt;1973,$H150&gt;1999)),"FAIL - 1973-99 class, year "&amp;$H150,IF(AND(LEFT($L150,2)="09",OR($H150&lt;2000,$H150&gt;2010)),"FAIL - 2000-10 class, year "&amp;$H150,"OK")))))</f>
        <v/>
      </c>
      <c r="BF150" s="53" t="str">
        <f aca="false">IF($AD150="","",IF(ROUND($AO150+$AP150+$AQ150-$AD150,2)=0,"OK","FAIL - out by "&amp;TEXT($AO150+$AP150+$AQ150-$AD150,"$0.00")))</f>
        <v/>
      </c>
    </row>
    <row r="151" customFormat="false" ht="15" hidden="false" customHeight="true" outlineLevel="0" collapsed="false">
      <c r="A151" s="38"/>
      <c r="B151" s="38"/>
      <c r="C151" s="39"/>
      <c r="D151" s="40"/>
      <c r="E151" s="40"/>
      <c r="F151" s="38"/>
      <c r="G151" s="41" t="str">
        <f aca="false">IF($A151="","",IF($C151="","",YEAR($C151)))</f>
        <v/>
      </c>
      <c r="H151" s="42"/>
      <c r="I151" s="38"/>
      <c r="J151" s="38"/>
      <c r="K151" s="38"/>
      <c r="L151" s="40"/>
      <c r="M151" s="43"/>
      <c r="N151" s="40"/>
      <c r="O151" s="38"/>
      <c r="P151" s="38"/>
      <c r="Q151" s="38"/>
      <c r="R151" s="38"/>
      <c r="S151" s="40"/>
      <c r="T151" s="44" t="str">
        <f aca="false">IF($A151="","",IF($S151="","",IFERROR(INDEX(Lists!$N$5:$N$16,MATCH($S151,Lists!$M$5:$M$16,0)),"?")))</f>
        <v/>
      </c>
      <c r="U151" s="38"/>
      <c r="V151" s="40"/>
      <c r="W151" s="38"/>
      <c r="X151" s="40"/>
      <c r="Y151" s="38"/>
      <c r="Z151" s="38"/>
      <c r="AA151" s="40"/>
      <c r="AB151" s="43"/>
      <c r="AC151" s="45"/>
      <c r="AD151" s="46" t="str">
        <f aca="false">IF(ISNUMBER($AB151),$AB151*(1+N($AC151)),"")</f>
        <v/>
      </c>
      <c r="AE151" s="43"/>
      <c r="AF151" s="43"/>
      <c r="AG151" s="45"/>
      <c r="AH151" s="47" t="str">
        <f aca="false">IF(ISNUMBER($AD151),($AD151+$AE151+$AF151)*$AG151,"")</f>
        <v/>
      </c>
      <c r="AI151" s="43"/>
      <c r="AJ151" s="46" t="str">
        <f aca="false">IF(ISNUMBER($AD151),SUM($AD151:$AH151),"")</f>
        <v/>
      </c>
      <c r="AK151" s="48" t="str">
        <f aca="false">IF(AND(ISNUMBER($AB151),ISNUMBER($AD151)),IF($AB151&gt;0,$AD151/$AB151,""),"")</f>
        <v/>
      </c>
      <c r="AL151" s="40"/>
      <c r="AM151" s="49" t="str">
        <f aca="false">IF(ISNUMBER($AD151),Header!$I$3,"")</f>
        <v/>
      </c>
      <c r="AN151" s="47" t="str">
        <f aca="false">IF(ISNUMBER($AD151),$AO151+$AP151,"")</f>
        <v/>
      </c>
      <c r="AO151" s="47" t="str">
        <f aca="false">IF(ISNUMBER($AD151),ROUND($AD151*Header!$K$3,2),"")</f>
        <v/>
      </c>
      <c r="AP151" s="47" t="str">
        <f aca="false">IF(ISNUMBER($AD151),ROUND($AD151*Header!$M$3,2),"")</f>
        <v/>
      </c>
      <c r="AQ151" s="46" t="str">
        <f aca="false">IF(ISNUMBER($AD151),ROUND($AD151,2)-$AO151-$AP151,"")</f>
        <v/>
      </c>
      <c r="AR151" s="47" t="str">
        <f aca="false">IF(ISNUMBER($AD151),IF(Header!$D$34="","?",$AD151*Header!$D$34),"")</f>
        <v/>
      </c>
      <c r="AS151" s="47" t="str">
        <f aca="false">IF(ISNUMBER($AB151),IF(Header!$D$34="","?",$AB151*Header!$D$34),"")</f>
        <v/>
      </c>
      <c r="AT151" s="50" t="str">
        <f aca="false">IF(AND(ISNUMBER($AB151),$M151&gt;0),$AB151/$M151*100,"")</f>
        <v/>
      </c>
      <c r="AU151" s="50" t="str">
        <f aca="false">IF(AND(ISNUMBER($AD151),$M151&gt;0),$AD151/$M151*100,"")</f>
        <v/>
      </c>
      <c r="AV151" s="48" t="str">
        <f aca="false">IF(AND(ISNUMBER($AB151),ISNUMBER($AD151),ABS($AB151)&gt;0),$AD151/$AB151,"")</f>
        <v/>
      </c>
      <c r="AW151" s="47" t="str">
        <f aca="false">IF(ISNUMBER($AD151),MAX(0,(1-0.55-Header!$O$3)*Header!$Q$3*$AQ151),"")</f>
        <v/>
      </c>
      <c r="AX151" s="51" t="str">
        <f aca="false">IF($A151="","",IF(TRIM(IF($A151="","Missing certificate ref. ","") &amp; IF($C151="","Missing effective date. ","") &amp; IF($D151="","Missing binding status. ","") &amp; IF($E151="","Missing movement type. ","") &amp; IF($I151="","Missing make. ","") &amp; IF($L151="","Missing vehicle class. ","") &amp; IF($M151="","Missing agreed value. ","") &amp; IF($N151="","Missing policy type. ","") &amp; IF($Q151="","Missing garaging state. ","") &amp; IF($R151="","Missing garaging ZIP. ","") &amp; IF($S151="","Missing cat zone. ","") &amp; IF($V151="","Missing valuation basis. ","") &amp; IF($W151="","Missing PD deductible. ","") &amp; IF($X151="","Missing liability limit. ","") &amp; IF($AB151="","Missing technical premium. ","") &amp; IF($AF151="","Missing surplus lines tax %. ",""))="","PASS","FAIL: "&amp;TRIM(IF($A151="","Missing certificate ref. ","") &amp; IF($C151="","Missing effective date. ","") &amp; IF($D151="","Missing binding status. ","") &amp; IF($E151="","Missing movement type. ","") &amp; IF($I151="","Missing make. ","") &amp; IF($L151="","Missing vehicle class. ","") &amp; IF($M151="","Missing agreed value. ","") &amp; IF($N151="","Missing policy type. ","") &amp; IF($Q151="","Missing garaging state. ","") &amp; IF($R151="","Missing garaging ZIP. ","") &amp; IF($S151="","Missing cat zone. ","") &amp; IF($V151="","Missing valuation basis. ","") &amp; IF($W151="","Missing PD deductible. ","") &amp; IF($X151="","Missing liability limit. ","") &amp; IF($AB151="","Missing technical premium. ","") &amp; IF($AF151="","Missing surplus lines tax %. ",""))))</f>
        <v/>
      </c>
      <c r="AY151" s="52" t="str">
        <f aca="false">IF($M151="","",IF(ISNUMBER($M151),IF($M151&gt;=Header!$C$18,"YES — refer","No"),""))</f>
        <v/>
      </c>
      <c r="AZ151" s="52" t="str">
        <f aca="false">IF($AD151="","",IF(ISNUMBER($AD151),IF($AD151&lt;Header!$C$20,"BELOW MIN PREMIUM","OK"),""))</f>
        <v/>
      </c>
      <c r="BA151" s="40"/>
      <c r="BB151" s="40"/>
      <c r="BC151" s="38"/>
      <c r="BE151" s="53" t="str">
        <f aca="false">IF(OR($A151="",$L151="",$H151=""),"",IF(AND(LEFT($L151,2)="06",$H151&gt;1945),"FAIL - pre-war class, year "&amp;$H151,IF(AND(LEFT($L151,2)="07",OR($H151&lt;1946,$H151&gt;1972)),"FAIL - 1946-72 class, year "&amp;$H151,IF(AND(LEFT($L151,2)="08",OR($H151&lt;1973,$H151&gt;1999)),"FAIL - 1973-99 class, year "&amp;$H151,IF(AND(LEFT($L151,2)="09",OR($H151&lt;2000,$H151&gt;2010)),"FAIL - 2000-10 class, year "&amp;$H151,"OK")))))</f>
        <v/>
      </c>
      <c r="BF151" s="53" t="str">
        <f aca="false">IF($AD151="","",IF(ROUND($AO151+$AP151+$AQ151-$AD151,2)=0,"OK","FAIL - out by "&amp;TEXT($AO151+$AP151+$AQ151-$AD151,"$0.00")))</f>
        <v/>
      </c>
    </row>
    <row r="152" customFormat="false" ht="15" hidden="false" customHeight="true" outlineLevel="0" collapsed="false">
      <c r="A152" s="54"/>
      <c r="B152" s="54"/>
      <c r="C152" s="55"/>
      <c r="D152" s="56"/>
      <c r="E152" s="56"/>
      <c r="F152" s="54"/>
      <c r="G152" s="41" t="str">
        <f aca="false">IF($A152="","",IF($C152="","",YEAR($C152)))</f>
        <v/>
      </c>
      <c r="H152" s="57"/>
      <c r="I152" s="54"/>
      <c r="J152" s="54"/>
      <c r="K152" s="54"/>
      <c r="L152" s="56"/>
      <c r="M152" s="58"/>
      <c r="N152" s="56"/>
      <c r="O152" s="54"/>
      <c r="P152" s="54"/>
      <c r="Q152" s="54"/>
      <c r="R152" s="54"/>
      <c r="S152" s="56"/>
      <c r="T152" s="44" t="str">
        <f aca="false">IF($A152="","",IF($S152="","",IFERROR(INDEX(Lists!$N$5:$N$16,MATCH($S152,Lists!$M$5:$M$16,0)),"?")))</f>
        <v/>
      </c>
      <c r="U152" s="54"/>
      <c r="V152" s="56"/>
      <c r="W152" s="54"/>
      <c r="X152" s="56"/>
      <c r="Y152" s="54"/>
      <c r="Z152" s="54"/>
      <c r="AA152" s="56"/>
      <c r="AB152" s="58"/>
      <c r="AC152" s="59"/>
      <c r="AD152" s="46" t="str">
        <f aca="false">IF(ISNUMBER($AB152),$AB152*(1+N($AC152)),"")</f>
        <v/>
      </c>
      <c r="AE152" s="58"/>
      <c r="AF152" s="58"/>
      <c r="AG152" s="59"/>
      <c r="AH152" s="47" t="str">
        <f aca="false">IF(ISNUMBER($AD152),($AD152+$AE152+$AF152)*$AG152,"")</f>
        <v/>
      </c>
      <c r="AI152" s="58"/>
      <c r="AJ152" s="46" t="str">
        <f aca="false">IF(ISNUMBER($AD152),SUM($AD152:$AH152),"")</f>
        <v/>
      </c>
      <c r="AK152" s="48" t="str">
        <f aca="false">IF(AND(ISNUMBER($AB152),ISNUMBER($AD152)),IF($AB152&gt;0,$AD152/$AB152,""),"")</f>
        <v/>
      </c>
      <c r="AL152" s="56"/>
      <c r="AM152" s="49" t="str">
        <f aca="false">IF(ISNUMBER($AD152),Header!$I$3,"")</f>
        <v/>
      </c>
      <c r="AN152" s="47" t="str">
        <f aca="false">IF(ISNUMBER($AD152),$AO152+$AP152,"")</f>
        <v/>
      </c>
      <c r="AO152" s="47" t="str">
        <f aca="false">IF(ISNUMBER($AD152),ROUND($AD152*Header!$K$3,2),"")</f>
        <v/>
      </c>
      <c r="AP152" s="47" t="str">
        <f aca="false">IF(ISNUMBER($AD152),ROUND($AD152*Header!$M$3,2),"")</f>
        <v/>
      </c>
      <c r="AQ152" s="46" t="str">
        <f aca="false">IF(ISNUMBER($AD152),ROUND($AD152,2)-$AO152-$AP152,"")</f>
        <v/>
      </c>
      <c r="AR152" s="47" t="str">
        <f aca="false">IF(ISNUMBER($AD152),IF(Header!$D$34="","?",$AD152*Header!$D$34),"")</f>
        <v/>
      </c>
      <c r="AS152" s="47" t="str">
        <f aca="false">IF(ISNUMBER($AB152),IF(Header!$D$34="","?",$AB152*Header!$D$34),"")</f>
        <v/>
      </c>
      <c r="AT152" s="50" t="str">
        <f aca="false">IF(AND(ISNUMBER($AB152),$M152&gt;0),$AB152/$M152*100,"")</f>
        <v/>
      </c>
      <c r="AU152" s="50" t="str">
        <f aca="false">IF(AND(ISNUMBER($AD152),$M152&gt;0),$AD152/$M152*100,"")</f>
        <v/>
      </c>
      <c r="AV152" s="48" t="str">
        <f aca="false">IF(AND(ISNUMBER($AB152),ISNUMBER($AD152),ABS($AB152)&gt;0),$AD152/$AB152,"")</f>
        <v/>
      </c>
      <c r="AW152" s="47" t="str">
        <f aca="false">IF(ISNUMBER($AD152),MAX(0,(1-0.55-Header!$O$3)*Header!$Q$3*$AQ152),"")</f>
        <v/>
      </c>
      <c r="AX152" s="51" t="str">
        <f aca="false">IF($A152="","",IF(TRIM(IF($A152="","Missing certificate ref. ","") &amp; IF($C152="","Missing effective date. ","") &amp; IF($D152="","Missing binding status. ","") &amp; IF($E152="","Missing movement type. ","") &amp; IF($I152="","Missing make. ","") &amp; IF($L152="","Missing vehicle class. ","") &amp; IF($M152="","Missing agreed value. ","") &amp; IF($N152="","Missing policy type. ","") &amp; IF($Q152="","Missing garaging state. ","") &amp; IF($R152="","Missing garaging ZIP. ","") &amp; IF($S152="","Missing cat zone. ","") &amp; IF($V152="","Missing valuation basis. ","") &amp; IF($W152="","Missing PD deductible. ","") &amp; IF($X152="","Missing liability limit. ","") &amp; IF($AB152="","Missing technical premium. ","") &amp; IF($AF152="","Missing surplus lines tax %. ",""))="","PASS","FAIL: "&amp;TRIM(IF($A152="","Missing certificate ref. ","") &amp; IF($C152="","Missing effective date. ","") &amp; IF($D152="","Missing binding status. ","") &amp; IF($E152="","Missing movement type. ","") &amp; IF($I152="","Missing make. ","") &amp; IF($L152="","Missing vehicle class. ","") &amp; IF($M152="","Missing agreed value. ","") &amp; IF($N152="","Missing policy type. ","") &amp; IF($Q152="","Missing garaging state. ","") &amp; IF($R152="","Missing garaging ZIP. ","") &amp; IF($S152="","Missing cat zone. ","") &amp; IF($V152="","Missing valuation basis. ","") &amp; IF($W152="","Missing PD deductible. ","") &amp; IF($X152="","Missing liability limit. ","") &amp; IF($AB152="","Missing technical premium. ","") &amp; IF($AF152="","Missing surplus lines tax %. ",""))))</f>
        <v/>
      </c>
      <c r="AY152" s="52" t="str">
        <f aca="false">IF($M152="","",IF(ISNUMBER($M152),IF($M152&gt;=Header!$C$18,"YES — refer","No"),""))</f>
        <v/>
      </c>
      <c r="AZ152" s="52" t="str">
        <f aca="false">IF($AD152="","",IF(ISNUMBER($AD152),IF($AD152&lt;Header!$C$20,"BELOW MIN PREMIUM","OK"),""))</f>
        <v/>
      </c>
      <c r="BA152" s="56"/>
      <c r="BB152" s="56"/>
      <c r="BC152" s="54"/>
      <c r="BE152" s="53" t="str">
        <f aca="false">IF(OR($A152="",$L152="",$H152=""),"",IF(AND(LEFT($L152,2)="06",$H152&gt;1945),"FAIL - pre-war class, year "&amp;$H152,IF(AND(LEFT($L152,2)="07",OR($H152&lt;1946,$H152&gt;1972)),"FAIL - 1946-72 class, year "&amp;$H152,IF(AND(LEFT($L152,2)="08",OR($H152&lt;1973,$H152&gt;1999)),"FAIL - 1973-99 class, year "&amp;$H152,IF(AND(LEFT($L152,2)="09",OR($H152&lt;2000,$H152&gt;2010)),"FAIL - 2000-10 class, year "&amp;$H152,"OK")))))</f>
        <v/>
      </c>
      <c r="BF152" s="53" t="str">
        <f aca="false">IF($AD152="","",IF(ROUND($AO152+$AP152+$AQ152-$AD152,2)=0,"OK","FAIL - out by "&amp;TEXT($AO152+$AP152+$AQ152-$AD152,"$0.00")))</f>
        <v/>
      </c>
    </row>
    <row r="153" customFormat="false" ht="15" hidden="false" customHeight="true" outlineLevel="0" collapsed="false">
      <c r="A153" s="38"/>
      <c r="B153" s="38"/>
      <c r="C153" s="39"/>
      <c r="D153" s="40"/>
      <c r="E153" s="40"/>
      <c r="F153" s="38"/>
      <c r="G153" s="41" t="str">
        <f aca="false">IF($A153="","",IF($C153="","",YEAR($C153)))</f>
        <v/>
      </c>
      <c r="H153" s="42"/>
      <c r="I153" s="38"/>
      <c r="J153" s="38"/>
      <c r="K153" s="38"/>
      <c r="L153" s="40"/>
      <c r="M153" s="43"/>
      <c r="N153" s="40"/>
      <c r="O153" s="38"/>
      <c r="P153" s="38"/>
      <c r="Q153" s="38"/>
      <c r="R153" s="38"/>
      <c r="S153" s="40"/>
      <c r="T153" s="44" t="str">
        <f aca="false">IF($A153="","",IF($S153="","",IFERROR(INDEX(Lists!$N$5:$N$16,MATCH($S153,Lists!$M$5:$M$16,0)),"?")))</f>
        <v/>
      </c>
      <c r="U153" s="38"/>
      <c r="V153" s="40"/>
      <c r="W153" s="38"/>
      <c r="X153" s="40"/>
      <c r="Y153" s="38"/>
      <c r="Z153" s="38"/>
      <c r="AA153" s="40"/>
      <c r="AB153" s="43"/>
      <c r="AC153" s="45"/>
      <c r="AD153" s="46" t="str">
        <f aca="false">IF(ISNUMBER($AB153),$AB153*(1+N($AC153)),"")</f>
        <v/>
      </c>
      <c r="AE153" s="43"/>
      <c r="AF153" s="43"/>
      <c r="AG153" s="45"/>
      <c r="AH153" s="47" t="str">
        <f aca="false">IF(ISNUMBER($AD153),($AD153+$AE153+$AF153)*$AG153,"")</f>
        <v/>
      </c>
      <c r="AI153" s="43"/>
      <c r="AJ153" s="46" t="str">
        <f aca="false">IF(ISNUMBER($AD153),SUM($AD153:$AH153),"")</f>
        <v/>
      </c>
      <c r="AK153" s="48" t="str">
        <f aca="false">IF(AND(ISNUMBER($AB153),ISNUMBER($AD153)),IF($AB153&gt;0,$AD153/$AB153,""),"")</f>
        <v/>
      </c>
      <c r="AL153" s="40"/>
      <c r="AM153" s="49" t="str">
        <f aca="false">IF(ISNUMBER($AD153),Header!$I$3,"")</f>
        <v/>
      </c>
      <c r="AN153" s="47" t="str">
        <f aca="false">IF(ISNUMBER($AD153),$AO153+$AP153,"")</f>
        <v/>
      </c>
      <c r="AO153" s="47" t="str">
        <f aca="false">IF(ISNUMBER($AD153),ROUND($AD153*Header!$K$3,2),"")</f>
        <v/>
      </c>
      <c r="AP153" s="47" t="str">
        <f aca="false">IF(ISNUMBER($AD153),ROUND($AD153*Header!$M$3,2),"")</f>
        <v/>
      </c>
      <c r="AQ153" s="46" t="str">
        <f aca="false">IF(ISNUMBER($AD153),ROUND($AD153,2)-$AO153-$AP153,"")</f>
        <v/>
      </c>
      <c r="AR153" s="47" t="str">
        <f aca="false">IF(ISNUMBER($AD153),IF(Header!$D$34="","?",$AD153*Header!$D$34),"")</f>
        <v/>
      </c>
      <c r="AS153" s="47" t="str">
        <f aca="false">IF(ISNUMBER($AB153),IF(Header!$D$34="","?",$AB153*Header!$D$34),"")</f>
        <v/>
      </c>
      <c r="AT153" s="50" t="str">
        <f aca="false">IF(AND(ISNUMBER($AB153),$M153&gt;0),$AB153/$M153*100,"")</f>
        <v/>
      </c>
      <c r="AU153" s="50" t="str">
        <f aca="false">IF(AND(ISNUMBER($AD153),$M153&gt;0),$AD153/$M153*100,"")</f>
        <v/>
      </c>
      <c r="AV153" s="48" t="str">
        <f aca="false">IF(AND(ISNUMBER($AB153),ISNUMBER($AD153),ABS($AB153)&gt;0),$AD153/$AB153,"")</f>
        <v/>
      </c>
      <c r="AW153" s="47" t="str">
        <f aca="false">IF(ISNUMBER($AD153),MAX(0,(1-0.55-Header!$O$3)*Header!$Q$3*$AQ153),"")</f>
        <v/>
      </c>
      <c r="AX153" s="51" t="str">
        <f aca="false">IF($A153="","",IF(TRIM(IF($A153="","Missing certificate ref. ","") &amp; IF($C153="","Missing effective date. ","") &amp; IF($D153="","Missing binding status. ","") &amp; IF($E153="","Missing movement type. ","") &amp; IF($I153="","Missing make. ","") &amp; IF($L153="","Missing vehicle class. ","") &amp; IF($M153="","Missing agreed value. ","") &amp; IF($N153="","Missing policy type. ","") &amp; IF($Q153="","Missing garaging state. ","") &amp; IF($R153="","Missing garaging ZIP. ","") &amp; IF($S153="","Missing cat zone. ","") &amp; IF($V153="","Missing valuation basis. ","") &amp; IF($W153="","Missing PD deductible. ","") &amp; IF($X153="","Missing liability limit. ","") &amp; IF($AB153="","Missing technical premium. ","") &amp; IF($AF153="","Missing surplus lines tax %. ",""))="","PASS","FAIL: "&amp;TRIM(IF($A153="","Missing certificate ref. ","") &amp; IF($C153="","Missing effective date. ","") &amp; IF($D153="","Missing binding status. ","") &amp; IF($E153="","Missing movement type. ","") &amp; IF($I153="","Missing make. ","") &amp; IF($L153="","Missing vehicle class. ","") &amp; IF($M153="","Missing agreed value. ","") &amp; IF($N153="","Missing policy type. ","") &amp; IF($Q153="","Missing garaging state. ","") &amp; IF($R153="","Missing garaging ZIP. ","") &amp; IF($S153="","Missing cat zone. ","") &amp; IF($V153="","Missing valuation basis. ","") &amp; IF($W153="","Missing PD deductible. ","") &amp; IF($X153="","Missing liability limit. ","") &amp; IF($AB153="","Missing technical premium. ","") &amp; IF($AF153="","Missing surplus lines tax %. ",""))))</f>
        <v/>
      </c>
      <c r="AY153" s="52" t="str">
        <f aca="false">IF($M153="","",IF(ISNUMBER($M153),IF($M153&gt;=Header!$C$18,"YES — refer","No"),""))</f>
        <v/>
      </c>
      <c r="AZ153" s="52" t="str">
        <f aca="false">IF($AD153="","",IF(ISNUMBER($AD153),IF($AD153&lt;Header!$C$20,"BELOW MIN PREMIUM","OK"),""))</f>
        <v/>
      </c>
      <c r="BA153" s="40"/>
      <c r="BB153" s="40"/>
      <c r="BC153" s="38"/>
      <c r="BE153" s="53" t="str">
        <f aca="false">IF(OR($A153="",$L153="",$H153=""),"",IF(AND(LEFT($L153,2)="06",$H153&gt;1945),"FAIL - pre-war class, year "&amp;$H153,IF(AND(LEFT($L153,2)="07",OR($H153&lt;1946,$H153&gt;1972)),"FAIL - 1946-72 class, year "&amp;$H153,IF(AND(LEFT($L153,2)="08",OR($H153&lt;1973,$H153&gt;1999)),"FAIL - 1973-99 class, year "&amp;$H153,IF(AND(LEFT($L153,2)="09",OR($H153&lt;2000,$H153&gt;2010)),"FAIL - 2000-10 class, year "&amp;$H153,"OK")))))</f>
        <v/>
      </c>
      <c r="BF153" s="53" t="str">
        <f aca="false">IF($AD153="","",IF(ROUND($AO153+$AP153+$AQ153-$AD153,2)=0,"OK","FAIL - out by "&amp;TEXT($AO153+$AP153+$AQ153-$AD153,"$0.00")))</f>
        <v/>
      </c>
    </row>
    <row r="154" customFormat="false" ht="15" hidden="false" customHeight="true" outlineLevel="0" collapsed="false">
      <c r="A154" s="54"/>
      <c r="B154" s="54"/>
      <c r="C154" s="55"/>
      <c r="D154" s="56"/>
      <c r="E154" s="56"/>
      <c r="F154" s="54"/>
      <c r="G154" s="41" t="str">
        <f aca="false">IF($A154="","",IF($C154="","",YEAR($C154)))</f>
        <v/>
      </c>
      <c r="H154" s="57"/>
      <c r="I154" s="54"/>
      <c r="J154" s="54"/>
      <c r="K154" s="54"/>
      <c r="L154" s="56"/>
      <c r="M154" s="58"/>
      <c r="N154" s="56"/>
      <c r="O154" s="54"/>
      <c r="P154" s="54"/>
      <c r="Q154" s="54"/>
      <c r="R154" s="54"/>
      <c r="S154" s="56"/>
      <c r="T154" s="44" t="str">
        <f aca="false">IF($A154="","",IF($S154="","",IFERROR(INDEX(Lists!$N$5:$N$16,MATCH($S154,Lists!$M$5:$M$16,0)),"?")))</f>
        <v/>
      </c>
      <c r="U154" s="54"/>
      <c r="V154" s="56"/>
      <c r="W154" s="54"/>
      <c r="X154" s="56"/>
      <c r="Y154" s="54"/>
      <c r="Z154" s="54"/>
      <c r="AA154" s="56"/>
      <c r="AB154" s="58"/>
      <c r="AC154" s="59"/>
      <c r="AD154" s="46" t="str">
        <f aca="false">IF(ISNUMBER($AB154),$AB154*(1+N($AC154)),"")</f>
        <v/>
      </c>
      <c r="AE154" s="58"/>
      <c r="AF154" s="58"/>
      <c r="AG154" s="59"/>
      <c r="AH154" s="47" t="str">
        <f aca="false">IF(ISNUMBER($AD154),($AD154+$AE154+$AF154)*$AG154,"")</f>
        <v/>
      </c>
      <c r="AI154" s="58"/>
      <c r="AJ154" s="46" t="str">
        <f aca="false">IF(ISNUMBER($AD154),SUM($AD154:$AH154),"")</f>
        <v/>
      </c>
      <c r="AK154" s="48" t="str">
        <f aca="false">IF(AND(ISNUMBER($AB154),ISNUMBER($AD154)),IF($AB154&gt;0,$AD154/$AB154,""),"")</f>
        <v/>
      </c>
      <c r="AL154" s="56"/>
      <c r="AM154" s="49" t="str">
        <f aca="false">IF(ISNUMBER($AD154),Header!$I$3,"")</f>
        <v/>
      </c>
      <c r="AN154" s="47" t="str">
        <f aca="false">IF(ISNUMBER($AD154),$AO154+$AP154,"")</f>
        <v/>
      </c>
      <c r="AO154" s="47" t="str">
        <f aca="false">IF(ISNUMBER($AD154),ROUND($AD154*Header!$K$3,2),"")</f>
        <v/>
      </c>
      <c r="AP154" s="47" t="str">
        <f aca="false">IF(ISNUMBER($AD154),ROUND($AD154*Header!$M$3,2),"")</f>
        <v/>
      </c>
      <c r="AQ154" s="46" t="str">
        <f aca="false">IF(ISNUMBER($AD154),ROUND($AD154,2)-$AO154-$AP154,"")</f>
        <v/>
      </c>
      <c r="AR154" s="47" t="str">
        <f aca="false">IF(ISNUMBER($AD154),IF(Header!$D$34="","?",$AD154*Header!$D$34),"")</f>
        <v/>
      </c>
      <c r="AS154" s="47" t="str">
        <f aca="false">IF(ISNUMBER($AB154),IF(Header!$D$34="","?",$AB154*Header!$D$34),"")</f>
        <v/>
      </c>
      <c r="AT154" s="50" t="str">
        <f aca="false">IF(AND(ISNUMBER($AB154),$M154&gt;0),$AB154/$M154*100,"")</f>
        <v/>
      </c>
      <c r="AU154" s="50" t="str">
        <f aca="false">IF(AND(ISNUMBER($AD154),$M154&gt;0),$AD154/$M154*100,"")</f>
        <v/>
      </c>
      <c r="AV154" s="48" t="str">
        <f aca="false">IF(AND(ISNUMBER($AB154),ISNUMBER($AD154),ABS($AB154)&gt;0),$AD154/$AB154,"")</f>
        <v/>
      </c>
      <c r="AW154" s="47" t="str">
        <f aca="false">IF(ISNUMBER($AD154),MAX(0,(1-0.55-Header!$O$3)*Header!$Q$3*$AQ154),"")</f>
        <v/>
      </c>
      <c r="AX154" s="51" t="str">
        <f aca="false">IF($A154="","",IF(TRIM(IF($A154="","Missing certificate ref. ","") &amp; IF($C154="","Missing effective date. ","") &amp; IF($D154="","Missing binding status. ","") &amp; IF($E154="","Missing movement type. ","") &amp; IF($I154="","Missing make. ","") &amp; IF($L154="","Missing vehicle class. ","") &amp; IF($M154="","Missing agreed value. ","") &amp; IF($N154="","Missing policy type. ","") &amp; IF($Q154="","Missing garaging state. ","") &amp; IF($R154="","Missing garaging ZIP. ","") &amp; IF($S154="","Missing cat zone. ","") &amp; IF($V154="","Missing valuation basis. ","") &amp; IF($W154="","Missing PD deductible. ","") &amp; IF($X154="","Missing liability limit. ","") &amp; IF($AB154="","Missing technical premium. ","") &amp; IF($AF154="","Missing surplus lines tax %. ",""))="","PASS","FAIL: "&amp;TRIM(IF($A154="","Missing certificate ref. ","") &amp; IF($C154="","Missing effective date. ","") &amp; IF($D154="","Missing binding status. ","") &amp; IF($E154="","Missing movement type. ","") &amp; IF($I154="","Missing make. ","") &amp; IF($L154="","Missing vehicle class. ","") &amp; IF($M154="","Missing agreed value. ","") &amp; IF($N154="","Missing policy type. ","") &amp; IF($Q154="","Missing garaging state. ","") &amp; IF($R154="","Missing garaging ZIP. ","") &amp; IF($S154="","Missing cat zone. ","") &amp; IF($V154="","Missing valuation basis. ","") &amp; IF($W154="","Missing PD deductible. ","") &amp; IF($X154="","Missing liability limit. ","") &amp; IF($AB154="","Missing technical premium. ","") &amp; IF($AF154="","Missing surplus lines tax %. ",""))))</f>
        <v/>
      </c>
      <c r="AY154" s="52" t="str">
        <f aca="false">IF($M154="","",IF(ISNUMBER($M154),IF($M154&gt;=Header!$C$18,"YES — refer","No"),""))</f>
        <v/>
      </c>
      <c r="AZ154" s="52" t="str">
        <f aca="false">IF($AD154="","",IF(ISNUMBER($AD154),IF($AD154&lt;Header!$C$20,"BELOW MIN PREMIUM","OK"),""))</f>
        <v/>
      </c>
      <c r="BA154" s="56"/>
      <c r="BB154" s="56"/>
      <c r="BC154" s="54"/>
      <c r="BE154" s="53" t="str">
        <f aca="false">IF(OR($A154="",$L154="",$H154=""),"",IF(AND(LEFT($L154,2)="06",$H154&gt;1945),"FAIL - pre-war class, year "&amp;$H154,IF(AND(LEFT($L154,2)="07",OR($H154&lt;1946,$H154&gt;1972)),"FAIL - 1946-72 class, year "&amp;$H154,IF(AND(LEFT($L154,2)="08",OR($H154&lt;1973,$H154&gt;1999)),"FAIL - 1973-99 class, year "&amp;$H154,IF(AND(LEFT($L154,2)="09",OR($H154&lt;2000,$H154&gt;2010)),"FAIL - 2000-10 class, year "&amp;$H154,"OK")))))</f>
        <v/>
      </c>
      <c r="BF154" s="53" t="str">
        <f aca="false">IF($AD154="","",IF(ROUND($AO154+$AP154+$AQ154-$AD154,2)=0,"OK","FAIL - out by "&amp;TEXT($AO154+$AP154+$AQ154-$AD154,"$0.00")))</f>
        <v/>
      </c>
    </row>
    <row r="155" customFormat="false" ht="15" hidden="false" customHeight="true" outlineLevel="0" collapsed="false">
      <c r="A155" s="38"/>
      <c r="B155" s="38"/>
      <c r="C155" s="39"/>
      <c r="D155" s="40"/>
      <c r="E155" s="40"/>
      <c r="F155" s="38"/>
      <c r="G155" s="41" t="str">
        <f aca="false">IF($A155="","",IF($C155="","",YEAR($C155)))</f>
        <v/>
      </c>
      <c r="H155" s="42"/>
      <c r="I155" s="38"/>
      <c r="J155" s="38"/>
      <c r="K155" s="38"/>
      <c r="L155" s="40"/>
      <c r="M155" s="43"/>
      <c r="N155" s="40"/>
      <c r="O155" s="38"/>
      <c r="P155" s="38"/>
      <c r="Q155" s="38"/>
      <c r="R155" s="38"/>
      <c r="S155" s="40"/>
      <c r="T155" s="44" t="str">
        <f aca="false">IF($A155="","",IF($S155="","",IFERROR(INDEX(Lists!$N$5:$N$16,MATCH($S155,Lists!$M$5:$M$16,0)),"?")))</f>
        <v/>
      </c>
      <c r="U155" s="38"/>
      <c r="V155" s="40"/>
      <c r="W155" s="38"/>
      <c r="X155" s="40"/>
      <c r="Y155" s="38"/>
      <c r="Z155" s="38"/>
      <c r="AA155" s="40"/>
      <c r="AB155" s="43"/>
      <c r="AC155" s="45"/>
      <c r="AD155" s="46" t="str">
        <f aca="false">IF(ISNUMBER($AB155),$AB155*(1+N($AC155)),"")</f>
        <v/>
      </c>
      <c r="AE155" s="43"/>
      <c r="AF155" s="43"/>
      <c r="AG155" s="45"/>
      <c r="AH155" s="47" t="str">
        <f aca="false">IF(ISNUMBER($AD155),($AD155+$AE155+$AF155)*$AG155,"")</f>
        <v/>
      </c>
      <c r="AI155" s="43"/>
      <c r="AJ155" s="46" t="str">
        <f aca="false">IF(ISNUMBER($AD155),SUM($AD155:$AH155),"")</f>
        <v/>
      </c>
      <c r="AK155" s="48" t="str">
        <f aca="false">IF(AND(ISNUMBER($AB155),ISNUMBER($AD155)),IF($AB155&gt;0,$AD155/$AB155,""),"")</f>
        <v/>
      </c>
      <c r="AL155" s="40"/>
      <c r="AM155" s="49" t="str">
        <f aca="false">IF(ISNUMBER($AD155),Header!$I$3,"")</f>
        <v/>
      </c>
      <c r="AN155" s="47" t="str">
        <f aca="false">IF(ISNUMBER($AD155),$AO155+$AP155,"")</f>
        <v/>
      </c>
      <c r="AO155" s="47" t="str">
        <f aca="false">IF(ISNUMBER($AD155),ROUND($AD155*Header!$K$3,2),"")</f>
        <v/>
      </c>
      <c r="AP155" s="47" t="str">
        <f aca="false">IF(ISNUMBER($AD155),ROUND($AD155*Header!$M$3,2),"")</f>
        <v/>
      </c>
      <c r="AQ155" s="46" t="str">
        <f aca="false">IF(ISNUMBER($AD155),ROUND($AD155,2)-$AO155-$AP155,"")</f>
        <v/>
      </c>
      <c r="AR155" s="47" t="str">
        <f aca="false">IF(ISNUMBER($AD155),IF(Header!$D$34="","?",$AD155*Header!$D$34),"")</f>
        <v/>
      </c>
      <c r="AS155" s="47" t="str">
        <f aca="false">IF(ISNUMBER($AB155),IF(Header!$D$34="","?",$AB155*Header!$D$34),"")</f>
        <v/>
      </c>
      <c r="AT155" s="50" t="str">
        <f aca="false">IF(AND(ISNUMBER($AB155),$M155&gt;0),$AB155/$M155*100,"")</f>
        <v/>
      </c>
      <c r="AU155" s="50" t="str">
        <f aca="false">IF(AND(ISNUMBER($AD155),$M155&gt;0),$AD155/$M155*100,"")</f>
        <v/>
      </c>
      <c r="AV155" s="48" t="str">
        <f aca="false">IF(AND(ISNUMBER($AB155),ISNUMBER($AD155),ABS($AB155)&gt;0),$AD155/$AB155,"")</f>
        <v/>
      </c>
      <c r="AW155" s="47" t="str">
        <f aca="false">IF(ISNUMBER($AD155),MAX(0,(1-0.55-Header!$O$3)*Header!$Q$3*$AQ155),"")</f>
        <v/>
      </c>
      <c r="AX155" s="51" t="str">
        <f aca="false">IF($A155="","",IF(TRIM(IF($A155="","Missing certificate ref. ","") &amp; IF($C155="","Missing effective date. ","") &amp; IF($D155="","Missing binding status. ","") &amp; IF($E155="","Missing movement type. ","") &amp; IF($I155="","Missing make. ","") &amp; IF($L155="","Missing vehicle class. ","") &amp; IF($M155="","Missing agreed value. ","") &amp; IF($N155="","Missing policy type. ","") &amp; IF($Q155="","Missing garaging state. ","") &amp; IF($R155="","Missing garaging ZIP. ","") &amp; IF($S155="","Missing cat zone. ","") &amp; IF($V155="","Missing valuation basis. ","") &amp; IF($W155="","Missing PD deductible. ","") &amp; IF($X155="","Missing liability limit. ","") &amp; IF($AB155="","Missing technical premium. ","") &amp; IF($AF155="","Missing surplus lines tax %. ",""))="","PASS","FAIL: "&amp;TRIM(IF($A155="","Missing certificate ref. ","") &amp; IF($C155="","Missing effective date. ","") &amp; IF($D155="","Missing binding status. ","") &amp; IF($E155="","Missing movement type. ","") &amp; IF($I155="","Missing make. ","") &amp; IF($L155="","Missing vehicle class. ","") &amp; IF($M155="","Missing agreed value. ","") &amp; IF($N155="","Missing policy type. ","") &amp; IF($Q155="","Missing garaging state. ","") &amp; IF($R155="","Missing garaging ZIP. ","") &amp; IF($S155="","Missing cat zone. ","") &amp; IF($V155="","Missing valuation basis. ","") &amp; IF($W155="","Missing PD deductible. ","") &amp; IF($X155="","Missing liability limit. ","") &amp; IF($AB155="","Missing technical premium. ","") &amp; IF($AF155="","Missing surplus lines tax %. ",""))))</f>
        <v/>
      </c>
      <c r="AY155" s="52" t="str">
        <f aca="false">IF($M155="","",IF(ISNUMBER($M155),IF($M155&gt;=Header!$C$18,"YES — refer","No"),""))</f>
        <v/>
      </c>
      <c r="AZ155" s="52" t="str">
        <f aca="false">IF($AD155="","",IF(ISNUMBER($AD155),IF($AD155&lt;Header!$C$20,"BELOW MIN PREMIUM","OK"),""))</f>
        <v/>
      </c>
      <c r="BA155" s="40"/>
      <c r="BB155" s="40"/>
      <c r="BC155" s="38"/>
      <c r="BE155" s="53" t="str">
        <f aca="false">IF(OR($A155="",$L155="",$H155=""),"",IF(AND(LEFT($L155,2)="06",$H155&gt;1945),"FAIL - pre-war class, year "&amp;$H155,IF(AND(LEFT($L155,2)="07",OR($H155&lt;1946,$H155&gt;1972)),"FAIL - 1946-72 class, year "&amp;$H155,IF(AND(LEFT($L155,2)="08",OR($H155&lt;1973,$H155&gt;1999)),"FAIL - 1973-99 class, year "&amp;$H155,IF(AND(LEFT($L155,2)="09",OR($H155&lt;2000,$H155&gt;2010)),"FAIL - 2000-10 class, year "&amp;$H155,"OK")))))</f>
        <v/>
      </c>
      <c r="BF155" s="53" t="str">
        <f aca="false">IF($AD155="","",IF(ROUND($AO155+$AP155+$AQ155-$AD155,2)=0,"OK","FAIL - out by "&amp;TEXT($AO155+$AP155+$AQ155-$AD155,"$0.00")))</f>
        <v/>
      </c>
    </row>
    <row r="156" customFormat="false" ht="15" hidden="false" customHeight="true" outlineLevel="0" collapsed="false">
      <c r="A156" s="54"/>
      <c r="B156" s="54"/>
      <c r="C156" s="55"/>
      <c r="D156" s="56"/>
      <c r="E156" s="56"/>
      <c r="F156" s="54"/>
      <c r="G156" s="41" t="str">
        <f aca="false">IF($A156="","",IF($C156="","",YEAR($C156)))</f>
        <v/>
      </c>
      <c r="H156" s="57"/>
      <c r="I156" s="54"/>
      <c r="J156" s="54"/>
      <c r="K156" s="54"/>
      <c r="L156" s="56"/>
      <c r="M156" s="58"/>
      <c r="N156" s="56"/>
      <c r="O156" s="54"/>
      <c r="P156" s="54"/>
      <c r="Q156" s="54"/>
      <c r="R156" s="54"/>
      <c r="S156" s="56"/>
      <c r="T156" s="44" t="str">
        <f aca="false">IF($A156="","",IF($S156="","",IFERROR(INDEX(Lists!$N$5:$N$16,MATCH($S156,Lists!$M$5:$M$16,0)),"?")))</f>
        <v/>
      </c>
      <c r="U156" s="54"/>
      <c r="V156" s="56"/>
      <c r="W156" s="54"/>
      <c r="X156" s="56"/>
      <c r="Y156" s="54"/>
      <c r="Z156" s="54"/>
      <c r="AA156" s="56"/>
      <c r="AB156" s="58"/>
      <c r="AC156" s="59"/>
      <c r="AD156" s="46" t="str">
        <f aca="false">IF(ISNUMBER($AB156),$AB156*(1+N($AC156)),"")</f>
        <v/>
      </c>
      <c r="AE156" s="58"/>
      <c r="AF156" s="58"/>
      <c r="AG156" s="59"/>
      <c r="AH156" s="47" t="str">
        <f aca="false">IF(ISNUMBER($AD156),($AD156+$AE156+$AF156)*$AG156,"")</f>
        <v/>
      </c>
      <c r="AI156" s="58"/>
      <c r="AJ156" s="46" t="str">
        <f aca="false">IF(ISNUMBER($AD156),SUM($AD156:$AH156),"")</f>
        <v/>
      </c>
      <c r="AK156" s="48" t="str">
        <f aca="false">IF(AND(ISNUMBER($AB156),ISNUMBER($AD156)),IF($AB156&gt;0,$AD156/$AB156,""),"")</f>
        <v/>
      </c>
      <c r="AL156" s="56"/>
      <c r="AM156" s="49" t="str">
        <f aca="false">IF(ISNUMBER($AD156),Header!$I$3,"")</f>
        <v/>
      </c>
      <c r="AN156" s="47" t="str">
        <f aca="false">IF(ISNUMBER($AD156),$AO156+$AP156,"")</f>
        <v/>
      </c>
      <c r="AO156" s="47" t="str">
        <f aca="false">IF(ISNUMBER($AD156),ROUND($AD156*Header!$K$3,2),"")</f>
        <v/>
      </c>
      <c r="AP156" s="47" t="str">
        <f aca="false">IF(ISNUMBER($AD156),ROUND($AD156*Header!$M$3,2),"")</f>
        <v/>
      </c>
      <c r="AQ156" s="46" t="str">
        <f aca="false">IF(ISNUMBER($AD156),ROUND($AD156,2)-$AO156-$AP156,"")</f>
        <v/>
      </c>
      <c r="AR156" s="47" t="str">
        <f aca="false">IF(ISNUMBER($AD156),IF(Header!$D$34="","?",$AD156*Header!$D$34),"")</f>
        <v/>
      </c>
      <c r="AS156" s="47" t="str">
        <f aca="false">IF(ISNUMBER($AB156),IF(Header!$D$34="","?",$AB156*Header!$D$34),"")</f>
        <v/>
      </c>
      <c r="AT156" s="50" t="str">
        <f aca="false">IF(AND(ISNUMBER($AB156),$M156&gt;0),$AB156/$M156*100,"")</f>
        <v/>
      </c>
      <c r="AU156" s="50" t="str">
        <f aca="false">IF(AND(ISNUMBER($AD156),$M156&gt;0),$AD156/$M156*100,"")</f>
        <v/>
      </c>
      <c r="AV156" s="48" t="str">
        <f aca="false">IF(AND(ISNUMBER($AB156),ISNUMBER($AD156),ABS($AB156)&gt;0),$AD156/$AB156,"")</f>
        <v/>
      </c>
      <c r="AW156" s="47" t="str">
        <f aca="false">IF(ISNUMBER($AD156),MAX(0,(1-0.55-Header!$O$3)*Header!$Q$3*$AQ156),"")</f>
        <v/>
      </c>
      <c r="AX156" s="51" t="str">
        <f aca="false">IF($A156="","",IF(TRIM(IF($A156="","Missing certificate ref. ","") &amp; IF($C156="","Missing effective date. ","") &amp; IF($D156="","Missing binding status. ","") &amp; IF($E156="","Missing movement type. ","") &amp; IF($I156="","Missing make. ","") &amp; IF($L156="","Missing vehicle class. ","") &amp; IF($M156="","Missing agreed value. ","") &amp; IF($N156="","Missing policy type. ","") &amp; IF($Q156="","Missing garaging state. ","") &amp; IF($R156="","Missing garaging ZIP. ","") &amp; IF($S156="","Missing cat zone. ","") &amp; IF($V156="","Missing valuation basis. ","") &amp; IF($W156="","Missing PD deductible. ","") &amp; IF($X156="","Missing liability limit. ","") &amp; IF($AB156="","Missing technical premium. ","") &amp; IF($AF156="","Missing surplus lines tax %. ",""))="","PASS","FAIL: "&amp;TRIM(IF($A156="","Missing certificate ref. ","") &amp; IF($C156="","Missing effective date. ","") &amp; IF($D156="","Missing binding status. ","") &amp; IF($E156="","Missing movement type. ","") &amp; IF($I156="","Missing make. ","") &amp; IF($L156="","Missing vehicle class. ","") &amp; IF($M156="","Missing agreed value. ","") &amp; IF($N156="","Missing policy type. ","") &amp; IF($Q156="","Missing garaging state. ","") &amp; IF($R156="","Missing garaging ZIP. ","") &amp; IF($S156="","Missing cat zone. ","") &amp; IF($V156="","Missing valuation basis. ","") &amp; IF($W156="","Missing PD deductible. ","") &amp; IF($X156="","Missing liability limit. ","") &amp; IF($AB156="","Missing technical premium. ","") &amp; IF($AF156="","Missing surplus lines tax %. ",""))))</f>
        <v/>
      </c>
      <c r="AY156" s="52" t="str">
        <f aca="false">IF($M156="","",IF(ISNUMBER($M156),IF($M156&gt;=Header!$C$18,"YES — refer","No"),""))</f>
        <v/>
      </c>
      <c r="AZ156" s="52" t="str">
        <f aca="false">IF($AD156="","",IF(ISNUMBER($AD156),IF($AD156&lt;Header!$C$20,"BELOW MIN PREMIUM","OK"),""))</f>
        <v/>
      </c>
      <c r="BA156" s="56"/>
      <c r="BB156" s="56"/>
      <c r="BC156" s="54"/>
      <c r="BE156" s="53" t="str">
        <f aca="false">IF(OR($A156="",$L156="",$H156=""),"",IF(AND(LEFT($L156,2)="06",$H156&gt;1945),"FAIL - pre-war class, year "&amp;$H156,IF(AND(LEFT($L156,2)="07",OR($H156&lt;1946,$H156&gt;1972)),"FAIL - 1946-72 class, year "&amp;$H156,IF(AND(LEFT($L156,2)="08",OR($H156&lt;1973,$H156&gt;1999)),"FAIL - 1973-99 class, year "&amp;$H156,IF(AND(LEFT($L156,2)="09",OR($H156&lt;2000,$H156&gt;2010)),"FAIL - 2000-10 class, year "&amp;$H156,"OK")))))</f>
        <v/>
      </c>
      <c r="BF156" s="53" t="str">
        <f aca="false">IF($AD156="","",IF(ROUND($AO156+$AP156+$AQ156-$AD156,2)=0,"OK","FAIL - out by "&amp;TEXT($AO156+$AP156+$AQ156-$AD156,"$0.00")))</f>
        <v/>
      </c>
    </row>
    <row r="157" customFormat="false" ht="15" hidden="false" customHeight="true" outlineLevel="0" collapsed="false">
      <c r="A157" s="38"/>
      <c r="B157" s="38"/>
      <c r="C157" s="39"/>
      <c r="D157" s="40"/>
      <c r="E157" s="40"/>
      <c r="F157" s="38"/>
      <c r="G157" s="41" t="str">
        <f aca="false">IF($A157="","",IF($C157="","",YEAR($C157)))</f>
        <v/>
      </c>
      <c r="H157" s="42"/>
      <c r="I157" s="38"/>
      <c r="J157" s="38"/>
      <c r="K157" s="38"/>
      <c r="L157" s="40"/>
      <c r="M157" s="43"/>
      <c r="N157" s="40"/>
      <c r="O157" s="38"/>
      <c r="P157" s="38"/>
      <c r="Q157" s="38"/>
      <c r="R157" s="38"/>
      <c r="S157" s="40"/>
      <c r="T157" s="44" t="str">
        <f aca="false">IF($A157="","",IF($S157="","",IFERROR(INDEX(Lists!$N$5:$N$16,MATCH($S157,Lists!$M$5:$M$16,0)),"?")))</f>
        <v/>
      </c>
      <c r="U157" s="38"/>
      <c r="V157" s="40"/>
      <c r="W157" s="38"/>
      <c r="X157" s="40"/>
      <c r="Y157" s="38"/>
      <c r="Z157" s="38"/>
      <c r="AA157" s="40"/>
      <c r="AB157" s="43"/>
      <c r="AC157" s="45"/>
      <c r="AD157" s="46" t="str">
        <f aca="false">IF(ISNUMBER($AB157),$AB157*(1+N($AC157)),"")</f>
        <v/>
      </c>
      <c r="AE157" s="43"/>
      <c r="AF157" s="43"/>
      <c r="AG157" s="45"/>
      <c r="AH157" s="47" t="str">
        <f aca="false">IF(ISNUMBER($AD157),($AD157+$AE157+$AF157)*$AG157,"")</f>
        <v/>
      </c>
      <c r="AI157" s="43"/>
      <c r="AJ157" s="46" t="str">
        <f aca="false">IF(ISNUMBER($AD157),SUM($AD157:$AH157),"")</f>
        <v/>
      </c>
      <c r="AK157" s="48" t="str">
        <f aca="false">IF(AND(ISNUMBER($AB157),ISNUMBER($AD157)),IF($AB157&gt;0,$AD157/$AB157,""),"")</f>
        <v/>
      </c>
      <c r="AL157" s="40"/>
      <c r="AM157" s="49" t="str">
        <f aca="false">IF(ISNUMBER($AD157),Header!$I$3,"")</f>
        <v/>
      </c>
      <c r="AN157" s="47" t="str">
        <f aca="false">IF(ISNUMBER($AD157),$AO157+$AP157,"")</f>
        <v/>
      </c>
      <c r="AO157" s="47" t="str">
        <f aca="false">IF(ISNUMBER($AD157),ROUND($AD157*Header!$K$3,2),"")</f>
        <v/>
      </c>
      <c r="AP157" s="47" t="str">
        <f aca="false">IF(ISNUMBER($AD157),ROUND($AD157*Header!$M$3,2),"")</f>
        <v/>
      </c>
      <c r="AQ157" s="46" t="str">
        <f aca="false">IF(ISNUMBER($AD157),ROUND($AD157,2)-$AO157-$AP157,"")</f>
        <v/>
      </c>
      <c r="AR157" s="47" t="str">
        <f aca="false">IF(ISNUMBER($AD157),IF(Header!$D$34="","?",$AD157*Header!$D$34),"")</f>
        <v/>
      </c>
      <c r="AS157" s="47" t="str">
        <f aca="false">IF(ISNUMBER($AB157),IF(Header!$D$34="","?",$AB157*Header!$D$34),"")</f>
        <v/>
      </c>
      <c r="AT157" s="50" t="str">
        <f aca="false">IF(AND(ISNUMBER($AB157),$M157&gt;0),$AB157/$M157*100,"")</f>
        <v/>
      </c>
      <c r="AU157" s="50" t="str">
        <f aca="false">IF(AND(ISNUMBER($AD157),$M157&gt;0),$AD157/$M157*100,"")</f>
        <v/>
      </c>
      <c r="AV157" s="48" t="str">
        <f aca="false">IF(AND(ISNUMBER($AB157),ISNUMBER($AD157),ABS($AB157)&gt;0),$AD157/$AB157,"")</f>
        <v/>
      </c>
      <c r="AW157" s="47" t="str">
        <f aca="false">IF(ISNUMBER($AD157),MAX(0,(1-0.55-Header!$O$3)*Header!$Q$3*$AQ157),"")</f>
        <v/>
      </c>
      <c r="AX157" s="51" t="str">
        <f aca="false">IF($A157="","",IF(TRIM(IF($A157="","Missing certificate ref. ","") &amp; IF($C157="","Missing effective date. ","") &amp; IF($D157="","Missing binding status. ","") &amp; IF($E157="","Missing movement type. ","") &amp; IF($I157="","Missing make. ","") &amp; IF($L157="","Missing vehicle class. ","") &amp; IF($M157="","Missing agreed value. ","") &amp; IF($N157="","Missing policy type. ","") &amp; IF($Q157="","Missing garaging state. ","") &amp; IF($R157="","Missing garaging ZIP. ","") &amp; IF($S157="","Missing cat zone. ","") &amp; IF($V157="","Missing valuation basis. ","") &amp; IF($W157="","Missing PD deductible. ","") &amp; IF($X157="","Missing liability limit. ","") &amp; IF($AB157="","Missing technical premium. ","") &amp; IF($AF157="","Missing surplus lines tax %. ",""))="","PASS","FAIL: "&amp;TRIM(IF($A157="","Missing certificate ref. ","") &amp; IF($C157="","Missing effective date. ","") &amp; IF($D157="","Missing binding status. ","") &amp; IF($E157="","Missing movement type. ","") &amp; IF($I157="","Missing make. ","") &amp; IF($L157="","Missing vehicle class. ","") &amp; IF($M157="","Missing agreed value. ","") &amp; IF($N157="","Missing policy type. ","") &amp; IF($Q157="","Missing garaging state. ","") &amp; IF($R157="","Missing garaging ZIP. ","") &amp; IF($S157="","Missing cat zone. ","") &amp; IF($V157="","Missing valuation basis. ","") &amp; IF($W157="","Missing PD deductible. ","") &amp; IF($X157="","Missing liability limit. ","") &amp; IF($AB157="","Missing technical premium. ","") &amp; IF($AF157="","Missing surplus lines tax %. ",""))))</f>
        <v/>
      </c>
      <c r="AY157" s="52" t="str">
        <f aca="false">IF($M157="","",IF(ISNUMBER($M157),IF($M157&gt;=Header!$C$18,"YES — refer","No"),""))</f>
        <v/>
      </c>
      <c r="AZ157" s="52" t="str">
        <f aca="false">IF($AD157="","",IF(ISNUMBER($AD157),IF($AD157&lt;Header!$C$20,"BELOW MIN PREMIUM","OK"),""))</f>
        <v/>
      </c>
      <c r="BA157" s="40"/>
      <c r="BB157" s="40"/>
      <c r="BC157" s="38"/>
      <c r="BE157" s="53" t="str">
        <f aca="false">IF(OR($A157="",$L157="",$H157=""),"",IF(AND(LEFT($L157,2)="06",$H157&gt;1945),"FAIL - pre-war class, year "&amp;$H157,IF(AND(LEFT($L157,2)="07",OR($H157&lt;1946,$H157&gt;1972)),"FAIL - 1946-72 class, year "&amp;$H157,IF(AND(LEFT($L157,2)="08",OR($H157&lt;1973,$H157&gt;1999)),"FAIL - 1973-99 class, year "&amp;$H157,IF(AND(LEFT($L157,2)="09",OR($H157&lt;2000,$H157&gt;2010)),"FAIL - 2000-10 class, year "&amp;$H157,"OK")))))</f>
        <v/>
      </c>
      <c r="BF157" s="53" t="str">
        <f aca="false">IF($AD157="","",IF(ROUND($AO157+$AP157+$AQ157-$AD157,2)=0,"OK","FAIL - out by "&amp;TEXT($AO157+$AP157+$AQ157-$AD157,"$0.00")))</f>
        <v/>
      </c>
    </row>
    <row r="158" customFormat="false" ht="15" hidden="false" customHeight="true" outlineLevel="0" collapsed="false">
      <c r="A158" s="54"/>
      <c r="B158" s="54"/>
      <c r="C158" s="55"/>
      <c r="D158" s="56"/>
      <c r="E158" s="56"/>
      <c r="F158" s="54"/>
      <c r="G158" s="41" t="str">
        <f aca="false">IF($A158="","",IF($C158="","",YEAR($C158)))</f>
        <v/>
      </c>
      <c r="H158" s="57"/>
      <c r="I158" s="54"/>
      <c r="J158" s="54"/>
      <c r="K158" s="54"/>
      <c r="L158" s="56"/>
      <c r="M158" s="58"/>
      <c r="N158" s="56"/>
      <c r="O158" s="54"/>
      <c r="P158" s="54"/>
      <c r="Q158" s="54"/>
      <c r="R158" s="54"/>
      <c r="S158" s="56"/>
      <c r="T158" s="44" t="str">
        <f aca="false">IF($A158="","",IF($S158="","",IFERROR(INDEX(Lists!$N$5:$N$16,MATCH($S158,Lists!$M$5:$M$16,0)),"?")))</f>
        <v/>
      </c>
      <c r="U158" s="54"/>
      <c r="V158" s="56"/>
      <c r="W158" s="54"/>
      <c r="X158" s="56"/>
      <c r="Y158" s="54"/>
      <c r="Z158" s="54"/>
      <c r="AA158" s="56"/>
      <c r="AB158" s="58"/>
      <c r="AC158" s="59"/>
      <c r="AD158" s="46" t="str">
        <f aca="false">IF(ISNUMBER($AB158),$AB158*(1+N($AC158)),"")</f>
        <v/>
      </c>
      <c r="AE158" s="58"/>
      <c r="AF158" s="58"/>
      <c r="AG158" s="59"/>
      <c r="AH158" s="47" t="str">
        <f aca="false">IF(ISNUMBER($AD158),($AD158+$AE158+$AF158)*$AG158,"")</f>
        <v/>
      </c>
      <c r="AI158" s="58"/>
      <c r="AJ158" s="46" t="str">
        <f aca="false">IF(ISNUMBER($AD158),SUM($AD158:$AH158),"")</f>
        <v/>
      </c>
      <c r="AK158" s="48" t="str">
        <f aca="false">IF(AND(ISNUMBER($AB158),ISNUMBER($AD158)),IF($AB158&gt;0,$AD158/$AB158,""),"")</f>
        <v/>
      </c>
      <c r="AL158" s="56"/>
      <c r="AM158" s="49" t="str">
        <f aca="false">IF(ISNUMBER($AD158),Header!$I$3,"")</f>
        <v/>
      </c>
      <c r="AN158" s="47" t="str">
        <f aca="false">IF(ISNUMBER($AD158),$AO158+$AP158,"")</f>
        <v/>
      </c>
      <c r="AO158" s="47" t="str">
        <f aca="false">IF(ISNUMBER($AD158),ROUND($AD158*Header!$K$3,2),"")</f>
        <v/>
      </c>
      <c r="AP158" s="47" t="str">
        <f aca="false">IF(ISNUMBER($AD158),ROUND($AD158*Header!$M$3,2),"")</f>
        <v/>
      </c>
      <c r="AQ158" s="46" t="str">
        <f aca="false">IF(ISNUMBER($AD158),ROUND($AD158,2)-$AO158-$AP158,"")</f>
        <v/>
      </c>
      <c r="AR158" s="47" t="str">
        <f aca="false">IF(ISNUMBER($AD158),IF(Header!$D$34="","?",$AD158*Header!$D$34),"")</f>
        <v/>
      </c>
      <c r="AS158" s="47" t="str">
        <f aca="false">IF(ISNUMBER($AB158),IF(Header!$D$34="","?",$AB158*Header!$D$34),"")</f>
        <v/>
      </c>
      <c r="AT158" s="50" t="str">
        <f aca="false">IF(AND(ISNUMBER($AB158),$M158&gt;0),$AB158/$M158*100,"")</f>
        <v/>
      </c>
      <c r="AU158" s="50" t="str">
        <f aca="false">IF(AND(ISNUMBER($AD158),$M158&gt;0),$AD158/$M158*100,"")</f>
        <v/>
      </c>
      <c r="AV158" s="48" t="str">
        <f aca="false">IF(AND(ISNUMBER($AB158),ISNUMBER($AD158),ABS($AB158)&gt;0),$AD158/$AB158,"")</f>
        <v/>
      </c>
      <c r="AW158" s="47" t="str">
        <f aca="false">IF(ISNUMBER($AD158),MAX(0,(1-0.55-Header!$O$3)*Header!$Q$3*$AQ158),"")</f>
        <v/>
      </c>
      <c r="AX158" s="51" t="str">
        <f aca="false">IF($A158="","",IF(TRIM(IF($A158="","Missing certificate ref. ","") &amp; IF($C158="","Missing effective date. ","") &amp; IF($D158="","Missing binding status. ","") &amp; IF($E158="","Missing movement type. ","") &amp; IF($I158="","Missing make. ","") &amp; IF($L158="","Missing vehicle class. ","") &amp; IF($M158="","Missing agreed value. ","") &amp; IF($N158="","Missing policy type. ","") &amp; IF($Q158="","Missing garaging state. ","") &amp; IF($R158="","Missing garaging ZIP. ","") &amp; IF($S158="","Missing cat zone. ","") &amp; IF($V158="","Missing valuation basis. ","") &amp; IF($W158="","Missing PD deductible. ","") &amp; IF($X158="","Missing liability limit. ","") &amp; IF($AB158="","Missing technical premium. ","") &amp; IF($AF158="","Missing surplus lines tax %. ",""))="","PASS","FAIL: "&amp;TRIM(IF($A158="","Missing certificate ref. ","") &amp; IF($C158="","Missing effective date. ","") &amp; IF($D158="","Missing binding status. ","") &amp; IF($E158="","Missing movement type. ","") &amp; IF($I158="","Missing make. ","") &amp; IF($L158="","Missing vehicle class. ","") &amp; IF($M158="","Missing agreed value. ","") &amp; IF($N158="","Missing policy type. ","") &amp; IF($Q158="","Missing garaging state. ","") &amp; IF($R158="","Missing garaging ZIP. ","") &amp; IF($S158="","Missing cat zone. ","") &amp; IF($V158="","Missing valuation basis. ","") &amp; IF($W158="","Missing PD deductible. ","") &amp; IF($X158="","Missing liability limit. ","") &amp; IF($AB158="","Missing technical premium. ","") &amp; IF($AF158="","Missing surplus lines tax %. ",""))))</f>
        <v/>
      </c>
      <c r="AY158" s="52" t="str">
        <f aca="false">IF($M158="","",IF(ISNUMBER($M158),IF($M158&gt;=Header!$C$18,"YES — refer","No"),""))</f>
        <v/>
      </c>
      <c r="AZ158" s="52" t="str">
        <f aca="false">IF($AD158="","",IF(ISNUMBER($AD158),IF($AD158&lt;Header!$C$20,"BELOW MIN PREMIUM","OK"),""))</f>
        <v/>
      </c>
      <c r="BA158" s="56"/>
      <c r="BB158" s="56"/>
      <c r="BC158" s="54"/>
      <c r="BE158" s="53" t="str">
        <f aca="false">IF(OR($A158="",$L158="",$H158=""),"",IF(AND(LEFT($L158,2)="06",$H158&gt;1945),"FAIL - pre-war class, year "&amp;$H158,IF(AND(LEFT($L158,2)="07",OR($H158&lt;1946,$H158&gt;1972)),"FAIL - 1946-72 class, year "&amp;$H158,IF(AND(LEFT($L158,2)="08",OR($H158&lt;1973,$H158&gt;1999)),"FAIL - 1973-99 class, year "&amp;$H158,IF(AND(LEFT($L158,2)="09",OR($H158&lt;2000,$H158&gt;2010)),"FAIL - 2000-10 class, year "&amp;$H158,"OK")))))</f>
        <v/>
      </c>
      <c r="BF158" s="53" t="str">
        <f aca="false">IF($AD158="","",IF(ROUND($AO158+$AP158+$AQ158-$AD158,2)=0,"OK","FAIL - out by "&amp;TEXT($AO158+$AP158+$AQ158-$AD158,"$0.00")))</f>
        <v/>
      </c>
    </row>
    <row r="159" customFormat="false" ht="15" hidden="false" customHeight="true" outlineLevel="0" collapsed="false">
      <c r="A159" s="38"/>
      <c r="B159" s="38"/>
      <c r="C159" s="39"/>
      <c r="D159" s="40"/>
      <c r="E159" s="40"/>
      <c r="F159" s="38"/>
      <c r="G159" s="41" t="str">
        <f aca="false">IF($A159="","",IF($C159="","",YEAR($C159)))</f>
        <v/>
      </c>
      <c r="H159" s="42"/>
      <c r="I159" s="38"/>
      <c r="J159" s="38"/>
      <c r="K159" s="38"/>
      <c r="L159" s="40"/>
      <c r="M159" s="43"/>
      <c r="N159" s="40"/>
      <c r="O159" s="38"/>
      <c r="P159" s="38"/>
      <c r="Q159" s="38"/>
      <c r="R159" s="38"/>
      <c r="S159" s="40"/>
      <c r="T159" s="44" t="str">
        <f aca="false">IF($A159="","",IF($S159="","",IFERROR(INDEX(Lists!$N$5:$N$16,MATCH($S159,Lists!$M$5:$M$16,0)),"?")))</f>
        <v/>
      </c>
      <c r="U159" s="38"/>
      <c r="V159" s="40"/>
      <c r="W159" s="38"/>
      <c r="X159" s="40"/>
      <c r="Y159" s="38"/>
      <c r="Z159" s="38"/>
      <c r="AA159" s="40"/>
      <c r="AB159" s="43"/>
      <c r="AC159" s="45"/>
      <c r="AD159" s="46" t="str">
        <f aca="false">IF(ISNUMBER($AB159),$AB159*(1+N($AC159)),"")</f>
        <v/>
      </c>
      <c r="AE159" s="43"/>
      <c r="AF159" s="43"/>
      <c r="AG159" s="45"/>
      <c r="AH159" s="47" t="str">
        <f aca="false">IF(ISNUMBER($AD159),($AD159+$AE159+$AF159)*$AG159,"")</f>
        <v/>
      </c>
      <c r="AI159" s="43"/>
      <c r="AJ159" s="46" t="str">
        <f aca="false">IF(ISNUMBER($AD159),SUM($AD159:$AH159),"")</f>
        <v/>
      </c>
      <c r="AK159" s="48" t="str">
        <f aca="false">IF(AND(ISNUMBER($AB159),ISNUMBER($AD159)),IF($AB159&gt;0,$AD159/$AB159,""),"")</f>
        <v/>
      </c>
      <c r="AL159" s="40"/>
      <c r="AM159" s="49" t="str">
        <f aca="false">IF(ISNUMBER($AD159),Header!$I$3,"")</f>
        <v/>
      </c>
      <c r="AN159" s="47" t="str">
        <f aca="false">IF(ISNUMBER($AD159),$AO159+$AP159,"")</f>
        <v/>
      </c>
      <c r="AO159" s="47" t="str">
        <f aca="false">IF(ISNUMBER($AD159),ROUND($AD159*Header!$K$3,2),"")</f>
        <v/>
      </c>
      <c r="AP159" s="47" t="str">
        <f aca="false">IF(ISNUMBER($AD159),ROUND($AD159*Header!$M$3,2),"")</f>
        <v/>
      </c>
      <c r="AQ159" s="46" t="str">
        <f aca="false">IF(ISNUMBER($AD159),ROUND($AD159,2)-$AO159-$AP159,"")</f>
        <v/>
      </c>
      <c r="AR159" s="47" t="str">
        <f aca="false">IF(ISNUMBER($AD159),IF(Header!$D$34="","?",$AD159*Header!$D$34),"")</f>
        <v/>
      </c>
      <c r="AS159" s="47" t="str">
        <f aca="false">IF(ISNUMBER($AB159),IF(Header!$D$34="","?",$AB159*Header!$D$34),"")</f>
        <v/>
      </c>
      <c r="AT159" s="50" t="str">
        <f aca="false">IF(AND(ISNUMBER($AB159),$M159&gt;0),$AB159/$M159*100,"")</f>
        <v/>
      </c>
      <c r="AU159" s="50" t="str">
        <f aca="false">IF(AND(ISNUMBER($AD159),$M159&gt;0),$AD159/$M159*100,"")</f>
        <v/>
      </c>
      <c r="AV159" s="48" t="str">
        <f aca="false">IF(AND(ISNUMBER($AB159),ISNUMBER($AD159),ABS($AB159)&gt;0),$AD159/$AB159,"")</f>
        <v/>
      </c>
      <c r="AW159" s="47" t="str">
        <f aca="false">IF(ISNUMBER($AD159),MAX(0,(1-0.55-Header!$O$3)*Header!$Q$3*$AQ159),"")</f>
        <v/>
      </c>
      <c r="AX159" s="51" t="str">
        <f aca="false">IF($A159="","",IF(TRIM(IF($A159="","Missing certificate ref. ","") &amp; IF($C159="","Missing effective date. ","") &amp; IF($D159="","Missing binding status. ","") &amp; IF($E159="","Missing movement type. ","") &amp; IF($I159="","Missing make. ","") &amp; IF($L159="","Missing vehicle class. ","") &amp; IF($M159="","Missing agreed value. ","") &amp; IF($N159="","Missing policy type. ","") &amp; IF($Q159="","Missing garaging state. ","") &amp; IF($R159="","Missing garaging ZIP. ","") &amp; IF($S159="","Missing cat zone. ","") &amp; IF($V159="","Missing valuation basis. ","") &amp; IF($W159="","Missing PD deductible. ","") &amp; IF($X159="","Missing liability limit. ","") &amp; IF($AB159="","Missing technical premium. ","") &amp; IF($AF159="","Missing surplus lines tax %. ",""))="","PASS","FAIL: "&amp;TRIM(IF($A159="","Missing certificate ref. ","") &amp; IF($C159="","Missing effective date. ","") &amp; IF($D159="","Missing binding status. ","") &amp; IF($E159="","Missing movement type. ","") &amp; IF($I159="","Missing make. ","") &amp; IF($L159="","Missing vehicle class. ","") &amp; IF($M159="","Missing agreed value. ","") &amp; IF($N159="","Missing policy type. ","") &amp; IF($Q159="","Missing garaging state. ","") &amp; IF($R159="","Missing garaging ZIP. ","") &amp; IF($S159="","Missing cat zone. ","") &amp; IF($V159="","Missing valuation basis. ","") &amp; IF($W159="","Missing PD deductible. ","") &amp; IF($X159="","Missing liability limit. ","") &amp; IF($AB159="","Missing technical premium. ","") &amp; IF($AF159="","Missing surplus lines tax %. ",""))))</f>
        <v/>
      </c>
      <c r="AY159" s="52" t="str">
        <f aca="false">IF($M159="","",IF(ISNUMBER($M159),IF($M159&gt;=Header!$C$18,"YES — refer","No"),""))</f>
        <v/>
      </c>
      <c r="AZ159" s="52" t="str">
        <f aca="false">IF($AD159="","",IF(ISNUMBER($AD159),IF($AD159&lt;Header!$C$20,"BELOW MIN PREMIUM","OK"),""))</f>
        <v/>
      </c>
      <c r="BA159" s="40"/>
      <c r="BB159" s="40"/>
      <c r="BC159" s="38"/>
      <c r="BE159" s="53" t="str">
        <f aca="false">IF(OR($A159="",$L159="",$H159=""),"",IF(AND(LEFT($L159,2)="06",$H159&gt;1945),"FAIL - pre-war class, year "&amp;$H159,IF(AND(LEFT($L159,2)="07",OR($H159&lt;1946,$H159&gt;1972)),"FAIL - 1946-72 class, year "&amp;$H159,IF(AND(LEFT($L159,2)="08",OR($H159&lt;1973,$H159&gt;1999)),"FAIL - 1973-99 class, year "&amp;$H159,IF(AND(LEFT($L159,2)="09",OR($H159&lt;2000,$H159&gt;2010)),"FAIL - 2000-10 class, year "&amp;$H159,"OK")))))</f>
        <v/>
      </c>
      <c r="BF159" s="53" t="str">
        <f aca="false">IF($AD159="","",IF(ROUND($AO159+$AP159+$AQ159-$AD159,2)=0,"OK","FAIL - out by "&amp;TEXT($AO159+$AP159+$AQ159-$AD159,"$0.00")))</f>
        <v/>
      </c>
    </row>
    <row r="160" customFormat="false" ht="15" hidden="false" customHeight="true" outlineLevel="0" collapsed="false">
      <c r="A160" s="54"/>
      <c r="B160" s="54"/>
      <c r="C160" s="55"/>
      <c r="D160" s="56"/>
      <c r="E160" s="56"/>
      <c r="F160" s="54"/>
      <c r="G160" s="41" t="str">
        <f aca="false">IF($A160="","",IF($C160="","",YEAR($C160)))</f>
        <v/>
      </c>
      <c r="H160" s="57"/>
      <c r="I160" s="54"/>
      <c r="J160" s="54"/>
      <c r="K160" s="54"/>
      <c r="L160" s="56"/>
      <c r="M160" s="58"/>
      <c r="N160" s="56"/>
      <c r="O160" s="54"/>
      <c r="P160" s="54"/>
      <c r="Q160" s="54"/>
      <c r="R160" s="54"/>
      <c r="S160" s="56"/>
      <c r="T160" s="44" t="str">
        <f aca="false">IF($A160="","",IF($S160="","",IFERROR(INDEX(Lists!$N$5:$N$16,MATCH($S160,Lists!$M$5:$M$16,0)),"?")))</f>
        <v/>
      </c>
      <c r="U160" s="54"/>
      <c r="V160" s="56"/>
      <c r="W160" s="54"/>
      <c r="X160" s="56"/>
      <c r="Y160" s="54"/>
      <c r="Z160" s="54"/>
      <c r="AA160" s="56"/>
      <c r="AB160" s="58"/>
      <c r="AC160" s="59"/>
      <c r="AD160" s="46" t="str">
        <f aca="false">IF(ISNUMBER($AB160),$AB160*(1+N($AC160)),"")</f>
        <v/>
      </c>
      <c r="AE160" s="58"/>
      <c r="AF160" s="58"/>
      <c r="AG160" s="59"/>
      <c r="AH160" s="47" t="str">
        <f aca="false">IF(ISNUMBER($AD160),($AD160+$AE160+$AF160)*$AG160,"")</f>
        <v/>
      </c>
      <c r="AI160" s="58"/>
      <c r="AJ160" s="46" t="str">
        <f aca="false">IF(ISNUMBER($AD160),SUM($AD160:$AH160),"")</f>
        <v/>
      </c>
      <c r="AK160" s="48" t="str">
        <f aca="false">IF(AND(ISNUMBER($AB160),ISNUMBER($AD160)),IF($AB160&gt;0,$AD160/$AB160,""),"")</f>
        <v/>
      </c>
      <c r="AL160" s="56"/>
      <c r="AM160" s="49" t="str">
        <f aca="false">IF(ISNUMBER($AD160),Header!$I$3,"")</f>
        <v/>
      </c>
      <c r="AN160" s="47" t="str">
        <f aca="false">IF(ISNUMBER($AD160),$AO160+$AP160,"")</f>
        <v/>
      </c>
      <c r="AO160" s="47" t="str">
        <f aca="false">IF(ISNUMBER($AD160),ROUND($AD160*Header!$K$3,2),"")</f>
        <v/>
      </c>
      <c r="AP160" s="47" t="str">
        <f aca="false">IF(ISNUMBER($AD160),ROUND($AD160*Header!$M$3,2),"")</f>
        <v/>
      </c>
      <c r="AQ160" s="46" t="str">
        <f aca="false">IF(ISNUMBER($AD160),ROUND($AD160,2)-$AO160-$AP160,"")</f>
        <v/>
      </c>
      <c r="AR160" s="47" t="str">
        <f aca="false">IF(ISNUMBER($AD160),IF(Header!$D$34="","?",$AD160*Header!$D$34),"")</f>
        <v/>
      </c>
      <c r="AS160" s="47" t="str">
        <f aca="false">IF(ISNUMBER($AB160),IF(Header!$D$34="","?",$AB160*Header!$D$34),"")</f>
        <v/>
      </c>
      <c r="AT160" s="50" t="str">
        <f aca="false">IF(AND(ISNUMBER($AB160),$M160&gt;0),$AB160/$M160*100,"")</f>
        <v/>
      </c>
      <c r="AU160" s="50" t="str">
        <f aca="false">IF(AND(ISNUMBER($AD160),$M160&gt;0),$AD160/$M160*100,"")</f>
        <v/>
      </c>
      <c r="AV160" s="48" t="str">
        <f aca="false">IF(AND(ISNUMBER($AB160),ISNUMBER($AD160),ABS($AB160)&gt;0),$AD160/$AB160,"")</f>
        <v/>
      </c>
      <c r="AW160" s="47" t="str">
        <f aca="false">IF(ISNUMBER($AD160),MAX(0,(1-0.55-Header!$O$3)*Header!$Q$3*$AQ160),"")</f>
        <v/>
      </c>
      <c r="AX160" s="51" t="str">
        <f aca="false">IF($A160="","",IF(TRIM(IF($A160="","Missing certificate ref. ","") &amp; IF($C160="","Missing effective date. ","") &amp; IF($D160="","Missing binding status. ","") &amp; IF($E160="","Missing movement type. ","") &amp; IF($I160="","Missing make. ","") &amp; IF($L160="","Missing vehicle class. ","") &amp; IF($M160="","Missing agreed value. ","") &amp; IF($N160="","Missing policy type. ","") &amp; IF($Q160="","Missing garaging state. ","") &amp; IF($R160="","Missing garaging ZIP. ","") &amp; IF($S160="","Missing cat zone. ","") &amp; IF($V160="","Missing valuation basis. ","") &amp; IF($W160="","Missing PD deductible. ","") &amp; IF($X160="","Missing liability limit. ","") &amp; IF($AB160="","Missing technical premium. ","") &amp; IF($AF160="","Missing surplus lines tax %. ",""))="","PASS","FAIL: "&amp;TRIM(IF($A160="","Missing certificate ref. ","") &amp; IF($C160="","Missing effective date. ","") &amp; IF($D160="","Missing binding status. ","") &amp; IF($E160="","Missing movement type. ","") &amp; IF($I160="","Missing make. ","") &amp; IF($L160="","Missing vehicle class. ","") &amp; IF($M160="","Missing agreed value. ","") &amp; IF($N160="","Missing policy type. ","") &amp; IF($Q160="","Missing garaging state. ","") &amp; IF($R160="","Missing garaging ZIP. ","") &amp; IF($S160="","Missing cat zone. ","") &amp; IF($V160="","Missing valuation basis. ","") &amp; IF($W160="","Missing PD deductible. ","") &amp; IF($X160="","Missing liability limit. ","") &amp; IF($AB160="","Missing technical premium. ","") &amp; IF($AF160="","Missing surplus lines tax %. ",""))))</f>
        <v/>
      </c>
      <c r="AY160" s="52" t="str">
        <f aca="false">IF($M160="","",IF(ISNUMBER($M160),IF($M160&gt;=Header!$C$18,"YES — refer","No"),""))</f>
        <v/>
      </c>
      <c r="AZ160" s="52" t="str">
        <f aca="false">IF($AD160="","",IF(ISNUMBER($AD160),IF($AD160&lt;Header!$C$20,"BELOW MIN PREMIUM","OK"),""))</f>
        <v/>
      </c>
      <c r="BA160" s="56"/>
      <c r="BB160" s="56"/>
      <c r="BC160" s="54"/>
      <c r="BE160" s="53" t="str">
        <f aca="false">IF(OR($A160="",$L160="",$H160=""),"",IF(AND(LEFT($L160,2)="06",$H160&gt;1945),"FAIL - pre-war class, year "&amp;$H160,IF(AND(LEFT($L160,2)="07",OR($H160&lt;1946,$H160&gt;1972)),"FAIL - 1946-72 class, year "&amp;$H160,IF(AND(LEFT($L160,2)="08",OR($H160&lt;1973,$H160&gt;1999)),"FAIL - 1973-99 class, year "&amp;$H160,IF(AND(LEFT($L160,2)="09",OR($H160&lt;2000,$H160&gt;2010)),"FAIL - 2000-10 class, year "&amp;$H160,"OK")))))</f>
        <v/>
      </c>
      <c r="BF160" s="53" t="str">
        <f aca="false">IF($AD160="","",IF(ROUND($AO160+$AP160+$AQ160-$AD160,2)=0,"OK","FAIL - out by "&amp;TEXT($AO160+$AP160+$AQ160-$AD160,"$0.00")))</f>
        <v/>
      </c>
    </row>
    <row r="161" customFormat="false" ht="15" hidden="false" customHeight="true" outlineLevel="0" collapsed="false">
      <c r="A161" s="38"/>
      <c r="B161" s="38"/>
      <c r="C161" s="39"/>
      <c r="D161" s="40"/>
      <c r="E161" s="40"/>
      <c r="F161" s="38"/>
      <c r="G161" s="41" t="str">
        <f aca="false">IF($A161="","",IF($C161="","",YEAR($C161)))</f>
        <v/>
      </c>
      <c r="H161" s="42"/>
      <c r="I161" s="38"/>
      <c r="J161" s="38"/>
      <c r="K161" s="38"/>
      <c r="L161" s="40"/>
      <c r="M161" s="43"/>
      <c r="N161" s="40"/>
      <c r="O161" s="38"/>
      <c r="P161" s="38"/>
      <c r="Q161" s="38"/>
      <c r="R161" s="38"/>
      <c r="S161" s="40"/>
      <c r="T161" s="44" t="str">
        <f aca="false">IF($A161="","",IF($S161="","",IFERROR(INDEX(Lists!$N$5:$N$16,MATCH($S161,Lists!$M$5:$M$16,0)),"?")))</f>
        <v/>
      </c>
      <c r="U161" s="38"/>
      <c r="V161" s="40"/>
      <c r="W161" s="38"/>
      <c r="X161" s="40"/>
      <c r="Y161" s="38"/>
      <c r="Z161" s="38"/>
      <c r="AA161" s="40"/>
      <c r="AB161" s="43"/>
      <c r="AC161" s="45"/>
      <c r="AD161" s="46" t="str">
        <f aca="false">IF(ISNUMBER($AB161),$AB161*(1+N($AC161)),"")</f>
        <v/>
      </c>
      <c r="AE161" s="43"/>
      <c r="AF161" s="43"/>
      <c r="AG161" s="45"/>
      <c r="AH161" s="47" t="str">
        <f aca="false">IF(ISNUMBER($AD161),($AD161+$AE161+$AF161)*$AG161,"")</f>
        <v/>
      </c>
      <c r="AI161" s="43"/>
      <c r="AJ161" s="46" t="str">
        <f aca="false">IF(ISNUMBER($AD161),SUM($AD161:$AH161),"")</f>
        <v/>
      </c>
      <c r="AK161" s="48" t="str">
        <f aca="false">IF(AND(ISNUMBER($AB161),ISNUMBER($AD161)),IF($AB161&gt;0,$AD161/$AB161,""),"")</f>
        <v/>
      </c>
      <c r="AL161" s="40"/>
      <c r="AM161" s="49" t="str">
        <f aca="false">IF(ISNUMBER($AD161),Header!$I$3,"")</f>
        <v/>
      </c>
      <c r="AN161" s="47" t="str">
        <f aca="false">IF(ISNUMBER($AD161),$AO161+$AP161,"")</f>
        <v/>
      </c>
      <c r="AO161" s="47" t="str">
        <f aca="false">IF(ISNUMBER($AD161),ROUND($AD161*Header!$K$3,2),"")</f>
        <v/>
      </c>
      <c r="AP161" s="47" t="str">
        <f aca="false">IF(ISNUMBER($AD161),ROUND($AD161*Header!$M$3,2),"")</f>
        <v/>
      </c>
      <c r="AQ161" s="46" t="str">
        <f aca="false">IF(ISNUMBER($AD161),ROUND($AD161,2)-$AO161-$AP161,"")</f>
        <v/>
      </c>
      <c r="AR161" s="47" t="str">
        <f aca="false">IF(ISNUMBER($AD161),IF(Header!$D$34="","?",$AD161*Header!$D$34),"")</f>
        <v/>
      </c>
      <c r="AS161" s="47" t="str">
        <f aca="false">IF(ISNUMBER($AB161),IF(Header!$D$34="","?",$AB161*Header!$D$34),"")</f>
        <v/>
      </c>
      <c r="AT161" s="50" t="str">
        <f aca="false">IF(AND(ISNUMBER($AB161),$M161&gt;0),$AB161/$M161*100,"")</f>
        <v/>
      </c>
      <c r="AU161" s="50" t="str">
        <f aca="false">IF(AND(ISNUMBER($AD161),$M161&gt;0),$AD161/$M161*100,"")</f>
        <v/>
      </c>
      <c r="AV161" s="48" t="str">
        <f aca="false">IF(AND(ISNUMBER($AB161),ISNUMBER($AD161),ABS($AB161)&gt;0),$AD161/$AB161,"")</f>
        <v/>
      </c>
      <c r="AW161" s="47" t="str">
        <f aca="false">IF(ISNUMBER($AD161),MAX(0,(1-0.55-Header!$O$3)*Header!$Q$3*$AQ161),"")</f>
        <v/>
      </c>
      <c r="AX161" s="51" t="str">
        <f aca="false">IF($A161="","",IF(TRIM(IF($A161="","Missing certificate ref. ","") &amp; IF($C161="","Missing effective date. ","") &amp; IF($D161="","Missing binding status. ","") &amp; IF($E161="","Missing movement type. ","") &amp; IF($I161="","Missing make. ","") &amp; IF($L161="","Missing vehicle class. ","") &amp; IF($M161="","Missing agreed value. ","") &amp; IF($N161="","Missing policy type. ","") &amp; IF($Q161="","Missing garaging state. ","") &amp; IF($R161="","Missing garaging ZIP. ","") &amp; IF($S161="","Missing cat zone. ","") &amp; IF($V161="","Missing valuation basis. ","") &amp; IF($W161="","Missing PD deductible. ","") &amp; IF($X161="","Missing liability limit. ","") &amp; IF($AB161="","Missing technical premium. ","") &amp; IF($AF161="","Missing surplus lines tax %. ",""))="","PASS","FAIL: "&amp;TRIM(IF($A161="","Missing certificate ref. ","") &amp; IF($C161="","Missing effective date. ","") &amp; IF($D161="","Missing binding status. ","") &amp; IF($E161="","Missing movement type. ","") &amp; IF($I161="","Missing make. ","") &amp; IF($L161="","Missing vehicle class. ","") &amp; IF($M161="","Missing agreed value. ","") &amp; IF($N161="","Missing policy type. ","") &amp; IF($Q161="","Missing garaging state. ","") &amp; IF($R161="","Missing garaging ZIP. ","") &amp; IF($S161="","Missing cat zone. ","") &amp; IF($V161="","Missing valuation basis. ","") &amp; IF($W161="","Missing PD deductible. ","") &amp; IF($X161="","Missing liability limit. ","") &amp; IF($AB161="","Missing technical premium. ","") &amp; IF($AF161="","Missing surplus lines tax %. ",""))))</f>
        <v/>
      </c>
      <c r="AY161" s="52" t="str">
        <f aca="false">IF($M161="","",IF(ISNUMBER($M161),IF($M161&gt;=Header!$C$18,"YES — refer","No"),""))</f>
        <v/>
      </c>
      <c r="AZ161" s="52" t="str">
        <f aca="false">IF($AD161="","",IF(ISNUMBER($AD161),IF($AD161&lt;Header!$C$20,"BELOW MIN PREMIUM","OK"),""))</f>
        <v/>
      </c>
      <c r="BA161" s="40"/>
      <c r="BB161" s="40"/>
      <c r="BC161" s="38"/>
      <c r="BE161" s="53" t="str">
        <f aca="false">IF(OR($A161="",$L161="",$H161=""),"",IF(AND(LEFT($L161,2)="06",$H161&gt;1945),"FAIL - pre-war class, year "&amp;$H161,IF(AND(LEFT($L161,2)="07",OR($H161&lt;1946,$H161&gt;1972)),"FAIL - 1946-72 class, year "&amp;$H161,IF(AND(LEFT($L161,2)="08",OR($H161&lt;1973,$H161&gt;1999)),"FAIL - 1973-99 class, year "&amp;$H161,IF(AND(LEFT($L161,2)="09",OR($H161&lt;2000,$H161&gt;2010)),"FAIL - 2000-10 class, year "&amp;$H161,"OK")))))</f>
        <v/>
      </c>
      <c r="BF161" s="53" t="str">
        <f aca="false">IF($AD161="","",IF(ROUND($AO161+$AP161+$AQ161-$AD161,2)=0,"OK","FAIL - out by "&amp;TEXT($AO161+$AP161+$AQ161-$AD161,"$0.00")))</f>
        <v/>
      </c>
    </row>
    <row r="162" customFormat="false" ht="15" hidden="false" customHeight="true" outlineLevel="0" collapsed="false">
      <c r="A162" s="54"/>
      <c r="B162" s="54"/>
      <c r="C162" s="55"/>
      <c r="D162" s="56"/>
      <c r="E162" s="56"/>
      <c r="F162" s="54"/>
      <c r="G162" s="41" t="str">
        <f aca="false">IF($A162="","",IF($C162="","",YEAR($C162)))</f>
        <v/>
      </c>
      <c r="H162" s="57"/>
      <c r="I162" s="54"/>
      <c r="J162" s="54"/>
      <c r="K162" s="54"/>
      <c r="L162" s="56"/>
      <c r="M162" s="58"/>
      <c r="N162" s="56"/>
      <c r="O162" s="54"/>
      <c r="P162" s="54"/>
      <c r="Q162" s="54"/>
      <c r="R162" s="54"/>
      <c r="S162" s="56"/>
      <c r="T162" s="44" t="str">
        <f aca="false">IF($A162="","",IF($S162="","",IFERROR(INDEX(Lists!$N$5:$N$16,MATCH($S162,Lists!$M$5:$M$16,0)),"?")))</f>
        <v/>
      </c>
      <c r="U162" s="54"/>
      <c r="V162" s="56"/>
      <c r="W162" s="54"/>
      <c r="X162" s="56"/>
      <c r="Y162" s="54"/>
      <c r="Z162" s="54"/>
      <c r="AA162" s="56"/>
      <c r="AB162" s="58"/>
      <c r="AC162" s="59"/>
      <c r="AD162" s="46" t="str">
        <f aca="false">IF(ISNUMBER($AB162),$AB162*(1+N($AC162)),"")</f>
        <v/>
      </c>
      <c r="AE162" s="58"/>
      <c r="AF162" s="58"/>
      <c r="AG162" s="59"/>
      <c r="AH162" s="47" t="str">
        <f aca="false">IF(ISNUMBER($AD162),($AD162+$AE162+$AF162)*$AG162,"")</f>
        <v/>
      </c>
      <c r="AI162" s="58"/>
      <c r="AJ162" s="46" t="str">
        <f aca="false">IF(ISNUMBER($AD162),SUM($AD162:$AH162),"")</f>
        <v/>
      </c>
      <c r="AK162" s="48" t="str">
        <f aca="false">IF(AND(ISNUMBER($AB162),ISNUMBER($AD162)),IF($AB162&gt;0,$AD162/$AB162,""),"")</f>
        <v/>
      </c>
      <c r="AL162" s="56"/>
      <c r="AM162" s="49" t="str">
        <f aca="false">IF(ISNUMBER($AD162),Header!$I$3,"")</f>
        <v/>
      </c>
      <c r="AN162" s="47" t="str">
        <f aca="false">IF(ISNUMBER($AD162),$AO162+$AP162,"")</f>
        <v/>
      </c>
      <c r="AO162" s="47" t="str">
        <f aca="false">IF(ISNUMBER($AD162),ROUND($AD162*Header!$K$3,2),"")</f>
        <v/>
      </c>
      <c r="AP162" s="47" t="str">
        <f aca="false">IF(ISNUMBER($AD162),ROUND($AD162*Header!$M$3,2),"")</f>
        <v/>
      </c>
      <c r="AQ162" s="46" t="str">
        <f aca="false">IF(ISNUMBER($AD162),ROUND($AD162,2)-$AO162-$AP162,"")</f>
        <v/>
      </c>
      <c r="AR162" s="47" t="str">
        <f aca="false">IF(ISNUMBER($AD162),IF(Header!$D$34="","?",$AD162*Header!$D$34),"")</f>
        <v/>
      </c>
      <c r="AS162" s="47" t="str">
        <f aca="false">IF(ISNUMBER($AB162),IF(Header!$D$34="","?",$AB162*Header!$D$34),"")</f>
        <v/>
      </c>
      <c r="AT162" s="50" t="str">
        <f aca="false">IF(AND(ISNUMBER($AB162),$M162&gt;0),$AB162/$M162*100,"")</f>
        <v/>
      </c>
      <c r="AU162" s="50" t="str">
        <f aca="false">IF(AND(ISNUMBER($AD162),$M162&gt;0),$AD162/$M162*100,"")</f>
        <v/>
      </c>
      <c r="AV162" s="48" t="str">
        <f aca="false">IF(AND(ISNUMBER($AB162),ISNUMBER($AD162),ABS($AB162)&gt;0),$AD162/$AB162,"")</f>
        <v/>
      </c>
      <c r="AW162" s="47" t="str">
        <f aca="false">IF(ISNUMBER($AD162),MAX(0,(1-0.55-Header!$O$3)*Header!$Q$3*$AQ162),"")</f>
        <v/>
      </c>
      <c r="AX162" s="51" t="str">
        <f aca="false">IF($A162="","",IF(TRIM(IF($A162="","Missing certificate ref. ","") &amp; IF($C162="","Missing effective date. ","") &amp; IF($D162="","Missing binding status. ","") &amp; IF($E162="","Missing movement type. ","") &amp; IF($I162="","Missing make. ","") &amp; IF($L162="","Missing vehicle class. ","") &amp; IF($M162="","Missing agreed value. ","") &amp; IF($N162="","Missing policy type. ","") &amp; IF($Q162="","Missing garaging state. ","") &amp; IF($R162="","Missing garaging ZIP. ","") &amp; IF($S162="","Missing cat zone. ","") &amp; IF($V162="","Missing valuation basis. ","") &amp; IF($W162="","Missing PD deductible. ","") &amp; IF($X162="","Missing liability limit. ","") &amp; IF($AB162="","Missing technical premium. ","") &amp; IF($AF162="","Missing surplus lines tax %. ",""))="","PASS","FAIL: "&amp;TRIM(IF($A162="","Missing certificate ref. ","") &amp; IF($C162="","Missing effective date. ","") &amp; IF($D162="","Missing binding status. ","") &amp; IF($E162="","Missing movement type. ","") &amp; IF($I162="","Missing make. ","") &amp; IF($L162="","Missing vehicle class. ","") &amp; IF($M162="","Missing agreed value. ","") &amp; IF($N162="","Missing policy type. ","") &amp; IF($Q162="","Missing garaging state. ","") &amp; IF($R162="","Missing garaging ZIP. ","") &amp; IF($S162="","Missing cat zone. ","") &amp; IF($V162="","Missing valuation basis. ","") &amp; IF($W162="","Missing PD deductible. ","") &amp; IF($X162="","Missing liability limit. ","") &amp; IF($AB162="","Missing technical premium. ","") &amp; IF($AF162="","Missing surplus lines tax %. ",""))))</f>
        <v/>
      </c>
      <c r="AY162" s="52" t="str">
        <f aca="false">IF($M162="","",IF(ISNUMBER($M162),IF($M162&gt;=Header!$C$18,"YES — refer","No"),""))</f>
        <v/>
      </c>
      <c r="AZ162" s="52" t="str">
        <f aca="false">IF($AD162="","",IF(ISNUMBER($AD162),IF($AD162&lt;Header!$C$20,"BELOW MIN PREMIUM","OK"),""))</f>
        <v/>
      </c>
      <c r="BA162" s="56"/>
      <c r="BB162" s="56"/>
      <c r="BC162" s="54"/>
      <c r="BE162" s="53" t="str">
        <f aca="false">IF(OR($A162="",$L162="",$H162=""),"",IF(AND(LEFT($L162,2)="06",$H162&gt;1945),"FAIL - pre-war class, year "&amp;$H162,IF(AND(LEFT($L162,2)="07",OR($H162&lt;1946,$H162&gt;1972)),"FAIL - 1946-72 class, year "&amp;$H162,IF(AND(LEFT($L162,2)="08",OR($H162&lt;1973,$H162&gt;1999)),"FAIL - 1973-99 class, year "&amp;$H162,IF(AND(LEFT($L162,2)="09",OR($H162&lt;2000,$H162&gt;2010)),"FAIL - 2000-10 class, year "&amp;$H162,"OK")))))</f>
        <v/>
      </c>
      <c r="BF162" s="53" t="str">
        <f aca="false">IF($AD162="","",IF(ROUND($AO162+$AP162+$AQ162-$AD162,2)=0,"OK","FAIL - out by "&amp;TEXT($AO162+$AP162+$AQ162-$AD162,"$0.00")))</f>
        <v/>
      </c>
    </row>
    <row r="163" customFormat="false" ht="15" hidden="false" customHeight="true" outlineLevel="0" collapsed="false">
      <c r="A163" s="38"/>
      <c r="B163" s="38"/>
      <c r="C163" s="39"/>
      <c r="D163" s="40"/>
      <c r="E163" s="40"/>
      <c r="F163" s="38"/>
      <c r="G163" s="41" t="str">
        <f aca="false">IF($A163="","",IF($C163="","",YEAR($C163)))</f>
        <v/>
      </c>
      <c r="H163" s="42"/>
      <c r="I163" s="38"/>
      <c r="J163" s="38"/>
      <c r="K163" s="38"/>
      <c r="L163" s="40"/>
      <c r="M163" s="43"/>
      <c r="N163" s="40"/>
      <c r="O163" s="38"/>
      <c r="P163" s="38"/>
      <c r="Q163" s="38"/>
      <c r="R163" s="38"/>
      <c r="S163" s="40"/>
      <c r="T163" s="44" t="str">
        <f aca="false">IF($A163="","",IF($S163="","",IFERROR(INDEX(Lists!$N$5:$N$16,MATCH($S163,Lists!$M$5:$M$16,0)),"?")))</f>
        <v/>
      </c>
      <c r="U163" s="38"/>
      <c r="V163" s="40"/>
      <c r="W163" s="38"/>
      <c r="X163" s="40"/>
      <c r="Y163" s="38"/>
      <c r="Z163" s="38"/>
      <c r="AA163" s="40"/>
      <c r="AB163" s="43"/>
      <c r="AC163" s="45"/>
      <c r="AD163" s="46" t="str">
        <f aca="false">IF(ISNUMBER($AB163),$AB163*(1+N($AC163)),"")</f>
        <v/>
      </c>
      <c r="AE163" s="43"/>
      <c r="AF163" s="43"/>
      <c r="AG163" s="45"/>
      <c r="AH163" s="47" t="str">
        <f aca="false">IF(ISNUMBER($AD163),($AD163+$AE163+$AF163)*$AG163,"")</f>
        <v/>
      </c>
      <c r="AI163" s="43"/>
      <c r="AJ163" s="46" t="str">
        <f aca="false">IF(ISNUMBER($AD163),SUM($AD163:$AH163),"")</f>
        <v/>
      </c>
      <c r="AK163" s="48" t="str">
        <f aca="false">IF(AND(ISNUMBER($AB163),ISNUMBER($AD163)),IF($AB163&gt;0,$AD163/$AB163,""),"")</f>
        <v/>
      </c>
      <c r="AL163" s="40"/>
      <c r="AM163" s="49" t="str">
        <f aca="false">IF(ISNUMBER($AD163),Header!$I$3,"")</f>
        <v/>
      </c>
      <c r="AN163" s="47" t="str">
        <f aca="false">IF(ISNUMBER($AD163),$AO163+$AP163,"")</f>
        <v/>
      </c>
      <c r="AO163" s="47" t="str">
        <f aca="false">IF(ISNUMBER($AD163),ROUND($AD163*Header!$K$3,2),"")</f>
        <v/>
      </c>
      <c r="AP163" s="47" t="str">
        <f aca="false">IF(ISNUMBER($AD163),ROUND($AD163*Header!$M$3,2),"")</f>
        <v/>
      </c>
      <c r="AQ163" s="46" t="str">
        <f aca="false">IF(ISNUMBER($AD163),ROUND($AD163,2)-$AO163-$AP163,"")</f>
        <v/>
      </c>
      <c r="AR163" s="47" t="str">
        <f aca="false">IF(ISNUMBER($AD163),IF(Header!$D$34="","?",$AD163*Header!$D$34),"")</f>
        <v/>
      </c>
      <c r="AS163" s="47" t="str">
        <f aca="false">IF(ISNUMBER($AB163),IF(Header!$D$34="","?",$AB163*Header!$D$34),"")</f>
        <v/>
      </c>
      <c r="AT163" s="50" t="str">
        <f aca="false">IF(AND(ISNUMBER($AB163),$M163&gt;0),$AB163/$M163*100,"")</f>
        <v/>
      </c>
      <c r="AU163" s="50" t="str">
        <f aca="false">IF(AND(ISNUMBER($AD163),$M163&gt;0),$AD163/$M163*100,"")</f>
        <v/>
      </c>
      <c r="AV163" s="48" t="str">
        <f aca="false">IF(AND(ISNUMBER($AB163),ISNUMBER($AD163),ABS($AB163)&gt;0),$AD163/$AB163,"")</f>
        <v/>
      </c>
      <c r="AW163" s="47" t="str">
        <f aca="false">IF(ISNUMBER($AD163),MAX(0,(1-0.55-Header!$O$3)*Header!$Q$3*$AQ163),"")</f>
        <v/>
      </c>
      <c r="AX163" s="51" t="str">
        <f aca="false">IF($A163="","",IF(TRIM(IF($A163="","Missing certificate ref. ","") &amp; IF($C163="","Missing effective date. ","") &amp; IF($D163="","Missing binding status. ","") &amp; IF($E163="","Missing movement type. ","") &amp; IF($I163="","Missing make. ","") &amp; IF($L163="","Missing vehicle class. ","") &amp; IF($M163="","Missing agreed value. ","") &amp; IF($N163="","Missing policy type. ","") &amp; IF($Q163="","Missing garaging state. ","") &amp; IF($R163="","Missing garaging ZIP. ","") &amp; IF($S163="","Missing cat zone. ","") &amp; IF($V163="","Missing valuation basis. ","") &amp; IF($W163="","Missing PD deductible. ","") &amp; IF($X163="","Missing liability limit. ","") &amp; IF($AB163="","Missing technical premium. ","") &amp; IF($AF163="","Missing surplus lines tax %. ",""))="","PASS","FAIL: "&amp;TRIM(IF($A163="","Missing certificate ref. ","") &amp; IF($C163="","Missing effective date. ","") &amp; IF($D163="","Missing binding status. ","") &amp; IF($E163="","Missing movement type. ","") &amp; IF($I163="","Missing make. ","") &amp; IF($L163="","Missing vehicle class. ","") &amp; IF($M163="","Missing agreed value. ","") &amp; IF($N163="","Missing policy type. ","") &amp; IF($Q163="","Missing garaging state. ","") &amp; IF($R163="","Missing garaging ZIP. ","") &amp; IF($S163="","Missing cat zone. ","") &amp; IF($V163="","Missing valuation basis. ","") &amp; IF($W163="","Missing PD deductible. ","") &amp; IF($X163="","Missing liability limit. ","") &amp; IF($AB163="","Missing technical premium. ","") &amp; IF($AF163="","Missing surplus lines tax %. ",""))))</f>
        <v/>
      </c>
      <c r="AY163" s="52" t="str">
        <f aca="false">IF($M163="","",IF(ISNUMBER($M163),IF($M163&gt;=Header!$C$18,"YES — refer","No"),""))</f>
        <v/>
      </c>
      <c r="AZ163" s="52" t="str">
        <f aca="false">IF($AD163="","",IF(ISNUMBER($AD163),IF($AD163&lt;Header!$C$20,"BELOW MIN PREMIUM","OK"),""))</f>
        <v/>
      </c>
      <c r="BA163" s="40"/>
      <c r="BB163" s="40"/>
      <c r="BC163" s="38"/>
      <c r="BE163" s="53" t="str">
        <f aca="false">IF(OR($A163="",$L163="",$H163=""),"",IF(AND(LEFT($L163,2)="06",$H163&gt;1945),"FAIL - pre-war class, year "&amp;$H163,IF(AND(LEFT($L163,2)="07",OR($H163&lt;1946,$H163&gt;1972)),"FAIL - 1946-72 class, year "&amp;$H163,IF(AND(LEFT($L163,2)="08",OR($H163&lt;1973,$H163&gt;1999)),"FAIL - 1973-99 class, year "&amp;$H163,IF(AND(LEFT($L163,2)="09",OR($H163&lt;2000,$H163&gt;2010)),"FAIL - 2000-10 class, year "&amp;$H163,"OK")))))</f>
        <v/>
      </c>
      <c r="BF163" s="53" t="str">
        <f aca="false">IF($AD163="","",IF(ROUND($AO163+$AP163+$AQ163-$AD163,2)=0,"OK","FAIL - out by "&amp;TEXT($AO163+$AP163+$AQ163-$AD163,"$0.00")))</f>
        <v/>
      </c>
    </row>
    <row r="164" customFormat="false" ht="15" hidden="false" customHeight="true" outlineLevel="0" collapsed="false">
      <c r="A164" s="54"/>
      <c r="B164" s="54"/>
      <c r="C164" s="55"/>
      <c r="D164" s="56"/>
      <c r="E164" s="56"/>
      <c r="F164" s="54"/>
      <c r="G164" s="41" t="str">
        <f aca="false">IF($A164="","",IF($C164="","",YEAR($C164)))</f>
        <v/>
      </c>
      <c r="H164" s="57"/>
      <c r="I164" s="54"/>
      <c r="J164" s="54"/>
      <c r="K164" s="54"/>
      <c r="L164" s="56"/>
      <c r="M164" s="58"/>
      <c r="N164" s="56"/>
      <c r="O164" s="54"/>
      <c r="P164" s="54"/>
      <c r="Q164" s="54"/>
      <c r="R164" s="54"/>
      <c r="S164" s="56"/>
      <c r="T164" s="44" t="str">
        <f aca="false">IF($A164="","",IF($S164="","",IFERROR(INDEX(Lists!$N$5:$N$16,MATCH($S164,Lists!$M$5:$M$16,0)),"?")))</f>
        <v/>
      </c>
      <c r="U164" s="54"/>
      <c r="V164" s="56"/>
      <c r="W164" s="54"/>
      <c r="X164" s="56"/>
      <c r="Y164" s="54"/>
      <c r="Z164" s="54"/>
      <c r="AA164" s="56"/>
      <c r="AB164" s="58"/>
      <c r="AC164" s="59"/>
      <c r="AD164" s="46" t="str">
        <f aca="false">IF(ISNUMBER($AB164),$AB164*(1+N($AC164)),"")</f>
        <v/>
      </c>
      <c r="AE164" s="58"/>
      <c r="AF164" s="58"/>
      <c r="AG164" s="59"/>
      <c r="AH164" s="47" t="str">
        <f aca="false">IF(ISNUMBER($AD164),($AD164+$AE164+$AF164)*$AG164,"")</f>
        <v/>
      </c>
      <c r="AI164" s="58"/>
      <c r="AJ164" s="46" t="str">
        <f aca="false">IF(ISNUMBER($AD164),SUM($AD164:$AH164),"")</f>
        <v/>
      </c>
      <c r="AK164" s="48" t="str">
        <f aca="false">IF(AND(ISNUMBER($AB164),ISNUMBER($AD164)),IF($AB164&gt;0,$AD164/$AB164,""),"")</f>
        <v/>
      </c>
      <c r="AL164" s="56"/>
      <c r="AM164" s="49" t="str">
        <f aca="false">IF(ISNUMBER($AD164),Header!$I$3,"")</f>
        <v/>
      </c>
      <c r="AN164" s="47" t="str">
        <f aca="false">IF(ISNUMBER($AD164),$AO164+$AP164,"")</f>
        <v/>
      </c>
      <c r="AO164" s="47" t="str">
        <f aca="false">IF(ISNUMBER($AD164),ROUND($AD164*Header!$K$3,2),"")</f>
        <v/>
      </c>
      <c r="AP164" s="47" t="str">
        <f aca="false">IF(ISNUMBER($AD164),ROUND($AD164*Header!$M$3,2),"")</f>
        <v/>
      </c>
      <c r="AQ164" s="46" t="str">
        <f aca="false">IF(ISNUMBER($AD164),ROUND($AD164,2)-$AO164-$AP164,"")</f>
        <v/>
      </c>
      <c r="AR164" s="47" t="str">
        <f aca="false">IF(ISNUMBER($AD164),IF(Header!$D$34="","?",$AD164*Header!$D$34),"")</f>
        <v/>
      </c>
      <c r="AS164" s="47" t="str">
        <f aca="false">IF(ISNUMBER($AB164),IF(Header!$D$34="","?",$AB164*Header!$D$34),"")</f>
        <v/>
      </c>
      <c r="AT164" s="50" t="str">
        <f aca="false">IF(AND(ISNUMBER($AB164),$M164&gt;0),$AB164/$M164*100,"")</f>
        <v/>
      </c>
      <c r="AU164" s="50" t="str">
        <f aca="false">IF(AND(ISNUMBER($AD164),$M164&gt;0),$AD164/$M164*100,"")</f>
        <v/>
      </c>
      <c r="AV164" s="48" t="str">
        <f aca="false">IF(AND(ISNUMBER($AB164),ISNUMBER($AD164),ABS($AB164)&gt;0),$AD164/$AB164,"")</f>
        <v/>
      </c>
      <c r="AW164" s="47" t="str">
        <f aca="false">IF(ISNUMBER($AD164),MAX(0,(1-0.55-Header!$O$3)*Header!$Q$3*$AQ164),"")</f>
        <v/>
      </c>
      <c r="AX164" s="51" t="str">
        <f aca="false">IF($A164="","",IF(TRIM(IF($A164="","Missing certificate ref. ","") &amp; IF($C164="","Missing effective date. ","") &amp; IF($D164="","Missing binding status. ","") &amp; IF($E164="","Missing movement type. ","") &amp; IF($I164="","Missing make. ","") &amp; IF($L164="","Missing vehicle class. ","") &amp; IF($M164="","Missing agreed value. ","") &amp; IF($N164="","Missing policy type. ","") &amp; IF($Q164="","Missing garaging state. ","") &amp; IF($R164="","Missing garaging ZIP. ","") &amp; IF($S164="","Missing cat zone. ","") &amp; IF($V164="","Missing valuation basis. ","") &amp; IF($W164="","Missing PD deductible. ","") &amp; IF($X164="","Missing liability limit. ","") &amp; IF($AB164="","Missing technical premium. ","") &amp; IF($AF164="","Missing surplus lines tax %. ",""))="","PASS","FAIL: "&amp;TRIM(IF($A164="","Missing certificate ref. ","") &amp; IF($C164="","Missing effective date. ","") &amp; IF($D164="","Missing binding status. ","") &amp; IF($E164="","Missing movement type. ","") &amp; IF($I164="","Missing make. ","") &amp; IF($L164="","Missing vehicle class. ","") &amp; IF($M164="","Missing agreed value. ","") &amp; IF($N164="","Missing policy type. ","") &amp; IF($Q164="","Missing garaging state. ","") &amp; IF($R164="","Missing garaging ZIP. ","") &amp; IF($S164="","Missing cat zone. ","") &amp; IF($V164="","Missing valuation basis. ","") &amp; IF($W164="","Missing PD deductible. ","") &amp; IF($X164="","Missing liability limit. ","") &amp; IF($AB164="","Missing technical premium. ","") &amp; IF($AF164="","Missing surplus lines tax %. ",""))))</f>
        <v/>
      </c>
      <c r="AY164" s="52" t="str">
        <f aca="false">IF($M164="","",IF(ISNUMBER($M164),IF($M164&gt;=Header!$C$18,"YES — refer","No"),""))</f>
        <v/>
      </c>
      <c r="AZ164" s="52" t="str">
        <f aca="false">IF($AD164="","",IF(ISNUMBER($AD164),IF($AD164&lt;Header!$C$20,"BELOW MIN PREMIUM","OK"),""))</f>
        <v/>
      </c>
      <c r="BA164" s="56"/>
      <c r="BB164" s="56"/>
      <c r="BC164" s="54"/>
      <c r="BE164" s="53" t="str">
        <f aca="false">IF(OR($A164="",$L164="",$H164=""),"",IF(AND(LEFT($L164,2)="06",$H164&gt;1945),"FAIL - pre-war class, year "&amp;$H164,IF(AND(LEFT($L164,2)="07",OR($H164&lt;1946,$H164&gt;1972)),"FAIL - 1946-72 class, year "&amp;$H164,IF(AND(LEFT($L164,2)="08",OR($H164&lt;1973,$H164&gt;1999)),"FAIL - 1973-99 class, year "&amp;$H164,IF(AND(LEFT($L164,2)="09",OR($H164&lt;2000,$H164&gt;2010)),"FAIL - 2000-10 class, year "&amp;$H164,"OK")))))</f>
        <v/>
      </c>
      <c r="BF164" s="53" t="str">
        <f aca="false">IF($AD164="","",IF(ROUND($AO164+$AP164+$AQ164-$AD164,2)=0,"OK","FAIL - out by "&amp;TEXT($AO164+$AP164+$AQ164-$AD164,"$0.00")))</f>
        <v/>
      </c>
    </row>
    <row r="165" customFormat="false" ht="15" hidden="false" customHeight="true" outlineLevel="0" collapsed="false">
      <c r="A165" s="38"/>
      <c r="B165" s="38"/>
      <c r="C165" s="39"/>
      <c r="D165" s="40"/>
      <c r="E165" s="40"/>
      <c r="F165" s="38"/>
      <c r="G165" s="41" t="str">
        <f aca="false">IF($A165="","",IF($C165="","",YEAR($C165)))</f>
        <v/>
      </c>
      <c r="H165" s="42"/>
      <c r="I165" s="38"/>
      <c r="J165" s="38"/>
      <c r="K165" s="38"/>
      <c r="L165" s="40"/>
      <c r="M165" s="43"/>
      <c r="N165" s="40"/>
      <c r="O165" s="38"/>
      <c r="P165" s="38"/>
      <c r="Q165" s="38"/>
      <c r="R165" s="38"/>
      <c r="S165" s="40"/>
      <c r="T165" s="44" t="str">
        <f aca="false">IF($A165="","",IF($S165="","",IFERROR(INDEX(Lists!$N$5:$N$16,MATCH($S165,Lists!$M$5:$M$16,0)),"?")))</f>
        <v/>
      </c>
      <c r="U165" s="38"/>
      <c r="V165" s="40"/>
      <c r="W165" s="38"/>
      <c r="X165" s="40"/>
      <c r="Y165" s="38"/>
      <c r="Z165" s="38"/>
      <c r="AA165" s="40"/>
      <c r="AB165" s="43"/>
      <c r="AC165" s="45"/>
      <c r="AD165" s="46" t="str">
        <f aca="false">IF(ISNUMBER($AB165),$AB165*(1+N($AC165)),"")</f>
        <v/>
      </c>
      <c r="AE165" s="43"/>
      <c r="AF165" s="43"/>
      <c r="AG165" s="45"/>
      <c r="AH165" s="47" t="str">
        <f aca="false">IF(ISNUMBER($AD165),($AD165+$AE165+$AF165)*$AG165,"")</f>
        <v/>
      </c>
      <c r="AI165" s="43"/>
      <c r="AJ165" s="46" t="str">
        <f aca="false">IF(ISNUMBER($AD165),SUM($AD165:$AH165),"")</f>
        <v/>
      </c>
      <c r="AK165" s="48" t="str">
        <f aca="false">IF(AND(ISNUMBER($AB165),ISNUMBER($AD165)),IF($AB165&gt;0,$AD165/$AB165,""),"")</f>
        <v/>
      </c>
      <c r="AL165" s="40"/>
      <c r="AM165" s="49" t="str">
        <f aca="false">IF(ISNUMBER($AD165),Header!$I$3,"")</f>
        <v/>
      </c>
      <c r="AN165" s="47" t="str">
        <f aca="false">IF(ISNUMBER($AD165),$AO165+$AP165,"")</f>
        <v/>
      </c>
      <c r="AO165" s="47" t="str">
        <f aca="false">IF(ISNUMBER($AD165),ROUND($AD165*Header!$K$3,2),"")</f>
        <v/>
      </c>
      <c r="AP165" s="47" t="str">
        <f aca="false">IF(ISNUMBER($AD165),ROUND($AD165*Header!$M$3,2),"")</f>
        <v/>
      </c>
      <c r="AQ165" s="46" t="str">
        <f aca="false">IF(ISNUMBER($AD165),ROUND($AD165,2)-$AO165-$AP165,"")</f>
        <v/>
      </c>
      <c r="AR165" s="47" t="str">
        <f aca="false">IF(ISNUMBER($AD165),IF(Header!$D$34="","?",$AD165*Header!$D$34),"")</f>
        <v/>
      </c>
      <c r="AS165" s="47" t="str">
        <f aca="false">IF(ISNUMBER($AB165),IF(Header!$D$34="","?",$AB165*Header!$D$34),"")</f>
        <v/>
      </c>
      <c r="AT165" s="50" t="str">
        <f aca="false">IF(AND(ISNUMBER($AB165),$M165&gt;0),$AB165/$M165*100,"")</f>
        <v/>
      </c>
      <c r="AU165" s="50" t="str">
        <f aca="false">IF(AND(ISNUMBER($AD165),$M165&gt;0),$AD165/$M165*100,"")</f>
        <v/>
      </c>
      <c r="AV165" s="48" t="str">
        <f aca="false">IF(AND(ISNUMBER($AB165),ISNUMBER($AD165),ABS($AB165)&gt;0),$AD165/$AB165,"")</f>
        <v/>
      </c>
      <c r="AW165" s="47" t="str">
        <f aca="false">IF(ISNUMBER($AD165),MAX(0,(1-0.55-Header!$O$3)*Header!$Q$3*$AQ165),"")</f>
        <v/>
      </c>
      <c r="AX165" s="51" t="str">
        <f aca="false">IF($A165="","",IF(TRIM(IF($A165="","Missing certificate ref. ","") &amp; IF($C165="","Missing effective date. ","") &amp; IF($D165="","Missing binding status. ","") &amp; IF($E165="","Missing movement type. ","") &amp; IF($I165="","Missing make. ","") &amp; IF($L165="","Missing vehicle class. ","") &amp; IF($M165="","Missing agreed value. ","") &amp; IF($N165="","Missing policy type. ","") &amp; IF($Q165="","Missing garaging state. ","") &amp; IF($R165="","Missing garaging ZIP. ","") &amp; IF($S165="","Missing cat zone. ","") &amp; IF($V165="","Missing valuation basis. ","") &amp; IF($W165="","Missing PD deductible. ","") &amp; IF($X165="","Missing liability limit. ","") &amp; IF($AB165="","Missing technical premium. ","") &amp; IF($AF165="","Missing surplus lines tax %. ",""))="","PASS","FAIL: "&amp;TRIM(IF($A165="","Missing certificate ref. ","") &amp; IF($C165="","Missing effective date. ","") &amp; IF($D165="","Missing binding status. ","") &amp; IF($E165="","Missing movement type. ","") &amp; IF($I165="","Missing make. ","") &amp; IF($L165="","Missing vehicle class. ","") &amp; IF($M165="","Missing agreed value. ","") &amp; IF($N165="","Missing policy type. ","") &amp; IF($Q165="","Missing garaging state. ","") &amp; IF($R165="","Missing garaging ZIP. ","") &amp; IF($S165="","Missing cat zone. ","") &amp; IF($V165="","Missing valuation basis. ","") &amp; IF($W165="","Missing PD deductible. ","") &amp; IF($X165="","Missing liability limit. ","") &amp; IF($AB165="","Missing technical premium. ","") &amp; IF($AF165="","Missing surplus lines tax %. ",""))))</f>
        <v/>
      </c>
      <c r="AY165" s="52" t="str">
        <f aca="false">IF($M165="","",IF(ISNUMBER($M165),IF($M165&gt;=Header!$C$18,"YES — refer","No"),""))</f>
        <v/>
      </c>
      <c r="AZ165" s="52" t="str">
        <f aca="false">IF($AD165="","",IF(ISNUMBER($AD165),IF($AD165&lt;Header!$C$20,"BELOW MIN PREMIUM","OK"),""))</f>
        <v/>
      </c>
      <c r="BA165" s="40"/>
      <c r="BB165" s="40"/>
      <c r="BC165" s="38"/>
      <c r="BE165" s="53" t="str">
        <f aca="false">IF(OR($A165="",$L165="",$H165=""),"",IF(AND(LEFT($L165,2)="06",$H165&gt;1945),"FAIL - pre-war class, year "&amp;$H165,IF(AND(LEFT($L165,2)="07",OR($H165&lt;1946,$H165&gt;1972)),"FAIL - 1946-72 class, year "&amp;$H165,IF(AND(LEFT($L165,2)="08",OR($H165&lt;1973,$H165&gt;1999)),"FAIL - 1973-99 class, year "&amp;$H165,IF(AND(LEFT($L165,2)="09",OR($H165&lt;2000,$H165&gt;2010)),"FAIL - 2000-10 class, year "&amp;$H165,"OK")))))</f>
        <v/>
      </c>
      <c r="BF165" s="53" t="str">
        <f aca="false">IF($AD165="","",IF(ROUND($AO165+$AP165+$AQ165-$AD165,2)=0,"OK","FAIL - out by "&amp;TEXT($AO165+$AP165+$AQ165-$AD165,"$0.00")))</f>
        <v/>
      </c>
    </row>
    <row r="166" customFormat="false" ht="15" hidden="false" customHeight="true" outlineLevel="0" collapsed="false">
      <c r="A166" s="54"/>
      <c r="B166" s="54"/>
      <c r="C166" s="55"/>
      <c r="D166" s="56"/>
      <c r="E166" s="56"/>
      <c r="F166" s="54"/>
      <c r="G166" s="41" t="str">
        <f aca="false">IF($A166="","",IF($C166="","",YEAR($C166)))</f>
        <v/>
      </c>
      <c r="H166" s="57"/>
      <c r="I166" s="54"/>
      <c r="J166" s="54"/>
      <c r="K166" s="54"/>
      <c r="L166" s="56"/>
      <c r="M166" s="58"/>
      <c r="N166" s="56"/>
      <c r="O166" s="54"/>
      <c r="P166" s="54"/>
      <c r="Q166" s="54"/>
      <c r="R166" s="54"/>
      <c r="S166" s="56"/>
      <c r="T166" s="44" t="str">
        <f aca="false">IF($A166="","",IF($S166="","",IFERROR(INDEX(Lists!$N$5:$N$16,MATCH($S166,Lists!$M$5:$M$16,0)),"?")))</f>
        <v/>
      </c>
      <c r="U166" s="54"/>
      <c r="V166" s="56"/>
      <c r="W166" s="54"/>
      <c r="X166" s="56"/>
      <c r="Y166" s="54"/>
      <c r="Z166" s="54"/>
      <c r="AA166" s="56"/>
      <c r="AB166" s="58"/>
      <c r="AC166" s="59"/>
      <c r="AD166" s="46" t="str">
        <f aca="false">IF(ISNUMBER($AB166),$AB166*(1+N($AC166)),"")</f>
        <v/>
      </c>
      <c r="AE166" s="58"/>
      <c r="AF166" s="58"/>
      <c r="AG166" s="59"/>
      <c r="AH166" s="47" t="str">
        <f aca="false">IF(ISNUMBER($AD166),($AD166+$AE166+$AF166)*$AG166,"")</f>
        <v/>
      </c>
      <c r="AI166" s="58"/>
      <c r="AJ166" s="46" t="str">
        <f aca="false">IF(ISNUMBER($AD166),SUM($AD166:$AH166),"")</f>
        <v/>
      </c>
      <c r="AK166" s="48" t="str">
        <f aca="false">IF(AND(ISNUMBER($AB166),ISNUMBER($AD166)),IF($AB166&gt;0,$AD166/$AB166,""),"")</f>
        <v/>
      </c>
      <c r="AL166" s="56"/>
      <c r="AM166" s="49" t="str">
        <f aca="false">IF(ISNUMBER($AD166),Header!$I$3,"")</f>
        <v/>
      </c>
      <c r="AN166" s="47" t="str">
        <f aca="false">IF(ISNUMBER($AD166),$AO166+$AP166,"")</f>
        <v/>
      </c>
      <c r="AO166" s="47" t="str">
        <f aca="false">IF(ISNUMBER($AD166),ROUND($AD166*Header!$K$3,2),"")</f>
        <v/>
      </c>
      <c r="AP166" s="47" t="str">
        <f aca="false">IF(ISNUMBER($AD166),ROUND($AD166*Header!$M$3,2),"")</f>
        <v/>
      </c>
      <c r="AQ166" s="46" t="str">
        <f aca="false">IF(ISNUMBER($AD166),ROUND($AD166,2)-$AO166-$AP166,"")</f>
        <v/>
      </c>
      <c r="AR166" s="47" t="str">
        <f aca="false">IF(ISNUMBER($AD166),IF(Header!$D$34="","?",$AD166*Header!$D$34),"")</f>
        <v/>
      </c>
      <c r="AS166" s="47" t="str">
        <f aca="false">IF(ISNUMBER($AB166),IF(Header!$D$34="","?",$AB166*Header!$D$34),"")</f>
        <v/>
      </c>
      <c r="AT166" s="50" t="str">
        <f aca="false">IF(AND(ISNUMBER($AB166),$M166&gt;0),$AB166/$M166*100,"")</f>
        <v/>
      </c>
      <c r="AU166" s="50" t="str">
        <f aca="false">IF(AND(ISNUMBER($AD166),$M166&gt;0),$AD166/$M166*100,"")</f>
        <v/>
      </c>
      <c r="AV166" s="48" t="str">
        <f aca="false">IF(AND(ISNUMBER($AB166),ISNUMBER($AD166),ABS($AB166)&gt;0),$AD166/$AB166,"")</f>
        <v/>
      </c>
      <c r="AW166" s="47" t="str">
        <f aca="false">IF(ISNUMBER($AD166),MAX(0,(1-0.55-Header!$O$3)*Header!$Q$3*$AQ166),"")</f>
        <v/>
      </c>
      <c r="AX166" s="51" t="str">
        <f aca="false">IF($A166="","",IF(TRIM(IF($A166="","Missing certificate ref. ","") &amp; IF($C166="","Missing effective date. ","") &amp; IF($D166="","Missing binding status. ","") &amp; IF($E166="","Missing movement type. ","") &amp; IF($I166="","Missing make. ","") &amp; IF($L166="","Missing vehicle class. ","") &amp; IF($M166="","Missing agreed value. ","") &amp; IF($N166="","Missing policy type. ","") &amp; IF($Q166="","Missing garaging state. ","") &amp; IF($R166="","Missing garaging ZIP. ","") &amp; IF($S166="","Missing cat zone. ","") &amp; IF($V166="","Missing valuation basis. ","") &amp; IF($W166="","Missing PD deductible. ","") &amp; IF($X166="","Missing liability limit. ","") &amp; IF($AB166="","Missing technical premium. ","") &amp; IF($AF166="","Missing surplus lines tax %. ",""))="","PASS","FAIL: "&amp;TRIM(IF($A166="","Missing certificate ref. ","") &amp; IF($C166="","Missing effective date. ","") &amp; IF($D166="","Missing binding status. ","") &amp; IF($E166="","Missing movement type. ","") &amp; IF($I166="","Missing make. ","") &amp; IF($L166="","Missing vehicle class. ","") &amp; IF($M166="","Missing agreed value. ","") &amp; IF($N166="","Missing policy type. ","") &amp; IF($Q166="","Missing garaging state. ","") &amp; IF($R166="","Missing garaging ZIP. ","") &amp; IF($S166="","Missing cat zone. ","") &amp; IF($V166="","Missing valuation basis. ","") &amp; IF($W166="","Missing PD deductible. ","") &amp; IF($X166="","Missing liability limit. ","") &amp; IF($AB166="","Missing technical premium. ","") &amp; IF($AF166="","Missing surplus lines tax %. ",""))))</f>
        <v/>
      </c>
      <c r="AY166" s="52" t="str">
        <f aca="false">IF($M166="","",IF(ISNUMBER($M166),IF($M166&gt;=Header!$C$18,"YES — refer","No"),""))</f>
        <v/>
      </c>
      <c r="AZ166" s="52" t="str">
        <f aca="false">IF($AD166="","",IF(ISNUMBER($AD166),IF($AD166&lt;Header!$C$20,"BELOW MIN PREMIUM","OK"),""))</f>
        <v/>
      </c>
      <c r="BA166" s="56"/>
      <c r="BB166" s="56"/>
      <c r="BC166" s="54"/>
      <c r="BE166" s="53" t="str">
        <f aca="false">IF(OR($A166="",$L166="",$H166=""),"",IF(AND(LEFT($L166,2)="06",$H166&gt;1945),"FAIL - pre-war class, year "&amp;$H166,IF(AND(LEFT($L166,2)="07",OR($H166&lt;1946,$H166&gt;1972)),"FAIL - 1946-72 class, year "&amp;$H166,IF(AND(LEFT($L166,2)="08",OR($H166&lt;1973,$H166&gt;1999)),"FAIL - 1973-99 class, year "&amp;$H166,IF(AND(LEFT($L166,2)="09",OR($H166&lt;2000,$H166&gt;2010)),"FAIL - 2000-10 class, year "&amp;$H166,"OK")))))</f>
        <v/>
      </c>
      <c r="BF166" s="53" t="str">
        <f aca="false">IF($AD166="","",IF(ROUND($AO166+$AP166+$AQ166-$AD166,2)=0,"OK","FAIL - out by "&amp;TEXT($AO166+$AP166+$AQ166-$AD166,"$0.00")))</f>
        <v/>
      </c>
    </row>
    <row r="167" customFormat="false" ht="15" hidden="false" customHeight="true" outlineLevel="0" collapsed="false">
      <c r="A167" s="38"/>
      <c r="B167" s="38"/>
      <c r="C167" s="39"/>
      <c r="D167" s="40"/>
      <c r="E167" s="40"/>
      <c r="F167" s="38"/>
      <c r="G167" s="41" t="str">
        <f aca="false">IF($A167="","",IF($C167="","",YEAR($C167)))</f>
        <v/>
      </c>
      <c r="H167" s="42"/>
      <c r="I167" s="38"/>
      <c r="J167" s="38"/>
      <c r="K167" s="38"/>
      <c r="L167" s="40"/>
      <c r="M167" s="43"/>
      <c r="N167" s="40"/>
      <c r="O167" s="38"/>
      <c r="P167" s="38"/>
      <c r="Q167" s="38"/>
      <c r="R167" s="38"/>
      <c r="S167" s="40"/>
      <c r="T167" s="44" t="str">
        <f aca="false">IF($A167="","",IF($S167="","",IFERROR(INDEX(Lists!$N$5:$N$16,MATCH($S167,Lists!$M$5:$M$16,0)),"?")))</f>
        <v/>
      </c>
      <c r="U167" s="38"/>
      <c r="V167" s="40"/>
      <c r="W167" s="38"/>
      <c r="X167" s="40"/>
      <c r="Y167" s="38"/>
      <c r="Z167" s="38"/>
      <c r="AA167" s="40"/>
      <c r="AB167" s="43"/>
      <c r="AC167" s="45"/>
      <c r="AD167" s="46" t="str">
        <f aca="false">IF(ISNUMBER($AB167),$AB167*(1+N($AC167)),"")</f>
        <v/>
      </c>
      <c r="AE167" s="43"/>
      <c r="AF167" s="43"/>
      <c r="AG167" s="45"/>
      <c r="AH167" s="47" t="str">
        <f aca="false">IF(ISNUMBER($AD167),($AD167+$AE167+$AF167)*$AG167,"")</f>
        <v/>
      </c>
      <c r="AI167" s="43"/>
      <c r="AJ167" s="46" t="str">
        <f aca="false">IF(ISNUMBER($AD167),SUM($AD167:$AH167),"")</f>
        <v/>
      </c>
      <c r="AK167" s="48" t="str">
        <f aca="false">IF(AND(ISNUMBER($AB167),ISNUMBER($AD167)),IF($AB167&gt;0,$AD167/$AB167,""),"")</f>
        <v/>
      </c>
      <c r="AL167" s="40"/>
      <c r="AM167" s="49" t="str">
        <f aca="false">IF(ISNUMBER($AD167),Header!$I$3,"")</f>
        <v/>
      </c>
      <c r="AN167" s="47" t="str">
        <f aca="false">IF(ISNUMBER($AD167),$AO167+$AP167,"")</f>
        <v/>
      </c>
      <c r="AO167" s="47" t="str">
        <f aca="false">IF(ISNUMBER($AD167),ROUND($AD167*Header!$K$3,2),"")</f>
        <v/>
      </c>
      <c r="AP167" s="47" t="str">
        <f aca="false">IF(ISNUMBER($AD167),ROUND($AD167*Header!$M$3,2),"")</f>
        <v/>
      </c>
      <c r="AQ167" s="46" t="str">
        <f aca="false">IF(ISNUMBER($AD167),ROUND($AD167,2)-$AO167-$AP167,"")</f>
        <v/>
      </c>
      <c r="AR167" s="47" t="str">
        <f aca="false">IF(ISNUMBER($AD167),IF(Header!$D$34="","?",$AD167*Header!$D$34),"")</f>
        <v/>
      </c>
      <c r="AS167" s="47" t="str">
        <f aca="false">IF(ISNUMBER($AB167),IF(Header!$D$34="","?",$AB167*Header!$D$34),"")</f>
        <v/>
      </c>
      <c r="AT167" s="50" t="str">
        <f aca="false">IF(AND(ISNUMBER($AB167),$M167&gt;0),$AB167/$M167*100,"")</f>
        <v/>
      </c>
      <c r="AU167" s="50" t="str">
        <f aca="false">IF(AND(ISNUMBER($AD167),$M167&gt;0),$AD167/$M167*100,"")</f>
        <v/>
      </c>
      <c r="AV167" s="48" t="str">
        <f aca="false">IF(AND(ISNUMBER($AB167),ISNUMBER($AD167),ABS($AB167)&gt;0),$AD167/$AB167,"")</f>
        <v/>
      </c>
      <c r="AW167" s="47" t="str">
        <f aca="false">IF(ISNUMBER($AD167),MAX(0,(1-0.55-Header!$O$3)*Header!$Q$3*$AQ167),"")</f>
        <v/>
      </c>
      <c r="AX167" s="51" t="str">
        <f aca="false">IF($A167="","",IF(TRIM(IF($A167="","Missing certificate ref. ","") &amp; IF($C167="","Missing effective date. ","") &amp; IF($D167="","Missing binding status. ","") &amp; IF($E167="","Missing movement type. ","") &amp; IF($I167="","Missing make. ","") &amp; IF($L167="","Missing vehicle class. ","") &amp; IF($M167="","Missing agreed value. ","") &amp; IF($N167="","Missing policy type. ","") &amp; IF($Q167="","Missing garaging state. ","") &amp; IF($R167="","Missing garaging ZIP. ","") &amp; IF($S167="","Missing cat zone. ","") &amp; IF($V167="","Missing valuation basis. ","") &amp; IF($W167="","Missing PD deductible. ","") &amp; IF($X167="","Missing liability limit. ","") &amp; IF($AB167="","Missing technical premium. ","") &amp; IF($AF167="","Missing surplus lines tax %. ",""))="","PASS","FAIL: "&amp;TRIM(IF($A167="","Missing certificate ref. ","") &amp; IF($C167="","Missing effective date. ","") &amp; IF($D167="","Missing binding status. ","") &amp; IF($E167="","Missing movement type. ","") &amp; IF($I167="","Missing make. ","") &amp; IF($L167="","Missing vehicle class. ","") &amp; IF($M167="","Missing agreed value. ","") &amp; IF($N167="","Missing policy type. ","") &amp; IF($Q167="","Missing garaging state. ","") &amp; IF($R167="","Missing garaging ZIP. ","") &amp; IF($S167="","Missing cat zone. ","") &amp; IF($V167="","Missing valuation basis. ","") &amp; IF($W167="","Missing PD deductible. ","") &amp; IF($X167="","Missing liability limit. ","") &amp; IF($AB167="","Missing technical premium. ","") &amp; IF($AF167="","Missing surplus lines tax %. ",""))))</f>
        <v/>
      </c>
      <c r="AY167" s="52" t="str">
        <f aca="false">IF($M167="","",IF(ISNUMBER($M167),IF($M167&gt;=Header!$C$18,"YES — refer","No"),""))</f>
        <v/>
      </c>
      <c r="AZ167" s="52" t="str">
        <f aca="false">IF($AD167="","",IF(ISNUMBER($AD167),IF($AD167&lt;Header!$C$20,"BELOW MIN PREMIUM","OK"),""))</f>
        <v/>
      </c>
      <c r="BA167" s="40"/>
      <c r="BB167" s="40"/>
      <c r="BC167" s="38"/>
      <c r="BE167" s="53" t="str">
        <f aca="false">IF(OR($A167="",$L167="",$H167=""),"",IF(AND(LEFT($L167,2)="06",$H167&gt;1945),"FAIL - pre-war class, year "&amp;$H167,IF(AND(LEFT($L167,2)="07",OR($H167&lt;1946,$H167&gt;1972)),"FAIL - 1946-72 class, year "&amp;$H167,IF(AND(LEFT($L167,2)="08",OR($H167&lt;1973,$H167&gt;1999)),"FAIL - 1973-99 class, year "&amp;$H167,IF(AND(LEFT($L167,2)="09",OR($H167&lt;2000,$H167&gt;2010)),"FAIL - 2000-10 class, year "&amp;$H167,"OK")))))</f>
        <v/>
      </c>
      <c r="BF167" s="53" t="str">
        <f aca="false">IF($AD167="","",IF(ROUND($AO167+$AP167+$AQ167-$AD167,2)=0,"OK","FAIL - out by "&amp;TEXT($AO167+$AP167+$AQ167-$AD167,"$0.00")))</f>
        <v/>
      </c>
    </row>
    <row r="168" customFormat="false" ht="15" hidden="false" customHeight="true" outlineLevel="0" collapsed="false">
      <c r="A168" s="54"/>
      <c r="B168" s="54"/>
      <c r="C168" s="55"/>
      <c r="D168" s="56"/>
      <c r="E168" s="56"/>
      <c r="F168" s="54"/>
      <c r="G168" s="41" t="str">
        <f aca="false">IF($A168="","",IF($C168="","",YEAR($C168)))</f>
        <v/>
      </c>
      <c r="H168" s="57"/>
      <c r="I168" s="54"/>
      <c r="J168" s="54"/>
      <c r="K168" s="54"/>
      <c r="L168" s="56"/>
      <c r="M168" s="58"/>
      <c r="N168" s="56"/>
      <c r="O168" s="54"/>
      <c r="P168" s="54"/>
      <c r="Q168" s="54"/>
      <c r="R168" s="54"/>
      <c r="S168" s="56"/>
      <c r="T168" s="44" t="str">
        <f aca="false">IF($A168="","",IF($S168="","",IFERROR(INDEX(Lists!$N$5:$N$16,MATCH($S168,Lists!$M$5:$M$16,0)),"?")))</f>
        <v/>
      </c>
      <c r="U168" s="54"/>
      <c r="V168" s="56"/>
      <c r="W168" s="54"/>
      <c r="X168" s="56"/>
      <c r="Y168" s="54"/>
      <c r="Z168" s="54"/>
      <c r="AA168" s="56"/>
      <c r="AB168" s="58"/>
      <c r="AC168" s="59"/>
      <c r="AD168" s="46" t="str">
        <f aca="false">IF(ISNUMBER($AB168),$AB168*(1+N($AC168)),"")</f>
        <v/>
      </c>
      <c r="AE168" s="58"/>
      <c r="AF168" s="58"/>
      <c r="AG168" s="59"/>
      <c r="AH168" s="47" t="str">
        <f aca="false">IF(ISNUMBER($AD168),($AD168+$AE168+$AF168)*$AG168,"")</f>
        <v/>
      </c>
      <c r="AI168" s="58"/>
      <c r="AJ168" s="46" t="str">
        <f aca="false">IF(ISNUMBER($AD168),SUM($AD168:$AH168),"")</f>
        <v/>
      </c>
      <c r="AK168" s="48" t="str">
        <f aca="false">IF(AND(ISNUMBER($AB168),ISNUMBER($AD168)),IF($AB168&gt;0,$AD168/$AB168,""),"")</f>
        <v/>
      </c>
      <c r="AL168" s="56"/>
      <c r="AM168" s="49" t="str">
        <f aca="false">IF(ISNUMBER($AD168),Header!$I$3,"")</f>
        <v/>
      </c>
      <c r="AN168" s="47" t="str">
        <f aca="false">IF(ISNUMBER($AD168),$AO168+$AP168,"")</f>
        <v/>
      </c>
      <c r="AO168" s="47" t="str">
        <f aca="false">IF(ISNUMBER($AD168),ROUND($AD168*Header!$K$3,2),"")</f>
        <v/>
      </c>
      <c r="AP168" s="47" t="str">
        <f aca="false">IF(ISNUMBER($AD168),ROUND($AD168*Header!$M$3,2),"")</f>
        <v/>
      </c>
      <c r="AQ168" s="46" t="str">
        <f aca="false">IF(ISNUMBER($AD168),ROUND($AD168,2)-$AO168-$AP168,"")</f>
        <v/>
      </c>
      <c r="AR168" s="47" t="str">
        <f aca="false">IF(ISNUMBER($AD168),IF(Header!$D$34="","?",$AD168*Header!$D$34),"")</f>
        <v/>
      </c>
      <c r="AS168" s="47" t="str">
        <f aca="false">IF(ISNUMBER($AB168),IF(Header!$D$34="","?",$AB168*Header!$D$34),"")</f>
        <v/>
      </c>
      <c r="AT168" s="50" t="str">
        <f aca="false">IF(AND(ISNUMBER($AB168),$M168&gt;0),$AB168/$M168*100,"")</f>
        <v/>
      </c>
      <c r="AU168" s="50" t="str">
        <f aca="false">IF(AND(ISNUMBER($AD168),$M168&gt;0),$AD168/$M168*100,"")</f>
        <v/>
      </c>
      <c r="AV168" s="48" t="str">
        <f aca="false">IF(AND(ISNUMBER($AB168),ISNUMBER($AD168),ABS($AB168)&gt;0),$AD168/$AB168,"")</f>
        <v/>
      </c>
      <c r="AW168" s="47" t="str">
        <f aca="false">IF(ISNUMBER($AD168),MAX(0,(1-0.55-Header!$O$3)*Header!$Q$3*$AQ168),"")</f>
        <v/>
      </c>
      <c r="AX168" s="51" t="str">
        <f aca="false">IF($A168="","",IF(TRIM(IF($A168="","Missing certificate ref. ","") &amp; IF($C168="","Missing effective date. ","") &amp; IF($D168="","Missing binding status. ","") &amp; IF($E168="","Missing movement type. ","") &amp; IF($I168="","Missing make. ","") &amp; IF($L168="","Missing vehicle class. ","") &amp; IF($M168="","Missing agreed value. ","") &amp; IF($N168="","Missing policy type. ","") &amp; IF($Q168="","Missing garaging state. ","") &amp; IF($R168="","Missing garaging ZIP. ","") &amp; IF($S168="","Missing cat zone. ","") &amp; IF($V168="","Missing valuation basis. ","") &amp; IF($W168="","Missing PD deductible. ","") &amp; IF($X168="","Missing liability limit. ","") &amp; IF($AB168="","Missing technical premium. ","") &amp; IF($AF168="","Missing surplus lines tax %. ",""))="","PASS","FAIL: "&amp;TRIM(IF($A168="","Missing certificate ref. ","") &amp; IF($C168="","Missing effective date. ","") &amp; IF($D168="","Missing binding status. ","") &amp; IF($E168="","Missing movement type. ","") &amp; IF($I168="","Missing make. ","") &amp; IF($L168="","Missing vehicle class. ","") &amp; IF($M168="","Missing agreed value. ","") &amp; IF($N168="","Missing policy type. ","") &amp; IF($Q168="","Missing garaging state. ","") &amp; IF($R168="","Missing garaging ZIP. ","") &amp; IF($S168="","Missing cat zone. ","") &amp; IF($V168="","Missing valuation basis. ","") &amp; IF($W168="","Missing PD deductible. ","") &amp; IF($X168="","Missing liability limit. ","") &amp; IF($AB168="","Missing technical premium. ","") &amp; IF($AF168="","Missing surplus lines tax %. ",""))))</f>
        <v/>
      </c>
      <c r="AY168" s="52" t="str">
        <f aca="false">IF($M168="","",IF(ISNUMBER($M168),IF($M168&gt;=Header!$C$18,"YES — refer","No"),""))</f>
        <v/>
      </c>
      <c r="AZ168" s="52" t="str">
        <f aca="false">IF($AD168="","",IF(ISNUMBER($AD168),IF($AD168&lt;Header!$C$20,"BELOW MIN PREMIUM","OK"),""))</f>
        <v/>
      </c>
      <c r="BA168" s="56"/>
      <c r="BB168" s="56"/>
      <c r="BC168" s="54"/>
      <c r="BE168" s="53" t="str">
        <f aca="false">IF(OR($A168="",$L168="",$H168=""),"",IF(AND(LEFT($L168,2)="06",$H168&gt;1945),"FAIL - pre-war class, year "&amp;$H168,IF(AND(LEFT($L168,2)="07",OR($H168&lt;1946,$H168&gt;1972)),"FAIL - 1946-72 class, year "&amp;$H168,IF(AND(LEFT($L168,2)="08",OR($H168&lt;1973,$H168&gt;1999)),"FAIL - 1973-99 class, year "&amp;$H168,IF(AND(LEFT($L168,2)="09",OR($H168&lt;2000,$H168&gt;2010)),"FAIL - 2000-10 class, year "&amp;$H168,"OK")))))</f>
        <v/>
      </c>
      <c r="BF168" s="53" t="str">
        <f aca="false">IF($AD168="","",IF(ROUND($AO168+$AP168+$AQ168-$AD168,2)=0,"OK","FAIL - out by "&amp;TEXT($AO168+$AP168+$AQ168-$AD168,"$0.00")))</f>
        <v/>
      </c>
    </row>
    <row r="169" customFormat="false" ht="15" hidden="false" customHeight="true" outlineLevel="0" collapsed="false">
      <c r="A169" s="38"/>
      <c r="B169" s="38"/>
      <c r="C169" s="39"/>
      <c r="D169" s="40"/>
      <c r="E169" s="40"/>
      <c r="F169" s="38"/>
      <c r="G169" s="41" t="str">
        <f aca="false">IF($A169="","",IF($C169="","",YEAR($C169)))</f>
        <v/>
      </c>
      <c r="H169" s="42"/>
      <c r="I169" s="38"/>
      <c r="J169" s="38"/>
      <c r="K169" s="38"/>
      <c r="L169" s="40"/>
      <c r="M169" s="43"/>
      <c r="N169" s="40"/>
      <c r="O169" s="38"/>
      <c r="P169" s="38"/>
      <c r="Q169" s="38"/>
      <c r="R169" s="38"/>
      <c r="S169" s="40"/>
      <c r="T169" s="44" t="str">
        <f aca="false">IF($A169="","",IF($S169="","",IFERROR(INDEX(Lists!$N$5:$N$16,MATCH($S169,Lists!$M$5:$M$16,0)),"?")))</f>
        <v/>
      </c>
      <c r="U169" s="38"/>
      <c r="V169" s="40"/>
      <c r="W169" s="38"/>
      <c r="X169" s="40"/>
      <c r="Y169" s="38"/>
      <c r="Z169" s="38"/>
      <c r="AA169" s="40"/>
      <c r="AB169" s="43"/>
      <c r="AC169" s="45"/>
      <c r="AD169" s="46" t="str">
        <f aca="false">IF(ISNUMBER($AB169),$AB169*(1+N($AC169)),"")</f>
        <v/>
      </c>
      <c r="AE169" s="43"/>
      <c r="AF169" s="43"/>
      <c r="AG169" s="45"/>
      <c r="AH169" s="47" t="str">
        <f aca="false">IF(ISNUMBER($AD169),($AD169+$AE169+$AF169)*$AG169,"")</f>
        <v/>
      </c>
      <c r="AI169" s="43"/>
      <c r="AJ169" s="46" t="str">
        <f aca="false">IF(ISNUMBER($AD169),SUM($AD169:$AH169),"")</f>
        <v/>
      </c>
      <c r="AK169" s="48" t="str">
        <f aca="false">IF(AND(ISNUMBER($AB169),ISNUMBER($AD169)),IF($AB169&gt;0,$AD169/$AB169,""),"")</f>
        <v/>
      </c>
      <c r="AL169" s="40"/>
      <c r="AM169" s="49" t="str">
        <f aca="false">IF(ISNUMBER($AD169),Header!$I$3,"")</f>
        <v/>
      </c>
      <c r="AN169" s="47" t="str">
        <f aca="false">IF(ISNUMBER($AD169),$AO169+$AP169,"")</f>
        <v/>
      </c>
      <c r="AO169" s="47" t="str">
        <f aca="false">IF(ISNUMBER($AD169),ROUND($AD169*Header!$K$3,2),"")</f>
        <v/>
      </c>
      <c r="AP169" s="47" t="str">
        <f aca="false">IF(ISNUMBER($AD169),ROUND($AD169*Header!$M$3,2),"")</f>
        <v/>
      </c>
      <c r="AQ169" s="46" t="str">
        <f aca="false">IF(ISNUMBER($AD169),ROUND($AD169,2)-$AO169-$AP169,"")</f>
        <v/>
      </c>
      <c r="AR169" s="47" t="str">
        <f aca="false">IF(ISNUMBER($AD169),IF(Header!$D$34="","?",$AD169*Header!$D$34),"")</f>
        <v/>
      </c>
      <c r="AS169" s="47" t="str">
        <f aca="false">IF(ISNUMBER($AB169),IF(Header!$D$34="","?",$AB169*Header!$D$34),"")</f>
        <v/>
      </c>
      <c r="AT169" s="50" t="str">
        <f aca="false">IF(AND(ISNUMBER($AB169),$M169&gt;0),$AB169/$M169*100,"")</f>
        <v/>
      </c>
      <c r="AU169" s="50" t="str">
        <f aca="false">IF(AND(ISNUMBER($AD169),$M169&gt;0),$AD169/$M169*100,"")</f>
        <v/>
      </c>
      <c r="AV169" s="48" t="str">
        <f aca="false">IF(AND(ISNUMBER($AB169),ISNUMBER($AD169),ABS($AB169)&gt;0),$AD169/$AB169,"")</f>
        <v/>
      </c>
      <c r="AW169" s="47" t="str">
        <f aca="false">IF(ISNUMBER($AD169),MAX(0,(1-0.55-Header!$O$3)*Header!$Q$3*$AQ169),"")</f>
        <v/>
      </c>
      <c r="AX169" s="51" t="str">
        <f aca="false">IF($A169="","",IF(TRIM(IF($A169="","Missing certificate ref. ","") &amp; IF($C169="","Missing effective date. ","") &amp; IF($D169="","Missing binding status. ","") &amp; IF($E169="","Missing movement type. ","") &amp; IF($I169="","Missing make. ","") &amp; IF($L169="","Missing vehicle class. ","") &amp; IF($M169="","Missing agreed value. ","") &amp; IF($N169="","Missing policy type. ","") &amp; IF($Q169="","Missing garaging state. ","") &amp; IF($R169="","Missing garaging ZIP. ","") &amp; IF($S169="","Missing cat zone. ","") &amp; IF($V169="","Missing valuation basis. ","") &amp; IF($W169="","Missing PD deductible. ","") &amp; IF($X169="","Missing liability limit. ","") &amp; IF($AB169="","Missing technical premium. ","") &amp; IF($AF169="","Missing surplus lines tax %. ",""))="","PASS","FAIL: "&amp;TRIM(IF($A169="","Missing certificate ref. ","") &amp; IF($C169="","Missing effective date. ","") &amp; IF($D169="","Missing binding status. ","") &amp; IF($E169="","Missing movement type. ","") &amp; IF($I169="","Missing make. ","") &amp; IF($L169="","Missing vehicle class. ","") &amp; IF($M169="","Missing agreed value. ","") &amp; IF($N169="","Missing policy type. ","") &amp; IF($Q169="","Missing garaging state. ","") &amp; IF($R169="","Missing garaging ZIP. ","") &amp; IF($S169="","Missing cat zone. ","") &amp; IF($V169="","Missing valuation basis. ","") &amp; IF($W169="","Missing PD deductible. ","") &amp; IF($X169="","Missing liability limit. ","") &amp; IF($AB169="","Missing technical premium. ","") &amp; IF($AF169="","Missing surplus lines tax %. ",""))))</f>
        <v/>
      </c>
      <c r="AY169" s="52" t="str">
        <f aca="false">IF($M169="","",IF(ISNUMBER($M169),IF($M169&gt;=Header!$C$18,"YES — refer","No"),""))</f>
        <v/>
      </c>
      <c r="AZ169" s="52" t="str">
        <f aca="false">IF($AD169="","",IF(ISNUMBER($AD169),IF($AD169&lt;Header!$C$20,"BELOW MIN PREMIUM","OK"),""))</f>
        <v/>
      </c>
      <c r="BA169" s="40"/>
      <c r="BB169" s="40"/>
      <c r="BC169" s="38"/>
      <c r="BE169" s="53" t="str">
        <f aca="false">IF(OR($A169="",$L169="",$H169=""),"",IF(AND(LEFT($L169,2)="06",$H169&gt;1945),"FAIL - pre-war class, year "&amp;$H169,IF(AND(LEFT($L169,2)="07",OR($H169&lt;1946,$H169&gt;1972)),"FAIL - 1946-72 class, year "&amp;$H169,IF(AND(LEFT($L169,2)="08",OR($H169&lt;1973,$H169&gt;1999)),"FAIL - 1973-99 class, year "&amp;$H169,IF(AND(LEFT($L169,2)="09",OR($H169&lt;2000,$H169&gt;2010)),"FAIL - 2000-10 class, year "&amp;$H169,"OK")))))</f>
        <v/>
      </c>
      <c r="BF169" s="53" t="str">
        <f aca="false">IF($AD169="","",IF(ROUND($AO169+$AP169+$AQ169-$AD169,2)=0,"OK","FAIL - out by "&amp;TEXT($AO169+$AP169+$AQ169-$AD169,"$0.00")))</f>
        <v/>
      </c>
    </row>
    <row r="170" customFormat="false" ht="15" hidden="false" customHeight="true" outlineLevel="0" collapsed="false">
      <c r="A170" s="54"/>
      <c r="B170" s="54"/>
      <c r="C170" s="55"/>
      <c r="D170" s="56"/>
      <c r="E170" s="56"/>
      <c r="F170" s="54"/>
      <c r="G170" s="41" t="str">
        <f aca="false">IF($A170="","",IF($C170="","",YEAR($C170)))</f>
        <v/>
      </c>
      <c r="H170" s="57"/>
      <c r="I170" s="54"/>
      <c r="J170" s="54"/>
      <c r="K170" s="54"/>
      <c r="L170" s="56"/>
      <c r="M170" s="58"/>
      <c r="N170" s="56"/>
      <c r="O170" s="54"/>
      <c r="P170" s="54"/>
      <c r="Q170" s="54"/>
      <c r="R170" s="54"/>
      <c r="S170" s="56"/>
      <c r="T170" s="44" t="str">
        <f aca="false">IF($A170="","",IF($S170="","",IFERROR(INDEX(Lists!$N$5:$N$16,MATCH($S170,Lists!$M$5:$M$16,0)),"?")))</f>
        <v/>
      </c>
      <c r="U170" s="54"/>
      <c r="V170" s="56"/>
      <c r="W170" s="54"/>
      <c r="X170" s="56"/>
      <c r="Y170" s="54"/>
      <c r="Z170" s="54"/>
      <c r="AA170" s="56"/>
      <c r="AB170" s="58"/>
      <c r="AC170" s="59"/>
      <c r="AD170" s="46" t="str">
        <f aca="false">IF(ISNUMBER($AB170),$AB170*(1+N($AC170)),"")</f>
        <v/>
      </c>
      <c r="AE170" s="58"/>
      <c r="AF170" s="58"/>
      <c r="AG170" s="59"/>
      <c r="AH170" s="47" t="str">
        <f aca="false">IF(ISNUMBER($AD170),($AD170+$AE170+$AF170)*$AG170,"")</f>
        <v/>
      </c>
      <c r="AI170" s="58"/>
      <c r="AJ170" s="46" t="str">
        <f aca="false">IF(ISNUMBER($AD170),SUM($AD170:$AH170),"")</f>
        <v/>
      </c>
      <c r="AK170" s="48" t="str">
        <f aca="false">IF(AND(ISNUMBER($AB170),ISNUMBER($AD170)),IF($AB170&gt;0,$AD170/$AB170,""),"")</f>
        <v/>
      </c>
      <c r="AL170" s="56"/>
      <c r="AM170" s="49" t="str">
        <f aca="false">IF(ISNUMBER($AD170),Header!$I$3,"")</f>
        <v/>
      </c>
      <c r="AN170" s="47" t="str">
        <f aca="false">IF(ISNUMBER($AD170),$AO170+$AP170,"")</f>
        <v/>
      </c>
      <c r="AO170" s="47" t="str">
        <f aca="false">IF(ISNUMBER($AD170),ROUND($AD170*Header!$K$3,2),"")</f>
        <v/>
      </c>
      <c r="AP170" s="47" t="str">
        <f aca="false">IF(ISNUMBER($AD170),ROUND($AD170*Header!$M$3,2),"")</f>
        <v/>
      </c>
      <c r="AQ170" s="46" t="str">
        <f aca="false">IF(ISNUMBER($AD170),ROUND($AD170,2)-$AO170-$AP170,"")</f>
        <v/>
      </c>
      <c r="AR170" s="47" t="str">
        <f aca="false">IF(ISNUMBER($AD170),IF(Header!$D$34="","?",$AD170*Header!$D$34),"")</f>
        <v/>
      </c>
      <c r="AS170" s="47" t="str">
        <f aca="false">IF(ISNUMBER($AB170),IF(Header!$D$34="","?",$AB170*Header!$D$34),"")</f>
        <v/>
      </c>
      <c r="AT170" s="50" t="str">
        <f aca="false">IF(AND(ISNUMBER($AB170),$M170&gt;0),$AB170/$M170*100,"")</f>
        <v/>
      </c>
      <c r="AU170" s="50" t="str">
        <f aca="false">IF(AND(ISNUMBER($AD170),$M170&gt;0),$AD170/$M170*100,"")</f>
        <v/>
      </c>
      <c r="AV170" s="48" t="str">
        <f aca="false">IF(AND(ISNUMBER($AB170),ISNUMBER($AD170),ABS($AB170)&gt;0),$AD170/$AB170,"")</f>
        <v/>
      </c>
      <c r="AW170" s="47" t="str">
        <f aca="false">IF(ISNUMBER($AD170),MAX(0,(1-0.55-Header!$O$3)*Header!$Q$3*$AQ170),"")</f>
        <v/>
      </c>
      <c r="AX170" s="51" t="str">
        <f aca="false">IF($A170="","",IF(TRIM(IF($A170="","Missing certificate ref. ","") &amp; IF($C170="","Missing effective date. ","") &amp; IF($D170="","Missing binding status. ","") &amp; IF($E170="","Missing movement type. ","") &amp; IF($I170="","Missing make. ","") &amp; IF($L170="","Missing vehicle class. ","") &amp; IF($M170="","Missing agreed value. ","") &amp; IF($N170="","Missing policy type. ","") &amp; IF($Q170="","Missing garaging state. ","") &amp; IF($R170="","Missing garaging ZIP. ","") &amp; IF($S170="","Missing cat zone. ","") &amp; IF($V170="","Missing valuation basis. ","") &amp; IF($W170="","Missing PD deductible. ","") &amp; IF($X170="","Missing liability limit. ","") &amp; IF($AB170="","Missing technical premium. ","") &amp; IF($AF170="","Missing surplus lines tax %. ",""))="","PASS","FAIL: "&amp;TRIM(IF($A170="","Missing certificate ref. ","") &amp; IF($C170="","Missing effective date. ","") &amp; IF($D170="","Missing binding status. ","") &amp; IF($E170="","Missing movement type. ","") &amp; IF($I170="","Missing make. ","") &amp; IF($L170="","Missing vehicle class. ","") &amp; IF($M170="","Missing agreed value. ","") &amp; IF($N170="","Missing policy type. ","") &amp; IF($Q170="","Missing garaging state. ","") &amp; IF($R170="","Missing garaging ZIP. ","") &amp; IF($S170="","Missing cat zone. ","") &amp; IF($V170="","Missing valuation basis. ","") &amp; IF($W170="","Missing PD deductible. ","") &amp; IF($X170="","Missing liability limit. ","") &amp; IF($AB170="","Missing technical premium. ","") &amp; IF($AF170="","Missing surplus lines tax %. ",""))))</f>
        <v/>
      </c>
      <c r="AY170" s="52" t="str">
        <f aca="false">IF($M170="","",IF(ISNUMBER($M170),IF($M170&gt;=Header!$C$18,"YES — refer","No"),""))</f>
        <v/>
      </c>
      <c r="AZ170" s="52" t="str">
        <f aca="false">IF($AD170="","",IF(ISNUMBER($AD170),IF($AD170&lt;Header!$C$20,"BELOW MIN PREMIUM","OK"),""))</f>
        <v/>
      </c>
      <c r="BA170" s="56"/>
      <c r="BB170" s="56"/>
      <c r="BC170" s="54"/>
      <c r="BE170" s="53" t="str">
        <f aca="false">IF(OR($A170="",$L170="",$H170=""),"",IF(AND(LEFT($L170,2)="06",$H170&gt;1945),"FAIL - pre-war class, year "&amp;$H170,IF(AND(LEFT($L170,2)="07",OR($H170&lt;1946,$H170&gt;1972)),"FAIL - 1946-72 class, year "&amp;$H170,IF(AND(LEFT($L170,2)="08",OR($H170&lt;1973,$H170&gt;1999)),"FAIL - 1973-99 class, year "&amp;$H170,IF(AND(LEFT($L170,2)="09",OR($H170&lt;2000,$H170&gt;2010)),"FAIL - 2000-10 class, year "&amp;$H170,"OK")))))</f>
        <v/>
      </c>
      <c r="BF170" s="53" t="str">
        <f aca="false">IF($AD170="","",IF(ROUND($AO170+$AP170+$AQ170-$AD170,2)=0,"OK","FAIL - out by "&amp;TEXT($AO170+$AP170+$AQ170-$AD170,"$0.00")))</f>
        <v/>
      </c>
    </row>
    <row r="171" customFormat="false" ht="15" hidden="false" customHeight="true" outlineLevel="0" collapsed="false">
      <c r="A171" s="38"/>
      <c r="B171" s="38"/>
      <c r="C171" s="39"/>
      <c r="D171" s="40"/>
      <c r="E171" s="40"/>
      <c r="F171" s="38"/>
      <c r="G171" s="41" t="str">
        <f aca="false">IF($A171="","",IF($C171="","",YEAR($C171)))</f>
        <v/>
      </c>
      <c r="H171" s="42"/>
      <c r="I171" s="38"/>
      <c r="J171" s="38"/>
      <c r="K171" s="38"/>
      <c r="L171" s="40"/>
      <c r="M171" s="43"/>
      <c r="N171" s="40"/>
      <c r="O171" s="38"/>
      <c r="P171" s="38"/>
      <c r="Q171" s="38"/>
      <c r="R171" s="38"/>
      <c r="S171" s="40"/>
      <c r="T171" s="44" t="str">
        <f aca="false">IF($A171="","",IF($S171="","",IFERROR(INDEX(Lists!$N$5:$N$16,MATCH($S171,Lists!$M$5:$M$16,0)),"?")))</f>
        <v/>
      </c>
      <c r="U171" s="38"/>
      <c r="V171" s="40"/>
      <c r="W171" s="38"/>
      <c r="X171" s="40"/>
      <c r="Y171" s="38"/>
      <c r="Z171" s="38"/>
      <c r="AA171" s="40"/>
      <c r="AB171" s="43"/>
      <c r="AC171" s="45"/>
      <c r="AD171" s="46" t="str">
        <f aca="false">IF(ISNUMBER($AB171),$AB171*(1+N($AC171)),"")</f>
        <v/>
      </c>
      <c r="AE171" s="43"/>
      <c r="AF171" s="43"/>
      <c r="AG171" s="45"/>
      <c r="AH171" s="47" t="str">
        <f aca="false">IF(ISNUMBER($AD171),($AD171+$AE171+$AF171)*$AG171,"")</f>
        <v/>
      </c>
      <c r="AI171" s="43"/>
      <c r="AJ171" s="46" t="str">
        <f aca="false">IF(ISNUMBER($AD171),SUM($AD171:$AH171),"")</f>
        <v/>
      </c>
      <c r="AK171" s="48" t="str">
        <f aca="false">IF(AND(ISNUMBER($AB171),ISNUMBER($AD171)),IF($AB171&gt;0,$AD171/$AB171,""),"")</f>
        <v/>
      </c>
      <c r="AL171" s="40"/>
      <c r="AM171" s="49" t="str">
        <f aca="false">IF(ISNUMBER($AD171),Header!$I$3,"")</f>
        <v/>
      </c>
      <c r="AN171" s="47" t="str">
        <f aca="false">IF(ISNUMBER($AD171),$AO171+$AP171,"")</f>
        <v/>
      </c>
      <c r="AO171" s="47" t="str">
        <f aca="false">IF(ISNUMBER($AD171),ROUND($AD171*Header!$K$3,2),"")</f>
        <v/>
      </c>
      <c r="AP171" s="47" t="str">
        <f aca="false">IF(ISNUMBER($AD171),ROUND($AD171*Header!$M$3,2),"")</f>
        <v/>
      </c>
      <c r="AQ171" s="46" t="str">
        <f aca="false">IF(ISNUMBER($AD171),ROUND($AD171,2)-$AO171-$AP171,"")</f>
        <v/>
      </c>
      <c r="AR171" s="47" t="str">
        <f aca="false">IF(ISNUMBER($AD171),IF(Header!$D$34="","?",$AD171*Header!$D$34),"")</f>
        <v/>
      </c>
      <c r="AS171" s="47" t="str">
        <f aca="false">IF(ISNUMBER($AB171),IF(Header!$D$34="","?",$AB171*Header!$D$34),"")</f>
        <v/>
      </c>
      <c r="AT171" s="50" t="str">
        <f aca="false">IF(AND(ISNUMBER($AB171),$M171&gt;0),$AB171/$M171*100,"")</f>
        <v/>
      </c>
      <c r="AU171" s="50" t="str">
        <f aca="false">IF(AND(ISNUMBER($AD171),$M171&gt;0),$AD171/$M171*100,"")</f>
        <v/>
      </c>
      <c r="AV171" s="48" t="str">
        <f aca="false">IF(AND(ISNUMBER($AB171),ISNUMBER($AD171),ABS($AB171)&gt;0),$AD171/$AB171,"")</f>
        <v/>
      </c>
      <c r="AW171" s="47" t="str">
        <f aca="false">IF(ISNUMBER($AD171),MAX(0,(1-0.55-Header!$O$3)*Header!$Q$3*$AQ171),"")</f>
        <v/>
      </c>
      <c r="AX171" s="51" t="str">
        <f aca="false">IF($A171="","",IF(TRIM(IF($A171="","Missing certificate ref. ","") &amp; IF($C171="","Missing effective date. ","") &amp; IF($D171="","Missing binding status. ","") &amp; IF($E171="","Missing movement type. ","") &amp; IF($I171="","Missing make. ","") &amp; IF($L171="","Missing vehicle class. ","") &amp; IF($M171="","Missing agreed value. ","") &amp; IF($N171="","Missing policy type. ","") &amp; IF($Q171="","Missing garaging state. ","") &amp; IF($R171="","Missing garaging ZIP. ","") &amp; IF($S171="","Missing cat zone. ","") &amp; IF($V171="","Missing valuation basis. ","") &amp; IF($W171="","Missing PD deductible. ","") &amp; IF($X171="","Missing liability limit. ","") &amp; IF($AB171="","Missing technical premium. ","") &amp; IF($AF171="","Missing surplus lines tax %. ",""))="","PASS","FAIL: "&amp;TRIM(IF($A171="","Missing certificate ref. ","") &amp; IF($C171="","Missing effective date. ","") &amp; IF($D171="","Missing binding status. ","") &amp; IF($E171="","Missing movement type. ","") &amp; IF($I171="","Missing make. ","") &amp; IF($L171="","Missing vehicle class. ","") &amp; IF($M171="","Missing agreed value. ","") &amp; IF($N171="","Missing policy type. ","") &amp; IF($Q171="","Missing garaging state. ","") &amp; IF($R171="","Missing garaging ZIP. ","") &amp; IF($S171="","Missing cat zone. ","") &amp; IF($V171="","Missing valuation basis. ","") &amp; IF($W171="","Missing PD deductible. ","") &amp; IF($X171="","Missing liability limit. ","") &amp; IF($AB171="","Missing technical premium. ","") &amp; IF($AF171="","Missing surplus lines tax %. ",""))))</f>
        <v/>
      </c>
      <c r="AY171" s="52" t="str">
        <f aca="false">IF($M171="","",IF(ISNUMBER($M171),IF($M171&gt;=Header!$C$18,"YES — refer","No"),""))</f>
        <v/>
      </c>
      <c r="AZ171" s="52" t="str">
        <f aca="false">IF($AD171="","",IF(ISNUMBER($AD171),IF($AD171&lt;Header!$C$20,"BELOW MIN PREMIUM","OK"),""))</f>
        <v/>
      </c>
      <c r="BA171" s="40"/>
      <c r="BB171" s="40"/>
      <c r="BC171" s="38"/>
      <c r="BE171" s="53" t="str">
        <f aca="false">IF(OR($A171="",$L171="",$H171=""),"",IF(AND(LEFT($L171,2)="06",$H171&gt;1945),"FAIL - pre-war class, year "&amp;$H171,IF(AND(LEFT($L171,2)="07",OR($H171&lt;1946,$H171&gt;1972)),"FAIL - 1946-72 class, year "&amp;$H171,IF(AND(LEFT($L171,2)="08",OR($H171&lt;1973,$H171&gt;1999)),"FAIL - 1973-99 class, year "&amp;$H171,IF(AND(LEFT($L171,2)="09",OR($H171&lt;2000,$H171&gt;2010)),"FAIL - 2000-10 class, year "&amp;$H171,"OK")))))</f>
        <v/>
      </c>
      <c r="BF171" s="53" t="str">
        <f aca="false">IF($AD171="","",IF(ROUND($AO171+$AP171+$AQ171-$AD171,2)=0,"OK","FAIL - out by "&amp;TEXT($AO171+$AP171+$AQ171-$AD171,"$0.00")))</f>
        <v/>
      </c>
    </row>
    <row r="172" customFormat="false" ht="15" hidden="false" customHeight="true" outlineLevel="0" collapsed="false">
      <c r="A172" s="54"/>
      <c r="B172" s="54"/>
      <c r="C172" s="55"/>
      <c r="D172" s="56"/>
      <c r="E172" s="56"/>
      <c r="F172" s="54"/>
      <c r="G172" s="41" t="str">
        <f aca="false">IF($A172="","",IF($C172="","",YEAR($C172)))</f>
        <v/>
      </c>
      <c r="H172" s="57"/>
      <c r="I172" s="54"/>
      <c r="J172" s="54"/>
      <c r="K172" s="54"/>
      <c r="L172" s="56"/>
      <c r="M172" s="58"/>
      <c r="N172" s="56"/>
      <c r="O172" s="54"/>
      <c r="P172" s="54"/>
      <c r="Q172" s="54"/>
      <c r="R172" s="54"/>
      <c r="S172" s="56"/>
      <c r="T172" s="44" t="str">
        <f aca="false">IF($A172="","",IF($S172="","",IFERROR(INDEX(Lists!$N$5:$N$16,MATCH($S172,Lists!$M$5:$M$16,0)),"?")))</f>
        <v/>
      </c>
      <c r="U172" s="54"/>
      <c r="V172" s="56"/>
      <c r="W172" s="54"/>
      <c r="X172" s="56"/>
      <c r="Y172" s="54"/>
      <c r="Z172" s="54"/>
      <c r="AA172" s="56"/>
      <c r="AB172" s="58"/>
      <c r="AC172" s="59"/>
      <c r="AD172" s="46" t="str">
        <f aca="false">IF(ISNUMBER($AB172),$AB172*(1+N($AC172)),"")</f>
        <v/>
      </c>
      <c r="AE172" s="58"/>
      <c r="AF172" s="58"/>
      <c r="AG172" s="59"/>
      <c r="AH172" s="47" t="str">
        <f aca="false">IF(ISNUMBER($AD172),($AD172+$AE172+$AF172)*$AG172,"")</f>
        <v/>
      </c>
      <c r="AI172" s="58"/>
      <c r="AJ172" s="46" t="str">
        <f aca="false">IF(ISNUMBER($AD172),SUM($AD172:$AH172),"")</f>
        <v/>
      </c>
      <c r="AK172" s="48" t="str">
        <f aca="false">IF(AND(ISNUMBER($AB172),ISNUMBER($AD172)),IF($AB172&gt;0,$AD172/$AB172,""),"")</f>
        <v/>
      </c>
      <c r="AL172" s="56"/>
      <c r="AM172" s="49" t="str">
        <f aca="false">IF(ISNUMBER($AD172),Header!$I$3,"")</f>
        <v/>
      </c>
      <c r="AN172" s="47" t="str">
        <f aca="false">IF(ISNUMBER($AD172),$AO172+$AP172,"")</f>
        <v/>
      </c>
      <c r="AO172" s="47" t="str">
        <f aca="false">IF(ISNUMBER($AD172),ROUND($AD172*Header!$K$3,2),"")</f>
        <v/>
      </c>
      <c r="AP172" s="47" t="str">
        <f aca="false">IF(ISNUMBER($AD172),ROUND($AD172*Header!$M$3,2),"")</f>
        <v/>
      </c>
      <c r="AQ172" s="46" t="str">
        <f aca="false">IF(ISNUMBER($AD172),ROUND($AD172,2)-$AO172-$AP172,"")</f>
        <v/>
      </c>
      <c r="AR172" s="47" t="str">
        <f aca="false">IF(ISNUMBER($AD172),IF(Header!$D$34="","?",$AD172*Header!$D$34),"")</f>
        <v/>
      </c>
      <c r="AS172" s="47" t="str">
        <f aca="false">IF(ISNUMBER($AB172),IF(Header!$D$34="","?",$AB172*Header!$D$34),"")</f>
        <v/>
      </c>
      <c r="AT172" s="50" t="str">
        <f aca="false">IF(AND(ISNUMBER($AB172),$M172&gt;0),$AB172/$M172*100,"")</f>
        <v/>
      </c>
      <c r="AU172" s="50" t="str">
        <f aca="false">IF(AND(ISNUMBER($AD172),$M172&gt;0),$AD172/$M172*100,"")</f>
        <v/>
      </c>
      <c r="AV172" s="48" t="str">
        <f aca="false">IF(AND(ISNUMBER($AB172),ISNUMBER($AD172),ABS($AB172)&gt;0),$AD172/$AB172,"")</f>
        <v/>
      </c>
      <c r="AW172" s="47" t="str">
        <f aca="false">IF(ISNUMBER($AD172),MAX(0,(1-0.55-Header!$O$3)*Header!$Q$3*$AQ172),"")</f>
        <v/>
      </c>
      <c r="AX172" s="51" t="str">
        <f aca="false">IF($A172="","",IF(TRIM(IF($A172="","Missing certificate ref. ","") &amp; IF($C172="","Missing effective date. ","") &amp; IF($D172="","Missing binding status. ","") &amp; IF($E172="","Missing movement type. ","") &amp; IF($I172="","Missing make. ","") &amp; IF($L172="","Missing vehicle class. ","") &amp; IF($M172="","Missing agreed value. ","") &amp; IF($N172="","Missing policy type. ","") &amp; IF($Q172="","Missing garaging state. ","") &amp; IF($R172="","Missing garaging ZIP. ","") &amp; IF($S172="","Missing cat zone. ","") &amp; IF($V172="","Missing valuation basis. ","") &amp; IF($W172="","Missing PD deductible. ","") &amp; IF($X172="","Missing liability limit. ","") &amp; IF($AB172="","Missing technical premium. ","") &amp; IF($AF172="","Missing surplus lines tax %. ",""))="","PASS","FAIL: "&amp;TRIM(IF($A172="","Missing certificate ref. ","") &amp; IF($C172="","Missing effective date. ","") &amp; IF($D172="","Missing binding status. ","") &amp; IF($E172="","Missing movement type. ","") &amp; IF($I172="","Missing make. ","") &amp; IF($L172="","Missing vehicle class. ","") &amp; IF($M172="","Missing agreed value. ","") &amp; IF($N172="","Missing policy type. ","") &amp; IF($Q172="","Missing garaging state. ","") &amp; IF($R172="","Missing garaging ZIP. ","") &amp; IF($S172="","Missing cat zone. ","") &amp; IF($V172="","Missing valuation basis. ","") &amp; IF($W172="","Missing PD deductible. ","") &amp; IF($X172="","Missing liability limit. ","") &amp; IF($AB172="","Missing technical premium. ","") &amp; IF($AF172="","Missing surplus lines tax %. ",""))))</f>
        <v/>
      </c>
      <c r="AY172" s="52" t="str">
        <f aca="false">IF($M172="","",IF(ISNUMBER($M172),IF($M172&gt;=Header!$C$18,"YES — refer","No"),""))</f>
        <v/>
      </c>
      <c r="AZ172" s="52" t="str">
        <f aca="false">IF($AD172="","",IF(ISNUMBER($AD172),IF($AD172&lt;Header!$C$20,"BELOW MIN PREMIUM","OK"),""))</f>
        <v/>
      </c>
      <c r="BA172" s="56"/>
      <c r="BB172" s="56"/>
      <c r="BC172" s="54"/>
      <c r="BE172" s="53" t="str">
        <f aca="false">IF(OR($A172="",$L172="",$H172=""),"",IF(AND(LEFT($L172,2)="06",$H172&gt;1945),"FAIL - pre-war class, year "&amp;$H172,IF(AND(LEFT($L172,2)="07",OR($H172&lt;1946,$H172&gt;1972)),"FAIL - 1946-72 class, year "&amp;$H172,IF(AND(LEFT($L172,2)="08",OR($H172&lt;1973,$H172&gt;1999)),"FAIL - 1973-99 class, year "&amp;$H172,IF(AND(LEFT($L172,2)="09",OR($H172&lt;2000,$H172&gt;2010)),"FAIL - 2000-10 class, year "&amp;$H172,"OK")))))</f>
        <v/>
      </c>
      <c r="BF172" s="53" t="str">
        <f aca="false">IF($AD172="","",IF(ROUND($AO172+$AP172+$AQ172-$AD172,2)=0,"OK","FAIL - out by "&amp;TEXT($AO172+$AP172+$AQ172-$AD172,"$0.00")))</f>
        <v/>
      </c>
    </row>
    <row r="173" customFormat="false" ht="15" hidden="false" customHeight="true" outlineLevel="0" collapsed="false">
      <c r="A173" s="38"/>
      <c r="B173" s="38"/>
      <c r="C173" s="39"/>
      <c r="D173" s="40"/>
      <c r="E173" s="40"/>
      <c r="F173" s="38"/>
      <c r="G173" s="41" t="str">
        <f aca="false">IF($A173="","",IF($C173="","",YEAR($C173)))</f>
        <v/>
      </c>
      <c r="H173" s="42"/>
      <c r="I173" s="38"/>
      <c r="J173" s="38"/>
      <c r="K173" s="38"/>
      <c r="L173" s="40"/>
      <c r="M173" s="43"/>
      <c r="N173" s="40"/>
      <c r="O173" s="38"/>
      <c r="P173" s="38"/>
      <c r="Q173" s="38"/>
      <c r="R173" s="38"/>
      <c r="S173" s="40"/>
      <c r="T173" s="44" t="str">
        <f aca="false">IF($A173="","",IF($S173="","",IFERROR(INDEX(Lists!$N$5:$N$16,MATCH($S173,Lists!$M$5:$M$16,0)),"?")))</f>
        <v/>
      </c>
      <c r="U173" s="38"/>
      <c r="V173" s="40"/>
      <c r="W173" s="38"/>
      <c r="X173" s="40"/>
      <c r="Y173" s="38"/>
      <c r="Z173" s="38"/>
      <c r="AA173" s="40"/>
      <c r="AB173" s="43"/>
      <c r="AC173" s="45"/>
      <c r="AD173" s="46" t="str">
        <f aca="false">IF(ISNUMBER($AB173),$AB173*(1+N($AC173)),"")</f>
        <v/>
      </c>
      <c r="AE173" s="43"/>
      <c r="AF173" s="43"/>
      <c r="AG173" s="45"/>
      <c r="AH173" s="47" t="str">
        <f aca="false">IF(ISNUMBER($AD173),($AD173+$AE173+$AF173)*$AG173,"")</f>
        <v/>
      </c>
      <c r="AI173" s="43"/>
      <c r="AJ173" s="46" t="str">
        <f aca="false">IF(ISNUMBER($AD173),SUM($AD173:$AH173),"")</f>
        <v/>
      </c>
      <c r="AK173" s="48" t="str">
        <f aca="false">IF(AND(ISNUMBER($AB173),ISNUMBER($AD173)),IF($AB173&gt;0,$AD173/$AB173,""),"")</f>
        <v/>
      </c>
      <c r="AL173" s="40"/>
      <c r="AM173" s="49" t="str">
        <f aca="false">IF(ISNUMBER($AD173),Header!$I$3,"")</f>
        <v/>
      </c>
      <c r="AN173" s="47" t="str">
        <f aca="false">IF(ISNUMBER($AD173),$AO173+$AP173,"")</f>
        <v/>
      </c>
      <c r="AO173" s="47" t="str">
        <f aca="false">IF(ISNUMBER($AD173),ROUND($AD173*Header!$K$3,2),"")</f>
        <v/>
      </c>
      <c r="AP173" s="47" t="str">
        <f aca="false">IF(ISNUMBER($AD173),ROUND($AD173*Header!$M$3,2),"")</f>
        <v/>
      </c>
      <c r="AQ173" s="46" t="str">
        <f aca="false">IF(ISNUMBER($AD173),ROUND($AD173,2)-$AO173-$AP173,"")</f>
        <v/>
      </c>
      <c r="AR173" s="47" t="str">
        <f aca="false">IF(ISNUMBER($AD173),IF(Header!$D$34="","?",$AD173*Header!$D$34),"")</f>
        <v/>
      </c>
      <c r="AS173" s="47" t="str">
        <f aca="false">IF(ISNUMBER($AB173),IF(Header!$D$34="","?",$AB173*Header!$D$34),"")</f>
        <v/>
      </c>
      <c r="AT173" s="50" t="str">
        <f aca="false">IF(AND(ISNUMBER($AB173),$M173&gt;0),$AB173/$M173*100,"")</f>
        <v/>
      </c>
      <c r="AU173" s="50" t="str">
        <f aca="false">IF(AND(ISNUMBER($AD173),$M173&gt;0),$AD173/$M173*100,"")</f>
        <v/>
      </c>
      <c r="AV173" s="48" t="str">
        <f aca="false">IF(AND(ISNUMBER($AB173),ISNUMBER($AD173),ABS($AB173)&gt;0),$AD173/$AB173,"")</f>
        <v/>
      </c>
      <c r="AW173" s="47" t="str">
        <f aca="false">IF(ISNUMBER($AD173),MAX(0,(1-0.55-Header!$O$3)*Header!$Q$3*$AQ173),"")</f>
        <v/>
      </c>
      <c r="AX173" s="51" t="str">
        <f aca="false">IF($A173="","",IF(TRIM(IF($A173="","Missing certificate ref. ","") &amp; IF($C173="","Missing effective date. ","") &amp; IF($D173="","Missing binding status. ","") &amp; IF($E173="","Missing movement type. ","") &amp; IF($I173="","Missing make. ","") &amp; IF($L173="","Missing vehicle class. ","") &amp; IF($M173="","Missing agreed value. ","") &amp; IF($N173="","Missing policy type. ","") &amp; IF($Q173="","Missing garaging state. ","") &amp; IF($R173="","Missing garaging ZIP. ","") &amp; IF($S173="","Missing cat zone. ","") &amp; IF($V173="","Missing valuation basis. ","") &amp; IF($W173="","Missing PD deductible. ","") &amp; IF($X173="","Missing liability limit. ","") &amp; IF($AB173="","Missing technical premium. ","") &amp; IF($AF173="","Missing surplus lines tax %. ",""))="","PASS","FAIL: "&amp;TRIM(IF($A173="","Missing certificate ref. ","") &amp; IF($C173="","Missing effective date. ","") &amp; IF($D173="","Missing binding status. ","") &amp; IF($E173="","Missing movement type. ","") &amp; IF($I173="","Missing make. ","") &amp; IF($L173="","Missing vehicle class. ","") &amp; IF($M173="","Missing agreed value. ","") &amp; IF($N173="","Missing policy type. ","") &amp; IF($Q173="","Missing garaging state. ","") &amp; IF($R173="","Missing garaging ZIP. ","") &amp; IF($S173="","Missing cat zone. ","") &amp; IF($V173="","Missing valuation basis. ","") &amp; IF($W173="","Missing PD deductible. ","") &amp; IF($X173="","Missing liability limit. ","") &amp; IF($AB173="","Missing technical premium. ","") &amp; IF($AF173="","Missing surplus lines tax %. ",""))))</f>
        <v/>
      </c>
      <c r="AY173" s="52" t="str">
        <f aca="false">IF($M173="","",IF(ISNUMBER($M173),IF($M173&gt;=Header!$C$18,"YES — refer","No"),""))</f>
        <v/>
      </c>
      <c r="AZ173" s="52" t="str">
        <f aca="false">IF($AD173="","",IF(ISNUMBER($AD173),IF($AD173&lt;Header!$C$20,"BELOW MIN PREMIUM","OK"),""))</f>
        <v/>
      </c>
      <c r="BA173" s="40"/>
      <c r="BB173" s="40"/>
      <c r="BC173" s="38"/>
      <c r="BE173" s="53" t="str">
        <f aca="false">IF(OR($A173="",$L173="",$H173=""),"",IF(AND(LEFT($L173,2)="06",$H173&gt;1945),"FAIL - pre-war class, year "&amp;$H173,IF(AND(LEFT($L173,2)="07",OR($H173&lt;1946,$H173&gt;1972)),"FAIL - 1946-72 class, year "&amp;$H173,IF(AND(LEFT($L173,2)="08",OR($H173&lt;1973,$H173&gt;1999)),"FAIL - 1973-99 class, year "&amp;$H173,IF(AND(LEFT($L173,2)="09",OR($H173&lt;2000,$H173&gt;2010)),"FAIL - 2000-10 class, year "&amp;$H173,"OK")))))</f>
        <v/>
      </c>
      <c r="BF173" s="53" t="str">
        <f aca="false">IF($AD173="","",IF(ROUND($AO173+$AP173+$AQ173-$AD173,2)=0,"OK","FAIL - out by "&amp;TEXT($AO173+$AP173+$AQ173-$AD173,"$0.00")))</f>
        <v/>
      </c>
    </row>
    <row r="174" customFormat="false" ht="15" hidden="false" customHeight="true" outlineLevel="0" collapsed="false">
      <c r="A174" s="54"/>
      <c r="B174" s="54"/>
      <c r="C174" s="55"/>
      <c r="D174" s="56"/>
      <c r="E174" s="56"/>
      <c r="F174" s="54"/>
      <c r="G174" s="41" t="str">
        <f aca="false">IF($A174="","",IF($C174="","",YEAR($C174)))</f>
        <v/>
      </c>
      <c r="H174" s="57"/>
      <c r="I174" s="54"/>
      <c r="J174" s="54"/>
      <c r="K174" s="54"/>
      <c r="L174" s="56"/>
      <c r="M174" s="58"/>
      <c r="N174" s="56"/>
      <c r="O174" s="54"/>
      <c r="P174" s="54"/>
      <c r="Q174" s="54"/>
      <c r="R174" s="54"/>
      <c r="S174" s="56"/>
      <c r="T174" s="44" t="str">
        <f aca="false">IF($A174="","",IF($S174="","",IFERROR(INDEX(Lists!$N$5:$N$16,MATCH($S174,Lists!$M$5:$M$16,0)),"?")))</f>
        <v/>
      </c>
      <c r="U174" s="54"/>
      <c r="V174" s="56"/>
      <c r="W174" s="54"/>
      <c r="X174" s="56"/>
      <c r="Y174" s="54"/>
      <c r="Z174" s="54"/>
      <c r="AA174" s="56"/>
      <c r="AB174" s="58"/>
      <c r="AC174" s="59"/>
      <c r="AD174" s="46" t="str">
        <f aca="false">IF(ISNUMBER($AB174),$AB174*(1+N($AC174)),"")</f>
        <v/>
      </c>
      <c r="AE174" s="58"/>
      <c r="AF174" s="58"/>
      <c r="AG174" s="59"/>
      <c r="AH174" s="47" t="str">
        <f aca="false">IF(ISNUMBER($AD174),($AD174+$AE174+$AF174)*$AG174,"")</f>
        <v/>
      </c>
      <c r="AI174" s="58"/>
      <c r="AJ174" s="46" t="str">
        <f aca="false">IF(ISNUMBER($AD174),SUM($AD174:$AH174),"")</f>
        <v/>
      </c>
      <c r="AK174" s="48" t="str">
        <f aca="false">IF(AND(ISNUMBER($AB174),ISNUMBER($AD174)),IF($AB174&gt;0,$AD174/$AB174,""),"")</f>
        <v/>
      </c>
      <c r="AL174" s="56"/>
      <c r="AM174" s="49" t="str">
        <f aca="false">IF(ISNUMBER($AD174),Header!$I$3,"")</f>
        <v/>
      </c>
      <c r="AN174" s="47" t="str">
        <f aca="false">IF(ISNUMBER($AD174),$AO174+$AP174,"")</f>
        <v/>
      </c>
      <c r="AO174" s="47" t="str">
        <f aca="false">IF(ISNUMBER($AD174),ROUND($AD174*Header!$K$3,2),"")</f>
        <v/>
      </c>
      <c r="AP174" s="47" t="str">
        <f aca="false">IF(ISNUMBER($AD174),ROUND($AD174*Header!$M$3,2),"")</f>
        <v/>
      </c>
      <c r="AQ174" s="46" t="str">
        <f aca="false">IF(ISNUMBER($AD174),ROUND($AD174,2)-$AO174-$AP174,"")</f>
        <v/>
      </c>
      <c r="AR174" s="47" t="str">
        <f aca="false">IF(ISNUMBER($AD174),IF(Header!$D$34="","?",$AD174*Header!$D$34),"")</f>
        <v/>
      </c>
      <c r="AS174" s="47" t="str">
        <f aca="false">IF(ISNUMBER($AB174),IF(Header!$D$34="","?",$AB174*Header!$D$34),"")</f>
        <v/>
      </c>
      <c r="AT174" s="50" t="str">
        <f aca="false">IF(AND(ISNUMBER($AB174),$M174&gt;0),$AB174/$M174*100,"")</f>
        <v/>
      </c>
      <c r="AU174" s="50" t="str">
        <f aca="false">IF(AND(ISNUMBER($AD174),$M174&gt;0),$AD174/$M174*100,"")</f>
        <v/>
      </c>
      <c r="AV174" s="48" t="str">
        <f aca="false">IF(AND(ISNUMBER($AB174),ISNUMBER($AD174),ABS($AB174)&gt;0),$AD174/$AB174,"")</f>
        <v/>
      </c>
      <c r="AW174" s="47" t="str">
        <f aca="false">IF(ISNUMBER($AD174),MAX(0,(1-0.55-Header!$O$3)*Header!$Q$3*$AQ174),"")</f>
        <v/>
      </c>
      <c r="AX174" s="51" t="str">
        <f aca="false">IF($A174="","",IF(TRIM(IF($A174="","Missing certificate ref. ","") &amp; IF($C174="","Missing effective date. ","") &amp; IF($D174="","Missing binding status. ","") &amp; IF($E174="","Missing movement type. ","") &amp; IF($I174="","Missing make. ","") &amp; IF($L174="","Missing vehicle class. ","") &amp; IF($M174="","Missing agreed value. ","") &amp; IF($N174="","Missing policy type. ","") &amp; IF($Q174="","Missing garaging state. ","") &amp; IF($R174="","Missing garaging ZIP. ","") &amp; IF($S174="","Missing cat zone. ","") &amp; IF($V174="","Missing valuation basis. ","") &amp; IF($W174="","Missing PD deductible. ","") &amp; IF($X174="","Missing liability limit. ","") &amp; IF($AB174="","Missing technical premium. ","") &amp; IF($AF174="","Missing surplus lines tax %. ",""))="","PASS","FAIL: "&amp;TRIM(IF($A174="","Missing certificate ref. ","") &amp; IF($C174="","Missing effective date. ","") &amp; IF($D174="","Missing binding status. ","") &amp; IF($E174="","Missing movement type. ","") &amp; IF($I174="","Missing make. ","") &amp; IF($L174="","Missing vehicle class. ","") &amp; IF($M174="","Missing agreed value. ","") &amp; IF($N174="","Missing policy type. ","") &amp; IF($Q174="","Missing garaging state. ","") &amp; IF($R174="","Missing garaging ZIP. ","") &amp; IF($S174="","Missing cat zone. ","") &amp; IF($V174="","Missing valuation basis. ","") &amp; IF($W174="","Missing PD deductible. ","") &amp; IF($X174="","Missing liability limit. ","") &amp; IF($AB174="","Missing technical premium. ","") &amp; IF($AF174="","Missing surplus lines tax %. ",""))))</f>
        <v/>
      </c>
      <c r="AY174" s="52" t="str">
        <f aca="false">IF($M174="","",IF(ISNUMBER($M174),IF($M174&gt;=Header!$C$18,"YES — refer","No"),""))</f>
        <v/>
      </c>
      <c r="AZ174" s="52" t="str">
        <f aca="false">IF($AD174="","",IF(ISNUMBER($AD174),IF($AD174&lt;Header!$C$20,"BELOW MIN PREMIUM","OK"),""))</f>
        <v/>
      </c>
      <c r="BA174" s="56"/>
      <c r="BB174" s="56"/>
      <c r="BC174" s="54"/>
      <c r="BE174" s="53" t="str">
        <f aca="false">IF(OR($A174="",$L174="",$H174=""),"",IF(AND(LEFT($L174,2)="06",$H174&gt;1945),"FAIL - pre-war class, year "&amp;$H174,IF(AND(LEFT($L174,2)="07",OR($H174&lt;1946,$H174&gt;1972)),"FAIL - 1946-72 class, year "&amp;$H174,IF(AND(LEFT($L174,2)="08",OR($H174&lt;1973,$H174&gt;1999)),"FAIL - 1973-99 class, year "&amp;$H174,IF(AND(LEFT($L174,2)="09",OR($H174&lt;2000,$H174&gt;2010)),"FAIL - 2000-10 class, year "&amp;$H174,"OK")))))</f>
        <v/>
      </c>
      <c r="BF174" s="53" t="str">
        <f aca="false">IF($AD174="","",IF(ROUND($AO174+$AP174+$AQ174-$AD174,2)=0,"OK","FAIL - out by "&amp;TEXT($AO174+$AP174+$AQ174-$AD174,"$0.00")))</f>
        <v/>
      </c>
    </row>
    <row r="175" customFormat="false" ht="15" hidden="false" customHeight="true" outlineLevel="0" collapsed="false">
      <c r="A175" s="38"/>
      <c r="B175" s="38"/>
      <c r="C175" s="39"/>
      <c r="D175" s="40"/>
      <c r="E175" s="40"/>
      <c r="F175" s="38"/>
      <c r="G175" s="41" t="str">
        <f aca="false">IF($A175="","",IF($C175="","",YEAR($C175)))</f>
        <v/>
      </c>
      <c r="H175" s="42"/>
      <c r="I175" s="38"/>
      <c r="J175" s="38"/>
      <c r="K175" s="38"/>
      <c r="L175" s="40"/>
      <c r="M175" s="43"/>
      <c r="N175" s="40"/>
      <c r="O175" s="38"/>
      <c r="P175" s="38"/>
      <c r="Q175" s="38"/>
      <c r="R175" s="38"/>
      <c r="S175" s="40"/>
      <c r="T175" s="44" t="str">
        <f aca="false">IF($A175="","",IF($S175="","",IFERROR(INDEX(Lists!$N$5:$N$16,MATCH($S175,Lists!$M$5:$M$16,0)),"?")))</f>
        <v/>
      </c>
      <c r="U175" s="38"/>
      <c r="V175" s="40"/>
      <c r="W175" s="38"/>
      <c r="X175" s="40"/>
      <c r="Y175" s="38"/>
      <c r="Z175" s="38"/>
      <c r="AA175" s="40"/>
      <c r="AB175" s="43"/>
      <c r="AC175" s="45"/>
      <c r="AD175" s="46" t="str">
        <f aca="false">IF(ISNUMBER($AB175),$AB175*(1+N($AC175)),"")</f>
        <v/>
      </c>
      <c r="AE175" s="43"/>
      <c r="AF175" s="43"/>
      <c r="AG175" s="45"/>
      <c r="AH175" s="47" t="str">
        <f aca="false">IF(ISNUMBER($AD175),($AD175+$AE175+$AF175)*$AG175,"")</f>
        <v/>
      </c>
      <c r="AI175" s="43"/>
      <c r="AJ175" s="46" t="str">
        <f aca="false">IF(ISNUMBER($AD175),SUM($AD175:$AH175),"")</f>
        <v/>
      </c>
      <c r="AK175" s="48" t="str">
        <f aca="false">IF(AND(ISNUMBER($AB175),ISNUMBER($AD175)),IF($AB175&gt;0,$AD175/$AB175,""),"")</f>
        <v/>
      </c>
      <c r="AL175" s="40"/>
      <c r="AM175" s="49" t="str">
        <f aca="false">IF(ISNUMBER($AD175),Header!$I$3,"")</f>
        <v/>
      </c>
      <c r="AN175" s="47" t="str">
        <f aca="false">IF(ISNUMBER($AD175),$AO175+$AP175,"")</f>
        <v/>
      </c>
      <c r="AO175" s="47" t="str">
        <f aca="false">IF(ISNUMBER($AD175),ROUND($AD175*Header!$K$3,2),"")</f>
        <v/>
      </c>
      <c r="AP175" s="47" t="str">
        <f aca="false">IF(ISNUMBER($AD175),ROUND($AD175*Header!$M$3,2),"")</f>
        <v/>
      </c>
      <c r="AQ175" s="46" t="str">
        <f aca="false">IF(ISNUMBER($AD175),ROUND($AD175,2)-$AO175-$AP175,"")</f>
        <v/>
      </c>
      <c r="AR175" s="47" t="str">
        <f aca="false">IF(ISNUMBER($AD175),IF(Header!$D$34="","?",$AD175*Header!$D$34),"")</f>
        <v/>
      </c>
      <c r="AS175" s="47" t="str">
        <f aca="false">IF(ISNUMBER($AB175),IF(Header!$D$34="","?",$AB175*Header!$D$34),"")</f>
        <v/>
      </c>
      <c r="AT175" s="50" t="str">
        <f aca="false">IF(AND(ISNUMBER($AB175),$M175&gt;0),$AB175/$M175*100,"")</f>
        <v/>
      </c>
      <c r="AU175" s="50" t="str">
        <f aca="false">IF(AND(ISNUMBER($AD175),$M175&gt;0),$AD175/$M175*100,"")</f>
        <v/>
      </c>
      <c r="AV175" s="48" t="str">
        <f aca="false">IF(AND(ISNUMBER($AB175),ISNUMBER($AD175),ABS($AB175)&gt;0),$AD175/$AB175,"")</f>
        <v/>
      </c>
      <c r="AW175" s="47" t="str">
        <f aca="false">IF(ISNUMBER($AD175),MAX(0,(1-0.55-Header!$O$3)*Header!$Q$3*$AQ175),"")</f>
        <v/>
      </c>
      <c r="AX175" s="51" t="str">
        <f aca="false">IF($A175="","",IF(TRIM(IF($A175="","Missing certificate ref. ","") &amp; IF($C175="","Missing effective date. ","") &amp; IF($D175="","Missing binding status. ","") &amp; IF($E175="","Missing movement type. ","") &amp; IF($I175="","Missing make. ","") &amp; IF($L175="","Missing vehicle class. ","") &amp; IF($M175="","Missing agreed value. ","") &amp; IF($N175="","Missing policy type. ","") &amp; IF($Q175="","Missing garaging state. ","") &amp; IF($R175="","Missing garaging ZIP. ","") &amp; IF($S175="","Missing cat zone. ","") &amp; IF($V175="","Missing valuation basis. ","") &amp; IF($W175="","Missing PD deductible. ","") &amp; IF($X175="","Missing liability limit. ","") &amp; IF($AB175="","Missing technical premium. ","") &amp; IF($AF175="","Missing surplus lines tax %. ",""))="","PASS","FAIL: "&amp;TRIM(IF($A175="","Missing certificate ref. ","") &amp; IF($C175="","Missing effective date. ","") &amp; IF($D175="","Missing binding status. ","") &amp; IF($E175="","Missing movement type. ","") &amp; IF($I175="","Missing make. ","") &amp; IF($L175="","Missing vehicle class. ","") &amp; IF($M175="","Missing agreed value. ","") &amp; IF($N175="","Missing policy type. ","") &amp; IF($Q175="","Missing garaging state. ","") &amp; IF($R175="","Missing garaging ZIP. ","") &amp; IF($S175="","Missing cat zone. ","") &amp; IF($V175="","Missing valuation basis. ","") &amp; IF($W175="","Missing PD deductible. ","") &amp; IF($X175="","Missing liability limit. ","") &amp; IF($AB175="","Missing technical premium. ","") &amp; IF($AF175="","Missing surplus lines tax %. ",""))))</f>
        <v/>
      </c>
      <c r="AY175" s="52" t="str">
        <f aca="false">IF($M175="","",IF(ISNUMBER($M175),IF($M175&gt;=Header!$C$18,"YES — refer","No"),""))</f>
        <v/>
      </c>
      <c r="AZ175" s="52" t="str">
        <f aca="false">IF($AD175="","",IF(ISNUMBER($AD175),IF($AD175&lt;Header!$C$20,"BELOW MIN PREMIUM","OK"),""))</f>
        <v/>
      </c>
      <c r="BA175" s="40"/>
      <c r="BB175" s="40"/>
      <c r="BC175" s="38"/>
      <c r="BE175" s="53" t="str">
        <f aca="false">IF(OR($A175="",$L175="",$H175=""),"",IF(AND(LEFT($L175,2)="06",$H175&gt;1945),"FAIL - pre-war class, year "&amp;$H175,IF(AND(LEFT($L175,2)="07",OR($H175&lt;1946,$H175&gt;1972)),"FAIL - 1946-72 class, year "&amp;$H175,IF(AND(LEFT($L175,2)="08",OR($H175&lt;1973,$H175&gt;1999)),"FAIL - 1973-99 class, year "&amp;$H175,IF(AND(LEFT($L175,2)="09",OR($H175&lt;2000,$H175&gt;2010)),"FAIL - 2000-10 class, year "&amp;$H175,"OK")))))</f>
        <v/>
      </c>
      <c r="BF175" s="53" t="str">
        <f aca="false">IF($AD175="","",IF(ROUND($AO175+$AP175+$AQ175-$AD175,2)=0,"OK","FAIL - out by "&amp;TEXT($AO175+$AP175+$AQ175-$AD175,"$0.00")))</f>
        <v/>
      </c>
    </row>
    <row r="176" customFormat="false" ht="15" hidden="false" customHeight="true" outlineLevel="0" collapsed="false">
      <c r="A176" s="54"/>
      <c r="B176" s="54"/>
      <c r="C176" s="55"/>
      <c r="D176" s="56"/>
      <c r="E176" s="56"/>
      <c r="F176" s="54"/>
      <c r="G176" s="41" t="str">
        <f aca="false">IF($A176="","",IF($C176="","",YEAR($C176)))</f>
        <v/>
      </c>
      <c r="H176" s="57"/>
      <c r="I176" s="54"/>
      <c r="J176" s="54"/>
      <c r="K176" s="54"/>
      <c r="L176" s="56"/>
      <c r="M176" s="58"/>
      <c r="N176" s="56"/>
      <c r="O176" s="54"/>
      <c r="P176" s="54"/>
      <c r="Q176" s="54"/>
      <c r="R176" s="54"/>
      <c r="S176" s="56"/>
      <c r="T176" s="44" t="str">
        <f aca="false">IF($A176="","",IF($S176="","",IFERROR(INDEX(Lists!$N$5:$N$16,MATCH($S176,Lists!$M$5:$M$16,0)),"?")))</f>
        <v/>
      </c>
      <c r="U176" s="54"/>
      <c r="V176" s="56"/>
      <c r="W176" s="54"/>
      <c r="X176" s="56"/>
      <c r="Y176" s="54"/>
      <c r="Z176" s="54"/>
      <c r="AA176" s="56"/>
      <c r="AB176" s="58"/>
      <c r="AC176" s="59"/>
      <c r="AD176" s="46" t="str">
        <f aca="false">IF(ISNUMBER($AB176),$AB176*(1+N($AC176)),"")</f>
        <v/>
      </c>
      <c r="AE176" s="58"/>
      <c r="AF176" s="58"/>
      <c r="AG176" s="59"/>
      <c r="AH176" s="47" t="str">
        <f aca="false">IF(ISNUMBER($AD176),($AD176+$AE176+$AF176)*$AG176,"")</f>
        <v/>
      </c>
      <c r="AI176" s="58"/>
      <c r="AJ176" s="46" t="str">
        <f aca="false">IF(ISNUMBER($AD176),SUM($AD176:$AH176),"")</f>
        <v/>
      </c>
      <c r="AK176" s="48" t="str">
        <f aca="false">IF(AND(ISNUMBER($AB176),ISNUMBER($AD176)),IF($AB176&gt;0,$AD176/$AB176,""),"")</f>
        <v/>
      </c>
      <c r="AL176" s="56"/>
      <c r="AM176" s="49" t="str">
        <f aca="false">IF(ISNUMBER($AD176),Header!$I$3,"")</f>
        <v/>
      </c>
      <c r="AN176" s="47" t="str">
        <f aca="false">IF(ISNUMBER($AD176),$AO176+$AP176,"")</f>
        <v/>
      </c>
      <c r="AO176" s="47" t="str">
        <f aca="false">IF(ISNUMBER($AD176),ROUND($AD176*Header!$K$3,2),"")</f>
        <v/>
      </c>
      <c r="AP176" s="47" t="str">
        <f aca="false">IF(ISNUMBER($AD176),ROUND($AD176*Header!$M$3,2),"")</f>
        <v/>
      </c>
      <c r="AQ176" s="46" t="str">
        <f aca="false">IF(ISNUMBER($AD176),ROUND($AD176,2)-$AO176-$AP176,"")</f>
        <v/>
      </c>
      <c r="AR176" s="47" t="str">
        <f aca="false">IF(ISNUMBER($AD176),IF(Header!$D$34="","?",$AD176*Header!$D$34),"")</f>
        <v/>
      </c>
      <c r="AS176" s="47" t="str">
        <f aca="false">IF(ISNUMBER($AB176),IF(Header!$D$34="","?",$AB176*Header!$D$34),"")</f>
        <v/>
      </c>
      <c r="AT176" s="50" t="str">
        <f aca="false">IF(AND(ISNUMBER($AB176),$M176&gt;0),$AB176/$M176*100,"")</f>
        <v/>
      </c>
      <c r="AU176" s="50" t="str">
        <f aca="false">IF(AND(ISNUMBER($AD176),$M176&gt;0),$AD176/$M176*100,"")</f>
        <v/>
      </c>
      <c r="AV176" s="48" t="str">
        <f aca="false">IF(AND(ISNUMBER($AB176),ISNUMBER($AD176),ABS($AB176)&gt;0),$AD176/$AB176,"")</f>
        <v/>
      </c>
      <c r="AW176" s="47" t="str">
        <f aca="false">IF(ISNUMBER($AD176),MAX(0,(1-0.55-Header!$O$3)*Header!$Q$3*$AQ176),"")</f>
        <v/>
      </c>
      <c r="AX176" s="51" t="str">
        <f aca="false">IF($A176="","",IF(TRIM(IF($A176="","Missing certificate ref. ","") &amp; IF($C176="","Missing effective date. ","") &amp; IF($D176="","Missing binding status. ","") &amp; IF($E176="","Missing movement type. ","") &amp; IF($I176="","Missing make. ","") &amp; IF($L176="","Missing vehicle class. ","") &amp; IF($M176="","Missing agreed value. ","") &amp; IF($N176="","Missing policy type. ","") &amp; IF($Q176="","Missing garaging state. ","") &amp; IF($R176="","Missing garaging ZIP. ","") &amp; IF($S176="","Missing cat zone. ","") &amp; IF($V176="","Missing valuation basis. ","") &amp; IF($W176="","Missing PD deductible. ","") &amp; IF($X176="","Missing liability limit. ","") &amp; IF($AB176="","Missing technical premium. ","") &amp; IF($AF176="","Missing surplus lines tax %. ",""))="","PASS","FAIL: "&amp;TRIM(IF($A176="","Missing certificate ref. ","") &amp; IF($C176="","Missing effective date. ","") &amp; IF($D176="","Missing binding status. ","") &amp; IF($E176="","Missing movement type. ","") &amp; IF($I176="","Missing make. ","") &amp; IF($L176="","Missing vehicle class. ","") &amp; IF($M176="","Missing agreed value. ","") &amp; IF($N176="","Missing policy type. ","") &amp; IF($Q176="","Missing garaging state. ","") &amp; IF($R176="","Missing garaging ZIP. ","") &amp; IF($S176="","Missing cat zone. ","") &amp; IF($V176="","Missing valuation basis. ","") &amp; IF($W176="","Missing PD deductible. ","") &amp; IF($X176="","Missing liability limit. ","") &amp; IF($AB176="","Missing technical premium. ","") &amp; IF($AF176="","Missing surplus lines tax %. ",""))))</f>
        <v/>
      </c>
      <c r="AY176" s="52" t="str">
        <f aca="false">IF($M176="","",IF(ISNUMBER($M176),IF($M176&gt;=Header!$C$18,"YES — refer","No"),""))</f>
        <v/>
      </c>
      <c r="AZ176" s="52" t="str">
        <f aca="false">IF($AD176="","",IF(ISNUMBER($AD176),IF($AD176&lt;Header!$C$20,"BELOW MIN PREMIUM","OK"),""))</f>
        <v/>
      </c>
      <c r="BA176" s="56"/>
      <c r="BB176" s="56"/>
      <c r="BC176" s="54"/>
      <c r="BE176" s="53" t="str">
        <f aca="false">IF(OR($A176="",$L176="",$H176=""),"",IF(AND(LEFT($L176,2)="06",$H176&gt;1945),"FAIL - pre-war class, year "&amp;$H176,IF(AND(LEFT($L176,2)="07",OR($H176&lt;1946,$H176&gt;1972)),"FAIL - 1946-72 class, year "&amp;$H176,IF(AND(LEFT($L176,2)="08",OR($H176&lt;1973,$H176&gt;1999)),"FAIL - 1973-99 class, year "&amp;$H176,IF(AND(LEFT($L176,2)="09",OR($H176&lt;2000,$H176&gt;2010)),"FAIL - 2000-10 class, year "&amp;$H176,"OK")))))</f>
        <v/>
      </c>
      <c r="BF176" s="53" t="str">
        <f aca="false">IF($AD176="","",IF(ROUND($AO176+$AP176+$AQ176-$AD176,2)=0,"OK","FAIL - out by "&amp;TEXT($AO176+$AP176+$AQ176-$AD176,"$0.00")))</f>
        <v/>
      </c>
    </row>
    <row r="177" customFormat="false" ht="15" hidden="false" customHeight="true" outlineLevel="0" collapsed="false">
      <c r="A177" s="38"/>
      <c r="B177" s="38"/>
      <c r="C177" s="39"/>
      <c r="D177" s="40"/>
      <c r="E177" s="40"/>
      <c r="F177" s="38"/>
      <c r="G177" s="41" t="str">
        <f aca="false">IF($A177="","",IF($C177="","",YEAR($C177)))</f>
        <v/>
      </c>
      <c r="H177" s="42"/>
      <c r="I177" s="38"/>
      <c r="J177" s="38"/>
      <c r="K177" s="38"/>
      <c r="L177" s="40"/>
      <c r="M177" s="43"/>
      <c r="N177" s="40"/>
      <c r="O177" s="38"/>
      <c r="P177" s="38"/>
      <c r="Q177" s="38"/>
      <c r="R177" s="38"/>
      <c r="S177" s="40"/>
      <c r="T177" s="44" t="str">
        <f aca="false">IF($A177="","",IF($S177="","",IFERROR(INDEX(Lists!$N$5:$N$16,MATCH($S177,Lists!$M$5:$M$16,0)),"?")))</f>
        <v/>
      </c>
      <c r="U177" s="38"/>
      <c r="V177" s="40"/>
      <c r="W177" s="38"/>
      <c r="X177" s="40"/>
      <c r="Y177" s="38"/>
      <c r="Z177" s="38"/>
      <c r="AA177" s="40"/>
      <c r="AB177" s="43"/>
      <c r="AC177" s="45"/>
      <c r="AD177" s="46" t="str">
        <f aca="false">IF(ISNUMBER($AB177),$AB177*(1+N($AC177)),"")</f>
        <v/>
      </c>
      <c r="AE177" s="43"/>
      <c r="AF177" s="43"/>
      <c r="AG177" s="45"/>
      <c r="AH177" s="47" t="str">
        <f aca="false">IF(ISNUMBER($AD177),($AD177+$AE177+$AF177)*$AG177,"")</f>
        <v/>
      </c>
      <c r="AI177" s="43"/>
      <c r="AJ177" s="46" t="str">
        <f aca="false">IF(ISNUMBER($AD177),SUM($AD177:$AH177),"")</f>
        <v/>
      </c>
      <c r="AK177" s="48" t="str">
        <f aca="false">IF(AND(ISNUMBER($AB177),ISNUMBER($AD177)),IF($AB177&gt;0,$AD177/$AB177,""),"")</f>
        <v/>
      </c>
      <c r="AL177" s="40"/>
      <c r="AM177" s="49" t="str">
        <f aca="false">IF(ISNUMBER($AD177),Header!$I$3,"")</f>
        <v/>
      </c>
      <c r="AN177" s="47" t="str">
        <f aca="false">IF(ISNUMBER($AD177),$AO177+$AP177,"")</f>
        <v/>
      </c>
      <c r="AO177" s="47" t="str">
        <f aca="false">IF(ISNUMBER($AD177),ROUND($AD177*Header!$K$3,2),"")</f>
        <v/>
      </c>
      <c r="AP177" s="47" t="str">
        <f aca="false">IF(ISNUMBER($AD177),ROUND($AD177*Header!$M$3,2),"")</f>
        <v/>
      </c>
      <c r="AQ177" s="46" t="str">
        <f aca="false">IF(ISNUMBER($AD177),ROUND($AD177,2)-$AO177-$AP177,"")</f>
        <v/>
      </c>
      <c r="AR177" s="47" t="str">
        <f aca="false">IF(ISNUMBER($AD177),IF(Header!$D$34="","?",$AD177*Header!$D$34),"")</f>
        <v/>
      </c>
      <c r="AS177" s="47" t="str">
        <f aca="false">IF(ISNUMBER($AB177),IF(Header!$D$34="","?",$AB177*Header!$D$34),"")</f>
        <v/>
      </c>
      <c r="AT177" s="50" t="str">
        <f aca="false">IF(AND(ISNUMBER($AB177),$M177&gt;0),$AB177/$M177*100,"")</f>
        <v/>
      </c>
      <c r="AU177" s="50" t="str">
        <f aca="false">IF(AND(ISNUMBER($AD177),$M177&gt;0),$AD177/$M177*100,"")</f>
        <v/>
      </c>
      <c r="AV177" s="48" t="str">
        <f aca="false">IF(AND(ISNUMBER($AB177),ISNUMBER($AD177),ABS($AB177)&gt;0),$AD177/$AB177,"")</f>
        <v/>
      </c>
      <c r="AW177" s="47" t="str">
        <f aca="false">IF(ISNUMBER($AD177),MAX(0,(1-0.55-Header!$O$3)*Header!$Q$3*$AQ177),"")</f>
        <v/>
      </c>
      <c r="AX177" s="51" t="str">
        <f aca="false">IF($A177="","",IF(TRIM(IF($A177="","Missing certificate ref. ","") &amp; IF($C177="","Missing effective date. ","") &amp; IF($D177="","Missing binding status. ","") &amp; IF($E177="","Missing movement type. ","") &amp; IF($I177="","Missing make. ","") &amp; IF($L177="","Missing vehicle class. ","") &amp; IF($M177="","Missing agreed value. ","") &amp; IF($N177="","Missing policy type. ","") &amp; IF($Q177="","Missing garaging state. ","") &amp; IF($R177="","Missing garaging ZIP. ","") &amp; IF($S177="","Missing cat zone. ","") &amp; IF($V177="","Missing valuation basis. ","") &amp; IF($W177="","Missing PD deductible. ","") &amp; IF($X177="","Missing liability limit. ","") &amp; IF($AB177="","Missing technical premium. ","") &amp; IF($AF177="","Missing surplus lines tax %. ",""))="","PASS","FAIL: "&amp;TRIM(IF($A177="","Missing certificate ref. ","") &amp; IF($C177="","Missing effective date. ","") &amp; IF($D177="","Missing binding status. ","") &amp; IF($E177="","Missing movement type. ","") &amp; IF($I177="","Missing make. ","") &amp; IF($L177="","Missing vehicle class. ","") &amp; IF($M177="","Missing agreed value. ","") &amp; IF($N177="","Missing policy type. ","") &amp; IF($Q177="","Missing garaging state. ","") &amp; IF($R177="","Missing garaging ZIP. ","") &amp; IF($S177="","Missing cat zone. ","") &amp; IF($V177="","Missing valuation basis. ","") &amp; IF($W177="","Missing PD deductible. ","") &amp; IF($X177="","Missing liability limit. ","") &amp; IF($AB177="","Missing technical premium. ","") &amp; IF($AF177="","Missing surplus lines tax %. ",""))))</f>
        <v/>
      </c>
      <c r="AY177" s="52" t="str">
        <f aca="false">IF($M177="","",IF(ISNUMBER($M177),IF($M177&gt;=Header!$C$18,"YES — refer","No"),""))</f>
        <v/>
      </c>
      <c r="AZ177" s="52" t="str">
        <f aca="false">IF($AD177="","",IF(ISNUMBER($AD177),IF($AD177&lt;Header!$C$20,"BELOW MIN PREMIUM","OK"),""))</f>
        <v/>
      </c>
      <c r="BA177" s="40"/>
      <c r="BB177" s="40"/>
      <c r="BC177" s="38"/>
      <c r="BE177" s="53" t="str">
        <f aca="false">IF(OR($A177="",$L177="",$H177=""),"",IF(AND(LEFT($L177,2)="06",$H177&gt;1945),"FAIL - pre-war class, year "&amp;$H177,IF(AND(LEFT($L177,2)="07",OR($H177&lt;1946,$H177&gt;1972)),"FAIL - 1946-72 class, year "&amp;$H177,IF(AND(LEFT($L177,2)="08",OR($H177&lt;1973,$H177&gt;1999)),"FAIL - 1973-99 class, year "&amp;$H177,IF(AND(LEFT($L177,2)="09",OR($H177&lt;2000,$H177&gt;2010)),"FAIL - 2000-10 class, year "&amp;$H177,"OK")))))</f>
        <v/>
      </c>
      <c r="BF177" s="53" t="str">
        <f aca="false">IF($AD177="","",IF(ROUND($AO177+$AP177+$AQ177-$AD177,2)=0,"OK","FAIL - out by "&amp;TEXT($AO177+$AP177+$AQ177-$AD177,"$0.00")))</f>
        <v/>
      </c>
    </row>
    <row r="178" customFormat="false" ht="15" hidden="false" customHeight="true" outlineLevel="0" collapsed="false">
      <c r="A178" s="54"/>
      <c r="B178" s="54"/>
      <c r="C178" s="55"/>
      <c r="D178" s="56"/>
      <c r="E178" s="56"/>
      <c r="F178" s="54"/>
      <c r="G178" s="41" t="str">
        <f aca="false">IF($A178="","",IF($C178="","",YEAR($C178)))</f>
        <v/>
      </c>
      <c r="H178" s="57"/>
      <c r="I178" s="54"/>
      <c r="J178" s="54"/>
      <c r="K178" s="54"/>
      <c r="L178" s="56"/>
      <c r="M178" s="58"/>
      <c r="N178" s="56"/>
      <c r="O178" s="54"/>
      <c r="P178" s="54"/>
      <c r="Q178" s="54"/>
      <c r="R178" s="54"/>
      <c r="S178" s="56"/>
      <c r="T178" s="44" t="str">
        <f aca="false">IF($A178="","",IF($S178="","",IFERROR(INDEX(Lists!$N$5:$N$16,MATCH($S178,Lists!$M$5:$M$16,0)),"?")))</f>
        <v/>
      </c>
      <c r="U178" s="54"/>
      <c r="V178" s="56"/>
      <c r="W178" s="54"/>
      <c r="X178" s="56"/>
      <c r="Y178" s="54"/>
      <c r="Z178" s="54"/>
      <c r="AA178" s="56"/>
      <c r="AB178" s="58"/>
      <c r="AC178" s="59"/>
      <c r="AD178" s="46" t="str">
        <f aca="false">IF(ISNUMBER($AB178),$AB178*(1+N($AC178)),"")</f>
        <v/>
      </c>
      <c r="AE178" s="58"/>
      <c r="AF178" s="58"/>
      <c r="AG178" s="59"/>
      <c r="AH178" s="47" t="str">
        <f aca="false">IF(ISNUMBER($AD178),($AD178+$AE178+$AF178)*$AG178,"")</f>
        <v/>
      </c>
      <c r="AI178" s="58"/>
      <c r="AJ178" s="46" t="str">
        <f aca="false">IF(ISNUMBER($AD178),SUM($AD178:$AH178),"")</f>
        <v/>
      </c>
      <c r="AK178" s="48" t="str">
        <f aca="false">IF(AND(ISNUMBER($AB178),ISNUMBER($AD178)),IF($AB178&gt;0,$AD178/$AB178,""),"")</f>
        <v/>
      </c>
      <c r="AL178" s="56"/>
      <c r="AM178" s="49" t="str">
        <f aca="false">IF(ISNUMBER($AD178),Header!$I$3,"")</f>
        <v/>
      </c>
      <c r="AN178" s="47" t="str">
        <f aca="false">IF(ISNUMBER($AD178),$AO178+$AP178,"")</f>
        <v/>
      </c>
      <c r="AO178" s="47" t="str">
        <f aca="false">IF(ISNUMBER($AD178),ROUND($AD178*Header!$K$3,2),"")</f>
        <v/>
      </c>
      <c r="AP178" s="47" t="str">
        <f aca="false">IF(ISNUMBER($AD178),ROUND($AD178*Header!$M$3,2),"")</f>
        <v/>
      </c>
      <c r="AQ178" s="46" t="str">
        <f aca="false">IF(ISNUMBER($AD178),ROUND($AD178,2)-$AO178-$AP178,"")</f>
        <v/>
      </c>
      <c r="AR178" s="47" t="str">
        <f aca="false">IF(ISNUMBER($AD178),IF(Header!$D$34="","?",$AD178*Header!$D$34),"")</f>
        <v/>
      </c>
      <c r="AS178" s="47" t="str">
        <f aca="false">IF(ISNUMBER($AB178),IF(Header!$D$34="","?",$AB178*Header!$D$34),"")</f>
        <v/>
      </c>
      <c r="AT178" s="50" t="str">
        <f aca="false">IF(AND(ISNUMBER($AB178),$M178&gt;0),$AB178/$M178*100,"")</f>
        <v/>
      </c>
      <c r="AU178" s="50" t="str">
        <f aca="false">IF(AND(ISNUMBER($AD178),$M178&gt;0),$AD178/$M178*100,"")</f>
        <v/>
      </c>
      <c r="AV178" s="48" t="str">
        <f aca="false">IF(AND(ISNUMBER($AB178),ISNUMBER($AD178),ABS($AB178)&gt;0),$AD178/$AB178,"")</f>
        <v/>
      </c>
      <c r="AW178" s="47" t="str">
        <f aca="false">IF(ISNUMBER($AD178),MAX(0,(1-0.55-Header!$O$3)*Header!$Q$3*$AQ178),"")</f>
        <v/>
      </c>
      <c r="AX178" s="51" t="str">
        <f aca="false">IF($A178="","",IF(TRIM(IF($A178="","Missing certificate ref. ","") &amp; IF($C178="","Missing effective date. ","") &amp; IF($D178="","Missing binding status. ","") &amp; IF($E178="","Missing movement type. ","") &amp; IF($I178="","Missing make. ","") &amp; IF($L178="","Missing vehicle class. ","") &amp; IF($M178="","Missing agreed value. ","") &amp; IF($N178="","Missing policy type. ","") &amp; IF($Q178="","Missing garaging state. ","") &amp; IF($R178="","Missing garaging ZIP. ","") &amp; IF($S178="","Missing cat zone. ","") &amp; IF($V178="","Missing valuation basis. ","") &amp; IF($W178="","Missing PD deductible. ","") &amp; IF($X178="","Missing liability limit. ","") &amp; IF($AB178="","Missing technical premium. ","") &amp; IF($AF178="","Missing surplus lines tax %. ",""))="","PASS","FAIL: "&amp;TRIM(IF($A178="","Missing certificate ref. ","") &amp; IF($C178="","Missing effective date. ","") &amp; IF($D178="","Missing binding status. ","") &amp; IF($E178="","Missing movement type. ","") &amp; IF($I178="","Missing make. ","") &amp; IF($L178="","Missing vehicle class. ","") &amp; IF($M178="","Missing agreed value. ","") &amp; IF($N178="","Missing policy type. ","") &amp; IF($Q178="","Missing garaging state. ","") &amp; IF($R178="","Missing garaging ZIP. ","") &amp; IF($S178="","Missing cat zone. ","") &amp; IF($V178="","Missing valuation basis. ","") &amp; IF($W178="","Missing PD deductible. ","") &amp; IF($X178="","Missing liability limit. ","") &amp; IF($AB178="","Missing technical premium. ","") &amp; IF($AF178="","Missing surplus lines tax %. ",""))))</f>
        <v/>
      </c>
      <c r="AY178" s="52" t="str">
        <f aca="false">IF($M178="","",IF(ISNUMBER($M178),IF($M178&gt;=Header!$C$18,"YES — refer","No"),""))</f>
        <v/>
      </c>
      <c r="AZ178" s="52" t="str">
        <f aca="false">IF($AD178="","",IF(ISNUMBER($AD178),IF($AD178&lt;Header!$C$20,"BELOW MIN PREMIUM","OK"),""))</f>
        <v/>
      </c>
      <c r="BA178" s="56"/>
      <c r="BB178" s="56"/>
      <c r="BC178" s="54"/>
      <c r="BE178" s="53" t="str">
        <f aca="false">IF(OR($A178="",$L178="",$H178=""),"",IF(AND(LEFT($L178,2)="06",$H178&gt;1945),"FAIL - pre-war class, year "&amp;$H178,IF(AND(LEFT($L178,2)="07",OR($H178&lt;1946,$H178&gt;1972)),"FAIL - 1946-72 class, year "&amp;$H178,IF(AND(LEFT($L178,2)="08",OR($H178&lt;1973,$H178&gt;1999)),"FAIL - 1973-99 class, year "&amp;$H178,IF(AND(LEFT($L178,2)="09",OR($H178&lt;2000,$H178&gt;2010)),"FAIL - 2000-10 class, year "&amp;$H178,"OK")))))</f>
        <v/>
      </c>
      <c r="BF178" s="53" t="str">
        <f aca="false">IF($AD178="","",IF(ROUND($AO178+$AP178+$AQ178-$AD178,2)=0,"OK","FAIL - out by "&amp;TEXT($AO178+$AP178+$AQ178-$AD178,"$0.00")))</f>
        <v/>
      </c>
    </row>
    <row r="179" customFormat="false" ht="15" hidden="false" customHeight="true" outlineLevel="0" collapsed="false">
      <c r="A179" s="38"/>
      <c r="B179" s="38"/>
      <c r="C179" s="39"/>
      <c r="D179" s="40"/>
      <c r="E179" s="40"/>
      <c r="F179" s="38"/>
      <c r="G179" s="41" t="str">
        <f aca="false">IF($A179="","",IF($C179="","",YEAR($C179)))</f>
        <v/>
      </c>
      <c r="H179" s="42"/>
      <c r="I179" s="38"/>
      <c r="J179" s="38"/>
      <c r="K179" s="38"/>
      <c r="L179" s="40"/>
      <c r="M179" s="43"/>
      <c r="N179" s="40"/>
      <c r="O179" s="38"/>
      <c r="P179" s="38"/>
      <c r="Q179" s="38"/>
      <c r="R179" s="38"/>
      <c r="S179" s="40"/>
      <c r="T179" s="44" t="str">
        <f aca="false">IF($A179="","",IF($S179="","",IFERROR(INDEX(Lists!$N$5:$N$16,MATCH($S179,Lists!$M$5:$M$16,0)),"?")))</f>
        <v/>
      </c>
      <c r="U179" s="38"/>
      <c r="V179" s="40"/>
      <c r="W179" s="38"/>
      <c r="X179" s="40"/>
      <c r="Y179" s="38"/>
      <c r="Z179" s="38"/>
      <c r="AA179" s="40"/>
      <c r="AB179" s="43"/>
      <c r="AC179" s="45"/>
      <c r="AD179" s="46" t="str">
        <f aca="false">IF(ISNUMBER($AB179),$AB179*(1+N($AC179)),"")</f>
        <v/>
      </c>
      <c r="AE179" s="43"/>
      <c r="AF179" s="43"/>
      <c r="AG179" s="45"/>
      <c r="AH179" s="47" t="str">
        <f aca="false">IF(ISNUMBER($AD179),($AD179+$AE179+$AF179)*$AG179,"")</f>
        <v/>
      </c>
      <c r="AI179" s="43"/>
      <c r="AJ179" s="46" t="str">
        <f aca="false">IF(ISNUMBER($AD179),SUM($AD179:$AH179),"")</f>
        <v/>
      </c>
      <c r="AK179" s="48" t="str">
        <f aca="false">IF(AND(ISNUMBER($AB179),ISNUMBER($AD179)),IF($AB179&gt;0,$AD179/$AB179,""),"")</f>
        <v/>
      </c>
      <c r="AL179" s="40"/>
      <c r="AM179" s="49" t="str">
        <f aca="false">IF(ISNUMBER($AD179),Header!$I$3,"")</f>
        <v/>
      </c>
      <c r="AN179" s="47" t="str">
        <f aca="false">IF(ISNUMBER($AD179),$AO179+$AP179,"")</f>
        <v/>
      </c>
      <c r="AO179" s="47" t="str">
        <f aca="false">IF(ISNUMBER($AD179),ROUND($AD179*Header!$K$3,2),"")</f>
        <v/>
      </c>
      <c r="AP179" s="47" t="str">
        <f aca="false">IF(ISNUMBER($AD179),ROUND($AD179*Header!$M$3,2),"")</f>
        <v/>
      </c>
      <c r="AQ179" s="46" t="str">
        <f aca="false">IF(ISNUMBER($AD179),ROUND($AD179,2)-$AO179-$AP179,"")</f>
        <v/>
      </c>
      <c r="AR179" s="47" t="str">
        <f aca="false">IF(ISNUMBER($AD179),IF(Header!$D$34="","?",$AD179*Header!$D$34),"")</f>
        <v/>
      </c>
      <c r="AS179" s="47" t="str">
        <f aca="false">IF(ISNUMBER($AB179),IF(Header!$D$34="","?",$AB179*Header!$D$34),"")</f>
        <v/>
      </c>
      <c r="AT179" s="50" t="str">
        <f aca="false">IF(AND(ISNUMBER($AB179),$M179&gt;0),$AB179/$M179*100,"")</f>
        <v/>
      </c>
      <c r="AU179" s="50" t="str">
        <f aca="false">IF(AND(ISNUMBER($AD179),$M179&gt;0),$AD179/$M179*100,"")</f>
        <v/>
      </c>
      <c r="AV179" s="48" t="str">
        <f aca="false">IF(AND(ISNUMBER($AB179),ISNUMBER($AD179),ABS($AB179)&gt;0),$AD179/$AB179,"")</f>
        <v/>
      </c>
      <c r="AW179" s="47" t="str">
        <f aca="false">IF(ISNUMBER($AD179),MAX(0,(1-0.55-Header!$O$3)*Header!$Q$3*$AQ179),"")</f>
        <v/>
      </c>
      <c r="AX179" s="51" t="str">
        <f aca="false">IF($A179="","",IF(TRIM(IF($A179="","Missing certificate ref. ","") &amp; IF($C179="","Missing effective date. ","") &amp; IF($D179="","Missing binding status. ","") &amp; IF($E179="","Missing movement type. ","") &amp; IF($I179="","Missing make. ","") &amp; IF($L179="","Missing vehicle class. ","") &amp; IF($M179="","Missing agreed value. ","") &amp; IF($N179="","Missing policy type. ","") &amp; IF($Q179="","Missing garaging state. ","") &amp; IF($R179="","Missing garaging ZIP. ","") &amp; IF($S179="","Missing cat zone. ","") &amp; IF($V179="","Missing valuation basis. ","") &amp; IF($W179="","Missing PD deductible. ","") &amp; IF($X179="","Missing liability limit. ","") &amp; IF($AB179="","Missing technical premium. ","") &amp; IF($AF179="","Missing surplus lines tax %. ",""))="","PASS","FAIL: "&amp;TRIM(IF($A179="","Missing certificate ref. ","") &amp; IF($C179="","Missing effective date. ","") &amp; IF($D179="","Missing binding status. ","") &amp; IF($E179="","Missing movement type. ","") &amp; IF($I179="","Missing make. ","") &amp; IF($L179="","Missing vehicle class. ","") &amp; IF($M179="","Missing agreed value. ","") &amp; IF($N179="","Missing policy type. ","") &amp; IF($Q179="","Missing garaging state. ","") &amp; IF($R179="","Missing garaging ZIP. ","") &amp; IF($S179="","Missing cat zone. ","") &amp; IF($V179="","Missing valuation basis. ","") &amp; IF($W179="","Missing PD deductible. ","") &amp; IF($X179="","Missing liability limit. ","") &amp; IF($AB179="","Missing technical premium. ","") &amp; IF($AF179="","Missing surplus lines tax %. ",""))))</f>
        <v/>
      </c>
      <c r="AY179" s="52" t="str">
        <f aca="false">IF($M179="","",IF(ISNUMBER($M179),IF($M179&gt;=Header!$C$18,"YES — refer","No"),""))</f>
        <v/>
      </c>
      <c r="AZ179" s="52" t="str">
        <f aca="false">IF($AD179="","",IF(ISNUMBER($AD179),IF($AD179&lt;Header!$C$20,"BELOW MIN PREMIUM","OK"),""))</f>
        <v/>
      </c>
      <c r="BA179" s="40"/>
      <c r="BB179" s="40"/>
      <c r="BC179" s="38"/>
      <c r="BE179" s="53" t="str">
        <f aca="false">IF(OR($A179="",$L179="",$H179=""),"",IF(AND(LEFT($L179,2)="06",$H179&gt;1945),"FAIL - pre-war class, year "&amp;$H179,IF(AND(LEFT($L179,2)="07",OR($H179&lt;1946,$H179&gt;1972)),"FAIL - 1946-72 class, year "&amp;$H179,IF(AND(LEFT($L179,2)="08",OR($H179&lt;1973,$H179&gt;1999)),"FAIL - 1973-99 class, year "&amp;$H179,IF(AND(LEFT($L179,2)="09",OR($H179&lt;2000,$H179&gt;2010)),"FAIL - 2000-10 class, year "&amp;$H179,"OK")))))</f>
        <v/>
      </c>
      <c r="BF179" s="53" t="str">
        <f aca="false">IF($AD179="","",IF(ROUND($AO179+$AP179+$AQ179-$AD179,2)=0,"OK","FAIL - out by "&amp;TEXT($AO179+$AP179+$AQ179-$AD179,"$0.00")))</f>
        <v/>
      </c>
    </row>
    <row r="180" customFormat="false" ht="15" hidden="false" customHeight="true" outlineLevel="0" collapsed="false">
      <c r="A180" s="54"/>
      <c r="B180" s="54"/>
      <c r="C180" s="55"/>
      <c r="D180" s="56"/>
      <c r="E180" s="56"/>
      <c r="F180" s="54"/>
      <c r="G180" s="41" t="str">
        <f aca="false">IF($A180="","",IF($C180="","",YEAR($C180)))</f>
        <v/>
      </c>
      <c r="H180" s="57"/>
      <c r="I180" s="54"/>
      <c r="J180" s="54"/>
      <c r="K180" s="54"/>
      <c r="L180" s="56"/>
      <c r="M180" s="58"/>
      <c r="N180" s="56"/>
      <c r="O180" s="54"/>
      <c r="P180" s="54"/>
      <c r="Q180" s="54"/>
      <c r="R180" s="54"/>
      <c r="S180" s="56"/>
      <c r="T180" s="44" t="str">
        <f aca="false">IF($A180="","",IF($S180="","",IFERROR(INDEX(Lists!$N$5:$N$16,MATCH($S180,Lists!$M$5:$M$16,0)),"?")))</f>
        <v/>
      </c>
      <c r="U180" s="54"/>
      <c r="V180" s="56"/>
      <c r="W180" s="54"/>
      <c r="X180" s="56"/>
      <c r="Y180" s="54"/>
      <c r="Z180" s="54"/>
      <c r="AA180" s="56"/>
      <c r="AB180" s="58"/>
      <c r="AC180" s="59"/>
      <c r="AD180" s="46" t="str">
        <f aca="false">IF(ISNUMBER($AB180),$AB180*(1+N($AC180)),"")</f>
        <v/>
      </c>
      <c r="AE180" s="58"/>
      <c r="AF180" s="58"/>
      <c r="AG180" s="59"/>
      <c r="AH180" s="47" t="str">
        <f aca="false">IF(ISNUMBER($AD180),($AD180+$AE180+$AF180)*$AG180,"")</f>
        <v/>
      </c>
      <c r="AI180" s="58"/>
      <c r="AJ180" s="46" t="str">
        <f aca="false">IF(ISNUMBER($AD180),SUM($AD180:$AH180),"")</f>
        <v/>
      </c>
      <c r="AK180" s="48" t="str">
        <f aca="false">IF(AND(ISNUMBER($AB180),ISNUMBER($AD180)),IF($AB180&gt;0,$AD180/$AB180,""),"")</f>
        <v/>
      </c>
      <c r="AL180" s="56"/>
      <c r="AM180" s="49" t="str">
        <f aca="false">IF(ISNUMBER($AD180),Header!$I$3,"")</f>
        <v/>
      </c>
      <c r="AN180" s="47" t="str">
        <f aca="false">IF(ISNUMBER($AD180),$AO180+$AP180,"")</f>
        <v/>
      </c>
      <c r="AO180" s="47" t="str">
        <f aca="false">IF(ISNUMBER($AD180),ROUND($AD180*Header!$K$3,2),"")</f>
        <v/>
      </c>
      <c r="AP180" s="47" t="str">
        <f aca="false">IF(ISNUMBER($AD180),ROUND($AD180*Header!$M$3,2),"")</f>
        <v/>
      </c>
      <c r="AQ180" s="46" t="str">
        <f aca="false">IF(ISNUMBER($AD180),ROUND($AD180,2)-$AO180-$AP180,"")</f>
        <v/>
      </c>
      <c r="AR180" s="47" t="str">
        <f aca="false">IF(ISNUMBER($AD180),IF(Header!$D$34="","?",$AD180*Header!$D$34),"")</f>
        <v/>
      </c>
      <c r="AS180" s="47" t="str">
        <f aca="false">IF(ISNUMBER($AB180),IF(Header!$D$34="","?",$AB180*Header!$D$34),"")</f>
        <v/>
      </c>
      <c r="AT180" s="50" t="str">
        <f aca="false">IF(AND(ISNUMBER($AB180),$M180&gt;0),$AB180/$M180*100,"")</f>
        <v/>
      </c>
      <c r="AU180" s="50" t="str">
        <f aca="false">IF(AND(ISNUMBER($AD180),$M180&gt;0),$AD180/$M180*100,"")</f>
        <v/>
      </c>
      <c r="AV180" s="48" t="str">
        <f aca="false">IF(AND(ISNUMBER($AB180),ISNUMBER($AD180),ABS($AB180)&gt;0),$AD180/$AB180,"")</f>
        <v/>
      </c>
      <c r="AW180" s="47" t="str">
        <f aca="false">IF(ISNUMBER($AD180),MAX(0,(1-0.55-Header!$O$3)*Header!$Q$3*$AQ180),"")</f>
        <v/>
      </c>
      <c r="AX180" s="51" t="str">
        <f aca="false">IF($A180="","",IF(TRIM(IF($A180="","Missing certificate ref. ","") &amp; IF($C180="","Missing effective date. ","") &amp; IF($D180="","Missing binding status. ","") &amp; IF($E180="","Missing movement type. ","") &amp; IF($I180="","Missing make. ","") &amp; IF($L180="","Missing vehicle class. ","") &amp; IF($M180="","Missing agreed value. ","") &amp; IF($N180="","Missing policy type. ","") &amp; IF($Q180="","Missing garaging state. ","") &amp; IF($R180="","Missing garaging ZIP. ","") &amp; IF($S180="","Missing cat zone. ","") &amp; IF($V180="","Missing valuation basis. ","") &amp; IF($W180="","Missing PD deductible. ","") &amp; IF($X180="","Missing liability limit. ","") &amp; IF($AB180="","Missing technical premium. ","") &amp; IF($AF180="","Missing surplus lines tax %. ",""))="","PASS","FAIL: "&amp;TRIM(IF($A180="","Missing certificate ref. ","") &amp; IF($C180="","Missing effective date. ","") &amp; IF($D180="","Missing binding status. ","") &amp; IF($E180="","Missing movement type. ","") &amp; IF($I180="","Missing make. ","") &amp; IF($L180="","Missing vehicle class. ","") &amp; IF($M180="","Missing agreed value. ","") &amp; IF($N180="","Missing policy type. ","") &amp; IF($Q180="","Missing garaging state. ","") &amp; IF($R180="","Missing garaging ZIP. ","") &amp; IF($S180="","Missing cat zone. ","") &amp; IF($V180="","Missing valuation basis. ","") &amp; IF($W180="","Missing PD deductible. ","") &amp; IF($X180="","Missing liability limit. ","") &amp; IF($AB180="","Missing technical premium. ","") &amp; IF($AF180="","Missing surplus lines tax %. ",""))))</f>
        <v/>
      </c>
      <c r="AY180" s="52" t="str">
        <f aca="false">IF($M180="","",IF(ISNUMBER($M180),IF($M180&gt;=Header!$C$18,"YES — refer","No"),""))</f>
        <v/>
      </c>
      <c r="AZ180" s="52" t="str">
        <f aca="false">IF($AD180="","",IF(ISNUMBER($AD180),IF($AD180&lt;Header!$C$20,"BELOW MIN PREMIUM","OK"),""))</f>
        <v/>
      </c>
      <c r="BA180" s="56"/>
      <c r="BB180" s="56"/>
      <c r="BC180" s="54"/>
      <c r="BE180" s="53" t="str">
        <f aca="false">IF(OR($A180="",$L180="",$H180=""),"",IF(AND(LEFT($L180,2)="06",$H180&gt;1945),"FAIL - pre-war class, year "&amp;$H180,IF(AND(LEFT($L180,2)="07",OR($H180&lt;1946,$H180&gt;1972)),"FAIL - 1946-72 class, year "&amp;$H180,IF(AND(LEFT($L180,2)="08",OR($H180&lt;1973,$H180&gt;1999)),"FAIL - 1973-99 class, year "&amp;$H180,IF(AND(LEFT($L180,2)="09",OR($H180&lt;2000,$H180&gt;2010)),"FAIL - 2000-10 class, year "&amp;$H180,"OK")))))</f>
        <v/>
      </c>
      <c r="BF180" s="53" t="str">
        <f aca="false">IF($AD180="","",IF(ROUND($AO180+$AP180+$AQ180-$AD180,2)=0,"OK","FAIL - out by "&amp;TEXT($AO180+$AP180+$AQ180-$AD180,"$0.00")))</f>
        <v/>
      </c>
    </row>
    <row r="181" customFormat="false" ht="15" hidden="false" customHeight="true" outlineLevel="0" collapsed="false">
      <c r="A181" s="38"/>
      <c r="B181" s="38"/>
      <c r="C181" s="39"/>
      <c r="D181" s="40"/>
      <c r="E181" s="40"/>
      <c r="F181" s="38"/>
      <c r="G181" s="41" t="str">
        <f aca="false">IF($A181="","",IF($C181="","",YEAR($C181)))</f>
        <v/>
      </c>
      <c r="H181" s="42"/>
      <c r="I181" s="38"/>
      <c r="J181" s="38"/>
      <c r="K181" s="38"/>
      <c r="L181" s="40"/>
      <c r="M181" s="43"/>
      <c r="N181" s="40"/>
      <c r="O181" s="38"/>
      <c r="P181" s="38"/>
      <c r="Q181" s="38"/>
      <c r="R181" s="38"/>
      <c r="S181" s="40"/>
      <c r="T181" s="44" t="str">
        <f aca="false">IF($A181="","",IF($S181="","",IFERROR(INDEX(Lists!$N$5:$N$16,MATCH($S181,Lists!$M$5:$M$16,0)),"?")))</f>
        <v/>
      </c>
      <c r="U181" s="38"/>
      <c r="V181" s="40"/>
      <c r="W181" s="38"/>
      <c r="X181" s="40"/>
      <c r="Y181" s="38"/>
      <c r="Z181" s="38"/>
      <c r="AA181" s="40"/>
      <c r="AB181" s="43"/>
      <c r="AC181" s="45"/>
      <c r="AD181" s="46" t="str">
        <f aca="false">IF(ISNUMBER($AB181),$AB181*(1+N($AC181)),"")</f>
        <v/>
      </c>
      <c r="AE181" s="43"/>
      <c r="AF181" s="43"/>
      <c r="AG181" s="45"/>
      <c r="AH181" s="47" t="str">
        <f aca="false">IF(ISNUMBER($AD181),($AD181+$AE181+$AF181)*$AG181,"")</f>
        <v/>
      </c>
      <c r="AI181" s="43"/>
      <c r="AJ181" s="46" t="str">
        <f aca="false">IF(ISNUMBER($AD181),SUM($AD181:$AH181),"")</f>
        <v/>
      </c>
      <c r="AK181" s="48" t="str">
        <f aca="false">IF(AND(ISNUMBER($AB181),ISNUMBER($AD181)),IF($AB181&gt;0,$AD181/$AB181,""),"")</f>
        <v/>
      </c>
      <c r="AL181" s="40"/>
      <c r="AM181" s="49" t="str">
        <f aca="false">IF(ISNUMBER($AD181),Header!$I$3,"")</f>
        <v/>
      </c>
      <c r="AN181" s="47" t="str">
        <f aca="false">IF(ISNUMBER($AD181),$AO181+$AP181,"")</f>
        <v/>
      </c>
      <c r="AO181" s="47" t="str">
        <f aca="false">IF(ISNUMBER($AD181),ROUND($AD181*Header!$K$3,2),"")</f>
        <v/>
      </c>
      <c r="AP181" s="47" t="str">
        <f aca="false">IF(ISNUMBER($AD181),ROUND($AD181*Header!$M$3,2),"")</f>
        <v/>
      </c>
      <c r="AQ181" s="46" t="str">
        <f aca="false">IF(ISNUMBER($AD181),ROUND($AD181,2)-$AO181-$AP181,"")</f>
        <v/>
      </c>
      <c r="AR181" s="47" t="str">
        <f aca="false">IF(ISNUMBER($AD181),IF(Header!$D$34="","?",$AD181*Header!$D$34),"")</f>
        <v/>
      </c>
      <c r="AS181" s="47" t="str">
        <f aca="false">IF(ISNUMBER($AB181),IF(Header!$D$34="","?",$AB181*Header!$D$34),"")</f>
        <v/>
      </c>
      <c r="AT181" s="50" t="str">
        <f aca="false">IF(AND(ISNUMBER($AB181),$M181&gt;0),$AB181/$M181*100,"")</f>
        <v/>
      </c>
      <c r="AU181" s="50" t="str">
        <f aca="false">IF(AND(ISNUMBER($AD181),$M181&gt;0),$AD181/$M181*100,"")</f>
        <v/>
      </c>
      <c r="AV181" s="48" t="str">
        <f aca="false">IF(AND(ISNUMBER($AB181),ISNUMBER($AD181),ABS($AB181)&gt;0),$AD181/$AB181,"")</f>
        <v/>
      </c>
      <c r="AW181" s="47" t="str">
        <f aca="false">IF(ISNUMBER($AD181),MAX(0,(1-0.55-Header!$O$3)*Header!$Q$3*$AQ181),"")</f>
        <v/>
      </c>
      <c r="AX181" s="51" t="str">
        <f aca="false">IF($A181="","",IF(TRIM(IF($A181="","Missing certificate ref. ","") &amp; IF($C181="","Missing effective date. ","") &amp; IF($D181="","Missing binding status. ","") &amp; IF($E181="","Missing movement type. ","") &amp; IF($I181="","Missing make. ","") &amp; IF($L181="","Missing vehicle class. ","") &amp; IF($M181="","Missing agreed value. ","") &amp; IF($N181="","Missing policy type. ","") &amp; IF($Q181="","Missing garaging state. ","") &amp; IF($R181="","Missing garaging ZIP. ","") &amp; IF($S181="","Missing cat zone. ","") &amp; IF($V181="","Missing valuation basis. ","") &amp; IF($W181="","Missing PD deductible. ","") &amp; IF($X181="","Missing liability limit. ","") &amp; IF($AB181="","Missing technical premium. ","") &amp; IF($AF181="","Missing surplus lines tax %. ",""))="","PASS","FAIL: "&amp;TRIM(IF($A181="","Missing certificate ref. ","") &amp; IF($C181="","Missing effective date. ","") &amp; IF($D181="","Missing binding status. ","") &amp; IF($E181="","Missing movement type. ","") &amp; IF($I181="","Missing make. ","") &amp; IF($L181="","Missing vehicle class. ","") &amp; IF($M181="","Missing agreed value. ","") &amp; IF($N181="","Missing policy type. ","") &amp; IF($Q181="","Missing garaging state. ","") &amp; IF($R181="","Missing garaging ZIP. ","") &amp; IF($S181="","Missing cat zone. ","") &amp; IF($V181="","Missing valuation basis. ","") &amp; IF($W181="","Missing PD deductible. ","") &amp; IF($X181="","Missing liability limit. ","") &amp; IF($AB181="","Missing technical premium. ","") &amp; IF($AF181="","Missing surplus lines tax %. ",""))))</f>
        <v/>
      </c>
      <c r="AY181" s="52" t="str">
        <f aca="false">IF($M181="","",IF(ISNUMBER($M181),IF($M181&gt;=Header!$C$18,"YES — refer","No"),""))</f>
        <v/>
      </c>
      <c r="AZ181" s="52" t="str">
        <f aca="false">IF($AD181="","",IF(ISNUMBER($AD181),IF($AD181&lt;Header!$C$20,"BELOW MIN PREMIUM","OK"),""))</f>
        <v/>
      </c>
      <c r="BA181" s="40"/>
      <c r="BB181" s="40"/>
      <c r="BC181" s="38"/>
      <c r="BE181" s="53" t="str">
        <f aca="false">IF(OR($A181="",$L181="",$H181=""),"",IF(AND(LEFT($L181,2)="06",$H181&gt;1945),"FAIL - pre-war class, year "&amp;$H181,IF(AND(LEFT($L181,2)="07",OR($H181&lt;1946,$H181&gt;1972)),"FAIL - 1946-72 class, year "&amp;$H181,IF(AND(LEFT($L181,2)="08",OR($H181&lt;1973,$H181&gt;1999)),"FAIL - 1973-99 class, year "&amp;$H181,IF(AND(LEFT($L181,2)="09",OR($H181&lt;2000,$H181&gt;2010)),"FAIL - 2000-10 class, year "&amp;$H181,"OK")))))</f>
        <v/>
      </c>
      <c r="BF181" s="53" t="str">
        <f aca="false">IF($AD181="","",IF(ROUND($AO181+$AP181+$AQ181-$AD181,2)=0,"OK","FAIL - out by "&amp;TEXT($AO181+$AP181+$AQ181-$AD181,"$0.00")))</f>
        <v/>
      </c>
    </row>
    <row r="182" customFormat="false" ht="15" hidden="false" customHeight="true" outlineLevel="0" collapsed="false">
      <c r="A182" s="54"/>
      <c r="B182" s="54"/>
      <c r="C182" s="55"/>
      <c r="D182" s="56"/>
      <c r="E182" s="56"/>
      <c r="F182" s="54"/>
      <c r="G182" s="41" t="str">
        <f aca="false">IF($A182="","",IF($C182="","",YEAR($C182)))</f>
        <v/>
      </c>
      <c r="H182" s="57"/>
      <c r="I182" s="54"/>
      <c r="J182" s="54"/>
      <c r="K182" s="54"/>
      <c r="L182" s="56"/>
      <c r="M182" s="58"/>
      <c r="N182" s="56"/>
      <c r="O182" s="54"/>
      <c r="P182" s="54"/>
      <c r="Q182" s="54"/>
      <c r="R182" s="54"/>
      <c r="S182" s="56"/>
      <c r="T182" s="44" t="str">
        <f aca="false">IF($A182="","",IF($S182="","",IFERROR(INDEX(Lists!$N$5:$N$16,MATCH($S182,Lists!$M$5:$M$16,0)),"?")))</f>
        <v/>
      </c>
      <c r="U182" s="54"/>
      <c r="V182" s="56"/>
      <c r="W182" s="54"/>
      <c r="X182" s="56"/>
      <c r="Y182" s="54"/>
      <c r="Z182" s="54"/>
      <c r="AA182" s="56"/>
      <c r="AB182" s="58"/>
      <c r="AC182" s="59"/>
      <c r="AD182" s="46" t="str">
        <f aca="false">IF(ISNUMBER($AB182),$AB182*(1+N($AC182)),"")</f>
        <v/>
      </c>
      <c r="AE182" s="58"/>
      <c r="AF182" s="58"/>
      <c r="AG182" s="59"/>
      <c r="AH182" s="47" t="str">
        <f aca="false">IF(ISNUMBER($AD182),($AD182+$AE182+$AF182)*$AG182,"")</f>
        <v/>
      </c>
      <c r="AI182" s="58"/>
      <c r="AJ182" s="46" t="str">
        <f aca="false">IF(ISNUMBER($AD182),SUM($AD182:$AH182),"")</f>
        <v/>
      </c>
      <c r="AK182" s="48" t="str">
        <f aca="false">IF(AND(ISNUMBER($AB182),ISNUMBER($AD182)),IF($AB182&gt;0,$AD182/$AB182,""),"")</f>
        <v/>
      </c>
      <c r="AL182" s="56"/>
      <c r="AM182" s="49" t="str">
        <f aca="false">IF(ISNUMBER($AD182),Header!$I$3,"")</f>
        <v/>
      </c>
      <c r="AN182" s="47" t="str">
        <f aca="false">IF(ISNUMBER($AD182),$AO182+$AP182,"")</f>
        <v/>
      </c>
      <c r="AO182" s="47" t="str">
        <f aca="false">IF(ISNUMBER($AD182),ROUND($AD182*Header!$K$3,2),"")</f>
        <v/>
      </c>
      <c r="AP182" s="47" t="str">
        <f aca="false">IF(ISNUMBER($AD182),ROUND($AD182*Header!$M$3,2),"")</f>
        <v/>
      </c>
      <c r="AQ182" s="46" t="str">
        <f aca="false">IF(ISNUMBER($AD182),ROUND($AD182,2)-$AO182-$AP182,"")</f>
        <v/>
      </c>
      <c r="AR182" s="47" t="str">
        <f aca="false">IF(ISNUMBER($AD182),IF(Header!$D$34="","?",$AD182*Header!$D$34),"")</f>
        <v/>
      </c>
      <c r="AS182" s="47" t="str">
        <f aca="false">IF(ISNUMBER($AB182),IF(Header!$D$34="","?",$AB182*Header!$D$34),"")</f>
        <v/>
      </c>
      <c r="AT182" s="50" t="str">
        <f aca="false">IF(AND(ISNUMBER($AB182),$M182&gt;0),$AB182/$M182*100,"")</f>
        <v/>
      </c>
      <c r="AU182" s="50" t="str">
        <f aca="false">IF(AND(ISNUMBER($AD182),$M182&gt;0),$AD182/$M182*100,"")</f>
        <v/>
      </c>
      <c r="AV182" s="48" t="str">
        <f aca="false">IF(AND(ISNUMBER($AB182),ISNUMBER($AD182),ABS($AB182)&gt;0),$AD182/$AB182,"")</f>
        <v/>
      </c>
      <c r="AW182" s="47" t="str">
        <f aca="false">IF(ISNUMBER($AD182),MAX(0,(1-0.55-Header!$O$3)*Header!$Q$3*$AQ182),"")</f>
        <v/>
      </c>
      <c r="AX182" s="51" t="str">
        <f aca="false">IF($A182="","",IF(TRIM(IF($A182="","Missing certificate ref. ","") &amp; IF($C182="","Missing effective date. ","") &amp; IF($D182="","Missing binding status. ","") &amp; IF($E182="","Missing movement type. ","") &amp; IF($I182="","Missing make. ","") &amp; IF($L182="","Missing vehicle class. ","") &amp; IF($M182="","Missing agreed value. ","") &amp; IF($N182="","Missing policy type. ","") &amp; IF($Q182="","Missing garaging state. ","") &amp; IF($R182="","Missing garaging ZIP. ","") &amp; IF($S182="","Missing cat zone. ","") &amp; IF($V182="","Missing valuation basis. ","") &amp; IF($W182="","Missing PD deductible. ","") &amp; IF($X182="","Missing liability limit. ","") &amp; IF($AB182="","Missing technical premium. ","") &amp; IF($AF182="","Missing surplus lines tax %. ",""))="","PASS","FAIL: "&amp;TRIM(IF($A182="","Missing certificate ref. ","") &amp; IF($C182="","Missing effective date. ","") &amp; IF($D182="","Missing binding status. ","") &amp; IF($E182="","Missing movement type. ","") &amp; IF($I182="","Missing make. ","") &amp; IF($L182="","Missing vehicle class. ","") &amp; IF($M182="","Missing agreed value. ","") &amp; IF($N182="","Missing policy type. ","") &amp; IF($Q182="","Missing garaging state. ","") &amp; IF($R182="","Missing garaging ZIP. ","") &amp; IF($S182="","Missing cat zone. ","") &amp; IF($V182="","Missing valuation basis. ","") &amp; IF($W182="","Missing PD deductible. ","") &amp; IF($X182="","Missing liability limit. ","") &amp; IF($AB182="","Missing technical premium. ","") &amp; IF($AF182="","Missing surplus lines tax %. ",""))))</f>
        <v/>
      </c>
      <c r="AY182" s="52" t="str">
        <f aca="false">IF($M182="","",IF(ISNUMBER($M182),IF($M182&gt;=Header!$C$18,"YES — refer","No"),""))</f>
        <v/>
      </c>
      <c r="AZ182" s="52" t="str">
        <f aca="false">IF($AD182="","",IF(ISNUMBER($AD182),IF($AD182&lt;Header!$C$20,"BELOW MIN PREMIUM","OK"),""))</f>
        <v/>
      </c>
      <c r="BA182" s="56"/>
      <c r="BB182" s="56"/>
      <c r="BC182" s="54"/>
      <c r="BE182" s="53" t="str">
        <f aca="false">IF(OR($A182="",$L182="",$H182=""),"",IF(AND(LEFT($L182,2)="06",$H182&gt;1945),"FAIL - pre-war class, year "&amp;$H182,IF(AND(LEFT($L182,2)="07",OR($H182&lt;1946,$H182&gt;1972)),"FAIL - 1946-72 class, year "&amp;$H182,IF(AND(LEFT($L182,2)="08",OR($H182&lt;1973,$H182&gt;1999)),"FAIL - 1973-99 class, year "&amp;$H182,IF(AND(LEFT($L182,2)="09",OR($H182&lt;2000,$H182&gt;2010)),"FAIL - 2000-10 class, year "&amp;$H182,"OK")))))</f>
        <v/>
      </c>
      <c r="BF182" s="53" t="str">
        <f aca="false">IF($AD182="","",IF(ROUND($AO182+$AP182+$AQ182-$AD182,2)=0,"OK","FAIL - out by "&amp;TEXT($AO182+$AP182+$AQ182-$AD182,"$0.00")))</f>
        <v/>
      </c>
    </row>
    <row r="183" customFormat="false" ht="15" hidden="false" customHeight="true" outlineLevel="0" collapsed="false">
      <c r="A183" s="38"/>
      <c r="B183" s="38"/>
      <c r="C183" s="39"/>
      <c r="D183" s="40"/>
      <c r="E183" s="40"/>
      <c r="F183" s="38"/>
      <c r="G183" s="41" t="str">
        <f aca="false">IF($A183="","",IF($C183="","",YEAR($C183)))</f>
        <v/>
      </c>
      <c r="H183" s="42"/>
      <c r="I183" s="38"/>
      <c r="J183" s="38"/>
      <c r="K183" s="38"/>
      <c r="L183" s="40"/>
      <c r="M183" s="43"/>
      <c r="N183" s="40"/>
      <c r="O183" s="38"/>
      <c r="P183" s="38"/>
      <c r="Q183" s="38"/>
      <c r="R183" s="38"/>
      <c r="S183" s="40"/>
      <c r="T183" s="44" t="str">
        <f aca="false">IF($A183="","",IF($S183="","",IFERROR(INDEX(Lists!$N$5:$N$16,MATCH($S183,Lists!$M$5:$M$16,0)),"?")))</f>
        <v/>
      </c>
      <c r="U183" s="38"/>
      <c r="V183" s="40"/>
      <c r="W183" s="38"/>
      <c r="X183" s="40"/>
      <c r="Y183" s="38"/>
      <c r="Z183" s="38"/>
      <c r="AA183" s="40"/>
      <c r="AB183" s="43"/>
      <c r="AC183" s="45"/>
      <c r="AD183" s="46" t="str">
        <f aca="false">IF(ISNUMBER($AB183),$AB183*(1+N($AC183)),"")</f>
        <v/>
      </c>
      <c r="AE183" s="43"/>
      <c r="AF183" s="43"/>
      <c r="AG183" s="45"/>
      <c r="AH183" s="47" t="str">
        <f aca="false">IF(ISNUMBER($AD183),($AD183+$AE183+$AF183)*$AG183,"")</f>
        <v/>
      </c>
      <c r="AI183" s="43"/>
      <c r="AJ183" s="46" t="str">
        <f aca="false">IF(ISNUMBER($AD183),SUM($AD183:$AH183),"")</f>
        <v/>
      </c>
      <c r="AK183" s="48" t="str">
        <f aca="false">IF(AND(ISNUMBER($AB183),ISNUMBER($AD183)),IF($AB183&gt;0,$AD183/$AB183,""),"")</f>
        <v/>
      </c>
      <c r="AL183" s="40"/>
      <c r="AM183" s="49" t="str">
        <f aca="false">IF(ISNUMBER($AD183),Header!$I$3,"")</f>
        <v/>
      </c>
      <c r="AN183" s="47" t="str">
        <f aca="false">IF(ISNUMBER($AD183),$AO183+$AP183,"")</f>
        <v/>
      </c>
      <c r="AO183" s="47" t="str">
        <f aca="false">IF(ISNUMBER($AD183),ROUND($AD183*Header!$K$3,2),"")</f>
        <v/>
      </c>
      <c r="AP183" s="47" t="str">
        <f aca="false">IF(ISNUMBER($AD183),ROUND($AD183*Header!$M$3,2),"")</f>
        <v/>
      </c>
      <c r="AQ183" s="46" t="str">
        <f aca="false">IF(ISNUMBER($AD183),ROUND($AD183,2)-$AO183-$AP183,"")</f>
        <v/>
      </c>
      <c r="AR183" s="47" t="str">
        <f aca="false">IF(ISNUMBER($AD183),IF(Header!$D$34="","?",$AD183*Header!$D$34),"")</f>
        <v/>
      </c>
      <c r="AS183" s="47" t="str">
        <f aca="false">IF(ISNUMBER($AB183),IF(Header!$D$34="","?",$AB183*Header!$D$34),"")</f>
        <v/>
      </c>
      <c r="AT183" s="50" t="str">
        <f aca="false">IF(AND(ISNUMBER($AB183),$M183&gt;0),$AB183/$M183*100,"")</f>
        <v/>
      </c>
      <c r="AU183" s="50" t="str">
        <f aca="false">IF(AND(ISNUMBER($AD183),$M183&gt;0),$AD183/$M183*100,"")</f>
        <v/>
      </c>
      <c r="AV183" s="48" t="str">
        <f aca="false">IF(AND(ISNUMBER($AB183),ISNUMBER($AD183),ABS($AB183)&gt;0),$AD183/$AB183,"")</f>
        <v/>
      </c>
      <c r="AW183" s="47" t="str">
        <f aca="false">IF(ISNUMBER($AD183),MAX(0,(1-0.55-Header!$O$3)*Header!$Q$3*$AQ183),"")</f>
        <v/>
      </c>
      <c r="AX183" s="51" t="str">
        <f aca="false">IF($A183="","",IF(TRIM(IF($A183="","Missing certificate ref. ","") &amp; IF($C183="","Missing effective date. ","") &amp; IF($D183="","Missing binding status. ","") &amp; IF($E183="","Missing movement type. ","") &amp; IF($I183="","Missing make. ","") &amp; IF($L183="","Missing vehicle class. ","") &amp; IF($M183="","Missing agreed value. ","") &amp; IF($N183="","Missing policy type. ","") &amp; IF($Q183="","Missing garaging state. ","") &amp; IF($R183="","Missing garaging ZIP. ","") &amp; IF($S183="","Missing cat zone. ","") &amp; IF($V183="","Missing valuation basis. ","") &amp; IF($W183="","Missing PD deductible. ","") &amp; IF($X183="","Missing liability limit. ","") &amp; IF($AB183="","Missing technical premium. ","") &amp; IF($AF183="","Missing surplus lines tax %. ",""))="","PASS","FAIL: "&amp;TRIM(IF($A183="","Missing certificate ref. ","") &amp; IF($C183="","Missing effective date. ","") &amp; IF($D183="","Missing binding status. ","") &amp; IF($E183="","Missing movement type. ","") &amp; IF($I183="","Missing make. ","") &amp; IF($L183="","Missing vehicle class. ","") &amp; IF($M183="","Missing agreed value. ","") &amp; IF($N183="","Missing policy type. ","") &amp; IF($Q183="","Missing garaging state. ","") &amp; IF($R183="","Missing garaging ZIP. ","") &amp; IF($S183="","Missing cat zone. ","") &amp; IF($V183="","Missing valuation basis. ","") &amp; IF($W183="","Missing PD deductible. ","") &amp; IF($X183="","Missing liability limit. ","") &amp; IF($AB183="","Missing technical premium. ","") &amp; IF($AF183="","Missing surplus lines tax %. ",""))))</f>
        <v/>
      </c>
      <c r="AY183" s="52" t="str">
        <f aca="false">IF($M183="","",IF(ISNUMBER($M183),IF($M183&gt;=Header!$C$18,"YES — refer","No"),""))</f>
        <v/>
      </c>
      <c r="AZ183" s="52" t="str">
        <f aca="false">IF($AD183="","",IF(ISNUMBER($AD183),IF($AD183&lt;Header!$C$20,"BELOW MIN PREMIUM","OK"),""))</f>
        <v/>
      </c>
      <c r="BA183" s="40"/>
      <c r="BB183" s="40"/>
      <c r="BC183" s="38"/>
      <c r="BE183" s="53" t="str">
        <f aca="false">IF(OR($A183="",$L183="",$H183=""),"",IF(AND(LEFT($L183,2)="06",$H183&gt;1945),"FAIL - pre-war class, year "&amp;$H183,IF(AND(LEFT($L183,2)="07",OR($H183&lt;1946,$H183&gt;1972)),"FAIL - 1946-72 class, year "&amp;$H183,IF(AND(LEFT($L183,2)="08",OR($H183&lt;1973,$H183&gt;1999)),"FAIL - 1973-99 class, year "&amp;$H183,IF(AND(LEFT($L183,2)="09",OR($H183&lt;2000,$H183&gt;2010)),"FAIL - 2000-10 class, year "&amp;$H183,"OK")))))</f>
        <v/>
      </c>
      <c r="BF183" s="53" t="str">
        <f aca="false">IF($AD183="","",IF(ROUND($AO183+$AP183+$AQ183-$AD183,2)=0,"OK","FAIL - out by "&amp;TEXT($AO183+$AP183+$AQ183-$AD183,"$0.00")))</f>
        <v/>
      </c>
    </row>
    <row r="184" customFormat="false" ht="15" hidden="false" customHeight="true" outlineLevel="0" collapsed="false">
      <c r="A184" s="54"/>
      <c r="B184" s="54"/>
      <c r="C184" s="55"/>
      <c r="D184" s="56"/>
      <c r="E184" s="56"/>
      <c r="F184" s="54"/>
      <c r="G184" s="41" t="str">
        <f aca="false">IF($A184="","",IF($C184="","",YEAR($C184)))</f>
        <v/>
      </c>
      <c r="H184" s="57"/>
      <c r="I184" s="54"/>
      <c r="J184" s="54"/>
      <c r="K184" s="54"/>
      <c r="L184" s="56"/>
      <c r="M184" s="58"/>
      <c r="N184" s="56"/>
      <c r="O184" s="54"/>
      <c r="P184" s="54"/>
      <c r="Q184" s="54"/>
      <c r="R184" s="54"/>
      <c r="S184" s="56"/>
      <c r="T184" s="44" t="str">
        <f aca="false">IF($A184="","",IF($S184="","",IFERROR(INDEX(Lists!$N$5:$N$16,MATCH($S184,Lists!$M$5:$M$16,0)),"?")))</f>
        <v/>
      </c>
      <c r="U184" s="54"/>
      <c r="V184" s="56"/>
      <c r="W184" s="54"/>
      <c r="X184" s="56"/>
      <c r="Y184" s="54"/>
      <c r="Z184" s="54"/>
      <c r="AA184" s="56"/>
      <c r="AB184" s="58"/>
      <c r="AC184" s="59"/>
      <c r="AD184" s="46" t="str">
        <f aca="false">IF(ISNUMBER($AB184),$AB184*(1+N($AC184)),"")</f>
        <v/>
      </c>
      <c r="AE184" s="58"/>
      <c r="AF184" s="58"/>
      <c r="AG184" s="59"/>
      <c r="AH184" s="47" t="str">
        <f aca="false">IF(ISNUMBER($AD184),($AD184+$AE184+$AF184)*$AG184,"")</f>
        <v/>
      </c>
      <c r="AI184" s="58"/>
      <c r="AJ184" s="46" t="str">
        <f aca="false">IF(ISNUMBER($AD184),SUM($AD184:$AH184),"")</f>
        <v/>
      </c>
      <c r="AK184" s="48" t="str">
        <f aca="false">IF(AND(ISNUMBER($AB184),ISNUMBER($AD184)),IF($AB184&gt;0,$AD184/$AB184,""),"")</f>
        <v/>
      </c>
      <c r="AL184" s="56"/>
      <c r="AM184" s="49" t="str">
        <f aca="false">IF(ISNUMBER($AD184),Header!$I$3,"")</f>
        <v/>
      </c>
      <c r="AN184" s="47" t="str">
        <f aca="false">IF(ISNUMBER($AD184),$AO184+$AP184,"")</f>
        <v/>
      </c>
      <c r="AO184" s="47" t="str">
        <f aca="false">IF(ISNUMBER($AD184),ROUND($AD184*Header!$K$3,2),"")</f>
        <v/>
      </c>
      <c r="AP184" s="47" t="str">
        <f aca="false">IF(ISNUMBER($AD184),ROUND($AD184*Header!$M$3,2),"")</f>
        <v/>
      </c>
      <c r="AQ184" s="46" t="str">
        <f aca="false">IF(ISNUMBER($AD184),ROUND($AD184,2)-$AO184-$AP184,"")</f>
        <v/>
      </c>
      <c r="AR184" s="47" t="str">
        <f aca="false">IF(ISNUMBER($AD184),IF(Header!$D$34="","?",$AD184*Header!$D$34),"")</f>
        <v/>
      </c>
      <c r="AS184" s="47" t="str">
        <f aca="false">IF(ISNUMBER($AB184),IF(Header!$D$34="","?",$AB184*Header!$D$34),"")</f>
        <v/>
      </c>
      <c r="AT184" s="50" t="str">
        <f aca="false">IF(AND(ISNUMBER($AB184),$M184&gt;0),$AB184/$M184*100,"")</f>
        <v/>
      </c>
      <c r="AU184" s="50" t="str">
        <f aca="false">IF(AND(ISNUMBER($AD184),$M184&gt;0),$AD184/$M184*100,"")</f>
        <v/>
      </c>
      <c r="AV184" s="48" t="str">
        <f aca="false">IF(AND(ISNUMBER($AB184),ISNUMBER($AD184),ABS($AB184)&gt;0),$AD184/$AB184,"")</f>
        <v/>
      </c>
      <c r="AW184" s="47" t="str">
        <f aca="false">IF(ISNUMBER($AD184),MAX(0,(1-0.55-Header!$O$3)*Header!$Q$3*$AQ184),"")</f>
        <v/>
      </c>
      <c r="AX184" s="51" t="str">
        <f aca="false">IF($A184="","",IF(TRIM(IF($A184="","Missing certificate ref. ","") &amp; IF($C184="","Missing effective date. ","") &amp; IF($D184="","Missing binding status. ","") &amp; IF($E184="","Missing movement type. ","") &amp; IF($I184="","Missing make. ","") &amp; IF($L184="","Missing vehicle class. ","") &amp; IF($M184="","Missing agreed value. ","") &amp; IF($N184="","Missing policy type. ","") &amp; IF($Q184="","Missing garaging state. ","") &amp; IF($R184="","Missing garaging ZIP. ","") &amp; IF($S184="","Missing cat zone. ","") &amp; IF($V184="","Missing valuation basis. ","") &amp; IF($W184="","Missing PD deductible. ","") &amp; IF($X184="","Missing liability limit. ","") &amp; IF($AB184="","Missing technical premium. ","") &amp; IF($AF184="","Missing surplus lines tax %. ",""))="","PASS","FAIL: "&amp;TRIM(IF($A184="","Missing certificate ref. ","") &amp; IF($C184="","Missing effective date. ","") &amp; IF($D184="","Missing binding status. ","") &amp; IF($E184="","Missing movement type. ","") &amp; IF($I184="","Missing make. ","") &amp; IF($L184="","Missing vehicle class. ","") &amp; IF($M184="","Missing agreed value. ","") &amp; IF($N184="","Missing policy type. ","") &amp; IF($Q184="","Missing garaging state. ","") &amp; IF($R184="","Missing garaging ZIP. ","") &amp; IF($S184="","Missing cat zone. ","") &amp; IF($V184="","Missing valuation basis. ","") &amp; IF($W184="","Missing PD deductible. ","") &amp; IF($X184="","Missing liability limit. ","") &amp; IF($AB184="","Missing technical premium. ","") &amp; IF($AF184="","Missing surplus lines tax %. ",""))))</f>
        <v/>
      </c>
      <c r="AY184" s="52" t="str">
        <f aca="false">IF($M184="","",IF(ISNUMBER($M184),IF($M184&gt;=Header!$C$18,"YES — refer","No"),""))</f>
        <v/>
      </c>
      <c r="AZ184" s="52" t="str">
        <f aca="false">IF($AD184="","",IF(ISNUMBER($AD184),IF($AD184&lt;Header!$C$20,"BELOW MIN PREMIUM","OK"),""))</f>
        <v/>
      </c>
      <c r="BA184" s="56"/>
      <c r="BB184" s="56"/>
      <c r="BC184" s="54"/>
      <c r="BE184" s="53" t="str">
        <f aca="false">IF(OR($A184="",$L184="",$H184=""),"",IF(AND(LEFT($L184,2)="06",$H184&gt;1945),"FAIL - pre-war class, year "&amp;$H184,IF(AND(LEFT($L184,2)="07",OR($H184&lt;1946,$H184&gt;1972)),"FAIL - 1946-72 class, year "&amp;$H184,IF(AND(LEFT($L184,2)="08",OR($H184&lt;1973,$H184&gt;1999)),"FAIL - 1973-99 class, year "&amp;$H184,IF(AND(LEFT($L184,2)="09",OR($H184&lt;2000,$H184&gt;2010)),"FAIL - 2000-10 class, year "&amp;$H184,"OK")))))</f>
        <v/>
      </c>
      <c r="BF184" s="53" t="str">
        <f aca="false">IF($AD184="","",IF(ROUND($AO184+$AP184+$AQ184-$AD184,2)=0,"OK","FAIL - out by "&amp;TEXT($AO184+$AP184+$AQ184-$AD184,"$0.00")))</f>
        <v/>
      </c>
    </row>
    <row r="185" customFormat="false" ht="15" hidden="false" customHeight="true" outlineLevel="0" collapsed="false">
      <c r="A185" s="38"/>
      <c r="B185" s="38"/>
      <c r="C185" s="39"/>
      <c r="D185" s="40"/>
      <c r="E185" s="40"/>
      <c r="F185" s="38"/>
      <c r="G185" s="41" t="str">
        <f aca="false">IF($A185="","",IF($C185="","",YEAR($C185)))</f>
        <v/>
      </c>
      <c r="H185" s="42"/>
      <c r="I185" s="38"/>
      <c r="J185" s="38"/>
      <c r="K185" s="38"/>
      <c r="L185" s="40"/>
      <c r="M185" s="43"/>
      <c r="N185" s="40"/>
      <c r="O185" s="38"/>
      <c r="P185" s="38"/>
      <c r="Q185" s="38"/>
      <c r="R185" s="38"/>
      <c r="S185" s="40"/>
      <c r="T185" s="44" t="str">
        <f aca="false">IF($A185="","",IF($S185="","",IFERROR(INDEX(Lists!$N$5:$N$16,MATCH($S185,Lists!$M$5:$M$16,0)),"?")))</f>
        <v/>
      </c>
      <c r="U185" s="38"/>
      <c r="V185" s="40"/>
      <c r="W185" s="38"/>
      <c r="X185" s="40"/>
      <c r="Y185" s="38"/>
      <c r="Z185" s="38"/>
      <c r="AA185" s="40"/>
      <c r="AB185" s="43"/>
      <c r="AC185" s="45"/>
      <c r="AD185" s="46" t="str">
        <f aca="false">IF(ISNUMBER($AB185),$AB185*(1+N($AC185)),"")</f>
        <v/>
      </c>
      <c r="AE185" s="43"/>
      <c r="AF185" s="43"/>
      <c r="AG185" s="45"/>
      <c r="AH185" s="47" t="str">
        <f aca="false">IF(ISNUMBER($AD185),($AD185+$AE185+$AF185)*$AG185,"")</f>
        <v/>
      </c>
      <c r="AI185" s="43"/>
      <c r="AJ185" s="46" t="str">
        <f aca="false">IF(ISNUMBER($AD185),SUM($AD185:$AH185),"")</f>
        <v/>
      </c>
      <c r="AK185" s="48" t="str">
        <f aca="false">IF(AND(ISNUMBER($AB185),ISNUMBER($AD185)),IF($AB185&gt;0,$AD185/$AB185,""),"")</f>
        <v/>
      </c>
      <c r="AL185" s="40"/>
      <c r="AM185" s="49" t="str">
        <f aca="false">IF(ISNUMBER($AD185),Header!$I$3,"")</f>
        <v/>
      </c>
      <c r="AN185" s="47" t="str">
        <f aca="false">IF(ISNUMBER($AD185),$AO185+$AP185,"")</f>
        <v/>
      </c>
      <c r="AO185" s="47" t="str">
        <f aca="false">IF(ISNUMBER($AD185),ROUND($AD185*Header!$K$3,2),"")</f>
        <v/>
      </c>
      <c r="AP185" s="47" t="str">
        <f aca="false">IF(ISNUMBER($AD185),ROUND($AD185*Header!$M$3,2),"")</f>
        <v/>
      </c>
      <c r="AQ185" s="46" t="str">
        <f aca="false">IF(ISNUMBER($AD185),ROUND($AD185,2)-$AO185-$AP185,"")</f>
        <v/>
      </c>
      <c r="AR185" s="47" t="str">
        <f aca="false">IF(ISNUMBER($AD185),IF(Header!$D$34="","?",$AD185*Header!$D$34),"")</f>
        <v/>
      </c>
      <c r="AS185" s="47" t="str">
        <f aca="false">IF(ISNUMBER($AB185),IF(Header!$D$34="","?",$AB185*Header!$D$34),"")</f>
        <v/>
      </c>
      <c r="AT185" s="50" t="str">
        <f aca="false">IF(AND(ISNUMBER($AB185),$M185&gt;0),$AB185/$M185*100,"")</f>
        <v/>
      </c>
      <c r="AU185" s="50" t="str">
        <f aca="false">IF(AND(ISNUMBER($AD185),$M185&gt;0),$AD185/$M185*100,"")</f>
        <v/>
      </c>
      <c r="AV185" s="48" t="str">
        <f aca="false">IF(AND(ISNUMBER($AB185),ISNUMBER($AD185),ABS($AB185)&gt;0),$AD185/$AB185,"")</f>
        <v/>
      </c>
      <c r="AW185" s="47" t="str">
        <f aca="false">IF(ISNUMBER($AD185),MAX(0,(1-0.55-Header!$O$3)*Header!$Q$3*$AQ185),"")</f>
        <v/>
      </c>
      <c r="AX185" s="51" t="str">
        <f aca="false">IF($A185="","",IF(TRIM(IF($A185="","Missing certificate ref. ","") &amp; IF($C185="","Missing effective date. ","") &amp; IF($D185="","Missing binding status. ","") &amp; IF($E185="","Missing movement type. ","") &amp; IF($I185="","Missing make. ","") &amp; IF($L185="","Missing vehicle class. ","") &amp; IF($M185="","Missing agreed value. ","") &amp; IF($N185="","Missing policy type. ","") &amp; IF($Q185="","Missing garaging state. ","") &amp; IF($R185="","Missing garaging ZIP. ","") &amp; IF($S185="","Missing cat zone. ","") &amp; IF($V185="","Missing valuation basis. ","") &amp; IF($W185="","Missing PD deductible. ","") &amp; IF($X185="","Missing liability limit. ","") &amp; IF($AB185="","Missing technical premium. ","") &amp; IF($AF185="","Missing surplus lines tax %. ",""))="","PASS","FAIL: "&amp;TRIM(IF($A185="","Missing certificate ref. ","") &amp; IF($C185="","Missing effective date. ","") &amp; IF($D185="","Missing binding status. ","") &amp; IF($E185="","Missing movement type. ","") &amp; IF($I185="","Missing make. ","") &amp; IF($L185="","Missing vehicle class. ","") &amp; IF($M185="","Missing agreed value. ","") &amp; IF($N185="","Missing policy type. ","") &amp; IF($Q185="","Missing garaging state. ","") &amp; IF($R185="","Missing garaging ZIP. ","") &amp; IF($S185="","Missing cat zone. ","") &amp; IF($V185="","Missing valuation basis. ","") &amp; IF($W185="","Missing PD deductible. ","") &amp; IF($X185="","Missing liability limit. ","") &amp; IF($AB185="","Missing technical premium. ","") &amp; IF($AF185="","Missing surplus lines tax %. ",""))))</f>
        <v/>
      </c>
      <c r="AY185" s="52" t="str">
        <f aca="false">IF($M185="","",IF(ISNUMBER($M185),IF($M185&gt;=Header!$C$18,"YES — refer","No"),""))</f>
        <v/>
      </c>
      <c r="AZ185" s="52" t="str">
        <f aca="false">IF($AD185="","",IF(ISNUMBER($AD185),IF($AD185&lt;Header!$C$20,"BELOW MIN PREMIUM","OK"),""))</f>
        <v/>
      </c>
      <c r="BA185" s="40"/>
      <c r="BB185" s="40"/>
      <c r="BC185" s="38"/>
      <c r="BE185" s="53" t="str">
        <f aca="false">IF(OR($A185="",$L185="",$H185=""),"",IF(AND(LEFT($L185,2)="06",$H185&gt;1945),"FAIL - pre-war class, year "&amp;$H185,IF(AND(LEFT($L185,2)="07",OR($H185&lt;1946,$H185&gt;1972)),"FAIL - 1946-72 class, year "&amp;$H185,IF(AND(LEFT($L185,2)="08",OR($H185&lt;1973,$H185&gt;1999)),"FAIL - 1973-99 class, year "&amp;$H185,IF(AND(LEFT($L185,2)="09",OR($H185&lt;2000,$H185&gt;2010)),"FAIL - 2000-10 class, year "&amp;$H185,"OK")))))</f>
        <v/>
      </c>
      <c r="BF185" s="53" t="str">
        <f aca="false">IF($AD185="","",IF(ROUND($AO185+$AP185+$AQ185-$AD185,2)=0,"OK","FAIL - out by "&amp;TEXT($AO185+$AP185+$AQ185-$AD185,"$0.00")))</f>
        <v/>
      </c>
    </row>
    <row r="186" customFormat="false" ht="15" hidden="false" customHeight="true" outlineLevel="0" collapsed="false">
      <c r="A186" s="54"/>
      <c r="B186" s="54"/>
      <c r="C186" s="55"/>
      <c r="D186" s="56"/>
      <c r="E186" s="56"/>
      <c r="F186" s="54"/>
      <c r="G186" s="41" t="str">
        <f aca="false">IF($A186="","",IF($C186="","",YEAR($C186)))</f>
        <v/>
      </c>
      <c r="H186" s="57"/>
      <c r="I186" s="54"/>
      <c r="J186" s="54"/>
      <c r="K186" s="54"/>
      <c r="L186" s="56"/>
      <c r="M186" s="58"/>
      <c r="N186" s="56"/>
      <c r="O186" s="54"/>
      <c r="P186" s="54"/>
      <c r="Q186" s="54"/>
      <c r="R186" s="54"/>
      <c r="S186" s="56"/>
      <c r="T186" s="44" t="str">
        <f aca="false">IF($A186="","",IF($S186="","",IFERROR(INDEX(Lists!$N$5:$N$16,MATCH($S186,Lists!$M$5:$M$16,0)),"?")))</f>
        <v/>
      </c>
      <c r="U186" s="54"/>
      <c r="V186" s="56"/>
      <c r="W186" s="54"/>
      <c r="X186" s="56"/>
      <c r="Y186" s="54"/>
      <c r="Z186" s="54"/>
      <c r="AA186" s="56"/>
      <c r="AB186" s="58"/>
      <c r="AC186" s="59"/>
      <c r="AD186" s="46" t="str">
        <f aca="false">IF(ISNUMBER($AB186),$AB186*(1+N($AC186)),"")</f>
        <v/>
      </c>
      <c r="AE186" s="58"/>
      <c r="AF186" s="58"/>
      <c r="AG186" s="59"/>
      <c r="AH186" s="47" t="str">
        <f aca="false">IF(ISNUMBER($AD186),($AD186+$AE186+$AF186)*$AG186,"")</f>
        <v/>
      </c>
      <c r="AI186" s="58"/>
      <c r="AJ186" s="46" t="str">
        <f aca="false">IF(ISNUMBER($AD186),SUM($AD186:$AH186),"")</f>
        <v/>
      </c>
      <c r="AK186" s="48" t="str">
        <f aca="false">IF(AND(ISNUMBER($AB186),ISNUMBER($AD186)),IF($AB186&gt;0,$AD186/$AB186,""),"")</f>
        <v/>
      </c>
      <c r="AL186" s="56"/>
      <c r="AM186" s="49" t="str">
        <f aca="false">IF(ISNUMBER($AD186),Header!$I$3,"")</f>
        <v/>
      </c>
      <c r="AN186" s="47" t="str">
        <f aca="false">IF(ISNUMBER($AD186),$AO186+$AP186,"")</f>
        <v/>
      </c>
      <c r="AO186" s="47" t="str">
        <f aca="false">IF(ISNUMBER($AD186),ROUND($AD186*Header!$K$3,2),"")</f>
        <v/>
      </c>
      <c r="AP186" s="47" t="str">
        <f aca="false">IF(ISNUMBER($AD186),ROUND($AD186*Header!$M$3,2),"")</f>
        <v/>
      </c>
      <c r="AQ186" s="46" t="str">
        <f aca="false">IF(ISNUMBER($AD186),ROUND($AD186,2)-$AO186-$AP186,"")</f>
        <v/>
      </c>
      <c r="AR186" s="47" t="str">
        <f aca="false">IF(ISNUMBER($AD186),IF(Header!$D$34="","?",$AD186*Header!$D$34),"")</f>
        <v/>
      </c>
      <c r="AS186" s="47" t="str">
        <f aca="false">IF(ISNUMBER($AB186),IF(Header!$D$34="","?",$AB186*Header!$D$34),"")</f>
        <v/>
      </c>
      <c r="AT186" s="50" t="str">
        <f aca="false">IF(AND(ISNUMBER($AB186),$M186&gt;0),$AB186/$M186*100,"")</f>
        <v/>
      </c>
      <c r="AU186" s="50" t="str">
        <f aca="false">IF(AND(ISNUMBER($AD186),$M186&gt;0),$AD186/$M186*100,"")</f>
        <v/>
      </c>
      <c r="AV186" s="48" t="str">
        <f aca="false">IF(AND(ISNUMBER($AB186),ISNUMBER($AD186),ABS($AB186)&gt;0),$AD186/$AB186,"")</f>
        <v/>
      </c>
      <c r="AW186" s="47" t="str">
        <f aca="false">IF(ISNUMBER($AD186),MAX(0,(1-0.55-Header!$O$3)*Header!$Q$3*$AQ186),"")</f>
        <v/>
      </c>
      <c r="AX186" s="51" t="str">
        <f aca="false">IF($A186="","",IF(TRIM(IF($A186="","Missing certificate ref. ","") &amp; IF($C186="","Missing effective date. ","") &amp; IF($D186="","Missing binding status. ","") &amp; IF($E186="","Missing movement type. ","") &amp; IF($I186="","Missing make. ","") &amp; IF($L186="","Missing vehicle class. ","") &amp; IF($M186="","Missing agreed value. ","") &amp; IF($N186="","Missing policy type. ","") &amp; IF($Q186="","Missing garaging state. ","") &amp; IF($R186="","Missing garaging ZIP. ","") &amp; IF($S186="","Missing cat zone. ","") &amp; IF($V186="","Missing valuation basis. ","") &amp; IF($W186="","Missing PD deductible. ","") &amp; IF($X186="","Missing liability limit. ","") &amp; IF($AB186="","Missing technical premium. ","") &amp; IF($AF186="","Missing surplus lines tax %. ",""))="","PASS","FAIL: "&amp;TRIM(IF($A186="","Missing certificate ref. ","") &amp; IF($C186="","Missing effective date. ","") &amp; IF($D186="","Missing binding status. ","") &amp; IF($E186="","Missing movement type. ","") &amp; IF($I186="","Missing make. ","") &amp; IF($L186="","Missing vehicle class. ","") &amp; IF($M186="","Missing agreed value. ","") &amp; IF($N186="","Missing policy type. ","") &amp; IF($Q186="","Missing garaging state. ","") &amp; IF($R186="","Missing garaging ZIP. ","") &amp; IF($S186="","Missing cat zone. ","") &amp; IF($V186="","Missing valuation basis. ","") &amp; IF($W186="","Missing PD deductible. ","") &amp; IF($X186="","Missing liability limit. ","") &amp; IF($AB186="","Missing technical premium. ","") &amp; IF($AF186="","Missing surplus lines tax %. ",""))))</f>
        <v/>
      </c>
      <c r="AY186" s="52" t="str">
        <f aca="false">IF($M186="","",IF(ISNUMBER($M186),IF($M186&gt;=Header!$C$18,"YES — refer","No"),""))</f>
        <v/>
      </c>
      <c r="AZ186" s="52" t="str">
        <f aca="false">IF($AD186="","",IF(ISNUMBER($AD186),IF($AD186&lt;Header!$C$20,"BELOW MIN PREMIUM","OK"),""))</f>
        <v/>
      </c>
      <c r="BA186" s="56"/>
      <c r="BB186" s="56"/>
      <c r="BC186" s="54"/>
      <c r="BE186" s="53" t="str">
        <f aca="false">IF(OR($A186="",$L186="",$H186=""),"",IF(AND(LEFT($L186,2)="06",$H186&gt;1945),"FAIL - pre-war class, year "&amp;$H186,IF(AND(LEFT($L186,2)="07",OR($H186&lt;1946,$H186&gt;1972)),"FAIL - 1946-72 class, year "&amp;$H186,IF(AND(LEFT($L186,2)="08",OR($H186&lt;1973,$H186&gt;1999)),"FAIL - 1973-99 class, year "&amp;$H186,IF(AND(LEFT($L186,2)="09",OR($H186&lt;2000,$H186&gt;2010)),"FAIL - 2000-10 class, year "&amp;$H186,"OK")))))</f>
        <v/>
      </c>
      <c r="BF186" s="53" t="str">
        <f aca="false">IF($AD186="","",IF(ROUND($AO186+$AP186+$AQ186-$AD186,2)=0,"OK","FAIL - out by "&amp;TEXT($AO186+$AP186+$AQ186-$AD186,"$0.00")))</f>
        <v/>
      </c>
    </row>
    <row r="187" customFormat="false" ht="15" hidden="false" customHeight="true" outlineLevel="0" collapsed="false">
      <c r="A187" s="38"/>
      <c r="B187" s="38"/>
      <c r="C187" s="39"/>
      <c r="D187" s="40"/>
      <c r="E187" s="40"/>
      <c r="F187" s="38"/>
      <c r="G187" s="41" t="str">
        <f aca="false">IF($A187="","",IF($C187="","",YEAR($C187)))</f>
        <v/>
      </c>
      <c r="H187" s="42"/>
      <c r="I187" s="38"/>
      <c r="J187" s="38"/>
      <c r="K187" s="38"/>
      <c r="L187" s="40"/>
      <c r="M187" s="43"/>
      <c r="N187" s="40"/>
      <c r="O187" s="38"/>
      <c r="P187" s="38"/>
      <c r="Q187" s="38"/>
      <c r="R187" s="38"/>
      <c r="S187" s="40"/>
      <c r="T187" s="44" t="str">
        <f aca="false">IF($A187="","",IF($S187="","",IFERROR(INDEX(Lists!$N$5:$N$16,MATCH($S187,Lists!$M$5:$M$16,0)),"?")))</f>
        <v/>
      </c>
      <c r="U187" s="38"/>
      <c r="V187" s="40"/>
      <c r="W187" s="38"/>
      <c r="X187" s="40"/>
      <c r="Y187" s="38"/>
      <c r="Z187" s="38"/>
      <c r="AA187" s="40"/>
      <c r="AB187" s="43"/>
      <c r="AC187" s="45"/>
      <c r="AD187" s="46" t="str">
        <f aca="false">IF(ISNUMBER($AB187),$AB187*(1+N($AC187)),"")</f>
        <v/>
      </c>
      <c r="AE187" s="43"/>
      <c r="AF187" s="43"/>
      <c r="AG187" s="45"/>
      <c r="AH187" s="47" t="str">
        <f aca="false">IF(ISNUMBER($AD187),($AD187+$AE187+$AF187)*$AG187,"")</f>
        <v/>
      </c>
      <c r="AI187" s="43"/>
      <c r="AJ187" s="46" t="str">
        <f aca="false">IF(ISNUMBER($AD187),SUM($AD187:$AH187),"")</f>
        <v/>
      </c>
      <c r="AK187" s="48" t="str">
        <f aca="false">IF(AND(ISNUMBER($AB187),ISNUMBER($AD187)),IF($AB187&gt;0,$AD187/$AB187,""),"")</f>
        <v/>
      </c>
      <c r="AL187" s="40"/>
      <c r="AM187" s="49" t="str">
        <f aca="false">IF(ISNUMBER($AD187),Header!$I$3,"")</f>
        <v/>
      </c>
      <c r="AN187" s="47" t="str">
        <f aca="false">IF(ISNUMBER($AD187),$AO187+$AP187,"")</f>
        <v/>
      </c>
      <c r="AO187" s="47" t="str">
        <f aca="false">IF(ISNUMBER($AD187),ROUND($AD187*Header!$K$3,2),"")</f>
        <v/>
      </c>
      <c r="AP187" s="47" t="str">
        <f aca="false">IF(ISNUMBER($AD187),ROUND($AD187*Header!$M$3,2),"")</f>
        <v/>
      </c>
      <c r="AQ187" s="46" t="str">
        <f aca="false">IF(ISNUMBER($AD187),ROUND($AD187,2)-$AO187-$AP187,"")</f>
        <v/>
      </c>
      <c r="AR187" s="47" t="str">
        <f aca="false">IF(ISNUMBER($AD187),IF(Header!$D$34="","?",$AD187*Header!$D$34),"")</f>
        <v/>
      </c>
      <c r="AS187" s="47" t="str">
        <f aca="false">IF(ISNUMBER($AB187),IF(Header!$D$34="","?",$AB187*Header!$D$34),"")</f>
        <v/>
      </c>
      <c r="AT187" s="50" t="str">
        <f aca="false">IF(AND(ISNUMBER($AB187),$M187&gt;0),$AB187/$M187*100,"")</f>
        <v/>
      </c>
      <c r="AU187" s="50" t="str">
        <f aca="false">IF(AND(ISNUMBER($AD187),$M187&gt;0),$AD187/$M187*100,"")</f>
        <v/>
      </c>
      <c r="AV187" s="48" t="str">
        <f aca="false">IF(AND(ISNUMBER($AB187),ISNUMBER($AD187),ABS($AB187)&gt;0),$AD187/$AB187,"")</f>
        <v/>
      </c>
      <c r="AW187" s="47" t="str">
        <f aca="false">IF(ISNUMBER($AD187),MAX(0,(1-0.55-Header!$O$3)*Header!$Q$3*$AQ187),"")</f>
        <v/>
      </c>
      <c r="AX187" s="51" t="str">
        <f aca="false">IF($A187="","",IF(TRIM(IF($A187="","Missing certificate ref. ","") &amp; IF($C187="","Missing effective date. ","") &amp; IF($D187="","Missing binding status. ","") &amp; IF($E187="","Missing movement type. ","") &amp; IF($I187="","Missing make. ","") &amp; IF($L187="","Missing vehicle class. ","") &amp; IF($M187="","Missing agreed value. ","") &amp; IF($N187="","Missing policy type. ","") &amp; IF($Q187="","Missing garaging state. ","") &amp; IF($R187="","Missing garaging ZIP. ","") &amp; IF($S187="","Missing cat zone. ","") &amp; IF($V187="","Missing valuation basis. ","") &amp; IF($W187="","Missing PD deductible. ","") &amp; IF($X187="","Missing liability limit. ","") &amp; IF($AB187="","Missing technical premium. ","") &amp; IF($AF187="","Missing surplus lines tax %. ",""))="","PASS","FAIL: "&amp;TRIM(IF($A187="","Missing certificate ref. ","") &amp; IF($C187="","Missing effective date. ","") &amp; IF($D187="","Missing binding status. ","") &amp; IF($E187="","Missing movement type. ","") &amp; IF($I187="","Missing make. ","") &amp; IF($L187="","Missing vehicle class. ","") &amp; IF($M187="","Missing agreed value. ","") &amp; IF($N187="","Missing policy type. ","") &amp; IF($Q187="","Missing garaging state. ","") &amp; IF($R187="","Missing garaging ZIP. ","") &amp; IF($S187="","Missing cat zone. ","") &amp; IF($V187="","Missing valuation basis. ","") &amp; IF($W187="","Missing PD deductible. ","") &amp; IF($X187="","Missing liability limit. ","") &amp; IF($AB187="","Missing technical premium. ","") &amp; IF($AF187="","Missing surplus lines tax %. ",""))))</f>
        <v/>
      </c>
      <c r="AY187" s="52" t="str">
        <f aca="false">IF($M187="","",IF(ISNUMBER($M187),IF($M187&gt;=Header!$C$18,"YES — refer","No"),""))</f>
        <v/>
      </c>
      <c r="AZ187" s="52" t="str">
        <f aca="false">IF($AD187="","",IF(ISNUMBER($AD187),IF($AD187&lt;Header!$C$20,"BELOW MIN PREMIUM","OK"),""))</f>
        <v/>
      </c>
      <c r="BA187" s="40"/>
      <c r="BB187" s="40"/>
      <c r="BC187" s="38"/>
      <c r="BE187" s="53" t="str">
        <f aca="false">IF(OR($A187="",$L187="",$H187=""),"",IF(AND(LEFT($L187,2)="06",$H187&gt;1945),"FAIL - pre-war class, year "&amp;$H187,IF(AND(LEFT($L187,2)="07",OR($H187&lt;1946,$H187&gt;1972)),"FAIL - 1946-72 class, year "&amp;$H187,IF(AND(LEFT($L187,2)="08",OR($H187&lt;1973,$H187&gt;1999)),"FAIL - 1973-99 class, year "&amp;$H187,IF(AND(LEFT($L187,2)="09",OR($H187&lt;2000,$H187&gt;2010)),"FAIL - 2000-10 class, year "&amp;$H187,"OK")))))</f>
        <v/>
      </c>
      <c r="BF187" s="53" t="str">
        <f aca="false">IF($AD187="","",IF(ROUND($AO187+$AP187+$AQ187-$AD187,2)=0,"OK","FAIL - out by "&amp;TEXT($AO187+$AP187+$AQ187-$AD187,"$0.00")))</f>
        <v/>
      </c>
    </row>
    <row r="188" customFormat="false" ht="15" hidden="false" customHeight="true" outlineLevel="0" collapsed="false">
      <c r="A188" s="54"/>
      <c r="B188" s="54"/>
      <c r="C188" s="55"/>
      <c r="D188" s="56"/>
      <c r="E188" s="56"/>
      <c r="F188" s="54"/>
      <c r="G188" s="41" t="str">
        <f aca="false">IF($A188="","",IF($C188="","",YEAR($C188)))</f>
        <v/>
      </c>
      <c r="H188" s="57"/>
      <c r="I188" s="54"/>
      <c r="J188" s="54"/>
      <c r="K188" s="54"/>
      <c r="L188" s="56"/>
      <c r="M188" s="58"/>
      <c r="N188" s="56"/>
      <c r="O188" s="54"/>
      <c r="P188" s="54"/>
      <c r="Q188" s="54"/>
      <c r="R188" s="54"/>
      <c r="S188" s="56"/>
      <c r="T188" s="44" t="str">
        <f aca="false">IF($A188="","",IF($S188="","",IFERROR(INDEX(Lists!$N$5:$N$16,MATCH($S188,Lists!$M$5:$M$16,0)),"?")))</f>
        <v/>
      </c>
      <c r="U188" s="54"/>
      <c r="V188" s="56"/>
      <c r="W188" s="54"/>
      <c r="X188" s="56"/>
      <c r="Y188" s="54"/>
      <c r="Z188" s="54"/>
      <c r="AA188" s="56"/>
      <c r="AB188" s="58"/>
      <c r="AC188" s="59"/>
      <c r="AD188" s="46" t="str">
        <f aca="false">IF(ISNUMBER($AB188),$AB188*(1+N($AC188)),"")</f>
        <v/>
      </c>
      <c r="AE188" s="58"/>
      <c r="AF188" s="58"/>
      <c r="AG188" s="59"/>
      <c r="AH188" s="47" t="str">
        <f aca="false">IF(ISNUMBER($AD188),($AD188+$AE188+$AF188)*$AG188,"")</f>
        <v/>
      </c>
      <c r="AI188" s="58"/>
      <c r="AJ188" s="46" t="str">
        <f aca="false">IF(ISNUMBER($AD188),SUM($AD188:$AH188),"")</f>
        <v/>
      </c>
      <c r="AK188" s="48" t="str">
        <f aca="false">IF(AND(ISNUMBER($AB188),ISNUMBER($AD188)),IF($AB188&gt;0,$AD188/$AB188,""),"")</f>
        <v/>
      </c>
      <c r="AL188" s="56"/>
      <c r="AM188" s="49" t="str">
        <f aca="false">IF(ISNUMBER($AD188),Header!$I$3,"")</f>
        <v/>
      </c>
      <c r="AN188" s="47" t="str">
        <f aca="false">IF(ISNUMBER($AD188),$AO188+$AP188,"")</f>
        <v/>
      </c>
      <c r="AO188" s="47" t="str">
        <f aca="false">IF(ISNUMBER($AD188),ROUND($AD188*Header!$K$3,2),"")</f>
        <v/>
      </c>
      <c r="AP188" s="47" t="str">
        <f aca="false">IF(ISNUMBER($AD188),ROUND($AD188*Header!$M$3,2),"")</f>
        <v/>
      </c>
      <c r="AQ188" s="46" t="str">
        <f aca="false">IF(ISNUMBER($AD188),ROUND($AD188,2)-$AO188-$AP188,"")</f>
        <v/>
      </c>
      <c r="AR188" s="47" t="str">
        <f aca="false">IF(ISNUMBER($AD188),IF(Header!$D$34="","?",$AD188*Header!$D$34),"")</f>
        <v/>
      </c>
      <c r="AS188" s="47" t="str">
        <f aca="false">IF(ISNUMBER($AB188),IF(Header!$D$34="","?",$AB188*Header!$D$34),"")</f>
        <v/>
      </c>
      <c r="AT188" s="50" t="str">
        <f aca="false">IF(AND(ISNUMBER($AB188),$M188&gt;0),$AB188/$M188*100,"")</f>
        <v/>
      </c>
      <c r="AU188" s="50" t="str">
        <f aca="false">IF(AND(ISNUMBER($AD188),$M188&gt;0),$AD188/$M188*100,"")</f>
        <v/>
      </c>
      <c r="AV188" s="48" t="str">
        <f aca="false">IF(AND(ISNUMBER($AB188),ISNUMBER($AD188),ABS($AB188)&gt;0),$AD188/$AB188,"")</f>
        <v/>
      </c>
      <c r="AW188" s="47" t="str">
        <f aca="false">IF(ISNUMBER($AD188),MAX(0,(1-0.55-Header!$O$3)*Header!$Q$3*$AQ188),"")</f>
        <v/>
      </c>
      <c r="AX188" s="51" t="str">
        <f aca="false">IF($A188="","",IF(TRIM(IF($A188="","Missing certificate ref. ","") &amp; IF($C188="","Missing effective date. ","") &amp; IF($D188="","Missing binding status. ","") &amp; IF($E188="","Missing movement type. ","") &amp; IF($I188="","Missing make. ","") &amp; IF($L188="","Missing vehicle class. ","") &amp; IF($M188="","Missing agreed value. ","") &amp; IF($N188="","Missing policy type. ","") &amp; IF($Q188="","Missing garaging state. ","") &amp; IF($R188="","Missing garaging ZIP. ","") &amp; IF($S188="","Missing cat zone. ","") &amp; IF($V188="","Missing valuation basis. ","") &amp; IF($W188="","Missing PD deductible. ","") &amp; IF($X188="","Missing liability limit. ","") &amp; IF($AB188="","Missing technical premium. ","") &amp; IF($AF188="","Missing surplus lines tax %. ",""))="","PASS","FAIL: "&amp;TRIM(IF($A188="","Missing certificate ref. ","") &amp; IF($C188="","Missing effective date. ","") &amp; IF($D188="","Missing binding status. ","") &amp; IF($E188="","Missing movement type. ","") &amp; IF($I188="","Missing make. ","") &amp; IF($L188="","Missing vehicle class. ","") &amp; IF($M188="","Missing agreed value. ","") &amp; IF($N188="","Missing policy type. ","") &amp; IF($Q188="","Missing garaging state. ","") &amp; IF($R188="","Missing garaging ZIP. ","") &amp; IF($S188="","Missing cat zone. ","") &amp; IF($V188="","Missing valuation basis. ","") &amp; IF($W188="","Missing PD deductible. ","") &amp; IF($X188="","Missing liability limit. ","") &amp; IF($AB188="","Missing technical premium. ","") &amp; IF($AF188="","Missing surplus lines tax %. ",""))))</f>
        <v/>
      </c>
      <c r="AY188" s="52" t="str">
        <f aca="false">IF($M188="","",IF(ISNUMBER($M188),IF($M188&gt;=Header!$C$18,"YES — refer","No"),""))</f>
        <v/>
      </c>
      <c r="AZ188" s="52" t="str">
        <f aca="false">IF($AD188="","",IF(ISNUMBER($AD188),IF($AD188&lt;Header!$C$20,"BELOW MIN PREMIUM","OK"),""))</f>
        <v/>
      </c>
      <c r="BA188" s="56"/>
      <c r="BB188" s="56"/>
      <c r="BC188" s="54"/>
      <c r="BE188" s="53" t="str">
        <f aca="false">IF(OR($A188="",$L188="",$H188=""),"",IF(AND(LEFT($L188,2)="06",$H188&gt;1945),"FAIL - pre-war class, year "&amp;$H188,IF(AND(LEFT($L188,2)="07",OR($H188&lt;1946,$H188&gt;1972)),"FAIL - 1946-72 class, year "&amp;$H188,IF(AND(LEFT($L188,2)="08",OR($H188&lt;1973,$H188&gt;1999)),"FAIL - 1973-99 class, year "&amp;$H188,IF(AND(LEFT($L188,2)="09",OR($H188&lt;2000,$H188&gt;2010)),"FAIL - 2000-10 class, year "&amp;$H188,"OK")))))</f>
        <v/>
      </c>
      <c r="BF188" s="53" t="str">
        <f aca="false">IF($AD188="","",IF(ROUND($AO188+$AP188+$AQ188-$AD188,2)=0,"OK","FAIL - out by "&amp;TEXT($AO188+$AP188+$AQ188-$AD188,"$0.00")))</f>
        <v/>
      </c>
    </row>
    <row r="189" customFormat="false" ht="15" hidden="false" customHeight="true" outlineLevel="0" collapsed="false">
      <c r="A189" s="38"/>
      <c r="B189" s="38"/>
      <c r="C189" s="39"/>
      <c r="D189" s="40"/>
      <c r="E189" s="40"/>
      <c r="F189" s="38"/>
      <c r="G189" s="41" t="str">
        <f aca="false">IF($A189="","",IF($C189="","",YEAR($C189)))</f>
        <v/>
      </c>
      <c r="H189" s="42"/>
      <c r="I189" s="38"/>
      <c r="J189" s="38"/>
      <c r="K189" s="38"/>
      <c r="L189" s="40"/>
      <c r="M189" s="43"/>
      <c r="N189" s="40"/>
      <c r="O189" s="38"/>
      <c r="P189" s="38"/>
      <c r="Q189" s="38"/>
      <c r="R189" s="38"/>
      <c r="S189" s="40"/>
      <c r="T189" s="44" t="str">
        <f aca="false">IF($A189="","",IF($S189="","",IFERROR(INDEX(Lists!$N$5:$N$16,MATCH($S189,Lists!$M$5:$M$16,0)),"?")))</f>
        <v/>
      </c>
      <c r="U189" s="38"/>
      <c r="V189" s="40"/>
      <c r="W189" s="38"/>
      <c r="X189" s="40"/>
      <c r="Y189" s="38"/>
      <c r="Z189" s="38"/>
      <c r="AA189" s="40"/>
      <c r="AB189" s="43"/>
      <c r="AC189" s="45"/>
      <c r="AD189" s="46" t="str">
        <f aca="false">IF(ISNUMBER($AB189),$AB189*(1+N($AC189)),"")</f>
        <v/>
      </c>
      <c r="AE189" s="43"/>
      <c r="AF189" s="43"/>
      <c r="AG189" s="45"/>
      <c r="AH189" s="47" t="str">
        <f aca="false">IF(ISNUMBER($AD189),($AD189+$AE189+$AF189)*$AG189,"")</f>
        <v/>
      </c>
      <c r="AI189" s="43"/>
      <c r="AJ189" s="46" t="str">
        <f aca="false">IF(ISNUMBER($AD189),SUM($AD189:$AH189),"")</f>
        <v/>
      </c>
      <c r="AK189" s="48" t="str">
        <f aca="false">IF(AND(ISNUMBER($AB189),ISNUMBER($AD189)),IF($AB189&gt;0,$AD189/$AB189,""),"")</f>
        <v/>
      </c>
      <c r="AL189" s="40"/>
      <c r="AM189" s="49" t="str">
        <f aca="false">IF(ISNUMBER($AD189),Header!$I$3,"")</f>
        <v/>
      </c>
      <c r="AN189" s="47" t="str">
        <f aca="false">IF(ISNUMBER($AD189),$AO189+$AP189,"")</f>
        <v/>
      </c>
      <c r="AO189" s="47" t="str">
        <f aca="false">IF(ISNUMBER($AD189),ROUND($AD189*Header!$K$3,2),"")</f>
        <v/>
      </c>
      <c r="AP189" s="47" t="str">
        <f aca="false">IF(ISNUMBER($AD189),ROUND($AD189*Header!$M$3,2),"")</f>
        <v/>
      </c>
      <c r="AQ189" s="46" t="str">
        <f aca="false">IF(ISNUMBER($AD189),ROUND($AD189,2)-$AO189-$AP189,"")</f>
        <v/>
      </c>
      <c r="AR189" s="47" t="str">
        <f aca="false">IF(ISNUMBER($AD189),IF(Header!$D$34="","?",$AD189*Header!$D$34),"")</f>
        <v/>
      </c>
      <c r="AS189" s="47" t="str">
        <f aca="false">IF(ISNUMBER($AB189),IF(Header!$D$34="","?",$AB189*Header!$D$34),"")</f>
        <v/>
      </c>
      <c r="AT189" s="50" t="str">
        <f aca="false">IF(AND(ISNUMBER($AB189),$M189&gt;0),$AB189/$M189*100,"")</f>
        <v/>
      </c>
      <c r="AU189" s="50" t="str">
        <f aca="false">IF(AND(ISNUMBER($AD189),$M189&gt;0),$AD189/$M189*100,"")</f>
        <v/>
      </c>
      <c r="AV189" s="48" t="str">
        <f aca="false">IF(AND(ISNUMBER($AB189),ISNUMBER($AD189),ABS($AB189)&gt;0),$AD189/$AB189,"")</f>
        <v/>
      </c>
      <c r="AW189" s="47" t="str">
        <f aca="false">IF(ISNUMBER($AD189),MAX(0,(1-0.55-Header!$O$3)*Header!$Q$3*$AQ189),"")</f>
        <v/>
      </c>
      <c r="AX189" s="51" t="str">
        <f aca="false">IF($A189="","",IF(TRIM(IF($A189="","Missing certificate ref. ","") &amp; IF($C189="","Missing effective date. ","") &amp; IF($D189="","Missing binding status. ","") &amp; IF($E189="","Missing movement type. ","") &amp; IF($I189="","Missing make. ","") &amp; IF($L189="","Missing vehicle class. ","") &amp; IF($M189="","Missing agreed value. ","") &amp; IF($N189="","Missing policy type. ","") &amp; IF($Q189="","Missing garaging state. ","") &amp; IF($R189="","Missing garaging ZIP. ","") &amp; IF($S189="","Missing cat zone. ","") &amp; IF($V189="","Missing valuation basis. ","") &amp; IF($W189="","Missing PD deductible. ","") &amp; IF($X189="","Missing liability limit. ","") &amp; IF($AB189="","Missing technical premium. ","") &amp; IF($AF189="","Missing surplus lines tax %. ",""))="","PASS","FAIL: "&amp;TRIM(IF($A189="","Missing certificate ref. ","") &amp; IF($C189="","Missing effective date. ","") &amp; IF($D189="","Missing binding status. ","") &amp; IF($E189="","Missing movement type. ","") &amp; IF($I189="","Missing make. ","") &amp; IF($L189="","Missing vehicle class. ","") &amp; IF($M189="","Missing agreed value. ","") &amp; IF($N189="","Missing policy type. ","") &amp; IF($Q189="","Missing garaging state. ","") &amp; IF($R189="","Missing garaging ZIP. ","") &amp; IF($S189="","Missing cat zone. ","") &amp; IF($V189="","Missing valuation basis. ","") &amp; IF($W189="","Missing PD deductible. ","") &amp; IF($X189="","Missing liability limit. ","") &amp; IF($AB189="","Missing technical premium. ","") &amp; IF($AF189="","Missing surplus lines tax %. ",""))))</f>
        <v/>
      </c>
      <c r="AY189" s="52" t="str">
        <f aca="false">IF($M189="","",IF(ISNUMBER($M189),IF($M189&gt;=Header!$C$18,"YES — refer","No"),""))</f>
        <v/>
      </c>
      <c r="AZ189" s="52" t="str">
        <f aca="false">IF($AD189="","",IF(ISNUMBER($AD189),IF($AD189&lt;Header!$C$20,"BELOW MIN PREMIUM","OK"),""))</f>
        <v/>
      </c>
      <c r="BA189" s="40"/>
      <c r="BB189" s="40"/>
      <c r="BC189" s="38"/>
      <c r="BE189" s="53" t="str">
        <f aca="false">IF(OR($A189="",$L189="",$H189=""),"",IF(AND(LEFT($L189,2)="06",$H189&gt;1945),"FAIL - pre-war class, year "&amp;$H189,IF(AND(LEFT($L189,2)="07",OR($H189&lt;1946,$H189&gt;1972)),"FAIL - 1946-72 class, year "&amp;$H189,IF(AND(LEFT($L189,2)="08",OR($H189&lt;1973,$H189&gt;1999)),"FAIL - 1973-99 class, year "&amp;$H189,IF(AND(LEFT($L189,2)="09",OR($H189&lt;2000,$H189&gt;2010)),"FAIL - 2000-10 class, year "&amp;$H189,"OK")))))</f>
        <v/>
      </c>
      <c r="BF189" s="53" t="str">
        <f aca="false">IF($AD189="","",IF(ROUND($AO189+$AP189+$AQ189-$AD189,2)=0,"OK","FAIL - out by "&amp;TEXT($AO189+$AP189+$AQ189-$AD189,"$0.00")))</f>
        <v/>
      </c>
    </row>
    <row r="190" customFormat="false" ht="15" hidden="false" customHeight="true" outlineLevel="0" collapsed="false">
      <c r="A190" s="54"/>
      <c r="B190" s="54"/>
      <c r="C190" s="55"/>
      <c r="D190" s="56"/>
      <c r="E190" s="56"/>
      <c r="F190" s="54"/>
      <c r="G190" s="41" t="str">
        <f aca="false">IF($A190="","",IF($C190="","",YEAR($C190)))</f>
        <v/>
      </c>
      <c r="H190" s="57"/>
      <c r="I190" s="54"/>
      <c r="J190" s="54"/>
      <c r="K190" s="54"/>
      <c r="L190" s="56"/>
      <c r="M190" s="58"/>
      <c r="N190" s="56"/>
      <c r="O190" s="54"/>
      <c r="P190" s="54"/>
      <c r="Q190" s="54"/>
      <c r="R190" s="54"/>
      <c r="S190" s="56"/>
      <c r="T190" s="44" t="str">
        <f aca="false">IF($A190="","",IF($S190="","",IFERROR(INDEX(Lists!$N$5:$N$16,MATCH($S190,Lists!$M$5:$M$16,0)),"?")))</f>
        <v/>
      </c>
      <c r="U190" s="54"/>
      <c r="V190" s="56"/>
      <c r="W190" s="54"/>
      <c r="X190" s="56"/>
      <c r="Y190" s="54"/>
      <c r="Z190" s="54"/>
      <c r="AA190" s="56"/>
      <c r="AB190" s="58"/>
      <c r="AC190" s="59"/>
      <c r="AD190" s="46" t="str">
        <f aca="false">IF(ISNUMBER($AB190),$AB190*(1+N($AC190)),"")</f>
        <v/>
      </c>
      <c r="AE190" s="58"/>
      <c r="AF190" s="58"/>
      <c r="AG190" s="59"/>
      <c r="AH190" s="47" t="str">
        <f aca="false">IF(ISNUMBER($AD190),($AD190+$AE190+$AF190)*$AG190,"")</f>
        <v/>
      </c>
      <c r="AI190" s="58"/>
      <c r="AJ190" s="46" t="str">
        <f aca="false">IF(ISNUMBER($AD190),SUM($AD190:$AH190),"")</f>
        <v/>
      </c>
      <c r="AK190" s="48" t="str">
        <f aca="false">IF(AND(ISNUMBER($AB190),ISNUMBER($AD190)),IF($AB190&gt;0,$AD190/$AB190,""),"")</f>
        <v/>
      </c>
      <c r="AL190" s="56"/>
      <c r="AM190" s="49" t="str">
        <f aca="false">IF(ISNUMBER($AD190),Header!$I$3,"")</f>
        <v/>
      </c>
      <c r="AN190" s="47" t="str">
        <f aca="false">IF(ISNUMBER($AD190),$AO190+$AP190,"")</f>
        <v/>
      </c>
      <c r="AO190" s="47" t="str">
        <f aca="false">IF(ISNUMBER($AD190),ROUND($AD190*Header!$K$3,2),"")</f>
        <v/>
      </c>
      <c r="AP190" s="47" t="str">
        <f aca="false">IF(ISNUMBER($AD190),ROUND($AD190*Header!$M$3,2),"")</f>
        <v/>
      </c>
      <c r="AQ190" s="46" t="str">
        <f aca="false">IF(ISNUMBER($AD190),ROUND($AD190,2)-$AO190-$AP190,"")</f>
        <v/>
      </c>
      <c r="AR190" s="47" t="str">
        <f aca="false">IF(ISNUMBER($AD190),IF(Header!$D$34="","?",$AD190*Header!$D$34),"")</f>
        <v/>
      </c>
      <c r="AS190" s="47" t="str">
        <f aca="false">IF(ISNUMBER($AB190),IF(Header!$D$34="","?",$AB190*Header!$D$34),"")</f>
        <v/>
      </c>
      <c r="AT190" s="50" t="str">
        <f aca="false">IF(AND(ISNUMBER($AB190),$M190&gt;0),$AB190/$M190*100,"")</f>
        <v/>
      </c>
      <c r="AU190" s="50" t="str">
        <f aca="false">IF(AND(ISNUMBER($AD190),$M190&gt;0),$AD190/$M190*100,"")</f>
        <v/>
      </c>
      <c r="AV190" s="48" t="str">
        <f aca="false">IF(AND(ISNUMBER($AB190),ISNUMBER($AD190),ABS($AB190)&gt;0),$AD190/$AB190,"")</f>
        <v/>
      </c>
      <c r="AW190" s="47" t="str">
        <f aca="false">IF(ISNUMBER($AD190),MAX(0,(1-0.55-Header!$O$3)*Header!$Q$3*$AQ190),"")</f>
        <v/>
      </c>
      <c r="AX190" s="51" t="str">
        <f aca="false">IF($A190="","",IF(TRIM(IF($A190="","Missing certificate ref. ","") &amp; IF($C190="","Missing effective date. ","") &amp; IF($D190="","Missing binding status. ","") &amp; IF($E190="","Missing movement type. ","") &amp; IF($I190="","Missing make. ","") &amp; IF($L190="","Missing vehicle class. ","") &amp; IF($M190="","Missing agreed value. ","") &amp; IF($N190="","Missing policy type. ","") &amp; IF($Q190="","Missing garaging state. ","") &amp; IF($R190="","Missing garaging ZIP. ","") &amp; IF($S190="","Missing cat zone. ","") &amp; IF($V190="","Missing valuation basis. ","") &amp; IF($W190="","Missing PD deductible. ","") &amp; IF($X190="","Missing liability limit. ","") &amp; IF($AB190="","Missing technical premium. ","") &amp; IF($AF190="","Missing surplus lines tax %. ",""))="","PASS","FAIL: "&amp;TRIM(IF($A190="","Missing certificate ref. ","") &amp; IF($C190="","Missing effective date. ","") &amp; IF($D190="","Missing binding status. ","") &amp; IF($E190="","Missing movement type. ","") &amp; IF($I190="","Missing make. ","") &amp; IF($L190="","Missing vehicle class. ","") &amp; IF($M190="","Missing agreed value. ","") &amp; IF($N190="","Missing policy type. ","") &amp; IF($Q190="","Missing garaging state. ","") &amp; IF($R190="","Missing garaging ZIP. ","") &amp; IF($S190="","Missing cat zone. ","") &amp; IF($V190="","Missing valuation basis. ","") &amp; IF($W190="","Missing PD deductible. ","") &amp; IF($X190="","Missing liability limit. ","") &amp; IF($AB190="","Missing technical premium. ","") &amp; IF($AF190="","Missing surplus lines tax %. ",""))))</f>
        <v/>
      </c>
      <c r="AY190" s="52" t="str">
        <f aca="false">IF($M190="","",IF(ISNUMBER($M190),IF($M190&gt;=Header!$C$18,"YES — refer","No"),""))</f>
        <v/>
      </c>
      <c r="AZ190" s="52" t="str">
        <f aca="false">IF($AD190="","",IF(ISNUMBER($AD190),IF($AD190&lt;Header!$C$20,"BELOW MIN PREMIUM","OK"),""))</f>
        <v/>
      </c>
      <c r="BA190" s="56"/>
      <c r="BB190" s="56"/>
      <c r="BC190" s="54"/>
      <c r="BE190" s="53" t="str">
        <f aca="false">IF(OR($A190="",$L190="",$H190=""),"",IF(AND(LEFT($L190,2)="06",$H190&gt;1945),"FAIL - pre-war class, year "&amp;$H190,IF(AND(LEFT($L190,2)="07",OR($H190&lt;1946,$H190&gt;1972)),"FAIL - 1946-72 class, year "&amp;$H190,IF(AND(LEFT($L190,2)="08",OR($H190&lt;1973,$H190&gt;1999)),"FAIL - 1973-99 class, year "&amp;$H190,IF(AND(LEFT($L190,2)="09",OR($H190&lt;2000,$H190&gt;2010)),"FAIL - 2000-10 class, year "&amp;$H190,"OK")))))</f>
        <v/>
      </c>
      <c r="BF190" s="53" t="str">
        <f aca="false">IF($AD190="","",IF(ROUND($AO190+$AP190+$AQ190-$AD190,2)=0,"OK","FAIL - out by "&amp;TEXT($AO190+$AP190+$AQ190-$AD190,"$0.00")))</f>
        <v/>
      </c>
    </row>
    <row r="191" customFormat="false" ht="15" hidden="false" customHeight="true" outlineLevel="0" collapsed="false">
      <c r="A191" s="38"/>
      <c r="B191" s="38"/>
      <c r="C191" s="39"/>
      <c r="D191" s="40"/>
      <c r="E191" s="40"/>
      <c r="F191" s="38"/>
      <c r="G191" s="41" t="str">
        <f aca="false">IF($A191="","",IF($C191="","",YEAR($C191)))</f>
        <v/>
      </c>
      <c r="H191" s="42"/>
      <c r="I191" s="38"/>
      <c r="J191" s="38"/>
      <c r="K191" s="38"/>
      <c r="L191" s="40"/>
      <c r="M191" s="43"/>
      <c r="N191" s="40"/>
      <c r="O191" s="38"/>
      <c r="P191" s="38"/>
      <c r="Q191" s="38"/>
      <c r="R191" s="38"/>
      <c r="S191" s="40"/>
      <c r="T191" s="44" t="str">
        <f aca="false">IF($A191="","",IF($S191="","",IFERROR(INDEX(Lists!$N$5:$N$16,MATCH($S191,Lists!$M$5:$M$16,0)),"?")))</f>
        <v/>
      </c>
      <c r="U191" s="38"/>
      <c r="V191" s="40"/>
      <c r="W191" s="38"/>
      <c r="X191" s="40"/>
      <c r="Y191" s="38"/>
      <c r="Z191" s="38"/>
      <c r="AA191" s="40"/>
      <c r="AB191" s="43"/>
      <c r="AC191" s="45"/>
      <c r="AD191" s="46" t="str">
        <f aca="false">IF(ISNUMBER($AB191),$AB191*(1+N($AC191)),"")</f>
        <v/>
      </c>
      <c r="AE191" s="43"/>
      <c r="AF191" s="43"/>
      <c r="AG191" s="45"/>
      <c r="AH191" s="47" t="str">
        <f aca="false">IF(ISNUMBER($AD191),($AD191+$AE191+$AF191)*$AG191,"")</f>
        <v/>
      </c>
      <c r="AI191" s="43"/>
      <c r="AJ191" s="46" t="str">
        <f aca="false">IF(ISNUMBER($AD191),SUM($AD191:$AH191),"")</f>
        <v/>
      </c>
      <c r="AK191" s="48" t="str">
        <f aca="false">IF(AND(ISNUMBER($AB191),ISNUMBER($AD191)),IF($AB191&gt;0,$AD191/$AB191,""),"")</f>
        <v/>
      </c>
      <c r="AL191" s="40"/>
      <c r="AM191" s="49" t="str">
        <f aca="false">IF(ISNUMBER($AD191),Header!$I$3,"")</f>
        <v/>
      </c>
      <c r="AN191" s="47" t="str">
        <f aca="false">IF(ISNUMBER($AD191),$AO191+$AP191,"")</f>
        <v/>
      </c>
      <c r="AO191" s="47" t="str">
        <f aca="false">IF(ISNUMBER($AD191),ROUND($AD191*Header!$K$3,2),"")</f>
        <v/>
      </c>
      <c r="AP191" s="47" t="str">
        <f aca="false">IF(ISNUMBER($AD191),ROUND($AD191*Header!$M$3,2),"")</f>
        <v/>
      </c>
      <c r="AQ191" s="46" t="str">
        <f aca="false">IF(ISNUMBER($AD191),ROUND($AD191,2)-$AO191-$AP191,"")</f>
        <v/>
      </c>
      <c r="AR191" s="47" t="str">
        <f aca="false">IF(ISNUMBER($AD191),IF(Header!$D$34="","?",$AD191*Header!$D$34),"")</f>
        <v/>
      </c>
      <c r="AS191" s="47" t="str">
        <f aca="false">IF(ISNUMBER($AB191),IF(Header!$D$34="","?",$AB191*Header!$D$34),"")</f>
        <v/>
      </c>
      <c r="AT191" s="50" t="str">
        <f aca="false">IF(AND(ISNUMBER($AB191),$M191&gt;0),$AB191/$M191*100,"")</f>
        <v/>
      </c>
      <c r="AU191" s="50" t="str">
        <f aca="false">IF(AND(ISNUMBER($AD191),$M191&gt;0),$AD191/$M191*100,"")</f>
        <v/>
      </c>
      <c r="AV191" s="48" t="str">
        <f aca="false">IF(AND(ISNUMBER($AB191),ISNUMBER($AD191),ABS($AB191)&gt;0),$AD191/$AB191,"")</f>
        <v/>
      </c>
      <c r="AW191" s="47" t="str">
        <f aca="false">IF(ISNUMBER($AD191),MAX(0,(1-0.55-Header!$O$3)*Header!$Q$3*$AQ191),"")</f>
        <v/>
      </c>
      <c r="AX191" s="51" t="str">
        <f aca="false">IF($A191="","",IF(TRIM(IF($A191="","Missing certificate ref. ","") &amp; IF($C191="","Missing effective date. ","") &amp; IF($D191="","Missing binding status. ","") &amp; IF($E191="","Missing movement type. ","") &amp; IF($I191="","Missing make. ","") &amp; IF($L191="","Missing vehicle class. ","") &amp; IF($M191="","Missing agreed value. ","") &amp; IF($N191="","Missing policy type. ","") &amp; IF($Q191="","Missing garaging state. ","") &amp; IF($R191="","Missing garaging ZIP. ","") &amp; IF($S191="","Missing cat zone. ","") &amp; IF($V191="","Missing valuation basis. ","") &amp; IF($W191="","Missing PD deductible. ","") &amp; IF($X191="","Missing liability limit. ","") &amp; IF($AB191="","Missing technical premium. ","") &amp; IF($AF191="","Missing surplus lines tax %. ",""))="","PASS","FAIL: "&amp;TRIM(IF($A191="","Missing certificate ref. ","") &amp; IF($C191="","Missing effective date. ","") &amp; IF($D191="","Missing binding status. ","") &amp; IF($E191="","Missing movement type. ","") &amp; IF($I191="","Missing make. ","") &amp; IF($L191="","Missing vehicle class. ","") &amp; IF($M191="","Missing agreed value. ","") &amp; IF($N191="","Missing policy type. ","") &amp; IF($Q191="","Missing garaging state. ","") &amp; IF($R191="","Missing garaging ZIP. ","") &amp; IF($S191="","Missing cat zone. ","") &amp; IF($V191="","Missing valuation basis. ","") &amp; IF($W191="","Missing PD deductible. ","") &amp; IF($X191="","Missing liability limit. ","") &amp; IF($AB191="","Missing technical premium. ","") &amp; IF($AF191="","Missing surplus lines tax %. ",""))))</f>
        <v/>
      </c>
      <c r="AY191" s="52" t="str">
        <f aca="false">IF($M191="","",IF(ISNUMBER($M191),IF($M191&gt;=Header!$C$18,"YES — refer","No"),""))</f>
        <v/>
      </c>
      <c r="AZ191" s="52" t="str">
        <f aca="false">IF($AD191="","",IF(ISNUMBER($AD191),IF($AD191&lt;Header!$C$20,"BELOW MIN PREMIUM","OK"),""))</f>
        <v/>
      </c>
      <c r="BA191" s="40"/>
      <c r="BB191" s="40"/>
      <c r="BC191" s="38"/>
      <c r="BE191" s="53" t="str">
        <f aca="false">IF(OR($A191="",$L191="",$H191=""),"",IF(AND(LEFT($L191,2)="06",$H191&gt;1945),"FAIL - pre-war class, year "&amp;$H191,IF(AND(LEFT($L191,2)="07",OR($H191&lt;1946,$H191&gt;1972)),"FAIL - 1946-72 class, year "&amp;$H191,IF(AND(LEFT($L191,2)="08",OR($H191&lt;1973,$H191&gt;1999)),"FAIL - 1973-99 class, year "&amp;$H191,IF(AND(LEFT($L191,2)="09",OR($H191&lt;2000,$H191&gt;2010)),"FAIL - 2000-10 class, year "&amp;$H191,"OK")))))</f>
        <v/>
      </c>
      <c r="BF191" s="53" t="str">
        <f aca="false">IF($AD191="","",IF(ROUND($AO191+$AP191+$AQ191-$AD191,2)=0,"OK","FAIL - out by "&amp;TEXT($AO191+$AP191+$AQ191-$AD191,"$0.00")))</f>
        <v/>
      </c>
    </row>
    <row r="192" customFormat="false" ht="15" hidden="false" customHeight="true" outlineLevel="0" collapsed="false">
      <c r="A192" s="54"/>
      <c r="B192" s="54"/>
      <c r="C192" s="55"/>
      <c r="D192" s="56"/>
      <c r="E192" s="56"/>
      <c r="F192" s="54"/>
      <c r="G192" s="41" t="str">
        <f aca="false">IF($A192="","",IF($C192="","",YEAR($C192)))</f>
        <v/>
      </c>
      <c r="H192" s="57"/>
      <c r="I192" s="54"/>
      <c r="J192" s="54"/>
      <c r="K192" s="54"/>
      <c r="L192" s="56"/>
      <c r="M192" s="58"/>
      <c r="N192" s="56"/>
      <c r="O192" s="54"/>
      <c r="P192" s="54"/>
      <c r="Q192" s="54"/>
      <c r="R192" s="54"/>
      <c r="S192" s="56"/>
      <c r="T192" s="44" t="str">
        <f aca="false">IF($A192="","",IF($S192="","",IFERROR(INDEX(Lists!$N$5:$N$16,MATCH($S192,Lists!$M$5:$M$16,0)),"?")))</f>
        <v/>
      </c>
      <c r="U192" s="54"/>
      <c r="V192" s="56"/>
      <c r="W192" s="54"/>
      <c r="X192" s="56"/>
      <c r="Y192" s="54"/>
      <c r="Z192" s="54"/>
      <c r="AA192" s="56"/>
      <c r="AB192" s="58"/>
      <c r="AC192" s="59"/>
      <c r="AD192" s="46" t="str">
        <f aca="false">IF(ISNUMBER($AB192),$AB192*(1+N($AC192)),"")</f>
        <v/>
      </c>
      <c r="AE192" s="58"/>
      <c r="AF192" s="58"/>
      <c r="AG192" s="59"/>
      <c r="AH192" s="47" t="str">
        <f aca="false">IF(ISNUMBER($AD192),($AD192+$AE192+$AF192)*$AG192,"")</f>
        <v/>
      </c>
      <c r="AI192" s="58"/>
      <c r="AJ192" s="46" t="str">
        <f aca="false">IF(ISNUMBER($AD192),SUM($AD192:$AH192),"")</f>
        <v/>
      </c>
      <c r="AK192" s="48" t="str">
        <f aca="false">IF(AND(ISNUMBER($AB192),ISNUMBER($AD192)),IF($AB192&gt;0,$AD192/$AB192,""),"")</f>
        <v/>
      </c>
      <c r="AL192" s="56"/>
      <c r="AM192" s="49" t="str">
        <f aca="false">IF(ISNUMBER($AD192),Header!$I$3,"")</f>
        <v/>
      </c>
      <c r="AN192" s="47" t="str">
        <f aca="false">IF(ISNUMBER($AD192),$AO192+$AP192,"")</f>
        <v/>
      </c>
      <c r="AO192" s="47" t="str">
        <f aca="false">IF(ISNUMBER($AD192),ROUND($AD192*Header!$K$3,2),"")</f>
        <v/>
      </c>
      <c r="AP192" s="47" t="str">
        <f aca="false">IF(ISNUMBER($AD192),ROUND($AD192*Header!$M$3,2),"")</f>
        <v/>
      </c>
      <c r="AQ192" s="46" t="str">
        <f aca="false">IF(ISNUMBER($AD192),ROUND($AD192,2)-$AO192-$AP192,"")</f>
        <v/>
      </c>
      <c r="AR192" s="47" t="str">
        <f aca="false">IF(ISNUMBER($AD192),IF(Header!$D$34="","?",$AD192*Header!$D$34),"")</f>
        <v/>
      </c>
      <c r="AS192" s="47" t="str">
        <f aca="false">IF(ISNUMBER($AB192),IF(Header!$D$34="","?",$AB192*Header!$D$34),"")</f>
        <v/>
      </c>
      <c r="AT192" s="50" t="str">
        <f aca="false">IF(AND(ISNUMBER($AB192),$M192&gt;0),$AB192/$M192*100,"")</f>
        <v/>
      </c>
      <c r="AU192" s="50" t="str">
        <f aca="false">IF(AND(ISNUMBER($AD192),$M192&gt;0),$AD192/$M192*100,"")</f>
        <v/>
      </c>
      <c r="AV192" s="48" t="str">
        <f aca="false">IF(AND(ISNUMBER($AB192),ISNUMBER($AD192),ABS($AB192)&gt;0),$AD192/$AB192,"")</f>
        <v/>
      </c>
      <c r="AW192" s="47" t="str">
        <f aca="false">IF(ISNUMBER($AD192),MAX(0,(1-0.55-Header!$O$3)*Header!$Q$3*$AQ192),"")</f>
        <v/>
      </c>
      <c r="AX192" s="51" t="str">
        <f aca="false">IF($A192="","",IF(TRIM(IF($A192="","Missing certificate ref. ","") &amp; IF($C192="","Missing effective date. ","") &amp; IF($D192="","Missing binding status. ","") &amp; IF($E192="","Missing movement type. ","") &amp; IF($I192="","Missing make. ","") &amp; IF($L192="","Missing vehicle class. ","") &amp; IF($M192="","Missing agreed value. ","") &amp; IF($N192="","Missing policy type. ","") &amp; IF($Q192="","Missing garaging state. ","") &amp; IF($R192="","Missing garaging ZIP. ","") &amp; IF($S192="","Missing cat zone. ","") &amp; IF($V192="","Missing valuation basis. ","") &amp; IF($W192="","Missing PD deductible. ","") &amp; IF($X192="","Missing liability limit. ","") &amp; IF($AB192="","Missing technical premium. ","") &amp; IF($AF192="","Missing surplus lines tax %. ",""))="","PASS","FAIL: "&amp;TRIM(IF($A192="","Missing certificate ref. ","") &amp; IF($C192="","Missing effective date. ","") &amp; IF($D192="","Missing binding status. ","") &amp; IF($E192="","Missing movement type. ","") &amp; IF($I192="","Missing make. ","") &amp; IF($L192="","Missing vehicle class. ","") &amp; IF($M192="","Missing agreed value. ","") &amp; IF($N192="","Missing policy type. ","") &amp; IF($Q192="","Missing garaging state. ","") &amp; IF($R192="","Missing garaging ZIP. ","") &amp; IF($S192="","Missing cat zone. ","") &amp; IF($V192="","Missing valuation basis. ","") &amp; IF($W192="","Missing PD deductible. ","") &amp; IF($X192="","Missing liability limit. ","") &amp; IF($AB192="","Missing technical premium. ","") &amp; IF($AF192="","Missing surplus lines tax %. ",""))))</f>
        <v/>
      </c>
      <c r="AY192" s="52" t="str">
        <f aca="false">IF($M192="","",IF(ISNUMBER($M192),IF($M192&gt;=Header!$C$18,"YES — refer","No"),""))</f>
        <v/>
      </c>
      <c r="AZ192" s="52" t="str">
        <f aca="false">IF($AD192="","",IF(ISNUMBER($AD192),IF($AD192&lt;Header!$C$20,"BELOW MIN PREMIUM","OK"),""))</f>
        <v/>
      </c>
      <c r="BA192" s="56"/>
      <c r="BB192" s="56"/>
      <c r="BC192" s="54"/>
      <c r="BE192" s="53" t="str">
        <f aca="false">IF(OR($A192="",$L192="",$H192=""),"",IF(AND(LEFT($L192,2)="06",$H192&gt;1945),"FAIL - pre-war class, year "&amp;$H192,IF(AND(LEFT($L192,2)="07",OR($H192&lt;1946,$H192&gt;1972)),"FAIL - 1946-72 class, year "&amp;$H192,IF(AND(LEFT($L192,2)="08",OR($H192&lt;1973,$H192&gt;1999)),"FAIL - 1973-99 class, year "&amp;$H192,IF(AND(LEFT($L192,2)="09",OR($H192&lt;2000,$H192&gt;2010)),"FAIL - 2000-10 class, year "&amp;$H192,"OK")))))</f>
        <v/>
      </c>
      <c r="BF192" s="53" t="str">
        <f aca="false">IF($AD192="","",IF(ROUND($AO192+$AP192+$AQ192-$AD192,2)=0,"OK","FAIL - out by "&amp;TEXT($AO192+$AP192+$AQ192-$AD192,"$0.00")))</f>
        <v/>
      </c>
    </row>
    <row r="193" customFormat="false" ht="15" hidden="false" customHeight="true" outlineLevel="0" collapsed="false">
      <c r="A193" s="38"/>
      <c r="B193" s="38"/>
      <c r="C193" s="39"/>
      <c r="D193" s="40"/>
      <c r="E193" s="40"/>
      <c r="F193" s="38"/>
      <c r="G193" s="41" t="str">
        <f aca="false">IF($A193="","",IF($C193="","",YEAR($C193)))</f>
        <v/>
      </c>
      <c r="H193" s="42"/>
      <c r="I193" s="38"/>
      <c r="J193" s="38"/>
      <c r="K193" s="38"/>
      <c r="L193" s="40"/>
      <c r="M193" s="43"/>
      <c r="N193" s="40"/>
      <c r="O193" s="38"/>
      <c r="P193" s="38"/>
      <c r="Q193" s="38"/>
      <c r="R193" s="38"/>
      <c r="S193" s="40"/>
      <c r="T193" s="44" t="str">
        <f aca="false">IF($A193="","",IF($S193="","",IFERROR(INDEX(Lists!$N$5:$N$16,MATCH($S193,Lists!$M$5:$M$16,0)),"?")))</f>
        <v/>
      </c>
      <c r="U193" s="38"/>
      <c r="V193" s="40"/>
      <c r="W193" s="38"/>
      <c r="X193" s="40"/>
      <c r="Y193" s="38"/>
      <c r="Z193" s="38"/>
      <c r="AA193" s="40"/>
      <c r="AB193" s="43"/>
      <c r="AC193" s="45"/>
      <c r="AD193" s="46" t="str">
        <f aca="false">IF(ISNUMBER($AB193),$AB193*(1+N($AC193)),"")</f>
        <v/>
      </c>
      <c r="AE193" s="43"/>
      <c r="AF193" s="43"/>
      <c r="AG193" s="45"/>
      <c r="AH193" s="47" t="str">
        <f aca="false">IF(ISNUMBER($AD193),($AD193+$AE193+$AF193)*$AG193,"")</f>
        <v/>
      </c>
      <c r="AI193" s="43"/>
      <c r="AJ193" s="46" t="str">
        <f aca="false">IF(ISNUMBER($AD193),SUM($AD193:$AH193),"")</f>
        <v/>
      </c>
      <c r="AK193" s="48" t="str">
        <f aca="false">IF(AND(ISNUMBER($AB193),ISNUMBER($AD193)),IF($AB193&gt;0,$AD193/$AB193,""),"")</f>
        <v/>
      </c>
      <c r="AL193" s="40"/>
      <c r="AM193" s="49" t="str">
        <f aca="false">IF(ISNUMBER($AD193),Header!$I$3,"")</f>
        <v/>
      </c>
      <c r="AN193" s="47" t="str">
        <f aca="false">IF(ISNUMBER($AD193),$AO193+$AP193,"")</f>
        <v/>
      </c>
      <c r="AO193" s="47" t="str">
        <f aca="false">IF(ISNUMBER($AD193),ROUND($AD193*Header!$K$3,2),"")</f>
        <v/>
      </c>
      <c r="AP193" s="47" t="str">
        <f aca="false">IF(ISNUMBER($AD193),ROUND($AD193*Header!$M$3,2),"")</f>
        <v/>
      </c>
      <c r="AQ193" s="46" t="str">
        <f aca="false">IF(ISNUMBER($AD193),ROUND($AD193,2)-$AO193-$AP193,"")</f>
        <v/>
      </c>
      <c r="AR193" s="47" t="str">
        <f aca="false">IF(ISNUMBER($AD193),IF(Header!$D$34="","?",$AD193*Header!$D$34),"")</f>
        <v/>
      </c>
      <c r="AS193" s="47" t="str">
        <f aca="false">IF(ISNUMBER($AB193),IF(Header!$D$34="","?",$AB193*Header!$D$34),"")</f>
        <v/>
      </c>
      <c r="AT193" s="50" t="str">
        <f aca="false">IF(AND(ISNUMBER($AB193),$M193&gt;0),$AB193/$M193*100,"")</f>
        <v/>
      </c>
      <c r="AU193" s="50" t="str">
        <f aca="false">IF(AND(ISNUMBER($AD193),$M193&gt;0),$AD193/$M193*100,"")</f>
        <v/>
      </c>
      <c r="AV193" s="48" t="str">
        <f aca="false">IF(AND(ISNUMBER($AB193),ISNUMBER($AD193),ABS($AB193)&gt;0),$AD193/$AB193,"")</f>
        <v/>
      </c>
      <c r="AW193" s="47" t="str">
        <f aca="false">IF(ISNUMBER($AD193),MAX(0,(1-0.55-Header!$O$3)*Header!$Q$3*$AQ193),"")</f>
        <v/>
      </c>
      <c r="AX193" s="51" t="str">
        <f aca="false">IF($A193="","",IF(TRIM(IF($A193="","Missing certificate ref. ","") &amp; IF($C193="","Missing effective date. ","") &amp; IF($D193="","Missing binding status. ","") &amp; IF($E193="","Missing movement type. ","") &amp; IF($I193="","Missing make. ","") &amp; IF($L193="","Missing vehicle class. ","") &amp; IF($M193="","Missing agreed value. ","") &amp; IF($N193="","Missing policy type. ","") &amp; IF($Q193="","Missing garaging state. ","") &amp; IF($R193="","Missing garaging ZIP. ","") &amp; IF($S193="","Missing cat zone. ","") &amp; IF($V193="","Missing valuation basis. ","") &amp; IF($W193="","Missing PD deductible. ","") &amp; IF($X193="","Missing liability limit. ","") &amp; IF($AB193="","Missing technical premium. ","") &amp; IF($AF193="","Missing surplus lines tax %. ",""))="","PASS","FAIL: "&amp;TRIM(IF($A193="","Missing certificate ref. ","") &amp; IF($C193="","Missing effective date. ","") &amp; IF($D193="","Missing binding status. ","") &amp; IF($E193="","Missing movement type. ","") &amp; IF($I193="","Missing make. ","") &amp; IF($L193="","Missing vehicle class. ","") &amp; IF($M193="","Missing agreed value. ","") &amp; IF($N193="","Missing policy type. ","") &amp; IF($Q193="","Missing garaging state. ","") &amp; IF($R193="","Missing garaging ZIP. ","") &amp; IF($S193="","Missing cat zone. ","") &amp; IF($V193="","Missing valuation basis. ","") &amp; IF($W193="","Missing PD deductible. ","") &amp; IF($X193="","Missing liability limit. ","") &amp; IF($AB193="","Missing technical premium. ","") &amp; IF($AF193="","Missing surplus lines tax %. ",""))))</f>
        <v/>
      </c>
      <c r="AY193" s="52" t="str">
        <f aca="false">IF($M193="","",IF(ISNUMBER($M193),IF($M193&gt;=Header!$C$18,"YES — refer","No"),""))</f>
        <v/>
      </c>
      <c r="AZ193" s="52" t="str">
        <f aca="false">IF($AD193="","",IF(ISNUMBER($AD193),IF($AD193&lt;Header!$C$20,"BELOW MIN PREMIUM","OK"),""))</f>
        <v/>
      </c>
      <c r="BA193" s="40"/>
      <c r="BB193" s="40"/>
      <c r="BC193" s="38"/>
      <c r="BE193" s="53" t="str">
        <f aca="false">IF(OR($A193="",$L193="",$H193=""),"",IF(AND(LEFT($L193,2)="06",$H193&gt;1945),"FAIL - pre-war class, year "&amp;$H193,IF(AND(LEFT($L193,2)="07",OR($H193&lt;1946,$H193&gt;1972)),"FAIL - 1946-72 class, year "&amp;$H193,IF(AND(LEFT($L193,2)="08",OR($H193&lt;1973,$H193&gt;1999)),"FAIL - 1973-99 class, year "&amp;$H193,IF(AND(LEFT($L193,2)="09",OR($H193&lt;2000,$H193&gt;2010)),"FAIL - 2000-10 class, year "&amp;$H193,"OK")))))</f>
        <v/>
      </c>
      <c r="BF193" s="53" t="str">
        <f aca="false">IF($AD193="","",IF(ROUND($AO193+$AP193+$AQ193-$AD193,2)=0,"OK","FAIL - out by "&amp;TEXT($AO193+$AP193+$AQ193-$AD193,"$0.00")))</f>
        <v/>
      </c>
    </row>
    <row r="194" customFormat="false" ht="15" hidden="false" customHeight="true" outlineLevel="0" collapsed="false">
      <c r="A194" s="54"/>
      <c r="B194" s="54"/>
      <c r="C194" s="55"/>
      <c r="D194" s="56"/>
      <c r="E194" s="56"/>
      <c r="F194" s="54"/>
      <c r="G194" s="41" t="str">
        <f aca="false">IF($A194="","",IF($C194="","",YEAR($C194)))</f>
        <v/>
      </c>
      <c r="H194" s="57"/>
      <c r="I194" s="54"/>
      <c r="J194" s="54"/>
      <c r="K194" s="54"/>
      <c r="L194" s="56"/>
      <c r="M194" s="58"/>
      <c r="N194" s="56"/>
      <c r="O194" s="54"/>
      <c r="P194" s="54"/>
      <c r="Q194" s="54"/>
      <c r="R194" s="54"/>
      <c r="S194" s="56"/>
      <c r="T194" s="44" t="str">
        <f aca="false">IF($A194="","",IF($S194="","",IFERROR(INDEX(Lists!$N$5:$N$16,MATCH($S194,Lists!$M$5:$M$16,0)),"?")))</f>
        <v/>
      </c>
      <c r="U194" s="54"/>
      <c r="V194" s="56"/>
      <c r="W194" s="54"/>
      <c r="X194" s="56"/>
      <c r="Y194" s="54"/>
      <c r="Z194" s="54"/>
      <c r="AA194" s="56"/>
      <c r="AB194" s="58"/>
      <c r="AC194" s="59"/>
      <c r="AD194" s="46" t="str">
        <f aca="false">IF(ISNUMBER($AB194),$AB194*(1+N($AC194)),"")</f>
        <v/>
      </c>
      <c r="AE194" s="58"/>
      <c r="AF194" s="58"/>
      <c r="AG194" s="59"/>
      <c r="AH194" s="47" t="str">
        <f aca="false">IF(ISNUMBER($AD194),($AD194+$AE194+$AF194)*$AG194,"")</f>
        <v/>
      </c>
      <c r="AI194" s="58"/>
      <c r="AJ194" s="46" t="str">
        <f aca="false">IF(ISNUMBER($AD194),SUM($AD194:$AH194),"")</f>
        <v/>
      </c>
      <c r="AK194" s="48" t="str">
        <f aca="false">IF(AND(ISNUMBER($AB194),ISNUMBER($AD194)),IF($AB194&gt;0,$AD194/$AB194,""),"")</f>
        <v/>
      </c>
      <c r="AL194" s="56"/>
      <c r="AM194" s="49" t="str">
        <f aca="false">IF(ISNUMBER($AD194),Header!$I$3,"")</f>
        <v/>
      </c>
      <c r="AN194" s="47" t="str">
        <f aca="false">IF(ISNUMBER($AD194),$AO194+$AP194,"")</f>
        <v/>
      </c>
      <c r="AO194" s="47" t="str">
        <f aca="false">IF(ISNUMBER($AD194),ROUND($AD194*Header!$K$3,2),"")</f>
        <v/>
      </c>
      <c r="AP194" s="47" t="str">
        <f aca="false">IF(ISNUMBER($AD194),ROUND($AD194*Header!$M$3,2),"")</f>
        <v/>
      </c>
      <c r="AQ194" s="46" t="str">
        <f aca="false">IF(ISNUMBER($AD194),ROUND($AD194,2)-$AO194-$AP194,"")</f>
        <v/>
      </c>
      <c r="AR194" s="47" t="str">
        <f aca="false">IF(ISNUMBER($AD194),IF(Header!$D$34="","?",$AD194*Header!$D$34),"")</f>
        <v/>
      </c>
      <c r="AS194" s="47" t="str">
        <f aca="false">IF(ISNUMBER($AB194),IF(Header!$D$34="","?",$AB194*Header!$D$34),"")</f>
        <v/>
      </c>
      <c r="AT194" s="50" t="str">
        <f aca="false">IF(AND(ISNUMBER($AB194),$M194&gt;0),$AB194/$M194*100,"")</f>
        <v/>
      </c>
      <c r="AU194" s="50" t="str">
        <f aca="false">IF(AND(ISNUMBER($AD194),$M194&gt;0),$AD194/$M194*100,"")</f>
        <v/>
      </c>
      <c r="AV194" s="48" t="str">
        <f aca="false">IF(AND(ISNUMBER($AB194),ISNUMBER($AD194),ABS($AB194)&gt;0),$AD194/$AB194,"")</f>
        <v/>
      </c>
      <c r="AW194" s="47" t="str">
        <f aca="false">IF(ISNUMBER($AD194),MAX(0,(1-0.55-Header!$O$3)*Header!$Q$3*$AQ194),"")</f>
        <v/>
      </c>
      <c r="AX194" s="51" t="str">
        <f aca="false">IF($A194="","",IF(TRIM(IF($A194="","Missing certificate ref. ","") &amp; IF($C194="","Missing effective date. ","") &amp; IF($D194="","Missing binding status. ","") &amp; IF($E194="","Missing movement type. ","") &amp; IF($I194="","Missing make. ","") &amp; IF($L194="","Missing vehicle class. ","") &amp; IF($M194="","Missing agreed value. ","") &amp; IF($N194="","Missing policy type. ","") &amp; IF($Q194="","Missing garaging state. ","") &amp; IF($R194="","Missing garaging ZIP. ","") &amp; IF($S194="","Missing cat zone. ","") &amp; IF($V194="","Missing valuation basis. ","") &amp; IF($W194="","Missing PD deductible. ","") &amp; IF($X194="","Missing liability limit. ","") &amp; IF($AB194="","Missing technical premium. ","") &amp; IF($AF194="","Missing surplus lines tax %. ",""))="","PASS","FAIL: "&amp;TRIM(IF($A194="","Missing certificate ref. ","") &amp; IF($C194="","Missing effective date. ","") &amp; IF($D194="","Missing binding status. ","") &amp; IF($E194="","Missing movement type. ","") &amp; IF($I194="","Missing make. ","") &amp; IF($L194="","Missing vehicle class. ","") &amp; IF($M194="","Missing agreed value. ","") &amp; IF($N194="","Missing policy type. ","") &amp; IF($Q194="","Missing garaging state. ","") &amp; IF($R194="","Missing garaging ZIP. ","") &amp; IF($S194="","Missing cat zone. ","") &amp; IF($V194="","Missing valuation basis. ","") &amp; IF($W194="","Missing PD deductible. ","") &amp; IF($X194="","Missing liability limit. ","") &amp; IF($AB194="","Missing technical premium. ","") &amp; IF($AF194="","Missing surplus lines tax %. ",""))))</f>
        <v/>
      </c>
      <c r="AY194" s="52" t="str">
        <f aca="false">IF($M194="","",IF(ISNUMBER($M194),IF($M194&gt;=Header!$C$18,"YES — refer","No"),""))</f>
        <v/>
      </c>
      <c r="AZ194" s="52" t="str">
        <f aca="false">IF($AD194="","",IF(ISNUMBER($AD194),IF($AD194&lt;Header!$C$20,"BELOW MIN PREMIUM","OK"),""))</f>
        <v/>
      </c>
      <c r="BA194" s="56"/>
      <c r="BB194" s="56"/>
      <c r="BC194" s="54"/>
      <c r="BE194" s="53" t="str">
        <f aca="false">IF(OR($A194="",$L194="",$H194=""),"",IF(AND(LEFT($L194,2)="06",$H194&gt;1945),"FAIL - pre-war class, year "&amp;$H194,IF(AND(LEFT($L194,2)="07",OR($H194&lt;1946,$H194&gt;1972)),"FAIL - 1946-72 class, year "&amp;$H194,IF(AND(LEFT($L194,2)="08",OR($H194&lt;1973,$H194&gt;1999)),"FAIL - 1973-99 class, year "&amp;$H194,IF(AND(LEFT($L194,2)="09",OR($H194&lt;2000,$H194&gt;2010)),"FAIL - 2000-10 class, year "&amp;$H194,"OK")))))</f>
        <v/>
      </c>
      <c r="BF194" s="53" t="str">
        <f aca="false">IF($AD194="","",IF(ROUND($AO194+$AP194+$AQ194-$AD194,2)=0,"OK","FAIL - out by "&amp;TEXT($AO194+$AP194+$AQ194-$AD194,"$0.00")))</f>
        <v/>
      </c>
    </row>
    <row r="195" customFormat="false" ht="15" hidden="false" customHeight="true" outlineLevel="0" collapsed="false">
      <c r="A195" s="38"/>
      <c r="B195" s="38"/>
      <c r="C195" s="39"/>
      <c r="D195" s="40"/>
      <c r="E195" s="40"/>
      <c r="F195" s="38"/>
      <c r="G195" s="41" t="str">
        <f aca="false">IF($A195="","",IF($C195="","",YEAR($C195)))</f>
        <v/>
      </c>
      <c r="H195" s="42"/>
      <c r="I195" s="38"/>
      <c r="J195" s="38"/>
      <c r="K195" s="38"/>
      <c r="L195" s="40"/>
      <c r="M195" s="43"/>
      <c r="N195" s="40"/>
      <c r="O195" s="38"/>
      <c r="P195" s="38"/>
      <c r="Q195" s="38"/>
      <c r="R195" s="38"/>
      <c r="S195" s="40"/>
      <c r="T195" s="44" t="str">
        <f aca="false">IF($A195="","",IF($S195="","",IFERROR(INDEX(Lists!$N$5:$N$16,MATCH($S195,Lists!$M$5:$M$16,0)),"?")))</f>
        <v/>
      </c>
      <c r="U195" s="38"/>
      <c r="V195" s="40"/>
      <c r="W195" s="38"/>
      <c r="X195" s="40"/>
      <c r="Y195" s="38"/>
      <c r="Z195" s="38"/>
      <c r="AA195" s="40"/>
      <c r="AB195" s="43"/>
      <c r="AC195" s="45"/>
      <c r="AD195" s="46" t="str">
        <f aca="false">IF(ISNUMBER($AB195),$AB195*(1+N($AC195)),"")</f>
        <v/>
      </c>
      <c r="AE195" s="43"/>
      <c r="AF195" s="43"/>
      <c r="AG195" s="45"/>
      <c r="AH195" s="47" t="str">
        <f aca="false">IF(ISNUMBER($AD195),($AD195+$AE195+$AF195)*$AG195,"")</f>
        <v/>
      </c>
      <c r="AI195" s="43"/>
      <c r="AJ195" s="46" t="str">
        <f aca="false">IF(ISNUMBER($AD195),SUM($AD195:$AH195),"")</f>
        <v/>
      </c>
      <c r="AK195" s="48" t="str">
        <f aca="false">IF(AND(ISNUMBER($AB195),ISNUMBER($AD195)),IF($AB195&gt;0,$AD195/$AB195,""),"")</f>
        <v/>
      </c>
      <c r="AL195" s="40"/>
      <c r="AM195" s="49" t="str">
        <f aca="false">IF(ISNUMBER($AD195),Header!$I$3,"")</f>
        <v/>
      </c>
      <c r="AN195" s="47" t="str">
        <f aca="false">IF(ISNUMBER($AD195),$AO195+$AP195,"")</f>
        <v/>
      </c>
      <c r="AO195" s="47" t="str">
        <f aca="false">IF(ISNUMBER($AD195),ROUND($AD195*Header!$K$3,2),"")</f>
        <v/>
      </c>
      <c r="AP195" s="47" t="str">
        <f aca="false">IF(ISNUMBER($AD195),ROUND($AD195*Header!$M$3,2),"")</f>
        <v/>
      </c>
      <c r="AQ195" s="46" t="str">
        <f aca="false">IF(ISNUMBER($AD195),ROUND($AD195,2)-$AO195-$AP195,"")</f>
        <v/>
      </c>
      <c r="AR195" s="47" t="str">
        <f aca="false">IF(ISNUMBER($AD195),IF(Header!$D$34="","?",$AD195*Header!$D$34),"")</f>
        <v/>
      </c>
      <c r="AS195" s="47" t="str">
        <f aca="false">IF(ISNUMBER($AB195),IF(Header!$D$34="","?",$AB195*Header!$D$34),"")</f>
        <v/>
      </c>
      <c r="AT195" s="50" t="str">
        <f aca="false">IF(AND(ISNUMBER($AB195),$M195&gt;0),$AB195/$M195*100,"")</f>
        <v/>
      </c>
      <c r="AU195" s="50" t="str">
        <f aca="false">IF(AND(ISNUMBER($AD195),$M195&gt;0),$AD195/$M195*100,"")</f>
        <v/>
      </c>
      <c r="AV195" s="48" t="str">
        <f aca="false">IF(AND(ISNUMBER($AB195),ISNUMBER($AD195),ABS($AB195)&gt;0),$AD195/$AB195,"")</f>
        <v/>
      </c>
      <c r="AW195" s="47" t="str">
        <f aca="false">IF(ISNUMBER($AD195),MAX(0,(1-0.55-Header!$O$3)*Header!$Q$3*$AQ195),"")</f>
        <v/>
      </c>
      <c r="AX195" s="51" t="str">
        <f aca="false">IF($A195="","",IF(TRIM(IF($A195="","Missing certificate ref. ","") &amp; IF($C195="","Missing effective date. ","") &amp; IF($D195="","Missing binding status. ","") &amp; IF($E195="","Missing movement type. ","") &amp; IF($I195="","Missing make. ","") &amp; IF($L195="","Missing vehicle class. ","") &amp; IF($M195="","Missing agreed value. ","") &amp; IF($N195="","Missing policy type. ","") &amp; IF($Q195="","Missing garaging state. ","") &amp; IF($R195="","Missing garaging ZIP. ","") &amp; IF($S195="","Missing cat zone. ","") &amp; IF($V195="","Missing valuation basis. ","") &amp; IF($W195="","Missing PD deductible. ","") &amp; IF($X195="","Missing liability limit. ","") &amp; IF($AB195="","Missing technical premium. ","") &amp; IF($AF195="","Missing surplus lines tax %. ",""))="","PASS","FAIL: "&amp;TRIM(IF($A195="","Missing certificate ref. ","") &amp; IF($C195="","Missing effective date. ","") &amp; IF($D195="","Missing binding status. ","") &amp; IF($E195="","Missing movement type. ","") &amp; IF($I195="","Missing make. ","") &amp; IF($L195="","Missing vehicle class. ","") &amp; IF($M195="","Missing agreed value. ","") &amp; IF($N195="","Missing policy type. ","") &amp; IF($Q195="","Missing garaging state. ","") &amp; IF($R195="","Missing garaging ZIP. ","") &amp; IF($S195="","Missing cat zone. ","") &amp; IF($V195="","Missing valuation basis. ","") &amp; IF($W195="","Missing PD deductible. ","") &amp; IF($X195="","Missing liability limit. ","") &amp; IF($AB195="","Missing technical premium. ","") &amp; IF($AF195="","Missing surplus lines tax %. ",""))))</f>
        <v/>
      </c>
      <c r="AY195" s="52" t="str">
        <f aca="false">IF($M195="","",IF(ISNUMBER($M195),IF($M195&gt;=Header!$C$18,"YES — refer","No"),""))</f>
        <v/>
      </c>
      <c r="AZ195" s="52" t="str">
        <f aca="false">IF($AD195="","",IF(ISNUMBER($AD195),IF($AD195&lt;Header!$C$20,"BELOW MIN PREMIUM","OK"),""))</f>
        <v/>
      </c>
      <c r="BA195" s="40"/>
      <c r="BB195" s="40"/>
      <c r="BC195" s="38"/>
      <c r="BE195" s="53" t="str">
        <f aca="false">IF(OR($A195="",$L195="",$H195=""),"",IF(AND(LEFT($L195,2)="06",$H195&gt;1945),"FAIL - pre-war class, year "&amp;$H195,IF(AND(LEFT($L195,2)="07",OR($H195&lt;1946,$H195&gt;1972)),"FAIL - 1946-72 class, year "&amp;$H195,IF(AND(LEFT($L195,2)="08",OR($H195&lt;1973,$H195&gt;1999)),"FAIL - 1973-99 class, year "&amp;$H195,IF(AND(LEFT($L195,2)="09",OR($H195&lt;2000,$H195&gt;2010)),"FAIL - 2000-10 class, year "&amp;$H195,"OK")))))</f>
        <v/>
      </c>
      <c r="BF195" s="53" t="str">
        <f aca="false">IF($AD195="","",IF(ROUND($AO195+$AP195+$AQ195-$AD195,2)=0,"OK","FAIL - out by "&amp;TEXT($AO195+$AP195+$AQ195-$AD195,"$0.00")))</f>
        <v/>
      </c>
    </row>
    <row r="196" customFormat="false" ht="15" hidden="false" customHeight="true" outlineLevel="0" collapsed="false">
      <c r="A196" s="54"/>
      <c r="B196" s="54"/>
      <c r="C196" s="55"/>
      <c r="D196" s="56"/>
      <c r="E196" s="56"/>
      <c r="F196" s="54"/>
      <c r="G196" s="41" t="str">
        <f aca="false">IF($A196="","",IF($C196="","",YEAR($C196)))</f>
        <v/>
      </c>
      <c r="H196" s="57"/>
      <c r="I196" s="54"/>
      <c r="J196" s="54"/>
      <c r="K196" s="54"/>
      <c r="L196" s="56"/>
      <c r="M196" s="58"/>
      <c r="N196" s="56"/>
      <c r="O196" s="54"/>
      <c r="P196" s="54"/>
      <c r="Q196" s="54"/>
      <c r="R196" s="54"/>
      <c r="S196" s="56"/>
      <c r="T196" s="44" t="str">
        <f aca="false">IF($A196="","",IF($S196="","",IFERROR(INDEX(Lists!$N$5:$N$16,MATCH($S196,Lists!$M$5:$M$16,0)),"?")))</f>
        <v/>
      </c>
      <c r="U196" s="54"/>
      <c r="V196" s="56"/>
      <c r="W196" s="54"/>
      <c r="X196" s="56"/>
      <c r="Y196" s="54"/>
      <c r="Z196" s="54"/>
      <c r="AA196" s="56"/>
      <c r="AB196" s="58"/>
      <c r="AC196" s="59"/>
      <c r="AD196" s="46" t="str">
        <f aca="false">IF(ISNUMBER($AB196),$AB196*(1+N($AC196)),"")</f>
        <v/>
      </c>
      <c r="AE196" s="58"/>
      <c r="AF196" s="58"/>
      <c r="AG196" s="59"/>
      <c r="AH196" s="47" t="str">
        <f aca="false">IF(ISNUMBER($AD196),($AD196+$AE196+$AF196)*$AG196,"")</f>
        <v/>
      </c>
      <c r="AI196" s="58"/>
      <c r="AJ196" s="46" t="str">
        <f aca="false">IF(ISNUMBER($AD196),SUM($AD196:$AH196),"")</f>
        <v/>
      </c>
      <c r="AK196" s="48" t="str">
        <f aca="false">IF(AND(ISNUMBER($AB196),ISNUMBER($AD196)),IF($AB196&gt;0,$AD196/$AB196,""),"")</f>
        <v/>
      </c>
      <c r="AL196" s="56"/>
      <c r="AM196" s="49" t="str">
        <f aca="false">IF(ISNUMBER($AD196),Header!$I$3,"")</f>
        <v/>
      </c>
      <c r="AN196" s="47" t="str">
        <f aca="false">IF(ISNUMBER($AD196),$AO196+$AP196,"")</f>
        <v/>
      </c>
      <c r="AO196" s="47" t="str">
        <f aca="false">IF(ISNUMBER($AD196),ROUND($AD196*Header!$K$3,2),"")</f>
        <v/>
      </c>
      <c r="AP196" s="47" t="str">
        <f aca="false">IF(ISNUMBER($AD196),ROUND($AD196*Header!$M$3,2),"")</f>
        <v/>
      </c>
      <c r="AQ196" s="46" t="str">
        <f aca="false">IF(ISNUMBER($AD196),ROUND($AD196,2)-$AO196-$AP196,"")</f>
        <v/>
      </c>
      <c r="AR196" s="47" t="str">
        <f aca="false">IF(ISNUMBER($AD196),IF(Header!$D$34="","?",$AD196*Header!$D$34),"")</f>
        <v/>
      </c>
      <c r="AS196" s="47" t="str">
        <f aca="false">IF(ISNUMBER($AB196),IF(Header!$D$34="","?",$AB196*Header!$D$34),"")</f>
        <v/>
      </c>
      <c r="AT196" s="50" t="str">
        <f aca="false">IF(AND(ISNUMBER($AB196),$M196&gt;0),$AB196/$M196*100,"")</f>
        <v/>
      </c>
      <c r="AU196" s="50" t="str">
        <f aca="false">IF(AND(ISNUMBER($AD196),$M196&gt;0),$AD196/$M196*100,"")</f>
        <v/>
      </c>
      <c r="AV196" s="48" t="str">
        <f aca="false">IF(AND(ISNUMBER($AB196),ISNUMBER($AD196),ABS($AB196)&gt;0),$AD196/$AB196,"")</f>
        <v/>
      </c>
      <c r="AW196" s="47" t="str">
        <f aca="false">IF(ISNUMBER($AD196),MAX(0,(1-0.55-Header!$O$3)*Header!$Q$3*$AQ196),"")</f>
        <v/>
      </c>
      <c r="AX196" s="51" t="str">
        <f aca="false">IF($A196="","",IF(TRIM(IF($A196="","Missing certificate ref. ","") &amp; IF($C196="","Missing effective date. ","") &amp; IF($D196="","Missing binding status. ","") &amp; IF($E196="","Missing movement type. ","") &amp; IF($I196="","Missing make. ","") &amp; IF($L196="","Missing vehicle class. ","") &amp; IF($M196="","Missing agreed value. ","") &amp; IF($N196="","Missing policy type. ","") &amp; IF($Q196="","Missing garaging state. ","") &amp; IF($R196="","Missing garaging ZIP. ","") &amp; IF($S196="","Missing cat zone. ","") &amp; IF($V196="","Missing valuation basis. ","") &amp; IF($W196="","Missing PD deductible. ","") &amp; IF($X196="","Missing liability limit. ","") &amp; IF($AB196="","Missing technical premium. ","") &amp; IF($AF196="","Missing surplus lines tax %. ",""))="","PASS","FAIL: "&amp;TRIM(IF($A196="","Missing certificate ref. ","") &amp; IF($C196="","Missing effective date. ","") &amp; IF($D196="","Missing binding status. ","") &amp; IF($E196="","Missing movement type. ","") &amp; IF($I196="","Missing make. ","") &amp; IF($L196="","Missing vehicle class. ","") &amp; IF($M196="","Missing agreed value. ","") &amp; IF($N196="","Missing policy type. ","") &amp; IF($Q196="","Missing garaging state. ","") &amp; IF($R196="","Missing garaging ZIP. ","") &amp; IF($S196="","Missing cat zone. ","") &amp; IF($V196="","Missing valuation basis. ","") &amp; IF($W196="","Missing PD deductible. ","") &amp; IF($X196="","Missing liability limit. ","") &amp; IF($AB196="","Missing technical premium. ","") &amp; IF($AF196="","Missing surplus lines tax %. ",""))))</f>
        <v/>
      </c>
      <c r="AY196" s="52" t="str">
        <f aca="false">IF($M196="","",IF(ISNUMBER($M196),IF($M196&gt;=Header!$C$18,"YES — refer","No"),""))</f>
        <v/>
      </c>
      <c r="AZ196" s="52" t="str">
        <f aca="false">IF($AD196="","",IF(ISNUMBER($AD196),IF($AD196&lt;Header!$C$20,"BELOW MIN PREMIUM","OK"),""))</f>
        <v/>
      </c>
      <c r="BA196" s="56"/>
      <c r="BB196" s="56"/>
      <c r="BC196" s="54"/>
      <c r="BE196" s="53" t="str">
        <f aca="false">IF(OR($A196="",$L196="",$H196=""),"",IF(AND(LEFT($L196,2)="06",$H196&gt;1945),"FAIL - pre-war class, year "&amp;$H196,IF(AND(LEFT($L196,2)="07",OR($H196&lt;1946,$H196&gt;1972)),"FAIL - 1946-72 class, year "&amp;$H196,IF(AND(LEFT($L196,2)="08",OR($H196&lt;1973,$H196&gt;1999)),"FAIL - 1973-99 class, year "&amp;$H196,IF(AND(LEFT($L196,2)="09",OR($H196&lt;2000,$H196&gt;2010)),"FAIL - 2000-10 class, year "&amp;$H196,"OK")))))</f>
        <v/>
      </c>
      <c r="BF196" s="53" t="str">
        <f aca="false">IF($AD196="","",IF(ROUND($AO196+$AP196+$AQ196-$AD196,2)=0,"OK","FAIL - out by "&amp;TEXT($AO196+$AP196+$AQ196-$AD196,"$0.00")))</f>
        <v/>
      </c>
    </row>
    <row r="197" customFormat="false" ht="15" hidden="false" customHeight="true" outlineLevel="0" collapsed="false">
      <c r="A197" s="38"/>
      <c r="B197" s="38"/>
      <c r="C197" s="39"/>
      <c r="D197" s="40"/>
      <c r="E197" s="40"/>
      <c r="F197" s="38"/>
      <c r="G197" s="41" t="str">
        <f aca="false">IF($A197="","",IF($C197="","",YEAR($C197)))</f>
        <v/>
      </c>
      <c r="H197" s="42"/>
      <c r="I197" s="38"/>
      <c r="J197" s="38"/>
      <c r="K197" s="38"/>
      <c r="L197" s="40"/>
      <c r="M197" s="43"/>
      <c r="N197" s="40"/>
      <c r="O197" s="38"/>
      <c r="P197" s="38"/>
      <c r="Q197" s="38"/>
      <c r="R197" s="38"/>
      <c r="S197" s="40"/>
      <c r="T197" s="44" t="str">
        <f aca="false">IF($A197="","",IF($S197="","",IFERROR(INDEX(Lists!$N$5:$N$16,MATCH($S197,Lists!$M$5:$M$16,0)),"?")))</f>
        <v/>
      </c>
      <c r="U197" s="38"/>
      <c r="V197" s="40"/>
      <c r="W197" s="38"/>
      <c r="X197" s="40"/>
      <c r="Y197" s="38"/>
      <c r="Z197" s="38"/>
      <c r="AA197" s="40"/>
      <c r="AB197" s="43"/>
      <c r="AC197" s="45"/>
      <c r="AD197" s="46" t="str">
        <f aca="false">IF(ISNUMBER($AB197),$AB197*(1+N($AC197)),"")</f>
        <v/>
      </c>
      <c r="AE197" s="43"/>
      <c r="AF197" s="43"/>
      <c r="AG197" s="45"/>
      <c r="AH197" s="47" t="str">
        <f aca="false">IF(ISNUMBER($AD197),($AD197+$AE197+$AF197)*$AG197,"")</f>
        <v/>
      </c>
      <c r="AI197" s="43"/>
      <c r="AJ197" s="46" t="str">
        <f aca="false">IF(ISNUMBER($AD197),SUM($AD197:$AH197),"")</f>
        <v/>
      </c>
      <c r="AK197" s="48" t="str">
        <f aca="false">IF(AND(ISNUMBER($AB197),ISNUMBER($AD197)),IF($AB197&gt;0,$AD197/$AB197,""),"")</f>
        <v/>
      </c>
      <c r="AL197" s="40"/>
      <c r="AM197" s="49" t="str">
        <f aca="false">IF(ISNUMBER($AD197),Header!$I$3,"")</f>
        <v/>
      </c>
      <c r="AN197" s="47" t="str">
        <f aca="false">IF(ISNUMBER($AD197),$AO197+$AP197,"")</f>
        <v/>
      </c>
      <c r="AO197" s="47" t="str">
        <f aca="false">IF(ISNUMBER($AD197),ROUND($AD197*Header!$K$3,2),"")</f>
        <v/>
      </c>
      <c r="AP197" s="47" t="str">
        <f aca="false">IF(ISNUMBER($AD197),ROUND($AD197*Header!$M$3,2),"")</f>
        <v/>
      </c>
      <c r="AQ197" s="46" t="str">
        <f aca="false">IF(ISNUMBER($AD197),ROUND($AD197,2)-$AO197-$AP197,"")</f>
        <v/>
      </c>
      <c r="AR197" s="47" t="str">
        <f aca="false">IF(ISNUMBER($AD197),IF(Header!$D$34="","?",$AD197*Header!$D$34),"")</f>
        <v/>
      </c>
      <c r="AS197" s="47" t="str">
        <f aca="false">IF(ISNUMBER($AB197),IF(Header!$D$34="","?",$AB197*Header!$D$34),"")</f>
        <v/>
      </c>
      <c r="AT197" s="50" t="str">
        <f aca="false">IF(AND(ISNUMBER($AB197),$M197&gt;0),$AB197/$M197*100,"")</f>
        <v/>
      </c>
      <c r="AU197" s="50" t="str">
        <f aca="false">IF(AND(ISNUMBER($AD197),$M197&gt;0),$AD197/$M197*100,"")</f>
        <v/>
      </c>
      <c r="AV197" s="48" t="str">
        <f aca="false">IF(AND(ISNUMBER($AB197),ISNUMBER($AD197),ABS($AB197)&gt;0),$AD197/$AB197,"")</f>
        <v/>
      </c>
      <c r="AW197" s="47" t="str">
        <f aca="false">IF(ISNUMBER($AD197),MAX(0,(1-0.55-Header!$O$3)*Header!$Q$3*$AQ197),"")</f>
        <v/>
      </c>
      <c r="AX197" s="51" t="str">
        <f aca="false">IF($A197="","",IF(TRIM(IF($A197="","Missing certificate ref. ","") &amp; IF($C197="","Missing effective date. ","") &amp; IF($D197="","Missing binding status. ","") &amp; IF($E197="","Missing movement type. ","") &amp; IF($I197="","Missing make. ","") &amp; IF($L197="","Missing vehicle class. ","") &amp; IF($M197="","Missing agreed value. ","") &amp; IF($N197="","Missing policy type. ","") &amp; IF($Q197="","Missing garaging state. ","") &amp; IF($R197="","Missing garaging ZIP. ","") &amp; IF($S197="","Missing cat zone. ","") &amp; IF($V197="","Missing valuation basis. ","") &amp; IF($W197="","Missing PD deductible. ","") &amp; IF($X197="","Missing liability limit. ","") &amp; IF($AB197="","Missing technical premium. ","") &amp; IF($AF197="","Missing surplus lines tax %. ",""))="","PASS","FAIL: "&amp;TRIM(IF($A197="","Missing certificate ref. ","") &amp; IF($C197="","Missing effective date. ","") &amp; IF($D197="","Missing binding status. ","") &amp; IF($E197="","Missing movement type. ","") &amp; IF($I197="","Missing make. ","") &amp; IF($L197="","Missing vehicle class. ","") &amp; IF($M197="","Missing agreed value. ","") &amp; IF($N197="","Missing policy type. ","") &amp; IF($Q197="","Missing garaging state. ","") &amp; IF($R197="","Missing garaging ZIP. ","") &amp; IF($S197="","Missing cat zone. ","") &amp; IF($V197="","Missing valuation basis. ","") &amp; IF($W197="","Missing PD deductible. ","") &amp; IF($X197="","Missing liability limit. ","") &amp; IF($AB197="","Missing technical premium. ","") &amp; IF($AF197="","Missing surplus lines tax %. ",""))))</f>
        <v/>
      </c>
      <c r="AY197" s="52" t="str">
        <f aca="false">IF($M197="","",IF(ISNUMBER($M197),IF($M197&gt;=Header!$C$18,"YES — refer","No"),""))</f>
        <v/>
      </c>
      <c r="AZ197" s="52" t="str">
        <f aca="false">IF($AD197="","",IF(ISNUMBER($AD197),IF($AD197&lt;Header!$C$20,"BELOW MIN PREMIUM","OK"),""))</f>
        <v/>
      </c>
      <c r="BA197" s="40"/>
      <c r="BB197" s="40"/>
      <c r="BC197" s="38"/>
      <c r="BE197" s="53" t="str">
        <f aca="false">IF(OR($A197="",$L197="",$H197=""),"",IF(AND(LEFT($L197,2)="06",$H197&gt;1945),"FAIL - pre-war class, year "&amp;$H197,IF(AND(LEFT($L197,2)="07",OR($H197&lt;1946,$H197&gt;1972)),"FAIL - 1946-72 class, year "&amp;$H197,IF(AND(LEFT($L197,2)="08",OR($H197&lt;1973,$H197&gt;1999)),"FAIL - 1973-99 class, year "&amp;$H197,IF(AND(LEFT($L197,2)="09",OR($H197&lt;2000,$H197&gt;2010)),"FAIL - 2000-10 class, year "&amp;$H197,"OK")))))</f>
        <v/>
      </c>
      <c r="BF197" s="53" t="str">
        <f aca="false">IF($AD197="","",IF(ROUND($AO197+$AP197+$AQ197-$AD197,2)=0,"OK","FAIL - out by "&amp;TEXT($AO197+$AP197+$AQ197-$AD197,"$0.00")))</f>
        <v/>
      </c>
    </row>
    <row r="198" customFormat="false" ht="15" hidden="false" customHeight="true" outlineLevel="0" collapsed="false">
      <c r="A198" s="54"/>
      <c r="B198" s="54"/>
      <c r="C198" s="55"/>
      <c r="D198" s="56"/>
      <c r="E198" s="56"/>
      <c r="F198" s="54"/>
      <c r="G198" s="41" t="str">
        <f aca="false">IF($A198="","",IF($C198="","",YEAR($C198)))</f>
        <v/>
      </c>
      <c r="H198" s="57"/>
      <c r="I198" s="54"/>
      <c r="J198" s="54"/>
      <c r="K198" s="54"/>
      <c r="L198" s="56"/>
      <c r="M198" s="58"/>
      <c r="N198" s="56"/>
      <c r="O198" s="54"/>
      <c r="P198" s="54"/>
      <c r="Q198" s="54"/>
      <c r="R198" s="54"/>
      <c r="S198" s="56"/>
      <c r="T198" s="44" t="str">
        <f aca="false">IF($A198="","",IF($S198="","",IFERROR(INDEX(Lists!$N$5:$N$16,MATCH($S198,Lists!$M$5:$M$16,0)),"?")))</f>
        <v/>
      </c>
      <c r="U198" s="54"/>
      <c r="V198" s="56"/>
      <c r="W198" s="54"/>
      <c r="X198" s="56"/>
      <c r="Y198" s="54"/>
      <c r="Z198" s="54"/>
      <c r="AA198" s="56"/>
      <c r="AB198" s="58"/>
      <c r="AC198" s="59"/>
      <c r="AD198" s="46" t="str">
        <f aca="false">IF(ISNUMBER($AB198),$AB198*(1+N($AC198)),"")</f>
        <v/>
      </c>
      <c r="AE198" s="58"/>
      <c r="AF198" s="58"/>
      <c r="AG198" s="59"/>
      <c r="AH198" s="47" t="str">
        <f aca="false">IF(ISNUMBER($AD198),($AD198+$AE198+$AF198)*$AG198,"")</f>
        <v/>
      </c>
      <c r="AI198" s="58"/>
      <c r="AJ198" s="46" t="str">
        <f aca="false">IF(ISNUMBER($AD198),SUM($AD198:$AH198),"")</f>
        <v/>
      </c>
      <c r="AK198" s="48" t="str">
        <f aca="false">IF(AND(ISNUMBER($AB198),ISNUMBER($AD198)),IF($AB198&gt;0,$AD198/$AB198,""),"")</f>
        <v/>
      </c>
      <c r="AL198" s="56"/>
      <c r="AM198" s="49" t="str">
        <f aca="false">IF(ISNUMBER($AD198),Header!$I$3,"")</f>
        <v/>
      </c>
      <c r="AN198" s="47" t="str">
        <f aca="false">IF(ISNUMBER($AD198),$AO198+$AP198,"")</f>
        <v/>
      </c>
      <c r="AO198" s="47" t="str">
        <f aca="false">IF(ISNUMBER($AD198),ROUND($AD198*Header!$K$3,2),"")</f>
        <v/>
      </c>
      <c r="AP198" s="47" t="str">
        <f aca="false">IF(ISNUMBER($AD198),ROUND($AD198*Header!$M$3,2),"")</f>
        <v/>
      </c>
      <c r="AQ198" s="46" t="str">
        <f aca="false">IF(ISNUMBER($AD198),ROUND($AD198,2)-$AO198-$AP198,"")</f>
        <v/>
      </c>
      <c r="AR198" s="47" t="str">
        <f aca="false">IF(ISNUMBER($AD198),IF(Header!$D$34="","?",$AD198*Header!$D$34),"")</f>
        <v/>
      </c>
      <c r="AS198" s="47" t="str">
        <f aca="false">IF(ISNUMBER($AB198),IF(Header!$D$34="","?",$AB198*Header!$D$34),"")</f>
        <v/>
      </c>
      <c r="AT198" s="50" t="str">
        <f aca="false">IF(AND(ISNUMBER($AB198),$M198&gt;0),$AB198/$M198*100,"")</f>
        <v/>
      </c>
      <c r="AU198" s="50" t="str">
        <f aca="false">IF(AND(ISNUMBER($AD198),$M198&gt;0),$AD198/$M198*100,"")</f>
        <v/>
      </c>
      <c r="AV198" s="48" t="str">
        <f aca="false">IF(AND(ISNUMBER($AB198),ISNUMBER($AD198),ABS($AB198)&gt;0),$AD198/$AB198,"")</f>
        <v/>
      </c>
      <c r="AW198" s="47" t="str">
        <f aca="false">IF(ISNUMBER($AD198),MAX(0,(1-0.55-Header!$O$3)*Header!$Q$3*$AQ198),"")</f>
        <v/>
      </c>
      <c r="AX198" s="51" t="str">
        <f aca="false">IF($A198="","",IF(TRIM(IF($A198="","Missing certificate ref. ","") &amp; IF($C198="","Missing effective date. ","") &amp; IF($D198="","Missing binding status. ","") &amp; IF($E198="","Missing movement type. ","") &amp; IF($I198="","Missing make. ","") &amp; IF($L198="","Missing vehicle class. ","") &amp; IF($M198="","Missing agreed value. ","") &amp; IF($N198="","Missing policy type. ","") &amp; IF($Q198="","Missing garaging state. ","") &amp; IF($R198="","Missing garaging ZIP. ","") &amp; IF($S198="","Missing cat zone. ","") &amp; IF($V198="","Missing valuation basis. ","") &amp; IF($W198="","Missing PD deductible. ","") &amp; IF($X198="","Missing liability limit. ","") &amp; IF($AB198="","Missing technical premium. ","") &amp; IF($AF198="","Missing surplus lines tax %. ",""))="","PASS","FAIL: "&amp;TRIM(IF($A198="","Missing certificate ref. ","") &amp; IF($C198="","Missing effective date. ","") &amp; IF($D198="","Missing binding status. ","") &amp; IF($E198="","Missing movement type. ","") &amp; IF($I198="","Missing make. ","") &amp; IF($L198="","Missing vehicle class. ","") &amp; IF($M198="","Missing agreed value. ","") &amp; IF($N198="","Missing policy type. ","") &amp; IF($Q198="","Missing garaging state. ","") &amp; IF($R198="","Missing garaging ZIP. ","") &amp; IF($S198="","Missing cat zone. ","") &amp; IF($V198="","Missing valuation basis. ","") &amp; IF($W198="","Missing PD deductible. ","") &amp; IF($X198="","Missing liability limit. ","") &amp; IF($AB198="","Missing technical premium. ","") &amp; IF($AF198="","Missing surplus lines tax %. ",""))))</f>
        <v/>
      </c>
      <c r="AY198" s="52" t="str">
        <f aca="false">IF($M198="","",IF(ISNUMBER($M198),IF($M198&gt;=Header!$C$18,"YES — refer","No"),""))</f>
        <v/>
      </c>
      <c r="AZ198" s="52" t="str">
        <f aca="false">IF($AD198="","",IF(ISNUMBER($AD198),IF($AD198&lt;Header!$C$20,"BELOW MIN PREMIUM","OK"),""))</f>
        <v/>
      </c>
      <c r="BA198" s="56"/>
      <c r="BB198" s="56"/>
      <c r="BC198" s="54"/>
      <c r="BE198" s="53" t="str">
        <f aca="false">IF(OR($A198="",$L198="",$H198=""),"",IF(AND(LEFT($L198,2)="06",$H198&gt;1945),"FAIL - pre-war class, year "&amp;$H198,IF(AND(LEFT($L198,2)="07",OR($H198&lt;1946,$H198&gt;1972)),"FAIL - 1946-72 class, year "&amp;$H198,IF(AND(LEFT($L198,2)="08",OR($H198&lt;1973,$H198&gt;1999)),"FAIL - 1973-99 class, year "&amp;$H198,IF(AND(LEFT($L198,2)="09",OR($H198&lt;2000,$H198&gt;2010)),"FAIL - 2000-10 class, year "&amp;$H198,"OK")))))</f>
        <v/>
      </c>
      <c r="BF198" s="53" t="str">
        <f aca="false">IF($AD198="","",IF(ROUND($AO198+$AP198+$AQ198-$AD198,2)=0,"OK","FAIL - out by "&amp;TEXT($AO198+$AP198+$AQ198-$AD198,"$0.00")))</f>
        <v/>
      </c>
    </row>
    <row r="199" customFormat="false" ht="15" hidden="false" customHeight="true" outlineLevel="0" collapsed="false">
      <c r="A199" s="38"/>
      <c r="B199" s="38"/>
      <c r="C199" s="39"/>
      <c r="D199" s="40"/>
      <c r="E199" s="40"/>
      <c r="F199" s="38"/>
      <c r="G199" s="41" t="str">
        <f aca="false">IF($A199="","",IF($C199="","",YEAR($C199)))</f>
        <v/>
      </c>
      <c r="H199" s="42"/>
      <c r="I199" s="38"/>
      <c r="J199" s="38"/>
      <c r="K199" s="38"/>
      <c r="L199" s="40"/>
      <c r="M199" s="43"/>
      <c r="N199" s="40"/>
      <c r="O199" s="38"/>
      <c r="P199" s="38"/>
      <c r="Q199" s="38"/>
      <c r="R199" s="38"/>
      <c r="S199" s="40"/>
      <c r="T199" s="44" t="str">
        <f aca="false">IF($A199="","",IF($S199="","",IFERROR(INDEX(Lists!$N$5:$N$16,MATCH($S199,Lists!$M$5:$M$16,0)),"?")))</f>
        <v/>
      </c>
      <c r="U199" s="38"/>
      <c r="V199" s="40"/>
      <c r="W199" s="38"/>
      <c r="X199" s="40"/>
      <c r="Y199" s="38"/>
      <c r="Z199" s="38"/>
      <c r="AA199" s="40"/>
      <c r="AB199" s="43"/>
      <c r="AC199" s="45"/>
      <c r="AD199" s="46" t="str">
        <f aca="false">IF(ISNUMBER($AB199),$AB199*(1+N($AC199)),"")</f>
        <v/>
      </c>
      <c r="AE199" s="43"/>
      <c r="AF199" s="43"/>
      <c r="AG199" s="45"/>
      <c r="AH199" s="47" t="str">
        <f aca="false">IF(ISNUMBER($AD199),($AD199+$AE199+$AF199)*$AG199,"")</f>
        <v/>
      </c>
      <c r="AI199" s="43"/>
      <c r="AJ199" s="46" t="str">
        <f aca="false">IF(ISNUMBER($AD199),SUM($AD199:$AH199),"")</f>
        <v/>
      </c>
      <c r="AK199" s="48" t="str">
        <f aca="false">IF(AND(ISNUMBER($AB199),ISNUMBER($AD199)),IF($AB199&gt;0,$AD199/$AB199,""),"")</f>
        <v/>
      </c>
      <c r="AL199" s="40"/>
      <c r="AM199" s="49" t="str">
        <f aca="false">IF(ISNUMBER($AD199),Header!$I$3,"")</f>
        <v/>
      </c>
      <c r="AN199" s="47" t="str">
        <f aca="false">IF(ISNUMBER($AD199),$AO199+$AP199,"")</f>
        <v/>
      </c>
      <c r="AO199" s="47" t="str">
        <f aca="false">IF(ISNUMBER($AD199),ROUND($AD199*Header!$K$3,2),"")</f>
        <v/>
      </c>
      <c r="AP199" s="47" t="str">
        <f aca="false">IF(ISNUMBER($AD199),ROUND($AD199*Header!$M$3,2),"")</f>
        <v/>
      </c>
      <c r="AQ199" s="46" t="str">
        <f aca="false">IF(ISNUMBER($AD199),ROUND($AD199,2)-$AO199-$AP199,"")</f>
        <v/>
      </c>
      <c r="AR199" s="47" t="str">
        <f aca="false">IF(ISNUMBER($AD199),IF(Header!$D$34="","?",$AD199*Header!$D$34),"")</f>
        <v/>
      </c>
      <c r="AS199" s="47" t="str">
        <f aca="false">IF(ISNUMBER($AB199),IF(Header!$D$34="","?",$AB199*Header!$D$34),"")</f>
        <v/>
      </c>
      <c r="AT199" s="50" t="str">
        <f aca="false">IF(AND(ISNUMBER($AB199),$M199&gt;0),$AB199/$M199*100,"")</f>
        <v/>
      </c>
      <c r="AU199" s="50" t="str">
        <f aca="false">IF(AND(ISNUMBER($AD199),$M199&gt;0),$AD199/$M199*100,"")</f>
        <v/>
      </c>
      <c r="AV199" s="48" t="str">
        <f aca="false">IF(AND(ISNUMBER($AB199),ISNUMBER($AD199),ABS($AB199)&gt;0),$AD199/$AB199,"")</f>
        <v/>
      </c>
      <c r="AW199" s="47" t="str">
        <f aca="false">IF(ISNUMBER($AD199),MAX(0,(1-0.55-Header!$O$3)*Header!$Q$3*$AQ199),"")</f>
        <v/>
      </c>
      <c r="AX199" s="51" t="str">
        <f aca="false">IF($A199="","",IF(TRIM(IF($A199="","Missing certificate ref. ","") &amp; IF($C199="","Missing effective date. ","") &amp; IF($D199="","Missing binding status. ","") &amp; IF($E199="","Missing movement type. ","") &amp; IF($I199="","Missing make. ","") &amp; IF($L199="","Missing vehicle class. ","") &amp; IF($M199="","Missing agreed value. ","") &amp; IF($N199="","Missing policy type. ","") &amp; IF($Q199="","Missing garaging state. ","") &amp; IF($R199="","Missing garaging ZIP. ","") &amp; IF($S199="","Missing cat zone. ","") &amp; IF($V199="","Missing valuation basis. ","") &amp; IF($W199="","Missing PD deductible. ","") &amp; IF($X199="","Missing liability limit. ","") &amp; IF($AB199="","Missing technical premium. ","") &amp; IF($AF199="","Missing surplus lines tax %. ",""))="","PASS","FAIL: "&amp;TRIM(IF($A199="","Missing certificate ref. ","") &amp; IF($C199="","Missing effective date. ","") &amp; IF($D199="","Missing binding status. ","") &amp; IF($E199="","Missing movement type. ","") &amp; IF($I199="","Missing make. ","") &amp; IF($L199="","Missing vehicle class. ","") &amp; IF($M199="","Missing agreed value. ","") &amp; IF($N199="","Missing policy type. ","") &amp; IF($Q199="","Missing garaging state. ","") &amp; IF($R199="","Missing garaging ZIP. ","") &amp; IF($S199="","Missing cat zone. ","") &amp; IF($V199="","Missing valuation basis. ","") &amp; IF($W199="","Missing PD deductible. ","") &amp; IF($X199="","Missing liability limit. ","") &amp; IF($AB199="","Missing technical premium. ","") &amp; IF($AF199="","Missing surplus lines tax %. ",""))))</f>
        <v/>
      </c>
      <c r="AY199" s="52" t="str">
        <f aca="false">IF($M199="","",IF(ISNUMBER($M199),IF($M199&gt;=Header!$C$18,"YES — refer","No"),""))</f>
        <v/>
      </c>
      <c r="AZ199" s="52" t="str">
        <f aca="false">IF($AD199="","",IF(ISNUMBER($AD199),IF($AD199&lt;Header!$C$20,"BELOW MIN PREMIUM","OK"),""))</f>
        <v/>
      </c>
      <c r="BA199" s="40"/>
      <c r="BB199" s="40"/>
      <c r="BC199" s="38"/>
      <c r="BE199" s="53" t="str">
        <f aca="false">IF(OR($A199="",$L199="",$H199=""),"",IF(AND(LEFT($L199,2)="06",$H199&gt;1945),"FAIL - pre-war class, year "&amp;$H199,IF(AND(LEFT($L199,2)="07",OR($H199&lt;1946,$H199&gt;1972)),"FAIL - 1946-72 class, year "&amp;$H199,IF(AND(LEFT($L199,2)="08",OR($H199&lt;1973,$H199&gt;1999)),"FAIL - 1973-99 class, year "&amp;$H199,IF(AND(LEFT($L199,2)="09",OR($H199&lt;2000,$H199&gt;2010)),"FAIL - 2000-10 class, year "&amp;$H199,"OK")))))</f>
        <v/>
      </c>
      <c r="BF199" s="53" t="str">
        <f aca="false">IF($AD199="","",IF(ROUND($AO199+$AP199+$AQ199-$AD199,2)=0,"OK","FAIL - out by "&amp;TEXT($AO199+$AP199+$AQ199-$AD199,"$0.00")))</f>
        <v/>
      </c>
    </row>
    <row r="200" customFormat="false" ht="15" hidden="false" customHeight="true" outlineLevel="0" collapsed="false">
      <c r="A200" s="54"/>
      <c r="B200" s="54"/>
      <c r="C200" s="55"/>
      <c r="D200" s="56"/>
      <c r="E200" s="56"/>
      <c r="F200" s="54"/>
      <c r="G200" s="41" t="str">
        <f aca="false">IF($A200="","",IF($C200="","",YEAR($C200)))</f>
        <v/>
      </c>
      <c r="H200" s="57"/>
      <c r="I200" s="54"/>
      <c r="J200" s="54"/>
      <c r="K200" s="54"/>
      <c r="L200" s="56"/>
      <c r="M200" s="58"/>
      <c r="N200" s="56"/>
      <c r="O200" s="54"/>
      <c r="P200" s="54"/>
      <c r="Q200" s="54"/>
      <c r="R200" s="54"/>
      <c r="S200" s="56"/>
      <c r="T200" s="44" t="str">
        <f aca="false">IF($A200="","",IF($S200="","",IFERROR(INDEX(Lists!$N$5:$N$16,MATCH($S200,Lists!$M$5:$M$16,0)),"?")))</f>
        <v/>
      </c>
      <c r="U200" s="54"/>
      <c r="V200" s="56"/>
      <c r="W200" s="54"/>
      <c r="X200" s="56"/>
      <c r="Y200" s="54"/>
      <c r="Z200" s="54"/>
      <c r="AA200" s="56"/>
      <c r="AB200" s="58"/>
      <c r="AC200" s="59"/>
      <c r="AD200" s="46" t="str">
        <f aca="false">IF(ISNUMBER($AB200),$AB200*(1+N($AC200)),"")</f>
        <v/>
      </c>
      <c r="AE200" s="58"/>
      <c r="AF200" s="58"/>
      <c r="AG200" s="59"/>
      <c r="AH200" s="47" t="str">
        <f aca="false">IF(ISNUMBER($AD200),($AD200+$AE200+$AF200)*$AG200,"")</f>
        <v/>
      </c>
      <c r="AI200" s="58"/>
      <c r="AJ200" s="46" t="str">
        <f aca="false">IF(ISNUMBER($AD200),SUM($AD200:$AH200),"")</f>
        <v/>
      </c>
      <c r="AK200" s="48" t="str">
        <f aca="false">IF(AND(ISNUMBER($AB200),ISNUMBER($AD200)),IF($AB200&gt;0,$AD200/$AB200,""),"")</f>
        <v/>
      </c>
      <c r="AL200" s="56"/>
      <c r="AM200" s="49" t="str">
        <f aca="false">IF(ISNUMBER($AD200),Header!$I$3,"")</f>
        <v/>
      </c>
      <c r="AN200" s="47" t="str">
        <f aca="false">IF(ISNUMBER($AD200),$AO200+$AP200,"")</f>
        <v/>
      </c>
      <c r="AO200" s="47" t="str">
        <f aca="false">IF(ISNUMBER($AD200),ROUND($AD200*Header!$K$3,2),"")</f>
        <v/>
      </c>
      <c r="AP200" s="47" t="str">
        <f aca="false">IF(ISNUMBER($AD200),ROUND($AD200*Header!$M$3,2),"")</f>
        <v/>
      </c>
      <c r="AQ200" s="46" t="str">
        <f aca="false">IF(ISNUMBER($AD200),ROUND($AD200,2)-$AO200-$AP200,"")</f>
        <v/>
      </c>
      <c r="AR200" s="47" t="str">
        <f aca="false">IF(ISNUMBER($AD200),IF(Header!$D$34="","?",$AD200*Header!$D$34),"")</f>
        <v/>
      </c>
      <c r="AS200" s="47" t="str">
        <f aca="false">IF(ISNUMBER($AB200),IF(Header!$D$34="","?",$AB200*Header!$D$34),"")</f>
        <v/>
      </c>
      <c r="AT200" s="50" t="str">
        <f aca="false">IF(AND(ISNUMBER($AB200),$M200&gt;0),$AB200/$M200*100,"")</f>
        <v/>
      </c>
      <c r="AU200" s="50" t="str">
        <f aca="false">IF(AND(ISNUMBER($AD200),$M200&gt;0),$AD200/$M200*100,"")</f>
        <v/>
      </c>
      <c r="AV200" s="48" t="str">
        <f aca="false">IF(AND(ISNUMBER($AB200),ISNUMBER($AD200),ABS($AB200)&gt;0),$AD200/$AB200,"")</f>
        <v/>
      </c>
      <c r="AW200" s="47" t="str">
        <f aca="false">IF(ISNUMBER($AD200),MAX(0,(1-0.55-Header!$O$3)*Header!$Q$3*$AQ200),"")</f>
        <v/>
      </c>
      <c r="AX200" s="51" t="str">
        <f aca="false">IF($A200="","",IF(TRIM(IF($A200="","Missing certificate ref. ","") &amp; IF($C200="","Missing effective date. ","") &amp; IF($D200="","Missing binding status. ","") &amp; IF($E200="","Missing movement type. ","") &amp; IF($I200="","Missing make. ","") &amp; IF($L200="","Missing vehicle class. ","") &amp; IF($M200="","Missing agreed value. ","") &amp; IF($N200="","Missing policy type. ","") &amp; IF($Q200="","Missing garaging state. ","") &amp; IF($R200="","Missing garaging ZIP. ","") &amp; IF($S200="","Missing cat zone. ","") &amp; IF($V200="","Missing valuation basis. ","") &amp; IF($W200="","Missing PD deductible. ","") &amp; IF($X200="","Missing liability limit. ","") &amp; IF($AB200="","Missing technical premium. ","") &amp; IF($AF200="","Missing surplus lines tax %. ",""))="","PASS","FAIL: "&amp;TRIM(IF($A200="","Missing certificate ref. ","") &amp; IF($C200="","Missing effective date. ","") &amp; IF($D200="","Missing binding status. ","") &amp; IF($E200="","Missing movement type. ","") &amp; IF($I200="","Missing make. ","") &amp; IF($L200="","Missing vehicle class. ","") &amp; IF($M200="","Missing agreed value. ","") &amp; IF($N200="","Missing policy type. ","") &amp; IF($Q200="","Missing garaging state. ","") &amp; IF($R200="","Missing garaging ZIP. ","") &amp; IF($S200="","Missing cat zone. ","") &amp; IF($V200="","Missing valuation basis. ","") &amp; IF($W200="","Missing PD deductible. ","") &amp; IF($X200="","Missing liability limit. ","") &amp; IF($AB200="","Missing technical premium. ","") &amp; IF($AF200="","Missing surplus lines tax %. ",""))))</f>
        <v/>
      </c>
      <c r="AY200" s="52" t="str">
        <f aca="false">IF($M200="","",IF(ISNUMBER($M200),IF($M200&gt;=Header!$C$18,"YES — refer","No"),""))</f>
        <v/>
      </c>
      <c r="AZ200" s="52" t="str">
        <f aca="false">IF($AD200="","",IF(ISNUMBER($AD200),IF($AD200&lt;Header!$C$20,"BELOW MIN PREMIUM","OK"),""))</f>
        <v/>
      </c>
      <c r="BA200" s="56"/>
      <c r="BB200" s="56"/>
      <c r="BC200" s="54"/>
      <c r="BE200" s="53" t="str">
        <f aca="false">IF(OR($A200="",$L200="",$H200=""),"",IF(AND(LEFT($L200,2)="06",$H200&gt;1945),"FAIL - pre-war class, year "&amp;$H200,IF(AND(LEFT($L200,2)="07",OR($H200&lt;1946,$H200&gt;1972)),"FAIL - 1946-72 class, year "&amp;$H200,IF(AND(LEFT($L200,2)="08",OR($H200&lt;1973,$H200&gt;1999)),"FAIL - 1973-99 class, year "&amp;$H200,IF(AND(LEFT($L200,2)="09",OR($H200&lt;2000,$H200&gt;2010)),"FAIL - 2000-10 class, year "&amp;$H200,"OK")))))</f>
        <v/>
      </c>
      <c r="BF200" s="53" t="str">
        <f aca="false">IF($AD200="","",IF(ROUND($AO200+$AP200+$AQ200-$AD200,2)=0,"OK","FAIL - out by "&amp;TEXT($AO200+$AP200+$AQ200-$AD200,"$0.00")))</f>
        <v/>
      </c>
    </row>
    <row r="201" customFormat="false" ht="15" hidden="false" customHeight="true" outlineLevel="0" collapsed="false">
      <c r="A201" s="38"/>
      <c r="B201" s="38"/>
      <c r="C201" s="39"/>
      <c r="D201" s="40"/>
      <c r="E201" s="40"/>
      <c r="F201" s="38"/>
      <c r="G201" s="41" t="str">
        <f aca="false">IF($A201="","",IF($C201="","",YEAR($C201)))</f>
        <v/>
      </c>
      <c r="H201" s="42"/>
      <c r="I201" s="38"/>
      <c r="J201" s="38"/>
      <c r="K201" s="38"/>
      <c r="L201" s="40"/>
      <c r="M201" s="43"/>
      <c r="N201" s="40"/>
      <c r="O201" s="38"/>
      <c r="P201" s="38"/>
      <c r="Q201" s="38"/>
      <c r="R201" s="38"/>
      <c r="S201" s="40"/>
      <c r="T201" s="44" t="str">
        <f aca="false">IF($A201="","",IF($S201="","",IFERROR(INDEX(Lists!$N$5:$N$16,MATCH($S201,Lists!$M$5:$M$16,0)),"?")))</f>
        <v/>
      </c>
      <c r="U201" s="38"/>
      <c r="V201" s="40"/>
      <c r="W201" s="38"/>
      <c r="X201" s="40"/>
      <c r="Y201" s="38"/>
      <c r="Z201" s="38"/>
      <c r="AA201" s="40"/>
      <c r="AB201" s="43"/>
      <c r="AC201" s="45"/>
      <c r="AD201" s="46" t="str">
        <f aca="false">IF(ISNUMBER($AB201),$AB201*(1+N($AC201)),"")</f>
        <v/>
      </c>
      <c r="AE201" s="43"/>
      <c r="AF201" s="43"/>
      <c r="AG201" s="45"/>
      <c r="AH201" s="47" t="str">
        <f aca="false">IF(ISNUMBER($AD201),($AD201+$AE201+$AF201)*$AG201,"")</f>
        <v/>
      </c>
      <c r="AI201" s="43"/>
      <c r="AJ201" s="46" t="str">
        <f aca="false">IF(ISNUMBER($AD201),SUM($AD201:$AH201),"")</f>
        <v/>
      </c>
      <c r="AK201" s="48" t="str">
        <f aca="false">IF(AND(ISNUMBER($AB201),ISNUMBER($AD201)),IF($AB201&gt;0,$AD201/$AB201,""),"")</f>
        <v/>
      </c>
      <c r="AL201" s="40"/>
      <c r="AM201" s="49" t="str">
        <f aca="false">IF(ISNUMBER($AD201),Header!$I$3,"")</f>
        <v/>
      </c>
      <c r="AN201" s="47" t="str">
        <f aca="false">IF(ISNUMBER($AD201),$AO201+$AP201,"")</f>
        <v/>
      </c>
      <c r="AO201" s="47" t="str">
        <f aca="false">IF(ISNUMBER($AD201),ROUND($AD201*Header!$K$3,2),"")</f>
        <v/>
      </c>
      <c r="AP201" s="47" t="str">
        <f aca="false">IF(ISNUMBER($AD201),ROUND($AD201*Header!$M$3,2),"")</f>
        <v/>
      </c>
      <c r="AQ201" s="46" t="str">
        <f aca="false">IF(ISNUMBER($AD201),ROUND($AD201,2)-$AO201-$AP201,"")</f>
        <v/>
      </c>
      <c r="AR201" s="47" t="str">
        <f aca="false">IF(ISNUMBER($AD201),IF(Header!$D$34="","?",$AD201*Header!$D$34),"")</f>
        <v/>
      </c>
      <c r="AS201" s="47" t="str">
        <f aca="false">IF(ISNUMBER($AB201),IF(Header!$D$34="","?",$AB201*Header!$D$34),"")</f>
        <v/>
      </c>
      <c r="AT201" s="50" t="str">
        <f aca="false">IF(AND(ISNUMBER($AB201),$M201&gt;0),$AB201/$M201*100,"")</f>
        <v/>
      </c>
      <c r="AU201" s="50" t="str">
        <f aca="false">IF(AND(ISNUMBER($AD201),$M201&gt;0),$AD201/$M201*100,"")</f>
        <v/>
      </c>
      <c r="AV201" s="48" t="str">
        <f aca="false">IF(AND(ISNUMBER($AB201),ISNUMBER($AD201),ABS($AB201)&gt;0),$AD201/$AB201,"")</f>
        <v/>
      </c>
      <c r="AW201" s="47" t="str">
        <f aca="false">IF(ISNUMBER($AD201),MAX(0,(1-0.55-Header!$O$3)*Header!$Q$3*$AQ201),"")</f>
        <v/>
      </c>
      <c r="AX201" s="51" t="str">
        <f aca="false">IF($A201="","",IF(TRIM(IF($A201="","Missing certificate ref. ","") &amp; IF($C201="","Missing effective date. ","") &amp; IF($D201="","Missing binding status. ","") &amp; IF($E201="","Missing movement type. ","") &amp; IF($I201="","Missing make. ","") &amp; IF($L201="","Missing vehicle class. ","") &amp; IF($M201="","Missing agreed value. ","") &amp; IF($N201="","Missing policy type. ","") &amp; IF($Q201="","Missing garaging state. ","") &amp; IF($R201="","Missing garaging ZIP. ","") &amp; IF($S201="","Missing cat zone. ","") &amp; IF($V201="","Missing valuation basis. ","") &amp; IF($W201="","Missing PD deductible. ","") &amp; IF($X201="","Missing liability limit. ","") &amp; IF($AB201="","Missing technical premium. ","") &amp; IF($AF201="","Missing surplus lines tax %. ",""))="","PASS","FAIL: "&amp;TRIM(IF($A201="","Missing certificate ref. ","") &amp; IF($C201="","Missing effective date. ","") &amp; IF($D201="","Missing binding status. ","") &amp; IF($E201="","Missing movement type. ","") &amp; IF($I201="","Missing make. ","") &amp; IF($L201="","Missing vehicle class. ","") &amp; IF($M201="","Missing agreed value. ","") &amp; IF($N201="","Missing policy type. ","") &amp; IF($Q201="","Missing garaging state. ","") &amp; IF($R201="","Missing garaging ZIP. ","") &amp; IF($S201="","Missing cat zone. ","") &amp; IF($V201="","Missing valuation basis. ","") &amp; IF($W201="","Missing PD deductible. ","") &amp; IF($X201="","Missing liability limit. ","") &amp; IF($AB201="","Missing technical premium. ","") &amp; IF($AF201="","Missing surplus lines tax %. ",""))))</f>
        <v/>
      </c>
      <c r="AY201" s="52" t="str">
        <f aca="false">IF($M201="","",IF(ISNUMBER($M201),IF($M201&gt;=Header!$C$18,"YES — refer","No"),""))</f>
        <v/>
      </c>
      <c r="AZ201" s="52" t="str">
        <f aca="false">IF($AD201="","",IF(ISNUMBER($AD201),IF($AD201&lt;Header!$C$20,"BELOW MIN PREMIUM","OK"),""))</f>
        <v/>
      </c>
      <c r="BA201" s="40"/>
      <c r="BB201" s="40"/>
      <c r="BC201" s="38"/>
      <c r="BE201" s="53" t="str">
        <f aca="false">IF(OR($A201="",$L201="",$H201=""),"",IF(AND(LEFT($L201,2)="06",$H201&gt;1945),"FAIL - pre-war class, year "&amp;$H201,IF(AND(LEFT($L201,2)="07",OR($H201&lt;1946,$H201&gt;1972)),"FAIL - 1946-72 class, year "&amp;$H201,IF(AND(LEFT($L201,2)="08",OR($H201&lt;1973,$H201&gt;1999)),"FAIL - 1973-99 class, year "&amp;$H201,IF(AND(LEFT($L201,2)="09",OR($H201&lt;2000,$H201&gt;2010)),"FAIL - 2000-10 class, year "&amp;$H201,"OK")))))</f>
        <v/>
      </c>
      <c r="BF201" s="53" t="str">
        <f aca="false">IF($AD201="","",IF(ROUND($AO201+$AP201+$AQ201-$AD201,2)=0,"OK","FAIL - out by "&amp;TEXT($AO201+$AP201+$AQ201-$AD201,"$0.00")))</f>
        <v/>
      </c>
    </row>
    <row r="202" customFormat="false" ht="15" hidden="false" customHeight="true" outlineLevel="0" collapsed="false">
      <c r="A202" s="54"/>
      <c r="B202" s="54"/>
      <c r="C202" s="55"/>
      <c r="D202" s="56"/>
      <c r="E202" s="56"/>
      <c r="F202" s="54"/>
      <c r="G202" s="41" t="str">
        <f aca="false">IF($A202="","",IF($C202="","",YEAR($C202)))</f>
        <v/>
      </c>
      <c r="H202" s="57"/>
      <c r="I202" s="54"/>
      <c r="J202" s="54"/>
      <c r="K202" s="54"/>
      <c r="L202" s="56"/>
      <c r="M202" s="58"/>
      <c r="N202" s="56"/>
      <c r="O202" s="54"/>
      <c r="P202" s="54"/>
      <c r="Q202" s="54"/>
      <c r="R202" s="54"/>
      <c r="S202" s="56"/>
      <c r="T202" s="44" t="str">
        <f aca="false">IF($A202="","",IF($S202="","",IFERROR(INDEX(Lists!$N$5:$N$16,MATCH($S202,Lists!$M$5:$M$16,0)),"?")))</f>
        <v/>
      </c>
      <c r="U202" s="54"/>
      <c r="V202" s="56"/>
      <c r="W202" s="54"/>
      <c r="X202" s="56"/>
      <c r="Y202" s="54"/>
      <c r="Z202" s="54"/>
      <c r="AA202" s="56"/>
      <c r="AB202" s="58"/>
      <c r="AC202" s="59"/>
      <c r="AD202" s="46" t="str">
        <f aca="false">IF(ISNUMBER($AB202),$AB202*(1+N($AC202)),"")</f>
        <v/>
      </c>
      <c r="AE202" s="58"/>
      <c r="AF202" s="58"/>
      <c r="AG202" s="59"/>
      <c r="AH202" s="47" t="str">
        <f aca="false">IF(ISNUMBER($AD202),($AD202+$AE202+$AF202)*$AG202,"")</f>
        <v/>
      </c>
      <c r="AI202" s="58"/>
      <c r="AJ202" s="46" t="str">
        <f aca="false">IF(ISNUMBER($AD202),SUM($AD202:$AH202),"")</f>
        <v/>
      </c>
      <c r="AK202" s="48" t="str">
        <f aca="false">IF(AND(ISNUMBER($AB202),ISNUMBER($AD202)),IF($AB202&gt;0,$AD202/$AB202,""),"")</f>
        <v/>
      </c>
      <c r="AL202" s="56"/>
      <c r="AM202" s="49" t="str">
        <f aca="false">IF(ISNUMBER($AD202),Header!$I$3,"")</f>
        <v/>
      </c>
      <c r="AN202" s="47" t="str">
        <f aca="false">IF(ISNUMBER($AD202),$AO202+$AP202,"")</f>
        <v/>
      </c>
      <c r="AO202" s="47" t="str">
        <f aca="false">IF(ISNUMBER($AD202),ROUND($AD202*Header!$K$3,2),"")</f>
        <v/>
      </c>
      <c r="AP202" s="47" t="str">
        <f aca="false">IF(ISNUMBER($AD202),ROUND($AD202*Header!$M$3,2),"")</f>
        <v/>
      </c>
      <c r="AQ202" s="46" t="str">
        <f aca="false">IF(ISNUMBER($AD202),ROUND($AD202,2)-$AO202-$AP202,"")</f>
        <v/>
      </c>
      <c r="AR202" s="47" t="str">
        <f aca="false">IF(ISNUMBER($AD202),IF(Header!$D$34="","?",$AD202*Header!$D$34),"")</f>
        <v/>
      </c>
      <c r="AS202" s="47" t="str">
        <f aca="false">IF(ISNUMBER($AB202),IF(Header!$D$34="","?",$AB202*Header!$D$34),"")</f>
        <v/>
      </c>
      <c r="AT202" s="50" t="str">
        <f aca="false">IF(AND(ISNUMBER($AB202),$M202&gt;0),$AB202/$M202*100,"")</f>
        <v/>
      </c>
      <c r="AU202" s="50" t="str">
        <f aca="false">IF(AND(ISNUMBER($AD202),$M202&gt;0),$AD202/$M202*100,"")</f>
        <v/>
      </c>
      <c r="AV202" s="48" t="str">
        <f aca="false">IF(AND(ISNUMBER($AB202),ISNUMBER($AD202),ABS($AB202)&gt;0),$AD202/$AB202,"")</f>
        <v/>
      </c>
      <c r="AW202" s="47" t="str">
        <f aca="false">IF(ISNUMBER($AD202),MAX(0,(1-0.55-Header!$O$3)*Header!$Q$3*$AQ202),"")</f>
        <v/>
      </c>
      <c r="AX202" s="51" t="str">
        <f aca="false">IF($A202="","",IF(TRIM(IF($A202="","Missing certificate ref. ","") &amp; IF($C202="","Missing effective date. ","") &amp; IF($D202="","Missing binding status. ","") &amp; IF($E202="","Missing movement type. ","") &amp; IF($I202="","Missing make. ","") &amp; IF($L202="","Missing vehicle class. ","") &amp; IF($M202="","Missing agreed value. ","") &amp; IF($N202="","Missing policy type. ","") &amp; IF($Q202="","Missing garaging state. ","") &amp; IF($R202="","Missing garaging ZIP. ","") &amp; IF($S202="","Missing cat zone. ","") &amp; IF($V202="","Missing valuation basis. ","") &amp; IF($W202="","Missing PD deductible. ","") &amp; IF($X202="","Missing liability limit. ","") &amp; IF($AB202="","Missing technical premium. ","") &amp; IF($AF202="","Missing surplus lines tax %. ",""))="","PASS","FAIL: "&amp;TRIM(IF($A202="","Missing certificate ref. ","") &amp; IF($C202="","Missing effective date. ","") &amp; IF($D202="","Missing binding status. ","") &amp; IF($E202="","Missing movement type. ","") &amp; IF($I202="","Missing make. ","") &amp; IF($L202="","Missing vehicle class. ","") &amp; IF($M202="","Missing agreed value. ","") &amp; IF($N202="","Missing policy type. ","") &amp; IF($Q202="","Missing garaging state. ","") &amp; IF($R202="","Missing garaging ZIP. ","") &amp; IF($S202="","Missing cat zone. ","") &amp; IF($V202="","Missing valuation basis. ","") &amp; IF($W202="","Missing PD deductible. ","") &amp; IF($X202="","Missing liability limit. ","") &amp; IF($AB202="","Missing technical premium. ","") &amp; IF($AF202="","Missing surplus lines tax %. ",""))))</f>
        <v/>
      </c>
      <c r="AY202" s="52" t="str">
        <f aca="false">IF($M202="","",IF(ISNUMBER($M202),IF($M202&gt;=Header!$C$18,"YES — refer","No"),""))</f>
        <v/>
      </c>
      <c r="AZ202" s="52" t="str">
        <f aca="false">IF($AD202="","",IF(ISNUMBER($AD202),IF($AD202&lt;Header!$C$20,"BELOW MIN PREMIUM","OK"),""))</f>
        <v/>
      </c>
      <c r="BA202" s="56"/>
      <c r="BB202" s="56"/>
      <c r="BC202" s="54"/>
      <c r="BE202" s="53" t="str">
        <f aca="false">IF(OR($A202="",$L202="",$H202=""),"",IF(AND(LEFT($L202,2)="06",$H202&gt;1945),"FAIL - pre-war class, year "&amp;$H202,IF(AND(LEFT($L202,2)="07",OR($H202&lt;1946,$H202&gt;1972)),"FAIL - 1946-72 class, year "&amp;$H202,IF(AND(LEFT($L202,2)="08",OR($H202&lt;1973,$H202&gt;1999)),"FAIL - 1973-99 class, year "&amp;$H202,IF(AND(LEFT($L202,2)="09",OR($H202&lt;2000,$H202&gt;2010)),"FAIL - 2000-10 class, year "&amp;$H202,"OK")))))</f>
        <v/>
      </c>
      <c r="BF202" s="53" t="str">
        <f aca="false">IF($AD202="","",IF(ROUND($AO202+$AP202+$AQ202-$AD202,2)=0,"OK","FAIL - out by "&amp;TEXT($AO202+$AP202+$AQ202-$AD202,"$0.00")))</f>
        <v/>
      </c>
    </row>
    <row r="203" customFormat="false" ht="15" hidden="false" customHeight="true" outlineLevel="0" collapsed="false">
      <c r="A203" s="38"/>
      <c r="B203" s="38"/>
      <c r="C203" s="39"/>
      <c r="D203" s="40"/>
      <c r="E203" s="40"/>
      <c r="F203" s="38"/>
      <c r="G203" s="41" t="str">
        <f aca="false">IF($A203="","",IF($C203="","",YEAR($C203)))</f>
        <v/>
      </c>
      <c r="H203" s="42"/>
      <c r="I203" s="38"/>
      <c r="J203" s="38"/>
      <c r="K203" s="38"/>
      <c r="L203" s="40"/>
      <c r="M203" s="43"/>
      <c r="N203" s="40"/>
      <c r="O203" s="38"/>
      <c r="P203" s="38"/>
      <c r="Q203" s="38"/>
      <c r="R203" s="38"/>
      <c r="S203" s="40"/>
      <c r="T203" s="44" t="str">
        <f aca="false">IF($A203="","",IF($S203="","",IFERROR(INDEX(Lists!$N$5:$N$16,MATCH($S203,Lists!$M$5:$M$16,0)),"?")))</f>
        <v/>
      </c>
      <c r="U203" s="38"/>
      <c r="V203" s="40"/>
      <c r="W203" s="38"/>
      <c r="X203" s="40"/>
      <c r="Y203" s="38"/>
      <c r="Z203" s="38"/>
      <c r="AA203" s="40"/>
      <c r="AB203" s="43"/>
      <c r="AC203" s="45"/>
      <c r="AD203" s="46" t="str">
        <f aca="false">IF(ISNUMBER($AB203),$AB203*(1+N($AC203)),"")</f>
        <v/>
      </c>
      <c r="AE203" s="43"/>
      <c r="AF203" s="43"/>
      <c r="AG203" s="45"/>
      <c r="AH203" s="47" t="str">
        <f aca="false">IF(ISNUMBER($AD203),($AD203+$AE203+$AF203)*$AG203,"")</f>
        <v/>
      </c>
      <c r="AI203" s="43"/>
      <c r="AJ203" s="46" t="str">
        <f aca="false">IF(ISNUMBER($AD203),SUM($AD203:$AH203),"")</f>
        <v/>
      </c>
      <c r="AK203" s="48" t="str">
        <f aca="false">IF(AND(ISNUMBER($AB203),ISNUMBER($AD203)),IF($AB203&gt;0,$AD203/$AB203,""),"")</f>
        <v/>
      </c>
      <c r="AL203" s="40"/>
      <c r="AM203" s="49" t="str">
        <f aca="false">IF(ISNUMBER($AD203),Header!$I$3,"")</f>
        <v/>
      </c>
      <c r="AN203" s="47" t="str">
        <f aca="false">IF(ISNUMBER($AD203),$AO203+$AP203,"")</f>
        <v/>
      </c>
      <c r="AO203" s="47" t="str">
        <f aca="false">IF(ISNUMBER($AD203),ROUND($AD203*Header!$K$3,2),"")</f>
        <v/>
      </c>
      <c r="AP203" s="47" t="str">
        <f aca="false">IF(ISNUMBER($AD203),ROUND($AD203*Header!$M$3,2),"")</f>
        <v/>
      </c>
      <c r="AQ203" s="46" t="str">
        <f aca="false">IF(ISNUMBER($AD203),ROUND($AD203,2)-$AO203-$AP203,"")</f>
        <v/>
      </c>
      <c r="AR203" s="47" t="str">
        <f aca="false">IF(ISNUMBER($AD203),IF(Header!$D$34="","?",$AD203*Header!$D$34),"")</f>
        <v/>
      </c>
      <c r="AS203" s="47" t="str">
        <f aca="false">IF(ISNUMBER($AB203),IF(Header!$D$34="","?",$AB203*Header!$D$34),"")</f>
        <v/>
      </c>
      <c r="AT203" s="50" t="str">
        <f aca="false">IF(AND(ISNUMBER($AB203),$M203&gt;0),$AB203/$M203*100,"")</f>
        <v/>
      </c>
      <c r="AU203" s="50" t="str">
        <f aca="false">IF(AND(ISNUMBER($AD203),$M203&gt;0),$AD203/$M203*100,"")</f>
        <v/>
      </c>
      <c r="AV203" s="48" t="str">
        <f aca="false">IF(AND(ISNUMBER($AB203),ISNUMBER($AD203),ABS($AB203)&gt;0),$AD203/$AB203,"")</f>
        <v/>
      </c>
      <c r="AW203" s="47" t="str">
        <f aca="false">IF(ISNUMBER($AD203),MAX(0,(1-0.55-Header!$O$3)*Header!$Q$3*$AQ203),"")</f>
        <v/>
      </c>
      <c r="AX203" s="51" t="str">
        <f aca="false">IF($A203="","",IF(TRIM(IF($A203="","Missing certificate ref. ","") &amp; IF($C203="","Missing effective date. ","") &amp; IF($D203="","Missing binding status. ","") &amp; IF($E203="","Missing movement type. ","") &amp; IF($I203="","Missing make. ","") &amp; IF($L203="","Missing vehicle class. ","") &amp; IF($M203="","Missing agreed value. ","") &amp; IF($N203="","Missing policy type. ","") &amp; IF($Q203="","Missing garaging state. ","") &amp; IF($R203="","Missing garaging ZIP. ","") &amp; IF($S203="","Missing cat zone. ","") &amp; IF($V203="","Missing valuation basis. ","") &amp; IF($W203="","Missing PD deductible. ","") &amp; IF($X203="","Missing liability limit. ","") &amp; IF($AB203="","Missing technical premium. ","") &amp; IF($AF203="","Missing surplus lines tax %. ",""))="","PASS","FAIL: "&amp;TRIM(IF($A203="","Missing certificate ref. ","") &amp; IF($C203="","Missing effective date. ","") &amp; IF($D203="","Missing binding status. ","") &amp; IF($E203="","Missing movement type. ","") &amp; IF($I203="","Missing make. ","") &amp; IF($L203="","Missing vehicle class. ","") &amp; IF($M203="","Missing agreed value. ","") &amp; IF($N203="","Missing policy type. ","") &amp; IF($Q203="","Missing garaging state. ","") &amp; IF($R203="","Missing garaging ZIP. ","") &amp; IF($S203="","Missing cat zone. ","") &amp; IF($V203="","Missing valuation basis. ","") &amp; IF($W203="","Missing PD deductible. ","") &amp; IF($X203="","Missing liability limit. ","") &amp; IF($AB203="","Missing technical premium. ","") &amp; IF($AF203="","Missing surplus lines tax %. ",""))))</f>
        <v/>
      </c>
      <c r="AY203" s="52" t="str">
        <f aca="false">IF($M203="","",IF(ISNUMBER($M203),IF($M203&gt;=Header!$C$18,"YES — refer","No"),""))</f>
        <v/>
      </c>
      <c r="AZ203" s="52" t="str">
        <f aca="false">IF($AD203="","",IF(ISNUMBER($AD203),IF($AD203&lt;Header!$C$20,"BELOW MIN PREMIUM","OK"),""))</f>
        <v/>
      </c>
      <c r="BA203" s="40"/>
      <c r="BB203" s="40"/>
      <c r="BC203" s="38"/>
      <c r="BE203" s="53" t="str">
        <f aca="false">IF(OR($A203="",$L203="",$H203=""),"",IF(AND(LEFT($L203,2)="06",$H203&gt;1945),"FAIL - pre-war class, year "&amp;$H203,IF(AND(LEFT($L203,2)="07",OR($H203&lt;1946,$H203&gt;1972)),"FAIL - 1946-72 class, year "&amp;$H203,IF(AND(LEFT($L203,2)="08",OR($H203&lt;1973,$H203&gt;1999)),"FAIL - 1973-99 class, year "&amp;$H203,IF(AND(LEFT($L203,2)="09",OR($H203&lt;2000,$H203&gt;2010)),"FAIL - 2000-10 class, year "&amp;$H203,"OK")))))</f>
        <v/>
      </c>
      <c r="BF203" s="53" t="str">
        <f aca="false">IF($AD203="","",IF(ROUND($AO203+$AP203+$AQ203-$AD203,2)=0,"OK","FAIL - out by "&amp;TEXT($AO203+$AP203+$AQ203-$AD203,"$0.00")))</f>
        <v/>
      </c>
    </row>
    <row r="204" customFormat="false" ht="15" hidden="false" customHeight="true" outlineLevel="0" collapsed="false">
      <c r="A204" s="54"/>
      <c r="B204" s="54"/>
      <c r="C204" s="55"/>
      <c r="D204" s="56"/>
      <c r="E204" s="56"/>
      <c r="F204" s="54"/>
      <c r="G204" s="41" t="str">
        <f aca="false">IF($A204="","",IF($C204="","",YEAR($C204)))</f>
        <v/>
      </c>
      <c r="H204" s="57"/>
      <c r="I204" s="54"/>
      <c r="J204" s="54"/>
      <c r="K204" s="54"/>
      <c r="L204" s="56"/>
      <c r="M204" s="58"/>
      <c r="N204" s="56"/>
      <c r="O204" s="54"/>
      <c r="P204" s="54"/>
      <c r="Q204" s="54"/>
      <c r="R204" s="54"/>
      <c r="S204" s="56"/>
      <c r="T204" s="44" t="str">
        <f aca="false">IF($A204="","",IF($S204="","",IFERROR(INDEX(Lists!$N$5:$N$16,MATCH($S204,Lists!$M$5:$M$16,0)),"?")))</f>
        <v/>
      </c>
      <c r="U204" s="54"/>
      <c r="V204" s="56"/>
      <c r="W204" s="54"/>
      <c r="X204" s="56"/>
      <c r="Y204" s="54"/>
      <c r="Z204" s="54"/>
      <c r="AA204" s="56"/>
      <c r="AB204" s="58"/>
      <c r="AC204" s="59"/>
      <c r="AD204" s="46" t="str">
        <f aca="false">IF(ISNUMBER($AB204),$AB204*(1+N($AC204)),"")</f>
        <v/>
      </c>
      <c r="AE204" s="58"/>
      <c r="AF204" s="58"/>
      <c r="AG204" s="59"/>
      <c r="AH204" s="47" t="str">
        <f aca="false">IF(ISNUMBER($AD204),($AD204+$AE204+$AF204)*$AG204,"")</f>
        <v/>
      </c>
      <c r="AI204" s="58"/>
      <c r="AJ204" s="46" t="str">
        <f aca="false">IF(ISNUMBER($AD204),SUM($AD204:$AH204),"")</f>
        <v/>
      </c>
      <c r="AK204" s="48" t="str">
        <f aca="false">IF(AND(ISNUMBER($AB204),ISNUMBER($AD204)),IF($AB204&gt;0,$AD204/$AB204,""),"")</f>
        <v/>
      </c>
      <c r="AL204" s="56"/>
      <c r="AM204" s="49" t="str">
        <f aca="false">IF(ISNUMBER($AD204),Header!$I$3,"")</f>
        <v/>
      </c>
      <c r="AN204" s="47" t="str">
        <f aca="false">IF(ISNUMBER($AD204),$AO204+$AP204,"")</f>
        <v/>
      </c>
      <c r="AO204" s="47" t="str">
        <f aca="false">IF(ISNUMBER($AD204),ROUND($AD204*Header!$K$3,2),"")</f>
        <v/>
      </c>
      <c r="AP204" s="47" t="str">
        <f aca="false">IF(ISNUMBER($AD204),ROUND($AD204*Header!$M$3,2),"")</f>
        <v/>
      </c>
      <c r="AQ204" s="46" t="str">
        <f aca="false">IF(ISNUMBER($AD204),ROUND($AD204,2)-$AO204-$AP204,"")</f>
        <v/>
      </c>
      <c r="AR204" s="47" t="str">
        <f aca="false">IF(ISNUMBER($AD204),IF(Header!$D$34="","?",$AD204*Header!$D$34),"")</f>
        <v/>
      </c>
      <c r="AS204" s="47" t="str">
        <f aca="false">IF(ISNUMBER($AB204),IF(Header!$D$34="","?",$AB204*Header!$D$34),"")</f>
        <v/>
      </c>
      <c r="AT204" s="50" t="str">
        <f aca="false">IF(AND(ISNUMBER($AB204),$M204&gt;0),$AB204/$M204*100,"")</f>
        <v/>
      </c>
      <c r="AU204" s="50" t="str">
        <f aca="false">IF(AND(ISNUMBER($AD204),$M204&gt;0),$AD204/$M204*100,"")</f>
        <v/>
      </c>
      <c r="AV204" s="48" t="str">
        <f aca="false">IF(AND(ISNUMBER($AB204),ISNUMBER($AD204),ABS($AB204)&gt;0),$AD204/$AB204,"")</f>
        <v/>
      </c>
      <c r="AW204" s="47" t="str">
        <f aca="false">IF(ISNUMBER($AD204),MAX(0,(1-0.55-Header!$O$3)*Header!$Q$3*$AQ204),"")</f>
        <v/>
      </c>
      <c r="AX204" s="51" t="str">
        <f aca="false">IF($A204="","",IF(TRIM(IF($A204="","Missing certificate ref. ","") &amp; IF($C204="","Missing effective date. ","") &amp; IF($D204="","Missing binding status. ","") &amp; IF($E204="","Missing movement type. ","") &amp; IF($I204="","Missing make. ","") &amp; IF($L204="","Missing vehicle class. ","") &amp; IF($M204="","Missing agreed value. ","") &amp; IF($N204="","Missing policy type. ","") &amp; IF($Q204="","Missing garaging state. ","") &amp; IF($R204="","Missing garaging ZIP. ","") &amp; IF($S204="","Missing cat zone. ","") &amp; IF($V204="","Missing valuation basis. ","") &amp; IF($W204="","Missing PD deductible. ","") &amp; IF($X204="","Missing liability limit. ","") &amp; IF($AB204="","Missing technical premium. ","") &amp; IF($AF204="","Missing surplus lines tax %. ",""))="","PASS","FAIL: "&amp;TRIM(IF($A204="","Missing certificate ref. ","") &amp; IF($C204="","Missing effective date. ","") &amp; IF($D204="","Missing binding status. ","") &amp; IF($E204="","Missing movement type. ","") &amp; IF($I204="","Missing make. ","") &amp; IF($L204="","Missing vehicle class. ","") &amp; IF($M204="","Missing agreed value. ","") &amp; IF($N204="","Missing policy type. ","") &amp; IF($Q204="","Missing garaging state. ","") &amp; IF($R204="","Missing garaging ZIP. ","") &amp; IF($S204="","Missing cat zone. ","") &amp; IF($V204="","Missing valuation basis. ","") &amp; IF($W204="","Missing PD deductible. ","") &amp; IF($X204="","Missing liability limit. ","") &amp; IF($AB204="","Missing technical premium. ","") &amp; IF($AF204="","Missing surplus lines tax %. ",""))))</f>
        <v/>
      </c>
      <c r="AY204" s="52" t="str">
        <f aca="false">IF($M204="","",IF(ISNUMBER($M204),IF($M204&gt;=Header!$C$18,"YES — refer","No"),""))</f>
        <v/>
      </c>
      <c r="AZ204" s="52" t="str">
        <f aca="false">IF($AD204="","",IF(ISNUMBER($AD204),IF($AD204&lt;Header!$C$20,"BELOW MIN PREMIUM","OK"),""))</f>
        <v/>
      </c>
      <c r="BA204" s="56"/>
      <c r="BB204" s="56"/>
      <c r="BC204" s="54"/>
      <c r="BE204" s="53" t="str">
        <f aca="false">IF(OR($A204="",$L204="",$H204=""),"",IF(AND(LEFT($L204,2)="06",$H204&gt;1945),"FAIL - pre-war class, year "&amp;$H204,IF(AND(LEFT($L204,2)="07",OR($H204&lt;1946,$H204&gt;1972)),"FAIL - 1946-72 class, year "&amp;$H204,IF(AND(LEFT($L204,2)="08",OR($H204&lt;1973,$H204&gt;1999)),"FAIL - 1973-99 class, year "&amp;$H204,IF(AND(LEFT($L204,2)="09",OR($H204&lt;2000,$H204&gt;2010)),"FAIL - 2000-10 class, year "&amp;$H204,"OK")))))</f>
        <v/>
      </c>
      <c r="BF204" s="53" t="str">
        <f aca="false">IF($AD204="","",IF(ROUND($AO204+$AP204+$AQ204-$AD204,2)=0,"OK","FAIL - out by "&amp;TEXT($AO204+$AP204+$AQ204-$AD204,"$0.00")))</f>
        <v/>
      </c>
    </row>
  </sheetData>
  <mergeCells count="10">
    <mergeCell ref="A1:AS1"/>
    <mergeCell ref="A2:AS2"/>
    <mergeCell ref="A3:G3"/>
    <mergeCell ref="H3:Q3"/>
    <mergeCell ref="R3:V3"/>
    <mergeCell ref="W3:AB3"/>
    <mergeCell ref="AC3:AN3"/>
    <mergeCell ref="AO3:AS3"/>
    <mergeCell ref="AT3:AY3"/>
    <mergeCell ref="AZ3:BD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5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703125" defaultRowHeight="15" zeroHeight="false" outlineLevelRow="0" outlineLevelCol="0"/>
  <cols>
    <col collapsed="false" customWidth="true" hidden="false" outlineLevel="0" max="1" min="1" style="0" width="2"/>
    <col collapsed="false" customWidth="true" hidden="false" outlineLevel="0" max="2" min="2" style="0" width="46"/>
    <col collapsed="false" customWidth="true" hidden="false" outlineLevel="0" max="4" min="3" style="0" width="18"/>
    <col collapsed="false" customWidth="true" hidden="false" outlineLevel="0" max="6" min="5" style="0" width="16"/>
    <col collapsed="false" customWidth="true" hidden="false" outlineLevel="0" max="7" min="7" style="0" width="62"/>
  </cols>
  <sheetData>
    <row r="1" customFormat="false" ht="25.5" hidden="false" customHeight="true" outlineLevel="0" collapsed="false">
      <c r="A1" s="1" t="s">
        <v>223</v>
      </c>
      <c r="B1" s="1"/>
      <c r="C1" s="1"/>
      <c r="D1" s="1"/>
      <c r="E1" s="1"/>
      <c r="F1" s="1"/>
      <c r="G1" s="1"/>
    </row>
    <row r="2" customFormat="false" ht="15" hidden="false" customHeight="true" outlineLevel="0" collapsed="false">
      <c r="A2" s="2" t="s">
        <v>224</v>
      </c>
      <c r="B2" s="2"/>
      <c r="C2" s="2"/>
      <c r="D2" s="2"/>
      <c r="E2" s="2"/>
      <c r="F2" s="2"/>
      <c r="G2" s="2"/>
    </row>
    <row r="4" customFormat="false" ht="18" hidden="false" customHeight="true" outlineLevel="0" collapsed="false">
      <c r="B4" s="3" t="s">
        <v>225</v>
      </c>
      <c r="C4" s="3"/>
      <c r="D4" s="3"/>
      <c r="E4" s="3"/>
      <c r="F4" s="3"/>
      <c r="G4" s="3"/>
    </row>
    <row r="5" customFormat="false" ht="15" hidden="false" customHeight="true" outlineLevel="0" collapsed="false">
      <c r="B5" s="31" t="s">
        <v>226</v>
      </c>
      <c r="C5" s="27" t="n">
        <f aca="false">SUMIF('UW Bordereaux'!$D$5:$D$204,"Bound*",'UW Bordereaux'!$AD$5:$AD$204)</f>
        <v>43588.55</v>
      </c>
    </row>
    <row r="6" customFormat="false" ht="15" hidden="false" customHeight="true" outlineLevel="0" collapsed="false">
      <c r="B6" s="29" t="s">
        <v>227</v>
      </c>
      <c r="C6" s="60" t="n">
        <f aca="false">-SUMIF('UW Bordereaux'!$D$5:$D$204,"Bound*",'UW Bordereaux'!$AN$5:$AN$204)</f>
        <v>-10897.14</v>
      </c>
    </row>
    <row r="7" customFormat="false" ht="15" hidden="false" customHeight="true" outlineLevel="0" collapsed="false">
      <c r="B7" s="31" t="s">
        <v>228</v>
      </c>
      <c r="C7" s="27" t="n">
        <f aca="false">SUMIF('UW Bordereaux'!$D$5:$D$204,"Bound*",'UW Bordereaux'!$AQ$5:$AQ$204)</f>
        <v>32691.41</v>
      </c>
    </row>
    <row r="8" customFormat="false" ht="15" hidden="false" customHeight="true" outlineLevel="0" collapsed="false">
      <c r="B8" s="29" t="s">
        <v>229</v>
      </c>
      <c r="C8" s="60" t="n">
        <f aca="false">C5+C6-C7</f>
        <v>0</v>
      </c>
    </row>
    <row r="9" customFormat="false" ht="15" hidden="false" customHeight="true" outlineLevel="0" collapsed="false">
      <c r="B9" s="29" t="s">
        <v>230</v>
      </c>
      <c r="C9" s="60" t="n">
        <f aca="false">C8</f>
        <v>0</v>
      </c>
      <c r="D9" s="61" t="str">
        <f aca="false">IF(ABS(C9)&lt;1,"AGREES","INVESTIGATE — variance exceeds $1")</f>
        <v>AGREES</v>
      </c>
    </row>
    <row r="10" customFormat="false" ht="15" hidden="false" customHeight="true" outlineLevel="0" collapsed="false">
      <c r="B10" s="29" t="s">
        <v>102</v>
      </c>
      <c r="C10" s="60" t="n">
        <f aca="false">SUMIF('UW Bordereaux'!$D$5:$D$204,"Bound*",'UW Bordereaux'!$AE$5:$AE$204)</f>
        <v>1000</v>
      </c>
    </row>
    <row r="11" customFormat="false" ht="15" hidden="false" customHeight="true" outlineLevel="0" collapsed="false">
      <c r="B11" s="29" t="s">
        <v>103</v>
      </c>
      <c r="C11" s="60" t="n">
        <f aca="false">SUMIF('UW Bordereaux'!$D$5:$D$204,"Bound*",'UW Bordereaux'!$AH$5:$AH$204)</f>
        <v>1807.542</v>
      </c>
    </row>
    <row r="12" customFormat="false" ht="15" hidden="false" customHeight="true" outlineLevel="0" collapsed="false">
      <c r="B12" s="31" t="s">
        <v>231</v>
      </c>
      <c r="C12" s="27" t="n">
        <f aca="false">SUMIF('UW Bordereaux'!$D$5:$D$204,"Bound*",'UW Bordereaux'!$AI$5:$AI$204)</f>
        <v>0</v>
      </c>
    </row>
    <row r="13" customFormat="false" ht="15" hidden="false" customHeight="true" outlineLevel="0" collapsed="false">
      <c r="B13" s="29" t="s">
        <v>232</v>
      </c>
      <c r="C13" s="60" t="n">
        <f aca="false">C5+C10+C11</f>
        <v>46396.092</v>
      </c>
    </row>
    <row r="14" customFormat="false" ht="15" hidden="false" customHeight="true" outlineLevel="0" collapsed="false">
      <c r="B14" s="29" t="s">
        <v>230</v>
      </c>
      <c r="C14" s="62" t="n">
        <f aca="false">C12-C13</f>
        <v>-46396.092</v>
      </c>
      <c r="D14" s="61" t="str">
        <f aca="false">IF(ABS(C14)&lt;1,"AGREES","INVESTIGATE — variance exceeds $1")</f>
        <v>INVESTIGATE — variance exceeds $1</v>
      </c>
    </row>
    <row r="15" customFormat="false" ht="15" hidden="false" customHeight="true" outlineLevel="0" collapsed="false">
      <c r="B15" s="29" t="s">
        <v>233</v>
      </c>
      <c r="C15" s="60" t="n">
        <f aca="false">SUMIF('UW Bordereaux'!$D$5:$D$204,"Bound*",'UW Bordereaux'!$AD$5:$AD$204)*Header!$D$24</f>
        <v>4358.855</v>
      </c>
    </row>
    <row r="16" customFormat="false" ht="15" hidden="false" customHeight="true" outlineLevel="0" collapsed="false">
      <c r="B16" s="29" t="s">
        <v>234</v>
      </c>
      <c r="C16" s="60" t="n">
        <f aca="false">SUMIF('UW Bordereaux'!$D$5:$D$204,"Bound*",'UW Bordereaux'!$AD$5:$AD$204)*Header!$D$34</f>
        <v>43588.55</v>
      </c>
    </row>
    <row r="18" customFormat="false" ht="18" hidden="false" customHeight="true" outlineLevel="0" collapsed="false">
      <c r="B18" s="3" t="s">
        <v>235</v>
      </c>
      <c r="C18" s="3"/>
      <c r="D18" s="3"/>
      <c r="E18" s="3"/>
      <c r="F18" s="3"/>
      <c r="G18" s="3"/>
    </row>
    <row r="19" customFormat="false" ht="27.75" hidden="false" customHeight="true" outlineLevel="0" collapsed="false">
      <c r="B19" s="17" t="s">
        <v>236</v>
      </c>
      <c r="C19" s="17" t="s">
        <v>237</v>
      </c>
      <c r="D19" s="17" t="s">
        <v>172</v>
      </c>
    </row>
    <row r="20" customFormat="false" ht="25.5" hidden="false" customHeight="true" outlineLevel="0" collapsed="false">
      <c r="B20" s="63" t="s">
        <v>238</v>
      </c>
      <c r="C20" s="64" t="str">
        <f aca="false">IF(COUNTIFS('UW Bordereaux'!$D$5:$D$204,"Bound*",'UW Bordereaux'!$A$5:$A$204,"")=0,"PASS","FAIL — "&amp;COUNTIFS('UW Bordereaux'!$D$5:$D$204,"Bound*",'UW Bordereaux'!$A$5:$A$204,"")&amp;" bound risks missing certificate")</f>
        <v>PASS</v>
      </c>
      <c r="D20" s="64"/>
      <c r="E20" s="64"/>
      <c r="F20" s="65"/>
      <c r="G20" s="65"/>
    </row>
    <row r="21" customFormat="false" ht="25.5" hidden="false" customHeight="true" outlineLevel="0" collapsed="false">
      <c r="B21" s="66" t="s">
        <v>239</v>
      </c>
      <c r="C21" s="67" t="str">
        <f aca="false">IF(SUMPRODUCT((LEN('UW Bordereaux'!$A$5:$A$204)&gt;0)*(LEN('UW Bordereaux'!$D$5:$D$204)=0))=0,"PASS","FAIL — "&amp;SUMPRODUCT((LEN('UW Bordereaux'!$A$5:$A$204)&gt;0)*(LEN('UW Bordereaux'!$D$5:$D$204)=0))&amp;" rows missing status")</f>
        <v>PASS</v>
      </c>
      <c r="D21" s="67"/>
      <c r="E21" s="67"/>
      <c r="F21" s="68"/>
      <c r="G21" s="68"/>
    </row>
    <row r="22" customFormat="false" ht="25.5" hidden="false" customHeight="true" outlineLevel="0" collapsed="false">
      <c r="B22" s="63" t="s">
        <v>240</v>
      </c>
      <c r="C22" s="64" t="str">
        <f aca="false">IF(COUNTIFS('UW Bordereaux'!$D$5:$D$204,"Bound*",'UW Bordereaux'!$C$5:$C$204,"")=0,"PASS","FAIL — "&amp;COUNTIFS('UW Bordereaux'!$D$5:$D$204,"Bound*",'UW Bordereaux'!$C$5:$C$204,"")&amp;" bound risks missing effective date")</f>
        <v>PASS</v>
      </c>
      <c r="D22" s="64"/>
      <c r="E22" s="64"/>
      <c r="F22" s="65"/>
      <c r="G22" s="65"/>
    </row>
    <row r="23" customFormat="false" ht="25.5" hidden="false" customHeight="true" outlineLevel="0" collapsed="false">
      <c r="B23" s="66" t="s">
        <v>241</v>
      </c>
      <c r="C23" s="67" t="str">
        <f aca="false">IF(COUNTIFS('UW Bordereaux'!$D$5:$D$204,"Bound*",'UW Bordereaux'!$AB$5:$AB$204,"")=0,"PASS","FAIL — "&amp;COUNTIFS('UW Bordereaux'!$D$5:$D$204,"Bound*",'UW Bordereaux'!$AB$5:$AB$204,"")&amp;" bound risks missing technical premium")</f>
        <v>PASS</v>
      </c>
      <c r="D23" s="67"/>
      <c r="E23" s="67"/>
      <c r="F23" s="68"/>
      <c r="G23" s="68"/>
    </row>
    <row r="24" customFormat="false" ht="25.5" hidden="false" customHeight="true" outlineLevel="0" collapsed="false">
      <c r="B24" s="63" t="s">
        <v>242</v>
      </c>
      <c r="C24" s="64" t="str">
        <f aca="false">IF(COUNTIFS('UW Bordereaux'!$D$5:$D$204,"Bound*",'UW Bordereaux'!$AF$5:$AF$204,"")=0,"PASS","FAIL — "&amp;COUNTIFS('UW Bordereaux'!$D$5:$D$204,"Bound*",'UW Bordereaux'!$AF$5:$AF$204,"")&amp;" bound risks missing SL tax rate")</f>
        <v>PASS</v>
      </c>
      <c r="D24" s="64"/>
      <c r="E24" s="64"/>
      <c r="F24" s="65" t="s">
        <v>243</v>
      </c>
      <c r="G24" s="65"/>
    </row>
    <row r="25" customFormat="false" ht="25.5" hidden="false" customHeight="true" outlineLevel="0" collapsed="false">
      <c r="B25" s="66" t="s">
        <v>244</v>
      </c>
      <c r="C25" s="67" t="str">
        <f aca="false">IF(SUMPRODUCT(('UW Bordereaux'!$M$5:$M$204&lt;0)*('UW Bordereaux'!$A$5:$A$204&lt;&gt;""))=0,"PASS","FAIL — negative agreed value detected")</f>
        <v>PASS</v>
      </c>
      <c r="D25" s="67"/>
      <c r="E25" s="67"/>
      <c r="F25" s="68"/>
      <c r="G25" s="68"/>
    </row>
    <row r="26" customFormat="false" ht="25.5" hidden="false" customHeight="true" outlineLevel="0" collapsed="false">
      <c r="B26" s="63" t="s">
        <v>245</v>
      </c>
      <c r="C26" s="64" t="str">
        <f aca="false">IF(SUMPRODUCT(('UW Bordereaux'!$M$5:$M$204&lt;100000)*('UW Bordereaux'!$M$5:$M$204&gt;0)*('UW Bordereaux'!$A$5:$A$204&lt;&gt;""))=0,"PASS","FAIL — "&amp;SUMPRODUCT(('UW Bordereaux'!$M$5:$M$204&lt;100000)*('UW Bordereaux'!$M$5:$M$204&gt;0)*('UW Bordereaux'!$A$5:$A$204&lt;&gt;""))&amp;" risks below $100,000 minimum")</f>
        <v>PASS</v>
      </c>
      <c r="D26" s="64"/>
      <c r="E26" s="64"/>
      <c r="F26" s="65"/>
      <c r="G26" s="65"/>
    </row>
    <row r="27" customFormat="false" ht="25.5" hidden="false" customHeight="true" outlineLevel="0" collapsed="false">
      <c r="B27" s="66" t="s">
        <v>246</v>
      </c>
      <c r="C27" s="67" t="str">
        <f aca="false">IF(ROUND(Header!$D$34,4)=1,"PASS","FAIL — panel signs "&amp;TEXT(Header!$D$34,"0.00%")&amp;", must equal 100%")</f>
        <v>PASS</v>
      </c>
      <c r="D27" s="67"/>
      <c r="E27" s="67"/>
      <c r="F27" s="68"/>
      <c r="G27" s="68"/>
    </row>
    <row r="28" customFormat="false" ht="25.5" hidden="false" customHeight="true" outlineLevel="0" collapsed="false">
      <c r="B28" s="63" t="s">
        <v>247</v>
      </c>
      <c r="C28" s="64" t="str">
        <f aca="false">IF(COUNTIFS('UW Bordereaux'!$AJ$5:$AJ$204,"&lt;0.85",'UW Bordereaux'!$D$5:$D$204,"Bound*")=0,"PASS","WARN — "&amp;COUNTIFS('UW Bordereaux'!$AJ$5:$AJ$204,"&lt;0.85",'UW Bordereaux'!$D$5:$D$204,"Bound*")&amp;" risks below 85% rate adequacy")</f>
        <v>PASS</v>
      </c>
      <c r="D28" s="64"/>
      <c r="E28" s="64"/>
      <c r="F28" s="65" t="s">
        <v>248</v>
      </c>
      <c r="G28" s="65"/>
    </row>
    <row r="29" customFormat="false" ht="25.5" hidden="false" customHeight="true" outlineLevel="0" collapsed="false">
      <c r="B29" s="66" t="s">
        <v>249</v>
      </c>
      <c r="C29" s="67" t="str">
        <f aca="false">COUNTIFS('UW Bordereaux'!$M$5:$M$204,"&gt;="&amp;Header!$C$18,'UW Bordereaux'!$D$5:$D$204,"Bound*")&amp;" risk(s) at or above $2m AV — confirm individual referral is on file"</f>
        <v>0 risk(s) at or above $2m AV — confirm individual referral is on file</v>
      </c>
      <c r="D29" s="67"/>
      <c r="E29" s="67"/>
      <c r="F29" s="68"/>
      <c r="G29" s="68"/>
    </row>
    <row r="30" customFormat="false" ht="25.5" hidden="false" customHeight="true" outlineLevel="0" collapsed="false">
      <c r="B30" s="63" t="s">
        <v>250</v>
      </c>
      <c r="C30" s="64" t="str">
        <f aca="false">COUNTIF('UW Bordereaux'!$AK$5:$AK$204,"BEYOND AUTHORITY")&amp;" risk(s) — confirm approval is on file in the Referral Log"</f>
        <v>0 risk(s) — confirm approval is on file in the Referral Log</v>
      </c>
      <c r="D30" s="64"/>
      <c r="E30" s="64"/>
      <c r="F30" s="65"/>
      <c r="G30" s="65"/>
    </row>
    <row r="31" customFormat="false" ht="25.5" hidden="false" customHeight="true" outlineLevel="0" collapsed="false">
      <c r="B31" s="66" t="s">
        <v>251</v>
      </c>
      <c r="C31" s="67" t="str">
        <f aca="false">IF(COUNTIF('UW Bordereaux'!$AW$5:$AW$204,"FAIL*")=0,"PASS — all mandatory fields complete","FAIL — "&amp;COUNTIF('UW Bordereaux'!$AW$5:$AW$204,"FAIL*")&amp;" rows with missing mandatory fields")</f>
        <v>PASS — all mandatory fields complete</v>
      </c>
      <c r="D31" s="67"/>
      <c r="E31" s="67"/>
      <c r="F31" s="68" t="s">
        <v>252</v>
      </c>
      <c r="G31" s="68"/>
    </row>
    <row r="33" customFormat="false" ht="25.5" hidden="false" customHeight="true" outlineLevel="0" collapsed="false">
      <c r="B33" s="69" t="s">
        <v>253</v>
      </c>
      <c r="C33" s="64" t="str">
        <f aca="false">IF(COUNTIF('UW Bordereaux'!$BE$5:$BE$204,"FAIL*")=0,"PASS","FAIL - "&amp;COUNTIF('UW Bordereaux'!$BE$5:$BE$204,"FAIL*")&amp;" rows where vehicle year falls outside its class era")</f>
        <v>PASS</v>
      </c>
      <c r="D33" s="64"/>
      <c r="E33" s="64"/>
    </row>
    <row r="34" customFormat="false" ht="25.5" hidden="false" customHeight="true" outlineLevel="0" collapsed="false">
      <c r="B34" s="66" t="s">
        <v>254</v>
      </c>
      <c r="C34" s="67" t="str">
        <f aca="false">IF(COUNTIF('UW Bordereaux'!$BF$5:$BF$204,"FAIL*")=0,"PASS - all rows foot to the cent","FAIL - "&amp;COUNTIF('UW Bordereaux'!$BF$5:$BF$204,"FAIL*")&amp;" rows do not foot")</f>
        <v>PASS - all rows foot to the cent</v>
      </c>
      <c r="D34" s="67"/>
      <c r="E34" s="67"/>
    </row>
    <row r="35" customFormat="false" ht="25.5" hidden="false" customHeight="true" outlineLevel="0" collapsed="false">
      <c r="B35" s="63" t="s">
        <v>255</v>
      </c>
      <c r="C35" s="64" t="str">
        <f aca="false">IF(ROUND(Header!$K$3+Header!$M$3-Header!$I$3,6)=0,"PASS","FAIL - broker + Torque &lt;&gt; total ceding")</f>
        <v>PASS</v>
      </c>
      <c r="D35" s="64"/>
      <c r="E35" s="64"/>
    </row>
    <row r="36" customFormat="false" ht="25.5" hidden="false" customHeight="true" outlineLevel="0" collapsed="false">
      <c r="B36" s="66" t="s">
        <v>256</v>
      </c>
      <c r="C36" s="67" t="str">
        <f aca="false">IF(AND(ROUND(Header!$D$34,6)=1,COUNTIF(Header!$D$24:$D$33,0.1)=10),"PASS - 10 markets at 10% each","CHECK - lines are not 10 x 10%")</f>
        <v>PASS - 10 markets at 10% each</v>
      </c>
      <c r="D36" s="67"/>
      <c r="E36" s="67"/>
    </row>
    <row r="39" customFormat="false" ht="15" hidden="false" customHeight="false" outlineLevel="0" collapsed="false">
      <c r="B39" s="3" t="s">
        <v>257</v>
      </c>
      <c r="C39" s="3"/>
      <c r="D39" s="3"/>
      <c r="E39" s="3"/>
      <c r="F39" s="3"/>
      <c r="G39" s="3"/>
    </row>
    <row r="40" customFormat="false" ht="15" hidden="false" customHeight="false" outlineLevel="0" collapsed="false">
      <c r="B40" s="31" t="s">
        <v>258</v>
      </c>
      <c r="C40" s="70" t="n">
        <f aca="false">SUMIF('UW Bordereaux'!$D$5:$D$204,"Bound*",'UW Bordereaux'!$AD$5:$AD$204)</f>
        <v>43588.55</v>
      </c>
    </row>
    <row r="41" customFormat="false" ht="15" hidden="false" customHeight="false" outlineLevel="0" collapsed="false">
      <c r="B41" s="63" t="s">
        <v>259</v>
      </c>
      <c r="C41" s="71" t="n">
        <f aca="false">SUMIF('UW Bordereaux'!$D$5:$D$204,"Bound*",'UW Bordereaux'!$AO$5:$AO$204)</f>
        <v>5448.57</v>
      </c>
    </row>
    <row r="42" customFormat="false" ht="15" hidden="false" customHeight="false" outlineLevel="0" collapsed="false">
      <c r="B42" s="63" t="s">
        <v>260</v>
      </c>
      <c r="C42" s="71" t="n">
        <f aca="false">SUMIF('UW Bordereaux'!$D$5:$D$204,"Bound*",'UW Bordereaux'!$AP$5:$AP$204)</f>
        <v>5448.57</v>
      </c>
    </row>
    <row r="43" customFormat="false" ht="15" hidden="false" customHeight="false" outlineLevel="0" collapsed="false">
      <c r="B43" s="63" t="s">
        <v>261</v>
      </c>
      <c r="C43" s="71" t="n">
        <f aca="false">SUMIF('UW Bordereaux'!$D$5:$D$204,"Bound*",'UW Bordereaux'!$AQ$5:$AQ$204)</f>
        <v>32691.41</v>
      </c>
    </row>
    <row r="44" customFormat="false" ht="15" hidden="false" customHeight="false" outlineLevel="0" collapsed="false">
      <c r="B44" s="63" t="s">
        <v>262</v>
      </c>
      <c r="C44" s="71" t="n">
        <f aca="false">C41+C42+C43</f>
        <v>43588.55</v>
      </c>
    </row>
    <row r="45" customFormat="false" ht="15" hidden="false" customHeight="false" outlineLevel="0" collapsed="false">
      <c r="B45" s="31" t="s">
        <v>263</v>
      </c>
      <c r="C45" s="70" t="n">
        <f aca="false">C44-C40</f>
        <v>0</v>
      </c>
      <c r="D45" s="61" t="str">
        <f aca="false">IF(ABS(C45)&lt;0.005,"AGREES to the cent","INVESTIGATE - components do not foot")</f>
        <v>AGREES to the cent</v>
      </c>
    </row>
    <row r="46" customFormat="false" ht="15" hidden="false" customHeight="false" outlineLevel="0" collapsed="false">
      <c r="B46" s="63" t="s">
        <v>264</v>
      </c>
      <c r="C46" s="72" t="n">
        <f aca="false">IFERROR(C41/C40,0)</f>
        <v>0.125000028677256</v>
      </c>
    </row>
    <row r="47" customFormat="false" ht="15" hidden="false" customHeight="false" outlineLevel="0" collapsed="false">
      <c r="B47" s="63" t="s">
        <v>265</v>
      </c>
      <c r="C47" s="72" t="n">
        <f aca="false">IFERROR(C42/C40,0)</f>
        <v>0.125000028677256</v>
      </c>
    </row>
    <row r="48" customFormat="false" ht="15" hidden="false" customHeight="false" outlineLevel="0" collapsed="false">
      <c r="B48" s="63" t="s">
        <v>266</v>
      </c>
      <c r="C48" s="72" t="n">
        <f aca="false">IFERROR(C43/C40,0)</f>
        <v>0.749999942645488</v>
      </c>
    </row>
    <row r="49" customFormat="false" ht="15" hidden="false" customHeight="false" outlineLevel="0" collapsed="false">
      <c r="B49" s="63" t="s">
        <v>267</v>
      </c>
      <c r="C49" s="72" t="n">
        <f aca="false">IFERROR(C43/C40*0.1,0)</f>
        <v>0.0749999942645488</v>
      </c>
    </row>
    <row r="51" customFormat="false" ht="15" hidden="false" customHeight="true" outlineLevel="0" collapsed="false">
      <c r="B51" s="73" t="s">
        <v>268</v>
      </c>
      <c r="C51" s="73"/>
      <c r="D51" s="73"/>
      <c r="E51" s="73"/>
      <c r="F51" s="73"/>
      <c r="G51" s="73"/>
    </row>
    <row r="52" customFormat="false" ht="15" hidden="false" customHeight="false" outlineLevel="0" collapsed="false">
      <c r="B52" s="73"/>
      <c r="C52" s="73"/>
      <c r="D52" s="73"/>
      <c r="E52" s="73"/>
      <c r="F52" s="73"/>
      <c r="G52" s="73"/>
    </row>
    <row r="53" customFormat="false" ht="15" hidden="false" customHeight="false" outlineLevel="0" collapsed="false">
      <c r="B53" s="73"/>
      <c r="C53" s="73"/>
      <c r="D53" s="73"/>
      <c r="E53" s="73"/>
      <c r="F53" s="73"/>
      <c r="G53" s="73"/>
    </row>
  </sheetData>
  <mergeCells count="34">
    <mergeCell ref="A1:G1"/>
    <mergeCell ref="A2:G2"/>
    <mergeCell ref="B4:G4"/>
    <mergeCell ref="B18:G18"/>
    <mergeCell ref="C20:E20"/>
    <mergeCell ref="F20:G20"/>
    <mergeCell ref="C21:E21"/>
    <mergeCell ref="F21:G21"/>
    <mergeCell ref="C22:E22"/>
    <mergeCell ref="F22:G22"/>
    <mergeCell ref="C23:E23"/>
    <mergeCell ref="F23:G23"/>
    <mergeCell ref="C24:E24"/>
    <mergeCell ref="F24:G24"/>
    <mergeCell ref="C25:E25"/>
    <mergeCell ref="F25:G25"/>
    <mergeCell ref="C26:E26"/>
    <mergeCell ref="F26:G26"/>
    <mergeCell ref="C27:E27"/>
    <mergeCell ref="F27:G27"/>
    <mergeCell ref="C28:E28"/>
    <mergeCell ref="F28:G28"/>
    <mergeCell ref="C29:E29"/>
    <mergeCell ref="F29:G29"/>
    <mergeCell ref="C30:E30"/>
    <mergeCell ref="F30:G30"/>
    <mergeCell ref="C31:E31"/>
    <mergeCell ref="F31:G31"/>
    <mergeCell ref="C33:E33"/>
    <mergeCell ref="C34:E34"/>
    <mergeCell ref="C35:E35"/>
    <mergeCell ref="C36:E36"/>
    <mergeCell ref="B39:G39"/>
    <mergeCell ref="B51:G5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5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703125" defaultRowHeight="15" zeroHeight="false" outlineLevelRow="0" outlineLevelCol="0"/>
  <cols>
    <col collapsed="false" customWidth="true" hidden="false" outlineLevel="0" max="1" min="1" style="0" width="2"/>
    <col collapsed="false" customWidth="true" hidden="false" outlineLevel="0" max="2" min="2" style="0" width="6"/>
    <col collapsed="false" customWidth="true" hidden="false" outlineLevel="0" max="3" min="3" style="0" width="32"/>
    <col collapsed="false" customWidth="true" hidden="false" outlineLevel="0" max="5" min="4" style="0" width="20"/>
    <col collapsed="false" customWidth="true" hidden="false" outlineLevel="0" max="6" min="6" style="0" width="88"/>
  </cols>
  <sheetData>
    <row r="1" customFormat="false" ht="25.5" hidden="false" customHeight="true" outlineLevel="0" collapsed="false">
      <c r="A1" s="1" t="s">
        <v>269</v>
      </c>
      <c r="B1" s="1"/>
      <c r="C1" s="1"/>
      <c r="D1" s="1"/>
      <c r="E1" s="1"/>
      <c r="F1" s="1"/>
    </row>
    <row r="2" customFormat="false" ht="15" hidden="false" customHeight="true" outlineLevel="0" collapsed="false">
      <c r="A2" s="2" t="s">
        <v>270</v>
      </c>
      <c r="B2" s="2"/>
      <c r="C2" s="2"/>
      <c r="D2" s="2"/>
      <c r="E2" s="2"/>
      <c r="F2" s="2"/>
    </row>
    <row r="4" customFormat="false" ht="27.75" hidden="false" customHeight="true" outlineLevel="0" collapsed="false">
      <c r="B4" s="17" t="s">
        <v>271</v>
      </c>
      <c r="C4" s="17" t="s">
        <v>272</v>
      </c>
      <c r="D4" s="17" t="s">
        <v>273</v>
      </c>
      <c r="E4" s="17" t="s">
        <v>274</v>
      </c>
    </row>
    <row r="5" customFormat="false" ht="25.5" hidden="false" customHeight="true" outlineLevel="0" collapsed="false">
      <c r="B5" s="74" t="s">
        <v>275</v>
      </c>
      <c r="C5" s="75" t="s">
        <v>119</v>
      </c>
      <c r="D5" s="74" t="s">
        <v>276</v>
      </c>
      <c r="E5" s="76" t="s">
        <v>277</v>
      </c>
      <c r="F5" s="76"/>
    </row>
    <row r="6" customFormat="false" ht="25.5" hidden="false" customHeight="true" outlineLevel="0" collapsed="false">
      <c r="B6" s="77" t="s">
        <v>278</v>
      </c>
      <c r="C6" s="78" t="s">
        <v>120</v>
      </c>
      <c r="D6" s="77" t="s">
        <v>276</v>
      </c>
      <c r="E6" s="79"/>
      <c r="F6" s="79"/>
    </row>
    <row r="7" customFormat="false" ht="25.5" hidden="false" customHeight="true" outlineLevel="0" collapsed="false">
      <c r="B7" s="74" t="s">
        <v>279</v>
      </c>
      <c r="C7" s="75" t="s">
        <v>121</v>
      </c>
      <c r="D7" s="74" t="s">
        <v>280</v>
      </c>
      <c r="E7" s="76"/>
      <c r="F7" s="76"/>
    </row>
    <row r="8" customFormat="false" ht="25.5" hidden="false" customHeight="true" outlineLevel="0" collapsed="false">
      <c r="B8" s="77" t="s">
        <v>281</v>
      </c>
      <c r="C8" s="78" t="s">
        <v>122</v>
      </c>
      <c r="D8" s="77" t="s">
        <v>282</v>
      </c>
      <c r="E8" s="79"/>
      <c r="F8" s="79"/>
    </row>
    <row r="9" customFormat="false" ht="25.5" hidden="false" customHeight="true" outlineLevel="0" collapsed="false">
      <c r="B9" s="74" t="s">
        <v>283</v>
      </c>
      <c r="C9" s="75" t="s">
        <v>123</v>
      </c>
      <c r="D9" s="74" t="s">
        <v>282</v>
      </c>
      <c r="E9" s="76"/>
      <c r="F9" s="76"/>
    </row>
    <row r="10" customFormat="false" ht="25.5" hidden="false" customHeight="true" outlineLevel="0" collapsed="false">
      <c r="B10" s="77" t="s">
        <v>284</v>
      </c>
      <c r="C10" s="78" t="s">
        <v>124</v>
      </c>
      <c r="D10" s="77" t="s">
        <v>276</v>
      </c>
      <c r="E10" s="79"/>
      <c r="F10" s="79"/>
    </row>
    <row r="11" customFormat="false" ht="25.5" hidden="false" customHeight="true" outlineLevel="0" collapsed="false">
      <c r="B11" s="74" t="s">
        <v>285</v>
      </c>
      <c r="C11" s="75" t="s">
        <v>48</v>
      </c>
      <c r="D11" s="80" t="s">
        <v>286</v>
      </c>
      <c r="E11" s="76" t="s">
        <v>287</v>
      </c>
      <c r="F11" s="76"/>
    </row>
    <row r="12" customFormat="false" ht="25.5" hidden="false" customHeight="true" outlineLevel="0" collapsed="false">
      <c r="B12" s="77" t="s">
        <v>288</v>
      </c>
      <c r="C12" s="78" t="s">
        <v>125</v>
      </c>
      <c r="D12" s="77" t="s">
        <v>289</v>
      </c>
      <c r="E12" s="79"/>
      <c r="F12" s="79"/>
    </row>
    <row r="13" customFormat="false" ht="25.5" hidden="false" customHeight="true" outlineLevel="0" collapsed="false">
      <c r="B13" s="74" t="s">
        <v>290</v>
      </c>
      <c r="C13" s="75" t="s">
        <v>126</v>
      </c>
      <c r="D13" s="74" t="s">
        <v>276</v>
      </c>
      <c r="E13" s="76"/>
      <c r="F13" s="76"/>
    </row>
    <row r="14" customFormat="false" ht="25.5" hidden="false" customHeight="true" outlineLevel="0" collapsed="false">
      <c r="B14" s="77" t="s">
        <v>291</v>
      </c>
      <c r="C14" s="78" t="s">
        <v>127</v>
      </c>
      <c r="D14" s="77" t="s">
        <v>276</v>
      </c>
      <c r="E14" s="79"/>
      <c r="F14" s="79"/>
    </row>
    <row r="15" customFormat="false" ht="25.5" hidden="false" customHeight="true" outlineLevel="0" collapsed="false">
      <c r="B15" s="74" t="s">
        <v>292</v>
      </c>
      <c r="C15" s="75" t="s">
        <v>128</v>
      </c>
      <c r="D15" s="74" t="s">
        <v>276</v>
      </c>
      <c r="E15" s="76"/>
      <c r="F15" s="76"/>
    </row>
    <row r="16" customFormat="false" ht="25.5" hidden="false" customHeight="true" outlineLevel="0" collapsed="false">
      <c r="B16" s="77" t="s">
        <v>293</v>
      </c>
      <c r="C16" s="78" t="s">
        <v>129</v>
      </c>
      <c r="D16" s="77" t="s">
        <v>282</v>
      </c>
      <c r="E16" s="79"/>
      <c r="F16" s="79"/>
    </row>
    <row r="17" customFormat="false" ht="25.5" hidden="false" customHeight="true" outlineLevel="0" collapsed="false">
      <c r="B17" s="74" t="s">
        <v>294</v>
      </c>
      <c r="C17" s="75" t="s">
        <v>130</v>
      </c>
      <c r="D17" s="74" t="s">
        <v>295</v>
      </c>
      <c r="E17" s="76"/>
      <c r="F17" s="76"/>
    </row>
    <row r="18" customFormat="false" ht="25.5" hidden="false" customHeight="true" outlineLevel="0" collapsed="false">
      <c r="B18" s="77" t="s">
        <v>296</v>
      </c>
      <c r="C18" s="78" t="s">
        <v>131</v>
      </c>
      <c r="D18" s="77" t="s">
        <v>282</v>
      </c>
      <c r="E18" s="79"/>
      <c r="F18" s="79"/>
    </row>
    <row r="19" customFormat="false" ht="25.5" hidden="false" customHeight="true" outlineLevel="0" collapsed="false">
      <c r="B19" s="74" t="s">
        <v>297</v>
      </c>
      <c r="C19" s="75" t="s">
        <v>132</v>
      </c>
      <c r="D19" s="74" t="s">
        <v>276</v>
      </c>
      <c r="E19" s="76"/>
      <c r="F19" s="76"/>
    </row>
    <row r="20" customFormat="false" ht="25.5" hidden="false" customHeight="true" outlineLevel="0" collapsed="false">
      <c r="B20" s="77" t="s">
        <v>298</v>
      </c>
      <c r="C20" s="78" t="s">
        <v>133</v>
      </c>
      <c r="D20" s="77" t="s">
        <v>276</v>
      </c>
      <c r="E20" s="79"/>
      <c r="F20" s="79"/>
    </row>
    <row r="21" customFormat="false" ht="25.5" hidden="false" customHeight="true" outlineLevel="0" collapsed="false">
      <c r="B21" s="74" t="s">
        <v>299</v>
      </c>
      <c r="C21" s="75" t="s">
        <v>134</v>
      </c>
      <c r="D21" s="74" t="s">
        <v>276</v>
      </c>
      <c r="E21" s="76"/>
      <c r="F21" s="76"/>
    </row>
    <row r="22" customFormat="false" ht="25.5" hidden="false" customHeight="true" outlineLevel="0" collapsed="false">
      <c r="B22" s="77" t="s">
        <v>300</v>
      </c>
      <c r="C22" s="78" t="s">
        <v>135</v>
      </c>
      <c r="D22" s="77" t="s">
        <v>276</v>
      </c>
      <c r="E22" s="79"/>
      <c r="F22" s="79"/>
    </row>
    <row r="23" customFormat="false" ht="25.5" hidden="false" customHeight="true" outlineLevel="0" collapsed="false">
      <c r="B23" s="74" t="s">
        <v>301</v>
      </c>
      <c r="C23" s="75" t="s">
        <v>136</v>
      </c>
      <c r="D23" s="74" t="s">
        <v>282</v>
      </c>
      <c r="E23" s="76"/>
      <c r="F23" s="76"/>
    </row>
    <row r="24" customFormat="false" ht="25.5" hidden="false" customHeight="true" outlineLevel="0" collapsed="false">
      <c r="B24" s="77" t="s">
        <v>302</v>
      </c>
      <c r="C24" s="78" t="s">
        <v>137</v>
      </c>
      <c r="D24" s="81" t="s">
        <v>286</v>
      </c>
      <c r="E24" s="79" t="s">
        <v>303</v>
      </c>
      <c r="F24" s="79"/>
    </row>
    <row r="25" customFormat="false" ht="25.5" hidden="false" customHeight="true" outlineLevel="0" collapsed="false">
      <c r="B25" s="74" t="s">
        <v>304</v>
      </c>
      <c r="C25" s="75" t="s">
        <v>138</v>
      </c>
      <c r="D25" s="74" t="s">
        <v>276</v>
      </c>
      <c r="E25" s="76"/>
      <c r="F25" s="76"/>
    </row>
    <row r="26" customFormat="false" ht="25.5" hidden="false" customHeight="true" outlineLevel="0" collapsed="false">
      <c r="B26" s="77" t="s">
        <v>305</v>
      </c>
      <c r="C26" s="78" t="s">
        <v>139</v>
      </c>
      <c r="D26" s="77" t="s">
        <v>282</v>
      </c>
      <c r="E26" s="79"/>
      <c r="F26" s="79"/>
    </row>
    <row r="27" customFormat="false" ht="25.5" hidden="false" customHeight="true" outlineLevel="0" collapsed="false">
      <c r="B27" s="74" t="s">
        <v>306</v>
      </c>
      <c r="C27" s="75" t="s">
        <v>140</v>
      </c>
      <c r="D27" s="74" t="s">
        <v>276</v>
      </c>
      <c r="E27" s="76"/>
      <c r="F27" s="76"/>
    </row>
    <row r="28" customFormat="false" ht="25.5" hidden="false" customHeight="true" outlineLevel="0" collapsed="false">
      <c r="B28" s="77" t="s">
        <v>307</v>
      </c>
      <c r="C28" s="78" t="s">
        <v>141</v>
      </c>
      <c r="D28" s="77" t="s">
        <v>282</v>
      </c>
      <c r="E28" s="79"/>
      <c r="F28" s="79"/>
    </row>
    <row r="29" customFormat="false" ht="25.5" hidden="false" customHeight="true" outlineLevel="0" collapsed="false">
      <c r="B29" s="74" t="s">
        <v>308</v>
      </c>
      <c r="C29" s="75" t="s">
        <v>142</v>
      </c>
      <c r="D29" s="74" t="s">
        <v>276</v>
      </c>
      <c r="E29" s="76"/>
      <c r="F29" s="76"/>
    </row>
    <row r="30" customFormat="false" ht="25.5" hidden="false" customHeight="true" outlineLevel="0" collapsed="false">
      <c r="B30" s="77" t="s">
        <v>309</v>
      </c>
      <c r="C30" s="78" t="s">
        <v>143</v>
      </c>
      <c r="D30" s="77" t="s">
        <v>276</v>
      </c>
      <c r="E30" s="79"/>
      <c r="F30" s="79"/>
    </row>
    <row r="31" customFormat="false" ht="25.5" hidden="false" customHeight="true" outlineLevel="0" collapsed="false">
      <c r="B31" s="74" t="s">
        <v>310</v>
      </c>
      <c r="C31" s="75" t="s">
        <v>144</v>
      </c>
      <c r="D31" s="74" t="s">
        <v>282</v>
      </c>
      <c r="E31" s="76"/>
      <c r="F31" s="76"/>
    </row>
    <row r="32" customFormat="false" ht="25.5" hidden="false" customHeight="true" outlineLevel="0" collapsed="false">
      <c r="B32" s="77" t="s">
        <v>311</v>
      </c>
      <c r="C32" s="78" t="s">
        <v>145</v>
      </c>
      <c r="D32" s="77" t="s">
        <v>295</v>
      </c>
      <c r="E32" s="79" t="s">
        <v>312</v>
      </c>
      <c r="F32" s="79"/>
    </row>
    <row r="33" customFormat="false" ht="25.5" hidden="false" customHeight="true" outlineLevel="0" collapsed="false">
      <c r="B33" s="74" t="s">
        <v>313</v>
      </c>
      <c r="C33" s="75" t="s">
        <v>146</v>
      </c>
      <c r="D33" s="74" t="s">
        <v>314</v>
      </c>
      <c r="E33" s="76" t="s">
        <v>315</v>
      </c>
      <c r="F33" s="76"/>
    </row>
    <row r="34" customFormat="false" ht="25.5" hidden="false" customHeight="true" outlineLevel="0" collapsed="false">
      <c r="B34" s="77" t="s">
        <v>316</v>
      </c>
      <c r="C34" s="78" t="s">
        <v>147</v>
      </c>
      <c r="D34" s="81" t="s">
        <v>286</v>
      </c>
      <c r="E34" s="79" t="s">
        <v>317</v>
      </c>
      <c r="F34" s="79"/>
    </row>
    <row r="35" customFormat="false" ht="25.5" hidden="false" customHeight="true" outlineLevel="0" collapsed="false">
      <c r="B35" s="74" t="s">
        <v>318</v>
      </c>
      <c r="C35" s="75" t="s">
        <v>148</v>
      </c>
      <c r="D35" s="74" t="s">
        <v>295</v>
      </c>
      <c r="E35" s="76"/>
      <c r="F35" s="76"/>
    </row>
    <row r="36" customFormat="false" ht="25.5" hidden="false" customHeight="true" outlineLevel="0" collapsed="false">
      <c r="B36" s="77" t="s">
        <v>319</v>
      </c>
      <c r="C36" s="78" t="s">
        <v>149</v>
      </c>
      <c r="D36" s="77" t="s">
        <v>295</v>
      </c>
      <c r="E36" s="79"/>
      <c r="F36" s="79"/>
    </row>
    <row r="37" customFormat="false" ht="25.5" hidden="false" customHeight="true" outlineLevel="0" collapsed="false">
      <c r="B37" s="74" t="s">
        <v>320</v>
      </c>
      <c r="C37" s="75" t="s">
        <v>150</v>
      </c>
      <c r="D37" s="74" t="s">
        <v>314</v>
      </c>
      <c r="E37" s="76"/>
      <c r="F37" s="76"/>
    </row>
    <row r="38" customFormat="false" ht="25.5" hidden="false" customHeight="true" outlineLevel="0" collapsed="false">
      <c r="B38" s="77" t="s">
        <v>321</v>
      </c>
      <c r="C38" s="78" t="s">
        <v>151</v>
      </c>
      <c r="D38" s="81" t="s">
        <v>286</v>
      </c>
      <c r="E38" s="79" t="s">
        <v>322</v>
      </c>
      <c r="F38" s="79"/>
    </row>
    <row r="39" customFormat="false" ht="25.5" hidden="false" customHeight="true" outlineLevel="0" collapsed="false">
      <c r="B39" s="74" t="s">
        <v>323</v>
      </c>
      <c r="C39" s="75" t="s">
        <v>152</v>
      </c>
      <c r="D39" s="74" t="s">
        <v>295</v>
      </c>
      <c r="E39" s="76"/>
      <c r="F39" s="76"/>
    </row>
    <row r="40" customFormat="false" ht="25.5" hidden="false" customHeight="true" outlineLevel="0" collapsed="false">
      <c r="B40" s="77" t="s">
        <v>324</v>
      </c>
      <c r="C40" s="78" t="s">
        <v>153</v>
      </c>
      <c r="D40" s="81" t="s">
        <v>286</v>
      </c>
      <c r="E40" s="79" t="s">
        <v>325</v>
      </c>
      <c r="F40" s="79"/>
    </row>
    <row r="41" customFormat="false" ht="25.5" hidden="false" customHeight="true" outlineLevel="0" collapsed="false">
      <c r="B41" s="74" t="s">
        <v>326</v>
      </c>
      <c r="C41" s="75" t="s">
        <v>154</v>
      </c>
      <c r="D41" s="80" t="s">
        <v>286</v>
      </c>
      <c r="E41" s="76" t="s">
        <v>327</v>
      </c>
      <c r="F41" s="76"/>
    </row>
    <row r="42" customFormat="false" ht="25.5" hidden="false" customHeight="true" outlineLevel="0" collapsed="false">
      <c r="B42" s="77" t="s">
        <v>328</v>
      </c>
      <c r="C42" s="78" t="s">
        <v>155</v>
      </c>
      <c r="D42" s="77" t="s">
        <v>282</v>
      </c>
      <c r="E42" s="79" t="s">
        <v>329</v>
      </c>
      <c r="F42" s="79"/>
    </row>
    <row r="43" customFormat="false" ht="25.5" hidden="false" customHeight="true" outlineLevel="0" collapsed="false">
      <c r="B43" s="74" t="s">
        <v>330</v>
      </c>
      <c r="C43" s="75" t="s">
        <v>156</v>
      </c>
      <c r="D43" s="80" t="s">
        <v>286</v>
      </c>
      <c r="E43" s="76" t="s">
        <v>331</v>
      </c>
      <c r="F43" s="76"/>
    </row>
    <row r="44" customFormat="false" ht="25.5" hidden="false" customHeight="true" outlineLevel="0" collapsed="false">
      <c r="B44" s="77" t="s">
        <v>332</v>
      </c>
      <c r="C44" s="78" t="s">
        <v>157</v>
      </c>
      <c r="D44" s="81" t="s">
        <v>286</v>
      </c>
      <c r="E44" s="79" t="s">
        <v>333</v>
      </c>
      <c r="F44" s="79"/>
    </row>
    <row r="45" customFormat="false" ht="25.5" hidden="false" customHeight="true" outlineLevel="0" collapsed="false">
      <c r="B45" s="74" t="s">
        <v>334</v>
      </c>
      <c r="C45" s="75" t="s">
        <v>335</v>
      </c>
      <c r="D45" s="80" t="s">
        <v>286</v>
      </c>
      <c r="E45" s="76" t="s">
        <v>333</v>
      </c>
      <c r="F45" s="76"/>
    </row>
    <row r="46" customFormat="false" ht="25.5" hidden="false" customHeight="true" outlineLevel="0" collapsed="false">
      <c r="B46" s="77" t="s">
        <v>336</v>
      </c>
      <c r="C46" s="78" t="s">
        <v>337</v>
      </c>
      <c r="D46" s="81" t="s">
        <v>286</v>
      </c>
      <c r="E46" s="79" t="s">
        <v>333</v>
      </c>
      <c r="F46" s="79"/>
    </row>
    <row r="47" customFormat="false" ht="25.5" hidden="false" customHeight="true" outlineLevel="0" collapsed="false">
      <c r="B47" s="74" t="s">
        <v>338</v>
      </c>
      <c r="C47" s="75" t="s">
        <v>228</v>
      </c>
      <c r="D47" s="80" t="s">
        <v>286</v>
      </c>
      <c r="E47" s="76" t="s">
        <v>339</v>
      </c>
      <c r="F47" s="76"/>
    </row>
    <row r="48" customFormat="false" ht="25.5" hidden="false" customHeight="true" outlineLevel="0" collapsed="false">
      <c r="B48" s="77" t="s">
        <v>340</v>
      </c>
      <c r="C48" s="78" t="s">
        <v>161</v>
      </c>
      <c r="D48" s="81" t="s">
        <v>286</v>
      </c>
      <c r="E48" s="79" t="s">
        <v>341</v>
      </c>
      <c r="F48" s="79"/>
    </row>
    <row r="49" customFormat="false" ht="25.5" hidden="false" customHeight="true" outlineLevel="0" collapsed="false">
      <c r="B49" s="74" t="s">
        <v>342</v>
      </c>
      <c r="C49" s="75" t="s">
        <v>162</v>
      </c>
      <c r="D49" s="80" t="s">
        <v>286</v>
      </c>
      <c r="E49" s="76"/>
      <c r="F49" s="76"/>
    </row>
    <row r="50" customFormat="false" ht="25.5" hidden="false" customHeight="true" outlineLevel="0" collapsed="false">
      <c r="B50" s="77" t="s">
        <v>343</v>
      </c>
      <c r="C50" s="78" t="s">
        <v>163</v>
      </c>
      <c r="D50" s="81" t="s">
        <v>286</v>
      </c>
      <c r="E50" s="79"/>
      <c r="F50" s="79"/>
    </row>
    <row r="51" customFormat="false" ht="25.5" hidden="false" customHeight="true" outlineLevel="0" collapsed="false">
      <c r="B51" s="74" t="s">
        <v>344</v>
      </c>
      <c r="C51" s="75" t="s">
        <v>164</v>
      </c>
      <c r="D51" s="80" t="s">
        <v>286</v>
      </c>
      <c r="E51" s="76"/>
      <c r="F51" s="76"/>
    </row>
    <row r="52" customFormat="false" ht="25.5" hidden="false" customHeight="true" outlineLevel="0" collapsed="false">
      <c r="B52" s="77" t="s">
        <v>345</v>
      </c>
      <c r="C52" s="78" t="s">
        <v>165</v>
      </c>
      <c r="D52" s="81" t="s">
        <v>286</v>
      </c>
      <c r="E52" s="79"/>
      <c r="F52" s="79"/>
    </row>
    <row r="53" customFormat="false" ht="25.5" hidden="false" customHeight="true" outlineLevel="0" collapsed="false">
      <c r="B53" s="74" t="s">
        <v>346</v>
      </c>
      <c r="C53" s="75" t="s">
        <v>166</v>
      </c>
      <c r="D53" s="80" t="s">
        <v>286</v>
      </c>
      <c r="E53" s="76"/>
      <c r="F53" s="76"/>
    </row>
    <row r="54" customFormat="false" ht="25.5" hidden="false" customHeight="true" outlineLevel="0" collapsed="false">
      <c r="B54" s="77" t="s">
        <v>347</v>
      </c>
      <c r="C54" s="78" t="s">
        <v>167</v>
      </c>
      <c r="D54" s="81" t="s">
        <v>286</v>
      </c>
      <c r="E54" s="79" t="s">
        <v>348</v>
      </c>
      <c r="F54" s="79"/>
    </row>
    <row r="55" customFormat="false" ht="25.5" hidden="false" customHeight="true" outlineLevel="0" collapsed="false">
      <c r="B55" s="74" t="s">
        <v>349</v>
      </c>
      <c r="C55" s="75" t="s">
        <v>168</v>
      </c>
      <c r="D55" s="80" t="s">
        <v>286</v>
      </c>
      <c r="E55" s="76" t="s">
        <v>350</v>
      </c>
      <c r="F55" s="76"/>
    </row>
    <row r="56" customFormat="false" ht="25.5" hidden="false" customHeight="true" outlineLevel="0" collapsed="false">
      <c r="B56" s="77" t="s">
        <v>351</v>
      </c>
      <c r="C56" s="78" t="s">
        <v>169</v>
      </c>
      <c r="D56" s="81" t="s">
        <v>286</v>
      </c>
      <c r="E56" s="79" t="s">
        <v>352</v>
      </c>
      <c r="F56" s="79"/>
    </row>
    <row r="57" customFormat="false" ht="25.5" hidden="false" customHeight="true" outlineLevel="0" collapsed="false">
      <c r="B57" s="74" t="s">
        <v>353</v>
      </c>
      <c r="C57" s="75" t="s">
        <v>170</v>
      </c>
      <c r="D57" s="74" t="s">
        <v>282</v>
      </c>
      <c r="E57" s="76"/>
      <c r="F57" s="76"/>
    </row>
    <row r="58" customFormat="false" ht="25.5" hidden="false" customHeight="true" outlineLevel="0" collapsed="false">
      <c r="B58" s="77" t="s">
        <v>354</v>
      </c>
      <c r="C58" s="78" t="s">
        <v>171</v>
      </c>
      <c r="D58" s="77" t="s">
        <v>282</v>
      </c>
      <c r="E58" s="79"/>
      <c r="F58" s="79"/>
    </row>
    <row r="59" customFormat="false" ht="25.5" hidden="false" customHeight="true" outlineLevel="0" collapsed="false">
      <c r="B59" s="74" t="s">
        <v>355</v>
      </c>
      <c r="C59" s="75" t="s">
        <v>172</v>
      </c>
      <c r="D59" s="74" t="s">
        <v>276</v>
      </c>
      <c r="E59" s="76"/>
      <c r="F59" s="76"/>
    </row>
  </sheetData>
  <mergeCells count="57">
    <mergeCell ref="A1:F1"/>
    <mergeCell ref="A2:F2"/>
    <mergeCell ref="E5:F5"/>
    <mergeCell ref="E6:F6"/>
    <mergeCell ref="E7:F7"/>
    <mergeCell ref="E8:F8"/>
    <mergeCell ref="E9:F9"/>
    <mergeCell ref="E10:F10"/>
    <mergeCell ref="E11:F11"/>
    <mergeCell ref="E12:F12"/>
    <mergeCell ref="E13:F13"/>
    <mergeCell ref="E14:F14"/>
    <mergeCell ref="E15:F15"/>
    <mergeCell ref="E16:F16"/>
    <mergeCell ref="E17:F17"/>
    <mergeCell ref="E18:F18"/>
    <mergeCell ref="E19:F19"/>
    <mergeCell ref="E20:F20"/>
    <mergeCell ref="E21:F21"/>
    <mergeCell ref="E22:F22"/>
    <mergeCell ref="E23:F23"/>
    <mergeCell ref="E24:F24"/>
    <mergeCell ref="E25:F25"/>
    <mergeCell ref="E26:F26"/>
    <mergeCell ref="E27:F27"/>
    <mergeCell ref="E28:F28"/>
    <mergeCell ref="E29:F29"/>
    <mergeCell ref="E30:F30"/>
    <mergeCell ref="E31:F31"/>
    <mergeCell ref="E32:F32"/>
    <mergeCell ref="E33:F33"/>
    <mergeCell ref="E34:F34"/>
    <mergeCell ref="E35:F35"/>
    <mergeCell ref="E36:F36"/>
    <mergeCell ref="E37:F37"/>
    <mergeCell ref="E38:F38"/>
    <mergeCell ref="E39:F39"/>
    <mergeCell ref="E40:F40"/>
    <mergeCell ref="E41:F41"/>
    <mergeCell ref="E42:F42"/>
    <mergeCell ref="E43:F43"/>
    <mergeCell ref="E44:F44"/>
    <mergeCell ref="E45:F45"/>
    <mergeCell ref="E46:F46"/>
    <mergeCell ref="E47:F47"/>
    <mergeCell ref="E48:F48"/>
    <mergeCell ref="E49:F49"/>
    <mergeCell ref="E50:F50"/>
    <mergeCell ref="E51:F51"/>
    <mergeCell ref="E52:F52"/>
    <mergeCell ref="E53:F53"/>
    <mergeCell ref="E54:F54"/>
    <mergeCell ref="E55:F55"/>
    <mergeCell ref="E56:F56"/>
    <mergeCell ref="E57:F57"/>
    <mergeCell ref="E58:F58"/>
    <mergeCell ref="E59:F5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1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5703125" defaultRowHeight="15" zeroHeight="false" outlineLevelRow="0" outlineLevelCol="0"/>
  <cols>
    <col collapsed="false" customWidth="true" hidden="false" outlineLevel="0" max="1" min="1" style="0" width="26"/>
    <col collapsed="false" customWidth="true" hidden="false" outlineLevel="0" max="2" min="2" style="0" width="27"/>
    <col collapsed="false" customWidth="true" hidden="false" outlineLevel="0" max="3" min="3" style="0" width="18"/>
    <col collapsed="false" customWidth="true" hidden="false" outlineLevel="0" max="4" min="4" style="0" width="42"/>
    <col collapsed="false" customWidth="true" hidden="false" outlineLevel="0" max="5" min="5" style="0" width="36"/>
    <col collapsed="false" customWidth="true" hidden="false" outlineLevel="0" max="6" min="6" style="0" width="18"/>
    <col collapsed="false" customWidth="true" hidden="false" outlineLevel="0" max="7" min="7" style="0" width="42"/>
    <col collapsed="false" customWidth="true" hidden="false" outlineLevel="0" max="11" min="8" style="0" width="18"/>
  </cols>
  <sheetData>
    <row r="1" customFormat="false" ht="25.5" hidden="false" customHeight="true" outlineLevel="0" collapsed="false">
      <c r="A1" s="1" t="s">
        <v>356</v>
      </c>
      <c r="B1" s="1"/>
      <c r="C1" s="1"/>
      <c r="D1" s="1"/>
      <c r="E1" s="1"/>
      <c r="F1" s="1"/>
      <c r="G1" s="1"/>
      <c r="H1" s="1"/>
      <c r="I1" s="1"/>
      <c r="J1" s="1"/>
      <c r="K1" s="1"/>
      <c r="L1" s="1"/>
      <c r="M1" s="1"/>
      <c r="N1" s="1"/>
    </row>
    <row r="2" customFormat="false" ht="15" hidden="false" customHeight="true" outlineLevel="0" collapsed="false">
      <c r="A2" s="2" t="s">
        <v>357</v>
      </c>
      <c r="B2" s="2"/>
      <c r="C2" s="2"/>
      <c r="D2" s="2"/>
      <c r="E2" s="2"/>
      <c r="F2" s="2"/>
      <c r="G2" s="2"/>
      <c r="H2" s="2"/>
      <c r="I2" s="2"/>
      <c r="J2" s="2"/>
      <c r="K2" s="2"/>
      <c r="L2" s="2"/>
      <c r="M2" s="2"/>
      <c r="N2" s="2"/>
    </row>
    <row r="4" customFormat="false" ht="30" hidden="false" customHeight="true" outlineLevel="0" collapsed="false">
      <c r="A4" s="17" t="s">
        <v>358</v>
      </c>
      <c r="B4" s="17" t="s">
        <v>359</v>
      </c>
      <c r="C4" s="17" t="s">
        <v>360</v>
      </c>
      <c r="D4" s="17" t="s">
        <v>361</v>
      </c>
      <c r="E4" s="17" t="s">
        <v>362</v>
      </c>
      <c r="F4" s="17" t="s">
        <v>363</v>
      </c>
      <c r="G4" s="17" t="s">
        <v>364</v>
      </c>
      <c r="H4" s="17" t="s">
        <v>365</v>
      </c>
      <c r="I4" s="17" t="s">
        <v>295</v>
      </c>
      <c r="J4" s="17" t="s">
        <v>366</v>
      </c>
      <c r="K4" s="17" t="s">
        <v>367</v>
      </c>
    </row>
    <row r="5" customFormat="false" ht="15" hidden="false" customHeight="true" outlineLevel="0" collapsed="false">
      <c r="A5" s="63" t="s">
        <v>178</v>
      </c>
      <c r="B5" s="63" t="s">
        <v>177</v>
      </c>
      <c r="C5" s="63" t="s">
        <v>183</v>
      </c>
      <c r="D5" s="63" t="s">
        <v>368</v>
      </c>
      <c r="E5" s="63" t="s">
        <v>190</v>
      </c>
      <c r="F5" s="63" t="s">
        <v>369</v>
      </c>
      <c r="G5" s="63" t="s">
        <v>370</v>
      </c>
      <c r="H5" s="63" t="s">
        <v>371</v>
      </c>
      <c r="I5" s="63" t="s">
        <v>58</v>
      </c>
      <c r="J5" s="63" t="s">
        <v>196</v>
      </c>
      <c r="K5" s="63" t="s">
        <v>194</v>
      </c>
    </row>
    <row r="6" customFormat="false" ht="15" hidden="false" customHeight="true" outlineLevel="0" collapsed="false">
      <c r="A6" s="63" t="s">
        <v>372</v>
      </c>
      <c r="B6" s="63" t="s">
        <v>373</v>
      </c>
      <c r="C6" s="63" t="s">
        <v>374</v>
      </c>
      <c r="D6" s="63" t="s">
        <v>375</v>
      </c>
      <c r="E6" s="63" t="s">
        <v>376</v>
      </c>
      <c r="F6" s="63" t="s">
        <v>377</v>
      </c>
      <c r="G6" s="63" t="s">
        <v>378</v>
      </c>
      <c r="H6" s="63" t="s">
        <v>195</v>
      </c>
      <c r="I6" s="63" t="s">
        <v>379</v>
      </c>
      <c r="J6" s="63" t="s">
        <v>380</v>
      </c>
      <c r="K6" s="63" t="s">
        <v>381</v>
      </c>
    </row>
    <row r="7" customFormat="false" ht="15" hidden="false" customHeight="true" outlineLevel="0" collapsed="false">
      <c r="A7" s="63" t="s">
        <v>382</v>
      </c>
      <c r="B7" s="63" t="s">
        <v>383</v>
      </c>
      <c r="D7" s="63" t="s">
        <v>182</v>
      </c>
      <c r="E7" s="63" t="s">
        <v>384</v>
      </c>
      <c r="F7" s="63" t="s">
        <v>192</v>
      </c>
      <c r="G7" s="63" t="s">
        <v>188</v>
      </c>
      <c r="H7" s="63" t="s">
        <v>385</v>
      </c>
      <c r="I7" s="63" t="s">
        <v>386</v>
      </c>
      <c r="K7" s="63" t="s">
        <v>387</v>
      </c>
    </row>
    <row r="8" customFormat="false" ht="15" hidden="false" customHeight="true" outlineLevel="0" collapsed="false">
      <c r="A8" s="63" t="s">
        <v>388</v>
      </c>
      <c r="B8" s="63" t="s">
        <v>389</v>
      </c>
      <c r="D8" s="63" t="s">
        <v>390</v>
      </c>
      <c r="E8" s="63" t="s">
        <v>391</v>
      </c>
      <c r="F8" s="63" t="s">
        <v>392</v>
      </c>
      <c r="G8" s="63" t="s">
        <v>393</v>
      </c>
      <c r="H8" s="63" t="s">
        <v>394</v>
      </c>
      <c r="I8" s="63" t="s">
        <v>395</v>
      </c>
    </row>
    <row r="9" customFormat="false" ht="15" hidden="false" customHeight="true" outlineLevel="0" collapsed="false">
      <c r="A9" s="63" t="s">
        <v>396</v>
      </c>
      <c r="B9" s="63" t="s">
        <v>397</v>
      </c>
      <c r="D9" s="63" t="s">
        <v>398</v>
      </c>
      <c r="F9" s="63" t="s">
        <v>399</v>
      </c>
      <c r="G9" s="63" t="s">
        <v>400</v>
      </c>
    </row>
    <row r="10" customFormat="false" ht="15" hidden="false" customHeight="true" outlineLevel="0" collapsed="false">
      <c r="A10" s="63" t="s">
        <v>401</v>
      </c>
      <c r="B10" s="63" t="s">
        <v>402</v>
      </c>
      <c r="D10" s="63" t="s">
        <v>403</v>
      </c>
      <c r="F10" s="63" t="s">
        <v>404</v>
      </c>
      <c r="G10" s="63" t="s">
        <v>405</v>
      </c>
    </row>
    <row r="11" customFormat="false" ht="15" hidden="false" customHeight="true" outlineLevel="0" collapsed="false">
      <c r="A11" s="63" t="s">
        <v>406</v>
      </c>
      <c r="B11" s="63" t="s">
        <v>407</v>
      </c>
      <c r="D11" s="63" t="s">
        <v>203</v>
      </c>
      <c r="G11" s="63" t="s">
        <v>408</v>
      </c>
    </row>
    <row r="12" customFormat="false" ht="15" hidden="false" customHeight="true" outlineLevel="0" collapsed="false">
      <c r="D12" s="63" t="s">
        <v>409</v>
      </c>
      <c r="G12" s="63" t="s">
        <v>410</v>
      </c>
    </row>
    <row r="13" customFormat="false" ht="15" hidden="false" customHeight="true" outlineLevel="0" collapsed="false">
      <c r="D13" s="63" t="s">
        <v>411</v>
      </c>
      <c r="G13" s="63" t="s">
        <v>412</v>
      </c>
    </row>
    <row r="14" customFormat="false" ht="15" hidden="false" customHeight="true" outlineLevel="0" collapsed="false">
      <c r="D14" s="63" t="s">
        <v>413</v>
      </c>
      <c r="G14" s="63" t="s">
        <v>414</v>
      </c>
    </row>
    <row r="15" customFormat="false" ht="15" hidden="false" customHeight="true" outlineLevel="0" collapsed="false">
      <c r="D15" s="63" t="s">
        <v>415</v>
      </c>
      <c r="G15" s="63" t="s">
        <v>416</v>
      </c>
    </row>
    <row r="16" customFormat="false" ht="15" hidden="false" customHeight="true" outlineLevel="0" collapsed="false">
      <c r="D16" s="63" t="s">
        <v>417</v>
      </c>
      <c r="G16" s="63" t="s">
        <v>418</v>
      </c>
    </row>
  </sheetData>
  <mergeCells count="2">
    <mergeCell ref="A1:N1"/>
    <mergeCell ref="A2:N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sheetData>
    <row r="1" customFormat="false" ht="15" hidden="false" customHeight="false" outlineLevel="0" collapsed="false">
      <c r="A1" s="0" t="s">
        <v>356</v>
      </c>
    </row>
    <row r="2" customFormat="false" ht="15" hidden="false" customHeight="false" outlineLevel="0" collapsed="false">
      <c r="A2" s="0" t="s">
        <v>357</v>
      </c>
    </row>
    <row r="4" customFormat="false" ht="15" hidden="false" customHeight="false" outlineLevel="0" collapsed="false">
      <c r="A4" s="0" t="s">
        <v>358</v>
      </c>
      <c r="B4" s="0" t="s">
        <v>359</v>
      </c>
      <c r="C4" s="0" t="s">
        <v>360</v>
      </c>
      <c r="D4" s="0" t="s">
        <v>361</v>
      </c>
      <c r="E4" s="0" t="s">
        <v>362</v>
      </c>
      <c r="F4" s="0" t="s">
        <v>363</v>
      </c>
      <c r="G4" s="0" t="s">
        <v>364</v>
      </c>
      <c r="H4" s="0" t="s">
        <v>365</v>
      </c>
      <c r="I4" s="0" t="s">
        <v>295</v>
      </c>
      <c r="J4" s="0" t="s">
        <v>366</v>
      </c>
      <c r="K4" s="0" t="s">
        <v>367</v>
      </c>
      <c r="M4" s="0" t="s">
        <v>364</v>
      </c>
      <c r="N4" s="0" t="s">
        <v>137</v>
      </c>
      <c r="P4" s="0" t="s">
        <v>419</v>
      </c>
      <c r="Q4" s="0" t="s">
        <v>420</v>
      </c>
    </row>
    <row r="5" customFormat="false" ht="15" hidden="false" customHeight="false" outlineLevel="0" collapsed="false">
      <c r="A5" s="0" t="s">
        <v>178</v>
      </c>
      <c r="B5" s="0" t="s">
        <v>177</v>
      </c>
      <c r="C5" s="0" t="s">
        <v>183</v>
      </c>
      <c r="D5" s="0" t="s">
        <v>368</v>
      </c>
      <c r="E5" s="0" t="s">
        <v>190</v>
      </c>
      <c r="F5" s="0" t="s">
        <v>369</v>
      </c>
      <c r="G5" s="0" t="s">
        <v>370</v>
      </c>
      <c r="H5" s="0" t="s">
        <v>371</v>
      </c>
      <c r="I5" s="0" t="s">
        <v>58</v>
      </c>
      <c r="J5" s="0" t="s">
        <v>196</v>
      </c>
      <c r="K5" s="0" t="s">
        <v>194</v>
      </c>
      <c r="M5" s="0" t="s">
        <v>370</v>
      </c>
      <c r="N5" s="0" t="n">
        <v>3</v>
      </c>
      <c r="P5" s="0" t="s">
        <v>421</v>
      </c>
      <c r="Q5" s="0" t="n">
        <v>0.0018</v>
      </c>
    </row>
    <row r="6" customFormat="false" ht="15" hidden="false" customHeight="false" outlineLevel="0" collapsed="false">
      <c r="A6" s="0" t="s">
        <v>372</v>
      </c>
      <c r="B6" s="0" t="s">
        <v>373</v>
      </c>
      <c r="C6" s="0" t="s">
        <v>374</v>
      </c>
      <c r="D6" s="0" t="s">
        <v>375</v>
      </c>
      <c r="E6" s="0" t="s">
        <v>376</v>
      </c>
      <c r="F6" s="0" t="s">
        <v>377</v>
      </c>
      <c r="G6" s="0" t="s">
        <v>378</v>
      </c>
      <c r="H6" s="0" t="s">
        <v>195</v>
      </c>
      <c r="I6" s="0" t="s">
        <v>379</v>
      </c>
      <c r="J6" s="0" t="s">
        <v>380</v>
      </c>
      <c r="K6" s="0" t="s">
        <v>381</v>
      </c>
      <c r="M6" s="0" t="s">
        <v>378</v>
      </c>
      <c r="N6" s="0" t="n">
        <v>2.1</v>
      </c>
      <c r="P6" s="0" t="s">
        <v>422</v>
      </c>
      <c r="Q6" s="0" t="n">
        <v>350</v>
      </c>
    </row>
    <row r="7" customFormat="false" ht="15" hidden="false" customHeight="false" outlineLevel="0" collapsed="false">
      <c r="A7" s="0" t="s">
        <v>382</v>
      </c>
      <c r="B7" s="0" t="s">
        <v>383</v>
      </c>
      <c r="D7" s="0" t="s">
        <v>182</v>
      </c>
      <c r="E7" s="0" t="s">
        <v>384</v>
      </c>
      <c r="F7" s="0" t="s">
        <v>192</v>
      </c>
      <c r="G7" s="0" t="s">
        <v>188</v>
      </c>
      <c r="H7" s="0" t="s">
        <v>385</v>
      </c>
      <c r="I7" s="0" t="s">
        <v>386</v>
      </c>
      <c r="K7" s="0" t="s">
        <v>387</v>
      </c>
      <c r="M7" s="0" t="s">
        <v>188</v>
      </c>
      <c r="N7" s="0" t="n">
        <v>1.4</v>
      </c>
      <c r="P7" s="0" t="s">
        <v>423</v>
      </c>
      <c r="Q7" s="0" t="n">
        <v>250</v>
      </c>
    </row>
    <row r="8" customFormat="false" ht="15" hidden="false" customHeight="false" outlineLevel="0" collapsed="false">
      <c r="A8" s="0" t="s">
        <v>388</v>
      </c>
      <c r="B8" s="0" t="s">
        <v>389</v>
      </c>
      <c r="D8" s="0" t="s">
        <v>390</v>
      </c>
      <c r="E8" s="0" t="s">
        <v>391</v>
      </c>
      <c r="F8" s="0" t="s">
        <v>392</v>
      </c>
      <c r="G8" s="0" t="s">
        <v>393</v>
      </c>
      <c r="H8" s="0" t="s">
        <v>394</v>
      </c>
      <c r="I8" s="0" t="s">
        <v>395</v>
      </c>
      <c r="M8" s="0" t="s">
        <v>393</v>
      </c>
      <c r="N8" s="0" t="n">
        <v>0.85</v>
      </c>
      <c r="P8" s="0" t="s">
        <v>424</v>
      </c>
      <c r="Q8" s="0" t="n">
        <v>1000000</v>
      </c>
    </row>
    <row r="9" customFormat="false" ht="15" hidden="false" customHeight="false" outlineLevel="0" collapsed="false">
      <c r="A9" s="0" t="s">
        <v>396</v>
      </c>
      <c r="B9" s="0" t="s">
        <v>397</v>
      </c>
      <c r="D9" s="0" t="s">
        <v>398</v>
      </c>
      <c r="F9" s="0" t="s">
        <v>399</v>
      </c>
      <c r="G9" s="0" t="s">
        <v>400</v>
      </c>
      <c r="M9" s="0" t="s">
        <v>400</v>
      </c>
      <c r="N9" s="0" t="n">
        <v>2.4</v>
      </c>
    </row>
    <row r="10" customFormat="false" ht="15" hidden="false" customHeight="false" outlineLevel="0" collapsed="false">
      <c r="A10" s="0" t="s">
        <v>401</v>
      </c>
      <c r="B10" s="0" t="s">
        <v>402</v>
      </c>
      <c r="D10" s="0" t="s">
        <v>403</v>
      </c>
      <c r="F10" s="0" t="s">
        <v>404</v>
      </c>
      <c r="G10" s="0" t="s">
        <v>405</v>
      </c>
      <c r="M10" s="0" t="s">
        <v>405</v>
      </c>
      <c r="N10" s="0" t="n">
        <v>1.5</v>
      </c>
      <c r="P10" s="0" t="s">
        <v>425</v>
      </c>
    </row>
    <row r="11" customFormat="false" ht="15" hidden="false" customHeight="false" outlineLevel="0" collapsed="false">
      <c r="A11" s="0" t="s">
        <v>406</v>
      </c>
      <c r="B11" s="0" t="s">
        <v>407</v>
      </c>
      <c r="D11" s="0" t="s">
        <v>203</v>
      </c>
      <c r="G11" s="0" t="s">
        <v>408</v>
      </c>
      <c r="M11" s="0" t="s">
        <v>408</v>
      </c>
      <c r="N11" s="0" t="n">
        <v>2.6</v>
      </c>
    </row>
    <row r="12" customFormat="false" ht="15" hidden="false" customHeight="false" outlineLevel="0" collapsed="false">
      <c r="D12" s="0" t="s">
        <v>409</v>
      </c>
      <c r="G12" s="0" t="s">
        <v>410</v>
      </c>
      <c r="M12" s="0" t="s">
        <v>410</v>
      </c>
      <c r="N12" s="0" t="n">
        <v>1.3</v>
      </c>
    </row>
    <row r="13" customFormat="false" ht="15" hidden="false" customHeight="false" outlineLevel="0" collapsed="false">
      <c r="D13" s="0" t="s">
        <v>411</v>
      </c>
      <c r="G13" s="0" t="s">
        <v>412</v>
      </c>
      <c r="M13" s="0" t="s">
        <v>412</v>
      </c>
      <c r="N13" s="0" t="n">
        <v>1.8</v>
      </c>
    </row>
    <row r="14" customFormat="false" ht="15" hidden="false" customHeight="false" outlineLevel="0" collapsed="false">
      <c r="D14" s="0" t="s">
        <v>413</v>
      </c>
      <c r="G14" s="0" t="s">
        <v>414</v>
      </c>
      <c r="M14" s="0" t="s">
        <v>414</v>
      </c>
      <c r="N14" s="0" t="n">
        <v>2.8</v>
      </c>
    </row>
    <row r="15" customFormat="false" ht="15" hidden="false" customHeight="false" outlineLevel="0" collapsed="false">
      <c r="D15" s="0" t="s">
        <v>415</v>
      </c>
      <c r="G15" s="0" t="s">
        <v>416</v>
      </c>
      <c r="M15" s="0" t="s">
        <v>416</v>
      </c>
      <c r="N15" s="0" t="n">
        <v>0.9</v>
      </c>
    </row>
    <row r="16" customFormat="false" ht="15" hidden="false" customHeight="false" outlineLevel="0" collapsed="false">
      <c r="D16" s="0" t="s">
        <v>417</v>
      </c>
      <c r="G16" s="0" t="s">
        <v>418</v>
      </c>
      <c r="M16" s="0" t="s">
        <v>418</v>
      </c>
      <c r="N16" s="0" t="n">
        <v>0.45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2026-08-28T19:27:55Z</dcterms:created>
  <dc:creator>openpyxl</dc:creator>
  <dc:description/>
  <dc:language>en-US</dc:language>
  <cp:lastModifiedBy>Joshua Broedel</cp:lastModifiedBy>
  <dcterms:modified xsi:type="dcterms:W3CDTF">2026-09-02T20:23:26Z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