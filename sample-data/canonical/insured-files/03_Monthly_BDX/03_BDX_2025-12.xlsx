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Header" sheetId="2" state="visible" r:id="rId4"/>
    <sheet name="UW Bordereaux" sheetId="3" state="visible" r:id="rId5"/>
    <sheet name="Reconciliation" sheetId="4" state="visible" r:id="rId6"/>
    <sheet name="Field Definitions" sheetId="5" state="visible" r:id="rId7"/>
    <sheet name="Lists" sheetId="6" state="visible" r:id="rId8"/>
    <sheet name="Lists1"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<sst xmlns="http://schemas.openxmlformats.org/spreadsheetml/2006/main" count="619" uniqueCount="407">
  <si>
    <t xml:space="preserve">EXOTIC &amp; COLLECTOR AUTOMOBILE MGA  —  UNDERWRITING BORDEREAUX</t>
  </si>
  <si>
    <t xml:space="preserve">Monthly delegated authority underwriting reporting to the Lloyd's syndicate panel. Distinct from the claims bordereaux — this reports bound policies, not claims.</t>
  </si>
  <si>
    <t xml:space="preserve">SHEETS IN THIS WORKBOOK</t>
  </si>
  <si>
    <t xml:space="preserve">Header</t>
  </si>
  <si>
    <t xml:space="preserve">Contract identification, reporting period, binding and discount authority limits, syndicate participation table, and a live submission control summary linking to the bordereaux data.</t>
  </si>
  <si>
    <t xml:space="preserve">UW Bordereaux</t>
  </si>
  <si>
    <t xml:space="preserve">The data sheet. One row per policy per reporting period. 56 columns, 200 pre-formatted rows. Blue columns are for entry; grey columns calculate. Report every risk — new business, renewals, endorsements, cancellations.</t>
  </si>
  <si>
    <t xml:space="preserve">Reconciliation</t>
  </si>
  <si>
    <t xml:space="preserve">Premium reconciliation (GWP minus commission equals net to capacity; total due reconciles through fees and tax) plus twelve automated submission control checks. Run before every submission.</t>
  </si>
  <si>
    <t xml:space="preserve">Field Definitions</t>
  </si>
  <si>
    <t xml:space="preserve">Every column explained with its population rule and source.</t>
  </si>
  <si>
    <t xml:space="preserve">Lists</t>
  </si>
  <si>
    <t xml:space="preserve">Source of every drop-down. Amend here to change available options.</t>
  </si>
  <si>
    <t xml:space="preserve">HOW THIS BORDEREAUX DIFFERS FROM THE CLAIMS BORDEREAUX</t>
  </si>
  <si>
    <t xml:space="preserve">-  The underwriting bordereaux reports POLICIES BOUND. The claims bordereaux reports CLAIMS NOTIFIED. Both go to the same syndicate panel under the same binding authority, but they are separate documents with separate submission schedules.</t>
  </si>
  <si>
    <t xml:space="preserve">-  The underwriting bordereaux is typically submitted monthly (or quarterly for lower-volume binders) and covers every risk bound, renewed, endorsed or cancelled in the period. It is the primary document the syndicates use to monitor premium volume, rate adequacy and class mix.</t>
  </si>
  <si>
    <t xml:space="preserve">-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</si>
  <si>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xml:space="preserve">-  This bordereaux does not feed the claims bdx automatically — the two documents are matched by certificate number and insured name at the syndicate level during the bureau reconciliation process.</t>
  </si>
  <si>
    <t xml:space="preserve">HOW TO USE</t>
  </si>
  <si>
    <t xml:space="preserve">-  Complete the Header sheet before the first submission: UMR, coverholder name, PIN, reporting period, authority limits. These cells carry through to every calculation in the bordereaux data sheet.</t>
  </si>
  <si>
    <t xml:space="preserve">-  Enter one row per policy. For endorsements and renewals, carry the original certificate number and set the movement type accordingly — do not create a new certificate number.</t>
  </si>
  <si>
    <t xml:space="preserve">-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</si>
  <si>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xml:space="preserve">-  Surplus lines tax rate (column AF) must be entered for every bound risk. The formula calculates the dollar amount, but the rate itself is your responsibility — verify it with the stamping office or your filing service before the bordereaux is sent.</t>
  </si>
  <si>
    <t xml:space="preserve">-  Run the Reconciliation sheet before every submission. Any FAIL must be resolved. A WARN on rate adequacy should be noted and explained to the lead syndicate; it does not block submission but will be questioned.</t>
  </si>
  <si>
    <t xml:space="preserve">-  Six specimen risks are pre-loaded to show the intended level of detail. Delete them before issuing to the syndicates.</t>
  </si>
  <si>
    <t xml:space="preserve">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</si>
  <si>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 xml:space="preserve">UNDERWRITING BORDEREAUX  —  HEADER AND SUBMISSION DETAILS</t>
  </si>
  <si>
    <t xml:space="preserve">Complete before every submission. These fields identify the contract and reporting period.</t>
  </si>
  <si>
    <t xml:space="preserve">Commission stack: 25% total = 12.5% broker + 12.5% Torque Underwriters (MGA). Net to capacity 75%.</t>
  </si>
  <si>
    <t xml:space="preserve">Total ceding</t>
  </si>
  <si>
    <t xml:space="preserve">Broker</t>
  </si>
  <si>
    <t xml:space="preserve">Torque (MGA)</t>
  </si>
  <si>
    <t xml:space="preserve">PC hurdle</t>
  </si>
  <si>
    <t xml:space="preserve">PC share</t>
  </si>
  <si>
    <t xml:space="preserve">SECTION A  —  CONTRACT IDENTIFICATION</t>
  </si>
  <si>
    <t xml:space="preserve">Unique Market Reference (UMR)</t>
  </si>
  <si>
    <t xml:space="preserve">B0999TQ260151</t>
  </si>
  <si>
    <t xml:space="preserve">Must match exactly on every submission and on every certificate issued under the binder.</t>
  </si>
  <si>
    <t xml:space="preserve">Binding authority reference</t>
  </si>
  <si>
    <t xml:space="preserve">BA-EXO-2026-01</t>
  </si>
  <si>
    <t xml:space="preserve">Coverholder name</t>
  </si>
  <si>
    <t xml:space="preserve">Torque Underwriters LLC</t>
  </si>
  <si>
    <t xml:space="preserve">Lloyd's coverholder PIN</t>
  </si>
  <si>
    <t xml:space="preserve">TQ-COV-0000</t>
  </si>
  <si>
    <t xml:space="preserve">Issued on coverholder approval. Required on every submission.</t>
  </si>
  <si>
    <t xml:space="preserve">Risk code</t>
  </si>
  <si>
    <t xml:space="preserve">MT</t>
  </si>
  <si>
    <t xml:space="preserve">Lloyd's risk code. MT = Motor. Confirm with your Lloyd's broker.</t>
  </si>
  <si>
    <t xml:space="preserve">Year of account</t>
  </si>
  <si>
    <t xml:space="preserve">Class of business</t>
  </si>
  <si>
    <t xml:space="preserve">Exotic, supercar and collector automobile</t>
  </si>
  <si>
    <t xml:space="preserve">Reporting period start</t>
  </si>
  <si>
    <t xml:space="preserve">Reporting period end</t>
  </si>
  <si>
    <t xml:space="preserve">Submission date</t>
  </si>
  <si>
    <t xml:space="preserve">Most binders require submission within 15–30 days of period end. Verify yours.</t>
  </si>
  <si>
    <t xml:space="preserve">Prepared by</t>
  </si>
  <si>
    <t xml:space="preserve">Torque Underwriters, Delegated Authority</t>
  </si>
  <si>
    <t xml:space="preserve">Reporting currency</t>
  </si>
  <si>
    <t xml:space="preserve">USD</t>
  </si>
  <si>
    <t xml:space="preserve">Settlement currency</t>
  </si>
  <si>
    <t xml:space="preserve">Coverholder binding authority limit (AV)</t>
  </si>
  <si>
    <t xml:space="preserve">Per Technical Premium row 16. Risks above this value require individual referral.</t>
  </si>
  <si>
    <t xml:space="preserve">Discount authority limit</t>
  </si>
  <si>
    <t xml:space="preserve">Per Technical Premium row 19. Risks priced beyond this require senior approval.</t>
  </si>
  <si>
    <t xml:space="preserve">Minimum premium per policy</t>
  </si>
  <si>
    <t xml:space="preserve">Confirm in the binding authority wording. Applies irrespective of the formula result.</t>
  </si>
  <si>
    <t xml:space="preserve">SECTION B  —  SYNDICATE PARTICIPATION AND SHARE ALLOCATION</t>
  </si>
  <si>
    <t xml:space="preserve">Syndicate</t>
  </si>
  <si>
    <t xml:space="preserve">Managing agent</t>
  </si>
  <si>
    <t xml:space="preserve">Line % (share of risk)</t>
  </si>
  <si>
    <t xml:space="preserve">GWP at line</t>
  </si>
  <si>
    <t xml:space="preserve">Technical prem at line</t>
  </si>
  <si>
    <t xml:space="preserve">NET TO CAPACITY at line</t>
  </si>
  <si>
    <t xml:space="preserve">2623 / 623</t>
  </si>
  <si>
    <t xml:space="preserve">Beazley Furlonge Ltd</t>
  </si>
  <si>
    <t xml:space="preserve">33</t>
  </si>
  <si>
    <t xml:space="preserve">Hiscox Syndicates Ltd</t>
  </si>
  <si>
    <t xml:space="preserve">1084</t>
  </si>
  <si>
    <t xml:space="preserve">Chaucer Syndicates Ltd</t>
  </si>
  <si>
    <t xml:space="preserve">4020</t>
  </si>
  <si>
    <t xml:space="preserve">Ark Syndicate Management</t>
  </si>
  <si>
    <t xml:space="preserve">2987</t>
  </si>
  <si>
    <t xml:space="preserve">Brit Syndicates Ltd</t>
  </si>
  <si>
    <t xml:space="preserve">4444</t>
  </si>
  <si>
    <t xml:space="preserve">Canopius Managing Agents</t>
  </si>
  <si>
    <t xml:space="preserve">1969</t>
  </si>
  <si>
    <t xml:space="preserve">Apollo Syndicate Management</t>
  </si>
  <si>
    <t xml:space="preserve">1274</t>
  </si>
  <si>
    <t xml:space="preserve">Antares Managing Agency</t>
  </si>
  <si>
    <t xml:space="preserve">2001</t>
  </si>
  <si>
    <t xml:space="preserve">MS Amlin Underwriting</t>
  </si>
  <si>
    <t xml:space="preserve">1414</t>
  </si>
  <si>
    <t xml:space="preserve">Ascot Underwriting Ltd</t>
  </si>
  <si>
    <t xml:space="preserve">PANEL TOTAL</t>
  </si>
  <si>
    <t xml:space="preserve">SECTION C  —  SUBMISSION CONTROL SUMMARY  (live from UW Bordereaux)</t>
  </si>
  <si>
    <t xml:space="preserve">Policies reported this period</t>
  </si>
  <si>
    <t xml:space="preserve">  of which bound</t>
  </si>
  <si>
    <t xml:space="preserve">  of which declined / lapsed</t>
  </si>
  <si>
    <t xml:space="preserve">TOTAL GWP BOUND</t>
  </si>
  <si>
    <t xml:space="preserve">TOTAL TECHNICAL PREMIUM</t>
  </si>
  <si>
    <t xml:space="preserve">PORTFOLIO RATE ADEQUACY</t>
  </si>
  <si>
    <t xml:space="preserve">Total net premium to capacity</t>
  </si>
  <si>
    <t xml:space="preserve">Total policy fees collected</t>
  </si>
  <si>
    <t xml:space="preserve">Total surplus lines tax collected</t>
  </si>
  <si>
    <t xml:space="preserve">Risks above auto-bind limit</t>
  </si>
  <si>
    <t xml:space="preserve">Risks bound beyond discount auth.</t>
  </si>
  <si>
    <t xml:space="preserve">Missing certificate numbers</t>
  </si>
  <si>
    <t xml:space="preserve">Rows failing mandatory checks</t>
  </si>
  <si>
    <t xml:space="preserve">UNDERWRITING BORDEREAUX</t>
  </si>
  <si>
    <t xml:space="preserve">One row per policy per reporting period. Blue columns are for entry; grey columns calculate from the Portfolio Register or from other inputs. Report every bound risk — new business, renewals and endorsements.</t>
  </si>
  <si>
    <t xml:space="preserve">POLICY IDENTIFICATION</t>
  </si>
  <si>
    <t xml:space="preserve">RISK DATA</t>
  </si>
  <si>
    <t xml:space="preserve">GARAGING &amp; CAT</t>
  </si>
  <si>
    <t xml:space="preserve">COVERAGE TERMS</t>
  </si>
  <si>
    <t xml:space="preserve">PREMIUM  —  100% GROSS</t>
  </si>
  <si>
    <t xml:space="preserve">COMMISSION &amp; NET</t>
  </si>
  <si>
    <t xml:space="preserve">RATING METRICS</t>
  </si>
  <si>
    <t xml:space="preserve">CONTROLS</t>
  </si>
  <si>
    <t xml:space="preserve">DATA QUALITY</t>
  </si>
  <si>
    <t xml:space="preserve">Certificate / policy ref</t>
  </si>
  <si>
    <t xml:space="preserve">Named insured</t>
  </si>
  <si>
    <t xml:space="preserve">Effective date</t>
  </si>
  <si>
    <t xml:space="preserve">Binding status</t>
  </si>
  <si>
    <t xml:space="preserve">Movement type</t>
  </si>
  <si>
    <t xml:space="preserve">UMR</t>
  </si>
  <si>
    <t xml:space="preserve">Vehicle year</t>
  </si>
  <si>
    <t xml:space="preserve">Make</t>
  </si>
  <si>
    <t xml:space="preserve">Model</t>
  </si>
  <si>
    <t xml:space="preserve">VIN / chassis</t>
  </si>
  <si>
    <t xml:space="preserve">Vehicle class</t>
  </si>
  <si>
    <t xml:space="preserve">Agreed value (USD)</t>
  </si>
  <si>
    <t xml:space="preserve">Policy type</t>
  </si>
  <si>
    <t xml:space="preserve">Usage description</t>
  </si>
  <si>
    <t xml:space="preserve">Annual mileage band</t>
  </si>
  <si>
    <t xml:space="preserve">Garaging state</t>
  </si>
  <si>
    <t xml:space="preserve">Garaging ZIP</t>
  </si>
  <si>
    <t xml:space="preserve">Catastrophe zone</t>
  </si>
  <si>
    <t xml:space="preserve">Zone multiplier</t>
  </si>
  <si>
    <t xml:space="preserve">Cat deductible</t>
  </si>
  <si>
    <t xml:space="preserve">Valuation basis</t>
  </si>
  <si>
    <t xml:space="preserve">PD deductible</t>
  </si>
  <si>
    <t xml:space="preserve">Liability limit (CSL)</t>
  </si>
  <si>
    <t xml:space="preserve">Endorsements / special terms</t>
  </si>
  <si>
    <t xml:space="preserve">Conditions</t>
  </si>
  <si>
    <t xml:space="preserve">Surplus lines / admitted</t>
  </si>
  <si>
    <t xml:space="preserve">Technical premium (100%)</t>
  </si>
  <si>
    <t xml:space="preserve">UW judgement adj %</t>
  </si>
  <si>
    <t xml:space="preserve">GROSS WRITTEN PREMIUM (100%)</t>
  </si>
  <si>
    <t xml:space="preserve">Policy fee (100%)</t>
  </si>
  <si>
    <t xml:space="preserve">Inspection / appraisal fee</t>
  </si>
  <si>
    <t xml:space="preserve">Surplus lines tax %</t>
  </si>
  <si>
    <t xml:space="preserve">Surplus lines tax $</t>
  </si>
  <si>
    <t xml:space="preserve">Stamping fee $</t>
  </si>
  <si>
    <t xml:space="preserve">TOTAL DUE FROM INSURED (100%)</t>
  </si>
  <si>
    <t xml:space="preserve">Rate adequacy check</t>
  </si>
  <si>
    <t xml:space="preserve">Bind band</t>
  </si>
  <si>
    <t xml:space="preserve">Total ceding commission %</t>
  </si>
  <si>
    <t xml:space="preserve">Commission $ (100%)</t>
  </si>
  <si>
    <t xml:space="preserve">Broker commission $ 12.5% (100%)</t>
  </si>
  <si>
    <t xml:space="preserve">Torque (MGA) commission $ 12.5% (100%)</t>
  </si>
  <si>
    <t xml:space="preserve">NET TO CAPACITY 75% (100%)</t>
  </si>
  <si>
    <t xml:space="preserve">GWP at signed line</t>
  </si>
  <si>
    <t xml:space="preserve">Tech prem at signed line</t>
  </si>
  <si>
    <t xml:space="preserve">Technical rate per $100</t>
  </si>
  <si>
    <t xml:space="preserve">Charged rate per $100</t>
  </si>
  <si>
    <t xml:space="preserve">Portfolio rate adequacy</t>
  </si>
  <si>
    <t xml:space="preserve">Profit commission accrual</t>
  </si>
  <si>
    <t xml:space="preserve">MANDATORY FIELD CHECK</t>
  </si>
  <si>
    <t xml:space="preserve">Above auto-bind limit?</t>
  </si>
  <si>
    <t xml:space="preserve">Min premium met?</t>
  </si>
  <si>
    <t xml:space="preserve">Surplus lines tax verified?</t>
  </si>
  <si>
    <t xml:space="preserve">Signed by approver?</t>
  </si>
  <si>
    <t xml:space="preserve">Notes</t>
  </si>
  <si>
    <t xml:space="preserve">Class / year consistency</t>
  </si>
  <si>
    <t xml:space="preserve">Row foots to GWP</t>
  </si>
  <si>
    <t xml:space="preserve">TQ-C-2026-0151</t>
  </si>
  <si>
    <t xml:space="preserve">Cassius Blackwood</t>
  </si>
  <si>
    <t xml:space="preserve">Bound - within authority</t>
  </si>
  <si>
    <t xml:space="preserve">New business</t>
  </si>
  <si>
    <t xml:space="preserve">Alfa Romeo</t>
  </si>
  <si>
    <t xml:space="preserve">8C 2900</t>
  </si>
  <si>
    <t xml:space="preserve">UAK8VWMJP03R11H3L</t>
  </si>
  <si>
    <t xml:space="preserve">02 - Sports / GT</t>
  </si>
  <si>
    <t xml:space="preserve">Personal</t>
  </si>
  <si>
    <t xml:space="preserve">Personal - regular use</t>
  </si>
  <si>
    <t xml:space="preserve">1,000 - 2,500</t>
  </si>
  <si>
    <t xml:space="preserve">New Jersey</t>
  </si>
  <si>
    <t xml:space="preserve">07620</t>
  </si>
  <si>
    <t xml:space="preserve">Tier 3 - Coastal wind (25-100 miles)</t>
  </si>
  <si>
    <t xml:space="preserve">2% of agreed value, minimum $10,000</t>
  </si>
  <si>
    <t xml:space="preserve">Agreed Value</t>
  </si>
  <si>
    <t xml:space="preserve">$2,500</t>
  </si>
  <si>
    <t xml:space="preserve">$1,000,000 CSL</t>
  </si>
  <si>
    <t xml:space="preserve">EX-14 OEM parts guarantee</t>
  </si>
  <si>
    <t xml:space="preserve">Surplus Lines</t>
  </si>
  <si>
    <t xml:space="preserve">At technical</t>
  </si>
  <si>
    <t xml:space="preserve">Yes</t>
  </si>
  <si>
    <t xml:space="preserve">Register ref CANON-202512-003019. Bound within delegated authority. SL tax rate verified New Jersey.</t>
  </si>
  <si>
    <t xml:space="preserve">EX-04 Appreciation; EX-05 DIV; EX-09 Worldwide 90 days</t>
  </si>
  <si>
    <t xml:space="preserve">EX-17 Pair &amp; Set</t>
  </si>
  <si>
    <t xml:space="preserve">Renter agreement; GPS active</t>
  </si>
  <si>
    <t xml:space="preserve">HPDE certificate on file</t>
  </si>
  <si>
    <t xml:space="preserve">EX-05 DIV; EX-16 full glass</t>
  </si>
  <si>
    <t xml:space="preserve">UNDERWRITING BORDEREAUX  —  RECONCILIATION AND CONTROL CHECKS</t>
  </si>
  <si>
    <t xml:space="preserve">Run every check before submitting. A bordereaux with missing mandatory fields or a panel that does not sign 100% will be rejected.</t>
  </si>
  <si>
    <t xml:space="preserve">SECTION A  —  PREMIUM RECONCILIATION</t>
  </si>
  <si>
    <t xml:space="preserve">TOTAL GROSS WRITTEN PREMIUM (bound risks, 100%)</t>
  </si>
  <si>
    <t xml:space="preserve">  less: total commission (100%)</t>
  </si>
  <si>
    <t xml:space="preserve">NET PREMIUM TO CAPACITY (100%)</t>
  </si>
  <si>
    <t xml:space="preserve">  check: GWP less commission</t>
  </si>
  <si>
    <t xml:space="preserve">VARIANCE (should be zero)</t>
  </si>
  <si>
    <t xml:space="preserve">TOTAL DUE FROM INSUREDS</t>
  </si>
  <si>
    <t xml:space="preserve">Sum of GWP + fees + tax (check)</t>
  </si>
  <si>
    <t xml:space="preserve">Lead syndicate GWP at signed line</t>
  </si>
  <si>
    <t xml:space="preserve">Panel total GWP at signed line</t>
  </si>
  <si>
    <t xml:space="preserve">SECTION B  —  SUBMISSION CONTROL CHECKS</t>
  </si>
  <si>
    <t xml:space="preserve">Check</t>
  </si>
  <si>
    <t xml:space="preserve">Result</t>
  </si>
  <si>
    <t xml:space="preserve">Every bound risk has a certificate number</t>
  </si>
  <si>
    <t xml:space="preserve">Every row has a binding status</t>
  </si>
  <si>
    <t xml:space="preserve">Effective date present on all bound risks</t>
  </si>
  <si>
    <t xml:space="preserve">Technical premium entered on all bound risks</t>
  </si>
  <si>
    <t xml:space="preserve">Surplus lines tax % entered on all bound risks</t>
  </si>
  <si>
    <t xml:space="preserve">Verify rate with the stamping office before invoicing. Do not rely on defaults.</t>
  </si>
  <si>
    <t xml:space="preserve">No negative agreed values</t>
  </si>
  <si>
    <t xml:space="preserve">No agreed value below programme minimum ($100,000)</t>
  </si>
  <si>
    <t xml:space="preserve">Syndicate panel signs 100%</t>
  </si>
  <si>
    <t xml:space="preserve">Rate adequacy — no risk below 85%</t>
  </si>
  <si>
    <t xml:space="preserve">Warning only — not a hard stop. Refer risks below 85% to the lead syndicate.</t>
  </si>
  <si>
    <t xml:space="preserve">Risks at or above auto-bind limit</t>
  </si>
  <si>
    <t xml:space="preserve">Risks bound beyond discount authority</t>
  </si>
  <si>
    <t xml:space="preserve">Mandatory field check — all rows passing</t>
  </si>
  <si>
    <t xml:space="preserve">Do not submit until all rows show PASS in column AW of the bordereaux.</t>
  </si>
  <si>
    <t xml:space="preserve">Vehicle class matches vehicle year</t>
  </si>
  <si>
    <t xml:space="preserve">Every row foots: broker + Torque + net = GWP</t>
  </si>
  <si>
    <t xml:space="preserve">Commission splits sum to total ceding rate</t>
  </si>
  <si>
    <t xml:space="preserve">10 markets each at a 10% line, panel = 100%</t>
  </si>
  <si>
    <t xml:space="preserve">COMMISSION RECONCILIATION</t>
  </si>
  <si>
    <t xml:space="preserve">Gross written premium (100%)</t>
  </si>
  <si>
    <t xml:space="preserve">  Broker commission 12.5%</t>
  </si>
  <si>
    <t xml:space="preserve">  Torque (MGA) commission 12.5%</t>
  </si>
  <si>
    <t xml:space="preserve">  Net to capacity 75%</t>
  </si>
  <si>
    <t xml:space="preserve">Sum of the three components</t>
  </si>
  <si>
    <t xml:space="preserve">VARIANCE TO GWP</t>
  </si>
  <si>
    <t xml:space="preserve">Broker as % of GWP</t>
  </si>
  <si>
    <t xml:space="preserve">Torque as % of GWP</t>
  </si>
  <si>
    <t xml:space="preserve">Net to capacity as % of GWP</t>
  </si>
  <si>
    <t xml:space="preserve">Each 10% line receives (% of GWP)</t>
  </si>
  <si>
    <t xml:space="preserve">Rounding: broker and Torque commission are each ROUNDed to 2 decimals; net to capacity is derived as GWP less the two rounded commissions. Every row therefore foots to the cent and the book total foots exactly - no rounding plug is ever required.</t>
  </si>
  <si>
    <t xml:space="preserve">UNDERWRITING BORDEREAUX  —  FIELD DEFINITIONS</t>
  </si>
  <si>
    <t xml:space="preserve">Every column explained, with population rules and source.</t>
  </si>
  <si>
    <t xml:space="preserve">Col</t>
  </si>
  <si>
    <t xml:space="preserve">Field</t>
  </si>
  <si>
    <t xml:space="preserve">Type</t>
  </si>
  <si>
    <t xml:space="preserve">Source / notes</t>
  </si>
  <si>
    <t xml:space="preserve">A</t>
  </si>
  <si>
    <t xml:space="preserve">Free text</t>
  </si>
  <si>
    <t xml:space="preserve">Your unique certificate number for this risk. Must be consistent across all submissions and across both the claims and underwriting bordereaux for the same policy.</t>
  </si>
  <si>
    <t xml:space="preserve">B</t>
  </si>
  <si>
    <t xml:space="preserve">C</t>
  </si>
  <si>
    <t xml:space="preserve">Date</t>
  </si>
  <si>
    <t xml:space="preserve">D</t>
  </si>
  <si>
    <t xml:space="preserve">Drop-down</t>
  </si>
  <si>
    <t xml:space="preserve">E</t>
  </si>
  <si>
    <t xml:space="preserve">F</t>
  </si>
  <si>
    <t xml:space="preserve">G</t>
  </si>
  <si>
    <t xml:space="preserve">CALCULATED</t>
  </si>
  <si>
    <t xml:space="preserve">Calculated from the effective date. Lloyd's accounts are managed by year of account; do not use the reporting period date.</t>
  </si>
  <si>
    <t xml:space="preserve">H</t>
  </si>
  <si>
    <t xml:space="preserve">Number</t>
  </si>
  <si>
    <t xml:space="preserve">I</t>
  </si>
  <si>
    <t xml:space="preserve">J</t>
  </si>
  <si>
    <t xml:space="preserve">K</t>
  </si>
  <si>
    <t xml:space="preserve">L</t>
  </si>
  <si>
    <t xml:space="preserve">M</t>
  </si>
  <si>
    <t xml:space="preserve">Currency</t>
  </si>
  <si>
    <t xml:space="preserve">N</t>
  </si>
  <si>
    <t xml:space="preserve">O</t>
  </si>
  <si>
    <t xml:space="preserve">P</t>
  </si>
  <si>
    <t xml:space="preserve">Q</t>
  </si>
  <si>
    <t xml:space="preserve">R</t>
  </si>
  <si>
    <t xml:space="preserve">S</t>
  </si>
  <si>
    <t xml:space="preserve">T</t>
  </si>
  <si>
    <t xml:space="preserve">Calculated from the catastrophe zone using the multipliers on the Natural Catastrophe sheet. Feeds into the cat load component of the technical premium.</t>
  </si>
  <si>
    <t xml:space="preserve">U</t>
  </si>
  <si>
    <t xml:space="preserve">V</t>
  </si>
  <si>
    <t xml:space="preserve">W</t>
  </si>
  <si>
    <t xml:space="preserve">X</t>
  </si>
  <si>
    <t xml:space="preserve">Y</t>
  </si>
  <si>
    <t xml:space="preserve">Z</t>
  </si>
  <si>
    <t xml:space="preserve">AA</t>
  </si>
  <si>
    <t xml:space="preserve">AB</t>
  </si>
  <si>
    <t xml:space="preserve">Enter the technical premium from the Portfolio Register or the Rating Engine for this risk. It must reflect the rate-adequate price before any UW judgement adjustment.</t>
  </si>
  <si>
    <t xml:space="preserve">AC</t>
  </si>
  <si>
    <t xml:space="preserve">Percentage</t>
  </si>
  <si>
    <t xml:space="preserve">The adjustment applied above or below technical. Negative = below. Feeds the GWP calculation. Must be consistent with the value entered on the Portfolio Register.</t>
  </si>
  <si>
    <t xml:space="preserve">AD</t>
  </si>
  <si>
    <t xml:space="preserve">Calculated: technical premium × (1 + UW judgement adjustment %). Report at 100% of the risk regardless of syndicate share.</t>
  </si>
  <si>
    <t xml:space="preserve">AE</t>
  </si>
  <si>
    <t xml:space="preserve">AF</t>
  </si>
  <si>
    <t xml:space="preserve">AG</t>
  </si>
  <si>
    <t xml:space="preserve">AH</t>
  </si>
  <si>
    <t xml:space="preserve">Calculated: (GWP + policy fee + inspection fee) × surplus lines tax %. Verify the rate for every state — rates change frequently and the formula carries the rate you enter, not a live lookup.</t>
  </si>
  <si>
    <t xml:space="preserve">AI</t>
  </si>
  <si>
    <t xml:space="preserve">AJ</t>
  </si>
  <si>
    <t xml:space="preserve">Calculated: GWP + policy fee + inspection fee + surplus lines tax + stamping fee. This is the gross invoice amount before any commission is netted off.</t>
  </si>
  <si>
    <t xml:space="preserve">AK</t>
  </si>
  <si>
    <t xml:space="preserve">Calculated: total due ÷ technical premium. The portfolio rate adequacy in the Header summary uses GWP; this cell uses total due including fees, so it will be slightly above 100% even at technical.</t>
  </si>
  <si>
    <t xml:space="preserve">AL</t>
  </si>
  <si>
    <t xml:space="preserve">Whether the risk was written above, at, or below technical rate. BEYOND AUTHORITY means the discount exceeded the authority limit. Must match the Portfolio Register for the same risk.</t>
  </si>
  <si>
    <t xml:space="preserve">AM</t>
  </si>
  <si>
    <t xml:space="preserve">Linked from the Commission Structure sheet. If the commission rate is specific to this risk (e.g. a non-standard agreement), override manually and note it in the Notes column.</t>
  </si>
  <si>
    <t xml:space="preserve">AN</t>
  </si>
  <si>
    <t xml:space="preserve">From Portfolio Register</t>
  </si>
  <si>
    <t xml:space="preserve">AO</t>
  </si>
  <si>
    <t xml:space="preserve">Broker commission $ (100%)</t>
  </si>
  <si>
    <t xml:space="preserve">AP</t>
  </si>
  <si>
    <t xml:space="preserve">MGA net commission $ (100%)</t>
  </si>
  <si>
    <t xml:space="preserve">AQ</t>
  </si>
  <si>
    <t xml:space="preserve">GWP less total ceding commission. This is what reaches the Lloyd's trust fund before deduction of Lloyd's charges, central fund contributions and reinsurance.</t>
  </si>
  <si>
    <t xml:space="preserve">AR</t>
  </si>
  <si>
    <t xml:space="preserve">The lead syndicate's proportional share of GWP. Uses the lead line from the Header panel table; adjust if the lead line differs by risk.</t>
  </si>
  <si>
    <t xml:space="preserve">AS</t>
  </si>
  <si>
    <t xml:space="preserve">AT</t>
  </si>
  <si>
    <t xml:space="preserve">AU</t>
  </si>
  <si>
    <t xml:space="preserve">AV</t>
  </si>
  <si>
    <t xml:space="preserve">AW</t>
  </si>
  <si>
    <t xml:space="preserve">AX</t>
  </si>
  <si>
    <t xml:space="preserve">Calculated. Reads PASS when all sixteen mandatory fields are populated, FAIL followed by a description of what is missing when any are blank. Do not submit rows showing FAIL.</t>
  </si>
  <si>
    <t xml:space="preserve">AY</t>
  </si>
  <si>
    <t xml:space="preserve">Calculated against the threshold in Header row 18. A YES means an individual referral must be on file in the Referral Log before this row is submitted.</t>
  </si>
  <si>
    <t xml:space="preserve">AZ</t>
  </si>
  <si>
    <t xml:space="preserve">Calculated against the minimum premium in Header row 20. BELOW MIN PREMIUM means the premium must be loaded to the minimum, subject to the insured's consent.</t>
  </si>
  <si>
    <t xml:space="preserve">BA</t>
  </si>
  <si>
    <t xml:space="preserve">BB</t>
  </si>
  <si>
    <t xml:space="preserve">BC</t>
  </si>
  <si>
    <t xml:space="preserve">VALIDATION LISTS</t>
  </si>
  <si>
    <t xml:space="preserve">Source of every drop-down in this workbook.</t>
  </si>
  <si>
    <t xml:space="preserve">Movement Type</t>
  </si>
  <si>
    <t xml:space="preserve">Binding Status</t>
  </si>
  <si>
    <t xml:space="preserve">Policy Type</t>
  </si>
  <si>
    <t xml:space="preserve">Vehicle Class</t>
  </si>
  <si>
    <t xml:space="preserve">Valuation Basis</t>
  </si>
  <si>
    <t xml:space="preserve">Liability Limit</t>
  </si>
  <si>
    <t xml:space="preserve">Cat Zone</t>
  </si>
  <si>
    <t xml:space="preserve">Bind Band</t>
  </si>
  <si>
    <t xml:space="preserve">Yes No</t>
  </si>
  <si>
    <t xml:space="preserve">Surplus Lines Admitted</t>
  </si>
  <si>
    <t xml:space="preserve">01 - Luxury Sedan / SUV</t>
  </si>
  <si>
    <t xml:space="preserve">$300,000 CSL</t>
  </si>
  <si>
    <t xml:space="preserve">Tier 1 - Coastal wind / surge (0-1 mile, FEMA V or Coastal A)</t>
  </si>
  <si>
    <t xml:space="preserve">Above technical</t>
  </si>
  <si>
    <t xml:space="preserve">Renewal</t>
  </si>
  <si>
    <t xml:space="preserve">Bound - approved referral</t>
  </si>
  <si>
    <t xml:space="preserve">Commercial</t>
  </si>
  <si>
    <t xml:space="preserve">Agreed Value + Appreciation clause</t>
  </si>
  <si>
    <t xml:space="preserve">$500,000 CSL</t>
  </si>
  <si>
    <t xml:space="preserve">Tier 2 - Coastal wind (1-25 miles)</t>
  </si>
  <si>
    <t xml:space="preserve">GBP</t>
  </si>
  <si>
    <t xml:space="preserve">No</t>
  </si>
  <si>
    <t xml:space="preserve">Admitted</t>
  </si>
  <si>
    <t xml:space="preserve">Mid-term endorsement</t>
  </si>
  <si>
    <t xml:space="preserve">Quoted - not yet bound</t>
  </si>
  <si>
    <t xml:space="preserve">03 - Supercar</t>
  </si>
  <si>
    <t xml:space="preserve">Stated Value (up to)</t>
  </si>
  <si>
    <t xml:space="preserve">BELOW technical</t>
  </si>
  <si>
    <t xml:space="preserve">EUR</t>
  </si>
  <si>
    <t xml:space="preserve">London Direct</t>
  </si>
  <si>
    <t xml:space="preserve">Mid-term cancellation</t>
  </si>
  <si>
    <t xml:space="preserve">Declined</t>
  </si>
  <si>
    <t xml:space="preserve">04 - Hypercar</t>
  </si>
  <si>
    <t xml:space="preserve">Actual Cash Value</t>
  </si>
  <si>
    <t xml:space="preserve">$2,000,000 CSL</t>
  </si>
  <si>
    <t xml:space="preserve">Inland - hurricane remnant only (100+ miles)</t>
  </si>
  <si>
    <t xml:space="preserve">BEYOND AUTHORITY</t>
  </si>
  <si>
    <t xml:space="preserve">CAD</t>
  </si>
  <si>
    <t xml:space="preserve">Reinstatement</t>
  </si>
  <si>
    <t xml:space="preserve">Cancelled</t>
  </si>
  <si>
    <t xml:space="preserve">05 - Limited Edition / Track-Focused</t>
  </si>
  <si>
    <t xml:space="preserve">$5,000,000 CSL</t>
  </si>
  <si>
    <t xml:space="preserve">Severe convective - hail alley (high)</t>
  </si>
  <si>
    <t xml:space="preserve">Correction / restatement</t>
  </si>
  <si>
    <t xml:space="preserve">Lapsed</t>
  </si>
  <si>
    <t xml:space="preserve">06 - Vintage Pre-War (pre-1946)</t>
  </si>
  <si>
    <t xml:space="preserve">$10,000,000 CSL</t>
  </si>
  <si>
    <t xml:space="preserve">Severe convective - hail / tornado (moderate)</t>
  </si>
  <si>
    <t xml:space="preserve">No change this period</t>
  </si>
  <si>
    <t xml:space="preserve">Void</t>
  </si>
  <si>
    <t xml:space="preserve">07 - Post-War Classic (1946-1972)</t>
  </si>
  <si>
    <t xml:space="preserve">Wildfire - WUI high hazard</t>
  </si>
  <si>
    <t xml:space="preserve">08 - Modern Classic (1973-1999)</t>
  </si>
  <si>
    <t xml:space="preserve">Wildfire - moderate hazard</t>
  </si>
  <si>
    <t xml:space="preserve">09 - Youngtimer / Collectible (2000-2010)</t>
  </si>
  <si>
    <t xml:space="preserve">Earthquake - high (CA, Cascadia, New Madrid)</t>
  </si>
  <si>
    <t xml:space="preserve">10 - Competition / Race Car</t>
  </si>
  <si>
    <t xml:space="preserve">Flood - FEMA SFHA (zone A / AE / V)</t>
  </si>
  <si>
    <t xml:space="preserve">11 - Restomod / Coachbuilt / Bespoke</t>
  </si>
  <si>
    <t xml:space="preserve">Winter freeze / ice / severe road salt</t>
  </si>
  <si>
    <t xml:space="preserve">12 - Performance EV / Electric Hyper</t>
  </si>
  <si>
    <t xml:space="preserve">Low hazard - inland benign</t>
  </si>
  <si>
    <t xml:space="preserve">Parameter</t>
  </si>
  <si>
    <t xml:space="preserve">Value</t>
  </si>
  <si>
    <t xml:space="preserve">Stamping fee rate</t>
  </si>
  <si>
    <t xml:space="preserve">Policy fee</t>
  </si>
  <si>
    <t xml:space="preserve">Inspection fee (AV at or above threshold)</t>
  </si>
  <si>
    <t xml:space="preserve">Inspection fee threshold (AV)</t>
  </si>
  <si>
    <t xml:space="preserve">Source: rating matrix (Technical Premium rows 14-15, Commission Structure row 21, Natural Catastrophe Section A). Update here if the matrix changes.</t>
  </si>
</sst>
</file>

<file path=xl/styles.xml><?xml version="1.0" encoding="utf-8"?>
<styleSheet xmlns="http://schemas.openxmlformats.org/spreadsheetml/2006/main">
  <numFmts count="13">
    <numFmt numFmtId="164" formatCode="General"/>
    <numFmt numFmtId="165" formatCode="0.00%"/>
    <numFmt numFmtId="166" formatCode="\$#,##0;&quot;($&quot;#,##0\);\-"/>
    <numFmt numFmtId="167" formatCode="dd\-mmm\-yyyy"/>
    <numFmt numFmtId="168" formatCode="#,##0"/>
    <numFmt numFmtId="169" formatCode="\$#,##0"/>
    <numFmt numFmtId="170" formatCode="0.0%"/>
    <numFmt numFmtId="171" formatCode="0.000"/>
    <numFmt numFmtId="172" formatCode="0.00%;\(0.00%\);\-"/>
    <numFmt numFmtId="173" formatCode="0.0%;\(0.0%\);\-"/>
    <numFmt numFmtId="174" formatCode="\$0.000"/>
    <numFmt numFmtId="175" formatCode="\$#,##0.00"/>
    <numFmt numFmtId="176" formatCode="0.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b val="true"/>
      <sz val="10"/>
      <name val="Arial"/>
      <family val="0"/>
      <charset val="1"/>
    </font>
    <font>
      <sz val="9"/>
      <name val="Arial"/>
      <family val="0"/>
      <charset val="1"/>
    </font>
    <font>
      <b val="true"/>
      <i val="true"/>
      <sz val="9"/>
      <color rgb="FFC00000"/>
      <name val="Arial"/>
      <family val="0"/>
      <charset val="1"/>
    </font>
    <font>
      <i val="true"/>
      <sz val="9"/>
      <color rgb="FF595959"/>
      <name val="Arial"/>
      <family val="0"/>
      <charset val="1"/>
    </font>
    <font>
      <sz val="9"/>
      <color rgb="FF0000FF"/>
      <name val="Arial"/>
      <family val="0"/>
      <charset val="1"/>
    </font>
    <font>
      <sz val="10"/>
      <name val="Arial"/>
      <family val="0"/>
      <charset val="1"/>
    </font>
    <font>
      <b val="true"/>
      <sz val="8"/>
      <color rgb="FFFFFFFF"/>
      <name val="Arial"/>
      <family val="0"/>
      <charset val="1"/>
    </font>
    <font>
      <b val="true"/>
      <sz val="11"/>
      <color rgb="FF1F3864"/>
      <name val="Arial"/>
      <family val="0"/>
      <charset val="1"/>
    </font>
    <font>
      <b val="true"/>
      <sz val="9"/>
      <color rgb="FFFFFFFF"/>
      <name val="Arial"/>
      <family val="0"/>
      <charset val="1"/>
    </font>
    <font>
      <sz val="8"/>
      <color rgb="FF0000FF"/>
      <name val="Arial"/>
      <family val="0"/>
      <charset val="1"/>
    </font>
    <font>
      <sz val="8"/>
      <color rgb="FF000000"/>
      <name val="Arial"/>
      <family val="0"/>
      <charset val="1"/>
    </font>
    <font>
      <b val="true"/>
      <sz val="8"/>
      <color rgb="FF1F3864"/>
      <name val="Arial"/>
      <family val="0"/>
      <charset val="1"/>
    </font>
    <font>
      <sz val="8"/>
      <name val="Arial"/>
      <family val="0"/>
      <charset val="1"/>
    </font>
    <font>
      <b val="true"/>
      <sz val="9"/>
      <color rgb="FFC00000"/>
      <name val="Arial"/>
      <family val="0"/>
      <charset val="1"/>
    </font>
    <font>
      <b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7" fontId="11" fillId="4"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5" fontId="14" fillId="6" borderId="1" xfId="0" applyFont="true" applyBorder="true" applyAlignment="true" applyProtection="false">
      <alignment horizontal="center" vertical="bottom" textRotation="0" wrapText="false" indent="0" shrinkToFit="false"/>
      <protection locked="true" hidden="false"/>
    </xf>
    <xf numFmtId="166" fontId="14" fillId="6"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center" vertical="bottom" textRotation="0" wrapText="false" indent="0" shrinkToFit="false"/>
      <protection locked="true" hidden="false"/>
    </xf>
    <xf numFmtId="170" fontId="14" fillId="6" borderId="1" xfId="0" applyFont="true" applyBorder="true" applyAlignment="true" applyProtection="false">
      <alignment horizontal="center"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8" fontId="17" fillId="7"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71" fontId="17" fillId="7" borderId="1" xfId="0" applyFont="true" applyBorder="true" applyAlignment="true" applyProtection="false">
      <alignment horizontal="center" vertical="center" textRotation="0" wrapText="true" indent="0" shrinkToFit="false"/>
      <protection locked="true" hidden="false"/>
    </xf>
    <xf numFmtId="172" fontId="16" fillId="0" borderId="1" xfId="0" applyFont="true" applyBorder="true" applyAlignment="true" applyProtection="false">
      <alignment horizontal="center" vertical="center" textRotation="0" wrapText="true" indent="0" shrinkToFit="false"/>
      <protection locked="true" hidden="false"/>
    </xf>
    <xf numFmtId="166" fontId="18" fillId="7"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73" fontId="17" fillId="7" borderId="1" xfId="0" applyFont="true" applyBorder="true" applyAlignment="true" applyProtection="false">
      <alignment horizontal="center" vertical="center" textRotation="0" wrapText="true" indent="0" shrinkToFit="false"/>
      <protection locked="true" hidden="false"/>
    </xf>
    <xf numFmtId="172" fontId="17" fillId="7" borderId="1" xfId="0" applyFont="true" applyBorder="true" applyAlignment="true" applyProtection="false">
      <alignment horizontal="center" vertical="center" textRotation="0" wrapText="true" indent="0" shrinkToFit="false"/>
      <protection locked="true" hidden="false"/>
    </xf>
    <xf numFmtId="174"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7"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8" fontId="16" fillId="5" borderId="1" xfId="0" applyFont="true" applyBorder="true" applyAlignment="true" applyProtection="false">
      <alignment horizontal="center" vertical="center" textRotation="0" wrapText="true" indent="0" shrinkToFit="false"/>
      <protection locked="true" hidden="false"/>
    </xf>
    <xf numFmtId="166" fontId="16" fillId="5" borderId="1" xfId="0" applyFont="true" applyBorder="true" applyAlignment="true" applyProtection="false">
      <alignment horizontal="center" vertical="center" textRotation="0" wrapText="true" indent="0" shrinkToFit="false"/>
      <protection locked="true" hidden="false"/>
    </xf>
    <xf numFmtId="172" fontId="16" fillId="5"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5" fontId="12"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21" fillId="5" borderId="1"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5" fontId="14" fillId="6" borderId="1" xfId="0" applyFont="true" applyBorder="true" applyAlignment="true" applyProtection="false">
      <alignment horizontal="center" vertical="bottom" textRotation="0" wrapText="false" indent="0" shrinkToFit="false"/>
      <protection locked="true" hidden="false"/>
    </xf>
    <xf numFmtId="175" fontId="8" fillId="0" borderId="1" xfId="0" applyFont="true" applyBorder="true" applyAlignment="true" applyProtection="false">
      <alignment horizontal="center" vertical="bottom" textRotation="0" wrapText="false" indent="0" shrinkToFit="false"/>
      <protection locked="true" hidden="false"/>
    </xf>
    <xf numFmtId="176"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 collapsed="false" customWidth="true" hidden="false" outlineLevel="0" max="7" min="4" style="0" width="14"/>
  </cols>
  <sheetData>
    <row r="1" customFormat="false" ht="25.5" hidden="false" customHeight="true" outlineLevel="0" collapsed="false">
      <c r="A1" s="1" t="s">
        <v>0</v>
      </c>
      <c r="B1" s="1"/>
      <c r="C1" s="1"/>
      <c r="D1" s="1"/>
      <c r="E1" s="1"/>
      <c r="F1" s="1"/>
      <c r="G1" s="1"/>
    </row>
    <row r="2" customFormat="false" ht="15" hidden="false" customHeight="true" outlineLevel="0" collapsed="false">
      <c r="A2" s="2" t="s">
        <v>1</v>
      </c>
      <c r="B2" s="2"/>
      <c r="C2" s="2"/>
      <c r="D2" s="2"/>
      <c r="E2" s="2"/>
      <c r="F2" s="2"/>
      <c r="G2" s="2"/>
    </row>
    <row r="4" customFormat="false" ht="18" hidden="false" customHeight="true" outlineLevel="0" collapsed="false">
      <c r="B4" s="3" t="s">
        <v>2</v>
      </c>
      <c r="C4" s="3"/>
      <c r="D4" s="3"/>
      <c r="E4" s="3"/>
      <c r="F4" s="3"/>
      <c r="G4" s="3"/>
    </row>
    <row r="6" customFormat="false" ht="31.5" hidden="false" customHeight="true" outlineLevel="0" collapsed="false">
      <c r="B6" s="4" t="s">
        <v>3</v>
      </c>
      <c r="C6" s="5" t="s">
        <v>4</v>
      </c>
    </row>
    <row r="7" customFormat="false" ht="31.5" hidden="false" customHeight="true" outlineLevel="0" collapsed="false">
      <c r="B7" s="4" t="s">
        <v>5</v>
      </c>
      <c r="C7" s="5" t="s">
        <v>6</v>
      </c>
    </row>
    <row r="8" customFormat="false" ht="31.5" hidden="false" customHeight="true" outlineLevel="0" collapsed="false">
      <c r="B8" s="4" t="s">
        <v>7</v>
      </c>
      <c r="C8" s="5" t="s">
        <v>8</v>
      </c>
    </row>
    <row r="9" customFormat="false" ht="31.5" hidden="false" customHeight="true" outlineLevel="0" collapsed="false">
      <c r="B9" s="4" t="s">
        <v>9</v>
      </c>
      <c r="C9" s="5" t="s">
        <v>10</v>
      </c>
    </row>
    <row r="10" customFormat="false" ht="31.5" hidden="false" customHeight="true" outlineLevel="0" collapsed="false">
      <c r="B10" s="4" t="s">
        <v>11</v>
      </c>
      <c r="C10" s="5" t="s">
        <v>12</v>
      </c>
    </row>
    <row r="12" customFormat="false" ht="18" hidden="false" customHeight="true" outlineLevel="0" collapsed="false">
      <c r="B12" s="3" t="s">
        <v>13</v>
      </c>
      <c r="C12" s="3"/>
      <c r="D12" s="3"/>
      <c r="E12" s="3"/>
      <c r="F12" s="3"/>
      <c r="G12" s="3"/>
    </row>
    <row r="14" customFormat="false" ht="30" hidden="false" customHeight="true" outlineLevel="0" collapsed="false">
      <c r="B14" s="6" t="s">
        <v>14</v>
      </c>
      <c r="C14" s="6"/>
      <c r="D14" s="6"/>
      <c r="E14" s="6"/>
      <c r="F14" s="6"/>
      <c r="G14" s="6"/>
    </row>
    <row r="15" customFormat="false" ht="30" hidden="false" customHeight="true" outlineLevel="0" collapsed="false">
      <c r="B15" s="6" t="s">
        <v>15</v>
      </c>
      <c r="C15" s="6"/>
      <c r="D15" s="6"/>
      <c r="E15" s="6"/>
      <c r="F15" s="6"/>
      <c r="G15" s="6"/>
    </row>
    <row r="16" customFormat="false" ht="30" hidden="false" customHeight="true" outlineLevel="0" collapsed="false">
      <c r="B16" s="6" t="s">
        <v>16</v>
      </c>
      <c r="C16" s="6"/>
      <c r="D16" s="6"/>
      <c r="E16" s="6"/>
      <c r="F16" s="6"/>
      <c r="G16" s="6"/>
    </row>
    <row r="17" customFormat="false" ht="30" hidden="false" customHeight="true" outlineLevel="0" collapsed="false">
      <c r="B17" s="6" t="s">
        <v>17</v>
      </c>
      <c r="C17" s="6"/>
      <c r="D17" s="6"/>
      <c r="E17" s="6"/>
      <c r="F17" s="6"/>
      <c r="G17" s="6"/>
    </row>
    <row r="19" customFormat="false" ht="18" hidden="false" customHeight="true" outlineLevel="0" collapsed="false">
      <c r="B19" s="3" t="s">
        <v>18</v>
      </c>
      <c r="C19" s="3"/>
      <c r="D19" s="3"/>
      <c r="E19" s="3"/>
      <c r="F19" s="3"/>
      <c r="G19" s="3"/>
    </row>
    <row r="21" customFormat="false" ht="27.75" hidden="false" customHeight="true" outlineLevel="0" collapsed="false">
      <c r="B21" s="6" t="s">
        <v>19</v>
      </c>
      <c r="C21" s="6"/>
      <c r="D21" s="6"/>
      <c r="E21" s="6"/>
      <c r="F21" s="6"/>
      <c r="G21" s="6"/>
    </row>
    <row r="22" customFormat="false" ht="27.75" hidden="false" customHeight="true" outlineLevel="0" collapsed="false">
      <c r="B22" s="6" t="s">
        <v>20</v>
      </c>
      <c r="C22" s="6"/>
      <c r="D22" s="6"/>
      <c r="E22" s="6"/>
      <c r="F22" s="6"/>
      <c r="G22" s="6"/>
    </row>
    <row r="23" customFormat="false" ht="27.75" hidden="false" customHeight="true" outlineLevel="0" collapsed="false">
      <c r="B23" s="6" t="s">
        <v>21</v>
      </c>
      <c r="C23" s="6"/>
      <c r="D23" s="6"/>
      <c r="E23" s="6"/>
      <c r="F23" s="6"/>
      <c r="G23" s="6"/>
    </row>
    <row r="24" customFormat="false" ht="27.75" hidden="false" customHeight="true" outlineLevel="0" collapsed="false">
      <c r="B24" s="6" t="s">
        <v>22</v>
      </c>
      <c r="C24" s="6"/>
      <c r="D24" s="6"/>
      <c r="E24" s="6"/>
      <c r="F24" s="6"/>
      <c r="G24" s="6"/>
    </row>
    <row r="25" customFormat="false" ht="27.75" hidden="false" customHeight="true" outlineLevel="0" collapsed="false">
      <c r="B25" s="6" t="s">
        <v>23</v>
      </c>
      <c r="C25" s="6"/>
      <c r="D25" s="6"/>
      <c r="E25" s="6"/>
      <c r="F25" s="6"/>
      <c r="G25" s="6"/>
    </row>
    <row r="26" customFormat="false" ht="27.75" hidden="false" customHeight="true" outlineLevel="0" collapsed="false">
      <c r="B26" s="6" t="s">
        <v>24</v>
      </c>
      <c r="C26" s="6"/>
      <c r="D26" s="6"/>
      <c r="E26" s="6"/>
      <c r="F26" s="6"/>
      <c r="G26" s="6"/>
    </row>
    <row r="28" customFormat="false" ht="15" hidden="false" customHeight="true" outlineLevel="0" collapsed="false">
      <c r="B28" s="7" t="s">
        <v>25</v>
      </c>
      <c r="C28" s="7"/>
      <c r="D28" s="7"/>
      <c r="E28" s="7"/>
      <c r="F28" s="7"/>
      <c r="G28" s="7"/>
    </row>
    <row r="29" customFormat="false" ht="15" hidden="false" customHeight="true" outlineLevel="0" collapsed="false">
      <c r="B29" s="7"/>
      <c r="C29" s="7"/>
      <c r="D29" s="7"/>
      <c r="E29" s="7"/>
      <c r="F29" s="7"/>
      <c r="G29" s="7"/>
    </row>
    <row r="30" customFormat="false" ht="15" hidden="false" customHeight="true" outlineLevel="0" collapsed="false">
      <c r="B30" s="7"/>
      <c r="C30" s="7"/>
      <c r="D30" s="7"/>
      <c r="E30" s="7"/>
      <c r="F30" s="7"/>
      <c r="G30" s="7"/>
    </row>
    <row r="31" customFormat="false" ht="15" hidden="false" customHeight="true" outlineLevel="0" collapsed="false">
      <c r="B31" s="7"/>
      <c r="C31" s="7"/>
      <c r="D31" s="7"/>
      <c r="E31" s="7"/>
      <c r="F31" s="7"/>
      <c r="G31" s="7"/>
    </row>
  </sheetData>
  <mergeCells count="16">
    <mergeCell ref="A1:G1"/>
    <mergeCell ref="A2:G2"/>
    <mergeCell ref="B4:G4"/>
    <mergeCell ref="B12:G12"/>
    <mergeCell ref="B14:G14"/>
    <mergeCell ref="B15:G15"/>
    <mergeCell ref="B16:G16"/>
    <mergeCell ref="B17:G17"/>
    <mergeCell ref="B19:G19"/>
    <mergeCell ref="B21:G21"/>
    <mergeCell ref="B22:G22"/>
    <mergeCell ref="B23:G23"/>
    <mergeCell ref="B24:G24"/>
    <mergeCell ref="B25:G25"/>
    <mergeCell ref="B26:G26"/>
    <mergeCell ref="B28: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false" showRowColHeaders="true" showZeros="true" rightToLeft="false" tabSelected="true" showOutlineSymbols="true" defaultGridColor="true" view="normal" topLeftCell="A13" colorId="64" zoomScale="100" zoomScaleNormal="100" zoomScalePageLayoutView="100" workbookViewId="0">
      <selection pane="topLeft" activeCell="A28" activeCellId="0" sqref="A28"/>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34"/>
    <col collapsed="false" customWidth="true" hidden="false" outlineLevel="0" max="6" min="4" style="0" width="16"/>
    <col collapsed="false" customWidth="true" hidden="false" outlineLevel="0" max="7" min="7" style="0" width="62"/>
  </cols>
  <sheetData>
    <row r="1" customFormat="false" ht="25.5" hidden="false" customHeight="true" outlineLevel="0" collapsed="false">
      <c r="A1" s="1" t="s">
        <v>26</v>
      </c>
      <c r="B1" s="1"/>
      <c r="C1" s="1"/>
      <c r="D1" s="1"/>
      <c r="E1" s="1"/>
      <c r="F1" s="1"/>
      <c r="G1" s="1"/>
    </row>
    <row r="2" customFormat="false" ht="15" hidden="false" customHeight="true" outlineLevel="0" collapsed="false">
      <c r="A2" s="2" t="s">
        <v>27</v>
      </c>
      <c r="B2" s="2"/>
      <c r="C2" s="2"/>
      <c r="D2" s="2"/>
      <c r="E2" s="2"/>
      <c r="F2" s="2"/>
      <c r="G2" s="2"/>
    </row>
    <row r="3" customFormat="false" ht="27.75" hidden="false" customHeight="true" outlineLevel="0" collapsed="false">
      <c r="B3" s="8" t="s">
        <v>28</v>
      </c>
      <c r="C3" s="8"/>
      <c r="D3" s="8"/>
      <c r="E3" s="8"/>
      <c r="F3" s="8"/>
      <c r="G3" s="8"/>
      <c r="H3" s="9" t="s">
        <v>29</v>
      </c>
      <c r="I3" s="10" t="n">
        <v>0.25</v>
      </c>
      <c r="J3" s="9" t="s">
        <v>30</v>
      </c>
      <c r="K3" s="10" t="n">
        <v>0.125</v>
      </c>
      <c r="L3" s="9" t="s">
        <v>31</v>
      </c>
      <c r="M3" s="10" t="n">
        <v>0.125</v>
      </c>
      <c r="N3" s="9" t="s">
        <v>32</v>
      </c>
      <c r="O3" s="10" t="n">
        <v>0.6</v>
      </c>
      <c r="P3" s="9" t="s">
        <v>33</v>
      </c>
      <c r="Q3" s="10" t="n">
        <v>0.15</v>
      </c>
      <c r="R3" s="11" t="str">
        <f aca="false">IF(ROUND($K$3+$M$3-$I$3,6)=0,"Splits foot — OK","ERROR: broker + Torque &lt;&gt; total")</f>
        <v>Splits foot — OK</v>
      </c>
    </row>
    <row r="4" customFormat="false" ht="18" hidden="false" customHeight="true" outlineLevel="0" collapsed="false">
      <c r="B4" s="3" t="s">
        <v>34</v>
      </c>
      <c r="C4" s="3"/>
      <c r="D4" s="3"/>
      <c r="E4" s="3"/>
      <c r="F4" s="3"/>
      <c r="G4" s="3"/>
    </row>
    <row r="5" customFormat="false" ht="15" hidden="false" customHeight="true" outlineLevel="0" collapsed="false">
      <c r="B5" s="12" t="s">
        <v>35</v>
      </c>
      <c r="C5" s="13" t="s">
        <v>36</v>
      </c>
      <c r="G5" s="14" t="s">
        <v>37</v>
      </c>
    </row>
    <row r="6" customFormat="false" ht="15" hidden="false" customHeight="true" outlineLevel="0" collapsed="false">
      <c r="B6" s="12" t="s">
        <v>38</v>
      </c>
      <c r="C6" s="13" t="s">
        <v>39</v>
      </c>
      <c r="G6" s="14"/>
    </row>
    <row r="7" customFormat="false" ht="15" hidden="false" customHeight="true" outlineLevel="0" collapsed="false">
      <c r="B7" s="12" t="s">
        <v>40</v>
      </c>
      <c r="C7" s="13" t="s">
        <v>41</v>
      </c>
      <c r="G7" s="14"/>
    </row>
    <row r="8" customFormat="false" ht="15" hidden="false" customHeight="true" outlineLevel="0" collapsed="false">
      <c r="B8" s="12" t="s">
        <v>42</v>
      </c>
      <c r="C8" s="13" t="s">
        <v>43</v>
      </c>
      <c r="G8" s="14" t="s">
        <v>44</v>
      </c>
    </row>
    <row r="9" customFormat="false" ht="15" hidden="false" customHeight="true" outlineLevel="0" collapsed="false">
      <c r="B9" s="12" t="s">
        <v>45</v>
      </c>
      <c r="C9" s="13" t="s">
        <v>46</v>
      </c>
      <c r="G9" s="14" t="s">
        <v>47</v>
      </c>
    </row>
    <row r="10" customFormat="false" ht="15" hidden="false" customHeight="true" outlineLevel="0" collapsed="false">
      <c r="B10" s="12" t="s">
        <v>48</v>
      </c>
      <c r="C10" s="15" t="n">
        <v>2025</v>
      </c>
      <c r="G10" s="14"/>
    </row>
    <row r="11" customFormat="false" ht="15" hidden="false" customHeight="true" outlineLevel="0" collapsed="false">
      <c r="B11" s="12" t="s">
        <v>49</v>
      </c>
      <c r="C11" s="13" t="s">
        <v>50</v>
      </c>
      <c r="G11" s="14"/>
    </row>
    <row r="12" customFormat="false" ht="15" hidden="false" customHeight="true" outlineLevel="0" collapsed="false">
      <c r="B12" s="12" t="s">
        <v>51</v>
      </c>
      <c r="C12" s="16" t="n">
        <v>45992</v>
      </c>
      <c r="G12" s="14"/>
    </row>
    <row r="13" customFormat="false" ht="15" hidden="false" customHeight="true" outlineLevel="0" collapsed="false">
      <c r="B13" s="12" t="s">
        <v>52</v>
      </c>
      <c r="C13" s="16" t="n">
        <v>46022</v>
      </c>
      <c r="G13" s="14"/>
    </row>
    <row r="14" customFormat="false" ht="15" hidden="false" customHeight="true" outlineLevel="0" collapsed="false">
      <c r="B14" s="12" t="s">
        <v>53</v>
      </c>
      <c r="C14" s="16" t="n">
        <v>46022</v>
      </c>
      <c r="G14" s="14" t="s">
        <v>54</v>
      </c>
    </row>
    <row r="15" customFormat="false" ht="15" hidden="false" customHeight="true" outlineLevel="0" collapsed="false">
      <c r="B15" s="12" t="s">
        <v>55</v>
      </c>
      <c r="C15" s="13" t="s">
        <v>56</v>
      </c>
      <c r="G15" s="14"/>
    </row>
    <row r="16" customFormat="false" ht="15" hidden="false" customHeight="true" outlineLevel="0" collapsed="false">
      <c r="B16" s="12" t="s">
        <v>57</v>
      </c>
      <c r="C16" s="13" t="s">
        <v>58</v>
      </c>
      <c r="G16" s="14"/>
    </row>
    <row r="17" customFormat="false" ht="15" hidden="false" customHeight="true" outlineLevel="0" collapsed="false">
      <c r="B17" s="12" t="s">
        <v>59</v>
      </c>
      <c r="C17" s="13" t="s">
        <v>58</v>
      </c>
      <c r="G17" s="14"/>
    </row>
    <row r="18" customFormat="false" ht="15" hidden="false" customHeight="true" outlineLevel="0" collapsed="false">
      <c r="B18" s="12" t="s">
        <v>60</v>
      </c>
      <c r="C18" s="13" t="n">
        <v>2000000</v>
      </c>
      <c r="G18" s="14" t="s">
        <v>61</v>
      </c>
    </row>
    <row r="19" customFormat="false" ht="15" hidden="false" customHeight="true" outlineLevel="0" collapsed="false">
      <c r="B19" s="12" t="s">
        <v>62</v>
      </c>
      <c r="C19" s="13" t="n">
        <v>-0.15</v>
      </c>
      <c r="G19" s="14" t="s">
        <v>63</v>
      </c>
    </row>
    <row r="20" customFormat="false" ht="15" hidden="false" customHeight="true" outlineLevel="0" collapsed="false">
      <c r="B20" s="12" t="s">
        <v>64</v>
      </c>
      <c r="C20" s="15" t="n">
        <v>5000</v>
      </c>
      <c r="G20" s="14" t="s">
        <v>65</v>
      </c>
    </row>
    <row r="22" customFormat="false" ht="18" hidden="false" customHeight="true" outlineLevel="0" collapsed="false">
      <c r="B22" s="3" t="s">
        <v>66</v>
      </c>
      <c r="C22" s="3"/>
      <c r="D22" s="3"/>
      <c r="E22" s="3"/>
      <c r="F22" s="3"/>
      <c r="G22" s="3"/>
    </row>
    <row r="23" customFormat="false" ht="33.75" hidden="false" customHeight="true" outlineLevel="0" collapsed="false">
      <c r="B23" s="17" t="s">
        <v>67</v>
      </c>
      <c r="C23" s="17" t="s">
        <v>68</v>
      </c>
      <c r="D23" s="17" t="s">
        <v>69</v>
      </c>
      <c r="E23" s="17" t="s">
        <v>70</v>
      </c>
      <c r="F23" s="17" t="s">
        <v>71</v>
      </c>
      <c r="G23" s="17" t="s">
        <v>72</v>
      </c>
    </row>
    <row r="24" customFormat="false" ht="15" hidden="false" customHeight="true" outlineLevel="0" collapsed="false">
      <c r="B24" s="18" t="s">
        <v>73</v>
      </c>
      <c r="C24" s="19" t="s">
        <v>74</v>
      </c>
      <c r="D24" s="10" t="n">
        <v>0.1</v>
      </c>
      <c r="E24" s="20" t="n">
        <f aca="false">(SUMIF('UW Bordereaux'!$D$5:$D$204,"Bound*",'UW Bordereaux'!$AD$5:$AD$204))*$D24</f>
        <v>3102.299</v>
      </c>
      <c r="F24" s="20" t="n">
        <f aca="false">(SUMIF('UW Bordereaux'!$D$5:$D$204,"Bound*",'UW Bordereaux'!$AB$5:$AB$204))*$D24</f>
        <v>3102.299</v>
      </c>
      <c r="G24" s="20" t="n">
        <f aca="false">(SUMIF('UW Bordereaux'!$D$5:$D$204,"Bound*",'UW Bordereaux'!$AQ$5:$AQ$204))*$D24</f>
        <v>2326.725</v>
      </c>
    </row>
    <row r="25" customFormat="false" ht="15" hidden="false" customHeight="true" outlineLevel="0" collapsed="false">
      <c r="B25" s="21" t="s">
        <v>75</v>
      </c>
      <c r="C25" s="22" t="s">
        <v>76</v>
      </c>
      <c r="D25" s="23" t="n">
        <v>0.1</v>
      </c>
      <c r="E25" s="24" t="n">
        <f aca="false">(SUMIF('UW Bordereaux'!$D$5:$D$204,"Bound*",'UW Bordereaux'!$AD$5:$AD$204))*$D25</f>
        <v>3102.299</v>
      </c>
      <c r="F25" s="24" t="n">
        <f aca="false">(SUMIF('UW Bordereaux'!$D$5:$D$204,"Bound*",'UW Bordereaux'!$AB$5:$AB$204))*$D25</f>
        <v>3102.299</v>
      </c>
      <c r="G25" s="24" t="n">
        <f aca="false">(SUMIF('UW Bordereaux'!$D$5:$D$204,"Bound*",'UW Bordereaux'!$AQ$5:$AQ$204))*$D25</f>
        <v>2326.725</v>
      </c>
    </row>
    <row r="26" customFormat="false" ht="15" hidden="false" customHeight="true" outlineLevel="0" collapsed="false">
      <c r="B26" s="18" t="s">
        <v>77</v>
      </c>
      <c r="C26" s="19" t="s">
        <v>78</v>
      </c>
      <c r="D26" s="10" t="n">
        <v>0.1</v>
      </c>
      <c r="E26" s="20" t="n">
        <f aca="false">(SUMIF('UW Bordereaux'!$D$5:$D$204,"Bound*",'UW Bordereaux'!$AD$5:$AD$204))*$D26</f>
        <v>3102.299</v>
      </c>
      <c r="F26" s="20" t="n">
        <f aca="false">(SUMIF('UW Bordereaux'!$D$5:$D$204,"Bound*",'UW Bordereaux'!$AB$5:$AB$204))*$D26</f>
        <v>3102.299</v>
      </c>
      <c r="G26" s="20" t="n">
        <f aca="false">(SUMIF('UW Bordereaux'!$D$5:$D$204,"Bound*",'UW Bordereaux'!$AQ$5:$AQ$204))*$D26</f>
        <v>2326.725</v>
      </c>
    </row>
    <row r="27" customFormat="false" ht="15" hidden="false" customHeight="true" outlineLevel="0" collapsed="false">
      <c r="B27" s="21" t="s">
        <v>79</v>
      </c>
      <c r="C27" s="22" t="s">
        <v>80</v>
      </c>
      <c r="D27" s="23" t="n">
        <v>0.1</v>
      </c>
      <c r="E27" s="24" t="n">
        <f aca="false">(SUMIF('UW Bordereaux'!$D$5:$D$204,"Bound*",'UW Bordereaux'!$AD$5:$AD$204))*$D27</f>
        <v>3102.299</v>
      </c>
      <c r="F27" s="24" t="n">
        <f aca="false">(SUMIF('UW Bordereaux'!$D$5:$D$204,"Bound*",'UW Bordereaux'!$AB$5:$AB$204))*$D27</f>
        <v>3102.299</v>
      </c>
      <c r="G27" s="24" t="n">
        <f aca="false">(SUMIF('UW Bordereaux'!$D$5:$D$204,"Bound*",'UW Bordereaux'!$AQ$5:$AQ$204))*$D27</f>
        <v>2326.725</v>
      </c>
    </row>
    <row r="28" customFormat="false" ht="15" hidden="false" customHeight="true" outlineLevel="0" collapsed="false">
      <c r="B28" s="18" t="s">
        <v>81</v>
      </c>
      <c r="C28" s="19" t="s">
        <v>82</v>
      </c>
      <c r="D28" s="10" t="n">
        <v>0.1</v>
      </c>
      <c r="E28" s="20" t="n">
        <f aca="false">(SUMIF('UW Bordereaux'!$D$5:$D$204,"Bound*",'UW Bordereaux'!$AD$5:$AD$204))*$D28</f>
        <v>3102.299</v>
      </c>
      <c r="F28" s="20" t="n">
        <f aca="false">(SUMIF('UW Bordereaux'!$D$5:$D$204,"Bound*",'UW Bordereaux'!$AB$5:$AB$204))*$D28</f>
        <v>3102.299</v>
      </c>
      <c r="G28" s="20" t="n">
        <f aca="false">(SUMIF('UW Bordereaux'!$D$5:$D$204,"Bound*",'UW Bordereaux'!$AQ$5:$AQ$204))*$D28</f>
        <v>2326.725</v>
      </c>
    </row>
    <row r="29" customFormat="false" ht="15" hidden="false" customHeight="true" outlineLevel="0" collapsed="false">
      <c r="B29" s="21" t="s">
        <v>83</v>
      </c>
      <c r="C29" s="22" t="s">
        <v>84</v>
      </c>
      <c r="D29" s="23" t="n">
        <v>0.1</v>
      </c>
      <c r="E29" s="24" t="n">
        <f aca="false">(SUMIF('UW Bordereaux'!$D$5:$D$204,"Bound*",'UW Bordereaux'!$AD$5:$AD$204))*$D29</f>
        <v>3102.299</v>
      </c>
      <c r="F29" s="24" t="n">
        <f aca="false">(SUMIF('UW Bordereaux'!$D$5:$D$204,"Bound*",'UW Bordereaux'!$AB$5:$AB$204))*$D29</f>
        <v>3102.299</v>
      </c>
      <c r="G29" s="24" t="n">
        <f aca="false">(SUMIF('UW Bordereaux'!$D$5:$D$204,"Bound*",'UW Bordereaux'!$AQ$5:$AQ$204))*$D29</f>
        <v>2326.725</v>
      </c>
    </row>
    <row r="30" customFormat="false" ht="15" hidden="false" customHeight="true" outlineLevel="0" collapsed="false">
      <c r="B30" s="18" t="s">
        <v>85</v>
      </c>
      <c r="C30" s="19" t="s">
        <v>86</v>
      </c>
      <c r="D30" s="10" t="n">
        <v>0.1</v>
      </c>
      <c r="E30" s="20" t="n">
        <f aca="false">(SUMIF('UW Bordereaux'!$D$5:$D$204,"Bound*",'UW Bordereaux'!$AD$5:$AD$204))*$D30</f>
        <v>3102.299</v>
      </c>
      <c r="F30" s="20" t="n">
        <f aca="false">(SUMIF('UW Bordereaux'!$D$5:$D$204,"Bound*",'UW Bordereaux'!$AB$5:$AB$204))*$D30</f>
        <v>3102.299</v>
      </c>
      <c r="G30" s="20" t="n">
        <f aca="false">(SUMIF('UW Bordereaux'!$D$5:$D$204,"Bound*",'UW Bordereaux'!$AQ$5:$AQ$204))*$D30</f>
        <v>2326.725</v>
      </c>
    </row>
    <row r="31" customFormat="false" ht="15" hidden="false" customHeight="true" outlineLevel="0" collapsed="false">
      <c r="B31" s="21" t="s">
        <v>87</v>
      </c>
      <c r="C31" s="22" t="s">
        <v>88</v>
      </c>
      <c r="D31" s="23" t="n">
        <v>0.1</v>
      </c>
      <c r="E31" s="24" t="n">
        <f aca="false">(SUMIF('UW Bordereaux'!$D$5:$D$204,"Bound*",'UW Bordereaux'!$AD$5:$AD$204))*$D31</f>
        <v>3102.299</v>
      </c>
      <c r="F31" s="24" t="n">
        <f aca="false">(SUMIF('UW Bordereaux'!$D$5:$D$204,"Bound*",'UW Bordereaux'!$AB$5:$AB$204))*$D31</f>
        <v>3102.299</v>
      </c>
      <c r="G31" s="24" t="n">
        <f aca="false">(SUMIF('UW Bordereaux'!$D$5:$D$204,"Bound*",'UW Bordereaux'!$AQ$5:$AQ$204))*$D31</f>
        <v>2326.725</v>
      </c>
    </row>
    <row r="32" customFormat="false" ht="15" hidden="false" customHeight="true" outlineLevel="0" collapsed="false">
      <c r="B32" s="18" t="s">
        <v>89</v>
      </c>
      <c r="C32" s="19" t="s">
        <v>90</v>
      </c>
      <c r="D32" s="10" t="n">
        <v>0.1</v>
      </c>
      <c r="E32" s="20" t="n">
        <f aca="false">(SUMIF('UW Bordereaux'!$D$5:$D$204,"Bound*",'UW Bordereaux'!$AD$5:$AD$204))*$D32</f>
        <v>3102.299</v>
      </c>
      <c r="F32" s="20" t="n">
        <f aca="false">(SUMIF('UW Bordereaux'!$D$5:$D$204,"Bound*",'UW Bordereaux'!$AB$5:$AB$204))*$D32</f>
        <v>3102.299</v>
      </c>
      <c r="G32" s="20" t="n">
        <f aca="false">(SUMIF('UW Bordereaux'!$D$5:$D$204,"Bound*",'UW Bordereaux'!$AQ$5:$AQ$204))*$D32</f>
        <v>2326.725</v>
      </c>
    </row>
    <row r="33" customFormat="false" ht="15" hidden="false" customHeight="true" outlineLevel="0" collapsed="false">
      <c r="B33" s="21" t="s">
        <v>91</v>
      </c>
      <c r="C33" s="22" t="s">
        <v>92</v>
      </c>
      <c r="D33" s="23" t="n">
        <v>0.1</v>
      </c>
      <c r="E33" s="24" t="n">
        <f aca="false">(SUMIF('UW Bordereaux'!$D$5:$D$204,"Bound*",'UW Bordereaux'!$AD$5:$AD$204))*$D33</f>
        <v>3102.299</v>
      </c>
      <c r="F33" s="24" t="n">
        <f aca="false">(SUMIF('UW Bordereaux'!$D$5:$D$204,"Bound*",'UW Bordereaux'!$AB$5:$AB$204))*$D33</f>
        <v>3102.299</v>
      </c>
      <c r="G33" s="24" t="n">
        <f aca="false">(SUMIF('UW Bordereaux'!$D$5:$D$204,"Bound*",'UW Bordereaux'!$AQ$5:$AQ$204))*$D33</f>
        <v>2326.725</v>
      </c>
    </row>
    <row r="34" customFormat="false" ht="15" hidden="false" customHeight="true" outlineLevel="0" collapsed="false">
      <c r="C34" s="25" t="s">
        <v>93</v>
      </c>
      <c r="D34" s="26" t="n">
        <f aca="false">SUM(D24:D33)</f>
        <v>1</v>
      </c>
      <c r="E34" s="27" t="n">
        <f aca="false">SUMIF('UW Bordereaux'!$D$5:$D$204,"Bound*",'UW Bordereaux'!$AD$5:$AD$204)</f>
        <v>31022.99</v>
      </c>
      <c r="F34" s="27" t="n">
        <f aca="false">SUMIF('UW Bordereaux'!$D$5:$D$204,"Bound*",'UW Bordereaux'!$AB$5:$AB$204)</f>
        <v>31022.99</v>
      </c>
      <c r="G34" s="27" t="n">
        <f aca="false">SUMIF('UW Bordereaux'!$D$5:$D$204,"Bound*",'UW Bordereaux'!$AQ$5:$AQ$204)</f>
        <v>23267.25</v>
      </c>
    </row>
    <row r="35" customFormat="false" ht="15" hidden="false" customHeight="true" outlineLevel="0" collapsed="false">
      <c r="D35" s="28" t="str">
        <f aca="false">IF(ROUND(D34,6)=1,"Panel signs 100% — OK","ERROR: panel signs "&amp;TEXT(D34,"0.00%"))</f>
        <v>Panel signs 100% — OK</v>
      </c>
      <c r="E35" s="28"/>
      <c r="F35" s="28"/>
      <c r="G35" s="28"/>
    </row>
    <row r="37" customFormat="false" ht="18" hidden="false" customHeight="true" outlineLevel="0" collapsed="false">
      <c r="B37" s="3" t="s">
        <v>94</v>
      </c>
      <c r="C37" s="3"/>
      <c r="D37" s="3"/>
      <c r="E37" s="3"/>
      <c r="F37" s="3"/>
      <c r="G37" s="3"/>
    </row>
    <row r="38" customFormat="false" ht="15" hidden="false" customHeight="true" outlineLevel="0" collapsed="false">
      <c r="B38" s="29" t="s">
        <v>95</v>
      </c>
      <c r="C38" s="30" t="n">
        <f aca="false">COUNTA('UW Bordereaux'!$A$5:$A$204)</f>
        <v>1</v>
      </c>
    </row>
    <row r="39" customFormat="false" ht="15" hidden="false" customHeight="true" outlineLevel="0" collapsed="false">
      <c r="B39" s="29" t="s">
        <v>96</v>
      </c>
      <c r="C39" s="30" t="n">
        <f aca="false">COUNTIF('UW Bordereaux'!$D$5:$D$204,"Bound*")</f>
        <v>1</v>
      </c>
    </row>
    <row r="40" customFormat="false" ht="15" hidden="false" customHeight="true" outlineLevel="0" collapsed="false">
      <c r="B40" s="29" t="s">
        <v>97</v>
      </c>
      <c r="C40" s="30" t="n">
        <f aca="false">COUNTIF('UW Bordereaux'!$D$5:$D$204,"Declined")+COUNTIF('UW Bordereaux'!$D$5:$D$204,"Cancelled")+COUNTIF('UW Bordereaux'!$D$5:$D$204,"Lapsed")</f>
        <v>0</v>
      </c>
    </row>
    <row r="41" customFormat="false" ht="15" hidden="false" customHeight="true" outlineLevel="0" collapsed="false">
      <c r="B41" s="31" t="s">
        <v>98</v>
      </c>
      <c r="C41" s="32" t="n">
        <f aca="false">SUMIF('UW Bordereaux'!$D$5:$D$204,"Bound*",'UW Bordereaux'!$AD$5:$AD$204)</f>
        <v>31022.99</v>
      </c>
    </row>
    <row r="42" customFormat="false" ht="15" hidden="false" customHeight="true" outlineLevel="0" collapsed="false">
      <c r="B42" s="31" t="s">
        <v>99</v>
      </c>
      <c r="C42" s="32" t="n">
        <f aca="false">SUMIF('UW Bordereaux'!$D$5:$D$204,"Bound*",'UW Bordereaux'!$AB$5:$AB$204)</f>
        <v>31022.99</v>
      </c>
    </row>
    <row r="43" customFormat="false" ht="15" hidden="false" customHeight="true" outlineLevel="0" collapsed="false">
      <c r="B43" s="31" t="s">
        <v>100</v>
      </c>
      <c r="C43" s="33" t="n">
        <f aca="false">IFERROR((SUMIF('UW Bordereaux'!$D$5:$D$204,"Bound*",'UW Bordereaux'!$AD$5:$AD$204))/(SUMIF('UW Bordereaux'!$D$5:$D$204,"Bound*",'UW Bordereaux'!$AB$5:$AB$204)),0)</f>
        <v>1</v>
      </c>
    </row>
    <row r="44" customFormat="false" ht="15" hidden="false" customHeight="true" outlineLevel="0" collapsed="false">
      <c r="B44" s="29" t="s">
        <v>101</v>
      </c>
      <c r="C44" s="34" t="n">
        <f aca="false">SUMIF('UW Bordereaux'!$D$5:$D$204,"Bound*",'UW Bordereaux'!$AQ$5:$AQ$204)</f>
        <v>23267.25</v>
      </c>
    </row>
    <row r="45" customFormat="false" ht="15" hidden="false" customHeight="true" outlineLevel="0" collapsed="false">
      <c r="B45" s="29" t="s">
        <v>102</v>
      </c>
      <c r="C45" s="34" t="n">
        <f aca="false">SUMIF('UW Bordereaux'!$D$5:$D$204,"Bound*",'UW Bordereaux'!$AE$5:$AE$204)</f>
        <v>250</v>
      </c>
    </row>
    <row r="46" customFormat="false" ht="15" hidden="false" customHeight="true" outlineLevel="0" collapsed="false">
      <c r="B46" s="29" t="s">
        <v>103</v>
      </c>
      <c r="C46" s="34" t="n">
        <f aca="false">SUMIF('UW Bordereaux'!$D$5:$D$204,"Bound*",'UW Bordereaux'!$AH$5:$AH$204)</f>
        <v>1571.1495</v>
      </c>
    </row>
    <row r="47" customFormat="false" ht="15" hidden="false" customHeight="true" outlineLevel="0" collapsed="false">
      <c r="B47" s="29" t="s">
        <v>104</v>
      </c>
      <c r="C47" s="30" t="n">
        <f aca="false">COUNTIFS('UW Bordereaux'!$AD$5:$AD$204,"&gt;="&amp;Header!$C$18,'UW Bordereaux'!$D$5:$D$204,"Bound*")</f>
        <v>0</v>
      </c>
    </row>
    <row r="48" customFormat="false" ht="15" hidden="false" customHeight="true" outlineLevel="0" collapsed="false">
      <c r="B48" s="29" t="s">
        <v>105</v>
      </c>
      <c r="C48" s="30" t="n">
        <f aca="false">COUNTIF('UW Bordereaux'!$AL$5:$AL$204,"BEYOND AUTHORITY")</f>
        <v>0</v>
      </c>
    </row>
    <row r="49" customFormat="false" ht="15" hidden="false" customHeight="true" outlineLevel="0" collapsed="false">
      <c r="B49" s="29" t="s">
        <v>106</v>
      </c>
      <c r="C49" s="30" t="n">
        <f aca="false">COUNTA('UW Bordereaux'!$A$5:$A$204)-COUNTIF('UW Bordereaux'!$D$5:$D$204,"Bound*")-COUNTIF('UW Bordereaux'!$D$5:$D$204,"Declined")-COUNTIF('UW Bordereaux'!$D$5:$D$204,"Cancelled")-COUNTIF('UW Bordereaux'!$D$5:$D$204,"Lapsed")-COUNTIF('UW Bordereaux'!$D$5:$D$204,"Quoted*")-COUNTIF('UW Bordereaux'!$D$5:$D$204,"Void")-COUNTIF('UW Bordereaux'!$D$5:$D$204,"Reinstatement")</f>
        <v>0</v>
      </c>
    </row>
    <row r="50" customFormat="false" ht="15" hidden="false" customHeight="true" outlineLevel="0" collapsed="false">
      <c r="B50" s="29" t="s">
        <v>107</v>
      </c>
      <c r="C50" s="30" t="n">
        <f aca="false">COUNTIF('UW Bordereaux'!$AX$5:$AX$204,"FAIL*")</f>
        <v>0</v>
      </c>
    </row>
  </sheetData>
  <mergeCells count="7">
    <mergeCell ref="A1:G1"/>
    <mergeCell ref="A2:G2"/>
    <mergeCell ref="B3:G3"/>
    <mergeCell ref="B4:G4"/>
    <mergeCell ref="B22:G22"/>
    <mergeCell ref="D35:G35"/>
    <mergeCell ref="B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2"/>
    <col collapsed="false" customWidth="true" hidden="false" outlineLevel="0" max="5" min="4" style="0" width="20"/>
    <col collapsed="false" customWidth="true" hidden="false" outlineLevel="0" max="6" min="6" style="0" width="14"/>
    <col collapsed="false" customWidth="true" hidden="false" outlineLevel="0" max="7" min="7" style="0" width="10"/>
    <col collapsed="false" customWidth="true" hidden="false" outlineLevel="0" max="8" min="8" style="0" width="9"/>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3" min="13" style="0" width="13"/>
    <col collapsed="false" customWidth="true" hidden="false" outlineLevel="0" max="14" min="14" style="0" width="11"/>
    <col collapsed="false" customWidth="true" hidden="false" outlineLevel="0" max="15" min="15" style="0" width="22"/>
    <col collapsed="false" customWidth="true" hidden="false" outlineLevel="0" max="16" min="16" style="0" width="13"/>
    <col collapsed="false" customWidth="true" hidden="false" outlineLevel="0" max="17" min="17" style="0" width="11"/>
    <col collapsed="false" customWidth="true" hidden="false" outlineLevel="0" max="18" min="18" style="0" width="10"/>
    <col collapsed="false" customWidth="true" hidden="false" outlineLevel="0" max="19" min="19" style="0" width="26"/>
    <col collapsed="false" customWidth="true" hidden="false" outlineLevel="0" max="20" min="20" style="0" width="10"/>
    <col collapsed="false" customWidth="true" hidden="false" outlineLevel="0" max="21" min="21" style="0" width="22"/>
    <col collapsed="false" customWidth="true" hidden="false" outlineLevel="0" max="22" min="22" style="0" width="18"/>
    <col collapsed="false" customWidth="true" hidden="false" outlineLevel="0" max="23" min="23" style="0" width="13"/>
    <col collapsed="false" customWidth="true" hidden="false" outlineLevel="0" max="24" min="24" style="0" width="14"/>
    <col collapsed="false" customWidth="true" hidden="false" outlineLevel="0" max="25" min="25" style="0" width="26"/>
    <col collapsed="false" customWidth="true" hidden="false" outlineLevel="0" max="26" min="26" style="0" width="22"/>
    <col collapsed="false" customWidth="true" hidden="false" outlineLevel="0" max="27" min="27" style="0" width="18"/>
    <col collapsed="false" customWidth="true" hidden="false" outlineLevel="0" max="28" min="28" style="0" width="15"/>
    <col collapsed="false" customWidth="true" hidden="false" outlineLevel="0" max="29" min="29" style="0" width="10"/>
    <col collapsed="false" customWidth="true" hidden="false" outlineLevel="0" max="30" min="30" style="0" width="16"/>
    <col collapsed="false" customWidth="true" hidden="false" outlineLevel="0" max="32" min="31" style="0" width="12"/>
    <col collapsed="false" customWidth="true" hidden="false" outlineLevel="0" max="33" min="33" style="0" width="10"/>
    <col collapsed="false" customWidth="true" hidden="false" outlineLevel="0" max="34" min="34" style="0" width="12"/>
    <col collapsed="false" customWidth="true" hidden="false" outlineLevel="0" max="35" min="35" style="0" width="10"/>
    <col collapsed="false" customWidth="true" hidden="false" outlineLevel="0" max="36" min="36" style="0" width="16"/>
    <col collapsed="false" customWidth="true" hidden="false" outlineLevel="0" max="37" min="37" style="0" width="14"/>
    <col collapsed="false" customWidth="true" hidden="false" outlineLevel="0" max="38" min="38" style="0" width="16"/>
    <col collapsed="false" customWidth="true" hidden="false" outlineLevel="0" max="39" min="39" style="0" width="14"/>
    <col collapsed="false" customWidth="true" hidden="false" outlineLevel="0" max="42" min="40" style="0" width="13"/>
    <col collapsed="false" customWidth="true" hidden="false" outlineLevel="0" max="43" min="43" style="0" width="16"/>
    <col collapsed="false" customWidth="true" hidden="false" outlineLevel="0" max="45" min="44" style="0" width="13"/>
    <col collapsed="false" customWidth="true" hidden="false" outlineLevel="0" max="48" min="46" style="0" width="11"/>
    <col collapsed="false" customWidth="true" hidden="false" outlineLevel="0" max="49" min="49" style="0" width="12"/>
    <col collapsed="false" customWidth="true" hidden="false" outlineLevel="0" max="50" min="50" style="0" width="18"/>
    <col collapsed="false" customWidth="true" hidden="false" outlineLevel="0" max="52" min="51" style="0" width="12"/>
    <col collapsed="false" customWidth="true" hidden="false" outlineLevel="0" max="54" min="53" style="0" width="14"/>
    <col collapsed="false" customWidth="true" hidden="false" outlineLevel="0" max="55" min="55" style="0" width="36"/>
    <col collapsed="false" customWidth="true" hidden="false" outlineLevel="0" max="57" min="57" style="0" width="16"/>
    <col collapsed="false" customWidth="true" hidden="false" outlineLevel="0" max="58" min="58" style="0" width="14"/>
  </cols>
  <sheetData>
    <row r="1" customFormat="false" ht="25.5" hidden="false" customHeight="true" outlineLevel="0" collapsed="false">
      <c r="A1" s="1" t="s">
        <v>108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customFormat="false" ht="15" hidden="false" customHeight="true" outlineLevel="0" collapsed="false">
      <c r="A2" s="2" t="s">
        <v>109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customFormat="false" ht="19.5" hidden="false" customHeight="true" outlineLevel="0" collapsed="false">
      <c r="A3" s="35" t="s">
        <v>110</v>
      </c>
      <c r="B3" s="35"/>
      <c r="C3" s="35"/>
      <c r="D3" s="35"/>
      <c r="E3" s="35"/>
      <c r="F3" s="35"/>
      <c r="G3" s="35"/>
      <c r="H3" s="35" t="s">
        <v>111</v>
      </c>
      <c r="I3" s="35"/>
      <c r="J3" s="35"/>
      <c r="K3" s="35"/>
      <c r="L3" s="35"/>
      <c r="M3" s="35"/>
      <c r="N3" s="35"/>
      <c r="O3" s="35"/>
      <c r="P3" s="35"/>
      <c r="Q3" s="35"/>
      <c r="R3" s="35" t="s">
        <v>112</v>
      </c>
      <c r="S3" s="35"/>
      <c r="T3" s="35"/>
      <c r="U3" s="35"/>
      <c r="V3" s="35"/>
      <c r="W3" s="35" t="s">
        <v>113</v>
      </c>
      <c r="X3" s="35"/>
      <c r="Y3" s="35"/>
      <c r="Z3" s="35"/>
      <c r="AA3" s="35"/>
      <c r="AB3" s="35"/>
      <c r="AC3" s="35" t="s">
        <v>114</v>
      </c>
      <c r="AD3" s="35"/>
      <c r="AE3" s="35"/>
      <c r="AF3" s="35"/>
      <c r="AG3" s="35"/>
      <c r="AH3" s="35"/>
      <c r="AI3" s="35"/>
      <c r="AJ3" s="35"/>
      <c r="AK3" s="35"/>
      <c r="AL3" s="35"/>
      <c r="AM3" s="35"/>
      <c r="AN3" s="35"/>
      <c r="AO3" s="35" t="s">
        <v>115</v>
      </c>
      <c r="AP3" s="35"/>
      <c r="AQ3" s="35"/>
      <c r="AR3" s="35"/>
      <c r="AS3" s="35"/>
      <c r="AT3" s="35" t="s">
        <v>116</v>
      </c>
      <c r="AU3" s="35"/>
      <c r="AV3" s="35"/>
      <c r="AW3" s="35"/>
      <c r="AX3" s="35"/>
      <c r="AY3" s="35"/>
      <c r="AZ3" s="35" t="s">
        <v>117</v>
      </c>
      <c r="BA3" s="35"/>
      <c r="BB3" s="35"/>
      <c r="BC3" s="35"/>
      <c r="BD3" s="35"/>
      <c r="BE3" s="36" t="s">
        <v>118</v>
      </c>
      <c r="BF3" s="37"/>
    </row>
    <row r="4" customFormat="false" ht="43.5" hidden="false" customHeight="true" outlineLevel="0" collapsed="false">
      <c r="A4" s="17" t="s">
        <v>119</v>
      </c>
      <c r="B4" s="17" t="s">
        <v>120</v>
      </c>
      <c r="C4" s="17" t="s">
        <v>121</v>
      </c>
      <c r="D4" s="17" t="s">
        <v>122</v>
      </c>
      <c r="E4" s="17" t="s">
        <v>123</v>
      </c>
      <c r="F4" s="17" t="s">
        <v>124</v>
      </c>
      <c r="G4" s="17" t="s">
        <v>48</v>
      </c>
      <c r="H4" s="17" t="s">
        <v>125</v>
      </c>
      <c r="I4" s="17" t="s">
        <v>126</v>
      </c>
      <c r="J4" s="17" t="s">
        <v>127</v>
      </c>
      <c r="K4" s="17" t="s">
        <v>128</v>
      </c>
      <c r="L4" s="17" t="s">
        <v>129</v>
      </c>
      <c r="M4" s="17" t="s">
        <v>130</v>
      </c>
      <c r="N4" s="17" t="s">
        <v>131</v>
      </c>
      <c r="O4" s="17" t="s">
        <v>132</v>
      </c>
      <c r="P4" s="17" t="s">
        <v>133</v>
      </c>
      <c r="Q4" s="17" t="s">
        <v>134</v>
      </c>
      <c r="R4" s="17" t="s">
        <v>135</v>
      </c>
      <c r="S4" s="17" t="s">
        <v>136</v>
      </c>
      <c r="T4" s="17" t="s">
        <v>137</v>
      </c>
      <c r="U4" s="17" t="s">
        <v>138</v>
      </c>
      <c r="V4" s="17" t="s">
        <v>139</v>
      </c>
      <c r="W4" s="17" t="s">
        <v>140</v>
      </c>
      <c r="X4" s="17" t="s">
        <v>141</v>
      </c>
      <c r="Y4" s="17" t="s">
        <v>142</v>
      </c>
      <c r="Z4" s="17" t="s">
        <v>143</v>
      </c>
      <c r="AA4" s="17" t="s">
        <v>144</v>
      </c>
      <c r="AB4" s="17" t="s">
        <v>145</v>
      </c>
      <c r="AC4" s="17" t="s">
        <v>146</v>
      </c>
      <c r="AD4" s="17" t="s">
        <v>147</v>
      </c>
      <c r="AE4" s="17" t="s">
        <v>148</v>
      </c>
      <c r="AF4" s="17" t="s">
        <v>149</v>
      </c>
      <c r="AG4" s="17" t="s">
        <v>150</v>
      </c>
      <c r="AH4" s="17" t="s">
        <v>151</v>
      </c>
      <c r="AI4" s="17" t="s">
        <v>152</v>
      </c>
      <c r="AJ4" s="17" t="s">
        <v>153</v>
      </c>
      <c r="AK4" s="17" t="s">
        <v>154</v>
      </c>
      <c r="AL4" s="17" t="s">
        <v>155</v>
      </c>
      <c r="AM4" s="17" t="s">
        <v>156</v>
      </c>
      <c r="AN4" s="17" t="s">
        <v>157</v>
      </c>
      <c r="AO4" s="17" t="s">
        <v>158</v>
      </c>
      <c r="AP4" s="17" t="s">
        <v>159</v>
      </c>
      <c r="AQ4" s="17" t="s">
        <v>160</v>
      </c>
      <c r="AR4" s="17" t="s">
        <v>161</v>
      </c>
      <c r="AS4" s="17" t="s">
        <v>162</v>
      </c>
      <c r="AT4" s="17" t="s">
        <v>163</v>
      </c>
      <c r="AU4" s="17" t="s">
        <v>164</v>
      </c>
      <c r="AV4" s="17" t="s">
        <v>165</v>
      </c>
      <c r="AW4" s="17" t="s">
        <v>166</v>
      </c>
      <c r="AX4" s="17" t="s">
        <v>167</v>
      </c>
      <c r="AY4" s="17" t="s">
        <v>168</v>
      </c>
      <c r="AZ4" s="17" t="s">
        <v>169</v>
      </c>
      <c r="BA4" s="17" t="s">
        <v>170</v>
      </c>
      <c r="BB4" s="17" t="s">
        <v>171</v>
      </c>
      <c r="BC4" s="17" t="s">
        <v>172</v>
      </c>
      <c r="BE4" s="17" t="s">
        <v>173</v>
      </c>
      <c r="BF4" s="17" t="s">
        <v>174</v>
      </c>
    </row>
    <row r="5" customFormat="false" ht="18.75" hidden="false" customHeight="true" outlineLevel="0" collapsed="false">
      <c r="A5" s="38" t="s">
        <v>175</v>
      </c>
      <c r="B5" s="38" t="s">
        <v>176</v>
      </c>
      <c r="C5" s="39" t="n">
        <v>46002</v>
      </c>
      <c r="D5" s="40" t="s">
        <v>177</v>
      </c>
      <c r="E5" s="40" t="s">
        <v>178</v>
      </c>
      <c r="F5" s="38" t="s">
        <v>36</v>
      </c>
      <c r="G5" s="41" t="n">
        <f aca="false">IF($A5="","",IF($C5="","",YEAR($C5)))</f>
        <v>2025</v>
      </c>
      <c r="H5" s="42" t="n">
        <v>1938</v>
      </c>
      <c r="I5" s="38" t="s">
        <v>179</v>
      </c>
      <c r="J5" s="38" t="s">
        <v>180</v>
      </c>
      <c r="K5" s="38" t="s">
        <v>181</v>
      </c>
      <c r="L5" s="40" t="s">
        <v>182</v>
      </c>
      <c r="M5" s="43" t="n">
        <v>1950000</v>
      </c>
      <c r="N5" s="40" t="s">
        <v>183</v>
      </c>
      <c r="O5" s="38" t="s">
        <v>184</v>
      </c>
      <c r="P5" s="38" t="s">
        <v>185</v>
      </c>
      <c r="Q5" s="38" t="s">
        <v>186</v>
      </c>
      <c r="R5" s="38" t="s">
        <v>187</v>
      </c>
      <c r="S5" s="40" t="s">
        <v>188</v>
      </c>
      <c r="T5" s="44" t="str">
        <f aca="false">IF($A5="","",IF($S5="","",IFERROR(INDEX(Lists!$N$5:$N$16,MATCH($S5,Lists!$M$5:$M$16,0)),"?")))</f>
        <v>?</v>
      </c>
      <c r="U5" s="38" t="s">
        <v>189</v>
      </c>
      <c r="V5" s="40" t="s">
        <v>190</v>
      </c>
      <c r="W5" s="38" t="s">
        <v>191</v>
      </c>
      <c r="X5" s="40" t="s">
        <v>192</v>
      </c>
      <c r="Y5" s="38" t="s">
        <v>193</v>
      </c>
      <c r="Z5" s="38"/>
      <c r="AA5" s="40" t="s">
        <v>194</v>
      </c>
      <c r="AB5" s="43" t="n">
        <v>31022.99</v>
      </c>
      <c r="AC5" s="45" t="n">
        <v>0</v>
      </c>
      <c r="AD5" s="46" t="n">
        <f aca="false">IF(ISNUMBER($AB5),$AB5*(1+N($AC5)),"")</f>
        <v>31022.99</v>
      </c>
      <c r="AE5" s="43" t="n">
        <v>250</v>
      </c>
      <c r="AF5" s="43" t="n">
        <v>150</v>
      </c>
      <c r="AG5" s="45" t="n">
        <v>0.05</v>
      </c>
      <c r="AH5" s="47" t="n">
        <f aca="false">IF(ISNUMBER($AD5),($AD5+$AE5+$AF5)*$AG5,"")</f>
        <v>1571.1495</v>
      </c>
      <c r="AI5" s="43"/>
      <c r="AJ5" s="46" t="n">
        <f aca="false">IF(ISNUMBER($AD5),SUM($AD5:$AH5),"")</f>
        <v>32994.1895</v>
      </c>
      <c r="AK5" s="48" t="n">
        <f aca="false">IF(AND(ISNUMBER($AB5),ISNUMBER($AD5)),IF($AB5&gt;0,$AD5/$AB5,""),"")</f>
        <v>1</v>
      </c>
      <c r="AL5" s="40" t="s">
        <v>195</v>
      </c>
      <c r="AM5" s="49" t="n">
        <f aca="false">IF(ISNUMBER($AD5),Header!$I$3,"")</f>
        <v>0.25</v>
      </c>
      <c r="AN5" s="47" t="n">
        <f aca="false">IF(ISNUMBER($AD5),$AO5+$AP5,"")</f>
        <v>7755.74</v>
      </c>
      <c r="AO5" s="47" t="n">
        <f aca="false">IF(ISNUMBER($AD5),ROUND($AD5*Header!$K$3,2),"")</f>
        <v>3877.87</v>
      </c>
      <c r="AP5" s="47" t="n">
        <f aca="false">IF(ISNUMBER($AD5),ROUND($AD5*Header!$M$3,2),"")</f>
        <v>3877.87</v>
      </c>
      <c r="AQ5" s="46" t="n">
        <f aca="false">IF(ISNUMBER($AD5),ROUND($AD5,2)-$AO5-$AP5,"")</f>
        <v>23267.25</v>
      </c>
      <c r="AR5" s="47" t="n">
        <f aca="false">IF(ISNUMBER($AD5),IF(Header!$D$34="","?",$AD5*Header!$D$34),"")</f>
        <v>31022.99</v>
      </c>
      <c r="AS5" s="47" t="n">
        <f aca="false">IF(ISNUMBER($AB5),IF(Header!$D$34="","?",$AB5*Header!$D$34),"")</f>
        <v>31022.99</v>
      </c>
      <c r="AT5" s="50" t="n">
        <f aca="false">IF(AND(ISNUMBER($AB5),$M5&gt;0),$AB5/$M5*100,"")</f>
        <v>1.59092256410256</v>
      </c>
      <c r="AU5" s="50" t="n">
        <f aca="false">IF(AND(ISNUMBER($AD5),$M5&gt;0),$AD5/$M5*100,"")</f>
        <v>1.59092256410256</v>
      </c>
      <c r="AV5" s="48" t="n">
        <f aca="false">IF(AND(ISNUMBER($AB5),ISNUMBER($AD5),ABS($AB5)&gt;0),$AD5/$AB5,"")</f>
        <v>1</v>
      </c>
      <c r="AW5" s="47" t="n">
        <f aca="false">IF(ISNUMBER($AD5),MAX(0,(1-0.55-Header!$O$3)*Header!$Q$3*$AQ5),"")</f>
        <v>0</v>
      </c>
      <c r="AX5" s="51" t="str">
        <f aca="false">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v>PASS</v>
      </c>
      <c r="AY5" s="52" t="str">
        <f aca="false">IF($M5="","",IF(ISNUMBER($M5),IF($M5&gt;=Header!$C$18,"YES — refer","No"),""))</f>
        <v>No</v>
      </c>
      <c r="AZ5" s="52" t="str">
        <f aca="false">IF($AD5="","",IF(ISNUMBER($AD5),IF($AD5&lt;Header!$C$20,"BELOW MIN PREMIUM","OK"),""))</f>
        <v>OK</v>
      </c>
      <c r="BA5" s="40" t="s">
        <v>196</v>
      </c>
      <c r="BB5" s="40"/>
      <c r="BC5" s="38" t="s">
        <v>197</v>
      </c>
      <c r="BE5" s="53" t="str">
        <f aca="false">IF(OR($A5="",$L5="",$H5=""),"",IF(AND(LEFT($L5,2)="06",$H5&gt;1945),"FAIL - pre-war class, year "&amp;$H5,IF(AND(LEFT($L5,2)="07",OR($H5&lt;1946,$H5&gt;1972)),"FAIL - 1946-72 class, year "&amp;$H5,IF(AND(LEFT($L5,2)="08",OR($H5&lt;1973,$H5&gt;1999)),"FAIL - 1973-99 class, year "&amp;$H5,IF(AND(LEFT($L5,2)="09",OR($H5&lt;2000,$H5&gt;2010)),"FAIL - 2000-10 class, year "&amp;$H5,"OK")))))</f>
        <v>OK</v>
      </c>
      <c r="BF5" s="53" t="str">
        <f aca="false">IF($AD5="","",IF(ROUND($AO5+$AP5+$AQ5-$AD5,2)=0,"OK","FAIL - out by "&amp;TEXT($AO5+$AP5+$AQ5-$AD5,"$0.00")))</f>
        <v>OK</v>
      </c>
    </row>
    <row r="6" customFormat="false" ht="18.75" hidden="false" customHeight="true" outlineLevel="0" collapsed="false">
      <c r="A6" s="54"/>
      <c r="B6" s="54"/>
      <c r="C6" s="55"/>
      <c r="D6" s="56"/>
      <c r="E6" s="56"/>
      <c r="F6" s="54"/>
      <c r="G6" s="41" t="str">
        <f aca="false">IF($A6="","",IF($C6="","",YEAR($C6)))</f>
        <v/>
      </c>
      <c r="H6" s="57"/>
      <c r="I6" s="54"/>
      <c r="J6" s="54"/>
      <c r="K6" s="54"/>
      <c r="L6" s="56"/>
      <c r="M6" s="58"/>
      <c r="N6" s="56"/>
      <c r="O6" s="54"/>
      <c r="P6" s="54"/>
      <c r="Q6" s="54"/>
      <c r="R6" s="54"/>
      <c r="S6" s="56"/>
      <c r="T6" s="44" t="str">
        <f aca="false">IF($A6="","",IF($S6="","",IFERROR(INDEX(Lists!$N$5:$N$16,MATCH($S6,Lists!$M$5:$M$16,0)),"?")))</f>
        <v/>
      </c>
      <c r="U6" s="54"/>
      <c r="V6" s="56"/>
      <c r="W6" s="54"/>
      <c r="X6" s="56"/>
      <c r="Y6" s="54" t="s">
        <v>198</v>
      </c>
      <c r="Z6" s="54"/>
      <c r="AA6" s="56"/>
      <c r="AB6" s="58"/>
      <c r="AC6" s="59"/>
      <c r="AD6" s="46" t="str">
        <f aca="false">IF(ISNUMBER($AB6),$AB6*(1+N($AC6)),"")</f>
        <v/>
      </c>
      <c r="AE6" s="58"/>
      <c r="AF6" s="58"/>
      <c r="AG6" s="59"/>
      <c r="AH6" s="47" t="str">
        <f aca="false">IF(ISNUMBER($AD6),($AD6+$AE6+$AF6)*$AG6,"")</f>
        <v/>
      </c>
      <c r="AI6" s="58"/>
      <c r="AJ6" s="46" t="str">
        <f aca="false">IF(ISNUMBER($AD6),SUM($AD6:$AH6),"")</f>
        <v/>
      </c>
      <c r="AK6" s="48" t="str">
        <f aca="false">IF(AND(ISNUMBER($AB6),ISNUMBER($AD6)),IF($AB6&gt;0,$AD6/$AB6,""),"")</f>
        <v/>
      </c>
      <c r="AL6" s="56"/>
      <c r="AM6" s="49" t="str">
        <f aca="false">IF(ISNUMBER($AD6),Header!$I$3,"")</f>
        <v/>
      </c>
      <c r="AN6" s="47" t="str">
        <f aca="false">IF(ISNUMBER($AD6),$AO6+$AP6,"")</f>
        <v/>
      </c>
      <c r="AO6" s="47" t="str">
        <f aca="false">IF(ISNUMBER($AD6),ROUND($AD6*Header!$K$3,2),"")</f>
        <v/>
      </c>
      <c r="AP6" s="47" t="str">
        <f aca="false">IF(ISNUMBER($AD6),ROUND($AD6*Header!$M$3,2),"")</f>
        <v/>
      </c>
      <c r="AQ6" s="46" t="str">
        <f aca="false">IF(ISNUMBER($AD6),ROUND($AD6,2)-$AO6-$AP6,"")</f>
        <v/>
      </c>
      <c r="AR6" s="47" t="str">
        <f aca="false">IF(ISNUMBER($AD6),IF(Header!$D$34="","?",$AD6*Header!$D$34),"")</f>
        <v/>
      </c>
      <c r="AS6" s="47" t="str">
        <f aca="false">IF(ISNUMBER($AB6),IF(Header!$D$34="","?",$AB6*Header!$D$34),"")</f>
        <v/>
      </c>
      <c r="AT6" s="50" t="str">
        <f aca="false">IF(AND(ISNUMBER($AB6),$M6&gt;0),$AB6/$M6*100,"")</f>
        <v/>
      </c>
      <c r="AU6" s="50" t="str">
        <f aca="false">IF(AND(ISNUMBER($AD6),$M6&gt;0),$AD6/$M6*100,"")</f>
        <v/>
      </c>
      <c r="AV6" s="48" t="str">
        <f aca="false">IF(AND(ISNUMBER($AB6),ISNUMBER($AD6),ABS($AB6)&gt;0),$AD6/$AB6,"")</f>
        <v/>
      </c>
      <c r="AW6" s="47" t="str">
        <f aca="false">IF(ISNUMBER($AD6),MAX(0,(1-0.55-Header!$O$3)*Header!$Q$3*$AQ6),"")</f>
        <v/>
      </c>
      <c r="AX6" s="51" t="str">
        <f aca="false">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v/>
      </c>
      <c r="AY6" s="52" t="str">
        <f aca="false">IF($M6="","",IF(ISNUMBER($M6),IF($M6&gt;=Header!$C$18,"YES — refer","No"),""))</f>
        <v/>
      </c>
      <c r="AZ6" s="52" t="str">
        <f aca="false">IF($AD6="","",IF(ISNUMBER($AD6),IF($AD6&lt;Header!$C$20,"BELOW MIN PREMIUM","OK"),""))</f>
        <v/>
      </c>
      <c r="BA6" s="56"/>
      <c r="BB6" s="56"/>
      <c r="BC6" s="54"/>
      <c r="BE6" s="53" t="str">
        <f aca="false">IF(OR($A6="",$L6="",$H6=""),"",IF(AND(LEFT($L6,2)="06",$H6&gt;1945),"FAIL - pre-war class, year "&amp;$H6,IF(AND(LEFT($L6,2)="07",OR($H6&lt;1946,$H6&gt;1972)),"FAIL - 1946-72 class, year "&amp;$H6,IF(AND(LEFT($L6,2)="08",OR($H6&lt;1973,$H6&gt;1999)),"FAIL - 1973-99 class, year "&amp;$H6,IF(AND(LEFT($L6,2)="09",OR($H6&lt;2000,$H6&gt;2010)),"FAIL - 2000-10 class, year "&amp;$H6,"OK")))))</f>
        <v/>
      </c>
      <c r="BF6" s="53" t="str">
        <f aca="false">IF($AD6="","",IF(ROUND($AO6+$AP6+$AQ6-$AD6,2)=0,"OK","FAIL - out by "&amp;TEXT($AO6+$AP6+$AQ6-$AD6,"$0.00")))</f>
        <v/>
      </c>
    </row>
    <row r="7" customFormat="false" ht="18.75" hidden="false" customHeight="true" outlineLevel="0" collapsed="false">
      <c r="A7" s="38"/>
      <c r="B7" s="38"/>
      <c r="C7" s="39"/>
      <c r="D7" s="40"/>
      <c r="E7" s="40"/>
      <c r="F7" s="38"/>
      <c r="G7" s="41" t="str">
        <f aca="false">IF($A7="","",IF($C7="","",YEAR($C7)))</f>
        <v/>
      </c>
      <c r="H7" s="42"/>
      <c r="I7" s="38"/>
      <c r="J7" s="38"/>
      <c r="K7" s="38"/>
      <c r="L7" s="40"/>
      <c r="M7" s="43"/>
      <c r="N7" s="40"/>
      <c r="O7" s="38"/>
      <c r="P7" s="38"/>
      <c r="Q7" s="38"/>
      <c r="R7" s="38"/>
      <c r="S7" s="40"/>
      <c r="T7" s="44" t="str">
        <f aca="false">IF($A7="","",IF($S7="","",IFERROR(INDEX(Lists!$N$5:$N$16,MATCH($S7,Lists!$M$5:$M$16,0)),"?")))</f>
        <v/>
      </c>
      <c r="U7" s="38"/>
      <c r="V7" s="40"/>
      <c r="W7" s="38"/>
      <c r="X7" s="40"/>
      <c r="Y7" s="38" t="s">
        <v>199</v>
      </c>
      <c r="Z7" s="38"/>
      <c r="AA7" s="40"/>
      <c r="AB7" s="43"/>
      <c r="AC7" s="45"/>
      <c r="AD7" s="46" t="str">
        <f aca="false">IF(ISNUMBER($AB7),$AB7*(1+N($AC7)),"")</f>
        <v/>
      </c>
      <c r="AE7" s="43"/>
      <c r="AF7" s="43"/>
      <c r="AG7" s="45"/>
      <c r="AH7" s="47" t="str">
        <f aca="false">IF(ISNUMBER($AD7),($AD7+$AE7+$AF7)*$AG7,"")</f>
        <v/>
      </c>
      <c r="AI7" s="43"/>
      <c r="AJ7" s="46" t="str">
        <f aca="false">IF(ISNUMBER($AD7),SUM($AD7:$AH7),"")</f>
        <v/>
      </c>
      <c r="AK7" s="48" t="str">
        <f aca="false">IF(AND(ISNUMBER($AB7),ISNUMBER($AD7)),IF($AB7&gt;0,$AD7/$AB7,""),"")</f>
        <v/>
      </c>
      <c r="AL7" s="40"/>
      <c r="AM7" s="49" t="str">
        <f aca="false">IF(ISNUMBER($AD7),Header!$I$3,"")</f>
        <v/>
      </c>
      <c r="AN7" s="47" t="str">
        <f aca="false">IF(ISNUMBER($AD7),$AO7+$AP7,"")</f>
        <v/>
      </c>
      <c r="AO7" s="47" t="str">
        <f aca="false">IF(ISNUMBER($AD7),ROUND($AD7*Header!$K$3,2),"")</f>
        <v/>
      </c>
      <c r="AP7" s="47" t="str">
        <f aca="false">IF(ISNUMBER($AD7),ROUND($AD7*Header!$M$3,2),"")</f>
        <v/>
      </c>
      <c r="AQ7" s="46" t="str">
        <f aca="false">IF(ISNUMBER($AD7),ROUND($AD7,2)-$AO7-$AP7,"")</f>
        <v/>
      </c>
      <c r="AR7" s="47" t="str">
        <f aca="false">IF(ISNUMBER($AD7),IF(Header!$D$34="","?",$AD7*Header!$D$34),"")</f>
        <v/>
      </c>
      <c r="AS7" s="47" t="str">
        <f aca="false">IF(ISNUMBER($AB7),IF(Header!$D$34="","?",$AB7*Header!$D$34),"")</f>
        <v/>
      </c>
      <c r="AT7" s="50" t="str">
        <f aca="false">IF(AND(ISNUMBER($AB7),$M7&gt;0),$AB7/$M7*100,"")</f>
        <v/>
      </c>
      <c r="AU7" s="50" t="str">
        <f aca="false">IF(AND(ISNUMBER($AD7),$M7&gt;0),$AD7/$M7*100,"")</f>
        <v/>
      </c>
      <c r="AV7" s="48" t="str">
        <f aca="false">IF(AND(ISNUMBER($AB7),ISNUMBER($AD7),ABS($AB7)&gt;0),$AD7/$AB7,"")</f>
        <v/>
      </c>
      <c r="AW7" s="47" t="str">
        <f aca="false">IF(ISNUMBER($AD7),MAX(0,(1-0.55-Header!$O$3)*Header!$Q$3*$AQ7),"")</f>
        <v/>
      </c>
      <c r="AX7" s="51" t="str">
        <f aca="false">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v/>
      </c>
      <c r="AY7" s="52" t="str">
        <f aca="false">IF($M7="","",IF(ISNUMBER($M7),IF($M7&gt;=Header!$C$18,"YES — refer","No"),""))</f>
        <v/>
      </c>
      <c r="AZ7" s="52" t="str">
        <f aca="false">IF($AD7="","",IF(ISNUMBER($AD7),IF($AD7&lt;Header!$C$20,"BELOW MIN PREMIUM","OK"),""))</f>
        <v/>
      </c>
      <c r="BA7" s="40"/>
      <c r="BB7" s="40"/>
      <c r="BC7" s="38"/>
      <c r="BE7" s="53" t="str">
        <f aca="false">IF(OR($A7="",$L7="",$H7=""),"",IF(AND(LEFT($L7,2)="06",$H7&gt;1945),"FAIL - pre-war class, year "&amp;$H7,IF(AND(LEFT($L7,2)="07",OR($H7&lt;1946,$H7&gt;1972)),"FAIL - 1946-72 class, year "&amp;$H7,IF(AND(LEFT($L7,2)="08",OR($H7&lt;1973,$H7&gt;1999)),"FAIL - 1973-99 class, year "&amp;$H7,IF(AND(LEFT($L7,2)="09",OR($H7&lt;2000,$H7&gt;2010)),"FAIL - 2000-10 class, year "&amp;$H7,"OK")))))</f>
        <v/>
      </c>
      <c r="BF7" s="53" t="str">
        <f aca="false">IF($AD7="","",IF(ROUND($AO7+$AP7+$AQ7-$AD7,2)=0,"OK","FAIL - out by "&amp;TEXT($AO7+$AP7+$AQ7-$AD7,"$0.00")))</f>
        <v/>
      </c>
    </row>
    <row r="8" customFormat="false" ht="18.75" hidden="false" customHeight="true" outlineLevel="0" collapsed="false">
      <c r="A8" s="54"/>
      <c r="B8" s="54"/>
      <c r="C8" s="55"/>
      <c r="D8" s="56"/>
      <c r="E8" s="56"/>
      <c r="F8" s="54"/>
      <c r="G8" s="41" t="str">
        <f aca="false">IF($A8="","",IF($C8="","",YEAR($C8)))</f>
        <v/>
      </c>
      <c r="H8" s="57"/>
      <c r="I8" s="54"/>
      <c r="J8" s="54"/>
      <c r="K8" s="54"/>
      <c r="L8" s="56"/>
      <c r="M8" s="58"/>
      <c r="N8" s="56"/>
      <c r="O8" s="54"/>
      <c r="P8" s="54"/>
      <c r="Q8" s="54"/>
      <c r="R8" s="54"/>
      <c r="S8" s="56"/>
      <c r="T8" s="44" t="str">
        <f aca="false">IF($A8="","",IF($S8="","",IFERROR(INDEX(Lists!$N$5:$N$16,MATCH($S8,Lists!$M$5:$M$16,0)),"?")))</f>
        <v/>
      </c>
      <c r="U8" s="54"/>
      <c r="V8" s="56"/>
      <c r="W8" s="54"/>
      <c r="X8" s="56"/>
      <c r="Y8" s="54" t="s">
        <v>200</v>
      </c>
      <c r="Z8" s="54"/>
      <c r="AA8" s="56"/>
      <c r="AB8" s="58"/>
      <c r="AC8" s="59"/>
      <c r="AD8" s="46" t="str">
        <f aca="false">IF(ISNUMBER($AB8),$AB8*(1+N($AC8)),"")</f>
        <v/>
      </c>
      <c r="AE8" s="58"/>
      <c r="AF8" s="58"/>
      <c r="AG8" s="59"/>
      <c r="AH8" s="47" t="str">
        <f aca="false">IF(ISNUMBER($AD8),($AD8+$AE8+$AF8)*$AG8,"")</f>
        <v/>
      </c>
      <c r="AI8" s="58"/>
      <c r="AJ8" s="46" t="str">
        <f aca="false">IF(ISNUMBER($AD8),SUM($AD8:$AH8),"")</f>
        <v/>
      </c>
      <c r="AK8" s="48" t="str">
        <f aca="false">IF(AND(ISNUMBER($AB8),ISNUMBER($AD8)),IF($AB8&gt;0,$AD8/$AB8,""),"")</f>
        <v/>
      </c>
      <c r="AL8" s="56"/>
      <c r="AM8" s="49" t="str">
        <f aca="false">IF(ISNUMBER($AD8),Header!$I$3,"")</f>
        <v/>
      </c>
      <c r="AN8" s="47" t="str">
        <f aca="false">IF(ISNUMBER($AD8),$AO8+$AP8,"")</f>
        <v/>
      </c>
      <c r="AO8" s="47" t="str">
        <f aca="false">IF(ISNUMBER($AD8),ROUND($AD8*Header!$K$3,2),"")</f>
        <v/>
      </c>
      <c r="AP8" s="47" t="str">
        <f aca="false">IF(ISNUMBER($AD8),ROUND($AD8*Header!$M$3,2),"")</f>
        <v/>
      </c>
      <c r="AQ8" s="46" t="str">
        <f aca="false">IF(ISNUMBER($AD8),ROUND($AD8,2)-$AO8-$AP8,"")</f>
        <v/>
      </c>
      <c r="AR8" s="47" t="str">
        <f aca="false">IF(ISNUMBER($AD8),IF(Header!$D$34="","?",$AD8*Header!$D$34),"")</f>
        <v/>
      </c>
      <c r="AS8" s="47" t="str">
        <f aca="false">IF(ISNUMBER($AB8),IF(Header!$D$34="","?",$AB8*Header!$D$34),"")</f>
        <v/>
      </c>
      <c r="AT8" s="50" t="str">
        <f aca="false">IF(AND(ISNUMBER($AB8),$M8&gt;0),$AB8/$M8*100,"")</f>
        <v/>
      </c>
      <c r="AU8" s="50" t="str">
        <f aca="false">IF(AND(ISNUMBER($AD8),$M8&gt;0),$AD8/$M8*100,"")</f>
        <v/>
      </c>
      <c r="AV8" s="48" t="str">
        <f aca="false">IF(AND(ISNUMBER($AB8),ISNUMBER($AD8),ABS($AB8)&gt;0),$AD8/$AB8,"")</f>
        <v/>
      </c>
      <c r="AW8" s="47" t="str">
        <f aca="false">IF(ISNUMBER($AD8),MAX(0,(1-0.55-Header!$O$3)*Header!$Q$3*$AQ8),"")</f>
        <v/>
      </c>
      <c r="AX8" s="51" t="str">
        <f aca="false">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v/>
      </c>
      <c r="AY8" s="52" t="str">
        <f aca="false">IF($M8="","",IF(ISNUMBER($M8),IF($M8&gt;=Header!$C$18,"YES — refer","No"),""))</f>
        <v/>
      </c>
      <c r="AZ8" s="52" t="str">
        <f aca="false">IF($AD8="","",IF(ISNUMBER($AD8),IF($AD8&lt;Header!$C$20,"BELOW MIN PREMIUM","OK"),""))</f>
        <v/>
      </c>
      <c r="BA8" s="56"/>
      <c r="BB8" s="56"/>
      <c r="BC8" s="54"/>
      <c r="BE8" s="53" t="str">
        <f aca="false">IF(OR($A8="",$L8="",$H8=""),"",IF(AND(LEFT($L8,2)="06",$H8&gt;1945),"FAIL - pre-war class, year "&amp;$H8,IF(AND(LEFT($L8,2)="07",OR($H8&lt;1946,$H8&gt;1972)),"FAIL - 1946-72 class, year "&amp;$H8,IF(AND(LEFT($L8,2)="08",OR($H8&lt;1973,$H8&gt;1999)),"FAIL - 1973-99 class, year "&amp;$H8,IF(AND(LEFT($L8,2)="09",OR($H8&lt;2000,$H8&gt;2010)),"FAIL - 2000-10 class, year "&amp;$H8,"OK")))))</f>
        <v/>
      </c>
      <c r="BF8" s="53" t="str">
        <f aca="false">IF($AD8="","",IF(ROUND($AO8+$AP8+$AQ8-$AD8,2)=0,"OK","FAIL - out by "&amp;TEXT($AO8+$AP8+$AQ8-$AD8,"$0.00")))</f>
        <v/>
      </c>
    </row>
    <row r="9" customFormat="false" ht="18.75" hidden="false" customHeight="true" outlineLevel="0" collapsed="false">
      <c r="A9" s="38"/>
      <c r="B9" s="38"/>
      <c r="C9" s="39"/>
      <c r="D9" s="40"/>
      <c r="E9" s="40"/>
      <c r="F9" s="38"/>
      <c r="G9" s="41" t="str">
        <f aca="false">IF($A9="","",IF($C9="","",YEAR($C9)))</f>
        <v/>
      </c>
      <c r="H9" s="42"/>
      <c r="I9" s="38"/>
      <c r="J9" s="38"/>
      <c r="K9" s="38"/>
      <c r="L9" s="40"/>
      <c r="M9" s="43"/>
      <c r="N9" s="40"/>
      <c r="O9" s="38"/>
      <c r="P9" s="38"/>
      <c r="Q9" s="38"/>
      <c r="R9" s="38"/>
      <c r="S9" s="40"/>
      <c r="T9" s="44" t="str">
        <f aca="false">IF($A9="","",IF($S9="","",IFERROR(INDEX(Lists!$N$5:$N$16,MATCH($S9,Lists!$M$5:$M$16,0)),"?")))</f>
        <v/>
      </c>
      <c r="U9" s="38"/>
      <c r="V9" s="40"/>
      <c r="W9" s="38"/>
      <c r="X9" s="40"/>
      <c r="Y9" s="38" t="s">
        <v>201</v>
      </c>
      <c r="Z9" s="38"/>
      <c r="AA9" s="40"/>
      <c r="AB9" s="43"/>
      <c r="AC9" s="45"/>
      <c r="AD9" s="46" t="str">
        <f aca="false">IF(ISNUMBER($AB9),$AB9*(1+N($AC9)),"")</f>
        <v/>
      </c>
      <c r="AE9" s="43"/>
      <c r="AF9" s="43"/>
      <c r="AG9" s="45"/>
      <c r="AH9" s="47" t="str">
        <f aca="false">IF(ISNUMBER($AD9),($AD9+$AE9+$AF9)*$AG9,"")</f>
        <v/>
      </c>
      <c r="AI9" s="43"/>
      <c r="AJ9" s="46" t="str">
        <f aca="false">IF(ISNUMBER($AD9),SUM($AD9:$AH9),"")</f>
        <v/>
      </c>
      <c r="AK9" s="48" t="str">
        <f aca="false">IF(AND(ISNUMBER($AB9),ISNUMBER($AD9)),IF($AB9&gt;0,$AD9/$AB9,""),"")</f>
        <v/>
      </c>
      <c r="AL9" s="40"/>
      <c r="AM9" s="49" t="str">
        <f aca="false">IF(ISNUMBER($AD9),Header!$I$3,"")</f>
        <v/>
      </c>
      <c r="AN9" s="47" t="str">
        <f aca="false">IF(ISNUMBER($AD9),$AO9+$AP9,"")</f>
        <v/>
      </c>
      <c r="AO9" s="47" t="str">
        <f aca="false">IF(ISNUMBER($AD9),ROUND($AD9*Header!$K$3,2),"")</f>
        <v/>
      </c>
      <c r="AP9" s="47" t="str">
        <f aca="false">IF(ISNUMBER($AD9),ROUND($AD9*Header!$M$3,2),"")</f>
        <v/>
      </c>
      <c r="AQ9" s="46" t="str">
        <f aca="false">IF(ISNUMBER($AD9),ROUND($AD9,2)-$AO9-$AP9,"")</f>
        <v/>
      </c>
      <c r="AR9" s="47" t="str">
        <f aca="false">IF(ISNUMBER($AD9),IF(Header!$D$34="","?",$AD9*Header!$D$34),"")</f>
        <v/>
      </c>
      <c r="AS9" s="47" t="str">
        <f aca="false">IF(ISNUMBER($AB9),IF(Header!$D$34="","?",$AB9*Header!$D$34),"")</f>
        <v/>
      </c>
      <c r="AT9" s="50" t="str">
        <f aca="false">IF(AND(ISNUMBER($AB9),$M9&gt;0),$AB9/$M9*100,"")</f>
        <v/>
      </c>
      <c r="AU9" s="50" t="str">
        <f aca="false">IF(AND(ISNUMBER($AD9),$M9&gt;0),$AD9/$M9*100,"")</f>
        <v/>
      </c>
      <c r="AV9" s="48" t="str">
        <f aca="false">IF(AND(ISNUMBER($AB9),ISNUMBER($AD9),ABS($AB9)&gt;0),$AD9/$AB9,"")</f>
        <v/>
      </c>
      <c r="AW9" s="47" t="str">
        <f aca="false">IF(ISNUMBER($AD9),MAX(0,(1-0.55-Header!$O$3)*Header!$Q$3*$AQ9),"")</f>
        <v/>
      </c>
      <c r="AX9" s="51" t="str">
        <f aca="false">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v/>
      </c>
      <c r="AY9" s="52" t="str">
        <f aca="false">IF($M9="","",IF(ISNUMBER($M9),IF($M9&gt;=Header!$C$18,"YES — refer","No"),""))</f>
        <v/>
      </c>
      <c r="AZ9" s="52" t="str">
        <f aca="false">IF($AD9="","",IF(ISNUMBER($AD9),IF($AD9&lt;Header!$C$20,"BELOW MIN PREMIUM","OK"),""))</f>
        <v/>
      </c>
      <c r="BA9" s="40"/>
      <c r="BB9" s="40"/>
      <c r="BC9" s="38"/>
      <c r="BE9" s="53" t="str">
        <f aca="false">IF(OR($A9="",$L9="",$H9=""),"",IF(AND(LEFT($L9,2)="06",$H9&gt;1945),"FAIL - pre-war class, year "&amp;$H9,IF(AND(LEFT($L9,2)="07",OR($H9&lt;1946,$H9&gt;1972)),"FAIL - 1946-72 class, year "&amp;$H9,IF(AND(LEFT($L9,2)="08",OR($H9&lt;1973,$H9&gt;1999)),"FAIL - 1973-99 class, year "&amp;$H9,IF(AND(LEFT($L9,2)="09",OR($H9&lt;2000,$H9&gt;2010)),"FAIL - 2000-10 class, year "&amp;$H9,"OK")))))</f>
        <v/>
      </c>
      <c r="BF9" s="53" t="str">
        <f aca="false">IF($AD9="","",IF(ROUND($AO9+$AP9+$AQ9-$AD9,2)=0,"OK","FAIL - out by "&amp;TEXT($AO9+$AP9+$AQ9-$AD9,"$0.00")))</f>
        <v/>
      </c>
    </row>
    <row r="10" customFormat="false" ht="18.75" hidden="false" customHeight="true" outlineLevel="0" collapsed="false">
      <c r="A10" s="54"/>
      <c r="B10" s="54"/>
      <c r="C10" s="55"/>
      <c r="D10" s="56"/>
      <c r="E10" s="56"/>
      <c r="F10" s="54"/>
      <c r="G10" s="41" t="str">
        <f aca="false">IF($A10="","",IF($C10="","",YEAR($C10)))</f>
        <v/>
      </c>
      <c r="H10" s="57"/>
      <c r="I10" s="54"/>
      <c r="J10" s="54"/>
      <c r="K10" s="54"/>
      <c r="L10" s="56"/>
      <c r="M10" s="58"/>
      <c r="N10" s="56"/>
      <c r="O10" s="54"/>
      <c r="P10" s="54"/>
      <c r="Q10" s="54"/>
      <c r="R10" s="54"/>
      <c r="S10" s="56"/>
      <c r="T10" s="44" t="str">
        <f aca="false">IF($A10="","",IF($S10="","",IFERROR(INDEX(Lists!$N$5:$N$16,MATCH($S10,Lists!$M$5:$M$16,0)),"?")))</f>
        <v/>
      </c>
      <c r="U10" s="54"/>
      <c r="V10" s="56"/>
      <c r="W10" s="54"/>
      <c r="X10" s="56"/>
      <c r="Y10" s="54" t="s">
        <v>202</v>
      </c>
      <c r="Z10" s="54"/>
      <c r="AA10" s="56"/>
      <c r="AB10" s="58"/>
      <c r="AC10" s="59"/>
      <c r="AD10" s="46" t="str">
        <f aca="false">IF(ISNUMBER($AB10),$AB10*(1+N($AC10)),"")</f>
        <v/>
      </c>
      <c r="AE10" s="58"/>
      <c r="AF10" s="58"/>
      <c r="AG10" s="59"/>
      <c r="AH10" s="47" t="str">
        <f aca="false">IF(ISNUMBER($AD10),($AD10+$AE10+$AF10)*$AG10,"")</f>
        <v/>
      </c>
      <c r="AI10" s="58"/>
      <c r="AJ10" s="46" t="str">
        <f aca="false">IF(ISNUMBER($AD10),SUM($AD10:$AH10),"")</f>
        <v/>
      </c>
      <c r="AK10" s="48" t="str">
        <f aca="false">IF(AND(ISNUMBER($AB10),ISNUMBER($AD10)),IF($AB10&gt;0,$AD10/$AB10,""),"")</f>
        <v/>
      </c>
      <c r="AL10" s="56"/>
      <c r="AM10" s="49" t="str">
        <f aca="false">IF(ISNUMBER($AD10),Header!$I$3,"")</f>
        <v/>
      </c>
      <c r="AN10" s="47" t="str">
        <f aca="false">IF(ISNUMBER($AD10),$AO10+$AP10,"")</f>
        <v/>
      </c>
      <c r="AO10" s="47" t="str">
        <f aca="false">IF(ISNUMBER($AD10),ROUND($AD10*Header!$K$3,2),"")</f>
        <v/>
      </c>
      <c r="AP10" s="47" t="str">
        <f aca="false">IF(ISNUMBER($AD10),ROUND($AD10*Header!$M$3,2),"")</f>
        <v/>
      </c>
      <c r="AQ10" s="46" t="str">
        <f aca="false">IF(ISNUMBER($AD10),ROUND($AD10,2)-$AO10-$AP10,"")</f>
        <v/>
      </c>
      <c r="AR10" s="47" t="str">
        <f aca="false">IF(ISNUMBER($AD10),IF(Header!$D$34="","?",$AD10*Header!$D$34),"")</f>
        <v/>
      </c>
      <c r="AS10" s="47" t="str">
        <f aca="false">IF(ISNUMBER($AB10),IF(Header!$D$34="","?",$AB10*Header!$D$34),"")</f>
        <v/>
      </c>
      <c r="AT10" s="50" t="str">
        <f aca="false">IF(AND(ISNUMBER($AB10),$M10&gt;0),$AB10/$M10*100,"")</f>
        <v/>
      </c>
      <c r="AU10" s="50" t="str">
        <f aca="false">IF(AND(ISNUMBER($AD10),$M10&gt;0),$AD10/$M10*100,"")</f>
        <v/>
      </c>
      <c r="AV10" s="48" t="str">
        <f aca="false">IF(AND(ISNUMBER($AB10),ISNUMBER($AD10),ABS($AB10)&gt;0),$AD10/$AB10,"")</f>
        <v/>
      </c>
      <c r="AW10" s="47" t="str">
        <f aca="false">IF(ISNUMBER($AD10),MAX(0,(1-0.55-Header!$O$3)*Header!$Q$3*$AQ10),"")</f>
        <v/>
      </c>
      <c r="AX10" s="51" t="str">
        <f aca="false">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v/>
      </c>
      <c r="AY10" s="52" t="str">
        <f aca="false">IF($M10="","",IF(ISNUMBER($M10),IF($M10&gt;=Header!$C$18,"YES — refer","No"),""))</f>
        <v/>
      </c>
      <c r="AZ10" s="52" t="str">
        <f aca="false">IF($AD10="","",IF(ISNUMBER($AD10),IF($AD10&lt;Header!$C$20,"BELOW MIN PREMIUM","OK"),""))</f>
        <v/>
      </c>
      <c r="BA10" s="56"/>
      <c r="BB10" s="56"/>
      <c r="BC10" s="54"/>
      <c r="BE10" s="53" t="str">
        <f aca="false">IF(OR($A10="",$L10="",$H10=""),"",IF(AND(LEFT($L10,2)="06",$H10&gt;1945),"FAIL - pre-war class, year "&amp;$H10,IF(AND(LEFT($L10,2)="07",OR($H10&lt;1946,$H10&gt;1972)),"FAIL - 1946-72 class, year "&amp;$H10,IF(AND(LEFT($L10,2)="08",OR($H10&lt;1973,$H10&gt;1999)),"FAIL - 1973-99 class, year "&amp;$H10,IF(AND(LEFT($L10,2)="09",OR($H10&lt;2000,$H10&gt;2010)),"FAIL - 2000-10 class, year "&amp;$H10,"OK")))))</f>
        <v/>
      </c>
      <c r="BF10" s="53" t="str">
        <f aca="false">IF($AD10="","",IF(ROUND($AO10+$AP10+$AQ10-$AD10,2)=0,"OK","FAIL - out by "&amp;TEXT($AO10+$AP10+$AQ10-$AD10,"$0.00")))</f>
        <v/>
      </c>
    </row>
    <row r="11" customFormat="false" ht="15" hidden="false" customHeight="true" outlineLevel="0" collapsed="false">
      <c r="A11" s="38"/>
      <c r="B11" s="38"/>
      <c r="C11" s="39"/>
      <c r="D11" s="40"/>
      <c r="E11" s="40"/>
      <c r="F11" s="38"/>
      <c r="G11" s="41" t="str">
        <f aca="false">IF($A11="","",IF($C11="","",YEAR($C11)))</f>
        <v/>
      </c>
      <c r="H11" s="42"/>
      <c r="I11" s="38"/>
      <c r="J11" s="38"/>
      <c r="K11" s="38"/>
      <c r="L11" s="40"/>
      <c r="M11" s="43"/>
      <c r="N11" s="40"/>
      <c r="O11" s="38"/>
      <c r="P11" s="38"/>
      <c r="Q11" s="38"/>
      <c r="R11" s="38"/>
      <c r="S11" s="40"/>
      <c r="T11" s="44" t="str">
        <f aca="false">IF($A11="","",IF($S11="","",IFERROR(INDEX(Lists!$N$5:$N$16,MATCH($S11,Lists!$M$5:$M$16,0)),"?")))</f>
        <v/>
      </c>
      <c r="U11" s="38"/>
      <c r="V11" s="40"/>
      <c r="W11" s="38"/>
      <c r="X11" s="40"/>
      <c r="Y11" s="38"/>
      <c r="Z11" s="38"/>
      <c r="AA11" s="40"/>
      <c r="AB11" s="43"/>
      <c r="AC11" s="45"/>
      <c r="AD11" s="46" t="str">
        <f aca="false">IF(ISNUMBER($AB11),$AB11*(1+N($AC11)),"")</f>
        <v/>
      </c>
      <c r="AE11" s="43"/>
      <c r="AF11" s="43"/>
      <c r="AG11" s="45"/>
      <c r="AH11" s="47" t="str">
        <f aca="false">IF(ISNUMBER($AD11),($AD11+$AE11+$AF11)*$AG11,"")</f>
        <v/>
      </c>
      <c r="AI11" s="43"/>
      <c r="AJ11" s="46" t="str">
        <f aca="false">IF(ISNUMBER($AD11),SUM($AD11:$AH11),"")</f>
        <v/>
      </c>
      <c r="AK11" s="48" t="str">
        <f aca="false">IF(AND(ISNUMBER($AB11),ISNUMBER($AD11)),IF($AB11&gt;0,$AD11/$AB11,""),"")</f>
        <v/>
      </c>
      <c r="AL11" s="40"/>
      <c r="AM11" s="49" t="str">
        <f aca="false">IF(ISNUMBER($AD11),Header!$I$3,"")</f>
        <v/>
      </c>
      <c r="AN11" s="47" t="str">
        <f aca="false">IF(ISNUMBER($AD11),$AO11+$AP11,"")</f>
        <v/>
      </c>
      <c r="AO11" s="47" t="str">
        <f aca="false">IF(ISNUMBER($AD11),ROUND($AD11*Header!$K$3,2),"")</f>
        <v/>
      </c>
      <c r="AP11" s="47" t="str">
        <f aca="false">IF(ISNUMBER($AD11),ROUND($AD11*Header!$M$3,2),"")</f>
        <v/>
      </c>
      <c r="AQ11" s="46" t="str">
        <f aca="false">IF(ISNUMBER($AD11),ROUND($AD11,2)-$AO11-$AP11,"")</f>
        <v/>
      </c>
      <c r="AR11" s="47" t="str">
        <f aca="false">IF(ISNUMBER($AD11),IF(Header!$D$34="","?",$AD11*Header!$D$34),"")</f>
        <v/>
      </c>
      <c r="AS11" s="47" t="str">
        <f aca="false">IF(ISNUMBER($AB11),IF(Header!$D$34="","?",$AB11*Header!$D$34),"")</f>
        <v/>
      </c>
      <c r="AT11" s="50" t="str">
        <f aca="false">IF(AND(ISNUMBER($AB11),$M11&gt;0),$AB11/$M11*100,"")</f>
        <v/>
      </c>
      <c r="AU11" s="50" t="str">
        <f aca="false">IF(AND(ISNUMBER($AD11),$M11&gt;0),$AD11/$M11*100,"")</f>
        <v/>
      </c>
      <c r="AV11" s="48" t="str">
        <f aca="false">IF(AND(ISNUMBER($AB11),ISNUMBER($AD11),ABS($AB11)&gt;0),$AD11/$AB11,"")</f>
        <v/>
      </c>
      <c r="AW11" s="47" t="str">
        <f aca="false">IF(ISNUMBER($AD11),MAX(0,(1-0.55-Header!$O$3)*Header!$Q$3*$AQ11),"")</f>
        <v/>
      </c>
      <c r="AX11" s="51" t="str">
        <f aca="false">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v/>
      </c>
      <c r="AY11" s="52" t="str">
        <f aca="false">IF($M11="","",IF(ISNUMBER($M11),IF($M11&gt;=Header!$C$18,"YES — refer","No"),""))</f>
        <v/>
      </c>
      <c r="AZ11" s="52" t="str">
        <f aca="false">IF($AD11="","",IF(ISNUMBER($AD11),IF($AD11&lt;Header!$C$20,"BELOW MIN PREMIUM","OK"),""))</f>
        <v/>
      </c>
      <c r="BA11" s="40"/>
      <c r="BB11" s="40"/>
      <c r="BC11" s="38"/>
      <c r="BE11" s="53" t="str">
        <f aca="false">IF(OR($A11="",$L11="",$H11=""),"",IF(AND(LEFT($L11,2)="06",$H11&gt;1945),"FAIL - pre-war class, year "&amp;$H11,IF(AND(LEFT($L11,2)="07",OR($H11&lt;1946,$H11&gt;1972)),"FAIL - 1946-72 class, year "&amp;$H11,IF(AND(LEFT($L11,2)="08",OR($H11&lt;1973,$H11&gt;1999)),"FAIL - 1973-99 class, year "&amp;$H11,IF(AND(LEFT($L11,2)="09",OR($H11&lt;2000,$H11&gt;2010)),"FAIL - 2000-10 class, year "&amp;$H11,"OK")))))</f>
        <v/>
      </c>
      <c r="BF11" s="53" t="str">
        <f aca="false">IF($AD11="","",IF(ROUND($AO11+$AP11+$AQ11-$AD11,2)=0,"OK","FAIL - out by "&amp;TEXT($AO11+$AP11+$AQ11-$AD11,"$0.00")))</f>
        <v/>
      </c>
    </row>
    <row r="12" customFormat="false" ht="15" hidden="false" customHeight="true" outlineLevel="0" collapsed="false">
      <c r="A12" s="54"/>
      <c r="B12" s="54"/>
      <c r="C12" s="55"/>
      <c r="D12" s="56"/>
      <c r="E12" s="56"/>
      <c r="F12" s="54"/>
      <c r="G12" s="41" t="str">
        <f aca="false">IF($A12="","",IF($C12="","",YEAR($C12)))</f>
        <v/>
      </c>
      <c r="H12" s="57"/>
      <c r="I12" s="54"/>
      <c r="J12" s="54"/>
      <c r="K12" s="54"/>
      <c r="L12" s="56"/>
      <c r="M12" s="58"/>
      <c r="N12" s="56"/>
      <c r="O12" s="54"/>
      <c r="P12" s="54"/>
      <c r="Q12" s="54"/>
      <c r="R12" s="54"/>
      <c r="S12" s="56"/>
      <c r="T12" s="44" t="str">
        <f aca="false">IF($A12="","",IF($S12="","",IFERROR(INDEX(Lists!$N$5:$N$16,MATCH($S12,Lists!$M$5:$M$16,0)),"?")))</f>
        <v/>
      </c>
      <c r="U12" s="54"/>
      <c r="V12" s="56"/>
      <c r="W12" s="54"/>
      <c r="X12" s="56"/>
      <c r="Y12" s="54"/>
      <c r="Z12" s="54"/>
      <c r="AA12" s="56"/>
      <c r="AB12" s="58"/>
      <c r="AC12" s="59"/>
      <c r="AD12" s="46" t="str">
        <f aca="false">IF(ISNUMBER($AB12),$AB12*(1+N($AC12)),"")</f>
        <v/>
      </c>
      <c r="AE12" s="58"/>
      <c r="AF12" s="58"/>
      <c r="AG12" s="59"/>
      <c r="AH12" s="47" t="str">
        <f aca="false">IF(ISNUMBER($AD12),($AD12+$AE12+$AF12)*$AG12,"")</f>
        <v/>
      </c>
      <c r="AI12" s="58"/>
      <c r="AJ12" s="46" t="str">
        <f aca="false">IF(ISNUMBER($AD12),SUM($AD12:$AH12),"")</f>
        <v/>
      </c>
      <c r="AK12" s="48" t="str">
        <f aca="false">IF(AND(ISNUMBER($AB12),ISNUMBER($AD12)),IF($AB12&gt;0,$AD12/$AB12,""),"")</f>
        <v/>
      </c>
      <c r="AL12" s="56"/>
      <c r="AM12" s="49" t="str">
        <f aca="false">IF(ISNUMBER($AD12),Header!$I$3,"")</f>
        <v/>
      </c>
      <c r="AN12" s="47" t="str">
        <f aca="false">IF(ISNUMBER($AD12),$AO12+$AP12,"")</f>
        <v/>
      </c>
      <c r="AO12" s="47" t="str">
        <f aca="false">IF(ISNUMBER($AD12),ROUND($AD12*Header!$K$3,2),"")</f>
        <v/>
      </c>
      <c r="AP12" s="47" t="str">
        <f aca="false">IF(ISNUMBER($AD12),ROUND($AD12*Header!$M$3,2),"")</f>
        <v/>
      </c>
      <c r="AQ12" s="46" t="str">
        <f aca="false">IF(ISNUMBER($AD12),ROUND($AD12,2)-$AO12-$AP12,"")</f>
        <v/>
      </c>
      <c r="AR12" s="47" t="str">
        <f aca="false">IF(ISNUMBER($AD12),IF(Header!$D$34="","?",$AD12*Header!$D$34),"")</f>
        <v/>
      </c>
      <c r="AS12" s="47" t="str">
        <f aca="false">IF(ISNUMBER($AB12),IF(Header!$D$34="","?",$AB12*Header!$D$34),"")</f>
        <v/>
      </c>
      <c r="AT12" s="50" t="str">
        <f aca="false">IF(AND(ISNUMBER($AB12),$M12&gt;0),$AB12/$M12*100,"")</f>
        <v/>
      </c>
      <c r="AU12" s="50" t="str">
        <f aca="false">IF(AND(ISNUMBER($AD12),$M12&gt;0),$AD12/$M12*100,"")</f>
        <v/>
      </c>
      <c r="AV12" s="48" t="str">
        <f aca="false">IF(AND(ISNUMBER($AB12),ISNUMBER($AD12),ABS($AB12)&gt;0),$AD12/$AB12,"")</f>
        <v/>
      </c>
      <c r="AW12" s="47" t="str">
        <f aca="false">IF(ISNUMBER($AD12),MAX(0,(1-0.55-Header!$O$3)*Header!$Q$3*$AQ12),"")</f>
        <v/>
      </c>
      <c r="AX12" s="51" t="str">
        <f aca="false">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v/>
      </c>
      <c r="AY12" s="52" t="str">
        <f aca="false">IF($M12="","",IF(ISNUMBER($M12),IF($M12&gt;=Header!$C$18,"YES — refer","No"),""))</f>
        <v/>
      </c>
      <c r="AZ12" s="52" t="str">
        <f aca="false">IF($AD12="","",IF(ISNUMBER($AD12),IF($AD12&lt;Header!$C$20,"BELOW MIN PREMIUM","OK"),""))</f>
        <v/>
      </c>
      <c r="BA12" s="56"/>
      <c r="BB12" s="56"/>
      <c r="BC12" s="54"/>
      <c r="BE12" s="53" t="str">
        <f aca="false">IF(OR($A12="",$L12="",$H12=""),"",IF(AND(LEFT($L12,2)="06",$H12&gt;1945),"FAIL - pre-war class, year "&amp;$H12,IF(AND(LEFT($L12,2)="07",OR($H12&lt;1946,$H12&gt;1972)),"FAIL - 1946-72 class, year "&amp;$H12,IF(AND(LEFT($L12,2)="08",OR($H12&lt;1973,$H12&gt;1999)),"FAIL - 1973-99 class, year "&amp;$H12,IF(AND(LEFT($L12,2)="09",OR($H12&lt;2000,$H12&gt;2010)),"FAIL - 2000-10 class, year "&amp;$H12,"OK")))))</f>
        <v/>
      </c>
      <c r="BF12" s="53" t="str">
        <f aca="false">IF($AD12="","",IF(ROUND($AO12+$AP12+$AQ12-$AD12,2)=0,"OK","FAIL - out by "&amp;TEXT($AO12+$AP12+$AQ12-$AD12,"$0.00")))</f>
        <v/>
      </c>
    </row>
    <row r="13" customFormat="false" ht="15" hidden="false" customHeight="true" outlineLevel="0" collapsed="false">
      <c r="A13" s="38"/>
      <c r="B13" s="38"/>
      <c r="C13" s="39"/>
      <c r="D13" s="40"/>
      <c r="E13" s="40"/>
      <c r="F13" s="38"/>
      <c r="G13" s="41" t="str">
        <f aca="false">IF($A13="","",IF($C13="","",YEAR($C13)))</f>
        <v/>
      </c>
      <c r="H13" s="42"/>
      <c r="I13" s="38"/>
      <c r="J13" s="38"/>
      <c r="K13" s="38"/>
      <c r="L13" s="40"/>
      <c r="M13" s="43"/>
      <c r="N13" s="40"/>
      <c r="O13" s="38"/>
      <c r="P13" s="38"/>
      <c r="Q13" s="38"/>
      <c r="R13" s="38"/>
      <c r="S13" s="40"/>
      <c r="T13" s="44" t="str">
        <f aca="false">IF($A13="","",IF($S13="","",IFERROR(INDEX(Lists!$N$5:$N$16,MATCH($S13,Lists!$M$5:$M$16,0)),"?")))</f>
        <v/>
      </c>
      <c r="U13" s="38"/>
      <c r="V13" s="40"/>
      <c r="W13" s="38"/>
      <c r="X13" s="40"/>
      <c r="Y13" s="38"/>
      <c r="Z13" s="38"/>
      <c r="AA13" s="40"/>
      <c r="AB13" s="43"/>
      <c r="AC13" s="45"/>
      <c r="AD13" s="46" t="str">
        <f aca="false">IF(ISNUMBER($AB13),$AB13*(1+N($AC13)),"")</f>
        <v/>
      </c>
      <c r="AE13" s="43"/>
      <c r="AF13" s="43"/>
      <c r="AG13" s="45"/>
      <c r="AH13" s="47" t="str">
        <f aca="false">IF(ISNUMBER($AD13),($AD13+$AE13+$AF13)*$AG13,"")</f>
        <v/>
      </c>
      <c r="AI13" s="43"/>
      <c r="AJ13" s="46" t="str">
        <f aca="false">IF(ISNUMBER($AD13),SUM($AD13:$AH13),"")</f>
        <v/>
      </c>
      <c r="AK13" s="48" t="str">
        <f aca="false">IF(AND(ISNUMBER($AB13),ISNUMBER($AD13)),IF($AB13&gt;0,$AD13/$AB13,""),"")</f>
        <v/>
      </c>
      <c r="AL13" s="40"/>
      <c r="AM13" s="49" t="str">
        <f aca="false">IF(ISNUMBER($AD13),Header!$I$3,"")</f>
        <v/>
      </c>
      <c r="AN13" s="47" t="str">
        <f aca="false">IF(ISNUMBER($AD13),$AO13+$AP13,"")</f>
        <v/>
      </c>
      <c r="AO13" s="47" t="str">
        <f aca="false">IF(ISNUMBER($AD13),ROUND($AD13*Header!$K$3,2),"")</f>
        <v/>
      </c>
      <c r="AP13" s="47" t="str">
        <f aca="false">IF(ISNUMBER($AD13),ROUND($AD13*Header!$M$3,2),"")</f>
        <v/>
      </c>
      <c r="AQ13" s="46" t="str">
        <f aca="false">IF(ISNUMBER($AD13),ROUND($AD13,2)-$AO13-$AP13,"")</f>
        <v/>
      </c>
      <c r="AR13" s="47" t="str">
        <f aca="false">IF(ISNUMBER($AD13),IF(Header!$D$34="","?",$AD13*Header!$D$34),"")</f>
        <v/>
      </c>
      <c r="AS13" s="47" t="str">
        <f aca="false">IF(ISNUMBER($AB13),IF(Header!$D$34="","?",$AB13*Header!$D$34),"")</f>
        <v/>
      </c>
      <c r="AT13" s="50" t="str">
        <f aca="false">IF(AND(ISNUMBER($AB13),$M13&gt;0),$AB13/$M13*100,"")</f>
        <v/>
      </c>
      <c r="AU13" s="50" t="str">
        <f aca="false">IF(AND(ISNUMBER($AD13),$M13&gt;0),$AD13/$M13*100,"")</f>
        <v/>
      </c>
      <c r="AV13" s="48" t="str">
        <f aca="false">IF(AND(ISNUMBER($AB13),ISNUMBER($AD13),ABS($AB13)&gt;0),$AD13/$AB13,"")</f>
        <v/>
      </c>
      <c r="AW13" s="47" t="str">
        <f aca="false">IF(ISNUMBER($AD13),MAX(0,(1-0.55-Header!$O$3)*Header!$Q$3*$AQ13),"")</f>
        <v/>
      </c>
      <c r="AX13" s="51" t="str">
        <f aca="false">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v/>
      </c>
      <c r="AY13" s="52" t="str">
        <f aca="false">IF($M13="","",IF(ISNUMBER($M13),IF($M13&gt;=Header!$C$18,"YES — refer","No"),""))</f>
        <v/>
      </c>
      <c r="AZ13" s="52" t="str">
        <f aca="false">IF($AD13="","",IF(ISNUMBER($AD13),IF($AD13&lt;Header!$C$20,"BELOW MIN PREMIUM","OK"),""))</f>
        <v/>
      </c>
      <c r="BA13" s="40"/>
      <c r="BB13" s="40"/>
      <c r="BC13" s="38"/>
      <c r="BE13" s="53" t="str">
        <f aca="false">IF(OR($A13="",$L13="",$H13=""),"",IF(AND(LEFT($L13,2)="06",$H13&gt;1945),"FAIL - pre-war class, year "&amp;$H13,IF(AND(LEFT($L13,2)="07",OR($H13&lt;1946,$H13&gt;1972)),"FAIL - 1946-72 class, year "&amp;$H13,IF(AND(LEFT($L13,2)="08",OR($H13&lt;1973,$H13&gt;1999)),"FAIL - 1973-99 class, year "&amp;$H13,IF(AND(LEFT($L13,2)="09",OR($H13&lt;2000,$H13&gt;2010)),"FAIL - 2000-10 class, year "&amp;$H13,"OK")))))</f>
        <v/>
      </c>
      <c r="BF13" s="53" t="str">
        <f aca="false">IF($AD13="","",IF(ROUND($AO13+$AP13+$AQ13-$AD13,2)=0,"OK","FAIL - out by "&amp;TEXT($AO13+$AP13+$AQ13-$AD13,"$0.00")))</f>
        <v/>
      </c>
    </row>
    <row r="14" customFormat="false" ht="15" hidden="false" customHeight="true" outlineLevel="0" collapsed="false">
      <c r="A14" s="54"/>
      <c r="B14" s="54"/>
      <c r="C14" s="55"/>
      <c r="D14" s="56"/>
      <c r="E14" s="56"/>
      <c r="F14" s="54"/>
      <c r="G14" s="41" t="str">
        <f aca="false">IF($A14="","",IF($C14="","",YEAR($C14)))</f>
        <v/>
      </c>
      <c r="H14" s="57"/>
      <c r="I14" s="54"/>
      <c r="J14" s="54"/>
      <c r="K14" s="54"/>
      <c r="L14" s="56"/>
      <c r="M14" s="58"/>
      <c r="N14" s="56"/>
      <c r="O14" s="54"/>
      <c r="P14" s="54"/>
      <c r="Q14" s="54"/>
      <c r="R14" s="54"/>
      <c r="S14" s="56"/>
      <c r="T14" s="44" t="str">
        <f aca="false">IF($A14="","",IF($S14="","",IFERROR(INDEX(Lists!$N$5:$N$16,MATCH($S14,Lists!$M$5:$M$16,0)),"?")))</f>
        <v/>
      </c>
      <c r="U14" s="54"/>
      <c r="V14" s="56"/>
      <c r="W14" s="54"/>
      <c r="X14" s="56"/>
      <c r="Y14" s="54"/>
      <c r="Z14" s="54"/>
      <c r="AA14" s="56"/>
      <c r="AB14" s="58"/>
      <c r="AC14" s="59"/>
      <c r="AD14" s="46" t="str">
        <f aca="false">IF(ISNUMBER($AB14),$AB14*(1+N($AC14)),"")</f>
        <v/>
      </c>
      <c r="AE14" s="58"/>
      <c r="AF14" s="58"/>
      <c r="AG14" s="59"/>
      <c r="AH14" s="47" t="str">
        <f aca="false">IF(ISNUMBER($AD14),($AD14+$AE14+$AF14)*$AG14,"")</f>
        <v/>
      </c>
      <c r="AI14" s="58"/>
      <c r="AJ14" s="46" t="str">
        <f aca="false">IF(ISNUMBER($AD14),SUM($AD14:$AH14),"")</f>
        <v/>
      </c>
      <c r="AK14" s="48" t="str">
        <f aca="false">IF(AND(ISNUMBER($AB14),ISNUMBER($AD14)),IF($AB14&gt;0,$AD14/$AB14,""),"")</f>
        <v/>
      </c>
      <c r="AL14" s="56"/>
      <c r="AM14" s="49" t="str">
        <f aca="false">IF(ISNUMBER($AD14),Header!$I$3,"")</f>
        <v/>
      </c>
      <c r="AN14" s="47" t="str">
        <f aca="false">IF(ISNUMBER($AD14),$AO14+$AP14,"")</f>
        <v/>
      </c>
      <c r="AO14" s="47" t="str">
        <f aca="false">IF(ISNUMBER($AD14),ROUND($AD14*Header!$K$3,2),"")</f>
        <v/>
      </c>
      <c r="AP14" s="47" t="str">
        <f aca="false">IF(ISNUMBER($AD14),ROUND($AD14*Header!$M$3,2),"")</f>
        <v/>
      </c>
      <c r="AQ14" s="46" t="str">
        <f aca="false">IF(ISNUMBER($AD14),ROUND($AD14,2)-$AO14-$AP14,"")</f>
        <v/>
      </c>
      <c r="AR14" s="47" t="str">
        <f aca="false">IF(ISNUMBER($AD14),IF(Header!$D$34="","?",$AD14*Header!$D$34),"")</f>
        <v/>
      </c>
      <c r="AS14" s="47" t="str">
        <f aca="false">IF(ISNUMBER($AB14),IF(Header!$D$34="","?",$AB14*Header!$D$34),"")</f>
        <v/>
      </c>
      <c r="AT14" s="50" t="str">
        <f aca="false">IF(AND(ISNUMBER($AB14),$M14&gt;0),$AB14/$M14*100,"")</f>
        <v/>
      </c>
      <c r="AU14" s="50" t="str">
        <f aca="false">IF(AND(ISNUMBER($AD14),$M14&gt;0),$AD14/$M14*100,"")</f>
        <v/>
      </c>
      <c r="AV14" s="48" t="str">
        <f aca="false">IF(AND(ISNUMBER($AB14),ISNUMBER($AD14),ABS($AB14)&gt;0),$AD14/$AB14,"")</f>
        <v/>
      </c>
      <c r="AW14" s="47" t="str">
        <f aca="false">IF(ISNUMBER($AD14),MAX(0,(1-0.55-Header!$O$3)*Header!$Q$3*$AQ14),"")</f>
        <v/>
      </c>
      <c r="AX14" s="51" t="str">
        <f aca="false">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v/>
      </c>
      <c r="AY14" s="52" t="str">
        <f aca="false">IF($M14="","",IF(ISNUMBER($M14),IF($M14&gt;=Header!$C$18,"YES — refer","No"),""))</f>
        <v/>
      </c>
      <c r="AZ14" s="52" t="str">
        <f aca="false">IF($AD14="","",IF(ISNUMBER($AD14),IF($AD14&lt;Header!$C$20,"BELOW MIN PREMIUM","OK"),""))</f>
        <v/>
      </c>
      <c r="BA14" s="56"/>
      <c r="BB14" s="56"/>
      <c r="BC14" s="54"/>
      <c r="BE14" s="53" t="str">
        <f aca="false">IF(OR($A14="",$L14="",$H14=""),"",IF(AND(LEFT($L14,2)="06",$H14&gt;1945),"FAIL - pre-war class, year "&amp;$H14,IF(AND(LEFT($L14,2)="07",OR($H14&lt;1946,$H14&gt;1972)),"FAIL - 1946-72 class, year "&amp;$H14,IF(AND(LEFT($L14,2)="08",OR($H14&lt;1973,$H14&gt;1999)),"FAIL - 1973-99 class, year "&amp;$H14,IF(AND(LEFT($L14,2)="09",OR($H14&lt;2000,$H14&gt;2010)),"FAIL - 2000-10 class, year "&amp;$H14,"OK")))))</f>
        <v/>
      </c>
      <c r="BF14" s="53" t="str">
        <f aca="false">IF($AD14="","",IF(ROUND($AO14+$AP14+$AQ14-$AD14,2)=0,"OK","FAIL - out by "&amp;TEXT($AO14+$AP14+$AQ14-$AD14,"$0.00")))</f>
        <v/>
      </c>
    </row>
    <row r="15" customFormat="false" ht="15" hidden="false" customHeight="true" outlineLevel="0" collapsed="false">
      <c r="A15" s="38"/>
      <c r="B15" s="38"/>
      <c r="C15" s="39"/>
      <c r="D15" s="40"/>
      <c r="E15" s="40"/>
      <c r="F15" s="38"/>
      <c r="G15" s="41" t="str">
        <f aca="false">IF($A15="","",IF($C15="","",YEAR($C15)))</f>
        <v/>
      </c>
      <c r="H15" s="42"/>
      <c r="I15" s="38"/>
      <c r="J15" s="38"/>
      <c r="K15" s="38"/>
      <c r="L15" s="40"/>
      <c r="M15" s="43"/>
      <c r="N15" s="40"/>
      <c r="O15" s="38"/>
      <c r="P15" s="38"/>
      <c r="Q15" s="38"/>
      <c r="R15" s="38"/>
      <c r="S15" s="40"/>
      <c r="T15" s="44" t="str">
        <f aca="false">IF($A15="","",IF($S15="","",IFERROR(INDEX(Lists!$N$5:$N$16,MATCH($S15,Lists!$M$5:$M$16,0)),"?")))</f>
        <v/>
      </c>
      <c r="U15" s="38"/>
      <c r="V15" s="40"/>
      <c r="W15" s="38"/>
      <c r="X15" s="40"/>
      <c r="Y15" s="38"/>
      <c r="Z15" s="38"/>
      <c r="AA15" s="40"/>
      <c r="AB15" s="43"/>
      <c r="AC15" s="45"/>
      <c r="AD15" s="46" t="str">
        <f aca="false">IF(ISNUMBER($AB15),$AB15*(1+N($AC15)),"")</f>
        <v/>
      </c>
      <c r="AE15" s="43"/>
      <c r="AF15" s="43"/>
      <c r="AG15" s="45"/>
      <c r="AH15" s="47" t="str">
        <f aca="false">IF(ISNUMBER($AD15),($AD15+$AE15+$AF15)*$AG15,"")</f>
        <v/>
      </c>
      <c r="AI15" s="43"/>
      <c r="AJ15" s="46" t="str">
        <f aca="false">IF(ISNUMBER($AD15),SUM($AD15:$AH15),"")</f>
        <v/>
      </c>
      <c r="AK15" s="48" t="str">
        <f aca="false">IF(AND(ISNUMBER($AB15),ISNUMBER($AD15)),IF($AB15&gt;0,$AD15/$AB15,""),"")</f>
        <v/>
      </c>
      <c r="AL15" s="40"/>
      <c r="AM15" s="49" t="str">
        <f aca="false">IF(ISNUMBER($AD15),Header!$I$3,"")</f>
        <v/>
      </c>
      <c r="AN15" s="47" t="str">
        <f aca="false">IF(ISNUMBER($AD15),$AO15+$AP15,"")</f>
        <v/>
      </c>
      <c r="AO15" s="47" t="str">
        <f aca="false">IF(ISNUMBER($AD15),ROUND($AD15*Header!$K$3,2),"")</f>
        <v/>
      </c>
      <c r="AP15" s="47" t="str">
        <f aca="false">IF(ISNUMBER($AD15),ROUND($AD15*Header!$M$3,2),"")</f>
        <v/>
      </c>
      <c r="AQ15" s="46" t="str">
        <f aca="false">IF(ISNUMBER($AD15),ROUND($AD15,2)-$AO15-$AP15,"")</f>
        <v/>
      </c>
      <c r="AR15" s="47" t="str">
        <f aca="false">IF(ISNUMBER($AD15),IF(Header!$D$34="","?",$AD15*Header!$D$34),"")</f>
        <v/>
      </c>
      <c r="AS15" s="47" t="str">
        <f aca="false">IF(ISNUMBER($AB15),IF(Header!$D$34="","?",$AB15*Header!$D$34),"")</f>
        <v/>
      </c>
      <c r="AT15" s="50" t="str">
        <f aca="false">IF(AND(ISNUMBER($AB15),$M15&gt;0),$AB15/$M15*100,"")</f>
        <v/>
      </c>
      <c r="AU15" s="50" t="str">
        <f aca="false">IF(AND(ISNUMBER($AD15),$M15&gt;0),$AD15/$M15*100,"")</f>
        <v/>
      </c>
      <c r="AV15" s="48" t="str">
        <f aca="false">IF(AND(ISNUMBER($AB15),ISNUMBER($AD15),ABS($AB15)&gt;0),$AD15/$AB15,"")</f>
        <v/>
      </c>
      <c r="AW15" s="47" t="str">
        <f aca="false">IF(ISNUMBER($AD15),MAX(0,(1-0.55-Header!$O$3)*Header!$Q$3*$AQ15),"")</f>
        <v/>
      </c>
      <c r="AX15" s="51" t="str">
        <f aca="false">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v/>
      </c>
      <c r="AY15" s="52" t="str">
        <f aca="false">IF($M15="","",IF(ISNUMBER($M15),IF($M15&gt;=Header!$C$18,"YES — refer","No"),""))</f>
        <v/>
      </c>
      <c r="AZ15" s="52" t="str">
        <f aca="false">IF($AD15="","",IF(ISNUMBER($AD15),IF($AD15&lt;Header!$C$20,"BELOW MIN PREMIUM","OK"),""))</f>
        <v/>
      </c>
      <c r="BA15" s="40"/>
      <c r="BB15" s="40"/>
      <c r="BC15" s="38"/>
      <c r="BE15" s="53" t="str">
        <f aca="false">IF(OR($A15="",$L15="",$H15=""),"",IF(AND(LEFT($L15,2)="06",$H15&gt;1945),"FAIL - pre-war class, year "&amp;$H15,IF(AND(LEFT($L15,2)="07",OR($H15&lt;1946,$H15&gt;1972)),"FAIL - 1946-72 class, year "&amp;$H15,IF(AND(LEFT($L15,2)="08",OR($H15&lt;1973,$H15&gt;1999)),"FAIL - 1973-99 class, year "&amp;$H15,IF(AND(LEFT($L15,2)="09",OR($H15&lt;2000,$H15&gt;2010)),"FAIL - 2000-10 class, year "&amp;$H15,"OK")))))</f>
        <v/>
      </c>
      <c r="BF15" s="53" t="str">
        <f aca="false">IF($AD15="","",IF(ROUND($AO15+$AP15+$AQ15-$AD15,2)=0,"OK","FAIL - out by "&amp;TEXT($AO15+$AP15+$AQ15-$AD15,"$0.00")))</f>
        <v/>
      </c>
    </row>
    <row r="16" customFormat="false" ht="15" hidden="false" customHeight="true" outlineLevel="0" collapsed="false">
      <c r="A16" s="54"/>
      <c r="B16" s="54"/>
      <c r="C16" s="55"/>
      <c r="D16" s="56"/>
      <c r="E16" s="56"/>
      <c r="F16" s="54"/>
      <c r="G16" s="41" t="str">
        <f aca="false">IF($A16="","",IF($C16="","",YEAR($C16)))</f>
        <v/>
      </c>
      <c r="H16" s="57"/>
      <c r="I16" s="54"/>
      <c r="J16" s="54"/>
      <c r="K16" s="54"/>
      <c r="L16" s="56"/>
      <c r="M16" s="58"/>
      <c r="N16" s="56"/>
      <c r="O16" s="54"/>
      <c r="P16" s="54"/>
      <c r="Q16" s="54"/>
      <c r="R16" s="54"/>
      <c r="S16" s="56"/>
      <c r="T16" s="44" t="str">
        <f aca="false">IF($A16="","",IF($S16="","",IFERROR(INDEX(Lists!$N$5:$N$16,MATCH($S16,Lists!$M$5:$M$16,0)),"?")))</f>
        <v/>
      </c>
      <c r="U16" s="54"/>
      <c r="V16" s="56"/>
      <c r="W16" s="54"/>
      <c r="X16" s="56"/>
      <c r="Y16" s="54"/>
      <c r="Z16" s="54"/>
      <c r="AA16" s="56"/>
      <c r="AB16" s="58"/>
      <c r="AC16" s="59"/>
      <c r="AD16" s="46" t="str">
        <f aca="false">IF(ISNUMBER($AB16),$AB16*(1+N($AC16)),"")</f>
        <v/>
      </c>
      <c r="AE16" s="58"/>
      <c r="AF16" s="58"/>
      <c r="AG16" s="59"/>
      <c r="AH16" s="47" t="str">
        <f aca="false">IF(ISNUMBER($AD16),($AD16+$AE16+$AF16)*$AG16,"")</f>
        <v/>
      </c>
      <c r="AI16" s="58"/>
      <c r="AJ16" s="46" t="str">
        <f aca="false">IF(ISNUMBER($AD16),SUM($AD16:$AH16),"")</f>
        <v/>
      </c>
      <c r="AK16" s="48" t="str">
        <f aca="false">IF(AND(ISNUMBER($AB16),ISNUMBER($AD16)),IF($AB16&gt;0,$AD16/$AB16,""),"")</f>
        <v/>
      </c>
      <c r="AL16" s="56"/>
      <c r="AM16" s="49" t="str">
        <f aca="false">IF(ISNUMBER($AD16),Header!$I$3,"")</f>
        <v/>
      </c>
      <c r="AN16" s="47" t="str">
        <f aca="false">IF(ISNUMBER($AD16),$AO16+$AP16,"")</f>
        <v/>
      </c>
      <c r="AO16" s="47" t="str">
        <f aca="false">IF(ISNUMBER($AD16),ROUND($AD16*Header!$K$3,2),"")</f>
        <v/>
      </c>
      <c r="AP16" s="47" t="str">
        <f aca="false">IF(ISNUMBER($AD16),ROUND($AD16*Header!$M$3,2),"")</f>
        <v/>
      </c>
      <c r="AQ16" s="46" t="str">
        <f aca="false">IF(ISNUMBER($AD16),ROUND($AD16,2)-$AO16-$AP16,"")</f>
        <v/>
      </c>
      <c r="AR16" s="47" t="str">
        <f aca="false">IF(ISNUMBER($AD16),IF(Header!$D$34="","?",$AD16*Header!$D$34),"")</f>
        <v/>
      </c>
      <c r="AS16" s="47" t="str">
        <f aca="false">IF(ISNUMBER($AB16),IF(Header!$D$34="","?",$AB16*Header!$D$34),"")</f>
        <v/>
      </c>
      <c r="AT16" s="50" t="str">
        <f aca="false">IF(AND(ISNUMBER($AB16),$M16&gt;0),$AB16/$M16*100,"")</f>
        <v/>
      </c>
      <c r="AU16" s="50" t="str">
        <f aca="false">IF(AND(ISNUMBER($AD16),$M16&gt;0),$AD16/$M16*100,"")</f>
        <v/>
      </c>
      <c r="AV16" s="48" t="str">
        <f aca="false">IF(AND(ISNUMBER($AB16),ISNUMBER($AD16),ABS($AB16)&gt;0),$AD16/$AB16,"")</f>
        <v/>
      </c>
      <c r="AW16" s="47" t="str">
        <f aca="false">IF(ISNUMBER($AD16),MAX(0,(1-0.55-Header!$O$3)*Header!$Q$3*$AQ16),"")</f>
        <v/>
      </c>
      <c r="AX16" s="51" t="str">
        <f aca="false">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v/>
      </c>
      <c r="AY16" s="52" t="str">
        <f aca="false">IF($M16="","",IF(ISNUMBER($M16),IF($M16&gt;=Header!$C$18,"YES — refer","No"),""))</f>
        <v/>
      </c>
      <c r="AZ16" s="52" t="str">
        <f aca="false">IF($AD16="","",IF(ISNUMBER($AD16),IF($AD16&lt;Header!$C$20,"BELOW MIN PREMIUM","OK"),""))</f>
        <v/>
      </c>
      <c r="BA16" s="56"/>
      <c r="BB16" s="56"/>
      <c r="BC16" s="54"/>
      <c r="BE16" s="53" t="str">
        <f aca="false">IF(OR($A16="",$L16="",$H16=""),"",IF(AND(LEFT($L16,2)="06",$H16&gt;1945),"FAIL - pre-war class, year "&amp;$H16,IF(AND(LEFT($L16,2)="07",OR($H16&lt;1946,$H16&gt;1972)),"FAIL - 1946-72 class, year "&amp;$H16,IF(AND(LEFT($L16,2)="08",OR($H16&lt;1973,$H16&gt;1999)),"FAIL - 1973-99 class, year "&amp;$H16,IF(AND(LEFT($L16,2)="09",OR($H16&lt;2000,$H16&gt;2010)),"FAIL - 2000-10 class, year "&amp;$H16,"OK")))))</f>
        <v/>
      </c>
      <c r="BF16" s="53" t="str">
        <f aca="false">IF($AD16="","",IF(ROUND($AO16+$AP16+$AQ16-$AD16,2)=0,"OK","FAIL - out by "&amp;TEXT($AO16+$AP16+$AQ16-$AD16,"$0.00")))</f>
        <v/>
      </c>
    </row>
    <row r="17" customFormat="false" ht="15" hidden="false" customHeight="true" outlineLevel="0" collapsed="false">
      <c r="A17" s="38"/>
      <c r="B17" s="38"/>
      <c r="C17" s="39"/>
      <c r="D17" s="40"/>
      <c r="E17" s="40"/>
      <c r="F17" s="38"/>
      <c r="G17" s="41" t="str">
        <f aca="false">IF($A17="","",IF($C17="","",YEAR($C17)))</f>
        <v/>
      </c>
      <c r="H17" s="42"/>
      <c r="I17" s="38"/>
      <c r="J17" s="38"/>
      <c r="K17" s="38"/>
      <c r="L17" s="40"/>
      <c r="M17" s="43"/>
      <c r="N17" s="40"/>
      <c r="O17" s="38"/>
      <c r="P17" s="38"/>
      <c r="Q17" s="38"/>
      <c r="R17" s="38"/>
      <c r="S17" s="40"/>
      <c r="T17" s="44" t="str">
        <f aca="false">IF($A17="","",IF($S17="","",IFERROR(INDEX(Lists!$N$5:$N$16,MATCH($S17,Lists!$M$5:$M$16,0)),"?")))</f>
        <v/>
      </c>
      <c r="U17" s="38"/>
      <c r="V17" s="40"/>
      <c r="W17" s="38"/>
      <c r="X17" s="40"/>
      <c r="Y17" s="38"/>
      <c r="Z17" s="38"/>
      <c r="AA17" s="40"/>
      <c r="AB17" s="43"/>
      <c r="AC17" s="45"/>
      <c r="AD17" s="46" t="str">
        <f aca="false">IF(ISNUMBER($AB17),$AB17*(1+N($AC17)),"")</f>
        <v/>
      </c>
      <c r="AE17" s="43"/>
      <c r="AF17" s="43"/>
      <c r="AG17" s="45"/>
      <c r="AH17" s="47" t="str">
        <f aca="false">IF(ISNUMBER($AD17),($AD17+$AE17+$AF17)*$AG17,"")</f>
        <v/>
      </c>
      <c r="AI17" s="43"/>
      <c r="AJ17" s="46" t="str">
        <f aca="false">IF(ISNUMBER($AD17),SUM($AD17:$AH17),"")</f>
        <v/>
      </c>
      <c r="AK17" s="48" t="str">
        <f aca="false">IF(AND(ISNUMBER($AB17),ISNUMBER($AD17)),IF($AB17&gt;0,$AD17/$AB17,""),"")</f>
        <v/>
      </c>
      <c r="AL17" s="40"/>
      <c r="AM17" s="49" t="str">
        <f aca="false">IF(ISNUMBER($AD17),Header!$I$3,"")</f>
        <v/>
      </c>
      <c r="AN17" s="47" t="str">
        <f aca="false">IF(ISNUMBER($AD17),$AO17+$AP17,"")</f>
        <v/>
      </c>
      <c r="AO17" s="47" t="str">
        <f aca="false">IF(ISNUMBER($AD17),ROUND($AD17*Header!$K$3,2),"")</f>
        <v/>
      </c>
      <c r="AP17" s="47" t="str">
        <f aca="false">IF(ISNUMBER($AD17),ROUND($AD17*Header!$M$3,2),"")</f>
        <v/>
      </c>
      <c r="AQ17" s="46" t="str">
        <f aca="false">IF(ISNUMBER($AD17),ROUND($AD17,2)-$AO17-$AP17,"")</f>
        <v/>
      </c>
      <c r="AR17" s="47" t="str">
        <f aca="false">IF(ISNUMBER($AD17),IF(Header!$D$34="","?",$AD17*Header!$D$34),"")</f>
        <v/>
      </c>
      <c r="AS17" s="47" t="str">
        <f aca="false">IF(ISNUMBER($AB17),IF(Header!$D$34="","?",$AB17*Header!$D$34),"")</f>
        <v/>
      </c>
      <c r="AT17" s="50" t="str">
        <f aca="false">IF(AND(ISNUMBER($AB17),$M17&gt;0),$AB17/$M17*100,"")</f>
        <v/>
      </c>
      <c r="AU17" s="50" t="str">
        <f aca="false">IF(AND(ISNUMBER($AD17),$M17&gt;0),$AD17/$M17*100,"")</f>
        <v/>
      </c>
      <c r="AV17" s="48" t="str">
        <f aca="false">IF(AND(ISNUMBER($AB17),ISNUMBER($AD17),ABS($AB17)&gt;0),$AD17/$AB17,"")</f>
        <v/>
      </c>
      <c r="AW17" s="47" t="str">
        <f aca="false">IF(ISNUMBER($AD17),MAX(0,(1-0.55-Header!$O$3)*Header!$Q$3*$AQ17),"")</f>
        <v/>
      </c>
      <c r="AX17" s="51" t="str">
        <f aca="false">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v/>
      </c>
      <c r="AY17" s="52" t="str">
        <f aca="false">IF($M17="","",IF(ISNUMBER($M17),IF($M17&gt;=Header!$C$18,"YES — refer","No"),""))</f>
        <v/>
      </c>
      <c r="AZ17" s="52" t="str">
        <f aca="false">IF($AD17="","",IF(ISNUMBER($AD17),IF($AD17&lt;Header!$C$20,"BELOW MIN PREMIUM","OK"),""))</f>
        <v/>
      </c>
      <c r="BA17" s="40"/>
      <c r="BB17" s="40"/>
      <c r="BC17" s="38"/>
      <c r="BE17" s="53" t="str">
        <f aca="false">IF(OR($A17="",$L17="",$H17=""),"",IF(AND(LEFT($L17,2)="06",$H17&gt;1945),"FAIL - pre-war class, year "&amp;$H17,IF(AND(LEFT($L17,2)="07",OR($H17&lt;1946,$H17&gt;1972)),"FAIL - 1946-72 class, year "&amp;$H17,IF(AND(LEFT($L17,2)="08",OR($H17&lt;1973,$H17&gt;1999)),"FAIL - 1973-99 class, year "&amp;$H17,IF(AND(LEFT($L17,2)="09",OR($H17&lt;2000,$H17&gt;2010)),"FAIL - 2000-10 class, year "&amp;$H17,"OK")))))</f>
        <v/>
      </c>
      <c r="BF17" s="53" t="str">
        <f aca="false">IF($AD17="","",IF(ROUND($AO17+$AP17+$AQ17-$AD17,2)=0,"OK","FAIL - out by "&amp;TEXT($AO17+$AP17+$AQ17-$AD17,"$0.00")))</f>
        <v/>
      </c>
    </row>
    <row r="18" customFormat="false" ht="15" hidden="false" customHeight="true" outlineLevel="0" collapsed="false">
      <c r="A18" s="54"/>
      <c r="B18" s="54"/>
      <c r="C18" s="55"/>
      <c r="D18" s="56"/>
      <c r="E18" s="56"/>
      <c r="F18" s="54"/>
      <c r="G18" s="41" t="str">
        <f aca="false">IF($A18="","",IF($C18="","",YEAR($C18)))</f>
        <v/>
      </c>
      <c r="H18" s="57"/>
      <c r="I18" s="54"/>
      <c r="J18" s="54"/>
      <c r="K18" s="54"/>
      <c r="L18" s="56"/>
      <c r="M18" s="58"/>
      <c r="N18" s="56"/>
      <c r="O18" s="54"/>
      <c r="P18" s="54"/>
      <c r="Q18" s="54"/>
      <c r="R18" s="54"/>
      <c r="S18" s="56"/>
      <c r="T18" s="44" t="str">
        <f aca="false">IF($A18="","",IF($S18="","",IFERROR(INDEX(Lists!$N$5:$N$16,MATCH($S18,Lists!$M$5:$M$16,0)),"?")))</f>
        <v/>
      </c>
      <c r="U18" s="54"/>
      <c r="V18" s="56"/>
      <c r="W18" s="54"/>
      <c r="X18" s="56"/>
      <c r="Y18" s="54"/>
      <c r="Z18" s="54"/>
      <c r="AA18" s="56"/>
      <c r="AB18" s="58"/>
      <c r="AC18" s="59"/>
      <c r="AD18" s="46" t="str">
        <f aca="false">IF(ISNUMBER($AB18),$AB18*(1+N($AC18)),"")</f>
        <v/>
      </c>
      <c r="AE18" s="58"/>
      <c r="AF18" s="58"/>
      <c r="AG18" s="59"/>
      <c r="AH18" s="47" t="str">
        <f aca="false">IF(ISNUMBER($AD18),($AD18+$AE18+$AF18)*$AG18,"")</f>
        <v/>
      </c>
      <c r="AI18" s="58"/>
      <c r="AJ18" s="46" t="str">
        <f aca="false">IF(ISNUMBER($AD18),SUM($AD18:$AH18),"")</f>
        <v/>
      </c>
      <c r="AK18" s="48" t="str">
        <f aca="false">IF(AND(ISNUMBER($AB18),ISNUMBER($AD18)),IF($AB18&gt;0,$AD18/$AB18,""),"")</f>
        <v/>
      </c>
      <c r="AL18" s="56"/>
      <c r="AM18" s="49" t="str">
        <f aca="false">IF(ISNUMBER($AD18),Header!$I$3,"")</f>
        <v/>
      </c>
      <c r="AN18" s="47" t="str">
        <f aca="false">IF(ISNUMBER($AD18),$AO18+$AP18,"")</f>
        <v/>
      </c>
      <c r="AO18" s="47" t="str">
        <f aca="false">IF(ISNUMBER($AD18),ROUND($AD18*Header!$K$3,2),"")</f>
        <v/>
      </c>
      <c r="AP18" s="47" t="str">
        <f aca="false">IF(ISNUMBER($AD18),ROUND($AD18*Header!$M$3,2),"")</f>
        <v/>
      </c>
      <c r="AQ18" s="46" t="str">
        <f aca="false">IF(ISNUMBER($AD18),ROUND($AD18,2)-$AO18-$AP18,"")</f>
        <v/>
      </c>
      <c r="AR18" s="47" t="str">
        <f aca="false">IF(ISNUMBER($AD18),IF(Header!$D$34="","?",$AD18*Header!$D$34),"")</f>
        <v/>
      </c>
      <c r="AS18" s="47" t="str">
        <f aca="false">IF(ISNUMBER($AB18),IF(Header!$D$34="","?",$AB18*Header!$D$34),"")</f>
        <v/>
      </c>
      <c r="AT18" s="50" t="str">
        <f aca="false">IF(AND(ISNUMBER($AB18),$M18&gt;0),$AB18/$M18*100,"")</f>
        <v/>
      </c>
      <c r="AU18" s="50" t="str">
        <f aca="false">IF(AND(ISNUMBER($AD18),$M18&gt;0),$AD18/$M18*100,"")</f>
        <v/>
      </c>
      <c r="AV18" s="48" t="str">
        <f aca="false">IF(AND(ISNUMBER($AB18),ISNUMBER($AD18),ABS($AB18)&gt;0),$AD18/$AB18,"")</f>
        <v/>
      </c>
      <c r="AW18" s="47" t="str">
        <f aca="false">IF(ISNUMBER($AD18),MAX(0,(1-0.55-Header!$O$3)*Header!$Q$3*$AQ18),"")</f>
        <v/>
      </c>
      <c r="AX18" s="51" t="str">
        <f aca="false">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v/>
      </c>
      <c r="AY18" s="52" t="str">
        <f aca="false">IF($M18="","",IF(ISNUMBER($M18),IF($M18&gt;=Header!$C$18,"YES — refer","No"),""))</f>
        <v/>
      </c>
      <c r="AZ18" s="52" t="str">
        <f aca="false">IF($AD18="","",IF(ISNUMBER($AD18),IF($AD18&lt;Header!$C$20,"BELOW MIN PREMIUM","OK"),""))</f>
        <v/>
      </c>
      <c r="BA18" s="56"/>
      <c r="BB18" s="56"/>
      <c r="BC18" s="54"/>
      <c r="BE18" s="53" t="str">
        <f aca="false">IF(OR($A18="",$L18="",$H18=""),"",IF(AND(LEFT($L18,2)="06",$H18&gt;1945),"FAIL - pre-war class, year "&amp;$H18,IF(AND(LEFT($L18,2)="07",OR($H18&lt;1946,$H18&gt;1972)),"FAIL - 1946-72 class, year "&amp;$H18,IF(AND(LEFT($L18,2)="08",OR($H18&lt;1973,$H18&gt;1999)),"FAIL - 1973-99 class, year "&amp;$H18,IF(AND(LEFT($L18,2)="09",OR($H18&lt;2000,$H18&gt;2010)),"FAIL - 2000-10 class, year "&amp;$H18,"OK")))))</f>
        <v/>
      </c>
      <c r="BF18" s="53" t="str">
        <f aca="false">IF($AD18="","",IF(ROUND($AO18+$AP18+$AQ18-$AD18,2)=0,"OK","FAIL - out by "&amp;TEXT($AO18+$AP18+$AQ18-$AD18,"$0.00")))</f>
        <v/>
      </c>
    </row>
    <row r="19" customFormat="false" ht="15" hidden="false" customHeight="true" outlineLevel="0" collapsed="false">
      <c r="A19" s="38"/>
      <c r="B19" s="38"/>
      <c r="C19" s="39"/>
      <c r="D19" s="40"/>
      <c r="E19" s="40"/>
      <c r="F19" s="38"/>
      <c r="G19" s="41" t="str">
        <f aca="false">IF($A19="","",IF($C19="","",YEAR($C19)))</f>
        <v/>
      </c>
      <c r="H19" s="42"/>
      <c r="I19" s="38"/>
      <c r="J19" s="38"/>
      <c r="K19" s="38"/>
      <c r="L19" s="40"/>
      <c r="M19" s="43"/>
      <c r="N19" s="40"/>
      <c r="O19" s="38"/>
      <c r="P19" s="38"/>
      <c r="Q19" s="38"/>
      <c r="R19" s="38"/>
      <c r="S19" s="40"/>
      <c r="T19" s="44" t="str">
        <f aca="false">IF($A19="","",IF($S19="","",IFERROR(INDEX(Lists!$N$5:$N$16,MATCH($S19,Lists!$M$5:$M$16,0)),"?")))</f>
        <v/>
      </c>
      <c r="U19" s="38"/>
      <c r="V19" s="40"/>
      <c r="W19" s="38"/>
      <c r="X19" s="40"/>
      <c r="Y19" s="38"/>
      <c r="Z19" s="38"/>
      <c r="AA19" s="40"/>
      <c r="AB19" s="43"/>
      <c r="AC19" s="45"/>
      <c r="AD19" s="46" t="str">
        <f aca="false">IF(ISNUMBER($AB19),$AB19*(1+N($AC19)),"")</f>
        <v/>
      </c>
      <c r="AE19" s="43"/>
      <c r="AF19" s="43"/>
      <c r="AG19" s="45"/>
      <c r="AH19" s="47" t="str">
        <f aca="false">IF(ISNUMBER($AD19),($AD19+$AE19+$AF19)*$AG19,"")</f>
        <v/>
      </c>
      <c r="AI19" s="43"/>
      <c r="AJ19" s="46" t="str">
        <f aca="false">IF(ISNUMBER($AD19),SUM($AD19:$AH19),"")</f>
        <v/>
      </c>
      <c r="AK19" s="48" t="str">
        <f aca="false">IF(AND(ISNUMBER($AB19),ISNUMBER($AD19)),IF($AB19&gt;0,$AD19/$AB19,""),"")</f>
        <v/>
      </c>
      <c r="AL19" s="40"/>
      <c r="AM19" s="49" t="str">
        <f aca="false">IF(ISNUMBER($AD19),Header!$I$3,"")</f>
        <v/>
      </c>
      <c r="AN19" s="47" t="str">
        <f aca="false">IF(ISNUMBER($AD19),$AO19+$AP19,"")</f>
        <v/>
      </c>
      <c r="AO19" s="47" t="str">
        <f aca="false">IF(ISNUMBER($AD19),ROUND($AD19*Header!$K$3,2),"")</f>
        <v/>
      </c>
      <c r="AP19" s="47" t="str">
        <f aca="false">IF(ISNUMBER($AD19),ROUND($AD19*Header!$M$3,2),"")</f>
        <v/>
      </c>
      <c r="AQ19" s="46" t="str">
        <f aca="false">IF(ISNUMBER($AD19),ROUND($AD19,2)-$AO19-$AP19,"")</f>
        <v/>
      </c>
      <c r="AR19" s="47" t="str">
        <f aca="false">IF(ISNUMBER($AD19),IF(Header!$D$34="","?",$AD19*Header!$D$34),"")</f>
        <v/>
      </c>
      <c r="AS19" s="47" t="str">
        <f aca="false">IF(ISNUMBER($AB19),IF(Header!$D$34="","?",$AB19*Header!$D$34),"")</f>
        <v/>
      </c>
      <c r="AT19" s="50" t="str">
        <f aca="false">IF(AND(ISNUMBER($AB19),$M19&gt;0),$AB19/$M19*100,"")</f>
        <v/>
      </c>
      <c r="AU19" s="50" t="str">
        <f aca="false">IF(AND(ISNUMBER($AD19),$M19&gt;0),$AD19/$M19*100,"")</f>
        <v/>
      </c>
      <c r="AV19" s="48" t="str">
        <f aca="false">IF(AND(ISNUMBER($AB19),ISNUMBER($AD19),ABS($AB19)&gt;0),$AD19/$AB19,"")</f>
        <v/>
      </c>
      <c r="AW19" s="47" t="str">
        <f aca="false">IF(ISNUMBER($AD19),MAX(0,(1-0.55-Header!$O$3)*Header!$Q$3*$AQ19),"")</f>
        <v/>
      </c>
      <c r="AX19" s="51" t="str">
        <f aca="false">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v/>
      </c>
      <c r="AY19" s="52" t="str">
        <f aca="false">IF($M19="","",IF(ISNUMBER($M19),IF($M19&gt;=Header!$C$18,"YES — refer","No"),""))</f>
        <v/>
      </c>
      <c r="AZ19" s="52" t="str">
        <f aca="false">IF($AD19="","",IF(ISNUMBER($AD19),IF($AD19&lt;Header!$C$20,"BELOW MIN PREMIUM","OK"),""))</f>
        <v/>
      </c>
      <c r="BA19" s="40"/>
      <c r="BB19" s="40"/>
      <c r="BC19" s="38"/>
      <c r="BE19" s="53" t="str">
        <f aca="false">IF(OR($A19="",$L19="",$H19=""),"",IF(AND(LEFT($L19,2)="06",$H19&gt;1945),"FAIL - pre-war class, year "&amp;$H19,IF(AND(LEFT($L19,2)="07",OR($H19&lt;1946,$H19&gt;1972)),"FAIL - 1946-72 class, year "&amp;$H19,IF(AND(LEFT($L19,2)="08",OR($H19&lt;1973,$H19&gt;1999)),"FAIL - 1973-99 class, year "&amp;$H19,IF(AND(LEFT($L19,2)="09",OR($H19&lt;2000,$H19&gt;2010)),"FAIL - 2000-10 class, year "&amp;$H19,"OK")))))</f>
        <v/>
      </c>
      <c r="BF19" s="53" t="str">
        <f aca="false">IF($AD19="","",IF(ROUND($AO19+$AP19+$AQ19-$AD19,2)=0,"OK","FAIL - out by "&amp;TEXT($AO19+$AP19+$AQ19-$AD19,"$0.00")))</f>
        <v/>
      </c>
    </row>
    <row r="20" customFormat="false" ht="15" hidden="false" customHeight="true" outlineLevel="0" collapsed="false">
      <c r="A20" s="54"/>
      <c r="B20" s="54"/>
      <c r="C20" s="55"/>
      <c r="D20" s="56"/>
      <c r="E20" s="56"/>
      <c r="F20" s="54"/>
      <c r="G20" s="41" t="str">
        <f aca="false">IF($A20="","",IF($C20="","",YEAR($C20)))</f>
        <v/>
      </c>
      <c r="H20" s="57"/>
      <c r="I20" s="54"/>
      <c r="J20" s="54"/>
      <c r="K20" s="54"/>
      <c r="L20" s="56"/>
      <c r="M20" s="58"/>
      <c r="N20" s="56"/>
      <c r="O20" s="54"/>
      <c r="P20" s="54"/>
      <c r="Q20" s="54"/>
      <c r="R20" s="54"/>
      <c r="S20" s="56"/>
      <c r="T20" s="44" t="str">
        <f aca="false">IF($A20="","",IF($S20="","",IFERROR(INDEX(Lists!$N$5:$N$16,MATCH($S20,Lists!$M$5:$M$16,0)),"?")))</f>
        <v/>
      </c>
      <c r="U20" s="54"/>
      <c r="V20" s="56"/>
      <c r="W20" s="54"/>
      <c r="X20" s="56"/>
      <c r="Y20" s="54"/>
      <c r="Z20" s="54"/>
      <c r="AA20" s="56"/>
      <c r="AB20" s="58"/>
      <c r="AC20" s="59"/>
      <c r="AD20" s="46" t="str">
        <f aca="false">IF(ISNUMBER($AB20),$AB20*(1+N($AC20)),"")</f>
        <v/>
      </c>
      <c r="AE20" s="58"/>
      <c r="AF20" s="58"/>
      <c r="AG20" s="59"/>
      <c r="AH20" s="47" t="str">
        <f aca="false">IF(ISNUMBER($AD20),($AD20+$AE20+$AF20)*$AG20,"")</f>
        <v/>
      </c>
      <c r="AI20" s="58"/>
      <c r="AJ20" s="46" t="str">
        <f aca="false">IF(ISNUMBER($AD20),SUM($AD20:$AH20),"")</f>
        <v/>
      </c>
      <c r="AK20" s="48" t="str">
        <f aca="false">IF(AND(ISNUMBER($AB20),ISNUMBER($AD20)),IF($AB20&gt;0,$AD20/$AB20,""),"")</f>
        <v/>
      </c>
      <c r="AL20" s="56"/>
      <c r="AM20" s="49" t="str">
        <f aca="false">IF(ISNUMBER($AD20),Header!$I$3,"")</f>
        <v/>
      </c>
      <c r="AN20" s="47" t="str">
        <f aca="false">IF(ISNUMBER($AD20),$AO20+$AP20,"")</f>
        <v/>
      </c>
      <c r="AO20" s="47" t="str">
        <f aca="false">IF(ISNUMBER($AD20),ROUND($AD20*Header!$K$3,2),"")</f>
        <v/>
      </c>
      <c r="AP20" s="47" t="str">
        <f aca="false">IF(ISNUMBER($AD20),ROUND($AD20*Header!$M$3,2),"")</f>
        <v/>
      </c>
      <c r="AQ20" s="46" t="str">
        <f aca="false">IF(ISNUMBER($AD20),ROUND($AD20,2)-$AO20-$AP20,"")</f>
        <v/>
      </c>
      <c r="AR20" s="47" t="str">
        <f aca="false">IF(ISNUMBER($AD20),IF(Header!$D$34="","?",$AD20*Header!$D$34),"")</f>
        <v/>
      </c>
      <c r="AS20" s="47" t="str">
        <f aca="false">IF(ISNUMBER($AB20),IF(Header!$D$34="","?",$AB20*Header!$D$34),"")</f>
        <v/>
      </c>
      <c r="AT20" s="50" t="str">
        <f aca="false">IF(AND(ISNUMBER($AB20),$M20&gt;0),$AB20/$M20*100,"")</f>
        <v/>
      </c>
      <c r="AU20" s="50" t="str">
        <f aca="false">IF(AND(ISNUMBER($AD20),$M20&gt;0),$AD20/$M20*100,"")</f>
        <v/>
      </c>
      <c r="AV20" s="48" t="str">
        <f aca="false">IF(AND(ISNUMBER($AB20),ISNUMBER($AD20),ABS($AB20)&gt;0),$AD20/$AB20,"")</f>
        <v/>
      </c>
      <c r="AW20" s="47" t="str">
        <f aca="false">IF(ISNUMBER($AD20),MAX(0,(1-0.55-Header!$O$3)*Header!$Q$3*$AQ20),"")</f>
        <v/>
      </c>
      <c r="AX20" s="51" t="str">
        <f aca="false">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v/>
      </c>
      <c r="AY20" s="52" t="str">
        <f aca="false">IF($M20="","",IF(ISNUMBER($M20),IF($M20&gt;=Header!$C$18,"YES — refer","No"),""))</f>
        <v/>
      </c>
      <c r="AZ20" s="52" t="str">
        <f aca="false">IF($AD20="","",IF(ISNUMBER($AD20),IF($AD20&lt;Header!$C$20,"BELOW MIN PREMIUM","OK"),""))</f>
        <v/>
      </c>
      <c r="BA20" s="56"/>
      <c r="BB20" s="56"/>
      <c r="BC20" s="54"/>
      <c r="BE20" s="53" t="str">
        <f aca="false">IF(OR($A20="",$L20="",$H20=""),"",IF(AND(LEFT($L20,2)="06",$H20&gt;1945),"FAIL - pre-war class, year "&amp;$H20,IF(AND(LEFT($L20,2)="07",OR($H20&lt;1946,$H20&gt;1972)),"FAIL - 1946-72 class, year "&amp;$H20,IF(AND(LEFT($L20,2)="08",OR($H20&lt;1973,$H20&gt;1999)),"FAIL - 1973-99 class, year "&amp;$H20,IF(AND(LEFT($L20,2)="09",OR($H20&lt;2000,$H20&gt;2010)),"FAIL - 2000-10 class, year "&amp;$H20,"OK")))))</f>
        <v/>
      </c>
      <c r="BF20" s="53" t="str">
        <f aca="false">IF($AD20="","",IF(ROUND($AO20+$AP20+$AQ20-$AD20,2)=0,"OK","FAIL - out by "&amp;TEXT($AO20+$AP20+$AQ20-$AD20,"$0.00")))</f>
        <v/>
      </c>
    </row>
    <row r="21" customFormat="false" ht="15" hidden="false" customHeight="true" outlineLevel="0" collapsed="false">
      <c r="A21" s="38"/>
      <c r="B21" s="38"/>
      <c r="C21" s="39"/>
      <c r="D21" s="40"/>
      <c r="E21" s="40"/>
      <c r="F21" s="38"/>
      <c r="G21" s="41" t="str">
        <f aca="false">IF($A21="","",IF($C21="","",YEAR($C21)))</f>
        <v/>
      </c>
      <c r="H21" s="42"/>
      <c r="I21" s="38"/>
      <c r="J21" s="38"/>
      <c r="K21" s="38"/>
      <c r="L21" s="40"/>
      <c r="M21" s="43"/>
      <c r="N21" s="40"/>
      <c r="O21" s="38"/>
      <c r="P21" s="38"/>
      <c r="Q21" s="38"/>
      <c r="R21" s="38"/>
      <c r="S21" s="40"/>
      <c r="T21" s="44" t="str">
        <f aca="false">IF($A21="","",IF($S21="","",IFERROR(INDEX(Lists!$N$5:$N$16,MATCH($S21,Lists!$M$5:$M$16,0)),"?")))</f>
        <v/>
      </c>
      <c r="U21" s="38"/>
      <c r="V21" s="40"/>
      <c r="W21" s="38"/>
      <c r="X21" s="40"/>
      <c r="Y21" s="38"/>
      <c r="Z21" s="38"/>
      <c r="AA21" s="40"/>
      <c r="AB21" s="43"/>
      <c r="AC21" s="45"/>
      <c r="AD21" s="46" t="str">
        <f aca="false">IF(ISNUMBER($AB21),$AB21*(1+N($AC21)),"")</f>
        <v/>
      </c>
      <c r="AE21" s="43"/>
      <c r="AF21" s="43"/>
      <c r="AG21" s="45"/>
      <c r="AH21" s="47" t="str">
        <f aca="false">IF(ISNUMBER($AD21),($AD21+$AE21+$AF21)*$AG21,"")</f>
        <v/>
      </c>
      <c r="AI21" s="43"/>
      <c r="AJ21" s="46" t="str">
        <f aca="false">IF(ISNUMBER($AD21),SUM($AD21:$AH21),"")</f>
        <v/>
      </c>
      <c r="AK21" s="48" t="str">
        <f aca="false">IF(AND(ISNUMBER($AB21),ISNUMBER($AD21)),IF($AB21&gt;0,$AD21/$AB21,""),"")</f>
        <v/>
      </c>
      <c r="AL21" s="40"/>
      <c r="AM21" s="49" t="str">
        <f aca="false">IF(ISNUMBER($AD21),Header!$I$3,"")</f>
        <v/>
      </c>
      <c r="AN21" s="47" t="str">
        <f aca="false">IF(ISNUMBER($AD21),$AO21+$AP21,"")</f>
        <v/>
      </c>
      <c r="AO21" s="47" t="str">
        <f aca="false">IF(ISNUMBER($AD21),ROUND($AD21*Header!$K$3,2),"")</f>
        <v/>
      </c>
      <c r="AP21" s="47" t="str">
        <f aca="false">IF(ISNUMBER($AD21),ROUND($AD21*Header!$M$3,2),"")</f>
        <v/>
      </c>
      <c r="AQ21" s="46" t="str">
        <f aca="false">IF(ISNUMBER($AD21),ROUND($AD21,2)-$AO21-$AP21,"")</f>
        <v/>
      </c>
      <c r="AR21" s="47" t="str">
        <f aca="false">IF(ISNUMBER($AD21),IF(Header!$D$34="","?",$AD21*Header!$D$34),"")</f>
        <v/>
      </c>
      <c r="AS21" s="47" t="str">
        <f aca="false">IF(ISNUMBER($AB21),IF(Header!$D$34="","?",$AB21*Header!$D$34),"")</f>
        <v/>
      </c>
      <c r="AT21" s="50" t="str">
        <f aca="false">IF(AND(ISNUMBER($AB21),$M21&gt;0),$AB21/$M21*100,"")</f>
        <v/>
      </c>
      <c r="AU21" s="50" t="str">
        <f aca="false">IF(AND(ISNUMBER($AD21),$M21&gt;0),$AD21/$M21*100,"")</f>
        <v/>
      </c>
      <c r="AV21" s="48" t="str">
        <f aca="false">IF(AND(ISNUMBER($AB21),ISNUMBER($AD21),ABS($AB21)&gt;0),$AD21/$AB21,"")</f>
        <v/>
      </c>
      <c r="AW21" s="47" t="str">
        <f aca="false">IF(ISNUMBER($AD21),MAX(0,(1-0.55-Header!$O$3)*Header!$Q$3*$AQ21),"")</f>
        <v/>
      </c>
      <c r="AX21" s="51" t="str">
        <f aca="false">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v/>
      </c>
      <c r="AY21" s="52" t="str">
        <f aca="false">IF($M21="","",IF(ISNUMBER($M21),IF($M21&gt;=Header!$C$18,"YES — refer","No"),""))</f>
        <v/>
      </c>
      <c r="AZ21" s="52" t="str">
        <f aca="false">IF($AD21="","",IF(ISNUMBER($AD21),IF($AD21&lt;Header!$C$20,"BELOW MIN PREMIUM","OK"),""))</f>
        <v/>
      </c>
      <c r="BA21" s="40"/>
      <c r="BB21" s="40"/>
      <c r="BC21" s="38"/>
      <c r="BE21" s="53" t="str">
        <f aca="false">IF(OR($A21="",$L21="",$H21=""),"",IF(AND(LEFT($L21,2)="06",$H21&gt;1945),"FAIL - pre-war class, year "&amp;$H21,IF(AND(LEFT($L21,2)="07",OR($H21&lt;1946,$H21&gt;1972)),"FAIL - 1946-72 class, year "&amp;$H21,IF(AND(LEFT($L21,2)="08",OR($H21&lt;1973,$H21&gt;1999)),"FAIL - 1973-99 class, year "&amp;$H21,IF(AND(LEFT($L21,2)="09",OR($H21&lt;2000,$H21&gt;2010)),"FAIL - 2000-10 class, year "&amp;$H21,"OK")))))</f>
        <v/>
      </c>
      <c r="BF21" s="53" t="str">
        <f aca="false">IF($AD21="","",IF(ROUND($AO21+$AP21+$AQ21-$AD21,2)=0,"OK","FAIL - out by "&amp;TEXT($AO21+$AP21+$AQ21-$AD21,"$0.00")))</f>
        <v/>
      </c>
    </row>
    <row r="22" customFormat="false" ht="15" hidden="false" customHeight="true" outlineLevel="0" collapsed="false">
      <c r="A22" s="54"/>
      <c r="B22" s="54"/>
      <c r="C22" s="55"/>
      <c r="D22" s="56"/>
      <c r="E22" s="56"/>
      <c r="F22" s="54"/>
      <c r="G22" s="41" t="str">
        <f aca="false">IF($A22="","",IF($C22="","",YEAR($C22)))</f>
        <v/>
      </c>
      <c r="H22" s="57"/>
      <c r="I22" s="54"/>
      <c r="J22" s="54"/>
      <c r="K22" s="54"/>
      <c r="L22" s="56"/>
      <c r="M22" s="58"/>
      <c r="N22" s="56"/>
      <c r="O22" s="54"/>
      <c r="P22" s="54"/>
      <c r="Q22" s="54"/>
      <c r="R22" s="54"/>
      <c r="S22" s="56"/>
      <c r="T22" s="44" t="str">
        <f aca="false">IF($A22="","",IF($S22="","",IFERROR(INDEX(Lists!$N$5:$N$16,MATCH($S22,Lists!$M$5:$M$16,0)),"?")))</f>
        <v/>
      </c>
      <c r="U22" s="54"/>
      <c r="V22" s="56"/>
      <c r="W22" s="54"/>
      <c r="X22" s="56"/>
      <c r="Y22" s="54"/>
      <c r="Z22" s="54"/>
      <c r="AA22" s="56"/>
      <c r="AB22" s="58"/>
      <c r="AC22" s="59"/>
      <c r="AD22" s="46" t="str">
        <f aca="false">IF(ISNUMBER($AB22),$AB22*(1+N($AC22)),"")</f>
        <v/>
      </c>
      <c r="AE22" s="58"/>
      <c r="AF22" s="58"/>
      <c r="AG22" s="59"/>
      <c r="AH22" s="47" t="str">
        <f aca="false">IF(ISNUMBER($AD22),($AD22+$AE22+$AF22)*$AG22,"")</f>
        <v/>
      </c>
      <c r="AI22" s="58"/>
      <c r="AJ22" s="46" t="str">
        <f aca="false">IF(ISNUMBER($AD22),SUM($AD22:$AH22),"")</f>
        <v/>
      </c>
      <c r="AK22" s="48" t="str">
        <f aca="false">IF(AND(ISNUMBER($AB22),ISNUMBER($AD22)),IF($AB22&gt;0,$AD22/$AB22,""),"")</f>
        <v/>
      </c>
      <c r="AL22" s="56"/>
      <c r="AM22" s="49" t="str">
        <f aca="false">IF(ISNUMBER($AD22),Header!$I$3,"")</f>
        <v/>
      </c>
      <c r="AN22" s="47" t="str">
        <f aca="false">IF(ISNUMBER($AD22),$AO22+$AP22,"")</f>
        <v/>
      </c>
      <c r="AO22" s="47" t="str">
        <f aca="false">IF(ISNUMBER($AD22),ROUND($AD22*Header!$K$3,2),"")</f>
        <v/>
      </c>
      <c r="AP22" s="47" t="str">
        <f aca="false">IF(ISNUMBER($AD22),ROUND($AD22*Header!$M$3,2),"")</f>
        <v/>
      </c>
      <c r="AQ22" s="46" t="str">
        <f aca="false">IF(ISNUMBER($AD22),ROUND($AD22,2)-$AO22-$AP22,"")</f>
        <v/>
      </c>
      <c r="AR22" s="47" t="str">
        <f aca="false">IF(ISNUMBER($AD22),IF(Header!$D$34="","?",$AD22*Header!$D$34),"")</f>
        <v/>
      </c>
      <c r="AS22" s="47" t="str">
        <f aca="false">IF(ISNUMBER($AB22),IF(Header!$D$34="","?",$AB22*Header!$D$34),"")</f>
        <v/>
      </c>
      <c r="AT22" s="50" t="str">
        <f aca="false">IF(AND(ISNUMBER($AB22),$M22&gt;0),$AB22/$M22*100,"")</f>
        <v/>
      </c>
      <c r="AU22" s="50" t="str">
        <f aca="false">IF(AND(ISNUMBER($AD22),$M22&gt;0),$AD22/$M22*100,"")</f>
        <v/>
      </c>
      <c r="AV22" s="48" t="str">
        <f aca="false">IF(AND(ISNUMBER($AB22),ISNUMBER($AD22),ABS($AB22)&gt;0),$AD22/$AB22,"")</f>
        <v/>
      </c>
      <c r="AW22" s="47" t="str">
        <f aca="false">IF(ISNUMBER($AD22),MAX(0,(1-0.55-Header!$O$3)*Header!$Q$3*$AQ22),"")</f>
        <v/>
      </c>
      <c r="AX22" s="51" t="str">
        <f aca="false">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v/>
      </c>
      <c r="AY22" s="52" t="str">
        <f aca="false">IF($M22="","",IF(ISNUMBER($M22),IF($M22&gt;=Header!$C$18,"YES — refer","No"),""))</f>
        <v/>
      </c>
      <c r="AZ22" s="52" t="str">
        <f aca="false">IF($AD22="","",IF(ISNUMBER($AD22),IF($AD22&lt;Header!$C$20,"BELOW MIN PREMIUM","OK"),""))</f>
        <v/>
      </c>
      <c r="BA22" s="56"/>
      <c r="BB22" s="56"/>
      <c r="BC22" s="54"/>
      <c r="BE22" s="53" t="str">
        <f aca="false">IF(OR($A22="",$L22="",$H22=""),"",IF(AND(LEFT($L22,2)="06",$H22&gt;1945),"FAIL - pre-war class, year "&amp;$H22,IF(AND(LEFT($L22,2)="07",OR($H22&lt;1946,$H22&gt;1972)),"FAIL - 1946-72 class, year "&amp;$H22,IF(AND(LEFT($L22,2)="08",OR($H22&lt;1973,$H22&gt;1999)),"FAIL - 1973-99 class, year "&amp;$H22,IF(AND(LEFT($L22,2)="09",OR($H22&lt;2000,$H22&gt;2010)),"FAIL - 2000-10 class, year "&amp;$H22,"OK")))))</f>
        <v/>
      </c>
      <c r="BF22" s="53" t="str">
        <f aca="false">IF($AD22="","",IF(ROUND($AO22+$AP22+$AQ22-$AD22,2)=0,"OK","FAIL - out by "&amp;TEXT($AO22+$AP22+$AQ22-$AD22,"$0.00")))</f>
        <v/>
      </c>
    </row>
    <row r="23" customFormat="false" ht="15" hidden="false" customHeight="true" outlineLevel="0" collapsed="false">
      <c r="A23" s="38"/>
      <c r="B23" s="38"/>
      <c r="C23" s="39"/>
      <c r="D23" s="40"/>
      <c r="E23" s="40"/>
      <c r="F23" s="38"/>
      <c r="G23" s="41" t="str">
        <f aca="false">IF($A23="","",IF($C23="","",YEAR($C23)))</f>
        <v/>
      </c>
      <c r="H23" s="42"/>
      <c r="I23" s="38"/>
      <c r="J23" s="38"/>
      <c r="K23" s="38"/>
      <c r="L23" s="40"/>
      <c r="M23" s="43"/>
      <c r="N23" s="40"/>
      <c r="O23" s="38"/>
      <c r="P23" s="38"/>
      <c r="Q23" s="38"/>
      <c r="R23" s="38"/>
      <c r="S23" s="40"/>
      <c r="T23" s="44" t="str">
        <f aca="false">IF($A23="","",IF($S23="","",IFERROR(INDEX(Lists!$N$5:$N$16,MATCH($S23,Lists!$M$5:$M$16,0)),"?")))</f>
        <v/>
      </c>
      <c r="U23" s="38"/>
      <c r="V23" s="40"/>
      <c r="W23" s="38"/>
      <c r="X23" s="40"/>
      <c r="Y23" s="38"/>
      <c r="Z23" s="38"/>
      <c r="AA23" s="40"/>
      <c r="AB23" s="43"/>
      <c r="AC23" s="45"/>
      <c r="AD23" s="46" t="str">
        <f aca="false">IF(ISNUMBER($AB23),$AB23*(1+N($AC23)),"")</f>
        <v/>
      </c>
      <c r="AE23" s="43"/>
      <c r="AF23" s="43"/>
      <c r="AG23" s="45"/>
      <c r="AH23" s="47" t="str">
        <f aca="false">IF(ISNUMBER($AD23),($AD23+$AE23+$AF23)*$AG23,"")</f>
        <v/>
      </c>
      <c r="AI23" s="43"/>
      <c r="AJ23" s="46" t="str">
        <f aca="false">IF(ISNUMBER($AD23),SUM($AD23:$AH23),"")</f>
        <v/>
      </c>
      <c r="AK23" s="48" t="str">
        <f aca="false">IF(AND(ISNUMBER($AB23),ISNUMBER($AD23)),IF($AB23&gt;0,$AD23/$AB23,""),"")</f>
        <v/>
      </c>
      <c r="AL23" s="40"/>
      <c r="AM23" s="49" t="str">
        <f aca="false">IF(ISNUMBER($AD23),Header!$I$3,"")</f>
        <v/>
      </c>
      <c r="AN23" s="47" t="str">
        <f aca="false">IF(ISNUMBER($AD23),$AO23+$AP23,"")</f>
        <v/>
      </c>
      <c r="AO23" s="47" t="str">
        <f aca="false">IF(ISNUMBER($AD23),ROUND($AD23*Header!$K$3,2),"")</f>
        <v/>
      </c>
      <c r="AP23" s="47" t="str">
        <f aca="false">IF(ISNUMBER($AD23),ROUND($AD23*Header!$M$3,2),"")</f>
        <v/>
      </c>
      <c r="AQ23" s="46" t="str">
        <f aca="false">IF(ISNUMBER($AD23),ROUND($AD23,2)-$AO23-$AP23,"")</f>
        <v/>
      </c>
      <c r="AR23" s="47" t="str">
        <f aca="false">IF(ISNUMBER($AD23),IF(Header!$D$34="","?",$AD23*Header!$D$34),"")</f>
        <v/>
      </c>
      <c r="AS23" s="47" t="str">
        <f aca="false">IF(ISNUMBER($AB23),IF(Header!$D$34="","?",$AB23*Header!$D$34),"")</f>
        <v/>
      </c>
      <c r="AT23" s="50" t="str">
        <f aca="false">IF(AND(ISNUMBER($AB23),$M23&gt;0),$AB23/$M23*100,"")</f>
        <v/>
      </c>
      <c r="AU23" s="50" t="str">
        <f aca="false">IF(AND(ISNUMBER($AD23),$M23&gt;0),$AD23/$M23*100,"")</f>
        <v/>
      </c>
      <c r="AV23" s="48" t="str">
        <f aca="false">IF(AND(ISNUMBER($AB23),ISNUMBER($AD23),ABS($AB23)&gt;0),$AD23/$AB23,"")</f>
        <v/>
      </c>
      <c r="AW23" s="47" t="str">
        <f aca="false">IF(ISNUMBER($AD23),MAX(0,(1-0.55-Header!$O$3)*Header!$Q$3*$AQ23),"")</f>
        <v/>
      </c>
      <c r="AX23" s="51" t="str">
        <f aca="false">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v/>
      </c>
      <c r="AY23" s="52" t="str">
        <f aca="false">IF($M23="","",IF(ISNUMBER($M23),IF($M23&gt;=Header!$C$18,"YES — refer","No"),""))</f>
        <v/>
      </c>
      <c r="AZ23" s="52" t="str">
        <f aca="false">IF($AD23="","",IF(ISNUMBER($AD23),IF($AD23&lt;Header!$C$20,"BELOW MIN PREMIUM","OK"),""))</f>
        <v/>
      </c>
      <c r="BA23" s="40"/>
      <c r="BB23" s="40"/>
      <c r="BC23" s="38"/>
      <c r="BE23" s="53" t="str">
        <f aca="false">IF(OR($A23="",$L23="",$H23=""),"",IF(AND(LEFT($L23,2)="06",$H23&gt;1945),"FAIL - pre-war class, year "&amp;$H23,IF(AND(LEFT($L23,2)="07",OR($H23&lt;1946,$H23&gt;1972)),"FAIL - 1946-72 class, year "&amp;$H23,IF(AND(LEFT($L23,2)="08",OR($H23&lt;1973,$H23&gt;1999)),"FAIL - 1973-99 class, year "&amp;$H23,IF(AND(LEFT($L23,2)="09",OR($H23&lt;2000,$H23&gt;2010)),"FAIL - 2000-10 class, year "&amp;$H23,"OK")))))</f>
        <v/>
      </c>
      <c r="BF23" s="53" t="str">
        <f aca="false">IF($AD23="","",IF(ROUND($AO23+$AP23+$AQ23-$AD23,2)=0,"OK","FAIL - out by "&amp;TEXT($AO23+$AP23+$AQ23-$AD23,"$0.00")))</f>
        <v/>
      </c>
    </row>
    <row r="24" customFormat="false" ht="15" hidden="false" customHeight="true" outlineLevel="0" collapsed="false">
      <c r="A24" s="54"/>
      <c r="B24" s="54"/>
      <c r="C24" s="55"/>
      <c r="D24" s="56"/>
      <c r="E24" s="56"/>
      <c r="F24" s="54"/>
      <c r="G24" s="41" t="str">
        <f aca="false">IF($A24="","",IF($C24="","",YEAR($C24)))</f>
        <v/>
      </c>
      <c r="H24" s="57"/>
      <c r="I24" s="54"/>
      <c r="J24" s="54"/>
      <c r="K24" s="54"/>
      <c r="L24" s="56"/>
      <c r="M24" s="58"/>
      <c r="N24" s="56"/>
      <c r="O24" s="54"/>
      <c r="P24" s="54"/>
      <c r="Q24" s="54"/>
      <c r="R24" s="54"/>
      <c r="S24" s="56"/>
      <c r="T24" s="44" t="str">
        <f aca="false">IF($A24="","",IF($S24="","",IFERROR(INDEX(Lists!$N$5:$N$16,MATCH($S24,Lists!$M$5:$M$16,0)),"?")))</f>
        <v/>
      </c>
      <c r="U24" s="54"/>
      <c r="V24" s="56"/>
      <c r="W24" s="54"/>
      <c r="X24" s="56"/>
      <c r="Y24" s="54"/>
      <c r="Z24" s="54"/>
      <c r="AA24" s="56"/>
      <c r="AB24" s="58"/>
      <c r="AC24" s="59"/>
      <c r="AD24" s="46" t="str">
        <f aca="false">IF(ISNUMBER($AB24),$AB24*(1+N($AC24)),"")</f>
        <v/>
      </c>
      <c r="AE24" s="58"/>
      <c r="AF24" s="58"/>
      <c r="AG24" s="59"/>
      <c r="AH24" s="47" t="str">
        <f aca="false">IF(ISNUMBER($AD24),($AD24+$AE24+$AF24)*$AG24,"")</f>
        <v/>
      </c>
      <c r="AI24" s="58"/>
      <c r="AJ24" s="46" t="str">
        <f aca="false">IF(ISNUMBER($AD24),SUM($AD24:$AH24),"")</f>
        <v/>
      </c>
      <c r="AK24" s="48" t="str">
        <f aca="false">IF(AND(ISNUMBER($AB24),ISNUMBER($AD24)),IF($AB24&gt;0,$AD24/$AB24,""),"")</f>
        <v/>
      </c>
      <c r="AL24" s="56"/>
      <c r="AM24" s="49" t="str">
        <f aca="false">IF(ISNUMBER($AD24),Header!$I$3,"")</f>
        <v/>
      </c>
      <c r="AN24" s="47" t="str">
        <f aca="false">IF(ISNUMBER($AD24),$AO24+$AP24,"")</f>
        <v/>
      </c>
      <c r="AO24" s="47" t="str">
        <f aca="false">IF(ISNUMBER($AD24),ROUND($AD24*Header!$K$3,2),"")</f>
        <v/>
      </c>
      <c r="AP24" s="47" t="str">
        <f aca="false">IF(ISNUMBER($AD24),ROUND($AD24*Header!$M$3,2),"")</f>
        <v/>
      </c>
      <c r="AQ24" s="46" t="str">
        <f aca="false">IF(ISNUMBER($AD24),ROUND($AD24,2)-$AO24-$AP24,"")</f>
        <v/>
      </c>
      <c r="AR24" s="47" t="str">
        <f aca="false">IF(ISNUMBER($AD24),IF(Header!$D$34="","?",$AD24*Header!$D$34),"")</f>
        <v/>
      </c>
      <c r="AS24" s="47" t="str">
        <f aca="false">IF(ISNUMBER($AB24),IF(Header!$D$34="","?",$AB24*Header!$D$34),"")</f>
        <v/>
      </c>
      <c r="AT24" s="50" t="str">
        <f aca="false">IF(AND(ISNUMBER($AB24),$M24&gt;0),$AB24/$M24*100,"")</f>
        <v/>
      </c>
      <c r="AU24" s="50" t="str">
        <f aca="false">IF(AND(ISNUMBER($AD24),$M24&gt;0),$AD24/$M24*100,"")</f>
        <v/>
      </c>
      <c r="AV24" s="48" t="str">
        <f aca="false">IF(AND(ISNUMBER($AB24),ISNUMBER($AD24),ABS($AB24)&gt;0),$AD24/$AB24,"")</f>
        <v/>
      </c>
      <c r="AW24" s="47" t="str">
        <f aca="false">IF(ISNUMBER($AD24),MAX(0,(1-0.55-Header!$O$3)*Header!$Q$3*$AQ24),"")</f>
        <v/>
      </c>
      <c r="AX24" s="51" t="str">
        <f aca="false">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v/>
      </c>
      <c r="AY24" s="52" t="str">
        <f aca="false">IF($M24="","",IF(ISNUMBER($M24),IF($M24&gt;=Header!$C$18,"YES — refer","No"),""))</f>
        <v/>
      </c>
      <c r="AZ24" s="52" t="str">
        <f aca="false">IF($AD24="","",IF(ISNUMBER($AD24),IF($AD24&lt;Header!$C$20,"BELOW MIN PREMIUM","OK"),""))</f>
        <v/>
      </c>
      <c r="BA24" s="56"/>
      <c r="BB24" s="56"/>
      <c r="BC24" s="54"/>
      <c r="BE24" s="53" t="str">
        <f aca="false">IF(OR($A24="",$L24="",$H24=""),"",IF(AND(LEFT($L24,2)="06",$H24&gt;1945),"FAIL - pre-war class, year "&amp;$H24,IF(AND(LEFT($L24,2)="07",OR($H24&lt;1946,$H24&gt;1972)),"FAIL - 1946-72 class, year "&amp;$H24,IF(AND(LEFT($L24,2)="08",OR($H24&lt;1973,$H24&gt;1999)),"FAIL - 1973-99 class, year "&amp;$H24,IF(AND(LEFT($L24,2)="09",OR($H24&lt;2000,$H24&gt;2010)),"FAIL - 2000-10 class, year "&amp;$H24,"OK")))))</f>
        <v/>
      </c>
      <c r="BF24" s="53" t="str">
        <f aca="false">IF($AD24="","",IF(ROUND($AO24+$AP24+$AQ24-$AD24,2)=0,"OK","FAIL - out by "&amp;TEXT($AO24+$AP24+$AQ24-$AD24,"$0.00")))</f>
        <v/>
      </c>
    </row>
    <row r="25" customFormat="false" ht="15" hidden="false" customHeight="true" outlineLevel="0" collapsed="false">
      <c r="A25" s="38"/>
      <c r="B25" s="38"/>
      <c r="C25" s="39"/>
      <c r="D25" s="40"/>
      <c r="E25" s="40"/>
      <c r="F25" s="38"/>
      <c r="G25" s="41" t="str">
        <f aca="false">IF($A25="","",IF($C25="","",YEAR($C25)))</f>
        <v/>
      </c>
      <c r="H25" s="42"/>
      <c r="I25" s="38"/>
      <c r="J25" s="38"/>
      <c r="K25" s="38"/>
      <c r="L25" s="40"/>
      <c r="M25" s="43"/>
      <c r="N25" s="40"/>
      <c r="O25" s="38"/>
      <c r="P25" s="38"/>
      <c r="Q25" s="38"/>
      <c r="R25" s="38"/>
      <c r="S25" s="40"/>
      <c r="T25" s="44" t="str">
        <f aca="false">IF($A25="","",IF($S25="","",IFERROR(INDEX(Lists!$N$5:$N$16,MATCH($S25,Lists!$M$5:$M$16,0)),"?")))</f>
        <v/>
      </c>
      <c r="U25" s="38"/>
      <c r="V25" s="40"/>
      <c r="W25" s="38"/>
      <c r="X25" s="40"/>
      <c r="Y25" s="38"/>
      <c r="Z25" s="38"/>
      <c r="AA25" s="40"/>
      <c r="AB25" s="43"/>
      <c r="AC25" s="45"/>
      <c r="AD25" s="46" t="str">
        <f aca="false">IF(ISNUMBER($AB25),$AB25*(1+N($AC25)),"")</f>
        <v/>
      </c>
      <c r="AE25" s="43"/>
      <c r="AF25" s="43"/>
      <c r="AG25" s="45"/>
      <c r="AH25" s="47" t="str">
        <f aca="false">IF(ISNUMBER($AD25),($AD25+$AE25+$AF25)*$AG25,"")</f>
        <v/>
      </c>
      <c r="AI25" s="43"/>
      <c r="AJ25" s="46" t="str">
        <f aca="false">IF(ISNUMBER($AD25),SUM($AD25:$AH25),"")</f>
        <v/>
      </c>
      <c r="AK25" s="48" t="str">
        <f aca="false">IF(AND(ISNUMBER($AB25),ISNUMBER($AD25)),IF($AB25&gt;0,$AD25/$AB25,""),"")</f>
        <v/>
      </c>
      <c r="AL25" s="40"/>
      <c r="AM25" s="49" t="str">
        <f aca="false">IF(ISNUMBER($AD25),Header!$I$3,"")</f>
        <v/>
      </c>
      <c r="AN25" s="47" t="str">
        <f aca="false">IF(ISNUMBER($AD25),$AO25+$AP25,"")</f>
        <v/>
      </c>
      <c r="AO25" s="47" t="str">
        <f aca="false">IF(ISNUMBER($AD25),ROUND($AD25*Header!$K$3,2),"")</f>
        <v/>
      </c>
      <c r="AP25" s="47" t="str">
        <f aca="false">IF(ISNUMBER($AD25),ROUND($AD25*Header!$M$3,2),"")</f>
        <v/>
      </c>
      <c r="AQ25" s="46" t="str">
        <f aca="false">IF(ISNUMBER($AD25),ROUND($AD25,2)-$AO25-$AP25,"")</f>
        <v/>
      </c>
      <c r="AR25" s="47" t="str">
        <f aca="false">IF(ISNUMBER($AD25),IF(Header!$D$34="","?",$AD25*Header!$D$34),"")</f>
        <v/>
      </c>
      <c r="AS25" s="47" t="str">
        <f aca="false">IF(ISNUMBER($AB25),IF(Header!$D$34="","?",$AB25*Header!$D$34),"")</f>
        <v/>
      </c>
      <c r="AT25" s="50" t="str">
        <f aca="false">IF(AND(ISNUMBER($AB25),$M25&gt;0),$AB25/$M25*100,"")</f>
        <v/>
      </c>
      <c r="AU25" s="50" t="str">
        <f aca="false">IF(AND(ISNUMBER($AD25),$M25&gt;0),$AD25/$M25*100,"")</f>
        <v/>
      </c>
      <c r="AV25" s="48" t="str">
        <f aca="false">IF(AND(ISNUMBER($AB25),ISNUMBER($AD25),ABS($AB25)&gt;0),$AD25/$AB25,"")</f>
        <v/>
      </c>
      <c r="AW25" s="47" t="str">
        <f aca="false">IF(ISNUMBER($AD25),MAX(0,(1-0.55-Header!$O$3)*Header!$Q$3*$AQ25),"")</f>
        <v/>
      </c>
      <c r="AX25" s="51" t="str">
        <f aca="false">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v/>
      </c>
      <c r="AY25" s="52" t="str">
        <f aca="false">IF($M25="","",IF(ISNUMBER($M25),IF($M25&gt;=Header!$C$18,"YES — refer","No"),""))</f>
        <v/>
      </c>
      <c r="AZ25" s="52" t="str">
        <f aca="false">IF($AD25="","",IF(ISNUMBER($AD25),IF($AD25&lt;Header!$C$20,"BELOW MIN PREMIUM","OK"),""))</f>
        <v/>
      </c>
      <c r="BA25" s="40"/>
      <c r="BB25" s="40"/>
      <c r="BC25" s="38"/>
      <c r="BE25" s="53" t="str">
        <f aca="false">IF(OR($A25="",$L25="",$H25=""),"",IF(AND(LEFT($L25,2)="06",$H25&gt;1945),"FAIL - pre-war class, year "&amp;$H25,IF(AND(LEFT($L25,2)="07",OR($H25&lt;1946,$H25&gt;1972)),"FAIL - 1946-72 class, year "&amp;$H25,IF(AND(LEFT($L25,2)="08",OR($H25&lt;1973,$H25&gt;1999)),"FAIL - 1973-99 class, year "&amp;$H25,IF(AND(LEFT($L25,2)="09",OR($H25&lt;2000,$H25&gt;2010)),"FAIL - 2000-10 class, year "&amp;$H25,"OK")))))</f>
        <v/>
      </c>
      <c r="BF25" s="53" t="str">
        <f aca="false">IF($AD25="","",IF(ROUND($AO25+$AP25+$AQ25-$AD25,2)=0,"OK","FAIL - out by "&amp;TEXT($AO25+$AP25+$AQ25-$AD25,"$0.00")))</f>
        <v/>
      </c>
    </row>
    <row r="26" customFormat="false" ht="15" hidden="false" customHeight="true" outlineLevel="0" collapsed="false">
      <c r="A26" s="54"/>
      <c r="B26" s="54"/>
      <c r="C26" s="55"/>
      <c r="D26" s="56"/>
      <c r="E26" s="56"/>
      <c r="F26" s="54"/>
      <c r="G26" s="41" t="str">
        <f aca="false">IF($A26="","",IF($C26="","",YEAR($C26)))</f>
        <v/>
      </c>
      <c r="H26" s="57"/>
      <c r="I26" s="54"/>
      <c r="J26" s="54"/>
      <c r="K26" s="54"/>
      <c r="L26" s="56"/>
      <c r="M26" s="58"/>
      <c r="N26" s="56"/>
      <c r="O26" s="54"/>
      <c r="P26" s="54"/>
      <c r="Q26" s="54"/>
      <c r="R26" s="54"/>
      <c r="S26" s="56"/>
      <c r="T26" s="44" t="str">
        <f aca="false">IF($A26="","",IF($S26="","",IFERROR(INDEX(Lists!$N$5:$N$16,MATCH($S26,Lists!$M$5:$M$16,0)),"?")))</f>
        <v/>
      </c>
      <c r="U26" s="54"/>
      <c r="V26" s="56"/>
      <c r="W26" s="54"/>
      <c r="X26" s="56"/>
      <c r="Y26" s="54"/>
      <c r="Z26" s="54"/>
      <c r="AA26" s="56"/>
      <c r="AB26" s="58"/>
      <c r="AC26" s="59"/>
      <c r="AD26" s="46" t="str">
        <f aca="false">IF(ISNUMBER($AB26),$AB26*(1+N($AC26)),"")</f>
        <v/>
      </c>
      <c r="AE26" s="58"/>
      <c r="AF26" s="58"/>
      <c r="AG26" s="59"/>
      <c r="AH26" s="47" t="str">
        <f aca="false">IF(ISNUMBER($AD26),($AD26+$AE26+$AF26)*$AG26,"")</f>
        <v/>
      </c>
      <c r="AI26" s="58"/>
      <c r="AJ26" s="46" t="str">
        <f aca="false">IF(ISNUMBER($AD26),SUM($AD26:$AH26),"")</f>
        <v/>
      </c>
      <c r="AK26" s="48" t="str">
        <f aca="false">IF(AND(ISNUMBER($AB26),ISNUMBER($AD26)),IF($AB26&gt;0,$AD26/$AB26,""),"")</f>
        <v/>
      </c>
      <c r="AL26" s="56"/>
      <c r="AM26" s="49" t="str">
        <f aca="false">IF(ISNUMBER($AD26),Header!$I$3,"")</f>
        <v/>
      </c>
      <c r="AN26" s="47" t="str">
        <f aca="false">IF(ISNUMBER($AD26),$AO26+$AP26,"")</f>
        <v/>
      </c>
      <c r="AO26" s="47" t="str">
        <f aca="false">IF(ISNUMBER($AD26),ROUND($AD26*Header!$K$3,2),"")</f>
        <v/>
      </c>
      <c r="AP26" s="47" t="str">
        <f aca="false">IF(ISNUMBER($AD26),ROUND($AD26*Header!$M$3,2),"")</f>
        <v/>
      </c>
      <c r="AQ26" s="46" t="str">
        <f aca="false">IF(ISNUMBER($AD26),ROUND($AD26,2)-$AO26-$AP26,"")</f>
        <v/>
      </c>
      <c r="AR26" s="47" t="str">
        <f aca="false">IF(ISNUMBER($AD26),IF(Header!$D$34="","?",$AD26*Header!$D$34),"")</f>
        <v/>
      </c>
      <c r="AS26" s="47" t="str">
        <f aca="false">IF(ISNUMBER($AB26),IF(Header!$D$34="","?",$AB26*Header!$D$34),"")</f>
        <v/>
      </c>
      <c r="AT26" s="50" t="str">
        <f aca="false">IF(AND(ISNUMBER($AB26),$M26&gt;0),$AB26/$M26*100,"")</f>
        <v/>
      </c>
      <c r="AU26" s="50" t="str">
        <f aca="false">IF(AND(ISNUMBER($AD26),$M26&gt;0),$AD26/$M26*100,"")</f>
        <v/>
      </c>
      <c r="AV26" s="48" t="str">
        <f aca="false">IF(AND(ISNUMBER($AB26),ISNUMBER($AD26),ABS($AB26)&gt;0),$AD26/$AB26,"")</f>
        <v/>
      </c>
      <c r="AW26" s="47" t="str">
        <f aca="false">IF(ISNUMBER($AD26),MAX(0,(1-0.55-Header!$O$3)*Header!$Q$3*$AQ26),"")</f>
        <v/>
      </c>
      <c r="AX26" s="51" t="str">
        <f aca="false">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v/>
      </c>
      <c r="AY26" s="52" t="str">
        <f aca="false">IF($M26="","",IF(ISNUMBER($M26),IF($M26&gt;=Header!$C$18,"YES — refer","No"),""))</f>
        <v/>
      </c>
      <c r="AZ26" s="52" t="str">
        <f aca="false">IF($AD26="","",IF(ISNUMBER($AD26),IF($AD26&lt;Header!$C$20,"BELOW MIN PREMIUM","OK"),""))</f>
        <v/>
      </c>
      <c r="BA26" s="56"/>
      <c r="BB26" s="56"/>
      <c r="BC26" s="54"/>
      <c r="BE26" s="53" t="str">
        <f aca="false">IF(OR($A26="",$L26="",$H26=""),"",IF(AND(LEFT($L26,2)="06",$H26&gt;1945),"FAIL - pre-war class, year "&amp;$H26,IF(AND(LEFT($L26,2)="07",OR($H26&lt;1946,$H26&gt;1972)),"FAIL - 1946-72 class, year "&amp;$H26,IF(AND(LEFT($L26,2)="08",OR($H26&lt;1973,$H26&gt;1999)),"FAIL - 1973-99 class, year "&amp;$H26,IF(AND(LEFT($L26,2)="09",OR($H26&lt;2000,$H26&gt;2010)),"FAIL - 2000-10 class, year "&amp;$H26,"OK")))))</f>
        <v/>
      </c>
      <c r="BF26" s="53" t="str">
        <f aca="false">IF($AD26="","",IF(ROUND($AO26+$AP26+$AQ26-$AD26,2)=0,"OK","FAIL - out by "&amp;TEXT($AO26+$AP26+$AQ26-$AD26,"$0.00")))</f>
        <v/>
      </c>
    </row>
    <row r="27" customFormat="false" ht="15" hidden="false" customHeight="true" outlineLevel="0" collapsed="false">
      <c r="A27" s="38"/>
      <c r="B27" s="38"/>
      <c r="C27" s="39"/>
      <c r="D27" s="40"/>
      <c r="E27" s="40"/>
      <c r="F27" s="38"/>
      <c r="G27" s="41" t="str">
        <f aca="false">IF($A27="","",IF($C27="","",YEAR($C27)))</f>
        <v/>
      </c>
      <c r="H27" s="42"/>
      <c r="I27" s="38"/>
      <c r="J27" s="38"/>
      <c r="K27" s="38"/>
      <c r="L27" s="40"/>
      <c r="M27" s="43"/>
      <c r="N27" s="40"/>
      <c r="O27" s="38"/>
      <c r="P27" s="38"/>
      <c r="Q27" s="38"/>
      <c r="R27" s="38"/>
      <c r="S27" s="40"/>
      <c r="T27" s="44" t="str">
        <f aca="false">IF($A27="","",IF($S27="","",IFERROR(INDEX(Lists!$N$5:$N$16,MATCH($S27,Lists!$M$5:$M$16,0)),"?")))</f>
        <v/>
      </c>
      <c r="U27" s="38"/>
      <c r="V27" s="40"/>
      <c r="W27" s="38"/>
      <c r="X27" s="40"/>
      <c r="Y27" s="38"/>
      <c r="Z27" s="38"/>
      <c r="AA27" s="40"/>
      <c r="AB27" s="43"/>
      <c r="AC27" s="45"/>
      <c r="AD27" s="46" t="str">
        <f aca="false">IF(ISNUMBER($AB27),$AB27*(1+N($AC27)),"")</f>
        <v/>
      </c>
      <c r="AE27" s="43"/>
      <c r="AF27" s="43"/>
      <c r="AG27" s="45"/>
      <c r="AH27" s="47" t="str">
        <f aca="false">IF(ISNUMBER($AD27),($AD27+$AE27+$AF27)*$AG27,"")</f>
        <v/>
      </c>
      <c r="AI27" s="43"/>
      <c r="AJ27" s="46" t="str">
        <f aca="false">IF(ISNUMBER($AD27),SUM($AD27:$AH27),"")</f>
        <v/>
      </c>
      <c r="AK27" s="48" t="str">
        <f aca="false">IF(AND(ISNUMBER($AB27),ISNUMBER($AD27)),IF($AB27&gt;0,$AD27/$AB27,""),"")</f>
        <v/>
      </c>
      <c r="AL27" s="40"/>
      <c r="AM27" s="49" t="str">
        <f aca="false">IF(ISNUMBER($AD27),Header!$I$3,"")</f>
        <v/>
      </c>
      <c r="AN27" s="47" t="str">
        <f aca="false">IF(ISNUMBER($AD27),$AO27+$AP27,"")</f>
        <v/>
      </c>
      <c r="AO27" s="47" t="str">
        <f aca="false">IF(ISNUMBER($AD27),ROUND($AD27*Header!$K$3,2),"")</f>
        <v/>
      </c>
      <c r="AP27" s="47" t="str">
        <f aca="false">IF(ISNUMBER($AD27),ROUND($AD27*Header!$M$3,2),"")</f>
        <v/>
      </c>
      <c r="AQ27" s="46" t="str">
        <f aca="false">IF(ISNUMBER($AD27),ROUND($AD27,2)-$AO27-$AP27,"")</f>
        <v/>
      </c>
      <c r="AR27" s="47" t="str">
        <f aca="false">IF(ISNUMBER($AD27),IF(Header!$D$34="","?",$AD27*Header!$D$34),"")</f>
        <v/>
      </c>
      <c r="AS27" s="47" t="str">
        <f aca="false">IF(ISNUMBER($AB27),IF(Header!$D$34="","?",$AB27*Header!$D$34),"")</f>
        <v/>
      </c>
      <c r="AT27" s="50" t="str">
        <f aca="false">IF(AND(ISNUMBER($AB27),$M27&gt;0),$AB27/$M27*100,"")</f>
        <v/>
      </c>
      <c r="AU27" s="50" t="str">
        <f aca="false">IF(AND(ISNUMBER($AD27),$M27&gt;0),$AD27/$M27*100,"")</f>
        <v/>
      </c>
      <c r="AV27" s="48" t="str">
        <f aca="false">IF(AND(ISNUMBER($AB27),ISNUMBER($AD27),ABS($AB27)&gt;0),$AD27/$AB27,"")</f>
        <v/>
      </c>
      <c r="AW27" s="47" t="str">
        <f aca="false">IF(ISNUMBER($AD27),MAX(0,(1-0.55-Header!$O$3)*Header!$Q$3*$AQ27),"")</f>
        <v/>
      </c>
      <c r="AX27" s="51" t="str">
        <f aca="false">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v/>
      </c>
      <c r="AY27" s="52" t="str">
        <f aca="false">IF($M27="","",IF(ISNUMBER($M27),IF($M27&gt;=Header!$C$18,"YES — refer","No"),""))</f>
        <v/>
      </c>
      <c r="AZ27" s="52" t="str">
        <f aca="false">IF($AD27="","",IF(ISNUMBER($AD27),IF($AD27&lt;Header!$C$20,"BELOW MIN PREMIUM","OK"),""))</f>
        <v/>
      </c>
      <c r="BA27" s="40"/>
      <c r="BB27" s="40"/>
      <c r="BC27" s="38"/>
      <c r="BE27" s="53" t="str">
        <f aca="false">IF(OR($A27="",$L27="",$H27=""),"",IF(AND(LEFT($L27,2)="06",$H27&gt;1945),"FAIL - pre-war class, year "&amp;$H27,IF(AND(LEFT($L27,2)="07",OR($H27&lt;1946,$H27&gt;1972)),"FAIL - 1946-72 class, year "&amp;$H27,IF(AND(LEFT($L27,2)="08",OR($H27&lt;1973,$H27&gt;1999)),"FAIL - 1973-99 class, year "&amp;$H27,IF(AND(LEFT($L27,2)="09",OR($H27&lt;2000,$H27&gt;2010)),"FAIL - 2000-10 class, year "&amp;$H27,"OK")))))</f>
        <v/>
      </c>
      <c r="BF27" s="53" t="str">
        <f aca="false">IF($AD27="","",IF(ROUND($AO27+$AP27+$AQ27-$AD27,2)=0,"OK","FAIL - out by "&amp;TEXT($AO27+$AP27+$AQ27-$AD27,"$0.00")))</f>
        <v/>
      </c>
    </row>
    <row r="28" customFormat="false" ht="15" hidden="false" customHeight="true" outlineLevel="0" collapsed="false">
      <c r="A28" s="54"/>
      <c r="B28" s="54"/>
      <c r="C28" s="55"/>
      <c r="D28" s="56"/>
      <c r="E28" s="56"/>
      <c r="F28" s="54"/>
      <c r="G28" s="41" t="str">
        <f aca="false">IF($A28="","",IF($C28="","",YEAR($C28)))</f>
        <v/>
      </c>
      <c r="H28" s="57"/>
      <c r="I28" s="54"/>
      <c r="J28" s="54"/>
      <c r="K28" s="54"/>
      <c r="L28" s="56"/>
      <c r="M28" s="58"/>
      <c r="N28" s="56"/>
      <c r="O28" s="54"/>
      <c r="P28" s="54"/>
      <c r="Q28" s="54"/>
      <c r="R28" s="54"/>
      <c r="S28" s="56"/>
      <c r="T28" s="44" t="str">
        <f aca="false">IF($A28="","",IF($S28="","",IFERROR(INDEX(Lists!$N$5:$N$16,MATCH($S28,Lists!$M$5:$M$16,0)),"?")))</f>
        <v/>
      </c>
      <c r="U28" s="54"/>
      <c r="V28" s="56"/>
      <c r="W28" s="54"/>
      <c r="X28" s="56"/>
      <c r="Y28" s="54"/>
      <c r="Z28" s="54"/>
      <c r="AA28" s="56"/>
      <c r="AB28" s="58"/>
      <c r="AC28" s="59"/>
      <c r="AD28" s="46" t="str">
        <f aca="false">IF(ISNUMBER($AB28),$AB28*(1+N($AC28)),"")</f>
        <v/>
      </c>
      <c r="AE28" s="58"/>
      <c r="AF28" s="58"/>
      <c r="AG28" s="59"/>
      <c r="AH28" s="47" t="str">
        <f aca="false">IF(ISNUMBER($AD28),($AD28+$AE28+$AF28)*$AG28,"")</f>
        <v/>
      </c>
      <c r="AI28" s="58"/>
      <c r="AJ28" s="46" t="str">
        <f aca="false">IF(ISNUMBER($AD28),SUM($AD28:$AH28),"")</f>
        <v/>
      </c>
      <c r="AK28" s="48" t="str">
        <f aca="false">IF(AND(ISNUMBER($AB28),ISNUMBER($AD28)),IF($AB28&gt;0,$AD28/$AB28,""),"")</f>
        <v/>
      </c>
      <c r="AL28" s="56"/>
      <c r="AM28" s="49" t="str">
        <f aca="false">IF(ISNUMBER($AD28),Header!$I$3,"")</f>
        <v/>
      </c>
      <c r="AN28" s="47" t="str">
        <f aca="false">IF(ISNUMBER($AD28),$AO28+$AP28,"")</f>
        <v/>
      </c>
      <c r="AO28" s="47" t="str">
        <f aca="false">IF(ISNUMBER($AD28),ROUND($AD28*Header!$K$3,2),"")</f>
        <v/>
      </c>
      <c r="AP28" s="47" t="str">
        <f aca="false">IF(ISNUMBER($AD28),ROUND($AD28*Header!$M$3,2),"")</f>
        <v/>
      </c>
      <c r="AQ28" s="46" t="str">
        <f aca="false">IF(ISNUMBER($AD28),ROUND($AD28,2)-$AO28-$AP28,"")</f>
        <v/>
      </c>
      <c r="AR28" s="47" t="str">
        <f aca="false">IF(ISNUMBER($AD28),IF(Header!$D$34="","?",$AD28*Header!$D$34),"")</f>
        <v/>
      </c>
      <c r="AS28" s="47" t="str">
        <f aca="false">IF(ISNUMBER($AB28),IF(Header!$D$34="","?",$AB28*Header!$D$34),"")</f>
        <v/>
      </c>
      <c r="AT28" s="50" t="str">
        <f aca="false">IF(AND(ISNUMBER($AB28),$M28&gt;0),$AB28/$M28*100,"")</f>
        <v/>
      </c>
      <c r="AU28" s="50" t="str">
        <f aca="false">IF(AND(ISNUMBER($AD28),$M28&gt;0),$AD28/$M28*100,"")</f>
        <v/>
      </c>
      <c r="AV28" s="48" t="str">
        <f aca="false">IF(AND(ISNUMBER($AB28),ISNUMBER($AD28),ABS($AB28)&gt;0),$AD28/$AB28,"")</f>
        <v/>
      </c>
      <c r="AW28" s="47" t="str">
        <f aca="false">IF(ISNUMBER($AD28),MAX(0,(1-0.55-Header!$O$3)*Header!$Q$3*$AQ28),"")</f>
        <v/>
      </c>
      <c r="AX28" s="51" t="str">
        <f aca="false">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v/>
      </c>
      <c r="AY28" s="52" t="str">
        <f aca="false">IF($M28="","",IF(ISNUMBER($M28),IF($M28&gt;=Header!$C$18,"YES — refer","No"),""))</f>
        <v/>
      </c>
      <c r="AZ28" s="52" t="str">
        <f aca="false">IF($AD28="","",IF(ISNUMBER($AD28),IF($AD28&lt;Header!$C$20,"BELOW MIN PREMIUM","OK"),""))</f>
        <v/>
      </c>
      <c r="BA28" s="56"/>
      <c r="BB28" s="56"/>
      <c r="BC28" s="54"/>
      <c r="BE28" s="53" t="str">
        <f aca="false">IF(OR($A28="",$L28="",$H28=""),"",IF(AND(LEFT($L28,2)="06",$H28&gt;1945),"FAIL - pre-war class, year "&amp;$H28,IF(AND(LEFT($L28,2)="07",OR($H28&lt;1946,$H28&gt;1972)),"FAIL - 1946-72 class, year "&amp;$H28,IF(AND(LEFT($L28,2)="08",OR($H28&lt;1973,$H28&gt;1999)),"FAIL - 1973-99 class, year "&amp;$H28,IF(AND(LEFT($L28,2)="09",OR($H28&lt;2000,$H28&gt;2010)),"FAIL - 2000-10 class, year "&amp;$H28,"OK")))))</f>
        <v/>
      </c>
      <c r="BF28" s="53" t="str">
        <f aca="false">IF($AD28="","",IF(ROUND($AO28+$AP28+$AQ28-$AD28,2)=0,"OK","FAIL - out by "&amp;TEXT($AO28+$AP28+$AQ28-$AD28,"$0.00")))</f>
        <v/>
      </c>
    </row>
    <row r="29" customFormat="false" ht="15" hidden="false" customHeight="true" outlineLevel="0" collapsed="false">
      <c r="A29" s="38"/>
      <c r="B29" s="38"/>
      <c r="C29" s="39"/>
      <c r="D29" s="40"/>
      <c r="E29" s="40"/>
      <c r="F29" s="38"/>
      <c r="G29" s="41" t="str">
        <f aca="false">IF($A29="","",IF($C29="","",YEAR($C29)))</f>
        <v/>
      </c>
      <c r="H29" s="42"/>
      <c r="I29" s="38"/>
      <c r="J29" s="38"/>
      <c r="K29" s="38"/>
      <c r="L29" s="40"/>
      <c r="M29" s="43"/>
      <c r="N29" s="40"/>
      <c r="O29" s="38"/>
      <c r="P29" s="38"/>
      <c r="Q29" s="38"/>
      <c r="R29" s="38"/>
      <c r="S29" s="40"/>
      <c r="T29" s="44" t="str">
        <f aca="false">IF($A29="","",IF($S29="","",IFERROR(INDEX(Lists!$N$5:$N$16,MATCH($S29,Lists!$M$5:$M$16,0)),"?")))</f>
        <v/>
      </c>
      <c r="U29" s="38"/>
      <c r="V29" s="40"/>
      <c r="W29" s="38"/>
      <c r="X29" s="40"/>
      <c r="Y29" s="38"/>
      <c r="Z29" s="38"/>
      <c r="AA29" s="40"/>
      <c r="AB29" s="43"/>
      <c r="AC29" s="45"/>
      <c r="AD29" s="46" t="str">
        <f aca="false">IF(ISNUMBER($AB29),$AB29*(1+N($AC29)),"")</f>
        <v/>
      </c>
      <c r="AE29" s="43"/>
      <c r="AF29" s="43"/>
      <c r="AG29" s="45"/>
      <c r="AH29" s="47" t="str">
        <f aca="false">IF(ISNUMBER($AD29),($AD29+$AE29+$AF29)*$AG29,"")</f>
        <v/>
      </c>
      <c r="AI29" s="43"/>
      <c r="AJ29" s="46" t="str">
        <f aca="false">IF(ISNUMBER($AD29),SUM($AD29:$AH29),"")</f>
        <v/>
      </c>
      <c r="AK29" s="48" t="str">
        <f aca="false">IF(AND(ISNUMBER($AB29),ISNUMBER($AD29)),IF($AB29&gt;0,$AD29/$AB29,""),"")</f>
        <v/>
      </c>
      <c r="AL29" s="40"/>
      <c r="AM29" s="49" t="str">
        <f aca="false">IF(ISNUMBER($AD29),Header!$I$3,"")</f>
        <v/>
      </c>
      <c r="AN29" s="47" t="str">
        <f aca="false">IF(ISNUMBER($AD29),$AO29+$AP29,"")</f>
        <v/>
      </c>
      <c r="AO29" s="47" t="str">
        <f aca="false">IF(ISNUMBER($AD29),ROUND($AD29*Header!$K$3,2),"")</f>
        <v/>
      </c>
      <c r="AP29" s="47" t="str">
        <f aca="false">IF(ISNUMBER($AD29),ROUND($AD29*Header!$M$3,2),"")</f>
        <v/>
      </c>
      <c r="AQ29" s="46" t="str">
        <f aca="false">IF(ISNUMBER($AD29),ROUND($AD29,2)-$AO29-$AP29,"")</f>
        <v/>
      </c>
      <c r="AR29" s="47" t="str">
        <f aca="false">IF(ISNUMBER($AD29),IF(Header!$D$34="","?",$AD29*Header!$D$34),"")</f>
        <v/>
      </c>
      <c r="AS29" s="47" t="str">
        <f aca="false">IF(ISNUMBER($AB29),IF(Header!$D$34="","?",$AB29*Header!$D$34),"")</f>
        <v/>
      </c>
      <c r="AT29" s="50" t="str">
        <f aca="false">IF(AND(ISNUMBER($AB29),$M29&gt;0),$AB29/$M29*100,"")</f>
        <v/>
      </c>
      <c r="AU29" s="50" t="str">
        <f aca="false">IF(AND(ISNUMBER($AD29),$M29&gt;0),$AD29/$M29*100,"")</f>
        <v/>
      </c>
      <c r="AV29" s="48" t="str">
        <f aca="false">IF(AND(ISNUMBER($AB29),ISNUMBER($AD29),ABS($AB29)&gt;0),$AD29/$AB29,"")</f>
        <v/>
      </c>
      <c r="AW29" s="47" t="str">
        <f aca="false">IF(ISNUMBER($AD29),MAX(0,(1-0.55-Header!$O$3)*Header!$Q$3*$AQ29),"")</f>
        <v/>
      </c>
      <c r="AX29" s="51" t="str">
        <f aca="false">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v/>
      </c>
      <c r="AY29" s="52" t="str">
        <f aca="false">IF($M29="","",IF(ISNUMBER($M29),IF($M29&gt;=Header!$C$18,"YES — refer","No"),""))</f>
        <v/>
      </c>
      <c r="AZ29" s="52" t="str">
        <f aca="false">IF($AD29="","",IF(ISNUMBER($AD29),IF($AD29&lt;Header!$C$20,"BELOW MIN PREMIUM","OK"),""))</f>
        <v/>
      </c>
      <c r="BA29" s="40"/>
      <c r="BB29" s="40"/>
      <c r="BC29" s="38"/>
      <c r="BE29" s="53" t="str">
        <f aca="false">IF(OR($A29="",$L29="",$H29=""),"",IF(AND(LEFT($L29,2)="06",$H29&gt;1945),"FAIL - pre-war class, year "&amp;$H29,IF(AND(LEFT($L29,2)="07",OR($H29&lt;1946,$H29&gt;1972)),"FAIL - 1946-72 class, year "&amp;$H29,IF(AND(LEFT($L29,2)="08",OR($H29&lt;1973,$H29&gt;1999)),"FAIL - 1973-99 class, year "&amp;$H29,IF(AND(LEFT($L29,2)="09",OR($H29&lt;2000,$H29&gt;2010)),"FAIL - 2000-10 class, year "&amp;$H29,"OK")))))</f>
        <v/>
      </c>
      <c r="BF29" s="53" t="str">
        <f aca="false">IF($AD29="","",IF(ROUND($AO29+$AP29+$AQ29-$AD29,2)=0,"OK","FAIL - out by "&amp;TEXT($AO29+$AP29+$AQ29-$AD29,"$0.00")))</f>
        <v/>
      </c>
    </row>
    <row r="30" customFormat="false" ht="15" hidden="false" customHeight="true" outlineLevel="0" collapsed="false">
      <c r="A30" s="54"/>
      <c r="B30" s="54"/>
      <c r="C30" s="55"/>
      <c r="D30" s="56"/>
      <c r="E30" s="56"/>
      <c r="F30" s="54"/>
      <c r="G30" s="41" t="str">
        <f aca="false">IF($A30="","",IF($C30="","",YEAR($C30)))</f>
        <v/>
      </c>
      <c r="H30" s="57"/>
      <c r="I30" s="54"/>
      <c r="J30" s="54"/>
      <c r="K30" s="54"/>
      <c r="L30" s="56"/>
      <c r="M30" s="58"/>
      <c r="N30" s="56"/>
      <c r="O30" s="54"/>
      <c r="P30" s="54"/>
      <c r="Q30" s="54"/>
      <c r="R30" s="54"/>
      <c r="S30" s="56"/>
      <c r="T30" s="44" t="str">
        <f aca="false">IF($A30="","",IF($S30="","",IFERROR(INDEX(Lists!$N$5:$N$16,MATCH($S30,Lists!$M$5:$M$16,0)),"?")))</f>
        <v/>
      </c>
      <c r="U30" s="54"/>
      <c r="V30" s="56"/>
      <c r="W30" s="54"/>
      <c r="X30" s="56"/>
      <c r="Y30" s="54"/>
      <c r="Z30" s="54"/>
      <c r="AA30" s="56"/>
      <c r="AB30" s="58"/>
      <c r="AC30" s="59"/>
      <c r="AD30" s="46" t="str">
        <f aca="false">IF(ISNUMBER($AB30),$AB30*(1+N($AC30)),"")</f>
        <v/>
      </c>
      <c r="AE30" s="58"/>
      <c r="AF30" s="58"/>
      <c r="AG30" s="59"/>
      <c r="AH30" s="47" t="str">
        <f aca="false">IF(ISNUMBER($AD30),($AD30+$AE30+$AF30)*$AG30,"")</f>
        <v/>
      </c>
      <c r="AI30" s="58"/>
      <c r="AJ30" s="46" t="str">
        <f aca="false">IF(ISNUMBER($AD30),SUM($AD30:$AH30),"")</f>
        <v/>
      </c>
      <c r="AK30" s="48" t="str">
        <f aca="false">IF(AND(ISNUMBER($AB30),ISNUMBER($AD30)),IF($AB30&gt;0,$AD30/$AB30,""),"")</f>
        <v/>
      </c>
      <c r="AL30" s="56"/>
      <c r="AM30" s="49" t="str">
        <f aca="false">IF(ISNUMBER($AD30),Header!$I$3,"")</f>
        <v/>
      </c>
      <c r="AN30" s="47" t="str">
        <f aca="false">IF(ISNUMBER($AD30),$AO30+$AP30,"")</f>
        <v/>
      </c>
      <c r="AO30" s="47" t="str">
        <f aca="false">IF(ISNUMBER($AD30),ROUND($AD30*Header!$K$3,2),"")</f>
        <v/>
      </c>
      <c r="AP30" s="47" t="str">
        <f aca="false">IF(ISNUMBER($AD30),ROUND($AD30*Header!$M$3,2),"")</f>
        <v/>
      </c>
      <c r="AQ30" s="46" t="str">
        <f aca="false">IF(ISNUMBER($AD30),ROUND($AD30,2)-$AO30-$AP30,"")</f>
        <v/>
      </c>
      <c r="AR30" s="47" t="str">
        <f aca="false">IF(ISNUMBER($AD30),IF(Header!$D$34="","?",$AD30*Header!$D$34),"")</f>
        <v/>
      </c>
      <c r="AS30" s="47" t="str">
        <f aca="false">IF(ISNUMBER($AB30),IF(Header!$D$34="","?",$AB30*Header!$D$34),"")</f>
        <v/>
      </c>
      <c r="AT30" s="50" t="str">
        <f aca="false">IF(AND(ISNUMBER($AB30),$M30&gt;0),$AB30/$M30*100,"")</f>
        <v/>
      </c>
      <c r="AU30" s="50" t="str">
        <f aca="false">IF(AND(ISNUMBER($AD30),$M30&gt;0),$AD30/$M30*100,"")</f>
        <v/>
      </c>
      <c r="AV30" s="48" t="str">
        <f aca="false">IF(AND(ISNUMBER($AB30),ISNUMBER($AD30),ABS($AB30)&gt;0),$AD30/$AB30,"")</f>
        <v/>
      </c>
      <c r="AW30" s="47" t="str">
        <f aca="false">IF(ISNUMBER($AD30),MAX(0,(1-0.55-Header!$O$3)*Header!$Q$3*$AQ30),"")</f>
        <v/>
      </c>
      <c r="AX30" s="51" t="str">
        <f aca="false">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v/>
      </c>
      <c r="AY30" s="52" t="str">
        <f aca="false">IF($M30="","",IF(ISNUMBER($M30),IF($M30&gt;=Header!$C$18,"YES — refer","No"),""))</f>
        <v/>
      </c>
      <c r="AZ30" s="52" t="str">
        <f aca="false">IF($AD30="","",IF(ISNUMBER($AD30),IF($AD30&lt;Header!$C$20,"BELOW MIN PREMIUM","OK"),""))</f>
        <v/>
      </c>
      <c r="BA30" s="56"/>
      <c r="BB30" s="56"/>
      <c r="BC30" s="54"/>
      <c r="BE30" s="53" t="str">
        <f aca="false">IF(OR($A30="",$L30="",$H30=""),"",IF(AND(LEFT($L30,2)="06",$H30&gt;1945),"FAIL - pre-war class, year "&amp;$H30,IF(AND(LEFT($L30,2)="07",OR($H30&lt;1946,$H30&gt;1972)),"FAIL - 1946-72 class, year "&amp;$H30,IF(AND(LEFT($L30,2)="08",OR($H30&lt;1973,$H30&gt;1999)),"FAIL - 1973-99 class, year "&amp;$H30,IF(AND(LEFT($L30,2)="09",OR($H30&lt;2000,$H30&gt;2010)),"FAIL - 2000-10 class, year "&amp;$H30,"OK")))))</f>
        <v/>
      </c>
      <c r="BF30" s="53" t="str">
        <f aca="false">IF($AD30="","",IF(ROUND($AO30+$AP30+$AQ30-$AD30,2)=0,"OK","FAIL - out by "&amp;TEXT($AO30+$AP30+$AQ30-$AD30,"$0.00")))</f>
        <v/>
      </c>
    </row>
    <row r="31" customFormat="false" ht="15" hidden="false" customHeight="true" outlineLevel="0" collapsed="false">
      <c r="A31" s="38"/>
      <c r="B31" s="38"/>
      <c r="C31" s="39"/>
      <c r="D31" s="40"/>
      <c r="E31" s="40"/>
      <c r="F31" s="38"/>
      <c r="G31" s="41" t="str">
        <f aca="false">IF($A31="","",IF($C31="","",YEAR($C31)))</f>
        <v/>
      </c>
      <c r="H31" s="42"/>
      <c r="I31" s="38"/>
      <c r="J31" s="38"/>
      <c r="K31" s="38"/>
      <c r="L31" s="40"/>
      <c r="M31" s="43"/>
      <c r="N31" s="40"/>
      <c r="O31" s="38"/>
      <c r="P31" s="38"/>
      <c r="Q31" s="38"/>
      <c r="R31" s="38"/>
      <c r="S31" s="40"/>
      <c r="T31" s="44" t="str">
        <f aca="false">IF($A31="","",IF($S31="","",IFERROR(INDEX(Lists!$N$5:$N$16,MATCH($S31,Lists!$M$5:$M$16,0)),"?")))</f>
        <v/>
      </c>
      <c r="U31" s="38"/>
      <c r="V31" s="40"/>
      <c r="W31" s="38"/>
      <c r="X31" s="40"/>
      <c r="Y31" s="38"/>
      <c r="Z31" s="38"/>
      <c r="AA31" s="40"/>
      <c r="AB31" s="43"/>
      <c r="AC31" s="45"/>
      <c r="AD31" s="46" t="str">
        <f aca="false">IF(ISNUMBER($AB31),$AB31*(1+N($AC31)),"")</f>
        <v/>
      </c>
      <c r="AE31" s="43"/>
      <c r="AF31" s="43"/>
      <c r="AG31" s="45"/>
      <c r="AH31" s="47" t="str">
        <f aca="false">IF(ISNUMBER($AD31),($AD31+$AE31+$AF31)*$AG31,"")</f>
        <v/>
      </c>
      <c r="AI31" s="43"/>
      <c r="AJ31" s="46" t="str">
        <f aca="false">IF(ISNUMBER($AD31),SUM($AD31:$AH31),"")</f>
        <v/>
      </c>
      <c r="AK31" s="48" t="str">
        <f aca="false">IF(AND(ISNUMBER($AB31),ISNUMBER($AD31)),IF($AB31&gt;0,$AD31/$AB31,""),"")</f>
        <v/>
      </c>
      <c r="AL31" s="40"/>
      <c r="AM31" s="49" t="str">
        <f aca="false">IF(ISNUMBER($AD31),Header!$I$3,"")</f>
        <v/>
      </c>
      <c r="AN31" s="47" t="str">
        <f aca="false">IF(ISNUMBER($AD31),$AO31+$AP31,"")</f>
        <v/>
      </c>
      <c r="AO31" s="47" t="str">
        <f aca="false">IF(ISNUMBER($AD31),ROUND($AD31*Header!$K$3,2),"")</f>
        <v/>
      </c>
      <c r="AP31" s="47" t="str">
        <f aca="false">IF(ISNUMBER($AD31),ROUND($AD31*Header!$M$3,2),"")</f>
        <v/>
      </c>
      <c r="AQ31" s="46" t="str">
        <f aca="false">IF(ISNUMBER($AD31),ROUND($AD31,2)-$AO31-$AP31,"")</f>
        <v/>
      </c>
      <c r="AR31" s="47" t="str">
        <f aca="false">IF(ISNUMBER($AD31),IF(Header!$D$34="","?",$AD31*Header!$D$34),"")</f>
        <v/>
      </c>
      <c r="AS31" s="47" t="str">
        <f aca="false">IF(ISNUMBER($AB31),IF(Header!$D$34="","?",$AB31*Header!$D$34),"")</f>
        <v/>
      </c>
      <c r="AT31" s="50" t="str">
        <f aca="false">IF(AND(ISNUMBER($AB31),$M31&gt;0),$AB31/$M31*100,"")</f>
        <v/>
      </c>
      <c r="AU31" s="50" t="str">
        <f aca="false">IF(AND(ISNUMBER($AD31),$M31&gt;0),$AD31/$M31*100,"")</f>
        <v/>
      </c>
      <c r="AV31" s="48" t="str">
        <f aca="false">IF(AND(ISNUMBER($AB31),ISNUMBER($AD31),ABS($AB31)&gt;0),$AD31/$AB31,"")</f>
        <v/>
      </c>
      <c r="AW31" s="47" t="str">
        <f aca="false">IF(ISNUMBER($AD31),MAX(0,(1-0.55-Header!$O$3)*Header!$Q$3*$AQ31),"")</f>
        <v/>
      </c>
      <c r="AX31" s="51" t="str">
        <f aca="false">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v/>
      </c>
      <c r="AY31" s="52" t="str">
        <f aca="false">IF($M31="","",IF(ISNUMBER($M31),IF($M31&gt;=Header!$C$18,"YES — refer","No"),""))</f>
        <v/>
      </c>
      <c r="AZ31" s="52" t="str">
        <f aca="false">IF($AD31="","",IF(ISNUMBER($AD31),IF($AD31&lt;Header!$C$20,"BELOW MIN PREMIUM","OK"),""))</f>
        <v/>
      </c>
      <c r="BA31" s="40"/>
      <c r="BB31" s="40"/>
      <c r="BC31" s="38"/>
      <c r="BE31" s="53" t="str">
        <f aca="false">IF(OR($A31="",$L31="",$H31=""),"",IF(AND(LEFT($L31,2)="06",$H31&gt;1945),"FAIL - pre-war class, year "&amp;$H31,IF(AND(LEFT($L31,2)="07",OR($H31&lt;1946,$H31&gt;1972)),"FAIL - 1946-72 class, year "&amp;$H31,IF(AND(LEFT($L31,2)="08",OR($H31&lt;1973,$H31&gt;1999)),"FAIL - 1973-99 class, year "&amp;$H31,IF(AND(LEFT($L31,2)="09",OR($H31&lt;2000,$H31&gt;2010)),"FAIL - 2000-10 class, year "&amp;$H31,"OK")))))</f>
        <v/>
      </c>
      <c r="BF31" s="53" t="str">
        <f aca="false">IF($AD31="","",IF(ROUND($AO31+$AP31+$AQ31-$AD31,2)=0,"OK","FAIL - out by "&amp;TEXT($AO31+$AP31+$AQ31-$AD31,"$0.00")))</f>
        <v/>
      </c>
    </row>
    <row r="32" customFormat="false" ht="15" hidden="false" customHeight="true" outlineLevel="0" collapsed="false">
      <c r="A32" s="54"/>
      <c r="B32" s="54"/>
      <c r="C32" s="55"/>
      <c r="D32" s="56"/>
      <c r="E32" s="56"/>
      <c r="F32" s="54"/>
      <c r="G32" s="41" t="str">
        <f aca="false">IF($A32="","",IF($C32="","",YEAR($C32)))</f>
        <v/>
      </c>
      <c r="H32" s="57"/>
      <c r="I32" s="54"/>
      <c r="J32" s="54"/>
      <c r="K32" s="54"/>
      <c r="L32" s="56"/>
      <c r="M32" s="58"/>
      <c r="N32" s="56"/>
      <c r="O32" s="54"/>
      <c r="P32" s="54"/>
      <c r="Q32" s="54"/>
      <c r="R32" s="54"/>
      <c r="S32" s="56"/>
      <c r="T32" s="44" t="str">
        <f aca="false">IF($A32="","",IF($S32="","",IFERROR(INDEX(Lists!$N$5:$N$16,MATCH($S32,Lists!$M$5:$M$16,0)),"?")))</f>
        <v/>
      </c>
      <c r="U32" s="54"/>
      <c r="V32" s="56"/>
      <c r="W32" s="54"/>
      <c r="X32" s="56"/>
      <c r="Y32" s="54"/>
      <c r="Z32" s="54"/>
      <c r="AA32" s="56"/>
      <c r="AB32" s="58"/>
      <c r="AC32" s="59"/>
      <c r="AD32" s="46" t="str">
        <f aca="false">IF(ISNUMBER($AB32),$AB32*(1+N($AC32)),"")</f>
        <v/>
      </c>
      <c r="AE32" s="58"/>
      <c r="AF32" s="58"/>
      <c r="AG32" s="59"/>
      <c r="AH32" s="47" t="str">
        <f aca="false">IF(ISNUMBER($AD32),($AD32+$AE32+$AF32)*$AG32,"")</f>
        <v/>
      </c>
      <c r="AI32" s="58"/>
      <c r="AJ32" s="46" t="str">
        <f aca="false">IF(ISNUMBER($AD32),SUM($AD32:$AH32),"")</f>
        <v/>
      </c>
      <c r="AK32" s="48" t="str">
        <f aca="false">IF(AND(ISNUMBER($AB32),ISNUMBER($AD32)),IF($AB32&gt;0,$AD32/$AB32,""),"")</f>
        <v/>
      </c>
      <c r="AL32" s="56"/>
      <c r="AM32" s="49" t="str">
        <f aca="false">IF(ISNUMBER($AD32),Header!$I$3,"")</f>
        <v/>
      </c>
      <c r="AN32" s="47" t="str">
        <f aca="false">IF(ISNUMBER($AD32),$AO32+$AP32,"")</f>
        <v/>
      </c>
      <c r="AO32" s="47" t="str">
        <f aca="false">IF(ISNUMBER($AD32),ROUND($AD32*Header!$K$3,2),"")</f>
        <v/>
      </c>
      <c r="AP32" s="47" t="str">
        <f aca="false">IF(ISNUMBER($AD32),ROUND($AD32*Header!$M$3,2),"")</f>
        <v/>
      </c>
      <c r="AQ32" s="46" t="str">
        <f aca="false">IF(ISNUMBER($AD32),ROUND($AD32,2)-$AO32-$AP32,"")</f>
        <v/>
      </c>
      <c r="AR32" s="47" t="str">
        <f aca="false">IF(ISNUMBER($AD32),IF(Header!$D$34="","?",$AD32*Header!$D$34),"")</f>
        <v/>
      </c>
      <c r="AS32" s="47" t="str">
        <f aca="false">IF(ISNUMBER($AB32),IF(Header!$D$34="","?",$AB32*Header!$D$34),"")</f>
        <v/>
      </c>
      <c r="AT32" s="50" t="str">
        <f aca="false">IF(AND(ISNUMBER($AB32),$M32&gt;0),$AB32/$M32*100,"")</f>
        <v/>
      </c>
      <c r="AU32" s="50" t="str">
        <f aca="false">IF(AND(ISNUMBER($AD32),$M32&gt;0),$AD32/$M32*100,"")</f>
        <v/>
      </c>
      <c r="AV32" s="48" t="str">
        <f aca="false">IF(AND(ISNUMBER($AB32),ISNUMBER($AD32),ABS($AB32)&gt;0),$AD32/$AB32,"")</f>
        <v/>
      </c>
      <c r="AW32" s="47" t="str">
        <f aca="false">IF(ISNUMBER($AD32),MAX(0,(1-0.55-Header!$O$3)*Header!$Q$3*$AQ32),"")</f>
        <v/>
      </c>
      <c r="AX32" s="51" t="str">
        <f aca="false">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v/>
      </c>
      <c r="AY32" s="52" t="str">
        <f aca="false">IF($M32="","",IF(ISNUMBER($M32),IF($M32&gt;=Header!$C$18,"YES — refer","No"),""))</f>
        <v/>
      </c>
      <c r="AZ32" s="52" t="str">
        <f aca="false">IF($AD32="","",IF(ISNUMBER($AD32),IF($AD32&lt;Header!$C$20,"BELOW MIN PREMIUM","OK"),""))</f>
        <v/>
      </c>
      <c r="BA32" s="56"/>
      <c r="BB32" s="56"/>
      <c r="BC32" s="54"/>
      <c r="BE32" s="53" t="str">
        <f aca="false">IF(OR($A32="",$L32="",$H32=""),"",IF(AND(LEFT($L32,2)="06",$H32&gt;1945),"FAIL - pre-war class, year "&amp;$H32,IF(AND(LEFT($L32,2)="07",OR($H32&lt;1946,$H32&gt;1972)),"FAIL - 1946-72 class, year "&amp;$H32,IF(AND(LEFT($L32,2)="08",OR($H32&lt;1973,$H32&gt;1999)),"FAIL - 1973-99 class, year "&amp;$H32,IF(AND(LEFT($L32,2)="09",OR($H32&lt;2000,$H32&gt;2010)),"FAIL - 2000-10 class, year "&amp;$H32,"OK")))))</f>
        <v/>
      </c>
      <c r="BF32" s="53" t="str">
        <f aca="false">IF($AD32="","",IF(ROUND($AO32+$AP32+$AQ32-$AD32,2)=0,"OK","FAIL - out by "&amp;TEXT($AO32+$AP32+$AQ32-$AD32,"$0.00")))</f>
        <v/>
      </c>
    </row>
    <row r="33" customFormat="false" ht="15" hidden="false" customHeight="true" outlineLevel="0" collapsed="false">
      <c r="A33" s="38"/>
      <c r="B33" s="38"/>
      <c r="C33" s="39"/>
      <c r="D33" s="40"/>
      <c r="E33" s="40"/>
      <c r="F33" s="38"/>
      <c r="G33" s="41" t="str">
        <f aca="false">IF($A33="","",IF($C33="","",YEAR($C33)))</f>
        <v/>
      </c>
      <c r="H33" s="42"/>
      <c r="I33" s="38"/>
      <c r="J33" s="38"/>
      <c r="K33" s="38"/>
      <c r="L33" s="40"/>
      <c r="M33" s="43"/>
      <c r="N33" s="40"/>
      <c r="O33" s="38"/>
      <c r="P33" s="38"/>
      <c r="Q33" s="38"/>
      <c r="R33" s="38"/>
      <c r="S33" s="40"/>
      <c r="T33" s="44" t="str">
        <f aca="false">IF($A33="","",IF($S33="","",IFERROR(INDEX(Lists!$N$5:$N$16,MATCH($S33,Lists!$M$5:$M$16,0)),"?")))</f>
        <v/>
      </c>
      <c r="U33" s="38"/>
      <c r="V33" s="40"/>
      <c r="W33" s="38"/>
      <c r="X33" s="40"/>
      <c r="Y33" s="38"/>
      <c r="Z33" s="38"/>
      <c r="AA33" s="40"/>
      <c r="AB33" s="43"/>
      <c r="AC33" s="45"/>
      <c r="AD33" s="46" t="str">
        <f aca="false">IF(ISNUMBER($AB33),$AB33*(1+N($AC33)),"")</f>
        <v/>
      </c>
      <c r="AE33" s="43"/>
      <c r="AF33" s="43"/>
      <c r="AG33" s="45"/>
      <c r="AH33" s="47" t="str">
        <f aca="false">IF(ISNUMBER($AD33),($AD33+$AE33+$AF33)*$AG33,"")</f>
        <v/>
      </c>
      <c r="AI33" s="43"/>
      <c r="AJ33" s="46" t="str">
        <f aca="false">IF(ISNUMBER($AD33),SUM($AD33:$AH33),"")</f>
        <v/>
      </c>
      <c r="AK33" s="48" t="str">
        <f aca="false">IF(AND(ISNUMBER($AB33),ISNUMBER($AD33)),IF($AB33&gt;0,$AD33/$AB33,""),"")</f>
        <v/>
      </c>
      <c r="AL33" s="40"/>
      <c r="AM33" s="49" t="str">
        <f aca="false">IF(ISNUMBER($AD33),Header!$I$3,"")</f>
        <v/>
      </c>
      <c r="AN33" s="47" t="str">
        <f aca="false">IF(ISNUMBER($AD33),$AO33+$AP33,"")</f>
        <v/>
      </c>
      <c r="AO33" s="47" t="str">
        <f aca="false">IF(ISNUMBER($AD33),ROUND($AD33*Header!$K$3,2),"")</f>
        <v/>
      </c>
      <c r="AP33" s="47" t="str">
        <f aca="false">IF(ISNUMBER($AD33),ROUND($AD33*Header!$M$3,2),"")</f>
        <v/>
      </c>
      <c r="AQ33" s="46" t="str">
        <f aca="false">IF(ISNUMBER($AD33),ROUND($AD33,2)-$AO33-$AP33,"")</f>
        <v/>
      </c>
      <c r="AR33" s="47" t="str">
        <f aca="false">IF(ISNUMBER($AD33),IF(Header!$D$34="","?",$AD33*Header!$D$34),"")</f>
        <v/>
      </c>
      <c r="AS33" s="47" t="str">
        <f aca="false">IF(ISNUMBER($AB33),IF(Header!$D$34="","?",$AB33*Header!$D$34),"")</f>
        <v/>
      </c>
      <c r="AT33" s="50" t="str">
        <f aca="false">IF(AND(ISNUMBER($AB33),$M33&gt;0),$AB33/$M33*100,"")</f>
        <v/>
      </c>
      <c r="AU33" s="50" t="str">
        <f aca="false">IF(AND(ISNUMBER($AD33),$M33&gt;0),$AD33/$M33*100,"")</f>
        <v/>
      </c>
      <c r="AV33" s="48" t="str">
        <f aca="false">IF(AND(ISNUMBER($AB33),ISNUMBER($AD33),ABS($AB33)&gt;0),$AD33/$AB33,"")</f>
        <v/>
      </c>
      <c r="AW33" s="47" t="str">
        <f aca="false">IF(ISNUMBER($AD33),MAX(0,(1-0.55-Header!$O$3)*Header!$Q$3*$AQ33),"")</f>
        <v/>
      </c>
      <c r="AX33" s="51" t="str">
        <f aca="false">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v/>
      </c>
      <c r="AY33" s="52" t="str">
        <f aca="false">IF($M33="","",IF(ISNUMBER($M33),IF($M33&gt;=Header!$C$18,"YES — refer","No"),""))</f>
        <v/>
      </c>
      <c r="AZ33" s="52" t="str">
        <f aca="false">IF($AD33="","",IF(ISNUMBER($AD33),IF($AD33&lt;Header!$C$20,"BELOW MIN PREMIUM","OK"),""))</f>
        <v/>
      </c>
      <c r="BA33" s="40"/>
      <c r="BB33" s="40"/>
      <c r="BC33" s="38"/>
      <c r="BE33" s="53" t="str">
        <f aca="false">IF(OR($A33="",$L33="",$H33=""),"",IF(AND(LEFT($L33,2)="06",$H33&gt;1945),"FAIL - pre-war class, year "&amp;$H33,IF(AND(LEFT($L33,2)="07",OR($H33&lt;1946,$H33&gt;1972)),"FAIL - 1946-72 class, year "&amp;$H33,IF(AND(LEFT($L33,2)="08",OR($H33&lt;1973,$H33&gt;1999)),"FAIL - 1973-99 class, year "&amp;$H33,IF(AND(LEFT($L33,2)="09",OR($H33&lt;2000,$H33&gt;2010)),"FAIL - 2000-10 class, year "&amp;$H33,"OK")))))</f>
        <v/>
      </c>
      <c r="BF33" s="53" t="str">
        <f aca="false">IF($AD33="","",IF(ROUND($AO33+$AP33+$AQ33-$AD33,2)=0,"OK","FAIL - out by "&amp;TEXT($AO33+$AP33+$AQ33-$AD33,"$0.00")))</f>
        <v/>
      </c>
    </row>
    <row r="34" customFormat="false" ht="15" hidden="false" customHeight="true" outlineLevel="0" collapsed="false">
      <c r="A34" s="54"/>
      <c r="B34" s="54"/>
      <c r="C34" s="55"/>
      <c r="D34" s="56"/>
      <c r="E34" s="56"/>
      <c r="F34" s="54"/>
      <c r="G34" s="41" t="str">
        <f aca="false">IF($A34="","",IF($C34="","",YEAR($C34)))</f>
        <v/>
      </c>
      <c r="H34" s="57"/>
      <c r="I34" s="54"/>
      <c r="J34" s="54"/>
      <c r="K34" s="54"/>
      <c r="L34" s="56"/>
      <c r="M34" s="58"/>
      <c r="N34" s="56"/>
      <c r="O34" s="54"/>
      <c r="P34" s="54"/>
      <c r="Q34" s="54"/>
      <c r="R34" s="54"/>
      <c r="S34" s="56"/>
      <c r="T34" s="44" t="str">
        <f aca="false">IF($A34="","",IF($S34="","",IFERROR(INDEX(Lists!$N$5:$N$16,MATCH($S34,Lists!$M$5:$M$16,0)),"?")))</f>
        <v/>
      </c>
      <c r="U34" s="54"/>
      <c r="V34" s="56"/>
      <c r="W34" s="54"/>
      <c r="X34" s="56"/>
      <c r="Y34" s="54"/>
      <c r="Z34" s="54"/>
      <c r="AA34" s="56"/>
      <c r="AB34" s="58"/>
      <c r="AC34" s="59"/>
      <c r="AD34" s="46" t="str">
        <f aca="false">IF(ISNUMBER($AB34),$AB34*(1+N($AC34)),"")</f>
        <v/>
      </c>
      <c r="AE34" s="58"/>
      <c r="AF34" s="58"/>
      <c r="AG34" s="59"/>
      <c r="AH34" s="47" t="str">
        <f aca="false">IF(ISNUMBER($AD34),($AD34+$AE34+$AF34)*$AG34,"")</f>
        <v/>
      </c>
      <c r="AI34" s="58"/>
      <c r="AJ34" s="46" t="str">
        <f aca="false">IF(ISNUMBER($AD34),SUM($AD34:$AH34),"")</f>
        <v/>
      </c>
      <c r="AK34" s="48" t="str">
        <f aca="false">IF(AND(ISNUMBER($AB34),ISNUMBER($AD34)),IF($AB34&gt;0,$AD34/$AB34,""),"")</f>
        <v/>
      </c>
      <c r="AL34" s="56"/>
      <c r="AM34" s="49" t="str">
        <f aca="false">IF(ISNUMBER($AD34),Header!$I$3,"")</f>
        <v/>
      </c>
      <c r="AN34" s="47" t="str">
        <f aca="false">IF(ISNUMBER($AD34),$AO34+$AP34,"")</f>
        <v/>
      </c>
      <c r="AO34" s="47" t="str">
        <f aca="false">IF(ISNUMBER($AD34),ROUND($AD34*Header!$K$3,2),"")</f>
        <v/>
      </c>
      <c r="AP34" s="47" t="str">
        <f aca="false">IF(ISNUMBER($AD34),ROUND($AD34*Header!$M$3,2),"")</f>
        <v/>
      </c>
      <c r="AQ34" s="46" t="str">
        <f aca="false">IF(ISNUMBER($AD34),ROUND($AD34,2)-$AO34-$AP34,"")</f>
        <v/>
      </c>
      <c r="AR34" s="47" t="str">
        <f aca="false">IF(ISNUMBER($AD34),IF(Header!$D$34="","?",$AD34*Header!$D$34),"")</f>
        <v/>
      </c>
      <c r="AS34" s="47" t="str">
        <f aca="false">IF(ISNUMBER($AB34),IF(Header!$D$34="","?",$AB34*Header!$D$34),"")</f>
        <v/>
      </c>
      <c r="AT34" s="50" t="str">
        <f aca="false">IF(AND(ISNUMBER($AB34),$M34&gt;0),$AB34/$M34*100,"")</f>
        <v/>
      </c>
      <c r="AU34" s="50" t="str">
        <f aca="false">IF(AND(ISNUMBER($AD34),$M34&gt;0),$AD34/$M34*100,"")</f>
        <v/>
      </c>
      <c r="AV34" s="48" t="str">
        <f aca="false">IF(AND(ISNUMBER($AB34),ISNUMBER($AD34),ABS($AB34)&gt;0),$AD34/$AB34,"")</f>
        <v/>
      </c>
      <c r="AW34" s="47" t="str">
        <f aca="false">IF(ISNUMBER($AD34),MAX(0,(1-0.55-Header!$O$3)*Header!$Q$3*$AQ34),"")</f>
        <v/>
      </c>
      <c r="AX34" s="51" t="str">
        <f aca="false">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v/>
      </c>
      <c r="AY34" s="52" t="str">
        <f aca="false">IF($M34="","",IF(ISNUMBER($M34),IF($M34&gt;=Header!$C$18,"YES — refer","No"),""))</f>
        <v/>
      </c>
      <c r="AZ34" s="52" t="str">
        <f aca="false">IF($AD34="","",IF(ISNUMBER($AD34),IF($AD34&lt;Header!$C$20,"BELOW MIN PREMIUM","OK"),""))</f>
        <v/>
      </c>
      <c r="BA34" s="56"/>
      <c r="BB34" s="56"/>
      <c r="BC34" s="54"/>
      <c r="BE34" s="53" t="str">
        <f aca="false">IF(OR($A34="",$L34="",$H34=""),"",IF(AND(LEFT($L34,2)="06",$H34&gt;1945),"FAIL - pre-war class, year "&amp;$H34,IF(AND(LEFT($L34,2)="07",OR($H34&lt;1946,$H34&gt;1972)),"FAIL - 1946-72 class, year "&amp;$H34,IF(AND(LEFT($L34,2)="08",OR($H34&lt;1973,$H34&gt;1999)),"FAIL - 1973-99 class, year "&amp;$H34,IF(AND(LEFT($L34,2)="09",OR($H34&lt;2000,$H34&gt;2010)),"FAIL - 2000-10 class, year "&amp;$H34,"OK")))))</f>
        <v/>
      </c>
      <c r="BF34" s="53" t="str">
        <f aca="false">IF($AD34="","",IF(ROUND($AO34+$AP34+$AQ34-$AD34,2)=0,"OK","FAIL - out by "&amp;TEXT($AO34+$AP34+$AQ34-$AD34,"$0.00")))</f>
        <v/>
      </c>
    </row>
    <row r="35" customFormat="false" ht="15" hidden="false" customHeight="true" outlineLevel="0" collapsed="false">
      <c r="A35" s="38"/>
      <c r="B35" s="38"/>
      <c r="C35" s="39"/>
      <c r="D35" s="40"/>
      <c r="E35" s="40"/>
      <c r="F35" s="38"/>
      <c r="G35" s="41" t="str">
        <f aca="false">IF($A35="","",IF($C35="","",YEAR($C35)))</f>
        <v/>
      </c>
      <c r="H35" s="42"/>
      <c r="I35" s="38"/>
      <c r="J35" s="38"/>
      <c r="K35" s="38"/>
      <c r="L35" s="40"/>
      <c r="M35" s="43"/>
      <c r="N35" s="40"/>
      <c r="O35" s="38"/>
      <c r="P35" s="38"/>
      <c r="Q35" s="38"/>
      <c r="R35" s="38"/>
      <c r="S35" s="40"/>
      <c r="T35" s="44" t="str">
        <f aca="false">IF($A35="","",IF($S35="","",IFERROR(INDEX(Lists!$N$5:$N$16,MATCH($S35,Lists!$M$5:$M$16,0)),"?")))</f>
        <v/>
      </c>
      <c r="U35" s="38"/>
      <c r="V35" s="40"/>
      <c r="W35" s="38"/>
      <c r="X35" s="40"/>
      <c r="Y35" s="38"/>
      <c r="Z35" s="38"/>
      <c r="AA35" s="40"/>
      <c r="AB35" s="43"/>
      <c r="AC35" s="45"/>
      <c r="AD35" s="46" t="str">
        <f aca="false">IF(ISNUMBER($AB35),$AB35*(1+N($AC35)),"")</f>
        <v/>
      </c>
      <c r="AE35" s="43"/>
      <c r="AF35" s="43"/>
      <c r="AG35" s="45"/>
      <c r="AH35" s="47" t="str">
        <f aca="false">IF(ISNUMBER($AD35),($AD35+$AE35+$AF35)*$AG35,"")</f>
        <v/>
      </c>
      <c r="AI35" s="43"/>
      <c r="AJ35" s="46" t="str">
        <f aca="false">IF(ISNUMBER($AD35),SUM($AD35:$AH35),"")</f>
        <v/>
      </c>
      <c r="AK35" s="48" t="str">
        <f aca="false">IF(AND(ISNUMBER($AB35),ISNUMBER($AD35)),IF($AB35&gt;0,$AD35/$AB35,""),"")</f>
        <v/>
      </c>
      <c r="AL35" s="40"/>
      <c r="AM35" s="49" t="str">
        <f aca="false">IF(ISNUMBER($AD35),Header!$I$3,"")</f>
        <v/>
      </c>
      <c r="AN35" s="47" t="str">
        <f aca="false">IF(ISNUMBER($AD35),$AO35+$AP35,"")</f>
        <v/>
      </c>
      <c r="AO35" s="47" t="str">
        <f aca="false">IF(ISNUMBER($AD35),ROUND($AD35*Header!$K$3,2),"")</f>
        <v/>
      </c>
      <c r="AP35" s="47" t="str">
        <f aca="false">IF(ISNUMBER($AD35),ROUND($AD35*Header!$M$3,2),"")</f>
        <v/>
      </c>
      <c r="AQ35" s="46" t="str">
        <f aca="false">IF(ISNUMBER($AD35),ROUND($AD35,2)-$AO35-$AP35,"")</f>
        <v/>
      </c>
      <c r="AR35" s="47" t="str">
        <f aca="false">IF(ISNUMBER($AD35),IF(Header!$D$34="","?",$AD35*Header!$D$34),"")</f>
        <v/>
      </c>
      <c r="AS35" s="47" t="str">
        <f aca="false">IF(ISNUMBER($AB35),IF(Header!$D$34="","?",$AB35*Header!$D$34),"")</f>
        <v/>
      </c>
      <c r="AT35" s="50" t="str">
        <f aca="false">IF(AND(ISNUMBER($AB35),$M35&gt;0),$AB35/$M35*100,"")</f>
        <v/>
      </c>
      <c r="AU35" s="50" t="str">
        <f aca="false">IF(AND(ISNUMBER($AD35),$M35&gt;0),$AD35/$M35*100,"")</f>
        <v/>
      </c>
      <c r="AV35" s="48" t="str">
        <f aca="false">IF(AND(ISNUMBER($AB35),ISNUMBER($AD35),ABS($AB35)&gt;0),$AD35/$AB35,"")</f>
        <v/>
      </c>
      <c r="AW35" s="47" t="str">
        <f aca="false">IF(ISNUMBER($AD35),MAX(0,(1-0.55-Header!$O$3)*Header!$Q$3*$AQ35),"")</f>
        <v/>
      </c>
      <c r="AX35" s="51" t="str">
        <f aca="false">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v/>
      </c>
      <c r="AY35" s="52" t="str">
        <f aca="false">IF($M35="","",IF(ISNUMBER($M35),IF($M35&gt;=Header!$C$18,"YES — refer","No"),""))</f>
        <v/>
      </c>
      <c r="AZ35" s="52" t="str">
        <f aca="false">IF($AD35="","",IF(ISNUMBER($AD35),IF($AD35&lt;Header!$C$20,"BELOW MIN PREMIUM","OK"),""))</f>
        <v/>
      </c>
      <c r="BA35" s="40"/>
      <c r="BB35" s="40"/>
      <c r="BC35" s="38"/>
      <c r="BE35" s="53" t="str">
        <f aca="false">IF(OR($A35="",$L35="",$H35=""),"",IF(AND(LEFT($L35,2)="06",$H35&gt;1945),"FAIL - pre-war class, year "&amp;$H35,IF(AND(LEFT($L35,2)="07",OR($H35&lt;1946,$H35&gt;1972)),"FAIL - 1946-72 class, year "&amp;$H35,IF(AND(LEFT($L35,2)="08",OR($H35&lt;1973,$H35&gt;1999)),"FAIL - 1973-99 class, year "&amp;$H35,IF(AND(LEFT($L35,2)="09",OR($H35&lt;2000,$H35&gt;2010)),"FAIL - 2000-10 class, year "&amp;$H35,"OK")))))</f>
        <v/>
      </c>
      <c r="BF35" s="53" t="str">
        <f aca="false">IF($AD35="","",IF(ROUND($AO35+$AP35+$AQ35-$AD35,2)=0,"OK","FAIL - out by "&amp;TEXT($AO35+$AP35+$AQ35-$AD35,"$0.00")))</f>
        <v/>
      </c>
    </row>
    <row r="36" customFormat="false" ht="15" hidden="false" customHeight="true" outlineLevel="0" collapsed="false">
      <c r="A36" s="54"/>
      <c r="B36" s="54"/>
      <c r="C36" s="55"/>
      <c r="D36" s="56"/>
      <c r="E36" s="56"/>
      <c r="F36" s="54"/>
      <c r="G36" s="41" t="str">
        <f aca="false">IF($A36="","",IF($C36="","",YEAR($C36)))</f>
        <v/>
      </c>
      <c r="H36" s="57"/>
      <c r="I36" s="54"/>
      <c r="J36" s="54"/>
      <c r="K36" s="54"/>
      <c r="L36" s="56"/>
      <c r="M36" s="58"/>
      <c r="N36" s="56"/>
      <c r="O36" s="54"/>
      <c r="P36" s="54"/>
      <c r="Q36" s="54"/>
      <c r="R36" s="54"/>
      <c r="S36" s="56"/>
      <c r="T36" s="44" t="str">
        <f aca="false">IF($A36="","",IF($S36="","",IFERROR(INDEX(Lists!$N$5:$N$16,MATCH($S36,Lists!$M$5:$M$16,0)),"?")))</f>
        <v/>
      </c>
      <c r="U36" s="54"/>
      <c r="V36" s="56"/>
      <c r="W36" s="54"/>
      <c r="X36" s="56"/>
      <c r="Y36" s="54"/>
      <c r="Z36" s="54"/>
      <c r="AA36" s="56"/>
      <c r="AB36" s="58"/>
      <c r="AC36" s="59"/>
      <c r="AD36" s="46" t="str">
        <f aca="false">IF(ISNUMBER($AB36),$AB36*(1+N($AC36)),"")</f>
        <v/>
      </c>
      <c r="AE36" s="58"/>
      <c r="AF36" s="58"/>
      <c r="AG36" s="59"/>
      <c r="AH36" s="47" t="str">
        <f aca="false">IF(ISNUMBER($AD36),($AD36+$AE36+$AF36)*$AG36,"")</f>
        <v/>
      </c>
      <c r="AI36" s="58"/>
      <c r="AJ36" s="46" t="str">
        <f aca="false">IF(ISNUMBER($AD36),SUM($AD36:$AH36),"")</f>
        <v/>
      </c>
      <c r="AK36" s="48" t="str">
        <f aca="false">IF(AND(ISNUMBER($AB36),ISNUMBER($AD36)),IF($AB36&gt;0,$AD36/$AB36,""),"")</f>
        <v/>
      </c>
      <c r="AL36" s="56"/>
      <c r="AM36" s="49" t="str">
        <f aca="false">IF(ISNUMBER($AD36),Header!$I$3,"")</f>
        <v/>
      </c>
      <c r="AN36" s="47" t="str">
        <f aca="false">IF(ISNUMBER($AD36),$AO36+$AP36,"")</f>
        <v/>
      </c>
      <c r="AO36" s="47" t="str">
        <f aca="false">IF(ISNUMBER($AD36),ROUND($AD36*Header!$K$3,2),"")</f>
        <v/>
      </c>
      <c r="AP36" s="47" t="str">
        <f aca="false">IF(ISNUMBER($AD36),ROUND($AD36*Header!$M$3,2),"")</f>
        <v/>
      </c>
      <c r="AQ36" s="46" t="str">
        <f aca="false">IF(ISNUMBER($AD36),ROUND($AD36,2)-$AO36-$AP36,"")</f>
        <v/>
      </c>
      <c r="AR36" s="47" t="str">
        <f aca="false">IF(ISNUMBER($AD36),IF(Header!$D$34="","?",$AD36*Header!$D$34),"")</f>
        <v/>
      </c>
      <c r="AS36" s="47" t="str">
        <f aca="false">IF(ISNUMBER($AB36),IF(Header!$D$34="","?",$AB36*Header!$D$34),"")</f>
        <v/>
      </c>
      <c r="AT36" s="50" t="str">
        <f aca="false">IF(AND(ISNUMBER($AB36),$M36&gt;0),$AB36/$M36*100,"")</f>
        <v/>
      </c>
      <c r="AU36" s="50" t="str">
        <f aca="false">IF(AND(ISNUMBER($AD36),$M36&gt;0),$AD36/$M36*100,"")</f>
        <v/>
      </c>
      <c r="AV36" s="48" t="str">
        <f aca="false">IF(AND(ISNUMBER($AB36),ISNUMBER($AD36),ABS($AB36)&gt;0),$AD36/$AB36,"")</f>
        <v/>
      </c>
      <c r="AW36" s="47" t="str">
        <f aca="false">IF(ISNUMBER($AD36),MAX(0,(1-0.55-Header!$O$3)*Header!$Q$3*$AQ36),"")</f>
        <v/>
      </c>
      <c r="AX36" s="51" t="str">
        <f aca="false">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v/>
      </c>
      <c r="AY36" s="52" t="str">
        <f aca="false">IF($M36="","",IF(ISNUMBER($M36),IF($M36&gt;=Header!$C$18,"YES — refer","No"),""))</f>
        <v/>
      </c>
      <c r="AZ36" s="52" t="str">
        <f aca="false">IF($AD36="","",IF(ISNUMBER($AD36),IF($AD36&lt;Header!$C$20,"BELOW MIN PREMIUM","OK"),""))</f>
        <v/>
      </c>
      <c r="BA36" s="56"/>
      <c r="BB36" s="56"/>
      <c r="BC36" s="54"/>
      <c r="BE36" s="53" t="str">
        <f aca="false">IF(OR($A36="",$L36="",$H36=""),"",IF(AND(LEFT($L36,2)="06",$H36&gt;1945),"FAIL - pre-war class, year "&amp;$H36,IF(AND(LEFT($L36,2)="07",OR($H36&lt;1946,$H36&gt;1972)),"FAIL - 1946-72 class, year "&amp;$H36,IF(AND(LEFT($L36,2)="08",OR($H36&lt;1973,$H36&gt;1999)),"FAIL - 1973-99 class, year "&amp;$H36,IF(AND(LEFT($L36,2)="09",OR($H36&lt;2000,$H36&gt;2010)),"FAIL - 2000-10 class, year "&amp;$H36,"OK")))))</f>
        <v/>
      </c>
      <c r="BF36" s="53" t="str">
        <f aca="false">IF($AD36="","",IF(ROUND($AO36+$AP36+$AQ36-$AD36,2)=0,"OK","FAIL - out by "&amp;TEXT($AO36+$AP36+$AQ36-$AD36,"$0.00")))</f>
        <v/>
      </c>
    </row>
    <row r="37" customFormat="false" ht="15" hidden="false" customHeight="true" outlineLevel="0" collapsed="false">
      <c r="A37" s="38"/>
      <c r="B37" s="38"/>
      <c r="C37" s="39"/>
      <c r="D37" s="40"/>
      <c r="E37" s="40"/>
      <c r="F37" s="38"/>
      <c r="G37" s="41" t="str">
        <f aca="false">IF($A37="","",IF($C37="","",YEAR($C37)))</f>
        <v/>
      </c>
      <c r="H37" s="42"/>
      <c r="I37" s="38"/>
      <c r="J37" s="38"/>
      <c r="K37" s="38"/>
      <c r="L37" s="40"/>
      <c r="M37" s="43"/>
      <c r="N37" s="40"/>
      <c r="O37" s="38"/>
      <c r="P37" s="38"/>
      <c r="Q37" s="38"/>
      <c r="R37" s="38"/>
      <c r="S37" s="40"/>
      <c r="T37" s="44" t="str">
        <f aca="false">IF($A37="","",IF($S37="","",IFERROR(INDEX(Lists!$N$5:$N$16,MATCH($S37,Lists!$M$5:$M$16,0)),"?")))</f>
        <v/>
      </c>
      <c r="U37" s="38"/>
      <c r="V37" s="40"/>
      <c r="W37" s="38"/>
      <c r="X37" s="40"/>
      <c r="Y37" s="38"/>
      <c r="Z37" s="38"/>
      <c r="AA37" s="40"/>
      <c r="AB37" s="43"/>
      <c r="AC37" s="45"/>
      <c r="AD37" s="46" t="str">
        <f aca="false">IF(ISNUMBER($AB37),$AB37*(1+N($AC37)),"")</f>
        <v/>
      </c>
      <c r="AE37" s="43"/>
      <c r="AF37" s="43"/>
      <c r="AG37" s="45"/>
      <c r="AH37" s="47" t="str">
        <f aca="false">IF(ISNUMBER($AD37),($AD37+$AE37+$AF37)*$AG37,"")</f>
        <v/>
      </c>
      <c r="AI37" s="43"/>
      <c r="AJ37" s="46" t="str">
        <f aca="false">IF(ISNUMBER($AD37),SUM($AD37:$AH37),"")</f>
        <v/>
      </c>
      <c r="AK37" s="48" t="str">
        <f aca="false">IF(AND(ISNUMBER($AB37),ISNUMBER($AD37)),IF($AB37&gt;0,$AD37/$AB37,""),"")</f>
        <v/>
      </c>
      <c r="AL37" s="40"/>
      <c r="AM37" s="49" t="str">
        <f aca="false">IF(ISNUMBER($AD37),Header!$I$3,"")</f>
        <v/>
      </c>
      <c r="AN37" s="47" t="str">
        <f aca="false">IF(ISNUMBER($AD37),$AO37+$AP37,"")</f>
        <v/>
      </c>
      <c r="AO37" s="47" t="str">
        <f aca="false">IF(ISNUMBER($AD37),ROUND($AD37*Header!$K$3,2),"")</f>
        <v/>
      </c>
      <c r="AP37" s="47" t="str">
        <f aca="false">IF(ISNUMBER($AD37),ROUND($AD37*Header!$M$3,2),"")</f>
        <v/>
      </c>
      <c r="AQ37" s="46" t="str">
        <f aca="false">IF(ISNUMBER($AD37),ROUND($AD37,2)-$AO37-$AP37,"")</f>
        <v/>
      </c>
      <c r="AR37" s="47" t="str">
        <f aca="false">IF(ISNUMBER($AD37),IF(Header!$D$34="","?",$AD37*Header!$D$34),"")</f>
        <v/>
      </c>
      <c r="AS37" s="47" t="str">
        <f aca="false">IF(ISNUMBER($AB37),IF(Header!$D$34="","?",$AB37*Header!$D$34),"")</f>
        <v/>
      </c>
      <c r="AT37" s="50" t="str">
        <f aca="false">IF(AND(ISNUMBER($AB37),$M37&gt;0),$AB37/$M37*100,"")</f>
        <v/>
      </c>
      <c r="AU37" s="50" t="str">
        <f aca="false">IF(AND(ISNUMBER($AD37),$M37&gt;0),$AD37/$M37*100,"")</f>
        <v/>
      </c>
      <c r="AV37" s="48" t="str">
        <f aca="false">IF(AND(ISNUMBER($AB37),ISNUMBER($AD37),ABS($AB37)&gt;0),$AD37/$AB37,"")</f>
        <v/>
      </c>
      <c r="AW37" s="47" t="str">
        <f aca="false">IF(ISNUMBER($AD37),MAX(0,(1-0.55-Header!$O$3)*Header!$Q$3*$AQ37),"")</f>
        <v/>
      </c>
      <c r="AX37" s="51" t="str">
        <f aca="false">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v/>
      </c>
      <c r="AY37" s="52" t="str">
        <f aca="false">IF($M37="","",IF(ISNUMBER($M37),IF($M37&gt;=Header!$C$18,"YES — refer","No"),""))</f>
        <v/>
      </c>
      <c r="AZ37" s="52" t="str">
        <f aca="false">IF($AD37="","",IF(ISNUMBER($AD37),IF($AD37&lt;Header!$C$20,"BELOW MIN PREMIUM","OK"),""))</f>
        <v/>
      </c>
      <c r="BA37" s="40"/>
      <c r="BB37" s="40"/>
      <c r="BC37" s="38"/>
      <c r="BE37" s="53" t="str">
        <f aca="false">IF(OR($A37="",$L37="",$H37=""),"",IF(AND(LEFT($L37,2)="06",$H37&gt;1945),"FAIL - pre-war class, year "&amp;$H37,IF(AND(LEFT($L37,2)="07",OR($H37&lt;1946,$H37&gt;1972)),"FAIL - 1946-72 class, year "&amp;$H37,IF(AND(LEFT($L37,2)="08",OR($H37&lt;1973,$H37&gt;1999)),"FAIL - 1973-99 class, year "&amp;$H37,IF(AND(LEFT($L37,2)="09",OR($H37&lt;2000,$H37&gt;2010)),"FAIL - 2000-10 class, year "&amp;$H37,"OK")))))</f>
        <v/>
      </c>
      <c r="BF37" s="53" t="str">
        <f aca="false">IF($AD37="","",IF(ROUND($AO37+$AP37+$AQ37-$AD37,2)=0,"OK","FAIL - out by "&amp;TEXT($AO37+$AP37+$AQ37-$AD37,"$0.00")))</f>
        <v/>
      </c>
    </row>
    <row r="38" customFormat="false" ht="15" hidden="false" customHeight="true" outlineLevel="0" collapsed="false">
      <c r="A38" s="54"/>
      <c r="B38" s="54"/>
      <c r="C38" s="55"/>
      <c r="D38" s="56"/>
      <c r="E38" s="56"/>
      <c r="F38" s="54"/>
      <c r="G38" s="41" t="str">
        <f aca="false">IF($A38="","",IF($C38="","",YEAR($C38)))</f>
        <v/>
      </c>
      <c r="H38" s="57"/>
      <c r="I38" s="54"/>
      <c r="J38" s="54"/>
      <c r="K38" s="54"/>
      <c r="L38" s="56"/>
      <c r="M38" s="58"/>
      <c r="N38" s="56"/>
      <c r="O38" s="54"/>
      <c r="P38" s="54"/>
      <c r="Q38" s="54"/>
      <c r="R38" s="54"/>
      <c r="S38" s="56"/>
      <c r="T38" s="44" t="str">
        <f aca="false">IF($A38="","",IF($S38="","",IFERROR(INDEX(Lists!$N$5:$N$16,MATCH($S38,Lists!$M$5:$M$16,0)),"?")))</f>
        <v/>
      </c>
      <c r="U38" s="54"/>
      <c r="V38" s="56"/>
      <c r="W38" s="54"/>
      <c r="X38" s="56"/>
      <c r="Y38" s="54"/>
      <c r="Z38" s="54"/>
      <c r="AA38" s="56"/>
      <c r="AB38" s="58"/>
      <c r="AC38" s="59"/>
      <c r="AD38" s="46" t="str">
        <f aca="false">IF(ISNUMBER($AB38),$AB38*(1+N($AC38)),"")</f>
        <v/>
      </c>
      <c r="AE38" s="58"/>
      <c r="AF38" s="58"/>
      <c r="AG38" s="59"/>
      <c r="AH38" s="47" t="str">
        <f aca="false">IF(ISNUMBER($AD38),($AD38+$AE38+$AF38)*$AG38,"")</f>
        <v/>
      </c>
      <c r="AI38" s="58"/>
      <c r="AJ38" s="46" t="str">
        <f aca="false">IF(ISNUMBER($AD38),SUM($AD38:$AH38),"")</f>
        <v/>
      </c>
      <c r="AK38" s="48" t="str">
        <f aca="false">IF(AND(ISNUMBER($AB38),ISNUMBER($AD38)),IF($AB38&gt;0,$AD38/$AB38,""),"")</f>
        <v/>
      </c>
      <c r="AL38" s="56"/>
      <c r="AM38" s="49" t="str">
        <f aca="false">IF(ISNUMBER($AD38),Header!$I$3,"")</f>
        <v/>
      </c>
      <c r="AN38" s="47" t="str">
        <f aca="false">IF(ISNUMBER($AD38),$AO38+$AP38,"")</f>
        <v/>
      </c>
      <c r="AO38" s="47" t="str">
        <f aca="false">IF(ISNUMBER($AD38),ROUND($AD38*Header!$K$3,2),"")</f>
        <v/>
      </c>
      <c r="AP38" s="47" t="str">
        <f aca="false">IF(ISNUMBER($AD38),ROUND($AD38*Header!$M$3,2),"")</f>
        <v/>
      </c>
      <c r="AQ38" s="46" t="str">
        <f aca="false">IF(ISNUMBER($AD38),ROUND($AD38,2)-$AO38-$AP38,"")</f>
        <v/>
      </c>
      <c r="AR38" s="47" t="str">
        <f aca="false">IF(ISNUMBER($AD38),IF(Header!$D$34="","?",$AD38*Header!$D$34),"")</f>
        <v/>
      </c>
      <c r="AS38" s="47" t="str">
        <f aca="false">IF(ISNUMBER($AB38),IF(Header!$D$34="","?",$AB38*Header!$D$34),"")</f>
        <v/>
      </c>
      <c r="AT38" s="50" t="str">
        <f aca="false">IF(AND(ISNUMBER($AB38),$M38&gt;0),$AB38/$M38*100,"")</f>
        <v/>
      </c>
      <c r="AU38" s="50" t="str">
        <f aca="false">IF(AND(ISNUMBER($AD38),$M38&gt;0),$AD38/$M38*100,"")</f>
        <v/>
      </c>
      <c r="AV38" s="48" t="str">
        <f aca="false">IF(AND(ISNUMBER($AB38),ISNUMBER($AD38),ABS($AB38)&gt;0),$AD38/$AB38,"")</f>
        <v/>
      </c>
      <c r="AW38" s="47" t="str">
        <f aca="false">IF(ISNUMBER($AD38),MAX(0,(1-0.55-Header!$O$3)*Header!$Q$3*$AQ38),"")</f>
        <v/>
      </c>
      <c r="AX38" s="51" t="str">
        <f aca="false">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v/>
      </c>
      <c r="AY38" s="52" t="str">
        <f aca="false">IF($M38="","",IF(ISNUMBER($M38),IF($M38&gt;=Header!$C$18,"YES — refer","No"),""))</f>
        <v/>
      </c>
      <c r="AZ38" s="52" t="str">
        <f aca="false">IF($AD38="","",IF(ISNUMBER($AD38),IF($AD38&lt;Header!$C$20,"BELOW MIN PREMIUM","OK"),""))</f>
        <v/>
      </c>
      <c r="BA38" s="56"/>
      <c r="BB38" s="56"/>
      <c r="BC38" s="54"/>
      <c r="BE38" s="53" t="str">
        <f aca="false">IF(OR($A38="",$L38="",$H38=""),"",IF(AND(LEFT($L38,2)="06",$H38&gt;1945),"FAIL - pre-war class, year "&amp;$H38,IF(AND(LEFT($L38,2)="07",OR($H38&lt;1946,$H38&gt;1972)),"FAIL - 1946-72 class, year "&amp;$H38,IF(AND(LEFT($L38,2)="08",OR($H38&lt;1973,$H38&gt;1999)),"FAIL - 1973-99 class, year "&amp;$H38,IF(AND(LEFT($L38,2)="09",OR($H38&lt;2000,$H38&gt;2010)),"FAIL - 2000-10 class, year "&amp;$H38,"OK")))))</f>
        <v/>
      </c>
      <c r="BF38" s="53" t="str">
        <f aca="false">IF($AD38="","",IF(ROUND($AO38+$AP38+$AQ38-$AD38,2)=0,"OK","FAIL - out by "&amp;TEXT($AO38+$AP38+$AQ38-$AD38,"$0.00")))</f>
        <v/>
      </c>
    </row>
    <row r="39" customFormat="false" ht="15" hidden="false" customHeight="true" outlineLevel="0" collapsed="false">
      <c r="A39" s="38"/>
      <c r="B39" s="38"/>
      <c r="C39" s="39"/>
      <c r="D39" s="40"/>
      <c r="E39" s="40"/>
      <c r="F39" s="38"/>
      <c r="G39" s="41" t="str">
        <f aca="false">IF($A39="","",IF($C39="","",YEAR($C39)))</f>
        <v/>
      </c>
      <c r="H39" s="42"/>
      <c r="I39" s="38"/>
      <c r="J39" s="38"/>
      <c r="K39" s="38"/>
      <c r="L39" s="40"/>
      <c r="M39" s="43"/>
      <c r="N39" s="40"/>
      <c r="O39" s="38"/>
      <c r="P39" s="38"/>
      <c r="Q39" s="38"/>
      <c r="R39" s="38"/>
      <c r="S39" s="40"/>
      <c r="T39" s="44" t="str">
        <f aca="false">IF($A39="","",IF($S39="","",IFERROR(INDEX(Lists!$N$5:$N$16,MATCH($S39,Lists!$M$5:$M$16,0)),"?")))</f>
        <v/>
      </c>
      <c r="U39" s="38"/>
      <c r="V39" s="40"/>
      <c r="W39" s="38"/>
      <c r="X39" s="40"/>
      <c r="Y39" s="38"/>
      <c r="Z39" s="38"/>
      <c r="AA39" s="40"/>
      <c r="AB39" s="43"/>
      <c r="AC39" s="45"/>
      <c r="AD39" s="46" t="str">
        <f aca="false">IF(ISNUMBER($AB39),$AB39*(1+N($AC39)),"")</f>
        <v/>
      </c>
      <c r="AE39" s="43"/>
      <c r="AF39" s="43"/>
      <c r="AG39" s="45"/>
      <c r="AH39" s="47" t="str">
        <f aca="false">IF(ISNUMBER($AD39),($AD39+$AE39+$AF39)*$AG39,"")</f>
        <v/>
      </c>
      <c r="AI39" s="43"/>
      <c r="AJ39" s="46" t="str">
        <f aca="false">IF(ISNUMBER($AD39),SUM($AD39:$AH39),"")</f>
        <v/>
      </c>
      <c r="AK39" s="48" t="str">
        <f aca="false">IF(AND(ISNUMBER($AB39),ISNUMBER($AD39)),IF($AB39&gt;0,$AD39/$AB39,""),"")</f>
        <v/>
      </c>
      <c r="AL39" s="40"/>
      <c r="AM39" s="49" t="str">
        <f aca="false">IF(ISNUMBER($AD39),Header!$I$3,"")</f>
        <v/>
      </c>
      <c r="AN39" s="47" t="str">
        <f aca="false">IF(ISNUMBER($AD39),$AO39+$AP39,"")</f>
        <v/>
      </c>
      <c r="AO39" s="47" t="str">
        <f aca="false">IF(ISNUMBER($AD39),ROUND($AD39*Header!$K$3,2),"")</f>
        <v/>
      </c>
      <c r="AP39" s="47" t="str">
        <f aca="false">IF(ISNUMBER($AD39),ROUND($AD39*Header!$M$3,2),"")</f>
        <v/>
      </c>
      <c r="AQ39" s="46" t="str">
        <f aca="false">IF(ISNUMBER($AD39),ROUND($AD39,2)-$AO39-$AP39,"")</f>
        <v/>
      </c>
      <c r="AR39" s="47" t="str">
        <f aca="false">IF(ISNUMBER($AD39),IF(Header!$D$34="","?",$AD39*Header!$D$34),"")</f>
        <v/>
      </c>
      <c r="AS39" s="47" t="str">
        <f aca="false">IF(ISNUMBER($AB39),IF(Header!$D$34="","?",$AB39*Header!$D$34),"")</f>
        <v/>
      </c>
      <c r="AT39" s="50" t="str">
        <f aca="false">IF(AND(ISNUMBER($AB39),$M39&gt;0),$AB39/$M39*100,"")</f>
        <v/>
      </c>
      <c r="AU39" s="50" t="str">
        <f aca="false">IF(AND(ISNUMBER($AD39),$M39&gt;0),$AD39/$M39*100,"")</f>
        <v/>
      </c>
      <c r="AV39" s="48" t="str">
        <f aca="false">IF(AND(ISNUMBER($AB39),ISNUMBER($AD39),ABS($AB39)&gt;0),$AD39/$AB39,"")</f>
        <v/>
      </c>
      <c r="AW39" s="47" t="str">
        <f aca="false">IF(ISNUMBER($AD39),MAX(0,(1-0.55-Header!$O$3)*Header!$Q$3*$AQ39),"")</f>
        <v/>
      </c>
      <c r="AX39" s="51" t="str">
        <f aca="false">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v/>
      </c>
      <c r="AY39" s="52" t="str">
        <f aca="false">IF($M39="","",IF(ISNUMBER($M39),IF($M39&gt;=Header!$C$18,"YES — refer","No"),""))</f>
        <v/>
      </c>
      <c r="AZ39" s="52" t="str">
        <f aca="false">IF($AD39="","",IF(ISNUMBER($AD39),IF($AD39&lt;Header!$C$20,"BELOW MIN PREMIUM","OK"),""))</f>
        <v/>
      </c>
      <c r="BA39" s="40"/>
      <c r="BB39" s="40"/>
      <c r="BC39" s="38"/>
      <c r="BE39" s="53" t="str">
        <f aca="false">IF(OR($A39="",$L39="",$H39=""),"",IF(AND(LEFT($L39,2)="06",$H39&gt;1945),"FAIL - pre-war class, year "&amp;$H39,IF(AND(LEFT($L39,2)="07",OR($H39&lt;1946,$H39&gt;1972)),"FAIL - 1946-72 class, year "&amp;$H39,IF(AND(LEFT($L39,2)="08",OR($H39&lt;1973,$H39&gt;1999)),"FAIL - 1973-99 class, year "&amp;$H39,IF(AND(LEFT($L39,2)="09",OR($H39&lt;2000,$H39&gt;2010)),"FAIL - 2000-10 class, year "&amp;$H39,"OK")))))</f>
        <v/>
      </c>
      <c r="BF39" s="53" t="str">
        <f aca="false">IF($AD39="","",IF(ROUND($AO39+$AP39+$AQ39-$AD39,2)=0,"OK","FAIL - out by "&amp;TEXT($AO39+$AP39+$AQ39-$AD39,"$0.00")))</f>
        <v/>
      </c>
    </row>
    <row r="40" customFormat="false" ht="15" hidden="false" customHeight="true" outlineLevel="0" collapsed="false">
      <c r="A40" s="54"/>
      <c r="B40" s="54"/>
      <c r="C40" s="55"/>
      <c r="D40" s="56"/>
      <c r="E40" s="56"/>
      <c r="F40" s="54"/>
      <c r="G40" s="41" t="str">
        <f aca="false">IF($A40="","",IF($C40="","",YEAR($C40)))</f>
        <v/>
      </c>
      <c r="H40" s="57"/>
      <c r="I40" s="54"/>
      <c r="J40" s="54"/>
      <c r="K40" s="54"/>
      <c r="L40" s="56"/>
      <c r="M40" s="58"/>
      <c r="N40" s="56"/>
      <c r="O40" s="54"/>
      <c r="P40" s="54"/>
      <c r="Q40" s="54"/>
      <c r="R40" s="54"/>
      <c r="S40" s="56"/>
      <c r="T40" s="44" t="str">
        <f aca="false">IF($A40="","",IF($S40="","",IFERROR(INDEX(Lists!$N$5:$N$16,MATCH($S40,Lists!$M$5:$M$16,0)),"?")))</f>
        <v/>
      </c>
      <c r="U40" s="54"/>
      <c r="V40" s="56"/>
      <c r="W40" s="54"/>
      <c r="X40" s="56"/>
      <c r="Y40" s="54"/>
      <c r="Z40" s="54"/>
      <c r="AA40" s="56"/>
      <c r="AB40" s="58"/>
      <c r="AC40" s="59"/>
      <c r="AD40" s="46" t="str">
        <f aca="false">IF(ISNUMBER($AB40),$AB40*(1+N($AC40)),"")</f>
        <v/>
      </c>
      <c r="AE40" s="58"/>
      <c r="AF40" s="58"/>
      <c r="AG40" s="59"/>
      <c r="AH40" s="47" t="str">
        <f aca="false">IF(ISNUMBER($AD40),($AD40+$AE40+$AF40)*$AG40,"")</f>
        <v/>
      </c>
      <c r="AI40" s="58"/>
      <c r="AJ40" s="46" t="str">
        <f aca="false">IF(ISNUMBER($AD40),SUM($AD40:$AH40),"")</f>
        <v/>
      </c>
      <c r="AK40" s="48" t="str">
        <f aca="false">IF(AND(ISNUMBER($AB40),ISNUMBER($AD40)),IF($AB40&gt;0,$AD40/$AB40,""),"")</f>
        <v/>
      </c>
      <c r="AL40" s="56"/>
      <c r="AM40" s="49" t="str">
        <f aca="false">IF(ISNUMBER($AD40),Header!$I$3,"")</f>
        <v/>
      </c>
      <c r="AN40" s="47" t="str">
        <f aca="false">IF(ISNUMBER($AD40),$AO40+$AP40,"")</f>
        <v/>
      </c>
      <c r="AO40" s="47" t="str">
        <f aca="false">IF(ISNUMBER($AD40),ROUND($AD40*Header!$K$3,2),"")</f>
        <v/>
      </c>
      <c r="AP40" s="47" t="str">
        <f aca="false">IF(ISNUMBER($AD40),ROUND($AD40*Header!$M$3,2),"")</f>
        <v/>
      </c>
      <c r="AQ40" s="46" t="str">
        <f aca="false">IF(ISNUMBER($AD40),ROUND($AD40,2)-$AO40-$AP40,"")</f>
        <v/>
      </c>
      <c r="AR40" s="47" t="str">
        <f aca="false">IF(ISNUMBER($AD40),IF(Header!$D$34="","?",$AD40*Header!$D$34),"")</f>
        <v/>
      </c>
      <c r="AS40" s="47" t="str">
        <f aca="false">IF(ISNUMBER($AB40),IF(Header!$D$34="","?",$AB40*Header!$D$34),"")</f>
        <v/>
      </c>
      <c r="AT40" s="50" t="str">
        <f aca="false">IF(AND(ISNUMBER($AB40),$M40&gt;0),$AB40/$M40*100,"")</f>
        <v/>
      </c>
      <c r="AU40" s="50" t="str">
        <f aca="false">IF(AND(ISNUMBER($AD40),$M40&gt;0),$AD40/$M40*100,"")</f>
        <v/>
      </c>
      <c r="AV40" s="48" t="str">
        <f aca="false">IF(AND(ISNUMBER($AB40),ISNUMBER($AD40),ABS($AB40)&gt;0),$AD40/$AB40,"")</f>
        <v/>
      </c>
      <c r="AW40" s="47" t="str">
        <f aca="false">IF(ISNUMBER($AD40),MAX(0,(1-0.55-Header!$O$3)*Header!$Q$3*$AQ40),"")</f>
        <v/>
      </c>
      <c r="AX40" s="51" t="str">
        <f aca="false">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v/>
      </c>
      <c r="AY40" s="52" t="str">
        <f aca="false">IF($M40="","",IF(ISNUMBER($M40),IF($M40&gt;=Header!$C$18,"YES — refer","No"),""))</f>
        <v/>
      </c>
      <c r="AZ40" s="52" t="str">
        <f aca="false">IF($AD40="","",IF(ISNUMBER($AD40),IF($AD40&lt;Header!$C$20,"BELOW MIN PREMIUM","OK"),""))</f>
        <v/>
      </c>
      <c r="BA40" s="56"/>
      <c r="BB40" s="56"/>
      <c r="BC40" s="54"/>
      <c r="BE40" s="53" t="str">
        <f aca="false">IF(OR($A40="",$L40="",$H40=""),"",IF(AND(LEFT($L40,2)="06",$H40&gt;1945),"FAIL - pre-war class, year "&amp;$H40,IF(AND(LEFT($L40,2)="07",OR($H40&lt;1946,$H40&gt;1972)),"FAIL - 1946-72 class, year "&amp;$H40,IF(AND(LEFT($L40,2)="08",OR($H40&lt;1973,$H40&gt;1999)),"FAIL - 1973-99 class, year "&amp;$H40,IF(AND(LEFT($L40,2)="09",OR($H40&lt;2000,$H40&gt;2010)),"FAIL - 2000-10 class, year "&amp;$H40,"OK")))))</f>
        <v/>
      </c>
      <c r="BF40" s="53" t="str">
        <f aca="false">IF($AD40="","",IF(ROUND($AO40+$AP40+$AQ40-$AD40,2)=0,"OK","FAIL - out by "&amp;TEXT($AO40+$AP40+$AQ40-$AD40,"$0.00")))</f>
        <v/>
      </c>
    </row>
    <row r="41" customFormat="false" ht="15" hidden="false" customHeight="true" outlineLevel="0" collapsed="false">
      <c r="A41" s="38"/>
      <c r="B41" s="38"/>
      <c r="C41" s="39"/>
      <c r="D41" s="40"/>
      <c r="E41" s="40"/>
      <c r="F41" s="38"/>
      <c r="G41" s="41" t="str">
        <f aca="false">IF($A41="","",IF($C41="","",YEAR($C41)))</f>
        <v/>
      </c>
      <c r="H41" s="42"/>
      <c r="I41" s="38"/>
      <c r="J41" s="38"/>
      <c r="K41" s="38"/>
      <c r="L41" s="40"/>
      <c r="M41" s="43"/>
      <c r="N41" s="40"/>
      <c r="O41" s="38"/>
      <c r="P41" s="38"/>
      <c r="Q41" s="38"/>
      <c r="R41" s="38"/>
      <c r="S41" s="40"/>
      <c r="T41" s="44" t="str">
        <f aca="false">IF($A41="","",IF($S41="","",IFERROR(INDEX(Lists!$N$5:$N$16,MATCH($S41,Lists!$M$5:$M$16,0)),"?")))</f>
        <v/>
      </c>
      <c r="U41" s="38"/>
      <c r="V41" s="40"/>
      <c r="W41" s="38"/>
      <c r="X41" s="40"/>
      <c r="Y41" s="38"/>
      <c r="Z41" s="38"/>
      <c r="AA41" s="40"/>
      <c r="AB41" s="43"/>
      <c r="AC41" s="45"/>
      <c r="AD41" s="46" t="str">
        <f aca="false">IF(ISNUMBER($AB41),$AB41*(1+N($AC41)),"")</f>
        <v/>
      </c>
      <c r="AE41" s="43"/>
      <c r="AF41" s="43"/>
      <c r="AG41" s="45"/>
      <c r="AH41" s="47" t="str">
        <f aca="false">IF(ISNUMBER($AD41),($AD41+$AE41+$AF41)*$AG41,"")</f>
        <v/>
      </c>
      <c r="AI41" s="43"/>
      <c r="AJ41" s="46" t="str">
        <f aca="false">IF(ISNUMBER($AD41),SUM($AD41:$AH41),"")</f>
        <v/>
      </c>
      <c r="AK41" s="48" t="str">
        <f aca="false">IF(AND(ISNUMBER($AB41),ISNUMBER($AD41)),IF($AB41&gt;0,$AD41/$AB41,""),"")</f>
        <v/>
      </c>
      <c r="AL41" s="40"/>
      <c r="AM41" s="49" t="str">
        <f aca="false">IF(ISNUMBER($AD41),Header!$I$3,"")</f>
        <v/>
      </c>
      <c r="AN41" s="47" t="str">
        <f aca="false">IF(ISNUMBER($AD41),$AO41+$AP41,"")</f>
        <v/>
      </c>
      <c r="AO41" s="47" t="str">
        <f aca="false">IF(ISNUMBER($AD41),ROUND($AD41*Header!$K$3,2),"")</f>
        <v/>
      </c>
      <c r="AP41" s="47" t="str">
        <f aca="false">IF(ISNUMBER($AD41),ROUND($AD41*Header!$M$3,2),"")</f>
        <v/>
      </c>
      <c r="AQ41" s="46" t="str">
        <f aca="false">IF(ISNUMBER($AD41),ROUND($AD41,2)-$AO41-$AP41,"")</f>
        <v/>
      </c>
      <c r="AR41" s="47" t="str">
        <f aca="false">IF(ISNUMBER($AD41),IF(Header!$D$34="","?",$AD41*Header!$D$34),"")</f>
        <v/>
      </c>
      <c r="AS41" s="47" t="str">
        <f aca="false">IF(ISNUMBER($AB41),IF(Header!$D$34="","?",$AB41*Header!$D$34),"")</f>
        <v/>
      </c>
      <c r="AT41" s="50" t="str">
        <f aca="false">IF(AND(ISNUMBER($AB41),$M41&gt;0),$AB41/$M41*100,"")</f>
        <v/>
      </c>
      <c r="AU41" s="50" t="str">
        <f aca="false">IF(AND(ISNUMBER($AD41),$M41&gt;0),$AD41/$M41*100,"")</f>
        <v/>
      </c>
      <c r="AV41" s="48" t="str">
        <f aca="false">IF(AND(ISNUMBER($AB41),ISNUMBER($AD41),ABS($AB41)&gt;0),$AD41/$AB41,"")</f>
        <v/>
      </c>
      <c r="AW41" s="47" t="str">
        <f aca="false">IF(ISNUMBER($AD41),MAX(0,(1-0.55-Header!$O$3)*Header!$Q$3*$AQ41),"")</f>
        <v/>
      </c>
      <c r="AX41" s="51" t="str">
        <f aca="false">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v/>
      </c>
      <c r="AY41" s="52" t="str">
        <f aca="false">IF($M41="","",IF(ISNUMBER($M41),IF($M41&gt;=Header!$C$18,"YES — refer","No"),""))</f>
        <v/>
      </c>
      <c r="AZ41" s="52" t="str">
        <f aca="false">IF($AD41="","",IF(ISNUMBER($AD41),IF($AD41&lt;Header!$C$20,"BELOW MIN PREMIUM","OK"),""))</f>
        <v/>
      </c>
      <c r="BA41" s="40"/>
      <c r="BB41" s="40"/>
      <c r="BC41" s="38"/>
      <c r="BE41" s="53" t="str">
        <f aca="false">IF(OR($A41="",$L41="",$H41=""),"",IF(AND(LEFT($L41,2)="06",$H41&gt;1945),"FAIL - pre-war class, year "&amp;$H41,IF(AND(LEFT($L41,2)="07",OR($H41&lt;1946,$H41&gt;1972)),"FAIL - 1946-72 class, year "&amp;$H41,IF(AND(LEFT($L41,2)="08",OR($H41&lt;1973,$H41&gt;1999)),"FAIL - 1973-99 class, year "&amp;$H41,IF(AND(LEFT($L41,2)="09",OR($H41&lt;2000,$H41&gt;2010)),"FAIL - 2000-10 class, year "&amp;$H41,"OK")))))</f>
        <v/>
      </c>
      <c r="BF41" s="53" t="str">
        <f aca="false">IF($AD41="","",IF(ROUND($AO41+$AP41+$AQ41-$AD41,2)=0,"OK","FAIL - out by "&amp;TEXT($AO41+$AP41+$AQ41-$AD41,"$0.00")))</f>
        <v/>
      </c>
    </row>
    <row r="42" customFormat="false" ht="15" hidden="false" customHeight="true" outlineLevel="0" collapsed="false">
      <c r="A42" s="54"/>
      <c r="B42" s="54"/>
      <c r="C42" s="55"/>
      <c r="D42" s="56"/>
      <c r="E42" s="56"/>
      <c r="F42" s="54"/>
      <c r="G42" s="41" t="str">
        <f aca="false">IF($A42="","",IF($C42="","",YEAR($C42)))</f>
        <v/>
      </c>
      <c r="H42" s="57"/>
      <c r="I42" s="54"/>
      <c r="J42" s="54"/>
      <c r="K42" s="54"/>
      <c r="L42" s="56"/>
      <c r="M42" s="58"/>
      <c r="N42" s="56"/>
      <c r="O42" s="54"/>
      <c r="P42" s="54"/>
      <c r="Q42" s="54"/>
      <c r="R42" s="54"/>
      <c r="S42" s="56"/>
      <c r="T42" s="44" t="str">
        <f aca="false">IF($A42="","",IF($S42="","",IFERROR(INDEX(Lists!$N$5:$N$16,MATCH($S42,Lists!$M$5:$M$16,0)),"?")))</f>
        <v/>
      </c>
      <c r="U42" s="54"/>
      <c r="V42" s="56"/>
      <c r="W42" s="54"/>
      <c r="X42" s="56"/>
      <c r="Y42" s="54"/>
      <c r="Z42" s="54"/>
      <c r="AA42" s="56"/>
      <c r="AB42" s="58"/>
      <c r="AC42" s="59"/>
      <c r="AD42" s="46" t="str">
        <f aca="false">IF(ISNUMBER($AB42),$AB42*(1+N($AC42)),"")</f>
        <v/>
      </c>
      <c r="AE42" s="58"/>
      <c r="AF42" s="58"/>
      <c r="AG42" s="59"/>
      <c r="AH42" s="47" t="str">
        <f aca="false">IF(ISNUMBER($AD42),($AD42+$AE42+$AF42)*$AG42,"")</f>
        <v/>
      </c>
      <c r="AI42" s="58"/>
      <c r="AJ42" s="46" t="str">
        <f aca="false">IF(ISNUMBER($AD42),SUM($AD42:$AH42),"")</f>
        <v/>
      </c>
      <c r="AK42" s="48" t="str">
        <f aca="false">IF(AND(ISNUMBER($AB42),ISNUMBER($AD42)),IF($AB42&gt;0,$AD42/$AB42,""),"")</f>
        <v/>
      </c>
      <c r="AL42" s="56"/>
      <c r="AM42" s="49" t="str">
        <f aca="false">IF(ISNUMBER($AD42),Header!$I$3,"")</f>
        <v/>
      </c>
      <c r="AN42" s="47" t="str">
        <f aca="false">IF(ISNUMBER($AD42),$AO42+$AP42,"")</f>
        <v/>
      </c>
      <c r="AO42" s="47" t="str">
        <f aca="false">IF(ISNUMBER($AD42),ROUND($AD42*Header!$K$3,2),"")</f>
        <v/>
      </c>
      <c r="AP42" s="47" t="str">
        <f aca="false">IF(ISNUMBER($AD42),ROUND($AD42*Header!$M$3,2),"")</f>
        <v/>
      </c>
      <c r="AQ42" s="46" t="str">
        <f aca="false">IF(ISNUMBER($AD42),ROUND($AD42,2)-$AO42-$AP42,"")</f>
        <v/>
      </c>
      <c r="AR42" s="47" t="str">
        <f aca="false">IF(ISNUMBER($AD42),IF(Header!$D$34="","?",$AD42*Header!$D$34),"")</f>
        <v/>
      </c>
      <c r="AS42" s="47" t="str">
        <f aca="false">IF(ISNUMBER($AB42),IF(Header!$D$34="","?",$AB42*Header!$D$34),"")</f>
        <v/>
      </c>
      <c r="AT42" s="50" t="str">
        <f aca="false">IF(AND(ISNUMBER($AB42),$M42&gt;0),$AB42/$M42*100,"")</f>
        <v/>
      </c>
      <c r="AU42" s="50" t="str">
        <f aca="false">IF(AND(ISNUMBER($AD42),$M42&gt;0),$AD42/$M42*100,"")</f>
        <v/>
      </c>
      <c r="AV42" s="48" t="str">
        <f aca="false">IF(AND(ISNUMBER($AB42),ISNUMBER($AD42),ABS($AB42)&gt;0),$AD42/$AB42,"")</f>
        <v/>
      </c>
      <c r="AW42" s="47" t="str">
        <f aca="false">IF(ISNUMBER($AD42),MAX(0,(1-0.55-Header!$O$3)*Header!$Q$3*$AQ42),"")</f>
        <v/>
      </c>
      <c r="AX42" s="51" t="str">
        <f aca="false">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v/>
      </c>
      <c r="AY42" s="52" t="str">
        <f aca="false">IF($M42="","",IF(ISNUMBER($M42),IF($M42&gt;=Header!$C$18,"YES — refer","No"),""))</f>
        <v/>
      </c>
      <c r="AZ42" s="52" t="str">
        <f aca="false">IF($AD42="","",IF(ISNUMBER($AD42),IF($AD42&lt;Header!$C$20,"BELOW MIN PREMIUM","OK"),""))</f>
        <v/>
      </c>
      <c r="BA42" s="56"/>
      <c r="BB42" s="56"/>
      <c r="BC42" s="54"/>
      <c r="BE42" s="53" t="str">
        <f aca="false">IF(OR($A42="",$L42="",$H42=""),"",IF(AND(LEFT($L42,2)="06",$H42&gt;1945),"FAIL - pre-war class, year "&amp;$H42,IF(AND(LEFT($L42,2)="07",OR($H42&lt;1946,$H42&gt;1972)),"FAIL - 1946-72 class, year "&amp;$H42,IF(AND(LEFT($L42,2)="08",OR($H42&lt;1973,$H42&gt;1999)),"FAIL - 1973-99 class, year "&amp;$H42,IF(AND(LEFT($L42,2)="09",OR($H42&lt;2000,$H42&gt;2010)),"FAIL - 2000-10 class, year "&amp;$H42,"OK")))))</f>
        <v/>
      </c>
      <c r="BF42" s="53" t="str">
        <f aca="false">IF($AD42="","",IF(ROUND($AO42+$AP42+$AQ42-$AD42,2)=0,"OK","FAIL - out by "&amp;TEXT($AO42+$AP42+$AQ42-$AD42,"$0.00")))</f>
        <v/>
      </c>
    </row>
    <row r="43" customFormat="false" ht="15" hidden="false" customHeight="true" outlineLevel="0" collapsed="false">
      <c r="A43" s="38"/>
      <c r="B43" s="38"/>
      <c r="C43" s="39"/>
      <c r="D43" s="40"/>
      <c r="E43" s="40"/>
      <c r="F43" s="38"/>
      <c r="G43" s="41" t="str">
        <f aca="false">IF($A43="","",IF($C43="","",YEAR($C43)))</f>
        <v/>
      </c>
      <c r="H43" s="42"/>
      <c r="I43" s="38"/>
      <c r="J43" s="38"/>
      <c r="K43" s="38"/>
      <c r="L43" s="40"/>
      <c r="M43" s="43"/>
      <c r="N43" s="40"/>
      <c r="O43" s="38"/>
      <c r="P43" s="38"/>
      <c r="Q43" s="38"/>
      <c r="R43" s="38"/>
      <c r="S43" s="40"/>
      <c r="T43" s="44" t="str">
        <f aca="false">IF($A43="","",IF($S43="","",IFERROR(INDEX(Lists!$N$5:$N$16,MATCH($S43,Lists!$M$5:$M$16,0)),"?")))</f>
        <v/>
      </c>
      <c r="U43" s="38"/>
      <c r="V43" s="40"/>
      <c r="W43" s="38"/>
      <c r="X43" s="40"/>
      <c r="Y43" s="38"/>
      <c r="Z43" s="38"/>
      <c r="AA43" s="40"/>
      <c r="AB43" s="43"/>
      <c r="AC43" s="45"/>
      <c r="AD43" s="46" t="str">
        <f aca="false">IF(ISNUMBER($AB43),$AB43*(1+N($AC43)),"")</f>
        <v/>
      </c>
      <c r="AE43" s="43"/>
      <c r="AF43" s="43"/>
      <c r="AG43" s="45"/>
      <c r="AH43" s="47" t="str">
        <f aca="false">IF(ISNUMBER($AD43),($AD43+$AE43+$AF43)*$AG43,"")</f>
        <v/>
      </c>
      <c r="AI43" s="43"/>
      <c r="AJ43" s="46" t="str">
        <f aca="false">IF(ISNUMBER($AD43),SUM($AD43:$AH43),"")</f>
        <v/>
      </c>
      <c r="AK43" s="48" t="str">
        <f aca="false">IF(AND(ISNUMBER($AB43),ISNUMBER($AD43)),IF($AB43&gt;0,$AD43/$AB43,""),"")</f>
        <v/>
      </c>
      <c r="AL43" s="40"/>
      <c r="AM43" s="49" t="str">
        <f aca="false">IF(ISNUMBER($AD43),Header!$I$3,"")</f>
        <v/>
      </c>
      <c r="AN43" s="47" t="str">
        <f aca="false">IF(ISNUMBER($AD43),$AO43+$AP43,"")</f>
        <v/>
      </c>
      <c r="AO43" s="47" t="str">
        <f aca="false">IF(ISNUMBER($AD43),ROUND($AD43*Header!$K$3,2),"")</f>
        <v/>
      </c>
      <c r="AP43" s="47" t="str">
        <f aca="false">IF(ISNUMBER($AD43),ROUND($AD43*Header!$M$3,2),"")</f>
        <v/>
      </c>
      <c r="AQ43" s="46" t="str">
        <f aca="false">IF(ISNUMBER($AD43),ROUND($AD43,2)-$AO43-$AP43,"")</f>
        <v/>
      </c>
      <c r="AR43" s="47" t="str">
        <f aca="false">IF(ISNUMBER($AD43),IF(Header!$D$34="","?",$AD43*Header!$D$34),"")</f>
        <v/>
      </c>
      <c r="AS43" s="47" t="str">
        <f aca="false">IF(ISNUMBER($AB43),IF(Header!$D$34="","?",$AB43*Header!$D$34),"")</f>
        <v/>
      </c>
      <c r="AT43" s="50" t="str">
        <f aca="false">IF(AND(ISNUMBER($AB43),$M43&gt;0),$AB43/$M43*100,"")</f>
        <v/>
      </c>
      <c r="AU43" s="50" t="str">
        <f aca="false">IF(AND(ISNUMBER($AD43),$M43&gt;0),$AD43/$M43*100,"")</f>
        <v/>
      </c>
      <c r="AV43" s="48" t="str">
        <f aca="false">IF(AND(ISNUMBER($AB43),ISNUMBER($AD43),ABS($AB43)&gt;0),$AD43/$AB43,"")</f>
        <v/>
      </c>
      <c r="AW43" s="47" t="str">
        <f aca="false">IF(ISNUMBER($AD43),MAX(0,(1-0.55-Header!$O$3)*Header!$Q$3*$AQ43),"")</f>
        <v/>
      </c>
      <c r="AX43" s="51" t="str">
        <f aca="false">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v/>
      </c>
      <c r="AY43" s="52" t="str">
        <f aca="false">IF($M43="","",IF(ISNUMBER($M43),IF($M43&gt;=Header!$C$18,"YES — refer","No"),""))</f>
        <v/>
      </c>
      <c r="AZ43" s="52" t="str">
        <f aca="false">IF($AD43="","",IF(ISNUMBER($AD43),IF($AD43&lt;Header!$C$20,"BELOW MIN PREMIUM","OK"),""))</f>
        <v/>
      </c>
      <c r="BA43" s="40"/>
      <c r="BB43" s="40"/>
      <c r="BC43" s="38"/>
      <c r="BE43" s="53" t="str">
        <f aca="false">IF(OR($A43="",$L43="",$H43=""),"",IF(AND(LEFT($L43,2)="06",$H43&gt;1945),"FAIL - pre-war class, year "&amp;$H43,IF(AND(LEFT($L43,2)="07",OR($H43&lt;1946,$H43&gt;1972)),"FAIL - 1946-72 class, year "&amp;$H43,IF(AND(LEFT($L43,2)="08",OR($H43&lt;1973,$H43&gt;1999)),"FAIL - 1973-99 class, year "&amp;$H43,IF(AND(LEFT($L43,2)="09",OR($H43&lt;2000,$H43&gt;2010)),"FAIL - 2000-10 class, year "&amp;$H43,"OK")))))</f>
        <v/>
      </c>
      <c r="BF43" s="53" t="str">
        <f aca="false">IF($AD43="","",IF(ROUND($AO43+$AP43+$AQ43-$AD43,2)=0,"OK","FAIL - out by "&amp;TEXT($AO43+$AP43+$AQ43-$AD43,"$0.00")))</f>
        <v/>
      </c>
    </row>
    <row r="44" customFormat="false" ht="15" hidden="false" customHeight="true" outlineLevel="0" collapsed="false">
      <c r="A44" s="54"/>
      <c r="B44" s="54"/>
      <c r="C44" s="55"/>
      <c r="D44" s="56"/>
      <c r="E44" s="56"/>
      <c r="F44" s="54"/>
      <c r="G44" s="41" t="str">
        <f aca="false">IF($A44="","",IF($C44="","",YEAR($C44)))</f>
        <v/>
      </c>
      <c r="H44" s="57"/>
      <c r="I44" s="54"/>
      <c r="J44" s="54"/>
      <c r="K44" s="54"/>
      <c r="L44" s="56"/>
      <c r="M44" s="58"/>
      <c r="N44" s="56"/>
      <c r="O44" s="54"/>
      <c r="P44" s="54"/>
      <c r="Q44" s="54"/>
      <c r="R44" s="54"/>
      <c r="S44" s="56"/>
      <c r="T44" s="44" t="str">
        <f aca="false">IF($A44="","",IF($S44="","",IFERROR(INDEX(Lists!$N$5:$N$16,MATCH($S44,Lists!$M$5:$M$16,0)),"?")))</f>
        <v/>
      </c>
      <c r="U44" s="54"/>
      <c r="V44" s="56"/>
      <c r="W44" s="54"/>
      <c r="X44" s="56"/>
      <c r="Y44" s="54"/>
      <c r="Z44" s="54"/>
      <c r="AA44" s="56"/>
      <c r="AB44" s="58"/>
      <c r="AC44" s="59"/>
      <c r="AD44" s="46" t="str">
        <f aca="false">IF(ISNUMBER($AB44),$AB44*(1+N($AC44)),"")</f>
        <v/>
      </c>
      <c r="AE44" s="58"/>
      <c r="AF44" s="58"/>
      <c r="AG44" s="59"/>
      <c r="AH44" s="47" t="str">
        <f aca="false">IF(ISNUMBER($AD44),($AD44+$AE44+$AF44)*$AG44,"")</f>
        <v/>
      </c>
      <c r="AI44" s="58"/>
      <c r="AJ44" s="46" t="str">
        <f aca="false">IF(ISNUMBER($AD44),SUM($AD44:$AH44),"")</f>
        <v/>
      </c>
      <c r="AK44" s="48" t="str">
        <f aca="false">IF(AND(ISNUMBER($AB44),ISNUMBER($AD44)),IF($AB44&gt;0,$AD44/$AB44,""),"")</f>
        <v/>
      </c>
      <c r="AL44" s="56"/>
      <c r="AM44" s="49" t="str">
        <f aca="false">IF(ISNUMBER($AD44),Header!$I$3,"")</f>
        <v/>
      </c>
      <c r="AN44" s="47" t="str">
        <f aca="false">IF(ISNUMBER($AD44),$AO44+$AP44,"")</f>
        <v/>
      </c>
      <c r="AO44" s="47" t="str">
        <f aca="false">IF(ISNUMBER($AD44),ROUND($AD44*Header!$K$3,2),"")</f>
        <v/>
      </c>
      <c r="AP44" s="47" t="str">
        <f aca="false">IF(ISNUMBER($AD44),ROUND($AD44*Header!$M$3,2),"")</f>
        <v/>
      </c>
      <c r="AQ44" s="46" t="str">
        <f aca="false">IF(ISNUMBER($AD44),ROUND($AD44,2)-$AO44-$AP44,"")</f>
        <v/>
      </c>
      <c r="AR44" s="47" t="str">
        <f aca="false">IF(ISNUMBER($AD44),IF(Header!$D$34="","?",$AD44*Header!$D$34),"")</f>
        <v/>
      </c>
      <c r="AS44" s="47" t="str">
        <f aca="false">IF(ISNUMBER($AB44),IF(Header!$D$34="","?",$AB44*Header!$D$34),"")</f>
        <v/>
      </c>
      <c r="AT44" s="50" t="str">
        <f aca="false">IF(AND(ISNUMBER($AB44),$M44&gt;0),$AB44/$M44*100,"")</f>
        <v/>
      </c>
      <c r="AU44" s="50" t="str">
        <f aca="false">IF(AND(ISNUMBER($AD44),$M44&gt;0),$AD44/$M44*100,"")</f>
        <v/>
      </c>
      <c r="AV44" s="48" t="str">
        <f aca="false">IF(AND(ISNUMBER($AB44),ISNUMBER($AD44),ABS($AB44)&gt;0),$AD44/$AB44,"")</f>
        <v/>
      </c>
      <c r="AW44" s="47" t="str">
        <f aca="false">IF(ISNUMBER($AD44),MAX(0,(1-0.55-Header!$O$3)*Header!$Q$3*$AQ44),"")</f>
        <v/>
      </c>
      <c r="AX44" s="51" t="str">
        <f aca="false">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v/>
      </c>
      <c r="AY44" s="52" t="str">
        <f aca="false">IF($M44="","",IF(ISNUMBER($M44),IF($M44&gt;=Header!$C$18,"YES — refer","No"),""))</f>
        <v/>
      </c>
      <c r="AZ44" s="52" t="str">
        <f aca="false">IF($AD44="","",IF(ISNUMBER($AD44),IF($AD44&lt;Header!$C$20,"BELOW MIN PREMIUM","OK"),""))</f>
        <v/>
      </c>
      <c r="BA44" s="56"/>
      <c r="BB44" s="56"/>
      <c r="BC44" s="54"/>
      <c r="BE44" s="53" t="str">
        <f aca="false">IF(OR($A44="",$L44="",$H44=""),"",IF(AND(LEFT($L44,2)="06",$H44&gt;1945),"FAIL - pre-war class, year "&amp;$H44,IF(AND(LEFT($L44,2)="07",OR($H44&lt;1946,$H44&gt;1972)),"FAIL - 1946-72 class, year "&amp;$H44,IF(AND(LEFT($L44,2)="08",OR($H44&lt;1973,$H44&gt;1999)),"FAIL - 1973-99 class, year "&amp;$H44,IF(AND(LEFT($L44,2)="09",OR($H44&lt;2000,$H44&gt;2010)),"FAIL - 2000-10 class, year "&amp;$H44,"OK")))))</f>
        <v/>
      </c>
      <c r="BF44" s="53" t="str">
        <f aca="false">IF($AD44="","",IF(ROUND($AO44+$AP44+$AQ44-$AD44,2)=0,"OK","FAIL - out by "&amp;TEXT($AO44+$AP44+$AQ44-$AD44,"$0.00")))</f>
        <v/>
      </c>
    </row>
    <row r="45" customFormat="false" ht="15" hidden="false" customHeight="true" outlineLevel="0" collapsed="false">
      <c r="A45" s="38"/>
      <c r="B45" s="38"/>
      <c r="C45" s="39"/>
      <c r="D45" s="40"/>
      <c r="E45" s="40"/>
      <c r="F45" s="38"/>
      <c r="G45" s="41" t="str">
        <f aca="false">IF($A45="","",IF($C45="","",YEAR($C45)))</f>
        <v/>
      </c>
      <c r="H45" s="42"/>
      <c r="I45" s="38"/>
      <c r="J45" s="38"/>
      <c r="K45" s="38"/>
      <c r="L45" s="40"/>
      <c r="M45" s="43"/>
      <c r="N45" s="40"/>
      <c r="O45" s="38"/>
      <c r="P45" s="38"/>
      <c r="Q45" s="38"/>
      <c r="R45" s="38"/>
      <c r="S45" s="40"/>
      <c r="T45" s="44" t="str">
        <f aca="false">IF($A45="","",IF($S45="","",IFERROR(INDEX(Lists!$N$5:$N$16,MATCH($S45,Lists!$M$5:$M$16,0)),"?")))</f>
        <v/>
      </c>
      <c r="U45" s="38"/>
      <c r="V45" s="40"/>
      <c r="W45" s="38"/>
      <c r="X45" s="40"/>
      <c r="Y45" s="38"/>
      <c r="Z45" s="38"/>
      <c r="AA45" s="40"/>
      <c r="AB45" s="43"/>
      <c r="AC45" s="45"/>
      <c r="AD45" s="46" t="str">
        <f aca="false">IF(ISNUMBER($AB45),$AB45*(1+N($AC45)),"")</f>
        <v/>
      </c>
      <c r="AE45" s="43"/>
      <c r="AF45" s="43"/>
      <c r="AG45" s="45"/>
      <c r="AH45" s="47" t="str">
        <f aca="false">IF(ISNUMBER($AD45),($AD45+$AE45+$AF45)*$AG45,"")</f>
        <v/>
      </c>
      <c r="AI45" s="43"/>
      <c r="AJ45" s="46" t="str">
        <f aca="false">IF(ISNUMBER($AD45),SUM($AD45:$AH45),"")</f>
        <v/>
      </c>
      <c r="AK45" s="48" t="str">
        <f aca="false">IF(AND(ISNUMBER($AB45),ISNUMBER($AD45)),IF($AB45&gt;0,$AD45/$AB45,""),"")</f>
        <v/>
      </c>
      <c r="AL45" s="40"/>
      <c r="AM45" s="49" t="str">
        <f aca="false">IF(ISNUMBER($AD45),Header!$I$3,"")</f>
        <v/>
      </c>
      <c r="AN45" s="47" t="str">
        <f aca="false">IF(ISNUMBER($AD45),$AO45+$AP45,"")</f>
        <v/>
      </c>
      <c r="AO45" s="47" t="str">
        <f aca="false">IF(ISNUMBER($AD45),ROUND($AD45*Header!$K$3,2),"")</f>
        <v/>
      </c>
      <c r="AP45" s="47" t="str">
        <f aca="false">IF(ISNUMBER($AD45),ROUND($AD45*Header!$M$3,2),"")</f>
        <v/>
      </c>
      <c r="AQ45" s="46" t="str">
        <f aca="false">IF(ISNUMBER($AD45),ROUND($AD45,2)-$AO45-$AP45,"")</f>
        <v/>
      </c>
      <c r="AR45" s="47" t="str">
        <f aca="false">IF(ISNUMBER($AD45),IF(Header!$D$34="","?",$AD45*Header!$D$34),"")</f>
        <v/>
      </c>
      <c r="AS45" s="47" t="str">
        <f aca="false">IF(ISNUMBER($AB45),IF(Header!$D$34="","?",$AB45*Header!$D$34),"")</f>
        <v/>
      </c>
      <c r="AT45" s="50" t="str">
        <f aca="false">IF(AND(ISNUMBER($AB45),$M45&gt;0),$AB45/$M45*100,"")</f>
        <v/>
      </c>
      <c r="AU45" s="50" t="str">
        <f aca="false">IF(AND(ISNUMBER($AD45),$M45&gt;0),$AD45/$M45*100,"")</f>
        <v/>
      </c>
      <c r="AV45" s="48" t="str">
        <f aca="false">IF(AND(ISNUMBER($AB45),ISNUMBER($AD45),ABS($AB45)&gt;0),$AD45/$AB45,"")</f>
        <v/>
      </c>
      <c r="AW45" s="47" t="str">
        <f aca="false">IF(ISNUMBER($AD45),MAX(0,(1-0.55-Header!$O$3)*Header!$Q$3*$AQ45),"")</f>
        <v/>
      </c>
      <c r="AX45" s="51" t="str">
        <f aca="false">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v/>
      </c>
      <c r="AY45" s="52" t="str">
        <f aca="false">IF($M45="","",IF(ISNUMBER($M45),IF($M45&gt;=Header!$C$18,"YES — refer","No"),""))</f>
        <v/>
      </c>
      <c r="AZ45" s="52" t="str">
        <f aca="false">IF($AD45="","",IF(ISNUMBER($AD45),IF($AD45&lt;Header!$C$20,"BELOW MIN PREMIUM","OK"),""))</f>
        <v/>
      </c>
      <c r="BA45" s="40"/>
      <c r="BB45" s="40"/>
      <c r="BC45" s="38"/>
      <c r="BE45" s="53" t="str">
        <f aca="false">IF(OR($A45="",$L45="",$H45=""),"",IF(AND(LEFT($L45,2)="06",$H45&gt;1945),"FAIL - pre-war class, year "&amp;$H45,IF(AND(LEFT($L45,2)="07",OR($H45&lt;1946,$H45&gt;1972)),"FAIL - 1946-72 class, year "&amp;$H45,IF(AND(LEFT($L45,2)="08",OR($H45&lt;1973,$H45&gt;1999)),"FAIL - 1973-99 class, year "&amp;$H45,IF(AND(LEFT($L45,2)="09",OR($H45&lt;2000,$H45&gt;2010)),"FAIL - 2000-10 class, year "&amp;$H45,"OK")))))</f>
        <v/>
      </c>
      <c r="BF45" s="53" t="str">
        <f aca="false">IF($AD45="","",IF(ROUND($AO45+$AP45+$AQ45-$AD45,2)=0,"OK","FAIL - out by "&amp;TEXT($AO45+$AP45+$AQ45-$AD45,"$0.00")))</f>
        <v/>
      </c>
    </row>
    <row r="46" customFormat="false" ht="15" hidden="false" customHeight="true" outlineLevel="0" collapsed="false">
      <c r="A46" s="54"/>
      <c r="B46" s="54"/>
      <c r="C46" s="55"/>
      <c r="D46" s="56"/>
      <c r="E46" s="56"/>
      <c r="F46" s="54"/>
      <c r="G46" s="41" t="str">
        <f aca="false">IF($A46="","",IF($C46="","",YEAR($C46)))</f>
        <v/>
      </c>
      <c r="H46" s="57"/>
      <c r="I46" s="54"/>
      <c r="J46" s="54"/>
      <c r="K46" s="54"/>
      <c r="L46" s="56"/>
      <c r="M46" s="58"/>
      <c r="N46" s="56"/>
      <c r="O46" s="54"/>
      <c r="P46" s="54"/>
      <c r="Q46" s="54"/>
      <c r="R46" s="54"/>
      <c r="S46" s="56"/>
      <c r="T46" s="44" t="str">
        <f aca="false">IF($A46="","",IF($S46="","",IFERROR(INDEX(Lists!$N$5:$N$16,MATCH($S46,Lists!$M$5:$M$16,0)),"?")))</f>
        <v/>
      </c>
      <c r="U46" s="54"/>
      <c r="V46" s="56"/>
      <c r="W46" s="54"/>
      <c r="X46" s="56"/>
      <c r="Y46" s="54"/>
      <c r="Z46" s="54"/>
      <c r="AA46" s="56"/>
      <c r="AB46" s="58"/>
      <c r="AC46" s="59"/>
      <c r="AD46" s="46" t="str">
        <f aca="false">IF(ISNUMBER($AB46),$AB46*(1+N($AC46)),"")</f>
        <v/>
      </c>
      <c r="AE46" s="58"/>
      <c r="AF46" s="58"/>
      <c r="AG46" s="59"/>
      <c r="AH46" s="47" t="str">
        <f aca="false">IF(ISNUMBER($AD46),($AD46+$AE46+$AF46)*$AG46,"")</f>
        <v/>
      </c>
      <c r="AI46" s="58"/>
      <c r="AJ46" s="46" t="str">
        <f aca="false">IF(ISNUMBER($AD46),SUM($AD46:$AH46),"")</f>
        <v/>
      </c>
      <c r="AK46" s="48" t="str">
        <f aca="false">IF(AND(ISNUMBER($AB46),ISNUMBER($AD46)),IF($AB46&gt;0,$AD46/$AB46,""),"")</f>
        <v/>
      </c>
      <c r="AL46" s="56"/>
      <c r="AM46" s="49" t="str">
        <f aca="false">IF(ISNUMBER($AD46),Header!$I$3,"")</f>
        <v/>
      </c>
      <c r="AN46" s="47" t="str">
        <f aca="false">IF(ISNUMBER($AD46),$AO46+$AP46,"")</f>
        <v/>
      </c>
      <c r="AO46" s="47" t="str">
        <f aca="false">IF(ISNUMBER($AD46),ROUND($AD46*Header!$K$3,2),"")</f>
        <v/>
      </c>
      <c r="AP46" s="47" t="str">
        <f aca="false">IF(ISNUMBER($AD46),ROUND($AD46*Header!$M$3,2),"")</f>
        <v/>
      </c>
      <c r="AQ46" s="46" t="str">
        <f aca="false">IF(ISNUMBER($AD46),ROUND($AD46,2)-$AO46-$AP46,"")</f>
        <v/>
      </c>
      <c r="AR46" s="47" t="str">
        <f aca="false">IF(ISNUMBER($AD46),IF(Header!$D$34="","?",$AD46*Header!$D$34),"")</f>
        <v/>
      </c>
      <c r="AS46" s="47" t="str">
        <f aca="false">IF(ISNUMBER($AB46),IF(Header!$D$34="","?",$AB46*Header!$D$34),"")</f>
        <v/>
      </c>
      <c r="AT46" s="50" t="str">
        <f aca="false">IF(AND(ISNUMBER($AB46),$M46&gt;0),$AB46/$M46*100,"")</f>
        <v/>
      </c>
      <c r="AU46" s="50" t="str">
        <f aca="false">IF(AND(ISNUMBER($AD46),$M46&gt;0),$AD46/$M46*100,"")</f>
        <v/>
      </c>
      <c r="AV46" s="48" t="str">
        <f aca="false">IF(AND(ISNUMBER($AB46),ISNUMBER($AD46),ABS($AB46)&gt;0),$AD46/$AB46,"")</f>
        <v/>
      </c>
      <c r="AW46" s="47" t="str">
        <f aca="false">IF(ISNUMBER($AD46),MAX(0,(1-0.55-Header!$O$3)*Header!$Q$3*$AQ46),"")</f>
        <v/>
      </c>
      <c r="AX46" s="51" t="str">
        <f aca="false">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v/>
      </c>
      <c r="AY46" s="52" t="str">
        <f aca="false">IF($M46="","",IF(ISNUMBER($M46),IF($M46&gt;=Header!$C$18,"YES — refer","No"),""))</f>
        <v/>
      </c>
      <c r="AZ46" s="52" t="str">
        <f aca="false">IF($AD46="","",IF(ISNUMBER($AD46),IF($AD46&lt;Header!$C$20,"BELOW MIN PREMIUM","OK"),""))</f>
        <v/>
      </c>
      <c r="BA46" s="56"/>
      <c r="BB46" s="56"/>
      <c r="BC46" s="54"/>
      <c r="BE46" s="53" t="str">
        <f aca="false">IF(OR($A46="",$L46="",$H46=""),"",IF(AND(LEFT($L46,2)="06",$H46&gt;1945),"FAIL - pre-war class, year "&amp;$H46,IF(AND(LEFT($L46,2)="07",OR($H46&lt;1946,$H46&gt;1972)),"FAIL - 1946-72 class, year "&amp;$H46,IF(AND(LEFT($L46,2)="08",OR($H46&lt;1973,$H46&gt;1999)),"FAIL - 1973-99 class, year "&amp;$H46,IF(AND(LEFT($L46,2)="09",OR($H46&lt;2000,$H46&gt;2010)),"FAIL - 2000-10 class, year "&amp;$H46,"OK")))))</f>
        <v/>
      </c>
      <c r="BF46" s="53" t="str">
        <f aca="false">IF($AD46="","",IF(ROUND($AO46+$AP46+$AQ46-$AD46,2)=0,"OK","FAIL - out by "&amp;TEXT($AO46+$AP46+$AQ46-$AD46,"$0.00")))</f>
        <v/>
      </c>
    </row>
    <row r="47" customFormat="false" ht="15" hidden="false" customHeight="true" outlineLevel="0" collapsed="false">
      <c r="A47" s="38"/>
      <c r="B47" s="38"/>
      <c r="C47" s="39"/>
      <c r="D47" s="40"/>
      <c r="E47" s="40"/>
      <c r="F47" s="38"/>
      <c r="G47" s="41" t="str">
        <f aca="false">IF($A47="","",IF($C47="","",YEAR($C47)))</f>
        <v/>
      </c>
      <c r="H47" s="42"/>
      <c r="I47" s="38"/>
      <c r="J47" s="38"/>
      <c r="K47" s="38"/>
      <c r="L47" s="40"/>
      <c r="M47" s="43"/>
      <c r="N47" s="40"/>
      <c r="O47" s="38"/>
      <c r="P47" s="38"/>
      <c r="Q47" s="38"/>
      <c r="R47" s="38"/>
      <c r="S47" s="40"/>
      <c r="T47" s="44" t="str">
        <f aca="false">IF($A47="","",IF($S47="","",IFERROR(INDEX(Lists!$N$5:$N$16,MATCH($S47,Lists!$M$5:$M$16,0)),"?")))</f>
        <v/>
      </c>
      <c r="U47" s="38"/>
      <c r="V47" s="40"/>
      <c r="W47" s="38"/>
      <c r="X47" s="40"/>
      <c r="Y47" s="38"/>
      <c r="Z47" s="38"/>
      <c r="AA47" s="40"/>
      <c r="AB47" s="43"/>
      <c r="AC47" s="45"/>
      <c r="AD47" s="46" t="str">
        <f aca="false">IF(ISNUMBER($AB47),$AB47*(1+N($AC47)),"")</f>
        <v/>
      </c>
      <c r="AE47" s="43"/>
      <c r="AF47" s="43"/>
      <c r="AG47" s="45"/>
      <c r="AH47" s="47" t="str">
        <f aca="false">IF(ISNUMBER($AD47),($AD47+$AE47+$AF47)*$AG47,"")</f>
        <v/>
      </c>
      <c r="AI47" s="43"/>
      <c r="AJ47" s="46" t="str">
        <f aca="false">IF(ISNUMBER($AD47),SUM($AD47:$AH47),"")</f>
        <v/>
      </c>
      <c r="AK47" s="48" t="str">
        <f aca="false">IF(AND(ISNUMBER($AB47),ISNUMBER($AD47)),IF($AB47&gt;0,$AD47/$AB47,""),"")</f>
        <v/>
      </c>
      <c r="AL47" s="40"/>
      <c r="AM47" s="49" t="str">
        <f aca="false">IF(ISNUMBER($AD47),Header!$I$3,"")</f>
        <v/>
      </c>
      <c r="AN47" s="47" t="str">
        <f aca="false">IF(ISNUMBER($AD47),$AO47+$AP47,"")</f>
        <v/>
      </c>
      <c r="AO47" s="47" t="str">
        <f aca="false">IF(ISNUMBER($AD47),ROUND($AD47*Header!$K$3,2),"")</f>
        <v/>
      </c>
      <c r="AP47" s="47" t="str">
        <f aca="false">IF(ISNUMBER($AD47),ROUND($AD47*Header!$M$3,2),"")</f>
        <v/>
      </c>
      <c r="AQ47" s="46" t="str">
        <f aca="false">IF(ISNUMBER($AD47),ROUND($AD47,2)-$AO47-$AP47,"")</f>
        <v/>
      </c>
      <c r="AR47" s="47" t="str">
        <f aca="false">IF(ISNUMBER($AD47),IF(Header!$D$34="","?",$AD47*Header!$D$34),"")</f>
        <v/>
      </c>
      <c r="AS47" s="47" t="str">
        <f aca="false">IF(ISNUMBER($AB47),IF(Header!$D$34="","?",$AB47*Header!$D$34),"")</f>
        <v/>
      </c>
      <c r="AT47" s="50" t="str">
        <f aca="false">IF(AND(ISNUMBER($AB47),$M47&gt;0),$AB47/$M47*100,"")</f>
        <v/>
      </c>
      <c r="AU47" s="50" t="str">
        <f aca="false">IF(AND(ISNUMBER($AD47),$M47&gt;0),$AD47/$M47*100,"")</f>
        <v/>
      </c>
      <c r="AV47" s="48" t="str">
        <f aca="false">IF(AND(ISNUMBER($AB47),ISNUMBER($AD47),ABS($AB47)&gt;0),$AD47/$AB47,"")</f>
        <v/>
      </c>
      <c r="AW47" s="47" t="str">
        <f aca="false">IF(ISNUMBER($AD47),MAX(0,(1-0.55-Header!$O$3)*Header!$Q$3*$AQ47),"")</f>
        <v/>
      </c>
      <c r="AX47" s="51" t="str">
        <f aca="false">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v/>
      </c>
      <c r="AY47" s="52" t="str">
        <f aca="false">IF($M47="","",IF(ISNUMBER($M47),IF($M47&gt;=Header!$C$18,"YES — refer","No"),""))</f>
        <v/>
      </c>
      <c r="AZ47" s="52" t="str">
        <f aca="false">IF($AD47="","",IF(ISNUMBER($AD47),IF($AD47&lt;Header!$C$20,"BELOW MIN PREMIUM","OK"),""))</f>
        <v/>
      </c>
      <c r="BA47" s="40"/>
      <c r="BB47" s="40"/>
      <c r="BC47" s="38"/>
      <c r="BE47" s="53" t="str">
        <f aca="false">IF(OR($A47="",$L47="",$H47=""),"",IF(AND(LEFT($L47,2)="06",$H47&gt;1945),"FAIL - pre-war class, year "&amp;$H47,IF(AND(LEFT($L47,2)="07",OR($H47&lt;1946,$H47&gt;1972)),"FAIL - 1946-72 class, year "&amp;$H47,IF(AND(LEFT($L47,2)="08",OR($H47&lt;1973,$H47&gt;1999)),"FAIL - 1973-99 class, year "&amp;$H47,IF(AND(LEFT($L47,2)="09",OR($H47&lt;2000,$H47&gt;2010)),"FAIL - 2000-10 class, year "&amp;$H47,"OK")))))</f>
        <v/>
      </c>
      <c r="BF47" s="53" t="str">
        <f aca="false">IF($AD47="","",IF(ROUND($AO47+$AP47+$AQ47-$AD47,2)=0,"OK","FAIL - out by "&amp;TEXT($AO47+$AP47+$AQ47-$AD47,"$0.00")))</f>
        <v/>
      </c>
    </row>
    <row r="48" customFormat="false" ht="15" hidden="false" customHeight="true" outlineLevel="0" collapsed="false">
      <c r="A48" s="54"/>
      <c r="B48" s="54"/>
      <c r="C48" s="55"/>
      <c r="D48" s="56"/>
      <c r="E48" s="56"/>
      <c r="F48" s="54"/>
      <c r="G48" s="41" t="str">
        <f aca="false">IF($A48="","",IF($C48="","",YEAR($C48)))</f>
        <v/>
      </c>
      <c r="H48" s="57"/>
      <c r="I48" s="54"/>
      <c r="J48" s="54"/>
      <c r="K48" s="54"/>
      <c r="L48" s="56"/>
      <c r="M48" s="58"/>
      <c r="N48" s="56"/>
      <c r="O48" s="54"/>
      <c r="P48" s="54"/>
      <c r="Q48" s="54"/>
      <c r="R48" s="54"/>
      <c r="S48" s="56"/>
      <c r="T48" s="44" t="str">
        <f aca="false">IF($A48="","",IF($S48="","",IFERROR(INDEX(Lists!$N$5:$N$16,MATCH($S48,Lists!$M$5:$M$16,0)),"?")))</f>
        <v/>
      </c>
      <c r="U48" s="54"/>
      <c r="V48" s="56"/>
      <c r="W48" s="54"/>
      <c r="X48" s="56"/>
      <c r="Y48" s="54"/>
      <c r="Z48" s="54"/>
      <c r="AA48" s="56"/>
      <c r="AB48" s="58"/>
      <c r="AC48" s="59"/>
      <c r="AD48" s="46" t="str">
        <f aca="false">IF(ISNUMBER($AB48),$AB48*(1+N($AC48)),"")</f>
        <v/>
      </c>
      <c r="AE48" s="58"/>
      <c r="AF48" s="58"/>
      <c r="AG48" s="59"/>
      <c r="AH48" s="47" t="str">
        <f aca="false">IF(ISNUMBER($AD48),($AD48+$AE48+$AF48)*$AG48,"")</f>
        <v/>
      </c>
      <c r="AI48" s="58"/>
      <c r="AJ48" s="46" t="str">
        <f aca="false">IF(ISNUMBER($AD48),SUM($AD48:$AH48),"")</f>
        <v/>
      </c>
      <c r="AK48" s="48" t="str">
        <f aca="false">IF(AND(ISNUMBER($AB48),ISNUMBER($AD48)),IF($AB48&gt;0,$AD48/$AB48,""),"")</f>
        <v/>
      </c>
      <c r="AL48" s="56"/>
      <c r="AM48" s="49" t="str">
        <f aca="false">IF(ISNUMBER($AD48),Header!$I$3,"")</f>
        <v/>
      </c>
      <c r="AN48" s="47" t="str">
        <f aca="false">IF(ISNUMBER($AD48),$AO48+$AP48,"")</f>
        <v/>
      </c>
      <c r="AO48" s="47" t="str">
        <f aca="false">IF(ISNUMBER($AD48),ROUND($AD48*Header!$K$3,2),"")</f>
        <v/>
      </c>
      <c r="AP48" s="47" t="str">
        <f aca="false">IF(ISNUMBER($AD48),ROUND($AD48*Header!$M$3,2),"")</f>
        <v/>
      </c>
      <c r="AQ48" s="46" t="str">
        <f aca="false">IF(ISNUMBER($AD48),ROUND($AD48,2)-$AO48-$AP48,"")</f>
        <v/>
      </c>
      <c r="AR48" s="47" t="str">
        <f aca="false">IF(ISNUMBER($AD48),IF(Header!$D$34="","?",$AD48*Header!$D$34),"")</f>
        <v/>
      </c>
      <c r="AS48" s="47" t="str">
        <f aca="false">IF(ISNUMBER($AB48),IF(Header!$D$34="","?",$AB48*Header!$D$34),"")</f>
        <v/>
      </c>
      <c r="AT48" s="50" t="str">
        <f aca="false">IF(AND(ISNUMBER($AB48),$M48&gt;0),$AB48/$M48*100,"")</f>
        <v/>
      </c>
      <c r="AU48" s="50" t="str">
        <f aca="false">IF(AND(ISNUMBER($AD48),$M48&gt;0),$AD48/$M48*100,"")</f>
        <v/>
      </c>
      <c r="AV48" s="48" t="str">
        <f aca="false">IF(AND(ISNUMBER($AB48),ISNUMBER($AD48),ABS($AB48)&gt;0),$AD48/$AB48,"")</f>
        <v/>
      </c>
      <c r="AW48" s="47" t="str">
        <f aca="false">IF(ISNUMBER($AD48),MAX(0,(1-0.55-Header!$O$3)*Header!$Q$3*$AQ48),"")</f>
        <v/>
      </c>
      <c r="AX48" s="51" t="str">
        <f aca="false">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v/>
      </c>
      <c r="AY48" s="52" t="str">
        <f aca="false">IF($M48="","",IF(ISNUMBER($M48),IF($M48&gt;=Header!$C$18,"YES — refer","No"),""))</f>
        <v/>
      </c>
      <c r="AZ48" s="52" t="str">
        <f aca="false">IF($AD48="","",IF(ISNUMBER($AD48),IF($AD48&lt;Header!$C$20,"BELOW MIN PREMIUM","OK"),""))</f>
        <v/>
      </c>
      <c r="BA48" s="56"/>
      <c r="BB48" s="56"/>
      <c r="BC48" s="54"/>
      <c r="BE48" s="53" t="str">
        <f aca="false">IF(OR($A48="",$L48="",$H48=""),"",IF(AND(LEFT($L48,2)="06",$H48&gt;1945),"FAIL - pre-war class, year "&amp;$H48,IF(AND(LEFT($L48,2)="07",OR($H48&lt;1946,$H48&gt;1972)),"FAIL - 1946-72 class, year "&amp;$H48,IF(AND(LEFT($L48,2)="08",OR($H48&lt;1973,$H48&gt;1999)),"FAIL - 1973-99 class, year "&amp;$H48,IF(AND(LEFT($L48,2)="09",OR($H48&lt;2000,$H48&gt;2010)),"FAIL - 2000-10 class, year "&amp;$H48,"OK")))))</f>
        <v/>
      </c>
      <c r="BF48" s="53" t="str">
        <f aca="false">IF($AD48="","",IF(ROUND($AO48+$AP48+$AQ48-$AD48,2)=0,"OK","FAIL - out by "&amp;TEXT($AO48+$AP48+$AQ48-$AD48,"$0.00")))</f>
        <v/>
      </c>
    </row>
    <row r="49" customFormat="false" ht="15" hidden="false" customHeight="true" outlineLevel="0" collapsed="false">
      <c r="A49" s="38"/>
      <c r="B49" s="38"/>
      <c r="C49" s="39"/>
      <c r="D49" s="40"/>
      <c r="E49" s="40"/>
      <c r="F49" s="38"/>
      <c r="G49" s="41" t="str">
        <f aca="false">IF($A49="","",IF($C49="","",YEAR($C49)))</f>
        <v/>
      </c>
      <c r="H49" s="42"/>
      <c r="I49" s="38"/>
      <c r="J49" s="38"/>
      <c r="K49" s="38"/>
      <c r="L49" s="40"/>
      <c r="M49" s="43"/>
      <c r="N49" s="40"/>
      <c r="O49" s="38"/>
      <c r="P49" s="38"/>
      <c r="Q49" s="38"/>
      <c r="R49" s="38"/>
      <c r="S49" s="40"/>
      <c r="T49" s="44" t="str">
        <f aca="false">IF($A49="","",IF($S49="","",IFERROR(INDEX(Lists!$N$5:$N$16,MATCH($S49,Lists!$M$5:$M$16,0)),"?")))</f>
        <v/>
      </c>
      <c r="U49" s="38"/>
      <c r="V49" s="40"/>
      <c r="W49" s="38"/>
      <c r="X49" s="40"/>
      <c r="Y49" s="38"/>
      <c r="Z49" s="38"/>
      <c r="AA49" s="40"/>
      <c r="AB49" s="43"/>
      <c r="AC49" s="45"/>
      <c r="AD49" s="46" t="str">
        <f aca="false">IF(ISNUMBER($AB49),$AB49*(1+N($AC49)),"")</f>
        <v/>
      </c>
      <c r="AE49" s="43"/>
      <c r="AF49" s="43"/>
      <c r="AG49" s="45"/>
      <c r="AH49" s="47" t="str">
        <f aca="false">IF(ISNUMBER($AD49),($AD49+$AE49+$AF49)*$AG49,"")</f>
        <v/>
      </c>
      <c r="AI49" s="43"/>
      <c r="AJ49" s="46" t="str">
        <f aca="false">IF(ISNUMBER($AD49),SUM($AD49:$AH49),"")</f>
        <v/>
      </c>
      <c r="AK49" s="48" t="str">
        <f aca="false">IF(AND(ISNUMBER($AB49),ISNUMBER($AD49)),IF($AB49&gt;0,$AD49/$AB49,""),"")</f>
        <v/>
      </c>
      <c r="AL49" s="40"/>
      <c r="AM49" s="49" t="str">
        <f aca="false">IF(ISNUMBER($AD49),Header!$I$3,"")</f>
        <v/>
      </c>
      <c r="AN49" s="47" t="str">
        <f aca="false">IF(ISNUMBER($AD49),$AO49+$AP49,"")</f>
        <v/>
      </c>
      <c r="AO49" s="47" t="str">
        <f aca="false">IF(ISNUMBER($AD49),ROUND($AD49*Header!$K$3,2),"")</f>
        <v/>
      </c>
      <c r="AP49" s="47" t="str">
        <f aca="false">IF(ISNUMBER($AD49),ROUND($AD49*Header!$M$3,2),"")</f>
        <v/>
      </c>
      <c r="AQ49" s="46" t="str">
        <f aca="false">IF(ISNUMBER($AD49),ROUND($AD49,2)-$AO49-$AP49,"")</f>
        <v/>
      </c>
      <c r="AR49" s="47" t="str">
        <f aca="false">IF(ISNUMBER($AD49),IF(Header!$D$34="","?",$AD49*Header!$D$34),"")</f>
        <v/>
      </c>
      <c r="AS49" s="47" t="str">
        <f aca="false">IF(ISNUMBER($AB49),IF(Header!$D$34="","?",$AB49*Header!$D$34),"")</f>
        <v/>
      </c>
      <c r="AT49" s="50" t="str">
        <f aca="false">IF(AND(ISNUMBER($AB49),$M49&gt;0),$AB49/$M49*100,"")</f>
        <v/>
      </c>
      <c r="AU49" s="50" t="str">
        <f aca="false">IF(AND(ISNUMBER($AD49),$M49&gt;0),$AD49/$M49*100,"")</f>
        <v/>
      </c>
      <c r="AV49" s="48" t="str">
        <f aca="false">IF(AND(ISNUMBER($AB49),ISNUMBER($AD49),ABS($AB49)&gt;0),$AD49/$AB49,"")</f>
        <v/>
      </c>
      <c r="AW49" s="47" t="str">
        <f aca="false">IF(ISNUMBER($AD49),MAX(0,(1-0.55-Header!$O$3)*Header!$Q$3*$AQ49),"")</f>
        <v/>
      </c>
      <c r="AX49" s="51" t="str">
        <f aca="false">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v/>
      </c>
      <c r="AY49" s="52" t="str">
        <f aca="false">IF($M49="","",IF(ISNUMBER($M49),IF($M49&gt;=Header!$C$18,"YES — refer","No"),""))</f>
        <v/>
      </c>
      <c r="AZ49" s="52" t="str">
        <f aca="false">IF($AD49="","",IF(ISNUMBER($AD49),IF($AD49&lt;Header!$C$20,"BELOW MIN PREMIUM","OK"),""))</f>
        <v/>
      </c>
      <c r="BA49" s="40"/>
      <c r="BB49" s="40"/>
      <c r="BC49" s="38"/>
      <c r="BE49" s="53" t="str">
        <f aca="false">IF(OR($A49="",$L49="",$H49=""),"",IF(AND(LEFT($L49,2)="06",$H49&gt;1945),"FAIL - pre-war class, year "&amp;$H49,IF(AND(LEFT($L49,2)="07",OR($H49&lt;1946,$H49&gt;1972)),"FAIL - 1946-72 class, year "&amp;$H49,IF(AND(LEFT($L49,2)="08",OR($H49&lt;1973,$H49&gt;1999)),"FAIL - 1973-99 class, year "&amp;$H49,IF(AND(LEFT($L49,2)="09",OR($H49&lt;2000,$H49&gt;2010)),"FAIL - 2000-10 class, year "&amp;$H49,"OK")))))</f>
        <v/>
      </c>
      <c r="BF49" s="53" t="str">
        <f aca="false">IF($AD49="","",IF(ROUND($AO49+$AP49+$AQ49-$AD49,2)=0,"OK","FAIL - out by "&amp;TEXT($AO49+$AP49+$AQ49-$AD49,"$0.00")))</f>
        <v/>
      </c>
    </row>
    <row r="50" customFormat="false" ht="15" hidden="false" customHeight="true" outlineLevel="0" collapsed="false">
      <c r="A50" s="54"/>
      <c r="B50" s="54"/>
      <c r="C50" s="55"/>
      <c r="D50" s="56"/>
      <c r="E50" s="56"/>
      <c r="F50" s="54"/>
      <c r="G50" s="41" t="str">
        <f aca="false">IF($A50="","",IF($C50="","",YEAR($C50)))</f>
        <v/>
      </c>
      <c r="H50" s="57"/>
      <c r="I50" s="54"/>
      <c r="J50" s="54"/>
      <c r="K50" s="54"/>
      <c r="L50" s="56"/>
      <c r="M50" s="58"/>
      <c r="N50" s="56"/>
      <c r="O50" s="54"/>
      <c r="P50" s="54"/>
      <c r="Q50" s="54"/>
      <c r="R50" s="54"/>
      <c r="S50" s="56"/>
      <c r="T50" s="44" t="str">
        <f aca="false">IF($A50="","",IF($S50="","",IFERROR(INDEX(Lists!$N$5:$N$16,MATCH($S50,Lists!$M$5:$M$16,0)),"?")))</f>
        <v/>
      </c>
      <c r="U50" s="54"/>
      <c r="V50" s="56"/>
      <c r="W50" s="54"/>
      <c r="X50" s="56"/>
      <c r="Y50" s="54"/>
      <c r="Z50" s="54"/>
      <c r="AA50" s="56"/>
      <c r="AB50" s="58"/>
      <c r="AC50" s="59"/>
      <c r="AD50" s="46" t="str">
        <f aca="false">IF(ISNUMBER($AB50),$AB50*(1+N($AC50)),"")</f>
        <v/>
      </c>
      <c r="AE50" s="58"/>
      <c r="AF50" s="58"/>
      <c r="AG50" s="59"/>
      <c r="AH50" s="47" t="str">
        <f aca="false">IF(ISNUMBER($AD50),($AD50+$AE50+$AF50)*$AG50,"")</f>
        <v/>
      </c>
      <c r="AI50" s="58"/>
      <c r="AJ50" s="46" t="str">
        <f aca="false">IF(ISNUMBER($AD50),SUM($AD50:$AH50),"")</f>
        <v/>
      </c>
      <c r="AK50" s="48" t="str">
        <f aca="false">IF(AND(ISNUMBER($AB50),ISNUMBER($AD50)),IF($AB50&gt;0,$AD50/$AB50,""),"")</f>
        <v/>
      </c>
      <c r="AL50" s="56"/>
      <c r="AM50" s="49" t="str">
        <f aca="false">IF(ISNUMBER($AD50),Header!$I$3,"")</f>
        <v/>
      </c>
      <c r="AN50" s="47" t="str">
        <f aca="false">IF(ISNUMBER($AD50),$AO50+$AP50,"")</f>
        <v/>
      </c>
      <c r="AO50" s="47" t="str">
        <f aca="false">IF(ISNUMBER($AD50),ROUND($AD50*Header!$K$3,2),"")</f>
        <v/>
      </c>
      <c r="AP50" s="47" t="str">
        <f aca="false">IF(ISNUMBER($AD50),ROUND($AD50*Header!$M$3,2),"")</f>
        <v/>
      </c>
      <c r="AQ50" s="46" t="str">
        <f aca="false">IF(ISNUMBER($AD50),ROUND($AD50,2)-$AO50-$AP50,"")</f>
        <v/>
      </c>
      <c r="AR50" s="47" t="str">
        <f aca="false">IF(ISNUMBER($AD50),IF(Header!$D$34="","?",$AD50*Header!$D$34),"")</f>
        <v/>
      </c>
      <c r="AS50" s="47" t="str">
        <f aca="false">IF(ISNUMBER($AB50),IF(Header!$D$34="","?",$AB50*Header!$D$34),"")</f>
        <v/>
      </c>
      <c r="AT50" s="50" t="str">
        <f aca="false">IF(AND(ISNUMBER($AB50),$M50&gt;0),$AB50/$M50*100,"")</f>
        <v/>
      </c>
      <c r="AU50" s="50" t="str">
        <f aca="false">IF(AND(ISNUMBER($AD50),$M50&gt;0),$AD50/$M50*100,"")</f>
        <v/>
      </c>
      <c r="AV50" s="48" t="str">
        <f aca="false">IF(AND(ISNUMBER($AB50),ISNUMBER($AD50),ABS($AB50)&gt;0),$AD50/$AB50,"")</f>
        <v/>
      </c>
      <c r="AW50" s="47" t="str">
        <f aca="false">IF(ISNUMBER($AD50),MAX(0,(1-0.55-Header!$O$3)*Header!$Q$3*$AQ50),"")</f>
        <v/>
      </c>
      <c r="AX50" s="51" t="str">
        <f aca="false">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v/>
      </c>
      <c r="AY50" s="52" t="str">
        <f aca="false">IF($M50="","",IF(ISNUMBER($M50),IF($M50&gt;=Header!$C$18,"YES — refer","No"),""))</f>
        <v/>
      </c>
      <c r="AZ50" s="52" t="str">
        <f aca="false">IF($AD50="","",IF(ISNUMBER($AD50),IF($AD50&lt;Header!$C$20,"BELOW MIN PREMIUM","OK"),""))</f>
        <v/>
      </c>
      <c r="BA50" s="56"/>
      <c r="BB50" s="56"/>
      <c r="BC50" s="54"/>
      <c r="BE50" s="53" t="str">
        <f aca="false">IF(OR($A50="",$L50="",$H50=""),"",IF(AND(LEFT($L50,2)="06",$H50&gt;1945),"FAIL - pre-war class, year "&amp;$H50,IF(AND(LEFT($L50,2)="07",OR($H50&lt;1946,$H50&gt;1972)),"FAIL - 1946-72 class, year "&amp;$H50,IF(AND(LEFT($L50,2)="08",OR($H50&lt;1973,$H50&gt;1999)),"FAIL - 1973-99 class, year "&amp;$H50,IF(AND(LEFT($L50,2)="09",OR($H50&lt;2000,$H50&gt;2010)),"FAIL - 2000-10 class, year "&amp;$H50,"OK")))))</f>
        <v/>
      </c>
      <c r="BF50" s="53" t="str">
        <f aca="false">IF($AD50="","",IF(ROUND($AO50+$AP50+$AQ50-$AD50,2)=0,"OK","FAIL - out by "&amp;TEXT($AO50+$AP50+$AQ50-$AD50,"$0.00")))</f>
        <v/>
      </c>
    </row>
    <row r="51" customFormat="false" ht="15" hidden="false" customHeight="true" outlineLevel="0" collapsed="false">
      <c r="A51" s="38"/>
      <c r="B51" s="38"/>
      <c r="C51" s="39"/>
      <c r="D51" s="40"/>
      <c r="E51" s="40"/>
      <c r="F51" s="38"/>
      <c r="G51" s="41" t="str">
        <f aca="false">IF($A51="","",IF($C51="","",YEAR($C51)))</f>
        <v/>
      </c>
      <c r="H51" s="42"/>
      <c r="I51" s="38"/>
      <c r="J51" s="38"/>
      <c r="K51" s="38"/>
      <c r="L51" s="40"/>
      <c r="M51" s="43"/>
      <c r="N51" s="40"/>
      <c r="O51" s="38"/>
      <c r="P51" s="38"/>
      <c r="Q51" s="38"/>
      <c r="R51" s="38"/>
      <c r="S51" s="40"/>
      <c r="T51" s="44" t="str">
        <f aca="false">IF($A51="","",IF($S51="","",IFERROR(INDEX(Lists!$N$5:$N$16,MATCH($S51,Lists!$M$5:$M$16,0)),"?")))</f>
        <v/>
      </c>
      <c r="U51" s="38"/>
      <c r="V51" s="40"/>
      <c r="W51" s="38"/>
      <c r="X51" s="40"/>
      <c r="Y51" s="38"/>
      <c r="Z51" s="38"/>
      <c r="AA51" s="40"/>
      <c r="AB51" s="43"/>
      <c r="AC51" s="45"/>
      <c r="AD51" s="46" t="str">
        <f aca="false">IF(ISNUMBER($AB51),$AB51*(1+N($AC51)),"")</f>
        <v/>
      </c>
      <c r="AE51" s="43"/>
      <c r="AF51" s="43"/>
      <c r="AG51" s="45"/>
      <c r="AH51" s="47" t="str">
        <f aca="false">IF(ISNUMBER($AD51),($AD51+$AE51+$AF51)*$AG51,"")</f>
        <v/>
      </c>
      <c r="AI51" s="43"/>
      <c r="AJ51" s="46" t="str">
        <f aca="false">IF(ISNUMBER($AD51),SUM($AD51:$AH51),"")</f>
        <v/>
      </c>
      <c r="AK51" s="48" t="str">
        <f aca="false">IF(AND(ISNUMBER($AB51),ISNUMBER($AD51)),IF($AB51&gt;0,$AD51/$AB51,""),"")</f>
        <v/>
      </c>
      <c r="AL51" s="40"/>
      <c r="AM51" s="49" t="str">
        <f aca="false">IF(ISNUMBER($AD51),Header!$I$3,"")</f>
        <v/>
      </c>
      <c r="AN51" s="47" t="str">
        <f aca="false">IF(ISNUMBER($AD51),$AO51+$AP51,"")</f>
        <v/>
      </c>
      <c r="AO51" s="47" t="str">
        <f aca="false">IF(ISNUMBER($AD51),ROUND($AD51*Header!$K$3,2),"")</f>
        <v/>
      </c>
      <c r="AP51" s="47" t="str">
        <f aca="false">IF(ISNUMBER($AD51),ROUND($AD51*Header!$M$3,2),"")</f>
        <v/>
      </c>
      <c r="AQ51" s="46" t="str">
        <f aca="false">IF(ISNUMBER($AD51),ROUND($AD51,2)-$AO51-$AP51,"")</f>
        <v/>
      </c>
      <c r="AR51" s="47" t="str">
        <f aca="false">IF(ISNUMBER($AD51),IF(Header!$D$34="","?",$AD51*Header!$D$34),"")</f>
        <v/>
      </c>
      <c r="AS51" s="47" t="str">
        <f aca="false">IF(ISNUMBER($AB51),IF(Header!$D$34="","?",$AB51*Header!$D$34),"")</f>
        <v/>
      </c>
      <c r="AT51" s="50" t="str">
        <f aca="false">IF(AND(ISNUMBER($AB51),$M51&gt;0),$AB51/$M51*100,"")</f>
        <v/>
      </c>
      <c r="AU51" s="50" t="str">
        <f aca="false">IF(AND(ISNUMBER($AD51),$M51&gt;0),$AD51/$M51*100,"")</f>
        <v/>
      </c>
      <c r="AV51" s="48" t="str">
        <f aca="false">IF(AND(ISNUMBER($AB51),ISNUMBER($AD51),ABS($AB51)&gt;0),$AD51/$AB51,"")</f>
        <v/>
      </c>
      <c r="AW51" s="47" t="str">
        <f aca="false">IF(ISNUMBER($AD51),MAX(0,(1-0.55-Header!$O$3)*Header!$Q$3*$AQ51),"")</f>
        <v/>
      </c>
      <c r="AX51" s="51" t="str">
        <f aca="false">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v/>
      </c>
      <c r="AY51" s="52" t="str">
        <f aca="false">IF($M51="","",IF(ISNUMBER($M51),IF($M51&gt;=Header!$C$18,"YES — refer","No"),""))</f>
        <v/>
      </c>
      <c r="AZ51" s="52" t="str">
        <f aca="false">IF($AD51="","",IF(ISNUMBER($AD51),IF($AD51&lt;Header!$C$20,"BELOW MIN PREMIUM","OK"),""))</f>
        <v/>
      </c>
      <c r="BA51" s="40"/>
      <c r="BB51" s="40"/>
      <c r="BC51" s="38"/>
      <c r="BE51" s="53" t="str">
        <f aca="false">IF(OR($A51="",$L51="",$H51=""),"",IF(AND(LEFT($L51,2)="06",$H51&gt;1945),"FAIL - pre-war class, year "&amp;$H51,IF(AND(LEFT($L51,2)="07",OR($H51&lt;1946,$H51&gt;1972)),"FAIL - 1946-72 class, year "&amp;$H51,IF(AND(LEFT($L51,2)="08",OR($H51&lt;1973,$H51&gt;1999)),"FAIL - 1973-99 class, year "&amp;$H51,IF(AND(LEFT($L51,2)="09",OR($H51&lt;2000,$H51&gt;2010)),"FAIL - 2000-10 class, year "&amp;$H51,"OK")))))</f>
        <v/>
      </c>
      <c r="BF51" s="53" t="str">
        <f aca="false">IF($AD51="","",IF(ROUND($AO51+$AP51+$AQ51-$AD51,2)=0,"OK","FAIL - out by "&amp;TEXT($AO51+$AP51+$AQ51-$AD51,"$0.00")))</f>
        <v/>
      </c>
    </row>
    <row r="52" customFormat="false" ht="15" hidden="false" customHeight="true" outlineLevel="0" collapsed="false">
      <c r="A52" s="54"/>
      <c r="B52" s="54"/>
      <c r="C52" s="55"/>
      <c r="D52" s="56"/>
      <c r="E52" s="56"/>
      <c r="F52" s="54"/>
      <c r="G52" s="41" t="str">
        <f aca="false">IF($A52="","",IF($C52="","",YEAR($C52)))</f>
        <v/>
      </c>
      <c r="H52" s="57"/>
      <c r="I52" s="54"/>
      <c r="J52" s="54"/>
      <c r="K52" s="54"/>
      <c r="L52" s="56"/>
      <c r="M52" s="58"/>
      <c r="N52" s="56"/>
      <c r="O52" s="54"/>
      <c r="P52" s="54"/>
      <c r="Q52" s="54"/>
      <c r="R52" s="54"/>
      <c r="S52" s="56"/>
      <c r="T52" s="44" t="str">
        <f aca="false">IF($A52="","",IF($S52="","",IFERROR(INDEX(Lists!$N$5:$N$16,MATCH($S52,Lists!$M$5:$M$16,0)),"?")))</f>
        <v/>
      </c>
      <c r="U52" s="54"/>
      <c r="V52" s="56"/>
      <c r="W52" s="54"/>
      <c r="X52" s="56"/>
      <c r="Y52" s="54"/>
      <c r="Z52" s="54"/>
      <c r="AA52" s="56"/>
      <c r="AB52" s="58"/>
      <c r="AC52" s="59"/>
      <c r="AD52" s="46" t="str">
        <f aca="false">IF(ISNUMBER($AB52),$AB52*(1+N($AC52)),"")</f>
        <v/>
      </c>
      <c r="AE52" s="58"/>
      <c r="AF52" s="58"/>
      <c r="AG52" s="59"/>
      <c r="AH52" s="47" t="str">
        <f aca="false">IF(ISNUMBER($AD52),($AD52+$AE52+$AF52)*$AG52,"")</f>
        <v/>
      </c>
      <c r="AI52" s="58"/>
      <c r="AJ52" s="46" t="str">
        <f aca="false">IF(ISNUMBER($AD52),SUM($AD52:$AH52),"")</f>
        <v/>
      </c>
      <c r="AK52" s="48" t="str">
        <f aca="false">IF(AND(ISNUMBER($AB52),ISNUMBER($AD52)),IF($AB52&gt;0,$AD52/$AB52,""),"")</f>
        <v/>
      </c>
      <c r="AL52" s="56"/>
      <c r="AM52" s="49" t="str">
        <f aca="false">IF(ISNUMBER($AD52),Header!$I$3,"")</f>
        <v/>
      </c>
      <c r="AN52" s="47" t="str">
        <f aca="false">IF(ISNUMBER($AD52),$AO52+$AP52,"")</f>
        <v/>
      </c>
      <c r="AO52" s="47" t="str">
        <f aca="false">IF(ISNUMBER($AD52),ROUND($AD52*Header!$K$3,2),"")</f>
        <v/>
      </c>
      <c r="AP52" s="47" t="str">
        <f aca="false">IF(ISNUMBER($AD52),ROUND($AD52*Header!$M$3,2),"")</f>
        <v/>
      </c>
      <c r="AQ52" s="46" t="str">
        <f aca="false">IF(ISNUMBER($AD52),ROUND($AD52,2)-$AO52-$AP52,"")</f>
        <v/>
      </c>
      <c r="AR52" s="47" t="str">
        <f aca="false">IF(ISNUMBER($AD52),IF(Header!$D$34="","?",$AD52*Header!$D$34),"")</f>
        <v/>
      </c>
      <c r="AS52" s="47" t="str">
        <f aca="false">IF(ISNUMBER($AB52),IF(Header!$D$34="","?",$AB52*Header!$D$34),"")</f>
        <v/>
      </c>
      <c r="AT52" s="50" t="str">
        <f aca="false">IF(AND(ISNUMBER($AB52),$M52&gt;0),$AB52/$M52*100,"")</f>
        <v/>
      </c>
      <c r="AU52" s="50" t="str">
        <f aca="false">IF(AND(ISNUMBER($AD52),$M52&gt;0),$AD52/$M52*100,"")</f>
        <v/>
      </c>
      <c r="AV52" s="48" t="str">
        <f aca="false">IF(AND(ISNUMBER($AB52),ISNUMBER($AD52),ABS($AB52)&gt;0),$AD52/$AB52,"")</f>
        <v/>
      </c>
      <c r="AW52" s="47" t="str">
        <f aca="false">IF(ISNUMBER($AD52),MAX(0,(1-0.55-Header!$O$3)*Header!$Q$3*$AQ52),"")</f>
        <v/>
      </c>
      <c r="AX52" s="51" t="str">
        <f aca="false">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v/>
      </c>
      <c r="AY52" s="52" t="str">
        <f aca="false">IF($M52="","",IF(ISNUMBER($M52),IF($M52&gt;=Header!$C$18,"YES — refer","No"),""))</f>
        <v/>
      </c>
      <c r="AZ52" s="52" t="str">
        <f aca="false">IF($AD52="","",IF(ISNUMBER($AD52),IF($AD52&lt;Header!$C$20,"BELOW MIN PREMIUM","OK"),""))</f>
        <v/>
      </c>
      <c r="BA52" s="56"/>
      <c r="BB52" s="56"/>
      <c r="BC52" s="54"/>
      <c r="BE52" s="53" t="str">
        <f aca="false">IF(OR($A52="",$L52="",$H52=""),"",IF(AND(LEFT($L52,2)="06",$H52&gt;1945),"FAIL - pre-war class, year "&amp;$H52,IF(AND(LEFT($L52,2)="07",OR($H52&lt;1946,$H52&gt;1972)),"FAIL - 1946-72 class, year "&amp;$H52,IF(AND(LEFT($L52,2)="08",OR($H52&lt;1973,$H52&gt;1999)),"FAIL - 1973-99 class, year "&amp;$H52,IF(AND(LEFT($L52,2)="09",OR($H52&lt;2000,$H52&gt;2010)),"FAIL - 2000-10 class, year "&amp;$H52,"OK")))))</f>
        <v/>
      </c>
      <c r="BF52" s="53" t="str">
        <f aca="false">IF($AD52="","",IF(ROUND($AO52+$AP52+$AQ52-$AD52,2)=0,"OK","FAIL - out by "&amp;TEXT($AO52+$AP52+$AQ52-$AD52,"$0.00")))</f>
        <v/>
      </c>
    </row>
    <row r="53" customFormat="false" ht="15" hidden="false" customHeight="true" outlineLevel="0" collapsed="false">
      <c r="A53" s="38"/>
      <c r="B53" s="38"/>
      <c r="C53" s="39"/>
      <c r="D53" s="40"/>
      <c r="E53" s="40"/>
      <c r="F53" s="38"/>
      <c r="G53" s="41" t="str">
        <f aca="false">IF($A53="","",IF($C53="","",YEAR($C53)))</f>
        <v/>
      </c>
      <c r="H53" s="42"/>
      <c r="I53" s="38"/>
      <c r="J53" s="38"/>
      <c r="K53" s="38"/>
      <c r="L53" s="40"/>
      <c r="M53" s="43"/>
      <c r="N53" s="40"/>
      <c r="O53" s="38"/>
      <c r="P53" s="38"/>
      <c r="Q53" s="38"/>
      <c r="R53" s="38"/>
      <c r="S53" s="40"/>
      <c r="T53" s="44" t="str">
        <f aca="false">IF($A53="","",IF($S53="","",IFERROR(INDEX(Lists!$N$5:$N$16,MATCH($S53,Lists!$M$5:$M$16,0)),"?")))</f>
        <v/>
      </c>
      <c r="U53" s="38"/>
      <c r="V53" s="40"/>
      <c r="W53" s="38"/>
      <c r="X53" s="40"/>
      <c r="Y53" s="38"/>
      <c r="Z53" s="38"/>
      <c r="AA53" s="40"/>
      <c r="AB53" s="43"/>
      <c r="AC53" s="45"/>
      <c r="AD53" s="46" t="str">
        <f aca="false">IF(ISNUMBER($AB53),$AB53*(1+N($AC53)),"")</f>
        <v/>
      </c>
      <c r="AE53" s="43"/>
      <c r="AF53" s="43"/>
      <c r="AG53" s="45"/>
      <c r="AH53" s="47" t="str">
        <f aca="false">IF(ISNUMBER($AD53),($AD53+$AE53+$AF53)*$AG53,"")</f>
        <v/>
      </c>
      <c r="AI53" s="43"/>
      <c r="AJ53" s="46" t="str">
        <f aca="false">IF(ISNUMBER($AD53),SUM($AD53:$AH53),"")</f>
        <v/>
      </c>
      <c r="AK53" s="48" t="str">
        <f aca="false">IF(AND(ISNUMBER($AB53),ISNUMBER($AD53)),IF($AB53&gt;0,$AD53/$AB53,""),"")</f>
        <v/>
      </c>
      <c r="AL53" s="40"/>
      <c r="AM53" s="49" t="str">
        <f aca="false">IF(ISNUMBER($AD53),Header!$I$3,"")</f>
        <v/>
      </c>
      <c r="AN53" s="47" t="str">
        <f aca="false">IF(ISNUMBER($AD53),$AO53+$AP53,"")</f>
        <v/>
      </c>
      <c r="AO53" s="47" t="str">
        <f aca="false">IF(ISNUMBER($AD53),ROUND($AD53*Header!$K$3,2),"")</f>
        <v/>
      </c>
      <c r="AP53" s="47" t="str">
        <f aca="false">IF(ISNUMBER($AD53),ROUND($AD53*Header!$M$3,2),"")</f>
        <v/>
      </c>
      <c r="AQ53" s="46" t="str">
        <f aca="false">IF(ISNUMBER($AD53),ROUND($AD53,2)-$AO53-$AP53,"")</f>
        <v/>
      </c>
      <c r="AR53" s="47" t="str">
        <f aca="false">IF(ISNUMBER($AD53),IF(Header!$D$34="","?",$AD53*Header!$D$34),"")</f>
        <v/>
      </c>
      <c r="AS53" s="47" t="str">
        <f aca="false">IF(ISNUMBER($AB53),IF(Header!$D$34="","?",$AB53*Header!$D$34),"")</f>
        <v/>
      </c>
      <c r="AT53" s="50" t="str">
        <f aca="false">IF(AND(ISNUMBER($AB53),$M53&gt;0),$AB53/$M53*100,"")</f>
        <v/>
      </c>
      <c r="AU53" s="50" t="str">
        <f aca="false">IF(AND(ISNUMBER($AD53),$M53&gt;0),$AD53/$M53*100,"")</f>
        <v/>
      </c>
      <c r="AV53" s="48" t="str">
        <f aca="false">IF(AND(ISNUMBER($AB53),ISNUMBER($AD53),ABS($AB53)&gt;0),$AD53/$AB53,"")</f>
        <v/>
      </c>
      <c r="AW53" s="47" t="str">
        <f aca="false">IF(ISNUMBER($AD53),MAX(0,(1-0.55-Header!$O$3)*Header!$Q$3*$AQ53),"")</f>
        <v/>
      </c>
      <c r="AX53" s="51" t="str">
        <f aca="false">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v/>
      </c>
      <c r="AY53" s="52" t="str">
        <f aca="false">IF($M53="","",IF(ISNUMBER($M53),IF($M53&gt;=Header!$C$18,"YES — refer","No"),""))</f>
        <v/>
      </c>
      <c r="AZ53" s="52" t="str">
        <f aca="false">IF($AD53="","",IF(ISNUMBER($AD53),IF($AD53&lt;Header!$C$20,"BELOW MIN PREMIUM","OK"),""))</f>
        <v/>
      </c>
      <c r="BA53" s="40"/>
      <c r="BB53" s="40"/>
      <c r="BC53" s="38"/>
      <c r="BE53" s="53" t="str">
        <f aca="false">IF(OR($A53="",$L53="",$H53=""),"",IF(AND(LEFT($L53,2)="06",$H53&gt;1945),"FAIL - pre-war class, year "&amp;$H53,IF(AND(LEFT($L53,2)="07",OR($H53&lt;1946,$H53&gt;1972)),"FAIL - 1946-72 class, year "&amp;$H53,IF(AND(LEFT($L53,2)="08",OR($H53&lt;1973,$H53&gt;1999)),"FAIL - 1973-99 class, year "&amp;$H53,IF(AND(LEFT($L53,2)="09",OR($H53&lt;2000,$H53&gt;2010)),"FAIL - 2000-10 class, year "&amp;$H53,"OK")))))</f>
        <v/>
      </c>
      <c r="BF53" s="53" t="str">
        <f aca="false">IF($AD53="","",IF(ROUND($AO53+$AP53+$AQ53-$AD53,2)=0,"OK","FAIL - out by "&amp;TEXT($AO53+$AP53+$AQ53-$AD53,"$0.00")))</f>
        <v/>
      </c>
    </row>
    <row r="54" customFormat="false" ht="15" hidden="false" customHeight="true" outlineLevel="0" collapsed="false">
      <c r="A54" s="54"/>
      <c r="B54" s="54"/>
      <c r="C54" s="55"/>
      <c r="D54" s="56"/>
      <c r="E54" s="56"/>
      <c r="F54" s="54"/>
      <c r="G54" s="41" t="str">
        <f aca="false">IF($A54="","",IF($C54="","",YEAR($C54)))</f>
        <v/>
      </c>
      <c r="H54" s="57"/>
      <c r="I54" s="54"/>
      <c r="J54" s="54"/>
      <c r="K54" s="54"/>
      <c r="L54" s="56"/>
      <c r="M54" s="58"/>
      <c r="N54" s="56"/>
      <c r="O54" s="54"/>
      <c r="P54" s="54"/>
      <c r="Q54" s="54"/>
      <c r="R54" s="54"/>
      <c r="S54" s="56"/>
      <c r="T54" s="44" t="str">
        <f aca="false">IF($A54="","",IF($S54="","",IFERROR(INDEX(Lists!$N$5:$N$16,MATCH($S54,Lists!$M$5:$M$16,0)),"?")))</f>
        <v/>
      </c>
      <c r="U54" s="54"/>
      <c r="V54" s="56"/>
      <c r="W54" s="54"/>
      <c r="X54" s="56"/>
      <c r="Y54" s="54"/>
      <c r="Z54" s="54"/>
      <c r="AA54" s="56"/>
      <c r="AB54" s="58"/>
      <c r="AC54" s="59"/>
      <c r="AD54" s="46" t="str">
        <f aca="false">IF(ISNUMBER($AB54),$AB54*(1+N($AC54)),"")</f>
        <v/>
      </c>
      <c r="AE54" s="58"/>
      <c r="AF54" s="58"/>
      <c r="AG54" s="59"/>
      <c r="AH54" s="47" t="str">
        <f aca="false">IF(ISNUMBER($AD54),($AD54+$AE54+$AF54)*$AG54,"")</f>
        <v/>
      </c>
      <c r="AI54" s="58"/>
      <c r="AJ54" s="46" t="str">
        <f aca="false">IF(ISNUMBER($AD54),SUM($AD54:$AH54),"")</f>
        <v/>
      </c>
      <c r="AK54" s="48" t="str">
        <f aca="false">IF(AND(ISNUMBER($AB54),ISNUMBER($AD54)),IF($AB54&gt;0,$AD54/$AB54,""),"")</f>
        <v/>
      </c>
      <c r="AL54" s="56"/>
      <c r="AM54" s="49" t="str">
        <f aca="false">IF(ISNUMBER($AD54),Header!$I$3,"")</f>
        <v/>
      </c>
      <c r="AN54" s="47" t="str">
        <f aca="false">IF(ISNUMBER($AD54),$AO54+$AP54,"")</f>
        <v/>
      </c>
      <c r="AO54" s="47" t="str">
        <f aca="false">IF(ISNUMBER($AD54),ROUND($AD54*Header!$K$3,2),"")</f>
        <v/>
      </c>
      <c r="AP54" s="47" t="str">
        <f aca="false">IF(ISNUMBER($AD54),ROUND($AD54*Header!$M$3,2),"")</f>
        <v/>
      </c>
      <c r="AQ54" s="46" t="str">
        <f aca="false">IF(ISNUMBER($AD54),ROUND($AD54,2)-$AO54-$AP54,"")</f>
        <v/>
      </c>
      <c r="AR54" s="47" t="str">
        <f aca="false">IF(ISNUMBER($AD54),IF(Header!$D$34="","?",$AD54*Header!$D$34),"")</f>
        <v/>
      </c>
      <c r="AS54" s="47" t="str">
        <f aca="false">IF(ISNUMBER($AB54),IF(Header!$D$34="","?",$AB54*Header!$D$34),"")</f>
        <v/>
      </c>
      <c r="AT54" s="50" t="str">
        <f aca="false">IF(AND(ISNUMBER($AB54),$M54&gt;0),$AB54/$M54*100,"")</f>
        <v/>
      </c>
      <c r="AU54" s="50" t="str">
        <f aca="false">IF(AND(ISNUMBER($AD54),$M54&gt;0),$AD54/$M54*100,"")</f>
        <v/>
      </c>
      <c r="AV54" s="48" t="str">
        <f aca="false">IF(AND(ISNUMBER($AB54),ISNUMBER($AD54),ABS($AB54)&gt;0),$AD54/$AB54,"")</f>
        <v/>
      </c>
      <c r="AW54" s="47" t="str">
        <f aca="false">IF(ISNUMBER($AD54),MAX(0,(1-0.55-Header!$O$3)*Header!$Q$3*$AQ54),"")</f>
        <v/>
      </c>
      <c r="AX54" s="51" t="str">
        <f aca="false">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v/>
      </c>
      <c r="AY54" s="52" t="str">
        <f aca="false">IF($M54="","",IF(ISNUMBER($M54),IF($M54&gt;=Header!$C$18,"YES — refer","No"),""))</f>
        <v/>
      </c>
      <c r="AZ54" s="52" t="str">
        <f aca="false">IF($AD54="","",IF(ISNUMBER($AD54),IF($AD54&lt;Header!$C$20,"BELOW MIN PREMIUM","OK"),""))</f>
        <v/>
      </c>
      <c r="BA54" s="56"/>
      <c r="BB54" s="56"/>
      <c r="BC54" s="54"/>
      <c r="BE54" s="53" t="str">
        <f aca="false">IF(OR($A54="",$L54="",$H54=""),"",IF(AND(LEFT($L54,2)="06",$H54&gt;1945),"FAIL - pre-war class, year "&amp;$H54,IF(AND(LEFT($L54,2)="07",OR($H54&lt;1946,$H54&gt;1972)),"FAIL - 1946-72 class, year "&amp;$H54,IF(AND(LEFT($L54,2)="08",OR($H54&lt;1973,$H54&gt;1999)),"FAIL - 1973-99 class, year "&amp;$H54,IF(AND(LEFT($L54,2)="09",OR($H54&lt;2000,$H54&gt;2010)),"FAIL - 2000-10 class, year "&amp;$H54,"OK")))))</f>
        <v/>
      </c>
      <c r="BF54" s="53" t="str">
        <f aca="false">IF($AD54="","",IF(ROUND($AO54+$AP54+$AQ54-$AD54,2)=0,"OK","FAIL - out by "&amp;TEXT($AO54+$AP54+$AQ54-$AD54,"$0.00")))</f>
        <v/>
      </c>
    </row>
    <row r="55" customFormat="false" ht="15" hidden="false" customHeight="true" outlineLevel="0" collapsed="false">
      <c r="A55" s="38"/>
      <c r="B55" s="38"/>
      <c r="C55" s="39"/>
      <c r="D55" s="40"/>
      <c r="E55" s="40"/>
      <c r="F55" s="38"/>
      <c r="G55" s="41" t="str">
        <f aca="false">IF($A55="","",IF($C55="","",YEAR($C55)))</f>
        <v/>
      </c>
      <c r="H55" s="42"/>
      <c r="I55" s="38"/>
      <c r="J55" s="38"/>
      <c r="K55" s="38"/>
      <c r="L55" s="40"/>
      <c r="M55" s="43"/>
      <c r="N55" s="40"/>
      <c r="O55" s="38"/>
      <c r="P55" s="38"/>
      <c r="Q55" s="38"/>
      <c r="R55" s="38"/>
      <c r="S55" s="40"/>
      <c r="T55" s="44" t="str">
        <f aca="false">IF($A55="","",IF($S55="","",IFERROR(INDEX(Lists!$N$5:$N$16,MATCH($S55,Lists!$M$5:$M$16,0)),"?")))</f>
        <v/>
      </c>
      <c r="U55" s="38"/>
      <c r="V55" s="40"/>
      <c r="W55" s="38"/>
      <c r="X55" s="40"/>
      <c r="Y55" s="38"/>
      <c r="Z55" s="38"/>
      <c r="AA55" s="40"/>
      <c r="AB55" s="43"/>
      <c r="AC55" s="45"/>
      <c r="AD55" s="46" t="str">
        <f aca="false">IF(ISNUMBER($AB55),$AB55*(1+N($AC55)),"")</f>
        <v/>
      </c>
      <c r="AE55" s="43"/>
      <c r="AF55" s="43"/>
      <c r="AG55" s="45"/>
      <c r="AH55" s="47" t="str">
        <f aca="false">IF(ISNUMBER($AD55),($AD55+$AE55+$AF55)*$AG55,"")</f>
        <v/>
      </c>
      <c r="AI55" s="43"/>
      <c r="AJ55" s="46" t="str">
        <f aca="false">IF(ISNUMBER($AD55),SUM($AD55:$AH55),"")</f>
        <v/>
      </c>
      <c r="AK55" s="48" t="str">
        <f aca="false">IF(AND(ISNUMBER($AB55),ISNUMBER($AD55)),IF($AB55&gt;0,$AD55/$AB55,""),"")</f>
        <v/>
      </c>
      <c r="AL55" s="40"/>
      <c r="AM55" s="49" t="str">
        <f aca="false">IF(ISNUMBER($AD55),Header!$I$3,"")</f>
        <v/>
      </c>
      <c r="AN55" s="47" t="str">
        <f aca="false">IF(ISNUMBER($AD55),$AO55+$AP55,"")</f>
        <v/>
      </c>
      <c r="AO55" s="47" t="str">
        <f aca="false">IF(ISNUMBER($AD55),ROUND($AD55*Header!$K$3,2),"")</f>
        <v/>
      </c>
      <c r="AP55" s="47" t="str">
        <f aca="false">IF(ISNUMBER($AD55),ROUND($AD55*Header!$M$3,2),"")</f>
        <v/>
      </c>
      <c r="AQ55" s="46" t="str">
        <f aca="false">IF(ISNUMBER($AD55),ROUND($AD55,2)-$AO55-$AP55,"")</f>
        <v/>
      </c>
      <c r="AR55" s="47" t="str">
        <f aca="false">IF(ISNUMBER($AD55),IF(Header!$D$34="","?",$AD55*Header!$D$34),"")</f>
        <v/>
      </c>
      <c r="AS55" s="47" t="str">
        <f aca="false">IF(ISNUMBER($AB55),IF(Header!$D$34="","?",$AB55*Header!$D$34),"")</f>
        <v/>
      </c>
      <c r="AT55" s="50" t="str">
        <f aca="false">IF(AND(ISNUMBER($AB55),$M55&gt;0),$AB55/$M55*100,"")</f>
        <v/>
      </c>
      <c r="AU55" s="50" t="str">
        <f aca="false">IF(AND(ISNUMBER($AD55),$M55&gt;0),$AD55/$M55*100,"")</f>
        <v/>
      </c>
      <c r="AV55" s="48" t="str">
        <f aca="false">IF(AND(ISNUMBER($AB55),ISNUMBER($AD55),ABS($AB55)&gt;0),$AD55/$AB55,"")</f>
        <v/>
      </c>
      <c r="AW55" s="47" t="str">
        <f aca="false">IF(ISNUMBER($AD55),MAX(0,(1-0.55-Header!$O$3)*Header!$Q$3*$AQ55),"")</f>
        <v/>
      </c>
      <c r="AX55" s="51" t="str">
        <f aca="false">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v/>
      </c>
      <c r="AY55" s="52" t="str">
        <f aca="false">IF($M55="","",IF(ISNUMBER($M55),IF($M55&gt;=Header!$C$18,"YES — refer","No"),""))</f>
        <v/>
      </c>
      <c r="AZ55" s="52" t="str">
        <f aca="false">IF($AD55="","",IF(ISNUMBER($AD55),IF($AD55&lt;Header!$C$20,"BELOW MIN PREMIUM","OK"),""))</f>
        <v/>
      </c>
      <c r="BA55" s="40"/>
      <c r="BB55" s="40"/>
      <c r="BC55" s="38"/>
      <c r="BE55" s="53" t="str">
        <f aca="false">IF(OR($A55="",$L55="",$H55=""),"",IF(AND(LEFT($L55,2)="06",$H55&gt;1945),"FAIL - pre-war class, year "&amp;$H55,IF(AND(LEFT($L55,2)="07",OR($H55&lt;1946,$H55&gt;1972)),"FAIL - 1946-72 class, year "&amp;$H55,IF(AND(LEFT($L55,2)="08",OR($H55&lt;1973,$H55&gt;1999)),"FAIL - 1973-99 class, year "&amp;$H55,IF(AND(LEFT($L55,2)="09",OR($H55&lt;2000,$H55&gt;2010)),"FAIL - 2000-10 class, year "&amp;$H55,"OK")))))</f>
        <v/>
      </c>
      <c r="BF55" s="53" t="str">
        <f aca="false">IF($AD55="","",IF(ROUND($AO55+$AP55+$AQ55-$AD55,2)=0,"OK","FAIL - out by "&amp;TEXT($AO55+$AP55+$AQ55-$AD55,"$0.00")))</f>
        <v/>
      </c>
    </row>
    <row r="56" customFormat="false" ht="15" hidden="false" customHeight="true" outlineLevel="0" collapsed="false">
      <c r="A56" s="54"/>
      <c r="B56" s="54"/>
      <c r="C56" s="55"/>
      <c r="D56" s="56"/>
      <c r="E56" s="56"/>
      <c r="F56" s="54"/>
      <c r="G56" s="41" t="str">
        <f aca="false">IF($A56="","",IF($C56="","",YEAR($C56)))</f>
        <v/>
      </c>
      <c r="H56" s="57"/>
      <c r="I56" s="54"/>
      <c r="J56" s="54"/>
      <c r="K56" s="54"/>
      <c r="L56" s="56"/>
      <c r="M56" s="58"/>
      <c r="N56" s="56"/>
      <c r="O56" s="54"/>
      <c r="P56" s="54"/>
      <c r="Q56" s="54"/>
      <c r="R56" s="54"/>
      <c r="S56" s="56"/>
      <c r="T56" s="44" t="str">
        <f aca="false">IF($A56="","",IF($S56="","",IFERROR(INDEX(Lists!$N$5:$N$16,MATCH($S56,Lists!$M$5:$M$16,0)),"?")))</f>
        <v/>
      </c>
      <c r="U56" s="54"/>
      <c r="V56" s="56"/>
      <c r="W56" s="54"/>
      <c r="X56" s="56"/>
      <c r="Y56" s="54"/>
      <c r="Z56" s="54"/>
      <c r="AA56" s="56"/>
      <c r="AB56" s="58"/>
      <c r="AC56" s="59"/>
      <c r="AD56" s="46" t="str">
        <f aca="false">IF(ISNUMBER($AB56),$AB56*(1+N($AC56)),"")</f>
        <v/>
      </c>
      <c r="AE56" s="58"/>
      <c r="AF56" s="58"/>
      <c r="AG56" s="59"/>
      <c r="AH56" s="47" t="str">
        <f aca="false">IF(ISNUMBER($AD56),($AD56+$AE56+$AF56)*$AG56,"")</f>
        <v/>
      </c>
      <c r="AI56" s="58"/>
      <c r="AJ56" s="46" t="str">
        <f aca="false">IF(ISNUMBER($AD56),SUM($AD56:$AH56),"")</f>
        <v/>
      </c>
      <c r="AK56" s="48" t="str">
        <f aca="false">IF(AND(ISNUMBER($AB56),ISNUMBER($AD56)),IF($AB56&gt;0,$AD56/$AB56,""),"")</f>
        <v/>
      </c>
      <c r="AL56" s="56"/>
      <c r="AM56" s="49" t="str">
        <f aca="false">IF(ISNUMBER($AD56),Header!$I$3,"")</f>
        <v/>
      </c>
      <c r="AN56" s="47" t="str">
        <f aca="false">IF(ISNUMBER($AD56),$AO56+$AP56,"")</f>
        <v/>
      </c>
      <c r="AO56" s="47" t="str">
        <f aca="false">IF(ISNUMBER($AD56),ROUND($AD56*Header!$K$3,2),"")</f>
        <v/>
      </c>
      <c r="AP56" s="47" t="str">
        <f aca="false">IF(ISNUMBER($AD56),ROUND($AD56*Header!$M$3,2),"")</f>
        <v/>
      </c>
      <c r="AQ56" s="46" t="str">
        <f aca="false">IF(ISNUMBER($AD56),ROUND($AD56,2)-$AO56-$AP56,"")</f>
        <v/>
      </c>
      <c r="AR56" s="47" t="str">
        <f aca="false">IF(ISNUMBER($AD56),IF(Header!$D$34="","?",$AD56*Header!$D$34),"")</f>
        <v/>
      </c>
      <c r="AS56" s="47" t="str">
        <f aca="false">IF(ISNUMBER($AB56),IF(Header!$D$34="","?",$AB56*Header!$D$34),"")</f>
        <v/>
      </c>
      <c r="AT56" s="50" t="str">
        <f aca="false">IF(AND(ISNUMBER($AB56),$M56&gt;0),$AB56/$M56*100,"")</f>
        <v/>
      </c>
      <c r="AU56" s="50" t="str">
        <f aca="false">IF(AND(ISNUMBER($AD56),$M56&gt;0),$AD56/$M56*100,"")</f>
        <v/>
      </c>
      <c r="AV56" s="48" t="str">
        <f aca="false">IF(AND(ISNUMBER($AB56),ISNUMBER($AD56),ABS($AB56)&gt;0),$AD56/$AB56,"")</f>
        <v/>
      </c>
      <c r="AW56" s="47" t="str">
        <f aca="false">IF(ISNUMBER($AD56),MAX(0,(1-0.55-Header!$O$3)*Header!$Q$3*$AQ56),"")</f>
        <v/>
      </c>
      <c r="AX56" s="51" t="str">
        <f aca="false">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v/>
      </c>
      <c r="AY56" s="52" t="str">
        <f aca="false">IF($M56="","",IF(ISNUMBER($M56),IF($M56&gt;=Header!$C$18,"YES — refer","No"),""))</f>
        <v/>
      </c>
      <c r="AZ56" s="52" t="str">
        <f aca="false">IF($AD56="","",IF(ISNUMBER($AD56),IF($AD56&lt;Header!$C$20,"BELOW MIN PREMIUM","OK"),""))</f>
        <v/>
      </c>
      <c r="BA56" s="56"/>
      <c r="BB56" s="56"/>
      <c r="BC56" s="54"/>
      <c r="BE56" s="53" t="str">
        <f aca="false">IF(OR($A56="",$L56="",$H56=""),"",IF(AND(LEFT($L56,2)="06",$H56&gt;1945),"FAIL - pre-war class, year "&amp;$H56,IF(AND(LEFT($L56,2)="07",OR($H56&lt;1946,$H56&gt;1972)),"FAIL - 1946-72 class, year "&amp;$H56,IF(AND(LEFT($L56,2)="08",OR($H56&lt;1973,$H56&gt;1999)),"FAIL - 1973-99 class, year "&amp;$H56,IF(AND(LEFT($L56,2)="09",OR($H56&lt;2000,$H56&gt;2010)),"FAIL - 2000-10 class, year "&amp;$H56,"OK")))))</f>
        <v/>
      </c>
      <c r="BF56" s="53" t="str">
        <f aca="false">IF($AD56="","",IF(ROUND($AO56+$AP56+$AQ56-$AD56,2)=0,"OK","FAIL - out by "&amp;TEXT($AO56+$AP56+$AQ56-$AD56,"$0.00")))</f>
        <v/>
      </c>
    </row>
    <row r="57" customFormat="false" ht="15" hidden="false" customHeight="true" outlineLevel="0" collapsed="false">
      <c r="A57" s="38"/>
      <c r="B57" s="38"/>
      <c r="C57" s="39"/>
      <c r="D57" s="40"/>
      <c r="E57" s="40"/>
      <c r="F57" s="38"/>
      <c r="G57" s="41" t="str">
        <f aca="false">IF($A57="","",IF($C57="","",YEAR($C57)))</f>
        <v/>
      </c>
      <c r="H57" s="42"/>
      <c r="I57" s="38"/>
      <c r="J57" s="38"/>
      <c r="K57" s="38"/>
      <c r="L57" s="40"/>
      <c r="M57" s="43"/>
      <c r="N57" s="40"/>
      <c r="O57" s="38"/>
      <c r="P57" s="38"/>
      <c r="Q57" s="38"/>
      <c r="R57" s="38"/>
      <c r="S57" s="40"/>
      <c r="T57" s="44" t="str">
        <f aca="false">IF($A57="","",IF($S57="","",IFERROR(INDEX(Lists!$N$5:$N$16,MATCH($S57,Lists!$M$5:$M$16,0)),"?")))</f>
        <v/>
      </c>
      <c r="U57" s="38"/>
      <c r="V57" s="40"/>
      <c r="W57" s="38"/>
      <c r="X57" s="40"/>
      <c r="Y57" s="38"/>
      <c r="Z57" s="38"/>
      <c r="AA57" s="40"/>
      <c r="AB57" s="43"/>
      <c r="AC57" s="45"/>
      <c r="AD57" s="46" t="str">
        <f aca="false">IF(ISNUMBER($AB57),$AB57*(1+N($AC57)),"")</f>
        <v/>
      </c>
      <c r="AE57" s="43"/>
      <c r="AF57" s="43"/>
      <c r="AG57" s="45"/>
      <c r="AH57" s="47" t="str">
        <f aca="false">IF(ISNUMBER($AD57),($AD57+$AE57+$AF57)*$AG57,"")</f>
        <v/>
      </c>
      <c r="AI57" s="43"/>
      <c r="AJ57" s="46" t="str">
        <f aca="false">IF(ISNUMBER($AD57),SUM($AD57:$AH57),"")</f>
        <v/>
      </c>
      <c r="AK57" s="48" t="str">
        <f aca="false">IF(AND(ISNUMBER($AB57),ISNUMBER($AD57)),IF($AB57&gt;0,$AD57/$AB57,""),"")</f>
        <v/>
      </c>
      <c r="AL57" s="40"/>
      <c r="AM57" s="49" t="str">
        <f aca="false">IF(ISNUMBER($AD57),Header!$I$3,"")</f>
        <v/>
      </c>
      <c r="AN57" s="47" t="str">
        <f aca="false">IF(ISNUMBER($AD57),$AO57+$AP57,"")</f>
        <v/>
      </c>
      <c r="AO57" s="47" t="str">
        <f aca="false">IF(ISNUMBER($AD57),ROUND($AD57*Header!$K$3,2),"")</f>
        <v/>
      </c>
      <c r="AP57" s="47" t="str">
        <f aca="false">IF(ISNUMBER($AD57),ROUND($AD57*Header!$M$3,2),"")</f>
        <v/>
      </c>
      <c r="AQ57" s="46" t="str">
        <f aca="false">IF(ISNUMBER($AD57),ROUND($AD57,2)-$AO57-$AP57,"")</f>
        <v/>
      </c>
      <c r="AR57" s="47" t="str">
        <f aca="false">IF(ISNUMBER($AD57),IF(Header!$D$34="","?",$AD57*Header!$D$34),"")</f>
        <v/>
      </c>
      <c r="AS57" s="47" t="str">
        <f aca="false">IF(ISNUMBER($AB57),IF(Header!$D$34="","?",$AB57*Header!$D$34),"")</f>
        <v/>
      </c>
      <c r="AT57" s="50" t="str">
        <f aca="false">IF(AND(ISNUMBER($AB57),$M57&gt;0),$AB57/$M57*100,"")</f>
        <v/>
      </c>
      <c r="AU57" s="50" t="str">
        <f aca="false">IF(AND(ISNUMBER($AD57),$M57&gt;0),$AD57/$M57*100,"")</f>
        <v/>
      </c>
      <c r="AV57" s="48" t="str">
        <f aca="false">IF(AND(ISNUMBER($AB57),ISNUMBER($AD57),ABS($AB57)&gt;0),$AD57/$AB57,"")</f>
        <v/>
      </c>
      <c r="AW57" s="47" t="str">
        <f aca="false">IF(ISNUMBER($AD57),MAX(0,(1-0.55-Header!$O$3)*Header!$Q$3*$AQ57),"")</f>
        <v/>
      </c>
      <c r="AX57" s="51" t="str">
        <f aca="false">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v/>
      </c>
      <c r="AY57" s="52" t="str">
        <f aca="false">IF($M57="","",IF(ISNUMBER($M57),IF($M57&gt;=Header!$C$18,"YES — refer","No"),""))</f>
        <v/>
      </c>
      <c r="AZ57" s="52" t="str">
        <f aca="false">IF($AD57="","",IF(ISNUMBER($AD57),IF($AD57&lt;Header!$C$20,"BELOW MIN PREMIUM","OK"),""))</f>
        <v/>
      </c>
      <c r="BA57" s="40"/>
      <c r="BB57" s="40"/>
      <c r="BC57" s="38"/>
      <c r="BE57" s="53" t="str">
        <f aca="false">IF(OR($A57="",$L57="",$H57=""),"",IF(AND(LEFT($L57,2)="06",$H57&gt;1945),"FAIL - pre-war class, year "&amp;$H57,IF(AND(LEFT($L57,2)="07",OR($H57&lt;1946,$H57&gt;1972)),"FAIL - 1946-72 class, year "&amp;$H57,IF(AND(LEFT($L57,2)="08",OR($H57&lt;1973,$H57&gt;1999)),"FAIL - 1973-99 class, year "&amp;$H57,IF(AND(LEFT($L57,2)="09",OR($H57&lt;2000,$H57&gt;2010)),"FAIL - 2000-10 class, year "&amp;$H57,"OK")))))</f>
        <v/>
      </c>
      <c r="BF57" s="53" t="str">
        <f aca="false">IF($AD57="","",IF(ROUND($AO57+$AP57+$AQ57-$AD57,2)=0,"OK","FAIL - out by "&amp;TEXT($AO57+$AP57+$AQ57-$AD57,"$0.00")))</f>
        <v/>
      </c>
    </row>
    <row r="58" customFormat="false" ht="15" hidden="false" customHeight="true" outlineLevel="0" collapsed="false">
      <c r="A58" s="54"/>
      <c r="B58" s="54"/>
      <c r="C58" s="55"/>
      <c r="D58" s="56"/>
      <c r="E58" s="56"/>
      <c r="F58" s="54"/>
      <c r="G58" s="41" t="str">
        <f aca="false">IF($A58="","",IF($C58="","",YEAR($C58)))</f>
        <v/>
      </c>
      <c r="H58" s="57"/>
      <c r="I58" s="54"/>
      <c r="J58" s="54"/>
      <c r="K58" s="54"/>
      <c r="L58" s="56"/>
      <c r="M58" s="58"/>
      <c r="N58" s="56"/>
      <c r="O58" s="54"/>
      <c r="P58" s="54"/>
      <c r="Q58" s="54"/>
      <c r="R58" s="54"/>
      <c r="S58" s="56"/>
      <c r="T58" s="44" t="str">
        <f aca="false">IF($A58="","",IF($S58="","",IFERROR(INDEX(Lists!$N$5:$N$16,MATCH($S58,Lists!$M$5:$M$16,0)),"?")))</f>
        <v/>
      </c>
      <c r="U58" s="54"/>
      <c r="V58" s="56"/>
      <c r="W58" s="54"/>
      <c r="X58" s="56"/>
      <c r="Y58" s="54"/>
      <c r="Z58" s="54"/>
      <c r="AA58" s="56"/>
      <c r="AB58" s="58"/>
      <c r="AC58" s="59"/>
      <c r="AD58" s="46" t="str">
        <f aca="false">IF(ISNUMBER($AB58),$AB58*(1+N($AC58)),"")</f>
        <v/>
      </c>
      <c r="AE58" s="58"/>
      <c r="AF58" s="58"/>
      <c r="AG58" s="59"/>
      <c r="AH58" s="47" t="str">
        <f aca="false">IF(ISNUMBER($AD58),($AD58+$AE58+$AF58)*$AG58,"")</f>
        <v/>
      </c>
      <c r="AI58" s="58"/>
      <c r="AJ58" s="46" t="str">
        <f aca="false">IF(ISNUMBER($AD58),SUM($AD58:$AH58),"")</f>
        <v/>
      </c>
      <c r="AK58" s="48" t="str">
        <f aca="false">IF(AND(ISNUMBER($AB58),ISNUMBER($AD58)),IF($AB58&gt;0,$AD58/$AB58,""),"")</f>
        <v/>
      </c>
      <c r="AL58" s="56"/>
      <c r="AM58" s="49" t="str">
        <f aca="false">IF(ISNUMBER($AD58),Header!$I$3,"")</f>
        <v/>
      </c>
      <c r="AN58" s="47" t="str">
        <f aca="false">IF(ISNUMBER($AD58),$AO58+$AP58,"")</f>
        <v/>
      </c>
      <c r="AO58" s="47" t="str">
        <f aca="false">IF(ISNUMBER($AD58),ROUND($AD58*Header!$K$3,2),"")</f>
        <v/>
      </c>
      <c r="AP58" s="47" t="str">
        <f aca="false">IF(ISNUMBER($AD58),ROUND($AD58*Header!$M$3,2),"")</f>
        <v/>
      </c>
      <c r="AQ58" s="46" t="str">
        <f aca="false">IF(ISNUMBER($AD58),ROUND($AD58,2)-$AO58-$AP58,"")</f>
        <v/>
      </c>
      <c r="AR58" s="47" t="str">
        <f aca="false">IF(ISNUMBER($AD58),IF(Header!$D$34="","?",$AD58*Header!$D$34),"")</f>
        <v/>
      </c>
      <c r="AS58" s="47" t="str">
        <f aca="false">IF(ISNUMBER($AB58),IF(Header!$D$34="","?",$AB58*Header!$D$34),"")</f>
        <v/>
      </c>
      <c r="AT58" s="50" t="str">
        <f aca="false">IF(AND(ISNUMBER($AB58),$M58&gt;0),$AB58/$M58*100,"")</f>
        <v/>
      </c>
      <c r="AU58" s="50" t="str">
        <f aca="false">IF(AND(ISNUMBER($AD58),$M58&gt;0),$AD58/$M58*100,"")</f>
        <v/>
      </c>
      <c r="AV58" s="48" t="str">
        <f aca="false">IF(AND(ISNUMBER($AB58),ISNUMBER($AD58),ABS($AB58)&gt;0),$AD58/$AB58,"")</f>
        <v/>
      </c>
      <c r="AW58" s="47" t="str">
        <f aca="false">IF(ISNUMBER($AD58),MAX(0,(1-0.55-Header!$O$3)*Header!$Q$3*$AQ58),"")</f>
        <v/>
      </c>
      <c r="AX58" s="51" t="str">
        <f aca="false">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v/>
      </c>
      <c r="AY58" s="52" t="str">
        <f aca="false">IF($M58="","",IF(ISNUMBER($M58),IF($M58&gt;=Header!$C$18,"YES — refer","No"),""))</f>
        <v/>
      </c>
      <c r="AZ58" s="52" t="str">
        <f aca="false">IF($AD58="","",IF(ISNUMBER($AD58),IF($AD58&lt;Header!$C$20,"BELOW MIN PREMIUM","OK"),""))</f>
        <v/>
      </c>
      <c r="BA58" s="56"/>
      <c r="BB58" s="56"/>
      <c r="BC58" s="54"/>
      <c r="BE58" s="53" t="str">
        <f aca="false">IF(OR($A58="",$L58="",$H58=""),"",IF(AND(LEFT($L58,2)="06",$H58&gt;1945),"FAIL - pre-war class, year "&amp;$H58,IF(AND(LEFT($L58,2)="07",OR($H58&lt;1946,$H58&gt;1972)),"FAIL - 1946-72 class, year "&amp;$H58,IF(AND(LEFT($L58,2)="08",OR($H58&lt;1973,$H58&gt;1999)),"FAIL - 1973-99 class, year "&amp;$H58,IF(AND(LEFT($L58,2)="09",OR($H58&lt;2000,$H58&gt;2010)),"FAIL - 2000-10 class, year "&amp;$H58,"OK")))))</f>
        <v/>
      </c>
      <c r="BF58" s="53" t="str">
        <f aca="false">IF($AD58="","",IF(ROUND($AO58+$AP58+$AQ58-$AD58,2)=0,"OK","FAIL - out by "&amp;TEXT($AO58+$AP58+$AQ58-$AD58,"$0.00")))</f>
        <v/>
      </c>
    </row>
    <row r="59" customFormat="false" ht="15" hidden="false" customHeight="true" outlineLevel="0" collapsed="false">
      <c r="A59" s="38"/>
      <c r="B59" s="38"/>
      <c r="C59" s="39"/>
      <c r="D59" s="40"/>
      <c r="E59" s="40"/>
      <c r="F59" s="38"/>
      <c r="G59" s="41" t="str">
        <f aca="false">IF($A59="","",IF($C59="","",YEAR($C59)))</f>
        <v/>
      </c>
      <c r="H59" s="42"/>
      <c r="I59" s="38"/>
      <c r="J59" s="38"/>
      <c r="K59" s="38"/>
      <c r="L59" s="40"/>
      <c r="M59" s="43"/>
      <c r="N59" s="40"/>
      <c r="O59" s="38"/>
      <c r="P59" s="38"/>
      <c r="Q59" s="38"/>
      <c r="R59" s="38"/>
      <c r="S59" s="40"/>
      <c r="T59" s="44" t="str">
        <f aca="false">IF($A59="","",IF($S59="","",IFERROR(INDEX(Lists!$N$5:$N$16,MATCH($S59,Lists!$M$5:$M$16,0)),"?")))</f>
        <v/>
      </c>
      <c r="U59" s="38"/>
      <c r="V59" s="40"/>
      <c r="W59" s="38"/>
      <c r="X59" s="40"/>
      <c r="Y59" s="38"/>
      <c r="Z59" s="38"/>
      <c r="AA59" s="40"/>
      <c r="AB59" s="43"/>
      <c r="AC59" s="45"/>
      <c r="AD59" s="46" t="str">
        <f aca="false">IF(ISNUMBER($AB59),$AB59*(1+N($AC59)),"")</f>
        <v/>
      </c>
      <c r="AE59" s="43"/>
      <c r="AF59" s="43"/>
      <c r="AG59" s="45"/>
      <c r="AH59" s="47" t="str">
        <f aca="false">IF(ISNUMBER($AD59),($AD59+$AE59+$AF59)*$AG59,"")</f>
        <v/>
      </c>
      <c r="AI59" s="43"/>
      <c r="AJ59" s="46" t="str">
        <f aca="false">IF(ISNUMBER($AD59),SUM($AD59:$AH59),"")</f>
        <v/>
      </c>
      <c r="AK59" s="48" t="str">
        <f aca="false">IF(AND(ISNUMBER($AB59),ISNUMBER($AD59)),IF($AB59&gt;0,$AD59/$AB59,""),"")</f>
        <v/>
      </c>
      <c r="AL59" s="40"/>
      <c r="AM59" s="49" t="str">
        <f aca="false">IF(ISNUMBER($AD59),Header!$I$3,"")</f>
        <v/>
      </c>
      <c r="AN59" s="47" t="str">
        <f aca="false">IF(ISNUMBER($AD59),$AO59+$AP59,"")</f>
        <v/>
      </c>
      <c r="AO59" s="47" t="str">
        <f aca="false">IF(ISNUMBER($AD59),ROUND($AD59*Header!$K$3,2),"")</f>
        <v/>
      </c>
      <c r="AP59" s="47" t="str">
        <f aca="false">IF(ISNUMBER($AD59),ROUND($AD59*Header!$M$3,2),"")</f>
        <v/>
      </c>
      <c r="AQ59" s="46" t="str">
        <f aca="false">IF(ISNUMBER($AD59),ROUND($AD59,2)-$AO59-$AP59,"")</f>
        <v/>
      </c>
      <c r="AR59" s="47" t="str">
        <f aca="false">IF(ISNUMBER($AD59),IF(Header!$D$34="","?",$AD59*Header!$D$34),"")</f>
        <v/>
      </c>
      <c r="AS59" s="47" t="str">
        <f aca="false">IF(ISNUMBER($AB59),IF(Header!$D$34="","?",$AB59*Header!$D$34),"")</f>
        <v/>
      </c>
      <c r="AT59" s="50" t="str">
        <f aca="false">IF(AND(ISNUMBER($AB59),$M59&gt;0),$AB59/$M59*100,"")</f>
        <v/>
      </c>
      <c r="AU59" s="50" t="str">
        <f aca="false">IF(AND(ISNUMBER($AD59),$M59&gt;0),$AD59/$M59*100,"")</f>
        <v/>
      </c>
      <c r="AV59" s="48" t="str">
        <f aca="false">IF(AND(ISNUMBER($AB59),ISNUMBER($AD59),ABS($AB59)&gt;0),$AD59/$AB59,"")</f>
        <v/>
      </c>
      <c r="AW59" s="47" t="str">
        <f aca="false">IF(ISNUMBER($AD59),MAX(0,(1-0.55-Header!$O$3)*Header!$Q$3*$AQ59),"")</f>
        <v/>
      </c>
      <c r="AX59" s="51" t="str">
        <f aca="false">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v/>
      </c>
      <c r="AY59" s="52" t="str">
        <f aca="false">IF($M59="","",IF(ISNUMBER($M59),IF($M59&gt;=Header!$C$18,"YES — refer","No"),""))</f>
        <v/>
      </c>
      <c r="AZ59" s="52" t="str">
        <f aca="false">IF($AD59="","",IF(ISNUMBER($AD59),IF($AD59&lt;Header!$C$20,"BELOW MIN PREMIUM","OK"),""))</f>
        <v/>
      </c>
      <c r="BA59" s="40"/>
      <c r="BB59" s="40"/>
      <c r="BC59" s="38"/>
      <c r="BE59" s="53" t="str">
        <f aca="false">IF(OR($A59="",$L59="",$H59=""),"",IF(AND(LEFT($L59,2)="06",$H59&gt;1945),"FAIL - pre-war class, year "&amp;$H59,IF(AND(LEFT($L59,2)="07",OR($H59&lt;1946,$H59&gt;1972)),"FAIL - 1946-72 class, year "&amp;$H59,IF(AND(LEFT($L59,2)="08",OR($H59&lt;1973,$H59&gt;1999)),"FAIL - 1973-99 class, year "&amp;$H59,IF(AND(LEFT($L59,2)="09",OR($H59&lt;2000,$H59&gt;2010)),"FAIL - 2000-10 class, year "&amp;$H59,"OK")))))</f>
        <v/>
      </c>
      <c r="BF59" s="53" t="str">
        <f aca="false">IF($AD59="","",IF(ROUND($AO59+$AP59+$AQ59-$AD59,2)=0,"OK","FAIL - out by "&amp;TEXT($AO59+$AP59+$AQ59-$AD59,"$0.00")))</f>
        <v/>
      </c>
    </row>
    <row r="60" customFormat="false" ht="15" hidden="false" customHeight="true" outlineLevel="0" collapsed="false">
      <c r="A60" s="54"/>
      <c r="B60" s="54"/>
      <c r="C60" s="55"/>
      <c r="D60" s="56"/>
      <c r="E60" s="56"/>
      <c r="F60" s="54"/>
      <c r="G60" s="41" t="str">
        <f aca="false">IF($A60="","",IF($C60="","",YEAR($C60)))</f>
        <v/>
      </c>
      <c r="H60" s="57"/>
      <c r="I60" s="54"/>
      <c r="J60" s="54"/>
      <c r="K60" s="54"/>
      <c r="L60" s="56"/>
      <c r="M60" s="58"/>
      <c r="N60" s="56"/>
      <c r="O60" s="54"/>
      <c r="P60" s="54"/>
      <c r="Q60" s="54"/>
      <c r="R60" s="54"/>
      <c r="S60" s="56"/>
      <c r="T60" s="44" t="str">
        <f aca="false">IF($A60="","",IF($S60="","",IFERROR(INDEX(Lists!$N$5:$N$16,MATCH($S60,Lists!$M$5:$M$16,0)),"?")))</f>
        <v/>
      </c>
      <c r="U60" s="54"/>
      <c r="V60" s="56"/>
      <c r="W60" s="54"/>
      <c r="X60" s="56"/>
      <c r="Y60" s="54"/>
      <c r="Z60" s="54"/>
      <c r="AA60" s="56"/>
      <c r="AB60" s="58"/>
      <c r="AC60" s="59"/>
      <c r="AD60" s="46" t="str">
        <f aca="false">IF(ISNUMBER($AB60),$AB60*(1+N($AC60)),"")</f>
        <v/>
      </c>
      <c r="AE60" s="58"/>
      <c r="AF60" s="58"/>
      <c r="AG60" s="59"/>
      <c r="AH60" s="47" t="str">
        <f aca="false">IF(ISNUMBER($AD60),($AD60+$AE60+$AF60)*$AG60,"")</f>
        <v/>
      </c>
      <c r="AI60" s="58"/>
      <c r="AJ60" s="46" t="str">
        <f aca="false">IF(ISNUMBER($AD60),SUM($AD60:$AH60),"")</f>
        <v/>
      </c>
      <c r="AK60" s="48" t="str">
        <f aca="false">IF(AND(ISNUMBER($AB60),ISNUMBER($AD60)),IF($AB60&gt;0,$AD60/$AB60,""),"")</f>
        <v/>
      </c>
      <c r="AL60" s="56"/>
      <c r="AM60" s="49" t="str">
        <f aca="false">IF(ISNUMBER($AD60),Header!$I$3,"")</f>
        <v/>
      </c>
      <c r="AN60" s="47" t="str">
        <f aca="false">IF(ISNUMBER($AD60),$AO60+$AP60,"")</f>
        <v/>
      </c>
      <c r="AO60" s="47" t="str">
        <f aca="false">IF(ISNUMBER($AD60),ROUND($AD60*Header!$K$3,2),"")</f>
        <v/>
      </c>
      <c r="AP60" s="47" t="str">
        <f aca="false">IF(ISNUMBER($AD60),ROUND($AD60*Header!$M$3,2),"")</f>
        <v/>
      </c>
      <c r="AQ60" s="46" t="str">
        <f aca="false">IF(ISNUMBER($AD60),ROUND($AD60,2)-$AO60-$AP60,"")</f>
        <v/>
      </c>
      <c r="AR60" s="47" t="str">
        <f aca="false">IF(ISNUMBER($AD60),IF(Header!$D$34="","?",$AD60*Header!$D$34),"")</f>
        <v/>
      </c>
      <c r="AS60" s="47" t="str">
        <f aca="false">IF(ISNUMBER($AB60),IF(Header!$D$34="","?",$AB60*Header!$D$34),"")</f>
        <v/>
      </c>
      <c r="AT60" s="50" t="str">
        <f aca="false">IF(AND(ISNUMBER($AB60),$M60&gt;0),$AB60/$M60*100,"")</f>
        <v/>
      </c>
      <c r="AU60" s="50" t="str">
        <f aca="false">IF(AND(ISNUMBER($AD60),$M60&gt;0),$AD60/$M60*100,"")</f>
        <v/>
      </c>
      <c r="AV60" s="48" t="str">
        <f aca="false">IF(AND(ISNUMBER($AB60),ISNUMBER($AD60),ABS($AB60)&gt;0),$AD60/$AB60,"")</f>
        <v/>
      </c>
      <c r="AW60" s="47" t="str">
        <f aca="false">IF(ISNUMBER($AD60),MAX(0,(1-0.55-Header!$O$3)*Header!$Q$3*$AQ60),"")</f>
        <v/>
      </c>
      <c r="AX60" s="51" t="str">
        <f aca="false">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v/>
      </c>
      <c r="AY60" s="52" t="str">
        <f aca="false">IF($M60="","",IF(ISNUMBER($M60),IF($M60&gt;=Header!$C$18,"YES — refer","No"),""))</f>
        <v/>
      </c>
      <c r="AZ60" s="52" t="str">
        <f aca="false">IF($AD60="","",IF(ISNUMBER($AD60),IF($AD60&lt;Header!$C$20,"BELOW MIN PREMIUM","OK"),""))</f>
        <v/>
      </c>
      <c r="BA60" s="56"/>
      <c r="BB60" s="56"/>
      <c r="BC60" s="54"/>
      <c r="BE60" s="53" t="str">
        <f aca="false">IF(OR($A60="",$L60="",$H60=""),"",IF(AND(LEFT($L60,2)="06",$H60&gt;1945),"FAIL - pre-war class, year "&amp;$H60,IF(AND(LEFT($L60,2)="07",OR($H60&lt;1946,$H60&gt;1972)),"FAIL - 1946-72 class, year "&amp;$H60,IF(AND(LEFT($L60,2)="08",OR($H60&lt;1973,$H60&gt;1999)),"FAIL - 1973-99 class, year "&amp;$H60,IF(AND(LEFT($L60,2)="09",OR($H60&lt;2000,$H60&gt;2010)),"FAIL - 2000-10 class, year "&amp;$H60,"OK")))))</f>
        <v/>
      </c>
      <c r="BF60" s="53" t="str">
        <f aca="false">IF($AD60="","",IF(ROUND($AO60+$AP60+$AQ60-$AD60,2)=0,"OK","FAIL - out by "&amp;TEXT($AO60+$AP60+$AQ60-$AD60,"$0.00")))</f>
        <v/>
      </c>
    </row>
    <row r="61" customFormat="false" ht="15" hidden="false" customHeight="true" outlineLevel="0" collapsed="false">
      <c r="A61" s="38"/>
      <c r="B61" s="38"/>
      <c r="C61" s="39"/>
      <c r="D61" s="40"/>
      <c r="E61" s="40"/>
      <c r="F61" s="38"/>
      <c r="G61" s="41" t="str">
        <f aca="false">IF($A61="","",IF($C61="","",YEAR($C61)))</f>
        <v/>
      </c>
      <c r="H61" s="42"/>
      <c r="I61" s="38"/>
      <c r="J61" s="38"/>
      <c r="K61" s="38"/>
      <c r="L61" s="40"/>
      <c r="M61" s="43"/>
      <c r="N61" s="40"/>
      <c r="O61" s="38"/>
      <c r="P61" s="38"/>
      <c r="Q61" s="38"/>
      <c r="R61" s="38"/>
      <c r="S61" s="40"/>
      <c r="T61" s="44" t="str">
        <f aca="false">IF($A61="","",IF($S61="","",IFERROR(INDEX(Lists!$N$5:$N$16,MATCH($S61,Lists!$M$5:$M$16,0)),"?")))</f>
        <v/>
      </c>
      <c r="U61" s="38"/>
      <c r="V61" s="40"/>
      <c r="W61" s="38"/>
      <c r="X61" s="40"/>
      <c r="Y61" s="38"/>
      <c r="Z61" s="38"/>
      <c r="AA61" s="40"/>
      <c r="AB61" s="43"/>
      <c r="AC61" s="45"/>
      <c r="AD61" s="46" t="str">
        <f aca="false">IF(ISNUMBER($AB61),$AB61*(1+N($AC61)),"")</f>
        <v/>
      </c>
      <c r="AE61" s="43"/>
      <c r="AF61" s="43"/>
      <c r="AG61" s="45"/>
      <c r="AH61" s="47" t="str">
        <f aca="false">IF(ISNUMBER($AD61),($AD61+$AE61+$AF61)*$AG61,"")</f>
        <v/>
      </c>
      <c r="AI61" s="43"/>
      <c r="AJ61" s="46" t="str">
        <f aca="false">IF(ISNUMBER($AD61),SUM($AD61:$AH61),"")</f>
        <v/>
      </c>
      <c r="AK61" s="48" t="str">
        <f aca="false">IF(AND(ISNUMBER($AB61),ISNUMBER($AD61)),IF($AB61&gt;0,$AD61/$AB61,""),"")</f>
        <v/>
      </c>
      <c r="AL61" s="40"/>
      <c r="AM61" s="49" t="str">
        <f aca="false">IF(ISNUMBER($AD61),Header!$I$3,"")</f>
        <v/>
      </c>
      <c r="AN61" s="47" t="str">
        <f aca="false">IF(ISNUMBER($AD61),$AO61+$AP61,"")</f>
        <v/>
      </c>
      <c r="AO61" s="47" t="str">
        <f aca="false">IF(ISNUMBER($AD61),ROUND($AD61*Header!$K$3,2),"")</f>
        <v/>
      </c>
      <c r="AP61" s="47" t="str">
        <f aca="false">IF(ISNUMBER($AD61),ROUND($AD61*Header!$M$3,2),"")</f>
        <v/>
      </c>
      <c r="AQ61" s="46" t="str">
        <f aca="false">IF(ISNUMBER($AD61),ROUND($AD61,2)-$AO61-$AP61,"")</f>
        <v/>
      </c>
      <c r="AR61" s="47" t="str">
        <f aca="false">IF(ISNUMBER($AD61),IF(Header!$D$34="","?",$AD61*Header!$D$34),"")</f>
        <v/>
      </c>
      <c r="AS61" s="47" t="str">
        <f aca="false">IF(ISNUMBER($AB61),IF(Header!$D$34="","?",$AB61*Header!$D$34),"")</f>
        <v/>
      </c>
      <c r="AT61" s="50" t="str">
        <f aca="false">IF(AND(ISNUMBER($AB61),$M61&gt;0),$AB61/$M61*100,"")</f>
        <v/>
      </c>
      <c r="AU61" s="50" t="str">
        <f aca="false">IF(AND(ISNUMBER($AD61),$M61&gt;0),$AD61/$M61*100,"")</f>
        <v/>
      </c>
      <c r="AV61" s="48" t="str">
        <f aca="false">IF(AND(ISNUMBER($AB61),ISNUMBER($AD61),ABS($AB61)&gt;0),$AD61/$AB61,"")</f>
        <v/>
      </c>
      <c r="AW61" s="47" t="str">
        <f aca="false">IF(ISNUMBER($AD61),MAX(0,(1-0.55-Header!$O$3)*Header!$Q$3*$AQ61),"")</f>
        <v/>
      </c>
      <c r="AX61" s="51" t="str">
        <f aca="false">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v/>
      </c>
      <c r="AY61" s="52" t="str">
        <f aca="false">IF($M61="","",IF(ISNUMBER($M61),IF($M61&gt;=Header!$C$18,"YES — refer","No"),""))</f>
        <v/>
      </c>
      <c r="AZ61" s="52" t="str">
        <f aca="false">IF($AD61="","",IF(ISNUMBER($AD61),IF($AD61&lt;Header!$C$20,"BELOW MIN PREMIUM","OK"),""))</f>
        <v/>
      </c>
      <c r="BA61" s="40"/>
      <c r="BB61" s="40"/>
      <c r="BC61" s="38"/>
      <c r="BE61" s="53" t="str">
        <f aca="false">IF(OR($A61="",$L61="",$H61=""),"",IF(AND(LEFT($L61,2)="06",$H61&gt;1945),"FAIL - pre-war class, year "&amp;$H61,IF(AND(LEFT($L61,2)="07",OR($H61&lt;1946,$H61&gt;1972)),"FAIL - 1946-72 class, year "&amp;$H61,IF(AND(LEFT($L61,2)="08",OR($H61&lt;1973,$H61&gt;1999)),"FAIL - 1973-99 class, year "&amp;$H61,IF(AND(LEFT($L61,2)="09",OR($H61&lt;2000,$H61&gt;2010)),"FAIL - 2000-10 class, year "&amp;$H61,"OK")))))</f>
        <v/>
      </c>
      <c r="BF61" s="53" t="str">
        <f aca="false">IF($AD61="","",IF(ROUND($AO61+$AP61+$AQ61-$AD61,2)=0,"OK","FAIL - out by "&amp;TEXT($AO61+$AP61+$AQ61-$AD61,"$0.00")))</f>
        <v/>
      </c>
    </row>
    <row r="62" customFormat="false" ht="15" hidden="false" customHeight="true" outlineLevel="0" collapsed="false">
      <c r="A62" s="54"/>
      <c r="B62" s="54"/>
      <c r="C62" s="55"/>
      <c r="D62" s="56"/>
      <c r="E62" s="56"/>
      <c r="F62" s="54"/>
      <c r="G62" s="41" t="str">
        <f aca="false">IF($A62="","",IF($C62="","",YEAR($C62)))</f>
        <v/>
      </c>
      <c r="H62" s="57"/>
      <c r="I62" s="54"/>
      <c r="J62" s="54"/>
      <c r="K62" s="54"/>
      <c r="L62" s="56"/>
      <c r="M62" s="58"/>
      <c r="N62" s="56"/>
      <c r="O62" s="54"/>
      <c r="P62" s="54"/>
      <c r="Q62" s="54"/>
      <c r="R62" s="54"/>
      <c r="S62" s="56"/>
      <c r="T62" s="44" t="str">
        <f aca="false">IF($A62="","",IF($S62="","",IFERROR(INDEX(Lists!$N$5:$N$16,MATCH($S62,Lists!$M$5:$M$16,0)),"?")))</f>
        <v/>
      </c>
      <c r="U62" s="54"/>
      <c r="V62" s="56"/>
      <c r="W62" s="54"/>
      <c r="X62" s="56"/>
      <c r="Y62" s="54"/>
      <c r="Z62" s="54"/>
      <c r="AA62" s="56"/>
      <c r="AB62" s="58"/>
      <c r="AC62" s="59"/>
      <c r="AD62" s="46" t="str">
        <f aca="false">IF(ISNUMBER($AB62),$AB62*(1+N($AC62)),"")</f>
        <v/>
      </c>
      <c r="AE62" s="58"/>
      <c r="AF62" s="58"/>
      <c r="AG62" s="59"/>
      <c r="AH62" s="47" t="str">
        <f aca="false">IF(ISNUMBER($AD62),($AD62+$AE62+$AF62)*$AG62,"")</f>
        <v/>
      </c>
      <c r="AI62" s="58"/>
      <c r="AJ62" s="46" t="str">
        <f aca="false">IF(ISNUMBER($AD62),SUM($AD62:$AH62),"")</f>
        <v/>
      </c>
      <c r="AK62" s="48" t="str">
        <f aca="false">IF(AND(ISNUMBER($AB62),ISNUMBER($AD62)),IF($AB62&gt;0,$AD62/$AB62,""),"")</f>
        <v/>
      </c>
      <c r="AL62" s="56"/>
      <c r="AM62" s="49" t="str">
        <f aca="false">IF(ISNUMBER($AD62),Header!$I$3,"")</f>
        <v/>
      </c>
      <c r="AN62" s="47" t="str">
        <f aca="false">IF(ISNUMBER($AD62),$AO62+$AP62,"")</f>
        <v/>
      </c>
      <c r="AO62" s="47" t="str">
        <f aca="false">IF(ISNUMBER($AD62),ROUND($AD62*Header!$K$3,2),"")</f>
        <v/>
      </c>
      <c r="AP62" s="47" t="str">
        <f aca="false">IF(ISNUMBER($AD62),ROUND($AD62*Header!$M$3,2),"")</f>
        <v/>
      </c>
      <c r="AQ62" s="46" t="str">
        <f aca="false">IF(ISNUMBER($AD62),ROUND($AD62,2)-$AO62-$AP62,"")</f>
        <v/>
      </c>
      <c r="AR62" s="47" t="str">
        <f aca="false">IF(ISNUMBER($AD62),IF(Header!$D$34="","?",$AD62*Header!$D$34),"")</f>
        <v/>
      </c>
      <c r="AS62" s="47" t="str">
        <f aca="false">IF(ISNUMBER($AB62),IF(Header!$D$34="","?",$AB62*Header!$D$34),"")</f>
        <v/>
      </c>
      <c r="AT62" s="50" t="str">
        <f aca="false">IF(AND(ISNUMBER($AB62),$M62&gt;0),$AB62/$M62*100,"")</f>
        <v/>
      </c>
      <c r="AU62" s="50" t="str">
        <f aca="false">IF(AND(ISNUMBER($AD62),$M62&gt;0),$AD62/$M62*100,"")</f>
        <v/>
      </c>
      <c r="AV62" s="48" t="str">
        <f aca="false">IF(AND(ISNUMBER($AB62),ISNUMBER($AD62),ABS($AB62)&gt;0),$AD62/$AB62,"")</f>
        <v/>
      </c>
      <c r="AW62" s="47" t="str">
        <f aca="false">IF(ISNUMBER($AD62),MAX(0,(1-0.55-Header!$O$3)*Header!$Q$3*$AQ62),"")</f>
        <v/>
      </c>
      <c r="AX62" s="51" t="str">
        <f aca="false">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v/>
      </c>
      <c r="AY62" s="52" t="str">
        <f aca="false">IF($M62="","",IF(ISNUMBER($M62),IF($M62&gt;=Header!$C$18,"YES — refer","No"),""))</f>
        <v/>
      </c>
      <c r="AZ62" s="52" t="str">
        <f aca="false">IF($AD62="","",IF(ISNUMBER($AD62),IF($AD62&lt;Header!$C$20,"BELOW MIN PREMIUM","OK"),""))</f>
        <v/>
      </c>
      <c r="BA62" s="56"/>
      <c r="BB62" s="56"/>
      <c r="BC62" s="54"/>
      <c r="BE62" s="53" t="str">
        <f aca="false">IF(OR($A62="",$L62="",$H62=""),"",IF(AND(LEFT($L62,2)="06",$H62&gt;1945),"FAIL - pre-war class, year "&amp;$H62,IF(AND(LEFT($L62,2)="07",OR($H62&lt;1946,$H62&gt;1972)),"FAIL - 1946-72 class, year "&amp;$H62,IF(AND(LEFT($L62,2)="08",OR($H62&lt;1973,$H62&gt;1999)),"FAIL - 1973-99 class, year "&amp;$H62,IF(AND(LEFT($L62,2)="09",OR($H62&lt;2000,$H62&gt;2010)),"FAIL - 2000-10 class, year "&amp;$H62,"OK")))))</f>
        <v/>
      </c>
      <c r="BF62" s="53" t="str">
        <f aca="false">IF($AD62="","",IF(ROUND($AO62+$AP62+$AQ62-$AD62,2)=0,"OK","FAIL - out by "&amp;TEXT($AO62+$AP62+$AQ62-$AD62,"$0.00")))</f>
        <v/>
      </c>
    </row>
    <row r="63" customFormat="false" ht="15" hidden="false" customHeight="true" outlineLevel="0" collapsed="false">
      <c r="A63" s="38"/>
      <c r="B63" s="38"/>
      <c r="C63" s="39"/>
      <c r="D63" s="40"/>
      <c r="E63" s="40"/>
      <c r="F63" s="38"/>
      <c r="G63" s="41" t="str">
        <f aca="false">IF($A63="","",IF($C63="","",YEAR($C63)))</f>
        <v/>
      </c>
      <c r="H63" s="42"/>
      <c r="I63" s="38"/>
      <c r="J63" s="38"/>
      <c r="K63" s="38"/>
      <c r="L63" s="40"/>
      <c r="M63" s="43"/>
      <c r="N63" s="40"/>
      <c r="O63" s="38"/>
      <c r="P63" s="38"/>
      <c r="Q63" s="38"/>
      <c r="R63" s="38"/>
      <c r="S63" s="40"/>
      <c r="T63" s="44" t="str">
        <f aca="false">IF($A63="","",IF($S63="","",IFERROR(INDEX(Lists!$N$5:$N$16,MATCH($S63,Lists!$M$5:$M$16,0)),"?")))</f>
        <v/>
      </c>
      <c r="U63" s="38"/>
      <c r="V63" s="40"/>
      <c r="W63" s="38"/>
      <c r="X63" s="40"/>
      <c r="Y63" s="38"/>
      <c r="Z63" s="38"/>
      <c r="AA63" s="40"/>
      <c r="AB63" s="43"/>
      <c r="AC63" s="45"/>
      <c r="AD63" s="46" t="str">
        <f aca="false">IF(ISNUMBER($AB63),$AB63*(1+N($AC63)),"")</f>
        <v/>
      </c>
      <c r="AE63" s="43"/>
      <c r="AF63" s="43"/>
      <c r="AG63" s="45"/>
      <c r="AH63" s="47" t="str">
        <f aca="false">IF(ISNUMBER($AD63),($AD63+$AE63+$AF63)*$AG63,"")</f>
        <v/>
      </c>
      <c r="AI63" s="43"/>
      <c r="AJ63" s="46" t="str">
        <f aca="false">IF(ISNUMBER($AD63),SUM($AD63:$AH63),"")</f>
        <v/>
      </c>
      <c r="AK63" s="48" t="str">
        <f aca="false">IF(AND(ISNUMBER($AB63),ISNUMBER($AD63)),IF($AB63&gt;0,$AD63/$AB63,""),"")</f>
        <v/>
      </c>
      <c r="AL63" s="40"/>
      <c r="AM63" s="49" t="str">
        <f aca="false">IF(ISNUMBER($AD63),Header!$I$3,"")</f>
        <v/>
      </c>
      <c r="AN63" s="47" t="str">
        <f aca="false">IF(ISNUMBER($AD63),$AO63+$AP63,"")</f>
        <v/>
      </c>
      <c r="AO63" s="47" t="str">
        <f aca="false">IF(ISNUMBER($AD63),ROUND($AD63*Header!$K$3,2),"")</f>
        <v/>
      </c>
      <c r="AP63" s="47" t="str">
        <f aca="false">IF(ISNUMBER($AD63),ROUND($AD63*Header!$M$3,2),"")</f>
        <v/>
      </c>
      <c r="AQ63" s="46" t="str">
        <f aca="false">IF(ISNUMBER($AD63),ROUND($AD63,2)-$AO63-$AP63,"")</f>
        <v/>
      </c>
      <c r="AR63" s="47" t="str">
        <f aca="false">IF(ISNUMBER($AD63),IF(Header!$D$34="","?",$AD63*Header!$D$34),"")</f>
        <v/>
      </c>
      <c r="AS63" s="47" t="str">
        <f aca="false">IF(ISNUMBER($AB63),IF(Header!$D$34="","?",$AB63*Header!$D$34),"")</f>
        <v/>
      </c>
      <c r="AT63" s="50" t="str">
        <f aca="false">IF(AND(ISNUMBER($AB63),$M63&gt;0),$AB63/$M63*100,"")</f>
        <v/>
      </c>
      <c r="AU63" s="50" t="str">
        <f aca="false">IF(AND(ISNUMBER($AD63),$M63&gt;0),$AD63/$M63*100,"")</f>
        <v/>
      </c>
      <c r="AV63" s="48" t="str">
        <f aca="false">IF(AND(ISNUMBER($AB63),ISNUMBER($AD63),ABS($AB63)&gt;0),$AD63/$AB63,"")</f>
        <v/>
      </c>
      <c r="AW63" s="47" t="str">
        <f aca="false">IF(ISNUMBER($AD63),MAX(0,(1-0.55-Header!$O$3)*Header!$Q$3*$AQ63),"")</f>
        <v/>
      </c>
      <c r="AX63" s="51" t="str">
        <f aca="false">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v/>
      </c>
      <c r="AY63" s="52" t="str">
        <f aca="false">IF($M63="","",IF(ISNUMBER($M63),IF($M63&gt;=Header!$C$18,"YES — refer","No"),""))</f>
        <v/>
      </c>
      <c r="AZ63" s="52" t="str">
        <f aca="false">IF($AD63="","",IF(ISNUMBER($AD63),IF($AD63&lt;Header!$C$20,"BELOW MIN PREMIUM","OK"),""))</f>
        <v/>
      </c>
      <c r="BA63" s="40"/>
      <c r="BB63" s="40"/>
      <c r="BC63" s="38"/>
      <c r="BE63" s="53" t="str">
        <f aca="false">IF(OR($A63="",$L63="",$H63=""),"",IF(AND(LEFT($L63,2)="06",$H63&gt;1945),"FAIL - pre-war class, year "&amp;$H63,IF(AND(LEFT($L63,2)="07",OR($H63&lt;1946,$H63&gt;1972)),"FAIL - 1946-72 class, year "&amp;$H63,IF(AND(LEFT($L63,2)="08",OR($H63&lt;1973,$H63&gt;1999)),"FAIL - 1973-99 class, year "&amp;$H63,IF(AND(LEFT($L63,2)="09",OR($H63&lt;2000,$H63&gt;2010)),"FAIL - 2000-10 class, year "&amp;$H63,"OK")))))</f>
        <v/>
      </c>
      <c r="BF63" s="53" t="str">
        <f aca="false">IF($AD63="","",IF(ROUND($AO63+$AP63+$AQ63-$AD63,2)=0,"OK","FAIL - out by "&amp;TEXT($AO63+$AP63+$AQ63-$AD63,"$0.00")))</f>
        <v/>
      </c>
    </row>
    <row r="64" customFormat="false" ht="15" hidden="false" customHeight="true" outlineLevel="0" collapsed="false">
      <c r="A64" s="54"/>
      <c r="B64" s="54"/>
      <c r="C64" s="55"/>
      <c r="D64" s="56"/>
      <c r="E64" s="56"/>
      <c r="F64" s="54"/>
      <c r="G64" s="41" t="str">
        <f aca="false">IF($A64="","",IF($C64="","",YEAR($C64)))</f>
        <v/>
      </c>
      <c r="H64" s="57"/>
      <c r="I64" s="54"/>
      <c r="J64" s="54"/>
      <c r="K64" s="54"/>
      <c r="L64" s="56"/>
      <c r="M64" s="58"/>
      <c r="N64" s="56"/>
      <c r="O64" s="54"/>
      <c r="P64" s="54"/>
      <c r="Q64" s="54"/>
      <c r="R64" s="54"/>
      <c r="S64" s="56"/>
      <c r="T64" s="44" t="str">
        <f aca="false">IF($A64="","",IF($S64="","",IFERROR(INDEX(Lists!$N$5:$N$16,MATCH($S64,Lists!$M$5:$M$16,0)),"?")))</f>
        <v/>
      </c>
      <c r="U64" s="54"/>
      <c r="V64" s="56"/>
      <c r="W64" s="54"/>
      <c r="X64" s="56"/>
      <c r="Y64" s="54"/>
      <c r="Z64" s="54"/>
      <c r="AA64" s="56"/>
      <c r="AB64" s="58"/>
      <c r="AC64" s="59"/>
      <c r="AD64" s="46" t="str">
        <f aca="false">IF(ISNUMBER($AB64),$AB64*(1+N($AC64)),"")</f>
        <v/>
      </c>
      <c r="AE64" s="58"/>
      <c r="AF64" s="58"/>
      <c r="AG64" s="59"/>
      <c r="AH64" s="47" t="str">
        <f aca="false">IF(ISNUMBER($AD64),($AD64+$AE64+$AF64)*$AG64,"")</f>
        <v/>
      </c>
      <c r="AI64" s="58"/>
      <c r="AJ64" s="46" t="str">
        <f aca="false">IF(ISNUMBER($AD64),SUM($AD64:$AH64),"")</f>
        <v/>
      </c>
      <c r="AK64" s="48" t="str">
        <f aca="false">IF(AND(ISNUMBER($AB64),ISNUMBER($AD64)),IF($AB64&gt;0,$AD64/$AB64,""),"")</f>
        <v/>
      </c>
      <c r="AL64" s="56"/>
      <c r="AM64" s="49" t="str">
        <f aca="false">IF(ISNUMBER($AD64),Header!$I$3,"")</f>
        <v/>
      </c>
      <c r="AN64" s="47" t="str">
        <f aca="false">IF(ISNUMBER($AD64),$AO64+$AP64,"")</f>
        <v/>
      </c>
      <c r="AO64" s="47" t="str">
        <f aca="false">IF(ISNUMBER($AD64),ROUND($AD64*Header!$K$3,2),"")</f>
        <v/>
      </c>
      <c r="AP64" s="47" t="str">
        <f aca="false">IF(ISNUMBER($AD64),ROUND($AD64*Header!$M$3,2),"")</f>
        <v/>
      </c>
      <c r="AQ64" s="46" t="str">
        <f aca="false">IF(ISNUMBER($AD64),ROUND($AD64,2)-$AO64-$AP64,"")</f>
        <v/>
      </c>
      <c r="AR64" s="47" t="str">
        <f aca="false">IF(ISNUMBER($AD64),IF(Header!$D$34="","?",$AD64*Header!$D$34),"")</f>
        <v/>
      </c>
      <c r="AS64" s="47" t="str">
        <f aca="false">IF(ISNUMBER($AB64),IF(Header!$D$34="","?",$AB64*Header!$D$34),"")</f>
        <v/>
      </c>
      <c r="AT64" s="50" t="str">
        <f aca="false">IF(AND(ISNUMBER($AB64),$M64&gt;0),$AB64/$M64*100,"")</f>
        <v/>
      </c>
      <c r="AU64" s="50" t="str">
        <f aca="false">IF(AND(ISNUMBER($AD64),$M64&gt;0),$AD64/$M64*100,"")</f>
        <v/>
      </c>
      <c r="AV64" s="48" t="str">
        <f aca="false">IF(AND(ISNUMBER($AB64),ISNUMBER($AD64),ABS($AB64)&gt;0),$AD64/$AB64,"")</f>
        <v/>
      </c>
      <c r="AW64" s="47" t="str">
        <f aca="false">IF(ISNUMBER($AD64),MAX(0,(1-0.55-Header!$O$3)*Header!$Q$3*$AQ64),"")</f>
        <v/>
      </c>
      <c r="AX64" s="51" t="str">
        <f aca="false">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v/>
      </c>
      <c r="AY64" s="52" t="str">
        <f aca="false">IF($M64="","",IF(ISNUMBER($M64),IF($M64&gt;=Header!$C$18,"YES — refer","No"),""))</f>
        <v/>
      </c>
      <c r="AZ64" s="52" t="str">
        <f aca="false">IF($AD64="","",IF(ISNUMBER($AD64),IF($AD64&lt;Header!$C$20,"BELOW MIN PREMIUM","OK"),""))</f>
        <v/>
      </c>
      <c r="BA64" s="56"/>
      <c r="BB64" s="56"/>
      <c r="BC64" s="54"/>
      <c r="BE64" s="53" t="str">
        <f aca="false">IF(OR($A64="",$L64="",$H64=""),"",IF(AND(LEFT($L64,2)="06",$H64&gt;1945),"FAIL - pre-war class, year "&amp;$H64,IF(AND(LEFT($L64,2)="07",OR($H64&lt;1946,$H64&gt;1972)),"FAIL - 1946-72 class, year "&amp;$H64,IF(AND(LEFT($L64,2)="08",OR($H64&lt;1973,$H64&gt;1999)),"FAIL - 1973-99 class, year "&amp;$H64,IF(AND(LEFT($L64,2)="09",OR($H64&lt;2000,$H64&gt;2010)),"FAIL - 2000-10 class, year "&amp;$H64,"OK")))))</f>
        <v/>
      </c>
      <c r="BF64" s="53" t="str">
        <f aca="false">IF($AD64="","",IF(ROUND($AO64+$AP64+$AQ64-$AD64,2)=0,"OK","FAIL - out by "&amp;TEXT($AO64+$AP64+$AQ64-$AD64,"$0.00")))</f>
        <v/>
      </c>
    </row>
    <row r="65" customFormat="false" ht="15" hidden="false" customHeight="true" outlineLevel="0" collapsed="false">
      <c r="A65" s="38"/>
      <c r="B65" s="38"/>
      <c r="C65" s="39"/>
      <c r="D65" s="40"/>
      <c r="E65" s="40"/>
      <c r="F65" s="38"/>
      <c r="G65" s="41" t="str">
        <f aca="false">IF($A65="","",IF($C65="","",YEAR($C65)))</f>
        <v/>
      </c>
      <c r="H65" s="42"/>
      <c r="I65" s="38"/>
      <c r="J65" s="38"/>
      <c r="K65" s="38"/>
      <c r="L65" s="40"/>
      <c r="M65" s="43"/>
      <c r="N65" s="40"/>
      <c r="O65" s="38"/>
      <c r="P65" s="38"/>
      <c r="Q65" s="38"/>
      <c r="R65" s="38"/>
      <c r="S65" s="40"/>
      <c r="T65" s="44" t="str">
        <f aca="false">IF($A65="","",IF($S65="","",IFERROR(INDEX(Lists!$N$5:$N$16,MATCH($S65,Lists!$M$5:$M$16,0)),"?")))</f>
        <v/>
      </c>
      <c r="U65" s="38"/>
      <c r="V65" s="40"/>
      <c r="W65" s="38"/>
      <c r="X65" s="40"/>
      <c r="Y65" s="38"/>
      <c r="Z65" s="38"/>
      <c r="AA65" s="40"/>
      <c r="AB65" s="43"/>
      <c r="AC65" s="45"/>
      <c r="AD65" s="46" t="str">
        <f aca="false">IF(ISNUMBER($AB65),$AB65*(1+N($AC65)),"")</f>
        <v/>
      </c>
      <c r="AE65" s="43"/>
      <c r="AF65" s="43"/>
      <c r="AG65" s="45"/>
      <c r="AH65" s="47" t="str">
        <f aca="false">IF(ISNUMBER($AD65),($AD65+$AE65+$AF65)*$AG65,"")</f>
        <v/>
      </c>
      <c r="AI65" s="43"/>
      <c r="AJ65" s="46" t="str">
        <f aca="false">IF(ISNUMBER($AD65),SUM($AD65:$AH65),"")</f>
        <v/>
      </c>
      <c r="AK65" s="48" t="str">
        <f aca="false">IF(AND(ISNUMBER($AB65),ISNUMBER($AD65)),IF($AB65&gt;0,$AD65/$AB65,""),"")</f>
        <v/>
      </c>
      <c r="AL65" s="40"/>
      <c r="AM65" s="49" t="str">
        <f aca="false">IF(ISNUMBER($AD65),Header!$I$3,"")</f>
        <v/>
      </c>
      <c r="AN65" s="47" t="str">
        <f aca="false">IF(ISNUMBER($AD65),$AO65+$AP65,"")</f>
        <v/>
      </c>
      <c r="AO65" s="47" t="str">
        <f aca="false">IF(ISNUMBER($AD65),ROUND($AD65*Header!$K$3,2),"")</f>
        <v/>
      </c>
      <c r="AP65" s="47" t="str">
        <f aca="false">IF(ISNUMBER($AD65),ROUND($AD65*Header!$M$3,2),"")</f>
        <v/>
      </c>
      <c r="AQ65" s="46" t="str">
        <f aca="false">IF(ISNUMBER($AD65),ROUND($AD65,2)-$AO65-$AP65,"")</f>
        <v/>
      </c>
      <c r="AR65" s="47" t="str">
        <f aca="false">IF(ISNUMBER($AD65),IF(Header!$D$34="","?",$AD65*Header!$D$34),"")</f>
        <v/>
      </c>
      <c r="AS65" s="47" t="str">
        <f aca="false">IF(ISNUMBER($AB65),IF(Header!$D$34="","?",$AB65*Header!$D$34),"")</f>
        <v/>
      </c>
      <c r="AT65" s="50" t="str">
        <f aca="false">IF(AND(ISNUMBER($AB65),$M65&gt;0),$AB65/$M65*100,"")</f>
        <v/>
      </c>
      <c r="AU65" s="50" t="str">
        <f aca="false">IF(AND(ISNUMBER($AD65),$M65&gt;0),$AD65/$M65*100,"")</f>
        <v/>
      </c>
      <c r="AV65" s="48" t="str">
        <f aca="false">IF(AND(ISNUMBER($AB65),ISNUMBER($AD65),ABS($AB65)&gt;0),$AD65/$AB65,"")</f>
        <v/>
      </c>
      <c r="AW65" s="47" t="str">
        <f aca="false">IF(ISNUMBER($AD65),MAX(0,(1-0.55-Header!$O$3)*Header!$Q$3*$AQ65),"")</f>
        <v/>
      </c>
      <c r="AX65" s="51" t="str">
        <f aca="false">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v/>
      </c>
      <c r="AY65" s="52" t="str">
        <f aca="false">IF($M65="","",IF(ISNUMBER($M65),IF($M65&gt;=Header!$C$18,"YES — refer","No"),""))</f>
        <v/>
      </c>
      <c r="AZ65" s="52" t="str">
        <f aca="false">IF($AD65="","",IF(ISNUMBER($AD65),IF($AD65&lt;Header!$C$20,"BELOW MIN PREMIUM","OK"),""))</f>
        <v/>
      </c>
      <c r="BA65" s="40"/>
      <c r="BB65" s="40"/>
      <c r="BC65" s="38"/>
      <c r="BE65" s="53" t="str">
        <f aca="false">IF(OR($A65="",$L65="",$H65=""),"",IF(AND(LEFT($L65,2)="06",$H65&gt;1945),"FAIL - pre-war class, year "&amp;$H65,IF(AND(LEFT($L65,2)="07",OR($H65&lt;1946,$H65&gt;1972)),"FAIL - 1946-72 class, year "&amp;$H65,IF(AND(LEFT($L65,2)="08",OR($H65&lt;1973,$H65&gt;1999)),"FAIL - 1973-99 class, year "&amp;$H65,IF(AND(LEFT($L65,2)="09",OR($H65&lt;2000,$H65&gt;2010)),"FAIL - 2000-10 class, year "&amp;$H65,"OK")))))</f>
        <v/>
      </c>
      <c r="BF65" s="53" t="str">
        <f aca="false">IF($AD65="","",IF(ROUND($AO65+$AP65+$AQ65-$AD65,2)=0,"OK","FAIL - out by "&amp;TEXT($AO65+$AP65+$AQ65-$AD65,"$0.00")))</f>
        <v/>
      </c>
    </row>
    <row r="66" customFormat="false" ht="15" hidden="false" customHeight="true" outlineLevel="0" collapsed="false">
      <c r="A66" s="54"/>
      <c r="B66" s="54"/>
      <c r="C66" s="55"/>
      <c r="D66" s="56"/>
      <c r="E66" s="56"/>
      <c r="F66" s="54"/>
      <c r="G66" s="41" t="str">
        <f aca="false">IF($A66="","",IF($C66="","",YEAR($C66)))</f>
        <v/>
      </c>
      <c r="H66" s="57"/>
      <c r="I66" s="54"/>
      <c r="J66" s="54"/>
      <c r="K66" s="54"/>
      <c r="L66" s="56"/>
      <c r="M66" s="58"/>
      <c r="N66" s="56"/>
      <c r="O66" s="54"/>
      <c r="P66" s="54"/>
      <c r="Q66" s="54"/>
      <c r="R66" s="54"/>
      <c r="S66" s="56"/>
      <c r="T66" s="44" t="str">
        <f aca="false">IF($A66="","",IF($S66="","",IFERROR(INDEX(Lists!$N$5:$N$16,MATCH($S66,Lists!$M$5:$M$16,0)),"?")))</f>
        <v/>
      </c>
      <c r="U66" s="54"/>
      <c r="V66" s="56"/>
      <c r="W66" s="54"/>
      <c r="X66" s="56"/>
      <c r="Y66" s="54"/>
      <c r="Z66" s="54"/>
      <c r="AA66" s="56"/>
      <c r="AB66" s="58"/>
      <c r="AC66" s="59"/>
      <c r="AD66" s="46" t="str">
        <f aca="false">IF(ISNUMBER($AB66),$AB66*(1+N($AC66)),"")</f>
        <v/>
      </c>
      <c r="AE66" s="58"/>
      <c r="AF66" s="58"/>
      <c r="AG66" s="59"/>
      <c r="AH66" s="47" t="str">
        <f aca="false">IF(ISNUMBER($AD66),($AD66+$AE66+$AF66)*$AG66,"")</f>
        <v/>
      </c>
      <c r="AI66" s="58"/>
      <c r="AJ66" s="46" t="str">
        <f aca="false">IF(ISNUMBER($AD66),SUM($AD66:$AH66),"")</f>
        <v/>
      </c>
      <c r="AK66" s="48" t="str">
        <f aca="false">IF(AND(ISNUMBER($AB66),ISNUMBER($AD66)),IF($AB66&gt;0,$AD66/$AB66,""),"")</f>
        <v/>
      </c>
      <c r="AL66" s="56"/>
      <c r="AM66" s="49" t="str">
        <f aca="false">IF(ISNUMBER($AD66),Header!$I$3,"")</f>
        <v/>
      </c>
      <c r="AN66" s="47" t="str">
        <f aca="false">IF(ISNUMBER($AD66),$AO66+$AP66,"")</f>
        <v/>
      </c>
      <c r="AO66" s="47" t="str">
        <f aca="false">IF(ISNUMBER($AD66),ROUND($AD66*Header!$K$3,2),"")</f>
        <v/>
      </c>
      <c r="AP66" s="47" t="str">
        <f aca="false">IF(ISNUMBER($AD66),ROUND($AD66*Header!$M$3,2),"")</f>
        <v/>
      </c>
      <c r="AQ66" s="46" t="str">
        <f aca="false">IF(ISNUMBER($AD66),ROUND($AD66,2)-$AO66-$AP66,"")</f>
        <v/>
      </c>
      <c r="AR66" s="47" t="str">
        <f aca="false">IF(ISNUMBER($AD66),IF(Header!$D$34="","?",$AD66*Header!$D$34),"")</f>
        <v/>
      </c>
      <c r="AS66" s="47" t="str">
        <f aca="false">IF(ISNUMBER($AB66),IF(Header!$D$34="","?",$AB66*Header!$D$34),"")</f>
        <v/>
      </c>
      <c r="AT66" s="50" t="str">
        <f aca="false">IF(AND(ISNUMBER($AB66),$M66&gt;0),$AB66/$M66*100,"")</f>
        <v/>
      </c>
      <c r="AU66" s="50" t="str">
        <f aca="false">IF(AND(ISNUMBER($AD66),$M66&gt;0),$AD66/$M66*100,"")</f>
        <v/>
      </c>
      <c r="AV66" s="48" t="str">
        <f aca="false">IF(AND(ISNUMBER($AB66),ISNUMBER($AD66),ABS($AB66)&gt;0),$AD66/$AB66,"")</f>
        <v/>
      </c>
      <c r="AW66" s="47" t="str">
        <f aca="false">IF(ISNUMBER($AD66),MAX(0,(1-0.55-Header!$O$3)*Header!$Q$3*$AQ66),"")</f>
        <v/>
      </c>
      <c r="AX66" s="51" t="str">
        <f aca="false">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v/>
      </c>
      <c r="AY66" s="52" t="str">
        <f aca="false">IF($M66="","",IF(ISNUMBER($M66),IF($M66&gt;=Header!$C$18,"YES — refer","No"),""))</f>
        <v/>
      </c>
      <c r="AZ66" s="52" t="str">
        <f aca="false">IF($AD66="","",IF(ISNUMBER($AD66),IF($AD66&lt;Header!$C$20,"BELOW MIN PREMIUM","OK"),""))</f>
        <v/>
      </c>
      <c r="BA66" s="56"/>
      <c r="BB66" s="56"/>
      <c r="BC66" s="54"/>
      <c r="BE66" s="53" t="str">
        <f aca="false">IF(OR($A66="",$L66="",$H66=""),"",IF(AND(LEFT($L66,2)="06",$H66&gt;1945),"FAIL - pre-war class, year "&amp;$H66,IF(AND(LEFT($L66,2)="07",OR($H66&lt;1946,$H66&gt;1972)),"FAIL - 1946-72 class, year "&amp;$H66,IF(AND(LEFT($L66,2)="08",OR($H66&lt;1973,$H66&gt;1999)),"FAIL - 1973-99 class, year "&amp;$H66,IF(AND(LEFT($L66,2)="09",OR($H66&lt;2000,$H66&gt;2010)),"FAIL - 2000-10 class, year "&amp;$H66,"OK")))))</f>
        <v/>
      </c>
      <c r="BF66" s="53" t="str">
        <f aca="false">IF($AD66="","",IF(ROUND($AO66+$AP66+$AQ66-$AD66,2)=0,"OK","FAIL - out by "&amp;TEXT($AO66+$AP66+$AQ66-$AD66,"$0.00")))</f>
        <v/>
      </c>
    </row>
    <row r="67" customFormat="false" ht="15" hidden="false" customHeight="true" outlineLevel="0" collapsed="false">
      <c r="A67" s="38"/>
      <c r="B67" s="38"/>
      <c r="C67" s="39"/>
      <c r="D67" s="40"/>
      <c r="E67" s="40"/>
      <c r="F67" s="38"/>
      <c r="G67" s="41" t="str">
        <f aca="false">IF($A67="","",IF($C67="","",YEAR($C67)))</f>
        <v/>
      </c>
      <c r="H67" s="42"/>
      <c r="I67" s="38"/>
      <c r="J67" s="38"/>
      <c r="K67" s="38"/>
      <c r="L67" s="40"/>
      <c r="M67" s="43"/>
      <c r="N67" s="40"/>
      <c r="O67" s="38"/>
      <c r="P67" s="38"/>
      <c r="Q67" s="38"/>
      <c r="R67" s="38"/>
      <c r="S67" s="40"/>
      <c r="T67" s="44" t="str">
        <f aca="false">IF($A67="","",IF($S67="","",IFERROR(INDEX(Lists!$N$5:$N$16,MATCH($S67,Lists!$M$5:$M$16,0)),"?")))</f>
        <v/>
      </c>
      <c r="U67" s="38"/>
      <c r="V67" s="40"/>
      <c r="W67" s="38"/>
      <c r="X67" s="40"/>
      <c r="Y67" s="38"/>
      <c r="Z67" s="38"/>
      <c r="AA67" s="40"/>
      <c r="AB67" s="43"/>
      <c r="AC67" s="45"/>
      <c r="AD67" s="46" t="str">
        <f aca="false">IF(ISNUMBER($AB67),$AB67*(1+N($AC67)),"")</f>
        <v/>
      </c>
      <c r="AE67" s="43"/>
      <c r="AF67" s="43"/>
      <c r="AG67" s="45"/>
      <c r="AH67" s="47" t="str">
        <f aca="false">IF(ISNUMBER($AD67),($AD67+$AE67+$AF67)*$AG67,"")</f>
        <v/>
      </c>
      <c r="AI67" s="43"/>
      <c r="AJ67" s="46" t="str">
        <f aca="false">IF(ISNUMBER($AD67),SUM($AD67:$AH67),"")</f>
        <v/>
      </c>
      <c r="AK67" s="48" t="str">
        <f aca="false">IF(AND(ISNUMBER($AB67),ISNUMBER($AD67)),IF($AB67&gt;0,$AD67/$AB67,""),"")</f>
        <v/>
      </c>
      <c r="AL67" s="40"/>
      <c r="AM67" s="49" t="str">
        <f aca="false">IF(ISNUMBER($AD67),Header!$I$3,"")</f>
        <v/>
      </c>
      <c r="AN67" s="47" t="str">
        <f aca="false">IF(ISNUMBER($AD67),$AO67+$AP67,"")</f>
        <v/>
      </c>
      <c r="AO67" s="47" t="str">
        <f aca="false">IF(ISNUMBER($AD67),ROUND($AD67*Header!$K$3,2),"")</f>
        <v/>
      </c>
      <c r="AP67" s="47" t="str">
        <f aca="false">IF(ISNUMBER($AD67),ROUND($AD67*Header!$M$3,2),"")</f>
        <v/>
      </c>
      <c r="AQ67" s="46" t="str">
        <f aca="false">IF(ISNUMBER($AD67),ROUND($AD67,2)-$AO67-$AP67,"")</f>
        <v/>
      </c>
      <c r="AR67" s="47" t="str">
        <f aca="false">IF(ISNUMBER($AD67),IF(Header!$D$34="","?",$AD67*Header!$D$34),"")</f>
        <v/>
      </c>
      <c r="AS67" s="47" t="str">
        <f aca="false">IF(ISNUMBER($AB67),IF(Header!$D$34="","?",$AB67*Header!$D$34),"")</f>
        <v/>
      </c>
      <c r="AT67" s="50" t="str">
        <f aca="false">IF(AND(ISNUMBER($AB67),$M67&gt;0),$AB67/$M67*100,"")</f>
        <v/>
      </c>
      <c r="AU67" s="50" t="str">
        <f aca="false">IF(AND(ISNUMBER($AD67),$M67&gt;0),$AD67/$M67*100,"")</f>
        <v/>
      </c>
      <c r="AV67" s="48" t="str">
        <f aca="false">IF(AND(ISNUMBER($AB67),ISNUMBER($AD67),ABS($AB67)&gt;0),$AD67/$AB67,"")</f>
        <v/>
      </c>
      <c r="AW67" s="47" t="str">
        <f aca="false">IF(ISNUMBER($AD67),MAX(0,(1-0.55-Header!$O$3)*Header!$Q$3*$AQ67),"")</f>
        <v/>
      </c>
      <c r="AX67" s="51" t="str">
        <f aca="false">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v/>
      </c>
      <c r="AY67" s="52" t="str">
        <f aca="false">IF($M67="","",IF(ISNUMBER($M67),IF($M67&gt;=Header!$C$18,"YES — refer","No"),""))</f>
        <v/>
      </c>
      <c r="AZ67" s="52" t="str">
        <f aca="false">IF($AD67="","",IF(ISNUMBER($AD67),IF($AD67&lt;Header!$C$20,"BELOW MIN PREMIUM","OK"),""))</f>
        <v/>
      </c>
      <c r="BA67" s="40"/>
      <c r="BB67" s="40"/>
      <c r="BC67" s="38"/>
      <c r="BE67" s="53" t="str">
        <f aca="false">IF(OR($A67="",$L67="",$H67=""),"",IF(AND(LEFT($L67,2)="06",$H67&gt;1945),"FAIL - pre-war class, year "&amp;$H67,IF(AND(LEFT($L67,2)="07",OR($H67&lt;1946,$H67&gt;1972)),"FAIL - 1946-72 class, year "&amp;$H67,IF(AND(LEFT($L67,2)="08",OR($H67&lt;1973,$H67&gt;1999)),"FAIL - 1973-99 class, year "&amp;$H67,IF(AND(LEFT($L67,2)="09",OR($H67&lt;2000,$H67&gt;2010)),"FAIL - 2000-10 class, year "&amp;$H67,"OK")))))</f>
        <v/>
      </c>
      <c r="BF67" s="53" t="str">
        <f aca="false">IF($AD67="","",IF(ROUND($AO67+$AP67+$AQ67-$AD67,2)=0,"OK","FAIL - out by "&amp;TEXT($AO67+$AP67+$AQ67-$AD67,"$0.00")))</f>
        <v/>
      </c>
    </row>
    <row r="68" customFormat="false" ht="15" hidden="false" customHeight="true" outlineLevel="0" collapsed="false">
      <c r="A68" s="54"/>
      <c r="B68" s="54"/>
      <c r="C68" s="55"/>
      <c r="D68" s="56"/>
      <c r="E68" s="56"/>
      <c r="F68" s="54"/>
      <c r="G68" s="41" t="str">
        <f aca="false">IF($A68="","",IF($C68="","",YEAR($C68)))</f>
        <v/>
      </c>
      <c r="H68" s="57"/>
      <c r="I68" s="54"/>
      <c r="J68" s="54"/>
      <c r="K68" s="54"/>
      <c r="L68" s="56"/>
      <c r="M68" s="58"/>
      <c r="N68" s="56"/>
      <c r="O68" s="54"/>
      <c r="P68" s="54"/>
      <c r="Q68" s="54"/>
      <c r="R68" s="54"/>
      <c r="S68" s="56"/>
      <c r="T68" s="44" t="str">
        <f aca="false">IF($A68="","",IF($S68="","",IFERROR(INDEX(Lists!$N$5:$N$16,MATCH($S68,Lists!$M$5:$M$16,0)),"?")))</f>
        <v/>
      </c>
      <c r="U68" s="54"/>
      <c r="V68" s="56"/>
      <c r="W68" s="54"/>
      <c r="X68" s="56"/>
      <c r="Y68" s="54"/>
      <c r="Z68" s="54"/>
      <c r="AA68" s="56"/>
      <c r="AB68" s="58"/>
      <c r="AC68" s="59"/>
      <c r="AD68" s="46" t="str">
        <f aca="false">IF(ISNUMBER($AB68),$AB68*(1+N($AC68)),"")</f>
        <v/>
      </c>
      <c r="AE68" s="58"/>
      <c r="AF68" s="58"/>
      <c r="AG68" s="59"/>
      <c r="AH68" s="47" t="str">
        <f aca="false">IF(ISNUMBER($AD68),($AD68+$AE68+$AF68)*$AG68,"")</f>
        <v/>
      </c>
      <c r="AI68" s="58"/>
      <c r="AJ68" s="46" t="str">
        <f aca="false">IF(ISNUMBER($AD68),SUM($AD68:$AH68),"")</f>
        <v/>
      </c>
      <c r="AK68" s="48" t="str">
        <f aca="false">IF(AND(ISNUMBER($AB68),ISNUMBER($AD68)),IF($AB68&gt;0,$AD68/$AB68,""),"")</f>
        <v/>
      </c>
      <c r="AL68" s="56"/>
      <c r="AM68" s="49" t="str">
        <f aca="false">IF(ISNUMBER($AD68),Header!$I$3,"")</f>
        <v/>
      </c>
      <c r="AN68" s="47" t="str">
        <f aca="false">IF(ISNUMBER($AD68),$AO68+$AP68,"")</f>
        <v/>
      </c>
      <c r="AO68" s="47" t="str">
        <f aca="false">IF(ISNUMBER($AD68),ROUND($AD68*Header!$K$3,2),"")</f>
        <v/>
      </c>
      <c r="AP68" s="47" t="str">
        <f aca="false">IF(ISNUMBER($AD68),ROUND($AD68*Header!$M$3,2),"")</f>
        <v/>
      </c>
      <c r="AQ68" s="46" t="str">
        <f aca="false">IF(ISNUMBER($AD68),ROUND($AD68,2)-$AO68-$AP68,"")</f>
        <v/>
      </c>
      <c r="AR68" s="47" t="str">
        <f aca="false">IF(ISNUMBER($AD68),IF(Header!$D$34="","?",$AD68*Header!$D$34),"")</f>
        <v/>
      </c>
      <c r="AS68" s="47" t="str">
        <f aca="false">IF(ISNUMBER($AB68),IF(Header!$D$34="","?",$AB68*Header!$D$34),"")</f>
        <v/>
      </c>
      <c r="AT68" s="50" t="str">
        <f aca="false">IF(AND(ISNUMBER($AB68),$M68&gt;0),$AB68/$M68*100,"")</f>
        <v/>
      </c>
      <c r="AU68" s="50" t="str">
        <f aca="false">IF(AND(ISNUMBER($AD68),$M68&gt;0),$AD68/$M68*100,"")</f>
        <v/>
      </c>
      <c r="AV68" s="48" t="str">
        <f aca="false">IF(AND(ISNUMBER($AB68),ISNUMBER($AD68),ABS($AB68)&gt;0),$AD68/$AB68,"")</f>
        <v/>
      </c>
      <c r="AW68" s="47" t="str">
        <f aca="false">IF(ISNUMBER($AD68),MAX(0,(1-0.55-Header!$O$3)*Header!$Q$3*$AQ68),"")</f>
        <v/>
      </c>
      <c r="AX68" s="51" t="str">
        <f aca="false">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v/>
      </c>
      <c r="AY68" s="52" t="str">
        <f aca="false">IF($M68="","",IF(ISNUMBER($M68),IF($M68&gt;=Header!$C$18,"YES — refer","No"),""))</f>
        <v/>
      </c>
      <c r="AZ68" s="52" t="str">
        <f aca="false">IF($AD68="","",IF(ISNUMBER($AD68),IF($AD68&lt;Header!$C$20,"BELOW MIN PREMIUM","OK"),""))</f>
        <v/>
      </c>
      <c r="BA68" s="56"/>
      <c r="BB68" s="56"/>
      <c r="BC68" s="54"/>
      <c r="BE68" s="53" t="str">
        <f aca="false">IF(OR($A68="",$L68="",$H68=""),"",IF(AND(LEFT($L68,2)="06",$H68&gt;1945),"FAIL - pre-war class, year "&amp;$H68,IF(AND(LEFT($L68,2)="07",OR($H68&lt;1946,$H68&gt;1972)),"FAIL - 1946-72 class, year "&amp;$H68,IF(AND(LEFT($L68,2)="08",OR($H68&lt;1973,$H68&gt;1999)),"FAIL - 1973-99 class, year "&amp;$H68,IF(AND(LEFT($L68,2)="09",OR($H68&lt;2000,$H68&gt;2010)),"FAIL - 2000-10 class, year "&amp;$H68,"OK")))))</f>
        <v/>
      </c>
      <c r="BF68" s="53" t="str">
        <f aca="false">IF($AD68="","",IF(ROUND($AO68+$AP68+$AQ68-$AD68,2)=0,"OK","FAIL - out by "&amp;TEXT($AO68+$AP68+$AQ68-$AD68,"$0.00")))</f>
        <v/>
      </c>
    </row>
    <row r="69" customFormat="false" ht="15" hidden="false" customHeight="true" outlineLevel="0" collapsed="false">
      <c r="A69" s="38"/>
      <c r="B69" s="38"/>
      <c r="C69" s="39"/>
      <c r="D69" s="40"/>
      <c r="E69" s="40"/>
      <c r="F69" s="38"/>
      <c r="G69" s="41" t="str">
        <f aca="false">IF($A69="","",IF($C69="","",YEAR($C69)))</f>
        <v/>
      </c>
      <c r="H69" s="42"/>
      <c r="I69" s="38"/>
      <c r="J69" s="38"/>
      <c r="K69" s="38"/>
      <c r="L69" s="40"/>
      <c r="M69" s="43"/>
      <c r="N69" s="40"/>
      <c r="O69" s="38"/>
      <c r="P69" s="38"/>
      <c r="Q69" s="38"/>
      <c r="R69" s="38"/>
      <c r="S69" s="40"/>
      <c r="T69" s="44" t="str">
        <f aca="false">IF($A69="","",IF($S69="","",IFERROR(INDEX(Lists!$N$5:$N$16,MATCH($S69,Lists!$M$5:$M$16,0)),"?")))</f>
        <v/>
      </c>
      <c r="U69" s="38"/>
      <c r="V69" s="40"/>
      <c r="W69" s="38"/>
      <c r="X69" s="40"/>
      <c r="Y69" s="38"/>
      <c r="Z69" s="38"/>
      <c r="AA69" s="40"/>
      <c r="AB69" s="43"/>
      <c r="AC69" s="45"/>
      <c r="AD69" s="46" t="str">
        <f aca="false">IF(ISNUMBER($AB69),$AB69*(1+N($AC69)),"")</f>
        <v/>
      </c>
      <c r="AE69" s="43"/>
      <c r="AF69" s="43"/>
      <c r="AG69" s="45"/>
      <c r="AH69" s="47" t="str">
        <f aca="false">IF(ISNUMBER($AD69),($AD69+$AE69+$AF69)*$AG69,"")</f>
        <v/>
      </c>
      <c r="AI69" s="43"/>
      <c r="AJ69" s="46" t="str">
        <f aca="false">IF(ISNUMBER($AD69),SUM($AD69:$AH69),"")</f>
        <v/>
      </c>
      <c r="AK69" s="48" t="str">
        <f aca="false">IF(AND(ISNUMBER($AB69),ISNUMBER($AD69)),IF($AB69&gt;0,$AD69/$AB69,""),"")</f>
        <v/>
      </c>
      <c r="AL69" s="40"/>
      <c r="AM69" s="49" t="str">
        <f aca="false">IF(ISNUMBER($AD69),Header!$I$3,"")</f>
        <v/>
      </c>
      <c r="AN69" s="47" t="str">
        <f aca="false">IF(ISNUMBER($AD69),$AO69+$AP69,"")</f>
        <v/>
      </c>
      <c r="AO69" s="47" t="str">
        <f aca="false">IF(ISNUMBER($AD69),ROUND($AD69*Header!$K$3,2),"")</f>
        <v/>
      </c>
      <c r="AP69" s="47" t="str">
        <f aca="false">IF(ISNUMBER($AD69),ROUND($AD69*Header!$M$3,2),"")</f>
        <v/>
      </c>
      <c r="AQ69" s="46" t="str">
        <f aca="false">IF(ISNUMBER($AD69),ROUND($AD69,2)-$AO69-$AP69,"")</f>
        <v/>
      </c>
      <c r="AR69" s="47" t="str">
        <f aca="false">IF(ISNUMBER($AD69),IF(Header!$D$34="","?",$AD69*Header!$D$34),"")</f>
        <v/>
      </c>
      <c r="AS69" s="47" t="str">
        <f aca="false">IF(ISNUMBER($AB69),IF(Header!$D$34="","?",$AB69*Header!$D$34),"")</f>
        <v/>
      </c>
      <c r="AT69" s="50" t="str">
        <f aca="false">IF(AND(ISNUMBER($AB69),$M69&gt;0),$AB69/$M69*100,"")</f>
        <v/>
      </c>
      <c r="AU69" s="50" t="str">
        <f aca="false">IF(AND(ISNUMBER($AD69),$M69&gt;0),$AD69/$M69*100,"")</f>
        <v/>
      </c>
      <c r="AV69" s="48" t="str">
        <f aca="false">IF(AND(ISNUMBER($AB69),ISNUMBER($AD69),ABS($AB69)&gt;0),$AD69/$AB69,"")</f>
        <v/>
      </c>
      <c r="AW69" s="47" t="str">
        <f aca="false">IF(ISNUMBER($AD69),MAX(0,(1-0.55-Header!$O$3)*Header!$Q$3*$AQ69),"")</f>
        <v/>
      </c>
      <c r="AX69" s="51" t="str">
        <f aca="false">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v/>
      </c>
      <c r="AY69" s="52" t="str">
        <f aca="false">IF($M69="","",IF(ISNUMBER($M69),IF($M69&gt;=Header!$C$18,"YES — refer","No"),""))</f>
        <v/>
      </c>
      <c r="AZ69" s="52" t="str">
        <f aca="false">IF($AD69="","",IF(ISNUMBER($AD69),IF($AD69&lt;Header!$C$20,"BELOW MIN PREMIUM","OK"),""))</f>
        <v/>
      </c>
      <c r="BA69" s="40"/>
      <c r="BB69" s="40"/>
      <c r="BC69" s="38"/>
      <c r="BE69" s="53" t="str">
        <f aca="false">IF(OR($A69="",$L69="",$H69=""),"",IF(AND(LEFT($L69,2)="06",$H69&gt;1945),"FAIL - pre-war class, year "&amp;$H69,IF(AND(LEFT($L69,2)="07",OR($H69&lt;1946,$H69&gt;1972)),"FAIL - 1946-72 class, year "&amp;$H69,IF(AND(LEFT($L69,2)="08",OR($H69&lt;1973,$H69&gt;1999)),"FAIL - 1973-99 class, year "&amp;$H69,IF(AND(LEFT($L69,2)="09",OR($H69&lt;2000,$H69&gt;2010)),"FAIL - 2000-10 class, year "&amp;$H69,"OK")))))</f>
        <v/>
      </c>
      <c r="BF69" s="53" t="str">
        <f aca="false">IF($AD69="","",IF(ROUND($AO69+$AP69+$AQ69-$AD69,2)=0,"OK","FAIL - out by "&amp;TEXT($AO69+$AP69+$AQ69-$AD69,"$0.00")))</f>
        <v/>
      </c>
    </row>
    <row r="70" customFormat="false" ht="15" hidden="false" customHeight="true" outlineLevel="0" collapsed="false">
      <c r="A70" s="54"/>
      <c r="B70" s="54"/>
      <c r="C70" s="55"/>
      <c r="D70" s="56"/>
      <c r="E70" s="56"/>
      <c r="F70" s="54"/>
      <c r="G70" s="41" t="str">
        <f aca="false">IF($A70="","",IF($C70="","",YEAR($C70)))</f>
        <v/>
      </c>
      <c r="H70" s="57"/>
      <c r="I70" s="54"/>
      <c r="J70" s="54"/>
      <c r="K70" s="54"/>
      <c r="L70" s="56"/>
      <c r="M70" s="58"/>
      <c r="N70" s="56"/>
      <c r="O70" s="54"/>
      <c r="P70" s="54"/>
      <c r="Q70" s="54"/>
      <c r="R70" s="54"/>
      <c r="S70" s="56"/>
      <c r="T70" s="44" t="str">
        <f aca="false">IF($A70="","",IF($S70="","",IFERROR(INDEX(Lists!$N$5:$N$16,MATCH($S70,Lists!$M$5:$M$16,0)),"?")))</f>
        <v/>
      </c>
      <c r="U70" s="54"/>
      <c r="V70" s="56"/>
      <c r="W70" s="54"/>
      <c r="X70" s="56"/>
      <c r="Y70" s="54"/>
      <c r="Z70" s="54"/>
      <c r="AA70" s="56"/>
      <c r="AB70" s="58"/>
      <c r="AC70" s="59"/>
      <c r="AD70" s="46" t="str">
        <f aca="false">IF(ISNUMBER($AB70),$AB70*(1+N($AC70)),"")</f>
        <v/>
      </c>
      <c r="AE70" s="58"/>
      <c r="AF70" s="58"/>
      <c r="AG70" s="59"/>
      <c r="AH70" s="47" t="str">
        <f aca="false">IF(ISNUMBER($AD70),($AD70+$AE70+$AF70)*$AG70,"")</f>
        <v/>
      </c>
      <c r="AI70" s="58"/>
      <c r="AJ70" s="46" t="str">
        <f aca="false">IF(ISNUMBER($AD70),SUM($AD70:$AH70),"")</f>
        <v/>
      </c>
      <c r="AK70" s="48" t="str">
        <f aca="false">IF(AND(ISNUMBER($AB70),ISNUMBER($AD70)),IF($AB70&gt;0,$AD70/$AB70,""),"")</f>
        <v/>
      </c>
      <c r="AL70" s="56"/>
      <c r="AM70" s="49" t="str">
        <f aca="false">IF(ISNUMBER($AD70),Header!$I$3,"")</f>
        <v/>
      </c>
      <c r="AN70" s="47" t="str">
        <f aca="false">IF(ISNUMBER($AD70),$AO70+$AP70,"")</f>
        <v/>
      </c>
      <c r="AO70" s="47" t="str">
        <f aca="false">IF(ISNUMBER($AD70),ROUND($AD70*Header!$K$3,2),"")</f>
        <v/>
      </c>
      <c r="AP70" s="47" t="str">
        <f aca="false">IF(ISNUMBER($AD70),ROUND($AD70*Header!$M$3,2),"")</f>
        <v/>
      </c>
      <c r="AQ70" s="46" t="str">
        <f aca="false">IF(ISNUMBER($AD70),ROUND($AD70,2)-$AO70-$AP70,"")</f>
        <v/>
      </c>
      <c r="AR70" s="47" t="str">
        <f aca="false">IF(ISNUMBER($AD70),IF(Header!$D$34="","?",$AD70*Header!$D$34),"")</f>
        <v/>
      </c>
      <c r="AS70" s="47" t="str">
        <f aca="false">IF(ISNUMBER($AB70),IF(Header!$D$34="","?",$AB70*Header!$D$34),"")</f>
        <v/>
      </c>
      <c r="AT70" s="50" t="str">
        <f aca="false">IF(AND(ISNUMBER($AB70),$M70&gt;0),$AB70/$M70*100,"")</f>
        <v/>
      </c>
      <c r="AU70" s="50" t="str">
        <f aca="false">IF(AND(ISNUMBER($AD70),$M70&gt;0),$AD70/$M70*100,"")</f>
        <v/>
      </c>
      <c r="AV70" s="48" t="str">
        <f aca="false">IF(AND(ISNUMBER($AB70),ISNUMBER($AD70),ABS($AB70)&gt;0),$AD70/$AB70,"")</f>
        <v/>
      </c>
      <c r="AW70" s="47" t="str">
        <f aca="false">IF(ISNUMBER($AD70),MAX(0,(1-0.55-Header!$O$3)*Header!$Q$3*$AQ70),"")</f>
        <v/>
      </c>
      <c r="AX70" s="51" t="str">
        <f aca="false">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v/>
      </c>
      <c r="AY70" s="52" t="str">
        <f aca="false">IF($M70="","",IF(ISNUMBER($M70),IF($M70&gt;=Header!$C$18,"YES — refer","No"),""))</f>
        <v/>
      </c>
      <c r="AZ70" s="52" t="str">
        <f aca="false">IF($AD70="","",IF(ISNUMBER($AD70),IF($AD70&lt;Header!$C$20,"BELOW MIN PREMIUM","OK"),""))</f>
        <v/>
      </c>
      <c r="BA70" s="56"/>
      <c r="BB70" s="56"/>
      <c r="BC70" s="54"/>
      <c r="BE70" s="53" t="str">
        <f aca="false">IF(OR($A70="",$L70="",$H70=""),"",IF(AND(LEFT($L70,2)="06",$H70&gt;1945),"FAIL - pre-war class, year "&amp;$H70,IF(AND(LEFT($L70,2)="07",OR($H70&lt;1946,$H70&gt;1972)),"FAIL - 1946-72 class, year "&amp;$H70,IF(AND(LEFT($L70,2)="08",OR($H70&lt;1973,$H70&gt;1999)),"FAIL - 1973-99 class, year "&amp;$H70,IF(AND(LEFT($L70,2)="09",OR($H70&lt;2000,$H70&gt;2010)),"FAIL - 2000-10 class, year "&amp;$H70,"OK")))))</f>
        <v/>
      </c>
      <c r="BF70" s="53" t="str">
        <f aca="false">IF($AD70="","",IF(ROUND($AO70+$AP70+$AQ70-$AD70,2)=0,"OK","FAIL - out by "&amp;TEXT($AO70+$AP70+$AQ70-$AD70,"$0.00")))</f>
        <v/>
      </c>
    </row>
    <row r="71" customFormat="false" ht="15" hidden="false" customHeight="true" outlineLevel="0" collapsed="false">
      <c r="A71" s="38"/>
      <c r="B71" s="38"/>
      <c r="C71" s="39"/>
      <c r="D71" s="40"/>
      <c r="E71" s="40"/>
      <c r="F71" s="38"/>
      <c r="G71" s="41" t="str">
        <f aca="false">IF($A71="","",IF($C71="","",YEAR($C71)))</f>
        <v/>
      </c>
      <c r="H71" s="42"/>
      <c r="I71" s="38"/>
      <c r="J71" s="38"/>
      <c r="K71" s="38"/>
      <c r="L71" s="40"/>
      <c r="M71" s="43"/>
      <c r="N71" s="40"/>
      <c r="O71" s="38"/>
      <c r="P71" s="38"/>
      <c r="Q71" s="38"/>
      <c r="R71" s="38"/>
      <c r="S71" s="40"/>
      <c r="T71" s="44" t="str">
        <f aca="false">IF($A71="","",IF($S71="","",IFERROR(INDEX(Lists!$N$5:$N$16,MATCH($S71,Lists!$M$5:$M$16,0)),"?")))</f>
        <v/>
      </c>
      <c r="U71" s="38"/>
      <c r="V71" s="40"/>
      <c r="W71" s="38"/>
      <c r="X71" s="40"/>
      <c r="Y71" s="38"/>
      <c r="Z71" s="38"/>
      <c r="AA71" s="40"/>
      <c r="AB71" s="43"/>
      <c r="AC71" s="45"/>
      <c r="AD71" s="46" t="str">
        <f aca="false">IF(ISNUMBER($AB71),$AB71*(1+N($AC71)),"")</f>
        <v/>
      </c>
      <c r="AE71" s="43"/>
      <c r="AF71" s="43"/>
      <c r="AG71" s="45"/>
      <c r="AH71" s="47" t="str">
        <f aca="false">IF(ISNUMBER($AD71),($AD71+$AE71+$AF71)*$AG71,"")</f>
        <v/>
      </c>
      <c r="AI71" s="43"/>
      <c r="AJ71" s="46" t="str">
        <f aca="false">IF(ISNUMBER($AD71),SUM($AD71:$AH71),"")</f>
        <v/>
      </c>
      <c r="AK71" s="48" t="str">
        <f aca="false">IF(AND(ISNUMBER($AB71),ISNUMBER($AD71)),IF($AB71&gt;0,$AD71/$AB71,""),"")</f>
        <v/>
      </c>
      <c r="AL71" s="40"/>
      <c r="AM71" s="49" t="str">
        <f aca="false">IF(ISNUMBER($AD71),Header!$I$3,"")</f>
        <v/>
      </c>
      <c r="AN71" s="47" t="str">
        <f aca="false">IF(ISNUMBER($AD71),$AO71+$AP71,"")</f>
        <v/>
      </c>
      <c r="AO71" s="47" t="str">
        <f aca="false">IF(ISNUMBER($AD71),ROUND($AD71*Header!$K$3,2),"")</f>
        <v/>
      </c>
      <c r="AP71" s="47" t="str">
        <f aca="false">IF(ISNUMBER($AD71),ROUND($AD71*Header!$M$3,2),"")</f>
        <v/>
      </c>
      <c r="AQ71" s="46" t="str">
        <f aca="false">IF(ISNUMBER($AD71),ROUND($AD71,2)-$AO71-$AP71,"")</f>
        <v/>
      </c>
      <c r="AR71" s="47" t="str">
        <f aca="false">IF(ISNUMBER($AD71),IF(Header!$D$34="","?",$AD71*Header!$D$34),"")</f>
        <v/>
      </c>
      <c r="AS71" s="47" t="str">
        <f aca="false">IF(ISNUMBER($AB71),IF(Header!$D$34="","?",$AB71*Header!$D$34),"")</f>
        <v/>
      </c>
      <c r="AT71" s="50" t="str">
        <f aca="false">IF(AND(ISNUMBER($AB71),$M71&gt;0),$AB71/$M71*100,"")</f>
        <v/>
      </c>
      <c r="AU71" s="50" t="str">
        <f aca="false">IF(AND(ISNUMBER($AD71),$M71&gt;0),$AD71/$M71*100,"")</f>
        <v/>
      </c>
      <c r="AV71" s="48" t="str">
        <f aca="false">IF(AND(ISNUMBER($AB71),ISNUMBER($AD71),ABS($AB71)&gt;0),$AD71/$AB71,"")</f>
        <v/>
      </c>
      <c r="AW71" s="47" t="str">
        <f aca="false">IF(ISNUMBER($AD71),MAX(0,(1-0.55-Header!$O$3)*Header!$Q$3*$AQ71),"")</f>
        <v/>
      </c>
      <c r="AX71" s="51" t="str">
        <f aca="false">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v/>
      </c>
      <c r="AY71" s="52" t="str">
        <f aca="false">IF($M71="","",IF(ISNUMBER($M71),IF($M71&gt;=Header!$C$18,"YES — refer","No"),""))</f>
        <v/>
      </c>
      <c r="AZ71" s="52" t="str">
        <f aca="false">IF($AD71="","",IF(ISNUMBER($AD71),IF($AD71&lt;Header!$C$20,"BELOW MIN PREMIUM","OK"),""))</f>
        <v/>
      </c>
      <c r="BA71" s="40"/>
      <c r="BB71" s="40"/>
      <c r="BC71" s="38"/>
      <c r="BE71" s="53" t="str">
        <f aca="false">IF(OR($A71="",$L71="",$H71=""),"",IF(AND(LEFT($L71,2)="06",$H71&gt;1945),"FAIL - pre-war class, year "&amp;$H71,IF(AND(LEFT($L71,2)="07",OR($H71&lt;1946,$H71&gt;1972)),"FAIL - 1946-72 class, year "&amp;$H71,IF(AND(LEFT($L71,2)="08",OR($H71&lt;1973,$H71&gt;1999)),"FAIL - 1973-99 class, year "&amp;$H71,IF(AND(LEFT($L71,2)="09",OR($H71&lt;2000,$H71&gt;2010)),"FAIL - 2000-10 class, year "&amp;$H71,"OK")))))</f>
        <v/>
      </c>
      <c r="BF71" s="53" t="str">
        <f aca="false">IF($AD71="","",IF(ROUND($AO71+$AP71+$AQ71-$AD71,2)=0,"OK","FAIL - out by "&amp;TEXT($AO71+$AP71+$AQ71-$AD71,"$0.00")))</f>
        <v/>
      </c>
    </row>
    <row r="72" customFormat="false" ht="15" hidden="false" customHeight="true" outlineLevel="0" collapsed="false">
      <c r="A72" s="54"/>
      <c r="B72" s="54"/>
      <c r="C72" s="55"/>
      <c r="D72" s="56"/>
      <c r="E72" s="56"/>
      <c r="F72" s="54"/>
      <c r="G72" s="41" t="str">
        <f aca="false">IF($A72="","",IF($C72="","",YEAR($C72)))</f>
        <v/>
      </c>
      <c r="H72" s="57"/>
      <c r="I72" s="54"/>
      <c r="J72" s="54"/>
      <c r="K72" s="54"/>
      <c r="L72" s="56"/>
      <c r="M72" s="58"/>
      <c r="N72" s="56"/>
      <c r="O72" s="54"/>
      <c r="P72" s="54"/>
      <c r="Q72" s="54"/>
      <c r="R72" s="54"/>
      <c r="S72" s="56"/>
      <c r="T72" s="44" t="str">
        <f aca="false">IF($A72="","",IF($S72="","",IFERROR(INDEX(Lists!$N$5:$N$16,MATCH($S72,Lists!$M$5:$M$16,0)),"?")))</f>
        <v/>
      </c>
      <c r="U72" s="54"/>
      <c r="V72" s="56"/>
      <c r="W72" s="54"/>
      <c r="X72" s="56"/>
      <c r="Y72" s="54"/>
      <c r="Z72" s="54"/>
      <c r="AA72" s="56"/>
      <c r="AB72" s="58"/>
      <c r="AC72" s="59"/>
      <c r="AD72" s="46" t="str">
        <f aca="false">IF(ISNUMBER($AB72),$AB72*(1+N($AC72)),"")</f>
        <v/>
      </c>
      <c r="AE72" s="58"/>
      <c r="AF72" s="58"/>
      <c r="AG72" s="59"/>
      <c r="AH72" s="47" t="str">
        <f aca="false">IF(ISNUMBER($AD72),($AD72+$AE72+$AF72)*$AG72,"")</f>
        <v/>
      </c>
      <c r="AI72" s="58"/>
      <c r="AJ72" s="46" t="str">
        <f aca="false">IF(ISNUMBER($AD72),SUM($AD72:$AH72),"")</f>
        <v/>
      </c>
      <c r="AK72" s="48" t="str">
        <f aca="false">IF(AND(ISNUMBER($AB72),ISNUMBER($AD72)),IF($AB72&gt;0,$AD72/$AB72,""),"")</f>
        <v/>
      </c>
      <c r="AL72" s="56"/>
      <c r="AM72" s="49" t="str">
        <f aca="false">IF(ISNUMBER($AD72),Header!$I$3,"")</f>
        <v/>
      </c>
      <c r="AN72" s="47" t="str">
        <f aca="false">IF(ISNUMBER($AD72),$AO72+$AP72,"")</f>
        <v/>
      </c>
      <c r="AO72" s="47" t="str">
        <f aca="false">IF(ISNUMBER($AD72),ROUND($AD72*Header!$K$3,2),"")</f>
        <v/>
      </c>
      <c r="AP72" s="47" t="str">
        <f aca="false">IF(ISNUMBER($AD72),ROUND($AD72*Header!$M$3,2),"")</f>
        <v/>
      </c>
      <c r="AQ72" s="46" t="str">
        <f aca="false">IF(ISNUMBER($AD72),ROUND($AD72,2)-$AO72-$AP72,"")</f>
        <v/>
      </c>
      <c r="AR72" s="47" t="str">
        <f aca="false">IF(ISNUMBER($AD72),IF(Header!$D$34="","?",$AD72*Header!$D$34),"")</f>
        <v/>
      </c>
      <c r="AS72" s="47" t="str">
        <f aca="false">IF(ISNUMBER($AB72),IF(Header!$D$34="","?",$AB72*Header!$D$34),"")</f>
        <v/>
      </c>
      <c r="AT72" s="50" t="str">
        <f aca="false">IF(AND(ISNUMBER($AB72),$M72&gt;0),$AB72/$M72*100,"")</f>
        <v/>
      </c>
      <c r="AU72" s="50" t="str">
        <f aca="false">IF(AND(ISNUMBER($AD72),$M72&gt;0),$AD72/$M72*100,"")</f>
        <v/>
      </c>
      <c r="AV72" s="48" t="str">
        <f aca="false">IF(AND(ISNUMBER($AB72),ISNUMBER($AD72),ABS($AB72)&gt;0),$AD72/$AB72,"")</f>
        <v/>
      </c>
      <c r="AW72" s="47" t="str">
        <f aca="false">IF(ISNUMBER($AD72),MAX(0,(1-0.55-Header!$O$3)*Header!$Q$3*$AQ72),"")</f>
        <v/>
      </c>
      <c r="AX72" s="51" t="str">
        <f aca="false">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v/>
      </c>
      <c r="AY72" s="52" t="str">
        <f aca="false">IF($M72="","",IF(ISNUMBER($M72),IF($M72&gt;=Header!$C$18,"YES — refer","No"),""))</f>
        <v/>
      </c>
      <c r="AZ72" s="52" t="str">
        <f aca="false">IF($AD72="","",IF(ISNUMBER($AD72),IF($AD72&lt;Header!$C$20,"BELOW MIN PREMIUM","OK"),""))</f>
        <v/>
      </c>
      <c r="BA72" s="56"/>
      <c r="BB72" s="56"/>
      <c r="BC72" s="54"/>
      <c r="BE72" s="53" t="str">
        <f aca="false">IF(OR($A72="",$L72="",$H72=""),"",IF(AND(LEFT($L72,2)="06",$H72&gt;1945),"FAIL - pre-war class, year "&amp;$H72,IF(AND(LEFT($L72,2)="07",OR($H72&lt;1946,$H72&gt;1972)),"FAIL - 1946-72 class, year "&amp;$H72,IF(AND(LEFT($L72,2)="08",OR($H72&lt;1973,$H72&gt;1999)),"FAIL - 1973-99 class, year "&amp;$H72,IF(AND(LEFT($L72,2)="09",OR($H72&lt;2000,$H72&gt;2010)),"FAIL - 2000-10 class, year "&amp;$H72,"OK")))))</f>
        <v/>
      </c>
      <c r="BF72" s="53" t="str">
        <f aca="false">IF($AD72="","",IF(ROUND($AO72+$AP72+$AQ72-$AD72,2)=0,"OK","FAIL - out by "&amp;TEXT($AO72+$AP72+$AQ72-$AD72,"$0.00")))</f>
        <v/>
      </c>
    </row>
    <row r="73" customFormat="false" ht="15" hidden="false" customHeight="true" outlineLevel="0" collapsed="false">
      <c r="A73" s="38"/>
      <c r="B73" s="38"/>
      <c r="C73" s="39"/>
      <c r="D73" s="40"/>
      <c r="E73" s="40"/>
      <c r="F73" s="38"/>
      <c r="G73" s="41" t="str">
        <f aca="false">IF($A73="","",IF($C73="","",YEAR($C73)))</f>
        <v/>
      </c>
      <c r="H73" s="42"/>
      <c r="I73" s="38"/>
      <c r="J73" s="38"/>
      <c r="K73" s="38"/>
      <c r="L73" s="40"/>
      <c r="M73" s="43"/>
      <c r="N73" s="40"/>
      <c r="O73" s="38"/>
      <c r="P73" s="38"/>
      <c r="Q73" s="38"/>
      <c r="R73" s="38"/>
      <c r="S73" s="40"/>
      <c r="T73" s="44" t="str">
        <f aca="false">IF($A73="","",IF($S73="","",IFERROR(INDEX(Lists!$N$5:$N$16,MATCH($S73,Lists!$M$5:$M$16,0)),"?")))</f>
        <v/>
      </c>
      <c r="U73" s="38"/>
      <c r="V73" s="40"/>
      <c r="W73" s="38"/>
      <c r="X73" s="40"/>
      <c r="Y73" s="38"/>
      <c r="Z73" s="38"/>
      <c r="AA73" s="40"/>
      <c r="AB73" s="43"/>
      <c r="AC73" s="45"/>
      <c r="AD73" s="46" t="str">
        <f aca="false">IF(ISNUMBER($AB73),$AB73*(1+N($AC73)),"")</f>
        <v/>
      </c>
      <c r="AE73" s="43"/>
      <c r="AF73" s="43"/>
      <c r="AG73" s="45"/>
      <c r="AH73" s="47" t="str">
        <f aca="false">IF(ISNUMBER($AD73),($AD73+$AE73+$AF73)*$AG73,"")</f>
        <v/>
      </c>
      <c r="AI73" s="43"/>
      <c r="AJ73" s="46" t="str">
        <f aca="false">IF(ISNUMBER($AD73),SUM($AD73:$AH73),"")</f>
        <v/>
      </c>
      <c r="AK73" s="48" t="str">
        <f aca="false">IF(AND(ISNUMBER($AB73),ISNUMBER($AD73)),IF($AB73&gt;0,$AD73/$AB73,""),"")</f>
        <v/>
      </c>
      <c r="AL73" s="40"/>
      <c r="AM73" s="49" t="str">
        <f aca="false">IF(ISNUMBER($AD73),Header!$I$3,"")</f>
        <v/>
      </c>
      <c r="AN73" s="47" t="str">
        <f aca="false">IF(ISNUMBER($AD73),$AO73+$AP73,"")</f>
        <v/>
      </c>
      <c r="AO73" s="47" t="str">
        <f aca="false">IF(ISNUMBER($AD73),ROUND($AD73*Header!$K$3,2),"")</f>
        <v/>
      </c>
      <c r="AP73" s="47" t="str">
        <f aca="false">IF(ISNUMBER($AD73),ROUND($AD73*Header!$M$3,2),"")</f>
        <v/>
      </c>
      <c r="AQ73" s="46" t="str">
        <f aca="false">IF(ISNUMBER($AD73),ROUND($AD73,2)-$AO73-$AP73,"")</f>
        <v/>
      </c>
      <c r="AR73" s="47" t="str">
        <f aca="false">IF(ISNUMBER($AD73),IF(Header!$D$34="","?",$AD73*Header!$D$34),"")</f>
        <v/>
      </c>
      <c r="AS73" s="47" t="str">
        <f aca="false">IF(ISNUMBER($AB73),IF(Header!$D$34="","?",$AB73*Header!$D$34),"")</f>
        <v/>
      </c>
      <c r="AT73" s="50" t="str">
        <f aca="false">IF(AND(ISNUMBER($AB73),$M73&gt;0),$AB73/$M73*100,"")</f>
        <v/>
      </c>
      <c r="AU73" s="50" t="str">
        <f aca="false">IF(AND(ISNUMBER($AD73),$M73&gt;0),$AD73/$M73*100,"")</f>
        <v/>
      </c>
      <c r="AV73" s="48" t="str">
        <f aca="false">IF(AND(ISNUMBER($AB73),ISNUMBER($AD73),ABS($AB73)&gt;0),$AD73/$AB73,"")</f>
        <v/>
      </c>
      <c r="AW73" s="47" t="str">
        <f aca="false">IF(ISNUMBER($AD73),MAX(0,(1-0.55-Header!$O$3)*Header!$Q$3*$AQ73),"")</f>
        <v/>
      </c>
      <c r="AX73" s="51" t="str">
        <f aca="false">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v/>
      </c>
      <c r="AY73" s="52" t="str">
        <f aca="false">IF($M73="","",IF(ISNUMBER($M73),IF($M73&gt;=Header!$C$18,"YES — refer","No"),""))</f>
        <v/>
      </c>
      <c r="AZ73" s="52" t="str">
        <f aca="false">IF($AD73="","",IF(ISNUMBER($AD73),IF($AD73&lt;Header!$C$20,"BELOW MIN PREMIUM","OK"),""))</f>
        <v/>
      </c>
      <c r="BA73" s="40"/>
      <c r="BB73" s="40"/>
      <c r="BC73" s="38"/>
      <c r="BE73" s="53" t="str">
        <f aca="false">IF(OR($A73="",$L73="",$H73=""),"",IF(AND(LEFT($L73,2)="06",$H73&gt;1945),"FAIL - pre-war class, year "&amp;$H73,IF(AND(LEFT($L73,2)="07",OR($H73&lt;1946,$H73&gt;1972)),"FAIL - 1946-72 class, year "&amp;$H73,IF(AND(LEFT($L73,2)="08",OR($H73&lt;1973,$H73&gt;1999)),"FAIL - 1973-99 class, year "&amp;$H73,IF(AND(LEFT($L73,2)="09",OR($H73&lt;2000,$H73&gt;2010)),"FAIL - 2000-10 class, year "&amp;$H73,"OK")))))</f>
        <v/>
      </c>
      <c r="BF73" s="53" t="str">
        <f aca="false">IF($AD73="","",IF(ROUND($AO73+$AP73+$AQ73-$AD73,2)=0,"OK","FAIL - out by "&amp;TEXT($AO73+$AP73+$AQ73-$AD73,"$0.00")))</f>
        <v/>
      </c>
    </row>
    <row r="74" customFormat="false" ht="15" hidden="false" customHeight="true" outlineLevel="0" collapsed="false">
      <c r="A74" s="54"/>
      <c r="B74" s="54"/>
      <c r="C74" s="55"/>
      <c r="D74" s="56"/>
      <c r="E74" s="56"/>
      <c r="F74" s="54"/>
      <c r="G74" s="41" t="str">
        <f aca="false">IF($A74="","",IF($C74="","",YEAR($C74)))</f>
        <v/>
      </c>
      <c r="H74" s="57"/>
      <c r="I74" s="54"/>
      <c r="J74" s="54"/>
      <c r="K74" s="54"/>
      <c r="L74" s="56"/>
      <c r="M74" s="58"/>
      <c r="N74" s="56"/>
      <c r="O74" s="54"/>
      <c r="P74" s="54"/>
      <c r="Q74" s="54"/>
      <c r="R74" s="54"/>
      <c r="S74" s="56"/>
      <c r="T74" s="44" t="str">
        <f aca="false">IF($A74="","",IF($S74="","",IFERROR(INDEX(Lists!$N$5:$N$16,MATCH($S74,Lists!$M$5:$M$16,0)),"?")))</f>
        <v/>
      </c>
      <c r="U74" s="54"/>
      <c r="V74" s="56"/>
      <c r="W74" s="54"/>
      <c r="X74" s="56"/>
      <c r="Y74" s="54"/>
      <c r="Z74" s="54"/>
      <c r="AA74" s="56"/>
      <c r="AB74" s="58"/>
      <c r="AC74" s="59"/>
      <c r="AD74" s="46" t="str">
        <f aca="false">IF(ISNUMBER($AB74),$AB74*(1+N($AC74)),"")</f>
        <v/>
      </c>
      <c r="AE74" s="58"/>
      <c r="AF74" s="58"/>
      <c r="AG74" s="59"/>
      <c r="AH74" s="47" t="str">
        <f aca="false">IF(ISNUMBER($AD74),($AD74+$AE74+$AF74)*$AG74,"")</f>
        <v/>
      </c>
      <c r="AI74" s="58"/>
      <c r="AJ74" s="46" t="str">
        <f aca="false">IF(ISNUMBER($AD74),SUM($AD74:$AH74),"")</f>
        <v/>
      </c>
      <c r="AK74" s="48" t="str">
        <f aca="false">IF(AND(ISNUMBER($AB74),ISNUMBER($AD74)),IF($AB74&gt;0,$AD74/$AB74,""),"")</f>
        <v/>
      </c>
      <c r="AL74" s="56"/>
      <c r="AM74" s="49" t="str">
        <f aca="false">IF(ISNUMBER($AD74),Header!$I$3,"")</f>
        <v/>
      </c>
      <c r="AN74" s="47" t="str">
        <f aca="false">IF(ISNUMBER($AD74),$AO74+$AP74,"")</f>
        <v/>
      </c>
      <c r="AO74" s="47" t="str">
        <f aca="false">IF(ISNUMBER($AD74),ROUND($AD74*Header!$K$3,2),"")</f>
        <v/>
      </c>
      <c r="AP74" s="47" t="str">
        <f aca="false">IF(ISNUMBER($AD74),ROUND($AD74*Header!$M$3,2),"")</f>
        <v/>
      </c>
      <c r="AQ74" s="46" t="str">
        <f aca="false">IF(ISNUMBER($AD74),ROUND($AD74,2)-$AO74-$AP74,"")</f>
        <v/>
      </c>
      <c r="AR74" s="47" t="str">
        <f aca="false">IF(ISNUMBER($AD74),IF(Header!$D$34="","?",$AD74*Header!$D$34),"")</f>
        <v/>
      </c>
      <c r="AS74" s="47" t="str">
        <f aca="false">IF(ISNUMBER($AB74),IF(Header!$D$34="","?",$AB74*Header!$D$34),"")</f>
        <v/>
      </c>
      <c r="AT74" s="50" t="str">
        <f aca="false">IF(AND(ISNUMBER($AB74),$M74&gt;0),$AB74/$M74*100,"")</f>
        <v/>
      </c>
      <c r="AU74" s="50" t="str">
        <f aca="false">IF(AND(ISNUMBER($AD74),$M74&gt;0),$AD74/$M74*100,"")</f>
        <v/>
      </c>
      <c r="AV74" s="48" t="str">
        <f aca="false">IF(AND(ISNUMBER($AB74),ISNUMBER($AD74),ABS($AB74)&gt;0),$AD74/$AB74,"")</f>
        <v/>
      </c>
      <c r="AW74" s="47" t="str">
        <f aca="false">IF(ISNUMBER($AD74),MAX(0,(1-0.55-Header!$O$3)*Header!$Q$3*$AQ74),"")</f>
        <v/>
      </c>
      <c r="AX74" s="51" t="str">
        <f aca="false">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v/>
      </c>
      <c r="AY74" s="52" t="str">
        <f aca="false">IF($M74="","",IF(ISNUMBER($M74),IF($M74&gt;=Header!$C$18,"YES — refer","No"),""))</f>
        <v/>
      </c>
      <c r="AZ74" s="52" t="str">
        <f aca="false">IF($AD74="","",IF(ISNUMBER($AD74),IF($AD74&lt;Header!$C$20,"BELOW MIN PREMIUM","OK"),""))</f>
        <v/>
      </c>
      <c r="BA74" s="56"/>
      <c r="BB74" s="56"/>
      <c r="BC74" s="54"/>
      <c r="BE74" s="53" t="str">
        <f aca="false">IF(OR($A74="",$L74="",$H74=""),"",IF(AND(LEFT($L74,2)="06",$H74&gt;1945),"FAIL - pre-war class, year "&amp;$H74,IF(AND(LEFT($L74,2)="07",OR($H74&lt;1946,$H74&gt;1972)),"FAIL - 1946-72 class, year "&amp;$H74,IF(AND(LEFT($L74,2)="08",OR($H74&lt;1973,$H74&gt;1999)),"FAIL - 1973-99 class, year "&amp;$H74,IF(AND(LEFT($L74,2)="09",OR($H74&lt;2000,$H74&gt;2010)),"FAIL - 2000-10 class, year "&amp;$H74,"OK")))))</f>
        <v/>
      </c>
      <c r="BF74" s="53" t="str">
        <f aca="false">IF($AD74="","",IF(ROUND($AO74+$AP74+$AQ74-$AD74,2)=0,"OK","FAIL - out by "&amp;TEXT($AO74+$AP74+$AQ74-$AD74,"$0.00")))</f>
        <v/>
      </c>
    </row>
    <row r="75" customFormat="false" ht="15" hidden="false" customHeight="true" outlineLevel="0" collapsed="false">
      <c r="A75" s="38"/>
      <c r="B75" s="38"/>
      <c r="C75" s="39"/>
      <c r="D75" s="40"/>
      <c r="E75" s="40"/>
      <c r="F75" s="38"/>
      <c r="G75" s="41" t="str">
        <f aca="false">IF($A75="","",IF($C75="","",YEAR($C75)))</f>
        <v/>
      </c>
      <c r="H75" s="42"/>
      <c r="I75" s="38"/>
      <c r="J75" s="38"/>
      <c r="K75" s="38"/>
      <c r="L75" s="40"/>
      <c r="M75" s="43"/>
      <c r="N75" s="40"/>
      <c r="O75" s="38"/>
      <c r="P75" s="38"/>
      <c r="Q75" s="38"/>
      <c r="R75" s="38"/>
      <c r="S75" s="40"/>
      <c r="T75" s="44" t="str">
        <f aca="false">IF($A75="","",IF($S75="","",IFERROR(INDEX(Lists!$N$5:$N$16,MATCH($S75,Lists!$M$5:$M$16,0)),"?")))</f>
        <v/>
      </c>
      <c r="U75" s="38"/>
      <c r="V75" s="40"/>
      <c r="W75" s="38"/>
      <c r="X75" s="40"/>
      <c r="Y75" s="38"/>
      <c r="Z75" s="38"/>
      <c r="AA75" s="40"/>
      <c r="AB75" s="43"/>
      <c r="AC75" s="45"/>
      <c r="AD75" s="46" t="str">
        <f aca="false">IF(ISNUMBER($AB75),$AB75*(1+N($AC75)),"")</f>
        <v/>
      </c>
      <c r="AE75" s="43"/>
      <c r="AF75" s="43"/>
      <c r="AG75" s="45"/>
      <c r="AH75" s="47" t="str">
        <f aca="false">IF(ISNUMBER($AD75),($AD75+$AE75+$AF75)*$AG75,"")</f>
        <v/>
      </c>
      <c r="AI75" s="43"/>
      <c r="AJ75" s="46" t="str">
        <f aca="false">IF(ISNUMBER($AD75),SUM($AD75:$AH75),"")</f>
        <v/>
      </c>
      <c r="AK75" s="48" t="str">
        <f aca="false">IF(AND(ISNUMBER($AB75),ISNUMBER($AD75)),IF($AB75&gt;0,$AD75/$AB75,""),"")</f>
        <v/>
      </c>
      <c r="AL75" s="40"/>
      <c r="AM75" s="49" t="str">
        <f aca="false">IF(ISNUMBER($AD75),Header!$I$3,"")</f>
        <v/>
      </c>
      <c r="AN75" s="47" t="str">
        <f aca="false">IF(ISNUMBER($AD75),$AO75+$AP75,"")</f>
        <v/>
      </c>
      <c r="AO75" s="47" t="str">
        <f aca="false">IF(ISNUMBER($AD75),ROUND($AD75*Header!$K$3,2),"")</f>
        <v/>
      </c>
      <c r="AP75" s="47" t="str">
        <f aca="false">IF(ISNUMBER($AD75),ROUND($AD75*Header!$M$3,2),"")</f>
        <v/>
      </c>
      <c r="AQ75" s="46" t="str">
        <f aca="false">IF(ISNUMBER($AD75),ROUND($AD75,2)-$AO75-$AP75,"")</f>
        <v/>
      </c>
      <c r="AR75" s="47" t="str">
        <f aca="false">IF(ISNUMBER($AD75),IF(Header!$D$34="","?",$AD75*Header!$D$34),"")</f>
        <v/>
      </c>
      <c r="AS75" s="47" t="str">
        <f aca="false">IF(ISNUMBER($AB75),IF(Header!$D$34="","?",$AB75*Header!$D$34),"")</f>
        <v/>
      </c>
      <c r="AT75" s="50" t="str">
        <f aca="false">IF(AND(ISNUMBER($AB75),$M75&gt;0),$AB75/$M75*100,"")</f>
        <v/>
      </c>
      <c r="AU75" s="50" t="str">
        <f aca="false">IF(AND(ISNUMBER($AD75),$M75&gt;0),$AD75/$M75*100,"")</f>
        <v/>
      </c>
      <c r="AV75" s="48" t="str">
        <f aca="false">IF(AND(ISNUMBER($AB75),ISNUMBER($AD75),ABS($AB75)&gt;0),$AD75/$AB75,"")</f>
        <v/>
      </c>
      <c r="AW75" s="47" t="str">
        <f aca="false">IF(ISNUMBER($AD75),MAX(0,(1-0.55-Header!$O$3)*Header!$Q$3*$AQ75),"")</f>
        <v/>
      </c>
      <c r="AX75" s="51" t="str">
        <f aca="false">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v/>
      </c>
      <c r="AY75" s="52" t="str">
        <f aca="false">IF($M75="","",IF(ISNUMBER($M75),IF($M75&gt;=Header!$C$18,"YES — refer","No"),""))</f>
        <v/>
      </c>
      <c r="AZ75" s="52" t="str">
        <f aca="false">IF($AD75="","",IF(ISNUMBER($AD75),IF($AD75&lt;Header!$C$20,"BELOW MIN PREMIUM","OK"),""))</f>
        <v/>
      </c>
      <c r="BA75" s="40"/>
      <c r="BB75" s="40"/>
      <c r="BC75" s="38"/>
      <c r="BE75" s="53" t="str">
        <f aca="false">IF(OR($A75="",$L75="",$H75=""),"",IF(AND(LEFT($L75,2)="06",$H75&gt;1945),"FAIL - pre-war class, year "&amp;$H75,IF(AND(LEFT($L75,2)="07",OR($H75&lt;1946,$H75&gt;1972)),"FAIL - 1946-72 class, year "&amp;$H75,IF(AND(LEFT($L75,2)="08",OR($H75&lt;1973,$H75&gt;1999)),"FAIL - 1973-99 class, year "&amp;$H75,IF(AND(LEFT($L75,2)="09",OR($H75&lt;2000,$H75&gt;2010)),"FAIL - 2000-10 class, year "&amp;$H75,"OK")))))</f>
        <v/>
      </c>
      <c r="BF75" s="53" t="str">
        <f aca="false">IF($AD75="","",IF(ROUND($AO75+$AP75+$AQ75-$AD75,2)=0,"OK","FAIL - out by "&amp;TEXT($AO75+$AP75+$AQ75-$AD75,"$0.00")))</f>
        <v/>
      </c>
    </row>
    <row r="76" customFormat="false" ht="15" hidden="false" customHeight="true" outlineLevel="0" collapsed="false">
      <c r="A76" s="54"/>
      <c r="B76" s="54"/>
      <c r="C76" s="55"/>
      <c r="D76" s="56"/>
      <c r="E76" s="56"/>
      <c r="F76" s="54"/>
      <c r="G76" s="41" t="str">
        <f aca="false">IF($A76="","",IF($C76="","",YEAR($C76)))</f>
        <v/>
      </c>
      <c r="H76" s="57"/>
      <c r="I76" s="54"/>
      <c r="J76" s="54"/>
      <c r="K76" s="54"/>
      <c r="L76" s="56"/>
      <c r="M76" s="58"/>
      <c r="N76" s="56"/>
      <c r="O76" s="54"/>
      <c r="P76" s="54"/>
      <c r="Q76" s="54"/>
      <c r="R76" s="54"/>
      <c r="S76" s="56"/>
      <c r="T76" s="44" t="str">
        <f aca="false">IF($A76="","",IF($S76="","",IFERROR(INDEX(Lists!$N$5:$N$16,MATCH($S76,Lists!$M$5:$M$16,0)),"?")))</f>
        <v/>
      </c>
      <c r="U76" s="54"/>
      <c r="V76" s="56"/>
      <c r="W76" s="54"/>
      <c r="X76" s="56"/>
      <c r="Y76" s="54"/>
      <c r="Z76" s="54"/>
      <c r="AA76" s="56"/>
      <c r="AB76" s="58"/>
      <c r="AC76" s="59"/>
      <c r="AD76" s="46" t="str">
        <f aca="false">IF(ISNUMBER($AB76),$AB76*(1+N($AC76)),"")</f>
        <v/>
      </c>
      <c r="AE76" s="58"/>
      <c r="AF76" s="58"/>
      <c r="AG76" s="59"/>
      <c r="AH76" s="47" t="str">
        <f aca="false">IF(ISNUMBER($AD76),($AD76+$AE76+$AF76)*$AG76,"")</f>
        <v/>
      </c>
      <c r="AI76" s="58"/>
      <c r="AJ76" s="46" t="str">
        <f aca="false">IF(ISNUMBER($AD76),SUM($AD76:$AH76),"")</f>
        <v/>
      </c>
      <c r="AK76" s="48" t="str">
        <f aca="false">IF(AND(ISNUMBER($AB76),ISNUMBER($AD76)),IF($AB76&gt;0,$AD76/$AB76,""),"")</f>
        <v/>
      </c>
      <c r="AL76" s="56"/>
      <c r="AM76" s="49" t="str">
        <f aca="false">IF(ISNUMBER($AD76),Header!$I$3,"")</f>
        <v/>
      </c>
      <c r="AN76" s="47" t="str">
        <f aca="false">IF(ISNUMBER($AD76),$AO76+$AP76,"")</f>
        <v/>
      </c>
      <c r="AO76" s="47" t="str">
        <f aca="false">IF(ISNUMBER($AD76),ROUND($AD76*Header!$K$3,2),"")</f>
        <v/>
      </c>
      <c r="AP76" s="47" t="str">
        <f aca="false">IF(ISNUMBER($AD76),ROUND($AD76*Header!$M$3,2),"")</f>
        <v/>
      </c>
      <c r="AQ76" s="46" t="str">
        <f aca="false">IF(ISNUMBER($AD76),ROUND($AD76,2)-$AO76-$AP76,"")</f>
        <v/>
      </c>
      <c r="AR76" s="47" t="str">
        <f aca="false">IF(ISNUMBER($AD76),IF(Header!$D$34="","?",$AD76*Header!$D$34),"")</f>
        <v/>
      </c>
      <c r="AS76" s="47" t="str">
        <f aca="false">IF(ISNUMBER($AB76),IF(Header!$D$34="","?",$AB76*Header!$D$34),"")</f>
        <v/>
      </c>
      <c r="AT76" s="50" t="str">
        <f aca="false">IF(AND(ISNUMBER($AB76),$M76&gt;0),$AB76/$M76*100,"")</f>
        <v/>
      </c>
      <c r="AU76" s="50" t="str">
        <f aca="false">IF(AND(ISNUMBER($AD76),$M76&gt;0),$AD76/$M76*100,"")</f>
        <v/>
      </c>
      <c r="AV76" s="48" t="str">
        <f aca="false">IF(AND(ISNUMBER($AB76),ISNUMBER($AD76),ABS($AB76)&gt;0),$AD76/$AB76,"")</f>
        <v/>
      </c>
      <c r="AW76" s="47" t="str">
        <f aca="false">IF(ISNUMBER($AD76),MAX(0,(1-0.55-Header!$O$3)*Header!$Q$3*$AQ76),"")</f>
        <v/>
      </c>
      <c r="AX76" s="51" t="str">
        <f aca="false">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v/>
      </c>
      <c r="AY76" s="52" t="str">
        <f aca="false">IF($M76="","",IF(ISNUMBER($M76),IF($M76&gt;=Header!$C$18,"YES — refer","No"),""))</f>
        <v/>
      </c>
      <c r="AZ76" s="52" t="str">
        <f aca="false">IF($AD76="","",IF(ISNUMBER($AD76),IF($AD76&lt;Header!$C$20,"BELOW MIN PREMIUM","OK"),""))</f>
        <v/>
      </c>
      <c r="BA76" s="56"/>
      <c r="BB76" s="56"/>
      <c r="BC76" s="54"/>
      <c r="BE76" s="53" t="str">
        <f aca="false">IF(OR($A76="",$L76="",$H76=""),"",IF(AND(LEFT($L76,2)="06",$H76&gt;1945),"FAIL - pre-war class, year "&amp;$H76,IF(AND(LEFT($L76,2)="07",OR($H76&lt;1946,$H76&gt;1972)),"FAIL - 1946-72 class, year "&amp;$H76,IF(AND(LEFT($L76,2)="08",OR($H76&lt;1973,$H76&gt;1999)),"FAIL - 1973-99 class, year "&amp;$H76,IF(AND(LEFT($L76,2)="09",OR($H76&lt;2000,$H76&gt;2010)),"FAIL - 2000-10 class, year "&amp;$H76,"OK")))))</f>
        <v/>
      </c>
      <c r="BF76" s="53" t="str">
        <f aca="false">IF($AD76="","",IF(ROUND($AO76+$AP76+$AQ76-$AD76,2)=0,"OK","FAIL - out by "&amp;TEXT($AO76+$AP76+$AQ76-$AD76,"$0.00")))</f>
        <v/>
      </c>
    </row>
    <row r="77" customFormat="false" ht="15" hidden="false" customHeight="true" outlineLevel="0" collapsed="false">
      <c r="A77" s="38"/>
      <c r="B77" s="38"/>
      <c r="C77" s="39"/>
      <c r="D77" s="40"/>
      <c r="E77" s="40"/>
      <c r="F77" s="38"/>
      <c r="G77" s="41" t="str">
        <f aca="false">IF($A77="","",IF($C77="","",YEAR($C77)))</f>
        <v/>
      </c>
      <c r="H77" s="42"/>
      <c r="I77" s="38"/>
      <c r="J77" s="38"/>
      <c r="K77" s="38"/>
      <c r="L77" s="40"/>
      <c r="M77" s="43"/>
      <c r="N77" s="40"/>
      <c r="O77" s="38"/>
      <c r="P77" s="38"/>
      <c r="Q77" s="38"/>
      <c r="R77" s="38"/>
      <c r="S77" s="40"/>
      <c r="T77" s="44" t="str">
        <f aca="false">IF($A77="","",IF($S77="","",IFERROR(INDEX(Lists!$N$5:$N$16,MATCH($S77,Lists!$M$5:$M$16,0)),"?")))</f>
        <v/>
      </c>
      <c r="U77" s="38"/>
      <c r="V77" s="40"/>
      <c r="W77" s="38"/>
      <c r="X77" s="40"/>
      <c r="Y77" s="38"/>
      <c r="Z77" s="38"/>
      <c r="AA77" s="40"/>
      <c r="AB77" s="43"/>
      <c r="AC77" s="45"/>
      <c r="AD77" s="46" t="str">
        <f aca="false">IF(ISNUMBER($AB77),$AB77*(1+N($AC77)),"")</f>
        <v/>
      </c>
      <c r="AE77" s="43"/>
      <c r="AF77" s="43"/>
      <c r="AG77" s="45"/>
      <c r="AH77" s="47" t="str">
        <f aca="false">IF(ISNUMBER($AD77),($AD77+$AE77+$AF77)*$AG77,"")</f>
        <v/>
      </c>
      <c r="AI77" s="43"/>
      <c r="AJ77" s="46" t="str">
        <f aca="false">IF(ISNUMBER($AD77),SUM($AD77:$AH77),"")</f>
        <v/>
      </c>
      <c r="AK77" s="48" t="str">
        <f aca="false">IF(AND(ISNUMBER($AB77),ISNUMBER($AD77)),IF($AB77&gt;0,$AD77/$AB77,""),"")</f>
        <v/>
      </c>
      <c r="AL77" s="40"/>
      <c r="AM77" s="49" t="str">
        <f aca="false">IF(ISNUMBER($AD77),Header!$I$3,"")</f>
        <v/>
      </c>
      <c r="AN77" s="47" t="str">
        <f aca="false">IF(ISNUMBER($AD77),$AO77+$AP77,"")</f>
        <v/>
      </c>
      <c r="AO77" s="47" t="str">
        <f aca="false">IF(ISNUMBER($AD77),ROUND($AD77*Header!$K$3,2),"")</f>
        <v/>
      </c>
      <c r="AP77" s="47" t="str">
        <f aca="false">IF(ISNUMBER($AD77),ROUND($AD77*Header!$M$3,2),"")</f>
        <v/>
      </c>
      <c r="AQ77" s="46" t="str">
        <f aca="false">IF(ISNUMBER($AD77),ROUND($AD77,2)-$AO77-$AP77,"")</f>
        <v/>
      </c>
      <c r="AR77" s="47" t="str">
        <f aca="false">IF(ISNUMBER($AD77),IF(Header!$D$34="","?",$AD77*Header!$D$34),"")</f>
        <v/>
      </c>
      <c r="AS77" s="47" t="str">
        <f aca="false">IF(ISNUMBER($AB77),IF(Header!$D$34="","?",$AB77*Header!$D$34),"")</f>
        <v/>
      </c>
      <c r="AT77" s="50" t="str">
        <f aca="false">IF(AND(ISNUMBER($AB77),$M77&gt;0),$AB77/$M77*100,"")</f>
        <v/>
      </c>
      <c r="AU77" s="50" t="str">
        <f aca="false">IF(AND(ISNUMBER($AD77),$M77&gt;0),$AD77/$M77*100,"")</f>
        <v/>
      </c>
      <c r="AV77" s="48" t="str">
        <f aca="false">IF(AND(ISNUMBER($AB77),ISNUMBER($AD77),ABS($AB77)&gt;0),$AD77/$AB77,"")</f>
        <v/>
      </c>
      <c r="AW77" s="47" t="str">
        <f aca="false">IF(ISNUMBER($AD77),MAX(0,(1-0.55-Header!$O$3)*Header!$Q$3*$AQ77),"")</f>
        <v/>
      </c>
      <c r="AX77" s="51" t="str">
        <f aca="false">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v/>
      </c>
      <c r="AY77" s="52" t="str">
        <f aca="false">IF($M77="","",IF(ISNUMBER($M77),IF($M77&gt;=Header!$C$18,"YES — refer","No"),""))</f>
        <v/>
      </c>
      <c r="AZ77" s="52" t="str">
        <f aca="false">IF($AD77="","",IF(ISNUMBER($AD77),IF($AD77&lt;Header!$C$20,"BELOW MIN PREMIUM","OK"),""))</f>
        <v/>
      </c>
      <c r="BA77" s="40"/>
      <c r="BB77" s="40"/>
      <c r="BC77" s="38"/>
      <c r="BE77" s="53" t="str">
        <f aca="false">IF(OR($A77="",$L77="",$H77=""),"",IF(AND(LEFT($L77,2)="06",$H77&gt;1945),"FAIL - pre-war class, year "&amp;$H77,IF(AND(LEFT($L77,2)="07",OR($H77&lt;1946,$H77&gt;1972)),"FAIL - 1946-72 class, year "&amp;$H77,IF(AND(LEFT($L77,2)="08",OR($H77&lt;1973,$H77&gt;1999)),"FAIL - 1973-99 class, year "&amp;$H77,IF(AND(LEFT($L77,2)="09",OR($H77&lt;2000,$H77&gt;2010)),"FAIL - 2000-10 class, year "&amp;$H77,"OK")))))</f>
        <v/>
      </c>
      <c r="BF77" s="53" t="str">
        <f aca="false">IF($AD77="","",IF(ROUND($AO77+$AP77+$AQ77-$AD77,2)=0,"OK","FAIL - out by "&amp;TEXT($AO77+$AP77+$AQ77-$AD77,"$0.00")))</f>
        <v/>
      </c>
    </row>
    <row r="78" customFormat="false" ht="15" hidden="false" customHeight="true" outlineLevel="0" collapsed="false">
      <c r="A78" s="54"/>
      <c r="B78" s="54"/>
      <c r="C78" s="55"/>
      <c r="D78" s="56"/>
      <c r="E78" s="56"/>
      <c r="F78" s="54"/>
      <c r="G78" s="41" t="str">
        <f aca="false">IF($A78="","",IF($C78="","",YEAR($C78)))</f>
        <v/>
      </c>
      <c r="H78" s="57"/>
      <c r="I78" s="54"/>
      <c r="J78" s="54"/>
      <c r="K78" s="54"/>
      <c r="L78" s="56"/>
      <c r="M78" s="58"/>
      <c r="N78" s="56"/>
      <c r="O78" s="54"/>
      <c r="P78" s="54"/>
      <c r="Q78" s="54"/>
      <c r="R78" s="54"/>
      <c r="S78" s="56"/>
      <c r="T78" s="44" t="str">
        <f aca="false">IF($A78="","",IF($S78="","",IFERROR(INDEX(Lists!$N$5:$N$16,MATCH($S78,Lists!$M$5:$M$16,0)),"?")))</f>
        <v/>
      </c>
      <c r="U78" s="54"/>
      <c r="V78" s="56"/>
      <c r="W78" s="54"/>
      <c r="X78" s="56"/>
      <c r="Y78" s="54"/>
      <c r="Z78" s="54"/>
      <c r="AA78" s="56"/>
      <c r="AB78" s="58"/>
      <c r="AC78" s="59"/>
      <c r="AD78" s="46" t="str">
        <f aca="false">IF(ISNUMBER($AB78),$AB78*(1+N($AC78)),"")</f>
        <v/>
      </c>
      <c r="AE78" s="58"/>
      <c r="AF78" s="58"/>
      <c r="AG78" s="59"/>
      <c r="AH78" s="47" t="str">
        <f aca="false">IF(ISNUMBER($AD78),($AD78+$AE78+$AF78)*$AG78,"")</f>
        <v/>
      </c>
      <c r="AI78" s="58"/>
      <c r="AJ78" s="46" t="str">
        <f aca="false">IF(ISNUMBER($AD78),SUM($AD78:$AH78),"")</f>
        <v/>
      </c>
      <c r="AK78" s="48" t="str">
        <f aca="false">IF(AND(ISNUMBER($AB78),ISNUMBER($AD78)),IF($AB78&gt;0,$AD78/$AB78,""),"")</f>
        <v/>
      </c>
      <c r="AL78" s="56"/>
      <c r="AM78" s="49" t="str">
        <f aca="false">IF(ISNUMBER($AD78),Header!$I$3,"")</f>
        <v/>
      </c>
      <c r="AN78" s="47" t="str">
        <f aca="false">IF(ISNUMBER($AD78),$AO78+$AP78,"")</f>
        <v/>
      </c>
      <c r="AO78" s="47" t="str">
        <f aca="false">IF(ISNUMBER($AD78),ROUND($AD78*Header!$K$3,2),"")</f>
        <v/>
      </c>
      <c r="AP78" s="47" t="str">
        <f aca="false">IF(ISNUMBER($AD78),ROUND($AD78*Header!$M$3,2),"")</f>
        <v/>
      </c>
      <c r="AQ78" s="46" t="str">
        <f aca="false">IF(ISNUMBER($AD78),ROUND($AD78,2)-$AO78-$AP78,"")</f>
        <v/>
      </c>
      <c r="AR78" s="47" t="str">
        <f aca="false">IF(ISNUMBER($AD78),IF(Header!$D$34="","?",$AD78*Header!$D$34),"")</f>
        <v/>
      </c>
      <c r="AS78" s="47" t="str">
        <f aca="false">IF(ISNUMBER($AB78),IF(Header!$D$34="","?",$AB78*Header!$D$34),"")</f>
        <v/>
      </c>
      <c r="AT78" s="50" t="str">
        <f aca="false">IF(AND(ISNUMBER($AB78),$M78&gt;0),$AB78/$M78*100,"")</f>
        <v/>
      </c>
      <c r="AU78" s="50" t="str">
        <f aca="false">IF(AND(ISNUMBER($AD78),$M78&gt;0),$AD78/$M78*100,"")</f>
        <v/>
      </c>
      <c r="AV78" s="48" t="str">
        <f aca="false">IF(AND(ISNUMBER($AB78),ISNUMBER($AD78),ABS($AB78)&gt;0),$AD78/$AB78,"")</f>
        <v/>
      </c>
      <c r="AW78" s="47" t="str">
        <f aca="false">IF(ISNUMBER($AD78),MAX(0,(1-0.55-Header!$O$3)*Header!$Q$3*$AQ78),"")</f>
        <v/>
      </c>
      <c r="AX78" s="51" t="str">
        <f aca="false">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v/>
      </c>
      <c r="AY78" s="52" t="str">
        <f aca="false">IF($M78="","",IF(ISNUMBER($M78),IF($M78&gt;=Header!$C$18,"YES — refer","No"),""))</f>
        <v/>
      </c>
      <c r="AZ78" s="52" t="str">
        <f aca="false">IF($AD78="","",IF(ISNUMBER($AD78),IF($AD78&lt;Header!$C$20,"BELOW MIN PREMIUM","OK"),""))</f>
        <v/>
      </c>
      <c r="BA78" s="56"/>
      <c r="BB78" s="56"/>
      <c r="BC78" s="54"/>
      <c r="BE78" s="53" t="str">
        <f aca="false">IF(OR($A78="",$L78="",$H78=""),"",IF(AND(LEFT($L78,2)="06",$H78&gt;1945),"FAIL - pre-war class, year "&amp;$H78,IF(AND(LEFT($L78,2)="07",OR($H78&lt;1946,$H78&gt;1972)),"FAIL - 1946-72 class, year "&amp;$H78,IF(AND(LEFT($L78,2)="08",OR($H78&lt;1973,$H78&gt;1999)),"FAIL - 1973-99 class, year "&amp;$H78,IF(AND(LEFT($L78,2)="09",OR($H78&lt;2000,$H78&gt;2010)),"FAIL - 2000-10 class, year "&amp;$H78,"OK")))))</f>
        <v/>
      </c>
      <c r="BF78" s="53" t="str">
        <f aca="false">IF($AD78="","",IF(ROUND($AO78+$AP78+$AQ78-$AD78,2)=0,"OK","FAIL - out by "&amp;TEXT($AO78+$AP78+$AQ78-$AD78,"$0.00")))</f>
        <v/>
      </c>
    </row>
    <row r="79" customFormat="false" ht="15" hidden="false" customHeight="true" outlineLevel="0" collapsed="false">
      <c r="A79" s="38"/>
      <c r="B79" s="38"/>
      <c r="C79" s="39"/>
      <c r="D79" s="40"/>
      <c r="E79" s="40"/>
      <c r="F79" s="38"/>
      <c r="G79" s="41" t="str">
        <f aca="false">IF($A79="","",IF($C79="","",YEAR($C79)))</f>
        <v/>
      </c>
      <c r="H79" s="42"/>
      <c r="I79" s="38"/>
      <c r="J79" s="38"/>
      <c r="K79" s="38"/>
      <c r="L79" s="40"/>
      <c r="M79" s="43"/>
      <c r="N79" s="40"/>
      <c r="O79" s="38"/>
      <c r="P79" s="38"/>
      <c r="Q79" s="38"/>
      <c r="R79" s="38"/>
      <c r="S79" s="40"/>
      <c r="T79" s="44" t="str">
        <f aca="false">IF($A79="","",IF($S79="","",IFERROR(INDEX(Lists!$N$5:$N$16,MATCH($S79,Lists!$M$5:$M$16,0)),"?")))</f>
        <v/>
      </c>
      <c r="U79" s="38"/>
      <c r="V79" s="40"/>
      <c r="W79" s="38"/>
      <c r="X79" s="40"/>
      <c r="Y79" s="38"/>
      <c r="Z79" s="38"/>
      <c r="AA79" s="40"/>
      <c r="AB79" s="43"/>
      <c r="AC79" s="45"/>
      <c r="AD79" s="46" t="str">
        <f aca="false">IF(ISNUMBER($AB79),$AB79*(1+N($AC79)),"")</f>
        <v/>
      </c>
      <c r="AE79" s="43"/>
      <c r="AF79" s="43"/>
      <c r="AG79" s="45"/>
      <c r="AH79" s="47" t="str">
        <f aca="false">IF(ISNUMBER($AD79),($AD79+$AE79+$AF79)*$AG79,"")</f>
        <v/>
      </c>
      <c r="AI79" s="43"/>
      <c r="AJ79" s="46" t="str">
        <f aca="false">IF(ISNUMBER($AD79),SUM($AD79:$AH79),"")</f>
        <v/>
      </c>
      <c r="AK79" s="48" t="str">
        <f aca="false">IF(AND(ISNUMBER($AB79),ISNUMBER($AD79)),IF($AB79&gt;0,$AD79/$AB79,""),"")</f>
        <v/>
      </c>
      <c r="AL79" s="40"/>
      <c r="AM79" s="49" t="str">
        <f aca="false">IF(ISNUMBER($AD79),Header!$I$3,"")</f>
        <v/>
      </c>
      <c r="AN79" s="47" t="str">
        <f aca="false">IF(ISNUMBER($AD79),$AO79+$AP79,"")</f>
        <v/>
      </c>
      <c r="AO79" s="47" t="str">
        <f aca="false">IF(ISNUMBER($AD79),ROUND($AD79*Header!$K$3,2),"")</f>
        <v/>
      </c>
      <c r="AP79" s="47" t="str">
        <f aca="false">IF(ISNUMBER($AD79),ROUND($AD79*Header!$M$3,2),"")</f>
        <v/>
      </c>
      <c r="AQ79" s="46" t="str">
        <f aca="false">IF(ISNUMBER($AD79),ROUND($AD79,2)-$AO79-$AP79,"")</f>
        <v/>
      </c>
      <c r="AR79" s="47" t="str">
        <f aca="false">IF(ISNUMBER($AD79),IF(Header!$D$34="","?",$AD79*Header!$D$34),"")</f>
        <v/>
      </c>
      <c r="AS79" s="47" t="str">
        <f aca="false">IF(ISNUMBER($AB79),IF(Header!$D$34="","?",$AB79*Header!$D$34),"")</f>
        <v/>
      </c>
      <c r="AT79" s="50" t="str">
        <f aca="false">IF(AND(ISNUMBER($AB79),$M79&gt;0),$AB79/$M79*100,"")</f>
        <v/>
      </c>
      <c r="AU79" s="50" t="str">
        <f aca="false">IF(AND(ISNUMBER($AD79),$M79&gt;0),$AD79/$M79*100,"")</f>
        <v/>
      </c>
      <c r="AV79" s="48" t="str">
        <f aca="false">IF(AND(ISNUMBER($AB79),ISNUMBER($AD79),ABS($AB79)&gt;0),$AD79/$AB79,"")</f>
        <v/>
      </c>
      <c r="AW79" s="47" t="str">
        <f aca="false">IF(ISNUMBER($AD79),MAX(0,(1-0.55-Header!$O$3)*Header!$Q$3*$AQ79),"")</f>
        <v/>
      </c>
      <c r="AX79" s="51" t="str">
        <f aca="false">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v/>
      </c>
      <c r="AY79" s="52" t="str">
        <f aca="false">IF($M79="","",IF(ISNUMBER($M79),IF($M79&gt;=Header!$C$18,"YES — refer","No"),""))</f>
        <v/>
      </c>
      <c r="AZ79" s="52" t="str">
        <f aca="false">IF($AD79="","",IF(ISNUMBER($AD79),IF($AD79&lt;Header!$C$20,"BELOW MIN PREMIUM","OK"),""))</f>
        <v/>
      </c>
      <c r="BA79" s="40"/>
      <c r="BB79" s="40"/>
      <c r="BC79" s="38"/>
      <c r="BE79" s="53" t="str">
        <f aca="false">IF(OR($A79="",$L79="",$H79=""),"",IF(AND(LEFT($L79,2)="06",$H79&gt;1945),"FAIL - pre-war class, year "&amp;$H79,IF(AND(LEFT($L79,2)="07",OR($H79&lt;1946,$H79&gt;1972)),"FAIL - 1946-72 class, year "&amp;$H79,IF(AND(LEFT($L79,2)="08",OR($H79&lt;1973,$H79&gt;1999)),"FAIL - 1973-99 class, year "&amp;$H79,IF(AND(LEFT($L79,2)="09",OR($H79&lt;2000,$H79&gt;2010)),"FAIL - 2000-10 class, year "&amp;$H79,"OK")))))</f>
        <v/>
      </c>
      <c r="BF79" s="53" t="str">
        <f aca="false">IF($AD79="","",IF(ROUND($AO79+$AP79+$AQ79-$AD79,2)=0,"OK","FAIL - out by "&amp;TEXT($AO79+$AP79+$AQ79-$AD79,"$0.00")))</f>
        <v/>
      </c>
    </row>
    <row r="80" customFormat="false" ht="15" hidden="false" customHeight="true" outlineLevel="0" collapsed="false">
      <c r="A80" s="54"/>
      <c r="B80" s="54"/>
      <c r="C80" s="55"/>
      <c r="D80" s="56"/>
      <c r="E80" s="56"/>
      <c r="F80" s="54"/>
      <c r="G80" s="41" t="str">
        <f aca="false">IF($A80="","",IF($C80="","",YEAR($C80)))</f>
        <v/>
      </c>
      <c r="H80" s="57"/>
      <c r="I80" s="54"/>
      <c r="J80" s="54"/>
      <c r="K80" s="54"/>
      <c r="L80" s="56"/>
      <c r="M80" s="58"/>
      <c r="N80" s="56"/>
      <c r="O80" s="54"/>
      <c r="P80" s="54"/>
      <c r="Q80" s="54"/>
      <c r="R80" s="54"/>
      <c r="S80" s="56"/>
      <c r="T80" s="44" t="str">
        <f aca="false">IF($A80="","",IF($S80="","",IFERROR(INDEX(Lists!$N$5:$N$16,MATCH($S80,Lists!$M$5:$M$16,0)),"?")))</f>
        <v/>
      </c>
      <c r="U80" s="54"/>
      <c r="V80" s="56"/>
      <c r="W80" s="54"/>
      <c r="X80" s="56"/>
      <c r="Y80" s="54"/>
      <c r="Z80" s="54"/>
      <c r="AA80" s="56"/>
      <c r="AB80" s="58"/>
      <c r="AC80" s="59"/>
      <c r="AD80" s="46" t="str">
        <f aca="false">IF(ISNUMBER($AB80),$AB80*(1+N($AC80)),"")</f>
        <v/>
      </c>
      <c r="AE80" s="58"/>
      <c r="AF80" s="58"/>
      <c r="AG80" s="59"/>
      <c r="AH80" s="47" t="str">
        <f aca="false">IF(ISNUMBER($AD80),($AD80+$AE80+$AF80)*$AG80,"")</f>
        <v/>
      </c>
      <c r="AI80" s="58"/>
      <c r="AJ80" s="46" t="str">
        <f aca="false">IF(ISNUMBER($AD80),SUM($AD80:$AH80),"")</f>
        <v/>
      </c>
      <c r="AK80" s="48" t="str">
        <f aca="false">IF(AND(ISNUMBER($AB80),ISNUMBER($AD80)),IF($AB80&gt;0,$AD80/$AB80,""),"")</f>
        <v/>
      </c>
      <c r="AL80" s="56"/>
      <c r="AM80" s="49" t="str">
        <f aca="false">IF(ISNUMBER($AD80),Header!$I$3,"")</f>
        <v/>
      </c>
      <c r="AN80" s="47" t="str">
        <f aca="false">IF(ISNUMBER($AD80),$AO80+$AP80,"")</f>
        <v/>
      </c>
      <c r="AO80" s="47" t="str">
        <f aca="false">IF(ISNUMBER($AD80),ROUND($AD80*Header!$K$3,2),"")</f>
        <v/>
      </c>
      <c r="AP80" s="47" t="str">
        <f aca="false">IF(ISNUMBER($AD80),ROUND($AD80*Header!$M$3,2),"")</f>
        <v/>
      </c>
      <c r="AQ80" s="46" t="str">
        <f aca="false">IF(ISNUMBER($AD80),ROUND($AD80,2)-$AO80-$AP80,"")</f>
        <v/>
      </c>
      <c r="AR80" s="47" t="str">
        <f aca="false">IF(ISNUMBER($AD80),IF(Header!$D$34="","?",$AD80*Header!$D$34),"")</f>
        <v/>
      </c>
      <c r="AS80" s="47" t="str">
        <f aca="false">IF(ISNUMBER($AB80),IF(Header!$D$34="","?",$AB80*Header!$D$34),"")</f>
        <v/>
      </c>
      <c r="AT80" s="50" t="str">
        <f aca="false">IF(AND(ISNUMBER($AB80),$M80&gt;0),$AB80/$M80*100,"")</f>
        <v/>
      </c>
      <c r="AU80" s="50" t="str">
        <f aca="false">IF(AND(ISNUMBER($AD80),$M80&gt;0),$AD80/$M80*100,"")</f>
        <v/>
      </c>
      <c r="AV80" s="48" t="str">
        <f aca="false">IF(AND(ISNUMBER($AB80),ISNUMBER($AD80),ABS($AB80)&gt;0),$AD80/$AB80,"")</f>
        <v/>
      </c>
      <c r="AW80" s="47" t="str">
        <f aca="false">IF(ISNUMBER($AD80),MAX(0,(1-0.55-Header!$O$3)*Header!$Q$3*$AQ80),"")</f>
        <v/>
      </c>
      <c r="AX80" s="51" t="str">
        <f aca="false">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v/>
      </c>
      <c r="AY80" s="52" t="str">
        <f aca="false">IF($M80="","",IF(ISNUMBER($M80),IF($M80&gt;=Header!$C$18,"YES — refer","No"),""))</f>
        <v/>
      </c>
      <c r="AZ80" s="52" t="str">
        <f aca="false">IF($AD80="","",IF(ISNUMBER($AD80),IF($AD80&lt;Header!$C$20,"BELOW MIN PREMIUM","OK"),""))</f>
        <v/>
      </c>
      <c r="BA80" s="56"/>
      <c r="BB80" s="56"/>
      <c r="BC80" s="54"/>
      <c r="BE80" s="53" t="str">
        <f aca="false">IF(OR($A80="",$L80="",$H80=""),"",IF(AND(LEFT($L80,2)="06",$H80&gt;1945),"FAIL - pre-war class, year "&amp;$H80,IF(AND(LEFT($L80,2)="07",OR($H80&lt;1946,$H80&gt;1972)),"FAIL - 1946-72 class, year "&amp;$H80,IF(AND(LEFT($L80,2)="08",OR($H80&lt;1973,$H80&gt;1999)),"FAIL - 1973-99 class, year "&amp;$H80,IF(AND(LEFT($L80,2)="09",OR($H80&lt;2000,$H80&gt;2010)),"FAIL - 2000-10 class, year "&amp;$H80,"OK")))))</f>
        <v/>
      </c>
      <c r="BF80" s="53" t="str">
        <f aca="false">IF($AD80="","",IF(ROUND($AO80+$AP80+$AQ80-$AD80,2)=0,"OK","FAIL - out by "&amp;TEXT($AO80+$AP80+$AQ80-$AD80,"$0.00")))</f>
        <v/>
      </c>
    </row>
    <row r="81" customFormat="false" ht="15" hidden="false" customHeight="true" outlineLevel="0" collapsed="false">
      <c r="A81" s="38"/>
      <c r="B81" s="38"/>
      <c r="C81" s="39"/>
      <c r="D81" s="40"/>
      <c r="E81" s="40"/>
      <c r="F81" s="38"/>
      <c r="G81" s="41" t="str">
        <f aca="false">IF($A81="","",IF($C81="","",YEAR($C81)))</f>
        <v/>
      </c>
      <c r="H81" s="42"/>
      <c r="I81" s="38"/>
      <c r="J81" s="38"/>
      <c r="K81" s="38"/>
      <c r="L81" s="40"/>
      <c r="M81" s="43"/>
      <c r="N81" s="40"/>
      <c r="O81" s="38"/>
      <c r="P81" s="38"/>
      <c r="Q81" s="38"/>
      <c r="R81" s="38"/>
      <c r="S81" s="40"/>
      <c r="T81" s="44" t="str">
        <f aca="false">IF($A81="","",IF($S81="","",IFERROR(INDEX(Lists!$N$5:$N$16,MATCH($S81,Lists!$M$5:$M$16,0)),"?")))</f>
        <v/>
      </c>
      <c r="U81" s="38"/>
      <c r="V81" s="40"/>
      <c r="W81" s="38"/>
      <c r="X81" s="40"/>
      <c r="Y81" s="38"/>
      <c r="Z81" s="38"/>
      <c r="AA81" s="40"/>
      <c r="AB81" s="43"/>
      <c r="AC81" s="45"/>
      <c r="AD81" s="46" t="str">
        <f aca="false">IF(ISNUMBER($AB81),$AB81*(1+N($AC81)),"")</f>
        <v/>
      </c>
      <c r="AE81" s="43"/>
      <c r="AF81" s="43"/>
      <c r="AG81" s="45"/>
      <c r="AH81" s="47" t="str">
        <f aca="false">IF(ISNUMBER($AD81),($AD81+$AE81+$AF81)*$AG81,"")</f>
        <v/>
      </c>
      <c r="AI81" s="43"/>
      <c r="AJ81" s="46" t="str">
        <f aca="false">IF(ISNUMBER($AD81),SUM($AD81:$AH81),"")</f>
        <v/>
      </c>
      <c r="AK81" s="48" t="str">
        <f aca="false">IF(AND(ISNUMBER($AB81),ISNUMBER($AD81)),IF($AB81&gt;0,$AD81/$AB81,""),"")</f>
        <v/>
      </c>
      <c r="AL81" s="40"/>
      <c r="AM81" s="49" t="str">
        <f aca="false">IF(ISNUMBER($AD81),Header!$I$3,"")</f>
        <v/>
      </c>
      <c r="AN81" s="47" t="str">
        <f aca="false">IF(ISNUMBER($AD81),$AO81+$AP81,"")</f>
        <v/>
      </c>
      <c r="AO81" s="47" t="str">
        <f aca="false">IF(ISNUMBER($AD81),ROUND($AD81*Header!$K$3,2),"")</f>
        <v/>
      </c>
      <c r="AP81" s="47" t="str">
        <f aca="false">IF(ISNUMBER($AD81),ROUND($AD81*Header!$M$3,2),"")</f>
        <v/>
      </c>
      <c r="AQ81" s="46" t="str">
        <f aca="false">IF(ISNUMBER($AD81),ROUND($AD81,2)-$AO81-$AP81,"")</f>
        <v/>
      </c>
      <c r="AR81" s="47" t="str">
        <f aca="false">IF(ISNUMBER($AD81),IF(Header!$D$34="","?",$AD81*Header!$D$34),"")</f>
        <v/>
      </c>
      <c r="AS81" s="47" t="str">
        <f aca="false">IF(ISNUMBER($AB81),IF(Header!$D$34="","?",$AB81*Header!$D$34),"")</f>
        <v/>
      </c>
      <c r="AT81" s="50" t="str">
        <f aca="false">IF(AND(ISNUMBER($AB81),$M81&gt;0),$AB81/$M81*100,"")</f>
        <v/>
      </c>
      <c r="AU81" s="50" t="str">
        <f aca="false">IF(AND(ISNUMBER($AD81),$M81&gt;0),$AD81/$M81*100,"")</f>
        <v/>
      </c>
      <c r="AV81" s="48" t="str">
        <f aca="false">IF(AND(ISNUMBER($AB81),ISNUMBER($AD81),ABS($AB81)&gt;0),$AD81/$AB81,"")</f>
        <v/>
      </c>
      <c r="AW81" s="47" t="str">
        <f aca="false">IF(ISNUMBER($AD81),MAX(0,(1-0.55-Header!$O$3)*Header!$Q$3*$AQ81),"")</f>
        <v/>
      </c>
      <c r="AX81" s="51" t="str">
        <f aca="false">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v/>
      </c>
      <c r="AY81" s="52" t="str">
        <f aca="false">IF($M81="","",IF(ISNUMBER($M81),IF($M81&gt;=Header!$C$18,"YES — refer","No"),""))</f>
        <v/>
      </c>
      <c r="AZ81" s="52" t="str">
        <f aca="false">IF($AD81="","",IF(ISNUMBER($AD81),IF($AD81&lt;Header!$C$20,"BELOW MIN PREMIUM","OK"),""))</f>
        <v/>
      </c>
      <c r="BA81" s="40"/>
      <c r="BB81" s="40"/>
      <c r="BC81" s="38"/>
      <c r="BE81" s="53" t="str">
        <f aca="false">IF(OR($A81="",$L81="",$H81=""),"",IF(AND(LEFT($L81,2)="06",$H81&gt;1945),"FAIL - pre-war class, year "&amp;$H81,IF(AND(LEFT($L81,2)="07",OR($H81&lt;1946,$H81&gt;1972)),"FAIL - 1946-72 class, year "&amp;$H81,IF(AND(LEFT($L81,2)="08",OR($H81&lt;1973,$H81&gt;1999)),"FAIL - 1973-99 class, year "&amp;$H81,IF(AND(LEFT($L81,2)="09",OR($H81&lt;2000,$H81&gt;2010)),"FAIL - 2000-10 class, year "&amp;$H81,"OK")))))</f>
        <v/>
      </c>
      <c r="BF81" s="53" t="str">
        <f aca="false">IF($AD81="","",IF(ROUND($AO81+$AP81+$AQ81-$AD81,2)=0,"OK","FAIL - out by "&amp;TEXT($AO81+$AP81+$AQ81-$AD81,"$0.00")))</f>
        <v/>
      </c>
    </row>
    <row r="82" customFormat="false" ht="15" hidden="false" customHeight="true" outlineLevel="0" collapsed="false">
      <c r="A82" s="54"/>
      <c r="B82" s="54"/>
      <c r="C82" s="55"/>
      <c r="D82" s="56"/>
      <c r="E82" s="56"/>
      <c r="F82" s="54"/>
      <c r="G82" s="41" t="str">
        <f aca="false">IF($A82="","",IF($C82="","",YEAR($C82)))</f>
        <v/>
      </c>
      <c r="H82" s="57"/>
      <c r="I82" s="54"/>
      <c r="J82" s="54"/>
      <c r="K82" s="54"/>
      <c r="L82" s="56"/>
      <c r="M82" s="58"/>
      <c r="N82" s="56"/>
      <c r="O82" s="54"/>
      <c r="P82" s="54"/>
      <c r="Q82" s="54"/>
      <c r="R82" s="54"/>
      <c r="S82" s="56"/>
      <c r="T82" s="44" t="str">
        <f aca="false">IF($A82="","",IF($S82="","",IFERROR(INDEX(Lists!$N$5:$N$16,MATCH($S82,Lists!$M$5:$M$16,0)),"?")))</f>
        <v/>
      </c>
      <c r="U82" s="54"/>
      <c r="V82" s="56"/>
      <c r="W82" s="54"/>
      <c r="X82" s="56"/>
      <c r="Y82" s="54"/>
      <c r="Z82" s="54"/>
      <c r="AA82" s="56"/>
      <c r="AB82" s="58"/>
      <c r="AC82" s="59"/>
      <c r="AD82" s="46" t="str">
        <f aca="false">IF(ISNUMBER($AB82),$AB82*(1+N($AC82)),"")</f>
        <v/>
      </c>
      <c r="AE82" s="58"/>
      <c r="AF82" s="58"/>
      <c r="AG82" s="59"/>
      <c r="AH82" s="47" t="str">
        <f aca="false">IF(ISNUMBER($AD82),($AD82+$AE82+$AF82)*$AG82,"")</f>
        <v/>
      </c>
      <c r="AI82" s="58"/>
      <c r="AJ82" s="46" t="str">
        <f aca="false">IF(ISNUMBER($AD82),SUM($AD82:$AH82),"")</f>
        <v/>
      </c>
      <c r="AK82" s="48" t="str">
        <f aca="false">IF(AND(ISNUMBER($AB82),ISNUMBER($AD82)),IF($AB82&gt;0,$AD82/$AB82,""),"")</f>
        <v/>
      </c>
      <c r="AL82" s="56"/>
      <c r="AM82" s="49" t="str">
        <f aca="false">IF(ISNUMBER($AD82),Header!$I$3,"")</f>
        <v/>
      </c>
      <c r="AN82" s="47" t="str">
        <f aca="false">IF(ISNUMBER($AD82),$AO82+$AP82,"")</f>
        <v/>
      </c>
      <c r="AO82" s="47" t="str">
        <f aca="false">IF(ISNUMBER($AD82),ROUND($AD82*Header!$K$3,2),"")</f>
        <v/>
      </c>
      <c r="AP82" s="47" t="str">
        <f aca="false">IF(ISNUMBER($AD82),ROUND($AD82*Header!$M$3,2),"")</f>
        <v/>
      </c>
      <c r="AQ82" s="46" t="str">
        <f aca="false">IF(ISNUMBER($AD82),ROUND($AD82,2)-$AO82-$AP82,"")</f>
        <v/>
      </c>
      <c r="AR82" s="47" t="str">
        <f aca="false">IF(ISNUMBER($AD82),IF(Header!$D$34="","?",$AD82*Header!$D$34),"")</f>
        <v/>
      </c>
      <c r="AS82" s="47" t="str">
        <f aca="false">IF(ISNUMBER($AB82),IF(Header!$D$34="","?",$AB82*Header!$D$34),"")</f>
        <v/>
      </c>
      <c r="AT82" s="50" t="str">
        <f aca="false">IF(AND(ISNUMBER($AB82),$M82&gt;0),$AB82/$M82*100,"")</f>
        <v/>
      </c>
      <c r="AU82" s="50" t="str">
        <f aca="false">IF(AND(ISNUMBER($AD82),$M82&gt;0),$AD82/$M82*100,"")</f>
        <v/>
      </c>
      <c r="AV82" s="48" t="str">
        <f aca="false">IF(AND(ISNUMBER($AB82),ISNUMBER($AD82),ABS($AB82)&gt;0),$AD82/$AB82,"")</f>
        <v/>
      </c>
      <c r="AW82" s="47" t="str">
        <f aca="false">IF(ISNUMBER($AD82),MAX(0,(1-0.55-Header!$O$3)*Header!$Q$3*$AQ82),"")</f>
        <v/>
      </c>
      <c r="AX82" s="51" t="str">
        <f aca="false">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v/>
      </c>
      <c r="AY82" s="52" t="str">
        <f aca="false">IF($M82="","",IF(ISNUMBER($M82),IF($M82&gt;=Header!$C$18,"YES — refer","No"),""))</f>
        <v/>
      </c>
      <c r="AZ82" s="52" t="str">
        <f aca="false">IF($AD82="","",IF(ISNUMBER($AD82),IF($AD82&lt;Header!$C$20,"BELOW MIN PREMIUM","OK"),""))</f>
        <v/>
      </c>
      <c r="BA82" s="56"/>
      <c r="BB82" s="56"/>
      <c r="BC82" s="54"/>
      <c r="BE82" s="53" t="str">
        <f aca="false">IF(OR($A82="",$L82="",$H82=""),"",IF(AND(LEFT($L82,2)="06",$H82&gt;1945),"FAIL - pre-war class, year "&amp;$H82,IF(AND(LEFT($L82,2)="07",OR($H82&lt;1946,$H82&gt;1972)),"FAIL - 1946-72 class, year "&amp;$H82,IF(AND(LEFT($L82,2)="08",OR($H82&lt;1973,$H82&gt;1999)),"FAIL - 1973-99 class, year "&amp;$H82,IF(AND(LEFT($L82,2)="09",OR($H82&lt;2000,$H82&gt;2010)),"FAIL - 2000-10 class, year "&amp;$H82,"OK")))))</f>
        <v/>
      </c>
      <c r="BF82" s="53" t="str">
        <f aca="false">IF($AD82="","",IF(ROUND($AO82+$AP82+$AQ82-$AD82,2)=0,"OK","FAIL - out by "&amp;TEXT($AO82+$AP82+$AQ82-$AD82,"$0.00")))</f>
        <v/>
      </c>
    </row>
    <row r="83" customFormat="false" ht="15" hidden="false" customHeight="true" outlineLevel="0" collapsed="false">
      <c r="A83" s="38"/>
      <c r="B83" s="38"/>
      <c r="C83" s="39"/>
      <c r="D83" s="40"/>
      <c r="E83" s="40"/>
      <c r="F83" s="38"/>
      <c r="G83" s="41" t="str">
        <f aca="false">IF($A83="","",IF($C83="","",YEAR($C83)))</f>
        <v/>
      </c>
      <c r="H83" s="42"/>
      <c r="I83" s="38"/>
      <c r="J83" s="38"/>
      <c r="K83" s="38"/>
      <c r="L83" s="40"/>
      <c r="M83" s="43"/>
      <c r="N83" s="40"/>
      <c r="O83" s="38"/>
      <c r="P83" s="38"/>
      <c r="Q83" s="38"/>
      <c r="R83" s="38"/>
      <c r="S83" s="40"/>
      <c r="T83" s="44" t="str">
        <f aca="false">IF($A83="","",IF($S83="","",IFERROR(INDEX(Lists!$N$5:$N$16,MATCH($S83,Lists!$M$5:$M$16,0)),"?")))</f>
        <v/>
      </c>
      <c r="U83" s="38"/>
      <c r="V83" s="40"/>
      <c r="W83" s="38"/>
      <c r="X83" s="40"/>
      <c r="Y83" s="38"/>
      <c r="Z83" s="38"/>
      <c r="AA83" s="40"/>
      <c r="AB83" s="43"/>
      <c r="AC83" s="45"/>
      <c r="AD83" s="46" t="str">
        <f aca="false">IF(ISNUMBER($AB83),$AB83*(1+N($AC83)),"")</f>
        <v/>
      </c>
      <c r="AE83" s="43"/>
      <c r="AF83" s="43"/>
      <c r="AG83" s="45"/>
      <c r="AH83" s="47" t="str">
        <f aca="false">IF(ISNUMBER($AD83),($AD83+$AE83+$AF83)*$AG83,"")</f>
        <v/>
      </c>
      <c r="AI83" s="43"/>
      <c r="AJ83" s="46" t="str">
        <f aca="false">IF(ISNUMBER($AD83),SUM($AD83:$AH83),"")</f>
        <v/>
      </c>
      <c r="AK83" s="48" t="str">
        <f aca="false">IF(AND(ISNUMBER($AB83),ISNUMBER($AD83)),IF($AB83&gt;0,$AD83/$AB83,""),"")</f>
        <v/>
      </c>
      <c r="AL83" s="40"/>
      <c r="AM83" s="49" t="str">
        <f aca="false">IF(ISNUMBER($AD83),Header!$I$3,"")</f>
        <v/>
      </c>
      <c r="AN83" s="47" t="str">
        <f aca="false">IF(ISNUMBER($AD83),$AO83+$AP83,"")</f>
        <v/>
      </c>
      <c r="AO83" s="47" t="str">
        <f aca="false">IF(ISNUMBER($AD83),ROUND($AD83*Header!$K$3,2),"")</f>
        <v/>
      </c>
      <c r="AP83" s="47" t="str">
        <f aca="false">IF(ISNUMBER($AD83),ROUND($AD83*Header!$M$3,2),"")</f>
        <v/>
      </c>
      <c r="AQ83" s="46" t="str">
        <f aca="false">IF(ISNUMBER($AD83),ROUND($AD83,2)-$AO83-$AP83,"")</f>
        <v/>
      </c>
      <c r="AR83" s="47" t="str">
        <f aca="false">IF(ISNUMBER($AD83),IF(Header!$D$34="","?",$AD83*Header!$D$34),"")</f>
        <v/>
      </c>
      <c r="AS83" s="47" t="str">
        <f aca="false">IF(ISNUMBER($AB83),IF(Header!$D$34="","?",$AB83*Header!$D$34),"")</f>
        <v/>
      </c>
      <c r="AT83" s="50" t="str">
        <f aca="false">IF(AND(ISNUMBER($AB83),$M83&gt;0),$AB83/$M83*100,"")</f>
        <v/>
      </c>
      <c r="AU83" s="50" t="str">
        <f aca="false">IF(AND(ISNUMBER($AD83),$M83&gt;0),$AD83/$M83*100,"")</f>
        <v/>
      </c>
      <c r="AV83" s="48" t="str">
        <f aca="false">IF(AND(ISNUMBER($AB83),ISNUMBER($AD83),ABS($AB83)&gt;0),$AD83/$AB83,"")</f>
        <v/>
      </c>
      <c r="AW83" s="47" t="str">
        <f aca="false">IF(ISNUMBER($AD83),MAX(0,(1-0.55-Header!$O$3)*Header!$Q$3*$AQ83),"")</f>
        <v/>
      </c>
      <c r="AX83" s="51" t="str">
        <f aca="false">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v/>
      </c>
      <c r="AY83" s="52" t="str">
        <f aca="false">IF($M83="","",IF(ISNUMBER($M83),IF($M83&gt;=Header!$C$18,"YES — refer","No"),""))</f>
        <v/>
      </c>
      <c r="AZ83" s="52" t="str">
        <f aca="false">IF($AD83="","",IF(ISNUMBER($AD83),IF($AD83&lt;Header!$C$20,"BELOW MIN PREMIUM","OK"),""))</f>
        <v/>
      </c>
      <c r="BA83" s="40"/>
      <c r="BB83" s="40"/>
      <c r="BC83" s="38"/>
      <c r="BE83" s="53" t="str">
        <f aca="false">IF(OR($A83="",$L83="",$H83=""),"",IF(AND(LEFT($L83,2)="06",$H83&gt;1945),"FAIL - pre-war class, year "&amp;$H83,IF(AND(LEFT($L83,2)="07",OR($H83&lt;1946,$H83&gt;1972)),"FAIL - 1946-72 class, year "&amp;$H83,IF(AND(LEFT($L83,2)="08",OR($H83&lt;1973,$H83&gt;1999)),"FAIL - 1973-99 class, year "&amp;$H83,IF(AND(LEFT($L83,2)="09",OR($H83&lt;2000,$H83&gt;2010)),"FAIL - 2000-10 class, year "&amp;$H83,"OK")))))</f>
        <v/>
      </c>
      <c r="BF83" s="53" t="str">
        <f aca="false">IF($AD83="","",IF(ROUND($AO83+$AP83+$AQ83-$AD83,2)=0,"OK","FAIL - out by "&amp;TEXT($AO83+$AP83+$AQ83-$AD83,"$0.00")))</f>
        <v/>
      </c>
    </row>
    <row r="84" customFormat="false" ht="15" hidden="false" customHeight="true" outlineLevel="0" collapsed="false">
      <c r="A84" s="54"/>
      <c r="B84" s="54"/>
      <c r="C84" s="55"/>
      <c r="D84" s="56"/>
      <c r="E84" s="56"/>
      <c r="F84" s="54"/>
      <c r="G84" s="41" t="str">
        <f aca="false">IF($A84="","",IF($C84="","",YEAR($C84)))</f>
        <v/>
      </c>
      <c r="H84" s="57"/>
      <c r="I84" s="54"/>
      <c r="J84" s="54"/>
      <c r="K84" s="54"/>
      <c r="L84" s="56"/>
      <c r="M84" s="58"/>
      <c r="N84" s="56"/>
      <c r="O84" s="54"/>
      <c r="P84" s="54"/>
      <c r="Q84" s="54"/>
      <c r="R84" s="54"/>
      <c r="S84" s="56"/>
      <c r="T84" s="44" t="str">
        <f aca="false">IF($A84="","",IF($S84="","",IFERROR(INDEX(Lists!$N$5:$N$16,MATCH($S84,Lists!$M$5:$M$16,0)),"?")))</f>
        <v/>
      </c>
      <c r="U84" s="54"/>
      <c r="V84" s="56"/>
      <c r="W84" s="54"/>
      <c r="X84" s="56"/>
      <c r="Y84" s="54"/>
      <c r="Z84" s="54"/>
      <c r="AA84" s="56"/>
      <c r="AB84" s="58"/>
      <c r="AC84" s="59"/>
      <c r="AD84" s="46" t="str">
        <f aca="false">IF(ISNUMBER($AB84),$AB84*(1+N($AC84)),"")</f>
        <v/>
      </c>
      <c r="AE84" s="58"/>
      <c r="AF84" s="58"/>
      <c r="AG84" s="59"/>
      <c r="AH84" s="47" t="str">
        <f aca="false">IF(ISNUMBER($AD84),($AD84+$AE84+$AF84)*$AG84,"")</f>
        <v/>
      </c>
      <c r="AI84" s="58"/>
      <c r="AJ84" s="46" t="str">
        <f aca="false">IF(ISNUMBER($AD84),SUM($AD84:$AH84),"")</f>
        <v/>
      </c>
      <c r="AK84" s="48" t="str">
        <f aca="false">IF(AND(ISNUMBER($AB84),ISNUMBER($AD84)),IF($AB84&gt;0,$AD84/$AB84,""),"")</f>
        <v/>
      </c>
      <c r="AL84" s="56"/>
      <c r="AM84" s="49" t="str">
        <f aca="false">IF(ISNUMBER($AD84),Header!$I$3,"")</f>
        <v/>
      </c>
      <c r="AN84" s="47" t="str">
        <f aca="false">IF(ISNUMBER($AD84),$AO84+$AP84,"")</f>
        <v/>
      </c>
      <c r="AO84" s="47" t="str">
        <f aca="false">IF(ISNUMBER($AD84),ROUND($AD84*Header!$K$3,2),"")</f>
        <v/>
      </c>
      <c r="AP84" s="47" t="str">
        <f aca="false">IF(ISNUMBER($AD84),ROUND($AD84*Header!$M$3,2),"")</f>
        <v/>
      </c>
      <c r="AQ84" s="46" t="str">
        <f aca="false">IF(ISNUMBER($AD84),ROUND($AD84,2)-$AO84-$AP84,"")</f>
        <v/>
      </c>
      <c r="AR84" s="47" t="str">
        <f aca="false">IF(ISNUMBER($AD84),IF(Header!$D$34="","?",$AD84*Header!$D$34),"")</f>
        <v/>
      </c>
      <c r="AS84" s="47" t="str">
        <f aca="false">IF(ISNUMBER($AB84),IF(Header!$D$34="","?",$AB84*Header!$D$34),"")</f>
        <v/>
      </c>
      <c r="AT84" s="50" t="str">
        <f aca="false">IF(AND(ISNUMBER($AB84),$M84&gt;0),$AB84/$M84*100,"")</f>
        <v/>
      </c>
      <c r="AU84" s="50" t="str">
        <f aca="false">IF(AND(ISNUMBER($AD84),$M84&gt;0),$AD84/$M84*100,"")</f>
        <v/>
      </c>
      <c r="AV84" s="48" t="str">
        <f aca="false">IF(AND(ISNUMBER($AB84),ISNUMBER($AD84),ABS($AB84)&gt;0),$AD84/$AB84,"")</f>
        <v/>
      </c>
      <c r="AW84" s="47" t="str">
        <f aca="false">IF(ISNUMBER($AD84),MAX(0,(1-0.55-Header!$O$3)*Header!$Q$3*$AQ84),"")</f>
        <v/>
      </c>
      <c r="AX84" s="51" t="str">
        <f aca="false">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v/>
      </c>
      <c r="AY84" s="52" t="str">
        <f aca="false">IF($M84="","",IF(ISNUMBER($M84),IF($M84&gt;=Header!$C$18,"YES — refer","No"),""))</f>
        <v/>
      </c>
      <c r="AZ84" s="52" t="str">
        <f aca="false">IF($AD84="","",IF(ISNUMBER($AD84),IF($AD84&lt;Header!$C$20,"BELOW MIN PREMIUM","OK"),""))</f>
        <v/>
      </c>
      <c r="BA84" s="56"/>
      <c r="BB84" s="56"/>
      <c r="BC84" s="54"/>
      <c r="BE84" s="53" t="str">
        <f aca="false">IF(OR($A84="",$L84="",$H84=""),"",IF(AND(LEFT($L84,2)="06",$H84&gt;1945),"FAIL - pre-war class, year "&amp;$H84,IF(AND(LEFT($L84,2)="07",OR($H84&lt;1946,$H84&gt;1972)),"FAIL - 1946-72 class, year "&amp;$H84,IF(AND(LEFT($L84,2)="08",OR($H84&lt;1973,$H84&gt;1999)),"FAIL - 1973-99 class, year "&amp;$H84,IF(AND(LEFT($L84,2)="09",OR($H84&lt;2000,$H84&gt;2010)),"FAIL - 2000-10 class, year "&amp;$H84,"OK")))))</f>
        <v/>
      </c>
      <c r="BF84" s="53" t="str">
        <f aca="false">IF($AD84="","",IF(ROUND($AO84+$AP84+$AQ84-$AD84,2)=0,"OK","FAIL - out by "&amp;TEXT($AO84+$AP84+$AQ84-$AD84,"$0.00")))</f>
        <v/>
      </c>
    </row>
    <row r="85" customFormat="false" ht="15" hidden="false" customHeight="true" outlineLevel="0" collapsed="false">
      <c r="A85" s="38"/>
      <c r="B85" s="38"/>
      <c r="C85" s="39"/>
      <c r="D85" s="40"/>
      <c r="E85" s="40"/>
      <c r="F85" s="38"/>
      <c r="G85" s="41" t="str">
        <f aca="false">IF($A85="","",IF($C85="","",YEAR($C85)))</f>
        <v/>
      </c>
      <c r="H85" s="42"/>
      <c r="I85" s="38"/>
      <c r="J85" s="38"/>
      <c r="K85" s="38"/>
      <c r="L85" s="40"/>
      <c r="M85" s="43"/>
      <c r="N85" s="40"/>
      <c r="O85" s="38"/>
      <c r="P85" s="38"/>
      <c r="Q85" s="38"/>
      <c r="R85" s="38"/>
      <c r="S85" s="40"/>
      <c r="T85" s="44" t="str">
        <f aca="false">IF($A85="","",IF($S85="","",IFERROR(INDEX(Lists!$N$5:$N$16,MATCH($S85,Lists!$M$5:$M$16,0)),"?")))</f>
        <v/>
      </c>
      <c r="U85" s="38"/>
      <c r="V85" s="40"/>
      <c r="W85" s="38"/>
      <c r="X85" s="40"/>
      <c r="Y85" s="38"/>
      <c r="Z85" s="38"/>
      <c r="AA85" s="40"/>
      <c r="AB85" s="43"/>
      <c r="AC85" s="45"/>
      <c r="AD85" s="46" t="str">
        <f aca="false">IF(ISNUMBER($AB85),$AB85*(1+N($AC85)),"")</f>
        <v/>
      </c>
      <c r="AE85" s="43"/>
      <c r="AF85" s="43"/>
      <c r="AG85" s="45"/>
      <c r="AH85" s="47" t="str">
        <f aca="false">IF(ISNUMBER($AD85),($AD85+$AE85+$AF85)*$AG85,"")</f>
        <v/>
      </c>
      <c r="AI85" s="43"/>
      <c r="AJ85" s="46" t="str">
        <f aca="false">IF(ISNUMBER($AD85),SUM($AD85:$AH85),"")</f>
        <v/>
      </c>
      <c r="AK85" s="48" t="str">
        <f aca="false">IF(AND(ISNUMBER($AB85),ISNUMBER($AD85)),IF($AB85&gt;0,$AD85/$AB85,""),"")</f>
        <v/>
      </c>
      <c r="AL85" s="40"/>
      <c r="AM85" s="49" t="str">
        <f aca="false">IF(ISNUMBER($AD85),Header!$I$3,"")</f>
        <v/>
      </c>
      <c r="AN85" s="47" t="str">
        <f aca="false">IF(ISNUMBER($AD85),$AO85+$AP85,"")</f>
        <v/>
      </c>
      <c r="AO85" s="47" t="str">
        <f aca="false">IF(ISNUMBER($AD85),ROUND($AD85*Header!$K$3,2),"")</f>
        <v/>
      </c>
      <c r="AP85" s="47" t="str">
        <f aca="false">IF(ISNUMBER($AD85),ROUND($AD85*Header!$M$3,2),"")</f>
        <v/>
      </c>
      <c r="AQ85" s="46" t="str">
        <f aca="false">IF(ISNUMBER($AD85),ROUND($AD85,2)-$AO85-$AP85,"")</f>
        <v/>
      </c>
      <c r="AR85" s="47" t="str">
        <f aca="false">IF(ISNUMBER($AD85),IF(Header!$D$34="","?",$AD85*Header!$D$34),"")</f>
        <v/>
      </c>
      <c r="AS85" s="47" t="str">
        <f aca="false">IF(ISNUMBER($AB85),IF(Header!$D$34="","?",$AB85*Header!$D$34),"")</f>
        <v/>
      </c>
      <c r="AT85" s="50" t="str">
        <f aca="false">IF(AND(ISNUMBER($AB85),$M85&gt;0),$AB85/$M85*100,"")</f>
        <v/>
      </c>
      <c r="AU85" s="50" t="str">
        <f aca="false">IF(AND(ISNUMBER($AD85),$M85&gt;0),$AD85/$M85*100,"")</f>
        <v/>
      </c>
      <c r="AV85" s="48" t="str">
        <f aca="false">IF(AND(ISNUMBER($AB85),ISNUMBER($AD85),ABS($AB85)&gt;0),$AD85/$AB85,"")</f>
        <v/>
      </c>
      <c r="AW85" s="47" t="str">
        <f aca="false">IF(ISNUMBER($AD85),MAX(0,(1-0.55-Header!$O$3)*Header!$Q$3*$AQ85),"")</f>
        <v/>
      </c>
      <c r="AX85" s="51" t="str">
        <f aca="false">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v/>
      </c>
      <c r="AY85" s="52" t="str">
        <f aca="false">IF($M85="","",IF(ISNUMBER($M85),IF($M85&gt;=Header!$C$18,"YES — refer","No"),""))</f>
        <v/>
      </c>
      <c r="AZ85" s="52" t="str">
        <f aca="false">IF($AD85="","",IF(ISNUMBER($AD85),IF($AD85&lt;Header!$C$20,"BELOW MIN PREMIUM","OK"),""))</f>
        <v/>
      </c>
      <c r="BA85" s="40"/>
      <c r="BB85" s="40"/>
      <c r="BC85" s="38"/>
      <c r="BE85" s="53" t="str">
        <f aca="false">IF(OR($A85="",$L85="",$H85=""),"",IF(AND(LEFT($L85,2)="06",$H85&gt;1945),"FAIL - pre-war class, year "&amp;$H85,IF(AND(LEFT($L85,2)="07",OR($H85&lt;1946,$H85&gt;1972)),"FAIL - 1946-72 class, year "&amp;$H85,IF(AND(LEFT($L85,2)="08",OR($H85&lt;1973,$H85&gt;1999)),"FAIL - 1973-99 class, year "&amp;$H85,IF(AND(LEFT($L85,2)="09",OR($H85&lt;2000,$H85&gt;2010)),"FAIL - 2000-10 class, year "&amp;$H85,"OK")))))</f>
        <v/>
      </c>
      <c r="BF85" s="53" t="str">
        <f aca="false">IF($AD85="","",IF(ROUND($AO85+$AP85+$AQ85-$AD85,2)=0,"OK","FAIL - out by "&amp;TEXT($AO85+$AP85+$AQ85-$AD85,"$0.00")))</f>
        <v/>
      </c>
    </row>
    <row r="86" customFormat="false" ht="15" hidden="false" customHeight="true" outlineLevel="0" collapsed="false">
      <c r="A86" s="54"/>
      <c r="B86" s="54"/>
      <c r="C86" s="55"/>
      <c r="D86" s="56"/>
      <c r="E86" s="56"/>
      <c r="F86" s="54"/>
      <c r="G86" s="41" t="str">
        <f aca="false">IF($A86="","",IF($C86="","",YEAR($C86)))</f>
        <v/>
      </c>
      <c r="H86" s="57"/>
      <c r="I86" s="54"/>
      <c r="J86" s="54"/>
      <c r="K86" s="54"/>
      <c r="L86" s="56"/>
      <c r="M86" s="58"/>
      <c r="N86" s="56"/>
      <c r="O86" s="54"/>
      <c r="P86" s="54"/>
      <c r="Q86" s="54"/>
      <c r="R86" s="54"/>
      <c r="S86" s="56"/>
      <c r="T86" s="44" t="str">
        <f aca="false">IF($A86="","",IF($S86="","",IFERROR(INDEX(Lists!$N$5:$N$16,MATCH($S86,Lists!$M$5:$M$16,0)),"?")))</f>
        <v/>
      </c>
      <c r="U86" s="54"/>
      <c r="V86" s="56"/>
      <c r="W86" s="54"/>
      <c r="X86" s="56"/>
      <c r="Y86" s="54"/>
      <c r="Z86" s="54"/>
      <c r="AA86" s="56"/>
      <c r="AB86" s="58"/>
      <c r="AC86" s="59"/>
      <c r="AD86" s="46" t="str">
        <f aca="false">IF(ISNUMBER($AB86),$AB86*(1+N($AC86)),"")</f>
        <v/>
      </c>
      <c r="AE86" s="58"/>
      <c r="AF86" s="58"/>
      <c r="AG86" s="59"/>
      <c r="AH86" s="47" t="str">
        <f aca="false">IF(ISNUMBER($AD86),($AD86+$AE86+$AF86)*$AG86,"")</f>
        <v/>
      </c>
      <c r="AI86" s="58"/>
      <c r="AJ86" s="46" t="str">
        <f aca="false">IF(ISNUMBER($AD86),SUM($AD86:$AH86),"")</f>
        <v/>
      </c>
      <c r="AK86" s="48" t="str">
        <f aca="false">IF(AND(ISNUMBER($AB86),ISNUMBER($AD86)),IF($AB86&gt;0,$AD86/$AB86,""),"")</f>
        <v/>
      </c>
      <c r="AL86" s="56"/>
      <c r="AM86" s="49" t="str">
        <f aca="false">IF(ISNUMBER($AD86),Header!$I$3,"")</f>
        <v/>
      </c>
      <c r="AN86" s="47" t="str">
        <f aca="false">IF(ISNUMBER($AD86),$AO86+$AP86,"")</f>
        <v/>
      </c>
      <c r="AO86" s="47" t="str">
        <f aca="false">IF(ISNUMBER($AD86),ROUND($AD86*Header!$K$3,2),"")</f>
        <v/>
      </c>
      <c r="AP86" s="47" t="str">
        <f aca="false">IF(ISNUMBER($AD86),ROUND($AD86*Header!$M$3,2),"")</f>
        <v/>
      </c>
      <c r="AQ86" s="46" t="str">
        <f aca="false">IF(ISNUMBER($AD86),ROUND($AD86,2)-$AO86-$AP86,"")</f>
        <v/>
      </c>
      <c r="AR86" s="47" t="str">
        <f aca="false">IF(ISNUMBER($AD86),IF(Header!$D$34="","?",$AD86*Header!$D$34),"")</f>
        <v/>
      </c>
      <c r="AS86" s="47" t="str">
        <f aca="false">IF(ISNUMBER($AB86),IF(Header!$D$34="","?",$AB86*Header!$D$34),"")</f>
        <v/>
      </c>
      <c r="AT86" s="50" t="str">
        <f aca="false">IF(AND(ISNUMBER($AB86),$M86&gt;0),$AB86/$M86*100,"")</f>
        <v/>
      </c>
      <c r="AU86" s="50" t="str">
        <f aca="false">IF(AND(ISNUMBER($AD86),$M86&gt;0),$AD86/$M86*100,"")</f>
        <v/>
      </c>
      <c r="AV86" s="48" t="str">
        <f aca="false">IF(AND(ISNUMBER($AB86),ISNUMBER($AD86),ABS($AB86)&gt;0),$AD86/$AB86,"")</f>
        <v/>
      </c>
      <c r="AW86" s="47" t="str">
        <f aca="false">IF(ISNUMBER($AD86),MAX(0,(1-0.55-Header!$O$3)*Header!$Q$3*$AQ86),"")</f>
        <v/>
      </c>
      <c r="AX86" s="51" t="str">
        <f aca="false">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v/>
      </c>
      <c r="AY86" s="52" t="str">
        <f aca="false">IF($M86="","",IF(ISNUMBER($M86),IF($M86&gt;=Header!$C$18,"YES — refer","No"),""))</f>
        <v/>
      </c>
      <c r="AZ86" s="52" t="str">
        <f aca="false">IF($AD86="","",IF(ISNUMBER($AD86),IF($AD86&lt;Header!$C$20,"BELOW MIN PREMIUM","OK"),""))</f>
        <v/>
      </c>
      <c r="BA86" s="56"/>
      <c r="BB86" s="56"/>
      <c r="BC86" s="54"/>
      <c r="BE86" s="53" t="str">
        <f aca="false">IF(OR($A86="",$L86="",$H86=""),"",IF(AND(LEFT($L86,2)="06",$H86&gt;1945),"FAIL - pre-war class, year "&amp;$H86,IF(AND(LEFT($L86,2)="07",OR($H86&lt;1946,$H86&gt;1972)),"FAIL - 1946-72 class, year "&amp;$H86,IF(AND(LEFT($L86,2)="08",OR($H86&lt;1973,$H86&gt;1999)),"FAIL - 1973-99 class, year "&amp;$H86,IF(AND(LEFT($L86,2)="09",OR($H86&lt;2000,$H86&gt;2010)),"FAIL - 2000-10 class, year "&amp;$H86,"OK")))))</f>
        <v/>
      </c>
      <c r="BF86" s="53" t="str">
        <f aca="false">IF($AD86="","",IF(ROUND($AO86+$AP86+$AQ86-$AD86,2)=0,"OK","FAIL - out by "&amp;TEXT($AO86+$AP86+$AQ86-$AD86,"$0.00")))</f>
        <v/>
      </c>
    </row>
    <row r="87" customFormat="false" ht="15" hidden="false" customHeight="true" outlineLevel="0" collapsed="false">
      <c r="A87" s="38"/>
      <c r="B87" s="38"/>
      <c r="C87" s="39"/>
      <c r="D87" s="40"/>
      <c r="E87" s="40"/>
      <c r="F87" s="38"/>
      <c r="G87" s="41" t="str">
        <f aca="false">IF($A87="","",IF($C87="","",YEAR($C87)))</f>
        <v/>
      </c>
      <c r="H87" s="42"/>
      <c r="I87" s="38"/>
      <c r="J87" s="38"/>
      <c r="K87" s="38"/>
      <c r="L87" s="40"/>
      <c r="M87" s="43"/>
      <c r="N87" s="40"/>
      <c r="O87" s="38"/>
      <c r="P87" s="38"/>
      <c r="Q87" s="38"/>
      <c r="R87" s="38"/>
      <c r="S87" s="40"/>
      <c r="T87" s="44" t="str">
        <f aca="false">IF($A87="","",IF($S87="","",IFERROR(INDEX(Lists!$N$5:$N$16,MATCH($S87,Lists!$M$5:$M$16,0)),"?")))</f>
        <v/>
      </c>
      <c r="U87" s="38"/>
      <c r="V87" s="40"/>
      <c r="W87" s="38"/>
      <c r="X87" s="40"/>
      <c r="Y87" s="38"/>
      <c r="Z87" s="38"/>
      <c r="AA87" s="40"/>
      <c r="AB87" s="43"/>
      <c r="AC87" s="45"/>
      <c r="AD87" s="46" t="str">
        <f aca="false">IF(ISNUMBER($AB87),$AB87*(1+N($AC87)),"")</f>
        <v/>
      </c>
      <c r="AE87" s="43"/>
      <c r="AF87" s="43"/>
      <c r="AG87" s="45"/>
      <c r="AH87" s="47" t="str">
        <f aca="false">IF(ISNUMBER($AD87),($AD87+$AE87+$AF87)*$AG87,"")</f>
        <v/>
      </c>
      <c r="AI87" s="43"/>
      <c r="AJ87" s="46" t="str">
        <f aca="false">IF(ISNUMBER($AD87),SUM($AD87:$AH87),"")</f>
        <v/>
      </c>
      <c r="AK87" s="48" t="str">
        <f aca="false">IF(AND(ISNUMBER($AB87),ISNUMBER($AD87)),IF($AB87&gt;0,$AD87/$AB87,""),"")</f>
        <v/>
      </c>
      <c r="AL87" s="40"/>
      <c r="AM87" s="49" t="str">
        <f aca="false">IF(ISNUMBER($AD87),Header!$I$3,"")</f>
        <v/>
      </c>
      <c r="AN87" s="47" t="str">
        <f aca="false">IF(ISNUMBER($AD87),$AO87+$AP87,"")</f>
        <v/>
      </c>
      <c r="AO87" s="47" t="str">
        <f aca="false">IF(ISNUMBER($AD87),ROUND($AD87*Header!$K$3,2),"")</f>
        <v/>
      </c>
      <c r="AP87" s="47" t="str">
        <f aca="false">IF(ISNUMBER($AD87),ROUND($AD87*Header!$M$3,2),"")</f>
        <v/>
      </c>
      <c r="AQ87" s="46" t="str">
        <f aca="false">IF(ISNUMBER($AD87),ROUND($AD87,2)-$AO87-$AP87,"")</f>
        <v/>
      </c>
      <c r="AR87" s="47" t="str">
        <f aca="false">IF(ISNUMBER($AD87),IF(Header!$D$34="","?",$AD87*Header!$D$34),"")</f>
        <v/>
      </c>
      <c r="AS87" s="47" t="str">
        <f aca="false">IF(ISNUMBER($AB87),IF(Header!$D$34="","?",$AB87*Header!$D$34),"")</f>
        <v/>
      </c>
      <c r="AT87" s="50" t="str">
        <f aca="false">IF(AND(ISNUMBER($AB87),$M87&gt;0),$AB87/$M87*100,"")</f>
        <v/>
      </c>
      <c r="AU87" s="50" t="str">
        <f aca="false">IF(AND(ISNUMBER($AD87),$M87&gt;0),$AD87/$M87*100,"")</f>
        <v/>
      </c>
      <c r="AV87" s="48" t="str">
        <f aca="false">IF(AND(ISNUMBER($AB87),ISNUMBER($AD87),ABS($AB87)&gt;0),$AD87/$AB87,"")</f>
        <v/>
      </c>
      <c r="AW87" s="47" t="str">
        <f aca="false">IF(ISNUMBER($AD87),MAX(0,(1-0.55-Header!$O$3)*Header!$Q$3*$AQ87),"")</f>
        <v/>
      </c>
      <c r="AX87" s="51" t="str">
        <f aca="false">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v/>
      </c>
      <c r="AY87" s="52" t="str">
        <f aca="false">IF($M87="","",IF(ISNUMBER($M87),IF($M87&gt;=Header!$C$18,"YES — refer","No"),""))</f>
        <v/>
      </c>
      <c r="AZ87" s="52" t="str">
        <f aca="false">IF($AD87="","",IF(ISNUMBER($AD87),IF($AD87&lt;Header!$C$20,"BELOW MIN PREMIUM","OK"),""))</f>
        <v/>
      </c>
      <c r="BA87" s="40"/>
      <c r="BB87" s="40"/>
      <c r="BC87" s="38"/>
      <c r="BE87" s="53" t="str">
        <f aca="false">IF(OR($A87="",$L87="",$H87=""),"",IF(AND(LEFT($L87,2)="06",$H87&gt;1945),"FAIL - pre-war class, year "&amp;$H87,IF(AND(LEFT($L87,2)="07",OR($H87&lt;1946,$H87&gt;1972)),"FAIL - 1946-72 class, year "&amp;$H87,IF(AND(LEFT($L87,2)="08",OR($H87&lt;1973,$H87&gt;1999)),"FAIL - 1973-99 class, year "&amp;$H87,IF(AND(LEFT($L87,2)="09",OR($H87&lt;2000,$H87&gt;2010)),"FAIL - 2000-10 class, year "&amp;$H87,"OK")))))</f>
        <v/>
      </c>
      <c r="BF87" s="53" t="str">
        <f aca="false">IF($AD87="","",IF(ROUND($AO87+$AP87+$AQ87-$AD87,2)=0,"OK","FAIL - out by "&amp;TEXT($AO87+$AP87+$AQ87-$AD87,"$0.00")))</f>
        <v/>
      </c>
    </row>
    <row r="88" customFormat="false" ht="15" hidden="false" customHeight="true" outlineLevel="0" collapsed="false">
      <c r="A88" s="54"/>
      <c r="B88" s="54"/>
      <c r="C88" s="55"/>
      <c r="D88" s="56"/>
      <c r="E88" s="56"/>
      <c r="F88" s="54"/>
      <c r="G88" s="41" t="str">
        <f aca="false">IF($A88="","",IF($C88="","",YEAR($C88)))</f>
        <v/>
      </c>
      <c r="H88" s="57"/>
      <c r="I88" s="54"/>
      <c r="J88" s="54"/>
      <c r="K88" s="54"/>
      <c r="L88" s="56"/>
      <c r="M88" s="58"/>
      <c r="N88" s="56"/>
      <c r="O88" s="54"/>
      <c r="P88" s="54"/>
      <c r="Q88" s="54"/>
      <c r="R88" s="54"/>
      <c r="S88" s="56"/>
      <c r="T88" s="44" t="str">
        <f aca="false">IF($A88="","",IF($S88="","",IFERROR(INDEX(Lists!$N$5:$N$16,MATCH($S88,Lists!$M$5:$M$16,0)),"?")))</f>
        <v/>
      </c>
      <c r="U88" s="54"/>
      <c r="V88" s="56"/>
      <c r="W88" s="54"/>
      <c r="X88" s="56"/>
      <c r="Y88" s="54"/>
      <c r="Z88" s="54"/>
      <c r="AA88" s="56"/>
      <c r="AB88" s="58"/>
      <c r="AC88" s="59"/>
      <c r="AD88" s="46" t="str">
        <f aca="false">IF(ISNUMBER($AB88),$AB88*(1+N($AC88)),"")</f>
        <v/>
      </c>
      <c r="AE88" s="58"/>
      <c r="AF88" s="58"/>
      <c r="AG88" s="59"/>
      <c r="AH88" s="47" t="str">
        <f aca="false">IF(ISNUMBER($AD88),($AD88+$AE88+$AF88)*$AG88,"")</f>
        <v/>
      </c>
      <c r="AI88" s="58"/>
      <c r="AJ88" s="46" t="str">
        <f aca="false">IF(ISNUMBER($AD88),SUM($AD88:$AH88),"")</f>
        <v/>
      </c>
      <c r="AK88" s="48" t="str">
        <f aca="false">IF(AND(ISNUMBER($AB88),ISNUMBER($AD88)),IF($AB88&gt;0,$AD88/$AB88,""),"")</f>
        <v/>
      </c>
      <c r="AL88" s="56"/>
      <c r="AM88" s="49" t="str">
        <f aca="false">IF(ISNUMBER($AD88),Header!$I$3,"")</f>
        <v/>
      </c>
      <c r="AN88" s="47" t="str">
        <f aca="false">IF(ISNUMBER($AD88),$AO88+$AP88,"")</f>
        <v/>
      </c>
      <c r="AO88" s="47" t="str">
        <f aca="false">IF(ISNUMBER($AD88),ROUND($AD88*Header!$K$3,2),"")</f>
        <v/>
      </c>
      <c r="AP88" s="47" t="str">
        <f aca="false">IF(ISNUMBER($AD88),ROUND($AD88*Header!$M$3,2),"")</f>
        <v/>
      </c>
      <c r="AQ88" s="46" t="str">
        <f aca="false">IF(ISNUMBER($AD88),ROUND($AD88,2)-$AO88-$AP88,"")</f>
        <v/>
      </c>
      <c r="AR88" s="47" t="str">
        <f aca="false">IF(ISNUMBER($AD88),IF(Header!$D$34="","?",$AD88*Header!$D$34),"")</f>
        <v/>
      </c>
      <c r="AS88" s="47" t="str">
        <f aca="false">IF(ISNUMBER($AB88),IF(Header!$D$34="","?",$AB88*Header!$D$34),"")</f>
        <v/>
      </c>
      <c r="AT88" s="50" t="str">
        <f aca="false">IF(AND(ISNUMBER($AB88),$M88&gt;0),$AB88/$M88*100,"")</f>
        <v/>
      </c>
      <c r="AU88" s="50" t="str">
        <f aca="false">IF(AND(ISNUMBER($AD88),$M88&gt;0),$AD88/$M88*100,"")</f>
        <v/>
      </c>
      <c r="AV88" s="48" t="str">
        <f aca="false">IF(AND(ISNUMBER($AB88),ISNUMBER($AD88),ABS($AB88)&gt;0),$AD88/$AB88,"")</f>
        <v/>
      </c>
      <c r="AW88" s="47" t="str">
        <f aca="false">IF(ISNUMBER($AD88),MAX(0,(1-0.55-Header!$O$3)*Header!$Q$3*$AQ88),"")</f>
        <v/>
      </c>
      <c r="AX88" s="51" t="str">
        <f aca="false">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v/>
      </c>
      <c r="AY88" s="52" t="str">
        <f aca="false">IF($M88="","",IF(ISNUMBER($M88),IF($M88&gt;=Header!$C$18,"YES — refer","No"),""))</f>
        <v/>
      </c>
      <c r="AZ88" s="52" t="str">
        <f aca="false">IF($AD88="","",IF(ISNUMBER($AD88),IF($AD88&lt;Header!$C$20,"BELOW MIN PREMIUM","OK"),""))</f>
        <v/>
      </c>
      <c r="BA88" s="56"/>
      <c r="BB88" s="56"/>
      <c r="BC88" s="54"/>
      <c r="BE88" s="53" t="str">
        <f aca="false">IF(OR($A88="",$L88="",$H88=""),"",IF(AND(LEFT($L88,2)="06",$H88&gt;1945),"FAIL - pre-war class, year "&amp;$H88,IF(AND(LEFT($L88,2)="07",OR($H88&lt;1946,$H88&gt;1972)),"FAIL - 1946-72 class, year "&amp;$H88,IF(AND(LEFT($L88,2)="08",OR($H88&lt;1973,$H88&gt;1999)),"FAIL - 1973-99 class, year "&amp;$H88,IF(AND(LEFT($L88,2)="09",OR($H88&lt;2000,$H88&gt;2010)),"FAIL - 2000-10 class, year "&amp;$H88,"OK")))))</f>
        <v/>
      </c>
      <c r="BF88" s="53" t="str">
        <f aca="false">IF($AD88="","",IF(ROUND($AO88+$AP88+$AQ88-$AD88,2)=0,"OK","FAIL - out by "&amp;TEXT($AO88+$AP88+$AQ88-$AD88,"$0.00")))</f>
        <v/>
      </c>
    </row>
    <row r="89" customFormat="false" ht="15" hidden="false" customHeight="true" outlineLevel="0" collapsed="false">
      <c r="A89" s="38"/>
      <c r="B89" s="38"/>
      <c r="C89" s="39"/>
      <c r="D89" s="40"/>
      <c r="E89" s="40"/>
      <c r="F89" s="38"/>
      <c r="G89" s="41" t="str">
        <f aca="false">IF($A89="","",IF($C89="","",YEAR($C89)))</f>
        <v/>
      </c>
      <c r="H89" s="42"/>
      <c r="I89" s="38"/>
      <c r="J89" s="38"/>
      <c r="K89" s="38"/>
      <c r="L89" s="40"/>
      <c r="M89" s="43"/>
      <c r="N89" s="40"/>
      <c r="O89" s="38"/>
      <c r="P89" s="38"/>
      <c r="Q89" s="38"/>
      <c r="R89" s="38"/>
      <c r="S89" s="40"/>
      <c r="T89" s="44" t="str">
        <f aca="false">IF($A89="","",IF($S89="","",IFERROR(INDEX(Lists!$N$5:$N$16,MATCH($S89,Lists!$M$5:$M$16,0)),"?")))</f>
        <v/>
      </c>
      <c r="U89" s="38"/>
      <c r="V89" s="40"/>
      <c r="W89" s="38"/>
      <c r="X89" s="40"/>
      <c r="Y89" s="38"/>
      <c r="Z89" s="38"/>
      <c r="AA89" s="40"/>
      <c r="AB89" s="43"/>
      <c r="AC89" s="45"/>
      <c r="AD89" s="46" t="str">
        <f aca="false">IF(ISNUMBER($AB89),$AB89*(1+N($AC89)),"")</f>
        <v/>
      </c>
      <c r="AE89" s="43"/>
      <c r="AF89" s="43"/>
      <c r="AG89" s="45"/>
      <c r="AH89" s="47" t="str">
        <f aca="false">IF(ISNUMBER($AD89),($AD89+$AE89+$AF89)*$AG89,"")</f>
        <v/>
      </c>
      <c r="AI89" s="43"/>
      <c r="AJ89" s="46" t="str">
        <f aca="false">IF(ISNUMBER($AD89),SUM($AD89:$AH89),"")</f>
        <v/>
      </c>
      <c r="AK89" s="48" t="str">
        <f aca="false">IF(AND(ISNUMBER($AB89),ISNUMBER($AD89)),IF($AB89&gt;0,$AD89/$AB89,""),"")</f>
        <v/>
      </c>
      <c r="AL89" s="40"/>
      <c r="AM89" s="49" t="str">
        <f aca="false">IF(ISNUMBER($AD89),Header!$I$3,"")</f>
        <v/>
      </c>
      <c r="AN89" s="47" t="str">
        <f aca="false">IF(ISNUMBER($AD89),$AO89+$AP89,"")</f>
        <v/>
      </c>
      <c r="AO89" s="47" t="str">
        <f aca="false">IF(ISNUMBER($AD89),ROUND($AD89*Header!$K$3,2),"")</f>
        <v/>
      </c>
      <c r="AP89" s="47" t="str">
        <f aca="false">IF(ISNUMBER($AD89),ROUND($AD89*Header!$M$3,2),"")</f>
        <v/>
      </c>
      <c r="AQ89" s="46" t="str">
        <f aca="false">IF(ISNUMBER($AD89),ROUND($AD89,2)-$AO89-$AP89,"")</f>
        <v/>
      </c>
      <c r="AR89" s="47" t="str">
        <f aca="false">IF(ISNUMBER($AD89),IF(Header!$D$34="","?",$AD89*Header!$D$34),"")</f>
        <v/>
      </c>
      <c r="AS89" s="47" t="str">
        <f aca="false">IF(ISNUMBER($AB89),IF(Header!$D$34="","?",$AB89*Header!$D$34),"")</f>
        <v/>
      </c>
      <c r="AT89" s="50" t="str">
        <f aca="false">IF(AND(ISNUMBER($AB89),$M89&gt;0),$AB89/$M89*100,"")</f>
        <v/>
      </c>
      <c r="AU89" s="50" t="str">
        <f aca="false">IF(AND(ISNUMBER($AD89),$M89&gt;0),$AD89/$M89*100,"")</f>
        <v/>
      </c>
      <c r="AV89" s="48" t="str">
        <f aca="false">IF(AND(ISNUMBER($AB89),ISNUMBER($AD89),ABS($AB89)&gt;0),$AD89/$AB89,"")</f>
        <v/>
      </c>
      <c r="AW89" s="47" t="str">
        <f aca="false">IF(ISNUMBER($AD89),MAX(0,(1-0.55-Header!$O$3)*Header!$Q$3*$AQ89),"")</f>
        <v/>
      </c>
      <c r="AX89" s="51" t="str">
        <f aca="false">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v/>
      </c>
      <c r="AY89" s="52" t="str">
        <f aca="false">IF($M89="","",IF(ISNUMBER($M89),IF($M89&gt;=Header!$C$18,"YES — refer","No"),""))</f>
        <v/>
      </c>
      <c r="AZ89" s="52" t="str">
        <f aca="false">IF($AD89="","",IF(ISNUMBER($AD89),IF($AD89&lt;Header!$C$20,"BELOW MIN PREMIUM","OK"),""))</f>
        <v/>
      </c>
      <c r="BA89" s="40"/>
      <c r="BB89" s="40"/>
      <c r="BC89" s="38"/>
      <c r="BE89" s="53" t="str">
        <f aca="false">IF(OR($A89="",$L89="",$H89=""),"",IF(AND(LEFT($L89,2)="06",$H89&gt;1945),"FAIL - pre-war class, year "&amp;$H89,IF(AND(LEFT($L89,2)="07",OR($H89&lt;1946,$H89&gt;1972)),"FAIL - 1946-72 class, year "&amp;$H89,IF(AND(LEFT($L89,2)="08",OR($H89&lt;1973,$H89&gt;1999)),"FAIL - 1973-99 class, year "&amp;$H89,IF(AND(LEFT($L89,2)="09",OR($H89&lt;2000,$H89&gt;2010)),"FAIL - 2000-10 class, year "&amp;$H89,"OK")))))</f>
        <v/>
      </c>
      <c r="BF89" s="53" t="str">
        <f aca="false">IF($AD89="","",IF(ROUND($AO89+$AP89+$AQ89-$AD89,2)=0,"OK","FAIL - out by "&amp;TEXT($AO89+$AP89+$AQ89-$AD89,"$0.00")))</f>
        <v/>
      </c>
    </row>
    <row r="90" customFormat="false" ht="15" hidden="false" customHeight="true" outlineLevel="0" collapsed="false">
      <c r="A90" s="54"/>
      <c r="B90" s="54"/>
      <c r="C90" s="55"/>
      <c r="D90" s="56"/>
      <c r="E90" s="56"/>
      <c r="F90" s="54"/>
      <c r="G90" s="41" t="str">
        <f aca="false">IF($A90="","",IF($C90="","",YEAR($C90)))</f>
        <v/>
      </c>
      <c r="H90" s="57"/>
      <c r="I90" s="54"/>
      <c r="J90" s="54"/>
      <c r="K90" s="54"/>
      <c r="L90" s="56"/>
      <c r="M90" s="58"/>
      <c r="N90" s="56"/>
      <c r="O90" s="54"/>
      <c r="P90" s="54"/>
      <c r="Q90" s="54"/>
      <c r="R90" s="54"/>
      <c r="S90" s="56"/>
      <c r="T90" s="44" t="str">
        <f aca="false">IF($A90="","",IF($S90="","",IFERROR(INDEX(Lists!$N$5:$N$16,MATCH($S90,Lists!$M$5:$M$16,0)),"?")))</f>
        <v/>
      </c>
      <c r="U90" s="54"/>
      <c r="V90" s="56"/>
      <c r="W90" s="54"/>
      <c r="X90" s="56"/>
      <c r="Y90" s="54"/>
      <c r="Z90" s="54"/>
      <c r="AA90" s="56"/>
      <c r="AB90" s="58"/>
      <c r="AC90" s="59"/>
      <c r="AD90" s="46" t="str">
        <f aca="false">IF(ISNUMBER($AB90),$AB90*(1+N($AC90)),"")</f>
        <v/>
      </c>
      <c r="AE90" s="58"/>
      <c r="AF90" s="58"/>
      <c r="AG90" s="59"/>
      <c r="AH90" s="47" t="str">
        <f aca="false">IF(ISNUMBER($AD90),($AD90+$AE90+$AF90)*$AG90,"")</f>
        <v/>
      </c>
      <c r="AI90" s="58"/>
      <c r="AJ90" s="46" t="str">
        <f aca="false">IF(ISNUMBER($AD90),SUM($AD90:$AH90),"")</f>
        <v/>
      </c>
      <c r="AK90" s="48" t="str">
        <f aca="false">IF(AND(ISNUMBER($AB90),ISNUMBER($AD90)),IF($AB90&gt;0,$AD90/$AB90,""),"")</f>
        <v/>
      </c>
      <c r="AL90" s="56"/>
      <c r="AM90" s="49" t="str">
        <f aca="false">IF(ISNUMBER($AD90),Header!$I$3,"")</f>
        <v/>
      </c>
      <c r="AN90" s="47" t="str">
        <f aca="false">IF(ISNUMBER($AD90),$AO90+$AP90,"")</f>
        <v/>
      </c>
      <c r="AO90" s="47" t="str">
        <f aca="false">IF(ISNUMBER($AD90),ROUND($AD90*Header!$K$3,2),"")</f>
        <v/>
      </c>
      <c r="AP90" s="47" t="str">
        <f aca="false">IF(ISNUMBER($AD90),ROUND($AD90*Header!$M$3,2),"")</f>
        <v/>
      </c>
      <c r="AQ90" s="46" t="str">
        <f aca="false">IF(ISNUMBER($AD90),ROUND($AD90,2)-$AO90-$AP90,"")</f>
        <v/>
      </c>
      <c r="AR90" s="47" t="str">
        <f aca="false">IF(ISNUMBER($AD90),IF(Header!$D$34="","?",$AD90*Header!$D$34),"")</f>
        <v/>
      </c>
      <c r="AS90" s="47" t="str">
        <f aca="false">IF(ISNUMBER($AB90),IF(Header!$D$34="","?",$AB90*Header!$D$34),"")</f>
        <v/>
      </c>
      <c r="AT90" s="50" t="str">
        <f aca="false">IF(AND(ISNUMBER($AB90),$M90&gt;0),$AB90/$M90*100,"")</f>
        <v/>
      </c>
      <c r="AU90" s="50" t="str">
        <f aca="false">IF(AND(ISNUMBER($AD90),$M90&gt;0),$AD90/$M90*100,"")</f>
        <v/>
      </c>
      <c r="AV90" s="48" t="str">
        <f aca="false">IF(AND(ISNUMBER($AB90),ISNUMBER($AD90),ABS($AB90)&gt;0),$AD90/$AB90,"")</f>
        <v/>
      </c>
      <c r="AW90" s="47" t="str">
        <f aca="false">IF(ISNUMBER($AD90),MAX(0,(1-0.55-Header!$O$3)*Header!$Q$3*$AQ90),"")</f>
        <v/>
      </c>
      <c r="AX90" s="51" t="str">
        <f aca="false">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v/>
      </c>
      <c r="AY90" s="52" t="str">
        <f aca="false">IF($M90="","",IF(ISNUMBER($M90),IF($M90&gt;=Header!$C$18,"YES — refer","No"),""))</f>
        <v/>
      </c>
      <c r="AZ90" s="52" t="str">
        <f aca="false">IF($AD90="","",IF(ISNUMBER($AD90),IF($AD90&lt;Header!$C$20,"BELOW MIN PREMIUM","OK"),""))</f>
        <v/>
      </c>
      <c r="BA90" s="56"/>
      <c r="BB90" s="56"/>
      <c r="BC90" s="54"/>
      <c r="BE90" s="53" t="str">
        <f aca="false">IF(OR($A90="",$L90="",$H90=""),"",IF(AND(LEFT($L90,2)="06",$H90&gt;1945),"FAIL - pre-war class, year "&amp;$H90,IF(AND(LEFT($L90,2)="07",OR($H90&lt;1946,$H90&gt;1972)),"FAIL - 1946-72 class, year "&amp;$H90,IF(AND(LEFT($L90,2)="08",OR($H90&lt;1973,$H90&gt;1999)),"FAIL - 1973-99 class, year "&amp;$H90,IF(AND(LEFT($L90,2)="09",OR($H90&lt;2000,$H90&gt;2010)),"FAIL - 2000-10 class, year "&amp;$H90,"OK")))))</f>
        <v/>
      </c>
      <c r="BF90" s="53" t="str">
        <f aca="false">IF($AD90="","",IF(ROUND($AO90+$AP90+$AQ90-$AD90,2)=0,"OK","FAIL - out by "&amp;TEXT($AO90+$AP90+$AQ90-$AD90,"$0.00")))</f>
        <v/>
      </c>
    </row>
    <row r="91" customFormat="false" ht="15" hidden="false" customHeight="true" outlineLevel="0" collapsed="false">
      <c r="A91" s="38"/>
      <c r="B91" s="38"/>
      <c r="C91" s="39"/>
      <c r="D91" s="40"/>
      <c r="E91" s="40"/>
      <c r="F91" s="38"/>
      <c r="G91" s="41" t="str">
        <f aca="false">IF($A91="","",IF($C91="","",YEAR($C91)))</f>
        <v/>
      </c>
      <c r="H91" s="42"/>
      <c r="I91" s="38"/>
      <c r="J91" s="38"/>
      <c r="K91" s="38"/>
      <c r="L91" s="40"/>
      <c r="M91" s="43"/>
      <c r="N91" s="40"/>
      <c r="O91" s="38"/>
      <c r="P91" s="38"/>
      <c r="Q91" s="38"/>
      <c r="R91" s="38"/>
      <c r="S91" s="40"/>
      <c r="T91" s="44" t="str">
        <f aca="false">IF($A91="","",IF($S91="","",IFERROR(INDEX(Lists!$N$5:$N$16,MATCH($S91,Lists!$M$5:$M$16,0)),"?")))</f>
        <v/>
      </c>
      <c r="U91" s="38"/>
      <c r="V91" s="40"/>
      <c r="W91" s="38"/>
      <c r="X91" s="40"/>
      <c r="Y91" s="38"/>
      <c r="Z91" s="38"/>
      <c r="AA91" s="40"/>
      <c r="AB91" s="43"/>
      <c r="AC91" s="45"/>
      <c r="AD91" s="46" t="str">
        <f aca="false">IF(ISNUMBER($AB91),$AB91*(1+N($AC91)),"")</f>
        <v/>
      </c>
      <c r="AE91" s="43"/>
      <c r="AF91" s="43"/>
      <c r="AG91" s="45"/>
      <c r="AH91" s="47" t="str">
        <f aca="false">IF(ISNUMBER($AD91),($AD91+$AE91+$AF91)*$AG91,"")</f>
        <v/>
      </c>
      <c r="AI91" s="43"/>
      <c r="AJ91" s="46" t="str">
        <f aca="false">IF(ISNUMBER($AD91),SUM($AD91:$AH91),"")</f>
        <v/>
      </c>
      <c r="AK91" s="48" t="str">
        <f aca="false">IF(AND(ISNUMBER($AB91),ISNUMBER($AD91)),IF($AB91&gt;0,$AD91/$AB91,""),"")</f>
        <v/>
      </c>
      <c r="AL91" s="40"/>
      <c r="AM91" s="49" t="str">
        <f aca="false">IF(ISNUMBER($AD91),Header!$I$3,"")</f>
        <v/>
      </c>
      <c r="AN91" s="47" t="str">
        <f aca="false">IF(ISNUMBER($AD91),$AO91+$AP91,"")</f>
        <v/>
      </c>
      <c r="AO91" s="47" t="str">
        <f aca="false">IF(ISNUMBER($AD91),ROUND($AD91*Header!$K$3,2),"")</f>
        <v/>
      </c>
      <c r="AP91" s="47" t="str">
        <f aca="false">IF(ISNUMBER($AD91),ROUND($AD91*Header!$M$3,2),"")</f>
        <v/>
      </c>
      <c r="AQ91" s="46" t="str">
        <f aca="false">IF(ISNUMBER($AD91),ROUND($AD91,2)-$AO91-$AP91,"")</f>
        <v/>
      </c>
      <c r="AR91" s="47" t="str">
        <f aca="false">IF(ISNUMBER($AD91),IF(Header!$D$34="","?",$AD91*Header!$D$34),"")</f>
        <v/>
      </c>
      <c r="AS91" s="47" t="str">
        <f aca="false">IF(ISNUMBER($AB91),IF(Header!$D$34="","?",$AB91*Header!$D$34),"")</f>
        <v/>
      </c>
      <c r="AT91" s="50" t="str">
        <f aca="false">IF(AND(ISNUMBER($AB91),$M91&gt;0),$AB91/$M91*100,"")</f>
        <v/>
      </c>
      <c r="AU91" s="50" t="str">
        <f aca="false">IF(AND(ISNUMBER($AD91),$M91&gt;0),$AD91/$M91*100,"")</f>
        <v/>
      </c>
      <c r="AV91" s="48" t="str">
        <f aca="false">IF(AND(ISNUMBER($AB91),ISNUMBER($AD91),ABS($AB91)&gt;0),$AD91/$AB91,"")</f>
        <v/>
      </c>
      <c r="AW91" s="47" t="str">
        <f aca="false">IF(ISNUMBER($AD91),MAX(0,(1-0.55-Header!$O$3)*Header!$Q$3*$AQ91),"")</f>
        <v/>
      </c>
      <c r="AX91" s="51" t="str">
        <f aca="false">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v/>
      </c>
      <c r="AY91" s="52" t="str">
        <f aca="false">IF($M91="","",IF(ISNUMBER($M91),IF($M91&gt;=Header!$C$18,"YES — refer","No"),""))</f>
        <v/>
      </c>
      <c r="AZ91" s="52" t="str">
        <f aca="false">IF($AD91="","",IF(ISNUMBER($AD91),IF($AD91&lt;Header!$C$20,"BELOW MIN PREMIUM","OK"),""))</f>
        <v/>
      </c>
      <c r="BA91" s="40"/>
      <c r="BB91" s="40"/>
      <c r="BC91" s="38"/>
      <c r="BE91" s="53" t="str">
        <f aca="false">IF(OR($A91="",$L91="",$H91=""),"",IF(AND(LEFT($L91,2)="06",$H91&gt;1945),"FAIL - pre-war class, year "&amp;$H91,IF(AND(LEFT($L91,2)="07",OR($H91&lt;1946,$H91&gt;1972)),"FAIL - 1946-72 class, year "&amp;$H91,IF(AND(LEFT($L91,2)="08",OR($H91&lt;1973,$H91&gt;1999)),"FAIL - 1973-99 class, year "&amp;$H91,IF(AND(LEFT($L91,2)="09",OR($H91&lt;2000,$H91&gt;2010)),"FAIL - 2000-10 class, year "&amp;$H91,"OK")))))</f>
        <v/>
      </c>
      <c r="BF91" s="53" t="str">
        <f aca="false">IF($AD91="","",IF(ROUND($AO91+$AP91+$AQ91-$AD91,2)=0,"OK","FAIL - out by "&amp;TEXT($AO91+$AP91+$AQ91-$AD91,"$0.00")))</f>
        <v/>
      </c>
    </row>
    <row r="92" customFormat="false" ht="15" hidden="false" customHeight="true" outlineLevel="0" collapsed="false">
      <c r="A92" s="54"/>
      <c r="B92" s="54"/>
      <c r="C92" s="55"/>
      <c r="D92" s="56"/>
      <c r="E92" s="56"/>
      <c r="F92" s="54"/>
      <c r="G92" s="41" t="str">
        <f aca="false">IF($A92="","",IF($C92="","",YEAR($C92)))</f>
        <v/>
      </c>
      <c r="H92" s="57"/>
      <c r="I92" s="54"/>
      <c r="J92" s="54"/>
      <c r="K92" s="54"/>
      <c r="L92" s="56"/>
      <c r="M92" s="58"/>
      <c r="N92" s="56"/>
      <c r="O92" s="54"/>
      <c r="P92" s="54"/>
      <c r="Q92" s="54"/>
      <c r="R92" s="54"/>
      <c r="S92" s="56"/>
      <c r="T92" s="44" t="str">
        <f aca="false">IF($A92="","",IF($S92="","",IFERROR(INDEX(Lists!$N$5:$N$16,MATCH($S92,Lists!$M$5:$M$16,0)),"?")))</f>
        <v/>
      </c>
      <c r="U92" s="54"/>
      <c r="V92" s="56"/>
      <c r="W92" s="54"/>
      <c r="X92" s="56"/>
      <c r="Y92" s="54"/>
      <c r="Z92" s="54"/>
      <c r="AA92" s="56"/>
      <c r="AB92" s="58"/>
      <c r="AC92" s="59"/>
      <c r="AD92" s="46" t="str">
        <f aca="false">IF(ISNUMBER($AB92),$AB92*(1+N($AC92)),"")</f>
        <v/>
      </c>
      <c r="AE92" s="58"/>
      <c r="AF92" s="58"/>
      <c r="AG92" s="59"/>
      <c r="AH92" s="47" t="str">
        <f aca="false">IF(ISNUMBER($AD92),($AD92+$AE92+$AF92)*$AG92,"")</f>
        <v/>
      </c>
      <c r="AI92" s="58"/>
      <c r="AJ92" s="46" t="str">
        <f aca="false">IF(ISNUMBER($AD92),SUM($AD92:$AH92),"")</f>
        <v/>
      </c>
      <c r="AK92" s="48" t="str">
        <f aca="false">IF(AND(ISNUMBER($AB92),ISNUMBER($AD92)),IF($AB92&gt;0,$AD92/$AB92,""),"")</f>
        <v/>
      </c>
      <c r="AL92" s="56"/>
      <c r="AM92" s="49" t="str">
        <f aca="false">IF(ISNUMBER($AD92),Header!$I$3,"")</f>
        <v/>
      </c>
      <c r="AN92" s="47" t="str">
        <f aca="false">IF(ISNUMBER($AD92),$AO92+$AP92,"")</f>
        <v/>
      </c>
      <c r="AO92" s="47" t="str">
        <f aca="false">IF(ISNUMBER($AD92),ROUND($AD92*Header!$K$3,2),"")</f>
        <v/>
      </c>
      <c r="AP92" s="47" t="str">
        <f aca="false">IF(ISNUMBER($AD92),ROUND($AD92*Header!$M$3,2),"")</f>
        <v/>
      </c>
      <c r="AQ92" s="46" t="str">
        <f aca="false">IF(ISNUMBER($AD92),ROUND($AD92,2)-$AO92-$AP92,"")</f>
        <v/>
      </c>
      <c r="AR92" s="47" t="str">
        <f aca="false">IF(ISNUMBER($AD92),IF(Header!$D$34="","?",$AD92*Header!$D$34),"")</f>
        <v/>
      </c>
      <c r="AS92" s="47" t="str">
        <f aca="false">IF(ISNUMBER($AB92),IF(Header!$D$34="","?",$AB92*Header!$D$34),"")</f>
        <v/>
      </c>
      <c r="AT92" s="50" t="str">
        <f aca="false">IF(AND(ISNUMBER($AB92),$M92&gt;0),$AB92/$M92*100,"")</f>
        <v/>
      </c>
      <c r="AU92" s="50" t="str">
        <f aca="false">IF(AND(ISNUMBER($AD92),$M92&gt;0),$AD92/$M92*100,"")</f>
        <v/>
      </c>
      <c r="AV92" s="48" t="str">
        <f aca="false">IF(AND(ISNUMBER($AB92),ISNUMBER($AD92),ABS($AB92)&gt;0),$AD92/$AB92,"")</f>
        <v/>
      </c>
      <c r="AW92" s="47" t="str">
        <f aca="false">IF(ISNUMBER($AD92),MAX(0,(1-0.55-Header!$O$3)*Header!$Q$3*$AQ92),"")</f>
        <v/>
      </c>
      <c r="AX92" s="51" t="str">
        <f aca="false">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v/>
      </c>
      <c r="AY92" s="52" t="str">
        <f aca="false">IF($M92="","",IF(ISNUMBER($M92),IF($M92&gt;=Header!$C$18,"YES — refer","No"),""))</f>
        <v/>
      </c>
      <c r="AZ92" s="52" t="str">
        <f aca="false">IF($AD92="","",IF(ISNUMBER($AD92),IF($AD92&lt;Header!$C$20,"BELOW MIN PREMIUM","OK"),""))</f>
        <v/>
      </c>
      <c r="BA92" s="56"/>
      <c r="BB92" s="56"/>
      <c r="BC92" s="54"/>
      <c r="BE92" s="53" t="str">
        <f aca="false">IF(OR($A92="",$L92="",$H92=""),"",IF(AND(LEFT($L92,2)="06",$H92&gt;1945),"FAIL - pre-war class, year "&amp;$H92,IF(AND(LEFT($L92,2)="07",OR($H92&lt;1946,$H92&gt;1972)),"FAIL - 1946-72 class, year "&amp;$H92,IF(AND(LEFT($L92,2)="08",OR($H92&lt;1973,$H92&gt;1999)),"FAIL - 1973-99 class, year "&amp;$H92,IF(AND(LEFT($L92,2)="09",OR($H92&lt;2000,$H92&gt;2010)),"FAIL - 2000-10 class, year "&amp;$H92,"OK")))))</f>
        <v/>
      </c>
      <c r="BF92" s="53" t="str">
        <f aca="false">IF($AD92="","",IF(ROUND($AO92+$AP92+$AQ92-$AD92,2)=0,"OK","FAIL - out by "&amp;TEXT($AO92+$AP92+$AQ92-$AD92,"$0.00")))</f>
        <v/>
      </c>
    </row>
    <row r="93" customFormat="false" ht="15" hidden="false" customHeight="true" outlineLevel="0" collapsed="false">
      <c r="A93" s="38"/>
      <c r="B93" s="38"/>
      <c r="C93" s="39"/>
      <c r="D93" s="40"/>
      <c r="E93" s="40"/>
      <c r="F93" s="38"/>
      <c r="G93" s="41" t="str">
        <f aca="false">IF($A93="","",IF($C93="","",YEAR($C93)))</f>
        <v/>
      </c>
      <c r="H93" s="42"/>
      <c r="I93" s="38"/>
      <c r="J93" s="38"/>
      <c r="K93" s="38"/>
      <c r="L93" s="40"/>
      <c r="M93" s="43"/>
      <c r="N93" s="40"/>
      <c r="O93" s="38"/>
      <c r="P93" s="38"/>
      <c r="Q93" s="38"/>
      <c r="R93" s="38"/>
      <c r="S93" s="40"/>
      <c r="T93" s="44" t="str">
        <f aca="false">IF($A93="","",IF($S93="","",IFERROR(INDEX(Lists!$N$5:$N$16,MATCH($S93,Lists!$M$5:$M$16,0)),"?")))</f>
        <v/>
      </c>
      <c r="U93" s="38"/>
      <c r="V93" s="40"/>
      <c r="W93" s="38"/>
      <c r="X93" s="40"/>
      <c r="Y93" s="38"/>
      <c r="Z93" s="38"/>
      <c r="AA93" s="40"/>
      <c r="AB93" s="43"/>
      <c r="AC93" s="45"/>
      <c r="AD93" s="46" t="str">
        <f aca="false">IF(ISNUMBER($AB93),$AB93*(1+N($AC93)),"")</f>
        <v/>
      </c>
      <c r="AE93" s="43"/>
      <c r="AF93" s="43"/>
      <c r="AG93" s="45"/>
      <c r="AH93" s="47" t="str">
        <f aca="false">IF(ISNUMBER($AD93),($AD93+$AE93+$AF93)*$AG93,"")</f>
        <v/>
      </c>
      <c r="AI93" s="43"/>
      <c r="AJ93" s="46" t="str">
        <f aca="false">IF(ISNUMBER($AD93),SUM($AD93:$AH93),"")</f>
        <v/>
      </c>
      <c r="AK93" s="48" t="str">
        <f aca="false">IF(AND(ISNUMBER($AB93),ISNUMBER($AD93)),IF($AB93&gt;0,$AD93/$AB93,""),"")</f>
        <v/>
      </c>
      <c r="AL93" s="40"/>
      <c r="AM93" s="49" t="str">
        <f aca="false">IF(ISNUMBER($AD93),Header!$I$3,"")</f>
        <v/>
      </c>
      <c r="AN93" s="47" t="str">
        <f aca="false">IF(ISNUMBER($AD93),$AO93+$AP93,"")</f>
        <v/>
      </c>
      <c r="AO93" s="47" t="str">
        <f aca="false">IF(ISNUMBER($AD93),ROUND($AD93*Header!$K$3,2),"")</f>
        <v/>
      </c>
      <c r="AP93" s="47" t="str">
        <f aca="false">IF(ISNUMBER($AD93),ROUND($AD93*Header!$M$3,2),"")</f>
        <v/>
      </c>
      <c r="AQ93" s="46" t="str">
        <f aca="false">IF(ISNUMBER($AD93),ROUND($AD93,2)-$AO93-$AP93,"")</f>
        <v/>
      </c>
      <c r="AR93" s="47" t="str">
        <f aca="false">IF(ISNUMBER($AD93),IF(Header!$D$34="","?",$AD93*Header!$D$34),"")</f>
        <v/>
      </c>
      <c r="AS93" s="47" t="str">
        <f aca="false">IF(ISNUMBER($AB93),IF(Header!$D$34="","?",$AB93*Header!$D$34),"")</f>
        <v/>
      </c>
      <c r="AT93" s="50" t="str">
        <f aca="false">IF(AND(ISNUMBER($AB93),$M93&gt;0),$AB93/$M93*100,"")</f>
        <v/>
      </c>
      <c r="AU93" s="50" t="str">
        <f aca="false">IF(AND(ISNUMBER($AD93),$M93&gt;0),$AD93/$M93*100,"")</f>
        <v/>
      </c>
      <c r="AV93" s="48" t="str">
        <f aca="false">IF(AND(ISNUMBER($AB93),ISNUMBER($AD93),ABS($AB93)&gt;0),$AD93/$AB93,"")</f>
        <v/>
      </c>
      <c r="AW93" s="47" t="str">
        <f aca="false">IF(ISNUMBER($AD93),MAX(0,(1-0.55-Header!$O$3)*Header!$Q$3*$AQ93),"")</f>
        <v/>
      </c>
      <c r="AX93" s="51" t="str">
        <f aca="false">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v/>
      </c>
      <c r="AY93" s="52" t="str">
        <f aca="false">IF($M93="","",IF(ISNUMBER($M93),IF($M93&gt;=Header!$C$18,"YES — refer","No"),""))</f>
        <v/>
      </c>
      <c r="AZ93" s="52" t="str">
        <f aca="false">IF($AD93="","",IF(ISNUMBER($AD93),IF($AD93&lt;Header!$C$20,"BELOW MIN PREMIUM","OK"),""))</f>
        <v/>
      </c>
      <c r="BA93" s="40"/>
      <c r="BB93" s="40"/>
      <c r="BC93" s="38"/>
      <c r="BE93" s="53" t="str">
        <f aca="false">IF(OR($A93="",$L93="",$H93=""),"",IF(AND(LEFT($L93,2)="06",$H93&gt;1945),"FAIL - pre-war class, year "&amp;$H93,IF(AND(LEFT($L93,2)="07",OR($H93&lt;1946,$H93&gt;1972)),"FAIL - 1946-72 class, year "&amp;$H93,IF(AND(LEFT($L93,2)="08",OR($H93&lt;1973,$H93&gt;1999)),"FAIL - 1973-99 class, year "&amp;$H93,IF(AND(LEFT($L93,2)="09",OR($H93&lt;2000,$H93&gt;2010)),"FAIL - 2000-10 class, year "&amp;$H93,"OK")))))</f>
        <v/>
      </c>
      <c r="BF93" s="53" t="str">
        <f aca="false">IF($AD93="","",IF(ROUND($AO93+$AP93+$AQ93-$AD93,2)=0,"OK","FAIL - out by "&amp;TEXT($AO93+$AP93+$AQ93-$AD93,"$0.00")))</f>
        <v/>
      </c>
    </row>
    <row r="94" customFormat="false" ht="15" hidden="false" customHeight="true" outlineLevel="0" collapsed="false">
      <c r="A94" s="54"/>
      <c r="B94" s="54"/>
      <c r="C94" s="55"/>
      <c r="D94" s="56"/>
      <c r="E94" s="56"/>
      <c r="F94" s="54"/>
      <c r="G94" s="41" t="str">
        <f aca="false">IF($A94="","",IF($C94="","",YEAR($C94)))</f>
        <v/>
      </c>
      <c r="H94" s="57"/>
      <c r="I94" s="54"/>
      <c r="J94" s="54"/>
      <c r="K94" s="54"/>
      <c r="L94" s="56"/>
      <c r="M94" s="58"/>
      <c r="N94" s="56"/>
      <c r="O94" s="54"/>
      <c r="P94" s="54"/>
      <c r="Q94" s="54"/>
      <c r="R94" s="54"/>
      <c r="S94" s="56"/>
      <c r="T94" s="44" t="str">
        <f aca="false">IF($A94="","",IF($S94="","",IFERROR(INDEX(Lists!$N$5:$N$16,MATCH($S94,Lists!$M$5:$M$16,0)),"?")))</f>
        <v/>
      </c>
      <c r="U94" s="54"/>
      <c r="V94" s="56"/>
      <c r="W94" s="54"/>
      <c r="X94" s="56"/>
      <c r="Y94" s="54"/>
      <c r="Z94" s="54"/>
      <c r="AA94" s="56"/>
      <c r="AB94" s="58"/>
      <c r="AC94" s="59"/>
      <c r="AD94" s="46" t="str">
        <f aca="false">IF(ISNUMBER($AB94),$AB94*(1+N($AC94)),"")</f>
        <v/>
      </c>
      <c r="AE94" s="58"/>
      <c r="AF94" s="58"/>
      <c r="AG94" s="59"/>
      <c r="AH94" s="47" t="str">
        <f aca="false">IF(ISNUMBER($AD94),($AD94+$AE94+$AF94)*$AG94,"")</f>
        <v/>
      </c>
      <c r="AI94" s="58"/>
      <c r="AJ94" s="46" t="str">
        <f aca="false">IF(ISNUMBER($AD94),SUM($AD94:$AH94),"")</f>
        <v/>
      </c>
      <c r="AK94" s="48" t="str">
        <f aca="false">IF(AND(ISNUMBER($AB94),ISNUMBER($AD94)),IF($AB94&gt;0,$AD94/$AB94,""),"")</f>
        <v/>
      </c>
      <c r="AL94" s="56"/>
      <c r="AM94" s="49" t="str">
        <f aca="false">IF(ISNUMBER($AD94),Header!$I$3,"")</f>
        <v/>
      </c>
      <c r="AN94" s="47" t="str">
        <f aca="false">IF(ISNUMBER($AD94),$AO94+$AP94,"")</f>
        <v/>
      </c>
      <c r="AO94" s="47" t="str">
        <f aca="false">IF(ISNUMBER($AD94),ROUND($AD94*Header!$K$3,2),"")</f>
        <v/>
      </c>
      <c r="AP94" s="47" t="str">
        <f aca="false">IF(ISNUMBER($AD94),ROUND($AD94*Header!$M$3,2),"")</f>
        <v/>
      </c>
      <c r="AQ94" s="46" t="str">
        <f aca="false">IF(ISNUMBER($AD94),ROUND($AD94,2)-$AO94-$AP94,"")</f>
        <v/>
      </c>
      <c r="AR94" s="47" t="str">
        <f aca="false">IF(ISNUMBER($AD94),IF(Header!$D$34="","?",$AD94*Header!$D$34),"")</f>
        <v/>
      </c>
      <c r="AS94" s="47" t="str">
        <f aca="false">IF(ISNUMBER($AB94),IF(Header!$D$34="","?",$AB94*Header!$D$34),"")</f>
        <v/>
      </c>
      <c r="AT94" s="50" t="str">
        <f aca="false">IF(AND(ISNUMBER($AB94),$M94&gt;0),$AB94/$M94*100,"")</f>
        <v/>
      </c>
      <c r="AU94" s="50" t="str">
        <f aca="false">IF(AND(ISNUMBER($AD94),$M94&gt;0),$AD94/$M94*100,"")</f>
        <v/>
      </c>
      <c r="AV94" s="48" t="str">
        <f aca="false">IF(AND(ISNUMBER($AB94),ISNUMBER($AD94),ABS($AB94)&gt;0),$AD94/$AB94,"")</f>
        <v/>
      </c>
      <c r="AW94" s="47" t="str">
        <f aca="false">IF(ISNUMBER($AD94),MAX(0,(1-0.55-Header!$O$3)*Header!$Q$3*$AQ94),"")</f>
        <v/>
      </c>
      <c r="AX94" s="51" t="str">
        <f aca="false">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v/>
      </c>
      <c r="AY94" s="52" t="str">
        <f aca="false">IF($M94="","",IF(ISNUMBER($M94),IF($M94&gt;=Header!$C$18,"YES — refer","No"),""))</f>
        <v/>
      </c>
      <c r="AZ94" s="52" t="str">
        <f aca="false">IF($AD94="","",IF(ISNUMBER($AD94),IF($AD94&lt;Header!$C$20,"BELOW MIN PREMIUM","OK"),""))</f>
        <v/>
      </c>
      <c r="BA94" s="56"/>
      <c r="BB94" s="56"/>
      <c r="BC94" s="54"/>
      <c r="BE94" s="53" t="str">
        <f aca="false">IF(OR($A94="",$L94="",$H94=""),"",IF(AND(LEFT($L94,2)="06",$H94&gt;1945),"FAIL - pre-war class, year "&amp;$H94,IF(AND(LEFT($L94,2)="07",OR($H94&lt;1946,$H94&gt;1972)),"FAIL - 1946-72 class, year "&amp;$H94,IF(AND(LEFT($L94,2)="08",OR($H94&lt;1973,$H94&gt;1999)),"FAIL - 1973-99 class, year "&amp;$H94,IF(AND(LEFT($L94,2)="09",OR($H94&lt;2000,$H94&gt;2010)),"FAIL - 2000-10 class, year "&amp;$H94,"OK")))))</f>
        <v/>
      </c>
      <c r="BF94" s="53" t="str">
        <f aca="false">IF($AD94="","",IF(ROUND($AO94+$AP94+$AQ94-$AD94,2)=0,"OK","FAIL - out by "&amp;TEXT($AO94+$AP94+$AQ94-$AD94,"$0.00")))</f>
        <v/>
      </c>
    </row>
    <row r="95" customFormat="false" ht="15" hidden="false" customHeight="true" outlineLevel="0" collapsed="false">
      <c r="A95" s="38"/>
      <c r="B95" s="38"/>
      <c r="C95" s="39"/>
      <c r="D95" s="40"/>
      <c r="E95" s="40"/>
      <c r="F95" s="38"/>
      <c r="G95" s="41" t="str">
        <f aca="false">IF($A95="","",IF($C95="","",YEAR($C95)))</f>
        <v/>
      </c>
      <c r="H95" s="42"/>
      <c r="I95" s="38"/>
      <c r="J95" s="38"/>
      <c r="K95" s="38"/>
      <c r="L95" s="40"/>
      <c r="M95" s="43"/>
      <c r="N95" s="40"/>
      <c r="O95" s="38"/>
      <c r="P95" s="38"/>
      <c r="Q95" s="38"/>
      <c r="R95" s="38"/>
      <c r="S95" s="40"/>
      <c r="T95" s="44" t="str">
        <f aca="false">IF($A95="","",IF($S95="","",IFERROR(INDEX(Lists!$N$5:$N$16,MATCH($S95,Lists!$M$5:$M$16,0)),"?")))</f>
        <v/>
      </c>
      <c r="U95" s="38"/>
      <c r="V95" s="40"/>
      <c r="W95" s="38"/>
      <c r="X95" s="40"/>
      <c r="Y95" s="38"/>
      <c r="Z95" s="38"/>
      <c r="AA95" s="40"/>
      <c r="AB95" s="43"/>
      <c r="AC95" s="45"/>
      <c r="AD95" s="46" t="str">
        <f aca="false">IF(ISNUMBER($AB95),$AB95*(1+N($AC95)),"")</f>
        <v/>
      </c>
      <c r="AE95" s="43"/>
      <c r="AF95" s="43"/>
      <c r="AG95" s="45"/>
      <c r="AH95" s="47" t="str">
        <f aca="false">IF(ISNUMBER($AD95),($AD95+$AE95+$AF95)*$AG95,"")</f>
        <v/>
      </c>
      <c r="AI95" s="43"/>
      <c r="AJ95" s="46" t="str">
        <f aca="false">IF(ISNUMBER($AD95),SUM($AD95:$AH95),"")</f>
        <v/>
      </c>
      <c r="AK95" s="48" t="str">
        <f aca="false">IF(AND(ISNUMBER($AB95),ISNUMBER($AD95)),IF($AB95&gt;0,$AD95/$AB95,""),"")</f>
        <v/>
      </c>
      <c r="AL95" s="40"/>
      <c r="AM95" s="49" t="str">
        <f aca="false">IF(ISNUMBER($AD95),Header!$I$3,"")</f>
        <v/>
      </c>
      <c r="AN95" s="47" t="str">
        <f aca="false">IF(ISNUMBER($AD95),$AO95+$AP95,"")</f>
        <v/>
      </c>
      <c r="AO95" s="47" t="str">
        <f aca="false">IF(ISNUMBER($AD95),ROUND($AD95*Header!$K$3,2),"")</f>
        <v/>
      </c>
      <c r="AP95" s="47" t="str">
        <f aca="false">IF(ISNUMBER($AD95),ROUND($AD95*Header!$M$3,2),"")</f>
        <v/>
      </c>
      <c r="AQ95" s="46" t="str">
        <f aca="false">IF(ISNUMBER($AD95),ROUND($AD95,2)-$AO95-$AP95,"")</f>
        <v/>
      </c>
      <c r="AR95" s="47" t="str">
        <f aca="false">IF(ISNUMBER($AD95),IF(Header!$D$34="","?",$AD95*Header!$D$34),"")</f>
        <v/>
      </c>
      <c r="AS95" s="47" t="str">
        <f aca="false">IF(ISNUMBER($AB95),IF(Header!$D$34="","?",$AB95*Header!$D$34),"")</f>
        <v/>
      </c>
      <c r="AT95" s="50" t="str">
        <f aca="false">IF(AND(ISNUMBER($AB95),$M95&gt;0),$AB95/$M95*100,"")</f>
        <v/>
      </c>
      <c r="AU95" s="50" t="str">
        <f aca="false">IF(AND(ISNUMBER($AD95),$M95&gt;0),$AD95/$M95*100,"")</f>
        <v/>
      </c>
      <c r="AV95" s="48" t="str">
        <f aca="false">IF(AND(ISNUMBER($AB95),ISNUMBER($AD95),ABS($AB95)&gt;0),$AD95/$AB95,"")</f>
        <v/>
      </c>
      <c r="AW95" s="47" t="str">
        <f aca="false">IF(ISNUMBER($AD95),MAX(0,(1-0.55-Header!$O$3)*Header!$Q$3*$AQ95),"")</f>
        <v/>
      </c>
      <c r="AX95" s="51" t="str">
        <f aca="false">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v/>
      </c>
      <c r="AY95" s="52" t="str">
        <f aca="false">IF($M95="","",IF(ISNUMBER($M95),IF($M95&gt;=Header!$C$18,"YES — refer","No"),""))</f>
        <v/>
      </c>
      <c r="AZ95" s="52" t="str">
        <f aca="false">IF($AD95="","",IF(ISNUMBER($AD95),IF($AD95&lt;Header!$C$20,"BELOW MIN PREMIUM","OK"),""))</f>
        <v/>
      </c>
      <c r="BA95" s="40"/>
      <c r="BB95" s="40"/>
      <c r="BC95" s="38"/>
      <c r="BE95" s="53" t="str">
        <f aca="false">IF(OR($A95="",$L95="",$H95=""),"",IF(AND(LEFT($L95,2)="06",$H95&gt;1945),"FAIL - pre-war class, year "&amp;$H95,IF(AND(LEFT($L95,2)="07",OR($H95&lt;1946,$H95&gt;1972)),"FAIL - 1946-72 class, year "&amp;$H95,IF(AND(LEFT($L95,2)="08",OR($H95&lt;1973,$H95&gt;1999)),"FAIL - 1973-99 class, year "&amp;$H95,IF(AND(LEFT($L95,2)="09",OR($H95&lt;2000,$H95&gt;2010)),"FAIL - 2000-10 class, year "&amp;$H95,"OK")))))</f>
        <v/>
      </c>
      <c r="BF95" s="53" t="str">
        <f aca="false">IF($AD95="","",IF(ROUND($AO95+$AP95+$AQ95-$AD95,2)=0,"OK","FAIL - out by "&amp;TEXT($AO95+$AP95+$AQ95-$AD95,"$0.00")))</f>
        <v/>
      </c>
    </row>
    <row r="96" customFormat="false" ht="15" hidden="false" customHeight="true" outlineLevel="0" collapsed="false">
      <c r="A96" s="54"/>
      <c r="B96" s="54"/>
      <c r="C96" s="55"/>
      <c r="D96" s="56"/>
      <c r="E96" s="56"/>
      <c r="F96" s="54"/>
      <c r="G96" s="41" t="str">
        <f aca="false">IF($A96="","",IF($C96="","",YEAR($C96)))</f>
        <v/>
      </c>
      <c r="H96" s="57"/>
      <c r="I96" s="54"/>
      <c r="J96" s="54"/>
      <c r="K96" s="54"/>
      <c r="L96" s="56"/>
      <c r="M96" s="58"/>
      <c r="N96" s="56"/>
      <c r="O96" s="54"/>
      <c r="P96" s="54"/>
      <c r="Q96" s="54"/>
      <c r="R96" s="54"/>
      <c r="S96" s="56"/>
      <c r="T96" s="44" t="str">
        <f aca="false">IF($A96="","",IF($S96="","",IFERROR(INDEX(Lists!$N$5:$N$16,MATCH($S96,Lists!$M$5:$M$16,0)),"?")))</f>
        <v/>
      </c>
      <c r="U96" s="54"/>
      <c r="V96" s="56"/>
      <c r="W96" s="54"/>
      <c r="X96" s="56"/>
      <c r="Y96" s="54"/>
      <c r="Z96" s="54"/>
      <c r="AA96" s="56"/>
      <c r="AB96" s="58"/>
      <c r="AC96" s="59"/>
      <c r="AD96" s="46" t="str">
        <f aca="false">IF(ISNUMBER($AB96),$AB96*(1+N($AC96)),"")</f>
        <v/>
      </c>
      <c r="AE96" s="58"/>
      <c r="AF96" s="58"/>
      <c r="AG96" s="59"/>
      <c r="AH96" s="47" t="str">
        <f aca="false">IF(ISNUMBER($AD96),($AD96+$AE96+$AF96)*$AG96,"")</f>
        <v/>
      </c>
      <c r="AI96" s="58"/>
      <c r="AJ96" s="46" t="str">
        <f aca="false">IF(ISNUMBER($AD96),SUM($AD96:$AH96),"")</f>
        <v/>
      </c>
      <c r="AK96" s="48" t="str">
        <f aca="false">IF(AND(ISNUMBER($AB96),ISNUMBER($AD96)),IF($AB96&gt;0,$AD96/$AB96,""),"")</f>
        <v/>
      </c>
      <c r="AL96" s="56"/>
      <c r="AM96" s="49" t="str">
        <f aca="false">IF(ISNUMBER($AD96),Header!$I$3,"")</f>
        <v/>
      </c>
      <c r="AN96" s="47" t="str">
        <f aca="false">IF(ISNUMBER($AD96),$AO96+$AP96,"")</f>
        <v/>
      </c>
      <c r="AO96" s="47" t="str">
        <f aca="false">IF(ISNUMBER($AD96),ROUND($AD96*Header!$K$3,2),"")</f>
        <v/>
      </c>
      <c r="AP96" s="47" t="str">
        <f aca="false">IF(ISNUMBER($AD96),ROUND($AD96*Header!$M$3,2),"")</f>
        <v/>
      </c>
      <c r="AQ96" s="46" t="str">
        <f aca="false">IF(ISNUMBER($AD96),ROUND($AD96,2)-$AO96-$AP96,"")</f>
        <v/>
      </c>
      <c r="AR96" s="47" t="str">
        <f aca="false">IF(ISNUMBER($AD96),IF(Header!$D$34="","?",$AD96*Header!$D$34),"")</f>
        <v/>
      </c>
      <c r="AS96" s="47" t="str">
        <f aca="false">IF(ISNUMBER($AB96),IF(Header!$D$34="","?",$AB96*Header!$D$34),"")</f>
        <v/>
      </c>
      <c r="AT96" s="50" t="str">
        <f aca="false">IF(AND(ISNUMBER($AB96),$M96&gt;0),$AB96/$M96*100,"")</f>
        <v/>
      </c>
      <c r="AU96" s="50" t="str">
        <f aca="false">IF(AND(ISNUMBER($AD96),$M96&gt;0),$AD96/$M96*100,"")</f>
        <v/>
      </c>
      <c r="AV96" s="48" t="str">
        <f aca="false">IF(AND(ISNUMBER($AB96),ISNUMBER($AD96),ABS($AB96)&gt;0),$AD96/$AB96,"")</f>
        <v/>
      </c>
      <c r="AW96" s="47" t="str">
        <f aca="false">IF(ISNUMBER($AD96),MAX(0,(1-0.55-Header!$O$3)*Header!$Q$3*$AQ96),"")</f>
        <v/>
      </c>
      <c r="AX96" s="51" t="str">
        <f aca="false">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v/>
      </c>
      <c r="AY96" s="52" t="str">
        <f aca="false">IF($M96="","",IF(ISNUMBER($M96),IF($M96&gt;=Header!$C$18,"YES — refer","No"),""))</f>
        <v/>
      </c>
      <c r="AZ96" s="52" t="str">
        <f aca="false">IF($AD96="","",IF(ISNUMBER($AD96),IF($AD96&lt;Header!$C$20,"BELOW MIN PREMIUM","OK"),""))</f>
        <v/>
      </c>
      <c r="BA96" s="56"/>
      <c r="BB96" s="56"/>
      <c r="BC96" s="54"/>
      <c r="BE96" s="53" t="str">
        <f aca="false">IF(OR($A96="",$L96="",$H96=""),"",IF(AND(LEFT($L96,2)="06",$H96&gt;1945),"FAIL - pre-war class, year "&amp;$H96,IF(AND(LEFT($L96,2)="07",OR($H96&lt;1946,$H96&gt;1972)),"FAIL - 1946-72 class, year "&amp;$H96,IF(AND(LEFT($L96,2)="08",OR($H96&lt;1973,$H96&gt;1999)),"FAIL - 1973-99 class, year "&amp;$H96,IF(AND(LEFT($L96,2)="09",OR($H96&lt;2000,$H96&gt;2010)),"FAIL - 2000-10 class, year "&amp;$H96,"OK")))))</f>
        <v/>
      </c>
      <c r="BF96" s="53" t="str">
        <f aca="false">IF($AD96="","",IF(ROUND($AO96+$AP96+$AQ96-$AD96,2)=0,"OK","FAIL - out by "&amp;TEXT($AO96+$AP96+$AQ96-$AD96,"$0.00")))</f>
        <v/>
      </c>
    </row>
    <row r="97" customFormat="false" ht="15" hidden="false" customHeight="true" outlineLevel="0" collapsed="false">
      <c r="A97" s="38"/>
      <c r="B97" s="38"/>
      <c r="C97" s="39"/>
      <c r="D97" s="40"/>
      <c r="E97" s="40"/>
      <c r="F97" s="38"/>
      <c r="G97" s="41" t="str">
        <f aca="false">IF($A97="","",IF($C97="","",YEAR($C97)))</f>
        <v/>
      </c>
      <c r="H97" s="42"/>
      <c r="I97" s="38"/>
      <c r="J97" s="38"/>
      <c r="K97" s="38"/>
      <c r="L97" s="40"/>
      <c r="M97" s="43"/>
      <c r="N97" s="40"/>
      <c r="O97" s="38"/>
      <c r="P97" s="38"/>
      <c r="Q97" s="38"/>
      <c r="R97" s="38"/>
      <c r="S97" s="40"/>
      <c r="T97" s="44" t="str">
        <f aca="false">IF($A97="","",IF($S97="","",IFERROR(INDEX(Lists!$N$5:$N$16,MATCH($S97,Lists!$M$5:$M$16,0)),"?")))</f>
        <v/>
      </c>
      <c r="U97" s="38"/>
      <c r="V97" s="40"/>
      <c r="W97" s="38"/>
      <c r="X97" s="40"/>
      <c r="Y97" s="38"/>
      <c r="Z97" s="38"/>
      <c r="AA97" s="40"/>
      <c r="AB97" s="43"/>
      <c r="AC97" s="45"/>
      <c r="AD97" s="46" t="str">
        <f aca="false">IF(ISNUMBER($AB97),$AB97*(1+N($AC97)),"")</f>
        <v/>
      </c>
      <c r="AE97" s="43"/>
      <c r="AF97" s="43"/>
      <c r="AG97" s="45"/>
      <c r="AH97" s="47" t="str">
        <f aca="false">IF(ISNUMBER($AD97),($AD97+$AE97+$AF97)*$AG97,"")</f>
        <v/>
      </c>
      <c r="AI97" s="43"/>
      <c r="AJ97" s="46" t="str">
        <f aca="false">IF(ISNUMBER($AD97),SUM($AD97:$AH97),"")</f>
        <v/>
      </c>
      <c r="AK97" s="48" t="str">
        <f aca="false">IF(AND(ISNUMBER($AB97),ISNUMBER($AD97)),IF($AB97&gt;0,$AD97/$AB97,""),"")</f>
        <v/>
      </c>
      <c r="AL97" s="40"/>
      <c r="AM97" s="49" t="str">
        <f aca="false">IF(ISNUMBER($AD97),Header!$I$3,"")</f>
        <v/>
      </c>
      <c r="AN97" s="47" t="str">
        <f aca="false">IF(ISNUMBER($AD97),$AO97+$AP97,"")</f>
        <v/>
      </c>
      <c r="AO97" s="47" t="str">
        <f aca="false">IF(ISNUMBER($AD97),ROUND($AD97*Header!$K$3,2),"")</f>
        <v/>
      </c>
      <c r="AP97" s="47" t="str">
        <f aca="false">IF(ISNUMBER($AD97),ROUND($AD97*Header!$M$3,2),"")</f>
        <v/>
      </c>
      <c r="AQ97" s="46" t="str">
        <f aca="false">IF(ISNUMBER($AD97),ROUND($AD97,2)-$AO97-$AP97,"")</f>
        <v/>
      </c>
      <c r="AR97" s="47" t="str">
        <f aca="false">IF(ISNUMBER($AD97),IF(Header!$D$34="","?",$AD97*Header!$D$34),"")</f>
        <v/>
      </c>
      <c r="AS97" s="47" t="str">
        <f aca="false">IF(ISNUMBER($AB97),IF(Header!$D$34="","?",$AB97*Header!$D$34),"")</f>
        <v/>
      </c>
      <c r="AT97" s="50" t="str">
        <f aca="false">IF(AND(ISNUMBER($AB97),$M97&gt;0),$AB97/$M97*100,"")</f>
        <v/>
      </c>
      <c r="AU97" s="50" t="str">
        <f aca="false">IF(AND(ISNUMBER($AD97),$M97&gt;0),$AD97/$M97*100,"")</f>
        <v/>
      </c>
      <c r="AV97" s="48" t="str">
        <f aca="false">IF(AND(ISNUMBER($AB97),ISNUMBER($AD97),ABS($AB97)&gt;0),$AD97/$AB97,"")</f>
        <v/>
      </c>
      <c r="AW97" s="47" t="str">
        <f aca="false">IF(ISNUMBER($AD97),MAX(0,(1-0.55-Header!$O$3)*Header!$Q$3*$AQ97),"")</f>
        <v/>
      </c>
      <c r="AX97" s="51" t="str">
        <f aca="false">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v/>
      </c>
      <c r="AY97" s="52" t="str">
        <f aca="false">IF($M97="","",IF(ISNUMBER($M97),IF($M97&gt;=Header!$C$18,"YES — refer","No"),""))</f>
        <v/>
      </c>
      <c r="AZ97" s="52" t="str">
        <f aca="false">IF($AD97="","",IF(ISNUMBER($AD97),IF($AD97&lt;Header!$C$20,"BELOW MIN PREMIUM","OK"),""))</f>
        <v/>
      </c>
      <c r="BA97" s="40"/>
      <c r="BB97" s="40"/>
      <c r="BC97" s="38"/>
      <c r="BE97" s="53" t="str">
        <f aca="false">IF(OR($A97="",$L97="",$H97=""),"",IF(AND(LEFT($L97,2)="06",$H97&gt;1945),"FAIL - pre-war class, year "&amp;$H97,IF(AND(LEFT($L97,2)="07",OR($H97&lt;1946,$H97&gt;1972)),"FAIL - 1946-72 class, year "&amp;$H97,IF(AND(LEFT($L97,2)="08",OR($H97&lt;1973,$H97&gt;1999)),"FAIL - 1973-99 class, year "&amp;$H97,IF(AND(LEFT($L97,2)="09",OR($H97&lt;2000,$H97&gt;2010)),"FAIL - 2000-10 class, year "&amp;$H97,"OK")))))</f>
        <v/>
      </c>
      <c r="BF97" s="53" t="str">
        <f aca="false">IF($AD97="","",IF(ROUND($AO97+$AP97+$AQ97-$AD97,2)=0,"OK","FAIL - out by "&amp;TEXT($AO97+$AP97+$AQ97-$AD97,"$0.00")))</f>
        <v/>
      </c>
    </row>
    <row r="98" customFormat="false" ht="15" hidden="false" customHeight="true" outlineLevel="0" collapsed="false">
      <c r="A98" s="54"/>
      <c r="B98" s="54"/>
      <c r="C98" s="55"/>
      <c r="D98" s="56"/>
      <c r="E98" s="56"/>
      <c r="F98" s="54"/>
      <c r="G98" s="41" t="str">
        <f aca="false">IF($A98="","",IF($C98="","",YEAR($C98)))</f>
        <v/>
      </c>
      <c r="H98" s="57"/>
      <c r="I98" s="54"/>
      <c r="J98" s="54"/>
      <c r="K98" s="54"/>
      <c r="L98" s="56"/>
      <c r="M98" s="58"/>
      <c r="N98" s="56"/>
      <c r="O98" s="54"/>
      <c r="P98" s="54"/>
      <c r="Q98" s="54"/>
      <c r="R98" s="54"/>
      <c r="S98" s="56"/>
      <c r="T98" s="44" t="str">
        <f aca="false">IF($A98="","",IF($S98="","",IFERROR(INDEX(Lists!$N$5:$N$16,MATCH($S98,Lists!$M$5:$M$16,0)),"?")))</f>
        <v/>
      </c>
      <c r="U98" s="54"/>
      <c r="V98" s="56"/>
      <c r="W98" s="54"/>
      <c r="X98" s="56"/>
      <c r="Y98" s="54"/>
      <c r="Z98" s="54"/>
      <c r="AA98" s="56"/>
      <c r="AB98" s="58"/>
      <c r="AC98" s="59"/>
      <c r="AD98" s="46" t="str">
        <f aca="false">IF(ISNUMBER($AB98),$AB98*(1+N($AC98)),"")</f>
        <v/>
      </c>
      <c r="AE98" s="58"/>
      <c r="AF98" s="58"/>
      <c r="AG98" s="59"/>
      <c r="AH98" s="47" t="str">
        <f aca="false">IF(ISNUMBER($AD98),($AD98+$AE98+$AF98)*$AG98,"")</f>
        <v/>
      </c>
      <c r="AI98" s="58"/>
      <c r="AJ98" s="46" t="str">
        <f aca="false">IF(ISNUMBER($AD98),SUM($AD98:$AH98),"")</f>
        <v/>
      </c>
      <c r="AK98" s="48" t="str">
        <f aca="false">IF(AND(ISNUMBER($AB98),ISNUMBER($AD98)),IF($AB98&gt;0,$AD98/$AB98,""),"")</f>
        <v/>
      </c>
      <c r="AL98" s="56"/>
      <c r="AM98" s="49" t="str">
        <f aca="false">IF(ISNUMBER($AD98),Header!$I$3,"")</f>
        <v/>
      </c>
      <c r="AN98" s="47" t="str">
        <f aca="false">IF(ISNUMBER($AD98),$AO98+$AP98,"")</f>
        <v/>
      </c>
      <c r="AO98" s="47" t="str">
        <f aca="false">IF(ISNUMBER($AD98),ROUND($AD98*Header!$K$3,2),"")</f>
        <v/>
      </c>
      <c r="AP98" s="47" t="str">
        <f aca="false">IF(ISNUMBER($AD98),ROUND($AD98*Header!$M$3,2),"")</f>
        <v/>
      </c>
      <c r="AQ98" s="46" t="str">
        <f aca="false">IF(ISNUMBER($AD98),ROUND($AD98,2)-$AO98-$AP98,"")</f>
        <v/>
      </c>
      <c r="AR98" s="47" t="str">
        <f aca="false">IF(ISNUMBER($AD98),IF(Header!$D$34="","?",$AD98*Header!$D$34),"")</f>
        <v/>
      </c>
      <c r="AS98" s="47" t="str">
        <f aca="false">IF(ISNUMBER($AB98),IF(Header!$D$34="","?",$AB98*Header!$D$34),"")</f>
        <v/>
      </c>
      <c r="AT98" s="50" t="str">
        <f aca="false">IF(AND(ISNUMBER($AB98),$M98&gt;0),$AB98/$M98*100,"")</f>
        <v/>
      </c>
      <c r="AU98" s="50" t="str">
        <f aca="false">IF(AND(ISNUMBER($AD98),$M98&gt;0),$AD98/$M98*100,"")</f>
        <v/>
      </c>
      <c r="AV98" s="48" t="str">
        <f aca="false">IF(AND(ISNUMBER($AB98),ISNUMBER($AD98),ABS($AB98)&gt;0),$AD98/$AB98,"")</f>
        <v/>
      </c>
      <c r="AW98" s="47" t="str">
        <f aca="false">IF(ISNUMBER($AD98),MAX(0,(1-0.55-Header!$O$3)*Header!$Q$3*$AQ98),"")</f>
        <v/>
      </c>
      <c r="AX98" s="51" t="str">
        <f aca="false">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v/>
      </c>
      <c r="AY98" s="52" t="str">
        <f aca="false">IF($M98="","",IF(ISNUMBER($M98),IF($M98&gt;=Header!$C$18,"YES — refer","No"),""))</f>
        <v/>
      </c>
      <c r="AZ98" s="52" t="str">
        <f aca="false">IF($AD98="","",IF(ISNUMBER($AD98),IF($AD98&lt;Header!$C$20,"BELOW MIN PREMIUM","OK"),""))</f>
        <v/>
      </c>
      <c r="BA98" s="56"/>
      <c r="BB98" s="56"/>
      <c r="BC98" s="54"/>
      <c r="BE98" s="53" t="str">
        <f aca="false">IF(OR($A98="",$L98="",$H98=""),"",IF(AND(LEFT($L98,2)="06",$H98&gt;1945),"FAIL - pre-war class, year "&amp;$H98,IF(AND(LEFT($L98,2)="07",OR($H98&lt;1946,$H98&gt;1972)),"FAIL - 1946-72 class, year "&amp;$H98,IF(AND(LEFT($L98,2)="08",OR($H98&lt;1973,$H98&gt;1999)),"FAIL - 1973-99 class, year "&amp;$H98,IF(AND(LEFT($L98,2)="09",OR($H98&lt;2000,$H98&gt;2010)),"FAIL - 2000-10 class, year "&amp;$H98,"OK")))))</f>
        <v/>
      </c>
      <c r="BF98" s="53" t="str">
        <f aca="false">IF($AD98="","",IF(ROUND($AO98+$AP98+$AQ98-$AD98,2)=0,"OK","FAIL - out by "&amp;TEXT($AO98+$AP98+$AQ98-$AD98,"$0.00")))</f>
        <v/>
      </c>
    </row>
    <row r="99" customFormat="false" ht="15" hidden="false" customHeight="true" outlineLevel="0" collapsed="false">
      <c r="A99" s="38"/>
      <c r="B99" s="38"/>
      <c r="C99" s="39"/>
      <c r="D99" s="40"/>
      <c r="E99" s="40"/>
      <c r="F99" s="38"/>
      <c r="G99" s="41" t="str">
        <f aca="false">IF($A99="","",IF($C99="","",YEAR($C99)))</f>
        <v/>
      </c>
      <c r="H99" s="42"/>
      <c r="I99" s="38"/>
      <c r="J99" s="38"/>
      <c r="K99" s="38"/>
      <c r="L99" s="40"/>
      <c r="M99" s="43"/>
      <c r="N99" s="40"/>
      <c r="O99" s="38"/>
      <c r="P99" s="38"/>
      <c r="Q99" s="38"/>
      <c r="R99" s="38"/>
      <c r="S99" s="40"/>
      <c r="T99" s="44" t="str">
        <f aca="false">IF($A99="","",IF($S99="","",IFERROR(INDEX(Lists!$N$5:$N$16,MATCH($S99,Lists!$M$5:$M$16,0)),"?")))</f>
        <v/>
      </c>
      <c r="U99" s="38"/>
      <c r="V99" s="40"/>
      <c r="W99" s="38"/>
      <c r="X99" s="40"/>
      <c r="Y99" s="38"/>
      <c r="Z99" s="38"/>
      <c r="AA99" s="40"/>
      <c r="AB99" s="43"/>
      <c r="AC99" s="45"/>
      <c r="AD99" s="46" t="str">
        <f aca="false">IF(ISNUMBER($AB99),$AB99*(1+N($AC99)),"")</f>
        <v/>
      </c>
      <c r="AE99" s="43"/>
      <c r="AF99" s="43"/>
      <c r="AG99" s="45"/>
      <c r="AH99" s="47" t="str">
        <f aca="false">IF(ISNUMBER($AD99),($AD99+$AE99+$AF99)*$AG99,"")</f>
        <v/>
      </c>
      <c r="AI99" s="43"/>
      <c r="AJ99" s="46" t="str">
        <f aca="false">IF(ISNUMBER($AD99),SUM($AD99:$AH99),"")</f>
        <v/>
      </c>
      <c r="AK99" s="48" t="str">
        <f aca="false">IF(AND(ISNUMBER($AB99),ISNUMBER($AD99)),IF($AB99&gt;0,$AD99/$AB99,""),"")</f>
        <v/>
      </c>
      <c r="AL99" s="40"/>
      <c r="AM99" s="49" t="str">
        <f aca="false">IF(ISNUMBER($AD99),Header!$I$3,"")</f>
        <v/>
      </c>
      <c r="AN99" s="47" t="str">
        <f aca="false">IF(ISNUMBER($AD99),$AO99+$AP99,"")</f>
        <v/>
      </c>
      <c r="AO99" s="47" t="str">
        <f aca="false">IF(ISNUMBER($AD99),ROUND($AD99*Header!$K$3,2),"")</f>
        <v/>
      </c>
      <c r="AP99" s="47" t="str">
        <f aca="false">IF(ISNUMBER($AD99),ROUND($AD99*Header!$M$3,2),"")</f>
        <v/>
      </c>
      <c r="AQ99" s="46" t="str">
        <f aca="false">IF(ISNUMBER($AD99),ROUND($AD99,2)-$AO99-$AP99,"")</f>
        <v/>
      </c>
      <c r="AR99" s="47" t="str">
        <f aca="false">IF(ISNUMBER($AD99),IF(Header!$D$34="","?",$AD99*Header!$D$34),"")</f>
        <v/>
      </c>
      <c r="AS99" s="47" t="str">
        <f aca="false">IF(ISNUMBER($AB99),IF(Header!$D$34="","?",$AB99*Header!$D$34),"")</f>
        <v/>
      </c>
      <c r="AT99" s="50" t="str">
        <f aca="false">IF(AND(ISNUMBER($AB99),$M99&gt;0),$AB99/$M99*100,"")</f>
        <v/>
      </c>
      <c r="AU99" s="50" t="str">
        <f aca="false">IF(AND(ISNUMBER($AD99),$M99&gt;0),$AD99/$M99*100,"")</f>
        <v/>
      </c>
      <c r="AV99" s="48" t="str">
        <f aca="false">IF(AND(ISNUMBER($AB99),ISNUMBER($AD99),ABS($AB99)&gt;0),$AD99/$AB99,"")</f>
        <v/>
      </c>
      <c r="AW99" s="47" t="str">
        <f aca="false">IF(ISNUMBER($AD99),MAX(0,(1-0.55-Header!$O$3)*Header!$Q$3*$AQ99),"")</f>
        <v/>
      </c>
      <c r="AX99" s="51" t="str">
        <f aca="false">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v/>
      </c>
      <c r="AY99" s="52" t="str">
        <f aca="false">IF($M99="","",IF(ISNUMBER($M99),IF($M99&gt;=Header!$C$18,"YES — refer","No"),""))</f>
        <v/>
      </c>
      <c r="AZ99" s="52" t="str">
        <f aca="false">IF($AD99="","",IF(ISNUMBER($AD99),IF($AD99&lt;Header!$C$20,"BELOW MIN PREMIUM","OK"),""))</f>
        <v/>
      </c>
      <c r="BA99" s="40"/>
      <c r="BB99" s="40"/>
      <c r="BC99" s="38"/>
      <c r="BE99" s="53" t="str">
        <f aca="false">IF(OR($A99="",$L99="",$H99=""),"",IF(AND(LEFT($L99,2)="06",$H99&gt;1945),"FAIL - pre-war class, year "&amp;$H99,IF(AND(LEFT($L99,2)="07",OR($H99&lt;1946,$H99&gt;1972)),"FAIL - 1946-72 class, year "&amp;$H99,IF(AND(LEFT($L99,2)="08",OR($H99&lt;1973,$H99&gt;1999)),"FAIL - 1973-99 class, year "&amp;$H99,IF(AND(LEFT($L99,2)="09",OR($H99&lt;2000,$H99&gt;2010)),"FAIL - 2000-10 class, year "&amp;$H99,"OK")))))</f>
        <v/>
      </c>
      <c r="BF99" s="53" t="str">
        <f aca="false">IF($AD99="","",IF(ROUND($AO99+$AP99+$AQ99-$AD99,2)=0,"OK","FAIL - out by "&amp;TEXT($AO99+$AP99+$AQ99-$AD99,"$0.00")))</f>
        <v/>
      </c>
    </row>
    <row r="100" customFormat="false" ht="15" hidden="false" customHeight="true" outlineLevel="0" collapsed="false">
      <c r="A100" s="54"/>
      <c r="B100" s="54"/>
      <c r="C100" s="55"/>
      <c r="D100" s="56"/>
      <c r="E100" s="56"/>
      <c r="F100" s="54"/>
      <c r="G100" s="41" t="str">
        <f aca="false">IF($A100="","",IF($C100="","",YEAR($C100)))</f>
        <v/>
      </c>
      <c r="H100" s="57"/>
      <c r="I100" s="54"/>
      <c r="J100" s="54"/>
      <c r="K100" s="54"/>
      <c r="L100" s="56"/>
      <c r="M100" s="58"/>
      <c r="N100" s="56"/>
      <c r="O100" s="54"/>
      <c r="P100" s="54"/>
      <c r="Q100" s="54"/>
      <c r="R100" s="54"/>
      <c r="S100" s="56"/>
      <c r="T100" s="44" t="str">
        <f aca="false">IF($A100="","",IF($S100="","",IFERROR(INDEX(Lists!$N$5:$N$16,MATCH($S100,Lists!$M$5:$M$16,0)),"?")))</f>
        <v/>
      </c>
      <c r="U100" s="54"/>
      <c r="V100" s="56"/>
      <c r="W100" s="54"/>
      <c r="X100" s="56"/>
      <c r="Y100" s="54"/>
      <c r="Z100" s="54"/>
      <c r="AA100" s="56"/>
      <c r="AB100" s="58"/>
      <c r="AC100" s="59"/>
      <c r="AD100" s="46" t="str">
        <f aca="false">IF(ISNUMBER($AB100),$AB100*(1+N($AC100)),"")</f>
        <v/>
      </c>
      <c r="AE100" s="58"/>
      <c r="AF100" s="58"/>
      <c r="AG100" s="59"/>
      <c r="AH100" s="47" t="str">
        <f aca="false">IF(ISNUMBER($AD100),($AD100+$AE100+$AF100)*$AG100,"")</f>
        <v/>
      </c>
      <c r="AI100" s="58"/>
      <c r="AJ100" s="46" t="str">
        <f aca="false">IF(ISNUMBER($AD100),SUM($AD100:$AH100),"")</f>
        <v/>
      </c>
      <c r="AK100" s="48" t="str">
        <f aca="false">IF(AND(ISNUMBER($AB100),ISNUMBER($AD100)),IF($AB100&gt;0,$AD100/$AB100,""),"")</f>
        <v/>
      </c>
      <c r="AL100" s="56"/>
      <c r="AM100" s="49" t="str">
        <f aca="false">IF(ISNUMBER($AD100),Header!$I$3,"")</f>
        <v/>
      </c>
      <c r="AN100" s="47" t="str">
        <f aca="false">IF(ISNUMBER($AD100),$AO100+$AP100,"")</f>
        <v/>
      </c>
      <c r="AO100" s="47" t="str">
        <f aca="false">IF(ISNUMBER($AD100),ROUND($AD100*Header!$K$3,2),"")</f>
        <v/>
      </c>
      <c r="AP100" s="47" t="str">
        <f aca="false">IF(ISNUMBER($AD100),ROUND($AD100*Header!$M$3,2),"")</f>
        <v/>
      </c>
      <c r="AQ100" s="46" t="str">
        <f aca="false">IF(ISNUMBER($AD100),ROUND($AD100,2)-$AO100-$AP100,"")</f>
        <v/>
      </c>
      <c r="AR100" s="47" t="str">
        <f aca="false">IF(ISNUMBER($AD100),IF(Header!$D$34="","?",$AD100*Header!$D$34),"")</f>
        <v/>
      </c>
      <c r="AS100" s="47" t="str">
        <f aca="false">IF(ISNUMBER($AB100),IF(Header!$D$34="","?",$AB100*Header!$D$34),"")</f>
        <v/>
      </c>
      <c r="AT100" s="50" t="str">
        <f aca="false">IF(AND(ISNUMBER($AB100),$M100&gt;0),$AB100/$M100*100,"")</f>
        <v/>
      </c>
      <c r="AU100" s="50" t="str">
        <f aca="false">IF(AND(ISNUMBER($AD100),$M100&gt;0),$AD100/$M100*100,"")</f>
        <v/>
      </c>
      <c r="AV100" s="48" t="str">
        <f aca="false">IF(AND(ISNUMBER($AB100),ISNUMBER($AD100),ABS($AB100)&gt;0),$AD100/$AB100,"")</f>
        <v/>
      </c>
      <c r="AW100" s="47" t="str">
        <f aca="false">IF(ISNUMBER($AD100),MAX(0,(1-0.55-Header!$O$3)*Header!$Q$3*$AQ100),"")</f>
        <v/>
      </c>
      <c r="AX100" s="51" t="str">
        <f aca="false">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v/>
      </c>
      <c r="AY100" s="52" t="str">
        <f aca="false">IF($M100="","",IF(ISNUMBER($M100),IF($M100&gt;=Header!$C$18,"YES — refer","No"),""))</f>
        <v/>
      </c>
      <c r="AZ100" s="52" t="str">
        <f aca="false">IF($AD100="","",IF(ISNUMBER($AD100),IF($AD100&lt;Header!$C$20,"BELOW MIN PREMIUM","OK"),""))</f>
        <v/>
      </c>
      <c r="BA100" s="56"/>
      <c r="BB100" s="56"/>
      <c r="BC100" s="54"/>
      <c r="BE100" s="53" t="str">
        <f aca="false">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v/>
      </c>
      <c r="BF100" s="53" t="str">
        <f aca="false">IF($AD100="","",IF(ROUND($AO100+$AP100+$AQ100-$AD100,2)=0,"OK","FAIL - out by "&amp;TEXT($AO100+$AP100+$AQ100-$AD100,"$0.00")))</f>
        <v/>
      </c>
    </row>
    <row r="101" customFormat="false" ht="15" hidden="false" customHeight="true" outlineLevel="0" collapsed="false">
      <c r="A101" s="38"/>
      <c r="B101" s="38"/>
      <c r="C101" s="39"/>
      <c r="D101" s="40"/>
      <c r="E101" s="40"/>
      <c r="F101" s="38"/>
      <c r="G101" s="41" t="str">
        <f aca="false">IF($A101="","",IF($C101="","",YEAR($C101)))</f>
        <v/>
      </c>
      <c r="H101" s="42"/>
      <c r="I101" s="38"/>
      <c r="J101" s="38"/>
      <c r="K101" s="38"/>
      <c r="L101" s="40"/>
      <c r="M101" s="43"/>
      <c r="N101" s="40"/>
      <c r="O101" s="38"/>
      <c r="P101" s="38"/>
      <c r="Q101" s="38"/>
      <c r="R101" s="38"/>
      <c r="S101" s="40"/>
      <c r="T101" s="44" t="str">
        <f aca="false">IF($A101="","",IF($S101="","",IFERROR(INDEX(Lists!$N$5:$N$16,MATCH($S101,Lists!$M$5:$M$16,0)),"?")))</f>
        <v/>
      </c>
      <c r="U101" s="38"/>
      <c r="V101" s="40"/>
      <c r="W101" s="38"/>
      <c r="X101" s="40"/>
      <c r="Y101" s="38"/>
      <c r="Z101" s="38"/>
      <c r="AA101" s="40"/>
      <c r="AB101" s="43"/>
      <c r="AC101" s="45"/>
      <c r="AD101" s="46" t="str">
        <f aca="false">IF(ISNUMBER($AB101),$AB101*(1+N($AC101)),"")</f>
        <v/>
      </c>
      <c r="AE101" s="43"/>
      <c r="AF101" s="43"/>
      <c r="AG101" s="45"/>
      <c r="AH101" s="47" t="str">
        <f aca="false">IF(ISNUMBER($AD101),($AD101+$AE101+$AF101)*$AG101,"")</f>
        <v/>
      </c>
      <c r="AI101" s="43"/>
      <c r="AJ101" s="46" t="str">
        <f aca="false">IF(ISNUMBER($AD101),SUM($AD101:$AH101),"")</f>
        <v/>
      </c>
      <c r="AK101" s="48" t="str">
        <f aca="false">IF(AND(ISNUMBER($AB101),ISNUMBER($AD101)),IF($AB101&gt;0,$AD101/$AB101,""),"")</f>
        <v/>
      </c>
      <c r="AL101" s="40"/>
      <c r="AM101" s="49" t="str">
        <f aca="false">IF(ISNUMBER($AD101),Header!$I$3,"")</f>
        <v/>
      </c>
      <c r="AN101" s="47" t="str">
        <f aca="false">IF(ISNUMBER($AD101),$AO101+$AP101,"")</f>
        <v/>
      </c>
      <c r="AO101" s="47" t="str">
        <f aca="false">IF(ISNUMBER($AD101),ROUND($AD101*Header!$K$3,2),"")</f>
        <v/>
      </c>
      <c r="AP101" s="47" t="str">
        <f aca="false">IF(ISNUMBER($AD101),ROUND($AD101*Header!$M$3,2),"")</f>
        <v/>
      </c>
      <c r="AQ101" s="46" t="str">
        <f aca="false">IF(ISNUMBER($AD101),ROUND($AD101,2)-$AO101-$AP101,"")</f>
        <v/>
      </c>
      <c r="AR101" s="47" t="str">
        <f aca="false">IF(ISNUMBER($AD101),IF(Header!$D$34="","?",$AD101*Header!$D$34),"")</f>
        <v/>
      </c>
      <c r="AS101" s="47" t="str">
        <f aca="false">IF(ISNUMBER($AB101),IF(Header!$D$34="","?",$AB101*Header!$D$34),"")</f>
        <v/>
      </c>
      <c r="AT101" s="50" t="str">
        <f aca="false">IF(AND(ISNUMBER($AB101),$M101&gt;0),$AB101/$M101*100,"")</f>
        <v/>
      </c>
      <c r="AU101" s="50" t="str">
        <f aca="false">IF(AND(ISNUMBER($AD101),$M101&gt;0),$AD101/$M101*100,"")</f>
        <v/>
      </c>
      <c r="AV101" s="48" t="str">
        <f aca="false">IF(AND(ISNUMBER($AB101),ISNUMBER($AD101),ABS($AB101)&gt;0),$AD101/$AB101,"")</f>
        <v/>
      </c>
      <c r="AW101" s="47" t="str">
        <f aca="false">IF(ISNUMBER($AD101),MAX(0,(1-0.55-Header!$O$3)*Header!$Q$3*$AQ101),"")</f>
        <v/>
      </c>
      <c r="AX101" s="51" t="str">
        <f aca="false">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v/>
      </c>
      <c r="AY101" s="52" t="str">
        <f aca="false">IF($M101="","",IF(ISNUMBER($M101),IF($M101&gt;=Header!$C$18,"YES — refer","No"),""))</f>
        <v/>
      </c>
      <c r="AZ101" s="52" t="str">
        <f aca="false">IF($AD101="","",IF(ISNUMBER($AD101),IF($AD101&lt;Header!$C$20,"BELOW MIN PREMIUM","OK"),""))</f>
        <v/>
      </c>
      <c r="BA101" s="40"/>
      <c r="BB101" s="40"/>
      <c r="BC101" s="38"/>
      <c r="BE101" s="53" t="str">
        <f aca="false">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v/>
      </c>
      <c r="BF101" s="53" t="str">
        <f aca="false">IF($AD101="","",IF(ROUND($AO101+$AP101+$AQ101-$AD101,2)=0,"OK","FAIL - out by "&amp;TEXT($AO101+$AP101+$AQ101-$AD101,"$0.00")))</f>
        <v/>
      </c>
    </row>
    <row r="102" customFormat="false" ht="15" hidden="false" customHeight="true" outlineLevel="0" collapsed="false">
      <c r="A102" s="54"/>
      <c r="B102" s="54"/>
      <c r="C102" s="55"/>
      <c r="D102" s="56"/>
      <c r="E102" s="56"/>
      <c r="F102" s="54"/>
      <c r="G102" s="41" t="str">
        <f aca="false">IF($A102="","",IF($C102="","",YEAR($C102)))</f>
        <v/>
      </c>
      <c r="H102" s="57"/>
      <c r="I102" s="54"/>
      <c r="J102" s="54"/>
      <c r="K102" s="54"/>
      <c r="L102" s="56"/>
      <c r="M102" s="58"/>
      <c r="N102" s="56"/>
      <c r="O102" s="54"/>
      <c r="P102" s="54"/>
      <c r="Q102" s="54"/>
      <c r="R102" s="54"/>
      <c r="S102" s="56"/>
      <c r="T102" s="44" t="str">
        <f aca="false">IF($A102="","",IF($S102="","",IFERROR(INDEX(Lists!$N$5:$N$16,MATCH($S102,Lists!$M$5:$M$16,0)),"?")))</f>
        <v/>
      </c>
      <c r="U102" s="54"/>
      <c r="V102" s="56"/>
      <c r="W102" s="54"/>
      <c r="X102" s="56"/>
      <c r="Y102" s="54"/>
      <c r="Z102" s="54"/>
      <c r="AA102" s="56"/>
      <c r="AB102" s="58"/>
      <c r="AC102" s="59"/>
      <c r="AD102" s="46" t="str">
        <f aca="false">IF(ISNUMBER($AB102),$AB102*(1+N($AC102)),"")</f>
        <v/>
      </c>
      <c r="AE102" s="58"/>
      <c r="AF102" s="58"/>
      <c r="AG102" s="59"/>
      <c r="AH102" s="47" t="str">
        <f aca="false">IF(ISNUMBER($AD102),($AD102+$AE102+$AF102)*$AG102,"")</f>
        <v/>
      </c>
      <c r="AI102" s="58"/>
      <c r="AJ102" s="46" t="str">
        <f aca="false">IF(ISNUMBER($AD102),SUM($AD102:$AH102),"")</f>
        <v/>
      </c>
      <c r="AK102" s="48" t="str">
        <f aca="false">IF(AND(ISNUMBER($AB102),ISNUMBER($AD102)),IF($AB102&gt;0,$AD102/$AB102,""),"")</f>
        <v/>
      </c>
      <c r="AL102" s="56"/>
      <c r="AM102" s="49" t="str">
        <f aca="false">IF(ISNUMBER($AD102),Header!$I$3,"")</f>
        <v/>
      </c>
      <c r="AN102" s="47" t="str">
        <f aca="false">IF(ISNUMBER($AD102),$AO102+$AP102,"")</f>
        <v/>
      </c>
      <c r="AO102" s="47" t="str">
        <f aca="false">IF(ISNUMBER($AD102),ROUND($AD102*Header!$K$3,2),"")</f>
        <v/>
      </c>
      <c r="AP102" s="47" t="str">
        <f aca="false">IF(ISNUMBER($AD102),ROUND($AD102*Header!$M$3,2),"")</f>
        <v/>
      </c>
      <c r="AQ102" s="46" t="str">
        <f aca="false">IF(ISNUMBER($AD102),ROUND($AD102,2)-$AO102-$AP102,"")</f>
        <v/>
      </c>
      <c r="AR102" s="47" t="str">
        <f aca="false">IF(ISNUMBER($AD102),IF(Header!$D$34="","?",$AD102*Header!$D$34),"")</f>
        <v/>
      </c>
      <c r="AS102" s="47" t="str">
        <f aca="false">IF(ISNUMBER($AB102),IF(Header!$D$34="","?",$AB102*Header!$D$34),"")</f>
        <v/>
      </c>
      <c r="AT102" s="50" t="str">
        <f aca="false">IF(AND(ISNUMBER($AB102),$M102&gt;0),$AB102/$M102*100,"")</f>
        <v/>
      </c>
      <c r="AU102" s="50" t="str">
        <f aca="false">IF(AND(ISNUMBER($AD102),$M102&gt;0),$AD102/$M102*100,"")</f>
        <v/>
      </c>
      <c r="AV102" s="48" t="str">
        <f aca="false">IF(AND(ISNUMBER($AB102),ISNUMBER($AD102),ABS($AB102)&gt;0),$AD102/$AB102,"")</f>
        <v/>
      </c>
      <c r="AW102" s="47" t="str">
        <f aca="false">IF(ISNUMBER($AD102),MAX(0,(1-0.55-Header!$O$3)*Header!$Q$3*$AQ102),"")</f>
        <v/>
      </c>
      <c r="AX102" s="51" t="str">
        <f aca="false">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v/>
      </c>
      <c r="AY102" s="52" t="str">
        <f aca="false">IF($M102="","",IF(ISNUMBER($M102),IF($M102&gt;=Header!$C$18,"YES — refer","No"),""))</f>
        <v/>
      </c>
      <c r="AZ102" s="52" t="str">
        <f aca="false">IF($AD102="","",IF(ISNUMBER($AD102),IF($AD102&lt;Header!$C$20,"BELOW MIN PREMIUM","OK"),""))</f>
        <v/>
      </c>
      <c r="BA102" s="56"/>
      <c r="BB102" s="56"/>
      <c r="BC102" s="54"/>
      <c r="BE102" s="53" t="str">
        <f aca="false">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v/>
      </c>
      <c r="BF102" s="53" t="str">
        <f aca="false">IF($AD102="","",IF(ROUND($AO102+$AP102+$AQ102-$AD102,2)=0,"OK","FAIL - out by "&amp;TEXT($AO102+$AP102+$AQ102-$AD102,"$0.00")))</f>
        <v/>
      </c>
    </row>
    <row r="103" customFormat="false" ht="15" hidden="false" customHeight="true" outlineLevel="0" collapsed="false">
      <c r="A103" s="38"/>
      <c r="B103" s="38"/>
      <c r="C103" s="39"/>
      <c r="D103" s="40"/>
      <c r="E103" s="40"/>
      <c r="F103" s="38"/>
      <c r="G103" s="41" t="str">
        <f aca="false">IF($A103="","",IF($C103="","",YEAR($C103)))</f>
        <v/>
      </c>
      <c r="H103" s="42"/>
      <c r="I103" s="38"/>
      <c r="J103" s="38"/>
      <c r="K103" s="38"/>
      <c r="L103" s="40"/>
      <c r="M103" s="43"/>
      <c r="N103" s="40"/>
      <c r="O103" s="38"/>
      <c r="P103" s="38"/>
      <c r="Q103" s="38"/>
      <c r="R103" s="38"/>
      <c r="S103" s="40"/>
      <c r="T103" s="44" t="str">
        <f aca="false">IF($A103="","",IF($S103="","",IFERROR(INDEX(Lists!$N$5:$N$16,MATCH($S103,Lists!$M$5:$M$16,0)),"?")))</f>
        <v/>
      </c>
      <c r="U103" s="38"/>
      <c r="V103" s="40"/>
      <c r="W103" s="38"/>
      <c r="X103" s="40"/>
      <c r="Y103" s="38"/>
      <c r="Z103" s="38"/>
      <c r="AA103" s="40"/>
      <c r="AB103" s="43"/>
      <c r="AC103" s="45"/>
      <c r="AD103" s="46" t="str">
        <f aca="false">IF(ISNUMBER($AB103),$AB103*(1+N($AC103)),"")</f>
        <v/>
      </c>
      <c r="AE103" s="43"/>
      <c r="AF103" s="43"/>
      <c r="AG103" s="45"/>
      <c r="AH103" s="47" t="str">
        <f aca="false">IF(ISNUMBER($AD103),($AD103+$AE103+$AF103)*$AG103,"")</f>
        <v/>
      </c>
      <c r="AI103" s="43"/>
      <c r="AJ103" s="46" t="str">
        <f aca="false">IF(ISNUMBER($AD103),SUM($AD103:$AH103),"")</f>
        <v/>
      </c>
      <c r="AK103" s="48" t="str">
        <f aca="false">IF(AND(ISNUMBER($AB103),ISNUMBER($AD103)),IF($AB103&gt;0,$AD103/$AB103,""),"")</f>
        <v/>
      </c>
      <c r="AL103" s="40"/>
      <c r="AM103" s="49" t="str">
        <f aca="false">IF(ISNUMBER($AD103),Header!$I$3,"")</f>
        <v/>
      </c>
      <c r="AN103" s="47" t="str">
        <f aca="false">IF(ISNUMBER($AD103),$AO103+$AP103,"")</f>
        <v/>
      </c>
      <c r="AO103" s="47" t="str">
        <f aca="false">IF(ISNUMBER($AD103),ROUND($AD103*Header!$K$3,2),"")</f>
        <v/>
      </c>
      <c r="AP103" s="47" t="str">
        <f aca="false">IF(ISNUMBER($AD103),ROUND($AD103*Header!$M$3,2),"")</f>
        <v/>
      </c>
      <c r="AQ103" s="46" t="str">
        <f aca="false">IF(ISNUMBER($AD103),ROUND($AD103,2)-$AO103-$AP103,"")</f>
        <v/>
      </c>
      <c r="AR103" s="47" t="str">
        <f aca="false">IF(ISNUMBER($AD103),IF(Header!$D$34="","?",$AD103*Header!$D$34),"")</f>
        <v/>
      </c>
      <c r="AS103" s="47" t="str">
        <f aca="false">IF(ISNUMBER($AB103),IF(Header!$D$34="","?",$AB103*Header!$D$34),"")</f>
        <v/>
      </c>
      <c r="AT103" s="50" t="str">
        <f aca="false">IF(AND(ISNUMBER($AB103),$M103&gt;0),$AB103/$M103*100,"")</f>
        <v/>
      </c>
      <c r="AU103" s="50" t="str">
        <f aca="false">IF(AND(ISNUMBER($AD103),$M103&gt;0),$AD103/$M103*100,"")</f>
        <v/>
      </c>
      <c r="AV103" s="48" t="str">
        <f aca="false">IF(AND(ISNUMBER($AB103),ISNUMBER($AD103),ABS($AB103)&gt;0),$AD103/$AB103,"")</f>
        <v/>
      </c>
      <c r="AW103" s="47" t="str">
        <f aca="false">IF(ISNUMBER($AD103),MAX(0,(1-0.55-Header!$O$3)*Header!$Q$3*$AQ103),"")</f>
        <v/>
      </c>
      <c r="AX103" s="51" t="str">
        <f aca="false">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v/>
      </c>
      <c r="AY103" s="52" t="str">
        <f aca="false">IF($M103="","",IF(ISNUMBER($M103),IF($M103&gt;=Header!$C$18,"YES — refer","No"),""))</f>
        <v/>
      </c>
      <c r="AZ103" s="52" t="str">
        <f aca="false">IF($AD103="","",IF(ISNUMBER($AD103),IF($AD103&lt;Header!$C$20,"BELOW MIN PREMIUM","OK"),""))</f>
        <v/>
      </c>
      <c r="BA103" s="40"/>
      <c r="BB103" s="40"/>
      <c r="BC103" s="38"/>
      <c r="BE103" s="53" t="str">
        <f aca="false">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v/>
      </c>
      <c r="BF103" s="53" t="str">
        <f aca="false">IF($AD103="","",IF(ROUND($AO103+$AP103+$AQ103-$AD103,2)=0,"OK","FAIL - out by "&amp;TEXT($AO103+$AP103+$AQ103-$AD103,"$0.00")))</f>
        <v/>
      </c>
    </row>
    <row r="104" customFormat="false" ht="15" hidden="false" customHeight="true" outlineLevel="0" collapsed="false">
      <c r="A104" s="54"/>
      <c r="B104" s="54"/>
      <c r="C104" s="55"/>
      <c r="D104" s="56"/>
      <c r="E104" s="56"/>
      <c r="F104" s="54"/>
      <c r="G104" s="41" t="str">
        <f aca="false">IF($A104="","",IF($C104="","",YEAR($C104)))</f>
        <v/>
      </c>
      <c r="H104" s="57"/>
      <c r="I104" s="54"/>
      <c r="J104" s="54"/>
      <c r="K104" s="54"/>
      <c r="L104" s="56"/>
      <c r="M104" s="58"/>
      <c r="N104" s="56"/>
      <c r="O104" s="54"/>
      <c r="P104" s="54"/>
      <c r="Q104" s="54"/>
      <c r="R104" s="54"/>
      <c r="S104" s="56"/>
      <c r="T104" s="44" t="str">
        <f aca="false">IF($A104="","",IF($S104="","",IFERROR(INDEX(Lists!$N$5:$N$16,MATCH($S104,Lists!$M$5:$M$16,0)),"?")))</f>
        <v/>
      </c>
      <c r="U104" s="54"/>
      <c r="V104" s="56"/>
      <c r="W104" s="54"/>
      <c r="X104" s="56"/>
      <c r="Y104" s="54"/>
      <c r="Z104" s="54"/>
      <c r="AA104" s="56"/>
      <c r="AB104" s="58"/>
      <c r="AC104" s="59"/>
      <c r="AD104" s="46" t="str">
        <f aca="false">IF(ISNUMBER($AB104),$AB104*(1+N($AC104)),"")</f>
        <v/>
      </c>
      <c r="AE104" s="58"/>
      <c r="AF104" s="58"/>
      <c r="AG104" s="59"/>
      <c r="AH104" s="47" t="str">
        <f aca="false">IF(ISNUMBER($AD104),($AD104+$AE104+$AF104)*$AG104,"")</f>
        <v/>
      </c>
      <c r="AI104" s="58"/>
      <c r="AJ104" s="46" t="str">
        <f aca="false">IF(ISNUMBER($AD104),SUM($AD104:$AH104),"")</f>
        <v/>
      </c>
      <c r="AK104" s="48" t="str">
        <f aca="false">IF(AND(ISNUMBER($AB104),ISNUMBER($AD104)),IF($AB104&gt;0,$AD104/$AB104,""),"")</f>
        <v/>
      </c>
      <c r="AL104" s="56"/>
      <c r="AM104" s="49" t="str">
        <f aca="false">IF(ISNUMBER($AD104),Header!$I$3,"")</f>
        <v/>
      </c>
      <c r="AN104" s="47" t="str">
        <f aca="false">IF(ISNUMBER($AD104),$AO104+$AP104,"")</f>
        <v/>
      </c>
      <c r="AO104" s="47" t="str">
        <f aca="false">IF(ISNUMBER($AD104),ROUND($AD104*Header!$K$3,2),"")</f>
        <v/>
      </c>
      <c r="AP104" s="47" t="str">
        <f aca="false">IF(ISNUMBER($AD104),ROUND($AD104*Header!$M$3,2),"")</f>
        <v/>
      </c>
      <c r="AQ104" s="46" t="str">
        <f aca="false">IF(ISNUMBER($AD104),ROUND($AD104,2)-$AO104-$AP104,"")</f>
        <v/>
      </c>
      <c r="AR104" s="47" t="str">
        <f aca="false">IF(ISNUMBER($AD104),IF(Header!$D$34="","?",$AD104*Header!$D$34),"")</f>
        <v/>
      </c>
      <c r="AS104" s="47" t="str">
        <f aca="false">IF(ISNUMBER($AB104),IF(Header!$D$34="","?",$AB104*Header!$D$34),"")</f>
        <v/>
      </c>
      <c r="AT104" s="50" t="str">
        <f aca="false">IF(AND(ISNUMBER($AB104),$M104&gt;0),$AB104/$M104*100,"")</f>
        <v/>
      </c>
      <c r="AU104" s="50" t="str">
        <f aca="false">IF(AND(ISNUMBER($AD104),$M104&gt;0),$AD104/$M104*100,"")</f>
        <v/>
      </c>
      <c r="AV104" s="48" t="str">
        <f aca="false">IF(AND(ISNUMBER($AB104),ISNUMBER($AD104),ABS($AB104)&gt;0),$AD104/$AB104,"")</f>
        <v/>
      </c>
      <c r="AW104" s="47" t="str">
        <f aca="false">IF(ISNUMBER($AD104),MAX(0,(1-0.55-Header!$O$3)*Header!$Q$3*$AQ104),"")</f>
        <v/>
      </c>
      <c r="AX104" s="51" t="str">
        <f aca="false">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v/>
      </c>
      <c r="AY104" s="52" t="str">
        <f aca="false">IF($M104="","",IF(ISNUMBER($M104),IF($M104&gt;=Header!$C$18,"YES — refer","No"),""))</f>
        <v/>
      </c>
      <c r="AZ104" s="52" t="str">
        <f aca="false">IF($AD104="","",IF(ISNUMBER($AD104),IF($AD104&lt;Header!$C$20,"BELOW MIN PREMIUM","OK"),""))</f>
        <v/>
      </c>
      <c r="BA104" s="56"/>
      <c r="BB104" s="56"/>
      <c r="BC104" s="54"/>
      <c r="BE104" s="53" t="str">
        <f aca="false">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v/>
      </c>
      <c r="BF104" s="53" t="str">
        <f aca="false">IF($AD104="","",IF(ROUND($AO104+$AP104+$AQ104-$AD104,2)=0,"OK","FAIL - out by "&amp;TEXT($AO104+$AP104+$AQ104-$AD104,"$0.00")))</f>
        <v/>
      </c>
    </row>
    <row r="105" customFormat="false" ht="15" hidden="false" customHeight="true" outlineLevel="0" collapsed="false">
      <c r="A105" s="38"/>
      <c r="B105" s="38"/>
      <c r="C105" s="39"/>
      <c r="D105" s="40"/>
      <c r="E105" s="40"/>
      <c r="F105" s="38"/>
      <c r="G105" s="41" t="str">
        <f aca="false">IF($A105="","",IF($C105="","",YEAR($C105)))</f>
        <v/>
      </c>
      <c r="H105" s="42"/>
      <c r="I105" s="38"/>
      <c r="J105" s="38"/>
      <c r="K105" s="38"/>
      <c r="L105" s="40"/>
      <c r="M105" s="43"/>
      <c r="N105" s="40"/>
      <c r="O105" s="38"/>
      <c r="P105" s="38"/>
      <c r="Q105" s="38"/>
      <c r="R105" s="38"/>
      <c r="S105" s="40"/>
      <c r="T105" s="44" t="str">
        <f aca="false">IF($A105="","",IF($S105="","",IFERROR(INDEX(Lists!$N$5:$N$16,MATCH($S105,Lists!$M$5:$M$16,0)),"?")))</f>
        <v/>
      </c>
      <c r="U105" s="38"/>
      <c r="V105" s="40"/>
      <c r="W105" s="38"/>
      <c r="X105" s="40"/>
      <c r="Y105" s="38"/>
      <c r="Z105" s="38"/>
      <c r="AA105" s="40"/>
      <c r="AB105" s="43"/>
      <c r="AC105" s="45"/>
      <c r="AD105" s="46" t="str">
        <f aca="false">IF(ISNUMBER($AB105),$AB105*(1+N($AC105)),"")</f>
        <v/>
      </c>
      <c r="AE105" s="43"/>
      <c r="AF105" s="43"/>
      <c r="AG105" s="45"/>
      <c r="AH105" s="47" t="str">
        <f aca="false">IF(ISNUMBER($AD105),($AD105+$AE105+$AF105)*$AG105,"")</f>
        <v/>
      </c>
      <c r="AI105" s="43"/>
      <c r="AJ105" s="46" t="str">
        <f aca="false">IF(ISNUMBER($AD105),SUM($AD105:$AH105),"")</f>
        <v/>
      </c>
      <c r="AK105" s="48" t="str">
        <f aca="false">IF(AND(ISNUMBER($AB105),ISNUMBER($AD105)),IF($AB105&gt;0,$AD105/$AB105,""),"")</f>
        <v/>
      </c>
      <c r="AL105" s="40"/>
      <c r="AM105" s="49" t="str">
        <f aca="false">IF(ISNUMBER($AD105),Header!$I$3,"")</f>
        <v/>
      </c>
      <c r="AN105" s="47" t="str">
        <f aca="false">IF(ISNUMBER($AD105),$AO105+$AP105,"")</f>
        <v/>
      </c>
      <c r="AO105" s="47" t="str">
        <f aca="false">IF(ISNUMBER($AD105),ROUND($AD105*Header!$K$3,2),"")</f>
        <v/>
      </c>
      <c r="AP105" s="47" t="str">
        <f aca="false">IF(ISNUMBER($AD105),ROUND($AD105*Header!$M$3,2),"")</f>
        <v/>
      </c>
      <c r="AQ105" s="46" t="str">
        <f aca="false">IF(ISNUMBER($AD105),ROUND($AD105,2)-$AO105-$AP105,"")</f>
        <v/>
      </c>
      <c r="AR105" s="47" t="str">
        <f aca="false">IF(ISNUMBER($AD105),IF(Header!$D$34="","?",$AD105*Header!$D$34),"")</f>
        <v/>
      </c>
      <c r="AS105" s="47" t="str">
        <f aca="false">IF(ISNUMBER($AB105),IF(Header!$D$34="","?",$AB105*Header!$D$34),"")</f>
        <v/>
      </c>
      <c r="AT105" s="50" t="str">
        <f aca="false">IF(AND(ISNUMBER($AB105),$M105&gt;0),$AB105/$M105*100,"")</f>
        <v/>
      </c>
      <c r="AU105" s="50" t="str">
        <f aca="false">IF(AND(ISNUMBER($AD105),$M105&gt;0),$AD105/$M105*100,"")</f>
        <v/>
      </c>
      <c r="AV105" s="48" t="str">
        <f aca="false">IF(AND(ISNUMBER($AB105),ISNUMBER($AD105),ABS($AB105)&gt;0),$AD105/$AB105,"")</f>
        <v/>
      </c>
      <c r="AW105" s="47" t="str">
        <f aca="false">IF(ISNUMBER($AD105),MAX(0,(1-0.55-Header!$O$3)*Header!$Q$3*$AQ105),"")</f>
        <v/>
      </c>
      <c r="AX105" s="51" t="str">
        <f aca="false">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v/>
      </c>
      <c r="AY105" s="52" t="str">
        <f aca="false">IF($M105="","",IF(ISNUMBER($M105),IF($M105&gt;=Header!$C$18,"YES — refer","No"),""))</f>
        <v/>
      </c>
      <c r="AZ105" s="52" t="str">
        <f aca="false">IF($AD105="","",IF(ISNUMBER($AD105),IF($AD105&lt;Header!$C$20,"BELOW MIN PREMIUM","OK"),""))</f>
        <v/>
      </c>
      <c r="BA105" s="40"/>
      <c r="BB105" s="40"/>
      <c r="BC105" s="38"/>
      <c r="BE105" s="53" t="str">
        <f aca="false">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v/>
      </c>
      <c r="BF105" s="53" t="str">
        <f aca="false">IF($AD105="","",IF(ROUND($AO105+$AP105+$AQ105-$AD105,2)=0,"OK","FAIL - out by "&amp;TEXT($AO105+$AP105+$AQ105-$AD105,"$0.00")))</f>
        <v/>
      </c>
    </row>
    <row r="106" customFormat="false" ht="15" hidden="false" customHeight="true" outlineLevel="0" collapsed="false">
      <c r="A106" s="54"/>
      <c r="B106" s="54"/>
      <c r="C106" s="55"/>
      <c r="D106" s="56"/>
      <c r="E106" s="56"/>
      <c r="F106" s="54"/>
      <c r="G106" s="41" t="str">
        <f aca="false">IF($A106="","",IF($C106="","",YEAR($C106)))</f>
        <v/>
      </c>
      <c r="H106" s="57"/>
      <c r="I106" s="54"/>
      <c r="J106" s="54"/>
      <c r="K106" s="54"/>
      <c r="L106" s="56"/>
      <c r="M106" s="58"/>
      <c r="N106" s="56"/>
      <c r="O106" s="54"/>
      <c r="P106" s="54"/>
      <c r="Q106" s="54"/>
      <c r="R106" s="54"/>
      <c r="S106" s="56"/>
      <c r="T106" s="44" t="str">
        <f aca="false">IF($A106="","",IF($S106="","",IFERROR(INDEX(Lists!$N$5:$N$16,MATCH($S106,Lists!$M$5:$M$16,0)),"?")))</f>
        <v/>
      </c>
      <c r="U106" s="54"/>
      <c r="V106" s="56"/>
      <c r="W106" s="54"/>
      <c r="X106" s="56"/>
      <c r="Y106" s="54"/>
      <c r="Z106" s="54"/>
      <c r="AA106" s="56"/>
      <c r="AB106" s="58"/>
      <c r="AC106" s="59"/>
      <c r="AD106" s="46" t="str">
        <f aca="false">IF(ISNUMBER($AB106),$AB106*(1+N($AC106)),"")</f>
        <v/>
      </c>
      <c r="AE106" s="58"/>
      <c r="AF106" s="58"/>
      <c r="AG106" s="59"/>
      <c r="AH106" s="47" t="str">
        <f aca="false">IF(ISNUMBER($AD106),($AD106+$AE106+$AF106)*$AG106,"")</f>
        <v/>
      </c>
      <c r="AI106" s="58"/>
      <c r="AJ106" s="46" t="str">
        <f aca="false">IF(ISNUMBER($AD106),SUM($AD106:$AH106),"")</f>
        <v/>
      </c>
      <c r="AK106" s="48" t="str">
        <f aca="false">IF(AND(ISNUMBER($AB106),ISNUMBER($AD106)),IF($AB106&gt;0,$AD106/$AB106,""),"")</f>
        <v/>
      </c>
      <c r="AL106" s="56"/>
      <c r="AM106" s="49" t="str">
        <f aca="false">IF(ISNUMBER($AD106),Header!$I$3,"")</f>
        <v/>
      </c>
      <c r="AN106" s="47" t="str">
        <f aca="false">IF(ISNUMBER($AD106),$AO106+$AP106,"")</f>
        <v/>
      </c>
      <c r="AO106" s="47" t="str">
        <f aca="false">IF(ISNUMBER($AD106),ROUND($AD106*Header!$K$3,2),"")</f>
        <v/>
      </c>
      <c r="AP106" s="47" t="str">
        <f aca="false">IF(ISNUMBER($AD106),ROUND($AD106*Header!$M$3,2),"")</f>
        <v/>
      </c>
      <c r="AQ106" s="46" t="str">
        <f aca="false">IF(ISNUMBER($AD106),ROUND($AD106,2)-$AO106-$AP106,"")</f>
        <v/>
      </c>
      <c r="AR106" s="47" t="str">
        <f aca="false">IF(ISNUMBER($AD106),IF(Header!$D$34="","?",$AD106*Header!$D$34),"")</f>
        <v/>
      </c>
      <c r="AS106" s="47" t="str">
        <f aca="false">IF(ISNUMBER($AB106),IF(Header!$D$34="","?",$AB106*Header!$D$34),"")</f>
        <v/>
      </c>
      <c r="AT106" s="50" t="str">
        <f aca="false">IF(AND(ISNUMBER($AB106),$M106&gt;0),$AB106/$M106*100,"")</f>
        <v/>
      </c>
      <c r="AU106" s="50" t="str">
        <f aca="false">IF(AND(ISNUMBER($AD106),$M106&gt;0),$AD106/$M106*100,"")</f>
        <v/>
      </c>
      <c r="AV106" s="48" t="str">
        <f aca="false">IF(AND(ISNUMBER($AB106),ISNUMBER($AD106),ABS($AB106)&gt;0),$AD106/$AB106,"")</f>
        <v/>
      </c>
      <c r="AW106" s="47" t="str">
        <f aca="false">IF(ISNUMBER($AD106),MAX(0,(1-0.55-Header!$O$3)*Header!$Q$3*$AQ106),"")</f>
        <v/>
      </c>
      <c r="AX106" s="51" t="str">
        <f aca="false">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v/>
      </c>
      <c r="AY106" s="52" t="str">
        <f aca="false">IF($M106="","",IF(ISNUMBER($M106),IF($M106&gt;=Header!$C$18,"YES — refer","No"),""))</f>
        <v/>
      </c>
      <c r="AZ106" s="52" t="str">
        <f aca="false">IF($AD106="","",IF(ISNUMBER($AD106),IF($AD106&lt;Header!$C$20,"BELOW MIN PREMIUM","OK"),""))</f>
        <v/>
      </c>
      <c r="BA106" s="56"/>
      <c r="BB106" s="56"/>
      <c r="BC106" s="54"/>
      <c r="BE106" s="53" t="str">
        <f aca="false">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v/>
      </c>
      <c r="BF106" s="53" t="str">
        <f aca="false">IF($AD106="","",IF(ROUND($AO106+$AP106+$AQ106-$AD106,2)=0,"OK","FAIL - out by "&amp;TEXT($AO106+$AP106+$AQ106-$AD106,"$0.00")))</f>
        <v/>
      </c>
    </row>
    <row r="107" customFormat="false" ht="15" hidden="false" customHeight="true" outlineLevel="0" collapsed="false">
      <c r="A107" s="38"/>
      <c r="B107" s="38"/>
      <c r="C107" s="39"/>
      <c r="D107" s="40"/>
      <c r="E107" s="40"/>
      <c r="F107" s="38"/>
      <c r="G107" s="41" t="str">
        <f aca="false">IF($A107="","",IF($C107="","",YEAR($C107)))</f>
        <v/>
      </c>
      <c r="H107" s="42"/>
      <c r="I107" s="38"/>
      <c r="J107" s="38"/>
      <c r="K107" s="38"/>
      <c r="L107" s="40"/>
      <c r="M107" s="43"/>
      <c r="N107" s="40"/>
      <c r="O107" s="38"/>
      <c r="P107" s="38"/>
      <c r="Q107" s="38"/>
      <c r="R107" s="38"/>
      <c r="S107" s="40"/>
      <c r="T107" s="44" t="str">
        <f aca="false">IF($A107="","",IF($S107="","",IFERROR(INDEX(Lists!$N$5:$N$16,MATCH($S107,Lists!$M$5:$M$16,0)),"?")))</f>
        <v/>
      </c>
      <c r="U107" s="38"/>
      <c r="V107" s="40"/>
      <c r="W107" s="38"/>
      <c r="X107" s="40"/>
      <c r="Y107" s="38"/>
      <c r="Z107" s="38"/>
      <c r="AA107" s="40"/>
      <c r="AB107" s="43"/>
      <c r="AC107" s="45"/>
      <c r="AD107" s="46" t="str">
        <f aca="false">IF(ISNUMBER($AB107),$AB107*(1+N($AC107)),"")</f>
        <v/>
      </c>
      <c r="AE107" s="43"/>
      <c r="AF107" s="43"/>
      <c r="AG107" s="45"/>
      <c r="AH107" s="47" t="str">
        <f aca="false">IF(ISNUMBER($AD107),($AD107+$AE107+$AF107)*$AG107,"")</f>
        <v/>
      </c>
      <c r="AI107" s="43"/>
      <c r="AJ107" s="46" t="str">
        <f aca="false">IF(ISNUMBER($AD107),SUM($AD107:$AH107),"")</f>
        <v/>
      </c>
      <c r="AK107" s="48" t="str">
        <f aca="false">IF(AND(ISNUMBER($AB107),ISNUMBER($AD107)),IF($AB107&gt;0,$AD107/$AB107,""),"")</f>
        <v/>
      </c>
      <c r="AL107" s="40"/>
      <c r="AM107" s="49" t="str">
        <f aca="false">IF(ISNUMBER($AD107),Header!$I$3,"")</f>
        <v/>
      </c>
      <c r="AN107" s="47" t="str">
        <f aca="false">IF(ISNUMBER($AD107),$AO107+$AP107,"")</f>
        <v/>
      </c>
      <c r="AO107" s="47" t="str">
        <f aca="false">IF(ISNUMBER($AD107),ROUND($AD107*Header!$K$3,2),"")</f>
        <v/>
      </c>
      <c r="AP107" s="47" t="str">
        <f aca="false">IF(ISNUMBER($AD107),ROUND($AD107*Header!$M$3,2),"")</f>
        <v/>
      </c>
      <c r="AQ107" s="46" t="str">
        <f aca="false">IF(ISNUMBER($AD107),ROUND($AD107,2)-$AO107-$AP107,"")</f>
        <v/>
      </c>
      <c r="AR107" s="47" t="str">
        <f aca="false">IF(ISNUMBER($AD107),IF(Header!$D$34="","?",$AD107*Header!$D$34),"")</f>
        <v/>
      </c>
      <c r="AS107" s="47" t="str">
        <f aca="false">IF(ISNUMBER($AB107),IF(Header!$D$34="","?",$AB107*Header!$D$34),"")</f>
        <v/>
      </c>
      <c r="AT107" s="50" t="str">
        <f aca="false">IF(AND(ISNUMBER($AB107),$M107&gt;0),$AB107/$M107*100,"")</f>
        <v/>
      </c>
      <c r="AU107" s="50" t="str">
        <f aca="false">IF(AND(ISNUMBER($AD107),$M107&gt;0),$AD107/$M107*100,"")</f>
        <v/>
      </c>
      <c r="AV107" s="48" t="str">
        <f aca="false">IF(AND(ISNUMBER($AB107),ISNUMBER($AD107),ABS($AB107)&gt;0),$AD107/$AB107,"")</f>
        <v/>
      </c>
      <c r="AW107" s="47" t="str">
        <f aca="false">IF(ISNUMBER($AD107),MAX(0,(1-0.55-Header!$O$3)*Header!$Q$3*$AQ107),"")</f>
        <v/>
      </c>
      <c r="AX107" s="51" t="str">
        <f aca="false">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v/>
      </c>
      <c r="AY107" s="52" t="str">
        <f aca="false">IF($M107="","",IF(ISNUMBER($M107),IF($M107&gt;=Header!$C$18,"YES — refer","No"),""))</f>
        <v/>
      </c>
      <c r="AZ107" s="52" t="str">
        <f aca="false">IF($AD107="","",IF(ISNUMBER($AD107),IF($AD107&lt;Header!$C$20,"BELOW MIN PREMIUM","OK"),""))</f>
        <v/>
      </c>
      <c r="BA107" s="40"/>
      <c r="BB107" s="40"/>
      <c r="BC107" s="38"/>
      <c r="BE107" s="53" t="str">
        <f aca="false">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v/>
      </c>
      <c r="BF107" s="53" t="str">
        <f aca="false">IF($AD107="","",IF(ROUND($AO107+$AP107+$AQ107-$AD107,2)=0,"OK","FAIL - out by "&amp;TEXT($AO107+$AP107+$AQ107-$AD107,"$0.00")))</f>
        <v/>
      </c>
    </row>
    <row r="108" customFormat="false" ht="15" hidden="false" customHeight="true" outlineLevel="0" collapsed="false">
      <c r="A108" s="54"/>
      <c r="B108" s="54"/>
      <c r="C108" s="55"/>
      <c r="D108" s="56"/>
      <c r="E108" s="56"/>
      <c r="F108" s="54"/>
      <c r="G108" s="41" t="str">
        <f aca="false">IF($A108="","",IF($C108="","",YEAR($C108)))</f>
        <v/>
      </c>
      <c r="H108" s="57"/>
      <c r="I108" s="54"/>
      <c r="J108" s="54"/>
      <c r="K108" s="54"/>
      <c r="L108" s="56"/>
      <c r="M108" s="58"/>
      <c r="N108" s="56"/>
      <c r="O108" s="54"/>
      <c r="P108" s="54"/>
      <c r="Q108" s="54"/>
      <c r="R108" s="54"/>
      <c r="S108" s="56"/>
      <c r="T108" s="44" t="str">
        <f aca="false">IF($A108="","",IF($S108="","",IFERROR(INDEX(Lists!$N$5:$N$16,MATCH($S108,Lists!$M$5:$M$16,0)),"?")))</f>
        <v/>
      </c>
      <c r="U108" s="54"/>
      <c r="V108" s="56"/>
      <c r="W108" s="54"/>
      <c r="X108" s="56"/>
      <c r="Y108" s="54"/>
      <c r="Z108" s="54"/>
      <c r="AA108" s="56"/>
      <c r="AB108" s="58"/>
      <c r="AC108" s="59"/>
      <c r="AD108" s="46" t="str">
        <f aca="false">IF(ISNUMBER($AB108),$AB108*(1+N($AC108)),"")</f>
        <v/>
      </c>
      <c r="AE108" s="58"/>
      <c r="AF108" s="58"/>
      <c r="AG108" s="59"/>
      <c r="AH108" s="47" t="str">
        <f aca="false">IF(ISNUMBER($AD108),($AD108+$AE108+$AF108)*$AG108,"")</f>
        <v/>
      </c>
      <c r="AI108" s="58"/>
      <c r="AJ108" s="46" t="str">
        <f aca="false">IF(ISNUMBER($AD108),SUM($AD108:$AH108),"")</f>
        <v/>
      </c>
      <c r="AK108" s="48" t="str">
        <f aca="false">IF(AND(ISNUMBER($AB108),ISNUMBER($AD108)),IF($AB108&gt;0,$AD108/$AB108,""),"")</f>
        <v/>
      </c>
      <c r="AL108" s="56"/>
      <c r="AM108" s="49" t="str">
        <f aca="false">IF(ISNUMBER($AD108),Header!$I$3,"")</f>
        <v/>
      </c>
      <c r="AN108" s="47" t="str">
        <f aca="false">IF(ISNUMBER($AD108),$AO108+$AP108,"")</f>
        <v/>
      </c>
      <c r="AO108" s="47" t="str">
        <f aca="false">IF(ISNUMBER($AD108),ROUND($AD108*Header!$K$3,2),"")</f>
        <v/>
      </c>
      <c r="AP108" s="47" t="str">
        <f aca="false">IF(ISNUMBER($AD108),ROUND($AD108*Header!$M$3,2),"")</f>
        <v/>
      </c>
      <c r="AQ108" s="46" t="str">
        <f aca="false">IF(ISNUMBER($AD108),ROUND($AD108,2)-$AO108-$AP108,"")</f>
        <v/>
      </c>
      <c r="AR108" s="47" t="str">
        <f aca="false">IF(ISNUMBER($AD108),IF(Header!$D$34="","?",$AD108*Header!$D$34),"")</f>
        <v/>
      </c>
      <c r="AS108" s="47" t="str">
        <f aca="false">IF(ISNUMBER($AB108),IF(Header!$D$34="","?",$AB108*Header!$D$34),"")</f>
        <v/>
      </c>
      <c r="AT108" s="50" t="str">
        <f aca="false">IF(AND(ISNUMBER($AB108),$M108&gt;0),$AB108/$M108*100,"")</f>
        <v/>
      </c>
      <c r="AU108" s="50" t="str">
        <f aca="false">IF(AND(ISNUMBER($AD108),$M108&gt;0),$AD108/$M108*100,"")</f>
        <v/>
      </c>
      <c r="AV108" s="48" t="str">
        <f aca="false">IF(AND(ISNUMBER($AB108),ISNUMBER($AD108),ABS($AB108)&gt;0),$AD108/$AB108,"")</f>
        <v/>
      </c>
      <c r="AW108" s="47" t="str">
        <f aca="false">IF(ISNUMBER($AD108),MAX(0,(1-0.55-Header!$O$3)*Header!$Q$3*$AQ108),"")</f>
        <v/>
      </c>
      <c r="AX108" s="51" t="str">
        <f aca="false">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v/>
      </c>
      <c r="AY108" s="52" t="str">
        <f aca="false">IF($M108="","",IF(ISNUMBER($M108),IF($M108&gt;=Header!$C$18,"YES — refer","No"),""))</f>
        <v/>
      </c>
      <c r="AZ108" s="52" t="str">
        <f aca="false">IF($AD108="","",IF(ISNUMBER($AD108),IF($AD108&lt;Header!$C$20,"BELOW MIN PREMIUM","OK"),""))</f>
        <v/>
      </c>
      <c r="BA108" s="56"/>
      <c r="BB108" s="56"/>
      <c r="BC108" s="54"/>
      <c r="BE108" s="53" t="str">
        <f aca="false">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v/>
      </c>
      <c r="BF108" s="53" t="str">
        <f aca="false">IF($AD108="","",IF(ROUND($AO108+$AP108+$AQ108-$AD108,2)=0,"OK","FAIL - out by "&amp;TEXT($AO108+$AP108+$AQ108-$AD108,"$0.00")))</f>
        <v/>
      </c>
    </row>
    <row r="109" customFormat="false" ht="15" hidden="false" customHeight="true" outlineLevel="0" collapsed="false">
      <c r="A109" s="38"/>
      <c r="B109" s="38"/>
      <c r="C109" s="39"/>
      <c r="D109" s="40"/>
      <c r="E109" s="40"/>
      <c r="F109" s="38"/>
      <c r="G109" s="41" t="str">
        <f aca="false">IF($A109="","",IF($C109="","",YEAR($C109)))</f>
        <v/>
      </c>
      <c r="H109" s="42"/>
      <c r="I109" s="38"/>
      <c r="J109" s="38"/>
      <c r="K109" s="38"/>
      <c r="L109" s="40"/>
      <c r="M109" s="43"/>
      <c r="N109" s="40"/>
      <c r="O109" s="38"/>
      <c r="P109" s="38"/>
      <c r="Q109" s="38"/>
      <c r="R109" s="38"/>
      <c r="S109" s="40"/>
      <c r="T109" s="44" t="str">
        <f aca="false">IF($A109="","",IF($S109="","",IFERROR(INDEX(Lists!$N$5:$N$16,MATCH($S109,Lists!$M$5:$M$16,0)),"?")))</f>
        <v/>
      </c>
      <c r="U109" s="38"/>
      <c r="V109" s="40"/>
      <c r="W109" s="38"/>
      <c r="X109" s="40"/>
      <c r="Y109" s="38"/>
      <c r="Z109" s="38"/>
      <c r="AA109" s="40"/>
      <c r="AB109" s="43"/>
      <c r="AC109" s="45"/>
      <c r="AD109" s="46" t="str">
        <f aca="false">IF(ISNUMBER($AB109),$AB109*(1+N($AC109)),"")</f>
        <v/>
      </c>
      <c r="AE109" s="43"/>
      <c r="AF109" s="43"/>
      <c r="AG109" s="45"/>
      <c r="AH109" s="47" t="str">
        <f aca="false">IF(ISNUMBER($AD109),($AD109+$AE109+$AF109)*$AG109,"")</f>
        <v/>
      </c>
      <c r="AI109" s="43"/>
      <c r="AJ109" s="46" t="str">
        <f aca="false">IF(ISNUMBER($AD109),SUM($AD109:$AH109),"")</f>
        <v/>
      </c>
      <c r="AK109" s="48" t="str">
        <f aca="false">IF(AND(ISNUMBER($AB109),ISNUMBER($AD109)),IF($AB109&gt;0,$AD109/$AB109,""),"")</f>
        <v/>
      </c>
      <c r="AL109" s="40"/>
      <c r="AM109" s="49" t="str">
        <f aca="false">IF(ISNUMBER($AD109),Header!$I$3,"")</f>
        <v/>
      </c>
      <c r="AN109" s="47" t="str">
        <f aca="false">IF(ISNUMBER($AD109),$AO109+$AP109,"")</f>
        <v/>
      </c>
      <c r="AO109" s="47" t="str">
        <f aca="false">IF(ISNUMBER($AD109),ROUND($AD109*Header!$K$3,2),"")</f>
        <v/>
      </c>
      <c r="AP109" s="47" t="str">
        <f aca="false">IF(ISNUMBER($AD109),ROUND($AD109*Header!$M$3,2),"")</f>
        <v/>
      </c>
      <c r="AQ109" s="46" t="str">
        <f aca="false">IF(ISNUMBER($AD109),ROUND($AD109,2)-$AO109-$AP109,"")</f>
        <v/>
      </c>
      <c r="AR109" s="47" t="str">
        <f aca="false">IF(ISNUMBER($AD109),IF(Header!$D$34="","?",$AD109*Header!$D$34),"")</f>
        <v/>
      </c>
      <c r="AS109" s="47" t="str">
        <f aca="false">IF(ISNUMBER($AB109),IF(Header!$D$34="","?",$AB109*Header!$D$34),"")</f>
        <v/>
      </c>
      <c r="AT109" s="50" t="str">
        <f aca="false">IF(AND(ISNUMBER($AB109),$M109&gt;0),$AB109/$M109*100,"")</f>
        <v/>
      </c>
      <c r="AU109" s="50" t="str">
        <f aca="false">IF(AND(ISNUMBER($AD109),$M109&gt;0),$AD109/$M109*100,"")</f>
        <v/>
      </c>
      <c r="AV109" s="48" t="str">
        <f aca="false">IF(AND(ISNUMBER($AB109),ISNUMBER($AD109),ABS($AB109)&gt;0),$AD109/$AB109,"")</f>
        <v/>
      </c>
      <c r="AW109" s="47" t="str">
        <f aca="false">IF(ISNUMBER($AD109),MAX(0,(1-0.55-Header!$O$3)*Header!$Q$3*$AQ109),"")</f>
        <v/>
      </c>
      <c r="AX109" s="51" t="str">
        <f aca="false">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v/>
      </c>
      <c r="AY109" s="52" t="str">
        <f aca="false">IF($M109="","",IF(ISNUMBER($M109),IF($M109&gt;=Header!$C$18,"YES — refer","No"),""))</f>
        <v/>
      </c>
      <c r="AZ109" s="52" t="str">
        <f aca="false">IF($AD109="","",IF(ISNUMBER($AD109),IF($AD109&lt;Header!$C$20,"BELOW MIN PREMIUM","OK"),""))</f>
        <v/>
      </c>
      <c r="BA109" s="40"/>
      <c r="BB109" s="40"/>
      <c r="BC109" s="38"/>
      <c r="BE109" s="53" t="str">
        <f aca="false">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v/>
      </c>
      <c r="BF109" s="53" t="str">
        <f aca="false">IF($AD109="","",IF(ROUND($AO109+$AP109+$AQ109-$AD109,2)=0,"OK","FAIL - out by "&amp;TEXT($AO109+$AP109+$AQ109-$AD109,"$0.00")))</f>
        <v/>
      </c>
    </row>
    <row r="110" customFormat="false" ht="15" hidden="false" customHeight="true" outlineLevel="0" collapsed="false">
      <c r="A110" s="54"/>
      <c r="B110" s="54"/>
      <c r="C110" s="55"/>
      <c r="D110" s="56"/>
      <c r="E110" s="56"/>
      <c r="F110" s="54"/>
      <c r="G110" s="41" t="str">
        <f aca="false">IF($A110="","",IF($C110="","",YEAR($C110)))</f>
        <v/>
      </c>
      <c r="H110" s="57"/>
      <c r="I110" s="54"/>
      <c r="J110" s="54"/>
      <c r="K110" s="54"/>
      <c r="L110" s="56"/>
      <c r="M110" s="58"/>
      <c r="N110" s="56"/>
      <c r="O110" s="54"/>
      <c r="P110" s="54"/>
      <c r="Q110" s="54"/>
      <c r="R110" s="54"/>
      <c r="S110" s="56"/>
      <c r="T110" s="44" t="str">
        <f aca="false">IF($A110="","",IF($S110="","",IFERROR(INDEX(Lists!$N$5:$N$16,MATCH($S110,Lists!$M$5:$M$16,0)),"?")))</f>
        <v/>
      </c>
      <c r="U110" s="54"/>
      <c r="V110" s="56"/>
      <c r="W110" s="54"/>
      <c r="X110" s="56"/>
      <c r="Y110" s="54"/>
      <c r="Z110" s="54"/>
      <c r="AA110" s="56"/>
      <c r="AB110" s="58"/>
      <c r="AC110" s="59"/>
      <c r="AD110" s="46" t="str">
        <f aca="false">IF(ISNUMBER($AB110),$AB110*(1+N($AC110)),"")</f>
        <v/>
      </c>
      <c r="AE110" s="58"/>
      <c r="AF110" s="58"/>
      <c r="AG110" s="59"/>
      <c r="AH110" s="47" t="str">
        <f aca="false">IF(ISNUMBER($AD110),($AD110+$AE110+$AF110)*$AG110,"")</f>
        <v/>
      </c>
      <c r="AI110" s="58"/>
      <c r="AJ110" s="46" t="str">
        <f aca="false">IF(ISNUMBER($AD110),SUM($AD110:$AH110),"")</f>
        <v/>
      </c>
      <c r="AK110" s="48" t="str">
        <f aca="false">IF(AND(ISNUMBER($AB110),ISNUMBER($AD110)),IF($AB110&gt;0,$AD110/$AB110,""),"")</f>
        <v/>
      </c>
      <c r="AL110" s="56"/>
      <c r="AM110" s="49" t="str">
        <f aca="false">IF(ISNUMBER($AD110),Header!$I$3,"")</f>
        <v/>
      </c>
      <c r="AN110" s="47" t="str">
        <f aca="false">IF(ISNUMBER($AD110),$AO110+$AP110,"")</f>
        <v/>
      </c>
      <c r="AO110" s="47" t="str">
        <f aca="false">IF(ISNUMBER($AD110),ROUND($AD110*Header!$K$3,2),"")</f>
        <v/>
      </c>
      <c r="AP110" s="47" t="str">
        <f aca="false">IF(ISNUMBER($AD110),ROUND($AD110*Header!$M$3,2),"")</f>
        <v/>
      </c>
      <c r="AQ110" s="46" t="str">
        <f aca="false">IF(ISNUMBER($AD110),ROUND($AD110,2)-$AO110-$AP110,"")</f>
        <v/>
      </c>
      <c r="AR110" s="47" t="str">
        <f aca="false">IF(ISNUMBER($AD110),IF(Header!$D$34="","?",$AD110*Header!$D$34),"")</f>
        <v/>
      </c>
      <c r="AS110" s="47" t="str">
        <f aca="false">IF(ISNUMBER($AB110),IF(Header!$D$34="","?",$AB110*Header!$D$34),"")</f>
        <v/>
      </c>
      <c r="AT110" s="50" t="str">
        <f aca="false">IF(AND(ISNUMBER($AB110),$M110&gt;0),$AB110/$M110*100,"")</f>
        <v/>
      </c>
      <c r="AU110" s="50" t="str">
        <f aca="false">IF(AND(ISNUMBER($AD110),$M110&gt;0),$AD110/$M110*100,"")</f>
        <v/>
      </c>
      <c r="AV110" s="48" t="str">
        <f aca="false">IF(AND(ISNUMBER($AB110),ISNUMBER($AD110),ABS($AB110)&gt;0),$AD110/$AB110,"")</f>
        <v/>
      </c>
      <c r="AW110" s="47" t="str">
        <f aca="false">IF(ISNUMBER($AD110),MAX(0,(1-0.55-Header!$O$3)*Header!$Q$3*$AQ110),"")</f>
        <v/>
      </c>
      <c r="AX110" s="51" t="str">
        <f aca="false">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v/>
      </c>
      <c r="AY110" s="52" t="str">
        <f aca="false">IF($M110="","",IF(ISNUMBER($M110),IF($M110&gt;=Header!$C$18,"YES — refer","No"),""))</f>
        <v/>
      </c>
      <c r="AZ110" s="52" t="str">
        <f aca="false">IF($AD110="","",IF(ISNUMBER($AD110),IF($AD110&lt;Header!$C$20,"BELOW MIN PREMIUM","OK"),""))</f>
        <v/>
      </c>
      <c r="BA110" s="56"/>
      <c r="BB110" s="56"/>
      <c r="BC110" s="54"/>
      <c r="BE110" s="53" t="str">
        <f aca="false">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v/>
      </c>
      <c r="BF110" s="53" t="str">
        <f aca="false">IF($AD110="","",IF(ROUND($AO110+$AP110+$AQ110-$AD110,2)=0,"OK","FAIL - out by "&amp;TEXT($AO110+$AP110+$AQ110-$AD110,"$0.00")))</f>
        <v/>
      </c>
    </row>
    <row r="111" customFormat="false" ht="15" hidden="false" customHeight="true" outlineLevel="0" collapsed="false">
      <c r="A111" s="38"/>
      <c r="B111" s="38"/>
      <c r="C111" s="39"/>
      <c r="D111" s="40"/>
      <c r="E111" s="40"/>
      <c r="F111" s="38"/>
      <c r="G111" s="41" t="str">
        <f aca="false">IF($A111="","",IF($C111="","",YEAR($C111)))</f>
        <v/>
      </c>
      <c r="H111" s="42"/>
      <c r="I111" s="38"/>
      <c r="J111" s="38"/>
      <c r="K111" s="38"/>
      <c r="L111" s="40"/>
      <c r="M111" s="43"/>
      <c r="N111" s="40"/>
      <c r="O111" s="38"/>
      <c r="P111" s="38"/>
      <c r="Q111" s="38"/>
      <c r="R111" s="38"/>
      <c r="S111" s="40"/>
      <c r="T111" s="44" t="str">
        <f aca="false">IF($A111="","",IF($S111="","",IFERROR(INDEX(Lists!$N$5:$N$16,MATCH($S111,Lists!$M$5:$M$16,0)),"?")))</f>
        <v/>
      </c>
      <c r="U111" s="38"/>
      <c r="V111" s="40"/>
      <c r="W111" s="38"/>
      <c r="X111" s="40"/>
      <c r="Y111" s="38"/>
      <c r="Z111" s="38"/>
      <c r="AA111" s="40"/>
      <c r="AB111" s="43"/>
      <c r="AC111" s="45"/>
      <c r="AD111" s="46" t="str">
        <f aca="false">IF(ISNUMBER($AB111),$AB111*(1+N($AC111)),"")</f>
        <v/>
      </c>
      <c r="AE111" s="43"/>
      <c r="AF111" s="43"/>
      <c r="AG111" s="45"/>
      <c r="AH111" s="47" t="str">
        <f aca="false">IF(ISNUMBER($AD111),($AD111+$AE111+$AF111)*$AG111,"")</f>
        <v/>
      </c>
      <c r="AI111" s="43"/>
      <c r="AJ111" s="46" t="str">
        <f aca="false">IF(ISNUMBER($AD111),SUM($AD111:$AH111),"")</f>
        <v/>
      </c>
      <c r="AK111" s="48" t="str">
        <f aca="false">IF(AND(ISNUMBER($AB111),ISNUMBER($AD111)),IF($AB111&gt;0,$AD111/$AB111,""),"")</f>
        <v/>
      </c>
      <c r="AL111" s="40"/>
      <c r="AM111" s="49" t="str">
        <f aca="false">IF(ISNUMBER($AD111),Header!$I$3,"")</f>
        <v/>
      </c>
      <c r="AN111" s="47" t="str">
        <f aca="false">IF(ISNUMBER($AD111),$AO111+$AP111,"")</f>
        <v/>
      </c>
      <c r="AO111" s="47" t="str">
        <f aca="false">IF(ISNUMBER($AD111),ROUND($AD111*Header!$K$3,2),"")</f>
        <v/>
      </c>
      <c r="AP111" s="47" t="str">
        <f aca="false">IF(ISNUMBER($AD111),ROUND($AD111*Header!$M$3,2),"")</f>
        <v/>
      </c>
      <c r="AQ111" s="46" t="str">
        <f aca="false">IF(ISNUMBER($AD111),ROUND($AD111,2)-$AO111-$AP111,"")</f>
        <v/>
      </c>
      <c r="AR111" s="47" t="str">
        <f aca="false">IF(ISNUMBER($AD111),IF(Header!$D$34="","?",$AD111*Header!$D$34),"")</f>
        <v/>
      </c>
      <c r="AS111" s="47" t="str">
        <f aca="false">IF(ISNUMBER($AB111),IF(Header!$D$34="","?",$AB111*Header!$D$34),"")</f>
        <v/>
      </c>
      <c r="AT111" s="50" t="str">
        <f aca="false">IF(AND(ISNUMBER($AB111),$M111&gt;0),$AB111/$M111*100,"")</f>
        <v/>
      </c>
      <c r="AU111" s="50" t="str">
        <f aca="false">IF(AND(ISNUMBER($AD111),$M111&gt;0),$AD111/$M111*100,"")</f>
        <v/>
      </c>
      <c r="AV111" s="48" t="str">
        <f aca="false">IF(AND(ISNUMBER($AB111),ISNUMBER($AD111),ABS($AB111)&gt;0),$AD111/$AB111,"")</f>
        <v/>
      </c>
      <c r="AW111" s="47" t="str">
        <f aca="false">IF(ISNUMBER($AD111),MAX(0,(1-0.55-Header!$O$3)*Header!$Q$3*$AQ111),"")</f>
        <v/>
      </c>
      <c r="AX111" s="51" t="str">
        <f aca="false">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v/>
      </c>
      <c r="AY111" s="52" t="str">
        <f aca="false">IF($M111="","",IF(ISNUMBER($M111),IF($M111&gt;=Header!$C$18,"YES — refer","No"),""))</f>
        <v/>
      </c>
      <c r="AZ111" s="52" t="str">
        <f aca="false">IF($AD111="","",IF(ISNUMBER($AD111),IF($AD111&lt;Header!$C$20,"BELOW MIN PREMIUM","OK"),""))</f>
        <v/>
      </c>
      <c r="BA111" s="40"/>
      <c r="BB111" s="40"/>
      <c r="BC111" s="38"/>
      <c r="BE111" s="53" t="str">
        <f aca="false">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v/>
      </c>
      <c r="BF111" s="53" t="str">
        <f aca="false">IF($AD111="","",IF(ROUND($AO111+$AP111+$AQ111-$AD111,2)=0,"OK","FAIL - out by "&amp;TEXT($AO111+$AP111+$AQ111-$AD111,"$0.00")))</f>
        <v/>
      </c>
    </row>
    <row r="112" customFormat="false" ht="15" hidden="false" customHeight="true" outlineLevel="0" collapsed="false">
      <c r="A112" s="54"/>
      <c r="B112" s="54"/>
      <c r="C112" s="55"/>
      <c r="D112" s="56"/>
      <c r="E112" s="56"/>
      <c r="F112" s="54"/>
      <c r="G112" s="41" t="str">
        <f aca="false">IF($A112="","",IF($C112="","",YEAR($C112)))</f>
        <v/>
      </c>
      <c r="H112" s="57"/>
      <c r="I112" s="54"/>
      <c r="J112" s="54"/>
      <c r="K112" s="54"/>
      <c r="L112" s="56"/>
      <c r="M112" s="58"/>
      <c r="N112" s="56"/>
      <c r="O112" s="54"/>
      <c r="P112" s="54"/>
      <c r="Q112" s="54"/>
      <c r="R112" s="54"/>
      <c r="S112" s="56"/>
      <c r="T112" s="44" t="str">
        <f aca="false">IF($A112="","",IF($S112="","",IFERROR(INDEX(Lists!$N$5:$N$16,MATCH($S112,Lists!$M$5:$M$16,0)),"?")))</f>
        <v/>
      </c>
      <c r="U112" s="54"/>
      <c r="V112" s="56"/>
      <c r="W112" s="54"/>
      <c r="X112" s="56"/>
      <c r="Y112" s="54"/>
      <c r="Z112" s="54"/>
      <c r="AA112" s="56"/>
      <c r="AB112" s="58"/>
      <c r="AC112" s="59"/>
      <c r="AD112" s="46" t="str">
        <f aca="false">IF(ISNUMBER($AB112),$AB112*(1+N($AC112)),"")</f>
        <v/>
      </c>
      <c r="AE112" s="58"/>
      <c r="AF112" s="58"/>
      <c r="AG112" s="59"/>
      <c r="AH112" s="47" t="str">
        <f aca="false">IF(ISNUMBER($AD112),($AD112+$AE112+$AF112)*$AG112,"")</f>
        <v/>
      </c>
      <c r="AI112" s="58"/>
      <c r="AJ112" s="46" t="str">
        <f aca="false">IF(ISNUMBER($AD112),SUM($AD112:$AH112),"")</f>
        <v/>
      </c>
      <c r="AK112" s="48" t="str">
        <f aca="false">IF(AND(ISNUMBER($AB112),ISNUMBER($AD112)),IF($AB112&gt;0,$AD112/$AB112,""),"")</f>
        <v/>
      </c>
      <c r="AL112" s="56"/>
      <c r="AM112" s="49" t="str">
        <f aca="false">IF(ISNUMBER($AD112),Header!$I$3,"")</f>
        <v/>
      </c>
      <c r="AN112" s="47" t="str">
        <f aca="false">IF(ISNUMBER($AD112),$AO112+$AP112,"")</f>
        <v/>
      </c>
      <c r="AO112" s="47" t="str">
        <f aca="false">IF(ISNUMBER($AD112),ROUND($AD112*Header!$K$3,2),"")</f>
        <v/>
      </c>
      <c r="AP112" s="47" t="str">
        <f aca="false">IF(ISNUMBER($AD112),ROUND($AD112*Header!$M$3,2),"")</f>
        <v/>
      </c>
      <c r="AQ112" s="46" t="str">
        <f aca="false">IF(ISNUMBER($AD112),ROUND($AD112,2)-$AO112-$AP112,"")</f>
        <v/>
      </c>
      <c r="AR112" s="47" t="str">
        <f aca="false">IF(ISNUMBER($AD112),IF(Header!$D$34="","?",$AD112*Header!$D$34),"")</f>
        <v/>
      </c>
      <c r="AS112" s="47" t="str">
        <f aca="false">IF(ISNUMBER($AB112),IF(Header!$D$34="","?",$AB112*Header!$D$34),"")</f>
        <v/>
      </c>
      <c r="AT112" s="50" t="str">
        <f aca="false">IF(AND(ISNUMBER($AB112),$M112&gt;0),$AB112/$M112*100,"")</f>
        <v/>
      </c>
      <c r="AU112" s="50" t="str">
        <f aca="false">IF(AND(ISNUMBER($AD112),$M112&gt;0),$AD112/$M112*100,"")</f>
        <v/>
      </c>
      <c r="AV112" s="48" t="str">
        <f aca="false">IF(AND(ISNUMBER($AB112),ISNUMBER($AD112),ABS($AB112)&gt;0),$AD112/$AB112,"")</f>
        <v/>
      </c>
      <c r="AW112" s="47" t="str">
        <f aca="false">IF(ISNUMBER($AD112),MAX(0,(1-0.55-Header!$O$3)*Header!$Q$3*$AQ112),"")</f>
        <v/>
      </c>
      <c r="AX112" s="51" t="str">
        <f aca="false">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v/>
      </c>
      <c r="AY112" s="52" t="str">
        <f aca="false">IF($M112="","",IF(ISNUMBER($M112),IF($M112&gt;=Header!$C$18,"YES — refer","No"),""))</f>
        <v/>
      </c>
      <c r="AZ112" s="52" t="str">
        <f aca="false">IF($AD112="","",IF(ISNUMBER($AD112),IF($AD112&lt;Header!$C$20,"BELOW MIN PREMIUM","OK"),""))</f>
        <v/>
      </c>
      <c r="BA112" s="56"/>
      <c r="BB112" s="56"/>
      <c r="BC112" s="54"/>
      <c r="BE112" s="53" t="str">
        <f aca="false">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v/>
      </c>
      <c r="BF112" s="53" t="str">
        <f aca="false">IF($AD112="","",IF(ROUND($AO112+$AP112+$AQ112-$AD112,2)=0,"OK","FAIL - out by "&amp;TEXT($AO112+$AP112+$AQ112-$AD112,"$0.00")))</f>
        <v/>
      </c>
    </row>
    <row r="113" customFormat="false" ht="15" hidden="false" customHeight="true" outlineLevel="0" collapsed="false">
      <c r="A113" s="38"/>
      <c r="B113" s="38"/>
      <c r="C113" s="39"/>
      <c r="D113" s="40"/>
      <c r="E113" s="40"/>
      <c r="F113" s="38"/>
      <c r="G113" s="41" t="str">
        <f aca="false">IF($A113="","",IF($C113="","",YEAR($C113)))</f>
        <v/>
      </c>
      <c r="H113" s="42"/>
      <c r="I113" s="38"/>
      <c r="J113" s="38"/>
      <c r="K113" s="38"/>
      <c r="L113" s="40"/>
      <c r="M113" s="43"/>
      <c r="N113" s="40"/>
      <c r="O113" s="38"/>
      <c r="P113" s="38"/>
      <c r="Q113" s="38"/>
      <c r="R113" s="38"/>
      <c r="S113" s="40"/>
      <c r="T113" s="44" t="str">
        <f aca="false">IF($A113="","",IF($S113="","",IFERROR(INDEX(Lists!$N$5:$N$16,MATCH($S113,Lists!$M$5:$M$16,0)),"?")))</f>
        <v/>
      </c>
      <c r="U113" s="38"/>
      <c r="V113" s="40"/>
      <c r="W113" s="38"/>
      <c r="X113" s="40"/>
      <c r="Y113" s="38"/>
      <c r="Z113" s="38"/>
      <c r="AA113" s="40"/>
      <c r="AB113" s="43"/>
      <c r="AC113" s="45"/>
      <c r="AD113" s="46" t="str">
        <f aca="false">IF(ISNUMBER($AB113),$AB113*(1+N($AC113)),"")</f>
        <v/>
      </c>
      <c r="AE113" s="43"/>
      <c r="AF113" s="43"/>
      <c r="AG113" s="45"/>
      <c r="AH113" s="47" t="str">
        <f aca="false">IF(ISNUMBER($AD113),($AD113+$AE113+$AF113)*$AG113,"")</f>
        <v/>
      </c>
      <c r="AI113" s="43"/>
      <c r="AJ113" s="46" t="str">
        <f aca="false">IF(ISNUMBER($AD113),SUM($AD113:$AH113),"")</f>
        <v/>
      </c>
      <c r="AK113" s="48" t="str">
        <f aca="false">IF(AND(ISNUMBER($AB113),ISNUMBER($AD113)),IF($AB113&gt;0,$AD113/$AB113,""),"")</f>
        <v/>
      </c>
      <c r="AL113" s="40"/>
      <c r="AM113" s="49" t="str">
        <f aca="false">IF(ISNUMBER($AD113),Header!$I$3,"")</f>
        <v/>
      </c>
      <c r="AN113" s="47" t="str">
        <f aca="false">IF(ISNUMBER($AD113),$AO113+$AP113,"")</f>
        <v/>
      </c>
      <c r="AO113" s="47" t="str">
        <f aca="false">IF(ISNUMBER($AD113),ROUND($AD113*Header!$K$3,2),"")</f>
        <v/>
      </c>
      <c r="AP113" s="47" t="str">
        <f aca="false">IF(ISNUMBER($AD113),ROUND($AD113*Header!$M$3,2),"")</f>
        <v/>
      </c>
      <c r="AQ113" s="46" t="str">
        <f aca="false">IF(ISNUMBER($AD113),ROUND($AD113,2)-$AO113-$AP113,"")</f>
        <v/>
      </c>
      <c r="AR113" s="47" t="str">
        <f aca="false">IF(ISNUMBER($AD113),IF(Header!$D$34="","?",$AD113*Header!$D$34),"")</f>
        <v/>
      </c>
      <c r="AS113" s="47" t="str">
        <f aca="false">IF(ISNUMBER($AB113),IF(Header!$D$34="","?",$AB113*Header!$D$34),"")</f>
        <v/>
      </c>
      <c r="AT113" s="50" t="str">
        <f aca="false">IF(AND(ISNUMBER($AB113),$M113&gt;0),$AB113/$M113*100,"")</f>
        <v/>
      </c>
      <c r="AU113" s="50" t="str">
        <f aca="false">IF(AND(ISNUMBER($AD113),$M113&gt;0),$AD113/$M113*100,"")</f>
        <v/>
      </c>
      <c r="AV113" s="48" t="str">
        <f aca="false">IF(AND(ISNUMBER($AB113),ISNUMBER($AD113),ABS($AB113)&gt;0),$AD113/$AB113,"")</f>
        <v/>
      </c>
      <c r="AW113" s="47" t="str">
        <f aca="false">IF(ISNUMBER($AD113),MAX(0,(1-0.55-Header!$O$3)*Header!$Q$3*$AQ113),"")</f>
        <v/>
      </c>
      <c r="AX113" s="51" t="str">
        <f aca="false">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v/>
      </c>
      <c r="AY113" s="52" t="str">
        <f aca="false">IF($M113="","",IF(ISNUMBER($M113),IF($M113&gt;=Header!$C$18,"YES — refer","No"),""))</f>
        <v/>
      </c>
      <c r="AZ113" s="52" t="str">
        <f aca="false">IF($AD113="","",IF(ISNUMBER($AD113),IF($AD113&lt;Header!$C$20,"BELOW MIN PREMIUM","OK"),""))</f>
        <v/>
      </c>
      <c r="BA113" s="40"/>
      <c r="BB113" s="40"/>
      <c r="BC113" s="38"/>
      <c r="BE113" s="53" t="str">
        <f aca="false">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v/>
      </c>
      <c r="BF113" s="53" t="str">
        <f aca="false">IF($AD113="","",IF(ROUND($AO113+$AP113+$AQ113-$AD113,2)=0,"OK","FAIL - out by "&amp;TEXT($AO113+$AP113+$AQ113-$AD113,"$0.00")))</f>
        <v/>
      </c>
    </row>
    <row r="114" customFormat="false" ht="15" hidden="false" customHeight="true" outlineLevel="0" collapsed="false">
      <c r="A114" s="54"/>
      <c r="B114" s="54"/>
      <c r="C114" s="55"/>
      <c r="D114" s="56"/>
      <c r="E114" s="56"/>
      <c r="F114" s="54"/>
      <c r="G114" s="41" t="str">
        <f aca="false">IF($A114="","",IF($C114="","",YEAR($C114)))</f>
        <v/>
      </c>
      <c r="H114" s="57"/>
      <c r="I114" s="54"/>
      <c r="J114" s="54"/>
      <c r="K114" s="54"/>
      <c r="L114" s="56"/>
      <c r="M114" s="58"/>
      <c r="N114" s="56"/>
      <c r="O114" s="54"/>
      <c r="P114" s="54"/>
      <c r="Q114" s="54"/>
      <c r="R114" s="54"/>
      <c r="S114" s="56"/>
      <c r="T114" s="44" t="str">
        <f aca="false">IF($A114="","",IF($S114="","",IFERROR(INDEX(Lists!$N$5:$N$16,MATCH($S114,Lists!$M$5:$M$16,0)),"?")))</f>
        <v/>
      </c>
      <c r="U114" s="54"/>
      <c r="V114" s="56"/>
      <c r="W114" s="54"/>
      <c r="X114" s="56"/>
      <c r="Y114" s="54"/>
      <c r="Z114" s="54"/>
      <c r="AA114" s="56"/>
      <c r="AB114" s="58"/>
      <c r="AC114" s="59"/>
      <c r="AD114" s="46" t="str">
        <f aca="false">IF(ISNUMBER($AB114),$AB114*(1+N($AC114)),"")</f>
        <v/>
      </c>
      <c r="AE114" s="58"/>
      <c r="AF114" s="58"/>
      <c r="AG114" s="59"/>
      <c r="AH114" s="47" t="str">
        <f aca="false">IF(ISNUMBER($AD114),($AD114+$AE114+$AF114)*$AG114,"")</f>
        <v/>
      </c>
      <c r="AI114" s="58"/>
      <c r="AJ114" s="46" t="str">
        <f aca="false">IF(ISNUMBER($AD114),SUM($AD114:$AH114),"")</f>
        <v/>
      </c>
      <c r="AK114" s="48" t="str">
        <f aca="false">IF(AND(ISNUMBER($AB114),ISNUMBER($AD114)),IF($AB114&gt;0,$AD114/$AB114,""),"")</f>
        <v/>
      </c>
      <c r="AL114" s="56"/>
      <c r="AM114" s="49" t="str">
        <f aca="false">IF(ISNUMBER($AD114),Header!$I$3,"")</f>
        <v/>
      </c>
      <c r="AN114" s="47" t="str">
        <f aca="false">IF(ISNUMBER($AD114),$AO114+$AP114,"")</f>
        <v/>
      </c>
      <c r="AO114" s="47" t="str">
        <f aca="false">IF(ISNUMBER($AD114),ROUND($AD114*Header!$K$3,2),"")</f>
        <v/>
      </c>
      <c r="AP114" s="47" t="str">
        <f aca="false">IF(ISNUMBER($AD114),ROUND($AD114*Header!$M$3,2),"")</f>
        <v/>
      </c>
      <c r="AQ114" s="46" t="str">
        <f aca="false">IF(ISNUMBER($AD114),ROUND($AD114,2)-$AO114-$AP114,"")</f>
        <v/>
      </c>
      <c r="AR114" s="47" t="str">
        <f aca="false">IF(ISNUMBER($AD114),IF(Header!$D$34="","?",$AD114*Header!$D$34),"")</f>
        <v/>
      </c>
      <c r="AS114" s="47" t="str">
        <f aca="false">IF(ISNUMBER($AB114),IF(Header!$D$34="","?",$AB114*Header!$D$34),"")</f>
        <v/>
      </c>
      <c r="AT114" s="50" t="str">
        <f aca="false">IF(AND(ISNUMBER($AB114),$M114&gt;0),$AB114/$M114*100,"")</f>
        <v/>
      </c>
      <c r="AU114" s="50" t="str">
        <f aca="false">IF(AND(ISNUMBER($AD114),$M114&gt;0),$AD114/$M114*100,"")</f>
        <v/>
      </c>
      <c r="AV114" s="48" t="str">
        <f aca="false">IF(AND(ISNUMBER($AB114),ISNUMBER($AD114),ABS($AB114)&gt;0),$AD114/$AB114,"")</f>
        <v/>
      </c>
      <c r="AW114" s="47" t="str">
        <f aca="false">IF(ISNUMBER($AD114),MAX(0,(1-0.55-Header!$O$3)*Header!$Q$3*$AQ114),"")</f>
        <v/>
      </c>
      <c r="AX114" s="51" t="str">
        <f aca="false">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v/>
      </c>
      <c r="AY114" s="52" t="str">
        <f aca="false">IF($M114="","",IF(ISNUMBER($M114),IF($M114&gt;=Header!$C$18,"YES — refer","No"),""))</f>
        <v/>
      </c>
      <c r="AZ114" s="52" t="str">
        <f aca="false">IF($AD114="","",IF(ISNUMBER($AD114),IF($AD114&lt;Header!$C$20,"BELOW MIN PREMIUM","OK"),""))</f>
        <v/>
      </c>
      <c r="BA114" s="56"/>
      <c r="BB114" s="56"/>
      <c r="BC114" s="54"/>
      <c r="BE114" s="53" t="str">
        <f aca="false">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v/>
      </c>
      <c r="BF114" s="53" t="str">
        <f aca="false">IF($AD114="","",IF(ROUND($AO114+$AP114+$AQ114-$AD114,2)=0,"OK","FAIL - out by "&amp;TEXT($AO114+$AP114+$AQ114-$AD114,"$0.00")))</f>
        <v/>
      </c>
    </row>
    <row r="115" customFormat="false" ht="15" hidden="false" customHeight="true" outlineLevel="0" collapsed="false">
      <c r="A115" s="38"/>
      <c r="B115" s="38"/>
      <c r="C115" s="39"/>
      <c r="D115" s="40"/>
      <c r="E115" s="40"/>
      <c r="F115" s="38"/>
      <c r="G115" s="41" t="str">
        <f aca="false">IF($A115="","",IF($C115="","",YEAR($C115)))</f>
        <v/>
      </c>
      <c r="H115" s="42"/>
      <c r="I115" s="38"/>
      <c r="J115" s="38"/>
      <c r="K115" s="38"/>
      <c r="L115" s="40"/>
      <c r="M115" s="43"/>
      <c r="N115" s="40"/>
      <c r="O115" s="38"/>
      <c r="P115" s="38"/>
      <c r="Q115" s="38"/>
      <c r="R115" s="38"/>
      <c r="S115" s="40"/>
      <c r="T115" s="44" t="str">
        <f aca="false">IF($A115="","",IF($S115="","",IFERROR(INDEX(Lists!$N$5:$N$16,MATCH($S115,Lists!$M$5:$M$16,0)),"?")))</f>
        <v/>
      </c>
      <c r="U115" s="38"/>
      <c r="V115" s="40"/>
      <c r="W115" s="38"/>
      <c r="X115" s="40"/>
      <c r="Y115" s="38"/>
      <c r="Z115" s="38"/>
      <c r="AA115" s="40"/>
      <c r="AB115" s="43"/>
      <c r="AC115" s="45"/>
      <c r="AD115" s="46" t="str">
        <f aca="false">IF(ISNUMBER($AB115),$AB115*(1+N($AC115)),"")</f>
        <v/>
      </c>
      <c r="AE115" s="43"/>
      <c r="AF115" s="43"/>
      <c r="AG115" s="45"/>
      <c r="AH115" s="47" t="str">
        <f aca="false">IF(ISNUMBER($AD115),($AD115+$AE115+$AF115)*$AG115,"")</f>
        <v/>
      </c>
      <c r="AI115" s="43"/>
      <c r="AJ115" s="46" t="str">
        <f aca="false">IF(ISNUMBER($AD115),SUM($AD115:$AH115),"")</f>
        <v/>
      </c>
      <c r="AK115" s="48" t="str">
        <f aca="false">IF(AND(ISNUMBER($AB115),ISNUMBER($AD115)),IF($AB115&gt;0,$AD115/$AB115,""),"")</f>
        <v/>
      </c>
      <c r="AL115" s="40"/>
      <c r="AM115" s="49" t="str">
        <f aca="false">IF(ISNUMBER($AD115),Header!$I$3,"")</f>
        <v/>
      </c>
      <c r="AN115" s="47" t="str">
        <f aca="false">IF(ISNUMBER($AD115),$AO115+$AP115,"")</f>
        <v/>
      </c>
      <c r="AO115" s="47" t="str">
        <f aca="false">IF(ISNUMBER($AD115),ROUND($AD115*Header!$K$3,2),"")</f>
        <v/>
      </c>
      <c r="AP115" s="47" t="str">
        <f aca="false">IF(ISNUMBER($AD115),ROUND($AD115*Header!$M$3,2),"")</f>
        <v/>
      </c>
      <c r="AQ115" s="46" t="str">
        <f aca="false">IF(ISNUMBER($AD115),ROUND($AD115,2)-$AO115-$AP115,"")</f>
        <v/>
      </c>
      <c r="AR115" s="47" t="str">
        <f aca="false">IF(ISNUMBER($AD115),IF(Header!$D$34="","?",$AD115*Header!$D$34),"")</f>
        <v/>
      </c>
      <c r="AS115" s="47" t="str">
        <f aca="false">IF(ISNUMBER($AB115),IF(Header!$D$34="","?",$AB115*Header!$D$34),"")</f>
        <v/>
      </c>
      <c r="AT115" s="50" t="str">
        <f aca="false">IF(AND(ISNUMBER($AB115),$M115&gt;0),$AB115/$M115*100,"")</f>
        <v/>
      </c>
      <c r="AU115" s="50" t="str">
        <f aca="false">IF(AND(ISNUMBER($AD115),$M115&gt;0),$AD115/$M115*100,"")</f>
        <v/>
      </c>
      <c r="AV115" s="48" t="str">
        <f aca="false">IF(AND(ISNUMBER($AB115),ISNUMBER($AD115),ABS($AB115)&gt;0),$AD115/$AB115,"")</f>
        <v/>
      </c>
      <c r="AW115" s="47" t="str">
        <f aca="false">IF(ISNUMBER($AD115),MAX(0,(1-0.55-Header!$O$3)*Header!$Q$3*$AQ115),"")</f>
        <v/>
      </c>
      <c r="AX115" s="51" t="str">
        <f aca="false">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v/>
      </c>
      <c r="AY115" s="52" t="str">
        <f aca="false">IF($M115="","",IF(ISNUMBER($M115),IF($M115&gt;=Header!$C$18,"YES — refer","No"),""))</f>
        <v/>
      </c>
      <c r="AZ115" s="52" t="str">
        <f aca="false">IF($AD115="","",IF(ISNUMBER($AD115),IF($AD115&lt;Header!$C$20,"BELOW MIN PREMIUM","OK"),""))</f>
        <v/>
      </c>
      <c r="BA115" s="40"/>
      <c r="BB115" s="40"/>
      <c r="BC115" s="38"/>
      <c r="BE115" s="53" t="str">
        <f aca="false">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v/>
      </c>
      <c r="BF115" s="53" t="str">
        <f aca="false">IF($AD115="","",IF(ROUND($AO115+$AP115+$AQ115-$AD115,2)=0,"OK","FAIL - out by "&amp;TEXT($AO115+$AP115+$AQ115-$AD115,"$0.00")))</f>
        <v/>
      </c>
    </row>
    <row r="116" customFormat="false" ht="15" hidden="false" customHeight="true" outlineLevel="0" collapsed="false">
      <c r="A116" s="54"/>
      <c r="B116" s="54"/>
      <c r="C116" s="55"/>
      <c r="D116" s="56"/>
      <c r="E116" s="56"/>
      <c r="F116" s="54"/>
      <c r="G116" s="41" t="str">
        <f aca="false">IF($A116="","",IF($C116="","",YEAR($C116)))</f>
        <v/>
      </c>
      <c r="H116" s="57"/>
      <c r="I116" s="54"/>
      <c r="J116" s="54"/>
      <c r="K116" s="54"/>
      <c r="L116" s="56"/>
      <c r="M116" s="58"/>
      <c r="N116" s="56"/>
      <c r="O116" s="54"/>
      <c r="P116" s="54"/>
      <c r="Q116" s="54"/>
      <c r="R116" s="54"/>
      <c r="S116" s="56"/>
      <c r="T116" s="44" t="str">
        <f aca="false">IF($A116="","",IF($S116="","",IFERROR(INDEX(Lists!$N$5:$N$16,MATCH($S116,Lists!$M$5:$M$16,0)),"?")))</f>
        <v/>
      </c>
      <c r="U116" s="54"/>
      <c r="V116" s="56"/>
      <c r="W116" s="54"/>
      <c r="X116" s="56"/>
      <c r="Y116" s="54"/>
      <c r="Z116" s="54"/>
      <c r="AA116" s="56"/>
      <c r="AB116" s="58"/>
      <c r="AC116" s="59"/>
      <c r="AD116" s="46" t="str">
        <f aca="false">IF(ISNUMBER($AB116),$AB116*(1+N($AC116)),"")</f>
        <v/>
      </c>
      <c r="AE116" s="58"/>
      <c r="AF116" s="58"/>
      <c r="AG116" s="59"/>
      <c r="AH116" s="47" t="str">
        <f aca="false">IF(ISNUMBER($AD116),($AD116+$AE116+$AF116)*$AG116,"")</f>
        <v/>
      </c>
      <c r="AI116" s="58"/>
      <c r="AJ116" s="46" t="str">
        <f aca="false">IF(ISNUMBER($AD116),SUM($AD116:$AH116),"")</f>
        <v/>
      </c>
      <c r="AK116" s="48" t="str">
        <f aca="false">IF(AND(ISNUMBER($AB116),ISNUMBER($AD116)),IF($AB116&gt;0,$AD116/$AB116,""),"")</f>
        <v/>
      </c>
      <c r="AL116" s="56"/>
      <c r="AM116" s="49" t="str">
        <f aca="false">IF(ISNUMBER($AD116),Header!$I$3,"")</f>
        <v/>
      </c>
      <c r="AN116" s="47" t="str">
        <f aca="false">IF(ISNUMBER($AD116),$AO116+$AP116,"")</f>
        <v/>
      </c>
      <c r="AO116" s="47" t="str">
        <f aca="false">IF(ISNUMBER($AD116),ROUND($AD116*Header!$K$3,2),"")</f>
        <v/>
      </c>
      <c r="AP116" s="47" t="str">
        <f aca="false">IF(ISNUMBER($AD116),ROUND($AD116*Header!$M$3,2),"")</f>
        <v/>
      </c>
      <c r="AQ116" s="46" t="str">
        <f aca="false">IF(ISNUMBER($AD116),ROUND($AD116,2)-$AO116-$AP116,"")</f>
        <v/>
      </c>
      <c r="AR116" s="47" t="str">
        <f aca="false">IF(ISNUMBER($AD116),IF(Header!$D$34="","?",$AD116*Header!$D$34),"")</f>
        <v/>
      </c>
      <c r="AS116" s="47" t="str">
        <f aca="false">IF(ISNUMBER($AB116),IF(Header!$D$34="","?",$AB116*Header!$D$34),"")</f>
        <v/>
      </c>
      <c r="AT116" s="50" t="str">
        <f aca="false">IF(AND(ISNUMBER($AB116),$M116&gt;0),$AB116/$M116*100,"")</f>
        <v/>
      </c>
      <c r="AU116" s="50" t="str">
        <f aca="false">IF(AND(ISNUMBER($AD116),$M116&gt;0),$AD116/$M116*100,"")</f>
        <v/>
      </c>
      <c r="AV116" s="48" t="str">
        <f aca="false">IF(AND(ISNUMBER($AB116),ISNUMBER($AD116),ABS($AB116)&gt;0),$AD116/$AB116,"")</f>
        <v/>
      </c>
      <c r="AW116" s="47" t="str">
        <f aca="false">IF(ISNUMBER($AD116),MAX(0,(1-0.55-Header!$O$3)*Header!$Q$3*$AQ116),"")</f>
        <v/>
      </c>
      <c r="AX116" s="51" t="str">
        <f aca="false">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v/>
      </c>
      <c r="AY116" s="52" t="str">
        <f aca="false">IF($M116="","",IF(ISNUMBER($M116),IF($M116&gt;=Header!$C$18,"YES — refer","No"),""))</f>
        <v/>
      </c>
      <c r="AZ116" s="52" t="str">
        <f aca="false">IF($AD116="","",IF(ISNUMBER($AD116),IF($AD116&lt;Header!$C$20,"BELOW MIN PREMIUM","OK"),""))</f>
        <v/>
      </c>
      <c r="BA116" s="56"/>
      <c r="BB116" s="56"/>
      <c r="BC116" s="54"/>
      <c r="BE116" s="53" t="str">
        <f aca="false">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v/>
      </c>
      <c r="BF116" s="53" t="str">
        <f aca="false">IF($AD116="","",IF(ROUND($AO116+$AP116+$AQ116-$AD116,2)=0,"OK","FAIL - out by "&amp;TEXT($AO116+$AP116+$AQ116-$AD116,"$0.00")))</f>
        <v/>
      </c>
    </row>
    <row r="117" customFormat="false" ht="15" hidden="false" customHeight="true" outlineLevel="0" collapsed="false">
      <c r="A117" s="38"/>
      <c r="B117" s="38"/>
      <c r="C117" s="39"/>
      <c r="D117" s="40"/>
      <c r="E117" s="40"/>
      <c r="F117" s="38"/>
      <c r="G117" s="41" t="str">
        <f aca="false">IF($A117="","",IF($C117="","",YEAR($C117)))</f>
        <v/>
      </c>
      <c r="H117" s="42"/>
      <c r="I117" s="38"/>
      <c r="J117" s="38"/>
      <c r="K117" s="38"/>
      <c r="L117" s="40"/>
      <c r="M117" s="43"/>
      <c r="N117" s="40"/>
      <c r="O117" s="38"/>
      <c r="P117" s="38"/>
      <c r="Q117" s="38"/>
      <c r="R117" s="38"/>
      <c r="S117" s="40"/>
      <c r="T117" s="44" t="str">
        <f aca="false">IF($A117="","",IF($S117="","",IFERROR(INDEX(Lists!$N$5:$N$16,MATCH($S117,Lists!$M$5:$M$16,0)),"?")))</f>
        <v/>
      </c>
      <c r="U117" s="38"/>
      <c r="V117" s="40"/>
      <c r="W117" s="38"/>
      <c r="X117" s="40"/>
      <c r="Y117" s="38"/>
      <c r="Z117" s="38"/>
      <c r="AA117" s="40"/>
      <c r="AB117" s="43"/>
      <c r="AC117" s="45"/>
      <c r="AD117" s="46" t="str">
        <f aca="false">IF(ISNUMBER($AB117),$AB117*(1+N($AC117)),"")</f>
        <v/>
      </c>
      <c r="AE117" s="43"/>
      <c r="AF117" s="43"/>
      <c r="AG117" s="45"/>
      <c r="AH117" s="47" t="str">
        <f aca="false">IF(ISNUMBER($AD117),($AD117+$AE117+$AF117)*$AG117,"")</f>
        <v/>
      </c>
      <c r="AI117" s="43"/>
      <c r="AJ117" s="46" t="str">
        <f aca="false">IF(ISNUMBER($AD117),SUM($AD117:$AH117),"")</f>
        <v/>
      </c>
      <c r="AK117" s="48" t="str">
        <f aca="false">IF(AND(ISNUMBER($AB117),ISNUMBER($AD117)),IF($AB117&gt;0,$AD117/$AB117,""),"")</f>
        <v/>
      </c>
      <c r="AL117" s="40"/>
      <c r="AM117" s="49" t="str">
        <f aca="false">IF(ISNUMBER($AD117),Header!$I$3,"")</f>
        <v/>
      </c>
      <c r="AN117" s="47" t="str">
        <f aca="false">IF(ISNUMBER($AD117),$AO117+$AP117,"")</f>
        <v/>
      </c>
      <c r="AO117" s="47" t="str">
        <f aca="false">IF(ISNUMBER($AD117),ROUND($AD117*Header!$K$3,2),"")</f>
        <v/>
      </c>
      <c r="AP117" s="47" t="str">
        <f aca="false">IF(ISNUMBER($AD117),ROUND($AD117*Header!$M$3,2),"")</f>
        <v/>
      </c>
      <c r="AQ117" s="46" t="str">
        <f aca="false">IF(ISNUMBER($AD117),ROUND($AD117,2)-$AO117-$AP117,"")</f>
        <v/>
      </c>
      <c r="AR117" s="47" t="str">
        <f aca="false">IF(ISNUMBER($AD117),IF(Header!$D$34="","?",$AD117*Header!$D$34),"")</f>
        <v/>
      </c>
      <c r="AS117" s="47" t="str">
        <f aca="false">IF(ISNUMBER($AB117),IF(Header!$D$34="","?",$AB117*Header!$D$34),"")</f>
        <v/>
      </c>
      <c r="AT117" s="50" t="str">
        <f aca="false">IF(AND(ISNUMBER($AB117),$M117&gt;0),$AB117/$M117*100,"")</f>
        <v/>
      </c>
      <c r="AU117" s="50" t="str">
        <f aca="false">IF(AND(ISNUMBER($AD117),$M117&gt;0),$AD117/$M117*100,"")</f>
        <v/>
      </c>
      <c r="AV117" s="48" t="str">
        <f aca="false">IF(AND(ISNUMBER($AB117),ISNUMBER($AD117),ABS($AB117)&gt;0),$AD117/$AB117,"")</f>
        <v/>
      </c>
      <c r="AW117" s="47" t="str">
        <f aca="false">IF(ISNUMBER($AD117),MAX(0,(1-0.55-Header!$O$3)*Header!$Q$3*$AQ117),"")</f>
        <v/>
      </c>
      <c r="AX117" s="51" t="str">
        <f aca="false">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v/>
      </c>
      <c r="AY117" s="52" t="str">
        <f aca="false">IF($M117="","",IF(ISNUMBER($M117),IF($M117&gt;=Header!$C$18,"YES — refer","No"),""))</f>
        <v/>
      </c>
      <c r="AZ117" s="52" t="str">
        <f aca="false">IF($AD117="","",IF(ISNUMBER($AD117),IF($AD117&lt;Header!$C$20,"BELOW MIN PREMIUM","OK"),""))</f>
        <v/>
      </c>
      <c r="BA117" s="40"/>
      <c r="BB117" s="40"/>
      <c r="BC117" s="38"/>
      <c r="BE117" s="53" t="str">
        <f aca="false">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v/>
      </c>
      <c r="BF117" s="53" t="str">
        <f aca="false">IF($AD117="","",IF(ROUND($AO117+$AP117+$AQ117-$AD117,2)=0,"OK","FAIL - out by "&amp;TEXT($AO117+$AP117+$AQ117-$AD117,"$0.00")))</f>
        <v/>
      </c>
    </row>
    <row r="118" customFormat="false" ht="15" hidden="false" customHeight="true" outlineLevel="0" collapsed="false">
      <c r="A118" s="54"/>
      <c r="B118" s="54"/>
      <c r="C118" s="55"/>
      <c r="D118" s="56"/>
      <c r="E118" s="56"/>
      <c r="F118" s="54"/>
      <c r="G118" s="41" t="str">
        <f aca="false">IF($A118="","",IF($C118="","",YEAR($C118)))</f>
        <v/>
      </c>
      <c r="H118" s="57"/>
      <c r="I118" s="54"/>
      <c r="J118" s="54"/>
      <c r="K118" s="54"/>
      <c r="L118" s="56"/>
      <c r="M118" s="58"/>
      <c r="N118" s="56"/>
      <c r="O118" s="54"/>
      <c r="P118" s="54"/>
      <c r="Q118" s="54"/>
      <c r="R118" s="54"/>
      <c r="S118" s="56"/>
      <c r="T118" s="44" t="str">
        <f aca="false">IF($A118="","",IF($S118="","",IFERROR(INDEX(Lists!$N$5:$N$16,MATCH($S118,Lists!$M$5:$M$16,0)),"?")))</f>
        <v/>
      </c>
      <c r="U118" s="54"/>
      <c r="V118" s="56"/>
      <c r="W118" s="54"/>
      <c r="X118" s="56"/>
      <c r="Y118" s="54"/>
      <c r="Z118" s="54"/>
      <c r="AA118" s="56"/>
      <c r="AB118" s="58"/>
      <c r="AC118" s="59"/>
      <c r="AD118" s="46" t="str">
        <f aca="false">IF(ISNUMBER($AB118),$AB118*(1+N($AC118)),"")</f>
        <v/>
      </c>
      <c r="AE118" s="58"/>
      <c r="AF118" s="58"/>
      <c r="AG118" s="59"/>
      <c r="AH118" s="47" t="str">
        <f aca="false">IF(ISNUMBER($AD118),($AD118+$AE118+$AF118)*$AG118,"")</f>
        <v/>
      </c>
      <c r="AI118" s="58"/>
      <c r="AJ118" s="46" t="str">
        <f aca="false">IF(ISNUMBER($AD118),SUM($AD118:$AH118),"")</f>
        <v/>
      </c>
      <c r="AK118" s="48" t="str">
        <f aca="false">IF(AND(ISNUMBER($AB118),ISNUMBER($AD118)),IF($AB118&gt;0,$AD118/$AB118,""),"")</f>
        <v/>
      </c>
      <c r="AL118" s="56"/>
      <c r="AM118" s="49" t="str">
        <f aca="false">IF(ISNUMBER($AD118),Header!$I$3,"")</f>
        <v/>
      </c>
      <c r="AN118" s="47" t="str">
        <f aca="false">IF(ISNUMBER($AD118),$AO118+$AP118,"")</f>
        <v/>
      </c>
      <c r="AO118" s="47" t="str">
        <f aca="false">IF(ISNUMBER($AD118),ROUND($AD118*Header!$K$3,2),"")</f>
        <v/>
      </c>
      <c r="AP118" s="47" t="str">
        <f aca="false">IF(ISNUMBER($AD118),ROUND($AD118*Header!$M$3,2),"")</f>
        <v/>
      </c>
      <c r="AQ118" s="46" t="str">
        <f aca="false">IF(ISNUMBER($AD118),ROUND($AD118,2)-$AO118-$AP118,"")</f>
        <v/>
      </c>
      <c r="AR118" s="47" t="str">
        <f aca="false">IF(ISNUMBER($AD118),IF(Header!$D$34="","?",$AD118*Header!$D$34),"")</f>
        <v/>
      </c>
      <c r="AS118" s="47" t="str">
        <f aca="false">IF(ISNUMBER($AB118),IF(Header!$D$34="","?",$AB118*Header!$D$34),"")</f>
        <v/>
      </c>
      <c r="AT118" s="50" t="str">
        <f aca="false">IF(AND(ISNUMBER($AB118),$M118&gt;0),$AB118/$M118*100,"")</f>
        <v/>
      </c>
      <c r="AU118" s="50" t="str">
        <f aca="false">IF(AND(ISNUMBER($AD118),$M118&gt;0),$AD118/$M118*100,"")</f>
        <v/>
      </c>
      <c r="AV118" s="48" t="str">
        <f aca="false">IF(AND(ISNUMBER($AB118),ISNUMBER($AD118),ABS($AB118)&gt;0),$AD118/$AB118,"")</f>
        <v/>
      </c>
      <c r="AW118" s="47" t="str">
        <f aca="false">IF(ISNUMBER($AD118),MAX(0,(1-0.55-Header!$O$3)*Header!$Q$3*$AQ118),"")</f>
        <v/>
      </c>
      <c r="AX118" s="51" t="str">
        <f aca="false">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v/>
      </c>
      <c r="AY118" s="52" t="str">
        <f aca="false">IF($M118="","",IF(ISNUMBER($M118),IF($M118&gt;=Header!$C$18,"YES — refer","No"),""))</f>
        <v/>
      </c>
      <c r="AZ118" s="52" t="str">
        <f aca="false">IF($AD118="","",IF(ISNUMBER($AD118),IF($AD118&lt;Header!$C$20,"BELOW MIN PREMIUM","OK"),""))</f>
        <v/>
      </c>
      <c r="BA118" s="56"/>
      <c r="BB118" s="56"/>
      <c r="BC118" s="54"/>
      <c r="BE118" s="53" t="str">
        <f aca="false">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v/>
      </c>
      <c r="BF118" s="53" t="str">
        <f aca="false">IF($AD118="","",IF(ROUND($AO118+$AP118+$AQ118-$AD118,2)=0,"OK","FAIL - out by "&amp;TEXT($AO118+$AP118+$AQ118-$AD118,"$0.00")))</f>
        <v/>
      </c>
    </row>
    <row r="119" customFormat="false" ht="15" hidden="false" customHeight="true" outlineLevel="0" collapsed="false">
      <c r="A119" s="38"/>
      <c r="B119" s="38"/>
      <c r="C119" s="39"/>
      <c r="D119" s="40"/>
      <c r="E119" s="40"/>
      <c r="F119" s="38"/>
      <c r="G119" s="41" t="str">
        <f aca="false">IF($A119="","",IF($C119="","",YEAR($C119)))</f>
        <v/>
      </c>
      <c r="H119" s="42"/>
      <c r="I119" s="38"/>
      <c r="J119" s="38"/>
      <c r="K119" s="38"/>
      <c r="L119" s="40"/>
      <c r="M119" s="43"/>
      <c r="N119" s="40"/>
      <c r="O119" s="38"/>
      <c r="P119" s="38"/>
      <c r="Q119" s="38"/>
      <c r="R119" s="38"/>
      <c r="S119" s="40"/>
      <c r="T119" s="44" t="str">
        <f aca="false">IF($A119="","",IF($S119="","",IFERROR(INDEX(Lists!$N$5:$N$16,MATCH($S119,Lists!$M$5:$M$16,0)),"?")))</f>
        <v/>
      </c>
      <c r="U119" s="38"/>
      <c r="V119" s="40"/>
      <c r="W119" s="38"/>
      <c r="X119" s="40"/>
      <c r="Y119" s="38"/>
      <c r="Z119" s="38"/>
      <c r="AA119" s="40"/>
      <c r="AB119" s="43"/>
      <c r="AC119" s="45"/>
      <c r="AD119" s="46" t="str">
        <f aca="false">IF(ISNUMBER($AB119),$AB119*(1+N($AC119)),"")</f>
        <v/>
      </c>
      <c r="AE119" s="43"/>
      <c r="AF119" s="43"/>
      <c r="AG119" s="45"/>
      <c r="AH119" s="47" t="str">
        <f aca="false">IF(ISNUMBER($AD119),($AD119+$AE119+$AF119)*$AG119,"")</f>
        <v/>
      </c>
      <c r="AI119" s="43"/>
      <c r="AJ119" s="46" t="str">
        <f aca="false">IF(ISNUMBER($AD119),SUM($AD119:$AH119),"")</f>
        <v/>
      </c>
      <c r="AK119" s="48" t="str">
        <f aca="false">IF(AND(ISNUMBER($AB119),ISNUMBER($AD119)),IF($AB119&gt;0,$AD119/$AB119,""),"")</f>
        <v/>
      </c>
      <c r="AL119" s="40"/>
      <c r="AM119" s="49" t="str">
        <f aca="false">IF(ISNUMBER($AD119),Header!$I$3,"")</f>
        <v/>
      </c>
      <c r="AN119" s="47" t="str">
        <f aca="false">IF(ISNUMBER($AD119),$AO119+$AP119,"")</f>
        <v/>
      </c>
      <c r="AO119" s="47" t="str">
        <f aca="false">IF(ISNUMBER($AD119),ROUND($AD119*Header!$K$3,2),"")</f>
        <v/>
      </c>
      <c r="AP119" s="47" t="str">
        <f aca="false">IF(ISNUMBER($AD119),ROUND($AD119*Header!$M$3,2),"")</f>
        <v/>
      </c>
      <c r="AQ119" s="46" t="str">
        <f aca="false">IF(ISNUMBER($AD119),ROUND($AD119,2)-$AO119-$AP119,"")</f>
        <v/>
      </c>
      <c r="AR119" s="47" t="str">
        <f aca="false">IF(ISNUMBER($AD119),IF(Header!$D$34="","?",$AD119*Header!$D$34),"")</f>
        <v/>
      </c>
      <c r="AS119" s="47" t="str">
        <f aca="false">IF(ISNUMBER($AB119),IF(Header!$D$34="","?",$AB119*Header!$D$34),"")</f>
        <v/>
      </c>
      <c r="AT119" s="50" t="str">
        <f aca="false">IF(AND(ISNUMBER($AB119),$M119&gt;0),$AB119/$M119*100,"")</f>
        <v/>
      </c>
      <c r="AU119" s="50" t="str">
        <f aca="false">IF(AND(ISNUMBER($AD119),$M119&gt;0),$AD119/$M119*100,"")</f>
        <v/>
      </c>
      <c r="AV119" s="48" t="str">
        <f aca="false">IF(AND(ISNUMBER($AB119),ISNUMBER($AD119),ABS($AB119)&gt;0),$AD119/$AB119,"")</f>
        <v/>
      </c>
      <c r="AW119" s="47" t="str">
        <f aca="false">IF(ISNUMBER($AD119),MAX(0,(1-0.55-Header!$O$3)*Header!$Q$3*$AQ119),"")</f>
        <v/>
      </c>
      <c r="AX119" s="51" t="str">
        <f aca="false">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v/>
      </c>
      <c r="AY119" s="52" t="str">
        <f aca="false">IF($M119="","",IF(ISNUMBER($M119),IF($M119&gt;=Header!$C$18,"YES — refer","No"),""))</f>
        <v/>
      </c>
      <c r="AZ119" s="52" t="str">
        <f aca="false">IF($AD119="","",IF(ISNUMBER($AD119),IF($AD119&lt;Header!$C$20,"BELOW MIN PREMIUM","OK"),""))</f>
        <v/>
      </c>
      <c r="BA119" s="40"/>
      <c r="BB119" s="40"/>
      <c r="BC119" s="38"/>
      <c r="BE119" s="53" t="str">
        <f aca="false">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v/>
      </c>
      <c r="BF119" s="53" t="str">
        <f aca="false">IF($AD119="","",IF(ROUND($AO119+$AP119+$AQ119-$AD119,2)=0,"OK","FAIL - out by "&amp;TEXT($AO119+$AP119+$AQ119-$AD119,"$0.00")))</f>
        <v/>
      </c>
    </row>
    <row r="120" customFormat="false" ht="15" hidden="false" customHeight="true" outlineLevel="0" collapsed="false">
      <c r="A120" s="54"/>
      <c r="B120" s="54"/>
      <c r="C120" s="55"/>
      <c r="D120" s="56"/>
      <c r="E120" s="56"/>
      <c r="F120" s="54"/>
      <c r="G120" s="41" t="str">
        <f aca="false">IF($A120="","",IF($C120="","",YEAR($C120)))</f>
        <v/>
      </c>
      <c r="H120" s="57"/>
      <c r="I120" s="54"/>
      <c r="J120" s="54"/>
      <c r="K120" s="54"/>
      <c r="L120" s="56"/>
      <c r="M120" s="58"/>
      <c r="N120" s="56"/>
      <c r="O120" s="54"/>
      <c r="P120" s="54"/>
      <c r="Q120" s="54"/>
      <c r="R120" s="54"/>
      <c r="S120" s="56"/>
      <c r="T120" s="44" t="str">
        <f aca="false">IF($A120="","",IF($S120="","",IFERROR(INDEX(Lists!$N$5:$N$16,MATCH($S120,Lists!$M$5:$M$16,0)),"?")))</f>
        <v/>
      </c>
      <c r="U120" s="54"/>
      <c r="V120" s="56"/>
      <c r="W120" s="54"/>
      <c r="X120" s="56"/>
      <c r="Y120" s="54"/>
      <c r="Z120" s="54"/>
      <c r="AA120" s="56"/>
      <c r="AB120" s="58"/>
      <c r="AC120" s="59"/>
      <c r="AD120" s="46" t="str">
        <f aca="false">IF(ISNUMBER($AB120),$AB120*(1+N($AC120)),"")</f>
        <v/>
      </c>
      <c r="AE120" s="58"/>
      <c r="AF120" s="58"/>
      <c r="AG120" s="59"/>
      <c r="AH120" s="47" t="str">
        <f aca="false">IF(ISNUMBER($AD120),($AD120+$AE120+$AF120)*$AG120,"")</f>
        <v/>
      </c>
      <c r="AI120" s="58"/>
      <c r="AJ120" s="46" t="str">
        <f aca="false">IF(ISNUMBER($AD120),SUM($AD120:$AH120),"")</f>
        <v/>
      </c>
      <c r="AK120" s="48" t="str">
        <f aca="false">IF(AND(ISNUMBER($AB120),ISNUMBER($AD120)),IF($AB120&gt;0,$AD120/$AB120,""),"")</f>
        <v/>
      </c>
      <c r="AL120" s="56"/>
      <c r="AM120" s="49" t="str">
        <f aca="false">IF(ISNUMBER($AD120),Header!$I$3,"")</f>
        <v/>
      </c>
      <c r="AN120" s="47" t="str">
        <f aca="false">IF(ISNUMBER($AD120),$AO120+$AP120,"")</f>
        <v/>
      </c>
      <c r="AO120" s="47" t="str">
        <f aca="false">IF(ISNUMBER($AD120),ROUND($AD120*Header!$K$3,2),"")</f>
        <v/>
      </c>
      <c r="AP120" s="47" t="str">
        <f aca="false">IF(ISNUMBER($AD120),ROUND($AD120*Header!$M$3,2),"")</f>
        <v/>
      </c>
      <c r="AQ120" s="46" t="str">
        <f aca="false">IF(ISNUMBER($AD120),ROUND($AD120,2)-$AO120-$AP120,"")</f>
        <v/>
      </c>
      <c r="AR120" s="47" t="str">
        <f aca="false">IF(ISNUMBER($AD120),IF(Header!$D$34="","?",$AD120*Header!$D$34),"")</f>
        <v/>
      </c>
      <c r="AS120" s="47" t="str">
        <f aca="false">IF(ISNUMBER($AB120),IF(Header!$D$34="","?",$AB120*Header!$D$34),"")</f>
        <v/>
      </c>
      <c r="AT120" s="50" t="str">
        <f aca="false">IF(AND(ISNUMBER($AB120),$M120&gt;0),$AB120/$M120*100,"")</f>
        <v/>
      </c>
      <c r="AU120" s="50" t="str">
        <f aca="false">IF(AND(ISNUMBER($AD120),$M120&gt;0),$AD120/$M120*100,"")</f>
        <v/>
      </c>
      <c r="AV120" s="48" t="str">
        <f aca="false">IF(AND(ISNUMBER($AB120),ISNUMBER($AD120),ABS($AB120)&gt;0),$AD120/$AB120,"")</f>
        <v/>
      </c>
      <c r="AW120" s="47" t="str">
        <f aca="false">IF(ISNUMBER($AD120),MAX(0,(1-0.55-Header!$O$3)*Header!$Q$3*$AQ120),"")</f>
        <v/>
      </c>
      <c r="AX120" s="51" t="str">
        <f aca="false">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v/>
      </c>
      <c r="AY120" s="52" t="str">
        <f aca="false">IF($M120="","",IF(ISNUMBER($M120),IF($M120&gt;=Header!$C$18,"YES — refer","No"),""))</f>
        <v/>
      </c>
      <c r="AZ120" s="52" t="str">
        <f aca="false">IF($AD120="","",IF(ISNUMBER($AD120),IF($AD120&lt;Header!$C$20,"BELOW MIN PREMIUM","OK"),""))</f>
        <v/>
      </c>
      <c r="BA120" s="56"/>
      <c r="BB120" s="56"/>
      <c r="BC120" s="54"/>
      <c r="BE120" s="53" t="str">
        <f aca="false">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v/>
      </c>
      <c r="BF120" s="53" t="str">
        <f aca="false">IF($AD120="","",IF(ROUND($AO120+$AP120+$AQ120-$AD120,2)=0,"OK","FAIL - out by "&amp;TEXT($AO120+$AP120+$AQ120-$AD120,"$0.00")))</f>
        <v/>
      </c>
    </row>
    <row r="121" customFormat="false" ht="15" hidden="false" customHeight="true" outlineLevel="0" collapsed="false">
      <c r="A121" s="38"/>
      <c r="B121" s="38"/>
      <c r="C121" s="39"/>
      <c r="D121" s="40"/>
      <c r="E121" s="40"/>
      <c r="F121" s="38"/>
      <c r="G121" s="41" t="str">
        <f aca="false">IF($A121="","",IF($C121="","",YEAR($C121)))</f>
        <v/>
      </c>
      <c r="H121" s="42"/>
      <c r="I121" s="38"/>
      <c r="J121" s="38"/>
      <c r="K121" s="38"/>
      <c r="L121" s="40"/>
      <c r="M121" s="43"/>
      <c r="N121" s="40"/>
      <c r="O121" s="38"/>
      <c r="P121" s="38"/>
      <c r="Q121" s="38"/>
      <c r="R121" s="38"/>
      <c r="S121" s="40"/>
      <c r="T121" s="44" t="str">
        <f aca="false">IF($A121="","",IF($S121="","",IFERROR(INDEX(Lists!$N$5:$N$16,MATCH($S121,Lists!$M$5:$M$16,0)),"?")))</f>
        <v/>
      </c>
      <c r="U121" s="38"/>
      <c r="V121" s="40"/>
      <c r="W121" s="38"/>
      <c r="X121" s="40"/>
      <c r="Y121" s="38"/>
      <c r="Z121" s="38"/>
      <c r="AA121" s="40"/>
      <c r="AB121" s="43"/>
      <c r="AC121" s="45"/>
      <c r="AD121" s="46" t="str">
        <f aca="false">IF(ISNUMBER($AB121),$AB121*(1+N($AC121)),"")</f>
        <v/>
      </c>
      <c r="AE121" s="43"/>
      <c r="AF121" s="43"/>
      <c r="AG121" s="45"/>
      <c r="AH121" s="47" t="str">
        <f aca="false">IF(ISNUMBER($AD121),($AD121+$AE121+$AF121)*$AG121,"")</f>
        <v/>
      </c>
      <c r="AI121" s="43"/>
      <c r="AJ121" s="46" t="str">
        <f aca="false">IF(ISNUMBER($AD121),SUM($AD121:$AH121),"")</f>
        <v/>
      </c>
      <c r="AK121" s="48" t="str">
        <f aca="false">IF(AND(ISNUMBER($AB121),ISNUMBER($AD121)),IF($AB121&gt;0,$AD121/$AB121,""),"")</f>
        <v/>
      </c>
      <c r="AL121" s="40"/>
      <c r="AM121" s="49" t="str">
        <f aca="false">IF(ISNUMBER($AD121),Header!$I$3,"")</f>
        <v/>
      </c>
      <c r="AN121" s="47" t="str">
        <f aca="false">IF(ISNUMBER($AD121),$AO121+$AP121,"")</f>
        <v/>
      </c>
      <c r="AO121" s="47" t="str">
        <f aca="false">IF(ISNUMBER($AD121),ROUND($AD121*Header!$K$3,2),"")</f>
        <v/>
      </c>
      <c r="AP121" s="47" t="str">
        <f aca="false">IF(ISNUMBER($AD121),ROUND($AD121*Header!$M$3,2),"")</f>
        <v/>
      </c>
      <c r="AQ121" s="46" t="str">
        <f aca="false">IF(ISNUMBER($AD121),ROUND($AD121,2)-$AO121-$AP121,"")</f>
        <v/>
      </c>
      <c r="AR121" s="47" t="str">
        <f aca="false">IF(ISNUMBER($AD121),IF(Header!$D$34="","?",$AD121*Header!$D$34),"")</f>
        <v/>
      </c>
      <c r="AS121" s="47" t="str">
        <f aca="false">IF(ISNUMBER($AB121),IF(Header!$D$34="","?",$AB121*Header!$D$34),"")</f>
        <v/>
      </c>
      <c r="AT121" s="50" t="str">
        <f aca="false">IF(AND(ISNUMBER($AB121),$M121&gt;0),$AB121/$M121*100,"")</f>
        <v/>
      </c>
      <c r="AU121" s="50" t="str">
        <f aca="false">IF(AND(ISNUMBER($AD121),$M121&gt;0),$AD121/$M121*100,"")</f>
        <v/>
      </c>
      <c r="AV121" s="48" t="str">
        <f aca="false">IF(AND(ISNUMBER($AB121),ISNUMBER($AD121),ABS($AB121)&gt;0),$AD121/$AB121,"")</f>
        <v/>
      </c>
      <c r="AW121" s="47" t="str">
        <f aca="false">IF(ISNUMBER($AD121),MAX(0,(1-0.55-Header!$O$3)*Header!$Q$3*$AQ121),"")</f>
        <v/>
      </c>
      <c r="AX121" s="51" t="str">
        <f aca="false">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v/>
      </c>
      <c r="AY121" s="52" t="str">
        <f aca="false">IF($M121="","",IF(ISNUMBER($M121),IF($M121&gt;=Header!$C$18,"YES — refer","No"),""))</f>
        <v/>
      </c>
      <c r="AZ121" s="52" t="str">
        <f aca="false">IF($AD121="","",IF(ISNUMBER($AD121),IF($AD121&lt;Header!$C$20,"BELOW MIN PREMIUM","OK"),""))</f>
        <v/>
      </c>
      <c r="BA121" s="40"/>
      <c r="BB121" s="40"/>
      <c r="BC121" s="38"/>
      <c r="BE121" s="53" t="str">
        <f aca="false">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v/>
      </c>
      <c r="BF121" s="53" t="str">
        <f aca="false">IF($AD121="","",IF(ROUND($AO121+$AP121+$AQ121-$AD121,2)=0,"OK","FAIL - out by "&amp;TEXT($AO121+$AP121+$AQ121-$AD121,"$0.00")))</f>
        <v/>
      </c>
    </row>
    <row r="122" customFormat="false" ht="15" hidden="false" customHeight="true" outlineLevel="0" collapsed="false">
      <c r="A122" s="54"/>
      <c r="B122" s="54"/>
      <c r="C122" s="55"/>
      <c r="D122" s="56"/>
      <c r="E122" s="56"/>
      <c r="F122" s="54"/>
      <c r="G122" s="41" t="str">
        <f aca="false">IF($A122="","",IF($C122="","",YEAR($C122)))</f>
        <v/>
      </c>
      <c r="H122" s="57"/>
      <c r="I122" s="54"/>
      <c r="J122" s="54"/>
      <c r="K122" s="54"/>
      <c r="L122" s="56"/>
      <c r="M122" s="58"/>
      <c r="N122" s="56"/>
      <c r="O122" s="54"/>
      <c r="P122" s="54"/>
      <c r="Q122" s="54"/>
      <c r="R122" s="54"/>
      <c r="S122" s="56"/>
      <c r="T122" s="44" t="str">
        <f aca="false">IF($A122="","",IF($S122="","",IFERROR(INDEX(Lists!$N$5:$N$16,MATCH($S122,Lists!$M$5:$M$16,0)),"?")))</f>
        <v/>
      </c>
      <c r="U122" s="54"/>
      <c r="V122" s="56"/>
      <c r="W122" s="54"/>
      <c r="X122" s="56"/>
      <c r="Y122" s="54"/>
      <c r="Z122" s="54"/>
      <c r="AA122" s="56"/>
      <c r="AB122" s="58"/>
      <c r="AC122" s="59"/>
      <c r="AD122" s="46" t="str">
        <f aca="false">IF(ISNUMBER($AB122),$AB122*(1+N($AC122)),"")</f>
        <v/>
      </c>
      <c r="AE122" s="58"/>
      <c r="AF122" s="58"/>
      <c r="AG122" s="59"/>
      <c r="AH122" s="47" t="str">
        <f aca="false">IF(ISNUMBER($AD122),($AD122+$AE122+$AF122)*$AG122,"")</f>
        <v/>
      </c>
      <c r="AI122" s="58"/>
      <c r="AJ122" s="46" t="str">
        <f aca="false">IF(ISNUMBER($AD122),SUM($AD122:$AH122),"")</f>
        <v/>
      </c>
      <c r="AK122" s="48" t="str">
        <f aca="false">IF(AND(ISNUMBER($AB122),ISNUMBER($AD122)),IF($AB122&gt;0,$AD122/$AB122,""),"")</f>
        <v/>
      </c>
      <c r="AL122" s="56"/>
      <c r="AM122" s="49" t="str">
        <f aca="false">IF(ISNUMBER($AD122),Header!$I$3,"")</f>
        <v/>
      </c>
      <c r="AN122" s="47" t="str">
        <f aca="false">IF(ISNUMBER($AD122),$AO122+$AP122,"")</f>
        <v/>
      </c>
      <c r="AO122" s="47" t="str">
        <f aca="false">IF(ISNUMBER($AD122),ROUND($AD122*Header!$K$3,2),"")</f>
        <v/>
      </c>
      <c r="AP122" s="47" t="str">
        <f aca="false">IF(ISNUMBER($AD122),ROUND($AD122*Header!$M$3,2),"")</f>
        <v/>
      </c>
      <c r="AQ122" s="46" t="str">
        <f aca="false">IF(ISNUMBER($AD122),ROUND($AD122,2)-$AO122-$AP122,"")</f>
        <v/>
      </c>
      <c r="AR122" s="47" t="str">
        <f aca="false">IF(ISNUMBER($AD122),IF(Header!$D$34="","?",$AD122*Header!$D$34),"")</f>
        <v/>
      </c>
      <c r="AS122" s="47" t="str">
        <f aca="false">IF(ISNUMBER($AB122),IF(Header!$D$34="","?",$AB122*Header!$D$34),"")</f>
        <v/>
      </c>
      <c r="AT122" s="50" t="str">
        <f aca="false">IF(AND(ISNUMBER($AB122),$M122&gt;0),$AB122/$M122*100,"")</f>
        <v/>
      </c>
      <c r="AU122" s="50" t="str">
        <f aca="false">IF(AND(ISNUMBER($AD122),$M122&gt;0),$AD122/$M122*100,"")</f>
        <v/>
      </c>
      <c r="AV122" s="48" t="str">
        <f aca="false">IF(AND(ISNUMBER($AB122),ISNUMBER($AD122),ABS($AB122)&gt;0),$AD122/$AB122,"")</f>
        <v/>
      </c>
      <c r="AW122" s="47" t="str">
        <f aca="false">IF(ISNUMBER($AD122),MAX(0,(1-0.55-Header!$O$3)*Header!$Q$3*$AQ122),"")</f>
        <v/>
      </c>
      <c r="AX122" s="51" t="str">
        <f aca="false">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v/>
      </c>
      <c r="AY122" s="52" t="str">
        <f aca="false">IF($M122="","",IF(ISNUMBER($M122),IF($M122&gt;=Header!$C$18,"YES — refer","No"),""))</f>
        <v/>
      </c>
      <c r="AZ122" s="52" t="str">
        <f aca="false">IF($AD122="","",IF(ISNUMBER($AD122),IF($AD122&lt;Header!$C$20,"BELOW MIN PREMIUM","OK"),""))</f>
        <v/>
      </c>
      <c r="BA122" s="56"/>
      <c r="BB122" s="56"/>
      <c r="BC122" s="54"/>
      <c r="BE122" s="53" t="str">
        <f aca="false">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v/>
      </c>
      <c r="BF122" s="53" t="str">
        <f aca="false">IF($AD122="","",IF(ROUND($AO122+$AP122+$AQ122-$AD122,2)=0,"OK","FAIL - out by "&amp;TEXT($AO122+$AP122+$AQ122-$AD122,"$0.00")))</f>
        <v/>
      </c>
    </row>
    <row r="123" customFormat="false" ht="15" hidden="false" customHeight="true" outlineLevel="0" collapsed="false">
      <c r="A123" s="38"/>
      <c r="B123" s="38"/>
      <c r="C123" s="39"/>
      <c r="D123" s="40"/>
      <c r="E123" s="40"/>
      <c r="F123" s="38"/>
      <c r="G123" s="41" t="str">
        <f aca="false">IF($A123="","",IF($C123="","",YEAR($C123)))</f>
        <v/>
      </c>
      <c r="H123" s="42"/>
      <c r="I123" s="38"/>
      <c r="J123" s="38"/>
      <c r="K123" s="38"/>
      <c r="L123" s="40"/>
      <c r="M123" s="43"/>
      <c r="N123" s="40"/>
      <c r="O123" s="38"/>
      <c r="P123" s="38"/>
      <c r="Q123" s="38"/>
      <c r="R123" s="38"/>
      <c r="S123" s="40"/>
      <c r="T123" s="44" t="str">
        <f aca="false">IF($A123="","",IF($S123="","",IFERROR(INDEX(Lists!$N$5:$N$16,MATCH($S123,Lists!$M$5:$M$16,0)),"?")))</f>
        <v/>
      </c>
      <c r="U123" s="38"/>
      <c r="V123" s="40"/>
      <c r="W123" s="38"/>
      <c r="X123" s="40"/>
      <c r="Y123" s="38"/>
      <c r="Z123" s="38"/>
      <c r="AA123" s="40"/>
      <c r="AB123" s="43"/>
      <c r="AC123" s="45"/>
      <c r="AD123" s="46" t="str">
        <f aca="false">IF(ISNUMBER($AB123),$AB123*(1+N($AC123)),"")</f>
        <v/>
      </c>
      <c r="AE123" s="43"/>
      <c r="AF123" s="43"/>
      <c r="AG123" s="45"/>
      <c r="AH123" s="47" t="str">
        <f aca="false">IF(ISNUMBER($AD123),($AD123+$AE123+$AF123)*$AG123,"")</f>
        <v/>
      </c>
      <c r="AI123" s="43"/>
      <c r="AJ123" s="46" t="str">
        <f aca="false">IF(ISNUMBER($AD123),SUM($AD123:$AH123),"")</f>
        <v/>
      </c>
      <c r="AK123" s="48" t="str">
        <f aca="false">IF(AND(ISNUMBER($AB123),ISNUMBER($AD123)),IF($AB123&gt;0,$AD123/$AB123,""),"")</f>
        <v/>
      </c>
      <c r="AL123" s="40"/>
      <c r="AM123" s="49" t="str">
        <f aca="false">IF(ISNUMBER($AD123),Header!$I$3,"")</f>
        <v/>
      </c>
      <c r="AN123" s="47" t="str">
        <f aca="false">IF(ISNUMBER($AD123),$AO123+$AP123,"")</f>
        <v/>
      </c>
      <c r="AO123" s="47" t="str">
        <f aca="false">IF(ISNUMBER($AD123),ROUND($AD123*Header!$K$3,2),"")</f>
        <v/>
      </c>
      <c r="AP123" s="47" t="str">
        <f aca="false">IF(ISNUMBER($AD123),ROUND($AD123*Header!$M$3,2),"")</f>
        <v/>
      </c>
      <c r="AQ123" s="46" t="str">
        <f aca="false">IF(ISNUMBER($AD123),ROUND($AD123,2)-$AO123-$AP123,"")</f>
        <v/>
      </c>
      <c r="AR123" s="47" t="str">
        <f aca="false">IF(ISNUMBER($AD123),IF(Header!$D$34="","?",$AD123*Header!$D$34),"")</f>
        <v/>
      </c>
      <c r="AS123" s="47" t="str">
        <f aca="false">IF(ISNUMBER($AB123),IF(Header!$D$34="","?",$AB123*Header!$D$34),"")</f>
        <v/>
      </c>
      <c r="AT123" s="50" t="str">
        <f aca="false">IF(AND(ISNUMBER($AB123),$M123&gt;0),$AB123/$M123*100,"")</f>
        <v/>
      </c>
      <c r="AU123" s="50" t="str">
        <f aca="false">IF(AND(ISNUMBER($AD123),$M123&gt;0),$AD123/$M123*100,"")</f>
        <v/>
      </c>
      <c r="AV123" s="48" t="str">
        <f aca="false">IF(AND(ISNUMBER($AB123),ISNUMBER($AD123),ABS($AB123)&gt;0),$AD123/$AB123,"")</f>
        <v/>
      </c>
      <c r="AW123" s="47" t="str">
        <f aca="false">IF(ISNUMBER($AD123),MAX(0,(1-0.55-Header!$O$3)*Header!$Q$3*$AQ123),"")</f>
        <v/>
      </c>
      <c r="AX123" s="51" t="str">
        <f aca="false">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v/>
      </c>
      <c r="AY123" s="52" t="str">
        <f aca="false">IF($M123="","",IF(ISNUMBER($M123),IF($M123&gt;=Header!$C$18,"YES — refer","No"),""))</f>
        <v/>
      </c>
      <c r="AZ123" s="52" t="str">
        <f aca="false">IF($AD123="","",IF(ISNUMBER($AD123),IF($AD123&lt;Header!$C$20,"BELOW MIN PREMIUM","OK"),""))</f>
        <v/>
      </c>
      <c r="BA123" s="40"/>
      <c r="BB123" s="40"/>
      <c r="BC123" s="38"/>
      <c r="BE123" s="53" t="str">
        <f aca="false">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v/>
      </c>
      <c r="BF123" s="53" t="str">
        <f aca="false">IF($AD123="","",IF(ROUND($AO123+$AP123+$AQ123-$AD123,2)=0,"OK","FAIL - out by "&amp;TEXT($AO123+$AP123+$AQ123-$AD123,"$0.00")))</f>
        <v/>
      </c>
    </row>
    <row r="124" customFormat="false" ht="15" hidden="false" customHeight="true" outlineLevel="0" collapsed="false">
      <c r="A124" s="54"/>
      <c r="B124" s="54"/>
      <c r="C124" s="55"/>
      <c r="D124" s="56"/>
      <c r="E124" s="56"/>
      <c r="F124" s="54"/>
      <c r="G124" s="41" t="str">
        <f aca="false">IF($A124="","",IF($C124="","",YEAR($C124)))</f>
        <v/>
      </c>
      <c r="H124" s="57"/>
      <c r="I124" s="54"/>
      <c r="J124" s="54"/>
      <c r="K124" s="54"/>
      <c r="L124" s="56"/>
      <c r="M124" s="58"/>
      <c r="N124" s="56"/>
      <c r="O124" s="54"/>
      <c r="P124" s="54"/>
      <c r="Q124" s="54"/>
      <c r="R124" s="54"/>
      <c r="S124" s="56"/>
      <c r="T124" s="44" t="str">
        <f aca="false">IF($A124="","",IF($S124="","",IFERROR(INDEX(Lists!$N$5:$N$16,MATCH($S124,Lists!$M$5:$M$16,0)),"?")))</f>
        <v/>
      </c>
      <c r="U124" s="54"/>
      <c r="V124" s="56"/>
      <c r="W124" s="54"/>
      <c r="X124" s="56"/>
      <c r="Y124" s="54"/>
      <c r="Z124" s="54"/>
      <c r="AA124" s="56"/>
      <c r="AB124" s="58"/>
      <c r="AC124" s="59"/>
      <c r="AD124" s="46" t="str">
        <f aca="false">IF(ISNUMBER($AB124),$AB124*(1+N($AC124)),"")</f>
        <v/>
      </c>
      <c r="AE124" s="58"/>
      <c r="AF124" s="58"/>
      <c r="AG124" s="59"/>
      <c r="AH124" s="47" t="str">
        <f aca="false">IF(ISNUMBER($AD124),($AD124+$AE124+$AF124)*$AG124,"")</f>
        <v/>
      </c>
      <c r="AI124" s="58"/>
      <c r="AJ124" s="46" t="str">
        <f aca="false">IF(ISNUMBER($AD124),SUM($AD124:$AH124),"")</f>
        <v/>
      </c>
      <c r="AK124" s="48" t="str">
        <f aca="false">IF(AND(ISNUMBER($AB124),ISNUMBER($AD124)),IF($AB124&gt;0,$AD124/$AB124,""),"")</f>
        <v/>
      </c>
      <c r="AL124" s="56"/>
      <c r="AM124" s="49" t="str">
        <f aca="false">IF(ISNUMBER($AD124),Header!$I$3,"")</f>
        <v/>
      </c>
      <c r="AN124" s="47" t="str">
        <f aca="false">IF(ISNUMBER($AD124),$AO124+$AP124,"")</f>
        <v/>
      </c>
      <c r="AO124" s="47" t="str">
        <f aca="false">IF(ISNUMBER($AD124),ROUND($AD124*Header!$K$3,2),"")</f>
        <v/>
      </c>
      <c r="AP124" s="47" t="str">
        <f aca="false">IF(ISNUMBER($AD124),ROUND($AD124*Header!$M$3,2),"")</f>
        <v/>
      </c>
      <c r="AQ124" s="46" t="str">
        <f aca="false">IF(ISNUMBER($AD124),ROUND($AD124,2)-$AO124-$AP124,"")</f>
        <v/>
      </c>
      <c r="AR124" s="47" t="str">
        <f aca="false">IF(ISNUMBER($AD124),IF(Header!$D$34="","?",$AD124*Header!$D$34),"")</f>
        <v/>
      </c>
      <c r="AS124" s="47" t="str">
        <f aca="false">IF(ISNUMBER($AB124),IF(Header!$D$34="","?",$AB124*Header!$D$34),"")</f>
        <v/>
      </c>
      <c r="AT124" s="50" t="str">
        <f aca="false">IF(AND(ISNUMBER($AB124),$M124&gt;0),$AB124/$M124*100,"")</f>
        <v/>
      </c>
      <c r="AU124" s="50" t="str">
        <f aca="false">IF(AND(ISNUMBER($AD124),$M124&gt;0),$AD124/$M124*100,"")</f>
        <v/>
      </c>
      <c r="AV124" s="48" t="str">
        <f aca="false">IF(AND(ISNUMBER($AB124),ISNUMBER($AD124),ABS($AB124)&gt;0),$AD124/$AB124,"")</f>
        <v/>
      </c>
      <c r="AW124" s="47" t="str">
        <f aca="false">IF(ISNUMBER($AD124),MAX(0,(1-0.55-Header!$O$3)*Header!$Q$3*$AQ124),"")</f>
        <v/>
      </c>
      <c r="AX124" s="51" t="str">
        <f aca="false">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v/>
      </c>
      <c r="AY124" s="52" t="str">
        <f aca="false">IF($M124="","",IF(ISNUMBER($M124),IF($M124&gt;=Header!$C$18,"YES — refer","No"),""))</f>
        <v/>
      </c>
      <c r="AZ124" s="52" t="str">
        <f aca="false">IF($AD124="","",IF(ISNUMBER($AD124),IF($AD124&lt;Header!$C$20,"BELOW MIN PREMIUM","OK"),""))</f>
        <v/>
      </c>
      <c r="BA124" s="56"/>
      <c r="BB124" s="56"/>
      <c r="BC124" s="54"/>
      <c r="BE124" s="53" t="str">
        <f aca="false">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v/>
      </c>
      <c r="BF124" s="53" t="str">
        <f aca="false">IF($AD124="","",IF(ROUND($AO124+$AP124+$AQ124-$AD124,2)=0,"OK","FAIL - out by "&amp;TEXT($AO124+$AP124+$AQ124-$AD124,"$0.00")))</f>
        <v/>
      </c>
    </row>
    <row r="125" customFormat="false" ht="15" hidden="false" customHeight="true" outlineLevel="0" collapsed="false">
      <c r="A125" s="38"/>
      <c r="B125" s="38"/>
      <c r="C125" s="39"/>
      <c r="D125" s="40"/>
      <c r="E125" s="40"/>
      <c r="F125" s="38"/>
      <c r="G125" s="41" t="str">
        <f aca="false">IF($A125="","",IF($C125="","",YEAR($C125)))</f>
        <v/>
      </c>
      <c r="H125" s="42"/>
      <c r="I125" s="38"/>
      <c r="J125" s="38"/>
      <c r="K125" s="38"/>
      <c r="L125" s="40"/>
      <c r="M125" s="43"/>
      <c r="N125" s="40"/>
      <c r="O125" s="38"/>
      <c r="P125" s="38"/>
      <c r="Q125" s="38"/>
      <c r="R125" s="38"/>
      <c r="S125" s="40"/>
      <c r="T125" s="44" t="str">
        <f aca="false">IF($A125="","",IF($S125="","",IFERROR(INDEX(Lists!$N$5:$N$16,MATCH($S125,Lists!$M$5:$M$16,0)),"?")))</f>
        <v/>
      </c>
      <c r="U125" s="38"/>
      <c r="V125" s="40"/>
      <c r="W125" s="38"/>
      <c r="X125" s="40"/>
      <c r="Y125" s="38"/>
      <c r="Z125" s="38"/>
      <c r="AA125" s="40"/>
      <c r="AB125" s="43"/>
      <c r="AC125" s="45"/>
      <c r="AD125" s="46" t="str">
        <f aca="false">IF(ISNUMBER($AB125),$AB125*(1+N($AC125)),"")</f>
        <v/>
      </c>
      <c r="AE125" s="43"/>
      <c r="AF125" s="43"/>
      <c r="AG125" s="45"/>
      <c r="AH125" s="47" t="str">
        <f aca="false">IF(ISNUMBER($AD125),($AD125+$AE125+$AF125)*$AG125,"")</f>
        <v/>
      </c>
      <c r="AI125" s="43"/>
      <c r="AJ125" s="46" t="str">
        <f aca="false">IF(ISNUMBER($AD125),SUM($AD125:$AH125),"")</f>
        <v/>
      </c>
      <c r="AK125" s="48" t="str">
        <f aca="false">IF(AND(ISNUMBER($AB125),ISNUMBER($AD125)),IF($AB125&gt;0,$AD125/$AB125,""),"")</f>
        <v/>
      </c>
      <c r="AL125" s="40"/>
      <c r="AM125" s="49" t="str">
        <f aca="false">IF(ISNUMBER($AD125),Header!$I$3,"")</f>
        <v/>
      </c>
      <c r="AN125" s="47" t="str">
        <f aca="false">IF(ISNUMBER($AD125),$AO125+$AP125,"")</f>
        <v/>
      </c>
      <c r="AO125" s="47" t="str">
        <f aca="false">IF(ISNUMBER($AD125),ROUND($AD125*Header!$K$3,2),"")</f>
        <v/>
      </c>
      <c r="AP125" s="47" t="str">
        <f aca="false">IF(ISNUMBER($AD125),ROUND($AD125*Header!$M$3,2),"")</f>
        <v/>
      </c>
      <c r="AQ125" s="46" t="str">
        <f aca="false">IF(ISNUMBER($AD125),ROUND($AD125,2)-$AO125-$AP125,"")</f>
        <v/>
      </c>
      <c r="AR125" s="47" t="str">
        <f aca="false">IF(ISNUMBER($AD125),IF(Header!$D$34="","?",$AD125*Header!$D$34),"")</f>
        <v/>
      </c>
      <c r="AS125" s="47" t="str">
        <f aca="false">IF(ISNUMBER($AB125),IF(Header!$D$34="","?",$AB125*Header!$D$34),"")</f>
        <v/>
      </c>
      <c r="AT125" s="50" t="str">
        <f aca="false">IF(AND(ISNUMBER($AB125),$M125&gt;0),$AB125/$M125*100,"")</f>
        <v/>
      </c>
      <c r="AU125" s="50" t="str">
        <f aca="false">IF(AND(ISNUMBER($AD125),$M125&gt;0),$AD125/$M125*100,"")</f>
        <v/>
      </c>
      <c r="AV125" s="48" t="str">
        <f aca="false">IF(AND(ISNUMBER($AB125),ISNUMBER($AD125),ABS($AB125)&gt;0),$AD125/$AB125,"")</f>
        <v/>
      </c>
      <c r="AW125" s="47" t="str">
        <f aca="false">IF(ISNUMBER($AD125),MAX(0,(1-0.55-Header!$O$3)*Header!$Q$3*$AQ125),"")</f>
        <v/>
      </c>
      <c r="AX125" s="51" t="str">
        <f aca="false">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v/>
      </c>
      <c r="AY125" s="52" t="str">
        <f aca="false">IF($M125="","",IF(ISNUMBER($M125),IF($M125&gt;=Header!$C$18,"YES — refer","No"),""))</f>
        <v/>
      </c>
      <c r="AZ125" s="52" t="str">
        <f aca="false">IF($AD125="","",IF(ISNUMBER($AD125),IF($AD125&lt;Header!$C$20,"BELOW MIN PREMIUM","OK"),""))</f>
        <v/>
      </c>
      <c r="BA125" s="40"/>
      <c r="BB125" s="40"/>
      <c r="BC125" s="38"/>
      <c r="BE125" s="53" t="str">
        <f aca="false">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v/>
      </c>
      <c r="BF125" s="53" t="str">
        <f aca="false">IF($AD125="","",IF(ROUND($AO125+$AP125+$AQ125-$AD125,2)=0,"OK","FAIL - out by "&amp;TEXT($AO125+$AP125+$AQ125-$AD125,"$0.00")))</f>
        <v/>
      </c>
    </row>
    <row r="126" customFormat="false" ht="15" hidden="false" customHeight="true" outlineLevel="0" collapsed="false">
      <c r="A126" s="54"/>
      <c r="B126" s="54"/>
      <c r="C126" s="55"/>
      <c r="D126" s="56"/>
      <c r="E126" s="56"/>
      <c r="F126" s="54"/>
      <c r="G126" s="41" t="str">
        <f aca="false">IF($A126="","",IF($C126="","",YEAR($C126)))</f>
        <v/>
      </c>
      <c r="H126" s="57"/>
      <c r="I126" s="54"/>
      <c r="J126" s="54"/>
      <c r="K126" s="54"/>
      <c r="L126" s="56"/>
      <c r="M126" s="58"/>
      <c r="N126" s="56"/>
      <c r="O126" s="54"/>
      <c r="P126" s="54"/>
      <c r="Q126" s="54"/>
      <c r="R126" s="54"/>
      <c r="S126" s="56"/>
      <c r="T126" s="44" t="str">
        <f aca="false">IF($A126="","",IF($S126="","",IFERROR(INDEX(Lists!$N$5:$N$16,MATCH($S126,Lists!$M$5:$M$16,0)),"?")))</f>
        <v/>
      </c>
      <c r="U126" s="54"/>
      <c r="V126" s="56"/>
      <c r="W126" s="54"/>
      <c r="X126" s="56"/>
      <c r="Y126" s="54"/>
      <c r="Z126" s="54"/>
      <c r="AA126" s="56"/>
      <c r="AB126" s="58"/>
      <c r="AC126" s="59"/>
      <c r="AD126" s="46" t="str">
        <f aca="false">IF(ISNUMBER($AB126),$AB126*(1+N($AC126)),"")</f>
        <v/>
      </c>
      <c r="AE126" s="58"/>
      <c r="AF126" s="58"/>
      <c r="AG126" s="59"/>
      <c r="AH126" s="47" t="str">
        <f aca="false">IF(ISNUMBER($AD126),($AD126+$AE126+$AF126)*$AG126,"")</f>
        <v/>
      </c>
      <c r="AI126" s="58"/>
      <c r="AJ126" s="46" t="str">
        <f aca="false">IF(ISNUMBER($AD126),SUM($AD126:$AH126),"")</f>
        <v/>
      </c>
      <c r="AK126" s="48" t="str">
        <f aca="false">IF(AND(ISNUMBER($AB126),ISNUMBER($AD126)),IF($AB126&gt;0,$AD126/$AB126,""),"")</f>
        <v/>
      </c>
      <c r="AL126" s="56"/>
      <c r="AM126" s="49" t="str">
        <f aca="false">IF(ISNUMBER($AD126),Header!$I$3,"")</f>
        <v/>
      </c>
      <c r="AN126" s="47" t="str">
        <f aca="false">IF(ISNUMBER($AD126),$AO126+$AP126,"")</f>
        <v/>
      </c>
      <c r="AO126" s="47" t="str">
        <f aca="false">IF(ISNUMBER($AD126),ROUND($AD126*Header!$K$3,2),"")</f>
        <v/>
      </c>
      <c r="AP126" s="47" t="str">
        <f aca="false">IF(ISNUMBER($AD126),ROUND($AD126*Header!$M$3,2),"")</f>
        <v/>
      </c>
      <c r="AQ126" s="46" t="str">
        <f aca="false">IF(ISNUMBER($AD126),ROUND($AD126,2)-$AO126-$AP126,"")</f>
        <v/>
      </c>
      <c r="AR126" s="47" t="str">
        <f aca="false">IF(ISNUMBER($AD126),IF(Header!$D$34="","?",$AD126*Header!$D$34),"")</f>
        <v/>
      </c>
      <c r="AS126" s="47" t="str">
        <f aca="false">IF(ISNUMBER($AB126),IF(Header!$D$34="","?",$AB126*Header!$D$34),"")</f>
        <v/>
      </c>
      <c r="AT126" s="50" t="str">
        <f aca="false">IF(AND(ISNUMBER($AB126),$M126&gt;0),$AB126/$M126*100,"")</f>
        <v/>
      </c>
      <c r="AU126" s="50" t="str">
        <f aca="false">IF(AND(ISNUMBER($AD126),$M126&gt;0),$AD126/$M126*100,"")</f>
        <v/>
      </c>
      <c r="AV126" s="48" t="str">
        <f aca="false">IF(AND(ISNUMBER($AB126),ISNUMBER($AD126),ABS($AB126)&gt;0),$AD126/$AB126,"")</f>
        <v/>
      </c>
      <c r="AW126" s="47" t="str">
        <f aca="false">IF(ISNUMBER($AD126),MAX(0,(1-0.55-Header!$O$3)*Header!$Q$3*$AQ126),"")</f>
        <v/>
      </c>
      <c r="AX126" s="51" t="str">
        <f aca="false">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v/>
      </c>
      <c r="AY126" s="52" t="str">
        <f aca="false">IF($M126="","",IF(ISNUMBER($M126),IF($M126&gt;=Header!$C$18,"YES — refer","No"),""))</f>
        <v/>
      </c>
      <c r="AZ126" s="52" t="str">
        <f aca="false">IF($AD126="","",IF(ISNUMBER($AD126),IF($AD126&lt;Header!$C$20,"BELOW MIN PREMIUM","OK"),""))</f>
        <v/>
      </c>
      <c r="BA126" s="56"/>
      <c r="BB126" s="56"/>
      <c r="BC126" s="54"/>
      <c r="BE126" s="53" t="str">
        <f aca="false">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v/>
      </c>
      <c r="BF126" s="53" t="str">
        <f aca="false">IF($AD126="","",IF(ROUND($AO126+$AP126+$AQ126-$AD126,2)=0,"OK","FAIL - out by "&amp;TEXT($AO126+$AP126+$AQ126-$AD126,"$0.00")))</f>
        <v/>
      </c>
    </row>
    <row r="127" customFormat="false" ht="15" hidden="false" customHeight="true" outlineLevel="0" collapsed="false">
      <c r="A127" s="38"/>
      <c r="B127" s="38"/>
      <c r="C127" s="39"/>
      <c r="D127" s="40"/>
      <c r="E127" s="40"/>
      <c r="F127" s="38"/>
      <c r="G127" s="41" t="str">
        <f aca="false">IF($A127="","",IF($C127="","",YEAR($C127)))</f>
        <v/>
      </c>
      <c r="H127" s="42"/>
      <c r="I127" s="38"/>
      <c r="J127" s="38"/>
      <c r="K127" s="38"/>
      <c r="L127" s="40"/>
      <c r="M127" s="43"/>
      <c r="N127" s="40"/>
      <c r="O127" s="38"/>
      <c r="P127" s="38"/>
      <c r="Q127" s="38"/>
      <c r="R127" s="38"/>
      <c r="S127" s="40"/>
      <c r="T127" s="44" t="str">
        <f aca="false">IF($A127="","",IF($S127="","",IFERROR(INDEX(Lists!$N$5:$N$16,MATCH($S127,Lists!$M$5:$M$16,0)),"?")))</f>
        <v/>
      </c>
      <c r="U127" s="38"/>
      <c r="V127" s="40"/>
      <c r="W127" s="38"/>
      <c r="X127" s="40"/>
      <c r="Y127" s="38"/>
      <c r="Z127" s="38"/>
      <c r="AA127" s="40"/>
      <c r="AB127" s="43"/>
      <c r="AC127" s="45"/>
      <c r="AD127" s="46" t="str">
        <f aca="false">IF(ISNUMBER($AB127),$AB127*(1+N($AC127)),"")</f>
        <v/>
      </c>
      <c r="AE127" s="43"/>
      <c r="AF127" s="43"/>
      <c r="AG127" s="45"/>
      <c r="AH127" s="47" t="str">
        <f aca="false">IF(ISNUMBER($AD127),($AD127+$AE127+$AF127)*$AG127,"")</f>
        <v/>
      </c>
      <c r="AI127" s="43"/>
      <c r="AJ127" s="46" t="str">
        <f aca="false">IF(ISNUMBER($AD127),SUM($AD127:$AH127),"")</f>
        <v/>
      </c>
      <c r="AK127" s="48" t="str">
        <f aca="false">IF(AND(ISNUMBER($AB127),ISNUMBER($AD127)),IF($AB127&gt;0,$AD127/$AB127,""),"")</f>
        <v/>
      </c>
      <c r="AL127" s="40"/>
      <c r="AM127" s="49" t="str">
        <f aca="false">IF(ISNUMBER($AD127),Header!$I$3,"")</f>
        <v/>
      </c>
      <c r="AN127" s="47" t="str">
        <f aca="false">IF(ISNUMBER($AD127),$AO127+$AP127,"")</f>
        <v/>
      </c>
      <c r="AO127" s="47" t="str">
        <f aca="false">IF(ISNUMBER($AD127),ROUND($AD127*Header!$K$3,2),"")</f>
        <v/>
      </c>
      <c r="AP127" s="47" t="str">
        <f aca="false">IF(ISNUMBER($AD127),ROUND($AD127*Header!$M$3,2),"")</f>
        <v/>
      </c>
      <c r="AQ127" s="46" t="str">
        <f aca="false">IF(ISNUMBER($AD127),ROUND($AD127,2)-$AO127-$AP127,"")</f>
        <v/>
      </c>
      <c r="AR127" s="47" t="str">
        <f aca="false">IF(ISNUMBER($AD127),IF(Header!$D$34="","?",$AD127*Header!$D$34),"")</f>
        <v/>
      </c>
      <c r="AS127" s="47" t="str">
        <f aca="false">IF(ISNUMBER($AB127),IF(Header!$D$34="","?",$AB127*Header!$D$34),"")</f>
        <v/>
      </c>
      <c r="AT127" s="50" t="str">
        <f aca="false">IF(AND(ISNUMBER($AB127),$M127&gt;0),$AB127/$M127*100,"")</f>
        <v/>
      </c>
      <c r="AU127" s="50" t="str">
        <f aca="false">IF(AND(ISNUMBER($AD127),$M127&gt;0),$AD127/$M127*100,"")</f>
        <v/>
      </c>
      <c r="AV127" s="48" t="str">
        <f aca="false">IF(AND(ISNUMBER($AB127),ISNUMBER($AD127),ABS($AB127)&gt;0),$AD127/$AB127,"")</f>
        <v/>
      </c>
      <c r="AW127" s="47" t="str">
        <f aca="false">IF(ISNUMBER($AD127),MAX(0,(1-0.55-Header!$O$3)*Header!$Q$3*$AQ127),"")</f>
        <v/>
      </c>
      <c r="AX127" s="51" t="str">
        <f aca="false">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v/>
      </c>
      <c r="AY127" s="52" t="str">
        <f aca="false">IF($M127="","",IF(ISNUMBER($M127),IF($M127&gt;=Header!$C$18,"YES — refer","No"),""))</f>
        <v/>
      </c>
      <c r="AZ127" s="52" t="str">
        <f aca="false">IF($AD127="","",IF(ISNUMBER($AD127),IF($AD127&lt;Header!$C$20,"BELOW MIN PREMIUM","OK"),""))</f>
        <v/>
      </c>
      <c r="BA127" s="40"/>
      <c r="BB127" s="40"/>
      <c r="BC127" s="38"/>
      <c r="BE127" s="53" t="str">
        <f aca="false">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v/>
      </c>
      <c r="BF127" s="53" t="str">
        <f aca="false">IF($AD127="","",IF(ROUND($AO127+$AP127+$AQ127-$AD127,2)=0,"OK","FAIL - out by "&amp;TEXT($AO127+$AP127+$AQ127-$AD127,"$0.00")))</f>
        <v/>
      </c>
    </row>
    <row r="128" customFormat="false" ht="15" hidden="false" customHeight="true" outlineLevel="0" collapsed="false">
      <c r="A128" s="54"/>
      <c r="B128" s="54"/>
      <c r="C128" s="55"/>
      <c r="D128" s="56"/>
      <c r="E128" s="56"/>
      <c r="F128" s="54"/>
      <c r="G128" s="41" t="str">
        <f aca="false">IF($A128="","",IF($C128="","",YEAR($C128)))</f>
        <v/>
      </c>
      <c r="H128" s="57"/>
      <c r="I128" s="54"/>
      <c r="J128" s="54"/>
      <c r="K128" s="54"/>
      <c r="L128" s="56"/>
      <c r="M128" s="58"/>
      <c r="N128" s="56"/>
      <c r="O128" s="54"/>
      <c r="P128" s="54"/>
      <c r="Q128" s="54"/>
      <c r="R128" s="54"/>
      <c r="S128" s="56"/>
      <c r="T128" s="44" t="str">
        <f aca="false">IF($A128="","",IF($S128="","",IFERROR(INDEX(Lists!$N$5:$N$16,MATCH($S128,Lists!$M$5:$M$16,0)),"?")))</f>
        <v/>
      </c>
      <c r="U128" s="54"/>
      <c r="V128" s="56"/>
      <c r="W128" s="54"/>
      <c r="X128" s="56"/>
      <c r="Y128" s="54"/>
      <c r="Z128" s="54"/>
      <c r="AA128" s="56"/>
      <c r="AB128" s="58"/>
      <c r="AC128" s="59"/>
      <c r="AD128" s="46" t="str">
        <f aca="false">IF(ISNUMBER($AB128),$AB128*(1+N($AC128)),"")</f>
        <v/>
      </c>
      <c r="AE128" s="58"/>
      <c r="AF128" s="58"/>
      <c r="AG128" s="59"/>
      <c r="AH128" s="47" t="str">
        <f aca="false">IF(ISNUMBER($AD128),($AD128+$AE128+$AF128)*$AG128,"")</f>
        <v/>
      </c>
      <c r="AI128" s="58"/>
      <c r="AJ128" s="46" t="str">
        <f aca="false">IF(ISNUMBER($AD128),SUM($AD128:$AH128),"")</f>
        <v/>
      </c>
      <c r="AK128" s="48" t="str">
        <f aca="false">IF(AND(ISNUMBER($AB128),ISNUMBER($AD128)),IF($AB128&gt;0,$AD128/$AB128,""),"")</f>
        <v/>
      </c>
      <c r="AL128" s="56"/>
      <c r="AM128" s="49" t="str">
        <f aca="false">IF(ISNUMBER($AD128),Header!$I$3,"")</f>
        <v/>
      </c>
      <c r="AN128" s="47" t="str">
        <f aca="false">IF(ISNUMBER($AD128),$AO128+$AP128,"")</f>
        <v/>
      </c>
      <c r="AO128" s="47" t="str">
        <f aca="false">IF(ISNUMBER($AD128),ROUND($AD128*Header!$K$3,2),"")</f>
        <v/>
      </c>
      <c r="AP128" s="47" t="str">
        <f aca="false">IF(ISNUMBER($AD128),ROUND($AD128*Header!$M$3,2),"")</f>
        <v/>
      </c>
      <c r="AQ128" s="46" t="str">
        <f aca="false">IF(ISNUMBER($AD128),ROUND($AD128,2)-$AO128-$AP128,"")</f>
        <v/>
      </c>
      <c r="AR128" s="47" t="str">
        <f aca="false">IF(ISNUMBER($AD128),IF(Header!$D$34="","?",$AD128*Header!$D$34),"")</f>
        <v/>
      </c>
      <c r="AS128" s="47" t="str">
        <f aca="false">IF(ISNUMBER($AB128),IF(Header!$D$34="","?",$AB128*Header!$D$34),"")</f>
        <v/>
      </c>
      <c r="AT128" s="50" t="str">
        <f aca="false">IF(AND(ISNUMBER($AB128),$M128&gt;0),$AB128/$M128*100,"")</f>
        <v/>
      </c>
      <c r="AU128" s="50" t="str">
        <f aca="false">IF(AND(ISNUMBER($AD128),$M128&gt;0),$AD128/$M128*100,"")</f>
        <v/>
      </c>
      <c r="AV128" s="48" t="str">
        <f aca="false">IF(AND(ISNUMBER($AB128),ISNUMBER($AD128),ABS($AB128)&gt;0),$AD128/$AB128,"")</f>
        <v/>
      </c>
      <c r="AW128" s="47" t="str">
        <f aca="false">IF(ISNUMBER($AD128),MAX(0,(1-0.55-Header!$O$3)*Header!$Q$3*$AQ128),"")</f>
        <v/>
      </c>
      <c r="AX128" s="51" t="str">
        <f aca="false">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v/>
      </c>
      <c r="AY128" s="52" t="str">
        <f aca="false">IF($M128="","",IF(ISNUMBER($M128),IF($M128&gt;=Header!$C$18,"YES — refer","No"),""))</f>
        <v/>
      </c>
      <c r="AZ128" s="52" t="str">
        <f aca="false">IF($AD128="","",IF(ISNUMBER($AD128),IF($AD128&lt;Header!$C$20,"BELOW MIN PREMIUM","OK"),""))</f>
        <v/>
      </c>
      <c r="BA128" s="56"/>
      <c r="BB128" s="56"/>
      <c r="BC128" s="54"/>
      <c r="BE128" s="53" t="str">
        <f aca="false">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v/>
      </c>
      <c r="BF128" s="53" t="str">
        <f aca="false">IF($AD128="","",IF(ROUND($AO128+$AP128+$AQ128-$AD128,2)=0,"OK","FAIL - out by "&amp;TEXT($AO128+$AP128+$AQ128-$AD128,"$0.00")))</f>
        <v/>
      </c>
    </row>
    <row r="129" customFormat="false" ht="15" hidden="false" customHeight="true" outlineLevel="0" collapsed="false">
      <c r="A129" s="38"/>
      <c r="B129" s="38"/>
      <c r="C129" s="39"/>
      <c r="D129" s="40"/>
      <c r="E129" s="40"/>
      <c r="F129" s="38"/>
      <c r="G129" s="41" t="str">
        <f aca="false">IF($A129="","",IF($C129="","",YEAR($C129)))</f>
        <v/>
      </c>
      <c r="H129" s="42"/>
      <c r="I129" s="38"/>
      <c r="J129" s="38"/>
      <c r="K129" s="38"/>
      <c r="L129" s="40"/>
      <c r="M129" s="43"/>
      <c r="N129" s="40"/>
      <c r="O129" s="38"/>
      <c r="P129" s="38"/>
      <c r="Q129" s="38"/>
      <c r="R129" s="38"/>
      <c r="S129" s="40"/>
      <c r="T129" s="44" t="str">
        <f aca="false">IF($A129="","",IF($S129="","",IFERROR(INDEX(Lists!$N$5:$N$16,MATCH($S129,Lists!$M$5:$M$16,0)),"?")))</f>
        <v/>
      </c>
      <c r="U129" s="38"/>
      <c r="V129" s="40"/>
      <c r="W129" s="38"/>
      <c r="X129" s="40"/>
      <c r="Y129" s="38"/>
      <c r="Z129" s="38"/>
      <c r="AA129" s="40"/>
      <c r="AB129" s="43"/>
      <c r="AC129" s="45"/>
      <c r="AD129" s="46" t="str">
        <f aca="false">IF(ISNUMBER($AB129),$AB129*(1+N($AC129)),"")</f>
        <v/>
      </c>
      <c r="AE129" s="43"/>
      <c r="AF129" s="43"/>
      <c r="AG129" s="45"/>
      <c r="AH129" s="47" t="str">
        <f aca="false">IF(ISNUMBER($AD129),($AD129+$AE129+$AF129)*$AG129,"")</f>
        <v/>
      </c>
      <c r="AI129" s="43"/>
      <c r="AJ129" s="46" t="str">
        <f aca="false">IF(ISNUMBER($AD129),SUM($AD129:$AH129),"")</f>
        <v/>
      </c>
      <c r="AK129" s="48" t="str">
        <f aca="false">IF(AND(ISNUMBER($AB129),ISNUMBER($AD129)),IF($AB129&gt;0,$AD129/$AB129,""),"")</f>
        <v/>
      </c>
      <c r="AL129" s="40"/>
      <c r="AM129" s="49" t="str">
        <f aca="false">IF(ISNUMBER($AD129),Header!$I$3,"")</f>
        <v/>
      </c>
      <c r="AN129" s="47" t="str">
        <f aca="false">IF(ISNUMBER($AD129),$AO129+$AP129,"")</f>
        <v/>
      </c>
      <c r="AO129" s="47" t="str">
        <f aca="false">IF(ISNUMBER($AD129),ROUND($AD129*Header!$K$3,2),"")</f>
        <v/>
      </c>
      <c r="AP129" s="47" t="str">
        <f aca="false">IF(ISNUMBER($AD129),ROUND($AD129*Header!$M$3,2),"")</f>
        <v/>
      </c>
      <c r="AQ129" s="46" t="str">
        <f aca="false">IF(ISNUMBER($AD129),ROUND($AD129,2)-$AO129-$AP129,"")</f>
        <v/>
      </c>
      <c r="AR129" s="47" t="str">
        <f aca="false">IF(ISNUMBER($AD129),IF(Header!$D$34="","?",$AD129*Header!$D$34),"")</f>
        <v/>
      </c>
      <c r="AS129" s="47" t="str">
        <f aca="false">IF(ISNUMBER($AB129),IF(Header!$D$34="","?",$AB129*Header!$D$34),"")</f>
        <v/>
      </c>
      <c r="AT129" s="50" t="str">
        <f aca="false">IF(AND(ISNUMBER($AB129),$M129&gt;0),$AB129/$M129*100,"")</f>
        <v/>
      </c>
      <c r="AU129" s="50" t="str">
        <f aca="false">IF(AND(ISNUMBER($AD129),$M129&gt;0),$AD129/$M129*100,"")</f>
        <v/>
      </c>
      <c r="AV129" s="48" t="str">
        <f aca="false">IF(AND(ISNUMBER($AB129),ISNUMBER($AD129),ABS($AB129)&gt;0),$AD129/$AB129,"")</f>
        <v/>
      </c>
      <c r="AW129" s="47" t="str">
        <f aca="false">IF(ISNUMBER($AD129),MAX(0,(1-0.55-Header!$O$3)*Header!$Q$3*$AQ129),"")</f>
        <v/>
      </c>
      <c r="AX129" s="51" t="str">
        <f aca="false">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v/>
      </c>
      <c r="AY129" s="52" t="str">
        <f aca="false">IF($M129="","",IF(ISNUMBER($M129),IF($M129&gt;=Header!$C$18,"YES — refer","No"),""))</f>
        <v/>
      </c>
      <c r="AZ129" s="52" t="str">
        <f aca="false">IF($AD129="","",IF(ISNUMBER($AD129),IF($AD129&lt;Header!$C$20,"BELOW MIN PREMIUM","OK"),""))</f>
        <v/>
      </c>
      <c r="BA129" s="40"/>
      <c r="BB129" s="40"/>
      <c r="BC129" s="38"/>
      <c r="BE129" s="53" t="str">
        <f aca="false">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v/>
      </c>
      <c r="BF129" s="53" t="str">
        <f aca="false">IF($AD129="","",IF(ROUND($AO129+$AP129+$AQ129-$AD129,2)=0,"OK","FAIL - out by "&amp;TEXT($AO129+$AP129+$AQ129-$AD129,"$0.00")))</f>
        <v/>
      </c>
    </row>
    <row r="130" customFormat="false" ht="15" hidden="false" customHeight="true" outlineLevel="0" collapsed="false">
      <c r="A130" s="54"/>
      <c r="B130" s="54"/>
      <c r="C130" s="55"/>
      <c r="D130" s="56"/>
      <c r="E130" s="56"/>
      <c r="F130" s="54"/>
      <c r="G130" s="41" t="str">
        <f aca="false">IF($A130="","",IF($C130="","",YEAR($C130)))</f>
        <v/>
      </c>
      <c r="H130" s="57"/>
      <c r="I130" s="54"/>
      <c r="J130" s="54"/>
      <c r="K130" s="54"/>
      <c r="L130" s="56"/>
      <c r="M130" s="58"/>
      <c r="N130" s="56"/>
      <c r="O130" s="54"/>
      <c r="P130" s="54"/>
      <c r="Q130" s="54"/>
      <c r="R130" s="54"/>
      <c r="S130" s="56"/>
      <c r="T130" s="44" t="str">
        <f aca="false">IF($A130="","",IF($S130="","",IFERROR(INDEX(Lists!$N$5:$N$16,MATCH($S130,Lists!$M$5:$M$16,0)),"?")))</f>
        <v/>
      </c>
      <c r="U130" s="54"/>
      <c r="V130" s="56"/>
      <c r="W130" s="54"/>
      <c r="X130" s="56"/>
      <c r="Y130" s="54"/>
      <c r="Z130" s="54"/>
      <c r="AA130" s="56"/>
      <c r="AB130" s="58"/>
      <c r="AC130" s="59"/>
      <c r="AD130" s="46" t="str">
        <f aca="false">IF(ISNUMBER($AB130),$AB130*(1+N($AC130)),"")</f>
        <v/>
      </c>
      <c r="AE130" s="58"/>
      <c r="AF130" s="58"/>
      <c r="AG130" s="59"/>
      <c r="AH130" s="47" t="str">
        <f aca="false">IF(ISNUMBER($AD130),($AD130+$AE130+$AF130)*$AG130,"")</f>
        <v/>
      </c>
      <c r="AI130" s="58"/>
      <c r="AJ130" s="46" t="str">
        <f aca="false">IF(ISNUMBER($AD130),SUM($AD130:$AH130),"")</f>
        <v/>
      </c>
      <c r="AK130" s="48" t="str">
        <f aca="false">IF(AND(ISNUMBER($AB130),ISNUMBER($AD130)),IF($AB130&gt;0,$AD130/$AB130,""),"")</f>
        <v/>
      </c>
      <c r="AL130" s="56"/>
      <c r="AM130" s="49" t="str">
        <f aca="false">IF(ISNUMBER($AD130),Header!$I$3,"")</f>
        <v/>
      </c>
      <c r="AN130" s="47" t="str">
        <f aca="false">IF(ISNUMBER($AD130),$AO130+$AP130,"")</f>
        <v/>
      </c>
      <c r="AO130" s="47" t="str">
        <f aca="false">IF(ISNUMBER($AD130),ROUND($AD130*Header!$K$3,2),"")</f>
        <v/>
      </c>
      <c r="AP130" s="47" t="str">
        <f aca="false">IF(ISNUMBER($AD130),ROUND($AD130*Header!$M$3,2),"")</f>
        <v/>
      </c>
      <c r="AQ130" s="46" t="str">
        <f aca="false">IF(ISNUMBER($AD130),ROUND($AD130,2)-$AO130-$AP130,"")</f>
        <v/>
      </c>
      <c r="AR130" s="47" t="str">
        <f aca="false">IF(ISNUMBER($AD130),IF(Header!$D$34="","?",$AD130*Header!$D$34),"")</f>
        <v/>
      </c>
      <c r="AS130" s="47" t="str">
        <f aca="false">IF(ISNUMBER($AB130),IF(Header!$D$34="","?",$AB130*Header!$D$34),"")</f>
        <v/>
      </c>
      <c r="AT130" s="50" t="str">
        <f aca="false">IF(AND(ISNUMBER($AB130),$M130&gt;0),$AB130/$M130*100,"")</f>
        <v/>
      </c>
      <c r="AU130" s="50" t="str">
        <f aca="false">IF(AND(ISNUMBER($AD130),$M130&gt;0),$AD130/$M130*100,"")</f>
        <v/>
      </c>
      <c r="AV130" s="48" t="str">
        <f aca="false">IF(AND(ISNUMBER($AB130),ISNUMBER($AD130),ABS($AB130)&gt;0),$AD130/$AB130,"")</f>
        <v/>
      </c>
      <c r="AW130" s="47" t="str">
        <f aca="false">IF(ISNUMBER($AD130),MAX(0,(1-0.55-Header!$O$3)*Header!$Q$3*$AQ130),"")</f>
        <v/>
      </c>
      <c r="AX130" s="51" t="str">
        <f aca="false">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v/>
      </c>
      <c r="AY130" s="52" t="str">
        <f aca="false">IF($M130="","",IF(ISNUMBER($M130),IF($M130&gt;=Header!$C$18,"YES — refer","No"),""))</f>
        <v/>
      </c>
      <c r="AZ130" s="52" t="str">
        <f aca="false">IF($AD130="","",IF(ISNUMBER($AD130),IF($AD130&lt;Header!$C$20,"BELOW MIN PREMIUM","OK"),""))</f>
        <v/>
      </c>
      <c r="BA130" s="56"/>
      <c r="BB130" s="56"/>
      <c r="BC130" s="54"/>
      <c r="BE130" s="53" t="str">
        <f aca="false">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v/>
      </c>
      <c r="BF130" s="53" t="str">
        <f aca="false">IF($AD130="","",IF(ROUND($AO130+$AP130+$AQ130-$AD130,2)=0,"OK","FAIL - out by "&amp;TEXT($AO130+$AP130+$AQ130-$AD130,"$0.00")))</f>
        <v/>
      </c>
    </row>
    <row r="131" customFormat="false" ht="15" hidden="false" customHeight="true" outlineLevel="0" collapsed="false">
      <c r="A131" s="38"/>
      <c r="B131" s="38"/>
      <c r="C131" s="39"/>
      <c r="D131" s="40"/>
      <c r="E131" s="40"/>
      <c r="F131" s="38"/>
      <c r="G131" s="41" t="str">
        <f aca="false">IF($A131="","",IF($C131="","",YEAR($C131)))</f>
        <v/>
      </c>
      <c r="H131" s="42"/>
      <c r="I131" s="38"/>
      <c r="J131" s="38"/>
      <c r="K131" s="38"/>
      <c r="L131" s="40"/>
      <c r="M131" s="43"/>
      <c r="N131" s="40"/>
      <c r="O131" s="38"/>
      <c r="P131" s="38"/>
      <c r="Q131" s="38"/>
      <c r="R131" s="38"/>
      <c r="S131" s="40"/>
      <c r="T131" s="44" t="str">
        <f aca="false">IF($A131="","",IF($S131="","",IFERROR(INDEX(Lists!$N$5:$N$16,MATCH($S131,Lists!$M$5:$M$16,0)),"?")))</f>
        <v/>
      </c>
      <c r="U131" s="38"/>
      <c r="V131" s="40"/>
      <c r="W131" s="38"/>
      <c r="X131" s="40"/>
      <c r="Y131" s="38"/>
      <c r="Z131" s="38"/>
      <c r="AA131" s="40"/>
      <c r="AB131" s="43"/>
      <c r="AC131" s="45"/>
      <c r="AD131" s="46" t="str">
        <f aca="false">IF(ISNUMBER($AB131),$AB131*(1+N($AC131)),"")</f>
        <v/>
      </c>
      <c r="AE131" s="43"/>
      <c r="AF131" s="43"/>
      <c r="AG131" s="45"/>
      <c r="AH131" s="47" t="str">
        <f aca="false">IF(ISNUMBER($AD131),($AD131+$AE131+$AF131)*$AG131,"")</f>
        <v/>
      </c>
      <c r="AI131" s="43"/>
      <c r="AJ131" s="46" t="str">
        <f aca="false">IF(ISNUMBER($AD131),SUM($AD131:$AH131),"")</f>
        <v/>
      </c>
      <c r="AK131" s="48" t="str">
        <f aca="false">IF(AND(ISNUMBER($AB131),ISNUMBER($AD131)),IF($AB131&gt;0,$AD131/$AB131,""),"")</f>
        <v/>
      </c>
      <c r="AL131" s="40"/>
      <c r="AM131" s="49" t="str">
        <f aca="false">IF(ISNUMBER($AD131),Header!$I$3,"")</f>
        <v/>
      </c>
      <c r="AN131" s="47" t="str">
        <f aca="false">IF(ISNUMBER($AD131),$AO131+$AP131,"")</f>
        <v/>
      </c>
      <c r="AO131" s="47" t="str">
        <f aca="false">IF(ISNUMBER($AD131),ROUND($AD131*Header!$K$3,2),"")</f>
        <v/>
      </c>
      <c r="AP131" s="47" t="str">
        <f aca="false">IF(ISNUMBER($AD131),ROUND($AD131*Header!$M$3,2),"")</f>
        <v/>
      </c>
      <c r="AQ131" s="46" t="str">
        <f aca="false">IF(ISNUMBER($AD131),ROUND($AD131,2)-$AO131-$AP131,"")</f>
        <v/>
      </c>
      <c r="AR131" s="47" t="str">
        <f aca="false">IF(ISNUMBER($AD131),IF(Header!$D$34="","?",$AD131*Header!$D$34),"")</f>
        <v/>
      </c>
      <c r="AS131" s="47" t="str">
        <f aca="false">IF(ISNUMBER($AB131),IF(Header!$D$34="","?",$AB131*Header!$D$34),"")</f>
        <v/>
      </c>
      <c r="AT131" s="50" t="str">
        <f aca="false">IF(AND(ISNUMBER($AB131),$M131&gt;0),$AB131/$M131*100,"")</f>
        <v/>
      </c>
      <c r="AU131" s="50" t="str">
        <f aca="false">IF(AND(ISNUMBER($AD131),$M131&gt;0),$AD131/$M131*100,"")</f>
        <v/>
      </c>
      <c r="AV131" s="48" t="str">
        <f aca="false">IF(AND(ISNUMBER($AB131),ISNUMBER($AD131),ABS($AB131)&gt;0),$AD131/$AB131,"")</f>
        <v/>
      </c>
      <c r="AW131" s="47" t="str">
        <f aca="false">IF(ISNUMBER($AD131),MAX(0,(1-0.55-Header!$O$3)*Header!$Q$3*$AQ131),"")</f>
        <v/>
      </c>
      <c r="AX131" s="51" t="str">
        <f aca="false">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v/>
      </c>
      <c r="AY131" s="52" t="str">
        <f aca="false">IF($M131="","",IF(ISNUMBER($M131),IF($M131&gt;=Header!$C$18,"YES — refer","No"),""))</f>
        <v/>
      </c>
      <c r="AZ131" s="52" t="str">
        <f aca="false">IF($AD131="","",IF(ISNUMBER($AD131),IF($AD131&lt;Header!$C$20,"BELOW MIN PREMIUM","OK"),""))</f>
        <v/>
      </c>
      <c r="BA131" s="40"/>
      <c r="BB131" s="40"/>
      <c r="BC131" s="38"/>
      <c r="BE131" s="53" t="str">
        <f aca="false">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v/>
      </c>
      <c r="BF131" s="53" t="str">
        <f aca="false">IF($AD131="","",IF(ROUND($AO131+$AP131+$AQ131-$AD131,2)=0,"OK","FAIL - out by "&amp;TEXT($AO131+$AP131+$AQ131-$AD131,"$0.00")))</f>
        <v/>
      </c>
    </row>
    <row r="132" customFormat="false" ht="15" hidden="false" customHeight="true" outlineLevel="0" collapsed="false">
      <c r="A132" s="54"/>
      <c r="B132" s="54"/>
      <c r="C132" s="55"/>
      <c r="D132" s="56"/>
      <c r="E132" s="56"/>
      <c r="F132" s="54"/>
      <c r="G132" s="41" t="str">
        <f aca="false">IF($A132="","",IF($C132="","",YEAR($C132)))</f>
        <v/>
      </c>
      <c r="H132" s="57"/>
      <c r="I132" s="54"/>
      <c r="J132" s="54"/>
      <c r="K132" s="54"/>
      <c r="L132" s="56"/>
      <c r="M132" s="58"/>
      <c r="N132" s="56"/>
      <c r="O132" s="54"/>
      <c r="P132" s="54"/>
      <c r="Q132" s="54"/>
      <c r="R132" s="54"/>
      <c r="S132" s="56"/>
      <c r="T132" s="44" t="str">
        <f aca="false">IF($A132="","",IF($S132="","",IFERROR(INDEX(Lists!$N$5:$N$16,MATCH($S132,Lists!$M$5:$M$16,0)),"?")))</f>
        <v/>
      </c>
      <c r="U132" s="54"/>
      <c r="V132" s="56"/>
      <c r="W132" s="54"/>
      <c r="X132" s="56"/>
      <c r="Y132" s="54"/>
      <c r="Z132" s="54"/>
      <c r="AA132" s="56"/>
      <c r="AB132" s="58"/>
      <c r="AC132" s="59"/>
      <c r="AD132" s="46" t="str">
        <f aca="false">IF(ISNUMBER($AB132),$AB132*(1+N($AC132)),"")</f>
        <v/>
      </c>
      <c r="AE132" s="58"/>
      <c r="AF132" s="58"/>
      <c r="AG132" s="59"/>
      <c r="AH132" s="47" t="str">
        <f aca="false">IF(ISNUMBER($AD132),($AD132+$AE132+$AF132)*$AG132,"")</f>
        <v/>
      </c>
      <c r="AI132" s="58"/>
      <c r="AJ132" s="46" t="str">
        <f aca="false">IF(ISNUMBER($AD132),SUM($AD132:$AH132),"")</f>
        <v/>
      </c>
      <c r="AK132" s="48" t="str">
        <f aca="false">IF(AND(ISNUMBER($AB132),ISNUMBER($AD132)),IF($AB132&gt;0,$AD132/$AB132,""),"")</f>
        <v/>
      </c>
      <c r="AL132" s="56"/>
      <c r="AM132" s="49" t="str">
        <f aca="false">IF(ISNUMBER($AD132),Header!$I$3,"")</f>
        <v/>
      </c>
      <c r="AN132" s="47" t="str">
        <f aca="false">IF(ISNUMBER($AD132),$AO132+$AP132,"")</f>
        <v/>
      </c>
      <c r="AO132" s="47" t="str">
        <f aca="false">IF(ISNUMBER($AD132),ROUND($AD132*Header!$K$3,2),"")</f>
        <v/>
      </c>
      <c r="AP132" s="47" t="str">
        <f aca="false">IF(ISNUMBER($AD132),ROUND($AD132*Header!$M$3,2),"")</f>
        <v/>
      </c>
      <c r="AQ132" s="46" t="str">
        <f aca="false">IF(ISNUMBER($AD132),ROUND($AD132,2)-$AO132-$AP132,"")</f>
        <v/>
      </c>
      <c r="AR132" s="47" t="str">
        <f aca="false">IF(ISNUMBER($AD132),IF(Header!$D$34="","?",$AD132*Header!$D$34),"")</f>
        <v/>
      </c>
      <c r="AS132" s="47" t="str">
        <f aca="false">IF(ISNUMBER($AB132),IF(Header!$D$34="","?",$AB132*Header!$D$34),"")</f>
        <v/>
      </c>
      <c r="AT132" s="50" t="str">
        <f aca="false">IF(AND(ISNUMBER($AB132),$M132&gt;0),$AB132/$M132*100,"")</f>
        <v/>
      </c>
      <c r="AU132" s="50" t="str">
        <f aca="false">IF(AND(ISNUMBER($AD132),$M132&gt;0),$AD132/$M132*100,"")</f>
        <v/>
      </c>
      <c r="AV132" s="48" t="str">
        <f aca="false">IF(AND(ISNUMBER($AB132),ISNUMBER($AD132),ABS($AB132)&gt;0),$AD132/$AB132,"")</f>
        <v/>
      </c>
      <c r="AW132" s="47" t="str">
        <f aca="false">IF(ISNUMBER($AD132),MAX(0,(1-0.55-Header!$O$3)*Header!$Q$3*$AQ132),"")</f>
        <v/>
      </c>
      <c r="AX132" s="51" t="str">
        <f aca="false">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v/>
      </c>
      <c r="AY132" s="52" t="str">
        <f aca="false">IF($M132="","",IF(ISNUMBER($M132),IF($M132&gt;=Header!$C$18,"YES — refer","No"),""))</f>
        <v/>
      </c>
      <c r="AZ132" s="52" t="str">
        <f aca="false">IF($AD132="","",IF(ISNUMBER($AD132),IF($AD132&lt;Header!$C$20,"BELOW MIN PREMIUM","OK"),""))</f>
        <v/>
      </c>
      <c r="BA132" s="56"/>
      <c r="BB132" s="56"/>
      <c r="BC132" s="54"/>
      <c r="BE132" s="53" t="str">
        <f aca="false">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v/>
      </c>
      <c r="BF132" s="53" t="str">
        <f aca="false">IF($AD132="","",IF(ROUND($AO132+$AP132+$AQ132-$AD132,2)=0,"OK","FAIL - out by "&amp;TEXT($AO132+$AP132+$AQ132-$AD132,"$0.00")))</f>
        <v/>
      </c>
    </row>
    <row r="133" customFormat="false" ht="15" hidden="false" customHeight="true" outlineLevel="0" collapsed="false">
      <c r="A133" s="38"/>
      <c r="B133" s="38"/>
      <c r="C133" s="39"/>
      <c r="D133" s="40"/>
      <c r="E133" s="40"/>
      <c r="F133" s="38"/>
      <c r="G133" s="41" t="str">
        <f aca="false">IF($A133="","",IF($C133="","",YEAR($C133)))</f>
        <v/>
      </c>
      <c r="H133" s="42"/>
      <c r="I133" s="38"/>
      <c r="J133" s="38"/>
      <c r="K133" s="38"/>
      <c r="L133" s="40"/>
      <c r="M133" s="43"/>
      <c r="N133" s="40"/>
      <c r="O133" s="38"/>
      <c r="P133" s="38"/>
      <c r="Q133" s="38"/>
      <c r="R133" s="38"/>
      <c r="S133" s="40"/>
      <c r="T133" s="44" t="str">
        <f aca="false">IF($A133="","",IF($S133="","",IFERROR(INDEX(Lists!$N$5:$N$16,MATCH($S133,Lists!$M$5:$M$16,0)),"?")))</f>
        <v/>
      </c>
      <c r="U133" s="38"/>
      <c r="V133" s="40"/>
      <c r="W133" s="38"/>
      <c r="X133" s="40"/>
      <c r="Y133" s="38"/>
      <c r="Z133" s="38"/>
      <c r="AA133" s="40"/>
      <c r="AB133" s="43"/>
      <c r="AC133" s="45"/>
      <c r="AD133" s="46" t="str">
        <f aca="false">IF(ISNUMBER($AB133),$AB133*(1+N($AC133)),"")</f>
        <v/>
      </c>
      <c r="AE133" s="43"/>
      <c r="AF133" s="43"/>
      <c r="AG133" s="45"/>
      <c r="AH133" s="47" t="str">
        <f aca="false">IF(ISNUMBER($AD133),($AD133+$AE133+$AF133)*$AG133,"")</f>
        <v/>
      </c>
      <c r="AI133" s="43"/>
      <c r="AJ133" s="46" t="str">
        <f aca="false">IF(ISNUMBER($AD133),SUM($AD133:$AH133),"")</f>
        <v/>
      </c>
      <c r="AK133" s="48" t="str">
        <f aca="false">IF(AND(ISNUMBER($AB133),ISNUMBER($AD133)),IF($AB133&gt;0,$AD133/$AB133,""),"")</f>
        <v/>
      </c>
      <c r="AL133" s="40"/>
      <c r="AM133" s="49" t="str">
        <f aca="false">IF(ISNUMBER($AD133),Header!$I$3,"")</f>
        <v/>
      </c>
      <c r="AN133" s="47" t="str">
        <f aca="false">IF(ISNUMBER($AD133),$AO133+$AP133,"")</f>
        <v/>
      </c>
      <c r="AO133" s="47" t="str">
        <f aca="false">IF(ISNUMBER($AD133),ROUND($AD133*Header!$K$3,2),"")</f>
        <v/>
      </c>
      <c r="AP133" s="47" t="str">
        <f aca="false">IF(ISNUMBER($AD133),ROUND($AD133*Header!$M$3,2),"")</f>
        <v/>
      </c>
      <c r="AQ133" s="46" t="str">
        <f aca="false">IF(ISNUMBER($AD133),ROUND($AD133,2)-$AO133-$AP133,"")</f>
        <v/>
      </c>
      <c r="AR133" s="47" t="str">
        <f aca="false">IF(ISNUMBER($AD133),IF(Header!$D$34="","?",$AD133*Header!$D$34),"")</f>
        <v/>
      </c>
      <c r="AS133" s="47" t="str">
        <f aca="false">IF(ISNUMBER($AB133),IF(Header!$D$34="","?",$AB133*Header!$D$34),"")</f>
        <v/>
      </c>
      <c r="AT133" s="50" t="str">
        <f aca="false">IF(AND(ISNUMBER($AB133),$M133&gt;0),$AB133/$M133*100,"")</f>
        <v/>
      </c>
      <c r="AU133" s="50" t="str">
        <f aca="false">IF(AND(ISNUMBER($AD133),$M133&gt;0),$AD133/$M133*100,"")</f>
        <v/>
      </c>
      <c r="AV133" s="48" t="str">
        <f aca="false">IF(AND(ISNUMBER($AB133),ISNUMBER($AD133),ABS($AB133)&gt;0),$AD133/$AB133,"")</f>
        <v/>
      </c>
      <c r="AW133" s="47" t="str">
        <f aca="false">IF(ISNUMBER($AD133),MAX(0,(1-0.55-Header!$O$3)*Header!$Q$3*$AQ133),"")</f>
        <v/>
      </c>
      <c r="AX133" s="51" t="str">
        <f aca="false">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v/>
      </c>
      <c r="AY133" s="52" t="str">
        <f aca="false">IF($M133="","",IF(ISNUMBER($M133),IF($M133&gt;=Header!$C$18,"YES — refer","No"),""))</f>
        <v/>
      </c>
      <c r="AZ133" s="52" t="str">
        <f aca="false">IF($AD133="","",IF(ISNUMBER($AD133),IF($AD133&lt;Header!$C$20,"BELOW MIN PREMIUM","OK"),""))</f>
        <v/>
      </c>
      <c r="BA133" s="40"/>
      <c r="BB133" s="40"/>
      <c r="BC133" s="38"/>
      <c r="BE133" s="53" t="str">
        <f aca="false">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v/>
      </c>
      <c r="BF133" s="53" t="str">
        <f aca="false">IF($AD133="","",IF(ROUND($AO133+$AP133+$AQ133-$AD133,2)=0,"OK","FAIL - out by "&amp;TEXT($AO133+$AP133+$AQ133-$AD133,"$0.00")))</f>
        <v/>
      </c>
    </row>
    <row r="134" customFormat="false" ht="15" hidden="false" customHeight="true" outlineLevel="0" collapsed="false">
      <c r="A134" s="54"/>
      <c r="B134" s="54"/>
      <c r="C134" s="55"/>
      <c r="D134" s="56"/>
      <c r="E134" s="56"/>
      <c r="F134" s="54"/>
      <c r="G134" s="41" t="str">
        <f aca="false">IF($A134="","",IF($C134="","",YEAR($C134)))</f>
        <v/>
      </c>
      <c r="H134" s="57"/>
      <c r="I134" s="54"/>
      <c r="J134" s="54"/>
      <c r="K134" s="54"/>
      <c r="L134" s="56"/>
      <c r="M134" s="58"/>
      <c r="N134" s="56"/>
      <c r="O134" s="54"/>
      <c r="P134" s="54"/>
      <c r="Q134" s="54"/>
      <c r="R134" s="54"/>
      <c r="S134" s="56"/>
      <c r="T134" s="44" t="str">
        <f aca="false">IF($A134="","",IF($S134="","",IFERROR(INDEX(Lists!$N$5:$N$16,MATCH($S134,Lists!$M$5:$M$16,0)),"?")))</f>
        <v/>
      </c>
      <c r="U134" s="54"/>
      <c r="V134" s="56"/>
      <c r="W134" s="54"/>
      <c r="X134" s="56"/>
      <c r="Y134" s="54"/>
      <c r="Z134" s="54"/>
      <c r="AA134" s="56"/>
      <c r="AB134" s="58"/>
      <c r="AC134" s="59"/>
      <c r="AD134" s="46" t="str">
        <f aca="false">IF(ISNUMBER($AB134),$AB134*(1+N($AC134)),"")</f>
        <v/>
      </c>
      <c r="AE134" s="58"/>
      <c r="AF134" s="58"/>
      <c r="AG134" s="59"/>
      <c r="AH134" s="47" t="str">
        <f aca="false">IF(ISNUMBER($AD134),($AD134+$AE134+$AF134)*$AG134,"")</f>
        <v/>
      </c>
      <c r="AI134" s="58"/>
      <c r="AJ134" s="46" t="str">
        <f aca="false">IF(ISNUMBER($AD134),SUM($AD134:$AH134),"")</f>
        <v/>
      </c>
      <c r="AK134" s="48" t="str">
        <f aca="false">IF(AND(ISNUMBER($AB134),ISNUMBER($AD134)),IF($AB134&gt;0,$AD134/$AB134,""),"")</f>
        <v/>
      </c>
      <c r="AL134" s="56"/>
      <c r="AM134" s="49" t="str">
        <f aca="false">IF(ISNUMBER($AD134),Header!$I$3,"")</f>
        <v/>
      </c>
      <c r="AN134" s="47" t="str">
        <f aca="false">IF(ISNUMBER($AD134),$AO134+$AP134,"")</f>
        <v/>
      </c>
      <c r="AO134" s="47" t="str">
        <f aca="false">IF(ISNUMBER($AD134),ROUND($AD134*Header!$K$3,2),"")</f>
        <v/>
      </c>
      <c r="AP134" s="47" t="str">
        <f aca="false">IF(ISNUMBER($AD134),ROUND($AD134*Header!$M$3,2),"")</f>
        <v/>
      </c>
      <c r="AQ134" s="46" t="str">
        <f aca="false">IF(ISNUMBER($AD134),ROUND($AD134,2)-$AO134-$AP134,"")</f>
        <v/>
      </c>
      <c r="AR134" s="47" t="str">
        <f aca="false">IF(ISNUMBER($AD134),IF(Header!$D$34="","?",$AD134*Header!$D$34),"")</f>
        <v/>
      </c>
      <c r="AS134" s="47" t="str">
        <f aca="false">IF(ISNUMBER($AB134),IF(Header!$D$34="","?",$AB134*Header!$D$34),"")</f>
        <v/>
      </c>
      <c r="AT134" s="50" t="str">
        <f aca="false">IF(AND(ISNUMBER($AB134),$M134&gt;0),$AB134/$M134*100,"")</f>
        <v/>
      </c>
      <c r="AU134" s="50" t="str">
        <f aca="false">IF(AND(ISNUMBER($AD134),$M134&gt;0),$AD134/$M134*100,"")</f>
        <v/>
      </c>
      <c r="AV134" s="48" t="str">
        <f aca="false">IF(AND(ISNUMBER($AB134),ISNUMBER($AD134),ABS($AB134)&gt;0),$AD134/$AB134,"")</f>
        <v/>
      </c>
      <c r="AW134" s="47" t="str">
        <f aca="false">IF(ISNUMBER($AD134),MAX(0,(1-0.55-Header!$O$3)*Header!$Q$3*$AQ134),"")</f>
        <v/>
      </c>
      <c r="AX134" s="51" t="str">
        <f aca="false">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v/>
      </c>
      <c r="AY134" s="52" t="str">
        <f aca="false">IF($M134="","",IF(ISNUMBER($M134),IF($M134&gt;=Header!$C$18,"YES — refer","No"),""))</f>
        <v/>
      </c>
      <c r="AZ134" s="52" t="str">
        <f aca="false">IF($AD134="","",IF(ISNUMBER($AD134),IF($AD134&lt;Header!$C$20,"BELOW MIN PREMIUM","OK"),""))</f>
        <v/>
      </c>
      <c r="BA134" s="56"/>
      <c r="BB134" s="56"/>
      <c r="BC134" s="54"/>
      <c r="BE134" s="53" t="str">
        <f aca="false">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v/>
      </c>
      <c r="BF134" s="53" t="str">
        <f aca="false">IF($AD134="","",IF(ROUND($AO134+$AP134+$AQ134-$AD134,2)=0,"OK","FAIL - out by "&amp;TEXT($AO134+$AP134+$AQ134-$AD134,"$0.00")))</f>
        <v/>
      </c>
    </row>
    <row r="135" customFormat="false" ht="15" hidden="false" customHeight="true" outlineLevel="0" collapsed="false">
      <c r="A135" s="38"/>
      <c r="B135" s="38"/>
      <c r="C135" s="39"/>
      <c r="D135" s="40"/>
      <c r="E135" s="40"/>
      <c r="F135" s="38"/>
      <c r="G135" s="41" t="str">
        <f aca="false">IF($A135="","",IF($C135="","",YEAR($C135)))</f>
        <v/>
      </c>
      <c r="H135" s="42"/>
      <c r="I135" s="38"/>
      <c r="J135" s="38"/>
      <c r="K135" s="38"/>
      <c r="L135" s="40"/>
      <c r="M135" s="43"/>
      <c r="N135" s="40"/>
      <c r="O135" s="38"/>
      <c r="P135" s="38"/>
      <c r="Q135" s="38"/>
      <c r="R135" s="38"/>
      <c r="S135" s="40"/>
      <c r="T135" s="44" t="str">
        <f aca="false">IF($A135="","",IF($S135="","",IFERROR(INDEX(Lists!$N$5:$N$16,MATCH($S135,Lists!$M$5:$M$16,0)),"?")))</f>
        <v/>
      </c>
      <c r="U135" s="38"/>
      <c r="V135" s="40"/>
      <c r="W135" s="38"/>
      <c r="X135" s="40"/>
      <c r="Y135" s="38"/>
      <c r="Z135" s="38"/>
      <c r="AA135" s="40"/>
      <c r="AB135" s="43"/>
      <c r="AC135" s="45"/>
      <c r="AD135" s="46" t="str">
        <f aca="false">IF(ISNUMBER($AB135),$AB135*(1+N($AC135)),"")</f>
        <v/>
      </c>
      <c r="AE135" s="43"/>
      <c r="AF135" s="43"/>
      <c r="AG135" s="45"/>
      <c r="AH135" s="47" t="str">
        <f aca="false">IF(ISNUMBER($AD135),($AD135+$AE135+$AF135)*$AG135,"")</f>
        <v/>
      </c>
      <c r="AI135" s="43"/>
      <c r="AJ135" s="46" t="str">
        <f aca="false">IF(ISNUMBER($AD135),SUM($AD135:$AH135),"")</f>
        <v/>
      </c>
      <c r="AK135" s="48" t="str">
        <f aca="false">IF(AND(ISNUMBER($AB135),ISNUMBER($AD135)),IF($AB135&gt;0,$AD135/$AB135,""),"")</f>
        <v/>
      </c>
      <c r="AL135" s="40"/>
      <c r="AM135" s="49" t="str">
        <f aca="false">IF(ISNUMBER($AD135),Header!$I$3,"")</f>
        <v/>
      </c>
      <c r="AN135" s="47" t="str">
        <f aca="false">IF(ISNUMBER($AD135),$AO135+$AP135,"")</f>
        <v/>
      </c>
      <c r="AO135" s="47" t="str">
        <f aca="false">IF(ISNUMBER($AD135),ROUND($AD135*Header!$K$3,2),"")</f>
        <v/>
      </c>
      <c r="AP135" s="47" t="str">
        <f aca="false">IF(ISNUMBER($AD135),ROUND($AD135*Header!$M$3,2),"")</f>
        <v/>
      </c>
      <c r="AQ135" s="46" t="str">
        <f aca="false">IF(ISNUMBER($AD135),ROUND($AD135,2)-$AO135-$AP135,"")</f>
        <v/>
      </c>
      <c r="AR135" s="47" t="str">
        <f aca="false">IF(ISNUMBER($AD135),IF(Header!$D$34="","?",$AD135*Header!$D$34),"")</f>
        <v/>
      </c>
      <c r="AS135" s="47" t="str">
        <f aca="false">IF(ISNUMBER($AB135),IF(Header!$D$34="","?",$AB135*Header!$D$34),"")</f>
        <v/>
      </c>
      <c r="AT135" s="50" t="str">
        <f aca="false">IF(AND(ISNUMBER($AB135),$M135&gt;0),$AB135/$M135*100,"")</f>
        <v/>
      </c>
      <c r="AU135" s="50" t="str">
        <f aca="false">IF(AND(ISNUMBER($AD135),$M135&gt;0),$AD135/$M135*100,"")</f>
        <v/>
      </c>
      <c r="AV135" s="48" t="str">
        <f aca="false">IF(AND(ISNUMBER($AB135),ISNUMBER($AD135),ABS($AB135)&gt;0),$AD135/$AB135,"")</f>
        <v/>
      </c>
      <c r="AW135" s="47" t="str">
        <f aca="false">IF(ISNUMBER($AD135),MAX(0,(1-0.55-Header!$O$3)*Header!$Q$3*$AQ135),"")</f>
        <v/>
      </c>
      <c r="AX135" s="51" t="str">
        <f aca="false">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v/>
      </c>
      <c r="AY135" s="52" t="str">
        <f aca="false">IF($M135="","",IF(ISNUMBER($M135),IF($M135&gt;=Header!$C$18,"YES — refer","No"),""))</f>
        <v/>
      </c>
      <c r="AZ135" s="52" t="str">
        <f aca="false">IF($AD135="","",IF(ISNUMBER($AD135),IF($AD135&lt;Header!$C$20,"BELOW MIN PREMIUM","OK"),""))</f>
        <v/>
      </c>
      <c r="BA135" s="40"/>
      <c r="BB135" s="40"/>
      <c r="BC135" s="38"/>
      <c r="BE135" s="53" t="str">
        <f aca="false">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v/>
      </c>
      <c r="BF135" s="53" t="str">
        <f aca="false">IF($AD135="","",IF(ROUND($AO135+$AP135+$AQ135-$AD135,2)=0,"OK","FAIL - out by "&amp;TEXT($AO135+$AP135+$AQ135-$AD135,"$0.00")))</f>
        <v/>
      </c>
    </row>
    <row r="136" customFormat="false" ht="15" hidden="false" customHeight="true" outlineLevel="0" collapsed="false">
      <c r="A136" s="54"/>
      <c r="B136" s="54"/>
      <c r="C136" s="55"/>
      <c r="D136" s="56"/>
      <c r="E136" s="56"/>
      <c r="F136" s="54"/>
      <c r="G136" s="41" t="str">
        <f aca="false">IF($A136="","",IF($C136="","",YEAR($C136)))</f>
        <v/>
      </c>
      <c r="H136" s="57"/>
      <c r="I136" s="54"/>
      <c r="J136" s="54"/>
      <c r="K136" s="54"/>
      <c r="L136" s="56"/>
      <c r="M136" s="58"/>
      <c r="N136" s="56"/>
      <c r="O136" s="54"/>
      <c r="P136" s="54"/>
      <c r="Q136" s="54"/>
      <c r="R136" s="54"/>
      <c r="S136" s="56"/>
      <c r="T136" s="44" t="str">
        <f aca="false">IF($A136="","",IF($S136="","",IFERROR(INDEX(Lists!$N$5:$N$16,MATCH($S136,Lists!$M$5:$M$16,0)),"?")))</f>
        <v/>
      </c>
      <c r="U136" s="54"/>
      <c r="V136" s="56"/>
      <c r="W136" s="54"/>
      <c r="X136" s="56"/>
      <c r="Y136" s="54"/>
      <c r="Z136" s="54"/>
      <c r="AA136" s="56"/>
      <c r="AB136" s="58"/>
      <c r="AC136" s="59"/>
      <c r="AD136" s="46" t="str">
        <f aca="false">IF(ISNUMBER($AB136),$AB136*(1+N($AC136)),"")</f>
        <v/>
      </c>
      <c r="AE136" s="58"/>
      <c r="AF136" s="58"/>
      <c r="AG136" s="59"/>
      <c r="AH136" s="47" t="str">
        <f aca="false">IF(ISNUMBER($AD136),($AD136+$AE136+$AF136)*$AG136,"")</f>
        <v/>
      </c>
      <c r="AI136" s="58"/>
      <c r="AJ136" s="46" t="str">
        <f aca="false">IF(ISNUMBER($AD136),SUM($AD136:$AH136),"")</f>
        <v/>
      </c>
      <c r="AK136" s="48" t="str">
        <f aca="false">IF(AND(ISNUMBER($AB136),ISNUMBER($AD136)),IF($AB136&gt;0,$AD136/$AB136,""),"")</f>
        <v/>
      </c>
      <c r="AL136" s="56"/>
      <c r="AM136" s="49" t="str">
        <f aca="false">IF(ISNUMBER($AD136),Header!$I$3,"")</f>
        <v/>
      </c>
      <c r="AN136" s="47" t="str">
        <f aca="false">IF(ISNUMBER($AD136),$AO136+$AP136,"")</f>
        <v/>
      </c>
      <c r="AO136" s="47" t="str">
        <f aca="false">IF(ISNUMBER($AD136),ROUND($AD136*Header!$K$3,2),"")</f>
        <v/>
      </c>
      <c r="AP136" s="47" t="str">
        <f aca="false">IF(ISNUMBER($AD136),ROUND($AD136*Header!$M$3,2),"")</f>
        <v/>
      </c>
      <c r="AQ136" s="46" t="str">
        <f aca="false">IF(ISNUMBER($AD136),ROUND($AD136,2)-$AO136-$AP136,"")</f>
        <v/>
      </c>
      <c r="AR136" s="47" t="str">
        <f aca="false">IF(ISNUMBER($AD136),IF(Header!$D$34="","?",$AD136*Header!$D$34),"")</f>
        <v/>
      </c>
      <c r="AS136" s="47" t="str">
        <f aca="false">IF(ISNUMBER($AB136),IF(Header!$D$34="","?",$AB136*Header!$D$34),"")</f>
        <v/>
      </c>
      <c r="AT136" s="50" t="str">
        <f aca="false">IF(AND(ISNUMBER($AB136),$M136&gt;0),$AB136/$M136*100,"")</f>
        <v/>
      </c>
      <c r="AU136" s="50" t="str">
        <f aca="false">IF(AND(ISNUMBER($AD136),$M136&gt;0),$AD136/$M136*100,"")</f>
        <v/>
      </c>
      <c r="AV136" s="48" t="str">
        <f aca="false">IF(AND(ISNUMBER($AB136),ISNUMBER($AD136),ABS($AB136)&gt;0),$AD136/$AB136,"")</f>
        <v/>
      </c>
      <c r="AW136" s="47" t="str">
        <f aca="false">IF(ISNUMBER($AD136),MAX(0,(1-0.55-Header!$O$3)*Header!$Q$3*$AQ136),"")</f>
        <v/>
      </c>
      <c r="AX136" s="51" t="str">
        <f aca="false">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v/>
      </c>
      <c r="AY136" s="52" t="str">
        <f aca="false">IF($M136="","",IF(ISNUMBER($M136),IF($M136&gt;=Header!$C$18,"YES — refer","No"),""))</f>
        <v/>
      </c>
      <c r="AZ136" s="52" t="str">
        <f aca="false">IF($AD136="","",IF(ISNUMBER($AD136),IF($AD136&lt;Header!$C$20,"BELOW MIN PREMIUM","OK"),""))</f>
        <v/>
      </c>
      <c r="BA136" s="56"/>
      <c r="BB136" s="56"/>
      <c r="BC136" s="54"/>
      <c r="BE136" s="53" t="str">
        <f aca="false">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v/>
      </c>
      <c r="BF136" s="53" t="str">
        <f aca="false">IF($AD136="","",IF(ROUND($AO136+$AP136+$AQ136-$AD136,2)=0,"OK","FAIL - out by "&amp;TEXT($AO136+$AP136+$AQ136-$AD136,"$0.00")))</f>
        <v/>
      </c>
    </row>
    <row r="137" customFormat="false" ht="15" hidden="false" customHeight="true" outlineLevel="0" collapsed="false">
      <c r="A137" s="38"/>
      <c r="B137" s="38"/>
      <c r="C137" s="39"/>
      <c r="D137" s="40"/>
      <c r="E137" s="40"/>
      <c r="F137" s="38"/>
      <c r="G137" s="41" t="str">
        <f aca="false">IF($A137="","",IF($C137="","",YEAR($C137)))</f>
        <v/>
      </c>
      <c r="H137" s="42"/>
      <c r="I137" s="38"/>
      <c r="J137" s="38"/>
      <c r="K137" s="38"/>
      <c r="L137" s="40"/>
      <c r="M137" s="43"/>
      <c r="N137" s="40"/>
      <c r="O137" s="38"/>
      <c r="P137" s="38"/>
      <c r="Q137" s="38"/>
      <c r="R137" s="38"/>
      <c r="S137" s="40"/>
      <c r="T137" s="44" t="str">
        <f aca="false">IF($A137="","",IF($S137="","",IFERROR(INDEX(Lists!$N$5:$N$16,MATCH($S137,Lists!$M$5:$M$16,0)),"?")))</f>
        <v/>
      </c>
      <c r="U137" s="38"/>
      <c r="V137" s="40"/>
      <c r="W137" s="38"/>
      <c r="X137" s="40"/>
      <c r="Y137" s="38"/>
      <c r="Z137" s="38"/>
      <c r="AA137" s="40"/>
      <c r="AB137" s="43"/>
      <c r="AC137" s="45"/>
      <c r="AD137" s="46" t="str">
        <f aca="false">IF(ISNUMBER($AB137),$AB137*(1+N($AC137)),"")</f>
        <v/>
      </c>
      <c r="AE137" s="43"/>
      <c r="AF137" s="43"/>
      <c r="AG137" s="45"/>
      <c r="AH137" s="47" t="str">
        <f aca="false">IF(ISNUMBER($AD137),($AD137+$AE137+$AF137)*$AG137,"")</f>
        <v/>
      </c>
      <c r="AI137" s="43"/>
      <c r="AJ137" s="46" t="str">
        <f aca="false">IF(ISNUMBER($AD137),SUM($AD137:$AH137),"")</f>
        <v/>
      </c>
      <c r="AK137" s="48" t="str">
        <f aca="false">IF(AND(ISNUMBER($AB137),ISNUMBER($AD137)),IF($AB137&gt;0,$AD137/$AB137,""),"")</f>
        <v/>
      </c>
      <c r="AL137" s="40"/>
      <c r="AM137" s="49" t="str">
        <f aca="false">IF(ISNUMBER($AD137),Header!$I$3,"")</f>
        <v/>
      </c>
      <c r="AN137" s="47" t="str">
        <f aca="false">IF(ISNUMBER($AD137),$AO137+$AP137,"")</f>
        <v/>
      </c>
      <c r="AO137" s="47" t="str">
        <f aca="false">IF(ISNUMBER($AD137),ROUND($AD137*Header!$K$3,2),"")</f>
        <v/>
      </c>
      <c r="AP137" s="47" t="str">
        <f aca="false">IF(ISNUMBER($AD137),ROUND($AD137*Header!$M$3,2),"")</f>
        <v/>
      </c>
      <c r="AQ137" s="46" t="str">
        <f aca="false">IF(ISNUMBER($AD137),ROUND($AD137,2)-$AO137-$AP137,"")</f>
        <v/>
      </c>
      <c r="AR137" s="47" t="str">
        <f aca="false">IF(ISNUMBER($AD137),IF(Header!$D$34="","?",$AD137*Header!$D$34),"")</f>
        <v/>
      </c>
      <c r="AS137" s="47" t="str">
        <f aca="false">IF(ISNUMBER($AB137),IF(Header!$D$34="","?",$AB137*Header!$D$34),"")</f>
        <v/>
      </c>
      <c r="AT137" s="50" t="str">
        <f aca="false">IF(AND(ISNUMBER($AB137),$M137&gt;0),$AB137/$M137*100,"")</f>
        <v/>
      </c>
      <c r="AU137" s="50" t="str">
        <f aca="false">IF(AND(ISNUMBER($AD137),$M137&gt;0),$AD137/$M137*100,"")</f>
        <v/>
      </c>
      <c r="AV137" s="48" t="str">
        <f aca="false">IF(AND(ISNUMBER($AB137),ISNUMBER($AD137),ABS($AB137)&gt;0),$AD137/$AB137,"")</f>
        <v/>
      </c>
      <c r="AW137" s="47" t="str">
        <f aca="false">IF(ISNUMBER($AD137),MAX(0,(1-0.55-Header!$O$3)*Header!$Q$3*$AQ137),"")</f>
        <v/>
      </c>
      <c r="AX137" s="51" t="str">
        <f aca="false">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v/>
      </c>
      <c r="AY137" s="52" t="str">
        <f aca="false">IF($M137="","",IF(ISNUMBER($M137),IF($M137&gt;=Header!$C$18,"YES — refer","No"),""))</f>
        <v/>
      </c>
      <c r="AZ137" s="52" t="str">
        <f aca="false">IF($AD137="","",IF(ISNUMBER($AD137),IF($AD137&lt;Header!$C$20,"BELOW MIN PREMIUM","OK"),""))</f>
        <v/>
      </c>
      <c r="BA137" s="40"/>
      <c r="BB137" s="40"/>
      <c r="BC137" s="38"/>
      <c r="BE137" s="53" t="str">
        <f aca="false">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v/>
      </c>
      <c r="BF137" s="53" t="str">
        <f aca="false">IF($AD137="","",IF(ROUND($AO137+$AP137+$AQ137-$AD137,2)=0,"OK","FAIL - out by "&amp;TEXT($AO137+$AP137+$AQ137-$AD137,"$0.00")))</f>
        <v/>
      </c>
    </row>
    <row r="138" customFormat="false" ht="15" hidden="false" customHeight="true" outlineLevel="0" collapsed="false">
      <c r="A138" s="54"/>
      <c r="B138" s="54"/>
      <c r="C138" s="55"/>
      <c r="D138" s="56"/>
      <c r="E138" s="56"/>
      <c r="F138" s="54"/>
      <c r="G138" s="41" t="str">
        <f aca="false">IF($A138="","",IF($C138="","",YEAR($C138)))</f>
        <v/>
      </c>
      <c r="H138" s="57"/>
      <c r="I138" s="54"/>
      <c r="J138" s="54"/>
      <c r="K138" s="54"/>
      <c r="L138" s="56"/>
      <c r="M138" s="58"/>
      <c r="N138" s="56"/>
      <c r="O138" s="54"/>
      <c r="P138" s="54"/>
      <c r="Q138" s="54"/>
      <c r="R138" s="54"/>
      <c r="S138" s="56"/>
      <c r="T138" s="44" t="str">
        <f aca="false">IF($A138="","",IF($S138="","",IFERROR(INDEX(Lists!$N$5:$N$16,MATCH($S138,Lists!$M$5:$M$16,0)),"?")))</f>
        <v/>
      </c>
      <c r="U138" s="54"/>
      <c r="V138" s="56"/>
      <c r="W138" s="54"/>
      <c r="X138" s="56"/>
      <c r="Y138" s="54"/>
      <c r="Z138" s="54"/>
      <c r="AA138" s="56"/>
      <c r="AB138" s="58"/>
      <c r="AC138" s="59"/>
      <c r="AD138" s="46" t="str">
        <f aca="false">IF(ISNUMBER($AB138),$AB138*(1+N($AC138)),"")</f>
        <v/>
      </c>
      <c r="AE138" s="58"/>
      <c r="AF138" s="58"/>
      <c r="AG138" s="59"/>
      <c r="AH138" s="47" t="str">
        <f aca="false">IF(ISNUMBER($AD138),($AD138+$AE138+$AF138)*$AG138,"")</f>
        <v/>
      </c>
      <c r="AI138" s="58"/>
      <c r="AJ138" s="46" t="str">
        <f aca="false">IF(ISNUMBER($AD138),SUM($AD138:$AH138),"")</f>
        <v/>
      </c>
      <c r="AK138" s="48" t="str">
        <f aca="false">IF(AND(ISNUMBER($AB138),ISNUMBER($AD138)),IF($AB138&gt;0,$AD138/$AB138,""),"")</f>
        <v/>
      </c>
      <c r="AL138" s="56"/>
      <c r="AM138" s="49" t="str">
        <f aca="false">IF(ISNUMBER($AD138),Header!$I$3,"")</f>
        <v/>
      </c>
      <c r="AN138" s="47" t="str">
        <f aca="false">IF(ISNUMBER($AD138),$AO138+$AP138,"")</f>
        <v/>
      </c>
      <c r="AO138" s="47" t="str">
        <f aca="false">IF(ISNUMBER($AD138),ROUND($AD138*Header!$K$3,2),"")</f>
        <v/>
      </c>
      <c r="AP138" s="47" t="str">
        <f aca="false">IF(ISNUMBER($AD138),ROUND($AD138*Header!$M$3,2),"")</f>
        <v/>
      </c>
      <c r="AQ138" s="46" t="str">
        <f aca="false">IF(ISNUMBER($AD138),ROUND($AD138,2)-$AO138-$AP138,"")</f>
        <v/>
      </c>
      <c r="AR138" s="47" t="str">
        <f aca="false">IF(ISNUMBER($AD138),IF(Header!$D$34="","?",$AD138*Header!$D$34),"")</f>
        <v/>
      </c>
      <c r="AS138" s="47" t="str">
        <f aca="false">IF(ISNUMBER($AB138),IF(Header!$D$34="","?",$AB138*Header!$D$34),"")</f>
        <v/>
      </c>
      <c r="AT138" s="50" t="str">
        <f aca="false">IF(AND(ISNUMBER($AB138),$M138&gt;0),$AB138/$M138*100,"")</f>
        <v/>
      </c>
      <c r="AU138" s="50" t="str">
        <f aca="false">IF(AND(ISNUMBER($AD138),$M138&gt;0),$AD138/$M138*100,"")</f>
        <v/>
      </c>
      <c r="AV138" s="48" t="str">
        <f aca="false">IF(AND(ISNUMBER($AB138),ISNUMBER($AD138),ABS($AB138)&gt;0),$AD138/$AB138,"")</f>
        <v/>
      </c>
      <c r="AW138" s="47" t="str">
        <f aca="false">IF(ISNUMBER($AD138),MAX(0,(1-0.55-Header!$O$3)*Header!$Q$3*$AQ138),"")</f>
        <v/>
      </c>
      <c r="AX138" s="51" t="str">
        <f aca="false">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v/>
      </c>
      <c r="AY138" s="52" t="str">
        <f aca="false">IF($M138="","",IF(ISNUMBER($M138),IF($M138&gt;=Header!$C$18,"YES — refer","No"),""))</f>
        <v/>
      </c>
      <c r="AZ138" s="52" t="str">
        <f aca="false">IF($AD138="","",IF(ISNUMBER($AD138),IF($AD138&lt;Header!$C$20,"BELOW MIN PREMIUM","OK"),""))</f>
        <v/>
      </c>
      <c r="BA138" s="56"/>
      <c r="BB138" s="56"/>
      <c r="BC138" s="54"/>
      <c r="BE138" s="53" t="str">
        <f aca="false">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v/>
      </c>
      <c r="BF138" s="53" t="str">
        <f aca="false">IF($AD138="","",IF(ROUND($AO138+$AP138+$AQ138-$AD138,2)=0,"OK","FAIL - out by "&amp;TEXT($AO138+$AP138+$AQ138-$AD138,"$0.00")))</f>
        <v/>
      </c>
    </row>
    <row r="139" customFormat="false" ht="15" hidden="false" customHeight="true" outlineLevel="0" collapsed="false">
      <c r="A139" s="38"/>
      <c r="B139" s="38"/>
      <c r="C139" s="39"/>
      <c r="D139" s="40"/>
      <c r="E139" s="40"/>
      <c r="F139" s="38"/>
      <c r="G139" s="41" t="str">
        <f aca="false">IF($A139="","",IF($C139="","",YEAR($C139)))</f>
        <v/>
      </c>
      <c r="H139" s="42"/>
      <c r="I139" s="38"/>
      <c r="J139" s="38"/>
      <c r="K139" s="38"/>
      <c r="L139" s="40"/>
      <c r="M139" s="43"/>
      <c r="N139" s="40"/>
      <c r="O139" s="38"/>
      <c r="P139" s="38"/>
      <c r="Q139" s="38"/>
      <c r="R139" s="38"/>
      <c r="S139" s="40"/>
      <c r="T139" s="44" t="str">
        <f aca="false">IF($A139="","",IF($S139="","",IFERROR(INDEX(Lists!$N$5:$N$16,MATCH($S139,Lists!$M$5:$M$16,0)),"?")))</f>
        <v/>
      </c>
      <c r="U139" s="38"/>
      <c r="V139" s="40"/>
      <c r="W139" s="38"/>
      <c r="X139" s="40"/>
      <c r="Y139" s="38"/>
      <c r="Z139" s="38"/>
      <c r="AA139" s="40"/>
      <c r="AB139" s="43"/>
      <c r="AC139" s="45"/>
      <c r="AD139" s="46" t="str">
        <f aca="false">IF(ISNUMBER($AB139),$AB139*(1+N($AC139)),"")</f>
        <v/>
      </c>
      <c r="AE139" s="43"/>
      <c r="AF139" s="43"/>
      <c r="AG139" s="45"/>
      <c r="AH139" s="47" t="str">
        <f aca="false">IF(ISNUMBER($AD139),($AD139+$AE139+$AF139)*$AG139,"")</f>
        <v/>
      </c>
      <c r="AI139" s="43"/>
      <c r="AJ139" s="46" t="str">
        <f aca="false">IF(ISNUMBER($AD139),SUM($AD139:$AH139),"")</f>
        <v/>
      </c>
      <c r="AK139" s="48" t="str">
        <f aca="false">IF(AND(ISNUMBER($AB139),ISNUMBER($AD139)),IF($AB139&gt;0,$AD139/$AB139,""),"")</f>
        <v/>
      </c>
      <c r="AL139" s="40"/>
      <c r="AM139" s="49" t="str">
        <f aca="false">IF(ISNUMBER($AD139),Header!$I$3,"")</f>
        <v/>
      </c>
      <c r="AN139" s="47" t="str">
        <f aca="false">IF(ISNUMBER($AD139),$AO139+$AP139,"")</f>
        <v/>
      </c>
      <c r="AO139" s="47" t="str">
        <f aca="false">IF(ISNUMBER($AD139),ROUND($AD139*Header!$K$3,2),"")</f>
        <v/>
      </c>
      <c r="AP139" s="47" t="str">
        <f aca="false">IF(ISNUMBER($AD139),ROUND($AD139*Header!$M$3,2),"")</f>
        <v/>
      </c>
      <c r="AQ139" s="46" t="str">
        <f aca="false">IF(ISNUMBER($AD139),ROUND($AD139,2)-$AO139-$AP139,"")</f>
        <v/>
      </c>
      <c r="AR139" s="47" t="str">
        <f aca="false">IF(ISNUMBER($AD139),IF(Header!$D$34="","?",$AD139*Header!$D$34),"")</f>
        <v/>
      </c>
      <c r="AS139" s="47" t="str">
        <f aca="false">IF(ISNUMBER($AB139),IF(Header!$D$34="","?",$AB139*Header!$D$34),"")</f>
        <v/>
      </c>
      <c r="AT139" s="50" t="str">
        <f aca="false">IF(AND(ISNUMBER($AB139),$M139&gt;0),$AB139/$M139*100,"")</f>
        <v/>
      </c>
      <c r="AU139" s="50" t="str">
        <f aca="false">IF(AND(ISNUMBER($AD139),$M139&gt;0),$AD139/$M139*100,"")</f>
        <v/>
      </c>
      <c r="AV139" s="48" t="str">
        <f aca="false">IF(AND(ISNUMBER($AB139),ISNUMBER($AD139),ABS($AB139)&gt;0),$AD139/$AB139,"")</f>
        <v/>
      </c>
      <c r="AW139" s="47" t="str">
        <f aca="false">IF(ISNUMBER($AD139),MAX(0,(1-0.55-Header!$O$3)*Header!$Q$3*$AQ139),"")</f>
        <v/>
      </c>
      <c r="AX139" s="51" t="str">
        <f aca="false">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v/>
      </c>
      <c r="AY139" s="52" t="str">
        <f aca="false">IF($M139="","",IF(ISNUMBER($M139),IF($M139&gt;=Header!$C$18,"YES — refer","No"),""))</f>
        <v/>
      </c>
      <c r="AZ139" s="52" t="str">
        <f aca="false">IF($AD139="","",IF(ISNUMBER($AD139),IF($AD139&lt;Header!$C$20,"BELOW MIN PREMIUM","OK"),""))</f>
        <v/>
      </c>
      <c r="BA139" s="40"/>
      <c r="BB139" s="40"/>
      <c r="BC139" s="38"/>
      <c r="BE139" s="53" t="str">
        <f aca="false">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v/>
      </c>
      <c r="BF139" s="53" t="str">
        <f aca="false">IF($AD139="","",IF(ROUND($AO139+$AP139+$AQ139-$AD139,2)=0,"OK","FAIL - out by "&amp;TEXT($AO139+$AP139+$AQ139-$AD139,"$0.00")))</f>
        <v/>
      </c>
    </row>
    <row r="140" customFormat="false" ht="15" hidden="false" customHeight="true" outlineLevel="0" collapsed="false">
      <c r="A140" s="54"/>
      <c r="B140" s="54"/>
      <c r="C140" s="55"/>
      <c r="D140" s="56"/>
      <c r="E140" s="56"/>
      <c r="F140" s="54"/>
      <c r="G140" s="41" t="str">
        <f aca="false">IF($A140="","",IF($C140="","",YEAR($C140)))</f>
        <v/>
      </c>
      <c r="H140" s="57"/>
      <c r="I140" s="54"/>
      <c r="J140" s="54"/>
      <c r="K140" s="54"/>
      <c r="L140" s="56"/>
      <c r="M140" s="58"/>
      <c r="N140" s="56"/>
      <c r="O140" s="54"/>
      <c r="P140" s="54"/>
      <c r="Q140" s="54"/>
      <c r="R140" s="54"/>
      <c r="S140" s="56"/>
      <c r="T140" s="44" t="str">
        <f aca="false">IF($A140="","",IF($S140="","",IFERROR(INDEX(Lists!$N$5:$N$16,MATCH($S140,Lists!$M$5:$M$16,0)),"?")))</f>
        <v/>
      </c>
      <c r="U140" s="54"/>
      <c r="V140" s="56"/>
      <c r="W140" s="54"/>
      <c r="X140" s="56"/>
      <c r="Y140" s="54"/>
      <c r="Z140" s="54"/>
      <c r="AA140" s="56"/>
      <c r="AB140" s="58"/>
      <c r="AC140" s="59"/>
      <c r="AD140" s="46" t="str">
        <f aca="false">IF(ISNUMBER($AB140),$AB140*(1+N($AC140)),"")</f>
        <v/>
      </c>
      <c r="AE140" s="58"/>
      <c r="AF140" s="58"/>
      <c r="AG140" s="59"/>
      <c r="AH140" s="47" t="str">
        <f aca="false">IF(ISNUMBER($AD140),($AD140+$AE140+$AF140)*$AG140,"")</f>
        <v/>
      </c>
      <c r="AI140" s="58"/>
      <c r="AJ140" s="46" t="str">
        <f aca="false">IF(ISNUMBER($AD140),SUM($AD140:$AH140),"")</f>
        <v/>
      </c>
      <c r="AK140" s="48" t="str">
        <f aca="false">IF(AND(ISNUMBER($AB140),ISNUMBER($AD140)),IF($AB140&gt;0,$AD140/$AB140,""),"")</f>
        <v/>
      </c>
      <c r="AL140" s="56"/>
      <c r="AM140" s="49" t="str">
        <f aca="false">IF(ISNUMBER($AD140),Header!$I$3,"")</f>
        <v/>
      </c>
      <c r="AN140" s="47" t="str">
        <f aca="false">IF(ISNUMBER($AD140),$AO140+$AP140,"")</f>
        <v/>
      </c>
      <c r="AO140" s="47" t="str">
        <f aca="false">IF(ISNUMBER($AD140),ROUND($AD140*Header!$K$3,2),"")</f>
        <v/>
      </c>
      <c r="AP140" s="47" t="str">
        <f aca="false">IF(ISNUMBER($AD140),ROUND($AD140*Header!$M$3,2),"")</f>
        <v/>
      </c>
      <c r="AQ140" s="46" t="str">
        <f aca="false">IF(ISNUMBER($AD140),ROUND($AD140,2)-$AO140-$AP140,"")</f>
        <v/>
      </c>
      <c r="AR140" s="47" t="str">
        <f aca="false">IF(ISNUMBER($AD140),IF(Header!$D$34="","?",$AD140*Header!$D$34),"")</f>
        <v/>
      </c>
      <c r="AS140" s="47" t="str">
        <f aca="false">IF(ISNUMBER($AB140),IF(Header!$D$34="","?",$AB140*Header!$D$34),"")</f>
        <v/>
      </c>
      <c r="AT140" s="50" t="str">
        <f aca="false">IF(AND(ISNUMBER($AB140),$M140&gt;0),$AB140/$M140*100,"")</f>
        <v/>
      </c>
      <c r="AU140" s="50" t="str">
        <f aca="false">IF(AND(ISNUMBER($AD140),$M140&gt;0),$AD140/$M140*100,"")</f>
        <v/>
      </c>
      <c r="AV140" s="48" t="str">
        <f aca="false">IF(AND(ISNUMBER($AB140),ISNUMBER($AD140),ABS($AB140)&gt;0),$AD140/$AB140,"")</f>
        <v/>
      </c>
      <c r="AW140" s="47" t="str">
        <f aca="false">IF(ISNUMBER($AD140),MAX(0,(1-0.55-Header!$O$3)*Header!$Q$3*$AQ140),"")</f>
        <v/>
      </c>
      <c r="AX140" s="51" t="str">
        <f aca="false">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v/>
      </c>
      <c r="AY140" s="52" t="str">
        <f aca="false">IF($M140="","",IF(ISNUMBER($M140),IF($M140&gt;=Header!$C$18,"YES — refer","No"),""))</f>
        <v/>
      </c>
      <c r="AZ140" s="52" t="str">
        <f aca="false">IF($AD140="","",IF(ISNUMBER($AD140),IF($AD140&lt;Header!$C$20,"BELOW MIN PREMIUM","OK"),""))</f>
        <v/>
      </c>
      <c r="BA140" s="56"/>
      <c r="BB140" s="56"/>
      <c r="BC140" s="54"/>
      <c r="BE140" s="53" t="str">
        <f aca="false">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v/>
      </c>
      <c r="BF140" s="53" t="str">
        <f aca="false">IF($AD140="","",IF(ROUND($AO140+$AP140+$AQ140-$AD140,2)=0,"OK","FAIL - out by "&amp;TEXT($AO140+$AP140+$AQ140-$AD140,"$0.00")))</f>
        <v/>
      </c>
    </row>
    <row r="141" customFormat="false" ht="15" hidden="false" customHeight="true" outlineLevel="0" collapsed="false">
      <c r="A141" s="38"/>
      <c r="B141" s="38"/>
      <c r="C141" s="39"/>
      <c r="D141" s="40"/>
      <c r="E141" s="40"/>
      <c r="F141" s="38"/>
      <c r="G141" s="41" t="str">
        <f aca="false">IF($A141="","",IF($C141="","",YEAR($C141)))</f>
        <v/>
      </c>
      <c r="H141" s="42"/>
      <c r="I141" s="38"/>
      <c r="J141" s="38"/>
      <c r="K141" s="38"/>
      <c r="L141" s="40"/>
      <c r="M141" s="43"/>
      <c r="N141" s="40"/>
      <c r="O141" s="38"/>
      <c r="P141" s="38"/>
      <c r="Q141" s="38"/>
      <c r="R141" s="38"/>
      <c r="S141" s="40"/>
      <c r="T141" s="44" t="str">
        <f aca="false">IF($A141="","",IF($S141="","",IFERROR(INDEX(Lists!$N$5:$N$16,MATCH($S141,Lists!$M$5:$M$16,0)),"?")))</f>
        <v/>
      </c>
      <c r="U141" s="38"/>
      <c r="V141" s="40"/>
      <c r="W141" s="38"/>
      <c r="X141" s="40"/>
      <c r="Y141" s="38"/>
      <c r="Z141" s="38"/>
      <c r="AA141" s="40"/>
      <c r="AB141" s="43"/>
      <c r="AC141" s="45"/>
      <c r="AD141" s="46" t="str">
        <f aca="false">IF(ISNUMBER($AB141),$AB141*(1+N($AC141)),"")</f>
        <v/>
      </c>
      <c r="AE141" s="43"/>
      <c r="AF141" s="43"/>
      <c r="AG141" s="45"/>
      <c r="AH141" s="47" t="str">
        <f aca="false">IF(ISNUMBER($AD141),($AD141+$AE141+$AF141)*$AG141,"")</f>
        <v/>
      </c>
      <c r="AI141" s="43"/>
      <c r="AJ141" s="46" t="str">
        <f aca="false">IF(ISNUMBER($AD141),SUM($AD141:$AH141),"")</f>
        <v/>
      </c>
      <c r="AK141" s="48" t="str">
        <f aca="false">IF(AND(ISNUMBER($AB141),ISNUMBER($AD141)),IF($AB141&gt;0,$AD141/$AB141,""),"")</f>
        <v/>
      </c>
      <c r="AL141" s="40"/>
      <c r="AM141" s="49" t="str">
        <f aca="false">IF(ISNUMBER($AD141),Header!$I$3,"")</f>
        <v/>
      </c>
      <c r="AN141" s="47" t="str">
        <f aca="false">IF(ISNUMBER($AD141),$AO141+$AP141,"")</f>
        <v/>
      </c>
      <c r="AO141" s="47" t="str">
        <f aca="false">IF(ISNUMBER($AD141),ROUND($AD141*Header!$K$3,2),"")</f>
        <v/>
      </c>
      <c r="AP141" s="47" t="str">
        <f aca="false">IF(ISNUMBER($AD141),ROUND($AD141*Header!$M$3,2),"")</f>
        <v/>
      </c>
      <c r="AQ141" s="46" t="str">
        <f aca="false">IF(ISNUMBER($AD141),ROUND($AD141,2)-$AO141-$AP141,"")</f>
        <v/>
      </c>
      <c r="AR141" s="47" t="str">
        <f aca="false">IF(ISNUMBER($AD141),IF(Header!$D$34="","?",$AD141*Header!$D$34),"")</f>
        <v/>
      </c>
      <c r="AS141" s="47" t="str">
        <f aca="false">IF(ISNUMBER($AB141),IF(Header!$D$34="","?",$AB141*Header!$D$34),"")</f>
        <v/>
      </c>
      <c r="AT141" s="50" t="str">
        <f aca="false">IF(AND(ISNUMBER($AB141),$M141&gt;0),$AB141/$M141*100,"")</f>
        <v/>
      </c>
      <c r="AU141" s="50" t="str">
        <f aca="false">IF(AND(ISNUMBER($AD141),$M141&gt;0),$AD141/$M141*100,"")</f>
        <v/>
      </c>
      <c r="AV141" s="48" t="str">
        <f aca="false">IF(AND(ISNUMBER($AB141),ISNUMBER($AD141),ABS($AB141)&gt;0),$AD141/$AB141,"")</f>
        <v/>
      </c>
      <c r="AW141" s="47" t="str">
        <f aca="false">IF(ISNUMBER($AD141),MAX(0,(1-0.55-Header!$O$3)*Header!$Q$3*$AQ141),"")</f>
        <v/>
      </c>
      <c r="AX141" s="51" t="str">
        <f aca="false">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v/>
      </c>
      <c r="AY141" s="52" t="str">
        <f aca="false">IF($M141="","",IF(ISNUMBER($M141),IF($M141&gt;=Header!$C$18,"YES — refer","No"),""))</f>
        <v/>
      </c>
      <c r="AZ141" s="52" t="str">
        <f aca="false">IF($AD141="","",IF(ISNUMBER($AD141),IF($AD141&lt;Header!$C$20,"BELOW MIN PREMIUM","OK"),""))</f>
        <v/>
      </c>
      <c r="BA141" s="40"/>
      <c r="BB141" s="40"/>
      <c r="BC141" s="38"/>
      <c r="BE141" s="53" t="str">
        <f aca="false">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v/>
      </c>
      <c r="BF141" s="53" t="str">
        <f aca="false">IF($AD141="","",IF(ROUND($AO141+$AP141+$AQ141-$AD141,2)=0,"OK","FAIL - out by "&amp;TEXT($AO141+$AP141+$AQ141-$AD141,"$0.00")))</f>
        <v/>
      </c>
    </row>
    <row r="142" customFormat="false" ht="15" hidden="false" customHeight="true" outlineLevel="0" collapsed="false">
      <c r="A142" s="54"/>
      <c r="B142" s="54"/>
      <c r="C142" s="55"/>
      <c r="D142" s="56"/>
      <c r="E142" s="56"/>
      <c r="F142" s="54"/>
      <c r="G142" s="41" t="str">
        <f aca="false">IF($A142="","",IF($C142="","",YEAR($C142)))</f>
        <v/>
      </c>
      <c r="H142" s="57"/>
      <c r="I142" s="54"/>
      <c r="J142" s="54"/>
      <c r="K142" s="54"/>
      <c r="L142" s="56"/>
      <c r="M142" s="58"/>
      <c r="N142" s="56"/>
      <c r="O142" s="54"/>
      <c r="P142" s="54"/>
      <c r="Q142" s="54"/>
      <c r="R142" s="54"/>
      <c r="S142" s="56"/>
      <c r="T142" s="44" t="str">
        <f aca="false">IF($A142="","",IF($S142="","",IFERROR(INDEX(Lists!$N$5:$N$16,MATCH($S142,Lists!$M$5:$M$16,0)),"?")))</f>
        <v/>
      </c>
      <c r="U142" s="54"/>
      <c r="V142" s="56"/>
      <c r="W142" s="54"/>
      <c r="X142" s="56"/>
      <c r="Y142" s="54"/>
      <c r="Z142" s="54"/>
      <c r="AA142" s="56"/>
      <c r="AB142" s="58"/>
      <c r="AC142" s="59"/>
      <c r="AD142" s="46" t="str">
        <f aca="false">IF(ISNUMBER($AB142),$AB142*(1+N($AC142)),"")</f>
        <v/>
      </c>
      <c r="AE142" s="58"/>
      <c r="AF142" s="58"/>
      <c r="AG142" s="59"/>
      <c r="AH142" s="47" t="str">
        <f aca="false">IF(ISNUMBER($AD142),($AD142+$AE142+$AF142)*$AG142,"")</f>
        <v/>
      </c>
      <c r="AI142" s="58"/>
      <c r="AJ142" s="46" t="str">
        <f aca="false">IF(ISNUMBER($AD142),SUM($AD142:$AH142),"")</f>
        <v/>
      </c>
      <c r="AK142" s="48" t="str">
        <f aca="false">IF(AND(ISNUMBER($AB142),ISNUMBER($AD142)),IF($AB142&gt;0,$AD142/$AB142,""),"")</f>
        <v/>
      </c>
      <c r="AL142" s="56"/>
      <c r="AM142" s="49" t="str">
        <f aca="false">IF(ISNUMBER($AD142),Header!$I$3,"")</f>
        <v/>
      </c>
      <c r="AN142" s="47" t="str">
        <f aca="false">IF(ISNUMBER($AD142),$AO142+$AP142,"")</f>
        <v/>
      </c>
      <c r="AO142" s="47" t="str">
        <f aca="false">IF(ISNUMBER($AD142),ROUND($AD142*Header!$K$3,2),"")</f>
        <v/>
      </c>
      <c r="AP142" s="47" t="str">
        <f aca="false">IF(ISNUMBER($AD142),ROUND($AD142*Header!$M$3,2),"")</f>
        <v/>
      </c>
      <c r="AQ142" s="46" t="str">
        <f aca="false">IF(ISNUMBER($AD142),ROUND($AD142,2)-$AO142-$AP142,"")</f>
        <v/>
      </c>
      <c r="AR142" s="47" t="str">
        <f aca="false">IF(ISNUMBER($AD142),IF(Header!$D$34="","?",$AD142*Header!$D$34),"")</f>
        <v/>
      </c>
      <c r="AS142" s="47" t="str">
        <f aca="false">IF(ISNUMBER($AB142),IF(Header!$D$34="","?",$AB142*Header!$D$34),"")</f>
        <v/>
      </c>
      <c r="AT142" s="50" t="str">
        <f aca="false">IF(AND(ISNUMBER($AB142),$M142&gt;0),$AB142/$M142*100,"")</f>
        <v/>
      </c>
      <c r="AU142" s="50" t="str">
        <f aca="false">IF(AND(ISNUMBER($AD142),$M142&gt;0),$AD142/$M142*100,"")</f>
        <v/>
      </c>
      <c r="AV142" s="48" t="str">
        <f aca="false">IF(AND(ISNUMBER($AB142),ISNUMBER($AD142),ABS($AB142)&gt;0),$AD142/$AB142,"")</f>
        <v/>
      </c>
      <c r="AW142" s="47" t="str">
        <f aca="false">IF(ISNUMBER($AD142),MAX(0,(1-0.55-Header!$O$3)*Header!$Q$3*$AQ142),"")</f>
        <v/>
      </c>
      <c r="AX142" s="51" t="str">
        <f aca="false">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v/>
      </c>
      <c r="AY142" s="52" t="str">
        <f aca="false">IF($M142="","",IF(ISNUMBER($M142),IF($M142&gt;=Header!$C$18,"YES — refer","No"),""))</f>
        <v/>
      </c>
      <c r="AZ142" s="52" t="str">
        <f aca="false">IF($AD142="","",IF(ISNUMBER($AD142),IF($AD142&lt;Header!$C$20,"BELOW MIN PREMIUM","OK"),""))</f>
        <v/>
      </c>
      <c r="BA142" s="56"/>
      <c r="BB142" s="56"/>
      <c r="BC142" s="54"/>
      <c r="BE142" s="53" t="str">
        <f aca="false">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v/>
      </c>
      <c r="BF142" s="53" t="str">
        <f aca="false">IF($AD142="","",IF(ROUND($AO142+$AP142+$AQ142-$AD142,2)=0,"OK","FAIL - out by "&amp;TEXT($AO142+$AP142+$AQ142-$AD142,"$0.00")))</f>
        <v/>
      </c>
    </row>
    <row r="143" customFormat="false" ht="15" hidden="false" customHeight="true" outlineLevel="0" collapsed="false">
      <c r="A143" s="38"/>
      <c r="B143" s="38"/>
      <c r="C143" s="39"/>
      <c r="D143" s="40"/>
      <c r="E143" s="40"/>
      <c r="F143" s="38"/>
      <c r="G143" s="41" t="str">
        <f aca="false">IF($A143="","",IF($C143="","",YEAR($C143)))</f>
        <v/>
      </c>
      <c r="H143" s="42"/>
      <c r="I143" s="38"/>
      <c r="J143" s="38"/>
      <c r="K143" s="38"/>
      <c r="L143" s="40"/>
      <c r="M143" s="43"/>
      <c r="N143" s="40"/>
      <c r="O143" s="38"/>
      <c r="P143" s="38"/>
      <c r="Q143" s="38"/>
      <c r="R143" s="38"/>
      <c r="S143" s="40"/>
      <c r="T143" s="44" t="str">
        <f aca="false">IF($A143="","",IF($S143="","",IFERROR(INDEX(Lists!$N$5:$N$16,MATCH($S143,Lists!$M$5:$M$16,0)),"?")))</f>
        <v/>
      </c>
      <c r="U143" s="38"/>
      <c r="V143" s="40"/>
      <c r="W143" s="38"/>
      <c r="X143" s="40"/>
      <c r="Y143" s="38"/>
      <c r="Z143" s="38"/>
      <c r="AA143" s="40"/>
      <c r="AB143" s="43"/>
      <c r="AC143" s="45"/>
      <c r="AD143" s="46" t="str">
        <f aca="false">IF(ISNUMBER($AB143),$AB143*(1+N($AC143)),"")</f>
        <v/>
      </c>
      <c r="AE143" s="43"/>
      <c r="AF143" s="43"/>
      <c r="AG143" s="45"/>
      <c r="AH143" s="47" t="str">
        <f aca="false">IF(ISNUMBER($AD143),($AD143+$AE143+$AF143)*$AG143,"")</f>
        <v/>
      </c>
      <c r="AI143" s="43"/>
      <c r="AJ143" s="46" t="str">
        <f aca="false">IF(ISNUMBER($AD143),SUM($AD143:$AH143),"")</f>
        <v/>
      </c>
      <c r="AK143" s="48" t="str">
        <f aca="false">IF(AND(ISNUMBER($AB143),ISNUMBER($AD143)),IF($AB143&gt;0,$AD143/$AB143,""),"")</f>
        <v/>
      </c>
      <c r="AL143" s="40"/>
      <c r="AM143" s="49" t="str">
        <f aca="false">IF(ISNUMBER($AD143),Header!$I$3,"")</f>
        <v/>
      </c>
      <c r="AN143" s="47" t="str">
        <f aca="false">IF(ISNUMBER($AD143),$AO143+$AP143,"")</f>
        <v/>
      </c>
      <c r="AO143" s="47" t="str">
        <f aca="false">IF(ISNUMBER($AD143),ROUND($AD143*Header!$K$3,2),"")</f>
        <v/>
      </c>
      <c r="AP143" s="47" t="str">
        <f aca="false">IF(ISNUMBER($AD143),ROUND($AD143*Header!$M$3,2),"")</f>
        <v/>
      </c>
      <c r="AQ143" s="46" t="str">
        <f aca="false">IF(ISNUMBER($AD143),ROUND($AD143,2)-$AO143-$AP143,"")</f>
        <v/>
      </c>
      <c r="AR143" s="47" t="str">
        <f aca="false">IF(ISNUMBER($AD143),IF(Header!$D$34="","?",$AD143*Header!$D$34),"")</f>
        <v/>
      </c>
      <c r="AS143" s="47" t="str">
        <f aca="false">IF(ISNUMBER($AB143),IF(Header!$D$34="","?",$AB143*Header!$D$34),"")</f>
        <v/>
      </c>
      <c r="AT143" s="50" t="str">
        <f aca="false">IF(AND(ISNUMBER($AB143),$M143&gt;0),$AB143/$M143*100,"")</f>
        <v/>
      </c>
      <c r="AU143" s="50" t="str">
        <f aca="false">IF(AND(ISNUMBER($AD143),$M143&gt;0),$AD143/$M143*100,"")</f>
        <v/>
      </c>
      <c r="AV143" s="48" t="str">
        <f aca="false">IF(AND(ISNUMBER($AB143),ISNUMBER($AD143),ABS($AB143)&gt;0),$AD143/$AB143,"")</f>
        <v/>
      </c>
      <c r="AW143" s="47" t="str">
        <f aca="false">IF(ISNUMBER($AD143),MAX(0,(1-0.55-Header!$O$3)*Header!$Q$3*$AQ143),"")</f>
        <v/>
      </c>
      <c r="AX143" s="51" t="str">
        <f aca="false">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v/>
      </c>
      <c r="AY143" s="52" t="str">
        <f aca="false">IF($M143="","",IF(ISNUMBER($M143),IF($M143&gt;=Header!$C$18,"YES — refer","No"),""))</f>
        <v/>
      </c>
      <c r="AZ143" s="52" t="str">
        <f aca="false">IF($AD143="","",IF(ISNUMBER($AD143),IF($AD143&lt;Header!$C$20,"BELOW MIN PREMIUM","OK"),""))</f>
        <v/>
      </c>
      <c r="BA143" s="40"/>
      <c r="BB143" s="40"/>
      <c r="BC143" s="38"/>
      <c r="BE143" s="53" t="str">
        <f aca="false">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v/>
      </c>
      <c r="BF143" s="53" t="str">
        <f aca="false">IF($AD143="","",IF(ROUND($AO143+$AP143+$AQ143-$AD143,2)=0,"OK","FAIL - out by "&amp;TEXT($AO143+$AP143+$AQ143-$AD143,"$0.00")))</f>
        <v/>
      </c>
    </row>
    <row r="144" customFormat="false" ht="15" hidden="false" customHeight="true" outlineLevel="0" collapsed="false">
      <c r="A144" s="54"/>
      <c r="B144" s="54"/>
      <c r="C144" s="55"/>
      <c r="D144" s="56"/>
      <c r="E144" s="56"/>
      <c r="F144" s="54"/>
      <c r="G144" s="41" t="str">
        <f aca="false">IF($A144="","",IF($C144="","",YEAR($C144)))</f>
        <v/>
      </c>
      <c r="H144" s="57"/>
      <c r="I144" s="54"/>
      <c r="J144" s="54"/>
      <c r="K144" s="54"/>
      <c r="L144" s="56"/>
      <c r="M144" s="58"/>
      <c r="N144" s="56"/>
      <c r="O144" s="54"/>
      <c r="P144" s="54"/>
      <c r="Q144" s="54"/>
      <c r="R144" s="54"/>
      <c r="S144" s="56"/>
      <c r="T144" s="44" t="str">
        <f aca="false">IF($A144="","",IF($S144="","",IFERROR(INDEX(Lists!$N$5:$N$16,MATCH($S144,Lists!$M$5:$M$16,0)),"?")))</f>
        <v/>
      </c>
      <c r="U144" s="54"/>
      <c r="V144" s="56"/>
      <c r="W144" s="54"/>
      <c r="X144" s="56"/>
      <c r="Y144" s="54"/>
      <c r="Z144" s="54"/>
      <c r="AA144" s="56"/>
      <c r="AB144" s="58"/>
      <c r="AC144" s="59"/>
      <c r="AD144" s="46" t="str">
        <f aca="false">IF(ISNUMBER($AB144),$AB144*(1+N($AC144)),"")</f>
        <v/>
      </c>
      <c r="AE144" s="58"/>
      <c r="AF144" s="58"/>
      <c r="AG144" s="59"/>
      <c r="AH144" s="47" t="str">
        <f aca="false">IF(ISNUMBER($AD144),($AD144+$AE144+$AF144)*$AG144,"")</f>
        <v/>
      </c>
      <c r="AI144" s="58"/>
      <c r="AJ144" s="46" t="str">
        <f aca="false">IF(ISNUMBER($AD144),SUM($AD144:$AH144),"")</f>
        <v/>
      </c>
      <c r="AK144" s="48" t="str">
        <f aca="false">IF(AND(ISNUMBER($AB144),ISNUMBER($AD144)),IF($AB144&gt;0,$AD144/$AB144,""),"")</f>
        <v/>
      </c>
      <c r="AL144" s="56"/>
      <c r="AM144" s="49" t="str">
        <f aca="false">IF(ISNUMBER($AD144),Header!$I$3,"")</f>
        <v/>
      </c>
      <c r="AN144" s="47" t="str">
        <f aca="false">IF(ISNUMBER($AD144),$AO144+$AP144,"")</f>
        <v/>
      </c>
      <c r="AO144" s="47" t="str">
        <f aca="false">IF(ISNUMBER($AD144),ROUND($AD144*Header!$K$3,2),"")</f>
        <v/>
      </c>
      <c r="AP144" s="47" t="str">
        <f aca="false">IF(ISNUMBER($AD144),ROUND($AD144*Header!$M$3,2),"")</f>
        <v/>
      </c>
      <c r="AQ144" s="46" t="str">
        <f aca="false">IF(ISNUMBER($AD144),ROUND($AD144,2)-$AO144-$AP144,"")</f>
        <v/>
      </c>
      <c r="AR144" s="47" t="str">
        <f aca="false">IF(ISNUMBER($AD144),IF(Header!$D$34="","?",$AD144*Header!$D$34),"")</f>
        <v/>
      </c>
      <c r="AS144" s="47" t="str">
        <f aca="false">IF(ISNUMBER($AB144),IF(Header!$D$34="","?",$AB144*Header!$D$34),"")</f>
        <v/>
      </c>
      <c r="AT144" s="50" t="str">
        <f aca="false">IF(AND(ISNUMBER($AB144),$M144&gt;0),$AB144/$M144*100,"")</f>
        <v/>
      </c>
      <c r="AU144" s="50" t="str">
        <f aca="false">IF(AND(ISNUMBER($AD144),$M144&gt;0),$AD144/$M144*100,"")</f>
        <v/>
      </c>
      <c r="AV144" s="48" t="str">
        <f aca="false">IF(AND(ISNUMBER($AB144),ISNUMBER($AD144),ABS($AB144)&gt;0),$AD144/$AB144,"")</f>
        <v/>
      </c>
      <c r="AW144" s="47" t="str">
        <f aca="false">IF(ISNUMBER($AD144),MAX(0,(1-0.55-Header!$O$3)*Header!$Q$3*$AQ144),"")</f>
        <v/>
      </c>
      <c r="AX144" s="51" t="str">
        <f aca="false">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v/>
      </c>
      <c r="AY144" s="52" t="str">
        <f aca="false">IF($M144="","",IF(ISNUMBER($M144),IF($M144&gt;=Header!$C$18,"YES — refer","No"),""))</f>
        <v/>
      </c>
      <c r="AZ144" s="52" t="str">
        <f aca="false">IF($AD144="","",IF(ISNUMBER($AD144),IF($AD144&lt;Header!$C$20,"BELOW MIN PREMIUM","OK"),""))</f>
        <v/>
      </c>
      <c r="BA144" s="56"/>
      <c r="BB144" s="56"/>
      <c r="BC144" s="54"/>
      <c r="BE144" s="53" t="str">
        <f aca="false">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v/>
      </c>
      <c r="BF144" s="53" t="str">
        <f aca="false">IF($AD144="","",IF(ROUND($AO144+$AP144+$AQ144-$AD144,2)=0,"OK","FAIL - out by "&amp;TEXT($AO144+$AP144+$AQ144-$AD144,"$0.00")))</f>
        <v/>
      </c>
    </row>
    <row r="145" customFormat="false" ht="15" hidden="false" customHeight="true" outlineLevel="0" collapsed="false">
      <c r="A145" s="38"/>
      <c r="B145" s="38"/>
      <c r="C145" s="39"/>
      <c r="D145" s="40"/>
      <c r="E145" s="40"/>
      <c r="F145" s="38"/>
      <c r="G145" s="41" t="str">
        <f aca="false">IF($A145="","",IF($C145="","",YEAR($C145)))</f>
        <v/>
      </c>
      <c r="H145" s="42"/>
      <c r="I145" s="38"/>
      <c r="J145" s="38"/>
      <c r="K145" s="38"/>
      <c r="L145" s="40"/>
      <c r="M145" s="43"/>
      <c r="N145" s="40"/>
      <c r="O145" s="38"/>
      <c r="P145" s="38"/>
      <c r="Q145" s="38"/>
      <c r="R145" s="38"/>
      <c r="S145" s="40"/>
      <c r="T145" s="44" t="str">
        <f aca="false">IF($A145="","",IF($S145="","",IFERROR(INDEX(Lists!$N$5:$N$16,MATCH($S145,Lists!$M$5:$M$16,0)),"?")))</f>
        <v/>
      </c>
      <c r="U145" s="38"/>
      <c r="V145" s="40"/>
      <c r="W145" s="38"/>
      <c r="X145" s="40"/>
      <c r="Y145" s="38"/>
      <c r="Z145" s="38"/>
      <c r="AA145" s="40"/>
      <c r="AB145" s="43"/>
      <c r="AC145" s="45"/>
      <c r="AD145" s="46" t="str">
        <f aca="false">IF(ISNUMBER($AB145),$AB145*(1+N($AC145)),"")</f>
        <v/>
      </c>
      <c r="AE145" s="43"/>
      <c r="AF145" s="43"/>
      <c r="AG145" s="45"/>
      <c r="AH145" s="47" t="str">
        <f aca="false">IF(ISNUMBER($AD145),($AD145+$AE145+$AF145)*$AG145,"")</f>
        <v/>
      </c>
      <c r="AI145" s="43"/>
      <c r="AJ145" s="46" t="str">
        <f aca="false">IF(ISNUMBER($AD145),SUM($AD145:$AH145),"")</f>
        <v/>
      </c>
      <c r="AK145" s="48" t="str">
        <f aca="false">IF(AND(ISNUMBER($AB145),ISNUMBER($AD145)),IF($AB145&gt;0,$AD145/$AB145,""),"")</f>
        <v/>
      </c>
      <c r="AL145" s="40"/>
      <c r="AM145" s="49" t="str">
        <f aca="false">IF(ISNUMBER($AD145),Header!$I$3,"")</f>
        <v/>
      </c>
      <c r="AN145" s="47" t="str">
        <f aca="false">IF(ISNUMBER($AD145),$AO145+$AP145,"")</f>
        <v/>
      </c>
      <c r="AO145" s="47" t="str">
        <f aca="false">IF(ISNUMBER($AD145),ROUND($AD145*Header!$K$3,2),"")</f>
        <v/>
      </c>
      <c r="AP145" s="47" t="str">
        <f aca="false">IF(ISNUMBER($AD145),ROUND($AD145*Header!$M$3,2),"")</f>
        <v/>
      </c>
      <c r="AQ145" s="46" t="str">
        <f aca="false">IF(ISNUMBER($AD145),ROUND($AD145,2)-$AO145-$AP145,"")</f>
        <v/>
      </c>
      <c r="AR145" s="47" t="str">
        <f aca="false">IF(ISNUMBER($AD145),IF(Header!$D$34="","?",$AD145*Header!$D$34),"")</f>
        <v/>
      </c>
      <c r="AS145" s="47" t="str">
        <f aca="false">IF(ISNUMBER($AB145),IF(Header!$D$34="","?",$AB145*Header!$D$34),"")</f>
        <v/>
      </c>
      <c r="AT145" s="50" t="str">
        <f aca="false">IF(AND(ISNUMBER($AB145),$M145&gt;0),$AB145/$M145*100,"")</f>
        <v/>
      </c>
      <c r="AU145" s="50" t="str">
        <f aca="false">IF(AND(ISNUMBER($AD145),$M145&gt;0),$AD145/$M145*100,"")</f>
        <v/>
      </c>
      <c r="AV145" s="48" t="str">
        <f aca="false">IF(AND(ISNUMBER($AB145),ISNUMBER($AD145),ABS($AB145)&gt;0),$AD145/$AB145,"")</f>
        <v/>
      </c>
      <c r="AW145" s="47" t="str">
        <f aca="false">IF(ISNUMBER($AD145),MAX(0,(1-0.55-Header!$O$3)*Header!$Q$3*$AQ145),"")</f>
        <v/>
      </c>
      <c r="AX145" s="51" t="str">
        <f aca="false">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v/>
      </c>
      <c r="AY145" s="52" t="str">
        <f aca="false">IF($M145="","",IF(ISNUMBER($M145),IF($M145&gt;=Header!$C$18,"YES — refer","No"),""))</f>
        <v/>
      </c>
      <c r="AZ145" s="52" t="str">
        <f aca="false">IF($AD145="","",IF(ISNUMBER($AD145),IF($AD145&lt;Header!$C$20,"BELOW MIN PREMIUM","OK"),""))</f>
        <v/>
      </c>
      <c r="BA145" s="40"/>
      <c r="BB145" s="40"/>
      <c r="BC145" s="38"/>
      <c r="BE145" s="53" t="str">
        <f aca="false">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v/>
      </c>
      <c r="BF145" s="53" t="str">
        <f aca="false">IF($AD145="","",IF(ROUND($AO145+$AP145+$AQ145-$AD145,2)=0,"OK","FAIL - out by "&amp;TEXT($AO145+$AP145+$AQ145-$AD145,"$0.00")))</f>
        <v/>
      </c>
    </row>
    <row r="146" customFormat="false" ht="15" hidden="false" customHeight="true" outlineLevel="0" collapsed="false">
      <c r="A146" s="54"/>
      <c r="B146" s="54"/>
      <c r="C146" s="55"/>
      <c r="D146" s="56"/>
      <c r="E146" s="56"/>
      <c r="F146" s="54"/>
      <c r="G146" s="41" t="str">
        <f aca="false">IF($A146="","",IF($C146="","",YEAR($C146)))</f>
        <v/>
      </c>
      <c r="H146" s="57"/>
      <c r="I146" s="54"/>
      <c r="J146" s="54"/>
      <c r="K146" s="54"/>
      <c r="L146" s="56"/>
      <c r="M146" s="58"/>
      <c r="N146" s="56"/>
      <c r="O146" s="54"/>
      <c r="P146" s="54"/>
      <c r="Q146" s="54"/>
      <c r="R146" s="54"/>
      <c r="S146" s="56"/>
      <c r="T146" s="44" t="str">
        <f aca="false">IF($A146="","",IF($S146="","",IFERROR(INDEX(Lists!$N$5:$N$16,MATCH($S146,Lists!$M$5:$M$16,0)),"?")))</f>
        <v/>
      </c>
      <c r="U146" s="54"/>
      <c r="V146" s="56"/>
      <c r="W146" s="54"/>
      <c r="X146" s="56"/>
      <c r="Y146" s="54"/>
      <c r="Z146" s="54"/>
      <c r="AA146" s="56"/>
      <c r="AB146" s="58"/>
      <c r="AC146" s="59"/>
      <c r="AD146" s="46" t="str">
        <f aca="false">IF(ISNUMBER($AB146),$AB146*(1+N($AC146)),"")</f>
        <v/>
      </c>
      <c r="AE146" s="58"/>
      <c r="AF146" s="58"/>
      <c r="AG146" s="59"/>
      <c r="AH146" s="47" t="str">
        <f aca="false">IF(ISNUMBER($AD146),($AD146+$AE146+$AF146)*$AG146,"")</f>
        <v/>
      </c>
      <c r="AI146" s="58"/>
      <c r="AJ146" s="46" t="str">
        <f aca="false">IF(ISNUMBER($AD146),SUM($AD146:$AH146),"")</f>
        <v/>
      </c>
      <c r="AK146" s="48" t="str">
        <f aca="false">IF(AND(ISNUMBER($AB146),ISNUMBER($AD146)),IF($AB146&gt;0,$AD146/$AB146,""),"")</f>
        <v/>
      </c>
      <c r="AL146" s="56"/>
      <c r="AM146" s="49" t="str">
        <f aca="false">IF(ISNUMBER($AD146),Header!$I$3,"")</f>
        <v/>
      </c>
      <c r="AN146" s="47" t="str">
        <f aca="false">IF(ISNUMBER($AD146),$AO146+$AP146,"")</f>
        <v/>
      </c>
      <c r="AO146" s="47" t="str">
        <f aca="false">IF(ISNUMBER($AD146),ROUND($AD146*Header!$K$3,2),"")</f>
        <v/>
      </c>
      <c r="AP146" s="47" t="str">
        <f aca="false">IF(ISNUMBER($AD146),ROUND($AD146*Header!$M$3,2),"")</f>
        <v/>
      </c>
      <c r="AQ146" s="46" t="str">
        <f aca="false">IF(ISNUMBER($AD146),ROUND($AD146,2)-$AO146-$AP146,"")</f>
        <v/>
      </c>
      <c r="AR146" s="47" t="str">
        <f aca="false">IF(ISNUMBER($AD146),IF(Header!$D$34="","?",$AD146*Header!$D$34),"")</f>
        <v/>
      </c>
      <c r="AS146" s="47" t="str">
        <f aca="false">IF(ISNUMBER($AB146),IF(Header!$D$34="","?",$AB146*Header!$D$34),"")</f>
        <v/>
      </c>
      <c r="AT146" s="50" t="str">
        <f aca="false">IF(AND(ISNUMBER($AB146),$M146&gt;0),$AB146/$M146*100,"")</f>
        <v/>
      </c>
      <c r="AU146" s="50" t="str">
        <f aca="false">IF(AND(ISNUMBER($AD146),$M146&gt;0),$AD146/$M146*100,"")</f>
        <v/>
      </c>
      <c r="AV146" s="48" t="str">
        <f aca="false">IF(AND(ISNUMBER($AB146),ISNUMBER($AD146),ABS($AB146)&gt;0),$AD146/$AB146,"")</f>
        <v/>
      </c>
      <c r="AW146" s="47" t="str">
        <f aca="false">IF(ISNUMBER($AD146),MAX(0,(1-0.55-Header!$O$3)*Header!$Q$3*$AQ146),"")</f>
        <v/>
      </c>
      <c r="AX146" s="51" t="str">
        <f aca="false">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v/>
      </c>
      <c r="AY146" s="52" t="str">
        <f aca="false">IF($M146="","",IF(ISNUMBER($M146),IF($M146&gt;=Header!$C$18,"YES — refer","No"),""))</f>
        <v/>
      </c>
      <c r="AZ146" s="52" t="str">
        <f aca="false">IF($AD146="","",IF(ISNUMBER($AD146),IF($AD146&lt;Header!$C$20,"BELOW MIN PREMIUM","OK"),""))</f>
        <v/>
      </c>
      <c r="BA146" s="56"/>
      <c r="BB146" s="56"/>
      <c r="BC146" s="54"/>
      <c r="BE146" s="53" t="str">
        <f aca="false">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v/>
      </c>
      <c r="BF146" s="53" t="str">
        <f aca="false">IF($AD146="","",IF(ROUND($AO146+$AP146+$AQ146-$AD146,2)=0,"OK","FAIL - out by "&amp;TEXT($AO146+$AP146+$AQ146-$AD146,"$0.00")))</f>
        <v/>
      </c>
    </row>
    <row r="147" customFormat="false" ht="15" hidden="false" customHeight="true" outlineLevel="0" collapsed="false">
      <c r="A147" s="38"/>
      <c r="B147" s="38"/>
      <c r="C147" s="39"/>
      <c r="D147" s="40"/>
      <c r="E147" s="40"/>
      <c r="F147" s="38"/>
      <c r="G147" s="41" t="str">
        <f aca="false">IF($A147="","",IF($C147="","",YEAR($C147)))</f>
        <v/>
      </c>
      <c r="H147" s="42"/>
      <c r="I147" s="38"/>
      <c r="J147" s="38"/>
      <c r="K147" s="38"/>
      <c r="L147" s="40"/>
      <c r="M147" s="43"/>
      <c r="N147" s="40"/>
      <c r="O147" s="38"/>
      <c r="P147" s="38"/>
      <c r="Q147" s="38"/>
      <c r="R147" s="38"/>
      <c r="S147" s="40"/>
      <c r="T147" s="44" t="str">
        <f aca="false">IF($A147="","",IF($S147="","",IFERROR(INDEX(Lists!$N$5:$N$16,MATCH($S147,Lists!$M$5:$M$16,0)),"?")))</f>
        <v/>
      </c>
      <c r="U147" s="38"/>
      <c r="V147" s="40"/>
      <c r="W147" s="38"/>
      <c r="X147" s="40"/>
      <c r="Y147" s="38"/>
      <c r="Z147" s="38"/>
      <c r="AA147" s="40"/>
      <c r="AB147" s="43"/>
      <c r="AC147" s="45"/>
      <c r="AD147" s="46" t="str">
        <f aca="false">IF(ISNUMBER($AB147),$AB147*(1+N($AC147)),"")</f>
        <v/>
      </c>
      <c r="AE147" s="43"/>
      <c r="AF147" s="43"/>
      <c r="AG147" s="45"/>
      <c r="AH147" s="47" t="str">
        <f aca="false">IF(ISNUMBER($AD147),($AD147+$AE147+$AF147)*$AG147,"")</f>
        <v/>
      </c>
      <c r="AI147" s="43"/>
      <c r="AJ147" s="46" t="str">
        <f aca="false">IF(ISNUMBER($AD147),SUM($AD147:$AH147),"")</f>
        <v/>
      </c>
      <c r="AK147" s="48" t="str">
        <f aca="false">IF(AND(ISNUMBER($AB147),ISNUMBER($AD147)),IF($AB147&gt;0,$AD147/$AB147,""),"")</f>
        <v/>
      </c>
      <c r="AL147" s="40"/>
      <c r="AM147" s="49" t="str">
        <f aca="false">IF(ISNUMBER($AD147),Header!$I$3,"")</f>
        <v/>
      </c>
      <c r="AN147" s="47" t="str">
        <f aca="false">IF(ISNUMBER($AD147),$AO147+$AP147,"")</f>
        <v/>
      </c>
      <c r="AO147" s="47" t="str">
        <f aca="false">IF(ISNUMBER($AD147),ROUND($AD147*Header!$K$3,2),"")</f>
        <v/>
      </c>
      <c r="AP147" s="47" t="str">
        <f aca="false">IF(ISNUMBER($AD147),ROUND($AD147*Header!$M$3,2),"")</f>
        <v/>
      </c>
      <c r="AQ147" s="46" t="str">
        <f aca="false">IF(ISNUMBER($AD147),ROUND($AD147,2)-$AO147-$AP147,"")</f>
        <v/>
      </c>
      <c r="AR147" s="47" t="str">
        <f aca="false">IF(ISNUMBER($AD147),IF(Header!$D$34="","?",$AD147*Header!$D$34),"")</f>
        <v/>
      </c>
      <c r="AS147" s="47" t="str">
        <f aca="false">IF(ISNUMBER($AB147),IF(Header!$D$34="","?",$AB147*Header!$D$34),"")</f>
        <v/>
      </c>
      <c r="AT147" s="50" t="str">
        <f aca="false">IF(AND(ISNUMBER($AB147),$M147&gt;0),$AB147/$M147*100,"")</f>
        <v/>
      </c>
      <c r="AU147" s="50" t="str">
        <f aca="false">IF(AND(ISNUMBER($AD147),$M147&gt;0),$AD147/$M147*100,"")</f>
        <v/>
      </c>
      <c r="AV147" s="48" t="str">
        <f aca="false">IF(AND(ISNUMBER($AB147),ISNUMBER($AD147),ABS($AB147)&gt;0),$AD147/$AB147,"")</f>
        <v/>
      </c>
      <c r="AW147" s="47" t="str">
        <f aca="false">IF(ISNUMBER($AD147),MAX(0,(1-0.55-Header!$O$3)*Header!$Q$3*$AQ147),"")</f>
        <v/>
      </c>
      <c r="AX147" s="51" t="str">
        <f aca="false">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v/>
      </c>
      <c r="AY147" s="52" t="str">
        <f aca="false">IF($M147="","",IF(ISNUMBER($M147),IF($M147&gt;=Header!$C$18,"YES — refer","No"),""))</f>
        <v/>
      </c>
      <c r="AZ147" s="52" t="str">
        <f aca="false">IF($AD147="","",IF(ISNUMBER($AD147),IF($AD147&lt;Header!$C$20,"BELOW MIN PREMIUM","OK"),""))</f>
        <v/>
      </c>
      <c r="BA147" s="40"/>
      <c r="BB147" s="40"/>
      <c r="BC147" s="38"/>
      <c r="BE147" s="53" t="str">
        <f aca="false">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v/>
      </c>
      <c r="BF147" s="53" t="str">
        <f aca="false">IF($AD147="","",IF(ROUND($AO147+$AP147+$AQ147-$AD147,2)=0,"OK","FAIL - out by "&amp;TEXT($AO147+$AP147+$AQ147-$AD147,"$0.00")))</f>
        <v/>
      </c>
    </row>
    <row r="148" customFormat="false" ht="15" hidden="false" customHeight="true" outlineLevel="0" collapsed="false">
      <c r="A148" s="54"/>
      <c r="B148" s="54"/>
      <c r="C148" s="55"/>
      <c r="D148" s="56"/>
      <c r="E148" s="56"/>
      <c r="F148" s="54"/>
      <c r="G148" s="41" t="str">
        <f aca="false">IF($A148="","",IF($C148="","",YEAR($C148)))</f>
        <v/>
      </c>
      <c r="H148" s="57"/>
      <c r="I148" s="54"/>
      <c r="J148" s="54"/>
      <c r="K148" s="54"/>
      <c r="L148" s="56"/>
      <c r="M148" s="58"/>
      <c r="N148" s="56"/>
      <c r="O148" s="54"/>
      <c r="P148" s="54"/>
      <c r="Q148" s="54"/>
      <c r="R148" s="54"/>
      <c r="S148" s="56"/>
      <c r="T148" s="44" t="str">
        <f aca="false">IF($A148="","",IF($S148="","",IFERROR(INDEX(Lists!$N$5:$N$16,MATCH($S148,Lists!$M$5:$M$16,0)),"?")))</f>
        <v/>
      </c>
      <c r="U148" s="54"/>
      <c r="V148" s="56"/>
      <c r="W148" s="54"/>
      <c r="X148" s="56"/>
      <c r="Y148" s="54"/>
      <c r="Z148" s="54"/>
      <c r="AA148" s="56"/>
      <c r="AB148" s="58"/>
      <c r="AC148" s="59"/>
      <c r="AD148" s="46" t="str">
        <f aca="false">IF(ISNUMBER($AB148),$AB148*(1+N($AC148)),"")</f>
        <v/>
      </c>
      <c r="AE148" s="58"/>
      <c r="AF148" s="58"/>
      <c r="AG148" s="59"/>
      <c r="AH148" s="47" t="str">
        <f aca="false">IF(ISNUMBER($AD148),($AD148+$AE148+$AF148)*$AG148,"")</f>
        <v/>
      </c>
      <c r="AI148" s="58"/>
      <c r="AJ148" s="46" t="str">
        <f aca="false">IF(ISNUMBER($AD148),SUM($AD148:$AH148),"")</f>
        <v/>
      </c>
      <c r="AK148" s="48" t="str">
        <f aca="false">IF(AND(ISNUMBER($AB148),ISNUMBER($AD148)),IF($AB148&gt;0,$AD148/$AB148,""),"")</f>
        <v/>
      </c>
      <c r="AL148" s="56"/>
      <c r="AM148" s="49" t="str">
        <f aca="false">IF(ISNUMBER($AD148),Header!$I$3,"")</f>
        <v/>
      </c>
      <c r="AN148" s="47" t="str">
        <f aca="false">IF(ISNUMBER($AD148),$AO148+$AP148,"")</f>
        <v/>
      </c>
      <c r="AO148" s="47" t="str">
        <f aca="false">IF(ISNUMBER($AD148),ROUND($AD148*Header!$K$3,2),"")</f>
        <v/>
      </c>
      <c r="AP148" s="47" t="str">
        <f aca="false">IF(ISNUMBER($AD148),ROUND($AD148*Header!$M$3,2),"")</f>
        <v/>
      </c>
      <c r="AQ148" s="46" t="str">
        <f aca="false">IF(ISNUMBER($AD148),ROUND($AD148,2)-$AO148-$AP148,"")</f>
        <v/>
      </c>
      <c r="AR148" s="47" t="str">
        <f aca="false">IF(ISNUMBER($AD148),IF(Header!$D$34="","?",$AD148*Header!$D$34),"")</f>
        <v/>
      </c>
      <c r="AS148" s="47" t="str">
        <f aca="false">IF(ISNUMBER($AB148),IF(Header!$D$34="","?",$AB148*Header!$D$34),"")</f>
        <v/>
      </c>
      <c r="AT148" s="50" t="str">
        <f aca="false">IF(AND(ISNUMBER($AB148),$M148&gt;0),$AB148/$M148*100,"")</f>
        <v/>
      </c>
      <c r="AU148" s="50" t="str">
        <f aca="false">IF(AND(ISNUMBER($AD148),$M148&gt;0),$AD148/$M148*100,"")</f>
        <v/>
      </c>
      <c r="AV148" s="48" t="str">
        <f aca="false">IF(AND(ISNUMBER($AB148),ISNUMBER($AD148),ABS($AB148)&gt;0),$AD148/$AB148,"")</f>
        <v/>
      </c>
      <c r="AW148" s="47" t="str">
        <f aca="false">IF(ISNUMBER($AD148),MAX(0,(1-0.55-Header!$O$3)*Header!$Q$3*$AQ148),"")</f>
        <v/>
      </c>
      <c r="AX148" s="51" t="str">
        <f aca="false">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v/>
      </c>
      <c r="AY148" s="52" t="str">
        <f aca="false">IF($M148="","",IF(ISNUMBER($M148),IF($M148&gt;=Header!$C$18,"YES — refer","No"),""))</f>
        <v/>
      </c>
      <c r="AZ148" s="52" t="str">
        <f aca="false">IF($AD148="","",IF(ISNUMBER($AD148),IF($AD148&lt;Header!$C$20,"BELOW MIN PREMIUM","OK"),""))</f>
        <v/>
      </c>
      <c r="BA148" s="56"/>
      <c r="BB148" s="56"/>
      <c r="BC148" s="54"/>
      <c r="BE148" s="53" t="str">
        <f aca="false">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v/>
      </c>
      <c r="BF148" s="53" t="str">
        <f aca="false">IF($AD148="","",IF(ROUND($AO148+$AP148+$AQ148-$AD148,2)=0,"OK","FAIL - out by "&amp;TEXT($AO148+$AP148+$AQ148-$AD148,"$0.00")))</f>
        <v/>
      </c>
    </row>
    <row r="149" customFormat="false" ht="15" hidden="false" customHeight="true" outlineLevel="0" collapsed="false">
      <c r="A149" s="38"/>
      <c r="B149" s="38"/>
      <c r="C149" s="39"/>
      <c r="D149" s="40"/>
      <c r="E149" s="40"/>
      <c r="F149" s="38"/>
      <c r="G149" s="41" t="str">
        <f aca="false">IF($A149="","",IF($C149="","",YEAR($C149)))</f>
        <v/>
      </c>
      <c r="H149" s="42"/>
      <c r="I149" s="38"/>
      <c r="J149" s="38"/>
      <c r="K149" s="38"/>
      <c r="L149" s="40"/>
      <c r="M149" s="43"/>
      <c r="N149" s="40"/>
      <c r="O149" s="38"/>
      <c r="P149" s="38"/>
      <c r="Q149" s="38"/>
      <c r="R149" s="38"/>
      <c r="S149" s="40"/>
      <c r="T149" s="44" t="str">
        <f aca="false">IF($A149="","",IF($S149="","",IFERROR(INDEX(Lists!$N$5:$N$16,MATCH($S149,Lists!$M$5:$M$16,0)),"?")))</f>
        <v/>
      </c>
      <c r="U149" s="38"/>
      <c r="V149" s="40"/>
      <c r="W149" s="38"/>
      <c r="X149" s="40"/>
      <c r="Y149" s="38"/>
      <c r="Z149" s="38"/>
      <c r="AA149" s="40"/>
      <c r="AB149" s="43"/>
      <c r="AC149" s="45"/>
      <c r="AD149" s="46" t="str">
        <f aca="false">IF(ISNUMBER($AB149),$AB149*(1+N($AC149)),"")</f>
        <v/>
      </c>
      <c r="AE149" s="43"/>
      <c r="AF149" s="43"/>
      <c r="AG149" s="45"/>
      <c r="AH149" s="47" t="str">
        <f aca="false">IF(ISNUMBER($AD149),($AD149+$AE149+$AF149)*$AG149,"")</f>
        <v/>
      </c>
      <c r="AI149" s="43"/>
      <c r="AJ149" s="46" t="str">
        <f aca="false">IF(ISNUMBER($AD149),SUM($AD149:$AH149),"")</f>
        <v/>
      </c>
      <c r="AK149" s="48" t="str">
        <f aca="false">IF(AND(ISNUMBER($AB149),ISNUMBER($AD149)),IF($AB149&gt;0,$AD149/$AB149,""),"")</f>
        <v/>
      </c>
      <c r="AL149" s="40"/>
      <c r="AM149" s="49" t="str">
        <f aca="false">IF(ISNUMBER($AD149),Header!$I$3,"")</f>
        <v/>
      </c>
      <c r="AN149" s="47" t="str">
        <f aca="false">IF(ISNUMBER($AD149),$AO149+$AP149,"")</f>
        <v/>
      </c>
      <c r="AO149" s="47" t="str">
        <f aca="false">IF(ISNUMBER($AD149),ROUND($AD149*Header!$K$3,2),"")</f>
        <v/>
      </c>
      <c r="AP149" s="47" t="str">
        <f aca="false">IF(ISNUMBER($AD149),ROUND($AD149*Header!$M$3,2),"")</f>
        <v/>
      </c>
      <c r="AQ149" s="46" t="str">
        <f aca="false">IF(ISNUMBER($AD149),ROUND($AD149,2)-$AO149-$AP149,"")</f>
        <v/>
      </c>
      <c r="AR149" s="47" t="str">
        <f aca="false">IF(ISNUMBER($AD149),IF(Header!$D$34="","?",$AD149*Header!$D$34),"")</f>
        <v/>
      </c>
      <c r="AS149" s="47" t="str">
        <f aca="false">IF(ISNUMBER($AB149),IF(Header!$D$34="","?",$AB149*Header!$D$34),"")</f>
        <v/>
      </c>
      <c r="AT149" s="50" t="str">
        <f aca="false">IF(AND(ISNUMBER($AB149),$M149&gt;0),$AB149/$M149*100,"")</f>
        <v/>
      </c>
      <c r="AU149" s="50" t="str">
        <f aca="false">IF(AND(ISNUMBER($AD149),$M149&gt;0),$AD149/$M149*100,"")</f>
        <v/>
      </c>
      <c r="AV149" s="48" t="str">
        <f aca="false">IF(AND(ISNUMBER($AB149),ISNUMBER($AD149),ABS($AB149)&gt;0),$AD149/$AB149,"")</f>
        <v/>
      </c>
      <c r="AW149" s="47" t="str">
        <f aca="false">IF(ISNUMBER($AD149),MAX(0,(1-0.55-Header!$O$3)*Header!$Q$3*$AQ149),"")</f>
        <v/>
      </c>
      <c r="AX149" s="51" t="str">
        <f aca="false">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v/>
      </c>
      <c r="AY149" s="52" t="str">
        <f aca="false">IF($M149="","",IF(ISNUMBER($M149),IF($M149&gt;=Header!$C$18,"YES — refer","No"),""))</f>
        <v/>
      </c>
      <c r="AZ149" s="52" t="str">
        <f aca="false">IF($AD149="","",IF(ISNUMBER($AD149),IF($AD149&lt;Header!$C$20,"BELOW MIN PREMIUM","OK"),""))</f>
        <v/>
      </c>
      <c r="BA149" s="40"/>
      <c r="BB149" s="40"/>
      <c r="BC149" s="38"/>
      <c r="BE149" s="53" t="str">
        <f aca="false">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v/>
      </c>
      <c r="BF149" s="53" t="str">
        <f aca="false">IF($AD149="","",IF(ROUND($AO149+$AP149+$AQ149-$AD149,2)=0,"OK","FAIL - out by "&amp;TEXT($AO149+$AP149+$AQ149-$AD149,"$0.00")))</f>
        <v/>
      </c>
    </row>
    <row r="150" customFormat="false" ht="15" hidden="false" customHeight="true" outlineLevel="0" collapsed="false">
      <c r="A150" s="54"/>
      <c r="B150" s="54"/>
      <c r="C150" s="55"/>
      <c r="D150" s="56"/>
      <c r="E150" s="56"/>
      <c r="F150" s="54"/>
      <c r="G150" s="41" t="str">
        <f aca="false">IF($A150="","",IF($C150="","",YEAR($C150)))</f>
        <v/>
      </c>
      <c r="H150" s="57"/>
      <c r="I150" s="54"/>
      <c r="J150" s="54"/>
      <c r="K150" s="54"/>
      <c r="L150" s="56"/>
      <c r="M150" s="58"/>
      <c r="N150" s="56"/>
      <c r="O150" s="54"/>
      <c r="P150" s="54"/>
      <c r="Q150" s="54"/>
      <c r="R150" s="54"/>
      <c r="S150" s="56"/>
      <c r="T150" s="44" t="str">
        <f aca="false">IF($A150="","",IF($S150="","",IFERROR(INDEX(Lists!$N$5:$N$16,MATCH($S150,Lists!$M$5:$M$16,0)),"?")))</f>
        <v/>
      </c>
      <c r="U150" s="54"/>
      <c r="V150" s="56"/>
      <c r="W150" s="54"/>
      <c r="X150" s="56"/>
      <c r="Y150" s="54"/>
      <c r="Z150" s="54"/>
      <c r="AA150" s="56"/>
      <c r="AB150" s="58"/>
      <c r="AC150" s="59"/>
      <c r="AD150" s="46" t="str">
        <f aca="false">IF(ISNUMBER($AB150),$AB150*(1+N($AC150)),"")</f>
        <v/>
      </c>
      <c r="AE150" s="58"/>
      <c r="AF150" s="58"/>
      <c r="AG150" s="59"/>
      <c r="AH150" s="47" t="str">
        <f aca="false">IF(ISNUMBER($AD150),($AD150+$AE150+$AF150)*$AG150,"")</f>
        <v/>
      </c>
      <c r="AI150" s="58"/>
      <c r="AJ150" s="46" t="str">
        <f aca="false">IF(ISNUMBER($AD150),SUM($AD150:$AH150),"")</f>
        <v/>
      </c>
      <c r="AK150" s="48" t="str">
        <f aca="false">IF(AND(ISNUMBER($AB150),ISNUMBER($AD150)),IF($AB150&gt;0,$AD150/$AB150,""),"")</f>
        <v/>
      </c>
      <c r="AL150" s="56"/>
      <c r="AM150" s="49" t="str">
        <f aca="false">IF(ISNUMBER($AD150),Header!$I$3,"")</f>
        <v/>
      </c>
      <c r="AN150" s="47" t="str">
        <f aca="false">IF(ISNUMBER($AD150),$AO150+$AP150,"")</f>
        <v/>
      </c>
      <c r="AO150" s="47" t="str">
        <f aca="false">IF(ISNUMBER($AD150),ROUND($AD150*Header!$K$3,2),"")</f>
        <v/>
      </c>
      <c r="AP150" s="47" t="str">
        <f aca="false">IF(ISNUMBER($AD150),ROUND($AD150*Header!$M$3,2),"")</f>
        <v/>
      </c>
      <c r="AQ150" s="46" t="str">
        <f aca="false">IF(ISNUMBER($AD150),ROUND($AD150,2)-$AO150-$AP150,"")</f>
        <v/>
      </c>
      <c r="AR150" s="47" t="str">
        <f aca="false">IF(ISNUMBER($AD150),IF(Header!$D$34="","?",$AD150*Header!$D$34),"")</f>
        <v/>
      </c>
      <c r="AS150" s="47" t="str">
        <f aca="false">IF(ISNUMBER($AB150),IF(Header!$D$34="","?",$AB150*Header!$D$34),"")</f>
        <v/>
      </c>
      <c r="AT150" s="50" t="str">
        <f aca="false">IF(AND(ISNUMBER($AB150),$M150&gt;0),$AB150/$M150*100,"")</f>
        <v/>
      </c>
      <c r="AU150" s="50" t="str">
        <f aca="false">IF(AND(ISNUMBER($AD150),$M150&gt;0),$AD150/$M150*100,"")</f>
        <v/>
      </c>
      <c r="AV150" s="48" t="str">
        <f aca="false">IF(AND(ISNUMBER($AB150),ISNUMBER($AD150),ABS($AB150)&gt;0),$AD150/$AB150,"")</f>
        <v/>
      </c>
      <c r="AW150" s="47" t="str">
        <f aca="false">IF(ISNUMBER($AD150),MAX(0,(1-0.55-Header!$O$3)*Header!$Q$3*$AQ150),"")</f>
        <v/>
      </c>
      <c r="AX150" s="51" t="str">
        <f aca="false">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v/>
      </c>
      <c r="AY150" s="52" t="str">
        <f aca="false">IF($M150="","",IF(ISNUMBER($M150),IF($M150&gt;=Header!$C$18,"YES — refer","No"),""))</f>
        <v/>
      </c>
      <c r="AZ150" s="52" t="str">
        <f aca="false">IF($AD150="","",IF(ISNUMBER($AD150),IF($AD150&lt;Header!$C$20,"BELOW MIN PREMIUM","OK"),""))</f>
        <v/>
      </c>
      <c r="BA150" s="56"/>
      <c r="BB150" s="56"/>
      <c r="BC150" s="54"/>
      <c r="BE150" s="53" t="str">
        <f aca="false">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v/>
      </c>
      <c r="BF150" s="53" t="str">
        <f aca="false">IF($AD150="","",IF(ROUND($AO150+$AP150+$AQ150-$AD150,2)=0,"OK","FAIL - out by "&amp;TEXT($AO150+$AP150+$AQ150-$AD150,"$0.00")))</f>
        <v/>
      </c>
    </row>
    <row r="151" customFormat="false" ht="15" hidden="false" customHeight="true" outlineLevel="0" collapsed="false">
      <c r="A151" s="38"/>
      <c r="B151" s="38"/>
      <c r="C151" s="39"/>
      <c r="D151" s="40"/>
      <c r="E151" s="40"/>
      <c r="F151" s="38"/>
      <c r="G151" s="41" t="str">
        <f aca="false">IF($A151="","",IF($C151="","",YEAR($C151)))</f>
        <v/>
      </c>
      <c r="H151" s="42"/>
      <c r="I151" s="38"/>
      <c r="J151" s="38"/>
      <c r="K151" s="38"/>
      <c r="L151" s="40"/>
      <c r="M151" s="43"/>
      <c r="N151" s="40"/>
      <c r="O151" s="38"/>
      <c r="P151" s="38"/>
      <c r="Q151" s="38"/>
      <c r="R151" s="38"/>
      <c r="S151" s="40"/>
      <c r="T151" s="44" t="str">
        <f aca="false">IF($A151="","",IF($S151="","",IFERROR(INDEX(Lists!$N$5:$N$16,MATCH($S151,Lists!$M$5:$M$16,0)),"?")))</f>
        <v/>
      </c>
      <c r="U151" s="38"/>
      <c r="V151" s="40"/>
      <c r="W151" s="38"/>
      <c r="X151" s="40"/>
      <c r="Y151" s="38"/>
      <c r="Z151" s="38"/>
      <c r="AA151" s="40"/>
      <c r="AB151" s="43"/>
      <c r="AC151" s="45"/>
      <c r="AD151" s="46" t="str">
        <f aca="false">IF(ISNUMBER($AB151),$AB151*(1+N($AC151)),"")</f>
        <v/>
      </c>
      <c r="AE151" s="43"/>
      <c r="AF151" s="43"/>
      <c r="AG151" s="45"/>
      <c r="AH151" s="47" t="str">
        <f aca="false">IF(ISNUMBER($AD151),($AD151+$AE151+$AF151)*$AG151,"")</f>
        <v/>
      </c>
      <c r="AI151" s="43"/>
      <c r="AJ151" s="46" t="str">
        <f aca="false">IF(ISNUMBER($AD151),SUM($AD151:$AH151),"")</f>
        <v/>
      </c>
      <c r="AK151" s="48" t="str">
        <f aca="false">IF(AND(ISNUMBER($AB151),ISNUMBER($AD151)),IF($AB151&gt;0,$AD151/$AB151,""),"")</f>
        <v/>
      </c>
      <c r="AL151" s="40"/>
      <c r="AM151" s="49" t="str">
        <f aca="false">IF(ISNUMBER($AD151),Header!$I$3,"")</f>
        <v/>
      </c>
      <c r="AN151" s="47" t="str">
        <f aca="false">IF(ISNUMBER($AD151),$AO151+$AP151,"")</f>
        <v/>
      </c>
      <c r="AO151" s="47" t="str">
        <f aca="false">IF(ISNUMBER($AD151),ROUND($AD151*Header!$K$3,2),"")</f>
        <v/>
      </c>
      <c r="AP151" s="47" t="str">
        <f aca="false">IF(ISNUMBER($AD151),ROUND($AD151*Header!$M$3,2),"")</f>
        <v/>
      </c>
      <c r="AQ151" s="46" t="str">
        <f aca="false">IF(ISNUMBER($AD151),ROUND($AD151,2)-$AO151-$AP151,"")</f>
        <v/>
      </c>
      <c r="AR151" s="47" t="str">
        <f aca="false">IF(ISNUMBER($AD151),IF(Header!$D$34="","?",$AD151*Header!$D$34),"")</f>
        <v/>
      </c>
      <c r="AS151" s="47" t="str">
        <f aca="false">IF(ISNUMBER($AB151),IF(Header!$D$34="","?",$AB151*Header!$D$34),"")</f>
        <v/>
      </c>
      <c r="AT151" s="50" t="str">
        <f aca="false">IF(AND(ISNUMBER($AB151),$M151&gt;0),$AB151/$M151*100,"")</f>
        <v/>
      </c>
      <c r="AU151" s="50" t="str">
        <f aca="false">IF(AND(ISNUMBER($AD151),$M151&gt;0),$AD151/$M151*100,"")</f>
        <v/>
      </c>
      <c r="AV151" s="48" t="str">
        <f aca="false">IF(AND(ISNUMBER($AB151),ISNUMBER($AD151),ABS($AB151)&gt;0),$AD151/$AB151,"")</f>
        <v/>
      </c>
      <c r="AW151" s="47" t="str">
        <f aca="false">IF(ISNUMBER($AD151),MAX(0,(1-0.55-Header!$O$3)*Header!$Q$3*$AQ151),"")</f>
        <v/>
      </c>
      <c r="AX151" s="51" t="str">
        <f aca="false">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v/>
      </c>
      <c r="AY151" s="52" t="str">
        <f aca="false">IF($M151="","",IF(ISNUMBER($M151),IF($M151&gt;=Header!$C$18,"YES — refer","No"),""))</f>
        <v/>
      </c>
      <c r="AZ151" s="52" t="str">
        <f aca="false">IF($AD151="","",IF(ISNUMBER($AD151),IF($AD151&lt;Header!$C$20,"BELOW MIN PREMIUM","OK"),""))</f>
        <v/>
      </c>
      <c r="BA151" s="40"/>
      <c r="BB151" s="40"/>
      <c r="BC151" s="38"/>
      <c r="BE151" s="53" t="str">
        <f aca="false">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v/>
      </c>
      <c r="BF151" s="53" t="str">
        <f aca="false">IF($AD151="","",IF(ROUND($AO151+$AP151+$AQ151-$AD151,2)=0,"OK","FAIL - out by "&amp;TEXT($AO151+$AP151+$AQ151-$AD151,"$0.00")))</f>
        <v/>
      </c>
    </row>
    <row r="152" customFormat="false" ht="15" hidden="false" customHeight="true" outlineLevel="0" collapsed="false">
      <c r="A152" s="54"/>
      <c r="B152" s="54"/>
      <c r="C152" s="55"/>
      <c r="D152" s="56"/>
      <c r="E152" s="56"/>
      <c r="F152" s="54"/>
      <c r="G152" s="41" t="str">
        <f aca="false">IF($A152="","",IF($C152="","",YEAR($C152)))</f>
        <v/>
      </c>
      <c r="H152" s="57"/>
      <c r="I152" s="54"/>
      <c r="J152" s="54"/>
      <c r="K152" s="54"/>
      <c r="L152" s="56"/>
      <c r="M152" s="58"/>
      <c r="N152" s="56"/>
      <c r="O152" s="54"/>
      <c r="P152" s="54"/>
      <c r="Q152" s="54"/>
      <c r="R152" s="54"/>
      <c r="S152" s="56"/>
      <c r="T152" s="44" t="str">
        <f aca="false">IF($A152="","",IF($S152="","",IFERROR(INDEX(Lists!$N$5:$N$16,MATCH($S152,Lists!$M$5:$M$16,0)),"?")))</f>
        <v/>
      </c>
      <c r="U152" s="54"/>
      <c r="V152" s="56"/>
      <c r="W152" s="54"/>
      <c r="X152" s="56"/>
      <c r="Y152" s="54"/>
      <c r="Z152" s="54"/>
      <c r="AA152" s="56"/>
      <c r="AB152" s="58"/>
      <c r="AC152" s="59"/>
      <c r="AD152" s="46" t="str">
        <f aca="false">IF(ISNUMBER($AB152),$AB152*(1+N($AC152)),"")</f>
        <v/>
      </c>
      <c r="AE152" s="58"/>
      <c r="AF152" s="58"/>
      <c r="AG152" s="59"/>
      <c r="AH152" s="47" t="str">
        <f aca="false">IF(ISNUMBER($AD152),($AD152+$AE152+$AF152)*$AG152,"")</f>
        <v/>
      </c>
      <c r="AI152" s="58"/>
      <c r="AJ152" s="46" t="str">
        <f aca="false">IF(ISNUMBER($AD152),SUM($AD152:$AH152),"")</f>
        <v/>
      </c>
      <c r="AK152" s="48" t="str">
        <f aca="false">IF(AND(ISNUMBER($AB152),ISNUMBER($AD152)),IF($AB152&gt;0,$AD152/$AB152,""),"")</f>
        <v/>
      </c>
      <c r="AL152" s="56"/>
      <c r="AM152" s="49" t="str">
        <f aca="false">IF(ISNUMBER($AD152),Header!$I$3,"")</f>
        <v/>
      </c>
      <c r="AN152" s="47" t="str">
        <f aca="false">IF(ISNUMBER($AD152),$AO152+$AP152,"")</f>
        <v/>
      </c>
      <c r="AO152" s="47" t="str">
        <f aca="false">IF(ISNUMBER($AD152),ROUND($AD152*Header!$K$3,2),"")</f>
        <v/>
      </c>
      <c r="AP152" s="47" t="str">
        <f aca="false">IF(ISNUMBER($AD152),ROUND($AD152*Header!$M$3,2),"")</f>
        <v/>
      </c>
      <c r="AQ152" s="46" t="str">
        <f aca="false">IF(ISNUMBER($AD152),ROUND($AD152,2)-$AO152-$AP152,"")</f>
        <v/>
      </c>
      <c r="AR152" s="47" t="str">
        <f aca="false">IF(ISNUMBER($AD152),IF(Header!$D$34="","?",$AD152*Header!$D$34),"")</f>
        <v/>
      </c>
      <c r="AS152" s="47" t="str">
        <f aca="false">IF(ISNUMBER($AB152),IF(Header!$D$34="","?",$AB152*Header!$D$34),"")</f>
        <v/>
      </c>
      <c r="AT152" s="50" t="str">
        <f aca="false">IF(AND(ISNUMBER($AB152),$M152&gt;0),$AB152/$M152*100,"")</f>
        <v/>
      </c>
      <c r="AU152" s="50" t="str">
        <f aca="false">IF(AND(ISNUMBER($AD152),$M152&gt;0),$AD152/$M152*100,"")</f>
        <v/>
      </c>
      <c r="AV152" s="48" t="str">
        <f aca="false">IF(AND(ISNUMBER($AB152),ISNUMBER($AD152),ABS($AB152)&gt;0),$AD152/$AB152,"")</f>
        <v/>
      </c>
      <c r="AW152" s="47" t="str">
        <f aca="false">IF(ISNUMBER($AD152),MAX(0,(1-0.55-Header!$O$3)*Header!$Q$3*$AQ152),"")</f>
        <v/>
      </c>
      <c r="AX152" s="51" t="str">
        <f aca="false">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v/>
      </c>
      <c r="AY152" s="52" t="str">
        <f aca="false">IF($M152="","",IF(ISNUMBER($M152),IF($M152&gt;=Header!$C$18,"YES — refer","No"),""))</f>
        <v/>
      </c>
      <c r="AZ152" s="52" t="str">
        <f aca="false">IF($AD152="","",IF(ISNUMBER($AD152),IF($AD152&lt;Header!$C$20,"BELOW MIN PREMIUM","OK"),""))</f>
        <v/>
      </c>
      <c r="BA152" s="56"/>
      <c r="BB152" s="56"/>
      <c r="BC152" s="54"/>
      <c r="BE152" s="53" t="str">
        <f aca="false">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v/>
      </c>
      <c r="BF152" s="53" t="str">
        <f aca="false">IF($AD152="","",IF(ROUND($AO152+$AP152+$AQ152-$AD152,2)=0,"OK","FAIL - out by "&amp;TEXT($AO152+$AP152+$AQ152-$AD152,"$0.00")))</f>
        <v/>
      </c>
    </row>
    <row r="153" customFormat="false" ht="15" hidden="false" customHeight="true" outlineLevel="0" collapsed="false">
      <c r="A153" s="38"/>
      <c r="B153" s="38"/>
      <c r="C153" s="39"/>
      <c r="D153" s="40"/>
      <c r="E153" s="40"/>
      <c r="F153" s="38"/>
      <c r="G153" s="41" t="str">
        <f aca="false">IF($A153="","",IF($C153="","",YEAR($C153)))</f>
        <v/>
      </c>
      <c r="H153" s="42"/>
      <c r="I153" s="38"/>
      <c r="J153" s="38"/>
      <c r="K153" s="38"/>
      <c r="L153" s="40"/>
      <c r="M153" s="43"/>
      <c r="N153" s="40"/>
      <c r="O153" s="38"/>
      <c r="P153" s="38"/>
      <c r="Q153" s="38"/>
      <c r="R153" s="38"/>
      <c r="S153" s="40"/>
      <c r="T153" s="44" t="str">
        <f aca="false">IF($A153="","",IF($S153="","",IFERROR(INDEX(Lists!$N$5:$N$16,MATCH($S153,Lists!$M$5:$M$16,0)),"?")))</f>
        <v/>
      </c>
      <c r="U153" s="38"/>
      <c r="V153" s="40"/>
      <c r="W153" s="38"/>
      <c r="X153" s="40"/>
      <c r="Y153" s="38"/>
      <c r="Z153" s="38"/>
      <c r="AA153" s="40"/>
      <c r="AB153" s="43"/>
      <c r="AC153" s="45"/>
      <c r="AD153" s="46" t="str">
        <f aca="false">IF(ISNUMBER($AB153),$AB153*(1+N($AC153)),"")</f>
        <v/>
      </c>
      <c r="AE153" s="43"/>
      <c r="AF153" s="43"/>
      <c r="AG153" s="45"/>
      <c r="AH153" s="47" t="str">
        <f aca="false">IF(ISNUMBER($AD153),($AD153+$AE153+$AF153)*$AG153,"")</f>
        <v/>
      </c>
      <c r="AI153" s="43"/>
      <c r="AJ153" s="46" t="str">
        <f aca="false">IF(ISNUMBER($AD153),SUM($AD153:$AH153),"")</f>
        <v/>
      </c>
      <c r="AK153" s="48" t="str">
        <f aca="false">IF(AND(ISNUMBER($AB153),ISNUMBER($AD153)),IF($AB153&gt;0,$AD153/$AB153,""),"")</f>
        <v/>
      </c>
      <c r="AL153" s="40"/>
      <c r="AM153" s="49" t="str">
        <f aca="false">IF(ISNUMBER($AD153),Header!$I$3,"")</f>
        <v/>
      </c>
      <c r="AN153" s="47" t="str">
        <f aca="false">IF(ISNUMBER($AD153),$AO153+$AP153,"")</f>
        <v/>
      </c>
      <c r="AO153" s="47" t="str">
        <f aca="false">IF(ISNUMBER($AD153),ROUND($AD153*Header!$K$3,2),"")</f>
        <v/>
      </c>
      <c r="AP153" s="47" t="str">
        <f aca="false">IF(ISNUMBER($AD153),ROUND($AD153*Header!$M$3,2),"")</f>
        <v/>
      </c>
      <c r="AQ153" s="46" t="str">
        <f aca="false">IF(ISNUMBER($AD153),ROUND($AD153,2)-$AO153-$AP153,"")</f>
        <v/>
      </c>
      <c r="AR153" s="47" t="str">
        <f aca="false">IF(ISNUMBER($AD153),IF(Header!$D$34="","?",$AD153*Header!$D$34),"")</f>
        <v/>
      </c>
      <c r="AS153" s="47" t="str">
        <f aca="false">IF(ISNUMBER($AB153),IF(Header!$D$34="","?",$AB153*Header!$D$34),"")</f>
        <v/>
      </c>
      <c r="AT153" s="50" t="str">
        <f aca="false">IF(AND(ISNUMBER($AB153),$M153&gt;0),$AB153/$M153*100,"")</f>
        <v/>
      </c>
      <c r="AU153" s="50" t="str">
        <f aca="false">IF(AND(ISNUMBER($AD153),$M153&gt;0),$AD153/$M153*100,"")</f>
        <v/>
      </c>
      <c r="AV153" s="48" t="str">
        <f aca="false">IF(AND(ISNUMBER($AB153),ISNUMBER($AD153),ABS($AB153)&gt;0),$AD153/$AB153,"")</f>
        <v/>
      </c>
      <c r="AW153" s="47" t="str">
        <f aca="false">IF(ISNUMBER($AD153),MAX(0,(1-0.55-Header!$O$3)*Header!$Q$3*$AQ153),"")</f>
        <v/>
      </c>
      <c r="AX153" s="51" t="str">
        <f aca="false">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v/>
      </c>
      <c r="AY153" s="52" t="str">
        <f aca="false">IF($M153="","",IF(ISNUMBER($M153),IF($M153&gt;=Header!$C$18,"YES — refer","No"),""))</f>
        <v/>
      </c>
      <c r="AZ153" s="52" t="str">
        <f aca="false">IF($AD153="","",IF(ISNUMBER($AD153),IF($AD153&lt;Header!$C$20,"BELOW MIN PREMIUM","OK"),""))</f>
        <v/>
      </c>
      <c r="BA153" s="40"/>
      <c r="BB153" s="40"/>
      <c r="BC153" s="38"/>
      <c r="BE153" s="53" t="str">
        <f aca="false">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v/>
      </c>
      <c r="BF153" s="53" t="str">
        <f aca="false">IF($AD153="","",IF(ROUND($AO153+$AP153+$AQ153-$AD153,2)=0,"OK","FAIL - out by "&amp;TEXT($AO153+$AP153+$AQ153-$AD153,"$0.00")))</f>
        <v/>
      </c>
    </row>
    <row r="154" customFormat="false" ht="15" hidden="false" customHeight="true" outlineLevel="0" collapsed="false">
      <c r="A154" s="54"/>
      <c r="B154" s="54"/>
      <c r="C154" s="55"/>
      <c r="D154" s="56"/>
      <c r="E154" s="56"/>
      <c r="F154" s="54"/>
      <c r="G154" s="41" t="str">
        <f aca="false">IF($A154="","",IF($C154="","",YEAR($C154)))</f>
        <v/>
      </c>
      <c r="H154" s="57"/>
      <c r="I154" s="54"/>
      <c r="J154" s="54"/>
      <c r="K154" s="54"/>
      <c r="L154" s="56"/>
      <c r="M154" s="58"/>
      <c r="N154" s="56"/>
      <c r="O154" s="54"/>
      <c r="P154" s="54"/>
      <c r="Q154" s="54"/>
      <c r="R154" s="54"/>
      <c r="S154" s="56"/>
      <c r="T154" s="44" t="str">
        <f aca="false">IF($A154="","",IF($S154="","",IFERROR(INDEX(Lists!$N$5:$N$16,MATCH($S154,Lists!$M$5:$M$16,0)),"?")))</f>
        <v/>
      </c>
      <c r="U154" s="54"/>
      <c r="V154" s="56"/>
      <c r="W154" s="54"/>
      <c r="X154" s="56"/>
      <c r="Y154" s="54"/>
      <c r="Z154" s="54"/>
      <c r="AA154" s="56"/>
      <c r="AB154" s="58"/>
      <c r="AC154" s="59"/>
      <c r="AD154" s="46" t="str">
        <f aca="false">IF(ISNUMBER($AB154),$AB154*(1+N($AC154)),"")</f>
        <v/>
      </c>
      <c r="AE154" s="58"/>
      <c r="AF154" s="58"/>
      <c r="AG154" s="59"/>
      <c r="AH154" s="47" t="str">
        <f aca="false">IF(ISNUMBER($AD154),($AD154+$AE154+$AF154)*$AG154,"")</f>
        <v/>
      </c>
      <c r="AI154" s="58"/>
      <c r="AJ154" s="46" t="str">
        <f aca="false">IF(ISNUMBER($AD154),SUM($AD154:$AH154),"")</f>
        <v/>
      </c>
      <c r="AK154" s="48" t="str">
        <f aca="false">IF(AND(ISNUMBER($AB154),ISNUMBER($AD154)),IF($AB154&gt;0,$AD154/$AB154,""),"")</f>
        <v/>
      </c>
      <c r="AL154" s="56"/>
      <c r="AM154" s="49" t="str">
        <f aca="false">IF(ISNUMBER($AD154),Header!$I$3,"")</f>
        <v/>
      </c>
      <c r="AN154" s="47" t="str">
        <f aca="false">IF(ISNUMBER($AD154),$AO154+$AP154,"")</f>
        <v/>
      </c>
      <c r="AO154" s="47" t="str">
        <f aca="false">IF(ISNUMBER($AD154),ROUND($AD154*Header!$K$3,2),"")</f>
        <v/>
      </c>
      <c r="AP154" s="47" t="str">
        <f aca="false">IF(ISNUMBER($AD154),ROUND($AD154*Header!$M$3,2),"")</f>
        <v/>
      </c>
      <c r="AQ154" s="46" t="str">
        <f aca="false">IF(ISNUMBER($AD154),ROUND($AD154,2)-$AO154-$AP154,"")</f>
        <v/>
      </c>
      <c r="AR154" s="47" t="str">
        <f aca="false">IF(ISNUMBER($AD154),IF(Header!$D$34="","?",$AD154*Header!$D$34),"")</f>
        <v/>
      </c>
      <c r="AS154" s="47" t="str">
        <f aca="false">IF(ISNUMBER($AB154),IF(Header!$D$34="","?",$AB154*Header!$D$34),"")</f>
        <v/>
      </c>
      <c r="AT154" s="50" t="str">
        <f aca="false">IF(AND(ISNUMBER($AB154),$M154&gt;0),$AB154/$M154*100,"")</f>
        <v/>
      </c>
      <c r="AU154" s="50" t="str">
        <f aca="false">IF(AND(ISNUMBER($AD154),$M154&gt;0),$AD154/$M154*100,"")</f>
        <v/>
      </c>
      <c r="AV154" s="48" t="str">
        <f aca="false">IF(AND(ISNUMBER($AB154),ISNUMBER($AD154),ABS($AB154)&gt;0),$AD154/$AB154,"")</f>
        <v/>
      </c>
      <c r="AW154" s="47" t="str">
        <f aca="false">IF(ISNUMBER($AD154),MAX(0,(1-0.55-Header!$O$3)*Header!$Q$3*$AQ154),"")</f>
        <v/>
      </c>
      <c r="AX154" s="51" t="str">
        <f aca="false">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v/>
      </c>
      <c r="AY154" s="52" t="str">
        <f aca="false">IF($M154="","",IF(ISNUMBER($M154),IF($M154&gt;=Header!$C$18,"YES — refer","No"),""))</f>
        <v/>
      </c>
      <c r="AZ154" s="52" t="str">
        <f aca="false">IF($AD154="","",IF(ISNUMBER($AD154),IF($AD154&lt;Header!$C$20,"BELOW MIN PREMIUM","OK"),""))</f>
        <v/>
      </c>
      <c r="BA154" s="56"/>
      <c r="BB154" s="56"/>
      <c r="BC154" s="54"/>
      <c r="BE154" s="53" t="str">
        <f aca="false">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v/>
      </c>
      <c r="BF154" s="53" t="str">
        <f aca="false">IF($AD154="","",IF(ROUND($AO154+$AP154+$AQ154-$AD154,2)=0,"OK","FAIL - out by "&amp;TEXT($AO154+$AP154+$AQ154-$AD154,"$0.00")))</f>
        <v/>
      </c>
    </row>
    <row r="155" customFormat="false" ht="15" hidden="false" customHeight="true" outlineLevel="0" collapsed="false">
      <c r="A155" s="38"/>
      <c r="B155" s="38"/>
      <c r="C155" s="39"/>
      <c r="D155" s="40"/>
      <c r="E155" s="40"/>
      <c r="F155" s="38"/>
      <c r="G155" s="41" t="str">
        <f aca="false">IF($A155="","",IF($C155="","",YEAR($C155)))</f>
        <v/>
      </c>
      <c r="H155" s="42"/>
      <c r="I155" s="38"/>
      <c r="J155" s="38"/>
      <c r="K155" s="38"/>
      <c r="L155" s="40"/>
      <c r="M155" s="43"/>
      <c r="N155" s="40"/>
      <c r="O155" s="38"/>
      <c r="P155" s="38"/>
      <c r="Q155" s="38"/>
      <c r="R155" s="38"/>
      <c r="S155" s="40"/>
      <c r="T155" s="44" t="str">
        <f aca="false">IF($A155="","",IF($S155="","",IFERROR(INDEX(Lists!$N$5:$N$16,MATCH($S155,Lists!$M$5:$M$16,0)),"?")))</f>
        <v/>
      </c>
      <c r="U155" s="38"/>
      <c r="V155" s="40"/>
      <c r="W155" s="38"/>
      <c r="X155" s="40"/>
      <c r="Y155" s="38"/>
      <c r="Z155" s="38"/>
      <c r="AA155" s="40"/>
      <c r="AB155" s="43"/>
      <c r="AC155" s="45"/>
      <c r="AD155" s="46" t="str">
        <f aca="false">IF(ISNUMBER($AB155),$AB155*(1+N($AC155)),"")</f>
        <v/>
      </c>
      <c r="AE155" s="43"/>
      <c r="AF155" s="43"/>
      <c r="AG155" s="45"/>
      <c r="AH155" s="47" t="str">
        <f aca="false">IF(ISNUMBER($AD155),($AD155+$AE155+$AF155)*$AG155,"")</f>
        <v/>
      </c>
      <c r="AI155" s="43"/>
      <c r="AJ155" s="46" t="str">
        <f aca="false">IF(ISNUMBER($AD155),SUM($AD155:$AH155),"")</f>
        <v/>
      </c>
      <c r="AK155" s="48" t="str">
        <f aca="false">IF(AND(ISNUMBER($AB155),ISNUMBER($AD155)),IF($AB155&gt;0,$AD155/$AB155,""),"")</f>
        <v/>
      </c>
      <c r="AL155" s="40"/>
      <c r="AM155" s="49" t="str">
        <f aca="false">IF(ISNUMBER($AD155),Header!$I$3,"")</f>
        <v/>
      </c>
      <c r="AN155" s="47" t="str">
        <f aca="false">IF(ISNUMBER($AD155),$AO155+$AP155,"")</f>
        <v/>
      </c>
      <c r="AO155" s="47" t="str">
        <f aca="false">IF(ISNUMBER($AD155),ROUND($AD155*Header!$K$3,2),"")</f>
        <v/>
      </c>
      <c r="AP155" s="47" t="str">
        <f aca="false">IF(ISNUMBER($AD155),ROUND($AD155*Header!$M$3,2),"")</f>
        <v/>
      </c>
      <c r="AQ155" s="46" t="str">
        <f aca="false">IF(ISNUMBER($AD155),ROUND($AD155,2)-$AO155-$AP155,"")</f>
        <v/>
      </c>
      <c r="AR155" s="47" t="str">
        <f aca="false">IF(ISNUMBER($AD155),IF(Header!$D$34="","?",$AD155*Header!$D$34),"")</f>
        <v/>
      </c>
      <c r="AS155" s="47" t="str">
        <f aca="false">IF(ISNUMBER($AB155),IF(Header!$D$34="","?",$AB155*Header!$D$34),"")</f>
        <v/>
      </c>
      <c r="AT155" s="50" t="str">
        <f aca="false">IF(AND(ISNUMBER($AB155),$M155&gt;0),$AB155/$M155*100,"")</f>
        <v/>
      </c>
      <c r="AU155" s="50" t="str">
        <f aca="false">IF(AND(ISNUMBER($AD155),$M155&gt;0),$AD155/$M155*100,"")</f>
        <v/>
      </c>
      <c r="AV155" s="48" t="str">
        <f aca="false">IF(AND(ISNUMBER($AB155),ISNUMBER($AD155),ABS($AB155)&gt;0),$AD155/$AB155,"")</f>
        <v/>
      </c>
      <c r="AW155" s="47" t="str">
        <f aca="false">IF(ISNUMBER($AD155),MAX(0,(1-0.55-Header!$O$3)*Header!$Q$3*$AQ155),"")</f>
        <v/>
      </c>
      <c r="AX155" s="51" t="str">
        <f aca="false">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v/>
      </c>
      <c r="AY155" s="52" t="str">
        <f aca="false">IF($M155="","",IF(ISNUMBER($M155),IF($M155&gt;=Header!$C$18,"YES — refer","No"),""))</f>
        <v/>
      </c>
      <c r="AZ155" s="52" t="str">
        <f aca="false">IF($AD155="","",IF(ISNUMBER($AD155),IF($AD155&lt;Header!$C$20,"BELOW MIN PREMIUM","OK"),""))</f>
        <v/>
      </c>
      <c r="BA155" s="40"/>
      <c r="BB155" s="40"/>
      <c r="BC155" s="38"/>
      <c r="BE155" s="53" t="str">
        <f aca="false">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v/>
      </c>
      <c r="BF155" s="53" t="str">
        <f aca="false">IF($AD155="","",IF(ROUND($AO155+$AP155+$AQ155-$AD155,2)=0,"OK","FAIL - out by "&amp;TEXT($AO155+$AP155+$AQ155-$AD155,"$0.00")))</f>
        <v/>
      </c>
    </row>
    <row r="156" customFormat="false" ht="15" hidden="false" customHeight="true" outlineLevel="0" collapsed="false">
      <c r="A156" s="54"/>
      <c r="B156" s="54"/>
      <c r="C156" s="55"/>
      <c r="D156" s="56"/>
      <c r="E156" s="56"/>
      <c r="F156" s="54"/>
      <c r="G156" s="41" t="str">
        <f aca="false">IF($A156="","",IF($C156="","",YEAR($C156)))</f>
        <v/>
      </c>
      <c r="H156" s="57"/>
      <c r="I156" s="54"/>
      <c r="J156" s="54"/>
      <c r="K156" s="54"/>
      <c r="L156" s="56"/>
      <c r="M156" s="58"/>
      <c r="N156" s="56"/>
      <c r="O156" s="54"/>
      <c r="P156" s="54"/>
      <c r="Q156" s="54"/>
      <c r="R156" s="54"/>
      <c r="S156" s="56"/>
      <c r="T156" s="44" t="str">
        <f aca="false">IF($A156="","",IF($S156="","",IFERROR(INDEX(Lists!$N$5:$N$16,MATCH($S156,Lists!$M$5:$M$16,0)),"?")))</f>
        <v/>
      </c>
      <c r="U156" s="54"/>
      <c r="V156" s="56"/>
      <c r="W156" s="54"/>
      <c r="X156" s="56"/>
      <c r="Y156" s="54"/>
      <c r="Z156" s="54"/>
      <c r="AA156" s="56"/>
      <c r="AB156" s="58"/>
      <c r="AC156" s="59"/>
      <c r="AD156" s="46" t="str">
        <f aca="false">IF(ISNUMBER($AB156),$AB156*(1+N($AC156)),"")</f>
        <v/>
      </c>
      <c r="AE156" s="58"/>
      <c r="AF156" s="58"/>
      <c r="AG156" s="59"/>
      <c r="AH156" s="47" t="str">
        <f aca="false">IF(ISNUMBER($AD156),($AD156+$AE156+$AF156)*$AG156,"")</f>
        <v/>
      </c>
      <c r="AI156" s="58"/>
      <c r="AJ156" s="46" t="str">
        <f aca="false">IF(ISNUMBER($AD156),SUM($AD156:$AH156),"")</f>
        <v/>
      </c>
      <c r="AK156" s="48" t="str">
        <f aca="false">IF(AND(ISNUMBER($AB156),ISNUMBER($AD156)),IF($AB156&gt;0,$AD156/$AB156,""),"")</f>
        <v/>
      </c>
      <c r="AL156" s="56"/>
      <c r="AM156" s="49" t="str">
        <f aca="false">IF(ISNUMBER($AD156),Header!$I$3,"")</f>
        <v/>
      </c>
      <c r="AN156" s="47" t="str">
        <f aca="false">IF(ISNUMBER($AD156),$AO156+$AP156,"")</f>
        <v/>
      </c>
      <c r="AO156" s="47" t="str">
        <f aca="false">IF(ISNUMBER($AD156),ROUND($AD156*Header!$K$3,2),"")</f>
        <v/>
      </c>
      <c r="AP156" s="47" t="str">
        <f aca="false">IF(ISNUMBER($AD156),ROUND($AD156*Header!$M$3,2),"")</f>
        <v/>
      </c>
      <c r="AQ156" s="46" t="str">
        <f aca="false">IF(ISNUMBER($AD156),ROUND($AD156,2)-$AO156-$AP156,"")</f>
        <v/>
      </c>
      <c r="AR156" s="47" t="str">
        <f aca="false">IF(ISNUMBER($AD156),IF(Header!$D$34="","?",$AD156*Header!$D$34),"")</f>
        <v/>
      </c>
      <c r="AS156" s="47" t="str">
        <f aca="false">IF(ISNUMBER($AB156),IF(Header!$D$34="","?",$AB156*Header!$D$34),"")</f>
        <v/>
      </c>
      <c r="AT156" s="50" t="str">
        <f aca="false">IF(AND(ISNUMBER($AB156),$M156&gt;0),$AB156/$M156*100,"")</f>
        <v/>
      </c>
      <c r="AU156" s="50" t="str">
        <f aca="false">IF(AND(ISNUMBER($AD156),$M156&gt;0),$AD156/$M156*100,"")</f>
        <v/>
      </c>
      <c r="AV156" s="48" t="str">
        <f aca="false">IF(AND(ISNUMBER($AB156),ISNUMBER($AD156),ABS($AB156)&gt;0),$AD156/$AB156,"")</f>
        <v/>
      </c>
      <c r="AW156" s="47" t="str">
        <f aca="false">IF(ISNUMBER($AD156),MAX(0,(1-0.55-Header!$O$3)*Header!$Q$3*$AQ156),"")</f>
        <v/>
      </c>
      <c r="AX156" s="51" t="str">
        <f aca="false">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v/>
      </c>
      <c r="AY156" s="52" t="str">
        <f aca="false">IF($M156="","",IF(ISNUMBER($M156),IF($M156&gt;=Header!$C$18,"YES — refer","No"),""))</f>
        <v/>
      </c>
      <c r="AZ156" s="52" t="str">
        <f aca="false">IF($AD156="","",IF(ISNUMBER($AD156),IF($AD156&lt;Header!$C$20,"BELOW MIN PREMIUM","OK"),""))</f>
        <v/>
      </c>
      <c r="BA156" s="56"/>
      <c r="BB156" s="56"/>
      <c r="BC156" s="54"/>
      <c r="BE156" s="53" t="str">
        <f aca="false">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v/>
      </c>
      <c r="BF156" s="53" t="str">
        <f aca="false">IF($AD156="","",IF(ROUND($AO156+$AP156+$AQ156-$AD156,2)=0,"OK","FAIL - out by "&amp;TEXT($AO156+$AP156+$AQ156-$AD156,"$0.00")))</f>
        <v/>
      </c>
    </row>
    <row r="157" customFormat="false" ht="15" hidden="false" customHeight="true" outlineLevel="0" collapsed="false">
      <c r="A157" s="38"/>
      <c r="B157" s="38"/>
      <c r="C157" s="39"/>
      <c r="D157" s="40"/>
      <c r="E157" s="40"/>
      <c r="F157" s="38"/>
      <c r="G157" s="41" t="str">
        <f aca="false">IF($A157="","",IF($C157="","",YEAR($C157)))</f>
        <v/>
      </c>
      <c r="H157" s="42"/>
      <c r="I157" s="38"/>
      <c r="J157" s="38"/>
      <c r="K157" s="38"/>
      <c r="L157" s="40"/>
      <c r="M157" s="43"/>
      <c r="N157" s="40"/>
      <c r="O157" s="38"/>
      <c r="P157" s="38"/>
      <c r="Q157" s="38"/>
      <c r="R157" s="38"/>
      <c r="S157" s="40"/>
      <c r="T157" s="44" t="str">
        <f aca="false">IF($A157="","",IF($S157="","",IFERROR(INDEX(Lists!$N$5:$N$16,MATCH($S157,Lists!$M$5:$M$16,0)),"?")))</f>
        <v/>
      </c>
      <c r="U157" s="38"/>
      <c r="V157" s="40"/>
      <c r="W157" s="38"/>
      <c r="X157" s="40"/>
      <c r="Y157" s="38"/>
      <c r="Z157" s="38"/>
      <c r="AA157" s="40"/>
      <c r="AB157" s="43"/>
      <c r="AC157" s="45"/>
      <c r="AD157" s="46" t="str">
        <f aca="false">IF(ISNUMBER($AB157),$AB157*(1+N($AC157)),"")</f>
        <v/>
      </c>
      <c r="AE157" s="43"/>
      <c r="AF157" s="43"/>
      <c r="AG157" s="45"/>
      <c r="AH157" s="47" t="str">
        <f aca="false">IF(ISNUMBER($AD157),($AD157+$AE157+$AF157)*$AG157,"")</f>
        <v/>
      </c>
      <c r="AI157" s="43"/>
      <c r="AJ157" s="46" t="str">
        <f aca="false">IF(ISNUMBER($AD157),SUM($AD157:$AH157),"")</f>
        <v/>
      </c>
      <c r="AK157" s="48" t="str">
        <f aca="false">IF(AND(ISNUMBER($AB157),ISNUMBER($AD157)),IF($AB157&gt;0,$AD157/$AB157,""),"")</f>
        <v/>
      </c>
      <c r="AL157" s="40"/>
      <c r="AM157" s="49" t="str">
        <f aca="false">IF(ISNUMBER($AD157),Header!$I$3,"")</f>
        <v/>
      </c>
      <c r="AN157" s="47" t="str">
        <f aca="false">IF(ISNUMBER($AD157),$AO157+$AP157,"")</f>
        <v/>
      </c>
      <c r="AO157" s="47" t="str">
        <f aca="false">IF(ISNUMBER($AD157),ROUND($AD157*Header!$K$3,2),"")</f>
        <v/>
      </c>
      <c r="AP157" s="47" t="str">
        <f aca="false">IF(ISNUMBER($AD157),ROUND($AD157*Header!$M$3,2),"")</f>
        <v/>
      </c>
      <c r="AQ157" s="46" t="str">
        <f aca="false">IF(ISNUMBER($AD157),ROUND($AD157,2)-$AO157-$AP157,"")</f>
        <v/>
      </c>
      <c r="AR157" s="47" t="str">
        <f aca="false">IF(ISNUMBER($AD157),IF(Header!$D$34="","?",$AD157*Header!$D$34),"")</f>
        <v/>
      </c>
      <c r="AS157" s="47" t="str">
        <f aca="false">IF(ISNUMBER($AB157),IF(Header!$D$34="","?",$AB157*Header!$D$34),"")</f>
        <v/>
      </c>
      <c r="AT157" s="50" t="str">
        <f aca="false">IF(AND(ISNUMBER($AB157),$M157&gt;0),$AB157/$M157*100,"")</f>
        <v/>
      </c>
      <c r="AU157" s="50" t="str">
        <f aca="false">IF(AND(ISNUMBER($AD157),$M157&gt;0),$AD157/$M157*100,"")</f>
        <v/>
      </c>
      <c r="AV157" s="48" t="str">
        <f aca="false">IF(AND(ISNUMBER($AB157),ISNUMBER($AD157),ABS($AB157)&gt;0),$AD157/$AB157,"")</f>
        <v/>
      </c>
      <c r="AW157" s="47" t="str">
        <f aca="false">IF(ISNUMBER($AD157),MAX(0,(1-0.55-Header!$O$3)*Header!$Q$3*$AQ157),"")</f>
        <v/>
      </c>
      <c r="AX157" s="51" t="str">
        <f aca="false">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v/>
      </c>
      <c r="AY157" s="52" t="str">
        <f aca="false">IF($M157="","",IF(ISNUMBER($M157),IF($M157&gt;=Header!$C$18,"YES — refer","No"),""))</f>
        <v/>
      </c>
      <c r="AZ157" s="52" t="str">
        <f aca="false">IF($AD157="","",IF(ISNUMBER($AD157),IF($AD157&lt;Header!$C$20,"BELOW MIN PREMIUM","OK"),""))</f>
        <v/>
      </c>
      <c r="BA157" s="40"/>
      <c r="BB157" s="40"/>
      <c r="BC157" s="38"/>
      <c r="BE157" s="53" t="str">
        <f aca="false">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v/>
      </c>
      <c r="BF157" s="53" t="str">
        <f aca="false">IF($AD157="","",IF(ROUND($AO157+$AP157+$AQ157-$AD157,2)=0,"OK","FAIL - out by "&amp;TEXT($AO157+$AP157+$AQ157-$AD157,"$0.00")))</f>
        <v/>
      </c>
    </row>
    <row r="158" customFormat="false" ht="15" hidden="false" customHeight="true" outlineLevel="0" collapsed="false">
      <c r="A158" s="54"/>
      <c r="B158" s="54"/>
      <c r="C158" s="55"/>
      <c r="D158" s="56"/>
      <c r="E158" s="56"/>
      <c r="F158" s="54"/>
      <c r="G158" s="41" t="str">
        <f aca="false">IF($A158="","",IF($C158="","",YEAR($C158)))</f>
        <v/>
      </c>
      <c r="H158" s="57"/>
      <c r="I158" s="54"/>
      <c r="J158" s="54"/>
      <c r="K158" s="54"/>
      <c r="L158" s="56"/>
      <c r="M158" s="58"/>
      <c r="N158" s="56"/>
      <c r="O158" s="54"/>
      <c r="P158" s="54"/>
      <c r="Q158" s="54"/>
      <c r="R158" s="54"/>
      <c r="S158" s="56"/>
      <c r="T158" s="44" t="str">
        <f aca="false">IF($A158="","",IF($S158="","",IFERROR(INDEX(Lists!$N$5:$N$16,MATCH($S158,Lists!$M$5:$M$16,0)),"?")))</f>
        <v/>
      </c>
      <c r="U158" s="54"/>
      <c r="V158" s="56"/>
      <c r="W158" s="54"/>
      <c r="X158" s="56"/>
      <c r="Y158" s="54"/>
      <c r="Z158" s="54"/>
      <c r="AA158" s="56"/>
      <c r="AB158" s="58"/>
      <c r="AC158" s="59"/>
      <c r="AD158" s="46" t="str">
        <f aca="false">IF(ISNUMBER($AB158),$AB158*(1+N($AC158)),"")</f>
        <v/>
      </c>
      <c r="AE158" s="58"/>
      <c r="AF158" s="58"/>
      <c r="AG158" s="59"/>
      <c r="AH158" s="47" t="str">
        <f aca="false">IF(ISNUMBER($AD158),($AD158+$AE158+$AF158)*$AG158,"")</f>
        <v/>
      </c>
      <c r="AI158" s="58"/>
      <c r="AJ158" s="46" t="str">
        <f aca="false">IF(ISNUMBER($AD158),SUM($AD158:$AH158),"")</f>
        <v/>
      </c>
      <c r="AK158" s="48" t="str">
        <f aca="false">IF(AND(ISNUMBER($AB158),ISNUMBER($AD158)),IF($AB158&gt;0,$AD158/$AB158,""),"")</f>
        <v/>
      </c>
      <c r="AL158" s="56"/>
      <c r="AM158" s="49" t="str">
        <f aca="false">IF(ISNUMBER($AD158),Header!$I$3,"")</f>
        <v/>
      </c>
      <c r="AN158" s="47" t="str">
        <f aca="false">IF(ISNUMBER($AD158),$AO158+$AP158,"")</f>
        <v/>
      </c>
      <c r="AO158" s="47" t="str">
        <f aca="false">IF(ISNUMBER($AD158),ROUND($AD158*Header!$K$3,2),"")</f>
        <v/>
      </c>
      <c r="AP158" s="47" t="str">
        <f aca="false">IF(ISNUMBER($AD158),ROUND($AD158*Header!$M$3,2),"")</f>
        <v/>
      </c>
      <c r="AQ158" s="46" t="str">
        <f aca="false">IF(ISNUMBER($AD158),ROUND($AD158,2)-$AO158-$AP158,"")</f>
        <v/>
      </c>
      <c r="AR158" s="47" t="str">
        <f aca="false">IF(ISNUMBER($AD158),IF(Header!$D$34="","?",$AD158*Header!$D$34),"")</f>
        <v/>
      </c>
      <c r="AS158" s="47" t="str">
        <f aca="false">IF(ISNUMBER($AB158),IF(Header!$D$34="","?",$AB158*Header!$D$34),"")</f>
        <v/>
      </c>
      <c r="AT158" s="50" t="str">
        <f aca="false">IF(AND(ISNUMBER($AB158),$M158&gt;0),$AB158/$M158*100,"")</f>
        <v/>
      </c>
      <c r="AU158" s="50" t="str">
        <f aca="false">IF(AND(ISNUMBER($AD158),$M158&gt;0),$AD158/$M158*100,"")</f>
        <v/>
      </c>
      <c r="AV158" s="48" t="str">
        <f aca="false">IF(AND(ISNUMBER($AB158),ISNUMBER($AD158),ABS($AB158)&gt;0),$AD158/$AB158,"")</f>
        <v/>
      </c>
      <c r="AW158" s="47" t="str">
        <f aca="false">IF(ISNUMBER($AD158),MAX(0,(1-0.55-Header!$O$3)*Header!$Q$3*$AQ158),"")</f>
        <v/>
      </c>
      <c r="AX158" s="51" t="str">
        <f aca="false">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v/>
      </c>
      <c r="AY158" s="52" t="str">
        <f aca="false">IF($M158="","",IF(ISNUMBER($M158),IF($M158&gt;=Header!$C$18,"YES — refer","No"),""))</f>
        <v/>
      </c>
      <c r="AZ158" s="52" t="str">
        <f aca="false">IF($AD158="","",IF(ISNUMBER($AD158),IF($AD158&lt;Header!$C$20,"BELOW MIN PREMIUM","OK"),""))</f>
        <v/>
      </c>
      <c r="BA158" s="56"/>
      <c r="BB158" s="56"/>
      <c r="BC158" s="54"/>
      <c r="BE158" s="53" t="str">
        <f aca="false">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v/>
      </c>
      <c r="BF158" s="53" t="str">
        <f aca="false">IF($AD158="","",IF(ROUND($AO158+$AP158+$AQ158-$AD158,2)=0,"OK","FAIL - out by "&amp;TEXT($AO158+$AP158+$AQ158-$AD158,"$0.00")))</f>
        <v/>
      </c>
    </row>
    <row r="159" customFormat="false" ht="15" hidden="false" customHeight="true" outlineLevel="0" collapsed="false">
      <c r="A159" s="38"/>
      <c r="B159" s="38"/>
      <c r="C159" s="39"/>
      <c r="D159" s="40"/>
      <c r="E159" s="40"/>
      <c r="F159" s="38"/>
      <c r="G159" s="41" t="str">
        <f aca="false">IF($A159="","",IF($C159="","",YEAR($C159)))</f>
        <v/>
      </c>
      <c r="H159" s="42"/>
      <c r="I159" s="38"/>
      <c r="J159" s="38"/>
      <c r="K159" s="38"/>
      <c r="L159" s="40"/>
      <c r="M159" s="43"/>
      <c r="N159" s="40"/>
      <c r="O159" s="38"/>
      <c r="P159" s="38"/>
      <c r="Q159" s="38"/>
      <c r="R159" s="38"/>
      <c r="S159" s="40"/>
      <c r="T159" s="44" t="str">
        <f aca="false">IF($A159="","",IF($S159="","",IFERROR(INDEX(Lists!$N$5:$N$16,MATCH($S159,Lists!$M$5:$M$16,0)),"?")))</f>
        <v/>
      </c>
      <c r="U159" s="38"/>
      <c r="V159" s="40"/>
      <c r="W159" s="38"/>
      <c r="X159" s="40"/>
      <c r="Y159" s="38"/>
      <c r="Z159" s="38"/>
      <c r="AA159" s="40"/>
      <c r="AB159" s="43"/>
      <c r="AC159" s="45"/>
      <c r="AD159" s="46" t="str">
        <f aca="false">IF(ISNUMBER($AB159),$AB159*(1+N($AC159)),"")</f>
        <v/>
      </c>
      <c r="AE159" s="43"/>
      <c r="AF159" s="43"/>
      <c r="AG159" s="45"/>
      <c r="AH159" s="47" t="str">
        <f aca="false">IF(ISNUMBER($AD159),($AD159+$AE159+$AF159)*$AG159,"")</f>
        <v/>
      </c>
      <c r="AI159" s="43"/>
      <c r="AJ159" s="46" t="str">
        <f aca="false">IF(ISNUMBER($AD159),SUM($AD159:$AH159),"")</f>
        <v/>
      </c>
      <c r="AK159" s="48" t="str">
        <f aca="false">IF(AND(ISNUMBER($AB159),ISNUMBER($AD159)),IF($AB159&gt;0,$AD159/$AB159,""),"")</f>
        <v/>
      </c>
      <c r="AL159" s="40"/>
      <c r="AM159" s="49" t="str">
        <f aca="false">IF(ISNUMBER($AD159),Header!$I$3,"")</f>
        <v/>
      </c>
      <c r="AN159" s="47" t="str">
        <f aca="false">IF(ISNUMBER($AD159),$AO159+$AP159,"")</f>
        <v/>
      </c>
      <c r="AO159" s="47" t="str">
        <f aca="false">IF(ISNUMBER($AD159),ROUND($AD159*Header!$K$3,2),"")</f>
        <v/>
      </c>
      <c r="AP159" s="47" t="str">
        <f aca="false">IF(ISNUMBER($AD159),ROUND($AD159*Header!$M$3,2),"")</f>
        <v/>
      </c>
      <c r="AQ159" s="46" t="str">
        <f aca="false">IF(ISNUMBER($AD159),ROUND($AD159,2)-$AO159-$AP159,"")</f>
        <v/>
      </c>
      <c r="AR159" s="47" t="str">
        <f aca="false">IF(ISNUMBER($AD159),IF(Header!$D$34="","?",$AD159*Header!$D$34),"")</f>
        <v/>
      </c>
      <c r="AS159" s="47" t="str">
        <f aca="false">IF(ISNUMBER($AB159),IF(Header!$D$34="","?",$AB159*Header!$D$34),"")</f>
        <v/>
      </c>
      <c r="AT159" s="50" t="str">
        <f aca="false">IF(AND(ISNUMBER($AB159),$M159&gt;0),$AB159/$M159*100,"")</f>
        <v/>
      </c>
      <c r="AU159" s="50" t="str">
        <f aca="false">IF(AND(ISNUMBER($AD159),$M159&gt;0),$AD159/$M159*100,"")</f>
        <v/>
      </c>
      <c r="AV159" s="48" t="str">
        <f aca="false">IF(AND(ISNUMBER($AB159),ISNUMBER($AD159),ABS($AB159)&gt;0),$AD159/$AB159,"")</f>
        <v/>
      </c>
      <c r="AW159" s="47" t="str">
        <f aca="false">IF(ISNUMBER($AD159),MAX(0,(1-0.55-Header!$O$3)*Header!$Q$3*$AQ159),"")</f>
        <v/>
      </c>
      <c r="AX159" s="51" t="str">
        <f aca="false">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v/>
      </c>
      <c r="AY159" s="52" t="str">
        <f aca="false">IF($M159="","",IF(ISNUMBER($M159),IF($M159&gt;=Header!$C$18,"YES — refer","No"),""))</f>
        <v/>
      </c>
      <c r="AZ159" s="52" t="str">
        <f aca="false">IF($AD159="","",IF(ISNUMBER($AD159),IF($AD159&lt;Header!$C$20,"BELOW MIN PREMIUM","OK"),""))</f>
        <v/>
      </c>
      <c r="BA159" s="40"/>
      <c r="BB159" s="40"/>
      <c r="BC159" s="38"/>
      <c r="BE159" s="53" t="str">
        <f aca="false">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v/>
      </c>
      <c r="BF159" s="53" t="str">
        <f aca="false">IF($AD159="","",IF(ROUND($AO159+$AP159+$AQ159-$AD159,2)=0,"OK","FAIL - out by "&amp;TEXT($AO159+$AP159+$AQ159-$AD159,"$0.00")))</f>
        <v/>
      </c>
    </row>
    <row r="160" customFormat="false" ht="15" hidden="false" customHeight="true" outlineLevel="0" collapsed="false">
      <c r="A160" s="54"/>
      <c r="B160" s="54"/>
      <c r="C160" s="55"/>
      <c r="D160" s="56"/>
      <c r="E160" s="56"/>
      <c r="F160" s="54"/>
      <c r="G160" s="41" t="str">
        <f aca="false">IF($A160="","",IF($C160="","",YEAR($C160)))</f>
        <v/>
      </c>
      <c r="H160" s="57"/>
      <c r="I160" s="54"/>
      <c r="J160" s="54"/>
      <c r="K160" s="54"/>
      <c r="L160" s="56"/>
      <c r="M160" s="58"/>
      <c r="N160" s="56"/>
      <c r="O160" s="54"/>
      <c r="P160" s="54"/>
      <c r="Q160" s="54"/>
      <c r="R160" s="54"/>
      <c r="S160" s="56"/>
      <c r="T160" s="44" t="str">
        <f aca="false">IF($A160="","",IF($S160="","",IFERROR(INDEX(Lists!$N$5:$N$16,MATCH($S160,Lists!$M$5:$M$16,0)),"?")))</f>
        <v/>
      </c>
      <c r="U160" s="54"/>
      <c r="V160" s="56"/>
      <c r="W160" s="54"/>
      <c r="X160" s="56"/>
      <c r="Y160" s="54"/>
      <c r="Z160" s="54"/>
      <c r="AA160" s="56"/>
      <c r="AB160" s="58"/>
      <c r="AC160" s="59"/>
      <c r="AD160" s="46" t="str">
        <f aca="false">IF(ISNUMBER($AB160),$AB160*(1+N($AC160)),"")</f>
        <v/>
      </c>
      <c r="AE160" s="58"/>
      <c r="AF160" s="58"/>
      <c r="AG160" s="59"/>
      <c r="AH160" s="47" t="str">
        <f aca="false">IF(ISNUMBER($AD160),($AD160+$AE160+$AF160)*$AG160,"")</f>
        <v/>
      </c>
      <c r="AI160" s="58"/>
      <c r="AJ160" s="46" t="str">
        <f aca="false">IF(ISNUMBER($AD160),SUM($AD160:$AH160),"")</f>
        <v/>
      </c>
      <c r="AK160" s="48" t="str">
        <f aca="false">IF(AND(ISNUMBER($AB160),ISNUMBER($AD160)),IF($AB160&gt;0,$AD160/$AB160,""),"")</f>
        <v/>
      </c>
      <c r="AL160" s="56"/>
      <c r="AM160" s="49" t="str">
        <f aca="false">IF(ISNUMBER($AD160),Header!$I$3,"")</f>
        <v/>
      </c>
      <c r="AN160" s="47" t="str">
        <f aca="false">IF(ISNUMBER($AD160),$AO160+$AP160,"")</f>
        <v/>
      </c>
      <c r="AO160" s="47" t="str">
        <f aca="false">IF(ISNUMBER($AD160),ROUND($AD160*Header!$K$3,2),"")</f>
        <v/>
      </c>
      <c r="AP160" s="47" t="str">
        <f aca="false">IF(ISNUMBER($AD160),ROUND($AD160*Header!$M$3,2),"")</f>
        <v/>
      </c>
      <c r="AQ160" s="46" t="str">
        <f aca="false">IF(ISNUMBER($AD160),ROUND($AD160,2)-$AO160-$AP160,"")</f>
        <v/>
      </c>
      <c r="AR160" s="47" t="str">
        <f aca="false">IF(ISNUMBER($AD160),IF(Header!$D$34="","?",$AD160*Header!$D$34),"")</f>
        <v/>
      </c>
      <c r="AS160" s="47" t="str">
        <f aca="false">IF(ISNUMBER($AB160),IF(Header!$D$34="","?",$AB160*Header!$D$34),"")</f>
        <v/>
      </c>
      <c r="AT160" s="50" t="str">
        <f aca="false">IF(AND(ISNUMBER($AB160),$M160&gt;0),$AB160/$M160*100,"")</f>
        <v/>
      </c>
      <c r="AU160" s="50" t="str">
        <f aca="false">IF(AND(ISNUMBER($AD160),$M160&gt;0),$AD160/$M160*100,"")</f>
        <v/>
      </c>
      <c r="AV160" s="48" t="str">
        <f aca="false">IF(AND(ISNUMBER($AB160),ISNUMBER($AD160),ABS($AB160)&gt;0),$AD160/$AB160,"")</f>
        <v/>
      </c>
      <c r="AW160" s="47" t="str">
        <f aca="false">IF(ISNUMBER($AD160),MAX(0,(1-0.55-Header!$O$3)*Header!$Q$3*$AQ160),"")</f>
        <v/>
      </c>
      <c r="AX160" s="51" t="str">
        <f aca="false">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v/>
      </c>
      <c r="AY160" s="52" t="str">
        <f aca="false">IF($M160="","",IF(ISNUMBER($M160),IF($M160&gt;=Header!$C$18,"YES — refer","No"),""))</f>
        <v/>
      </c>
      <c r="AZ160" s="52" t="str">
        <f aca="false">IF($AD160="","",IF(ISNUMBER($AD160),IF($AD160&lt;Header!$C$20,"BELOW MIN PREMIUM","OK"),""))</f>
        <v/>
      </c>
      <c r="BA160" s="56"/>
      <c r="BB160" s="56"/>
      <c r="BC160" s="54"/>
      <c r="BE160" s="53" t="str">
        <f aca="false">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v/>
      </c>
      <c r="BF160" s="53" t="str">
        <f aca="false">IF($AD160="","",IF(ROUND($AO160+$AP160+$AQ160-$AD160,2)=0,"OK","FAIL - out by "&amp;TEXT($AO160+$AP160+$AQ160-$AD160,"$0.00")))</f>
        <v/>
      </c>
    </row>
    <row r="161" customFormat="false" ht="15" hidden="false" customHeight="true" outlineLevel="0" collapsed="false">
      <c r="A161" s="38"/>
      <c r="B161" s="38"/>
      <c r="C161" s="39"/>
      <c r="D161" s="40"/>
      <c r="E161" s="40"/>
      <c r="F161" s="38"/>
      <c r="G161" s="41" t="str">
        <f aca="false">IF($A161="","",IF($C161="","",YEAR($C161)))</f>
        <v/>
      </c>
      <c r="H161" s="42"/>
      <c r="I161" s="38"/>
      <c r="J161" s="38"/>
      <c r="K161" s="38"/>
      <c r="L161" s="40"/>
      <c r="M161" s="43"/>
      <c r="N161" s="40"/>
      <c r="O161" s="38"/>
      <c r="P161" s="38"/>
      <c r="Q161" s="38"/>
      <c r="R161" s="38"/>
      <c r="S161" s="40"/>
      <c r="T161" s="44" t="str">
        <f aca="false">IF($A161="","",IF($S161="","",IFERROR(INDEX(Lists!$N$5:$N$16,MATCH($S161,Lists!$M$5:$M$16,0)),"?")))</f>
        <v/>
      </c>
      <c r="U161" s="38"/>
      <c r="V161" s="40"/>
      <c r="W161" s="38"/>
      <c r="X161" s="40"/>
      <c r="Y161" s="38"/>
      <c r="Z161" s="38"/>
      <c r="AA161" s="40"/>
      <c r="AB161" s="43"/>
      <c r="AC161" s="45"/>
      <c r="AD161" s="46" t="str">
        <f aca="false">IF(ISNUMBER($AB161),$AB161*(1+N($AC161)),"")</f>
        <v/>
      </c>
      <c r="AE161" s="43"/>
      <c r="AF161" s="43"/>
      <c r="AG161" s="45"/>
      <c r="AH161" s="47" t="str">
        <f aca="false">IF(ISNUMBER($AD161),($AD161+$AE161+$AF161)*$AG161,"")</f>
        <v/>
      </c>
      <c r="AI161" s="43"/>
      <c r="AJ161" s="46" t="str">
        <f aca="false">IF(ISNUMBER($AD161),SUM($AD161:$AH161),"")</f>
        <v/>
      </c>
      <c r="AK161" s="48" t="str">
        <f aca="false">IF(AND(ISNUMBER($AB161),ISNUMBER($AD161)),IF($AB161&gt;0,$AD161/$AB161,""),"")</f>
        <v/>
      </c>
      <c r="AL161" s="40"/>
      <c r="AM161" s="49" t="str">
        <f aca="false">IF(ISNUMBER($AD161),Header!$I$3,"")</f>
        <v/>
      </c>
      <c r="AN161" s="47" t="str">
        <f aca="false">IF(ISNUMBER($AD161),$AO161+$AP161,"")</f>
        <v/>
      </c>
      <c r="AO161" s="47" t="str">
        <f aca="false">IF(ISNUMBER($AD161),ROUND($AD161*Header!$K$3,2),"")</f>
        <v/>
      </c>
      <c r="AP161" s="47" t="str">
        <f aca="false">IF(ISNUMBER($AD161),ROUND($AD161*Header!$M$3,2),"")</f>
        <v/>
      </c>
      <c r="AQ161" s="46" t="str">
        <f aca="false">IF(ISNUMBER($AD161),ROUND($AD161,2)-$AO161-$AP161,"")</f>
        <v/>
      </c>
      <c r="AR161" s="47" t="str">
        <f aca="false">IF(ISNUMBER($AD161),IF(Header!$D$34="","?",$AD161*Header!$D$34),"")</f>
        <v/>
      </c>
      <c r="AS161" s="47" t="str">
        <f aca="false">IF(ISNUMBER($AB161),IF(Header!$D$34="","?",$AB161*Header!$D$34),"")</f>
        <v/>
      </c>
      <c r="AT161" s="50" t="str">
        <f aca="false">IF(AND(ISNUMBER($AB161),$M161&gt;0),$AB161/$M161*100,"")</f>
        <v/>
      </c>
      <c r="AU161" s="50" t="str">
        <f aca="false">IF(AND(ISNUMBER($AD161),$M161&gt;0),$AD161/$M161*100,"")</f>
        <v/>
      </c>
      <c r="AV161" s="48" t="str">
        <f aca="false">IF(AND(ISNUMBER($AB161),ISNUMBER($AD161),ABS($AB161)&gt;0),$AD161/$AB161,"")</f>
        <v/>
      </c>
      <c r="AW161" s="47" t="str">
        <f aca="false">IF(ISNUMBER($AD161),MAX(0,(1-0.55-Header!$O$3)*Header!$Q$3*$AQ161),"")</f>
        <v/>
      </c>
      <c r="AX161" s="51" t="str">
        <f aca="false">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v/>
      </c>
      <c r="AY161" s="52" t="str">
        <f aca="false">IF($M161="","",IF(ISNUMBER($M161),IF($M161&gt;=Header!$C$18,"YES — refer","No"),""))</f>
        <v/>
      </c>
      <c r="AZ161" s="52" t="str">
        <f aca="false">IF($AD161="","",IF(ISNUMBER($AD161),IF($AD161&lt;Header!$C$20,"BELOW MIN PREMIUM","OK"),""))</f>
        <v/>
      </c>
      <c r="BA161" s="40"/>
      <c r="BB161" s="40"/>
      <c r="BC161" s="38"/>
      <c r="BE161" s="53" t="str">
        <f aca="false">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v/>
      </c>
      <c r="BF161" s="53" t="str">
        <f aca="false">IF($AD161="","",IF(ROUND($AO161+$AP161+$AQ161-$AD161,2)=0,"OK","FAIL - out by "&amp;TEXT($AO161+$AP161+$AQ161-$AD161,"$0.00")))</f>
        <v/>
      </c>
    </row>
    <row r="162" customFormat="false" ht="15" hidden="false" customHeight="true" outlineLevel="0" collapsed="false">
      <c r="A162" s="54"/>
      <c r="B162" s="54"/>
      <c r="C162" s="55"/>
      <c r="D162" s="56"/>
      <c r="E162" s="56"/>
      <c r="F162" s="54"/>
      <c r="G162" s="41" t="str">
        <f aca="false">IF($A162="","",IF($C162="","",YEAR($C162)))</f>
        <v/>
      </c>
      <c r="H162" s="57"/>
      <c r="I162" s="54"/>
      <c r="J162" s="54"/>
      <c r="K162" s="54"/>
      <c r="L162" s="56"/>
      <c r="M162" s="58"/>
      <c r="N162" s="56"/>
      <c r="O162" s="54"/>
      <c r="P162" s="54"/>
      <c r="Q162" s="54"/>
      <c r="R162" s="54"/>
      <c r="S162" s="56"/>
      <c r="T162" s="44" t="str">
        <f aca="false">IF($A162="","",IF($S162="","",IFERROR(INDEX(Lists!$N$5:$N$16,MATCH($S162,Lists!$M$5:$M$16,0)),"?")))</f>
        <v/>
      </c>
      <c r="U162" s="54"/>
      <c r="V162" s="56"/>
      <c r="W162" s="54"/>
      <c r="X162" s="56"/>
      <c r="Y162" s="54"/>
      <c r="Z162" s="54"/>
      <c r="AA162" s="56"/>
      <c r="AB162" s="58"/>
      <c r="AC162" s="59"/>
      <c r="AD162" s="46" t="str">
        <f aca="false">IF(ISNUMBER($AB162),$AB162*(1+N($AC162)),"")</f>
        <v/>
      </c>
      <c r="AE162" s="58"/>
      <c r="AF162" s="58"/>
      <c r="AG162" s="59"/>
      <c r="AH162" s="47" t="str">
        <f aca="false">IF(ISNUMBER($AD162),($AD162+$AE162+$AF162)*$AG162,"")</f>
        <v/>
      </c>
      <c r="AI162" s="58"/>
      <c r="AJ162" s="46" t="str">
        <f aca="false">IF(ISNUMBER($AD162),SUM($AD162:$AH162),"")</f>
        <v/>
      </c>
      <c r="AK162" s="48" t="str">
        <f aca="false">IF(AND(ISNUMBER($AB162),ISNUMBER($AD162)),IF($AB162&gt;0,$AD162/$AB162,""),"")</f>
        <v/>
      </c>
      <c r="AL162" s="56"/>
      <c r="AM162" s="49" t="str">
        <f aca="false">IF(ISNUMBER($AD162),Header!$I$3,"")</f>
        <v/>
      </c>
      <c r="AN162" s="47" t="str">
        <f aca="false">IF(ISNUMBER($AD162),$AO162+$AP162,"")</f>
        <v/>
      </c>
      <c r="AO162" s="47" t="str">
        <f aca="false">IF(ISNUMBER($AD162),ROUND($AD162*Header!$K$3,2),"")</f>
        <v/>
      </c>
      <c r="AP162" s="47" t="str">
        <f aca="false">IF(ISNUMBER($AD162),ROUND($AD162*Header!$M$3,2),"")</f>
        <v/>
      </c>
      <c r="AQ162" s="46" t="str">
        <f aca="false">IF(ISNUMBER($AD162),ROUND($AD162,2)-$AO162-$AP162,"")</f>
        <v/>
      </c>
      <c r="AR162" s="47" t="str">
        <f aca="false">IF(ISNUMBER($AD162),IF(Header!$D$34="","?",$AD162*Header!$D$34),"")</f>
        <v/>
      </c>
      <c r="AS162" s="47" t="str">
        <f aca="false">IF(ISNUMBER($AB162),IF(Header!$D$34="","?",$AB162*Header!$D$34),"")</f>
        <v/>
      </c>
      <c r="AT162" s="50" t="str">
        <f aca="false">IF(AND(ISNUMBER($AB162),$M162&gt;0),$AB162/$M162*100,"")</f>
        <v/>
      </c>
      <c r="AU162" s="50" t="str">
        <f aca="false">IF(AND(ISNUMBER($AD162),$M162&gt;0),$AD162/$M162*100,"")</f>
        <v/>
      </c>
      <c r="AV162" s="48" t="str">
        <f aca="false">IF(AND(ISNUMBER($AB162),ISNUMBER($AD162),ABS($AB162)&gt;0),$AD162/$AB162,"")</f>
        <v/>
      </c>
      <c r="AW162" s="47" t="str">
        <f aca="false">IF(ISNUMBER($AD162),MAX(0,(1-0.55-Header!$O$3)*Header!$Q$3*$AQ162),"")</f>
        <v/>
      </c>
      <c r="AX162" s="51" t="str">
        <f aca="false">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v/>
      </c>
      <c r="AY162" s="52" t="str">
        <f aca="false">IF($M162="","",IF(ISNUMBER($M162),IF($M162&gt;=Header!$C$18,"YES — refer","No"),""))</f>
        <v/>
      </c>
      <c r="AZ162" s="52" t="str">
        <f aca="false">IF($AD162="","",IF(ISNUMBER($AD162),IF($AD162&lt;Header!$C$20,"BELOW MIN PREMIUM","OK"),""))</f>
        <v/>
      </c>
      <c r="BA162" s="56"/>
      <c r="BB162" s="56"/>
      <c r="BC162" s="54"/>
      <c r="BE162" s="53" t="str">
        <f aca="false">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v/>
      </c>
      <c r="BF162" s="53" t="str">
        <f aca="false">IF($AD162="","",IF(ROUND($AO162+$AP162+$AQ162-$AD162,2)=0,"OK","FAIL - out by "&amp;TEXT($AO162+$AP162+$AQ162-$AD162,"$0.00")))</f>
        <v/>
      </c>
    </row>
    <row r="163" customFormat="false" ht="15" hidden="false" customHeight="true" outlineLevel="0" collapsed="false">
      <c r="A163" s="38"/>
      <c r="B163" s="38"/>
      <c r="C163" s="39"/>
      <c r="D163" s="40"/>
      <c r="E163" s="40"/>
      <c r="F163" s="38"/>
      <c r="G163" s="41" t="str">
        <f aca="false">IF($A163="","",IF($C163="","",YEAR($C163)))</f>
        <v/>
      </c>
      <c r="H163" s="42"/>
      <c r="I163" s="38"/>
      <c r="J163" s="38"/>
      <c r="K163" s="38"/>
      <c r="L163" s="40"/>
      <c r="M163" s="43"/>
      <c r="N163" s="40"/>
      <c r="O163" s="38"/>
      <c r="P163" s="38"/>
      <c r="Q163" s="38"/>
      <c r="R163" s="38"/>
      <c r="S163" s="40"/>
      <c r="T163" s="44" t="str">
        <f aca="false">IF($A163="","",IF($S163="","",IFERROR(INDEX(Lists!$N$5:$N$16,MATCH($S163,Lists!$M$5:$M$16,0)),"?")))</f>
        <v/>
      </c>
      <c r="U163" s="38"/>
      <c r="V163" s="40"/>
      <c r="W163" s="38"/>
      <c r="X163" s="40"/>
      <c r="Y163" s="38"/>
      <c r="Z163" s="38"/>
      <c r="AA163" s="40"/>
      <c r="AB163" s="43"/>
      <c r="AC163" s="45"/>
      <c r="AD163" s="46" t="str">
        <f aca="false">IF(ISNUMBER($AB163),$AB163*(1+N($AC163)),"")</f>
        <v/>
      </c>
      <c r="AE163" s="43"/>
      <c r="AF163" s="43"/>
      <c r="AG163" s="45"/>
      <c r="AH163" s="47" t="str">
        <f aca="false">IF(ISNUMBER($AD163),($AD163+$AE163+$AF163)*$AG163,"")</f>
        <v/>
      </c>
      <c r="AI163" s="43"/>
      <c r="AJ163" s="46" t="str">
        <f aca="false">IF(ISNUMBER($AD163),SUM($AD163:$AH163),"")</f>
        <v/>
      </c>
      <c r="AK163" s="48" t="str">
        <f aca="false">IF(AND(ISNUMBER($AB163),ISNUMBER($AD163)),IF($AB163&gt;0,$AD163/$AB163,""),"")</f>
        <v/>
      </c>
      <c r="AL163" s="40"/>
      <c r="AM163" s="49" t="str">
        <f aca="false">IF(ISNUMBER($AD163),Header!$I$3,"")</f>
        <v/>
      </c>
      <c r="AN163" s="47" t="str">
        <f aca="false">IF(ISNUMBER($AD163),$AO163+$AP163,"")</f>
        <v/>
      </c>
      <c r="AO163" s="47" t="str">
        <f aca="false">IF(ISNUMBER($AD163),ROUND($AD163*Header!$K$3,2),"")</f>
        <v/>
      </c>
      <c r="AP163" s="47" t="str">
        <f aca="false">IF(ISNUMBER($AD163),ROUND($AD163*Header!$M$3,2),"")</f>
        <v/>
      </c>
      <c r="AQ163" s="46" t="str">
        <f aca="false">IF(ISNUMBER($AD163),ROUND($AD163,2)-$AO163-$AP163,"")</f>
        <v/>
      </c>
      <c r="AR163" s="47" t="str">
        <f aca="false">IF(ISNUMBER($AD163),IF(Header!$D$34="","?",$AD163*Header!$D$34),"")</f>
        <v/>
      </c>
      <c r="AS163" s="47" t="str">
        <f aca="false">IF(ISNUMBER($AB163),IF(Header!$D$34="","?",$AB163*Header!$D$34),"")</f>
        <v/>
      </c>
      <c r="AT163" s="50" t="str">
        <f aca="false">IF(AND(ISNUMBER($AB163),$M163&gt;0),$AB163/$M163*100,"")</f>
        <v/>
      </c>
      <c r="AU163" s="50" t="str">
        <f aca="false">IF(AND(ISNUMBER($AD163),$M163&gt;0),$AD163/$M163*100,"")</f>
        <v/>
      </c>
      <c r="AV163" s="48" t="str">
        <f aca="false">IF(AND(ISNUMBER($AB163),ISNUMBER($AD163),ABS($AB163)&gt;0),$AD163/$AB163,"")</f>
        <v/>
      </c>
      <c r="AW163" s="47" t="str">
        <f aca="false">IF(ISNUMBER($AD163),MAX(0,(1-0.55-Header!$O$3)*Header!$Q$3*$AQ163),"")</f>
        <v/>
      </c>
      <c r="AX163" s="51" t="str">
        <f aca="false">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v/>
      </c>
      <c r="AY163" s="52" t="str">
        <f aca="false">IF($M163="","",IF(ISNUMBER($M163),IF($M163&gt;=Header!$C$18,"YES — refer","No"),""))</f>
        <v/>
      </c>
      <c r="AZ163" s="52" t="str">
        <f aca="false">IF($AD163="","",IF(ISNUMBER($AD163),IF($AD163&lt;Header!$C$20,"BELOW MIN PREMIUM","OK"),""))</f>
        <v/>
      </c>
      <c r="BA163" s="40"/>
      <c r="BB163" s="40"/>
      <c r="BC163" s="38"/>
      <c r="BE163" s="53" t="str">
        <f aca="false">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v/>
      </c>
      <c r="BF163" s="53" t="str">
        <f aca="false">IF($AD163="","",IF(ROUND($AO163+$AP163+$AQ163-$AD163,2)=0,"OK","FAIL - out by "&amp;TEXT($AO163+$AP163+$AQ163-$AD163,"$0.00")))</f>
        <v/>
      </c>
    </row>
    <row r="164" customFormat="false" ht="15" hidden="false" customHeight="true" outlineLevel="0" collapsed="false">
      <c r="A164" s="54"/>
      <c r="B164" s="54"/>
      <c r="C164" s="55"/>
      <c r="D164" s="56"/>
      <c r="E164" s="56"/>
      <c r="F164" s="54"/>
      <c r="G164" s="41" t="str">
        <f aca="false">IF($A164="","",IF($C164="","",YEAR($C164)))</f>
        <v/>
      </c>
      <c r="H164" s="57"/>
      <c r="I164" s="54"/>
      <c r="J164" s="54"/>
      <c r="K164" s="54"/>
      <c r="L164" s="56"/>
      <c r="M164" s="58"/>
      <c r="N164" s="56"/>
      <c r="O164" s="54"/>
      <c r="P164" s="54"/>
      <c r="Q164" s="54"/>
      <c r="R164" s="54"/>
      <c r="S164" s="56"/>
      <c r="T164" s="44" t="str">
        <f aca="false">IF($A164="","",IF($S164="","",IFERROR(INDEX(Lists!$N$5:$N$16,MATCH($S164,Lists!$M$5:$M$16,0)),"?")))</f>
        <v/>
      </c>
      <c r="U164" s="54"/>
      <c r="V164" s="56"/>
      <c r="W164" s="54"/>
      <c r="X164" s="56"/>
      <c r="Y164" s="54"/>
      <c r="Z164" s="54"/>
      <c r="AA164" s="56"/>
      <c r="AB164" s="58"/>
      <c r="AC164" s="59"/>
      <c r="AD164" s="46" t="str">
        <f aca="false">IF(ISNUMBER($AB164),$AB164*(1+N($AC164)),"")</f>
        <v/>
      </c>
      <c r="AE164" s="58"/>
      <c r="AF164" s="58"/>
      <c r="AG164" s="59"/>
      <c r="AH164" s="47" t="str">
        <f aca="false">IF(ISNUMBER($AD164),($AD164+$AE164+$AF164)*$AG164,"")</f>
        <v/>
      </c>
      <c r="AI164" s="58"/>
      <c r="AJ164" s="46" t="str">
        <f aca="false">IF(ISNUMBER($AD164),SUM($AD164:$AH164),"")</f>
        <v/>
      </c>
      <c r="AK164" s="48" t="str">
        <f aca="false">IF(AND(ISNUMBER($AB164),ISNUMBER($AD164)),IF($AB164&gt;0,$AD164/$AB164,""),"")</f>
        <v/>
      </c>
      <c r="AL164" s="56"/>
      <c r="AM164" s="49" t="str">
        <f aca="false">IF(ISNUMBER($AD164),Header!$I$3,"")</f>
        <v/>
      </c>
      <c r="AN164" s="47" t="str">
        <f aca="false">IF(ISNUMBER($AD164),$AO164+$AP164,"")</f>
        <v/>
      </c>
      <c r="AO164" s="47" t="str">
        <f aca="false">IF(ISNUMBER($AD164),ROUND($AD164*Header!$K$3,2),"")</f>
        <v/>
      </c>
      <c r="AP164" s="47" t="str">
        <f aca="false">IF(ISNUMBER($AD164),ROUND($AD164*Header!$M$3,2),"")</f>
        <v/>
      </c>
      <c r="AQ164" s="46" t="str">
        <f aca="false">IF(ISNUMBER($AD164),ROUND($AD164,2)-$AO164-$AP164,"")</f>
        <v/>
      </c>
      <c r="AR164" s="47" t="str">
        <f aca="false">IF(ISNUMBER($AD164),IF(Header!$D$34="","?",$AD164*Header!$D$34),"")</f>
        <v/>
      </c>
      <c r="AS164" s="47" t="str">
        <f aca="false">IF(ISNUMBER($AB164),IF(Header!$D$34="","?",$AB164*Header!$D$34),"")</f>
        <v/>
      </c>
      <c r="AT164" s="50" t="str">
        <f aca="false">IF(AND(ISNUMBER($AB164),$M164&gt;0),$AB164/$M164*100,"")</f>
        <v/>
      </c>
      <c r="AU164" s="50" t="str">
        <f aca="false">IF(AND(ISNUMBER($AD164),$M164&gt;0),$AD164/$M164*100,"")</f>
        <v/>
      </c>
      <c r="AV164" s="48" t="str">
        <f aca="false">IF(AND(ISNUMBER($AB164),ISNUMBER($AD164),ABS($AB164)&gt;0),$AD164/$AB164,"")</f>
        <v/>
      </c>
      <c r="AW164" s="47" t="str">
        <f aca="false">IF(ISNUMBER($AD164),MAX(0,(1-0.55-Header!$O$3)*Header!$Q$3*$AQ164),"")</f>
        <v/>
      </c>
      <c r="AX164" s="51" t="str">
        <f aca="false">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v/>
      </c>
      <c r="AY164" s="52" t="str">
        <f aca="false">IF($M164="","",IF(ISNUMBER($M164),IF($M164&gt;=Header!$C$18,"YES — refer","No"),""))</f>
        <v/>
      </c>
      <c r="AZ164" s="52" t="str">
        <f aca="false">IF($AD164="","",IF(ISNUMBER($AD164),IF($AD164&lt;Header!$C$20,"BELOW MIN PREMIUM","OK"),""))</f>
        <v/>
      </c>
      <c r="BA164" s="56"/>
      <c r="BB164" s="56"/>
      <c r="BC164" s="54"/>
      <c r="BE164" s="53" t="str">
        <f aca="false">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v/>
      </c>
      <c r="BF164" s="53" t="str">
        <f aca="false">IF($AD164="","",IF(ROUND($AO164+$AP164+$AQ164-$AD164,2)=0,"OK","FAIL - out by "&amp;TEXT($AO164+$AP164+$AQ164-$AD164,"$0.00")))</f>
        <v/>
      </c>
    </row>
    <row r="165" customFormat="false" ht="15" hidden="false" customHeight="true" outlineLevel="0" collapsed="false">
      <c r="A165" s="38"/>
      <c r="B165" s="38"/>
      <c r="C165" s="39"/>
      <c r="D165" s="40"/>
      <c r="E165" s="40"/>
      <c r="F165" s="38"/>
      <c r="G165" s="41" t="str">
        <f aca="false">IF($A165="","",IF($C165="","",YEAR($C165)))</f>
        <v/>
      </c>
      <c r="H165" s="42"/>
      <c r="I165" s="38"/>
      <c r="J165" s="38"/>
      <c r="K165" s="38"/>
      <c r="L165" s="40"/>
      <c r="M165" s="43"/>
      <c r="N165" s="40"/>
      <c r="O165" s="38"/>
      <c r="P165" s="38"/>
      <c r="Q165" s="38"/>
      <c r="R165" s="38"/>
      <c r="S165" s="40"/>
      <c r="T165" s="44" t="str">
        <f aca="false">IF($A165="","",IF($S165="","",IFERROR(INDEX(Lists!$N$5:$N$16,MATCH($S165,Lists!$M$5:$M$16,0)),"?")))</f>
        <v/>
      </c>
      <c r="U165" s="38"/>
      <c r="V165" s="40"/>
      <c r="W165" s="38"/>
      <c r="X165" s="40"/>
      <c r="Y165" s="38"/>
      <c r="Z165" s="38"/>
      <c r="AA165" s="40"/>
      <c r="AB165" s="43"/>
      <c r="AC165" s="45"/>
      <c r="AD165" s="46" t="str">
        <f aca="false">IF(ISNUMBER($AB165),$AB165*(1+N($AC165)),"")</f>
        <v/>
      </c>
      <c r="AE165" s="43"/>
      <c r="AF165" s="43"/>
      <c r="AG165" s="45"/>
      <c r="AH165" s="47" t="str">
        <f aca="false">IF(ISNUMBER($AD165),($AD165+$AE165+$AF165)*$AG165,"")</f>
        <v/>
      </c>
      <c r="AI165" s="43"/>
      <c r="AJ165" s="46" t="str">
        <f aca="false">IF(ISNUMBER($AD165),SUM($AD165:$AH165),"")</f>
        <v/>
      </c>
      <c r="AK165" s="48" t="str">
        <f aca="false">IF(AND(ISNUMBER($AB165),ISNUMBER($AD165)),IF($AB165&gt;0,$AD165/$AB165,""),"")</f>
        <v/>
      </c>
      <c r="AL165" s="40"/>
      <c r="AM165" s="49" t="str">
        <f aca="false">IF(ISNUMBER($AD165),Header!$I$3,"")</f>
        <v/>
      </c>
      <c r="AN165" s="47" t="str">
        <f aca="false">IF(ISNUMBER($AD165),$AO165+$AP165,"")</f>
        <v/>
      </c>
      <c r="AO165" s="47" t="str">
        <f aca="false">IF(ISNUMBER($AD165),ROUND($AD165*Header!$K$3,2),"")</f>
        <v/>
      </c>
      <c r="AP165" s="47" t="str">
        <f aca="false">IF(ISNUMBER($AD165),ROUND($AD165*Header!$M$3,2),"")</f>
        <v/>
      </c>
      <c r="AQ165" s="46" t="str">
        <f aca="false">IF(ISNUMBER($AD165),ROUND($AD165,2)-$AO165-$AP165,"")</f>
        <v/>
      </c>
      <c r="AR165" s="47" t="str">
        <f aca="false">IF(ISNUMBER($AD165),IF(Header!$D$34="","?",$AD165*Header!$D$34),"")</f>
        <v/>
      </c>
      <c r="AS165" s="47" t="str">
        <f aca="false">IF(ISNUMBER($AB165),IF(Header!$D$34="","?",$AB165*Header!$D$34),"")</f>
        <v/>
      </c>
      <c r="AT165" s="50" t="str">
        <f aca="false">IF(AND(ISNUMBER($AB165),$M165&gt;0),$AB165/$M165*100,"")</f>
        <v/>
      </c>
      <c r="AU165" s="50" t="str">
        <f aca="false">IF(AND(ISNUMBER($AD165),$M165&gt;0),$AD165/$M165*100,"")</f>
        <v/>
      </c>
      <c r="AV165" s="48" t="str">
        <f aca="false">IF(AND(ISNUMBER($AB165),ISNUMBER($AD165),ABS($AB165)&gt;0),$AD165/$AB165,"")</f>
        <v/>
      </c>
      <c r="AW165" s="47" t="str">
        <f aca="false">IF(ISNUMBER($AD165),MAX(0,(1-0.55-Header!$O$3)*Header!$Q$3*$AQ165),"")</f>
        <v/>
      </c>
      <c r="AX165" s="51" t="str">
        <f aca="false">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v/>
      </c>
      <c r="AY165" s="52" t="str">
        <f aca="false">IF($M165="","",IF(ISNUMBER($M165),IF($M165&gt;=Header!$C$18,"YES — refer","No"),""))</f>
        <v/>
      </c>
      <c r="AZ165" s="52" t="str">
        <f aca="false">IF($AD165="","",IF(ISNUMBER($AD165),IF($AD165&lt;Header!$C$20,"BELOW MIN PREMIUM","OK"),""))</f>
        <v/>
      </c>
      <c r="BA165" s="40"/>
      <c r="BB165" s="40"/>
      <c r="BC165" s="38"/>
      <c r="BE165" s="53" t="str">
        <f aca="false">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v/>
      </c>
      <c r="BF165" s="53" t="str">
        <f aca="false">IF($AD165="","",IF(ROUND($AO165+$AP165+$AQ165-$AD165,2)=0,"OK","FAIL - out by "&amp;TEXT($AO165+$AP165+$AQ165-$AD165,"$0.00")))</f>
        <v/>
      </c>
    </row>
    <row r="166" customFormat="false" ht="15" hidden="false" customHeight="true" outlineLevel="0" collapsed="false">
      <c r="A166" s="54"/>
      <c r="B166" s="54"/>
      <c r="C166" s="55"/>
      <c r="D166" s="56"/>
      <c r="E166" s="56"/>
      <c r="F166" s="54"/>
      <c r="G166" s="41" t="str">
        <f aca="false">IF($A166="","",IF($C166="","",YEAR($C166)))</f>
        <v/>
      </c>
      <c r="H166" s="57"/>
      <c r="I166" s="54"/>
      <c r="J166" s="54"/>
      <c r="K166" s="54"/>
      <c r="L166" s="56"/>
      <c r="M166" s="58"/>
      <c r="N166" s="56"/>
      <c r="O166" s="54"/>
      <c r="P166" s="54"/>
      <c r="Q166" s="54"/>
      <c r="R166" s="54"/>
      <c r="S166" s="56"/>
      <c r="T166" s="44" t="str">
        <f aca="false">IF($A166="","",IF($S166="","",IFERROR(INDEX(Lists!$N$5:$N$16,MATCH($S166,Lists!$M$5:$M$16,0)),"?")))</f>
        <v/>
      </c>
      <c r="U166" s="54"/>
      <c r="V166" s="56"/>
      <c r="W166" s="54"/>
      <c r="X166" s="56"/>
      <c r="Y166" s="54"/>
      <c r="Z166" s="54"/>
      <c r="AA166" s="56"/>
      <c r="AB166" s="58"/>
      <c r="AC166" s="59"/>
      <c r="AD166" s="46" t="str">
        <f aca="false">IF(ISNUMBER($AB166),$AB166*(1+N($AC166)),"")</f>
        <v/>
      </c>
      <c r="AE166" s="58"/>
      <c r="AF166" s="58"/>
      <c r="AG166" s="59"/>
      <c r="AH166" s="47" t="str">
        <f aca="false">IF(ISNUMBER($AD166),($AD166+$AE166+$AF166)*$AG166,"")</f>
        <v/>
      </c>
      <c r="AI166" s="58"/>
      <c r="AJ166" s="46" t="str">
        <f aca="false">IF(ISNUMBER($AD166),SUM($AD166:$AH166),"")</f>
        <v/>
      </c>
      <c r="AK166" s="48" t="str">
        <f aca="false">IF(AND(ISNUMBER($AB166),ISNUMBER($AD166)),IF($AB166&gt;0,$AD166/$AB166,""),"")</f>
        <v/>
      </c>
      <c r="AL166" s="56"/>
      <c r="AM166" s="49" t="str">
        <f aca="false">IF(ISNUMBER($AD166),Header!$I$3,"")</f>
        <v/>
      </c>
      <c r="AN166" s="47" t="str">
        <f aca="false">IF(ISNUMBER($AD166),$AO166+$AP166,"")</f>
        <v/>
      </c>
      <c r="AO166" s="47" t="str">
        <f aca="false">IF(ISNUMBER($AD166),ROUND($AD166*Header!$K$3,2),"")</f>
        <v/>
      </c>
      <c r="AP166" s="47" t="str">
        <f aca="false">IF(ISNUMBER($AD166),ROUND($AD166*Header!$M$3,2),"")</f>
        <v/>
      </c>
      <c r="AQ166" s="46" t="str">
        <f aca="false">IF(ISNUMBER($AD166),ROUND($AD166,2)-$AO166-$AP166,"")</f>
        <v/>
      </c>
      <c r="AR166" s="47" t="str">
        <f aca="false">IF(ISNUMBER($AD166),IF(Header!$D$34="","?",$AD166*Header!$D$34),"")</f>
        <v/>
      </c>
      <c r="AS166" s="47" t="str">
        <f aca="false">IF(ISNUMBER($AB166),IF(Header!$D$34="","?",$AB166*Header!$D$34),"")</f>
        <v/>
      </c>
      <c r="AT166" s="50" t="str">
        <f aca="false">IF(AND(ISNUMBER($AB166),$M166&gt;0),$AB166/$M166*100,"")</f>
        <v/>
      </c>
      <c r="AU166" s="50" t="str">
        <f aca="false">IF(AND(ISNUMBER($AD166),$M166&gt;0),$AD166/$M166*100,"")</f>
        <v/>
      </c>
      <c r="AV166" s="48" t="str">
        <f aca="false">IF(AND(ISNUMBER($AB166),ISNUMBER($AD166),ABS($AB166)&gt;0),$AD166/$AB166,"")</f>
        <v/>
      </c>
      <c r="AW166" s="47" t="str">
        <f aca="false">IF(ISNUMBER($AD166),MAX(0,(1-0.55-Header!$O$3)*Header!$Q$3*$AQ166),"")</f>
        <v/>
      </c>
      <c r="AX166" s="51" t="str">
        <f aca="false">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v/>
      </c>
      <c r="AY166" s="52" t="str">
        <f aca="false">IF($M166="","",IF(ISNUMBER($M166),IF($M166&gt;=Header!$C$18,"YES — refer","No"),""))</f>
        <v/>
      </c>
      <c r="AZ166" s="52" t="str">
        <f aca="false">IF($AD166="","",IF(ISNUMBER($AD166),IF($AD166&lt;Header!$C$20,"BELOW MIN PREMIUM","OK"),""))</f>
        <v/>
      </c>
      <c r="BA166" s="56"/>
      <c r="BB166" s="56"/>
      <c r="BC166" s="54"/>
      <c r="BE166" s="53" t="str">
        <f aca="false">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v/>
      </c>
      <c r="BF166" s="53" t="str">
        <f aca="false">IF($AD166="","",IF(ROUND($AO166+$AP166+$AQ166-$AD166,2)=0,"OK","FAIL - out by "&amp;TEXT($AO166+$AP166+$AQ166-$AD166,"$0.00")))</f>
        <v/>
      </c>
    </row>
    <row r="167" customFormat="false" ht="15" hidden="false" customHeight="true" outlineLevel="0" collapsed="false">
      <c r="A167" s="38"/>
      <c r="B167" s="38"/>
      <c r="C167" s="39"/>
      <c r="D167" s="40"/>
      <c r="E167" s="40"/>
      <c r="F167" s="38"/>
      <c r="G167" s="41" t="str">
        <f aca="false">IF($A167="","",IF($C167="","",YEAR($C167)))</f>
        <v/>
      </c>
      <c r="H167" s="42"/>
      <c r="I167" s="38"/>
      <c r="J167" s="38"/>
      <c r="K167" s="38"/>
      <c r="L167" s="40"/>
      <c r="M167" s="43"/>
      <c r="N167" s="40"/>
      <c r="O167" s="38"/>
      <c r="P167" s="38"/>
      <c r="Q167" s="38"/>
      <c r="R167" s="38"/>
      <c r="S167" s="40"/>
      <c r="T167" s="44" t="str">
        <f aca="false">IF($A167="","",IF($S167="","",IFERROR(INDEX(Lists!$N$5:$N$16,MATCH($S167,Lists!$M$5:$M$16,0)),"?")))</f>
        <v/>
      </c>
      <c r="U167" s="38"/>
      <c r="V167" s="40"/>
      <c r="W167" s="38"/>
      <c r="X167" s="40"/>
      <c r="Y167" s="38"/>
      <c r="Z167" s="38"/>
      <c r="AA167" s="40"/>
      <c r="AB167" s="43"/>
      <c r="AC167" s="45"/>
      <c r="AD167" s="46" t="str">
        <f aca="false">IF(ISNUMBER($AB167),$AB167*(1+N($AC167)),"")</f>
        <v/>
      </c>
      <c r="AE167" s="43"/>
      <c r="AF167" s="43"/>
      <c r="AG167" s="45"/>
      <c r="AH167" s="47" t="str">
        <f aca="false">IF(ISNUMBER($AD167),($AD167+$AE167+$AF167)*$AG167,"")</f>
        <v/>
      </c>
      <c r="AI167" s="43"/>
      <c r="AJ167" s="46" t="str">
        <f aca="false">IF(ISNUMBER($AD167),SUM($AD167:$AH167),"")</f>
        <v/>
      </c>
      <c r="AK167" s="48" t="str">
        <f aca="false">IF(AND(ISNUMBER($AB167),ISNUMBER($AD167)),IF($AB167&gt;0,$AD167/$AB167,""),"")</f>
        <v/>
      </c>
      <c r="AL167" s="40"/>
      <c r="AM167" s="49" t="str">
        <f aca="false">IF(ISNUMBER($AD167),Header!$I$3,"")</f>
        <v/>
      </c>
      <c r="AN167" s="47" t="str">
        <f aca="false">IF(ISNUMBER($AD167),$AO167+$AP167,"")</f>
        <v/>
      </c>
      <c r="AO167" s="47" t="str">
        <f aca="false">IF(ISNUMBER($AD167),ROUND($AD167*Header!$K$3,2),"")</f>
        <v/>
      </c>
      <c r="AP167" s="47" t="str">
        <f aca="false">IF(ISNUMBER($AD167),ROUND($AD167*Header!$M$3,2),"")</f>
        <v/>
      </c>
      <c r="AQ167" s="46" t="str">
        <f aca="false">IF(ISNUMBER($AD167),ROUND($AD167,2)-$AO167-$AP167,"")</f>
        <v/>
      </c>
      <c r="AR167" s="47" t="str">
        <f aca="false">IF(ISNUMBER($AD167),IF(Header!$D$34="","?",$AD167*Header!$D$34),"")</f>
        <v/>
      </c>
      <c r="AS167" s="47" t="str">
        <f aca="false">IF(ISNUMBER($AB167),IF(Header!$D$34="","?",$AB167*Header!$D$34),"")</f>
        <v/>
      </c>
      <c r="AT167" s="50" t="str">
        <f aca="false">IF(AND(ISNUMBER($AB167),$M167&gt;0),$AB167/$M167*100,"")</f>
        <v/>
      </c>
      <c r="AU167" s="50" t="str">
        <f aca="false">IF(AND(ISNUMBER($AD167),$M167&gt;0),$AD167/$M167*100,"")</f>
        <v/>
      </c>
      <c r="AV167" s="48" t="str">
        <f aca="false">IF(AND(ISNUMBER($AB167),ISNUMBER($AD167),ABS($AB167)&gt;0),$AD167/$AB167,"")</f>
        <v/>
      </c>
      <c r="AW167" s="47" t="str">
        <f aca="false">IF(ISNUMBER($AD167),MAX(0,(1-0.55-Header!$O$3)*Header!$Q$3*$AQ167),"")</f>
        <v/>
      </c>
      <c r="AX167" s="51" t="str">
        <f aca="false">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v/>
      </c>
      <c r="AY167" s="52" t="str">
        <f aca="false">IF($M167="","",IF(ISNUMBER($M167),IF($M167&gt;=Header!$C$18,"YES — refer","No"),""))</f>
        <v/>
      </c>
      <c r="AZ167" s="52" t="str">
        <f aca="false">IF($AD167="","",IF(ISNUMBER($AD167),IF($AD167&lt;Header!$C$20,"BELOW MIN PREMIUM","OK"),""))</f>
        <v/>
      </c>
      <c r="BA167" s="40"/>
      <c r="BB167" s="40"/>
      <c r="BC167" s="38"/>
      <c r="BE167" s="53" t="str">
        <f aca="false">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v/>
      </c>
      <c r="BF167" s="53" t="str">
        <f aca="false">IF($AD167="","",IF(ROUND($AO167+$AP167+$AQ167-$AD167,2)=0,"OK","FAIL - out by "&amp;TEXT($AO167+$AP167+$AQ167-$AD167,"$0.00")))</f>
        <v/>
      </c>
    </row>
    <row r="168" customFormat="false" ht="15" hidden="false" customHeight="true" outlineLevel="0" collapsed="false">
      <c r="A168" s="54"/>
      <c r="B168" s="54"/>
      <c r="C168" s="55"/>
      <c r="D168" s="56"/>
      <c r="E168" s="56"/>
      <c r="F168" s="54"/>
      <c r="G168" s="41" t="str">
        <f aca="false">IF($A168="","",IF($C168="","",YEAR($C168)))</f>
        <v/>
      </c>
      <c r="H168" s="57"/>
      <c r="I168" s="54"/>
      <c r="J168" s="54"/>
      <c r="K168" s="54"/>
      <c r="L168" s="56"/>
      <c r="M168" s="58"/>
      <c r="N168" s="56"/>
      <c r="O168" s="54"/>
      <c r="P168" s="54"/>
      <c r="Q168" s="54"/>
      <c r="R168" s="54"/>
      <c r="S168" s="56"/>
      <c r="T168" s="44" t="str">
        <f aca="false">IF($A168="","",IF($S168="","",IFERROR(INDEX(Lists!$N$5:$N$16,MATCH($S168,Lists!$M$5:$M$16,0)),"?")))</f>
        <v/>
      </c>
      <c r="U168" s="54"/>
      <c r="V168" s="56"/>
      <c r="W168" s="54"/>
      <c r="X168" s="56"/>
      <c r="Y168" s="54"/>
      <c r="Z168" s="54"/>
      <c r="AA168" s="56"/>
      <c r="AB168" s="58"/>
      <c r="AC168" s="59"/>
      <c r="AD168" s="46" t="str">
        <f aca="false">IF(ISNUMBER($AB168),$AB168*(1+N($AC168)),"")</f>
        <v/>
      </c>
      <c r="AE168" s="58"/>
      <c r="AF168" s="58"/>
      <c r="AG168" s="59"/>
      <c r="AH168" s="47" t="str">
        <f aca="false">IF(ISNUMBER($AD168),($AD168+$AE168+$AF168)*$AG168,"")</f>
        <v/>
      </c>
      <c r="AI168" s="58"/>
      <c r="AJ168" s="46" t="str">
        <f aca="false">IF(ISNUMBER($AD168),SUM($AD168:$AH168),"")</f>
        <v/>
      </c>
      <c r="AK168" s="48" t="str">
        <f aca="false">IF(AND(ISNUMBER($AB168),ISNUMBER($AD168)),IF($AB168&gt;0,$AD168/$AB168,""),"")</f>
        <v/>
      </c>
      <c r="AL168" s="56"/>
      <c r="AM168" s="49" t="str">
        <f aca="false">IF(ISNUMBER($AD168),Header!$I$3,"")</f>
        <v/>
      </c>
      <c r="AN168" s="47" t="str">
        <f aca="false">IF(ISNUMBER($AD168),$AO168+$AP168,"")</f>
        <v/>
      </c>
      <c r="AO168" s="47" t="str">
        <f aca="false">IF(ISNUMBER($AD168),ROUND($AD168*Header!$K$3,2),"")</f>
        <v/>
      </c>
      <c r="AP168" s="47" t="str">
        <f aca="false">IF(ISNUMBER($AD168),ROUND($AD168*Header!$M$3,2),"")</f>
        <v/>
      </c>
      <c r="AQ168" s="46" t="str">
        <f aca="false">IF(ISNUMBER($AD168),ROUND($AD168,2)-$AO168-$AP168,"")</f>
        <v/>
      </c>
      <c r="AR168" s="47" t="str">
        <f aca="false">IF(ISNUMBER($AD168),IF(Header!$D$34="","?",$AD168*Header!$D$34),"")</f>
        <v/>
      </c>
      <c r="AS168" s="47" t="str">
        <f aca="false">IF(ISNUMBER($AB168),IF(Header!$D$34="","?",$AB168*Header!$D$34),"")</f>
        <v/>
      </c>
      <c r="AT168" s="50" t="str">
        <f aca="false">IF(AND(ISNUMBER($AB168),$M168&gt;0),$AB168/$M168*100,"")</f>
        <v/>
      </c>
      <c r="AU168" s="50" t="str">
        <f aca="false">IF(AND(ISNUMBER($AD168),$M168&gt;0),$AD168/$M168*100,"")</f>
        <v/>
      </c>
      <c r="AV168" s="48" t="str">
        <f aca="false">IF(AND(ISNUMBER($AB168),ISNUMBER($AD168),ABS($AB168)&gt;0),$AD168/$AB168,"")</f>
        <v/>
      </c>
      <c r="AW168" s="47" t="str">
        <f aca="false">IF(ISNUMBER($AD168),MAX(0,(1-0.55-Header!$O$3)*Header!$Q$3*$AQ168),"")</f>
        <v/>
      </c>
      <c r="AX168" s="51" t="str">
        <f aca="false">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v/>
      </c>
      <c r="AY168" s="52" t="str">
        <f aca="false">IF($M168="","",IF(ISNUMBER($M168),IF($M168&gt;=Header!$C$18,"YES — refer","No"),""))</f>
        <v/>
      </c>
      <c r="AZ168" s="52" t="str">
        <f aca="false">IF($AD168="","",IF(ISNUMBER($AD168),IF($AD168&lt;Header!$C$20,"BELOW MIN PREMIUM","OK"),""))</f>
        <v/>
      </c>
      <c r="BA168" s="56"/>
      <c r="BB168" s="56"/>
      <c r="BC168" s="54"/>
      <c r="BE168" s="53" t="str">
        <f aca="false">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v/>
      </c>
      <c r="BF168" s="53" t="str">
        <f aca="false">IF($AD168="","",IF(ROUND($AO168+$AP168+$AQ168-$AD168,2)=0,"OK","FAIL - out by "&amp;TEXT($AO168+$AP168+$AQ168-$AD168,"$0.00")))</f>
        <v/>
      </c>
    </row>
    <row r="169" customFormat="false" ht="15" hidden="false" customHeight="true" outlineLevel="0" collapsed="false">
      <c r="A169" s="38"/>
      <c r="B169" s="38"/>
      <c r="C169" s="39"/>
      <c r="D169" s="40"/>
      <c r="E169" s="40"/>
      <c r="F169" s="38"/>
      <c r="G169" s="41" t="str">
        <f aca="false">IF($A169="","",IF($C169="","",YEAR($C169)))</f>
        <v/>
      </c>
      <c r="H169" s="42"/>
      <c r="I169" s="38"/>
      <c r="J169" s="38"/>
      <c r="K169" s="38"/>
      <c r="L169" s="40"/>
      <c r="M169" s="43"/>
      <c r="N169" s="40"/>
      <c r="O169" s="38"/>
      <c r="P169" s="38"/>
      <c r="Q169" s="38"/>
      <c r="R169" s="38"/>
      <c r="S169" s="40"/>
      <c r="T169" s="44" t="str">
        <f aca="false">IF($A169="","",IF($S169="","",IFERROR(INDEX(Lists!$N$5:$N$16,MATCH($S169,Lists!$M$5:$M$16,0)),"?")))</f>
        <v/>
      </c>
      <c r="U169" s="38"/>
      <c r="V169" s="40"/>
      <c r="W169" s="38"/>
      <c r="X169" s="40"/>
      <c r="Y169" s="38"/>
      <c r="Z169" s="38"/>
      <c r="AA169" s="40"/>
      <c r="AB169" s="43"/>
      <c r="AC169" s="45"/>
      <c r="AD169" s="46" t="str">
        <f aca="false">IF(ISNUMBER($AB169),$AB169*(1+N($AC169)),"")</f>
        <v/>
      </c>
      <c r="AE169" s="43"/>
      <c r="AF169" s="43"/>
      <c r="AG169" s="45"/>
      <c r="AH169" s="47" t="str">
        <f aca="false">IF(ISNUMBER($AD169),($AD169+$AE169+$AF169)*$AG169,"")</f>
        <v/>
      </c>
      <c r="AI169" s="43"/>
      <c r="AJ169" s="46" t="str">
        <f aca="false">IF(ISNUMBER($AD169),SUM($AD169:$AH169),"")</f>
        <v/>
      </c>
      <c r="AK169" s="48" t="str">
        <f aca="false">IF(AND(ISNUMBER($AB169),ISNUMBER($AD169)),IF($AB169&gt;0,$AD169/$AB169,""),"")</f>
        <v/>
      </c>
      <c r="AL169" s="40"/>
      <c r="AM169" s="49" t="str">
        <f aca="false">IF(ISNUMBER($AD169),Header!$I$3,"")</f>
        <v/>
      </c>
      <c r="AN169" s="47" t="str">
        <f aca="false">IF(ISNUMBER($AD169),$AO169+$AP169,"")</f>
        <v/>
      </c>
      <c r="AO169" s="47" t="str">
        <f aca="false">IF(ISNUMBER($AD169),ROUND($AD169*Header!$K$3,2),"")</f>
        <v/>
      </c>
      <c r="AP169" s="47" t="str">
        <f aca="false">IF(ISNUMBER($AD169),ROUND($AD169*Header!$M$3,2),"")</f>
        <v/>
      </c>
      <c r="AQ169" s="46" t="str">
        <f aca="false">IF(ISNUMBER($AD169),ROUND($AD169,2)-$AO169-$AP169,"")</f>
        <v/>
      </c>
      <c r="AR169" s="47" t="str">
        <f aca="false">IF(ISNUMBER($AD169),IF(Header!$D$34="","?",$AD169*Header!$D$34),"")</f>
        <v/>
      </c>
      <c r="AS169" s="47" t="str">
        <f aca="false">IF(ISNUMBER($AB169),IF(Header!$D$34="","?",$AB169*Header!$D$34),"")</f>
        <v/>
      </c>
      <c r="AT169" s="50" t="str">
        <f aca="false">IF(AND(ISNUMBER($AB169),$M169&gt;0),$AB169/$M169*100,"")</f>
        <v/>
      </c>
      <c r="AU169" s="50" t="str">
        <f aca="false">IF(AND(ISNUMBER($AD169),$M169&gt;0),$AD169/$M169*100,"")</f>
        <v/>
      </c>
      <c r="AV169" s="48" t="str">
        <f aca="false">IF(AND(ISNUMBER($AB169),ISNUMBER($AD169),ABS($AB169)&gt;0),$AD169/$AB169,"")</f>
        <v/>
      </c>
      <c r="AW169" s="47" t="str">
        <f aca="false">IF(ISNUMBER($AD169),MAX(0,(1-0.55-Header!$O$3)*Header!$Q$3*$AQ169),"")</f>
        <v/>
      </c>
      <c r="AX169" s="51" t="str">
        <f aca="false">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v/>
      </c>
      <c r="AY169" s="52" t="str">
        <f aca="false">IF($M169="","",IF(ISNUMBER($M169),IF($M169&gt;=Header!$C$18,"YES — refer","No"),""))</f>
        <v/>
      </c>
      <c r="AZ169" s="52" t="str">
        <f aca="false">IF($AD169="","",IF(ISNUMBER($AD169),IF($AD169&lt;Header!$C$20,"BELOW MIN PREMIUM","OK"),""))</f>
        <v/>
      </c>
      <c r="BA169" s="40"/>
      <c r="BB169" s="40"/>
      <c r="BC169" s="38"/>
      <c r="BE169" s="53" t="str">
        <f aca="false">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v/>
      </c>
      <c r="BF169" s="53" t="str">
        <f aca="false">IF($AD169="","",IF(ROUND($AO169+$AP169+$AQ169-$AD169,2)=0,"OK","FAIL - out by "&amp;TEXT($AO169+$AP169+$AQ169-$AD169,"$0.00")))</f>
        <v/>
      </c>
    </row>
    <row r="170" customFormat="false" ht="15" hidden="false" customHeight="true" outlineLevel="0" collapsed="false">
      <c r="A170" s="54"/>
      <c r="B170" s="54"/>
      <c r="C170" s="55"/>
      <c r="D170" s="56"/>
      <c r="E170" s="56"/>
      <c r="F170" s="54"/>
      <c r="G170" s="41" t="str">
        <f aca="false">IF($A170="","",IF($C170="","",YEAR($C170)))</f>
        <v/>
      </c>
      <c r="H170" s="57"/>
      <c r="I170" s="54"/>
      <c r="J170" s="54"/>
      <c r="K170" s="54"/>
      <c r="L170" s="56"/>
      <c r="M170" s="58"/>
      <c r="N170" s="56"/>
      <c r="O170" s="54"/>
      <c r="P170" s="54"/>
      <c r="Q170" s="54"/>
      <c r="R170" s="54"/>
      <c r="S170" s="56"/>
      <c r="T170" s="44" t="str">
        <f aca="false">IF($A170="","",IF($S170="","",IFERROR(INDEX(Lists!$N$5:$N$16,MATCH($S170,Lists!$M$5:$M$16,0)),"?")))</f>
        <v/>
      </c>
      <c r="U170" s="54"/>
      <c r="V170" s="56"/>
      <c r="W170" s="54"/>
      <c r="X170" s="56"/>
      <c r="Y170" s="54"/>
      <c r="Z170" s="54"/>
      <c r="AA170" s="56"/>
      <c r="AB170" s="58"/>
      <c r="AC170" s="59"/>
      <c r="AD170" s="46" t="str">
        <f aca="false">IF(ISNUMBER($AB170),$AB170*(1+N($AC170)),"")</f>
        <v/>
      </c>
      <c r="AE170" s="58"/>
      <c r="AF170" s="58"/>
      <c r="AG170" s="59"/>
      <c r="AH170" s="47" t="str">
        <f aca="false">IF(ISNUMBER($AD170),($AD170+$AE170+$AF170)*$AG170,"")</f>
        <v/>
      </c>
      <c r="AI170" s="58"/>
      <c r="AJ170" s="46" t="str">
        <f aca="false">IF(ISNUMBER($AD170),SUM($AD170:$AH170),"")</f>
        <v/>
      </c>
      <c r="AK170" s="48" t="str">
        <f aca="false">IF(AND(ISNUMBER($AB170),ISNUMBER($AD170)),IF($AB170&gt;0,$AD170/$AB170,""),"")</f>
        <v/>
      </c>
      <c r="AL170" s="56"/>
      <c r="AM170" s="49" t="str">
        <f aca="false">IF(ISNUMBER($AD170),Header!$I$3,"")</f>
        <v/>
      </c>
      <c r="AN170" s="47" t="str">
        <f aca="false">IF(ISNUMBER($AD170),$AO170+$AP170,"")</f>
        <v/>
      </c>
      <c r="AO170" s="47" t="str">
        <f aca="false">IF(ISNUMBER($AD170),ROUND($AD170*Header!$K$3,2),"")</f>
        <v/>
      </c>
      <c r="AP170" s="47" t="str">
        <f aca="false">IF(ISNUMBER($AD170),ROUND($AD170*Header!$M$3,2),"")</f>
        <v/>
      </c>
      <c r="AQ170" s="46" t="str">
        <f aca="false">IF(ISNUMBER($AD170),ROUND($AD170,2)-$AO170-$AP170,"")</f>
        <v/>
      </c>
      <c r="AR170" s="47" t="str">
        <f aca="false">IF(ISNUMBER($AD170),IF(Header!$D$34="","?",$AD170*Header!$D$34),"")</f>
        <v/>
      </c>
      <c r="AS170" s="47" t="str">
        <f aca="false">IF(ISNUMBER($AB170),IF(Header!$D$34="","?",$AB170*Header!$D$34),"")</f>
        <v/>
      </c>
      <c r="AT170" s="50" t="str">
        <f aca="false">IF(AND(ISNUMBER($AB170),$M170&gt;0),$AB170/$M170*100,"")</f>
        <v/>
      </c>
      <c r="AU170" s="50" t="str">
        <f aca="false">IF(AND(ISNUMBER($AD170),$M170&gt;0),$AD170/$M170*100,"")</f>
        <v/>
      </c>
      <c r="AV170" s="48" t="str">
        <f aca="false">IF(AND(ISNUMBER($AB170),ISNUMBER($AD170),ABS($AB170)&gt;0),$AD170/$AB170,"")</f>
        <v/>
      </c>
      <c r="AW170" s="47" t="str">
        <f aca="false">IF(ISNUMBER($AD170),MAX(0,(1-0.55-Header!$O$3)*Header!$Q$3*$AQ170),"")</f>
        <v/>
      </c>
      <c r="AX170" s="51" t="str">
        <f aca="false">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v/>
      </c>
      <c r="AY170" s="52" t="str">
        <f aca="false">IF($M170="","",IF(ISNUMBER($M170),IF($M170&gt;=Header!$C$18,"YES — refer","No"),""))</f>
        <v/>
      </c>
      <c r="AZ170" s="52" t="str">
        <f aca="false">IF($AD170="","",IF(ISNUMBER($AD170),IF($AD170&lt;Header!$C$20,"BELOW MIN PREMIUM","OK"),""))</f>
        <v/>
      </c>
      <c r="BA170" s="56"/>
      <c r="BB170" s="56"/>
      <c r="BC170" s="54"/>
      <c r="BE170" s="53" t="str">
        <f aca="false">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v/>
      </c>
      <c r="BF170" s="53" t="str">
        <f aca="false">IF($AD170="","",IF(ROUND($AO170+$AP170+$AQ170-$AD170,2)=0,"OK","FAIL - out by "&amp;TEXT($AO170+$AP170+$AQ170-$AD170,"$0.00")))</f>
        <v/>
      </c>
    </row>
    <row r="171" customFormat="false" ht="15" hidden="false" customHeight="true" outlineLevel="0" collapsed="false">
      <c r="A171" s="38"/>
      <c r="B171" s="38"/>
      <c r="C171" s="39"/>
      <c r="D171" s="40"/>
      <c r="E171" s="40"/>
      <c r="F171" s="38"/>
      <c r="G171" s="41" t="str">
        <f aca="false">IF($A171="","",IF($C171="","",YEAR($C171)))</f>
        <v/>
      </c>
      <c r="H171" s="42"/>
      <c r="I171" s="38"/>
      <c r="J171" s="38"/>
      <c r="K171" s="38"/>
      <c r="L171" s="40"/>
      <c r="M171" s="43"/>
      <c r="N171" s="40"/>
      <c r="O171" s="38"/>
      <c r="P171" s="38"/>
      <c r="Q171" s="38"/>
      <c r="R171" s="38"/>
      <c r="S171" s="40"/>
      <c r="T171" s="44" t="str">
        <f aca="false">IF($A171="","",IF($S171="","",IFERROR(INDEX(Lists!$N$5:$N$16,MATCH($S171,Lists!$M$5:$M$16,0)),"?")))</f>
        <v/>
      </c>
      <c r="U171" s="38"/>
      <c r="V171" s="40"/>
      <c r="W171" s="38"/>
      <c r="X171" s="40"/>
      <c r="Y171" s="38"/>
      <c r="Z171" s="38"/>
      <c r="AA171" s="40"/>
      <c r="AB171" s="43"/>
      <c r="AC171" s="45"/>
      <c r="AD171" s="46" t="str">
        <f aca="false">IF(ISNUMBER($AB171),$AB171*(1+N($AC171)),"")</f>
        <v/>
      </c>
      <c r="AE171" s="43"/>
      <c r="AF171" s="43"/>
      <c r="AG171" s="45"/>
      <c r="AH171" s="47" t="str">
        <f aca="false">IF(ISNUMBER($AD171),($AD171+$AE171+$AF171)*$AG171,"")</f>
        <v/>
      </c>
      <c r="AI171" s="43"/>
      <c r="AJ171" s="46" t="str">
        <f aca="false">IF(ISNUMBER($AD171),SUM($AD171:$AH171),"")</f>
        <v/>
      </c>
      <c r="AK171" s="48" t="str">
        <f aca="false">IF(AND(ISNUMBER($AB171),ISNUMBER($AD171)),IF($AB171&gt;0,$AD171/$AB171,""),"")</f>
        <v/>
      </c>
      <c r="AL171" s="40"/>
      <c r="AM171" s="49" t="str">
        <f aca="false">IF(ISNUMBER($AD171),Header!$I$3,"")</f>
        <v/>
      </c>
      <c r="AN171" s="47" t="str">
        <f aca="false">IF(ISNUMBER($AD171),$AO171+$AP171,"")</f>
        <v/>
      </c>
      <c r="AO171" s="47" t="str">
        <f aca="false">IF(ISNUMBER($AD171),ROUND($AD171*Header!$K$3,2),"")</f>
        <v/>
      </c>
      <c r="AP171" s="47" t="str">
        <f aca="false">IF(ISNUMBER($AD171),ROUND($AD171*Header!$M$3,2),"")</f>
        <v/>
      </c>
      <c r="AQ171" s="46" t="str">
        <f aca="false">IF(ISNUMBER($AD171),ROUND($AD171,2)-$AO171-$AP171,"")</f>
        <v/>
      </c>
      <c r="AR171" s="47" t="str">
        <f aca="false">IF(ISNUMBER($AD171),IF(Header!$D$34="","?",$AD171*Header!$D$34),"")</f>
        <v/>
      </c>
      <c r="AS171" s="47" t="str">
        <f aca="false">IF(ISNUMBER($AB171),IF(Header!$D$34="","?",$AB171*Header!$D$34),"")</f>
        <v/>
      </c>
      <c r="AT171" s="50" t="str">
        <f aca="false">IF(AND(ISNUMBER($AB171),$M171&gt;0),$AB171/$M171*100,"")</f>
        <v/>
      </c>
      <c r="AU171" s="50" t="str">
        <f aca="false">IF(AND(ISNUMBER($AD171),$M171&gt;0),$AD171/$M171*100,"")</f>
        <v/>
      </c>
      <c r="AV171" s="48" t="str">
        <f aca="false">IF(AND(ISNUMBER($AB171),ISNUMBER($AD171),ABS($AB171)&gt;0),$AD171/$AB171,"")</f>
        <v/>
      </c>
      <c r="AW171" s="47" t="str">
        <f aca="false">IF(ISNUMBER($AD171),MAX(0,(1-0.55-Header!$O$3)*Header!$Q$3*$AQ171),"")</f>
        <v/>
      </c>
      <c r="AX171" s="51" t="str">
        <f aca="false">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v/>
      </c>
      <c r="AY171" s="52" t="str">
        <f aca="false">IF($M171="","",IF(ISNUMBER($M171),IF($M171&gt;=Header!$C$18,"YES — refer","No"),""))</f>
        <v/>
      </c>
      <c r="AZ171" s="52" t="str">
        <f aca="false">IF($AD171="","",IF(ISNUMBER($AD171),IF($AD171&lt;Header!$C$20,"BELOW MIN PREMIUM","OK"),""))</f>
        <v/>
      </c>
      <c r="BA171" s="40"/>
      <c r="BB171" s="40"/>
      <c r="BC171" s="38"/>
      <c r="BE171" s="53" t="str">
        <f aca="false">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v/>
      </c>
      <c r="BF171" s="53" t="str">
        <f aca="false">IF($AD171="","",IF(ROUND($AO171+$AP171+$AQ171-$AD171,2)=0,"OK","FAIL - out by "&amp;TEXT($AO171+$AP171+$AQ171-$AD171,"$0.00")))</f>
        <v/>
      </c>
    </row>
    <row r="172" customFormat="false" ht="15" hidden="false" customHeight="true" outlineLevel="0" collapsed="false">
      <c r="A172" s="54"/>
      <c r="B172" s="54"/>
      <c r="C172" s="55"/>
      <c r="D172" s="56"/>
      <c r="E172" s="56"/>
      <c r="F172" s="54"/>
      <c r="G172" s="41" t="str">
        <f aca="false">IF($A172="","",IF($C172="","",YEAR($C172)))</f>
        <v/>
      </c>
      <c r="H172" s="57"/>
      <c r="I172" s="54"/>
      <c r="J172" s="54"/>
      <c r="K172" s="54"/>
      <c r="L172" s="56"/>
      <c r="M172" s="58"/>
      <c r="N172" s="56"/>
      <c r="O172" s="54"/>
      <c r="P172" s="54"/>
      <c r="Q172" s="54"/>
      <c r="R172" s="54"/>
      <c r="S172" s="56"/>
      <c r="T172" s="44" t="str">
        <f aca="false">IF($A172="","",IF($S172="","",IFERROR(INDEX(Lists!$N$5:$N$16,MATCH($S172,Lists!$M$5:$M$16,0)),"?")))</f>
        <v/>
      </c>
      <c r="U172" s="54"/>
      <c r="V172" s="56"/>
      <c r="W172" s="54"/>
      <c r="X172" s="56"/>
      <c r="Y172" s="54"/>
      <c r="Z172" s="54"/>
      <c r="AA172" s="56"/>
      <c r="AB172" s="58"/>
      <c r="AC172" s="59"/>
      <c r="AD172" s="46" t="str">
        <f aca="false">IF(ISNUMBER($AB172),$AB172*(1+N($AC172)),"")</f>
        <v/>
      </c>
      <c r="AE172" s="58"/>
      <c r="AF172" s="58"/>
      <c r="AG172" s="59"/>
      <c r="AH172" s="47" t="str">
        <f aca="false">IF(ISNUMBER($AD172),($AD172+$AE172+$AF172)*$AG172,"")</f>
        <v/>
      </c>
      <c r="AI172" s="58"/>
      <c r="AJ172" s="46" t="str">
        <f aca="false">IF(ISNUMBER($AD172),SUM($AD172:$AH172),"")</f>
        <v/>
      </c>
      <c r="AK172" s="48" t="str">
        <f aca="false">IF(AND(ISNUMBER($AB172),ISNUMBER($AD172)),IF($AB172&gt;0,$AD172/$AB172,""),"")</f>
        <v/>
      </c>
      <c r="AL172" s="56"/>
      <c r="AM172" s="49" t="str">
        <f aca="false">IF(ISNUMBER($AD172),Header!$I$3,"")</f>
        <v/>
      </c>
      <c r="AN172" s="47" t="str">
        <f aca="false">IF(ISNUMBER($AD172),$AO172+$AP172,"")</f>
        <v/>
      </c>
      <c r="AO172" s="47" t="str">
        <f aca="false">IF(ISNUMBER($AD172),ROUND($AD172*Header!$K$3,2),"")</f>
        <v/>
      </c>
      <c r="AP172" s="47" t="str">
        <f aca="false">IF(ISNUMBER($AD172),ROUND($AD172*Header!$M$3,2),"")</f>
        <v/>
      </c>
      <c r="AQ172" s="46" t="str">
        <f aca="false">IF(ISNUMBER($AD172),ROUND($AD172,2)-$AO172-$AP172,"")</f>
        <v/>
      </c>
      <c r="AR172" s="47" t="str">
        <f aca="false">IF(ISNUMBER($AD172),IF(Header!$D$34="","?",$AD172*Header!$D$34),"")</f>
        <v/>
      </c>
      <c r="AS172" s="47" t="str">
        <f aca="false">IF(ISNUMBER($AB172),IF(Header!$D$34="","?",$AB172*Header!$D$34),"")</f>
        <v/>
      </c>
      <c r="AT172" s="50" t="str">
        <f aca="false">IF(AND(ISNUMBER($AB172),$M172&gt;0),$AB172/$M172*100,"")</f>
        <v/>
      </c>
      <c r="AU172" s="50" t="str">
        <f aca="false">IF(AND(ISNUMBER($AD172),$M172&gt;0),$AD172/$M172*100,"")</f>
        <v/>
      </c>
      <c r="AV172" s="48" t="str">
        <f aca="false">IF(AND(ISNUMBER($AB172),ISNUMBER($AD172),ABS($AB172)&gt;0),$AD172/$AB172,"")</f>
        <v/>
      </c>
      <c r="AW172" s="47" t="str">
        <f aca="false">IF(ISNUMBER($AD172),MAX(0,(1-0.55-Header!$O$3)*Header!$Q$3*$AQ172),"")</f>
        <v/>
      </c>
      <c r="AX172" s="51" t="str">
        <f aca="false">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v/>
      </c>
      <c r="AY172" s="52" t="str">
        <f aca="false">IF($M172="","",IF(ISNUMBER($M172),IF($M172&gt;=Header!$C$18,"YES — refer","No"),""))</f>
        <v/>
      </c>
      <c r="AZ172" s="52" t="str">
        <f aca="false">IF($AD172="","",IF(ISNUMBER($AD172),IF($AD172&lt;Header!$C$20,"BELOW MIN PREMIUM","OK"),""))</f>
        <v/>
      </c>
      <c r="BA172" s="56"/>
      <c r="BB172" s="56"/>
      <c r="BC172" s="54"/>
      <c r="BE172" s="53" t="str">
        <f aca="false">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v/>
      </c>
      <c r="BF172" s="53" t="str">
        <f aca="false">IF($AD172="","",IF(ROUND($AO172+$AP172+$AQ172-$AD172,2)=0,"OK","FAIL - out by "&amp;TEXT($AO172+$AP172+$AQ172-$AD172,"$0.00")))</f>
        <v/>
      </c>
    </row>
    <row r="173" customFormat="false" ht="15" hidden="false" customHeight="true" outlineLevel="0" collapsed="false">
      <c r="A173" s="38"/>
      <c r="B173" s="38"/>
      <c r="C173" s="39"/>
      <c r="D173" s="40"/>
      <c r="E173" s="40"/>
      <c r="F173" s="38"/>
      <c r="G173" s="41" t="str">
        <f aca="false">IF($A173="","",IF($C173="","",YEAR($C173)))</f>
        <v/>
      </c>
      <c r="H173" s="42"/>
      <c r="I173" s="38"/>
      <c r="J173" s="38"/>
      <c r="K173" s="38"/>
      <c r="L173" s="40"/>
      <c r="M173" s="43"/>
      <c r="N173" s="40"/>
      <c r="O173" s="38"/>
      <c r="P173" s="38"/>
      <c r="Q173" s="38"/>
      <c r="R173" s="38"/>
      <c r="S173" s="40"/>
      <c r="T173" s="44" t="str">
        <f aca="false">IF($A173="","",IF($S173="","",IFERROR(INDEX(Lists!$N$5:$N$16,MATCH($S173,Lists!$M$5:$M$16,0)),"?")))</f>
        <v/>
      </c>
      <c r="U173" s="38"/>
      <c r="V173" s="40"/>
      <c r="W173" s="38"/>
      <c r="X173" s="40"/>
      <c r="Y173" s="38"/>
      <c r="Z173" s="38"/>
      <c r="AA173" s="40"/>
      <c r="AB173" s="43"/>
      <c r="AC173" s="45"/>
      <c r="AD173" s="46" t="str">
        <f aca="false">IF(ISNUMBER($AB173),$AB173*(1+N($AC173)),"")</f>
        <v/>
      </c>
      <c r="AE173" s="43"/>
      <c r="AF173" s="43"/>
      <c r="AG173" s="45"/>
      <c r="AH173" s="47" t="str">
        <f aca="false">IF(ISNUMBER($AD173),($AD173+$AE173+$AF173)*$AG173,"")</f>
        <v/>
      </c>
      <c r="AI173" s="43"/>
      <c r="AJ173" s="46" t="str">
        <f aca="false">IF(ISNUMBER($AD173),SUM($AD173:$AH173),"")</f>
        <v/>
      </c>
      <c r="AK173" s="48" t="str">
        <f aca="false">IF(AND(ISNUMBER($AB173),ISNUMBER($AD173)),IF($AB173&gt;0,$AD173/$AB173,""),"")</f>
        <v/>
      </c>
      <c r="AL173" s="40"/>
      <c r="AM173" s="49" t="str">
        <f aca="false">IF(ISNUMBER($AD173),Header!$I$3,"")</f>
        <v/>
      </c>
      <c r="AN173" s="47" t="str">
        <f aca="false">IF(ISNUMBER($AD173),$AO173+$AP173,"")</f>
        <v/>
      </c>
      <c r="AO173" s="47" t="str">
        <f aca="false">IF(ISNUMBER($AD173),ROUND($AD173*Header!$K$3,2),"")</f>
        <v/>
      </c>
      <c r="AP173" s="47" t="str">
        <f aca="false">IF(ISNUMBER($AD173),ROUND($AD173*Header!$M$3,2),"")</f>
        <v/>
      </c>
      <c r="AQ173" s="46" t="str">
        <f aca="false">IF(ISNUMBER($AD173),ROUND($AD173,2)-$AO173-$AP173,"")</f>
        <v/>
      </c>
      <c r="AR173" s="47" t="str">
        <f aca="false">IF(ISNUMBER($AD173),IF(Header!$D$34="","?",$AD173*Header!$D$34),"")</f>
        <v/>
      </c>
      <c r="AS173" s="47" t="str">
        <f aca="false">IF(ISNUMBER($AB173),IF(Header!$D$34="","?",$AB173*Header!$D$34),"")</f>
        <v/>
      </c>
      <c r="AT173" s="50" t="str">
        <f aca="false">IF(AND(ISNUMBER($AB173),$M173&gt;0),$AB173/$M173*100,"")</f>
        <v/>
      </c>
      <c r="AU173" s="50" t="str">
        <f aca="false">IF(AND(ISNUMBER($AD173),$M173&gt;0),$AD173/$M173*100,"")</f>
        <v/>
      </c>
      <c r="AV173" s="48" t="str">
        <f aca="false">IF(AND(ISNUMBER($AB173),ISNUMBER($AD173),ABS($AB173)&gt;0),$AD173/$AB173,"")</f>
        <v/>
      </c>
      <c r="AW173" s="47" t="str">
        <f aca="false">IF(ISNUMBER($AD173),MAX(0,(1-0.55-Header!$O$3)*Header!$Q$3*$AQ173),"")</f>
        <v/>
      </c>
      <c r="AX173" s="51" t="str">
        <f aca="false">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v/>
      </c>
      <c r="AY173" s="52" t="str">
        <f aca="false">IF($M173="","",IF(ISNUMBER($M173),IF($M173&gt;=Header!$C$18,"YES — refer","No"),""))</f>
        <v/>
      </c>
      <c r="AZ173" s="52" t="str">
        <f aca="false">IF($AD173="","",IF(ISNUMBER($AD173),IF($AD173&lt;Header!$C$20,"BELOW MIN PREMIUM","OK"),""))</f>
        <v/>
      </c>
      <c r="BA173" s="40"/>
      <c r="BB173" s="40"/>
      <c r="BC173" s="38"/>
      <c r="BE173" s="53" t="str">
        <f aca="false">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v/>
      </c>
      <c r="BF173" s="53" t="str">
        <f aca="false">IF($AD173="","",IF(ROUND($AO173+$AP173+$AQ173-$AD173,2)=0,"OK","FAIL - out by "&amp;TEXT($AO173+$AP173+$AQ173-$AD173,"$0.00")))</f>
        <v/>
      </c>
    </row>
    <row r="174" customFormat="false" ht="15" hidden="false" customHeight="true" outlineLevel="0" collapsed="false">
      <c r="A174" s="54"/>
      <c r="B174" s="54"/>
      <c r="C174" s="55"/>
      <c r="D174" s="56"/>
      <c r="E174" s="56"/>
      <c r="F174" s="54"/>
      <c r="G174" s="41" t="str">
        <f aca="false">IF($A174="","",IF($C174="","",YEAR($C174)))</f>
        <v/>
      </c>
      <c r="H174" s="57"/>
      <c r="I174" s="54"/>
      <c r="J174" s="54"/>
      <c r="K174" s="54"/>
      <c r="L174" s="56"/>
      <c r="M174" s="58"/>
      <c r="N174" s="56"/>
      <c r="O174" s="54"/>
      <c r="P174" s="54"/>
      <c r="Q174" s="54"/>
      <c r="R174" s="54"/>
      <c r="S174" s="56"/>
      <c r="T174" s="44" t="str">
        <f aca="false">IF($A174="","",IF($S174="","",IFERROR(INDEX(Lists!$N$5:$N$16,MATCH($S174,Lists!$M$5:$M$16,0)),"?")))</f>
        <v/>
      </c>
      <c r="U174" s="54"/>
      <c r="V174" s="56"/>
      <c r="W174" s="54"/>
      <c r="X174" s="56"/>
      <c r="Y174" s="54"/>
      <c r="Z174" s="54"/>
      <c r="AA174" s="56"/>
      <c r="AB174" s="58"/>
      <c r="AC174" s="59"/>
      <c r="AD174" s="46" t="str">
        <f aca="false">IF(ISNUMBER($AB174),$AB174*(1+N($AC174)),"")</f>
        <v/>
      </c>
      <c r="AE174" s="58"/>
      <c r="AF174" s="58"/>
      <c r="AG174" s="59"/>
      <c r="AH174" s="47" t="str">
        <f aca="false">IF(ISNUMBER($AD174),($AD174+$AE174+$AF174)*$AG174,"")</f>
        <v/>
      </c>
      <c r="AI174" s="58"/>
      <c r="AJ174" s="46" t="str">
        <f aca="false">IF(ISNUMBER($AD174),SUM($AD174:$AH174),"")</f>
        <v/>
      </c>
      <c r="AK174" s="48" t="str">
        <f aca="false">IF(AND(ISNUMBER($AB174),ISNUMBER($AD174)),IF($AB174&gt;0,$AD174/$AB174,""),"")</f>
        <v/>
      </c>
      <c r="AL174" s="56"/>
      <c r="AM174" s="49" t="str">
        <f aca="false">IF(ISNUMBER($AD174),Header!$I$3,"")</f>
        <v/>
      </c>
      <c r="AN174" s="47" t="str">
        <f aca="false">IF(ISNUMBER($AD174),$AO174+$AP174,"")</f>
        <v/>
      </c>
      <c r="AO174" s="47" t="str">
        <f aca="false">IF(ISNUMBER($AD174),ROUND($AD174*Header!$K$3,2),"")</f>
        <v/>
      </c>
      <c r="AP174" s="47" t="str">
        <f aca="false">IF(ISNUMBER($AD174),ROUND($AD174*Header!$M$3,2),"")</f>
        <v/>
      </c>
      <c r="AQ174" s="46" t="str">
        <f aca="false">IF(ISNUMBER($AD174),ROUND($AD174,2)-$AO174-$AP174,"")</f>
        <v/>
      </c>
      <c r="AR174" s="47" t="str">
        <f aca="false">IF(ISNUMBER($AD174),IF(Header!$D$34="","?",$AD174*Header!$D$34),"")</f>
        <v/>
      </c>
      <c r="AS174" s="47" t="str">
        <f aca="false">IF(ISNUMBER($AB174),IF(Header!$D$34="","?",$AB174*Header!$D$34),"")</f>
        <v/>
      </c>
      <c r="AT174" s="50" t="str">
        <f aca="false">IF(AND(ISNUMBER($AB174),$M174&gt;0),$AB174/$M174*100,"")</f>
        <v/>
      </c>
      <c r="AU174" s="50" t="str">
        <f aca="false">IF(AND(ISNUMBER($AD174),$M174&gt;0),$AD174/$M174*100,"")</f>
        <v/>
      </c>
      <c r="AV174" s="48" t="str">
        <f aca="false">IF(AND(ISNUMBER($AB174),ISNUMBER($AD174),ABS($AB174)&gt;0),$AD174/$AB174,"")</f>
        <v/>
      </c>
      <c r="AW174" s="47" t="str">
        <f aca="false">IF(ISNUMBER($AD174),MAX(0,(1-0.55-Header!$O$3)*Header!$Q$3*$AQ174),"")</f>
        <v/>
      </c>
      <c r="AX174" s="51" t="str">
        <f aca="false">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v/>
      </c>
      <c r="AY174" s="52" t="str">
        <f aca="false">IF($M174="","",IF(ISNUMBER($M174),IF($M174&gt;=Header!$C$18,"YES — refer","No"),""))</f>
        <v/>
      </c>
      <c r="AZ174" s="52" t="str">
        <f aca="false">IF($AD174="","",IF(ISNUMBER($AD174),IF($AD174&lt;Header!$C$20,"BELOW MIN PREMIUM","OK"),""))</f>
        <v/>
      </c>
      <c r="BA174" s="56"/>
      <c r="BB174" s="56"/>
      <c r="BC174" s="54"/>
      <c r="BE174" s="53" t="str">
        <f aca="false">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v/>
      </c>
      <c r="BF174" s="53" t="str">
        <f aca="false">IF($AD174="","",IF(ROUND($AO174+$AP174+$AQ174-$AD174,2)=0,"OK","FAIL - out by "&amp;TEXT($AO174+$AP174+$AQ174-$AD174,"$0.00")))</f>
        <v/>
      </c>
    </row>
    <row r="175" customFormat="false" ht="15" hidden="false" customHeight="true" outlineLevel="0" collapsed="false">
      <c r="A175" s="38"/>
      <c r="B175" s="38"/>
      <c r="C175" s="39"/>
      <c r="D175" s="40"/>
      <c r="E175" s="40"/>
      <c r="F175" s="38"/>
      <c r="G175" s="41" t="str">
        <f aca="false">IF($A175="","",IF($C175="","",YEAR($C175)))</f>
        <v/>
      </c>
      <c r="H175" s="42"/>
      <c r="I175" s="38"/>
      <c r="J175" s="38"/>
      <c r="K175" s="38"/>
      <c r="L175" s="40"/>
      <c r="M175" s="43"/>
      <c r="N175" s="40"/>
      <c r="O175" s="38"/>
      <c r="P175" s="38"/>
      <c r="Q175" s="38"/>
      <c r="R175" s="38"/>
      <c r="S175" s="40"/>
      <c r="T175" s="44" t="str">
        <f aca="false">IF($A175="","",IF($S175="","",IFERROR(INDEX(Lists!$N$5:$N$16,MATCH($S175,Lists!$M$5:$M$16,0)),"?")))</f>
        <v/>
      </c>
      <c r="U175" s="38"/>
      <c r="V175" s="40"/>
      <c r="W175" s="38"/>
      <c r="X175" s="40"/>
      <c r="Y175" s="38"/>
      <c r="Z175" s="38"/>
      <c r="AA175" s="40"/>
      <c r="AB175" s="43"/>
      <c r="AC175" s="45"/>
      <c r="AD175" s="46" t="str">
        <f aca="false">IF(ISNUMBER($AB175),$AB175*(1+N($AC175)),"")</f>
        <v/>
      </c>
      <c r="AE175" s="43"/>
      <c r="AF175" s="43"/>
      <c r="AG175" s="45"/>
      <c r="AH175" s="47" t="str">
        <f aca="false">IF(ISNUMBER($AD175),($AD175+$AE175+$AF175)*$AG175,"")</f>
        <v/>
      </c>
      <c r="AI175" s="43"/>
      <c r="AJ175" s="46" t="str">
        <f aca="false">IF(ISNUMBER($AD175),SUM($AD175:$AH175),"")</f>
        <v/>
      </c>
      <c r="AK175" s="48" t="str">
        <f aca="false">IF(AND(ISNUMBER($AB175),ISNUMBER($AD175)),IF($AB175&gt;0,$AD175/$AB175,""),"")</f>
        <v/>
      </c>
      <c r="AL175" s="40"/>
      <c r="AM175" s="49" t="str">
        <f aca="false">IF(ISNUMBER($AD175),Header!$I$3,"")</f>
        <v/>
      </c>
      <c r="AN175" s="47" t="str">
        <f aca="false">IF(ISNUMBER($AD175),$AO175+$AP175,"")</f>
        <v/>
      </c>
      <c r="AO175" s="47" t="str">
        <f aca="false">IF(ISNUMBER($AD175),ROUND($AD175*Header!$K$3,2),"")</f>
        <v/>
      </c>
      <c r="AP175" s="47" t="str">
        <f aca="false">IF(ISNUMBER($AD175),ROUND($AD175*Header!$M$3,2),"")</f>
        <v/>
      </c>
      <c r="AQ175" s="46" t="str">
        <f aca="false">IF(ISNUMBER($AD175),ROUND($AD175,2)-$AO175-$AP175,"")</f>
        <v/>
      </c>
      <c r="AR175" s="47" t="str">
        <f aca="false">IF(ISNUMBER($AD175),IF(Header!$D$34="","?",$AD175*Header!$D$34),"")</f>
        <v/>
      </c>
      <c r="AS175" s="47" t="str">
        <f aca="false">IF(ISNUMBER($AB175),IF(Header!$D$34="","?",$AB175*Header!$D$34),"")</f>
        <v/>
      </c>
      <c r="AT175" s="50" t="str">
        <f aca="false">IF(AND(ISNUMBER($AB175),$M175&gt;0),$AB175/$M175*100,"")</f>
        <v/>
      </c>
      <c r="AU175" s="50" t="str">
        <f aca="false">IF(AND(ISNUMBER($AD175),$M175&gt;0),$AD175/$M175*100,"")</f>
        <v/>
      </c>
      <c r="AV175" s="48" t="str">
        <f aca="false">IF(AND(ISNUMBER($AB175),ISNUMBER($AD175),ABS($AB175)&gt;0),$AD175/$AB175,"")</f>
        <v/>
      </c>
      <c r="AW175" s="47" t="str">
        <f aca="false">IF(ISNUMBER($AD175),MAX(0,(1-0.55-Header!$O$3)*Header!$Q$3*$AQ175),"")</f>
        <v/>
      </c>
      <c r="AX175" s="51" t="str">
        <f aca="false">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v/>
      </c>
      <c r="AY175" s="52" t="str">
        <f aca="false">IF($M175="","",IF(ISNUMBER($M175),IF($M175&gt;=Header!$C$18,"YES — refer","No"),""))</f>
        <v/>
      </c>
      <c r="AZ175" s="52" t="str">
        <f aca="false">IF($AD175="","",IF(ISNUMBER($AD175),IF($AD175&lt;Header!$C$20,"BELOW MIN PREMIUM","OK"),""))</f>
        <v/>
      </c>
      <c r="BA175" s="40"/>
      <c r="BB175" s="40"/>
      <c r="BC175" s="38"/>
      <c r="BE175" s="53" t="str">
        <f aca="false">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v/>
      </c>
      <c r="BF175" s="53" t="str">
        <f aca="false">IF($AD175="","",IF(ROUND($AO175+$AP175+$AQ175-$AD175,2)=0,"OK","FAIL - out by "&amp;TEXT($AO175+$AP175+$AQ175-$AD175,"$0.00")))</f>
        <v/>
      </c>
    </row>
    <row r="176" customFormat="false" ht="15" hidden="false" customHeight="true" outlineLevel="0" collapsed="false">
      <c r="A176" s="54"/>
      <c r="B176" s="54"/>
      <c r="C176" s="55"/>
      <c r="D176" s="56"/>
      <c r="E176" s="56"/>
      <c r="F176" s="54"/>
      <c r="G176" s="41" t="str">
        <f aca="false">IF($A176="","",IF($C176="","",YEAR($C176)))</f>
        <v/>
      </c>
      <c r="H176" s="57"/>
      <c r="I176" s="54"/>
      <c r="J176" s="54"/>
      <c r="K176" s="54"/>
      <c r="L176" s="56"/>
      <c r="M176" s="58"/>
      <c r="N176" s="56"/>
      <c r="O176" s="54"/>
      <c r="P176" s="54"/>
      <c r="Q176" s="54"/>
      <c r="R176" s="54"/>
      <c r="S176" s="56"/>
      <c r="T176" s="44" t="str">
        <f aca="false">IF($A176="","",IF($S176="","",IFERROR(INDEX(Lists!$N$5:$N$16,MATCH($S176,Lists!$M$5:$M$16,0)),"?")))</f>
        <v/>
      </c>
      <c r="U176" s="54"/>
      <c r="V176" s="56"/>
      <c r="W176" s="54"/>
      <c r="X176" s="56"/>
      <c r="Y176" s="54"/>
      <c r="Z176" s="54"/>
      <c r="AA176" s="56"/>
      <c r="AB176" s="58"/>
      <c r="AC176" s="59"/>
      <c r="AD176" s="46" t="str">
        <f aca="false">IF(ISNUMBER($AB176),$AB176*(1+N($AC176)),"")</f>
        <v/>
      </c>
      <c r="AE176" s="58"/>
      <c r="AF176" s="58"/>
      <c r="AG176" s="59"/>
      <c r="AH176" s="47" t="str">
        <f aca="false">IF(ISNUMBER($AD176),($AD176+$AE176+$AF176)*$AG176,"")</f>
        <v/>
      </c>
      <c r="AI176" s="58"/>
      <c r="AJ176" s="46" t="str">
        <f aca="false">IF(ISNUMBER($AD176),SUM($AD176:$AH176),"")</f>
        <v/>
      </c>
      <c r="AK176" s="48" t="str">
        <f aca="false">IF(AND(ISNUMBER($AB176),ISNUMBER($AD176)),IF($AB176&gt;0,$AD176/$AB176,""),"")</f>
        <v/>
      </c>
      <c r="AL176" s="56"/>
      <c r="AM176" s="49" t="str">
        <f aca="false">IF(ISNUMBER($AD176),Header!$I$3,"")</f>
        <v/>
      </c>
      <c r="AN176" s="47" t="str">
        <f aca="false">IF(ISNUMBER($AD176),$AO176+$AP176,"")</f>
        <v/>
      </c>
      <c r="AO176" s="47" t="str">
        <f aca="false">IF(ISNUMBER($AD176),ROUND($AD176*Header!$K$3,2),"")</f>
        <v/>
      </c>
      <c r="AP176" s="47" t="str">
        <f aca="false">IF(ISNUMBER($AD176),ROUND($AD176*Header!$M$3,2),"")</f>
        <v/>
      </c>
      <c r="AQ176" s="46" t="str">
        <f aca="false">IF(ISNUMBER($AD176),ROUND($AD176,2)-$AO176-$AP176,"")</f>
        <v/>
      </c>
      <c r="AR176" s="47" t="str">
        <f aca="false">IF(ISNUMBER($AD176),IF(Header!$D$34="","?",$AD176*Header!$D$34),"")</f>
        <v/>
      </c>
      <c r="AS176" s="47" t="str">
        <f aca="false">IF(ISNUMBER($AB176),IF(Header!$D$34="","?",$AB176*Header!$D$34),"")</f>
        <v/>
      </c>
      <c r="AT176" s="50" t="str">
        <f aca="false">IF(AND(ISNUMBER($AB176),$M176&gt;0),$AB176/$M176*100,"")</f>
        <v/>
      </c>
      <c r="AU176" s="50" t="str">
        <f aca="false">IF(AND(ISNUMBER($AD176),$M176&gt;0),$AD176/$M176*100,"")</f>
        <v/>
      </c>
      <c r="AV176" s="48" t="str">
        <f aca="false">IF(AND(ISNUMBER($AB176),ISNUMBER($AD176),ABS($AB176)&gt;0),$AD176/$AB176,"")</f>
        <v/>
      </c>
      <c r="AW176" s="47" t="str">
        <f aca="false">IF(ISNUMBER($AD176),MAX(0,(1-0.55-Header!$O$3)*Header!$Q$3*$AQ176),"")</f>
        <v/>
      </c>
      <c r="AX176" s="51" t="str">
        <f aca="false">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v/>
      </c>
      <c r="AY176" s="52" t="str">
        <f aca="false">IF($M176="","",IF(ISNUMBER($M176),IF($M176&gt;=Header!$C$18,"YES — refer","No"),""))</f>
        <v/>
      </c>
      <c r="AZ176" s="52" t="str">
        <f aca="false">IF($AD176="","",IF(ISNUMBER($AD176),IF($AD176&lt;Header!$C$20,"BELOW MIN PREMIUM","OK"),""))</f>
        <v/>
      </c>
      <c r="BA176" s="56"/>
      <c r="BB176" s="56"/>
      <c r="BC176" s="54"/>
      <c r="BE176" s="53" t="str">
        <f aca="false">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v/>
      </c>
      <c r="BF176" s="53" t="str">
        <f aca="false">IF($AD176="","",IF(ROUND($AO176+$AP176+$AQ176-$AD176,2)=0,"OK","FAIL - out by "&amp;TEXT($AO176+$AP176+$AQ176-$AD176,"$0.00")))</f>
        <v/>
      </c>
    </row>
    <row r="177" customFormat="false" ht="15" hidden="false" customHeight="true" outlineLevel="0" collapsed="false">
      <c r="A177" s="38"/>
      <c r="B177" s="38"/>
      <c r="C177" s="39"/>
      <c r="D177" s="40"/>
      <c r="E177" s="40"/>
      <c r="F177" s="38"/>
      <c r="G177" s="41" t="str">
        <f aca="false">IF($A177="","",IF($C177="","",YEAR($C177)))</f>
        <v/>
      </c>
      <c r="H177" s="42"/>
      <c r="I177" s="38"/>
      <c r="J177" s="38"/>
      <c r="K177" s="38"/>
      <c r="L177" s="40"/>
      <c r="M177" s="43"/>
      <c r="N177" s="40"/>
      <c r="O177" s="38"/>
      <c r="P177" s="38"/>
      <c r="Q177" s="38"/>
      <c r="R177" s="38"/>
      <c r="S177" s="40"/>
      <c r="T177" s="44" t="str">
        <f aca="false">IF($A177="","",IF($S177="","",IFERROR(INDEX(Lists!$N$5:$N$16,MATCH($S177,Lists!$M$5:$M$16,0)),"?")))</f>
        <v/>
      </c>
      <c r="U177" s="38"/>
      <c r="V177" s="40"/>
      <c r="W177" s="38"/>
      <c r="X177" s="40"/>
      <c r="Y177" s="38"/>
      <c r="Z177" s="38"/>
      <c r="AA177" s="40"/>
      <c r="AB177" s="43"/>
      <c r="AC177" s="45"/>
      <c r="AD177" s="46" t="str">
        <f aca="false">IF(ISNUMBER($AB177),$AB177*(1+N($AC177)),"")</f>
        <v/>
      </c>
      <c r="AE177" s="43"/>
      <c r="AF177" s="43"/>
      <c r="AG177" s="45"/>
      <c r="AH177" s="47" t="str">
        <f aca="false">IF(ISNUMBER($AD177),($AD177+$AE177+$AF177)*$AG177,"")</f>
        <v/>
      </c>
      <c r="AI177" s="43"/>
      <c r="AJ177" s="46" t="str">
        <f aca="false">IF(ISNUMBER($AD177),SUM($AD177:$AH177),"")</f>
        <v/>
      </c>
      <c r="AK177" s="48" t="str">
        <f aca="false">IF(AND(ISNUMBER($AB177),ISNUMBER($AD177)),IF($AB177&gt;0,$AD177/$AB177,""),"")</f>
        <v/>
      </c>
      <c r="AL177" s="40"/>
      <c r="AM177" s="49" t="str">
        <f aca="false">IF(ISNUMBER($AD177),Header!$I$3,"")</f>
        <v/>
      </c>
      <c r="AN177" s="47" t="str">
        <f aca="false">IF(ISNUMBER($AD177),$AO177+$AP177,"")</f>
        <v/>
      </c>
      <c r="AO177" s="47" t="str">
        <f aca="false">IF(ISNUMBER($AD177),ROUND($AD177*Header!$K$3,2),"")</f>
        <v/>
      </c>
      <c r="AP177" s="47" t="str">
        <f aca="false">IF(ISNUMBER($AD177),ROUND($AD177*Header!$M$3,2),"")</f>
        <v/>
      </c>
      <c r="AQ177" s="46" t="str">
        <f aca="false">IF(ISNUMBER($AD177),ROUND($AD177,2)-$AO177-$AP177,"")</f>
        <v/>
      </c>
      <c r="AR177" s="47" t="str">
        <f aca="false">IF(ISNUMBER($AD177),IF(Header!$D$34="","?",$AD177*Header!$D$34),"")</f>
        <v/>
      </c>
      <c r="AS177" s="47" t="str">
        <f aca="false">IF(ISNUMBER($AB177),IF(Header!$D$34="","?",$AB177*Header!$D$34),"")</f>
        <v/>
      </c>
      <c r="AT177" s="50" t="str">
        <f aca="false">IF(AND(ISNUMBER($AB177),$M177&gt;0),$AB177/$M177*100,"")</f>
        <v/>
      </c>
      <c r="AU177" s="50" t="str">
        <f aca="false">IF(AND(ISNUMBER($AD177),$M177&gt;0),$AD177/$M177*100,"")</f>
        <v/>
      </c>
      <c r="AV177" s="48" t="str">
        <f aca="false">IF(AND(ISNUMBER($AB177),ISNUMBER($AD177),ABS($AB177)&gt;0),$AD177/$AB177,"")</f>
        <v/>
      </c>
      <c r="AW177" s="47" t="str">
        <f aca="false">IF(ISNUMBER($AD177),MAX(0,(1-0.55-Header!$O$3)*Header!$Q$3*$AQ177),"")</f>
        <v/>
      </c>
      <c r="AX177" s="51" t="str">
        <f aca="false">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v/>
      </c>
      <c r="AY177" s="52" t="str">
        <f aca="false">IF($M177="","",IF(ISNUMBER($M177),IF($M177&gt;=Header!$C$18,"YES — refer","No"),""))</f>
        <v/>
      </c>
      <c r="AZ177" s="52" t="str">
        <f aca="false">IF($AD177="","",IF(ISNUMBER($AD177),IF($AD177&lt;Header!$C$20,"BELOW MIN PREMIUM","OK"),""))</f>
        <v/>
      </c>
      <c r="BA177" s="40"/>
      <c r="BB177" s="40"/>
      <c r="BC177" s="38"/>
      <c r="BE177" s="53" t="str">
        <f aca="false">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v/>
      </c>
      <c r="BF177" s="53" t="str">
        <f aca="false">IF($AD177="","",IF(ROUND($AO177+$AP177+$AQ177-$AD177,2)=0,"OK","FAIL - out by "&amp;TEXT($AO177+$AP177+$AQ177-$AD177,"$0.00")))</f>
        <v/>
      </c>
    </row>
    <row r="178" customFormat="false" ht="15" hidden="false" customHeight="true" outlineLevel="0" collapsed="false">
      <c r="A178" s="54"/>
      <c r="B178" s="54"/>
      <c r="C178" s="55"/>
      <c r="D178" s="56"/>
      <c r="E178" s="56"/>
      <c r="F178" s="54"/>
      <c r="G178" s="41" t="str">
        <f aca="false">IF($A178="","",IF($C178="","",YEAR($C178)))</f>
        <v/>
      </c>
      <c r="H178" s="57"/>
      <c r="I178" s="54"/>
      <c r="J178" s="54"/>
      <c r="K178" s="54"/>
      <c r="L178" s="56"/>
      <c r="M178" s="58"/>
      <c r="N178" s="56"/>
      <c r="O178" s="54"/>
      <c r="P178" s="54"/>
      <c r="Q178" s="54"/>
      <c r="R178" s="54"/>
      <c r="S178" s="56"/>
      <c r="T178" s="44" t="str">
        <f aca="false">IF($A178="","",IF($S178="","",IFERROR(INDEX(Lists!$N$5:$N$16,MATCH($S178,Lists!$M$5:$M$16,0)),"?")))</f>
        <v/>
      </c>
      <c r="U178" s="54"/>
      <c r="V178" s="56"/>
      <c r="W178" s="54"/>
      <c r="X178" s="56"/>
      <c r="Y178" s="54"/>
      <c r="Z178" s="54"/>
      <c r="AA178" s="56"/>
      <c r="AB178" s="58"/>
      <c r="AC178" s="59"/>
      <c r="AD178" s="46" t="str">
        <f aca="false">IF(ISNUMBER($AB178),$AB178*(1+N($AC178)),"")</f>
        <v/>
      </c>
      <c r="AE178" s="58"/>
      <c r="AF178" s="58"/>
      <c r="AG178" s="59"/>
      <c r="AH178" s="47" t="str">
        <f aca="false">IF(ISNUMBER($AD178),($AD178+$AE178+$AF178)*$AG178,"")</f>
        <v/>
      </c>
      <c r="AI178" s="58"/>
      <c r="AJ178" s="46" t="str">
        <f aca="false">IF(ISNUMBER($AD178),SUM($AD178:$AH178),"")</f>
        <v/>
      </c>
      <c r="AK178" s="48" t="str">
        <f aca="false">IF(AND(ISNUMBER($AB178),ISNUMBER($AD178)),IF($AB178&gt;0,$AD178/$AB178,""),"")</f>
        <v/>
      </c>
      <c r="AL178" s="56"/>
      <c r="AM178" s="49" t="str">
        <f aca="false">IF(ISNUMBER($AD178),Header!$I$3,"")</f>
        <v/>
      </c>
      <c r="AN178" s="47" t="str">
        <f aca="false">IF(ISNUMBER($AD178),$AO178+$AP178,"")</f>
        <v/>
      </c>
      <c r="AO178" s="47" t="str">
        <f aca="false">IF(ISNUMBER($AD178),ROUND($AD178*Header!$K$3,2),"")</f>
        <v/>
      </c>
      <c r="AP178" s="47" t="str">
        <f aca="false">IF(ISNUMBER($AD178),ROUND($AD178*Header!$M$3,2),"")</f>
        <v/>
      </c>
      <c r="AQ178" s="46" t="str">
        <f aca="false">IF(ISNUMBER($AD178),ROUND($AD178,2)-$AO178-$AP178,"")</f>
        <v/>
      </c>
      <c r="AR178" s="47" t="str">
        <f aca="false">IF(ISNUMBER($AD178),IF(Header!$D$34="","?",$AD178*Header!$D$34),"")</f>
        <v/>
      </c>
      <c r="AS178" s="47" t="str">
        <f aca="false">IF(ISNUMBER($AB178),IF(Header!$D$34="","?",$AB178*Header!$D$34),"")</f>
        <v/>
      </c>
      <c r="AT178" s="50" t="str">
        <f aca="false">IF(AND(ISNUMBER($AB178),$M178&gt;0),$AB178/$M178*100,"")</f>
        <v/>
      </c>
      <c r="AU178" s="50" t="str">
        <f aca="false">IF(AND(ISNUMBER($AD178),$M178&gt;0),$AD178/$M178*100,"")</f>
        <v/>
      </c>
      <c r="AV178" s="48" t="str">
        <f aca="false">IF(AND(ISNUMBER($AB178),ISNUMBER($AD178),ABS($AB178)&gt;0),$AD178/$AB178,"")</f>
        <v/>
      </c>
      <c r="AW178" s="47" t="str">
        <f aca="false">IF(ISNUMBER($AD178),MAX(0,(1-0.55-Header!$O$3)*Header!$Q$3*$AQ178),"")</f>
        <v/>
      </c>
      <c r="AX178" s="51" t="str">
        <f aca="false">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v/>
      </c>
      <c r="AY178" s="52" t="str">
        <f aca="false">IF($M178="","",IF(ISNUMBER($M178),IF($M178&gt;=Header!$C$18,"YES — refer","No"),""))</f>
        <v/>
      </c>
      <c r="AZ178" s="52" t="str">
        <f aca="false">IF($AD178="","",IF(ISNUMBER($AD178),IF($AD178&lt;Header!$C$20,"BELOW MIN PREMIUM","OK"),""))</f>
        <v/>
      </c>
      <c r="BA178" s="56"/>
      <c r="BB178" s="56"/>
      <c r="BC178" s="54"/>
      <c r="BE178" s="53" t="str">
        <f aca="false">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v/>
      </c>
      <c r="BF178" s="53" t="str">
        <f aca="false">IF($AD178="","",IF(ROUND($AO178+$AP178+$AQ178-$AD178,2)=0,"OK","FAIL - out by "&amp;TEXT($AO178+$AP178+$AQ178-$AD178,"$0.00")))</f>
        <v/>
      </c>
    </row>
    <row r="179" customFormat="false" ht="15" hidden="false" customHeight="true" outlineLevel="0" collapsed="false">
      <c r="A179" s="38"/>
      <c r="B179" s="38"/>
      <c r="C179" s="39"/>
      <c r="D179" s="40"/>
      <c r="E179" s="40"/>
      <c r="F179" s="38"/>
      <c r="G179" s="41" t="str">
        <f aca="false">IF($A179="","",IF($C179="","",YEAR($C179)))</f>
        <v/>
      </c>
      <c r="H179" s="42"/>
      <c r="I179" s="38"/>
      <c r="J179" s="38"/>
      <c r="K179" s="38"/>
      <c r="L179" s="40"/>
      <c r="M179" s="43"/>
      <c r="N179" s="40"/>
      <c r="O179" s="38"/>
      <c r="P179" s="38"/>
      <c r="Q179" s="38"/>
      <c r="R179" s="38"/>
      <c r="S179" s="40"/>
      <c r="T179" s="44" t="str">
        <f aca="false">IF($A179="","",IF($S179="","",IFERROR(INDEX(Lists!$N$5:$N$16,MATCH($S179,Lists!$M$5:$M$16,0)),"?")))</f>
        <v/>
      </c>
      <c r="U179" s="38"/>
      <c r="V179" s="40"/>
      <c r="W179" s="38"/>
      <c r="X179" s="40"/>
      <c r="Y179" s="38"/>
      <c r="Z179" s="38"/>
      <c r="AA179" s="40"/>
      <c r="AB179" s="43"/>
      <c r="AC179" s="45"/>
      <c r="AD179" s="46" t="str">
        <f aca="false">IF(ISNUMBER($AB179),$AB179*(1+N($AC179)),"")</f>
        <v/>
      </c>
      <c r="AE179" s="43"/>
      <c r="AF179" s="43"/>
      <c r="AG179" s="45"/>
      <c r="AH179" s="47" t="str">
        <f aca="false">IF(ISNUMBER($AD179),($AD179+$AE179+$AF179)*$AG179,"")</f>
        <v/>
      </c>
      <c r="AI179" s="43"/>
      <c r="AJ179" s="46" t="str">
        <f aca="false">IF(ISNUMBER($AD179),SUM($AD179:$AH179),"")</f>
        <v/>
      </c>
      <c r="AK179" s="48" t="str">
        <f aca="false">IF(AND(ISNUMBER($AB179),ISNUMBER($AD179)),IF($AB179&gt;0,$AD179/$AB179,""),"")</f>
        <v/>
      </c>
      <c r="AL179" s="40"/>
      <c r="AM179" s="49" t="str">
        <f aca="false">IF(ISNUMBER($AD179),Header!$I$3,"")</f>
        <v/>
      </c>
      <c r="AN179" s="47" t="str">
        <f aca="false">IF(ISNUMBER($AD179),$AO179+$AP179,"")</f>
        <v/>
      </c>
      <c r="AO179" s="47" t="str">
        <f aca="false">IF(ISNUMBER($AD179),ROUND($AD179*Header!$K$3,2),"")</f>
        <v/>
      </c>
      <c r="AP179" s="47" t="str">
        <f aca="false">IF(ISNUMBER($AD179),ROUND($AD179*Header!$M$3,2),"")</f>
        <v/>
      </c>
      <c r="AQ179" s="46" t="str">
        <f aca="false">IF(ISNUMBER($AD179),ROUND($AD179,2)-$AO179-$AP179,"")</f>
        <v/>
      </c>
      <c r="AR179" s="47" t="str">
        <f aca="false">IF(ISNUMBER($AD179),IF(Header!$D$34="","?",$AD179*Header!$D$34),"")</f>
        <v/>
      </c>
      <c r="AS179" s="47" t="str">
        <f aca="false">IF(ISNUMBER($AB179),IF(Header!$D$34="","?",$AB179*Header!$D$34),"")</f>
        <v/>
      </c>
      <c r="AT179" s="50" t="str">
        <f aca="false">IF(AND(ISNUMBER($AB179),$M179&gt;0),$AB179/$M179*100,"")</f>
        <v/>
      </c>
      <c r="AU179" s="50" t="str">
        <f aca="false">IF(AND(ISNUMBER($AD179),$M179&gt;0),$AD179/$M179*100,"")</f>
        <v/>
      </c>
      <c r="AV179" s="48" t="str">
        <f aca="false">IF(AND(ISNUMBER($AB179),ISNUMBER($AD179),ABS($AB179)&gt;0),$AD179/$AB179,"")</f>
        <v/>
      </c>
      <c r="AW179" s="47" t="str">
        <f aca="false">IF(ISNUMBER($AD179),MAX(0,(1-0.55-Header!$O$3)*Header!$Q$3*$AQ179),"")</f>
        <v/>
      </c>
      <c r="AX179" s="51" t="str">
        <f aca="false">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v/>
      </c>
      <c r="AY179" s="52" t="str">
        <f aca="false">IF($M179="","",IF(ISNUMBER($M179),IF($M179&gt;=Header!$C$18,"YES — refer","No"),""))</f>
        <v/>
      </c>
      <c r="AZ179" s="52" t="str">
        <f aca="false">IF($AD179="","",IF(ISNUMBER($AD179),IF($AD179&lt;Header!$C$20,"BELOW MIN PREMIUM","OK"),""))</f>
        <v/>
      </c>
      <c r="BA179" s="40"/>
      <c r="BB179" s="40"/>
      <c r="BC179" s="38"/>
      <c r="BE179" s="53" t="str">
        <f aca="false">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v/>
      </c>
      <c r="BF179" s="53" t="str">
        <f aca="false">IF($AD179="","",IF(ROUND($AO179+$AP179+$AQ179-$AD179,2)=0,"OK","FAIL - out by "&amp;TEXT($AO179+$AP179+$AQ179-$AD179,"$0.00")))</f>
        <v/>
      </c>
    </row>
    <row r="180" customFormat="false" ht="15" hidden="false" customHeight="true" outlineLevel="0" collapsed="false">
      <c r="A180" s="54"/>
      <c r="B180" s="54"/>
      <c r="C180" s="55"/>
      <c r="D180" s="56"/>
      <c r="E180" s="56"/>
      <c r="F180" s="54"/>
      <c r="G180" s="41" t="str">
        <f aca="false">IF($A180="","",IF($C180="","",YEAR($C180)))</f>
        <v/>
      </c>
      <c r="H180" s="57"/>
      <c r="I180" s="54"/>
      <c r="J180" s="54"/>
      <c r="K180" s="54"/>
      <c r="L180" s="56"/>
      <c r="M180" s="58"/>
      <c r="N180" s="56"/>
      <c r="O180" s="54"/>
      <c r="P180" s="54"/>
      <c r="Q180" s="54"/>
      <c r="R180" s="54"/>
      <c r="S180" s="56"/>
      <c r="T180" s="44" t="str">
        <f aca="false">IF($A180="","",IF($S180="","",IFERROR(INDEX(Lists!$N$5:$N$16,MATCH($S180,Lists!$M$5:$M$16,0)),"?")))</f>
        <v/>
      </c>
      <c r="U180" s="54"/>
      <c r="V180" s="56"/>
      <c r="W180" s="54"/>
      <c r="X180" s="56"/>
      <c r="Y180" s="54"/>
      <c r="Z180" s="54"/>
      <c r="AA180" s="56"/>
      <c r="AB180" s="58"/>
      <c r="AC180" s="59"/>
      <c r="AD180" s="46" t="str">
        <f aca="false">IF(ISNUMBER($AB180),$AB180*(1+N($AC180)),"")</f>
        <v/>
      </c>
      <c r="AE180" s="58"/>
      <c r="AF180" s="58"/>
      <c r="AG180" s="59"/>
      <c r="AH180" s="47" t="str">
        <f aca="false">IF(ISNUMBER($AD180),($AD180+$AE180+$AF180)*$AG180,"")</f>
        <v/>
      </c>
      <c r="AI180" s="58"/>
      <c r="AJ180" s="46" t="str">
        <f aca="false">IF(ISNUMBER($AD180),SUM($AD180:$AH180),"")</f>
        <v/>
      </c>
      <c r="AK180" s="48" t="str">
        <f aca="false">IF(AND(ISNUMBER($AB180),ISNUMBER($AD180)),IF($AB180&gt;0,$AD180/$AB180,""),"")</f>
        <v/>
      </c>
      <c r="AL180" s="56"/>
      <c r="AM180" s="49" t="str">
        <f aca="false">IF(ISNUMBER($AD180),Header!$I$3,"")</f>
        <v/>
      </c>
      <c r="AN180" s="47" t="str">
        <f aca="false">IF(ISNUMBER($AD180),$AO180+$AP180,"")</f>
        <v/>
      </c>
      <c r="AO180" s="47" t="str">
        <f aca="false">IF(ISNUMBER($AD180),ROUND($AD180*Header!$K$3,2),"")</f>
        <v/>
      </c>
      <c r="AP180" s="47" t="str">
        <f aca="false">IF(ISNUMBER($AD180),ROUND($AD180*Header!$M$3,2),"")</f>
        <v/>
      </c>
      <c r="AQ180" s="46" t="str">
        <f aca="false">IF(ISNUMBER($AD180),ROUND($AD180,2)-$AO180-$AP180,"")</f>
        <v/>
      </c>
      <c r="AR180" s="47" t="str">
        <f aca="false">IF(ISNUMBER($AD180),IF(Header!$D$34="","?",$AD180*Header!$D$34),"")</f>
        <v/>
      </c>
      <c r="AS180" s="47" t="str">
        <f aca="false">IF(ISNUMBER($AB180),IF(Header!$D$34="","?",$AB180*Header!$D$34),"")</f>
        <v/>
      </c>
      <c r="AT180" s="50" t="str">
        <f aca="false">IF(AND(ISNUMBER($AB180),$M180&gt;0),$AB180/$M180*100,"")</f>
        <v/>
      </c>
      <c r="AU180" s="50" t="str">
        <f aca="false">IF(AND(ISNUMBER($AD180),$M180&gt;0),$AD180/$M180*100,"")</f>
        <v/>
      </c>
      <c r="AV180" s="48" t="str">
        <f aca="false">IF(AND(ISNUMBER($AB180),ISNUMBER($AD180),ABS($AB180)&gt;0),$AD180/$AB180,"")</f>
        <v/>
      </c>
      <c r="AW180" s="47" t="str">
        <f aca="false">IF(ISNUMBER($AD180),MAX(0,(1-0.55-Header!$O$3)*Header!$Q$3*$AQ180),"")</f>
        <v/>
      </c>
      <c r="AX180" s="51" t="str">
        <f aca="false">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v/>
      </c>
      <c r="AY180" s="52" t="str">
        <f aca="false">IF($M180="","",IF(ISNUMBER($M180),IF($M180&gt;=Header!$C$18,"YES — refer","No"),""))</f>
        <v/>
      </c>
      <c r="AZ180" s="52" t="str">
        <f aca="false">IF($AD180="","",IF(ISNUMBER($AD180),IF($AD180&lt;Header!$C$20,"BELOW MIN PREMIUM","OK"),""))</f>
        <v/>
      </c>
      <c r="BA180" s="56"/>
      <c r="BB180" s="56"/>
      <c r="BC180" s="54"/>
      <c r="BE180" s="53" t="str">
        <f aca="false">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v/>
      </c>
      <c r="BF180" s="53" t="str">
        <f aca="false">IF($AD180="","",IF(ROUND($AO180+$AP180+$AQ180-$AD180,2)=0,"OK","FAIL - out by "&amp;TEXT($AO180+$AP180+$AQ180-$AD180,"$0.00")))</f>
        <v/>
      </c>
    </row>
    <row r="181" customFormat="false" ht="15" hidden="false" customHeight="true" outlineLevel="0" collapsed="false">
      <c r="A181" s="38"/>
      <c r="B181" s="38"/>
      <c r="C181" s="39"/>
      <c r="D181" s="40"/>
      <c r="E181" s="40"/>
      <c r="F181" s="38"/>
      <c r="G181" s="41" t="str">
        <f aca="false">IF($A181="","",IF($C181="","",YEAR($C181)))</f>
        <v/>
      </c>
      <c r="H181" s="42"/>
      <c r="I181" s="38"/>
      <c r="J181" s="38"/>
      <c r="K181" s="38"/>
      <c r="L181" s="40"/>
      <c r="M181" s="43"/>
      <c r="N181" s="40"/>
      <c r="O181" s="38"/>
      <c r="P181" s="38"/>
      <c r="Q181" s="38"/>
      <c r="R181" s="38"/>
      <c r="S181" s="40"/>
      <c r="T181" s="44" t="str">
        <f aca="false">IF($A181="","",IF($S181="","",IFERROR(INDEX(Lists!$N$5:$N$16,MATCH($S181,Lists!$M$5:$M$16,0)),"?")))</f>
        <v/>
      </c>
      <c r="U181" s="38"/>
      <c r="V181" s="40"/>
      <c r="W181" s="38"/>
      <c r="X181" s="40"/>
      <c r="Y181" s="38"/>
      <c r="Z181" s="38"/>
      <c r="AA181" s="40"/>
      <c r="AB181" s="43"/>
      <c r="AC181" s="45"/>
      <c r="AD181" s="46" t="str">
        <f aca="false">IF(ISNUMBER($AB181),$AB181*(1+N($AC181)),"")</f>
        <v/>
      </c>
      <c r="AE181" s="43"/>
      <c r="AF181" s="43"/>
      <c r="AG181" s="45"/>
      <c r="AH181" s="47" t="str">
        <f aca="false">IF(ISNUMBER($AD181),($AD181+$AE181+$AF181)*$AG181,"")</f>
        <v/>
      </c>
      <c r="AI181" s="43"/>
      <c r="AJ181" s="46" t="str">
        <f aca="false">IF(ISNUMBER($AD181),SUM($AD181:$AH181),"")</f>
        <v/>
      </c>
      <c r="AK181" s="48" t="str">
        <f aca="false">IF(AND(ISNUMBER($AB181),ISNUMBER($AD181)),IF($AB181&gt;0,$AD181/$AB181,""),"")</f>
        <v/>
      </c>
      <c r="AL181" s="40"/>
      <c r="AM181" s="49" t="str">
        <f aca="false">IF(ISNUMBER($AD181),Header!$I$3,"")</f>
        <v/>
      </c>
      <c r="AN181" s="47" t="str">
        <f aca="false">IF(ISNUMBER($AD181),$AO181+$AP181,"")</f>
        <v/>
      </c>
      <c r="AO181" s="47" t="str">
        <f aca="false">IF(ISNUMBER($AD181),ROUND($AD181*Header!$K$3,2),"")</f>
        <v/>
      </c>
      <c r="AP181" s="47" t="str">
        <f aca="false">IF(ISNUMBER($AD181),ROUND($AD181*Header!$M$3,2),"")</f>
        <v/>
      </c>
      <c r="AQ181" s="46" t="str">
        <f aca="false">IF(ISNUMBER($AD181),ROUND($AD181,2)-$AO181-$AP181,"")</f>
        <v/>
      </c>
      <c r="AR181" s="47" t="str">
        <f aca="false">IF(ISNUMBER($AD181),IF(Header!$D$34="","?",$AD181*Header!$D$34),"")</f>
        <v/>
      </c>
      <c r="AS181" s="47" t="str">
        <f aca="false">IF(ISNUMBER($AB181),IF(Header!$D$34="","?",$AB181*Header!$D$34),"")</f>
        <v/>
      </c>
      <c r="AT181" s="50" t="str">
        <f aca="false">IF(AND(ISNUMBER($AB181),$M181&gt;0),$AB181/$M181*100,"")</f>
        <v/>
      </c>
      <c r="AU181" s="50" t="str">
        <f aca="false">IF(AND(ISNUMBER($AD181),$M181&gt;0),$AD181/$M181*100,"")</f>
        <v/>
      </c>
      <c r="AV181" s="48" t="str">
        <f aca="false">IF(AND(ISNUMBER($AB181),ISNUMBER($AD181),ABS($AB181)&gt;0),$AD181/$AB181,"")</f>
        <v/>
      </c>
      <c r="AW181" s="47" t="str">
        <f aca="false">IF(ISNUMBER($AD181),MAX(0,(1-0.55-Header!$O$3)*Header!$Q$3*$AQ181),"")</f>
        <v/>
      </c>
      <c r="AX181" s="51" t="str">
        <f aca="false">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v/>
      </c>
      <c r="AY181" s="52" t="str">
        <f aca="false">IF($M181="","",IF(ISNUMBER($M181),IF($M181&gt;=Header!$C$18,"YES — refer","No"),""))</f>
        <v/>
      </c>
      <c r="AZ181" s="52" t="str">
        <f aca="false">IF($AD181="","",IF(ISNUMBER($AD181),IF($AD181&lt;Header!$C$20,"BELOW MIN PREMIUM","OK"),""))</f>
        <v/>
      </c>
      <c r="BA181" s="40"/>
      <c r="BB181" s="40"/>
      <c r="BC181" s="38"/>
      <c r="BE181" s="53" t="str">
        <f aca="false">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v/>
      </c>
      <c r="BF181" s="53" t="str">
        <f aca="false">IF($AD181="","",IF(ROUND($AO181+$AP181+$AQ181-$AD181,2)=0,"OK","FAIL - out by "&amp;TEXT($AO181+$AP181+$AQ181-$AD181,"$0.00")))</f>
        <v/>
      </c>
    </row>
    <row r="182" customFormat="false" ht="15" hidden="false" customHeight="true" outlineLevel="0" collapsed="false">
      <c r="A182" s="54"/>
      <c r="B182" s="54"/>
      <c r="C182" s="55"/>
      <c r="D182" s="56"/>
      <c r="E182" s="56"/>
      <c r="F182" s="54"/>
      <c r="G182" s="41" t="str">
        <f aca="false">IF($A182="","",IF($C182="","",YEAR($C182)))</f>
        <v/>
      </c>
      <c r="H182" s="57"/>
      <c r="I182" s="54"/>
      <c r="J182" s="54"/>
      <c r="K182" s="54"/>
      <c r="L182" s="56"/>
      <c r="M182" s="58"/>
      <c r="N182" s="56"/>
      <c r="O182" s="54"/>
      <c r="P182" s="54"/>
      <c r="Q182" s="54"/>
      <c r="R182" s="54"/>
      <c r="S182" s="56"/>
      <c r="T182" s="44" t="str">
        <f aca="false">IF($A182="","",IF($S182="","",IFERROR(INDEX(Lists!$N$5:$N$16,MATCH($S182,Lists!$M$5:$M$16,0)),"?")))</f>
        <v/>
      </c>
      <c r="U182" s="54"/>
      <c r="V182" s="56"/>
      <c r="W182" s="54"/>
      <c r="X182" s="56"/>
      <c r="Y182" s="54"/>
      <c r="Z182" s="54"/>
      <c r="AA182" s="56"/>
      <c r="AB182" s="58"/>
      <c r="AC182" s="59"/>
      <c r="AD182" s="46" t="str">
        <f aca="false">IF(ISNUMBER($AB182),$AB182*(1+N($AC182)),"")</f>
        <v/>
      </c>
      <c r="AE182" s="58"/>
      <c r="AF182" s="58"/>
      <c r="AG182" s="59"/>
      <c r="AH182" s="47" t="str">
        <f aca="false">IF(ISNUMBER($AD182),($AD182+$AE182+$AF182)*$AG182,"")</f>
        <v/>
      </c>
      <c r="AI182" s="58"/>
      <c r="AJ182" s="46" t="str">
        <f aca="false">IF(ISNUMBER($AD182),SUM($AD182:$AH182),"")</f>
        <v/>
      </c>
      <c r="AK182" s="48" t="str">
        <f aca="false">IF(AND(ISNUMBER($AB182),ISNUMBER($AD182)),IF($AB182&gt;0,$AD182/$AB182,""),"")</f>
        <v/>
      </c>
      <c r="AL182" s="56"/>
      <c r="AM182" s="49" t="str">
        <f aca="false">IF(ISNUMBER($AD182),Header!$I$3,"")</f>
        <v/>
      </c>
      <c r="AN182" s="47" t="str">
        <f aca="false">IF(ISNUMBER($AD182),$AO182+$AP182,"")</f>
        <v/>
      </c>
      <c r="AO182" s="47" t="str">
        <f aca="false">IF(ISNUMBER($AD182),ROUND($AD182*Header!$K$3,2),"")</f>
        <v/>
      </c>
      <c r="AP182" s="47" t="str">
        <f aca="false">IF(ISNUMBER($AD182),ROUND($AD182*Header!$M$3,2),"")</f>
        <v/>
      </c>
      <c r="AQ182" s="46" t="str">
        <f aca="false">IF(ISNUMBER($AD182),ROUND($AD182,2)-$AO182-$AP182,"")</f>
        <v/>
      </c>
      <c r="AR182" s="47" t="str">
        <f aca="false">IF(ISNUMBER($AD182),IF(Header!$D$34="","?",$AD182*Header!$D$34),"")</f>
        <v/>
      </c>
      <c r="AS182" s="47" t="str">
        <f aca="false">IF(ISNUMBER($AB182),IF(Header!$D$34="","?",$AB182*Header!$D$34),"")</f>
        <v/>
      </c>
      <c r="AT182" s="50" t="str">
        <f aca="false">IF(AND(ISNUMBER($AB182),$M182&gt;0),$AB182/$M182*100,"")</f>
        <v/>
      </c>
      <c r="AU182" s="50" t="str">
        <f aca="false">IF(AND(ISNUMBER($AD182),$M182&gt;0),$AD182/$M182*100,"")</f>
        <v/>
      </c>
      <c r="AV182" s="48" t="str">
        <f aca="false">IF(AND(ISNUMBER($AB182),ISNUMBER($AD182),ABS($AB182)&gt;0),$AD182/$AB182,"")</f>
        <v/>
      </c>
      <c r="AW182" s="47" t="str">
        <f aca="false">IF(ISNUMBER($AD182),MAX(0,(1-0.55-Header!$O$3)*Header!$Q$3*$AQ182),"")</f>
        <v/>
      </c>
      <c r="AX182" s="51" t="str">
        <f aca="false">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v/>
      </c>
      <c r="AY182" s="52" t="str">
        <f aca="false">IF($M182="","",IF(ISNUMBER($M182),IF($M182&gt;=Header!$C$18,"YES — refer","No"),""))</f>
        <v/>
      </c>
      <c r="AZ182" s="52" t="str">
        <f aca="false">IF($AD182="","",IF(ISNUMBER($AD182),IF($AD182&lt;Header!$C$20,"BELOW MIN PREMIUM","OK"),""))</f>
        <v/>
      </c>
      <c r="BA182" s="56"/>
      <c r="BB182" s="56"/>
      <c r="BC182" s="54"/>
      <c r="BE182" s="53" t="str">
        <f aca="false">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v/>
      </c>
      <c r="BF182" s="53" t="str">
        <f aca="false">IF($AD182="","",IF(ROUND($AO182+$AP182+$AQ182-$AD182,2)=0,"OK","FAIL - out by "&amp;TEXT($AO182+$AP182+$AQ182-$AD182,"$0.00")))</f>
        <v/>
      </c>
    </row>
    <row r="183" customFormat="false" ht="15" hidden="false" customHeight="true" outlineLevel="0" collapsed="false">
      <c r="A183" s="38"/>
      <c r="B183" s="38"/>
      <c r="C183" s="39"/>
      <c r="D183" s="40"/>
      <c r="E183" s="40"/>
      <c r="F183" s="38"/>
      <c r="G183" s="41" t="str">
        <f aca="false">IF($A183="","",IF($C183="","",YEAR($C183)))</f>
        <v/>
      </c>
      <c r="H183" s="42"/>
      <c r="I183" s="38"/>
      <c r="J183" s="38"/>
      <c r="K183" s="38"/>
      <c r="L183" s="40"/>
      <c r="M183" s="43"/>
      <c r="N183" s="40"/>
      <c r="O183" s="38"/>
      <c r="P183" s="38"/>
      <c r="Q183" s="38"/>
      <c r="R183" s="38"/>
      <c r="S183" s="40"/>
      <c r="T183" s="44" t="str">
        <f aca="false">IF($A183="","",IF($S183="","",IFERROR(INDEX(Lists!$N$5:$N$16,MATCH($S183,Lists!$M$5:$M$16,0)),"?")))</f>
        <v/>
      </c>
      <c r="U183" s="38"/>
      <c r="V183" s="40"/>
      <c r="W183" s="38"/>
      <c r="X183" s="40"/>
      <c r="Y183" s="38"/>
      <c r="Z183" s="38"/>
      <c r="AA183" s="40"/>
      <c r="AB183" s="43"/>
      <c r="AC183" s="45"/>
      <c r="AD183" s="46" t="str">
        <f aca="false">IF(ISNUMBER($AB183),$AB183*(1+N($AC183)),"")</f>
        <v/>
      </c>
      <c r="AE183" s="43"/>
      <c r="AF183" s="43"/>
      <c r="AG183" s="45"/>
      <c r="AH183" s="47" t="str">
        <f aca="false">IF(ISNUMBER($AD183),($AD183+$AE183+$AF183)*$AG183,"")</f>
        <v/>
      </c>
      <c r="AI183" s="43"/>
      <c r="AJ183" s="46" t="str">
        <f aca="false">IF(ISNUMBER($AD183),SUM($AD183:$AH183),"")</f>
        <v/>
      </c>
      <c r="AK183" s="48" t="str">
        <f aca="false">IF(AND(ISNUMBER($AB183),ISNUMBER($AD183)),IF($AB183&gt;0,$AD183/$AB183,""),"")</f>
        <v/>
      </c>
      <c r="AL183" s="40"/>
      <c r="AM183" s="49" t="str">
        <f aca="false">IF(ISNUMBER($AD183),Header!$I$3,"")</f>
        <v/>
      </c>
      <c r="AN183" s="47" t="str">
        <f aca="false">IF(ISNUMBER($AD183),$AO183+$AP183,"")</f>
        <v/>
      </c>
      <c r="AO183" s="47" t="str">
        <f aca="false">IF(ISNUMBER($AD183),ROUND($AD183*Header!$K$3,2),"")</f>
        <v/>
      </c>
      <c r="AP183" s="47" t="str">
        <f aca="false">IF(ISNUMBER($AD183),ROUND($AD183*Header!$M$3,2),"")</f>
        <v/>
      </c>
      <c r="AQ183" s="46" t="str">
        <f aca="false">IF(ISNUMBER($AD183),ROUND($AD183,2)-$AO183-$AP183,"")</f>
        <v/>
      </c>
      <c r="AR183" s="47" t="str">
        <f aca="false">IF(ISNUMBER($AD183),IF(Header!$D$34="","?",$AD183*Header!$D$34),"")</f>
        <v/>
      </c>
      <c r="AS183" s="47" t="str">
        <f aca="false">IF(ISNUMBER($AB183),IF(Header!$D$34="","?",$AB183*Header!$D$34),"")</f>
        <v/>
      </c>
      <c r="AT183" s="50" t="str">
        <f aca="false">IF(AND(ISNUMBER($AB183),$M183&gt;0),$AB183/$M183*100,"")</f>
        <v/>
      </c>
      <c r="AU183" s="50" t="str">
        <f aca="false">IF(AND(ISNUMBER($AD183),$M183&gt;0),$AD183/$M183*100,"")</f>
        <v/>
      </c>
      <c r="AV183" s="48" t="str">
        <f aca="false">IF(AND(ISNUMBER($AB183),ISNUMBER($AD183),ABS($AB183)&gt;0),$AD183/$AB183,"")</f>
        <v/>
      </c>
      <c r="AW183" s="47" t="str">
        <f aca="false">IF(ISNUMBER($AD183),MAX(0,(1-0.55-Header!$O$3)*Header!$Q$3*$AQ183),"")</f>
        <v/>
      </c>
      <c r="AX183" s="51" t="str">
        <f aca="false">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v/>
      </c>
      <c r="AY183" s="52" t="str">
        <f aca="false">IF($M183="","",IF(ISNUMBER($M183),IF($M183&gt;=Header!$C$18,"YES — refer","No"),""))</f>
        <v/>
      </c>
      <c r="AZ183" s="52" t="str">
        <f aca="false">IF($AD183="","",IF(ISNUMBER($AD183),IF($AD183&lt;Header!$C$20,"BELOW MIN PREMIUM","OK"),""))</f>
        <v/>
      </c>
      <c r="BA183" s="40"/>
      <c r="BB183" s="40"/>
      <c r="BC183" s="38"/>
      <c r="BE183" s="53" t="str">
        <f aca="false">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v/>
      </c>
      <c r="BF183" s="53" t="str">
        <f aca="false">IF($AD183="","",IF(ROUND($AO183+$AP183+$AQ183-$AD183,2)=0,"OK","FAIL - out by "&amp;TEXT($AO183+$AP183+$AQ183-$AD183,"$0.00")))</f>
        <v/>
      </c>
    </row>
    <row r="184" customFormat="false" ht="15" hidden="false" customHeight="true" outlineLevel="0" collapsed="false">
      <c r="A184" s="54"/>
      <c r="B184" s="54"/>
      <c r="C184" s="55"/>
      <c r="D184" s="56"/>
      <c r="E184" s="56"/>
      <c r="F184" s="54"/>
      <c r="G184" s="41" t="str">
        <f aca="false">IF($A184="","",IF($C184="","",YEAR($C184)))</f>
        <v/>
      </c>
      <c r="H184" s="57"/>
      <c r="I184" s="54"/>
      <c r="J184" s="54"/>
      <c r="K184" s="54"/>
      <c r="L184" s="56"/>
      <c r="M184" s="58"/>
      <c r="N184" s="56"/>
      <c r="O184" s="54"/>
      <c r="P184" s="54"/>
      <c r="Q184" s="54"/>
      <c r="R184" s="54"/>
      <c r="S184" s="56"/>
      <c r="T184" s="44" t="str">
        <f aca="false">IF($A184="","",IF($S184="","",IFERROR(INDEX(Lists!$N$5:$N$16,MATCH($S184,Lists!$M$5:$M$16,0)),"?")))</f>
        <v/>
      </c>
      <c r="U184" s="54"/>
      <c r="V184" s="56"/>
      <c r="W184" s="54"/>
      <c r="X184" s="56"/>
      <c r="Y184" s="54"/>
      <c r="Z184" s="54"/>
      <c r="AA184" s="56"/>
      <c r="AB184" s="58"/>
      <c r="AC184" s="59"/>
      <c r="AD184" s="46" t="str">
        <f aca="false">IF(ISNUMBER($AB184),$AB184*(1+N($AC184)),"")</f>
        <v/>
      </c>
      <c r="AE184" s="58"/>
      <c r="AF184" s="58"/>
      <c r="AG184" s="59"/>
      <c r="AH184" s="47" t="str">
        <f aca="false">IF(ISNUMBER($AD184),($AD184+$AE184+$AF184)*$AG184,"")</f>
        <v/>
      </c>
      <c r="AI184" s="58"/>
      <c r="AJ184" s="46" t="str">
        <f aca="false">IF(ISNUMBER($AD184),SUM($AD184:$AH184),"")</f>
        <v/>
      </c>
      <c r="AK184" s="48" t="str">
        <f aca="false">IF(AND(ISNUMBER($AB184),ISNUMBER($AD184)),IF($AB184&gt;0,$AD184/$AB184,""),"")</f>
        <v/>
      </c>
      <c r="AL184" s="56"/>
      <c r="AM184" s="49" t="str">
        <f aca="false">IF(ISNUMBER($AD184),Header!$I$3,"")</f>
        <v/>
      </c>
      <c r="AN184" s="47" t="str">
        <f aca="false">IF(ISNUMBER($AD184),$AO184+$AP184,"")</f>
        <v/>
      </c>
      <c r="AO184" s="47" t="str">
        <f aca="false">IF(ISNUMBER($AD184),ROUND($AD184*Header!$K$3,2),"")</f>
        <v/>
      </c>
      <c r="AP184" s="47" t="str">
        <f aca="false">IF(ISNUMBER($AD184),ROUND($AD184*Header!$M$3,2),"")</f>
        <v/>
      </c>
      <c r="AQ184" s="46" t="str">
        <f aca="false">IF(ISNUMBER($AD184),ROUND($AD184,2)-$AO184-$AP184,"")</f>
        <v/>
      </c>
      <c r="AR184" s="47" t="str">
        <f aca="false">IF(ISNUMBER($AD184),IF(Header!$D$34="","?",$AD184*Header!$D$34),"")</f>
        <v/>
      </c>
      <c r="AS184" s="47" t="str">
        <f aca="false">IF(ISNUMBER($AB184),IF(Header!$D$34="","?",$AB184*Header!$D$34),"")</f>
        <v/>
      </c>
      <c r="AT184" s="50" t="str">
        <f aca="false">IF(AND(ISNUMBER($AB184),$M184&gt;0),$AB184/$M184*100,"")</f>
        <v/>
      </c>
      <c r="AU184" s="50" t="str">
        <f aca="false">IF(AND(ISNUMBER($AD184),$M184&gt;0),$AD184/$M184*100,"")</f>
        <v/>
      </c>
      <c r="AV184" s="48" t="str">
        <f aca="false">IF(AND(ISNUMBER($AB184),ISNUMBER($AD184),ABS($AB184)&gt;0),$AD184/$AB184,"")</f>
        <v/>
      </c>
      <c r="AW184" s="47" t="str">
        <f aca="false">IF(ISNUMBER($AD184),MAX(0,(1-0.55-Header!$O$3)*Header!$Q$3*$AQ184),"")</f>
        <v/>
      </c>
      <c r="AX184" s="51" t="str">
        <f aca="false">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v/>
      </c>
      <c r="AY184" s="52" t="str">
        <f aca="false">IF($M184="","",IF(ISNUMBER($M184),IF($M184&gt;=Header!$C$18,"YES — refer","No"),""))</f>
        <v/>
      </c>
      <c r="AZ184" s="52" t="str">
        <f aca="false">IF($AD184="","",IF(ISNUMBER($AD184),IF($AD184&lt;Header!$C$20,"BELOW MIN PREMIUM","OK"),""))</f>
        <v/>
      </c>
      <c r="BA184" s="56"/>
      <c r="BB184" s="56"/>
      <c r="BC184" s="54"/>
      <c r="BE184" s="53" t="str">
        <f aca="false">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v/>
      </c>
      <c r="BF184" s="53" t="str">
        <f aca="false">IF($AD184="","",IF(ROUND($AO184+$AP184+$AQ184-$AD184,2)=0,"OK","FAIL - out by "&amp;TEXT($AO184+$AP184+$AQ184-$AD184,"$0.00")))</f>
        <v/>
      </c>
    </row>
    <row r="185" customFormat="false" ht="15" hidden="false" customHeight="true" outlineLevel="0" collapsed="false">
      <c r="A185" s="38"/>
      <c r="B185" s="38"/>
      <c r="C185" s="39"/>
      <c r="D185" s="40"/>
      <c r="E185" s="40"/>
      <c r="F185" s="38"/>
      <c r="G185" s="41" t="str">
        <f aca="false">IF($A185="","",IF($C185="","",YEAR($C185)))</f>
        <v/>
      </c>
      <c r="H185" s="42"/>
      <c r="I185" s="38"/>
      <c r="J185" s="38"/>
      <c r="K185" s="38"/>
      <c r="L185" s="40"/>
      <c r="M185" s="43"/>
      <c r="N185" s="40"/>
      <c r="O185" s="38"/>
      <c r="P185" s="38"/>
      <c r="Q185" s="38"/>
      <c r="R185" s="38"/>
      <c r="S185" s="40"/>
      <c r="T185" s="44" t="str">
        <f aca="false">IF($A185="","",IF($S185="","",IFERROR(INDEX(Lists!$N$5:$N$16,MATCH($S185,Lists!$M$5:$M$16,0)),"?")))</f>
        <v/>
      </c>
      <c r="U185" s="38"/>
      <c r="V185" s="40"/>
      <c r="W185" s="38"/>
      <c r="X185" s="40"/>
      <c r="Y185" s="38"/>
      <c r="Z185" s="38"/>
      <c r="AA185" s="40"/>
      <c r="AB185" s="43"/>
      <c r="AC185" s="45"/>
      <c r="AD185" s="46" t="str">
        <f aca="false">IF(ISNUMBER($AB185),$AB185*(1+N($AC185)),"")</f>
        <v/>
      </c>
      <c r="AE185" s="43"/>
      <c r="AF185" s="43"/>
      <c r="AG185" s="45"/>
      <c r="AH185" s="47" t="str">
        <f aca="false">IF(ISNUMBER($AD185),($AD185+$AE185+$AF185)*$AG185,"")</f>
        <v/>
      </c>
      <c r="AI185" s="43"/>
      <c r="AJ185" s="46" t="str">
        <f aca="false">IF(ISNUMBER($AD185),SUM($AD185:$AH185),"")</f>
        <v/>
      </c>
      <c r="AK185" s="48" t="str">
        <f aca="false">IF(AND(ISNUMBER($AB185),ISNUMBER($AD185)),IF($AB185&gt;0,$AD185/$AB185,""),"")</f>
        <v/>
      </c>
      <c r="AL185" s="40"/>
      <c r="AM185" s="49" t="str">
        <f aca="false">IF(ISNUMBER($AD185),Header!$I$3,"")</f>
        <v/>
      </c>
      <c r="AN185" s="47" t="str">
        <f aca="false">IF(ISNUMBER($AD185),$AO185+$AP185,"")</f>
        <v/>
      </c>
      <c r="AO185" s="47" t="str">
        <f aca="false">IF(ISNUMBER($AD185),ROUND($AD185*Header!$K$3,2),"")</f>
        <v/>
      </c>
      <c r="AP185" s="47" t="str">
        <f aca="false">IF(ISNUMBER($AD185),ROUND($AD185*Header!$M$3,2),"")</f>
        <v/>
      </c>
      <c r="AQ185" s="46" t="str">
        <f aca="false">IF(ISNUMBER($AD185),ROUND($AD185,2)-$AO185-$AP185,"")</f>
        <v/>
      </c>
      <c r="AR185" s="47" t="str">
        <f aca="false">IF(ISNUMBER($AD185),IF(Header!$D$34="","?",$AD185*Header!$D$34),"")</f>
        <v/>
      </c>
      <c r="AS185" s="47" t="str">
        <f aca="false">IF(ISNUMBER($AB185),IF(Header!$D$34="","?",$AB185*Header!$D$34),"")</f>
        <v/>
      </c>
      <c r="AT185" s="50" t="str">
        <f aca="false">IF(AND(ISNUMBER($AB185),$M185&gt;0),$AB185/$M185*100,"")</f>
        <v/>
      </c>
      <c r="AU185" s="50" t="str">
        <f aca="false">IF(AND(ISNUMBER($AD185),$M185&gt;0),$AD185/$M185*100,"")</f>
        <v/>
      </c>
      <c r="AV185" s="48" t="str">
        <f aca="false">IF(AND(ISNUMBER($AB185),ISNUMBER($AD185),ABS($AB185)&gt;0),$AD185/$AB185,"")</f>
        <v/>
      </c>
      <c r="AW185" s="47" t="str">
        <f aca="false">IF(ISNUMBER($AD185),MAX(0,(1-0.55-Header!$O$3)*Header!$Q$3*$AQ185),"")</f>
        <v/>
      </c>
      <c r="AX185" s="51" t="str">
        <f aca="false">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v/>
      </c>
      <c r="AY185" s="52" t="str">
        <f aca="false">IF($M185="","",IF(ISNUMBER($M185),IF($M185&gt;=Header!$C$18,"YES — refer","No"),""))</f>
        <v/>
      </c>
      <c r="AZ185" s="52" t="str">
        <f aca="false">IF($AD185="","",IF(ISNUMBER($AD185),IF($AD185&lt;Header!$C$20,"BELOW MIN PREMIUM","OK"),""))</f>
        <v/>
      </c>
      <c r="BA185" s="40"/>
      <c r="BB185" s="40"/>
      <c r="BC185" s="38"/>
      <c r="BE185" s="53" t="str">
        <f aca="false">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v/>
      </c>
      <c r="BF185" s="53" t="str">
        <f aca="false">IF($AD185="","",IF(ROUND($AO185+$AP185+$AQ185-$AD185,2)=0,"OK","FAIL - out by "&amp;TEXT($AO185+$AP185+$AQ185-$AD185,"$0.00")))</f>
        <v/>
      </c>
    </row>
    <row r="186" customFormat="false" ht="15" hidden="false" customHeight="true" outlineLevel="0" collapsed="false">
      <c r="A186" s="54"/>
      <c r="B186" s="54"/>
      <c r="C186" s="55"/>
      <c r="D186" s="56"/>
      <c r="E186" s="56"/>
      <c r="F186" s="54"/>
      <c r="G186" s="41" t="str">
        <f aca="false">IF($A186="","",IF($C186="","",YEAR($C186)))</f>
        <v/>
      </c>
      <c r="H186" s="57"/>
      <c r="I186" s="54"/>
      <c r="J186" s="54"/>
      <c r="K186" s="54"/>
      <c r="L186" s="56"/>
      <c r="M186" s="58"/>
      <c r="N186" s="56"/>
      <c r="O186" s="54"/>
      <c r="P186" s="54"/>
      <c r="Q186" s="54"/>
      <c r="R186" s="54"/>
      <c r="S186" s="56"/>
      <c r="T186" s="44" t="str">
        <f aca="false">IF($A186="","",IF($S186="","",IFERROR(INDEX(Lists!$N$5:$N$16,MATCH($S186,Lists!$M$5:$M$16,0)),"?")))</f>
        <v/>
      </c>
      <c r="U186" s="54"/>
      <c r="V186" s="56"/>
      <c r="W186" s="54"/>
      <c r="X186" s="56"/>
      <c r="Y186" s="54"/>
      <c r="Z186" s="54"/>
      <c r="AA186" s="56"/>
      <c r="AB186" s="58"/>
      <c r="AC186" s="59"/>
      <c r="AD186" s="46" t="str">
        <f aca="false">IF(ISNUMBER($AB186),$AB186*(1+N($AC186)),"")</f>
        <v/>
      </c>
      <c r="AE186" s="58"/>
      <c r="AF186" s="58"/>
      <c r="AG186" s="59"/>
      <c r="AH186" s="47" t="str">
        <f aca="false">IF(ISNUMBER($AD186),($AD186+$AE186+$AF186)*$AG186,"")</f>
        <v/>
      </c>
      <c r="AI186" s="58"/>
      <c r="AJ186" s="46" t="str">
        <f aca="false">IF(ISNUMBER($AD186),SUM($AD186:$AH186),"")</f>
        <v/>
      </c>
      <c r="AK186" s="48" t="str">
        <f aca="false">IF(AND(ISNUMBER($AB186),ISNUMBER($AD186)),IF($AB186&gt;0,$AD186/$AB186,""),"")</f>
        <v/>
      </c>
      <c r="AL186" s="56"/>
      <c r="AM186" s="49" t="str">
        <f aca="false">IF(ISNUMBER($AD186),Header!$I$3,"")</f>
        <v/>
      </c>
      <c r="AN186" s="47" t="str">
        <f aca="false">IF(ISNUMBER($AD186),$AO186+$AP186,"")</f>
        <v/>
      </c>
      <c r="AO186" s="47" t="str">
        <f aca="false">IF(ISNUMBER($AD186),ROUND($AD186*Header!$K$3,2),"")</f>
        <v/>
      </c>
      <c r="AP186" s="47" t="str">
        <f aca="false">IF(ISNUMBER($AD186),ROUND($AD186*Header!$M$3,2),"")</f>
        <v/>
      </c>
      <c r="AQ186" s="46" t="str">
        <f aca="false">IF(ISNUMBER($AD186),ROUND($AD186,2)-$AO186-$AP186,"")</f>
        <v/>
      </c>
      <c r="AR186" s="47" t="str">
        <f aca="false">IF(ISNUMBER($AD186),IF(Header!$D$34="","?",$AD186*Header!$D$34),"")</f>
        <v/>
      </c>
      <c r="AS186" s="47" t="str">
        <f aca="false">IF(ISNUMBER($AB186),IF(Header!$D$34="","?",$AB186*Header!$D$34),"")</f>
        <v/>
      </c>
      <c r="AT186" s="50" t="str">
        <f aca="false">IF(AND(ISNUMBER($AB186),$M186&gt;0),$AB186/$M186*100,"")</f>
        <v/>
      </c>
      <c r="AU186" s="50" t="str">
        <f aca="false">IF(AND(ISNUMBER($AD186),$M186&gt;0),$AD186/$M186*100,"")</f>
        <v/>
      </c>
      <c r="AV186" s="48" t="str">
        <f aca="false">IF(AND(ISNUMBER($AB186),ISNUMBER($AD186),ABS($AB186)&gt;0),$AD186/$AB186,"")</f>
        <v/>
      </c>
      <c r="AW186" s="47" t="str">
        <f aca="false">IF(ISNUMBER($AD186),MAX(0,(1-0.55-Header!$O$3)*Header!$Q$3*$AQ186),"")</f>
        <v/>
      </c>
      <c r="AX186" s="51" t="str">
        <f aca="false">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v/>
      </c>
      <c r="AY186" s="52" t="str">
        <f aca="false">IF($M186="","",IF(ISNUMBER($M186),IF($M186&gt;=Header!$C$18,"YES — refer","No"),""))</f>
        <v/>
      </c>
      <c r="AZ186" s="52" t="str">
        <f aca="false">IF($AD186="","",IF(ISNUMBER($AD186),IF($AD186&lt;Header!$C$20,"BELOW MIN PREMIUM","OK"),""))</f>
        <v/>
      </c>
      <c r="BA186" s="56"/>
      <c r="BB186" s="56"/>
      <c r="BC186" s="54"/>
      <c r="BE186" s="53" t="str">
        <f aca="false">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v/>
      </c>
      <c r="BF186" s="53" t="str">
        <f aca="false">IF($AD186="","",IF(ROUND($AO186+$AP186+$AQ186-$AD186,2)=0,"OK","FAIL - out by "&amp;TEXT($AO186+$AP186+$AQ186-$AD186,"$0.00")))</f>
        <v/>
      </c>
    </row>
    <row r="187" customFormat="false" ht="15" hidden="false" customHeight="true" outlineLevel="0" collapsed="false">
      <c r="A187" s="38"/>
      <c r="B187" s="38"/>
      <c r="C187" s="39"/>
      <c r="D187" s="40"/>
      <c r="E187" s="40"/>
      <c r="F187" s="38"/>
      <c r="G187" s="41" t="str">
        <f aca="false">IF($A187="","",IF($C187="","",YEAR($C187)))</f>
        <v/>
      </c>
      <c r="H187" s="42"/>
      <c r="I187" s="38"/>
      <c r="J187" s="38"/>
      <c r="K187" s="38"/>
      <c r="L187" s="40"/>
      <c r="M187" s="43"/>
      <c r="N187" s="40"/>
      <c r="O187" s="38"/>
      <c r="P187" s="38"/>
      <c r="Q187" s="38"/>
      <c r="R187" s="38"/>
      <c r="S187" s="40"/>
      <c r="T187" s="44" t="str">
        <f aca="false">IF($A187="","",IF($S187="","",IFERROR(INDEX(Lists!$N$5:$N$16,MATCH($S187,Lists!$M$5:$M$16,0)),"?")))</f>
        <v/>
      </c>
      <c r="U187" s="38"/>
      <c r="V187" s="40"/>
      <c r="W187" s="38"/>
      <c r="X187" s="40"/>
      <c r="Y187" s="38"/>
      <c r="Z187" s="38"/>
      <c r="AA187" s="40"/>
      <c r="AB187" s="43"/>
      <c r="AC187" s="45"/>
      <c r="AD187" s="46" t="str">
        <f aca="false">IF(ISNUMBER($AB187),$AB187*(1+N($AC187)),"")</f>
        <v/>
      </c>
      <c r="AE187" s="43"/>
      <c r="AF187" s="43"/>
      <c r="AG187" s="45"/>
      <c r="AH187" s="47" t="str">
        <f aca="false">IF(ISNUMBER($AD187),($AD187+$AE187+$AF187)*$AG187,"")</f>
        <v/>
      </c>
      <c r="AI187" s="43"/>
      <c r="AJ187" s="46" t="str">
        <f aca="false">IF(ISNUMBER($AD187),SUM($AD187:$AH187),"")</f>
        <v/>
      </c>
      <c r="AK187" s="48" t="str">
        <f aca="false">IF(AND(ISNUMBER($AB187),ISNUMBER($AD187)),IF($AB187&gt;0,$AD187/$AB187,""),"")</f>
        <v/>
      </c>
      <c r="AL187" s="40"/>
      <c r="AM187" s="49" t="str">
        <f aca="false">IF(ISNUMBER($AD187),Header!$I$3,"")</f>
        <v/>
      </c>
      <c r="AN187" s="47" t="str">
        <f aca="false">IF(ISNUMBER($AD187),$AO187+$AP187,"")</f>
        <v/>
      </c>
      <c r="AO187" s="47" t="str">
        <f aca="false">IF(ISNUMBER($AD187),ROUND($AD187*Header!$K$3,2),"")</f>
        <v/>
      </c>
      <c r="AP187" s="47" t="str">
        <f aca="false">IF(ISNUMBER($AD187),ROUND($AD187*Header!$M$3,2),"")</f>
        <v/>
      </c>
      <c r="AQ187" s="46" t="str">
        <f aca="false">IF(ISNUMBER($AD187),ROUND($AD187,2)-$AO187-$AP187,"")</f>
        <v/>
      </c>
      <c r="AR187" s="47" t="str">
        <f aca="false">IF(ISNUMBER($AD187),IF(Header!$D$34="","?",$AD187*Header!$D$34),"")</f>
        <v/>
      </c>
      <c r="AS187" s="47" t="str">
        <f aca="false">IF(ISNUMBER($AB187),IF(Header!$D$34="","?",$AB187*Header!$D$34),"")</f>
        <v/>
      </c>
      <c r="AT187" s="50" t="str">
        <f aca="false">IF(AND(ISNUMBER($AB187),$M187&gt;0),$AB187/$M187*100,"")</f>
        <v/>
      </c>
      <c r="AU187" s="50" t="str">
        <f aca="false">IF(AND(ISNUMBER($AD187),$M187&gt;0),$AD187/$M187*100,"")</f>
        <v/>
      </c>
      <c r="AV187" s="48" t="str">
        <f aca="false">IF(AND(ISNUMBER($AB187),ISNUMBER($AD187),ABS($AB187)&gt;0),$AD187/$AB187,"")</f>
        <v/>
      </c>
      <c r="AW187" s="47" t="str">
        <f aca="false">IF(ISNUMBER($AD187),MAX(0,(1-0.55-Header!$O$3)*Header!$Q$3*$AQ187),"")</f>
        <v/>
      </c>
      <c r="AX187" s="51" t="str">
        <f aca="false">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v/>
      </c>
      <c r="AY187" s="52" t="str">
        <f aca="false">IF($M187="","",IF(ISNUMBER($M187),IF($M187&gt;=Header!$C$18,"YES — refer","No"),""))</f>
        <v/>
      </c>
      <c r="AZ187" s="52" t="str">
        <f aca="false">IF($AD187="","",IF(ISNUMBER($AD187),IF($AD187&lt;Header!$C$20,"BELOW MIN PREMIUM","OK"),""))</f>
        <v/>
      </c>
      <c r="BA187" s="40"/>
      <c r="BB187" s="40"/>
      <c r="BC187" s="38"/>
      <c r="BE187" s="53" t="str">
        <f aca="false">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v/>
      </c>
      <c r="BF187" s="53" t="str">
        <f aca="false">IF($AD187="","",IF(ROUND($AO187+$AP187+$AQ187-$AD187,2)=0,"OK","FAIL - out by "&amp;TEXT($AO187+$AP187+$AQ187-$AD187,"$0.00")))</f>
        <v/>
      </c>
    </row>
    <row r="188" customFormat="false" ht="15" hidden="false" customHeight="true" outlineLevel="0" collapsed="false">
      <c r="A188" s="54"/>
      <c r="B188" s="54"/>
      <c r="C188" s="55"/>
      <c r="D188" s="56"/>
      <c r="E188" s="56"/>
      <c r="F188" s="54"/>
      <c r="G188" s="41" t="str">
        <f aca="false">IF($A188="","",IF($C188="","",YEAR($C188)))</f>
        <v/>
      </c>
      <c r="H188" s="57"/>
      <c r="I188" s="54"/>
      <c r="J188" s="54"/>
      <c r="K188" s="54"/>
      <c r="L188" s="56"/>
      <c r="M188" s="58"/>
      <c r="N188" s="56"/>
      <c r="O188" s="54"/>
      <c r="P188" s="54"/>
      <c r="Q188" s="54"/>
      <c r="R188" s="54"/>
      <c r="S188" s="56"/>
      <c r="T188" s="44" t="str">
        <f aca="false">IF($A188="","",IF($S188="","",IFERROR(INDEX(Lists!$N$5:$N$16,MATCH($S188,Lists!$M$5:$M$16,0)),"?")))</f>
        <v/>
      </c>
      <c r="U188" s="54"/>
      <c r="V188" s="56"/>
      <c r="W188" s="54"/>
      <c r="X188" s="56"/>
      <c r="Y188" s="54"/>
      <c r="Z188" s="54"/>
      <c r="AA188" s="56"/>
      <c r="AB188" s="58"/>
      <c r="AC188" s="59"/>
      <c r="AD188" s="46" t="str">
        <f aca="false">IF(ISNUMBER($AB188),$AB188*(1+N($AC188)),"")</f>
        <v/>
      </c>
      <c r="AE188" s="58"/>
      <c r="AF188" s="58"/>
      <c r="AG188" s="59"/>
      <c r="AH188" s="47" t="str">
        <f aca="false">IF(ISNUMBER($AD188),($AD188+$AE188+$AF188)*$AG188,"")</f>
        <v/>
      </c>
      <c r="AI188" s="58"/>
      <c r="AJ188" s="46" t="str">
        <f aca="false">IF(ISNUMBER($AD188),SUM($AD188:$AH188),"")</f>
        <v/>
      </c>
      <c r="AK188" s="48" t="str">
        <f aca="false">IF(AND(ISNUMBER($AB188),ISNUMBER($AD188)),IF($AB188&gt;0,$AD188/$AB188,""),"")</f>
        <v/>
      </c>
      <c r="AL188" s="56"/>
      <c r="AM188" s="49" t="str">
        <f aca="false">IF(ISNUMBER($AD188),Header!$I$3,"")</f>
        <v/>
      </c>
      <c r="AN188" s="47" t="str">
        <f aca="false">IF(ISNUMBER($AD188),$AO188+$AP188,"")</f>
        <v/>
      </c>
      <c r="AO188" s="47" t="str">
        <f aca="false">IF(ISNUMBER($AD188),ROUND($AD188*Header!$K$3,2),"")</f>
        <v/>
      </c>
      <c r="AP188" s="47" t="str">
        <f aca="false">IF(ISNUMBER($AD188),ROUND($AD188*Header!$M$3,2),"")</f>
        <v/>
      </c>
      <c r="AQ188" s="46" t="str">
        <f aca="false">IF(ISNUMBER($AD188),ROUND($AD188,2)-$AO188-$AP188,"")</f>
        <v/>
      </c>
      <c r="AR188" s="47" t="str">
        <f aca="false">IF(ISNUMBER($AD188),IF(Header!$D$34="","?",$AD188*Header!$D$34),"")</f>
        <v/>
      </c>
      <c r="AS188" s="47" t="str">
        <f aca="false">IF(ISNUMBER($AB188),IF(Header!$D$34="","?",$AB188*Header!$D$34),"")</f>
        <v/>
      </c>
      <c r="AT188" s="50" t="str">
        <f aca="false">IF(AND(ISNUMBER($AB188),$M188&gt;0),$AB188/$M188*100,"")</f>
        <v/>
      </c>
      <c r="AU188" s="50" t="str">
        <f aca="false">IF(AND(ISNUMBER($AD188),$M188&gt;0),$AD188/$M188*100,"")</f>
        <v/>
      </c>
      <c r="AV188" s="48" t="str">
        <f aca="false">IF(AND(ISNUMBER($AB188),ISNUMBER($AD188),ABS($AB188)&gt;0),$AD188/$AB188,"")</f>
        <v/>
      </c>
      <c r="AW188" s="47" t="str">
        <f aca="false">IF(ISNUMBER($AD188),MAX(0,(1-0.55-Header!$O$3)*Header!$Q$3*$AQ188),"")</f>
        <v/>
      </c>
      <c r="AX188" s="51" t="str">
        <f aca="false">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v/>
      </c>
      <c r="AY188" s="52" t="str">
        <f aca="false">IF($M188="","",IF(ISNUMBER($M188),IF($M188&gt;=Header!$C$18,"YES — refer","No"),""))</f>
        <v/>
      </c>
      <c r="AZ188" s="52" t="str">
        <f aca="false">IF($AD188="","",IF(ISNUMBER($AD188),IF($AD188&lt;Header!$C$20,"BELOW MIN PREMIUM","OK"),""))</f>
        <v/>
      </c>
      <c r="BA188" s="56"/>
      <c r="BB188" s="56"/>
      <c r="BC188" s="54"/>
      <c r="BE188" s="53" t="str">
        <f aca="false">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v/>
      </c>
      <c r="BF188" s="53" t="str">
        <f aca="false">IF($AD188="","",IF(ROUND($AO188+$AP188+$AQ188-$AD188,2)=0,"OK","FAIL - out by "&amp;TEXT($AO188+$AP188+$AQ188-$AD188,"$0.00")))</f>
        <v/>
      </c>
    </row>
    <row r="189" customFormat="false" ht="15" hidden="false" customHeight="true" outlineLevel="0" collapsed="false">
      <c r="A189" s="38"/>
      <c r="B189" s="38"/>
      <c r="C189" s="39"/>
      <c r="D189" s="40"/>
      <c r="E189" s="40"/>
      <c r="F189" s="38"/>
      <c r="G189" s="41" t="str">
        <f aca="false">IF($A189="","",IF($C189="","",YEAR($C189)))</f>
        <v/>
      </c>
      <c r="H189" s="42"/>
      <c r="I189" s="38"/>
      <c r="J189" s="38"/>
      <c r="K189" s="38"/>
      <c r="L189" s="40"/>
      <c r="M189" s="43"/>
      <c r="N189" s="40"/>
      <c r="O189" s="38"/>
      <c r="P189" s="38"/>
      <c r="Q189" s="38"/>
      <c r="R189" s="38"/>
      <c r="S189" s="40"/>
      <c r="T189" s="44" t="str">
        <f aca="false">IF($A189="","",IF($S189="","",IFERROR(INDEX(Lists!$N$5:$N$16,MATCH($S189,Lists!$M$5:$M$16,0)),"?")))</f>
        <v/>
      </c>
      <c r="U189" s="38"/>
      <c r="V189" s="40"/>
      <c r="W189" s="38"/>
      <c r="X189" s="40"/>
      <c r="Y189" s="38"/>
      <c r="Z189" s="38"/>
      <c r="AA189" s="40"/>
      <c r="AB189" s="43"/>
      <c r="AC189" s="45"/>
      <c r="AD189" s="46" t="str">
        <f aca="false">IF(ISNUMBER($AB189),$AB189*(1+N($AC189)),"")</f>
        <v/>
      </c>
      <c r="AE189" s="43"/>
      <c r="AF189" s="43"/>
      <c r="AG189" s="45"/>
      <c r="AH189" s="47" t="str">
        <f aca="false">IF(ISNUMBER($AD189),($AD189+$AE189+$AF189)*$AG189,"")</f>
        <v/>
      </c>
      <c r="AI189" s="43"/>
      <c r="AJ189" s="46" t="str">
        <f aca="false">IF(ISNUMBER($AD189),SUM($AD189:$AH189),"")</f>
        <v/>
      </c>
      <c r="AK189" s="48" t="str">
        <f aca="false">IF(AND(ISNUMBER($AB189),ISNUMBER($AD189)),IF($AB189&gt;0,$AD189/$AB189,""),"")</f>
        <v/>
      </c>
      <c r="AL189" s="40"/>
      <c r="AM189" s="49" t="str">
        <f aca="false">IF(ISNUMBER($AD189),Header!$I$3,"")</f>
        <v/>
      </c>
      <c r="AN189" s="47" t="str">
        <f aca="false">IF(ISNUMBER($AD189),$AO189+$AP189,"")</f>
        <v/>
      </c>
      <c r="AO189" s="47" t="str">
        <f aca="false">IF(ISNUMBER($AD189),ROUND($AD189*Header!$K$3,2),"")</f>
        <v/>
      </c>
      <c r="AP189" s="47" t="str">
        <f aca="false">IF(ISNUMBER($AD189),ROUND($AD189*Header!$M$3,2),"")</f>
        <v/>
      </c>
      <c r="AQ189" s="46" t="str">
        <f aca="false">IF(ISNUMBER($AD189),ROUND($AD189,2)-$AO189-$AP189,"")</f>
        <v/>
      </c>
      <c r="AR189" s="47" t="str">
        <f aca="false">IF(ISNUMBER($AD189),IF(Header!$D$34="","?",$AD189*Header!$D$34),"")</f>
        <v/>
      </c>
      <c r="AS189" s="47" t="str">
        <f aca="false">IF(ISNUMBER($AB189),IF(Header!$D$34="","?",$AB189*Header!$D$34),"")</f>
        <v/>
      </c>
      <c r="AT189" s="50" t="str">
        <f aca="false">IF(AND(ISNUMBER($AB189),$M189&gt;0),$AB189/$M189*100,"")</f>
        <v/>
      </c>
      <c r="AU189" s="50" t="str">
        <f aca="false">IF(AND(ISNUMBER($AD189),$M189&gt;0),$AD189/$M189*100,"")</f>
        <v/>
      </c>
      <c r="AV189" s="48" t="str">
        <f aca="false">IF(AND(ISNUMBER($AB189),ISNUMBER($AD189),ABS($AB189)&gt;0),$AD189/$AB189,"")</f>
        <v/>
      </c>
      <c r="AW189" s="47" t="str">
        <f aca="false">IF(ISNUMBER($AD189),MAX(0,(1-0.55-Header!$O$3)*Header!$Q$3*$AQ189),"")</f>
        <v/>
      </c>
      <c r="AX189" s="51" t="str">
        <f aca="false">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v/>
      </c>
      <c r="AY189" s="52" t="str">
        <f aca="false">IF($M189="","",IF(ISNUMBER($M189),IF($M189&gt;=Header!$C$18,"YES — refer","No"),""))</f>
        <v/>
      </c>
      <c r="AZ189" s="52" t="str">
        <f aca="false">IF($AD189="","",IF(ISNUMBER($AD189),IF($AD189&lt;Header!$C$20,"BELOW MIN PREMIUM","OK"),""))</f>
        <v/>
      </c>
      <c r="BA189" s="40"/>
      <c r="BB189" s="40"/>
      <c r="BC189" s="38"/>
      <c r="BE189" s="53" t="str">
        <f aca="false">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v/>
      </c>
      <c r="BF189" s="53" t="str">
        <f aca="false">IF($AD189="","",IF(ROUND($AO189+$AP189+$AQ189-$AD189,2)=0,"OK","FAIL - out by "&amp;TEXT($AO189+$AP189+$AQ189-$AD189,"$0.00")))</f>
        <v/>
      </c>
    </row>
    <row r="190" customFormat="false" ht="15" hidden="false" customHeight="true" outlineLevel="0" collapsed="false">
      <c r="A190" s="54"/>
      <c r="B190" s="54"/>
      <c r="C190" s="55"/>
      <c r="D190" s="56"/>
      <c r="E190" s="56"/>
      <c r="F190" s="54"/>
      <c r="G190" s="41" t="str">
        <f aca="false">IF($A190="","",IF($C190="","",YEAR($C190)))</f>
        <v/>
      </c>
      <c r="H190" s="57"/>
      <c r="I190" s="54"/>
      <c r="J190" s="54"/>
      <c r="K190" s="54"/>
      <c r="L190" s="56"/>
      <c r="M190" s="58"/>
      <c r="N190" s="56"/>
      <c r="O190" s="54"/>
      <c r="P190" s="54"/>
      <c r="Q190" s="54"/>
      <c r="R190" s="54"/>
      <c r="S190" s="56"/>
      <c r="T190" s="44" t="str">
        <f aca="false">IF($A190="","",IF($S190="","",IFERROR(INDEX(Lists!$N$5:$N$16,MATCH($S190,Lists!$M$5:$M$16,0)),"?")))</f>
        <v/>
      </c>
      <c r="U190" s="54"/>
      <c r="V190" s="56"/>
      <c r="W190" s="54"/>
      <c r="X190" s="56"/>
      <c r="Y190" s="54"/>
      <c r="Z190" s="54"/>
      <c r="AA190" s="56"/>
      <c r="AB190" s="58"/>
      <c r="AC190" s="59"/>
      <c r="AD190" s="46" t="str">
        <f aca="false">IF(ISNUMBER($AB190),$AB190*(1+N($AC190)),"")</f>
        <v/>
      </c>
      <c r="AE190" s="58"/>
      <c r="AF190" s="58"/>
      <c r="AG190" s="59"/>
      <c r="AH190" s="47" t="str">
        <f aca="false">IF(ISNUMBER($AD190),($AD190+$AE190+$AF190)*$AG190,"")</f>
        <v/>
      </c>
      <c r="AI190" s="58"/>
      <c r="AJ190" s="46" t="str">
        <f aca="false">IF(ISNUMBER($AD190),SUM($AD190:$AH190),"")</f>
        <v/>
      </c>
      <c r="AK190" s="48" t="str">
        <f aca="false">IF(AND(ISNUMBER($AB190),ISNUMBER($AD190)),IF($AB190&gt;0,$AD190/$AB190,""),"")</f>
        <v/>
      </c>
      <c r="AL190" s="56"/>
      <c r="AM190" s="49" t="str">
        <f aca="false">IF(ISNUMBER($AD190),Header!$I$3,"")</f>
        <v/>
      </c>
      <c r="AN190" s="47" t="str">
        <f aca="false">IF(ISNUMBER($AD190),$AO190+$AP190,"")</f>
        <v/>
      </c>
      <c r="AO190" s="47" t="str">
        <f aca="false">IF(ISNUMBER($AD190),ROUND($AD190*Header!$K$3,2),"")</f>
        <v/>
      </c>
      <c r="AP190" s="47" t="str">
        <f aca="false">IF(ISNUMBER($AD190),ROUND($AD190*Header!$M$3,2),"")</f>
        <v/>
      </c>
      <c r="AQ190" s="46" t="str">
        <f aca="false">IF(ISNUMBER($AD190),ROUND($AD190,2)-$AO190-$AP190,"")</f>
        <v/>
      </c>
      <c r="AR190" s="47" t="str">
        <f aca="false">IF(ISNUMBER($AD190),IF(Header!$D$34="","?",$AD190*Header!$D$34),"")</f>
        <v/>
      </c>
      <c r="AS190" s="47" t="str">
        <f aca="false">IF(ISNUMBER($AB190),IF(Header!$D$34="","?",$AB190*Header!$D$34),"")</f>
        <v/>
      </c>
      <c r="AT190" s="50" t="str">
        <f aca="false">IF(AND(ISNUMBER($AB190),$M190&gt;0),$AB190/$M190*100,"")</f>
        <v/>
      </c>
      <c r="AU190" s="50" t="str">
        <f aca="false">IF(AND(ISNUMBER($AD190),$M190&gt;0),$AD190/$M190*100,"")</f>
        <v/>
      </c>
      <c r="AV190" s="48" t="str">
        <f aca="false">IF(AND(ISNUMBER($AB190),ISNUMBER($AD190),ABS($AB190)&gt;0),$AD190/$AB190,"")</f>
        <v/>
      </c>
      <c r="AW190" s="47" t="str">
        <f aca="false">IF(ISNUMBER($AD190),MAX(0,(1-0.55-Header!$O$3)*Header!$Q$3*$AQ190),"")</f>
        <v/>
      </c>
      <c r="AX190" s="51" t="str">
        <f aca="false">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v/>
      </c>
      <c r="AY190" s="52" t="str">
        <f aca="false">IF($M190="","",IF(ISNUMBER($M190),IF($M190&gt;=Header!$C$18,"YES — refer","No"),""))</f>
        <v/>
      </c>
      <c r="AZ190" s="52" t="str">
        <f aca="false">IF($AD190="","",IF(ISNUMBER($AD190),IF($AD190&lt;Header!$C$20,"BELOW MIN PREMIUM","OK"),""))</f>
        <v/>
      </c>
      <c r="BA190" s="56"/>
      <c r="BB190" s="56"/>
      <c r="BC190" s="54"/>
      <c r="BE190" s="53" t="str">
        <f aca="false">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v/>
      </c>
      <c r="BF190" s="53" t="str">
        <f aca="false">IF($AD190="","",IF(ROUND($AO190+$AP190+$AQ190-$AD190,2)=0,"OK","FAIL - out by "&amp;TEXT($AO190+$AP190+$AQ190-$AD190,"$0.00")))</f>
        <v/>
      </c>
    </row>
    <row r="191" customFormat="false" ht="15" hidden="false" customHeight="true" outlineLevel="0" collapsed="false">
      <c r="A191" s="38"/>
      <c r="B191" s="38"/>
      <c r="C191" s="39"/>
      <c r="D191" s="40"/>
      <c r="E191" s="40"/>
      <c r="F191" s="38"/>
      <c r="G191" s="41" t="str">
        <f aca="false">IF($A191="","",IF($C191="","",YEAR($C191)))</f>
        <v/>
      </c>
      <c r="H191" s="42"/>
      <c r="I191" s="38"/>
      <c r="J191" s="38"/>
      <c r="K191" s="38"/>
      <c r="L191" s="40"/>
      <c r="M191" s="43"/>
      <c r="N191" s="40"/>
      <c r="O191" s="38"/>
      <c r="P191" s="38"/>
      <c r="Q191" s="38"/>
      <c r="R191" s="38"/>
      <c r="S191" s="40"/>
      <c r="T191" s="44" t="str">
        <f aca="false">IF($A191="","",IF($S191="","",IFERROR(INDEX(Lists!$N$5:$N$16,MATCH($S191,Lists!$M$5:$M$16,0)),"?")))</f>
        <v/>
      </c>
      <c r="U191" s="38"/>
      <c r="V191" s="40"/>
      <c r="W191" s="38"/>
      <c r="X191" s="40"/>
      <c r="Y191" s="38"/>
      <c r="Z191" s="38"/>
      <c r="AA191" s="40"/>
      <c r="AB191" s="43"/>
      <c r="AC191" s="45"/>
      <c r="AD191" s="46" t="str">
        <f aca="false">IF(ISNUMBER($AB191),$AB191*(1+N($AC191)),"")</f>
        <v/>
      </c>
      <c r="AE191" s="43"/>
      <c r="AF191" s="43"/>
      <c r="AG191" s="45"/>
      <c r="AH191" s="47" t="str">
        <f aca="false">IF(ISNUMBER($AD191),($AD191+$AE191+$AF191)*$AG191,"")</f>
        <v/>
      </c>
      <c r="AI191" s="43"/>
      <c r="AJ191" s="46" t="str">
        <f aca="false">IF(ISNUMBER($AD191),SUM($AD191:$AH191),"")</f>
        <v/>
      </c>
      <c r="AK191" s="48" t="str">
        <f aca="false">IF(AND(ISNUMBER($AB191),ISNUMBER($AD191)),IF($AB191&gt;0,$AD191/$AB191,""),"")</f>
        <v/>
      </c>
      <c r="AL191" s="40"/>
      <c r="AM191" s="49" t="str">
        <f aca="false">IF(ISNUMBER($AD191),Header!$I$3,"")</f>
        <v/>
      </c>
      <c r="AN191" s="47" t="str">
        <f aca="false">IF(ISNUMBER($AD191),$AO191+$AP191,"")</f>
        <v/>
      </c>
      <c r="AO191" s="47" t="str">
        <f aca="false">IF(ISNUMBER($AD191),ROUND($AD191*Header!$K$3,2),"")</f>
        <v/>
      </c>
      <c r="AP191" s="47" t="str">
        <f aca="false">IF(ISNUMBER($AD191),ROUND($AD191*Header!$M$3,2),"")</f>
        <v/>
      </c>
      <c r="AQ191" s="46" t="str">
        <f aca="false">IF(ISNUMBER($AD191),ROUND($AD191,2)-$AO191-$AP191,"")</f>
        <v/>
      </c>
      <c r="AR191" s="47" t="str">
        <f aca="false">IF(ISNUMBER($AD191),IF(Header!$D$34="","?",$AD191*Header!$D$34),"")</f>
        <v/>
      </c>
      <c r="AS191" s="47" t="str">
        <f aca="false">IF(ISNUMBER($AB191),IF(Header!$D$34="","?",$AB191*Header!$D$34),"")</f>
        <v/>
      </c>
      <c r="AT191" s="50" t="str">
        <f aca="false">IF(AND(ISNUMBER($AB191),$M191&gt;0),$AB191/$M191*100,"")</f>
        <v/>
      </c>
      <c r="AU191" s="50" t="str">
        <f aca="false">IF(AND(ISNUMBER($AD191),$M191&gt;0),$AD191/$M191*100,"")</f>
        <v/>
      </c>
      <c r="AV191" s="48" t="str">
        <f aca="false">IF(AND(ISNUMBER($AB191),ISNUMBER($AD191),ABS($AB191)&gt;0),$AD191/$AB191,"")</f>
        <v/>
      </c>
      <c r="AW191" s="47" t="str">
        <f aca="false">IF(ISNUMBER($AD191),MAX(0,(1-0.55-Header!$O$3)*Header!$Q$3*$AQ191),"")</f>
        <v/>
      </c>
      <c r="AX191" s="51" t="str">
        <f aca="false">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v/>
      </c>
      <c r="AY191" s="52" t="str">
        <f aca="false">IF($M191="","",IF(ISNUMBER($M191),IF($M191&gt;=Header!$C$18,"YES — refer","No"),""))</f>
        <v/>
      </c>
      <c r="AZ191" s="52" t="str">
        <f aca="false">IF($AD191="","",IF(ISNUMBER($AD191),IF($AD191&lt;Header!$C$20,"BELOW MIN PREMIUM","OK"),""))</f>
        <v/>
      </c>
      <c r="BA191" s="40"/>
      <c r="BB191" s="40"/>
      <c r="BC191" s="38"/>
      <c r="BE191" s="53" t="str">
        <f aca="false">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v/>
      </c>
      <c r="BF191" s="53" t="str">
        <f aca="false">IF($AD191="","",IF(ROUND($AO191+$AP191+$AQ191-$AD191,2)=0,"OK","FAIL - out by "&amp;TEXT($AO191+$AP191+$AQ191-$AD191,"$0.00")))</f>
        <v/>
      </c>
    </row>
    <row r="192" customFormat="false" ht="15" hidden="false" customHeight="true" outlineLevel="0" collapsed="false">
      <c r="A192" s="54"/>
      <c r="B192" s="54"/>
      <c r="C192" s="55"/>
      <c r="D192" s="56"/>
      <c r="E192" s="56"/>
      <c r="F192" s="54"/>
      <c r="G192" s="41" t="str">
        <f aca="false">IF($A192="","",IF($C192="","",YEAR($C192)))</f>
        <v/>
      </c>
      <c r="H192" s="57"/>
      <c r="I192" s="54"/>
      <c r="J192" s="54"/>
      <c r="K192" s="54"/>
      <c r="L192" s="56"/>
      <c r="M192" s="58"/>
      <c r="N192" s="56"/>
      <c r="O192" s="54"/>
      <c r="P192" s="54"/>
      <c r="Q192" s="54"/>
      <c r="R192" s="54"/>
      <c r="S192" s="56"/>
      <c r="T192" s="44" t="str">
        <f aca="false">IF($A192="","",IF($S192="","",IFERROR(INDEX(Lists!$N$5:$N$16,MATCH($S192,Lists!$M$5:$M$16,0)),"?")))</f>
        <v/>
      </c>
      <c r="U192" s="54"/>
      <c r="V192" s="56"/>
      <c r="W192" s="54"/>
      <c r="X192" s="56"/>
      <c r="Y192" s="54"/>
      <c r="Z192" s="54"/>
      <c r="AA192" s="56"/>
      <c r="AB192" s="58"/>
      <c r="AC192" s="59"/>
      <c r="AD192" s="46" t="str">
        <f aca="false">IF(ISNUMBER($AB192),$AB192*(1+N($AC192)),"")</f>
        <v/>
      </c>
      <c r="AE192" s="58"/>
      <c r="AF192" s="58"/>
      <c r="AG192" s="59"/>
      <c r="AH192" s="47" t="str">
        <f aca="false">IF(ISNUMBER($AD192),($AD192+$AE192+$AF192)*$AG192,"")</f>
        <v/>
      </c>
      <c r="AI192" s="58"/>
      <c r="AJ192" s="46" t="str">
        <f aca="false">IF(ISNUMBER($AD192),SUM($AD192:$AH192),"")</f>
        <v/>
      </c>
      <c r="AK192" s="48" t="str">
        <f aca="false">IF(AND(ISNUMBER($AB192),ISNUMBER($AD192)),IF($AB192&gt;0,$AD192/$AB192,""),"")</f>
        <v/>
      </c>
      <c r="AL192" s="56"/>
      <c r="AM192" s="49" t="str">
        <f aca="false">IF(ISNUMBER($AD192),Header!$I$3,"")</f>
        <v/>
      </c>
      <c r="AN192" s="47" t="str">
        <f aca="false">IF(ISNUMBER($AD192),$AO192+$AP192,"")</f>
        <v/>
      </c>
      <c r="AO192" s="47" t="str">
        <f aca="false">IF(ISNUMBER($AD192),ROUND($AD192*Header!$K$3,2),"")</f>
        <v/>
      </c>
      <c r="AP192" s="47" t="str">
        <f aca="false">IF(ISNUMBER($AD192),ROUND($AD192*Header!$M$3,2),"")</f>
        <v/>
      </c>
      <c r="AQ192" s="46" t="str">
        <f aca="false">IF(ISNUMBER($AD192),ROUND($AD192,2)-$AO192-$AP192,"")</f>
        <v/>
      </c>
      <c r="AR192" s="47" t="str">
        <f aca="false">IF(ISNUMBER($AD192),IF(Header!$D$34="","?",$AD192*Header!$D$34),"")</f>
        <v/>
      </c>
      <c r="AS192" s="47" t="str">
        <f aca="false">IF(ISNUMBER($AB192),IF(Header!$D$34="","?",$AB192*Header!$D$34),"")</f>
        <v/>
      </c>
      <c r="AT192" s="50" t="str">
        <f aca="false">IF(AND(ISNUMBER($AB192),$M192&gt;0),$AB192/$M192*100,"")</f>
        <v/>
      </c>
      <c r="AU192" s="50" t="str">
        <f aca="false">IF(AND(ISNUMBER($AD192),$M192&gt;0),$AD192/$M192*100,"")</f>
        <v/>
      </c>
      <c r="AV192" s="48" t="str">
        <f aca="false">IF(AND(ISNUMBER($AB192),ISNUMBER($AD192),ABS($AB192)&gt;0),$AD192/$AB192,"")</f>
        <v/>
      </c>
      <c r="AW192" s="47" t="str">
        <f aca="false">IF(ISNUMBER($AD192),MAX(0,(1-0.55-Header!$O$3)*Header!$Q$3*$AQ192),"")</f>
        <v/>
      </c>
      <c r="AX192" s="51" t="str">
        <f aca="false">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v/>
      </c>
      <c r="AY192" s="52" t="str">
        <f aca="false">IF($M192="","",IF(ISNUMBER($M192),IF($M192&gt;=Header!$C$18,"YES — refer","No"),""))</f>
        <v/>
      </c>
      <c r="AZ192" s="52" t="str">
        <f aca="false">IF($AD192="","",IF(ISNUMBER($AD192),IF($AD192&lt;Header!$C$20,"BELOW MIN PREMIUM","OK"),""))</f>
        <v/>
      </c>
      <c r="BA192" s="56"/>
      <c r="BB192" s="56"/>
      <c r="BC192" s="54"/>
      <c r="BE192" s="53" t="str">
        <f aca="false">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v/>
      </c>
      <c r="BF192" s="53" t="str">
        <f aca="false">IF($AD192="","",IF(ROUND($AO192+$AP192+$AQ192-$AD192,2)=0,"OK","FAIL - out by "&amp;TEXT($AO192+$AP192+$AQ192-$AD192,"$0.00")))</f>
        <v/>
      </c>
    </row>
    <row r="193" customFormat="false" ht="15" hidden="false" customHeight="true" outlineLevel="0" collapsed="false">
      <c r="A193" s="38"/>
      <c r="B193" s="38"/>
      <c r="C193" s="39"/>
      <c r="D193" s="40"/>
      <c r="E193" s="40"/>
      <c r="F193" s="38"/>
      <c r="G193" s="41" t="str">
        <f aca="false">IF($A193="","",IF($C193="","",YEAR($C193)))</f>
        <v/>
      </c>
      <c r="H193" s="42"/>
      <c r="I193" s="38"/>
      <c r="J193" s="38"/>
      <c r="K193" s="38"/>
      <c r="L193" s="40"/>
      <c r="M193" s="43"/>
      <c r="N193" s="40"/>
      <c r="O193" s="38"/>
      <c r="P193" s="38"/>
      <c r="Q193" s="38"/>
      <c r="R193" s="38"/>
      <c r="S193" s="40"/>
      <c r="T193" s="44" t="str">
        <f aca="false">IF($A193="","",IF($S193="","",IFERROR(INDEX(Lists!$N$5:$N$16,MATCH($S193,Lists!$M$5:$M$16,0)),"?")))</f>
        <v/>
      </c>
      <c r="U193" s="38"/>
      <c r="V193" s="40"/>
      <c r="W193" s="38"/>
      <c r="X193" s="40"/>
      <c r="Y193" s="38"/>
      <c r="Z193" s="38"/>
      <c r="AA193" s="40"/>
      <c r="AB193" s="43"/>
      <c r="AC193" s="45"/>
      <c r="AD193" s="46" t="str">
        <f aca="false">IF(ISNUMBER($AB193),$AB193*(1+N($AC193)),"")</f>
        <v/>
      </c>
      <c r="AE193" s="43"/>
      <c r="AF193" s="43"/>
      <c r="AG193" s="45"/>
      <c r="AH193" s="47" t="str">
        <f aca="false">IF(ISNUMBER($AD193),($AD193+$AE193+$AF193)*$AG193,"")</f>
        <v/>
      </c>
      <c r="AI193" s="43"/>
      <c r="AJ193" s="46" t="str">
        <f aca="false">IF(ISNUMBER($AD193),SUM($AD193:$AH193),"")</f>
        <v/>
      </c>
      <c r="AK193" s="48" t="str">
        <f aca="false">IF(AND(ISNUMBER($AB193),ISNUMBER($AD193)),IF($AB193&gt;0,$AD193/$AB193,""),"")</f>
        <v/>
      </c>
      <c r="AL193" s="40"/>
      <c r="AM193" s="49" t="str">
        <f aca="false">IF(ISNUMBER($AD193),Header!$I$3,"")</f>
        <v/>
      </c>
      <c r="AN193" s="47" t="str">
        <f aca="false">IF(ISNUMBER($AD193),$AO193+$AP193,"")</f>
        <v/>
      </c>
      <c r="AO193" s="47" t="str">
        <f aca="false">IF(ISNUMBER($AD193),ROUND($AD193*Header!$K$3,2),"")</f>
        <v/>
      </c>
      <c r="AP193" s="47" t="str">
        <f aca="false">IF(ISNUMBER($AD193),ROUND($AD193*Header!$M$3,2),"")</f>
        <v/>
      </c>
      <c r="AQ193" s="46" t="str">
        <f aca="false">IF(ISNUMBER($AD193),ROUND($AD193,2)-$AO193-$AP193,"")</f>
        <v/>
      </c>
      <c r="AR193" s="47" t="str">
        <f aca="false">IF(ISNUMBER($AD193),IF(Header!$D$34="","?",$AD193*Header!$D$34),"")</f>
        <v/>
      </c>
      <c r="AS193" s="47" t="str">
        <f aca="false">IF(ISNUMBER($AB193),IF(Header!$D$34="","?",$AB193*Header!$D$34),"")</f>
        <v/>
      </c>
      <c r="AT193" s="50" t="str">
        <f aca="false">IF(AND(ISNUMBER($AB193),$M193&gt;0),$AB193/$M193*100,"")</f>
        <v/>
      </c>
      <c r="AU193" s="50" t="str">
        <f aca="false">IF(AND(ISNUMBER($AD193),$M193&gt;0),$AD193/$M193*100,"")</f>
        <v/>
      </c>
      <c r="AV193" s="48" t="str">
        <f aca="false">IF(AND(ISNUMBER($AB193),ISNUMBER($AD193),ABS($AB193)&gt;0),$AD193/$AB193,"")</f>
        <v/>
      </c>
      <c r="AW193" s="47" t="str">
        <f aca="false">IF(ISNUMBER($AD193),MAX(0,(1-0.55-Header!$O$3)*Header!$Q$3*$AQ193),"")</f>
        <v/>
      </c>
      <c r="AX193" s="51" t="str">
        <f aca="false">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v/>
      </c>
      <c r="AY193" s="52" t="str">
        <f aca="false">IF($M193="","",IF(ISNUMBER($M193),IF($M193&gt;=Header!$C$18,"YES — refer","No"),""))</f>
        <v/>
      </c>
      <c r="AZ193" s="52" t="str">
        <f aca="false">IF($AD193="","",IF(ISNUMBER($AD193),IF($AD193&lt;Header!$C$20,"BELOW MIN PREMIUM","OK"),""))</f>
        <v/>
      </c>
      <c r="BA193" s="40"/>
      <c r="BB193" s="40"/>
      <c r="BC193" s="38"/>
      <c r="BE193" s="53" t="str">
        <f aca="false">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v/>
      </c>
      <c r="BF193" s="53" t="str">
        <f aca="false">IF($AD193="","",IF(ROUND($AO193+$AP193+$AQ193-$AD193,2)=0,"OK","FAIL - out by "&amp;TEXT($AO193+$AP193+$AQ193-$AD193,"$0.00")))</f>
        <v/>
      </c>
    </row>
    <row r="194" customFormat="false" ht="15" hidden="false" customHeight="true" outlineLevel="0" collapsed="false">
      <c r="A194" s="54"/>
      <c r="B194" s="54"/>
      <c r="C194" s="55"/>
      <c r="D194" s="56"/>
      <c r="E194" s="56"/>
      <c r="F194" s="54"/>
      <c r="G194" s="41" t="str">
        <f aca="false">IF($A194="","",IF($C194="","",YEAR($C194)))</f>
        <v/>
      </c>
      <c r="H194" s="57"/>
      <c r="I194" s="54"/>
      <c r="J194" s="54"/>
      <c r="K194" s="54"/>
      <c r="L194" s="56"/>
      <c r="M194" s="58"/>
      <c r="N194" s="56"/>
      <c r="O194" s="54"/>
      <c r="P194" s="54"/>
      <c r="Q194" s="54"/>
      <c r="R194" s="54"/>
      <c r="S194" s="56"/>
      <c r="T194" s="44" t="str">
        <f aca="false">IF($A194="","",IF($S194="","",IFERROR(INDEX(Lists!$N$5:$N$16,MATCH($S194,Lists!$M$5:$M$16,0)),"?")))</f>
        <v/>
      </c>
      <c r="U194" s="54"/>
      <c r="V194" s="56"/>
      <c r="W194" s="54"/>
      <c r="X194" s="56"/>
      <c r="Y194" s="54"/>
      <c r="Z194" s="54"/>
      <c r="AA194" s="56"/>
      <c r="AB194" s="58"/>
      <c r="AC194" s="59"/>
      <c r="AD194" s="46" t="str">
        <f aca="false">IF(ISNUMBER($AB194),$AB194*(1+N($AC194)),"")</f>
        <v/>
      </c>
      <c r="AE194" s="58"/>
      <c r="AF194" s="58"/>
      <c r="AG194" s="59"/>
      <c r="AH194" s="47" t="str">
        <f aca="false">IF(ISNUMBER($AD194),($AD194+$AE194+$AF194)*$AG194,"")</f>
        <v/>
      </c>
      <c r="AI194" s="58"/>
      <c r="AJ194" s="46" t="str">
        <f aca="false">IF(ISNUMBER($AD194),SUM($AD194:$AH194),"")</f>
        <v/>
      </c>
      <c r="AK194" s="48" t="str">
        <f aca="false">IF(AND(ISNUMBER($AB194),ISNUMBER($AD194)),IF($AB194&gt;0,$AD194/$AB194,""),"")</f>
        <v/>
      </c>
      <c r="AL194" s="56"/>
      <c r="AM194" s="49" t="str">
        <f aca="false">IF(ISNUMBER($AD194),Header!$I$3,"")</f>
        <v/>
      </c>
      <c r="AN194" s="47" t="str">
        <f aca="false">IF(ISNUMBER($AD194),$AO194+$AP194,"")</f>
        <v/>
      </c>
      <c r="AO194" s="47" t="str">
        <f aca="false">IF(ISNUMBER($AD194),ROUND($AD194*Header!$K$3,2),"")</f>
        <v/>
      </c>
      <c r="AP194" s="47" t="str">
        <f aca="false">IF(ISNUMBER($AD194),ROUND($AD194*Header!$M$3,2),"")</f>
        <v/>
      </c>
      <c r="AQ194" s="46" t="str">
        <f aca="false">IF(ISNUMBER($AD194),ROUND($AD194,2)-$AO194-$AP194,"")</f>
        <v/>
      </c>
      <c r="AR194" s="47" t="str">
        <f aca="false">IF(ISNUMBER($AD194),IF(Header!$D$34="","?",$AD194*Header!$D$34),"")</f>
        <v/>
      </c>
      <c r="AS194" s="47" t="str">
        <f aca="false">IF(ISNUMBER($AB194),IF(Header!$D$34="","?",$AB194*Header!$D$34),"")</f>
        <v/>
      </c>
      <c r="AT194" s="50" t="str">
        <f aca="false">IF(AND(ISNUMBER($AB194),$M194&gt;0),$AB194/$M194*100,"")</f>
        <v/>
      </c>
      <c r="AU194" s="50" t="str">
        <f aca="false">IF(AND(ISNUMBER($AD194),$M194&gt;0),$AD194/$M194*100,"")</f>
        <v/>
      </c>
      <c r="AV194" s="48" t="str">
        <f aca="false">IF(AND(ISNUMBER($AB194),ISNUMBER($AD194),ABS($AB194)&gt;0),$AD194/$AB194,"")</f>
        <v/>
      </c>
      <c r="AW194" s="47" t="str">
        <f aca="false">IF(ISNUMBER($AD194),MAX(0,(1-0.55-Header!$O$3)*Header!$Q$3*$AQ194),"")</f>
        <v/>
      </c>
      <c r="AX194" s="51" t="str">
        <f aca="false">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v/>
      </c>
      <c r="AY194" s="52" t="str">
        <f aca="false">IF($M194="","",IF(ISNUMBER($M194),IF($M194&gt;=Header!$C$18,"YES — refer","No"),""))</f>
        <v/>
      </c>
      <c r="AZ194" s="52" t="str">
        <f aca="false">IF($AD194="","",IF(ISNUMBER($AD194),IF($AD194&lt;Header!$C$20,"BELOW MIN PREMIUM","OK"),""))</f>
        <v/>
      </c>
      <c r="BA194" s="56"/>
      <c r="BB194" s="56"/>
      <c r="BC194" s="54"/>
      <c r="BE194" s="53" t="str">
        <f aca="false">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v/>
      </c>
      <c r="BF194" s="53" t="str">
        <f aca="false">IF($AD194="","",IF(ROUND($AO194+$AP194+$AQ194-$AD194,2)=0,"OK","FAIL - out by "&amp;TEXT($AO194+$AP194+$AQ194-$AD194,"$0.00")))</f>
        <v/>
      </c>
    </row>
    <row r="195" customFormat="false" ht="15" hidden="false" customHeight="true" outlineLevel="0" collapsed="false">
      <c r="A195" s="38"/>
      <c r="B195" s="38"/>
      <c r="C195" s="39"/>
      <c r="D195" s="40"/>
      <c r="E195" s="40"/>
      <c r="F195" s="38"/>
      <c r="G195" s="41" t="str">
        <f aca="false">IF($A195="","",IF($C195="","",YEAR($C195)))</f>
        <v/>
      </c>
      <c r="H195" s="42"/>
      <c r="I195" s="38"/>
      <c r="J195" s="38"/>
      <c r="K195" s="38"/>
      <c r="L195" s="40"/>
      <c r="M195" s="43"/>
      <c r="N195" s="40"/>
      <c r="O195" s="38"/>
      <c r="P195" s="38"/>
      <c r="Q195" s="38"/>
      <c r="R195" s="38"/>
      <c r="S195" s="40"/>
      <c r="T195" s="44" t="str">
        <f aca="false">IF($A195="","",IF($S195="","",IFERROR(INDEX(Lists!$N$5:$N$16,MATCH($S195,Lists!$M$5:$M$16,0)),"?")))</f>
        <v/>
      </c>
      <c r="U195" s="38"/>
      <c r="V195" s="40"/>
      <c r="W195" s="38"/>
      <c r="X195" s="40"/>
      <c r="Y195" s="38"/>
      <c r="Z195" s="38"/>
      <c r="AA195" s="40"/>
      <c r="AB195" s="43"/>
      <c r="AC195" s="45"/>
      <c r="AD195" s="46" t="str">
        <f aca="false">IF(ISNUMBER($AB195),$AB195*(1+N($AC195)),"")</f>
        <v/>
      </c>
      <c r="AE195" s="43"/>
      <c r="AF195" s="43"/>
      <c r="AG195" s="45"/>
      <c r="AH195" s="47" t="str">
        <f aca="false">IF(ISNUMBER($AD195),($AD195+$AE195+$AF195)*$AG195,"")</f>
        <v/>
      </c>
      <c r="AI195" s="43"/>
      <c r="AJ195" s="46" t="str">
        <f aca="false">IF(ISNUMBER($AD195),SUM($AD195:$AH195),"")</f>
        <v/>
      </c>
      <c r="AK195" s="48" t="str">
        <f aca="false">IF(AND(ISNUMBER($AB195),ISNUMBER($AD195)),IF($AB195&gt;0,$AD195/$AB195,""),"")</f>
        <v/>
      </c>
      <c r="AL195" s="40"/>
      <c r="AM195" s="49" t="str">
        <f aca="false">IF(ISNUMBER($AD195),Header!$I$3,"")</f>
        <v/>
      </c>
      <c r="AN195" s="47" t="str">
        <f aca="false">IF(ISNUMBER($AD195),$AO195+$AP195,"")</f>
        <v/>
      </c>
      <c r="AO195" s="47" t="str">
        <f aca="false">IF(ISNUMBER($AD195),ROUND($AD195*Header!$K$3,2),"")</f>
        <v/>
      </c>
      <c r="AP195" s="47" t="str">
        <f aca="false">IF(ISNUMBER($AD195),ROUND($AD195*Header!$M$3,2),"")</f>
        <v/>
      </c>
      <c r="AQ195" s="46" t="str">
        <f aca="false">IF(ISNUMBER($AD195),ROUND($AD195,2)-$AO195-$AP195,"")</f>
        <v/>
      </c>
      <c r="AR195" s="47" t="str">
        <f aca="false">IF(ISNUMBER($AD195),IF(Header!$D$34="","?",$AD195*Header!$D$34),"")</f>
        <v/>
      </c>
      <c r="AS195" s="47" t="str">
        <f aca="false">IF(ISNUMBER($AB195),IF(Header!$D$34="","?",$AB195*Header!$D$34),"")</f>
        <v/>
      </c>
      <c r="AT195" s="50" t="str">
        <f aca="false">IF(AND(ISNUMBER($AB195),$M195&gt;0),$AB195/$M195*100,"")</f>
        <v/>
      </c>
      <c r="AU195" s="50" t="str">
        <f aca="false">IF(AND(ISNUMBER($AD195),$M195&gt;0),$AD195/$M195*100,"")</f>
        <v/>
      </c>
      <c r="AV195" s="48" t="str">
        <f aca="false">IF(AND(ISNUMBER($AB195),ISNUMBER($AD195),ABS($AB195)&gt;0),$AD195/$AB195,"")</f>
        <v/>
      </c>
      <c r="AW195" s="47" t="str">
        <f aca="false">IF(ISNUMBER($AD195),MAX(0,(1-0.55-Header!$O$3)*Header!$Q$3*$AQ195),"")</f>
        <v/>
      </c>
      <c r="AX195" s="51" t="str">
        <f aca="false">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v/>
      </c>
      <c r="AY195" s="52" t="str">
        <f aca="false">IF($M195="","",IF(ISNUMBER($M195),IF($M195&gt;=Header!$C$18,"YES — refer","No"),""))</f>
        <v/>
      </c>
      <c r="AZ195" s="52" t="str">
        <f aca="false">IF($AD195="","",IF(ISNUMBER($AD195),IF($AD195&lt;Header!$C$20,"BELOW MIN PREMIUM","OK"),""))</f>
        <v/>
      </c>
      <c r="BA195" s="40"/>
      <c r="BB195" s="40"/>
      <c r="BC195" s="38"/>
      <c r="BE195" s="53" t="str">
        <f aca="false">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v/>
      </c>
      <c r="BF195" s="53" t="str">
        <f aca="false">IF($AD195="","",IF(ROUND($AO195+$AP195+$AQ195-$AD195,2)=0,"OK","FAIL - out by "&amp;TEXT($AO195+$AP195+$AQ195-$AD195,"$0.00")))</f>
        <v/>
      </c>
    </row>
    <row r="196" customFormat="false" ht="15" hidden="false" customHeight="true" outlineLevel="0" collapsed="false">
      <c r="A196" s="54"/>
      <c r="B196" s="54"/>
      <c r="C196" s="55"/>
      <c r="D196" s="56"/>
      <c r="E196" s="56"/>
      <c r="F196" s="54"/>
      <c r="G196" s="41" t="str">
        <f aca="false">IF($A196="","",IF($C196="","",YEAR($C196)))</f>
        <v/>
      </c>
      <c r="H196" s="57"/>
      <c r="I196" s="54"/>
      <c r="J196" s="54"/>
      <c r="K196" s="54"/>
      <c r="L196" s="56"/>
      <c r="M196" s="58"/>
      <c r="N196" s="56"/>
      <c r="O196" s="54"/>
      <c r="P196" s="54"/>
      <c r="Q196" s="54"/>
      <c r="R196" s="54"/>
      <c r="S196" s="56"/>
      <c r="T196" s="44" t="str">
        <f aca="false">IF($A196="","",IF($S196="","",IFERROR(INDEX(Lists!$N$5:$N$16,MATCH($S196,Lists!$M$5:$M$16,0)),"?")))</f>
        <v/>
      </c>
      <c r="U196" s="54"/>
      <c r="V196" s="56"/>
      <c r="W196" s="54"/>
      <c r="X196" s="56"/>
      <c r="Y196" s="54"/>
      <c r="Z196" s="54"/>
      <c r="AA196" s="56"/>
      <c r="AB196" s="58"/>
      <c r="AC196" s="59"/>
      <c r="AD196" s="46" t="str">
        <f aca="false">IF(ISNUMBER($AB196),$AB196*(1+N($AC196)),"")</f>
        <v/>
      </c>
      <c r="AE196" s="58"/>
      <c r="AF196" s="58"/>
      <c r="AG196" s="59"/>
      <c r="AH196" s="47" t="str">
        <f aca="false">IF(ISNUMBER($AD196),($AD196+$AE196+$AF196)*$AG196,"")</f>
        <v/>
      </c>
      <c r="AI196" s="58"/>
      <c r="AJ196" s="46" t="str">
        <f aca="false">IF(ISNUMBER($AD196),SUM($AD196:$AH196),"")</f>
        <v/>
      </c>
      <c r="AK196" s="48" t="str">
        <f aca="false">IF(AND(ISNUMBER($AB196),ISNUMBER($AD196)),IF($AB196&gt;0,$AD196/$AB196,""),"")</f>
        <v/>
      </c>
      <c r="AL196" s="56"/>
      <c r="AM196" s="49" t="str">
        <f aca="false">IF(ISNUMBER($AD196),Header!$I$3,"")</f>
        <v/>
      </c>
      <c r="AN196" s="47" t="str">
        <f aca="false">IF(ISNUMBER($AD196),$AO196+$AP196,"")</f>
        <v/>
      </c>
      <c r="AO196" s="47" t="str">
        <f aca="false">IF(ISNUMBER($AD196),ROUND($AD196*Header!$K$3,2),"")</f>
        <v/>
      </c>
      <c r="AP196" s="47" t="str">
        <f aca="false">IF(ISNUMBER($AD196),ROUND($AD196*Header!$M$3,2),"")</f>
        <v/>
      </c>
      <c r="AQ196" s="46" t="str">
        <f aca="false">IF(ISNUMBER($AD196),ROUND($AD196,2)-$AO196-$AP196,"")</f>
        <v/>
      </c>
      <c r="AR196" s="47" t="str">
        <f aca="false">IF(ISNUMBER($AD196),IF(Header!$D$34="","?",$AD196*Header!$D$34),"")</f>
        <v/>
      </c>
      <c r="AS196" s="47" t="str">
        <f aca="false">IF(ISNUMBER($AB196),IF(Header!$D$34="","?",$AB196*Header!$D$34),"")</f>
        <v/>
      </c>
      <c r="AT196" s="50" t="str">
        <f aca="false">IF(AND(ISNUMBER($AB196),$M196&gt;0),$AB196/$M196*100,"")</f>
        <v/>
      </c>
      <c r="AU196" s="50" t="str">
        <f aca="false">IF(AND(ISNUMBER($AD196),$M196&gt;0),$AD196/$M196*100,"")</f>
        <v/>
      </c>
      <c r="AV196" s="48" t="str">
        <f aca="false">IF(AND(ISNUMBER($AB196),ISNUMBER($AD196),ABS($AB196)&gt;0),$AD196/$AB196,"")</f>
        <v/>
      </c>
      <c r="AW196" s="47" t="str">
        <f aca="false">IF(ISNUMBER($AD196),MAX(0,(1-0.55-Header!$O$3)*Header!$Q$3*$AQ196),"")</f>
        <v/>
      </c>
      <c r="AX196" s="51" t="str">
        <f aca="false">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v/>
      </c>
      <c r="AY196" s="52" t="str">
        <f aca="false">IF($M196="","",IF(ISNUMBER($M196),IF($M196&gt;=Header!$C$18,"YES — refer","No"),""))</f>
        <v/>
      </c>
      <c r="AZ196" s="52" t="str">
        <f aca="false">IF($AD196="","",IF(ISNUMBER($AD196),IF($AD196&lt;Header!$C$20,"BELOW MIN PREMIUM","OK"),""))</f>
        <v/>
      </c>
      <c r="BA196" s="56"/>
      <c r="BB196" s="56"/>
      <c r="BC196" s="54"/>
      <c r="BE196" s="53" t="str">
        <f aca="false">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v/>
      </c>
      <c r="BF196" s="53" t="str">
        <f aca="false">IF($AD196="","",IF(ROUND($AO196+$AP196+$AQ196-$AD196,2)=0,"OK","FAIL - out by "&amp;TEXT($AO196+$AP196+$AQ196-$AD196,"$0.00")))</f>
        <v/>
      </c>
    </row>
    <row r="197" customFormat="false" ht="15" hidden="false" customHeight="true" outlineLevel="0" collapsed="false">
      <c r="A197" s="38"/>
      <c r="B197" s="38"/>
      <c r="C197" s="39"/>
      <c r="D197" s="40"/>
      <c r="E197" s="40"/>
      <c r="F197" s="38"/>
      <c r="G197" s="41" t="str">
        <f aca="false">IF($A197="","",IF($C197="","",YEAR($C197)))</f>
        <v/>
      </c>
      <c r="H197" s="42"/>
      <c r="I197" s="38"/>
      <c r="J197" s="38"/>
      <c r="K197" s="38"/>
      <c r="L197" s="40"/>
      <c r="M197" s="43"/>
      <c r="N197" s="40"/>
      <c r="O197" s="38"/>
      <c r="P197" s="38"/>
      <c r="Q197" s="38"/>
      <c r="R197" s="38"/>
      <c r="S197" s="40"/>
      <c r="T197" s="44" t="str">
        <f aca="false">IF($A197="","",IF($S197="","",IFERROR(INDEX(Lists!$N$5:$N$16,MATCH($S197,Lists!$M$5:$M$16,0)),"?")))</f>
        <v/>
      </c>
      <c r="U197" s="38"/>
      <c r="V197" s="40"/>
      <c r="W197" s="38"/>
      <c r="X197" s="40"/>
      <c r="Y197" s="38"/>
      <c r="Z197" s="38"/>
      <c r="AA197" s="40"/>
      <c r="AB197" s="43"/>
      <c r="AC197" s="45"/>
      <c r="AD197" s="46" t="str">
        <f aca="false">IF(ISNUMBER($AB197),$AB197*(1+N($AC197)),"")</f>
        <v/>
      </c>
      <c r="AE197" s="43"/>
      <c r="AF197" s="43"/>
      <c r="AG197" s="45"/>
      <c r="AH197" s="47" t="str">
        <f aca="false">IF(ISNUMBER($AD197),($AD197+$AE197+$AF197)*$AG197,"")</f>
        <v/>
      </c>
      <c r="AI197" s="43"/>
      <c r="AJ197" s="46" t="str">
        <f aca="false">IF(ISNUMBER($AD197),SUM($AD197:$AH197),"")</f>
        <v/>
      </c>
      <c r="AK197" s="48" t="str">
        <f aca="false">IF(AND(ISNUMBER($AB197),ISNUMBER($AD197)),IF($AB197&gt;0,$AD197/$AB197,""),"")</f>
        <v/>
      </c>
      <c r="AL197" s="40"/>
      <c r="AM197" s="49" t="str">
        <f aca="false">IF(ISNUMBER($AD197),Header!$I$3,"")</f>
        <v/>
      </c>
      <c r="AN197" s="47" t="str">
        <f aca="false">IF(ISNUMBER($AD197),$AO197+$AP197,"")</f>
        <v/>
      </c>
      <c r="AO197" s="47" t="str">
        <f aca="false">IF(ISNUMBER($AD197),ROUND($AD197*Header!$K$3,2),"")</f>
        <v/>
      </c>
      <c r="AP197" s="47" t="str">
        <f aca="false">IF(ISNUMBER($AD197),ROUND($AD197*Header!$M$3,2),"")</f>
        <v/>
      </c>
      <c r="AQ197" s="46" t="str">
        <f aca="false">IF(ISNUMBER($AD197),ROUND($AD197,2)-$AO197-$AP197,"")</f>
        <v/>
      </c>
      <c r="AR197" s="47" t="str">
        <f aca="false">IF(ISNUMBER($AD197),IF(Header!$D$34="","?",$AD197*Header!$D$34),"")</f>
        <v/>
      </c>
      <c r="AS197" s="47" t="str">
        <f aca="false">IF(ISNUMBER($AB197),IF(Header!$D$34="","?",$AB197*Header!$D$34),"")</f>
        <v/>
      </c>
      <c r="AT197" s="50" t="str">
        <f aca="false">IF(AND(ISNUMBER($AB197),$M197&gt;0),$AB197/$M197*100,"")</f>
        <v/>
      </c>
      <c r="AU197" s="50" t="str">
        <f aca="false">IF(AND(ISNUMBER($AD197),$M197&gt;0),$AD197/$M197*100,"")</f>
        <v/>
      </c>
      <c r="AV197" s="48" t="str">
        <f aca="false">IF(AND(ISNUMBER($AB197),ISNUMBER($AD197),ABS($AB197)&gt;0),$AD197/$AB197,"")</f>
        <v/>
      </c>
      <c r="AW197" s="47" t="str">
        <f aca="false">IF(ISNUMBER($AD197),MAX(0,(1-0.55-Header!$O$3)*Header!$Q$3*$AQ197),"")</f>
        <v/>
      </c>
      <c r="AX197" s="51" t="str">
        <f aca="false">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v/>
      </c>
      <c r="AY197" s="52" t="str">
        <f aca="false">IF($M197="","",IF(ISNUMBER($M197),IF($M197&gt;=Header!$C$18,"YES — refer","No"),""))</f>
        <v/>
      </c>
      <c r="AZ197" s="52" t="str">
        <f aca="false">IF($AD197="","",IF(ISNUMBER($AD197),IF($AD197&lt;Header!$C$20,"BELOW MIN PREMIUM","OK"),""))</f>
        <v/>
      </c>
      <c r="BA197" s="40"/>
      <c r="BB197" s="40"/>
      <c r="BC197" s="38"/>
      <c r="BE197" s="53" t="str">
        <f aca="false">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v/>
      </c>
      <c r="BF197" s="53" t="str">
        <f aca="false">IF($AD197="","",IF(ROUND($AO197+$AP197+$AQ197-$AD197,2)=0,"OK","FAIL - out by "&amp;TEXT($AO197+$AP197+$AQ197-$AD197,"$0.00")))</f>
        <v/>
      </c>
    </row>
    <row r="198" customFormat="false" ht="15" hidden="false" customHeight="true" outlineLevel="0" collapsed="false">
      <c r="A198" s="54"/>
      <c r="B198" s="54"/>
      <c r="C198" s="55"/>
      <c r="D198" s="56"/>
      <c r="E198" s="56"/>
      <c r="F198" s="54"/>
      <c r="G198" s="41" t="str">
        <f aca="false">IF($A198="","",IF($C198="","",YEAR($C198)))</f>
        <v/>
      </c>
      <c r="H198" s="57"/>
      <c r="I198" s="54"/>
      <c r="J198" s="54"/>
      <c r="K198" s="54"/>
      <c r="L198" s="56"/>
      <c r="M198" s="58"/>
      <c r="N198" s="56"/>
      <c r="O198" s="54"/>
      <c r="P198" s="54"/>
      <c r="Q198" s="54"/>
      <c r="R198" s="54"/>
      <c r="S198" s="56"/>
      <c r="T198" s="44" t="str">
        <f aca="false">IF($A198="","",IF($S198="","",IFERROR(INDEX(Lists!$N$5:$N$16,MATCH($S198,Lists!$M$5:$M$16,0)),"?")))</f>
        <v/>
      </c>
      <c r="U198" s="54"/>
      <c r="V198" s="56"/>
      <c r="W198" s="54"/>
      <c r="X198" s="56"/>
      <c r="Y198" s="54"/>
      <c r="Z198" s="54"/>
      <c r="AA198" s="56"/>
      <c r="AB198" s="58"/>
      <c r="AC198" s="59"/>
      <c r="AD198" s="46" t="str">
        <f aca="false">IF(ISNUMBER($AB198),$AB198*(1+N($AC198)),"")</f>
        <v/>
      </c>
      <c r="AE198" s="58"/>
      <c r="AF198" s="58"/>
      <c r="AG198" s="59"/>
      <c r="AH198" s="47" t="str">
        <f aca="false">IF(ISNUMBER($AD198),($AD198+$AE198+$AF198)*$AG198,"")</f>
        <v/>
      </c>
      <c r="AI198" s="58"/>
      <c r="AJ198" s="46" t="str">
        <f aca="false">IF(ISNUMBER($AD198),SUM($AD198:$AH198),"")</f>
        <v/>
      </c>
      <c r="AK198" s="48" t="str">
        <f aca="false">IF(AND(ISNUMBER($AB198),ISNUMBER($AD198)),IF($AB198&gt;0,$AD198/$AB198,""),"")</f>
        <v/>
      </c>
      <c r="AL198" s="56"/>
      <c r="AM198" s="49" t="str">
        <f aca="false">IF(ISNUMBER($AD198),Header!$I$3,"")</f>
        <v/>
      </c>
      <c r="AN198" s="47" t="str">
        <f aca="false">IF(ISNUMBER($AD198),$AO198+$AP198,"")</f>
        <v/>
      </c>
      <c r="AO198" s="47" t="str">
        <f aca="false">IF(ISNUMBER($AD198),ROUND($AD198*Header!$K$3,2),"")</f>
        <v/>
      </c>
      <c r="AP198" s="47" t="str">
        <f aca="false">IF(ISNUMBER($AD198),ROUND($AD198*Header!$M$3,2),"")</f>
        <v/>
      </c>
      <c r="AQ198" s="46" t="str">
        <f aca="false">IF(ISNUMBER($AD198),ROUND($AD198,2)-$AO198-$AP198,"")</f>
        <v/>
      </c>
      <c r="AR198" s="47" t="str">
        <f aca="false">IF(ISNUMBER($AD198),IF(Header!$D$34="","?",$AD198*Header!$D$34),"")</f>
        <v/>
      </c>
      <c r="AS198" s="47" t="str">
        <f aca="false">IF(ISNUMBER($AB198),IF(Header!$D$34="","?",$AB198*Header!$D$34),"")</f>
        <v/>
      </c>
      <c r="AT198" s="50" t="str">
        <f aca="false">IF(AND(ISNUMBER($AB198),$M198&gt;0),$AB198/$M198*100,"")</f>
        <v/>
      </c>
      <c r="AU198" s="50" t="str">
        <f aca="false">IF(AND(ISNUMBER($AD198),$M198&gt;0),$AD198/$M198*100,"")</f>
        <v/>
      </c>
      <c r="AV198" s="48" t="str">
        <f aca="false">IF(AND(ISNUMBER($AB198),ISNUMBER($AD198),ABS($AB198)&gt;0),$AD198/$AB198,"")</f>
        <v/>
      </c>
      <c r="AW198" s="47" t="str">
        <f aca="false">IF(ISNUMBER($AD198),MAX(0,(1-0.55-Header!$O$3)*Header!$Q$3*$AQ198),"")</f>
        <v/>
      </c>
      <c r="AX198" s="51" t="str">
        <f aca="false">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v/>
      </c>
      <c r="AY198" s="52" t="str">
        <f aca="false">IF($M198="","",IF(ISNUMBER($M198),IF($M198&gt;=Header!$C$18,"YES — refer","No"),""))</f>
        <v/>
      </c>
      <c r="AZ198" s="52" t="str">
        <f aca="false">IF($AD198="","",IF(ISNUMBER($AD198),IF($AD198&lt;Header!$C$20,"BELOW MIN PREMIUM","OK"),""))</f>
        <v/>
      </c>
      <c r="BA198" s="56"/>
      <c r="BB198" s="56"/>
      <c r="BC198" s="54"/>
      <c r="BE198" s="53" t="str">
        <f aca="false">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v/>
      </c>
      <c r="BF198" s="53" t="str">
        <f aca="false">IF($AD198="","",IF(ROUND($AO198+$AP198+$AQ198-$AD198,2)=0,"OK","FAIL - out by "&amp;TEXT($AO198+$AP198+$AQ198-$AD198,"$0.00")))</f>
        <v/>
      </c>
    </row>
    <row r="199" customFormat="false" ht="15" hidden="false" customHeight="true" outlineLevel="0" collapsed="false">
      <c r="A199" s="38"/>
      <c r="B199" s="38"/>
      <c r="C199" s="39"/>
      <c r="D199" s="40"/>
      <c r="E199" s="40"/>
      <c r="F199" s="38"/>
      <c r="G199" s="41" t="str">
        <f aca="false">IF($A199="","",IF($C199="","",YEAR($C199)))</f>
        <v/>
      </c>
      <c r="H199" s="42"/>
      <c r="I199" s="38"/>
      <c r="J199" s="38"/>
      <c r="K199" s="38"/>
      <c r="L199" s="40"/>
      <c r="M199" s="43"/>
      <c r="N199" s="40"/>
      <c r="O199" s="38"/>
      <c r="P199" s="38"/>
      <c r="Q199" s="38"/>
      <c r="R199" s="38"/>
      <c r="S199" s="40"/>
      <c r="T199" s="44" t="str">
        <f aca="false">IF($A199="","",IF($S199="","",IFERROR(INDEX(Lists!$N$5:$N$16,MATCH($S199,Lists!$M$5:$M$16,0)),"?")))</f>
        <v/>
      </c>
      <c r="U199" s="38"/>
      <c r="V199" s="40"/>
      <c r="W199" s="38"/>
      <c r="X199" s="40"/>
      <c r="Y199" s="38"/>
      <c r="Z199" s="38"/>
      <c r="AA199" s="40"/>
      <c r="AB199" s="43"/>
      <c r="AC199" s="45"/>
      <c r="AD199" s="46" t="str">
        <f aca="false">IF(ISNUMBER($AB199),$AB199*(1+N($AC199)),"")</f>
        <v/>
      </c>
      <c r="AE199" s="43"/>
      <c r="AF199" s="43"/>
      <c r="AG199" s="45"/>
      <c r="AH199" s="47" t="str">
        <f aca="false">IF(ISNUMBER($AD199),($AD199+$AE199+$AF199)*$AG199,"")</f>
        <v/>
      </c>
      <c r="AI199" s="43"/>
      <c r="AJ199" s="46" t="str">
        <f aca="false">IF(ISNUMBER($AD199),SUM($AD199:$AH199),"")</f>
        <v/>
      </c>
      <c r="AK199" s="48" t="str">
        <f aca="false">IF(AND(ISNUMBER($AB199),ISNUMBER($AD199)),IF($AB199&gt;0,$AD199/$AB199,""),"")</f>
        <v/>
      </c>
      <c r="AL199" s="40"/>
      <c r="AM199" s="49" t="str">
        <f aca="false">IF(ISNUMBER($AD199),Header!$I$3,"")</f>
        <v/>
      </c>
      <c r="AN199" s="47" t="str">
        <f aca="false">IF(ISNUMBER($AD199),$AO199+$AP199,"")</f>
        <v/>
      </c>
      <c r="AO199" s="47" t="str">
        <f aca="false">IF(ISNUMBER($AD199),ROUND($AD199*Header!$K$3,2),"")</f>
        <v/>
      </c>
      <c r="AP199" s="47" t="str">
        <f aca="false">IF(ISNUMBER($AD199),ROUND($AD199*Header!$M$3,2),"")</f>
        <v/>
      </c>
      <c r="AQ199" s="46" t="str">
        <f aca="false">IF(ISNUMBER($AD199),ROUND($AD199,2)-$AO199-$AP199,"")</f>
        <v/>
      </c>
      <c r="AR199" s="47" t="str">
        <f aca="false">IF(ISNUMBER($AD199),IF(Header!$D$34="","?",$AD199*Header!$D$34),"")</f>
        <v/>
      </c>
      <c r="AS199" s="47" t="str">
        <f aca="false">IF(ISNUMBER($AB199),IF(Header!$D$34="","?",$AB199*Header!$D$34),"")</f>
        <v/>
      </c>
      <c r="AT199" s="50" t="str">
        <f aca="false">IF(AND(ISNUMBER($AB199),$M199&gt;0),$AB199/$M199*100,"")</f>
        <v/>
      </c>
      <c r="AU199" s="50" t="str">
        <f aca="false">IF(AND(ISNUMBER($AD199),$M199&gt;0),$AD199/$M199*100,"")</f>
        <v/>
      </c>
      <c r="AV199" s="48" t="str">
        <f aca="false">IF(AND(ISNUMBER($AB199),ISNUMBER($AD199),ABS($AB199)&gt;0),$AD199/$AB199,"")</f>
        <v/>
      </c>
      <c r="AW199" s="47" t="str">
        <f aca="false">IF(ISNUMBER($AD199),MAX(0,(1-0.55-Header!$O$3)*Header!$Q$3*$AQ199),"")</f>
        <v/>
      </c>
      <c r="AX199" s="51" t="str">
        <f aca="false">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v/>
      </c>
      <c r="AY199" s="52" t="str">
        <f aca="false">IF($M199="","",IF(ISNUMBER($M199),IF($M199&gt;=Header!$C$18,"YES — refer","No"),""))</f>
        <v/>
      </c>
      <c r="AZ199" s="52" t="str">
        <f aca="false">IF($AD199="","",IF(ISNUMBER($AD199),IF($AD199&lt;Header!$C$20,"BELOW MIN PREMIUM","OK"),""))</f>
        <v/>
      </c>
      <c r="BA199" s="40"/>
      <c r="BB199" s="40"/>
      <c r="BC199" s="38"/>
      <c r="BE199" s="53" t="str">
        <f aca="false">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v/>
      </c>
      <c r="BF199" s="53" t="str">
        <f aca="false">IF($AD199="","",IF(ROUND($AO199+$AP199+$AQ199-$AD199,2)=0,"OK","FAIL - out by "&amp;TEXT($AO199+$AP199+$AQ199-$AD199,"$0.00")))</f>
        <v/>
      </c>
    </row>
    <row r="200" customFormat="false" ht="15" hidden="false" customHeight="true" outlineLevel="0" collapsed="false">
      <c r="A200" s="54"/>
      <c r="B200" s="54"/>
      <c r="C200" s="55"/>
      <c r="D200" s="56"/>
      <c r="E200" s="56"/>
      <c r="F200" s="54"/>
      <c r="G200" s="41" t="str">
        <f aca="false">IF($A200="","",IF($C200="","",YEAR($C200)))</f>
        <v/>
      </c>
      <c r="H200" s="57"/>
      <c r="I200" s="54"/>
      <c r="J200" s="54"/>
      <c r="K200" s="54"/>
      <c r="L200" s="56"/>
      <c r="M200" s="58"/>
      <c r="N200" s="56"/>
      <c r="O200" s="54"/>
      <c r="P200" s="54"/>
      <c r="Q200" s="54"/>
      <c r="R200" s="54"/>
      <c r="S200" s="56"/>
      <c r="T200" s="44" t="str">
        <f aca="false">IF($A200="","",IF($S200="","",IFERROR(INDEX(Lists!$N$5:$N$16,MATCH($S200,Lists!$M$5:$M$16,0)),"?")))</f>
        <v/>
      </c>
      <c r="U200" s="54"/>
      <c r="V200" s="56"/>
      <c r="W200" s="54"/>
      <c r="X200" s="56"/>
      <c r="Y200" s="54"/>
      <c r="Z200" s="54"/>
      <c r="AA200" s="56"/>
      <c r="AB200" s="58"/>
      <c r="AC200" s="59"/>
      <c r="AD200" s="46" t="str">
        <f aca="false">IF(ISNUMBER($AB200),$AB200*(1+N($AC200)),"")</f>
        <v/>
      </c>
      <c r="AE200" s="58"/>
      <c r="AF200" s="58"/>
      <c r="AG200" s="59"/>
      <c r="AH200" s="47" t="str">
        <f aca="false">IF(ISNUMBER($AD200),($AD200+$AE200+$AF200)*$AG200,"")</f>
        <v/>
      </c>
      <c r="AI200" s="58"/>
      <c r="AJ200" s="46" t="str">
        <f aca="false">IF(ISNUMBER($AD200),SUM($AD200:$AH200),"")</f>
        <v/>
      </c>
      <c r="AK200" s="48" t="str">
        <f aca="false">IF(AND(ISNUMBER($AB200),ISNUMBER($AD200)),IF($AB200&gt;0,$AD200/$AB200,""),"")</f>
        <v/>
      </c>
      <c r="AL200" s="56"/>
      <c r="AM200" s="49" t="str">
        <f aca="false">IF(ISNUMBER($AD200),Header!$I$3,"")</f>
        <v/>
      </c>
      <c r="AN200" s="47" t="str">
        <f aca="false">IF(ISNUMBER($AD200),$AO200+$AP200,"")</f>
        <v/>
      </c>
      <c r="AO200" s="47" t="str">
        <f aca="false">IF(ISNUMBER($AD200),ROUND($AD200*Header!$K$3,2),"")</f>
        <v/>
      </c>
      <c r="AP200" s="47" t="str">
        <f aca="false">IF(ISNUMBER($AD200),ROUND($AD200*Header!$M$3,2),"")</f>
        <v/>
      </c>
      <c r="AQ200" s="46" t="str">
        <f aca="false">IF(ISNUMBER($AD200),ROUND($AD200,2)-$AO200-$AP200,"")</f>
        <v/>
      </c>
      <c r="AR200" s="47" t="str">
        <f aca="false">IF(ISNUMBER($AD200),IF(Header!$D$34="","?",$AD200*Header!$D$34),"")</f>
        <v/>
      </c>
      <c r="AS200" s="47" t="str">
        <f aca="false">IF(ISNUMBER($AB200),IF(Header!$D$34="","?",$AB200*Header!$D$34),"")</f>
        <v/>
      </c>
      <c r="AT200" s="50" t="str">
        <f aca="false">IF(AND(ISNUMBER($AB200),$M200&gt;0),$AB200/$M200*100,"")</f>
        <v/>
      </c>
      <c r="AU200" s="50" t="str">
        <f aca="false">IF(AND(ISNUMBER($AD200),$M200&gt;0),$AD200/$M200*100,"")</f>
        <v/>
      </c>
      <c r="AV200" s="48" t="str">
        <f aca="false">IF(AND(ISNUMBER($AB200),ISNUMBER($AD200),ABS($AB200)&gt;0),$AD200/$AB200,"")</f>
        <v/>
      </c>
      <c r="AW200" s="47" t="str">
        <f aca="false">IF(ISNUMBER($AD200),MAX(0,(1-0.55-Header!$O$3)*Header!$Q$3*$AQ200),"")</f>
        <v/>
      </c>
      <c r="AX200" s="51" t="str">
        <f aca="false">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v/>
      </c>
      <c r="AY200" s="52" t="str">
        <f aca="false">IF($M200="","",IF(ISNUMBER($M200),IF($M200&gt;=Header!$C$18,"YES — refer","No"),""))</f>
        <v/>
      </c>
      <c r="AZ200" s="52" t="str">
        <f aca="false">IF($AD200="","",IF(ISNUMBER($AD200),IF($AD200&lt;Header!$C$20,"BELOW MIN PREMIUM","OK"),""))</f>
        <v/>
      </c>
      <c r="BA200" s="56"/>
      <c r="BB200" s="56"/>
      <c r="BC200" s="54"/>
      <c r="BE200" s="53" t="str">
        <f aca="false">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v/>
      </c>
      <c r="BF200" s="53" t="str">
        <f aca="false">IF($AD200="","",IF(ROUND($AO200+$AP200+$AQ200-$AD200,2)=0,"OK","FAIL - out by "&amp;TEXT($AO200+$AP200+$AQ200-$AD200,"$0.00")))</f>
        <v/>
      </c>
    </row>
    <row r="201" customFormat="false" ht="15" hidden="false" customHeight="true" outlineLevel="0" collapsed="false">
      <c r="A201" s="38"/>
      <c r="B201" s="38"/>
      <c r="C201" s="39"/>
      <c r="D201" s="40"/>
      <c r="E201" s="40"/>
      <c r="F201" s="38"/>
      <c r="G201" s="41" t="str">
        <f aca="false">IF($A201="","",IF($C201="","",YEAR($C201)))</f>
        <v/>
      </c>
      <c r="H201" s="42"/>
      <c r="I201" s="38"/>
      <c r="J201" s="38"/>
      <c r="K201" s="38"/>
      <c r="L201" s="40"/>
      <c r="M201" s="43"/>
      <c r="N201" s="40"/>
      <c r="O201" s="38"/>
      <c r="P201" s="38"/>
      <c r="Q201" s="38"/>
      <c r="R201" s="38"/>
      <c r="S201" s="40"/>
      <c r="T201" s="44" t="str">
        <f aca="false">IF($A201="","",IF($S201="","",IFERROR(INDEX(Lists!$N$5:$N$16,MATCH($S201,Lists!$M$5:$M$16,0)),"?")))</f>
        <v/>
      </c>
      <c r="U201" s="38"/>
      <c r="V201" s="40"/>
      <c r="W201" s="38"/>
      <c r="X201" s="40"/>
      <c r="Y201" s="38"/>
      <c r="Z201" s="38"/>
      <c r="AA201" s="40"/>
      <c r="AB201" s="43"/>
      <c r="AC201" s="45"/>
      <c r="AD201" s="46" t="str">
        <f aca="false">IF(ISNUMBER($AB201),$AB201*(1+N($AC201)),"")</f>
        <v/>
      </c>
      <c r="AE201" s="43"/>
      <c r="AF201" s="43"/>
      <c r="AG201" s="45"/>
      <c r="AH201" s="47" t="str">
        <f aca="false">IF(ISNUMBER($AD201),($AD201+$AE201+$AF201)*$AG201,"")</f>
        <v/>
      </c>
      <c r="AI201" s="43"/>
      <c r="AJ201" s="46" t="str">
        <f aca="false">IF(ISNUMBER($AD201),SUM($AD201:$AH201),"")</f>
        <v/>
      </c>
      <c r="AK201" s="48" t="str">
        <f aca="false">IF(AND(ISNUMBER($AB201),ISNUMBER($AD201)),IF($AB201&gt;0,$AD201/$AB201,""),"")</f>
        <v/>
      </c>
      <c r="AL201" s="40"/>
      <c r="AM201" s="49" t="str">
        <f aca="false">IF(ISNUMBER($AD201),Header!$I$3,"")</f>
        <v/>
      </c>
      <c r="AN201" s="47" t="str">
        <f aca="false">IF(ISNUMBER($AD201),$AO201+$AP201,"")</f>
        <v/>
      </c>
      <c r="AO201" s="47" t="str">
        <f aca="false">IF(ISNUMBER($AD201),ROUND($AD201*Header!$K$3,2),"")</f>
        <v/>
      </c>
      <c r="AP201" s="47" t="str">
        <f aca="false">IF(ISNUMBER($AD201),ROUND($AD201*Header!$M$3,2),"")</f>
        <v/>
      </c>
      <c r="AQ201" s="46" t="str">
        <f aca="false">IF(ISNUMBER($AD201),ROUND($AD201,2)-$AO201-$AP201,"")</f>
        <v/>
      </c>
      <c r="AR201" s="47" t="str">
        <f aca="false">IF(ISNUMBER($AD201),IF(Header!$D$34="","?",$AD201*Header!$D$34),"")</f>
        <v/>
      </c>
      <c r="AS201" s="47" t="str">
        <f aca="false">IF(ISNUMBER($AB201),IF(Header!$D$34="","?",$AB201*Header!$D$34),"")</f>
        <v/>
      </c>
      <c r="AT201" s="50" t="str">
        <f aca="false">IF(AND(ISNUMBER($AB201),$M201&gt;0),$AB201/$M201*100,"")</f>
        <v/>
      </c>
      <c r="AU201" s="50" t="str">
        <f aca="false">IF(AND(ISNUMBER($AD201),$M201&gt;0),$AD201/$M201*100,"")</f>
        <v/>
      </c>
      <c r="AV201" s="48" t="str">
        <f aca="false">IF(AND(ISNUMBER($AB201),ISNUMBER($AD201),ABS($AB201)&gt;0),$AD201/$AB201,"")</f>
        <v/>
      </c>
      <c r="AW201" s="47" t="str">
        <f aca="false">IF(ISNUMBER($AD201),MAX(0,(1-0.55-Header!$O$3)*Header!$Q$3*$AQ201),"")</f>
        <v/>
      </c>
      <c r="AX201" s="51" t="str">
        <f aca="false">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v/>
      </c>
      <c r="AY201" s="52" t="str">
        <f aca="false">IF($M201="","",IF(ISNUMBER($M201),IF($M201&gt;=Header!$C$18,"YES — refer","No"),""))</f>
        <v/>
      </c>
      <c r="AZ201" s="52" t="str">
        <f aca="false">IF($AD201="","",IF(ISNUMBER($AD201),IF($AD201&lt;Header!$C$20,"BELOW MIN PREMIUM","OK"),""))</f>
        <v/>
      </c>
      <c r="BA201" s="40"/>
      <c r="BB201" s="40"/>
      <c r="BC201" s="38"/>
      <c r="BE201" s="53" t="str">
        <f aca="false">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v/>
      </c>
      <c r="BF201" s="53" t="str">
        <f aca="false">IF($AD201="","",IF(ROUND($AO201+$AP201+$AQ201-$AD201,2)=0,"OK","FAIL - out by "&amp;TEXT($AO201+$AP201+$AQ201-$AD201,"$0.00")))</f>
        <v/>
      </c>
    </row>
    <row r="202" customFormat="false" ht="15" hidden="false" customHeight="true" outlineLevel="0" collapsed="false">
      <c r="A202" s="54"/>
      <c r="B202" s="54"/>
      <c r="C202" s="55"/>
      <c r="D202" s="56"/>
      <c r="E202" s="56"/>
      <c r="F202" s="54"/>
      <c r="G202" s="41" t="str">
        <f aca="false">IF($A202="","",IF($C202="","",YEAR($C202)))</f>
        <v/>
      </c>
      <c r="H202" s="57"/>
      <c r="I202" s="54"/>
      <c r="J202" s="54"/>
      <c r="K202" s="54"/>
      <c r="L202" s="56"/>
      <c r="M202" s="58"/>
      <c r="N202" s="56"/>
      <c r="O202" s="54"/>
      <c r="P202" s="54"/>
      <c r="Q202" s="54"/>
      <c r="R202" s="54"/>
      <c r="S202" s="56"/>
      <c r="T202" s="44" t="str">
        <f aca="false">IF($A202="","",IF($S202="","",IFERROR(INDEX(Lists!$N$5:$N$16,MATCH($S202,Lists!$M$5:$M$16,0)),"?")))</f>
        <v/>
      </c>
      <c r="U202" s="54"/>
      <c r="V202" s="56"/>
      <c r="W202" s="54"/>
      <c r="X202" s="56"/>
      <c r="Y202" s="54"/>
      <c r="Z202" s="54"/>
      <c r="AA202" s="56"/>
      <c r="AB202" s="58"/>
      <c r="AC202" s="59"/>
      <c r="AD202" s="46" t="str">
        <f aca="false">IF(ISNUMBER($AB202),$AB202*(1+N($AC202)),"")</f>
        <v/>
      </c>
      <c r="AE202" s="58"/>
      <c r="AF202" s="58"/>
      <c r="AG202" s="59"/>
      <c r="AH202" s="47" t="str">
        <f aca="false">IF(ISNUMBER($AD202),($AD202+$AE202+$AF202)*$AG202,"")</f>
        <v/>
      </c>
      <c r="AI202" s="58"/>
      <c r="AJ202" s="46" t="str">
        <f aca="false">IF(ISNUMBER($AD202),SUM($AD202:$AH202),"")</f>
        <v/>
      </c>
      <c r="AK202" s="48" t="str">
        <f aca="false">IF(AND(ISNUMBER($AB202),ISNUMBER($AD202)),IF($AB202&gt;0,$AD202/$AB202,""),"")</f>
        <v/>
      </c>
      <c r="AL202" s="56"/>
      <c r="AM202" s="49" t="str">
        <f aca="false">IF(ISNUMBER($AD202),Header!$I$3,"")</f>
        <v/>
      </c>
      <c r="AN202" s="47" t="str">
        <f aca="false">IF(ISNUMBER($AD202),$AO202+$AP202,"")</f>
        <v/>
      </c>
      <c r="AO202" s="47" t="str">
        <f aca="false">IF(ISNUMBER($AD202),ROUND($AD202*Header!$K$3,2),"")</f>
        <v/>
      </c>
      <c r="AP202" s="47" t="str">
        <f aca="false">IF(ISNUMBER($AD202),ROUND($AD202*Header!$M$3,2),"")</f>
        <v/>
      </c>
      <c r="AQ202" s="46" t="str">
        <f aca="false">IF(ISNUMBER($AD202),ROUND($AD202,2)-$AO202-$AP202,"")</f>
        <v/>
      </c>
      <c r="AR202" s="47" t="str">
        <f aca="false">IF(ISNUMBER($AD202),IF(Header!$D$34="","?",$AD202*Header!$D$34),"")</f>
        <v/>
      </c>
      <c r="AS202" s="47" t="str">
        <f aca="false">IF(ISNUMBER($AB202),IF(Header!$D$34="","?",$AB202*Header!$D$34),"")</f>
        <v/>
      </c>
      <c r="AT202" s="50" t="str">
        <f aca="false">IF(AND(ISNUMBER($AB202),$M202&gt;0),$AB202/$M202*100,"")</f>
        <v/>
      </c>
      <c r="AU202" s="50" t="str">
        <f aca="false">IF(AND(ISNUMBER($AD202),$M202&gt;0),$AD202/$M202*100,"")</f>
        <v/>
      </c>
      <c r="AV202" s="48" t="str">
        <f aca="false">IF(AND(ISNUMBER($AB202),ISNUMBER($AD202),ABS($AB202)&gt;0),$AD202/$AB202,"")</f>
        <v/>
      </c>
      <c r="AW202" s="47" t="str">
        <f aca="false">IF(ISNUMBER($AD202),MAX(0,(1-0.55-Header!$O$3)*Header!$Q$3*$AQ202),"")</f>
        <v/>
      </c>
      <c r="AX202" s="51" t="str">
        <f aca="false">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v/>
      </c>
      <c r="AY202" s="52" t="str">
        <f aca="false">IF($M202="","",IF(ISNUMBER($M202),IF($M202&gt;=Header!$C$18,"YES — refer","No"),""))</f>
        <v/>
      </c>
      <c r="AZ202" s="52" t="str">
        <f aca="false">IF($AD202="","",IF(ISNUMBER($AD202),IF($AD202&lt;Header!$C$20,"BELOW MIN PREMIUM","OK"),""))</f>
        <v/>
      </c>
      <c r="BA202" s="56"/>
      <c r="BB202" s="56"/>
      <c r="BC202" s="54"/>
      <c r="BE202" s="53" t="str">
        <f aca="false">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v/>
      </c>
      <c r="BF202" s="53" t="str">
        <f aca="false">IF($AD202="","",IF(ROUND($AO202+$AP202+$AQ202-$AD202,2)=0,"OK","FAIL - out by "&amp;TEXT($AO202+$AP202+$AQ202-$AD202,"$0.00")))</f>
        <v/>
      </c>
    </row>
    <row r="203" customFormat="false" ht="15" hidden="false" customHeight="true" outlineLevel="0" collapsed="false">
      <c r="A203" s="38"/>
      <c r="B203" s="38"/>
      <c r="C203" s="39"/>
      <c r="D203" s="40"/>
      <c r="E203" s="40"/>
      <c r="F203" s="38"/>
      <c r="G203" s="41" t="str">
        <f aca="false">IF($A203="","",IF($C203="","",YEAR($C203)))</f>
        <v/>
      </c>
      <c r="H203" s="42"/>
      <c r="I203" s="38"/>
      <c r="J203" s="38"/>
      <c r="K203" s="38"/>
      <c r="L203" s="40"/>
      <c r="M203" s="43"/>
      <c r="N203" s="40"/>
      <c r="O203" s="38"/>
      <c r="P203" s="38"/>
      <c r="Q203" s="38"/>
      <c r="R203" s="38"/>
      <c r="S203" s="40"/>
      <c r="T203" s="44" t="str">
        <f aca="false">IF($A203="","",IF($S203="","",IFERROR(INDEX(Lists!$N$5:$N$16,MATCH($S203,Lists!$M$5:$M$16,0)),"?")))</f>
        <v/>
      </c>
      <c r="U203" s="38"/>
      <c r="V203" s="40"/>
      <c r="W203" s="38"/>
      <c r="X203" s="40"/>
      <c r="Y203" s="38"/>
      <c r="Z203" s="38"/>
      <c r="AA203" s="40"/>
      <c r="AB203" s="43"/>
      <c r="AC203" s="45"/>
      <c r="AD203" s="46" t="str">
        <f aca="false">IF(ISNUMBER($AB203),$AB203*(1+N($AC203)),"")</f>
        <v/>
      </c>
      <c r="AE203" s="43"/>
      <c r="AF203" s="43"/>
      <c r="AG203" s="45"/>
      <c r="AH203" s="47" t="str">
        <f aca="false">IF(ISNUMBER($AD203),($AD203+$AE203+$AF203)*$AG203,"")</f>
        <v/>
      </c>
      <c r="AI203" s="43"/>
      <c r="AJ203" s="46" t="str">
        <f aca="false">IF(ISNUMBER($AD203),SUM($AD203:$AH203),"")</f>
        <v/>
      </c>
      <c r="AK203" s="48" t="str">
        <f aca="false">IF(AND(ISNUMBER($AB203),ISNUMBER($AD203)),IF($AB203&gt;0,$AD203/$AB203,""),"")</f>
        <v/>
      </c>
      <c r="AL203" s="40"/>
      <c r="AM203" s="49" t="str">
        <f aca="false">IF(ISNUMBER($AD203),Header!$I$3,"")</f>
        <v/>
      </c>
      <c r="AN203" s="47" t="str">
        <f aca="false">IF(ISNUMBER($AD203),$AO203+$AP203,"")</f>
        <v/>
      </c>
      <c r="AO203" s="47" t="str">
        <f aca="false">IF(ISNUMBER($AD203),ROUND($AD203*Header!$K$3,2),"")</f>
        <v/>
      </c>
      <c r="AP203" s="47" t="str">
        <f aca="false">IF(ISNUMBER($AD203),ROUND($AD203*Header!$M$3,2),"")</f>
        <v/>
      </c>
      <c r="AQ203" s="46" t="str">
        <f aca="false">IF(ISNUMBER($AD203),ROUND($AD203,2)-$AO203-$AP203,"")</f>
        <v/>
      </c>
      <c r="AR203" s="47" t="str">
        <f aca="false">IF(ISNUMBER($AD203),IF(Header!$D$34="","?",$AD203*Header!$D$34),"")</f>
        <v/>
      </c>
      <c r="AS203" s="47" t="str">
        <f aca="false">IF(ISNUMBER($AB203),IF(Header!$D$34="","?",$AB203*Header!$D$34),"")</f>
        <v/>
      </c>
      <c r="AT203" s="50" t="str">
        <f aca="false">IF(AND(ISNUMBER($AB203),$M203&gt;0),$AB203/$M203*100,"")</f>
        <v/>
      </c>
      <c r="AU203" s="50" t="str">
        <f aca="false">IF(AND(ISNUMBER($AD203),$M203&gt;0),$AD203/$M203*100,"")</f>
        <v/>
      </c>
      <c r="AV203" s="48" t="str">
        <f aca="false">IF(AND(ISNUMBER($AB203),ISNUMBER($AD203),ABS($AB203)&gt;0),$AD203/$AB203,"")</f>
        <v/>
      </c>
      <c r="AW203" s="47" t="str">
        <f aca="false">IF(ISNUMBER($AD203),MAX(0,(1-0.55-Header!$O$3)*Header!$Q$3*$AQ203),"")</f>
        <v/>
      </c>
      <c r="AX203" s="51" t="str">
        <f aca="false">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v/>
      </c>
      <c r="AY203" s="52" t="str">
        <f aca="false">IF($M203="","",IF(ISNUMBER($M203),IF($M203&gt;=Header!$C$18,"YES — refer","No"),""))</f>
        <v/>
      </c>
      <c r="AZ203" s="52" t="str">
        <f aca="false">IF($AD203="","",IF(ISNUMBER($AD203),IF($AD203&lt;Header!$C$20,"BELOW MIN PREMIUM","OK"),""))</f>
        <v/>
      </c>
      <c r="BA203" s="40"/>
      <c r="BB203" s="40"/>
      <c r="BC203" s="38"/>
      <c r="BE203" s="53" t="str">
        <f aca="false">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v/>
      </c>
      <c r="BF203" s="53" t="str">
        <f aca="false">IF($AD203="","",IF(ROUND($AO203+$AP203+$AQ203-$AD203,2)=0,"OK","FAIL - out by "&amp;TEXT($AO203+$AP203+$AQ203-$AD203,"$0.00")))</f>
        <v/>
      </c>
    </row>
    <row r="204" customFormat="false" ht="15" hidden="false" customHeight="true" outlineLevel="0" collapsed="false">
      <c r="A204" s="54"/>
      <c r="B204" s="54"/>
      <c r="C204" s="55"/>
      <c r="D204" s="56"/>
      <c r="E204" s="56"/>
      <c r="F204" s="54"/>
      <c r="G204" s="41" t="str">
        <f aca="false">IF($A204="","",IF($C204="","",YEAR($C204)))</f>
        <v/>
      </c>
      <c r="H204" s="57"/>
      <c r="I204" s="54"/>
      <c r="J204" s="54"/>
      <c r="K204" s="54"/>
      <c r="L204" s="56"/>
      <c r="M204" s="58"/>
      <c r="N204" s="56"/>
      <c r="O204" s="54"/>
      <c r="P204" s="54"/>
      <c r="Q204" s="54"/>
      <c r="R204" s="54"/>
      <c r="S204" s="56"/>
      <c r="T204" s="44" t="str">
        <f aca="false">IF($A204="","",IF($S204="","",IFERROR(INDEX(Lists!$N$5:$N$16,MATCH($S204,Lists!$M$5:$M$16,0)),"?")))</f>
        <v/>
      </c>
      <c r="U204" s="54"/>
      <c r="V204" s="56"/>
      <c r="W204" s="54"/>
      <c r="X204" s="56"/>
      <c r="Y204" s="54"/>
      <c r="Z204" s="54"/>
      <c r="AA204" s="56"/>
      <c r="AB204" s="58"/>
      <c r="AC204" s="59"/>
      <c r="AD204" s="46" t="str">
        <f aca="false">IF(ISNUMBER($AB204),$AB204*(1+N($AC204)),"")</f>
        <v/>
      </c>
      <c r="AE204" s="58"/>
      <c r="AF204" s="58"/>
      <c r="AG204" s="59"/>
      <c r="AH204" s="47" t="str">
        <f aca="false">IF(ISNUMBER($AD204),($AD204+$AE204+$AF204)*$AG204,"")</f>
        <v/>
      </c>
      <c r="AI204" s="58"/>
      <c r="AJ204" s="46" t="str">
        <f aca="false">IF(ISNUMBER($AD204),SUM($AD204:$AH204),"")</f>
        <v/>
      </c>
      <c r="AK204" s="48" t="str">
        <f aca="false">IF(AND(ISNUMBER($AB204),ISNUMBER($AD204)),IF($AB204&gt;0,$AD204/$AB204,""),"")</f>
        <v/>
      </c>
      <c r="AL204" s="56"/>
      <c r="AM204" s="49" t="str">
        <f aca="false">IF(ISNUMBER($AD204),Header!$I$3,"")</f>
        <v/>
      </c>
      <c r="AN204" s="47" t="str">
        <f aca="false">IF(ISNUMBER($AD204),$AO204+$AP204,"")</f>
        <v/>
      </c>
      <c r="AO204" s="47" t="str">
        <f aca="false">IF(ISNUMBER($AD204),ROUND($AD204*Header!$K$3,2),"")</f>
        <v/>
      </c>
      <c r="AP204" s="47" t="str">
        <f aca="false">IF(ISNUMBER($AD204),ROUND($AD204*Header!$M$3,2),"")</f>
        <v/>
      </c>
      <c r="AQ204" s="46" t="str">
        <f aca="false">IF(ISNUMBER($AD204),ROUND($AD204,2)-$AO204-$AP204,"")</f>
        <v/>
      </c>
      <c r="AR204" s="47" t="str">
        <f aca="false">IF(ISNUMBER($AD204),IF(Header!$D$34="","?",$AD204*Header!$D$34),"")</f>
        <v/>
      </c>
      <c r="AS204" s="47" t="str">
        <f aca="false">IF(ISNUMBER($AB204),IF(Header!$D$34="","?",$AB204*Header!$D$34),"")</f>
        <v/>
      </c>
      <c r="AT204" s="50" t="str">
        <f aca="false">IF(AND(ISNUMBER($AB204),$M204&gt;0),$AB204/$M204*100,"")</f>
        <v/>
      </c>
      <c r="AU204" s="50" t="str">
        <f aca="false">IF(AND(ISNUMBER($AD204),$M204&gt;0),$AD204/$M204*100,"")</f>
        <v/>
      </c>
      <c r="AV204" s="48" t="str">
        <f aca="false">IF(AND(ISNUMBER($AB204),ISNUMBER($AD204),ABS($AB204)&gt;0),$AD204/$AB204,"")</f>
        <v/>
      </c>
      <c r="AW204" s="47" t="str">
        <f aca="false">IF(ISNUMBER($AD204),MAX(0,(1-0.55-Header!$O$3)*Header!$Q$3*$AQ204),"")</f>
        <v/>
      </c>
      <c r="AX204" s="51" t="str">
        <f aca="false">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v/>
      </c>
      <c r="AY204" s="52" t="str">
        <f aca="false">IF($M204="","",IF(ISNUMBER($M204),IF($M204&gt;=Header!$C$18,"YES — refer","No"),""))</f>
        <v/>
      </c>
      <c r="AZ204" s="52" t="str">
        <f aca="false">IF($AD204="","",IF(ISNUMBER($AD204),IF($AD204&lt;Header!$C$20,"BELOW MIN PREMIUM","OK"),""))</f>
        <v/>
      </c>
      <c r="BA204" s="56"/>
      <c r="BB204" s="56"/>
      <c r="BC204" s="54"/>
      <c r="BE204" s="53" t="str">
        <f aca="false">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v/>
      </c>
      <c r="BF204" s="53" t="str">
        <f aca="false">IF($AD204="","",IF(ROUND($AO204+$AP204+$AQ204-$AD204,2)=0,"OK","FAIL - out by "&amp;TEXT($AO204+$AP204+$AQ204-$AD204,"$0.00")))</f>
        <v/>
      </c>
    </row>
  </sheetData>
  <mergeCells count="10">
    <mergeCell ref="A1:AS1"/>
    <mergeCell ref="A2:AS2"/>
    <mergeCell ref="A3:G3"/>
    <mergeCell ref="H3:Q3"/>
    <mergeCell ref="R3:V3"/>
    <mergeCell ref="W3:AB3"/>
    <mergeCell ref="AC3:AN3"/>
    <mergeCell ref="AO3:AS3"/>
    <mergeCell ref="AT3:AY3"/>
    <mergeCell ref="AZ3:B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8"/>
    <col collapsed="false" customWidth="true" hidden="false" outlineLevel="0" max="6" min="5" style="0" width="16"/>
    <col collapsed="false" customWidth="true" hidden="false" outlineLevel="0" max="7" min="7" style="0" width="62"/>
  </cols>
  <sheetData>
    <row r="1" customFormat="false" ht="25.5" hidden="false" customHeight="true" outlineLevel="0" collapsed="false">
      <c r="A1" s="1" t="s">
        <v>203</v>
      </c>
      <c r="B1" s="1"/>
      <c r="C1" s="1"/>
      <c r="D1" s="1"/>
      <c r="E1" s="1"/>
      <c r="F1" s="1"/>
      <c r="G1" s="1"/>
    </row>
    <row r="2" customFormat="false" ht="15" hidden="false" customHeight="true" outlineLevel="0" collapsed="false">
      <c r="A2" s="2" t="s">
        <v>204</v>
      </c>
      <c r="B2" s="2"/>
      <c r="C2" s="2"/>
      <c r="D2" s="2"/>
      <c r="E2" s="2"/>
      <c r="F2" s="2"/>
      <c r="G2" s="2"/>
    </row>
    <row r="4" customFormat="false" ht="18" hidden="false" customHeight="true" outlineLevel="0" collapsed="false">
      <c r="B4" s="3" t="s">
        <v>205</v>
      </c>
      <c r="C4" s="3"/>
      <c r="D4" s="3"/>
      <c r="E4" s="3"/>
      <c r="F4" s="3"/>
      <c r="G4" s="3"/>
    </row>
    <row r="5" customFormat="false" ht="15" hidden="false" customHeight="true" outlineLevel="0" collapsed="false">
      <c r="B5" s="31" t="s">
        <v>206</v>
      </c>
      <c r="C5" s="27" t="n">
        <f aca="false">SUMIF('UW Bordereaux'!$D$5:$D$204,"Bound*",'UW Bordereaux'!$AD$5:$AD$204)</f>
        <v>31022.99</v>
      </c>
    </row>
    <row r="6" customFormat="false" ht="15" hidden="false" customHeight="true" outlineLevel="0" collapsed="false">
      <c r="B6" s="29" t="s">
        <v>207</v>
      </c>
      <c r="C6" s="60" t="n">
        <f aca="false">-SUMIF('UW Bordereaux'!$D$5:$D$204,"Bound*",'UW Bordereaux'!$AN$5:$AN$204)</f>
        <v>-7755.74</v>
      </c>
    </row>
    <row r="7" customFormat="false" ht="15" hidden="false" customHeight="true" outlineLevel="0" collapsed="false">
      <c r="B7" s="31" t="s">
        <v>208</v>
      </c>
      <c r="C7" s="27" t="n">
        <f aca="false">SUMIF('UW Bordereaux'!$D$5:$D$204,"Bound*",'UW Bordereaux'!$AQ$5:$AQ$204)</f>
        <v>23267.25</v>
      </c>
    </row>
    <row r="8" customFormat="false" ht="15" hidden="false" customHeight="true" outlineLevel="0" collapsed="false">
      <c r="B8" s="29" t="s">
        <v>209</v>
      </c>
      <c r="C8" s="60" t="n">
        <f aca="false">C5+C6-C7</f>
        <v>0</v>
      </c>
    </row>
    <row r="9" customFormat="false" ht="15" hidden="false" customHeight="true" outlineLevel="0" collapsed="false">
      <c r="B9" s="29" t="s">
        <v>210</v>
      </c>
      <c r="C9" s="60" t="n">
        <f aca="false">C8</f>
        <v>0</v>
      </c>
      <c r="D9" s="61" t="str">
        <f aca="false">IF(ABS(C9)&lt;1,"AGREES","INVESTIGATE — variance exceeds $1")</f>
        <v>AGREES</v>
      </c>
    </row>
    <row r="10" customFormat="false" ht="15" hidden="false" customHeight="true" outlineLevel="0" collapsed="false">
      <c r="B10" s="29" t="s">
        <v>102</v>
      </c>
      <c r="C10" s="60" t="n">
        <f aca="false">SUMIF('UW Bordereaux'!$D$5:$D$204,"Bound*",'UW Bordereaux'!$AE$5:$AE$204)</f>
        <v>250</v>
      </c>
    </row>
    <row r="11" customFormat="false" ht="15" hidden="false" customHeight="true" outlineLevel="0" collapsed="false">
      <c r="B11" s="29" t="s">
        <v>103</v>
      </c>
      <c r="C11" s="60" t="n">
        <f aca="false">SUMIF('UW Bordereaux'!$D$5:$D$204,"Bound*",'UW Bordereaux'!$AH$5:$AH$204)</f>
        <v>1571.1495</v>
      </c>
    </row>
    <row r="12" customFormat="false" ht="15" hidden="false" customHeight="true" outlineLevel="0" collapsed="false">
      <c r="B12" s="31" t="s">
        <v>211</v>
      </c>
      <c r="C12" s="27" t="n">
        <f aca="false">SUMIF('UW Bordereaux'!$D$5:$D$204,"Bound*",'UW Bordereaux'!$AI$5:$AI$204)</f>
        <v>0</v>
      </c>
    </row>
    <row r="13" customFormat="false" ht="15" hidden="false" customHeight="true" outlineLevel="0" collapsed="false">
      <c r="B13" s="29" t="s">
        <v>212</v>
      </c>
      <c r="C13" s="60" t="n">
        <f aca="false">C5+C10+C11</f>
        <v>32844.1395</v>
      </c>
    </row>
    <row r="14" customFormat="false" ht="15" hidden="false" customHeight="true" outlineLevel="0" collapsed="false">
      <c r="B14" s="29" t="s">
        <v>210</v>
      </c>
      <c r="C14" s="62" t="n">
        <f aca="false">C12-C13</f>
        <v>-32844.1395</v>
      </c>
      <c r="D14" s="61" t="str">
        <f aca="false">IF(ABS(C14)&lt;1,"AGREES","INVESTIGATE — variance exceeds $1")</f>
        <v>INVESTIGATE — variance exceeds $1</v>
      </c>
    </row>
    <row r="15" customFormat="false" ht="15" hidden="false" customHeight="true" outlineLevel="0" collapsed="false">
      <c r="B15" s="29" t="s">
        <v>213</v>
      </c>
      <c r="C15" s="60" t="n">
        <f aca="false">SUMIF('UW Bordereaux'!$D$5:$D$204,"Bound*",'UW Bordereaux'!$AD$5:$AD$204)*Header!$D$24</f>
        <v>3102.299</v>
      </c>
    </row>
    <row r="16" customFormat="false" ht="15" hidden="false" customHeight="true" outlineLevel="0" collapsed="false">
      <c r="B16" s="29" t="s">
        <v>214</v>
      </c>
      <c r="C16" s="60" t="n">
        <f aca="false">SUMIF('UW Bordereaux'!$D$5:$D$204,"Bound*",'UW Bordereaux'!$AD$5:$AD$204)*Header!$D$34</f>
        <v>31022.99</v>
      </c>
    </row>
    <row r="18" customFormat="false" ht="18" hidden="false" customHeight="true" outlineLevel="0" collapsed="false">
      <c r="B18" s="3" t="s">
        <v>215</v>
      </c>
      <c r="C18" s="3"/>
      <c r="D18" s="3"/>
      <c r="E18" s="3"/>
      <c r="F18" s="3"/>
      <c r="G18" s="3"/>
    </row>
    <row r="19" customFormat="false" ht="27.75" hidden="false" customHeight="true" outlineLevel="0" collapsed="false">
      <c r="B19" s="17" t="s">
        <v>216</v>
      </c>
      <c r="C19" s="17" t="s">
        <v>217</v>
      </c>
      <c r="D19" s="17" t="s">
        <v>172</v>
      </c>
    </row>
    <row r="20" customFormat="false" ht="25.5" hidden="false" customHeight="true" outlineLevel="0" collapsed="false">
      <c r="B20" s="63" t="s">
        <v>218</v>
      </c>
      <c r="C20" s="64" t="str">
        <f aca="false">IF(COUNTIFS('UW Bordereaux'!$D$5:$D$204,"Bound*",'UW Bordereaux'!$A$5:$A$204,"")=0,"PASS","FAIL — "&amp;COUNTIFS('UW Bordereaux'!$D$5:$D$204,"Bound*",'UW Bordereaux'!$A$5:$A$204,"")&amp;" bound risks missing certificate")</f>
        <v>PASS</v>
      </c>
      <c r="D20" s="64"/>
      <c r="E20" s="64"/>
      <c r="F20" s="65"/>
      <c r="G20" s="65"/>
    </row>
    <row r="21" customFormat="false" ht="25.5" hidden="false" customHeight="true" outlineLevel="0" collapsed="false">
      <c r="B21" s="66" t="s">
        <v>219</v>
      </c>
      <c r="C21" s="67" t="str">
        <f aca="false">IF(SUMPRODUCT((LEN('UW Bordereaux'!$A$5:$A$204)&gt;0)*(LEN('UW Bordereaux'!$D$5:$D$204)=0))=0,"PASS","FAIL — "&amp;SUMPRODUCT((LEN('UW Bordereaux'!$A$5:$A$204)&gt;0)*(LEN('UW Bordereaux'!$D$5:$D$204)=0))&amp;" rows missing status")</f>
        <v>PASS</v>
      </c>
      <c r="D21" s="67"/>
      <c r="E21" s="67"/>
      <c r="F21" s="68"/>
      <c r="G21" s="68"/>
    </row>
    <row r="22" customFormat="false" ht="25.5" hidden="false" customHeight="true" outlineLevel="0" collapsed="false">
      <c r="B22" s="63" t="s">
        <v>220</v>
      </c>
      <c r="C22" s="64" t="str">
        <f aca="false">IF(COUNTIFS('UW Bordereaux'!$D$5:$D$204,"Bound*",'UW Bordereaux'!$C$5:$C$204,"")=0,"PASS","FAIL — "&amp;COUNTIFS('UW Bordereaux'!$D$5:$D$204,"Bound*",'UW Bordereaux'!$C$5:$C$204,"")&amp;" bound risks missing effective date")</f>
        <v>PASS</v>
      </c>
      <c r="D22" s="64"/>
      <c r="E22" s="64"/>
      <c r="F22" s="65"/>
      <c r="G22" s="65"/>
    </row>
    <row r="23" customFormat="false" ht="25.5" hidden="false" customHeight="true" outlineLevel="0" collapsed="false">
      <c r="B23" s="66" t="s">
        <v>221</v>
      </c>
      <c r="C23" s="67" t="str">
        <f aca="false">IF(COUNTIFS('UW Bordereaux'!$D$5:$D$204,"Bound*",'UW Bordereaux'!$AB$5:$AB$204,"")=0,"PASS","FAIL — "&amp;COUNTIFS('UW Bordereaux'!$D$5:$D$204,"Bound*",'UW Bordereaux'!$AB$5:$AB$204,"")&amp;" bound risks missing technical premium")</f>
        <v>PASS</v>
      </c>
      <c r="D23" s="67"/>
      <c r="E23" s="67"/>
      <c r="F23" s="68"/>
      <c r="G23" s="68"/>
    </row>
    <row r="24" customFormat="false" ht="25.5" hidden="false" customHeight="true" outlineLevel="0" collapsed="false">
      <c r="B24" s="63" t="s">
        <v>222</v>
      </c>
      <c r="C24" s="64" t="str">
        <f aca="false">IF(COUNTIFS('UW Bordereaux'!$D$5:$D$204,"Bound*",'UW Bordereaux'!$AF$5:$AF$204,"")=0,"PASS","FAIL — "&amp;COUNTIFS('UW Bordereaux'!$D$5:$D$204,"Bound*",'UW Bordereaux'!$AF$5:$AF$204,"")&amp;" bound risks missing SL tax rate")</f>
        <v>PASS</v>
      </c>
      <c r="D24" s="64"/>
      <c r="E24" s="64"/>
      <c r="F24" s="65" t="s">
        <v>223</v>
      </c>
      <c r="G24" s="65"/>
    </row>
    <row r="25" customFormat="false" ht="25.5" hidden="false" customHeight="true" outlineLevel="0" collapsed="false">
      <c r="B25" s="66" t="s">
        <v>224</v>
      </c>
      <c r="C25" s="67" t="str">
        <f aca="false">IF(SUMPRODUCT(('UW Bordereaux'!$M$5:$M$204&lt;0)*('UW Bordereaux'!$A$5:$A$204&lt;&gt;""))=0,"PASS","FAIL — negative agreed value detected")</f>
        <v>PASS</v>
      </c>
      <c r="D25" s="67"/>
      <c r="E25" s="67"/>
      <c r="F25" s="68"/>
      <c r="G25" s="68"/>
    </row>
    <row r="26" customFormat="false" ht="25.5" hidden="false" customHeight="true" outlineLevel="0" collapsed="false">
      <c r="B26" s="63" t="s">
        <v>225</v>
      </c>
      <c r="C26" s="64" t="str">
        <f aca="false">IF(SUMPRODUCT(('UW Bordereaux'!$M$5:$M$204&lt;100000)*('UW Bordereaux'!$M$5:$M$204&gt;0)*('UW Bordereaux'!$A$5:$A$204&lt;&gt;""))=0,"PASS","FAIL — "&amp;SUMPRODUCT(('UW Bordereaux'!$M$5:$M$204&lt;100000)*('UW Bordereaux'!$M$5:$M$204&gt;0)*('UW Bordereaux'!$A$5:$A$204&lt;&gt;""))&amp;" risks below $100,000 minimum")</f>
        <v>PASS</v>
      </c>
      <c r="D26" s="64"/>
      <c r="E26" s="64"/>
      <c r="F26" s="65"/>
      <c r="G26" s="65"/>
    </row>
    <row r="27" customFormat="false" ht="25.5" hidden="false" customHeight="true" outlineLevel="0" collapsed="false">
      <c r="B27" s="66" t="s">
        <v>226</v>
      </c>
      <c r="C27" s="67" t="str">
        <f aca="false">IF(ROUND(Header!$D$34,4)=1,"PASS","FAIL — panel signs "&amp;TEXT(Header!$D$34,"0.00%")&amp;", must equal 100%")</f>
        <v>PASS</v>
      </c>
      <c r="D27" s="67"/>
      <c r="E27" s="67"/>
      <c r="F27" s="68"/>
      <c r="G27" s="68"/>
    </row>
    <row r="28" customFormat="false" ht="25.5" hidden="false" customHeight="true" outlineLevel="0" collapsed="false">
      <c r="B28" s="63" t="s">
        <v>227</v>
      </c>
      <c r="C28" s="64" t="str">
        <f aca="false">IF(COUNTIFS('UW Bordereaux'!$AJ$5:$AJ$204,"&lt;0.85",'UW Bordereaux'!$D$5:$D$204,"Bound*")=0,"PASS","WARN — "&amp;COUNTIFS('UW Bordereaux'!$AJ$5:$AJ$204,"&lt;0.85",'UW Bordereaux'!$D$5:$D$204,"Bound*")&amp;" risks below 85% rate adequacy")</f>
        <v>PASS</v>
      </c>
      <c r="D28" s="64"/>
      <c r="E28" s="64"/>
      <c r="F28" s="65" t="s">
        <v>228</v>
      </c>
      <c r="G28" s="65"/>
    </row>
    <row r="29" customFormat="false" ht="25.5" hidden="false" customHeight="true" outlineLevel="0" collapsed="false">
      <c r="B29" s="66" t="s">
        <v>229</v>
      </c>
      <c r="C29" s="67" t="str">
        <f aca="false">COUNTIFS('UW Bordereaux'!$M$5:$M$204,"&gt;="&amp;Header!$C$18,'UW Bordereaux'!$D$5:$D$204,"Bound*")&amp;" risk(s) at or above $2m AV — confirm individual referral is on file"</f>
        <v>0 risk(s) at or above $2m AV — confirm individual referral is on file</v>
      </c>
      <c r="D29" s="67"/>
      <c r="E29" s="67"/>
      <c r="F29" s="68"/>
      <c r="G29" s="68"/>
    </row>
    <row r="30" customFormat="false" ht="25.5" hidden="false" customHeight="true" outlineLevel="0" collapsed="false">
      <c r="B30" s="63" t="s">
        <v>230</v>
      </c>
      <c r="C30" s="64" t="str">
        <f aca="false">COUNTIF('UW Bordereaux'!$AK$5:$AK$204,"BEYOND AUTHORITY")&amp;" risk(s) — confirm approval is on file in the Referral Log"</f>
        <v>0 risk(s) — confirm approval is on file in the Referral Log</v>
      </c>
      <c r="D30" s="64"/>
      <c r="E30" s="64"/>
      <c r="F30" s="65"/>
      <c r="G30" s="65"/>
    </row>
    <row r="31" customFormat="false" ht="25.5" hidden="false" customHeight="true" outlineLevel="0" collapsed="false">
      <c r="B31" s="66" t="s">
        <v>231</v>
      </c>
      <c r="C31" s="67" t="str">
        <f aca="false">IF(COUNTIF('UW Bordereaux'!$AW$5:$AW$204,"FAIL*")=0,"PASS — all mandatory fields complete","FAIL — "&amp;COUNTIF('UW Bordereaux'!$AW$5:$AW$204,"FAIL*")&amp;" rows with missing mandatory fields")</f>
        <v>PASS — all mandatory fields complete</v>
      </c>
      <c r="D31" s="67"/>
      <c r="E31" s="67"/>
      <c r="F31" s="68" t="s">
        <v>232</v>
      </c>
      <c r="G31" s="68"/>
    </row>
    <row r="33" customFormat="false" ht="25.5" hidden="false" customHeight="true" outlineLevel="0" collapsed="false">
      <c r="B33" s="69" t="s">
        <v>233</v>
      </c>
      <c r="C33" s="64" t="str">
        <f aca="false">IF(COUNTIF('UW Bordereaux'!$BE$5:$BE$204,"FAIL*")=0,"PASS","FAIL - "&amp;COUNTIF('UW Bordereaux'!$BE$5:$BE$204,"FAIL*")&amp;" rows where vehicle year falls outside its class era")</f>
        <v>PASS</v>
      </c>
      <c r="D33" s="64"/>
      <c r="E33" s="64"/>
    </row>
    <row r="34" customFormat="false" ht="25.5" hidden="false" customHeight="true" outlineLevel="0" collapsed="false">
      <c r="B34" s="66" t="s">
        <v>234</v>
      </c>
      <c r="C34" s="67" t="str">
        <f aca="false">IF(COUNTIF('UW Bordereaux'!$BF$5:$BF$204,"FAIL*")=0,"PASS - all rows foot to the cent","FAIL - "&amp;COUNTIF('UW Bordereaux'!$BF$5:$BF$204,"FAIL*")&amp;" rows do not foot")</f>
        <v>PASS - all rows foot to the cent</v>
      </c>
      <c r="D34" s="67"/>
      <c r="E34" s="67"/>
    </row>
    <row r="35" customFormat="false" ht="25.5" hidden="false" customHeight="true" outlineLevel="0" collapsed="false">
      <c r="B35" s="63" t="s">
        <v>235</v>
      </c>
      <c r="C35" s="64" t="str">
        <f aca="false">IF(ROUND(Header!$K$3+Header!$M$3-Header!$I$3,6)=0,"PASS","FAIL - broker + Torque &lt;&gt; total ceding")</f>
        <v>PASS</v>
      </c>
      <c r="D35" s="64"/>
      <c r="E35" s="64"/>
    </row>
    <row r="36" customFormat="false" ht="25.5" hidden="false" customHeight="true" outlineLevel="0" collapsed="false">
      <c r="B36" s="66" t="s">
        <v>236</v>
      </c>
      <c r="C36" s="67" t="str">
        <f aca="false">IF(AND(ROUND(Header!$D$34,6)=1,COUNTIF(Header!$D$24:$D$33,0.1)=10),"PASS - 10 markets at 10% each","CHECK - lines are not 10 x 10%")</f>
        <v>PASS - 10 markets at 10% each</v>
      </c>
      <c r="D36" s="67"/>
      <c r="E36" s="67"/>
    </row>
    <row r="39" customFormat="false" ht="15" hidden="false" customHeight="false" outlineLevel="0" collapsed="false">
      <c r="B39" s="3" t="s">
        <v>237</v>
      </c>
      <c r="C39" s="3"/>
      <c r="D39" s="3"/>
      <c r="E39" s="3"/>
      <c r="F39" s="3"/>
      <c r="G39" s="3"/>
    </row>
    <row r="40" customFormat="false" ht="15" hidden="false" customHeight="false" outlineLevel="0" collapsed="false">
      <c r="B40" s="31" t="s">
        <v>238</v>
      </c>
      <c r="C40" s="70" t="n">
        <f aca="false">SUMIF('UW Bordereaux'!$D$5:$D$204,"Bound*",'UW Bordereaux'!$AD$5:$AD$204)</f>
        <v>31022.99</v>
      </c>
    </row>
    <row r="41" customFormat="false" ht="15" hidden="false" customHeight="false" outlineLevel="0" collapsed="false">
      <c r="B41" s="63" t="s">
        <v>239</v>
      </c>
      <c r="C41" s="71" t="n">
        <f aca="false">SUMIF('UW Bordereaux'!$D$5:$D$204,"Bound*",'UW Bordereaux'!$AO$5:$AO$204)</f>
        <v>3877.87</v>
      </c>
    </row>
    <row r="42" customFormat="false" ht="15" hidden="false" customHeight="false" outlineLevel="0" collapsed="false">
      <c r="B42" s="63" t="s">
        <v>240</v>
      </c>
      <c r="C42" s="71" t="n">
        <f aca="false">SUMIF('UW Bordereaux'!$D$5:$D$204,"Bound*",'UW Bordereaux'!$AP$5:$AP$204)</f>
        <v>3877.87</v>
      </c>
    </row>
    <row r="43" customFormat="false" ht="15" hidden="false" customHeight="false" outlineLevel="0" collapsed="false">
      <c r="B43" s="63" t="s">
        <v>241</v>
      </c>
      <c r="C43" s="71" t="n">
        <f aca="false">SUMIF('UW Bordereaux'!$D$5:$D$204,"Bound*",'UW Bordereaux'!$AQ$5:$AQ$204)</f>
        <v>23267.25</v>
      </c>
    </row>
    <row r="44" customFormat="false" ht="15" hidden="false" customHeight="false" outlineLevel="0" collapsed="false">
      <c r="B44" s="63" t="s">
        <v>242</v>
      </c>
      <c r="C44" s="71" t="n">
        <f aca="false">C41+C42+C43</f>
        <v>31022.99</v>
      </c>
    </row>
    <row r="45" customFormat="false" ht="15" hidden="false" customHeight="false" outlineLevel="0" collapsed="false">
      <c r="B45" s="31" t="s">
        <v>243</v>
      </c>
      <c r="C45" s="70" t="n">
        <f aca="false">C44-C40</f>
        <v>0</v>
      </c>
      <c r="D45" s="61" t="str">
        <f aca="false">IF(ABS(C45)&lt;0.005,"AGREES to the cent","INVESTIGATE - components do not foot")</f>
        <v>AGREES to the cent</v>
      </c>
    </row>
    <row r="46" customFormat="false" ht="15" hidden="false" customHeight="false" outlineLevel="0" collapsed="false">
      <c r="B46" s="63" t="s">
        <v>244</v>
      </c>
      <c r="C46" s="72" t="n">
        <f aca="false">IFERROR(C41/C40,0)</f>
        <v>0.124999879121903</v>
      </c>
    </row>
    <row r="47" customFormat="false" ht="15" hidden="false" customHeight="false" outlineLevel="0" collapsed="false">
      <c r="B47" s="63" t="s">
        <v>245</v>
      </c>
      <c r="C47" s="72" t="n">
        <f aca="false">IFERROR(C42/C40,0)</f>
        <v>0.124999879121903</v>
      </c>
    </row>
    <row r="48" customFormat="false" ht="15" hidden="false" customHeight="false" outlineLevel="0" collapsed="false">
      <c r="B48" s="63" t="s">
        <v>246</v>
      </c>
      <c r="C48" s="72" t="n">
        <f aca="false">IFERROR(C43/C40,0)</f>
        <v>0.750000241756194</v>
      </c>
    </row>
    <row r="49" customFormat="false" ht="15" hidden="false" customHeight="false" outlineLevel="0" collapsed="false">
      <c r="B49" s="63" t="s">
        <v>247</v>
      </c>
      <c r="C49" s="72" t="n">
        <f aca="false">IFERROR(C43/C40*0.1,0)</f>
        <v>0.0750000241756195</v>
      </c>
    </row>
    <row r="51" customFormat="false" ht="15" hidden="false" customHeight="true" outlineLevel="0" collapsed="false">
      <c r="B51" s="73" t="s">
        <v>248</v>
      </c>
      <c r="C51" s="73"/>
      <c r="D51" s="73"/>
      <c r="E51" s="73"/>
      <c r="F51" s="73"/>
      <c r="G51" s="73"/>
    </row>
    <row r="52" customFormat="false" ht="15" hidden="false" customHeight="false" outlineLevel="0" collapsed="false">
      <c r="B52" s="73"/>
      <c r="C52" s="73"/>
      <c r="D52" s="73"/>
      <c r="E52" s="73"/>
      <c r="F52" s="73"/>
      <c r="G52" s="73"/>
    </row>
    <row r="53" customFormat="false" ht="15" hidden="false" customHeight="false" outlineLevel="0" collapsed="false">
      <c r="B53" s="73"/>
      <c r="C53" s="73"/>
      <c r="D53" s="73"/>
      <c r="E53" s="73"/>
      <c r="F53" s="73"/>
      <c r="G53" s="73"/>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2"/>
    <col collapsed="false" customWidth="true" hidden="false" outlineLevel="0" max="5" min="4" style="0" width="20"/>
    <col collapsed="false" customWidth="true" hidden="false" outlineLevel="0" max="6" min="6" style="0" width="88"/>
  </cols>
  <sheetData>
    <row r="1" customFormat="false" ht="25.5" hidden="false" customHeight="true" outlineLevel="0" collapsed="false">
      <c r="A1" s="1" t="s">
        <v>249</v>
      </c>
      <c r="B1" s="1"/>
      <c r="C1" s="1"/>
      <c r="D1" s="1"/>
      <c r="E1" s="1"/>
      <c r="F1" s="1"/>
    </row>
    <row r="2" customFormat="false" ht="15" hidden="false" customHeight="true" outlineLevel="0" collapsed="false">
      <c r="A2" s="2" t="s">
        <v>250</v>
      </c>
      <c r="B2" s="2"/>
      <c r="C2" s="2"/>
      <c r="D2" s="2"/>
      <c r="E2" s="2"/>
      <c r="F2" s="2"/>
    </row>
    <row r="4" customFormat="false" ht="27.75" hidden="false" customHeight="true" outlineLevel="0" collapsed="false">
      <c r="B4" s="17" t="s">
        <v>251</v>
      </c>
      <c r="C4" s="17" t="s">
        <v>252</v>
      </c>
      <c r="D4" s="17" t="s">
        <v>253</v>
      </c>
      <c r="E4" s="17" t="s">
        <v>254</v>
      </c>
    </row>
    <row r="5" customFormat="false" ht="25.5" hidden="false" customHeight="true" outlineLevel="0" collapsed="false">
      <c r="B5" s="74" t="s">
        <v>255</v>
      </c>
      <c r="C5" s="75" t="s">
        <v>119</v>
      </c>
      <c r="D5" s="74" t="s">
        <v>256</v>
      </c>
      <c r="E5" s="76" t="s">
        <v>257</v>
      </c>
      <c r="F5" s="76"/>
    </row>
    <row r="6" customFormat="false" ht="25.5" hidden="false" customHeight="true" outlineLevel="0" collapsed="false">
      <c r="B6" s="77" t="s">
        <v>258</v>
      </c>
      <c r="C6" s="78" t="s">
        <v>120</v>
      </c>
      <c r="D6" s="77" t="s">
        <v>256</v>
      </c>
      <c r="E6" s="79"/>
      <c r="F6" s="79"/>
    </row>
    <row r="7" customFormat="false" ht="25.5" hidden="false" customHeight="true" outlineLevel="0" collapsed="false">
      <c r="B7" s="74" t="s">
        <v>259</v>
      </c>
      <c r="C7" s="75" t="s">
        <v>121</v>
      </c>
      <c r="D7" s="74" t="s">
        <v>260</v>
      </c>
      <c r="E7" s="76"/>
      <c r="F7" s="76"/>
    </row>
    <row r="8" customFormat="false" ht="25.5" hidden="false" customHeight="true" outlineLevel="0" collapsed="false">
      <c r="B8" s="77" t="s">
        <v>261</v>
      </c>
      <c r="C8" s="78" t="s">
        <v>122</v>
      </c>
      <c r="D8" s="77" t="s">
        <v>262</v>
      </c>
      <c r="E8" s="79"/>
      <c r="F8" s="79"/>
    </row>
    <row r="9" customFormat="false" ht="25.5" hidden="false" customHeight="true" outlineLevel="0" collapsed="false">
      <c r="B9" s="74" t="s">
        <v>263</v>
      </c>
      <c r="C9" s="75" t="s">
        <v>123</v>
      </c>
      <c r="D9" s="74" t="s">
        <v>262</v>
      </c>
      <c r="E9" s="76"/>
      <c r="F9" s="76"/>
    </row>
    <row r="10" customFormat="false" ht="25.5" hidden="false" customHeight="true" outlineLevel="0" collapsed="false">
      <c r="B10" s="77" t="s">
        <v>264</v>
      </c>
      <c r="C10" s="78" t="s">
        <v>124</v>
      </c>
      <c r="D10" s="77" t="s">
        <v>256</v>
      </c>
      <c r="E10" s="79"/>
      <c r="F10" s="79"/>
    </row>
    <row r="11" customFormat="false" ht="25.5" hidden="false" customHeight="true" outlineLevel="0" collapsed="false">
      <c r="B11" s="74" t="s">
        <v>265</v>
      </c>
      <c r="C11" s="75" t="s">
        <v>48</v>
      </c>
      <c r="D11" s="80" t="s">
        <v>266</v>
      </c>
      <c r="E11" s="76" t="s">
        <v>267</v>
      </c>
      <c r="F11" s="76"/>
    </row>
    <row r="12" customFormat="false" ht="25.5" hidden="false" customHeight="true" outlineLevel="0" collapsed="false">
      <c r="B12" s="77" t="s">
        <v>268</v>
      </c>
      <c r="C12" s="78" t="s">
        <v>125</v>
      </c>
      <c r="D12" s="77" t="s">
        <v>269</v>
      </c>
      <c r="E12" s="79"/>
      <c r="F12" s="79"/>
    </row>
    <row r="13" customFormat="false" ht="25.5" hidden="false" customHeight="true" outlineLevel="0" collapsed="false">
      <c r="B13" s="74" t="s">
        <v>270</v>
      </c>
      <c r="C13" s="75" t="s">
        <v>126</v>
      </c>
      <c r="D13" s="74" t="s">
        <v>256</v>
      </c>
      <c r="E13" s="76"/>
      <c r="F13" s="76"/>
    </row>
    <row r="14" customFormat="false" ht="25.5" hidden="false" customHeight="true" outlineLevel="0" collapsed="false">
      <c r="B14" s="77" t="s">
        <v>271</v>
      </c>
      <c r="C14" s="78" t="s">
        <v>127</v>
      </c>
      <c r="D14" s="77" t="s">
        <v>256</v>
      </c>
      <c r="E14" s="79"/>
      <c r="F14" s="79"/>
    </row>
    <row r="15" customFormat="false" ht="25.5" hidden="false" customHeight="true" outlineLevel="0" collapsed="false">
      <c r="B15" s="74" t="s">
        <v>272</v>
      </c>
      <c r="C15" s="75" t="s">
        <v>128</v>
      </c>
      <c r="D15" s="74" t="s">
        <v>256</v>
      </c>
      <c r="E15" s="76"/>
      <c r="F15" s="76"/>
    </row>
    <row r="16" customFormat="false" ht="25.5" hidden="false" customHeight="true" outlineLevel="0" collapsed="false">
      <c r="B16" s="77" t="s">
        <v>273</v>
      </c>
      <c r="C16" s="78" t="s">
        <v>129</v>
      </c>
      <c r="D16" s="77" t="s">
        <v>262</v>
      </c>
      <c r="E16" s="79"/>
      <c r="F16" s="79"/>
    </row>
    <row r="17" customFormat="false" ht="25.5" hidden="false" customHeight="true" outlineLevel="0" collapsed="false">
      <c r="B17" s="74" t="s">
        <v>274</v>
      </c>
      <c r="C17" s="75" t="s">
        <v>130</v>
      </c>
      <c r="D17" s="74" t="s">
        <v>275</v>
      </c>
      <c r="E17" s="76"/>
      <c r="F17" s="76"/>
    </row>
    <row r="18" customFormat="false" ht="25.5" hidden="false" customHeight="true" outlineLevel="0" collapsed="false">
      <c r="B18" s="77" t="s">
        <v>276</v>
      </c>
      <c r="C18" s="78" t="s">
        <v>131</v>
      </c>
      <c r="D18" s="77" t="s">
        <v>262</v>
      </c>
      <c r="E18" s="79"/>
      <c r="F18" s="79"/>
    </row>
    <row r="19" customFormat="false" ht="25.5" hidden="false" customHeight="true" outlineLevel="0" collapsed="false">
      <c r="B19" s="74" t="s">
        <v>277</v>
      </c>
      <c r="C19" s="75" t="s">
        <v>132</v>
      </c>
      <c r="D19" s="74" t="s">
        <v>256</v>
      </c>
      <c r="E19" s="76"/>
      <c r="F19" s="76"/>
    </row>
    <row r="20" customFormat="false" ht="25.5" hidden="false" customHeight="true" outlineLevel="0" collapsed="false">
      <c r="B20" s="77" t="s">
        <v>278</v>
      </c>
      <c r="C20" s="78" t="s">
        <v>133</v>
      </c>
      <c r="D20" s="77" t="s">
        <v>256</v>
      </c>
      <c r="E20" s="79"/>
      <c r="F20" s="79"/>
    </row>
    <row r="21" customFormat="false" ht="25.5" hidden="false" customHeight="true" outlineLevel="0" collapsed="false">
      <c r="B21" s="74" t="s">
        <v>279</v>
      </c>
      <c r="C21" s="75" t="s">
        <v>134</v>
      </c>
      <c r="D21" s="74" t="s">
        <v>256</v>
      </c>
      <c r="E21" s="76"/>
      <c r="F21" s="76"/>
    </row>
    <row r="22" customFormat="false" ht="25.5" hidden="false" customHeight="true" outlineLevel="0" collapsed="false">
      <c r="B22" s="77" t="s">
        <v>280</v>
      </c>
      <c r="C22" s="78" t="s">
        <v>135</v>
      </c>
      <c r="D22" s="77" t="s">
        <v>256</v>
      </c>
      <c r="E22" s="79"/>
      <c r="F22" s="79"/>
    </row>
    <row r="23" customFormat="false" ht="25.5" hidden="false" customHeight="true" outlineLevel="0" collapsed="false">
      <c r="B23" s="74" t="s">
        <v>281</v>
      </c>
      <c r="C23" s="75" t="s">
        <v>136</v>
      </c>
      <c r="D23" s="74" t="s">
        <v>262</v>
      </c>
      <c r="E23" s="76"/>
      <c r="F23" s="76"/>
    </row>
    <row r="24" customFormat="false" ht="25.5" hidden="false" customHeight="true" outlineLevel="0" collapsed="false">
      <c r="B24" s="77" t="s">
        <v>282</v>
      </c>
      <c r="C24" s="78" t="s">
        <v>137</v>
      </c>
      <c r="D24" s="81" t="s">
        <v>266</v>
      </c>
      <c r="E24" s="79" t="s">
        <v>283</v>
      </c>
      <c r="F24" s="79"/>
    </row>
    <row r="25" customFormat="false" ht="25.5" hidden="false" customHeight="true" outlineLevel="0" collapsed="false">
      <c r="B25" s="74" t="s">
        <v>284</v>
      </c>
      <c r="C25" s="75" t="s">
        <v>138</v>
      </c>
      <c r="D25" s="74" t="s">
        <v>256</v>
      </c>
      <c r="E25" s="76"/>
      <c r="F25" s="76"/>
    </row>
    <row r="26" customFormat="false" ht="25.5" hidden="false" customHeight="true" outlineLevel="0" collapsed="false">
      <c r="B26" s="77" t="s">
        <v>285</v>
      </c>
      <c r="C26" s="78" t="s">
        <v>139</v>
      </c>
      <c r="D26" s="77" t="s">
        <v>262</v>
      </c>
      <c r="E26" s="79"/>
      <c r="F26" s="79"/>
    </row>
    <row r="27" customFormat="false" ht="25.5" hidden="false" customHeight="true" outlineLevel="0" collapsed="false">
      <c r="B27" s="74" t="s">
        <v>286</v>
      </c>
      <c r="C27" s="75" t="s">
        <v>140</v>
      </c>
      <c r="D27" s="74" t="s">
        <v>256</v>
      </c>
      <c r="E27" s="76"/>
      <c r="F27" s="76"/>
    </row>
    <row r="28" customFormat="false" ht="25.5" hidden="false" customHeight="true" outlineLevel="0" collapsed="false">
      <c r="B28" s="77" t="s">
        <v>287</v>
      </c>
      <c r="C28" s="78" t="s">
        <v>141</v>
      </c>
      <c r="D28" s="77" t="s">
        <v>262</v>
      </c>
      <c r="E28" s="79"/>
      <c r="F28" s="79"/>
    </row>
    <row r="29" customFormat="false" ht="25.5" hidden="false" customHeight="true" outlineLevel="0" collapsed="false">
      <c r="B29" s="74" t="s">
        <v>288</v>
      </c>
      <c r="C29" s="75" t="s">
        <v>142</v>
      </c>
      <c r="D29" s="74" t="s">
        <v>256</v>
      </c>
      <c r="E29" s="76"/>
      <c r="F29" s="76"/>
    </row>
    <row r="30" customFormat="false" ht="25.5" hidden="false" customHeight="true" outlineLevel="0" collapsed="false">
      <c r="B30" s="77" t="s">
        <v>289</v>
      </c>
      <c r="C30" s="78" t="s">
        <v>143</v>
      </c>
      <c r="D30" s="77" t="s">
        <v>256</v>
      </c>
      <c r="E30" s="79"/>
      <c r="F30" s="79"/>
    </row>
    <row r="31" customFormat="false" ht="25.5" hidden="false" customHeight="true" outlineLevel="0" collapsed="false">
      <c r="B31" s="74" t="s">
        <v>290</v>
      </c>
      <c r="C31" s="75" t="s">
        <v>144</v>
      </c>
      <c r="D31" s="74" t="s">
        <v>262</v>
      </c>
      <c r="E31" s="76"/>
      <c r="F31" s="76"/>
    </row>
    <row r="32" customFormat="false" ht="25.5" hidden="false" customHeight="true" outlineLevel="0" collapsed="false">
      <c r="B32" s="77" t="s">
        <v>291</v>
      </c>
      <c r="C32" s="78" t="s">
        <v>145</v>
      </c>
      <c r="D32" s="77" t="s">
        <v>275</v>
      </c>
      <c r="E32" s="79" t="s">
        <v>292</v>
      </c>
      <c r="F32" s="79"/>
    </row>
    <row r="33" customFormat="false" ht="25.5" hidden="false" customHeight="true" outlineLevel="0" collapsed="false">
      <c r="B33" s="74" t="s">
        <v>293</v>
      </c>
      <c r="C33" s="75" t="s">
        <v>146</v>
      </c>
      <c r="D33" s="74" t="s">
        <v>294</v>
      </c>
      <c r="E33" s="76" t="s">
        <v>295</v>
      </c>
      <c r="F33" s="76"/>
    </row>
    <row r="34" customFormat="false" ht="25.5" hidden="false" customHeight="true" outlineLevel="0" collapsed="false">
      <c r="B34" s="77" t="s">
        <v>296</v>
      </c>
      <c r="C34" s="78" t="s">
        <v>147</v>
      </c>
      <c r="D34" s="81" t="s">
        <v>266</v>
      </c>
      <c r="E34" s="79" t="s">
        <v>297</v>
      </c>
      <c r="F34" s="79"/>
    </row>
    <row r="35" customFormat="false" ht="25.5" hidden="false" customHeight="true" outlineLevel="0" collapsed="false">
      <c r="B35" s="74" t="s">
        <v>298</v>
      </c>
      <c r="C35" s="75" t="s">
        <v>148</v>
      </c>
      <c r="D35" s="74" t="s">
        <v>275</v>
      </c>
      <c r="E35" s="76"/>
      <c r="F35" s="76"/>
    </row>
    <row r="36" customFormat="false" ht="25.5" hidden="false" customHeight="true" outlineLevel="0" collapsed="false">
      <c r="B36" s="77" t="s">
        <v>299</v>
      </c>
      <c r="C36" s="78" t="s">
        <v>149</v>
      </c>
      <c r="D36" s="77" t="s">
        <v>275</v>
      </c>
      <c r="E36" s="79"/>
      <c r="F36" s="79"/>
    </row>
    <row r="37" customFormat="false" ht="25.5" hidden="false" customHeight="true" outlineLevel="0" collapsed="false">
      <c r="B37" s="74" t="s">
        <v>300</v>
      </c>
      <c r="C37" s="75" t="s">
        <v>150</v>
      </c>
      <c r="D37" s="74" t="s">
        <v>294</v>
      </c>
      <c r="E37" s="76"/>
      <c r="F37" s="76"/>
    </row>
    <row r="38" customFormat="false" ht="25.5" hidden="false" customHeight="true" outlineLevel="0" collapsed="false">
      <c r="B38" s="77" t="s">
        <v>301</v>
      </c>
      <c r="C38" s="78" t="s">
        <v>151</v>
      </c>
      <c r="D38" s="81" t="s">
        <v>266</v>
      </c>
      <c r="E38" s="79" t="s">
        <v>302</v>
      </c>
      <c r="F38" s="79"/>
    </row>
    <row r="39" customFormat="false" ht="25.5" hidden="false" customHeight="true" outlineLevel="0" collapsed="false">
      <c r="B39" s="74" t="s">
        <v>303</v>
      </c>
      <c r="C39" s="75" t="s">
        <v>152</v>
      </c>
      <c r="D39" s="74" t="s">
        <v>275</v>
      </c>
      <c r="E39" s="76"/>
      <c r="F39" s="76"/>
    </row>
    <row r="40" customFormat="false" ht="25.5" hidden="false" customHeight="true" outlineLevel="0" collapsed="false">
      <c r="B40" s="77" t="s">
        <v>304</v>
      </c>
      <c r="C40" s="78" t="s">
        <v>153</v>
      </c>
      <c r="D40" s="81" t="s">
        <v>266</v>
      </c>
      <c r="E40" s="79" t="s">
        <v>305</v>
      </c>
      <c r="F40" s="79"/>
    </row>
    <row r="41" customFormat="false" ht="25.5" hidden="false" customHeight="true" outlineLevel="0" collapsed="false">
      <c r="B41" s="74" t="s">
        <v>306</v>
      </c>
      <c r="C41" s="75" t="s">
        <v>154</v>
      </c>
      <c r="D41" s="80" t="s">
        <v>266</v>
      </c>
      <c r="E41" s="76" t="s">
        <v>307</v>
      </c>
      <c r="F41" s="76"/>
    </row>
    <row r="42" customFormat="false" ht="25.5" hidden="false" customHeight="true" outlineLevel="0" collapsed="false">
      <c r="B42" s="77" t="s">
        <v>308</v>
      </c>
      <c r="C42" s="78" t="s">
        <v>155</v>
      </c>
      <c r="D42" s="77" t="s">
        <v>262</v>
      </c>
      <c r="E42" s="79" t="s">
        <v>309</v>
      </c>
      <c r="F42" s="79"/>
    </row>
    <row r="43" customFormat="false" ht="25.5" hidden="false" customHeight="true" outlineLevel="0" collapsed="false">
      <c r="B43" s="74" t="s">
        <v>310</v>
      </c>
      <c r="C43" s="75" t="s">
        <v>156</v>
      </c>
      <c r="D43" s="80" t="s">
        <v>266</v>
      </c>
      <c r="E43" s="76" t="s">
        <v>311</v>
      </c>
      <c r="F43" s="76"/>
    </row>
    <row r="44" customFormat="false" ht="25.5" hidden="false" customHeight="true" outlineLevel="0" collapsed="false">
      <c r="B44" s="77" t="s">
        <v>312</v>
      </c>
      <c r="C44" s="78" t="s">
        <v>157</v>
      </c>
      <c r="D44" s="81" t="s">
        <v>266</v>
      </c>
      <c r="E44" s="79" t="s">
        <v>313</v>
      </c>
      <c r="F44" s="79"/>
    </row>
    <row r="45" customFormat="false" ht="25.5" hidden="false" customHeight="true" outlineLevel="0" collapsed="false">
      <c r="B45" s="74" t="s">
        <v>314</v>
      </c>
      <c r="C45" s="75" t="s">
        <v>315</v>
      </c>
      <c r="D45" s="80" t="s">
        <v>266</v>
      </c>
      <c r="E45" s="76" t="s">
        <v>313</v>
      </c>
      <c r="F45" s="76"/>
    </row>
    <row r="46" customFormat="false" ht="25.5" hidden="false" customHeight="true" outlineLevel="0" collapsed="false">
      <c r="B46" s="77" t="s">
        <v>316</v>
      </c>
      <c r="C46" s="78" t="s">
        <v>317</v>
      </c>
      <c r="D46" s="81" t="s">
        <v>266</v>
      </c>
      <c r="E46" s="79" t="s">
        <v>313</v>
      </c>
      <c r="F46" s="79"/>
    </row>
    <row r="47" customFormat="false" ht="25.5" hidden="false" customHeight="true" outlineLevel="0" collapsed="false">
      <c r="B47" s="74" t="s">
        <v>318</v>
      </c>
      <c r="C47" s="75" t="s">
        <v>208</v>
      </c>
      <c r="D47" s="80" t="s">
        <v>266</v>
      </c>
      <c r="E47" s="76" t="s">
        <v>319</v>
      </c>
      <c r="F47" s="76"/>
    </row>
    <row r="48" customFormat="false" ht="25.5" hidden="false" customHeight="true" outlineLevel="0" collapsed="false">
      <c r="B48" s="77" t="s">
        <v>320</v>
      </c>
      <c r="C48" s="78" t="s">
        <v>161</v>
      </c>
      <c r="D48" s="81" t="s">
        <v>266</v>
      </c>
      <c r="E48" s="79" t="s">
        <v>321</v>
      </c>
      <c r="F48" s="79"/>
    </row>
    <row r="49" customFormat="false" ht="25.5" hidden="false" customHeight="true" outlineLevel="0" collapsed="false">
      <c r="B49" s="74" t="s">
        <v>322</v>
      </c>
      <c r="C49" s="75" t="s">
        <v>162</v>
      </c>
      <c r="D49" s="80" t="s">
        <v>266</v>
      </c>
      <c r="E49" s="76"/>
      <c r="F49" s="76"/>
    </row>
    <row r="50" customFormat="false" ht="25.5" hidden="false" customHeight="true" outlineLevel="0" collapsed="false">
      <c r="B50" s="77" t="s">
        <v>323</v>
      </c>
      <c r="C50" s="78" t="s">
        <v>163</v>
      </c>
      <c r="D50" s="81" t="s">
        <v>266</v>
      </c>
      <c r="E50" s="79"/>
      <c r="F50" s="79"/>
    </row>
    <row r="51" customFormat="false" ht="25.5" hidden="false" customHeight="true" outlineLevel="0" collapsed="false">
      <c r="B51" s="74" t="s">
        <v>324</v>
      </c>
      <c r="C51" s="75" t="s">
        <v>164</v>
      </c>
      <c r="D51" s="80" t="s">
        <v>266</v>
      </c>
      <c r="E51" s="76"/>
      <c r="F51" s="76"/>
    </row>
    <row r="52" customFormat="false" ht="25.5" hidden="false" customHeight="true" outlineLevel="0" collapsed="false">
      <c r="B52" s="77" t="s">
        <v>325</v>
      </c>
      <c r="C52" s="78" t="s">
        <v>165</v>
      </c>
      <c r="D52" s="81" t="s">
        <v>266</v>
      </c>
      <c r="E52" s="79"/>
      <c r="F52" s="79"/>
    </row>
    <row r="53" customFormat="false" ht="25.5" hidden="false" customHeight="true" outlineLevel="0" collapsed="false">
      <c r="B53" s="74" t="s">
        <v>326</v>
      </c>
      <c r="C53" s="75" t="s">
        <v>166</v>
      </c>
      <c r="D53" s="80" t="s">
        <v>266</v>
      </c>
      <c r="E53" s="76"/>
      <c r="F53" s="76"/>
    </row>
    <row r="54" customFormat="false" ht="25.5" hidden="false" customHeight="true" outlineLevel="0" collapsed="false">
      <c r="B54" s="77" t="s">
        <v>327</v>
      </c>
      <c r="C54" s="78" t="s">
        <v>167</v>
      </c>
      <c r="D54" s="81" t="s">
        <v>266</v>
      </c>
      <c r="E54" s="79" t="s">
        <v>328</v>
      </c>
      <c r="F54" s="79"/>
    </row>
    <row r="55" customFormat="false" ht="25.5" hidden="false" customHeight="true" outlineLevel="0" collapsed="false">
      <c r="B55" s="74" t="s">
        <v>329</v>
      </c>
      <c r="C55" s="75" t="s">
        <v>168</v>
      </c>
      <c r="D55" s="80" t="s">
        <v>266</v>
      </c>
      <c r="E55" s="76" t="s">
        <v>330</v>
      </c>
      <c r="F55" s="76"/>
    </row>
    <row r="56" customFormat="false" ht="25.5" hidden="false" customHeight="true" outlineLevel="0" collapsed="false">
      <c r="B56" s="77" t="s">
        <v>331</v>
      </c>
      <c r="C56" s="78" t="s">
        <v>169</v>
      </c>
      <c r="D56" s="81" t="s">
        <v>266</v>
      </c>
      <c r="E56" s="79" t="s">
        <v>332</v>
      </c>
      <c r="F56" s="79"/>
    </row>
    <row r="57" customFormat="false" ht="25.5" hidden="false" customHeight="true" outlineLevel="0" collapsed="false">
      <c r="B57" s="74" t="s">
        <v>333</v>
      </c>
      <c r="C57" s="75" t="s">
        <v>170</v>
      </c>
      <c r="D57" s="74" t="s">
        <v>262</v>
      </c>
      <c r="E57" s="76"/>
      <c r="F57" s="76"/>
    </row>
    <row r="58" customFormat="false" ht="25.5" hidden="false" customHeight="true" outlineLevel="0" collapsed="false">
      <c r="B58" s="77" t="s">
        <v>334</v>
      </c>
      <c r="C58" s="78" t="s">
        <v>171</v>
      </c>
      <c r="D58" s="77" t="s">
        <v>262</v>
      </c>
      <c r="E58" s="79"/>
      <c r="F58" s="79"/>
    </row>
    <row r="59" customFormat="false" ht="25.5" hidden="false" customHeight="true" outlineLevel="0" collapsed="false">
      <c r="B59" s="74" t="s">
        <v>335</v>
      </c>
      <c r="C59" s="75" t="s">
        <v>172</v>
      </c>
      <c r="D59" s="74" t="s">
        <v>256</v>
      </c>
      <c r="E59" s="76"/>
      <c r="F59" s="76"/>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703125" defaultRowHeight="15" zeroHeight="false" outlineLevelRow="0" outlineLevelCol="0"/>
  <cols>
    <col collapsed="false" customWidth="true" hidden="false" outlineLevel="0" max="1" min="1" style="0" width="26"/>
    <col collapsed="false" customWidth="true" hidden="false" outlineLevel="0" max="2" min="2" style="0" width="27"/>
    <col collapsed="false" customWidth="true" hidden="false" outlineLevel="0" max="3" min="3" style="0" width="18"/>
    <col collapsed="false" customWidth="true" hidden="false" outlineLevel="0" max="4" min="4" style="0" width="42"/>
    <col collapsed="false" customWidth="true" hidden="false" outlineLevel="0" max="5" min="5" style="0" width="36"/>
    <col collapsed="false" customWidth="true" hidden="false" outlineLevel="0" max="6" min="6" style="0" width="18"/>
    <col collapsed="false" customWidth="true" hidden="false" outlineLevel="0" max="7" min="7" style="0" width="42"/>
    <col collapsed="false" customWidth="true" hidden="false" outlineLevel="0" max="11" min="8" style="0" width="18"/>
  </cols>
  <sheetData>
    <row r="1" customFormat="false" ht="25.5" hidden="false" customHeight="true" outlineLevel="0" collapsed="false">
      <c r="A1" s="1" t="s">
        <v>336</v>
      </c>
      <c r="B1" s="1"/>
      <c r="C1" s="1"/>
      <c r="D1" s="1"/>
      <c r="E1" s="1"/>
      <c r="F1" s="1"/>
      <c r="G1" s="1"/>
      <c r="H1" s="1"/>
      <c r="I1" s="1"/>
      <c r="J1" s="1"/>
      <c r="K1" s="1"/>
      <c r="L1" s="1"/>
      <c r="M1" s="1"/>
      <c r="N1" s="1"/>
    </row>
    <row r="2" customFormat="false" ht="15" hidden="false" customHeight="true" outlineLevel="0" collapsed="false">
      <c r="A2" s="2" t="s">
        <v>337</v>
      </c>
      <c r="B2" s="2"/>
      <c r="C2" s="2"/>
      <c r="D2" s="2"/>
      <c r="E2" s="2"/>
      <c r="F2" s="2"/>
      <c r="G2" s="2"/>
      <c r="H2" s="2"/>
      <c r="I2" s="2"/>
      <c r="J2" s="2"/>
      <c r="K2" s="2"/>
      <c r="L2" s="2"/>
      <c r="M2" s="2"/>
      <c r="N2" s="2"/>
    </row>
    <row r="4" customFormat="false" ht="30" hidden="false" customHeight="true" outlineLevel="0" collapsed="false">
      <c r="A4" s="17" t="s">
        <v>338</v>
      </c>
      <c r="B4" s="17" t="s">
        <v>339</v>
      </c>
      <c r="C4" s="17" t="s">
        <v>340</v>
      </c>
      <c r="D4" s="17" t="s">
        <v>341</v>
      </c>
      <c r="E4" s="17" t="s">
        <v>342</v>
      </c>
      <c r="F4" s="17" t="s">
        <v>343</v>
      </c>
      <c r="G4" s="17" t="s">
        <v>344</v>
      </c>
      <c r="H4" s="17" t="s">
        <v>345</v>
      </c>
      <c r="I4" s="17" t="s">
        <v>275</v>
      </c>
      <c r="J4" s="17" t="s">
        <v>346</v>
      </c>
      <c r="K4" s="17" t="s">
        <v>347</v>
      </c>
    </row>
    <row r="5" customFormat="false" ht="15" hidden="false" customHeight="true" outlineLevel="0" collapsed="false">
      <c r="A5" s="63" t="s">
        <v>178</v>
      </c>
      <c r="B5" s="63" t="s">
        <v>177</v>
      </c>
      <c r="C5" s="63" t="s">
        <v>183</v>
      </c>
      <c r="D5" s="63" t="s">
        <v>348</v>
      </c>
      <c r="E5" s="63" t="s">
        <v>190</v>
      </c>
      <c r="F5" s="63" t="s">
        <v>349</v>
      </c>
      <c r="G5" s="63" t="s">
        <v>350</v>
      </c>
      <c r="H5" s="63" t="s">
        <v>351</v>
      </c>
      <c r="I5" s="63" t="s">
        <v>58</v>
      </c>
      <c r="J5" s="63" t="s">
        <v>196</v>
      </c>
      <c r="K5" s="63" t="s">
        <v>194</v>
      </c>
    </row>
    <row r="6" customFormat="false" ht="15" hidden="false" customHeight="true" outlineLevel="0" collapsed="false">
      <c r="A6" s="63" t="s">
        <v>352</v>
      </c>
      <c r="B6" s="63" t="s">
        <v>353</v>
      </c>
      <c r="C6" s="63" t="s">
        <v>354</v>
      </c>
      <c r="D6" s="63" t="s">
        <v>182</v>
      </c>
      <c r="E6" s="63" t="s">
        <v>355</v>
      </c>
      <c r="F6" s="63" t="s">
        <v>356</v>
      </c>
      <c r="G6" s="63" t="s">
        <v>357</v>
      </c>
      <c r="H6" s="63" t="s">
        <v>195</v>
      </c>
      <c r="I6" s="63" t="s">
        <v>358</v>
      </c>
      <c r="J6" s="63" t="s">
        <v>359</v>
      </c>
      <c r="K6" s="63" t="s">
        <v>360</v>
      </c>
    </row>
    <row r="7" customFormat="false" ht="15" hidden="false" customHeight="true" outlineLevel="0" collapsed="false">
      <c r="A7" s="63" t="s">
        <v>361</v>
      </c>
      <c r="B7" s="63" t="s">
        <v>362</v>
      </c>
      <c r="D7" s="63" t="s">
        <v>363</v>
      </c>
      <c r="E7" s="63" t="s">
        <v>364</v>
      </c>
      <c r="F7" s="63" t="s">
        <v>192</v>
      </c>
      <c r="G7" s="63" t="s">
        <v>188</v>
      </c>
      <c r="H7" s="63" t="s">
        <v>365</v>
      </c>
      <c r="I7" s="63" t="s">
        <v>366</v>
      </c>
      <c r="K7" s="63" t="s">
        <v>367</v>
      </c>
    </row>
    <row r="8" customFormat="false" ht="15" hidden="false" customHeight="true" outlineLevel="0" collapsed="false">
      <c r="A8" s="63" t="s">
        <v>368</v>
      </c>
      <c r="B8" s="63" t="s">
        <v>369</v>
      </c>
      <c r="D8" s="63" t="s">
        <v>370</v>
      </c>
      <c r="E8" s="63" t="s">
        <v>371</v>
      </c>
      <c r="F8" s="63" t="s">
        <v>372</v>
      </c>
      <c r="G8" s="63" t="s">
        <v>373</v>
      </c>
      <c r="H8" s="63" t="s">
        <v>374</v>
      </c>
      <c r="I8" s="63" t="s">
        <v>375</v>
      </c>
    </row>
    <row r="9" customFormat="false" ht="15" hidden="false" customHeight="true" outlineLevel="0" collapsed="false">
      <c r="A9" s="63" t="s">
        <v>376</v>
      </c>
      <c r="B9" s="63" t="s">
        <v>377</v>
      </c>
      <c r="D9" s="63" t="s">
        <v>378</v>
      </c>
      <c r="F9" s="63" t="s">
        <v>379</v>
      </c>
      <c r="G9" s="63" t="s">
        <v>380</v>
      </c>
    </row>
    <row r="10" customFormat="false" ht="15" hidden="false" customHeight="true" outlineLevel="0" collapsed="false">
      <c r="A10" s="63" t="s">
        <v>381</v>
      </c>
      <c r="B10" s="63" t="s">
        <v>382</v>
      </c>
      <c r="D10" s="63" t="s">
        <v>383</v>
      </c>
      <c r="F10" s="63" t="s">
        <v>384</v>
      </c>
      <c r="G10" s="63" t="s">
        <v>385</v>
      </c>
    </row>
    <row r="11" customFormat="false" ht="15" hidden="false" customHeight="true" outlineLevel="0" collapsed="false">
      <c r="A11" s="63" t="s">
        <v>386</v>
      </c>
      <c r="B11" s="63" t="s">
        <v>387</v>
      </c>
      <c r="D11" s="63" t="s">
        <v>388</v>
      </c>
      <c r="G11" s="63" t="s">
        <v>389</v>
      </c>
    </row>
    <row r="12" customFormat="false" ht="15" hidden="false" customHeight="true" outlineLevel="0" collapsed="false">
      <c r="D12" s="63" t="s">
        <v>390</v>
      </c>
      <c r="G12" s="63" t="s">
        <v>391</v>
      </c>
    </row>
    <row r="13" customFormat="false" ht="15" hidden="false" customHeight="true" outlineLevel="0" collapsed="false">
      <c r="D13" s="63" t="s">
        <v>392</v>
      </c>
      <c r="G13" s="63" t="s">
        <v>393</v>
      </c>
    </row>
    <row r="14" customFormat="false" ht="15" hidden="false" customHeight="true" outlineLevel="0" collapsed="false">
      <c r="D14" s="63" t="s">
        <v>394</v>
      </c>
      <c r="G14" s="63" t="s">
        <v>395</v>
      </c>
    </row>
    <row r="15" customFormat="false" ht="15" hidden="false" customHeight="true" outlineLevel="0" collapsed="false">
      <c r="D15" s="63" t="s">
        <v>396</v>
      </c>
      <c r="G15" s="63" t="s">
        <v>397</v>
      </c>
    </row>
    <row r="16" customFormat="false" ht="15" hidden="false" customHeight="true" outlineLevel="0" collapsed="false">
      <c r="D16" s="63" t="s">
        <v>398</v>
      </c>
      <c r="G16" s="63" t="s">
        <v>399</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336</v>
      </c>
    </row>
    <row r="2" customFormat="false" ht="15" hidden="false" customHeight="false" outlineLevel="0" collapsed="false">
      <c r="A2" s="0" t="s">
        <v>337</v>
      </c>
    </row>
    <row r="4" customFormat="false" ht="15" hidden="false" customHeight="false" outlineLevel="0" collapsed="false">
      <c r="A4" s="0" t="s">
        <v>338</v>
      </c>
      <c r="B4" s="0" t="s">
        <v>339</v>
      </c>
      <c r="C4" s="0" t="s">
        <v>340</v>
      </c>
      <c r="D4" s="0" t="s">
        <v>341</v>
      </c>
      <c r="E4" s="0" t="s">
        <v>342</v>
      </c>
      <c r="F4" s="0" t="s">
        <v>343</v>
      </c>
      <c r="G4" s="0" t="s">
        <v>344</v>
      </c>
      <c r="H4" s="0" t="s">
        <v>345</v>
      </c>
      <c r="I4" s="0" t="s">
        <v>275</v>
      </c>
      <c r="J4" s="0" t="s">
        <v>346</v>
      </c>
      <c r="K4" s="0" t="s">
        <v>347</v>
      </c>
      <c r="M4" s="0" t="s">
        <v>344</v>
      </c>
      <c r="N4" s="0" t="s">
        <v>137</v>
      </c>
      <c r="P4" s="0" t="s">
        <v>400</v>
      </c>
      <c r="Q4" s="0" t="s">
        <v>401</v>
      </c>
    </row>
    <row r="5" customFormat="false" ht="15" hidden="false" customHeight="false" outlineLevel="0" collapsed="false">
      <c r="A5" s="0" t="s">
        <v>178</v>
      </c>
      <c r="B5" s="0" t="s">
        <v>177</v>
      </c>
      <c r="C5" s="0" t="s">
        <v>183</v>
      </c>
      <c r="D5" s="0" t="s">
        <v>348</v>
      </c>
      <c r="E5" s="0" t="s">
        <v>190</v>
      </c>
      <c r="F5" s="0" t="s">
        <v>349</v>
      </c>
      <c r="G5" s="0" t="s">
        <v>350</v>
      </c>
      <c r="H5" s="0" t="s">
        <v>351</v>
      </c>
      <c r="I5" s="0" t="s">
        <v>58</v>
      </c>
      <c r="J5" s="0" t="s">
        <v>196</v>
      </c>
      <c r="K5" s="0" t="s">
        <v>194</v>
      </c>
      <c r="M5" s="0" t="s">
        <v>350</v>
      </c>
      <c r="N5" s="0" t="n">
        <v>3</v>
      </c>
      <c r="P5" s="0" t="s">
        <v>402</v>
      </c>
      <c r="Q5" s="0" t="n">
        <v>0.0018</v>
      </c>
    </row>
    <row r="6" customFormat="false" ht="15" hidden="false" customHeight="false" outlineLevel="0" collapsed="false">
      <c r="A6" s="0" t="s">
        <v>352</v>
      </c>
      <c r="B6" s="0" t="s">
        <v>353</v>
      </c>
      <c r="C6" s="0" t="s">
        <v>354</v>
      </c>
      <c r="D6" s="0" t="s">
        <v>182</v>
      </c>
      <c r="E6" s="0" t="s">
        <v>355</v>
      </c>
      <c r="F6" s="0" t="s">
        <v>356</v>
      </c>
      <c r="G6" s="0" t="s">
        <v>357</v>
      </c>
      <c r="H6" s="0" t="s">
        <v>195</v>
      </c>
      <c r="I6" s="0" t="s">
        <v>358</v>
      </c>
      <c r="J6" s="0" t="s">
        <v>359</v>
      </c>
      <c r="K6" s="0" t="s">
        <v>360</v>
      </c>
      <c r="M6" s="0" t="s">
        <v>357</v>
      </c>
      <c r="N6" s="0" t="n">
        <v>2.1</v>
      </c>
      <c r="P6" s="0" t="s">
        <v>403</v>
      </c>
      <c r="Q6" s="0" t="n">
        <v>350</v>
      </c>
    </row>
    <row r="7" customFormat="false" ht="15" hidden="false" customHeight="false" outlineLevel="0" collapsed="false">
      <c r="A7" s="0" t="s">
        <v>361</v>
      </c>
      <c r="B7" s="0" t="s">
        <v>362</v>
      </c>
      <c r="D7" s="0" t="s">
        <v>363</v>
      </c>
      <c r="E7" s="0" t="s">
        <v>364</v>
      </c>
      <c r="F7" s="0" t="s">
        <v>192</v>
      </c>
      <c r="G7" s="0" t="s">
        <v>188</v>
      </c>
      <c r="H7" s="0" t="s">
        <v>365</v>
      </c>
      <c r="I7" s="0" t="s">
        <v>366</v>
      </c>
      <c r="K7" s="0" t="s">
        <v>367</v>
      </c>
      <c r="M7" s="0" t="s">
        <v>188</v>
      </c>
      <c r="N7" s="0" t="n">
        <v>1.4</v>
      </c>
      <c r="P7" s="0" t="s">
        <v>404</v>
      </c>
      <c r="Q7" s="0" t="n">
        <v>250</v>
      </c>
    </row>
    <row r="8" customFormat="false" ht="15" hidden="false" customHeight="false" outlineLevel="0" collapsed="false">
      <c r="A8" s="0" t="s">
        <v>368</v>
      </c>
      <c r="B8" s="0" t="s">
        <v>369</v>
      </c>
      <c r="D8" s="0" t="s">
        <v>370</v>
      </c>
      <c r="E8" s="0" t="s">
        <v>371</v>
      </c>
      <c r="F8" s="0" t="s">
        <v>372</v>
      </c>
      <c r="G8" s="0" t="s">
        <v>373</v>
      </c>
      <c r="H8" s="0" t="s">
        <v>374</v>
      </c>
      <c r="I8" s="0" t="s">
        <v>375</v>
      </c>
      <c r="M8" s="0" t="s">
        <v>373</v>
      </c>
      <c r="N8" s="0" t="n">
        <v>0.85</v>
      </c>
      <c r="P8" s="0" t="s">
        <v>405</v>
      </c>
      <c r="Q8" s="0" t="n">
        <v>1000000</v>
      </c>
    </row>
    <row r="9" customFormat="false" ht="15" hidden="false" customHeight="false" outlineLevel="0" collapsed="false">
      <c r="A9" s="0" t="s">
        <v>376</v>
      </c>
      <c r="B9" s="0" t="s">
        <v>377</v>
      </c>
      <c r="D9" s="0" t="s">
        <v>378</v>
      </c>
      <c r="F9" s="0" t="s">
        <v>379</v>
      </c>
      <c r="G9" s="0" t="s">
        <v>380</v>
      </c>
      <c r="M9" s="0" t="s">
        <v>380</v>
      </c>
      <c r="N9" s="0" t="n">
        <v>2.4</v>
      </c>
    </row>
    <row r="10" customFormat="false" ht="15" hidden="false" customHeight="false" outlineLevel="0" collapsed="false">
      <c r="A10" s="0" t="s">
        <v>381</v>
      </c>
      <c r="B10" s="0" t="s">
        <v>382</v>
      </c>
      <c r="D10" s="0" t="s">
        <v>383</v>
      </c>
      <c r="F10" s="0" t="s">
        <v>384</v>
      </c>
      <c r="G10" s="0" t="s">
        <v>385</v>
      </c>
      <c r="M10" s="0" t="s">
        <v>385</v>
      </c>
      <c r="N10" s="0" t="n">
        <v>1.5</v>
      </c>
      <c r="P10" s="0" t="s">
        <v>406</v>
      </c>
    </row>
    <row r="11" customFormat="false" ht="15" hidden="false" customHeight="false" outlineLevel="0" collapsed="false">
      <c r="A11" s="0" t="s">
        <v>386</v>
      </c>
      <c r="B11" s="0" t="s">
        <v>387</v>
      </c>
      <c r="D11" s="0" t="s">
        <v>388</v>
      </c>
      <c r="G11" s="0" t="s">
        <v>389</v>
      </c>
      <c r="M11" s="0" t="s">
        <v>389</v>
      </c>
      <c r="N11" s="0" t="n">
        <v>2.6</v>
      </c>
    </row>
    <row r="12" customFormat="false" ht="15" hidden="false" customHeight="false" outlineLevel="0" collapsed="false">
      <c r="D12" s="0" t="s">
        <v>390</v>
      </c>
      <c r="G12" s="0" t="s">
        <v>391</v>
      </c>
      <c r="M12" s="0" t="s">
        <v>391</v>
      </c>
      <c r="N12" s="0" t="n">
        <v>1.3</v>
      </c>
    </row>
    <row r="13" customFormat="false" ht="15" hidden="false" customHeight="false" outlineLevel="0" collapsed="false">
      <c r="D13" s="0" t="s">
        <v>392</v>
      </c>
      <c r="G13" s="0" t="s">
        <v>393</v>
      </c>
      <c r="M13" s="0" t="s">
        <v>393</v>
      </c>
      <c r="N13" s="0" t="n">
        <v>1.8</v>
      </c>
    </row>
    <row r="14" customFormat="false" ht="15" hidden="false" customHeight="false" outlineLevel="0" collapsed="false">
      <c r="D14" s="0" t="s">
        <v>394</v>
      </c>
      <c r="G14" s="0" t="s">
        <v>395</v>
      </c>
      <c r="M14" s="0" t="s">
        <v>395</v>
      </c>
      <c r="N14" s="0" t="n">
        <v>2.8</v>
      </c>
    </row>
    <row r="15" customFormat="false" ht="15" hidden="false" customHeight="false" outlineLevel="0" collapsed="false">
      <c r="D15" s="0" t="s">
        <v>396</v>
      </c>
      <c r="G15" s="0" t="s">
        <v>397</v>
      </c>
      <c r="M15" s="0" t="s">
        <v>397</v>
      </c>
      <c r="N15" s="0" t="n">
        <v>0.9</v>
      </c>
    </row>
    <row r="16" customFormat="false" ht="15" hidden="false" customHeight="false" outlineLevel="0" collapsed="false">
      <c r="D16" s="0" t="s">
        <v>398</v>
      </c>
      <c r="G16" s="0" t="s">
        <v>399</v>
      </c>
      <c r="M16" s="0" t="s">
        <v>399</v>
      </c>
      <c r="N16" s="0" t="n">
        <v>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2026-08-28T19:27:55Z</dcterms:created>
  <dc:creator>openpyxl</dc:creator>
  <dc:description/>
  <dc:language>en-US</dc:language>
  <cp:lastModifiedBy>Joshua Broedel</cp:lastModifiedBy>
  <dcterms:modified xsi:type="dcterms:W3CDTF">2026-09-02T20:23:31Z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