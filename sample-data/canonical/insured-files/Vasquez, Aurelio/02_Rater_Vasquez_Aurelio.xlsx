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6" i="23" l="1"/>
  <c r="G16" i="23"/>
  <c r="F16" i="23"/>
  <c r="D43" i="22"/>
  <c r="C43" i="22"/>
  <c r="D42" i="22"/>
  <c r="C42" i="22"/>
  <c r="C41" i="22"/>
  <c r="D41" i="22" s="1"/>
  <c r="C40" i="22"/>
  <c r="D40" i="22" s="1"/>
  <c r="D39" i="22"/>
  <c r="C39" i="22"/>
  <c r="D38" i="22"/>
  <c r="C38" i="22"/>
  <c r="C36" i="22"/>
  <c r="D36" i="22" s="1"/>
  <c r="C33" i="22"/>
  <c r="D33" i="22" s="1"/>
  <c r="C32" i="22"/>
  <c r="D32" i="22" s="1"/>
  <c r="D31" i="22"/>
  <c r="C31" i="22"/>
  <c r="C34" i="22" s="1"/>
  <c r="D30" i="22"/>
  <c r="C30" i="22"/>
  <c r="C26" i="22"/>
  <c r="C19" i="22"/>
  <c r="C18" i="22"/>
  <c r="C35" i="22" s="1"/>
  <c r="D35" i="22" s="1"/>
  <c r="C9" i="22"/>
  <c r="C8" i="22"/>
  <c r="E41" i="21"/>
  <c r="E57" i="21" s="1"/>
  <c r="I37" i="21"/>
  <c r="I53" i="21" s="1"/>
  <c r="H36" i="21"/>
  <c r="H52" i="21" s="1"/>
  <c r="G35" i="21"/>
  <c r="G51" i="21" s="1"/>
  <c r="D32" i="21"/>
  <c r="D48" i="21" s="1"/>
  <c r="C11" i="21"/>
  <c r="C12" i="21" s="1"/>
  <c r="C13" i="21" s="1"/>
  <c r="C39" i="21" s="1"/>
  <c r="C55" i="21" s="1"/>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4" i="14"/>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H112" i="8"/>
  <c r="G112" i="8"/>
  <c r="F112" i="8"/>
  <c r="E112" i="8"/>
  <c r="D112" i="8"/>
  <c r="C112" i="8"/>
  <c r="H111" i="8"/>
  <c r="G111" i="8"/>
  <c r="F111" i="8"/>
  <c r="E111" i="8"/>
  <c r="D111" i="8"/>
  <c r="C111" i="8"/>
  <c r="G104" i="8"/>
  <c r="F104" i="8"/>
  <c r="H99" i="8"/>
  <c r="G99" i="8"/>
  <c r="F99" i="8"/>
  <c r="E99" i="8"/>
  <c r="D99" i="8"/>
  <c r="C99" i="8"/>
  <c r="H93" i="8"/>
  <c r="G93" i="8"/>
  <c r="F93" i="8"/>
  <c r="E93" i="8"/>
  <c r="D93" i="8"/>
  <c r="C93" i="8"/>
  <c r="C94" i="8" s="1"/>
  <c r="H92" i="8"/>
  <c r="G92" i="8"/>
  <c r="F92" i="8"/>
  <c r="E92" i="8"/>
  <c r="D92" i="8"/>
  <c r="C92"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H87" i="8" s="1"/>
  <c r="G75" i="8"/>
  <c r="F75" i="8"/>
  <c r="E75" i="8"/>
  <c r="D75" i="8"/>
  <c r="C75" i="8"/>
  <c r="H74" i="8"/>
  <c r="G74" i="8"/>
  <c r="F74" i="8"/>
  <c r="E74" i="8"/>
  <c r="D74" i="8"/>
  <c r="C74" i="8"/>
  <c r="H73" i="8"/>
  <c r="G73" i="8"/>
  <c r="F73" i="8"/>
  <c r="E73" i="8"/>
  <c r="D73" i="8"/>
  <c r="C73" i="8"/>
  <c r="H72" i="8"/>
  <c r="G72" i="8"/>
  <c r="F72" i="8"/>
  <c r="F87" i="8" s="1"/>
  <c r="E72" i="8"/>
  <c r="D72" i="8"/>
  <c r="C72" i="8"/>
  <c r="C87" i="8" s="1"/>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E94" i="8" s="1"/>
  <c r="D65" i="8"/>
  <c r="C65" i="8"/>
  <c r="H64" i="8"/>
  <c r="G64" i="8"/>
  <c r="F64" i="8"/>
  <c r="E64" i="8"/>
  <c r="D64" i="8"/>
  <c r="C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G58" i="8"/>
  <c r="G86" i="8" s="1"/>
  <c r="F58" i="8"/>
  <c r="F86" i="8" s="1"/>
  <c r="F88" i="8" s="1"/>
  <c r="F122" i="8" s="1"/>
  <c r="D58" i="8"/>
  <c r="H57" i="8"/>
  <c r="G57" i="8"/>
  <c r="F57" i="8"/>
  <c r="E57" i="8"/>
  <c r="D57" i="8"/>
  <c r="H56" i="8"/>
  <c r="G56" i="8"/>
  <c r="F56" i="8"/>
  <c r="E56" i="8"/>
  <c r="D56" i="8"/>
  <c r="C56" i="8"/>
  <c r="C57" i="8" s="1"/>
  <c r="H55" i="8"/>
  <c r="G55" i="8"/>
  <c r="F55" i="8"/>
  <c r="E55" i="8"/>
  <c r="D55" i="8"/>
  <c r="C55" i="8"/>
  <c r="H52" i="8"/>
  <c r="G52" i="8"/>
  <c r="F52" i="8"/>
  <c r="E52" i="8"/>
  <c r="D52" i="8"/>
  <c r="C52" i="8"/>
  <c r="H49" i="8"/>
  <c r="G49" i="8"/>
  <c r="F48" i="8"/>
  <c r="H47" i="8"/>
  <c r="H48" i="8" s="1"/>
  <c r="G47" i="8"/>
  <c r="G48" i="8" s="1"/>
  <c r="F47" i="8"/>
  <c r="F49" i="8" s="1"/>
  <c r="E47" i="8"/>
  <c r="D47" i="8"/>
  <c r="C47" i="8"/>
  <c r="C48" i="8" s="1"/>
  <c r="C51" i="8" s="1"/>
  <c r="C157" i="6"/>
  <c r="B157" i="6"/>
  <c r="F157" i="6" s="1"/>
  <c r="C156" i="6"/>
  <c r="B156" i="6"/>
  <c r="F156" i="6" s="1"/>
  <c r="C155" i="6"/>
  <c r="B155" i="6"/>
  <c r="F155" i="6" s="1"/>
  <c r="C154" i="6"/>
  <c r="B154" i="6"/>
  <c r="F154" i="6" s="1"/>
  <c r="C153" i="6"/>
  <c r="B153" i="6"/>
  <c r="F153" i="6" s="1"/>
  <c r="C152" i="6"/>
  <c r="B152" i="6"/>
  <c r="F152" i="6" s="1"/>
  <c r="C151" i="6"/>
  <c r="B151" i="6"/>
  <c r="F151" i="6" s="1"/>
  <c r="C150" i="6"/>
  <c r="B150" i="6"/>
  <c r="F150" i="6" s="1"/>
  <c r="C149" i="6"/>
  <c r="B149" i="6"/>
  <c r="F149" i="6" s="1"/>
  <c r="C148" i="6"/>
  <c r="B148" i="6"/>
  <c r="F148" i="6" s="1"/>
  <c r="C147" i="6"/>
  <c r="B147" i="6"/>
  <c r="F147" i="6" s="1"/>
  <c r="C146" i="6"/>
  <c r="B146" i="6"/>
  <c r="F146" i="6" s="1"/>
  <c r="C145" i="6"/>
  <c r="B145" i="6"/>
  <c r="F145" i="6" s="1"/>
  <c r="C144" i="6"/>
  <c r="B144" i="6"/>
  <c r="F144" i="6" s="1"/>
  <c r="C143" i="6"/>
  <c r="B143" i="6"/>
  <c r="F143" i="6" s="1"/>
  <c r="C142" i="6"/>
  <c r="B142" i="6"/>
  <c r="F142" i="6" s="1"/>
  <c r="C141" i="6"/>
  <c r="B141" i="6"/>
  <c r="C140" i="6"/>
  <c r="B140" i="6"/>
  <c r="C139" i="6"/>
  <c r="B139" i="6"/>
  <c r="C138" i="6"/>
  <c r="B138" i="6"/>
  <c r="C137" i="6"/>
  <c r="B137" i="6"/>
  <c r="C136" i="6"/>
  <c r="B136" i="6"/>
  <c r="C135" i="6"/>
  <c r="B135" i="6"/>
  <c r="F135" i="6" s="1"/>
  <c r="C134" i="6"/>
  <c r="B134" i="6"/>
  <c r="F134" i="6" s="1"/>
  <c r="C125" i="6"/>
  <c r="B107" i="6"/>
  <c r="B106" i="6"/>
  <c r="B105" i="6"/>
  <c r="B104" i="6"/>
  <c r="B103" i="6"/>
  <c r="B102" i="6"/>
  <c r="B101" i="6"/>
  <c r="B100" i="6"/>
  <c r="B99" i="6"/>
  <c r="B98" i="6"/>
  <c r="B97" i="6"/>
  <c r="B96" i="6"/>
  <c r="E91" i="6"/>
  <c r="F91" i="6" s="1"/>
  <c r="D91" i="6"/>
  <c r="C91" i="6"/>
  <c r="B91" i="6"/>
  <c r="E90" i="6"/>
  <c r="B90" i="6"/>
  <c r="D90" i="6" s="1"/>
  <c r="F90" i="6" s="1"/>
  <c r="C89" i="6"/>
  <c r="B89" i="6"/>
  <c r="E89" i="6" s="1"/>
  <c r="B88" i="6"/>
  <c r="E88" i="6" s="1"/>
  <c r="E87" i="6"/>
  <c r="F87" i="6" s="1"/>
  <c r="D87" i="6"/>
  <c r="C87" i="6"/>
  <c r="B87" i="6"/>
  <c r="B86" i="6"/>
  <c r="C85" i="6"/>
  <c r="B85" i="6"/>
  <c r="E85" i="6" s="1"/>
  <c r="D84" i="6"/>
  <c r="C84" i="6"/>
  <c r="B84" i="6"/>
  <c r="E84" i="6" s="1"/>
  <c r="E83" i="6"/>
  <c r="F83" i="6" s="1"/>
  <c r="D83" i="6"/>
  <c r="C83" i="6"/>
  <c r="B83" i="6"/>
  <c r="E82" i="6"/>
  <c r="B82" i="6"/>
  <c r="D82" i="6" s="1"/>
  <c r="F82" i="6" s="1"/>
  <c r="C81" i="6"/>
  <c r="B81" i="6"/>
  <c r="E81" i="6" s="1"/>
  <c r="B80" i="6"/>
  <c r="E79" i="6"/>
  <c r="F79" i="6" s="1"/>
  <c r="D79" i="6"/>
  <c r="C79" i="6"/>
  <c r="B79" i="6"/>
  <c r="B78" i="6"/>
  <c r="C77" i="6"/>
  <c r="B77" i="6"/>
  <c r="E77" i="6" s="1"/>
  <c r="D76" i="6"/>
  <c r="C76" i="6"/>
  <c r="B76" i="6"/>
  <c r="E76" i="6" s="1"/>
  <c r="F76" i="6" s="1"/>
  <c r="E75" i="6"/>
  <c r="F75" i="6" s="1"/>
  <c r="D75" i="6"/>
  <c r="C75" i="6"/>
  <c r="B75" i="6"/>
  <c r="E74" i="6"/>
  <c r="B74" i="6"/>
  <c r="D74" i="6" s="1"/>
  <c r="F74" i="6" s="1"/>
  <c r="C73" i="6"/>
  <c r="B73" i="6"/>
  <c r="E73" i="6" s="1"/>
  <c r="B72" i="6"/>
  <c r="E72" i="6" s="1"/>
  <c r="E71" i="6"/>
  <c r="F71" i="6" s="1"/>
  <c r="D71" i="6"/>
  <c r="C71" i="6"/>
  <c r="B71" i="6"/>
  <c r="B70" i="6"/>
  <c r="C69" i="6"/>
  <c r="B69" i="6"/>
  <c r="D68" i="6"/>
  <c r="C68" i="6"/>
  <c r="B68" i="6"/>
  <c r="E68" i="6" s="1"/>
  <c r="E67" i="6"/>
  <c r="F67" i="6" s="1"/>
  <c r="D67" i="6"/>
  <c r="C67" i="6"/>
  <c r="B67" i="6"/>
  <c r="E66" i="6"/>
  <c r="B66" i="6"/>
  <c r="D66" i="6" s="1"/>
  <c r="F66" i="6" s="1"/>
  <c r="B65" i="6"/>
  <c r="B64" i="6"/>
  <c r="E64" i="6" s="1"/>
  <c r="E63" i="6"/>
  <c r="D63" i="6"/>
  <c r="C63" i="6"/>
  <c r="B63" i="6"/>
  <c r="B62" i="6"/>
  <c r="C61" i="6"/>
  <c r="B61" i="6"/>
  <c r="E61" i="6" s="1"/>
  <c r="D60" i="6"/>
  <c r="C60" i="6"/>
  <c r="B60" i="6"/>
  <c r="E60" i="6" s="1"/>
  <c r="E59" i="6"/>
  <c r="F59" i="6" s="1"/>
  <c r="D59" i="6"/>
  <c r="C59" i="6"/>
  <c r="B59" i="6"/>
  <c r="E58" i="6"/>
  <c r="F58" i="6" s="1"/>
  <c r="B58" i="6"/>
  <c r="D58" i="6" s="1"/>
  <c r="B57" i="6"/>
  <c r="D56" i="6"/>
  <c r="B56" i="6"/>
  <c r="E56" i="6" s="1"/>
  <c r="F56" i="6" s="1"/>
  <c r="E55" i="6"/>
  <c r="F55" i="6" s="1"/>
  <c r="D55" i="6"/>
  <c r="C55" i="6"/>
  <c r="B55" i="6"/>
  <c r="B54" i="6"/>
  <c r="F53" i="6"/>
  <c r="E53" i="6"/>
  <c r="C53" i="6"/>
  <c r="B53" i="6"/>
  <c r="D53" i="6" s="1"/>
  <c r="D52" i="6"/>
  <c r="C52" i="6"/>
  <c r="B52" i="6"/>
  <c r="E52" i="6" s="1"/>
  <c r="F52" i="6" s="1"/>
  <c r="E51" i="6"/>
  <c r="F51" i="6" s="1"/>
  <c r="D51" i="6"/>
  <c r="C51" i="6"/>
  <c r="B51" i="6"/>
  <c r="B50" i="6"/>
  <c r="D50" i="6" s="1"/>
  <c r="C49" i="6"/>
  <c r="B49" i="6"/>
  <c r="D48" i="6"/>
  <c r="B48" i="6"/>
  <c r="E48" i="6" s="1"/>
  <c r="F48" i="6" s="1"/>
  <c r="E47" i="6"/>
  <c r="D47" i="6"/>
  <c r="C47" i="6"/>
  <c r="B47" i="6"/>
  <c r="B46" i="6"/>
  <c r="C45" i="6"/>
  <c r="B45" i="6"/>
  <c r="D45" i="6" s="1"/>
  <c r="D44" i="6"/>
  <c r="C44" i="6"/>
  <c r="B44" i="6"/>
  <c r="E44" i="6" s="1"/>
  <c r="F44" i="6" s="1"/>
  <c r="D43" i="6"/>
  <c r="C43" i="6"/>
  <c r="B43" i="6"/>
  <c r="E42" i="6"/>
  <c r="F42" i="6" s="1"/>
  <c r="B42" i="6"/>
  <c r="D42" i="6" s="1"/>
  <c r="C41" i="6"/>
  <c r="B41" i="6"/>
  <c r="F37" i="6"/>
  <c r="E37" i="6"/>
  <c r="G37" i="6" s="1"/>
  <c r="D37" i="6"/>
  <c r="C37" i="6"/>
  <c r="B37" i="6"/>
  <c r="C36" i="6"/>
  <c r="B36" i="6"/>
  <c r="E35" i="6"/>
  <c r="G35" i="6" s="1"/>
  <c r="D35" i="6"/>
  <c r="C35" i="6"/>
  <c r="B35" i="6"/>
  <c r="F35" i="6" s="1"/>
  <c r="C34" i="6"/>
  <c r="B34" i="6"/>
  <c r="F33" i="6"/>
  <c r="E33" i="6"/>
  <c r="G33" i="6" s="1"/>
  <c r="D33" i="6"/>
  <c r="C33" i="6"/>
  <c r="B33" i="6"/>
  <c r="C32" i="6"/>
  <c r="B32" i="6"/>
  <c r="E31" i="6"/>
  <c r="G31" i="6" s="1"/>
  <c r="D31" i="6"/>
  <c r="C31" i="6"/>
  <c r="B31" i="6"/>
  <c r="F31" i="6" s="1"/>
  <c r="C30" i="6"/>
  <c r="B30" i="6"/>
  <c r="D29" i="6"/>
  <c r="C29" i="6"/>
  <c r="B29" i="6"/>
  <c r="C28" i="6"/>
  <c r="B28" i="6"/>
  <c r="D27" i="6"/>
  <c r="C27" i="6"/>
  <c r="B27" i="6"/>
  <c r="B26" i="6"/>
  <c r="C18" i="6"/>
  <c r="C6" i="6"/>
  <c r="C5" i="6"/>
  <c r="DH304" i="5"/>
  <c r="DG304" i="5"/>
  <c r="DA304" i="5"/>
  <c r="CX304" i="5"/>
  <c r="CI304" i="5"/>
  <c r="CJ304" i="5" s="1"/>
  <c r="CH304" i="5"/>
  <c r="CG304" i="5"/>
  <c r="CF304" i="5"/>
  <c r="CE304" i="5"/>
  <c r="CD304" i="5"/>
  <c r="CC304" i="5"/>
  <c r="CB304" i="5"/>
  <c r="CA304" i="5"/>
  <c r="BZ304" i="5"/>
  <c r="BY304" i="5"/>
  <c r="BX304" i="5"/>
  <c r="BW304" i="5"/>
  <c r="BV304" i="5"/>
  <c r="BU304" i="5"/>
  <c r="BT304" i="5"/>
  <c r="BS304" i="5"/>
  <c r="BR304" i="5"/>
  <c r="BQ304" i="5"/>
  <c r="BP304" i="5"/>
  <c r="BO304" i="5"/>
  <c r="BN304" i="5"/>
  <c r="BM304" i="5"/>
  <c r="BL304" i="5"/>
  <c r="BK304" i="5"/>
  <c r="BJ304" i="5"/>
  <c r="BI304" i="5"/>
  <c r="BH304" i="5"/>
  <c r="BG304" i="5"/>
  <c r="BF304" i="5"/>
  <c r="BE304" i="5"/>
  <c r="BD304" i="5"/>
  <c r="BC304" i="5"/>
  <c r="BB304" i="5"/>
  <c r="BA304" i="5"/>
  <c r="AZ304" i="5"/>
  <c r="AY304" i="5"/>
  <c r="AX304" i="5"/>
  <c r="AW304" i="5"/>
  <c r="AV304" i="5"/>
  <c r="AU304" i="5"/>
  <c r="AT304" i="5"/>
  <c r="AS304" i="5"/>
  <c r="AR304" i="5"/>
  <c r="DH303" i="5"/>
  <c r="DG303" i="5"/>
  <c r="DA303" i="5"/>
  <c r="CX303" i="5"/>
  <c r="CH303" i="5"/>
  <c r="CG303" i="5"/>
  <c r="CF303" i="5"/>
  <c r="CE303" i="5"/>
  <c r="CK303" i="5" s="1"/>
  <c r="CD303" i="5"/>
  <c r="CC303" i="5"/>
  <c r="CB303" i="5"/>
  <c r="CA303" i="5"/>
  <c r="BZ303" i="5"/>
  <c r="BY303" i="5"/>
  <c r="BX303" i="5"/>
  <c r="BW303" i="5"/>
  <c r="BV303" i="5"/>
  <c r="BU303" i="5"/>
  <c r="BT303" i="5"/>
  <c r="BS303" i="5"/>
  <c r="BR303" i="5"/>
  <c r="BQ303" i="5"/>
  <c r="BP303" i="5"/>
  <c r="BO303" i="5"/>
  <c r="BN303" i="5"/>
  <c r="BM303" i="5"/>
  <c r="BL303" i="5"/>
  <c r="BK303" i="5"/>
  <c r="BJ303" i="5"/>
  <c r="BI303" i="5"/>
  <c r="BH303" i="5"/>
  <c r="BG303" i="5"/>
  <c r="BF303" i="5"/>
  <c r="BE303" i="5"/>
  <c r="BD303" i="5"/>
  <c r="BC303" i="5"/>
  <c r="BB303" i="5"/>
  <c r="BA303" i="5"/>
  <c r="AZ303" i="5"/>
  <c r="AY303" i="5"/>
  <c r="AX303" i="5"/>
  <c r="AW303" i="5"/>
  <c r="AV303" i="5"/>
  <c r="AU303" i="5"/>
  <c r="AT303" i="5"/>
  <c r="AS303" i="5"/>
  <c r="AR303" i="5"/>
  <c r="DH302" i="5"/>
  <c r="DG302" i="5"/>
  <c r="DA302" i="5"/>
  <c r="CX302" i="5"/>
  <c r="CK302" i="5"/>
  <c r="CH302" i="5"/>
  <c r="CG302" i="5"/>
  <c r="CF302" i="5"/>
  <c r="CE302" i="5"/>
  <c r="CI302" i="5" s="1"/>
  <c r="CJ302" i="5" s="1"/>
  <c r="CL302" i="5" s="1"/>
  <c r="CM302" i="5" s="1"/>
  <c r="CD302" i="5"/>
  <c r="CC302" i="5"/>
  <c r="CB302" i="5"/>
  <c r="CA302" i="5"/>
  <c r="BZ302" i="5"/>
  <c r="BY302" i="5"/>
  <c r="BX302" i="5"/>
  <c r="BW302" i="5"/>
  <c r="BV302" i="5"/>
  <c r="BU302" i="5"/>
  <c r="BT302" i="5"/>
  <c r="BS302" i="5"/>
  <c r="BR302" i="5"/>
  <c r="BQ302" i="5"/>
  <c r="BP302" i="5"/>
  <c r="BO302" i="5"/>
  <c r="BN302" i="5"/>
  <c r="BM302" i="5"/>
  <c r="BL302" i="5"/>
  <c r="BK302" i="5"/>
  <c r="BJ302" i="5"/>
  <c r="BI302" i="5"/>
  <c r="BH302" i="5"/>
  <c r="BG302" i="5"/>
  <c r="BF302" i="5"/>
  <c r="BE302" i="5"/>
  <c r="BD302" i="5"/>
  <c r="BC302" i="5"/>
  <c r="BB302" i="5"/>
  <c r="BA302" i="5"/>
  <c r="AZ302" i="5"/>
  <c r="AY302" i="5"/>
  <c r="AX302" i="5"/>
  <c r="AW302" i="5"/>
  <c r="AV302" i="5"/>
  <c r="AU302" i="5"/>
  <c r="AT302" i="5"/>
  <c r="AS302" i="5"/>
  <c r="AR302" i="5"/>
  <c r="DH301" i="5"/>
  <c r="DG301" i="5"/>
  <c r="DA301" i="5"/>
  <c r="CX301" i="5"/>
  <c r="CK301" i="5"/>
  <c r="CH301" i="5"/>
  <c r="CG301" i="5"/>
  <c r="CF301" i="5"/>
  <c r="CE301" i="5"/>
  <c r="CI301" i="5" s="1"/>
  <c r="CJ301" i="5" s="1"/>
  <c r="CD301" i="5"/>
  <c r="CC301" i="5"/>
  <c r="CB301" i="5"/>
  <c r="CA301" i="5"/>
  <c r="BZ301" i="5"/>
  <c r="BY301" i="5"/>
  <c r="BX301" i="5"/>
  <c r="BW301" i="5"/>
  <c r="BV301" i="5"/>
  <c r="BU301" i="5"/>
  <c r="BT301" i="5"/>
  <c r="BS301" i="5"/>
  <c r="BR301" i="5"/>
  <c r="BQ301" i="5"/>
  <c r="BP301" i="5"/>
  <c r="BO301" i="5"/>
  <c r="BN301" i="5"/>
  <c r="BM301" i="5"/>
  <c r="BL301" i="5"/>
  <c r="BK301" i="5"/>
  <c r="BJ301" i="5"/>
  <c r="BI301" i="5"/>
  <c r="BH301" i="5"/>
  <c r="BG301" i="5"/>
  <c r="BF301" i="5"/>
  <c r="BE301" i="5"/>
  <c r="BD301" i="5"/>
  <c r="BC301" i="5"/>
  <c r="BB301" i="5"/>
  <c r="BA301" i="5"/>
  <c r="AZ301" i="5"/>
  <c r="AY301" i="5"/>
  <c r="AX301" i="5"/>
  <c r="AW301" i="5"/>
  <c r="AV301" i="5"/>
  <c r="AU301" i="5"/>
  <c r="AT301" i="5"/>
  <c r="AS301" i="5"/>
  <c r="AR301" i="5"/>
  <c r="DH300" i="5"/>
  <c r="DG300" i="5"/>
  <c r="DA300" i="5"/>
  <c r="CX300" i="5"/>
  <c r="CH300" i="5"/>
  <c r="CG300" i="5"/>
  <c r="CF300" i="5"/>
  <c r="CE300" i="5"/>
  <c r="CD300" i="5"/>
  <c r="CC300" i="5"/>
  <c r="CB300" i="5"/>
  <c r="CA300" i="5"/>
  <c r="BZ300" i="5"/>
  <c r="BY300" i="5"/>
  <c r="BX300" i="5"/>
  <c r="BW300" i="5"/>
  <c r="BV300" i="5"/>
  <c r="BU300" i="5"/>
  <c r="BT300" i="5"/>
  <c r="BS300" i="5"/>
  <c r="BR300" i="5"/>
  <c r="BQ300" i="5"/>
  <c r="BP300" i="5"/>
  <c r="BO300" i="5"/>
  <c r="BN300" i="5"/>
  <c r="BM300" i="5"/>
  <c r="BL300" i="5"/>
  <c r="BK300" i="5"/>
  <c r="BJ300" i="5"/>
  <c r="BI300" i="5"/>
  <c r="BH300" i="5"/>
  <c r="BG300" i="5"/>
  <c r="BF300" i="5"/>
  <c r="BE300" i="5"/>
  <c r="BD300" i="5"/>
  <c r="BC300" i="5"/>
  <c r="BB300" i="5"/>
  <c r="BA300" i="5"/>
  <c r="AZ300" i="5"/>
  <c r="AY300" i="5"/>
  <c r="AX300" i="5"/>
  <c r="AW300" i="5"/>
  <c r="AV300" i="5"/>
  <c r="AU300" i="5"/>
  <c r="AT300" i="5"/>
  <c r="AS300" i="5"/>
  <c r="AR300" i="5"/>
  <c r="DH299" i="5"/>
  <c r="DG299" i="5"/>
  <c r="DA299" i="5"/>
  <c r="CX299" i="5"/>
  <c r="CH299" i="5"/>
  <c r="CG299" i="5"/>
  <c r="CF299" i="5"/>
  <c r="CE299" i="5"/>
  <c r="CK299" i="5" s="1"/>
  <c r="CD299" i="5"/>
  <c r="CC299" i="5"/>
  <c r="CB299" i="5"/>
  <c r="CA299" i="5"/>
  <c r="BZ299" i="5"/>
  <c r="BY299" i="5"/>
  <c r="BX299" i="5"/>
  <c r="BW299" i="5"/>
  <c r="BV299" i="5"/>
  <c r="BU299" i="5"/>
  <c r="BT299" i="5"/>
  <c r="BS299" i="5"/>
  <c r="BR299" i="5"/>
  <c r="BQ299" i="5"/>
  <c r="BP299" i="5"/>
  <c r="BO299" i="5"/>
  <c r="BN299" i="5"/>
  <c r="BM299" i="5"/>
  <c r="BL299" i="5"/>
  <c r="BK299" i="5"/>
  <c r="BJ299" i="5"/>
  <c r="BI299" i="5"/>
  <c r="BH299" i="5"/>
  <c r="BG299" i="5"/>
  <c r="BF299" i="5"/>
  <c r="BE299" i="5"/>
  <c r="BD299" i="5"/>
  <c r="BC299" i="5"/>
  <c r="BB299" i="5"/>
  <c r="BA299" i="5"/>
  <c r="AZ299" i="5"/>
  <c r="AY299" i="5"/>
  <c r="AX299" i="5"/>
  <c r="AW299" i="5"/>
  <c r="AV299" i="5"/>
  <c r="AU299" i="5"/>
  <c r="AT299" i="5"/>
  <c r="AS299" i="5"/>
  <c r="AR299" i="5"/>
  <c r="DH298" i="5"/>
  <c r="DG298" i="5"/>
  <c r="DA298" i="5"/>
  <c r="CX298" i="5"/>
  <c r="CH298" i="5"/>
  <c r="CG298" i="5"/>
  <c r="CF298" i="5"/>
  <c r="CD298" i="5"/>
  <c r="CE298" i="5" s="1"/>
  <c r="CC298" i="5"/>
  <c r="CB298" i="5"/>
  <c r="CA298" i="5"/>
  <c r="BZ298" i="5"/>
  <c r="BY298" i="5"/>
  <c r="BX298" i="5"/>
  <c r="BW298" i="5"/>
  <c r="BV298" i="5"/>
  <c r="BU298" i="5"/>
  <c r="BT298" i="5"/>
  <c r="BS298" i="5"/>
  <c r="BR298" i="5"/>
  <c r="BQ298" i="5"/>
  <c r="BP298" i="5"/>
  <c r="BO298" i="5"/>
  <c r="BN298" i="5"/>
  <c r="BM298" i="5"/>
  <c r="BL298" i="5"/>
  <c r="BK298" i="5"/>
  <c r="BJ298" i="5"/>
  <c r="BI298" i="5"/>
  <c r="BH298" i="5"/>
  <c r="BG298" i="5"/>
  <c r="BF298" i="5"/>
  <c r="BE298" i="5"/>
  <c r="BD298" i="5"/>
  <c r="BC298" i="5"/>
  <c r="BB298" i="5"/>
  <c r="BA298" i="5"/>
  <c r="AZ298" i="5"/>
  <c r="AX298" i="5"/>
  <c r="AY298" i="5" s="1"/>
  <c r="AW298" i="5"/>
  <c r="AV298" i="5"/>
  <c r="AU298" i="5"/>
  <c r="AT298" i="5"/>
  <c r="AS298" i="5"/>
  <c r="AR298" i="5"/>
  <c r="DH297" i="5"/>
  <c r="DG297" i="5"/>
  <c r="DA297" i="5"/>
  <c r="CX297" i="5"/>
  <c r="CG297" i="5"/>
  <c r="CF297" i="5"/>
  <c r="CD297" i="5"/>
  <c r="CE297" i="5" s="1"/>
  <c r="CC297" i="5"/>
  <c r="CB297" i="5"/>
  <c r="CA297" i="5"/>
  <c r="BZ297" i="5"/>
  <c r="BY297" i="5"/>
  <c r="BX297" i="5"/>
  <c r="BW297" i="5"/>
  <c r="BV297" i="5"/>
  <c r="BU297" i="5"/>
  <c r="BT297" i="5"/>
  <c r="BS297" i="5"/>
  <c r="BR297" i="5"/>
  <c r="BQ297" i="5"/>
  <c r="BP297" i="5"/>
  <c r="BO297" i="5"/>
  <c r="BN297" i="5"/>
  <c r="BM297" i="5"/>
  <c r="BL297" i="5"/>
  <c r="BK297" i="5"/>
  <c r="BJ297" i="5"/>
  <c r="BI297" i="5"/>
  <c r="BH297" i="5"/>
  <c r="BG297" i="5"/>
  <c r="BF297" i="5"/>
  <c r="BE297" i="5"/>
  <c r="BD297" i="5"/>
  <c r="BC297" i="5"/>
  <c r="BB297" i="5"/>
  <c r="BA297" i="5"/>
  <c r="AZ297" i="5"/>
  <c r="AX297" i="5"/>
  <c r="AY297" i="5" s="1"/>
  <c r="AW297" i="5"/>
  <c r="AV297" i="5"/>
  <c r="AU297" i="5"/>
  <c r="AT297" i="5"/>
  <c r="AS297" i="5"/>
  <c r="AR297" i="5"/>
  <c r="DH296" i="5"/>
  <c r="DG296" i="5"/>
  <c r="DA296" i="5"/>
  <c r="CX296" i="5"/>
  <c r="CG296" i="5"/>
  <c r="CF296" i="5"/>
  <c r="CD296" i="5"/>
  <c r="CH296" i="5" s="1"/>
  <c r="CC296" i="5"/>
  <c r="CB296" i="5"/>
  <c r="CA296" i="5"/>
  <c r="BZ296" i="5"/>
  <c r="BY296" i="5"/>
  <c r="BX296" i="5"/>
  <c r="BW296" i="5"/>
  <c r="BV296" i="5"/>
  <c r="BU296" i="5"/>
  <c r="BT296" i="5"/>
  <c r="BS296" i="5"/>
  <c r="BR296" i="5"/>
  <c r="BQ296" i="5"/>
  <c r="BP296" i="5"/>
  <c r="BO296" i="5"/>
  <c r="BN296" i="5"/>
  <c r="BM296" i="5"/>
  <c r="BL296" i="5"/>
  <c r="BK296" i="5"/>
  <c r="BJ296" i="5"/>
  <c r="BI296" i="5"/>
  <c r="BH296" i="5"/>
  <c r="BG296" i="5"/>
  <c r="BF296" i="5"/>
  <c r="BE296" i="5"/>
  <c r="BD296" i="5"/>
  <c r="BC296" i="5"/>
  <c r="BB296" i="5"/>
  <c r="BA296" i="5"/>
  <c r="AZ296" i="5"/>
  <c r="AX296" i="5"/>
  <c r="AY296" i="5" s="1"/>
  <c r="AW296" i="5"/>
  <c r="AV296" i="5"/>
  <c r="AU296" i="5"/>
  <c r="AT296" i="5"/>
  <c r="AS296" i="5"/>
  <c r="AR296" i="5"/>
  <c r="DH295" i="5"/>
  <c r="DG295" i="5"/>
  <c r="DA295" i="5"/>
  <c r="CX295" i="5"/>
  <c r="CG295" i="5"/>
  <c r="CF295" i="5"/>
  <c r="CD295" i="5"/>
  <c r="CE295" i="5" s="1"/>
  <c r="CC295" i="5"/>
  <c r="CB295" i="5"/>
  <c r="CA295" i="5"/>
  <c r="BZ295" i="5"/>
  <c r="BY295" i="5"/>
  <c r="BX295" i="5"/>
  <c r="BW295" i="5"/>
  <c r="BV295" i="5"/>
  <c r="BU295" i="5"/>
  <c r="BT295" i="5"/>
  <c r="BS295" i="5"/>
  <c r="BR295" i="5"/>
  <c r="BQ295" i="5"/>
  <c r="BP295" i="5"/>
  <c r="BO295" i="5"/>
  <c r="BN295" i="5"/>
  <c r="BM295" i="5"/>
  <c r="BL295" i="5"/>
  <c r="BK295" i="5"/>
  <c r="BJ295" i="5"/>
  <c r="BI295" i="5"/>
  <c r="BH295" i="5"/>
  <c r="BG295" i="5"/>
  <c r="BF295" i="5"/>
  <c r="BE295" i="5"/>
  <c r="BD295" i="5"/>
  <c r="BC295" i="5"/>
  <c r="BB295" i="5"/>
  <c r="BA295" i="5"/>
  <c r="AZ295" i="5"/>
  <c r="AX295" i="5"/>
  <c r="AY295" i="5" s="1"/>
  <c r="AW295" i="5"/>
  <c r="AV295" i="5"/>
  <c r="AU295" i="5"/>
  <c r="AT295" i="5"/>
  <c r="AS295" i="5"/>
  <c r="AR295" i="5"/>
  <c r="DH294" i="5"/>
  <c r="DG294" i="5"/>
  <c r="DA294" i="5"/>
  <c r="CX294" i="5"/>
  <c r="CH294" i="5"/>
  <c r="CG294" i="5"/>
  <c r="CF294" i="5"/>
  <c r="CD294" i="5"/>
  <c r="CE294" i="5" s="1"/>
  <c r="CC294" i="5"/>
  <c r="CB294" i="5"/>
  <c r="CA294" i="5"/>
  <c r="BZ294" i="5"/>
  <c r="BY294" i="5"/>
  <c r="BX294" i="5"/>
  <c r="BW294" i="5"/>
  <c r="BV294" i="5"/>
  <c r="BU294" i="5"/>
  <c r="BT294" i="5"/>
  <c r="BS294" i="5"/>
  <c r="BR294" i="5"/>
  <c r="BQ294" i="5"/>
  <c r="BP294" i="5"/>
  <c r="BO294" i="5"/>
  <c r="BN294" i="5"/>
  <c r="BM294" i="5"/>
  <c r="BL294" i="5"/>
  <c r="BK294" i="5"/>
  <c r="BJ294" i="5"/>
  <c r="BI294" i="5"/>
  <c r="BH294" i="5"/>
  <c r="BG294" i="5"/>
  <c r="BF294" i="5"/>
  <c r="BE294" i="5"/>
  <c r="BD294" i="5"/>
  <c r="BC294" i="5"/>
  <c r="BB294" i="5"/>
  <c r="BA294" i="5"/>
  <c r="AZ294" i="5"/>
  <c r="AX294" i="5"/>
  <c r="AY294" i="5" s="1"/>
  <c r="AW294" i="5"/>
  <c r="AV294" i="5"/>
  <c r="AU294" i="5"/>
  <c r="AT294" i="5"/>
  <c r="AS294" i="5"/>
  <c r="AR294" i="5"/>
  <c r="DH293" i="5"/>
  <c r="DG293" i="5"/>
  <c r="DA293" i="5"/>
  <c r="CX293" i="5"/>
  <c r="CH293" i="5"/>
  <c r="CG293" i="5"/>
  <c r="CF293" i="5"/>
  <c r="CE293" i="5"/>
  <c r="CK293" i="5" s="1"/>
  <c r="CD293" i="5"/>
  <c r="CC293" i="5"/>
  <c r="CB293" i="5"/>
  <c r="CA293" i="5"/>
  <c r="BZ293" i="5"/>
  <c r="BY293" i="5"/>
  <c r="BX293" i="5"/>
  <c r="BW293" i="5"/>
  <c r="BV293" i="5"/>
  <c r="BU293" i="5"/>
  <c r="BT293" i="5"/>
  <c r="BS293" i="5"/>
  <c r="BR293" i="5"/>
  <c r="BQ293" i="5"/>
  <c r="BP293" i="5"/>
  <c r="BO293" i="5"/>
  <c r="BN293" i="5"/>
  <c r="BM293" i="5"/>
  <c r="BL293" i="5"/>
  <c r="BK293" i="5"/>
  <c r="BJ293" i="5"/>
  <c r="BI293" i="5"/>
  <c r="BH293" i="5"/>
  <c r="BG293" i="5"/>
  <c r="BF293" i="5"/>
  <c r="BE293" i="5"/>
  <c r="BD293" i="5"/>
  <c r="BC293" i="5"/>
  <c r="BB293" i="5"/>
  <c r="BA293" i="5"/>
  <c r="AZ293" i="5"/>
  <c r="AY293" i="5"/>
  <c r="AX293" i="5"/>
  <c r="AW293" i="5"/>
  <c r="AV293" i="5"/>
  <c r="AU293" i="5"/>
  <c r="AT293" i="5"/>
  <c r="AS293" i="5"/>
  <c r="AR293" i="5"/>
  <c r="DH292" i="5"/>
  <c r="DG292" i="5"/>
  <c r="DA292" i="5"/>
  <c r="CX292" i="5"/>
  <c r="CH292" i="5"/>
  <c r="CG292" i="5"/>
  <c r="CF292" i="5"/>
  <c r="CE292" i="5"/>
  <c r="CD292" i="5"/>
  <c r="CC292" i="5"/>
  <c r="CB292" i="5"/>
  <c r="CA292" i="5"/>
  <c r="BZ292" i="5"/>
  <c r="BY292" i="5"/>
  <c r="BX292" i="5"/>
  <c r="BW292" i="5"/>
  <c r="BV292" i="5"/>
  <c r="BU292" i="5"/>
  <c r="BT292" i="5"/>
  <c r="BS292" i="5"/>
  <c r="BR292" i="5"/>
  <c r="BQ292" i="5"/>
  <c r="BP292" i="5"/>
  <c r="BO292" i="5"/>
  <c r="BN292" i="5"/>
  <c r="BM292" i="5"/>
  <c r="BL292" i="5"/>
  <c r="BK292" i="5"/>
  <c r="BJ292" i="5"/>
  <c r="BI292" i="5"/>
  <c r="BH292" i="5"/>
  <c r="BG292" i="5"/>
  <c r="BF292" i="5"/>
  <c r="BE292" i="5"/>
  <c r="BD292" i="5"/>
  <c r="BC292" i="5"/>
  <c r="BB292" i="5"/>
  <c r="BA292" i="5"/>
  <c r="AZ292" i="5"/>
  <c r="AY292" i="5"/>
  <c r="AX292" i="5"/>
  <c r="AW292" i="5"/>
  <c r="AV292" i="5"/>
  <c r="AU292" i="5"/>
  <c r="AT292" i="5"/>
  <c r="AS292" i="5"/>
  <c r="AR292" i="5"/>
  <c r="DH291" i="5"/>
  <c r="DG291" i="5"/>
  <c r="DA291" i="5"/>
  <c r="CX291" i="5"/>
  <c r="CK291" i="5"/>
  <c r="CH291" i="5"/>
  <c r="CG291" i="5"/>
  <c r="CF291" i="5"/>
  <c r="CE291" i="5"/>
  <c r="CI291" i="5" s="1"/>
  <c r="CJ291" i="5" s="1"/>
  <c r="CD291" i="5"/>
  <c r="CC291" i="5"/>
  <c r="CB291" i="5"/>
  <c r="CA291" i="5"/>
  <c r="BZ291" i="5"/>
  <c r="BY291" i="5"/>
  <c r="BX291" i="5"/>
  <c r="BW291" i="5"/>
  <c r="BV291" i="5"/>
  <c r="BU291" i="5"/>
  <c r="BT291" i="5"/>
  <c r="BS291" i="5"/>
  <c r="BR291" i="5"/>
  <c r="BQ291" i="5"/>
  <c r="BP291" i="5"/>
  <c r="BO291" i="5"/>
  <c r="BN291" i="5"/>
  <c r="BM291" i="5"/>
  <c r="BL291" i="5"/>
  <c r="BK291" i="5"/>
  <c r="BJ291" i="5"/>
  <c r="BI291" i="5"/>
  <c r="BH291" i="5"/>
  <c r="BG291" i="5"/>
  <c r="BF291" i="5"/>
  <c r="BE291" i="5"/>
  <c r="BD291" i="5"/>
  <c r="BC291" i="5"/>
  <c r="BB291" i="5"/>
  <c r="BA291" i="5"/>
  <c r="AZ291" i="5"/>
  <c r="AY291" i="5"/>
  <c r="AX291" i="5"/>
  <c r="AW291" i="5"/>
  <c r="AV291" i="5"/>
  <c r="AU291" i="5"/>
  <c r="AT291" i="5"/>
  <c r="AS291" i="5"/>
  <c r="AR291" i="5"/>
  <c r="DH290" i="5"/>
  <c r="DG290" i="5"/>
  <c r="DA290" i="5"/>
  <c r="CX290" i="5"/>
  <c r="CG290" i="5"/>
  <c r="CF290" i="5"/>
  <c r="CD290" i="5"/>
  <c r="CE290" i="5" s="1"/>
  <c r="CC290" i="5"/>
  <c r="CB290" i="5"/>
  <c r="CA290" i="5"/>
  <c r="BZ290" i="5"/>
  <c r="BY290" i="5"/>
  <c r="BX290" i="5"/>
  <c r="BW290" i="5"/>
  <c r="BV290" i="5"/>
  <c r="BU290" i="5"/>
  <c r="BT290" i="5"/>
  <c r="BS290" i="5"/>
  <c r="BR290" i="5"/>
  <c r="BQ290" i="5"/>
  <c r="BP290" i="5"/>
  <c r="BO290" i="5"/>
  <c r="BN290" i="5"/>
  <c r="BM290" i="5"/>
  <c r="BL290" i="5"/>
  <c r="BK290" i="5"/>
  <c r="BJ290" i="5"/>
  <c r="BI290" i="5"/>
  <c r="BH290" i="5"/>
  <c r="BG290" i="5"/>
  <c r="BF290" i="5"/>
  <c r="BE290" i="5"/>
  <c r="BD290" i="5"/>
  <c r="BC290" i="5"/>
  <c r="BB290" i="5"/>
  <c r="BA290" i="5"/>
  <c r="AZ290" i="5"/>
  <c r="AX290" i="5"/>
  <c r="AY290" i="5" s="1"/>
  <c r="AW290" i="5"/>
  <c r="AV290" i="5"/>
  <c r="AU290" i="5"/>
  <c r="AT290" i="5"/>
  <c r="AS290" i="5"/>
  <c r="AR290" i="5"/>
  <c r="DH289" i="5"/>
  <c r="DG289" i="5"/>
  <c r="DA289" i="5"/>
  <c r="CX289" i="5"/>
  <c r="CG289" i="5"/>
  <c r="CF289" i="5"/>
  <c r="CD289" i="5"/>
  <c r="CC289" i="5"/>
  <c r="CB289" i="5"/>
  <c r="CA289" i="5"/>
  <c r="BZ289" i="5"/>
  <c r="BY289" i="5"/>
  <c r="BX289" i="5"/>
  <c r="BW289" i="5"/>
  <c r="BV289" i="5"/>
  <c r="BU289" i="5"/>
  <c r="BT289" i="5"/>
  <c r="BS289" i="5"/>
  <c r="BR289" i="5"/>
  <c r="BQ289" i="5"/>
  <c r="BP289" i="5"/>
  <c r="BO289" i="5"/>
  <c r="BN289" i="5"/>
  <c r="BM289" i="5"/>
  <c r="BL289" i="5"/>
  <c r="BK289" i="5"/>
  <c r="BJ289" i="5"/>
  <c r="BI289" i="5"/>
  <c r="BH289" i="5"/>
  <c r="BG289" i="5"/>
  <c r="BF289" i="5"/>
  <c r="BE289" i="5"/>
  <c r="BD289" i="5"/>
  <c r="BC289" i="5"/>
  <c r="BB289" i="5"/>
  <c r="BA289" i="5"/>
  <c r="AZ289" i="5"/>
  <c r="AX289" i="5"/>
  <c r="AY289" i="5" s="1"/>
  <c r="AW289" i="5"/>
  <c r="AV289" i="5"/>
  <c r="AU289" i="5"/>
  <c r="AT289" i="5"/>
  <c r="AS289" i="5"/>
  <c r="AR289" i="5"/>
  <c r="DH288" i="5"/>
  <c r="DG288" i="5"/>
  <c r="DA288" i="5"/>
  <c r="CX288" i="5"/>
  <c r="CG288" i="5"/>
  <c r="CF288" i="5"/>
  <c r="CD288" i="5"/>
  <c r="CH288" i="5" s="1"/>
  <c r="CC288" i="5"/>
  <c r="CB288" i="5"/>
  <c r="CA288" i="5"/>
  <c r="BZ288" i="5"/>
  <c r="BY288" i="5"/>
  <c r="BX288" i="5"/>
  <c r="BW288" i="5"/>
  <c r="BV288" i="5"/>
  <c r="BU288" i="5"/>
  <c r="BT288" i="5"/>
  <c r="BS288" i="5"/>
  <c r="BR288" i="5"/>
  <c r="BQ288" i="5"/>
  <c r="BP288" i="5"/>
  <c r="BO288" i="5"/>
  <c r="BN288" i="5"/>
  <c r="BM288" i="5"/>
  <c r="BL288" i="5"/>
  <c r="BK288" i="5"/>
  <c r="BJ288" i="5"/>
  <c r="BI288" i="5"/>
  <c r="BH288" i="5"/>
  <c r="BG288" i="5"/>
  <c r="BF288" i="5"/>
  <c r="BE288" i="5"/>
  <c r="BD288" i="5"/>
  <c r="BC288" i="5"/>
  <c r="BB288" i="5"/>
  <c r="BA288" i="5"/>
  <c r="AZ288" i="5"/>
  <c r="AX288" i="5"/>
  <c r="AY288" i="5" s="1"/>
  <c r="AW288" i="5"/>
  <c r="AV288" i="5"/>
  <c r="AU288" i="5"/>
  <c r="AT288" i="5"/>
  <c r="AS288" i="5"/>
  <c r="AR288" i="5"/>
  <c r="DH287" i="5"/>
  <c r="DG287" i="5"/>
  <c r="DA287" i="5"/>
  <c r="CX287" i="5"/>
  <c r="CG287" i="5"/>
  <c r="CF287" i="5"/>
  <c r="CD287" i="5"/>
  <c r="CE287" i="5" s="1"/>
  <c r="CC287" i="5"/>
  <c r="CB287" i="5"/>
  <c r="CA287" i="5"/>
  <c r="BZ287" i="5"/>
  <c r="BY287" i="5"/>
  <c r="BX287" i="5"/>
  <c r="BW287" i="5"/>
  <c r="BV287" i="5"/>
  <c r="BU287" i="5"/>
  <c r="BT287" i="5"/>
  <c r="BS287" i="5"/>
  <c r="BR287" i="5"/>
  <c r="BQ287" i="5"/>
  <c r="BP287" i="5"/>
  <c r="BO287" i="5"/>
  <c r="BN287" i="5"/>
  <c r="BM287" i="5"/>
  <c r="BL287" i="5"/>
  <c r="BK287" i="5"/>
  <c r="BJ287" i="5"/>
  <c r="BI287" i="5"/>
  <c r="BH287" i="5"/>
  <c r="BG287" i="5"/>
  <c r="BF287" i="5"/>
  <c r="BE287" i="5"/>
  <c r="BD287" i="5"/>
  <c r="BC287" i="5"/>
  <c r="BB287" i="5"/>
  <c r="BA287" i="5"/>
  <c r="AZ287" i="5"/>
  <c r="AX287" i="5"/>
  <c r="AY287" i="5" s="1"/>
  <c r="AW287" i="5"/>
  <c r="AV287" i="5"/>
  <c r="AU287" i="5"/>
  <c r="AT287" i="5"/>
  <c r="AS287" i="5"/>
  <c r="AR287" i="5"/>
  <c r="DH286" i="5"/>
  <c r="DG286" i="5"/>
  <c r="DA286" i="5"/>
  <c r="CX286" i="5"/>
  <c r="CH286" i="5"/>
  <c r="CG286" i="5"/>
  <c r="CF286" i="5"/>
  <c r="CD286" i="5"/>
  <c r="CE286" i="5" s="1"/>
  <c r="CC286" i="5"/>
  <c r="CB286" i="5"/>
  <c r="CA286" i="5"/>
  <c r="BZ286" i="5"/>
  <c r="BY286" i="5"/>
  <c r="BX286" i="5"/>
  <c r="BW286" i="5"/>
  <c r="BV286" i="5"/>
  <c r="BU286" i="5"/>
  <c r="BT286" i="5"/>
  <c r="BS286" i="5"/>
  <c r="BR286" i="5"/>
  <c r="BQ286" i="5"/>
  <c r="BP286" i="5"/>
  <c r="BO286" i="5"/>
  <c r="BN286" i="5"/>
  <c r="BM286" i="5"/>
  <c r="BL286" i="5"/>
  <c r="BK286" i="5"/>
  <c r="BJ286" i="5"/>
  <c r="BI286" i="5"/>
  <c r="BH286" i="5"/>
  <c r="BG286" i="5"/>
  <c r="BF286" i="5"/>
  <c r="BE286" i="5"/>
  <c r="BD286" i="5"/>
  <c r="BC286" i="5"/>
  <c r="BB286" i="5"/>
  <c r="BA286" i="5"/>
  <c r="AZ286" i="5"/>
  <c r="AX286" i="5"/>
  <c r="AY286" i="5" s="1"/>
  <c r="AW286" i="5"/>
  <c r="AV286" i="5"/>
  <c r="AU286" i="5"/>
  <c r="AT286" i="5"/>
  <c r="AS286" i="5"/>
  <c r="AR286" i="5"/>
  <c r="DH285" i="5"/>
  <c r="DG285" i="5"/>
  <c r="DA285" i="5"/>
  <c r="CX285" i="5"/>
  <c r="CH285" i="5"/>
  <c r="CG285" i="5"/>
  <c r="CF285" i="5"/>
  <c r="CE285" i="5"/>
  <c r="CK285" i="5" s="1"/>
  <c r="CD285" i="5"/>
  <c r="CC285" i="5"/>
  <c r="CB285" i="5"/>
  <c r="CA285" i="5"/>
  <c r="BZ285" i="5"/>
  <c r="BY285" i="5"/>
  <c r="BX285" i="5"/>
  <c r="BW285" i="5"/>
  <c r="BV285" i="5"/>
  <c r="BU285" i="5"/>
  <c r="BT285" i="5"/>
  <c r="BS285" i="5"/>
  <c r="BR285" i="5"/>
  <c r="BQ285" i="5"/>
  <c r="BP285" i="5"/>
  <c r="BO285" i="5"/>
  <c r="BN285" i="5"/>
  <c r="BM285" i="5"/>
  <c r="BL285" i="5"/>
  <c r="BK285" i="5"/>
  <c r="BJ285" i="5"/>
  <c r="BI285" i="5"/>
  <c r="BH285" i="5"/>
  <c r="BG285" i="5"/>
  <c r="BF285" i="5"/>
  <c r="BE285" i="5"/>
  <c r="BD285" i="5"/>
  <c r="BC285" i="5"/>
  <c r="BB285" i="5"/>
  <c r="BA285" i="5"/>
  <c r="AZ285" i="5"/>
  <c r="AY285" i="5"/>
  <c r="AX285" i="5"/>
  <c r="AW285" i="5"/>
  <c r="AV285" i="5"/>
  <c r="AU285" i="5"/>
  <c r="AT285" i="5"/>
  <c r="AS285" i="5"/>
  <c r="AR285" i="5"/>
  <c r="DH284" i="5"/>
  <c r="DG284" i="5"/>
  <c r="DA284" i="5"/>
  <c r="CX284" i="5"/>
  <c r="CH284" i="5"/>
  <c r="CG284" i="5"/>
  <c r="CF284" i="5"/>
  <c r="CE284" i="5"/>
  <c r="CD284" i="5"/>
  <c r="CC284" i="5"/>
  <c r="CB284" i="5"/>
  <c r="CA284" i="5"/>
  <c r="BZ284" i="5"/>
  <c r="BY284" i="5"/>
  <c r="BX284" i="5"/>
  <c r="BW284" i="5"/>
  <c r="BV284" i="5"/>
  <c r="BU284" i="5"/>
  <c r="BT284" i="5"/>
  <c r="BS284" i="5"/>
  <c r="BR284" i="5"/>
  <c r="BQ284" i="5"/>
  <c r="BP284" i="5"/>
  <c r="BO284" i="5"/>
  <c r="BN284" i="5"/>
  <c r="BM284" i="5"/>
  <c r="BL284" i="5"/>
  <c r="BK284" i="5"/>
  <c r="BJ284" i="5"/>
  <c r="BI284" i="5"/>
  <c r="BH284" i="5"/>
  <c r="BG284" i="5"/>
  <c r="BF284" i="5"/>
  <c r="BE284" i="5"/>
  <c r="BD284" i="5"/>
  <c r="BC284" i="5"/>
  <c r="BB284" i="5"/>
  <c r="BA284" i="5"/>
  <c r="AZ284" i="5"/>
  <c r="AY284" i="5"/>
  <c r="AX284" i="5"/>
  <c r="AW284" i="5"/>
  <c r="AV284" i="5"/>
  <c r="AU284" i="5"/>
  <c r="AT284" i="5"/>
  <c r="AS284" i="5"/>
  <c r="AR284" i="5"/>
  <c r="DH283" i="5"/>
  <c r="DG283" i="5"/>
  <c r="DA283" i="5"/>
  <c r="CX283" i="5"/>
  <c r="CK283" i="5"/>
  <c r="CH283" i="5"/>
  <c r="CG283" i="5"/>
  <c r="CF283" i="5"/>
  <c r="CE283" i="5"/>
  <c r="CI283" i="5" s="1"/>
  <c r="CJ283" i="5" s="1"/>
  <c r="CD283" i="5"/>
  <c r="CC283" i="5"/>
  <c r="CB283" i="5"/>
  <c r="CA283" i="5"/>
  <c r="BZ283" i="5"/>
  <c r="BY283" i="5"/>
  <c r="BX283" i="5"/>
  <c r="BW283" i="5"/>
  <c r="BV283" i="5"/>
  <c r="BU283" i="5"/>
  <c r="BT283" i="5"/>
  <c r="BS283" i="5"/>
  <c r="BR283" i="5"/>
  <c r="BQ283" i="5"/>
  <c r="BP283" i="5"/>
  <c r="BO283" i="5"/>
  <c r="BN283" i="5"/>
  <c r="BM283" i="5"/>
  <c r="BL283" i="5"/>
  <c r="BK283" i="5"/>
  <c r="BJ283" i="5"/>
  <c r="BI283" i="5"/>
  <c r="BH283" i="5"/>
  <c r="BG283" i="5"/>
  <c r="BF283" i="5"/>
  <c r="BE283" i="5"/>
  <c r="BD283" i="5"/>
  <c r="BC283" i="5"/>
  <c r="BB283" i="5"/>
  <c r="BA283" i="5"/>
  <c r="AZ283" i="5"/>
  <c r="AY283" i="5"/>
  <c r="AX283" i="5"/>
  <c r="AW283" i="5"/>
  <c r="AV283" i="5"/>
  <c r="AU283" i="5"/>
  <c r="AT283" i="5"/>
  <c r="AS283" i="5"/>
  <c r="AR283" i="5"/>
  <c r="DH282" i="5"/>
  <c r="DG282" i="5"/>
  <c r="DA282" i="5"/>
  <c r="CX282" i="5"/>
  <c r="CG282" i="5"/>
  <c r="CF282" i="5"/>
  <c r="CD282" i="5"/>
  <c r="CE282" i="5" s="1"/>
  <c r="CC282" i="5"/>
  <c r="CB282" i="5"/>
  <c r="CA282" i="5"/>
  <c r="BZ282" i="5"/>
  <c r="BY282" i="5"/>
  <c r="BX282" i="5"/>
  <c r="BW282" i="5"/>
  <c r="BV282" i="5"/>
  <c r="BU282" i="5"/>
  <c r="BT282" i="5"/>
  <c r="BS282" i="5"/>
  <c r="BR282" i="5"/>
  <c r="BQ282" i="5"/>
  <c r="BP282" i="5"/>
  <c r="BO282" i="5"/>
  <c r="BN282" i="5"/>
  <c r="BM282" i="5"/>
  <c r="BL282" i="5"/>
  <c r="BK282" i="5"/>
  <c r="BJ282" i="5"/>
  <c r="BI282" i="5"/>
  <c r="BH282" i="5"/>
  <c r="BG282" i="5"/>
  <c r="BF282" i="5"/>
  <c r="BE282" i="5"/>
  <c r="BD282" i="5"/>
  <c r="BC282" i="5"/>
  <c r="BB282" i="5"/>
  <c r="BA282" i="5"/>
  <c r="AZ282" i="5"/>
  <c r="AX282" i="5"/>
  <c r="AY282" i="5" s="1"/>
  <c r="AW282" i="5"/>
  <c r="AV282" i="5"/>
  <c r="AU282" i="5"/>
  <c r="AT282" i="5"/>
  <c r="AS282" i="5"/>
  <c r="AR282" i="5"/>
  <c r="DH281" i="5"/>
  <c r="DG281" i="5"/>
  <c r="DA281" i="5"/>
  <c r="CX281" i="5"/>
  <c r="CG281" i="5"/>
  <c r="CF281" i="5"/>
  <c r="CD281" i="5"/>
  <c r="CC281" i="5"/>
  <c r="CB281" i="5"/>
  <c r="CA281" i="5"/>
  <c r="BZ281" i="5"/>
  <c r="BY281" i="5"/>
  <c r="BX281" i="5"/>
  <c r="BW281" i="5"/>
  <c r="BV281" i="5"/>
  <c r="BU281" i="5"/>
  <c r="BT281" i="5"/>
  <c r="BS281" i="5"/>
  <c r="BR281" i="5"/>
  <c r="BQ281" i="5"/>
  <c r="BP281" i="5"/>
  <c r="BO281" i="5"/>
  <c r="BN281" i="5"/>
  <c r="BM281" i="5"/>
  <c r="BL281" i="5"/>
  <c r="BK281" i="5"/>
  <c r="BJ281" i="5"/>
  <c r="BI281" i="5"/>
  <c r="BH281" i="5"/>
  <c r="BG281" i="5"/>
  <c r="BF281" i="5"/>
  <c r="BE281" i="5"/>
  <c r="BD281" i="5"/>
  <c r="BC281" i="5"/>
  <c r="BB281" i="5"/>
  <c r="BA281" i="5"/>
  <c r="AZ281" i="5"/>
  <c r="AX281" i="5"/>
  <c r="AY281" i="5" s="1"/>
  <c r="AW281" i="5"/>
  <c r="AV281" i="5"/>
  <c r="AU281" i="5"/>
  <c r="AT281" i="5"/>
  <c r="AS281" i="5"/>
  <c r="AR281" i="5"/>
  <c r="DH280" i="5"/>
  <c r="DG280" i="5"/>
  <c r="DA280" i="5"/>
  <c r="CX280" i="5"/>
  <c r="CG280" i="5"/>
  <c r="CF280" i="5"/>
  <c r="CD280" i="5"/>
  <c r="CH280" i="5" s="1"/>
  <c r="CC280" i="5"/>
  <c r="CB280" i="5"/>
  <c r="CA280" i="5"/>
  <c r="BZ280" i="5"/>
  <c r="BY280" i="5"/>
  <c r="BX280" i="5"/>
  <c r="BW280" i="5"/>
  <c r="BV280" i="5"/>
  <c r="BU280" i="5"/>
  <c r="BT280" i="5"/>
  <c r="BS280" i="5"/>
  <c r="BR280" i="5"/>
  <c r="BQ280" i="5"/>
  <c r="BP280" i="5"/>
  <c r="BO280" i="5"/>
  <c r="BN280" i="5"/>
  <c r="BM280" i="5"/>
  <c r="BL280" i="5"/>
  <c r="BK280" i="5"/>
  <c r="BJ280" i="5"/>
  <c r="BI280" i="5"/>
  <c r="BH280" i="5"/>
  <c r="BG280" i="5"/>
  <c r="BF280" i="5"/>
  <c r="BE280" i="5"/>
  <c r="BD280" i="5"/>
  <c r="BC280" i="5"/>
  <c r="BB280" i="5"/>
  <c r="BA280" i="5"/>
  <c r="AZ280" i="5"/>
  <c r="AX280" i="5"/>
  <c r="AY280" i="5" s="1"/>
  <c r="AW280" i="5"/>
  <c r="AV280" i="5"/>
  <c r="AU280" i="5"/>
  <c r="AT280" i="5"/>
  <c r="AS280" i="5"/>
  <c r="AR280" i="5"/>
  <c r="DH279" i="5"/>
  <c r="DG279" i="5"/>
  <c r="DA279" i="5"/>
  <c r="CX279" i="5"/>
  <c r="CG279" i="5"/>
  <c r="CF279" i="5"/>
  <c r="CD279" i="5"/>
  <c r="CE279" i="5" s="1"/>
  <c r="CC279" i="5"/>
  <c r="CB279" i="5"/>
  <c r="CA279" i="5"/>
  <c r="BZ279" i="5"/>
  <c r="BY279" i="5"/>
  <c r="BX279" i="5"/>
  <c r="BW279" i="5"/>
  <c r="BV279" i="5"/>
  <c r="BU279" i="5"/>
  <c r="BT279" i="5"/>
  <c r="BS279" i="5"/>
  <c r="BR279" i="5"/>
  <c r="BQ279" i="5"/>
  <c r="BP279" i="5"/>
  <c r="BO279" i="5"/>
  <c r="BN279" i="5"/>
  <c r="BM279" i="5"/>
  <c r="BL279" i="5"/>
  <c r="BK279" i="5"/>
  <c r="BJ279" i="5"/>
  <c r="BI279" i="5"/>
  <c r="BH279" i="5"/>
  <c r="BG279" i="5"/>
  <c r="BF279" i="5"/>
  <c r="BE279" i="5"/>
  <c r="BD279" i="5"/>
  <c r="BC279" i="5"/>
  <c r="BB279" i="5"/>
  <c r="BA279" i="5"/>
  <c r="AZ279" i="5"/>
  <c r="AX279" i="5"/>
  <c r="AY279" i="5" s="1"/>
  <c r="AW279" i="5"/>
  <c r="AV279" i="5"/>
  <c r="AU279" i="5"/>
  <c r="AT279" i="5"/>
  <c r="AS279" i="5"/>
  <c r="AR279" i="5"/>
  <c r="DH278" i="5"/>
  <c r="DG278" i="5"/>
  <c r="DA278" i="5"/>
  <c r="CX278" i="5"/>
  <c r="CH278" i="5"/>
  <c r="CG278" i="5"/>
  <c r="CF278" i="5"/>
  <c r="CD278" i="5"/>
  <c r="CE278" i="5" s="1"/>
  <c r="CC278" i="5"/>
  <c r="CB278" i="5"/>
  <c r="CA278" i="5"/>
  <c r="BZ278" i="5"/>
  <c r="BY278" i="5"/>
  <c r="BX278" i="5"/>
  <c r="BW278" i="5"/>
  <c r="BV278" i="5"/>
  <c r="BU278" i="5"/>
  <c r="BT278" i="5"/>
  <c r="BS278" i="5"/>
  <c r="BR278" i="5"/>
  <c r="BQ278" i="5"/>
  <c r="BP278" i="5"/>
  <c r="BO278" i="5"/>
  <c r="BN278" i="5"/>
  <c r="BM278" i="5"/>
  <c r="BL278" i="5"/>
  <c r="BK278" i="5"/>
  <c r="BJ278" i="5"/>
  <c r="BI278" i="5"/>
  <c r="BH278" i="5"/>
  <c r="BG278" i="5"/>
  <c r="BF278" i="5"/>
  <c r="BE278" i="5"/>
  <c r="BD278" i="5"/>
  <c r="BC278" i="5"/>
  <c r="BB278" i="5"/>
  <c r="BA278" i="5"/>
  <c r="AZ278" i="5"/>
  <c r="AX278" i="5"/>
  <c r="AY278" i="5" s="1"/>
  <c r="AW278" i="5"/>
  <c r="AV278" i="5"/>
  <c r="AU278" i="5"/>
  <c r="AT278" i="5"/>
  <c r="AS278" i="5"/>
  <c r="AR278" i="5"/>
  <c r="DH277" i="5"/>
  <c r="DG277" i="5"/>
  <c r="DA277" i="5"/>
  <c r="CX277" i="5"/>
  <c r="CH277" i="5"/>
  <c r="CG277" i="5"/>
  <c r="CF277" i="5"/>
  <c r="CE277" i="5"/>
  <c r="CK277" i="5" s="1"/>
  <c r="CD277" i="5"/>
  <c r="CC277" i="5"/>
  <c r="CB277" i="5"/>
  <c r="CA277" i="5"/>
  <c r="BZ277" i="5"/>
  <c r="BY277" i="5"/>
  <c r="BX277" i="5"/>
  <c r="BW277" i="5"/>
  <c r="BV277" i="5"/>
  <c r="BU277" i="5"/>
  <c r="BT277" i="5"/>
  <c r="BS277" i="5"/>
  <c r="BR277" i="5"/>
  <c r="BQ277" i="5"/>
  <c r="BP277" i="5"/>
  <c r="BO277" i="5"/>
  <c r="BN277" i="5"/>
  <c r="BM277" i="5"/>
  <c r="BL277" i="5"/>
  <c r="BK277" i="5"/>
  <c r="BJ277" i="5"/>
  <c r="BI277" i="5"/>
  <c r="BH277" i="5"/>
  <c r="BG277" i="5"/>
  <c r="BF277" i="5"/>
  <c r="BE277" i="5"/>
  <c r="BD277" i="5"/>
  <c r="BC277" i="5"/>
  <c r="BB277" i="5"/>
  <c r="BA277" i="5"/>
  <c r="AZ277" i="5"/>
  <c r="AY277" i="5"/>
  <c r="AX277" i="5"/>
  <c r="AW277" i="5"/>
  <c r="AV277" i="5"/>
  <c r="AU277" i="5"/>
  <c r="AT277" i="5"/>
  <c r="AS277" i="5"/>
  <c r="AR277" i="5"/>
  <c r="DH276" i="5"/>
  <c r="DG276" i="5"/>
  <c r="DA276" i="5"/>
  <c r="CX276" i="5"/>
  <c r="CG276" i="5"/>
  <c r="CF276" i="5"/>
  <c r="CD276" i="5"/>
  <c r="CE276" i="5" s="1"/>
  <c r="CC276" i="5"/>
  <c r="CB276" i="5"/>
  <c r="CA276" i="5"/>
  <c r="BZ276" i="5"/>
  <c r="BY276" i="5"/>
  <c r="BX276" i="5"/>
  <c r="BW276" i="5"/>
  <c r="BV276" i="5"/>
  <c r="BU276" i="5"/>
  <c r="BT276" i="5"/>
  <c r="BS276" i="5"/>
  <c r="BR276" i="5"/>
  <c r="BQ276" i="5"/>
  <c r="BP276" i="5"/>
  <c r="BO276" i="5"/>
  <c r="BN276" i="5"/>
  <c r="BM276" i="5"/>
  <c r="BL276" i="5"/>
  <c r="BK276" i="5"/>
  <c r="BJ276" i="5"/>
  <c r="BI276" i="5"/>
  <c r="BH276" i="5"/>
  <c r="BG276" i="5"/>
  <c r="BF276" i="5"/>
  <c r="BE276" i="5"/>
  <c r="BD276" i="5"/>
  <c r="BC276" i="5"/>
  <c r="BB276" i="5"/>
  <c r="BA276" i="5"/>
  <c r="AZ276" i="5"/>
  <c r="AX276" i="5"/>
  <c r="AY276" i="5" s="1"/>
  <c r="AW276" i="5"/>
  <c r="AV276" i="5"/>
  <c r="AU276" i="5"/>
  <c r="AT276" i="5"/>
  <c r="AS276" i="5"/>
  <c r="AR276" i="5"/>
  <c r="DH275" i="5"/>
  <c r="DG275" i="5"/>
  <c r="DA275" i="5"/>
  <c r="CX275" i="5"/>
  <c r="CG275" i="5"/>
  <c r="CF275" i="5"/>
  <c r="CD275" i="5"/>
  <c r="CE275" i="5" s="1"/>
  <c r="CC275" i="5"/>
  <c r="CB275" i="5"/>
  <c r="CA275" i="5"/>
  <c r="BZ275" i="5"/>
  <c r="BY275" i="5"/>
  <c r="BX275" i="5"/>
  <c r="BW275" i="5"/>
  <c r="BV275" i="5"/>
  <c r="BU275" i="5"/>
  <c r="BT275" i="5"/>
  <c r="BS275" i="5"/>
  <c r="BR275" i="5"/>
  <c r="BQ275" i="5"/>
  <c r="BP275" i="5"/>
  <c r="BO275" i="5"/>
  <c r="BN275" i="5"/>
  <c r="BM275" i="5"/>
  <c r="BL275" i="5"/>
  <c r="BK275" i="5"/>
  <c r="BJ275" i="5"/>
  <c r="BI275" i="5"/>
  <c r="BH275" i="5"/>
  <c r="BG275" i="5"/>
  <c r="BF275" i="5"/>
  <c r="BE275" i="5"/>
  <c r="BD275" i="5"/>
  <c r="BC275" i="5"/>
  <c r="BB275" i="5"/>
  <c r="BA275" i="5"/>
  <c r="AZ275" i="5"/>
  <c r="AX275" i="5"/>
  <c r="AY275" i="5" s="1"/>
  <c r="AW275" i="5"/>
  <c r="AV275" i="5"/>
  <c r="AU275" i="5"/>
  <c r="AT275" i="5"/>
  <c r="AS275" i="5"/>
  <c r="AR275" i="5"/>
  <c r="DH274" i="5"/>
  <c r="DG274" i="5"/>
  <c r="DA274" i="5"/>
  <c r="CX274" i="5"/>
  <c r="CG274" i="5"/>
  <c r="CF274" i="5"/>
  <c r="CD274" i="5"/>
  <c r="CE274" i="5" s="1"/>
  <c r="CC274" i="5"/>
  <c r="CB274" i="5"/>
  <c r="CA274" i="5"/>
  <c r="BZ274" i="5"/>
  <c r="BY274" i="5"/>
  <c r="BX274" i="5"/>
  <c r="BW274" i="5"/>
  <c r="BV274" i="5"/>
  <c r="BU274" i="5"/>
  <c r="BT274" i="5"/>
  <c r="BS274" i="5"/>
  <c r="BR274" i="5"/>
  <c r="BQ274" i="5"/>
  <c r="BP274" i="5"/>
  <c r="BO274" i="5"/>
  <c r="BN274" i="5"/>
  <c r="BM274" i="5"/>
  <c r="BL274" i="5"/>
  <c r="BK274" i="5"/>
  <c r="BJ274" i="5"/>
  <c r="BI274" i="5"/>
  <c r="BH274" i="5"/>
  <c r="BG274" i="5"/>
  <c r="BF274" i="5"/>
  <c r="BE274" i="5"/>
  <c r="BD274" i="5"/>
  <c r="BC274" i="5"/>
  <c r="BB274" i="5"/>
  <c r="BA274" i="5"/>
  <c r="AZ274" i="5"/>
  <c r="AX274" i="5"/>
  <c r="AY274" i="5" s="1"/>
  <c r="AW274" i="5"/>
  <c r="AV274" i="5"/>
  <c r="AU274" i="5"/>
  <c r="AT274" i="5"/>
  <c r="AS274" i="5"/>
  <c r="AR274" i="5"/>
  <c r="DH273" i="5"/>
  <c r="DG273" i="5"/>
  <c r="DA273" i="5"/>
  <c r="CX273" i="5"/>
  <c r="CG273" i="5"/>
  <c r="CF273" i="5"/>
  <c r="CD273" i="5"/>
  <c r="CE273" i="5" s="1"/>
  <c r="CC273" i="5"/>
  <c r="CB273" i="5"/>
  <c r="CA273" i="5"/>
  <c r="BZ273" i="5"/>
  <c r="BY273" i="5"/>
  <c r="BX273" i="5"/>
  <c r="BW273" i="5"/>
  <c r="BV273" i="5"/>
  <c r="BU273" i="5"/>
  <c r="BT273" i="5"/>
  <c r="BS273" i="5"/>
  <c r="BR273" i="5"/>
  <c r="BQ273" i="5"/>
  <c r="BP273" i="5"/>
  <c r="BO273" i="5"/>
  <c r="BN273" i="5"/>
  <c r="BM273" i="5"/>
  <c r="BL273" i="5"/>
  <c r="BK273" i="5"/>
  <c r="BJ273" i="5"/>
  <c r="BI273" i="5"/>
  <c r="BH273" i="5"/>
  <c r="BG273" i="5"/>
  <c r="BF273" i="5"/>
  <c r="BE273" i="5"/>
  <c r="BD273" i="5"/>
  <c r="BC273" i="5"/>
  <c r="BB273" i="5"/>
  <c r="BA273" i="5"/>
  <c r="AZ273" i="5"/>
  <c r="AX273" i="5"/>
  <c r="AY273" i="5" s="1"/>
  <c r="AW273" i="5"/>
  <c r="AV273" i="5"/>
  <c r="AU273" i="5"/>
  <c r="AT273" i="5"/>
  <c r="AS273" i="5"/>
  <c r="AR273" i="5"/>
  <c r="DH272" i="5"/>
  <c r="DG272" i="5"/>
  <c r="DA272" i="5"/>
  <c r="CX272" i="5"/>
  <c r="CG272" i="5"/>
  <c r="CF272" i="5"/>
  <c r="CD272" i="5"/>
  <c r="CE272" i="5" s="1"/>
  <c r="CC272" i="5"/>
  <c r="CB272" i="5"/>
  <c r="CA272" i="5"/>
  <c r="BZ272" i="5"/>
  <c r="BY272" i="5"/>
  <c r="BX272" i="5"/>
  <c r="BW272" i="5"/>
  <c r="BV272" i="5"/>
  <c r="BU272" i="5"/>
  <c r="BT272" i="5"/>
  <c r="BS272" i="5"/>
  <c r="BR272" i="5"/>
  <c r="BQ272" i="5"/>
  <c r="BP272" i="5"/>
  <c r="BO272" i="5"/>
  <c r="BN272" i="5"/>
  <c r="BM272" i="5"/>
  <c r="BL272" i="5"/>
  <c r="BK272" i="5"/>
  <c r="BJ272" i="5"/>
  <c r="BI272" i="5"/>
  <c r="BH272" i="5"/>
  <c r="BG272" i="5"/>
  <c r="BF272" i="5"/>
  <c r="BE272" i="5"/>
  <c r="BD272" i="5"/>
  <c r="BC272" i="5"/>
  <c r="BB272" i="5"/>
  <c r="BA272" i="5"/>
  <c r="AZ272" i="5"/>
  <c r="AX272" i="5"/>
  <c r="AY272" i="5" s="1"/>
  <c r="AW272" i="5"/>
  <c r="AV272" i="5"/>
  <c r="AU272" i="5"/>
  <c r="AT272" i="5"/>
  <c r="AS272" i="5"/>
  <c r="AR272" i="5"/>
  <c r="DH271" i="5"/>
  <c r="DG271" i="5"/>
  <c r="DA271" i="5"/>
  <c r="CX271" i="5"/>
  <c r="CG271" i="5"/>
  <c r="CF271" i="5"/>
  <c r="CD271" i="5"/>
  <c r="CE271" i="5" s="1"/>
  <c r="CC271" i="5"/>
  <c r="CB271" i="5"/>
  <c r="CA271" i="5"/>
  <c r="BZ271" i="5"/>
  <c r="BY271" i="5"/>
  <c r="BX271" i="5"/>
  <c r="BW271" i="5"/>
  <c r="BV271" i="5"/>
  <c r="BU271" i="5"/>
  <c r="BT271" i="5"/>
  <c r="BS271" i="5"/>
  <c r="BR271" i="5"/>
  <c r="BQ271" i="5"/>
  <c r="BP271" i="5"/>
  <c r="BO271" i="5"/>
  <c r="BN271" i="5"/>
  <c r="BM271" i="5"/>
  <c r="BL271" i="5"/>
  <c r="BK271" i="5"/>
  <c r="BJ271" i="5"/>
  <c r="BI271" i="5"/>
  <c r="BH271" i="5"/>
  <c r="BG271" i="5"/>
  <c r="BF271" i="5"/>
  <c r="BE271" i="5"/>
  <c r="BD271" i="5"/>
  <c r="BC271" i="5"/>
  <c r="BB271" i="5"/>
  <c r="BA271" i="5"/>
  <c r="AZ271" i="5"/>
  <c r="AX271" i="5"/>
  <c r="AY271" i="5" s="1"/>
  <c r="AW271" i="5"/>
  <c r="AV271" i="5"/>
  <c r="AU271" i="5"/>
  <c r="AT271" i="5"/>
  <c r="AS271" i="5"/>
  <c r="AR271" i="5"/>
  <c r="DH270" i="5"/>
  <c r="DG270" i="5"/>
  <c r="DA270" i="5"/>
  <c r="CX270" i="5"/>
  <c r="CG270" i="5"/>
  <c r="CF270" i="5"/>
  <c r="CD270" i="5"/>
  <c r="CE270" i="5" s="1"/>
  <c r="CC270" i="5"/>
  <c r="CB270" i="5"/>
  <c r="CA270" i="5"/>
  <c r="BZ270" i="5"/>
  <c r="BY270" i="5"/>
  <c r="BX270" i="5"/>
  <c r="BW270" i="5"/>
  <c r="BV270" i="5"/>
  <c r="BU270" i="5"/>
  <c r="BT270" i="5"/>
  <c r="BS270" i="5"/>
  <c r="BR270" i="5"/>
  <c r="BQ270" i="5"/>
  <c r="BP270" i="5"/>
  <c r="BO270" i="5"/>
  <c r="BN270" i="5"/>
  <c r="BM270" i="5"/>
  <c r="BL270" i="5"/>
  <c r="BK270" i="5"/>
  <c r="BJ270" i="5"/>
  <c r="BI270" i="5"/>
  <c r="BH270" i="5"/>
  <c r="BG270" i="5"/>
  <c r="BF270" i="5"/>
  <c r="BE270" i="5"/>
  <c r="BD270" i="5"/>
  <c r="BC270" i="5"/>
  <c r="BB270" i="5"/>
  <c r="BA270" i="5"/>
  <c r="AZ270" i="5"/>
  <c r="AX270" i="5"/>
  <c r="AY270" i="5" s="1"/>
  <c r="AW270" i="5"/>
  <c r="AV270" i="5"/>
  <c r="AU270" i="5"/>
  <c r="AT270" i="5"/>
  <c r="AS270" i="5"/>
  <c r="AR270" i="5"/>
  <c r="DH269" i="5"/>
  <c r="DG269" i="5"/>
  <c r="DA269" i="5"/>
  <c r="CX269" i="5"/>
  <c r="CG269" i="5"/>
  <c r="CF269" i="5"/>
  <c r="CD269" i="5"/>
  <c r="CE269" i="5" s="1"/>
  <c r="CC269" i="5"/>
  <c r="CB269" i="5"/>
  <c r="CA269" i="5"/>
  <c r="BZ269" i="5"/>
  <c r="BY269" i="5"/>
  <c r="BX269" i="5"/>
  <c r="BW269" i="5"/>
  <c r="BV269" i="5"/>
  <c r="BU269" i="5"/>
  <c r="BT269" i="5"/>
  <c r="BS269" i="5"/>
  <c r="BR269" i="5"/>
  <c r="BQ269" i="5"/>
  <c r="BP269" i="5"/>
  <c r="BO269" i="5"/>
  <c r="BN269" i="5"/>
  <c r="BM269" i="5"/>
  <c r="BL269" i="5"/>
  <c r="BK269" i="5"/>
  <c r="BJ269" i="5"/>
  <c r="BI269" i="5"/>
  <c r="BH269" i="5"/>
  <c r="BG269" i="5"/>
  <c r="BF269" i="5"/>
  <c r="BE269" i="5"/>
  <c r="BD269" i="5"/>
  <c r="BC269" i="5"/>
  <c r="BB269" i="5"/>
  <c r="BA269" i="5"/>
  <c r="AZ269" i="5"/>
  <c r="AX269" i="5"/>
  <c r="AY269" i="5" s="1"/>
  <c r="AW269" i="5"/>
  <c r="AV269" i="5"/>
  <c r="AU269" i="5"/>
  <c r="AT269" i="5"/>
  <c r="AS269" i="5"/>
  <c r="AR269" i="5"/>
  <c r="DH268" i="5"/>
  <c r="DG268" i="5"/>
  <c r="DA268" i="5"/>
  <c r="CX268" i="5"/>
  <c r="CG268" i="5"/>
  <c r="CF268" i="5"/>
  <c r="CD268" i="5"/>
  <c r="CE268" i="5" s="1"/>
  <c r="CC268" i="5"/>
  <c r="CB268" i="5"/>
  <c r="CA268" i="5"/>
  <c r="BZ268" i="5"/>
  <c r="BY268" i="5"/>
  <c r="BX268" i="5"/>
  <c r="BW268" i="5"/>
  <c r="BV268" i="5"/>
  <c r="BU268" i="5"/>
  <c r="BT268" i="5"/>
  <c r="BS268" i="5"/>
  <c r="BR268" i="5"/>
  <c r="BQ268" i="5"/>
  <c r="BP268" i="5"/>
  <c r="BO268" i="5"/>
  <c r="BN268" i="5"/>
  <c r="BM268" i="5"/>
  <c r="BL268" i="5"/>
  <c r="BK268" i="5"/>
  <c r="BJ268" i="5"/>
  <c r="BI268" i="5"/>
  <c r="BH268" i="5"/>
  <c r="BG268" i="5"/>
  <c r="BF268" i="5"/>
  <c r="BE268" i="5"/>
  <c r="BD268" i="5"/>
  <c r="BC268" i="5"/>
  <c r="BB268" i="5"/>
  <c r="BA268" i="5"/>
  <c r="AZ268" i="5"/>
  <c r="AX268" i="5"/>
  <c r="AY268" i="5" s="1"/>
  <c r="AW268" i="5"/>
  <c r="AV268" i="5"/>
  <c r="AU268" i="5"/>
  <c r="AT268" i="5"/>
  <c r="AS268" i="5"/>
  <c r="AR268" i="5"/>
  <c r="DH267" i="5"/>
  <c r="DG267" i="5"/>
  <c r="DA267" i="5"/>
  <c r="CX267" i="5"/>
  <c r="CG267" i="5"/>
  <c r="CF267" i="5"/>
  <c r="CD267" i="5"/>
  <c r="CE267" i="5" s="1"/>
  <c r="CK267" i="5" s="1"/>
  <c r="CC267" i="5"/>
  <c r="CB267" i="5"/>
  <c r="CA267" i="5"/>
  <c r="BZ267" i="5"/>
  <c r="BY267" i="5"/>
  <c r="BX267" i="5"/>
  <c r="BW267" i="5"/>
  <c r="BV267" i="5"/>
  <c r="BU267" i="5"/>
  <c r="BT267" i="5"/>
  <c r="BS267" i="5"/>
  <c r="BR267" i="5"/>
  <c r="BQ267" i="5"/>
  <c r="BP267" i="5"/>
  <c r="BO267" i="5"/>
  <c r="BN267" i="5"/>
  <c r="BM267" i="5"/>
  <c r="BL267" i="5"/>
  <c r="BK267" i="5"/>
  <c r="BJ267" i="5"/>
  <c r="BI267" i="5"/>
  <c r="BH267" i="5"/>
  <c r="BG267" i="5"/>
  <c r="BF267" i="5"/>
  <c r="BE267" i="5"/>
  <c r="BD267" i="5"/>
  <c r="BC267" i="5"/>
  <c r="BB267" i="5"/>
  <c r="BA267" i="5"/>
  <c r="AZ267" i="5"/>
  <c r="AX267" i="5"/>
  <c r="AY267" i="5" s="1"/>
  <c r="AW267" i="5"/>
  <c r="AV267" i="5"/>
  <c r="AU267" i="5"/>
  <c r="AT267" i="5"/>
  <c r="AS267" i="5"/>
  <c r="AR267" i="5"/>
  <c r="DH266" i="5"/>
  <c r="DG266" i="5"/>
  <c r="DA266" i="5"/>
  <c r="CX266" i="5"/>
  <c r="CK266" i="5"/>
  <c r="CG266" i="5"/>
  <c r="CF266" i="5"/>
  <c r="CD266" i="5"/>
  <c r="CE266" i="5" s="1"/>
  <c r="CC266" i="5"/>
  <c r="CB266" i="5"/>
  <c r="CA266" i="5"/>
  <c r="BZ266" i="5"/>
  <c r="BY266" i="5"/>
  <c r="BX266" i="5"/>
  <c r="BW266" i="5"/>
  <c r="BV266" i="5"/>
  <c r="BU266" i="5"/>
  <c r="BT266" i="5"/>
  <c r="BS266" i="5"/>
  <c r="BR266" i="5"/>
  <c r="BQ266" i="5"/>
  <c r="BP266" i="5"/>
  <c r="BO266" i="5"/>
  <c r="BN266" i="5"/>
  <c r="BM266" i="5"/>
  <c r="BL266" i="5"/>
  <c r="BK266" i="5"/>
  <c r="BJ266" i="5"/>
  <c r="BI266" i="5"/>
  <c r="BH266" i="5"/>
  <c r="BG266" i="5"/>
  <c r="BF266" i="5"/>
  <c r="BE266" i="5"/>
  <c r="BD266" i="5"/>
  <c r="BC266" i="5"/>
  <c r="BB266" i="5"/>
  <c r="BA266" i="5"/>
  <c r="AZ266" i="5"/>
  <c r="AX266" i="5"/>
  <c r="AY266" i="5" s="1"/>
  <c r="AW266" i="5"/>
  <c r="AV266" i="5"/>
  <c r="AU266" i="5"/>
  <c r="AT266" i="5"/>
  <c r="AS266" i="5"/>
  <c r="AR266" i="5"/>
  <c r="DH265" i="5"/>
  <c r="DG265" i="5"/>
  <c r="DA265" i="5"/>
  <c r="CX265" i="5"/>
  <c r="CG265" i="5"/>
  <c r="CF265" i="5"/>
  <c r="CD265" i="5"/>
  <c r="CC265" i="5"/>
  <c r="CB265" i="5"/>
  <c r="CA265" i="5"/>
  <c r="BZ265" i="5"/>
  <c r="BY265" i="5"/>
  <c r="BX265" i="5"/>
  <c r="BW265" i="5"/>
  <c r="BV265" i="5"/>
  <c r="BU265" i="5"/>
  <c r="BT265" i="5"/>
  <c r="BS265" i="5"/>
  <c r="BR265" i="5"/>
  <c r="BQ265" i="5"/>
  <c r="BP265" i="5"/>
  <c r="BO265" i="5"/>
  <c r="BN265" i="5"/>
  <c r="BM265" i="5"/>
  <c r="BL265" i="5"/>
  <c r="BK265" i="5"/>
  <c r="BJ265" i="5"/>
  <c r="BI265" i="5"/>
  <c r="BH265" i="5"/>
  <c r="BG265" i="5"/>
  <c r="BF265" i="5"/>
  <c r="BE265" i="5"/>
  <c r="BD265" i="5"/>
  <c r="BC265" i="5"/>
  <c r="BB265" i="5"/>
  <c r="BA265" i="5"/>
  <c r="AZ265" i="5"/>
  <c r="AX265" i="5"/>
  <c r="AY265" i="5" s="1"/>
  <c r="AW265" i="5"/>
  <c r="AV265" i="5"/>
  <c r="AU265" i="5"/>
  <c r="AT265" i="5"/>
  <c r="AS265" i="5"/>
  <c r="AR265" i="5"/>
  <c r="DH264" i="5"/>
  <c r="DG264" i="5"/>
  <c r="DA264" i="5"/>
  <c r="CX264" i="5"/>
  <c r="CG264" i="5"/>
  <c r="CF264" i="5"/>
  <c r="CD264" i="5"/>
  <c r="CC264" i="5"/>
  <c r="CB264" i="5"/>
  <c r="CA264" i="5"/>
  <c r="BZ264" i="5"/>
  <c r="BY264" i="5"/>
  <c r="BX264" i="5"/>
  <c r="BW264" i="5"/>
  <c r="BV264" i="5"/>
  <c r="BU264" i="5"/>
  <c r="BT264" i="5"/>
  <c r="BS264" i="5"/>
  <c r="BR264" i="5"/>
  <c r="BQ264" i="5"/>
  <c r="BP264" i="5"/>
  <c r="BO264" i="5"/>
  <c r="BN264" i="5"/>
  <c r="BM264" i="5"/>
  <c r="BL264" i="5"/>
  <c r="BK264" i="5"/>
  <c r="BJ264" i="5"/>
  <c r="BI264" i="5"/>
  <c r="BH264" i="5"/>
  <c r="BG264" i="5"/>
  <c r="BF264" i="5"/>
  <c r="BE264" i="5"/>
  <c r="BD264" i="5"/>
  <c r="BC264" i="5"/>
  <c r="BB264" i="5"/>
  <c r="BA264" i="5"/>
  <c r="AZ264" i="5"/>
  <c r="AX264" i="5"/>
  <c r="AY264" i="5" s="1"/>
  <c r="AW264" i="5"/>
  <c r="AV264" i="5"/>
  <c r="AU264" i="5"/>
  <c r="AT264" i="5"/>
  <c r="AS264" i="5"/>
  <c r="AR264" i="5"/>
  <c r="DH263" i="5"/>
  <c r="DG263" i="5"/>
  <c r="DA263" i="5"/>
  <c r="CX263" i="5"/>
  <c r="CG263" i="5"/>
  <c r="CF263" i="5"/>
  <c r="CD263" i="5"/>
  <c r="CC263" i="5"/>
  <c r="CB263" i="5"/>
  <c r="CA263" i="5"/>
  <c r="BZ263" i="5"/>
  <c r="BY263" i="5"/>
  <c r="BX263" i="5"/>
  <c r="BW263" i="5"/>
  <c r="BV263" i="5"/>
  <c r="BU263" i="5"/>
  <c r="BT263" i="5"/>
  <c r="BS263" i="5"/>
  <c r="BR263" i="5"/>
  <c r="BQ263" i="5"/>
  <c r="BP263" i="5"/>
  <c r="BO263" i="5"/>
  <c r="BN263" i="5"/>
  <c r="BM263" i="5"/>
  <c r="BL263" i="5"/>
  <c r="BK263" i="5"/>
  <c r="BJ263" i="5"/>
  <c r="BI263" i="5"/>
  <c r="BH263" i="5"/>
  <c r="BG263" i="5"/>
  <c r="BF263" i="5"/>
  <c r="BE263" i="5"/>
  <c r="BD263" i="5"/>
  <c r="BC263" i="5"/>
  <c r="BB263" i="5"/>
  <c r="BA263" i="5"/>
  <c r="AZ263" i="5"/>
  <c r="AX263" i="5"/>
  <c r="AY263" i="5" s="1"/>
  <c r="AW263" i="5"/>
  <c r="AV263" i="5"/>
  <c r="AU263" i="5"/>
  <c r="AT263" i="5"/>
  <c r="AS263" i="5"/>
  <c r="AR263" i="5"/>
  <c r="DH262" i="5"/>
  <c r="DG262" i="5"/>
  <c r="DA262" i="5"/>
  <c r="CX262" i="5"/>
  <c r="CG262" i="5"/>
  <c r="CF262" i="5"/>
  <c r="CD262" i="5"/>
  <c r="CC262" i="5"/>
  <c r="CB262" i="5"/>
  <c r="CA262" i="5"/>
  <c r="BZ262" i="5"/>
  <c r="BY262" i="5"/>
  <c r="BX262" i="5"/>
  <c r="BW262" i="5"/>
  <c r="BV262" i="5"/>
  <c r="BU262" i="5"/>
  <c r="BT262" i="5"/>
  <c r="BS262" i="5"/>
  <c r="BR262" i="5"/>
  <c r="BQ262" i="5"/>
  <c r="BP262" i="5"/>
  <c r="BO262" i="5"/>
  <c r="BN262" i="5"/>
  <c r="BM262" i="5"/>
  <c r="BL262" i="5"/>
  <c r="BK262" i="5"/>
  <c r="BJ262" i="5"/>
  <c r="BI262" i="5"/>
  <c r="BH262" i="5"/>
  <c r="BG262" i="5"/>
  <c r="BF262" i="5"/>
  <c r="BE262" i="5"/>
  <c r="BD262" i="5"/>
  <c r="BC262" i="5"/>
  <c r="BB262" i="5"/>
  <c r="BA262" i="5"/>
  <c r="AZ262" i="5"/>
  <c r="AX262" i="5"/>
  <c r="AY262" i="5" s="1"/>
  <c r="AW262" i="5"/>
  <c r="AV262" i="5"/>
  <c r="AU262" i="5"/>
  <c r="AT262" i="5"/>
  <c r="AS262" i="5"/>
  <c r="AR262" i="5"/>
  <c r="DH261" i="5"/>
  <c r="DG261" i="5"/>
  <c r="DA261" i="5"/>
  <c r="CX261" i="5"/>
  <c r="CG261" i="5"/>
  <c r="CF261" i="5"/>
  <c r="CD261" i="5"/>
  <c r="CC261" i="5"/>
  <c r="CB261" i="5"/>
  <c r="CA261" i="5"/>
  <c r="BZ261" i="5"/>
  <c r="BY261" i="5"/>
  <c r="BX261" i="5"/>
  <c r="BW261" i="5"/>
  <c r="BV261" i="5"/>
  <c r="BU261" i="5"/>
  <c r="BT261" i="5"/>
  <c r="BS261" i="5"/>
  <c r="BR261" i="5"/>
  <c r="BQ261" i="5"/>
  <c r="BP261" i="5"/>
  <c r="BO261" i="5"/>
  <c r="BN261" i="5"/>
  <c r="BM261" i="5"/>
  <c r="BL261" i="5"/>
  <c r="BK261" i="5"/>
  <c r="BJ261" i="5"/>
  <c r="BI261" i="5"/>
  <c r="BH261" i="5"/>
  <c r="BG261" i="5"/>
  <c r="BF261" i="5"/>
  <c r="BE261" i="5"/>
  <c r="BD261" i="5"/>
  <c r="BC261" i="5"/>
  <c r="BB261" i="5"/>
  <c r="BA261" i="5"/>
  <c r="AZ261" i="5"/>
  <c r="AX261" i="5"/>
  <c r="AY261" i="5" s="1"/>
  <c r="AW261" i="5"/>
  <c r="AV261" i="5"/>
  <c r="AU261" i="5"/>
  <c r="AT261" i="5"/>
  <c r="AS261" i="5"/>
  <c r="AR261" i="5"/>
  <c r="DH260" i="5"/>
  <c r="DG260" i="5"/>
  <c r="DA260" i="5"/>
  <c r="CX260" i="5"/>
  <c r="CG260" i="5"/>
  <c r="CF260" i="5"/>
  <c r="CD260" i="5"/>
  <c r="CC260" i="5"/>
  <c r="CB260" i="5"/>
  <c r="CA260" i="5"/>
  <c r="BZ260" i="5"/>
  <c r="BY260" i="5"/>
  <c r="BX260" i="5"/>
  <c r="BW260" i="5"/>
  <c r="BV260" i="5"/>
  <c r="BU260" i="5"/>
  <c r="BT260" i="5"/>
  <c r="BS260" i="5"/>
  <c r="BR260" i="5"/>
  <c r="BQ260" i="5"/>
  <c r="BP260" i="5"/>
  <c r="BO260" i="5"/>
  <c r="BN260" i="5"/>
  <c r="BM260" i="5"/>
  <c r="BL260" i="5"/>
  <c r="BK260" i="5"/>
  <c r="BJ260" i="5"/>
  <c r="BI260" i="5"/>
  <c r="BH260" i="5"/>
  <c r="BG260" i="5"/>
  <c r="BF260" i="5"/>
  <c r="BE260" i="5"/>
  <c r="BD260" i="5"/>
  <c r="BC260" i="5"/>
  <c r="BB260" i="5"/>
  <c r="BA260" i="5"/>
  <c r="AZ260" i="5"/>
  <c r="AX260" i="5"/>
  <c r="AY260" i="5" s="1"/>
  <c r="AW260" i="5"/>
  <c r="AV260" i="5"/>
  <c r="AU260" i="5"/>
  <c r="AT260" i="5"/>
  <c r="AS260" i="5"/>
  <c r="AR260" i="5"/>
  <c r="DH259" i="5"/>
  <c r="DG259" i="5"/>
  <c r="DA259" i="5"/>
  <c r="CX259" i="5"/>
  <c r="CG259" i="5"/>
  <c r="CF259" i="5"/>
  <c r="CD259" i="5"/>
  <c r="CC259" i="5"/>
  <c r="CB259" i="5"/>
  <c r="CA259" i="5"/>
  <c r="BZ259" i="5"/>
  <c r="BY259" i="5"/>
  <c r="BX259" i="5"/>
  <c r="BW259" i="5"/>
  <c r="BV259" i="5"/>
  <c r="BU259" i="5"/>
  <c r="BT259" i="5"/>
  <c r="BS259" i="5"/>
  <c r="BR259" i="5"/>
  <c r="BQ259" i="5"/>
  <c r="BP259" i="5"/>
  <c r="BO259" i="5"/>
  <c r="BN259" i="5"/>
  <c r="BM259" i="5"/>
  <c r="BL259" i="5"/>
  <c r="BK259" i="5"/>
  <c r="BJ259" i="5"/>
  <c r="BI259" i="5"/>
  <c r="BH259" i="5"/>
  <c r="BG259" i="5"/>
  <c r="BF259" i="5"/>
  <c r="BE259" i="5"/>
  <c r="BD259" i="5"/>
  <c r="BC259" i="5"/>
  <c r="BB259" i="5"/>
  <c r="BA259" i="5"/>
  <c r="AZ259" i="5"/>
  <c r="AX259" i="5"/>
  <c r="AY259" i="5" s="1"/>
  <c r="AW259" i="5"/>
  <c r="AV259" i="5"/>
  <c r="AU259" i="5"/>
  <c r="AT259" i="5"/>
  <c r="AS259" i="5"/>
  <c r="AR259" i="5"/>
  <c r="DH258" i="5"/>
  <c r="DG258" i="5"/>
  <c r="DA258" i="5"/>
  <c r="CX258" i="5"/>
  <c r="CG258" i="5"/>
  <c r="CF258" i="5"/>
  <c r="CD258" i="5"/>
  <c r="CC258" i="5"/>
  <c r="CB258" i="5"/>
  <c r="CA258" i="5"/>
  <c r="BZ258" i="5"/>
  <c r="BY258" i="5"/>
  <c r="BX258" i="5"/>
  <c r="BW258" i="5"/>
  <c r="BV258" i="5"/>
  <c r="BU258" i="5"/>
  <c r="BT258" i="5"/>
  <c r="BS258" i="5"/>
  <c r="BR258" i="5"/>
  <c r="BQ258" i="5"/>
  <c r="BP258" i="5"/>
  <c r="BO258" i="5"/>
  <c r="BN258" i="5"/>
  <c r="BM258" i="5"/>
  <c r="BL258" i="5"/>
  <c r="BK258" i="5"/>
  <c r="BJ258" i="5"/>
  <c r="BI258" i="5"/>
  <c r="BH258" i="5"/>
  <c r="BG258" i="5"/>
  <c r="BF258" i="5"/>
  <c r="BE258" i="5"/>
  <c r="BD258" i="5"/>
  <c r="BC258" i="5"/>
  <c r="BB258" i="5"/>
  <c r="BA258" i="5"/>
  <c r="AZ258" i="5"/>
  <c r="AX258" i="5"/>
  <c r="AY258" i="5" s="1"/>
  <c r="AW258" i="5"/>
  <c r="AV258" i="5"/>
  <c r="AU258" i="5"/>
  <c r="AT258" i="5"/>
  <c r="AS258" i="5"/>
  <c r="AR258" i="5"/>
  <c r="DH257" i="5"/>
  <c r="DG257" i="5"/>
  <c r="DA257" i="5"/>
  <c r="CX257" i="5"/>
  <c r="CG257" i="5"/>
  <c r="CF257" i="5"/>
  <c r="CD257" i="5"/>
  <c r="CC257" i="5"/>
  <c r="CB257" i="5"/>
  <c r="CA257" i="5"/>
  <c r="BZ257" i="5"/>
  <c r="BY257" i="5"/>
  <c r="BX257" i="5"/>
  <c r="BW257" i="5"/>
  <c r="BV257" i="5"/>
  <c r="BU257" i="5"/>
  <c r="BT257" i="5"/>
  <c r="BS257" i="5"/>
  <c r="BR257" i="5"/>
  <c r="BQ257" i="5"/>
  <c r="BP257" i="5"/>
  <c r="BO257" i="5"/>
  <c r="BN257" i="5"/>
  <c r="BM257" i="5"/>
  <c r="BL257" i="5"/>
  <c r="BK257" i="5"/>
  <c r="BJ257" i="5"/>
  <c r="BI257" i="5"/>
  <c r="BH257" i="5"/>
  <c r="BG257" i="5"/>
  <c r="BF257" i="5"/>
  <c r="BE257" i="5"/>
  <c r="BD257" i="5"/>
  <c r="BC257" i="5"/>
  <c r="BB257" i="5"/>
  <c r="BA257" i="5"/>
  <c r="AZ257" i="5"/>
  <c r="AX257" i="5"/>
  <c r="AY257" i="5" s="1"/>
  <c r="AW257" i="5"/>
  <c r="AV257" i="5"/>
  <c r="AU257" i="5"/>
  <c r="AT257" i="5"/>
  <c r="AS257" i="5"/>
  <c r="AR257" i="5"/>
  <c r="DH256" i="5"/>
  <c r="DG256" i="5"/>
  <c r="DA256" i="5"/>
  <c r="CX256" i="5"/>
  <c r="CG256" i="5"/>
  <c r="CF256" i="5"/>
  <c r="CD256" i="5"/>
  <c r="CC256" i="5"/>
  <c r="CB256" i="5"/>
  <c r="CA256" i="5"/>
  <c r="BZ256" i="5"/>
  <c r="BY256" i="5"/>
  <c r="BX256" i="5"/>
  <c r="BW256" i="5"/>
  <c r="BV256" i="5"/>
  <c r="BU256" i="5"/>
  <c r="BT256" i="5"/>
  <c r="BS256" i="5"/>
  <c r="BR256" i="5"/>
  <c r="BQ256" i="5"/>
  <c r="BP256" i="5"/>
  <c r="BO256" i="5"/>
  <c r="BN256" i="5"/>
  <c r="BM256" i="5"/>
  <c r="BL256" i="5"/>
  <c r="BK256" i="5"/>
  <c r="BJ256" i="5"/>
  <c r="BI256" i="5"/>
  <c r="BH256" i="5"/>
  <c r="BG256" i="5"/>
  <c r="BF256" i="5"/>
  <c r="BE256" i="5"/>
  <c r="BD256" i="5"/>
  <c r="BC256" i="5"/>
  <c r="BB256" i="5"/>
  <c r="BA256" i="5"/>
  <c r="AZ256" i="5"/>
  <c r="AX256" i="5"/>
  <c r="AY256" i="5" s="1"/>
  <c r="AW256" i="5"/>
  <c r="AV256" i="5"/>
  <c r="AU256" i="5"/>
  <c r="AT256" i="5"/>
  <c r="AS256" i="5"/>
  <c r="AR256" i="5"/>
  <c r="DH255" i="5"/>
  <c r="DG255" i="5"/>
  <c r="DA255" i="5"/>
  <c r="CX255" i="5"/>
  <c r="CG255" i="5"/>
  <c r="CF255" i="5"/>
  <c r="CD255" i="5"/>
  <c r="CC255" i="5"/>
  <c r="CB255" i="5"/>
  <c r="CA255" i="5"/>
  <c r="BZ255" i="5"/>
  <c r="BY255" i="5"/>
  <c r="BX255" i="5"/>
  <c r="BW255" i="5"/>
  <c r="BV255" i="5"/>
  <c r="BU255" i="5"/>
  <c r="BT255" i="5"/>
  <c r="BS255" i="5"/>
  <c r="BR255" i="5"/>
  <c r="BQ255" i="5"/>
  <c r="BP255" i="5"/>
  <c r="BO255" i="5"/>
  <c r="BN255" i="5"/>
  <c r="BM255" i="5"/>
  <c r="BL255" i="5"/>
  <c r="BK255" i="5"/>
  <c r="BJ255" i="5"/>
  <c r="BI255" i="5"/>
  <c r="BH255" i="5"/>
  <c r="BG255" i="5"/>
  <c r="BF255" i="5"/>
  <c r="BE255" i="5"/>
  <c r="BD255" i="5"/>
  <c r="BC255" i="5"/>
  <c r="BB255" i="5"/>
  <c r="BA255" i="5"/>
  <c r="AZ255" i="5"/>
  <c r="AX255" i="5"/>
  <c r="AY255" i="5" s="1"/>
  <c r="AW255" i="5"/>
  <c r="AV255" i="5"/>
  <c r="AU255" i="5"/>
  <c r="AT255" i="5"/>
  <c r="AS255" i="5"/>
  <c r="AR255" i="5"/>
  <c r="DH254" i="5"/>
  <c r="DG254" i="5"/>
  <c r="DA254" i="5"/>
  <c r="CX254" i="5"/>
  <c r="CG254" i="5"/>
  <c r="CF254" i="5"/>
  <c r="CD254" i="5"/>
  <c r="CC254" i="5"/>
  <c r="CB254" i="5"/>
  <c r="CA254" i="5"/>
  <c r="BZ254" i="5"/>
  <c r="BY254" i="5"/>
  <c r="BX254" i="5"/>
  <c r="BW254" i="5"/>
  <c r="BV254" i="5"/>
  <c r="BU254" i="5"/>
  <c r="BT254" i="5"/>
  <c r="BS254" i="5"/>
  <c r="BR254" i="5"/>
  <c r="BQ254" i="5"/>
  <c r="BP254" i="5"/>
  <c r="BO254" i="5"/>
  <c r="BN254" i="5"/>
  <c r="BM254" i="5"/>
  <c r="BL254" i="5"/>
  <c r="BK254" i="5"/>
  <c r="BJ254" i="5"/>
  <c r="BI254" i="5"/>
  <c r="BH254" i="5"/>
  <c r="BG254" i="5"/>
  <c r="BF254" i="5"/>
  <c r="BE254" i="5"/>
  <c r="BD254" i="5"/>
  <c r="BC254" i="5"/>
  <c r="BB254" i="5"/>
  <c r="BA254" i="5"/>
  <c r="AZ254" i="5"/>
  <c r="AX254" i="5"/>
  <c r="AY254" i="5" s="1"/>
  <c r="AW254" i="5"/>
  <c r="AV254" i="5"/>
  <c r="AU254" i="5"/>
  <c r="AT254" i="5"/>
  <c r="AS254" i="5"/>
  <c r="AR254" i="5"/>
  <c r="DH253" i="5"/>
  <c r="DG253" i="5"/>
  <c r="DA253" i="5"/>
  <c r="CX253" i="5"/>
  <c r="CG253" i="5"/>
  <c r="CF253" i="5"/>
  <c r="CD253" i="5"/>
  <c r="CC253" i="5"/>
  <c r="CB253" i="5"/>
  <c r="CA253" i="5"/>
  <c r="BZ253" i="5"/>
  <c r="BY253" i="5"/>
  <c r="BX253" i="5"/>
  <c r="BW253" i="5"/>
  <c r="BV253" i="5"/>
  <c r="BU253" i="5"/>
  <c r="BT253" i="5"/>
  <c r="BS253" i="5"/>
  <c r="BR253" i="5"/>
  <c r="BQ253" i="5"/>
  <c r="BP253" i="5"/>
  <c r="BO253" i="5"/>
  <c r="BN253" i="5"/>
  <c r="BM253" i="5"/>
  <c r="BL253" i="5"/>
  <c r="BK253" i="5"/>
  <c r="BJ253" i="5"/>
  <c r="BI253" i="5"/>
  <c r="BH253" i="5"/>
  <c r="BG253" i="5"/>
  <c r="BF253" i="5"/>
  <c r="BE253" i="5"/>
  <c r="BD253" i="5"/>
  <c r="BC253" i="5"/>
  <c r="BB253" i="5"/>
  <c r="BA253" i="5"/>
  <c r="AZ253" i="5"/>
  <c r="AX253" i="5"/>
  <c r="AY253" i="5" s="1"/>
  <c r="AW253" i="5"/>
  <c r="AV253" i="5"/>
  <c r="AU253" i="5"/>
  <c r="AT253" i="5"/>
  <c r="AS253" i="5"/>
  <c r="AR253" i="5"/>
  <c r="DH252" i="5"/>
  <c r="DG252" i="5"/>
  <c r="DA252" i="5"/>
  <c r="CX252" i="5"/>
  <c r="CG252" i="5"/>
  <c r="CF252" i="5"/>
  <c r="CE252" i="5"/>
  <c r="CK252" i="5" s="1"/>
  <c r="CD252" i="5"/>
  <c r="CH252" i="5" s="1"/>
  <c r="CC252" i="5"/>
  <c r="CB252" i="5"/>
  <c r="CA252" i="5"/>
  <c r="BZ252" i="5"/>
  <c r="BY252" i="5"/>
  <c r="BX252" i="5"/>
  <c r="BW252" i="5"/>
  <c r="BV252" i="5"/>
  <c r="BU252" i="5"/>
  <c r="BT252" i="5"/>
  <c r="BS252" i="5"/>
  <c r="BR252" i="5"/>
  <c r="BQ252" i="5"/>
  <c r="BP252" i="5"/>
  <c r="BO252" i="5"/>
  <c r="BN252" i="5"/>
  <c r="BM252" i="5"/>
  <c r="BL252" i="5"/>
  <c r="BK252" i="5"/>
  <c r="BJ252" i="5"/>
  <c r="BI252" i="5"/>
  <c r="BH252" i="5"/>
  <c r="BG252" i="5"/>
  <c r="BF252" i="5"/>
  <c r="BE252" i="5"/>
  <c r="BD252" i="5"/>
  <c r="BC252" i="5"/>
  <c r="BB252" i="5"/>
  <c r="BA252" i="5"/>
  <c r="AZ252" i="5"/>
  <c r="AY252" i="5"/>
  <c r="AX252" i="5"/>
  <c r="AW252" i="5"/>
  <c r="AV252" i="5"/>
  <c r="AU252" i="5"/>
  <c r="AT252" i="5"/>
  <c r="AS252" i="5"/>
  <c r="AR252" i="5"/>
  <c r="DH251" i="5"/>
  <c r="DG251" i="5"/>
  <c r="DA251" i="5"/>
  <c r="CX251" i="5"/>
  <c r="CH251" i="5"/>
  <c r="CG251" i="5"/>
  <c r="CF251" i="5"/>
  <c r="CE251" i="5"/>
  <c r="CK251" i="5" s="1"/>
  <c r="CD251" i="5"/>
  <c r="CC251" i="5"/>
  <c r="CB251" i="5"/>
  <c r="CA251" i="5"/>
  <c r="BZ251" i="5"/>
  <c r="BY251" i="5"/>
  <c r="BX251" i="5"/>
  <c r="BW251" i="5"/>
  <c r="BV251" i="5"/>
  <c r="BU251" i="5"/>
  <c r="BT251" i="5"/>
  <c r="BS251" i="5"/>
  <c r="BR251" i="5"/>
  <c r="BQ251" i="5"/>
  <c r="BP251" i="5"/>
  <c r="BO251" i="5"/>
  <c r="BN251" i="5"/>
  <c r="BM251" i="5"/>
  <c r="BL251" i="5"/>
  <c r="BK251" i="5"/>
  <c r="BJ251" i="5"/>
  <c r="BI251" i="5"/>
  <c r="BH251" i="5"/>
  <c r="BG251" i="5"/>
  <c r="BF251" i="5"/>
  <c r="BE251" i="5"/>
  <c r="BD251" i="5"/>
  <c r="BC251" i="5"/>
  <c r="BB251" i="5"/>
  <c r="BA251" i="5"/>
  <c r="AZ251" i="5"/>
  <c r="AY251" i="5"/>
  <c r="AX251" i="5"/>
  <c r="AW251" i="5"/>
  <c r="AV251" i="5"/>
  <c r="AU251" i="5"/>
  <c r="AT251" i="5"/>
  <c r="AS251" i="5"/>
  <c r="AR251" i="5"/>
  <c r="DH250" i="5"/>
  <c r="DG250" i="5"/>
  <c r="DA250" i="5"/>
  <c r="CX250" i="5"/>
  <c r="CH250" i="5"/>
  <c r="CG250" i="5"/>
  <c r="CF250" i="5"/>
  <c r="CE250" i="5"/>
  <c r="CK250" i="5" s="1"/>
  <c r="CD250" i="5"/>
  <c r="CC250" i="5"/>
  <c r="CB250" i="5"/>
  <c r="CA250" i="5"/>
  <c r="BZ250" i="5"/>
  <c r="BY250" i="5"/>
  <c r="BX250" i="5"/>
  <c r="BW250" i="5"/>
  <c r="BV250" i="5"/>
  <c r="BU250" i="5"/>
  <c r="BT250" i="5"/>
  <c r="BS250" i="5"/>
  <c r="BR250" i="5"/>
  <c r="BQ250" i="5"/>
  <c r="BP250" i="5"/>
  <c r="BO250" i="5"/>
  <c r="BN250" i="5"/>
  <c r="BM250" i="5"/>
  <c r="BL250" i="5"/>
  <c r="BK250" i="5"/>
  <c r="BJ250" i="5"/>
  <c r="BI250" i="5"/>
  <c r="BH250" i="5"/>
  <c r="BG250" i="5"/>
  <c r="BF250" i="5"/>
  <c r="BE250" i="5"/>
  <c r="BD250" i="5"/>
  <c r="BC250" i="5"/>
  <c r="BB250" i="5"/>
  <c r="BA250" i="5"/>
  <c r="AZ250" i="5"/>
  <c r="AY250" i="5"/>
  <c r="AX250" i="5"/>
  <c r="AW250" i="5"/>
  <c r="AV250" i="5"/>
  <c r="AU250" i="5"/>
  <c r="AT250" i="5"/>
  <c r="AS250" i="5"/>
  <c r="AR250" i="5"/>
  <c r="DH249" i="5"/>
  <c r="DG249" i="5"/>
  <c r="DA249" i="5"/>
  <c r="CX249" i="5"/>
  <c r="CH249" i="5"/>
  <c r="CG249" i="5"/>
  <c r="CF249" i="5"/>
  <c r="CE249" i="5"/>
  <c r="CK249" i="5" s="1"/>
  <c r="CD249" i="5"/>
  <c r="CC249" i="5"/>
  <c r="CB249" i="5"/>
  <c r="CA249" i="5"/>
  <c r="BZ249" i="5"/>
  <c r="BY249" i="5"/>
  <c r="BX249" i="5"/>
  <c r="BW249" i="5"/>
  <c r="BV249" i="5"/>
  <c r="BU249" i="5"/>
  <c r="BT249" i="5"/>
  <c r="BS249" i="5"/>
  <c r="BR249" i="5"/>
  <c r="BQ249" i="5"/>
  <c r="BP249" i="5"/>
  <c r="BO249" i="5"/>
  <c r="BN249" i="5"/>
  <c r="BM249" i="5"/>
  <c r="BL249" i="5"/>
  <c r="BK249" i="5"/>
  <c r="BJ249" i="5"/>
  <c r="BI249" i="5"/>
  <c r="BH249" i="5"/>
  <c r="BG249" i="5"/>
  <c r="BF249" i="5"/>
  <c r="BE249" i="5"/>
  <c r="BD249" i="5"/>
  <c r="BC249" i="5"/>
  <c r="BB249" i="5"/>
  <c r="BA249" i="5"/>
  <c r="AZ249" i="5"/>
  <c r="AY249" i="5"/>
  <c r="AX249" i="5"/>
  <c r="AW249" i="5"/>
  <c r="AV249" i="5"/>
  <c r="AU249" i="5"/>
  <c r="AT249" i="5"/>
  <c r="AS249" i="5"/>
  <c r="AR249" i="5"/>
  <c r="DH248" i="5"/>
  <c r="DG248" i="5"/>
  <c r="DA248" i="5"/>
  <c r="CX248" i="5"/>
  <c r="CG248" i="5"/>
  <c r="CF248" i="5"/>
  <c r="CE248" i="5"/>
  <c r="CK248" i="5" s="1"/>
  <c r="CD248" i="5"/>
  <c r="CH248" i="5" s="1"/>
  <c r="CC248" i="5"/>
  <c r="CB248" i="5"/>
  <c r="CA248" i="5"/>
  <c r="BZ248" i="5"/>
  <c r="BY248" i="5"/>
  <c r="BX248" i="5"/>
  <c r="BW248" i="5"/>
  <c r="BV248" i="5"/>
  <c r="BU248" i="5"/>
  <c r="BT248" i="5"/>
  <c r="BS248" i="5"/>
  <c r="BR248" i="5"/>
  <c r="BQ248" i="5"/>
  <c r="BP248" i="5"/>
  <c r="BO248" i="5"/>
  <c r="BN248" i="5"/>
  <c r="BM248" i="5"/>
  <c r="BL248" i="5"/>
  <c r="BK248" i="5"/>
  <c r="BJ248" i="5"/>
  <c r="BI248" i="5"/>
  <c r="BH248" i="5"/>
  <c r="BG248" i="5"/>
  <c r="BF248" i="5"/>
  <c r="BE248" i="5"/>
  <c r="BD248" i="5"/>
  <c r="BC248" i="5"/>
  <c r="BB248" i="5"/>
  <c r="BA248" i="5"/>
  <c r="AZ248" i="5"/>
  <c r="AY248" i="5"/>
  <c r="AX248" i="5"/>
  <c r="AW248" i="5"/>
  <c r="AV248" i="5"/>
  <c r="AU248" i="5"/>
  <c r="AT248" i="5"/>
  <c r="AS248" i="5"/>
  <c r="AR248" i="5"/>
  <c r="DH247" i="5"/>
  <c r="DG247" i="5"/>
  <c r="DA247" i="5"/>
  <c r="CX247" i="5"/>
  <c r="CG247" i="5"/>
  <c r="CF247" i="5"/>
  <c r="CE247" i="5"/>
  <c r="CK247" i="5" s="1"/>
  <c r="CD247" i="5"/>
  <c r="CH247" i="5" s="1"/>
  <c r="CC247" i="5"/>
  <c r="CB247" i="5"/>
  <c r="CA247" i="5"/>
  <c r="BZ247" i="5"/>
  <c r="BY247" i="5"/>
  <c r="BX247" i="5"/>
  <c r="BW247" i="5"/>
  <c r="BV247" i="5"/>
  <c r="BU247" i="5"/>
  <c r="BT247" i="5"/>
  <c r="BS247" i="5"/>
  <c r="BR247" i="5"/>
  <c r="BQ247" i="5"/>
  <c r="BP247" i="5"/>
  <c r="BO247" i="5"/>
  <c r="BN247" i="5"/>
  <c r="BM247" i="5"/>
  <c r="BL247" i="5"/>
  <c r="BK247" i="5"/>
  <c r="BJ247" i="5"/>
  <c r="BI247" i="5"/>
  <c r="BH247" i="5"/>
  <c r="BG247" i="5"/>
  <c r="BF247" i="5"/>
  <c r="BE247" i="5"/>
  <c r="BD247" i="5"/>
  <c r="BC247" i="5"/>
  <c r="BB247" i="5"/>
  <c r="BA247" i="5"/>
  <c r="AZ247" i="5"/>
  <c r="AY247" i="5"/>
  <c r="AX247" i="5"/>
  <c r="AW247" i="5"/>
  <c r="AV247" i="5"/>
  <c r="AU247" i="5"/>
  <c r="AT247" i="5"/>
  <c r="AS247" i="5"/>
  <c r="AR247" i="5"/>
  <c r="DH246" i="5"/>
  <c r="DG246" i="5"/>
  <c r="DA246" i="5"/>
  <c r="CX246" i="5"/>
  <c r="CG246" i="5"/>
  <c r="CF246" i="5"/>
  <c r="CE246" i="5"/>
  <c r="CK246" i="5" s="1"/>
  <c r="CD246" i="5"/>
  <c r="CH246" i="5" s="1"/>
  <c r="CC246" i="5"/>
  <c r="CB246" i="5"/>
  <c r="CA246" i="5"/>
  <c r="BZ246" i="5"/>
  <c r="BY246" i="5"/>
  <c r="BX246" i="5"/>
  <c r="BW246" i="5"/>
  <c r="BV246" i="5"/>
  <c r="BU246" i="5"/>
  <c r="BT246" i="5"/>
  <c r="BS246" i="5"/>
  <c r="BR246" i="5"/>
  <c r="BQ246" i="5"/>
  <c r="BP246" i="5"/>
  <c r="BO246" i="5"/>
  <c r="BN246" i="5"/>
  <c r="BM246" i="5"/>
  <c r="BL246" i="5"/>
  <c r="BK246" i="5"/>
  <c r="BJ246" i="5"/>
  <c r="BI246" i="5"/>
  <c r="BH246" i="5"/>
  <c r="BG246" i="5"/>
  <c r="BF246" i="5"/>
  <c r="BE246" i="5"/>
  <c r="BD246" i="5"/>
  <c r="BC246" i="5"/>
  <c r="BB246" i="5"/>
  <c r="BA246" i="5"/>
  <c r="AZ246" i="5"/>
  <c r="AY246" i="5"/>
  <c r="AX246" i="5"/>
  <c r="AW246" i="5"/>
  <c r="AV246" i="5"/>
  <c r="AU246" i="5"/>
  <c r="AT246" i="5"/>
  <c r="AS246" i="5"/>
  <c r="AR246" i="5"/>
  <c r="DH245" i="5"/>
  <c r="DG245" i="5"/>
  <c r="DA245" i="5"/>
  <c r="CX245" i="5"/>
  <c r="CG245" i="5"/>
  <c r="CF245" i="5"/>
  <c r="CE245" i="5"/>
  <c r="CK245" i="5" s="1"/>
  <c r="CD245" i="5"/>
  <c r="CH245" i="5" s="1"/>
  <c r="CC245" i="5"/>
  <c r="CB245" i="5"/>
  <c r="CA245" i="5"/>
  <c r="BZ245" i="5"/>
  <c r="BY245" i="5"/>
  <c r="BX245" i="5"/>
  <c r="BW245" i="5"/>
  <c r="BV245" i="5"/>
  <c r="BU245" i="5"/>
  <c r="BT245" i="5"/>
  <c r="BS245" i="5"/>
  <c r="BR245" i="5"/>
  <c r="BQ245" i="5"/>
  <c r="BP245" i="5"/>
  <c r="BO245" i="5"/>
  <c r="BN245" i="5"/>
  <c r="BM245" i="5"/>
  <c r="BL245" i="5"/>
  <c r="BK245" i="5"/>
  <c r="BJ245" i="5"/>
  <c r="BI245" i="5"/>
  <c r="BH245" i="5"/>
  <c r="BG245" i="5"/>
  <c r="BF245" i="5"/>
  <c r="BE245" i="5"/>
  <c r="BD245" i="5"/>
  <c r="BC245" i="5"/>
  <c r="BB245" i="5"/>
  <c r="BA245" i="5"/>
  <c r="AZ245" i="5"/>
  <c r="AY245" i="5"/>
  <c r="AX245" i="5"/>
  <c r="AW245" i="5"/>
  <c r="AV245" i="5"/>
  <c r="AU245" i="5"/>
  <c r="AT245" i="5"/>
  <c r="AS245" i="5"/>
  <c r="AR245" i="5"/>
  <c r="DH244" i="5"/>
  <c r="DG244" i="5"/>
  <c r="DA244" i="5"/>
  <c r="CX244" i="5"/>
  <c r="CG244" i="5"/>
  <c r="CF244" i="5"/>
  <c r="CE244" i="5"/>
  <c r="CK244" i="5" s="1"/>
  <c r="CD244" i="5"/>
  <c r="CH244" i="5" s="1"/>
  <c r="CC244" i="5"/>
  <c r="CB244" i="5"/>
  <c r="CA244" i="5"/>
  <c r="BZ244" i="5"/>
  <c r="BY244" i="5"/>
  <c r="BX244" i="5"/>
  <c r="BW244" i="5"/>
  <c r="BV244" i="5"/>
  <c r="BU244" i="5"/>
  <c r="BT244" i="5"/>
  <c r="BS244" i="5"/>
  <c r="BR244" i="5"/>
  <c r="BQ244" i="5"/>
  <c r="BP244" i="5"/>
  <c r="BO244" i="5"/>
  <c r="BN244" i="5"/>
  <c r="BM244" i="5"/>
  <c r="BL244" i="5"/>
  <c r="BK244" i="5"/>
  <c r="BJ244" i="5"/>
  <c r="BI244" i="5"/>
  <c r="BH244" i="5"/>
  <c r="BG244" i="5"/>
  <c r="BF244" i="5"/>
  <c r="BE244" i="5"/>
  <c r="BD244" i="5"/>
  <c r="BC244" i="5"/>
  <c r="BB244" i="5"/>
  <c r="BA244" i="5"/>
  <c r="AZ244" i="5"/>
  <c r="AY244" i="5"/>
  <c r="AX244" i="5"/>
  <c r="AW244" i="5"/>
  <c r="AV244" i="5"/>
  <c r="AU244" i="5"/>
  <c r="AT244" i="5"/>
  <c r="AS244" i="5"/>
  <c r="AR244" i="5"/>
  <c r="DH243" i="5"/>
  <c r="DG243" i="5"/>
  <c r="DA243" i="5"/>
  <c r="CX243" i="5"/>
  <c r="CG243" i="5"/>
  <c r="CF243" i="5"/>
  <c r="CE243" i="5"/>
  <c r="CK243" i="5" s="1"/>
  <c r="CD243" i="5"/>
  <c r="CH243" i="5" s="1"/>
  <c r="CC243" i="5"/>
  <c r="CB243" i="5"/>
  <c r="CA243" i="5"/>
  <c r="BZ243" i="5"/>
  <c r="BY243" i="5"/>
  <c r="BX243" i="5"/>
  <c r="BW243" i="5"/>
  <c r="BV243" i="5"/>
  <c r="BU243" i="5"/>
  <c r="BT243" i="5"/>
  <c r="BS243" i="5"/>
  <c r="BR243" i="5"/>
  <c r="BQ243" i="5"/>
  <c r="BP243" i="5"/>
  <c r="BO243" i="5"/>
  <c r="BN243" i="5"/>
  <c r="BM243" i="5"/>
  <c r="BL243" i="5"/>
  <c r="BK243" i="5"/>
  <c r="BJ243" i="5"/>
  <c r="BI243" i="5"/>
  <c r="BH243" i="5"/>
  <c r="BG243" i="5"/>
  <c r="BF243" i="5"/>
  <c r="BE243" i="5"/>
  <c r="BD243" i="5"/>
  <c r="BC243" i="5"/>
  <c r="BB243" i="5"/>
  <c r="BA243" i="5"/>
  <c r="AZ243" i="5"/>
  <c r="AY243" i="5"/>
  <c r="AX243" i="5"/>
  <c r="AW243" i="5"/>
  <c r="AV243" i="5"/>
  <c r="AU243" i="5"/>
  <c r="AT243" i="5"/>
  <c r="AS243" i="5"/>
  <c r="AR243" i="5"/>
  <c r="DH242" i="5"/>
  <c r="DG242" i="5"/>
  <c r="DA242" i="5"/>
  <c r="CX242" i="5"/>
  <c r="CG242" i="5"/>
  <c r="CF242" i="5"/>
  <c r="CE242" i="5"/>
  <c r="CK242" i="5" s="1"/>
  <c r="CD242" i="5"/>
  <c r="CH242" i="5" s="1"/>
  <c r="CC242" i="5"/>
  <c r="CB242" i="5"/>
  <c r="CA242" i="5"/>
  <c r="BZ242" i="5"/>
  <c r="BY242" i="5"/>
  <c r="BX242" i="5"/>
  <c r="BW242" i="5"/>
  <c r="BV242" i="5"/>
  <c r="BU242" i="5"/>
  <c r="BT242" i="5"/>
  <c r="BS242" i="5"/>
  <c r="BR242" i="5"/>
  <c r="BQ242" i="5"/>
  <c r="BP242" i="5"/>
  <c r="BO242" i="5"/>
  <c r="BN242" i="5"/>
  <c r="BM242" i="5"/>
  <c r="BL242" i="5"/>
  <c r="BK242" i="5"/>
  <c r="BJ242" i="5"/>
  <c r="BI242" i="5"/>
  <c r="BH242" i="5"/>
  <c r="BG242" i="5"/>
  <c r="BF242" i="5"/>
  <c r="BE242" i="5"/>
  <c r="BD242" i="5"/>
  <c r="BC242" i="5"/>
  <c r="BB242" i="5"/>
  <c r="BA242" i="5"/>
  <c r="AZ242" i="5"/>
  <c r="AY242" i="5"/>
  <c r="AX242" i="5"/>
  <c r="AW242" i="5"/>
  <c r="AV242" i="5"/>
  <c r="AU242" i="5"/>
  <c r="AT242" i="5"/>
  <c r="AS242" i="5"/>
  <c r="AR242" i="5"/>
  <c r="DH241" i="5"/>
  <c r="DG241" i="5"/>
  <c r="DA241" i="5"/>
  <c r="CX241" i="5"/>
  <c r="CG241" i="5"/>
  <c r="CF241" i="5"/>
  <c r="CE241" i="5"/>
  <c r="CK241" i="5" s="1"/>
  <c r="CD241" i="5"/>
  <c r="CH241" i="5" s="1"/>
  <c r="CC241" i="5"/>
  <c r="CB241" i="5"/>
  <c r="CA241" i="5"/>
  <c r="BZ241" i="5"/>
  <c r="BY241" i="5"/>
  <c r="BX241" i="5"/>
  <c r="BW241" i="5"/>
  <c r="BV241" i="5"/>
  <c r="BU241" i="5"/>
  <c r="BT241" i="5"/>
  <c r="BS241" i="5"/>
  <c r="BR241" i="5"/>
  <c r="BQ241" i="5"/>
  <c r="BP241" i="5"/>
  <c r="BO241" i="5"/>
  <c r="BN241" i="5"/>
  <c r="BM241" i="5"/>
  <c r="BL241" i="5"/>
  <c r="BK241" i="5"/>
  <c r="BJ241" i="5"/>
  <c r="BI241" i="5"/>
  <c r="BH241" i="5"/>
  <c r="BG241" i="5"/>
  <c r="BF241" i="5"/>
  <c r="BE241" i="5"/>
  <c r="BD241" i="5"/>
  <c r="BC241" i="5"/>
  <c r="BB241" i="5"/>
  <c r="BA241" i="5"/>
  <c r="AZ241" i="5"/>
  <c r="AY241" i="5"/>
  <c r="AX241" i="5"/>
  <c r="AW241" i="5"/>
  <c r="AV241" i="5"/>
  <c r="AU241" i="5"/>
  <c r="AT241" i="5"/>
  <c r="AS241" i="5"/>
  <c r="AR241" i="5"/>
  <c r="DH240" i="5"/>
  <c r="DG240" i="5"/>
  <c r="DA240" i="5"/>
  <c r="CX240" i="5"/>
  <c r="CG240" i="5"/>
  <c r="CF240" i="5"/>
  <c r="CE240" i="5"/>
  <c r="CK240" i="5" s="1"/>
  <c r="CD240" i="5"/>
  <c r="CH240" i="5" s="1"/>
  <c r="CC240" i="5"/>
  <c r="CB240" i="5"/>
  <c r="CA240" i="5"/>
  <c r="BZ240" i="5"/>
  <c r="BY240" i="5"/>
  <c r="BX240" i="5"/>
  <c r="BW240" i="5"/>
  <c r="BV240" i="5"/>
  <c r="BU240" i="5"/>
  <c r="BT240" i="5"/>
  <c r="BS240" i="5"/>
  <c r="BR240" i="5"/>
  <c r="BQ240" i="5"/>
  <c r="BP240" i="5"/>
  <c r="BO240" i="5"/>
  <c r="BN240" i="5"/>
  <c r="BM240" i="5"/>
  <c r="BL240" i="5"/>
  <c r="BK240" i="5"/>
  <c r="BJ240" i="5"/>
  <c r="BI240" i="5"/>
  <c r="BH240" i="5"/>
  <c r="BG240" i="5"/>
  <c r="BF240" i="5"/>
  <c r="BE240" i="5"/>
  <c r="BD240" i="5"/>
  <c r="BC240" i="5"/>
  <c r="BB240" i="5"/>
  <c r="BA240" i="5"/>
  <c r="AZ240" i="5"/>
  <c r="AY240" i="5"/>
  <c r="AX240" i="5"/>
  <c r="AW240" i="5"/>
  <c r="AV240" i="5"/>
  <c r="AU240" i="5"/>
  <c r="AT240" i="5"/>
  <c r="AS240" i="5"/>
  <c r="AR240" i="5"/>
  <c r="DH239" i="5"/>
  <c r="DG239" i="5"/>
  <c r="DA239" i="5"/>
  <c r="CX239" i="5"/>
  <c r="CG239" i="5"/>
  <c r="CF239" i="5"/>
  <c r="CE239" i="5"/>
  <c r="CK239" i="5" s="1"/>
  <c r="CD239" i="5"/>
  <c r="CH239" i="5" s="1"/>
  <c r="CC239" i="5"/>
  <c r="CB239" i="5"/>
  <c r="CA239" i="5"/>
  <c r="BZ239" i="5"/>
  <c r="BY239" i="5"/>
  <c r="BX239" i="5"/>
  <c r="BW239" i="5"/>
  <c r="BV239" i="5"/>
  <c r="BU239" i="5"/>
  <c r="BT239" i="5"/>
  <c r="BS239" i="5"/>
  <c r="BR239" i="5"/>
  <c r="BQ239" i="5"/>
  <c r="BP239" i="5"/>
  <c r="BO239" i="5"/>
  <c r="BN239" i="5"/>
  <c r="BM239" i="5"/>
  <c r="BL239" i="5"/>
  <c r="BK239" i="5"/>
  <c r="BJ239" i="5"/>
  <c r="BI239" i="5"/>
  <c r="BH239" i="5"/>
  <c r="BG239" i="5"/>
  <c r="BF239" i="5"/>
  <c r="BE239" i="5"/>
  <c r="BD239" i="5"/>
  <c r="BC239" i="5"/>
  <c r="BB239" i="5"/>
  <c r="BA239" i="5"/>
  <c r="AZ239" i="5"/>
  <c r="AY239" i="5"/>
  <c r="AX239" i="5"/>
  <c r="AW239" i="5"/>
  <c r="AV239" i="5"/>
  <c r="AU239" i="5"/>
  <c r="AT239" i="5"/>
  <c r="AS239" i="5"/>
  <c r="AR239" i="5"/>
  <c r="DH238" i="5"/>
  <c r="DG238" i="5"/>
  <c r="DA238" i="5"/>
  <c r="CX238" i="5"/>
  <c r="CG238" i="5"/>
  <c r="CF238" i="5"/>
  <c r="CE238" i="5"/>
  <c r="CK238" i="5" s="1"/>
  <c r="CD238" i="5"/>
  <c r="CH238" i="5" s="1"/>
  <c r="CC238" i="5"/>
  <c r="CB238" i="5"/>
  <c r="CA238" i="5"/>
  <c r="BZ238" i="5"/>
  <c r="BY238" i="5"/>
  <c r="BX238" i="5"/>
  <c r="BW238" i="5"/>
  <c r="BV238" i="5"/>
  <c r="BU238" i="5"/>
  <c r="BT238" i="5"/>
  <c r="BS238" i="5"/>
  <c r="BR238" i="5"/>
  <c r="BQ238" i="5"/>
  <c r="BP238" i="5"/>
  <c r="BO238" i="5"/>
  <c r="BN238" i="5"/>
  <c r="BM238" i="5"/>
  <c r="BL238" i="5"/>
  <c r="BK238" i="5"/>
  <c r="BJ238" i="5"/>
  <c r="BI238" i="5"/>
  <c r="BH238" i="5"/>
  <c r="BG238" i="5"/>
  <c r="BF238" i="5"/>
  <c r="BE238" i="5"/>
  <c r="BD238" i="5"/>
  <c r="BC238" i="5"/>
  <c r="BB238" i="5"/>
  <c r="BA238" i="5"/>
  <c r="AZ238" i="5"/>
  <c r="AY238" i="5"/>
  <c r="AX238" i="5"/>
  <c r="AW238" i="5"/>
  <c r="AV238" i="5"/>
  <c r="AU238" i="5"/>
  <c r="AT238" i="5"/>
  <c r="AS238" i="5"/>
  <c r="AR238" i="5"/>
  <c r="DH237" i="5"/>
  <c r="DG237" i="5"/>
  <c r="DA237" i="5"/>
  <c r="CX237" i="5"/>
  <c r="CG237" i="5"/>
  <c r="CF237" i="5"/>
  <c r="CE237" i="5"/>
  <c r="CK237" i="5" s="1"/>
  <c r="CD237" i="5"/>
  <c r="CH237" i="5" s="1"/>
  <c r="CC237" i="5"/>
  <c r="CB237" i="5"/>
  <c r="CA237" i="5"/>
  <c r="BZ237" i="5"/>
  <c r="BY237" i="5"/>
  <c r="BX237" i="5"/>
  <c r="BW237" i="5"/>
  <c r="BV237" i="5"/>
  <c r="BU237" i="5"/>
  <c r="BT237" i="5"/>
  <c r="BS237" i="5"/>
  <c r="BR237" i="5"/>
  <c r="BQ237" i="5"/>
  <c r="BP237" i="5"/>
  <c r="BO237" i="5"/>
  <c r="BN237" i="5"/>
  <c r="BM237" i="5"/>
  <c r="BL237" i="5"/>
  <c r="BK237" i="5"/>
  <c r="BJ237" i="5"/>
  <c r="BI237" i="5"/>
  <c r="BH237" i="5"/>
  <c r="BG237" i="5"/>
  <c r="BF237" i="5"/>
  <c r="BE237" i="5"/>
  <c r="BD237" i="5"/>
  <c r="BC237" i="5"/>
  <c r="BB237" i="5"/>
  <c r="BA237" i="5"/>
  <c r="AZ237" i="5"/>
  <c r="AY237" i="5"/>
  <c r="AX237" i="5"/>
  <c r="AW237" i="5"/>
  <c r="AV237" i="5"/>
  <c r="AU237" i="5"/>
  <c r="AT237" i="5"/>
  <c r="AS237" i="5"/>
  <c r="AR237" i="5"/>
  <c r="DH236" i="5"/>
  <c r="DG236" i="5"/>
  <c r="DA236" i="5"/>
  <c r="CX236" i="5"/>
  <c r="CG236" i="5"/>
  <c r="CF236" i="5"/>
  <c r="CE236" i="5"/>
  <c r="CK236" i="5" s="1"/>
  <c r="CD236" i="5"/>
  <c r="CH236" i="5" s="1"/>
  <c r="CC236" i="5"/>
  <c r="CB236" i="5"/>
  <c r="CA236" i="5"/>
  <c r="BZ236" i="5"/>
  <c r="BY236" i="5"/>
  <c r="BX236" i="5"/>
  <c r="BW236" i="5"/>
  <c r="BV236" i="5"/>
  <c r="BU236" i="5"/>
  <c r="BT236" i="5"/>
  <c r="BS236" i="5"/>
  <c r="BR236" i="5"/>
  <c r="BQ236" i="5"/>
  <c r="BP236" i="5"/>
  <c r="BO236" i="5"/>
  <c r="BN236" i="5"/>
  <c r="BM236" i="5"/>
  <c r="BL236" i="5"/>
  <c r="BK236" i="5"/>
  <c r="BJ236" i="5"/>
  <c r="BI236" i="5"/>
  <c r="BH236" i="5"/>
  <c r="BG236" i="5"/>
  <c r="BF236" i="5"/>
  <c r="BE236" i="5"/>
  <c r="BD236" i="5"/>
  <c r="BC236" i="5"/>
  <c r="BB236" i="5"/>
  <c r="BA236" i="5"/>
  <c r="AZ236" i="5"/>
  <c r="AY236" i="5"/>
  <c r="AX236" i="5"/>
  <c r="AW236" i="5"/>
  <c r="AV236" i="5"/>
  <c r="AU236" i="5"/>
  <c r="AT236" i="5"/>
  <c r="AS236" i="5"/>
  <c r="AR236" i="5"/>
  <c r="DH235" i="5"/>
  <c r="DG235" i="5"/>
  <c r="DA235" i="5"/>
  <c r="CX235" i="5"/>
  <c r="CG235" i="5"/>
  <c r="CF235" i="5"/>
  <c r="CE235" i="5"/>
  <c r="CK235" i="5" s="1"/>
  <c r="CD235" i="5"/>
  <c r="CH235" i="5" s="1"/>
  <c r="CC235" i="5"/>
  <c r="CB235" i="5"/>
  <c r="CA235" i="5"/>
  <c r="BZ235" i="5"/>
  <c r="BY235" i="5"/>
  <c r="BX235" i="5"/>
  <c r="BW235" i="5"/>
  <c r="BV235" i="5"/>
  <c r="BU235" i="5"/>
  <c r="BT235" i="5"/>
  <c r="BS235" i="5"/>
  <c r="BR235" i="5"/>
  <c r="BQ235" i="5"/>
  <c r="BP235" i="5"/>
  <c r="BO235" i="5"/>
  <c r="BN235" i="5"/>
  <c r="BM235" i="5"/>
  <c r="BL235" i="5"/>
  <c r="BK235" i="5"/>
  <c r="BJ235" i="5"/>
  <c r="BI235" i="5"/>
  <c r="BH235" i="5"/>
  <c r="BG235" i="5"/>
  <c r="BF235" i="5"/>
  <c r="BE235" i="5"/>
  <c r="BD235" i="5"/>
  <c r="BC235" i="5"/>
  <c r="BB235" i="5"/>
  <c r="BA235" i="5"/>
  <c r="AZ235" i="5"/>
  <c r="AY235" i="5"/>
  <c r="AX235" i="5"/>
  <c r="AW235" i="5"/>
  <c r="AV235" i="5"/>
  <c r="AU235" i="5"/>
  <c r="AT235" i="5"/>
  <c r="AS235" i="5"/>
  <c r="AR235" i="5"/>
  <c r="DH234" i="5"/>
  <c r="DG234" i="5"/>
  <c r="DA234" i="5"/>
  <c r="CX234" i="5"/>
  <c r="CG234" i="5"/>
  <c r="CF234" i="5"/>
  <c r="CE234" i="5"/>
  <c r="CK234" i="5" s="1"/>
  <c r="CD234" i="5"/>
  <c r="CH234" i="5" s="1"/>
  <c r="CC234" i="5"/>
  <c r="CB234" i="5"/>
  <c r="CA234" i="5"/>
  <c r="BZ234" i="5"/>
  <c r="BY234" i="5"/>
  <c r="BX234" i="5"/>
  <c r="BW234" i="5"/>
  <c r="BV234" i="5"/>
  <c r="BU234" i="5"/>
  <c r="BT234" i="5"/>
  <c r="BS234" i="5"/>
  <c r="BR234" i="5"/>
  <c r="BQ234" i="5"/>
  <c r="BP234" i="5"/>
  <c r="BO234" i="5"/>
  <c r="BN234" i="5"/>
  <c r="BM234" i="5"/>
  <c r="BL234" i="5"/>
  <c r="BK234" i="5"/>
  <c r="BJ234" i="5"/>
  <c r="BI234" i="5"/>
  <c r="BH234" i="5"/>
  <c r="BG234" i="5"/>
  <c r="BF234" i="5"/>
  <c r="BE234" i="5"/>
  <c r="BD234" i="5"/>
  <c r="BC234" i="5"/>
  <c r="BB234" i="5"/>
  <c r="BA234" i="5"/>
  <c r="AZ234" i="5"/>
  <c r="AY234" i="5"/>
  <c r="AX234" i="5"/>
  <c r="AW234" i="5"/>
  <c r="AV234" i="5"/>
  <c r="AU234" i="5"/>
  <c r="AT234" i="5"/>
  <c r="AS234" i="5"/>
  <c r="AR234" i="5"/>
  <c r="DH233" i="5"/>
  <c r="DG233" i="5"/>
  <c r="DA233" i="5"/>
  <c r="CX233" i="5"/>
  <c r="CG233" i="5"/>
  <c r="CF233" i="5"/>
  <c r="CE233" i="5"/>
  <c r="CK233" i="5" s="1"/>
  <c r="CD233" i="5"/>
  <c r="CH233" i="5" s="1"/>
  <c r="CC233" i="5"/>
  <c r="CB233" i="5"/>
  <c r="CA233" i="5"/>
  <c r="BZ233" i="5"/>
  <c r="BY233" i="5"/>
  <c r="BX233" i="5"/>
  <c r="BW233" i="5"/>
  <c r="BV233" i="5"/>
  <c r="BU233" i="5"/>
  <c r="BT233" i="5"/>
  <c r="BS233" i="5"/>
  <c r="BR233" i="5"/>
  <c r="BQ233" i="5"/>
  <c r="BP233" i="5"/>
  <c r="BO233" i="5"/>
  <c r="BN233" i="5"/>
  <c r="BM233" i="5"/>
  <c r="BL233" i="5"/>
  <c r="BK233" i="5"/>
  <c r="BJ233" i="5"/>
  <c r="BI233" i="5"/>
  <c r="BH233" i="5"/>
  <c r="BG233" i="5"/>
  <c r="BF233" i="5"/>
  <c r="BE233" i="5"/>
  <c r="BD233" i="5"/>
  <c r="BC233" i="5"/>
  <c r="BB233" i="5"/>
  <c r="BA233" i="5"/>
  <c r="AZ233" i="5"/>
  <c r="AY233" i="5"/>
  <c r="AX233" i="5"/>
  <c r="AW233" i="5"/>
  <c r="AV233" i="5"/>
  <c r="AU233" i="5"/>
  <c r="AT233" i="5"/>
  <c r="AS233" i="5"/>
  <c r="AR233" i="5"/>
  <c r="DH232" i="5"/>
  <c r="DG232" i="5"/>
  <c r="DA232" i="5"/>
  <c r="CX232" i="5"/>
  <c r="CG232" i="5"/>
  <c r="CF232" i="5"/>
  <c r="CE232" i="5"/>
  <c r="CK232" i="5" s="1"/>
  <c r="CD232" i="5"/>
  <c r="CH232" i="5" s="1"/>
  <c r="CC232" i="5"/>
  <c r="CB232" i="5"/>
  <c r="CA232" i="5"/>
  <c r="BZ232" i="5"/>
  <c r="BY232" i="5"/>
  <c r="BX232" i="5"/>
  <c r="BW232" i="5"/>
  <c r="BV232" i="5"/>
  <c r="BU232" i="5"/>
  <c r="BT232" i="5"/>
  <c r="BS232" i="5"/>
  <c r="BR232" i="5"/>
  <c r="BQ232" i="5"/>
  <c r="BP232" i="5"/>
  <c r="BO232" i="5"/>
  <c r="BN232" i="5"/>
  <c r="BM232" i="5"/>
  <c r="BL232" i="5"/>
  <c r="BK232" i="5"/>
  <c r="BJ232" i="5"/>
  <c r="BI232" i="5"/>
  <c r="BH232" i="5"/>
  <c r="BG232" i="5"/>
  <c r="BF232" i="5"/>
  <c r="BE232" i="5"/>
  <c r="BD232" i="5"/>
  <c r="BC232" i="5"/>
  <c r="BB232" i="5"/>
  <c r="BA232" i="5"/>
  <c r="AZ232" i="5"/>
  <c r="AY232" i="5"/>
  <c r="AX232" i="5"/>
  <c r="AW232" i="5"/>
  <c r="AV232" i="5"/>
  <c r="AU232" i="5"/>
  <c r="AT232" i="5"/>
  <c r="AS232" i="5"/>
  <c r="AR232" i="5"/>
  <c r="DH231" i="5"/>
  <c r="DG231" i="5"/>
  <c r="DA231" i="5"/>
  <c r="CX231" i="5"/>
  <c r="CH231" i="5"/>
  <c r="CG231" i="5"/>
  <c r="CF231" i="5"/>
  <c r="CE231" i="5"/>
  <c r="CK231" i="5" s="1"/>
  <c r="CD231" i="5"/>
  <c r="CC231" i="5"/>
  <c r="CB231" i="5"/>
  <c r="CA231" i="5"/>
  <c r="BZ231" i="5"/>
  <c r="BY231" i="5"/>
  <c r="BX231" i="5"/>
  <c r="BW231" i="5"/>
  <c r="BV231" i="5"/>
  <c r="BU231" i="5"/>
  <c r="BT231" i="5"/>
  <c r="BS231" i="5"/>
  <c r="BR231" i="5"/>
  <c r="BQ231" i="5"/>
  <c r="BP231" i="5"/>
  <c r="BO231" i="5"/>
  <c r="BN231" i="5"/>
  <c r="BM231" i="5"/>
  <c r="BL231" i="5"/>
  <c r="BK231" i="5"/>
  <c r="BJ231" i="5"/>
  <c r="BI231" i="5"/>
  <c r="BH231" i="5"/>
  <c r="BG231" i="5"/>
  <c r="BF231" i="5"/>
  <c r="BE231" i="5"/>
  <c r="BD231" i="5"/>
  <c r="BC231" i="5"/>
  <c r="BB231" i="5"/>
  <c r="BA231" i="5"/>
  <c r="AZ231" i="5"/>
  <c r="AY231" i="5"/>
  <c r="AX231" i="5"/>
  <c r="AW231" i="5"/>
  <c r="AV231" i="5"/>
  <c r="AU231" i="5"/>
  <c r="AT231" i="5"/>
  <c r="AS231" i="5"/>
  <c r="AR231" i="5"/>
  <c r="DH230" i="5"/>
  <c r="DG230" i="5"/>
  <c r="DA230" i="5"/>
  <c r="CX230" i="5"/>
  <c r="CG230" i="5"/>
  <c r="CF230" i="5"/>
  <c r="CE230" i="5"/>
  <c r="CK230" i="5" s="1"/>
  <c r="CD230" i="5"/>
  <c r="CH230" i="5" s="1"/>
  <c r="CC230" i="5"/>
  <c r="CB230" i="5"/>
  <c r="CA230" i="5"/>
  <c r="BZ230" i="5"/>
  <c r="BY230" i="5"/>
  <c r="BX230" i="5"/>
  <c r="BW230" i="5"/>
  <c r="BV230" i="5"/>
  <c r="BU230" i="5"/>
  <c r="BT230" i="5"/>
  <c r="BS230" i="5"/>
  <c r="BR230" i="5"/>
  <c r="BQ230" i="5"/>
  <c r="BP230" i="5"/>
  <c r="BO230" i="5"/>
  <c r="BN230" i="5"/>
  <c r="BM230" i="5"/>
  <c r="BL230" i="5"/>
  <c r="BK230" i="5"/>
  <c r="BJ230" i="5"/>
  <c r="BI230" i="5"/>
  <c r="BH230" i="5"/>
  <c r="BG230" i="5"/>
  <c r="BF230" i="5"/>
  <c r="BE230" i="5"/>
  <c r="BD230" i="5"/>
  <c r="BC230" i="5"/>
  <c r="BB230" i="5"/>
  <c r="BA230" i="5"/>
  <c r="AZ230" i="5"/>
  <c r="AY230" i="5"/>
  <c r="AX230" i="5"/>
  <c r="AW230" i="5"/>
  <c r="AV230" i="5"/>
  <c r="AU230" i="5"/>
  <c r="AT230" i="5"/>
  <c r="AS230" i="5"/>
  <c r="AR230" i="5"/>
  <c r="DH229" i="5"/>
  <c r="DG229" i="5"/>
  <c r="DA229" i="5"/>
  <c r="CX229" i="5"/>
  <c r="CH229" i="5"/>
  <c r="CG229" i="5"/>
  <c r="CF229" i="5"/>
  <c r="CE229" i="5"/>
  <c r="CK229" i="5" s="1"/>
  <c r="CD229" i="5"/>
  <c r="CC229" i="5"/>
  <c r="CB229" i="5"/>
  <c r="CA229" i="5"/>
  <c r="BZ229" i="5"/>
  <c r="BY229" i="5"/>
  <c r="BX229" i="5"/>
  <c r="BW229" i="5"/>
  <c r="BV229" i="5"/>
  <c r="BU229" i="5"/>
  <c r="BT229" i="5"/>
  <c r="BS229" i="5"/>
  <c r="BR229" i="5"/>
  <c r="BQ229" i="5"/>
  <c r="BP229" i="5"/>
  <c r="BO229" i="5"/>
  <c r="BN229" i="5"/>
  <c r="BM229" i="5"/>
  <c r="BL229" i="5"/>
  <c r="BK229" i="5"/>
  <c r="BJ229" i="5"/>
  <c r="BI229" i="5"/>
  <c r="BH229" i="5"/>
  <c r="BG229" i="5"/>
  <c r="BF229" i="5"/>
  <c r="BE229" i="5"/>
  <c r="BD229" i="5"/>
  <c r="BC229" i="5"/>
  <c r="BB229" i="5"/>
  <c r="BA229" i="5"/>
  <c r="AZ229" i="5"/>
  <c r="AY229" i="5"/>
  <c r="AX229" i="5"/>
  <c r="AW229" i="5"/>
  <c r="AV229" i="5"/>
  <c r="AU229" i="5"/>
  <c r="AT229" i="5"/>
  <c r="AS229" i="5"/>
  <c r="AR229" i="5"/>
  <c r="DH228" i="5"/>
  <c r="DG228" i="5"/>
  <c r="DA228" i="5"/>
  <c r="CX228" i="5"/>
  <c r="CH228" i="5"/>
  <c r="CG228" i="5"/>
  <c r="CF228" i="5"/>
  <c r="CE228" i="5"/>
  <c r="CK228" i="5" s="1"/>
  <c r="CD228" i="5"/>
  <c r="CC228" i="5"/>
  <c r="CB228" i="5"/>
  <c r="CA228" i="5"/>
  <c r="BZ228" i="5"/>
  <c r="BY228" i="5"/>
  <c r="BX228" i="5"/>
  <c r="BW228" i="5"/>
  <c r="BV228" i="5"/>
  <c r="BU228" i="5"/>
  <c r="BT228" i="5"/>
  <c r="BS228" i="5"/>
  <c r="BR228" i="5"/>
  <c r="BQ228" i="5"/>
  <c r="BP228" i="5"/>
  <c r="BO228" i="5"/>
  <c r="BN228" i="5"/>
  <c r="BM228" i="5"/>
  <c r="BL228" i="5"/>
  <c r="BK228" i="5"/>
  <c r="BJ228" i="5"/>
  <c r="BI228" i="5"/>
  <c r="BH228" i="5"/>
  <c r="BG228" i="5"/>
  <c r="BF228" i="5"/>
  <c r="BE228" i="5"/>
  <c r="BD228" i="5"/>
  <c r="BC228" i="5"/>
  <c r="BB228" i="5"/>
  <c r="BA228" i="5"/>
  <c r="AZ228" i="5"/>
  <c r="AY228" i="5"/>
  <c r="AX228" i="5"/>
  <c r="AW228" i="5"/>
  <c r="AV228" i="5"/>
  <c r="AU228" i="5"/>
  <c r="AT228" i="5"/>
  <c r="AS228" i="5"/>
  <c r="AR228" i="5"/>
  <c r="DH227" i="5"/>
  <c r="DG227" i="5"/>
  <c r="DA227" i="5"/>
  <c r="CX227" i="5"/>
  <c r="CH227" i="5"/>
  <c r="CG227" i="5"/>
  <c r="CF227" i="5"/>
  <c r="CE227" i="5"/>
  <c r="CD227" i="5"/>
  <c r="CC227" i="5"/>
  <c r="CB227" i="5"/>
  <c r="CA227" i="5"/>
  <c r="BZ227" i="5"/>
  <c r="BY227" i="5"/>
  <c r="BX227" i="5"/>
  <c r="BW227" i="5"/>
  <c r="BV227" i="5"/>
  <c r="BU227" i="5"/>
  <c r="BT227" i="5"/>
  <c r="BS227" i="5"/>
  <c r="BR227" i="5"/>
  <c r="BQ227" i="5"/>
  <c r="BP227" i="5"/>
  <c r="BO227" i="5"/>
  <c r="BN227" i="5"/>
  <c r="BM227" i="5"/>
  <c r="BL227" i="5"/>
  <c r="BK227" i="5"/>
  <c r="BJ227" i="5"/>
  <c r="BI227" i="5"/>
  <c r="BH227" i="5"/>
  <c r="BG227" i="5"/>
  <c r="BF227" i="5"/>
  <c r="BE227" i="5"/>
  <c r="BD227" i="5"/>
  <c r="BC227" i="5"/>
  <c r="BB227" i="5"/>
  <c r="BA227" i="5"/>
  <c r="AZ227" i="5"/>
  <c r="AY227" i="5"/>
  <c r="AX227" i="5"/>
  <c r="AW227" i="5"/>
  <c r="AV227" i="5"/>
  <c r="AU227" i="5"/>
  <c r="AT227" i="5"/>
  <c r="AS227" i="5"/>
  <c r="AR227" i="5"/>
  <c r="DH226" i="5"/>
  <c r="DG226" i="5"/>
  <c r="DA226" i="5"/>
  <c r="CX226" i="5"/>
  <c r="CH226" i="5"/>
  <c r="CG226" i="5"/>
  <c r="CF226" i="5"/>
  <c r="CE226" i="5"/>
  <c r="CD226" i="5"/>
  <c r="CC226" i="5"/>
  <c r="CB226" i="5"/>
  <c r="CA226" i="5"/>
  <c r="BZ226" i="5"/>
  <c r="BY226" i="5"/>
  <c r="BX226" i="5"/>
  <c r="BW226" i="5"/>
  <c r="BV226" i="5"/>
  <c r="BU226" i="5"/>
  <c r="BT226" i="5"/>
  <c r="BS226" i="5"/>
  <c r="BR226" i="5"/>
  <c r="BQ226" i="5"/>
  <c r="BP226" i="5"/>
  <c r="BO226" i="5"/>
  <c r="BN226" i="5"/>
  <c r="BM226" i="5"/>
  <c r="BL226" i="5"/>
  <c r="BK226" i="5"/>
  <c r="BJ226" i="5"/>
  <c r="BI226" i="5"/>
  <c r="BH226" i="5"/>
  <c r="BG226" i="5"/>
  <c r="BF226" i="5"/>
  <c r="BE226" i="5"/>
  <c r="BD226" i="5"/>
  <c r="BC226" i="5"/>
  <c r="BB226" i="5"/>
  <c r="BA226" i="5"/>
  <c r="AZ226" i="5"/>
  <c r="AY226" i="5"/>
  <c r="AX226" i="5"/>
  <c r="AW226" i="5"/>
  <c r="AV226" i="5"/>
  <c r="AU226" i="5"/>
  <c r="AT226" i="5"/>
  <c r="AS226" i="5"/>
  <c r="AR226" i="5"/>
  <c r="DH225" i="5"/>
  <c r="DG225" i="5"/>
  <c r="DA225" i="5"/>
  <c r="CX225" i="5"/>
  <c r="CH225" i="5"/>
  <c r="CG225" i="5"/>
  <c r="CF225" i="5"/>
  <c r="CE225" i="5"/>
  <c r="CI225" i="5" s="1"/>
  <c r="CJ225" i="5" s="1"/>
  <c r="CD225" i="5"/>
  <c r="CC225" i="5"/>
  <c r="CB225" i="5"/>
  <c r="CA225" i="5"/>
  <c r="BZ225" i="5"/>
  <c r="BY225" i="5"/>
  <c r="BX225" i="5"/>
  <c r="BW225" i="5"/>
  <c r="BV225" i="5"/>
  <c r="BU225" i="5"/>
  <c r="BT225" i="5"/>
  <c r="BS225" i="5"/>
  <c r="BR225" i="5"/>
  <c r="BQ225" i="5"/>
  <c r="BP225" i="5"/>
  <c r="BO225" i="5"/>
  <c r="BN225" i="5"/>
  <c r="BM225" i="5"/>
  <c r="BL225" i="5"/>
  <c r="BK225" i="5"/>
  <c r="BJ225" i="5"/>
  <c r="BI225" i="5"/>
  <c r="BH225" i="5"/>
  <c r="BG225" i="5"/>
  <c r="BF225" i="5"/>
  <c r="BE225" i="5"/>
  <c r="BD225" i="5"/>
  <c r="BC225" i="5"/>
  <c r="BB225" i="5"/>
  <c r="BA225" i="5"/>
  <c r="AZ225" i="5"/>
  <c r="AY225" i="5"/>
  <c r="AX225" i="5"/>
  <c r="AW225" i="5"/>
  <c r="AV225" i="5"/>
  <c r="AU225" i="5"/>
  <c r="AT225" i="5"/>
  <c r="AS225" i="5"/>
  <c r="AR225" i="5"/>
  <c r="DH224" i="5"/>
  <c r="DG224" i="5"/>
  <c r="DA224" i="5"/>
  <c r="CX224" i="5"/>
  <c r="CH224" i="5"/>
  <c r="CG224" i="5"/>
  <c r="CF224" i="5"/>
  <c r="CE224" i="5"/>
  <c r="CI224" i="5" s="1"/>
  <c r="CJ224" i="5" s="1"/>
  <c r="CD224" i="5"/>
  <c r="CC224" i="5"/>
  <c r="CB224" i="5"/>
  <c r="CA224" i="5"/>
  <c r="BZ224" i="5"/>
  <c r="BY224" i="5"/>
  <c r="BX224" i="5"/>
  <c r="BW224" i="5"/>
  <c r="BV224" i="5"/>
  <c r="BU224" i="5"/>
  <c r="BT224" i="5"/>
  <c r="BS224" i="5"/>
  <c r="BR224" i="5"/>
  <c r="BQ224" i="5"/>
  <c r="BP224" i="5"/>
  <c r="BO224" i="5"/>
  <c r="BN224" i="5"/>
  <c r="BM224" i="5"/>
  <c r="BL224" i="5"/>
  <c r="BK224" i="5"/>
  <c r="BJ224" i="5"/>
  <c r="BI224" i="5"/>
  <c r="BH224" i="5"/>
  <c r="BG224" i="5"/>
  <c r="BF224" i="5"/>
  <c r="BE224" i="5"/>
  <c r="BD224" i="5"/>
  <c r="BC224" i="5"/>
  <c r="BB224" i="5"/>
  <c r="BA224" i="5"/>
  <c r="AZ224" i="5"/>
  <c r="AY224" i="5"/>
  <c r="AX224" i="5"/>
  <c r="AW224" i="5"/>
  <c r="AV224" i="5"/>
  <c r="AU224" i="5"/>
  <c r="AT224" i="5"/>
  <c r="AS224" i="5"/>
  <c r="AR224" i="5"/>
  <c r="DH223" i="5"/>
  <c r="DG223" i="5"/>
  <c r="DA223" i="5"/>
  <c r="CX223" i="5"/>
  <c r="CH223" i="5"/>
  <c r="CG223" i="5"/>
  <c r="CF223" i="5"/>
  <c r="CE223" i="5"/>
  <c r="CI223" i="5" s="1"/>
  <c r="CJ223" i="5" s="1"/>
  <c r="CD223" i="5"/>
  <c r="CC223" i="5"/>
  <c r="CB223" i="5"/>
  <c r="CA223" i="5"/>
  <c r="BZ223" i="5"/>
  <c r="BY223" i="5"/>
  <c r="BX223" i="5"/>
  <c r="BW223" i="5"/>
  <c r="BV223" i="5"/>
  <c r="BU223" i="5"/>
  <c r="BT223" i="5"/>
  <c r="BS223" i="5"/>
  <c r="BR223" i="5"/>
  <c r="BQ223" i="5"/>
  <c r="BP223" i="5"/>
  <c r="BO223" i="5"/>
  <c r="BN223" i="5"/>
  <c r="BM223" i="5"/>
  <c r="BL223" i="5"/>
  <c r="BK223" i="5"/>
  <c r="BJ223" i="5"/>
  <c r="BI223" i="5"/>
  <c r="BH223" i="5"/>
  <c r="BG223" i="5"/>
  <c r="BF223" i="5"/>
  <c r="BE223" i="5"/>
  <c r="BD223" i="5"/>
  <c r="BC223" i="5"/>
  <c r="BB223" i="5"/>
  <c r="BA223" i="5"/>
  <c r="AZ223" i="5"/>
  <c r="AY223" i="5"/>
  <c r="AX223" i="5"/>
  <c r="AW223" i="5"/>
  <c r="AV223" i="5"/>
  <c r="AU223" i="5"/>
  <c r="AT223" i="5"/>
  <c r="AS223" i="5"/>
  <c r="AR223" i="5"/>
  <c r="DH222" i="5"/>
  <c r="DG222" i="5"/>
  <c r="DA222" i="5"/>
  <c r="CX222" i="5"/>
  <c r="CK222" i="5"/>
  <c r="CH222" i="5"/>
  <c r="CG222" i="5"/>
  <c r="CF222" i="5"/>
  <c r="CE222" i="5"/>
  <c r="CI222" i="5" s="1"/>
  <c r="CJ222" i="5" s="1"/>
  <c r="CD222" i="5"/>
  <c r="CC222" i="5"/>
  <c r="CB222" i="5"/>
  <c r="CA222" i="5"/>
  <c r="BZ222" i="5"/>
  <c r="BY222" i="5"/>
  <c r="BX222" i="5"/>
  <c r="BW222" i="5"/>
  <c r="BV222" i="5"/>
  <c r="BU222" i="5"/>
  <c r="BT222" i="5"/>
  <c r="BS222" i="5"/>
  <c r="BR222" i="5"/>
  <c r="BQ222" i="5"/>
  <c r="BP222" i="5"/>
  <c r="BO222" i="5"/>
  <c r="BN222" i="5"/>
  <c r="BM222" i="5"/>
  <c r="BL222" i="5"/>
  <c r="BK222" i="5"/>
  <c r="BJ222" i="5"/>
  <c r="BI222" i="5"/>
  <c r="BH222" i="5"/>
  <c r="BG222" i="5"/>
  <c r="BF222" i="5"/>
  <c r="BE222" i="5"/>
  <c r="BD222" i="5"/>
  <c r="BC222" i="5"/>
  <c r="BB222" i="5"/>
  <c r="BA222" i="5"/>
  <c r="AZ222" i="5"/>
  <c r="AY222" i="5"/>
  <c r="AX222" i="5"/>
  <c r="AW222" i="5"/>
  <c r="AV222" i="5"/>
  <c r="AU222" i="5"/>
  <c r="AT222" i="5"/>
  <c r="AS222" i="5"/>
  <c r="AR222" i="5"/>
  <c r="DH221" i="5"/>
  <c r="DG221" i="5"/>
  <c r="DA221" i="5"/>
  <c r="CX221" i="5"/>
  <c r="CK221" i="5"/>
  <c r="CH221" i="5"/>
  <c r="CG221" i="5"/>
  <c r="CF221" i="5"/>
  <c r="CE221" i="5"/>
  <c r="CI221" i="5" s="1"/>
  <c r="CJ221" i="5" s="1"/>
  <c r="CD221" i="5"/>
  <c r="CC221" i="5"/>
  <c r="CB221" i="5"/>
  <c r="CA221" i="5"/>
  <c r="BZ221" i="5"/>
  <c r="BY221" i="5"/>
  <c r="BX221" i="5"/>
  <c r="BW221" i="5"/>
  <c r="BV221" i="5"/>
  <c r="BU221" i="5"/>
  <c r="BT221" i="5"/>
  <c r="BS221" i="5"/>
  <c r="BR221" i="5"/>
  <c r="BQ221" i="5"/>
  <c r="BP221" i="5"/>
  <c r="BO221" i="5"/>
  <c r="BN221" i="5"/>
  <c r="BM221" i="5"/>
  <c r="BL221" i="5"/>
  <c r="BK221" i="5"/>
  <c r="BJ221" i="5"/>
  <c r="BI221" i="5"/>
  <c r="BH221" i="5"/>
  <c r="BG221" i="5"/>
  <c r="BF221" i="5"/>
  <c r="BE221" i="5"/>
  <c r="BD221" i="5"/>
  <c r="BC221" i="5"/>
  <c r="BB221" i="5"/>
  <c r="BA221" i="5"/>
  <c r="AZ221" i="5"/>
  <c r="AY221" i="5"/>
  <c r="AX221" i="5"/>
  <c r="AW221" i="5"/>
  <c r="AV221" i="5"/>
  <c r="AU221" i="5"/>
  <c r="AT221" i="5"/>
  <c r="AS221" i="5"/>
  <c r="AR221" i="5"/>
  <c r="DH220" i="5"/>
  <c r="DG220" i="5"/>
  <c r="DA220" i="5"/>
  <c r="CX220" i="5"/>
  <c r="CH220" i="5"/>
  <c r="CG220" i="5"/>
  <c r="CF220" i="5"/>
  <c r="CE220" i="5"/>
  <c r="CI220" i="5" s="1"/>
  <c r="CJ220" i="5" s="1"/>
  <c r="CD220" i="5"/>
  <c r="CC220" i="5"/>
  <c r="CB220" i="5"/>
  <c r="CA220" i="5"/>
  <c r="BZ220" i="5"/>
  <c r="BY220" i="5"/>
  <c r="BX220" i="5"/>
  <c r="BW220" i="5"/>
  <c r="BV220" i="5"/>
  <c r="BU220" i="5"/>
  <c r="BT220" i="5"/>
  <c r="BS220" i="5"/>
  <c r="BR220" i="5"/>
  <c r="BQ220" i="5"/>
  <c r="BP220" i="5"/>
  <c r="BO220" i="5"/>
  <c r="BN220" i="5"/>
  <c r="BM220" i="5"/>
  <c r="BL220" i="5"/>
  <c r="BK220" i="5"/>
  <c r="BJ220" i="5"/>
  <c r="BI220" i="5"/>
  <c r="BH220" i="5"/>
  <c r="BG220" i="5"/>
  <c r="BF220" i="5"/>
  <c r="BE220" i="5"/>
  <c r="BD220" i="5"/>
  <c r="BC220" i="5"/>
  <c r="BB220" i="5"/>
  <c r="BA220" i="5"/>
  <c r="AZ220" i="5"/>
  <c r="AY220" i="5"/>
  <c r="AX220" i="5"/>
  <c r="AW220" i="5"/>
  <c r="AV220" i="5"/>
  <c r="AU220" i="5"/>
  <c r="AT220" i="5"/>
  <c r="AS220" i="5"/>
  <c r="AR220" i="5"/>
  <c r="DH219" i="5"/>
  <c r="DG219" i="5"/>
  <c r="DA219" i="5"/>
  <c r="CX219" i="5"/>
  <c r="CK219" i="5"/>
  <c r="CH219" i="5"/>
  <c r="CG219" i="5"/>
  <c r="CF219" i="5"/>
  <c r="CE219" i="5"/>
  <c r="CI219" i="5" s="1"/>
  <c r="CJ219" i="5" s="1"/>
  <c r="CD219" i="5"/>
  <c r="CC219" i="5"/>
  <c r="CB219" i="5"/>
  <c r="CA219" i="5"/>
  <c r="BZ219" i="5"/>
  <c r="BY219" i="5"/>
  <c r="BX219" i="5"/>
  <c r="BW219" i="5"/>
  <c r="BV219" i="5"/>
  <c r="BU219" i="5"/>
  <c r="BT219" i="5"/>
  <c r="BS219" i="5"/>
  <c r="BR219" i="5"/>
  <c r="BQ219" i="5"/>
  <c r="BP219" i="5"/>
  <c r="BO219" i="5"/>
  <c r="BN219" i="5"/>
  <c r="BM219" i="5"/>
  <c r="BL219" i="5"/>
  <c r="BK219" i="5"/>
  <c r="BJ219" i="5"/>
  <c r="BI219" i="5"/>
  <c r="BH219" i="5"/>
  <c r="BG219" i="5"/>
  <c r="BF219" i="5"/>
  <c r="BE219" i="5"/>
  <c r="BD219" i="5"/>
  <c r="BC219" i="5"/>
  <c r="BB219" i="5"/>
  <c r="BA219" i="5"/>
  <c r="AZ219" i="5"/>
  <c r="AY219" i="5"/>
  <c r="AX219" i="5"/>
  <c r="AW219" i="5"/>
  <c r="AV219" i="5"/>
  <c r="AU219" i="5"/>
  <c r="AT219" i="5"/>
  <c r="AS219" i="5"/>
  <c r="AR219" i="5"/>
  <c r="DH218" i="5"/>
  <c r="DG218" i="5"/>
  <c r="DA218" i="5"/>
  <c r="CX218" i="5"/>
  <c r="CK218" i="5"/>
  <c r="CH218" i="5"/>
  <c r="CG218" i="5"/>
  <c r="CF218" i="5"/>
  <c r="CE218" i="5"/>
  <c r="CI218" i="5" s="1"/>
  <c r="CJ218" i="5" s="1"/>
  <c r="CD218" i="5"/>
  <c r="CC218" i="5"/>
  <c r="CB218" i="5"/>
  <c r="CA218" i="5"/>
  <c r="BZ218" i="5"/>
  <c r="BY218" i="5"/>
  <c r="BX218" i="5"/>
  <c r="BW218" i="5"/>
  <c r="BV218" i="5"/>
  <c r="BU218" i="5"/>
  <c r="BT218" i="5"/>
  <c r="BS218" i="5"/>
  <c r="BR218" i="5"/>
  <c r="BQ218" i="5"/>
  <c r="BP218" i="5"/>
  <c r="BO218" i="5"/>
  <c r="BN218" i="5"/>
  <c r="BM218" i="5"/>
  <c r="BL218" i="5"/>
  <c r="BK218" i="5"/>
  <c r="BJ218" i="5"/>
  <c r="BI218" i="5"/>
  <c r="BH218" i="5"/>
  <c r="BG218" i="5"/>
  <c r="BF218" i="5"/>
  <c r="BE218" i="5"/>
  <c r="BD218" i="5"/>
  <c r="BC218" i="5"/>
  <c r="BB218" i="5"/>
  <c r="BA218" i="5"/>
  <c r="AZ218" i="5"/>
  <c r="AY218" i="5"/>
  <c r="AX218" i="5"/>
  <c r="AW218" i="5"/>
  <c r="AV218" i="5"/>
  <c r="AU218" i="5"/>
  <c r="AT218" i="5"/>
  <c r="AS218" i="5"/>
  <c r="AR218" i="5"/>
  <c r="DH217" i="5"/>
  <c r="DG217" i="5"/>
  <c r="DA217" i="5"/>
  <c r="CX217" i="5"/>
  <c r="CK217" i="5"/>
  <c r="CH217" i="5"/>
  <c r="CG217" i="5"/>
  <c r="CF217" i="5"/>
  <c r="CE217" i="5"/>
  <c r="CI217" i="5" s="1"/>
  <c r="CJ217" i="5" s="1"/>
  <c r="CD217" i="5"/>
  <c r="CC217" i="5"/>
  <c r="CB217" i="5"/>
  <c r="CA217" i="5"/>
  <c r="BZ217" i="5"/>
  <c r="BY217" i="5"/>
  <c r="BX217" i="5"/>
  <c r="BW217" i="5"/>
  <c r="BV217" i="5"/>
  <c r="BU217" i="5"/>
  <c r="BT217" i="5"/>
  <c r="BS217" i="5"/>
  <c r="BR217" i="5"/>
  <c r="BQ217" i="5"/>
  <c r="BP217" i="5"/>
  <c r="BO217" i="5"/>
  <c r="BN217" i="5"/>
  <c r="BM217" i="5"/>
  <c r="BL217" i="5"/>
  <c r="BK217" i="5"/>
  <c r="BJ217" i="5"/>
  <c r="BI217" i="5"/>
  <c r="BH217" i="5"/>
  <c r="BG217" i="5"/>
  <c r="BF217" i="5"/>
  <c r="BE217" i="5"/>
  <c r="BD217" i="5"/>
  <c r="BC217" i="5"/>
  <c r="BB217" i="5"/>
  <c r="BA217" i="5"/>
  <c r="AZ217" i="5"/>
  <c r="AY217" i="5"/>
  <c r="AX217" i="5"/>
  <c r="AW217" i="5"/>
  <c r="AV217" i="5"/>
  <c r="AU217" i="5"/>
  <c r="AT217" i="5"/>
  <c r="AS217" i="5"/>
  <c r="AR217" i="5"/>
  <c r="DH216" i="5"/>
  <c r="DG216" i="5"/>
  <c r="DA216" i="5"/>
  <c r="CX216" i="5"/>
  <c r="CH216" i="5"/>
  <c r="CG216" i="5"/>
  <c r="CF216" i="5"/>
  <c r="CE216" i="5"/>
  <c r="CD216" i="5"/>
  <c r="CC216" i="5"/>
  <c r="CB216" i="5"/>
  <c r="CA216" i="5"/>
  <c r="BZ216" i="5"/>
  <c r="BY216" i="5"/>
  <c r="BX216" i="5"/>
  <c r="BW216" i="5"/>
  <c r="BV216" i="5"/>
  <c r="BU216" i="5"/>
  <c r="BT216" i="5"/>
  <c r="BS216" i="5"/>
  <c r="BR216" i="5"/>
  <c r="BQ216" i="5"/>
  <c r="BP216" i="5"/>
  <c r="BO216" i="5"/>
  <c r="BN216" i="5"/>
  <c r="BM216" i="5"/>
  <c r="BL216" i="5"/>
  <c r="BK216" i="5"/>
  <c r="BJ216" i="5"/>
  <c r="BI216" i="5"/>
  <c r="BH216" i="5"/>
  <c r="BG216" i="5"/>
  <c r="BF216" i="5"/>
  <c r="BE216" i="5"/>
  <c r="BD216" i="5"/>
  <c r="BC216" i="5"/>
  <c r="BB216" i="5"/>
  <c r="BA216" i="5"/>
  <c r="AZ216" i="5"/>
  <c r="AY216" i="5"/>
  <c r="AX216" i="5"/>
  <c r="AW216" i="5"/>
  <c r="AV216" i="5"/>
  <c r="CK216" i="5" s="1"/>
  <c r="AU216" i="5"/>
  <c r="AT216" i="5"/>
  <c r="AS216" i="5"/>
  <c r="AR216" i="5"/>
  <c r="DH215" i="5"/>
  <c r="DG215" i="5"/>
  <c r="DA215" i="5"/>
  <c r="CX215" i="5"/>
  <c r="CH215" i="5"/>
  <c r="CG215" i="5"/>
  <c r="CF215" i="5"/>
  <c r="CE215" i="5"/>
  <c r="CI215" i="5" s="1"/>
  <c r="CJ215" i="5" s="1"/>
  <c r="CD215" i="5"/>
  <c r="CC215" i="5"/>
  <c r="CB215" i="5"/>
  <c r="CA215" i="5"/>
  <c r="BZ215" i="5"/>
  <c r="BY215" i="5"/>
  <c r="BX215" i="5"/>
  <c r="BW215" i="5"/>
  <c r="BV215" i="5"/>
  <c r="BU215" i="5"/>
  <c r="BT215" i="5"/>
  <c r="BS215" i="5"/>
  <c r="BR215" i="5"/>
  <c r="BQ215" i="5"/>
  <c r="BP215" i="5"/>
  <c r="BO215" i="5"/>
  <c r="BN215" i="5"/>
  <c r="BM215" i="5"/>
  <c r="BL215" i="5"/>
  <c r="BK215" i="5"/>
  <c r="BJ215" i="5"/>
  <c r="BI215" i="5"/>
  <c r="BH215" i="5"/>
  <c r="BG215" i="5"/>
  <c r="BF215" i="5"/>
  <c r="BE215" i="5"/>
  <c r="BD215" i="5"/>
  <c r="BC215" i="5"/>
  <c r="BB215" i="5"/>
  <c r="BA215" i="5"/>
  <c r="AZ215" i="5"/>
  <c r="AY215" i="5"/>
  <c r="AX215" i="5"/>
  <c r="AW215" i="5"/>
  <c r="AV215" i="5"/>
  <c r="AU215" i="5"/>
  <c r="AT215" i="5"/>
  <c r="AS215" i="5"/>
  <c r="AR215" i="5"/>
  <c r="DH214" i="5"/>
  <c r="DG214" i="5"/>
  <c r="DA214" i="5"/>
  <c r="CX214" i="5"/>
  <c r="CG214" i="5"/>
  <c r="CF214" i="5"/>
  <c r="CD214" i="5"/>
  <c r="CH214" i="5" s="1"/>
  <c r="CC214" i="5"/>
  <c r="CB214" i="5"/>
  <c r="CA214" i="5"/>
  <c r="BZ214" i="5"/>
  <c r="BY214" i="5"/>
  <c r="BX214" i="5"/>
  <c r="BW214" i="5"/>
  <c r="BV214" i="5"/>
  <c r="BU214" i="5"/>
  <c r="BT214" i="5"/>
  <c r="BS214" i="5"/>
  <c r="BR214" i="5"/>
  <c r="BQ214" i="5"/>
  <c r="BP214" i="5"/>
  <c r="BO214" i="5"/>
  <c r="BN214" i="5"/>
  <c r="BM214" i="5"/>
  <c r="BL214" i="5"/>
  <c r="BK214" i="5"/>
  <c r="BJ214" i="5"/>
  <c r="BI214" i="5"/>
  <c r="BH214" i="5"/>
  <c r="BG214" i="5"/>
  <c r="BF214" i="5"/>
  <c r="BE214" i="5"/>
  <c r="BD214" i="5"/>
  <c r="BC214" i="5"/>
  <c r="BB214" i="5"/>
  <c r="BA214" i="5"/>
  <c r="AZ214" i="5"/>
  <c r="AX214" i="5"/>
  <c r="AY214" i="5" s="1"/>
  <c r="AW214" i="5"/>
  <c r="AV214" i="5"/>
  <c r="AU214" i="5"/>
  <c r="AT214" i="5"/>
  <c r="AS214" i="5"/>
  <c r="AR214" i="5"/>
  <c r="DH213" i="5"/>
  <c r="DG213" i="5"/>
  <c r="DA213" i="5"/>
  <c r="CX213" i="5"/>
  <c r="CG213" i="5"/>
  <c r="CF213" i="5"/>
  <c r="CD213" i="5"/>
  <c r="CH213" i="5" s="1"/>
  <c r="CC213" i="5"/>
  <c r="CB213" i="5"/>
  <c r="CA213" i="5"/>
  <c r="BZ213" i="5"/>
  <c r="BY213" i="5"/>
  <c r="BX213" i="5"/>
  <c r="BW213" i="5"/>
  <c r="BV213" i="5"/>
  <c r="BU213" i="5"/>
  <c r="BT213" i="5"/>
  <c r="BS213" i="5"/>
  <c r="BR213" i="5"/>
  <c r="BQ213" i="5"/>
  <c r="BP213" i="5"/>
  <c r="BO213" i="5"/>
  <c r="BN213" i="5"/>
  <c r="BM213" i="5"/>
  <c r="BL213" i="5"/>
  <c r="BK213" i="5"/>
  <c r="BJ213" i="5"/>
  <c r="BI213" i="5"/>
  <c r="BH213" i="5"/>
  <c r="BG213" i="5"/>
  <c r="BF213" i="5"/>
  <c r="BE213" i="5"/>
  <c r="BD213" i="5"/>
  <c r="BC213" i="5"/>
  <c r="BB213" i="5"/>
  <c r="BA213" i="5"/>
  <c r="AZ213" i="5"/>
  <c r="AX213" i="5"/>
  <c r="AY213" i="5" s="1"/>
  <c r="AW213" i="5"/>
  <c r="AV213" i="5"/>
  <c r="AU213" i="5"/>
  <c r="AT213" i="5"/>
  <c r="AS213" i="5"/>
  <c r="AR213" i="5"/>
  <c r="DH212" i="5"/>
  <c r="DG212" i="5"/>
  <c r="DA212" i="5"/>
  <c r="CX212" i="5"/>
  <c r="CG212" i="5"/>
  <c r="CF212" i="5"/>
  <c r="CD212" i="5"/>
  <c r="CH212" i="5" s="1"/>
  <c r="CC212" i="5"/>
  <c r="CB212" i="5"/>
  <c r="CA212" i="5"/>
  <c r="BZ212" i="5"/>
  <c r="BY212" i="5"/>
  <c r="BX212" i="5"/>
  <c r="BW212" i="5"/>
  <c r="BV212" i="5"/>
  <c r="BU212" i="5"/>
  <c r="BT212" i="5"/>
  <c r="BS212" i="5"/>
  <c r="BR212" i="5"/>
  <c r="BQ212" i="5"/>
  <c r="BP212" i="5"/>
  <c r="BO212" i="5"/>
  <c r="BN212" i="5"/>
  <c r="BM212" i="5"/>
  <c r="BL212" i="5"/>
  <c r="BK212" i="5"/>
  <c r="BJ212" i="5"/>
  <c r="BI212" i="5"/>
  <c r="BH212" i="5"/>
  <c r="BG212" i="5"/>
  <c r="BF212" i="5"/>
  <c r="BE212" i="5"/>
  <c r="BD212" i="5"/>
  <c r="BC212" i="5"/>
  <c r="BB212" i="5"/>
  <c r="BA212" i="5"/>
  <c r="AZ212" i="5"/>
  <c r="AX212" i="5"/>
  <c r="AY212" i="5" s="1"/>
  <c r="AW212" i="5"/>
  <c r="AV212" i="5"/>
  <c r="AU212" i="5"/>
  <c r="AT212" i="5"/>
  <c r="AS212" i="5"/>
  <c r="AR212" i="5"/>
  <c r="DH211" i="5"/>
  <c r="DG211" i="5"/>
  <c r="DA211" i="5"/>
  <c r="CX211" i="5"/>
  <c r="CG211" i="5"/>
  <c r="CF211" i="5"/>
  <c r="CD211" i="5"/>
  <c r="CH211" i="5" s="1"/>
  <c r="CC211" i="5"/>
  <c r="CB211" i="5"/>
  <c r="CA211" i="5"/>
  <c r="BZ211" i="5"/>
  <c r="BY211" i="5"/>
  <c r="BX211" i="5"/>
  <c r="BW211" i="5"/>
  <c r="BV211" i="5"/>
  <c r="BU211" i="5"/>
  <c r="BT211" i="5"/>
  <c r="BS211" i="5"/>
  <c r="BR211" i="5"/>
  <c r="BQ211" i="5"/>
  <c r="BP211" i="5"/>
  <c r="BO211" i="5"/>
  <c r="BN211" i="5"/>
  <c r="BM211" i="5"/>
  <c r="BL211" i="5"/>
  <c r="BK211" i="5"/>
  <c r="BJ211" i="5"/>
  <c r="BI211" i="5"/>
  <c r="BH211" i="5"/>
  <c r="BG211" i="5"/>
  <c r="BF211" i="5"/>
  <c r="BE211" i="5"/>
  <c r="BD211" i="5"/>
  <c r="BC211" i="5"/>
  <c r="BB211" i="5"/>
  <c r="BA211" i="5"/>
  <c r="AZ211" i="5"/>
  <c r="AX211" i="5"/>
  <c r="AY211" i="5" s="1"/>
  <c r="AW211" i="5"/>
  <c r="AV211" i="5"/>
  <c r="AU211" i="5"/>
  <c r="AT211" i="5"/>
  <c r="AS211" i="5"/>
  <c r="AR211" i="5"/>
  <c r="DH210" i="5"/>
  <c r="DG210" i="5"/>
  <c r="DA210" i="5"/>
  <c r="CX210" i="5"/>
  <c r="CG210" i="5"/>
  <c r="CF210" i="5"/>
  <c r="CD210" i="5"/>
  <c r="CH210" i="5" s="1"/>
  <c r="CC210" i="5"/>
  <c r="CB210" i="5"/>
  <c r="CA210" i="5"/>
  <c r="BZ210" i="5"/>
  <c r="BY210" i="5"/>
  <c r="BX210" i="5"/>
  <c r="BW210" i="5"/>
  <c r="BV210" i="5"/>
  <c r="BU210" i="5"/>
  <c r="BT210" i="5"/>
  <c r="BS210" i="5"/>
  <c r="BR210" i="5"/>
  <c r="BQ210" i="5"/>
  <c r="BP210" i="5"/>
  <c r="BO210" i="5"/>
  <c r="BN210" i="5"/>
  <c r="BM210" i="5"/>
  <c r="BL210" i="5"/>
  <c r="BK210" i="5"/>
  <c r="BJ210" i="5"/>
  <c r="BI210" i="5"/>
  <c r="BH210" i="5"/>
  <c r="BG210" i="5"/>
  <c r="BF210" i="5"/>
  <c r="BE210" i="5"/>
  <c r="BD210" i="5"/>
  <c r="BC210" i="5"/>
  <c r="BB210" i="5"/>
  <c r="BA210" i="5"/>
  <c r="AZ210" i="5"/>
  <c r="AY210" i="5"/>
  <c r="AX210" i="5"/>
  <c r="AW210" i="5"/>
  <c r="AV210" i="5"/>
  <c r="AU210" i="5"/>
  <c r="AT210" i="5"/>
  <c r="AS210" i="5"/>
  <c r="AR210" i="5"/>
  <c r="DH209" i="5"/>
  <c r="DG209" i="5"/>
  <c r="DA209" i="5"/>
  <c r="CX209" i="5"/>
  <c r="CG209" i="5"/>
  <c r="CF209" i="5"/>
  <c r="CE209" i="5"/>
  <c r="CK209" i="5" s="1"/>
  <c r="CD209" i="5"/>
  <c r="CH209" i="5" s="1"/>
  <c r="CC209" i="5"/>
  <c r="CB209" i="5"/>
  <c r="CA209" i="5"/>
  <c r="BZ209" i="5"/>
  <c r="BY209" i="5"/>
  <c r="BX209" i="5"/>
  <c r="BW209" i="5"/>
  <c r="BV209" i="5"/>
  <c r="BU209" i="5"/>
  <c r="BT209" i="5"/>
  <c r="BS209" i="5"/>
  <c r="BR209" i="5"/>
  <c r="BQ209" i="5"/>
  <c r="BP209" i="5"/>
  <c r="BO209" i="5"/>
  <c r="BN209" i="5"/>
  <c r="BM209" i="5"/>
  <c r="BL209" i="5"/>
  <c r="BK209" i="5"/>
  <c r="BJ209" i="5"/>
  <c r="BI209" i="5"/>
  <c r="BH209" i="5"/>
  <c r="BG209" i="5"/>
  <c r="BF209" i="5"/>
  <c r="BE209" i="5"/>
  <c r="BD209" i="5"/>
  <c r="BC209" i="5"/>
  <c r="BB209" i="5"/>
  <c r="BA209" i="5"/>
  <c r="AZ209" i="5"/>
  <c r="AY209" i="5"/>
  <c r="AX209" i="5"/>
  <c r="AW209" i="5"/>
  <c r="AV209" i="5"/>
  <c r="AU209" i="5"/>
  <c r="AT209" i="5"/>
  <c r="AS209" i="5"/>
  <c r="AR209" i="5"/>
  <c r="DH208" i="5"/>
  <c r="DG208" i="5"/>
  <c r="DA208" i="5"/>
  <c r="CX208" i="5"/>
  <c r="CG208" i="5"/>
  <c r="CF208" i="5"/>
  <c r="CE208" i="5"/>
  <c r="CK208" i="5" s="1"/>
  <c r="CD208" i="5"/>
  <c r="CH208" i="5" s="1"/>
  <c r="CC208" i="5"/>
  <c r="CB208" i="5"/>
  <c r="CA208" i="5"/>
  <c r="BZ208" i="5"/>
  <c r="BY208" i="5"/>
  <c r="BX208" i="5"/>
  <c r="BW208" i="5"/>
  <c r="BV208" i="5"/>
  <c r="BU208" i="5"/>
  <c r="BT208" i="5"/>
  <c r="BS208" i="5"/>
  <c r="BR208" i="5"/>
  <c r="BQ208" i="5"/>
  <c r="BP208" i="5"/>
  <c r="BO208" i="5"/>
  <c r="BN208" i="5"/>
  <c r="BM208" i="5"/>
  <c r="BL208" i="5"/>
  <c r="BK208" i="5"/>
  <c r="BJ208" i="5"/>
  <c r="BI208" i="5"/>
  <c r="BH208" i="5"/>
  <c r="BG208" i="5"/>
  <c r="BF208" i="5"/>
  <c r="BE208" i="5"/>
  <c r="BD208" i="5"/>
  <c r="BC208" i="5"/>
  <c r="BB208" i="5"/>
  <c r="BA208" i="5"/>
  <c r="AZ208" i="5"/>
  <c r="AY208" i="5"/>
  <c r="AX208" i="5"/>
  <c r="AW208" i="5"/>
  <c r="AV208" i="5"/>
  <c r="AU208" i="5"/>
  <c r="AT208" i="5"/>
  <c r="AS208" i="5"/>
  <c r="AR208" i="5"/>
  <c r="DH207" i="5"/>
  <c r="DG207" i="5"/>
  <c r="DA207" i="5"/>
  <c r="CX207" i="5"/>
  <c r="CG207" i="5"/>
  <c r="CF207" i="5"/>
  <c r="CE207" i="5"/>
  <c r="CK207" i="5" s="1"/>
  <c r="CD207" i="5"/>
  <c r="CH207" i="5" s="1"/>
  <c r="CC207" i="5"/>
  <c r="CB207" i="5"/>
  <c r="CA207" i="5"/>
  <c r="BZ207" i="5"/>
  <c r="BY207" i="5"/>
  <c r="BX207" i="5"/>
  <c r="BW207" i="5"/>
  <c r="BV207" i="5"/>
  <c r="BU207" i="5"/>
  <c r="BT207" i="5"/>
  <c r="BS207" i="5"/>
  <c r="BR207" i="5"/>
  <c r="BQ207" i="5"/>
  <c r="BP207" i="5"/>
  <c r="BO207" i="5"/>
  <c r="BN207" i="5"/>
  <c r="BM207" i="5"/>
  <c r="BL207" i="5"/>
  <c r="BK207" i="5"/>
  <c r="BJ207" i="5"/>
  <c r="BI207" i="5"/>
  <c r="BH207" i="5"/>
  <c r="BG207" i="5"/>
  <c r="BF207" i="5"/>
  <c r="BE207" i="5"/>
  <c r="BD207" i="5"/>
  <c r="BC207" i="5"/>
  <c r="BB207" i="5"/>
  <c r="BA207" i="5"/>
  <c r="AZ207" i="5"/>
  <c r="AY207" i="5"/>
  <c r="AX207" i="5"/>
  <c r="AW207" i="5"/>
  <c r="AV207" i="5"/>
  <c r="AU207" i="5"/>
  <c r="AT207" i="5"/>
  <c r="AS207" i="5"/>
  <c r="AR207" i="5"/>
  <c r="DH206" i="5"/>
  <c r="DG206" i="5"/>
  <c r="DA206" i="5"/>
  <c r="CX206" i="5"/>
  <c r="CG206" i="5"/>
  <c r="CF206" i="5"/>
  <c r="CE206" i="5"/>
  <c r="CD206" i="5"/>
  <c r="CH206" i="5" s="1"/>
  <c r="CC206" i="5"/>
  <c r="CB206" i="5"/>
  <c r="CA206" i="5"/>
  <c r="BZ206" i="5"/>
  <c r="BY206" i="5"/>
  <c r="BX206" i="5"/>
  <c r="BW206" i="5"/>
  <c r="BV206" i="5"/>
  <c r="BU206" i="5"/>
  <c r="BT206" i="5"/>
  <c r="BS206" i="5"/>
  <c r="BR206" i="5"/>
  <c r="BQ206" i="5"/>
  <c r="BP206" i="5"/>
  <c r="BO206" i="5"/>
  <c r="BN206" i="5"/>
  <c r="BM206" i="5"/>
  <c r="BL206" i="5"/>
  <c r="BK206" i="5"/>
  <c r="BJ206" i="5"/>
  <c r="BI206" i="5"/>
  <c r="BH206" i="5"/>
  <c r="BG206" i="5"/>
  <c r="BF206" i="5"/>
  <c r="BE206" i="5"/>
  <c r="BD206" i="5"/>
  <c r="BC206" i="5"/>
  <c r="BB206" i="5"/>
  <c r="BA206" i="5"/>
  <c r="AZ206" i="5"/>
  <c r="AY206" i="5"/>
  <c r="AX206" i="5"/>
  <c r="AW206" i="5"/>
  <c r="AV206" i="5"/>
  <c r="AU206" i="5"/>
  <c r="AT206" i="5"/>
  <c r="AS206" i="5"/>
  <c r="AR206" i="5"/>
  <c r="DH205" i="5"/>
  <c r="DG205" i="5"/>
  <c r="DA205" i="5"/>
  <c r="CX205" i="5"/>
  <c r="CG205" i="5"/>
  <c r="CF205" i="5"/>
  <c r="CE205" i="5"/>
  <c r="CD205" i="5"/>
  <c r="CH205" i="5" s="1"/>
  <c r="CC205" i="5"/>
  <c r="CB205" i="5"/>
  <c r="CA205" i="5"/>
  <c r="BZ205" i="5"/>
  <c r="BY205" i="5"/>
  <c r="BX205" i="5"/>
  <c r="BW205" i="5"/>
  <c r="BV205" i="5"/>
  <c r="BU205" i="5"/>
  <c r="BT205" i="5"/>
  <c r="BS205" i="5"/>
  <c r="BR205" i="5"/>
  <c r="BQ205" i="5"/>
  <c r="BP205" i="5"/>
  <c r="BO205" i="5"/>
  <c r="BN205" i="5"/>
  <c r="BM205" i="5"/>
  <c r="BL205" i="5"/>
  <c r="BK205" i="5"/>
  <c r="BJ205" i="5"/>
  <c r="BI205" i="5"/>
  <c r="BH205" i="5"/>
  <c r="BG205" i="5"/>
  <c r="BF205" i="5"/>
  <c r="BE205" i="5"/>
  <c r="BD205" i="5"/>
  <c r="BC205" i="5"/>
  <c r="BB205" i="5"/>
  <c r="BA205" i="5"/>
  <c r="AZ205" i="5"/>
  <c r="AY205" i="5"/>
  <c r="AX205" i="5"/>
  <c r="AW205" i="5"/>
  <c r="AV205" i="5"/>
  <c r="AU205" i="5"/>
  <c r="AT205" i="5"/>
  <c r="AS205" i="5"/>
  <c r="AR205" i="5"/>
  <c r="DH204" i="5"/>
  <c r="DG204" i="5"/>
  <c r="DA204" i="5"/>
  <c r="CX204" i="5"/>
  <c r="CG204" i="5"/>
  <c r="CF204" i="5"/>
  <c r="CE204" i="5"/>
  <c r="CD204" i="5"/>
  <c r="CH204" i="5" s="1"/>
  <c r="CC204" i="5"/>
  <c r="CB204" i="5"/>
  <c r="CA204" i="5"/>
  <c r="BZ204" i="5"/>
  <c r="BY204" i="5"/>
  <c r="BX204" i="5"/>
  <c r="BW204" i="5"/>
  <c r="BV204" i="5"/>
  <c r="BU204" i="5"/>
  <c r="BT204" i="5"/>
  <c r="BS204" i="5"/>
  <c r="BR204" i="5"/>
  <c r="BQ204" i="5"/>
  <c r="BP204" i="5"/>
  <c r="BO204" i="5"/>
  <c r="BN204" i="5"/>
  <c r="BM204" i="5"/>
  <c r="BL204" i="5"/>
  <c r="BK204" i="5"/>
  <c r="BJ204" i="5"/>
  <c r="BI204" i="5"/>
  <c r="BH204" i="5"/>
  <c r="BG204" i="5"/>
  <c r="BF204" i="5"/>
  <c r="BE204" i="5"/>
  <c r="BD204" i="5"/>
  <c r="BC204" i="5"/>
  <c r="BB204" i="5"/>
  <c r="BA204" i="5"/>
  <c r="AZ204" i="5"/>
  <c r="AY204" i="5"/>
  <c r="AX204" i="5"/>
  <c r="AW204" i="5"/>
  <c r="AV204" i="5"/>
  <c r="AU204" i="5"/>
  <c r="AT204" i="5"/>
  <c r="AS204" i="5"/>
  <c r="AR204" i="5"/>
  <c r="DH203" i="5"/>
  <c r="DG203" i="5"/>
  <c r="DA203" i="5"/>
  <c r="CX203" i="5"/>
  <c r="CG203" i="5"/>
  <c r="CF203" i="5"/>
  <c r="CE203" i="5"/>
  <c r="CD203" i="5"/>
  <c r="CH203" i="5" s="1"/>
  <c r="CC203" i="5"/>
  <c r="CB203" i="5"/>
  <c r="CA203" i="5"/>
  <c r="BZ203" i="5"/>
  <c r="BY203" i="5"/>
  <c r="BX203"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AY203" i="5"/>
  <c r="AX203" i="5"/>
  <c r="AW203" i="5"/>
  <c r="AV203" i="5"/>
  <c r="AU203" i="5"/>
  <c r="AT203" i="5"/>
  <c r="AS203" i="5"/>
  <c r="AR203" i="5"/>
  <c r="DH202" i="5"/>
  <c r="DG202" i="5"/>
  <c r="DA202" i="5"/>
  <c r="CX202" i="5"/>
  <c r="CG202" i="5"/>
  <c r="CF202" i="5"/>
  <c r="CE202" i="5"/>
  <c r="CD202" i="5"/>
  <c r="CH202" i="5" s="1"/>
  <c r="CC202" i="5"/>
  <c r="CB202" i="5"/>
  <c r="CA202" i="5"/>
  <c r="BZ202" i="5"/>
  <c r="BY202" i="5"/>
  <c r="BX202" i="5"/>
  <c r="BW202" i="5"/>
  <c r="BV202" i="5"/>
  <c r="BU202" i="5"/>
  <c r="BT202" i="5"/>
  <c r="BS202" i="5"/>
  <c r="BR202" i="5"/>
  <c r="BQ202" i="5"/>
  <c r="BP202" i="5"/>
  <c r="BO202" i="5"/>
  <c r="BN202" i="5"/>
  <c r="BM202" i="5"/>
  <c r="BL202" i="5"/>
  <c r="BK202" i="5"/>
  <c r="BJ202" i="5"/>
  <c r="BI202" i="5"/>
  <c r="BH202" i="5"/>
  <c r="BG202" i="5"/>
  <c r="BF202" i="5"/>
  <c r="BE202" i="5"/>
  <c r="BD202" i="5"/>
  <c r="BC202" i="5"/>
  <c r="BB202" i="5"/>
  <c r="BA202" i="5"/>
  <c r="AZ202" i="5"/>
  <c r="AY202" i="5"/>
  <c r="AX202" i="5"/>
  <c r="AW202" i="5"/>
  <c r="AV202" i="5"/>
  <c r="AU202" i="5"/>
  <c r="AT202" i="5"/>
  <c r="AS202" i="5"/>
  <c r="AR202" i="5"/>
  <c r="DH201" i="5"/>
  <c r="DG201" i="5"/>
  <c r="DA201" i="5"/>
  <c r="CX201" i="5"/>
  <c r="CG201" i="5"/>
  <c r="CF201" i="5"/>
  <c r="CE201" i="5"/>
  <c r="CD201" i="5"/>
  <c r="CH201" i="5" s="1"/>
  <c r="CC201" i="5"/>
  <c r="CB201" i="5"/>
  <c r="CA201" i="5"/>
  <c r="BZ201" i="5"/>
  <c r="BY201" i="5"/>
  <c r="BX201" i="5"/>
  <c r="BW201" i="5"/>
  <c r="BV201" i="5"/>
  <c r="BU201" i="5"/>
  <c r="BT201" i="5"/>
  <c r="BS201" i="5"/>
  <c r="BR201" i="5"/>
  <c r="BQ201" i="5"/>
  <c r="BP201" i="5"/>
  <c r="BO201" i="5"/>
  <c r="BN201" i="5"/>
  <c r="BM201" i="5"/>
  <c r="BL201" i="5"/>
  <c r="BK201" i="5"/>
  <c r="BJ201" i="5"/>
  <c r="BI201" i="5"/>
  <c r="BH201" i="5"/>
  <c r="BG201" i="5"/>
  <c r="BF201" i="5"/>
  <c r="BE201" i="5"/>
  <c r="BD201" i="5"/>
  <c r="BC201" i="5"/>
  <c r="BB201" i="5"/>
  <c r="BA201" i="5"/>
  <c r="AZ201" i="5"/>
  <c r="AY201" i="5"/>
  <c r="AX201" i="5"/>
  <c r="AW201" i="5"/>
  <c r="AV201" i="5"/>
  <c r="AU201" i="5"/>
  <c r="AT201" i="5"/>
  <c r="AS201" i="5"/>
  <c r="AR201" i="5"/>
  <c r="DH200" i="5"/>
  <c r="DG200" i="5"/>
  <c r="DA200" i="5"/>
  <c r="CX200" i="5"/>
  <c r="CG200" i="5"/>
  <c r="CF200" i="5"/>
  <c r="CE200" i="5"/>
  <c r="CD200" i="5"/>
  <c r="CH200" i="5" s="1"/>
  <c r="CC200" i="5"/>
  <c r="CB200" i="5"/>
  <c r="CA200" i="5"/>
  <c r="BZ200" i="5"/>
  <c r="BY200" i="5"/>
  <c r="BX200" i="5"/>
  <c r="BW200" i="5"/>
  <c r="BV200" i="5"/>
  <c r="BU200" i="5"/>
  <c r="BT200" i="5"/>
  <c r="BS200" i="5"/>
  <c r="BR200" i="5"/>
  <c r="BQ200" i="5"/>
  <c r="BP200" i="5"/>
  <c r="BO200" i="5"/>
  <c r="BN200" i="5"/>
  <c r="BM200" i="5"/>
  <c r="BL200" i="5"/>
  <c r="BK200" i="5"/>
  <c r="BJ200" i="5"/>
  <c r="BI200" i="5"/>
  <c r="BH200" i="5"/>
  <c r="BG200" i="5"/>
  <c r="BF200" i="5"/>
  <c r="BE200" i="5"/>
  <c r="BD200" i="5"/>
  <c r="BC200" i="5"/>
  <c r="BB200" i="5"/>
  <c r="BA200" i="5"/>
  <c r="AZ200" i="5"/>
  <c r="AY200" i="5"/>
  <c r="AX200" i="5"/>
  <c r="AW200" i="5"/>
  <c r="AV200" i="5"/>
  <c r="AU200" i="5"/>
  <c r="AT200" i="5"/>
  <c r="AS200" i="5"/>
  <c r="AR200" i="5"/>
  <c r="DH199" i="5"/>
  <c r="DG199" i="5"/>
  <c r="DA199" i="5"/>
  <c r="CX199" i="5"/>
  <c r="CG199" i="5"/>
  <c r="CF199" i="5"/>
  <c r="CE199" i="5"/>
  <c r="CD199" i="5"/>
  <c r="CH199" i="5" s="1"/>
  <c r="CC199" i="5"/>
  <c r="CB199" i="5"/>
  <c r="CA199" i="5"/>
  <c r="BZ199" i="5"/>
  <c r="BY199" i="5"/>
  <c r="BX199" i="5"/>
  <c r="BW199" i="5"/>
  <c r="BV199" i="5"/>
  <c r="BU199" i="5"/>
  <c r="BT199" i="5"/>
  <c r="BS199" i="5"/>
  <c r="BR199" i="5"/>
  <c r="BQ199" i="5"/>
  <c r="BP199" i="5"/>
  <c r="BO199" i="5"/>
  <c r="BN199" i="5"/>
  <c r="BM199" i="5"/>
  <c r="BL199" i="5"/>
  <c r="BK199" i="5"/>
  <c r="BJ199" i="5"/>
  <c r="BI199" i="5"/>
  <c r="BH199" i="5"/>
  <c r="BG199" i="5"/>
  <c r="BF199" i="5"/>
  <c r="BE199" i="5"/>
  <c r="BD199" i="5"/>
  <c r="BC199" i="5"/>
  <c r="BB199" i="5"/>
  <c r="BA199" i="5"/>
  <c r="AZ199" i="5"/>
  <c r="AY199" i="5"/>
  <c r="AX199" i="5"/>
  <c r="AW199" i="5"/>
  <c r="AV199" i="5"/>
  <c r="AU199" i="5"/>
  <c r="AT199" i="5"/>
  <c r="AS199" i="5"/>
  <c r="AR199" i="5"/>
  <c r="DH198" i="5"/>
  <c r="DG198" i="5"/>
  <c r="DA198" i="5"/>
  <c r="CX198" i="5"/>
  <c r="CG198" i="5"/>
  <c r="CF198" i="5"/>
  <c r="CE198" i="5"/>
  <c r="CD198" i="5"/>
  <c r="CH198" i="5" s="1"/>
  <c r="CC198" i="5"/>
  <c r="CB198" i="5"/>
  <c r="CA198" i="5"/>
  <c r="BZ198" i="5"/>
  <c r="BY198" i="5"/>
  <c r="BX198" i="5"/>
  <c r="BW198" i="5"/>
  <c r="BV198" i="5"/>
  <c r="BU198" i="5"/>
  <c r="BT198" i="5"/>
  <c r="BS198" i="5"/>
  <c r="BR198" i="5"/>
  <c r="BQ198" i="5"/>
  <c r="BP198" i="5"/>
  <c r="BO198" i="5"/>
  <c r="BN198" i="5"/>
  <c r="BM198" i="5"/>
  <c r="BL198" i="5"/>
  <c r="BK198" i="5"/>
  <c r="BJ198" i="5"/>
  <c r="BI198" i="5"/>
  <c r="BH198" i="5"/>
  <c r="BG198" i="5"/>
  <c r="BF198" i="5"/>
  <c r="BE198" i="5"/>
  <c r="BD198" i="5"/>
  <c r="BC198" i="5"/>
  <c r="BB198" i="5"/>
  <c r="BA198" i="5"/>
  <c r="AZ198" i="5"/>
  <c r="AY198" i="5"/>
  <c r="AX198" i="5"/>
  <c r="AW198" i="5"/>
  <c r="AV198" i="5"/>
  <c r="AU198" i="5"/>
  <c r="AT198" i="5"/>
  <c r="AS198" i="5"/>
  <c r="AR198" i="5"/>
  <c r="DH197" i="5"/>
  <c r="DG197" i="5"/>
  <c r="DA197" i="5"/>
  <c r="CX197" i="5"/>
  <c r="CG197" i="5"/>
  <c r="CF197" i="5"/>
  <c r="CE197" i="5"/>
  <c r="CD197" i="5"/>
  <c r="CH197" i="5" s="1"/>
  <c r="CC197" i="5"/>
  <c r="CB197" i="5"/>
  <c r="CA197" i="5"/>
  <c r="BZ197" i="5"/>
  <c r="BY197" i="5"/>
  <c r="BX197" i="5"/>
  <c r="BW197" i="5"/>
  <c r="BV197" i="5"/>
  <c r="BU197" i="5"/>
  <c r="BT197" i="5"/>
  <c r="BS197" i="5"/>
  <c r="BR197" i="5"/>
  <c r="BQ197" i="5"/>
  <c r="BP197" i="5"/>
  <c r="BO197" i="5"/>
  <c r="BN197" i="5"/>
  <c r="BM197" i="5"/>
  <c r="BL197" i="5"/>
  <c r="BK197" i="5"/>
  <c r="BJ197" i="5"/>
  <c r="BI197" i="5"/>
  <c r="BH197" i="5"/>
  <c r="BG197" i="5"/>
  <c r="BF197" i="5"/>
  <c r="BE197" i="5"/>
  <c r="BD197" i="5"/>
  <c r="BC197" i="5"/>
  <c r="BB197" i="5"/>
  <c r="BA197" i="5"/>
  <c r="AZ197" i="5"/>
  <c r="AY197" i="5"/>
  <c r="AX197" i="5"/>
  <c r="AW197" i="5"/>
  <c r="AV197" i="5"/>
  <c r="AU197" i="5"/>
  <c r="AT197" i="5"/>
  <c r="AS197" i="5"/>
  <c r="AR197" i="5"/>
  <c r="DH196" i="5"/>
  <c r="DG196" i="5"/>
  <c r="DA196" i="5"/>
  <c r="CX196" i="5"/>
  <c r="CG196" i="5"/>
  <c r="CF196" i="5"/>
  <c r="CE196" i="5"/>
  <c r="CD196" i="5"/>
  <c r="CH196" i="5" s="1"/>
  <c r="CC196" i="5"/>
  <c r="CB196" i="5"/>
  <c r="CA196" i="5"/>
  <c r="BZ196" i="5"/>
  <c r="BY196" i="5"/>
  <c r="BX196" i="5"/>
  <c r="BW196" i="5"/>
  <c r="BV196" i="5"/>
  <c r="BU196" i="5"/>
  <c r="BT196" i="5"/>
  <c r="BS196" i="5"/>
  <c r="BR196" i="5"/>
  <c r="BQ196" i="5"/>
  <c r="BP196" i="5"/>
  <c r="BO196" i="5"/>
  <c r="BN196" i="5"/>
  <c r="BM196" i="5"/>
  <c r="BL196" i="5"/>
  <c r="BK196" i="5"/>
  <c r="BJ196" i="5"/>
  <c r="BI196" i="5"/>
  <c r="BH196" i="5"/>
  <c r="BG196" i="5"/>
  <c r="BF196" i="5"/>
  <c r="BE196" i="5"/>
  <c r="BD196" i="5"/>
  <c r="BC196" i="5"/>
  <c r="BB196" i="5"/>
  <c r="BA196" i="5"/>
  <c r="AZ196" i="5"/>
  <c r="AY196" i="5"/>
  <c r="AX196" i="5"/>
  <c r="AW196" i="5"/>
  <c r="AV196" i="5"/>
  <c r="AU196" i="5"/>
  <c r="AT196" i="5"/>
  <c r="AS196" i="5"/>
  <c r="AR196" i="5"/>
  <c r="DH195" i="5"/>
  <c r="DG195" i="5"/>
  <c r="DA195" i="5"/>
  <c r="CX195" i="5"/>
  <c r="CG195" i="5"/>
  <c r="CF195" i="5"/>
  <c r="CE195" i="5"/>
  <c r="CD195" i="5"/>
  <c r="CH195" i="5" s="1"/>
  <c r="CC195" i="5"/>
  <c r="CB195" i="5"/>
  <c r="CA195" i="5"/>
  <c r="BZ195" i="5"/>
  <c r="BY195" i="5"/>
  <c r="BX195" i="5"/>
  <c r="BW195" i="5"/>
  <c r="BV195" i="5"/>
  <c r="BU195" i="5"/>
  <c r="BT195" i="5"/>
  <c r="BS195" i="5"/>
  <c r="BR195" i="5"/>
  <c r="BQ195" i="5"/>
  <c r="BP195" i="5"/>
  <c r="BO195" i="5"/>
  <c r="BN195" i="5"/>
  <c r="BM195" i="5"/>
  <c r="BL195" i="5"/>
  <c r="BK195" i="5"/>
  <c r="BJ195" i="5"/>
  <c r="BI195" i="5"/>
  <c r="BH195" i="5"/>
  <c r="BG195" i="5"/>
  <c r="BF195" i="5"/>
  <c r="BE195" i="5"/>
  <c r="BD195" i="5"/>
  <c r="BC195" i="5"/>
  <c r="BB195" i="5"/>
  <c r="BA195" i="5"/>
  <c r="AZ195" i="5"/>
  <c r="AY195" i="5"/>
  <c r="AX195" i="5"/>
  <c r="AW195" i="5"/>
  <c r="AV195" i="5"/>
  <c r="AU195" i="5"/>
  <c r="AT195" i="5"/>
  <c r="AS195" i="5"/>
  <c r="AR195" i="5"/>
  <c r="DH194" i="5"/>
  <c r="DG194" i="5"/>
  <c r="DA194" i="5"/>
  <c r="CX194" i="5"/>
  <c r="CG194" i="5"/>
  <c r="CF194" i="5"/>
  <c r="CE194" i="5"/>
  <c r="CD194" i="5"/>
  <c r="CH194" i="5" s="1"/>
  <c r="CC194" i="5"/>
  <c r="CB194" i="5"/>
  <c r="CA194" i="5"/>
  <c r="BZ194" i="5"/>
  <c r="BY194" i="5"/>
  <c r="BX194" i="5"/>
  <c r="BW194" i="5"/>
  <c r="BV194" i="5"/>
  <c r="BU194" i="5"/>
  <c r="BT194" i="5"/>
  <c r="BS194" i="5"/>
  <c r="BR194" i="5"/>
  <c r="BQ194" i="5"/>
  <c r="BP194" i="5"/>
  <c r="BO194" i="5"/>
  <c r="BN194" i="5"/>
  <c r="BM194" i="5"/>
  <c r="BL194" i="5"/>
  <c r="BK194" i="5"/>
  <c r="BJ194" i="5"/>
  <c r="BI194" i="5"/>
  <c r="BH194" i="5"/>
  <c r="BG194" i="5"/>
  <c r="BF194" i="5"/>
  <c r="BE194" i="5"/>
  <c r="BD194" i="5"/>
  <c r="BC194" i="5"/>
  <c r="BB194" i="5"/>
  <c r="BA194" i="5"/>
  <c r="AZ194" i="5"/>
  <c r="AY194" i="5"/>
  <c r="AX194" i="5"/>
  <c r="AW194" i="5"/>
  <c r="AV194" i="5"/>
  <c r="AU194" i="5"/>
  <c r="AT194" i="5"/>
  <c r="AS194" i="5"/>
  <c r="AR194" i="5"/>
  <c r="DH193" i="5"/>
  <c r="DG193" i="5"/>
  <c r="DA193" i="5"/>
  <c r="CX193" i="5"/>
  <c r="CG193" i="5"/>
  <c r="CF193" i="5"/>
  <c r="CE193" i="5"/>
  <c r="CD193" i="5"/>
  <c r="CH193" i="5" s="1"/>
  <c r="CC193" i="5"/>
  <c r="CB193" i="5"/>
  <c r="CA193" i="5"/>
  <c r="BZ193" i="5"/>
  <c r="BY193" i="5"/>
  <c r="BX193" i="5"/>
  <c r="BW193" i="5"/>
  <c r="BV193" i="5"/>
  <c r="BU193" i="5"/>
  <c r="BT193" i="5"/>
  <c r="BS193" i="5"/>
  <c r="BR193" i="5"/>
  <c r="BQ193" i="5"/>
  <c r="BP193" i="5"/>
  <c r="BO193" i="5"/>
  <c r="BN193" i="5"/>
  <c r="BM193" i="5"/>
  <c r="BL193" i="5"/>
  <c r="BK193" i="5"/>
  <c r="BJ193" i="5"/>
  <c r="BI193" i="5"/>
  <c r="BH193" i="5"/>
  <c r="BG193" i="5"/>
  <c r="BF193" i="5"/>
  <c r="BE193" i="5"/>
  <c r="BD193" i="5"/>
  <c r="BC193" i="5"/>
  <c r="BB193" i="5"/>
  <c r="BA193" i="5"/>
  <c r="AZ193" i="5"/>
  <c r="AY193" i="5"/>
  <c r="AX193" i="5"/>
  <c r="AW193" i="5"/>
  <c r="AV193" i="5"/>
  <c r="AU193" i="5"/>
  <c r="AT193" i="5"/>
  <c r="AS193" i="5"/>
  <c r="AR193" i="5"/>
  <c r="DH192" i="5"/>
  <c r="DG192" i="5"/>
  <c r="DA192" i="5"/>
  <c r="CX192" i="5"/>
  <c r="CG192" i="5"/>
  <c r="CF192" i="5"/>
  <c r="CE192" i="5"/>
  <c r="CD192" i="5"/>
  <c r="CH192" i="5" s="1"/>
  <c r="CC192" i="5"/>
  <c r="CB192" i="5"/>
  <c r="CA192" i="5"/>
  <c r="BZ192" i="5"/>
  <c r="BY192" i="5"/>
  <c r="BX192" i="5"/>
  <c r="BW192" i="5"/>
  <c r="BV192" i="5"/>
  <c r="BU192" i="5"/>
  <c r="BT192" i="5"/>
  <c r="BS192" i="5"/>
  <c r="BR192" i="5"/>
  <c r="BQ192" i="5"/>
  <c r="BP192" i="5"/>
  <c r="BO192" i="5"/>
  <c r="BN192" i="5"/>
  <c r="BM192" i="5"/>
  <c r="BL192" i="5"/>
  <c r="BK192" i="5"/>
  <c r="BJ192" i="5"/>
  <c r="BI192" i="5"/>
  <c r="BH192" i="5"/>
  <c r="BG192" i="5"/>
  <c r="BF192" i="5"/>
  <c r="BE192" i="5"/>
  <c r="BD192" i="5"/>
  <c r="BC192" i="5"/>
  <c r="BB192" i="5"/>
  <c r="BA192" i="5"/>
  <c r="AZ192" i="5"/>
  <c r="AY192" i="5"/>
  <c r="AX192" i="5"/>
  <c r="AW192" i="5"/>
  <c r="AV192" i="5"/>
  <c r="AU192" i="5"/>
  <c r="AT192" i="5"/>
  <c r="AS192" i="5"/>
  <c r="AR192" i="5"/>
  <c r="DH191" i="5"/>
  <c r="DG191" i="5"/>
  <c r="DA191" i="5"/>
  <c r="CX191" i="5"/>
  <c r="CG191" i="5"/>
  <c r="CF191" i="5"/>
  <c r="CE191" i="5"/>
  <c r="CD191" i="5"/>
  <c r="CH191" i="5" s="1"/>
  <c r="CC191" i="5"/>
  <c r="CB191" i="5"/>
  <c r="CA191" i="5"/>
  <c r="BZ191" i="5"/>
  <c r="BY191" i="5"/>
  <c r="BX191" i="5"/>
  <c r="BW191" i="5"/>
  <c r="BV191" i="5"/>
  <c r="BU191" i="5"/>
  <c r="BT191" i="5"/>
  <c r="BS191" i="5"/>
  <c r="BR191" i="5"/>
  <c r="BQ191" i="5"/>
  <c r="BP191" i="5"/>
  <c r="BO191" i="5"/>
  <c r="BN191" i="5"/>
  <c r="BM191" i="5"/>
  <c r="BL191" i="5"/>
  <c r="BK191" i="5"/>
  <c r="BJ191" i="5"/>
  <c r="BI191" i="5"/>
  <c r="BH191" i="5"/>
  <c r="BG191" i="5"/>
  <c r="BF191" i="5"/>
  <c r="BE191" i="5"/>
  <c r="BD191" i="5"/>
  <c r="BC191" i="5"/>
  <c r="BB191" i="5"/>
  <c r="BA191" i="5"/>
  <c r="AZ191" i="5"/>
  <c r="AY191" i="5"/>
  <c r="AX191" i="5"/>
  <c r="AW191" i="5"/>
  <c r="AV191" i="5"/>
  <c r="AU191" i="5"/>
  <c r="AT191" i="5"/>
  <c r="AS191" i="5"/>
  <c r="AR191" i="5"/>
  <c r="DH190" i="5"/>
  <c r="DG190" i="5"/>
  <c r="DA190" i="5"/>
  <c r="CX190" i="5"/>
  <c r="CG190" i="5"/>
  <c r="CF190" i="5"/>
  <c r="CE190" i="5"/>
  <c r="CD190" i="5"/>
  <c r="CH190" i="5" s="1"/>
  <c r="CC190" i="5"/>
  <c r="CB190" i="5"/>
  <c r="CA190" i="5"/>
  <c r="BZ190" i="5"/>
  <c r="BY190" i="5"/>
  <c r="BX190" i="5"/>
  <c r="BW190" i="5"/>
  <c r="BV190" i="5"/>
  <c r="BU190" i="5"/>
  <c r="BT190" i="5"/>
  <c r="BS190" i="5"/>
  <c r="BR190" i="5"/>
  <c r="BQ190" i="5"/>
  <c r="BP190" i="5"/>
  <c r="BO190" i="5"/>
  <c r="BN190" i="5"/>
  <c r="BM190" i="5"/>
  <c r="BL190" i="5"/>
  <c r="BK190" i="5"/>
  <c r="BJ190" i="5"/>
  <c r="BI190" i="5"/>
  <c r="BH190" i="5"/>
  <c r="BG190" i="5"/>
  <c r="BF190" i="5"/>
  <c r="BE190" i="5"/>
  <c r="BD190" i="5"/>
  <c r="BC190" i="5"/>
  <c r="BB190" i="5"/>
  <c r="BA190" i="5"/>
  <c r="AZ190" i="5"/>
  <c r="AY190" i="5"/>
  <c r="AX190" i="5"/>
  <c r="AW190" i="5"/>
  <c r="AV190" i="5"/>
  <c r="AU190" i="5"/>
  <c r="AT190" i="5"/>
  <c r="AS190" i="5"/>
  <c r="AR190" i="5"/>
  <c r="DH189" i="5"/>
  <c r="DG189" i="5"/>
  <c r="DA189" i="5"/>
  <c r="CX189" i="5"/>
  <c r="CG189" i="5"/>
  <c r="CF189" i="5"/>
  <c r="CD189" i="5"/>
  <c r="CH189" i="5" s="1"/>
  <c r="CC189" i="5"/>
  <c r="CB189" i="5"/>
  <c r="CA189" i="5"/>
  <c r="BZ189" i="5"/>
  <c r="BY189" i="5"/>
  <c r="BX189" i="5"/>
  <c r="BW189" i="5"/>
  <c r="BV189" i="5"/>
  <c r="BU189" i="5"/>
  <c r="BT189" i="5"/>
  <c r="BS189" i="5"/>
  <c r="BR189" i="5"/>
  <c r="BQ189" i="5"/>
  <c r="BP189" i="5"/>
  <c r="BO189" i="5"/>
  <c r="BN189" i="5"/>
  <c r="BM189" i="5"/>
  <c r="BL189" i="5"/>
  <c r="BK189" i="5"/>
  <c r="BJ189" i="5"/>
  <c r="BI189" i="5"/>
  <c r="BH189" i="5"/>
  <c r="BG189" i="5"/>
  <c r="BF189" i="5"/>
  <c r="BE189" i="5"/>
  <c r="BD189" i="5"/>
  <c r="BC189" i="5"/>
  <c r="BB189" i="5"/>
  <c r="BA189" i="5"/>
  <c r="AZ189" i="5"/>
  <c r="AX189" i="5"/>
  <c r="AY189" i="5" s="1"/>
  <c r="AW189" i="5"/>
  <c r="AV189" i="5"/>
  <c r="AU189" i="5"/>
  <c r="AT189" i="5"/>
  <c r="AS189" i="5"/>
  <c r="AR189" i="5"/>
  <c r="DH188" i="5"/>
  <c r="DG188" i="5"/>
  <c r="DA188" i="5"/>
  <c r="CX188" i="5"/>
  <c r="CG188" i="5"/>
  <c r="CF188" i="5"/>
  <c r="CE188" i="5"/>
  <c r="CD188" i="5"/>
  <c r="CH188" i="5" s="1"/>
  <c r="CC188" i="5"/>
  <c r="CB188" i="5"/>
  <c r="CA188" i="5"/>
  <c r="BZ188" i="5"/>
  <c r="BY188" i="5"/>
  <c r="BX188" i="5"/>
  <c r="BW188" i="5"/>
  <c r="BV188" i="5"/>
  <c r="BU188" i="5"/>
  <c r="BT188" i="5"/>
  <c r="BS188" i="5"/>
  <c r="BR188" i="5"/>
  <c r="BQ188" i="5"/>
  <c r="BP188" i="5"/>
  <c r="BO188" i="5"/>
  <c r="BN188" i="5"/>
  <c r="BM188" i="5"/>
  <c r="BL188" i="5"/>
  <c r="BK188" i="5"/>
  <c r="BJ188" i="5"/>
  <c r="BI188" i="5"/>
  <c r="BH188" i="5"/>
  <c r="BG188" i="5"/>
  <c r="BF188" i="5"/>
  <c r="BE188" i="5"/>
  <c r="BD188" i="5"/>
  <c r="BC188" i="5"/>
  <c r="BB188" i="5"/>
  <c r="BA188" i="5"/>
  <c r="AZ188" i="5"/>
  <c r="AY188" i="5"/>
  <c r="AX188" i="5"/>
  <c r="AW188" i="5"/>
  <c r="AV188" i="5"/>
  <c r="AU188" i="5"/>
  <c r="AT188" i="5"/>
  <c r="AS188" i="5"/>
  <c r="AR188" i="5"/>
  <c r="DH187" i="5"/>
  <c r="DG187" i="5"/>
  <c r="DA187" i="5"/>
  <c r="CX187" i="5"/>
  <c r="CG187" i="5"/>
  <c r="CF187" i="5"/>
  <c r="CE187" i="5"/>
  <c r="CD187" i="5"/>
  <c r="CH187" i="5" s="1"/>
  <c r="CC187" i="5"/>
  <c r="CB187" i="5"/>
  <c r="CA187" i="5"/>
  <c r="BZ187" i="5"/>
  <c r="BY187" i="5"/>
  <c r="BX187" i="5"/>
  <c r="BW187" i="5"/>
  <c r="BV187" i="5"/>
  <c r="BU187" i="5"/>
  <c r="BT187" i="5"/>
  <c r="BS187" i="5"/>
  <c r="BR187" i="5"/>
  <c r="BQ187" i="5"/>
  <c r="BP187" i="5"/>
  <c r="BO187" i="5"/>
  <c r="BN187" i="5"/>
  <c r="BM187" i="5"/>
  <c r="BL187" i="5"/>
  <c r="BK187" i="5"/>
  <c r="BJ187" i="5"/>
  <c r="BI187" i="5"/>
  <c r="BH187" i="5"/>
  <c r="BG187" i="5"/>
  <c r="BF187" i="5"/>
  <c r="BE187" i="5"/>
  <c r="BD187" i="5"/>
  <c r="BC187" i="5"/>
  <c r="BB187" i="5"/>
  <c r="BA187" i="5"/>
  <c r="AZ187" i="5"/>
  <c r="AY187" i="5"/>
  <c r="AX187" i="5"/>
  <c r="AW187" i="5"/>
  <c r="AV187" i="5"/>
  <c r="AU187" i="5"/>
  <c r="AT187" i="5"/>
  <c r="AS187" i="5"/>
  <c r="AR187" i="5"/>
  <c r="DH186" i="5"/>
  <c r="DG186" i="5"/>
  <c r="DA186" i="5"/>
  <c r="CX186" i="5"/>
  <c r="CG186" i="5"/>
  <c r="CF186" i="5"/>
  <c r="CE186" i="5"/>
  <c r="CD186" i="5"/>
  <c r="CH186" i="5" s="1"/>
  <c r="CC186" i="5"/>
  <c r="CB186" i="5"/>
  <c r="CA186" i="5"/>
  <c r="BZ186" i="5"/>
  <c r="BY186" i="5"/>
  <c r="BX186" i="5"/>
  <c r="BW186" i="5"/>
  <c r="BV186" i="5"/>
  <c r="BU186" i="5"/>
  <c r="BT186" i="5"/>
  <c r="BS186" i="5"/>
  <c r="BR186" i="5"/>
  <c r="BQ186" i="5"/>
  <c r="BP186" i="5"/>
  <c r="BO186" i="5"/>
  <c r="BN186" i="5"/>
  <c r="BM186" i="5"/>
  <c r="BL186" i="5"/>
  <c r="BK186" i="5"/>
  <c r="BJ186" i="5"/>
  <c r="BI186" i="5"/>
  <c r="BH186" i="5"/>
  <c r="BG186" i="5"/>
  <c r="BF186" i="5"/>
  <c r="BE186" i="5"/>
  <c r="BD186" i="5"/>
  <c r="BC186" i="5"/>
  <c r="BB186" i="5"/>
  <c r="BA186" i="5"/>
  <c r="AZ186" i="5"/>
  <c r="AY186" i="5"/>
  <c r="AX186" i="5"/>
  <c r="AW186" i="5"/>
  <c r="AV186" i="5"/>
  <c r="AU186" i="5"/>
  <c r="AT186" i="5"/>
  <c r="AS186" i="5"/>
  <c r="AR186" i="5"/>
  <c r="DH185" i="5"/>
  <c r="DG185" i="5"/>
  <c r="DA185" i="5"/>
  <c r="CX185" i="5"/>
  <c r="CG185" i="5"/>
  <c r="CF185" i="5"/>
  <c r="CE185" i="5"/>
  <c r="CD185" i="5"/>
  <c r="CH185" i="5" s="1"/>
  <c r="CC185" i="5"/>
  <c r="CB185" i="5"/>
  <c r="CA185" i="5"/>
  <c r="BZ185" i="5"/>
  <c r="BY185" i="5"/>
  <c r="BX185" i="5"/>
  <c r="BW185" i="5"/>
  <c r="BV185" i="5"/>
  <c r="BU185" i="5"/>
  <c r="BT185" i="5"/>
  <c r="BS185" i="5"/>
  <c r="BR185" i="5"/>
  <c r="BQ185" i="5"/>
  <c r="BP185" i="5"/>
  <c r="BO185" i="5"/>
  <c r="BN185" i="5"/>
  <c r="BM185" i="5"/>
  <c r="BL185" i="5"/>
  <c r="BK185" i="5"/>
  <c r="BJ185" i="5"/>
  <c r="BI185" i="5"/>
  <c r="BH185" i="5"/>
  <c r="BG185" i="5"/>
  <c r="BF185" i="5"/>
  <c r="BE185" i="5"/>
  <c r="BD185" i="5"/>
  <c r="BC185" i="5"/>
  <c r="BB185" i="5"/>
  <c r="BA185" i="5"/>
  <c r="AZ185" i="5"/>
  <c r="AY185" i="5"/>
  <c r="AX185" i="5"/>
  <c r="AW185" i="5"/>
  <c r="AV185" i="5"/>
  <c r="AU185" i="5"/>
  <c r="AT185" i="5"/>
  <c r="AS185" i="5"/>
  <c r="AR185" i="5"/>
  <c r="DH184" i="5"/>
  <c r="DG184" i="5"/>
  <c r="DA184" i="5"/>
  <c r="CX184" i="5"/>
  <c r="CG184" i="5"/>
  <c r="CF184" i="5"/>
  <c r="CE184" i="5"/>
  <c r="CD184" i="5"/>
  <c r="CH184" i="5" s="1"/>
  <c r="CC184" i="5"/>
  <c r="CB184" i="5"/>
  <c r="CA184" i="5"/>
  <c r="BZ184" i="5"/>
  <c r="BY184" i="5"/>
  <c r="BX184" i="5"/>
  <c r="BW184" i="5"/>
  <c r="BV184" i="5"/>
  <c r="BU184" i="5"/>
  <c r="BT184" i="5"/>
  <c r="BS184" i="5"/>
  <c r="BR184" i="5"/>
  <c r="BQ184" i="5"/>
  <c r="BP184" i="5"/>
  <c r="BO184" i="5"/>
  <c r="BN184" i="5"/>
  <c r="BM184" i="5"/>
  <c r="BL184" i="5"/>
  <c r="BK184" i="5"/>
  <c r="BJ184" i="5"/>
  <c r="BI184" i="5"/>
  <c r="BH184" i="5"/>
  <c r="BG184" i="5"/>
  <c r="BF184" i="5"/>
  <c r="BE184" i="5"/>
  <c r="BD184" i="5"/>
  <c r="BC184" i="5"/>
  <c r="BB184" i="5"/>
  <c r="BA184" i="5"/>
  <c r="AZ184" i="5"/>
  <c r="AY184" i="5"/>
  <c r="AX184" i="5"/>
  <c r="AW184" i="5"/>
  <c r="AV184" i="5"/>
  <c r="AU184" i="5"/>
  <c r="AT184" i="5"/>
  <c r="AS184" i="5"/>
  <c r="AR184" i="5"/>
  <c r="DH183" i="5"/>
  <c r="DG183" i="5"/>
  <c r="DA183" i="5"/>
  <c r="CX183" i="5"/>
  <c r="CG183" i="5"/>
  <c r="CF183" i="5"/>
  <c r="CE183" i="5"/>
  <c r="CD183" i="5"/>
  <c r="CH183" i="5" s="1"/>
  <c r="CC183" i="5"/>
  <c r="CB183" i="5"/>
  <c r="CA183" i="5"/>
  <c r="BZ183" i="5"/>
  <c r="BY183" i="5"/>
  <c r="BX183" i="5"/>
  <c r="BW183" i="5"/>
  <c r="BV183" i="5"/>
  <c r="BU183" i="5"/>
  <c r="BT183" i="5"/>
  <c r="BS183" i="5"/>
  <c r="BR183" i="5"/>
  <c r="BQ183" i="5"/>
  <c r="BP183" i="5"/>
  <c r="BO183" i="5"/>
  <c r="BN183" i="5"/>
  <c r="BM183" i="5"/>
  <c r="BL183" i="5"/>
  <c r="BK183" i="5"/>
  <c r="BJ183" i="5"/>
  <c r="BI183" i="5"/>
  <c r="BH183" i="5"/>
  <c r="BG183" i="5"/>
  <c r="BF183" i="5"/>
  <c r="BE183" i="5"/>
  <c r="BD183" i="5"/>
  <c r="BC183" i="5"/>
  <c r="BB183" i="5"/>
  <c r="BA183" i="5"/>
  <c r="AZ183" i="5"/>
  <c r="AX183" i="5"/>
  <c r="AY183" i="5" s="1"/>
  <c r="AW183" i="5"/>
  <c r="AV183" i="5"/>
  <c r="AU183" i="5"/>
  <c r="AT183" i="5"/>
  <c r="AS183" i="5"/>
  <c r="AR183" i="5"/>
  <c r="DH182" i="5"/>
  <c r="DG182" i="5"/>
  <c r="DA182" i="5"/>
  <c r="CX182" i="5"/>
  <c r="CG182" i="5"/>
  <c r="CF182" i="5"/>
  <c r="CE182" i="5"/>
  <c r="CD182" i="5"/>
  <c r="CH182" i="5" s="1"/>
  <c r="CC182" i="5"/>
  <c r="CB182" i="5"/>
  <c r="CA182" i="5"/>
  <c r="BZ182" i="5"/>
  <c r="BY182" i="5"/>
  <c r="BX182" i="5"/>
  <c r="BW182" i="5"/>
  <c r="BV182" i="5"/>
  <c r="BU182" i="5"/>
  <c r="BT182" i="5"/>
  <c r="BS182" i="5"/>
  <c r="BR182" i="5"/>
  <c r="BQ182" i="5"/>
  <c r="BP182" i="5"/>
  <c r="BO182" i="5"/>
  <c r="BN182" i="5"/>
  <c r="BM182" i="5"/>
  <c r="BL182" i="5"/>
  <c r="BK182" i="5"/>
  <c r="BJ182" i="5"/>
  <c r="BI182" i="5"/>
  <c r="BH182" i="5"/>
  <c r="BG182" i="5"/>
  <c r="BF182" i="5"/>
  <c r="BE182" i="5"/>
  <c r="BD182" i="5"/>
  <c r="BC182" i="5"/>
  <c r="BB182" i="5"/>
  <c r="BA182" i="5"/>
  <c r="AZ182" i="5"/>
  <c r="AY182" i="5"/>
  <c r="AX182" i="5"/>
  <c r="AW182" i="5"/>
  <c r="AV182" i="5"/>
  <c r="AU182" i="5"/>
  <c r="AT182" i="5"/>
  <c r="AS182" i="5"/>
  <c r="AR182" i="5"/>
  <c r="DH181" i="5"/>
  <c r="DG181" i="5"/>
  <c r="DA181" i="5"/>
  <c r="CX181" i="5"/>
  <c r="CG181" i="5"/>
  <c r="CF181" i="5"/>
  <c r="CE181" i="5"/>
  <c r="CD181" i="5"/>
  <c r="CH181" i="5" s="1"/>
  <c r="CC181" i="5"/>
  <c r="CB181" i="5"/>
  <c r="CA181" i="5"/>
  <c r="BZ181" i="5"/>
  <c r="BY181" i="5"/>
  <c r="BX181" i="5"/>
  <c r="BW181" i="5"/>
  <c r="BV181" i="5"/>
  <c r="BU181" i="5"/>
  <c r="BT181" i="5"/>
  <c r="BS181" i="5"/>
  <c r="BR181" i="5"/>
  <c r="BQ181" i="5"/>
  <c r="BP181" i="5"/>
  <c r="BO181" i="5"/>
  <c r="BN181" i="5"/>
  <c r="BM181" i="5"/>
  <c r="BL181" i="5"/>
  <c r="BK181" i="5"/>
  <c r="BJ181" i="5"/>
  <c r="BI181" i="5"/>
  <c r="BH181" i="5"/>
  <c r="BG181" i="5"/>
  <c r="BF181" i="5"/>
  <c r="BE181" i="5"/>
  <c r="BD181" i="5"/>
  <c r="BC181" i="5"/>
  <c r="BB181" i="5"/>
  <c r="BA181" i="5"/>
  <c r="AZ181" i="5"/>
  <c r="AY181" i="5"/>
  <c r="AX181" i="5"/>
  <c r="AW181" i="5"/>
  <c r="AV181" i="5"/>
  <c r="AU181" i="5"/>
  <c r="AT181" i="5"/>
  <c r="AS181" i="5"/>
  <c r="AR181" i="5"/>
  <c r="DH180" i="5"/>
  <c r="DG180" i="5"/>
  <c r="DA180" i="5"/>
  <c r="CX180" i="5"/>
  <c r="CG180" i="5"/>
  <c r="CF180" i="5"/>
  <c r="CE180" i="5"/>
  <c r="CD180" i="5"/>
  <c r="CH180" i="5" s="1"/>
  <c r="CC180" i="5"/>
  <c r="CB180" i="5"/>
  <c r="CA180" i="5"/>
  <c r="BZ180" i="5"/>
  <c r="BY180" i="5"/>
  <c r="BX180" i="5"/>
  <c r="BW180" i="5"/>
  <c r="BV180" i="5"/>
  <c r="BU180" i="5"/>
  <c r="BT180" i="5"/>
  <c r="BS180" i="5"/>
  <c r="BR180" i="5"/>
  <c r="BQ180" i="5"/>
  <c r="BP180" i="5"/>
  <c r="BO180" i="5"/>
  <c r="BN180" i="5"/>
  <c r="BM180" i="5"/>
  <c r="BL180" i="5"/>
  <c r="BK180" i="5"/>
  <c r="BJ180" i="5"/>
  <c r="BI180" i="5"/>
  <c r="BH180" i="5"/>
  <c r="BG180" i="5"/>
  <c r="BF180" i="5"/>
  <c r="BE180" i="5"/>
  <c r="BD180" i="5"/>
  <c r="BC180" i="5"/>
  <c r="BB180" i="5"/>
  <c r="BA180" i="5"/>
  <c r="AZ180" i="5"/>
  <c r="AY180" i="5"/>
  <c r="AX180" i="5"/>
  <c r="AW180" i="5"/>
  <c r="AV180" i="5"/>
  <c r="AU180" i="5"/>
  <c r="AT180" i="5"/>
  <c r="AS180" i="5"/>
  <c r="AR180" i="5"/>
  <c r="DH179" i="5"/>
  <c r="DG179" i="5"/>
  <c r="DA179" i="5"/>
  <c r="CX179" i="5"/>
  <c r="CG179" i="5"/>
  <c r="CF179" i="5"/>
  <c r="CD179" i="5"/>
  <c r="CH179" i="5" s="1"/>
  <c r="CC179" i="5"/>
  <c r="CB179" i="5"/>
  <c r="CA179" i="5"/>
  <c r="BZ179" i="5"/>
  <c r="BY179" i="5"/>
  <c r="BX179" i="5"/>
  <c r="BW179" i="5"/>
  <c r="BV179" i="5"/>
  <c r="BU179" i="5"/>
  <c r="BT179" i="5"/>
  <c r="BS179" i="5"/>
  <c r="BR179" i="5"/>
  <c r="BQ179" i="5"/>
  <c r="BP179" i="5"/>
  <c r="BO179" i="5"/>
  <c r="BN179" i="5"/>
  <c r="BM179" i="5"/>
  <c r="BL179" i="5"/>
  <c r="BK179" i="5"/>
  <c r="BJ179" i="5"/>
  <c r="BI179" i="5"/>
  <c r="BH179" i="5"/>
  <c r="BG179" i="5"/>
  <c r="BF179" i="5"/>
  <c r="BE179" i="5"/>
  <c r="BD179" i="5"/>
  <c r="BC179" i="5"/>
  <c r="BB179" i="5"/>
  <c r="BA179" i="5"/>
  <c r="AZ179" i="5"/>
  <c r="AX179" i="5"/>
  <c r="AY179" i="5" s="1"/>
  <c r="AW179" i="5"/>
  <c r="AV179" i="5"/>
  <c r="AU179" i="5"/>
  <c r="AT179" i="5"/>
  <c r="AS179" i="5"/>
  <c r="AR179" i="5"/>
  <c r="DH178" i="5"/>
  <c r="DG178" i="5"/>
  <c r="DA178" i="5"/>
  <c r="CX178" i="5"/>
  <c r="CG178" i="5"/>
  <c r="CF178" i="5"/>
  <c r="CD178" i="5"/>
  <c r="CH178" i="5" s="1"/>
  <c r="CC178" i="5"/>
  <c r="CB178" i="5"/>
  <c r="CA178" i="5"/>
  <c r="BZ178" i="5"/>
  <c r="BY178" i="5"/>
  <c r="BX178" i="5"/>
  <c r="BW178" i="5"/>
  <c r="BV178" i="5"/>
  <c r="BU178" i="5"/>
  <c r="BT178" i="5"/>
  <c r="BS178" i="5"/>
  <c r="BR178" i="5"/>
  <c r="BQ178" i="5"/>
  <c r="BP178" i="5"/>
  <c r="BO178" i="5"/>
  <c r="BN178" i="5"/>
  <c r="BM178" i="5"/>
  <c r="BL178" i="5"/>
  <c r="BK178" i="5"/>
  <c r="BJ178" i="5"/>
  <c r="BI178" i="5"/>
  <c r="BH178" i="5"/>
  <c r="BG178" i="5"/>
  <c r="BF178" i="5"/>
  <c r="BE178" i="5"/>
  <c r="BD178" i="5"/>
  <c r="BC178" i="5"/>
  <c r="BB178" i="5"/>
  <c r="BA178" i="5"/>
  <c r="AZ178" i="5"/>
  <c r="AX178" i="5"/>
  <c r="AY178" i="5" s="1"/>
  <c r="AW178" i="5"/>
  <c r="AV178" i="5"/>
  <c r="AU178" i="5"/>
  <c r="AT178" i="5"/>
  <c r="AS178" i="5"/>
  <c r="AR178" i="5"/>
  <c r="DH177" i="5"/>
  <c r="DG177" i="5"/>
  <c r="DA177" i="5"/>
  <c r="CX177" i="5"/>
  <c r="CG177" i="5"/>
  <c r="CF177" i="5"/>
  <c r="CD177" i="5"/>
  <c r="CH177" i="5" s="1"/>
  <c r="CC177" i="5"/>
  <c r="CB177" i="5"/>
  <c r="CA177" i="5"/>
  <c r="BZ177" i="5"/>
  <c r="BY177" i="5"/>
  <c r="BX177" i="5"/>
  <c r="BW177" i="5"/>
  <c r="BV177" i="5"/>
  <c r="BU177" i="5"/>
  <c r="BT177" i="5"/>
  <c r="BS177" i="5"/>
  <c r="BR177" i="5"/>
  <c r="BQ177" i="5"/>
  <c r="BP177" i="5"/>
  <c r="BO177" i="5"/>
  <c r="BN177" i="5"/>
  <c r="BM177" i="5"/>
  <c r="BL177" i="5"/>
  <c r="BK177" i="5"/>
  <c r="BJ177" i="5"/>
  <c r="BI177" i="5"/>
  <c r="BH177" i="5"/>
  <c r="BG177" i="5"/>
  <c r="BF177" i="5"/>
  <c r="BE177" i="5"/>
  <c r="BD177" i="5"/>
  <c r="BC177" i="5"/>
  <c r="BB177" i="5"/>
  <c r="BA177" i="5"/>
  <c r="AZ177" i="5"/>
  <c r="AX177" i="5"/>
  <c r="AY177" i="5" s="1"/>
  <c r="AW177" i="5"/>
  <c r="AV177" i="5"/>
  <c r="AU177" i="5"/>
  <c r="AT177" i="5"/>
  <c r="AS177" i="5"/>
  <c r="AR177" i="5"/>
  <c r="DH176" i="5"/>
  <c r="DG176" i="5"/>
  <c r="DA176" i="5"/>
  <c r="CX176" i="5"/>
  <c r="CG176" i="5"/>
  <c r="CF176" i="5"/>
  <c r="CD176" i="5"/>
  <c r="CH176" i="5" s="1"/>
  <c r="CC176" i="5"/>
  <c r="CB176" i="5"/>
  <c r="CA176" i="5"/>
  <c r="BZ176" i="5"/>
  <c r="BY176" i="5"/>
  <c r="BX176" i="5"/>
  <c r="BW176" i="5"/>
  <c r="BV176" i="5"/>
  <c r="BU176" i="5"/>
  <c r="BT176" i="5"/>
  <c r="BS176" i="5"/>
  <c r="BR176" i="5"/>
  <c r="BQ176" i="5"/>
  <c r="BP176" i="5"/>
  <c r="BO176" i="5"/>
  <c r="BN176" i="5"/>
  <c r="BM176" i="5"/>
  <c r="BL176" i="5"/>
  <c r="BK176" i="5"/>
  <c r="BJ176" i="5"/>
  <c r="BI176" i="5"/>
  <c r="BH176" i="5"/>
  <c r="BG176" i="5"/>
  <c r="BF176" i="5"/>
  <c r="BE176" i="5"/>
  <c r="BD176" i="5"/>
  <c r="BC176" i="5"/>
  <c r="BB176" i="5"/>
  <c r="BA176" i="5"/>
  <c r="AZ176" i="5"/>
  <c r="AX176" i="5"/>
  <c r="AY176" i="5" s="1"/>
  <c r="AW176" i="5"/>
  <c r="AV176" i="5"/>
  <c r="AU176" i="5"/>
  <c r="AT176" i="5"/>
  <c r="AS176" i="5"/>
  <c r="AR176" i="5"/>
  <c r="DH175" i="5"/>
  <c r="DG175" i="5"/>
  <c r="DA175" i="5"/>
  <c r="CX175" i="5"/>
  <c r="CG175" i="5"/>
  <c r="CF175" i="5"/>
  <c r="CE175" i="5"/>
  <c r="CD175" i="5"/>
  <c r="CH175" i="5" s="1"/>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DH174" i="5"/>
  <c r="DG174" i="5"/>
  <c r="DA174" i="5"/>
  <c r="CX174" i="5"/>
  <c r="CG174" i="5"/>
  <c r="CF174" i="5"/>
  <c r="CE174" i="5"/>
  <c r="CD174" i="5"/>
  <c r="CH174" i="5" s="1"/>
  <c r="CC174" i="5"/>
  <c r="CB174" i="5"/>
  <c r="CA174" i="5"/>
  <c r="BZ174" i="5"/>
  <c r="BY174" i="5"/>
  <c r="BX174" i="5"/>
  <c r="BW174" i="5"/>
  <c r="BV174" i="5"/>
  <c r="BU174" i="5"/>
  <c r="BT174" i="5"/>
  <c r="BS174" i="5"/>
  <c r="BR174" i="5"/>
  <c r="BQ174" i="5"/>
  <c r="BP174" i="5"/>
  <c r="BO174" i="5"/>
  <c r="BN174" i="5"/>
  <c r="BM174" i="5"/>
  <c r="BL174" i="5"/>
  <c r="BK174" i="5"/>
  <c r="BJ174" i="5"/>
  <c r="BI174" i="5"/>
  <c r="BH174" i="5"/>
  <c r="BG174" i="5"/>
  <c r="BF174" i="5"/>
  <c r="BE174" i="5"/>
  <c r="BD174" i="5"/>
  <c r="BC174" i="5"/>
  <c r="BB174" i="5"/>
  <c r="BA174" i="5"/>
  <c r="AZ174" i="5"/>
  <c r="AY174" i="5"/>
  <c r="AX174" i="5"/>
  <c r="AW174" i="5"/>
  <c r="AV174" i="5"/>
  <c r="AU174" i="5"/>
  <c r="AT174" i="5"/>
  <c r="AS174" i="5"/>
  <c r="AR174" i="5"/>
  <c r="DH173" i="5"/>
  <c r="DG173" i="5"/>
  <c r="DA173" i="5"/>
  <c r="CX173" i="5"/>
  <c r="CG173" i="5"/>
  <c r="CF173" i="5"/>
  <c r="CD173" i="5"/>
  <c r="CH173" i="5" s="1"/>
  <c r="CC173" i="5"/>
  <c r="CB173" i="5"/>
  <c r="CA173" i="5"/>
  <c r="BZ173" i="5"/>
  <c r="BY173" i="5"/>
  <c r="BX173" i="5"/>
  <c r="BW173" i="5"/>
  <c r="BV173" i="5"/>
  <c r="BU173" i="5"/>
  <c r="BT173" i="5"/>
  <c r="BS173" i="5"/>
  <c r="BR173" i="5"/>
  <c r="BQ173" i="5"/>
  <c r="BP173" i="5"/>
  <c r="BO173" i="5"/>
  <c r="BN173" i="5"/>
  <c r="BM173" i="5"/>
  <c r="BL173" i="5"/>
  <c r="BK173" i="5"/>
  <c r="BJ173" i="5"/>
  <c r="BI173" i="5"/>
  <c r="BH173" i="5"/>
  <c r="BG173" i="5"/>
  <c r="BF173" i="5"/>
  <c r="BE173" i="5"/>
  <c r="BD173" i="5"/>
  <c r="BC173" i="5"/>
  <c r="BB173" i="5"/>
  <c r="BA173" i="5"/>
  <c r="AZ173" i="5"/>
  <c r="AX173" i="5"/>
  <c r="AY173" i="5" s="1"/>
  <c r="AW173" i="5"/>
  <c r="AV173" i="5"/>
  <c r="AU173" i="5"/>
  <c r="AT173" i="5"/>
  <c r="AS173" i="5"/>
  <c r="AR173" i="5"/>
  <c r="DH172" i="5"/>
  <c r="DG172" i="5"/>
  <c r="DA172" i="5"/>
  <c r="CX172" i="5"/>
  <c r="CG172" i="5"/>
  <c r="CF172" i="5"/>
  <c r="CE172" i="5"/>
  <c r="CD172" i="5"/>
  <c r="CH172" i="5" s="1"/>
  <c r="CC172" i="5"/>
  <c r="CB172" i="5"/>
  <c r="CA172" i="5"/>
  <c r="BZ172" i="5"/>
  <c r="BY172" i="5"/>
  <c r="BX172" i="5"/>
  <c r="BW172" i="5"/>
  <c r="BV172" i="5"/>
  <c r="BU172" i="5"/>
  <c r="BT172" i="5"/>
  <c r="BS172" i="5"/>
  <c r="BR172" i="5"/>
  <c r="BQ172" i="5"/>
  <c r="BP172" i="5"/>
  <c r="BO172" i="5"/>
  <c r="BN172" i="5"/>
  <c r="BM172" i="5"/>
  <c r="BL172" i="5"/>
  <c r="BK172" i="5"/>
  <c r="BJ172" i="5"/>
  <c r="BI172" i="5"/>
  <c r="BH172" i="5"/>
  <c r="BG172" i="5"/>
  <c r="BF172" i="5"/>
  <c r="BE172" i="5"/>
  <c r="BD172" i="5"/>
  <c r="BC172" i="5"/>
  <c r="BB172" i="5"/>
  <c r="BA172" i="5"/>
  <c r="AZ172" i="5"/>
  <c r="AY172" i="5"/>
  <c r="AX172" i="5"/>
  <c r="AW172" i="5"/>
  <c r="AV172" i="5"/>
  <c r="AU172" i="5"/>
  <c r="AT172" i="5"/>
  <c r="AS172" i="5"/>
  <c r="AR172" i="5"/>
  <c r="DH171" i="5"/>
  <c r="DG171" i="5"/>
  <c r="DA171" i="5"/>
  <c r="CX171" i="5"/>
  <c r="CG171" i="5"/>
  <c r="CF171" i="5"/>
  <c r="CE171" i="5"/>
  <c r="CD171" i="5"/>
  <c r="CH171" i="5" s="1"/>
  <c r="CC171" i="5"/>
  <c r="CB171" i="5"/>
  <c r="CA171" i="5"/>
  <c r="BZ171" i="5"/>
  <c r="BY171" i="5"/>
  <c r="BX171" i="5"/>
  <c r="BW171" i="5"/>
  <c r="BV171" i="5"/>
  <c r="BU171" i="5"/>
  <c r="BT171" i="5"/>
  <c r="BS171" i="5"/>
  <c r="BR171" i="5"/>
  <c r="BQ171" i="5"/>
  <c r="BP171" i="5"/>
  <c r="BO171" i="5"/>
  <c r="BN171" i="5"/>
  <c r="BM171" i="5"/>
  <c r="BL171" i="5"/>
  <c r="BK171" i="5"/>
  <c r="BJ171" i="5"/>
  <c r="BI171" i="5"/>
  <c r="BH171" i="5"/>
  <c r="BG171" i="5"/>
  <c r="BF171" i="5"/>
  <c r="BE171" i="5"/>
  <c r="BD171" i="5"/>
  <c r="BC171" i="5"/>
  <c r="BB171" i="5"/>
  <c r="BA171" i="5"/>
  <c r="AZ171" i="5"/>
  <c r="AY171" i="5"/>
  <c r="AX171" i="5"/>
  <c r="AW171" i="5"/>
  <c r="AV171" i="5"/>
  <c r="AU171" i="5"/>
  <c r="AT171" i="5"/>
  <c r="AS171" i="5"/>
  <c r="AR171" i="5"/>
  <c r="DH170" i="5"/>
  <c r="DG170" i="5"/>
  <c r="DA170" i="5"/>
  <c r="CX170" i="5"/>
  <c r="CH170" i="5"/>
  <c r="CG170" i="5"/>
  <c r="CF170" i="5"/>
  <c r="CD170" i="5"/>
  <c r="CE170" i="5" s="1"/>
  <c r="CC170" i="5"/>
  <c r="CB170" i="5"/>
  <c r="CA170" i="5"/>
  <c r="BZ170" i="5"/>
  <c r="BY170" i="5"/>
  <c r="BX170" i="5"/>
  <c r="BW170" i="5"/>
  <c r="BV170" i="5"/>
  <c r="BU170" i="5"/>
  <c r="BT170" i="5"/>
  <c r="BS170" i="5"/>
  <c r="BR170" i="5"/>
  <c r="BQ170" i="5"/>
  <c r="BP170" i="5"/>
  <c r="BO170" i="5"/>
  <c r="BN170" i="5"/>
  <c r="BM170" i="5"/>
  <c r="BL170" i="5"/>
  <c r="BK170" i="5"/>
  <c r="BJ170" i="5"/>
  <c r="BI170" i="5"/>
  <c r="BH170" i="5"/>
  <c r="BG170" i="5"/>
  <c r="BF170" i="5"/>
  <c r="BE170" i="5"/>
  <c r="BD170" i="5"/>
  <c r="BC170" i="5"/>
  <c r="BB170" i="5"/>
  <c r="BA170" i="5"/>
  <c r="AZ170" i="5"/>
  <c r="AX170" i="5"/>
  <c r="AY170" i="5" s="1"/>
  <c r="AW170" i="5"/>
  <c r="AV170" i="5"/>
  <c r="AU170" i="5"/>
  <c r="AT170" i="5"/>
  <c r="AS170" i="5"/>
  <c r="AR170" i="5"/>
  <c r="DH169" i="5"/>
  <c r="DG169" i="5"/>
  <c r="DA169" i="5"/>
  <c r="CX169" i="5"/>
  <c r="CH169" i="5"/>
  <c r="CG169" i="5"/>
  <c r="CF169" i="5"/>
  <c r="CE169" i="5"/>
  <c r="CD169" i="5"/>
  <c r="CC169" i="5"/>
  <c r="CB169" i="5"/>
  <c r="CA169" i="5"/>
  <c r="BZ169" i="5"/>
  <c r="BY169" i="5"/>
  <c r="BX169" i="5"/>
  <c r="BW169" i="5"/>
  <c r="BV169" i="5"/>
  <c r="BU169" i="5"/>
  <c r="BT169" i="5"/>
  <c r="BS169" i="5"/>
  <c r="BR169" i="5"/>
  <c r="BQ169" i="5"/>
  <c r="BP169" i="5"/>
  <c r="BO169" i="5"/>
  <c r="BN169" i="5"/>
  <c r="BM169" i="5"/>
  <c r="BL169" i="5"/>
  <c r="BK169" i="5"/>
  <c r="BJ169" i="5"/>
  <c r="BI169" i="5"/>
  <c r="BH169" i="5"/>
  <c r="BG169" i="5"/>
  <c r="BF169" i="5"/>
  <c r="BE169" i="5"/>
  <c r="BD169" i="5"/>
  <c r="BC169" i="5"/>
  <c r="BB169" i="5"/>
  <c r="BA169" i="5"/>
  <c r="AZ169" i="5"/>
  <c r="AY169" i="5"/>
  <c r="AX169" i="5"/>
  <c r="AW169" i="5"/>
  <c r="AV169" i="5"/>
  <c r="AU169" i="5"/>
  <c r="AT169" i="5"/>
  <c r="AS169" i="5"/>
  <c r="AR169" i="5"/>
  <c r="DH168" i="5"/>
  <c r="DG168" i="5"/>
  <c r="DA168" i="5"/>
  <c r="CX168" i="5"/>
  <c r="CH168" i="5"/>
  <c r="CG168" i="5"/>
  <c r="CF168" i="5"/>
  <c r="CE168" i="5"/>
  <c r="CD168" i="5"/>
  <c r="CC168" i="5"/>
  <c r="CB168" i="5"/>
  <c r="CA168" i="5"/>
  <c r="BZ168" i="5"/>
  <c r="BY168" i="5"/>
  <c r="BX168" i="5"/>
  <c r="BW168" i="5"/>
  <c r="BV168" i="5"/>
  <c r="BU168" i="5"/>
  <c r="BT168" i="5"/>
  <c r="BS168" i="5"/>
  <c r="BR168" i="5"/>
  <c r="BQ168" i="5"/>
  <c r="BP168" i="5"/>
  <c r="BO168" i="5"/>
  <c r="BN168" i="5"/>
  <c r="BM168" i="5"/>
  <c r="BL168" i="5"/>
  <c r="BK168" i="5"/>
  <c r="BJ168" i="5"/>
  <c r="BI168" i="5"/>
  <c r="BH168" i="5"/>
  <c r="BG168" i="5"/>
  <c r="BF168" i="5"/>
  <c r="BE168" i="5"/>
  <c r="BD168" i="5"/>
  <c r="BC168" i="5"/>
  <c r="BB168" i="5"/>
  <c r="BA168" i="5"/>
  <c r="AZ168" i="5"/>
  <c r="AY168" i="5"/>
  <c r="AX168" i="5"/>
  <c r="AW168" i="5"/>
  <c r="AV168" i="5"/>
  <c r="AU168" i="5"/>
  <c r="AT168" i="5"/>
  <c r="AS168" i="5"/>
  <c r="AR168" i="5"/>
  <c r="DH167" i="5"/>
  <c r="DG167" i="5"/>
  <c r="DA167" i="5"/>
  <c r="CX167" i="5"/>
  <c r="CH167" i="5"/>
  <c r="CG167" i="5"/>
  <c r="CF167" i="5"/>
  <c r="CE167" i="5"/>
  <c r="CD167" i="5"/>
  <c r="CC167" i="5"/>
  <c r="CB167" i="5"/>
  <c r="CA167" i="5"/>
  <c r="BZ167" i="5"/>
  <c r="BY167" i="5"/>
  <c r="BX167" i="5"/>
  <c r="BW167" i="5"/>
  <c r="BV167" i="5"/>
  <c r="BU167" i="5"/>
  <c r="BT167" i="5"/>
  <c r="BS167" i="5"/>
  <c r="BR167" i="5"/>
  <c r="BQ167" i="5"/>
  <c r="BP167" i="5"/>
  <c r="BO167" i="5"/>
  <c r="BN167" i="5"/>
  <c r="BM167" i="5"/>
  <c r="BL167" i="5"/>
  <c r="BK167" i="5"/>
  <c r="BJ167" i="5"/>
  <c r="BI167" i="5"/>
  <c r="BH167" i="5"/>
  <c r="BG167" i="5"/>
  <c r="BF167" i="5"/>
  <c r="BE167" i="5"/>
  <c r="BD167" i="5"/>
  <c r="BC167" i="5"/>
  <c r="BB167" i="5"/>
  <c r="BA167" i="5"/>
  <c r="AZ167" i="5"/>
  <c r="AY167" i="5"/>
  <c r="AX167" i="5"/>
  <c r="AW167" i="5"/>
  <c r="AV167" i="5"/>
  <c r="AU167" i="5"/>
  <c r="AT167" i="5"/>
  <c r="AS167" i="5"/>
  <c r="AR167" i="5"/>
  <c r="DH166" i="5"/>
  <c r="DG166" i="5"/>
  <c r="DA166" i="5"/>
  <c r="CX166" i="5"/>
  <c r="CG166" i="5"/>
  <c r="CF166" i="5"/>
  <c r="CD166" i="5"/>
  <c r="CE166" i="5" s="1"/>
  <c r="CC166" i="5"/>
  <c r="CB166" i="5"/>
  <c r="CA166" i="5"/>
  <c r="BZ166" i="5"/>
  <c r="BY166" i="5"/>
  <c r="BX166" i="5"/>
  <c r="BW166" i="5"/>
  <c r="BV166" i="5"/>
  <c r="BU166" i="5"/>
  <c r="BT166" i="5"/>
  <c r="BS166" i="5"/>
  <c r="BR166" i="5"/>
  <c r="BQ166" i="5"/>
  <c r="BP166" i="5"/>
  <c r="BO166" i="5"/>
  <c r="BN166" i="5"/>
  <c r="BM166" i="5"/>
  <c r="BL166" i="5"/>
  <c r="BK166" i="5"/>
  <c r="BJ166" i="5"/>
  <c r="BI166" i="5"/>
  <c r="BH166" i="5"/>
  <c r="BG166" i="5"/>
  <c r="BF166" i="5"/>
  <c r="BE166" i="5"/>
  <c r="BD166" i="5"/>
  <c r="BC166" i="5"/>
  <c r="BB166" i="5"/>
  <c r="BA166" i="5"/>
  <c r="AZ166" i="5"/>
  <c r="AX166" i="5"/>
  <c r="AY166" i="5" s="1"/>
  <c r="AW166" i="5"/>
  <c r="AV166" i="5"/>
  <c r="AU166" i="5"/>
  <c r="AT166" i="5"/>
  <c r="AS166" i="5"/>
  <c r="AR166" i="5"/>
  <c r="DH165" i="5"/>
  <c r="DG165" i="5"/>
  <c r="DA165" i="5"/>
  <c r="CX165" i="5"/>
  <c r="CG165" i="5"/>
  <c r="CF165" i="5"/>
  <c r="CD165" i="5"/>
  <c r="CE165" i="5" s="1"/>
  <c r="CC165" i="5"/>
  <c r="CB165" i="5"/>
  <c r="CA165" i="5"/>
  <c r="BZ165" i="5"/>
  <c r="BY165" i="5"/>
  <c r="BX165" i="5"/>
  <c r="BW165" i="5"/>
  <c r="BV165" i="5"/>
  <c r="BU165" i="5"/>
  <c r="BT165" i="5"/>
  <c r="BS165" i="5"/>
  <c r="BR165" i="5"/>
  <c r="BQ165" i="5"/>
  <c r="BP165" i="5"/>
  <c r="BO165" i="5"/>
  <c r="BN165" i="5"/>
  <c r="BM165" i="5"/>
  <c r="BL165" i="5"/>
  <c r="BK165" i="5"/>
  <c r="BJ165" i="5"/>
  <c r="BI165" i="5"/>
  <c r="BH165" i="5"/>
  <c r="BG165" i="5"/>
  <c r="BF165" i="5"/>
  <c r="BE165" i="5"/>
  <c r="BD165" i="5"/>
  <c r="BC165" i="5"/>
  <c r="BB165" i="5"/>
  <c r="BA165" i="5"/>
  <c r="AZ165" i="5"/>
  <c r="AX165" i="5"/>
  <c r="AY165" i="5" s="1"/>
  <c r="AW165" i="5"/>
  <c r="AV165" i="5"/>
  <c r="AU165" i="5"/>
  <c r="AT165" i="5"/>
  <c r="AS165" i="5"/>
  <c r="AR165" i="5"/>
  <c r="DH164" i="5"/>
  <c r="DG164" i="5"/>
  <c r="DA164" i="5"/>
  <c r="CX164" i="5"/>
  <c r="CG164" i="5"/>
  <c r="CF164" i="5"/>
  <c r="CE164" i="5"/>
  <c r="CD164" i="5"/>
  <c r="CH164" i="5" s="1"/>
  <c r="CC164" i="5"/>
  <c r="CB164" i="5"/>
  <c r="CA164" i="5"/>
  <c r="BZ164" i="5"/>
  <c r="BY164" i="5"/>
  <c r="BX164" i="5"/>
  <c r="BW164" i="5"/>
  <c r="BV164" i="5"/>
  <c r="BU164" i="5"/>
  <c r="BT164" i="5"/>
  <c r="BS164" i="5"/>
  <c r="BR164" i="5"/>
  <c r="BQ164" i="5"/>
  <c r="BP164" i="5"/>
  <c r="BO164" i="5"/>
  <c r="BN164" i="5"/>
  <c r="BM164" i="5"/>
  <c r="BL164" i="5"/>
  <c r="BK164" i="5"/>
  <c r="BJ164" i="5"/>
  <c r="BI164" i="5"/>
  <c r="BH164" i="5"/>
  <c r="BG164" i="5"/>
  <c r="BF164" i="5"/>
  <c r="BE164" i="5"/>
  <c r="BD164" i="5"/>
  <c r="BC164" i="5"/>
  <c r="BB164" i="5"/>
  <c r="BA164" i="5"/>
  <c r="AZ164" i="5"/>
  <c r="AY164" i="5"/>
  <c r="AX164" i="5"/>
  <c r="AW164" i="5"/>
  <c r="AV164" i="5"/>
  <c r="AU164" i="5"/>
  <c r="AT164" i="5"/>
  <c r="AS164" i="5"/>
  <c r="AR164" i="5"/>
  <c r="DH163" i="5"/>
  <c r="DG163" i="5"/>
  <c r="DA163" i="5"/>
  <c r="CX163" i="5"/>
  <c r="CH163" i="5"/>
  <c r="CI163" i="5" s="1"/>
  <c r="CJ163" i="5" s="1"/>
  <c r="CG163" i="5"/>
  <c r="CF163" i="5"/>
  <c r="CE163" i="5"/>
  <c r="CD163" i="5"/>
  <c r="CC163" i="5"/>
  <c r="CB163" i="5"/>
  <c r="CA163" i="5"/>
  <c r="BZ163" i="5"/>
  <c r="BY163" i="5"/>
  <c r="BX163" i="5"/>
  <c r="BW163" i="5"/>
  <c r="BV163" i="5"/>
  <c r="BU163" i="5"/>
  <c r="BT163" i="5"/>
  <c r="BS163" i="5"/>
  <c r="BR163" i="5"/>
  <c r="BQ163" i="5"/>
  <c r="BP163" i="5"/>
  <c r="BO163" i="5"/>
  <c r="BN163" i="5"/>
  <c r="BM163" i="5"/>
  <c r="BL163" i="5"/>
  <c r="BK163" i="5"/>
  <c r="BJ163" i="5"/>
  <c r="BI163" i="5"/>
  <c r="BH163" i="5"/>
  <c r="BG163" i="5"/>
  <c r="BF163" i="5"/>
  <c r="BE163" i="5"/>
  <c r="BD163" i="5"/>
  <c r="BC163" i="5"/>
  <c r="BB163" i="5"/>
  <c r="BA163" i="5"/>
  <c r="AZ163" i="5"/>
  <c r="AY163" i="5"/>
  <c r="AX163" i="5"/>
  <c r="AW163" i="5"/>
  <c r="AV163" i="5"/>
  <c r="AU163" i="5"/>
  <c r="AT163" i="5"/>
  <c r="AS163" i="5"/>
  <c r="AR163" i="5"/>
  <c r="DH162" i="5"/>
  <c r="DG162" i="5"/>
  <c r="DA162" i="5"/>
  <c r="CX162" i="5"/>
  <c r="CG162" i="5"/>
  <c r="CF162" i="5"/>
  <c r="CD162" i="5"/>
  <c r="CE162" i="5" s="1"/>
  <c r="CC162" i="5"/>
  <c r="CB162" i="5"/>
  <c r="CA162" i="5"/>
  <c r="BZ162" i="5"/>
  <c r="BY162" i="5"/>
  <c r="BX162" i="5"/>
  <c r="BW162" i="5"/>
  <c r="BV162" i="5"/>
  <c r="BU162" i="5"/>
  <c r="BT162" i="5"/>
  <c r="BS162" i="5"/>
  <c r="BR162" i="5"/>
  <c r="BQ162" i="5"/>
  <c r="BP162" i="5"/>
  <c r="BO162" i="5"/>
  <c r="BN162" i="5"/>
  <c r="BM162" i="5"/>
  <c r="BL162" i="5"/>
  <c r="BK162" i="5"/>
  <c r="BJ162" i="5"/>
  <c r="BI162" i="5"/>
  <c r="BH162" i="5"/>
  <c r="BG162" i="5"/>
  <c r="BF162" i="5"/>
  <c r="BE162" i="5"/>
  <c r="BD162" i="5"/>
  <c r="BC162" i="5"/>
  <c r="BB162" i="5"/>
  <c r="BA162" i="5"/>
  <c r="AZ162" i="5"/>
  <c r="AX162" i="5"/>
  <c r="AY162" i="5" s="1"/>
  <c r="AW162" i="5"/>
  <c r="AV162" i="5"/>
  <c r="AU162" i="5"/>
  <c r="AT162" i="5"/>
  <c r="AS162" i="5"/>
  <c r="AR162" i="5"/>
  <c r="DH161" i="5"/>
  <c r="DG161" i="5"/>
  <c r="DA161" i="5"/>
  <c r="CX161" i="5"/>
  <c r="CH161" i="5"/>
  <c r="CG161" i="5"/>
  <c r="CF161" i="5"/>
  <c r="CD161" i="5"/>
  <c r="CE161" i="5" s="1"/>
  <c r="CC161" i="5"/>
  <c r="CB161" i="5"/>
  <c r="CA161" i="5"/>
  <c r="BZ161" i="5"/>
  <c r="BY161" i="5"/>
  <c r="BX161" i="5"/>
  <c r="BW161" i="5"/>
  <c r="BV161" i="5"/>
  <c r="BU161" i="5"/>
  <c r="BT161" i="5"/>
  <c r="BS161" i="5"/>
  <c r="BR161" i="5"/>
  <c r="BQ161" i="5"/>
  <c r="BP161" i="5"/>
  <c r="BO161" i="5"/>
  <c r="BN161" i="5"/>
  <c r="BM161" i="5"/>
  <c r="BL161" i="5"/>
  <c r="BK161" i="5"/>
  <c r="BJ161" i="5"/>
  <c r="BI161" i="5"/>
  <c r="BH161" i="5"/>
  <c r="BG161" i="5"/>
  <c r="BF161" i="5"/>
  <c r="BE161" i="5"/>
  <c r="BD161" i="5"/>
  <c r="BC161" i="5"/>
  <c r="BB161" i="5"/>
  <c r="BA161" i="5"/>
  <c r="AZ161" i="5"/>
  <c r="AX161" i="5"/>
  <c r="AY161" i="5" s="1"/>
  <c r="AW161" i="5"/>
  <c r="AV161" i="5"/>
  <c r="AU161" i="5"/>
  <c r="AT161" i="5"/>
  <c r="AS161" i="5"/>
  <c r="AR161" i="5"/>
  <c r="DH160" i="5"/>
  <c r="DG160" i="5"/>
  <c r="DA160" i="5"/>
  <c r="CX160" i="5"/>
  <c r="CG160" i="5"/>
  <c r="CF160" i="5"/>
  <c r="CD160" i="5"/>
  <c r="CE160" i="5" s="1"/>
  <c r="CC160" i="5"/>
  <c r="CB160" i="5"/>
  <c r="CA160" i="5"/>
  <c r="BZ160" i="5"/>
  <c r="BY160" i="5"/>
  <c r="BX160" i="5"/>
  <c r="BW160" i="5"/>
  <c r="BV160" i="5"/>
  <c r="BU160" i="5"/>
  <c r="BT160" i="5"/>
  <c r="BS160" i="5"/>
  <c r="BR160" i="5"/>
  <c r="BQ160" i="5"/>
  <c r="BP160" i="5"/>
  <c r="BO160" i="5"/>
  <c r="BN160" i="5"/>
  <c r="BM160" i="5"/>
  <c r="BL160" i="5"/>
  <c r="BK160" i="5"/>
  <c r="BJ160" i="5"/>
  <c r="BI160" i="5"/>
  <c r="BH160" i="5"/>
  <c r="BG160" i="5"/>
  <c r="BF160" i="5"/>
  <c r="BE160" i="5"/>
  <c r="BD160" i="5"/>
  <c r="BC160" i="5"/>
  <c r="BB160" i="5"/>
  <c r="BA160" i="5"/>
  <c r="AZ160" i="5"/>
  <c r="AX160" i="5"/>
  <c r="AY160" i="5" s="1"/>
  <c r="AW160" i="5"/>
  <c r="AV160" i="5"/>
  <c r="AU160" i="5"/>
  <c r="AT160" i="5"/>
  <c r="AS160" i="5"/>
  <c r="AR160" i="5"/>
  <c r="DH159" i="5"/>
  <c r="DG159" i="5"/>
  <c r="DA159" i="5"/>
  <c r="CX159" i="5"/>
  <c r="CH159" i="5"/>
  <c r="CG159" i="5"/>
  <c r="CF159" i="5"/>
  <c r="CD159" i="5"/>
  <c r="CE159" i="5" s="1"/>
  <c r="CC159" i="5"/>
  <c r="CB159" i="5"/>
  <c r="CA159" i="5"/>
  <c r="BZ159" i="5"/>
  <c r="BY159" i="5"/>
  <c r="BX159" i="5"/>
  <c r="BW159" i="5"/>
  <c r="BV159" i="5"/>
  <c r="BU159" i="5"/>
  <c r="BT159" i="5"/>
  <c r="BS159" i="5"/>
  <c r="BR159" i="5"/>
  <c r="BQ159" i="5"/>
  <c r="BP159" i="5"/>
  <c r="BO159" i="5"/>
  <c r="BN159" i="5"/>
  <c r="BM159" i="5"/>
  <c r="BL159" i="5"/>
  <c r="BK159" i="5"/>
  <c r="BJ159" i="5"/>
  <c r="BI159" i="5"/>
  <c r="BH159" i="5"/>
  <c r="BG159" i="5"/>
  <c r="BF159" i="5"/>
  <c r="BE159" i="5"/>
  <c r="BD159" i="5"/>
  <c r="BC159" i="5"/>
  <c r="BB159" i="5"/>
  <c r="BA159" i="5"/>
  <c r="AZ159" i="5"/>
  <c r="AX159" i="5"/>
  <c r="AY159" i="5" s="1"/>
  <c r="AW159" i="5"/>
  <c r="AV159" i="5"/>
  <c r="AU159" i="5"/>
  <c r="AT159" i="5"/>
  <c r="AS159" i="5"/>
  <c r="AR159" i="5"/>
  <c r="DH158" i="5"/>
  <c r="DG158" i="5"/>
  <c r="DA158" i="5"/>
  <c r="CX158" i="5"/>
  <c r="CH158" i="5"/>
  <c r="CG158" i="5"/>
  <c r="CF158" i="5"/>
  <c r="CD158" i="5"/>
  <c r="CE158" i="5" s="1"/>
  <c r="CC158" i="5"/>
  <c r="CB158" i="5"/>
  <c r="CA158" i="5"/>
  <c r="BZ158" i="5"/>
  <c r="BY158" i="5"/>
  <c r="BX158" i="5"/>
  <c r="BW158" i="5"/>
  <c r="BV158" i="5"/>
  <c r="BU158" i="5"/>
  <c r="BT158" i="5"/>
  <c r="BS158" i="5"/>
  <c r="BR158" i="5"/>
  <c r="BQ158" i="5"/>
  <c r="BP158" i="5"/>
  <c r="BO158" i="5"/>
  <c r="BN158" i="5"/>
  <c r="BM158" i="5"/>
  <c r="BL158" i="5"/>
  <c r="BK158" i="5"/>
  <c r="BJ158" i="5"/>
  <c r="BI158" i="5"/>
  <c r="BH158" i="5"/>
  <c r="BG158" i="5"/>
  <c r="BF158" i="5"/>
  <c r="BE158" i="5"/>
  <c r="BD158" i="5"/>
  <c r="BC158" i="5"/>
  <c r="BB158" i="5"/>
  <c r="BA158" i="5"/>
  <c r="AZ158" i="5"/>
  <c r="AX158" i="5"/>
  <c r="AY158" i="5" s="1"/>
  <c r="AW158" i="5"/>
  <c r="AV158" i="5"/>
  <c r="AU158" i="5"/>
  <c r="AT158" i="5"/>
  <c r="AS158" i="5"/>
  <c r="AR158" i="5"/>
  <c r="DH157" i="5"/>
  <c r="DG157" i="5"/>
  <c r="DA157" i="5"/>
  <c r="CX157" i="5"/>
  <c r="CH157" i="5"/>
  <c r="CG157" i="5"/>
  <c r="CF157" i="5"/>
  <c r="CD157" i="5"/>
  <c r="CE157" i="5" s="1"/>
  <c r="CC157" i="5"/>
  <c r="CB157" i="5"/>
  <c r="CA157" i="5"/>
  <c r="BZ157" i="5"/>
  <c r="BY157" i="5"/>
  <c r="BX157" i="5"/>
  <c r="BW157" i="5"/>
  <c r="BV157" i="5"/>
  <c r="BU157" i="5"/>
  <c r="BT157" i="5"/>
  <c r="BS157" i="5"/>
  <c r="BR157" i="5"/>
  <c r="BQ157" i="5"/>
  <c r="BP157" i="5"/>
  <c r="BO157" i="5"/>
  <c r="BN157" i="5"/>
  <c r="BM157" i="5"/>
  <c r="BL157" i="5"/>
  <c r="BK157" i="5"/>
  <c r="BJ157" i="5"/>
  <c r="BI157" i="5"/>
  <c r="BH157" i="5"/>
  <c r="BG157" i="5"/>
  <c r="BF157" i="5"/>
  <c r="BE157" i="5"/>
  <c r="BD157" i="5"/>
  <c r="BC157" i="5"/>
  <c r="BB157" i="5"/>
  <c r="BA157" i="5"/>
  <c r="AZ157" i="5"/>
  <c r="AX157" i="5"/>
  <c r="AY157" i="5" s="1"/>
  <c r="AW157" i="5"/>
  <c r="AV157" i="5"/>
  <c r="AU157" i="5"/>
  <c r="AT157" i="5"/>
  <c r="AS157" i="5"/>
  <c r="AR157" i="5"/>
  <c r="DH156" i="5"/>
  <c r="DG156" i="5"/>
  <c r="DA156" i="5"/>
  <c r="CX156" i="5"/>
  <c r="CH156" i="5"/>
  <c r="CG156" i="5"/>
  <c r="CF156" i="5"/>
  <c r="CD156" i="5"/>
  <c r="CE156" i="5" s="1"/>
  <c r="CC156" i="5"/>
  <c r="CB156" i="5"/>
  <c r="CA156" i="5"/>
  <c r="BZ156" i="5"/>
  <c r="BY156" i="5"/>
  <c r="BX156" i="5"/>
  <c r="BW156" i="5"/>
  <c r="BV156" i="5"/>
  <c r="BU156" i="5"/>
  <c r="BT156" i="5"/>
  <c r="BS156" i="5"/>
  <c r="BR156" i="5"/>
  <c r="BQ156" i="5"/>
  <c r="BP156" i="5"/>
  <c r="BO156" i="5"/>
  <c r="BN156" i="5"/>
  <c r="BM156" i="5"/>
  <c r="BL156" i="5"/>
  <c r="BK156" i="5"/>
  <c r="BJ156" i="5"/>
  <c r="BI156" i="5"/>
  <c r="BH156" i="5"/>
  <c r="BG156" i="5"/>
  <c r="BF156" i="5"/>
  <c r="BE156" i="5"/>
  <c r="BD156" i="5"/>
  <c r="BC156" i="5"/>
  <c r="BB156" i="5"/>
  <c r="BA156" i="5"/>
  <c r="AZ156" i="5"/>
  <c r="AX156" i="5"/>
  <c r="AY156" i="5" s="1"/>
  <c r="AW156" i="5"/>
  <c r="AV156" i="5"/>
  <c r="AU156" i="5"/>
  <c r="AT156" i="5"/>
  <c r="AS156" i="5"/>
  <c r="AR156" i="5"/>
  <c r="DH155" i="5"/>
  <c r="DG155" i="5"/>
  <c r="DA155" i="5"/>
  <c r="CX155" i="5"/>
  <c r="CH155" i="5"/>
  <c r="CG155" i="5"/>
  <c r="CF155" i="5"/>
  <c r="CD155" i="5"/>
  <c r="CE155" i="5" s="1"/>
  <c r="CC155" i="5"/>
  <c r="CB155" i="5"/>
  <c r="CA155" i="5"/>
  <c r="BZ155" i="5"/>
  <c r="BY155" i="5"/>
  <c r="BX155" i="5"/>
  <c r="BW155" i="5"/>
  <c r="BV155" i="5"/>
  <c r="BU155" i="5"/>
  <c r="BT155" i="5"/>
  <c r="BS155" i="5"/>
  <c r="BR155" i="5"/>
  <c r="BQ155" i="5"/>
  <c r="BP155" i="5"/>
  <c r="BO155" i="5"/>
  <c r="BN155" i="5"/>
  <c r="BM155" i="5"/>
  <c r="BL155" i="5"/>
  <c r="BK155" i="5"/>
  <c r="BJ155" i="5"/>
  <c r="BI155" i="5"/>
  <c r="BH155" i="5"/>
  <c r="BG155" i="5"/>
  <c r="BF155" i="5"/>
  <c r="BE155" i="5"/>
  <c r="BD155" i="5"/>
  <c r="BC155" i="5"/>
  <c r="BB155" i="5"/>
  <c r="BA155" i="5"/>
  <c r="AZ155" i="5"/>
  <c r="AX155" i="5"/>
  <c r="AY155" i="5" s="1"/>
  <c r="AW155" i="5"/>
  <c r="AV155" i="5"/>
  <c r="AU155" i="5"/>
  <c r="AT155" i="5"/>
  <c r="AS155" i="5"/>
  <c r="AR155" i="5"/>
  <c r="DH154" i="5"/>
  <c r="DG154" i="5"/>
  <c r="DA154" i="5"/>
  <c r="CX154" i="5"/>
  <c r="CH154" i="5"/>
  <c r="CG154" i="5"/>
  <c r="CF154" i="5"/>
  <c r="CD154" i="5"/>
  <c r="CE154" i="5" s="1"/>
  <c r="CC154" i="5"/>
  <c r="CB154" i="5"/>
  <c r="CA154" i="5"/>
  <c r="BZ154" i="5"/>
  <c r="BY154" i="5"/>
  <c r="BX154" i="5"/>
  <c r="BW154" i="5"/>
  <c r="BV154" i="5"/>
  <c r="BU154" i="5"/>
  <c r="BT154" i="5"/>
  <c r="BS154" i="5"/>
  <c r="BR154" i="5"/>
  <c r="BQ154" i="5"/>
  <c r="BP154" i="5"/>
  <c r="BO154" i="5"/>
  <c r="BN154" i="5"/>
  <c r="BM154" i="5"/>
  <c r="BL154" i="5"/>
  <c r="BK154" i="5"/>
  <c r="BJ154" i="5"/>
  <c r="BI154" i="5"/>
  <c r="BH154" i="5"/>
  <c r="BG154" i="5"/>
  <c r="BF154" i="5"/>
  <c r="BE154" i="5"/>
  <c r="BD154" i="5"/>
  <c r="BC154" i="5"/>
  <c r="BB154" i="5"/>
  <c r="BA154" i="5"/>
  <c r="AZ154" i="5"/>
  <c r="AX154" i="5"/>
  <c r="AY154" i="5" s="1"/>
  <c r="AW154" i="5"/>
  <c r="AV154" i="5"/>
  <c r="AU154" i="5"/>
  <c r="AT154" i="5"/>
  <c r="AS154" i="5"/>
  <c r="AR154" i="5"/>
  <c r="DH153" i="5"/>
  <c r="DG153" i="5"/>
  <c r="DA153" i="5"/>
  <c r="CX153" i="5"/>
  <c r="CH153" i="5"/>
  <c r="CG153" i="5"/>
  <c r="CF153" i="5"/>
  <c r="CD153" i="5"/>
  <c r="CE153" i="5" s="1"/>
  <c r="CC153" i="5"/>
  <c r="CB153" i="5"/>
  <c r="CA153" i="5"/>
  <c r="BZ153" i="5"/>
  <c r="BY153" i="5"/>
  <c r="BX153" i="5"/>
  <c r="BW153" i="5"/>
  <c r="BV153" i="5"/>
  <c r="BU153" i="5"/>
  <c r="BT153" i="5"/>
  <c r="BS153" i="5"/>
  <c r="BR153" i="5"/>
  <c r="BQ153" i="5"/>
  <c r="BP153" i="5"/>
  <c r="BO153" i="5"/>
  <c r="BN153" i="5"/>
  <c r="BM153" i="5"/>
  <c r="BL153" i="5"/>
  <c r="BK153" i="5"/>
  <c r="BJ153" i="5"/>
  <c r="BI153" i="5"/>
  <c r="BH153" i="5"/>
  <c r="BG153" i="5"/>
  <c r="BF153" i="5"/>
  <c r="BE153" i="5"/>
  <c r="BD153" i="5"/>
  <c r="BC153" i="5"/>
  <c r="BB153" i="5"/>
  <c r="BA153" i="5"/>
  <c r="AZ153" i="5"/>
  <c r="AX153" i="5"/>
  <c r="AY153" i="5" s="1"/>
  <c r="AW153" i="5"/>
  <c r="AV153" i="5"/>
  <c r="AU153" i="5"/>
  <c r="AT153" i="5"/>
  <c r="AS153" i="5"/>
  <c r="AR153" i="5"/>
  <c r="DH152" i="5"/>
  <c r="DG152" i="5"/>
  <c r="DA152" i="5"/>
  <c r="CX152" i="5"/>
  <c r="CH152" i="5"/>
  <c r="CG152" i="5"/>
  <c r="CF152" i="5"/>
  <c r="CD152" i="5"/>
  <c r="CE152" i="5" s="1"/>
  <c r="CC152" i="5"/>
  <c r="CB152" i="5"/>
  <c r="CA152" i="5"/>
  <c r="BZ152" i="5"/>
  <c r="BY152" i="5"/>
  <c r="BX152" i="5"/>
  <c r="BW152" i="5"/>
  <c r="BV152" i="5"/>
  <c r="BU152" i="5"/>
  <c r="BT152" i="5"/>
  <c r="BS152" i="5"/>
  <c r="BR152" i="5"/>
  <c r="BQ152" i="5"/>
  <c r="BP152" i="5"/>
  <c r="BO152" i="5"/>
  <c r="BN152" i="5"/>
  <c r="BM152" i="5"/>
  <c r="BL152" i="5"/>
  <c r="BK152" i="5"/>
  <c r="BJ152" i="5"/>
  <c r="BI152" i="5"/>
  <c r="BH152" i="5"/>
  <c r="BG152" i="5"/>
  <c r="BF152" i="5"/>
  <c r="BE152" i="5"/>
  <c r="BD152" i="5"/>
  <c r="BC152" i="5"/>
  <c r="BB152" i="5"/>
  <c r="BA152" i="5"/>
  <c r="AZ152" i="5"/>
  <c r="AX152" i="5"/>
  <c r="AY152" i="5" s="1"/>
  <c r="AW152" i="5"/>
  <c r="AV152" i="5"/>
  <c r="AU152" i="5"/>
  <c r="AT152" i="5"/>
  <c r="AS152" i="5"/>
  <c r="AR152" i="5"/>
  <c r="DH151" i="5"/>
  <c r="DG151" i="5"/>
  <c r="DA151" i="5"/>
  <c r="CX151" i="5"/>
  <c r="CH151" i="5"/>
  <c r="CG151" i="5"/>
  <c r="CF151" i="5"/>
  <c r="CD151" i="5"/>
  <c r="CE151" i="5" s="1"/>
  <c r="CC151" i="5"/>
  <c r="CB151" i="5"/>
  <c r="CA151" i="5"/>
  <c r="BZ151" i="5"/>
  <c r="BY151" i="5"/>
  <c r="BX151" i="5"/>
  <c r="BW151" i="5"/>
  <c r="BV151" i="5"/>
  <c r="BU151" i="5"/>
  <c r="BT151" i="5"/>
  <c r="BS151" i="5"/>
  <c r="BR151" i="5"/>
  <c r="BQ151" i="5"/>
  <c r="BP151" i="5"/>
  <c r="BO151" i="5"/>
  <c r="BN151" i="5"/>
  <c r="BM151" i="5"/>
  <c r="BL151" i="5"/>
  <c r="BK151" i="5"/>
  <c r="BJ151" i="5"/>
  <c r="BI151" i="5"/>
  <c r="BH151" i="5"/>
  <c r="BG151" i="5"/>
  <c r="BF151" i="5"/>
  <c r="BE151" i="5"/>
  <c r="BD151" i="5"/>
  <c r="BC151" i="5"/>
  <c r="BB151" i="5"/>
  <c r="BA151" i="5"/>
  <c r="AZ151" i="5"/>
  <c r="AX151" i="5"/>
  <c r="AY151" i="5" s="1"/>
  <c r="AW151" i="5"/>
  <c r="AV151" i="5"/>
  <c r="AU151" i="5"/>
  <c r="AT151" i="5"/>
  <c r="AS151" i="5"/>
  <c r="AR151" i="5"/>
  <c r="DH150" i="5"/>
  <c r="DG150" i="5"/>
  <c r="DA150" i="5"/>
  <c r="CX150" i="5"/>
  <c r="CH150" i="5"/>
  <c r="CG150" i="5"/>
  <c r="CF150" i="5"/>
  <c r="CD150" i="5"/>
  <c r="CE150" i="5" s="1"/>
  <c r="CC150" i="5"/>
  <c r="CB150" i="5"/>
  <c r="CA150" i="5"/>
  <c r="BZ150" i="5"/>
  <c r="BY150" i="5"/>
  <c r="BX150" i="5"/>
  <c r="BW150" i="5"/>
  <c r="BV150" i="5"/>
  <c r="BU150" i="5"/>
  <c r="BT150" i="5"/>
  <c r="BS150" i="5"/>
  <c r="BR150" i="5"/>
  <c r="BQ150" i="5"/>
  <c r="BP150" i="5"/>
  <c r="BO150" i="5"/>
  <c r="BN150" i="5"/>
  <c r="BM150" i="5"/>
  <c r="BL150" i="5"/>
  <c r="BK150" i="5"/>
  <c r="BJ150" i="5"/>
  <c r="BI150" i="5"/>
  <c r="BH150" i="5"/>
  <c r="BG150" i="5"/>
  <c r="BF150" i="5"/>
  <c r="BE150" i="5"/>
  <c r="BD150" i="5"/>
  <c r="BC150" i="5"/>
  <c r="BB150" i="5"/>
  <c r="BA150" i="5"/>
  <c r="AZ150" i="5"/>
  <c r="AX150" i="5"/>
  <c r="AY150" i="5" s="1"/>
  <c r="AW150" i="5"/>
  <c r="AV150" i="5"/>
  <c r="AU150" i="5"/>
  <c r="AT150" i="5"/>
  <c r="AS150" i="5"/>
  <c r="AR150" i="5"/>
  <c r="DH149" i="5"/>
  <c r="DG149" i="5"/>
  <c r="DA149" i="5"/>
  <c r="CX149" i="5"/>
  <c r="CH149" i="5"/>
  <c r="CG149" i="5"/>
  <c r="CF149" i="5"/>
  <c r="CD149" i="5"/>
  <c r="CE149" i="5" s="1"/>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X149" i="5"/>
  <c r="AY149" i="5" s="1"/>
  <c r="AW149" i="5"/>
  <c r="AV149" i="5"/>
  <c r="AU149" i="5"/>
  <c r="AT149" i="5"/>
  <c r="AS149" i="5"/>
  <c r="AR149" i="5"/>
  <c r="DH148" i="5"/>
  <c r="DG148" i="5"/>
  <c r="DA148" i="5"/>
  <c r="CX148" i="5"/>
  <c r="CH148" i="5"/>
  <c r="CG148" i="5"/>
  <c r="CF148" i="5"/>
  <c r="CD148" i="5"/>
  <c r="CE148" i="5" s="1"/>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X148" i="5"/>
  <c r="AY148" i="5" s="1"/>
  <c r="AW148" i="5"/>
  <c r="AV148" i="5"/>
  <c r="AU148" i="5"/>
  <c r="AT148" i="5"/>
  <c r="AS148" i="5"/>
  <c r="AR148" i="5"/>
  <c r="DH147" i="5"/>
  <c r="DG147" i="5"/>
  <c r="DA147" i="5"/>
  <c r="CX147" i="5"/>
  <c r="CH147" i="5"/>
  <c r="CG147" i="5"/>
  <c r="CF147" i="5"/>
  <c r="CD147" i="5"/>
  <c r="CE147" i="5" s="1"/>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X147" i="5"/>
  <c r="AY147" i="5" s="1"/>
  <c r="AW147" i="5"/>
  <c r="AV147" i="5"/>
  <c r="AU147" i="5"/>
  <c r="AT147" i="5"/>
  <c r="AS147" i="5"/>
  <c r="AR147" i="5"/>
  <c r="DH146" i="5"/>
  <c r="DG146" i="5"/>
  <c r="DA146" i="5"/>
  <c r="CX146" i="5"/>
  <c r="CH146" i="5"/>
  <c r="CG146" i="5"/>
  <c r="CF146" i="5"/>
  <c r="CD146" i="5"/>
  <c r="CE146" i="5" s="1"/>
  <c r="CC146" i="5"/>
  <c r="CB146" i="5"/>
  <c r="CA146" i="5"/>
  <c r="BZ146" i="5"/>
  <c r="BY146" i="5"/>
  <c r="BX146" i="5"/>
  <c r="BW146" i="5"/>
  <c r="BV146" i="5"/>
  <c r="BU146" i="5"/>
  <c r="BT146" i="5"/>
  <c r="BS146" i="5"/>
  <c r="BR146" i="5"/>
  <c r="BQ146" i="5"/>
  <c r="BP146" i="5"/>
  <c r="BO146" i="5"/>
  <c r="BN146" i="5"/>
  <c r="BM146" i="5"/>
  <c r="BL146" i="5"/>
  <c r="BK146" i="5"/>
  <c r="BJ146" i="5"/>
  <c r="BI146" i="5"/>
  <c r="BH146" i="5"/>
  <c r="BG146" i="5"/>
  <c r="BF146" i="5"/>
  <c r="BE146" i="5"/>
  <c r="BD146" i="5"/>
  <c r="BC146" i="5"/>
  <c r="BB146" i="5"/>
  <c r="BA146" i="5"/>
  <c r="AZ146" i="5"/>
  <c r="AX146" i="5"/>
  <c r="AY146" i="5" s="1"/>
  <c r="AW146" i="5"/>
  <c r="AV146" i="5"/>
  <c r="AU146" i="5"/>
  <c r="AT146" i="5"/>
  <c r="AS146" i="5"/>
  <c r="AR146" i="5"/>
  <c r="DH145" i="5"/>
  <c r="DG145" i="5"/>
  <c r="DA145" i="5"/>
  <c r="CX145" i="5"/>
  <c r="CH145" i="5"/>
  <c r="CG145" i="5"/>
  <c r="CF145" i="5"/>
  <c r="CD145" i="5"/>
  <c r="CE145" i="5" s="1"/>
  <c r="CC145" i="5"/>
  <c r="CB145" i="5"/>
  <c r="CA145" i="5"/>
  <c r="BZ145" i="5"/>
  <c r="BY145" i="5"/>
  <c r="BX145" i="5"/>
  <c r="BW145" i="5"/>
  <c r="BV145" i="5"/>
  <c r="BU145" i="5"/>
  <c r="BT145" i="5"/>
  <c r="BS145" i="5"/>
  <c r="BR145" i="5"/>
  <c r="BQ145" i="5"/>
  <c r="BP145" i="5"/>
  <c r="BO145" i="5"/>
  <c r="BN145" i="5"/>
  <c r="BM145" i="5"/>
  <c r="BL145" i="5"/>
  <c r="BK145" i="5"/>
  <c r="BJ145" i="5"/>
  <c r="BI145" i="5"/>
  <c r="BH145" i="5"/>
  <c r="BG145" i="5"/>
  <c r="BF145" i="5"/>
  <c r="BE145" i="5"/>
  <c r="BD145" i="5"/>
  <c r="BC145" i="5"/>
  <c r="BB145" i="5"/>
  <c r="BA145" i="5"/>
  <c r="AZ145" i="5"/>
  <c r="AX145" i="5"/>
  <c r="AY145" i="5" s="1"/>
  <c r="AW145" i="5"/>
  <c r="AV145" i="5"/>
  <c r="AU145" i="5"/>
  <c r="AT145" i="5"/>
  <c r="AS145" i="5"/>
  <c r="AR145" i="5"/>
  <c r="DH144" i="5"/>
  <c r="DG144" i="5"/>
  <c r="DA144" i="5"/>
  <c r="CX144" i="5"/>
  <c r="CH144" i="5"/>
  <c r="CG144" i="5"/>
  <c r="CF144" i="5"/>
  <c r="CD144" i="5"/>
  <c r="CE144" i="5" s="1"/>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X144" i="5"/>
  <c r="AY144" i="5" s="1"/>
  <c r="AW144" i="5"/>
  <c r="AV144" i="5"/>
  <c r="AU144" i="5"/>
  <c r="AT144" i="5"/>
  <c r="AS144" i="5"/>
  <c r="AR144" i="5"/>
  <c r="DH143" i="5"/>
  <c r="DG143" i="5"/>
  <c r="DA143" i="5"/>
  <c r="CX143" i="5"/>
  <c r="CH143" i="5"/>
  <c r="CG143" i="5"/>
  <c r="CF143" i="5"/>
  <c r="CD143" i="5"/>
  <c r="CE143" i="5" s="1"/>
  <c r="CC143" i="5"/>
  <c r="CB143" i="5"/>
  <c r="CA143" i="5"/>
  <c r="BZ143" i="5"/>
  <c r="BY143" i="5"/>
  <c r="BX143" i="5"/>
  <c r="BW143" i="5"/>
  <c r="BV143" i="5"/>
  <c r="BU143" i="5"/>
  <c r="BT143" i="5"/>
  <c r="BS143" i="5"/>
  <c r="BR143" i="5"/>
  <c r="BQ143" i="5"/>
  <c r="BP143" i="5"/>
  <c r="BO143" i="5"/>
  <c r="BN143" i="5"/>
  <c r="BM143" i="5"/>
  <c r="BL143" i="5"/>
  <c r="BK143" i="5"/>
  <c r="BJ143" i="5"/>
  <c r="BI143" i="5"/>
  <c r="BH143" i="5"/>
  <c r="BG143" i="5"/>
  <c r="BF143" i="5"/>
  <c r="BE143" i="5"/>
  <c r="BD143" i="5"/>
  <c r="BC143" i="5"/>
  <c r="BB143" i="5"/>
  <c r="BA143" i="5"/>
  <c r="AZ143" i="5"/>
  <c r="AX143" i="5"/>
  <c r="AY143" i="5" s="1"/>
  <c r="AW143" i="5"/>
  <c r="AV143" i="5"/>
  <c r="AU143" i="5"/>
  <c r="AT143" i="5"/>
  <c r="AS143" i="5"/>
  <c r="AR143" i="5"/>
  <c r="DH142" i="5"/>
  <c r="DG142" i="5"/>
  <c r="DA142" i="5"/>
  <c r="CX142" i="5"/>
  <c r="CH142" i="5"/>
  <c r="CG142" i="5"/>
  <c r="CF142" i="5"/>
  <c r="CD142" i="5"/>
  <c r="CE142" i="5" s="1"/>
  <c r="CC142" i="5"/>
  <c r="CB142" i="5"/>
  <c r="CA142" i="5"/>
  <c r="BZ142" i="5"/>
  <c r="BY142" i="5"/>
  <c r="BX142" i="5"/>
  <c r="BW142" i="5"/>
  <c r="BV142" i="5"/>
  <c r="BU142" i="5"/>
  <c r="BT142" i="5"/>
  <c r="BS142" i="5"/>
  <c r="BR142" i="5"/>
  <c r="BQ142" i="5"/>
  <c r="BP142" i="5"/>
  <c r="BO142" i="5"/>
  <c r="BN142" i="5"/>
  <c r="BM142" i="5"/>
  <c r="BL142" i="5"/>
  <c r="BK142" i="5"/>
  <c r="BJ142" i="5"/>
  <c r="BI142" i="5"/>
  <c r="BH142" i="5"/>
  <c r="BG142" i="5"/>
  <c r="BF142" i="5"/>
  <c r="BE142" i="5"/>
  <c r="BD142" i="5"/>
  <c r="BC142" i="5"/>
  <c r="BB142" i="5"/>
  <c r="BA142" i="5"/>
  <c r="AZ142" i="5"/>
  <c r="AX142" i="5"/>
  <c r="AY142" i="5" s="1"/>
  <c r="AW142" i="5"/>
  <c r="AV142" i="5"/>
  <c r="AU142" i="5"/>
  <c r="AT142" i="5"/>
  <c r="AS142" i="5"/>
  <c r="AR142" i="5"/>
  <c r="DH141" i="5"/>
  <c r="DG141" i="5"/>
  <c r="DA141" i="5"/>
  <c r="CX141" i="5"/>
  <c r="CH141" i="5"/>
  <c r="CG141" i="5"/>
  <c r="CF141" i="5"/>
  <c r="CD141" i="5"/>
  <c r="CE141" i="5" s="1"/>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X141" i="5"/>
  <c r="AY141" i="5" s="1"/>
  <c r="AW141" i="5"/>
  <c r="AV141" i="5"/>
  <c r="AU141" i="5"/>
  <c r="AT141" i="5"/>
  <c r="AS141" i="5"/>
  <c r="AR141" i="5"/>
  <c r="DH140" i="5"/>
  <c r="DG140" i="5"/>
  <c r="DA140" i="5"/>
  <c r="CX140" i="5"/>
  <c r="CH140" i="5"/>
  <c r="CG140" i="5"/>
  <c r="CF140" i="5"/>
  <c r="CD140" i="5"/>
  <c r="CE140" i="5" s="1"/>
  <c r="CC140" i="5"/>
  <c r="CB140" i="5"/>
  <c r="CA140" i="5"/>
  <c r="BZ140" i="5"/>
  <c r="BY140" i="5"/>
  <c r="BX140" i="5"/>
  <c r="BW140" i="5"/>
  <c r="BV140" i="5"/>
  <c r="BU140" i="5"/>
  <c r="BT140" i="5"/>
  <c r="BS140" i="5"/>
  <c r="BR140" i="5"/>
  <c r="BQ140" i="5"/>
  <c r="BP140" i="5"/>
  <c r="BO140" i="5"/>
  <c r="BN140" i="5"/>
  <c r="BM140" i="5"/>
  <c r="BL140" i="5"/>
  <c r="BK140" i="5"/>
  <c r="BJ140" i="5"/>
  <c r="BI140" i="5"/>
  <c r="BH140" i="5"/>
  <c r="BG140" i="5"/>
  <c r="BF140" i="5"/>
  <c r="BE140" i="5"/>
  <c r="BD140" i="5"/>
  <c r="BC140" i="5"/>
  <c r="BB140" i="5"/>
  <c r="BA140" i="5"/>
  <c r="AZ140" i="5"/>
  <c r="AX140" i="5"/>
  <c r="AY140" i="5" s="1"/>
  <c r="AW140" i="5"/>
  <c r="AV140" i="5"/>
  <c r="AU140" i="5"/>
  <c r="AT140" i="5"/>
  <c r="AS140" i="5"/>
  <c r="AR140" i="5"/>
  <c r="DH139" i="5"/>
  <c r="DG139" i="5"/>
  <c r="DA139" i="5"/>
  <c r="CX139" i="5"/>
  <c r="CH139" i="5"/>
  <c r="CG139" i="5"/>
  <c r="CF139" i="5"/>
  <c r="CD139" i="5"/>
  <c r="CE139" i="5" s="1"/>
  <c r="CC139" i="5"/>
  <c r="CB139" i="5"/>
  <c r="CA139" i="5"/>
  <c r="BZ139" i="5"/>
  <c r="BY139" i="5"/>
  <c r="BX139" i="5"/>
  <c r="BW139" i="5"/>
  <c r="BV139" i="5"/>
  <c r="BU139" i="5"/>
  <c r="BT139" i="5"/>
  <c r="BS139" i="5"/>
  <c r="BR139" i="5"/>
  <c r="BQ139" i="5"/>
  <c r="BP139" i="5"/>
  <c r="BO139" i="5"/>
  <c r="BN139" i="5"/>
  <c r="BM139" i="5"/>
  <c r="BL139" i="5"/>
  <c r="BK139" i="5"/>
  <c r="BJ139" i="5"/>
  <c r="BI139" i="5"/>
  <c r="BH139" i="5"/>
  <c r="BG139" i="5"/>
  <c r="BF139" i="5"/>
  <c r="BE139" i="5"/>
  <c r="BD139" i="5"/>
  <c r="BC139" i="5"/>
  <c r="BB139" i="5"/>
  <c r="BA139" i="5"/>
  <c r="AZ139" i="5"/>
  <c r="AX139" i="5"/>
  <c r="AY139" i="5" s="1"/>
  <c r="AW139" i="5"/>
  <c r="AV139" i="5"/>
  <c r="AU139" i="5"/>
  <c r="AT139" i="5"/>
  <c r="AS139" i="5"/>
  <c r="AR139" i="5"/>
  <c r="DH138" i="5"/>
  <c r="DG138" i="5"/>
  <c r="DA138" i="5"/>
  <c r="CX138" i="5"/>
  <c r="CH138" i="5"/>
  <c r="CG138" i="5"/>
  <c r="CF138" i="5"/>
  <c r="CD138" i="5"/>
  <c r="CE138" i="5" s="1"/>
  <c r="CC138" i="5"/>
  <c r="CB138" i="5"/>
  <c r="CA138" i="5"/>
  <c r="BZ138" i="5"/>
  <c r="BY138" i="5"/>
  <c r="BX138" i="5"/>
  <c r="BW138" i="5"/>
  <c r="BV138" i="5"/>
  <c r="BU138" i="5"/>
  <c r="BT138" i="5"/>
  <c r="BS138" i="5"/>
  <c r="BR138" i="5"/>
  <c r="BQ138" i="5"/>
  <c r="BP138" i="5"/>
  <c r="BO138" i="5"/>
  <c r="BN138" i="5"/>
  <c r="BM138" i="5"/>
  <c r="BL138" i="5"/>
  <c r="BK138" i="5"/>
  <c r="BJ138" i="5"/>
  <c r="BI138" i="5"/>
  <c r="BH138" i="5"/>
  <c r="BG138" i="5"/>
  <c r="BF138" i="5"/>
  <c r="BE138" i="5"/>
  <c r="BD138" i="5"/>
  <c r="BC138" i="5"/>
  <c r="BB138" i="5"/>
  <c r="BA138" i="5"/>
  <c r="AZ138" i="5"/>
  <c r="AX138" i="5"/>
  <c r="AY138" i="5" s="1"/>
  <c r="AW138" i="5"/>
  <c r="AV138" i="5"/>
  <c r="AU138" i="5"/>
  <c r="AT138" i="5"/>
  <c r="AS138" i="5"/>
  <c r="AR138" i="5"/>
  <c r="DH137" i="5"/>
  <c r="DG137" i="5"/>
  <c r="DA137" i="5"/>
  <c r="CX137" i="5"/>
  <c r="CG137" i="5"/>
  <c r="CF137" i="5"/>
  <c r="CD137" i="5"/>
  <c r="CE137" i="5" s="1"/>
  <c r="CK137" i="5" s="1"/>
  <c r="CC137" i="5"/>
  <c r="CB137" i="5"/>
  <c r="CA137" i="5"/>
  <c r="BZ137" i="5"/>
  <c r="BY137" i="5"/>
  <c r="BX137" i="5"/>
  <c r="BW137" i="5"/>
  <c r="BV137" i="5"/>
  <c r="BU137" i="5"/>
  <c r="BT137" i="5"/>
  <c r="BS137" i="5"/>
  <c r="BR137" i="5"/>
  <c r="BQ137" i="5"/>
  <c r="BP137" i="5"/>
  <c r="BO137" i="5"/>
  <c r="BN137" i="5"/>
  <c r="BM137" i="5"/>
  <c r="BL137" i="5"/>
  <c r="BK137" i="5"/>
  <c r="BJ137" i="5"/>
  <c r="BI137" i="5"/>
  <c r="BH137" i="5"/>
  <c r="BG137" i="5"/>
  <c r="BF137" i="5"/>
  <c r="BE137" i="5"/>
  <c r="BD137" i="5"/>
  <c r="BC137" i="5"/>
  <c r="BB137" i="5"/>
  <c r="BA137" i="5"/>
  <c r="AZ137" i="5"/>
  <c r="AX137" i="5"/>
  <c r="AY137" i="5" s="1"/>
  <c r="AW137" i="5"/>
  <c r="AV137" i="5"/>
  <c r="AU137" i="5"/>
  <c r="AT137" i="5"/>
  <c r="AS137" i="5"/>
  <c r="AR137" i="5"/>
  <c r="DH136" i="5"/>
  <c r="DG136" i="5"/>
  <c r="DA136" i="5"/>
  <c r="CX136" i="5"/>
  <c r="CH136" i="5"/>
  <c r="CG136" i="5"/>
  <c r="CF136" i="5"/>
  <c r="CD136" i="5"/>
  <c r="CE136" i="5" s="1"/>
  <c r="CK136" i="5" s="1"/>
  <c r="CC136" i="5"/>
  <c r="CB136" i="5"/>
  <c r="CA136" i="5"/>
  <c r="BZ136" i="5"/>
  <c r="BY136" i="5"/>
  <c r="BX136" i="5"/>
  <c r="BW136" i="5"/>
  <c r="BV136" i="5"/>
  <c r="BU136" i="5"/>
  <c r="BT136" i="5"/>
  <c r="BS136" i="5"/>
  <c r="BR136" i="5"/>
  <c r="BQ136" i="5"/>
  <c r="BP136" i="5"/>
  <c r="BO136" i="5"/>
  <c r="BN136" i="5"/>
  <c r="BM136" i="5"/>
  <c r="BL136" i="5"/>
  <c r="BK136" i="5"/>
  <c r="BJ136" i="5"/>
  <c r="BI136" i="5"/>
  <c r="BH136" i="5"/>
  <c r="BG136" i="5"/>
  <c r="BF136" i="5"/>
  <c r="BE136" i="5"/>
  <c r="BD136" i="5"/>
  <c r="BC136" i="5"/>
  <c r="BB136" i="5"/>
  <c r="BA136" i="5"/>
  <c r="AZ136" i="5"/>
  <c r="AX136" i="5"/>
  <c r="AY136" i="5" s="1"/>
  <c r="AW136" i="5"/>
  <c r="AV136" i="5"/>
  <c r="AU136" i="5"/>
  <c r="AT136" i="5"/>
  <c r="AS136" i="5"/>
  <c r="AR136" i="5"/>
  <c r="DH135" i="5"/>
  <c r="DG135" i="5"/>
  <c r="DA135" i="5"/>
  <c r="CX135" i="5"/>
  <c r="CH135" i="5"/>
  <c r="CG135" i="5"/>
  <c r="CF135" i="5"/>
  <c r="CD135" i="5"/>
  <c r="CE135" i="5" s="1"/>
  <c r="CI135" i="5" s="1"/>
  <c r="CJ135" i="5" s="1"/>
  <c r="CL135" i="5" s="1"/>
  <c r="CM135" i="5" s="1"/>
  <c r="CC135" i="5"/>
  <c r="CB135" i="5"/>
  <c r="CA135" i="5"/>
  <c r="BZ135" i="5"/>
  <c r="BY135" i="5"/>
  <c r="BX135" i="5"/>
  <c r="BW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X135" i="5"/>
  <c r="AY135" i="5" s="1"/>
  <c r="AW135" i="5"/>
  <c r="AV135" i="5"/>
  <c r="AU135" i="5"/>
  <c r="CK135" i="5" s="1"/>
  <c r="AT135" i="5"/>
  <c r="AS135" i="5"/>
  <c r="AR135" i="5"/>
  <c r="DH134" i="5"/>
  <c r="DG134" i="5"/>
  <c r="DA134" i="5"/>
  <c r="CX134" i="5"/>
  <c r="CK134" i="5"/>
  <c r="CG134" i="5"/>
  <c r="CF134" i="5"/>
  <c r="CD134" i="5"/>
  <c r="CE134" i="5" s="1"/>
  <c r="CC134" i="5"/>
  <c r="CB134" i="5"/>
  <c r="CA134" i="5"/>
  <c r="BZ134" i="5"/>
  <c r="BY134" i="5"/>
  <c r="BX134" i="5"/>
  <c r="BW134" i="5"/>
  <c r="BV134" i="5"/>
  <c r="BU134" i="5"/>
  <c r="BT134" i="5"/>
  <c r="BS134" i="5"/>
  <c r="BR134" i="5"/>
  <c r="BQ134" i="5"/>
  <c r="BP134" i="5"/>
  <c r="BO134" i="5"/>
  <c r="BN134" i="5"/>
  <c r="BM134" i="5"/>
  <c r="BL134" i="5"/>
  <c r="BK134" i="5"/>
  <c r="BJ134" i="5"/>
  <c r="BI134" i="5"/>
  <c r="BH134" i="5"/>
  <c r="BG134" i="5"/>
  <c r="BF134" i="5"/>
  <c r="BE134" i="5"/>
  <c r="BD134" i="5"/>
  <c r="BC134" i="5"/>
  <c r="BB134" i="5"/>
  <c r="BA134" i="5"/>
  <c r="AZ134" i="5"/>
  <c r="AX134" i="5"/>
  <c r="AY134" i="5" s="1"/>
  <c r="AW134" i="5"/>
  <c r="AV134" i="5"/>
  <c r="AU134" i="5"/>
  <c r="AT134" i="5"/>
  <c r="AS134" i="5"/>
  <c r="AR134" i="5"/>
  <c r="DH133" i="5"/>
  <c r="DG133" i="5"/>
  <c r="DA133" i="5"/>
  <c r="CX133" i="5"/>
  <c r="CK133" i="5"/>
  <c r="CI133" i="5"/>
  <c r="CJ133" i="5" s="1"/>
  <c r="CL133" i="5" s="1"/>
  <c r="CM133" i="5" s="1"/>
  <c r="CH133" i="5"/>
  <c r="CG133" i="5"/>
  <c r="CF133" i="5"/>
  <c r="CD133" i="5"/>
  <c r="CE133" i="5" s="1"/>
  <c r="CC133" i="5"/>
  <c r="CB133" i="5"/>
  <c r="CA133" i="5"/>
  <c r="BZ133" i="5"/>
  <c r="BY133" i="5"/>
  <c r="BX133" i="5"/>
  <c r="BW133" i="5"/>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X133" i="5"/>
  <c r="AY133" i="5" s="1"/>
  <c r="AW133" i="5"/>
  <c r="AV133" i="5"/>
  <c r="AU133" i="5"/>
  <c r="AT133" i="5"/>
  <c r="AS133" i="5"/>
  <c r="AR133" i="5"/>
  <c r="DH132" i="5"/>
  <c r="DG132" i="5"/>
  <c r="DA132" i="5"/>
  <c r="CX132" i="5"/>
  <c r="CH132" i="5"/>
  <c r="CI132" i="5" s="1"/>
  <c r="CJ132" i="5" s="1"/>
  <c r="CG132" i="5"/>
  <c r="CF132" i="5"/>
  <c r="CD132" i="5"/>
  <c r="CE132" i="5" s="1"/>
  <c r="CC132" i="5"/>
  <c r="CB132" i="5"/>
  <c r="CA132" i="5"/>
  <c r="BZ132" i="5"/>
  <c r="BY132" i="5"/>
  <c r="BX132" i="5"/>
  <c r="BW132" i="5"/>
  <c r="BV132" i="5"/>
  <c r="BU132" i="5"/>
  <c r="BT132" i="5"/>
  <c r="BS132" i="5"/>
  <c r="BR132" i="5"/>
  <c r="BQ132" i="5"/>
  <c r="BP132" i="5"/>
  <c r="BO132" i="5"/>
  <c r="BN132" i="5"/>
  <c r="BM132" i="5"/>
  <c r="BL132" i="5"/>
  <c r="BK132" i="5"/>
  <c r="BJ132" i="5"/>
  <c r="BI132" i="5"/>
  <c r="BH132" i="5"/>
  <c r="BG132" i="5"/>
  <c r="BF132" i="5"/>
  <c r="BE132" i="5"/>
  <c r="BD132" i="5"/>
  <c r="BC132" i="5"/>
  <c r="BB132" i="5"/>
  <c r="BA132" i="5"/>
  <c r="AZ132" i="5"/>
  <c r="AX132" i="5"/>
  <c r="AY132" i="5" s="1"/>
  <c r="AW132" i="5"/>
  <c r="AV132" i="5"/>
  <c r="AU132" i="5"/>
  <c r="CK132" i="5" s="1"/>
  <c r="AT132" i="5"/>
  <c r="AS132" i="5"/>
  <c r="AR132" i="5"/>
  <c r="DH131" i="5"/>
  <c r="DG131" i="5"/>
  <c r="DA131" i="5"/>
  <c r="CX131" i="5"/>
  <c r="CH131" i="5"/>
  <c r="CG131" i="5"/>
  <c r="CF131" i="5"/>
  <c r="CD131" i="5"/>
  <c r="CE131" i="5" s="1"/>
  <c r="CC131" i="5"/>
  <c r="CB131" i="5"/>
  <c r="CA131" i="5"/>
  <c r="BZ131" i="5"/>
  <c r="BY131" i="5"/>
  <c r="BX131" i="5"/>
  <c r="BW131" i="5"/>
  <c r="BV131" i="5"/>
  <c r="BU131" i="5"/>
  <c r="BT131" i="5"/>
  <c r="BS131" i="5"/>
  <c r="BR131" i="5"/>
  <c r="BQ131" i="5"/>
  <c r="BP131" i="5"/>
  <c r="BO131" i="5"/>
  <c r="BN131" i="5"/>
  <c r="BM131" i="5"/>
  <c r="BL131" i="5"/>
  <c r="BK131" i="5"/>
  <c r="BJ131" i="5"/>
  <c r="BI131" i="5"/>
  <c r="BH131" i="5"/>
  <c r="BG131" i="5"/>
  <c r="BF131" i="5"/>
  <c r="BE131" i="5"/>
  <c r="BD131" i="5"/>
  <c r="BC131" i="5"/>
  <c r="BB131" i="5"/>
  <c r="BA131" i="5"/>
  <c r="AZ131" i="5"/>
  <c r="AX131" i="5"/>
  <c r="AY131" i="5" s="1"/>
  <c r="AW131" i="5"/>
  <c r="AV131" i="5"/>
  <c r="AU131" i="5"/>
  <c r="AT131" i="5"/>
  <c r="AS131" i="5"/>
  <c r="AR131" i="5"/>
  <c r="DH130" i="5"/>
  <c r="DG130" i="5"/>
  <c r="DA130" i="5"/>
  <c r="CX130" i="5"/>
  <c r="CG130" i="5"/>
  <c r="CF130" i="5"/>
  <c r="CD130" i="5"/>
  <c r="CH130" i="5" s="1"/>
  <c r="CC130" i="5"/>
  <c r="CB130" i="5"/>
  <c r="CA130" i="5"/>
  <c r="BZ130" i="5"/>
  <c r="BY130" i="5"/>
  <c r="BX130" i="5"/>
  <c r="BW130" i="5"/>
  <c r="BV130" i="5"/>
  <c r="BU130" i="5"/>
  <c r="BT130" i="5"/>
  <c r="BS130" i="5"/>
  <c r="BR130" i="5"/>
  <c r="BQ130" i="5"/>
  <c r="BP130" i="5"/>
  <c r="BO130" i="5"/>
  <c r="BN130" i="5"/>
  <c r="BM130" i="5"/>
  <c r="BL130" i="5"/>
  <c r="BK130" i="5"/>
  <c r="BJ130" i="5"/>
  <c r="BI130" i="5"/>
  <c r="BH130" i="5"/>
  <c r="BG130" i="5"/>
  <c r="BF130" i="5"/>
  <c r="BE130" i="5"/>
  <c r="BD130" i="5"/>
  <c r="BC130" i="5"/>
  <c r="BB130" i="5"/>
  <c r="BA130" i="5"/>
  <c r="AZ130" i="5"/>
  <c r="AX130" i="5"/>
  <c r="AY130" i="5" s="1"/>
  <c r="AW130" i="5"/>
  <c r="AV130" i="5"/>
  <c r="AU130" i="5"/>
  <c r="AT130" i="5"/>
  <c r="AS130" i="5"/>
  <c r="AR130" i="5"/>
  <c r="DH129" i="5"/>
  <c r="DG129" i="5"/>
  <c r="DA129" i="5"/>
  <c r="CX129" i="5"/>
  <c r="CG129" i="5"/>
  <c r="CF129" i="5"/>
  <c r="CE129" i="5"/>
  <c r="CD129" i="5"/>
  <c r="CH129" i="5" s="1"/>
  <c r="CC129" i="5"/>
  <c r="CB129" i="5"/>
  <c r="CA129" i="5"/>
  <c r="BZ129" i="5"/>
  <c r="BY129" i="5"/>
  <c r="BX129" i="5"/>
  <c r="BW129" i="5"/>
  <c r="BV129" i="5"/>
  <c r="BU129" i="5"/>
  <c r="BT129" i="5"/>
  <c r="BS129" i="5"/>
  <c r="BR129" i="5"/>
  <c r="BQ129" i="5"/>
  <c r="BP129" i="5"/>
  <c r="BO129" i="5"/>
  <c r="BN129" i="5"/>
  <c r="BM129" i="5"/>
  <c r="BL129" i="5"/>
  <c r="BK129" i="5"/>
  <c r="BJ129" i="5"/>
  <c r="BI129" i="5"/>
  <c r="BH129" i="5"/>
  <c r="BG129" i="5"/>
  <c r="BF129" i="5"/>
  <c r="BE129" i="5"/>
  <c r="BD129" i="5"/>
  <c r="BC129" i="5"/>
  <c r="BB129" i="5"/>
  <c r="BA129" i="5"/>
  <c r="AZ129" i="5"/>
  <c r="AY129" i="5"/>
  <c r="AX129" i="5"/>
  <c r="AW129" i="5"/>
  <c r="AV129" i="5"/>
  <c r="AU129" i="5"/>
  <c r="AT129" i="5"/>
  <c r="AS129" i="5"/>
  <c r="AR129" i="5"/>
  <c r="DH128" i="5"/>
  <c r="DG128" i="5"/>
  <c r="DA128" i="5"/>
  <c r="CX128" i="5"/>
  <c r="CH128" i="5"/>
  <c r="CG128" i="5"/>
  <c r="CF128" i="5"/>
  <c r="CD128" i="5"/>
  <c r="CE128" i="5" s="1"/>
  <c r="CC128" i="5"/>
  <c r="CB128" i="5"/>
  <c r="CA128" i="5"/>
  <c r="BZ128" i="5"/>
  <c r="BY128" i="5"/>
  <c r="BX128" i="5"/>
  <c r="BW128" i="5"/>
  <c r="BV128" i="5"/>
  <c r="BU128" i="5"/>
  <c r="BT128" i="5"/>
  <c r="BS128" i="5"/>
  <c r="BR128" i="5"/>
  <c r="BQ128" i="5"/>
  <c r="BP128" i="5"/>
  <c r="BO128" i="5"/>
  <c r="BN128" i="5"/>
  <c r="BM128" i="5"/>
  <c r="BL128" i="5"/>
  <c r="BK128" i="5"/>
  <c r="BJ128" i="5"/>
  <c r="BI128" i="5"/>
  <c r="BH128" i="5"/>
  <c r="BG128" i="5"/>
  <c r="BF128" i="5"/>
  <c r="BE128" i="5"/>
  <c r="BD128" i="5"/>
  <c r="BC128" i="5"/>
  <c r="BB128" i="5"/>
  <c r="BA128" i="5"/>
  <c r="AZ128" i="5"/>
  <c r="AX128" i="5"/>
  <c r="AY128" i="5" s="1"/>
  <c r="AW128" i="5"/>
  <c r="AV128" i="5"/>
  <c r="AU128" i="5"/>
  <c r="AT128" i="5"/>
  <c r="AS128" i="5"/>
  <c r="AR128" i="5"/>
  <c r="DH127" i="5"/>
  <c r="DG127" i="5"/>
  <c r="DA127" i="5"/>
  <c r="CX127" i="5"/>
  <c r="CG127" i="5"/>
  <c r="CF127" i="5"/>
  <c r="CD127" i="5"/>
  <c r="CE127" i="5" s="1"/>
  <c r="CC127" i="5"/>
  <c r="CB127" i="5"/>
  <c r="CA127" i="5"/>
  <c r="BZ127" i="5"/>
  <c r="BY127" i="5"/>
  <c r="BX127" i="5"/>
  <c r="BW127" i="5"/>
  <c r="BV127" i="5"/>
  <c r="BU127" i="5"/>
  <c r="BT127" i="5"/>
  <c r="BS127" i="5"/>
  <c r="BR127" i="5"/>
  <c r="BQ127" i="5"/>
  <c r="BP127" i="5"/>
  <c r="BO127" i="5"/>
  <c r="BN127" i="5"/>
  <c r="BM127" i="5"/>
  <c r="BL127" i="5"/>
  <c r="BK127" i="5"/>
  <c r="BJ127" i="5"/>
  <c r="BI127" i="5"/>
  <c r="BH127" i="5"/>
  <c r="BG127" i="5"/>
  <c r="BF127" i="5"/>
  <c r="BE127" i="5"/>
  <c r="BD127" i="5"/>
  <c r="BC127" i="5"/>
  <c r="BB127" i="5"/>
  <c r="BA127" i="5"/>
  <c r="AZ127" i="5"/>
  <c r="AX127" i="5"/>
  <c r="AY127" i="5" s="1"/>
  <c r="AW127" i="5"/>
  <c r="AV127" i="5"/>
  <c r="AU127" i="5"/>
  <c r="AT127" i="5"/>
  <c r="AS127" i="5"/>
  <c r="AR127" i="5"/>
  <c r="DH126" i="5"/>
  <c r="DG126" i="5"/>
  <c r="DA126" i="5"/>
  <c r="CX126" i="5"/>
  <c r="CH126" i="5"/>
  <c r="CG126" i="5"/>
  <c r="CF126" i="5"/>
  <c r="CE126" i="5"/>
  <c r="CK126" i="5" s="1"/>
  <c r="CD126" i="5"/>
  <c r="CC126" i="5"/>
  <c r="CB126" i="5"/>
  <c r="CA126" i="5"/>
  <c r="BZ126" i="5"/>
  <c r="BY126" i="5"/>
  <c r="BX126" i="5"/>
  <c r="BW126" i="5"/>
  <c r="BV126" i="5"/>
  <c r="BU126" i="5"/>
  <c r="BT126" i="5"/>
  <c r="BS126" i="5"/>
  <c r="BR126" i="5"/>
  <c r="BQ126" i="5"/>
  <c r="BP126" i="5"/>
  <c r="BO126" i="5"/>
  <c r="BN126" i="5"/>
  <c r="BM126" i="5"/>
  <c r="BL126" i="5"/>
  <c r="BK126" i="5"/>
  <c r="BJ126" i="5"/>
  <c r="BI126" i="5"/>
  <c r="BH126" i="5"/>
  <c r="BG126" i="5"/>
  <c r="BF126" i="5"/>
  <c r="BE126" i="5"/>
  <c r="BD126" i="5"/>
  <c r="BC126" i="5"/>
  <c r="BB126" i="5"/>
  <c r="BA126" i="5"/>
  <c r="AZ126" i="5"/>
  <c r="AY126" i="5"/>
  <c r="AX126" i="5"/>
  <c r="AW126" i="5"/>
  <c r="AV126" i="5"/>
  <c r="AU126" i="5"/>
  <c r="AT126" i="5"/>
  <c r="AS126" i="5"/>
  <c r="AR126" i="5"/>
  <c r="DH125" i="5"/>
  <c r="DG125" i="5"/>
  <c r="DA125" i="5"/>
  <c r="CX125" i="5"/>
  <c r="CG125" i="5"/>
  <c r="CF125" i="5"/>
  <c r="CD125" i="5"/>
  <c r="CH125" i="5" s="1"/>
  <c r="CC125" i="5"/>
  <c r="CB125" i="5"/>
  <c r="CA125" i="5"/>
  <c r="BZ125" i="5"/>
  <c r="BY125" i="5"/>
  <c r="BX125" i="5"/>
  <c r="BW125" i="5"/>
  <c r="BV125" i="5"/>
  <c r="BU125" i="5"/>
  <c r="BT125" i="5"/>
  <c r="BS125" i="5"/>
  <c r="BR125" i="5"/>
  <c r="BQ125" i="5"/>
  <c r="BP125" i="5"/>
  <c r="BO125" i="5"/>
  <c r="BN125" i="5"/>
  <c r="BM125" i="5"/>
  <c r="BL125" i="5"/>
  <c r="BK125" i="5"/>
  <c r="BJ125" i="5"/>
  <c r="BI125" i="5"/>
  <c r="BH125" i="5"/>
  <c r="BG125" i="5"/>
  <c r="BF125" i="5"/>
  <c r="BE125" i="5"/>
  <c r="BD125" i="5"/>
  <c r="BC125" i="5"/>
  <c r="BB125" i="5"/>
  <c r="BA125" i="5"/>
  <c r="AZ125" i="5"/>
  <c r="AX125" i="5"/>
  <c r="AY125" i="5" s="1"/>
  <c r="AW125" i="5"/>
  <c r="AV125" i="5"/>
  <c r="AU125" i="5"/>
  <c r="AT125" i="5"/>
  <c r="AS125" i="5"/>
  <c r="AR125" i="5"/>
  <c r="DH124" i="5"/>
  <c r="DG124" i="5"/>
  <c r="DA124" i="5"/>
  <c r="CX124" i="5"/>
  <c r="CG124" i="5"/>
  <c r="CF124" i="5"/>
  <c r="CD124" i="5"/>
  <c r="CH124" i="5" s="1"/>
  <c r="CC124" i="5"/>
  <c r="CB124" i="5"/>
  <c r="CA124" i="5"/>
  <c r="BZ124" i="5"/>
  <c r="BY124" i="5"/>
  <c r="BX124" i="5"/>
  <c r="BW124" i="5"/>
  <c r="BV124" i="5"/>
  <c r="BU124" i="5"/>
  <c r="BT124" i="5"/>
  <c r="BS124" i="5"/>
  <c r="BR124" i="5"/>
  <c r="BQ124" i="5"/>
  <c r="BP124" i="5"/>
  <c r="BO124" i="5"/>
  <c r="BN124" i="5"/>
  <c r="BM124" i="5"/>
  <c r="BL124" i="5"/>
  <c r="BK124" i="5"/>
  <c r="BJ124" i="5"/>
  <c r="BI124" i="5"/>
  <c r="BH124" i="5"/>
  <c r="BG124" i="5"/>
  <c r="BF124" i="5"/>
  <c r="BE124" i="5"/>
  <c r="BD124" i="5"/>
  <c r="BC124" i="5"/>
  <c r="BB124" i="5"/>
  <c r="BA124" i="5"/>
  <c r="AZ124" i="5"/>
  <c r="AX124" i="5"/>
  <c r="AY124" i="5" s="1"/>
  <c r="AW124" i="5"/>
  <c r="AV124" i="5"/>
  <c r="AU124" i="5"/>
  <c r="AT124" i="5"/>
  <c r="AS124" i="5"/>
  <c r="AR124" i="5"/>
  <c r="DH123" i="5"/>
  <c r="DG123" i="5"/>
  <c r="DA123" i="5"/>
  <c r="CX123" i="5"/>
  <c r="CG123" i="5"/>
  <c r="CF123" i="5"/>
  <c r="CD123" i="5"/>
  <c r="CH123" i="5" s="1"/>
  <c r="CC123" i="5"/>
  <c r="CB123" i="5"/>
  <c r="CA123" i="5"/>
  <c r="BZ123" i="5"/>
  <c r="BY123" i="5"/>
  <c r="BX123" i="5"/>
  <c r="BW123" i="5"/>
  <c r="BV123" i="5"/>
  <c r="BU123" i="5"/>
  <c r="BT123" i="5"/>
  <c r="BS123" i="5"/>
  <c r="BR123" i="5"/>
  <c r="BQ123" i="5"/>
  <c r="BP123" i="5"/>
  <c r="BO123" i="5"/>
  <c r="BN123" i="5"/>
  <c r="BM123" i="5"/>
  <c r="BL123" i="5"/>
  <c r="BK123" i="5"/>
  <c r="BJ123" i="5"/>
  <c r="BI123" i="5"/>
  <c r="BH123" i="5"/>
  <c r="BG123" i="5"/>
  <c r="BF123" i="5"/>
  <c r="BE123" i="5"/>
  <c r="BD123" i="5"/>
  <c r="BC123" i="5"/>
  <c r="BB123" i="5"/>
  <c r="BA123" i="5"/>
  <c r="AZ123" i="5"/>
  <c r="AX123" i="5"/>
  <c r="AY123" i="5" s="1"/>
  <c r="AW123" i="5"/>
  <c r="AV123" i="5"/>
  <c r="AU123" i="5"/>
  <c r="AT123" i="5"/>
  <c r="AS123" i="5"/>
  <c r="AR123" i="5"/>
  <c r="DH122" i="5"/>
  <c r="DG122" i="5"/>
  <c r="DA122" i="5"/>
  <c r="CX122" i="5"/>
  <c r="CG122" i="5"/>
  <c r="CF122" i="5"/>
  <c r="CD122" i="5"/>
  <c r="CH122" i="5" s="1"/>
  <c r="CC122" i="5"/>
  <c r="CB122" i="5"/>
  <c r="CA122" i="5"/>
  <c r="BZ122" i="5"/>
  <c r="BY122" i="5"/>
  <c r="BX122" i="5"/>
  <c r="BW122" i="5"/>
  <c r="BV122" i="5"/>
  <c r="BU122" i="5"/>
  <c r="BT122" i="5"/>
  <c r="BS122" i="5"/>
  <c r="BR122" i="5"/>
  <c r="BQ122" i="5"/>
  <c r="BP122" i="5"/>
  <c r="BO122" i="5"/>
  <c r="BN122" i="5"/>
  <c r="BM122" i="5"/>
  <c r="BL122" i="5"/>
  <c r="BK122" i="5"/>
  <c r="BJ122" i="5"/>
  <c r="BI122" i="5"/>
  <c r="BH122" i="5"/>
  <c r="BG122" i="5"/>
  <c r="BF122" i="5"/>
  <c r="BE122" i="5"/>
  <c r="BD122" i="5"/>
  <c r="BC122" i="5"/>
  <c r="BB122" i="5"/>
  <c r="BA122" i="5"/>
  <c r="AZ122" i="5"/>
  <c r="AX122" i="5"/>
  <c r="AY122" i="5" s="1"/>
  <c r="AW122" i="5"/>
  <c r="AV122" i="5"/>
  <c r="AU122" i="5"/>
  <c r="AT122" i="5"/>
  <c r="AS122" i="5"/>
  <c r="AR122" i="5"/>
  <c r="DH121" i="5"/>
  <c r="DG121" i="5"/>
  <c r="DA121" i="5"/>
  <c r="CX121" i="5"/>
  <c r="CG121" i="5"/>
  <c r="CF121" i="5"/>
  <c r="CD121" i="5"/>
  <c r="CH121" i="5" s="1"/>
  <c r="CC121" i="5"/>
  <c r="CB121" i="5"/>
  <c r="CA121" i="5"/>
  <c r="BZ121" i="5"/>
  <c r="BY121" i="5"/>
  <c r="BX121" i="5"/>
  <c r="BW121" i="5"/>
  <c r="BV121" i="5"/>
  <c r="BU121" i="5"/>
  <c r="BT121" i="5"/>
  <c r="BS121" i="5"/>
  <c r="BR121" i="5"/>
  <c r="BQ121" i="5"/>
  <c r="BP121" i="5"/>
  <c r="BO121" i="5"/>
  <c r="BN121" i="5"/>
  <c r="BM121" i="5"/>
  <c r="BL121" i="5"/>
  <c r="BK121" i="5"/>
  <c r="BJ121" i="5"/>
  <c r="BI121" i="5"/>
  <c r="BH121" i="5"/>
  <c r="BG121" i="5"/>
  <c r="BF121" i="5"/>
  <c r="BE121" i="5"/>
  <c r="BD121" i="5"/>
  <c r="BC121" i="5"/>
  <c r="BB121" i="5"/>
  <c r="BA121" i="5"/>
  <c r="AZ121" i="5"/>
  <c r="AX121" i="5"/>
  <c r="AY121" i="5" s="1"/>
  <c r="AW121" i="5"/>
  <c r="AV121" i="5"/>
  <c r="AU121" i="5"/>
  <c r="AT121" i="5"/>
  <c r="AS121" i="5"/>
  <c r="AR121" i="5"/>
  <c r="DH120" i="5"/>
  <c r="DG120" i="5"/>
  <c r="DA120" i="5"/>
  <c r="CX120" i="5"/>
  <c r="CG120" i="5"/>
  <c r="CF120" i="5"/>
  <c r="CD120" i="5"/>
  <c r="CH120" i="5" s="1"/>
  <c r="CC120" i="5"/>
  <c r="CB120" i="5"/>
  <c r="CA120" i="5"/>
  <c r="BZ120" i="5"/>
  <c r="BY120" i="5"/>
  <c r="BX120" i="5"/>
  <c r="BW120" i="5"/>
  <c r="BV120" i="5"/>
  <c r="BU120" i="5"/>
  <c r="BT120" i="5"/>
  <c r="BS120" i="5"/>
  <c r="BR120" i="5"/>
  <c r="BQ120" i="5"/>
  <c r="BP120" i="5"/>
  <c r="BO120" i="5"/>
  <c r="BN120" i="5"/>
  <c r="BM120" i="5"/>
  <c r="BL120" i="5"/>
  <c r="BK120" i="5"/>
  <c r="BJ120" i="5"/>
  <c r="BI120" i="5"/>
  <c r="BH120" i="5"/>
  <c r="BG120" i="5"/>
  <c r="BF120" i="5"/>
  <c r="BE120" i="5"/>
  <c r="BD120" i="5"/>
  <c r="BC120" i="5"/>
  <c r="BB120" i="5"/>
  <c r="BA120" i="5"/>
  <c r="AZ120" i="5"/>
  <c r="AX120" i="5"/>
  <c r="AY120" i="5" s="1"/>
  <c r="AW120" i="5"/>
  <c r="AV120" i="5"/>
  <c r="AU120" i="5"/>
  <c r="AT120" i="5"/>
  <c r="AS120" i="5"/>
  <c r="AR120" i="5"/>
  <c r="DH119" i="5"/>
  <c r="DG119" i="5"/>
  <c r="DA119" i="5"/>
  <c r="CX119" i="5"/>
  <c r="CG119" i="5"/>
  <c r="CF119" i="5"/>
  <c r="CD119" i="5"/>
  <c r="CH119" i="5" s="1"/>
  <c r="CC119" i="5"/>
  <c r="CB119" i="5"/>
  <c r="CA119" i="5"/>
  <c r="BZ119" i="5"/>
  <c r="BY119" i="5"/>
  <c r="BX119" i="5"/>
  <c r="BW119" i="5"/>
  <c r="BV119" i="5"/>
  <c r="BU119" i="5"/>
  <c r="BT119" i="5"/>
  <c r="BS119" i="5"/>
  <c r="BR119" i="5"/>
  <c r="BQ119" i="5"/>
  <c r="BP119" i="5"/>
  <c r="BO119" i="5"/>
  <c r="BN119" i="5"/>
  <c r="BM119" i="5"/>
  <c r="BL119" i="5"/>
  <c r="BK119" i="5"/>
  <c r="BJ119" i="5"/>
  <c r="BI119" i="5"/>
  <c r="BH119" i="5"/>
  <c r="BG119" i="5"/>
  <c r="BF119" i="5"/>
  <c r="BE119" i="5"/>
  <c r="BD119" i="5"/>
  <c r="BC119" i="5"/>
  <c r="BB119" i="5"/>
  <c r="BA119" i="5"/>
  <c r="AZ119" i="5"/>
  <c r="AX119" i="5"/>
  <c r="AY119" i="5" s="1"/>
  <c r="AW119" i="5"/>
  <c r="AV119" i="5"/>
  <c r="AU119" i="5"/>
  <c r="AT119" i="5"/>
  <c r="AS119" i="5"/>
  <c r="AR119" i="5"/>
  <c r="DH118" i="5"/>
  <c r="DG118" i="5"/>
  <c r="DA118" i="5"/>
  <c r="CX118" i="5"/>
  <c r="CG118" i="5"/>
  <c r="CF118" i="5"/>
  <c r="CD118" i="5"/>
  <c r="CH118" i="5" s="1"/>
  <c r="CC118" i="5"/>
  <c r="CB118" i="5"/>
  <c r="CA118" i="5"/>
  <c r="BZ118" i="5"/>
  <c r="BY118" i="5"/>
  <c r="BX118" i="5"/>
  <c r="BW118" i="5"/>
  <c r="BV118" i="5"/>
  <c r="BU118" i="5"/>
  <c r="BT118" i="5"/>
  <c r="BS118" i="5"/>
  <c r="BR118" i="5"/>
  <c r="BQ118" i="5"/>
  <c r="BP118" i="5"/>
  <c r="BO118" i="5"/>
  <c r="BN118" i="5"/>
  <c r="BM118" i="5"/>
  <c r="BL118" i="5"/>
  <c r="BK118" i="5"/>
  <c r="BJ118" i="5"/>
  <c r="BI118" i="5"/>
  <c r="BH118" i="5"/>
  <c r="BG118" i="5"/>
  <c r="BF118" i="5"/>
  <c r="BE118" i="5"/>
  <c r="BD118" i="5"/>
  <c r="BC118" i="5"/>
  <c r="BB118" i="5"/>
  <c r="BA118" i="5"/>
  <c r="AZ118" i="5"/>
  <c r="AX118" i="5"/>
  <c r="AY118" i="5" s="1"/>
  <c r="AW118" i="5"/>
  <c r="AV118" i="5"/>
  <c r="AU118" i="5"/>
  <c r="AT118" i="5"/>
  <c r="AS118" i="5"/>
  <c r="AR118" i="5"/>
  <c r="DH117" i="5"/>
  <c r="DG117" i="5"/>
  <c r="DA117" i="5"/>
  <c r="CX117" i="5"/>
  <c r="CG117" i="5"/>
  <c r="CF117" i="5"/>
  <c r="CD117" i="5"/>
  <c r="CH117" i="5" s="1"/>
  <c r="CC117" i="5"/>
  <c r="CB117" i="5"/>
  <c r="CA117" i="5"/>
  <c r="BZ117" i="5"/>
  <c r="BY117" i="5"/>
  <c r="BX117" i="5"/>
  <c r="BW117" i="5"/>
  <c r="BV117" i="5"/>
  <c r="BU117" i="5"/>
  <c r="BT117" i="5"/>
  <c r="BS117" i="5"/>
  <c r="BR117" i="5"/>
  <c r="BQ117" i="5"/>
  <c r="BP117" i="5"/>
  <c r="BO117" i="5"/>
  <c r="BN117" i="5"/>
  <c r="BM117" i="5"/>
  <c r="BL117" i="5"/>
  <c r="BK117" i="5"/>
  <c r="BJ117" i="5"/>
  <c r="BI117" i="5"/>
  <c r="BH117" i="5"/>
  <c r="BG117" i="5"/>
  <c r="BF117" i="5"/>
  <c r="BE117" i="5"/>
  <c r="BD117" i="5"/>
  <c r="BC117" i="5"/>
  <c r="BB117" i="5"/>
  <c r="BA117" i="5"/>
  <c r="AZ117" i="5"/>
  <c r="AX117" i="5"/>
  <c r="AY117" i="5" s="1"/>
  <c r="AW117" i="5"/>
  <c r="AV117" i="5"/>
  <c r="AU117" i="5"/>
  <c r="AT117" i="5"/>
  <c r="AS117" i="5"/>
  <c r="AR117" i="5"/>
  <c r="DH116" i="5"/>
  <c r="DG116" i="5"/>
  <c r="DA116" i="5"/>
  <c r="CX116" i="5"/>
  <c r="CG116" i="5"/>
  <c r="CF116" i="5"/>
  <c r="CD116" i="5"/>
  <c r="CH116" i="5" s="1"/>
  <c r="CC116" i="5"/>
  <c r="CB116" i="5"/>
  <c r="CA116" i="5"/>
  <c r="BZ116" i="5"/>
  <c r="BY116" i="5"/>
  <c r="BX116" i="5"/>
  <c r="BW116" i="5"/>
  <c r="BV116" i="5"/>
  <c r="BU116" i="5"/>
  <c r="BT116" i="5"/>
  <c r="BS116" i="5"/>
  <c r="BR116" i="5"/>
  <c r="BQ116" i="5"/>
  <c r="BP116" i="5"/>
  <c r="BO116" i="5"/>
  <c r="BN116" i="5"/>
  <c r="BM116" i="5"/>
  <c r="BL116" i="5"/>
  <c r="BK116" i="5"/>
  <c r="BJ116" i="5"/>
  <c r="BI116" i="5"/>
  <c r="BH116" i="5"/>
  <c r="BG116" i="5"/>
  <c r="BF116" i="5"/>
  <c r="BE116" i="5"/>
  <c r="BD116" i="5"/>
  <c r="BC116" i="5"/>
  <c r="BB116" i="5"/>
  <c r="BA116" i="5"/>
  <c r="AZ116" i="5"/>
  <c r="AX116" i="5"/>
  <c r="AY116" i="5" s="1"/>
  <c r="AW116" i="5"/>
  <c r="AV116" i="5"/>
  <c r="AU116" i="5"/>
  <c r="AT116" i="5"/>
  <c r="AS116" i="5"/>
  <c r="AR116" i="5"/>
  <c r="DH115" i="5"/>
  <c r="DG115" i="5"/>
  <c r="DA115" i="5"/>
  <c r="CX115" i="5"/>
  <c r="CG115" i="5"/>
  <c r="CF115" i="5"/>
  <c r="CD115" i="5"/>
  <c r="CH115" i="5" s="1"/>
  <c r="CC115" i="5"/>
  <c r="CB115" i="5"/>
  <c r="CA115" i="5"/>
  <c r="BZ115" i="5"/>
  <c r="BY115" i="5"/>
  <c r="BX115" i="5"/>
  <c r="BW115" i="5"/>
  <c r="BV115" i="5"/>
  <c r="BU115" i="5"/>
  <c r="BT115" i="5"/>
  <c r="BS115" i="5"/>
  <c r="BR115" i="5"/>
  <c r="BQ115" i="5"/>
  <c r="BP115" i="5"/>
  <c r="BO115" i="5"/>
  <c r="BN115" i="5"/>
  <c r="BM115" i="5"/>
  <c r="BL115" i="5"/>
  <c r="BK115" i="5"/>
  <c r="BJ115" i="5"/>
  <c r="BI115" i="5"/>
  <c r="BH115" i="5"/>
  <c r="BG115" i="5"/>
  <c r="BF115" i="5"/>
  <c r="BE115" i="5"/>
  <c r="BD115" i="5"/>
  <c r="BC115" i="5"/>
  <c r="BB115" i="5"/>
  <c r="BA115" i="5"/>
  <c r="AZ115" i="5"/>
  <c r="AX115" i="5"/>
  <c r="AY115" i="5" s="1"/>
  <c r="AW115" i="5"/>
  <c r="AV115" i="5"/>
  <c r="AU115" i="5"/>
  <c r="AT115" i="5"/>
  <c r="AS115" i="5"/>
  <c r="AR115" i="5"/>
  <c r="DH114" i="5"/>
  <c r="DG114" i="5"/>
  <c r="DA114" i="5"/>
  <c r="CX114" i="5"/>
  <c r="CG114" i="5"/>
  <c r="CF114" i="5"/>
  <c r="CD114" i="5"/>
  <c r="CH114" i="5" s="1"/>
  <c r="CC114" i="5"/>
  <c r="CB114" i="5"/>
  <c r="CA114" i="5"/>
  <c r="BZ114" i="5"/>
  <c r="BY114" i="5"/>
  <c r="BX114" i="5"/>
  <c r="BW114" i="5"/>
  <c r="BV114" i="5"/>
  <c r="BU114" i="5"/>
  <c r="BT114" i="5"/>
  <c r="BS114" i="5"/>
  <c r="BR114" i="5"/>
  <c r="BQ114" i="5"/>
  <c r="BP114" i="5"/>
  <c r="BO114" i="5"/>
  <c r="BN114" i="5"/>
  <c r="BM114" i="5"/>
  <c r="BL114" i="5"/>
  <c r="BK114" i="5"/>
  <c r="BJ114" i="5"/>
  <c r="BI114" i="5"/>
  <c r="BH114" i="5"/>
  <c r="BG114" i="5"/>
  <c r="BF114" i="5"/>
  <c r="BE114" i="5"/>
  <c r="BD114" i="5"/>
  <c r="BC114" i="5"/>
  <c r="BB114" i="5"/>
  <c r="BA114" i="5"/>
  <c r="AZ114" i="5"/>
  <c r="AX114" i="5"/>
  <c r="AY114" i="5" s="1"/>
  <c r="AW114" i="5"/>
  <c r="AV114" i="5"/>
  <c r="AU114" i="5"/>
  <c r="AT114" i="5"/>
  <c r="AS114" i="5"/>
  <c r="AR114" i="5"/>
  <c r="DH113" i="5"/>
  <c r="DG113" i="5"/>
  <c r="DA113" i="5"/>
  <c r="CX113" i="5"/>
  <c r="CG113" i="5"/>
  <c r="CF113" i="5"/>
  <c r="CD113" i="5"/>
  <c r="CC113" i="5"/>
  <c r="CB113" i="5"/>
  <c r="CA113" i="5"/>
  <c r="BZ113" i="5"/>
  <c r="BY113" i="5"/>
  <c r="BX113" i="5"/>
  <c r="BW113" i="5"/>
  <c r="BV113" i="5"/>
  <c r="BU113" i="5"/>
  <c r="BT113" i="5"/>
  <c r="BS113" i="5"/>
  <c r="BR113" i="5"/>
  <c r="BQ113" i="5"/>
  <c r="BP113" i="5"/>
  <c r="BO113" i="5"/>
  <c r="BN113" i="5"/>
  <c r="BM113" i="5"/>
  <c r="BL113" i="5"/>
  <c r="BK113" i="5"/>
  <c r="BJ113" i="5"/>
  <c r="BI113" i="5"/>
  <c r="BH113" i="5"/>
  <c r="BG113" i="5"/>
  <c r="BF113" i="5"/>
  <c r="BE113" i="5"/>
  <c r="BD113" i="5"/>
  <c r="BC113" i="5"/>
  <c r="BB113" i="5"/>
  <c r="BA113" i="5"/>
  <c r="AZ113" i="5"/>
  <c r="AX113" i="5"/>
  <c r="AY113" i="5" s="1"/>
  <c r="AW113" i="5"/>
  <c r="AV113" i="5"/>
  <c r="AU113" i="5"/>
  <c r="AT113" i="5"/>
  <c r="AS113" i="5"/>
  <c r="AR113" i="5"/>
  <c r="DH112" i="5"/>
  <c r="DG112" i="5"/>
  <c r="DA112" i="5"/>
  <c r="CX112" i="5"/>
  <c r="CG112" i="5"/>
  <c r="CF112" i="5"/>
  <c r="CD112" i="5"/>
  <c r="CC112" i="5"/>
  <c r="CB112" i="5"/>
  <c r="CA112" i="5"/>
  <c r="BZ112" i="5"/>
  <c r="BY112" i="5"/>
  <c r="BX112" i="5"/>
  <c r="BW112" i="5"/>
  <c r="BV112" i="5"/>
  <c r="BU112" i="5"/>
  <c r="BT112" i="5"/>
  <c r="BS112" i="5"/>
  <c r="BR112" i="5"/>
  <c r="BQ112" i="5"/>
  <c r="BP112" i="5"/>
  <c r="BO112" i="5"/>
  <c r="BN112" i="5"/>
  <c r="BM112" i="5"/>
  <c r="BL112" i="5"/>
  <c r="BK112" i="5"/>
  <c r="BJ112" i="5"/>
  <c r="BI112" i="5"/>
  <c r="BH112" i="5"/>
  <c r="BG112" i="5"/>
  <c r="BF112" i="5"/>
  <c r="BE112" i="5"/>
  <c r="BD112" i="5"/>
  <c r="BC112" i="5"/>
  <c r="BB112" i="5"/>
  <c r="BA112" i="5"/>
  <c r="AZ112" i="5"/>
  <c r="AX112" i="5"/>
  <c r="AY112" i="5" s="1"/>
  <c r="AW112" i="5"/>
  <c r="AV112" i="5"/>
  <c r="AU112" i="5"/>
  <c r="AT112" i="5"/>
  <c r="AS112" i="5"/>
  <c r="AR112" i="5"/>
  <c r="DH111" i="5"/>
  <c r="DG111" i="5"/>
  <c r="DA111" i="5"/>
  <c r="CX111" i="5"/>
  <c r="CG111" i="5"/>
  <c r="CF111" i="5"/>
  <c r="CD111" i="5"/>
  <c r="CC111" i="5"/>
  <c r="CB111" i="5"/>
  <c r="CA111" i="5"/>
  <c r="BZ111" i="5"/>
  <c r="BY111" i="5"/>
  <c r="BX111" i="5"/>
  <c r="BW111" i="5"/>
  <c r="BV111" i="5"/>
  <c r="BU111" i="5"/>
  <c r="BT111" i="5"/>
  <c r="BS111" i="5"/>
  <c r="BR111" i="5"/>
  <c r="BQ111" i="5"/>
  <c r="BP111" i="5"/>
  <c r="BO111" i="5"/>
  <c r="BN111" i="5"/>
  <c r="BM111" i="5"/>
  <c r="BL111" i="5"/>
  <c r="BK111" i="5"/>
  <c r="BJ111" i="5"/>
  <c r="BI111" i="5"/>
  <c r="BH111" i="5"/>
  <c r="BG111" i="5"/>
  <c r="BF111" i="5"/>
  <c r="BE111" i="5"/>
  <c r="BD111" i="5"/>
  <c r="BC111" i="5"/>
  <c r="BB111" i="5"/>
  <c r="BA111" i="5"/>
  <c r="AZ111" i="5"/>
  <c r="AX111" i="5"/>
  <c r="AY111" i="5" s="1"/>
  <c r="AW111" i="5"/>
  <c r="AV111" i="5"/>
  <c r="AU111" i="5"/>
  <c r="AT111" i="5"/>
  <c r="AS111" i="5"/>
  <c r="AR111" i="5"/>
  <c r="DH110" i="5"/>
  <c r="DG110" i="5"/>
  <c r="DA110" i="5"/>
  <c r="CX110" i="5"/>
  <c r="CG110" i="5"/>
  <c r="CF110" i="5"/>
  <c r="CD110" i="5"/>
  <c r="CH110" i="5" s="1"/>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BA110" i="5"/>
  <c r="AZ110" i="5"/>
  <c r="AX110" i="5"/>
  <c r="AY110" i="5" s="1"/>
  <c r="AW110" i="5"/>
  <c r="AV110" i="5"/>
  <c r="AU110" i="5"/>
  <c r="AT110" i="5"/>
  <c r="AS110" i="5"/>
  <c r="AR110" i="5"/>
  <c r="DH109" i="5"/>
  <c r="DG109" i="5"/>
  <c r="DA109" i="5"/>
  <c r="CX109" i="5"/>
  <c r="CG109" i="5"/>
  <c r="CF109" i="5"/>
  <c r="CD109" i="5"/>
  <c r="CH109" i="5" s="1"/>
  <c r="CC109" i="5"/>
  <c r="CB109" i="5"/>
  <c r="CA109" i="5"/>
  <c r="BZ109" i="5"/>
  <c r="BY109" i="5"/>
  <c r="BX109" i="5"/>
  <c r="BW109" i="5"/>
  <c r="BV109" i="5"/>
  <c r="BU109" i="5"/>
  <c r="BT109" i="5"/>
  <c r="BS109" i="5"/>
  <c r="BR109" i="5"/>
  <c r="BQ109" i="5"/>
  <c r="BP109" i="5"/>
  <c r="BO109" i="5"/>
  <c r="BN109" i="5"/>
  <c r="BM109" i="5"/>
  <c r="BL109" i="5"/>
  <c r="BK109" i="5"/>
  <c r="BJ109" i="5"/>
  <c r="BI109" i="5"/>
  <c r="BH109" i="5"/>
  <c r="BG109" i="5"/>
  <c r="BF109" i="5"/>
  <c r="BE109" i="5"/>
  <c r="BD109" i="5"/>
  <c r="BC109" i="5"/>
  <c r="BB109" i="5"/>
  <c r="BA109" i="5"/>
  <c r="AZ109" i="5"/>
  <c r="AX109" i="5"/>
  <c r="AY109" i="5" s="1"/>
  <c r="AW109" i="5"/>
  <c r="AV109" i="5"/>
  <c r="AU109" i="5"/>
  <c r="AT109" i="5"/>
  <c r="AS109" i="5"/>
  <c r="AR109" i="5"/>
  <c r="DH108" i="5"/>
  <c r="DG108" i="5"/>
  <c r="DA108" i="5"/>
  <c r="CX108" i="5"/>
  <c r="CG108" i="5"/>
  <c r="CF108" i="5"/>
  <c r="CD108" i="5"/>
  <c r="CH108" i="5" s="1"/>
  <c r="CC108" i="5"/>
  <c r="CB108" i="5"/>
  <c r="CA108" i="5"/>
  <c r="BZ108" i="5"/>
  <c r="BY108" i="5"/>
  <c r="BX108" i="5"/>
  <c r="BW108" i="5"/>
  <c r="BV108" i="5"/>
  <c r="BU108" i="5"/>
  <c r="BT108" i="5"/>
  <c r="BS108" i="5"/>
  <c r="BR108" i="5"/>
  <c r="BQ108" i="5"/>
  <c r="BP108" i="5"/>
  <c r="BO108" i="5"/>
  <c r="BN108" i="5"/>
  <c r="BM108" i="5"/>
  <c r="BL108" i="5"/>
  <c r="BK108" i="5"/>
  <c r="BJ108" i="5"/>
  <c r="BI108" i="5"/>
  <c r="BH108" i="5"/>
  <c r="BG108" i="5"/>
  <c r="BF108" i="5"/>
  <c r="BE108" i="5"/>
  <c r="BD108" i="5"/>
  <c r="BC108" i="5"/>
  <c r="BB108" i="5"/>
  <c r="BA108" i="5"/>
  <c r="AZ108" i="5"/>
  <c r="AX108" i="5"/>
  <c r="AY108" i="5" s="1"/>
  <c r="AW108" i="5"/>
  <c r="AV108" i="5"/>
  <c r="AU108" i="5"/>
  <c r="AT108" i="5"/>
  <c r="AS108" i="5"/>
  <c r="AR108" i="5"/>
  <c r="DH107" i="5"/>
  <c r="DG107" i="5"/>
  <c r="DA107" i="5"/>
  <c r="CX107" i="5"/>
  <c r="CG107" i="5"/>
  <c r="CF107" i="5"/>
  <c r="CD107" i="5"/>
  <c r="CH107" i="5" s="1"/>
  <c r="CC107" i="5"/>
  <c r="CB107" i="5"/>
  <c r="CA107" i="5"/>
  <c r="BZ107" i="5"/>
  <c r="BY107" i="5"/>
  <c r="BX107" i="5"/>
  <c r="BW107" i="5"/>
  <c r="BV107" i="5"/>
  <c r="BU107" i="5"/>
  <c r="BT107" i="5"/>
  <c r="BS107" i="5"/>
  <c r="BR107" i="5"/>
  <c r="BQ107" i="5"/>
  <c r="BP107" i="5"/>
  <c r="BO107" i="5"/>
  <c r="BN107" i="5"/>
  <c r="BM107" i="5"/>
  <c r="BL107" i="5"/>
  <c r="BK107" i="5"/>
  <c r="BJ107" i="5"/>
  <c r="BI107" i="5"/>
  <c r="BH107" i="5"/>
  <c r="BG107" i="5"/>
  <c r="BF107" i="5"/>
  <c r="BE107" i="5"/>
  <c r="BD107" i="5"/>
  <c r="BC107" i="5"/>
  <c r="BB107" i="5"/>
  <c r="BA107" i="5"/>
  <c r="AZ107" i="5"/>
  <c r="AX107" i="5"/>
  <c r="AY107" i="5" s="1"/>
  <c r="AW107" i="5"/>
  <c r="AV107" i="5"/>
  <c r="AU107" i="5"/>
  <c r="AT107" i="5"/>
  <c r="AS107" i="5"/>
  <c r="AR107" i="5"/>
  <c r="DH106" i="5"/>
  <c r="DG106" i="5"/>
  <c r="DA106" i="5"/>
  <c r="CX106" i="5"/>
  <c r="CG106" i="5"/>
  <c r="CF106" i="5"/>
  <c r="CD106" i="5"/>
  <c r="CH106" i="5" s="1"/>
  <c r="CC106" i="5"/>
  <c r="CB106" i="5"/>
  <c r="CA106" i="5"/>
  <c r="BZ106" i="5"/>
  <c r="BY106" i="5"/>
  <c r="BX106" i="5"/>
  <c r="BW106" i="5"/>
  <c r="BV106" i="5"/>
  <c r="BU106" i="5"/>
  <c r="BT106" i="5"/>
  <c r="BS106" i="5"/>
  <c r="BR106" i="5"/>
  <c r="BQ106" i="5"/>
  <c r="BP106" i="5"/>
  <c r="BO106" i="5"/>
  <c r="BN106" i="5"/>
  <c r="BM106" i="5"/>
  <c r="BL106" i="5"/>
  <c r="BK106" i="5"/>
  <c r="BJ106" i="5"/>
  <c r="BI106" i="5"/>
  <c r="BH106" i="5"/>
  <c r="BG106" i="5"/>
  <c r="BF106" i="5"/>
  <c r="BE106" i="5"/>
  <c r="BD106" i="5"/>
  <c r="BC106" i="5"/>
  <c r="BB106" i="5"/>
  <c r="BA106" i="5"/>
  <c r="AZ106" i="5"/>
  <c r="AX106" i="5"/>
  <c r="AY106" i="5" s="1"/>
  <c r="AW106" i="5"/>
  <c r="AV106" i="5"/>
  <c r="AU106" i="5"/>
  <c r="AT106" i="5"/>
  <c r="AS106" i="5"/>
  <c r="AR106" i="5"/>
  <c r="DH105" i="5"/>
  <c r="DG105" i="5"/>
  <c r="DA105" i="5"/>
  <c r="CX105" i="5"/>
  <c r="CG105" i="5"/>
  <c r="CF105" i="5"/>
  <c r="CD105" i="5"/>
  <c r="CH105" i="5" s="1"/>
  <c r="CC105" i="5"/>
  <c r="CB105" i="5"/>
  <c r="CA105" i="5"/>
  <c r="BZ105" i="5"/>
  <c r="BY105" i="5"/>
  <c r="BX105" i="5"/>
  <c r="BW105" i="5"/>
  <c r="BV105" i="5"/>
  <c r="BU105" i="5"/>
  <c r="BT105" i="5"/>
  <c r="BS105" i="5"/>
  <c r="BR105" i="5"/>
  <c r="BQ105" i="5"/>
  <c r="BP105" i="5"/>
  <c r="BO105" i="5"/>
  <c r="BN105" i="5"/>
  <c r="BM105" i="5"/>
  <c r="BL105" i="5"/>
  <c r="BK105" i="5"/>
  <c r="BJ105" i="5"/>
  <c r="BI105" i="5"/>
  <c r="BH105" i="5"/>
  <c r="BG105" i="5"/>
  <c r="BF105" i="5"/>
  <c r="BE105" i="5"/>
  <c r="BD105" i="5"/>
  <c r="BC105" i="5"/>
  <c r="BB105" i="5"/>
  <c r="BA105" i="5"/>
  <c r="AZ105" i="5"/>
  <c r="AX105" i="5"/>
  <c r="AY105" i="5" s="1"/>
  <c r="AW105" i="5"/>
  <c r="AV105" i="5"/>
  <c r="AU105" i="5"/>
  <c r="AT105" i="5"/>
  <c r="AS105" i="5"/>
  <c r="AR105" i="5"/>
  <c r="DH104" i="5"/>
  <c r="DG104" i="5"/>
  <c r="DA104" i="5"/>
  <c r="CX104" i="5"/>
  <c r="CG104" i="5"/>
  <c r="CF104" i="5"/>
  <c r="CD104" i="5"/>
  <c r="CH104" i="5" s="1"/>
  <c r="CC104" i="5"/>
  <c r="CB104" i="5"/>
  <c r="CA104" i="5"/>
  <c r="BZ104" i="5"/>
  <c r="BY104" i="5"/>
  <c r="BX104" i="5"/>
  <c r="BW104" i="5"/>
  <c r="BV104" i="5"/>
  <c r="BU104" i="5"/>
  <c r="BT104" i="5"/>
  <c r="BS104" i="5"/>
  <c r="BR104" i="5"/>
  <c r="BQ104" i="5"/>
  <c r="BP104" i="5"/>
  <c r="BO104" i="5"/>
  <c r="BN104" i="5"/>
  <c r="BM104" i="5"/>
  <c r="BL104" i="5"/>
  <c r="BK104" i="5"/>
  <c r="BJ104" i="5"/>
  <c r="BI104" i="5"/>
  <c r="BH104" i="5"/>
  <c r="BG104" i="5"/>
  <c r="BF104" i="5"/>
  <c r="BE104" i="5"/>
  <c r="BD104" i="5"/>
  <c r="BC104" i="5"/>
  <c r="BB104" i="5"/>
  <c r="BA104" i="5"/>
  <c r="AZ104" i="5"/>
  <c r="AX104" i="5"/>
  <c r="AY104" i="5" s="1"/>
  <c r="AW104" i="5"/>
  <c r="AV104" i="5"/>
  <c r="AU104" i="5"/>
  <c r="AT104" i="5"/>
  <c r="AS104" i="5"/>
  <c r="AR104" i="5"/>
  <c r="DH103" i="5"/>
  <c r="DG103" i="5"/>
  <c r="DA103" i="5"/>
  <c r="CX103" i="5"/>
  <c r="CG103" i="5"/>
  <c r="CF103" i="5"/>
  <c r="CD103" i="5"/>
  <c r="CH103" i="5" s="1"/>
  <c r="CC103" i="5"/>
  <c r="CB103" i="5"/>
  <c r="CA103" i="5"/>
  <c r="BZ103" i="5"/>
  <c r="BY103" i="5"/>
  <c r="BX103" i="5"/>
  <c r="BW103" i="5"/>
  <c r="BV103" i="5"/>
  <c r="BU103" i="5"/>
  <c r="BT103" i="5"/>
  <c r="BS103" i="5"/>
  <c r="BR103" i="5"/>
  <c r="BQ103" i="5"/>
  <c r="BP103" i="5"/>
  <c r="BO103" i="5"/>
  <c r="BN103" i="5"/>
  <c r="BM103" i="5"/>
  <c r="BL103" i="5"/>
  <c r="BK103" i="5"/>
  <c r="BJ103" i="5"/>
  <c r="BI103" i="5"/>
  <c r="BH103" i="5"/>
  <c r="BG103" i="5"/>
  <c r="BF103" i="5"/>
  <c r="BE103" i="5"/>
  <c r="BD103" i="5"/>
  <c r="BC103" i="5"/>
  <c r="BB103" i="5"/>
  <c r="BA103" i="5"/>
  <c r="AZ103" i="5"/>
  <c r="AX103" i="5"/>
  <c r="AY103" i="5" s="1"/>
  <c r="AW103" i="5"/>
  <c r="AV103" i="5"/>
  <c r="AU103" i="5"/>
  <c r="AT103" i="5"/>
  <c r="AS103" i="5"/>
  <c r="AR103" i="5"/>
  <c r="DH102" i="5"/>
  <c r="DG102" i="5"/>
  <c r="DA102" i="5"/>
  <c r="CX102" i="5"/>
  <c r="CG102" i="5"/>
  <c r="CF102" i="5"/>
  <c r="CD102" i="5"/>
  <c r="CH102" i="5" s="1"/>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F102" i="5"/>
  <c r="BE102" i="5"/>
  <c r="BD102" i="5"/>
  <c r="BC102" i="5"/>
  <c r="BB102" i="5"/>
  <c r="BA102" i="5"/>
  <c r="AZ102" i="5"/>
  <c r="AX102" i="5"/>
  <c r="AY102" i="5" s="1"/>
  <c r="AW102" i="5"/>
  <c r="AV102" i="5"/>
  <c r="AU102" i="5"/>
  <c r="AT102" i="5"/>
  <c r="AS102" i="5"/>
  <c r="AR102" i="5"/>
  <c r="DH101" i="5"/>
  <c r="DG101" i="5"/>
  <c r="DA101" i="5"/>
  <c r="CX101" i="5"/>
  <c r="CG101" i="5"/>
  <c r="CF101" i="5"/>
  <c r="CD101" i="5"/>
  <c r="CH101" i="5" s="1"/>
  <c r="CC101" i="5"/>
  <c r="CB101" i="5"/>
  <c r="CA101" i="5"/>
  <c r="BZ101" i="5"/>
  <c r="BY101" i="5"/>
  <c r="BX101" i="5"/>
  <c r="BW101" i="5"/>
  <c r="BV101" i="5"/>
  <c r="BU101" i="5"/>
  <c r="BT101" i="5"/>
  <c r="BS101" i="5"/>
  <c r="BR101" i="5"/>
  <c r="BQ101" i="5"/>
  <c r="BP101" i="5"/>
  <c r="BO101" i="5"/>
  <c r="BN101" i="5"/>
  <c r="BM101" i="5"/>
  <c r="BL101" i="5"/>
  <c r="BK101" i="5"/>
  <c r="BJ101" i="5"/>
  <c r="BI101" i="5"/>
  <c r="BH101" i="5"/>
  <c r="BG101" i="5"/>
  <c r="BF101" i="5"/>
  <c r="BE101" i="5"/>
  <c r="BD101" i="5"/>
  <c r="BC101" i="5"/>
  <c r="BB101" i="5"/>
  <c r="BA101" i="5"/>
  <c r="AZ101" i="5"/>
  <c r="AX101" i="5"/>
  <c r="AY101" i="5" s="1"/>
  <c r="AW101" i="5"/>
  <c r="AV101" i="5"/>
  <c r="AU101" i="5"/>
  <c r="AT101" i="5"/>
  <c r="AS101" i="5"/>
  <c r="AR101" i="5"/>
  <c r="DH100" i="5"/>
  <c r="DG100" i="5"/>
  <c r="DA100" i="5"/>
  <c r="CX100" i="5"/>
  <c r="CG100" i="5"/>
  <c r="CF100" i="5"/>
  <c r="CD100" i="5"/>
  <c r="CH100" i="5" s="1"/>
  <c r="CC100" i="5"/>
  <c r="CB100" i="5"/>
  <c r="CA100" i="5"/>
  <c r="BZ100" i="5"/>
  <c r="BY100" i="5"/>
  <c r="BX100" i="5"/>
  <c r="BW100" i="5"/>
  <c r="BV100" i="5"/>
  <c r="BU100" i="5"/>
  <c r="BT100" i="5"/>
  <c r="BS100" i="5"/>
  <c r="BR100" i="5"/>
  <c r="BQ100" i="5"/>
  <c r="BP100" i="5"/>
  <c r="BO100" i="5"/>
  <c r="BN100" i="5"/>
  <c r="BM100" i="5"/>
  <c r="BL100" i="5"/>
  <c r="BK100" i="5"/>
  <c r="BJ100" i="5"/>
  <c r="BI100" i="5"/>
  <c r="BH100" i="5"/>
  <c r="BG100" i="5"/>
  <c r="BF100" i="5"/>
  <c r="BE100" i="5"/>
  <c r="BD100" i="5"/>
  <c r="BC100" i="5"/>
  <c r="BB100" i="5"/>
  <c r="BA100" i="5"/>
  <c r="AZ100" i="5"/>
  <c r="AX100" i="5"/>
  <c r="AY100" i="5" s="1"/>
  <c r="AW100" i="5"/>
  <c r="AV100" i="5"/>
  <c r="AU100" i="5"/>
  <c r="AT100" i="5"/>
  <c r="AS100" i="5"/>
  <c r="AR100" i="5"/>
  <c r="DH99" i="5"/>
  <c r="DG99" i="5"/>
  <c r="DA99" i="5"/>
  <c r="CX99" i="5"/>
  <c r="CG99" i="5"/>
  <c r="CF99" i="5"/>
  <c r="CD99" i="5"/>
  <c r="CH99" i="5" s="1"/>
  <c r="CC99" i="5"/>
  <c r="CB99" i="5"/>
  <c r="CA99" i="5"/>
  <c r="BZ99" i="5"/>
  <c r="BY99" i="5"/>
  <c r="BX99" i="5"/>
  <c r="BW99" i="5"/>
  <c r="BV99" i="5"/>
  <c r="BU99" i="5"/>
  <c r="BT99" i="5"/>
  <c r="BS99" i="5"/>
  <c r="BR99" i="5"/>
  <c r="BQ99" i="5"/>
  <c r="BP99" i="5"/>
  <c r="BO99" i="5"/>
  <c r="BN99" i="5"/>
  <c r="BM99" i="5"/>
  <c r="BL99" i="5"/>
  <c r="BK99" i="5"/>
  <c r="BJ99" i="5"/>
  <c r="BI99" i="5"/>
  <c r="BH99" i="5"/>
  <c r="BG99" i="5"/>
  <c r="BF99" i="5"/>
  <c r="BE99" i="5"/>
  <c r="BD99" i="5"/>
  <c r="BC99" i="5"/>
  <c r="BB99" i="5"/>
  <c r="BA99" i="5"/>
  <c r="AZ99" i="5"/>
  <c r="AX99" i="5"/>
  <c r="AY99" i="5" s="1"/>
  <c r="AW99" i="5"/>
  <c r="AV99" i="5"/>
  <c r="AU99" i="5"/>
  <c r="AT99" i="5"/>
  <c r="AS99" i="5"/>
  <c r="AR99" i="5"/>
  <c r="DH98" i="5"/>
  <c r="DG98" i="5"/>
  <c r="DA98" i="5"/>
  <c r="CX98" i="5"/>
  <c r="CG98" i="5"/>
  <c r="CF98" i="5"/>
  <c r="CD98" i="5"/>
  <c r="CH98" i="5" s="1"/>
  <c r="CC98" i="5"/>
  <c r="CB98" i="5"/>
  <c r="CA98" i="5"/>
  <c r="BZ98" i="5"/>
  <c r="BY98" i="5"/>
  <c r="BX98" i="5"/>
  <c r="BW98" i="5"/>
  <c r="BV98" i="5"/>
  <c r="BU98" i="5"/>
  <c r="BT98" i="5"/>
  <c r="BS98" i="5"/>
  <c r="BR98" i="5"/>
  <c r="BQ98" i="5"/>
  <c r="BP98" i="5"/>
  <c r="BO98" i="5"/>
  <c r="BN98" i="5"/>
  <c r="BM98" i="5"/>
  <c r="BL98" i="5"/>
  <c r="BK98" i="5"/>
  <c r="BJ98" i="5"/>
  <c r="BI98" i="5"/>
  <c r="BH98" i="5"/>
  <c r="BG98" i="5"/>
  <c r="BF98" i="5"/>
  <c r="BE98" i="5"/>
  <c r="BD98" i="5"/>
  <c r="BC98" i="5"/>
  <c r="BB98" i="5"/>
  <c r="BA98" i="5"/>
  <c r="AZ98" i="5"/>
  <c r="AX98" i="5"/>
  <c r="AY98" i="5" s="1"/>
  <c r="AW98" i="5"/>
  <c r="AV98" i="5"/>
  <c r="AU98" i="5"/>
  <c r="AT98" i="5"/>
  <c r="AS98" i="5"/>
  <c r="AR98" i="5"/>
  <c r="DH97" i="5"/>
  <c r="DG97" i="5"/>
  <c r="DA97" i="5"/>
  <c r="CX97" i="5"/>
  <c r="CG97" i="5"/>
  <c r="CF97" i="5"/>
  <c r="CD97" i="5"/>
  <c r="CH97" i="5" s="1"/>
  <c r="CC97" i="5"/>
  <c r="CB97" i="5"/>
  <c r="CA97" i="5"/>
  <c r="BZ97" i="5"/>
  <c r="BY97" i="5"/>
  <c r="BX97" i="5"/>
  <c r="BW97" i="5"/>
  <c r="BV97" i="5"/>
  <c r="BU97" i="5"/>
  <c r="BT97" i="5"/>
  <c r="BS97" i="5"/>
  <c r="BR97" i="5"/>
  <c r="BQ97" i="5"/>
  <c r="BP97" i="5"/>
  <c r="BO97" i="5"/>
  <c r="BN97" i="5"/>
  <c r="BM97" i="5"/>
  <c r="BL97" i="5"/>
  <c r="BK97" i="5"/>
  <c r="BJ97" i="5"/>
  <c r="BI97" i="5"/>
  <c r="BH97" i="5"/>
  <c r="BG97" i="5"/>
  <c r="BF97" i="5"/>
  <c r="BE97" i="5"/>
  <c r="BD97" i="5"/>
  <c r="BC97" i="5"/>
  <c r="BB97" i="5"/>
  <c r="BA97" i="5"/>
  <c r="AZ97" i="5"/>
  <c r="AX97" i="5"/>
  <c r="AY97" i="5" s="1"/>
  <c r="AW97" i="5"/>
  <c r="AV97" i="5"/>
  <c r="AU97" i="5"/>
  <c r="AT97" i="5"/>
  <c r="AS97" i="5"/>
  <c r="AR97" i="5"/>
  <c r="DH96" i="5"/>
  <c r="DG96" i="5"/>
  <c r="DA96" i="5"/>
  <c r="CX96" i="5"/>
  <c r="CG96" i="5"/>
  <c r="CF96" i="5"/>
  <c r="CD96" i="5"/>
  <c r="CH96" i="5" s="1"/>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X96" i="5"/>
  <c r="AY96" i="5" s="1"/>
  <c r="AW96" i="5"/>
  <c r="AV96" i="5"/>
  <c r="AU96" i="5"/>
  <c r="AT96" i="5"/>
  <c r="AS96" i="5"/>
  <c r="AR96" i="5"/>
  <c r="DH95" i="5"/>
  <c r="DG95" i="5"/>
  <c r="DA95" i="5"/>
  <c r="CX95" i="5"/>
  <c r="CG95" i="5"/>
  <c r="CF95" i="5"/>
  <c r="CD95" i="5"/>
  <c r="CH95" i="5" s="1"/>
  <c r="CC95" i="5"/>
  <c r="CB95" i="5"/>
  <c r="CA95" i="5"/>
  <c r="BZ95" i="5"/>
  <c r="BY95" i="5"/>
  <c r="BX95" i="5"/>
  <c r="BW95" i="5"/>
  <c r="BV95" i="5"/>
  <c r="BU95" i="5"/>
  <c r="BT95" i="5"/>
  <c r="BS95" i="5"/>
  <c r="BR95" i="5"/>
  <c r="BQ95" i="5"/>
  <c r="BP95" i="5"/>
  <c r="BO95" i="5"/>
  <c r="BN95" i="5"/>
  <c r="BM95" i="5"/>
  <c r="BL95" i="5"/>
  <c r="BK95" i="5"/>
  <c r="BJ95" i="5"/>
  <c r="BI95" i="5"/>
  <c r="BH95" i="5"/>
  <c r="BG95" i="5"/>
  <c r="BF95" i="5"/>
  <c r="BE95" i="5"/>
  <c r="BD95" i="5"/>
  <c r="BC95" i="5"/>
  <c r="BB95" i="5"/>
  <c r="BA95" i="5"/>
  <c r="AZ95" i="5"/>
  <c r="AX95" i="5"/>
  <c r="AY95" i="5" s="1"/>
  <c r="AW95" i="5"/>
  <c r="AV95" i="5"/>
  <c r="AU95" i="5"/>
  <c r="AT95" i="5"/>
  <c r="AS95" i="5"/>
  <c r="AR95" i="5"/>
  <c r="DH94" i="5"/>
  <c r="DG94" i="5"/>
  <c r="DA94" i="5"/>
  <c r="CX94" i="5"/>
  <c r="CG94" i="5"/>
  <c r="CF94" i="5"/>
  <c r="CD94" i="5"/>
  <c r="CH94" i="5" s="1"/>
  <c r="CC94" i="5"/>
  <c r="CB94" i="5"/>
  <c r="CA94" i="5"/>
  <c r="BZ94" i="5"/>
  <c r="BY94" i="5"/>
  <c r="BX94" i="5"/>
  <c r="BW94" i="5"/>
  <c r="BV94" i="5"/>
  <c r="BU94" i="5"/>
  <c r="BT94" i="5"/>
  <c r="BS94" i="5"/>
  <c r="BR94" i="5"/>
  <c r="BQ94" i="5"/>
  <c r="BP94" i="5"/>
  <c r="BO94" i="5"/>
  <c r="BN94" i="5"/>
  <c r="BM94" i="5"/>
  <c r="BL94" i="5"/>
  <c r="BK94" i="5"/>
  <c r="BJ94" i="5"/>
  <c r="BI94" i="5"/>
  <c r="BH94" i="5"/>
  <c r="BG94" i="5"/>
  <c r="BF94" i="5"/>
  <c r="BE94" i="5"/>
  <c r="BD94" i="5"/>
  <c r="BC94" i="5"/>
  <c r="BB94" i="5"/>
  <c r="BA94" i="5"/>
  <c r="AZ94" i="5"/>
  <c r="AX94" i="5"/>
  <c r="AY94" i="5" s="1"/>
  <c r="AW94" i="5"/>
  <c r="AV94" i="5"/>
  <c r="AU94" i="5"/>
  <c r="AT94" i="5"/>
  <c r="AS94" i="5"/>
  <c r="AR94" i="5"/>
  <c r="DH93" i="5"/>
  <c r="DG93" i="5"/>
  <c r="DA93" i="5"/>
  <c r="CX93" i="5"/>
  <c r="CG93" i="5"/>
  <c r="CF93" i="5"/>
  <c r="CD93" i="5"/>
  <c r="CH93" i="5" s="1"/>
  <c r="CC93" i="5"/>
  <c r="CB93" i="5"/>
  <c r="CA93" i="5"/>
  <c r="BZ93" i="5"/>
  <c r="BY93" i="5"/>
  <c r="BX93" i="5"/>
  <c r="BW93" i="5"/>
  <c r="BV93" i="5"/>
  <c r="BU93" i="5"/>
  <c r="BT93" i="5"/>
  <c r="BS93" i="5"/>
  <c r="BR93" i="5"/>
  <c r="BQ93" i="5"/>
  <c r="BP93" i="5"/>
  <c r="BO93" i="5"/>
  <c r="BN93" i="5"/>
  <c r="BM93" i="5"/>
  <c r="BL93" i="5"/>
  <c r="BK93" i="5"/>
  <c r="BJ93" i="5"/>
  <c r="BI93" i="5"/>
  <c r="BH93" i="5"/>
  <c r="BG93" i="5"/>
  <c r="BF93" i="5"/>
  <c r="BE93" i="5"/>
  <c r="BD93" i="5"/>
  <c r="BC93" i="5"/>
  <c r="BB93" i="5"/>
  <c r="BA93" i="5"/>
  <c r="AZ93" i="5"/>
  <c r="AX93" i="5"/>
  <c r="AY93" i="5" s="1"/>
  <c r="AW93" i="5"/>
  <c r="AV93" i="5"/>
  <c r="AU93" i="5"/>
  <c r="AT93" i="5"/>
  <c r="AS93" i="5"/>
  <c r="AR93" i="5"/>
  <c r="DH92" i="5"/>
  <c r="DG92" i="5"/>
  <c r="DA92" i="5"/>
  <c r="CX92" i="5"/>
  <c r="CG92" i="5"/>
  <c r="CF92" i="5"/>
  <c r="CD92" i="5"/>
  <c r="CH92" i="5" s="1"/>
  <c r="CC92" i="5"/>
  <c r="CB92" i="5"/>
  <c r="CA92" i="5"/>
  <c r="BZ92" i="5"/>
  <c r="BY92" i="5"/>
  <c r="BX92" i="5"/>
  <c r="BW92" i="5"/>
  <c r="BV92" i="5"/>
  <c r="BU92" i="5"/>
  <c r="BT92" i="5"/>
  <c r="BS92" i="5"/>
  <c r="BR92" i="5"/>
  <c r="BQ92" i="5"/>
  <c r="BP92" i="5"/>
  <c r="BO92" i="5"/>
  <c r="BN92" i="5"/>
  <c r="BM92" i="5"/>
  <c r="BL92" i="5"/>
  <c r="BK92" i="5"/>
  <c r="BJ92" i="5"/>
  <c r="BI92" i="5"/>
  <c r="BH92" i="5"/>
  <c r="BG92" i="5"/>
  <c r="BF92" i="5"/>
  <c r="BE92" i="5"/>
  <c r="BD92" i="5"/>
  <c r="BC92" i="5"/>
  <c r="BB92" i="5"/>
  <c r="BA92" i="5"/>
  <c r="AZ92" i="5"/>
  <c r="AX92" i="5"/>
  <c r="AY92" i="5" s="1"/>
  <c r="AW92" i="5"/>
  <c r="AV92" i="5"/>
  <c r="AU92" i="5"/>
  <c r="AT92" i="5"/>
  <c r="AS92" i="5"/>
  <c r="AR92" i="5"/>
  <c r="DH91" i="5"/>
  <c r="DG91" i="5"/>
  <c r="DA91" i="5"/>
  <c r="CX91" i="5"/>
  <c r="CG91" i="5"/>
  <c r="CF91" i="5"/>
  <c r="CD91" i="5"/>
  <c r="CH91" i="5" s="1"/>
  <c r="CC91" i="5"/>
  <c r="CB91" i="5"/>
  <c r="CA91" i="5"/>
  <c r="BZ91" i="5"/>
  <c r="BY91" i="5"/>
  <c r="BX91" i="5"/>
  <c r="BW91" i="5"/>
  <c r="BV91" i="5"/>
  <c r="BU91" i="5"/>
  <c r="BT91" i="5"/>
  <c r="BS91" i="5"/>
  <c r="BR91" i="5"/>
  <c r="BQ91" i="5"/>
  <c r="BP91" i="5"/>
  <c r="BO91" i="5"/>
  <c r="BN91" i="5"/>
  <c r="BM91" i="5"/>
  <c r="BL91" i="5"/>
  <c r="BK91" i="5"/>
  <c r="BJ91" i="5"/>
  <c r="BI91" i="5"/>
  <c r="BH91" i="5"/>
  <c r="BG91" i="5"/>
  <c r="BF91" i="5"/>
  <c r="BE91" i="5"/>
  <c r="BD91" i="5"/>
  <c r="BC91" i="5"/>
  <c r="BB91" i="5"/>
  <c r="BA91" i="5"/>
  <c r="AZ91" i="5"/>
  <c r="AX91" i="5"/>
  <c r="AY91" i="5" s="1"/>
  <c r="AW91" i="5"/>
  <c r="AV91" i="5"/>
  <c r="AU91" i="5"/>
  <c r="AT91" i="5"/>
  <c r="AS91" i="5"/>
  <c r="AR91" i="5"/>
  <c r="DH90" i="5"/>
  <c r="DG90" i="5"/>
  <c r="DA90" i="5"/>
  <c r="CX90" i="5"/>
  <c r="CG90" i="5"/>
  <c r="CF90" i="5"/>
  <c r="CD90" i="5"/>
  <c r="CH90" i="5" s="1"/>
  <c r="CC90" i="5"/>
  <c r="CB90" i="5"/>
  <c r="CA90" i="5"/>
  <c r="BZ90" i="5"/>
  <c r="BY90" i="5"/>
  <c r="BX90" i="5"/>
  <c r="BW90" i="5"/>
  <c r="BV90" i="5"/>
  <c r="BU90" i="5"/>
  <c r="BT90" i="5"/>
  <c r="BS90" i="5"/>
  <c r="BR90" i="5"/>
  <c r="BQ90" i="5"/>
  <c r="BP90" i="5"/>
  <c r="BO90" i="5"/>
  <c r="BN90" i="5"/>
  <c r="BM90" i="5"/>
  <c r="BL90" i="5"/>
  <c r="BK90" i="5"/>
  <c r="BJ90" i="5"/>
  <c r="BI90" i="5"/>
  <c r="BH90" i="5"/>
  <c r="BG90" i="5"/>
  <c r="BF90" i="5"/>
  <c r="BE90" i="5"/>
  <c r="BD90" i="5"/>
  <c r="BC90" i="5"/>
  <c r="BB90" i="5"/>
  <c r="BA90" i="5"/>
  <c r="AZ90" i="5"/>
  <c r="AX90" i="5"/>
  <c r="AY90" i="5" s="1"/>
  <c r="AW90" i="5"/>
  <c r="AV90" i="5"/>
  <c r="AU90" i="5"/>
  <c r="AT90" i="5"/>
  <c r="AS90" i="5"/>
  <c r="AR90" i="5"/>
  <c r="DH89" i="5"/>
  <c r="DG89" i="5"/>
  <c r="DA89" i="5"/>
  <c r="CX89" i="5"/>
  <c r="CG89" i="5"/>
  <c r="CF89" i="5"/>
  <c r="CD89" i="5"/>
  <c r="CH89" i="5" s="1"/>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X89" i="5"/>
  <c r="AY89" i="5" s="1"/>
  <c r="AW89" i="5"/>
  <c r="AV89" i="5"/>
  <c r="AU89" i="5"/>
  <c r="AT89" i="5"/>
  <c r="AS89" i="5"/>
  <c r="AR89" i="5"/>
  <c r="DH88" i="5"/>
  <c r="DG88" i="5"/>
  <c r="DA88" i="5"/>
  <c r="CX88" i="5"/>
  <c r="CG88" i="5"/>
  <c r="CF88" i="5"/>
  <c r="CD88" i="5"/>
  <c r="CH88" i="5" s="1"/>
  <c r="CC88" i="5"/>
  <c r="CB88" i="5"/>
  <c r="CA88" i="5"/>
  <c r="BZ88" i="5"/>
  <c r="BY88" i="5"/>
  <c r="BX88" i="5"/>
  <c r="BW88" i="5"/>
  <c r="BV88" i="5"/>
  <c r="BU88" i="5"/>
  <c r="BT88" i="5"/>
  <c r="BS88" i="5"/>
  <c r="BR88" i="5"/>
  <c r="BQ88" i="5"/>
  <c r="BP88" i="5"/>
  <c r="BO88" i="5"/>
  <c r="BN88" i="5"/>
  <c r="BM88" i="5"/>
  <c r="BL88" i="5"/>
  <c r="BK88" i="5"/>
  <c r="BJ88" i="5"/>
  <c r="BI88" i="5"/>
  <c r="BH88" i="5"/>
  <c r="BG88" i="5"/>
  <c r="BF88" i="5"/>
  <c r="BE88" i="5"/>
  <c r="BD88" i="5"/>
  <c r="BC88" i="5"/>
  <c r="BB88" i="5"/>
  <c r="BA88" i="5"/>
  <c r="AZ88" i="5"/>
  <c r="AX88" i="5"/>
  <c r="AY88" i="5" s="1"/>
  <c r="AW88" i="5"/>
  <c r="AV88" i="5"/>
  <c r="AU88" i="5"/>
  <c r="AT88" i="5"/>
  <c r="AS88" i="5"/>
  <c r="AR88" i="5"/>
  <c r="DH87" i="5"/>
  <c r="DG87" i="5"/>
  <c r="DA87" i="5"/>
  <c r="CX87" i="5"/>
  <c r="CG87" i="5"/>
  <c r="CF87" i="5"/>
  <c r="CD87" i="5"/>
  <c r="CH87" i="5" s="1"/>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X87" i="5"/>
  <c r="AY87" i="5" s="1"/>
  <c r="AW87" i="5"/>
  <c r="AV87" i="5"/>
  <c r="AU87" i="5"/>
  <c r="AT87" i="5"/>
  <c r="AS87" i="5"/>
  <c r="AR87" i="5"/>
  <c r="DH86" i="5"/>
  <c r="DG86" i="5"/>
  <c r="DA86" i="5"/>
  <c r="CX86" i="5"/>
  <c r="CG86" i="5"/>
  <c r="CF86" i="5"/>
  <c r="CD86" i="5"/>
  <c r="CH86" i="5" s="1"/>
  <c r="CC86" i="5"/>
  <c r="CB86" i="5"/>
  <c r="CA86" i="5"/>
  <c r="BZ86" i="5"/>
  <c r="BY86" i="5"/>
  <c r="BX86" i="5"/>
  <c r="BW86" i="5"/>
  <c r="BV86" i="5"/>
  <c r="BU86" i="5"/>
  <c r="BT86" i="5"/>
  <c r="BS86" i="5"/>
  <c r="BR86" i="5"/>
  <c r="BQ86" i="5"/>
  <c r="BP86" i="5"/>
  <c r="BO86" i="5"/>
  <c r="BN86" i="5"/>
  <c r="BM86" i="5"/>
  <c r="BL86" i="5"/>
  <c r="BK86" i="5"/>
  <c r="BJ86" i="5"/>
  <c r="BI86" i="5"/>
  <c r="BH86" i="5"/>
  <c r="BG86" i="5"/>
  <c r="BF86" i="5"/>
  <c r="BE86" i="5"/>
  <c r="BD86" i="5"/>
  <c r="BC86" i="5"/>
  <c r="BB86" i="5"/>
  <c r="BA86" i="5"/>
  <c r="AZ86" i="5"/>
  <c r="AX86" i="5"/>
  <c r="AY86" i="5" s="1"/>
  <c r="AW86" i="5"/>
  <c r="AV86" i="5"/>
  <c r="AU86" i="5"/>
  <c r="AT86" i="5"/>
  <c r="AS86" i="5"/>
  <c r="AR86" i="5"/>
  <c r="DH85" i="5"/>
  <c r="DG85" i="5"/>
  <c r="DA85" i="5"/>
  <c r="CX85" i="5"/>
  <c r="CG85" i="5"/>
  <c r="CF85" i="5"/>
  <c r="CD85" i="5"/>
  <c r="CH85" i="5" s="1"/>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X85" i="5"/>
  <c r="AY85" i="5" s="1"/>
  <c r="AW85" i="5"/>
  <c r="AV85" i="5"/>
  <c r="AU85" i="5"/>
  <c r="AT85" i="5"/>
  <c r="AS85" i="5"/>
  <c r="AR85" i="5"/>
  <c r="DH84" i="5"/>
  <c r="DG84" i="5"/>
  <c r="DA84" i="5"/>
  <c r="CX84" i="5"/>
  <c r="CG84" i="5"/>
  <c r="CF84" i="5"/>
  <c r="CD84" i="5"/>
  <c r="CH84" i="5" s="1"/>
  <c r="CC84" i="5"/>
  <c r="CB84" i="5"/>
  <c r="CA84" i="5"/>
  <c r="BZ84" i="5"/>
  <c r="BY84" i="5"/>
  <c r="BX84" i="5"/>
  <c r="BW84" i="5"/>
  <c r="BV84" i="5"/>
  <c r="BU84" i="5"/>
  <c r="BT84" i="5"/>
  <c r="BS84" i="5"/>
  <c r="BR84" i="5"/>
  <c r="BQ84" i="5"/>
  <c r="BP84" i="5"/>
  <c r="BO84" i="5"/>
  <c r="BN84" i="5"/>
  <c r="BM84" i="5"/>
  <c r="BL84" i="5"/>
  <c r="BK84" i="5"/>
  <c r="BJ84" i="5"/>
  <c r="BI84" i="5"/>
  <c r="BH84" i="5"/>
  <c r="BG84" i="5"/>
  <c r="BF84" i="5"/>
  <c r="BE84" i="5"/>
  <c r="BD84" i="5"/>
  <c r="BC84" i="5"/>
  <c r="BB84" i="5"/>
  <c r="BA84" i="5"/>
  <c r="AZ84" i="5"/>
  <c r="AX84" i="5"/>
  <c r="AY84" i="5" s="1"/>
  <c r="AW84" i="5"/>
  <c r="AV84" i="5"/>
  <c r="AU84" i="5"/>
  <c r="AT84" i="5"/>
  <c r="AS84" i="5"/>
  <c r="AR84" i="5"/>
  <c r="DH83" i="5"/>
  <c r="DG83" i="5"/>
  <c r="DA83" i="5"/>
  <c r="CX83" i="5"/>
  <c r="CG83" i="5"/>
  <c r="CF83" i="5"/>
  <c r="CD83" i="5"/>
  <c r="CH83" i="5" s="1"/>
  <c r="CC83" i="5"/>
  <c r="CB83" i="5"/>
  <c r="CA83" i="5"/>
  <c r="BZ83" i="5"/>
  <c r="BY83" i="5"/>
  <c r="BX83" i="5"/>
  <c r="BW83" i="5"/>
  <c r="BV83" i="5"/>
  <c r="BU83" i="5"/>
  <c r="BT83" i="5"/>
  <c r="BS83" i="5"/>
  <c r="BR83" i="5"/>
  <c r="BQ83" i="5"/>
  <c r="BP83" i="5"/>
  <c r="BO83" i="5"/>
  <c r="BN83" i="5"/>
  <c r="BM83" i="5"/>
  <c r="BL83" i="5"/>
  <c r="BK83" i="5"/>
  <c r="BJ83" i="5"/>
  <c r="BI83" i="5"/>
  <c r="BH83" i="5"/>
  <c r="BG83" i="5"/>
  <c r="BF83" i="5"/>
  <c r="BE83" i="5"/>
  <c r="BD83" i="5"/>
  <c r="BC83" i="5"/>
  <c r="BB83" i="5"/>
  <c r="BA83" i="5"/>
  <c r="AZ83" i="5"/>
  <c r="AX83" i="5"/>
  <c r="AY83" i="5" s="1"/>
  <c r="AW83" i="5"/>
  <c r="AV83" i="5"/>
  <c r="AU83" i="5"/>
  <c r="AT83" i="5"/>
  <c r="AS83" i="5"/>
  <c r="AR83" i="5"/>
  <c r="DH82" i="5"/>
  <c r="DG82" i="5"/>
  <c r="DA82" i="5"/>
  <c r="CX82" i="5"/>
  <c r="CG82" i="5"/>
  <c r="CF82" i="5"/>
  <c r="CD82" i="5"/>
  <c r="CH82" i="5" s="1"/>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X82" i="5"/>
  <c r="AY82" i="5" s="1"/>
  <c r="AW82" i="5"/>
  <c r="AV82" i="5"/>
  <c r="AU82" i="5"/>
  <c r="AT82" i="5"/>
  <c r="AS82" i="5"/>
  <c r="AR82" i="5"/>
  <c r="DH81" i="5"/>
  <c r="DG81" i="5"/>
  <c r="DA81" i="5"/>
  <c r="CX81" i="5"/>
  <c r="CG81" i="5"/>
  <c r="CF81" i="5"/>
  <c r="CD81" i="5"/>
  <c r="CH81" i="5" s="1"/>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X81" i="5"/>
  <c r="AY81" i="5" s="1"/>
  <c r="AW81" i="5"/>
  <c r="AV81" i="5"/>
  <c r="AU81" i="5"/>
  <c r="AT81" i="5"/>
  <c r="AS81" i="5"/>
  <c r="AR81" i="5"/>
  <c r="DH80" i="5"/>
  <c r="DG80" i="5"/>
  <c r="DA80" i="5"/>
  <c r="CX80" i="5"/>
  <c r="CG80" i="5"/>
  <c r="CF80" i="5"/>
  <c r="CD80" i="5"/>
  <c r="CH80" i="5" s="1"/>
  <c r="CC80" i="5"/>
  <c r="CB80" i="5"/>
  <c r="CA80" i="5"/>
  <c r="BZ80" i="5"/>
  <c r="BY80" i="5"/>
  <c r="BX80" i="5"/>
  <c r="BW80" i="5"/>
  <c r="BV80" i="5"/>
  <c r="BU80" i="5"/>
  <c r="BT80" i="5"/>
  <c r="BS80" i="5"/>
  <c r="BR80" i="5"/>
  <c r="BQ80" i="5"/>
  <c r="BP80" i="5"/>
  <c r="BO80" i="5"/>
  <c r="BN80" i="5"/>
  <c r="BM80" i="5"/>
  <c r="BL80" i="5"/>
  <c r="BK80" i="5"/>
  <c r="BJ80" i="5"/>
  <c r="BI80" i="5"/>
  <c r="BH80" i="5"/>
  <c r="BG80" i="5"/>
  <c r="BF80" i="5"/>
  <c r="BE80" i="5"/>
  <c r="BD80" i="5"/>
  <c r="BC80" i="5"/>
  <c r="BB80" i="5"/>
  <c r="BA80" i="5"/>
  <c r="AZ80" i="5"/>
  <c r="AX80" i="5"/>
  <c r="AY80" i="5" s="1"/>
  <c r="AW80" i="5"/>
  <c r="AV80" i="5"/>
  <c r="AU80" i="5"/>
  <c r="AT80" i="5"/>
  <c r="AS80" i="5"/>
  <c r="AR80" i="5"/>
  <c r="DH79" i="5"/>
  <c r="DG79" i="5"/>
  <c r="DA79" i="5"/>
  <c r="CX79" i="5"/>
  <c r="CG79" i="5"/>
  <c r="CF79" i="5"/>
  <c r="CD79" i="5"/>
  <c r="CH79" i="5" s="1"/>
  <c r="CC79" i="5"/>
  <c r="CB79" i="5"/>
  <c r="CA79" i="5"/>
  <c r="BZ79" i="5"/>
  <c r="BY79" i="5"/>
  <c r="BX79" i="5"/>
  <c r="BW79" i="5"/>
  <c r="BV79" i="5"/>
  <c r="BU79" i="5"/>
  <c r="BT79" i="5"/>
  <c r="BS79" i="5"/>
  <c r="BR79" i="5"/>
  <c r="BQ79" i="5"/>
  <c r="BP79" i="5"/>
  <c r="BO79" i="5"/>
  <c r="BN79" i="5"/>
  <c r="BM79" i="5"/>
  <c r="BL79" i="5"/>
  <c r="BK79" i="5"/>
  <c r="BJ79" i="5"/>
  <c r="BI79" i="5"/>
  <c r="BH79" i="5"/>
  <c r="BG79" i="5"/>
  <c r="BF79" i="5"/>
  <c r="BE79" i="5"/>
  <c r="BD79" i="5"/>
  <c r="BC79" i="5"/>
  <c r="BB79" i="5"/>
  <c r="BA79" i="5"/>
  <c r="AZ79" i="5"/>
  <c r="AX79" i="5"/>
  <c r="AY79" i="5" s="1"/>
  <c r="AW79" i="5"/>
  <c r="AV79" i="5"/>
  <c r="AU79" i="5"/>
  <c r="AT79" i="5"/>
  <c r="AS79" i="5"/>
  <c r="AR79" i="5"/>
  <c r="DH78" i="5"/>
  <c r="DG78" i="5"/>
  <c r="DA78" i="5"/>
  <c r="CX78" i="5"/>
  <c r="CG78" i="5"/>
  <c r="CF78" i="5"/>
  <c r="CD78" i="5"/>
  <c r="CC78" i="5"/>
  <c r="CB78" i="5"/>
  <c r="CA78" i="5"/>
  <c r="BZ78" i="5"/>
  <c r="BY78" i="5"/>
  <c r="BX78" i="5"/>
  <c r="BW78" i="5"/>
  <c r="BV78" i="5"/>
  <c r="BU78" i="5"/>
  <c r="BT78" i="5"/>
  <c r="BS78" i="5"/>
  <c r="BR78" i="5"/>
  <c r="BQ78" i="5"/>
  <c r="BP78" i="5"/>
  <c r="BO78" i="5"/>
  <c r="BN78" i="5"/>
  <c r="BM78" i="5"/>
  <c r="BL78" i="5"/>
  <c r="BK78" i="5"/>
  <c r="BJ78" i="5"/>
  <c r="BI78" i="5"/>
  <c r="BH78" i="5"/>
  <c r="BG78" i="5"/>
  <c r="BF78" i="5"/>
  <c r="BE78" i="5"/>
  <c r="BD78" i="5"/>
  <c r="BC78" i="5"/>
  <c r="BB78" i="5"/>
  <c r="BA78" i="5"/>
  <c r="AZ78" i="5"/>
  <c r="AX78" i="5"/>
  <c r="AY78" i="5" s="1"/>
  <c r="AW78" i="5"/>
  <c r="AV78" i="5"/>
  <c r="AU78" i="5"/>
  <c r="AT78" i="5"/>
  <c r="AS78" i="5"/>
  <c r="AR78" i="5"/>
  <c r="DH77" i="5"/>
  <c r="DG77" i="5"/>
  <c r="DA77" i="5"/>
  <c r="CX77" i="5"/>
  <c r="CG77" i="5"/>
  <c r="CF77" i="5"/>
  <c r="CD77" i="5"/>
  <c r="CC77" i="5"/>
  <c r="CB77" i="5"/>
  <c r="CA77" i="5"/>
  <c r="BZ77" i="5"/>
  <c r="BY77" i="5"/>
  <c r="BX77" i="5"/>
  <c r="BW77" i="5"/>
  <c r="BV77" i="5"/>
  <c r="BU77" i="5"/>
  <c r="BT77" i="5"/>
  <c r="BS77" i="5"/>
  <c r="BR77" i="5"/>
  <c r="BQ77" i="5"/>
  <c r="BP77" i="5"/>
  <c r="BO77" i="5"/>
  <c r="BN77" i="5"/>
  <c r="BM77" i="5"/>
  <c r="BL77" i="5"/>
  <c r="BK77" i="5"/>
  <c r="BJ77" i="5"/>
  <c r="BI77" i="5"/>
  <c r="BH77" i="5"/>
  <c r="BG77" i="5"/>
  <c r="BF77" i="5"/>
  <c r="BE77" i="5"/>
  <c r="BD77" i="5"/>
  <c r="BC77" i="5"/>
  <c r="BB77" i="5"/>
  <c r="BA77" i="5"/>
  <c r="AZ77" i="5"/>
  <c r="AX77" i="5"/>
  <c r="AY77" i="5" s="1"/>
  <c r="AW77" i="5"/>
  <c r="AV77" i="5"/>
  <c r="AU77" i="5"/>
  <c r="AT77" i="5"/>
  <c r="AS77" i="5"/>
  <c r="AR77" i="5"/>
  <c r="DH76" i="5"/>
  <c r="DG76" i="5"/>
  <c r="DA76" i="5"/>
  <c r="CX76" i="5"/>
  <c r="CG76" i="5"/>
  <c r="CF76" i="5"/>
  <c r="CD76" i="5"/>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X76" i="5"/>
  <c r="AY76" i="5" s="1"/>
  <c r="AW76" i="5"/>
  <c r="AV76" i="5"/>
  <c r="AU76" i="5"/>
  <c r="AT76" i="5"/>
  <c r="AS76" i="5"/>
  <c r="AR76" i="5"/>
  <c r="DH75" i="5"/>
  <c r="DG75" i="5"/>
  <c r="DA75" i="5"/>
  <c r="CX75" i="5"/>
  <c r="CG75" i="5"/>
  <c r="CF75" i="5"/>
  <c r="CD75" i="5"/>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X75" i="5"/>
  <c r="AY75" i="5" s="1"/>
  <c r="AW75" i="5"/>
  <c r="AV75" i="5"/>
  <c r="AU75" i="5"/>
  <c r="AT75" i="5"/>
  <c r="AS75" i="5"/>
  <c r="AR75" i="5"/>
  <c r="DH74" i="5"/>
  <c r="DG74" i="5"/>
  <c r="DA74" i="5"/>
  <c r="CX74" i="5"/>
  <c r="CG74" i="5"/>
  <c r="CF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X74" i="5"/>
  <c r="AY74" i="5" s="1"/>
  <c r="AW74" i="5"/>
  <c r="AV74" i="5"/>
  <c r="AU74" i="5"/>
  <c r="AT74" i="5"/>
  <c r="AS74" i="5"/>
  <c r="AR74" i="5"/>
  <c r="DH73" i="5"/>
  <c r="DG73" i="5"/>
  <c r="DA73" i="5"/>
  <c r="CX73" i="5"/>
  <c r="CG73" i="5"/>
  <c r="CF73" i="5"/>
  <c r="CD73" i="5"/>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X73" i="5"/>
  <c r="AY73" i="5" s="1"/>
  <c r="AW73" i="5"/>
  <c r="AV73" i="5"/>
  <c r="AU73" i="5"/>
  <c r="AT73" i="5"/>
  <c r="AS73" i="5"/>
  <c r="AR73" i="5"/>
  <c r="DH72" i="5"/>
  <c r="DG72" i="5"/>
  <c r="DA72" i="5"/>
  <c r="CX72" i="5"/>
  <c r="CG72" i="5"/>
  <c r="CF72" i="5"/>
  <c r="CD72" i="5"/>
  <c r="CC72" i="5"/>
  <c r="CB72" i="5"/>
  <c r="CA72" i="5"/>
  <c r="BZ72" i="5"/>
  <c r="BY72" i="5"/>
  <c r="BX72" i="5"/>
  <c r="BW72" i="5"/>
  <c r="BV72" i="5"/>
  <c r="BU72" i="5"/>
  <c r="BT72" i="5"/>
  <c r="BS72" i="5"/>
  <c r="BR72" i="5"/>
  <c r="BQ72" i="5"/>
  <c r="BP72" i="5"/>
  <c r="BO72" i="5"/>
  <c r="BN72" i="5"/>
  <c r="BM72" i="5"/>
  <c r="BL72" i="5"/>
  <c r="BK72" i="5"/>
  <c r="BJ72" i="5"/>
  <c r="BI72" i="5"/>
  <c r="BH72" i="5"/>
  <c r="BG72" i="5"/>
  <c r="BF72" i="5"/>
  <c r="BE72" i="5"/>
  <c r="BD72" i="5"/>
  <c r="BC72" i="5"/>
  <c r="BB72" i="5"/>
  <c r="BA72" i="5"/>
  <c r="AZ72" i="5"/>
  <c r="AX72" i="5"/>
  <c r="AY72" i="5" s="1"/>
  <c r="AW72" i="5"/>
  <c r="AV72" i="5"/>
  <c r="AU72" i="5"/>
  <c r="AT72" i="5"/>
  <c r="AS72" i="5"/>
  <c r="AR72" i="5"/>
  <c r="DH71" i="5"/>
  <c r="DG71" i="5"/>
  <c r="DA71" i="5"/>
  <c r="CX71" i="5"/>
  <c r="CH71" i="5"/>
  <c r="CG71" i="5"/>
  <c r="CF71" i="5"/>
  <c r="CD71" i="5"/>
  <c r="CE71" i="5" s="1"/>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X71" i="5"/>
  <c r="AY71" i="5" s="1"/>
  <c r="AW71" i="5"/>
  <c r="AV71" i="5"/>
  <c r="AU71" i="5"/>
  <c r="AT71" i="5"/>
  <c r="AS71" i="5"/>
  <c r="AR71" i="5"/>
  <c r="DH70" i="5"/>
  <c r="DG70" i="5"/>
  <c r="DA70" i="5"/>
  <c r="CX70" i="5"/>
  <c r="CH70" i="5"/>
  <c r="CG70" i="5"/>
  <c r="CF70" i="5"/>
  <c r="CD70" i="5"/>
  <c r="CE70" i="5" s="1"/>
  <c r="CC70" i="5"/>
  <c r="CB70" i="5"/>
  <c r="CA70" i="5"/>
  <c r="BZ70" i="5"/>
  <c r="BY70" i="5"/>
  <c r="BX70" i="5"/>
  <c r="BW70" i="5"/>
  <c r="BV70" i="5"/>
  <c r="BU70" i="5"/>
  <c r="BT70" i="5"/>
  <c r="BS70" i="5"/>
  <c r="BR70" i="5"/>
  <c r="BQ70" i="5"/>
  <c r="BP70" i="5"/>
  <c r="BO70" i="5"/>
  <c r="BN70" i="5"/>
  <c r="BM70" i="5"/>
  <c r="BL70" i="5"/>
  <c r="BK70" i="5"/>
  <c r="BJ70" i="5"/>
  <c r="BI70" i="5"/>
  <c r="BH70" i="5"/>
  <c r="BG70" i="5"/>
  <c r="BF70" i="5"/>
  <c r="BE70" i="5"/>
  <c r="BD70" i="5"/>
  <c r="BC70" i="5"/>
  <c r="BB70" i="5"/>
  <c r="BA70" i="5"/>
  <c r="AZ70" i="5"/>
  <c r="AX70" i="5"/>
  <c r="AY70" i="5" s="1"/>
  <c r="AW70" i="5"/>
  <c r="AV70" i="5"/>
  <c r="AU70" i="5"/>
  <c r="AT70" i="5"/>
  <c r="AS70" i="5"/>
  <c r="AR70" i="5"/>
  <c r="DH69" i="5"/>
  <c r="DG69" i="5"/>
  <c r="DA69" i="5"/>
  <c r="CX69" i="5"/>
  <c r="CH69" i="5"/>
  <c r="CG69" i="5"/>
  <c r="CF69" i="5"/>
  <c r="CD69" i="5"/>
  <c r="CE69" i="5" s="1"/>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X69" i="5"/>
  <c r="AY69" i="5" s="1"/>
  <c r="AW69" i="5"/>
  <c r="AV69" i="5"/>
  <c r="AU69" i="5"/>
  <c r="AT69" i="5"/>
  <c r="AS69" i="5"/>
  <c r="AR69" i="5"/>
  <c r="DH68" i="5"/>
  <c r="DG68" i="5"/>
  <c r="DA68" i="5"/>
  <c r="CX68" i="5"/>
  <c r="CH68" i="5"/>
  <c r="CG68" i="5"/>
  <c r="CF68" i="5"/>
  <c r="CD68" i="5"/>
  <c r="CE68" i="5" s="1"/>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X68" i="5"/>
  <c r="AY68" i="5" s="1"/>
  <c r="AW68" i="5"/>
  <c r="AV68" i="5"/>
  <c r="AU68" i="5"/>
  <c r="AT68" i="5"/>
  <c r="AS68" i="5"/>
  <c r="AR68" i="5"/>
  <c r="DH67" i="5"/>
  <c r="DG67" i="5"/>
  <c r="DA67" i="5"/>
  <c r="CX67" i="5"/>
  <c r="CH67" i="5"/>
  <c r="CG67" i="5"/>
  <c r="CF67" i="5"/>
  <c r="CD67" i="5"/>
  <c r="CE67" i="5" s="1"/>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X67" i="5"/>
  <c r="AY67" i="5" s="1"/>
  <c r="AW67" i="5"/>
  <c r="AV67" i="5"/>
  <c r="AU67" i="5"/>
  <c r="AT67" i="5"/>
  <c r="AS67" i="5"/>
  <c r="AR67" i="5"/>
  <c r="DH66" i="5"/>
  <c r="DG66" i="5"/>
  <c r="DA66" i="5"/>
  <c r="CX66" i="5"/>
  <c r="CG66" i="5"/>
  <c r="CF66" i="5"/>
  <c r="CD66" i="5"/>
  <c r="CE66" i="5" s="1"/>
  <c r="CK66" i="5" s="1"/>
  <c r="CC66" i="5"/>
  <c r="CB66" i="5"/>
  <c r="CA66" i="5"/>
  <c r="BZ66" i="5"/>
  <c r="BY66" i="5"/>
  <c r="BX66" i="5"/>
  <c r="BW66" i="5"/>
  <c r="BV66" i="5"/>
  <c r="BU66" i="5"/>
  <c r="BT66" i="5"/>
  <c r="BS66" i="5"/>
  <c r="BR66" i="5"/>
  <c r="BQ66" i="5"/>
  <c r="BP66" i="5"/>
  <c r="BO66" i="5"/>
  <c r="BN66" i="5"/>
  <c r="BM66" i="5"/>
  <c r="BL66" i="5"/>
  <c r="BK66" i="5"/>
  <c r="BJ66" i="5"/>
  <c r="BI66" i="5"/>
  <c r="BH66" i="5"/>
  <c r="BG66" i="5"/>
  <c r="BF66" i="5"/>
  <c r="BE66" i="5"/>
  <c r="BD66" i="5"/>
  <c r="BC66" i="5"/>
  <c r="BB66" i="5"/>
  <c r="BA66" i="5"/>
  <c r="AZ66" i="5"/>
  <c r="AX66" i="5"/>
  <c r="AY66" i="5" s="1"/>
  <c r="AW66" i="5"/>
  <c r="AV66" i="5"/>
  <c r="AU66" i="5"/>
  <c r="AT66" i="5"/>
  <c r="AS66" i="5"/>
  <c r="AR66" i="5"/>
  <c r="DH65" i="5"/>
  <c r="DG65" i="5"/>
  <c r="DA65" i="5"/>
  <c r="CX65" i="5"/>
  <c r="CG65" i="5"/>
  <c r="CF65" i="5"/>
  <c r="CD65" i="5"/>
  <c r="CE65" i="5" s="1"/>
  <c r="CK65" i="5" s="1"/>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X65" i="5"/>
  <c r="AY65" i="5" s="1"/>
  <c r="AW65" i="5"/>
  <c r="AV65" i="5"/>
  <c r="AU65" i="5"/>
  <c r="AT65" i="5"/>
  <c r="AS65" i="5"/>
  <c r="AR65" i="5"/>
  <c r="DH64" i="5"/>
  <c r="DG64" i="5"/>
  <c r="DA64" i="5"/>
  <c r="CX64" i="5"/>
  <c r="CH64" i="5"/>
  <c r="CG64" i="5"/>
  <c r="CF64" i="5"/>
  <c r="CD64" i="5"/>
  <c r="CE64" i="5" s="1"/>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X64" i="5"/>
  <c r="AY64" i="5" s="1"/>
  <c r="AW64" i="5"/>
  <c r="AV64" i="5"/>
  <c r="CK64" i="5" s="1"/>
  <c r="AU64" i="5"/>
  <c r="AT64" i="5"/>
  <c r="AS64" i="5"/>
  <c r="AR64" i="5"/>
  <c r="DH63" i="5"/>
  <c r="DG63" i="5"/>
  <c r="DA63" i="5"/>
  <c r="CX63" i="5"/>
  <c r="CK63" i="5"/>
  <c r="CH63" i="5"/>
  <c r="CG63" i="5"/>
  <c r="CF63" i="5"/>
  <c r="CD63" i="5"/>
  <c r="CE63" i="5" s="1"/>
  <c r="CC63" i="5"/>
  <c r="CB63" i="5"/>
  <c r="CA63" i="5"/>
  <c r="BZ63" i="5"/>
  <c r="BY63" i="5"/>
  <c r="BX63" i="5"/>
  <c r="BW63" i="5"/>
  <c r="BV63" i="5"/>
  <c r="BU63" i="5"/>
  <c r="BT63" i="5"/>
  <c r="BS63" i="5"/>
  <c r="BR63" i="5"/>
  <c r="BQ63" i="5"/>
  <c r="BP63" i="5"/>
  <c r="BO63" i="5"/>
  <c r="BN63" i="5"/>
  <c r="BM63" i="5"/>
  <c r="BL63" i="5"/>
  <c r="BK63" i="5"/>
  <c r="BJ63" i="5"/>
  <c r="BI63" i="5"/>
  <c r="BH63" i="5"/>
  <c r="BG63" i="5"/>
  <c r="BF63" i="5"/>
  <c r="BE63" i="5"/>
  <c r="BD63" i="5"/>
  <c r="BC63" i="5"/>
  <c r="BB63" i="5"/>
  <c r="BA63" i="5"/>
  <c r="AZ63" i="5"/>
  <c r="AX63" i="5"/>
  <c r="AY63" i="5" s="1"/>
  <c r="AW63" i="5"/>
  <c r="AV63" i="5"/>
  <c r="AU63" i="5"/>
  <c r="AT63" i="5"/>
  <c r="AS63" i="5"/>
  <c r="AR63" i="5"/>
  <c r="DH62" i="5"/>
  <c r="DG62" i="5"/>
  <c r="DA62" i="5"/>
  <c r="CX62" i="5"/>
  <c r="CK62" i="5"/>
  <c r="CG62" i="5"/>
  <c r="CF62" i="5"/>
  <c r="CD62" i="5"/>
  <c r="CE62" i="5" s="1"/>
  <c r="CC62" i="5"/>
  <c r="CB62" i="5"/>
  <c r="CA62" i="5"/>
  <c r="BZ62" i="5"/>
  <c r="BY62" i="5"/>
  <c r="BX62" i="5"/>
  <c r="BW62" i="5"/>
  <c r="BV62" i="5"/>
  <c r="BU62" i="5"/>
  <c r="BT62" i="5"/>
  <c r="BS62" i="5"/>
  <c r="BR62" i="5"/>
  <c r="BQ62" i="5"/>
  <c r="BP62" i="5"/>
  <c r="BO62" i="5"/>
  <c r="BN62" i="5"/>
  <c r="BM62" i="5"/>
  <c r="BL62" i="5"/>
  <c r="BK62" i="5"/>
  <c r="BJ62" i="5"/>
  <c r="BI62" i="5"/>
  <c r="BH62" i="5"/>
  <c r="BG62" i="5"/>
  <c r="BF62" i="5"/>
  <c r="BE62" i="5"/>
  <c r="BD62" i="5"/>
  <c r="BC62" i="5"/>
  <c r="BB62" i="5"/>
  <c r="BA62" i="5"/>
  <c r="AZ62" i="5"/>
  <c r="AX62" i="5"/>
  <c r="AY62" i="5" s="1"/>
  <c r="AW62" i="5"/>
  <c r="AV62" i="5"/>
  <c r="AU62" i="5"/>
  <c r="AT62" i="5"/>
  <c r="AS62" i="5"/>
  <c r="AR62" i="5"/>
  <c r="DH61" i="5"/>
  <c r="DG61" i="5"/>
  <c r="DA61" i="5"/>
  <c r="CX61" i="5"/>
  <c r="CK61" i="5"/>
  <c r="CG61" i="5"/>
  <c r="CF61" i="5"/>
  <c r="CD61" i="5"/>
  <c r="CE61" i="5" s="1"/>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X61" i="5"/>
  <c r="AY61" i="5" s="1"/>
  <c r="AW61" i="5"/>
  <c r="AV61" i="5"/>
  <c r="AU61" i="5"/>
  <c r="AT61" i="5"/>
  <c r="AS61" i="5"/>
  <c r="AR61" i="5"/>
  <c r="DH60" i="5"/>
  <c r="DG60" i="5"/>
  <c r="DA60" i="5"/>
  <c r="CX60" i="5"/>
  <c r="CH60" i="5"/>
  <c r="CG60" i="5"/>
  <c r="CF60" i="5"/>
  <c r="CD60" i="5"/>
  <c r="CE60" i="5" s="1"/>
  <c r="CK60" i="5" s="1"/>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X60" i="5"/>
  <c r="AY60" i="5" s="1"/>
  <c r="AW60" i="5"/>
  <c r="AV60" i="5"/>
  <c r="AU60" i="5"/>
  <c r="AT60" i="5"/>
  <c r="AS60" i="5"/>
  <c r="AR60" i="5"/>
  <c r="DH59" i="5"/>
  <c r="DG59" i="5"/>
  <c r="DA59" i="5"/>
  <c r="CX59" i="5"/>
  <c r="CG59" i="5"/>
  <c r="CF59" i="5"/>
  <c r="CD59" i="5"/>
  <c r="CE59" i="5" s="1"/>
  <c r="CK59" i="5" s="1"/>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X59" i="5"/>
  <c r="AY59" i="5" s="1"/>
  <c r="AW59" i="5"/>
  <c r="AV59" i="5"/>
  <c r="AU59" i="5"/>
  <c r="AT59" i="5"/>
  <c r="AS59" i="5"/>
  <c r="AR59" i="5"/>
  <c r="DH58" i="5"/>
  <c r="DG58" i="5"/>
  <c r="DA58" i="5"/>
  <c r="CX58" i="5"/>
  <c r="CH58" i="5"/>
  <c r="CG58" i="5"/>
  <c r="CF58" i="5"/>
  <c r="CE58" i="5"/>
  <c r="CI58" i="5" s="1"/>
  <c r="CJ58" i="5" s="1"/>
  <c r="CD58" i="5"/>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DH57" i="5"/>
  <c r="DG57" i="5"/>
  <c r="DA57" i="5"/>
  <c r="CX57" i="5"/>
  <c r="CH57" i="5"/>
  <c r="CG57" i="5"/>
  <c r="CF57" i="5"/>
  <c r="CE57" i="5"/>
  <c r="CK57" i="5" s="1"/>
  <c r="CD57" i="5"/>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DH56" i="5"/>
  <c r="DG56" i="5"/>
  <c r="DA56" i="5"/>
  <c r="CX56" i="5"/>
  <c r="CH56" i="5"/>
  <c r="CG56" i="5"/>
  <c r="CF56" i="5"/>
  <c r="CE56" i="5"/>
  <c r="CK56" i="5" s="1"/>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Y56" i="5"/>
  <c r="AX56" i="5"/>
  <c r="AW56" i="5"/>
  <c r="AV56" i="5"/>
  <c r="AU56" i="5"/>
  <c r="AT56" i="5"/>
  <c r="AS56" i="5"/>
  <c r="AR56" i="5"/>
  <c r="DH55" i="5"/>
  <c r="DG55" i="5"/>
  <c r="DA55" i="5"/>
  <c r="CX55" i="5"/>
  <c r="CH55" i="5"/>
  <c r="CG55" i="5"/>
  <c r="CF55" i="5"/>
  <c r="CE55" i="5"/>
  <c r="CK55" i="5" s="1"/>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DH54" i="5"/>
  <c r="DG54" i="5"/>
  <c r="DA54" i="5"/>
  <c r="CX54" i="5"/>
  <c r="CH54" i="5"/>
  <c r="CG54" i="5"/>
  <c r="CF54" i="5"/>
  <c r="CE54" i="5"/>
  <c r="CK54" i="5" s="1"/>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DH53" i="5"/>
  <c r="DG53" i="5"/>
  <c r="DA53" i="5"/>
  <c r="CX53" i="5"/>
  <c r="CH53" i="5"/>
  <c r="CG53" i="5"/>
  <c r="CF53" i="5"/>
  <c r="CE53" i="5"/>
  <c r="CK53" i="5" s="1"/>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DH52" i="5"/>
  <c r="DG52" i="5"/>
  <c r="DA52" i="5"/>
  <c r="CX52" i="5"/>
  <c r="CH52" i="5"/>
  <c r="CG52" i="5"/>
  <c r="CF52" i="5"/>
  <c r="CE52" i="5"/>
  <c r="CK52" i="5" s="1"/>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DH51" i="5"/>
  <c r="DG51" i="5"/>
  <c r="DA51" i="5"/>
  <c r="CX51" i="5"/>
  <c r="CH51" i="5"/>
  <c r="CG51" i="5"/>
  <c r="CF51" i="5"/>
  <c r="CE51" i="5"/>
  <c r="CK51" i="5" s="1"/>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DH50" i="5"/>
  <c r="DG50" i="5"/>
  <c r="DA50" i="5"/>
  <c r="CX50" i="5"/>
  <c r="CH50" i="5"/>
  <c r="CG50" i="5"/>
  <c r="CF50" i="5"/>
  <c r="CE50" i="5"/>
  <c r="CK50" i="5" s="1"/>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DH49" i="5"/>
  <c r="DG49" i="5"/>
  <c r="DA49" i="5"/>
  <c r="CX49" i="5"/>
  <c r="CH49" i="5"/>
  <c r="CG49" i="5"/>
  <c r="CF49" i="5"/>
  <c r="CE49" i="5"/>
  <c r="CK49" i="5" s="1"/>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DH48" i="5"/>
  <c r="DG48" i="5"/>
  <c r="DA48" i="5"/>
  <c r="CX48" i="5"/>
  <c r="CH48" i="5"/>
  <c r="CG48" i="5"/>
  <c r="CF48" i="5"/>
  <c r="CE48" i="5"/>
  <c r="CK48" i="5" s="1"/>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DH47" i="5"/>
  <c r="DG47" i="5"/>
  <c r="DA47" i="5"/>
  <c r="CX47" i="5"/>
  <c r="CH47" i="5"/>
  <c r="CG47" i="5"/>
  <c r="CF47" i="5"/>
  <c r="CE47" i="5"/>
  <c r="CK47" i="5" s="1"/>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DH46" i="5"/>
  <c r="DG46" i="5"/>
  <c r="DA46" i="5"/>
  <c r="CX46" i="5"/>
  <c r="CH46" i="5"/>
  <c r="CG46" i="5"/>
  <c r="CF46" i="5"/>
  <c r="CE46" i="5"/>
  <c r="CK46" i="5" s="1"/>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DH45" i="5"/>
  <c r="DG45" i="5"/>
  <c r="DA45" i="5"/>
  <c r="CX45" i="5"/>
  <c r="CH45" i="5"/>
  <c r="CG45" i="5"/>
  <c r="CF45" i="5"/>
  <c r="CE45" i="5"/>
  <c r="CK45" i="5" s="1"/>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DH44" i="5"/>
  <c r="DG44" i="5"/>
  <c r="DA44" i="5"/>
  <c r="CX44" i="5"/>
  <c r="CH44" i="5"/>
  <c r="CG44" i="5"/>
  <c r="CF44" i="5"/>
  <c r="CE44" i="5"/>
  <c r="CK44" i="5" s="1"/>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DH43" i="5"/>
  <c r="DG43" i="5"/>
  <c r="DA43" i="5"/>
  <c r="CX43" i="5"/>
  <c r="CH43" i="5"/>
  <c r="CG43" i="5"/>
  <c r="CF43" i="5"/>
  <c r="CE43" i="5"/>
  <c r="CK43" i="5" s="1"/>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DH42" i="5"/>
  <c r="DG42" i="5"/>
  <c r="DA42" i="5"/>
  <c r="CX42" i="5"/>
  <c r="CH42" i="5"/>
  <c r="CG42" i="5"/>
  <c r="CF42" i="5"/>
  <c r="CE42" i="5"/>
  <c r="CK42" i="5" s="1"/>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DH41" i="5"/>
  <c r="DG41" i="5"/>
  <c r="DA41" i="5"/>
  <c r="CX41" i="5"/>
  <c r="CH41" i="5"/>
  <c r="CG41" i="5"/>
  <c r="CF41" i="5"/>
  <c r="CE41" i="5"/>
  <c r="CK41" i="5" s="1"/>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DH40" i="5"/>
  <c r="DG40" i="5"/>
  <c r="DA40" i="5"/>
  <c r="CX40" i="5"/>
  <c r="CH40" i="5"/>
  <c r="CG40" i="5"/>
  <c r="CF40" i="5"/>
  <c r="CE40" i="5"/>
  <c r="CK40" i="5" s="1"/>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DH39" i="5"/>
  <c r="DG39" i="5"/>
  <c r="DA39" i="5"/>
  <c r="CX39" i="5"/>
  <c r="CH39" i="5"/>
  <c r="CG39" i="5"/>
  <c r="CF39" i="5"/>
  <c r="CE39" i="5"/>
  <c r="CK39" i="5" s="1"/>
  <c r="CD39" i="5"/>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DH38" i="5"/>
  <c r="DG38" i="5"/>
  <c r="DA38" i="5"/>
  <c r="CX38" i="5"/>
  <c r="CH38" i="5"/>
  <c r="CG38" i="5"/>
  <c r="CF38" i="5"/>
  <c r="CE38" i="5"/>
  <c r="CK38" i="5" s="1"/>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Y38" i="5"/>
  <c r="AX38" i="5"/>
  <c r="AW38" i="5"/>
  <c r="AV38" i="5"/>
  <c r="AU38" i="5"/>
  <c r="AT38" i="5"/>
  <c r="AS38" i="5"/>
  <c r="AR38" i="5"/>
  <c r="DH37" i="5"/>
  <c r="DG37" i="5"/>
  <c r="DA37" i="5"/>
  <c r="CX37" i="5"/>
  <c r="CH37" i="5"/>
  <c r="CG37" i="5"/>
  <c r="CF37" i="5"/>
  <c r="CE37" i="5"/>
  <c r="CK37" i="5" s="1"/>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DH36" i="5"/>
  <c r="DG36" i="5"/>
  <c r="DA36" i="5"/>
  <c r="CX36" i="5"/>
  <c r="CH36" i="5"/>
  <c r="CG36" i="5"/>
  <c r="CF36" i="5"/>
  <c r="CE36" i="5"/>
  <c r="CK36" i="5" s="1"/>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DH35" i="5"/>
  <c r="DG35" i="5"/>
  <c r="DA35" i="5"/>
  <c r="CX35" i="5"/>
  <c r="CH35" i="5"/>
  <c r="CG35" i="5"/>
  <c r="CF35" i="5"/>
  <c r="CE35" i="5"/>
  <c r="CK35" i="5" s="1"/>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DH34" i="5"/>
  <c r="DG34" i="5"/>
  <c r="DA34" i="5"/>
  <c r="CX34" i="5"/>
  <c r="CH34" i="5"/>
  <c r="CG34" i="5"/>
  <c r="CF34" i="5"/>
  <c r="CE34" i="5"/>
  <c r="CK34" i="5" s="1"/>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DH33" i="5"/>
  <c r="DG33" i="5"/>
  <c r="DA33" i="5"/>
  <c r="CX33" i="5"/>
  <c r="CH33" i="5"/>
  <c r="CG33" i="5"/>
  <c r="CF33" i="5"/>
  <c r="CE33" i="5"/>
  <c r="CK33" i="5" s="1"/>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DH32" i="5"/>
  <c r="DG32" i="5"/>
  <c r="DA32" i="5"/>
  <c r="CX32" i="5"/>
  <c r="CH32" i="5"/>
  <c r="CG32" i="5"/>
  <c r="CF32" i="5"/>
  <c r="CE32" i="5"/>
  <c r="CK32" i="5" s="1"/>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DH31" i="5"/>
  <c r="DG31" i="5"/>
  <c r="DA31" i="5"/>
  <c r="CX31" i="5"/>
  <c r="CH31" i="5"/>
  <c r="CG31" i="5"/>
  <c r="CF31" i="5"/>
  <c r="CE31" i="5"/>
  <c r="CK31" i="5" s="1"/>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DH30" i="5"/>
  <c r="DG30" i="5"/>
  <c r="DA30" i="5"/>
  <c r="CX30" i="5"/>
  <c r="CH30" i="5"/>
  <c r="CG30" i="5"/>
  <c r="CF30" i="5"/>
  <c r="CE30" i="5"/>
  <c r="CK30" i="5" s="1"/>
  <c r="CD30" i="5"/>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DH29" i="5"/>
  <c r="DG29" i="5"/>
  <c r="DA29" i="5"/>
  <c r="CX29" i="5"/>
  <c r="CH29" i="5"/>
  <c r="CG29" i="5"/>
  <c r="CF29" i="5"/>
  <c r="CE29" i="5"/>
  <c r="CK29" i="5" s="1"/>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Y29" i="5"/>
  <c r="AX29" i="5"/>
  <c r="AW29" i="5"/>
  <c r="AV29" i="5"/>
  <c r="AU29" i="5"/>
  <c r="AT29" i="5"/>
  <c r="AS29" i="5"/>
  <c r="AR29" i="5"/>
  <c r="DH28" i="5"/>
  <c r="DG28" i="5"/>
  <c r="DA28" i="5"/>
  <c r="CX28" i="5"/>
  <c r="CH28" i="5"/>
  <c r="CG28" i="5"/>
  <c r="CF28" i="5"/>
  <c r="CE28" i="5"/>
  <c r="CK28" i="5" s="1"/>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DH27" i="5"/>
  <c r="DG27" i="5"/>
  <c r="DA27" i="5"/>
  <c r="CX27" i="5"/>
  <c r="CH27" i="5"/>
  <c r="CG27" i="5"/>
  <c r="CF27" i="5"/>
  <c r="CE27" i="5"/>
  <c r="CK27" i="5" s="1"/>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DH26" i="5"/>
  <c r="DG26" i="5"/>
  <c r="DA26" i="5"/>
  <c r="CX26" i="5"/>
  <c r="CH26" i="5"/>
  <c r="CG26" i="5"/>
  <c r="CF26" i="5"/>
  <c r="CE26" i="5"/>
  <c r="CK26" i="5" s="1"/>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DH25" i="5"/>
  <c r="DG25" i="5"/>
  <c r="DA25" i="5"/>
  <c r="CX25" i="5"/>
  <c r="CH25" i="5"/>
  <c r="CG25" i="5"/>
  <c r="CF25" i="5"/>
  <c r="CE25" i="5"/>
  <c r="CK25" i="5" s="1"/>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DH24" i="5"/>
  <c r="DG24" i="5"/>
  <c r="DA24" i="5"/>
  <c r="CX24" i="5"/>
  <c r="CH24" i="5"/>
  <c r="CG24" i="5"/>
  <c r="CF24" i="5"/>
  <c r="CE24" i="5"/>
  <c r="CK24" i="5" s="1"/>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DH23" i="5"/>
  <c r="DG23" i="5"/>
  <c r="DA23" i="5"/>
  <c r="CX23" i="5"/>
  <c r="CH23" i="5"/>
  <c r="CG23" i="5"/>
  <c r="CF23" i="5"/>
  <c r="CE23" i="5"/>
  <c r="CK23" i="5" s="1"/>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DH22" i="5"/>
  <c r="DG22" i="5"/>
  <c r="DA22" i="5"/>
  <c r="CX22" i="5"/>
  <c r="CH22" i="5"/>
  <c r="CG22" i="5"/>
  <c r="CF22" i="5"/>
  <c r="CE22" i="5"/>
  <c r="CK22" i="5" s="1"/>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DH21" i="5"/>
  <c r="DG21" i="5"/>
  <c r="DA21" i="5"/>
  <c r="CX21" i="5"/>
  <c r="CH21" i="5"/>
  <c r="CG21" i="5"/>
  <c r="CF21" i="5"/>
  <c r="CE21" i="5"/>
  <c r="CK21" i="5" s="1"/>
  <c r="CD21" i="5"/>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DH20" i="5"/>
  <c r="DG20" i="5"/>
  <c r="DA20" i="5"/>
  <c r="CX20" i="5"/>
  <c r="CH20" i="5"/>
  <c r="CG20" i="5"/>
  <c r="CF20" i="5"/>
  <c r="CE20" i="5"/>
  <c r="CK20" i="5" s="1"/>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Y20" i="5"/>
  <c r="AX20" i="5"/>
  <c r="AW20" i="5"/>
  <c r="AV20" i="5"/>
  <c r="AU20" i="5"/>
  <c r="AT20" i="5"/>
  <c r="AS20" i="5"/>
  <c r="AR20" i="5"/>
  <c r="DH19" i="5"/>
  <c r="DG19" i="5"/>
  <c r="DA19" i="5"/>
  <c r="CX19" i="5"/>
  <c r="CH19" i="5"/>
  <c r="CG19" i="5"/>
  <c r="CF19" i="5"/>
  <c r="CE19" i="5"/>
  <c r="CK19" i="5" s="1"/>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DH18" i="5"/>
  <c r="DG18" i="5"/>
  <c r="DA18" i="5"/>
  <c r="CX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DH17" i="5"/>
  <c r="DG17" i="5"/>
  <c r="DA17" i="5"/>
  <c r="CX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DH16" i="5"/>
  <c r="DG16" i="5"/>
  <c r="DA16" i="5"/>
  <c r="CX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DH15" i="5"/>
  <c r="DG15" i="5"/>
  <c r="DA15" i="5"/>
  <c r="CX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DH14" i="5"/>
  <c r="DG14" i="5"/>
  <c r="DA14" i="5"/>
  <c r="CX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DH13" i="5"/>
  <c r="DG13" i="5"/>
  <c r="DA13" i="5"/>
  <c r="CX13" i="5"/>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DH12" i="5"/>
  <c r="DG12" i="5"/>
  <c r="DA12" i="5"/>
  <c r="CX12" i="5"/>
  <c r="CH12" i="5"/>
  <c r="CG12" i="5"/>
  <c r="CF12" i="5"/>
  <c r="CE12" i="5"/>
  <c r="CD12" i="5"/>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DH11" i="5"/>
  <c r="DG11" i="5"/>
  <c r="DA11" i="5"/>
  <c r="CX11" i="5"/>
  <c r="CH11" i="5"/>
  <c r="CG11" i="5"/>
  <c r="CF11" i="5"/>
  <c r="CE11" i="5"/>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Y11" i="5"/>
  <c r="AX11" i="5"/>
  <c r="AW11" i="5"/>
  <c r="AV11" i="5"/>
  <c r="AU11" i="5"/>
  <c r="AT11" i="5"/>
  <c r="AS11" i="5"/>
  <c r="AR11" i="5"/>
  <c r="CG10" i="5"/>
  <c r="CF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T10" i="5"/>
  <c r="AS10" i="5"/>
  <c r="AU10" i="5" s="1"/>
  <c r="AR10" i="5"/>
  <c r="CG9" i="5"/>
  <c r="CF9" i="5"/>
  <c r="CA9" i="5"/>
  <c r="BZ9" i="5"/>
  <c r="BY9" i="5"/>
  <c r="BX9" i="5"/>
  <c r="BW9" i="5"/>
  <c r="BV9" i="5"/>
  <c r="BU9" i="5"/>
  <c r="BT9" i="5"/>
  <c r="BS9" i="5"/>
  <c r="BR9" i="5"/>
  <c r="BQ9" i="5"/>
  <c r="BP9" i="5"/>
  <c r="BO9" i="5"/>
  <c r="CC9" i="5" s="1"/>
  <c r="BN9" i="5"/>
  <c r="BM9" i="5"/>
  <c r="BL9" i="5"/>
  <c r="BK9" i="5"/>
  <c r="BJ9" i="5"/>
  <c r="BI9" i="5"/>
  <c r="BH9" i="5"/>
  <c r="BG9" i="5"/>
  <c r="BF9" i="5"/>
  <c r="BE9" i="5"/>
  <c r="BD9" i="5"/>
  <c r="BC9" i="5"/>
  <c r="BB9" i="5"/>
  <c r="BA9" i="5"/>
  <c r="AZ9" i="5"/>
  <c r="AY9" i="5"/>
  <c r="AX9" i="5"/>
  <c r="AW9" i="5"/>
  <c r="AV9" i="5"/>
  <c r="AT9" i="5"/>
  <c r="AS9" i="5"/>
  <c r="AU9" i="5" s="1"/>
  <c r="AR9" i="5"/>
  <c r="CG8" i="5"/>
  <c r="CF8" i="5"/>
  <c r="CA8" i="5"/>
  <c r="BZ8" i="5"/>
  <c r="BY8" i="5"/>
  <c r="BX8" i="5"/>
  <c r="BW8" i="5"/>
  <c r="BV8" i="5"/>
  <c r="BU8" i="5"/>
  <c r="BT8" i="5"/>
  <c r="BS8" i="5"/>
  <c r="BR8" i="5"/>
  <c r="BQ8" i="5"/>
  <c r="BP8" i="5"/>
  <c r="BO8" i="5"/>
  <c r="CC8" i="5" s="1"/>
  <c r="BN8" i="5"/>
  <c r="BM8" i="5"/>
  <c r="BL8" i="5"/>
  <c r="BK8" i="5"/>
  <c r="BJ8" i="5"/>
  <c r="BI8" i="5"/>
  <c r="BH8" i="5"/>
  <c r="BG8" i="5"/>
  <c r="BF8" i="5"/>
  <c r="BE8" i="5"/>
  <c r="BD8" i="5"/>
  <c r="BC8" i="5"/>
  <c r="BB8" i="5"/>
  <c r="BA8" i="5"/>
  <c r="AZ8" i="5"/>
  <c r="CB8" i="5" s="1"/>
  <c r="AY8" i="5"/>
  <c r="AX8" i="5"/>
  <c r="AW8" i="5"/>
  <c r="AV8" i="5"/>
  <c r="AR8" i="5"/>
  <c r="AT8" i="5" s="1"/>
  <c r="CG7" i="5"/>
  <c r="CF7" i="5"/>
  <c r="CA7" i="5"/>
  <c r="BZ7" i="5"/>
  <c r="BY7" i="5"/>
  <c r="BX7" i="5"/>
  <c r="BW7" i="5"/>
  <c r="BV7" i="5"/>
  <c r="BU7" i="5"/>
  <c r="BT7" i="5"/>
  <c r="BS7" i="5"/>
  <c r="BR7" i="5"/>
  <c r="BQ7" i="5"/>
  <c r="BP7" i="5"/>
  <c r="BO7" i="5"/>
  <c r="CC7" i="5" s="1"/>
  <c r="BN7" i="5"/>
  <c r="BM7" i="5"/>
  <c r="BL7" i="5"/>
  <c r="BK7" i="5"/>
  <c r="BJ7" i="5"/>
  <c r="BI7" i="5"/>
  <c r="BH7" i="5"/>
  <c r="BG7" i="5"/>
  <c r="BF7" i="5"/>
  <c r="BE7" i="5"/>
  <c r="BD7" i="5"/>
  <c r="BC7" i="5"/>
  <c r="BB7" i="5"/>
  <c r="BA7" i="5"/>
  <c r="AZ7" i="5"/>
  <c r="CB7" i="5" s="1"/>
  <c r="AY7" i="5"/>
  <c r="AX7" i="5"/>
  <c r="AW7" i="5"/>
  <c r="AV7" i="5"/>
  <c r="AR7" i="5"/>
  <c r="AT7" i="5" s="1"/>
  <c r="CG6" i="5"/>
  <c r="CF6" i="5"/>
  <c r="CA6" i="5"/>
  <c r="BZ6" i="5"/>
  <c r="BY6" i="5"/>
  <c r="BX6" i="5"/>
  <c r="BW6" i="5"/>
  <c r="BV6" i="5"/>
  <c r="BU6" i="5"/>
  <c r="BT6" i="5"/>
  <c r="BS6" i="5"/>
  <c r="BR6" i="5"/>
  <c r="BQ6" i="5"/>
  <c r="BP6" i="5"/>
  <c r="BO6" i="5"/>
  <c r="CC6" i="5" s="1"/>
  <c r="BN6" i="5"/>
  <c r="BM6" i="5"/>
  <c r="BL6" i="5"/>
  <c r="BK6" i="5"/>
  <c r="BJ6" i="5"/>
  <c r="BI6" i="5"/>
  <c r="BH6" i="5"/>
  <c r="BG6" i="5"/>
  <c r="BF6" i="5"/>
  <c r="BE6" i="5"/>
  <c r="BD6" i="5"/>
  <c r="BC6" i="5"/>
  <c r="BB6" i="5"/>
  <c r="BA6" i="5"/>
  <c r="AZ6" i="5"/>
  <c r="CB6" i="5" s="1"/>
  <c r="AY6" i="5"/>
  <c r="AX6" i="5"/>
  <c r="AW6" i="5"/>
  <c r="AV6" i="5"/>
  <c r="AR6" i="5"/>
  <c r="AT6" i="5" s="1"/>
  <c r="CG5" i="5"/>
  <c r="CF5" i="5"/>
  <c r="CA5" i="5"/>
  <c r="BZ5" i="5"/>
  <c r="BY5" i="5"/>
  <c r="BX5" i="5"/>
  <c r="BW5" i="5"/>
  <c r="BV5" i="5"/>
  <c r="BU5" i="5"/>
  <c r="BT5" i="5"/>
  <c r="BS5" i="5"/>
  <c r="BR5" i="5"/>
  <c r="BQ5" i="5"/>
  <c r="BP5" i="5"/>
  <c r="BO5" i="5"/>
  <c r="CC5" i="5" s="1"/>
  <c r="BN5" i="5"/>
  <c r="BM5" i="5"/>
  <c r="BL5" i="5"/>
  <c r="BK5" i="5"/>
  <c r="BJ5" i="5"/>
  <c r="BI5" i="5"/>
  <c r="BH5" i="5"/>
  <c r="BG5" i="5"/>
  <c r="BF5" i="5"/>
  <c r="BE5" i="5"/>
  <c r="BD5" i="5"/>
  <c r="BC5" i="5"/>
  <c r="BB5" i="5"/>
  <c r="BA5" i="5"/>
  <c r="AZ5" i="5"/>
  <c r="CB5" i="5" s="1"/>
  <c r="AY5" i="5"/>
  <c r="AX5" i="5"/>
  <c r="AW5" i="5"/>
  <c r="AV5" i="5"/>
  <c r="AR5" i="5"/>
  <c r="AT5" i="5" s="1"/>
  <c r="H34" i="4"/>
  <c r="C34" i="4"/>
  <c r="H33" i="4"/>
  <c r="C33" i="4"/>
  <c r="H32" i="4"/>
  <c r="D32" i="4"/>
  <c r="C32" i="4"/>
  <c r="H31" i="4"/>
  <c r="C31" i="4"/>
  <c r="H30" i="4"/>
  <c r="D30" i="4"/>
  <c r="C30" i="4"/>
  <c r="H29" i="4"/>
  <c r="C29" i="4"/>
  <c r="H28" i="4"/>
  <c r="D28" i="4"/>
  <c r="C28" i="4"/>
  <c r="H27" i="4"/>
  <c r="C27" i="4"/>
  <c r="H26" i="4"/>
  <c r="C26" i="4"/>
  <c r="H25" i="4"/>
  <c r="C25" i="4"/>
  <c r="H24" i="4"/>
  <c r="D24" i="4"/>
  <c r="C24" i="4"/>
  <c r="H23" i="4"/>
  <c r="C23" i="4"/>
  <c r="H22" i="4"/>
  <c r="D22" i="4"/>
  <c r="C22" i="4"/>
  <c r="H21" i="4"/>
  <c r="C21" i="4"/>
  <c r="H20" i="4"/>
  <c r="D20" i="4"/>
  <c r="C20" i="4"/>
  <c r="H19" i="4"/>
  <c r="C19" i="4"/>
  <c r="H18" i="4"/>
  <c r="C18" i="4"/>
  <c r="H17" i="4"/>
  <c r="C17" i="4"/>
  <c r="H16" i="4"/>
  <c r="D16" i="4"/>
  <c r="C16" i="4"/>
  <c r="H15" i="4"/>
  <c r="C15" i="4"/>
  <c r="H14" i="4"/>
  <c r="D14" i="4"/>
  <c r="C14" i="4"/>
  <c r="H13" i="4"/>
  <c r="C13" i="4"/>
  <c r="H12" i="4"/>
  <c r="D12" i="4"/>
  <c r="C12" i="4"/>
  <c r="H11" i="4"/>
  <c r="C11" i="4"/>
  <c r="H10" i="4"/>
  <c r="C10" i="4"/>
  <c r="H9" i="4"/>
  <c r="C9" i="4"/>
  <c r="H8" i="4"/>
  <c r="D8" i="4"/>
  <c r="C8" i="4"/>
  <c r="H7" i="4"/>
  <c r="C7" i="4"/>
  <c r="H6" i="4"/>
  <c r="C112" i="3"/>
  <c r="F50" i="4" s="1"/>
  <c r="C111" i="3"/>
  <c r="F49" i="4" s="1"/>
  <c r="C104" i="3"/>
  <c r="C99" i="3"/>
  <c r="C94" i="3"/>
  <c r="E40" i="4" s="1"/>
  <c r="C93" i="3"/>
  <c r="C92" i="3"/>
  <c r="C85" i="3"/>
  <c r="D34" i="4" s="1"/>
  <c r="C84" i="3"/>
  <c r="D33" i="4" s="1"/>
  <c r="C83" i="3"/>
  <c r="C82" i="3"/>
  <c r="D31" i="4" s="1"/>
  <c r="C81" i="3"/>
  <c r="C80" i="3"/>
  <c r="D29" i="4" s="1"/>
  <c r="C79" i="3"/>
  <c r="C78" i="3"/>
  <c r="D27" i="4" s="1"/>
  <c r="C77" i="3"/>
  <c r="D26" i="4" s="1"/>
  <c r="C76" i="3"/>
  <c r="D25" i="4" s="1"/>
  <c r="C75" i="3"/>
  <c r="C74" i="3"/>
  <c r="D23" i="4" s="1"/>
  <c r="C73" i="3"/>
  <c r="C72" i="3"/>
  <c r="D21" i="4" s="1"/>
  <c r="C71" i="3"/>
  <c r="C70" i="3"/>
  <c r="D19" i="4" s="1"/>
  <c r="C69" i="3"/>
  <c r="D18" i="4" s="1"/>
  <c r="C68" i="3"/>
  <c r="D17" i="4" s="1"/>
  <c r="C67" i="3"/>
  <c r="C66" i="3"/>
  <c r="D15" i="4" s="1"/>
  <c r="C65" i="3"/>
  <c r="C64" i="3"/>
  <c r="D13" i="4" s="1"/>
  <c r="C63" i="3"/>
  <c r="C62" i="3"/>
  <c r="D11" i="4" s="1"/>
  <c r="C61" i="3"/>
  <c r="D10" i="4" s="1"/>
  <c r="C60" i="3"/>
  <c r="D9" i="4" s="1"/>
  <c r="C59" i="3"/>
  <c r="C58" i="3"/>
  <c r="D7"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C57" i="3"/>
  <c r="C56" i="3"/>
  <c r="D6" i="4" s="1"/>
  <c r="C55" i="3"/>
  <c r="C52" i="3"/>
  <c r="C47" i="3"/>
  <c r="C49" i="3" s="1"/>
  <c r="CD7" i="5" l="1"/>
  <c r="CD5" i="5"/>
  <c r="CD8" i="5"/>
  <c r="H40" i="4"/>
  <c r="CD6" i="5"/>
  <c r="F6" i="4"/>
  <c r="CC10" i="5"/>
  <c r="CK11" i="5"/>
  <c r="CI11" i="5"/>
  <c r="CJ11" i="5" s="1"/>
  <c r="CL11" i="5" s="1"/>
  <c r="CM11" i="5" s="1"/>
  <c r="CK13" i="5"/>
  <c r="CI13" i="5"/>
  <c r="CJ13" i="5" s="1"/>
  <c r="CK15" i="5"/>
  <c r="CI15" i="5"/>
  <c r="CJ15" i="5" s="1"/>
  <c r="CK18" i="5"/>
  <c r="CI18" i="5"/>
  <c r="CJ18" i="5" s="1"/>
  <c r="C48" i="3"/>
  <c r="CB9" i="5"/>
  <c r="CB10" i="5"/>
  <c r="E55" i="4"/>
  <c r="CK16" i="5"/>
  <c r="CI16" i="5"/>
  <c r="CJ16" i="5" s="1"/>
  <c r="CK12" i="5"/>
  <c r="CI12" i="5"/>
  <c r="CJ12" i="5" s="1"/>
  <c r="CK14" i="5"/>
  <c r="CI14" i="5"/>
  <c r="CJ14" i="5" s="1"/>
  <c r="CL14" i="5" s="1"/>
  <c r="CM14" i="5" s="1"/>
  <c r="C86" i="3"/>
  <c r="AS7" i="5"/>
  <c r="AU7" i="5" s="1"/>
  <c r="CX7" i="5" s="1"/>
  <c r="AS8" i="5"/>
  <c r="AU8" i="5" s="1"/>
  <c r="CX8" i="5" s="1"/>
  <c r="CK17" i="5"/>
  <c r="CI17" i="5"/>
  <c r="CJ17" i="5" s="1"/>
  <c r="AS5" i="5"/>
  <c r="AS6" i="5"/>
  <c r="AU6" i="5" s="1"/>
  <c r="CX6" i="5" s="1"/>
  <c r="E27" i="2"/>
  <c r="C87" i="3"/>
  <c r="CI19" i="5"/>
  <c r="CJ19" i="5" s="1"/>
  <c r="CL19" i="5" s="1"/>
  <c r="CM19" i="5" s="1"/>
  <c r="CI20" i="5"/>
  <c r="CJ20" i="5" s="1"/>
  <c r="CL20" i="5" s="1"/>
  <c r="CM20" i="5" s="1"/>
  <c r="CI21" i="5"/>
  <c r="CJ21" i="5" s="1"/>
  <c r="CL21" i="5" s="1"/>
  <c r="CM21" i="5" s="1"/>
  <c r="CI22" i="5"/>
  <c r="CJ22" i="5" s="1"/>
  <c r="CL22" i="5" s="1"/>
  <c r="CM22" i="5" s="1"/>
  <c r="CI23" i="5"/>
  <c r="CJ23" i="5" s="1"/>
  <c r="CL23" i="5" s="1"/>
  <c r="CM23" i="5" s="1"/>
  <c r="CI24" i="5"/>
  <c r="CJ24" i="5" s="1"/>
  <c r="CL24" i="5" s="1"/>
  <c r="CM24" i="5" s="1"/>
  <c r="CI25" i="5"/>
  <c r="CJ25" i="5" s="1"/>
  <c r="CL25" i="5" s="1"/>
  <c r="CM25" i="5" s="1"/>
  <c r="CI26" i="5"/>
  <c r="CJ26" i="5" s="1"/>
  <c r="CL26" i="5" s="1"/>
  <c r="CM26" i="5" s="1"/>
  <c r="CI27" i="5"/>
  <c r="CJ27" i="5" s="1"/>
  <c r="CL27" i="5" s="1"/>
  <c r="CM27" i="5" s="1"/>
  <c r="CI28" i="5"/>
  <c r="CJ28" i="5" s="1"/>
  <c r="CL28" i="5" s="1"/>
  <c r="CM28" i="5" s="1"/>
  <c r="CI29" i="5"/>
  <c r="CJ29" i="5" s="1"/>
  <c r="CL29" i="5" s="1"/>
  <c r="CM29" i="5" s="1"/>
  <c r="CI30" i="5"/>
  <c r="CJ30" i="5" s="1"/>
  <c r="CL30" i="5" s="1"/>
  <c r="CM30" i="5" s="1"/>
  <c r="CI31" i="5"/>
  <c r="CJ31" i="5" s="1"/>
  <c r="CL31" i="5" s="1"/>
  <c r="CM31" i="5" s="1"/>
  <c r="CI32" i="5"/>
  <c r="CJ32" i="5" s="1"/>
  <c r="CL32" i="5" s="1"/>
  <c r="CM32" i="5" s="1"/>
  <c r="CI33" i="5"/>
  <c r="CJ33" i="5" s="1"/>
  <c r="CL33" i="5" s="1"/>
  <c r="CM33" i="5" s="1"/>
  <c r="CI34" i="5"/>
  <c r="CJ34" i="5" s="1"/>
  <c r="CL34" i="5" s="1"/>
  <c r="CM34" i="5" s="1"/>
  <c r="CI35" i="5"/>
  <c r="CJ35" i="5" s="1"/>
  <c r="CL35" i="5" s="1"/>
  <c r="CM35" i="5" s="1"/>
  <c r="CI36" i="5"/>
  <c r="CJ36" i="5" s="1"/>
  <c r="CL36" i="5" s="1"/>
  <c r="CM36" i="5" s="1"/>
  <c r="CI37" i="5"/>
  <c r="CJ37" i="5" s="1"/>
  <c r="CL37" i="5" s="1"/>
  <c r="CM37" i="5" s="1"/>
  <c r="CI38" i="5"/>
  <c r="CJ38" i="5" s="1"/>
  <c r="CL38" i="5" s="1"/>
  <c r="CM38" i="5" s="1"/>
  <c r="CI39" i="5"/>
  <c r="CJ39" i="5" s="1"/>
  <c r="CL39" i="5" s="1"/>
  <c r="CM39" i="5" s="1"/>
  <c r="CI40" i="5"/>
  <c r="CJ40" i="5" s="1"/>
  <c r="CL40" i="5" s="1"/>
  <c r="CM40" i="5" s="1"/>
  <c r="CI41" i="5"/>
  <c r="CJ41" i="5" s="1"/>
  <c r="CL41" i="5" s="1"/>
  <c r="CM41" i="5" s="1"/>
  <c r="CI42" i="5"/>
  <c r="CJ42" i="5" s="1"/>
  <c r="CL42" i="5" s="1"/>
  <c r="CM42" i="5" s="1"/>
  <c r="CI43" i="5"/>
  <c r="CJ43" i="5" s="1"/>
  <c r="CL43" i="5" s="1"/>
  <c r="CM43" i="5" s="1"/>
  <c r="CI44" i="5"/>
  <c r="CJ44" i="5" s="1"/>
  <c r="CL44" i="5" s="1"/>
  <c r="CM44" i="5" s="1"/>
  <c r="CI45" i="5"/>
  <c r="CJ45" i="5" s="1"/>
  <c r="CL45" i="5" s="1"/>
  <c r="CM45" i="5" s="1"/>
  <c r="CI46" i="5"/>
  <c r="CJ46" i="5" s="1"/>
  <c r="CL46" i="5" s="1"/>
  <c r="CM46" i="5" s="1"/>
  <c r="CI47" i="5"/>
  <c r="CJ47" i="5" s="1"/>
  <c r="CL47" i="5" s="1"/>
  <c r="CM47" i="5" s="1"/>
  <c r="CI48" i="5"/>
  <c r="CJ48" i="5" s="1"/>
  <c r="CL48" i="5" s="1"/>
  <c r="CM48" i="5" s="1"/>
  <c r="CI49" i="5"/>
  <c r="CJ49" i="5" s="1"/>
  <c r="CL49" i="5" s="1"/>
  <c r="CM49" i="5" s="1"/>
  <c r="CI50" i="5"/>
  <c r="CJ50" i="5" s="1"/>
  <c r="CL50" i="5" s="1"/>
  <c r="CM50" i="5" s="1"/>
  <c r="CI51" i="5"/>
  <c r="CJ51" i="5" s="1"/>
  <c r="CL51" i="5" s="1"/>
  <c r="CM51" i="5" s="1"/>
  <c r="CI52" i="5"/>
  <c r="CJ52" i="5" s="1"/>
  <c r="CL52" i="5" s="1"/>
  <c r="CM52" i="5" s="1"/>
  <c r="CI53" i="5"/>
  <c r="CJ53" i="5" s="1"/>
  <c r="CL53" i="5" s="1"/>
  <c r="CM53" i="5" s="1"/>
  <c r="CI54" i="5"/>
  <c r="CJ54" i="5" s="1"/>
  <c r="CL54" i="5" s="1"/>
  <c r="CM54" i="5" s="1"/>
  <c r="CI55" i="5"/>
  <c r="CJ55" i="5" s="1"/>
  <c r="CL55" i="5" s="1"/>
  <c r="CM55" i="5" s="1"/>
  <c r="CI56" i="5"/>
  <c r="CJ56" i="5" s="1"/>
  <c r="CL56" i="5" s="1"/>
  <c r="CM56" i="5" s="1"/>
  <c r="CI57" i="5"/>
  <c r="CJ57" i="5" s="1"/>
  <c r="CL57" i="5" s="1"/>
  <c r="CM57" i="5" s="1"/>
  <c r="CH59" i="5"/>
  <c r="CH65" i="5"/>
  <c r="CK58" i="5"/>
  <c r="CL58" i="5" s="1"/>
  <c r="CM58" i="5" s="1"/>
  <c r="CH73" i="5"/>
  <c r="CE73" i="5"/>
  <c r="CH77" i="5"/>
  <c r="CE77" i="5"/>
  <c r="CH61" i="5"/>
  <c r="CH62" i="5"/>
  <c r="CI62" i="5" s="1"/>
  <c r="CJ62" i="5" s="1"/>
  <c r="CL62" i="5" s="1"/>
  <c r="CM62" i="5" s="1"/>
  <c r="CI67" i="5"/>
  <c r="CJ67" i="5" s="1"/>
  <c r="CL67" i="5" s="1"/>
  <c r="CM67" i="5" s="1"/>
  <c r="CK67" i="5"/>
  <c r="CI68" i="5"/>
  <c r="CJ68" i="5" s="1"/>
  <c r="CK68" i="5"/>
  <c r="CI69" i="5"/>
  <c r="CJ69" i="5" s="1"/>
  <c r="CL69" i="5" s="1"/>
  <c r="CM69" i="5" s="1"/>
  <c r="CK69" i="5"/>
  <c r="CI70" i="5"/>
  <c r="CJ70" i="5" s="1"/>
  <c r="CK70" i="5"/>
  <c r="CI71" i="5"/>
  <c r="CJ71" i="5" s="1"/>
  <c r="CL71" i="5" s="1"/>
  <c r="CM71" i="5" s="1"/>
  <c r="CK71" i="5"/>
  <c r="CH72" i="5"/>
  <c r="CE72" i="5"/>
  <c r="CH76" i="5"/>
  <c r="CE76" i="5"/>
  <c r="CI59" i="5"/>
  <c r="CJ59" i="5" s="1"/>
  <c r="CL59" i="5" s="1"/>
  <c r="CM59" i="5" s="1"/>
  <c r="CI65" i="5"/>
  <c r="CJ65" i="5" s="1"/>
  <c r="CL65" i="5" s="1"/>
  <c r="CM65" i="5" s="1"/>
  <c r="CH75" i="5"/>
  <c r="CE75" i="5"/>
  <c r="CI60" i="5"/>
  <c r="CJ60" i="5" s="1"/>
  <c r="CL60" i="5" s="1"/>
  <c r="CM60" i="5" s="1"/>
  <c r="CI64" i="5"/>
  <c r="CJ64" i="5" s="1"/>
  <c r="CL64" i="5" s="1"/>
  <c r="CM64" i="5" s="1"/>
  <c r="CI61" i="5"/>
  <c r="CJ61" i="5" s="1"/>
  <c r="CL61" i="5" s="1"/>
  <c r="CM61" i="5" s="1"/>
  <c r="CI63" i="5"/>
  <c r="CJ63" i="5" s="1"/>
  <c r="CL63" i="5" s="1"/>
  <c r="CM63" i="5" s="1"/>
  <c r="CH66" i="5"/>
  <c r="CI66" i="5" s="1"/>
  <c r="CJ66" i="5" s="1"/>
  <c r="CL66" i="5" s="1"/>
  <c r="CM66" i="5" s="1"/>
  <c r="CH74" i="5"/>
  <c r="CE74" i="5"/>
  <c r="CH78" i="5"/>
  <c r="CE78" i="5"/>
  <c r="CR133" i="5"/>
  <c r="CN133" i="5"/>
  <c r="CO133" i="5"/>
  <c r="CR135" i="5"/>
  <c r="CN135" i="5"/>
  <c r="CO135" i="5"/>
  <c r="CE79" i="5"/>
  <c r="CE80" i="5"/>
  <c r="CE81" i="5"/>
  <c r="CE82" i="5"/>
  <c r="CE83" i="5"/>
  <c r="CE84" i="5"/>
  <c r="CE85" i="5"/>
  <c r="CE86" i="5"/>
  <c r="CE87" i="5"/>
  <c r="CE88" i="5"/>
  <c r="CE89" i="5"/>
  <c r="CE90" i="5"/>
  <c r="CE91" i="5"/>
  <c r="CE92" i="5"/>
  <c r="CE93" i="5"/>
  <c r="CE94" i="5"/>
  <c r="CE95" i="5"/>
  <c r="CE96" i="5"/>
  <c r="CE97" i="5"/>
  <c r="CE98" i="5"/>
  <c r="CE99" i="5"/>
  <c r="CE100" i="5"/>
  <c r="CE101" i="5"/>
  <c r="CE102" i="5"/>
  <c r="CE103" i="5"/>
  <c r="CE104" i="5"/>
  <c r="CE105" i="5"/>
  <c r="CE106" i="5"/>
  <c r="CE107" i="5"/>
  <c r="CE108" i="5"/>
  <c r="CE109" i="5"/>
  <c r="CE110" i="5"/>
  <c r="CK128" i="5"/>
  <c r="CI128" i="5"/>
  <c r="CJ128" i="5" s="1"/>
  <c r="CL128" i="5" s="1"/>
  <c r="CM128" i="5" s="1"/>
  <c r="CK129" i="5"/>
  <c r="CI129" i="5"/>
  <c r="CJ129" i="5" s="1"/>
  <c r="CI131" i="5"/>
  <c r="CJ131" i="5" s="1"/>
  <c r="CK131" i="5"/>
  <c r="CL132" i="5"/>
  <c r="CM132" i="5" s="1"/>
  <c r="CK127" i="5"/>
  <c r="CH111" i="5"/>
  <c r="CE111" i="5"/>
  <c r="CH112" i="5"/>
  <c r="CE112" i="5"/>
  <c r="CH113" i="5"/>
  <c r="CE113" i="5"/>
  <c r="CE114" i="5"/>
  <c r="CE115" i="5"/>
  <c r="CE116" i="5"/>
  <c r="CE117" i="5"/>
  <c r="CE118" i="5"/>
  <c r="CE119" i="5"/>
  <c r="CE120" i="5"/>
  <c r="CE121" i="5"/>
  <c r="CE122" i="5"/>
  <c r="CE123" i="5"/>
  <c r="CE124" i="5"/>
  <c r="CE125" i="5"/>
  <c r="CI126" i="5"/>
  <c r="CJ126" i="5" s="1"/>
  <c r="CL126" i="5" s="1"/>
  <c r="CM126" i="5" s="1"/>
  <c r="CE130" i="5"/>
  <c r="CH137" i="5"/>
  <c r="CI137" i="5" s="1"/>
  <c r="CJ137" i="5" s="1"/>
  <c r="CL137" i="5" s="1"/>
  <c r="CM137" i="5" s="1"/>
  <c r="CI142" i="5"/>
  <c r="CJ142" i="5" s="1"/>
  <c r="CL142" i="5" s="1"/>
  <c r="CM142" i="5" s="1"/>
  <c r="CK142" i="5"/>
  <c r="CI151" i="5"/>
  <c r="CJ151" i="5" s="1"/>
  <c r="CK151" i="5"/>
  <c r="CK159" i="5"/>
  <c r="CI159" i="5"/>
  <c r="CJ159" i="5" s="1"/>
  <c r="CI148" i="5"/>
  <c r="CJ148" i="5" s="1"/>
  <c r="CL148" i="5" s="1"/>
  <c r="CM148" i="5" s="1"/>
  <c r="CK148" i="5"/>
  <c r="CI156" i="5"/>
  <c r="CJ156" i="5" s="1"/>
  <c r="CL156" i="5" s="1"/>
  <c r="CM156" i="5" s="1"/>
  <c r="CK156" i="5"/>
  <c r="CK161" i="5"/>
  <c r="CI161" i="5"/>
  <c r="CJ161" i="5" s="1"/>
  <c r="CL161" i="5" s="1"/>
  <c r="CM161" i="5" s="1"/>
  <c r="CH127" i="5"/>
  <c r="CI127" i="5" s="1"/>
  <c r="CJ127" i="5" s="1"/>
  <c r="CL127" i="5" s="1"/>
  <c r="CM127" i="5" s="1"/>
  <c r="CI136" i="5"/>
  <c r="CJ136" i="5" s="1"/>
  <c r="CL136" i="5" s="1"/>
  <c r="CM136" i="5" s="1"/>
  <c r="CI138" i="5"/>
  <c r="CJ138" i="5" s="1"/>
  <c r="CL138" i="5" s="1"/>
  <c r="CM138" i="5" s="1"/>
  <c r="CK138" i="5"/>
  <c r="CI141" i="5"/>
  <c r="CJ141" i="5" s="1"/>
  <c r="CL141" i="5" s="1"/>
  <c r="CM141" i="5" s="1"/>
  <c r="CK141" i="5"/>
  <c r="CI145" i="5"/>
  <c r="CJ145" i="5" s="1"/>
  <c r="CK145" i="5"/>
  <c r="CI153" i="5"/>
  <c r="CJ153" i="5" s="1"/>
  <c r="CL153" i="5" s="1"/>
  <c r="CM153" i="5" s="1"/>
  <c r="CK153" i="5"/>
  <c r="CH134" i="5"/>
  <c r="CI134" i="5" s="1"/>
  <c r="CJ134" i="5" s="1"/>
  <c r="CL134" i="5" s="1"/>
  <c r="CM134" i="5" s="1"/>
  <c r="CI150" i="5"/>
  <c r="CJ150" i="5" s="1"/>
  <c r="CL150" i="5" s="1"/>
  <c r="CM150" i="5" s="1"/>
  <c r="CK150" i="5"/>
  <c r="CI158" i="5"/>
  <c r="CJ158" i="5" s="1"/>
  <c r="CK158" i="5"/>
  <c r="CK166" i="5"/>
  <c r="CI139" i="5"/>
  <c r="CJ139" i="5" s="1"/>
  <c r="CK139" i="5"/>
  <c r="CI140" i="5"/>
  <c r="CJ140" i="5" s="1"/>
  <c r="CL140" i="5" s="1"/>
  <c r="CM140" i="5" s="1"/>
  <c r="CK140" i="5"/>
  <c r="CI144" i="5"/>
  <c r="CJ144" i="5" s="1"/>
  <c r="CK144" i="5"/>
  <c r="CI147" i="5"/>
  <c r="CJ147" i="5" s="1"/>
  <c r="CL147" i="5" s="1"/>
  <c r="CM147" i="5" s="1"/>
  <c r="CK147" i="5"/>
  <c r="CI155" i="5"/>
  <c r="CJ155" i="5" s="1"/>
  <c r="CK155" i="5"/>
  <c r="CK170" i="5"/>
  <c r="CI170" i="5"/>
  <c r="CJ170" i="5" s="1"/>
  <c r="CI152" i="5"/>
  <c r="CJ152" i="5" s="1"/>
  <c r="CK152" i="5"/>
  <c r="CK160" i="5"/>
  <c r="CI143" i="5"/>
  <c r="CJ143" i="5" s="1"/>
  <c r="CK143" i="5"/>
  <c r="CI149" i="5"/>
  <c r="CJ149" i="5" s="1"/>
  <c r="CL149" i="5" s="1"/>
  <c r="CM149" i="5" s="1"/>
  <c r="CK149" i="5"/>
  <c r="CI157" i="5"/>
  <c r="CJ157" i="5" s="1"/>
  <c r="CK157" i="5"/>
  <c r="CK162" i="5"/>
  <c r="CI146" i="5"/>
  <c r="CJ146" i="5" s="1"/>
  <c r="CK146" i="5"/>
  <c r="CI154" i="5"/>
  <c r="CJ154" i="5" s="1"/>
  <c r="CL154" i="5" s="1"/>
  <c r="CM154" i="5" s="1"/>
  <c r="CK154" i="5"/>
  <c r="CK165" i="5"/>
  <c r="CK167" i="5"/>
  <c r="CI167" i="5"/>
  <c r="CJ167" i="5" s="1"/>
  <c r="CK180" i="5"/>
  <c r="CI180" i="5"/>
  <c r="CJ180" i="5" s="1"/>
  <c r="CK184" i="5"/>
  <c r="CI184" i="5"/>
  <c r="CJ184" i="5" s="1"/>
  <c r="CK188" i="5"/>
  <c r="CI188" i="5"/>
  <c r="CJ188" i="5" s="1"/>
  <c r="CL188" i="5" s="1"/>
  <c r="CM188" i="5" s="1"/>
  <c r="CH160" i="5"/>
  <c r="CI160" i="5" s="1"/>
  <c r="CJ160" i="5" s="1"/>
  <c r="CL160" i="5" s="1"/>
  <c r="CM160" i="5" s="1"/>
  <c r="CH162" i="5"/>
  <c r="CI162" i="5" s="1"/>
  <c r="CJ162" i="5" s="1"/>
  <c r="CL162" i="5" s="1"/>
  <c r="CM162" i="5" s="1"/>
  <c r="CH165" i="5"/>
  <c r="CI165" i="5" s="1"/>
  <c r="CJ165" i="5" s="1"/>
  <c r="CL165" i="5" s="1"/>
  <c r="CM165" i="5" s="1"/>
  <c r="CK168" i="5"/>
  <c r="CI168" i="5"/>
  <c r="CJ168" i="5" s="1"/>
  <c r="CE178" i="5"/>
  <c r="CK163" i="5"/>
  <c r="CL163" i="5" s="1"/>
  <c r="CM163" i="5" s="1"/>
  <c r="CH166" i="5"/>
  <c r="CI166" i="5" s="1"/>
  <c r="CJ166" i="5" s="1"/>
  <c r="CL166" i="5" s="1"/>
  <c r="CM166" i="5" s="1"/>
  <c r="CK169" i="5"/>
  <c r="CI169" i="5"/>
  <c r="CJ169" i="5" s="1"/>
  <c r="CE177" i="5"/>
  <c r="CK181" i="5"/>
  <c r="CI181" i="5"/>
  <c r="CJ181" i="5" s="1"/>
  <c r="CK185" i="5"/>
  <c r="CI185" i="5"/>
  <c r="CJ185" i="5" s="1"/>
  <c r="CL185" i="5" s="1"/>
  <c r="CM185" i="5" s="1"/>
  <c r="CE189" i="5"/>
  <c r="CE176" i="5"/>
  <c r="CK171" i="5"/>
  <c r="CI171" i="5"/>
  <c r="CJ171" i="5" s="1"/>
  <c r="CL171" i="5" s="1"/>
  <c r="CM171" i="5" s="1"/>
  <c r="CK175" i="5"/>
  <c r="CI175" i="5"/>
  <c r="CJ175" i="5" s="1"/>
  <c r="CK182" i="5"/>
  <c r="CI182" i="5"/>
  <c r="CJ182" i="5" s="1"/>
  <c r="CL182" i="5" s="1"/>
  <c r="CM182" i="5" s="1"/>
  <c r="CK186" i="5"/>
  <c r="CI186" i="5"/>
  <c r="CJ186" i="5" s="1"/>
  <c r="CK190" i="5"/>
  <c r="CI190" i="5"/>
  <c r="CJ190" i="5" s="1"/>
  <c r="CL190" i="5" s="1"/>
  <c r="CM190" i="5" s="1"/>
  <c r="CK164" i="5"/>
  <c r="CI164" i="5"/>
  <c r="CJ164" i="5" s="1"/>
  <c r="CK172" i="5"/>
  <c r="CI172" i="5"/>
  <c r="CJ172" i="5" s="1"/>
  <c r="CL172" i="5" s="1"/>
  <c r="CM172" i="5" s="1"/>
  <c r="CK174" i="5"/>
  <c r="CI174" i="5"/>
  <c r="CJ174" i="5" s="1"/>
  <c r="CE173" i="5"/>
  <c r="CE179" i="5"/>
  <c r="CK183" i="5"/>
  <c r="CI183" i="5"/>
  <c r="CJ183" i="5" s="1"/>
  <c r="CK187" i="5"/>
  <c r="CI187" i="5"/>
  <c r="CJ187" i="5" s="1"/>
  <c r="CL187" i="5" s="1"/>
  <c r="CM187" i="5" s="1"/>
  <c r="CK191" i="5"/>
  <c r="CI191" i="5"/>
  <c r="CJ191" i="5" s="1"/>
  <c r="CK192" i="5"/>
  <c r="CI192" i="5"/>
  <c r="CJ192" i="5" s="1"/>
  <c r="CK193" i="5"/>
  <c r="CI193" i="5"/>
  <c r="CJ193" i="5" s="1"/>
  <c r="CK194" i="5"/>
  <c r="CI194" i="5"/>
  <c r="CJ194" i="5" s="1"/>
  <c r="CL194" i="5" s="1"/>
  <c r="CM194" i="5" s="1"/>
  <c r="CK195" i="5"/>
  <c r="CI195" i="5"/>
  <c r="CJ195" i="5" s="1"/>
  <c r="CK196" i="5"/>
  <c r="CI196" i="5"/>
  <c r="CJ196" i="5" s="1"/>
  <c r="CK197" i="5"/>
  <c r="CI197" i="5"/>
  <c r="CJ197" i="5" s="1"/>
  <c r="CK198" i="5"/>
  <c r="CI198" i="5"/>
  <c r="CJ198" i="5" s="1"/>
  <c r="CL198" i="5" s="1"/>
  <c r="CM198" i="5" s="1"/>
  <c r="CK199" i="5"/>
  <c r="CI199" i="5"/>
  <c r="CJ199" i="5" s="1"/>
  <c r="CK200" i="5"/>
  <c r="CI200" i="5"/>
  <c r="CJ200" i="5" s="1"/>
  <c r="CK201" i="5"/>
  <c r="CI201" i="5"/>
  <c r="CJ201" i="5" s="1"/>
  <c r="CK202" i="5"/>
  <c r="CI202" i="5"/>
  <c r="CJ202" i="5" s="1"/>
  <c r="CL202" i="5" s="1"/>
  <c r="CM202" i="5" s="1"/>
  <c r="CK203" i="5"/>
  <c r="CI203" i="5"/>
  <c r="CJ203" i="5" s="1"/>
  <c r="CK204" i="5"/>
  <c r="CI204" i="5"/>
  <c r="CJ204" i="5" s="1"/>
  <c r="CK205" i="5"/>
  <c r="CI205" i="5"/>
  <c r="CJ205" i="5" s="1"/>
  <c r="CK206" i="5"/>
  <c r="CI206" i="5"/>
  <c r="CJ206" i="5" s="1"/>
  <c r="CL206" i="5" s="1"/>
  <c r="CM206" i="5" s="1"/>
  <c r="CK227" i="5"/>
  <c r="CI227" i="5"/>
  <c r="CJ227" i="5" s="1"/>
  <c r="CL227" i="5" s="1"/>
  <c r="CM227" i="5" s="1"/>
  <c r="CE210" i="5"/>
  <c r="CE211" i="5"/>
  <c r="CE212" i="5"/>
  <c r="CE213" i="5"/>
  <c r="CE214" i="5"/>
  <c r="CI216" i="5"/>
  <c r="CJ216" i="5" s="1"/>
  <c r="CL216" i="5" s="1"/>
  <c r="CM216" i="5" s="1"/>
  <c r="CL222" i="5"/>
  <c r="CM222" i="5" s="1"/>
  <c r="CK271" i="5"/>
  <c r="CL221" i="5"/>
  <c r="CM221" i="5" s="1"/>
  <c r="CK223" i="5"/>
  <c r="CE261" i="5"/>
  <c r="CH261" i="5"/>
  <c r="CK275" i="5"/>
  <c r="CK215" i="5"/>
  <c r="CL215" i="5" s="1"/>
  <c r="CM215" i="5" s="1"/>
  <c r="CL220" i="5"/>
  <c r="CM220" i="5" s="1"/>
  <c r="CL224" i="5"/>
  <c r="CM224" i="5" s="1"/>
  <c r="CE257" i="5"/>
  <c r="CH257" i="5"/>
  <c r="CL217" i="5"/>
  <c r="CM217" i="5" s="1"/>
  <c r="CL218" i="5"/>
  <c r="CM218" i="5" s="1"/>
  <c r="CL219" i="5"/>
  <c r="CM219" i="5" s="1"/>
  <c r="CK225" i="5"/>
  <c r="CL225" i="5" s="1"/>
  <c r="CM225" i="5" s="1"/>
  <c r="CE253" i="5"/>
  <c r="CH253" i="5"/>
  <c r="CK268" i="5"/>
  <c r="CI207" i="5"/>
  <c r="CJ207" i="5" s="1"/>
  <c r="CL207" i="5" s="1"/>
  <c r="CM207" i="5" s="1"/>
  <c r="CI208" i="5"/>
  <c r="CJ208" i="5" s="1"/>
  <c r="CL208" i="5" s="1"/>
  <c r="CM208" i="5" s="1"/>
  <c r="CI209" i="5"/>
  <c r="CJ209" i="5" s="1"/>
  <c r="CL209" i="5" s="1"/>
  <c r="CM209" i="5" s="1"/>
  <c r="CK226" i="5"/>
  <c r="CI226" i="5"/>
  <c r="CJ226" i="5" s="1"/>
  <c r="CL226" i="5" s="1"/>
  <c r="CM226" i="5" s="1"/>
  <c r="CL223" i="5"/>
  <c r="CM223" i="5" s="1"/>
  <c r="CK220" i="5"/>
  <c r="CK224" i="5"/>
  <c r="CE262" i="5"/>
  <c r="CH262" i="5"/>
  <c r="CI252" i="5"/>
  <c r="CJ252" i="5" s="1"/>
  <c r="CL252" i="5" s="1"/>
  <c r="CM252" i="5" s="1"/>
  <c r="CK269" i="5"/>
  <c r="CI228" i="5"/>
  <c r="CJ228" i="5" s="1"/>
  <c r="CL228" i="5" s="1"/>
  <c r="CM228" i="5" s="1"/>
  <c r="CI229" i="5"/>
  <c r="CJ229" i="5" s="1"/>
  <c r="CL229" i="5" s="1"/>
  <c r="CM229" i="5" s="1"/>
  <c r="CI230" i="5"/>
  <c r="CJ230" i="5" s="1"/>
  <c r="CL230" i="5" s="1"/>
  <c r="CM230" i="5" s="1"/>
  <c r="CI231" i="5"/>
  <c r="CJ231" i="5" s="1"/>
  <c r="CL231" i="5" s="1"/>
  <c r="CM231" i="5" s="1"/>
  <c r="CI232" i="5"/>
  <c r="CJ232" i="5" s="1"/>
  <c r="CL232" i="5" s="1"/>
  <c r="CM232" i="5" s="1"/>
  <c r="CI233" i="5"/>
  <c r="CJ233" i="5" s="1"/>
  <c r="CL233" i="5" s="1"/>
  <c r="CM233" i="5" s="1"/>
  <c r="CI234" i="5"/>
  <c r="CJ234" i="5" s="1"/>
  <c r="CL234" i="5" s="1"/>
  <c r="CM234" i="5" s="1"/>
  <c r="CI235" i="5"/>
  <c r="CJ235" i="5" s="1"/>
  <c r="CL235" i="5" s="1"/>
  <c r="CM235" i="5" s="1"/>
  <c r="CI236" i="5"/>
  <c r="CJ236" i="5" s="1"/>
  <c r="CL236" i="5" s="1"/>
  <c r="CM236" i="5" s="1"/>
  <c r="CI237" i="5"/>
  <c r="CJ237" i="5" s="1"/>
  <c r="CL237" i="5" s="1"/>
  <c r="CM237" i="5" s="1"/>
  <c r="CI238" i="5"/>
  <c r="CJ238" i="5" s="1"/>
  <c r="CL238" i="5" s="1"/>
  <c r="CM238" i="5" s="1"/>
  <c r="CI239" i="5"/>
  <c r="CJ239" i="5" s="1"/>
  <c r="CL239" i="5" s="1"/>
  <c r="CM239" i="5" s="1"/>
  <c r="CI240" i="5"/>
  <c r="CJ240" i="5" s="1"/>
  <c r="CL240" i="5" s="1"/>
  <c r="CM240" i="5" s="1"/>
  <c r="CI241" i="5"/>
  <c r="CJ241" i="5" s="1"/>
  <c r="CL241" i="5" s="1"/>
  <c r="CM241" i="5" s="1"/>
  <c r="CI242" i="5"/>
  <c r="CJ242" i="5" s="1"/>
  <c r="CL242" i="5" s="1"/>
  <c r="CM242" i="5" s="1"/>
  <c r="CI243" i="5"/>
  <c r="CJ243" i="5" s="1"/>
  <c r="CL243" i="5" s="1"/>
  <c r="CM243" i="5" s="1"/>
  <c r="CI244" i="5"/>
  <c r="CJ244" i="5" s="1"/>
  <c r="CL244" i="5" s="1"/>
  <c r="CM244" i="5" s="1"/>
  <c r="CI245" i="5"/>
  <c r="CJ245" i="5" s="1"/>
  <c r="CL245" i="5" s="1"/>
  <c r="CM245" i="5" s="1"/>
  <c r="CI246" i="5"/>
  <c r="CJ246" i="5" s="1"/>
  <c r="CL246" i="5" s="1"/>
  <c r="CM246" i="5" s="1"/>
  <c r="CI247" i="5"/>
  <c r="CJ247" i="5" s="1"/>
  <c r="CL247" i="5" s="1"/>
  <c r="CM247" i="5" s="1"/>
  <c r="CI248" i="5"/>
  <c r="CJ248" i="5" s="1"/>
  <c r="CL248" i="5" s="1"/>
  <c r="CM248" i="5" s="1"/>
  <c r="CI249" i="5"/>
  <c r="CJ249" i="5" s="1"/>
  <c r="CL249" i="5" s="1"/>
  <c r="CM249" i="5" s="1"/>
  <c r="CI250" i="5"/>
  <c r="CJ250" i="5" s="1"/>
  <c r="CL250" i="5" s="1"/>
  <c r="CM250" i="5" s="1"/>
  <c r="CI251" i="5"/>
  <c r="CJ251" i="5" s="1"/>
  <c r="CL251" i="5" s="1"/>
  <c r="CM251" i="5" s="1"/>
  <c r="CE254" i="5"/>
  <c r="CH254" i="5"/>
  <c r="CE258" i="5"/>
  <c r="CH258" i="5"/>
  <c r="CE264" i="5"/>
  <c r="CH264" i="5"/>
  <c r="CI267" i="5"/>
  <c r="CJ267" i="5" s="1"/>
  <c r="CL267" i="5" s="1"/>
  <c r="CM267" i="5" s="1"/>
  <c r="CK270" i="5"/>
  <c r="CK274" i="5"/>
  <c r="E46" i="6"/>
  <c r="F46" i="6" s="1"/>
  <c r="D46" i="6"/>
  <c r="C46" i="6"/>
  <c r="CK279" i="5"/>
  <c r="CK287" i="5"/>
  <c r="CK295" i="5"/>
  <c r="CI295" i="5"/>
  <c r="CJ295" i="5" s="1"/>
  <c r="CL295" i="5" s="1"/>
  <c r="CM295" i="5" s="1"/>
  <c r="CK298" i="5"/>
  <c r="CI298" i="5"/>
  <c r="CJ298" i="5" s="1"/>
  <c r="CE255" i="5"/>
  <c r="CH255" i="5"/>
  <c r="CE259" i="5"/>
  <c r="CH259" i="5"/>
  <c r="CK273" i="5"/>
  <c r="CI273" i="5"/>
  <c r="CJ273" i="5" s="1"/>
  <c r="CL273" i="5" s="1"/>
  <c r="CM273" i="5" s="1"/>
  <c r="CK278" i="5"/>
  <c r="CI278" i="5"/>
  <c r="CJ278" i="5" s="1"/>
  <c r="CK282" i="5"/>
  <c r="CI282" i="5"/>
  <c r="CJ282" i="5" s="1"/>
  <c r="CL282" i="5" s="1"/>
  <c r="CM282" i="5" s="1"/>
  <c r="CL283" i="5"/>
  <c r="CM283" i="5" s="1"/>
  <c r="CK286" i="5"/>
  <c r="CI286" i="5"/>
  <c r="CJ286" i="5" s="1"/>
  <c r="CL286" i="5" s="1"/>
  <c r="CM286" i="5" s="1"/>
  <c r="CK290" i="5"/>
  <c r="CL291" i="5"/>
  <c r="CM291" i="5" s="1"/>
  <c r="CK294" i="5"/>
  <c r="CI294" i="5"/>
  <c r="CJ294" i="5" s="1"/>
  <c r="CL294" i="5" s="1"/>
  <c r="CM294" i="5" s="1"/>
  <c r="CK300" i="5"/>
  <c r="CI300" i="5"/>
  <c r="CJ300" i="5" s="1"/>
  <c r="CE263" i="5"/>
  <c r="CH263" i="5"/>
  <c r="CK284" i="5"/>
  <c r="CI284" i="5"/>
  <c r="CJ284" i="5" s="1"/>
  <c r="CK292" i="5"/>
  <c r="CI292" i="5"/>
  <c r="CJ292" i="5" s="1"/>
  <c r="CL292" i="5" s="1"/>
  <c r="CM292" i="5" s="1"/>
  <c r="CL301" i="5"/>
  <c r="CM301" i="5" s="1"/>
  <c r="CE256" i="5"/>
  <c r="CH256" i="5"/>
  <c r="CE260" i="5"/>
  <c r="CH260" i="5"/>
  <c r="CK272" i="5"/>
  <c r="CI272" i="5"/>
  <c r="CJ272" i="5" s="1"/>
  <c r="CL272" i="5" s="1"/>
  <c r="CM272" i="5" s="1"/>
  <c r="CK276" i="5"/>
  <c r="CH281" i="5"/>
  <c r="CE281" i="5"/>
  <c r="CH289" i="5"/>
  <c r="CE289" i="5"/>
  <c r="CK297" i="5"/>
  <c r="CI297" i="5"/>
  <c r="CJ297" i="5" s="1"/>
  <c r="CL297" i="5" s="1"/>
  <c r="CM297" i="5" s="1"/>
  <c r="CO302" i="5"/>
  <c r="CN302" i="5"/>
  <c r="CR302" i="5"/>
  <c r="CE265" i="5"/>
  <c r="CH265" i="5"/>
  <c r="CI277" i="5"/>
  <c r="CJ277" i="5" s="1"/>
  <c r="CL277" i="5" s="1"/>
  <c r="CM277" i="5" s="1"/>
  <c r="CH282" i="5"/>
  <c r="CI285" i="5"/>
  <c r="CJ285" i="5" s="1"/>
  <c r="CL285" i="5" s="1"/>
  <c r="CM285" i="5" s="1"/>
  <c r="CH290" i="5"/>
  <c r="CI290" i="5" s="1"/>
  <c r="CJ290" i="5" s="1"/>
  <c r="CL290" i="5" s="1"/>
  <c r="CM290" i="5" s="1"/>
  <c r="CI293" i="5"/>
  <c r="CJ293" i="5" s="1"/>
  <c r="CL293" i="5" s="1"/>
  <c r="CM293" i="5" s="1"/>
  <c r="CI299" i="5"/>
  <c r="CJ299" i="5" s="1"/>
  <c r="CL299" i="5" s="1"/>
  <c r="CM299" i="5" s="1"/>
  <c r="CI303" i="5"/>
  <c r="CJ303" i="5" s="1"/>
  <c r="CL303" i="5" s="1"/>
  <c r="CM303" i="5" s="1"/>
  <c r="F63" i="6"/>
  <c r="E70" i="6"/>
  <c r="D70" i="6"/>
  <c r="C70" i="6"/>
  <c r="E86" i="6"/>
  <c r="D86" i="6"/>
  <c r="C86" i="6"/>
  <c r="CH266" i="5"/>
  <c r="CI266" i="5" s="1"/>
  <c r="CJ266" i="5" s="1"/>
  <c r="CL266" i="5" s="1"/>
  <c r="CM266" i="5" s="1"/>
  <c r="CH267" i="5"/>
  <c r="CH268" i="5"/>
  <c r="CI268" i="5" s="1"/>
  <c r="CJ268" i="5" s="1"/>
  <c r="CL268" i="5" s="1"/>
  <c r="CM268" i="5" s="1"/>
  <c r="CH269" i="5"/>
  <c r="CI269" i="5" s="1"/>
  <c r="CJ269" i="5" s="1"/>
  <c r="CL269" i="5" s="1"/>
  <c r="CM269" i="5" s="1"/>
  <c r="CH270" i="5"/>
  <c r="CI270" i="5" s="1"/>
  <c r="CJ270" i="5" s="1"/>
  <c r="CL270" i="5" s="1"/>
  <c r="CM270" i="5" s="1"/>
  <c r="CH271" i="5"/>
  <c r="CI271" i="5" s="1"/>
  <c r="CJ271" i="5" s="1"/>
  <c r="CL271" i="5" s="1"/>
  <c r="CM271" i="5" s="1"/>
  <c r="CH272" i="5"/>
  <c r="CH273" i="5"/>
  <c r="CH274" i="5"/>
  <c r="CI274" i="5" s="1"/>
  <c r="CJ274" i="5" s="1"/>
  <c r="CL274" i="5" s="1"/>
  <c r="CM274" i="5" s="1"/>
  <c r="CH275" i="5"/>
  <c r="CI275" i="5" s="1"/>
  <c r="CJ275" i="5" s="1"/>
  <c r="CL275" i="5" s="1"/>
  <c r="CM275" i="5" s="1"/>
  <c r="CH276" i="5"/>
  <c r="CI276" i="5" s="1"/>
  <c r="CJ276" i="5" s="1"/>
  <c r="CL276" i="5" s="1"/>
  <c r="CM276" i="5" s="1"/>
  <c r="CH279" i="5"/>
  <c r="CI279" i="5" s="1"/>
  <c r="CJ279" i="5" s="1"/>
  <c r="CL279" i="5" s="1"/>
  <c r="CM279" i="5" s="1"/>
  <c r="CH287" i="5"/>
  <c r="CI287" i="5" s="1"/>
  <c r="CJ287" i="5" s="1"/>
  <c r="CL287" i="5" s="1"/>
  <c r="CM287" i="5" s="1"/>
  <c r="CH295" i="5"/>
  <c r="CH297" i="5"/>
  <c r="F30" i="6"/>
  <c r="E30" i="6"/>
  <c r="D30" i="6"/>
  <c r="F34" i="6"/>
  <c r="E34" i="6"/>
  <c r="G34" i="6" s="1"/>
  <c r="D34" i="6"/>
  <c r="E41" i="6"/>
  <c r="D41" i="6"/>
  <c r="F26" i="6"/>
  <c r="E26" i="6"/>
  <c r="G26" i="6" s="1"/>
  <c r="D26" i="6"/>
  <c r="E65" i="6"/>
  <c r="D65" i="6"/>
  <c r="E98" i="6"/>
  <c r="E103" i="6"/>
  <c r="CE280" i="5"/>
  <c r="CE288" i="5"/>
  <c r="CE296" i="5"/>
  <c r="CK304" i="5"/>
  <c r="CL304" i="5" s="1"/>
  <c r="CM304" i="5" s="1"/>
  <c r="C26" i="6"/>
  <c r="F47" i="6"/>
  <c r="C65" i="6"/>
  <c r="F68" i="6"/>
  <c r="F84" i="6"/>
  <c r="E104" i="6"/>
  <c r="E62" i="6"/>
  <c r="F62" i="6" s="1"/>
  <c r="D62" i="6"/>
  <c r="C62" i="6"/>
  <c r="E78" i="6"/>
  <c r="F78" i="6" s="1"/>
  <c r="D78" i="6"/>
  <c r="C78" i="6"/>
  <c r="E99" i="6"/>
  <c r="E57" i="6"/>
  <c r="D57" i="6"/>
  <c r="E100" i="6"/>
  <c r="E105" i="6"/>
  <c r="E49" i="6"/>
  <c r="F49" i="6" s="1"/>
  <c r="D49" i="6"/>
  <c r="E54" i="6"/>
  <c r="D54" i="6"/>
  <c r="C54" i="6"/>
  <c r="C57" i="6"/>
  <c r="F60" i="6"/>
  <c r="F73" i="6"/>
  <c r="E106" i="6"/>
  <c r="D73" i="6"/>
  <c r="D81" i="6"/>
  <c r="F81" i="6" s="1"/>
  <c r="D89" i="6"/>
  <c r="F89" i="6" s="1"/>
  <c r="D134" i="6"/>
  <c r="D135" i="6"/>
  <c r="D136" i="6"/>
  <c r="D137" i="6"/>
  <c r="D138" i="6"/>
  <c r="D139" i="6"/>
  <c r="D140" i="6"/>
  <c r="D141" i="6"/>
  <c r="D142" i="6"/>
  <c r="D143" i="6"/>
  <c r="D144" i="6"/>
  <c r="D145" i="6"/>
  <c r="D146" i="6"/>
  <c r="D147" i="6"/>
  <c r="D148" i="6"/>
  <c r="D149" i="6"/>
  <c r="D150" i="6"/>
  <c r="D151" i="6"/>
  <c r="D152" i="6"/>
  <c r="D153" i="6"/>
  <c r="D154" i="6"/>
  <c r="D155" i="6"/>
  <c r="D156" i="6"/>
  <c r="D157" i="6"/>
  <c r="E134" i="6"/>
  <c r="I134" i="6" s="1"/>
  <c r="E135" i="6"/>
  <c r="I135" i="6" s="1"/>
  <c r="E142" i="6"/>
  <c r="I142" i="6" s="1"/>
  <c r="E143" i="6"/>
  <c r="I143" i="6" s="1"/>
  <c r="E144" i="6"/>
  <c r="I144" i="6" s="1"/>
  <c r="E145" i="6"/>
  <c r="I145" i="6" s="1"/>
  <c r="E146" i="6"/>
  <c r="I146" i="6" s="1"/>
  <c r="E147" i="6"/>
  <c r="I147" i="6" s="1"/>
  <c r="E148" i="6"/>
  <c r="I148" i="6" s="1"/>
  <c r="E149" i="6"/>
  <c r="I149" i="6" s="1"/>
  <c r="E150" i="6"/>
  <c r="I150" i="6" s="1"/>
  <c r="E151" i="6"/>
  <c r="I151" i="6" s="1"/>
  <c r="E152" i="6"/>
  <c r="I152" i="6" s="1"/>
  <c r="E153" i="6"/>
  <c r="I153" i="6" s="1"/>
  <c r="E154" i="6"/>
  <c r="I154" i="6" s="1"/>
  <c r="E155" i="6"/>
  <c r="I155" i="6" s="1"/>
  <c r="E156" i="6"/>
  <c r="I156" i="6" s="1"/>
  <c r="E157" i="6"/>
  <c r="I157" i="6" s="1"/>
  <c r="C48" i="6"/>
  <c r="C56" i="6"/>
  <c r="C64" i="6"/>
  <c r="C72" i="6"/>
  <c r="C80" i="6"/>
  <c r="C88" i="6"/>
  <c r="C97" i="6"/>
  <c r="C99" i="6"/>
  <c r="C101" i="6"/>
  <c r="C103" i="6"/>
  <c r="C105" i="6"/>
  <c r="C107" i="6"/>
  <c r="D64" i="6"/>
  <c r="F64" i="6" s="1"/>
  <c r="D72" i="6"/>
  <c r="F72" i="6" s="1"/>
  <c r="D80" i="6"/>
  <c r="D88" i="6"/>
  <c r="F88" i="6" s="1"/>
  <c r="D97" i="6"/>
  <c r="C44" i="16" s="1"/>
  <c r="D99" i="6"/>
  <c r="D101" i="6"/>
  <c r="D103" i="6"/>
  <c r="C50" i="16" s="1"/>
  <c r="D105" i="6"/>
  <c r="D107" i="6"/>
  <c r="D28" i="6"/>
  <c r="D32" i="6"/>
  <c r="D36" i="6"/>
  <c r="C42" i="6"/>
  <c r="C50" i="6"/>
  <c r="C58" i="6"/>
  <c r="D61" i="6"/>
  <c r="F61" i="6" s="1"/>
  <c r="C66" i="6"/>
  <c r="D69" i="6"/>
  <c r="C74" i="6"/>
  <c r="D77" i="6"/>
  <c r="F77" i="6" s="1"/>
  <c r="C82" i="6"/>
  <c r="D85" i="6"/>
  <c r="F85" i="6" s="1"/>
  <c r="C90" i="6"/>
  <c r="C54" i="16"/>
  <c r="C52" i="16"/>
  <c r="C48" i="16"/>
  <c r="C46" i="16"/>
  <c r="E49" i="8"/>
  <c r="E48" i="8"/>
  <c r="G50" i="8"/>
  <c r="G51" i="8"/>
  <c r="D48" i="8"/>
  <c r="D49" i="8"/>
  <c r="C49" i="8"/>
  <c r="D86" i="8"/>
  <c r="D88" i="8" s="1"/>
  <c r="D122" i="8" s="1"/>
  <c r="E58" i="8"/>
  <c r="E86" i="8" s="1"/>
  <c r="E88" i="8" s="1"/>
  <c r="E122" i="8" s="1"/>
  <c r="C58" i="8"/>
  <c r="C86" i="8" s="1"/>
  <c r="C88" i="8" s="1"/>
  <c r="C122" i="8" s="1"/>
  <c r="D94" i="8"/>
  <c r="F43" i="21"/>
  <c r="F59" i="21" s="1"/>
  <c r="E42" i="21"/>
  <c r="E58" i="21" s="1"/>
  <c r="D41" i="21"/>
  <c r="D57" i="21" s="1"/>
  <c r="C40" i="21"/>
  <c r="C56" i="21" s="1"/>
  <c r="I38" i="21"/>
  <c r="I54" i="21" s="1"/>
  <c r="H37" i="21"/>
  <c r="H53" i="21" s="1"/>
  <c r="G36" i="21"/>
  <c r="G52" i="21" s="1"/>
  <c r="F35" i="21"/>
  <c r="F51" i="21" s="1"/>
  <c r="E34" i="21"/>
  <c r="E50" i="21" s="1"/>
  <c r="D33" i="21"/>
  <c r="D49" i="21" s="1"/>
  <c r="C32" i="21"/>
  <c r="C48" i="21" s="1"/>
  <c r="H104" i="8"/>
  <c r="E43" i="21"/>
  <c r="E59" i="21" s="1"/>
  <c r="D42" i="21"/>
  <c r="D58" i="21" s="1"/>
  <c r="C41" i="21"/>
  <c r="C57" i="21" s="1"/>
  <c r="I39" i="21"/>
  <c r="I55" i="21" s="1"/>
  <c r="H38" i="21"/>
  <c r="H54" i="21" s="1"/>
  <c r="G37" i="21"/>
  <c r="G53" i="21" s="1"/>
  <c r="F36" i="21"/>
  <c r="F52" i="21" s="1"/>
  <c r="E35" i="21"/>
  <c r="E51" i="21" s="1"/>
  <c r="D34" i="21"/>
  <c r="D50" i="21" s="1"/>
  <c r="C33" i="21"/>
  <c r="C49" i="21" s="1"/>
  <c r="D43" i="21"/>
  <c r="D59" i="21" s="1"/>
  <c r="C42" i="21"/>
  <c r="C58" i="21" s="1"/>
  <c r="I40" i="21"/>
  <c r="I56" i="21" s="1"/>
  <c r="H39" i="21"/>
  <c r="H55" i="21" s="1"/>
  <c r="G38" i="21"/>
  <c r="G54" i="21" s="1"/>
  <c r="F37" i="21"/>
  <c r="F53" i="21" s="1"/>
  <c r="E36" i="21"/>
  <c r="E52" i="21" s="1"/>
  <c r="D35" i="21"/>
  <c r="D51" i="21" s="1"/>
  <c r="C34" i="21"/>
  <c r="C50" i="21" s="1"/>
  <c r="I32" i="21"/>
  <c r="I48" i="21" s="1"/>
  <c r="C43" i="21"/>
  <c r="C59" i="21" s="1"/>
  <c r="I41" i="21"/>
  <c r="I57" i="21" s="1"/>
  <c r="H40" i="21"/>
  <c r="H56" i="21" s="1"/>
  <c r="G39" i="21"/>
  <c r="G55" i="21" s="1"/>
  <c r="F38" i="21"/>
  <c r="F54" i="21" s="1"/>
  <c r="E37" i="21"/>
  <c r="E53" i="21" s="1"/>
  <c r="D36" i="21"/>
  <c r="D52" i="21" s="1"/>
  <c r="C35" i="21"/>
  <c r="C51" i="21" s="1"/>
  <c r="I33" i="21"/>
  <c r="I49" i="21" s="1"/>
  <c r="H32" i="21"/>
  <c r="H48" i="21" s="1"/>
  <c r="E104" i="8"/>
  <c r="I42" i="21"/>
  <c r="I58" i="21" s="1"/>
  <c r="H41" i="21"/>
  <c r="H57" i="21" s="1"/>
  <c r="G40" i="21"/>
  <c r="G56" i="21" s="1"/>
  <c r="F39" i="21"/>
  <c r="F55" i="21" s="1"/>
  <c r="E38" i="21"/>
  <c r="E54" i="21" s="1"/>
  <c r="D37" i="21"/>
  <c r="D53" i="21" s="1"/>
  <c r="C36" i="21"/>
  <c r="C52" i="21" s="1"/>
  <c r="I34" i="21"/>
  <c r="I50" i="21" s="1"/>
  <c r="H33" i="21"/>
  <c r="H49" i="21" s="1"/>
  <c r="G32" i="21"/>
  <c r="G48" i="21" s="1"/>
  <c r="D104" i="8"/>
  <c r="I43" i="21"/>
  <c r="I59" i="21" s="1"/>
  <c r="H42" i="21"/>
  <c r="H58" i="21" s="1"/>
  <c r="G41" i="21"/>
  <c r="G57" i="21" s="1"/>
  <c r="F40" i="21"/>
  <c r="F56" i="21" s="1"/>
  <c r="E39" i="21"/>
  <c r="E55" i="21" s="1"/>
  <c r="D38" i="21"/>
  <c r="D54" i="21" s="1"/>
  <c r="C37" i="21"/>
  <c r="C53" i="21" s="1"/>
  <c r="I35" i="21"/>
  <c r="I51" i="21" s="1"/>
  <c r="H34" i="21"/>
  <c r="H50" i="21" s="1"/>
  <c r="G33" i="21"/>
  <c r="G49" i="21" s="1"/>
  <c r="F32" i="21"/>
  <c r="F48" i="21" s="1"/>
  <c r="C104" i="8"/>
  <c r="H43" i="21"/>
  <c r="H59" i="21" s="1"/>
  <c r="G42" i="21"/>
  <c r="G58" i="21" s="1"/>
  <c r="F41" i="21"/>
  <c r="F57" i="21" s="1"/>
  <c r="E40" i="21"/>
  <c r="E56" i="21" s="1"/>
  <c r="D39" i="21"/>
  <c r="D55" i="21" s="1"/>
  <c r="C38" i="21"/>
  <c r="C54" i="21" s="1"/>
  <c r="I36" i="21"/>
  <c r="I52" i="21" s="1"/>
  <c r="H35" i="21"/>
  <c r="H51" i="21" s="1"/>
  <c r="G34" i="21"/>
  <c r="G50" i="21" s="1"/>
  <c r="F33" i="21"/>
  <c r="F49" i="21" s="1"/>
  <c r="E32" i="21"/>
  <c r="E48" i="21" s="1"/>
  <c r="D40" i="21"/>
  <c r="D56" i="21" s="1"/>
  <c r="F94" i="8"/>
  <c r="C50" i="8"/>
  <c r="H86" i="8"/>
  <c r="H88" i="8" s="1"/>
  <c r="H122" i="8" s="1"/>
  <c r="D87" i="8"/>
  <c r="G94" i="8"/>
  <c r="E33" i="21"/>
  <c r="E49" i="21" s="1"/>
  <c r="F42" i="21"/>
  <c r="F58" i="21" s="1"/>
  <c r="H50" i="8"/>
  <c r="H51" i="8"/>
  <c r="E87" i="8"/>
  <c r="G87" i="8"/>
  <c r="G88" i="8" s="1"/>
  <c r="H94" i="8"/>
  <c r="F34" i="21"/>
  <c r="F50" i="21" s="1"/>
  <c r="G43" i="21"/>
  <c r="G59" i="21" s="1"/>
  <c r="C91" i="8"/>
  <c r="F91" i="8"/>
  <c r="F51" i="8"/>
  <c r="F50" i="8"/>
  <c r="D34" i="22"/>
  <c r="C37" i="22"/>
  <c r="C44" i="22"/>
  <c r="D44" i="22" s="1"/>
  <c r="CN160" i="5" l="1"/>
  <c r="CO160" i="5"/>
  <c r="CR160" i="5"/>
  <c r="CR137" i="5"/>
  <c r="CN137" i="5"/>
  <c r="CO137" i="5"/>
  <c r="DG6" i="5"/>
  <c r="DA6" i="5"/>
  <c r="CR290" i="5"/>
  <c r="CO290" i="5"/>
  <c r="CN290" i="5"/>
  <c r="CR270" i="5"/>
  <c r="CO270" i="5"/>
  <c r="CN270" i="5"/>
  <c r="CN225" i="5"/>
  <c r="CR225" i="5"/>
  <c r="CO225" i="5"/>
  <c r="CO215" i="5"/>
  <c r="CN215" i="5"/>
  <c r="CR215" i="5"/>
  <c r="CN163" i="5"/>
  <c r="CR163" i="5"/>
  <c r="CO163" i="5"/>
  <c r="CN166" i="5"/>
  <c r="CO166" i="5"/>
  <c r="CR166" i="5"/>
  <c r="G122" i="8"/>
  <c r="G91" i="8"/>
  <c r="I50" i="16"/>
  <c r="F50" i="16"/>
  <c r="H50" i="16" s="1"/>
  <c r="CR287" i="5"/>
  <c r="CN287" i="5"/>
  <c r="CO287" i="5"/>
  <c r="CR279" i="5"/>
  <c r="CN279" i="5"/>
  <c r="CO279" i="5"/>
  <c r="CR127" i="5"/>
  <c r="CN127" i="5"/>
  <c r="CO127" i="5"/>
  <c r="CR276" i="5"/>
  <c r="CO276" i="5"/>
  <c r="CN276" i="5"/>
  <c r="CR268" i="5"/>
  <c r="CO268" i="5"/>
  <c r="CN268" i="5"/>
  <c r="CR58" i="5"/>
  <c r="CO58" i="5"/>
  <c r="CN58" i="5"/>
  <c r="DG8" i="5"/>
  <c r="DA8" i="5"/>
  <c r="CR271" i="5"/>
  <c r="CO271" i="5"/>
  <c r="CN271" i="5"/>
  <c r="F44" i="16"/>
  <c r="H44" i="16" s="1"/>
  <c r="I44" i="16" s="1"/>
  <c r="CO304" i="5"/>
  <c r="CN304" i="5"/>
  <c r="CR304" i="5"/>
  <c r="CR275" i="5"/>
  <c r="CO275" i="5"/>
  <c r="CN275" i="5"/>
  <c r="CR274" i="5"/>
  <c r="CO274" i="5"/>
  <c r="CN274" i="5"/>
  <c r="CR266" i="5"/>
  <c r="CO266" i="5"/>
  <c r="CN266" i="5"/>
  <c r="CN165" i="5"/>
  <c r="CR165" i="5"/>
  <c r="CO165" i="5"/>
  <c r="CN62" i="5"/>
  <c r="CO62" i="5"/>
  <c r="CR62" i="5"/>
  <c r="DH7" i="5"/>
  <c r="DG7" i="5"/>
  <c r="DA7" i="5"/>
  <c r="CN162" i="5"/>
  <c r="CO162" i="5"/>
  <c r="CR162" i="5"/>
  <c r="CN66" i="5"/>
  <c r="CR66" i="5"/>
  <c r="CO66" i="5"/>
  <c r="D91" i="8"/>
  <c r="H145" i="6"/>
  <c r="G145" i="6"/>
  <c r="H91" i="8"/>
  <c r="E51" i="8"/>
  <c r="E50" i="8"/>
  <c r="H151" i="6"/>
  <c r="G151" i="6"/>
  <c r="H143" i="6"/>
  <c r="G143" i="6"/>
  <c r="H135" i="6"/>
  <c r="G135" i="6"/>
  <c r="G30" i="6"/>
  <c r="CR293" i="5"/>
  <c r="CO293" i="5"/>
  <c r="CN293" i="5"/>
  <c r="CL300" i="5"/>
  <c r="CM300" i="5" s="1"/>
  <c r="CK258" i="5"/>
  <c r="CI258" i="5"/>
  <c r="CJ258" i="5" s="1"/>
  <c r="CL258" i="5" s="1"/>
  <c r="CM258" i="5" s="1"/>
  <c r="CN246" i="5"/>
  <c r="CR246" i="5"/>
  <c r="CO246" i="5"/>
  <c r="CN238" i="5"/>
  <c r="CR238" i="5"/>
  <c r="CO238" i="5"/>
  <c r="CN230" i="5"/>
  <c r="CR230" i="5"/>
  <c r="CO230" i="5"/>
  <c r="CR216" i="5"/>
  <c r="CO216" i="5"/>
  <c r="CN216" i="5"/>
  <c r="CL174" i="5"/>
  <c r="CM174" i="5" s="1"/>
  <c r="CL186" i="5"/>
  <c r="CM186" i="5" s="1"/>
  <c r="CK176" i="5"/>
  <c r="CI176" i="5"/>
  <c r="CJ176" i="5" s="1"/>
  <c r="CL176" i="5" s="1"/>
  <c r="CM176" i="5" s="1"/>
  <c r="CR153" i="5"/>
  <c r="CO153" i="5"/>
  <c r="CN153" i="5"/>
  <c r="CL159" i="5"/>
  <c r="CM159" i="5" s="1"/>
  <c r="CR126" i="5"/>
  <c r="CN126" i="5"/>
  <c r="CO126" i="5"/>
  <c r="CK118" i="5"/>
  <c r="CI118" i="5"/>
  <c r="CJ118" i="5" s="1"/>
  <c r="CL118" i="5" s="1"/>
  <c r="CM118" i="5" s="1"/>
  <c r="CL129" i="5"/>
  <c r="CM129" i="5" s="1"/>
  <c r="CI106" i="5"/>
  <c r="CJ106" i="5" s="1"/>
  <c r="CK106" i="5"/>
  <c r="CI98" i="5"/>
  <c r="CJ98" i="5" s="1"/>
  <c r="CL98" i="5" s="1"/>
  <c r="CM98" i="5" s="1"/>
  <c r="CK98" i="5"/>
  <c r="CI90" i="5"/>
  <c r="CJ90" i="5" s="1"/>
  <c r="CK90" i="5"/>
  <c r="CI82" i="5"/>
  <c r="CJ82" i="5" s="1"/>
  <c r="CK82" i="5"/>
  <c r="CO61" i="5"/>
  <c r="CN61" i="5"/>
  <c r="CR61" i="5"/>
  <c r="CI76" i="5"/>
  <c r="CJ76" i="5" s="1"/>
  <c r="CL76" i="5" s="1"/>
  <c r="CM76" i="5" s="1"/>
  <c r="CK76" i="5"/>
  <c r="CI77" i="5"/>
  <c r="CJ77" i="5" s="1"/>
  <c r="CK77" i="5"/>
  <c r="CO57" i="5"/>
  <c r="CN57" i="5"/>
  <c r="CR57" i="5"/>
  <c r="CO49" i="5"/>
  <c r="CN49" i="5"/>
  <c r="CR49" i="5"/>
  <c r="CO41" i="5"/>
  <c r="CN41" i="5"/>
  <c r="CR41" i="5"/>
  <c r="CO33" i="5"/>
  <c r="CN33" i="5"/>
  <c r="CR33" i="5"/>
  <c r="CO25" i="5"/>
  <c r="CN25" i="5"/>
  <c r="CR25" i="5"/>
  <c r="CD10" i="5"/>
  <c r="CX10" i="5"/>
  <c r="D37" i="22"/>
  <c r="C45" i="22"/>
  <c r="D45" i="22" s="1"/>
  <c r="H150" i="6"/>
  <c r="G150" i="6"/>
  <c r="H142" i="6"/>
  <c r="G142" i="6"/>
  <c r="H134" i="6"/>
  <c r="G134" i="6"/>
  <c r="CK296" i="5"/>
  <c r="CI296" i="5"/>
  <c r="CJ296" i="5" s="1"/>
  <c r="CL296" i="5" s="1"/>
  <c r="CM296" i="5" s="1"/>
  <c r="CW302" i="5"/>
  <c r="CS302" i="5"/>
  <c r="CT302" i="5" s="1"/>
  <c r="CP302" i="5"/>
  <c r="CQ302" i="5" s="1"/>
  <c r="CY302" i="5"/>
  <c r="CZ302" i="5" s="1"/>
  <c r="CU302" i="5"/>
  <c r="CV302" i="5" s="1"/>
  <c r="CN301" i="5"/>
  <c r="CR301" i="5"/>
  <c r="CO301" i="5"/>
  <c r="CR283" i="5"/>
  <c r="CO283" i="5"/>
  <c r="CN283" i="5"/>
  <c r="CI259" i="5"/>
  <c r="CJ259" i="5" s="1"/>
  <c r="CK259" i="5"/>
  <c r="CN245" i="5"/>
  <c r="CR245" i="5"/>
  <c r="CO245" i="5"/>
  <c r="CN237" i="5"/>
  <c r="CR237" i="5"/>
  <c r="CO237" i="5"/>
  <c r="CN229" i="5"/>
  <c r="CR229" i="5"/>
  <c r="CO229" i="5"/>
  <c r="CN223" i="5"/>
  <c r="CR223" i="5"/>
  <c r="CO223" i="5"/>
  <c r="CI214" i="5"/>
  <c r="CJ214" i="5" s="1"/>
  <c r="CK214" i="5"/>
  <c r="CR206" i="5"/>
  <c r="CO206" i="5"/>
  <c r="CN206" i="5"/>
  <c r="CR202" i="5"/>
  <c r="CO202" i="5"/>
  <c r="CN202" i="5"/>
  <c r="CR198" i="5"/>
  <c r="CO198" i="5"/>
  <c r="CN198" i="5"/>
  <c r="CR194" i="5"/>
  <c r="CO194" i="5"/>
  <c r="CN194" i="5"/>
  <c r="CR187" i="5"/>
  <c r="CO187" i="5"/>
  <c r="CN187" i="5"/>
  <c r="CK189" i="5"/>
  <c r="CI189" i="5"/>
  <c r="CJ189" i="5" s="1"/>
  <c r="CR188" i="5"/>
  <c r="CO188" i="5"/>
  <c r="CN188" i="5"/>
  <c r="CR147" i="5"/>
  <c r="CO147" i="5"/>
  <c r="CN147" i="5"/>
  <c r="CN161" i="5"/>
  <c r="CR161" i="5"/>
  <c r="CO161" i="5"/>
  <c r="CK125" i="5"/>
  <c r="CI125" i="5"/>
  <c r="CJ125" i="5" s="1"/>
  <c r="CK117" i="5"/>
  <c r="CI117" i="5"/>
  <c r="CJ117" i="5" s="1"/>
  <c r="CL117" i="5" s="1"/>
  <c r="CM117" i="5" s="1"/>
  <c r="CK111" i="5"/>
  <c r="CI111" i="5"/>
  <c r="CJ111" i="5" s="1"/>
  <c r="CL111" i="5" s="1"/>
  <c r="CM111" i="5" s="1"/>
  <c r="CI105" i="5"/>
  <c r="CJ105" i="5" s="1"/>
  <c r="CK105" i="5"/>
  <c r="CI97" i="5"/>
  <c r="CJ97" i="5" s="1"/>
  <c r="CL97" i="5" s="1"/>
  <c r="CM97" i="5" s="1"/>
  <c r="CK97" i="5"/>
  <c r="CI89" i="5"/>
  <c r="CJ89" i="5" s="1"/>
  <c r="CK89" i="5"/>
  <c r="CI81" i="5"/>
  <c r="CJ81" i="5" s="1"/>
  <c r="CK81" i="5"/>
  <c r="CN64" i="5"/>
  <c r="CR64" i="5"/>
  <c r="CO64" i="5"/>
  <c r="CR69" i="5"/>
  <c r="CO69" i="5"/>
  <c r="CN69" i="5"/>
  <c r="CO56" i="5"/>
  <c r="CN56" i="5"/>
  <c r="CR56" i="5"/>
  <c r="CO48" i="5"/>
  <c r="CN48" i="5"/>
  <c r="CR48" i="5"/>
  <c r="CO40" i="5"/>
  <c r="CN40" i="5"/>
  <c r="CR40" i="5"/>
  <c r="CO32" i="5"/>
  <c r="CN32" i="5"/>
  <c r="CR32" i="5"/>
  <c r="CO24" i="5"/>
  <c r="CN24" i="5"/>
  <c r="CR24" i="5"/>
  <c r="CO14" i="5"/>
  <c r="CR14" i="5"/>
  <c r="CN14" i="5"/>
  <c r="CD9" i="5"/>
  <c r="CO11" i="5"/>
  <c r="CR11" i="5"/>
  <c r="CN11" i="5"/>
  <c r="CH8" i="5"/>
  <c r="CE8" i="5"/>
  <c r="F95" i="8"/>
  <c r="F100" i="8"/>
  <c r="C95" i="8"/>
  <c r="C100" i="8"/>
  <c r="I48" i="16"/>
  <c r="F48" i="16"/>
  <c r="H48" i="16" s="1"/>
  <c r="H157" i="6"/>
  <c r="G157" i="6"/>
  <c r="H149" i="6"/>
  <c r="G149" i="6"/>
  <c r="CK288" i="5"/>
  <c r="CI288" i="5"/>
  <c r="CJ288" i="5" s="1"/>
  <c r="F70" i="6"/>
  <c r="CR285" i="5"/>
  <c r="CO285" i="5"/>
  <c r="CN285" i="5"/>
  <c r="CN297" i="5"/>
  <c r="CR297" i="5"/>
  <c r="CO297" i="5"/>
  <c r="CR272" i="5"/>
  <c r="CO272" i="5"/>
  <c r="CN272" i="5"/>
  <c r="CR292" i="5"/>
  <c r="CO292" i="5"/>
  <c r="CN292" i="5"/>
  <c r="CR294" i="5"/>
  <c r="CO294" i="5"/>
  <c r="CN294" i="5"/>
  <c r="CR282" i="5"/>
  <c r="CO282" i="5"/>
  <c r="CN282" i="5"/>
  <c r="CK254" i="5"/>
  <c r="CI254" i="5"/>
  <c r="CJ254" i="5" s="1"/>
  <c r="CL254" i="5" s="1"/>
  <c r="CM254" i="5" s="1"/>
  <c r="CN244" i="5"/>
  <c r="CR244" i="5"/>
  <c r="CO244" i="5"/>
  <c r="CN236" i="5"/>
  <c r="CR236" i="5"/>
  <c r="CO236" i="5"/>
  <c r="CN228" i="5"/>
  <c r="CR228" i="5"/>
  <c r="CO228" i="5"/>
  <c r="CN226" i="5"/>
  <c r="CR226" i="5"/>
  <c r="CO226" i="5"/>
  <c r="CK253" i="5"/>
  <c r="CI253" i="5"/>
  <c r="CJ253" i="5" s="1"/>
  <c r="CL253" i="5" s="1"/>
  <c r="CM253" i="5" s="1"/>
  <c r="CK261" i="5"/>
  <c r="CI261" i="5"/>
  <c r="CJ261" i="5" s="1"/>
  <c r="CL261" i="5" s="1"/>
  <c r="CM261" i="5" s="1"/>
  <c r="CK213" i="5"/>
  <c r="CI213" i="5"/>
  <c r="CJ213" i="5" s="1"/>
  <c r="CN172" i="5"/>
  <c r="CR172" i="5"/>
  <c r="CO172" i="5"/>
  <c r="CR182" i="5"/>
  <c r="CO182" i="5"/>
  <c r="CN182" i="5"/>
  <c r="CR185" i="5"/>
  <c r="CO185" i="5"/>
  <c r="CN185" i="5"/>
  <c r="CL145" i="5"/>
  <c r="CM145" i="5" s="1"/>
  <c r="CK124" i="5"/>
  <c r="CI124" i="5"/>
  <c r="CJ124" i="5" s="1"/>
  <c r="CL124" i="5" s="1"/>
  <c r="CM124" i="5" s="1"/>
  <c r="CK116" i="5"/>
  <c r="CI116" i="5"/>
  <c r="CJ116" i="5" s="1"/>
  <c r="CL116" i="5" s="1"/>
  <c r="CM116" i="5" s="1"/>
  <c r="CR128" i="5"/>
  <c r="CN128" i="5"/>
  <c r="CO128" i="5"/>
  <c r="CI104" i="5"/>
  <c r="CJ104" i="5" s="1"/>
  <c r="CK104" i="5"/>
  <c r="CI96" i="5"/>
  <c r="CJ96" i="5" s="1"/>
  <c r="CL96" i="5" s="1"/>
  <c r="CM96" i="5" s="1"/>
  <c r="CK96" i="5"/>
  <c r="CI88" i="5"/>
  <c r="CJ88" i="5" s="1"/>
  <c r="CK88" i="5"/>
  <c r="CI80" i="5"/>
  <c r="CJ80" i="5" s="1"/>
  <c r="CL80" i="5" s="1"/>
  <c r="CM80" i="5" s="1"/>
  <c r="CK80" i="5"/>
  <c r="CI78" i="5"/>
  <c r="CJ78" i="5" s="1"/>
  <c r="CK78" i="5"/>
  <c r="CO60" i="5"/>
  <c r="CN60" i="5"/>
  <c r="CR60" i="5"/>
  <c r="CI72" i="5"/>
  <c r="CJ72" i="5" s="1"/>
  <c r="CL72" i="5" s="1"/>
  <c r="CM72" i="5" s="1"/>
  <c r="CK72" i="5"/>
  <c r="CI73" i="5"/>
  <c r="CJ73" i="5" s="1"/>
  <c r="CK73" i="5"/>
  <c r="CO55" i="5"/>
  <c r="CN55" i="5"/>
  <c r="CR55" i="5"/>
  <c r="CO47" i="5"/>
  <c r="CN47" i="5"/>
  <c r="CR47" i="5"/>
  <c r="CO39" i="5"/>
  <c r="CN39" i="5"/>
  <c r="CR39" i="5"/>
  <c r="CO31" i="5"/>
  <c r="CN31" i="5"/>
  <c r="CR31" i="5"/>
  <c r="CO23" i="5"/>
  <c r="CN23" i="5"/>
  <c r="CR23" i="5"/>
  <c r="C106" i="6"/>
  <c r="C104" i="6"/>
  <c r="C102" i="6"/>
  <c r="C100" i="6"/>
  <c r="C98" i="6"/>
  <c r="C96" i="6"/>
  <c r="D100" i="6"/>
  <c r="C47" i="16" s="1"/>
  <c r="D104" i="6"/>
  <c r="C51" i="16" s="1"/>
  <c r="D98" i="6"/>
  <c r="C45" i="16" s="1"/>
  <c r="D102" i="6"/>
  <c r="C49" i="16" s="1"/>
  <c r="D96" i="6"/>
  <c r="C43" i="16" s="1"/>
  <c r="D106" i="6"/>
  <c r="C53" i="16" s="1"/>
  <c r="AU5" i="5"/>
  <c r="CX5" i="5" s="1"/>
  <c r="DH6" i="5" s="1"/>
  <c r="C50" i="3"/>
  <c r="C51" i="3"/>
  <c r="D50" i="8"/>
  <c r="D51" i="8"/>
  <c r="I46" i="16"/>
  <c r="F46" i="16"/>
  <c r="H46" i="16" s="1"/>
  <c r="E91" i="8"/>
  <c r="H156" i="6"/>
  <c r="G156" i="6"/>
  <c r="H148" i="6"/>
  <c r="G148" i="6"/>
  <c r="CK280" i="5"/>
  <c r="CI280" i="5"/>
  <c r="CJ280" i="5" s="1"/>
  <c r="F65" i="6"/>
  <c r="F41" i="6"/>
  <c r="CI255" i="5"/>
  <c r="CJ255" i="5" s="1"/>
  <c r="CL255" i="5" s="1"/>
  <c r="CM255" i="5" s="1"/>
  <c r="CK255" i="5"/>
  <c r="CN251" i="5"/>
  <c r="CR251" i="5"/>
  <c r="CO251" i="5"/>
  <c r="CN243" i="5"/>
  <c r="CR243" i="5"/>
  <c r="CO243" i="5"/>
  <c r="CN235" i="5"/>
  <c r="CR235" i="5"/>
  <c r="CO235" i="5"/>
  <c r="CK257" i="5"/>
  <c r="CI257" i="5"/>
  <c r="CJ257" i="5" s="1"/>
  <c r="CL257" i="5" s="1"/>
  <c r="CM257" i="5" s="1"/>
  <c r="CK212" i="5"/>
  <c r="CI212" i="5"/>
  <c r="CJ212" i="5" s="1"/>
  <c r="CL212" i="5" s="1"/>
  <c r="CM212" i="5" s="1"/>
  <c r="CL205" i="5"/>
  <c r="CM205" i="5" s="1"/>
  <c r="CL201" i="5"/>
  <c r="CM201" i="5" s="1"/>
  <c r="CL197" i="5"/>
  <c r="CM197" i="5" s="1"/>
  <c r="CL193" i="5"/>
  <c r="CM193" i="5" s="1"/>
  <c r="CL183" i="5"/>
  <c r="CM183" i="5" s="1"/>
  <c r="CK178" i="5"/>
  <c r="CI178" i="5"/>
  <c r="CJ178" i="5" s="1"/>
  <c r="CL184" i="5"/>
  <c r="CM184" i="5" s="1"/>
  <c r="CL157" i="5"/>
  <c r="CM157" i="5" s="1"/>
  <c r="CL152" i="5"/>
  <c r="CM152" i="5" s="1"/>
  <c r="CL144" i="5"/>
  <c r="CM144" i="5" s="1"/>
  <c r="CL158" i="5"/>
  <c r="CM158" i="5" s="1"/>
  <c r="CL151" i="5"/>
  <c r="CM151" i="5" s="1"/>
  <c r="CK123" i="5"/>
  <c r="CI123" i="5"/>
  <c r="CJ123" i="5" s="1"/>
  <c r="CK115" i="5"/>
  <c r="CI115" i="5"/>
  <c r="CJ115" i="5" s="1"/>
  <c r="CI103" i="5"/>
  <c r="CJ103" i="5" s="1"/>
  <c r="CL103" i="5" s="1"/>
  <c r="CM103" i="5" s="1"/>
  <c r="CK103" i="5"/>
  <c r="CI95" i="5"/>
  <c r="CJ95" i="5" s="1"/>
  <c r="CK95" i="5"/>
  <c r="CI87" i="5"/>
  <c r="CJ87" i="5" s="1"/>
  <c r="CL87" i="5" s="1"/>
  <c r="CM87" i="5" s="1"/>
  <c r="CK87" i="5"/>
  <c r="CI79" i="5"/>
  <c r="CJ79" i="5" s="1"/>
  <c r="CL79" i="5" s="1"/>
  <c r="CM79" i="5" s="1"/>
  <c r="CK79" i="5"/>
  <c r="CI75" i="5"/>
  <c r="CJ75" i="5" s="1"/>
  <c r="CL75" i="5" s="1"/>
  <c r="CM75" i="5" s="1"/>
  <c r="CK75" i="5"/>
  <c r="CL68" i="5"/>
  <c r="CM68" i="5" s="1"/>
  <c r="CO54" i="5"/>
  <c r="CN54" i="5"/>
  <c r="CR54" i="5"/>
  <c r="CO46" i="5"/>
  <c r="CN46" i="5"/>
  <c r="CR46" i="5"/>
  <c r="CO38" i="5"/>
  <c r="CN38" i="5"/>
  <c r="CR38" i="5"/>
  <c r="CO30" i="5"/>
  <c r="CN30" i="5"/>
  <c r="CR30" i="5"/>
  <c r="CO22" i="5"/>
  <c r="CN22" i="5"/>
  <c r="CR22" i="5"/>
  <c r="CL17" i="5"/>
  <c r="CM17" i="5" s="1"/>
  <c r="CL12" i="5"/>
  <c r="CM12" i="5" s="1"/>
  <c r="CL18" i="5"/>
  <c r="CM18" i="5" s="1"/>
  <c r="CH5" i="5"/>
  <c r="CE5" i="5"/>
  <c r="I52" i="16"/>
  <c r="F52" i="16"/>
  <c r="H52" i="16" s="1"/>
  <c r="H155" i="6"/>
  <c r="G155" i="6"/>
  <c r="H147" i="6"/>
  <c r="G147" i="6"/>
  <c r="CR277" i="5"/>
  <c r="CO277" i="5"/>
  <c r="CN277" i="5"/>
  <c r="CK289" i="5"/>
  <c r="CI289" i="5"/>
  <c r="CJ289" i="5" s="1"/>
  <c r="CL284" i="5"/>
  <c r="CM284" i="5" s="1"/>
  <c r="CR291" i="5"/>
  <c r="CO291" i="5"/>
  <c r="CN291" i="5"/>
  <c r="CL278" i="5"/>
  <c r="CM278" i="5" s="1"/>
  <c r="CL298" i="5"/>
  <c r="CM298" i="5" s="1"/>
  <c r="CR267" i="5"/>
  <c r="CO267" i="5"/>
  <c r="CN267" i="5"/>
  <c r="CN250" i="5"/>
  <c r="CR250" i="5"/>
  <c r="CO250" i="5"/>
  <c r="CN242" i="5"/>
  <c r="CR242" i="5"/>
  <c r="CO242" i="5"/>
  <c r="CN234" i="5"/>
  <c r="CR234" i="5"/>
  <c r="CO234" i="5"/>
  <c r="CO252" i="5"/>
  <c r="CN252" i="5"/>
  <c r="CR252" i="5"/>
  <c r="CR209" i="5"/>
  <c r="CO209" i="5"/>
  <c r="CN209" i="5"/>
  <c r="CR219" i="5"/>
  <c r="CO219" i="5"/>
  <c r="CN219" i="5"/>
  <c r="CN224" i="5"/>
  <c r="CR224" i="5"/>
  <c r="CO224" i="5"/>
  <c r="CR221" i="5"/>
  <c r="CO221" i="5"/>
  <c r="CN221" i="5"/>
  <c r="CK211" i="5"/>
  <c r="CI211" i="5"/>
  <c r="CJ211" i="5" s="1"/>
  <c r="CL211" i="5" s="1"/>
  <c r="CM211" i="5" s="1"/>
  <c r="CL164" i="5"/>
  <c r="CM164" i="5" s="1"/>
  <c r="CL175" i="5"/>
  <c r="CM175" i="5" s="1"/>
  <c r="CL181" i="5"/>
  <c r="CM181" i="5" s="1"/>
  <c r="CL168" i="5"/>
  <c r="CM168" i="5" s="1"/>
  <c r="CL170" i="5"/>
  <c r="CM170" i="5" s="1"/>
  <c r="CR141" i="5"/>
  <c r="CO141" i="5"/>
  <c r="CN141" i="5"/>
  <c r="CR156" i="5"/>
  <c r="CO156" i="5"/>
  <c r="CN156" i="5"/>
  <c r="CK122" i="5"/>
  <c r="CI122" i="5"/>
  <c r="CJ122" i="5" s="1"/>
  <c r="CL122" i="5" s="1"/>
  <c r="CM122" i="5" s="1"/>
  <c r="CK114" i="5"/>
  <c r="CI114" i="5"/>
  <c r="CJ114" i="5" s="1"/>
  <c r="CI110" i="5"/>
  <c r="CJ110" i="5" s="1"/>
  <c r="CK110" i="5"/>
  <c r="CI102" i="5"/>
  <c r="CJ102" i="5" s="1"/>
  <c r="CL102" i="5" s="1"/>
  <c r="CM102" i="5" s="1"/>
  <c r="CK102" i="5"/>
  <c r="CI94" i="5"/>
  <c r="CJ94" i="5" s="1"/>
  <c r="CK94" i="5"/>
  <c r="CI86" i="5"/>
  <c r="CJ86" i="5" s="1"/>
  <c r="CL86" i="5" s="1"/>
  <c r="CM86" i="5" s="1"/>
  <c r="CK86" i="5"/>
  <c r="CU135" i="5"/>
  <c r="CV135" i="5" s="1"/>
  <c r="CP135" i="5"/>
  <c r="CQ135" i="5" s="1"/>
  <c r="CY135" i="5"/>
  <c r="CZ135" i="5" s="1"/>
  <c r="CW135" i="5"/>
  <c r="CS135" i="5"/>
  <c r="CT135" i="5" s="1"/>
  <c r="CI74" i="5"/>
  <c r="CJ74" i="5" s="1"/>
  <c r="CK74" i="5"/>
  <c r="CO53" i="5"/>
  <c r="CN53" i="5"/>
  <c r="CR53" i="5"/>
  <c r="CO45" i="5"/>
  <c r="CN45" i="5"/>
  <c r="CR45" i="5"/>
  <c r="CO37" i="5"/>
  <c r="CN37" i="5"/>
  <c r="CR37" i="5"/>
  <c r="CO29" i="5"/>
  <c r="CN29" i="5"/>
  <c r="CR29" i="5"/>
  <c r="CO21" i="5"/>
  <c r="CN21" i="5"/>
  <c r="CR21" i="5"/>
  <c r="F34" i="4"/>
  <c r="F30" i="4"/>
  <c r="F26" i="4"/>
  <c r="F22" i="4"/>
  <c r="F18" i="4"/>
  <c r="G18" i="4" s="1"/>
  <c r="F14" i="4"/>
  <c r="G14" i="4" s="1"/>
  <c r="F10" i="4"/>
  <c r="G10" i="4" s="1"/>
  <c r="F15" i="4"/>
  <c r="F11" i="4"/>
  <c r="G11" i="4" s="1"/>
  <c r="F31" i="4"/>
  <c r="G31" i="4" s="1"/>
  <c r="F32" i="4"/>
  <c r="F28" i="4"/>
  <c r="F24" i="4"/>
  <c r="F20" i="4"/>
  <c r="F16" i="4"/>
  <c r="G16" i="4" s="1"/>
  <c r="F12" i="4"/>
  <c r="F8" i="4"/>
  <c r="G8" i="4" s="1"/>
  <c r="F25" i="4"/>
  <c r="G25" i="4" s="1"/>
  <c r="F17" i="4"/>
  <c r="F13" i="4"/>
  <c r="F9" i="4"/>
  <c r="F23" i="4"/>
  <c r="G23" i="4" s="1"/>
  <c r="F33" i="4"/>
  <c r="G33" i="4" s="1"/>
  <c r="F21" i="4"/>
  <c r="F19" i="4"/>
  <c r="G19" i="4" s="1"/>
  <c r="F29" i="4"/>
  <c r="G29" i="4" s="1"/>
  <c r="F27" i="4"/>
  <c r="G27" i="4" s="1"/>
  <c r="F7" i="4"/>
  <c r="G7" i="4" s="1"/>
  <c r="F54" i="16"/>
  <c r="H54" i="16" s="1"/>
  <c r="I54" i="16" s="1"/>
  <c r="H154" i="6"/>
  <c r="G154" i="6"/>
  <c r="H146" i="6"/>
  <c r="G146" i="6"/>
  <c r="CK260" i="5"/>
  <c r="CI260" i="5"/>
  <c r="CJ260" i="5" s="1"/>
  <c r="CL260" i="5" s="1"/>
  <c r="CM260" i="5" s="1"/>
  <c r="CN249" i="5"/>
  <c r="CR249" i="5"/>
  <c r="CO249" i="5"/>
  <c r="CN241" i="5"/>
  <c r="CR241" i="5"/>
  <c r="CO241" i="5"/>
  <c r="CN233" i="5"/>
  <c r="CR233" i="5"/>
  <c r="CO233" i="5"/>
  <c r="CR208" i="5"/>
  <c r="CO208" i="5"/>
  <c r="CN208" i="5"/>
  <c r="CR218" i="5"/>
  <c r="CO218" i="5"/>
  <c r="CN218" i="5"/>
  <c r="CR220" i="5"/>
  <c r="CO220" i="5"/>
  <c r="CN220" i="5"/>
  <c r="CK210" i="5"/>
  <c r="CI210" i="5"/>
  <c r="CJ210" i="5" s="1"/>
  <c r="CL210" i="5" s="1"/>
  <c r="CM210" i="5" s="1"/>
  <c r="CL204" i="5"/>
  <c r="CM204" i="5" s="1"/>
  <c r="CL200" i="5"/>
  <c r="CM200" i="5" s="1"/>
  <c r="CL196" i="5"/>
  <c r="CM196" i="5" s="1"/>
  <c r="CL192" i="5"/>
  <c r="CM192" i="5" s="1"/>
  <c r="CK179" i="5"/>
  <c r="CI179" i="5"/>
  <c r="CJ179" i="5" s="1"/>
  <c r="CL180" i="5"/>
  <c r="CM180" i="5" s="1"/>
  <c r="CR154" i="5"/>
  <c r="CO154" i="5"/>
  <c r="CN154" i="5"/>
  <c r="CR149" i="5"/>
  <c r="CO149" i="5"/>
  <c r="CN149" i="5"/>
  <c r="CR140" i="5"/>
  <c r="CO140" i="5"/>
  <c r="CN140" i="5"/>
  <c r="CR150" i="5"/>
  <c r="CO150" i="5"/>
  <c r="CN150" i="5"/>
  <c r="CR142" i="5"/>
  <c r="CO142" i="5"/>
  <c r="CN142" i="5"/>
  <c r="CK121" i="5"/>
  <c r="CI121" i="5"/>
  <c r="CJ121" i="5" s="1"/>
  <c r="CL121" i="5" s="1"/>
  <c r="CM121" i="5" s="1"/>
  <c r="CK113" i="5"/>
  <c r="CI113" i="5"/>
  <c r="CJ113" i="5" s="1"/>
  <c r="CR132" i="5"/>
  <c r="CN132" i="5"/>
  <c r="CO132" i="5"/>
  <c r="CI109" i="5"/>
  <c r="CJ109" i="5" s="1"/>
  <c r="CK109" i="5"/>
  <c r="CI101" i="5"/>
  <c r="CJ101" i="5" s="1"/>
  <c r="CL101" i="5" s="1"/>
  <c r="CM101" i="5" s="1"/>
  <c r="CK101" i="5"/>
  <c r="CI93" i="5"/>
  <c r="CJ93" i="5" s="1"/>
  <c r="CK93" i="5"/>
  <c r="CI85" i="5"/>
  <c r="CJ85" i="5" s="1"/>
  <c r="CK85" i="5"/>
  <c r="CN65" i="5"/>
  <c r="CR65" i="5"/>
  <c r="CO65" i="5"/>
  <c r="CR71" i="5"/>
  <c r="CO71" i="5"/>
  <c r="CN71" i="5"/>
  <c r="CR67" i="5"/>
  <c r="CO67" i="5"/>
  <c r="CN67" i="5"/>
  <c r="CO52" i="5"/>
  <c r="CN52" i="5"/>
  <c r="CR52" i="5"/>
  <c r="CO44" i="5"/>
  <c r="CN44" i="5"/>
  <c r="CR44" i="5"/>
  <c r="CO36" i="5"/>
  <c r="CN36" i="5"/>
  <c r="CR36" i="5"/>
  <c r="CO28" i="5"/>
  <c r="CN28" i="5"/>
  <c r="CR28" i="5"/>
  <c r="CO20" i="5"/>
  <c r="CN20" i="5"/>
  <c r="CR20" i="5"/>
  <c r="CL16" i="5"/>
  <c r="CM16" i="5" s="1"/>
  <c r="CL15" i="5"/>
  <c r="CM15" i="5" s="1"/>
  <c r="CH6" i="5"/>
  <c r="CE6" i="5"/>
  <c r="CH7" i="5"/>
  <c r="CE7" i="5"/>
  <c r="CR269" i="5"/>
  <c r="CO269" i="5"/>
  <c r="CN269" i="5"/>
  <c r="CO303" i="5"/>
  <c r="CN303" i="5"/>
  <c r="CR303" i="5"/>
  <c r="CK265" i="5"/>
  <c r="CI265" i="5"/>
  <c r="CJ265" i="5" s="1"/>
  <c r="CL265" i="5" s="1"/>
  <c r="CM265" i="5" s="1"/>
  <c r="CK281" i="5"/>
  <c r="CI281" i="5"/>
  <c r="CJ281" i="5" s="1"/>
  <c r="CL281" i="5" s="1"/>
  <c r="CM281" i="5" s="1"/>
  <c r="CR273" i="5"/>
  <c r="CO273" i="5"/>
  <c r="CN273" i="5"/>
  <c r="CR295" i="5"/>
  <c r="CN295" i="5"/>
  <c r="CO295" i="5"/>
  <c r="CK264" i="5"/>
  <c r="CI264" i="5"/>
  <c r="CJ264" i="5" s="1"/>
  <c r="CL264" i="5" s="1"/>
  <c r="CM264" i="5" s="1"/>
  <c r="CN248" i="5"/>
  <c r="CR248" i="5"/>
  <c r="CO248" i="5"/>
  <c r="CN240" i="5"/>
  <c r="CR240" i="5"/>
  <c r="CO240" i="5"/>
  <c r="CN232" i="5"/>
  <c r="CR232" i="5"/>
  <c r="CO232" i="5"/>
  <c r="CK262" i="5"/>
  <c r="CI262" i="5"/>
  <c r="CJ262" i="5" s="1"/>
  <c r="CR207" i="5"/>
  <c r="CO207" i="5"/>
  <c r="CN207" i="5"/>
  <c r="CR217" i="5"/>
  <c r="CO217" i="5"/>
  <c r="CN217" i="5"/>
  <c r="CN227" i="5"/>
  <c r="CR227" i="5"/>
  <c r="CO227" i="5"/>
  <c r="CK173" i="5"/>
  <c r="CI173" i="5"/>
  <c r="CJ173" i="5" s="1"/>
  <c r="CL173" i="5" s="1"/>
  <c r="CM173" i="5" s="1"/>
  <c r="CR190" i="5"/>
  <c r="CO190" i="5"/>
  <c r="CN190" i="5"/>
  <c r="CN171" i="5"/>
  <c r="CR171" i="5"/>
  <c r="CO171" i="5"/>
  <c r="CK177" i="5"/>
  <c r="CI177" i="5"/>
  <c r="CJ177" i="5" s="1"/>
  <c r="CL177" i="5" s="1"/>
  <c r="CM177" i="5" s="1"/>
  <c r="CR134" i="5"/>
  <c r="CN134" i="5"/>
  <c r="CO134" i="5"/>
  <c r="CR138" i="5"/>
  <c r="CN138" i="5"/>
  <c r="CO138" i="5"/>
  <c r="CR148" i="5"/>
  <c r="CO148" i="5"/>
  <c r="CN148" i="5"/>
  <c r="CK120" i="5"/>
  <c r="CI120" i="5"/>
  <c r="CJ120" i="5" s="1"/>
  <c r="CL120" i="5" s="1"/>
  <c r="CM120" i="5" s="1"/>
  <c r="CI108" i="5"/>
  <c r="CJ108" i="5" s="1"/>
  <c r="CL108" i="5" s="1"/>
  <c r="CM108" i="5" s="1"/>
  <c r="CK108" i="5"/>
  <c r="CI100" i="5"/>
  <c r="CJ100" i="5" s="1"/>
  <c r="CK100" i="5"/>
  <c r="CI92" i="5"/>
  <c r="CJ92" i="5" s="1"/>
  <c r="CL92" i="5" s="1"/>
  <c r="CM92" i="5" s="1"/>
  <c r="CK92" i="5"/>
  <c r="CI84" i="5"/>
  <c r="CJ84" i="5" s="1"/>
  <c r="CK84" i="5"/>
  <c r="CR59" i="5"/>
  <c r="CO59" i="5"/>
  <c r="CN59" i="5"/>
  <c r="CO51" i="5"/>
  <c r="CN51" i="5"/>
  <c r="CR51" i="5"/>
  <c r="CO43" i="5"/>
  <c r="CN43" i="5"/>
  <c r="CR43" i="5"/>
  <c r="CO35" i="5"/>
  <c r="CN35" i="5"/>
  <c r="CR35" i="5"/>
  <c r="CO27" i="5"/>
  <c r="CN27" i="5"/>
  <c r="CR27" i="5"/>
  <c r="CO19" i="5"/>
  <c r="CN19" i="5"/>
  <c r="CR19" i="5"/>
  <c r="H153" i="6"/>
  <c r="G153" i="6"/>
  <c r="H152" i="6"/>
  <c r="G152" i="6"/>
  <c r="H144" i="6"/>
  <c r="G144" i="6"/>
  <c r="F54" i="6"/>
  <c r="F57" i="6"/>
  <c r="F86" i="6"/>
  <c r="CN299" i="5"/>
  <c r="CR299" i="5"/>
  <c r="CO299" i="5"/>
  <c r="CK256" i="5"/>
  <c r="CI256" i="5"/>
  <c r="CJ256" i="5" s="1"/>
  <c r="CK263" i="5"/>
  <c r="CI263" i="5"/>
  <c r="CJ263" i="5" s="1"/>
  <c r="CL263" i="5" s="1"/>
  <c r="CM263" i="5" s="1"/>
  <c r="CR286" i="5"/>
  <c r="CO286" i="5"/>
  <c r="CN286" i="5"/>
  <c r="CN247" i="5"/>
  <c r="CR247" i="5"/>
  <c r="CO247" i="5"/>
  <c r="CN239" i="5"/>
  <c r="CR239" i="5"/>
  <c r="CO239" i="5"/>
  <c r="CN231" i="5"/>
  <c r="CR231" i="5"/>
  <c r="CO231" i="5"/>
  <c r="CN222" i="5"/>
  <c r="CR222" i="5"/>
  <c r="CO222" i="5"/>
  <c r="CL203" i="5"/>
  <c r="CM203" i="5" s="1"/>
  <c r="CL199" i="5"/>
  <c r="CM199" i="5" s="1"/>
  <c r="CL195" i="5"/>
  <c r="CM195" i="5" s="1"/>
  <c r="CL191" i="5"/>
  <c r="CM191" i="5" s="1"/>
  <c r="CL169" i="5"/>
  <c r="CM169" i="5" s="1"/>
  <c r="CL167" i="5"/>
  <c r="CM167" i="5" s="1"/>
  <c r="CL146" i="5"/>
  <c r="CM146" i="5" s="1"/>
  <c r="CL143" i="5"/>
  <c r="CM143" i="5" s="1"/>
  <c r="CL155" i="5"/>
  <c r="CM155" i="5" s="1"/>
  <c r="CL139" i="5"/>
  <c r="CM139" i="5" s="1"/>
  <c r="CR136" i="5"/>
  <c r="CN136" i="5"/>
  <c r="CO136" i="5"/>
  <c r="CK130" i="5"/>
  <c r="CI130" i="5"/>
  <c r="CJ130" i="5" s="1"/>
  <c r="CK119" i="5"/>
  <c r="CI119" i="5"/>
  <c r="CJ119" i="5" s="1"/>
  <c r="CL119" i="5" s="1"/>
  <c r="CM119" i="5" s="1"/>
  <c r="CK112" i="5"/>
  <c r="CI112" i="5"/>
  <c r="CJ112" i="5" s="1"/>
  <c r="CL131" i="5"/>
  <c r="CM131" i="5" s="1"/>
  <c r="CI107" i="5"/>
  <c r="CJ107" i="5" s="1"/>
  <c r="CL107" i="5" s="1"/>
  <c r="CM107" i="5" s="1"/>
  <c r="CK107" i="5"/>
  <c r="CI99" i="5"/>
  <c r="CJ99" i="5" s="1"/>
  <c r="CK99" i="5"/>
  <c r="CI91" i="5"/>
  <c r="CJ91" i="5" s="1"/>
  <c r="CK91" i="5"/>
  <c r="CI83" i="5"/>
  <c r="CJ83" i="5" s="1"/>
  <c r="CK83" i="5"/>
  <c r="CV133" i="5"/>
  <c r="CU133" i="5"/>
  <c r="CY133" i="5"/>
  <c r="CZ133" i="5" s="1"/>
  <c r="CW133" i="5"/>
  <c r="CS133" i="5"/>
  <c r="CT133" i="5" s="1"/>
  <c r="CP133" i="5"/>
  <c r="CQ133" i="5" s="1"/>
  <c r="CN63" i="5"/>
  <c r="CO63" i="5"/>
  <c r="CR63" i="5"/>
  <c r="CL70" i="5"/>
  <c r="CM70" i="5" s="1"/>
  <c r="CO50" i="5"/>
  <c r="CN50" i="5"/>
  <c r="CR50" i="5"/>
  <c r="CO42" i="5"/>
  <c r="CN42" i="5"/>
  <c r="CR42" i="5"/>
  <c r="CO34" i="5"/>
  <c r="CN34" i="5"/>
  <c r="CR34" i="5"/>
  <c r="CO26" i="5"/>
  <c r="CN26" i="5"/>
  <c r="CR26" i="5"/>
  <c r="C88" i="3"/>
  <c r="E56" i="4"/>
  <c r="E57" i="4" s="1"/>
  <c r="E58" i="4" s="1"/>
  <c r="E59" i="4" s="1"/>
  <c r="E60" i="4" s="1"/>
  <c r="CL13" i="5"/>
  <c r="CM13" i="5" s="1"/>
  <c r="CN169" i="5" l="1"/>
  <c r="CR169" i="5"/>
  <c r="CO169" i="5"/>
  <c r="CP19" i="5"/>
  <c r="CQ19" i="5" s="1"/>
  <c r="CW19" i="5"/>
  <c r="CU19" i="5"/>
  <c r="CV19" i="5" s="1"/>
  <c r="CT19" i="5"/>
  <c r="CS19" i="5"/>
  <c r="CY19" i="5"/>
  <c r="CZ19" i="5" s="1"/>
  <c r="CU232" i="5"/>
  <c r="CV232" i="5" s="1"/>
  <c r="CS232" i="5"/>
  <c r="CT232" i="5" s="1"/>
  <c r="CY232" i="5"/>
  <c r="CZ232" i="5" s="1"/>
  <c r="CP232" i="5"/>
  <c r="CQ232" i="5" s="1"/>
  <c r="CW232" i="5"/>
  <c r="CP28" i="5"/>
  <c r="CQ28" i="5" s="1"/>
  <c r="CW28" i="5"/>
  <c r="CV28" i="5"/>
  <c r="CU28" i="5"/>
  <c r="CS28" i="5"/>
  <c r="CT28" i="5" s="1"/>
  <c r="CY28" i="5"/>
  <c r="CZ28" i="5" s="1"/>
  <c r="CR191" i="5"/>
  <c r="CO191" i="5"/>
  <c r="CN191" i="5"/>
  <c r="CR264" i="5"/>
  <c r="CO264" i="5"/>
  <c r="CN264" i="5"/>
  <c r="CN173" i="5"/>
  <c r="CR173" i="5"/>
  <c r="CO173" i="5"/>
  <c r="CW295" i="5"/>
  <c r="CU295" i="5"/>
  <c r="CV295" i="5" s="1"/>
  <c r="CS295" i="5"/>
  <c r="CT295" i="5" s="1"/>
  <c r="CY295" i="5"/>
  <c r="CZ295" i="5" s="1"/>
  <c r="CP295" i="5"/>
  <c r="CQ295" i="5" s="1"/>
  <c r="CO119" i="5"/>
  <c r="CN119" i="5"/>
  <c r="CR119" i="5"/>
  <c r="CR203" i="5"/>
  <c r="CO203" i="5"/>
  <c r="CN203" i="5"/>
  <c r="CS207" i="5"/>
  <c r="CT207" i="5" s="1"/>
  <c r="CY207" i="5"/>
  <c r="CZ207" i="5" s="1"/>
  <c r="CP207" i="5"/>
  <c r="CQ207" i="5" s="1"/>
  <c r="CW207" i="5"/>
  <c r="CU207" i="5"/>
  <c r="CV207" i="5" s="1"/>
  <c r="CL85" i="5"/>
  <c r="CM85" i="5" s="1"/>
  <c r="CY149" i="5"/>
  <c r="CZ149" i="5" s="1"/>
  <c r="CP149" i="5"/>
  <c r="CQ149" i="5" s="1"/>
  <c r="CW149" i="5"/>
  <c r="CU149" i="5"/>
  <c r="CV149" i="5" s="1"/>
  <c r="CT149" i="5"/>
  <c r="CS149" i="5"/>
  <c r="CR192" i="5"/>
  <c r="CO192" i="5"/>
  <c r="CN192" i="5"/>
  <c r="CO260" i="5"/>
  <c r="CN260" i="5"/>
  <c r="CR260" i="5"/>
  <c r="G20" i="4"/>
  <c r="CP21" i="5"/>
  <c r="CQ21" i="5" s="1"/>
  <c r="CW21" i="5"/>
  <c r="CV21" i="5"/>
  <c r="CU21" i="5"/>
  <c r="CS21" i="5"/>
  <c r="CT21" i="5" s="1"/>
  <c r="CY21" i="5"/>
  <c r="CZ21" i="5" s="1"/>
  <c r="CO122" i="5"/>
  <c r="CN122" i="5"/>
  <c r="CR122" i="5"/>
  <c r="CN170" i="5"/>
  <c r="CR170" i="5"/>
  <c r="CO170" i="5"/>
  <c r="CY221" i="5"/>
  <c r="CZ221" i="5" s="1"/>
  <c r="CP221" i="5"/>
  <c r="CQ221" i="5" s="1"/>
  <c r="CW221" i="5"/>
  <c r="CU221" i="5"/>
  <c r="CV221" i="5" s="1"/>
  <c r="CS221" i="5"/>
  <c r="CT221" i="5" s="1"/>
  <c r="CU267" i="5"/>
  <c r="CS267" i="5"/>
  <c r="CT267" i="5" s="1"/>
  <c r="CP267" i="5"/>
  <c r="CQ267" i="5" s="1"/>
  <c r="CW267" i="5"/>
  <c r="CY267" i="5"/>
  <c r="CZ267" i="5" s="1"/>
  <c r="CV267" i="5"/>
  <c r="CL289" i="5"/>
  <c r="CM289" i="5" s="1"/>
  <c r="CO12" i="5"/>
  <c r="CR12" i="5"/>
  <c r="CN12" i="5"/>
  <c r="CP54" i="5"/>
  <c r="CQ54" i="5" s="1"/>
  <c r="CW54" i="5"/>
  <c r="CU54" i="5"/>
  <c r="CV54" i="5" s="1"/>
  <c r="CT54" i="5"/>
  <c r="CS54" i="5"/>
  <c r="CY54" i="5"/>
  <c r="CZ54" i="5" s="1"/>
  <c r="CR151" i="5"/>
  <c r="CO151" i="5"/>
  <c r="CN151" i="5"/>
  <c r="CR183" i="5"/>
  <c r="CO183" i="5"/>
  <c r="CN183" i="5"/>
  <c r="I49" i="16"/>
  <c r="F49" i="16"/>
  <c r="H49" i="16" s="1"/>
  <c r="CP55" i="5"/>
  <c r="CQ55" i="5" s="1"/>
  <c r="CW55" i="5"/>
  <c r="CU55" i="5"/>
  <c r="CV55" i="5" s="1"/>
  <c r="CS55" i="5"/>
  <c r="CT55" i="5" s="1"/>
  <c r="CY55" i="5"/>
  <c r="CZ55" i="5" s="1"/>
  <c r="CS172" i="5"/>
  <c r="CY172" i="5"/>
  <c r="CZ172" i="5" s="1"/>
  <c r="CV172" i="5"/>
  <c r="CT172" i="5"/>
  <c r="CP172" i="5"/>
  <c r="CQ172" i="5" s="1"/>
  <c r="CW172" i="5"/>
  <c r="CU172" i="5"/>
  <c r="CW282" i="5"/>
  <c r="CU282" i="5"/>
  <c r="CV282" i="5" s="1"/>
  <c r="CT282" i="5"/>
  <c r="CS282" i="5"/>
  <c r="CP282" i="5"/>
  <c r="CQ282" i="5" s="1"/>
  <c r="CY282" i="5"/>
  <c r="CZ282" i="5" s="1"/>
  <c r="CK8" i="5"/>
  <c r="CI8" i="5"/>
  <c r="CJ8" i="5" s="1"/>
  <c r="CP56" i="5"/>
  <c r="CQ56" i="5" s="1"/>
  <c r="CW56" i="5"/>
  <c r="CV56" i="5"/>
  <c r="CU56" i="5"/>
  <c r="CS56" i="5"/>
  <c r="CT56" i="5" s="1"/>
  <c r="CY56" i="5"/>
  <c r="CZ56" i="5" s="1"/>
  <c r="CL81" i="5"/>
  <c r="CM81" i="5" s="1"/>
  <c r="CL214" i="5"/>
  <c r="CM214" i="5" s="1"/>
  <c r="CS283" i="5"/>
  <c r="CT283" i="5" s="1"/>
  <c r="CY283" i="5"/>
  <c r="CZ283" i="5" s="1"/>
  <c r="CP283" i="5"/>
  <c r="CQ283" i="5" s="1"/>
  <c r="CW283" i="5"/>
  <c r="CU283" i="5"/>
  <c r="CV283" i="5" s="1"/>
  <c r="CE10" i="5"/>
  <c r="CH10" i="5"/>
  <c r="CL82" i="5"/>
  <c r="CM82" i="5" s="1"/>
  <c r="CO118" i="5"/>
  <c r="CN118" i="5"/>
  <c r="CR118" i="5"/>
  <c r="CV230" i="5"/>
  <c r="CU230" i="5"/>
  <c r="CS230" i="5"/>
  <c r="CT230" i="5" s="1"/>
  <c r="CY230" i="5"/>
  <c r="CZ230" i="5" s="1"/>
  <c r="CP230" i="5"/>
  <c r="CQ230" i="5" s="1"/>
  <c r="CW230" i="5"/>
  <c r="H100" i="8"/>
  <c r="H95" i="8"/>
  <c r="CS162" i="5"/>
  <c r="CP162" i="5"/>
  <c r="CQ162" i="5" s="1"/>
  <c r="CY162" i="5"/>
  <c r="CZ162" i="5" s="1"/>
  <c r="CW162" i="5"/>
  <c r="CU162" i="5"/>
  <c r="CV162" i="5" s="1"/>
  <c r="CT162" i="5"/>
  <c r="CS165" i="5"/>
  <c r="CT165" i="5" s="1"/>
  <c r="CY165" i="5"/>
  <c r="CZ165" i="5" s="1"/>
  <c r="CP165" i="5"/>
  <c r="CQ165" i="5" s="1"/>
  <c r="CW165" i="5"/>
  <c r="CU165" i="5"/>
  <c r="CV165" i="5" s="1"/>
  <c r="CY58" i="5"/>
  <c r="CZ58" i="5" s="1"/>
  <c r="CU58" i="5"/>
  <c r="CS58" i="5"/>
  <c r="CT58" i="5" s="1"/>
  <c r="CP58" i="5"/>
  <c r="CQ58" i="5" s="1"/>
  <c r="CW58" i="5"/>
  <c r="CV58" i="5"/>
  <c r="CY127" i="5"/>
  <c r="CZ127" i="5" s="1"/>
  <c r="CU127" i="5"/>
  <c r="CV127" i="5" s="1"/>
  <c r="CT127" i="5"/>
  <c r="CS127" i="5"/>
  <c r="CP127" i="5"/>
  <c r="CQ127" i="5" s="1"/>
  <c r="CW127" i="5"/>
  <c r="CS163" i="5"/>
  <c r="CY163" i="5"/>
  <c r="CZ163" i="5" s="1"/>
  <c r="CU163" i="5"/>
  <c r="CV163" i="5" s="1"/>
  <c r="CT163" i="5"/>
  <c r="CP163" i="5"/>
  <c r="CQ163" i="5" s="1"/>
  <c r="CW163" i="5"/>
  <c r="CV231" i="5"/>
  <c r="CU231" i="5"/>
  <c r="CS231" i="5"/>
  <c r="CT231" i="5" s="1"/>
  <c r="CY231" i="5"/>
  <c r="CZ231" i="5" s="1"/>
  <c r="CP231" i="5"/>
  <c r="CQ231" i="5" s="1"/>
  <c r="CW231" i="5"/>
  <c r="CV239" i="5"/>
  <c r="CU239" i="5"/>
  <c r="CS239" i="5"/>
  <c r="CT239" i="5" s="1"/>
  <c r="CY239" i="5"/>
  <c r="CZ239" i="5" s="1"/>
  <c r="CP239" i="5"/>
  <c r="CQ239" i="5" s="1"/>
  <c r="CW239" i="5"/>
  <c r="CN177" i="5"/>
  <c r="CR177" i="5"/>
  <c r="CO177" i="5"/>
  <c r="CU240" i="5"/>
  <c r="CV240" i="5" s="1"/>
  <c r="CS240" i="5"/>
  <c r="CT240" i="5" s="1"/>
  <c r="CY240" i="5"/>
  <c r="CZ240" i="5" s="1"/>
  <c r="CP240" i="5"/>
  <c r="CQ240" i="5" s="1"/>
  <c r="CW240" i="5"/>
  <c r="CY67" i="5"/>
  <c r="CZ67" i="5" s="1"/>
  <c r="CW67" i="5"/>
  <c r="CU67" i="5"/>
  <c r="CV67" i="5" s="1"/>
  <c r="CS67" i="5"/>
  <c r="CT67" i="5" s="1"/>
  <c r="CP67" i="5"/>
  <c r="CQ67" i="5" s="1"/>
  <c r="CY142" i="5"/>
  <c r="CZ142" i="5" s="1"/>
  <c r="CW142" i="5"/>
  <c r="CU142" i="5"/>
  <c r="CV142" i="5" s="1"/>
  <c r="CS142" i="5"/>
  <c r="CT142" i="5" s="1"/>
  <c r="CP142" i="5"/>
  <c r="CQ142" i="5" s="1"/>
  <c r="CY220" i="5"/>
  <c r="CZ220" i="5" s="1"/>
  <c r="CP220" i="5"/>
  <c r="CQ220" i="5" s="1"/>
  <c r="CW220" i="5"/>
  <c r="CU220" i="5"/>
  <c r="CV220" i="5" s="1"/>
  <c r="CS220" i="5"/>
  <c r="CT220" i="5" s="1"/>
  <c r="CL91" i="5"/>
  <c r="CM91" i="5" s="1"/>
  <c r="CR155" i="5"/>
  <c r="CO155" i="5"/>
  <c r="CN155" i="5"/>
  <c r="CP51" i="5"/>
  <c r="CQ51" i="5" s="1"/>
  <c r="CW51" i="5"/>
  <c r="CU51" i="5"/>
  <c r="CV51" i="5" s="1"/>
  <c r="CT51" i="5"/>
  <c r="CS51" i="5"/>
  <c r="CY51" i="5"/>
  <c r="CZ51" i="5" s="1"/>
  <c r="CV222" i="5"/>
  <c r="CY222" i="5"/>
  <c r="CZ222" i="5" s="1"/>
  <c r="CP222" i="5"/>
  <c r="CQ222" i="5" s="1"/>
  <c r="CW222" i="5"/>
  <c r="CU222" i="5"/>
  <c r="CS222" i="5"/>
  <c r="CT222" i="5" s="1"/>
  <c r="CL100" i="5"/>
  <c r="CM100" i="5" s="1"/>
  <c r="CS171" i="5"/>
  <c r="CT171" i="5" s="1"/>
  <c r="CY171" i="5"/>
  <c r="CZ171" i="5" s="1"/>
  <c r="CU171" i="5"/>
  <c r="CV171" i="5" s="1"/>
  <c r="CP171" i="5"/>
  <c r="CQ171" i="5" s="1"/>
  <c r="CW171" i="5"/>
  <c r="CP20" i="5"/>
  <c r="CQ20" i="5" s="1"/>
  <c r="CW20" i="5"/>
  <c r="CV20" i="5"/>
  <c r="CU20" i="5"/>
  <c r="CS20" i="5"/>
  <c r="CT20" i="5" s="1"/>
  <c r="CY20" i="5"/>
  <c r="CZ20" i="5" s="1"/>
  <c r="CR196" i="5"/>
  <c r="CO196" i="5"/>
  <c r="CN196" i="5"/>
  <c r="G9" i="4"/>
  <c r="G24" i="4"/>
  <c r="CP45" i="5"/>
  <c r="CQ45" i="5" s="1"/>
  <c r="CW45" i="5"/>
  <c r="CV45" i="5"/>
  <c r="CU45" i="5"/>
  <c r="CS45" i="5"/>
  <c r="CT45" i="5" s="1"/>
  <c r="CY45" i="5"/>
  <c r="CZ45" i="5" s="1"/>
  <c r="CL94" i="5"/>
  <c r="CM94" i="5" s="1"/>
  <c r="CN168" i="5"/>
  <c r="CR168" i="5"/>
  <c r="CO168" i="5"/>
  <c r="CS209" i="5"/>
  <c r="CY209" i="5"/>
  <c r="CZ209" i="5" s="1"/>
  <c r="CP209" i="5"/>
  <c r="CQ209" i="5" s="1"/>
  <c r="CW209" i="5"/>
  <c r="CU209" i="5"/>
  <c r="CV209" i="5" s="1"/>
  <c r="CT209" i="5"/>
  <c r="CV242" i="5"/>
  <c r="CU242" i="5"/>
  <c r="CS242" i="5"/>
  <c r="CT242" i="5" s="1"/>
  <c r="CY242" i="5"/>
  <c r="CZ242" i="5" s="1"/>
  <c r="CP242" i="5"/>
  <c r="CQ242" i="5" s="1"/>
  <c r="CW242" i="5"/>
  <c r="CO17" i="5"/>
  <c r="CR17" i="5"/>
  <c r="CN17" i="5"/>
  <c r="CR68" i="5"/>
  <c r="CO68" i="5"/>
  <c r="CN68" i="5"/>
  <c r="CL95" i="5"/>
  <c r="CM95" i="5" s="1"/>
  <c r="CR158" i="5"/>
  <c r="CO158" i="5"/>
  <c r="CN158" i="5"/>
  <c r="CR193" i="5"/>
  <c r="CO193" i="5"/>
  <c r="CN193" i="5"/>
  <c r="CV235" i="5"/>
  <c r="CU235" i="5"/>
  <c r="CS235" i="5"/>
  <c r="CT235" i="5" s="1"/>
  <c r="CY235" i="5"/>
  <c r="CZ235" i="5" s="1"/>
  <c r="CP235" i="5"/>
  <c r="CQ235" i="5" s="1"/>
  <c r="CW235" i="5"/>
  <c r="I45" i="16"/>
  <c r="F45" i="16"/>
  <c r="H45" i="16" s="1"/>
  <c r="CL78" i="5"/>
  <c r="CM78" i="5" s="1"/>
  <c r="CL104" i="5"/>
  <c r="CM104" i="5" s="1"/>
  <c r="CR145" i="5"/>
  <c r="CO145" i="5"/>
  <c r="CN145" i="5"/>
  <c r="CV226" i="5"/>
  <c r="CT226" i="5"/>
  <c r="CS226" i="5"/>
  <c r="CY226" i="5"/>
  <c r="CZ226" i="5" s="1"/>
  <c r="CP226" i="5"/>
  <c r="CQ226" i="5" s="1"/>
  <c r="CW226" i="5"/>
  <c r="CU226" i="5"/>
  <c r="CU272" i="5"/>
  <c r="CS272" i="5"/>
  <c r="CT272" i="5" s="1"/>
  <c r="CY272" i="5"/>
  <c r="CZ272" i="5" s="1"/>
  <c r="CP272" i="5"/>
  <c r="CQ272" i="5" s="1"/>
  <c r="CW272" i="5"/>
  <c r="CV272" i="5"/>
  <c r="CW14" i="5"/>
  <c r="CS14" i="5"/>
  <c r="CT14" i="5" s="1"/>
  <c r="CY14" i="5"/>
  <c r="CZ14" i="5" s="1"/>
  <c r="CV14" i="5"/>
  <c r="CU14" i="5"/>
  <c r="CP14" i="5"/>
  <c r="CQ14" i="5" s="1"/>
  <c r="CO117" i="5"/>
  <c r="CN117" i="5"/>
  <c r="CR117" i="5"/>
  <c r="CY147" i="5"/>
  <c r="CZ147" i="5" s="1"/>
  <c r="CP147" i="5"/>
  <c r="CQ147" i="5" s="1"/>
  <c r="CW147" i="5"/>
  <c r="CU147" i="5"/>
  <c r="CV147" i="5" s="1"/>
  <c r="CT147" i="5"/>
  <c r="CS147" i="5"/>
  <c r="CS187" i="5"/>
  <c r="CY187" i="5"/>
  <c r="CZ187" i="5" s="1"/>
  <c r="CP187" i="5"/>
  <c r="CQ187" i="5" s="1"/>
  <c r="CW187" i="5"/>
  <c r="CU187" i="5"/>
  <c r="CV187" i="5" s="1"/>
  <c r="CT187" i="5"/>
  <c r="CV223" i="5"/>
  <c r="CY223" i="5"/>
  <c r="CZ223" i="5" s="1"/>
  <c r="CP223" i="5"/>
  <c r="CQ223" i="5" s="1"/>
  <c r="CW223" i="5"/>
  <c r="CU223" i="5"/>
  <c r="CS223" i="5"/>
  <c r="CT223" i="5" s="1"/>
  <c r="CP41" i="5"/>
  <c r="CQ41" i="5" s="1"/>
  <c r="CW41" i="5"/>
  <c r="CU41" i="5"/>
  <c r="CV41" i="5" s="1"/>
  <c r="CT41" i="5"/>
  <c r="CS41" i="5"/>
  <c r="CY41" i="5"/>
  <c r="CZ41" i="5" s="1"/>
  <c r="CL77" i="5"/>
  <c r="CM77" i="5" s="1"/>
  <c r="CN176" i="5"/>
  <c r="CR176" i="5"/>
  <c r="CO176" i="5"/>
  <c r="CR258" i="5"/>
  <c r="CO258" i="5"/>
  <c r="CN258" i="5"/>
  <c r="CU136" i="5"/>
  <c r="CV136" i="5" s="1"/>
  <c r="CP136" i="5"/>
  <c r="CQ136" i="5" s="1"/>
  <c r="CY136" i="5"/>
  <c r="CZ136" i="5" s="1"/>
  <c r="CW136" i="5"/>
  <c r="CS136" i="5"/>
  <c r="CT136" i="5" s="1"/>
  <c r="CR101" i="5"/>
  <c r="CO101" i="5"/>
  <c r="CN101" i="5"/>
  <c r="CR199" i="5"/>
  <c r="CO199" i="5"/>
  <c r="CN199" i="5"/>
  <c r="CP27" i="5"/>
  <c r="CQ27" i="5" s="1"/>
  <c r="CW27" i="5"/>
  <c r="CV27" i="5"/>
  <c r="CU27" i="5"/>
  <c r="CS27" i="5"/>
  <c r="CT27" i="5" s="1"/>
  <c r="CY27" i="5"/>
  <c r="CZ27" i="5" s="1"/>
  <c r="CY148" i="5"/>
  <c r="CZ148" i="5" s="1"/>
  <c r="CP148" i="5"/>
  <c r="CQ148" i="5" s="1"/>
  <c r="CW148" i="5"/>
  <c r="CV148" i="5"/>
  <c r="CU148" i="5"/>
  <c r="CS148" i="5"/>
  <c r="CT148" i="5" s="1"/>
  <c r="CV233" i="5"/>
  <c r="CU233" i="5"/>
  <c r="CS233" i="5"/>
  <c r="CT233" i="5" s="1"/>
  <c r="CY233" i="5"/>
  <c r="CZ233" i="5" s="1"/>
  <c r="CP233" i="5"/>
  <c r="CQ233" i="5" s="1"/>
  <c r="CW233" i="5"/>
  <c r="CP26" i="5"/>
  <c r="CQ26" i="5" s="1"/>
  <c r="CW26" i="5"/>
  <c r="CU26" i="5"/>
  <c r="CV26" i="5" s="1"/>
  <c r="CT26" i="5"/>
  <c r="CS26" i="5"/>
  <c r="CY26" i="5"/>
  <c r="CZ26" i="5" s="1"/>
  <c r="CR263" i="5"/>
  <c r="CO263" i="5"/>
  <c r="CN263" i="5"/>
  <c r="CP50" i="5"/>
  <c r="CQ50" i="5" s="1"/>
  <c r="CW50" i="5"/>
  <c r="CV50" i="5"/>
  <c r="CU50" i="5"/>
  <c r="CS50" i="5"/>
  <c r="CT50" i="5" s="1"/>
  <c r="CY50" i="5"/>
  <c r="CZ50" i="5" s="1"/>
  <c r="CR143" i="5"/>
  <c r="CO143" i="5"/>
  <c r="CN143" i="5"/>
  <c r="CY138" i="5"/>
  <c r="CZ138" i="5" s="1"/>
  <c r="CV138" i="5"/>
  <c r="CU138" i="5"/>
  <c r="CS138" i="5"/>
  <c r="CT138" i="5" s="1"/>
  <c r="CW138" i="5"/>
  <c r="CP138" i="5"/>
  <c r="CQ138" i="5" s="1"/>
  <c r="CU227" i="5"/>
  <c r="CV227" i="5" s="1"/>
  <c r="CT227" i="5"/>
  <c r="CS227" i="5"/>
  <c r="CY227" i="5"/>
  <c r="CZ227" i="5" s="1"/>
  <c r="CP227" i="5"/>
  <c r="CQ227" i="5" s="1"/>
  <c r="CW227" i="5"/>
  <c r="CK7" i="5"/>
  <c r="CI7" i="5"/>
  <c r="CJ7" i="5" s="1"/>
  <c r="CL7" i="5" s="1"/>
  <c r="CM7" i="5" s="1"/>
  <c r="CR70" i="5"/>
  <c r="CO70" i="5"/>
  <c r="CN70" i="5"/>
  <c r="CL99" i="5"/>
  <c r="CM99" i="5" s="1"/>
  <c r="CL130" i="5"/>
  <c r="CM130" i="5" s="1"/>
  <c r="CR146" i="5"/>
  <c r="CO146" i="5"/>
  <c r="CN146" i="5"/>
  <c r="CV247" i="5"/>
  <c r="CU247" i="5"/>
  <c r="CS247" i="5"/>
  <c r="CT247" i="5" s="1"/>
  <c r="CY247" i="5"/>
  <c r="CZ247" i="5" s="1"/>
  <c r="CP247" i="5"/>
  <c r="CQ247" i="5" s="1"/>
  <c r="CW247" i="5"/>
  <c r="CL256" i="5"/>
  <c r="CM256" i="5" s="1"/>
  <c r="CP35" i="5"/>
  <c r="CQ35" i="5" s="1"/>
  <c r="CW35" i="5"/>
  <c r="CU35" i="5"/>
  <c r="CV35" i="5" s="1"/>
  <c r="CT35" i="5"/>
  <c r="CS35" i="5"/>
  <c r="CY35" i="5"/>
  <c r="CZ35" i="5" s="1"/>
  <c r="CY59" i="5"/>
  <c r="CZ59" i="5" s="1"/>
  <c r="CU59" i="5"/>
  <c r="CV59" i="5" s="1"/>
  <c r="CP59" i="5"/>
  <c r="CQ59" i="5" s="1"/>
  <c r="CW59" i="5"/>
  <c r="CT59" i="5"/>
  <c r="CS59" i="5"/>
  <c r="CL262" i="5"/>
  <c r="CM262" i="5" s="1"/>
  <c r="CU248" i="5"/>
  <c r="CV248" i="5" s="1"/>
  <c r="CT248" i="5"/>
  <c r="CS248" i="5"/>
  <c r="CY248" i="5"/>
  <c r="CZ248" i="5" s="1"/>
  <c r="CP248" i="5"/>
  <c r="CQ248" i="5" s="1"/>
  <c r="CW248" i="5"/>
  <c r="CP44" i="5"/>
  <c r="CQ44" i="5" s="1"/>
  <c r="CW44" i="5"/>
  <c r="CV44" i="5"/>
  <c r="CU44" i="5"/>
  <c r="CS44" i="5"/>
  <c r="CT44" i="5" s="1"/>
  <c r="CY44" i="5"/>
  <c r="CZ44" i="5" s="1"/>
  <c r="CY71" i="5"/>
  <c r="CZ71" i="5" s="1"/>
  <c r="CW71" i="5"/>
  <c r="CU71" i="5"/>
  <c r="CV71" i="5" s="1"/>
  <c r="CS71" i="5"/>
  <c r="CT71" i="5" s="1"/>
  <c r="CP71" i="5"/>
  <c r="CQ71" i="5" s="1"/>
  <c r="CL93" i="5"/>
  <c r="CM93" i="5" s="1"/>
  <c r="CL113" i="5"/>
  <c r="CM113" i="5" s="1"/>
  <c r="CY150" i="5"/>
  <c r="CZ150" i="5" s="1"/>
  <c r="CP150" i="5"/>
  <c r="CQ150" i="5" s="1"/>
  <c r="CW150" i="5"/>
  <c r="CV150" i="5"/>
  <c r="CU150" i="5"/>
  <c r="CS150" i="5"/>
  <c r="CT150" i="5" s="1"/>
  <c r="CR200" i="5"/>
  <c r="CO200" i="5"/>
  <c r="CN200" i="5"/>
  <c r="CT218" i="5"/>
  <c r="CY218" i="5"/>
  <c r="CZ218" i="5" s="1"/>
  <c r="CU218" i="5"/>
  <c r="CV218" i="5" s="1"/>
  <c r="CS218" i="5"/>
  <c r="CP218" i="5"/>
  <c r="CQ218" i="5" s="1"/>
  <c r="CW218" i="5"/>
  <c r="CU241" i="5"/>
  <c r="CV241" i="5" s="1"/>
  <c r="CT241" i="5"/>
  <c r="CS241" i="5"/>
  <c r="CY241" i="5"/>
  <c r="CZ241" i="5" s="1"/>
  <c r="CP241" i="5"/>
  <c r="CQ241" i="5" s="1"/>
  <c r="CW241" i="5"/>
  <c r="G13" i="4"/>
  <c r="G28" i="4"/>
  <c r="G22" i="4"/>
  <c r="CR181" i="5"/>
  <c r="CO181" i="5"/>
  <c r="CN181" i="5"/>
  <c r="CV224" i="5"/>
  <c r="CT224" i="5"/>
  <c r="CY224" i="5"/>
  <c r="CZ224" i="5" s="1"/>
  <c r="CP224" i="5"/>
  <c r="CQ224" i="5" s="1"/>
  <c r="CW224" i="5"/>
  <c r="CU224" i="5"/>
  <c r="CS224" i="5"/>
  <c r="CN298" i="5"/>
  <c r="CR298" i="5"/>
  <c r="CO298" i="5"/>
  <c r="CP38" i="5"/>
  <c r="CQ38" i="5" s="1"/>
  <c r="CW38" i="5"/>
  <c r="CV38" i="5"/>
  <c r="CU38" i="5"/>
  <c r="CS38" i="5"/>
  <c r="CT38" i="5" s="1"/>
  <c r="CY38" i="5"/>
  <c r="CZ38" i="5" s="1"/>
  <c r="CR144" i="5"/>
  <c r="CO144" i="5"/>
  <c r="CN144" i="5"/>
  <c r="CR197" i="5"/>
  <c r="CO197" i="5"/>
  <c r="CN197" i="5"/>
  <c r="I51" i="16"/>
  <c r="F51" i="16"/>
  <c r="H51" i="16" s="1"/>
  <c r="CP39" i="5"/>
  <c r="CQ39" i="5" s="1"/>
  <c r="CW39" i="5"/>
  <c r="CU39" i="5"/>
  <c r="CV39" i="5" s="1"/>
  <c r="CT39" i="5"/>
  <c r="CS39" i="5"/>
  <c r="CY39" i="5"/>
  <c r="CZ39" i="5" s="1"/>
  <c r="CL73" i="5"/>
  <c r="CM73" i="5" s="1"/>
  <c r="CV128" i="5"/>
  <c r="CU128" i="5"/>
  <c r="CT128" i="5"/>
  <c r="CP128" i="5"/>
  <c r="CQ128" i="5" s="1"/>
  <c r="CY128" i="5"/>
  <c r="CZ128" i="5" s="1"/>
  <c r="CW128" i="5"/>
  <c r="CS128" i="5"/>
  <c r="CV244" i="5"/>
  <c r="CU244" i="5"/>
  <c r="CS244" i="5"/>
  <c r="CT244" i="5" s="1"/>
  <c r="CY244" i="5"/>
  <c r="CZ244" i="5" s="1"/>
  <c r="CP244" i="5"/>
  <c r="CQ244" i="5" s="1"/>
  <c r="CW244" i="5"/>
  <c r="CL288" i="5"/>
  <c r="CM288" i="5" s="1"/>
  <c r="CP40" i="5"/>
  <c r="CQ40" i="5" s="1"/>
  <c r="CW40" i="5"/>
  <c r="CU40" i="5"/>
  <c r="CV40" i="5" s="1"/>
  <c r="CT40" i="5"/>
  <c r="CS40" i="5"/>
  <c r="CY40" i="5"/>
  <c r="CZ40" i="5" s="1"/>
  <c r="CY69" i="5"/>
  <c r="CZ69" i="5" s="1"/>
  <c r="CW69" i="5"/>
  <c r="CV69" i="5"/>
  <c r="CU69" i="5"/>
  <c r="CS69" i="5"/>
  <c r="CT69" i="5"/>
  <c r="CP69" i="5"/>
  <c r="CQ69" i="5" s="1"/>
  <c r="CL89" i="5"/>
  <c r="CM89" i="5" s="1"/>
  <c r="CS202" i="5"/>
  <c r="CY202" i="5"/>
  <c r="CZ202" i="5" s="1"/>
  <c r="CP202" i="5"/>
  <c r="CQ202" i="5" s="1"/>
  <c r="CW202" i="5"/>
  <c r="CV202" i="5"/>
  <c r="CT202" i="5"/>
  <c r="CU202" i="5"/>
  <c r="CU245" i="5"/>
  <c r="CV245" i="5" s="1"/>
  <c r="CT245" i="5"/>
  <c r="CS245" i="5"/>
  <c r="CY245" i="5"/>
  <c r="CZ245" i="5" s="1"/>
  <c r="CP245" i="5"/>
  <c r="CQ245" i="5" s="1"/>
  <c r="CW245" i="5"/>
  <c r="CS301" i="5"/>
  <c r="CT301" i="5" s="1"/>
  <c r="CP301" i="5"/>
  <c r="CQ301" i="5" s="1"/>
  <c r="CY301" i="5"/>
  <c r="CZ301" i="5" s="1"/>
  <c r="CW301" i="5"/>
  <c r="CU301" i="5"/>
  <c r="CV301" i="5" s="1"/>
  <c r="CL90" i="5"/>
  <c r="CM90" i="5" s="1"/>
  <c r="CV126" i="5"/>
  <c r="CS126" i="5"/>
  <c r="CT126" i="5" s="1"/>
  <c r="CY126" i="5"/>
  <c r="CZ126" i="5" s="1"/>
  <c r="CW126" i="5"/>
  <c r="CU126" i="5"/>
  <c r="CP126" i="5"/>
  <c r="CQ126" i="5" s="1"/>
  <c r="CU275" i="5"/>
  <c r="CV275" i="5" s="1"/>
  <c r="CT275" i="5"/>
  <c r="CS275" i="5"/>
  <c r="CY275" i="5"/>
  <c r="CZ275" i="5" s="1"/>
  <c r="CP275" i="5"/>
  <c r="CQ275" i="5" s="1"/>
  <c r="CW275" i="5"/>
  <c r="CU271" i="5"/>
  <c r="CV271" i="5" s="1"/>
  <c r="CT271" i="5"/>
  <c r="CS271" i="5"/>
  <c r="CY271" i="5"/>
  <c r="CZ271" i="5" s="1"/>
  <c r="CP271" i="5"/>
  <c r="CQ271" i="5" s="1"/>
  <c r="CW271" i="5"/>
  <c r="CU270" i="5"/>
  <c r="CS270" i="5"/>
  <c r="CT270" i="5" s="1"/>
  <c r="CY270" i="5"/>
  <c r="CZ270" i="5" s="1"/>
  <c r="CP270" i="5"/>
  <c r="CQ270" i="5" s="1"/>
  <c r="CW270" i="5"/>
  <c r="CV270" i="5"/>
  <c r="CV137" i="5"/>
  <c r="CU137" i="5"/>
  <c r="CS137" i="5"/>
  <c r="CT137" i="5" s="1"/>
  <c r="CW137" i="5"/>
  <c r="CP137" i="5"/>
  <c r="CQ137" i="5" s="1"/>
  <c r="CY137" i="5"/>
  <c r="CZ137" i="5" s="1"/>
  <c r="CR107" i="5"/>
  <c r="CO107" i="5"/>
  <c r="CN107" i="5"/>
  <c r="CR131" i="5"/>
  <c r="CN131" i="5"/>
  <c r="CO131" i="5"/>
  <c r="CP43" i="5"/>
  <c r="CQ43" i="5" s="1"/>
  <c r="CW43" i="5"/>
  <c r="CV43" i="5"/>
  <c r="CU43" i="5"/>
  <c r="CS43" i="5"/>
  <c r="CT43" i="5" s="1"/>
  <c r="CY43" i="5"/>
  <c r="CZ43" i="5" s="1"/>
  <c r="CT217" i="5"/>
  <c r="CY217" i="5"/>
  <c r="CZ217" i="5" s="1"/>
  <c r="CV217" i="5"/>
  <c r="CU217" i="5"/>
  <c r="CS217" i="5"/>
  <c r="CP217" i="5"/>
  <c r="CQ217" i="5" s="1"/>
  <c r="CW217" i="5"/>
  <c r="CU269" i="5"/>
  <c r="CV269" i="5" s="1"/>
  <c r="CT269" i="5"/>
  <c r="CS269" i="5"/>
  <c r="CP269" i="5"/>
  <c r="CQ269" i="5" s="1"/>
  <c r="CW269" i="5"/>
  <c r="CY269" i="5"/>
  <c r="CZ269" i="5" s="1"/>
  <c r="CR92" i="5"/>
  <c r="CO92" i="5"/>
  <c r="CN92" i="5"/>
  <c r="CO13" i="5"/>
  <c r="CR13" i="5"/>
  <c r="CN13" i="5"/>
  <c r="CP34" i="5"/>
  <c r="CQ34" i="5" s="1"/>
  <c r="CW34" i="5"/>
  <c r="CU34" i="5"/>
  <c r="CV34" i="5" s="1"/>
  <c r="CT34" i="5"/>
  <c r="CS34" i="5"/>
  <c r="CY34" i="5"/>
  <c r="CZ34" i="5" s="1"/>
  <c r="CN167" i="5"/>
  <c r="CO167" i="5"/>
  <c r="CR167" i="5"/>
  <c r="CR108" i="5"/>
  <c r="CO108" i="5"/>
  <c r="CN108" i="5"/>
  <c r="CU273" i="5"/>
  <c r="CS273" i="5"/>
  <c r="CT273" i="5" s="1"/>
  <c r="CY273" i="5"/>
  <c r="CZ273" i="5" s="1"/>
  <c r="CP273" i="5"/>
  <c r="CQ273" i="5" s="1"/>
  <c r="CW273" i="5"/>
  <c r="CV273" i="5"/>
  <c r="CW303" i="5"/>
  <c r="CT303" i="5"/>
  <c r="CU303" i="5"/>
  <c r="CV303" i="5" s="1"/>
  <c r="CS303" i="5"/>
  <c r="CP303" i="5"/>
  <c r="CQ303" i="5" s="1"/>
  <c r="CY303" i="5"/>
  <c r="CZ303" i="5" s="1"/>
  <c r="CK6" i="5"/>
  <c r="CI6" i="5"/>
  <c r="CJ6" i="5" s="1"/>
  <c r="CY154" i="5"/>
  <c r="CZ154" i="5" s="1"/>
  <c r="CP154" i="5"/>
  <c r="CQ154" i="5" s="1"/>
  <c r="CW154" i="5"/>
  <c r="CV154" i="5"/>
  <c r="CU154" i="5"/>
  <c r="CS154" i="5"/>
  <c r="CT154" i="5" s="1"/>
  <c r="CR204" i="5"/>
  <c r="CO204" i="5"/>
  <c r="CN204" i="5"/>
  <c r="G17" i="4"/>
  <c r="G32" i="4"/>
  <c r="G26" i="4"/>
  <c r="CP29" i="5"/>
  <c r="CQ29" i="5" s="1"/>
  <c r="CW29" i="5"/>
  <c r="CV29" i="5"/>
  <c r="CU29" i="5"/>
  <c r="CS29" i="5"/>
  <c r="CT29" i="5" s="1"/>
  <c r="CY29" i="5"/>
  <c r="CZ29" i="5" s="1"/>
  <c r="CR102" i="5"/>
  <c r="CO102" i="5"/>
  <c r="CN102" i="5"/>
  <c r="CY156" i="5"/>
  <c r="CZ156" i="5" s="1"/>
  <c r="CP156" i="5"/>
  <c r="CQ156" i="5" s="1"/>
  <c r="CW156" i="5"/>
  <c r="CV156" i="5"/>
  <c r="CU156" i="5"/>
  <c r="CS156" i="5"/>
  <c r="CT156" i="5" s="1"/>
  <c r="CN175" i="5"/>
  <c r="CR175" i="5"/>
  <c r="CO175" i="5"/>
  <c r="CR278" i="5"/>
  <c r="CO278" i="5"/>
  <c r="CN278" i="5"/>
  <c r="CY277" i="5"/>
  <c r="CZ277" i="5" s="1"/>
  <c r="CP277" i="5"/>
  <c r="CQ277" i="5" s="1"/>
  <c r="CW277" i="5"/>
  <c r="CV277" i="5"/>
  <c r="CU277" i="5"/>
  <c r="CS277" i="5"/>
  <c r="CT277" i="5" s="1"/>
  <c r="CR75" i="5"/>
  <c r="CO75" i="5"/>
  <c r="CN75" i="5"/>
  <c r="CR103" i="5"/>
  <c r="CO103" i="5"/>
  <c r="CN103" i="5"/>
  <c r="CR152" i="5"/>
  <c r="CO152" i="5"/>
  <c r="CN152" i="5"/>
  <c r="CR201" i="5"/>
  <c r="CO201" i="5"/>
  <c r="CN201" i="5"/>
  <c r="CR255" i="5"/>
  <c r="CO255" i="5"/>
  <c r="CN255" i="5"/>
  <c r="I47" i="16"/>
  <c r="F47" i="16"/>
  <c r="H47" i="16" s="1"/>
  <c r="CR80" i="5"/>
  <c r="CO80" i="5"/>
  <c r="CN80" i="5"/>
  <c r="CS185" i="5"/>
  <c r="CT185" i="5" s="1"/>
  <c r="CY185" i="5"/>
  <c r="CZ185" i="5" s="1"/>
  <c r="CP185" i="5"/>
  <c r="CQ185" i="5" s="1"/>
  <c r="CW185" i="5"/>
  <c r="CU185" i="5"/>
  <c r="CV185" i="5" s="1"/>
  <c r="CL213" i="5"/>
  <c r="CM213" i="5" s="1"/>
  <c r="CT294" i="5"/>
  <c r="CS294" i="5"/>
  <c r="CY294" i="5"/>
  <c r="CZ294" i="5" s="1"/>
  <c r="CP294" i="5"/>
  <c r="CQ294" i="5" s="1"/>
  <c r="CW294" i="5"/>
  <c r="CU294" i="5"/>
  <c r="CV294" i="5" s="1"/>
  <c r="CV297" i="5"/>
  <c r="CY297" i="5"/>
  <c r="CZ297" i="5" s="1"/>
  <c r="CW297" i="5"/>
  <c r="CU297" i="5"/>
  <c r="CT297" i="5"/>
  <c r="CS297" i="5"/>
  <c r="CP297" i="5"/>
  <c r="CQ297" i="5" s="1"/>
  <c r="CL125" i="5"/>
  <c r="CM125" i="5" s="1"/>
  <c r="CP25" i="5"/>
  <c r="CQ25" i="5" s="1"/>
  <c r="CW25" i="5"/>
  <c r="CU25" i="5"/>
  <c r="CV25" i="5" s="1"/>
  <c r="CT25" i="5"/>
  <c r="CS25" i="5"/>
  <c r="CY25" i="5"/>
  <c r="CZ25" i="5" s="1"/>
  <c r="CR76" i="5"/>
  <c r="CO76" i="5"/>
  <c r="CN76" i="5"/>
  <c r="CR186" i="5"/>
  <c r="CO186" i="5"/>
  <c r="CN186" i="5"/>
  <c r="CV238" i="5"/>
  <c r="CU238" i="5"/>
  <c r="CS238" i="5"/>
  <c r="CT238" i="5" s="1"/>
  <c r="CY238" i="5"/>
  <c r="CZ238" i="5" s="1"/>
  <c r="CP238" i="5"/>
  <c r="CQ238" i="5" s="1"/>
  <c r="CW238" i="5"/>
  <c r="CN300" i="5"/>
  <c r="CR300" i="5"/>
  <c r="CO300" i="5"/>
  <c r="D100" i="8"/>
  <c r="D95" i="8"/>
  <c r="CU268" i="5"/>
  <c r="CV268" i="5" s="1"/>
  <c r="CS268" i="5"/>
  <c r="CT268" i="5" s="1"/>
  <c r="CP268" i="5"/>
  <c r="CQ268" i="5" s="1"/>
  <c r="CW268" i="5"/>
  <c r="CY268" i="5"/>
  <c r="CZ268" i="5" s="1"/>
  <c r="CW279" i="5"/>
  <c r="CV279" i="5"/>
  <c r="CU279" i="5"/>
  <c r="CS279" i="5"/>
  <c r="CT279" i="5" s="1"/>
  <c r="CY279" i="5"/>
  <c r="CZ279" i="5" s="1"/>
  <c r="CP279" i="5"/>
  <c r="CQ279" i="5" s="1"/>
  <c r="G95" i="8"/>
  <c r="G100" i="8"/>
  <c r="CO120" i="5"/>
  <c r="CN120" i="5"/>
  <c r="CR120" i="5"/>
  <c r="CO121" i="5"/>
  <c r="CN121" i="5"/>
  <c r="CR121" i="5"/>
  <c r="CR210" i="5"/>
  <c r="CO210" i="5"/>
  <c r="CN210" i="5"/>
  <c r="G30" i="4"/>
  <c r="CP53" i="5"/>
  <c r="CQ53" i="5" s="1"/>
  <c r="CW53" i="5"/>
  <c r="CV53" i="5"/>
  <c r="CU53" i="5"/>
  <c r="CS53" i="5"/>
  <c r="CT53" i="5" s="1"/>
  <c r="CY53" i="5"/>
  <c r="CZ53" i="5" s="1"/>
  <c r="CN164" i="5"/>
  <c r="CR164" i="5"/>
  <c r="CO164" i="5"/>
  <c r="CV250" i="5"/>
  <c r="CU250" i="5"/>
  <c r="CS250" i="5"/>
  <c r="CT250" i="5" s="1"/>
  <c r="CY250" i="5"/>
  <c r="CZ250" i="5" s="1"/>
  <c r="CP250" i="5"/>
  <c r="CQ250" i="5" s="1"/>
  <c r="CW250" i="5"/>
  <c r="CP22" i="5"/>
  <c r="CQ22" i="5" s="1"/>
  <c r="CW22" i="5"/>
  <c r="CU22" i="5"/>
  <c r="CV22" i="5" s="1"/>
  <c r="CT22" i="5"/>
  <c r="CS22" i="5"/>
  <c r="CY22" i="5"/>
  <c r="CZ22" i="5" s="1"/>
  <c r="CL115" i="5"/>
  <c r="CM115" i="5" s="1"/>
  <c r="CR157" i="5"/>
  <c r="CO157" i="5"/>
  <c r="CN157" i="5"/>
  <c r="CR205" i="5"/>
  <c r="CO205" i="5"/>
  <c r="CN205" i="5"/>
  <c r="CU243" i="5"/>
  <c r="CV243" i="5" s="1"/>
  <c r="CT243" i="5"/>
  <c r="CS243" i="5"/>
  <c r="CY243" i="5"/>
  <c r="CZ243" i="5" s="1"/>
  <c r="CP243" i="5"/>
  <c r="CQ243" i="5" s="1"/>
  <c r="CW243" i="5"/>
  <c r="CP23" i="5"/>
  <c r="CQ23" i="5" s="1"/>
  <c r="CW23" i="5"/>
  <c r="CU23" i="5"/>
  <c r="CV23" i="5" s="1"/>
  <c r="CT23" i="5"/>
  <c r="CS23" i="5"/>
  <c r="CY23" i="5"/>
  <c r="CZ23" i="5" s="1"/>
  <c r="CR72" i="5"/>
  <c r="CO72" i="5"/>
  <c r="CN72" i="5"/>
  <c r="CU228" i="5"/>
  <c r="CV228" i="5" s="1"/>
  <c r="CT228" i="5"/>
  <c r="CS228" i="5"/>
  <c r="CY228" i="5"/>
  <c r="CZ228" i="5" s="1"/>
  <c r="CP228" i="5"/>
  <c r="CQ228" i="5" s="1"/>
  <c r="CW228" i="5"/>
  <c r="CW11" i="5"/>
  <c r="CS11" i="5"/>
  <c r="CT11" i="5" s="1"/>
  <c r="CY11" i="5"/>
  <c r="CZ11" i="5" s="1"/>
  <c r="CU11" i="5"/>
  <c r="CP11" i="5"/>
  <c r="CQ11" i="5" s="1"/>
  <c r="CV11" i="5"/>
  <c r="CP24" i="5"/>
  <c r="CQ24" i="5" s="1"/>
  <c r="CW24" i="5"/>
  <c r="CU24" i="5"/>
  <c r="CV24" i="5" s="1"/>
  <c r="CT24" i="5"/>
  <c r="CS24" i="5"/>
  <c r="CY24" i="5"/>
  <c r="CZ24" i="5" s="1"/>
  <c r="CY64" i="5"/>
  <c r="CZ64" i="5" s="1"/>
  <c r="CV64" i="5"/>
  <c r="CU64" i="5"/>
  <c r="CP64" i="5"/>
  <c r="CQ64" i="5" s="1"/>
  <c r="CW64" i="5"/>
  <c r="CT64" i="5"/>
  <c r="CS64" i="5"/>
  <c r="CR97" i="5"/>
  <c r="CO97" i="5"/>
  <c r="CN97" i="5"/>
  <c r="CS188" i="5"/>
  <c r="CY188" i="5"/>
  <c r="CZ188" i="5" s="1"/>
  <c r="CP188" i="5"/>
  <c r="CQ188" i="5" s="1"/>
  <c r="CW188" i="5"/>
  <c r="CU188" i="5"/>
  <c r="CV188" i="5" s="1"/>
  <c r="CT188" i="5"/>
  <c r="CS194" i="5"/>
  <c r="CT194" i="5" s="1"/>
  <c r="CY194" i="5"/>
  <c r="CZ194" i="5" s="1"/>
  <c r="CP194" i="5"/>
  <c r="CQ194" i="5" s="1"/>
  <c r="CW194" i="5"/>
  <c r="CU194" i="5"/>
  <c r="CV194" i="5" s="1"/>
  <c r="CV229" i="5"/>
  <c r="CU229" i="5"/>
  <c r="CS229" i="5"/>
  <c r="CT229" i="5" s="1"/>
  <c r="CY229" i="5"/>
  <c r="CZ229" i="5" s="1"/>
  <c r="CP229" i="5"/>
  <c r="CQ229" i="5" s="1"/>
  <c r="CW229" i="5"/>
  <c r="CN296" i="5"/>
  <c r="CR296" i="5"/>
  <c r="CO296" i="5"/>
  <c r="CP49" i="5"/>
  <c r="CQ49" i="5" s="1"/>
  <c r="CW49" i="5"/>
  <c r="CV49" i="5"/>
  <c r="CU49" i="5"/>
  <c r="CS49" i="5"/>
  <c r="CT49" i="5" s="1"/>
  <c r="CY49" i="5"/>
  <c r="CZ49" i="5" s="1"/>
  <c r="CR98" i="5"/>
  <c r="CO98" i="5"/>
  <c r="CN98" i="5"/>
  <c r="CN174" i="5"/>
  <c r="CR174" i="5"/>
  <c r="CO174" i="5"/>
  <c r="CY66" i="5"/>
  <c r="CZ66" i="5" s="1"/>
  <c r="CV66" i="5"/>
  <c r="CU66" i="5"/>
  <c r="CS66" i="5"/>
  <c r="CT66" i="5" s="1"/>
  <c r="CP66" i="5"/>
  <c r="CQ66" i="5" s="1"/>
  <c r="CW66" i="5"/>
  <c r="CU266" i="5"/>
  <c r="CT266" i="5"/>
  <c r="CP266" i="5"/>
  <c r="CQ266" i="5" s="1"/>
  <c r="CW266" i="5"/>
  <c r="CY266" i="5"/>
  <c r="CZ266" i="5" s="1"/>
  <c r="CV266" i="5"/>
  <c r="CS266" i="5"/>
  <c r="CY63" i="5"/>
  <c r="CZ63" i="5" s="1"/>
  <c r="CU63" i="5"/>
  <c r="CV63" i="5" s="1"/>
  <c r="CP63" i="5"/>
  <c r="CQ63" i="5" s="1"/>
  <c r="CW63" i="5"/>
  <c r="CS63" i="5"/>
  <c r="CT63" i="5" s="1"/>
  <c r="CS190" i="5"/>
  <c r="CT190" i="5" s="1"/>
  <c r="CY190" i="5"/>
  <c r="CZ190" i="5" s="1"/>
  <c r="CP190" i="5"/>
  <c r="CQ190" i="5" s="1"/>
  <c r="CW190" i="5"/>
  <c r="CV190" i="5"/>
  <c r="CU190" i="5"/>
  <c r="F35" i="4"/>
  <c r="G34" i="4"/>
  <c r="CR211" i="5"/>
  <c r="CO211" i="5"/>
  <c r="CN211" i="5"/>
  <c r="CP46" i="5"/>
  <c r="CQ46" i="5" s="1"/>
  <c r="CW46" i="5"/>
  <c r="CU46" i="5"/>
  <c r="CV46" i="5" s="1"/>
  <c r="CT46" i="5"/>
  <c r="CS46" i="5"/>
  <c r="CY46" i="5"/>
  <c r="CZ46" i="5" s="1"/>
  <c r="DH5" i="5"/>
  <c r="DG5" i="5"/>
  <c r="DA5" i="5"/>
  <c r="CP47" i="5"/>
  <c r="CQ47" i="5" s="1"/>
  <c r="CW47" i="5"/>
  <c r="CU47" i="5"/>
  <c r="CV47" i="5" s="1"/>
  <c r="CT47" i="5"/>
  <c r="CS47" i="5"/>
  <c r="CY47" i="5"/>
  <c r="CZ47" i="5" s="1"/>
  <c r="CL88" i="5"/>
  <c r="CM88" i="5" s="1"/>
  <c r="CO116" i="5"/>
  <c r="CN116" i="5"/>
  <c r="CR116" i="5"/>
  <c r="CO261" i="5"/>
  <c r="CN261" i="5"/>
  <c r="CR261" i="5"/>
  <c r="CR254" i="5"/>
  <c r="CO254" i="5"/>
  <c r="CN254" i="5"/>
  <c r="C96" i="8"/>
  <c r="C97" i="8" s="1"/>
  <c r="CH9" i="5"/>
  <c r="CE9" i="5"/>
  <c r="CP48" i="5"/>
  <c r="CQ48" i="5" s="1"/>
  <c r="CW48" i="5"/>
  <c r="CU48" i="5"/>
  <c r="CV48" i="5" s="1"/>
  <c r="CT48" i="5"/>
  <c r="CS48" i="5"/>
  <c r="CY48" i="5"/>
  <c r="CZ48" i="5" s="1"/>
  <c r="CS161" i="5"/>
  <c r="CV161" i="5"/>
  <c r="CU161" i="5"/>
  <c r="CT161" i="5"/>
  <c r="CP161" i="5"/>
  <c r="CQ161" i="5" s="1"/>
  <c r="CY161" i="5"/>
  <c r="CZ161" i="5" s="1"/>
  <c r="CW161" i="5"/>
  <c r="CS206" i="5"/>
  <c r="CY206" i="5"/>
  <c r="CZ206" i="5" s="1"/>
  <c r="CP206" i="5"/>
  <c r="CQ206" i="5" s="1"/>
  <c r="CW206" i="5"/>
  <c r="CV206" i="5"/>
  <c r="CT206" i="5"/>
  <c r="CU206" i="5"/>
  <c r="CN159" i="5"/>
  <c r="CR159" i="5"/>
  <c r="CO159" i="5"/>
  <c r="CY293" i="5"/>
  <c r="CZ293" i="5" s="1"/>
  <c r="CP293" i="5"/>
  <c r="CQ293" i="5" s="1"/>
  <c r="CW293" i="5"/>
  <c r="CV293" i="5"/>
  <c r="CU293" i="5"/>
  <c r="CS293" i="5"/>
  <c r="CT293" i="5" s="1"/>
  <c r="CT215" i="5"/>
  <c r="CY215" i="5"/>
  <c r="CZ215" i="5" s="1"/>
  <c r="CP215" i="5"/>
  <c r="CQ215" i="5" s="1"/>
  <c r="CW215" i="5"/>
  <c r="CV215" i="5"/>
  <c r="CU215" i="5"/>
  <c r="CS215" i="5"/>
  <c r="CW290" i="5"/>
  <c r="CV290" i="5"/>
  <c r="CU290" i="5"/>
  <c r="CS290" i="5"/>
  <c r="CT290" i="5" s="1"/>
  <c r="CP290" i="5"/>
  <c r="CQ290" i="5" s="1"/>
  <c r="CY290" i="5"/>
  <c r="CZ290" i="5" s="1"/>
  <c r="C122" i="3"/>
  <c r="C91" i="3"/>
  <c r="CR281" i="5"/>
  <c r="CO281" i="5"/>
  <c r="CN281" i="5"/>
  <c r="CP52" i="5"/>
  <c r="CQ52" i="5" s="1"/>
  <c r="CW52" i="5"/>
  <c r="CU52" i="5"/>
  <c r="CV52" i="5" s="1"/>
  <c r="CT52" i="5"/>
  <c r="CS52" i="5"/>
  <c r="CY52" i="5"/>
  <c r="CZ52" i="5" s="1"/>
  <c r="CY140" i="5"/>
  <c r="CZ140" i="5" s="1"/>
  <c r="CW140" i="5"/>
  <c r="CV140" i="5"/>
  <c r="CU140" i="5"/>
  <c r="CS140" i="5"/>
  <c r="CT140" i="5" s="1"/>
  <c r="CP140" i="5"/>
  <c r="CQ140" i="5" s="1"/>
  <c r="CR180" i="5"/>
  <c r="CO180" i="5"/>
  <c r="CN180" i="5"/>
  <c r="CS208" i="5"/>
  <c r="CY208" i="5"/>
  <c r="CZ208" i="5" s="1"/>
  <c r="CP208" i="5"/>
  <c r="CQ208" i="5" s="1"/>
  <c r="CW208" i="5"/>
  <c r="CV208" i="5"/>
  <c r="CU208" i="5"/>
  <c r="CT208" i="5"/>
  <c r="CV249" i="5"/>
  <c r="CU249" i="5"/>
  <c r="CS249" i="5"/>
  <c r="CT249" i="5" s="1"/>
  <c r="CY249" i="5"/>
  <c r="CZ249" i="5" s="1"/>
  <c r="CP249" i="5"/>
  <c r="CQ249" i="5" s="1"/>
  <c r="CW249" i="5"/>
  <c r="CL110" i="5"/>
  <c r="CM110" i="5" s="1"/>
  <c r="CU252" i="5"/>
  <c r="CV252" i="5" s="1"/>
  <c r="CP252" i="5"/>
  <c r="CQ252" i="5" s="1"/>
  <c r="CY252" i="5"/>
  <c r="CZ252" i="5" s="1"/>
  <c r="CW252" i="5"/>
  <c r="CT252" i="5"/>
  <c r="CS252" i="5"/>
  <c r="CS291" i="5"/>
  <c r="CT291" i="5" s="1"/>
  <c r="CY291" i="5"/>
  <c r="CZ291" i="5" s="1"/>
  <c r="CP291" i="5"/>
  <c r="CQ291" i="5" s="1"/>
  <c r="CW291" i="5"/>
  <c r="CV291" i="5"/>
  <c r="CU291" i="5"/>
  <c r="CK5" i="5"/>
  <c r="CI5" i="5"/>
  <c r="CJ5" i="5" s="1"/>
  <c r="CL5" i="5" s="1"/>
  <c r="CM5" i="5" s="1"/>
  <c r="CR79" i="5"/>
  <c r="CO79" i="5"/>
  <c r="CN79" i="5"/>
  <c r="CR184" i="5"/>
  <c r="CO184" i="5"/>
  <c r="CN184" i="5"/>
  <c r="CR212" i="5"/>
  <c r="CO212" i="5"/>
  <c r="CN212" i="5"/>
  <c r="CP42" i="5"/>
  <c r="CQ42" i="5" s="1"/>
  <c r="CW42" i="5"/>
  <c r="CV42" i="5"/>
  <c r="CU42" i="5"/>
  <c r="CT42" i="5"/>
  <c r="CS42" i="5"/>
  <c r="CY42" i="5"/>
  <c r="CZ42" i="5" s="1"/>
  <c r="CL83" i="5"/>
  <c r="CM83" i="5" s="1"/>
  <c r="CL112" i="5"/>
  <c r="CM112" i="5" s="1"/>
  <c r="CR195" i="5"/>
  <c r="CO195" i="5"/>
  <c r="CN195" i="5"/>
  <c r="CT286" i="5"/>
  <c r="CS286" i="5"/>
  <c r="CY286" i="5"/>
  <c r="CZ286" i="5" s="1"/>
  <c r="CP286" i="5"/>
  <c r="CQ286" i="5" s="1"/>
  <c r="CW286" i="5"/>
  <c r="CU286" i="5"/>
  <c r="CV286" i="5" s="1"/>
  <c r="CO16" i="5"/>
  <c r="CR16" i="5"/>
  <c r="CN16" i="5"/>
  <c r="CL109" i="5"/>
  <c r="CM109" i="5" s="1"/>
  <c r="CL179" i="5"/>
  <c r="CM179" i="5" s="1"/>
  <c r="G21" i="4"/>
  <c r="G12" i="4"/>
  <c r="G15" i="4"/>
  <c r="CP37" i="5"/>
  <c r="CQ37" i="5" s="1"/>
  <c r="CW37" i="5"/>
  <c r="CU37" i="5"/>
  <c r="CV37" i="5" s="1"/>
  <c r="CT37" i="5"/>
  <c r="CS37" i="5"/>
  <c r="CY37" i="5"/>
  <c r="CZ37" i="5" s="1"/>
  <c r="CL74" i="5"/>
  <c r="CM74" i="5" s="1"/>
  <c r="CL114" i="5"/>
  <c r="CM114" i="5" s="1"/>
  <c r="CY141" i="5"/>
  <c r="CZ141" i="5" s="1"/>
  <c r="CW141" i="5"/>
  <c r="CU141" i="5"/>
  <c r="CV141" i="5" s="1"/>
  <c r="CT141" i="5"/>
  <c r="CS141" i="5"/>
  <c r="CP141" i="5"/>
  <c r="CQ141" i="5" s="1"/>
  <c r="CT219" i="5"/>
  <c r="CY219" i="5"/>
  <c r="CZ219" i="5" s="1"/>
  <c r="CP219" i="5"/>
  <c r="CQ219" i="5" s="1"/>
  <c r="CW219" i="5"/>
  <c r="CV219" i="5"/>
  <c r="CU219" i="5"/>
  <c r="CS219" i="5"/>
  <c r="CU234" i="5"/>
  <c r="CV234" i="5" s="1"/>
  <c r="CT234" i="5"/>
  <c r="CS234" i="5"/>
  <c r="CY234" i="5"/>
  <c r="CZ234" i="5" s="1"/>
  <c r="CP234" i="5"/>
  <c r="CQ234" i="5" s="1"/>
  <c r="CW234" i="5"/>
  <c r="CL123" i="5"/>
  <c r="CM123" i="5" s="1"/>
  <c r="CL178" i="5"/>
  <c r="CM178" i="5" s="1"/>
  <c r="CL280" i="5"/>
  <c r="CM280" i="5" s="1"/>
  <c r="E100" i="8"/>
  <c r="E95" i="8"/>
  <c r="I53" i="16"/>
  <c r="F53" i="16"/>
  <c r="H53" i="16" s="1"/>
  <c r="CS182" i="5"/>
  <c r="CY182" i="5"/>
  <c r="CZ182" i="5" s="1"/>
  <c r="CP182" i="5"/>
  <c r="CQ182" i="5" s="1"/>
  <c r="CW182" i="5"/>
  <c r="CV182" i="5"/>
  <c r="CU182" i="5"/>
  <c r="CT182" i="5"/>
  <c r="CV292" i="5"/>
  <c r="CU292" i="5"/>
  <c r="CS292" i="5"/>
  <c r="CT292" i="5" s="1"/>
  <c r="CY292" i="5"/>
  <c r="CZ292" i="5" s="1"/>
  <c r="CP292" i="5"/>
  <c r="CQ292" i="5" s="1"/>
  <c r="CW292" i="5"/>
  <c r="CX9" i="5"/>
  <c r="C23" i="7" s="1"/>
  <c r="CL105" i="5"/>
  <c r="CM105" i="5" s="1"/>
  <c r="CL189" i="5"/>
  <c r="CM189" i="5" s="1"/>
  <c r="CL259" i="5"/>
  <c r="CM259" i="5" s="1"/>
  <c r="C46" i="22"/>
  <c r="CP33" i="5"/>
  <c r="CQ33" i="5" s="1"/>
  <c r="CW33" i="5"/>
  <c r="CU33" i="5"/>
  <c r="CV33" i="5" s="1"/>
  <c r="CT33" i="5"/>
  <c r="CS33" i="5"/>
  <c r="CY33" i="5"/>
  <c r="CZ33" i="5" s="1"/>
  <c r="CY61" i="5"/>
  <c r="CZ61" i="5" s="1"/>
  <c r="CU61" i="5"/>
  <c r="CV61" i="5" s="1"/>
  <c r="CW61" i="5"/>
  <c r="CS61" i="5"/>
  <c r="CT61" i="5" s="1"/>
  <c r="CP61" i="5"/>
  <c r="CQ61" i="5" s="1"/>
  <c r="CL106" i="5"/>
  <c r="CM106" i="5" s="1"/>
  <c r="CY216" i="5"/>
  <c r="CZ216" i="5" s="1"/>
  <c r="CW216" i="5"/>
  <c r="CU216" i="5"/>
  <c r="CV216" i="5" s="1"/>
  <c r="CS216" i="5"/>
  <c r="CT216" i="5" s="1"/>
  <c r="CP216" i="5"/>
  <c r="CQ216" i="5" s="1"/>
  <c r="CU246" i="5"/>
  <c r="CV246" i="5" s="1"/>
  <c r="CT246" i="5"/>
  <c r="CS246" i="5"/>
  <c r="CY246" i="5"/>
  <c r="CZ246" i="5" s="1"/>
  <c r="CP246" i="5"/>
  <c r="CQ246" i="5" s="1"/>
  <c r="CW246" i="5"/>
  <c r="CY62" i="5"/>
  <c r="CZ62" i="5" s="1"/>
  <c r="CU62" i="5"/>
  <c r="CV62" i="5" s="1"/>
  <c r="CW62" i="5"/>
  <c r="CT62" i="5"/>
  <c r="CS62" i="5"/>
  <c r="CP62" i="5"/>
  <c r="CQ62" i="5" s="1"/>
  <c r="CW304" i="5"/>
  <c r="CV304" i="5"/>
  <c r="CS304" i="5"/>
  <c r="CT304" i="5" s="1"/>
  <c r="CY304" i="5"/>
  <c r="CZ304" i="5" s="1"/>
  <c r="CU304" i="5"/>
  <c r="CP304" i="5"/>
  <c r="CQ304" i="5" s="1"/>
  <c r="DH8" i="5"/>
  <c r="CV276" i="5"/>
  <c r="CU276" i="5"/>
  <c r="CS276" i="5"/>
  <c r="CT276" i="5" s="1"/>
  <c r="CY276" i="5"/>
  <c r="CZ276" i="5" s="1"/>
  <c r="CP276" i="5"/>
  <c r="CQ276" i="5" s="1"/>
  <c r="CW276" i="5"/>
  <c r="CW287" i="5"/>
  <c r="CV287" i="5"/>
  <c r="CU287" i="5"/>
  <c r="CS287" i="5"/>
  <c r="CT287" i="5" s="1"/>
  <c r="CY287" i="5"/>
  <c r="CZ287" i="5" s="1"/>
  <c r="CP287" i="5"/>
  <c r="CQ287" i="5" s="1"/>
  <c r="CS166" i="5"/>
  <c r="CY166" i="5"/>
  <c r="CZ166" i="5" s="1"/>
  <c r="CV166" i="5"/>
  <c r="CP166" i="5"/>
  <c r="CQ166" i="5" s="1"/>
  <c r="CW166" i="5"/>
  <c r="CU166" i="5"/>
  <c r="CT166" i="5"/>
  <c r="CY225" i="5"/>
  <c r="CZ225" i="5" s="1"/>
  <c r="CP225" i="5"/>
  <c r="CQ225" i="5" s="1"/>
  <c r="CS225" i="5"/>
  <c r="CT225" i="5" s="1"/>
  <c r="CW225" i="5"/>
  <c r="CU225" i="5"/>
  <c r="CV225" i="5" s="1"/>
  <c r="CS160" i="5"/>
  <c r="CT160" i="5" s="1"/>
  <c r="CP160" i="5"/>
  <c r="CQ160" i="5" s="1"/>
  <c r="CY160" i="5"/>
  <c r="CZ160" i="5" s="1"/>
  <c r="CW160" i="5"/>
  <c r="CU160" i="5"/>
  <c r="CV160" i="5" s="1"/>
  <c r="CP299" i="5"/>
  <c r="CQ299" i="5" s="1"/>
  <c r="CY299" i="5"/>
  <c r="CZ299" i="5" s="1"/>
  <c r="CW299" i="5"/>
  <c r="CU299" i="5"/>
  <c r="CV299" i="5" s="1"/>
  <c r="CT299" i="5"/>
  <c r="CS299" i="5"/>
  <c r="CU134" i="5"/>
  <c r="CV134" i="5" s="1"/>
  <c r="CY134" i="5"/>
  <c r="CZ134" i="5" s="1"/>
  <c r="CW134" i="5"/>
  <c r="CS134" i="5"/>
  <c r="CT134" i="5" s="1"/>
  <c r="CP134" i="5"/>
  <c r="CQ134" i="5" s="1"/>
  <c r="CY65" i="5"/>
  <c r="CZ65" i="5" s="1"/>
  <c r="CU65" i="5"/>
  <c r="CV65" i="5" s="1"/>
  <c r="CS65" i="5"/>
  <c r="CP65" i="5"/>
  <c r="CQ65" i="5" s="1"/>
  <c r="CW65" i="5"/>
  <c r="CT65" i="5"/>
  <c r="CL84" i="5"/>
  <c r="CM84" i="5" s="1"/>
  <c r="CO15" i="5"/>
  <c r="CR15" i="5"/>
  <c r="CN15" i="5"/>
  <c r="CR139" i="5"/>
  <c r="CN139" i="5"/>
  <c r="CO139" i="5"/>
  <c r="CR265" i="5"/>
  <c r="CO265" i="5"/>
  <c r="CN265" i="5"/>
  <c r="CP36" i="5"/>
  <c r="CQ36" i="5" s="1"/>
  <c r="CW36" i="5"/>
  <c r="CV36" i="5"/>
  <c r="CU36" i="5"/>
  <c r="CS36" i="5"/>
  <c r="CT36" i="5" s="1"/>
  <c r="CY36" i="5"/>
  <c r="CZ36" i="5" s="1"/>
  <c r="CV132" i="5"/>
  <c r="CU132" i="5"/>
  <c r="CW132" i="5"/>
  <c r="CT132" i="5"/>
  <c r="CS132" i="5"/>
  <c r="CP132" i="5"/>
  <c r="CQ132" i="5" s="1"/>
  <c r="CY132" i="5"/>
  <c r="CZ132" i="5" s="1"/>
  <c r="CR86" i="5"/>
  <c r="CO86" i="5"/>
  <c r="CN86" i="5"/>
  <c r="CR284" i="5"/>
  <c r="CO284" i="5"/>
  <c r="CN284" i="5"/>
  <c r="CO18" i="5"/>
  <c r="CR18" i="5"/>
  <c r="CN18" i="5"/>
  <c r="CP30" i="5"/>
  <c r="CQ30" i="5" s="1"/>
  <c r="CW30" i="5"/>
  <c r="CU30" i="5"/>
  <c r="CV30" i="5" s="1"/>
  <c r="CT30" i="5"/>
  <c r="CS30" i="5"/>
  <c r="CY30" i="5"/>
  <c r="CZ30" i="5" s="1"/>
  <c r="CR87" i="5"/>
  <c r="CO87" i="5"/>
  <c r="CN87" i="5"/>
  <c r="CN257" i="5"/>
  <c r="CR257" i="5"/>
  <c r="CO257" i="5"/>
  <c r="CU251" i="5"/>
  <c r="CV251" i="5" s="1"/>
  <c r="CT251" i="5"/>
  <c r="CS251" i="5"/>
  <c r="CY251" i="5"/>
  <c r="CZ251" i="5" s="1"/>
  <c r="CP251" i="5"/>
  <c r="CQ251" i="5" s="1"/>
  <c r="CW251" i="5"/>
  <c r="F43" i="16"/>
  <c r="CP31" i="5"/>
  <c r="CQ31" i="5" s="1"/>
  <c r="CW31" i="5"/>
  <c r="CV31" i="5"/>
  <c r="CU31" i="5"/>
  <c r="CS31" i="5"/>
  <c r="CT31" i="5" s="1"/>
  <c r="CY31" i="5"/>
  <c r="CZ31" i="5" s="1"/>
  <c r="CY60" i="5"/>
  <c r="CZ60" i="5" s="1"/>
  <c r="CU60" i="5"/>
  <c r="CV60" i="5" s="1"/>
  <c r="CP60" i="5"/>
  <c r="CQ60" i="5" s="1"/>
  <c r="CW60" i="5"/>
  <c r="CS60" i="5"/>
  <c r="CT60" i="5" s="1"/>
  <c r="CR96" i="5"/>
  <c r="CO96" i="5"/>
  <c r="CN96" i="5"/>
  <c r="CO124" i="5"/>
  <c r="CN124" i="5"/>
  <c r="CR124" i="5"/>
  <c r="CN253" i="5"/>
  <c r="CR253" i="5"/>
  <c r="CO253" i="5"/>
  <c r="CU236" i="5"/>
  <c r="CV236" i="5" s="1"/>
  <c r="CT236" i="5"/>
  <c r="CS236" i="5"/>
  <c r="CY236" i="5"/>
  <c r="CZ236" i="5" s="1"/>
  <c r="CP236" i="5"/>
  <c r="CQ236" i="5" s="1"/>
  <c r="CW236" i="5"/>
  <c r="CY285" i="5"/>
  <c r="CZ285" i="5" s="1"/>
  <c r="CP285" i="5"/>
  <c r="CQ285" i="5" s="1"/>
  <c r="CW285" i="5"/>
  <c r="CV285" i="5"/>
  <c r="CU285" i="5"/>
  <c r="CS285" i="5"/>
  <c r="CT285" i="5" s="1"/>
  <c r="F97" i="8"/>
  <c r="F96" i="8"/>
  <c r="CP32" i="5"/>
  <c r="CQ32" i="5" s="1"/>
  <c r="CW32" i="5"/>
  <c r="CV32" i="5"/>
  <c r="CU32" i="5"/>
  <c r="CS32" i="5"/>
  <c r="CT32" i="5" s="1"/>
  <c r="CY32" i="5"/>
  <c r="CZ32" i="5" s="1"/>
  <c r="CO111" i="5"/>
  <c r="CR111" i="5"/>
  <c r="CN111" i="5"/>
  <c r="CS198" i="5"/>
  <c r="CT198" i="5" s="1"/>
  <c r="CY198" i="5"/>
  <c r="CZ198" i="5" s="1"/>
  <c r="CP198" i="5"/>
  <c r="CQ198" i="5" s="1"/>
  <c r="CW198" i="5"/>
  <c r="CV198" i="5"/>
  <c r="CU198" i="5"/>
  <c r="CU237" i="5"/>
  <c r="CV237" i="5" s="1"/>
  <c r="CT237" i="5"/>
  <c r="CS237" i="5"/>
  <c r="CY237" i="5"/>
  <c r="CZ237" i="5" s="1"/>
  <c r="CP237" i="5"/>
  <c r="CQ237" i="5" s="1"/>
  <c r="CW237" i="5"/>
  <c r="DG10" i="5"/>
  <c r="DA10" i="5"/>
  <c r="DH10" i="5"/>
  <c r="CP57" i="5"/>
  <c r="CQ57" i="5" s="1"/>
  <c r="CW57" i="5"/>
  <c r="CU57" i="5"/>
  <c r="CV57" i="5" s="1"/>
  <c r="CT57" i="5"/>
  <c r="CS57" i="5"/>
  <c r="CY57" i="5"/>
  <c r="CZ57" i="5" s="1"/>
  <c r="CR129" i="5"/>
  <c r="CN129" i="5"/>
  <c r="CO129" i="5"/>
  <c r="CY153" i="5"/>
  <c r="CZ153" i="5" s="1"/>
  <c r="CP153" i="5"/>
  <c r="CQ153" i="5" s="1"/>
  <c r="CW153" i="5"/>
  <c r="CU153" i="5"/>
  <c r="CV153" i="5" s="1"/>
  <c r="CT153" i="5"/>
  <c r="CS153" i="5"/>
  <c r="CU274" i="5"/>
  <c r="CS274" i="5"/>
  <c r="CT274" i="5" s="1"/>
  <c r="CY274" i="5"/>
  <c r="CZ274" i="5" s="1"/>
  <c r="CP274" i="5"/>
  <c r="CQ274" i="5" s="1"/>
  <c r="CW274" i="5"/>
  <c r="CV274" i="5"/>
  <c r="C98" i="8" l="1"/>
  <c r="C101" i="8" s="1"/>
  <c r="CR280" i="5"/>
  <c r="CO280" i="5"/>
  <c r="CN280" i="5"/>
  <c r="CO114" i="5"/>
  <c r="CN114" i="5"/>
  <c r="CR114" i="5"/>
  <c r="CP16" i="5"/>
  <c r="CQ16" i="5" s="1"/>
  <c r="CW16" i="5"/>
  <c r="CS16" i="5"/>
  <c r="CT16" i="5" s="1"/>
  <c r="CY16" i="5"/>
  <c r="CZ16" i="5" s="1"/>
  <c r="CU16" i="5"/>
  <c r="CV16" i="5" s="1"/>
  <c r="CS184" i="5"/>
  <c r="CY184" i="5"/>
  <c r="CZ184" i="5" s="1"/>
  <c r="CP184" i="5"/>
  <c r="CQ184" i="5" s="1"/>
  <c r="CW184" i="5"/>
  <c r="CV184" i="5"/>
  <c r="CU184" i="5"/>
  <c r="CT184" i="5"/>
  <c r="E39" i="4"/>
  <c r="C95" i="3"/>
  <c r="C100" i="3"/>
  <c r="E43" i="4" s="1"/>
  <c r="F28" i="2"/>
  <c r="E28" i="2"/>
  <c r="CS159" i="5"/>
  <c r="CT159" i="5" s="1"/>
  <c r="CU159" i="5"/>
  <c r="CV159" i="5" s="1"/>
  <c r="CP159" i="5"/>
  <c r="CQ159" i="5" s="1"/>
  <c r="CY159" i="5"/>
  <c r="CZ159" i="5" s="1"/>
  <c r="CW159" i="5"/>
  <c r="CI9" i="5"/>
  <c r="CJ9" i="5" s="1"/>
  <c r="CL9" i="5" s="1"/>
  <c r="CM9" i="5" s="1"/>
  <c r="CK9" i="5"/>
  <c r="C20" i="6"/>
  <c r="CS164" i="5"/>
  <c r="CT164" i="5" s="1"/>
  <c r="CY164" i="5"/>
  <c r="CZ164" i="5" s="1"/>
  <c r="CP164" i="5"/>
  <c r="CQ164" i="5" s="1"/>
  <c r="CW164" i="5"/>
  <c r="CU164" i="5"/>
  <c r="CV164" i="5" s="1"/>
  <c r="CT121" i="5"/>
  <c r="CS121" i="5"/>
  <c r="CP121" i="5"/>
  <c r="CQ121" i="5" s="1"/>
  <c r="CW121" i="5"/>
  <c r="CU121" i="5"/>
  <c r="CV121" i="5" s="1"/>
  <c r="CY121" i="5"/>
  <c r="CZ121" i="5" s="1"/>
  <c r="CY152" i="5"/>
  <c r="CZ152" i="5" s="1"/>
  <c r="CP152" i="5"/>
  <c r="CQ152" i="5" s="1"/>
  <c r="CW152" i="5"/>
  <c r="CV152" i="5"/>
  <c r="CU152" i="5"/>
  <c r="CS152" i="5"/>
  <c r="CT152" i="5" s="1"/>
  <c r="CS278" i="5"/>
  <c r="CT278" i="5" s="1"/>
  <c r="CY278" i="5"/>
  <c r="CZ278" i="5" s="1"/>
  <c r="CP278" i="5"/>
  <c r="CQ278" i="5" s="1"/>
  <c r="CW278" i="5"/>
  <c r="CV278" i="5"/>
  <c r="CU278" i="5"/>
  <c r="CR73" i="5"/>
  <c r="CO73" i="5"/>
  <c r="CN73" i="5"/>
  <c r="CR93" i="5"/>
  <c r="CO93" i="5"/>
  <c r="CN93" i="5"/>
  <c r="CR130" i="5"/>
  <c r="CN130" i="5"/>
  <c r="CO130" i="5"/>
  <c r="CU263" i="5"/>
  <c r="CV263" i="5" s="1"/>
  <c r="CP263" i="5"/>
  <c r="CQ263" i="5" s="1"/>
  <c r="CW263" i="5"/>
  <c r="CT263" i="5"/>
  <c r="CS263" i="5"/>
  <c r="CY263" i="5"/>
  <c r="CZ263" i="5" s="1"/>
  <c r="CS117" i="5"/>
  <c r="CT117" i="5" s="1"/>
  <c r="CP117" i="5"/>
  <c r="CQ117" i="5" s="1"/>
  <c r="CW117" i="5"/>
  <c r="CU117" i="5"/>
  <c r="CV117" i="5" s="1"/>
  <c r="CY117" i="5"/>
  <c r="CZ117" i="5" s="1"/>
  <c r="CY158" i="5"/>
  <c r="CZ158" i="5" s="1"/>
  <c r="CP158" i="5"/>
  <c r="CQ158" i="5" s="1"/>
  <c r="CW158" i="5"/>
  <c r="CV158" i="5"/>
  <c r="CU158" i="5"/>
  <c r="CS158" i="5"/>
  <c r="CT158" i="5" s="1"/>
  <c r="CP17" i="5"/>
  <c r="CQ17" i="5" s="1"/>
  <c r="CW17" i="5"/>
  <c r="CS17" i="5"/>
  <c r="CT17" i="5" s="1"/>
  <c r="CY17" i="5"/>
  <c r="CZ17" i="5" s="1"/>
  <c r="CV17" i="5"/>
  <c r="CU17" i="5"/>
  <c r="H96" i="8"/>
  <c r="H97" i="8" s="1"/>
  <c r="CR289" i="5"/>
  <c r="CO289" i="5"/>
  <c r="CN289" i="5"/>
  <c r="CR179" i="5"/>
  <c r="CO179" i="5"/>
  <c r="CN179" i="5"/>
  <c r="CV284" i="5"/>
  <c r="CU284" i="5"/>
  <c r="CS284" i="5"/>
  <c r="CT284" i="5" s="1"/>
  <c r="CY284" i="5"/>
  <c r="CZ284" i="5" s="1"/>
  <c r="CP284" i="5"/>
  <c r="CQ284" i="5" s="1"/>
  <c r="CW284" i="5"/>
  <c r="CU261" i="5"/>
  <c r="CP261" i="5"/>
  <c r="CQ261" i="5" s="1"/>
  <c r="CW261" i="5"/>
  <c r="CY261" i="5"/>
  <c r="CZ261" i="5" s="1"/>
  <c r="CV261" i="5"/>
  <c r="CT261" i="5"/>
  <c r="CS261" i="5"/>
  <c r="C19" i="6"/>
  <c r="H35" i="4"/>
  <c r="CO115" i="5"/>
  <c r="CN115" i="5"/>
  <c r="CR115" i="5"/>
  <c r="CS186" i="5"/>
  <c r="CT186" i="5" s="1"/>
  <c r="CY186" i="5"/>
  <c r="CZ186" i="5" s="1"/>
  <c r="CP186" i="5"/>
  <c r="CQ186" i="5" s="1"/>
  <c r="CW186" i="5"/>
  <c r="CU186" i="5"/>
  <c r="CV186" i="5" s="1"/>
  <c r="CR288" i="5"/>
  <c r="CO288" i="5"/>
  <c r="CN288" i="5"/>
  <c r="CR99" i="5"/>
  <c r="CO99" i="5"/>
  <c r="CN99" i="5"/>
  <c r="CR77" i="5"/>
  <c r="CO77" i="5"/>
  <c r="CN77" i="5"/>
  <c r="CR104" i="5"/>
  <c r="CO104" i="5"/>
  <c r="CN104" i="5"/>
  <c r="CS183" i="5"/>
  <c r="CY183" i="5"/>
  <c r="CZ183" i="5" s="1"/>
  <c r="CP183" i="5"/>
  <c r="CQ183" i="5" s="1"/>
  <c r="CW183" i="5"/>
  <c r="CU183" i="5"/>
  <c r="CV183" i="5" s="1"/>
  <c r="CT183" i="5"/>
  <c r="CS192" i="5"/>
  <c r="CT192" i="5" s="1"/>
  <c r="CY192" i="5"/>
  <c r="CZ192" i="5" s="1"/>
  <c r="CP192" i="5"/>
  <c r="CQ192" i="5" s="1"/>
  <c r="CW192" i="5"/>
  <c r="CU192" i="5"/>
  <c r="CV192" i="5" s="1"/>
  <c r="CS124" i="5"/>
  <c r="CT124" i="5" s="1"/>
  <c r="CY124" i="5"/>
  <c r="CZ124" i="5" s="1"/>
  <c r="CP124" i="5"/>
  <c r="CQ124" i="5" s="1"/>
  <c r="CW124" i="5"/>
  <c r="CV124" i="5"/>
  <c r="CU124" i="5"/>
  <c r="CO178" i="5"/>
  <c r="CN178" i="5"/>
  <c r="CR178" i="5"/>
  <c r="CR74" i="5"/>
  <c r="CO74" i="5"/>
  <c r="CN74" i="5"/>
  <c r="CS195" i="5"/>
  <c r="CY195" i="5"/>
  <c r="CZ195" i="5" s="1"/>
  <c r="CP195" i="5"/>
  <c r="CQ195" i="5" s="1"/>
  <c r="CW195" i="5"/>
  <c r="CV195" i="5"/>
  <c r="CT195" i="5"/>
  <c r="CU195" i="5"/>
  <c r="CP129" i="5"/>
  <c r="CQ129" i="5" s="1"/>
  <c r="CY129" i="5"/>
  <c r="CZ129" i="5" s="1"/>
  <c r="CW129" i="5"/>
  <c r="CU129" i="5"/>
  <c r="CV129" i="5" s="1"/>
  <c r="CT129" i="5"/>
  <c r="CS129" i="5"/>
  <c r="CR106" i="5"/>
  <c r="CO106" i="5"/>
  <c r="CN106" i="5"/>
  <c r="CR259" i="5"/>
  <c r="CO259" i="5"/>
  <c r="CN259" i="5"/>
  <c r="CO123" i="5"/>
  <c r="CN123" i="5"/>
  <c r="CR123" i="5"/>
  <c r="E61" i="4"/>
  <c r="E62" i="4" s="1"/>
  <c r="E63" i="4" s="1"/>
  <c r="C21" i="6"/>
  <c r="CY98" i="5"/>
  <c r="CZ98" i="5" s="1"/>
  <c r="CP98" i="5"/>
  <c r="CQ98" i="5" s="1"/>
  <c r="CW98" i="5"/>
  <c r="CV98" i="5"/>
  <c r="CU98" i="5"/>
  <c r="CS98" i="5"/>
  <c r="CT98" i="5" s="1"/>
  <c r="CU255" i="5"/>
  <c r="CP255" i="5"/>
  <c r="CQ255" i="5" s="1"/>
  <c r="CS255" i="5"/>
  <c r="CT255" i="5" s="1"/>
  <c r="CY255" i="5"/>
  <c r="CZ255" i="5" s="1"/>
  <c r="CW255" i="5"/>
  <c r="CV255" i="5"/>
  <c r="CS175" i="5"/>
  <c r="CT175" i="5" s="1"/>
  <c r="CY175" i="5"/>
  <c r="CZ175" i="5" s="1"/>
  <c r="CP175" i="5"/>
  <c r="CQ175" i="5" s="1"/>
  <c r="CW175" i="5"/>
  <c r="CU175" i="5"/>
  <c r="CV175" i="5" s="1"/>
  <c r="CS204" i="5"/>
  <c r="CY204" i="5"/>
  <c r="CZ204" i="5" s="1"/>
  <c r="CP204" i="5"/>
  <c r="CQ204" i="5" s="1"/>
  <c r="CW204" i="5"/>
  <c r="CT204" i="5"/>
  <c r="CU204" i="5"/>
  <c r="CV204" i="5" s="1"/>
  <c r="CW13" i="5"/>
  <c r="CS13" i="5"/>
  <c r="CT13" i="5" s="1"/>
  <c r="CY13" i="5"/>
  <c r="CZ13" i="5" s="1"/>
  <c r="CU13" i="5"/>
  <c r="CP13" i="5"/>
  <c r="CQ13" i="5" s="1"/>
  <c r="CV13" i="5"/>
  <c r="CR89" i="5"/>
  <c r="CO89" i="5"/>
  <c r="CN89" i="5"/>
  <c r="CS181" i="5"/>
  <c r="CY181" i="5"/>
  <c r="CZ181" i="5" s="1"/>
  <c r="CP181" i="5"/>
  <c r="CQ181" i="5" s="1"/>
  <c r="CW181" i="5"/>
  <c r="CV181" i="5"/>
  <c r="CT181" i="5"/>
  <c r="CU181" i="5"/>
  <c r="CY101" i="5"/>
  <c r="CZ101" i="5" s="1"/>
  <c r="CP101" i="5"/>
  <c r="CQ101" i="5" s="1"/>
  <c r="CW101" i="5"/>
  <c r="CU101" i="5"/>
  <c r="CV101" i="5" s="1"/>
  <c r="CS101" i="5"/>
  <c r="CT101" i="5" s="1"/>
  <c r="CR78" i="5"/>
  <c r="CO78" i="5"/>
  <c r="CN78" i="5"/>
  <c r="CR95" i="5"/>
  <c r="CO95" i="5"/>
  <c r="CN95" i="5"/>
  <c r="CR94" i="5"/>
  <c r="CO94" i="5"/>
  <c r="CN94" i="5"/>
  <c r="CR85" i="5"/>
  <c r="CO85" i="5"/>
  <c r="CN85" i="5"/>
  <c r="F98" i="8"/>
  <c r="F101" i="8" s="1"/>
  <c r="CY87" i="5"/>
  <c r="CZ87" i="5" s="1"/>
  <c r="CP87" i="5"/>
  <c r="CQ87" i="5" s="1"/>
  <c r="CW87" i="5"/>
  <c r="CU87" i="5"/>
  <c r="CV87" i="5" s="1"/>
  <c r="CT87" i="5"/>
  <c r="CS87" i="5"/>
  <c r="CY86" i="5"/>
  <c r="CZ86" i="5" s="1"/>
  <c r="CP86" i="5"/>
  <c r="CQ86" i="5" s="1"/>
  <c r="CW86" i="5"/>
  <c r="CV86" i="5"/>
  <c r="CU86" i="5"/>
  <c r="CT86" i="5"/>
  <c r="CS86" i="5"/>
  <c r="CP15" i="5"/>
  <c r="CQ15" i="5" s="1"/>
  <c r="CW15" i="5"/>
  <c r="CS15" i="5"/>
  <c r="CT15" i="5" s="1"/>
  <c r="CY15" i="5"/>
  <c r="CZ15" i="5" s="1"/>
  <c r="CU15" i="5"/>
  <c r="CV15" i="5" s="1"/>
  <c r="CR189" i="5"/>
  <c r="CO189" i="5"/>
  <c r="CN189" i="5"/>
  <c r="CO112" i="5"/>
  <c r="CR112" i="5"/>
  <c r="CN112" i="5"/>
  <c r="CY79" i="5"/>
  <c r="CZ79" i="5" s="1"/>
  <c r="CP79" i="5"/>
  <c r="CQ79" i="5" s="1"/>
  <c r="CW79" i="5"/>
  <c r="CU79" i="5"/>
  <c r="CV79" i="5" s="1"/>
  <c r="CS79" i="5"/>
  <c r="CT79" i="5" s="1"/>
  <c r="C22" i="6"/>
  <c r="CS296" i="5"/>
  <c r="CP296" i="5"/>
  <c r="CQ296" i="5" s="1"/>
  <c r="CY296" i="5"/>
  <c r="CZ296" i="5" s="1"/>
  <c r="CW296" i="5"/>
  <c r="CU296" i="5"/>
  <c r="CV296" i="5" s="1"/>
  <c r="CT296" i="5"/>
  <c r="CY72" i="5"/>
  <c r="CZ72" i="5" s="1"/>
  <c r="CP72" i="5"/>
  <c r="CQ72" i="5" s="1"/>
  <c r="CW72" i="5"/>
  <c r="CV72" i="5"/>
  <c r="CU72" i="5"/>
  <c r="CS72" i="5"/>
  <c r="CT72" i="5"/>
  <c r="CT120" i="5"/>
  <c r="CS120" i="5"/>
  <c r="CP120" i="5"/>
  <c r="CQ120" i="5" s="1"/>
  <c r="CW120" i="5"/>
  <c r="CV120" i="5"/>
  <c r="CU120" i="5"/>
  <c r="CY120" i="5"/>
  <c r="CZ120" i="5" s="1"/>
  <c r="CY103" i="5"/>
  <c r="CZ103" i="5" s="1"/>
  <c r="CP103" i="5"/>
  <c r="CQ103" i="5" s="1"/>
  <c r="CW103" i="5"/>
  <c r="CU103" i="5"/>
  <c r="CV103" i="5" s="1"/>
  <c r="CT103" i="5"/>
  <c r="CS103" i="5"/>
  <c r="CL6" i="5"/>
  <c r="CM6" i="5" s="1"/>
  <c r="CU131" i="5"/>
  <c r="CV131" i="5" s="1"/>
  <c r="CW131" i="5"/>
  <c r="CS131" i="5"/>
  <c r="CT131" i="5" s="1"/>
  <c r="CP131" i="5"/>
  <c r="CQ131" i="5" s="1"/>
  <c r="CY131" i="5"/>
  <c r="CZ131" i="5" s="1"/>
  <c r="CS197" i="5"/>
  <c r="CY197" i="5"/>
  <c r="CZ197" i="5" s="1"/>
  <c r="CP197" i="5"/>
  <c r="CQ197" i="5" s="1"/>
  <c r="CW197" i="5"/>
  <c r="CT197" i="5"/>
  <c r="CU197" i="5"/>
  <c r="CV197" i="5" s="1"/>
  <c r="CY70" i="5"/>
  <c r="CZ70" i="5" s="1"/>
  <c r="CW70" i="5"/>
  <c r="CU70" i="5"/>
  <c r="CV70" i="5" s="1"/>
  <c r="CS70" i="5"/>
  <c r="CT70" i="5" s="1"/>
  <c r="CP70" i="5"/>
  <c r="CQ70" i="5" s="1"/>
  <c r="CT118" i="5"/>
  <c r="CS118" i="5"/>
  <c r="CP118" i="5"/>
  <c r="CQ118" i="5" s="1"/>
  <c r="CW118" i="5"/>
  <c r="CV118" i="5"/>
  <c r="CU118" i="5"/>
  <c r="CY118" i="5"/>
  <c r="CZ118" i="5" s="1"/>
  <c r="CS203" i="5"/>
  <c r="CT203" i="5" s="1"/>
  <c r="CY203" i="5"/>
  <c r="CZ203" i="5" s="1"/>
  <c r="CP203" i="5"/>
  <c r="CQ203" i="5" s="1"/>
  <c r="CW203" i="5"/>
  <c r="CV203" i="5"/>
  <c r="CU203" i="5"/>
  <c r="CU264" i="5"/>
  <c r="CP264" i="5"/>
  <c r="CQ264" i="5" s="1"/>
  <c r="CW264" i="5"/>
  <c r="CY264" i="5"/>
  <c r="CZ264" i="5" s="1"/>
  <c r="CV264" i="5"/>
  <c r="CS264" i="5"/>
  <c r="CT264" i="5" s="1"/>
  <c r="CU265" i="5"/>
  <c r="CP265" i="5"/>
  <c r="CQ265" i="5" s="1"/>
  <c r="CW265" i="5"/>
  <c r="CS265" i="5"/>
  <c r="CY265" i="5"/>
  <c r="CZ265" i="5" s="1"/>
  <c r="CV265" i="5"/>
  <c r="CT265" i="5"/>
  <c r="CR83" i="5"/>
  <c r="CO83" i="5"/>
  <c r="CN83" i="5"/>
  <c r="CT116" i="5"/>
  <c r="CS116" i="5"/>
  <c r="CP116" i="5"/>
  <c r="CQ116" i="5" s="1"/>
  <c r="CW116" i="5"/>
  <c r="CU116" i="5"/>
  <c r="CV116" i="5" s="1"/>
  <c r="CY116" i="5"/>
  <c r="CZ116" i="5" s="1"/>
  <c r="C14" i="7"/>
  <c r="C24" i="7" s="1"/>
  <c r="CY97" i="5"/>
  <c r="CZ97" i="5" s="1"/>
  <c r="CP97" i="5"/>
  <c r="CQ97" i="5" s="1"/>
  <c r="CW97" i="5"/>
  <c r="CV97" i="5"/>
  <c r="CU97" i="5"/>
  <c r="CT97" i="5"/>
  <c r="CS97" i="5"/>
  <c r="CS205" i="5"/>
  <c r="CY205" i="5"/>
  <c r="CZ205" i="5" s="1"/>
  <c r="CP205" i="5"/>
  <c r="CQ205" i="5" s="1"/>
  <c r="CW205" i="5"/>
  <c r="CT205" i="5"/>
  <c r="CU205" i="5"/>
  <c r="CV205" i="5" s="1"/>
  <c r="CS210" i="5"/>
  <c r="CY210" i="5"/>
  <c r="CZ210" i="5" s="1"/>
  <c r="CP210" i="5"/>
  <c r="CQ210" i="5" s="1"/>
  <c r="CW210" i="5"/>
  <c r="CU210" i="5"/>
  <c r="CV210" i="5" s="1"/>
  <c r="CT210" i="5"/>
  <c r="D96" i="8"/>
  <c r="D97" i="8" s="1"/>
  <c r="CY76" i="5"/>
  <c r="CZ76" i="5" s="1"/>
  <c r="CP76" i="5"/>
  <c r="CQ76" i="5" s="1"/>
  <c r="CW76" i="5"/>
  <c r="CU76" i="5"/>
  <c r="CV76" i="5" s="1"/>
  <c r="CS76" i="5"/>
  <c r="CT76" i="5"/>
  <c r="CR213" i="5"/>
  <c r="CO213" i="5"/>
  <c r="CN213" i="5"/>
  <c r="CY108" i="5"/>
  <c r="CZ108" i="5" s="1"/>
  <c r="CP108" i="5"/>
  <c r="CQ108" i="5" s="1"/>
  <c r="CW108" i="5"/>
  <c r="CU108" i="5"/>
  <c r="CV108" i="5" s="1"/>
  <c r="CT108" i="5"/>
  <c r="CS108" i="5"/>
  <c r="CY92" i="5"/>
  <c r="CZ92" i="5" s="1"/>
  <c r="CP92" i="5"/>
  <c r="CQ92" i="5" s="1"/>
  <c r="CW92" i="5"/>
  <c r="CU92" i="5"/>
  <c r="CV92" i="5" s="1"/>
  <c r="CT92" i="5"/>
  <c r="CS92" i="5"/>
  <c r="CR90" i="5"/>
  <c r="CO90" i="5"/>
  <c r="CN90" i="5"/>
  <c r="CU258" i="5"/>
  <c r="CP258" i="5"/>
  <c r="CQ258" i="5" s="1"/>
  <c r="CV258" i="5"/>
  <c r="CT258" i="5"/>
  <c r="CS258" i="5"/>
  <c r="CY258" i="5"/>
  <c r="CZ258" i="5" s="1"/>
  <c r="CW258" i="5"/>
  <c r="CY68" i="5"/>
  <c r="CZ68" i="5" s="1"/>
  <c r="CW68" i="5"/>
  <c r="CU68" i="5"/>
  <c r="CV68" i="5" s="1"/>
  <c r="CS68" i="5"/>
  <c r="CT68" i="5" s="1"/>
  <c r="CP68" i="5"/>
  <c r="CQ68" i="5" s="1"/>
  <c r="CS177" i="5"/>
  <c r="CT177" i="5" s="1"/>
  <c r="CY177" i="5"/>
  <c r="CZ177" i="5" s="1"/>
  <c r="CP177" i="5"/>
  <c r="CQ177" i="5" s="1"/>
  <c r="CW177" i="5"/>
  <c r="CU177" i="5"/>
  <c r="CV177" i="5" s="1"/>
  <c r="CR82" i="5"/>
  <c r="CO82" i="5"/>
  <c r="CN82" i="5"/>
  <c r="CY151" i="5"/>
  <c r="CZ151" i="5" s="1"/>
  <c r="CP151" i="5"/>
  <c r="CQ151" i="5" s="1"/>
  <c r="CW151" i="5"/>
  <c r="CV151" i="5"/>
  <c r="CU151" i="5"/>
  <c r="CS151" i="5"/>
  <c r="CT151" i="5" s="1"/>
  <c r="CT122" i="5"/>
  <c r="CS122" i="5"/>
  <c r="CP122" i="5"/>
  <c r="CQ122" i="5" s="1"/>
  <c r="CW122" i="5"/>
  <c r="CV122" i="5"/>
  <c r="CU122" i="5"/>
  <c r="CY122" i="5"/>
  <c r="CZ122" i="5" s="1"/>
  <c r="G97" i="8"/>
  <c r="G96" i="8"/>
  <c r="CR125" i="5"/>
  <c r="CN125" i="5"/>
  <c r="CO125" i="5"/>
  <c r="CY80" i="5"/>
  <c r="CZ80" i="5" s="1"/>
  <c r="CP80" i="5"/>
  <c r="CQ80" i="5" s="1"/>
  <c r="CW80" i="5"/>
  <c r="CV80" i="5"/>
  <c r="CU80" i="5"/>
  <c r="CS80" i="5"/>
  <c r="CT80" i="5" s="1"/>
  <c r="CS201" i="5"/>
  <c r="CT201" i="5" s="1"/>
  <c r="CY201" i="5"/>
  <c r="CZ201" i="5" s="1"/>
  <c r="CP201" i="5"/>
  <c r="CQ201" i="5" s="1"/>
  <c r="CW201" i="5"/>
  <c r="CV201" i="5"/>
  <c r="CU201" i="5"/>
  <c r="CY102" i="5"/>
  <c r="CZ102" i="5" s="1"/>
  <c r="CP102" i="5"/>
  <c r="CQ102" i="5" s="1"/>
  <c r="CW102" i="5"/>
  <c r="CV102" i="5"/>
  <c r="CU102" i="5"/>
  <c r="CT102" i="5"/>
  <c r="CS102" i="5"/>
  <c r="CO256" i="5"/>
  <c r="CN256" i="5"/>
  <c r="CR256" i="5"/>
  <c r="CO7" i="5"/>
  <c r="CN7" i="5"/>
  <c r="CR7" i="5"/>
  <c r="E32" i="6"/>
  <c r="G32" i="6" s="1"/>
  <c r="E138" i="6"/>
  <c r="CS193" i="5"/>
  <c r="CY193" i="5"/>
  <c r="CZ193" i="5" s="1"/>
  <c r="CP193" i="5"/>
  <c r="CQ193" i="5" s="1"/>
  <c r="CW193" i="5"/>
  <c r="CT193" i="5"/>
  <c r="CU193" i="5"/>
  <c r="CV193" i="5" s="1"/>
  <c r="CS196" i="5"/>
  <c r="CY196" i="5"/>
  <c r="CZ196" i="5" s="1"/>
  <c r="CP196" i="5"/>
  <c r="CQ196" i="5" s="1"/>
  <c r="CW196" i="5"/>
  <c r="CV196" i="5"/>
  <c r="CT196" i="5"/>
  <c r="CU196" i="5"/>
  <c r="CR100" i="5"/>
  <c r="CO100" i="5"/>
  <c r="CN100" i="5"/>
  <c r="CY155" i="5"/>
  <c r="CZ155" i="5" s="1"/>
  <c r="CP155" i="5"/>
  <c r="CQ155" i="5" s="1"/>
  <c r="CW155" i="5"/>
  <c r="CV155" i="5"/>
  <c r="CU155" i="5"/>
  <c r="CT155" i="5"/>
  <c r="CS155" i="5"/>
  <c r="CS169" i="5"/>
  <c r="CY169" i="5"/>
  <c r="CZ169" i="5" s="1"/>
  <c r="CV169" i="5"/>
  <c r="CW169" i="5"/>
  <c r="CU169" i="5"/>
  <c r="CT169" i="5"/>
  <c r="CP169" i="5"/>
  <c r="CQ169" i="5" s="1"/>
  <c r="CR105" i="5"/>
  <c r="CO105" i="5"/>
  <c r="CN105" i="5"/>
  <c r="CR109" i="5"/>
  <c r="CO109" i="5"/>
  <c r="CN109" i="5"/>
  <c r="CS212" i="5"/>
  <c r="CY212" i="5"/>
  <c r="CZ212" i="5" s="1"/>
  <c r="CP212" i="5"/>
  <c r="CQ212" i="5" s="1"/>
  <c r="CW212" i="5"/>
  <c r="CV212" i="5"/>
  <c r="CU212" i="5"/>
  <c r="CT212" i="5"/>
  <c r="CO5" i="5"/>
  <c r="CR5" i="5"/>
  <c r="CN5" i="5"/>
  <c r="E136" i="6"/>
  <c r="CR110" i="5"/>
  <c r="CO110" i="5"/>
  <c r="CN110" i="5"/>
  <c r="CS180" i="5"/>
  <c r="CT180" i="5" s="1"/>
  <c r="CY180" i="5"/>
  <c r="CZ180" i="5" s="1"/>
  <c r="CP180" i="5"/>
  <c r="CQ180" i="5" s="1"/>
  <c r="CW180" i="5"/>
  <c r="CV180" i="5"/>
  <c r="CU180" i="5"/>
  <c r="CU254" i="5"/>
  <c r="CP254" i="5"/>
  <c r="CQ254" i="5" s="1"/>
  <c r="CV254" i="5"/>
  <c r="CS254" i="5"/>
  <c r="CT254" i="5" s="1"/>
  <c r="CY254" i="5"/>
  <c r="CZ254" i="5" s="1"/>
  <c r="CW254" i="5"/>
  <c r="CR88" i="5"/>
  <c r="CO88" i="5"/>
  <c r="CN88" i="5"/>
  <c r="CY96" i="5"/>
  <c r="CZ96" i="5" s="1"/>
  <c r="CP96" i="5"/>
  <c r="CQ96" i="5" s="1"/>
  <c r="CW96" i="5"/>
  <c r="CV96" i="5"/>
  <c r="CU96" i="5"/>
  <c r="CT96" i="5"/>
  <c r="CS96" i="5"/>
  <c r="H43" i="16"/>
  <c r="I43" i="16" s="1"/>
  <c r="F55" i="16"/>
  <c r="CP18" i="5"/>
  <c r="CQ18" i="5" s="1"/>
  <c r="CW18" i="5"/>
  <c r="CS18" i="5"/>
  <c r="CT18" i="5" s="1"/>
  <c r="CY18" i="5"/>
  <c r="CZ18" i="5" s="1"/>
  <c r="CU18" i="5"/>
  <c r="CV18" i="5"/>
  <c r="CY139" i="5"/>
  <c r="CZ139" i="5" s="1"/>
  <c r="CU139" i="5"/>
  <c r="CV139" i="5" s="1"/>
  <c r="CS139" i="5"/>
  <c r="CT139" i="5" s="1"/>
  <c r="CW139" i="5"/>
  <c r="CP139" i="5"/>
  <c r="CQ139" i="5" s="1"/>
  <c r="E96" i="8"/>
  <c r="E97" i="8" s="1"/>
  <c r="CU281" i="5"/>
  <c r="CT281" i="5"/>
  <c r="CS281" i="5"/>
  <c r="CY281" i="5"/>
  <c r="CZ281" i="5" s="1"/>
  <c r="CP281" i="5"/>
  <c r="CQ281" i="5" s="1"/>
  <c r="CW281" i="5"/>
  <c r="CV281" i="5"/>
  <c r="CS211" i="5"/>
  <c r="CY211" i="5"/>
  <c r="CZ211" i="5" s="1"/>
  <c r="CP211" i="5"/>
  <c r="CQ211" i="5" s="1"/>
  <c r="CW211" i="5"/>
  <c r="CU211" i="5"/>
  <c r="CV211" i="5" s="1"/>
  <c r="CT211" i="5"/>
  <c r="CS174" i="5"/>
  <c r="CY174" i="5"/>
  <c r="CZ174" i="5" s="1"/>
  <c r="CP174" i="5"/>
  <c r="CQ174" i="5" s="1"/>
  <c r="CV174" i="5"/>
  <c r="CW174" i="5"/>
  <c r="CU174" i="5"/>
  <c r="CT174" i="5"/>
  <c r="CV300" i="5"/>
  <c r="CW300" i="5"/>
  <c r="CU300" i="5"/>
  <c r="CS300" i="5"/>
  <c r="CT300" i="5" s="1"/>
  <c r="CP300" i="5"/>
  <c r="CQ300" i="5" s="1"/>
  <c r="CY300" i="5"/>
  <c r="CZ300" i="5" s="1"/>
  <c r="CY75" i="5"/>
  <c r="CZ75" i="5" s="1"/>
  <c r="CP75" i="5"/>
  <c r="CQ75" i="5" s="1"/>
  <c r="CW75" i="5"/>
  <c r="CV75" i="5"/>
  <c r="CU75" i="5"/>
  <c r="CS75" i="5"/>
  <c r="CT75" i="5" s="1"/>
  <c r="CY144" i="5"/>
  <c r="CZ144" i="5" s="1"/>
  <c r="CW144" i="5"/>
  <c r="CU144" i="5"/>
  <c r="CV144" i="5" s="1"/>
  <c r="CT144" i="5"/>
  <c r="CS144" i="5"/>
  <c r="CP144" i="5"/>
  <c r="CQ144" i="5" s="1"/>
  <c r="CS200" i="5"/>
  <c r="CY200" i="5"/>
  <c r="CZ200" i="5" s="1"/>
  <c r="CP200" i="5"/>
  <c r="CQ200" i="5" s="1"/>
  <c r="CW200" i="5"/>
  <c r="CV200" i="5"/>
  <c r="CT200" i="5"/>
  <c r="CU200" i="5"/>
  <c r="CR262" i="5"/>
  <c r="CO262" i="5"/>
  <c r="CN262" i="5"/>
  <c r="CY146" i="5"/>
  <c r="CZ146" i="5" s="1"/>
  <c r="CP146" i="5"/>
  <c r="CQ146" i="5" s="1"/>
  <c r="CW146" i="5"/>
  <c r="CV146" i="5"/>
  <c r="CU146" i="5"/>
  <c r="CT146" i="5"/>
  <c r="CS146" i="5"/>
  <c r="CY143" i="5"/>
  <c r="CZ143" i="5" s="1"/>
  <c r="CW143" i="5"/>
  <c r="CU143" i="5"/>
  <c r="CV143" i="5" s="1"/>
  <c r="CT143" i="5"/>
  <c r="CS143" i="5"/>
  <c r="CP143" i="5"/>
  <c r="CQ143" i="5" s="1"/>
  <c r="CS176" i="5"/>
  <c r="CT176" i="5" s="1"/>
  <c r="CY176" i="5"/>
  <c r="CZ176" i="5" s="1"/>
  <c r="CP176" i="5"/>
  <c r="CQ176" i="5" s="1"/>
  <c r="CV176" i="5"/>
  <c r="CW176" i="5"/>
  <c r="CU176" i="5"/>
  <c r="CK10" i="5"/>
  <c r="CI10" i="5"/>
  <c r="CJ10" i="5" s="1"/>
  <c r="CR214" i="5"/>
  <c r="CO214" i="5"/>
  <c r="CN214" i="5"/>
  <c r="CS191" i="5"/>
  <c r="CT191" i="5" s="1"/>
  <c r="CY191" i="5"/>
  <c r="CZ191" i="5" s="1"/>
  <c r="CP191" i="5"/>
  <c r="CQ191" i="5" s="1"/>
  <c r="CW191" i="5"/>
  <c r="CU191" i="5"/>
  <c r="CV191" i="5" s="1"/>
  <c r="CR84" i="5"/>
  <c r="CO84" i="5"/>
  <c r="CN84" i="5"/>
  <c r="DH9" i="5"/>
  <c r="H176" i="7" s="1"/>
  <c r="DG9" i="5"/>
  <c r="C18" i="7" s="1"/>
  <c r="DA9" i="5"/>
  <c r="CP111" i="5"/>
  <c r="CQ111" i="5" s="1"/>
  <c r="CW111" i="5"/>
  <c r="CU111" i="5"/>
  <c r="CV111" i="5" s="1"/>
  <c r="CY111" i="5"/>
  <c r="CZ111" i="5" s="1"/>
  <c r="CS111" i="5"/>
  <c r="CT111" i="5" s="1"/>
  <c r="CU253" i="5"/>
  <c r="CP253" i="5"/>
  <c r="CQ253" i="5" s="1"/>
  <c r="CW253" i="5"/>
  <c r="CV253" i="5"/>
  <c r="CT253" i="5"/>
  <c r="CS253" i="5"/>
  <c r="CY253" i="5"/>
  <c r="CZ253" i="5" s="1"/>
  <c r="CU257" i="5"/>
  <c r="CP257" i="5"/>
  <c r="CQ257" i="5" s="1"/>
  <c r="CW257" i="5"/>
  <c r="CV257" i="5"/>
  <c r="CS257" i="5"/>
  <c r="CT257" i="5" s="1"/>
  <c r="CY257" i="5"/>
  <c r="CZ257" i="5" s="1"/>
  <c r="Q177" i="7"/>
  <c r="I177" i="7"/>
  <c r="P176" i="7"/>
  <c r="G175" i="7"/>
  <c r="F174" i="7"/>
  <c r="M173" i="7"/>
  <c r="E173" i="7"/>
  <c r="L172" i="7"/>
  <c r="D172" i="7"/>
  <c r="K171" i="7"/>
  <c r="J170" i="7"/>
  <c r="Q169" i="7"/>
  <c r="I169" i="7"/>
  <c r="P177" i="7"/>
  <c r="H177" i="7"/>
  <c r="G176" i="7"/>
  <c r="F175" i="7"/>
  <c r="E174" i="7"/>
  <c r="L173" i="7"/>
  <c r="D173" i="7"/>
  <c r="K172" i="7"/>
  <c r="C172" i="7"/>
  <c r="J171" i="7"/>
  <c r="Q170" i="7"/>
  <c r="P169" i="7"/>
  <c r="H169" i="7"/>
  <c r="G168" i="7"/>
  <c r="F167" i="7"/>
  <c r="M166" i="7"/>
  <c r="E166" i="7"/>
  <c r="L165" i="7"/>
  <c r="K164" i="7"/>
  <c r="C164" i="7"/>
  <c r="J163" i="7"/>
  <c r="Q162" i="7"/>
  <c r="I162" i="7"/>
  <c r="D177" i="7"/>
  <c r="I176" i="7"/>
  <c r="Q174" i="7"/>
  <c r="G174" i="7"/>
  <c r="J173" i="7"/>
  <c r="E172" i="7"/>
  <c r="H171" i="7"/>
  <c r="M170" i="7"/>
  <c r="C170" i="7"/>
  <c r="L168" i="7"/>
  <c r="C168" i="7"/>
  <c r="I167" i="7"/>
  <c r="F166" i="7"/>
  <c r="K165" i="7"/>
  <c r="Q164" i="7"/>
  <c r="H164" i="7"/>
  <c r="K162" i="7"/>
  <c r="Q161" i="7"/>
  <c r="I161" i="7"/>
  <c r="P160" i="7"/>
  <c r="H160" i="7"/>
  <c r="G159" i="7"/>
  <c r="F158" i="7"/>
  <c r="E157" i="7"/>
  <c r="L156" i="7"/>
  <c r="D156" i="7"/>
  <c r="K155" i="7"/>
  <c r="C155" i="7"/>
  <c r="J154" i="7"/>
  <c r="Q153" i="7"/>
  <c r="P152" i="7"/>
  <c r="H152" i="7"/>
  <c r="G151" i="7"/>
  <c r="F150" i="7"/>
  <c r="M149" i="7"/>
  <c r="E149" i="7"/>
  <c r="L148" i="7"/>
  <c r="K147" i="7"/>
  <c r="C147" i="7"/>
  <c r="J146" i="7"/>
  <c r="Q145" i="7"/>
  <c r="I145" i="7"/>
  <c r="P144" i="7"/>
  <c r="H144" i="7"/>
  <c r="F142" i="7"/>
  <c r="M141" i="7"/>
  <c r="E141" i="7"/>
  <c r="L140" i="7"/>
  <c r="L177" i="7"/>
  <c r="Q176" i="7"/>
  <c r="E176" i="7"/>
  <c r="C174" i="7"/>
  <c r="H173" i="7"/>
  <c r="M172" i="7"/>
  <c r="P171" i="7"/>
  <c r="F171" i="7"/>
  <c r="K170" i="7"/>
  <c r="D169" i="7"/>
  <c r="P167" i="7"/>
  <c r="G167" i="7"/>
  <c r="L166" i="7"/>
  <c r="C166" i="7"/>
  <c r="I165" i="7"/>
  <c r="F164" i="7"/>
  <c r="L163" i="7"/>
  <c r="H162" i="7"/>
  <c r="G161" i="7"/>
  <c r="F160" i="7"/>
  <c r="M159" i="7"/>
  <c r="E159" i="7"/>
  <c r="L158" i="7"/>
  <c r="D158" i="7"/>
  <c r="C157" i="7"/>
  <c r="J156" i="7"/>
  <c r="Q155" i="7"/>
  <c r="I155" i="7"/>
  <c r="P154" i="7"/>
  <c r="H154" i="7"/>
  <c r="G153" i="7"/>
  <c r="M151" i="7"/>
  <c r="E151" i="7"/>
  <c r="L150" i="7"/>
  <c r="D150" i="7"/>
  <c r="K149" i="7"/>
  <c r="C149" i="7"/>
  <c r="J148" i="7"/>
  <c r="I147" i="7"/>
  <c r="P146" i="7"/>
  <c r="H146" i="7"/>
  <c r="G145" i="7"/>
  <c r="F144" i="7"/>
  <c r="M143" i="7"/>
  <c r="E143" i="7"/>
  <c r="D142" i="7"/>
  <c r="K141" i="7"/>
  <c r="C141" i="7"/>
  <c r="J140" i="7"/>
  <c r="Q139" i="7"/>
  <c r="I139" i="7"/>
  <c r="P138" i="7"/>
  <c r="G177" i="7"/>
  <c r="L176" i="7"/>
  <c r="Q175" i="7"/>
  <c r="E175" i="7"/>
  <c r="J174" i="7"/>
  <c r="C173" i="7"/>
  <c r="H172" i="7"/>
  <c r="P170" i="7"/>
  <c r="F170" i="7"/>
  <c r="K169" i="7"/>
  <c r="P168" i="7"/>
  <c r="F168" i="7"/>
  <c r="L167" i="7"/>
  <c r="C167" i="7"/>
  <c r="F165" i="7"/>
  <c r="L164" i="7"/>
  <c r="Q163" i="7"/>
  <c r="H163" i="7"/>
  <c r="E162" i="7"/>
  <c r="L161" i="7"/>
  <c r="D161" i="7"/>
  <c r="C160" i="7"/>
  <c r="J159" i="7"/>
  <c r="Q158" i="7"/>
  <c r="I158" i="7"/>
  <c r="P157" i="7"/>
  <c r="H157" i="7"/>
  <c r="G156" i="7"/>
  <c r="M154" i="7"/>
  <c r="E154" i="7"/>
  <c r="L153" i="7"/>
  <c r="D153" i="7"/>
  <c r="K152" i="7"/>
  <c r="C152" i="7"/>
  <c r="J151" i="7"/>
  <c r="I150" i="7"/>
  <c r="P149" i="7"/>
  <c r="H149" i="7"/>
  <c r="G148" i="7"/>
  <c r="F147" i="7"/>
  <c r="M146" i="7"/>
  <c r="E146" i="7"/>
  <c r="D145" i="7"/>
  <c r="K144" i="7"/>
  <c r="C144" i="7"/>
  <c r="J143" i="7"/>
  <c r="Q142" i="7"/>
  <c r="I142" i="7"/>
  <c r="P141" i="7"/>
  <c r="G140" i="7"/>
  <c r="F139" i="7"/>
  <c r="M138" i="7"/>
  <c r="E138" i="7"/>
  <c r="L137" i="7"/>
  <c r="M176" i="7"/>
  <c r="K175" i="7"/>
  <c r="G173" i="7"/>
  <c r="F172" i="7"/>
  <c r="D171" i="7"/>
  <c r="P166" i="7"/>
  <c r="P165" i="7"/>
  <c r="P164" i="7"/>
  <c r="P163" i="7"/>
  <c r="C162" i="7"/>
  <c r="E161" i="7"/>
  <c r="G160" i="7"/>
  <c r="I159" i="7"/>
  <c r="K158" i="7"/>
  <c r="P156" i="7"/>
  <c r="C156" i="7"/>
  <c r="G154" i="7"/>
  <c r="J153" i="7"/>
  <c r="L152" i="7"/>
  <c r="P150" i="7"/>
  <c r="C150" i="7"/>
  <c r="F149" i="7"/>
  <c r="H148" i="7"/>
  <c r="L146" i="7"/>
  <c r="Q144" i="7"/>
  <c r="D144" i="7"/>
  <c r="F143" i="7"/>
  <c r="H142" i="7"/>
  <c r="J141" i="7"/>
  <c r="M140" i="7"/>
  <c r="E139" i="7"/>
  <c r="J138" i="7"/>
  <c r="F137" i="7"/>
  <c r="M136" i="7"/>
  <c r="E136" i="7"/>
  <c r="L135" i="7"/>
  <c r="D135" i="7"/>
  <c r="C134" i="7"/>
  <c r="J133" i="7"/>
  <c r="Q132" i="7"/>
  <c r="I132" i="7"/>
  <c r="P131" i="7"/>
  <c r="H131" i="7"/>
  <c r="G130" i="7"/>
  <c r="M128" i="7"/>
  <c r="E128" i="7"/>
  <c r="L127" i="7"/>
  <c r="D127" i="7"/>
  <c r="K126" i="7"/>
  <c r="C126" i="7"/>
  <c r="J125" i="7"/>
  <c r="I124" i="7"/>
  <c r="P123" i="7"/>
  <c r="H123" i="7"/>
  <c r="G122" i="7"/>
  <c r="F121" i="7"/>
  <c r="M120" i="7"/>
  <c r="E120" i="7"/>
  <c r="L119" i="7"/>
  <c r="D119" i="7"/>
  <c r="K118" i="7"/>
  <c r="C118" i="7"/>
  <c r="J117" i="7"/>
  <c r="Q116" i="7"/>
  <c r="I116" i="7"/>
  <c r="M177" i="7"/>
  <c r="K176" i="7"/>
  <c r="I175" i="7"/>
  <c r="H174" i="7"/>
  <c r="F173" i="7"/>
  <c r="Q171" i="7"/>
  <c r="M169" i="7"/>
  <c r="M168" i="7"/>
  <c r="M167" i="7"/>
  <c r="P161" i="7"/>
  <c r="C161" i="7"/>
  <c r="E160" i="7"/>
  <c r="H159" i="7"/>
  <c r="J158" i="7"/>
  <c r="L157" i="7"/>
  <c r="P155" i="7"/>
  <c r="D155" i="7"/>
  <c r="F154" i="7"/>
  <c r="H153" i="7"/>
  <c r="J152" i="7"/>
  <c r="L151" i="7"/>
  <c r="Q149" i="7"/>
  <c r="D149" i="7"/>
  <c r="K177" i="7"/>
  <c r="J176" i="7"/>
  <c r="H175" i="7"/>
  <c r="D174" i="7"/>
  <c r="Q172" i="7"/>
  <c r="L169" i="7"/>
  <c r="K168" i="7"/>
  <c r="K167" i="7"/>
  <c r="K166" i="7"/>
  <c r="M165" i="7"/>
  <c r="M164" i="7"/>
  <c r="M163" i="7"/>
  <c r="M162" i="7"/>
  <c r="Q160" i="7"/>
  <c r="D160" i="7"/>
  <c r="F159" i="7"/>
  <c r="H158" i="7"/>
  <c r="J157" i="7"/>
  <c r="M156" i="7"/>
  <c r="Q154" i="7"/>
  <c r="D154" i="7"/>
  <c r="F153" i="7"/>
  <c r="I152" i="7"/>
  <c r="K151" i="7"/>
  <c r="M150" i="7"/>
  <c r="Q148" i="7"/>
  <c r="J177" i="7"/>
  <c r="F176" i="7"/>
  <c r="D175" i="7"/>
  <c r="Q173" i="7"/>
  <c r="P172" i="7"/>
  <c r="L170" i="7"/>
  <c r="J169" i="7"/>
  <c r="I168" i="7"/>
  <c r="J167" i="7"/>
  <c r="J166" i="7"/>
  <c r="J165" i="7"/>
  <c r="J164" i="7"/>
  <c r="K163" i="7"/>
  <c r="L162" i="7"/>
  <c r="M161" i="7"/>
  <c r="Q159" i="7"/>
  <c r="D159" i="7"/>
  <c r="G158" i="7"/>
  <c r="I157" i="7"/>
  <c r="K156" i="7"/>
  <c r="M155" i="7"/>
  <c r="C154" i="7"/>
  <c r="E153" i="7"/>
  <c r="G152" i="7"/>
  <c r="I151" i="7"/>
  <c r="K150" i="7"/>
  <c r="P148" i="7"/>
  <c r="C148" i="7"/>
  <c r="E147" i="7"/>
  <c r="G146" i="7"/>
  <c r="J145" i="7"/>
  <c r="L144" i="7"/>
  <c r="P142" i="7"/>
  <c r="C142" i="7"/>
  <c r="F141" i="7"/>
  <c r="F177" i="7"/>
  <c r="D176" i="7"/>
  <c r="C175" i="7"/>
  <c r="P173" i="7"/>
  <c r="L171" i="7"/>
  <c r="H170" i="7"/>
  <c r="G169" i="7"/>
  <c r="H168" i="7"/>
  <c r="H167" i="7"/>
  <c r="H166" i="7"/>
  <c r="H165" i="7"/>
  <c r="I164" i="7"/>
  <c r="I163" i="7"/>
  <c r="J162" i="7"/>
  <c r="K161" i="7"/>
  <c r="M160" i="7"/>
  <c r="P159" i="7"/>
  <c r="C159" i="7"/>
  <c r="E158" i="7"/>
  <c r="G157" i="7"/>
  <c r="I156" i="7"/>
  <c r="L155" i="7"/>
  <c r="P153" i="7"/>
  <c r="C153" i="7"/>
  <c r="E152" i="7"/>
  <c r="H151" i="7"/>
  <c r="J150" i="7"/>
  <c r="L149" i="7"/>
  <c r="P147" i="7"/>
  <c r="E177" i="7"/>
  <c r="C176" i="7"/>
  <c r="P174" i="7"/>
  <c r="J172" i="7"/>
  <c r="I171" i="7"/>
  <c r="G170" i="7"/>
  <c r="E169" i="7"/>
  <c r="E168" i="7"/>
  <c r="E167" i="7"/>
  <c r="G166" i="7"/>
  <c r="G165" i="7"/>
  <c r="G164" i="7"/>
  <c r="G163" i="7"/>
  <c r="G162" i="7"/>
  <c r="J161" i="7"/>
  <c r="L160" i="7"/>
  <c r="P158" i="7"/>
  <c r="C158" i="7"/>
  <c r="F157" i="7"/>
  <c r="H156" i="7"/>
  <c r="J155" i="7"/>
  <c r="L154" i="7"/>
  <c r="Q152" i="7"/>
  <c r="D152" i="7"/>
  <c r="F151" i="7"/>
  <c r="H150" i="7"/>
  <c r="J149" i="7"/>
  <c r="M148" i="7"/>
  <c r="Q146" i="7"/>
  <c r="D146" i="7"/>
  <c r="F145" i="7"/>
  <c r="I144" i="7"/>
  <c r="K143" i="7"/>
  <c r="M142" i="7"/>
  <c r="Q140" i="7"/>
  <c r="E140" i="7"/>
  <c r="J139" i="7"/>
  <c r="C138" i="7"/>
  <c r="I137" i="7"/>
  <c r="P136" i="7"/>
  <c r="H136" i="7"/>
  <c r="G135" i="7"/>
  <c r="F134" i="7"/>
  <c r="M133" i="7"/>
  <c r="E133" i="7"/>
  <c r="L132" i="7"/>
  <c r="D132" i="7"/>
  <c r="K131" i="7"/>
  <c r="C131" i="7"/>
  <c r="J130" i="7"/>
  <c r="Q129" i="7"/>
  <c r="I129" i="7"/>
  <c r="P128" i="7"/>
  <c r="H128" i="7"/>
  <c r="C177" i="7"/>
  <c r="P175" i="7"/>
  <c r="L174" i="7"/>
  <c r="K173" i="7"/>
  <c r="I172" i="7"/>
  <c r="G171" i="7"/>
  <c r="E170" i="7"/>
  <c r="C169" i="7"/>
  <c r="D168" i="7"/>
  <c r="D167" i="7"/>
  <c r="D166" i="7"/>
  <c r="E165" i="7"/>
  <c r="E164" i="7"/>
  <c r="F163" i="7"/>
  <c r="F162" i="7"/>
  <c r="H161" i="7"/>
  <c r="J160" i="7"/>
  <c r="L159" i="7"/>
  <c r="Q157" i="7"/>
  <c r="D157" i="7"/>
  <c r="F156" i="7"/>
  <c r="H155" i="7"/>
  <c r="K154" i="7"/>
  <c r="M153" i="7"/>
  <c r="Q151" i="7"/>
  <c r="D151" i="7"/>
  <c r="G150" i="7"/>
  <c r="I149" i="7"/>
  <c r="K148" i="7"/>
  <c r="M147" i="7"/>
  <c r="C146" i="7"/>
  <c r="E145" i="7"/>
  <c r="G144" i="7"/>
  <c r="I143" i="7"/>
  <c r="K142" i="7"/>
  <c r="P140" i="7"/>
  <c r="D140" i="7"/>
  <c r="H139" i="7"/>
  <c r="L138" i="7"/>
  <c r="Q137" i="7"/>
  <c r="H137" i="7"/>
  <c r="Q167" i="7"/>
  <c r="I160" i="7"/>
  <c r="K153" i="7"/>
  <c r="E148" i="7"/>
  <c r="F146" i="7"/>
  <c r="J144" i="7"/>
  <c r="D141" i="7"/>
  <c r="M139" i="7"/>
  <c r="K138" i="7"/>
  <c r="K137" i="7"/>
  <c r="C136" i="7"/>
  <c r="H135" i="7"/>
  <c r="L134" i="7"/>
  <c r="P133" i="7"/>
  <c r="F133" i="7"/>
  <c r="J132" i="7"/>
  <c r="D131" i="7"/>
  <c r="H130" i="7"/>
  <c r="L129" i="7"/>
  <c r="Q128" i="7"/>
  <c r="F128" i="7"/>
  <c r="K127" i="7"/>
  <c r="Q126" i="7"/>
  <c r="H126" i="7"/>
  <c r="E125" i="7"/>
  <c r="K124" i="7"/>
  <c r="Q123" i="7"/>
  <c r="G123" i="7"/>
  <c r="M122" i="7"/>
  <c r="D122" i="7"/>
  <c r="J121" i="7"/>
  <c r="P120" i="7"/>
  <c r="G120" i="7"/>
  <c r="M119" i="7"/>
  <c r="C119" i="7"/>
  <c r="I118" i="7"/>
  <c r="F117" i="7"/>
  <c r="L116" i="7"/>
  <c r="C116" i="7"/>
  <c r="J115" i="7"/>
  <c r="Q114" i="7"/>
  <c r="I114" i="7"/>
  <c r="P113" i="7"/>
  <c r="H113" i="7"/>
  <c r="G112" i="7"/>
  <c r="F111" i="7"/>
  <c r="M110" i="7"/>
  <c r="E110" i="7"/>
  <c r="L109" i="7"/>
  <c r="D109" i="7"/>
  <c r="K108" i="7"/>
  <c r="C108" i="7"/>
  <c r="J107" i="7"/>
  <c r="Q106" i="7"/>
  <c r="I106" i="7"/>
  <c r="P105" i="7"/>
  <c r="H105" i="7"/>
  <c r="G104" i="7"/>
  <c r="F103" i="7"/>
  <c r="M102" i="7"/>
  <c r="E102" i="7"/>
  <c r="L101" i="7"/>
  <c r="D101" i="7"/>
  <c r="K100" i="7"/>
  <c r="C100" i="7"/>
  <c r="J99" i="7"/>
  <c r="Q98" i="7"/>
  <c r="I98" i="7"/>
  <c r="P97" i="7"/>
  <c r="H97" i="7"/>
  <c r="G96" i="7"/>
  <c r="F95" i="7"/>
  <c r="M94" i="7"/>
  <c r="E94" i="7"/>
  <c r="L93" i="7"/>
  <c r="D93" i="7"/>
  <c r="K92" i="7"/>
  <c r="M175" i="7"/>
  <c r="Q166" i="7"/>
  <c r="K159" i="7"/>
  <c r="M152" i="7"/>
  <c r="L147" i="7"/>
  <c r="P145" i="7"/>
  <c r="E144" i="7"/>
  <c r="J142" i="7"/>
  <c r="L139" i="7"/>
  <c r="I138" i="7"/>
  <c r="J137" i="7"/>
  <c r="L136" i="7"/>
  <c r="Q135" i="7"/>
  <c r="F135" i="7"/>
  <c r="J134" i="7"/>
  <c r="D133" i="7"/>
  <c r="H132" i="7"/>
  <c r="M131" i="7"/>
  <c r="Q130" i="7"/>
  <c r="F130" i="7"/>
  <c r="K129" i="7"/>
  <c r="D128" i="7"/>
  <c r="J127" i="7"/>
  <c r="P126" i="7"/>
  <c r="G126" i="7"/>
  <c r="M125" i="7"/>
  <c r="D125" i="7"/>
  <c r="J124" i="7"/>
  <c r="F123" i="7"/>
  <c r="L122" i="7"/>
  <c r="C122" i="7"/>
  <c r="I121" i="7"/>
  <c r="F120" i="7"/>
  <c r="K119" i="7"/>
  <c r="Q118" i="7"/>
  <c r="K174" i="7"/>
  <c r="Q165" i="7"/>
  <c r="M158" i="7"/>
  <c r="P151" i="7"/>
  <c r="H147" i="7"/>
  <c r="M145" i="7"/>
  <c r="Q143" i="7"/>
  <c r="G142" i="7"/>
  <c r="K140" i="7"/>
  <c r="K139" i="7"/>
  <c r="G138" i="7"/>
  <c r="G137" i="7"/>
  <c r="K136" i="7"/>
  <c r="P135" i="7"/>
  <c r="E135" i="7"/>
  <c r="I134" i="7"/>
  <c r="C133" i="7"/>
  <c r="G132" i="7"/>
  <c r="L131" i="7"/>
  <c r="P130" i="7"/>
  <c r="E130" i="7"/>
  <c r="J129" i="7"/>
  <c r="C128" i="7"/>
  <c r="I127" i="7"/>
  <c r="F126" i="7"/>
  <c r="L125" i="7"/>
  <c r="C125" i="7"/>
  <c r="H124" i="7"/>
  <c r="E123" i="7"/>
  <c r="K122" i="7"/>
  <c r="Q121" i="7"/>
  <c r="H121" i="7"/>
  <c r="D120" i="7"/>
  <c r="J119" i="7"/>
  <c r="P118" i="7"/>
  <c r="G118" i="7"/>
  <c r="M117" i="7"/>
  <c r="D117" i="7"/>
  <c r="J116" i="7"/>
  <c r="P115" i="7"/>
  <c r="H115" i="7"/>
  <c r="G114" i="7"/>
  <c r="F113" i="7"/>
  <c r="M112" i="7"/>
  <c r="E112" i="7"/>
  <c r="L111" i="7"/>
  <c r="D111" i="7"/>
  <c r="K110" i="7"/>
  <c r="C110" i="7"/>
  <c r="J109" i="7"/>
  <c r="Q108" i="7"/>
  <c r="I108" i="7"/>
  <c r="P107" i="7"/>
  <c r="H107" i="7"/>
  <c r="G106" i="7"/>
  <c r="F105" i="7"/>
  <c r="M104" i="7"/>
  <c r="E104" i="7"/>
  <c r="L103" i="7"/>
  <c r="D103" i="7"/>
  <c r="K102" i="7"/>
  <c r="C102" i="7"/>
  <c r="J101" i="7"/>
  <c r="Q100" i="7"/>
  <c r="I100" i="7"/>
  <c r="P99" i="7"/>
  <c r="H99" i="7"/>
  <c r="G98" i="7"/>
  <c r="F97" i="7"/>
  <c r="M96" i="7"/>
  <c r="E96" i="7"/>
  <c r="L95" i="7"/>
  <c r="D95" i="7"/>
  <c r="K94" i="7"/>
  <c r="I173" i="7"/>
  <c r="C165" i="7"/>
  <c r="C151" i="7"/>
  <c r="G147" i="7"/>
  <c r="K145" i="7"/>
  <c r="P143" i="7"/>
  <c r="E142" i="7"/>
  <c r="I140" i="7"/>
  <c r="G139" i="7"/>
  <c r="F138" i="7"/>
  <c r="E137" i="7"/>
  <c r="J136" i="7"/>
  <c r="C135" i="7"/>
  <c r="H134" i="7"/>
  <c r="L133" i="7"/>
  <c r="P132" i="7"/>
  <c r="F132" i="7"/>
  <c r="J131" i="7"/>
  <c r="D130" i="7"/>
  <c r="H129" i="7"/>
  <c r="L128" i="7"/>
  <c r="Q127" i="7"/>
  <c r="H127" i="7"/>
  <c r="E126" i="7"/>
  <c r="K125" i="7"/>
  <c r="P124" i="7"/>
  <c r="G124" i="7"/>
  <c r="M123" i="7"/>
  <c r="D123" i="7"/>
  <c r="J122" i="7"/>
  <c r="P121" i="7"/>
  <c r="G121" i="7"/>
  <c r="L120" i="7"/>
  <c r="C120" i="7"/>
  <c r="I119" i="7"/>
  <c r="G172" i="7"/>
  <c r="D164" i="7"/>
  <c r="Q156" i="7"/>
  <c r="E150" i="7"/>
  <c r="D147" i="7"/>
  <c r="H145" i="7"/>
  <c r="L143" i="7"/>
  <c r="Q141" i="7"/>
  <c r="H140" i="7"/>
  <c r="D139" i="7"/>
  <c r="D138" i="7"/>
  <c r="D137" i="7"/>
  <c r="I136" i="7"/>
  <c r="M135" i="7"/>
  <c r="Q134" i="7"/>
  <c r="G134" i="7"/>
  <c r="K133" i="7"/>
  <c r="E132" i="7"/>
  <c r="I131" i="7"/>
  <c r="M130" i="7"/>
  <c r="C130" i="7"/>
  <c r="G129" i="7"/>
  <c r="K128" i="7"/>
  <c r="P127" i="7"/>
  <c r="G127" i="7"/>
  <c r="M126" i="7"/>
  <c r="D126" i="7"/>
  <c r="I125" i="7"/>
  <c r="F124" i="7"/>
  <c r="L123" i="7"/>
  <c r="C123" i="7"/>
  <c r="I122" i="7"/>
  <c r="E121" i="7"/>
  <c r="K120" i="7"/>
  <c r="Q119" i="7"/>
  <c r="H119" i="7"/>
  <c r="E118" i="7"/>
  <c r="K117" i="7"/>
  <c r="P116" i="7"/>
  <c r="G116" i="7"/>
  <c r="F115" i="7"/>
  <c r="M114" i="7"/>
  <c r="E114" i="7"/>
  <c r="L113" i="7"/>
  <c r="D113" i="7"/>
  <c r="K112" i="7"/>
  <c r="C112" i="7"/>
  <c r="J111" i="7"/>
  <c r="Q110" i="7"/>
  <c r="I110" i="7"/>
  <c r="P109" i="7"/>
  <c r="H109" i="7"/>
  <c r="G108" i="7"/>
  <c r="F107" i="7"/>
  <c r="M106" i="7"/>
  <c r="E106" i="7"/>
  <c r="L105" i="7"/>
  <c r="D105" i="7"/>
  <c r="K104" i="7"/>
  <c r="C104" i="7"/>
  <c r="J103" i="7"/>
  <c r="Q102" i="7"/>
  <c r="I102" i="7"/>
  <c r="P101" i="7"/>
  <c r="H101" i="7"/>
  <c r="G100" i="7"/>
  <c r="F99" i="7"/>
  <c r="M98" i="7"/>
  <c r="E98" i="7"/>
  <c r="L97" i="7"/>
  <c r="D97" i="7"/>
  <c r="K96" i="7"/>
  <c r="C96" i="7"/>
  <c r="J95" i="7"/>
  <c r="Q94" i="7"/>
  <c r="E171" i="7"/>
  <c r="D163" i="7"/>
  <c r="E156" i="7"/>
  <c r="G149" i="7"/>
  <c r="C145" i="7"/>
  <c r="H143" i="7"/>
  <c r="L141" i="7"/>
  <c r="F140" i="7"/>
  <c r="C139" i="7"/>
  <c r="P137" i="7"/>
  <c r="C137" i="7"/>
  <c r="G136" i="7"/>
  <c r="K135" i="7"/>
  <c r="P134" i="7"/>
  <c r="E134" i="7"/>
  <c r="I133" i="7"/>
  <c r="C132" i="7"/>
  <c r="G131" i="7"/>
  <c r="L130" i="7"/>
  <c r="P129" i="7"/>
  <c r="E129" i="7"/>
  <c r="J128" i="7"/>
  <c r="F127" i="7"/>
  <c r="L126" i="7"/>
  <c r="Q125" i="7"/>
  <c r="H125" i="7"/>
  <c r="E124" i="7"/>
  <c r="K123" i="7"/>
  <c r="Q122" i="7"/>
  <c r="H122" i="7"/>
  <c r="M121" i="7"/>
  <c r="D121" i="7"/>
  <c r="J120" i="7"/>
  <c r="P119" i="7"/>
  <c r="G119" i="7"/>
  <c r="M118" i="7"/>
  <c r="D118" i="7"/>
  <c r="I117" i="7"/>
  <c r="F116" i="7"/>
  <c r="M115" i="7"/>
  <c r="E115" i="7"/>
  <c r="L114" i="7"/>
  <c r="D114" i="7"/>
  <c r="K113" i="7"/>
  <c r="C113" i="7"/>
  <c r="J112" i="7"/>
  <c r="Q111" i="7"/>
  <c r="I111" i="7"/>
  <c r="P110" i="7"/>
  <c r="H110" i="7"/>
  <c r="G109" i="7"/>
  <c r="F108" i="7"/>
  <c r="M107" i="7"/>
  <c r="E107" i="7"/>
  <c r="L106" i="7"/>
  <c r="D106" i="7"/>
  <c r="K105" i="7"/>
  <c r="C105" i="7"/>
  <c r="J104" i="7"/>
  <c r="Q103" i="7"/>
  <c r="I103" i="7"/>
  <c r="P102" i="7"/>
  <c r="H102" i="7"/>
  <c r="G101" i="7"/>
  <c r="F100" i="7"/>
  <c r="M99" i="7"/>
  <c r="E99" i="7"/>
  <c r="L98" i="7"/>
  <c r="D98" i="7"/>
  <c r="K97" i="7"/>
  <c r="C97" i="7"/>
  <c r="J96" i="7"/>
  <c r="Q95" i="7"/>
  <c r="I95" i="7"/>
  <c r="P94" i="7"/>
  <c r="H94" i="7"/>
  <c r="D170" i="7"/>
  <c r="D162" i="7"/>
  <c r="G155" i="7"/>
  <c r="I148" i="7"/>
  <c r="K146" i="7"/>
  <c r="D143" i="7"/>
  <c r="I141" i="7"/>
  <c r="C140" i="7"/>
  <c r="Q138" i="7"/>
  <c r="Q136" i="7"/>
  <c r="F136" i="7"/>
  <c r="J135" i="7"/>
  <c r="D134" i="7"/>
  <c r="H133" i="7"/>
  <c r="M132" i="7"/>
  <c r="Q131" i="7"/>
  <c r="F131" i="7"/>
  <c r="K130" i="7"/>
  <c r="D129" i="7"/>
  <c r="I128" i="7"/>
  <c r="E127" i="7"/>
  <c r="J126" i="7"/>
  <c r="P125" i="7"/>
  <c r="G125" i="7"/>
  <c r="M124" i="7"/>
  <c r="D124" i="7"/>
  <c r="J123" i="7"/>
  <c r="P122" i="7"/>
  <c r="F122" i="7"/>
  <c r="L121" i="7"/>
  <c r="C121" i="7"/>
  <c r="I120" i="7"/>
  <c r="F119" i="7"/>
  <c r="L118" i="7"/>
  <c r="Q117" i="7"/>
  <c r="H117" i="7"/>
  <c r="E116" i="7"/>
  <c r="L115" i="7"/>
  <c r="D115" i="7"/>
  <c r="K114" i="7"/>
  <c r="C114" i="7"/>
  <c r="J113" i="7"/>
  <c r="Q112" i="7"/>
  <c r="I112" i="7"/>
  <c r="P111" i="7"/>
  <c r="H111" i="7"/>
  <c r="G110" i="7"/>
  <c r="F109" i="7"/>
  <c r="M108" i="7"/>
  <c r="E108" i="7"/>
  <c r="L107" i="7"/>
  <c r="D107" i="7"/>
  <c r="K106" i="7"/>
  <c r="C106" i="7"/>
  <c r="J105" i="7"/>
  <c r="Q104" i="7"/>
  <c r="I104" i="7"/>
  <c r="P103" i="7"/>
  <c r="H103" i="7"/>
  <c r="G102" i="7"/>
  <c r="F101" i="7"/>
  <c r="M100" i="7"/>
  <c r="E100" i="7"/>
  <c r="L99" i="7"/>
  <c r="D99" i="7"/>
  <c r="K98" i="7"/>
  <c r="C98" i="7"/>
  <c r="J97" i="7"/>
  <c r="Q96" i="7"/>
  <c r="I96" i="7"/>
  <c r="P95" i="7"/>
  <c r="H95" i="7"/>
  <c r="G94" i="7"/>
  <c r="Q168" i="7"/>
  <c r="G133" i="7"/>
  <c r="M127" i="7"/>
  <c r="J118" i="7"/>
  <c r="C117" i="7"/>
  <c r="I115" i="7"/>
  <c r="Q113" i="7"/>
  <c r="L112" i="7"/>
  <c r="E111" i="7"/>
  <c r="M109" i="7"/>
  <c r="H108" i="7"/>
  <c r="P106" i="7"/>
  <c r="I105" i="7"/>
  <c r="D104" i="7"/>
  <c r="L102" i="7"/>
  <c r="E101" i="7"/>
  <c r="H98" i="7"/>
  <c r="P96" i="7"/>
  <c r="K95" i="7"/>
  <c r="F94" i="7"/>
  <c r="F161" i="7"/>
  <c r="K132" i="7"/>
  <c r="C127" i="7"/>
  <c r="E122" i="7"/>
  <c r="H118" i="7"/>
  <c r="M116" i="7"/>
  <c r="G115" i="7"/>
  <c r="H112" i="7"/>
  <c r="C111" i="7"/>
  <c r="K109" i="7"/>
  <c r="D108" i="7"/>
  <c r="G105" i="7"/>
  <c r="J102" i="7"/>
  <c r="C101" i="7"/>
  <c r="K99" i="7"/>
  <c r="F98" i="7"/>
  <c r="G95" i="7"/>
  <c r="D94" i="7"/>
  <c r="J93" i="7"/>
  <c r="P92" i="7"/>
  <c r="G92" i="7"/>
  <c r="F91" i="7"/>
  <c r="I154" i="7"/>
  <c r="M137" i="7"/>
  <c r="I126" i="7"/>
  <c r="K121" i="7"/>
  <c r="F118" i="7"/>
  <c r="K116" i="7"/>
  <c r="C115" i="7"/>
  <c r="M113" i="7"/>
  <c r="F112" i="7"/>
  <c r="I109" i="7"/>
  <c r="Q107" i="7"/>
  <c r="J106" i="7"/>
  <c r="E105" i="7"/>
  <c r="M103" i="7"/>
  <c r="F102" i="7"/>
  <c r="P100" i="7"/>
  <c r="I99" i="7"/>
  <c r="Q97" i="7"/>
  <c r="L96" i="7"/>
  <c r="E95" i="7"/>
  <c r="C94" i="7"/>
  <c r="F148" i="7"/>
  <c r="E131" i="7"/>
  <c r="Q120" i="7"/>
  <c r="P117" i="7"/>
  <c r="H116" i="7"/>
  <c r="P114" i="7"/>
  <c r="I113" i="7"/>
  <c r="D112" i="7"/>
  <c r="L110" i="7"/>
  <c r="E109" i="7"/>
  <c r="H106" i="7"/>
  <c r="P104" i="7"/>
  <c r="K103" i="7"/>
  <c r="D102" i="7"/>
  <c r="L100" i="7"/>
  <c r="G99" i="7"/>
  <c r="H96" i="7"/>
  <c r="C95" i="7"/>
  <c r="Q93" i="7"/>
  <c r="H93" i="7"/>
  <c r="E92" i="7"/>
  <c r="L91" i="7"/>
  <c r="D91" i="7"/>
  <c r="I146" i="7"/>
  <c r="D136" i="7"/>
  <c r="I130" i="7"/>
  <c r="F125" i="7"/>
  <c r="H120" i="7"/>
  <c r="D116" i="7"/>
  <c r="G113" i="7"/>
  <c r="J110" i="7"/>
  <c r="C109" i="7"/>
  <c r="K107" i="7"/>
  <c r="F106" i="7"/>
  <c r="G103" i="7"/>
  <c r="Q101" i="7"/>
  <c r="J100" i="7"/>
  <c r="C99" i="7"/>
  <c r="M97" i="7"/>
  <c r="F96" i="7"/>
  <c r="P93" i="7"/>
  <c r="G93" i="7"/>
  <c r="M92" i="7"/>
  <c r="D92" i="7"/>
  <c r="K91" i="7"/>
  <c r="C91" i="7"/>
  <c r="J90" i="7"/>
  <c r="Q89" i="7"/>
  <c r="I89" i="7"/>
  <c r="P88" i="7"/>
  <c r="H88" i="7"/>
  <c r="G87" i="7"/>
  <c r="F86" i="7"/>
  <c r="M85" i="7"/>
  <c r="E85" i="7"/>
  <c r="L84" i="7"/>
  <c r="D84" i="7"/>
  <c r="K83" i="7"/>
  <c r="C83" i="7"/>
  <c r="J82" i="7"/>
  <c r="Q81" i="7"/>
  <c r="I81" i="7"/>
  <c r="P80" i="7"/>
  <c r="H80" i="7"/>
  <c r="G79" i="7"/>
  <c r="F78" i="7"/>
  <c r="M77" i="7"/>
  <c r="E77" i="7"/>
  <c r="L76" i="7"/>
  <c r="D76" i="7"/>
  <c r="K75" i="7"/>
  <c r="C75" i="7"/>
  <c r="J74" i="7"/>
  <c r="Q73" i="7"/>
  <c r="I73" i="7"/>
  <c r="P72" i="7"/>
  <c r="H72" i="7"/>
  <c r="G71" i="7"/>
  <c r="F70" i="7"/>
  <c r="M69" i="7"/>
  <c r="E69" i="7"/>
  <c r="L68" i="7"/>
  <c r="D68" i="7"/>
  <c r="K67" i="7"/>
  <c r="C67" i="7"/>
  <c r="J66" i="7"/>
  <c r="Q65" i="7"/>
  <c r="I65" i="7"/>
  <c r="P64" i="7"/>
  <c r="H64" i="7"/>
  <c r="G63" i="7"/>
  <c r="F62" i="7"/>
  <c r="M61" i="7"/>
  <c r="E61" i="7"/>
  <c r="L60" i="7"/>
  <c r="M144" i="7"/>
  <c r="I135" i="7"/>
  <c r="M129" i="7"/>
  <c r="L124" i="7"/>
  <c r="L117" i="7"/>
  <c r="Q115" i="7"/>
  <c r="J114" i="7"/>
  <c r="E113" i="7"/>
  <c r="M111" i="7"/>
  <c r="F110" i="7"/>
  <c r="P108" i="7"/>
  <c r="I107" i="7"/>
  <c r="Q105" i="7"/>
  <c r="L104" i="7"/>
  <c r="E103" i="7"/>
  <c r="M101" i="7"/>
  <c r="H100" i="7"/>
  <c r="P98" i="7"/>
  <c r="I97" i="7"/>
  <c r="D96" i="7"/>
  <c r="L94" i="7"/>
  <c r="F93" i="7"/>
  <c r="L92" i="7"/>
  <c r="C92" i="7"/>
  <c r="J91" i="7"/>
  <c r="Q90" i="7"/>
  <c r="I90" i="7"/>
  <c r="P89" i="7"/>
  <c r="H89" i="7"/>
  <c r="G88" i="7"/>
  <c r="F87" i="7"/>
  <c r="M86" i="7"/>
  <c r="E86" i="7"/>
  <c r="L85" i="7"/>
  <c r="D85" i="7"/>
  <c r="K84" i="7"/>
  <c r="C84" i="7"/>
  <c r="J83" i="7"/>
  <c r="Q82" i="7"/>
  <c r="I82" i="7"/>
  <c r="P81" i="7"/>
  <c r="H81" i="7"/>
  <c r="G80" i="7"/>
  <c r="F79" i="7"/>
  <c r="M78" i="7"/>
  <c r="E78" i="7"/>
  <c r="L77" i="7"/>
  <c r="D77" i="7"/>
  <c r="K76" i="7"/>
  <c r="C76" i="7"/>
  <c r="J75" i="7"/>
  <c r="Q74" i="7"/>
  <c r="I74" i="7"/>
  <c r="P73" i="7"/>
  <c r="H73" i="7"/>
  <c r="G72" i="7"/>
  <c r="F71" i="7"/>
  <c r="M70" i="7"/>
  <c r="E70" i="7"/>
  <c r="L69" i="7"/>
  <c r="D69" i="7"/>
  <c r="K68" i="7"/>
  <c r="C68" i="7"/>
  <c r="J67" i="7"/>
  <c r="Q66" i="7"/>
  <c r="I66" i="7"/>
  <c r="P65" i="7"/>
  <c r="H65" i="7"/>
  <c r="G64" i="7"/>
  <c r="F63" i="7"/>
  <c r="M62" i="7"/>
  <c r="E62" i="7"/>
  <c r="L61" i="7"/>
  <c r="D61" i="7"/>
  <c r="K60" i="7"/>
  <c r="C60" i="7"/>
  <c r="J59" i="7"/>
  <c r="C143" i="7"/>
  <c r="M134" i="7"/>
  <c r="C129" i="7"/>
  <c r="C124" i="7"/>
  <c r="E119" i="7"/>
  <c r="G117" i="7"/>
  <c r="H114" i="7"/>
  <c r="P112" i="7"/>
  <c r="K111" i="7"/>
  <c r="D110" i="7"/>
  <c r="L108" i="7"/>
  <c r="G107" i="7"/>
  <c r="H104" i="7"/>
  <c r="C103" i="7"/>
  <c r="K101" i="7"/>
  <c r="D100" i="7"/>
  <c r="G97" i="7"/>
  <c r="J94" i="7"/>
  <c r="E93" i="7"/>
  <c r="J92" i="7"/>
  <c r="Q91" i="7"/>
  <c r="I91" i="7"/>
  <c r="P90" i="7"/>
  <c r="H90" i="7"/>
  <c r="G89" i="7"/>
  <c r="F88" i="7"/>
  <c r="M87" i="7"/>
  <c r="E87" i="7"/>
  <c r="L86" i="7"/>
  <c r="D86" i="7"/>
  <c r="K85" i="7"/>
  <c r="C85" i="7"/>
  <c r="J84" i="7"/>
  <c r="Q83" i="7"/>
  <c r="I83" i="7"/>
  <c r="P82" i="7"/>
  <c r="H82" i="7"/>
  <c r="G81" i="7"/>
  <c r="F80" i="7"/>
  <c r="M79" i="7"/>
  <c r="E79" i="7"/>
  <c r="L78" i="7"/>
  <c r="D78" i="7"/>
  <c r="K77" i="7"/>
  <c r="C77" i="7"/>
  <c r="J76" i="7"/>
  <c r="Q75" i="7"/>
  <c r="I75" i="7"/>
  <c r="P74" i="7"/>
  <c r="H74" i="7"/>
  <c r="G73" i="7"/>
  <c r="F72" i="7"/>
  <c r="M71" i="7"/>
  <c r="E71" i="7"/>
  <c r="L70" i="7"/>
  <c r="D70" i="7"/>
  <c r="K69" i="7"/>
  <c r="C69" i="7"/>
  <c r="J68" i="7"/>
  <c r="Q67" i="7"/>
  <c r="I67" i="7"/>
  <c r="P66" i="7"/>
  <c r="H66" i="7"/>
  <c r="G65" i="7"/>
  <c r="F64" i="7"/>
  <c r="M63" i="7"/>
  <c r="E63" i="7"/>
  <c r="L62" i="7"/>
  <c r="D62" i="7"/>
  <c r="K61" i="7"/>
  <c r="C61" i="7"/>
  <c r="J60" i="7"/>
  <c r="G141" i="7"/>
  <c r="I101" i="7"/>
  <c r="I93" i="7"/>
  <c r="L90" i="7"/>
  <c r="M89" i="7"/>
  <c r="Q88" i="7"/>
  <c r="C88" i="7"/>
  <c r="D87" i="7"/>
  <c r="H86" i="7"/>
  <c r="I85" i="7"/>
  <c r="M84" i="7"/>
  <c r="D82" i="7"/>
  <c r="E81" i="7"/>
  <c r="I80" i="7"/>
  <c r="J79" i="7"/>
  <c r="K78" i="7"/>
  <c r="P76" i="7"/>
  <c r="E76" i="7"/>
  <c r="F75" i="7"/>
  <c r="G74" i="7"/>
  <c r="K73" i="7"/>
  <c r="L72" i="7"/>
  <c r="P71" i="7"/>
  <c r="Q70" i="7"/>
  <c r="C70" i="7"/>
  <c r="G69" i="7"/>
  <c r="H68" i="7"/>
  <c r="L67" i="7"/>
  <c r="M66" i="7"/>
  <c r="C65" i="7"/>
  <c r="D64" i="7"/>
  <c r="H63" i="7"/>
  <c r="I62" i="7"/>
  <c r="J61" i="7"/>
  <c r="Q59" i="7"/>
  <c r="H59" i="7"/>
  <c r="G58" i="7"/>
  <c r="F57" i="7"/>
  <c r="M56" i="7"/>
  <c r="E56" i="7"/>
  <c r="L55" i="7"/>
  <c r="D55" i="7"/>
  <c r="K54" i="7"/>
  <c r="C54" i="7"/>
  <c r="J53" i="7"/>
  <c r="Q52" i="7"/>
  <c r="I52" i="7"/>
  <c r="P51" i="7"/>
  <c r="H51" i="7"/>
  <c r="G50" i="7"/>
  <c r="F49" i="7"/>
  <c r="M48" i="7"/>
  <c r="E48" i="7"/>
  <c r="L47" i="7"/>
  <c r="D47" i="7"/>
  <c r="K46" i="7"/>
  <c r="C46" i="7"/>
  <c r="J45" i="7"/>
  <c r="Q44" i="7"/>
  <c r="I44" i="7"/>
  <c r="P43" i="7"/>
  <c r="H43" i="7"/>
  <c r="G42" i="7"/>
  <c r="F41" i="7"/>
  <c r="M40" i="7"/>
  <c r="E40" i="7"/>
  <c r="L39" i="7"/>
  <c r="D39" i="7"/>
  <c r="K38" i="7"/>
  <c r="C38" i="7"/>
  <c r="J37" i="7"/>
  <c r="Q36" i="7"/>
  <c r="I36" i="7"/>
  <c r="P35" i="7"/>
  <c r="H35" i="7"/>
  <c r="G34" i="7"/>
  <c r="F33" i="7"/>
  <c r="M32" i="7"/>
  <c r="E32" i="7"/>
  <c r="L31" i="7"/>
  <c r="D31" i="7"/>
  <c r="K30" i="7"/>
  <c r="C30" i="7"/>
  <c r="J29" i="7"/>
  <c r="Q28" i="7"/>
  <c r="Q133" i="7"/>
  <c r="G111" i="7"/>
  <c r="Q99" i="7"/>
  <c r="C93" i="7"/>
  <c r="M91" i="7"/>
  <c r="K90" i="7"/>
  <c r="L89" i="7"/>
  <c r="M88" i="7"/>
  <c r="Q87" i="7"/>
  <c r="C87" i="7"/>
  <c r="G86" i="7"/>
  <c r="H85" i="7"/>
  <c r="I84" i="7"/>
  <c r="M83" i="7"/>
  <c r="C82" i="7"/>
  <c r="D81" i="7"/>
  <c r="E80" i="7"/>
  <c r="I79" i="7"/>
  <c r="J78" i="7"/>
  <c r="P75" i="7"/>
  <c r="E75" i="7"/>
  <c r="F74" i="7"/>
  <c r="J73" i="7"/>
  <c r="K72" i="7"/>
  <c r="L71" i="7"/>
  <c r="P70" i="7"/>
  <c r="Q69" i="7"/>
  <c r="F69" i="7"/>
  <c r="G68" i="7"/>
  <c r="H67" i="7"/>
  <c r="L66" i="7"/>
  <c r="M65" i="7"/>
  <c r="Q64" i="7"/>
  <c r="C64" i="7"/>
  <c r="D63" i="7"/>
  <c r="H62" i="7"/>
  <c r="I61" i="7"/>
  <c r="M60" i="7"/>
  <c r="P59" i="7"/>
  <c r="G59" i="7"/>
  <c r="F58" i="7"/>
  <c r="M57" i="7"/>
  <c r="E57" i="7"/>
  <c r="L56" i="7"/>
  <c r="D56" i="7"/>
  <c r="K55" i="7"/>
  <c r="C55" i="7"/>
  <c r="J54" i="7"/>
  <c r="Q53" i="7"/>
  <c r="I53" i="7"/>
  <c r="P52" i="7"/>
  <c r="H52" i="7"/>
  <c r="G51" i="7"/>
  <c r="F50" i="7"/>
  <c r="M49" i="7"/>
  <c r="E49" i="7"/>
  <c r="L48" i="7"/>
  <c r="D48" i="7"/>
  <c r="K47" i="7"/>
  <c r="C47" i="7"/>
  <c r="J46" i="7"/>
  <c r="Q45" i="7"/>
  <c r="I45" i="7"/>
  <c r="P44" i="7"/>
  <c r="H44" i="7"/>
  <c r="G43" i="7"/>
  <c r="F42" i="7"/>
  <c r="M41" i="7"/>
  <c r="E41" i="7"/>
  <c r="L40" i="7"/>
  <c r="D40" i="7"/>
  <c r="K39" i="7"/>
  <c r="C39" i="7"/>
  <c r="J38" i="7"/>
  <c r="Q37" i="7"/>
  <c r="I37" i="7"/>
  <c r="P36" i="7"/>
  <c r="G128" i="7"/>
  <c r="Q109" i="7"/>
  <c r="J98" i="7"/>
  <c r="Q92" i="7"/>
  <c r="H91" i="7"/>
  <c r="G90" i="7"/>
  <c r="K89" i="7"/>
  <c r="L88" i="7"/>
  <c r="P87" i="7"/>
  <c r="Q86" i="7"/>
  <c r="C86" i="7"/>
  <c r="G85" i="7"/>
  <c r="H84" i="7"/>
  <c r="L83" i="7"/>
  <c r="M82" i="7"/>
  <c r="C81" i="7"/>
  <c r="D80" i="7"/>
  <c r="H79" i="7"/>
  <c r="I78" i="7"/>
  <c r="J77" i="7"/>
  <c r="D75" i="7"/>
  <c r="E74" i="7"/>
  <c r="F73" i="7"/>
  <c r="J72" i="7"/>
  <c r="K71" i="7"/>
  <c r="P69" i="7"/>
  <c r="Q68" i="7"/>
  <c r="F68" i="7"/>
  <c r="G67" i="7"/>
  <c r="K66" i="7"/>
  <c r="L65" i="7"/>
  <c r="M64" i="7"/>
  <c r="Q63" i="7"/>
  <c r="C63" i="7"/>
  <c r="G62" i="7"/>
  <c r="H61" i="7"/>
  <c r="I60" i="7"/>
  <c r="F59" i="7"/>
  <c r="M58" i="7"/>
  <c r="E58" i="7"/>
  <c r="L57" i="7"/>
  <c r="D57" i="7"/>
  <c r="K56" i="7"/>
  <c r="C56" i="7"/>
  <c r="J55" i="7"/>
  <c r="Q54" i="7"/>
  <c r="I54" i="7"/>
  <c r="P53" i="7"/>
  <c r="H53" i="7"/>
  <c r="G52" i="7"/>
  <c r="F51" i="7"/>
  <c r="M50" i="7"/>
  <c r="E50" i="7"/>
  <c r="L49" i="7"/>
  <c r="D49" i="7"/>
  <c r="K48" i="7"/>
  <c r="C48" i="7"/>
  <c r="J47" i="7"/>
  <c r="Q46" i="7"/>
  <c r="I46" i="7"/>
  <c r="P45" i="7"/>
  <c r="H45" i="7"/>
  <c r="G44" i="7"/>
  <c r="F43" i="7"/>
  <c r="M42" i="7"/>
  <c r="E42" i="7"/>
  <c r="L41" i="7"/>
  <c r="D41" i="7"/>
  <c r="K40" i="7"/>
  <c r="C40" i="7"/>
  <c r="J39" i="7"/>
  <c r="Q38" i="7"/>
  <c r="I38" i="7"/>
  <c r="P37" i="7"/>
  <c r="H37" i="7"/>
  <c r="G36" i="7"/>
  <c r="F35" i="7"/>
  <c r="M34" i="7"/>
  <c r="E34" i="7"/>
  <c r="L33" i="7"/>
  <c r="D33" i="7"/>
  <c r="K32" i="7"/>
  <c r="C32" i="7"/>
  <c r="J31" i="7"/>
  <c r="Q30" i="7"/>
  <c r="P29" i="7"/>
  <c r="G28" i="7"/>
  <c r="I123" i="7"/>
  <c r="J108" i="7"/>
  <c r="E97" i="7"/>
  <c r="G91" i="7"/>
  <c r="F90" i="7"/>
  <c r="J89" i="7"/>
  <c r="K88" i="7"/>
  <c r="L87" i="7"/>
  <c r="P86" i="7"/>
  <c r="Q85" i="7"/>
  <c r="F85" i="7"/>
  <c r="G84" i="7"/>
  <c r="H83" i="7"/>
  <c r="L82" i="7"/>
  <c r="M81" i="7"/>
  <c r="Q80" i="7"/>
  <c r="C80" i="7"/>
  <c r="D79" i="7"/>
  <c r="H78" i="7"/>
  <c r="I77" i="7"/>
  <c r="M76" i="7"/>
  <c r="D74" i="7"/>
  <c r="E73" i="7"/>
  <c r="I72" i="7"/>
  <c r="J71" i="7"/>
  <c r="K70" i="7"/>
  <c r="P68" i="7"/>
  <c r="E68" i="7"/>
  <c r="F67" i="7"/>
  <c r="G66" i="7"/>
  <c r="K65" i="7"/>
  <c r="L64" i="7"/>
  <c r="P63" i="7"/>
  <c r="Q62" i="7"/>
  <c r="C62" i="7"/>
  <c r="G61" i="7"/>
  <c r="H60" i="7"/>
  <c r="E59" i="7"/>
  <c r="L58" i="7"/>
  <c r="D58" i="7"/>
  <c r="K57" i="7"/>
  <c r="C57" i="7"/>
  <c r="J56" i="7"/>
  <c r="Q55" i="7"/>
  <c r="I55" i="7"/>
  <c r="P54" i="7"/>
  <c r="H54" i="7"/>
  <c r="G53" i="7"/>
  <c r="F52" i="7"/>
  <c r="M51" i="7"/>
  <c r="E51" i="7"/>
  <c r="L50" i="7"/>
  <c r="D50" i="7"/>
  <c r="K49" i="7"/>
  <c r="C49" i="7"/>
  <c r="J48" i="7"/>
  <c r="Q47" i="7"/>
  <c r="I47" i="7"/>
  <c r="P46" i="7"/>
  <c r="H46" i="7"/>
  <c r="G45" i="7"/>
  <c r="F44" i="7"/>
  <c r="M43" i="7"/>
  <c r="E43" i="7"/>
  <c r="L42" i="7"/>
  <c r="D42" i="7"/>
  <c r="K41" i="7"/>
  <c r="C41" i="7"/>
  <c r="J40" i="7"/>
  <c r="Q39" i="7"/>
  <c r="I39" i="7"/>
  <c r="P38" i="7"/>
  <c r="H38" i="7"/>
  <c r="G37" i="7"/>
  <c r="C107" i="7"/>
  <c r="M95" i="7"/>
  <c r="I92" i="7"/>
  <c r="E91" i="7"/>
  <c r="E90" i="7"/>
  <c r="F89" i="7"/>
  <c r="J88" i="7"/>
  <c r="K87" i="7"/>
  <c r="P85" i="7"/>
  <c r="Q84" i="7"/>
  <c r="F84" i="7"/>
  <c r="G83" i="7"/>
  <c r="K82" i="7"/>
  <c r="L81" i="7"/>
  <c r="M80" i="7"/>
  <c r="Q79" i="7"/>
  <c r="C79" i="7"/>
  <c r="G78" i="7"/>
  <c r="H77" i="7"/>
  <c r="I76" i="7"/>
  <c r="M75" i="7"/>
  <c r="C74" i="7"/>
  <c r="D73" i="7"/>
  <c r="E72" i="7"/>
  <c r="I71" i="7"/>
  <c r="J70" i="7"/>
  <c r="P67" i="7"/>
  <c r="E67" i="7"/>
  <c r="F66" i="7"/>
  <c r="J65" i="7"/>
  <c r="K64" i="7"/>
  <c r="L63" i="7"/>
  <c r="P62" i="7"/>
  <c r="Q61" i="7"/>
  <c r="F61" i="7"/>
  <c r="G60" i="7"/>
  <c r="M59" i="7"/>
  <c r="D59" i="7"/>
  <c r="K58" i="7"/>
  <c r="C58" i="7"/>
  <c r="J57" i="7"/>
  <c r="Q56" i="7"/>
  <c r="I56" i="7"/>
  <c r="P55" i="7"/>
  <c r="H55" i="7"/>
  <c r="G54" i="7"/>
  <c r="F53" i="7"/>
  <c r="M52" i="7"/>
  <c r="E52" i="7"/>
  <c r="L51" i="7"/>
  <c r="D51" i="7"/>
  <c r="K50" i="7"/>
  <c r="C50" i="7"/>
  <c r="J49" i="7"/>
  <c r="Q48" i="7"/>
  <c r="I48" i="7"/>
  <c r="P47" i="7"/>
  <c r="H47" i="7"/>
  <c r="G46" i="7"/>
  <c r="F45" i="7"/>
  <c r="M44" i="7"/>
  <c r="E44" i="7"/>
  <c r="L43" i="7"/>
  <c r="D43" i="7"/>
  <c r="K42" i="7"/>
  <c r="C42" i="7"/>
  <c r="J41" i="7"/>
  <c r="Q40" i="7"/>
  <c r="I40" i="7"/>
  <c r="P39" i="7"/>
  <c r="H39" i="7"/>
  <c r="G38" i="7"/>
  <c r="F37" i="7"/>
  <c r="M36" i="7"/>
  <c r="E36" i="7"/>
  <c r="L35" i="7"/>
  <c r="D35" i="7"/>
  <c r="K34" i="7"/>
  <c r="C34" i="7"/>
  <c r="J33" i="7"/>
  <c r="Q32" i="7"/>
  <c r="I32" i="7"/>
  <c r="P31" i="7"/>
  <c r="H31" i="7"/>
  <c r="G30" i="7"/>
  <c r="F29" i="7"/>
  <c r="M28" i="7"/>
  <c r="E28" i="7"/>
  <c r="E117" i="7"/>
  <c r="M105" i="7"/>
  <c r="I94" i="7"/>
  <c r="H92" i="7"/>
  <c r="D90" i="7"/>
  <c r="E89" i="7"/>
  <c r="I88" i="7"/>
  <c r="J87" i="7"/>
  <c r="K86" i="7"/>
  <c r="P84" i="7"/>
  <c r="E84" i="7"/>
  <c r="F83" i="7"/>
  <c r="G82" i="7"/>
  <c r="K81" i="7"/>
  <c r="L80" i="7"/>
  <c r="P79" i="7"/>
  <c r="Q78" i="7"/>
  <c r="C78" i="7"/>
  <c r="G77" i="7"/>
  <c r="H76" i="7"/>
  <c r="L75" i="7"/>
  <c r="M74" i="7"/>
  <c r="C73" i="7"/>
  <c r="D72" i="7"/>
  <c r="H71" i="7"/>
  <c r="I70" i="7"/>
  <c r="J69" i="7"/>
  <c r="D67" i="7"/>
  <c r="E66" i="7"/>
  <c r="F65" i="7"/>
  <c r="J64" i="7"/>
  <c r="K63" i="7"/>
  <c r="P61" i="7"/>
  <c r="Q60" i="7"/>
  <c r="F60" i="7"/>
  <c r="L59" i="7"/>
  <c r="C59" i="7"/>
  <c r="J58" i="7"/>
  <c r="Q57" i="7"/>
  <c r="I57" i="7"/>
  <c r="P56" i="7"/>
  <c r="H56" i="7"/>
  <c r="G55" i="7"/>
  <c r="F54" i="7"/>
  <c r="M53" i="7"/>
  <c r="E53" i="7"/>
  <c r="L52" i="7"/>
  <c r="D52" i="7"/>
  <c r="K51" i="7"/>
  <c r="C51" i="7"/>
  <c r="J50" i="7"/>
  <c r="Q49" i="7"/>
  <c r="I49" i="7"/>
  <c r="P48" i="7"/>
  <c r="H48" i="7"/>
  <c r="G47" i="7"/>
  <c r="F46" i="7"/>
  <c r="M45" i="7"/>
  <c r="E45" i="7"/>
  <c r="L44" i="7"/>
  <c r="D44" i="7"/>
  <c r="K43" i="7"/>
  <c r="C43" i="7"/>
  <c r="J42" i="7"/>
  <c r="Q41" i="7"/>
  <c r="I41" i="7"/>
  <c r="P40" i="7"/>
  <c r="H40" i="7"/>
  <c r="G39" i="7"/>
  <c r="F38" i="7"/>
  <c r="M37" i="7"/>
  <c r="E37" i="7"/>
  <c r="L36" i="7"/>
  <c r="D36" i="7"/>
  <c r="K35" i="7"/>
  <c r="C35" i="7"/>
  <c r="J34" i="7"/>
  <c r="Q33" i="7"/>
  <c r="I33" i="7"/>
  <c r="P32" i="7"/>
  <c r="H32" i="7"/>
  <c r="G31" i="7"/>
  <c r="F30" i="7"/>
  <c r="M29" i="7"/>
  <c r="E29" i="7"/>
  <c r="L28" i="7"/>
  <c r="D28" i="7"/>
  <c r="K115" i="7"/>
  <c r="F104" i="7"/>
  <c r="M93" i="7"/>
  <c r="F92" i="7"/>
  <c r="C90" i="7"/>
  <c r="D89" i="7"/>
  <c r="E88" i="7"/>
  <c r="I87" i="7"/>
  <c r="J86" i="7"/>
  <c r="P83" i="7"/>
  <c r="E83" i="7"/>
  <c r="F82" i="7"/>
  <c r="J81" i="7"/>
  <c r="K80" i="7"/>
  <c r="L79" i="7"/>
  <c r="P78" i="7"/>
  <c r="Q77" i="7"/>
  <c r="F77" i="7"/>
  <c r="G76" i="7"/>
  <c r="H75" i="7"/>
  <c r="L74" i="7"/>
  <c r="M73" i="7"/>
  <c r="Q72" i="7"/>
  <c r="C72" i="7"/>
  <c r="D71" i="7"/>
  <c r="H70" i="7"/>
  <c r="I69" i="7"/>
  <c r="M68" i="7"/>
  <c r="D66" i="7"/>
  <c r="E65" i="7"/>
  <c r="I64" i="7"/>
  <c r="J63" i="7"/>
  <c r="K62" i="7"/>
  <c r="P60" i="7"/>
  <c r="E60" i="7"/>
  <c r="K59" i="7"/>
  <c r="Q58" i="7"/>
  <c r="I58" i="7"/>
  <c r="P57" i="7"/>
  <c r="H57" i="7"/>
  <c r="G56" i="7"/>
  <c r="F55" i="7"/>
  <c r="M54" i="7"/>
  <c r="E54" i="7"/>
  <c r="L53" i="7"/>
  <c r="D53" i="7"/>
  <c r="K52" i="7"/>
  <c r="C52" i="7"/>
  <c r="J51" i="7"/>
  <c r="Q50" i="7"/>
  <c r="I50" i="7"/>
  <c r="P49" i="7"/>
  <c r="H49" i="7"/>
  <c r="G48" i="7"/>
  <c r="F47" i="7"/>
  <c r="M46" i="7"/>
  <c r="E46" i="7"/>
  <c r="L45" i="7"/>
  <c r="D45" i="7"/>
  <c r="K44" i="7"/>
  <c r="C44" i="7"/>
  <c r="J43" i="7"/>
  <c r="Q42" i="7"/>
  <c r="I42" i="7"/>
  <c r="P41" i="7"/>
  <c r="H41" i="7"/>
  <c r="G40" i="7"/>
  <c r="F39" i="7"/>
  <c r="M38" i="7"/>
  <c r="E38" i="7"/>
  <c r="L37" i="7"/>
  <c r="D37" i="7"/>
  <c r="K36" i="7"/>
  <c r="C36" i="7"/>
  <c r="J35" i="7"/>
  <c r="Q34" i="7"/>
  <c r="I34" i="7"/>
  <c r="P33" i="7"/>
  <c r="H33" i="7"/>
  <c r="G32" i="7"/>
  <c r="F31" i="7"/>
  <c r="M30" i="7"/>
  <c r="E30" i="7"/>
  <c r="L29" i="7"/>
  <c r="D29" i="7"/>
  <c r="K28" i="7"/>
  <c r="C28" i="7"/>
  <c r="F114" i="7"/>
  <c r="I86" i="7"/>
  <c r="K79" i="7"/>
  <c r="M72" i="7"/>
  <c r="C66" i="7"/>
  <c r="I59" i="7"/>
  <c r="E55" i="7"/>
  <c r="P50" i="7"/>
  <c r="L46" i="7"/>
  <c r="H42" i="7"/>
  <c r="D38" i="7"/>
  <c r="M35" i="7"/>
  <c r="F34" i="7"/>
  <c r="I31" i="7"/>
  <c r="Q29" i="7"/>
  <c r="J28" i="7"/>
  <c r="K93" i="7"/>
  <c r="J85" i="7"/>
  <c r="Q71" i="7"/>
  <c r="D65" i="7"/>
  <c r="P58" i="7"/>
  <c r="L54" i="7"/>
  <c r="H50" i="7"/>
  <c r="D46" i="7"/>
  <c r="K37" i="7"/>
  <c r="I35" i="7"/>
  <c r="D34" i="7"/>
  <c r="L32" i="7"/>
  <c r="E31" i="7"/>
  <c r="P91" i="7"/>
  <c r="P77" i="7"/>
  <c r="C71" i="7"/>
  <c r="E64" i="7"/>
  <c r="H58" i="7"/>
  <c r="D54" i="7"/>
  <c r="K45" i="7"/>
  <c r="G41" i="7"/>
  <c r="C37" i="7"/>
  <c r="G35" i="7"/>
  <c r="J32" i="7"/>
  <c r="C31" i="7"/>
  <c r="K29" i="7"/>
  <c r="F28" i="7"/>
  <c r="M90" i="7"/>
  <c r="Q76" i="7"/>
  <c r="G70" i="7"/>
  <c r="I63" i="7"/>
  <c r="K53" i="7"/>
  <c r="G49" i="7"/>
  <c r="C45" i="7"/>
  <c r="J36" i="7"/>
  <c r="E35" i="7"/>
  <c r="M33" i="7"/>
  <c r="F32" i="7"/>
  <c r="P30" i="7"/>
  <c r="D83" i="7"/>
  <c r="F76" i="7"/>
  <c r="H69" i="7"/>
  <c r="J62" i="7"/>
  <c r="G57" i="7"/>
  <c r="C53" i="7"/>
  <c r="J44" i="7"/>
  <c r="F40" i="7"/>
  <c r="H36" i="7"/>
  <c r="P34" i="7"/>
  <c r="K33" i="7"/>
  <c r="D32" i="7"/>
  <c r="L30" i="7"/>
  <c r="G29" i="7"/>
  <c r="C89" i="7"/>
  <c r="E82" i="7"/>
  <c r="G75" i="7"/>
  <c r="I68" i="7"/>
  <c r="J52" i="7"/>
  <c r="F48" i="7"/>
  <c r="Q43" i="7"/>
  <c r="M39" i="7"/>
  <c r="F36" i="7"/>
  <c r="G33" i="7"/>
  <c r="Q31" i="7"/>
  <c r="J30" i="7"/>
  <c r="C29" i="7"/>
  <c r="D88" i="7"/>
  <c r="F81" i="7"/>
  <c r="K74" i="7"/>
  <c r="M67" i="7"/>
  <c r="F56" i="7"/>
  <c r="Q51" i="7"/>
  <c r="M47" i="7"/>
  <c r="I43" i="7"/>
  <c r="E39" i="7"/>
  <c r="Q35" i="7"/>
  <c r="L34" i="7"/>
  <c r="E33" i="7"/>
  <c r="M31" i="7"/>
  <c r="P28" i="7"/>
  <c r="H87" i="7"/>
  <c r="P42" i="7"/>
  <c r="J80" i="7"/>
  <c r="L38" i="7"/>
  <c r="L73" i="7"/>
  <c r="H34" i="7"/>
  <c r="D60" i="7"/>
  <c r="C33" i="7"/>
  <c r="M55" i="7"/>
  <c r="K31" i="7"/>
  <c r="I51" i="7"/>
  <c r="D30" i="7"/>
  <c r="E47" i="7"/>
  <c r="CY157" i="5"/>
  <c r="CZ157" i="5" s="1"/>
  <c r="CP157" i="5"/>
  <c r="CQ157" i="5" s="1"/>
  <c r="CW157" i="5"/>
  <c r="CV157" i="5"/>
  <c r="CU157" i="5"/>
  <c r="CS157" i="5"/>
  <c r="CT157" i="5" s="1"/>
  <c r="CS167" i="5"/>
  <c r="CT167" i="5" s="1"/>
  <c r="CY167" i="5"/>
  <c r="CZ167" i="5" s="1"/>
  <c r="CV167" i="5"/>
  <c r="CW167" i="5"/>
  <c r="CU167" i="5"/>
  <c r="CP167" i="5"/>
  <c r="CQ167" i="5" s="1"/>
  <c r="CY107" i="5"/>
  <c r="CZ107" i="5" s="1"/>
  <c r="CP107" i="5"/>
  <c r="CQ107" i="5" s="1"/>
  <c r="CW107" i="5"/>
  <c r="CV107" i="5"/>
  <c r="CU107" i="5"/>
  <c r="CT107" i="5"/>
  <c r="CS107" i="5"/>
  <c r="CU298" i="5"/>
  <c r="CV298" i="5" s="1"/>
  <c r="CS298" i="5"/>
  <c r="CT298" i="5" s="1"/>
  <c r="CP298" i="5"/>
  <c r="CQ298" i="5" s="1"/>
  <c r="CY298" i="5"/>
  <c r="CZ298" i="5" s="1"/>
  <c r="CW298" i="5"/>
  <c r="CO113" i="5"/>
  <c r="CN113" i="5"/>
  <c r="CR113" i="5"/>
  <c r="CS199" i="5"/>
  <c r="CT199" i="5" s="1"/>
  <c r="CY199" i="5"/>
  <c r="CZ199" i="5" s="1"/>
  <c r="CP199" i="5"/>
  <c r="CQ199" i="5" s="1"/>
  <c r="CW199" i="5"/>
  <c r="CV199" i="5"/>
  <c r="CU199" i="5"/>
  <c r="CY145" i="5"/>
  <c r="CZ145" i="5" s="1"/>
  <c r="CP145" i="5"/>
  <c r="CQ145" i="5" s="1"/>
  <c r="CW145" i="5"/>
  <c r="CV145" i="5"/>
  <c r="CU145" i="5"/>
  <c r="CT145" i="5"/>
  <c r="CS145" i="5"/>
  <c r="CS168" i="5"/>
  <c r="CY168" i="5"/>
  <c r="CZ168" i="5" s="1"/>
  <c r="CW168" i="5"/>
  <c r="CU168" i="5"/>
  <c r="CV168" i="5" s="1"/>
  <c r="CT168" i="5"/>
  <c r="CP168" i="5"/>
  <c r="CQ168" i="5" s="1"/>
  <c r="CR91" i="5"/>
  <c r="CO91" i="5"/>
  <c r="CN91" i="5"/>
  <c r="CR81" i="5"/>
  <c r="CO81" i="5"/>
  <c r="CN81" i="5"/>
  <c r="CL8" i="5"/>
  <c r="CM8" i="5" s="1"/>
  <c r="CW12" i="5"/>
  <c r="CT12" i="5"/>
  <c r="CS12" i="5"/>
  <c r="CY12" i="5"/>
  <c r="CZ12" i="5" s="1"/>
  <c r="CU12" i="5"/>
  <c r="CV12" i="5" s="1"/>
  <c r="CP12" i="5"/>
  <c r="CQ12" i="5" s="1"/>
  <c r="CS170" i="5"/>
  <c r="CY170" i="5"/>
  <c r="CZ170" i="5" s="1"/>
  <c r="CW170" i="5"/>
  <c r="CU170" i="5"/>
  <c r="CV170" i="5" s="1"/>
  <c r="CT170" i="5"/>
  <c r="CP170" i="5"/>
  <c r="CQ170" i="5" s="1"/>
  <c r="CU260" i="5"/>
  <c r="CV260" i="5" s="1"/>
  <c r="CP260" i="5"/>
  <c r="CQ260" i="5" s="1"/>
  <c r="CY260" i="5"/>
  <c r="CZ260" i="5" s="1"/>
  <c r="CW260" i="5"/>
  <c r="CT260" i="5"/>
  <c r="CS260" i="5"/>
  <c r="CS119" i="5"/>
  <c r="CT119" i="5" s="1"/>
  <c r="CP119" i="5"/>
  <c r="CQ119" i="5" s="1"/>
  <c r="CW119" i="5"/>
  <c r="CV119" i="5"/>
  <c r="CU119" i="5"/>
  <c r="CY119" i="5"/>
  <c r="CZ119" i="5" s="1"/>
  <c r="CS173" i="5"/>
  <c r="CT173" i="5" s="1"/>
  <c r="CY173" i="5"/>
  <c r="CZ173" i="5" s="1"/>
  <c r="CP173" i="5"/>
  <c r="CQ173" i="5" s="1"/>
  <c r="CU173" i="5"/>
  <c r="CV173" i="5" s="1"/>
  <c r="CW173" i="5"/>
  <c r="H98" i="8" l="1"/>
  <c r="H101" i="8" s="1"/>
  <c r="D98" i="8"/>
  <c r="D101" i="8"/>
  <c r="E98" i="8"/>
  <c r="E101" i="8" s="1"/>
  <c r="F102" i="8"/>
  <c r="F103" i="8" s="1"/>
  <c r="F105" i="8" s="1"/>
  <c r="C103" i="8"/>
  <c r="C105" i="8" s="1"/>
  <c r="C102" i="8"/>
  <c r="N121" i="7"/>
  <c r="O121" i="7"/>
  <c r="CP113" i="5"/>
  <c r="CQ113" i="5" s="1"/>
  <c r="CW113" i="5"/>
  <c r="CU113" i="5"/>
  <c r="CV113" i="5" s="1"/>
  <c r="CS113" i="5"/>
  <c r="CT113" i="5" s="1"/>
  <c r="CY113" i="5"/>
  <c r="CZ113" i="5" s="1"/>
  <c r="O66" i="7"/>
  <c r="N66" i="7"/>
  <c r="O40" i="7"/>
  <c r="N40" i="7"/>
  <c r="O46" i="7"/>
  <c r="N46" i="7"/>
  <c r="N70" i="7"/>
  <c r="O70" i="7"/>
  <c r="O143" i="7"/>
  <c r="N143" i="7"/>
  <c r="O67" i="7"/>
  <c r="N67" i="7"/>
  <c r="O132" i="7"/>
  <c r="N132" i="7"/>
  <c r="N139" i="7"/>
  <c r="O139" i="7"/>
  <c r="O104" i="7"/>
  <c r="N104" i="7"/>
  <c r="O110" i="7"/>
  <c r="N110" i="7"/>
  <c r="O133" i="7"/>
  <c r="N133" i="7"/>
  <c r="O100" i="7"/>
  <c r="N100" i="7"/>
  <c r="O156" i="7"/>
  <c r="N156" i="7"/>
  <c r="N167" i="7"/>
  <c r="O167" i="7"/>
  <c r="O170" i="7"/>
  <c r="N170" i="7"/>
  <c r="CL10" i="5"/>
  <c r="CM10" i="5" s="1"/>
  <c r="CU262" i="5"/>
  <c r="CV262" i="5" s="1"/>
  <c r="CP262" i="5"/>
  <c r="CQ262" i="5" s="1"/>
  <c r="CW262" i="5"/>
  <c r="CY262" i="5"/>
  <c r="CZ262" i="5" s="1"/>
  <c r="CT262" i="5"/>
  <c r="CS262" i="5"/>
  <c r="CY100" i="5"/>
  <c r="CZ100" i="5" s="1"/>
  <c r="CP100" i="5"/>
  <c r="CQ100" i="5" s="1"/>
  <c r="CW100" i="5"/>
  <c r="CV100" i="5"/>
  <c r="CU100" i="5"/>
  <c r="CT100" i="5"/>
  <c r="CS100" i="5"/>
  <c r="G138" i="6"/>
  <c r="CY77" i="5"/>
  <c r="CZ77" i="5" s="1"/>
  <c r="CP77" i="5"/>
  <c r="CQ77" i="5" s="1"/>
  <c r="CW77" i="5"/>
  <c r="CU77" i="5"/>
  <c r="CV77" i="5" s="1"/>
  <c r="CS77" i="5"/>
  <c r="CT77" i="5" s="1"/>
  <c r="C96" i="3"/>
  <c r="E41" i="4" s="1"/>
  <c r="N129" i="7"/>
  <c r="O129" i="7"/>
  <c r="O51" i="7"/>
  <c r="N51" i="7"/>
  <c r="N78" i="7"/>
  <c r="O78" i="7"/>
  <c r="O42" i="7"/>
  <c r="N42" i="7"/>
  <c r="N41" i="7"/>
  <c r="O41" i="7"/>
  <c r="O64" i="7"/>
  <c r="N64" i="7"/>
  <c r="O87" i="7"/>
  <c r="N87" i="7"/>
  <c r="O85" i="7"/>
  <c r="N85" i="7"/>
  <c r="O84" i="7"/>
  <c r="N84" i="7"/>
  <c r="N177" i="7"/>
  <c r="O177" i="7"/>
  <c r="O126" i="7"/>
  <c r="N126" i="7"/>
  <c r="N152" i="7"/>
  <c r="O152" i="7"/>
  <c r="O173" i="7"/>
  <c r="N173" i="7"/>
  <c r="O149" i="7"/>
  <c r="N149" i="7"/>
  <c r="E50" i="6"/>
  <c r="F50" i="6" s="1"/>
  <c r="CP5" i="5"/>
  <c r="CQ5" i="5" s="1"/>
  <c r="CU5" i="5"/>
  <c r="CW5" i="5"/>
  <c r="CV5" i="5"/>
  <c r="CS5" i="5"/>
  <c r="CT5" i="5" s="1"/>
  <c r="CY5" i="5"/>
  <c r="E96" i="6"/>
  <c r="F136" i="6"/>
  <c r="H136" i="6" s="1"/>
  <c r="G98" i="8"/>
  <c r="G101" i="8" s="1"/>
  <c r="CY82" i="5"/>
  <c r="CZ82" i="5" s="1"/>
  <c r="CP82" i="5"/>
  <c r="CQ82" i="5" s="1"/>
  <c r="CW82" i="5"/>
  <c r="CU82" i="5"/>
  <c r="CV82" i="5" s="1"/>
  <c r="CT82" i="5"/>
  <c r="CS82" i="5"/>
  <c r="CY90" i="5"/>
  <c r="CZ90" i="5" s="1"/>
  <c r="CP90" i="5"/>
  <c r="CQ90" i="5" s="1"/>
  <c r="CW90" i="5"/>
  <c r="CU90" i="5"/>
  <c r="CV90" i="5" s="1"/>
  <c r="CS90" i="5"/>
  <c r="CT90" i="5" s="1"/>
  <c r="CY85" i="5"/>
  <c r="CZ85" i="5" s="1"/>
  <c r="CP85" i="5"/>
  <c r="CQ85" i="5" s="1"/>
  <c r="CW85" i="5"/>
  <c r="CU85" i="5"/>
  <c r="CV85" i="5" s="1"/>
  <c r="CS85" i="5"/>
  <c r="CT85" i="5" s="1"/>
  <c r="CY106" i="5"/>
  <c r="CZ106" i="5" s="1"/>
  <c r="CP106" i="5"/>
  <c r="CQ106" i="5" s="1"/>
  <c r="CW106" i="5"/>
  <c r="CU106" i="5"/>
  <c r="CV106" i="5" s="1"/>
  <c r="CS106" i="5"/>
  <c r="CT106" i="5" s="1"/>
  <c r="CT115" i="5"/>
  <c r="CS115" i="5"/>
  <c r="CP115" i="5"/>
  <c r="CQ115" i="5" s="1"/>
  <c r="CW115" i="5"/>
  <c r="CU115" i="5"/>
  <c r="CV115" i="5" s="1"/>
  <c r="CY115" i="5"/>
  <c r="CZ115" i="5" s="1"/>
  <c r="F39" i="4"/>
  <c r="F40" i="4" s="1"/>
  <c r="F41" i="4" s="1"/>
  <c r="H39" i="4"/>
  <c r="O53" i="7"/>
  <c r="N53" i="7"/>
  <c r="O59" i="7"/>
  <c r="N59" i="7"/>
  <c r="N92" i="7"/>
  <c r="O92" i="7"/>
  <c r="N29" i="7"/>
  <c r="O29" i="7"/>
  <c r="CO8" i="5"/>
  <c r="CR8" i="5"/>
  <c r="CN8" i="5"/>
  <c r="E139" i="6"/>
  <c r="N33" i="7"/>
  <c r="O33" i="7"/>
  <c r="O45" i="7"/>
  <c r="N45" i="7"/>
  <c r="O36" i="7"/>
  <c r="N36" i="7"/>
  <c r="O79" i="7"/>
  <c r="N79" i="7"/>
  <c r="N107" i="7"/>
  <c r="O107" i="7"/>
  <c r="N62" i="7"/>
  <c r="O62" i="7"/>
  <c r="O56" i="7"/>
  <c r="N56" i="7"/>
  <c r="O39" i="7"/>
  <c r="N39" i="7"/>
  <c r="O88" i="7"/>
  <c r="N88" i="7"/>
  <c r="O61" i="7"/>
  <c r="N61" i="7"/>
  <c r="N60" i="7"/>
  <c r="O60" i="7"/>
  <c r="N83" i="7"/>
  <c r="O83" i="7"/>
  <c r="O101" i="7"/>
  <c r="N101" i="7"/>
  <c r="O98" i="7"/>
  <c r="N98" i="7"/>
  <c r="N97" i="7"/>
  <c r="O97" i="7"/>
  <c r="O135" i="7"/>
  <c r="N135" i="7"/>
  <c r="O128" i="7"/>
  <c r="N128" i="7"/>
  <c r="O116" i="7"/>
  <c r="N116" i="7"/>
  <c r="N169" i="7"/>
  <c r="O169" i="7"/>
  <c r="N138" i="7"/>
  <c r="O138" i="7"/>
  <c r="O175" i="7"/>
  <c r="N175" i="7"/>
  <c r="O154" i="7"/>
  <c r="N154" i="7"/>
  <c r="N150" i="7"/>
  <c r="O150" i="7"/>
  <c r="N155" i="7"/>
  <c r="O155" i="7"/>
  <c r="O172" i="7"/>
  <c r="N172" i="7"/>
  <c r="CY88" i="5"/>
  <c r="CZ88" i="5" s="1"/>
  <c r="CP88" i="5"/>
  <c r="CQ88" i="5" s="1"/>
  <c r="CW88" i="5"/>
  <c r="CV88" i="5"/>
  <c r="CU88" i="5"/>
  <c r="CS88" i="5"/>
  <c r="CT88" i="5" s="1"/>
  <c r="C7" i="6"/>
  <c r="CS213" i="5"/>
  <c r="CT213" i="5" s="1"/>
  <c r="CY213" i="5"/>
  <c r="CZ213" i="5" s="1"/>
  <c r="CP213" i="5"/>
  <c r="CQ213" i="5" s="1"/>
  <c r="CW213" i="5"/>
  <c r="CU213" i="5"/>
  <c r="CV213" i="5" s="1"/>
  <c r="CY78" i="5"/>
  <c r="CZ78" i="5" s="1"/>
  <c r="CP78" i="5"/>
  <c r="CQ78" i="5" s="1"/>
  <c r="CW78" i="5"/>
  <c r="CV78" i="5"/>
  <c r="CU78" i="5"/>
  <c r="CS78" i="5"/>
  <c r="CT78" i="5"/>
  <c r="CY74" i="5"/>
  <c r="CZ74" i="5" s="1"/>
  <c r="CP74" i="5"/>
  <c r="CQ74" i="5" s="1"/>
  <c r="CW74" i="5"/>
  <c r="CU74" i="5"/>
  <c r="CV74" i="5" s="1"/>
  <c r="CS74" i="5"/>
  <c r="CT74" i="5" s="1"/>
  <c r="CY93" i="5"/>
  <c r="CZ93" i="5" s="1"/>
  <c r="CP93" i="5"/>
  <c r="CQ93" i="5" s="1"/>
  <c r="CW93" i="5"/>
  <c r="CV93" i="5"/>
  <c r="CU93" i="5"/>
  <c r="CT93" i="5"/>
  <c r="CS93" i="5"/>
  <c r="CS114" i="5"/>
  <c r="CT114" i="5" s="1"/>
  <c r="CP114" i="5"/>
  <c r="CQ114" i="5" s="1"/>
  <c r="CW114" i="5"/>
  <c r="CV114" i="5"/>
  <c r="CU114" i="5"/>
  <c r="CY114" i="5"/>
  <c r="CZ114" i="5" s="1"/>
  <c r="O58" i="7"/>
  <c r="N58" i="7"/>
  <c r="N57" i="7"/>
  <c r="O57" i="7"/>
  <c r="O32" i="7"/>
  <c r="N32" i="7"/>
  <c r="N86" i="7"/>
  <c r="O86" i="7"/>
  <c r="O38" i="7"/>
  <c r="N38" i="7"/>
  <c r="O65" i="7"/>
  <c r="N65" i="7"/>
  <c r="N103" i="7"/>
  <c r="O103" i="7"/>
  <c r="N95" i="7"/>
  <c r="O95" i="7"/>
  <c r="N115" i="7"/>
  <c r="O115" i="7"/>
  <c r="O96" i="7"/>
  <c r="N96" i="7"/>
  <c r="O102" i="7"/>
  <c r="N102" i="7"/>
  <c r="O146" i="7"/>
  <c r="N146" i="7"/>
  <c r="O159" i="7"/>
  <c r="N159" i="7"/>
  <c r="O166" i="7"/>
  <c r="N166" i="7"/>
  <c r="CU110" i="5"/>
  <c r="CV110" i="5" s="1"/>
  <c r="CS110" i="5"/>
  <c r="CT110" i="5" s="1"/>
  <c r="CY110" i="5"/>
  <c r="CZ110" i="5" s="1"/>
  <c r="CP110" i="5"/>
  <c r="CQ110" i="5" s="1"/>
  <c r="CW110" i="5"/>
  <c r="C14" i="6"/>
  <c r="CY83" i="5"/>
  <c r="CZ83" i="5" s="1"/>
  <c r="CP83" i="5"/>
  <c r="CQ83" i="5" s="1"/>
  <c r="CW83" i="5"/>
  <c r="CV83" i="5"/>
  <c r="CU83" i="5"/>
  <c r="CS83" i="5"/>
  <c r="CT83" i="5" s="1"/>
  <c r="CY89" i="5"/>
  <c r="CZ89" i="5" s="1"/>
  <c r="CP89" i="5"/>
  <c r="CQ89" i="5" s="1"/>
  <c r="CW89" i="5"/>
  <c r="CU89" i="5"/>
  <c r="CV89" i="5" s="1"/>
  <c r="CT89" i="5"/>
  <c r="CS89" i="5"/>
  <c r="CY99" i="5"/>
  <c r="CZ99" i="5" s="1"/>
  <c r="CP99" i="5"/>
  <c r="CQ99" i="5" s="1"/>
  <c r="CW99" i="5"/>
  <c r="CV99" i="5"/>
  <c r="CU99" i="5"/>
  <c r="CT99" i="5"/>
  <c r="CS99" i="5"/>
  <c r="CS179" i="5"/>
  <c r="CY179" i="5"/>
  <c r="CZ179" i="5" s="1"/>
  <c r="CP179" i="5"/>
  <c r="CQ179" i="5" s="1"/>
  <c r="CW179" i="5"/>
  <c r="CV179" i="5"/>
  <c r="CU179" i="5"/>
  <c r="CT179" i="5"/>
  <c r="N49" i="7"/>
  <c r="O49" i="7"/>
  <c r="O30" i="7"/>
  <c r="N30" i="7"/>
  <c r="O31" i="7"/>
  <c r="N31" i="7"/>
  <c r="CY81" i="5"/>
  <c r="CZ81" i="5" s="1"/>
  <c r="CP81" i="5"/>
  <c r="CQ81" i="5" s="1"/>
  <c r="CW81" i="5"/>
  <c r="CU81" i="5"/>
  <c r="CV81" i="5" s="1"/>
  <c r="CT81" i="5"/>
  <c r="CS81" i="5"/>
  <c r="O71" i="7"/>
  <c r="N71" i="7"/>
  <c r="O52" i="7"/>
  <c r="N52" i="7"/>
  <c r="O72" i="7"/>
  <c r="N72" i="7"/>
  <c r="O43" i="7"/>
  <c r="N43" i="7"/>
  <c r="O73" i="7"/>
  <c r="N73" i="7"/>
  <c r="O34" i="7"/>
  <c r="N34" i="7"/>
  <c r="O80" i="7"/>
  <c r="N80" i="7"/>
  <c r="O63" i="7"/>
  <c r="N63" i="7"/>
  <c r="O55" i="7"/>
  <c r="N55" i="7"/>
  <c r="O82" i="7"/>
  <c r="N82" i="7"/>
  <c r="O77" i="7"/>
  <c r="N77" i="7"/>
  <c r="O76" i="7"/>
  <c r="N76" i="7"/>
  <c r="O114" i="7"/>
  <c r="N114" i="7"/>
  <c r="N113" i="7"/>
  <c r="O113" i="7"/>
  <c r="O145" i="7"/>
  <c r="N145" i="7"/>
  <c r="O151" i="7"/>
  <c r="N151" i="7"/>
  <c r="O148" i="7"/>
  <c r="N148" i="7"/>
  <c r="N118" i="7"/>
  <c r="O118" i="7"/>
  <c r="N144" i="7"/>
  <c r="O144" i="7"/>
  <c r="O141" i="7"/>
  <c r="N141" i="7"/>
  <c r="CY84" i="5"/>
  <c r="CZ84" i="5" s="1"/>
  <c r="CP84" i="5"/>
  <c r="CQ84" i="5" s="1"/>
  <c r="CW84" i="5"/>
  <c r="CV84" i="5"/>
  <c r="CU84" i="5"/>
  <c r="CS84" i="5"/>
  <c r="CT84" i="5" s="1"/>
  <c r="C15" i="7"/>
  <c r="CY109" i="5"/>
  <c r="CZ109" i="5" s="1"/>
  <c r="CP109" i="5"/>
  <c r="CQ109" i="5" s="1"/>
  <c r="CW109" i="5"/>
  <c r="CV109" i="5"/>
  <c r="CU109" i="5"/>
  <c r="CS109" i="5"/>
  <c r="CT109" i="5" s="1"/>
  <c r="F32" i="6"/>
  <c r="CP7" i="5"/>
  <c r="CQ7" i="5" s="1"/>
  <c r="CW7" i="5"/>
  <c r="CU7" i="5"/>
  <c r="CV7" i="5" s="1"/>
  <c r="CS7" i="5"/>
  <c r="CT7" i="5" s="1"/>
  <c r="CY7" i="5"/>
  <c r="CZ7" i="5" s="1"/>
  <c r="F138" i="6"/>
  <c r="H138" i="6" s="1"/>
  <c r="CY94" i="5"/>
  <c r="CZ94" i="5" s="1"/>
  <c r="CP94" i="5"/>
  <c r="CQ94" i="5" s="1"/>
  <c r="CW94" i="5"/>
  <c r="CV94" i="5"/>
  <c r="CU94" i="5"/>
  <c r="CS94" i="5"/>
  <c r="CT94" i="5" s="1"/>
  <c r="CS123" i="5"/>
  <c r="CT123" i="5" s="1"/>
  <c r="CP123" i="5"/>
  <c r="CQ123" i="5" s="1"/>
  <c r="CW123" i="5"/>
  <c r="CV123" i="5"/>
  <c r="CU123" i="5"/>
  <c r="CY123" i="5"/>
  <c r="CZ123" i="5" s="1"/>
  <c r="CY280" i="5"/>
  <c r="CZ280" i="5" s="1"/>
  <c r="CP280" i="5"/>
  <c r="CQ280" i="5" s="1"/>
  <c r="CW280" i="5"/>
  <c r="CU280" i="5"/>
  <c r="CV280" i="5" s="1"/>
  <c r="CT280" i="5"/>
  <c r="CS280" i="5"/>
  <c r="O50" i="7"/>
  <c r="N50" i="7"/>
  <c r="O89" i="7"/>
  <c r="N89" i="7"/>
  <c r="O28" i="7"/>
  <c r="N28" i="7"/>
  <c r="O74" i="7"/>
  <c r="N74" i="7"/>
  <c r="O48" i="7"/>
  <c r="N48" i="7"/>
  <c r="O54" i="7"/>
  <c r="N54" i="7"/>
  <c r="O124" i="7"/>
  <c r="N124" i="7"/>
  <c r="O75" i="7"/>
  <c r="N75" i="7"/>
  <c r="O109" i="7"/>
  <c r="N109" i="7"/>
  <c r="O94" i="7"/>
  <c r="N94" i="7"/>
  <c r="O127" i="7"/>
  <c r="N127" i="7"/>
  <c r="O140" i="7"/>
  <c r="N140" i="7"/>
  <c r="O112" i="7"/>
  <c r="N112" i="7"/>
  <c r="O123" i="7"/>
  <c r="N123" i="7"/>
  <c r="O120" i="7"/>
  <c r="N120" i="7"/>
  <c r="O165" i="7"/>
  <c r="N165" i="7"/>
  <c r="O122" i="7"/>
  <c r="N122" i="7"/>
  <c r="O108" i="7"/>
  <c r="N108" i="7"/>
  <c r="O153" i="7"/>
  <c r="N153" i="7"/>
  <c r="N147" i="7"/>
  <c r="O147" i="7"/>
  <c r="O168" i="7"/>
  <c r="N168" i="7"/>
  <c r="O164" i="7"/>
  <c r="N164" i="7"/>
  <c r="C16" i="7"/>
  <c r="E28" i="6"/>
  <c r="G28" i="6" s="1"/>
  <c r="CV125" i="5"/>
  <c r="CW125" i="5"/>
  <c r="CU125" i="5"/>
  <c r="CS125" i="5"/>
  <c r="CT125" i="5" s="1"/>
  <c r="CP125" i="5"/>
  <c r="CQ125" i="5" s="1"/>
  <c r="CY125" i="5"/>
  <c r="CZ125" i="5" s="1"/>
  <c r="CP112" i="5"/>
  <c r="CQ112" i="5" s="1"/>
  <c r="CW112" i="5"/>
  <c r="CU112" i="5"/>
  <c r="CY112" i="5"/>
  <c r="CZ112" i="5" s="1"/>
  <c r="CV112" i="5"/>
  <c r="CS112" i="5"/>
  <c r="CT112" i="5" s="1"/>
  <c r="CY104" i="5"/>
  <c r="CZ104" i="5" s="1"/>
  <c r="CP104" i="5"/>
  <c r="CQ104" i="5" s="1"/>
  <c r="CW104" i="5"/>
  <c r="CU104" i="5"/>
  <c r="CV104" i="5" s="1"/>
  <c r="CS104" i="5"/>
  <c r="CT104" i="5" s="1"/>
  <c r="CY73" i="5"/>
  <c r="CZ73" i="5" s="1"/>
  <c r="CP73" i="5"/>
  <c r="CQ73" i="5" s="1"/>
  <c r="CW73" i="5"/>
  <c r="CV73" i="5"/>
  <c r="CU73" i="5"/>
  <c r="CS73" i="5"/>
  <c r="CT73" i="5"/>
  <c r="E27" i="6"/>
  <c r="G27" i="6" s="1"/>
  <c r="CR9" i="5"/>
  <c r="CN9" i="5"/>
  <c r="CO9" i="5"/>
  <c r="E140" i="6"/>
  <c r="O119" i="7"/>
  <c r="N119" i="7"/>
  <c r="N136" i="7"/>
  <c r="O136" i="7"/>
  <c r="N158" i="7"/>
  <c r="O158" i="7"/>
  <c r="O176" i="7"/>
  <c r="N176" i="7"/>
  <c r="N142" i="7"/>
  <c r="O142" i="7"/>
  <c r="O161" i="7"/>
  <c r="N161" i="7"/>
  <c r="N134" i="7"/>
  <c r="O134" i="7"/>
  <c r="N162" i="7"/>
  <c r="O162" i="7"/>
  <c r="N160" i="7"/>
  <c r="O160" i="7"/>
  <c r="N157" i="7"/>
  <c r="O157" i="7"/>
  <c r="N174" i="7"/>
  <c r="O174" i="7"/>
  <c r="CY214" i="5"/>
  <c r="CZ214" i="5" s="1"/>
  <c r="CU214" i="5"/>
  <c r="CS214" i="5"/>
  <c r="CT214" i="5" s="1"/>
  <c r="CP214" i="5"/>
  <c r="CQ214" i="5" s="1"/>
  <c r="CW214" i="5"/>
  <c r="CV214" i="5"/>
  <c r="C17" i="7"/>
  <c r="I136" i="6"/>
  <c r="G136" i="6"/>
  <c r="E29" i="6"/>
  <c r="G29" i="6" s="1"/>
  <c r="CO6" i="5"/>
  <c r="CR6" i="5"/>
  <c r="CN6" i="5"/>
  <c r="E137" i="6"/>
  <c r="CU259" i="5"/>
  <c r="CP259" i="5"/>
  <c r="CQ259" i="5" s="1"/>
  <c r="CS259" i="5"/>
  <c r="CT259" i="5" s="1"/>
  <c r="CY259" i="5"/>
  <c r="CZ259" i="5" s="1"/>
  <c r="CW259" i="5"/>
  <c r="CV259" i="5"/>
  <c r="CS178" i="5"/>
  <c r="CT178" i="5" s="1"/>
  <c r="CY178" i="5"/>
  <c r="CZ178" i="5" s="1"/>
  <c r="CP178" i="5"/>
  <c r="CQ178" i="5" s="1"/>
  <c r="CW178" i="5"/>
  <c r="CU178" i="5"/>
  <c r="CV178" i="5" s="1"/>
  <c r="CY288" i="5"/>
  <c r="CZ288" i="5" s="1"/>
  <c r="CP288" i="5"/>
  <c r="CQ288" i="5" s="1"/>
  <c r="CW288" i="5"/>
  <c r="CV288" i="5"/>
  <c r="CU288" i="5"/>
  <c r="CS288" i="5"/>
  <c r="CT288" i="5" s="1"/>
  <c r="CU289" i="5"/>
  <c r="CV289" i="5" s="1"/>
  <c r="CS289" i="5"/>
  <c r="CT289" i="5" s="1"/>
  <c r="CY289" i="5"/>
  <c r="CZ289" i="5" s="1"/>
  <c r="CP289" i="5"/>
  <c r="CQ289" i="5" s="1"/>
  <c r="CW289" i="5"/>
  <c r="CW130" i="5"/>
  <c r="CU130" i="5"/>
  <c r="CV130" i="5" s="1"/>
  <c r="CT130" i="5"/>
  <c r="CS130" i="5"/>
  <c r="CP130" i="5"/>
  <c r="CQ130" i="5" s="1"/>
  <c r="CY130" i="5"/>
  <c r="CZ130" i="5" s="1"/>
  <c r="O37" i="7"/>
  <c r="N37" i="7"/>
  <c r="O81" i="7"/>
  <c r="N81" i="7"/>
  <c r="O137" i="7"/>
  <c r="N137" i="7"/>
  <c r="N125" i="7"/>
  <c r="O125" i="7"/>
  <c r="CY91" i="5"/>
  <c r="CZ91" i="5" s="1"/>
  <c r="CP91" i="5"/>
  <c r="CQ91" i="5" s="1"/>
  <c r="CW91" i="5"/>
  <c r="CU91" i="5"/>
  <c r="CV91" i="5" s="1"/>
  <c r="CS91" i="5"/>
  <c r="CT91" i="5" s="1"/>
  <c r="O44" i="7"/>
  <c r="N44" i="7"/>
  <c r="O90" i="7"/>
  <c r="N90" i="7"/>
  <c r="N35" i="7"/>
  <c r="O35" i="7"/>
  <c r="O47" i="7"/>
  <c r="N47" i="7"/>
  <c r="O93" i="7"/>
  <c r="N93" i="7"/>
  <c r="O69" i="7"/>
  <c r="N69" i="7"/>
  <c r="O68" i="7"/>
  <c r="N68" i="7"/>
  <c r="N91" i="7"/>
  <c r="O91" i="7"/>
  <c r="N99" i="7"/>
  <c r="O99" i="7"/>
  <c r="N111" i="7"/>
  <c r="O111" i="7"/>
  <c r="O117" i="7"/>
  <c r="N117" i="7"/>
  <c r="O106" i="7"/>
  <c r="N106" i="7"/>
  <c r="N105" i="7"/>
  <c r="O105" i="7"/>
  <c r="O130" i="7"/>
  <c r="N130" i="7"/>
  <c r="N131" i="7"/>
  <c r="O131" i="7"/>
  <c r="Q124" i="7"/>
  <c r="F129" i="7"/>
  <c r="K134" i="7"/>
  <c r="P139" i="7"/>
  <c r="J147" i="7"/>
  <c r="E155" i="7"/>
  <c r="P162" i="7"/>
  <c r="I174" i="7"/>
  <c r="H141" i="7"/>
  <c r="L145" i="7"/>
  <c r="Q150" i="7"/>
  <c r="F155" i="7"/>
  <c r="K160" i="7"/>
  <c r="I166" i="7"/>
  <c r="M171" i="7"/>
  <c r="H138" i="7"/>
  <c r="L142" i="7"/>
  <c r="Q147" i="7"/>
  <c r="F152" i="7"/>
  <c r="K157" i="7"/>
  <c r="C163" i="7"/>
  <c r="J168" i="7"/>
  <c r="J175" i="7"/>
  <c r="G143" i="7"/>
  <c r="D148" i="7"/>
  <c r="I153" i="7"/>
  <c r="M157" i="7"/>
  <c r="E163" i="7"/>
  <c r="F169" i="7"/>
  <c r="L175" i="7"/>
  <c r="D165" i="7"/>
  <c r="I170" i="7"/>
  <c r="M174" i="7"/>
  <c r="C171" i="7"/>
  <c r="CY105" i="5"/>
  <c r="CZ105" i="5" s="1"/>
  <c r="CP105" i="5"/>
  <c r="CQ105" i="5" s="1"/>
  <c r="CW105" i="5"/>
  <c r="CU105" i="5"/>
  <c r="CV105" i="5" s="1"/>
  <c r="CT105" i="5"/>
  <c r="CS105" i="5"/>
  <c r="CU256" i="5"/>
  <c r="CV256" i="5" s="1"/>
  <c r="CP256" i="5"/>
  <c r="CQ256" i="5" s="1"/>
  <c r="CY256" i="5"/>
  <c r="CZ256" i="5" s="1"/>
  <c r="CW256" i="5"/>
  <c r="CS256" i="5"/>
  <c r="CT256" i="5" s="1"/>
  <c r="CS189" i="5"/>
  <c r="CT189" i="5" s="1"/>
  <c r="CY189" i="5"/>
  <c r="CZ189" i="5" s="1"/>
  <c r="CP189" i="5"/>
  <c r="CQ189" i="5" s="1"/>
  <c r="CW189" i="5"/>
  <c r="CU189" i="5"/>
  <c r="CV189" i="5" s="1"/>
  <c r="CY95" i="5"/>
  <c r="CZ95" i="5" s="1"/>
  <c r="CP95" i="5"/>
  <c r="CQ95" i="5" s="1"/>
  <c r="CW95" i="5"/>
  <c r="CV95" i="5"/>
  <c r="CU95" i="5"/>
  <c r="CS95" i="5"/>
  <c r="CT95" i="5" s="1"/>
  <c r="H43" i="4"/>
  <c r="H102" i="8" l="1"/>
  <c r="H103" i="8"/>
  <c r="H105" i="8" s="1"/>
  <c r="G102" i="8"/>
  <c r="G103" i="8" s="1"/>
  <c r="G105" i="8" s="1"/>
  <c r="F107" i="8"/>
  <c r="F108" i="8" s="1"/>
  <c r="F106" i="8"/>
  <c r="E102" i="8"/>
  <c r="E103" i="8" s="1"/>
  <c r="E105" i="8" s="1"/>
  <c r="G137" i="6"/>
  <c r="O171" i="7"/>
  <c r="N171" i="7"/>
  <c r="CY8" i="5"/>
  <c r="CP8" i="5"/>
  <c r="CQ8" i="5" s="1"/>
  <c r="CW8" i="5"/>
  <c r="CS8" i="5"/>
  <c r="CT8" i="5" s="1"/>
  <c r="CU8" i="5"/>
  <c r="CV8" i="5" s="1"/>
  <c r="E107" i="6"/>
  <c r="F139" i="6"/>
  <c r="H139" i="6" s="1"/>
  <c r="E69" i="6"/>
  <c r="F69" i="6" s="1"/>
  <c r="CZ5" i="5"/>
  <c r="H41" i="4"/>
  <c r="D102" i="8"/>
  <c r="D103" i="8" s="1"/>
  <c r="D105" i="8" s="1"/>
  <c r="N163" i="7"/>
  <c r="O163" i="7"/>
  <c r="F29" i="6"/>
  <c r="E43" i="6"/>
  <c r="F43" i="6" s="1"/>
  <c r="CP6" i="5"/>
  <c r="CQ6" i="5" s="1"/>
  <c r="CW6" i="5"/>
  <c r="CV6" i="5"/>
  <c r="CU6" i="5"/>
  <c r="CS6" i="5"/>
  <c r="CT6" i="5" s="1"/>
  <c r="CY6" i="5"/>
  <c r="F137" i="6"/>
  <c r="H137" i="6" s="1"/>
  <c r="E101" i="6"/>
  <c r="C21" i="7"/>
  <c r="G139" i="6"/>
  <c r="F28" i="6"/>
  <c r="C97" i="3"/>
  <c r="CY9" i="5"/>
  <c r="CZ9" i="5" s="1"/>
  <c r="CW9" i="5"/>
  <c r="CU9" i="5"/>
  <c r="CV9" i="5" s="1"/>
  <c r="CT9" i="5"/>
  <c r="CS9" i="5"/>
  <c r="CP9" i="5"/>
  <c r="CQ9" i="5" s="1"/>
  <c r="E97" i="6"/>
  <c r="F140" i="6"/>
  <c r="H140" i="6" s="1"/>
  <c r="E80" i="6"/>
  <c r="F80" i="6" s="1"/>
  <c r="F27" i="6"/>
  <c r="C8" i="6"/>
  <c r="I138" i="6"/>
  <c r="CO10" i="5"/>
  <c r="CR10" i="5"/>
  <c r="CN10" i="5"/>
  <c r="E36" i="6"/>
  <c r="G36" i="6" s="1"/>
  <c r="E141" i="6"/>
  <c r="I140" i="6"/>
  <c r="G140" i="6"/>
  <c r="C15" i="6"/>
  <c r="C107" i="8"/>
  <c r="C108" i="8"/>
  <c r="C106" i="8"/>
  <c r="D106" i="8" l="1"/>
  <c r="D107" i="8"/>
  <c r="D108" i="8" s="1"/>
  <c r="E107" i="8"/>
  <c r="E108" i="8" s="1"/>
  <c r="E106" i="8"/>
  <c r="F121" i="8"/>
  <c r="F117" i="8"/>
  <c r="F119" i="8"/>
  <c r="F113" i="8"/>
  <c r="F114" i="8" s="1"/>
  <c r="F109" i="8"/>
  <c r="F110" i="8" s="1"/>
  <c r="F118" i="8"/>
  <c r="G106" i="8"/>
  <c r="G108" i="8"/>
  <c r="G107" i="8"/>
  <c r="C13" i="6"/>
  <c r="I141" i="6"/>
  <c r="G141" i="6"/>
  <c r="E45" i="6"/>
  <c r="F45" i="6" s="1"/>
  <c r="F36" i="6"/>
  <c r="CW10" i="5"/>
  <c r="CT10" i="5"/>
  <c r="C10" i="6" s="1"/>
  <c r="CS10" i="5"/>
  <c r="C9" i="6" s="1"/>
  <c r="CY10" i="5"/>
  <c r="C123" i="6" s="1"/>
  <c r="CV10" i="5"/>
  <c r="C12" i="6" s="1"/>
  <c r="CU10" i="5"/>
  <c r="C11" i="6" s="1"/>
  <c r="CP10" i="5"/>
  <c r="CQ10" i="5" s="1"/>
  <c r="E102" i="6"/>
  <c r="F141" i="6"/>
  <c r="H141" i="6" s="1"/>
  <c r="C117" i="8"/>
  <c r="C118" i="8"/>
  <c r="C119" i="8"/>
  <c r="C113" i="8"/>
  <c r="C114" i="8" s="1"/>
  <c r="C109" i="8"/>
  <c r="C110" i="8" s="1"/>
  <c r="C98" i="3"/>
  <c r="E42" i="4" s="1"/>
  <c r="I139" i="6"/>
  <c r="I137" i="6"/>
  <c r="C16" i="6"/>
  <c r="C119" i="6"/>
  <c r="C122" i="6"/>
  <c r="C17" i="6"/>
  <c r="CZ8" i="5"/>
  <c r="I29" i="7" s="1"/>
  <c r="H29" i="7"/>
  <c r="CZ6" i="5"/>
  <c r="I28" i="7" s="1"/>
  <c r="H28" i="7"/>
  <c r="H108" i="8"/>
  <c r="H106" i="8"/>
  <c r="H107" i="8"/>
  <c r="D118" i="8" l="1"/>
  <c r="D119" i="8"/>
  <c r="D113" i="8"/>
  <c r="D114" i="8" s="1"/>
  <c r="D109" i="8"/>
  <c r="D110" i="8" s="1"/>
  <c r="D117" i="8"/>
  <c r="D120" i="8" s="1"/>
  <c r="E118" i="8"/>
  <c r="E119" i="8"/>
  <c r="E113" i="8"/>
  <c r="E109" i="8"/>
  <c r="E110" i="8" s="1"/>
  <c r="E117" i="8"/>
  <c r="E114" i="8"/>
  <c r="H118" i="8"/>
  <c r="H114" i="8"/>
  <c r="H117" i="8"/>
  <c r="H119" i="8"/>
  <c r="H113" i="8"/>
  <c r="H109" i="8"/>
  <c r="H110" i="8" s="1"/>
  <c r="E117" i="6"/>
  <c r="C120" i="8"/>
  <c r="CZ10" i="5"/>
  <c r="C120" i="6" s="1"/>
  <c r="H30" i="7"/>
  <c r="C20" i="7"/>
  <c r="C124" i="6"/>
  <c r="H42" i="4"/>
  <c r="F42" i="4"/>
  <c r="F43" i="4" s="1"/>
  <c r="C121" i="8"/>
  <c r="F120" i="8"/>
  <c r="C101" i="3"/>
  <c r="C126" i="6"/>
  <c r="G119" i="8"/>
  <c r="G113" i="8"/>
  <c r="G109" i="8"/>
  <c r="G110" i="8" s="1"/>
  <c r="G114" i="8"/>
  <c r="G121" i="8"/>
  <c r="G117" i="8"/>
  <c r="G118" i="8"/>
  <c r="C19" i="7"/>
  <c r="C114" i="6" l="1"/>
  <c r="D114" i="6" s="1"/>
  <c r="C121" i="6"/>
  <c r="C116" i="6"/>
  <c r="D116" i="6" s="1"/>
  <c r="D121" i="8"/>
  <c r="G116" i="6"/>
  <c r="C115" i="6"/>
  <c r="D115" i="6" s="1"/>
  <c r="E120" i="8"/>
  <c r="F117" i="6"/>
  <c r="E114" i="6"/>
  <c r="E121" i="8"/>
  <c r="F44" i="4"/>
  <c r="E116" i="6"/>
  <c r="C102" i="3"/>
  <c r="E44" i="4" s="1"/>
  <c r="G115" i="6"/>
  <c r="I30" i="7"/>
  <c r="G114" i="6"/>
  <c r="E115" i="6"/>
  <c r="C117" i="6"/>
  <c r="D117" i="6" s="1"/>
  <c r="G120" i="8"/>
  <c r="G117" i="6"/>
  <c r="H117" i="6" s="1"/>
  <c r="C22" i="7"/>
  <c r="H120" i="8"/>
  <c r="C127" i="6"/>
  <c r="H121" i="8"/>
  <c r="F115" i="6" l="1"/>
  <c r="H115" i="6"/>
  <c r="C103" i="3"/>
  <c r="H44" i="4"/>
  <c r="H116" i="6"/>
  <c r="F116" i="6"/>
  <c r="H114" i="6"/>
  <c r="F114" i="6"/>
  <c r="C105" i="3" l="1"/>
  <c r="F29" i="2"/>
  <c r="E29" i="2"/>
  <c r="F30" i="2" l="1"/>
  <c r="C108" i="3"/>
  <c r="C107" i="3"/>
  <c r="F47" i="4" s="1"/>
  <c r="E45" i="4"/>
  <c r="C106" i="3"/>
  <c r="G40" i="4"/>
  <c r="G43" i="4"/>
  <c r="G39" i="4"/>
  <c r="E64" i="4"/>
  <c r="F64" i="4" s="1"/>
  <c r="G41" i="4"/>
  <c r="G42" i="4"/>
  <c r="G44" i="4"/>
  <c r="E30" i="2" l="1"/>
  <c r="H46" i="4"/>
  <c r="G45" i="4"/>
  <c r="G46" i="4" s="1"/>
  <c r="H45" i="4"/>
  <c r="F45" i="4"/>
  <c r="F46" i="4" s="1"/>
  <c r="C113" i="3"/>
  <c r="F51" i="4" s="1"/>
  <c r="F31" i="2"/>
  <c r="F48" i="4"/>
  <c r="C119" i="3"/>
  <c r="C109" i="3"/>
  <c r="C118" i="3"/>
  <c r="C117" i="3"/>
  <c r="C120" i="3" s="1"/>
  <c r="C110" i="3" l="1"/>
  <c r="E32" i="2" s="1"/>
  <c r="E31" i="2"/>
  <c r="C114" i="3"/>
  <c r="F52" i="4" s="1"/>
  <c r="C121" i="3"/>
</calcChain>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<sst xmlns="http://schemas.openxmlformats.org/spreadsheetml/2006/main" count="5752" uniqueCount="2886">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</sst>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Aurelio Vasquez</t>
        </is>
      </c>
      <c r="D5" s="38" t="s">
        <v>154</v>
      </c>
    </row>
    <row r="6" spans="2:4" x14ac:dyDescent="0.25">
      <c r="B6" s="36" t="s">
        <v>155</v>
      </c>
      <c r="C6" s="39">
        <v>45927</v>
      </c>
      <c r="D6" s="38" t="s">
        <v>156</v>
      </c>
    </row>
    <row r="7" spans="2:4" x14ac:dyDescent="0.25">
      <c r="B7" s="36" t="s">
        <v>157</v>
      </c>
      <c r="C7" s="37">
        <v>2024</v>
      </c>
      <c r="D7" s="38" t="s">
        <v>158</v>
      </c>
    </row>
    <row r="8" spans="2:4" x14ac:dyDescent="0.25">
      <c r="B8" s="36" t="s">
        <v>159</v>
      </c>
      <c r="C8" s="37" t="inlineStr">
        <is>
          <t xml:space="preserve">Aston Martin</t>
        </is>
      </c>
      <c r="D8" s="38" t="s">
        <v>161</v>
      </c>
    </row>
    <row r="9" spans="2:4" x14ac:dyDescent="0.25">
      <c r="B9" s="36" t="s">
        <v>162</v>
      </c>
      <c r="C9" s="37" t="inlineStr">
        <is>
          <t xml:space="preserve">DB12</t>
        </is>
      </c>
      <c r="D9" s="38" t="s">
        <v>164</v>
      </c>
    </row>
    <row r="10" spans="2:4" x14ac:dyDescent="0.25">
      <c r="B10" s="36" t="s">
        <v>165</v>
      </c>
      <c r="C10" s="37" t="inlineStr">
        <is>
          <t xml:space="preserve">02 - Sports / GT</t>
        </is>
      </c>
      <c r="D10" s="38" t="s">
        <v>167</v>
      </c>
    </row>
    <row r="11" spans="2:4" ht="24" x14ac:dyDescent="0.25">
      <c r="B11" s="36" t="s">
        <v>168</v>
      </c>
      <c r="C11" s="40">
        <v>475000</v>
      </c>
      <c r="D11" s="38" t="s">
        <v>169</v>
      </c>
    </row>
    <row r="12" spans="2:4" x14ac:dyDescent="0.25">
      <c r="B12" s="36" t="s">
        <v>170</v>
      </c>
      <c r="C12" s="37" t="inlineStr">
        <is>
          <t xml:space="preserve">California</t>
        </is>
      </c>
      <c r="D12" s="38" t="s">
        <v>172</v>
      </c>
    </row>
    <row r="13" spans="2:4" x14ac:dyDescent="0.25">
      <c r="B13" s="36" t="s">
        <v>173</v>
      </c>
      <c r="C13" s="37" t="inlineStr">
        <is>
          <t xml:space="preserve">90210</t>
        </is>
      </c>
      <c r="D13" s="41" t="s">
        <v>175</v>
      </c>
    </row>
    <row r="14" spans="2:4" x14ac:dyDescent="0.25">
      <c r="B14" s="36" t="s">
        <v>176</v>
      </c>
      <c r="C14" s="37" t="inlineStr">
        <is>
          <t xml:space="preserve">Personal</t>
        </is>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inlineStr">
        <is>
          <t xml:space="preserve">Locked private garage w/ monitored alarm</t>
        </is>
      </c>
      <c r="D17" s="38" t="s">
        <v>187</v>
      </c>
    </row>
    <row r="18" spans="2:4" x14ac:dyDescent="0.25">
      <c r="B18" s="36" t="s">
        <v>188</v>
      </c>
      <c r="C18" s="37" t="inlineStr">
        <is>
          <t xml:space="preserve">GPS tracker w/ recovery service</t>
        </is>
      </c>
      <c r="D18" s="38" t="s">
        <v>190</v>
      </c>
    </row>
    <row r="19" spans="2:4" x14ac:dyDescent="0.25">
      <c r="B19" s="36" t="s">
        <v>191</v>
      </c>
      <c r="C19" s="37" t="inlineStr">
        <is>
          <t xml:space="preserve">55 - 64</t>
        </is>
      </c>
      <c r="D19" s="38" t="s">
        <v>193</v>
      </c>
    </row>
    <row r="20" spans="2:4" x14ac:dyDescent="0.25">
      <c r="B20" s="36" t="s">
        <v>194</v>
      </c>
      <c r="C20" s="37" t="inlineStr">
        <is>
          <t xml:space="preserve">5 - 10 years</t>
        </is>
      </c>
      <c r="D20" s="38" t="s">
        <v>196</v>
      </c>
    </row>
    <row r="21" spans="2:4" x14ac:dyDescent="0.25">
      <c r="B21" s="36" t="s">
        <v>197</v>
      </c>
      <c r="C21" s="37" t="inlineStr">
        <is>
          <t xml:space="preserve">Clean - no violations 3 yrs</t>
        </is>
      </c>
      <c r="D21" s="38" t="s">
        <v>199</v>
      </c>
    </row>
    <row r="22" spans="2:4" x14ac:dyDescent="0.25">
      <c r="B22" s="36" t="s">
        <v>200</v>
      </c>
      <c r="C22" s="37" t="inlineStr">
        <is>
          <t xml:space="preserve">No at-fault claims - 5 yrs</t>
        </is>
      </c>
      <c r="D22" s="38" t="s">
        <v>202</v>
      </c>
    </row>
    <row r="23" spans="2:4" x14ac:dyDescent="0.25">
      <c r="B23" s="36" t="s">
        <v>203</v>
      </c>
      <c r="C23" s="37" t="inlineStr">
        <is>
          <t xml:space="preserve">7 - 10 vehicles</t>
        </is>
      </c>
      <c r="D23" s="38" t="s">
        <v>205</v>
      </c>
    </row>
    <row r="24" spans="2:4" x14ac:dyDescent="0.25">
      <c r="B24" s="36" t="s">
        <v>206</v>
      </c>
      <c r="C24" s="37" t="inlineStr">
        <is>
          <t xml:space="preserve">$2,500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Los Angeles - Long Beach, CA</t>
        </is>
      </c>
      <c r="D27" s="38" t="s">
        <v>216</v>
      </c>
    </row>
    <row r="28" spans="2:4" x14ac:dyDescent="0.25">
      <c r="B28" s="36" t="s">
        <v>217</v>
      </c>
      <c r="C28" s="37" t="inlineStr">
        <is>
          <t xml:space="preserve">2% of agreed value, minimum $10,000</t>
        </is>
      </c>
      <c r="D28" s="38" t="s">
        <v>219</v>
      </c>
    </row>
    <row r="29" spans="2:4" x14ac:dyDescent="0.25">
      <c r="B29" s="42" t="s">
        <v>220</v>
      </c>
      <c r="C29" s="37" t="s">
        <v>221</v>
      </c>
      <c r="D29" s="38" t="s">
        <v>222</v>
      </c>
    </row>
    <row r="30" spans="2:4" x14ac:dyDescent="0.25">
      <c r="B30" s="36" t="s">
        <v>223</v>
      </c>
      <c r="C30" s="37" t="s">
        <v>224</v>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v>902</v>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v>Wildfire - moderate hazard</v>
      </c>
      <c r="D48" s="38" t="s">
        <v>256</v>
      </c>
    </row>
    <row r="49" spans="2:4" x14ac:dyDescent="0.25">
      <c r="B49" s="36" t="s">
        <v>257</v>
      </c>
      <c r="C49" s="44" t="str">
        <f>IF(C43&lt;&gt;"","Manual underwriter override",IF(ISNUMBER(MATCH(C47,'Cat Zone by ZIP'!$B$6:$B$856,0)),"ZIP-3 prefix "&amp;C47&amp;" mapped","State default for "&amp;C12))</f>
        <v>ZIP-3 prefix 902 mapped</v>
      </c>
      <c r="D49" s="38" t="s">
        <v>258</v>
      </c>
    </row>
    <row r="50" spans="2:4" ht="39" x14ac:dyDescent="0.25">
      <c r="B50" s="36" t="s">
        <v>259</v>
      </c>
      <c r="C50" s="44" t="str">
        <f>INDEX('Natural Catastrophe'!$C$6:$C$17,MATCH(C48,'Natural Catastrophe'!$B$6:$B$17,0))</f>
        <v>Fire-adjacent but not WUI-classified.</v>
      </c>
      <c r="D50" s="38" t="s">
        <v>260</v>
      </c>
    </row>
    <row r="51" spans="2:4" ht="24" x14ac:dyDescent="0.25">
      <c r="B51" s="36" t="s">
        <v>261</v>
      </c>
      <c r="C51" s="46">
        <f>INDEX('Natural Catastrophe'!$D$6:$D$17,MATCH(C48,'Natural Catastrophe'!$B$6:$B$17,0))</f>
        <v>1.3</v>
      </c>
      <c r="D51" s="38" t="s">
        <v>262</v>
      </c>
    </row>
    <row r="52" spans="2:4" x14ac:dyDescent="0.25">
      <c r="B52" s="36" t="s">
        <v>263</v>
      </c>
      <c r="C52" s="46">
        <f>INDEX('Natural Catastrophe'!$C$21:$C$26,MATCH(C28,'Natural Catastrophe'!$B$21:$B$26,0))</f>
        <v>0.8</v>
      </c>
      <c r="D52" s="38" t="s">
        <v>264</v>
      </c>
    </row>
    <row r="54" spans="2:4" ht="18" customHeight="1" x14ac:dyDescent="0.25">
      <c r="B54" s="12" t="s">
        <v>265</v>
      </c>
      <c r="C54" s="12"/>
      <c r="D54" s="12"/>
    </row>
    <row r="55" spans="2:4" x14ac:dyDescent="0.25">
      <c r="B55" s="36" t="s">
        <v>266</v>
      </c>
      <c r="C55" s="44" t="str">
        <f>INDEX('Base Rates'!$C$4:$I$4,MATCH(MAX(C11,'Technical Premium'!$C$18),'Base Rates'!$C$3:$I$3,1))</f>
        <v>$250k - $500k</v>
      </c>
      <c r="D55" s="38" t="s">
        <v>267</v>
      </c>
    </row>
    <row r="56" spans="2:4" x14ac:dyDescent="0.25">
      <c r="B56" s="36" t="s">
        <v>268</v>
      </c>
      <c r="C56" s="47">
        <f>INDEX('Base Rates'!$C$5:$I$16,MATCH(C10,'Base Rates'!$B$5:$B$16,0),MATCH(MAX(C11,'Technical Premium'!$C$18),'Base Rates'!$C$3:$I$3,1))</f>
        <v>0.95</v>
      </c>
      <c r="D56" s="38" t="s">
        <v>269</v>
      </c>
    </row>
    <row r="57" spans="2:4" x14ac:dyDescent="0.25">
      <c r="B57" s="36" t="s">
        <v>270</v>
      </c>
      <c r="C57" s="48">
        <f>C11/100*C56</f>
        <v>4512.5</v>
      </c>
      <c r="D57" s="38" t="s">
        <v>271</v>
      </c>
    </row>
    <row r="58" spans="2:4" x14ac:dyDescent="0.25">
      <c r="B58" s="36" t="s">
        <v>272</v>
      </c>
      <c r="C58" s="46">
        <f>INDEX('Make Factors'!$G$5:$G$69,MATCH(C8,'Make Factors'!$B$5:$B$69,0))</f>
        <v>1.008</v>
      </c>
    </row>
    <row r="59" spans="2:4" x14ac:dyDescent="0.25">
      <c r="B59" s="36" t="s">
        <v>273</v>
      </c>
      <c r="C59" s="46">
        <f>INDEX('Driver Factors'!$C$6:$C$15,MATCH(C19,'Driver Factors'!$B$6:$B$15,0))</f>
        <v>1</v>
      </c>
    </row>
    <row r="60" spans="2:4" x14ac:dyDescent="0.25">
      <c r="B60" s="36" t="s">
        <v>274</v>
      </c>
      <c r="C60" s="46">
        <f>INDEX('Driver Factors'!$C$19:$C$24,MATCH(C20,'Driver Factors'!$B$19:$B$24,0))</f>
        <v>1</v>
      </c>
    </row>
    <row r="61" spans="2:4" x14ac:dyDescent="0.25">
      <c r="B61" s="36" t="s">
        <v>275</v>
      </c>
      <c r="C61" s="46">
        <f>INDEX('Driver Factors'!$C$28:$C$36,MATCH(C21,'Driver Factors'!$B$28:$B$36,0))</f>
        <v>1</v>
      </c>
    </row>
    <row r="62" spans="2:4" x14ac:dyDescent="0.25">
      <c r="B62" s="36" t="s">
        <v>276</v>
      </c>
      <c r="C62" s="46">
        <f>INDEX('Claims History'!$C$6:$C$15,MATCH(C22,'Claims History'!$B$6:$B$15,0))</f>
        <v>0.9</v>
      </c>
    </row>
    <row r="63" spans="2:4" x14ac:dyDescent="0.25">
      <c r="B63" s="36" t="s">
        <v>277</v>
      </c>
      <c r="C63" s="46">
        <f>INDEX('Territory Factors'!$E$6:$E$56,MATCH(C12,'Territory Factors'!$B$6:$B$56,0))</f>
        <v>1.35</v>
      </c>
    </row>
    <row r="64" spans="2:4" x14ac:dyDescent="0.25">
      <c r="B64" s="36" t="s">
        <v>278</v>
      </c>
      <c r="C64" s="46">
        <f>INDEX('City Accident Ratings'!$G$6:$G$54,MATCH(C27,'City Accident Ratings'!$B$6:$B$54,0))</f>
        <v>1.35</v>
      </c>
    </row>
    <row r="65" spans="2:3" x14ac:dyDescent="0.25">
      <c r="B65" s="36" t="s">
        <v>279</v>
      </c>
      <c r="C65" s="46">
        <f>INDEX('Usage and Coverage'!$D$6:$D$20,MATCH(C15,'Usage and Coverage'!$C$6:$C$20,0))</f>
        <v>1</v>
      </c>
    </row>
    <row r="66" spans="2:3" x14ac:dyDescent="0.25">
      <c r="B66" s="36" t="s">
        <v>280</v>
      </c>
      <c r="C66" s="46">
        <f>INDEX('Usage and Coverage'!$C$24:$C$30,MATCH(C16,'Usage and Coverage'!$B$24:$B$30,0))</f>
        <v>0.85</v>
      </c>
    </row>
    <row r="67" spans="2:3" x14ac:dyDescent="0.25">
      <c r="B67" s="36" t="s">
        <v>281</v>
      </c>
      <c r="C67" s="46">
        <f>INDEX('Usage and Coverage'!$C$34:$C$40,MATCH(C17,'Usage and Coverage'!$B$34:$B$40,0))</f>
        <v>0.9</v>
      </c>
    </row>
    <row r="68" spans="2:3" x14ac:dyDescent="0.25">
      <c r="B68" s="36" t="s">
        <v>282</v>
      </c>
      <c r="C68" s="46">
        <f>INDEX('Usage and Coverage'!$C$44:$C$49,MATCH(C18,'Usage and Coverage'!$B$44:$B$49,0))</f>
        <v>0.9</v>
      </c>
    </row>
    <row r="69" spans="2:3" x14ac:dyDescent="0.25">
      <c r="B69" s="36" t="s">
        <v>283</v>
      </c>
      <c r="C69" s="46">
        <f>INDEX(Deductibles!$C$6:$I$15,MATCH(C24,Deductibles!$B$6:$B$15,0),MATCH(MAX(C11,'Technical Premium'!$C$18),'Base Rates'!$C$3:$I$3,1))</f>
        <v>1</v>
      </c>
    </row>
    <row r="70" spans="2:3" x14ac:dyDescent="0.25">
      <c r="B70" s="36" t="s">
        <v>284</v>
      </c>
      <c r="C70" s="46">
        <f>INDEX('Usage and Coverage'!$C$63:$C$66,MATCH(C25,'Usage and Coverage'!$B$63:$B$66,0))</f>
        <v>1</v>
      </c>
    </row>
    <row r="71" spans="2:3" x14ac:dyDescent="0.25">
      <c r="B71" s="36" t="s">
        <v>285</v>
      </c>
      <c r="C71" s="46">
        <f>INDEX('Usage and Coverage'!$C$70:$C$75,MATCH(C23,'Usage and Coverage'!$B$70:$B$75,0))</f>
        <v>0.86</v>
      </c>
    </row>
    <row r="72" spans="2:3" x14ac:dyDescent="0.25">
      <c r="B72" s="36" t="s">
        <v>286</v>
      </c>
      <c r="C72" s="46">
        <f>INDEX(Deductibles!$C$48:$C$51,MATCH(C29,Deductibles!$B$48:$B$51,0))</f>
        <v>1</v>
      </c>
    </row>
    <row r="73" spans="2:3" x14ac:dyDescent="0.25">
      <c r="B73" s="36" t="s">
        <v>287</v>
      </c>
      <c r="C73" s="46">
        <f>INDEX(Deductibles!$C$55:$C$57,MATCH(C30,Deductibles!$B$55:$B$57,0))</f>
        <v>1</v>
      </c>
    </row>
    <row r="74" spans="2:3" x14ac:dyDescent="0.25">
      <c r="B74" s="36" t="s">
        <v>288</v>
      </c>
      <c r="C74" s="46">
        <f>INDEX(Deductibles!$C$61:$C$63,MATCH(C31,Deductibles!$B$61:$B$63,0))</f>
        <v>1</v>
      </c>
    </row>
    <row r="75" spans="2:3" x14ac:dyDescent="0.25">
      <c r="B75" s="36" t="s">
        <v>289</v>
      </c>
      <c r="C75" s="46">
        <f>INDEX(Deductibles!$C$67:$C$69,MATCH(C32,Deductibles!$B$67:$B$69,0))</f>
        <v>1</v>
      </c>
    </row>
    <row r="76" spans="2:3" x14ac:dyDescent="0.25">
      <c r="B76" s="36" t="s">
        <v>290</v>
      </c>
      <c r="C76" s="46">
        <f>INDEX(Deductibles!$C$73:$C$74,MATCH(C33,Deductibles!$B$73:$B$74,0))</f>
        <v>1</v>
      </c>
    </row>
    <row r="77" spans="2:3" x14ac:dyDescent="0.25">
      <c r="B77" s="36" t="s">
        <v>291</v>
      </c>
      <c r="C77" s="46">
        <f>INDEX('Sublimits and Parts'!$C$49:$C$52,MATCH(C34,'Sublimits and Parts'!$B$49:$B$52,0))</f>
        <v>1</v>
      </c>
    </row>
    <row r="78" spans="2:3" x14ac:dyDescent="0.25">
      <c r="B78" s="36" t="s">
        <v>292</v>
      </c>
      <c r="C78" s="46">
        <f>INDEX('Sublimits and Parts'!$C$56:$C$60,MATCH(C35,'Sublimits and Parts'!$B$56:$B$60,0))</f>
        <v>1</v>
      </c>
    </row>
    <row r="79" spans="2:3" x14ac:dyDescent="0.25">
      <c r="B79" s="36" t="s">
        <v>293</v>
      </c>
      <c r="C79" s="46">
        <f>INDEX('Sublimits and Parts'!$C$64:$C$67,MATCH(C36,'Sublimits and Parts'!$B$64:$B$67,0))</f>
        <v>1</v>
      </c>
    </row>
    <row r="80" spans="2:3" x14ac:dyDescent="0.25">
      <c r="B80" s="36" t="s">
        <v>294</v>
      </c>
      <c r="C80" s="46">
        <f>INDEX('Sublimits and Parts'!$C$71:$C$74,MATCH(C37,'Sublimits and Parts'!$B$71:$B$74,0))</f>
        <v>1</v>
      </c>
    </row>
    <row r="81" spans="2:4" x14ac:dyDescent="0.25">
      <c r="B81" s="36" t="s">
        <v>295</v>
      </c>
      <c r="C81" s="46">
        <f>INDEX('Sublimits and Parts'!$C$78:$C$80,MATCH(C38,'Sublimits and Parts'!$B$78:$B$80,0))</f>
        <v>1</v>
      </c>
    </row>
    <row r="82" spans="2:4" x14ac:dyDescent="0.25">
      <c r="B82" s="36" t="s">
        <v>296</v>
      </c>
      <c r="C82" s="46">
        <f>INDEX('Sublimits and Parts'!$C$84:$C$87,MATCH(C39,'Sublimits and Parts'!$B$84:$B$87,0))</f>
        <v>1</v>
      </c>
    </row>
    <row r="83" spans="2:4" x14ac:dyDescent="0.25">
      <c r="B83" s="36" t="s">
        <v>297</v>
      </c>
      <c r="C83" s="46">
        <f>INDEX('Sublimits and Parts'!$C$91:$C$94,MATCH(C40,'Sublimits and Parts'!$B$91:$B$94,0))</f>
        <v>1</v>
      </c>
    </row>
    <row r="84" spans="2:4" x14ac:dyDescent="0.25">
      <c r="B84" s="36" t="s">
        <v>298</v>
      </c>
      <c r="C84" s="46">
        <f>INDEX('Sublimits and Parts'!$C$98:$C$101,MATCH(C41,'Sublimits and Parts'!$B$98:$B$101,0))</f>
        <v>1</v>
      </c>
    </row>
    <row r="85" spans="2:4" x14ac:dyDescent="0.25">
      <c r="B85" s="36" t="s">
        <v>299</v>
      </c>
      <c r="C85" s="46">
        <f>INDEX('Sublimits and Parts'!$C$105:$C$109,MATCH(C42,'Sublimits and Parts'!$B$105:$B$109,0))</f>
        <v>1</v>
      </c>
    </row>
    <row r="86" spans="2:4" x14ac:dyDescent="0.25">
      <c r="B86" s="32" t="s">
        <v>300</v>
      </c>
      <c r="C86" s="49">
        <f>PRODUCT(C58:C71)</f>
        <v>0.97897809492</v>
      </c>
      <c r="D86" s="38" t="s">
        <v>301</v>
      </c>
    </row>
    <row r="87" spans="2:4" x14ac:dyDescent="0.25">
      <c r="B87" s="32" t="s">
        <v>302</v>
      </c>
      <c r="C87" s="49">
        <f>PRODUCT(C72:C85)</f>
        <v>1</v>
      </c>
      <c r="D87" s="38" t="s">
        <v>303</v>
      </c>
    </row>
    <row r="88" spans="2:4" x14ac:dyDescent="0.25">
      <c r="B88" s="32" t="s">
        <v>304</v>
      </c>
      <c r="C88" s="49">
        <f>MIN(C86*C87,'Technical Premium'!$C$17)</f>
        <v>0.97897809492</v>
      </c>
      <c r="D88" s="38" t="s">
        <v>305</v>
      </c>
    </row>
    <row r="90" spans="2:4" ht="18" customHeight="1" x14ac:dyDescent="0.25">
      <c r="B90" s="12" t="s">
        <v>306</v>
      </c>
      <c r="C90" s="12"/>
      <c r="D90" s="12"/>
    </row>
    <row r="91" spans="2:4" x14ac:dyDescent="0.25">
      <c r="B91" s="36" t="s">
        <v>307</v>
      </c>
      <c r="C91" s="48">
        <f>C57*C88</f>
        <v>4417.6386533265</v>
      </c>
      <c r="D91" s="38" t="s">
        <v>308</v>
      </c>
    </row>
    <row r="92" spans="2:4" x14ac:dyDescent="0.25">
      <c r="B92" s="36" t="s">
        <v>309</v>
      </c>
      <c r="C92" s="48">
        <f>INDEX('Territory Factors'!$F$6:$F$56,MATCH(C12,'Territory Factors'!$B$6:$B$56,0))</f>
        <v>760</v>
      </c>
    </row>
    <row r="93" spans="2:4" x14ac:dyDescent="0.25">
      <c r="B93" s="36" t="s">
        <v>310</v>
      </c>
      <c r="C93" s="46">
        <f>INDEX('Usage and Coverage'!$C$79:$C$84,MATCH(C26,'Usage and Coverage'!$B$79:$B$84,0))</f>
        <v>1.42</v>
      </c>
    </row>
    <row r="94" spans="2:4" x14ac:dyDescent="0.25">
      <c r="B94" s="36" t="s">
        <v>311</v>
      </c>
      <c r="C94" s="48">
        <f>C92*C93*MIN(C65*C59*C61*C62*C66*C64,'Technical Premium'!$C$17)</f>
        <v>1114.5438</v>
      </c>
      <c r="D94" s="38" t="s">
        <v>312</v>
      </c>
    </row>
    <row r="95" spans="2:4" x14ac:dyDescent="0.25">
      <c r="B95" s="36" t="s">
        <v>313</v>
      </c>
      <c r="C95" s="48">
        <f>C91+C94</f>
        <v>5532.1824533265</v>
      </c>
    </row>
    <row r="96" spans="2:4" x14ac:dyDescent="0.25">
      <c r="B96" s="36" t="s">
        <v>314</v>
      </c>
      <c r="C96" s="48">
        <f>C95*'Technical Premium'!$C$5</f>
        <v>442.57459626612</v>
      </c>
    </row>
    <row r="97" spans="2:4" x14ac:dyDescent="0.25">
      <c r="B97" s="36" t="s">
        <v>315</v>
      </c>
      <c r="C97" s="48">
        <f>C95+C96</f>
        <v>5974.75704959262</v>
      </c>
    </row>
    <row r="98" spans="2:4" x14ac:dyDescent="0.25">
      <c r="B98" s="36" t="s">
        <v>316</v>
      </c>
      <c r="C98" s="48">
        <f>C97*'Technical Premium'!$C$6</f>
        <v>298.737852479631</v>
      </c>
    </row>
    <row r="99" spans="2:4" x14ac:dyDescent="0.25">
      <c r="B99" s="36" t="s">
        <v>317</v>
      </c>
      <c r="C99" s="50">
        <f>INDEX('Territory Factors'!$G$6:$G$56,MATCH(C12,'Territory Factors'!$B$6:$B$56,0))</f>
        <v>0.06</v>
      </c>
      <c r="D99" s="38" t="s">
        <v>318</v>
      </c>
    </row>
    <row r="100" spans="2:4" x14ac:dyDescent="0.25">
      <c r="B100" s="36" t="s">
        <v>319</v>
      </c>
      <c r="C100" s="48">
        <f>C91*C99*C51*C52</f>
        <v>275.660651967574</v>
      </c>
      <c r="D100" s="38" t="s">
        <v>320</v>
      </c>
    </row>
    <row r="101" spans="2:4" x14ac:dyDescent="0.25">
      <c r="B101" s="36" t="s">
        <v>321</v>
      </c>
      <c r="C101" s="48">
        <f>C97+C98+C100</f>
        <v>6549.15555403983</v>
      </c>
    </row>
    <row r="102" spans="2:4" x14ac:dyDescent="0.25">
      <c r="B102" s="36" t="s">
        <v>322</v>
      </c>
      <c r="C102" s="48">
        <f>C101*'Technical Premium'!$C$7</f>
        <v>491.186666552987</v>
      </c>
    </row>
    <row r="103" spans="2:4" x14ac:dyDescent="0.25">
      <c r="B103" s="32" t="s">
        <v>323</v>
      </c>
      <c r="C103" s="51">
        <f>C101+C102</f>
        <v>7040.34222059281</v>
      </c>
      <c r="D103" s="38" t="s">
        <v>324</v>
      </c>
    </row>
    <row r="104" spans="2:4" x14ac:dyDescent="0.25">
      <c r="B104" s="36" t="s">
        <v>109</v>
      </c>
      <c r="C104" s="46">
        <f>'Technical Premium'!$C$13</f>
        <v>0.555</v>
      </c>
      <c r="D104" s="38" t="s">
        <v>325</v>
      </c>
    </row>
    <row r="105" spans="2:4" ht="15.75" x14ac:dyDescent="0.25">
      <c r="B105" s="32" t="s">
        <v>112</v>
      </c>
      <c r="C105" s="52">
        <f>C103/C104</f>
        <v>12685.3012983654</v>
      </c>
      <c r="D105" s="38" t="s">
        <v>326</v>
      </c>
    </row>
    <row r="106" spans="2:4" ht="15.75" x14ac:dyDescent="0.25">
      <c r="B106" s="32" t="s">
        <v>327</v>
      </c>
      <c r="C106" s="53">
        <f>C105/C11*100</f>
        <v>2.6705897470243</v>
      </c>
      <c r="D106" s="38" t="s">
        <v>328</v>
      </c>
    </row>
    <row r="107" spans="2:4" x14ac:dyDescent="0.25">
      <c r="B107" s="36" t="s">
        <v>118</v>
      </c>
      <c r="C107" s="48">
        <f>C105*C44</f>
        <v>0</v>
      </c>
    </row>
    <row r="108" spans="2:4" ht="15.75" x14ac:dyDescent="0.25">
      <c r="B108" s="32" t="s">
        <v>329</v>
      </c>
      <c r="C108" s="52">
        <f>C105+C107</f>
        <v>12685.3012983654</v>
      </c>
      <c r="D108" s="38" t="s">
        <v>330</v>
      </c>
    </row>
    <row r="109" spans="2:4" x14ac:dyDescent="0.25">
      <c r="B109" s="36" t="s">
        <v>331</v>
      </c>
      <c r="C109" s="54">
        <f>C108/C11*100</f>
        <v>2.6705897470243</v>
      </c>
      <c r="D109" s="38" t="s">
        <v>332</v>
      </c>
    </row>
    <row r="110" spans="2:4" x14ac:dyDescent="0.25">
      <c r="B110" s="36" t="s">
        <v>333</v>
      </c>
      <c r="C110" s="55">
        <f>C109/C106</f>
        <v>1</v>
      </c>
      <c r="D110" s="38" t="s">
        <v>334</v>
      </c>
    </row>
    <row r="111" spans="2:4" x14ac:dyDescent="0.25">
      <c r="B111" s="36" t="s">
        <v>335</v>
      </c>
      <c r="C111" s="48">
        <f>'Technical Premium'!$C$14</f>
        <v>350</v>
      </c>
    </row>
    <row r="112" spans="2:4" x14ac:dyDescent="0.25">
      <c r="B112" s="36" t="s">
        <v>336</v>
      </c>
      <c r="C112" s="48">
        <f>IF(C11&gt;=1000000,'Technical Premium'!$C$15,0)</f>
        <v>0</v>
      </c>
    </row>
    <row r="113" spans="2:4" x14ac:dyDescent="0.25">
      <c r="B113" s="36" t="s">
        <v>337</v>
      </c>
      <c r="C113" s="48">
        <f>(C108+C111+C112)*(INDEX('Territory Factors'!$K$6:$K$56,MATCH(C12,'Territory Factors'!$B$6:$B$56,0))+'Commission Structure'!$C$21)</f>
        <v>414.522581288021</v>
      </c>
      <c r="D113" s="38" t="s">
        <v>338</v>
      </c>
    </row>
    <row r="114" spans="2:4" ht="15.75" x14ac:dyDescent="0.25">
      <c r="B114" s="32" t="s">
        <v>339</v>
      </c>
      <c r="C114" s="52">
        <f>C108+C111+C112+C113</f>
        <v>13449.8238796535</v>
      </c>
      <c r="D114" s="38" t="s">
        <v>340</v>
      </c>
    </row>
    <row r="116" spans="2:4" ht="18" customHeight="1" x14ac:dyDescent="0.25">
      <c r="B116" s="12" t="s">
        <v>341</v>
      </c>
      <c r="C116" s="12"/>
      <c r="D116" s="12"/>
    </row>
    <row r="117" spans="2:4" x14ac:dyDescent="0.25">
      <c r="B117" s="36" t="s">
        <v>342</v>
      </c>
      <c r="C117" s="48">
        <f>C108*'Commission Structure'!$C$5</f>
        <v>3488.45785705049</v>
      </c>
    </row>
    <row r="118" spans="2:4" x14ac:dyDescent="0.25">
      <c r="B118" s="36" t="s">
        <v>343</v>
      </c>
      <c r="C118" s="48">
        <f>C108*'Commission Structure'!$C$6</f>
        <v>1585.66266229568</v>
      </c>
    </row>
    <row r="119" spans="2:4" x14ac:dyDescent="0.25">
      <c r="B119" s="36" t="s">
        <v>344</v>
      </c>
      <c r="C119" s="48">
        <f>C108*'Commission Structure'!$C$7</f>
        <v>634.265064918272</v>
      </c>
    </row>
    <row r="120" spans="2:4" x14ac:dyDescent="0.25">
      <c r="B120" s="32" t="s">
        <v>345</v>
      </c>
      <c r="C120" s="51">
        <f>C117-C118-C119</f>
        <v>1268.53012983654</v>
      </c>
    </row>
    <row r="121" spans="2:4" x14ac:dyDescent="0.25">
      <c r="B121" s="36" t="s">
        <v>346</v>
      </c>
      <c r="C121" s="48">
        <f>C108-C117</f>
        <v>9196.84344131494</v>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0.95</v>
      </c>
      <c r="E6" s="57">
        <v>1</v>
      </c>
      <c r="F6" s="31">
        <f>'Rating Engine'!C57</f>
        <v>4512.5</v>
      </c>
      <c r="G6" s="58"/>
      <c r="H6" s="59" t="str">
        <f>'Rating Engine'!C10&amp;"  |  "&amp;'Rating Engine'!C55</f>
        <v>02 - Sports / GT  |  $250k - $500k</v>
      </c>
    </row>
    <row r="7" spans="2:8" x14ac:dyDescent="0.25">
      <c r="B7" s="56">
        <v>1</v>
      </c>
      <c r="C7" s="21" t="str">
        <f>'Rating Engine'!B58</f>
        <v>Make / model factor</v>
      </c>
      <c r="D7" s="60">
        <f>'Rating Engine'!C58</f>
        <v>1.008</v>
      </c>
      <c r="E7" s="61">
        <f t="shared" ref="E7:E34" si="0">E6*D7</f>
        <v>1.008</v>
      </c>
      <c r="F7" s="62">
        <f t="shared" ref="F7:F34" si="1">$F$6*E7</f>
        <v>4548.6</v>
      </c>
      <c r="G7" s="62">
        <f t="shared" ref="G7:G34" si="2">F7-F6</f>
        <v>36.1000000000004</v>
      </c>
      <c r="H7" s="59" t="str">
        <f>'Rating Engine'!C8</f>
        <v>Aston Martin</v>
      </c>
    </row>
    <row r="8" spans="2:8" x14ac:dyDescent="0.25">
      <c r="B8" s="63">
        <v>2</v>
      </c>
      <c r="C8" s="64" t="str">
        <f>'Rating Engine'!B59</f>
        <v>Driver age factor</v>
      </c>
      <c r="D8" s="65">
        <f>'Rating Engine'!C59</f>
        <v>1</v>
      </c>
      <c r="E8" s="66">
        <f t="shared" si="0"/>
        <v>1.008</v>
      </c>
      <c r="F8" s="67">
        <f t="shared" si="1"/>
        <v>4548.6</v>
      </c>
      <c r="G8" s="67">
        <f t="shared" si="2"/>
        <v>0</v>
      </c>
      <c r="H8" s="68" t="str">
        <f>'Rating Engine'!C19</f>
        <v>55 - 64</v>
      </c>
    </row>
    <row r="9" spans="2:8" x14ac:dyDescent="0.25">
      <c r="B9" s="56">
        <v>3</v>
      </c>
      <c r="C9" s="21" t="str">
        <f>'Rating Engine'!B60</f>
        <v>Experience factor</v>
      </c>
      <c r="D9" s="60">
        <f>'Rating Engine'!C60</f>
        <v>1</v>
      </c>
      <c r="E9" s="61">
        <f t="shared" si="0"/>
        <v>1.008</v>
      </c>
      <c r="F9" s="62">
        <f t="shared" si="1"/>
        <v>4548.6</v>
      </c>
      <c r="G9" s="62">
        <f t="shared" si="2"/>
        <v>0</v>
      </c>
      <c r="H9" s="59" t="str">
        <f>'Rating Engine'!C20</f>
        <v>5 - 10 years</v>
      </c>
    </row>
    <row r="10" spans="2:8" x14ac:dyDescent="0.25">
      <c r="B10" s="63">
        <v>4</v>
      </c>
      <c r="C10" s="64" t="str">
        <f>'Rating Engine'!B61</f>
        <v>MVR factor</v>
      </c>
      <c r="D10" s="65">
        <f>'Rating Engine'!C61</f>
        <v>1</v>
      </c>
      <c r="E10" s="66">
        <f t="shared" si="0"/>
        <v>1.008</v>
      </c>
      <c r="F10" s="67">
        <f t="shared" si="1"/>
        <v>4548.6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0.9072</v>
      </c>
      <c r="F11" s="62">
        <f t="shared" si="1"/>
        <v>4093.74</v>
      </c>
      <c r="G11" s="62">
        <f t="shared" si="2"/>
        <v>-454.86</v>
      </c>
      <c r="H11" s="59" t="str">
        <f>'Rating Engine'!C22</f>
        <v>No at-fault claims - 5 yrs</v>
      </c>
    </row>
    <row r="12" spans="2:8" x14ac:dyDescent="0.25">
      <c r="B12" s="63">
        <v>6</v>
      </c>
      <c r="C12" s="64" t="str">
        <f>'Rating Engine'!B63</f>
        <v>State territory factor</v>
      </c>
      <c r="D12" s="65">
        <f>'Rating Engine'!C63</f>
        <v>1.35</v>
      </c>
      <c r="E12" s="66">
        <f t="shared" si="0"/>
        <v>1.22472</v>
      </c>
      <c r="F12" s="67">
        <f t="shared" si="1"/>
        <v>5526.549</v>
      </c>
      <c r="G12" s="67">
        <f t="shared" si="2"/>
        <v>1432.809</v>
      </c>
      <c r="H12" s="68" t="str">
        <f>'Rating Engine'!C12</f>
        <v>California</v>
      </c>
    </row>
    <row r="13" spans="2:8" x14ac:dyDescent="0.25">
      <c r="B13" s="56">
        <v>7</v>
      </c>
      <c r="C13" s="21" t="str">
        <f>'Rating Engine'!B64</f>
        <v>City / metro accident factor</v>
      </c>
      <c r="D13" s="60">
        <f>'Rating Engine'!C64</f>
        <v>1.35</v>
      </c>
      <c r="E13" s="61">
        <f t="shared" si="0"/>
        <v>1.653372</v>
      </c>
      <c r="F13" s="62">
        <f t="shared" si="1"/>
        <v>7460.84115</v>
      </c>
      <c r="G13" s="62">
        <f t="shared" si="2"/>
        <v>1934.29215</v>
      </c>
      <c r="H13" s="59" t="str">
        <f>'Rating Engine'!C27</f>
        <v>Los Angeles - Long Beach, CA</v>
      </c>
    </row>
    <row r="14" spans="2:8" x14ac:dyDescent="0.25">
      <c r="B14" s="63">
        <v>8</v>
      </c>
      <c r="C14" s="64" t="str">
        <f>'Rating Engine'!B65</f>
        <v>Usage factor</v>
      </c>
      <c r="D14" s="65">
        <f>'Rating Engine'!C65</f>
        <v>1</v>
      </c>
      <c r="E14" s="66">
        <f t="shared" si="0"/>
        <v>1.653372</v>
      </c>
      <c r="F14" s="67">
        <f t="shared" si="1"/>
        <v>7460.84115</v>
      </c>
      <c r="G14" s="67">
        <f t="shared" si="2"/>
        <v>0</v>
      </c>
      <c r="H14" s="68" t="str">
        <f>'Rating Engine'!C15</f>
        <v>Personal - regular use</v>
      </c>
    </row>
    <row r="15" spans="2:8" x14ac:dyDescent="0.25">
      <c r="B15" s="56">
        <v>9</v>
      </c>
      <c r="C15" s="21" t="str">
        <f>'Rating Engine'!B66</f>
        <v>Mileage factor</v>
      </c>
      <c r="D15" s="60">
        <f>'Rating Engine'!C66</f>
        <v>0.85</v>
      </c>
      <c r="E15" s="61">
        <f t="shared" si="0"/>
        <v>1.4053662</v>
      </c>
      <c r="F15" s="62">
        <f t="shared" si="1"/>
        <v>6341.7149775</v>
      </c>
      <c r="G15" s="62">
        <f t="shared" si="2"/>
        <v>-1119.1261725</v>
      </c>
      <c r="H15" s="59" t="str">
        <f>'Rating Engine'!C16</f>
        <v>1,000 - 2,500</v>
      </c>
    </row>
    <row r="16" spans="2:8" x14ac:dyDescent="0.25">
      <c r="B16" s="63">
        <v>10</v>
      </c>
      <c r="C16" s="64" t="str">
        <f>'Rating Engine'!B67</f>
        <v>Storage factor</v>
      </c>
      <c r="D16" s="65">
        <f>'Rating Engine'!C67</f>
        <v>0.9</v>
      </c>
      <c r="E16" s="66">
        <f t="shared" si="0"/>
        <v>1.26482958</v>
      </c>
      <c r="F16" s="67">
        <f t="shared" si="1"/>
        <v>5707.54347975</v>
      </c>
      <c r="G16" s="67">
        <f t="shared" si="2"/>
        <v>-634.17149775</v>
      </c>
      <c r="H16" s="68" t="str">
        <f>'Rating Engine'!C17</f>
        <v>Locked private garage w/ monitored alarm</v>
      </c>
    </row>
    <row r="17" spans="2:8" x14ac:dyDescent="0.25">
      <c r="B17" s="56">
        <v>11</v>
      </c>
      <c r="C17" s="21" t="str">
        <f>'Rating Engine'!B68</f>
        <v>Security factor</v>
      </c>
      <c r="D17" s="60">
        <f>'Rating Engine'!C68</f>
        <v>0.9</v>
      </c>
      <c r="E17" s="61">
        <f t="shared" si="0"/>
        <v>1.138346622</v>
      </c>
      <c r="F17" s="62">
        <f t="shared" si="1"/>
        <v>5136.789131775</v>
      </c>
      <c r="G17" s="62">
        <f t="shared" si="2"/>
        <v>-570.754347975</v>
      </c>
      <c r="H17" s="59" t="str">
        <f>'Rating Engine'!C18</f>
        <v>GPS tracker w/ recovery service</v>
      </c>
    </row>
    <row r="18" spans="2:8" x14ac:dyDescent="0.25">
      <c r="B18" s="63">
        <v>12</v>
      </c>
      <c r="C18" s="64" t="str">
        <f>'Rating Engine'!B69</f>
        <v>PD deductible factor (value-banded)</v>
      </c>
      <c r="D18" s="65">
        <f>'Rating Engine'!C69</f>
        <v>1</v>
      </c>
      <c r="E18" s="66">
        <f t="shared" si="0"/>
        <v>1.138346622</v>
      </c>
      <c r="F18" s="67">
        <f t="shared" si="1"/>
        <v>5136.789131775</v>
      </c>
      <c r="G18" s="67">
        <f t="shared" si="2"/>
        <v>0</v>
      </c>
      <c r="H18" s="68" t="str">
        <f>'Rating Engine'!C24</f>
        <v>$2,500</v>
      </c>
    </row>
    <row r="19" spans="2:8" x14ac:dyDescent="0.25">
      <c r="B19" s="56">
        <v>13</v>
      </c>
      <c r="C19" s="21" t="str">
        <f>'Rating Engine'!B70</f>
        <v>Valuation basis factor</v>
      </c>
      <c r="D19" s="60">
        <f>'Rating Engine'!C70</f>
        <v>1</v>
      </c>
      <c r="E19" s="61">
        <f t="shared" si="0"/>
        <v>1.138346622</v>
      </c>
      <c r="F19" s="62">
        <f t="shared" si="1"/>
        <v>5136.789131775</v>
      </c>
      <c r="G19" s="62">
        <f t="shared" si="2"/>
        <v>0</v>
      </c>
      <c r="H19" s="59" t="str">
        <f>'Rating Engine'!C25</f>
        <v>Agreed Value</v>
      </c>
    </row>
    <row r="20" spans="2:8" x14ac:dyDescent="0.25">
      <c r="B20" s="63">
        <v>14</v>
      </c>
      <c r="C20" s="64" t="str">
        <f>'Rating Engine'!B71</f>
        <v>Collection size credit</v>
      </c>
      <c r="D20" s="65">
        <f>'Rating Engine'!C71</f>
        <v>0.86</v>
      </c>
      <c r="E20" s="66">
        <f t="shared" si="0"/>
        <v>0.97897809492</v>
      </c>
      <c r="F20" s="67">
        <f t="shared" si="1"/>
        <v>4417.6386533265</v>
      </c>
      <c r="G20" s="67">
        <f t="shared" si="2"/>
        <v>-719.1504784485</v>
      </c>
      <c r="H20" s="68" t="str">
        <f>'Rating Engine'!C23</f>
        <v>7 - 10 vehicles</v>
      </c>
    </row>
    <row r="21" spans="2:8" x14ac:dyDescent="0.25">
      <c r="B21" s="69">
        <v>15</v>
      </c>
      <c r="C21" s="70" t="str">
        <f>'Rating Engine'!B72</f>
        <v>Comprehensive deductible factor</v>
      </c>
      <c r="D21" s="71">
        <f>'Rating Engine'!C72</f>
        <v>1</v>
      </c>
      <c r="E21" s="72">
        <f t="shared" si="0"/>
        <v>0.97897809492</v>
      </c>
      <c r="F21" s="73">
        <f t="shared" si="1"/>
        <v>4417.6386533265</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0.97897809492</v>
      </c>
      <c r="F22" s="67">
        <f t="shared" si="1"/>
        <v>4417.6386533265</v>
      </c>
      <c r="G22" s="67">
        <f t="shared" si="2"/>
        <v>0</v>
      </c>
      <c r="H22" s="68" t="str">
        <f>'Rating Engine'!C30</f>
        <v>$500 flat, OEM glass</v>
      </c>
    </row>
    <row r="23" spans="2:8" x14ac:dyDescent="0.25">
      <c r="B23" s="56">
        <v>17</v>
      </c>
      <c r="C23" s="21" t="str">
        <f>'Rating Engine'!B74</f>
        <v>Theft deductible factor</v>
      </c>
      <c r="D23" s="60">
        <f>'Rating Engine'!C74</f>
        <v>1</v>
      </c>
      <c r="E23" s="61">
        <f t="shared" si="0"/>
        <v>0.97897809492</v>
      </c>
      <c r="F23" s="62">
        <f t="shared" si="1"/>
        <v>4417.6386533265</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0.97897809492</v>
      </c>
      <c r="F24" s="67">
        <f t="shared" si="1"/>
        <v>4417.6386533265</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0.97897809492</v>
      </c>
      <c r="F25" s="62">
        <f t="shared" si="1"/>
        <v>4417.6386533265</v>
      </c>
      <c r="G25" s="62">
        <f t="shared" si="2"/>
        <v>0</v>
      </c>
      <c r="H25" s="59" t="str">
        <f>'Rating Engine'!C33</f>
        <v>Not purchased</v>
      </c>
    </row>
    <row r="26" spans="2:8" x14ac:dyDescent="0.25">
      <c r="B26" s="63">
        <v>20</v>
      </c>
      <c r="C26" s="64" t="str">
        <f>'Rating Engine'!B77</f>
        <v>Newly acquired vehicle factor</v>
      </c>
      <c r="D26" s="65">
        <f>'Rating Engine'!C77</f>
        <v>1</v>
      </c>
      <c r="E26" s="66">
        <f t="shared" si="0"/>
        <v>0.97897809492</v>
      </c>
      <c r="F26" s="67">
        <f t="shared" si="1"/>
        <v>4417.6386533265</v>
      </c>
      <c r="G26" s="67">
        <f t="shared" si="2"/>
        <v>0</v>
      </c>
      <c r="H26" s="68" t="str">
        <f>'Rating Engine'!C34</f>
        <v>$500,000 / 30 days</v>
      </c>
    </row>
    <row r="27" spans="2:8" x14ac:dyDescent="0.25">
      <c r="B27" s="56">
        <v>21</v>
      </c>
      <c r="C27" s="21" t="str">
        <f>'Rating Engine'!B78</f>
        <v>Spare parts factor</v>
      </c>
      <c r="D27" s="60">
        <f>'Rating Engine'!C78</f>
        <v>1</v>
      </c>
      <c r="E27" s="61">
        <f t="shared" si="0"/>
        <v>0.97897809492</v>
      </c>
      <c r="F27" s="62">
        <f t="shared" si="1"/>
        <v>4417.6386533265</v>
      </c>
      <c r="G27" s="62">
        <f t="shared" si="2"/>
        <v>0</v>
      </c>
      <c r="H27" s="59" t="str">
        <f>'Rating Engine'!C35</f>
        <v>$25,000</v>
      </c>
    </row>
    <row r="28" spans="2:8" x14ac:dyDescent="0.25">
      <c r="B28" s="63">
        <v>22</v>
      </c>
      <c r="C28" s="64" t="str">
        <f>'Rating Engine'!B79</f>
        <v>Personal effects factor</v>
      </c>
      <c r="D28" s="65">
        <f>'Rating Engine'!C79</f>
        <v>1</v>
      </c>
      <c r="E28" s="66">
        <f t="shared" si="0"/>
        <v>0.97897809492</v>
      </c>
      <c r="F28" s="67">
        <f t="shared" si="1"/>
        <v>4417.6386533265</v>
      </c>
      <c r="G28" s="67">
        <f t="shared" si="2"/>
        <v>0</v>
      </c>
      <c r="H28" s="68" t="str">
        <f>'Rating Engine'!C36</f>
        <v>$5,000</v>
      </c>
    </row>
    <row r="29" spans="2:8" x14ac:dyDescent="0.25">
      <c r="B29" s="56">
        <v>23</v>
      </c>
      <c r="C29" s="21" t="str">
        <f>'Rating Engine'!B80</f>
        <v>Loss of use factor</v>
      </c>
      <c r="D29" s="60">
        <f>'Rating Engine'!C80</f>
        <v>1</v>
      </c>
      <c r="E29" s="61">
        <f t="shared" si="0"/>
        <v>0.97897809492</v>
      </c>
      <c r="F29" s="62">
        <f t="shared" si="1"/>
        <v>4417.6386533265</v>
      </c>
      <c r="G29" s="62">
        <f t="shared" si="2"/>
        <v>0</v>
      </c>
      <c r="H29" s="59" t="str">
        <f>'Rating Engine'!C37</f>
        <v>$10,000</v>
      </c>
    </row>
    <row r="30" spans="2:8" x14ac:dyDescent="0.25">
      <c r="B30" s="63">
        <v>24</v>
      </c>
      <c r="C30" s="64" t="str">
        <f>'Rating Engine'!B81</f>
        <v>Transit factor</v>
      </c>
      <c r="D30" s="65">
        <f>'Rating Engine'!C81</f>
        <v>1</v>
      </c>
      <c r="E30" s="66">
        <f t="shared" si="0"/>
        <v>0.97897809492</v>
      </c>
      <c r="F30" s="67">
        <f t="shared" si="1"/>
        <v>4417.6386533265</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0.97897809492</v>
      </c>
      <c r="F31" s="62">
        <f t="shared" si="1"/>
        <v>4417.6386533265</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0.97897809492</v>
      </c>
      <c r="F32" s="67">
        <f t="shared" si="1"/>
        <v>4417.6386533265</v>
      </c>
      <c r="G32" s="67">
        <f t="shared" si="2"/>
        <v>0</v>
      </c>
      <c r="H32" s="68" t="str">
        <f>'Rating Engine'!C40</f>
        <v>$100,000</v>
      </c>
    </row>
    <row r="33" spans="2:8" x14ac:dyDescent="0.25">
      <c r="B33" s="56">
        <v>27</v>
      </c>
      <c r="C33" s="21" t="str">
        <f>'Rating Engine'!B84</f>
        <v>Diminution in value factor</v>
      </c>
      <c r="D33" s="60">
        <f>'Rating Engine'!C84</f>
        <v>1</v>
      </c>
      <c r="E33" s="61">
        <f t="shared" si="0"/>
        <v>0.97897809492</v>
      </c>
      <c r="F33" s="62">
        <f t="shared" si="1"/>
        <v>4417.6386533265</v>
      </c>
      <c r="G33" s="62">
        <f t="shared" si="2"/>
        <v>0</v>
      </c>
      <c r="H33" s="59" t="str">
        <f>'Rating Engine'!C41</f>
        <v>10% of agreed value</v>
      </c>
    </row>
    <row r="34" spans="2:8" x14ac:dyDescent="0.25">
      <c r="B34" s="63">
        <v>28</v>
      </c>
      <c r="C34" s="64" t="str">
        <f>'Rating Engine'!B85</f>
        <v>Per-location aggregate factor</v>
      </c>
      <c r="D34" s="65">
        <f>'Rating Engine'!C85</f>
        <v>1</v>
      </c>
      <c r="E34" s="66">
        <f t="shared" si="0"/>
        <v>0.97897809492</v>
      </c>
      <c r="F34" s="67">
        <f t="shared" si="1"/>
        <v>4417.6386533265</v>
      </c>
      <c r="G34" s="67">
        <f t="shared" si="2"/>
        <v>0</v>
      </c>
      <c r="H34" s="68" t="str">
        <f>'Rating Engine'!C42</f>
        <v>$10,000,000</v>
      </c>
    </row>
    <row r="35" spans="2:8" x14ac:dyDescent="0.25">
      <c r="C35" s="32" t="s">
        <v>360</v>
      </c>
      <c r="E35" s="75">
        <f>E34</f>
        <v>0.97897809492</v>
      </c>
      <c r="F35" s="76">
        <f>F34</f>
        <v>4417.6386533265</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4417.6386533265</v>
      </c>
      <c r="F39" s="62">
        <f>E39</f>
        <v>4417.6386533265</v>
      </c>
      <c r="G39" s="78">
        <f>E39/'Rating Engine'!C105</f>
        <v>0.34824861857209</v>
      </c>
      <c r="H39" s="79">
        <f>E39/'Rating Engine'!C11*100</f>
        <v>0.930029190174</v>
      </c>
    </row>
    <row r="40" spans="2:8" x14ac:dyDescent="0.25">
      <c r="C40" s="80" t="s">
        <v>311</v>
      </c>
      <c r="D40" s="81"/>
      <c r="E40" s="82">
        <f>'Rating Engine'!C94</f>
        <v>1114.5438</v>
      </c>
      <c r="F40" s="67">
        <f t="shared" ref="F40:F45" si="3">F39+E40</f>
        <v>5532.1824533265</v>
      </c>
      <c r="G40" s="83">
        <f>E40/'Rating Engine'!C105</f>
        <v>0.0878610427758318</v>
      </c>
      <c r="H40" s="84">
        <f>E40/'Rating Engine'!C11*100</f>
        <v>0.2346408</v>
      </c>
    </row>
    <row r="41" spans="2:8" x14ac:dyDescent="0.25">
      <c r="C41" s="36" t="s">
        <v>368</v>
      </c>
      <c r="E41" s="31">
        <f>'Rating Engine'!C96</f>
        <v>442.57459626612</v>
      </c>
      <c r="F41" s="62">
        <f t="shared" si="3"/>
        <v>5974.75704959262</v>
      </c>
      <c r="G41" s="78">
        <f>E41/'Rating Engine'!C105</f>
        <v>0.0348887729078337</v>
      </c>
      <c r="H41" s="79">
        <f>E41/'Rating Engine'!C11*100</f>
        <v>0.09317359921392</v>
      </c>
    </row>
    <row r="42" spans="2:8" x14ac:dyDescent="0.25">
      <c r="C42" s="80" t="s">
        <v>369</v>
      </c>
      <c r="D42" s="81"/>
      <c r="E42" s="82">
        <f>'Rating Engine'!C98</f>
        <v>298.737852479631</v>
      </c>
      <c r="F42" s="67">
        <f t="shared" si="3"/>
        <v>6273.49490207225</v>
      </c>
      <c r="G42" s="83">
        <f>E42/'Rating Engine'!C105</f>
        <v>0.0235499217127878</v>
      </c>
      <c r="H42" s="84">
        <f>E42/'Rating Engine'!C11*100</f>
        <v>0.062892179469396</v>
      </c>
    </row>
    <row r="43" spans="2:8" x14ac:dyDescent="0.25">
      <c r="C43" s="36" t="s">
        <v>99</v>
      </c>
      <c r="E43" s="31">
        <f>'Rating Engine'!C100</f>
        <v>275.660651967574</v>
      </c>
      <c r="F43" s="62">
        <f t="shared" si="3"/>
        <v>6549.15555403983</v>
      </c>
      <c r="G43" s="78">
        <f>E43/'Rating Engine'!C105</f>
        <v>0.0217307137988984</v>
      </c>
      <c r="H43" s="79">
        <f>E43/'Rating Engine'!C11*100</f>
        <v>0.0580338214668576</v>
      </c>
    </row>
    <row r="44" spans="2:8" x14ac:dyDescent="0.25">
      <c r="C44" s="80" t="s">
        <v>370</v>
      </c>
      <c r="D44" s="81"/>
      <c r="E44" s="82">
        <f>'Rating Engine'!C102</f>
        <v>491.186666552987</v>
      </c>
      <c r="F44" s="67">
        <f t="shared" si="3"/>
        <v>7040.34222059281</v>
      </c>
      <c r="G44" s="83">
        <f>E44/'Rating Engine'!C105</f>
        <v>0.0387209302325581</v>
      </c>
      <c r="H44" s="84">
        <f>E44/'Rating Engine'!C11*100</f>
        <v>0.103407719274313</v>
      </c>
    </row>
    <row r="45" spans="2:8" x14ac:dyDescent="0.25">
      <c r="C45" s="36" t="s">
        <v>371</v>
      </c>
      <c r="E45" s="31">
        <f>'Rating Engine'!C105-'Rating Engine'!C103</f>
        <v>5644.95907777262</v>
      </c>
      <c r="F45" s="62">
        <f t="shared" si="3"/>
        <v>12685.3012983654</v>
      </c>
      <c r="G45" s="78">
        <f>E45/'Rating Engine'!C105</f>
        <v>0.445</v>
      </c>
      <c r="H45" s="79">
        <f>E45/'Rating Engine'!C11*100</f>
        <v>1.18841243742581</v>
      </c>
    </row>
    <row r="46" spans="2:8" x14ac:dyDescent="0.25">
      <c r="C46" s="32" t="s">
        <v>112</v>
      </c>
      <c r="D46" s="85"/>
      <c r="E46" s="85"/>
      <c r="F46" s="76">
        <f>F45</f>
        <v>12685.3012983654</v>
      </c>
      <c r="G46" s="86">
        <f>SUM(G39:G45)</f>
        <v>1</v>
      </c>
      <c r="H46" s="87">
        <f>'Rating Engine'!C106</f>
        <v>2.6705897470243</v>
      </c>
    </row>
    <row r="47" spans="2:8" x14ac:dyDescent="0.25">
      <c r="C47" s="36" t="s">
        <v>118</v>
      </c>
      <c r="F47" s="31">
        <f>'Rating Engine'!C107</f>
        <v>0</v>
      </c>
    </row>
    <row r="48" spans="2:8" x14ac:dyDescent="0.25">
      <c r="C48" s="32" t="s">
        <v>372</v>
      </c>
      <c r="F48" s="76">
        <f>'Rating Engine'!C108</f>
        <v>12685.3012983654</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414.522581288021</v>
      </c>
    </row>
    <row r="52" spans="2:8" x14ac:dyDescent="0.25">
      <c r="C52" s="32" t="s">
        <v>339</v>
      </c>
      <c r="F52" s="76">
        <f>'Rating Engine'!C114</f>
        <v>13449.8238796535</v>
      </c>
    </row>
    <row r="54" spans="2:8" ht="18" customHeight="1" x14ac:dyDescent="0.25">
      <c r="B54" s="12" t="s">
        <v>373</v>
      </c>
      <c r="C54" s="12"/>
      <c r="D54" s="12"/>
      <c r="E54" s="12"/>
      <c r="F54" s="12"/>
      <c r="G54" s="12"/>
      <c r="H54" s="12"/>
    </row>
    <row r="55" spans="2:8" x14ac:dyDescent="0.25">
      <c r="C55" s="36" t="s">
        <v>374</v>
      </c>
      <c r="E55" s="58">
        <f>'Rating Engine'!C11/100*'Rating Engine'!C56</f>
        <v>4512.5</v>
      </c>
    </row>
    <row r="56" spans="2:8" x14ac:dyDescent="0.25">
      <c r="C56" s="80" t="s">
        <v>375</v>
      </c>
      <c r="D56" s="81"/>
      <c r="E56" s="88">
        <f>E55*'Rating Engine'!C86</f>
        <v>4417.6386533265</v>
      </c>
    </row>
    <row r="57" spans="2:8" x14ac:dyDescent="0.25">
      <c r="C57" s="36" t="s">
        <v>376</v>
      </c>
      <c r="E57" s="58">
        <f>E56*'Rating Engine'!C87</f>
        <v>4417.6386533265</v>
      </c>
    </row>
    <row r="58" spans="2:8" x14ac:dyDescent="0.25">
      <c r="C58" s="80" t="s">
        <v>377</v>
      </c>
      <c r="D58" s="81"/>
      <c r="E58" s="88">
        <f>E57+'Rating Engine'!C92*'Rating Engine'!C93*MIN('Rating Engine'!C65*'Rating Engine'!C59*'Rating Engine'!C61*'Rating Engine'!C62*'Rating Engine'!C66*'Rating Engine'!C64,'Technical Premium'!C17)</f>
        <v>5532.1824533265</v>
      </c>
    </row>
    <row r="59" spans="2:8" x14ac:dyDescent="0.25">
      <c r="C59" s="36" t="s">
        <v>378</v>
      </c>
      <c r="E59" s="58">
        <f>E58*(1+'Technical Premium'!C5)</f>
        <v>5974.75704959262</v>
      </c>
    </row>
    <row r="60" spans="2:8" x14ac:dyDescent="0.25">
      <c r="C60" s="80" t="s">
        <v>379</v>
      </c>
      <c r="D60" s="81"/>
      <c r="E60" s="88">
        <f>E59*(1+'Technical Premium'!C6)</f>
        <v>6273.49490207225</v>
      </c>
    </row>
    <row r="61" spans="2:8" x14ac:dyDescent="0.25">
      <c r="C61" s="36" t="s">
        <v>380</v>
      </c>
      <c r="E61" s="58">
        <f>E60+'Rating Engine'!C91*'Rating Engine'!C99*'Rating Engine'!C51*'Rating Engine'!C52</f>
        <v>6549.15555403983</v>
      </c>
    </row>
    <row r="62" spans="2:8" x14ac:dyDescent="0.25">
      <c r="C62" s="80" t="s">
        <v>381</v>
      </c>
      <c r="D62" s="81"/>
      <c r="E62" s="88">
        <f>E61*(1+'Technical Premium'!C7)</f>
        <v>7040.34222059281</v>
      </c>
    </row>
    <row r="63" spans="2:8" x14ac:dyDescent="0.25">
      <c r="C63" s="32" t="s">
        <v>382</v>
      </c>
      <c r="E63" s="76">
        <f>E62/'Technical Premium'!C13</f>
        <v>12685.3012983654</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inlineStr">
        <is>
          <t xml:space="preserve">TQ-C-2026-0148</t>
        </is>
      </c>
      <c r="B5" s="92" t="inlineStr">
        <is>
          <t xml:space="preserve">Aurelio Vasquez</t>
        </is>
      </c>
      <c r="C5" s="93">
        <v>45927</v>
      </c>
      <c r="D5" s="93">
        <v>46292</v>
      </c>
      <c r="E5" s="94">
        <v>2024</v>
      </c>
      <c r="F5" s="92" t="inlineStr">
        <is>
          <t xml:space="preserve">Aston Martin</t>
        </is>
      </c>
      <c r="G5" s="92" t="inlineStr">
        <is>
          <t xml:space="preserve">DB12</t>
        </is>
      </c>
      <c r="H5" s="92" t="inlineStr">
        <is>
          <t xml:space="preserve">TWMM9N87W7TE05VWT</t>
        </is>
      </c>
      <c r="I5" s="92" t="inlineStr">
        <is>
          <t xml:space="preserve">02 - Sports / GT</t>
        </is>
      </c>
      <c r="J5" s="95">
        <v>475000</v>
      </c>
      <c r="K5" s="92" t="inlineStr">
        <is>
          <t xml:space="preserve">California</t>
        </is>
      </c>
      <c r="L5" s="92" t="inlineStr">
        <is>
          <t xml:space="preserve">90210</t>
        </is>
      </c>
      <c r="M5" s="92" t="inlineStr">
        <is>
          <t xml:space="preserve">Personal</t>
        </is>
      </c>
      <c r="N5" s="92" t="inlineStr">
        <is>
          <t xml:space="preserve">Personal - regular use</t>
        </is>
      </c>
      <c r="O5" s="92" t="inlineStr">
        <is>
          <t xml:space="preserve">1,000 - 2,500</t>
        </is>
      </c>
      <c r="P5" s="92" t="inlineStr">
        <is>
          <t xml:space="preserve">Locked private garage w/ monitored alarm</t>
        </is>
      </c>
      <c r="Q5" s="92" t="inlineStr">
        <is>
          <t xml:space="preserve">GPS tracker w/ recovery service</t>
        </is>
      </c>
      <c r="R5" s="92" t="inlineStr">
        <is>
          <t xml:space="preserve">55 - 64</t>
        </is>
      </c>
      <c r="S5" s="92" t="inlineStr">
        <is>
          <t xml:space="preserve">5 - 10 years</t>
        </is>
      </c>
      <c r="T5" s="92" t="inlineStr">
        <is>
          <t xml:space="preserve">Clean - no violations 3 yrs</t>
        </is>
      </c>
      <c r="U5" s="92" t="inlineStr">
        <is>
          <t xml:space="preserve">No at-fault claims - 5 yrs</t>
        </is>
      </c>
      <c r="V5" s="92" t="inlineStr">
        <is>
          <t xml:space="preserve">7 - 10 vehicles</t>
        </is>
      </c>
      <c r="W5" s="92" t="inlineStr">
        <is>
          <t xml:space="preserve">$2,500</t>
        </is>
      </c>
      <c r="X5" s="92" t="inlineStr">
        <is>
          <t xml:space="preserve">Agreed Value</t>
        </is>
      </c>
      <c r="Y5" s="92" t="inlineStr">
        <is>
          <t xml:space="preserve">$1,000,000 CSL</t>
        </is>
      </c>
      <c r="Z5" s="92" t="inlineStr">
        <is>
          <t xml:space="preserve">Los Angeles - Long Beach, CA</t>
        </is>
      </c>
      <c r="AA5" s="92" t="inlineStr">
        <is>
          <t xml:space="preserve">2% of agreed value, minimum $10,000</t>
        </is>
      </c>
      <c r="AB5" s="92"/>
      <c r="AC5" s="92"/>
      <c r="AD5" s="92"/>
      <c r="AE5" s="92"/>
      <c r="AF5" s="92"/>
      <c r="AG5" s="92"/>
      <c r="AH5" s="92"/>
      <c r="AI5" s="92"/>
      <c r="AJ5" s="92"/>
      <c r="AK5" s="92"/>
      <c r="AL5" s="92"/>
      <c r="AM5" s="92"/>
      <c r="AN5" s="92"/>
      <c r="AO5" s="92"/>
      <c r="AP5" s="92"/>
      <c r="AQ5" s="96">
        <v>0</v>
      </c>
      <c r="AR5" s="97" t="str">
        <f t="shared" ref="AR5:AR68" si="0">IF($A5="","",IFERROR(LEFT(TEXT(VALUE($L5),"00000"),3),"---"))</f>
        <v>902</v>
      </c>
      <c r="AS5" s="97" t="str">
        <f>IF($A5="","",IF($AP5&lt;&gt;"",$AP5,IFERROR(INDEX('Cat Zone by ZIP'!$D$6:$D$856,MATCH($AR5,'Cat Zone by ZIP'!$B$6:$B$856,0)),IFERROR(INDEX('Cat Zone by ZIP'!$C$860:$C$910,MATCH($K5,'Cat Zone by ZIP'!$B$860:$B$910,0)),"NOT FOUND"))))</f>
        <v>Wildfire - moderate hazard</v>
      </c>
      <c r="AT5" s="97" t="str">
        <f>IF($A5="","",IF($AP5&lt;&gt;"","Override",IF(ISNUMBER(MATCH($AR5,'Cat Zone by ZIP'!$B$6:$B$856,0)),"ZIP-3","State default")))</f>
        <v>ZIP-3</v>
      </c>
      <c r="AU5" s="98">
        <f>IF($A5="","",IFERROR(INDEX('Natural Catastrophe'!$D$6:$D$17,MATCH($AS5,'Natural Catastrophe'!$B$6:$B$17,0)),"?"))</f>
        <v>1.3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0.95</v>
      </c>
      <c r="AY5" s="100">
        <f t="shared" ref="AY5:AY68" si="1">IF(ISNUMBER($AX5),$J5/100*$AX5,"")</f>
        <v>4512.5</v>
      </c>
      <c r="AZ5" s="98">
        <f>IF($A5="","",IFERROR(INDEX('Make Factors'!$G$5:$G$69,MATCH($F5,'Make Factors'!$B$5:$B$69,0)),"?"))</f>
        <v>1.008</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1.35</v>
      </c>
      <c r="BF5" s="98">
        <f>IF($A5="","",IFERROR(INDEX('City Accident Ratings'!$G$6:$G$54,MATCH($Z5,'City Accident Ratings'!$B$6:$B$54,0)),"?"))</f>
        <v>1.35</v>
      </c>
      <c r="BG5" s="98">
        <f>IF($A5="","",IFERROR(INDEX('Usage and Coverage'!$D$6:$D$20,MATCH($N5,'Usage and Coverage'!$C$6:$C$20,0)),"?"))</f>
        <v>1</v>
      </c>
      <c r="BH5" s="98">
        <f>IF($A5="","",IFERROR(INDEX('Usage and Coverage'!$C$24:$C$30,MATCH($O5,'Usage and Coverage'!$B$24:$B$30,0)),"?"))</f>
        <v>0.85</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1</v>
      </c>
      <c r="BL5" s="98">
        <f>IF($A5="","",IFERROR(INDEX('Usage and Coverage'!$C$63:$C$66,MATCH($X5,'Usage and Coverage'!$B$63:$B$66,0)),"?"))</f>
        <v>1</v>
      </c>
      <c r="BM5" s="98">
        <f>IF($A5="","",IFERROR(INDEX('Usage and Coverage'!$C$70:$C$75,MATCH($V5,'Usage and Coverage'!$B$70:$B$75,0)),"?"))</f>
        <v>0.86</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0.97897809492</v>
      </c>
      <c r="CC5" s="98">
        <f t="shared" ref="CC5:CC68" si="3">IF($A5="","",IF(SUMPRODUCT(--ISTEXT($BN5:$CA5))&gt;0,"?",PRODUCT($BN5:$CA5)))</f>
        <v>1</v>
      </c>
      <c r="CD5" s="101">
        <f>IF($A5="","",IF(OR($CB5="?",$CC5="?"),"?",MIN($CB5*$CC5,'Technical Premium'!$C$17)))</f>
        <v>0.97897809492</v>
      </c>
      <c r="CE5" s="100">
        <f t="shared" ref="CE5:CE68" si="4">IF(ISNUMBER($CD5),$AY5*$CD5,"")</f>
        <v>4417.6386533265</v>
      </c>
      <c r="CF5" s="100">
        <f>IF($A5="","",IFERROR(INDEX('Territory Factors'!$F$6:$F$56,MATCH($K5,'Territory Factors'!$B$6:$B$56,0)),"?"))</f>
        <v>760</v>
      </c>
      <c r="CG5" s="98">
        <f>IF($A5="","",IFERROR(INDEX('Usage and Coverage'!$C$79:$C$84,MATCH($Y5,'Usage and Coverage'!$B$79:$B$84,0)),"?"))</f>
        <v>1.42</v>
      </c>
      <c r="CH5" s="100">
        <f>IFERROR(IF(ISNUMBER($CD5),$CF5*$CG5*MIN($BG5*$BA5*$BC5*$BD5*$BH5*$BF5,'Technical Premium'!$C$17),""),"")</f>
        <v>1114.5438</v>
      </c>
      <c r="CI5" s="100">
        <f t="shared" ref="CI5:CI68" si="5">IFERROR($CE5+$CH5,"")</f>
        <v>5532.1824533265</v>
      </c>
      <c r="CJ5" s="100">
        <f>IFERROR($CI5*(1+'Technical Premium'!$C$5)*(1+'Technical Premium'!$C$6),"")</f>
        <v>6273.49490207225</v>
      </c>
      <c r="CK5" s="100">
        <f>IFERROR($CE5*INDEX('Territory Factors'!$G$6:$G$56,MATCH($K5,'Territory Factors'!$B$6:$B$56,0))*$AU5*$AV5,"")</f>
        <v>275.660651967574</v>
      </c>
      <c r="CL5" s="100">
        <f>IFERROR(($CJ5+$CK5)*(1+'Technical Premium'!$C$7),"")</f>
        <v>7040.34222059281</v>
      </c>
      <c r="CM5" s="102">
        <f>IFERROR($CL5/'Technical Premium'!$C$13,"")</f>
        <v>12685.3012983654</v>
      </c>
      <c r="CN5" s="103">
        <f t="shared" ref="CN5:CN68" si="6">IFERROR($CM5/$J5*100,"")</f>
        <v>2.6705897470243</v>
      </c>
      <c r="CO5" s="102">
        <f t="shared" ref="CO5:CO68" si="7">IFERROR($CM5*(1+N($AQ5)),"")</f>
        <v>12685.3012983654</v>
      </c>
      <c r="CP5" s="103">
        <f t="shared" ref="CP5:CP68" si="8">IFERROR($CO5/$J5*100,"")</f>
        <v>2.6705897470243</v>
      </c>
      <c r="CQ5" s="104">
        <f t="shared" ref="CQ5:CQ68" si="9">IFERROR($CP5/$CN5,"")</f>
        <v>1</v>
      </c>
      <c r="CR5" s="100">
        <f>IF(ISNUMBER($CM5),'Technical Premium'!$C$14+IF($J5&gt;=1000000,'Technical Premium'!$C$15,0),"")</f>
        <v>350</v>
      </c>
      <c r="CS5" s="100">
        <f>IFERROR(($CO5+$CR5)*(INDEX('Territory Factors'!$K$6:$K$56,MATCH($K5,'Territory Factors'!$B$6:$B$56,0))+'Commission Structure'!$C$21),"")</f>
        <v>414.522581288021</v>
      </c>
      <c r="CT5" s="102">
        <f t="shared" ref="CT5:CT68" si="10">IFERROR($CO5+$CR5+$CS5,"")</f>
        <v>13449.8238796535</v>
      </c>
      <c r="CU5" s="100">
        <f>IFERROR($CO5*('Commission Structure'!$C$6+'Commission Structure'!$C$7),"")</f>
        <v>2219.92772721395</v>
      </c>
      <c r="CV5" s="100">
        <f>IFERROR($CO5*'Commission Structure'!$C$5-$CU5,"")</f>
        <v>1268.53012983654</v>
      </c>
      <c r="CW5" s="100">
        <f>IFERROR($CO5*(1-'Commission Structure'!$C$5),"")</f>
        <v>9196.84344131494</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inlineStr">
        <is>
          <t xml:space="preserve">TQ-C-2026-0168</t>
        </is>
      </c>
      <c r="B6" s="92" t="inlineStr">
        <is>
          <t xml:space="preserve">Aurelio Vasquez</t>
        </is>
      </c>
      <c r="C6" s="93">
        <v>45927</v>
      </c>
      <c r="D6" s="93">
        <v>46292</v>
      </c>
      <c r="E6" s="94">
        <v>2023</v>
      </c>
      <c r="F6" s="92" t="inlineStr">
        <is>
          <t xml:space="preserve">Maserati</t>
        </is>
      </c>
      <c r="G6" s="92" t="inlineStr">
        <is>
          <t xml:space="preserve">GranTurismo</t>
        </is>
      </c>
      <c r="H6" s="92" t="inlineStr">
        <is>
          <t xml:space="preserve">1Y7NEJZ5550ZB203F</t>
        </is>
      </c>
      <c r="I6" s="92" t="inlineStr">
        <is>
          <t xml:space="preserve">01 - Luxury Sedan / SUV</t>
        </is>
      </c>
      <c r="J6" s="95">
        <v>1415000</v>
      </c>
      <c r="K6" s="92" t="inlineStr">
        <is>
          <t xml:space="preserve">California</t>
        </is>
      </c>
      <c r="L6" s="92" t="inlineStr">
        <is>
          <t xml:space="preserve">90210</t>
        </is>
      </c>
      <c r="M6" s="92" t="inlineStr">
        <is>
          <t xml:space="preserve">Personal</t>
        </is>
      </c>
      <c r="N6" s="92" t="inlineStr">
        <is>
          <t xml:space="preserve">Personal - regular use</t>
        </is>
      </c>
      <c r="O6" s="92" t="inlineStr">
        <is>
          <t xml:space="preserve">1,000 - 2,500</t>
        </is>
      </c>
      <c r="P6" s="92" t="inlineStr">
        <is>
          <t xml:space="preserve">Locked private garage w/ monitored alarm</t>
        </is>
      </c>
      <c r="Q6" s="92" t="inlineStr">
        <is>
          <t xml:space="preserve">GPS tracker w/ recovery service</t>
        </is>
      </c>
      <c r="R6" s="92" t="inlineStr">
        <is>
          <t xml:space="preserve">55 - 64</t>
        </is>
      </c>
      <c r="S6" s="92" t="inlineStr">
        <is>
          <t xml:space="preserve">5 - 10 years</t>
        </is>
      </c>
      <c r="T6" s="92" t="inlineStr">
        <is>
          <t xml:space="preserve">Clean - no violations 3 yrs</t>
        </is>
      </c>
      <c r="U6" s="92" t="inlineStr">
        <is>
          <t xml:space="preserve">No at-fault claims - 5 yrs</t>
        </is>
      </c>
      <c r="V6" s="92" t="inlineStr">
        <is>
          <t xml:space="preserve">7 - 10 vehicles</t>
        </is>
      </c>
      <c r="W6" s="92" t="inlineStr">
        <is>
          <t xml:space="preserve">$2,500</t>
        </is>
      </c>
      <c r="X6" s="92" t="inlineStr">
        <is>
          <t xml:space="preserve">Agreed Value</t>
        </is>
      </c>
      <c r="Y6" s="92" t="inlineStr">
        <is>
          <t xml:space="preserve">$1,000,000 CSL</t>
        </is>
      </c>
      <c r="Z6" s="92" t="inlineStr">
        <is>
          <t xml:space="preserve">Los Angeles - Long Beach, CA</t>
        </is>
      </c>
      <c r="AA6" s="92" t="inlineStr">
        <is>
          <t xml:space="preserve">2% of agreed value, minimum $10,000</t>
        </is>
      </c>
      <c r="AB6" s="92"/>
      <c r="AC6" s="92"/>
      <c r="AD6" s="92"/>
      <c r="AE6" s="92"/>
      <c r="AF6" s="92"/>
      <c r="AG6" s="92"/>
      <c r="AH6" s="92" t="s">
        <v>517</v>
      </c>
      <c r="AI6" s="92"/>
      <c r="AJ6" s="92"/>
      <c r="AK6" s="92"/>
      <c r="AL6" s="92" t="s">
        <v>518</v>
      </c>
      <c r="AM6" s="92"/>
      <c r="AN6" s="92" t="s">
        <v>519</v>
      </c>
      <c r="AO6" s="92" t="s">
        <v>520</v>
      </c>
      <c r="AP6" s="92"/>
      <c r="AQ6" s="96">
        <v>0</v>
      </c>
      <c r="AR6" s="97" t="str">
        <f t="shared" si="0"/>
        <v>902</v>
      </c>
      <c r="AS6" s="97" t="str">
        <f>IF($A6="","",IF($AP6&lt;&gt;"",$AP6,IFERROR(INDEX('Cat Zone by ZIP'!$D$6:$D$856,MATCH($AR6,'Cat Zone by ZIP'!$B$6:$B$856,0)),IFERROR(INDEX('Cat Zone by ZIP'!$C$860:$C$910,MATCH($K6,'Cat Zone by ZIP'!$B$860:$B$910,0)),"NOT FOUND"))))</f>
        <v>Wildfire - moderate hazard</v>
      </c>
      <c r="AT6" s="97" t="str">
        <f>IF($A6="","",IF($AP6&lt;&gt;"","Override",IF(ISNUMBER(MATCH($AR6,'Cat Zone by ZIP'!$B$6:$B$856,0)),"ZIP-3","State default")))</f>
        <v>ZIP-3</v>
      </c>
      <c r="AU6" s="98">
        <f>IF($A6="","",IFERROR(INDEX('Natural Catastrophe'!$D$6:$D$17,MATCH($AS6,'Natural Catastrophe'!$B$6:$B$17,0)),"?"))</f>
        <v>1.3</v>
      </c>
      <c r="AV6" s="98">
        <f>IF($A6="","",IFERROR(INDEX('Natural Catastrophe'!$C$21:$C$26,MATCH($AA6,'Natural Catastrophe'!$B$21:$B$26,0)),"?"))</f>
        <v>0.8</v>
      </c>
      <c r="AW6" s="97" t="str">
        <f>IF($A6="","",IFERROR(INDEX('Base Rates'!$C$4:$I$4,MATCH(MAX($J6,'Technical Premium'!$C$18),'Base Rates'!$C$3:$I$3,1)),"?"))</f>
        <v>$1.0M - $2.0M</v>
      </c>
      <c r="AX6" s="99">
        <f>IF($A6="","",IFERROR(INDEX('Base Rates'!$C$5:$I$16,MATCH($I6,'Base Rates'!$B$5:$B$16,0),MATCH(MAX($J6,'Technical Premium'!$C$18),'Base Rates'!$C$3:$I$3,1)),"?"))</f>
        <v>0.55</v>
      </c>
      <c r="AY6" s="100">
        <f t="shared" si="1"/>
        <v>7782.5</v>
      </c>
      <c r="AZ6" s="98">
        <f>IF($A6="","",IFERROR(INDEX('Make Factors'!$G$5:$G$69,MATCH($F6,'Make Factors'!$B$5:$B$69,0)),"?"))</f>
        <v>0.972</v>
      </c>
      <c r="BA6" s="98">
        <f>IF($A6="","",IFERROR(INDEX('Driver Factors'!$C$6:$C$15,MATCH($R6,'Driver Factors'!$B$6:$B$15,0)),"?"))</f>
        <v>1</v>
      </c>
      <c r="BB6" s="98">
        <f>IF($A6="","",IFERROR(INDEX('Driver Factors'!$C$19:$C$24,MATCH($S6,'Driver Factors'!$B$19:$B$24,0)),"?"))</f>
        <v>1</v>
      </c>
      <c r="BC6" s="98">
        <f>IF($A6="","",IFERROR(INDEX('Driver Factors'!$C$28:$C$36,MATCH($T6,'Driver Factors'!$B$28:$B$36,0)),"?"))</f>
        <v>1</v>
      </c>
      <c r="BD6" s="98">
        <f>IF($A6="","",IFERROR(INDEX('Claims History'!$C$6:$C$15,MATCH($U6,'Claims History'!$B$6:$B$15,0)),"?"))</f>
        <v>0.9</v>
      </c>
      <c r="BE6" s="98">
        <f>IF($A6="","",IFERROR(INDEX('Territory Factors'!$E$6:$E$56,MATCH($K6,'Territory Factors'!$B$6:$B$56,0)),"?"))</f>
        <v>1.35</v>
      </c>
      <c r="BF6" s="98">
        <f>IF($A6="","",IFERROR(INDEX('City Accident Ratings'!$G$6:$G$54,MATCH($Z6,'City Accident Ratings'!$B$6:$B$54,0)),"?"))</f>
        <v>1.35</v>
      </c>
      <c r="BG6" s="98">
        <f>IF($A6="","",IFERROR(INDEX('Usage and Coverage'!$D$6:$D$20,MATCH($N6,'Usage and Coverage'!$C$6:$C$20,0)),"?"))</f>
        <v>1</v>
      </c>
      <c r="BH6" s="98">
        <f>IF($A6="","",IFERROR(INDEX('Usage and Coverage'!$C$24:$C$30,MATCH($O6,'Usage and Coverage'!$B$24:$B$30,0)),"?"))</f>
        <v>0.85</v>
      </c>
      <c r="BI6" s="98">
        <f>IF($A6="","",IFERROR(INDEX('Usage and Coverage'!$C$34:$C$40,MATCH($P6,'Usage and Coverage'!$B$34:$B$40,0)),"?"))</f>
        <v>0.9</v>
      </c>
      <c r="BJ6" s="98">
        <f>IF($A6="","",IFERROR(INDEX('Usage and Coverage'!$C$44:$C$49,MATCH($Q6,'Usage and Coverage'!$B$44:$B$49,0)),"?"))</f>
        <v>0.9</v>
      </c>
      <c r="BK6" s="98">
        <f>IF($A6="","",IFERROR(INDEX(Deductibles!$C$6:$I$15,MATCH($W6,Deductibles!$B$6:$B$15,0),MATCH(MAX($J6,'Technical Premium'!$C$18),'Base Rates'!$C$3:$I$3,1)),"?"))</f>
        <v>1</v>
      </c>
      <c r="BL6" s="98">
        <f>IF($A6="","",IFERROR(INDEX('Usage and Coverage'!$C$63:$C$66,MATCH($X6,'Usage and Coverage'!$B$63:$B$66,0)),"?"))</f>
        <v>1</v>
      </c>
      <c r="BM6" s="98">
        <f>IF($A6="","",IFERROR(INDEX('Usage and Coverage'!$C$70:$C$75,MATCH($V6,'Usage and Coverage'!$B$70:$B$75,0)),"?"))</f>
        <v>0.86</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1.035</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v>
      </c>
      <c r="BY6" s="97">
        <f>IF($A6="","",IF($AM6="",1,IFERROR(INDEX('Sublimits and Parts'!$C$91:$C$94,MATCH($AM6,'Sublimits and Parts'!$B$91:$B$94,0)),"?")))</f>
        <v>1</v>
      </c>
      <c r="BZ6" s="98">
        <f>IF($A6="","",IF($AN6="",1,IFERROR(INDEX('Sublimits and Parts'!$C$98:$C$101,MATCH($AN6,'Sublimits and Parts'!$B$98:$B$101,0)),"?")))</f>
        <v>1.045</v>
      </c>
      <c r="CA6" s="98">
        <f>IF($A6="","",IF($AO6="",1,IFERROR(INDEX('Sublimits and Parts'!$C$105:$C$109,MATCH($AO6,'Sublimits and Parts'!$B$105:$B$109,0)),"?")))</f>
        <v>1.03</v>
      </c>
      <c r="CB6" s="98">
        <f t="shared" si="2"/>
        <v>0.94401459153</v>
      </c>
      <c r="CC6" s="98">
        <f t="shared" si="3"/>
        <v>1.225424475</v>
      </c>
      <c r="CD6" s="101">
        <f>IF($A6="","",IF(OR($CB6="?",$CC6="?"),"?",MIN($CB6*$CC6,'Technical Premium'!$C$17)))</f>
        <v>1.15681858521799</v>
      </c>
      <c r="CE6" s="100">
        <f t="shared" si="4"/>
        <v>9002.94063945901</v>
      </c>
      <c r="CF6" s="100">
        <f>IF($A6="","",IFERROR(INDEX('Territory Factors'!$F$6:$F$56,MATCH($K6,'Territory Factors'!$B$6:$B$56,0)),"?"))</f>
        <v>760</v>
      </c>
      <c r="CG6" s="98">
        <f>IF($A6="","",IFERROR(INDEX('Usage and Coverage'!$C$79:$C$84,MATCH($Y6,'Usage and Coverage'!$B$79:$B$84,0)),"?"))</f>
        <v>1.42</v>
      </c>
      <c r="CH6" s="100">
        <f>IFERROR(IF(ISNUMBER($CD6),$CF6*$CG6*MIN($BG6*$BA6*$BC6*$BD6*$BH6*$BF6,'Technical Premium'!$C$17),""),"")</f>
        <v>1114.5438</v>
      </c>
      <c r="CI6" s="100">
        <f t="shared" si="5"/>
        <v>10117.484439459</v>
      </c>
      <c r="CJ6" s="100">
        <f>IFERROR($CI6*(1+'Technical Premium'!$C$5)*(1+'Technical Premium'!$C$6),"")</f>
        <v>11473.2273543465</v>
      </c>
      <c r="CK6" s="100">
        <f>IFERROR($CE6*INDEX('Territory Factors'!$G$6:$G$56,MATCH($K6,'Territory Factors'!$B$6:$B$56,0))*$AU6*$AV6,"")</f>
        <v>561.783495902242</v>
      </c>
      <c r="CL6" s="100">
        <f>IFERROR(($CJ6+$CK6)*(1+'Technical Premium'!$C$7),"")</f>
        <v>12937.6366640174</v>
      </c>
      <c r="CM6" s="102">
        <f>IFERROR($CL6/'Technical Premium'!$C$13,"")</f>
        <v>23311.0570522836</v>
      </c>
      <c r="CN6" s="103">
        <f t="shared" si="6"/>
        <v>1.64742452666315</v>
      </c>
      <c r="CO6" s="102">
        <f t="shared" si="7"/>
        <v>23311.0570522836</v>
      </c>
      <c r="CP6" s="103">
        <f t="shared" si="8"/>
        <v>1.64742452666315</v>
      </c>
      <c r="CQ6" s="104">
        <f t="shared" si="9"/>
        <v>1</v>
      </c>
      <c r="CR6" s="100">
        <f>IF(ISNUMBER($CM6),'Technical Premium'!$C$14+IF($J6&gt;=1000000,'Technical Premium'!$C$15,0),"")</f>
        <v>600</v>
      </c>
      <c r="CS6" s="100">
        <f>IFERROR(($CO6+$CR6)*(INDEX('Territory Factors'!$K$6:$K$56,MATCH($K6,'Territory Factors'!$B$6:$B$56,0))+'Commission Structure'!$C$21),"")</f>
        <v>760.37161426262</v>
      </c>
      <c r="CT6" s="102">
        <f t="shared" si="10"/>
        <v>24671.4286665462</v>
      </c>
      <c r="CU6" s="100">
        <f>IFERROR($CO6*('Commission Structure'!$C$6+'Commission Structure'!$C$7),"")</f>
        <v>4079.43498414963</v>
      </c>
      <c r="CV6" s="100">
        <f>IFERROR($CO6*'Commission Structure'!$C$5-$CU6,"")</f>
        <v>2331.10570522836</v>
      </c>
      <c r="CW6" s="100">
        <f>IFERROR($CO6*(1-'Commission Structure'!$C$5),"")</f>
        <v>16900.5163629056</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AUTO-BIND</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YES - within authority</v>
      </c>
      <c r="DH6" s="97">
        <f>IF($A6="","",IF(OR($CX6="REFER",$CX6="DECLINE"),COUNTIF($CX$5:$CX6,"REFER")+COUNTIF($CX$5:$CX6,"DECLINE"),""))</f>
        <v>1</v>
      </c>
      <c r="DI6" s="92"/>
    </row>
    <row r="7" spans="1:113" x14ac:dyDescent="0.25">
      <c r="A7" s="92" t="inlineStr">
        <is>
          <t xml:space="preserve">TQ-C-2026-0169</t>
        </is>
      </c>
      <c r="B7" s="92" t="inlineStr">
        <is>
          <t xml:space="preserve">Aurelio Vasquez</t>
        </is>
      </c>
      <c r="C7" s="93">
        <v>45927</v>
      </c>
      <c r="D7" s="93">
        <v>46292</v>
      </c>
      <c r="E7" s="94">
        <v>2023</v>
      </c>
      <c r="F7" s="92" t="inlineStr">
        <is>
          <t xml:space="preserve">Ferrari</t>
        </is>
      </c>
      <c r="G7" s="92" t="inlineStr">
        <is>
          <t xml:space="preserve">296 GTB</t>
        </is>
      </c>
      <c r="H7" s="92" t="inlineStr">
        <is>
          <t xml:space="preserve">EEJ2NE71N3P47G76V</t>
        </is>
      </c>
      <c r="I7" s="92" t="inlineStr">
        <is>
          <t xml:space="preserve">03 - Supercar</t>
        </is>
      </c>
      <c r="J7" s="95">
        <v>785000</v>
      </c>
      <c r="K7" s="92" t="inlineStr">
        <is>
          <t xml:space="preserve">California</t>
        </is>
      </c>
      <c r="L7" s="92" t="inlineStr">
        <is>
          <t xml:space="preserve">90210</t>
        </is>
      </c>
      <c r="M7" s="92" t="inlineStr">
        <is>
          <t xml:space="preserve">Personal</t>
        </is>
      </c>
      <c r="N7" s="92" t="inlineStr">
        <is>
          <t xml:space="preserve">Personal - regular use</t>
        </is>
      </c>
      <c r="O7" s="92" t="inlineStr">
        <is>
          <t xml:space="preserve">1,000 - 2,500</t>
        </is>
      </c>
      <c r="P7" s="92" t="inlineStr">
        <is>
          <t xml:space="preserve">Locked private garage w/ monitored alarm</t>
        </is>
      </c>
      <c r="Q7" s="92" t="inlineStr">
        <is>
          <t xml:space="preserve">GPS tracker w/ recovery service</t>
        </is>
      </c>
      <c r="R7" s="92" t="inlineStr">
        <is>
          <t xml:space="preserve">55 - 64</t>
        </is>
      </c>
      <c r="S7" s="92" t="inlineStr">
        <is>
          <t xml:space="preserve">5 - 10 years</t>
        </is>
      </c>
      <c r="T7" s="92" t="inlineStr">
        <is>
          <t xml:space="preserve">Clean - no violations 3 yrs</t>
        </is>
      </c>
      <c r="U7" s="92" t="inlineStr">
        <is>
          <t xml:space="preserve">No at-fault claims - 5 yrs</t>
        </is>
      </c>
      <c r="V7" s="92" t="inlineStr">
        <is>
          <t xml:space="preserve">7 - 10 vehicles</t>
        </is>
      </c>
      <c r="W7" s="92" t="inlineStr">
        <is>
          <t xml:space="preserve">$5,000</t>
        </is>
      </c>
      <c r="X7" s="92" t="inlineStr">
        <is>
          <t xml:space="preserve">Agreed Value</t>
        </is>
      </c>
      <c r="Y7" s="92" t="inlineStr">
        <is>
          <t xml:space="preserve">$1,000,000 CSL</t>
        </is>
      </c>
      <c r="Z7" s="92" t="inlineStr">
        <is>
          <t xml:space="preserve">Los Angeles - Long Beach, CA</t>
        </is>
      </c>
      <c r="AA7" s="92" t="inlineStr">
        <is>
          <t xml:space="preserve">2% of agreed value, minimum $10,000</t>
        </is>
      </c>
      <c r="AB7" s="92"/>
      <c r="AC7" s="92"/>
      <c r="AD7" s="92"/>
      <c r="AE7" s="92"/>
      <c r="AF7" s="92"/>
      <c r="AG7" s="92"/>
      <c r="AH7" s="92"/>
      <c r="AI7" s="92"/>
      <c r="AJ7" s="92"/>
      <c r="AK7" s="92"/>
      <c r="AL7" s="92"/>
      <c r="AM7" s="92"/>
      <c r="AN7" s="92"/>
      <c r="AO7" s="92"/>
      <c r="AP7" s="92"/>
      <c r="AQ7" s="96">
        <v>0</v>
      </c>
      <c r="AR7" s="97" t="str">
        <f t="shared" si="0"/>
        <v>902</v>
      </c>
      <c r="AS7" s="97" t="str">
        <f>IF($A7="","",IF($AP7&lt;&gt;"",$AP7,IFERROR(INDEX('Cat Zone by ZIP'!$D$6:$D$856,MATCH($AR7,'Cat Zone by ZIP'!$B$6:$B$856,0)),IFERROR(INDEX('Cat Zone by ZIP'!$C$860:$C$910,MATCH($K7,'Cat Zone by ZIP'!$B$860:$B$910,0)),"NOT FOUND"))))</f>
        <v>Wildfire - moderate hazard</v>
      </c>
      <c r="AT7" s="97" t="str">
        <f>IF($A7="","",IF($AP7&lt;&gt;"","Override",IF(ISNUMBER(MATCH($AR7,'Cat Zone by ZIP'!$B$6:$B$856,0)),"ZIP-3","State default")))</f>
        <v>ZIP-3</v>
      </c>
      <c r="AU7" s="98">
        <f>IF($A7="","",IFERROR(INDEX('Natural Catastrophe'!$D$6:$D$17,MATCH($AS7,'Natural Catastrophe'!$B$6:$B$17,0)),"?"))</f>
        <v>1.3</v>
      </c>
      <c r="AV7" s="98">
        <f>IF($A7="","",IFERROR(INDEX('Natural Catastrophe'!$C$21:$C$26,MATCH($AA7,'Natural Catastrophe'!$B$21:$B$26,0)),"?"))</f>
        <v>0.8</v>
      </c>
      <c r="AW7" s="97" t="str">
        <f>IF($A7="","",IFERROR(INDEX('Base Rates'!$C$4:$I$4,MATCH(MAX($J7,'Technical Premium'!$C$18),'Base Rates'!$C$3:$I$3,1)),"?"))</f>
        <v>$500k - $1.0M</v>
      </c>
      <c r="AX7" s="99">
        <f>IF($A7="","",IFERROR(INDEX('Base Rates'!$C$5:$I$16,MATCH($I7,'Base Rates'!$B$5:$B$16,0),MATCH(MAX($J7,'Technical Premium'!$C$18),'Base Rates'!$C$3:$I$3,1)),"?"))</f>
        <v>0.95</v>
      </c>
      <c r="AY7" s="100">
        <f t="shared" si="1"/>
        <v>7457.5</v>
      </c>
      <c r="AZ7" s="98">
        <f>IF($A7="","",IFERROR(INDEX('Make Factors'!$G$5:$G$69,MATCH($F7,'Make Factors'!$B$5:$B$69,0)),"?"))</f>
        <v>1.087</v>
      </c>
      <c r="BA7" s="98">
        <f>IF($A7="","",IFERROR(INDEX('Driver Factors'!$C$6:$C$15,MATCH($R7,'Driver Factors'!$B$6:$B$15,0)),"?"))</f>
        <v>1</v>
      </c>
      <c r="BB7" s="98">
        <f>IF($A7="","",IFERROR(INDEX('Driver Factors'!$C$19:$C$24,MATCH($S7,'Driver Factors'!$B$19:$B$24,0)),"?"))</f>
        <v>1</v>
      </c>
      <c r="BC7" s="98">
        <f>IF($A7="","",IFERROR(INDEX('Driver Factors'!$C$28:$C$36,MATCH($T7,'Driver Factors'!$B$28:$B$36,0)),"?"))</f>
        <v>1</v>
      </c>
      <c r="BD7" s="98">
        <f>IF($A7="","",IFERROR(INDEX('Claims History'!$C$6:$C$15,MATCH($U7,'Claims History'!$B$6:$B$15,0)),"?"))</f>
        <v>0.9</v>
      </c>
      <c r="BE7" s="98">
        <f>IF($A7="","",IFERROR(INDEX('Territory Factors'!$E$6:$E$56,MATCH($K7,'Territory Factors'!$B$6:$B$56,0)),"?"))</f>
        <v>1.35</v>
      </c>
      <c r="BF7" s="98">
        <f>IF($A7="","",IFERROR(INDEX('City Accident Ratings'!$G$6:$G$54,MATCH($Z7,'City Accident Ratings'!$B$6:$B$54,0)),"?"))</f>
        <v>1.35</v>
      </c>
      <c r="BG7" s="98">
        <f>IF($A7="","",IFERROR(INDEX('Usage and Coverage'!$D$6:$D$20,MATCH($N7,'Usage and Coverage'!$C$6:$C$20,0)),"?"))</f>
        <v>1</v>
      </c>
      <c r="BH7" s="98">
        <f>IF($A7="","",IFERROR(INDEX('Usage and Coverage'!$C$24:$C$30,MATCH($O7,'Usage and Coverage'!$B$24:$B$30,0)),"?"))</f>
        <v>0.85</v>
      </c>
      <c r="BI7" s="98">
        <f>IF($A7="","",IFERROR(INDEX('Usage and Coverage'!$C$34:$C$40,MATCH($P7,'Usage and Coverage'!$B$34:$B$40,0)),"?"))</f>
        <v>0.9</v>
      </c>
      <c r="BJ7" s="98">
        <f>IF($A7="","",IFERROR(INDEX('Usage and Coverage'!$C$44:$C$49,MATCH($Q7,'Usage and Coverage'!$B$44:$B$49,0)),"?"))</f>
        <v>0.9</v>
      </c>
      <c r="BK7" s="98">
        <f>IF($A7="","",IFERROR(INDEX(Deductibles!$C$6:$I$15,MATCH($W7,Deductibles!$B$6:$B$15,0),MATCH(MAX($J7,'Technical Premium'!$C$18),'Base Rates'!$C$3:$I$3,1)),"?"))</f>
        <v>0.96</v>
      </c>
      <c r="BL7" s="98">
        <f>IF($A7="","",IFERROR(INDEX('Usage and Coverage'!$C$63:$C$66,MATCH($X7,'Usage and Coverage'!$B$63:$B$66,0)),"?"))</f>
        <v>1</v>
      </c>
      <c r="BM7" s="98">
        <f>IF($A7="","",IFERROR(INDEX('Usage and Coverage'!$C$70:$C$75,MATCH($V7,'Usage and Coverage'!$B$70:$B$75,0)),"?"))</f>
        <v>0.86</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1.0134754182648</v>
      </c>
      <c r="CC7" s="98">
        <f t="shared" si="3"/>
        <v>1</v>
      </c>
      <c r="CD7" s="101">
        <f>IF($A7="","",IF(OR($CB7="?",$CC7="?"),"?",MIN($CB7*$CC7,'Technical Premium'!$C$17)))</f>
        <v>1.0134754182648</v>
      </c>
      <c r="CE7" s="100">
        <f t="shared" si="4"/>
        <v>7557.99293170975</v>
      </c>
      <c r="CF7" s="100">
        <f>IF($A7="","",IFERROR(INDEX('Territory Factors'!$F$6:$F$56,MATCH($K7,'Territory Factors'!$B$6:$B$56,0)),"?"))</f>
        <v>760</v>
      </c>
      <c r="CG7" s="98">
        <f>IF($A7="","",IFERROR(INDEX('Usage and Coverage'!$C$79:$C$84,MATCH($Y7,'Usage and Coverage'!$B$79:$B$84,0)),"?"))</f>
        <v>1.42</v>
      </c>
      <c r="CH7" s="100">
        <f>IFERROR(IF(ISNUMBER($CD7),$CF7*$CG7*MIN($BG7*$BA7*$BC7*$BD7*$BH7*$BF7,'Technical Premium'!$C$17),""),"")</f>
        <v>1114.5438</v>
      </c>
      <c r="CI7" s="100">
        <f t="shared" si="5"/>
        <v>8672.53673170975</v>
      </c>
      <c r="CJ7" s="100">
        <f>IFERROR($CI7*(1+'Technical Premium'!$C$5)*(1+'Technical Premium'!$C$6),"")</f>
        <v>9834.65665375885</v>
      </c>
      <c r="CK7" s="100">
        <f>IFERROR($CE7*INDEX('Territory Factors'!$G$6:$G$56,MATCH($K7,'Territory Factors'!$B$6:$B$56,0))*$AU7*$AV7,"")</f>
        <v>471.618758938688</v>
      </c>
      <c r="CL7" s="100">
        <f>IFERROR(($CJ7+$CK7)*(1+'Technical Premium'!$C$7),"")</f>
        <v>11079.2460686499</v>
      </c>
      <c r="CM7" s="102">
        <f>IFERROR($CL7/'Technical Premium'!$C$13,"")</f>
        <v>19962.6055290988</v>
      </c>
      <c r="CN7" s="103">
        <f t="shared" si="6"/>
        <v>2.54300707377055</v>
      </c>
      <c r="CO7" s="102">
        <f t="shared" si="7"/>
        <v>19962.6055290988</v>
      </c>
      <c r="CP7" s="103">
        <f t="shared" si="8"/>
        <v>2.54300707377055</v>
      </c>
      <c r="CQ7" s="104">
        <f t="shared" si="9"/>
        <v>1</v>
      </c>
      <c r="CR7" s="100">
        <f>IF(ISNUMBER($CM7),'Technical Premium'!$C$14+IF($J7&gt;=1000000,'Technical Premium'!$C$15,0),"")</f>
        <v>350</v>
      </c>
      <c r="CS7" s="100">
        <f>IFERROR(($CO7+$CR7)*(INDEX('Territory Factors'!$K$6:$K$56,MATCH($K7,'Territory Factors'!$B$6:$B$56,0))+'Commission Structure'!$C$21),"")</f>
        <v>645.940855825343</v>
      </c>
      <c r="CT7" s="102">
        <f t="shared" si="10"/>
        <v>20958.5463849242</v>
      </c>
      <c r="CU7" s="100">
        <f>IFERROR($CO7*('Commission Structure'!$C$6+'Commission Structure'!$C$7),"")</f>
        <v>3493.4559675923</v>
      </c>
      <c r="CV7" s="100">
        <f>IFERROR($CO7*'Commission Structure'!$C$5-$CU7,"")</f>
        <v>1996.26055290989</v>
      </c>
      <c r="CW7" s="100">
        <f>IFERROR($CO7*(1-'Commission Structure'!$C$5),"")</f>
        <v>14472.8890085967</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0</v>
      </c>
      <c r="CZ7" s="97" t="str">
        <f>IF($CY7="","",IF($CY7&lt;'Technical Premium'!$C$19,"BEYOND AUTHORITY",IF($CY7&gt;0.005,"Above technical",IF($CY7&lt;-0.005,"BELOW technical","At technical"))))</f>
        <v>At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inlineStr">
        <is>
          <t xml:space="preserve">TQ-C-2026-0170</t>
        </is>
      </c>
      <c r="B8" s="92" t="inlineStr">
        <is>
          <t xml:space="preserve">Aurelio Vasquez</t>
        </is>
      </c>
      <c r="C8" s="93">
        <v>45927</v>
      </c>
      <c r="D8" s="93">
        <v>46292</v>
      </c>
      <c r="E8" s="94">
        <v>2021</v>
      </c>
      <c r="F8" s="92" t="inlineStr">
        <is>
          <t xml:space="preserve">Lamborghini</t>
        </is>
      </c>
      <c r="G8" s="92" t="inlineStr">
        <is>
          <t xml:space="preserve">Huracan EVO</t>
        </is>
      </c>
      <c r="H8" s="92" t="inlineStr">
        <is>
          <t xml:space="preserve">S4A359GJNZLLGXJGR</t>
        </is>
      </c>
      <c r="I8" s="92" t="inlineStr">
        <is>
          <t xml:space="preserve">03 - Supercar</t>
        </is>
      </c>
      <c r="J8" s="95">
        <v>1125000</v>
      </c>
      <c r="K8" s="92" t="inlineStr">
        <is>
          <t xml:space="preserve">California</t>
        </is>
      </c>
      <c r="L8" s="92" t="inlineStr">
        <is>
          <t xml:space="preserve">90210</t>
        </is>
      </c>
      <c r="M8" s="92" t="inlineStr">
        <is>
          <t xml:space="preserve">Personal</t>
        </is>
      </c>
      <c r="N8" s="92" t="inlineStr">
        <is>
          <t xml:space="preserve">Personal - regular use</t>
        </is>
      </c>
      <c r="O8" s="92" t="inlineStr">
        <is>
          <t xml:space="preserve">1,000 - 2,500</t>
        </is>
      </c>
      <c r="P8" s="92" t="inlineStr">
        <is>
          <t xml:space="preserve">Locked private garage w/ monitored alarm</t>
        </is>
      </c>
      <c r="Q8" s="92" t="inlineStr">
        <is>
          <t xml:space="preserve">GPS tracker w/ recovery service</t>
        </is>
      </c>
      <c r="R8" s="92" t="inlineStr">
        <is>
          <t xml:space="preserve">55 - 64</t>
        </is>
      </c>
      <c r="S8" s="92" t="inlineStr">
        <is>
          <t xml:space="preserve">5 - 10 years</t>
        </is>
      </c>
      <c r="T8" s="92" t="inlineStr">
        <is>
          <t xml:space="preserve">Clean - no violations 3 yrs</t>
        </is>
      </c>
      <c r="U8" s="92" t="inlineStr">
        <is>
          <t xml:space="preserve">No at-fault claims - 5 yrs</t>
        </is>
      </c>
      <c r="V8" s="92" t="inlineStr">
        <is>
          <t xml:space="preserve">7 - 10 vehicles</t>
        </is>
      </c>
      <c r="W8" s="92" t="inlineStr">
        <is>
          <t xml:space="preserve">$5,000</t>
        </is>
      </c>
      <c r="X8" s="92" t="inlineStr">
        <is>
          <t xml:space="preserve">Agreed Value</t>
        </is>
      </c>
      <c r="Y8" s="92" t="inlineStr">
        <is>
          <t xml:space="preserve">$1,000,000 CSL</t>
        </is>
      </c>
      <c r="Z8" s="92" t="inlineStr">
        <is>
          <t xml:space="preserve">Los Angeles - Long Beach, CA</t>
        </is>
      </c>
      <c r="AA8" s="92" t="inlineStr">
        <is>
          <t xml:space="preserve">2% of agreed value, minimum $10,000</t>
        </is>
      </c>
      <c r="AB8" s="92" t="s">
        <v>549</v>
      </c>
      <c r="AC8" s="92"/>
      <c r="AD8" s="92" t="s">
        <v>550</v>
      </c>
      <c r="AE8" s="92"/>
      <c r="AF8" s="92"/>
      <c r="AG8" s="92"/>
      <c r="AH8" s="92"/>
      <c r="AI8" s="92" t="s">
        <v>551</v>
      </c>
      <c r="AJ8" s="92" t="s">
        <v>551</v>
      </c>
      <c r="AK8" s="92"/>
      <c r="AL8" s="92"/>
      <c r="AM8" s="92"/>
      <c r="AN8" s="92" t="s">
        <v>551</v>
      </c>
      <c r="AO8" s="92"/>
      <c r="AP8" s="92"/>
      <c r="AQ8" s="96">
        <v>0</v>
      </c>
      <c r="AR8" s="97" t="str">
        <f t="shared" si="0"/>
        <v>902</v>
      </c>
      <c r="AS8" s="97" t="str">
        <f>IF($A8="","",IF($AP8&lt;&gt;"",$AP8,IFERROR(INDEX('Cat Zone by ZIP'!$D$6:$D$856,MATCH($AR8,'Cat Zone by ZIP'!$B$6:$B$856,0)),IFERROR(INDEX('Cat Zone by ZIP'!$C$860:$C$910,MATCH($K8,'Cat Zone by ZIP'!$B$860:$B$910,0)),"NOT FOUND"))))</f>
        <v>Wildfire - moderate hazard</v>
      </c>
      <c r="AT8" s="97" t="str">
        <f>IF($A8="","",IF($AP8&lt;&gt;"","Override",IF(ISNUMBER(MATCH($AR8,'Cat Zone by ZIP'!$B$6:$B$856,0)),"ZIP-3","State default")))</f>
        <v>ZIP-3</v>
      </c>
      <c r="AU8" s="98">
        <f>IF($A8="","",IFERROR(INDEX('Natural Catastrophe'!$D$6:$D$17,MATCH($AS8,'Natural Catastrophe'!$B$6:$B$17,0)),"?"))</f>
        <v>1.3</v>
      </c>
      <c r="AV8" s="98">
        <f>IF($A8="","",IFERROR(INDEX('Natural Catastrophe'!$C$21:$C$26,MATCH($AA8,'Natural Catastrophe'!$B$21:$B$26,0)),"?"))</f>
        <v>0.8</v>
      </c>
      <c r="AW8" s="97" t="str">
        <f>IF($A8="","",IFERROR(INDEX('Base Rates'!$C$4:$I$4,MATCH(MAX($J8,'Technical Premium'!$C$18),'Base Rates'!$C$3:$I$3,1)),"?"))</f>
        <v>$1.0M - $2.0M</v>
      </c>
      <c r="AX8" s="99">
        <f>IF($A8="","",IFERROR(INDEX('Base Rates'!$C$5:$I$16,MATCH($I8,'Base Rates'!$B$5:$B$16,0),MATCH(MAX($J8,'Technical Premium'!$C$18),'Base Rates'!$C$3:$I$3,1)),"?"))</f>
        <v>0.8</v>
      </c>
      <c r="AY8" s="100">
        <f t="shared" si="1"/>
        <v>9000</v>
      </c>
      <c r="AZ8" s="98">
        <f>IF($A8="","",IFERROR(INDEX('Make Factors'!$G$5:$G$69,MATCH($F8,'Make Factors'!$B$5:$B$69,0)),"?"))</f>
        <v>1.127</v>
      </c>
      <c r="BA8" s="98">
        <f>IF($A8="","",IFERROR(INDEX('Driver Factors'!$C$6:$C$15,MATCH($R8,'Driver Factors'!$B$6:$B$15,0)),"?"))</f>
        <v>1</v>
      </c>
      <c r="BB8" s="98">
        <f>IF($A8="","",IFERROR(INDEX('Driver Factors'!$C$19:$C$24,MATCH($S8,'Driver Factors'!$B$19:$B$24,0)),"?"))</f>
        <v>1</v>
      </c>
      <c r="BC8" s="98">
        <f>IF($A8="","",IFERROR(INDEX('Driver Factors'!$C$28:$C$36,MATCH($T8,'Driver Factors'!$B$28:$B$36,0)),"?"))</f>
        <v>1</v>
      </c>
      <c r="BD8" s="98">
        <f>IF($A8="","",IFERROR(INDEX('Claims History'!$C$6:$C$15,MATCH($U8,'Claims History'!$B$6:$B$15,0)),"?"))</f>
        <v>0.9</v>
      </c>
      <c r="BE8" s="98">
        <f>IF($A8="","",IFERROR(INDEX('Territory Factors'!$E$6:$E$56,MATCH($K8,'Territory Factors'!$B$6:$B$56,0)),"?"))</f>
        <v>1.35</v>
      </c>
      <c r="BF8" s="98">
        <f>IF($A8="","",IFERROR(INDEX('City Accident Ratings'!$G$6:$G$54,MATCH($Z8,'City Accident Ratings'!$B$6:$B$54,0)),"?"))</f>
        <v>1.35</v>
      </c>
      <c r="BG8" s="98">
        <f>IF($A8="","",IFERROR(INDEX('Usage and Coverage'!$D$6:$D$20,MATCH($N8,'Usage and Coverage'!$C$6:$C$20,0)),"?"))</f>
        <v>1</v>
      </c>
      <c r="BH8" s="98">
        <f>IF($A8="","",IFERROR(INDEX('Usage and Coverage'!$C$24:$C$30,MATCH($O8,'Usage and Coverage'!$B$24:$B$30,0)),"?"))</f>
        <v>0.85</v>
      </c>
      <c r="BI8" s="98">
        <f>IF($A8="","",IFERROR(INDEX('Usage and Coverage'!$C$34:$C$40,MATCH($P8,'Usage and Coverage'!$B$34:$B$40,0)),"?"))</f>
        <v>0.9</v>
      </c>
      <c r="BJ8" s="98">
        <f>IF($A8="","",IFERROR(INDEX('Usage and Coverage'!$C$44:$C$49,MATCH($Q8,'Usage and Coverage'!$B$44:$B$49,0)),"?"))</f>
        <v>0.9</v>
      </c>
      <c r="BK8" s="98">
        <f>IF($A8="","",IFERROR(INDEX(Deductibles!$C$6:$I$15,MATCH($W8,Deductibles!$B$6:$B$15,0),MATCH(MAX($J8,'Technical Premium'!$C$18),'Base Rates'!$C$3:$I$3,1)),"?"))</f>
        <v>0.98</v>
      </c>
      <c r="BL8" s="98">
        <f>IF($A8="","",IFERROR(INDEX('Usage and Coverage'!$C$63:$C$66,MATCH($X8,'Usage and Coverage'!$B$63:$B$66,0)),"?"))</f>
        <v>1</v>
      </c>
      <c r="BM8" s="98">
        <f>IF($A8="","",IFERROR(INDEX('Usage and Coverage'!$C$70:$C$75,MATCH($V8,'Usage and Coverage'!$B$70:$B$75,0)),"?"))</f>
        <v>0.86</v>
      </c>
      <c r="BN8" s="98">
        <f>IF($A8="","",IF($AB8="",1,IFERROR(INDEX(Deductibles!$C$48:$C$51,MATCH($AB8,Deductibles!$B$48:$B$51,0)),"?")))</f>
        <v>0.975</v>
      </c>
      <c r="BO8" s="97">
        <f>IF($A8="","",IF($AC8="",1,IFERROR(INDEX(Deductibles!$C$55:$C$57,MATCH($AC8,Deductibles!$B$55:$B$57,0)),"?")))</f>
        <v>1</v>
      </c>
      <c r="BP8" s="98">
        <f>IF($A8="","",IF($AD8="",1,IFERROR(INDEX(Deductibles!$C$61:$C$63,MATCH($AD8,Deductibles!$B$61:$B$63,0)),"?")))</f>
        <v>0.975</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0.985</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1.07266085983665</v>
      </c>
      <c r="CC8" s="98">
        <f t="shared" si="3"/>
        <v>0.896214267</v>
      </c>
      <c r="CD8" s="101">
        <f>IF($A8="","",IF(OR($CB8="?",$CC8="?"),"?",MIN($CB8*$CC8,'Technical Premium'!$C$17)))</f>
        <v>0.961333966238093</v>
      </c>
      <c r="CE8" s="100">
        <f t="shared" si="4"/>
        <v>8652.00569614284</v>
      </c>
      <c r="CF8" s="100">
        <f>IF($A8="","",IFERROR(INDEX('Territory Factors'!$F$6:$F$56,MATCH($K8,'Territory Factors'!$B$6:$B$56,0)),"?"))</f>
        <v>760</v>
      </c>
      <c r="CG8" s="98">
        <f>IF($A8="","",IFERROR(INDEX('Usage and Coverage'!$C$79:$C$84,MATCH($Y8,'Usage and Coverage'!$B$79:$B$84,0)),"?"))</f>
        <v>1.42</v>
      </c>
      <c r="CH8" s="100">
        <f>IFERROR(IF(ISNUMBER($CD8),$CF8*$CG8*MIN($BG8*$BA8*$BC8*$BD8*$BH8*$BF8,'Technical Premium'!$C$17),""),"")</f>
        <v>1114.5438</v>
      </c>
      <c r="CI8" s="100">
        <f t="shared" si="5"/>
        <v>9766.54949614284</v>
      </c>
      <c r="CJ8" s="100">
        <f>IFERROR($CI8*(1+'Technical Premium'!$C$5)*(1+'Technical Premium'!$C$6),"")</f>
        <v>11075.267128626</v>
      </c>
      <c r="CK8" s="100">
        <f>IFERROR($CE8*INDEX('Territory Factors'!$G$6:$G$56,MATCH($K8,'Territory Factors'!$B$6:$B$56,0))*$AU8*$AV8,"")</f>
        <v>539.885155439313</v>
      </c>
      <c r="CL8" s="100">
        <f>IFERROR(($CJ8+$CK8)*(1+'Technical Premium'!$C$7),"")</f>
        <v>12486.2887053702</v>
      </c>
      <c r="CM8" s="102">
        <f>IFERROR($CL8/'Technical Premium'!$C$13,"")</f>
        <v>22497.8174871535</v>
      </c>
      <c r="CN8" s="103">
        <f t="shared" si="6"/>
        <v>1.99980599885809</v>
      </c>
      <c r="CO8" s="102">
        <f t="shared" si="7"/>
        <v>22497.8174871535</v>
      </c>
      <c r="CP8" s="103">
        <f t="shared" si="8"/>
        <v>1.99980599885809</v>
      </c>
      <c r="CQ8" s="104">
        <f t="shared" si="9"/>
        <v>1</v>
      </c>
      <c r="CR8" s="100">
        <f>IF(ISNUMBER($CM8),'Technical Premium'!$C$14+IF($J8&gt;=1000000,'Technical Premium'!$C$15,0),"")</f>
        <v>600</v>
      </c>
      <c r="CS8" s="100">
        <f>IFERROR(($CO8+$CR8)*(INDEX('Territory Factors'!$K$6:$K$56,MATCH($K8,'Territory Factors'!$B$6:$B$56,0))+'Commission Structure'!$C$21),"")</f>
        <v>734.510596091481</v>
      </c>
      <c r="CT8" s="102">
        <f t="shared" si="10"/>
        <v>23832.328083245</v>
      </c>
      <c r="CU8" s="100">
        <f>IFERROR($CO8*('Commission Structure'!$C$6+'Commission Structure'!$C$7),"")</f>
        <v>3937.11806025186</v>
      </c>
      <c r="CV8" s="100">
        <f>IFERROR($CO8*'Commission Structure'!$C$5-$CU8,"")</f>
        <v>2249.78174871535</v>
      </c>
      <c r="CW8" s="100">
        <f>IFERROR($CO8*(1-'Commission Structure'!$C$5),"")</f>
        <v>16310.9176781863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AUTO-BIND</v>
      </c>
      <c r="CY8" s="106">
        <f t="shared" si="11"/>
        <v>0</v>
      </c>
      <c r="CZ8" s="97" t="str">
        <f>IF($CY8="","",IF($CY8&lt;'Technical Premium'!$C$19,"BEYOND AUTHORITY",IF($CY8&gt;0.005,"Above technical",IF($CY8&lt;-0.005,"BELOW technical","At technical"))))</f>
        <v>At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YES - within authority</v>
      </c>
      <c r="DH8" s="97">
        <f>IF($A8="","",IF(OR($CX8="REFER",$CX8="DECLINE"),COUNTIF($CX$5:$CX8,"REFER")+COUNTIF($CX$5:$CX8,"DECLINE"),""))</f>
        <v>2</v>
      </c>
      <c r="DI8" s="92"/>
    </row>
    <row r="9" spans="1:113" x14ac:dyDescent="0.25">
      <c r="A9" s="92" t="inlineStr">
        <is>
          <t xml:space="preserve">TQ-C-2026-0171</t>
        </is>
      </c>
      <c r="B9" s="92" t="inlineStr">
        <is>
          <t xml:space="preserve">Aurelio Vasquez</t>
        </is>
      </c>
      <c r="C9" s="93">
        <v>45927</v>
      </c>
      <c r="D9" s="93">
        <v>46292</v>
      </c>
      <c r="E9" s="94">
        <v>2021</v>
      </c>
      <c r="F9" s="92" t="inlineStr">
        <is>
          <t xml:space="preserve">Mercedes-AMG</t>
        </is>
      </c>
      <c r="G9" s="92" t="inlineStr">
        <is>
          <t xml:space="preserve">AMG GT</t>
        </is>
      </c>
      <c r="H9" s="92" t="inlineStr">
        <is>
          <t xml:space="preserve">JA0GKHYY2TGAGVK9U</t>
        </is>
      </c>
      <c r="I9" s="92" t="inlineStr">
        <is>
          <t xml:space="preserve">01 - Luxury Sedan / SUV</t>
        </is>
      </c>
      <c r="J9" s="95">
        <v>720000</v>
      </c>
      <c r="K9" s="92" t="inlineStr">
        <is>
          <t xml:space="preserve">California</t>
        </is>
      </c>
      <c r="L9" s="92" t="inlineStr">
        <is>
          <t xml:space="preserve">90210</t>
        </is>
      </c>
      <c r="M9" s="92" t="inlineStr">
        <is>
          <t xml:space="preserve">Personal</t>
        </is>
      </c>
      <c r="N9" s="92" t="inlineStr">
        <is>
          <t xml:space="preserve">Personal - regular use</t>
        </is>
      </c>
      <c r="O9" s="92" t="inlineStr">
        <is>
          <t xml:space="preserve">1,000 - 2,500</t>
        </is>
      </c>
      <c r="P9" s="92" t="inlineStr">
        <is>
          <t xml:space="preserve">Locked private garage w/ monitored alarm</t>
        </is>
      </c>
      <c r="Q9" s="92" t="inlineStr">
        <is>
          <t xml:space="preserve">GPS tracker w/ recovery service</t>
        </is>
      </c>
      <c r="R9" s="92" t="inlineStr">
        <is>
          <t xml:space="preserve">55 - 64</t>
        </is>
      </c>
      <c r="S9" s="92" t="inlineStr">
        <is>
          <t xml:space="preserve">5 - 10 years</t>
        </is>
      </c>
      <c r="T9" s="92" t="inlineStr">
        <is>
          <t xml:space="preserve">Clean - no violations 3 yrs</t>
        </is>
      </c>
      <c r="U9" s="92" t="inlineStr">
        <is>
          <t xml:space="preserve">No at-fault claims - 5 yrs</t>
        </is>
      </c>
      <c r="V9" s="92" t="inlineStr">
        <is>
          <t xml:space="preserve">7 - 10 vehicles</t>
        </is>
      </c>
      <c r="W9" s="92" t="inlineStr">
        <is>
          <t xml:space="preserve">$2,500</t>
        </is>
      </c>
      <c r="X9" s="92" t="inlineStr">
        <is>
          <t xml:space="preserve">Agreed Value</t>
        </is>
      </c>
      <c r="Y9" s="92" t="inlineStr">
        <is>
          <t xml:space="preserve">$1,000,000 CSL</t>
        </is>
      </c>
      <c r="Z9" s="92" t="inlineStr">
        <is>
          <t xml:space="preserve">Los Angeles - Long Beach, CA</t>
        </is>
      </c>
      <c r="AA9" s="92" t="inlineStr">
        <is>
          <t xml:space="preserve">2% of agreed value, minimum $10,000</t>
        </is>
      </c>
      <c r="AB9" s="92"/>
      <c r="AC9" s="92"/>
      <c r="AD9" s="92"/>
      <c r="AE9" s="92"/>
      <c r="AF9" s="92"/>
      <c r="AG9" s="92"/>
      <c r="AH9" s="92"/>
      <c r="AI9" s="92"/>
      <c r="AJ9" s="92"/>
      <c r="AK9" s="92"/>
      <c r="AL9" s="92"/>
      <c r="AM9" s="92"/>
      <c r="AN9" s="92"/>
      <c r="AO9" s="92"/>
      <c r="AP9" s="92"/>
      <c r="AQ9" s="96">
        <v>0</v>
      </c>
      <c r="AR9" s="97" t="str">
        <f t="shared" si="0"/>
        <v>902</v>
      </c>
      <c r="AS9" s="97" t="str">
        <f>IF($A9="","",IF($AP9&lt;&gt;"",$AP9,IFERROR(INDEX('Cat Zone by ZIP'!$D$6:$D$856,MATCH($AR9,'Cat Zone by ZIP'!$B$6:$B$856,0)),IFERROR(INDEX('Cat Zone by ZIP'!$C$860:$C$910,MATCH($K9,'Cat Zone by ZIP'!$B$860:$B$910,0)),"NOT FOUND"))))</f>
        <v>Wildfire - moderate hazard</v>
      </c>
      <c r="AT9" s="97" t="str">
        <f>IF($A9="","",IF($AP9&lt;&gt;"","Override",IF(ISNUMBER(MATCH($AR9,'Cat Zone by ZIP'!$B$6:$B$856,0)),"ZIP-3","State default")))</f>
        <v>ZIP-3</v>
      </c>
      <c r="AU9" s="98">
        <f>IF($A9="","",IFERROR(INDEX('Natural Catastrophe'!$D$6:$D$17,MATCH($AS9,'Natural Catastrophe'!$B$6:$B$17,0)),"?"))</f>
        <v>1.3</v>
      </c>
      <c r="AV9" s="98">
        <f>IF($A9="","",IFERROR(INDEX('Natural Catastrophe'!$C$21:$C$26,MATCH($AA9,'Natural Catastrophe'!$B$21:$B$26,0)),"?"))</f>
        <v>0.8</v>
      </c>
      <c r="AW9" s="97" t="str">
        <f>IF($A9="","",IFERROR(INDEX('Base Rates'!$C$4:$I$4,MATCH(MAX($J9,'Technical Premium'!$C$18),'Base Rates'!$C$3:$I$3,1)),"?"))</f>
        <v>$500k - $1.0M</v>
      </c>
      <c r="AX9" s="99">
        <f>IF($A9="","",IFERROR(INDEX('Base Rates'!$C$5:$I$16,MATCH($I9,'Base Rates'!$B$5:$B$16,0),MATCH(MAX($J9,'Technical Premium'!$C$18),'Base Rates'!$C$3:$I$3,1)),"?"))</f>
        <v>0.65</v>
      </c>
      <c r="AY9" s="100">
        <f t="shared" si="1"/>
        <v>4680</v>
      </c>
      <c r="AZ9" s="98">
        <f>IF($A9="","",IFERROR(INDEX('Make Factors'!$G$5:$G$69,MATCH($F9,'Make Factors'!$B$5:$B$69,0)),"?"))</f>
        <v>0.81</v>
      </c>
      <c r="BA9" s="98">
        <f>IF($A9="","",IFERROR(INDEX('Driver Factors'!$C$6:$C$15,MATCH($R9,'Driver Factors'!$B$6:$B$15,0)),"?"))</f>
        <v>1</v>
      </c>
      <c r="BB9" s="98">
        <f>IF($A9="","",IFERROR(INDEX('Driver Factors'!$C$19:$C$24,MATCH($S9,'Driver Factors'!$B$19:$B$24,0)),"?"))</f>
        <v>1</v>
      </c>
      <c r="BC9" s="98">
        <f>IF($A9="","",IFERROR(INDEX('Driver Factors'!$C$28:$C$36,MATCH($T9,'Driver Factors'!$B$28:$B$36,0)),"?"))</f>
        <v>1</v>
      </c>
      <c r="BD9" s="98">
        <f>IF($A9="","",IFERROR(INDEX('Claims History'!$C$6:$C$15,MATCH($U9,'Claims History'!$B$6:$B$15,0)),"?"))</f>
        <v>0.9</v>
      </c>
      <c r="BE9" s="98">
        <f>IF($A9="","",IFERROR(INDEX('Territory Factors'!$E$6:$E$56,MATCH($K9,'Territory Factors'!$B$6:$B$56,0)),"?"))</f>
        <v>1.35</v>
      </c>
      <c r="BF9" s="98">
        <f>IF($A9="","",IFERROR(INDEX('City Accident Ratings'!$G$6:$G$54,MATCH($Z9,'City Accident Ratings'!$B$6:$B$54,0)),"?"))</f>
        <v>1.35</v>
      </c>
      <c r="BG9" s="98">
        <f>IF($A9="","",IFERROR(INDEX('Usage and Coverage'!$D$6:$D$20,MATCH($N9,'Usage and Coverage'!$C$6:$C$20,0)),"?"))</f>
        <v>1</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1</v>
      </c>
      <c r="BL9" s="98">
        <f>IF($A9="","",IFERROR(INDEX('Usage and Coverage'!$C$63:$C$66,MATCH($X9,'Usage and Coverage'!$B$63:$B$66,0)),"?"))</f>
        <v>1</v>
      </c>
      <c r="BM9" s="98">
        <f>IF($A9="","",IFERROR(INDEX('Usage and Coverage'!$C$70:$C$75,MATCH($V9,'Usage and Coverage'!$B$70:$B$75,0)),"?"))</f>
        <v>0.86</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0.786678826275</v>
      </c>
      <c r="CC9" s="98">
        <f t="shared" si="3"/>
        <v>1</v>
      </c>
      <c r="CD9" s="101">
        <f>IF($A9="","",IF(OR($CB9="?",$CC9="?"),"?",MIN($CB9*$CC9,'Technical Premium'!$C$17)))</f>
        <v>0.786678826275</v>
      </c>
      <c r="CE9" s="100">
        <f t="shared" si="4"/>
        <v>3681.656906967</v>
      </c>
      <c r="CF9" s="100">
        <f>IF($A9="","",IFERROR(INDEX('Territory Factors'!$F$6:$F$56,MATCH($K9,'Territory Factors'!$B$6:$B$56,0)),"?"))</f>
        <v>760</v>
      </c>
      <c r="CG9" s="98">
        <f>IF($A9="","",IFERROR(INDEX('Usage and Coverage'!$C$79:$C$84,MATCH($Y9,'Usage and Coverage'!$B$79:$B$84,0)),"?"))</f>
        <v>1.42</v>
      </c>
      <c r="CH9" s="100">
        <f>IFERROR(IF(ISNUMBER($CD9),$CF9*$CG9*MIN($BG9*$BA9*$BC9*$BD9*$BH9*$BF9,'Technical Premium'!$C$17),""),"")</f>
        <v>1114.5438</v>
      </c>
      <c r="CI9" s="100">
        <f t="shared" si="5"/>
        <v>4796.200706967</v>
      </c>
      <c r="CJ9" s="100">
        <f>IFERROR($CI9*(1+'Technical Premium'!$C$5)*(1+'Technical Premium'!$C$6),"")</f>
        <v>5438.89160170058</v>
      </c>
      <c r="CK9" s="100">
        <f>IFERROR($CE9*INDEX('Territory Factors'!$G$6:$G$56,MATCH($K9,'Territory Factors'!$B$6:$B$56,0))*$AU9*$AV9,"")</f>
        <v>229.735390994741</v>
      </c>
      <c r="CL9" s="100">
        <f>IFERROR(($CJ9+$CK9)*(1+'Technical Premium'!$C$7),"")</f>
        <v>6093.77401714747</v>
      </c>
      <c r="CM9" s="102">
        <f>IFERROR($CL9/'Technical Premium'!$C$13,"")</f>
        <v>10979.7730038693</v>
      </c>
      <c r="CN9" s="103">
        <f t="shared" si="6"/>
        <v>1.52496847275963</v>
      </c>
      <c r="CO9" s="102">
        <f t="shared" si="7"/>
        <v>10979.7730038693</v>
      </c>
      <c r="CP9" s="103">
        <f t="shared" si="8"/>
        <v>1.52496847275963</v>
      </c>
      <c r="CQ9" s="104">
        <f t="shared" si="9"/>
        <v>1</v>
      </c>
      <c r="CR9" s="100">
        <f>IF(ISNUMBER($CM9),'Technical Premium'!$C$14+IF($J9&gt;=1000000,'Technical Premium'!$C$15,0),"")</f>
        <v>350</v>
      </c>
      <c r="CS9" s="100">
        <f>IFERROR(($CO9+$CR9)*(INDEX('Territory Factors'!$K$6:$K$56,MATCH($K9,'Territory Factors'!$B$6:$B$56,0))+'Commission Structure'!$C$21),"")</f>
        <v>360.286781523044</v>
      </c>
      <c r="CT9" s="102">
        <f t="shared" si="10"/>
        <v>11690.0597853924</v>
      </c>
      <c r="CU9" s="100">
        <f>IFERROR($CO9*('Commission Structure'!$C$6+'Commission Structure'!$C$7),"")</f>
        <v>1921.46027567713</v>
      </c>
      <c r="CV9" s="100">
        <f>IFERROR($CO9*'Commission Structure'!$C$5-$CU9,"")</f>
        <v>1097.97730038693</v>
      </c>
      <c r="CW9" s="100">
        <f>IFERROR($CO9*(1-'Commission Structure'!$C$5),"")</f>
        <v>7960.33542780525</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v>
      </c>
      <c r="CZ9" s="97" t="str">
        <f>IF($CY9="","",IF($CY9&lt;'Technical Premium'!$C$19,"BEYOND AUTHORITY",IF($CY9&gt;0.005,"Above technical",IF($CY9&lt;-0.005,"BELOW technical","At technical"))))</f>
        <v>At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inlineStr">
        <is>
          <t xml:space="preserve">TQ-C-2026-0172</t>
        </is>
      </c>
      <c r="B10" s="92" t="inlineStr">
        <is>
          <t xml:space="preserve">Aurelio Vasquez</t>
        </is>
      </c>
      <c r="C10" s="93">
        <v>45927</v>
      </c>
      <c r="D10" s="93">
        <v>46292</v>
      </c>
      <c r="E10" s="94">
        <v>2023</v>
      </c>
      <c r="F10" s="92" t="inlineStr">
        <is>
          <t xml:space="preserve">BMW / BMW M</t>
        </is>
      </c>
      <c r="G10" s="92" t="inlineStr">
        <is>
          <t xml:space="preserve">M8 Competition</t>
        </is>
      </c>
      <c r="H10" s="92" t="inlineStr">
        <is>
          <t xml:space="preserve">R8V0Y1PFHG2JMJ87U</t>
        </is>
      </c>
      <c r="I10" s="92" t="inlineStr">
        <is>
          <t xml:space="preserve">01 - Luxury Sedan / SUV</t>
        </is>
      </c>
      <c r="J10" s="95">
        <v>500000</v>
      </c>
      <c r="K10" s="92" t="inlineStr">
        <is>
          <t xml:space="preserve">California</t>
        </is>
      </c>
      <c r="L10" s="92" t="inlineStr">
        <is>
          <t xml:space="preserve">90210</t>
        </is>
      </c>
      <c r="M10" s="92" t="inlineStr">
        <is>
          <t xml:space="preserve">Personal</t>
        </is>
      </c>
      <c r="N10" s="92" t="inlineStr">
        <is>
          <t xml:space="preserve">Personal - regular use</t>
        </is>
      </c>
      <c r="O10" s="92" t="inlineStr">
        <is>
          <t xml:space="preserve">1,000 - 2,500</t>
        </is>
      </c>
      <c r="P10" s="92" t="inlineStr">
        <is>
          <t xml:space="preserve">Locked private garage w/ monitored alarm</t>
        </is>
      </c>
      <c r="Q10" s="92" t="inlineStr">
        <is>
          <t xml:space="preserve">GPS tracker w/ recovery service</t>
        </is>
      </c>
      <c r="R10" s="92" t="inlineStr">
        <is>
          <t xml:space="preserve">55 - 64</t>
        </is>
      </c>
      <c r="S10" s="92" t="inlineStr">
        <is>
          <t xml:space="preserve">5 - 10 years</t>
        </is>
      </c>
      <c r="T10" s="92" t="inlineStr">
        <is>
          <t xml:space="preserve">Clean - no violations 3 yrs</t>
        </is>
      </c>
      <c r="U10" s="92" t="inlineStr">
        <is>
          <t xml:space="preserve">No at-fault claims - 5 yrs</t>
        </is>
      </c>
      <c r="V10" s="92" t="inlineStr">
        <is>
          <t xml:space="preserve">7 - 10 vehicles</t>
        </is>
      </c>
      <c r="W10" s="92" t="inlineStr">
        <is>
          <t xml:space="preserve">$2,500</t>
        </is>
      </c>
      <c r="X10" s="92" t="inlineStr">
        <is>
          <t xml:space="preserve">Agreed Value</t>
        </is>
      </c>
      <c r="Y10" s="92" t="inlineStr">
        <is>
          <t xml:space="preserve">$1,000,000 CSL</t>
        </is>
      </c>
      <c r="Z10" s="92" t="inlineStr">
        <is>
          <t xml:space="preserve">Los Angeles - Long Beach, CA</t>
        </is>
      </c>
      <c r="AA10" s="92" t="inlineStr">
        <is>
          <t xml:space="preserve">2% of agreed value, minimum $10,000</t>
        </is>
      </c>
      <c r="AB10" s="92"/>
      <c r="AC10" s="92" t="s">
        <v>574</v>
      </c>
      <c r="AD10" s="92"/>
      <c r="AE10" s="92"/>
      <c r="AF10" s="92"/>
      <c r="AG10" s="92"/>
      <c r="AH10" s="92" t="s">
        <v>244</v>
      </c>
      <c r="AI10" s="92"/>
      <c r="AJ10" s="92"/>
      <c r="AK10" s="92"/>
      <c r="AL10" s="92"/>
      <c r="AM10" s="92" t="s">
        <v>517</v>
      </c>
      <c r="AN10" s="92" t="s">
        <v>519</v>
      </c>
      <c r="AO10" s="92"/>
      <c r="AP10" s="92"/>
      <c r="AQ10" s="96">
        <v>0</v>
      </c>
      <c r="AR10" s="97" t="str">
        <f t="shared" si="0"/>
        <v>902</v>
      </c>
      <c r="AS10" s="97" t="str">
        <f>IF($A10="","",IF($AP10&lt;&gt;"",$AP10,IFERROR(INDEX('Cat Zone by ZIP'!$D$6:$D$856,MATCH($AR10,'Cat Zone by ZIP'!$B$6:$B$856,0)),IFERROR(INDEX('Cat Zone by ZIP'!$C$860:$C$910,MATCH($K10,'Cat Zone by ZIP'!$B$860:$B$910,0)),"NOT FOUND"))))</f>
        <v>Wildfire - moderate hazard</v>
      </c>
      <c r="AT10" s="97" t="str">
        <f>IF($A10="","",IF($AP10&lt;&gt;"","Override",IF(ISNUMBER(MATCH($AR10,'Cat Zone by ZIP'!$B$6:$B$856,0)),"ZIP-3","State default")))</f>
        <v>ZIP-3</v>
      </c>
      <c r="AU10" s="98">
        <f>IF($A10="","",IFERROR(INDEX('Natural Catastrophe'!$D$6:$D$17,MATCH($AS10,'Natural Catastrophe'!$B$6:$B$17,0)),"?"))</f>
        <v>1.3</v>
      </c>
      <c r="AV10" s="98">
        <f>IF($A10="","",IFERROR(INDEX('Natural Catastrophe'!$C$21:$C$26,MATCH($AA10,'Natural Catastrophe'!$B$21:$B$26,0)),"?"))</f>
        <v>0.8</v>
      </c>
      <c r="AW10" s="97" t="str">
        <f>IF($A10="","",IFERROR(INDEX('Base Rates'!$C$4:$I$4,MATCH(MAX($J10,'Technical Premium'!$C$18),'Base Rates'!$C$3:$I$3,1)),"?"))</f>
        <v>$500k - $1.0M</v>
      </c>
      <c r="AX10" s="99">
        <f>IF($A10="","",IFERROR(INDEX('Base Rates'!$C$5:$I$16,MATCH($I10,'Base Rates'!$B$5:$B$16,0),MATCH(MAX($J10,'Technical Premium'!$C$18),'Base Rates'!$C$3:$I$3,1)),"?"))</f>
        <v>0.65</v>
      </c>
      <c r="AY10" s="100">
        <f t="shared" si="1"/>
        <v>3250</v>
      </c>
      <c r="AZ10" s="98">
        <f>IF($A10="","",IFERROR(INDEX('Make Factors'!$G$5:$G$69,MATCH($F10,'Make Factors'!$B$5:$B$69,0)),"?"))</f>
        <v>0.738</v>
      </c>
      <c r="BA10" s="98">
        <f>IF($A10="","",IFERROR(INDEX('Driver Factors'!$C$6:$C$15,MATCH($R10,'Driver Factors'!$B$6:$B$15,0)),"?"))</f>
        <v>1</v>
      </c>
      <c r="BB10" s="98">
        <f>IF($A10="","",IFERROR(INDEX('Driver Factors'!$C$19:$C$24,MATCH($S10,'Driver Factors'!$B$19:$B$24,0)),"?"))</f>
        <v>1</v>
      </c>
      <c r="BC10" s="98">
        <f>IF($A10="","",IFERROR(INDEX('Driver Factors'!$C$28:$C$36,MATCH($T10,'Driver Factors'!$B$28:$B$36,0)),"?"))</f>
        <v>1</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v>
      </c>
      <c r="BH10" s="98">
        <f>IF($A10="","",IFERROR(INDEX('Usage and Coverage'!$C$24:$C$30,MATCH($O10,'Usage and Coverage'!$B$24:$B$30,0)),"?"))</f>
        <v>0.85</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1</v>
      </c>
      <c r="BL10" s="98">
        <f>IF($A10="","",IFERROR(INDEX('Usage and Coverage'!$C$63:$C$66,MATCH($X10,'Usage and Coverage'!$B$63:$B$66,0)),"?"))</f>
        <v>1</v>
      </c>
      <c r="BM10" s="98">
        <f>IF($A10="","",IFERROR(INDEX('Usage and Coverage'!$C$70:$C$75,MATCH($V10,'Usage and Coverage'!$B$70:$B$75,0)),"?"))</f>
        <v>0.86</v>
      </c>
      <c r="BN10" s="97">
        <f>IF($A10="","",IF($AB10="",1,IFERROR(INDEX(Deductibles!$C$48:$C$51,MATCH($AB10,Deductibles!$B$48:$B$51,0)),"?")))</f>
        <v>1</v>
      </c>
      <c r="BO10" s="98">
        <f>IF($A10="","",IF($AC10="",1,IFERROR(INDEX(Deductibles!$C$55:$C$57,MATCH($AC10,Deductibles!$B$55:$B$57,0)),"?")))</f>
        <v>1.015</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1.045</v>
      </c>
      <c r="CA10" s="97">
        <f>IF($A10="","",IF($AO10="",1,IFERROR(INDEX('Sublimits and Parts'!$C$105:$C$109,MATCH($AO10,'Sublimits and Parts'!$B$105:$B$109,0)),"?")))</f>
        <v>1</v>
      </c>
      <c r="CB10" s="98">
        <f t="shared" si="2"/>
        <v>0.716751819495</v>
      </c>
      <c r="CC10" s="98">
        <f t="shared" si="3"/>
        <v>1.1121601645</v>
      </c>
      <c r="CD10" s="101">
        <f>IF($A10="","",IF(OR($CB10="?",$CC10="?"),"?",MIN($CB10*$CC10,'Technical Premium'!$C$17)))</f>
        <v>0.797142821475234</v>
      </c>
      <c r="CE10" s="100">
        <f t="shared" si="4"/>
        <v>2590.71416979451</v>
      </c>
      <c r="CF10" s="100">
        <f>IF($A10="","",IFERROR(INDEX('Territory Factors'!$F$6:$F$56,MATCH($K10,'Territory Factors'!$B$6:$B$56,0)),"?"))</f>
        <v>760</v>
      </c>
      <c r="CG10" s="98">
        <f>IF($A10="","",IFERROR(INDEX('Usage and Coverage'!$C$79:$C$84,MATCH($Y10,'Usage and Coverage'!$B$79:$B$84,0)),"?"))</f>
        <v>1.42</v>
      </c>
      <c r="CH10" s="100">
        <f>IFERROR(IF(ISNUMBER($CD10),$CF10*$CG10*MIN($BG10*$BA10*$BC10*$BD10*$BH10*$BF10,'Technical Premium'!$C$17),""),"")</f>
        <v>1114.5438</v>
      </c>
      <c r="CI10" s="100">
        <f t="shared" si="5"/>
        <v>3705.25796979451</v>
      </c>
      <c r="CJ10" s="100">
        <f>IFERROR($CI10*(1+'Technical Premium'!$C$5)*(1+'Technical Premium'!$C$6),"")</f>
        <v>4201.76253774697</v>
      </c>
      <c r="CK10" s="100">
        <f>IFERROR($CE10*INDEX('Territory Factors'!$G$6:$G$56,MATCH($K10,'Territory Factors'!$B$6:$B$56,0))*$AU10*$AV10,"")</f>
        <v>161.660564195177</v>
      </c>
      <c r="CL10" s="100">
        <f>IFERROR(($CJ10+$CK10)*(1+'Technical Premium'!$C$7),"")</f>
        <v>4690.67983458781</v>
      </c>
      <c r="CM10" s="102">
        <f>IFERROR($CL10/'Technical Premium'!$C$13,"")</f>
        <v>8451.6753776357</v>
      </c>
      <c r="CN10" s="103">
        <f t="shared" si="6"/>
        <v>1.69033507552714</v>
      </c>
      <c r="CO10" s="102">
        <f t="shared" si="7"/>
        <v>8451.6753776357</v>
      </c>
      <c r="CP10" s="103">
        <f t="shared" si="8"/>
        <v>1.69033507552714</v>
      </c>
      <c r="CQ10" s="104">
        <f t="shared" si="9"/>
        <v>1</v>
      </c>
      <c r="CR10" s="100">
        <f>IF(ISNUMBER($CM10),'Technical Premium'!$C$14+IF($J10&gt;=1000000,'Technical Premium'!$C$15,0),"")</f>
        <v>350</v>
      </c>
      <c r="CS10" s="100">
        <f>IFERROR(($CO10+$CR10)*(INDEX('Territory Factors'!$K$6:$K$56,MATCH($K10,'Territory Factors'!$B$6:$B$56,0))+'Commission Structure'!$C$21),"")</f>
        <v>279.893277008815</v>
      </c>
      <c r="CT10" s="102">
        <f t="shared" si="10"/>
        <v>9081.56865464451</v>
      </c>
      <c r="CU10" s="100">
        <f>IFERROR($CO10*('Commission Structure'!$C$6+'Commission Structure'!$C$7),"")</f>
        <v>1479.04319108625</v>
      </c>
      <c r="CV10" s="100">
        <f>IFERROR($CO10*'Commission Structure'!$C$5-$CU10,"")</f>
        <v>845.16753776357</v>
      </c>
      <c r="CW10" s="100">
        <f>IFERROR($CO10*(1-'Commission Structure'!$C$5),"")</f>
        <v>6127.46464878588</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AUTO-BIND</v>
      </c>
      <c r="CY10" s="106">
        <f t="shared" si="11"/>
        <v>0</v>
      </c>
      <c r="CZ10" s="97" t="str">
        <f>IF($CY10="","",IF($CY10&lt;'Technical Premium'!$C$19,"BEYOND AUTHORITY",IF($CY10&gt;0.005,"Above technical",IF($CY10&lt;-0.005,"BELOW technical","At technical"))))</f>
        <v>At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YES - within authority</v>
      </c>
      <c r="DH10" s="97">
        <f>IF($A10="","",IF(OR($CX10="REFER",$CX10="DECLINE"),COUNTIF($CX$5:$CX10,"REFER")+COUNTIF($CX$5:$CX10,"DECLINE"),""))</f>
        <v>3</v>
      </c>
      <c r="DI10" s="92"/>
    </row>
    <row r="11" spans="1:113" x14ac:dyDescent="0.25">
      <c r="A11" s="92" t="inlineStr">
        <is>
          <t xml:space="preserve">TQ-C-2026-0173</t>
        </is>
      </c>
      <c r="B11" s="92" t="inlineStr">
        <is>
          <t xml:space="preserve">Aurelio Vasquez</t>
        </is>
      </c>
      <c r="C11" s="93">
        <v>45927</v>
      </c>
      <c r="D11" s="93">
        <v>46292</v>
      </c>
      <c r="E11" s="94">
        <v>1963</v>
      </c>
      <c r="F11" s="92" t="inlineStr">
        <is>
          <t xml:space="preserve">Jaguar</t>
        </is>
      </c>
      <c r="G11" s="92" t="inlineStr">
        <is>
          <t xml:space="preserve">E-Type Series 1</t>
        </is>
      </c>
      <c r="H11" s="92" t="inlineStr">
        <is>
          <t xml:space="preserve">1R1BW6MVA9ESPAA9E</t>
        </is>
      </c>
      <c r="I11" s="92" t="inlineStr">
        <is>
          <t xml:space="preserve">07 - Post-War Classic (1946-1972)</t>
        </is>
      </c>
      <c r="J11" s="95">
        <v>510000</v>
      </c>
      <c r="K11" s="92" t="inlineStr">
        <is>
          <t xml:space="preserve">California</t>
        </is>
      </c>
      <c r="L11" s="92" t="inlineStr">
        <is>
          <t xml:space="preserve">90210</t>
        </is>
      </c>
      <c r="M11" s="92" t="inlineStr">
        <is>
          <t xml:space="preserve">Personal</t>
        </is>
      </c>
      <c r="N11" s="92" t="inlineStr">
        <is>
          <t xml:space="preserve">Personal - regular use</t>
        </is>
      </c>
      <c r="O11" s="92" t="inlineStr">
        <is>
          <t xml:space="preserve">1,000 - 2,500</t>
        </is>
      </c>
      <c r="P11" s="92" t="inlineStr">
        <is>
          <t xml:space="preserve">Locked private garage w/ monitored alarm</t>
        </is>
      </c>
      <c r="Q11" s="92" t="inlineStr">
        <is>
          <t xml:space="preserve">GPS tracker w/ recovery service</t>
        </is>
      </c>
      <c r="R11" s="92" t="inlineStr">
        <is>
          <t xml:space="preserve">55 - 64</t>
        </is>
      </c>
      <c r="S11" s="92" t="inlineStr">
        <is>
          <t xml:space="preserve">5 - 10 years</t>
        </is>
      </c>
      <c r="T11" s="92" t="inlineStr">
        <is>
          <t xml:space="preserve">Clean - no violations 3 yrs</t>
        </is>
      </c>
      <c r="U11" s="92" t="inlineStr">
        <is>
          <t xml:space="preserve">No at-fault claims - 5 yrs</t>
        </is>
      </c>
      <c r="V11" s="92" t="inlineStr">
        <is>
          <t xml:space="preserve">7 - 10 vehicles</t>
        </is>
      </c>
      <c r="W11" s="92" t="inlineStr">
        <is>
          <t xml:space="preserve">$2,500</t>
        </is>
      </c>
      <c r="X11" s="92" t="inlineStr">
        <is>
          <t xml:space="preserve">Agreed Value</t>
        </is>
      </c>
      <c r="Y11" s="92" t="inlineStr">
        <is>
          <t xml:space="preserve">$1,000,000 CSL</t>
        </is>
      </c>
      <c r="Z11" s="92" t="inlineStr">
        <is>
          <t xml:space="preserve">Los Angeles - Long Beach, CA</t>
        </is>
      </c>
      <c r="AA11" s="92" t="inlineStr">
        <is>
          <t xml:space="preserve">2% of agreed value, minimum $10,000</t>
        </is>
      </c>
      <c r="AB11" s="92"/>
      <c r="AC11" s="92"/>
      <c r="AD11" s="92"/>
      <c r="AE11" s="92"/>
      <c r="AF11" s="92"/>
      <c r="AG11" s="92"/>
      <c r="AH11" s="92"/>
      <c r="AI11" s="92"/>
      <c r="AJ11" s="92"/>
      <c r="AK11" s="92"/>
      <c r="AL11" s="92"/>
      <c r="AM11" s="92"/>
      <c r="AN11" s="92"/>
      <c r="AO11" s="92"/>
      <c r="AP11" s="92"/>
      <c r="AQ11" s="96">
        <v>0</v>
      </c>
      <c r="AR11" s="97" t="str">
        <f t="shared" si="0"/>
        <v>902</v>
      </c>
      <c r="AS11" s="97" t="str">
        <f>IF($A11="","",IF($AP11&lt;&gt;"",$AP11,IFERROR(INDEX('Cat Zone by ZIP'!$D$6:$D$856,MATCH($AR11,'Cat Zone by ZIP'!$B$6:$B$856,0)),IFERROR(INDEX('Cat Zone by ZIP'!$C$860:$C$910,MATCH($K11,'Cat Zone by ZIP'!$B$860:$B$910,0)),"NOT FOUND"))))</f>
        <v>Wildfire - moderate hazard</v>
      </c>
      <c r="AT11" s="97" t="str">
        <f>IF($A11="","",IF($AP11&lt;&gt;"","Override",IF(ISNUMBER(MATCH($AR11,'Cat Zone by ZIP'!$B$6:$B$856,0)),"ZIP-3","State default")))</f>
        <v>ZIP-3</v>
      </c>
      <c r="AU11" s="98">
        <f>IF($A11="","",IFERROR(INDEX('Natural Catastrophe'!$D$6:$D$17,MATCH($AS11,'Natural Catastrophe'!$B$6:$B$17,0)),"?"))</f>
        <v>1.3</v>
      </c>
      <c r="AV11" s="98">
        <f>IF($A11="","",IFERROR(INDEX('Natural Catastrophe'!$C$21:$C$26,MATCH($AA11,'Natural Catastrophe'!$B$21:$B$26,0)),"?"))</f>
        <v>0.8</v>
      </c>
      <c r="AW11" s="97" t="str">
        <f>IF($A11="","",IFERROR(INDEX('Base Rates'!$C$4:$I$4,MATCH(MAX($J11,'Technical Premium'!$C$18),'Base Rates'!$C$3:$I$3,1)),"?"))</f>
        <v>$500k - $1.0M</v>
      </c>
      <c r="AX11" s="99">
        <f>IF($A11="","",IFERROR(INDEX('Base Rates'!$C$5:$I$16,MATCH($I11,'Base Rates'!$B$5:$B$16,0),MATCH(MAX($J11,'Technical Premium'!$C$18),'Base Rates'!$C$3:$I$3,1)),"?"))</f>
        <v>0.43</v>
      </c>
      <c r="AY11" s="100">
        <f t="shared" si="1"/>
        <v>2193</v>
      </c>
      <c r="AZ11" s="97">
        <f>IF($A11="","",IFERROR(INDEX('Make Factors'!$G$5:$G$69,MATCH($F11,'Make Factors'!$B$5:$B$69,0)),"?"))</f>
        <v>0.823</v>
      </c>
      <c r="BA11" s="97">
        <f>IF($A11="","",IFERROR(INDEX('Driver Factors'!$C$6:$C$15,MATCH($R11,'Driver Factors'!$B$6:$B$15,0)),"?"))</f>
        <v>1</v>
      </c>
      <c r="BB11" s="97">
        <f>IF($A11="","",IFERROR(INDEX('Driver Factors'!$C$19:$C$24,MATCH($S11,'Driver Factors'!$B$19:$B$24,0)),"?"))</f>
        <v>1</v>
      </c>
      <c r="BC11" s="97">
        <f>IF($A11="","",IFERROR(INDEX('Driver Factors'!$C$28:$C$36,MATCH($T11,'Driver Factors'!$B$28:$B$36,0)),"?"))</f>
        <v>1</v>
      </c>
      <c r="BD11" s="97">
        <f>IF($A11="","",IFERROR(INDEX('Claims History'!$C$6:$C$15,MATCH($U11,'Claims History'!$B$6:$B$15,0)),"?"))</f>
        <v>0.9</v>
      </c>
      <c r="BE11" s="97">
        <f>IF($A11="","",IFERROR(INDEX('Territory Factors'!$E$6:$E$56,MATCH($K11,'Territory Factors'!$B$6:$B$56,0)),"?"))</f>
        <v>1.35</v>
      </c>
      <c r="BF11" s="97">
        <f>IF($A11="","",IFERROR(INDEX('City Accident Ratings'!$G$6:$G$54,MATCH($Z11,'City Accident Ratings'!$B$6:$B$54,0)),"?"))</f>
        <v>1.35</v>
      </c>
      <c r="BG11" s="97">
        <f>IF($A11="","",IFERROR(INDEX('Usage and Coverage'!$D$6:$D$20,MATCH($N11,'Usage and Coverage'!$C$6:$C$20,0)),"?"))</f>
        <v>1</v>
      </c>
      <c r="BH11" s="97">
        <f>IF($A11="","",IFERROR(INDEX('Usage and Coverage'!$C$24:$C$30,MATCH($O11,'Usage and Coverage'!$B$24:$B$30,0)),"?"))</f>
        <v>0.85</v>
      </c>
      <c r="BI11" s="97">
        <f>IF($A11="","",IFERROR(INDEX('Usage and Coverage'!$C$34:$C$40,MATCH($P11,'Usage and Coverage'!$B$34:$B$40,0)),"?"))</f>
        <v>0.9</v>
      </c>
      <c r="BJ11" s="97">
        <f>IF($A11="","",IFERROR(INDEX('Usage and Coverage'!$C$44:$C$49,MATCH($Q11,'Usage and Coverage'!$B$44:$B$49,0)),"?"))</f>
        <v>0.9</v>
      </c>
      <c r="BK11" s="97">
        <f>IF($A11="","",IFERROR(INDEX(Deductibles!$C$6:$I$15,MATCH($W11,Deductibles!$B$6:$B$15,0),MATCH(MAX($J11,'Technical Premium'!$C$18),'Base Rates'!$C$3:$I$3,1)),"?"))</f>
        <v>1</v>
      </c>
      <c r="BL11" s="97">
        <f>IF($A11="","",IFERROR(INDEX('Usage and Coverage'!$C$63:$C$66,MATCH($X11,'Usage and Coverage'!$B$63:$B$66,0)),"?"))</f>
        <v>1</v>
      </c>
      <c r="BM11" s="97">
        <f>IF($A11="","",IFERROR(INDEX('Usage and Coverage'!$C$70:$C$75,MATCH($V11,'Usage and Coverage'!$B$70:$B$75,0)),"?"))</f>
        <v>0.86</v>
      </c>
      <c r="BN11" s="97">
        <f>IF($A11="","",IF($AB11="",1,IFERROR(INDEX(Deductibles!$C$48:$C$51,MATCH($AB11,Deductibles!$B$48:$B$51,0)),"?")))</f>
        <v>1</v>
      </c>
      <c r="BO11" s="97">
        <f>IF($A11="","",IF($AC11="",1,IFERROR(INDEX(Deductibles!$C$55:$C$57,MATCH($AC11,Deductibles!$B$55:$B$57,0)),"?")))</f>
        <v>1</v>
      </c>
      <c r="BP11" s="97">
        <f>IF($A11="","",IF($AD11="",1,IFERROR(INDEX(Deductibles!$C$61:$C$63,MATCH($AD11,Deductibles!$B$61:$B$63,0)),"?")))</f>
        <v>1</v>
      </c>
      <c r="BQ11" s="97">
        <f>IF($A11="","",IF($AE11="",1,IFERROR(INDEX(Deductibles!$C$67:$C$69,MATCH($AE11,Deductibles!$B$67:$B$69,0)),"?")))</f>
        <v>1</v>
      </c>
      <c r="BR11" s="97">
        <f>IF($A11="","",IF($AF11="",1,IFERROR(INDEX(Deductibles!$C$73:$C$74,MATCH($AF11,Deductibles!$B$73:$B$74,0)),"?")))</f>
        <v>1</v>
      </c>
      <c r="BS11" s="97">
        <f>IF($A11="","",IF($AG11="",1,IFERROR(INDEX('Sublimits and Parts'!$C$49:$C$52,MATCH($AG11,'Sublimits and Parts'!$B$49:$B$52,0)),"?")))</f>
        <v>1</v>
      </c>
      <c r="BT11" s="97">
        <f>IF($A11="","",IF($AH11="",1,IFERROR(INDEX('Sublimits and Parts'!$C$56:$C$60,MATCH($AH11,'Sublimits and Parts'!$B$56:$B$60,0)),"?")))</f>
        <v>1</v>
      </c>
      <c r="BU11" s="97">
        <f>IF($A11="","",IF($AI11="",1,IFERROR(INDEX('Sublimits and Parts'!$C$64:$C$67,MATCH($AI11,'Sublimits and Parts'!$B$64:$B$67,0)),"?")))</f>
        <v>1</v>
      </c>
      <c r="BV11" s="97">
        <f>IF($A11="","",IF($AJ11="",1,IFERROR(INDEX('Sublimits and Parts'!$C$71:$C$74,MATCH($AJ11,'Sublimits and Parts'!$B$71:$B$74,0)),"?")))</f>
        <v>1</v>
      </c>
      <c r="BW11" s="97">
        <f>IF($A11="","",IF($AK11="",1,IFERROR(INDEX('Sublimits and Parts'!$C$78:$C$80,MATCH($AK11,'Sublimits and Parts'!$B$78:$B$80,0)),"?")))</f>
        <v>1</v>
      </c>
      <c r="BX11" s="97">
        <f>IF($A11="","",IF($AL11="",1,IFERROR(INDEX('Sublimits and Parts'!$C$84:$C$87,MATCH($AL11,'Sublimits and Parts'!$B$84:$B$87,0)),"?")))</f>
        <v>1</v>
      </c>
      <c r="BY11" s="97">
        <f>IF($A11="","",IF($AM11="",1,IFERROR(INDEX('Sublimits and Parts'!$C$91:$C$94,MATCH($AM11,'Sublimits and Parts'!$B$91:$B$94,0)),"?")))</f>
        <v>1</v>
      </c>
      <c r="BZ11" s="97">
        <f>IF($A11="","",IF($AN11="",1,IFERROR(INDEX('Sublimits and Parts'!$C$98:$C$101,MATCH($AN11,'Sublimits and Parts'!$B$98:$B$101,0)),"?")))</f>
        <v>1</v>
      </c>
      <c r="CA11" s="97">
        <f>IF($A11="","",IF($AO11="",1,IFERROR(INDEX('Sublimits and Parts'!$C$105:$C$109,MATCH($AO11,'Sublimits and Parts'!$B$105:$B$109,0)),"?")))</f>
        <v>1</v>
      </c>
      <c r="CB11" s="98">
        <f t="shared" si="2"/>
        <v>0.7993045358325</v>
      </c>
      <c r="CC11" s="98">
        <f t="shared" si="3"/>
        <v>1</v>
      </c>
      <c r="CD11" s="101">
        <f>IF($A11="","",IF(OR($CB11="?",$CC11="?"),"?",MIN($CB11*$CC11,'Technical Premium'!$C$17)))</f>
        <v>0.7993045358325</v>
      </c>
      <c r="CE11" s="100">
        <f t="shared" si="4"/>
        <v>1752.87484708067</v>
      </c>
      <c r="CF11" s="100">
        <f>IF($A11="","",IFERROR(INDEX('Territory Factors'!$F$6:$F$56,MATCH($K11,'Territory Factors'!$B$6:$B$56,0)),"?"))</f>
        <v>760</v>
      </c>
      <c r="CG11" s="98">
        <f>IF($A11="","",IFERROR(INDEX('Usage and Coverage'!$C$79:$C$84,MATCH($Y11,'Usage and Coverage'!$B$79:$B$84,0)),"?"))</f>
        <v>1.42</v>
      </c>
      <c r="CH11" s="100">
        <f>IFERROR(IF(ISNUMBER($CD11),$CF11*$CG11*MIN($BG11*$BA11*$BC11*$BD11*$BH11*$BF11,'Technical Premium'!$C$17),""),"")</f>
        <v>1114.5438</v>
      </c>
      <c r="CI11" s="100">
        <f t="shared" si="5"/>
        <v>2867.41864708067</v>
      </c>
      <c r="CJ11" s="100">
        <f>IFERROR($CI11*(1+'Technical Premium'!$C$5)*(1+'Technical Premium'!$C$6),"")</f>
        <v>3251.65274578948</v>
      </c>
      <c r="CK11" s="100">
        <f>IFERROR($CE11*INDEX('Territory Factors'!$G$6:$G$56,MATCH($K11,'Territory Factors'!$B$6:$B$56,0))*$AU11*$AV11,"")</f>
        <v>109.379390457834</v>
      </c>
      <c r="CL11" s="100">
        <f>IFERROR(($CJ11+$CK11)*(1+'Technical Premium'!$C$7),"")</f>
        <v>3613.10954646587</v>
      </c>
      <c r="CM11" s="102">
        <f>IFERROR($CL11/'Technical Premium'!$C$13,"")</f>
        <v>6510.10729092949</v>
      </c>
      <c r="CN11" s="103">
        <f t="shared" si="6"/>
        <v>1.27649162567245</v>
      </c>
      <c r="CO11" s="102">
        <f t="shared" si="7"/>
        <v>6510.10729092949</v>
      </c>
      <c r="CP11" s="103">
        <f t="shared" si="8"/>
        <v>1.27649162567245</v>
      </c>
      <c r="CQ11" s="104">
        <f t="shared" si="9"/>
        <v>1</v>
      </c>
      <c r="CR11" s="100">
        <f>IF(ISNUMBER($CM11),'Technical Premium'!$C$14+IF($J11&gt;=1000000,'Technical Premium'!$C$15,0),"")</f>
        <v>350</v>
      </c>
      <c r="CS11" s="100">
        <f>IFERROR(($CO11+$CR11)*(INDEX('Territory Factors'!$K$6:$K$56,MATCH($K11,'Territory Factors'!$B$6:$B$56,0))+'Commission Structure'!$C$21),"")</f>
        <v>218.151411851558</v>
      </c>
      <c r="CT11" s="102">
        <f t="shared" si="10"/>
        <v>7078.25870278105</v>
      </c>
      <c r="CU11" s="100">
        <f>IFERROR($CO11*('Commission Structure'!$C$6+'Commission Structure'!$C$7),"")</f>
        <v>1139.26877591266</v>
      </c>
      <c r="CV11" s="100">
        <f>IFERROR($CO11*'Commission Structure'!$C$5-$CU11,"")</f>
        <v>651.010729092949</v>
      </c>
      <c r="CW11" s="100">
        <f>IFERROR($CO11*(1-'Commission Structure'!$C$5),"")</f>
        <v>4719.82778592388</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AUTO-BIND</v>
      </c>
      <c r="CY11" s="106">
        <f t="shared" si="11"/>
        <v>0</v>
      </c>
      <c r="CZ11" s="97" t="str">
        <f>IF($CY11="","",IF($CY11&lt;'Technical Premium'!$C$19,"BEYOND AUTHORITY",IF($CY11&gt;0.005,"Above technical",IF($CY11&lt;-0.005,"BELOW technical","At technical"))))</f>
        <v>At technical</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YES - within authority</v>
      </c>
      <c r="DH11" s="97" t="str">
        <f>IF($A11="","",IF(OR($CX11="REFER",$CX11="DECLINE"),COUNTIF($CX$5:$CX11,"REFER")+COUNTIF($CX$5:$CX11,"DECLINE"),""))</f>
        <v/>
      </c>
      <c r="DI11" s="92"/>
    </row>
    <row r="12" spans="1:113" x14ac:dyDescent="0.25">
      <c r="A12" s="92" t="inlineStr">
        <is>
          <t xml:space="preserve">TQ-C-2026-0174</t>
        </is>
      </c>
      <c r="B12" s="92" t="inlineStr">
        <is>
          <t xml:space="preserve">Aurelio Vasquez</t>
        </is>
      </c>
      <c r="C12" s="93">
        <v>45927</v>
      </c>
      <c r="D12" s="93">
        <v>46292</v>
      </c>
      <c r="E12" s="94">
        <v>2023</v>
      </c>
      <c r="F12" s="92" t="inlineStr">
        <is>
          <t xml:space="preserve">Bentley</t>
        </is>
      </c>
      <c r="G12" s="92" t="inlineStr">
        <is>
          <t xml:space="preserve">Continental GT</t>
        </is>
      </c>
      <c r="H12" s="92" t="inlineStr">
        <is>
          <t xml:space="preserve">XK8B3GADK1VDR45KB</t>
        </is>
      </c>
      <c r="I12" s="92" t="inlineStr">
        <is>
          <t xml:space="preserve">01 - Luxury Sedan / SUV</t>
        </is>
      </c>
      <c r="J12" s="95">
        <v>665000</v>
      </c>
      <c r="K12" s="92" t="inlineStr">
        <is>
          <t xml:space="preserve">California</t>
        </is>
      </c>
      <c r="L12" s="92" t="inlineStr">
        <is>
          <t xml:space="preserve">90210</t>
        </is>
      </c>
      <c r="M12" s="92" t="inlineStr">
        <is>
          <t xml:space="preserve">Personal</t>
        </is>
      </c>
      <c r="N12" s="92" t="inlineStr">
        <is>
          <t xml:space="preserve">Personal - regular use</t>
        </is>
      </c>
      <c r="O12" s="92" t="inlineStr">
        <is>
          <t xml:space="preserve">1,000 - 2,500</t>
        </is>
      </c>
      <c r="P12" s="92" t="inlineStr">
        <is>
          <t xml:space="preserve">Locked private garage w/ monitored alarm</t>
        </is>
      </c>
      <c r="Q12" s="92" t="inlineStr">
        <is>
          <t xml:space="preserve">GPS tracker w/ recovery service</t>
        </is>
      </c>
      <c r="R12" s="92" t="inlineStr">
        <is>
          <t xml:space="preserve">55 - 64</t>
        </is>
      </c>
      <c r="S12" s="92" t="inlineStr">
        <is>
          <t xml:space="preserve">5 - 10 years</t>
        </is>
      </c>
      <c r="T12" s="92" t="inlineStr">
        <is>
          <t xml:space="preserve">Clean - no violations 3 yrs</t>
        </is>
      </c>
      <c r="U12" s="92" t="inlineStr">
        <is>
          <t xml:space="preserve">No at-fault claims - 5 yrs</t>
        </is>
      </c>
      <c r="V12" s="92" t="inlineStr">
        <is>
          <t xml:space="preserve">7 - 10 vehicles</t>
        </is>
      </c>
      <c r="W12" s="92" t="inlineStr">
        <is>
          <t xml:space="preserve">$2,500</t>
        </is>
      </c>
      <c r="X12" s="92" t="inlineStr">
        <is>
          <t xml:space="preserve">Agreed Value</t>
        </is>
      </c>
      <c r="Y12" s="92" t="inlineStr">
        <is>
          <t xml:space="preserve">$1,000,000 CSL</t>
        </is>
      </c>
      <c r="Z12" s="92" t="inlineStr">
        <is>
          <t xml:space="preserve">Los Angeles - Long Beach, CA</t>
        </is>
      </c>
      <c r="AA12" s="92" t="inlineStr">
        <is>
          <t xml:space="preserve">2% of agreed value, minimum $10,000</t>
        </is>
      </c>
      <c r="AB12" s="92"/>
      <c r="AC12" s="92"/>
      <c r="AD12" s="92"/>
      <c r="AE12" s="92"/>
      <c r="AF12" s="92"/>
      <c r="AG12" s="92"/>
      <c r="AH12" s="92"/>
      <c r="AI12" s="92"/>
      <c r="AJ12" s="92"/>
      <c r="AK12" s="92"/>
      <c r="AL12" s="92"/>
      <c r="AM12" s="92"/>
      <c r="AN12" s="92"/>
      <c r="AO12" s="92"/>
      <c r="AP12" s="92"/>
      <c r="AQ12" s="96">
        <v>0</v>
      </c>
      <c r="AR12" s="97" t="str">
        <f t="shared" si="0"/>
        <v>902</v>
      </c>
      <c r="AS12" s="97" t="str">
        <f>IF($A12="","",IF($AP12&lt;&gt;"",$AP12,IFERROR(INDEX('Cat Zone by ZIP'!$D$6:$D$856,MATCH($AR12,'Cat Zone by ZIP'!$B$6:$B$856,0)),IFERROR(INDEX('Cat Zone by ZIP'!$C$860:$C$910,MATCH($K12,'Cat Zone by ZIP'!$B$860:$B$910,0)),"NOT FOUND"))))</f>
        <v>Wildfire - moderate hazard</v>
      </c>
      <c r="AT12" s="97" t="str">
        <f>IF($A12="","",IF($AP12&lt;&gt;"","Override",IF(ISNUMBER(MATCH($AR12,'Cat Zone by ZIP'!$B$6:$B$856,0)),"ZIP-3","State default")))</f>
        <v>ZIP-3</v>
      </c>
      <c r="AU12" s="98">
        <f>IF($A12="","",IFERROR(INDEX('Natural Catastrophe'!$D$6:$D$17,MATCH($AS12,'Natural Catastrophe'!$B$6:$B$17,0)),"?"))</f>
        <v>1.3</v>
      </c>
      <c r="AV12" s="98">
        <f>IF($A12="","",IFERROR(INDEX('Natural Catastrophe'!$C$21:$C$26,MATCH($AA12,'Natural Catastrophe'!$B$21:$B$26,0)),"?"))</f>
        <v>0.8</v>
      </c>
      <c r="AW12" s="97" t="str">
        <f>IF($A12="","",IFERROR(INDEX('Base Rates'!$C$4:$I$4,MATCH(MAX($J12,'Technical Premium'!$C$18),'Base Rates'!$C$3:$I$3,1)),"?"))</f>
        <v>$500k - $1.0M</v>
      </c>
      <c r="AX12" s="99">
        <f>IF($A12="","",IFERROR(INDEX('Base Rates'!$C$5:$I$16,MATCH($I12,'Base Rates'!$B$5:$B$16,0),MATCH(MAX($J12,'Technical Premium'!$C$18),'Base Rates'!$C$3:$I$3,1)),"?"))</f>
        <v>0.65</v>
      </c>
      <c r="AY12" s="100">
        <f t="shared" si="1"/>
        <v>4322.5</v>
      </c>
      <c r="AZ12" s="97">
        <f>IF($A12="","",IFERROR(INDEX('Make Factors'!$G$5:$G$69,MATCH($F12,'Make Factors'!$B$5:$B$69,0)),"?"))</f>
        <v>0.918</v>
      </c>
      <c r="BA12" s="97">
        <f>IF($A12="","",IFERROR(INDEX('Driver Factors'!$C$6:$C$15,MATCH($R12,'Driver Factors'!$B$6:$B$15,0)),"?"))</f>
        <v>1</v>
      </c>
      <c r="BB12" s="97">
        <f>IF($A12="","",IFERROR(INDEX('Driver Factors'!$C$19:$C$24,MATCH($S12,'Driver Factors'!$B$19:$B$24,0)),"?"))</f>
        <v>1</v>
      </c>
      <c r="BC12" s="97">
        <f>IF($A12="","",IFERROR(INDEX('Driver Factors'!$C$28:$C$36,MATCH($T12,'Driver Factors'!$B$28:$B$36,0)),"?"))</f>
        <v>1</v>
      </c>
      <c r="BD12" s="97">
        <f>IF($A12="","",IFERROR(INDEX('Claims History'!$C$6:$C$15,MATCH($U12,'Claims History'!$B$6:$B$15,0)),"?"))</f>
        <v>0.9</v>
      </c>
      <c r="BE12" s="97">
        <f>IF($A12="","",IFERROR(INDEX('Territory Factors'!$E$6:$E$56,MATCH($K12,'Territory Factors'!$B$6:$B$56,0)),"?"))</f>
        <v>1.35</v>
      </c>
      <c r="BF12" s="97">
        <f>IF($A12="","",IFERROR(INDEX('City Accident Ratings'!$G$6:$G$54,MATCH($Z12,'City Accident Ratings'!$B$6:$B$54,0)),"?"))</f>
        <v>1.35</v>
      </c>
      <c r="BG12" s="97">
        <f>IF($A12="","",IFERROR(INDEX('Usage and Coverage'!$D$6:$D$20,MATCH($N12,'Usage and Coverage'!$C$6:$C$20,0)),"?"))</f>
        <v>1</v>
      </c>
      <c r="BH12" s="97">
        <f>IF($A12="","",IFERROR(INDEX('Usage and Coverage'!$C$24:$C$30,MATCH($O12,'Usage and Coverage'!$B$24:$B$30,0)),"?"))</f>
        <v>0.85</v>
      </c>
      <c r="BI12" s="97">
        <f>IF($A12="","",IFERROR(INDEX('Usage and Coverage'!$C$34:$C$40,MATCH($P12,'Usage and Coverage'!$B$34:$B$40,0)),"?"))</f>
        <v>0.9</v>
      </c>
      <c r="BJ12" s="97">
        <f>IF($A12="","",IFERROR(INDEX('Usage and Coverage'!$C$44:$C$49,MATCH($Q12,'Usage and Coverage'!$B$44:$B$49,0)),"?"))</f>
        <v>0.9</v>
      </c>
      <c r="BK12" s="97">
        <f>IF($A12="","",IFERROR(INDEX(Deductibles!$C$6:$I$15,MATCH($W12,Deductibles!$B$6:$B$15,0),MATCH(MAX($J12,'Technical Premium'!$C$18),'Base Rates'!$C$3:$I$3,1)),"?"))</f>
        <v>1</v>
      </c>
      <c r="BL12" s="97">
        <f>IF($A12="","",IFERROR(INDEX('Usage and Coverage'!$C$63:$C$66,MATCH($X12,'Usage and Coverage'!$B$63:$B$66,0)),"?"))</f>
        <v>1</v>
      </c>
      <c r="BM12" s="97">
        <f>IF($A12="","",IFERROR(INDEX('Usage and Coverage'!$C$70:$C$75,MATCH($V12,'Usage and Coverage'!$B$70:$B$75,0)),"?"))</f>
        <v>0.86</v>
      </c>
      <c r="BN12" s="97">
        <f>IF($A12="","",IF($AB12="",1,IFERROR(INDEX(Deductibles!$C$48:$C$51,MATCH($AB12,Deductibles!$B$48:$B$51,0)),"?")))</f>
        <v>1</v>
      </c>
      <c r="BO12" s="97">
        <f>IF($A12="","",IF($AC12="",1,IFERROR(INDEX(Deductibles!$C$55:$C$57,MATCH($AC12,Deductibles!$B$55:$B$57,0)),"?")))</f>
        <v>1</v>
      </c>
      <c r="BP12" s="97">
        <f>IF($A12="","",IF($AD12="",1,IFERROR(INDEX(Deductibles!$C$61:$C$63,MATCH($AD12,Deductibles!$B$61:$B$63,0)),"?")))</f>
        <v>1</v>
      </c>
      <c r="BQ12" s="97">
        <f>IF($A12="","",IF($AE12="",1,IFERROR(INDEX(Deductibles!$C$67:$C$69,MATCH($AE12,Deductibles!$B$67:$B$69,0)),"?")))</f>
        <v>1</v>
      </c>
      <c r="BR12" s="97">
        <f>IF($A12="","",IF($AF12="",1,IFERROR(INDEX(Deductibles!$C$73:$C$74,MATCH($AF12,Deductibles!$B$73:$B$74,0)),"?")))</f>
        <v>1</v>
      </c>
      <c r="BS12" s="97">
        <f>IF($A12="","",IF($AG12="",1,IFERROR(INDEX('Sublimits and Parts'!$C$49:$C$52,MATCH($AG12,'Sublimits and Parts'!$B$49:$B$52,0)),"?")))</f>
        <v>1</v>
      </c>
      <c r="BT12" s="97">
        <f>IF($A12="","",IF($AH12="",1,IFERROR(INDEX('Sublimits and Parts'!$C$56:$C$60,MATCH($AH12,'Sublimits and Parts'!$B$56:$B$60,0)),"?")))</f>
        <v>1</v>
      </c>
      <c r="BU12" s="97">
        <f>IF($A12="","",IF($AI12="",1,IFERROR(INDEX('Sublimits and Parts'!$C$64:$C$67,MATCH($AI12,'Sublimits and Parts'!$B$64:$B$67,0)),"?")))</f>
        <v>1</v>
      </c>
      <c r="BV12" s="97">
        <f>IF($A12="","",IF($AJ12="",1,IFERROR(INDEX('Sublimits and Parts'!$C$71:$C$74,MATCH($AJ12,'Sublimits and Parts'!$B$71:$B$74,0)),"?")))</f>
        <v>1</v>
      </c>
      <c r="BW12" s="97">
        <f>IF($A12="","",IF($AK12="",1,IFERROR(INDEX('Sublimits and Parts'!$C$78:$C$80,MATCH($AK12,'Sublimits and Parts'!$B$78:$B$80,0)),"?")))</f>
        <v>1</v>
      </c>
      <c r="BX12" s="97">
        <f>IF($A12="","",IF($AL12="",1,IFERROR(INDEX('Sublimits and Parts'!$C$84:$C$87,MATCH($AL12,'Sublimits and Parts'!$B$84:$B$87,0)),"?")))</f>
        <v>1</v>
      </c>
      <c r="BY12" s="97">
        <f>IF($A12="","",IF($AM12="",1,IFERROR(INDEX('Sublimits and Parts'!$C$91:$C$94,MATCH($AM12,'Sublimits and Parts'!$B$91:$B$94,0)),"?")))</f>
        <v>1</v>
      </c>
      <c r="BZ12" s="97">
        <f>IF($A12="","",IF($AN12="",1,IFERROR(INDEX('Sublimits and Parts'!$C$98:$C$101,MATCH($AN12,'Sublimits and Parts'!$B$98:$B$101,0)),"?")))</f>
        <v>1</v>
      </c>
      <c r="CA12" s="97">
        <f>IF($A12="","",IF($AO12="",1,IFERROR(INDEX('Sublimits and Parts'!$C$105:$C$109,MATCH($AO12,'Sublimits and Parts'!$B$105:$B$109,0)),"?")))</f>
        <v>1</v>
      </c>
      <c r="CB12" s="98">
        <f t="shared" si="2"/>
        <v>0.891569336445</v>
      </c>
      <c r="CC12" s="98">
        <f t="shared" si="3"/>
        <v>1</v>
      </c>
      <c r="CD12" s="101">
        <f>IF($A12="","",IF(OR($CB12="?",$CC12="?"),"?",MIN($CB12*$CC12,'Technical Premium'!$C$17)))</f>
        <v>0.891569336445</v>
      </c>
      <c r="CE12" s="100">
        <f t="shared" si="4"/>
        <v>3853.80845678351</v>
      </c>
      <c r="CF12" s="100">
        <f>IF($A12="","",IFERROR(INDEX('Territory Factors'!$F$6:$F$56,MATCH($K12,'Territory Factors'!$B$6:$B$56,0)),"?"))</f>
        <v>760</v>
      </c>
      <c r="CG12" s="98">
        <f>IF($A12="","",IFERROR(INDEX('Usage and Coverage'!$C$79:$C$84,MATCH($Y12,'Usage and Coverage'!$B$79:$B$84,0)),"?"))</f>
        <v>1.42</v>
      </c>
      <c r="CH12" s="100">
        <f>IFERROR(IF(ISNUMBER($CD12),$CF12*$CG12*MIN($BG12*$BA12*$BC12*$BD12*$BH12*$BF12,'Technical Premium'!$C$17),""),"")</f>
        <v>1114.5438</v>
      </c>
      <c r="CI12" s="100">
        <f t="shared" si="5"/>
        <v>4968.35225678351</v>
      </c>
      <c r="CJ12" s="100">
        <f>IFERROR($CI12*(1+'Technical Premium'!$C$5)*(1+'Technical Premium'!$C$6),"")</f>
        <v>5634.11145919251</v>
      </c>
      <c r="CK12" s="100">
        <f>IFERROR($CE12*INDEX('Territory Factors'!$G$6:$G$56,MATCH($K12,'Territory Factors'!$B$6:$B$56,0))*$AU12*$AV12,"")</f>
        <v>240.477647703291</v>
      </c>
      <c r="CL12" s="100">
        <f>IFERROR(($CJ12+$CK12)*(1+'Technical Premium'!$C$7),"")</f>
        <v>6315.18328991298</v>
      </c>
      <c r="CM12" s="102">
        <f>IFERROR($CL12/'Technical Premium'!$C$13,"")</f>
        <v>11378.7086304738</v>
      </c>
      <c r="CN12" s="103">
        <f t="shared" si="6"/>
        <v>1.71108400458253</v>
      </c>
      <c r="CO12" s="102">
        <f t="shared" si="7"/>
        <v>11378.7086304738</v>
      </c>
      <c r="CP12" s="103">
        <f t="shared" si="8"/>
        <v>1.71108400458253</v>
      </c>
      <c r="CQ12" s="104">
        <f t="shared" si="9"/>
        <v>1</v>
      </c>
      <c r="CR12" s="100">
        <f>IF(ISNUMBER($CM12),'Technical Premium'!$C$14+IF($J12&gt;=1000000,'Technical Premium'!$C$15,0),"")</f>
        <v>350</v>
      </c>
      <c r="CS12" s="100">
        <f>IFERROR(($CO12+$CR12)*(INDEX('Territory Factors'!$K$6:$K$56,MATCH($K12,'Territory Factors'!$B$6:$B$56,0))+'Commission Structure'!$C$21),"")</f>
        <v>372.972934449068</v>
      </c>
      <c r="CT12" s="102">
        <f t="shared" si="10"/>
        <v>12101.6815649229</v>
      </c>
      <c r="CU12" s="100">
        <f>IFERROR($CO12*('Commission Structure'!$C$6+'Commission Structure'!$C$7),"")</f>
        <v>1991.27401033292</v>
      </c>
      <c r="CV12" s="100">
        <f>IFERROR($CO12*'Commission Structure'!$C$5-$CU12,"")</f>
        <v>1137.87086304738</v>
      </c>
      <c r="CW12" s="100">
        <f>IFERROR($CO12*(1-'Commission Structure'!$C$5),"")</f>
        <v>8249.56375709353</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AUTO-BIND</v>
      </c>
      <c r="CY12" s="106">
        <f t="shared" si="11"/>
        <v>0</v>
      </c>
      <c r="CZ12" s="97" t="str">
        <f>IF($CY12="","",IF($CY12&lt;'Technical Premium'!$C$19,"BEYOND AUTHORITY",IF($CY12&gt;0.005,"Above technical",IF($CY12&lt;-0.005,"BELOW technical","At technical"))))</f>
        <v>At technical</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YES - within authority</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8</v>
      </c>
    </row>
    <row r="6" spans="2:8" x14ac:dyDescent="0.25">
      <c r="B6" s="36" t="s">
        <v>579</v>
      </c>
      <c r="C6" s="58">
        <f>SUM('Portfolio Register'!$J$5:$J$304)</f>
        <v>6195000</v>
      </c>
    </row>
    <row r="7" spans="2:8" x14ac:dyDescent="0.25">
      <c r="B7" s="32" t="s">
        <v>580</v>
      </c>
      <c r="C7" s="76">
        <f>SUM('Portfolio Register'!$CM$5:$CM$304)</f>
        <v>115777.04566981</v>
      </c>
    </row>
    <row r="8" spans="2:8" x14ac:dyDescent="0.25">
      <c r="B8" s="32" t="s">
        <v>581</v>
      </c>
      <c r="C8" s="76">
        <f>SUM('Portfolio Register'!$CO$5:$CO$304)</f>
        <v>115777.04566981</v>
      </c>
    </row>
    <row r="9" spans="2:8" x14ac:dyDescent="0.25">
      <c r="B9" s="36" t="s">
        <v>582</v>
      </c>
      <c r="C9" s="58">
        <f>SUM('Portfolio Register'!$CR$5:$CR$304)+SUM('Portfolio Register'!$CS$5:$CS$304)</f>
        <v>7086.65005229995</v>
      </c>
    </row>
    <row r="10" spans="2:8" x14ac:dyDescent="0.25">
      <c r="B10" s="36" t="s">
        <v>583</v>
      </c>
      <c r="C10" s="58">
        <f>SUM('Portfolio Register'!$CT$5:$CT$304)</f>
        <v>122863.69572211</v>
      </c>
    </row>
    <row r="11" spans="2:8" x14ac:dyDescent="0.25">
      <c r="B11" s="36" t="s">
        <v>584</v>
      </c>
      <c r="C11" s="58">
        <f>SUM('Portfolio Register'!$CU$5:$CU$304)</f>
        <v>20260.9829922167</v>
      </c>
    </row>
    <row r="12" spans="2:8" x14ac:dyDescent="0.25">
      <c r="B12" s="32" t="s">
        <v>585</v>
      </c>
      <c r="C12" s="76">
        <f>SUM('Portfolio Register'!$CV$5:$CV$304)</f>
        <v>11577.704566981</v>
      </c>
    </row>
    <row r="13" spans="2:8" x14ac:dyDescent="0.25">
      <c r="B13" s="36" t="s">
        <v>346</v>
      </c>
      <c r="C13" s="58">
        <f>SUM('Portfolio Register'!$CW$5:$CW$304)</f>
        <v>83938.3581106121</v>
      </c>
    </row>
    <row r="14" spans="2:8" x14ac:dyDescent="0.25">
      <c r="B14" s="36" t="s">
        <v>586</v>
      </c>
      <c r="C14" s="108">
        <f>IFERROR(SUM('Portfolio Register'!$CM$5:$CM$304)/SUM('Portfolio Register'!$J$5:$J$304)*100,0)</f>
        <v>1.86887886472655</v>
      </c>
    </row>
    <row r="15" spans="2:8" x14ac:dyDescent="0.25">
      <c r="B15" s="36" t="s">
        <v>587</v>
      </c>
      <c r="C15" s="108">
        <f>IFERROR(SUM('Portfolio Register'!$CO$5:$CO$304)/SUM('Portfolio Register'!$J$5:$J$304)*100,0)</f>
        <v>1.86887886472655</v>
      </c>
    </row>
    <row r="16" spans="2:8" x14ac:dyDescent="0.25">
      <c r="B16" s="32" t="s">
        <v>588</v>
      </c>
      <c r="C16" s="109">
        <f>IFERROR(SUM('Portfolio Register'!$CO$5:$CO$304)/SUM('Portfolio Register'!$CM$5:$CM$304),0)</f>
        <v>1</v>
      </c>
    </row>
    <row r="17" spans="2:8" x14ac:dyDescent="0.25">
      <c r="B17" s="36" t="s">
        <v>589</v>
      </c>
      <c r="C17" s="58">
        <f>IFERROR(C8/C5,0)</f>
        <v>14472.1307087262</v>
      </c>
    </row>
    <row r="18" spans="2:8" x14ac:dyDescent="0.25">
      <c r="B18" s="36" t="s">
        <v>590</v>
      </c>
      <c r="C18" s="58">
        <f>IFERROR(MAX('Portfolio Register'!$J$5:$J$304),0)</f>
        <v>1415000</v>
      </c>
    </row>
    <row r="19" spans="2:8" x14ac:dyDescent="0.25">
      <c r="B19" s="36" t="s">
        <v>591</v>
      </c>
      <c r="C19" s="107">
        <f>COUNTIF('Portfolio Register'!$CX$5:$CX$304,"AUTO-BIND")</f>
        <v>8</v>
      </c>
    </row>
    <row r="20" spans="2:8" x14ac:dyDescent="0.25">
      <c r="B20" s="36" t="s">
        <v>592</v>
      </c>
      <c r="C20" s="107">
        <f>COUNTIF('Portfolio Register'!$CX$5:$CX$304,"REFER")</f>
        <v>0</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4</v>
      </c>
      <c r="D26" s="112">
        <f>SUMIFS('Portfolio Register'!$J$5:$J$304,'Portfolio Register'!$I$5:$I$304,$B26)</f>
        <v>3300000</v>
      </c>
      <c r="E26" s="112">
        <f>SUMIFS('Portfolio Register'!$CM$5:$CM$304,'Portfolio Register'!$I$5:$I$304,$B26)</f>
        <v>54121.2140642625</v>
      </c>
      <c r="F26" s="112">
        <f>SUMIFS('Portfolio Register'!$CO$5:$CO$304,'Portfolio Register'!$I$5:$I$304,$B26)</f>
        <v>54121.2140642625</v>
      </c>
      <c r="G26" s="113">
        <f t="shared" ref="G26:G37" si="0">IFERROR(E26/D26*100,"")</f>
        <v>1.64003678982614</v>
      </c>
    </row>
    <row r="27" spans="2:8" x14ac:dyDescent="0.25">
      <c r="B27" s="114" t="str">
        <f>'Base Rates'!B6</f>
        <v>02 - Sports / GT</v>
      </c>
      <c r="C27" s="115">
        <f>COUNTIFS('Portfolio Register'!$I$5:$I$304,$B27)</f>
        <v>1</v>
      </c>
      <c r="D27" s="116">
        <f>SUMIFS('Portfolio Register'!$J$5:$J$304,'Portfolio Register'!$I$5:$I$304,$B27)</f>
        <v>475000</v>
      </c>
      <c r="E27" s="116">
        <f>SUMIFS('Portfolio Register'!$CM$5:$CM$304,'Portfolio Register'!$I$5:$I$304,$B27)</f>
        <v>12685.3012983654</v>
      </c>
      <c r="F27" s="116">
        <f>SUMIFS('Portfolio Register'!$CO$5:$CO$304,'Portfolio Register'!$I$5:$I$304,$B27)</f>
        <v>12685.3012983654</v>
      </c>
      <c r="G27" s="117">
        <f t="shared" si="0"/>
        <v>2.6705897470243</v>
      </c>
    </row>
    <row r="28" spans="2:8" x14ac:dyDescent="0.25">
      <c r="B28" s="27" t="str">
        <f>'Base Rates'!B7</f>
        <v>03 - Supercar</v>
      </c>
      <c r="C28" s="111">
        <f>COUNTIFS('Portfolio Register'!$I$5:$I$304,$B28)</f>
        <v>2</v>
      </c>
      <c r="D28" s="112">
        <f>SUMIFS('Portfolio Register'!$J$5:$J$304,'Portfolio Register'!$I$5:$I$304,$B28)</f>
        <v>1910000</v>
      </c>
      <c r="E28" s="112">
        <f>SUMIFS('Portfolio Register'!$CM$5:$CM$304,'Portfolio Register'!$I$5:$I$304,$B28)</f>
        <v>42460.4230162523</v>
      </c>
      <c r="F28" s="112">
        <f>SUMIFS('Portfolio Register'!$CO$5:$CO$304,'Portfolio Register'!$I$5:$I$304,$B28)</f>
        <v>42460.4230162523</v>
      </c>
      <c r="G28" s="113">
        <f t="shared" si="0"/>
        <v>2.22305879666243</v>
      </c>
    </row>
    <row r="29" spans="2:8" x14ac:dyDescent="0.25">
      <c r="B29" s="114" t="str">
        <f>'Base Rates'!B8</f>
        <v>04 - Hypercar</v>
      </c>
      <c r="C29" s="115">
        <f>COUNTIFS('Portfolio Register'!$I$5:$I$304,$B29)</f>
        <v>0</v>
      </c>
      <c r="D29" s="116">
        <f>SUMIFS('Portfolio Register'!$J$5:$J$304,'Portfolio Register'!$I$5:$I$304,$B29)</f>
        <v>0</v>
      </c>
      <c r="E29" s="116">
        <f>SUMIFS('Portfolio Register'!$CM$5:$CM$304,'Portfolio Register'!$I$5:$I$304,$B29)</f>
        <v>0</v>
      </c>
      <c r="F29" s="116">
        <f>SUMIFS('Portfolio Register'!$CO$5:$CO$304,'Portfolio Register'!$I$5:$I$304,$B29)</f>
        <v>0</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510000</v>
      </c>
      <c r="E32" s="112">
        <f>SUMIFS('Portfolio Register'!$CM$5:$CM$304,'Portfolio Register'!$I$5:$I$304,$B32)</f>
        <v>6510.10729092949</v>
      </c>
      <c r="F32" s="112">
        <f>SUMIFS('Portfolio Register'!$CO$5:$CO$304,'Portfolio Register'!$I$5:$I$304,$B32)</f>
        <v>6510.10729092949</v>
      </c>
      <c r="G32" s="113">
        <f t="shared" si="0"/>
        <v>1.27649162567245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0</v>
      </c>
      <c r="D36" s="112">
        <f>SUMIFS('Portfolio Register'!$J$5:$J$304,'Portfolio Register'!$I$5:$I$304,$B36)</f>
        <v>0</v>
      </c>
      <c r="E36" s="112">
        <f>SUMIFS('Portfolio Register'!$CM$5:$CM$304,'Portfolio Register'!$I$5:$I$304,$B36)</f>
        <v>0</v>
      </c>
      <c r="F36" s="112">
        <f>SUMIFS('Portfolio Register'!$CO$5:$CO$304,'Portfolio Register'!$I$5:$I$304,$B36)</f>
        <v>0</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0</v>
      </c>
      <c r="D43" s="112">
        <f>SUMIFS('Portfolio Register'!$J$5:$J$304,'Portfolio Register'!$K$5:$K$304,$B43)</f>
        <v>0</v>
      </c>
      <c r="E43" s="112">
        <f>SUMIFS('Portfolio Register'!$CO$5:$CO$304,'Portfolio Register'!$K$5:$K$304,$B43)</f>
        <v>0</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8</v>
      </c>
      <c r="D45" s="112">
        <f>SUMIFS('Portfolio Register'!$J$5:$J$304,'Portfolio Register'!$K$5:$K$304,$B45)</f>
        <v>6195000</v>
      </c>
      <c r="E45" s="112">
        <f>SUMIFS('Portfolio Register'!$CO$5:$CO$304,'Portfolio Register'!$K$5:$K$304,$B45)</f>
        <v>115777.04566981</v>
      </c>
      <c r="F45" s="113">
        <f t="shared" si="1"/>
        <v>1.86887886472655</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0</v>
      </c>
      <c r="D50" s="116">
        <f>SUMIFS('Portfolio Register'!$J$5:$J$304,'Portfolio Register'!$K$5:$K$304,$B50)</f>
        <v>0</v>
      </c>
      <c r="E50" s="116">
        <f>SUMIFS('Portfolio Register'!$CO$5:$CO$304,'Portfolio Register'!$K$5:$K$304,$B50)</f>
        <v>0</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0</v>
      </c>
      <c r="D69" s="112">
        <f>SUMIFS('Portfolio Register'!$J$5:$J$304,'Portfolio Register'!$K$5:$K$304,$B69)</f>
        <v>0</v>
      </c>
      <c r="E69" s="112">
        <f>SUMIFS('Portfolio Register'!$CO$5:$CO$304,'Portfolio Register'!$K$5:$K$304,$B69)</f>
        <v>0</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0</v>
      </c>
      <c r="D80" s="116">
        <f>SUMIFS('Portfolio Register'!$J$5:$J$304,'Portfolio Register'!$K$5:$K$304,$B80)</f>
        <v>0</v>
      </c>
      <c r="E80" s="116">
        <f>SUMIFS('Portfolio Register'!$CO$5:$CO$304,'Portfolio Register'!$K$5:$K$304,$B80)</f>
        <v>0</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0</v>
      </c>
      <c r="D96" s="112">
        <f>SUMIFS('Portfolio Register'!$J$5:$J$304,'Portfolio Register'!$AS$5:$AS$304,$B96)</f>
        <v>0</v>
      </c>
      <c r="E96" s="112">
        <f>SUMIFS('Portfolio Register'!$CO$5:$CO$304,'Portfolio Register'!$AS$5:$AS$304,$B96)</f>
        <v>0</v>
      </c>
    </row>
    <row r="97" spans="2:8" x14ac:dyDescent="0.25">
      <c r="B97" s="114" t="str">
        <f>'Natural Catastrophe'!B7</f>
        <v>Tier 2 - Coastal wind (1-25 miles)</v>
      </c>
      <c r="C97" s="115">
        <f>COUNTIFS('Portfolio Register'!$AS$5:$AS$304,$B97)</f>
        <v>0</v>
      </c>
      <c r="D97" s="116">
        <f>SUMIFS('Portfolio Register'!$J$5:$J$304,'Portfolio Register'!$AS$5:$AS$304,$B97)</f>
        <v>0</v>
      </c>
      <c r="E97" s="116">
        <f>SUMIFS('Portfolio Register'!$CO$5:$CO$304,'Portfolio Register'!$AS$5:$AS$304,$B97)</f>
        <v>0</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0</v>
      </c>
      <c r="D101" s="116">
        <f>SUMIFS('Portfolio Register'!$J$5:$J$304,'Portfolio Register'!$AS$5:$AS$304,$B101)</f>
        <v>0</v>
      </c>
      <c r="E101" s="116">
        <f>SUMIFS('Portfolio Register'!$CO$5:$CO$304,'Portfolio Register'!$AS$5:$AS$304,$B101)</f>
        <v>0</v>
      </c>
    </row>
    <row r="102" spans="2:8" x14ac:dyDescent="0.25">
      <c r="B102" s="27" t="str">
        <f>'Natural Catastrophe'!B12</f>
        <v>Wildfire - WUI high hazard</v>
      </c>
      <c r="C102" s="111">
        <f>COUNTIFS('Portfolio Register'!$AS$5:$AS$304,$B102)</f>
        <v>0</v>
      </c>
      <c r="D102" s="112">
        <f>SUMIFS('Portfolio Register'!$J$5:$J$304,'Portfolio Register'!$AS$5:$AS$304,$B102)</f>
        <v>0</v>
      </c>
      <c r="E102" s="112">
        <f>SUMIFS('Portfolio Register'!$CO$5:$CO$304,'Portfolio Register'!$AS$5:$AS$304,$B102)</f>
        <v>0</v>
      </c>
    </row>
    <row r="103" spans="2:8" x14ac:dyDescent="0.25">
      <c r="B103" s="114" t="str">
        <f>'Natural Catastrophe'!B13</f>
        <v>Wildfire - moderate hazard</v>
      </c>
      <c r="C103" s="115">
        <f>COUNTIFS('Portfolio Register'!$AS$5:$AS$304,$B103)</f>
        <v>8</v>
      </c>
      <c r="D103" s="116">
        <f>SUMIFS('Portfolio Register'!$J$5:$J$304,'Portfolio Register'!$AS$5:$AS$304,$B103)</f>
        <v>6195000</v>
      </c>
      <c r="E103" s="116">
        <f>SUMIFS('Portfolio Register'!$CO$5:$CO$304,'Portfolio Register'!$AS$5:$AS$304,$B103)</f>
        <v>115777.04566981</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0</v>
      </c>
      <c r="D107" s="116">
        <f>SUMIFS('Portfolio Register'!$J$5:$J$304,'Portfolio Register'!$AS$5:$AS$304,$B107)</f>
        <v>0</v>
      </c>
      <c r="E107" s="116">
        <f>SUMIFS('Portfolio Register'!$CO$5:$CO$304,'Portfolio Register'!$AS$5:$AS$304,$B107)</f>
        <v>0</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0</v>
      </c>
      <c r="D114" s="118">
        <f>IFERROR(C114/$C$5,0)</f>
        <v>0</v>
      </c>
      <c r="E114" s="112">
        <f>SUMIFS('Portfolio Register'!$CO$5:$CO$304,'Portfolio Register'!$CZ$5:$CZ$304,$B114)</f>
        <v>0</v>
      </c>
      <c r="F114" s="118">
        <f>IFERROR(E114/$C$8,0)</f>
        <v>0</v>
      </c>
      <c r="G114" s="112">
        <f>SUMIFS('Portfolio Register'!$CM$5:$CM$304,'Portfolio Register'!$CZ$5:$CZ$304,$B114)</f>
        <v>0</v>
      </c>
      <c r="H114" s="112">
        <f>E114-G114</f>
        <v>0</v>
      </c>
    </row>
    <row r="115" spans="2:8" x14ac:dyDescent="0.25">
      <c r="B115" s="119" t="s">
        <v>616</v>
      </c>
      <c r="C115" s="115">
        <f>COUNTIFS('Portfolio Register'!$CZ$5:$CZ$304,$B115)</f>
        <v>8</v>
      </c>
      <c r="D115" s="120">
        <f>IFERROR(C115/$C$5,0)</f>
        <v>1</v>
      </c>
      <c r="E115" s="116">
        <f>SUMIFS('Portfolio Register'!$CO$5:$CO$304,'Portfolio Register'!$CZ$5:$CZ$304,$B115)</f>
        <v>115777.04566981</v>
      </c>
      <c r="F115" s="120">
        <f>IFERROR(E115/$C$8,0)</f>
        <v>1</v>
      </c>
      <c r="G115" s="116">
        <f>SUMIFS('Portfolio Register'!$CM$5:$CM$304,'Portfolio Register'!$CZ$5:$CZ$304,$B115)</f>
        <v>115777.04566981</v>
      </c>
      <c r="H115" s="116">
        <f>E115-G115</f>
        <v>0</v>
      </c>
    </row>
    <row r="116" spans="2:8" x14ac:dyDescent="0.25">
      <c r="B116" s="121" t="s">
        <v>617</v>
      </c>
      <c r="C116" s="111">
        <f>COUNTIFS('Portfolio Register'!$CZ$5:$CZ$304,$B116)</f>
        <v>0</v>
      </c>
      <c r="D116" s="118">
        <f>IFERROR(C116/$C$5,0)</f>
        <v>0</v>
      </c>
      <c r="E116" s="112">
        <f>SUMIFS('Portfolio Register'!$CO$5:$CO$304,'Portfolio Register'!$CZ$5:$CZ$304,$B116)</f>
        <v>0</v>
      </c>
      <c r="F116" s="118">
        <f>IFERROR(E116/$C$8,0)</f>
        <v>0</v>
      </c>
      <c r="G116" s="112">
        <f>SUMIFS('Portfolio Register'!$CM$5:$CM$304,'Portfolio Register'!$CZ$5:$CZ$304,$B116)</f>
        <v>0</v>
      </c>
      <c r="H116" s="112">
        <f>E116-G116</f>
        <v>0</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0</v>
      </c>
    </row>
    <row r="120" spans="2:8" x14ac:dyDescent="0.25">
      <c r="B120" s="36" t="s">
        <v>620</v>
      </c>
      <c r="C120" s="58">
        <f>SUMIF('Portfolio Register'!$CZ$5:$CZ$304,"Above technical",'Portfolio Register'!$CO$5:$CO$304)-SUMIF('Portfolio Register'!$CZ$5:$CZ$304,"Above technical",'Portfolio Register'!$CM$5:$CM$304)</f>
        <v>0</v>
      </c>
    </row>
    <row r="121" spans="2:8" x14ac:dyDescent="0.25">
      <c r="B121" s="36" t="s">
        <v>621</v>
      </c>
      <c r="C121" s="58">
        <f>SUMIF('Portfolio Register'!$CZ$5:$CZ$304,"BELOW technical",'Portfolio Register'!$CO$5:$CO$304)-SUMIF('Portfolio Register'!$CZ$5:$CZ$304,"BELOW technical",'Portfolio Register'!$CM$5:$CM$304)</f>
        <v>0</v>
      </c>
    </row>
    <row r="122" spans="2:8" x14ac:dyDescent="0.25">
      <c r="B122" s="32" t="s">
        <v>622</v>
      </c>
      <c r="C122" s="76">
        <f>$C$8-$C$7</f>
        <v>0</v>
      </c>
    </row>
    <row r="123" spans="2:8" x14ac:dyDescent="0.25">
      <c r="B123" s="36" t="s">
        <v>623</v>
      </c>
      <c r="C123" s="123">
        <f>IFERROR(MIN('Portfolio Register'!$CY$5:$CY$304),0)</f>
        <v>0</v>
      </c>
    </row>
    <row r="124" spans="2:8" x14ac:dyDescent="0.25">
      <c r="B124" s="36" t="s">
        <v>624</v>
      </c>
      <c r="C124" s="123">
        <f>IFERROR(MAX('Portfolio Register'!$CY$5:$CY$304),0)</f>
        <v>0</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0</v>
      </c>
      <c r="D136" s="112">
        <f>SUMIFS('Portfolio Register'!$J$5:$J$304,'Portfolio Register'!$C$5:$C$304,"&gt;="&amp;$B136,'Portfolio Register'!$C$5:$C$304,"&lt;"&amp;EDATE($B136,1))</f>
        <v>0</v>
      </c>
      <c r="E136" s="112">
        <f>SUMIFS('Portfolio Register'!$CM$5:$CM$304,'Portfolio Register'!$C$5:$C$304,"&gt;="&amp;$B136,'Portfolio Register'!$C$5:$C$304,"&lt;"&amp;EDATE($B136,1))</f>
        <v>0</v>
      </c>
      <c r="F136" s="112">
        <f>SUMIFS('Portfolio Register'!$CO$5:$CO$304,'Portfolio Register'!$C$5:$C$304,"&gt;="&amp;$B136,'Portfolio Register'!$C$5:$C$304,"&lt;"&amp;EDATE($B136,1))</f>
        <v>0</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0</v>
      </c>
      <c r="D137" s="116">
        <f>SUMIFS('Portfolio Register'!$J$5:$J$304,'Portfolio Register'!$C$5:$C$304,"&gt;="&amp;$B137,'Portfolio Register'!$C$5:$C$304,"&lt;"&amp;EDATE($B137,1))</f>
        <v>0</v>
      </c>
      <c r="E137" s="116">
        <f>SUMIFS('Portfolio Register'!$CM$5:$CM$304,'Portfolio Register'!$C$5:$C$304,"&gt;="&amp;$B137,'Portfolio Register'!$C$5:$C$304,"&lt;"&amp;EDATE($B137,1))</f>
        <v>0</v>
      </c>
      <c r="F137" s="116">
        <f>SUMIFS('Portfolio Register'!$CO$5:$CO$304,'Portfolio Register'!$C$5:$C$304,"&gt;="&amp;$B137,'Portfolio Register'!$C$5:$C$304,"&lt;"&amp;EDATE($B137,1))</f>
        <v>0</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0</v>
      </c>
      <c r="D138" s="112">
        <f>SUMIFS('Portfolio Register'!$J$5:$J$304,'Portfolio Register'!$C$5:$C$304,"&gt;="&amp;$B138,'Portfolio Register'!$C$5:$C$304,"&lt;"&amp;EDATE($B138,1))</f>
        <v>0</v>
      </c>
      <c r="E138" s="112">
        <f>SUMIFS('Portfolio Register'!$CM$5:$CM$304,'Portfolio Register'!$C$5:$C$304,"&gt;="&amp;$B138,'Portfolio Register'!$C$5:$C$304,"&lt;"&amp;EDATE($B138,1))</f>
        <v>0</v>
      </c>
      <c r="F138" s="112">
        <f>SUMIFS('Portfolio Register'!$CO$5:$CO$304,'Portfolio Register'!$C$5:$C$304,"&gt;="&amp;$B138,'Portfolio Register'!$C$5:$C$304,"&lt;"&amp;EDATE($B138,1))</f>
        <v>0</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0</v>
      </c>
      <c r="D139" s="116">
        <f>SUMIFS('Portfolio Register'!$J$5:$J$304,'Portfolio Register'!$C$5:$C$304,"&gt;="&amp;$B139,'Portfolio Register'!$C$5:$C$304,"&lt;"&amp;EDATE($B139,1))</f>
        <v>0</v>
      </c>
      <c r="E139" s="116">
        <f>SUMIFS('Portfolio Register'!$CM$5:$CM$304,'Portfolio Register'!$C$5:$C$304,"&gt;="&amp;$B139,'Portfolio Register'!$C$5:$C$304,"&lt;"&amp;EDATE($B139,1))</f>
        <v>0</v>
      </c>
      <c r="F139" s="116">
        <f>SUMIFS('Portfolio Register'!$CO$5:$CO$304,'Portfolio Register'!$C$5:$C$304,"&gt;="&amp;$B139,'Portfolio Register'!$C$5:$C$304,"&lt;"&amp;EDATE($B139,1))</f>
        <v>0</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0</v>
      </c>
      <c r="D140" s="112">
        <f>SUMIFS('Portfolio Register'!$J$5:$J$304,'Portfolio Register'!$C$5:$C$304,"&gt;="&amp;$B140,'Portfolio Register'!$C$5:$C$304,"&lt;"&amp;EDATE($B140,1))</f>
        <v>0</v>
      </c>
      <c r="E140" s="112">
        <f>SUMIFS('Portfolio Register'!$CM$5:$CM$304,'Portfolio Register'!$C$5:$C$304,"&gt;="&amp;$B140,'Portfolio Register'!$C$5:$C$304,"&lt;"&amp;EDATE($B140,1))</f>
        <v>0</v>
      </c>
      <c r="F140" s="112">
        <f>SUMIFS('Portfolio Register'!$CO$5:$CO$304,'Portfolio Register'!$C$5:$C$304,"&gt;="&amp;$B140,'Portfolio Register'!$C$5:$C$304,"&lt;"&amp;EDATE($B140,1))</f>
        <v>0</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0</v>
      </c>
      <c r="D141" s="116">
        <f>SUMIFS('Portfolio Register'!$J$5:$J$304,'Portfolio Register'!$C$5:$C$304,"&gt;="&amp;$B141,'Portfolio Register'!$C$5:$C$304,"&lt;"&amp;EDATE($B141,1))</f>
        <v>0</v>
      </c>
      <c r="E141" s="116">
        <f>SUMIFS('Portfolio Register'!$CM$5:$CM$304,'Portfolio Register'!$C$5:$C$304,"&gt;="&amp;$B141,'Portfolio Register'!$C$5:$C$304,"&lt;"&amp;EDATE($B141,1))</f>
        <v>0</v>
      </c>
      <c r="F141" s="116">
        <f>SUMIFS('Portfolio Register'!$CO$5:$CO$304,'Portfolio Register'!$C$5:$C$304,"&gt;="&amp;$B141,'Portfolio Register'!$C$5:$C$304,"&lt;"&amp;EDATE($B141,1))</f>
        <v>0</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