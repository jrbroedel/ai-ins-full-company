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M\Downloads\"/>
    </mc:Choice>
  </mc:AlternateContent>
  <xr:revisionPtr revIDLastSave="0" documentId="8_{EFE11F16-DB7A-48F1-8566-9B5D36F8688A}" xr6:coauthVersionLast="47" xr6:coauthVersionMax="47" xr10:uidLastSave="{00000000-0000-0000-0000-000000000000}"/>
  <bookViews>
    <workbookView xWindow="-110" yWindow="-110" windowWidth="19420" windowHeight="11500"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 name="Security Schedule" sheetId="24" r:id="rId24"/>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Y340" i="24" l="1"/>
  <c r="W340" i="24"/>
  <c r="V340" i="24"/>
  <c r="U340" i="24"/>
  <c r="S340" i="24"/>
  <c r="P340" i="24"/>
  <c r="O340" i="24"/>
  <c r="N340" i="24"/>
  <c r="I340" i="24"/>
  <c r="G340" i="24"/>
  <c r="F340" i="24"/>
  <c r="D340" i="24"/>
  <c r="C340" i="24"/>
  <c r="B340" i="24"/>
  <c r="AA339" i="24"/>
  <c r="O339" i="24"/>
  <c r="M339" i="24"/>
  <c r="K339" i="24"/>
  <c r="C339" i="24"/>
  <c r="B339" i="24"/>
  <c r="AC338" i="24"/>
  <c r="AA338" i="24"/>
  <c r="Z338" i="24"/>
  <c r="X338" i="24"/>
  <c r="W338" i="24"/>
  <c r="V338" i="24"/>
  <c r="Q338" i="24"/>
  <c r="O338" i="24"/>
  <c r="N338" i="24"/>
  <c r="L338" i="24"/>
  <c r="K338" i="24"/>
  <c r="J338" i="24"/>
  <c r="I338" i="24"/>
  <c r="G338" i="24"/>
  <c r="F338" i="24"/>
  <c r="B338" i="24"/>
  <c r="AB337" i="24"/>
  <c r="AA337" i="24"/>
  <c r="Z337" i="24"/>
  <c r="Y337" i="24"/>
  <c r="U337" i="24"/>
  <c r="S337" i="24"/>
  <c r="R337" i="24"/>
  <c r="M337" i="24"/>
  <c r="K337" i="24"/>
  <c r="J337" i="24"/>
  <c r="I337" i="24"/>
  <c r="G337" i="24"/>
  <c r="F337" i="24"/>
  <c r="D337" i="24"/>
  <c r="B337" i="24"/>
  <c r="Y336" i="24"/>
  <c r="W336" i="24"/>
  <c r="V336" i="24"/>
  <c r="T336" i="24"/>
  <c r="S336" i="24"/>
  <c r="R336" i="24"/>
  <c r="O336" i="24"/>
  <c r="N336" i="24"/>
  <c r="H336" i="24"/>
  <c r="E336" i="24"/>
  <c r="B336" i="24"/>
  <c r="AC335" i="24"/>
  <c r="AA335" i="24"/>
  <c r="Z335" i="24"/>
  <c r="S335" i="24"/>
  <c r="R335" i="24"/>
  <c r="Q335" i="24"/>
  <c r="L335" i="24"/>
  <c r="K335" i="24"/>
  <c r="J335" i="24"/>
  <c r="E335" i="24"/>
  <c r="B335" i="24"/>
  <c r="AB334" i="24"/>
  <c r="AA334" i="24"/>
  <c r="Z334" i="24"/>
  <c r="Y334" i="24"/>
  <c r="W334" i="24"/>
  <c r="V334" i="24"/>
  <c r="P334" i="24"/>
  <c r="O334" i="24"/>
  <c r="N334" i="24"/>
  <c r="M334" i="24"/>
  <c r="K334" i="24"/>
  <c r="J334" i="24"/>
  <c r="I334" i="24"/>
  <c r="G334" i="24"/>
  <c r="F334" i="24"/>
  <c r="B334" i="24"/>
  <c r="Z333" i="24"/>
  <c r="E333" i="24"/>
  <c r="C333" i="24"/>
  <c r="B333" i="24"/>
  <c r="W332" i="24"/>
  <c r="V332" i="24"/>
  <c r="U332" i="24"/>
  <c r="N332" i="24"/>
  <c r="J332" i="24"/>
  <c r="I332" i="24"/>
  <c r="G332" i="24"/>
  <c r="E332" i="24"/>
  <c r="C332" i="24"/>
  <c r="B332" i="24"/>
  <c r="Z331" i="24"/>
  <c r="V331" i="24"/>
  <c r="U331" i="24"/>
  <c r="P331" i="24"/>
  <c r="N331" i="24"/>
  <c r="M331" i="24"/>
  <c r="K331" i="24"/>
  <c r="D331" i="24"/>
  <c r="C331" i="24"/>
  <c r="B331" i="24"/>
  <c r="Z330" i="24"/>
  <c r="R330" i="24"/>
  <c r="K330" i="24"/>
  <c r="J330" i="24"/>
  <c r="H330" i="24"/>
  <c r="B330" i="24"/>
  <c r="U329" i="24"/>
  <c r="S329" i="24"/>
  <c r="N329" i="24"/>
  <c r="K329" i="24"/>
  <c r="B329" i="24"/>
  <c r="Y328" i="24"/>
  <c r="W328" i="24"/>
  <c r="U328" i="24"/>
  <c r="S328" i="24"/>
  <c r="R328" i="24"/>
  <c r="N328" i="24"/>
  <c r="J328" i="24"/>
  <c r="I328" i="24"/>
  <c r="G328" i="24"/>
  <c r="F328" i="24"/>
  <c r="D328" i="24"/>
  <c r="B328" i="24"/>
  <c r="AC327" i="24"/>
  <c r="AA327" i="24"/>
  <c r="T327" i="24"/>
  <c r="S327" i="24"/>
  <c r="R327" i="24"/>
  <c r="Q327" i="24"/>
  <c r="O327" i="24"/>
  <c r="N327" i="24"/>
  <c r="K327" i="24"/>
  <c r="J327" i="24"/>
  <c r="F327" i="24"/>
  <c r="B327" i="24"/>
  <c r="AA326" i="24"/>
  <c r="W326" i="24"/>
  <c r="R326" i="24"/>
  <c r="Q326" i="24"/>
  <c r="K326" i="24"/>
  <c r="I326" i="24"/>
  <c r="B326" i="24"/>
  <c r="N325" i="24"/>
  <c r="B325" i="24"/>
  <c r="B324" i="24"/>
  <c r="AC323" i="24"/>
  <c r="AA323" i="24"/>
  <c r="Z323" i="24"/>
  <c r="V323" i="24"/>
  <c r="S323" i="24"/>
  <c r="R323" i="24"/>
  <c r="Q323" i="24"/>
  <c r="O323" i="24"/>
  <c r="N323" i="24"/>
  <c r="L323" i="24"/>
  <c r="K323" i="24"/>
  <c r="J323" i="24"/>
  <c r="F323" i="24"/>
  <c r="E323" i="24"/>
  <c r="C323" i="24"/>
  <c r="B323" i="24"/>
  <c r="O322" i="24"/>
  <c r="N322" i="24"/>
  <c r="B322" i="24"/>
  <c r="AC321" i="24"/>
  <c r="AA321" i="24"/>
  <c r="Z321" i="24"/>
  <c r="Y321" i="24"/>
  <c r="W321" i="24"/>
  <c r="V321" i="24"/>
  <c r="S321" i="24"/>
  <c r="R321" i="24"/>
  <c r="N321" i="24"/>
  <c r="M321" i="24"/>
  <c r="K321" i="24"/>
  <c r="J321" i="24"/>
  <c r="H321" i="24"/>
  <c r="G321" i="24"/>
  <c r="F321" i="24"/>
  <c r="E321" i="24"/>
  <c r="C321" i="24"/>
  <c r="B321" i="24"/>
  <c r="F320" i="24"/>
  <c r="E320" i="24"/>
  <c r="C320" i="24"/>
  <c r="B320" i="24"/>
  <c r="S319" i="24"/>
  <c r="O319" i="24"/>
  <c r="K319" i="24"/>
  <c r="C319" i="24"/>
  <c r="B319" i="24"/>
  <c r="B318" i="24"/>
  <c r="AC317" i="24"/>
  <c r="V317" i="24"/>
  <c r="L317" i="24"/>
  <c r="I317" i="24"/>
  <c r="G317" i="24"/>
  <c r="B317" i="24"/>
  <c r="V316" i="24"/>
  <c r="R316" i="24"/>
  <c r="B316" i="24"/>
  <c r="AC315" i="24"/>
  <c r="AA315" i="24"/>
  <c r="Z315" i="24"/>
  <c r="V315" i="24"/>
  <c r="S315" i="24"/>
  <c r="R315" i="24"/>
  <c r="Q315" i="24"/>
  <c r="M315" i="24"/>
  <c r="K315" i="24"/>
  <c r="J315" i="24"/>
  <c r="F315" i="24"/>
  <c r="E315" i="24"/>
  <c r="C315" i="24"/>
  <c r="B315" i="24"/>
  <c r="AC314" i="24"/>
  <c r="AA314" i="24"/>
  <c r="Z314" i="24"/>
  <c r="V314" i="24"/>
  <c r="R314" i="24"/>
  <c r="Q314" i="24"/>
  <c r="O314" i="24"/>
  <c r="N314" i="24"/>
  <c r="L314" i="24"/>
  <c r="K314" i="24"/>
  <c r="J314" i="24"/>
  <c r="I314" i="24"/>
  <c r="G314" i="24"/>
  <c r="B314" i="24"/>
  <c r="AB313" i="24"/>
  <c r="AA313" i="24"/>
  <c r="Z313" i="24"/>
  <c r="Y313" i="24"/>
  <c r="W313" i="24"/>
  <c r="V313" i="24"/>
  <c r="S313" i="24"/>
  <c r="R313" i="24"/>
  <c r="N313" i="24"/>
  <c r="J313" i="24"/>
  <c r="I313" i="24"/>
  <c r="G313" i="24"/>
  <c r="F313" i="24"/>
  <c r="D313" i="24"/>
  <c r="C313" i="24"/>
  <c r="B313" i="24"/>
  <c r="B312" i="24"/>
  <c r="AC311" i="24"/>
  <c r="W311" i="24"/>
  <c r="M311" i="24"/>
  <c r="J311" i="24"/>
  <c r="B311" i="24"/>
  <c r="AC310" i="24"/>
  <c r="AB310" i="24"/>
  <c r="S310" i="24"/>
  <c r="R310" i="24"/>
  <c r="Q310" i="24"/>
  <c r="P310" i="24"/>
  <c r="N310" i="24"/>
  <c r="M310" i="24"/>
  <c r="I310" i="24"/>
  <c r="E310" i="24"/>
  <c r="D310" i="24"/>
  <c r="C310" i="24"/>
  <c r="B310" i="24"/>
  <c r="U310" i="24" s="1"/>
  <c r="AC309" i="24"/>
  <c r="AA309" i="24"/>
  <c r="Z309" i="24"/>
  <c r="V309" i="24"/>
  <c r="U309" i="24"/>
  <c r="T309" i="24"/>
  <c r="R309" i="24"/>
  <c r="Q309" i="24"/>
  <c r="O309" i="24"/>
  <c r="N309" i="24"/>
  <c r="M309" i="24"/>
  <c r="K309" i="24"/>
  <c r="H309" i="24"/>
  <c r="G309" i="24"/>
  <c r="F309" i="24"/>
  <c r="E309" i="24"/>
  <c r="C309" i="24"/>
  <c r="B309" i="24"/>
  <c r="AB308" i="24"/>
  <c r="B308" i="24"/>
  <c r="AC307" i="24"/>
  <c r="W307" i="24"/>
  <c r="V307" i="24"/>
  <c r="U307" i="24"/>
  <c r="T307" i="24"/>
  <c r="S307" i="24"/>
  <c r="R307" i="24"/>
  <c r="P307" i="24"/>
  <c r="O307" i="24"/>
  <c r="K307" i="24"/>
  <c r="H307" i="24"/>
  <c r="G307" i="24"/>
  <c r="F307" i="24"/>
  <c r="E307" i="24"/>
  <c r="D307" i="24"/>
  <c r="C307" i="24"/>
  <c r="B307" i="24"/>
  <c r="AA306" i="24"/>
  <c r="Z306" i="24"/>
  <c r="Y306" i="24"/>
  <c r="S306" i="24"/>
  <c r="M306" i="24"/>
  <c r="L306" i="24"/>
  <c r="K306" i="24"/>
  <c r="H306" i="24"/>
  <c r="G306" i="24"/>
  <c r="B306" i="24"/>
  <c r="AC305" i="24"/>
  <c r="AA305" i="24"/>
  <c r="R305" i="24"/>
  <c r="Q305" i="24"/>
  <c r="P305" i="24"/>
  <c r="O305" i="24"/>
  <c r="L305" i="24"/>
  <c r="K305" i="24"/>
  <c r="F305" i="24"/>
  <c r="C305" i="24"/>
  <c r="B305" i="24"/>
  <c r="AC304" i="24"/>
  <c r="Z304" i="24"/>
  <c r="W304" i="24"/>
  <c r="S304" i="24"/>
  <c r="R304" i="24"/>
  <c r="Q304" i="24"/>
  <c r="K304" i="24"/>
  <c r="J304" i="24"/>
  <c r="I304" i="24"/>
  <c r="F304" i="24"/>
  <c r="E304" i="24"/>
  <c r="D304" i="24"/>
  <c r="B304" i="24"/>
  <c r="AA303" i="24"/>
  <c r="Y303" i="24"/>
  <c r="X303" i="24"/>
  <c r="T303" i="24"/>
  <c r="S303" i="24"/>
  <c r="R303" i="24"/>
  <c r="O303" i="24"/>
  <c r="N303" i="24"/>
  <c r="M303" i="24"/>
  <c r="K303" i="24"/>
  <c r="J303" i="24"/>
  <c r="I303" i="24"/>
  <c r="F303" i="24"/>
  <c r="C303" i="24"/>
  <c r="B303" i="24"/>
  <c r="B302" i="24"/>
  <c r="AC301" i="24"/>
  <c r="AB301" i="24"/>
  <c r="AA301" i="24"/>
  <c r="W301" i="24"/>
  <c r="V301" i="24"/>
  <c r="R301" i="24"/>
  <c r="Q301" i="24"/>
  <c r="P301" i="24"/>
  <c r="O301" i="24"/>
  <c r="N301" i="24"/>
  <c r="K301" i="24"/>
  <c r="I301" i="24"/>
  <c r="H301" i="24"/>
  <c r="G301" i="24"/>
  <c r="D301" i="24"/>
  <c r="C301" i="24"/>
  <c r="B301" i="24"/>
  <c r="Z300" i="24"/>
  <c r="Y300" i="24"/>
  <c r="W300" i="24"/>
  <c r="V300" i="24"/>
  <c r="U300" i="24"/>
  <c r="O300" i="24"/>
  <c r="N300" i="24"/>
  <c r="M300" i="24"/>
  <c r="I300" i="24"/>
  <c r="H300" i="24"/>
  <c r="G300" i="24"/>
  <c r="B300" i="24"/>
  <c r="B299" i="24"/>
  <c r="AA298" i="24"/>
  <c r="Z298" i="24"/>
  <c r="T298" i="24"/>
  <c r="S298" i="24"/>
  <c r="O298" i="24"/>
  <c r="N298" i="24"/>
  <c r="K298" i="24"/>
  <c r="E298" i="24"/>
  <c r="B298" i="24"/>
  <c r="Y297" i="24"/>
  <c r="B297" i="24"/>
  <c r="AC296" i="24"/>
  <c r="AB296" i="24"/>
  <c r="X296" i="24"/>
  <c r="R296" i="24"/>
  <c r="N296" i="24"/>
  <c r="M296" i="24"/>
  <c r="L296" i="24"/>
  <c r="I296" i="24"/>
  <c r="G296" i="24"/>
  <c r="E296" i="24"/>
  <c r="D296" i="24"/>
  <c r="B296" i="24"/>
  <c r="Y296" i="24" s="1"/>
  <c r="AC295" i="24"/>
  <c r="AB295" i="24"/>
  <c r="Y295" i="24"/>
  <c r="X295" i="24"/>
  <c r="W295" i="24"/>
  <c r="V295" i="24"/>
  <c r="U295" i="24"/>
  <c r="T295" i="24"/>
  <c r="S295" i="24"/>
  <c r="R295" i="24"/>
  <c r="Q295" i="24"/>
  <c r="P295" i="24"/>
  <c r="M295" i="24"/>
  <c r="L295" i="24"/>
  <c r="K295" i="24"/>
  <c r="J295" i="24"/>
  <c r="I295" i="24"/>
  <c r="H295" i="24"/>
  <c r="G295" i="24"/>
  <c r="F295" i="24"/>
  <c r="E295" i="24"/>
  <c r="D295" i="24"/>
  <c r="B295" i="24"/>
  <c r="AA295" i="24" s="1"/>
  <c r="AC294" i="24"/>
  <c r="Z294" i="24"/>
  <c r="Y294" i="24"/>
  <c r="X294" i="24"/>
  <c r="V294" i="24"/>
  <c r="U294" i="24"/>
  <c r="T294" i="24"/>
  <c r="P294" i="24"/>
  <c r="O294" i="24"/>
  <c r="N294" i="24"/>
  <c r="J294" i="24"/>
  <c r="I294" i="24"/>
  <c r="H294" i="24"/>
  <c r="E294" i="24"/>
  <c r="D294" i="24"/>
  <c r="C294" i="24"/>
  <c r="B294" i="24"/>
  <c r="AC293" i="24"/>
  <c r="B293" i="24"/>
  <c r="AC292" i="24"/>
  <c r="AB292" i="24"/>
  <c r="AA292" i="24"/>
  <c r="Y292" i="24"/>
  <c r="X292" i="24"/>
  <c r="W292" i="24"/>
  <c r="V292" i="24"/>
  <c r="U292" i="24"/>
  <c r="T292" i="24"/>
  <c r="S292" i="24"/>
  <c r="R292" i="24"/>
  <c r="Q292" i="24"/>
  <c r="P292" i="24"/>
  <c r="O292" i="24"/>
  <c r="M292" i="24"/>
  <c r="L292" i="24"/>
  <c r="K292" i="24"/>
  <c r="J292" i="24"/>
  <c r="I292" i="24"/>
  <c r="H292" i="24"/>
  <c r="G292" i="24"/>
  <c r="F292" i="24"/>
  <c r="E292" i="24"/>
  <c r="D292" i="24"/>
  <c r="C292" i="24"/>
  <c r="B292" i="24"/>
  <c r="Z292" i="24" s="1"/>
  <c r="AB291" i="24"/>
  <c r="AA291" i="24"/>
  <c r="U291" i="24"/>
  <c r="T291" i="24"/>
  <c r="Q291" i="24"/>
  <c r="P291" i="24"/>
  <c r="O291" i="24"/>
  <c r="M291" i="24"/>
  <c r="L291" i="24"/>
  <c r="J291" i="24"/>
  <c r="E291" i="24"/>
  <c r="D291" i="24"/>
  <c r="B291" i="24"/>
  <c r="R290" i="24"/>
  <c r="Q290" i="24"/>
  <c r="P290" i="24"/>
  <c r="N290" i="24"/>
  <c r="M290" i="24"/>
  <c r="F290" i="24"/>
  <c r="B290" i="24"/>
  <c r="AC289" i="24"/>
  <c r="AB289" i="24"/>
  <c r="AA289" i="24"/>
  <c r="Y289" i="24"/>
  <c r="X289" i="24"/>
  <c r="W289" i="24"/>
  <c r="V289" i="24"/>
  <c r="U289" i="24"/>
  <c r="T289" i="24"/>
  <c r="S289" i="24"/>
  <c r="R289" i="24"/>
  <c r="Q289" i="24"/>
  <c r="P289" i="24"/>
  <c r="O289" i="24"/>
  <c r="M289" i="24"/>
  <c r="L289" i="24"/>
  <c r="K289" i="24"/>
  <c r="J289" i="24"/>
  <c r="I289" i="24"/>
  <c r="H289" i="24"/>
  <c r="G289" i="24"/>
  <c r="F289" i="24"/>
  <c r="E289" i="24"/>
  <c r="D289" i="24"/>
  <c r="C289" i="24"/>
  <c r="B289" i="24"/>
  <c r="Z289" i="24" s="1"/>
  <c r="P288" i="24"/>
  <c r="B288" i="24"/>
  <c r="AC287" i="24"/>
  <c r="AB287" i="24"/>
  <c r="Z287" i="24"/>
  <c r="Y287" i="24"/>
  <c r="X287" i="24"/>
  <c r="U287" i="24"/>
  <c r="T287" i="24"/>
  <c r="S287" i="24"/>
  <c r="R287" i="24"/>
  <c r="Q287" i="24"/>
  <c r="O287" i="24"/>
  <c r="N287" i="24"/>
  <c r="M287" i="24"/>
  <c r="L287" i="24"/>
  <c r="I287" i="24"/>
  <c r="H287" i="24"/>
  <c r="G287" i="24"/>
  <c r="F287" i="24"/>
  <c r="E287" i="24"/>
  <c r="D287" i="24"/>
  <c r="C287" i="24"/>
  <c r="B287" i="24"/>
  <c r="AC286" i="24"/>
  <c r="AB286" i="24"/>
  <c r="AA286" i="24"/>
  <c r="Y286" i="24"/>
  <c r="X286" i="24"/>
  <c r="W286" i="24"/>
  <c r="V286" i="24"/>
  <c r="U286" i="24"/>
  <c r="T286" i="24"/>
  <c r="S286" i="24"/>
  <c r="R286" i="24"/>
  <c r="Q286" i="24"/>
  <c r="P286" i="24"/>
  <c r="O286" i="24"/>
  <c r="M286" i="24"/>
  <c r="L286" i="24"/>
  <c r="K286" i="24"/>
  <c r="J286" i="24"/>
  <c r="I286" i="24"/>
  <c r="H286" i="24"/>
  <c r="G286" i="24"/>
  <c r="F286" i="24"/>
  <c r="E286" i="24"/>
  <c r="D286" i="24"/>
  <c r="C286" i="24"/>
  <c r="B286" i="24"/>
  <c r="Z286" i="24" s="1"/>
  <c r="O285" i="24"/>
  <c r="I285" i="24"/>
  <c r="E285" i="24"/>
  <c r="B285" i="24"/>
  <c r="AC285" i="24" s="1"/>
  <c r="AC284" i="24"/>
  <c r="E284" i="24"/>
  <c r="B284" i="24"/>
  <c r="AC283" i="24"/>
  <c r="AB283" i="24"/>
  <c r="AA283" i="24"/>
  <c r="Y283" i="24"/>
  <c r="X283" i="24"/>
  <c r="W283" i="24"/>
  <c r="V283" i="24"/>
  <c r="U283" i="24"/>
  <c r="T283" i="24"/>
  <c r="S283" i="24"/>
  <c r="R283" i="24"/>
  <c r="Q283" i="24"/>
  <c r="P283" i="24"/>
  <c r="O283" i="24"/>
  <c r="M283" i="24"/>
  <c r="L283" i="24"/>
  <c r="K283" i="24"/>
  <c r="J283" i="24"/>
  <c r="I283" i="24"/>
  <c r="H283" i="24"/>
  <c r="G283" i="24"/>
  <c r="F283" i="24"/>
  <c r="E283" i="24"/>
  <c r="D283" i="24"/>
  <c r="C283" i="24"/>
  <c r="B283" i="24"/>
  <c r="Z283" i="24" s="1"/>
  <c r="AC282" i="24"/>
  <c r="AB282" i="24"/>
  <c r="Y282" i="24"/>
  <c r="X282" i="24"/>
  <c r="W282" i="24"/>
  <c r="V282" i="24"/>
  <c r="U282" i="24"/>
  <c r="Q282" i="24"/>
  <c r="P282" i="24"/>
  <c r="O282" i="24"/>
  <c r="L282" i="24"/>
  <c r="K282" i="24"/>
  <c r="J282" i="24"/>
  <c r="I282" i="24"/>
  <c r="H282" i="24"/>
  <c r="G282" i="24"/>
  <c r="D282" i="24"/>
  <c r="C282" i="24"/>
  <c r="B282" i="24"/>
  <c r="AC281" i="24"/>
  <c r="AA281" i="24"/>
  <c r="Z281" i="24"/>
  <c r="Y281" i="24"/>
  <c r="X281" i="24"/>
  <c r="W281" i="24"/>
  <c r="U281" i="24"/>
  <c r="T281" i="24"/>
  <c r="S281" i="24"/>
  <c r="R281" i="24"/>
  <c r="Q281" i="24"/>
  <c r="P281" i="24"/>
  <c r="N281" i="24"/>
  <c r="M281" i="24"/>
  <c r="L281" i="24"/>
  <c r="K281" i="24"/>
  <c r="I281" i="24"/>
  <c r="H281" i="24"/>
  <c r="G281" i="24"/>
  <c r="F281" i="24"/>
  <c r="E281" i="24"/>
  <c r="D281" i="24"/>
  <c r="C281" i="24"/>
  <c r="B281" i="24"/>
  <c r="AC280" i="24"/>
  <c r="AB280" i="24"/>
  <c r="AA280" i="24"/>
  <c r="Y280" i="24"/>
  <c r="X280" i="24"/>
  <c r="W280" i="24"/>
  <c r="V280" i="24"/>
  <c r="U280" i="24"/>
  <c r="T280" i="24"/>
  <c r="S280" i="24"/>
  <c r="R280" i="24"/>
  <c r="Q280" i="24"/>
  <c r="P280" i="24"/>
  <c r="O280" i="24"/>
  <c r="M280" i="24"/>
  <c r="L280" i="24"/>
  <c r="K280" i="24"/>
  <c r="J280" i="24"/>
  <c r="I280" i="24"/>
  <c r="H280" i="24"/>
  <c r="G280" i="24"/>
  <c r="F280" i="24"/>
  <c r="E280" i="24"/>
  <c r="D280" i="24"/>
  <c r="C280" i="24"/>
  <c r="B280" i="24"/>
  <c r="Z280" i="24" s="1"/>
  <c r="AC279" i="24"/>
  <c r="AB279" i="24"/>
  <c r="S279" i="24"/>
  <c r="Q279" i="24"/>
  <c r="N279" i="24"/>
  <c r="K279" i="24"/>
  <c r="J279" i="24"/>
  <c r="I279" i="24"/>
  <c r="B279" i="24"/>
  <c r="AC278" i="24"/>
  <c r="R278" i="24"/>
  <c r="Q278" i="24"/>
  <c r="P278" i="24"/>
  <c r="L278" i="24"/>
  <c r="F278" i="24"/>
  <c r="E278" i="24"/>
  <c r="D278" i="24"/>
  <c r="C278" i="24"/>
  <c r="B278" i="24"/>
  <c r="AC277" i="24"/>
  <c r="AB277" i="24"/>
  <c r="AA277" i="24"/>
  <c r="Y277" i="24"/>
  <c r="X277" i="24"/>
  <c r="W277" i="24"/>
  <c r="V277" i="24"/>
  <c r="U277" i="24"/>
  <c r="T277" i="24"/>
  <c r="S277" i="24"/>
  <c r="R277" i="24"/>
  <c r="Q277" i="24"/>
  <c r="P277" i="24"/>
  <c r="O277" i="24"/>
  <c r="M277" i="24"/>
  <c r="L277" i="24"/>
  <c r="K277" i="24"/>
  <c r="J277" i="24"/>
  <c r="I277" i="24"/>
  <c r="H277" i="24"/>
  <c r="G277" i="24"/>
  <c r="F277" i="24"/>
  <c r="E277" i="24"/>
  <c r="D277" i="24"/>
  <c r="C277" i="24"/>
  <c r="B277" i="24"/>
  <c r="Z277" i="24" s="1"/>
  <c r="AC276" i="24"/>
  <c r="AB276" i="24"/>
  <c r="Y276" i="24"/>
  <c r="U276" i="24"/>
  <c r="T276" i="24"/>
  <c r="Q276" i="24"/>
  <c r="P276" i="24"/>
  <c r="O276" i="24"/>
  <c r="L276" i="24"/>
  <c r="K276" i="24"/>
  <c r="J276" i="24"/>
  <c r="I276" i="24"/>
  <c r="D276" i="24"/>
  <c r="C276" i="24"/>
  <c r="B276" i="24"/>
  <c r="AC275" i="24"/>
  <c r="AA275" i="24"/>
  <c r="Z275" i="24"/>
  <c r="Y275" i="24"/>
  <c r="X275" i="24"/>
  <c r="W275" i="24"/>
  <c r="U275" i="24"/>
  <c r="T275" i="24"/>
  <c r="S275" i="24"/>
  <c r="R275" i="24"/>
  <c r="Q275" i="24"/>
  <c r="P275" i="24"/>
  <c r="N275" i="24"/>
  <c r="M275" i="24"/>
  <c r="L275" i="24"/>
  <c r="K275" i="24"/>
  <c r="I275" i="24"/>
  <c r="H275" i="24"/>
  <c r="G275" i="24"/>
  <c r="F275" i="24"/>
  <c r="E275" i="24"/>
  <c r="D275" i="24"/>
  <c r="C275" i="24"/>
  <c r="B275" i="24"/>
  <c r="AC274" i="24"/>
  <c r="AB274" i="24"/>
  <c r="AA274" i="24"/>
  <c r="Y274" i="24"/>
  <c r="X274" i="24"/>
  <c r="W274" i="24"/>
  <c r="V274" i="24"/>
  <c r="U274" i="24"/>
  <c r="T274" i="24"/>
  <c r="S274" i="24"/>
  <c r="R274" i="24"/>
  <c r="Q274" i="24"/>
  <c r="P274" i="24"/>
  <c r="O274" i="24"/>
  <c r="M274" i="24"/>
  <c r="L274" i="24"/>
  <c r="K274" i="24"/>
  <c r="J274" i="24"/>
  <c r="I274" i="24"/>
  <c r="H274" i="24"/>
  <c r="G274" i="24"/>
  <c r="F274" i="24"/>
  <c r="E274" i="24"/>
  <c r="D274" i="24"/>
  <c r="C274" i="24"/>
  <c r="B274" i="24"/>
  <c r="Z274" i="24" s="1"/>
  <c r="AC273" i="24"/>
  <c r="AB273" i="24"/>
  <c r="AA273" i="24"/>
  <c r="Z273" i="24"/>
  <c r="I273" i="24"/>
  <c r="E273" i="24"/>
  <c r="B273" i="24"/>
  <c r="AC272" i="24"/>
  <c r="AB272" i="24"/>
  <c r="Z272" i="24"/>
  <c r="Y272" i="24"/>
  <c r="X272" i="24"/>
  <c r="S272" i="24"/>
  <c r="R272" i="24"/>
  <c r="Q272" i="24"/>
  <c r="M272" i="24"/>
  <c r="L272" i="24"/>
  <c r="K272" i="24"/>
  <c r="G272" i="24"/>
  <c r="F272" i="24"/>
  <c r="E272" i="24"/>
  <c r="D272" i="24"/>
  <c r="C272" i="24"/>
  <c r="B272" i="24"/>
  <c r="AC271" i="24"/>
  <c r="AB271" i="24"/>
  <c r="AA271" i="24"/>
  <c r="Y271" i="24"/>
  <c r="X271" i="24"/>
  <c r="W271" i="24"/>
  <c r="V271" i="24"/>
  <c r="U271" i="24"/>
  <c r="T271" i="24"/>
  <c r="S271" i="24"/>
  <c r="R271" i="24"/>
  <c r="Q271" i="24"/>
  <c r="P271" i="24"/>
  <c r="O271" i="24"/>
  <c r="M271" i="24"/>
  <c r="L271" i="24"/>
  <c r="K271" i="24"/>
  <c r="J271" i="24"/>
  <c r="I271" i="24"/>
  <c r="H271" i="24"/>
  <c r="G271" i="24"/>
  <c r="F271" i="24"/>
  <c r="E271" i="24"/>
  <c r="D271" i="24"/>
  <c r="C271" i="24"/>
  <c r="B271" i="24"/>
  <c r="Z271" i="24" s="1"/>
  <c r="AB270" i="24"/>
  <c r="Y270" i="24"/>
  <c r="X270" i="24"/>
  <c r="W270" i="24"/>
  <c r="U270" i="24"/>
  <c r="T270" i="24"/>
  <c r="Q270" i="24"/>
  <c r="J270" i="24"/>
  <c r="I270" i="24"/>
  <c r="H270" i="24"/>
  <c r="G270" i="24"/>
  <c r="D270" i="24"/>
  <c r="C270" i="24"/>
  <c r="B270" i="24"/>
  <c r="AC269" i="24"/>
  <c r="AA269" i="24"/>
  <c r="Z269" i="24"/>
  <c r="Y269" i="24"/>
  <c r="X269" i="24"/>
  <c r="W269" i="24"/>
  <c r="U269" i="24"/>
  <c r="T269" i="24"/>
  <c r="S269" i="24"/>
  <c r="R269" i="24"/>
  <c r="Q269" i="24"/>
  <c r="P269" i="24"/>
  <c r="N269" i="24"/>
  <c r="M269" i="24"/>
  <c r="L269" i="24"/>
  <c r="K269" i="24"/>
  <c r="I269" i="24"/>
  <c r="H269" i="24"/>
  <c r="G269" i="24"/>
  <c r="F269" i="24"/>
  <c r="E269" i="24"/>
  <c r="D269" i="24"/>
  <c r="C269" i="24"/>
  <c r="B269" i="24"/>
  <c r="AC268" i="24"/>
  <c r="AB268" i="24"/>
  <c r="AA268" i="24"/>
  <c r="Y268" i="24"/>
  <c r="X268" i="24"/>
  <c r="W268" i="24"/>
  <c r="V268" i="24"/>
  <c r="U268" i="24"/>
  <c r="T268" i="24"/>
  <c r="S268" i="24"/>
  <c r="R268" i="24"/>
  <c r="Q268" i="24"/>
  <c r="P268" i="24"/>
  <c r="O268" i="24"/>
  <c r="M268" i="24"/>
  <c r="L268" i="24"/>
  <c r="K268" i="24"/>
  <c r="J268" i="24"/>
  <c r="I268" i="24"/>
  <c r="H268" i="24"/>
  <c r="G268" i="24"/>
  <c r="F268" i="24"/>
  <c r="E268" i="24"/>
  <c r="D268" i="24"/>
  <c r="C268" i="24"/>
  <c r="B268" i="24"/>
  <c r="Z268" i="24" s="1"/>
  <c r="AC267" i="24"/>
  <c r="W267" i="24"/>
  <c r="V267" i="24"/>
  <c r="S267" i="24"/>
  <c r="Q267" i="24"/>
  <c r="I267" i="24"/>
  <c r="E267" i="24"/>
  <c r="B267" i="24"/>
  <c r="Z266" i="24"/>
  <c r="Y266" i="24"/>
  <c r="X266" i="24"/>
  <c r="Q266" i="24"/>
  <c r="B266" i="24"/>
  <c r="AC265" i="24"/>
  <c r="AB265" i="24"/>
  <c r="AA265" i="24"/>
  <c r="Y265" i="24"/>
  <c r="X265" i="24"/>
  <c r="W265" i="24"/>
  <c r="V265" i="24"/>
  <c r="U265" i="24"/>
  <c r="T265" i="24"/>
  <c r="S265" i="24"/>
  <c r="R265" i="24"/>
  <c r="Q265" i="24"/>
  <c r="P265" i="24"/>
  <c r="O265" i="24"/>
  <c r="M265" i="24"/>
  <c r="L265" i="24"/>
  <c r="K265" i="24"/>
  <c r="J265" i="24"/>
  <c r="I265" i="24"/>
  <c r="H265" i="24"/>
  <c r="G265" i="24"/>
  <c r="F265" i="24"/>
  <c r="E265" i="24"/>
  <c r="D265" i="24"/>
  <c r="C265" i="24"/>
  <c r="B265" i="24"/>
  <c r="Z265" i="24" s="1"/>
  <c r="AC264" i="24"/>
  <c r="AB264" i="24"/>
  <c r="Y264" i="24"/>
  <c r="X264" i="24"/>
  <c r="W264" i="24"/>
  <c r="V264" i="24"/>
  <c r="U264" i="24"/>
  <c r="Q264" i="24"/>
  <c r="P264" i="24"/>
  <c r="O264" i="24"/>
  <c r="L264" i="24"/>
  <c r="K264" i="24"/>
  <c r="J264" i="24"/>
  <c r="I264" i="24"/>
  <c r="H264" i="24"/>
  <c r="G264" i="24"/>
  <c r="D264" i="24"/>
  <c r="C264" i="24"/>
  <c r="B264" i="24"/>
  <c r="AC263" i="24"/>
  <c r="AA263" i="24"/>
  <c r="Z263" i="24"/>
  <c r="Y263" i="24"/>
  <c r="X263" i="24"/>
  <c r="W263" i="24"/>
  <c r="U263" i="24"/>
  <c r="T263" i="24"/>
  <c r="S263" i="24"/>
  <c r="R263" i="24"/>
  <c r="Q263" i="24"/>
  <c r="P263" i="24"/>
  <c r="N263" i="24"/>
  <c r="M263" i="24"/>
  <c r="L263" i="24"/>
  <c r="K263" i="24"/>
  <c r="I263" i="24"/>
  <c r="H263" i="24"/>
  <c r="G263" i="24"/>
  <c r="F263" i="24"/>
  <c r="E263" i="24"/>
  <c r="D263" i="24"/>
  <c r="C263" i="24"/>
  <c r="B263" i="24"/>
  <c r="AC262" i="24"/>
  <c r="AB262" i="24"/>
  <c r="AA262" i="24"/>
  <c r="Y262" i="24"/>
  <c r="X262" i="24"/>
  <c r="W262" i="24"/>
  <c r="V262" i="24"/>
  <c r="U262" i="24"/>
  <c r="T262" i="24"/>
  <c r="S262" i="24"/>
  <c r="R262" i="24"/>
  <c r="Q262" i="24"/>
  <c r="P262" i="24"/>
  <c r="O262" i="24"/>
  <c r="M262" i="24"/>
  <c r="L262" i="24"/>
  <c r="K262" i="24"/>
  <c r="J262" i="24"/>
  <c r="I262" i="24"/>
  <c r="H262" i="24"/>
  <c r="G262" i="24"/>
  <c r="F262" i="24"/>
  <c r="E262" i="24"/>
  <c r="D262" i="24"/>
  <c r="C262" i="24"/>
  <c r="B262" i="24"/>
  <c r="Z262" i="24" s="1"/>
  <c r="AB261" i="24"/>
  <c r="Q261" i="24"/>
  <c r="J261" i="24"/>
  <c r="I261" i="24"/>
  <c r="D261" i="24"/>
  <c r="C261" i="24"/>
  <c r="B261" i="24"/>
  <c r="B260" i="24"/>
  <c r="AC259" i="24"/>
  <c r="AB259" i="24"/>
  <c r="AA259" i="24"/>
  <c r="Y259" i="24"/>
  <c r="X259" i="24"/>
  <c r="W259" i="24"/>
  <c r="V259" i="24"/>
  <c r="U259" i="24"/>
  <c r="T259" i="24"/>
  <c r="S259" i="24"/>
  <c r="R259" i="24"/>
  <c r="Q259" i="24"/>
  <c r="P259" i="24"/>
  <c r="O259" i="24"/>
  <c r="M259" i="24"/>
  <c r="L259" i="24"/>
  <c r="K259" i="24"/>
  <c r="J259" i="24"/>
  <c r="I259" i="24"/>
  <c r="H259" i="24"/>
  <c r="G259" i="24"/>
  <c r="F259" i="24"/>
  <c r="E259" i="24"/>
  <c r="D259" i="24"/>
  <c r="C259" i="24"/>
  <c r="B259" i="24"/>
  <c r="Z259" i="24" s="1"/>
  <c r="B258" i="24"/>
  <c r="AC257" i="24"/>
  <c r="AA257" i="24"/>
  <c r="Z257" i="24"/>
  <c r="Y257" i="24"/>
  <c r="X257" i="24"/>
  <c r="W257" i="24"/>
  <c r="U257" i="24"/>
  <c r="T257" i="24"/>
  <c r="S257" i="24"/>
  <c r="R257" i="24"/>
  <c r="Q257" i="24"/>
  <c r="P257" i="24"/>
  <c r="N257" i="24"/>
  <c r="M257" i="24"/>
  <c r="L257" i="24"/>
  <c r="K257" i="24"/>
  <c r="I257" i="24"/>
  <c r="H257" i="24"/>
  <c r="G257" i="24"/>
  <c r="F257" i="24"/>
  <c r="E257" i="24"/>
  <c r="D257" i="24"/>
  <c r="C257" i="24"/>
  <c r="B257" i="24"/>
  <c r="AC256" i="24"/>
  <c r="AB256" i="24"/>
  <c r="AA256" i="24"/>
  <c r="Y256" i="24"/>
  <c r="X256" i="24"/>
  <c r="W256" i="24"/>
  <c r="V256" i="24"/>
  <c r="U256" i="24"/>
  <c r="T256" i="24"/>
  <c r="S256" i="24"/>
  <c r="R256" i="24"/>
  <c r="Q256" i="24"/>
  <c r="P256" i="24"/>
  <c r="O256" i="24"/>
  <c r="M256" i="24"/>
  <c r="L256" i="24"/>
  <c r="K256" i="24"/>
  <c r="J256" i="24"/>
  <c r="I256" i="24"/>
  <c r="H256" i="24"/>
  <c r="G256" i="24"/>
  <c r="F256" i="24"/>
  <c r="E256" i="24"/>
  <c r="D256" i="24"/>
  <c r="C256" i="24"/>
  <c r="B256" i="24"/>
  <c r="Z256" i="24" s="1"/>
  <c r="AA255" i="24"/>
  <c r="Q255" i="24"/>
  <c r="P255" i="24"/>
  <c r="N255" i="24"/>
  <c r="M255" i="24"/>
  <c r="K255" i="24"/>
  <c r="E255" i="24"/>
  <c r="B255" i="24"/>
  <c r="AB254" i="24"/>
  <c r="S254" i="24"/>
  <c r="R254" i="24"/>
  <c r="L254" i="24"/>
  <c r="K254" i="24"/>
  <c r="G254" i="24"/>
  <c r="F254" i="24"/>
  <c r="E254" i="24"/>
  <c r="D254" i="24"/>
  <c r="B254" i="24"/>
  <c r="AC254" i="24" s="1"/>
  <c r="AC253" i="24"/>
  <c r="AB253" i="24"/>
  <c r="AA253" i="24"/>
  <c r="Y253" i="24"/>
  <c r="X253" i="24"/>
  <c r="W253" i="24"/>
  <c r="V253" i="24"/>
  <c r="U253" i="24"/>
  <c r="T253" i="24"/>
  <c r="S253" i="24"/>
  <c r="R253" i="24"/>
  <c r="Q253" i="24"/>
  <c r="P253" i="24"/>
  <c r="O253" i="24"/>
  <c r="M253" i="24"/>
  <c r="L253" i="24"/>
  <c r="K253" i="24"/>
  <c r="J253" i="24"/>
  <c r="I253" i="24"/>
  <c r="H253" i="24"/>
  <c r="G253" i="24"/>
  <c r="F253" i="24"/>
  <c r="E253" i="24"/>
  <c r="D253" i="24"/>
  <c r="C253" i="24"/>
  <c r="B253" i="24"/>
  <c r="Z253" i="24" s="1"/>
  <c r="X252" i="24"/>
  <c r="W252" i="24"/>
  <c r="V252" i="24"/>
  <c r="U252" i="24"/>
  <c r="T252" i="24"/>
  <c r="Q252" i="24"/>
  <c r="O252" i="24"/>
  <c r="J252" i="24"/>
  <c r="I252" i="24"/>
  <c r="D252" i="24"/>
  <c r="C252" i="24"/>
  <c r="B252" i="24"/>
  <c r="AC251" i="24"/>
  <c r="AA251" i="24"/>
  <c r="Z251" i="24"/>
  <c r="Y251" i="24"/>
  <c r="X251" i="24"/>
  <c r="W251" i="24"/>
  <c r="U251" i="24"/>
  <c r="T251" i="24"/>
  <c r="S251" i="24"/>
  <c r="R251" i="24"/>
  <c r="Q251" i="24"/>
  <c r="P251" i="24"/>
  <c r="N251" i="24"/>
  <c r="M251" i="24"/>
  <c r="L251" i="24"/>
  <c r="K251" i="24"/>
  <c r="I251" i="24"/>
  <c r="H251" i="24"/>
  <c r="G251" i="24"/>
  <c r="F251" i="24"/>
  <c r="E251" i="24"/>
  <c r="D251" i="24"/>
  <c r="C251" i="24"/>
  <c r="B251" i="24"/>
  <c r="AC250" i="24"/>
  <c r="AB250" i="24"/>
  <c r="AA250" i="24"/>
  <c r="Y250" i="24"/>
  <c r="X250" i="24"/>
  <c r="W250" i="24"/>
  <c r="V250" i="24"/>
  <c r="U250" i="24"/>
  <c r="T250" i="24"/>
  <c r="S250" i="24"/>
  <c r="R250" i="24"/>
  <c r="Q250" i="24"/>
  <c r="P250" i="24"/>
  <c r="O250" i="24"/>
  <c r="M250" i="24"/>
  <c r="L250" i="24"/>
  <c r="K250" i="24"/>
  <c r="J250" i="24"/>
  <c r="I250" i="24"/>
  <c r="H250" i="24"/>
  <c r="G250" i="24"/>
  <c r="F250" i="24"/>
  <c r="E250" i="24"/>
  <c r="D250" i="24"/>
  <c r="C250" i="24"/>
  <c r="B250" i="24"/>
  <c r="Z250" i="24" s="1"/>
  <c r="AC249" i="24"/>
  <c r="X249" i="24"/>
  <c r="W249" i="24"/>
  <c r="V249" i="24"/>
  <c r="P249" i="24"/>
  <c r="O249" i="24"/>
  <c r="N249" i="24"/>
  <c r="M249" i="24"/>
  <c r="B249" i="24"/>
  <c r="AC248" i="24"/>
  <c r="Y248" i="24"/>
  <c r="X248" i="24"/>
  <c r="R248" i="24"/>
  <c r="Q248" i="24"/>
  <c r="P248" i="24"/>
  <c r="O248" i="24"/>
  <c r="L248" i="24"/>
  <c r="K248" i="24"/>
  <c r="B248" i="24"/>
  <c r="AC247" i="24"/>
  <c r="AB247" i="24"/>
  <c r="AA247" i="24"/>
  <c r="Y247" i="24"/>
  <c r="X247" i="24"/>
  <c r="W247" i="24"/>
  <c r="V247" i="24"/>
  <c r="U247" i="24"/>
  <c r="T247" i="24"/>
  <c r="S247" i="24"/>
  <c r="R247" i="24"/>
  <c r="Q247" i="24"/>
  <c r="P247" i="24"/>
  <c r="O247" i="24"/>
  <c r="M247" i="24"/>
  <c r="L247" i="24"/>
  <c r="K247" i="24"/>
  <c r="J247" i="24"/>
  <c r="I247" i="24"/>
  <c r="H247" i="24"/>
  <c r="G247" i="24"/>
  <c r="F247" i="24"/>
  <c r="E247" i="24"/>
  <c r="D247" i="24"/>
  <c r="C247" i="24"/>
  <c r="B247" i="24"/>
  <c r="Z247" i="24" s="1"/>
  <c r="AC246" i="24"/>
  <c r="AB246" i="24"/>
  <c r="Y246" i="24"/>
  <c r="X246" i="24"/>
  <c r="W246" i="24"/>
  <c r="V246" i="24"/>
  <c r="U246" i="24"/>
  <c r="P246" i="24"/>
  <c r="O246" i="24"/>
  <c r="L246" i="24"/>
  <c r="K246" i="24"/>
  <c r="J246" i="24"/>
  <c r="I246" i="24"/>
  <c r="H246" i="24"/>
  <c r="G246" i="24"/>
  <c r="E246" i="24"/>
  <c r="D246" i="24"/>
  <c r="B246" i="24"/>
  <c r="AC245" i="24"/>
  <c r="AA245" i="24"/>
  <c r="Z245" i="24"/>
  <c r="Y245" i="24"/>
  <c r="X245" i="24"/>
  <c r="W245" i="24"/>
  <c r="U245" i="24"/>
  <c r="T245" i="24"/>
  <c r="S245" i="24"/>
  <c r="R245" i="24"/>
  <c r="Q245" i="24"/>
  <c r="P245" i="24"/>
  <c r="N245" i="24"/>
  <c r="M245" i="24"/>
  <c r="L245" i="24"/>
  <c r="K245" i="24"/>
  <c r="I245" i="24"/>
  <c r="H245" i="24"/>
  <c r="G245" i="24"/>
  <c r="F245" i="24"/>
  <c r="E245" i="24"/>
  <c r="D245" i="24"/>
  <c r="C245" i="24"/>
  <c r="B245" i="24"/>
  <c r="AC244" i="24"/>
  <c r="AB244" i="24"/>
  <c r="AA244" i="24"/>
  <c r="Y244" i="24"/>
  <c r="X244" i="24"/>
  <c r="W244" i="24"/>
  <c r="V244" i="24"/>
  <c r="U244" i="24"/>
  <c r="T244" i="24"/>
  <c r="S244" i="24"/>
  <c r="R244" i="24"/>
  <c r="Q244" i="24"/>
  <c r="P244" i="24"/>
  <c r="O244" i="24"/>
  <c r="M244" i="24"/>
  <c r="L244" i="24"/>
  <c r="K244" i="24"/>
  <c r="J244" i="24"/>
  <c r="I244" i="24"/>
  <c r="H244" i="24"/>
  <c r="G244" i="24"/>
  <c r="F244" i="24"/>
  <c r="E244" i="24"/>
  <c r="D244" i="24"/>
  <c r="C244" i="24"/>
  <c r="B244" i="24"/>
  <c r="Z244" i="24" s="1"/>
  <c r="Z243" i="24"/>
  <c r="Y243" i="24"/>
  <c r="O243" i="24"/>
  <c r="N243" i="24"/>
  <c r="K243" i="24"/>
  <c r="J243" i="24"/>
  <c r="I243" i="24"/>
  <c r="B243" i="24"/>
  <c r="P242" i="24"/>
  <c r="O242" i="24"/>
  <c r="N242" i="24"/>
  <c r="B242" i="24"/>
  <c r="Z242" i="24" s="1"/>
  <c r="AC241" i="24"/>
  <c r="Z241" i="24"/>
  <c r="Y241" i="24"/>
  <c r="X241" i="24"/>
  <c r="W241" i="24"/>
  <c r="V241" i="24"/>
  <c r="U241" i="24"/>
  <c r="T241" i="24"/>
  <c r="S241" i="24"/>
  <c r="Q241" i="24"/>
  <c r="N241" i="24"/>
  <c r="M241" i="24"/>
  <c r="L241" i="24"/>
  <c r="K241" i="24"/>
  <c r="J241" i="24"/>
  <c r="I241" i="24"/>
  <c r="H241" i="24"/>
  <c r="G241" i="24"/>
  <c r="F241" i="24"/>
  <c r="E241" i="24"/>
  <c r="B241" i="24"/>
  <c r="AC240" i="24"/>
  <c r="AB240" i="24"/>
  <c r="AA240" i="24"/>
  <c r="Z240" i="24"/>
  <c r="Y240" i="24"/>
  <c r="X240" i="24"/>
  <c r="W240" i="24"/>
  <c r="V240" i="24"/>
  <c r="U240" i="24"/>
  <c r="R240" i="24"/>
  <c r="Q240" i="24"/>
  <c r="O240" i="24"/>
  <c r="N240" i="24"/>
  <c r="M240" i="24"/>
  <c r="L240" i="24"/>
  <c r="K240" i="24"/>
  <c r="J240" i="24"/>
  <c r="I240" i="24"/>
  <c r="F240" i="24"/>
  <c r="E240" i="24"/>
  <c r="D240" i="24"/>
  <c r="C240" i="24"/>
  <c r="B240" i="24"/>
  <c r="AC239" i="24"/>
  <c r="AB239" i="24"/>
  <c r="AA239" i="24"/>
  <c r="Z239" i="24"/>
  <c r="Y239" i="24"/>
  <c r="V239" i="24"/>
  <c r="U239" i="24"/>
  <c r="T239" i="24"/>
  <c r="S239" i="24"/>
  <c r="R239" i="24"/>
  <c r="Q239" i="24"/>
  <c r="O239" i="24"/>
  <c r="N239" i="24"/>
  <c r="M239" i="24"/>
  <c r="J239" i="24"/>
  <c r="I239" i="24"/>
  <c r="H239" i="24"/>
  <c r="G239" i="24"/>
  <c r="F239" i="24"/>
  <c r="E239" i="24"/>
  <c r="D239" i="24"/>
  <c r="C239" i="24"/>
  <c r="B239" i="24"/>
  <c r="V238" i="24"/>
  <c r="U238" i="24"/>
  <c r="T238" i="24"/>
  <c r="S238" i="24"/>
  <c r="R238" i="24"/>
  <c r="L238" i="24"/>
  <c r="K238" i="24"/>
  <c r="J238" i="24"/>
  <c r="G238" i="24"/>
  <c r="F238" i="24"/>
  <c r="B238" i="24"/>
  <c r="AC237" i="24"/>
  <c r="Z237" i="24"/>
  <c r="Y237" i="24"/>
  <c r="X237" i="24"/>
  <c r="W237" i="24"/>
  <c r="V237" i="24"/>
  <c r="U237" i="24"/>
  <c r="Q237" i="24"/>
  <c r="P237" i="24"/>
  <c r="O237" i="24"/>
  <c r="L237" i="24"/>
  <c r="K237" i="24"/>
  <c r="J237" i="24"/>
  <c r="I237" i="24"/>
  <c r="F237" i="24"/>
  <c r="E237" i="24"/>
  <c r="D237" i="24"/>
  <c r="C237" i="24"/>
  <c r="B237" i="24"/>
  <c r="AC236" i="24"/>
  <c r="Z236" i="24"/>
  <c r="Y236" i="24"/>
  <c r="U236" i="24"/>
  <c r="T236" i="24"/>
  <c r="R236" i="24"/>
  <c r="Q236" i="24"/>
  <c r="P236" i="24"/>
  <c r="I236" i="24"/>
  <c r="H236" i="24"/>
  <c r="G236" i="24"/>
  <c r="F236" i="24"/>
  <c r="E236" i="24"/>
  <c r="D236" i="24"/>
  <c r="B236" i="24"/>
  <c r="X235" i="24"/>
  <c r="U235" i="24"/>
  <c r="T235" i="24"/>
  <c r="S235" i="24"/>
  <c r="R235" i="24"/>
  <c r="Q235" i="24"/>
  <c r="N235" i="24"/>
  <c r="J235" i="24"/>
  <c r="I235" i="24"/>
  <c r="H235" i="24"/>
  <c r="B235" i="24"/>
  <c r="AC234" i="24"/>
  <c r="AA234" i="24"/>
  <c r="X234" i="24"/>
  <c r="V234" i="24"/>
  <c r="U234" i="24"/>
  <c r="R234" i="24"/>
  <c r="O234" i="24"/>
  <c r="N234" i="24"/>
  <c r="M234" i="24"/>
  <c r="F234" i="24"/>
  <c r="D234" i="24"/>
  <c r="C234" i="24"/>
  <c r="B234" i="24"/>
  <c r="V233" i="24"/>
  <c r="U233" i="24"/>
  <c r="T233" i="24"/>
  <c r="S233" i="24"/>
  <c r="R233" i="24"/>
  <c r="N233" i="24"/>
  <c r="G233" i="24"/>
  <c r="F233" i="24"/>
  <c r="E233" i="24"/>
  <c r="D233" i="24"/>
  <c r="B233" i="24"/>
  <c r="AC232" i="24"/>
  <c r="Z232" i="24"/>
  <c r="Y232" i="24"/>
  <c r="V232" i="24"/>
  <c r="U232" i="24"/>
  <c r="S232" i="24"/>
  <c r="R232" i="24"/>
  <c r="Q232" i="24"/>
  <c r="N232" i="24"/>
  <c r="M232" i="24"/>
  <c r="L232" i="24"/>
  <c r="K232" i="24"/>
  <c r="H232" i="24"/>
  <c r="G232" i="24"/>
  <c r="F232" i="24"/>
  <c r="E232" i="24"/>
  <c r="B232" i="24"/>
  <c r="AC231" i="24"/>
  <c r="B231" i="24"/>
  <c r="AC230" i="24"/>
  <c r="AB230" i="24"/>
  <c r="R230" i="24"/>
  <c r="N230" i="24"/>
  <c r="M230" i="24"/>
  <c r="J230" i="24"/>
  <c r="E230" i="24"/>
  <c r="D230" i="24"/>
  <c r="B230" i="24"/>
  <c r="AC229" i="24"/>
  <c r="N229" i="24"/>
  <c r="M229" i="24"/>
  <c r="L229" i="24"/>
  <c r="J229" i="24"/>
  <c r="F229" i="24"/>
  <c r="E229" i="24"/>
  <c r="B229" i="24"/>
  <c r="K229" i="24" s="1"/>
  <c r="AA228" i="24"/>
  <c r="Z228" i="24"/>
  <c r="Y228" i="24"/>
  <c r="X228" i="24"/>
  <c r="W228" i="24"/>
  <c r="R228" i="24"/>
  <c r="P228" i="24"/>
  <c r="O228" i="24"/>
  <c r="N228" i="24"/>
  <c r="K228" i="24"/>
  <c r="J228" i="24"/>
  <c r="I228" i="24"/>
  <c r="E228" i="24"/>
  <c r="D228" i="24"/>
  <c r="C228" i="24"/>
  <c r="B228" i="24"/>
  <c r="AC227" i="24"/>
  <c r="AB227" i="24"/>
  <c r="AA227" i="24"/>
  <c r="V227" i="24"/>
  <c r="U227" i="24"/>
  <c r="S227" i="24"/>
  <c r="R227" i="24"/>
  <c r="Q227" i="24"/>
  <c r="B227" i="24"/>
  <c r="AC226" i="24"/>
  <c r="Y226" i="24"/>
  <c r="X226" i="24"/>
  <c r="W226" i="24"/>
  <c r="Q226" i="24"/>
  <c r="N226" i="24"/>
  <c r="I226" i="24"/>
  <c r="H226" i="24"/>
  <c r="B226" i="24"/>
  <c r="AC225" i="24"/>
  <c r="AB225" i="24"/>
  <c r="AA225" i="24"/>
  <c r="Z225" i="24"/>
  <c r="Y225" i="24"/>
  <c r="X225" i="24"/>
  <c r="W225" i="24"/>
  <c r="V225" i="24"/>
  <c r="U225" i="24"/>
  <c r="O225" i="24"/>
  <c r="N225" i="24"/>
  <c r="M225" i="24"/>
  <c r="L225" i="24"/>
  <c r="K225" i="24"/>
  <c r="J225" i="24"/>
  <c r="I225" i="24"/>
  <c r="F225" i="24"/>
  <c r="E225" i="24"/>
  <c r="C225" i="24"/>
  <c r="B225" i="24"/>
  <c r="P225" i="24" s="1"/>
  <c r="AB224" i="24"/>
  <c r="AA224" i="24"/>
  <c r="Z224" i="24"/>
  <c r="Y224" i="24"/>
  <c r="X224" i="24"/>
  <c r="V224" i="24"/>
  <c r="U224" i="24"/>
  <c r="T224" i="24"/>
  <c r="R224" i="24"/>
  <c r="Q224" i="24"/>
  <c r="N224" i="24"/>
  <c r="M224" i="24"/>
  <c r="L224" i="24"/>
  <c r="J224" i="24"/>
  <c r="I224" i="24"/>
  <c r="H224" i="24"/>
  <c r="G224" i="24"/>
  <c r="E224" i="24"/>
  <c r="D224" i="24"/>
  <c r="C224" i="24"/>
  <c r="B224" i="24"/>
  <c r="AC224" i="24" s="1"/>
  <c r="AB223" i="24"/>
  <c r="Z223" i="24"/>
  <c r="W223" i="24"/>
  <c r="V223" i="24"/>
  <c r="S223" i="24"/>
  <c r="R223" i="24"/>
  <c r="Q223" i="24"/>
  <c r="K223" i="24"/>
  <c r="J223" i="24"/>
  <c r="I223" i="24"/>
  <c r="G223" i="24"/>
  <c r="E223" i="24"/>
  <c r="B223" i="24"/>
  <c r="AA222" i="24"/>
  <c r="Z222" i="24"/>
  <c r="Y222" i="24"/>
  <c r="R222" i="24"/>
  <c r="L222" i="24"/>
  <c r="F222" i="24"/>
  <c r="B222" i="24"/>
  <c r="U222" i="24" s="1"/>
  <c r="X221" i="24"/>
  <c r="V221" i="24"/>
  <c r="U221" i="24"/>
  <c r="T221" i="24"/>
  <c r="F221" i="24"/>
  <c r="B221" i="24"/>
  <c r="Y220" i="24"/>
  <c r="X220" i="24"/>
  <c r="W220" i="24"/>
  <c r="T220" i="24"/>
  <c r="R220" i="24"/>
  <c r="Q220" i="24"/>
  <c r="P220" i="24"/>
  <c r="K220" i="24"/>
  <c r="J220" i="24"/>
  <c r="I220" i="24"/>
  <c r="H220" i="24"/>
  <c r="G220" i="24"/>
  <c r="F220" i="24"/>
  <c r="B220" i="24"/>
  <c r="AC219" i="24"/>
  <c r="AA219" i="24"/>
  <c r="Z219" i="24"/>
  <c r="Y219" i="24"/>
  <c r="X219" i="24"/>
  <c r="W219" i="24"/>
  <c r="V219" i="24"/>
  <c r="U219" i="24"/>
  <c r="T219" i="24"/>
  <c r="R219" i="24"/>
  <c r="Q219" i="24"/>
  <c r="P219" i="24"/>
  <c r="N219" i="24"/>
  <c r="M219" i="24"/>
  <c r="L219" i="24"/>
  <c r="K219" i="24"/>
  <c r="J219" i="24"/>
  <c r="I219" i="24"/>
  <c r="H219" i="24"/>
  <c r="F219" i="24"/>
  <c r="E219" i="24"/>
  <c r="D219" i="24"/>
  <c r="C219" i="24"/>
  <c r="B219" i="24"/>
  <c r="U218" i="24"/>
  <c r="P218" i="24"/>
  <c r="J218" i="24"/>
  <c r="I218" i="24"/>
  <c r="H218" i="24"/>
  <c r="B218" i="24"/>
  <c r="B217" i="24"/>
  <c r="AC216" i="24"/>
  <c r="AB216" i="24"/>
  <c r="Y216" i="24"/>
  <c r="X216" i="24"/>
  <c r="W216" i="24"/>
  <c r="V216" i="24"/>
  <c r="T216" i="24"/>
  <c r="Q216" i="24"/>
  <c r="P216" i="24"/>
  <c r="O216" i="24"/>
  <c r="N216" i="24"/>
  <c r="K216" i="24"/>
  <c r="J216" i="24"/>
  <c r="I216" i="24"/>
  <c r="F216" i="24"/>
  <c r="E216" i="24"/>
  <c r="D216" i="24"/>
  <c r="C216" i="24"/>
  <c r="B216" i="24"/>
  <c r="Y215" i="24"/>
  <c r="X215" i="24"/>
  <c r="U215" i="24"/>
  <c r="T215" i="24"/>
  <c r="S215" i="24"/>
  <c r="Q215" i="24"/>
  <c r="D215" i="24"/>
  <c r="C215" i="24"/>
  <c r="B215" i="24"/>
  <c r="AB215" i="24" s="1"/>
  <c r="W214" i="24"/>
  <c r="T214" i="24"/>
  <c r="P214" i="24"/>
  <c r="N214" i="24"/>
  <c r="G214" i="24"/>
  <c r="B214" i="24"/>
  <c r="V213" i="24"/>
  <c r="O213" i="24"/>
  <c r="H213" i="24"/>
  <c r="C213" i="24"/>
  <c r="B213" i="24"/>
  <c r="AC212" i="24"/>
  <c r="AA212" i="24"/>
  <c r="Z212" i="24"/>
  <c r="Y212" i="24"/>
  <c r="X212" i="24"/>
  <c r="V212" i="24"/>
  <c r="U212" i="24"/>
  <c r="T212" i="24"/>
  <c r="S212" i="24"/>
  <c r="R212" i="24"/>
  <c r="Q212" i="24"/>
  <c r="P212" i="24"/>
  <c r="N212" i="24"/>
  <c r="M212" i="24"/>
  <c r="L212" i="24"/>
  <c r="J212" i="24"/>
  <c r="I212" i="24"/>
  <c r="H212" i="24"/>
  <c r="G212" i="24"/>
  <c r="F212" i="24"/>
  <c r="E212" i="24"/>
  <c r="D212" i="24"/>
  <c r="C212" i="24"/>
  <c r="B212" i="24"/>
  <c r="Z211" i="24"/>
  <c r="U211" i="24"/>
  <c r="T211" i="24"/>
  <c r="B211" i="24"/>
  <c r="AC210" i="24"/>
  <c r="AB210" i="24"/>
  <c r="AA210" i="24"/>
  <c r="Z210" i="24"/>
  <c r="P210" i="24"/>
  <c r="O210" i="24"/>
  <c r="I210" i="24"/>
  <c r="H210" i="24"/>
  <c r="F210" i="24"/>
  <c r="B210" i="24"/>
  <c r="V209" i="24"/>
  <c r="B209" i="24"/>
  <c r="B208" i="24"/>
  <c r="AC207" i="24"/>
  <c r="AB207" i="24"/>
  <c r="AA207" i="24"/>
  <c r="Z207" i="24"/>
  <c r="Y207" i="24"/>
  <c r="U207" i="24"/>
  <c r="Q207" i="24"/>
  <c r="P207" i="24"/>
  <c r="O207" i="24"/>
  <c r="N207" i="24"/>
  <c r="M207" i="24"/>
  <c r="L207" i="24"/>
  <c r="J207" i="24"/>
  <c r="F207" i="24"/>
  <c r="E207" i="24"/>
  <c r="D207" i="24"/>
  <c r="B207" i="24"/>
  <c r="AB206" i="24"/>
  <c r="X206" i="24"/>
  <c r="T206" i="24"/>
  <c r="S206" i="24"/>
  <c r="R206" i="24"/>
  <c r="Q206" i="24"/>
  <c r="P206" i="24"/>
  <c r="F206" i="24"/>
  <c r="E206" i="24"/>
  <c r="D206" i="24"/>
  <c r="C206" i="24"/>
  <c r="B206" i="24"/>
  <c r="Y206" i="24" s="1"/>
  <c r="Z205" i="24"/>
  <c r="W205" i="24"/>
  <c r="T205" i="24"/>
  <c r="P205" i="24"/>
  <c r="M205" i="24"/>
  <c r="L205" i="24"/>
  <c r="K205" i="24"/>
  <c r="J205" i="24"/>
  <c r="E205" i="24"/>
  <c r="D205" i="24"/>
  <c r="B205" i="24"/>
  <c r="AC205" i="24" s="1"/>
  <c r="X204" i="24"/>
  <c r="W204" i="24"/>
  <c r="T204" i="24"/>
  <c r="O204" i="24"/>
  <c r="N204" i="24"/>
  <c r="M204" i="24"/>
  <c r="L204" i="24"/>
  <c r="K204" i="24"/>
  <c r="J204" i="24"/>
  <c r="B204" i="24"/>
  <c r="AB204" i="24" s="1"/>
  <c r="Y203" i="24"/>
  <c r="X203" i="24"/>
  <c r="V203" i="24"/>
  <c r="S203" i="24"/>
  <c r="Q203" i="24"/>
  <c r="P203" i="24"/>
  <c r="I203" i="24"/>
  <c r="H203" i="24"/>
  <c r="D203" i="24"/>
  <c r="C203" i="24"/>
  <c r="B203" i="24"/>
  <c r="Z203" i="24" s="1"/>
  <c r="AB202" i="24"/>
  <c r="Z202" i="24"/>
  <c r="Y202" i="24"/>
  <c r="P202" i="24"/>
  <c r="N202" i="24"/>
  <c r="M202" i="24"/>
  <c r="L202" i="24"/>
  <c r="K202" i="24"/>
  <c r="J202" i="24"/>
  <c r="I202" i="24"/>
  <c r="B202" i="24"/>
  <c r="AC202" i="24" s="1"/>
  <c r="Y201" i="24"/>
  <c r="X201" i="24"/>
  <c r="W201" i="24"/>
  <c r="U201" i="24"/>
  <c r="Q201" i="24"/>
  <c r="N201" i="24"/>
  <c r="M201" i="24"/>
  <c r="L201" i="24"/>
  <c r="K201" i="24"/>
  <c r="C201" i="24"/>
  <c r="B201" i="24"/>
  <c r="AC201" i="24" s="1"/>
  <c r="Z200" i="24"/>
  <c r="Y200" i="24"/>
  <c r="V200" i="24"/>
  <c r="U200" i="24"/>
  <c r="T200" i="24"/>
  <c r="Q200" i="24"/>
  <c r="M200" i="24"/>
  <c r="H200" i="24"/>
  <c r="G200" i="24"/>
  <c r="F200" i="24"/>
  <c r="C200" i="24"/>
  <c r="B200" i="24"/>
  <c r="AC199" i="24"/>
  <c r="AB199" i="24"/>
  <c r="Z199" i="24"/>
  <c r="X199" i="24"/>
  <c r="W199" i="24"/>
  <c r="T199" i="24"/>
  <c r="Q199" i="24"/>
  <c r="P199" i="24"/>
  <c r="N199" i="24"/>
  <c r="M199" i="24"/>
  <c r="K199" i="24"/>
  <c r="J199" i="24"/>
  <c r="I199" i="24"/>
  <c r="H199" i="24"/>
  <c r="G199" i="24"/>
  <c r="B199" i="24"/>
  <c r="Z198" i="24"/>
  <c r="Y198" i="24"/>
  <c r="W198" i="24"/>
  <c r="V198" i="24"/>
  <c r="L198" i="24"/>
  <c r="H198" i="24"/>
  <c r="F198" i="24"/>
  <c r="E198" i="24"/>
  <c r="B198" i="24"/>
  <c r="AB197" i="24"/>
  <c r="AA197" i="24"/>
  <c r="Z197" i="24"/>
  <c r="Y197" i="24"/>
  <c r="X197" i="24"/>
  <c r="V197" i="24"/>
  <c r="U197" i="24"/>
  <c r="T197" i="24"/>
  <c r="S197" i="24"/>
  <c r="R197" i="24"/>
  <c r="O197" i="24"/>
  <c r="N197" i="24"/>
  <c r="M197" i="24"/>
  <c r="L197" i="24"/>
  <c r="J197" i="24"/>
  <c r="I197" i="24"/>
  <c r="H197" i="24"/>
  <c r="G197" i="24"/>
  <c r="F197" i="24"/>
  <c r="E197" i="24"/>
  <c r="D197" i="24"/>
  <c r="B197" i="24"/>
  <c r="AC196" i="24"/>
  <c r="Y196" i="24"/>
  <c r="V196" i="24"/>
  <c r="G196" i="24"/>
  <c r="E196" i="24"/>
  <c r="B196" i="24"/>
  <c r="AC195" i="24"/>
  <c r="AB195" i="24"/>
  <c r="W195" i="24"/>
  <c r="N195" i="24"/>
  <c r="M195" i="24"/>
  <c r="L195" i="24"/>
  <c r="B195" i="24"/>
  <c r="X195" i="24" s="1"/>
  <c r="AC194" i="24"/>
  <c r="AB194" i="24"/>
  <c r="AA194" i="24"/>
  <c r="Y194" i="24"/>
  <c r="X194" i="24"/>
  <c r="W194" i="24"/>
  <c r="V194" i="24"/>
  <c r="U194" i="24"/>
  <c r="T194" i="24"/>
  <c r="S194" i="24"/>
  <c r="R194" i="24"/>
  <c r="Q194" i="24"/>
  <c r="P194" i="24"/>
  <c r="O194" i="24"/>
  <c r="M194" i="24"/>
  <c r="L194" i="24"/>
  <c r="K194" i="24"/>
  <c r="J194" i="24"/>
  <c r="I194" i="24"/>
  <c r="H194" i="24"/>
  <c r="G194" i="24"/>
  <c r="F194" i="24"/>
  <c r="E194" i="24"/>
  <c r="D194" i="24"/>
  <c r="C194" i="24"/>
  <c r="B194" i="24"/>
  <c r="Z194" i="24" s="1"/>
  <c r="AC193" i="24"/>
  <c r="AB193" i="24"/>
  <c r="V193" i="24"/>
  <c r="O193" i="24"/>
  <c r="N193" i="24"/>
  <c r="M193" i="24"/>
  <c r="L193" i="24"/>
  <c r="I193" i="24"/>
  <c r="H193" i="24"/>
  <c r="G193" i="24"/>
  <c r="E193" i="24"/>
  <c r="B193" i="24"/>
  <c r="Z193" i="24" s="1"/>
  <c r="AC192" i="24"/>
  <c r="AB192" i="24"/>
  <c r="AA192" i="24"/>
  <c r="X192" i="24"/>
  <c r="W192" i="24"/>
  <c r="U192" i="24"/>
  <c r="T192" i="24"/>
  <c r="S192" i="24"/>
  <c r="R192" i="24"/>
  <c r="P192" i="24"/>
  <c r="O192" i="24"/>
  <c r="N192" i="24"/>
  <c r="K192" i="24"/>
  <c r="I192" i="24"/>
  <c r="H192" i="24"/>
  <c r="G192" i="24"/>
  <c r="F192" i="24"/>
  <c r="E192" i="24"/>
  <c r="D192" i="24"/>
  <c r="C192" i="24"/>
  <c r="B192" i="24"/>
  <c r="AC191" i="24"/>
  <c r="AB191" i="24"/>
  <c r="AA191" i="24"/>
  <c r="Y191" i="24"/>
  <c r="X191" i="24"/>
  <c r="W191" i="24"/>
  <c r="V191" i="24"/>
  <c r="U191" i="24"/>
  <c r="T191" i="24"/>
  <c r="S191" i="24"/>
  <c r="R191" i="24"/>
  <c r="Q191" i="24"/>
  <c r="P191" i="24"/>
  <c r="O191" i="24"/>
  <c r="M191" i="24"/>
  <c r="L191" i="24"/>
  <c r="K191" i="24"/>
  <c r="J191" i="24"/>
  <c r="I191" i="24"/>
  <c r="H191" i="24"/>
  <c r="G191" i="24"/>
  <c r="F191" i="24"/>
  <c r="E191" i="24"/>
  <c r="D191" i="24"/>
  <c r="C191" i="24"/>
  <c r="B191" i="24"/>
  <c r="Z191" i="24" s="1"/>
  <c r="AB190" i="24"/>
  <c r="AA190" i="24"/>
  <c r="W190" i="24"/>
  <c r="V190" i="24"/>
  <c r="U190" i="24"/>
  <c r="T190" i="24"/>
  <c r="N190" i="24"/>
  <c r="M190" i="24"/>
  <c r="L190" i="24"/>
  <c r="K190" i="24"/>
  <c r="J190" i="24"/>
  <c r="G190" i="24"/>
  <c r="E190" i="24"/>
  <c r="B190" i="24"/>
  <c r="U189" i="24"/>
  <c r="G189" i="24"/>
  <c r="B189" i="24"/>
  <c r="AC188" i="24"/>
  <c r="AB188" i="24"/>
  <c r="AA188" i="24"/>
  <c r="Y188" i="24"/>
  <c r="X188" i="24"/>
  <c r="W188" i="24"/>
  <c r="V188" i="24"/>
  <c r="U188" i="24"/>
  <c r="T188" i="24"/>
  <c r="S188" i="24"/>
  <c r="R188" i="24"/>
  <c r="Q188" i="24"/>
  <c r="P188" i="24"/>
  <c r="O188" i="24"/>
  <c r="M188" i="24"/>
  <c r="L188" i="24"/>
  <c r="K188" i="24"/>
  <c r="J188" i="24"/>
  <c r="I188" i="24"/>
  <c r="H188" i="24"/>
  <c r="G188" i="24"/>
  <c r="F188" i="24"/>
  <c r="E188" i="24"/>
  <c r="D188" i="24"/>
  <c r="C188" i="24"/>
  <c r="B188" i="24"/>
  <c r="Z188" i="24" s="1"/>
  <c r="Z187" i="24"/>
  <c r="Y187" i="24"/>
  <c r="V187" i="24"/>
  <c r="Q187" i="24"/>
  <c r="O187" i="24"/>
  <c r="L187" i="24"/>
  <c r="G187" i="24"/>
  <c r="E187" i="24"/>
  <c r="D187" i="24"/>
  <c r="C187" i="24"/>
  <c r="B187" i="24"/>
  <c r="AC186" i="24"/>
  <c r="AB186" i="24"/>
  <c r="W186" i="24"/>
  <c r="U186" i="24"/>
  <c r="T186" i="24"/>
  <c r="R186" i="24"/>
  <c r="Q186" i="24"/>
  <c r="P186" i="24"/>
  <c r="O186" i="24"/>
  <c r="N186" i="24"/>
  <c r="K186" i="24"/>
  <c r="G186" i="24"/>
  <c r="F186" i="24"/>
  <c r="E186" i="24"/>
  <c r="D186" i="24"/>
  <c r="C186" i="24"/>
  <c r="B186" i="24"/>
  <c r="AC185" i="24"/>
  <c r="AB185" i="24"/>
  <c r="AA185" i="24"/>
  <c r="Y185" i="24"/>
  <c r="X185" i="24"/>
  <c r="W185" i="24"/>
  <c r="V185" i="24"/>
  <c r="U185" i="24"/>
  <c r="T185" i="24"/>
  <c r="S185" i="24"/>
  <c r="R185" i="24"/>
  <c r="Q185" i="24"/>
  <c r="P185" i="24"/>
  <c r="O185" i="24"/>
  <c r="M185" i="24"/>
  <c r="L185" i="24"/>
  <c r="K185" i="24"/>
  <c r="J185" i="24"/>
  <c r="I185" i="24"/>
  <c r="H185" i="24"/>
  <c r="G185" i="24"/>
  <c r="F185" i="24"/>
  <c r="E185" i="24"/>
  <c r="D185" i="24"/>
  <c r="C185" i="24"/>
  <c r="B185" i="24"/>
  <c r="Z185" i="24" s="1"/>
  <c r="L184" i="24"/>
  <c r="I184" i="24"/>
  <c r="B184" i="24"/>
  <c r="AC183" i="24"/>
  <c r="AB183" i="24"/>
  <c r="AA183" i="24"/>
  <c r="Z183" i="24"/>
  <c r="T183" i="24"/>
  <c r="Q183" i="24"/>
  <c r="P183" i="24"/>
  <c r="O183" i="24"/>
  <c r="N183" i="24"/>
  <c r="M183" i="24"/>
  <c r="L183" i="24"/>
  <c r="K183" i="24"/>
  <c r="I183" i="24"/>
  <c r="D183" i="24"/>
  <c r="B183" i="24"/>
  <c r="AC182" i="24"/>
  <c r="AB182" i="24"/>
  <c r="AA182" i="24"/>
  <c r="Y182" i="24"/>
  <c r="X182" i="24"/>
  <c r="W182" i="24"/>
  <c r="V182" i="24"/>
  <c r="U182" i="24"/>
  <c r="T182" i="24"/>
  <c r="S182" i="24"/>
  <c r="R182" i="24"/>
  <c r="Q182" i="24"/>
  <c r="P182" i="24"/>
  <c r="O182" i="24"/>
  <c r="M182" i="24"/>
  <c r="L182" i="24"/>
  <c r="K182" i="24"/>
  <c r="J182" i="24"/>
  <c r="I182" i="24"/>
  <c r="H182" i="24"/>
  <c r="G182" i="24"/>
  <c r="F182" i="24"/>
  <c r="E182" i="24"/>
  <c r="D182" i="24"/>
  <c r="C182" i="24"/>
  <c r="B182" i="24"/>
  <c r="Z182" i="24" s="1"/>
  <c r="AB181" i="24"/>
  <c r="AA181" i="24"/>
  <c r="S181" i="24"/>
  <c r="Q181" i="24"/>
  <c r="N181" i="24"/>
  <c r="H181" i="24"/>
  <c r="D181" i="24"/>
  <c r="B181" i="24"/>
  <c r="AC180" i="24"/>
  <c r="AB180" i="24"/>
  <c r="W180" i="24"/>
  <c r="T180" i="24"/>
  <c r="N180" i="24"/>
  <c r="K180" i="24"/>
  <c r="I180" i="24"/>
  <c r="H180" i="24"/>
  <c r="E180" i="24"/>
  <c r="B180" i="24"/>
  <c r="AC179" i="24"/>
  <c r="AB179" i="24"/>
  <c r="AA179" i="24"/>
  <c r="Y179" i="24"/>
  <c r="X179" i="24"/>
  <c r="W179" i="24"/>
  <c r="V179" i="24"/>
  <c r="U179" i="24"/>
  <c r="T179" i="24"/>
  <c r="S179" i="24"/>
  <c r="R179" i="24"/>
  <c r="Q179" i="24"/>
  <c r="P179" i="24"/>
  <c r="O179" i="24"/>
  <c r="M179" i="24"/>
  <c r="L179" i="24"/>
  <c r="K179" i="24"/>
  <c r="J179" i="24"/>
  <c r="I179" i="24"/>
  <c r="H179" i="24"/>
  <c r="G179" i="24"/>
  <c r="F179" i="24"/>
  <c r="E179" i="24"/>
  <c r="D179" i="24"/>
  <c r="C179" i="24"/>
  <c r="B179" i="24"/>
  <c r="Z179" i="24" s="1"/>
  <c r="AB178" i="24"/>
  <c r="AA178" i="24"/>
  <c r="Z178" i="24"/>
  <c r="Y178" i="24"/>
  <c r="X178" i="24"/>
  <c r="W178" i="24"/>
  <c r="V178" i="24"/>
  <c r="S178" i="24"/>
  <c r="O178" i="24"/>
  <c r="N178" i="24"/>
  <c r="M178" i="24"/>
  <c r="L178" i="24"/>
  <c r="K178" i="24"/>
  <c r="J178" i="24"/>
  <c r="I178" i="24"/>
  <c r="H178" i="24"/>
  <c r="G178" i="24"/>
  <c r="B178" i="24"/>
  <c r="AA177" i="24"/>
  <c r="Z177" i="24"/>
  <c r="Y177" i="24"/>
  <c r="U177" i="24"/>
  <c r="T177" i="24"/>
  <c r="D177" i="24"/>
  <c r="C177" i="24"/>
  <c r="B177" i="24"/>
  <c r="AC176" i="24"/>
  <c r="AB176" i="24"/>
  <c r="AA176" i="24"/>
  <c r="Y176" i="24"/>
  <c r="X176" i="24"/>
  <c r="W176" i="24"/>
  <c r="V176" i="24"/>
  <c r="U176" i="24"/>
  <c r="T176" i="24"/>
  <c r="S176" i="24"/>
  <c r="R176" i="24"/>
  <c r="Q176" i="24"/>
  <c r="P176" i="24"/>
  <c r="O176" i="24"/>
  <c r="M176" i="24"/>
  <c r="L176" i="24"/>
  <c r="K176" i="24"/>
  <c r="J176" i="24"/>
  <c r="I176" i="24"/>
  <c r="H176" i="24"/>
  <c r="G176" i="24"/>
  <c r="F176" i="24"/>
  <c r="E176" i="24"/>
  <c r="D176" i="24"/>
  <c r="C176" i="24"/>
  <c r="B176" i="24"/>
  <c r="Z176" i="24" s="1"/>
  <c r="AC175" i="24"/>
  <c r="AB175" i="24"/>
  <c r="Y175" i="24"/>
  <c r="U175" i="24"/>
  <c r="T175" i="24"/>
  <c r="S175" i="24"/>
  <c r="Q175" i="24"/>
  <c r="N175" i="24"/>
  <c r="M175" i="24"/>
  <c r="L175" i="24"/>
  <c r="I175" i="24"/>
  <c r="E175" i="24"/>
  <c r="D175" i="24"/>
  <c r="C175" i="24"/>
  <c r="B175" i="24"/>
  <c r="AA174" i="24"/>
  <c r="T174" i="24"/>
  <c r="S174" i="24"/>
  <c r="P174" i="24"/>
  <c r="O174" i="24"/>
  <c r="I174" i="24"/>
  <c r="C174" i="24"/>
  <c r="B174" i="24"/>
  <c r="AC173" i="24"/>
  <c r="AB173" i="24"/>
  <c r="AA173" i="24"/>
  <c r="Y173" i="24"/>
  <c r="X173" i="24"/>
  <c r="W173" i="24"/>
  <c r="V173" i="24"/>
  <c r="U173" i="24"/>
  <c r="T173" i="24"/>
  <c r="S173" i="24"/>
  <c r="R173" i="24"/>
  <c r="Q173" i="24"/>
  <c r="P173" i="24"/>
  <c r="O173" i="24"/>
  <c r="M173" i="24"/>
  <c r="L173" i="24"/>
  <c r="K173" i="24"/>
  <c r="J173" i="24"/>
  <c r="I173" i="24"/>
  <c r="H173" i="24"/>
  <c r="G173" i="24"/>
  <c r="F173" i="24"/>
  <c r="E173" i="24"/>
  <c r="D173" i="24"/>
  <c r="C173" i="24"/>
  <c r="B173" i="24"/>
  <c r="Z173" i="24" s="1"/>
  <c r="Z172" i="24"/>
  <c r="Y172" i="24"/>
  <c r="X172" i="24"/>
  <c r="T172" i="24"/>
  <c r="S172" i="24"/>
  <c r="O172" i="24"/>
  <c r="N172" i="24"/>
  <c r="I172" i="24"/>
  <c r="H172" i="24"/>
  <c r="G172" i="24"/>
  <c r="E172" i="24"/>
  <c r="B172" i="24"/>
  <c r="AC171" i="24"/>
  <c r="AB171" i="24"/>
  <c r="AA171" i="24"/>
  <c r="X171" i="24"/>
  <c r="W171" i="24"/>
  <c r="T171" i="24"/>
  <c r="Q171" i="24"/>
  <c r="P171" i="24"/>
  <c r="O171" i="24"/>
  <c r="N171" i="24"/>
  <c r="M171" i="24"/>
  <c r="L171" i="24"/>
  <c r="H171" i="24"/>
  <c r="G171" i="24"/>
  <c r="D171" i="24"/>
  <c r="C171" i="24"/>
  <c r="B171" i="24"/>
  <c r="AC170" i="24"/>
  <c r="AB170" i="24"/>
  <c r="AA170" i="24"/>
  <c r="Y170" i="24"/>
  <c r="X170" i="24"/>
  <c r="W170" i="24"/>
  <c r="V170" i="24"/>
  <c r="U170" i="24"/>
  <c r="T170" i="24"/>
  <c r="S170" i="24"/>
  <c r="R170" i="24"/>
  <c r="Q170" i="24"/>
  <c r="P170" i="24"/>
  <c r="O170" i="24"/>
  <c r="M170" i="24"/>
  <c r="L170" i="24"/>
  <c r="K170" i="24"/>
  <c r="J170" i="24"/>
  <c r="I170" i="24"/>
  <c r="H170" i="24"/>
  <c r="G170" i="24"/>
  <c r="F170" i="24"/>
  <c r="E170" i="24"/>
  <c r="D170" i="24"/>
  <c r="C170" i="24"/>
  <c r="B170" i="24"/>
  <c r="Z170" i="24" s="1"/>
  <c r="AB169" i="24"/>
  <c r="AA169" i="24"/>
  <c r="M169" i="24"/>
  <c r="L169" i="24"/>
  <c r="G169" i="24"/>
  <c r="E169" i="24"/>
  <c r="D169" i="24"/>
  <c r="B169" i="24"/>
  <c r="AC168" i="24"/>
  <c r="R168" i="24"/>
  <c r="Q168" i="24"/>
  <c r="P168" i="24"/>
  <c r="O168" i="24"/>
  <c r="N168" i="24"/>
  <c r="K168" i="24"/>
  <c r="I168" i="24"/>
  <c r="H168" i="24"/>
  <c r="G168" i="24"/>
  <c r="B168" i="24"/>
  <c r="AA168" i="24" s="1"/>
  <c r="AC167" i="24"/>
  <c r="AB167" i="24"/>
  <c r="AA167" i="24"/>
  <c r="Y167" i="24"/>
  <c r="X167" i="24"/>
  <c r="W167" i="24"/>
  <c r="V167" i="24"/>
  <c r="U167" i="24"/>
  <c r="T167" i="24"/>
  <c r="S167" i="24"/>
  <c r="R167" i="24"/>
  <c r="Q167" i="24"/>
  <c r="P167" i="24"/>
  <c r="O167" i="24"/>
  <c r="M167" i="24"/>
  <c r="L167" i="24"/>
  <c r="K167" i="24"/>
  <c r="J167" i="24"/>
  <c r="I167" i="24"/>
  <c r="H167" i="24"/>
  <c r="G167" i="24"/>
  <c r="F167" i="24"/>
  <c r="E167" i="24"/>
  <c r="D167" i="24"/>
  <c r="C167" i="24"/>
  <c r="B167" i="24"/>
  <c r="Z167" i="24" s="1"/>
  <c r="B166" i="24"/>
  <c r="AC165" i="24"/>
  <c r="AB165" i="24"/>
  <c r="AA165" i="24"/>
  <c r="Z165" i="24"/>
  <c r="Y165" i="24"/>
  <c r="X165" i="24"/>
  <c r="W165" i="24"/>
  <c r="U165" i="24"/>
  <c r="P165" i="24"/>
  <c r="O165" i="24"/>
  <c r="N165" i="24"/>
  <c r="M165" i="24"/>
  <c r="L165" i="24"/>
  <c r="K165" i="24"/>
  <c r="I165" i="24"/>
  <c r="H165" i="24"/>
  <c r="G165" i="24"/>
  <c r="D165" i="24"/>
  <c r="B165" i="24"/>
  <c r="AC164" i="24"/>
  <c r="AB164" i="24"/>
  <c r="AA164" i="24"/>
  <c r="Y164" i="24"/>
  <c r="X164" i="24"/>
  <c r="W164" i="24"/>
  <c r="V164" i="24"/>
  <c r="U164" i="24"/>
  <c r="T164" i="24"/>
  <c r="S164" i="24"/>
  <c r="R164" i="24"/>
  <c r="Q164" i="24"/>
  <c r="P164" i="24"/>
  <c r="O164" i="24"/>
  <c r="M164" i="24"/>
  <c r="L164" i="24"/>
  <c r="K164" i="24"/>
  <c r="J164" i="24"/>
  <c r="I164" i="24"/>
  <c r="H164" i="24"/>
  <c r="G164" i="24"/>
  <c r="F164" i="24"/>
  <c r="E164" i="24"/>
  <c r="D164" i="24"/>
  <c r="C164" i="24"/>
  <c r="B164" i="24"/>
  <c r="Z164" i="24" s="1"/>
  <c r="AC163" i="24"/>
  <c r="AB163" i="24"/>
  <c r="AA163" i="24"/>
  <c r="Z163" i="24"/>
  <c r="Y163" i="24"/>
  <c r="V163" i="24"/>
  <c r="U163" i="24"/>
  <c r="T163" i="24"/>
  <c r="P163" i="24"/>
  <c r="O163" i="24"/>
  <c r="N163" i="24"/>
  <c r="M163" i="24"/>
  <c r="L163" i="24"/>
  <c r="I163" i="24"/>
  <c r="H163" i="24"/>
  <c r="G163" i="24"/>
  <c r="E163" i="24"/>
  <c r="D163" i="24"/>
  <c r="B163" i="24"/>
  <c r="AC162" i="24"/>
  <c r="AB162" i="24"/>
  <c r="U162" i="24"/>
  <c r="T162" i="24"/>
  <c r="S162" i="24"/>
  <c r="Q162" i="24"/>
  <c r="I162" i="24"/>
  <c r="H162" i="24"/>
  <c r="G162" i="24"/>
  <c r="B162" i="24"/>
  <c r="R162" i="24" s="1"/>
  <c r="AC161" i="24"/>
  <c r="AB161" i="24"/>
  <c r="AA161" i="24"/>
  <c r="Y161" i="24"/>
  <c r="X161" i="24"/>
  <c r="W161" i="24"/>
  <c r="V161" i="24"/>
  <c r="U161" i="24"/>
  <c r="T161" i="24"/>
  <c r="S161" i="24"/>
  <c r="R161" i="24"/>
  <c r="Q161" i="24"/>
  <c r="P161" i="24"/>
  <c r="O161" i="24"/>
  <c r="M161" i="24"/>
  <c r="L161" i="24"/>
  <c r="K161" i="24"/>
  <c r="J161" i="24"/>
  <c r="I161" i="24"/>
  <c r="H161" i="24"/>
  <c r="G161" i="24"/>
  <c r="F161" i="24"/>
  <c r="E161" i="24"/>
  <c r="D161" i="24"/>
  <c r="C161" i="24"/>
  <c r="B161" i="24"/>
  <c r="Z161" i="24" s="1"/>
  <c r="Z160" i="24"/>
  <c r="Y160" i="24"/>
  <c r="X160" i="24"/>
  <c r="U160" i="24"/>
  <c r="L160" i="24"/>
  <c r="E160" i="24"/>
  <c r="B160" i="24"/>
  <c r="AC159" i="24"/>
  <c r="Z159" i="24"/>
  <c r="Y159" i="24"/>
  <c r="X159" i="24"/>
  <c r="W159" i="24"/>
  <c r="T159" i="24"/>
  <c r="Q159" i="24"/>
  <c r="P159" i="24"/>
  <c r="O159" i="24"/>
  <c r="N159" i="24"/>
  <c r="K159" i="24"/>
  <c r="I159" i="24"/>
  <c r="H159" i="24"/>
  <c r="G159" i="24"/>
  <c r="D159" i="24"/>
  <c r="C159" i="24"/>
  <c r="B159" i="24"/>
  <c r="AC158" i="24"/>
  <c r="AB158" i="24"/>
  <c r="AA158" i="24"/>
  <c r="Y158" i="24"/>
  <c r="X158" i="24"/>
  <c r="W158" i="24"/>
  <c r="V158" i="24"/>
  <c r="U158" i="24"/>
  <c r="T158" i="24"/>
  <c r="S158" i="24"/>
  <c r="R158" i="24"/>
  <c r="Q158" i="24"/>
  <c r="P158" i="24"/>
  <c r="O158" i="24"/>
  <c r="M158" i="24"/>
  <c r="L158" i="24"/>
  <c r="K158" i="24"/>
  <c r="J158" i="24"/>
  <c r="I158" i="24"/>
  <c r="H158" i="24"/>
  <c r="G158" i="24"/>
  <c r="F158" i="24"/>
  <c r="E158" i="24"/>
  <c r="D158" i="24"/>
  <c r="C158" i="24"/>
  <c r="B158" i="24"/>
  <c r="Z158" i="24" s="1"/>
  <c r="V157" i="24"/>
  <c r="U157" i="24"/>
  <c r="T157" i="24"/>
  <c r="S157" i="24"/>
  <c r="Q157" i="24"/>
  <c r="E157" i="24"/>
  <c r="D157" i="24"/>
  <c r="C157" i="24"/>
  <c r="B157" i="24"/>
  <c r="Z157" i="24" s="1"/>
  <c r="AB156" i="24"/>
  <c r="AA156" i="24"/>
  <c r="T156" i="24"/>
  <c r="P156" i="24"/>
  <c r="O156" i="24"/>
  <c r="N156" i="24"/>
  <c r="M156" i="24"/>
  <c r="H156" i="24"/>
  <c r="G156" i="24"/>
  <c r="D156" i="24"/>
  <c r="C156" i="24"/>
  <c r="B156" i="24"/>
  <c r="AC155" i="24"/>
  <c r="AB155" i="24"/>
  <c r="AA155" i="24"/>
  <c r="Y155" i="24"/>
  <c r="X155" i="24"/>
  <c r="W155" i="24"/>
  <c r="V155" i="24"/>
  <c r="U155" i="24"/>
  <c r="T155" i="24"/>
  <c r="S155" i="24"/>
  <c r="R155" i="24"/>
  <c r="Q155" i="24"/>
  <c r="P155" i="24"/>
  <c r="O155" i="24"/>
  <c r="M155" i="24"/>
  <c r="L155" i="24"/>
  <c r="K155" i="24"/>
  <c r="J155" i="24"/>
  <c r="I155" i="24"/>
  <c r="H155" i="24"/>
  <c r="G155" i="24"/>
  <c r="F155" i="24"/>
  <c r="E155" i="24"/>
  <c r="D155" i="24"/>
  <c r="C155" i="24"/>
  <c r="B155" i="24"/>
  <c r="Z155" i="24" s="1"/>
  <c r="AB154" i="24"/>
  <c r="Y154" i="24"/>
  <c r="X154" i="24"/>
  <c r="W154" i="24"/>
  <c r="V154" i="24"/>
  <c r="S154" i="24"/>
  <c r="Q154" i="24"/>
  <c r="O154" i="24"/>
  <c r="N154" i="24"/>
  <c r="K154" i="24"/>
  <c r="J154" i="24"/>
  <c r="I154" i="24"/>
  <c r="H154" i="24"/>
  <c r="G154" i="24"/>
  <c r="E154" i="24"/>
  <c r="B154" i="24"/>
  <c r="B153" i="24"/>
  <c r="AC152" i="24"/>
  <c r="AB152" i="24"/>
  <c r="AA152" i="24"/>
  <c r="Y152" i="24"/>
  <c r="X152" i="24"/>
  <c r="W152" i="24"/>
  <c r="V152" i="24"/>
  <c r="U152" i="24"/>
  <c r="T152" i="24"/>
  <c r="S152" i="24"/>
  <c r="R152" i="24"/>
  <c r="Q152" i="24"/>
  <c r="P152" i="24"/>
  <c r="O152" i="24"/>
  <c r="M152" i="24"/>
  <c r="L152" i="24"/>
  <c r="K152" i="24"/>
  <c r="J152" i="24"/>
  <c r="I152" i="24"/>
  <c r="H152" i="24"/>
  <c r="G152" i="24"/>
  <c r="F152" i="24"/>
  <c r="E152" i="24"/>
  <c r="D152" i="24"/>
  <c r="C152" i="24"/>
  <c r="B152" i="24"/>
  <c r="Z152" i="24" s="1"/>
  <c r="AA151" i="24"/>
  <c r="Z151" i="24"/>
  <c r="Y151" i="24"/>
  <c r="X151" i="24"/>
  <c r="V151" i="24"/>
  <c r="U151" i="24"/>
  <c r="T151" i="24"/>
  <c r="S151" i="24"/>
  <c r="R151" i="24"/>
  <c r="Q151" i="24"/>
  <c r="N151" i="24"/>
  <c r="M151" i="24"/>
  <c r="L151" i="24"/>
  <c r="J151" i="24"/>
  <c r="I151" i="24"/>
  <c r="H151" i="24"/>
  <c r="G151" i="24"/>
  <c r="F151" i="24"/>
  <c r="E151" i="24"/>
  <c r="D151" i="24"/>
  <c r="B151" i="24"/>
  <c r="AC150" i="24"/>
  <c r="V150" i="24"/>
  <c r="U150" i="24"/>
  <c r="S150" i="24"/>
  <c r="P150" i="24"/>
  <c r="N150" i="24"/>
  <c r="M150" i="24"/>
  <c r="L150" i="24"/>
  <c r="K150" i="24"/>
  <c r="B150" i="24"/>
  <c r="AB149" i="24"/>
  <c r="AA149" i="24"/>
  <c r="U149" i="24"/>
  <c r="Q149" i="24"/>
  <c r="M149" i="24"/>
  <c r="L149" i="24"/>
  <c r="K149" i="24"/>
  <c r="C149" i="24"/>
  <c r="B149" i="24"/>
  <c r="AC148" i="24"/>
  <c r="AB148" i="24"/>
  <c r="AA148" i="24"/>
  <c r="Z148" i="24"/>
  <c r="Y148" i="24"/>
  <c r="X148" i="24"/>
  <c r="V148" i="24"/>
  <c r="S148" i="24"/>
  <c r="P148" i="24"/>
  <c r="O148" i="24"/>
  <c r="N148" i="24"/>
  <c r="M148" i="24"/>
  <c r="L148" i="24"/>
  <c r="J148" i="24"/>
  <c r="I148" i="24"/>
  <c r="F148" i="24"/>
  <c r="E148" i="24"/>
  <c r="D148" i="24"/>
  <c r="B148" i="24"/>
  <c r="B147" i="24"/>
  <c r="V146" i="24"/>
  <c r="Q146" i="24"/>
  <c r="P146" i="24"/>
  <c r="O146" i="24"/>
  <c r="N146" i="24"/>
  <c r="I146" i="24"/>
  <c r="B146" i="24"/>
  <c r="AC145" i="24"/>
  <c r="AB145" i="24"/>
  <c r="U145" i="24"/>
  <c r="T145" i="24"/>
  <c r="S145" i="24"/>
  <c r="O145" i="24"/>
  <c r="L145" i="24"/>
  <c r="J145" i="24"/>
  <c r="I145" i="24"/>
  <c r="F145" i="24"/>
  <c r="E145" i="24"/>
  <c r="D145" i="24"/>
  <c r="C145" i="24"/>
  <c r="B145" i="24"/>
  <c r="AB144" i="24"/>
  <c r="Z144" i="24"/>
  <c r="Y144" i="24"/>
  <c r="X144" i="24"/>
  <c r="W144" i="24"/>
  <c r="V144" i="24"/>
  <c r="U144" i="24"/>
  <c r="T144" i="24"/>
  <c r="S144" i="24"/>
  <c r="R144" i="24"/>
  <c r="Q144" i="24"/>
  <c r="N144" i="24"/>
  <c r="M144" i="24"/>
  <c r="L144" i="24"/>
  <c r="K144" i="24"/>
  <c r="J144" i="24"/>
  <c r="I144" i="24"/>
  <c r="H144" i="24"/>
  <c r="G144" i="24"/>
  <c r="F144" i="24"/>
  <c r="E144" i="24"/>
  <c r="D144" i="24"/>
  <c r="B144" i="24"/>
  <c r="W143" i="24"/>
  <c r="T143" i="24"/>
  <c r="R143" i="24"/>
  <c r="O143" i="24"/>
  <c r="N143" i="24"/>
  <c r="K143" i="24"/>
  <c r="B143" i="24"/>
  <c r="AC142" i="24"/>
  <c r="AB142" i="24"/>
  <c r="AA142" i="24"/>
  <c r="Z142" i="24"/>
  <c r="Y142" i="24"/>
  <c r="X142" i="24"/>
  <c r="V142" i="24"/>
  <c r="U142" i="24"/>
  <c r="T142" i="24"/>
  <c r="P142" i="24"/>
  <c r="O142" i="24"/>
  <c r="N142" i="24"/>
  <c r="M142" i="24"/>
  <c r="L142" i="24"/>
  <c r="J142" i="24"/>
  <c r="I142" i="24"/>
  <c r="H142" i="24"/>
  <c r="G142" i="24"/>
  <c r="D142" i="24"/>
  <c r="C142" i="24"/>
  <c r="B142" i="24"/>
  <c r="X141" i="24"/>
  <c r="W141" i="24"/>
  <c r="Q141" i="24"/>
  <c r="P141" i="24"/>
  <c r="L141" i="24"/>
  <c r="F141" i="24"/>
  <c r="E141" i="24"/>
  <c r="B141" i="24"/>
  <c r="AC140" i="24"/>
  <c r="AB140" i="24"/>
  <c r="Y140" i="24"/>
  <c r="X140" i="24"/>
  <c r="U140" i="24"/>
  <c r="P140" i="24"/>
  <c r="O140" i="24"/>
  <c r="N140" i="24"/>
  <c r="M140" i="24"/>
  <c r="H140" i="24"/>
  <c r="F140" i="24"/>
  <c r="E140" i="24"/>
  <c r="D140" i="24"/>
  <c r="C140" i="24"/>
  <c r="B140" i="24"/>
  <c r="R140" i="24" s="1"/>
  <c r="Z139" i="24"/>
  <c r="T139" i="24"/>
  <c r="S139" i="24"/>
  <c r="R139" i="24"/>
  <c r="Q139" i="24"/>
  <c r="P139" i="24"/>
  <c r="O139" i="24"/>
  <c r="N139" i="24"/>
  <c r="E139" i="24"/>
  <c r="D139" i="24"/>
  <c r="C139" i="24"/>
  <c r="B139" i="24"/>
  <c r="AB138" i="24"/>
  <c r="X138" i="24"/>
  <c r="W138" i="24"/>
  <c r="V138" i="24"/>
  <c r="P138" i="24"/>
  <c r="J138" i="24"/>
  <c r="I138" i="24"/>
  <c r="B138" i="24"/>
  <c r="AC137" i="24"/>
  <c r="AA137" i="24"/>
  <c r="Z137" i="24"/>
  <c r="Y137" i="24"/>
  <c r="X137" i="24"/>
  <c r="W137" i="24"/>
  <c r="V137" i="24"/>
  <c r="U137" i="24"/>
  <c r="T137" i="24"/>
  <c r="R137" i="24"/>
  <c r="Q137" i="24"/>
  <c r="P137" i="24"/>
  <c r="N137" i="24"/>
  <c r="M137" i="24"/>
  <c r="L137" i="24"/>
  <c r="K137" i="24"/>
  <c r="J137" i="24"/>
  <c r="I137" i="24"/>
  <c r="H137" i="24"/>
  <c r="F137" i="24"/>
  <c r="E137" i="24"/>
  <c r="D137" i="24"/>
  <c r="C137" i="24"/>
  <c r="B137" i="24"/>
  <c r="U136" i="24"/>
  <c r="N136" i="24"/>
  <c r="B136" i="24"/>
  <c r="Z135" i="24"/>
  <c r="Y135" i="24"/>
  <c r="H135" i="24"/>
  <c r="G135" i="24"/>
  <c r="B135" i="24"/>
  <c r="X134" i="24"/>
  <c r="R134" i="24"/>
  <c r="Q134" i="24"/>
  <c r="M134" i="24"/>
  <c r="D134" i="24"/>
  <c r="C134" i="24"/>
  <c r="B134" i="24"/>
  <c r="AC133" i="24"/>
  <c r="Z133" i="24"/>
  <c r="Y133" i="24"/>
  <c r="M133" i="24"/>
  <c r="L133" i="24"/>
  <c r="J133" i="24"/>
  <c r="G133" i="24"/>
  <c r="D133" i="24"/>
  <c r="B133" i="24"/>
  <c r="AC132" i="24"/>
  <c r="AB132" i="24"/>
  <c r="Z132" i="24"/>
  <c r="Y132" i="24"/>
  <c r="V132" i="24"/>
  <c r="U132" i="24"/>
  <c r="T132" i="24"/>
  <c r="Q132" i="24"/>
  <c r="P132" i="24"/>
  <c r="N132" i="24"/>
  <c r="M132" i="24"/>
  <c r="L132" i="24"/>
  <c r="I132" i="24"/>
  <c r="H132" i="24"/>
  <c r="G132" i="24"/>
  <c r="F132" i="24"/>
  <c r="E132" i="24"/>
  <c r="B132" i="24"/>
  <c r="AC131" i="24"/>
  <c r="AB131" i="24"/>
  <c r="AA131" i="24"/>
  <c r="X131" i="24"/>
  <c r="W131" i="24"/>
  <c r="V131" i="24"/>
  <c r="U131" i="24"/>
  <c r="Q131" i="24"/>
  <c r="N131" i="24"/>
  <c r="K131" i="24"/>
  <c r="J131" i="24"/>
  <c r="I131" i="24"/>
  <c r="H131" i="24"/>
  <c r="F131" i="24"/>
  <c r="E131" i="24"/>
  <c r="D131" i="24"/>
  <c r="C131" i="24"/>
  <c r="B131" i="24"/>
  <c r="R131" i="24" s="1"/>
  <c r="AC130" i="24"/>
  <c r="AA130" i="24"/>
  <c r="Z130" i="24"/>
  <c r="Y130" i="24"/>
  <c r="X130" i="24"/>
  <c r="V130" i="24"/>
  <c r="U130" i="24"/>
  <c r="T130" i="24"/>
  <c r="S130" i="24"/>
  <c r="R130" i="24"/>
  <c r="Q130" i="24"/>
  <c r="P130" i="24"/>
  <c r="N130" i="24"/>
  <c r="M130" i="24"/>
  <c r="L130" i="24"/>
  <c r="J130" i="24"/>
  <c r="I130" i="24"/>
  <c r="H130" i="24"/>
  <c r="G130" i="24"/>
  <c r="F130" i="24"/>
  <c r="E130" i="24"/>
  <c r="D130" i="24"/>
  <c r="C130" i="24"/>
  <c r="B130" i="24"/>
  <c r="AB129" i="24"/>
  <c r="Z129" i="24"/>
  <c r="Y129" i="24"/>
  <c r="X129" i="24"/>
  <c r="W129" i="24"/>
  <c r="V129" i="24"/>
  <c r="U129" i="24"/>
  <c r="T129" i="24"/>
  <c r="S129" i="24"/>
  <c r="R129" i="24"/>
  <c r="N129" i="24"/>
  <c r="M129" i="24"/>
  <c r="L129" i="24"/>
  <c r="K129" i="24"/>
  <c r="J129" i="24"/>
  <c r="I129" i="24"/>
  <c r="H129" i="24"/>
  <c r="G129" i="24"/>
  <c r="F129" i="24"/>
  <c r="E129" i="24"/>
  <c r="B129" i="24"/>
  <c r="AC128" i="24"/>
  <c r="U128" i="24"/>
  <c r="T128" i="24"/>
  <c r="M128" i="24"/>
  <c r="L128" i="24"/>
  <c r="C128" i="24"/>
  <c r="B128" i="24"/>
  <c r="AC127" i="24"/>
  <c r="AB127" i="24"/>
  <c r="AA127" i="24"/>
  <c r="Z127" i="24"/>
  <c r="Y127" i="24"/>
  <c r="U127" i="24"/>
  <c r="S127" i="24"/>
  <c r="O127" i="24"/>
  <c r="N127" i="24"/>
  <c r="M127" i="24"/>
  <c r="L127" i="24"/>
  <c r="J127" i="24"/>
  <c r="F127" i="24"/>
  <c r="E127" i="24"/>
  <c r="D127" i="24"/>
  <c r="C127" i="24"/>
  <c r="B127" i="24"/>
  <c r="Q127" i="24" s="1"/>
  <c r="Z126" i="24"/>
  <c r="X126" i="24"/>
  <c r="T126" i="24"/>
  <c r="S126" i="24"/>
  <c r="R126" i="24"/>
  <c r="Q126" i="24"/>
  <c r="P126" i="24"/>
  <c r="N126" i="24"/>
  <c r="J126" i="24"/>
  <c r="F126" i="24"/>
  <c r="E126" i="24"/>
  <c r="D126" i="24"/>
  <c r="B126" i="24"/>
  <c r="AB125" i="24"/>
  <c r="AA125" i="24"/>
  <c r="Z125" i="24"/>
  <c r="M125" i="24"/>
  <c r="B125" i="24"/>
  <c r="AC124" i="24"/>
  <c r="AB124" i="24"/>
  <c r="AA124" i="24"/>
  <c r="Y124" i="24"/>
  <c r="V124" i="24"/>
  <c r="S124" i="24"/>
  <c r="R124" i="24"/>
  <c r="N124" i="24"/>
  <c r="J124" i="24"/>
  <c r="I124" i="24"/>
  <c r="H124" i="24"/>
  <c r="E124" i="24"/>
  <c r="D124" i="24"/>
  <c r="C124" i="24"/>
  <c r="B124" i="24"/>
  <c r="W123" i="24"/>
  <c r="V123" i="24"/>
  <c r="P123" i="24"/>
  <c r="M123" i="24"/>
  <c r="L123" i="24"/>
  <c r="H123" i="24"/>
  <c r="E123" i="24"/>
  <c r="B123" i="24"/>
  <c r="AB122" i="24"/>
  <c r="AA122" i="24"/>
  <c r="Z122" i="24"/>
  <c r="Y122" i="24"/>
  <c r="X122" i="24"/>
  <c r="W122" i="24"/>
  <c r="V122" i="24"/>
  <c r="Q122" i="24"/>
  <c r="O122" i="24"/>
  <c r="N122" i="24"/>
  <c r="M122" i="24"/>
  <c r="L122" i="24"/>
  <c r="K122" i="24"/>
  <c r="J122" i="24"/>
  <c r="I122" i="24"/>
  <c r="H122" i="24"/>
  <c r="D122" i="24"/>
  <c r="C122" i="24"/>
  <c r="B122" i="24"/>
  <c r="AC121" i="24"/>
  <c r="AB121" i="24"/>
  <c r="AA121" i="24"/>
  <c r="Z121" i="24"/>
  <c r="Y121" i="24"/>
  <c r="X121" i="24"/>
  <c r="V121" i="24"/>
  <c r="S121" i="24"/>
  <c r="R121" i="24"/>
  <c r="N121" i="24"/>
  <c r="M121" i="24"/>
  <c r="L121" i="24"/>
  <c r="J121" i="24"/>
  <c r="I121" i="24"/>
  <c r="F121" i="24"/>
  <c r="E121" i="24"/>
  <c r="D121" i="24"/>
  <c r="C121" i="24"/>
  <c r="B121" i="24"/>
  <c r="P121" i="24" s="1"/>
  <c r="U120" i="24"/>
  <c r="T120" i="24"/>
  <c r="S120" i="24"/>
  <c r="R120" i="24"/>
  <c r="Q120" i="24"/>
  <c r="H120" i="24"/>
  <c r="G120" i="24"/>
  <c r="B120" i="24"/>
  <c r="AB119" i="24"/>
  <c r="V119" i="24"/>
  <c r="U119" i="24"/>
  <c r="Q119" i="24"/>
  <c r="P119" i="24"/>
  <c r="F119" i="24"/>
  <c r="E119" i="24"/>
  <c r="D119" i="24"/>
  <c r="C119" i="24"/>
  <c r="B119" i="24"/>
  <c r="AC119" i="24" s="1"/>
  <c r="P118" i="24"/>
  <c r="O118" i="24"/>
  <c r="B118" i="24"/>
  <c r="AB117" i="24"/>
  <c r="Z117" i="24"/>
  <c r="Y117" i="24"/>
  <c r="X117" i="24"/>
  <c r="W117" i="24"/>
  <c r="V117" i="24"/>
  <c r="U117" i="24"/>
  <c r="T117" i="24"/>
  <c r="S117" i="24"/>
  <c r="R117" i="24"/>
  <c r="Q117" i="24"/>
  <c r="N117" i="24"/>
  <c r="M117" i="24"/>
  <c r="L117" i="24"/>
  <c r="K117" i="24"/>
  <c r="J117" i="24"/>
  <c r="I117" i="24"/>
  <c r="H117" i="24"/>
  <c r="G117" i="24"/>
  <c r="F117" i="24"/>
  <c r="E117" i="24"/>
  <c r="D117" i="24"/>
  <c r="B117" i="24"/>
  <c r="AB116" i="24"/>
  <c r="AA116" i="24"/>
  <c r="Z116" i="24"/>
  <c r="Y116" i="24"/>
  <c r="X116" i="24"/>
  <c r="W116" i="24"/>
  <c r="V116" i="24"/>
  <c r="U116" i="24"/>
  <c r="O116" i="24"/>
  <c r="N116" i="24"/>
  <c r="M116" i="24"/>
  <c r="L116" i="24"/>
  <c r="K116" i="24"/>
  <c r="J116" i="24"/>
  <c r="I116" i="24"/>
  <c r="H116" i="24"/>
  <c r="F116" i="24"/>
  <c r="E116" i="24"/>
  <c r="B116" i="24"/>
  <c r="R116" i="24" s="1"/>
  <c r="AB115" i="24"/>
  <c r="AA115" i="24"/>
  <c r="X115" i="24"/>
  <c r="V115" i="24"/>
  <c r="M115" i="24"/>
  <c r="L115" i="24"/>
  <c r="J115" i="24"/>
  <c r="I115" i="24"/>
  <c r="H115" i="24"/>
  <c r="C115" i="24"/>
  <c r="B115" i="24"/>
  <c r="Y114" i="24"/>
  <c r="V114" i="24"/>
  <c r="S114" i="24"/>
  <c r="R114" i="24"/>
  <c r="Q114" i="24"/>
  <c r="P114" i="24"/>
  <c r="J114" i="24"/>
  <c r="I114" i="24"/>
  <c r="F114" i="24"/>
  <c r="E114" i="24"/>
  <c r="B114" i="24"/>
  <c r="N114" i="24" s="1"/>
  <c r="AB113" i="24"/>
  <c r="AA113" i="24"/>
  <c r="U113" i="24"/>
  <c r="T113" i="24"/>
  <c r="P113" i="24"/>
  <c r="O113" i="24"/>
  <c r="E113" i="24"/>
  <c r="D113" i="24"/>
  <c r="C113" i="24"/>
  <c r="B113" i="24"/>
  <c r="AC113" i="24" s="1"/>
  <c r="N112" i="24"/>
  <c r="B112" i="24"/>
  <c r="AC111" i="24"/>
  <c r="AB111" i="24"/>
  <c r="X111" i="24"/>
  <c r="W111" i="24"/>
  <c r="V111" i="24"/>
  <c r="U111" i="24"/>
  <c r="T111" i="24"/>
  <c r="S111" i="24"/>
  <c r="P111" i="24"/>
  <c r="N111" i="24"/>
  <c r="K111" i="24"/>
  <c r="J111" i="24"/>
  <c r="I111" i="24"/>
  <c r="H111" i="24"/>
  <c r="G111" i="24"/>
  <c r="F111" i="24"/>
  <c r="E111" i="24"/>
  <c r="D111" i="24"/>
  <c r="B111" i="24"/>
  <c r="Q111" i="24" s="1"/>
  <c r="AC110" i="24"/>
  <c r="AA110" i="24"/>
  <c r="Z110" i="24"/>
  <c r="Y110" i="24"/>
  <c r="X110" i="24"/>
  <c r="W110" i="24"/>
  <c r="V110" i="24"/>
  <c r="U110" i="24"/>
  <c r="T110" i="24"/>
  <c r="R110" i="24"/>
  <c r="Q110" i="24"/>
  <c r="P110" i="24"/>
  <c r="N110" i="24"/>
  <c r="M110" i="24"/>
  <c r="L110" i="24"/>
  <c r="K110" i="24"/>
  <c r="J110" i="24"/>
  <c r="I110" i="24"/>
  <c r="H110" i="24"/>
  <c r="F110" i="24"/>
  <c r="E110" i="24"/>
  <c r="D110" i="24"/>
  <c r="C110" i="24"/>
  <c r="B110" i="24"/>
  <c r="AA109" i="24"/>
  <c r="Z109" i="24"/>
  <c r="V109" i="24"/>
  <c r="U109" i="24"/>
  <c r="L109" i="24"/>
  <c r="J109" i="24"/>
  <c r="I109" i="24"/>
  <c r="H109" i="24"/>
  <c r="G109" i="24"/>
  <c r="B109" i="24"/>
  <c r="AC108" i="24"/>
  <c r="X108" i="24"/>
  <c r="V108" i="24"/>
  <c r="U108" i="24"/>
  <c r="T108" i="24"/>
  <c r="Q108" i="24"/>
  <c r="P108" i="24"/>
  <c r="N108" i="24"/>
  <c r="M108" i="24"/>
  <c r="I108" i="24"/>
  <c r="H108" i="24"/>
  <c r="G108" i="24"/>
  <c r="D108" i="24"/>
  <c r="B108" i="24"/>
  <c r="AB107" i="24"/>
  <c r="AA107" i="24"/>
  <c r="Z107" i="24"/>
  <c r="V107" i="24"/>
  <c r="R107" i="24"/>
  <c r="O107" i="24"/>
  <c r="N107" i="24"/>
  <c r="D107" i="24"/>
  <c r="C107" i="24"/>
  <c r="B107" i="24"/>
  <c r="AC106" i="24"/>
  <c r="AB106" i="24"/>
  <c r="Y106" i="24"/>
  <c r="X106" i="24"/>
  <c r="N106" i="24"/>
  <c r="M106" i="24"/>
  <c r="L106" i="24"/>
  <c r="J106" i="24"/>
  <c r="G106" i="24"/>
  <c r="B106" i="24"/>
  <c r="AC105" i="24"/>
  <c r="AB105" i="24"/>
  <c r="Z105" i="24"/>
  <c r="Y105" i="24"/>
  <c r="V105" i="24"/>
  <c r="U105" i="24"/>
  <c r="T105" i="24"/>
  <c r="S105" i="24"/>
  <c r="N105" i="24"/>
  <c r="M105" i="24"/>
  <c r="L105" i="24"/>
  <c r="I105" i="24"/>
  <c r="H105" i="24"/>
  <c r="G105" i="24"/>
  <c r="F105" i="24"/>
  <c r="E105" i="24"/>
  <c r="D105" i="24"/>
  <c r="B105" i="24"/>
  <c r="Q105" i="24" s="1"/>
  <c r="AA104" i="24"/>
  <c r="X104" i="24"/>
  <c r="W104" i="24"/>
  <c r="V104" i="24"/>
  <c r="T104" i="24"/>
  <c r="R104" i="24"/>
  <c r="Q104" i="24"/>
  <c r="P104" i="24"/>
  <c r="I104" i="24"/>
  <c r="H104" i="24"/>
  <c r="F104" i="24"/>
  <c r="E104" i="24"/>
  <c r="D104" i="24"/>
  <c r="C104" i="24"/>
  <c r="B104" i="24"/>
  <c r="AC103" i="24"/>
  <c r="AA103" i="24"/>
  <c r="Z103" i="24"/>
  <c r="Y103" i="24"/>
  <c r="X103" i="24"/>
  <c r="V103" i="24"/>
  <c r="U103" i="24"/>
  <c r="T103" i="24"/>
  <c r="S103" i="24"/>
  <c r="R103" i="24"/>
  <c r="Q103" i="24"/>
  <c r="P103" i="24"/>
  <c r="N103" i="24"/>
  <c r="M103" i="24"/>
  <c r="L103" i="24"/>
  <c r="J103" i="24"/>
  <c r="I103" i="24"/>
  <c r="H103" i="24"/>
  <c r="G103" i="24"/>
  <c r="F103" i="24"/>
  <c r="E103" i="24"/>
  <c r="D103" i="24"/>
  <c r="C103" i="24"/>
  <c r="B103" i="24"/>
  <c r="AB102" i="24"/>
  <c r="Z102" i="24"/>
  <c r="Y102" i="24"/>
  <c r="X102" i="24"/>
  <c r="W102" i="24"/>
  <c r="V102" i="24"/>
  <c r="U102" i="24"/>
  <c r="T102" i="24"/>
  <c r="S102" i="24"/>
  <c r="R102" i="24"/>
  <c r="N102" i="24"/>
  <c r="M102" i="24"/>
  <c r="L102" i="24"/>
  <c r="K102" i="24"/>
  <c r="J102" i="24"/>
  <c r="I102" i="24"/>
  <c r="H102" i="24"/>
  <c r="G102" i="24"/>
  <c r="F102" i="24"/>
  <c r="E102" i="24"/>
  <c r="B102" i="24"/>
  <c r="AC101" i="24"/>
  <c r="AB101" i="24"/>
  <c r="V101" i="24"/>
  <c r="U101" i="24"/>
  <c r="N101" i="24"/>
  <c r="M101" i="24"/>
  <c r="L101" i="24"/>
  <c r="K101" i="24"/>
  <c r="F101" i="24"/>
  <c r="B101" i="24"/>
  <c r="AC100" i="24"/>
  <c r="AB100" i="24"/>
  <c r="AA100" i="24"/>
  <c r="X100" i="24"/>
  <c r="Q100" i="24"/>
  <c r="P100" i="24"/>
  <c r="O100" i="24"/>
  <c r="N100" i="24"/>
  <c r="L100" i="24"/>
  <c r="K100" i="24"/>
  <c r="J100" i="24"/>
  <c r="I100" i="24"/>
  <c r="B100" i="24"/>
  <c r="M100" i="24" s="1"/>
  <c r="AC99" i="24"/>
  <c r="AB99" i="24"/>
  <c r="AA99" i="24"/>
  <c r="Z99" i="24"/>
  <c r="Y99" i="24"/>
  <c r="U99" i="24"/>
  <c r="Q99" i="24"/>
  <c r="P99" i="24"/>
  <c r="O99" i="24"/>
  <c r="M99" i="24"/>
  <c r="J99" i="24"/>
  <c r="I99" i="24"/>
  <c r="H99" i="24"/>
  <c r="G99" i="24"/>
  <c r="C99" i="24"/>
  <c r="B99" i="24"/>
  <c r="AC98" i="24"/>
  <c r="Z98" i="24"/>
  <c r="Y98" i="24"/>
  <c r="X98" i="24"/>
  <c r="W98" i="24"/>
  <c r="V98" i="24"/>
  <c r="U98" i="24"/>
  <c r="T98" i="24"/>
  <c r="S98" i="24"/>
  <c r="Q98" i="24"/>
  <c r="N98" i="24"/>
  <c r="M98" i="24"/>
  <c r="L98" i="24"/>
  <c r="K98" i="24"/>
  <c r="J98" i="24"/>
  <c r="I98" i="24"/>
  <c r="H98" i="24"/>
  <c r="G98" i="24"/>
  <c r="F98" i="24"/>
  <c r="E98" i="24"/>
  <c r="B98" i="24"/>
  <c r="AC97" i="24"/>
  <c r="AB97" i="24"/>
  <c r="AA97" i="24"/>
  <c r="Z97" i="24"/>
  <c r="Y97" i="24"/>
  <c r="X97" i="24"/>
  <c r="W97" i="24"/>
  <c r="V97" i="24"/>
  <c r="U97" i="24"/>
  <c r="R97" i="24"/>
  <c r="Q97" i="24"/>
  <c r="O97" i="24"/>
  <c r="N97" i="24"/>
  <c r="M97" i="24"/>
  <c r="L97" i="24"/>
  <c r="K97" i="24"/>
  <c r="J97" i="24"/>
  <c r="I97" i="24"/>
  <c r="F97" i="24"/>
  <c r="E97" i="24"/>
  <c r="D97" i="24"/>
  <c r="C97" i="24"/>
  <c r="B97" i="24"/>
  <c r="AC96" i="24"/>
  <c r="AB96" i="24"/>
  <c r="AA96" i="24"/>
  <c r="Z96" i="24"/>
  <c r="Y96" i="24"/>
  <c r="V96" i="24"/>
  <c r="U96" i="24"/>
  <c r="T96" i="24"/>
  <c r="S96" i="24"/>
  <c r="R96" i="24"/>
  <c r="Q96" i="24"/>
  <c r="O96" i="24"/>
  <c r="N96" i="24"/>
  <c r="M96" i="24"/>
  <c r="J96" i="24"/>
  <c r="I96" i="24"/>
  <c r="H96" i="24"/>
  <c r="G96" i="24"/>
  <c r="F96" i="24"/>
  <c r="E96" i="24"/>
  <c r="D96" i="24"/>
  <c r="C96" i="24"/>
  <c r="B96" i="24"/>
  <c r="AC95" i="24"/>
  <c r="Z95" i="24"/>
  <c r="Y95" i="24"/>
  <c r="X95" i="24"/>
  <c r="W95" i="24"/>
  <c r="V95" i="24"/>
  <c r="U95" i="24"/>
  <c r="T95" i="24"/>
  <c r="S95" i="24"/>
  <c r="M95" i="24"/>
  <c r="L95" i="24"/>
  <c r="K95" i="24"/>
  <c r="J95" i="24"/>
  <c r="I95" i="24"/>
  <c r="H95" i="24"/>
  <c r="G95" i="24"/>
  <c r="F95" i="24"/>
  <c r="E95" i="24"/>
  <c r="B95" i="24"/>
  <c r="Q95" i="24" s="1"/>
  <c r="AA94" i="24"/>
  <c r="Z94" i="24"/>
  <c r="Y94" i="24"/>
  <c r="X94" i="24"/>
  <c r="W94" i="24"/>
  <c r="V94" i="24"/>
  <c r="U94" i="24"/>
  <c r="R94" i="24"/>
  <c r="Q94" i="24"/>
  <c r="M94" i="24"/>
  <c r="L94" i="24"/>
  <c r="K94" i="24"/>
  <c r="J94" i="24"/>
  <c r="I94" i="24"/>
  <c r="F94" i="24"/>
  <c r="E94" i="24"/>
  <c r="D94" i="24"/>
  <c r="C94" i="24"/>
  <c r="B94" i="24"/>
  <c r="AC94" i="24" s="1"/>
  <c r="AA93" i="24"/>
  <c r="Z93" i="24"/>
  <c r="Y93" i="24"/>
  <c r="V93" i="24"/>
  <c r="U93" i="24"/>
  <c r="T93" i="24"/>
  <c r="S93" i="24"/>
  <c r="R93" i="24"/>
  <c r="Q93" i="24"/>
  <c r="M93" i="24"/>
  <c r="J93" i="24"/>
  <c r="I93" i="24"/>
  <c r="H93" i="24"/>
  <c r="G93" i="24"/>
  <c r="F93" i="24"/>
  <c r="E93" i="24"/>
  <c r="D93" i="24"/>
  <c r="C93" i="24"/>
  <c r="B93" i="24"/>
  <c r="AC93" i="24" s="1"/>
  <c r="T92" i="24"/>
  <c r="S92" i="24"/>
  <c r="K92" i="24"/>
  <c r="J92" i="24"/>
  <c r="F92" i="24"/>
  <c r="E92" i="24"/>
  <c r="B92" i="24"/>
  <c r="O91" i="24"/>
  <c r="B91" i="24"/>
  <c r="U90" i="24"/>
  <c r="Q90" i="24"/>
  <c r="I90" i="24"/>
  <c r="B90" i="24"/>
  <c r="AC89" i="24"/>
  <c r="W89" i="24"/>
  <c r="T89" i="24"/>
  <c r="S89" i="24"/>
  <c r="M89" i="24"/>
  <c r="I89" i="24"/>
  <c r="H89" i="24"/>
  <c r="G89" i="24"/>
  <c r="F89" i="24"/>
  <c r="B89" i="24"/>
  <c r="AB88" i="24"/>
  <c r="F88" i="24"/>
  <c r="B88" i="24"/>
  <c r="AC87" i="24"/>
  <c r="AB87" i="24"/>
  <c r="AA87" i="24"/>
  <c r="U87" i="24"/>
  <c r="R87" i="24"/>
  <c r="Q87" i="24"/>
  <c r="M87" i="24"/>
  <c r="G87" i="24"/>
  <c r="F87" i="24"/>
  <c r="E87" i="24"/>
  <c r="D87" i="24"/>
  <c r="B87" i="24"/>
  <c r="AC86" i="24"/>
  <c r="Z86" i="24"/>
  <c r="Y86" i="24"/>
  <c r="T86" i="24"/>
  <c r="S86" i="24"/>
  <c r="R86" i="24"/>
  <c r="Q86" i="24"/>
  <c r="N86" i="24"/>
  <c r="M86" i="24"/>
  <c r="L86" i="24"/>
  <c r="K86" i="24"/>
  <c r="G86" i="24"/>
  <c r="F86" i="24"/>
  <c r="E86" i="24"/>
  <c r="B86" i="24"/>
  <c r="Z85" i="24"/>
  <c r="B85" i="24"/>
  <c r="AC84" i="24"/>
  <c r="AB84" i="24"/>
  <c r="AA84" i="24"/>
  <c r="Z84" i="24"/>
  <c r="Y84" i="24"/>
  <c r="R84" i="24"/>
  <c r="Q84" i="24"/>
  <c r="P84" i="24"/>
  <c r="O84" i="24"/>
  <c r="N84" i="24"/>
  <c r="M84" i="24"/>
  <c r="J84" i="24"/>
  <c r="I84" i="24"/>
  <c r="E84" i="24"/>
  <c r="D84" i="24"/>
  <c r="C84" i="24"/>
  <c r="B84" i="24"/>
  <c r="B83" i="24"/>
  <c r="AC82" i="24"/>
  <c r="O82" i="24"/>
  <c r="N82" i="24"/>
  <c r="M82" i="24"/>
  <c r="L82" i="24"/>
  <c r="K82" i="24"/>
  <c r="B82" i="24"/>
  <c r="Z81" i="24"/>
  <c r="Y81" i="24"/>
  <c r="N81" i="24"/>
  <c r="M81" i="24"/>
  <c r="G81" i="24"/>
  <c r="C81" i="24"/>
  <c r="B81" i="24"/>
  <c r="AC80" i="24"/>
  <c r="Z80" i="24"/>
  <c r="Y80" i="24"/>
  <c r="X80" i="24"/>
  <c r="W80" i="24"/>
  <c r="V80" i="24"/>
  <c r="U80" i="24"/>
  <c r="T80" i="24"/>
  <c r="S80" i="24"/>
  <c r="Q80" i="24"/>
  <c r="N80" i="24"/>
  <c r="M80" i="24"/>
  <c r="L80" i="24"/>
  <c r="K80" i="24"/>
  <c r="J80" i="24"/>
  <c r="I80" i="24"/>
  <c r="H80" i="24"/>
  <c r="G80" i="24"/>
  <c r="F80" i="24"/>
  <c r="E80" i="24"/>
  <c r="B80" i="24"/>
  <c r="AC79" i="24"/>
  <c r="AB79" i="24"/>
  <c r="AA79" i="24"/>
  <c r="Z79" i="24"/>
  <c r="Y79" i="24"/>
  <c r="X79" i="24"/>
  <c r="W79" i="24"/>
  <c r="V79" i="24"/>
  <c r="U79" i="24"/>
  <c r="R79" i="24"/>
  <c r="Q79" i="24"/>
  <c r="O79" i="24"/>
  <c r="N79" i="24"/>
  <c r="M79" i="24"/>
  <c r="L79" i="24"/>
  <c r="K79" i="24"/>
  <c r="J79" i="24"/>
  <c r="I79" i="24"/>
  <c r="F79" i="24"/>
  <c r="E79" i="24"/>
  <c r="D79" i="24"/>
  <c r="C79" i="24"/>
  <c r="B79" i="24"/>
  <c r="AC78" i="24"/>
  <c r="AB78" i="24"/>
  <c r="AA78" i="24"/>
  <c r="Z78" i="24"/>
  <c r="Y78" i="24"/>
  <c r="V78" i="24"/>
  <c r="U78" i="24"/>
  <c r="T78" i="24"/>
  <c r="S78" i="24"/>
  <c r="R78" i="24"/>
  <c r="Q78" i="24"/>
  <c r="O78" i="24"/>
  <c r="N78" i="24"/>
  <c r="M78" i="24"/>
  <c r="J78" i="24"/>
  <c r="I78" i="24"/>
  <c r="H78" i="24"/>
  <c r="G78" i="24"/>
  <c r="F78" i="24"/>
  <c r="E78" i="24"/>
  <c r="D78" i="24"/>
  <c r="C78" i="24"/>
  <c r="B78" i="24"/>
  <c r="AC77" i="24"/>
  <c r="Z77" i="24"/>
  <c r="Y77" i="24"/>
  <c r="X77" i="24"/>
  <c r="W77" i="24"/>
  <c r="V77" i="24"/>
  <c r="U77" i="24"/>
  <c r="T77" i="24"/>
  <c r="S77" i="24"/>
  <c r="M77" i="24"/>
  <c r="L77" i="24"/>
  <c r="K77" i="24"/>
  <c r="J77" i="24"/>
  <c r="I77" i="24"/>
  <c r="H77" i="24"/>
  <c r="G77" i="24"/>
  <c r="F77" i="24"/>
  <c r="E77" i="24"/>
  <c r="B77" i="24"/>
  <c r="Q77" i="24" s="1"/>
  <c r="AA76" i="24"/>
  <c r="Z76" i="24"/>
  <c r="Y76" i="24"/>
  <c r="X76" i="24"/>
  <c r="W76" i="24"/>
  <c r="V76" i="24"/>
  <c r="U76" i="24"/>
  <c r="R76" i="24"/>
  <c r="Q76" i="24"/>
  <c r="M76" i="24"/>
  <c r="L76" i="24"/>
  <c r="K76" i="24"/>
  <c r="J76" i="24"/>
  <c r="I76" i="24"/>
  <c r="F76" i="24"/>
  <c r="E76" i="24"/>
  <c r="D76" i="24"/>
  <c r="C76" i="24"/>
  <c r="B76" i="24"/>
  <c r="AC76" i="24" s="1"/>
  <c r="AA75" i="24"/>
  <c r="Z75" i="24"/>
  <c r="Y75" i="24"/>
  <c r="V75" i="24"/>
  <c r="U75" i="24"/>
  <c r="T75" i="24"/>
  <c r="S75" i="24"/>
  <c r="R75" i="24"/>
  <c r="Q75" i="24"/>
  <c r="M75" i="24"/>
  <c r="J75" i="24"/>
  <c r="I75" i="24"/>
  <c r="H75" i="24"/>
  <c r="G75" i="24"/>
  <c r="F75" i="24"/>
  <c r="E75" i="24"/>
  <c r="D75" i="24"/>
  <c r="C75" i="24"/>
  <c r="B75" i="24"/>
  <c r="AC75" i="24" s="1"/>
  <c r="Y74" i="24"/>
  <c r="X74" i="24"/>
  <c r="W74" i="24"/>
  <c r="T74" i="24"/>
  <c r="S74" i="24"/>
  <c r="R74" i="24"/>
  <c r="Q74" i="24"/>
  <c r="K74" i="24"/>
  <c r="J74" i="24"/>
  <c r="I74" i="24"/>
  <c r="H74" i="24"/>
  <c r="G74" i="24"/>
  <c r="F74" i="24"/>
  <c r="B74" i="24"/>
  <c r="AC73" i="24"/>
  <c r="Y73" i="24"/>
  <c r="X73" i="24"/>
  <c r="W73" i="24"/>
  <c r="V73" i="24"/>
  <c r="R73" i="24"/>
  <c r="Q73" i="24"/>
  <c r="P73" i="24"/>
  <c r="O73" i="24"/>
  <c r="I73" i="24"/>
  <c r="F73" i="24"/>
  <c r="E73" i="24"/>
  <c r="D73" i="24"/>
  <c r="C73" i="24"/>
  <c r="B73" i="24"/>
  <c r="AC72" i="24"/>
  <c r="Y72" i="24"/>
  <c r="V72" i="24"/>
  <c r="U72" i="24"/>
  <c r="R72" i="24"/>
  <c r="Q72" i="24"/>
  <c r="P72" i="24"/>
  <c r="O72" i="24"/>
  <c r="I72" i="24"/>
  <c r="H72" i="24"/>
  <c r="G72" i="24"/>
  <c r="F72" i="24"/>
  <c r="E72" i="24"/>
  <c r="D72" i="24"/>
  <c r="B72" i="24"/>
  <c r="AC71" i="24"/>
  <c r="V71" i="24"/>
  <c r="E71" i="24"/>
  <c r="B71" i="24"/>
  <c r="AC70" i="24"/>
  <c r="AA70" i="24"/>
  <c r="W70" i="24"/>
  <c r="V70" i="24"/>
  <c r="P70" i="24"/>
  <c r="O70" i="24"/>
  <c r="N70" i="24"/>
  <c r="M70" i="24"/>
  <c r="I70" i="24"/>
  <c r="E70" i="24"/>
  <c r="D70" i="24"/>
  <c r="C70" i="24"/>
  <c r="B70" i="24"/>
  <c r="R70" i="24" s="1"/>
  <c r="AA69" i="24"/>
  <c r="U69" i="24"/>
  <c r="T69" i="24"/>
  <c r="S69" i="24"/>
  <c r="E69" i="24"/>
  <c r="D69" i="24"/>
  <c r="C69" i="24"/>
  <c r="B69" i="24"/>
  <c r="U68" i="24"/>
  <c r="B68" i="24"/>
  <c r="AC67" i="24"/>
  <c r="Y67" i="24"/>
  <c r="U67" i="24"/>
  <c r="R67" i="24"/>
  <c r="Q67" i="24"/>
  <c r="P67" i="24"/>
  <c r="M67" i="24"/>
  <c r="L67" i="24"/>
  <c r="C67" i="24"/>
  <c r="B67" i="24"/>
  <c r="AB66" i="24"/>
  <c r="AA66" i="24"/>
  <c r="S66" i="24"/>
  <c r="R66" i="24"/>
  <c r="N66" i="24"/>
  <c r="M66" i="24"/>
  <c r="J66" i="24"/>
  <c r="I66" i="24"/>
  <c r="E66" i="24"/>
  <c r="B66" i="24"/>
  <c r="AC66" i="24" s="1"/>
  <c r="AC65" i="24"/>
  <c r="Z65" i="24"/>
  <c r="W65" i="24"/>
  <c r="S65" i="24"/>
  <c r="R65" i="24"/>
  <c r="Q65" i="24"/>
  <c r="N65" i="24"/>
  <c r="M65" i="24"/>
  <c r="L65" i="24"/>
  <c r="K65" i="24"/>
  <c r="J65" i="24"/>
  <c r="I65" i="24"/>
  <c r="B65" i="24"/>
  <c r="AC64" i="24"/>
  <c r="AB64" i="24"/>
  <c r="AA64" i="24"/>
  <c r="Z64" i="24"/>
  <c r="Y64" i="24"/>
  <c r="W64" i="24"/>
  <c r="Q64" i="24"/>
  <c r="P64" i="24"/>
  <c r="O64" i="24"/>
  <c r="L64" i="24"/>
  <c r="K64" i="24"/>
  <c r="J64" i="24"/>
  <c r="I64" i="24"/>
  <c r="C64" i="24"/>
  <c r="B64" i="24"/>
  <c r="AC63" i="24"/>
  <c r="AB63" i="24"/>
  <c r="AA63" i="24"/>
  <c r="Z63" i="24"/>
  <c r="U63" i="24"/>
  <c r="Q63" i="24"/>
  <c r="P63" i="24"/>
  <c r="O63" i="24"/>
  <c r="N63" i="24"/>
  <c r="M63" i="24"/>
  <c r="J63" i="24"/>
  <c r="I63" i="24"/>
  <c r="H63" i="24"/>
  <c r="G63" i="24"/>
  <c r="B63" i="24"/>
  <c r="AC62" i="24"/>
  <c r="Z62" i="24"/>
  <c r="Y62" i="24"/>
  <c r="X62" i="24"/>
  <c r="W62" i="24"/>
  <c r="V62" i="24"/>
  <c r="U62" i="24"/>
  <c r="T62" i="24"/>
  <c r="S62" i="24"/>
  <c r="Q62" i="24"/>
  <c r="N62" i="24"/>
  <c r="M62" i="24"/>
  <c r="L62" i="24"/>
  <c r="K62" i="24"/>
  <c r="J62" i="24"/>
  <c r="I62" i="24"/>
  <c r="H62" i="24"/>
  <c r="G62" i="24"/>
  <c r="F62" i="24"/>
  <c r="E62" i="24"/>
  <c r="B62" i="24"/>
  <c r="AC61" i="24"/>
  <c r="AB61" i="24"/>
  <c r="AA61" i="24"/>
  <c r="Z61" i="24"/>
  <c r="Y61" i="24"/>
  <c r="X61" i="24"/>
  <c r="W61" i="24"/>
  <c r="V61" i="24"/>
  <c r="U61" i="24"/>
  <c r="R61" i="24"/>
  <c r="Q61" i="24"/>
  <c r="O61" i="24"/>
  <c r="N61" i="24"/>
  <c r="M61" i="24"/>
  <c r="L61" i="24"/>
  <c r="K61" i="24"/>
  <c r="J61" i="24"/>
  <c r="I61" i="24"/>
  <c r="F61" i="24"/>
  <c r="E61" i="24"/>
  <c r="D61" i="24"/>
  <c r="C61" i="24"/>
  <c r="B61" i="24"/>
  <c r="AC60" i="24"/>
  <c r="AB60" i="24"/>
  <c r="AA60" i="24"/>
  <c r="Z60" i="24"/>
  <c r="Y60" i="24"/>
  <c r="V60" i="24"/>
  <c r="U60" i="24"/>
  <c r="T60" i="24"/>
  <c r="S60" i="24"/>
  <c r="R60" i="24"/>
  <c r="Q60" i="24"/>
  <c r="O60" i="24"/>
  <c r="N60" i="24"/>
  <c r="M60" i="24"/>
  <c r="J60" i="24"/>
  <c r="I60" i="24"/>
  <c r="H60" i="24"/>
  <c r="G60" i="24"/>
  <c r="F60" i="24"/>
  <c r="E60" i="24"/>
  <c r="D60" i="24"/>
  <c r="C60" i="24"/>
  <c r="B60" i="24"/>
  <c r="AC59" i="24"/>
  <c r="Z59" i="24"/>
  <c r="Y59" i="24"/>
  <c r="X59" i="24"/>
  <c r="W59" i="24"/>
  <c r="V59" i="24"/>
  <c r="U59" i="24"/>
  <c r="T59" i="24"/>
  <c r="S59" i="24"/>
  <c r="M59" i="24"/>
  <c r="L59" i="24"/>
  <c r="K59" i="24"/>
  <c r="J59" i="24"/>
  <c r="I59" i="24"/>
  <c r="H59" i="24"/>
  <c r="G59" i="24"/>
  <c r="F59" i="24"/>
  <c r="E59" i="24"/>
  <c r="B59" i="24"/>
  <c r="Q59" i="24" s="1"/>
  <c r="AA58" i="24"/>
  <c r="Z58" i="24"/>
  <c r="Y58" i="24"/>
  <c r="X58" i="24"/>
  <c r="W58" i="24"/>
  <c r="V58" i="24"/>
  <c r="U58" i="24"/>
  <c r="R58" i="24"/>
  <c r="Q58" i="24"/>
  <c r="M58" i="24"/>
  <c r="L58" i="24"/>
  <c r="K58" i="24"/>
  <c r="J58" i="24"/>
  <c r="I58" i="24"/>
  <c r="F58" i="24"/>
  <c r="E58" i="24"/>
  <c r="D58" i="24"/>
  <c r="C58" i="24"/>
  <c r="B58" i="24"/>
  <c r="AC58" i="24" s="1"/>
  <c r="AA57" i="24"/>
  <c r="Z57" i="24"/>
  <c r="Y57" i="24"/>
  <c r="V57" i="24"/>
  <c r="U57" i="24"/>
  <c r="T57" i="24"/>
  <c r="S57" i="24"/>
  <c r="R57" i="24"/>
  <c r="Q57" i="24"/>
  <c r="M57" i="24"/>
  <c r="J57" i="24"/>
  <c r="I57" i="24"/>
  <c r="H57" i="24"/>
  <c r="G57" i="24"/>
  <c r="F57" i="24"/>
  <c r="E57" i="24"/>
  <c r="D57" i="24"/>
  <c r="C57" i="24"/>
  <c r="B57" i="24"/>
  <c r="AC57" i="24" s="1"/>
  <c r="Q56" i="24"/>
  <c r="H56" i="24"/>
  <c r="B56" i="24"/>
  <c r="W55" i="24"/>
  <c r="V55" i="24"/>
  <c r="C55" i="24"/>
  <c r="B55" i="24"/>
  <c r="AC54" i="24"/>
  <c r="Y54" i="24"/>
  <c r="T54" i="24"/>
  <c r="S54" i="24"/>
  <c r="G54" i="24"/>
  <c r="F54" i="24"/>
  <c r="C54" i="24"/>
  <c r="B54" i="24"/>
  <c r="U53" i="24"/>
  <c r="T53" i="24"/>
  <c r="S53" i="24"/>
  <c r="R53" i="24"/>
  <c r="Q53" i="24"/>
  <c r="I53" i="24"/>
  <c r="H53" i="24"/>
  <c r="B53" i="24"/>
  <c r="AC52" i="24"/>
  <c r="AB52" i="24"/>
  <c r="AA52" i="24"/>
  <c r="W52" i="24"/>
  <c r="R52" i="24"/>
  <c r="Q52" i="24"/>
  <c r="M52" i="24"/>
  <c r="I52" i="24"/>
  <c r="F52" i="24"/>
  <c r="E52" i="24"/>
  <c r="D52" i="24"/>
  <c r="B52" i="24"/>
  <c r="AC51" i="24"/>
  <c r="AB51" i="24"/>
  <c r="S51" i="24"/>
  <c r="R51" i="24"/>
  <c r="Q51" i="24"/>
  <c r="P51" i="24"/>
  <c r="O51" i="24"/>
  <c r="G51" i="24"/>
  <c r="F51" i="24"/>
  <c r="B51" i="24"/>
  <c r="B50" i="24"/>
  <c r="AC49" i="24"/>
  <c r="AB49" i="24"/>
  <c r="AA49" i="24"/>
  <c r="Z49" i="24"/>
  <c r="Y49" i="24"/>
  <c r="R49" i="24"/>
  <c r="Q49" i="24"/>
  <c r="P49" i="24"/>
  <c r="O49" i="24"/>
  <c r="N49" i="24"/>
  <c r="M49" i="24"/>
  <c r="L49" i="24"/>
  <c r="K49" i="24"/>
  <c r="E49" i="24"/>
  <c r="D49" i="24"/>
  <c r="C49" i="24"/>
  <c r="B49" i="24"/>
  <c r="AB48" i="24"/>
  <c r="Z48" i="24"/>
  <c r="O48" i="24"/>
  <c r="B48" i="24"/>
  <c r="Y47" i="24"/>
  <c r="X47" i="24"/>
  <c r="Q47" i="24"/>
  <c r="N47" i="24"/>
  <c r="M47" i="24"/>
  <c r="L47" i="24"/>
  <c r="K47" i="24"/>
  <c r="E47" i="24"/>
  <c r="B47" i="24"/>
  <c r="B46" i="24"/>
  <c r="C45" i="24"/>
  <c r="B45" i="24"/>
  <c r="G44" i="24"/>
  <c r="B44" i="24"/>
  <c r="D43" i="24"/>
  <c r="C43" i="24"/>
  <c r="B43" i="24"/>
  <c r="G42" i="24"/>
  <c r="D42" i="24"/>
  <c r="C42" i="24"/>
  <c r="B42" i="24"/>
  <c r="G41" i="24"/>
  <c r="B41" i="24"/>
  <c r="AC40" i="24"/>
  <c r="AB40" i="24"/>
  <c r="AA40" i="24"/>
  <c r="Z40" i="24"/>
  <c r="Y40" i="24"/>
  <c r="X40" i="24"/>
  <c r="W40" i="24"/>
  <c r="V40" i="24"/>
  <c r="U40" i="24"/>
  <c r="T40" i="24"/>
  <c r="S40" i="24"/>
  <c r="R40" i="24"/>
  <c r="Q40" i="24"/>
  <c r="P40" i="24"/>
  <c r="O40" i="24"/>
  <c r="N40" i="24"/>
  <c r="M40" i="24"/>
  <c r="L40" i="24"/>
  <c r="K40" i="24"/>
  <c r="J40" i="24"/>
  <c r="F35" i="24"/>
  <c r="O35" i="24" s="1"/>
  <c r="N34" i="24"/>
  <c r="F34" i="24"/>
  <c r="E34" i="24"/>
  <c r="D34" i="24"/>
  <c r="C34" i="24"/>
  <c r="N33" i="24"/>
  <c r="F33" i="24"/>
  <c r="E33" i="24"/>
  <c r="D33" i="24"/>
  <c r="C33" i="24"/>
  <c r="N32" i="24"/>
  <c r="F32" i="24"/>
  <c r="E32" i="24"/>
  <c r="D32" i="24"/>
  <c r="C32" i="24"/>
  <c r="N31" i="24"/>
  <c r="F31" i="24"/>
  <c r="E31" i="24"/>
  <c r="D31" i="24"/>
  <c r="C31" i="24"/>
  <c r="N30" i="24"/>
  <c r="F30" i="24"/>
  <c r="E30" i="24"/>
  <c r="D30" i="24"/>
  <c r="C30" i="24"/>
  <c r="N29" i="24"/>
  <c r="G29" i="24"/>
  <c r="F29" i="24"/>
  <c r="E29" i="24"/>
  <c r="D29" i="24"/>
  <c r="C29" i="24"/>
  <c r="N28" i="24"/>
  <c r="F28" i="24"/>
  <c r="E28" i="24"/>
  <c r="D28" i="24"/>
  <c r="C28" i="24"/>
  <c r="N27" i="24"/>
  <c r="G27" i="24"/>
  <c r="F27" i="24"/>
  <c r="E27" i="24"/>
  <c r="D27" i="24"/>
  <c r="C27" i="24"/>
  <c r="N26" i="24"/>
  <c r="F26" i="24"/>
  <c r="E26" i="24"/>
  <c r="D26" i="24"/>
  <c r="C26" i="24"/>
  <c r="N25" i="24"/>
  <c r="N35" i="24" s="1"/>
  <c r="G25" i="24"/>
  <c r="F25" i="24"/>
  <c r="E25" i="24"/>
  <c r="D25" i="24"/>
  <c r="C25" i="24"/>
  <c r="D9" i="24"/>
  <c r="C43" i="22"/>
  <c r="D43" i="22" s="1"/>
  <c r="D42" i="22"/>
  <c r="C42" i="22"/>
  <c r="C41" i="22"/>
  <c r="D41" i="22" s="1"/>
  <c r="C40" i="22"/>
  <c r="D40" i="22" s="1"/>
  <c r="C39" i="22"/>
  <c r="D39" i="22" s="1"/>
  <c r="C38" i="22"/>
  <c r="C36" i="22"/>
  <c r="D36" i="22" s="1"/>
  <c r="D35" i="22"/>
  <c r="C35" i="22"/>
  <c r="C34" i="22"/>
  <c r="D33" i="22"/>
  <c r="C33" i="22"/>
  <c r="C32" i="22"/>
  <c r="D32" i="22" s="1"/>
  <c r="C31" i="22"/>
  <c r="D31" i="22" s="1"/>
  <c r="D30" i="22"/>
  <c r="C30" i="22"/>
  <c r="C26" i="22"/>
  <c r="C19" i="22"/>
  <c r="C18" i="22"/>
  <c r="C9" i="22"/>
  <c r="C8" i="22"/>
  <c r="E42" i="21"/>
  <c r="E58" i="21" s="1"/>
  <c r="C42" i="21"/>
  <c r="C58" i="21" s="1"/>
  <c r="I41" i="21"/>
  <c r="I57" i="21" s="1"/>
  <c r="H41" i="21"/>
  <c r="H57" i="21" s="1"/>
  <c r="G39" i="21"/>
  <c r="G55" i="21" s="1"/>
  <c r="E35" i="21"/>
  <c r="E51" i="21" s="1"/>
  <c r="D35" i="21"/>
  <c r="D51" i="21" s="1"/>
  <c r="C13" i="21"/>
  <c r="H104" i="8" s="1"/>
  <c r="C12" i="21"/>
  <c r="C11" i="21"/>
  <c r="G54" i="14"/>
  <c r="G53" i="14"/>
  <c r="G52" i="14"/>
  <c r="G51" i="14"/>
  <c r="G50" i="14"/>
  <c r="G49" i="14"/>
  <c r="G48" i="14"/>
  <c r="G47" i="14"/>
  <c r="G46" i="14"/>
  <c r="G45" i="14"/>
  <c r="G44" i="14"/>
  <c r="G43" i="14"/>
  <c r="G42" i="14"/>
  <c r="G41" i="14"/>
  <c r="G40" i="14"/>
  <c r="G39" i="14"/>
  <c r="G38" i="14"/>
  <c r="G37" i="14"/>
  <c r="G36" i="14"/>
  <c r="G35" i="14"/>
  <c r="G34" i="14"/>
  <c r="G33" i="14"/>
  <c r="G32" i="14"/>
  <c r="G31" i="14"/>
  <c r="G30" i="14"/>
  <c r="D64" i="8" s="1"/>
  <c r="G29" i="14"/>
  <c r="G28" i="14"/>
  <c r="G27" i="14"/>
  <c r="G26" i="14"/>
  <c r="G25" i="14"/>
  <c r="G24" i="14"/>
  <c r="G23" i="14"/>
  <c r="G22" i="14"/>
  <c r="G64" i="8" s="1"/>
  <c r="G21" i="14"/>
  <c r="G20" i="14"/>
  <c r="G19" i="14"/>
  <c r="G18" i="14"/>
  <c r="G17" i="14"/>
  <c r="G16" i="14"/>
  <c r="G15" i="14"/>
  <c r="G14" i="14"/>
  <c r="C64" i="8" s="1"/>
  <c r="G13" i="14"/>
  <c r="G12" i="14"/>
  <c r="G11" i="14"/>
  <c r="G10" i="14"/>
  <c r="G9" i="14"/>
  <c r="G8" i="14"/>
  <c r="G7" i="14"/>
  <c r="G6" i="14"/>
  <c r="G4" i="14"/>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D58" i="8" s="1"/>
  <c r="D86" i="8" s="1"/>
  <c r="D88" i="8" s="1"/>
  <c r="G8" i="10"/>
  <c r="G7" i="10"/>
  <c r="G6" i="10"/>
  <c r="G5" i="10"/>
  <c r="H112" i="8"/>
  <c r="G112" i="8"/>
  <c r="F112" i="8"/>
  <c r="E112" i="8"/>
  <c r="D112" i="8"/>
  <c r="C112" i="8"/>
  <c r="H111" i="8"/>
  <c r="G111" i="8"/>
  <c r="F111" i="8"/>
  <c r="E111" i="8"/>
  <c r="D111" i="8"/>
  <c r="C111" i="8"/>
  <c r="H99" i="8"/>
  <c r="G99" i="8"/>
  <c r="F99" i="8"/>
  <c r="E99" i="8"/>
  <c r="D99" i="8"/>
  <c r="C99" i="8"/>
  <c r="H93" i="8"/>
  <c r="G93" i="8"/>
  <c r="F93" i="8"/>
  <c r="E93" i="8"/>
  <c r="D93" i="8"/>
  <c r="C93" i="8"/>
  <c r="H92" i="8"/>
  <c r="H94" i="8" s="1"/>
  <c r="G92" i="8"/>
  <c r="G94" i="8" s="1"/>
  <c r="F92" i="8"/>
  <c r="E92" i="8"/>
  <c r="D92" i="8"/>
  <c r="C92" i="8"/>
  <c r="H87" i="8"/>
  <c r="G87" i="8"/>
  <c r="F87" i="8"/>
  <c r="F86"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G75" i="8"/>
  <c r="F75" i="8"/>
  <c r="E75" i="8"/>
  <c r="D75" i="8"/>
  <c r="C75" i="8"/>
  <c r="H74" i="8"/>
  <c r="G74" i="8"/>
  <c r="F74" i="8"/>
  <c r="E74" i="8"/>
  <c r="D74" i="8"/>
  <c r="C74" i="8"/>
  <c r="H73" i="8"/>
  <c r="G73" i="8"/>
  <c r="F73" i="8"/>
  <c r="E73" i="8"/>
  <c r="D73" i="8"/>
  <c r="D87" i="8" s="1"/>
  <c r="C73" i="8"/>
  <c r="C87" i="8" s="1"/>
  <c r="H72" i="8"/>
  <c r="G72" i="8"/>
  <c r="F72" i="8"/>
  <c r="E72" i="8"/>
  <c r="D72" i="8"/>
  <c r="C72" i="8"/>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D65" i="8"/>
  <c r="C65" i="8"/>
  <c r="H64" i="8"/>
  <c r="F64" i="8"/>
  <c r="E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H86" i="8" s="1"/>
  <c r="G58" i="8"/>
  <c r="G86" i="8" s="1"/>
  <c r="F58" i="8"/>
  <c r="E58" i="8"/>
  <c r="C58" i="8"/>
  <c r="H57" i="8"/>
  <c r="G57" i="8"/>
  <c r="D57" i="8"/>
  <c r="C57" i="8"/>
  <c r="H56" i="8"/>
  <c r="G56" i="8"/>
  <c r="F56" i="8"/>
  <c r="F57" i="8" s="1"/>
  <c r="E56" i="8"/>
  <c r="E57" i="8" s="1"/>
  <c r="D56" i="8"/>
  <c r="C56" i="8"/>
  <c r="H55" i="8"/>
  <c r="G55" i="8"/>
  <c r="F55" i="8"/>
  <c r="E55" i="8"/>
  <c r="D55" i="8"/>
  <c r="C55" i="8"/>
  <c r="H52" i="8"/>
  <c r="G52" i="8"/>
  <c r="F52" i="8"/>
  <c r="E52" i="8"/>
  <c r="D52" i="8"/>
  <c r="C52" i="8"/>
  <c r="H50" i="8"/>
  <c r="G50" i="8"/>
  <c r="H49" i="8"/>
  <c r="G49" i="8"/>
  <c r="H47" i="8"/>
  <c r="H48" i="8" s="1"/>
  <c r="H51" i="8" s="1"/>
  <c r="G47" i="8"/>
  <c r="G48" i="8" s="1"/>
  <c r="G51" i="8" s="1"/>
  <c r="F47" i="8"/>
  <c r="E47" i="8"/>
  <c r="D47" i="8"/>
  <c r="C47" i="8"/>
  <c r="F157" i="6"/>
  <c r="E157" i="6"/>
  <c r="I157" i="6" s="1"/>
  <c r="C157" i="6"/>
  <c r="B157" i="6"/>
  <c r="D157" i="6" s="1"/>
  <c r="B156" i="6"/>
  <c r="F155" i="6"/>
  <c r="E155" i="6"/>
  <c r="I155" i="6" s="1"/>
  <c r="D155" i="6"/>
  <c r="C155" i="6"/>
  <c r="B155" i="6"/>
  <c r="F154" i="6"/>
  <c r="E154" i="6"/>
  <c r="I154" i="6" s="1"/>
  <c r="C154" i="6"/>
  <c r="B154" i="6"/>
  <c r="D154" i="6" s="1"/>
  <c r="I153" i="6"/>
  <c r="H153" i="6"/>
  <c r="G153" i="6"/>
  <c r="F153" i="6"/>
  <c r="D153" i="6"/>
  <c r="C153" i="6"/>
  <c r="B153" i="6"/>
  <c r="E153" i="6" s="1"/>
  <c r="I152" i="6"/>
  <c r="H152" i="6"/>
  <c r="F152" i="6"/>
  <c r="E152" i="6"/>
  <c r="D152" i="6"/>
  <c r="G152" i="6" s="1"/>
  <c r="B152" i="6"/>
  <c r="C152" i="6" s="1"/>
  <c r="B151" i="6"/>
  <c r="I150" i="6"/>
  <c r="H150" i="6"/>
  <c r="F150" i="6"/>
  <c r="D150" i="6"/>
  <c r="G150" i="6" s="1"/>
  <c r="C150" i="6"/>
  <c r="B150" i="6"/>
  <c r="E150" i="6" s="1"/>
  <c r="E149" i="6"/>
  <c r="I149" i="6" s="1"/>
  <c r="D149" i="6"/>
  <c r="C149" i="6"/>
  <c r="B149" i="6"/>
  <c r="F149" i="6" s="1"/>
  <c r="B148" i="6"/>
  <c r="F148" i="6" s="1"/>
  <c r="I147" i="6"/>
  <c r="F147" i="6"/>
  <c r="D147" i="6"/>
  <c r="C147" i="6"/>
  <c r="B147" i="6"/>
  <c r="E147" i="6" s="1"/>
  <c r="I146" i="6"/>
  <c r="E146" i="6"/>
  <c r="C146" i="6"/>
  <c r="B146" i="6"/>
  <c r="F145" i="6"/>
  <c r="E145" i="6"/>
  <c r="I145" i="6" s="1"/>
  <c r="D145" i="6"/>
  <c r="C145" i="6"/>
  <c r="B145" i="6"/>
  <c r="D144" i="6"/>
  <c r="C144" i="6"/>
  <c r="B144" i="6"/>
  <c r="C143" i="6"/>
  <c r="B143" i="6"/>
  <c r="H142" i="6"/>
  <c r="G142" i="6"/>
  <c r="F142" i="6"/>
  <c r="D142" i="6"/>
  <c r="C142" i="6"/>
  <c r="B142" i="6"/>
  <c r="E142" i="6" s="1"/>
  <c r="I142" i="6" s="1"/>
  <c r="B141" i="6"/>
  <c r="D140" i="6"/>
  <c r="C140" i="6"/>
  <c r="B140" i="6"/>
  <c r="C139" i="6"/>
  <c r="B139" i="6"/>
  <c r="C138" i="6"/>
  <c r="B138" i="6"/>
  <c r="D137" i="6"/>
  <c r="C137" i="6"/>
  <c r="B137" i="6"/>
  <c r="D136" i="6"/>
  <c r="C136" i="6"/>
  <c r="B136" i="6"/>
  <c r="I135" i="6"/>
  <c r="H135" i="6"/>
  <c r="G135" i="6"/>
  <c r="F135" i="6"/>
  <c r="D135" i="6"/>
  <c r="C135" i="6"/>
  <c r="B135" i="6"/>
  <c r="E135" i="6" s="1"/>
  <c r="B134" i="6"/>
  <c r="C125" i="6"/>
  <c r="B107" i="6"/>
  <c r="B106" i="6"/>
  <c r="B105" i="6"/>
  <c r="B104" i="6"/>
  <c r="B103" i="6"/>
  <c r="B102" i="6"/>
  <c r="B101" i="6"/>
  <c r="B100" i="6"/>
  <c r="B99" i="6"/>
  <c r="B98" i="6"/>
  <c r="B97" i="6"/>
  <c r="B96" i="6"/>
  <c r="D91" i="6"/>
  <c r="F91" i="6" s="1"/>
  <c r="C91" i="6"/>
  <c r="B91" i="6"/>
  <c r="E91" i="6" s="1"/>
  <c r="B90" i="6"/>
  <c r="D89" i="6"/>
  <c r="C89" i="6"/>
  <c r="B89" i="6"/>
  <c r="E89" i="6" s="1"/>
  <c r="F88" i="6"/>
  <c r="E88" i="6"/>
  <c r="D88" i="6"/>
  <c r="C88" i="6"/>
  <c r="B88" i="6"/>
  <c r="B87" i="6"/>
  <c r="E86" i="6"/>
  <c r="F86" i="6" s="1"/>
  <c r="D86" i="6"/>
  <c r="C86" i="6"/>
  <c r="B86" i="6"/>
  <c r="D85" i="6"/>
  <c r="C85" i="6"/>
  <c r="B85" i="6"/>
  <c r="E85" i="6" s="1"/>
  <c r="C84" i="6"/>
  <c r="B84" i="6"/>
  <c r="B83" i="6"/>
  <c r="E82" i="6"/>
  <c r="D82" i="6"/>
  <c r="C82" i="6"/>
  <c r="B82" i="6"/>
  <c r="E81" i="6"/>
  <c r="D81" i="6"/>
  <c r="C81" i="6"/>
  <c r="B81" i="6"/>
  <c r="D80" i="6"/>
  <c r="B80" i="6"/>
  <c r="C80" i="6" s="1"/>
  <c r="B79" i="6"/>
  <c r="C78" i="6"/>
  <c r="B78" i="6"/>
  <c r="E77" i="6"/>
  <c r="F77" i="6" s="1"/>
  <c r="D77" i="6"/>
  <c r="B77" i="6"/>
  <c r="C77" i="6" s="1"/>
  <c r="E76" i="6"/>
  <c r="F76" i="6" s="1"/>
  <c r="D76" i="6"/>
  <c r="C76" i="6"/>
  <c r="B76" i="6"/>
  <c r="E75" i="6"/>
  <c r="D75" i="6"/>
  <c r="B75" i="6"/>
  <c r="C75" i="6" s="1"/>
  <c r="E74" i="6"/>
  <c r="F74" i="6" s="1"/>
  <c r="D74" i="6"/>
  <c r="C74" i="6"/>
  <c r="B74" i="6"/>
  <c r="C73" i="6"/>
  <c r="B73" i="6"/>
  <c r="E72" i="6"/>
  <c r="F72" i="6" s="1"/>
  <c r="D72" i="6"/>
  <c r="C72" i="6"/>
  <c r="B72" i="6"/>
  <c r="B71" i="6"/>
  <c r="C70" i="6"/>
  <c r="B70" i="6"/>
  <c r="D69" i="6"/>
  <c r="C69" i="6"/>
  <c r="B69" i="6"/>
  <c r="E68" i="6"/>
  <c r="F68" i="6" s="1"/>
  <c r="D68" i="6"/>
  <c r="C68" i="6"/>
  <c r="B68" i="6"/>
  <c r="D67" i="6"/>
  <c r="C67" i="6"/>
  <c r="B67" i="6"/>
  <c r="E67" i="6" s="1"/>
  <c r="C66" i="6"/>
  <c r="B66" i="6"/>
  <c r="E65" i="6"/>
  <c r="F65" i="6" s="1"/>
  <c r="D65" i="6"/>
  <c r="C65" i="6"/>
  <c r="B65" i="6"/>
  <c r="E64" i="6"/>
  <c r="F64" i="6" s="1"/>
  <c r="D64" i="6"/>
  <c r="C64" i="6"/>
  <c r="B64" i="6"/>
  <c r="C63" i="6"/>
  <c r="B63" i="6"/>
  <c r="F62" i="6"/>
  <c r="E62" i="6"/>
  <c r="D62" i="6"/>
  <c r="C62" i="6"/>
  <c r="B62" i="6"/>
  <c r="B61" i="6"/>
  <c r="D60" i="6"/>
  <c r="C60" i="6"/>
  <c r="B60" i="6"/>
  <c r="E60" i="6" s="1"/>
  <c r="F60" i="6" s="1"/>
  <c r="B59" i="6"/>
  <c r="F58" i="6"/>
  <c r="E58" i="6"/>
  <c r="C58" i="6"/>
  <c r="B58" i="6"/>
  <c r="D58" i="6" s="1"/>
  <c r="E57" i="6"/>
  <c r="D57" i="6"/>
  <c r="F57" i="6" s="1"/>
  <c r="C57" i="6"/>
  <c r="B57" i="6"/>
  <c r="C56" i="6"/>
  <c r="B56" i="6"/>
  <c r="E55" i="6"/>
  <c r="F55" i="6" s="1"/>
  <c r="D55" i="6"/>
  <c r="C55" i="6"/>
  <c r="B55" i="6"/>
  <c r="B54" i="6"/>
  <c r="B53" i="6"/>
  <c r="F52" i="6"/>
  <c r="E52" i="6"/>
  <c r="D52" i="6"/>
  <c r="C52" i="6"/>
  <c r="B52" i="6"/>
  <c r="F51" i="6"/>
  <c r="E51" i="6"/>
  <c r="D51" i="6"/>
  <c r="B51" i="6"/>
  <c r="C51" i="6" s="1"/>
  <c r="D50" i="6"/>
  <c r="C50" i="6"/>
  <c r="B50" i="6"/>
  <c r="D49" i="6"/>
  <c r="B49" i="6"/>
  <c r="E48" i="6"/>
  <c r="B48" i="6"/>
  <c r="B47" i="6"/>
  <c r="E46" i="6"/>
  <c r="D46" i="6"/>
  <c r="F46" i="6" s="1"/>
  <c r="B46" i="6"/>
  <c r="C46" i="6" s="1"/>
  <c r="D45" i="6"/>
  <c r="C45" i="6"/>
  <c r="B45" i="6"/>
  <c r="C44" i="6"/>
  <c r="B44" i="6"/>
  <c r="B43" i="6"/>
  <c r="B42" i="6"/>
  <c r="E41" i="6"/>
  <c r="D41" i="6"/>
  <c r="F41" i="6" s="1"/>
  <c r="C41" i="6"/>
  <c r="B41" i="6"/>
  <c r="B37" i="6"/>
  <c r="B36" i="6"/>
  <c r="F35" i="6"/>
  <c r="B35" i="6"/>
  <c r="F34" i="6"/>
  <c r="E34" i="6"/>
  <c r="D34" i="6"/>
  <c r="G34" i="6" s="1"/>
  <c r="C34" i="6"/>
  <c r="B34" i="6"/>
  <c r="F33" i="6"/>
  <c r="B33" i="6"/>
  <c r="B32" i="6"/>
  <c r="F31" i="6"/>
  <c r="B31" i="6"/>
  <c r="F30" i="6"/>
  <c r="E30" i="6"/>
  <c r="G30" i="6" s="1"/>
  <c r="D30" i="6"/>
  <c r="C30" i="6"/>
  <c r="B30" i="6"/>
  <c r="B29" i="6"/>
  <c r="C28" i="6"/>
  <c r="B28" i="6"/>
  <c r="B27" i="6"/>
  <c r="G26" i="6"/>
  <c r="F26" i="6"/>
  <c r="E26" i="6"/>
  <c r="D26" i="6"/>
  <c r="C26" i="6"/>
  <c r="B26" i="6"/>
  <c r="C18" i="6"/>
  <c r="C6" i="6"/>
  <c r="C5" i="6"/>
  <c r="D10" i="24" s="1"/>
  <c r="DH304" i="5"/>
  <c r="DG304" i="5"/>
  <c r="DA304" i="5"/>
  <c r="CX304" i="5"/>
  <c r="CG304" i="5"/>
  <c r="CF304" i="5"/>
  <c r="CD304" i="5"/>
  <c r="CC304" i="5"/>
  <c r="CB304" i="5"/>
  <c r="CA304" i="5"/>
  <c r="BZ304" i="5"/>
  <c r="BY304" i="5"/>
  <c r="BX304" i="5"/>
  <c r="BW304" i="5"/>
  <c r="BV304" i="5"/>
  <c r="BU304" i="5"/>
  <c r="BT304" i="5"/>
  <c r="BS304" i="5"/>
  <c r="BR304" i="5"/>
  <c r="BQ304" i="5"/>
  <c r="BP304" i="5"/>
  <c r="BO304" i="5"/>
  <c r="BN304" i="5"/>
  <c r="BM304" i="5"/>
  <c r="BL304" i="5"/>
  <c r="BK304" i="5"/>
  <c r="BJ304" i="5"/>
  <c r="BI304" i="5"/>
  <c r="BH304" i="5"/>
  <c r="BG304" i="5"/>
  <c r="BF304" i="5"/>
  <c r="BE304" i="5"/>
  <c r="BD304" i="5"/>
  <c r="BC304" i="5"/>
  <c r="BB304" i="5"/>
  <c r="BA304" i="5"/>
  <c r="AZ304" i="5"/>
  <c r="AY304" i="5"/>
  <c r="AX304" i="5"/>
  <c r="AW304" i="5"/>
  <c r="AV304" i="5"/>
  <c r="AU304" i="5"/>
  <c r="AT304" i="5"/>
  <c r="AS304" i="5"/>
  <c r="AR304" i="5"/>
  <c r="DH303" i="5"/>
  <c r="DG303" i="5"/>
  <c r="DA303" i="5"/>
  <c r="CX303" i="5"/>
  <c r="CH303" i="5"/>
  <c r="CG303" i="5"/>
  <c r="CF303" i="5"/>
  <c r="CE303" i="5"/>
  <c r="CD303" i="5"/>
  <c r="CC303" i="5"/>
  <c r="CB303" i="5"/>
  <c r="CA303" i="5"/>
  <c r="BZ303" i="5"/>
  <c r="BY303" i="5"/>
  <c r="BX303" i="5"/>
  <c r="BW303" i="5"/>
  <c r="BV303" i="5"/>
  <c r="BU303" i="5"/>
  <c r="BT303" i="5"/>
  <c r="BS303" i="5"/>
  <c r="BR303" i="5"/>
  <c r="BQ303" i="5"/>
  <c r="BP303" i="5"/>
  <c r="BO303" i="5"/>
  <c r="BN303" i="5"/>
  <c r="BM303" i="5"/>
  <c r="BL303" i="5"/>
  <c r="BK303" i="5"/>
  <c r="BJ303" i="5"/>
  <c r="BI303" i="5"/>
  <c r="BH303" i="5"/>
  <c r="BG303" i="5"/>
  <c r="BF303" i="5"/>
  <c r="BE303" i="5"/>
  <c r="BD303" i="5"/>
  <c r="BC303" i="5"/>
  <c r="BB303" i="5"/>
  <c r="BA303" i="5"/>
  <c r="AZ303" i="5"/>
  <c r="AY303" i="5"/>
  <c r="AX303" i="5"/>
  <c r="AW303" i="5"/>
  <c r="AV303" i="5"/>
  <c r="AU303" i="5"/>
  <c r="AT303" i="5"/>
  <c r="AS303" i="5"/>
  <c r="AR303" i="5"/>
  <c r="DH302" i="5"/>
  <c r="DG302" i="5"/>
  <c r="DA302" i="5"/>
  <c r="CX302" i="5"/>
  <c r="CH302" i="5"/>
  <c r="CI302" i="5" s="1"/>
  <c r="CJ302" i="5" s="1"/>
  <c r="CG302" i="5"/>
  <c r="CF302" i="5"/>
  <c r="CE302" i="5"/>
  <c r="CD302" i="5"/>
  <c r="CC302" i="5"/>
  <c r="CB302" i="5"/>
  <c r="CA302" i="5"/>
  <c r="BZ302" i="5"/>
  <c r="BY302" i="5"/>
  <c r="BX302" i="5"/>
  <c r="BW302" i="5"/>
  <c r="BV302" i="5"/>
  <c r="BU302" i="5"/>
  <c r="BT302" i="5"/>
  <c r="BS302" i="5"/>
  <c r="BR302" i="5"/>
  <c r="BQ302" i="5"/>
  <c r="BP302" i="5"/>
  <c r="BO302" i="5"/>
  <c r="BN302" i="5"/>
  <c r="BM302" i="5"/>
  <c r="BL302" i="5"/>
  <c r="BK302" i="5"/>
  <c r="BJ302" i="5"/>
  <c r="BI302" i="5"/>
  <c r="BH302" i="5"/>
  <c r="BG302" i="5"/>
  <c r="BF302" i="5"/>
  <c r="BE302" i="5"/>
  <c r="BD302" i="5"/>
  <c r="BC302" i="5"/>
  <c r="BB302" i="5"/>
  <c r="BA302" i="5"/>
  <c r="AZ302" i="5"/>
  <c r="AX302" i="5"/>
  <c r="AY302" i="5" s="1"/>
  <c r="AW302" i="5"/>
  <c r="AV302" i="5"/>
  <c r="CK302" i="5" s="1"/>
  <c r="AU302" i="5"/>
  <c r="AT302" i="5"/>
  <c r="AS302" i="5"/>
  <c r="AR302" i="5"/>
  <c r="DH301" i="5"/>
  <c r="DG301" i="5"/>
  <c r="DA301" i="5"/>
  <c r="CX301" i="5"/>
  <c r="CG301" i="5"/>
  <c r="CF301" i="5"/>
  <c r="CD301" i="5"/>
  <c r="CH301" i="5" s="1"/>
  <c r="CC301" i="5"/>
  <c r="CB301" i="5"/>
  <c r="CA301" i="5"/>
  <c r="BZ301" i="5"/>
  <c r="BY301" i="5"/>
  <c r="BX301" i="5"/>
  <c r="BW301" i="5"/>
  <c r="BV301" i="5"/>
  <c r="BU301" i="5"/>
  <c r="BT301" i="5"/>
  <c r="BS301" i="5"/>
  <c r="BR301" i="5"/>
  <c r="BQ301" i="5"/>
  <c r="BP301" i="5"/>
  <c r="BO301" i="5"/>
  <c r="BN301" i="5"/>
  <c r="BM301" i="5"/>
  <c r="BL301" i="5"/>
  <c r="BK301" i="5"/>
  <c r="BJ301" i="5"/>
  <c r="BI301" i="5"/>
  <c r="BH301" i="5"/>
  <c r="BG301" i="5"/>
  <c r="BF301" i="5"/>
  <c r="BE301" i="5"/>
  <c r="BD301" i="5"/>
  <c r="BC301" i="5"/>
  <c r="BB301" i="5"/>
  <c r="BA301" i="5"/>
  <c r="AZ301" i="5"/>
  <c r="AY301" i="5"/>
  <c r="AX301" i="5"/>
  <c r="AW301" i="5"/>
  <c r="AV301" i="5"/>
  <c r="AU301" i="5"/>
  <c r="AT301" i="5"/>
  <c r="AS301" i="5"/>
  <c r="AR301" i="5"/>
  <c r="DH300" i="5"/>
  <c r="DG300" i="5"/>
  <c r="DA300" i="5"/>
  <c r="CX300" i="5"/>
  <c r="CG300" i="5"/>
  <c r="CF300" i="5"/>
  <c r="CE300" i="5"/>
  <c r="CD300" i="5"/>
  <c r="CH300" i="5" s="1"/>
  <c r="CC300" i="5"/>
  <c r="CB300" i="5"/>
  <c r="CA300" i="5"/>
  <c r="BZ300" i="5"/>
  <c r="BY300" i="5"/>
  <c r="BX300" i="5"/>
  <c r="BW300" i="5"/>
  <c r="BV300" i="5"/>
  <c r="BU300" i="5"/>
  <c r="BT300" i="5"/>
  <c r="BS300" i="5"/>
  <c r="BR300" i="5"/>
  <c r="BQ300" i="5"/>
  <c r="BP300" i="5"/>
  <c r="BO300" i="5"/>
  <c r="BN300" i="5"/>
  <c r="BM300" i="5"/>
  <c r="BL300" i="5"/>
  <c r="BK300" i="5"/>
  <c r="BJ300" i="5"/>
  <c r="BI300" i="5"/>
  <c r="BH300" i="5"/>
  <c r="BG300" i="5"/>
  <c r="BF300" i="5"/>
  <c r="BE300" i="5"/>
  <c r="BD300" i="5"/>
  <c r="BC300" i="5"/>
  <c r="BB300" i="5"/>
  <c r="BA300" i="5"/>
  <c r="AZ300" i="5"/>
  <c r="AX300" i="5"/>
  <c r="AY300" i="5" s="1"/>
  <c r="AW300" i="5"/>
  <c r="AV300" i="5"/>
  <c r="AU300" i="5"/>
  <c r="AT300" i="5"/>
  <c r="AS300" i="5"/>
  <c r="AR300" i="5"/>
  <c r="DH299" i="5"/>
  <c r="DG299" i="5"/>
  <c r="DA299" i="5"/>
  <c r="CX299" i="5"/>
  <c r="CR299" i="5"/>
  <c r="CL299" i="5"/>
  <c r="CM299" i="5" s="1"/>
  <c r="CK299" i="5"/>
  <c r="CJ299" i="5"/>
  <c r="CI299" i="5"/>
  <c r="CH299" i="5"/>
  <c r="CG299" i="5"/>
  <c r="CF299" i="5"/>
  <c r="CE299" i="5"/>
  <c r="CD299" i="5"/>
  <c r="CC299" i="5"/>
  <c r="CB299" i="5"/>
  <c r="CA299" i="5"/>
  <c r="BZ299" i="5"/>
  <c r="BY299" i="5"/>
  <c r="BX299" i="5"/>
  <c r="BW299" i="5"/>
  <c r="BV299" i="5"/>
  <c r="BU299" i="5"/>
  <c r="BT299" i="5"/>
  <c r="BS299" i="5"/>
  <c r="BR299" i="5"/>
  <c r="BQ299" i="5"/>
  <c r="BP299" i="5"/>
  <c r="BO299" i="5"/>
  <c r="BN299" i="5"/>
  <c r="BM299" i="5"/>
  <c r="BL299" i="5"/>
  <c r="BK299" i="5"/>
  <c r="BJ299" i="5"/>
  <c r="BI299" i="5"/>
  <c r="BH299" i="5"/>
  <c r="BG299" i="5"/>
  <c r="BF299" i="5"/>
  <c r="BE299" i="5"/>
  <c r="BD299" i="5"/>
  <c r="BC299" i="5"/>
  <c r="BB299" i="5"/>
  <c r="BA299" i="5"/>
  <c r="AZ299" i="5"/>
  <c r="AY299" i="5"/>
  <c r="AX299" i="5"/>
  <c r="AW299" i="5"/>
  <c r="AV299" i="5"/>
  <c r="AU299" i="5"/>
  <c r="AT299" i="5"/>
  <c r="AS299" i="5"/>
  <c r="AR299" i="5"/>
  <c r="DH298" i="5"/>
  <c r="DG298" i="5"/>
  <c r="DA298" i="5"/>
  <c r="CX298" i="5"/>
  <c r="CG298" i="5"/>
  <c r="CF298" i="5"/>
  <c r="CD298" i="5"/>
  <c r="CC298" i="5"/>
  <c r="CB298" i="5"/>
  <c r="CA298" i="5"/>
  <c r="BZ298" i="5"/>
  <c r="BY298" i="5"/>
  <c r="BX298" i="5"/>
  <c r="BW298" i="5"/>
  <c r="BV298" i="5"/>
  <c r="BU298" i="5"/>
  <c r="BT298" i="5"/>
  <c r="BS298" i="5"/>
  <c r="BR298" i="5"/>
  <c r="BQ298" i="5"/>
  <c r="BP298" i="5"/>
  <c r="BO298" i="5"/>
  <c r="BN298" i="5"/>
  <c r="BM298" i="5"/>
  <c r="BL298" i="5"/>
  <c r="BK298" i="5"/>
  <c r="BJ298" i="5"/>
  <c r="BI298" i="5"/>
  <c r="BH298" i="5"/>
  <c r="BG298" i="5"/>
  <c r="BF298" i="5"/>
  <c r="BE298" i="5"/>
  <c r="BD298" i="5"/>
  <c r="BC298" i="5"/>
  <c r="BB298" i="5"/>
  <c r="BA298" i="5"/>
  <c r="AZ298" i="5"/>
  <c r="AY298" i="5"/>
  <c r="AX298" i="5"/>
  <c r="AW298" i="5"/>
  <c r="AV298" i="5"/>
  <c r="AU298" i="5"/>
  <c r="AT298" i="5"/>
  <c r="AS298" i="5"/>
  <c r="AR298" i="5"/>
  <c r="DH297" i="5"/>
  <c r="DG297" i="5"/>
  <c r="DA297" i="5"/>
  <c r="CX297" i="5"/>
  <c r="CG297" i="5"/>
  <c r="CF297" i="5"/>
  <c r="CE297" i="5"/>
  <c r="CD297" i="5"/>
  <c r="CH297" i="5" s="1"/>
  <c r="CC297" i="5"/>
  <c r="CB297" i="5"/>
  <c r="CA297" i="5"/>
  <c r="BZ297" i="5"/>
  <c r="BY297" i="5"/>
  <c r="BX297" i="5"/>
  <c r="BW297" i="5"/>
  <c r="BV297" i="5"/>
  <c r="BU297" i="5"/>
  <c r="BT297" i="5"/>
  <c r="BS297" i="5"/>
  <c r="BR297" i="5"/>
  <c r="BQ297" i="5"/>
  <c r="BP297" i="5"/>
  <c r="BO297" i="5"/>
  <c r="BN297" i="5"/>
  <c r="BM297" i="5"/>
  <c r="BL297" i="5"/>
  <c r="BK297" i="5"/>
  <c r="BJ297" i="5"/>
  <c r="BI297" i="5"/>
  <c r="BH297" i="5"/>
  <c r="BG297" i="5"/>
  <c r="BF297" i="5"/>
  <c r="BE297" i="5"/>
  <c r="BD297" i="5"/>
  <c r="BC297" i="5"/>
  <c r="BB297" i="5"/>
  <c r="BA297" i="5"/>
  <c r="AZ297" i="5"/>
  <c r="AX297" i="5"/>
  <c r="AY297" i="5" s="1"/>
  <c r="AW297" i="5"/>
  <c r="AV297" i="5"/>
  <c r="AU297" i="5"/>
  <c r="AT297" i="5"/>
  <c r="AS297" i="5"/>
  <c r="AR297" i="5"/>
  <c r="DH296" i="5"/>
  <c r="DG296" i="5"/>
  <c r="DA296" i="5"/>
  <c r="CX296" i="5"/>
  <c r="CK296" i="5"/>
  <c r="CI296" i="5"/>
  <c r="CJ296" i="5" s="1"/>
  <c r="CH296" i="5"/>
  <c r="CG296" i="5"/>
  <c r="CF296" i="5"/>
  <c r="CE296" i="5"/>
  <c r="CD296" i="5"/>
  <c r="CC296" i="5"/>
  <c r="CB296" i="5"/>
  <c r="CA296" i="5"/>
  <c r="BZ296" i="5"/>
  <c r="BY296" i="5"/>
  <c r="BX296" i="5"/>
  <c r="BW296" i="5"/>
  <c r="BV296" i="5"/>
  <c r="BU296" i="5"/>
  <c r="BT296" i="5"/>
  <c r="BS296" i="5"/>
  <c r="BR296" i="5"/>
  <c r="BQ296" i="5"/>
  <c r="BP296" i="5"/>
  <c r="BO296" i="5"/>
  <c r="BN296" i="5"/>
  <c r="BM296" i="5"/>
  <c r="BL296" i="5"/>
  <c r="BK296" i="5"/>
  <c r="BJ296" i="5"/>
  <c r="BI296" i="5"/>
  <c r="BH296" i="5"/>
  <c r="BG296" i="5"/>
  <c r="BF296" i="5"/>
  <c r="BE296" i="5"/>
  <c r="BD296" i="5"/>
  <c r="BC296" i="5"/>
  <c r="BB296" i="5"/>
  <c r="BA296" i="5"/>
  <c r="AZ296" i="5"/>
  <c r="AY296" i="5"/>
  <c r="AX296" i="5"/>
  <c r="AW296" i="5"/>
  <c r="AV296" i="5"/>
  <c r="AU296" i="5"/>
  <c r="AT296" i="5"/>
  <c r="AS296" i="5"/>
  <c r="AR296" i="5"/>
  <c r="DH295" i="5"/>
  <c r="DG295" i="5"/>
  <c r="DA295" i="5"/>
  <c r="CX295" i="5"/>
  <c r="CJ295" i="5"/>
  <c r="CG295" i="5"/>
  <c r="CF295" i="5"/>
  <c r="CE295" i="5"/>
  <c r="CI295" i="5" s="1"/>
  <c r="CD295" i="5"/>
  <c r="CH295" i="5" s="1"/>
  <c r="CC295" i="5"/>
  <c r="CB295" i="5"/>
  <c r="CA295" i="5"/>
  <c r="BZ295" i="5"/>
  <c r="BY295" i="5"/>
  <c r="BX295" i="5"/>
  <c r="BW295" i="5"/>
  <c r="BV295" i="5"/>
  <c r="BU295" i="5"/>
  <c r="BT295" i="5"/>
  <c r="BS295" i="5"/>
  <c r="BR295" i="5"/>
  <c r="BQ295" i="5"/>
  <c r="BP295" i="5"/>
  <c r="BO295" i="5"/>
  <c r="BN295" i="5"/>
  <c r="BM295" i="5"/>
  <c r="BL295" i="5"/>
  <c r="BK295" i="5"/>
  <c r="BJ295" i="5"/>
  <c r="BI295" i="5"/>
  <c r="BH295" i="5"/>
  <c r="BG295" i="5"/>
  <c r="BF295" i="5"/>
  <c r="BE295" i="5"/>
  <c r="BD295" i="5"/>
  <c r="BC295" i="5"/>
  <c r="BB295" i="5"/>
  <c r="BA295" i="5"/>
  <c r="AZ295" i="5"/>
  <c r="AY295" i="5"/>
  <c r="AX295" i="5"/>
  <c r="AW295" i="5"/>
  <c r="AV295" i="5"/>
  <c r="CK295" i="5" s="1"/>
  <c r="AU295" i="5"/>
  <c r="AT295" i="5"/>
  <c r="AS295" i="5"/>
  <c r="AR295" i="5"/>
  <c r="DH294" i="5"/>
  <c r="DG294" i="5"/>
  <c r="DA294" i="5"/>
  <c r="CX294" i="5"/>
  <c r="CH294" i="5"/>
  <c r="CG294" i="5"/>
  <c r="CF294" i="5"/>
  <c r="CE294" i="5"/>
  <c r="CD294" i="5"/>
  <c r="CC294" i="5"/>
  <c r="CB294" i="5"/>
  <c r="CA294" i="5"/>
  <c r="BZ294" i="5"/>
  <c r="BY294" i="5"/>
  <c r="BX294" i="5"/>
  <c r="BW294" i="5"/>
  <c r="BV294" i="5"/>
  <c r="BU294" i="5"/>
  <c r="BT294" i="5"/>
  <c r="BS294" i="5"/>
  <c r="BR294" i="5"/>
  <c r="BQ294" i="5"/>
  <c r="BP294" i="5"/>
  <c r="BO294" i="5"/>
  <c r="BN294" i="5"/>
  <c r="BM294" i="5"/>
  <c r="BL294" i="5"/>
  <c r="BK294" i="5"/>
  <c r="BJ294" i="5"/>
  <c r="BI294" i="5"/>
  <c r="BH294" i="5"/>
  <c r="BG294" i="5"/>
  <c r="BF294" i="5"/>
  <c r="BE294" i="5"/>
  <c r="BD294" i="5"/>
  <c r="BC294" i="5"/>
  <c r="BB294" i="5"/>
  <c r="BA294" i="5"/>
  <c r="AZ294" i="5"/>
  <c r="AY294" i="5"/>
  <c r="AX294" i="5"/>
  <c r="AW294" i="5"/>
  <c r="AV294" i="5"/>
  <c r="AU294" i="5"/>
  <c r="AT294" i="5"/>
  <c r="AS294" i="5"/>
  <c r="AR294" i="5"/>
  <c r="DH293" i="5"/>
  <c r="DG293" i="5"/>
  <c r="DA293" i="5"/>
  <c r="CX293" i="5"/>
  <c r="CI293" i="5"/>
  <c r="CJ293" i="5" s="1"/>
  <c r="CL293" i="5" s="1"/>
  <c r="CM293" i="5" s="1"/>
  <c r="CH293" i="5"/>
  <c r="CG293" i="5"/>
  <c r="CF293" i="5"/>
  <c r="CE293" i="5"/>
  <c r="CD293" i="5"/>
  <c r="CC293" i="5"/>
  <c r="CB293" i="5"/>
  <c r="CA293" i="5"/>
  <c r="BZ293" i="5"/>
  <c r="BY293" i="5"/>
  <c r="BX293" i="5"/>
  <c r="BW293" i="5"/>
  <c r="BV293" i="5"/>
  <c r="BU293" i="5"/>
  <c r="BT293" i="5"/>
  <c r="BS293" i="5"/>
  <c r="BR293" i="5"/>
  <c r="BQ293" i="5"/>
  <c r="BP293" i="5"/>
  <c r="BO293" i="5"/>
  <c r="BN293" i="5"/>
  <c r="BM293" i="5"/>
  <c r="BL293" i="5"/>
  <c r="BK293" i="5"/>
  <c r="BJ293" i="5"/>
  <c r="BI293" i="5"/>
  <c r="BH293" i="5"/>
  <c r="BG293" i="5"/>
  <c r="BF293" i="5"/>
  <c r="BE293" i="5"/>
  <c r="BD293" i="5"/>
  <c r="BC293" i="5"/>
  <c r="BB293" i="5"/>
  <c r="BA293" i="5"/>
  <c r="AZ293" i="5"/>
  <c r="AY293" i="5"/>
  <c r="AX293" i="5"/>
  <c r="AW293" i="5"/>
  <c r="AV293" i="5"/>
  <c r="CK293" i="5" s="1"/>
  <c r="AU293" i="5"/>
  <c r="AT293" i="5"/>
  <c r="AS293" i="5"/>
  <c r="AR293" i="5"/>
  <c r="DH292" i="5"/>
  <c r="DG292" i="5"/>
  <c r="DA292" i="5"/>
  <c r="CX292" i="5"/>
  <c r="CJ292" i="5"/>
  <c r="CG292" i="5"/>
  <c r="CF292" i="5"/>
  <c r="CE292" i="5"/>
  <c r="CI292" i="5" s="1"/>
  <c r="CD292" i="5"/>
  <c r="CH292" i="5" s="1"/>
  <c r="CC292" i="5"/>
  <c r="CB292" i="5"/>
  <c r="CA292" i="5"/>
  <c r="BZ292" i="5"/>
  <c r="BY292" i="5"/>
  <c r="BX292" i="5"/>
  <c r="BW292" i="5"/>
  <c r="BV292" i="5"/>
  <c r="BU292" i="5"/>
  <c r="BT292" i="5"/>
  <c r="BS292" i="5"/>
  <c r="BR292" i="5"/>
  <c r="BQ292" i="5"/>
  <c r="BP292" i="5"/>
  <c r="BO292" i="5"/>
  <c r="BN292" i="5"/>
  <c r="BM292" i="5"/>
  <c r="BL292" i="5"/>
  <c r="BK292" i="5"/>
  <c r="BJ292" i="5"/>
  <c r="BI292" i="5"/>
  <c r="BH292" i="5"/>
  <c r="BG292" i="5"/>
  <c r="BF292" i="5"/>
  <c r="BE292" i="5"/>
  <c r="BD292" i="5"/>
  <c r="BC292" i="5"/>
  <c r="BB292" i="5"/>
  <c r="BA292" i="5"/>
  <c r="AZ292" i="5"/>
  <c r="AY292" i="5"/>
  <c r="AX292" i="5"/>
  <c r="AW292" i="5"/>
  <c r="AV292" i="5"/>
  <c r="AU292" i="5"/>
  <c r="AT292" i="5"/>
  <c r="AS292" i="5"/>
  <c r="AR292" i="5"/>
  <c r="DH291" i="5"/>
  <c r="DG291" i="5"/>
  <c r="DA291" i="5"/>
  <c r="CX291" i="5"/>
  <c r="CG291" i="5"/>
  <c r="CF291" i="5"/>
  <c r="CD291" i="5"/>
  <c r="CC291" i="5"/>
  <c r="CB291" i="5"/>
  <c r="CA291" i="5"/>
  <c r="BZ291" i="5"/>
  <c r="BY291" i="5"/>
  <c r="BX291" i="5"/>
  <c r="BW291" i="5"/>
  <c r="BV291" i="5"/>
  <c r="BU291" i="5"/>
  <c r="BT291" i="5"/>
  <c r="BS291" i="5"/>
  <c r="BR291" i="5"/>
  <c r="BQ291" i="5"/>
  <c r="BP291" i="5"/>
  <c r="BO291" i="5"/>
  <c r="BN291" i="5"/>
  <c r="BM291" i="5"/>
  <c r="BL291" i="5"/>
  <c r="BK291" i="5"/>
  <c r="BJ291" i="5"/>
  <c r="BI291" i="5"/>
  <c r="BH291" i="5"/>
  <c r="BG291" i="5"/>
  <c r="BF291" i="5"/>
  <c r="BE291" i="5"/>
  <c r="BD291" i="5"/>
  <c r="BC291" i="5"/>
  <c r="BB291" i="5"/>
  <c r="BA291" i="5"/>
  <c r="AZ291" i="5"/>
  <c r="AX291" i="5"/>
  <c r="AY291" i="5" s="1"/>
  <c r="AW291" i="5"/>
  <c r="AV291" i="5"/>
  <c r="AU291" i="5"/>
  <c r="AT291" i="5"/>
  <c r="AS291" i="5"/>
  <c r="AR291" i="5"/>
  <c r="DH290" i="5"/>
  <c r="DG290" i="5"/>
  <c r="DA290" i="5"/>
  <c r="CX290" i="5"/>
  <c r="CL290" i="5"/>
  <c r="CM290" i="5" s="1"/>
  <c r="CI290" i="5"/>
  <c r="CJ290" i="5" s="1"/>
  <c r="CH290" i="5"/>
  <c r="CG290" i="5"/>
  <c r="CF290" i="5"/>
  <c r="CE290" i="5"/>
  <c r="CD290" i="5"/>
  <c r="CC290" i="5"/>
  <c r="CB290" i="5"/>
  <c r="CA290" i="5"/>
  <c r="BZ290" i="5"/>
  <c r="BY290" i="5"/>
  <c r="BX290" i="5"/>
  <c r="BW290" i="5"/>
  <c r="BV290" i="5"/>
  <c r="BU290" i="5"/>
  <c r="BT290" i="5"/>
  <c r="BS290" i="5"/>
  <c r="BR290" i="5"/>
  <c r="BQ290" i="5"/>
  <c r="BP290" i="5"/>
  <c r="BO290" i="5"/>
  <c r="BN290" i="5"/>
  <c r="BM290" i="5"/>
  <c r="BL290" i="5"/>
  <c r="BK290" i="5"/>
  <c r="BJ290" i="5"/>
  <c r="BI290" i="5"/>
  <c r="BH290" i="5"/>
  <c r="BG290" i="5"/>
  <c r="BF290" i="5"/>
  <c r="BE290" i="5"/>
  <c r="BD290" i="5"/>
  <c r="BC290" i="5"/>
  <c r="BB290" i="5"/>
  <c r="BA290" i="5"/>
  <c r="AZ290" i="5"/>
  <c r="AY290" i="5"/>
  <c r="AX290" i="5"/>
  <c r="AW290" i="5"/>
  <c r="AV290" i="5"/>
  <c r="CK290" i="5" s="1"/>
  <c r="AU290" i="5"/>
  <c r="AT290" i="5"/>
  <c r="AS290" i="5"/>
  <c r="AR290" i="5"/>
  <c r="DH289" i="5"/>
  <c r="DG289" i="5"/>
  <c r="DA289" i="5"/>
  <c r="CX289" i="5"/>
  <c r="CG289" i="5"/>
  <c r="CF289" i="5"/>
  <c r="CE289" i="5"/>
  <c r="CD289" i="5"/>
  <c r="CH289" i="5" s="1"/>
  <c r="CC289" i="5"/>
  <c r="CB289" i="5"/>
  <c r="CA289" i="5"/>
  <c r="BZ289" i="5"/>
  <c r="BY289" i="5"/>
  <c r="BX289" i="5"/>
  <c r="BW289" i="5"/>
  <c r="BV289" i="5"/>
  <c r="BU289" i="5"/>
  <c r="BT289" i="5"/>
  <c r="BS289" i="5"/>
  <c r="BR289" i="5"/>
  <c r="BQ289" i="5"/>
  <c r="BP289" i="5"/>
  <c r="BO289" i="5"/>
  <c r="BN289" i="5"/>
  <c r="BM289" i="5"/>
  <c r="BL289" i="5"/>
  <c r="BK289" i="5"/>
  <c r="BJ289" i="5"/>
  <c r="BI289" i="5"/>
  <c r="BH289" i="5"/>
  <c r="BG289" i="5"/>
  <c r="BF289" i="5"/>
  <c r="BE289" i="5"/>
  <c r="BD289" i="5"/>
  <c r="BC289" i="5"/>
  <c r="BB289" i="5"/>
  <c r="BA289" i="5"/>
  <c r="AZ289" i="5"/>
  <c r="AY289" i="5"/>
  <c r="AX289" i="5"/>
  <c r="AW289" i="5"/>
  <c r="AV289" i="5"/>
  <c r="AU289" i="5"/>
  <c r="AT289" i="5"/>
  <c r="AS289" i="5"/>
  <c r="AR289" i="5"/>
  <c r="DH288" i="5"/>
  <c r="DG288" i="5"/>
  <c r="DA288" i="5"/>
  <c r="CX288" i="5"/>
  <c r="CG288" i="5"/>
  <c r="CF288" i="5"/>
  <c r="CD288" i="5"/>
  <c r="CH288" i="5" s="1"/>
  <c r="CC288" i="5"/>
  <c r="CB288" i="5"/>
  <c r="CA288" i="5"/>
  <c r="BZ288" i="5"/>
  <c r="BY288" i="5"/>
  <c r="BX288" i="5"/>
  <c r="BW288" i="5"/>
  <c r="BV288" i="5"/>
  <c r="BU288" i="5"/>
  <c r="BT288" i="5"/>
  <c r="BS288" i="5"/>
  <c r="BR288" i="5"/>
  <c r="BQ288" i="5"/>
  <c r="BP288" i="5"/>
  <c r="BO288" i="5"/>
  <c r="BN288" i="5"/>
  <c r="BM288" i="5"/>
  <c r="BL288" i="5"/>
  <c r="BK288" i="5"/>
  <c r="BJ288" i="5"/>
  <c r="BI288" i="5"/>
  <c r="BH288" i="5"/>
  <c r="BG288" i="5"/>
  <c r="BF288" i="5"/>
  <c r="BE288" i="5"/>
  <c r="BD288" i="5"/>
  <c r="BC288" i="5"/>
  <c r="BB288" i="5"/>
  <c r="BA288" i="5"/>
  <c r="AZ288" i="5"/>
  <c r="AY288" i="5"/>
  <c r="AX288" i="5"/>
  <c r="AW288" i="5"/>
  <c r="AV288" i="5"/>
  <c r="AU288" i="5"/>
  <c r="AT288" i="5"/>
  <c r="AS288" i="5"/>
  <c r="AR288" i="5"/>
  <c r="DH287" i="5"/>
  <c r="DG287" i="5"/>
  <c r="DA287" i="5"/>
  <c r="CX287" i="5"/>
  <c r="CK287" i="5"/>
  <c r="CL287" i="5" s="1"/>
  <c r="CM287" i="5" s="1"/>
  <c r="CH287" i="5"/>
  <c r="CI287" i="5" s="1"/>
  <c r="CJ287" i="5" s="1"/>
  <c r="CG287" i="5"/>
  <c r="CF287" i="5"/>
  <c r="CE287" i="5"/>
  <c r="CD287" i="5"/>
  <c r="CC287" i="5"/>
  <c r="CB287" i="5"/>
  <c r="CA287" i="5"/>
  <c r="BZ287" i="5"/>
  <c r="BY287" i="5"/>
  <c r="BX287" i="5"/>
  <c r="BW287" i="5"/>
  <c r="BV287" i="5"/>
  <c r="BU287" i="5"/>
  <c r="BT287" i="5"/>
  <c r="BS287" i="5"/>
  <c r="BR287" i="5"/>
  <c r="BQ287" i="5"/>
  <c r="BP287" i="5"/>
  <c r="BO287" i="5"/>
  <c r="BN287" i="5"/>
  <c r="BM287" i="5"/>
  <c r="BL287" i="5"/>
  <c r="BK287" i="5"/>
  <c r="BJ287" i="5"/>
  <c r="BI287" i="5"/>
  <c r="BH287" i="5"/>
  <c r="BG287" i="5"/>
  <c r="BF287" i="5"/>
  <c r="BE287" i="5"/>
  <c r="BD287" i="5"/>
  <c r="BC287" i="5"/>
  <c r="BB287" i="5"/>
  <c r="BA287" i="5"/>
  <c r="AZ287" i="5"/>
  <c r="AX287" i="5"/>
  <c r="AY287" i="5" s="1"/>
  <c r="AW287" i="5"/>
  <c r="AV287" i="5"/>
  <c r="AU287" i="5"/>
  <c r="AT287" i="5"/>
  <c r="AS287" i="5"/>
  <c r="AR287" i="5"/>
  <c r="DH286" i="5"/>
  <c r="DG286" i="5"/>
  <c r="DA286" i="5"/>
  <c r="CX286" i="5"/>
  <c r="CG286" i="5"/>
  <c r="CF286" i="5"/>
  <c r="CD286" i="5"/>
  <c r="CH286" i="5" s="1"/>
  <c r="CC286" i="5"/>
  <c r="CB286" i="5"/>
  <c r="CA286" i="5"/>
  <c r="BZ286" i="5"/>
  <c r="BY286" i="5"/>
  <c r="BX286" i="5"/>
  <c r="BW286" i="5"/>
  <c r="BV286" i="5"/>
  <c r="BU286" i="5"/>
  <c r="BT286" i="5"/>
  <c r="BS286" i="5"/>
  <c r="BR286" i="5"/>
  <c r="BQ286" i="5"/>
  <c r="BP286" i="5"/>
  <c r="BO286" i="5"/>
  <c r="BN286" i="5"/>
  <c r="BM286" i="5"/>
  <c r="BL286" i="5"/>
  <c r="BK286" i="5"/>
  <c r="BJ286" i="5"/>
  <c r="BI286" i="5"/>
  <c r="BH286" i="5"/>
  <c r="BG286" i="5"/>
  <c r="BF286" i="5"/>
  <c r="BE286" i="5"/>
  <c r="BD286" i="5"/>
  <c r="BC286" i="5"/>
  <c r="BB286" i="5"/>
  <c r="BA286" i="5"/>
  <c r="AZ286" i="5"/>
  <c r="AY286" i="5"/>
  <c r="AX286" i="5"/>
  <c r="AW286" i="5"/>
  <c r="AV286" i="5"/>
  <c r="AU286" i="5"/>
  <c r="AT286" i="5"/>
  <c r="AS286" i="5"/>
  <c r="AR286" i="5"/>
  <c r="DH285" i="5"/>
  <c r="DG285" i="5"/>
  <c r="DA285" i="5"/>
  <c r="CX285" i="5"/>
  <c r="CG285" i="5"/>
  <c r="CF285" i="5"/>
  <c r="CE285" i="5"/>
  <c r="CD285" i="5"/>
  <c r="CH285" i="5" s="1"/>
  <c r="CC285" i="5"/>
  <c r="CB285" i="5"/>
  <c r="CA285" i="5"/>
  <c r="BZ285" i="5"/>
  <c r="BY285" i="5"/>
  <c r="BX285" i="5"/>
  <c r="BW285" i="5"/>
  <c r="BV285" i="5"/>
  <c r="BU285" i="5"/>
  <c r="BT285" i="5"/>
  <c r="BS285" i="5"/>
  <c r="BR285" i="5"/>
  <c r="BQ285" i="5"/>
  <c r="BP285" i="5"/>
  <c r="BO285" i="5"/>
  <c r="BN285" i="5"/>
  <c r="BM285" i="5"/>
  <c r="BL285" i="5"/>
  <c r="BK285" i="5"/>
  <c r="BJ285" i="5"/>
  <c r="BI285" i="5"/>
  <c r="BH285" i="5"/>
  <c r="BG285" i="5"/>
  <c r="BF285" i="5"/>
  <c r="BE285" i="5"/>
  <c r="BD285" i="5"/>
  <c r="BC285" i="5"/>
  <c r="BB285" i="5"/>
  <c r="BA285" i="5"/>
  <c r="AZ285" i="5"/>
  <c r="AY285" i="5"/>
  <c r="AX285" i="5"/>
  <c r="AW285" i="5"/>
  <c r="AV285" i="5"/>
  <c r="AU285" i="5"/>
  <c r="AT285" i="5"/>
  <c r="AS285" i="5"/>
  <c r="AR285" i="5"/>
  <c r="DH284" i="5"/>
  <c r="DG284" i="5"/>
  <c r="DA284" i="5"/>
  <c r="CX284" i="5"/>
  <c r="CK284" i="5"/>
  <c r="CJ284" i="5"/>
  <c r="CI284" i="5"/>
  <c r="CH284" i="5"/>
  <c r="CG284" i="5"/>
  <c r="CF284" i="5"/>
  <c r="CE284" i="5"/>
  <c r="CD284" i="5"/>
  <c r="CC284" i="5"/>
  <c r="CB284" i="5"/>
  <c r="CA284" i="5"/>
  <c r="BZ284" i="5"/>
  <c r="BY284" i="5"/>
  <c r="BX284" i="5"/>
  <c r="BW284" i="5"/>
  <c r="BV284" i="5"/>
  <c r="BU284" i="5"/>
  <c r="BT284" i="5"/>
  <c r="BS284" i="5"/>
  <c r="BR284" i="5"/>
  <c r="BQ284" i="5"/>
  <c r="BP284" i="5"/>
  <c r="BO284" i="5"/>
  <c r="BN284" i="5"/>
  <c r="BM284" i="5"/>
  <c r="BL284" i="5"/>
  <c r="BK284" i="5"/>
  <c r="BJ284" i="5"/>
  <c r="BI284" i="5"/>
  <c r="BH284" i="5"/>
  <c r="BG284" i="5"/>
  <c r="BF284" i="5"/>
  <c r="BE284" i="5"/>
  <c r="BD284" i="5"/>
  <c r="BC284" i="5"/>
  <c r="BB284" i="5"/>
  <c r="BA284" i="5"/>
  <c r="AZ284" i="5"/>
  <c r="AY284" i="5"/>
  <c r="AX284" i="5"/>
  <c r="AW284" i="5"/>
  <c r="AV284" i="5"/>
  <c r="AU284" i="5"/>
  <c r="AT284" i="5"/>
  <c r="AS284" i="5"/>
  <c r="AR284" i="5"/>
  <c r="DH283" i="5"/>
  <c r="DG283" i="5"/>
  <c r="DA283" i="5"/>
  <c r="CX283" i="5"/>
  <c r="CG283" i="5"/>
  <c r="CF283" i="5"/>
  <c r="CD283" i="5"/>
  <c r="CC283" i="5"/>
  <c r="CB283" i="5"/>
  <c r="CA283" i="5"/>
  <c r="BZ283" i="5"/>
  <c r="BY283" i="5"/>
  <c r="BX283" i="5"/>
  <c r="BW283" i="5"/>
  <c r="BV283" i="5"/>
  <c r="BU283" i="5"/>
  <c r="BT283" i="5"/>
  <c r="BS283" i="5"/>
  <c r="BR283" i="5"/>
  <c r="BQ283" i="5"/>
  <c r="BP283" i="5"/>
  <c r="BO283" i="5"/>
  <c r="BN283" i="5"/>
  <c r="BM283" i="5"/>
  <c r="BL283" i="5"/>
  <c r="BK283" i="5"/>
  <c r="BJ283" i="5"/>
  <c r="BI283" i="5"/>
  <c r="BH283" i="5"/>
  <c r="BG283" i="5"/>
  <c r="BF283" i="5"/>
  <c r="BE283" i="5"/>
  <c r="BD283" i="5"/>
  <c r="BC283" i="5"/>
  <c r="BB283" i="5"/>
  <c r="BA283" i="5"/>
  <c r="AZ283" i="5"/>
  <c r="AY283" i="5"/>
  <c r="AX283" i="5"/>
  <c r="AW283" i="5"/>
  <c r="AV283" i="5"/>
  <c r="AU283" i="5"/>
  <c r="AT283" i="5"/>
  <c r="AS283" i="5"/>
  <c r="AR283" i="5"/>
  <c r="DH282" i="5"/>
  <c r="DG282" i="5"/>
  <c r="DA282" i="5"/>
  <c r="CX282" i="5"/>
  <c r="CH282" i="5"/>
  <c r="CI282" i="5" s="1"/>
  <c r="CJ282" i="5" s="1"/>
  <c r="CG282" i="5"/>
  <c r="CF282" i="5"/>
  <c r="CE282" i="5"/>
  <c r="CD282" i="5"/>
  <c r="CC282" i="5"/>
  <c r="CB282" i="5"/>
  <c r="CA282" i="5"/>
  <c r="BZ282" i="5"/>
  <c r="BY282" i="5"/>
  <c r="BX282" i="5"/>
  <c r="BW282" i="5"/>
  <c r="BV282" i="5"/>
  <c r="BU282" i="5"/>
  <c r="BT282" i="5"/>
  <c r="BS282" i="5"/>
  <c r="BR282" i="5"/>
  <c r="BQ282" i="5"/>
  <c r="BP282" i="5"/>
  <c r="BO282" i="5"/>
  <c r="BN282" i="5"/>
  <c r="BM282" i="5"/>
  <c r="BL282" i="5"/>
  <c r="BK282" i="5"/>
  <c r="BJ282" i="5"/>
  <c r="BI282" i="5"/>
  <c r="BH282" i="5"/>
  <c r="BG282" i="5"/>
  <c r="BF282" i="5"/>
  <c r="BE282" i="5"/>
  <c r="BD282" i="5"/>
  <c r="BC282" i="5"/>
  <c r="BB282" i="5"/>
  <c r="BA282" i="5"/>
  <c r="AZ282" i="5"/>
  <c r="AX282" i="5"/>
  <c r="AY282" i="5" s="1"/>
  <c r="AW282" i="5"/>
  <c r="AV282" i="5"/>
  <c r="AU282" i="5"/>
  <c r="AT282" i="5"/>
  <c r="AS282" i="5"/>
  <c r="AR282" i="5"/>
  <c r="DH281" i="5"/>
  <c r="DG281" i="5"/>
  <c r="DA281" i="5"/>
  <c r="CX281" i="5"/>
  <c r="CK281" i="5"/>
  <c r="CJ281" i="5"/>
  <c r="CL281" i="5" s="1"/>
  <c r="CM281" i="5" s="1"/>
  <c r="CI281" i="5"/>
  <c r="CH281" i="5"/>
  <c r="CG281" i="5"/>
  <c r="CF281" i="5"/>
  <c r="CE281" i="5"/>
  <c r="CD281" i="5"/>
  <c r="CC281" i="5"/>
  <c r="CB281" i="5"/>
  <c r="CA281" i="5"/>
  <c r="BZ281" i="5"/>
  <c r="BY281" i="5"/>
  <c r="BX281" i="5"/>
  <c r="BW281" i="5"/>
  <c r="BV281" i="5"/>
  <c r="BU281" i="5"/>
  <c r="BT281" i="5"/>
  <c r="BS281" i="5"/>
  <c r="BR281" i="5"/>
  <c r="BQ281" i="5"/>
  <c r="BP281" i="5"/>
  <c r="BO281" i="5"/>
  <c r="BN281" i="5"/>
  <c r="BM281" i="5"/>
  <c r="BL281" i="5"/>
  <c r="BK281" i="5"/>
  <c r="BJ281" i="5"/>
  <c r="BI281" i="5"/>
  <c r="BH281" i="5"/>
  <c r="BG281" i="5"/>
  <c r="BF281" i="5"/>
  <c r="BE281" i="5"/>
  <c r="BD281" i="5"/>
  <c r="BC281" i="5"/>
  <c r="BB281" i="5"/>
  <c r="BA281" i="5"/>
  <c r="AZ281" i="5"/>
  <c r="AY281" i="5"/>
  <c r="AX281" i="5"/>
  <c r="AW281" i="5"/>
  <c r="AV281" i="5"/>
  <c r="AU281" i="5"/>
  <c r="AT281" i="5"/>
  <c r="AS281" i="5"/>
  <c r="AR281" i="5"/>
  <c r="DH280" i="5"/>
  <c r="DG280" i="5"/>
  <c r="DA280" i="5"/>
  <c r="CX280" i="5"/>
  <c r="CG280" i="5"/>
  <c r="CF280" i="5"/>
  <c r="CD280" i="5"/>
  <c r="CH280" i="5" s="1"/>
  <c r="CC280" i="5"/>
  <c r="CB280" i="5"/>
  <c r="CA280" i="5"/>
  <c r="BZ280" i="5"/>
  <c r="BY280" i="5"/>
  <c r="BX280" i="5"/>
  <c r="BW280" i="5"/>
  <c r="BV280" i="5"/>
  <c r="BU280" i="5"/>
  <c r="BT280" i="5"/>
  <c r="BS280" i="5"/>
  <c r="BR280" i="5"/>
  <c r="BQ280" i="5"/>
  <c r="BP280" i="5"/>
  <c r="BO280" i="5"/>
  <c r="BN280" i="5"/>
  <c r="BM280" i="5"/>
  <c r="BL280" i="5"/>
  <c r="BK280" i="5"/>
  <c r="BJ280" i="5"/>
  <c r="BI280" i="5"/>
  <c r="BH280" i="5"/>
  <c r="BG280" i="5"/>
  <c r="BF280" i="5"/>
  <c r="BE280" i="5"/>
  <c r="BD280" i="5"/>
  <c r="BC280" i="5"/>
  <c r="BB280" i="5"/>
  <c r="BA280" i="5"/>
  <c r="AZ280" i="5"/>
  <c r="AY280" i="5"/>
  <c r="AX280" i="5"/>
  <c r="AW280" i="5"/>
  <c r="AV280" i="5"/>
  <c r="AU280" i="5"/>
  <c r="AT280" i="5"/>
  <c r="AS280" i="5"/>
  <c r="AR280" i="5"/>
  <c r="DH279" i="5"/>
  <c r="DG279" i="5"/>
  <c r="DA279" i="5"/>
  <c r="CX279" i="5"/>
  <c r="CG279" i="5"/>
  <c r="CF279" i="5"/>
  <c r="CD279" i="5"/>
  <c r="CC279" i="5"/>
  <c r="CB279" i="5"/>
  <c r="CA279" i="5"/>
  <c r="BZ279" i="5"/>
  <c r="BY279" i="5"/>
  <c r="BX279" i="5"/>
  <c r="BW279" i="5"/>
  <c r="BV279" i="5"/>
  <c r="BU279" i="5"/>
  <c r="BT279" i="5"/>
  <c r="BS279" i="5"/>
  <c r="BR279" i="5"/>
  <c r="BQ279" i="5"/>
  <c r="BP279" i="5"/>
  <c r="BO279" i="5"/>
  <c r="BN279" i="5"/>
  <c r="BM279" i="5"/>
  <c r="BL279" i="5"/>
  <c r="BK279" i="5"/>
  <c r="BJ279" i="5"/>
  <c r="BI279" i="5"/>
  <c r="BH279" i="5"/>
  <c r="BG279" i="5"/>
  <c r="BF279" i="5"/>
  <c r="BE279" i="5"/>
  <c r="BD279" i="5"/>
  <c r="BC279" i="5"/>
  <c r="BB279" i="5"/>
  <c r="BA279" i="5"/>
  <c r="AZ279" i="5"/>
  <c r="AY279" i="5"/>
  <c r="AX279" i="5"/>
  <c r="AW279" i="5"/>
  <c r="AV279" i="5"/>
  <c r="AU279" i="5"/>
  <c r="AT279" i="5"/>
  <c r="AS279" i="5"/>
  <c r="AR279" i="5"/>
  <c r="DH278" i="5"/>
  <c r="DG278" i="5"/>
  <c r="DA278" i="5"/>
  <c r="CX278" i="5"/>
  <c r="CK278" i="5"/>
  <c r="CH278" i="5"/>
  <c r="CI278" i="5" s="1"/>
  <c r="CJ278" i="5" s="1"/>
  <c r="CL278" i="5" s="1"/>
  <c r="CM278" i="5" s="1"/>
  <c r="CG278" i="5"/>
  <c r="CF278" i="5"/>
  <c r="CE278" i="5"/>
  <c r="CD278" i="5"/>
  <c r="CC278" i="5"/>
  <c r="CB278" i="5"/>
  <c r="CA278" i="5"/>
  <c r="BZ278" i="5"/>
  <c r="BY278" i="5"/>
  <c r="BX278" i="5"/>
  <c r="BW278" i="5"/>
  <c r="BV278" i="5"/>
  <c r="BU278" i="5"/>
  <c r="BT278" i="5"/>
  <c r="BS278" i="5"/>
  <c r="BR278" i="5"/>
  <c r="BQ278" i="5"/>
  <c r="BP278" i="5"/>
  <c r="BO278" i="5"/>
  <c r="BN278" i="5"/>
  <c r="BM278" i="5"/>
  <c r="BL278" i="5"/>
  <c r="BK278" i="5"/>
  <c r="BJ278" i="5"/>
  <c r="BI278" i="5"/>
  <c r="BH278" i="5"/>
  <c r="BG278" i="5"/>
  <c r="BF278" i="5"/>
  <c r="BE278" i="5"/>
  <c r="BD278" i="5"/>
  <c r="BC278" i="5"/>
  <c r="BB278" i="5"/>
  <c r="BA278" i="5"/>
  <c r="AZ278" i="5"/>
  <c r="AX278" i="5"/>
  <c r="AY278" i="5" s="1"/>
  <c r="AW278" i="5"/>
  <c r="AV278" i="5"/>
  <c r="AU278" i="5"/>
  <c r="AT278" i="5"/>
  <c r="AS278" i="5"/>
  <c r="AR278" i="5"/>
  <c r="DH277" i="5"/>
  <c r="DG277" i="5"/>
  <c r="DA277" i="5"/>
  <c r="CX277" i="5"/>
  <c r="CG277" i="5"/>
  <c r="CF277" i="5"/>
  <c r="CD277" i="5"/>
  <c r="CC277" i="5"/>
  <c r="CB277" i="5"/>
  <c r="CA277" i="5"/>
  <c r="BZ277" i="5"/>
  <c r="BY277" i="5"/>
  <c r="BX277" i="5"/>
  <c r="BW277" i="5"/>
  <c r="BV277" i="5"/>
  <c r="BU277" i="5"/>
  <c r="BT277" i="5"/>
  <c r="BS277" i="5"/>
  <c r="BR277" i="5"/>
  <c r="BQ277" i="5"/>
  <c r="BP277" i="5"/>
  <c r="BO277" i="5"/>
  <c r="BN277" i="5"/>
  <c r="BM277" i="5"/>
  <c r="BL277" i="5"/>
  <c r="BK277" i="5"/>
  <c r="BJ277" i="5"/>
  <c r="BI277" i="5"/>
  <c r="BH277" i="5"/>
  <c r="BG277" i="5"/>
  <c r="BF277" i="5"/>
  <c r="BE277" i="5"/>
  <c r="BD277" i="5"/>
  <c r="BC277" i="5"/>
  <c r="BB277" i="5"/>
  <c r="BA277" i="5"/>
  <c r="AZ277" i="5"/>
  <c r="AY277" i="5"/>
  <c r="AX277" i="5"/>
  <c r="AW277" i="5"/>
  <c r="AV277" i="5"/>
  <c r="AU277" i="5"/>
  <c r="AT277" i="5"/>
  <c r="AS277" i="5"/>
  <c r="AR277" i="5"/>
  <c r="DH276" i="5"/>
  <c r="DG276" i="5"/>
  <c r="DA276" i="5"/>
  <c r="CX276" i="5"/>
  <c r="CH276" i="5"/>
  <c r="CI276" i="5" s="1"/>
  <c r="CJ276" i="5" s="1"/>
  <c r="CG276" i="5"/>
  <c r="CF276" i="5"/>
  <c r="CE276" i="5"/>
  <c r="CD276" i="5"/>
  <c r="CC276" i="5"/>
  <c r="CB276" i="5"/>
  <c r="CA276" i="5"/>
  <c r="BZ276" i="5"/>
  <c r="BY276" i="5"/>
  <c r="BX276" i="5"/>
  <c r="BW276" i="5"/>
  <c r="BV276" i="5"/>
  <c r="BU276" i="5"/>
  <c r="BT276" i="5"/>
  <c r="BS276" i="5"/>
  <c r="BR276" i="5"/>
  <c r="BQ276" i="5"/>
  <c r="BP276" i="5"/>
  <c r="BO276" i="5"/>
  <c r="BN276" i="5"/>
  <c r="BM276" i="5"/>
  <c r="BL276" i="5"/>
  <c r="BK276" i="5"/>
  <c r="BJ276" i="5"/>
  <c r="BI276" i="5"/>
  <c r="BH276" i="5"/>
  <c r="BG276" i="5"/>
  <c r="BF276" i="5"/>
  <c r="BE276" i="5"/>
  <c r="BD276" i="5"/>
  <c r="BC276" i="5"/>
  <c r="BB276" i="5"/>
  <c r="BA276" i="5"/>
  <c r="AZ276" i="5"/>
  <c r="AX276" i="5"/>
  <c r="AY276" i="5" s="1"/>
  <c r="AW276" i="5"/>
  <c r="AV276" i="5"/>
  <c r="AU276" i="5"/>
  <c r="AT276" i="5"/>
  <c r="AS276" i="5"/>
  <c r="AR276" i="5"/>
  <c r="DH275" i="5"/>
  <c r="DG275" i="5"/>
  <c r="DA275" i="5"/>
  <c r="CX275" i="5"/>
  <c r="CM275" i="5"/>
  <c r="CO275" i="5" s="1"/>
  <c r="CK275" i="5"/>
  <c r="CI275" i="5"/>
  <c r="CJ275" i="5" s="1"/>
  <c r="CL275" i="5" s="1"/>
  <c r="CH275" i="5"/>
  <c r="CG275" i="5"/>
  <c r="CF275" i="5"/>
  <c r="CE275" i="5"/>
  <c r="CD275" i="5"/>
  <c r="CC275" i="5"/>
  <c r="CB275" i="5"/>
  <c r="CA275" i="5"/>
  <c r="BZ275" i="5"/>
  <c r="BY275" i="5"/>
  <c r="BX275" i="5"/>
  <c r="BW275" i="5"/>
  <c r="BV275" i="5"/>
  <c r="BU275" i="5"/>
  <c r="BT275" i="5"/>
  <c r="BS275" i="5"/>
  <c r="BR275" i="5"/>
  <c r="BQ275" i="5"/>
  <c r="BP275" i="5"/>
  <c r="BO275" i="5"/>
  <c r="BN275" i="5"/>
  <c r="BM275" i="5"/>
  <c r="BL275" i="5"/>
  <c r="BK275" i="5"/>
  <c r="BJ275" i="5"/>
  <c r="BI275" i="5"/>
  <c r="BH275" i="5"/>
  <c r="BG275" i="5"/>
  <c r="BF275" i="5"/>
  <c r="BE275" i="5"/>
  <c r="BD275" i="5"/>
  <c r="BC275" i="5"/>
  <c r="BB275" i="5"/>
  <c r="BA275" i="5"/>
  <c r="AZ275" i="5"/>
  <c r="AY275" i="5"/>
  <c r="AX275" i="5"/>
  <c r="AW275" i="5"/>
  <c r="AV275" i="5"/>
  <c r="AU275" i="5"/>
  <c r="AT275" i="5"/>
  <c r="AS275" i="5"/>
  <c r="AR275" i="5"/>
  <c r="DH274" i="5"/>
  <c r="DG274" i="5"/>
  <c r="DA274" i="5"/>
  <c r="CX274" i="5"/>
  <c r="CK274" i="5"/>
  <c r="CJ274" i="5"/>
  <c r="CL274" i="5" s="1"/>
  <c r="CM274" i="5" s="1"/>
  <c r="CG274" i="5"/>
  <c r="CF274" i="5"/>
  <c r="CE274" i="5"/>
  <c r="CI274" i="5" s="1"/>
  <c r="CD274" i="5"/>
  <c r="CH274" i="5" s="1"/>
  <c r="CC274" i="5"/>
  <c r="CB274" i="5"/>
  <c r="CA274" i="5"/>
  <c r="BZ274" i="5"/>
  <c r="BY274" i="5"/>
  <c r="BX274" i="5"/>
  <c r="BW274" i="5"/>
  <c r="BV274" i="5"/>
  <c r="BU274" i="5"/>
  <c r="BT274" i="5"/>
  <c r="BS274" i="5"/>
  <c r="BR274" i="5"/>
  <c r="BQ274" i="5"/>
  <c r="BP274" i="5"/>
  <c r="BO274" i="5"/>
  <c r="BN274" i="5"/>
  <c r="BM274" i="5"/>
  <c r="BL274" i="5"/>
  <c r="BK274" i="5"/>
  <c r="BJ274" i="5"/>
  <c r="BI274" i="5"/>
  <c r="BH274" i="5"/>
  <c r="BG274" i="5"/>
  <c r="BF274" i="5"/>
  <c r="BE274" i="5"/>
  <c r="BD274" i="5"/>
  <c r="BC274" i="5"/>
  <c r="BB274" i="5"/>
  <c r="BA274" i="5"/>
  <c r="AZ274" i="5"/>
  <c r="AY274" i="5"/>
  <c r="AX274" i="5"/>
  <c r="AW274" i="5"/>
  <c r="AV274" i="5"/>
  <c r="AU274" i="5"/>
  <c r="AT274" i="5"/>
  <c r="AS274" i="5"/>
  <c r="AR274" i="5"/>
  <c r="DH273" i="5"/>
  <c r="DG273" i="5"/>
  <c r="DA273" i="5"/>
  <c r="CX273" i="5"/>
  <c r="CH273" i="5"/>
  <c r="CG273" i="5"/>
  <c r="CF273" i="5"/>
  <c r="CE273" i="5"/>
  <c r="CD273" i="5"/>
  <c r="CC273" i="5"/>
  <c r="CB273" i="5"/>
  <c r="CA273" i="5"/>
  <c r="BZ273" i="5"/>
  <c r="BY273" i="5"/>
  <c r="BX273" i="5"/>
  <c r="BW273" i="5"/>
  <c r="BV273" i="5"/>
  <c r="BU273" i="5"/>
  <c r="BT273" i="5"/>
  <c r="BS273" i="5"/>
  <c r="BR273" i="5"/>
  <c r="BQ273" i="5"/>
  <c r="BP273" i="5"/>
  <c r="BO273" i="5"/>
  <c r="BN273" i="5"/>
  <c r="BM273" i="5"/>
  <c r="BL273" i="5"/>
  <c r="BK273" i="5"/>
  <c r="BJ273" i="5"/>
  <c r="BI273" i="5"/>
  <c r="BH273" i="5"/>
  <c r="BG273" i="5"/>
  <c r="BF273" i="5"/>
  <c r="BE273" i="5"/>
  <c r="BD273" i="5"/>
  <c r="BC273" i="5"/>
  <c r="BB273" i="5"/>
  <c r="BA273" i="5"/>
  <c r="AZ273" i="5"/>
  <c r="AX273" i="5"/>
  <c r="AY273" i="5" s="1"/>
  <c r="AW273" i="5"/>
  <c r="AV273" i="5"/>
  <c r="AU273" i="5"/>
  <c r="AT273" i="5"/>
  <c r="AS273" i="5"/>
  <c r="AR273" i="5"/>
  <c r="DH272" i="5"/>
  <c r="DG272" i="5"/>
  <c r="DA272" i="5"/>
  <c r="CX272" i="5"/>
  <c r="CH272" i="5"/>
  <c r="CI272" i="5" s="1"/>
  <c r="CJ272" i="5" s="1"/>
  <c r="CG272" i="5"/>
  <c r="CF272" i="5"/>
  <c r="CE272" i="5"/>
  <c r="CD272" i="5"/>
  <c r="CC272" i="5"/>
  <c r="CB272" i="5"/>
  <c r="CA272" i="5"/>
  <c r="BZ272" i="5"/>
  <c r="BY272" i="5"/>
  <c r="BX272" i="5"/>
  <c r="BW272" i="5"/>
  <c r="BV272" i="5"/>
  <c r="BU272" i="5"/>
  <c r="BT272" i="5"/>
  <c r="BS272" i="5"/>
  <c r="BR272" i="5"/>
  <c r="BQ272" i="5"/>
  <c r="BP272" i="5"/>
  <c r="BO272" i="5"/>
  <c r="BN272" i="5"/>
  <c r="BM272" i="5"/>
  <c r="BL272" i="5"/>
  <c r="BK272" i="5"/>
  <c r="BJ272" i="5"/>
  <c r="BI272" i="5"/>
  <c r="BH272" i="5"/>
  <c r="BG272" i="5"/>
  <c r="BF272" i="5"/>
  <c r="BE272" i="5"/>
  <c r="BD272" i="5"/>
  <c r="BC272" i="5"/>
  <c r="BB272" i="5"/>
  <c r="BA272" i="5"/>
  <c r="AZ272" i="5"/>
  <c r="AX272" i="5"/>
  <c r="AY272" i="5" s="1"/>
  <c r="AW272" i="5"/>
  <c r="AV272" i="5"/>
  <c r="CK272" i="5" s="1"/>
  <c r="AU272" i="5"/>
  <c r="AT272" i="5"/>
  <c r="AS272" i="5"/>
  <c r="AR272" i="5"/>
  <c r="DH271" i="5"/>
  <c r="DG271" i="5"/>
  <c r="DA271" i="5"/>
  <c r="CX271" i="5"/>
  <c r="CK271" i="5"/>
  <c r="CJ271" i="5"/>
  <c r="CL271" i="5" s="1"/>
  <c r="CM271" i="5" s="1"/>
  <c r="CG271" i="5"/>
  <c r="CF271" i="5"/>
  <c r="CE271" i="5"/>
  <c r="CI271" i="5" s="1"/>
  <c r="CD271" i="5"/>
  <c r="CH271" i="5" s="1"/>
  <c r="CC271" i="5"/>
  <c r="CB271" i="5"/>
  <c r="CA271" i="5"/>
  <c r="BZ271" i="5"/>
  <c r="BY271" i="5"/>
  <c r="BX271" i="5"/>
  <c r="BW271" i="5"/>
  <c r="BV271" i="5"/>
  <c r="BU271" i="5"/>
  <c r="BT271" i="5"/>
  <c r="BS271" i="5"/>
  <c r="BR271" i="5"/>
  <c r="BQ271" i="5"/>
  <c r="BP271" i="5"/>
  <c r="BO271" i="5"/>
  <c r="BN271" i="5"/>
  <c r="BM271" i="5"/>
  <c r="BL271" i="5"/>
  <c r="BK271" i="5"/>
  <c r="BJ271" i="5"/>
  <c r="BI271" i="5"/>
  <c r="BH271" i="5"/>
  <c r="BG271" i="5"/>
  <c r="BF271" i="5"/>
  <c r="BE271" i="5"/>
  <c r="BD271" i="5"/>
  <c r="BC271" i="5"/>
  <c r="BB271" i="5"/>
  <c r="BA271" i="5"/>
  <c r="AZ271" i="5"/>
  <c r="AY271" i="5"/>
  <c r="AX271" i="5"/>
  <c r="AW271" i="5"/>
  <c r="AV271" i="5"/>
  <c r="AU271" i="5"/>
  <c r="AT271" i="5"/>
  <c r="AS271" i="5"/>
  <c r="AR271" i="5"/>
  <c r="DH270" i="5"/>
  <c r="DG270" i="5"/>
  <c r="DA270" i="5"/>
  <c r="CX270" i="5"/>
  <c r="CG270" i="5"/>
  <c r="CF270" i="5"/>
  <c r="CE270" i="5"/>
  <c r="CD270" i="5"/>
  <c r="CH270" i="5" s="1"/>
  <c r="CC270" i="5"/>
  <c r="CB270" i="5"/>
  <c r="CA270" i="5"/>
  <c r="BZ270" i="5"/>
  <c r="BY270" i="5"/>
  <c r="BX270" i="5"/>
  <c r="BW270" i="5"/>
  <c r="BV270" i="5"/>
  <c r="BU270" i="5"/>
  <c r="BT270" i="5"/>
  <c r="BS270" i="5"/>
  <c r="BR270" i="5"/>
  <c r="BQ270" i="5"/>
  <c r="BP270" i="5"/>
  <c r="BO270" i="5"/>
  <c r="BN270" i="5"/>
  <c r="BM270" i="5"/>
  <c r="BL270" i="5"/>
  <c r="BK270" i="5"/>
  <c r="BJ270" i="5"/>
  <c r="BI270" i="5"/>
  <c r="BH270" i="5"/>
  <c r="BG270" i="5"/>
  <c r="BF270" i="5"/>
  <c r="BE270" i="5"/>
  <c r="BD270" i="5"/>
  <c r="BC270" i="5"/>
  <c r="BB270" i="5"/>
  <c r="BA270" i="5"/>
  <c r="AZ270" i="5"/>
  <c r="AX270" i="5"/>
  <c r="AY270" i="5" s="1"/>
  <c r="AW270" i="5"/>
  <c r="AV270" i="5"/>
  <c r="AU270" i="5"/>
  <c r="AT270" i="5"/>
  <c r="AS270" i="5"/>
  <c r="AR270" i="5"/>
  <c r="DH269" i="5"/>
  <c r="DG269" i="5"/>
  <c r="DA269" i="5"/>
  <c r="CX269" i="5"/>
  <c r="CM269" i="5"/>
  <c r="CL269" i="5"/>
  <c r="CI269" i="5"/>
  <c r="CJ269" i="5" s="1"/>
  <c r="CH269" i="5"/>
  <c r="CG269" i="5"/>
  <c r="CF269" i="5"/>
  <c r="CE269" i="5"/>
  <c r="CD269" i="5"/>
  <c r="CC269" i="5"/>
  <c r="CB269" i="5"/>
  <c r="CA269" i="5"/>
  <c r="BZ269" i="5"/>
  <c r="BY269" i="5"/>
  <c r="BX269" i="5"/>
  <c r="BW269" i="5"/>
  <c r="BV269" i="5"/>
  <c r="BU269" i="5"/>
  <c r="BT269" i="5"/>
  <c r="BS269" i="5"/>
  <c r="BR269" i="5"/>
  <c r="BQ269" i="5"/>
  <c r="BP269" i="5"/>
  <c r="BO269" i="5"/>
  <c r="BN269" i="5"/>
  <c r="BM269" i="5"/>
  <c r="BL269" i="5"/>
  <c r="BK269" i="5"/>
  <c r="BJ269" i="5"/>
  <c r="BI269" i="5"/>
  <c r="BH269" i="5"/>
  <c r="BG269" i="5"/>
  <c r="BF269" i="5"/>
  <c r="BE269" i="5"/>
  <c r="BD269" i="5"/>
  <c r="BC269" i="5"/>
  <c r="BB269" i="5"/>
  <c r="BA269" i="5"/>
  <c r="AZ269" i="5"/>
  <c r="AY269" i="5"/>
  <c r="AX269" i="5"/>
  <c r="AW269" i="5"/>
  <c r="AV269" i="5"/>
  <c r="CK269" i="5" s="1"/>
  <c r="AU269" i="5"/>
  <c r="AT269" i="5"/>
  <c r="AS269" i="5"/>
  <c r="AR269" i="5"/>
  <c r="DH268" i="5"/>
  <c r="DG268" i="5"/>
  <c r="DA268" i="5"/>
  <c r="CX268" i="5"/>
  <c r="CG268" i="5"/>
  <c r="CF268" i="5"/>
  <c r="CD268" i="5"/>
  <c r="CC268" i="5"/>
  <c r="CB268" i="5"/>
  <c r="CA268" i="5"/>
  <c r="BZ268" i="5"/>
  <c r="BY268" i="5"/>
  <c r="BX268" i="5"/>
  <c r="BW268" i="5"/>
  <c r="BV268" i="5"/>
  <c r="BU268" i="5"/>
  <c r="BT268" i="5"/>
  <c r="BS268" i="5"/>
  <c r="BR268" i="5"/>
  <c r="BQ268" i="5"/>
  <c r="BP268" i="5"/>
  <c r="BO268" i="5"/>
  <c r="BN268" i="5"/>
  <c r="BM268" i="5"/>
  <c r="BL268" i="5"/>
  <c r="BK268" i="5"/>
  <c r="BJ268" i="5"/>
  <c r="BI268" i="5"/>
  <c r="BH268" i="5"/>
  <c r="BG268" i="5"/>
  <c r="BF268" i="5"/>
  <c r="BE268" i="5"/>
  <c r="BD268" i="5"/>
  <c r="BC268" i="5"/>
  <c r="BB268" i="5"/>
  <c r="BA268" i="5"/>
  <c r="AZ268" i="5"/>
  <c r="AY268" i="5"/>
  <c r="AX268" i="5"/>
  <c r="AW268" i="5"/>
  <c r="AV268" i="5"/>
  <c r="AU268" i="5"/>
  <c r="AT268" i="5"/>
  <c r="AS268" i="5"/>
  <c r="AR268" i="5"/>
  <c r="DH267" i="5"/>
  <c r="DG267" i="5"/>
  <c r="DA267" i="5"/>
  <c r="CX267" i="5"/>
  <c r="CI267" i="5"/>
  <c r="CJ267" i="5" s="1"/>
  <c r="CG267" i="5"/>
  <c r="CF267" i="5"/>
  <c r="CE267" i="5"/>
  <c r="CD267" i="5"/>
  <c r="CH267" i="5" s="1"/>
  <c r="CC267" i="5"/>
  <c r="CB267" i="5"/>
  <c r="CA267" i="5"/>
  <c r="BZ267" i="5"/>
  <c r="BY267" i="5"/>
  <c r="BX267" i="5"/>
  <c r="BW267" i="5"/>
  <c r="BV267" i="5"/>
  <c r="BU267" i="5"/>
  <c r="BT267" i="5"/>
  <c r="BS267" i="5"/>
  <c r="BR267" i="5"/>
  <c r="BQ267" i="5"/>
  <c r="BP267" i="5"/>
  <c r="BO267" i="5"/>
  <c r="BN267" i="5"/>
  <c r="BM267" i="5"/>
  <c r="BL267" i="5"/>
  <c r="BK267" i="5"/>
  <c r="BJ267" i="5"/>
  <c r="BI267" i="5"/>
  <c r="BH267" i="5"/>
  <c r="BG267" i="5"/>
  <c r="BF267" i="5"/>
  <c r="BE267" i="5"/>
  <c r="BD267" i="5"/>
  <c r="BC267" i="5"/>
  <c r="BB267" i="5"/>
  <c r="BA267" i="5"/>
  <c r="AZ267" i="5"/>
  <c r="AY267" i="5"/>
  <c r="AX267" i="5"/>
  <c r="AW267" i="5"/>
  <c r="AV267" i="5"/>
  <c r="AU267" i="5"/>
  <c r="AT267" i="5"/>
  <c r="AS267" i="5"/>
  <c r="AR267" i="5"/>
  <c r="DH266" i="5"/>
  <c r="DG266" i="5"/>
  <c r="DA266" i="5"/>
  <c r="CX266" i="5"/>
  <c r="CH266" i="5"/>
  <c r="CI266" i="5" s="1"/>
  <c r="CJ266" i="5" s="1"/>
  <c r="CG266" i="5"/>
  <c r="CF266" i="5"/>
  <c r="CE266" i="5"/>
  <c r="CD266" i="5"/>
  <c r="CC266" i="5"/>
  <c r="CB266" i="5"/>
  <c r="CA266" i="5"/>
  <c r="BZ266" i="5"/>
  <c r="BY266" i="5"/>
  <c r="BX266" i="5"/>
  <c r="BW266" i="5"/>
  <c r="BV266" i="5"/>
  <c r="BU266" i="5"/>
  <c r="BT266" i="5"/>
  <c r="BS266" i="5"/>
  <c r="BR266" i="5"/>
  <c r="BQ266" i="5"/>
  <c r="BP266" i="5"/>
  <c r="BO266" i="5"/>
  <c r="BN266" i="5"/>
  <c r="BM266" i="5"/>
  <c r="BL266" i="5"/>
  <c r="BK266" i="5"/>
  <c r="BJ266" i="5"/>
  <c r="BI266" i="5"/>
  <c r="BH266" i="5"/>
  <c r="BG266" i="5"/>
  <c r="BF266" i="5"/>
  <c r="BE266" i="5"/>
  <c r="BD266" i="5"/>
  <c r="BC266" i="5"/>
  <c r="BB266" i="5"/>
  <c r="BA266" i="5"/>
  <c r="AZ266" i="5"/>
  <c r="AX266" i="5"/>
  <c r="AY266" i="5" s="1"/>
  <c r="AW266" i="5"/>
  <c r="AV266" i="5"/>
  <c r="CK266" i="5" s="1"/>
  <c r="AU266" i="5"/>
  <c r="AT266" i="5"/>
  <c r="AS266" i="5"/>
  <c r="AR266" i="5"/>
  <c r="DH265" i="5"/>
  <c r="DG265" i="5"/>
  <c r="DA265" i="5"/>
  <c r="CX265" i="5"/>
  <c r="CG265" i="5"/>
  <c r="CF265" i="5"/>
  <c r="CD265" i="5"/>
  <c r="CC265" i="5"/>
  <c r="CB265" i="5"/>
  <c r="CA265" i="5"/>
  <c r="BZ265" i="5"/>
  <c r="BY265" i="5"/>
  <c r="BX265" i="5"/>
  <c r="BW265" i="5"/>
  <c r="BV265" i="5"/>
  <c r="BU265" i="5"/>
  <c r="BT265" i="5"/>
  <c r="BS265" i="5"/>
  <c r="BR265" i="5"/>
  <c r="BQ265" i="5"/>
  <c r="BP265" i="5"/>
  <c r="BO265" i="5"/>
  <c r="BN265" i="5"/>
  <c r="BM265" i="5"/>
  <c r="BL265" i="5"/>
  <c r="BK265" i="5"/>
  <c r="BJ265" i="5"/>
  <c r="BI265" i="5"/>
  <c r="BH265" i="5"/>
  <c r="BG265" i="5"/>
  <c r="BF265" i="5"/>
  <c r="BE265" i="5"/>
  <c r="BD265" i="5"/>
  <c r="BC265" i="5"/>
  <c r="BB265" i="5"/>
  <c r="BA265" i="5"/>
  <c r="AZ265" i="5"/>
  <c r="AY265" i="5"/>
  <c r="AX265" i="5"/>
  <c r="AW265" i="5"/>
  <c r="AV265" i="5"/>
  <c r="AU265" i="5"/>
  <c r="AT265" i="5"/>
  <c r="AS265" i="5"/>
  <c r="AR265" i="5"/>
  <c r="DH264" i="5"/>
  <c r="DG264" i="5"/>
  <c r="DA264" i="5"/>
  <c r="CX264" i="5"/>
  <c r="CI264" i="5"/>
  <c r="CJ264" i="5" s="1"/>
  <c r="CH264" i="5"/>
  <c r="CG264" i="5"/>
  <c r="CF264" i="5"/>
  <c r="CE264" i="5"/>
  <c r="CD264" i="5"/>
  <c r="CC264" i="5"/>
  <c r="CB264" i="5"/>
  <c r="CA264" i="5"/>
  <c r="BZ264" i="5"/>
  <c r="BY264" i="5"/>
  <c r="BX264" i="5"/>
  <c r="BW264" i="5"/>
  <c r="BV264" i="5"/>
  <c r="BU264" i="5"/>
  <c r="BT264" i="5"/>
  <c r="BS264" i="5"/>
  <c r="BR264" i="5"/>
  <c r="BQ264" i="5"/>
  <c r="BP264" i="5"/>
  <c r="BO264" i="5"/>
  <c r="BN264" i="5"/>
  <c r="BM264" i="5"/>
  <c r="BL264" i="5"/>
  <c r="BK264" i="5"/>
  <c r="BJ264" i="5"/>
  <c r="BI264" i="5"/>
  <c r="BH264" i="5"/>
  <c r="BG264" i="5"/>
  <c r="BF264" i="5"/>
  <c r="BE264" i="5"/>
  <c r="BD264" i="5"/>
  <c r="BC264" i="5"/>
  <c r="BB264" i="5"/>
  <c r="BA264" i="5"/>
  <c r="AZ264" i="5"/>
  <c r="AY264" i="5"/>
  <c r="AX264" i="5"/>
  <c r="AW264" i="5"/>
  <c r="AV264" i="5"/>
  <c r="AU264" i="5"/>
  <c r="AT264" i="5"/>
  <c r="AS264" i="5"/>
  <c r="AR264" i="5"/>
  <c r="DH263" i="5"/>
  <c r="DG263" i="5"/>
  <c r="DA263" i="5"/>
  <c r="CX263" i="5"/>
  <c r="CK263" i="5"/>
  <c r="CH263" i="5"/>
  <c r="CI263" i="5" s="1"/>
  <c r="CJ263" i="5" s="1"/>
  <c r="CL263" i="5" s="1"/>
  <c r="CM263" i="5" s="1"/>
  <c r="CG263" i="5"/>
  <c r="CF263" i="5"/>
  <c r="CE263" i="5"/>
  <c r="CD263" i="5"/>
  <c r="CC263" i="5"/>
  <c r="CB263" i="5"/>
  <c r="CA263" i="5"/>
  <c r="BZ263" i="5"/>
  <c r="BY263" i="5"/>
  <c r="BX263" i="5"/>
  <c r="BW263" i="5"/>
  <c r="BV263" i="5"/>
  <c r="BU263" i="5"/>
  <c r="BT263" i="5"/>
  <c r="BS263" i="5"/>
  <c r="BR263" i="5"/>
  <c r="BQ263" i="5"/>
  <c r="BP263" i="5"/>
  <c r="BO263" i="5"/>
  <c r="BN263" i="5"/>
  <c r="BM263" i="5"/>
  <c r="BL263" i="5"/>
  <c r="BK263" i="5"/>
  <c r="BJ263" i="5"/>
  <c r="BI263" i="5"/>
  <c r="BH263" i="5"/>
  <c r="BG263" i="5"/>
  <c r="BF263" i="5"/>
  <c r="BE263" i="5"/>
  <c r="BD263" i="5"/>
  <c r="BC263" i="5"/>
  <c r="BB263" i="5"/>
  <c r="BA263" i="5"/>
  <c r="AZ263" i="5"/>
  <c r="AX263" i="5"/>
  <c r="AY263" i="5" s="1"/>
  <c r="AW263" i="5"/>
  <c r="AV263" i="5"/>
  <c r="AU263" i="5"/>
  <c r="AT263" i="5"/>
  <c r="AS263" i="5"/>
  <c r="AR263" i="5"/>
  <c r="DH262" i="5"/>
  <c r="DG262" i="5"/>
  <c r="DA262" i="5"/>
  <c r="CX262" i="5"/>
  <c r="CG262" i="5"/>
  <c r="CF262" i="5"/>
  <c r="CE262" i="5"/>
  <c r="CI262" i="5" s="1"/>
  <c r="CJ262" i="5" s="1"/>
  <c r="CD262" i="5"/>
  <c r="CH262" i="5" s="1"/>
  <c r="CC262" i="5"/>
  <c r="CB262" i="5"/>
  <c r="CA262" i="5"/>
  <c r="BZ262" i="5"/>
  <c r="BY262" i="5"/>
  <c r="BX262" i="5"/>
  <c r="BW262" i="5"/>
  <c r="BV262" i="5"/>
  <c r="BU262" i="5"/>
  <c r="BT262" i="5"/>
  <c r="BS262" i="5"/>
  <c r="BR262" i="5"/>
  <c r="BQ262" i="5"/>
  <c r="BP262" i="5"/>
  <c r="BO262" i="5"/>
  <c r="BN262" i="5"/>
  <c r="BM262" i="5"/>
  <c r="BL262" i="5"/>
  <c r="BK262" i="5"/>
  <c r="BJ262" i="5"/>
  <c r="BI262" i="5"/>
  <c r="BH262" i="5"/>
  <c r="BG262" i="5"/>
  <c r="BF262" i="5"/>
  <c r="BE262" i="5"/>
  <c r="BD262" i="5"/>
  <c r="BC262" i="5"/>
  <c r="BB262" i="5"/>
  <c r="BA262" i="5"/>
  <c r="AZ262" i="5"/>
  <c r="AY262" i="5"/>
  <c r="AX262" i="5"/>
  <c r="AW262" i="5"/>
  <c r="AV262" i="5"/>
  <c r="AU262" i="5"/>
  <c r="AT262" i="5"/>
  <c r="AS262" i="5"/>
  <c r="AR262" i="5"/>
  <c r="DH261" i="5"/>
  <c r="DG261" i="5"/>
  <c r="DA261" i="5"/>
  <c r="CX261" i="5"/>
  <c r="CH261" i="5"/>
  <c r="CG261" i="5"/>
  <c r="CF261" i="5"/>
  <c r="CE261" i="5"/>
  <c r="CD261" i="5"/>
  <c r="CC261" i="5"/>
  <c r="CB261" i="5"/>
  <c r="CA261" i="5"/>
  <c r="BZ261" i="5"/>
  <c r="BY261" i="5"/>
  <c r="BX261" i="5"/>
  <c r="BW261" i="5"/>
  <c r="BV261" i="5"/>
  <c r="BU261" i="5"/>
  <c r="BT261" i="5"/>
  <c r="BS261" i="5"/>
  <c r="BR261" i="5"/>
  <c r="BQ261" i="5"/>
  <c r="BP261" i="5"/>
  <c r="BO261" i="5"/>
  <c r="BN261" i="5"/>
  <c r="BM261" i="5"/>
  <c r="BL261" i="5"/>
  <c r="BK261" i="5"/>
  <c r="BJ261" i="5"/>
  <c r="BI261" i="5"/>
  <c r="BH261" i="5"/>
  <c r="BG261" i="5"/>
  <c r="BF261" i="5"/>
  <c r="BE261" i="5"/>
  <c r="BD261" i="5"/>
  <c r="BC261" i="5"/>
  <c r="BB261" i="5"/>
  <c r="BA261" i="5"/>
  <c r="AZ261" i="5"/>
  <c r="AX261" i="5"/>
  <c r="AY261" i="5" s="1"/>
  <c r="AW261" i="5"/>
  <c r="AV261" i="5"/>
  <c r="AU261" i="5"/>
  <c r="AT261" i="5"/>
  <c r="AS261" i="5"/>
  <c r="AR261" i="5"/>
  <c r="DH260" i="5"/>
  <c r="DG260" i="5"/>
  <c r="DA260" i="5"/>
  <c r="CY260" i="5"/>
  <c r="CZ260" i="5" s="1"/>
  <c r="CX260" i="5"/>
  <c r="CU260" i="5"/>
  <c r="CJ260" i="5"/>
  <c r="CL260" i="5" s="1"/>
  <c r="CM260" i="5" s="1"/>
  <c r="CO260" i="5" s="1"/>
  <c r="CI260" i="5"/>
  <c r="CH260" i="5"/>
  <c r="CG260" i="5"/>
  <c r="CF260" i="5"/>
  <c r="CE260" i="5"/>
  <c r="CD260" i="5"/>
  <c r="CC260" i="5"/>
  <c r="CB260" i="5"/>
  <c r="CA260" i="5"/>
  <c r="BZ260" i="5"/>
  <c r="BY260" i="5"/>
  <c r="BX260" i="5"/>
  <c r="BW260" i="5"/>
  <c r="BV260" i="5"/>
  <c r="BU260" i="5"/>
  <c r="BT260" i="5"/>
  <c r="BS260" i="5"/>
  <c r="BR260" i="5"/>
  <c r="BQ260" i="5"/>
  <c r="BP260" i="5"/>
  <c r="BO260" i="5"/>
  <c r="BN260" i="5"/>
  <c r="BM260" i="5"/>
  <c r="BL260" i="5"/>
  <c r="BK260" i="5"/>
  <c r="BJ260" i="5"/>
  <c r="BI260" i="5"/>
  <c r="BH260" i="5"/>
  <c r="BG260" i="5"/>
  <c r="BF260" i="5"/>
  <c r="BE260" i="5"/>
  <c r="BD260" i="5"/>
  <c r="BC260" i="5"/>
  <c r="BB260" i="5"/>
  <c r="BA260" i="5"/>
  <c r="AZ260" i="5"/>
  <c r="AY260" i="5"/>
  <c r="AX260" i="5"/>
  <c r="AW260" i="5"/>
  <c r="AV260" i="5"/>
  <c r="CK260" i="5" s="1"/>
  <c r="AU260" i="5"/>
  <c r="AT260" i="5"/>
  <c r="AS260" i="5"/>
  <c r="AR260" i="5"/>
  <c r="DH259" i="5"/>
  <c r="DG259" i="5"/>
  <c r="DA259" i="5"/>
  <c r="CX259" i="5"/>
  <c r="CG259" i="5"/>
  <c r="CF259" i="5"/>
  <c r="CD259" i="5"/>
  <c r="CH259" i="5" s="1"/>
  <c r="CC259" i="5"/>
  <c r="CB259" i="5"/>
  <c r="CA259" i="5"/>
  <c r="BZ259" i="5"/>
  <c r="BY259" i="5"/>
  <c r="BX259" i="5"/>
  <c r="BW259" i="5"/>
  <c r="BV259" i="5"/>
  <c r="BU259" i="5"/>
  <c r="BT259" i="5"/>
  <c r="BS259" i="5"/>
  <c r="BR259" i="5"/>
  <c r="BQ259" i="5"/>
  <c r="BP259" i="5"/>
  <c r="BO259" i="5"/>
  <c r="BN259" i="5"/>
  <c r="BM259" i="5"/>
  <c r="BL259" i="5"/>
  <c r="BK259" i="5"/>
  <c r="BJ259" i="5"/>
  <c r="BI259" i="5"/>
  <c r="BH259" i="5"/>
  <c r="BG259" i="5"/>
  <c r="BF259" i="5"/>
  <c r="BE259" i="5"/>
  <c r="BD259" i="5"/>
  <c r="BC259" i="5"/>
  <c r="BB259" i="5"/>
  <c r="BA259" i="5"/>
  <c r="AZ259" i="5"/>
  <c r="AY259" i="5"/>
  <c r="AX259" i="5"/>
  <c r="AW259" i="5"/>
  <c r="AV259" i="5"/>
  <c r="AU259" i="5"/>
  <c r="AT259" i="5"/>
  <c r="AS259" i="5"/>
  <c r="AR259" i="5"/>
  <c r="DH258" i="5"/>
  <c r="DG258" i="5"/>
  <c r="DA258" i="5"/>
  <c r="CX258" i="5"/>
  <c r="CG258" i="5"/>
  <c r="CF258" i="5"/>
  <c r="CD258" i="5"/>
  <c r="CC258" i="5"/>
  <c r="CB258" i="5"/>
  <c r="CA258" i="5"/>
  <c r="BZ258" i="5"/>
  <c r="BY258" i="5"/>
  <c r="BX258" i="5"/>
  <c r="BW258" i="5"/>
  <c r="BV258" i="5"/>
  <c r="BU258" i="5"/>
  <c r="BT258" i="5"/>
  <c r="BS258" i="5"/>
  <c r="BR258" i="5"/>
  <c r="BQ258" i="5"/>
  <c r="BP258" i="5"/>
  <c r="BO258" i="5"/>
  <c r="BN258" i="5"/>
  <c r="BM258" i="5"/>
  <c r="BL258" i="5"/>
  <c r="BK258" i="5"/>
  <c r="BJ258" i="5"/>
  <c r="BI258" i="5"/>
  <c r="BH258" i="5"/>
  <c r="BG258" i="5"/>
  <c r="BF258" i="5"/>
  <c r="BE258" i="5"/>
  <c r="BD258" i="5"/>
  <c r="BC258" i="5"/>
  <c r="BB258" i="5"/>
  <c r="BA258" i="5"/>
  <c r="AZ258" i="5"/>
  <c r="AY258" i="5"/>
  <c r="AX258" i="5"/>
  <c r="AW258" i="5"/>
  <c r="AV258" i="5"/>
  <c r="AU258" i="5"/>
  <c r="AT258" i="5"/>
  <c r="AS258" i="5"/>
  <c r="AR258" i="5"/>
  <c r="DH257" i="5"/>
  <c r="DG257" i="5"/>
  <c r="DA257" i="5"/>
  <c r="CX257" i="5"/>
  <c r="CJ257" i="5"/>
  <c r="CI257" i="5"/>
  <c r="CH257" i="5"/>
  <c r="CG257" i="5"/>
  <c r="CF257" i="5"/>
  <c r="CE257" i="5"/>
  <c r="CD257" i="5"/>
  <c r="CC257" i="5"/>
  <c r="CB257" i="5"/>
  <c r="CA257" i="5"/>
  <c r="BZ257" i="5"/>
  <c r="BY257" i="5"/>
  <c r="BX257" i="5"/>
  <c r="BW257" i="5"/>
  <c r="BV257" i="5"/>
  <c r="BU257" i="5"/>
  <c r="BT257" i="5"/>
  <c r="BS257" i="5"/>
  <c r="BR257" i="5"/>
  <c r="BQ257" i="5"/>
  <c r="BP257" i="5"/>
  <c r="BO257" i="5"/>
  <c r="BN257" i="5"/>
  <c r="BM257" i="5"/>
  <c r="BL257" i="5"/>
  <c r="BK257" i="5"/>
  <c r="BJ257" i="5"/>
  <c r="BI257" i="5"/>
  <c r="BH257" i="5"/>
  <c r="BG257" i="5"/>
  <c r="BF257" i="5"/>
  <c r="BE257" i="5"/>
  <c r="BD257" i="5"/>
  <c r="BC257" i="5"/>
  <c r="BB257" i="5"/>
  <c r="BA257" i="5"/>
  <c r="AZ257" i="5"/>
  <c r="AY257" i="5"/>
  <c r="AX257" i="5"/>
  <c r="AW257" i="5"/>
  <c r="AV257" i="5"/>
  <c r="CK257" i="5" s="1"/>
  <c r="AU257" i="5"/>
  <c r="AT257" i="5"/>
  <c r="AS257" i="5"/>
  <c r="AR257" i="5"/>
  <c r="DH256" i="5"/>
  <c r="DG256" i="5"/>
  <c r="DA256" i="5"/>
  <c r="CX256" i="5"/>
  <c r="CJ256" i="5"/>
  <c r="CG256" i="5"/>
  <c r="CF256" i="5"/>
  <c r="CE256" i="5"/>
  <c r="CI256" i="5" s="1"/>
  <c r="CD256" i="5"/>
  <c r="CH256" i="5" s="1"/>
  <c r="CC256" i="5"/>
  <c r="CB256" i="5"/>
  <c r="CA256" i="5"/>
  <c r="BZ256" i="5"/>
  <c r="BY256" i="5"/>
  <c r="BX256" i="5"/>
  <c r="BW256" i="5"/>
  <c r="BV256" i="5"/>
  <c r="BU256" i="5"/>
  <c r="BT256" i="5"/>
  <c r="BS256" i="5"/>
  <c r="BR256" i="5"/>
  <c r="BQ256" i="5"/>
  <c r="BP256" i="5"/>
  <c r="BO256" i="5"/>
  <c r="BN256" i="5"/>
  <c r="BM256" i="5"/>
  <c r="BL256" i="5"/>
  <c r="BK256" i="5"/>
  <c r="BJ256" i="5"/>
  <c r="BI256" i="5"/>
  <c r="BH256" i="5"/>
  <c r="BG256" i="5"/>
  <c r="BF256" i="5"/>
  <c r="BE256" i="5"/>
  <c r="BD256" i="5"/>
  <c r="BC256" i="5"/>
  <c r="BB256" i="5"/>
  <c r="BA256" i="5"/>
  <c r="AZ256" i="5"/>
  <c r="AY256" i="5"/>
  <c r="AX256" i="5"/>
  <c r="AW256" i="5"/>
  <c r="AV256" i="5"/>
  <c r="CK256" i="5" s="1"/>
  <c r="AU256" i="5"/>
  <c r="AT256" i="5"/>
  <c r="AS256" i="5"/>
  <c r="AR256" i="5"/>
  <c r="DH255" i="5"/>
  <c r="DG255" i="5"/>
  <c r="DA255" i="5"/>
  <c r="CX255" i="5"/>
  <c r="CG255" i="5"/>
  <c r="CF255" i="5"/>
  <c r="CD255" i="5"/>
  <c r="CC255" i="5"/>
  <c r="CB255" i="5"/>
  <c r="CA255" i="5"/>
  <c r="BZ255" i="5"/>
  <c r="BY255" i="5"/>
  <c r="BX255" i="5"/>
  <c r="BW255" i="5"/>
  <c r="BV255" i="5"/>
  <c r="BU255" i="5"/>
  <c r="BT255" i="5"/>
  <c r="BS255" i="5"/>
  <c r="BR255" i="5"/>
  <c r="BQ255" i="5"/>
  <c r="BP255" i="5"/>
  <c r="BO255" i="5"/>
  <c r="BN255" i="5"/>
  <c r="BM255" i="5"/>
  <c r="BL255" i="5"/>
  <c r="BK255" i="5"/>
  <c r="BJ255" i="5"/>
  <c r="BI255" i="5"/>
  <c r="BH255" i="5"/>
  <c r="BG255" i="5"/>
  <c r="BF255" i="5"/>
  <c r="BE255" i="5"/>
  <c r="BD255" i="5"/>
  <c r="BC255" i="5"/>
  <c r="BB255" i="5"/>
  <c r="BA255" i="5"/>
  <c r="AZ255" i="5"/>
  <c r="AX255" i="5"/>
  <c r="AY255" i="5" s="1"/>
  <c r="AW255" i="5"/>
  <c r="AV255" i="5"/>
  <c r="AU255" i="5"/>
  <c r="AT255" i="5"/>
  <c r="AS255" i="5"/>
  <c r="AR255" i="5"/>
  <c r="DH254" i="5"/>
  <c r="DG254" i="5"/>
  <c r="DA254" i="5"/>
  <c r="CX254" i="5"/>
  <c r="CH254" i="5"/>
  <c r="CI254" i="5" s="1"/>
  <c r="CJ254" i="5" s="1"/>
  <c r="CL254" i="5" s="1"/>
  <c r="CM254" i="5" s="1"/>
  <c r="CG254" i="5"/>
  <c r="CF254" i="5"/>
  <c r="CE254" i="5"/>
  <c r="CD254" i="5"/>
  <c r="CC254" i="5"/>
  <c r="CB254" i="5"/>
  <c r="CA254" i="5"/>
  <c r="BZ254" i="5"/>
  <c r="BY254" i="5"/>
  <c r="BX254" i="5"/>
  <c r="BW254" i="5"/>
  <c r="BV254" i="5"/>
  <c r="BU254" i="5"/>
  <c r="BT254" i="5"/>
  <c r="BS254" i="5"/>
  <c r="BR254" i="5"/>
  <c r="BQ254" i="5"/>
  <c r="BP254" i="5"/>
  <c r="BO254" i="5"/>
  <c r="BN254" i="5"/>
  <c r="BM254" i="5"/>
  <c r="BL254" i="5"/>
  <c r="BK254" i="5"/>
  <c r="BJ254" i="5"/>
  <c r="BI254" i="5"/>
  <c r="BH254" i="5"/>
  <c r="BG254" i="5"/>
  <c r="BF254" i="5"/>
  <c r="BE254" i="5"/>
  <c r="BD254" i="5"/>
  <c r="BC254" i="5"/>
  <c r="BB254" i="5"/>
  <c r="BA254" i="5"/>
  <c r="AZ254" i="5"/>
  <c r="AX254" i="5"/>
  <c r="AY254" i="5" s="1"/>
  <c r="AW254" i="5"/>
  <c r="AV254" i="5"/>
  <c r="CK254" i="5" s="1"/>
  <c r="AU254" i="5"/>
  <c r="AT254" i="5"/>
  <c r="AS254" i="5"/>
  <c r="AR254" i="5"/>
  <c r="DH253" i="5"/>
  <c r="DG253" i="5"/>
  <c r="DA253" i="5"/>
  <c r="CX253" i="5"/>
  <c r="CG253" i="5"/>
  <c r="CF253" i="5"/>
  <c r="CE253" i="5"/>
  <c r="CD253" i="5"/>
  <c r="CH253" i="5" s="1"/>
  <c r="CC253" i="5"/>
  <c r="CB253" i="5"/>
  <c r="CA253" i="5"/>
  <c r="BZ253" i="5"/>
  <c r="BY253" i="5"/>
  <c r="BX253" i="5"/>
  <c r="BW253" i="5"/>
  <c r="BV253" i="5"/>
  <c r="BU253" i="5"/>
  <c r="BT253" i="5"/>
  <c r="BS253" i="5"/>
  <c r="BR253" i="5"/>
  <c r="BQ253" i="5"/>
  <c r="BP253" i="5"/>
  <c r="BO253" i="5"/>
  <c r="BN253" i="5"/>
  <c r="BM253" i="5"/>
  <c r="BL253" i="5"/>
  <c r="BK253" i="5"/>
  <c r="BJ253" i="5"/>
  <c r="BI253" i="5"/>
  <c r="BH253" i="5"/>
  <c r="BG253" i="5"/>
  <c r="BF253" i="5"/>
  <c r="BE253" i="5"/>
  <c r="BD253" i="5"/>
  <c r="BC253" i="5"/>
  <c r="BB253" i="5"/>
  <c r="BA253" i="5"/>
  <c r="AZ253" i="5"/>
  <c r="AY253" i="5"/>
  <c r="AX253" i="5"/>
  <c r="AW253" i="5"/>
  <c r="AV253" i="5"/>
  <c r="AU253" i="5"/>
  <c r="AT253" i="5"/>
  <c r="AS253" i="5"/>
  <c r="AR253" i="5"/>
  <c r="DH252" i="5"/>
  <c r="DG252" i="5"/>
  <c r="DA252" i="5"/>
  <c r="CX252" i="5"/>
  <c r="CG252" i="5"/>
  <c r="CF252" i="5"/>
  <c r="CE252" i="5"/>
  <c r="CD252" i="5"/>
  <c r="CH252" i="5" s="1"/>
  <c r="CC252" i="5"/>
  <c r="CB252" i="5"/>
  <c r="CA252" i="5"/>
  <c r="BZ252" i="5"/>
  <c r="BY252" i="5"/>
  <c r="BX252" i="5"/>
  <c r="BW252" i="5"/>
  <c r="BV252" i="5"/>
  <c r="BU252" i="5"/>
  <c r="BT252" i="5"/>
  <c r="BS252" i="5"/>
  <c r="BR252" i="5"/>
  <c r="BQ252" i="5"/>
  <c r="BP252" i="5"/>
  <c r="BO252" i="5"/>
  <c r="BN252" i="5"/>
  <c r="BM252" i="5"/>
  <c r="BL252" i="5"/>
  <c r="BK252" i="5"/>
  <c r="BJ252" i="5"/>
  <c r="BI252" i="5"/>
  <c r="BH252" i="5"/>
  <c r="BG252" i="5"/>
  <c r="BF252" i="5"/>
  <c r="BE252" i="5"/>
  <c r="BD252" i="5"/>
  <c r="BC252" i="5"/>
  <c r="BB252" i="5"/>
  <c r="BA252" i="5"/>
  <c r="AZ252" i="5"/>
  <c r="AY252" i="5"/>
  <c r="AX252" i="5"/>
  <c r="AW252" i="5"/>
  <c r="AV252" i="5"/>
  <c r="AU252" i="5"/>
  <c r="AT252" i="5"/>
  <c r="AS252" i="5"/>
  <c r="AR252" i="5"/>
  <c r="DH251" i="5"/>
  <c r="DG251" i="5"/>
  <c r="DA251" i="5"/>
  <c r="CX251" i="5"/>
  <c r="CH251" i="5"/>
  <c r="CI251" i="5" s="1"/>
  <c r="CJ251" i="5" s="1"/>
  <c r="CL251" i="5" s="1"/>
  <c r="CM251" i="5" s="1"/>
  <c r="CG251" i="5"/>
  <c r="CF251" i="5"/>
  <c r="CE251" i="5"/>
  <c r="CD251" i="5"/>
  <c r="CC251" i="5"/>
  <c r="CB251" i="5"/>
  <c r="CA251" i="5"/>
  <c r="BZ251" i="5"/>
  <c r="BY251" i="5"/>
  <c r="BX251" i="5"/>
  <c r="BW251" i="5"/>
  <c r="BV251" i="5"/>
  <c r="BU251" i="5"/>
  <c r="BT251" i="5"/>
  <c r="BS251" i="5"/>
  <c r="BR251" i="5"/>
  <c r="BQ251" i="5"/>
  <c r="BP251" i="5"/>
  <c r="BO251" i="5"/>
  <c r="BN251" i="5"/>
  <c r="BM251" i="5"/>
  <c r="BL251" i="5"/>
  <c r="BK251" i="5"/>
  <c r="BJ251" i="5"/>
  <c r="BI251" i="5"/>
  <c r="BH251" i="5"/>
  <c r="BG251" i="5"/>
  <c r="BF251" i="5"/>
  <c r="BE251" i="5"/>
  <c r="BD251" i="5"/>
  <c r="BC251" i="5"/>
  <c r="BB251" i="5"/>
  <c r="BA251" i="5"/>
  <c r="AZ251" i="5"/>
  <c r="AX251" i="5"/>
  <c r="AY251" i="5" s="1"/>
  <c r="AW251" i="5"/>
  <c r="AV251" i="5"/>
  <c r="CK251" i="5" s="1"/>
  <c r="AU251" i="5"/>
  <c r="AT251" i="5"/>
  <c r="AS251" i="5"/>
  <c r="AR251" i="5"/>
  <c r="DH250" i="5"/>
  <c r="DG250" i="5"/>
  <c r="DA250" i="5"/>
  <c r="CX250" i="5"/>
  <c r="CG250" i="5"/>
  <c r="CF250" i="5"/>
  <c r="CE250" i="5"/>
  <c r="CD250" i="5"/>
  <c r="CH250" i="5" s="1"/>
  <c r="CC250" i="5"/>
  <c r="CB250" i="5"/>
  <c r="CA250" i="5"/>
  <c r="BZ250" i="5"/>
  <c r="BY250" i="5"/>
  <c r="BX250" i="5"/>
  <c r="BW250" i="5"/>
  <c r="BV250" i="5"/>
  <c r="BU250" i="5"/>
  <c r="BT250" i="5"/>
  <c r="BS250" i="5"/>
  <c r="BR250" i="5"/>
  <c r="BQ250" i="5"/>
  <c r="BP250" i="5"/>
  <c r="BO250" i="5"/>
  <c r="BN250" i="5"/>
  <c r="BM250" i="5"/>
  <c r="BL250" i="5"/>
  <c r="BK250" i="5"/>
  <c r="BJ250" i="5"/>
  <c r="BI250" i="5"/>
  <c r="BH250" i="5"/>
  <c r="BG250" i="5"/>
  <c r="BF250" i="5"/>
  <c r="BE250" i="5"/>
  <c r="BD250" i="5"/>
  <c r="BC250" i="5"/>
  <c r="BB250" i="5"/>
  <c r="BA250" i="5"/>
  <c r="AZ250" i="5"/>
  <c r="AY250" i="5"/>
  <c r="AX250" i="5"/>
  <c r="AW250" i="5"/>
  <c r="AV250" i="5"/>
  <c r="AU250" i="5"/>
  <c r="AT250" i="5"/>
  <c r="AS250" i="5"/>
  <c r="AR250" i="5"/>
  <c r="DH249" i="5"/>
  <c r="DG249" i="5"/>
  <c r="DA249" i="5"/>
  <c r="CX249" i="5"/>
  <c r="CG249" i="5"/>
  <c r="CF249" i="5"/>
  <c r="CE249" i="5"/>
  <c r="CD249" i="5"/>
  <c r="CH249" i="5" s="1"/>
  <c r="CC249" i="5"/>
  <c r="CB249" i="5"/>
  <c r="CA249" i="5"/>
  <c r="BZ249" i="5"/>
  <c r="BY249" i="5"/>
  <c r="BX249" i="5"/>
  <c r="BW249" i="5"/>
  <c r="BV249" i="5"/>
  <c r="BU249" i="5"/>
  <c r="BT249" i="5"/>
  <c r="BS249" i="5"/>
  <c r="BR249" i="5"/>
  <c r="BQ249" i="5"/>
  <c r="BP249" i="5"/>
  <c r="BO249" i="5"/>
  <c r="BN249" i="5"/>
  <c r="BM249" i="5"/>
  <c r="BL249" i="5"/>
  <c r="BK249" i="5"/>
  <c r="BJ249" i="5"/>
  <c r="BI249" i="5"/>
  <c r="BH249" i="5"/>
  <c r="BG249" i="5"/>
  <c r="BF249" i="5"/>
  <c r="BE249" i="5"/>
  <c r="BD249" i="5"/>
  <c r="BC249" i="5"/>
  <c r="BB249" i="5"/>
  <c r="BA249" i="5"/>
  <c r="AZ249" i="5"/>
  <c r="AY249" i="5"/>
  <c r="AX249" i="5"/>
  <c r="AW249" i="5"/>
  <c r="AV249" i="5"/>
  <c r="AU249" i="5"/>
  <c r="AT249" i="5"/>
  <c r="AS249" i="5"/>
  <c r="AR249" i="5"/>
  <c r="DH248" i="5"/>
  <c r="DG248" i="5"/>
  <c r="DA248" i="5"/>
  <c r="CX248" i="5"/>
  <c r="CJ248" i="5"/>
  <c r="CI248" i="5"/>
  <c r="CH248" i="5"/>
  <c r="CG248" i="5"/>
  <c r="CF248" i="5"/>
  <c r="CE248" i="5"/>
  <c r="CD248" i="5"/>
  <c r="CC248" i="5"/>
  <c r="CB248" i="5"/>
  <c r="CA248" i="5"/>
  <c r="BZ248" i="5"/>
  <c r="BY248" i="5"/>
  <c r="BX248" i="5"/>
  <c r="BW248" i="5"/>
  <c r="BV248" i="5"/>
  <c r="BU248" i="5"/>
  <c r="BT248" i="5"/>
  <c r="BS248" i="5"/>
  <c r="BR248" i="5"/>
  <c r="BQ248" i="5"/>
  <c r="BP248" i="5"/>
  <c r="BO248" i="5"/>
  <c r="BN248" i="5"/>
  <c r="BM248" i="5"/>
  <c r="BL248" i="5"/>
  <c r="BK248" i="5"/>
  <c r="BJ248" i="5"/>
  <c r="BI248" i="5"/>
  <c r="BH248" i="5"/>
  <c r="BG248" i="5"/>
  <c r="BF248" i="5"/>
  <c r="BE248" i="5"/>
  <c r="BD248" i="5"/>
  <c r="BC248" i="5"/>
  <c r="BB248" i="5"/>
  <c r="BA248" i="5"/>
  <c r="AZ248" i="5"/>
  <c r="AY248" i="5"/>
  <c r="AX248" i="5"/>
  <c r="AW248" i="5"/>
  <c r="AV248" i="5"/>
  <c r="CK248" i="5" s="1"/>
  <c r="AU248" i="5"/>
  <c r="AT248" i="5"/>
  <c r="AS248" i="5"/>
  <c r="AR248" i="5"/>
  <c r="DH247" i="5"/>
  <c r="DG247" i="5"/>
  <c r="DA247" i="5"/>
  <c r="CX247" i="5"/>
  <c r="CG247" i="5"/>
  <c r="CF247" i="5"/>
  <c r="CD247" i="5"/>
  <c r="CH247" i="5" s="1"/>
  <c r="CC247" i="5"/>
  <c r="CB247" i="5"/>
  <c r="CA247" i="5"/>
  <c r="BZ247" i="5"/>
  <c r="BY247" i="5"/>
  <c r="BX247" i="5"/>
  <c r="BW247" i="5"/>
  <c r="BV247" i="5"/>
  <c r="BU247" i="5"/>
  <c r="BT247" i="5"/>
  <c r="BS247" i="5"/>
  <c r="BR247" i="5"/>
  <c r="BQ247" i="5"/>
  <c r="BP247" i="5"/>
  <c r="BO247" i="5"/>
  <c r="BN247" i="5"/>
  <c r="BM247" i="5"/>
  <c r="BL247" i="5"/>
  <c r="BK247" i="5"/>
  <c r="BJ247" i="5"/>
  <c r="BI247" i="5"/>
  <c r="BH247" i="5"/>
  <c r="BG247" i="5"/>
  <c r="BF247" i="5"/>
  <c r="BE247" i="5"/>
  <c r="BD247" i="5"/>
  <c r="BC247" i="5"/>
  <c r="BB247" i="5"/>
  <c r="BA247" i="5"/>
  <c r="AZ247" i="5"/>
  <c r="AY247" i="5"/>
  <c r="AX247" i="5"/>
  <c r="AW247" i="5"/>
  <c r="AV247" i="5"/>
  <c r="AU247" i="5"/>
  <c r="AT247" i="5"/>
  <c r="AS247" i="5"/>
  <c r="AR247" i="5"/>
  <c r="DH246" i="5"/>
  <c r="DG246" i="5"/>
  <c r="DA246" i="5"/>
  <c r="CX246" i="5"/>
  <c r="CH246" i="5"/>
  <c r="CG246" i="5"/>
  <c r="CF246" i="5"/>
  <c r="CE246" i="5"/>
  <c r="CD246" i="5"/>
  <c r="CC246" i="5"/>
  <c r="CB246" i="5"/>
  <c r="CA246" i="5"/>
  <c r="BZ246" i="5"/>
  <c r="BY246" i="5"/>
  <c r="BX246" i="5"/>
  <c r="BW246" i="5"/>
  <c r="BV246" i="5"/>
  <c r="BU246" i="5"/>
  <c r="BT246" i="5"/>
  <c r="BS246" i="5"/>
  <c r="BR246" i="5"/>
  <c r="BQ246" i="5"/>
  <c r="BP246" i="5"/>
  <c r="BO246" i="5"/>
  <c r="BN246" i="5"/>
  <c r="BM246" i="5"/>
  <c r="BL246" i="5"/>
  <c r="BK246" i="5"/>
  <c r="BJ246" i="5"/>
  <c r="BI246" i="5"/>
  <c r="BH246" i="5"/>
  <c r="BG246" i="5"/>
  <c r="BF246" i="5"/>
  <c r="BE246" i="5"/>
  <c r="BD246" i="5"/>
  <c r="BC246" i="5"/>
  <c r="BB246" i="5"/>
  <c r="BA246" i="5"/>
  <c r="AZ246" i="5"/>
  <c r="AY246" i="5"/>
  <c r="AX246" i="5"/>
  <c r="AW246" i="5"/>
  <c r="AV246" i="5"/>
  <c r="AU246" i="5"/>
  <c r="AT246" i="5"/>
  <c r="AS246" i="5"/>
  <c r="AR246" i="5"/>
  <c r="DH245" i="5"/>
  <c r="DG245" i="5"/>
  <c r="DA245" i="5"/>
  <c r="CX245" i="5"/>
  <c r="CM245" i="5"/>
  <c r="CK245" i="5"/>
  <c r="CI245" i="5"/>
  <c r="CJ245" i="5" s="1"/>
  <c r="CL245" i="5" s="1"/>
  <c r="CH245" i="5"/>
  <c r="CG245" i="5"/>
  <c r="CF245" i="5"/>
  <c r="CE245" i="5"/>
  <c r="CD245" i="5"/>
  <c r="CC245" i="5"/>
  <c r="CB245" i="5"/>
  <c r="CA245" i="5"/>
  <c r="BZ245" i="5"/>
  <c r="BY245" i="5"/>
  <c r="BX245" i="5"/>
  <c r="BW245" i="5"/>
  <c r="BV245" i="5"/>
  <c r="BU245" i="5"/>
  <c r="BT245" i="5"/>
  <c r="BS245" i="5"/>
  <c r="BR245" i="5"/>
  <c r="BQ245" i="5"/>
  <c r="BP245" i="5"/>
  <c r="BO245" i="5"/>
  <c r="BN245" i="5"/>
  <c r="BM245" i="5"/>
  <c r="BL245" i="5"/>
  <c r="BK245" i="5"/>
  <c r="BJ245" i="5"/>
  <c r="BI245" i="5"/>
  <c r="BH245" i="5"/>
  <c r="BG245" i="5"/>
  <c r="BF245" i="5"/>
  <c r="BE245" i="5"/>
  <c r="BD245" i="5"/>
  <c r="BC245" i="5"/>
  <c r="BB245" i="5"/>
  <c r="BA245" i="5"/>
  <c r="AZ245" i="5"/>
  <c r="AY245" i="5"/>
  <c r="AX245" i="5"/>
  <c r="AW245" i="5"/>
  <c r="AV245" i="5"/>
  <c r="AU245" i="5"/>
  <c r="AT245" i="5"/>
  <c r="AS245" i="5"/>
  <c r="AR245" i="5"/>
  <c r="DH244" i="5"/>
  <c r="DG244" i="5"/>
  <c r="DA244" i="5"/>
  <c r="CX244" i="5"/>
  <c r="CG244" i="5"/>
  <c r="CF244" i="5"/>
  <c r="CD244" i="5"/>
  <c r="CC244" i="5"/>
  <c r="CB244" i="5"/>
  <c r="CA244" i="5"/>
  <c r="BZ244" i="5"/>
  <c r="BY244" i="5"/>
  <c r="BX244" i="5"/>
  <c r="BW244" i="5"/>
  <c r="BV244" i="5"/>
  <c r="BU244" i="5"/>
  <c r="BT244" i="5"/>
  <c r="BS244" i="5"/>
  <c r="BR244" i="5"/>
  <c r="BQ244" i="5"/>
  <c r="BP244" i="5"/>
  <c r="BO244" i="5"/>
  <c r="BN244" i="5"/>
  <c r="BM244" i="5"/>
  <c r="BL244" i="5"/>
  <c r="BK244" i="5"/>
  <c r="BJ244" i="5"/>
  <c r="BI244" i="5"/>
  <c r="BH244" i="5"/>
  <c r="BG244" i="5"/>
  <c r="BF244" i="5"/>
  <c r="BE244" i="5"/>
  <c r="BD244" i="5"/>
  <c r="BC244" i="5"/>
  <c r="BB244" i="5"/>
  <c r="BA244" i="5"/>
  <c r="AZ244" i="5"/>
  <c r="AY244" i="5"/>
  <c r="AX244" i="5"/>
  <c r="AW244" i="5"/>
  <c r="AV244" i="5"/>
  <c r="AU244" i="5"/>
  <c r="AT244" i="5"/>
  <c r="AS244" i="5"/>
  <c r="AR244" i="5"/>
  <c r="DH243" i="5"/>
  <c r="DG243" i="5"/>
  <c r="DA243" i="5"/>
  <c r="CX243" i="5"/>
  <c r="CH243" i="5"/>
  <c r="CG243" i="5"/>
  <c r="CF243" i="5"/>
  <c r="CD243" i="5"/>
  <c r="CE243" i="5" s="1"/>
  <c r="CC243" i="5"/>
  <c r="CB243" i="5"/>
  <c r="CA243" i="5"/>
  <c r="BZ243" i="5"/>
  <c r="BY243" i="5"/>
  <c r="BX243" i="5"/>
  <c r="BW243" i="5"/>
  <c r="BV243" i="5"/>
  <c r="BU243" i="5"/>
  <c r="BT243" i="5"/>
  <c r="BS243" i="5"/>
  <c r="BR243" i="5"/>
  <c r="BQ243" i="5"/>
  <c r="BP243" i="5"/>
  <c r="BO243" i="5"/>
  <c r="BN243" i="5"/>
  <c r="BM243" i="5"/>
  <c r="BL243" i="5"/>
  <c r="BK243" i="5"/>
  <c r="BJ243" i="5"/>
  <c r="BI243" i="5"/>
  <c r="BH243" i="5"/>
  <c r="BG243" i="5"/>
  <c r="BF243" i="5"/>
  <c r="BE243" i="5"/>
  <c r="BD243" i="5"/>
  <c r="BC243" i="5"/>
  <c r="BB243" i="5"/>
  <c r="BA243" i="5"/>
  <c r="AZ243" i="5"/>
  <c r="AY243" i="5"/>
  <c r="AX243" i="5"/>
  <c r="AW243" i="5"/>
  <c r="AV243" i="5"/>
  <c r="AU243" i="5"/>
  <c r="AT243" i="5"/>
  <c r="AS243" i="5"/>
  <c r="AR243" i="5"/>
  <c r="DH242" i="5"/>
  <c r="DG242" i="5"/>
  <c r="DA242" i="5"/>
  <c r="CX242" i="5"/>
  <c r="CK242" i="5"/>
  <c r="CI242" i="5"/>
  <c r="CJ242" i="5" s="1"/>
  <c r="CL242" i="5" s="1"/>
  <c r="CM242" i="5" s="1"/>
  <c r="CH242" i="5"/>
  <c r="CG242" i="5"/>
  <c r="CF242" i="5"/>
  <c r="CE242" i="5"/>
  <c r="CD242" i="5"/>
  <c r="CC242" i="5"/>
  <c r="CB242" i="5"/>
  <c r="CA242" i="5"/>
  <c r="BZ242" i="5"/>
  <c r="BY242" i="5"/>
  <c r="BX242" i="5"/>
  <c r="BW242" i="5"/>
  <c r="BV242" i="5"/>
  <c r="BU242" i="5"/>
  <c r="BT242" i="5"/>
  <c r="BS242" i="5"/>
  <c r="BR242" i="5"/>
  <c r="BQ242" i="5"/>
  <c r="BP242" i="5"/>
  <c r="BO242" i="5"/>
  <c r="BN242" i="5"/>
  <c r="BM242" i="5"/>
  <c r="BL242" i="5"/>
  <c r="BK242" i="5"/>
  <c r="BJ242" i="5"/>
  <c r="BI242" i="5"/>
  <c r="BH242" i="5"/>
  <c r="BG242" i="5"/>
  <c r="BF242" i="5"/>
  <c r="BE242" i="5"/>
  <c r="BD242" i="5"/>
  <c r="BC242" i="5"/>
  <c r="BB242" i="5"/>
  <c r="BA242" i="5"/>
  <c r="AZ242" i="5"/>
  <c r="AY242" i="5"/>
  <c r="AX242" i="5"/>
  <c r="AW242" i="5"/>
  <c r="AV242" i="5"/>
  <c r="AU242" i="5"/>
  <c r="AT242" i="5"/>
  <c r="AS242" i="5"/>
  <c r="AR242" i="5"/>
  <c r="DH241" i="5"/>
  <c r="DG241" i="5"/>
  <c r="DA241" i="5"/>
  <c r="CX241" i="5"/>
  <c r="CG241" i="5"/>
  <c r="CF241" i="5"/>
  <c r="CD241" i="5"/>
  <c r="CC241" i="5"/>
  <c r="CB241" i="5"/>
  <c r="CA241" i="5"/>
  <c r="BZ241" i="5"/>
  <c r="BY241" i="5"/>
  <c r="BX241" i="5"/>
  <c r="BW241" i="5"/>
  <c r="BV241" i="5"/>
  <c r="BU241" i="5"/>
  <c r="BT241" i="5"/>
  <c r="BS241" i="5"/>
  <c r="BR241" i="5"/>
  <c r="BQ241" i="5"/>
  <c r="BP241" i="5"/>
  <c r="BO241" i="5"/>
  <c r="BN241" i="5"/>
  <c r="BM241" i="5"/>
  <c r="BL241" i="5"/>
  <c r="BK241" i="5"/>
  <c r="BJ241" i="5"/>
  <c r="BI241" i="5"/>
  <c r="BH241" i="5"/>
  <c r="BG241" i="5"/>
  <c r="BF241" i="5"/>
  <c r="BE241" i="5"/>
  <c r="BD241" i="5"/>
  <c r="BC241" i="5"/>
  <c r="BB241" i="5"/>
  <c r="BA241" i="5"/>
  <c r="AZ241" i="5"/>
  <c r="AY241" i="5"/>
  <c r="AX241" i="5"/>
  <c r="AW241" i="5"/>
  <c r="AV241" i="5"/>
  <c r="AU241" i="5"/>
  <c r="AT241" i="5"/>
  <c r="AS241" i="5"/>
  <c r="AR241" i="5"/>
  <c r="DH240" i="5"/>
  <c r="DG240" i="5"/>
  <c r="DA240" i="5"/>
  <c r="CX240" i="5"/>
  <c r="CH240" i="5"/>
  <c r="CG240" i="5"/>
  <c r="CF240" i="5"/>
  <c r="CD240" i="5"/>
  <c r="CE240" i="5" s="1"/>
  <c r="CC240" i="5"/>
  <c r="CB240" i="5"/>
  <c r="CA240" i="5"/>
  <c r="BZ240" i="5"/>
  <c r="BY240" i="5"/>
  <c r="BX240" i="5"/>
  <c r="BW240" i="5"/>
  <c r="BV240" i="5"/>
  <c r="BU240" i="5"/>
  <c r="BT240" i="5"/>
  <c r="BS240" i="5"/>
  <c r="BR240" i="5"/>
  <c r="BQ240" i="5"/>
  <c r="BP240" i="5"/>
  <c r="BO240" i="5"/>
  <c r="BN240" i="5"/>
  <c r="BM240" i="5"/>
  <c r="BL240" i="5"/>
  <c r="BK240" i="5"/>
  <c r="BJ240" i="5"/>
  <c r="BI240" i="5"/>
  <c r="BH240" i="5"/>
  <c r="BG240" i="5"/>
  <c r="BF240" i="5"/>
  <c r="BE240" i="5"/>
  <c r="BD240" i="5"/>
  <c r="BC240" i="5"/>
  <c r="BB240" i="5"/>
  <c r="BA240" i="5"/>
  <c r="AZ240" i="5"/>
  <c r="AX240" i="5"/>
  <c r="AY240" i="5" s="1"/>
  <c r="AW240" i="5"/>
  <c r="AV240" i="5"/>
  <c r="AU240" i="5"/>
  <c r="AT240" i="5"/>
  <c r="AS240" i="5"/>
  <c r="AR240" i="5"/>
  <c r="DH239" i="5"/>
  <c r="DG239" i="5"/>
  <c r="DA239" i="5"/>
  <c r="CX239" i="5"/>
  <c r="CK239" i="5"/>
  <c r="CI239" i="5"/>
  <c r="CJ239" i="5" s="1"/>
  <c r="CH239" i="5"/>
  <c r="CG239" i="5"/>
  <c r="CF239" i="5"/>
  <c r="CE239" i="5"/>
  <c r="CD239" i="5"/>
  <c r="CC239" i="5"/>
  <c r="CB239" i="5"/>
  <c r="CA239" i="5"/>
  <c r="BZ239" i="5"/>
  <c r="BY239" i="5"/>
  <c r="BX239" i="5"/>
  <c r="BW239" i="5"/>
  <c r="BV239" i="5"/>
  <c r="BU239" i="5"/>
  <c r="BT239" i="5"/>
  <c r="BS239" i="5"/>
  <c r="BR239" i="5"/>
  <c r="BQ239" i="5"/>
  <c r="BP239" i="5"/>
  <c r="BO239" i="5"/>
  <c r="BN239" i="5"/>
  <c r="BM239" i="5"/>
  <c r="BL239" i="5"/>
  <c r="BK239" i="5"/>
  <c r="BJ239" i="5"/>
  <c r="BI239" i="5"/>
  <c r="BH239" i="5"/>
  <c r="BG239" i="5"/>
  <c r="BF239" i="5"/>
  <c r="BE239" i="5"/>
  <c r="BD239" i="5"/>
  <c r="BC239" i="5"/>
  <c r="BB239" i="5"/>
  <c r="BA239" i="5"/>
  <c r="AZ239" i="5"/>
  <c r="AY239" i="5"/>
  <c r="AX239" i="5"/>
  <c r="AW239" i="5"/>
  <c r="AV239" i="5"/>
  <c r="AU239" i="5"/>
  <c r="AT239" i="5"/>
  <c r="AS239" i="5"/>
  <c r="AR239" i="5"/>
  <c r="DH238" i="5"/>
  <c r="DG238" i="5"/>
  <c r="DA238" i="5"/>
  <c r="CX238" i="5"/>
  <c r="CG238" i="5"/>
  <c r="CF238" i="5"/>
  <c r="CD238" i="5"/>
  <c r="CH238" i="5" s="1"/>
  <c r="CC238" i="5"/>
  <c r="CB238" i="5"/>
  <c r="CA238" i="5"/>
  <c r="BZ238" i="5"/>
  <c r="BY238" i="5"/>
  <c r="BX238" i="5"/>
  <c r="BW238" i="5"/>
  <c r="BV238" i="5"/>
  <c r="BU238" i="5"/>
  <c r="BT238" i="5"/>
  <c r="BS238" i="5"/>
  <c r="BR238" i="5"/>
  <c r="BQ238" i="5"/>
  <c r="BP238" i="5"/>
  <c r="BO238" i="5"/>
  <c r="BN238" i="5"/>
  <c r="BM238" i="5"/>
  <c r="BL238" i="5"/>
  <c r="BK238" i="5"/>
  <c r="BJ238" i="5"/>
  <c r="BI238" i="5"/>
  <c r="BH238" i="5"/>
  <c r="BG238" i="5"/>
  <c r="BF238" i="5"/>
  <c r="BE238" i="5"/>
  <c r="BD238" i="5"/>
  <c r="BC238" i="5"/>
  <c r="BB238" i="5"/>
  <c r="BA238" i="5"/>
  <c r="AZ238" i="5"/>
  <c r="AY238" i="5"/>
  <c r="AX238" i="5"/>
  <c r="AW238" i="5"/>
  <c r="AV238" i="5"/>
  <c r="AU238" i="5"/>
  <c r="AT238" i="5"/>
  <c r="AS238" i="5"/>
  <c r="AR238" i="5"/>
  <c r="DH237" i="5"/>
  <c r="DG237" i="5"/>
  <c r="DA237" i="5"/>
  <c r="CX237" i="5"/>
  <c r="CI237" i="5"/>
  <c r="CJ237" i="5" s="1"/>
  <c r="CH237" i="5"/>
  <c r="CG237" i="5"/>
  <c r="CF237" i="5"/>
  <c r="CE237" i="5"/>
  <c r="CD237" i="5"/>
  <c r="CC237" i="5"/>
  <c r="CB237" i="5"/>
  <c r="CA237" i="5"/>
  <c r="BZ237" i="5"/>
  <c r="BY237" i="5"/>
  <c r="BX237" i="5"/>
  <c r="BW237" i="5"/>
  <c r="BV237" i="5"/>
  <c r="BU237" i="5"/>
  <c r="BT237" i="5"/>
  <c r="BS237" i="5"/>
  <c r="BR237" i="5"/>
  <c r="BQ237" i="5"/>
  <c r="BP237" i="5"/>
  <c r="BO237" i="5"/>
  <c r="BN237" i="5"/>
  <c r="BM237" i="5"/>
  <c r="BL237" i="5"/>
  <c r="BK237" i="5"/>
  <c r="BJ237" i="5"/>
  <c r="BI237" i="5"/>
  <c r="BH237" i="5"/>
  <c r="BG237" i="5"/>
  <c r="BF237" i="5"/>
  <c r="BE237" i="5"/>
  <c r="BD237" i="5"/>
  <c r="BC237" i="5"/>
  <c r="BB237" i="5"/>
  <c r="BA237" i="5"/>
  <c r="AZ237" i="5"/>
  <c r="AY237" i="5"/>
  <c r="AX237" i="5"/>
  <c r="AW237" i="5"/>
  <c r="AV237" i="5"/>
  <c r="AU237" i="5"/>
  <c r="AT237" i="5"/>
  <c r="AS237" i="5"/>
  <c r="AR237" i="5"/>
  <c r="DH236" i="5"/>
  <c r="DG236" i="5"/>
  <c r="DA236" i="5"/>
  <c r="CX236" i="5"/>
  <c r="CL236" i="5"/>
  <c r="CM236" i="5" s="1"/>
  <c r="CK236" i="5"/>
  <c r="CJ236" i="5"/>
  <c r="CI236" i="5"/>
  <c r="CH236" i="5"/>
  <c r="CG236" i="5"/>
  <c r="CF236" i="5"/>
  <c r="CE236" i="5"/>
  <c r="CD236" i="5"/>
  <c r="CC236" i="5"/>
  <c r="CB236" i="5"/>
  <c r="CA236" i="5"/>
  <c r="BZ236" i="5"/>
  <c r="BY236" i="5"/>
  <c r="BX236" i="5"/>
  <c r="BW236" i="5"/>
  <c r="BV236" i="5"/>
  <c r="BU236" i="5"/>
  <c r="BT236" i="5"/>
  <c r="BS236" i="5"/>
  <c r="BR236" i="5"/>
  <c r="BQ236" i="5"/>
  <c r="BP236" i="5"/>
  <c r="BO236" i="5"/>
  <c r="BN236" i="5"/>
  <c r="BM236" i="5"/>
  <c r="BL236" i="5"/>
  <c r="BK236" i="5"/>
  <c r="BJ236" i="5"/>
  <c r="BI236" i="5"/>
  <c r="BH236" i="5"/>
  <c r="BG236" i="5"/>
  <c r="BF236" i="5"/>
  <c r="BE236" i="5"/>
  <c r="BD236" i="5"/>
  <c r="BC236" i="5"/>
  <c r="BB236" i="5"/>
  <c r="BA236" i="5"/>
  <c r="AZ236" i="5"/>
  <c r="AY236" i="5"/>
  <c r="AX236" i="5"/>
  <c r="AW236" i="5"/>
  <c r="AV236" i="5"/>
  <c r="AU236" i="5"/>
  <c r="AT236" i="5"/>
  <c r="AS236" i="5"/>
  <c r="AR236" i="5"/>
  <c r="DH235" i="5"/>
  <c r="DG235" i="5"/>
  <c r="DA235" i="5"/>
  <c r="CX235" i="5"/>
  <c r="CG235" i="5"/>
  <c r="CF235" i="5"/>
  <c r="CD235" i="5"/>
  <c r="CC235" i="5"/>
  <c r="CB235" i="5"/>
  <c r="CA235" i="5"/>
  <c r="BZ235" i="5"/>
  <c r="BY235" i="5"/>
  <c r="BX235" i="5"/>
  <c r="BW235" i="5"/>
  <c r="BV235" i="5"/>
  <c r="BU235" i="5"/>
  <c r="BT235" i="5"/>
  <c r="BS235" i="5"/>
  <c r="BR235" i="5"/>
  <c r="BQ235" i="5"/>
  <c r="BP235" i="5"/>
  <c r="BO235" i="5"/>
  <c r="BN235" i="5"/>
  <c r="BM235" i="5"/>
  <c r="BL235" i="5"/>
  <c r="BK235" i="5"/>
  <c r="BJ235" i="5"/>
  <c r="BI235" i="5"/>
  <c r="BH235" i="5"/>
  <c r="BG235" i="5"/>
  <c r="BF235" i="5"/>
  <c r="BE235" i="5"/>
  <c r="BD235" i="5"/>
  <c r="BC235" i="5"/>
  <c r="BB235" i="5"/>
  <c r="BA235" i="5"/>
  <c r="AZ235" i="5"/>
  <c r="AY235" i="5"/>
  <c r="AX235" i="5"/>
  <c r="AW235" i="5"/>
  <c r="AV235" i="5"/>
  <c r="AU235" i="5"/>
  <c r="AT235" i="5"/>
  <c r="AS235" i="5"/>
  <c r="AR235" i="5"/>
  <c r="DH234" i="5"/>
  <c r="DG234" i="5"/>
  <c r="DA234" i="5"/>
  <c r="CX234" i="5"/>
  <c r="CH234" i="5"/>
  <c r="CG234" i="5"/>
  <c r="CF234" i="5"/>
  <c r="CE234" i="5"/>
  <c r="CD234" i="5"/>
  <c r="CC234" i="5"/>
  <c r="CB234" i="5"/>
  <c r="CA234" i="5"/>
  <c r="BZ234" i="5"/>
  <c r="BY234" i="5"/>
  <c r="BX234" i="5"/>
  <c r="BW234" i="5"/>
  <c r="BV234" i="5"/>
  <c r="BU234" i="5"/>
  <c r="BT234" i="5"/>
  <c r="BS234" i="5"/>
  <c r="BR234" i="5"/>
  <c r="BQ234" i="5"/>
  <c r="BP234" i="5"/>
  <c r="BO234" i="5"/>
  <c r="BN234" i="5"/>
  <c r="BM234" i="5"/>
  <c r="BL234" i="5"/>
  <c r="BK234" i="5"/>
  <c r="BJ234" i="5"/>
  <c r="BI234" i="5"/>
  <c r="BH234" i="5"/>
  <c r="BG234" i="5"/>
  <c r="BF234" i="5"/>
  <c r="BE234" i="5"/>
  <c r="BD234" i="5"/>
  <c r="BC234" i="5"/>
  <c r="BB234" i="5"/>
  <c r="BA234" i="5"/>
  <c r="AZ234" i="5"/>
  <c r="AX234" i="5"/>
  <c r="AY234" i="5" s="1"/>
  <c r="AW234" i="5"/>
  <c r="AV234" i="5"/>
  <c r="AU234" i="5"/>
  <c r="AT234" i="5"/>
  <c r="AS234" i="5"/>
  <c r="AR234" i="5"/>
  <c r="DH233" i="5"/>
  <c r="DG233" i="5"/>
  <c r="DA233" i="5"/>
  <c r="CX233" i="5"/>
  <c r="CH233" i="5"/>
  <c r="CG233" i="5"/>
  <c r="CF233" i="5"/>
  <c r="CE233" i="5"/>
  <c r="CD233" i="5"/>
  <c r="CC233" i="5"/>
  <c r="CB233" i="5"/>
  <c r="CA233" i="5"/>
  <c r="BZ233" i="5"/>
  <c r="BY233" i="5"/>
  <c r="BX233" i="5"/>
  <c r="BW233" i="5"/>
  <c r="BV233" i="5"/>
  <c r="BU233" i="5"/>
  <c r="BT233" i="5"/>
  <c r="BS233" i="5"/>
  <c r="BR233" i="5"/>
  <c r="BQ233" i="5"/>
  <c r="BP233" i="5"/>
  <c r="BO233" i="5"/>
  <c r="BN233" i="5"/>
  <c r="BM233" i="5"/>
  <c r="BL233" i="5"/>
  <c r="BK233" i="5"/>
  <c r="BJ233" i="5"/>
  <c r="BI233" i="5"/>
  <c r="BH233" i="5"/>
  <c r="BG233" i="5"/>
  <c r="BF233" i="5"/>
  <c r="BE233" i="5"/>
  <c r="BD233" i="5"/>
  <c r="BC233" i="5"/>
  <c r="BB233" i="5"/>
  <c r="BA233" i="5"/>
  <c r="AZ233" i="5"/>
  <c r="AX233" i="5"/>
  <c r="AY233" i="5" s="1"/>
  <c r="AW233" i="5"/>
  <c r="AV233" i="5"/>
  <c r="AU233" i="5"/>
  <c r="AT233" i="5"/>
  <c r="AS233" i="5"/>
  <c r="AR233" i="5"/>
  <c r="DH232" i="5"/>
  <c r="DG232" i="5"/>
  <c r="DA232" i="5"/>
  <c r="CX232" i="5"/>
  <c r="CG232" i="5"/>
  <c r="CF232" i="5"/>
  <c r="CE232" i="5"/>
  <c r="CD232" i="5"/>
  <c r="CH232" i="5" s="1"/>
  <c r="CC232" i="5"/>
  <c r="CB232" i="5"/>
  <c r="CA232" i="5"/>
  <c r="BZ232" i="5"/>
  <c r="BY232" i="5"/>
  <c r="BX232" i="5"/>
  <c r="BW232" i="5"/>
  <c r="BV232" i="5"/>
  <c r="BU232" i="5"/>
  <c r="BT232" i="5"/>
  <c r="BS232" i="5"/>
  <c r="BR232" i="5"/>
  <c r="BQ232" i="5"/>
  <c r="BP232" i="5"/>
  <c r="BO232" i="5"/>
  <c r="BN232" i="5"/>
  <c r="BM232" i="5"/>
  <c r="BL232" i="5"/>
  <c r="BK232" i="5"/>
  <c r="BJ232" i="5"/>
  <c r="BI232" i="5"/>
  <c r="BH232" i="5"/>
  <c r="BG232" i="5"/>
  <c r="BF232" i="5"/>
  <c r="BE232" i="5"/>
  <c r="BD232" i="5"/>
  <c r="BC232" i="5"/>
  <c r="BB232" i="5"/>
  <c r="BA232" i="5"/>
  <c r="AZ232" i="5"/>
  <c r="AY232" i="5"/>
  <c r="AX232" i="5"/>
  <c r="AW232" i="5"/>
  <c r="AV232" i="5"/>
  <c r="AU232" i="5"/>
  <c r="AT232" i="5"/>
  <c r="AS232" i="5"/>
  <c r="AR232" i="5"/>
  <c r="DH231" i="5"/>
  <c r="DG231" i="5"/>
  <c r="DA231" i="5"/>
  <c r="CX231" i="5"/>
  <c r="CH231" i="5"/>
  <c r="CG231" i="5"/>
  <c r="CF231" i="5"/>
  <c r="CE231" i="5"/>
  <c r="CD231" i="5"/>
  <c r="CC231" i="5"/>
  <c r="CB231" i="5"/>
  <c r="CA231" i="5"/>
  <c r="BZ231" i="5"/>
  <c r="BY231" i="5"/>
  <c r="BX231" i="5"/>
  <c r="BW231" i="5"/>
  <c r="BV231" i="5"/>
  <c r="BU231" i="5"/>
  <c r="BT231" i="5"/>
  <c r="BS231" i="5"/>
  <c r="BR231" i="5"/>
  <c r="BQ231" i="5"/>
  <c r="BP231" i="5"/>
  <c r="BO231" i="5"/>
  <c r="BN231" i="5"/>
  <c r="BM231" i="5"/>
  <c r="BL231" i="5"/>
  <c r="BK231" i="5"/>
  <c r="BJ231" i="5"/>
  <c r="BI231" i="5"/>
  <c r="BH231" i="5"/>
  <c r="BG231" i="5"/>
  <c r="BF231" i="5"/>
  <c r="BE231" i="5"/>
  <c r="BD231" i="5"/>
  <c r="BC231" i="5"/>
  <c r="BB231" i="5"/>
  <c r="BA231" i="5"/>
  <c r="AZ231" i="5"/>
  <c r="AY231" i="5"/>
  <c r="AX231" i="5"/>
  <c r="AW231" i="5"/>
  <c r="AV231" i="5"/>
  <c r="AU231" i="5"/>
  <c r="AT231" i="5"/>
  <c r="AS231" i="5"/>
  <c r="AR231" i="5"/>
  <c r="DH230" i="5"/>
  <c r="DG230" i="5"/>
  <c r="DA230" i="5"/>
  <c r="CX230" i="5"/>
  <c r="CK230" i="5"/>
  <c r="CH230" i="5"/>
  <c r="CI230" i="5" s="1"/>
  <c r="CJ230" i="5" s="1"/>
  <c r="CL230" i="5" s="1"/>
  <c r="CM230" i="5" s="1"/>
  <c r="CG230" i="5"/>
  <c r="CF230" i="5"/>
  <c r="CE230" i="5"/>
  <c r="CD230" i="5"/>
  <c r="CC230" i="5"/>
  <c r="CB230" i="5"/>
  <c r="CA230" i="5"/>
  <c r="BZ230" i="5"/>
  <c r="BY230" i="5"/>
  <c r="BX230" i="5"/>
  <c r="BW230" i="5"/>
  <c r="BV230" i="5"/>
  <c r="BU230" i="5"/>
  <c r="BT230" i="5"/>
  <c r="BS230" i="5"/>
  <c r="BR230" i="5"/>
  <c r="BQ230" i="5"/>
  <c r="BP230" i="5"/>
  <c r="BO230" i="5"/>
  <c r="BN230" i="5"/>
  <c r="BM230" i="5"/>
  <c r="BL230" i="5"/>
  <c r="BK230" i="5"/>
  <c r="BJ230" i="5"/>
  <c r="BI230" i="5"/>
  <c r="BH230" i="5"/>
  <c r="BG230" i="5"/>
  <c r="BF230" i="5"/>
  <c r="BE230" i="5"/>
  <c r="BD230" i="5"/>
  <c r="BC230" i="5"/>
  <c r="BB230" i="5"/>
  <c r="BA230" i="5"/>
  <c r="AZ230" i="5"/>
  <c r="AX230" i="5"/>
  <c r="AY230" i="5" s="1"/>
  <c r="AW230" i="5"/>
  <c r="AV230" i="5"/>
  <c r="AU230" i="5"/>
  <c r="AT230" i="5"/>
  <c r="AS230" i="5"/>
  <c r="AR230" i="5"/>
  <c r="DH229" i="5"/>
  <c r="DG229" i="5"/>
  <c r="DA229" i="5"/>
  <c r="CX229" i="5"/>
  <c r="CG229" i="5"/>
  <c r="CF229" i="5"/>
  <c r="CE229" i="5"/>
  <c r="CD229" i="5"/>
  <c r="CH229" i="5" s="1"/>
  <c r="CC229" i="5"/>
  <c r="CB229" i="5"/>
  <c r="CA229" i="5"/>
  <c r="BZ229" i="5"/>
  <c r="BY229" i="5"/>
  <c r="BX229" i="5"/>
  <c r="BW229" i="5"/>
  <c r="BV229" i="5"/>
  <c r="BU229" i="5"/>
  <c r="BT229" i="5"/>
  <c r="BS229" i="5"/>
  <c r="BR229" i="5"/>
  <c r="BQ229" i="5"/>
  <c r="BP229" i="5"/>
  <c r="BO229" i="5"/>
  <c r="BN229" i="5"/>
  <c r="BM229" i="5"/>
  <c r="BL229" i="5"/>
  <c r="BK229" i="5"/>
  <c r="BJ229" i="5"/>
  <c r="BI229" i="5"/>
  <c r="BH229" i="5"/>
  <c r="BG229" i="5"/>
  <c r="BF229" i="5"/>
  <c r="BE229" i="5"/>
  <c r="BD229" i="5"/>
  <c r="BC229" i="5"/>
  <c r="BB229" i="5"/>
  <c r="BA229" i="5"/>
  <c r="AZ229" i="5"/>
  <c r="AY229" i="5"/>
  <c r="AX229" i="5"/>
  <c r="AW229" i="5"/>
  <c r="AV229" i="5"/>
  <c r="AU229" i="5"/>
  <c r="AT229" i="5"/>
  <c r="AS229" i="5"/>
  <c r="AR229" i="5"/>
  <c r="DH228" i="5"/>
  <c r="DG228" i="5"/>
  <c r="DA228" i="5"/>
  <c r="CX228" i="5"/>
  <c r="CG228" i="5"/>
  <c r="CF228" i="5"/>
  <c r="CE228" i="5"/>
  <c r="CD228" i="5"/>
  <c r="CH228" i="5" s="1"/>
  <c r="CI228" i="5" s="1"/>
  <c r="CJ228" i="5" s="1"/>
  <c r="CC228" i="5"/>
  <c r="CB228" i="5"/>
  <c r="CA228" i="5"/>
  <c r="BZ228" i="5"/>
  <c r="BY228" i="5"/>
  <c r="BX228" i="5"/>
  <c r="BW228" i="5"/>
  <c r="BV228" i="5"/>
  <c r="BU228" i="5"/>
  <c r="BT228" i="5"/>
  <c r="BS228" i="5"/>
  <c r="BR228" i="5"/>
  <c r="BQ228" i="5"/>
  <c r="BP228" i="5"/>
  <c r="BO228" i="5"/>
  <c r="BN228" i="5"/>
  <c r="BM228" i="5"/>
  <c r="BL228" i="5"/>
  <c r="BK228" i="5"/>
  <c r="BJ228" i="5"/>
  <c r="BI228" i="5"/>
  <c r="BH228" i="5"/>
  <c r="BG228" i="5"/>
  <c r="BF228" i="5"/>
  <c r="BE228" i="5"/>
  <c r="BD228" i="5"/>
  <c r="BC228" i="5"/>
  <c r="BB228" i="5"/>
  <c r="BA228" i="5"/>
  <c r="AZ228" i="5"/>
  <c r="AY228" i="5"/>
  <c r="AX228" i="5"/>
  <c r="AW228" i="5"/>
  <c r="AV228" i="5"/>
  <c r="AU228" i="5"/>
  <c r="AT228" i="5"/>
  <c r="AS228" i="5"/>
  <c r="AR228" i="5"/>
  <c r="DH227" i="5"/>
  <c r="DG227" i="5"/>
  <c r="DA227" i="5"/>
  <c r="CX227" i="5"/>
  <c r="CH227" i="5"/>
  <c r="CI227" i="5" s="1"/>
  <c r="CJ227" i="5" s="1"/>
  <c r="CL227" i="5" s="1"/>
  <c r="CM227" i="5" s="1"/>
  <c r="CG227" i="5"/>
  <c r="CF227" i="5"/>
  <c r="CE227" i="5"/>
  <c r="CD227" i="5"/>
  <c r="CC227" i="5"/>
  <c r="CB227" i="5"/>
  <c r="CA227" i="5"/>
  <c r="BZ227" i="5"/>
  <c r="BY227" i="5"/>
  <c r="BX227" i="5"/>
  <c r="BW227" i="5"/>
  <c r="BV227" i="5"/>
  <c r="BU227" i="5"/>
  <c r="BT227" i="5"/>
  <c r="BS227" i="5"/>
  <c r="BR227" i="5"/>
  <c r="BQ227" i="5"/>
  <c r="BP227" i="5"/>
  <c r="BO227" i="5"/>
  <c r="BN227" i="5"/>
  <c r="BM227" i="5"/>
  <c r="BL227" i="5"/>
  <c r="BK227" i="5"/>
  <c r="BJ227" i="5"/>
  <c r="BI227" i="5"/>
  <c r="BH227" i="5"/>
  <c r="BG227" i="5"/>
  <c r="BF227" i="5"/>
  <c r="BE227" i="5"/>
  <c r="BD227" i="5"/>
  <c r="BC227" i="5"/>
  <c r="BB227" i="5"/>
  <c r="BA227" i="5"/>
  <c r="AZ227" i="5"/>
  <c r="AX227" i="5"/>
  <c r="AY227" i="5" s="1"/>
  <c r="AW227" i="5"/>
  <c r="AV227" i="5"/>
  <c r="CK227" i="5" s="1"/>
  <c r="AU227" i="5"/>
  <c r="AT227" i="5"/>
  <c r="AS227" i="5"/>
  <c r="AR227" i="5"/>
  <c r="DH226" i="5"/>
  <c r="DG226" i="5"/>
  <c r="DA226" i="5"/>
  <c r="CX226" i="5"/>
  <c r="CG226" i="5"/>
  <c r="CF226" i="5"/>
  <c r="CD226" i="5"/>
  <c r="CC226" i="5"/>
  <c r="CB226" i="5"/>
  <c r="CA226" i="5"/>
  <c r="BZ226" i="5"/>
  <c r="BY226" i="5"/>
  <c r="BX226" i="5"/>
  <c r="BW226" i="5"/>
  <c r="BV226" i="5"/>
  <c r="BU226" i="5"/>
  <c r="BT226" i="5"/>
  <c r="BS226" i="5"/>
  <c r="BR226" i="5"/>
  <c r="BQ226" i="5"/>
  <c r="BP226" i="5"/>
  <c r="BO226" i="5"/>
  <c r="BN226" i="5"/>
  <c r="BM226" i="5"/>
  <c r="BL226" i="5"/>
  <c r="BK226" i="5"/>
  <c r="BJ226" i="5"/>
  <c r="BI226" i="5"/>
  <c r="BH226" i="5"/>
  <c r="BG226" i="5"/>
  <c r="BF226" i="5"/>
  <c r="BE226" i="5"/>
  <c r="BD226" i="5"/>
  <c r="BC226" i="5"/>
  <c r="BB226" i="5"/>
  <c r="BA226" i="5"/>
  <c r="AZ226" i="5"/>
  <c r="AY226" i="5"/>
  <c r="AX226" i="5"/>
  <c r="AW226" i="5"/>
  <c r="AV226" i="5"/>
  <c r="AU226" i="5"/>
  <c r="AT226" i="5"/>
  <c r="AS226" i="5"/>
  <c r="AR226" i="5"/>
  <c r="DH225" i="5"/>
  <c r="DG225" i="5"/>
  <c r="DA225" i="5"/>
  <c r="CX225" i="5"/>
  <c r="CG225" i="5"/>
  <c r="CF225" i="5"/>
  <c r="CD225" i="5"/>
  <c r="CC225" i="5"/>
  <c r="CB225" i="5"/>
  <c r="CA225" i="5"/>
  <c r="BZ225" i="5"/>
  <c r="BY225" i="5"/>
  <c r="BX225" i="5"/>
  <c r="BW225" i="5"/>
  <c r="BV225" i="5"/>
  <c r="BU225" i="5"/>
  <c r="BT225" i="5"/>
  <c r="BS225" i="5"/>
  <c r="BR225" i="5"/>
  <c r="BQ225" i="5"/>
  <c r="BP225" i="5"/>
  <c r="BO225" i="5"/>
  <c r="BN225" i="5"/>
  <c r="BM225" i="5"/>
  <c r="BL225" i="5"/>
  <c r="BK225" i="5"/>
  <c r="BJ225" i="5"/>
  <c r="BI225" i="5"/>
  <c r="BH225" i="5"/>
  <c r="BG225" i="5"/>
  <c r="BF225" i="5"/>
  <c r="BE225" i="5"/>
  <c r="BD225" i="5"/>
  <c r="BC225" i="5"/>
  <c r="BB225" i="5"/>
  <c r="BA225" i="5"/>
  <c r="AZ225" i="5"/>
  <c r="AY225" i="5"/>
  <c r="AX225" i="5"/>
  <c r="AW225" i="5"/>
  <c r="AV225" i="5"/>
  <c r="AU225" i="5"/>
  <c r="AT225" i="5"/>
  <c r="AS225" i="5"/>
  <c r="AR225" i="5"/>
  <c r="DH224" i="5"/>
  <c r="DG224" i="5"/>
  <c r="DA224" i="5"/>
  <c r="CX224" i="5"/>
  <c r="CK224" i="5"/>
  <c r="CJ224" i="5"/>
  <c r="CH224" i="5"/>
  <c r="CG224" i="5"/>
  <c r="CF224" i="5"/>
  <c r="CE224" i="5"/>
  <c r="CI224" i="5" s="1"/>
  <c r="CD224" i="5"/>
  <c r="CC224" i="5"/>
  <c r="CB224" i="5"/>
  <c r="CA224" i="5"/>
  <c r="BZ224" i="5"/>
  <c r="BY224" i="5"/>
  <c r="BX224" i="5"/>
  <c r="BW224" i="5"/>
  <c r="BV224" i="5"/>
  <c r="BU224" i="5"/>
  <c r="BT224" i="5"/>
  <c r="BS224" i="5"/>
  <c r="BR224" i="5"/>
  <c r="BQ224" i="5"/>
  <c r="BP224" i="5"/>
  <c r="BO224" i="5"/>
  <c r="BN224" i="5"/>
  <c r="BM224" i="5"/>
  <c r="BL224" i="5"/>
  <c r="BK224" i="5"/>
  <c r="BJ224" i="5"/>
  <c r="BI224" i="5"/>
  <c r="BH224" i="5"/>
  <c r="BG224" i="5"/>
  <c r="BF224" i="5"/>
  <c r="BE224" i="5"/>
  <c r="BD224" i="5"/>
  <c r="BC224" i="5"/>
  <c r="BB224" i="5"/>
  <c r="BA224" i="5"/>
  <c r="AZ224" i="5"/>
  <c r="AX224" i="5"/>
  <c r="AY224" i="5" s="1"/>
  <c r="AW224" i="5"/>
  <c r="AV224" i="5"/>
  <c r="AU224" i="5"/>
  <c r="AT224" i="5"/>
  <c r="AS224" i="5"/>
  <c r="AR224" i="5"/>
  <c r="DH223" i="5"/>
  <c r="DG223" i="5"/>
  <c r="DA223" i="5"/>
  <c r="CX223" i="5"/>
  <c r="CI223" i="5"/>
  <c r="CJ223" i="5" s="1"/>
  <c r="CG223" i="5"/>
  <c r="CF223" i="5"/>
  <c r="CE223" i="5"/>
  <c r="CD223" i="5"/>
  <c r="CH223" i="5" s="1"/>
  <c r="CC223" i="5"/>
  <c r="CB223" i="5"/>
  <c r="CA223" i="5"/>
  <c r="BZ223" i="5"/>
  <c r="BY223" i="5"/>
  <c r="BX223" i="5"/>
  <c r="BW223" i="5"/>
  <c r="BV223" i="5"/>
  <c r="BU223" i="5"/>
  <c r="BT223" i="5"/>
  <c r="BS223" i="5"/>
  <c r="BR223" i="5"/>
  <c r="BQ223" i="5"/>
  <c r="BP223" i="5"/>
  <c r="BO223" i="5"/>
  <c r="BN223" i="5"/>
  <c r="BM223" i="5"/>
  <c r="BL223" i="5"/>
  <c r="BK223" i="5"/>
  <c r="BJ223" i="5"/>
  <c r="BI223" i="5"/>
  <c r="BH223" i="5"/>
  <c r="BG223" i="5"/>
  <c r="BF223" i="5"/>
  <c r="BE223" i="5"/>
  <c r="BD223" i="5"/>
  <c r="BC223" i="5"/>
  <c r="BB223" i="5"/>
  <c r="BA223" i="5"/>
  <c r="AZ223" i="5"/>
  <c r="AY223" i="5"/>
  <c r="AX223" i="5"/>
  <c r="AW223" i="5"/>
  <c r="AV223" i="5"/>
  <c r="AU223" i="5"/>
  <c r="AT223" i="5"/>
  <c r="AS223" i="5"/>
  <c r="AR223" i="5"/>
  <c r="DH222" i="5"/>
  <c r="DG222" i="5"/>
  <c r="DA222" i="5"/>
  <c r="CX222" i="5"/>
  <c r="CG222" i="5"/>
  <c r="CF222" i="5"/>
  <c r="CD222" i="5"/>
  <c r="CH222" i="5" s="1"/>
  <c r="CC222" i="5"/>
  <c r="CB222" i="5"/>
  <c r="CA222" i="5"/>
  <c r="BZ222" i="5"/>
  <c r="BY222" i="5"/>
  <c r="BX222" i="5"/>
  <c r="BW222" i="5"/>
  <c r="BV222" i="5"/>
  <c r="BU222" i="5"/>
  <c r="BT222" i="5"/>
  <c r="BS222" i="5"/>
  <c r="BR222" i="5"/>
  <c r="BQ222" i="5"/>
  <c r="BP222" i="5"/>
  <c r="BO222" i="5"/>
  <c r="BN222" i="5"/>
  <c r="BM222" i="5"/>
  <c r="BL222" i="5"/>
  <c r="BK222" i="5"/>
  <c r="BJ222" i="5"/>
  <c r="BI222" i="5"/>
  <c r="BH222" i="5"/>
  <c r="BG222" i="5"/>
  <c r="BF222" i="5"/>
  <c r="BE222" i="5"/>
  <c r="BD222" i="5"/>
  <c r="BC222" i="5"/>
  <c r="BB222" i="5"/>
  <c r="BA222" i="5"/>
  <c r="AZ222" i="5"/>
  <c r="AY222" i="5"/>
  <c r="AX222" i="5"/>
  <c r="AW222" i="5"/>
  <c r="AV222" i="5"/>
  <c r="AU222" i="5"/>
  <c r="AT222" i="5"/>
  <c r="AS222" i="5"/>
  <c r="AR222" i="5"/>
  <c r="DH221" i="5"/>
  <c r="DG221" i="5"/>
  <c r="DA221" i="5"/>
  <c r="CX221" i="5"/>
  <c r="CH221" i="5"/>
  <c r="CG221" i="5"/>
  <c r="CF221" i="5"/>
  <c r="CE221" i="5"/>
  <c r="CD221" i="5"/>
  <c r="CC221" i="5"/>
  <c r="CB221" i="5"/>
  <c r="CA221" i="5"/>
  <c r="BZ221" i="5"/>
  <c r="BY221" i="5"/>
  <c r="BX221" i="5"/>
  <c r="BW221" i="5"/>
  <c r="BV221" i="5"/>
  <c r="BU221" i="5"/>
  <c r="BT221" i="5"/>
  <c r="BS221" i="5"/>
  <c r="BR221" i="5"/>
  <c r="BQ221" i="5"/>
  <c r="BP221" i="5"/>
  <c r="BO221" i="5"/>
  <c r="BN221" i="5"/>
  <c r="BM221" i="5"/>
  <c r="BL221" i="5"/>
  <c r="BK221" i="5"/>
  <c r="BJ221" i="5"/>
  <c r="BI221" i="5"/>
  <c r="BH221" i="5"/>
  <c r="BG221" i="5"/>
  <c r="BF221" i="5"/>
  <c r="BE221" i="5"/>
  <c r="BD221" i="5"/>
  <c r="BC221" i="5"/>
  <c r="BB221" i="5"/>
  <c r="BA221" i="5"/>
  <c r="AZ221" i="5"/>
  <c r="AX221" i="5"/>
  <c r="AY221" i="5" s="1"/>
  <c r="AW221" i="5"/>
  <c r="AV221" i="5"/>
  <c r="AU221" i="5"/>
  <c r="AT221" i="5"/>
  <c r="AS221" i="5"/>
  <c r="AR221" i="5"/>
  <c r="DH220" i="5"/>
  <c r="DG220" i="5"/>
  <c r="DA220" i="5"/>
  <c r="CX220" i="5"/>
  <c r="CG220" i="5"/>
  <c r="CF220" i="5"/>
  <c r="CE220" i="5"/>
  <c r="CD220" i="5"/>
  <c r="CH220" i="5" s="1"/>
  <c r="CC220" i="5"/>
  <c r="CB220" i="5"/>
  <c r="CA220" i="5"/>
  <c r="BZ220" i="5"/>
  <c r="BY220" i="5"/>
  <c r="BX220" i="5"/>
  <c r="BW220" i="5"/>
  <c r="BV220" i="5"/>
  <c r="BU220" i="5"/>
  <c r="BT220" i="5"/>
  <c r="BS220" i="5"/>
  <c r="BR220" i="5"/>
  <c r="BQ220" i="5"/>
  <c r="BP220" i="5"/>
  <c r="BO220" i="5"/>
  <c r="BN220" i="5"/>
  <c r="BM220" i="5"/>
  <c r="BL220" i="5"/>
  <c r="BK220" i="5"/>
  <c r="BJ220" i="5"/>
  <c r="BI220" i="5"/>
  <c r="BH220" i="5"/>
  <c r="BG220" i="5"/>
  <c r="BF220" i="5"/>
  <c r="BE220" i="5"/>
  <c r="BD220" i="5"/>
  <c r="BC220" i="5"/>
  <c r="BB220" i="5"/>
  <c r="BA220" i="5"/>
  <c r="AZ220" i="5"/>
  <c r="AY220" i="5"/>
  <c r="AX220" i="5"/>
  <c r="AW220" i="5"/>
  <c r="AV220" i="5"/>
  <c r="AU220" i="5"/>
  <c r="AT220" i="5"/>
  <c r="AS220" i="5"/>
  <c r="AR220" i="5"/>
  <c r="DH219" i="5"/>
  <c r="DG219" i="5"/>
  <c r="DA219" i="5"/>
  <c r="CX219" i="5"/>
  <c r="CG219" i="5"/>
  <c r="CF219" i="5"/>
  <c r="CD219" i="5"/>
  <c r="CC219" i="5"/>
  <c r="CB219" i="5"/>
  <c r="CA219" i="5"/>
  <c r="BZ219" i="5"/>
  <c r="BY219" i="5"/>
  <c r="BX219" i="5"/>
  <c r="BW219" i="5"/>
  <c r="BV219" i="5"/>
  <c r="BU219" i="5"/>
  <c r="BT219" i="5"/>
  <c r="BS219" i="5"/>
  <c r="BR219" i="5"/>
  <c r="BQ219" i="5"/>
  <c r="BP219" i="5"/>
  <c r="BO219" i="5"/>
  <c r="BN219" i="5"/>
  <c r="BM219" i="5"/>
  <c r="BL219" i="5"/>
  <c r="BK219" i="5"/>
  <c r="BJ219" i="5"/>
  <c r="BI219" i="5"/>
  <c r="BH219" i="5"/>
  <c r="BG219" i="5"/>
  <c r="BF219" i="5"/>
  <c r="BE219" i="5"/>
  <c r="BD219" i="5"/>
  <c r="BC219" i="5"/>
  <c r="BB219" i="5"/>
  <c r="BA219" i="5"/>
  <c r="AZ219" i="5"/>
  <c r="AX219" i="5"/>
  <c r="AY219" i="5" s="1"/>
  <c r="AW219" i="5"/>
  <c r="AV219" i="5"/>
  <c r="AU219" i="5"/>
  <c r="AT219" i="5"/>
  <c r="AS219" i="5"/>
  <c r="AR219" i="5"/>
  <c r="DH218" i="5"/>
  <c r="DG218" i="5"/>
  <c r="DA218" i="5"/>
  <c r="CX218" i="5"/>
  <c r="CH218" i="5"/>
  <c r="CI218" i="5" s="1"/>
  <c r="CJ218" i="5" s="1"/>
  <c r="CG218" i="5"/>
  <c r="CF218" i="5"/>
  <c r="CE218" i="5"/>
  <c r="CD218" i="5"/>
  <c r="CC218" i="5"/>
  <c r="CB218" i="5"/>
  <c r="CA218" i="5"/>
  <c r="BZ218" i="5"/>
  <c r="BY218" i="5"/>
  <c r="BX218" i="5"/>
  <c r="BW218" i="5"/>
  <c r="BV218" i="5"/>
  <c r="BU218" i="5"/>
  <c r="BT218" i="5"/>
  <c r="BS218" i="5"/>
  <c r="BR218" i="5"/>
  <c r="BQ218" i="5"/>
  <c r="BP218" i="5"/>
  <c r="BO218" i="5"/>
  <c r="BN218" i="5"/>
  <c r="BM218" i="5"/>
  <c r="BL218" i="5"/>
  <c r="BK218" i="5"/>
  <c r="BJ218" i="5"/>
  <c r="BI218" i="5"/>
  <c r="BH218" i="5"/>
  <c r="BG218" i="5"/>
  <c r="BF218" i="5"/>
  <c r="BE218" i="5"/>
  <c r="BD218" i="5"/>
  <c r="BC218" i="5"/>
  <c r="BB218" i="5"/>
  <c r="BA218" i="5"/>
  <c r="AZ218" i="5"/>
  <c r="AX218" i="5"/>
  <c r="AY218" i="5" s="1"/>
  <c r="AW218" i="5"/>
  <c r="AV218" i="5"/>
  <c r="CK218" i="5" s="1"/>
  <c r="CL218" i="5" s="1"/>
  <c r="CM218" i="5" s="1"/>
  <c r="AU218" i="5"/>
  <c r="AT218" i="5"/>
  <c r="AS218" i="5"/>
  <c r="AR218" i="5"/>
  <c r="DH217" i="5"/>
  <c r="DG217" i="5"/>
  <c r="DA217" i="5"/>
  <c r="CX217" i="5"/>
  <c r="CG217" i="5"/>
  <c r="CF217" i="5"/>
  <c r="CD217" i="5"/>
  <c r="CC217" i="5"/>
  <c r="CB217" i="5"/>
  <c r="CA217" i="5"/>
  <c r="BZ217" i="5"/>
  <c r="BY217" i="5"/>
  <c r="BX217" i="5"/>
  <c r="BW217" i="5"/>
  <c r="BV217" i="5"/>
  <c r="BU217" i="5"/>
  <c r="BT217" i="5"/>
  <c r="BS217" i="5"/>
  <c r="BR217" i="5"/>
  <c r="BQ217" i="5"/>
  <c r="BP217" i="5"/>
  <c r="BO217" i="5"/>
  <c r="BN217" i="5"/>
  <c r="BM217" i="5"/>
  <c r="BL217" i="5"/>
  <c r="BK217" i="5"/>
  <c r="BJ217" i="5"/>
  <c r="BI217" i="5"/>
  <c r="BH217" i="5"/>
  <c r="BG217" i="5"/>
  <c r="BF217" i="5"/>
  <c r="BE217" i="5"/>
  <c r="BD217" i="5"/>
  <c r="BC217" i="5"/>
  <c r="BB217" i="5"/>
  <c r="BA217" i="5"/>
  <c r="AZ217" i="5"/>
  <c r="AY217" i="5"/>
  <c r="AX217" i="5"/>
  <c r="AW217" i="5"/>
  <c r="AV217" i="5"/>
  <c r="AU217" i="5"/>
  <c r="AT217" i="5"/>
  <c r="AS217" i="5"/>
  <c r="AR217" i="5"/>
  <c r="DH216" i="5"/>
  <c r="DG216" i="5"/>
  <c r="DA216" i="5"/>
  <c r="CX216" i="5"/>
  <c r="CH216" i="5"/>
  <c r="CG216" i="5"/>
  <c r="CF216" i="5"/>
  <c r="CE216" i="5"/>
  <c r="CD216" i="5"/>
  <c r="CC216" i="5"/>
  <c r="CB216" i="5"/>
  <c r="CA216" i="5"/>
  <c r="BZ216" i="5"/>
  <c r="BY216" i="5"/>
  <c r="BX216" i="5"/>
  <c r="BW216" i="5"/>
  <c r="BV216" i="5"/>
  <c r="BU216" i="5"/>
  <c r="BT216" i="5"/>
  <c r="BS216" i="5"/>
  <c r="BR216" i="5"/>
  <c r="BQ216" i="5"/>
  <c r="BP216" i="5"/>
  <c r="BO216" i="5"/>
  <c r="BN216" i="5"/>
  <c r="BM216" i="5"/>
  <c r="BL216" i="5"/>
  <c r="BK216" i="5"/>
  <c r="BJ216" i="5"/>
  <c r="BI216" i="5"/>
  <c r="BH216" i="5"/>
  <c r="BG216" i="5"/>
  <c r="BF216" i="5"/>
  <c r="BE216" i="5"/>
  <c r="BD216" i="5"/>
  <c r="BC216" i="5"/>
  <c r="BB216" i="5"/>
  <c r="BA216" i="5"/>
  <c r="AZ216" i="5"/>
  <c r="AX216" i="5"/>
  <c r="AY216" i="5" s="1"/>
  <c r="AW216" i="5"/>
  <c r="AV216" i="5"/>
  <c r="AU216" i="5"/>
  <c r="AT216" i="5"/>
  <c r="AS216" i="5"/>
  <c r="AR216" i="5"/>
  <c r="DH215" i="5"/>
  <c r="DG215" i="5"/>
  <c r="DA215" i="5"/>
  <c r="CX215" i="5"/>
  <c r="CK215" i="5"/>
  <c r="CJ215" i="5"/>
  <c r="CL215" i="5" s="1"/>
  <c r="CM215" i="5" s="1"/>
  <c r="CH215" i="5"/>
  <c r="CG215" i="5"/>
  <c r="CF215" i="5"/>
  <c r="CE215" i="5"/>
  <c r="CI215" i="5" s="1"/>
  <c r="CD215" i="5"/>
  <c r="CC215" i="5"/>
  <c r="CB215" i="5"/>
  <c r="CA215" i="5"/>
  <c r="BZ215" i="5"/>
  <c r="BY215" i="5"/>
  <c r="BX215" i="5"/>
  <c r="BW215" i="5"/>
  <c r="BV215" i="5"/>
  <c r="BU215" i="5"/>
  <c r="BT215" i="5"/>
  <c r="BS215" i="5"/>
  <c r="BR215" i="5"/>
  <c r="BQ215" i="5"/>
  <c r="BP215" i="5"/>
  <c r="BO215" i="5"/>
  <c r="BN215" i="5"/>
  <c r="BM215" i="5"/>
  <c r="BL215" i="5"/>
  <c r="BK215" i="5"/>
  <c r="BJ215" i="5"/>
  <c r="BI215" i="5"/>
  <c r="BH215" i="5"/>
  <c r="BG215" i="5"/>
  <c r="BF215" i="5"/>
  <c r="BE215" i="5"/>
  <c r="BD215" i="5"/>
  <c r="BC215" i="5"/>
  <c r="BB215" i="5"/>
  <c r="BA215" i="5"/>
  <c r="AZ215" i="5"/>
  <c r="AX215" i="5"/>
  <c r="AY215" i="5" s="1"/>
  <c r="AW215" i="5"/>
  <c r="AV215" i="5"/>
  <c r="AU215" i="5"/>
  <c r="AT215" i="5"/>
  <c r="AS215" i="5"/>
  <c r="AR215" i="5"/>
  <c r="DH214" i="5"/>
  <c r="DG214" i="5"/>
  <c r="DA214" i="5"/>
  <c r="CX214" i="5"/>
  <c r="CG214" i="5"/>
  <c r="CF214" i="5"/>
  <c r="CD214" i="5"/>
  <c r="CC214" i="5"/>
  <c r="CB214" i="5"/>
  <c r="CA214" i="5"/>
  <c r="BZ214" i="5"/>
  <c r="BY214" i="5"/>
  <c r="BX214" i="5"/>
  <c r="BW214" i="5"/>
  <c r="BV214" i="5"/>
  <c r="BU214" i="5"/>
  <c r="BT214" i="5"/>
  <c r="BS214" i="5"/>
  <c r="BR214" i="5"/>
  <c r="BQ214" i="5"/>
  <c r="BP214" i="5"/>
  <c r="BO214" i="5"/>
  <c r="BN214" i="5"/>
  <c r="BM214" i="5"/>
  <c r="BL214" i="5"/>
  <c r="BK214" i="5"/>
  <c r="BJ214" i="5"/>
  <c r="BI214" i="5"/>
  <c r="BH214" i="5"/>
  <c r="BG214" i="5"/>
  <c r="BF214" i="5"/>
  <c r="BE214" i="5"/>
  <c r="BD214" i="5"/>
  <c r="BC214" i="5"/>
  <c r="BB214" i="5"/>
  <c r="BA214" i="5"/>
  <c r="AZ214" i="5"/>
  <c r="AY214" i="5"/>
  <c r="AX214" i="5"/>
  <c r="AW214" i="5"/>
  <c r="AV214" i="5"/>
  <c r="AU214" i="5"/>
  <c r="AT214" i="5"/>
  <c r="AS214" i="5"/>
  <c r="AR214" i="5"/>
  <c r="DH213" i="5"/>
  <c r="DG213" i="5"/>
  <c r="DA213" i="5"/>
  <c r="CX213" i="5"/>
  <c r="CG213" i="5"/>
  <c r="CF213" i="5"/>
  <c r="CD213" i="5"/>
  <c r="CC213" i="5"/>
  <c r="CB213" i="5"/>
  <c r="CA213" i="5"/>
  <c r="BZ213" i="5"/>
  <c r="BY213" i="5"/>
  <c r="BX213" i="5"/>
  <c r="BW213" i="5"/>
  <c r="BV213" i="5"/>
  <c r="BU213" i="5"/>
  <c r="BT213" i="5"/>
  <c r="BS213" i="5"/>
  <c r="BR213" i="5"/>
  <c r="BQ213" i="5"/>
  <c r="BP213" i="5"/>
  <c r="BO213" i="5"/>
  <c r="BN213" i="5"/>
  <c r="BM213" i="5"/>
  <c r="BL213" i="5"/>
  <c r="BK213" i="5"/>
  <c r="BJ213" i="5"/>
  <c r="BI213" i="5"/>
  <c r="BH213" i="5"/>
  <c r="BG213" i="5"/>
  <c r="BF213" i="5"/>
  <c r="BE213" i="5"/>
  <c r="BD213" i="5"/>
  <c r="BC213" i="5"/>
  <c r="BB213" i="5"/>
  <c r="BA213" i="5"/>
  <c r="AZ213" i="5"/>
  <c r="AX213" i="5"/>
  <c r="AY213" i="5" s="1"/>
  <c r="AW213" i="5"/>
  <c r="AV213" i="5"/>
  <c r="AU213" i="5"/>
  <c r="AT213" i="5"/>
  <c r="AS213" i="5"/>
  <c r="AR213" i="5"/>
  <c r="DH212" i="5"/>
  <c r="DG212" i="5"/>
  <c r="DA212" i="5"/>
  <c r="CX212" i="5"/>
  <c r="CI212" i="5"/>
  <c r="CJ212" i="5" s="1"/>
  <c r="CH212" i="5"/>
  <c r="CG212" i="5"/>
  <c r="CF212" i="5"/>
  <c r="CE212" i="5"/>
  <c r="CD212" i="5"/>
  <c r="CC212" i="5"/>
  <c r="CB212" i="5"/>
  <c r="CA212" i="5"/>
  <c r="BZ212" i="5"/>
  <c r="BY212" i="5"/>
  <c r="BX212" i="5"/>
  <c r="BW212" i="5"/>
  <c r="BV212" i="5"/>
  <c r="BU212" i="5"/>
  <c r="BT212" i="5"/>
  <c r="BS212" i="5"/>
  <c r="BR212" i="5"/>
  <c r="BQ212" i="5"/>
  <c r="BP212" i="5"/>
  <c r="BO212" i="5"/>
  <c r="BN212" i="5"/>
  <c r="BM212" i="5"/>
  <c r="BL212" i="5"/>
  <c r="BK212" i="5"/>
  <c r="BJ212" i="5"/>
  <c r="BI212" i="5"/>
  <c r="BH212" i="5"/>
  <c r="BG212" i="5"/>
  <c r="BF212" i="5"/>
  <c r="BE212" i="5"/>
  <c r="BD212" i="5"/>
  <c r="BC212" i="5"/>
  <c r="BB212" i="5"/>
  <c r="BA212" i="5"/>
  <c r="AZ212" i="5"/>
  <c r="AY212" i="5"/>
  <c r="AX212" i="5"/>
  <c r="AW212" i="5"/>
  <c r="AV212" i="5"/>
  <c r="AU212" i="5"/>
  <c r="AT212" i="5"/>
  <c r="AS212" i="5"/>
  <c r="AR212" i="5"/>
  <c r="DH211" i="5"/>
  <c r="DG211" i="5"/>
  <c r="DA211" i="5"/>
  <c r="CX211" i="5"/>
  <c r="CG211" i="5"/>
  <c r="CF211" i="5"/>
  <c r="CE211" i="5"/>
  <c r="CD211" i="5"/>
  <c r="CH211" i="5" s="1"/>
  <c r="CC211" i="5"/>
  <c r="CB211" i="5"/>
  <c r="CA211" i="5"/>
  <c r="BZ211" i="5"/>
  <c r="BY211" i="5"/>
  <c r="BX211" i="5"/>
  <c r="BW211" i="5"/>
  <c r="BV211" i="5"/>
  <c r="BU211" i="5"/>
  <c r="BT211" i="5"/>
  <c r="BS211" i="5"/>
  <c r="BR211" i="5"/>
  <c r="BQ211" i="5"/>
  <c r="BP211" i="5"/>
  <c r="BO211" i="5"/>
  <c r="BN211" i="5"/>
  <c r="BM211" i="5"/>
  <c r="BL211" i="5"/>
  <c r="BK211" i="5"/>
  <c r="BJ211" i="5"/>
  <c r="BI211" i="5"/>
  <c r="BH211" i="5"/>
  <c r="BG211" i="5"/>
  <c r="BF211" i="5"/>
  <c r="BE211" i="5"/>
  <c r="BD211" i="5"/>
  <c r="BC211" i="5"/>
  <c r="BB211" i="5"/>
  <c r="BA211" i="5"/>
  <c r="AZ211" i="5"/>
  <c r="AY211" i="5"/>
  <c r="AX211" i="5"/>
  <c r="AW211" i="5"/>
  <c r="AV211" i="5"/>
  <c r="AU211" i="5"/>
  <c r="AT211" i="5"/>
  <c r="AS211" i="5"/>
  <c r="AR211" i="5"/>
  <c r="DH210" i="5"/>
  <c r="DG210" i="5"/>
  <c r="DA210" i="5"/>
  <c r="CX210" i="5"/>
  <c r="CH210" i="5"/>
  <c r="CG210" i="5"/>
  <c r="CF210" i="5"/>
  <c r="CD210" i="5"/>
  <c r="CE210" i="5" s="1"/>
  <c r="CC210" i="5"/>
  <c r="CB210" i="5"/>
  <c r="CA210" i="5"/>
  <c r="BZ210" i="5"/>
  <c r="BY210" i="5"/>
  <c r="BX210" i="5"/>
  <c r="BW210" i="5"/>
  <c r="BV210" i="5"/>
  <c r="BU210" i="5"/>
  <c r="BT210" i="5"/>
  <c r="BS210" i="5"/>
  <c r="BR210" i="5"/>
  <c r="BQ210" i="5"/>
  <c r="BP210" i="5"/>
  <c r="BO210" i="5"/>
  <c r="BN210" i="5"/>
  <c r="BM210" i="5"/>
  <c r="BL210" i="5"/>
  <c r="BK210" i="5"/>
  <c r="BJ210" i="5"/>
  <c r="BI210" i="5"/>
  <c r="BH210" i="5"/>
  <c r="BG210" i="5"/>
  <c r="BF210" i="5"/>
  <c r="BE210" i="5"/>
  <c r="BD210" i="5"/>
  <c r="BC210" i="5"/>
  <c r="BB210" i="5"/>
  <c r="BA210" i="5"/>
  <c r="AZ210" i="5"/>
  <c r="AY210" i="5"/>
  <c r="AX210" i="5"/>
  <c r="AW210" i="5"/>
  <c r="AV210" i="5"/>
  <c r="AU210" i="5"/>
  <c r="AT210" i="5"/>
  <c r="AS210" i="5"/>
  <c r="AR210" i="5"/>
  <c r="DH209" i="5"/>
  <c r="DG209" i="5"/>
  <c r="DA209" i="5"/>
  <c r="CX209" i="5"/>
  <c r="CH209" i="5"/>
  <c r="CG209" i="5"/>
  <c r="CF209" i="5"/>
  <c r="CE209" i="5"/>
  <c r="CD209" i="5"/>
  <c r="CC209" i="5"/>
  <c r="CB209" i="5"/>
  <c r="CA209" i="5"/>
  <c r="BZ209" i="5"/>
  <c r="BY209" i="5"/>
  <c r="BX209" i="5"/>
  <c r="BW209" i="5"/>
  <c r="BV209" i="5"/>
  <c r="BU209" i="5"/>
  <c r="BT209" i="5"/>
  <c r="BS209" i="5"/>
  <c r="BR209" i="5"/>
  <c r="BQ209" i="5"/>
  <c r="BP209" i="5"/>
  <c r="BO209" i="5"/>
  <c r="BN209" i="5"/>
  <c r="BM209" i="5"/>
  <c r="BL209" i="5"/>
  <c r="BK209" i="5"/>
  <c r="BJ209" i="5"/>
  <c r="BI209" i="5"/>
  <c r="BH209" i="5"/>
  <c r="BG209" i="5"/>
  <c r="BF209" i="5"/>
  <c r="BE209" i="5"/>
  <c r="BD209" i="5"/>
  <c r="BC209" i="5"/>
  <c r="BB209" i="5"/>
  <c r="BA209" i="5"/>
  <c r="AZ209" i="5"/>
  <c r="AX209" i="5"/>
  <c r="AY209" i="5" s="1"/>
  <c r="AW209" i="5"/>
  <c r="AV209" i="5"/>
  <c r="AU209" i="5"/>
  <c r="AT209" i="5"/>
  <c r="AS209" i="5"/>
  <c r="AR209" i="5"/>
  <c r="DH208" i="5"/>
  <c r="DG208" i="5"/>
  <c r="DA208" i="5"/>
  <c r="CX208" i="5"/>
  <c r="CG208" i="5"/>
  <c r="CF208" i="5"/>
  <c r="CE208" i="5"/>
  <c r="CD208" i="5"/>
  <c r="CH208" i="5" s="1"/>
  <c r="CC208" i="5"/>
  <c r="CB208" i="5"/>
  <c r="CA208" i="5"/>
  <c r="BZ208" i="5"/>
  <c r="BY208" i="5"/>
  <c r="BX208" i="5"/>
  <c r="BW208" i="5"/>
  <c r="BV208" i="5"/>
  <c r="BU208" i="5"/>
  <c r="BT208" i="5"/>
  <c r="BS208" i="5"/>
  <c r="BR208" i="5"/>
  <c r="BQ208" i="5"/>
  <c r="BP208" i="5"/>
  <c r="BO208" i="5"/>
  <c r="BN208" i="5"/>
  <c r="BM208" i="5"/>
  <c r="BL208" i="5"/>
  <c r="BK208" i="5"/>
  <c r="BJ208" i="5"/>
  <c r="BI208" i="5"/>
  <c r="BH208" i="5"/>
  <c r="BG208" i="5"/>
  <c r="BF208" i="5"/>
  <c r="BE208" i="5"/>
  <c r="BD208" i="5"/>
  <c r="BC208" i="5"/>
  <c r="BB208" i="5"/>
  <c r="BA208" i="5"/>
  <c r="AZ208" i="5"/>
  <c r="AY208" i="5"/>
  <c r="AX208" i="5"/>
  <c r="AW208" i="5"/>
  <c r="AV208" i="5"/>
  <c r="AU208" i="5"/>
  <c r="AT208" i="5"/>
  <c r="AS208" i="5"/>
  <c r="AR208" i="5"/>
  <c r="DH207" i="5"/>
  <c r="DG207" i="5"/>
  <c r="DA207" i="5"/>
  <c r="CX207" i="5"/>
  <c r="CG207" i="5"/>
  <c r="CF207" i="5"/>
  <c r="CD207" i="5"/>
  <c r="CH207" i="5" s="1"/>
  <c r="CC207" i="5"/>
  <c r="CB207" i="5"/>
  <c r="CA207" i="5"/>
  <c r="BZ207" i="5"/>
  <c r="BY207" i="5"/>
  <c r="BX207" i="5"/>
  <c r="BW207" i="5"/>
  <c r="BV207" i="5"/>
  <c r="BU207" i="5"/>
  <c r="BT207" i="5"/>
  <c r="BS207" i="5"/>
  <c r="BR207" i="5"/>
  <c r="BQ207" i="5"/>
  <c r="BP207" i="5"/>
  <c r="BO207" i="5"/>
  <c r="BN207" i="5"/>
  <c r="BM207" i="5"/>
  <c r="BL207" i="5"/>
  <c r="BK207" i="5"/>
  <c r="BJ207" i="5"/>
  <c r="BI207" i="5"/>
  <c r="BH207" i="5"/>
  <c r="BG207" i="5"/>
  <c r="BF207" i="5"/>
  <c r="BE207" i="5"/>
  <c r="BD207" i="5"/>
  <c r="BC207" i="5"/>
  <c r="BB207" i="5"/>
  <c r="BA207" i="5"/>
  <c r="AZ207" i="5"/>
  <c r="AY207" i="5"/>
  <c r="AX207" i="5"/>
  <c r="AW207" i="5"/>
  <c r="AV207" i="5"/>
  <c r="AU207" i="5"/>
  <c r="AT207" i="5"/>
  <c r="AS207" i="5"/>
  <c r="AR207" i="5"/>
  <c r="DH206" i="5"/>
  <c r="DG206" i="5"/>
  <c r="DA206" i="5"/>
  <c r="CX206" i="5"/>
  <c r="CH206" i="5"/>
  <c r="CI206" i="5" s="1"/>
  <c r="CJ206" i="5" s="1"/>
  <c r="CG206" i="5"/>
  <c r="CF206" i="5"/>
  <c r="CE206" i="5"/>
  <c r="CD206" i="5"/>
  <c r="CC206" i="5"/>
  <c r="CB206" i="5"/>
  <c r="CA206" i="5"/>
  <c r="BZ206" i="5"/>
  <c r="BY206" i="5"/>
  <c r="BX206" i="5"/>
  <c r="BW206" i="5"/>
  <c r="BV206" i="5"/>
  <c r="BU206" i="5"/>
  <c r="BT206" i="5"/>
  <c r="BS206" i="5"/>
  <c r="BR206" i="5"/>
  <c r="BQ206" i="5"/>
  <c r="BP206" i="5"/>
  <c r="BO206" i="5"/>
  <c r="BN206" i="5"/>
  <c r="BM206" i="5"/>
  <c r="BL206" i="5"/>
  <c r="BK206" i="5"/>
  <c r="BJ206" i="5"/>
  <c r="BI206" i="5"/>
  <c r="BH206" i="5"/>
  <c r="BG206" i="5"/>
  <c r="BF206" i="5"/>
  <c r="BE206" i="5"/>
  <c r="BD206" i="5"/>
  <c r="BC206" i="5"/>
  <c r="BB206" i="5"/>
  <c r="BA206" i="5"/>
  <c r="AZ206" i="5"/>
  <c r="AX206" i="5"/>
  <c r="AY206" i="5" s="1"/>
  <c r="AW206" i="5"/>
  <c r="AV206" i="5"/>
  <c r="CK206" i="5" s="1"/>
  <c r="AU206" i="5"/>
  <c r="AT206" i="5"/>
  <c r="AS206" i="5"/>
  <c r="AR206" i="5"/>
  <c r="DH205" i="5"/>
  <c r="DG205" i="5"/>
  <c r="DA205" i="5"/>
  <c r="CX205" i="5"/>
  <c r="CG205" i="5"/>
  <c r="CF205" i="5"/>
  <c r="CD205" i="5"/>
  <c r="CC205" i="5"/>
  <c r="CB205" i="5"/>
  <c r="CA205" i="5"/>
  <c r="BZ205" i="5"/>
  <c r="BY205" i="5"/>
  <c r="BX205" i="5"/>
  <c r="BW205" i="5"/>
  <c r="BV205" i="5"/>
  <c r="BU205" i="5"/>
  <c r="BT205" i="5"/>
  <c r="BS205" i="5"/>
  <c r="BR205" i="5"/>
  <c r="BQ205" i="5"/>
  <c r="BP205" i="5"/>
  <c r="BO205" i="5"/>
  <c r="BN205" i="5"/>
  <c r="BM205" i="5"/>
  <c r="BL205" i="5"/>
  <c r="BK205" i="5"/>
  <c r="BJ205" i="5"/>
  <c r="BI205" i="5"/>
  <c r="BH205" i="5"/>
  <c r="BG205" i="5"/>
  <c r="BF205" i="5"/>
  <c r="BE205" i="5"/>
  <c r="BD205" i="5"/>
  <c r="BC205" i="5"/>
  <c r="BB205" i="5"/>
  <c r="BA205" i="5"/>
  <c r="AZ205" i="5"/>
  <c r="AY205" i="5"/>
  <c r="AX205" i="5"/>
  <c r="AW205" i="5"/>
  <c r="AV205" i="5"/>
  <c r="AU205" i="5"/>
  <c r="AT205" i="5"/>
  <c r="AS205" i="5"/>
  <c r="AR205" i="5"/>
  <c r="DH204" i="5"/>
  <c r="DG204" i="5"/>
  <c r="DA204" i="5"/>
  <c r="CX204" i="5"/>
  <c r="CG204" i="5"/>
  <c r="CF204" i="5"/>
  <c r="CE204" i="5"/>
  <c r="CI204" i="5" s="1"/>
  <c r="CJ204" i="5" s="1"/>
  <c r="CD204" i="5"/>
  <c r="CH204" i="5" s="1"/>
  <c r="CC204" i="5"/>
  <c r="CB204" i="5"/>
  <c r="CA204" i="5"/>
  <c r="BZ204" i="5"/>
  <c r="BY204" i="5"/>
  <c r="BX204" i="5"/>
  <c r="BW204" i="5"/>
  <c r="BV204" i="5"/>
  <c r="BU204" i="5"/>
  <c r="BT204" i="5"/>
  <c r="BS204" i="5"/>
  <c r="BR204" i="5"/>
  <c r="BQ204" i="5"/>
  <c r="BP204" i="5"/>
  <c r="BO204" i="5"/>
  <c r="BN204" i="5"/>
  <c r="BM204" i="5"/>
  <c r="BL204" i="5"/>
  <c r="BK204" i="5"/>
  <c r="BJ204" i="5"/>
  <c r="BI204" i="5"/>
  <c r="BH204" i="5"/>
  <c r="BG204" i="5"/>
  <c r="BF204" i="5"/>
  <c r="BE204" i="5"/>
  <c r="BD204" i="5"/>
  <c r="BC204" i="5"/>
  <c r="BB204" i="5"/>
  <c r="BA204" i="5"/>
  <c r="AZ204" i="5"/>
  <c r="AX204" i="5"/>
  <c r="AY204" i="5" s="1"/>
  <c r="AW204" i="5"/>
  <c r="AV204" i="5"/>
  <c r="CK204" i="5" s="1"/>
  <c r="AU204" i="5"/>
  <c r="AT204" i="5"/>
  <c r="AS204" i="5"/>
  <c r="AR204" i="5"/>
  <c r="DH203" i="5"/>
  <c r="DG203" i="5"/>
  <c r="DA203" i="5"/>
  <c r="CX203" i="5"/>
  <c r="CK203" i="5"/>
  <c r="CH203" i="5"/>
  <c r="CG203" i="5"/>
  <c r="CF203" i="5"/>
  <c r="CE203" i="5"/>
  <c r="CI203" i="5" s="1"/>
  <c r="CJ203" i="5" s="1"/>
  <c r="CD203" i="5"/>
  <c r="CC203" i="5"/>
  <c r="CB203" i="5"/>
  <c r="CA203" i="5"/>
  <c r="BZ203" i="5"/>
  <c r="BY203" i="5"/>
  <c r="BX203"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AX203" i="5"/>
  <c r="AY203" i="5" s="1"/>
  <c r="AW203" i="5"/>
  <c r="AV203" i="5"/>
  <c r="AU203" i="5"/>
  <c r="AT203" i="5"/>
  <c r="AS203" i="5"/>
  <c r="AR203" i="5"/>
  <c r="DH202" i="5"/>
  <c r="DG202" i="5"/>
  <c r="DA202" i="5"/>
  <c r="CX202" i="5"/>
  <c r="CJ202" i="5"/>
  <c r="CI202" i="5"/>
  <c r="CG202" i="5"/>
  <c r="CF202" i="5"/>
  <c r="CE202" i="5"/>
  <c r="CD202" i="5"/>
  <c r="CH202" i="5" s="1"/>
  <c r="CC202" i="5"/>
  <c r="CB202" i="5"/>
  <c r="CA202" i="5"/>
  <c r="BZ202" i="5"/>
  <c r="BY202" i="5"/>
  <c r="BX202" i="5"/>
  <c r="BW202" i="5"/>
  <c r="BV202" i="5"/>
  <c r="BU202" i="5"/>
  <c r="BT202" i="5"/>
  <c r="BS202" i="5"/>
  <c r="BR202" i="5"/>
  <c r="BQ202" i="5"/>
  <c r="BP202" i="5"/>
  <c r="BO202" i="5"/>
  <c r="BN202" i="5"/>
  <c r="BM202" i="5"/>
  <c r="BL202" i="5"/>
  <c r="BK202" i="5"/>
  <c r="BJ202" i="5"/>
  <c r="BI202" i="5"/>
  <c r="BH202" i="5"/>
  <c r="BG202" i="5"/>
  <c r="BF202" i="5"/>
  <c r="BE202" i="5"/>
  <c r="BD202" i="5"/>
  <c r="BC202" i="5"/>
  <c r="BB202" i="5"/>
  <c r="BA202" i="5"/>
  <c r="AZ202" i="5"/>
  <c r="AY202" i="5"/>
  <c r="AX202" i="5"/>
  <c r="AW202" i="5"/>
  <c r="AV202" i="5"/>
  <c r="AU202" i="5"/>
  <c r="AT202" i="5"/>
  <c r="AS202" i="5"/>
  <c r="AR202" i="5"/>
  <c r="DH201" i="5"/>
  <c r="DG201" i="5"/>
  <c r="DA201" i="5"/>
  <c r="CY201" i="5"/>
  <c r="CZ201" i="5" s="1"/>
  <c r="CX201" i="5"/>
  <c r="CU201" i="5"/>
  <c r="CO201" i="5"/>
  <c r="CK201" i="5"/>
  <c r="CH201" i="5"/>
  <c r="CI201" i="5" s="1"/>
  <c r="CJ201" i="5" s="1"/>
  <c r="CL201" i="5" s="1"/>
  <c r="CM201" i="5" s="1"/>
  <c r="CR201" i="5" s="1"/>
  <c r="CG201" i="5"/>
  <c r="CF201" i="5"/>
  <c r="CD201" i="5"/>
  <c r="CE201" i="5" s="1"/>
  <c r="CC201" i="5"/>
  <c r="CB201" i="5"/>
  <c r="CA201" i="5"/>
  <c r="BZ201" i="5"/>
  <c r="BY201" i="5"/>
  <c r="BX201" i="5"/>
  <c r="BW201" i="5"/>
  <c r="BV201" i="5"/>
  <c r="BU201" i="5"/>
  <c r="BT201" i="5"/>
  <c r="BS201" i="5"/>
  <c r="BR201" i="5"/>
  <c r="BQ201" i="5"/>
  <c r="BP201" i="5"/>
  <c r="BO201" i="5"/>
  <c r="BN201" i="5"/>
  <c r="BM201" i="5"/>
  <c r="BL201" i="5"/>
  <c r="BK201" i="5"/>
  <c r="BJ201" i="5"/>
  <c r="BI201" i="5"/>
  <c r="BH201" i="5"/>
  <c r="BG201" i="5"/>
  <c r="BF201" i="5"/>
  <c r="BE201" i="5"/>
  <c r="BD201" i="5"/>
  <c r="BC201" i="5"/>
  <c r="BB201" i="5"/>
  <c r="BA201" i="5"/>
  <c r="AZ201" i="5"/>
  <c r="AY201" i="5"/>
  <c r="AX201" i="5"/>
  <c r="AW201" i="5"/>
  <c r="AV201" i="5"/>
  <c r="AU201" i="5"/>
  <c r="AT201" i="5"/>
  <c r="AS201" i="5"/>
  <c r="AR201" i="5"/>
  <c r="DH200" i="5"/>
  <c r="DG200" i="5"/>
  <c r="DA200" i="5"/>
  <c r="CX200" i="5"/>
  <c r="CK200" i="5"/>
  <c r="CL200" i="5" s="1"/>
  <c r="CM200" i="5" s="1"/>
  <c r="CJ200" i="5"/>
  <c r="CH200" i="5"/>
  <c r="CG200" i="5"/>
  <c r="CF200" i="5"/>
  <c r="CE200" i="5"/>
  <c r="CI200" i="5" s="1"/>
  <c r="CD200" i="5"/>
  <c r="CC200" i="5"/>
  <c r="CB200" i="5"/>
  <c r="CA200" i="5"/>
  <c r="BZ200" i="5"/>
  <c r="BY200" i="5"/>
  <c r="BX200" i="5"/>
  <c r="BW200" i="5"/>
  <c r="BV200" i="5"/>
  <c r="BU200" i="5"/>
  <c r="BT200" i="5"/>
  <c r="BS200" i="5"/>
  <c r="BR200" i="5"/>
  <c r="BQ200" i="5"/>
  <c r="BP200" i="5"/>
  <c r="BO200" i="5"/>
  <c r="BN200" i="5"/>
  <c r="BM200" i="5"/>
  <c r="BL200" i="5"/>
  <c r="BK200" i="5"/>
  <c r="BJ200" i="5"/>
  <c r="BI200" i="5"/>
  <c r="BH200" i="5"/>
  <c r="BG200" i="5"/>
  <c r="BF200" i="5"/>
  <c r="BE200" i="5"/>
  <c r="BD200" i="5"/>
  <c r="BC200" i="5"/>
  <c r="BB200" i="5"/>
  <c r="BA200" i="5"/>
  <c r="AZ200" i="5"/>
  <c r="AX200" i="5"/>
  <c r="AY200" i="5" s="1"/>
  <c r="AW200" i="5"/>
  <c r="AV200" i="5"/>
  <c r="AU200" i="5"/>
  <c r="AT200" i="5"/>
  <c r="AS200" i="5"/>
  <c r="AR200" i="5"/>
  <c r="DH199" i="5"/>
  <c r="DG199" i="5"/>
  <c r="DA199" i="5"/>
  <c r="CX199" i="5"/>
  <c r="CG199" i="5"/>
  <c r="CF199" i="5"/>
  <c r="CE199" i="5"/>
  <c r="CD199" i="5"/>
  <c r="CH199" i="5" s="1"/>
  <c r="CC199" i="5"/>
  <c r="CB199" i="5"/>
  <c r="CA199" i="5"/>
  <c r="BZ199" i="5"/>
  <c r="BY199" i="5"/>
  <c r="BX199" i="5"/>
  <c r="BW199" i="5"/>
  <c r="BV199" i="5"/>
  <c r="BU199" i="5"/>
  <c r="BT199" i="5"/>
  <c r="BS199" i="5"/>
  <c r="BR199" i="5"/>
  <c r="BQ199" i="5"/>
  <c r="BP199" i="5"/>
  <c r="BO199" i="5"/>
  <c r="BN199" i="5"/>
  <c r="BM199" i="5"/>
  <c r="BL199" i="5"/>
  <c r="BK199" i="5"/>
  <c r="BJ199" i="5"/>
  <c r="BI199" i="5"/>
  <c r="BH199" i="5"/>
  <c r="BG199" i="5"/>
  <c r="BF199" i="5"/>
  <c r="BE199" i="5"/>
  <c r="BD199" i="5"/>
  <c r="BC199" i="5"/>
  <c r="BB199" i="5"/>
  <c r="BA199" i="5"/>
  <c r="AZ199" i="5"/>
  <c r="AY199" i="5"/>
  <c r="AX199" i="5"/>
  <c r="AW199" i="5"/>
  <c r="AV199" i="5"/>
  <c r="AU199" i="5"/>
  <c r="AT199" i="5"/>
  <c r="AS199" i="5"/>
  <c r="AR199" i="5"/>
  <c r="DH198" i="5"/>
  <c r="DG198" i="5"/>
  <c r="DA198" i="5"/>
  <c r="CX198" i="5"/>
  <c r="CH198" i="5"/>
  <c r="CG198" i="5"/>
  <c r="CF198" i="5"/>
  <c r="CE198" i="5"/>
  <c r="CD198" i="5"/>
  <c r="CC198" i="5"/>
  <c r="CB198" i="5"/>
  <c r="CA198" i="5"/>
  <c r="BZ198" i="5"/>
  <c r="BY198" i="5"/>
  <c r="BX198" i="5"/>
  <c r="BW198" i="5"/>
  <c r="BV198" i="5"/>
  <c r="BU198" i="5"/>
  <c r="BT198" i="5"/>
  <c r="BS198" i="5"/>
  <c r="BR198" i="5"/>
  <c r="BQ198" i="5"/>
  <c r="BP198" i="5"/>
  <c r="BO198" i="5"/>
  <c r="BN198" i="5"/>
  <c r="BM198" i="5"/>
  <c r="BL198" i="5"/>
  <c r="BK198" i="5"/>
  <c r="BJ198" i="5"/>
  <c r="BI198" i="5"/>
  <c r="BH198" i="5"/>
  <c r="BG198" i="5"/>
  <c r="BF198" i="5"/>
  <c r="BE198" i="5"/>
  <c r="BD198" i="5"/>
  <c r="BC198" i="5"/>
  <c r="BB198" i="5"/>
  <c r="BA198" i="5"/>
  <c r="AZ198" i="5"/>
  <c r="AX198" i="5"/>
  <c r="AY198" i="5" s="1"/>
  <c r="AW198" i="5"/>
  <c r="AV198" i="5"/>
  <c r="CK198" i="5" s="1"/>
  <c r="AU198" i="5"/>
  <c r="AT198" i="5"/>
  <c r="AS198" i="5"/>
  <c r="AR198" i="5"/>
  <c r="DH197" i="5"/>
  <c r="DG197" i="5"/>
  <c r="DA197" i="5"/>
  <c r="CX197" i="5"/>
  <c r="CI197" i="5"/>
  <c r="CJ197" i="5" s="1"/>
  <c r="CH197" i="5"/>
  <c r="CG197" i="5"/>
  <c r="CF197" i="5"/>
  <c r="CE197" i="5"/>
  <c r="CD197" i="5"/>
  <c r="CC197" i="5"/>
  <c r="CB197" i="5"/>
  <c r="CA197" i="5"/>
  <c r="BZ197" i="5"/>
  <c r="BY197" i="5"/>
  <c r="BX197" i="5"/>
  <c r="BW197" i="5"/>
  <c r="BV197" i="5"/>
  <c r="BU197" i="5"/>
  <c r="BT197" i="5"/>
  <c r="BS197" i="5"/>
  <c r="BR197" i="5"/>
  <c r="BQ197" i="5"/>
  <c r="BP197" i="5"/>
  <c r="BO197" i="5"/>
  <c r="BN197" i="5"/>
  <c r="BM197" i="5"/>
  <c r="BL197" i="5"/>
  <c r="BK197" i="5"/>
  <c r="BJ197" i="5"/>
  <c r="BI197" i="5"/>
  <c r="BH197" i="5"/>
  <c r="BG197" i="5"/>
  <c r="BF197" i="5"/>
  <c r="BE197" i="5"/>
  <c r="BD197" i="5"/>
  <c r="BC197" i="5"/>
  <c r="BB197" i="5"/>
  <c r="BA197" i="5"/>
  <c r="AZ197" i="5"/>
  <c r="AY197" i="5"/>
  <c r="AX197" i="5"/>
  <c r="AW197" i="5"/>
  <c r="AV197" i="5"/>
  <c r="CK197" i="5" s="1"/>
  <c r="AU197" i="5"/>
  <c r="AT197" i="5"/>
  <c r="AS197" i="5"/>
  <c r="AR197" i="5"/>
  <c r="DH196" i="5"/>
  <c r="DG196" i="5"/>
  <c r="DA196" i="5"/>
  <c r="CX196" i="5"/>
  <c r="CG196" i="5"/>
  <c r="CF196" i="5"/>
  <c r="CD196" i="5"/>
  <c r="CC196" i="5"/>
  <c r="CB196" i="5"/>
  <c r="CA196" i="5"/>
  <c r="BZ196" i="5"/>
  <c r="BY196" i="5"/>
  <c r="BX196" i="5"/>
  <c r="BW196" i="5"/>
  <c r="BV196" i="5"/>
  <c r="BU196" i="5"/>
  <c r="BT196" i="5"/>
  <c r="BS196" i="5"/>
  <c r="BR196" i="5"/>
  <c r="BQ196" i="5"/>
  <c r="BP196" i="5"/>
  <c r="BO196" i="5"/>
  <c r="BN196" i="5"/>
  <c r="BM196" i="5"/>
  <c r="BL196" i="5"/>
  <c r="BK196" i="5"/>
  <c r="BJ196" i="5"/>
  <c r="BI196" i="5"/>
  <c r="BH196" i="5"/>
  <c r="BG196" i="5"/>
  <c r="BF196" i="5"/>
  <c r="BE196" i="5"/>
  <c r="BD196" i="5"/>
  <c r="BC196" i="5"/>
  <c r="BB196" i="5"/>
  <c r="BA196" i="5"/>
  <c r="AZ196" i="5"/>
  <c r="AY196" i="5"/>
  <c r="AX196" i="5"/>
  <c r="AW196" i="5"/>
  <c r="AV196" i="5"/>
  <c r="AU196" i="5"/>
  <c r="AT196" i="5"/>
  <c r="AS196" i="5"/>
  <c r="AR196" i="5"/>
  <c r="DH195" i="5"/>
  <c r="DG195" i="5"/>
  <c r="DA195" i="5"/>
  <c r="CX195" i="5"/>
  <c r="CH195" i="5"/>
  <c r="CG195" i="5"/>
  <c r="CF195" i="5"/>
  <c r="CE195" i="5"/>
  <c r="CD195" i="5"/>
  <c r="CC195" i="5"/>
  <c r="CB195" i="5"/>
  <c r="CA195" i="5"/>
  <c r="BZ195" i="5"/>
  <c r="BY195" i="5"/>
  <c r="BX195" i="5"/>
  <c r="BW195" i="5"/>
  <c r="BV195" i="5"/>
  <c r="BU195" i="5"/>
  <c r="BT195" i="5"/>
  <c r="BS195" i="5"/>
  <c r="BR195" i="5"/>
  <c r="BQ195" i="5"/>
  <c r="BP195" i="5"/>
  <c r="BO195" i="5"/>
  <c r="BN195" i="5"/>
  <c r="BM195" i="5"/>
  <c r="BL195" i="5"/>
  <c r="BK195" i="5"/>
  <c r="BJ195" i="5"/>
  <c r="BI195" i="5"/>
  <c r="BH195" i="5"/>
  <c r="BG195" i="5"/>
  <c r="BF195" i="5"/>
  <c r="BE195" i="5"/>
  <c r="BD195" i="5"/>
  <c r="BC195" i="5"/>
  <c r="BB195" i="5"/>
  <c r="BA195" i="5"/>
  <c r="AZ195" i="5"/>
  <c r="AX195" i="5"/>
  <c r="AY195" i="5" s="1"/>
  <c r="AW195" i="5"/>
  <c r="AV195" i="5"/>
  <c r="CK195" i="5" s="1"/>
  <c r="AU195" i="5"/>
  <c r="AT195" i="5"/>
  <c r="AS195" i="5"/>
  <c r="AR195" i="5"/>
  <c r="DH194" i="5"/>
  <c r="DG194" i="5"/>
  <c r="DA194" i="5"/>
  <c r="CX194" i="5"/>
  <c r="CK194" i="5"/>
  <c r="CH194" i="5"/>
  <c r="CI194" i="5" s="1"/>
  <c r="CJ194" i="5" s="1"/>
  <c r="CL194" i="5" s="1"/>
  <c r="CM194" i="5" s="1"/>
  <c r="CG194" i="5"/>
  <c r="CF194" i="5"/>
  <c r="CE194" i="5"/>
  <c r="CD194" i="5"/>
  <c r="CC194" i="5"/>
  <c r="CB194" i="5"/>
  <c r="CA194" i="5"/>
  <c r="BZ194" i="5"/>
  <c r="BY194" i="5"/>
  <c r="BX194" i="5"/>
  <c r="BW194" i="5"/>
  <c r="BV194" i="5"/>
  <c r="BU194" i="5"/>
  <c r="BT194" i="5"/>
  <c r="BS194" i="5"/>
  <c r="BR194" i="5"/>
  <c r="BQ194" i="5"/>
  <c r="BP194" i="5"/>
  <c r="BO194" i="5"/>
  <c r="BN194" i="5"/>
  <c r="BM194" i="5"/>
  <c r="BL194" i="5"/>
  <c r="BK194" i="5"/>
  <c r="BJ194" i="5"/>
  <c r="BI194" i="5"/>
  <c r="BH194" i="5"/>
  <c r="BG194" i="5"/>
  <c r="BF194" i="5"/>
  <c r="BE194" i="5"/>
  <c r="BD194" i="5"/>
  <c r="BC194" i="5"/>
  <c r="BB194" i="5"/>
  <c r="BA194" i="5"/>
  <c r="AZ194" i="5"/>
  <c r="AX194" i="5"/>
  <c r="AY194" i="5" s="1"/>
  <c r="AW194" i="5"/>
  <c r="AV194" i="5"/>
  <c r="AU194" i="5"/>
  <c r="AT194" i="5"/>
  <c r="AS194" i="5"/>
  <c r="AR194" i="5"/>
  <c r="DH193" i="5"/>
  <c r="DG193" i="5"/>
  <c r="DA193" i="5"/>
  <c r="CX193" i="5"/>
  <c r="CG193" i="5"/>
  <c r="CF193" i="5"/>
  <c r="CD193" i="5"/>
  <c r="CC193" i="5"/>
  <c r="CB193" i="5"/>
  <c r="CA193" i="5"/>
  <c r="BZ193" i="5"/>
  <c r="BY193" i="5"/>
  <c r="BX193" i="5"/>
  <c r="BW193" i="5"/>
  <c r="BV193" i="5"/>
  <c r="BU193" i="5"/>
  <c r="BT193" i="5"/>
  <c r="BS193" i="5"/>
  <c r="BR193" i="5"/>
  <c r="BQ193" i="5"/>
  <c r="BP193" i="5"/>
  <c r="BO193" i="5"/>
  <c r="BN193" i="5"/>
  <c r="BM193" i="5"/>
  <c r="BL193" i="5"/>
  <c r="BK193" i="5"/>
  <c r="BJ193" i="5"/>
  <c r="BI193" i="5"/>
  <c r="BH193" i="5"/>
  <c r="BG193" i="5"/>
  <c r="BF193" i="5"/>
  <c r="BE193" i="5"/>
  <c r="BD193" i="5"/>
  <c r="BC193" i="5"/>
  <c r="BB193" i="5"/>
  <c r="BA193" i="5"/>
  <c r="AZ193" i="5"/>
  <c r="AY193" i="5"/>
  <c r="AX193" i="5"/>
  <c r="AW193" i="5"/>
  <c r="AV193" i="5"/>
  <c r="AU193" i="5"/>
  <c r="AT193" i="5"/>
  <c r="AS193" i="5"/>
  <c r="AR193" i="5"/>
  <c r="DH192" i="5"/>
  <c r="DG192" i="5"/>
  <c r="DA192" i="5"/>
  <c r="CX192" i="5"/>
  <c r="CG192" i="5"/>
  <c r="CF192" i="5"/>
  <c r="CD192" i="5"/>
  <c r="CC192" i="5"/>
  <c r="CB192" i="5"/>
  <c r="CA192" i="5"/>
  <c r="BZ192" i="5"/>
  <c r="BY192" i="5"/>
  <c r="BX192" i="5"/>
  <c r="BW192" i="5"/>
  <c r="BV192" i="5"/>
  <c r="BU192" i="5"/>
  <c r="BT192" i="5"/>
  <c r="BS192" i="5"/>
  <c r="BR192" i="5"/>
  <c r="BQ192" i="5"/>
  <c r="BP192" i="5"/>
  <c r="BO192" i="5"/>
  <c r="BN192" i="5"/>
  <c r="BM192" i="5"/>
  <c r="BL192" i="5"/>
  <c r="BK192" i="5"/>
  <c r="BJ192" i="5"/>
  <c r="BI192" i="5"/>
  <c r="BH192" i="5"/>
  <c r="BG192" i="5"/>
  <c r="BF192" i="5"/>
  <c r="BE192" i="5"/>
  <c r="BD192" i="5"/>
  <c r="BC192" i="5"/>
  <c r="BB192" i="5"/>
  <c r="BA192" i="5"/>
  <c r="AZ192" i="5"/>
  <c r="AX192" i="5"/>
  <c r="AY192" i="5" s="1"/>
  <c r="AW192" i="5"/>
  <c r="AV192" i="5"/>
  <c r="AU192" i="5"/>
  <c r="AT192" i="5"/>
  <c r="AS192" i="5"/>
  <c r="AR192" i="5"/>
  <c r="DH191" i="5"/>
  <c r="DG191" i="5"/>
  <c r="DA191" i="5"/>
  <c r="CX191" i="5"/>
  <c r="CK191" i="5"/>
  <c r="CJ191" i="5"/>
  <c r="CL191" i="5" s="1"/>
  <c r="CM191" i="5" s="1"/>
  <c r="CH191" i="5"/>
  <c r="CG191" i="5"/>
  <c r="CF191" i="5"/>
  <c r="CE191" i="5"/>
  <c r="CI191" i="5" s="1"/>
  <c r="CD191" i="5"/>
  <c r="CC191" i="5"/>
  <c r="CB191" i="5"/>
  <c r="CA191" i="5"/>
  <c r="BZ191" i="5"/>
  <c r="BY191" i="5"/>
  <c r="BX191" i="5"/>
  <c r="BW191" i="5"/>
  <c r="BV191" i="5"/>
  <c r="BU191" i="5"/>
  <c r="BT191" i="5"/>
  <c r="BS191" i="5"/>
  <c r="BR191" i="5"/>
  <c r="BQ191" i="5"/>
  <c r="BP191" i="5"/>
  <c r="BO191" i="5"/>
  <c r="BN191" i="5"/>
  <c r="BM191" i="5"/>
  <c r="BL191" i="5"/>
  <c r="BK191" i="5"/>
  <c r="BJ191" i="5"/>
  <c r="BI191" i="5"/>
  <c r="BH191" i="5"/>
  <c r="BG191" i="5"/>
  <c r="BF191" i="5"/>
  <c r="BE191" i="5"/>
  <c r="BD191" i="5"/>
  <c r="BC191" i="5"/>
  <c r="BB191" i="5"/>
  <c r="BA191" i="5"/>
  <c r="AZ191" i="5"/>
  <c r="AX191" i="5"/>
  <c r="AY191" i="5" s="1"/>
  <c r="AW191" i="5"/>
  <c r="AV191" i="5"/>
  <c r="AU191" i="5"/>
  <c r="AT191" i="5"/>
  <c r="AS191" i="5"/>
  <c r="AR191" i="5"/>
  <c r="DH190" i="5"/>
  <c r="DG190" i="5"/>
  <c r="DA190" i="5"/>
  <c r="CX190" i="5"/>
  <c r="CG190" i="5"/>
  <c r="CF190" i="5"/>
  <c r="CE190" i="5"/>
  <c r="CD190" i="5"/>
  <c r="CH190" i="5" s="1"/>
  <c r="CC190" i="5"/>
  <c r="CB190" i="5"/>
  <c r="CA190" i="5"/>
  <c r="BZ190" i="5"/>
  <c r="BY190" i="5"/>
  <c r="BX190" i="5"/>
  <c r="BW190" i="5"/>
  <c r="BV190" i="5"/>
  <c r="BU190" i="5"/>
  <c r="BT190" i="5"/>
  <c r="BS190" i="5"/>
  <c r="BR190" i="5"/>
  <c r="BQ190" i="5"/>
  <c r="BP190" i="5"/>
  <c r="BO190" i="5"/>
  <c r="BN190" i="5"/>
  <c r="BM190" i="5"/>
  <c r="BL190" i="5"/>
  <c r="BK190" i="5"/>
  <c r="BJ190" i="5"/>
  <c r="BI190" i="5"/>
  <c r="BH190" i="5"/>
  <c r="BG190" i="5"/>
  <c r="BF190" i="5"/>
  <c r="BE190" i="5"/>
  <c r="BD190" i="5"/>
  <c r="BC190" i="5"/>
  <c r="BB190" i="5"/>
  <c r="BA190" i="5"/>
  <c r="AZ190" i="5"/>
  <c r="AY190" i="5"/>
  <c r="AX190" i="5"/>
  <c r="AW190" i="5"/>
  <c r="AV190" i="5"/>
  <c r="AU190" i="5"/>
  <c r="AT190" i="5"/>
  <c r="AS190" i="5"/>
  <c r="AR190" i="5"/>
  <c r="DH189" i="5"/>
  <c r="DG189" i="5"/>
  <c r="DA189" i="5"/>
  <c r="CX189" i="5"/>
  <c r="CG189" i="5"/>
  <c r="CF189" i="5"/>
  <c r="CD189" i="5"/>
  <c r="CH189" i="5" s="1"/>
  <c r="CC189" i="5"/>
  <c r="CB189" i="5"/>
  <c r="CA189" i="5"/>
  <c r="BZ189" i="5"/>
  <c r="BY189" i="5"/>
  <c r="BX189" i="5"/>
  <c r="BW189" i="5"/>
  <c r="BV189" i="5"/>
  <c r="BU189" i="5"/>
  <c r="BT189" i="5"/>
  <c r="BS189" i="5"/>
  <c r="BR189" i="5"/>
  <c r="BQ189" i="5"/>
  <c r="BP189" i="5"/>
  <c r="BO189" i="5"/>
  <c r="BN189" i="5"/>
  <c r="BM189" i="5"/>
  <c r="BL189" i="5"/>
  <c r="BK189" i="5"/>
  <c r="BJ189" i="5"/>
  <c r="BI189" i="5"/>
  <c r="BH189" i="5"/>
  <c r="BG189" i="5"/>
  <c r="BF189" i="5"/>
  <c r="BE189" i="5"/>
  <c r="BD189" i="5"/>
  <c r="BC189" i="5"/>
  <c r="BB189" i="5"/>
  <c r="BA189" i="5"/>
  <c r="AZ189" i="5"/>
  <c r="AX189" i="5"/>
  <c r="AY189" i="5" s="1"/>
  <c r="AW189" i="5"/>
  <c r="AV189" i="5"/>
  <c r="AU189" i="5"/>
  <c r="AT189" i="5"/>
  <c r="AS189" i="5"/>
  <c r="AR189" i="5"/>
  <c r="DH188" i="5"/>
  <c r="DG188" i="5"/>
  <c r="DA188" i="5"/>
  <c r="CX188" i="5"/>
  <c r="CI188" i="5"/>
  <c r="CJ188" i="5" s="1"/>
  <c r="CH188" i="5"/>
  <c r="CG188" i="5"/>
  <c r="CF188" i="5"/>
  <c r="CE188" i="5"/>
  <c r="CD188" i="5"/>
  <c r="CC188" i="5"/>
  <c r="CB188" i="5"/>
  <c r="CA188" i="5"/>
  <c r="BZ188" i="5"/>
  <c r="BY188" i="5"/>
  <c r="BX188" i="5"/>
  <c r="BW188" i="5"/>
  <c r="BV188" i="5"/>
  <c r="BU188" i="5"/>
  <c r="BT188" i="5"/>
  <c r="BS188" i="5"/>
  <c r="BR188" i="5"/>
  <c r="BQ188" i="5"/>
  <c r="BP188" i="5"/>
  <c r="BO188" i="5"/>
  <c r="BN188" i="5"/>
  <c r="BM188" i="5"/>
  <c r="BL188" i="5"/>
  <c r="BK188" i="5"/>
  <c r="BJ188" i="5"/>
  <c r="BI188" i="5"/>
  <c r="BH188" i="5"/>
  <c r="BG188" i="5"/>
  <c r="BF188" i="5"/>
  <c r="BE188" i="5"/>
  <c r="BD188" i="5"/>
  <c r="BC188" i="5"/>
  <c r="BB188" i="5"/>
  <c r="BA188" i="5"/>
  <c r="AZ188" i="5"/>
  <c r="AY188" i="5"/>
  <c r="AX188" i="5"/>
  <c r="AW188" i="5"/>
  <c r="AV188" i="5"/>
  <c r="CK188" i="5" s="1"/>
  <c r="AU188" i="5"/>
  <c r="AT188" i="5"/>
  <c r="AS188" i="5"/>
  <c r="AR188" i="5"/>
  <c r="DH187" i="5"/>
  <c r="DG187" i="5"/>
  <c r="DA187" i="5"/>
  <c r="CX187" i="5"/>
  <c r="CG187" i="5"/>
  <c r="CF187" i="5"/>
  <c r="CD187" i="5"/>
  <c r="CC187" i="5"/>
  <c r="CB187" i="5"/>
  <c r="CA187" i="5"/>
  <c r="BZ187" i="5"/>
  <c r="BY187" i="5"/>
  <c r="BX187" i="5"/>
  <c r="BW187" i="5"/>
  <c r="BV187" i="5"/>
  <c r="BU187" i="5"/>
  <c r="BT187" i="5"/>
  <c r="BS187" i="5"/>
  <c r="BR187" i="5"/>
  <c r="BQ187" i="5"/>
  <c r="BP187" i="5"/>
  <c r="BO187" i="5"/>
  <c r="BN187" i="5"/>
  <c r="BM187" i="5"/>
  <c r="BL187" i="5"/>
  <c r="BK187" i="5"/>
  <c r="BJ187" i="5"/>
  <c r="BI187" i="5"/>
  <c r="BH187" i="5"/>
  <c r="BG187" i="5"/>
  <c r="BF187" i="5"/>
  <c r="BE187" i="5"/>
  <c r="BD187" i="5"/>
  <c r="BC187" i="5"/>
  <c r="BB187" i="5"/>
  <c r="BA187" i="5"/>
  <c r="AZ187" i="5"/>
  <c r="AY187" i="5"/>
  <c r="AX187" i="5"/>
  <c r="AW187" i="5"/>
  <c r="AV187" i="5"/>
  <c r="AU187" i="5"/>
  <c r="AT187" i="5"/>
  <c r="AS187" i="5"/>
  <c r="AR187" i="5"/>
  <c r="DH186" i="5"/>
  <c r="DG186" i="5"/>
  <c r="DA186" i="5"/>
  <c r="CX186" i="5"/>
  <c r="CG186" i="5"/>
  <c r="CF186" i="5"/>
  <c r="CD186" i="5"/>
  <c r="CE186" i="5" s="1"/>
  <c r="CC186" i="5"/>
  <c r="CB186" i="5"/>
  <c r="CA186" i="5"/>
  <c r="BZ186" i="5"/>
  <c r="BY186" i="5"/>
  <c r="BX186" i="5"/>
  <c r="BW186" i="5"/>
  <c r="BV186" i="5"/>
  <c r="BU186" i="5"/>
  <c r="BT186" i="5"/>
  <c r="BS186" i="5"/>
  <c r="BR186" i="5"/>
  <c r="BQ186" i="5"/>
  <c r="BP186" i="5"/>
  <c r="BO186" i="5"/>
  <c r="BN186" i="5"/>
  <c r="BM186" i="5"/>
  <c r="BL186" i="5"/>
  <c r="BK186" i="5"/>
  <c r="BJ186" i="5"/>
  <c r="BI186" i="5"/>
  <c r="BH186" i="5"/>
  <c r="BG186" i="5"/>
  <c r="BF186" i="5"/>
  <c r="BE186" i="5"/>
  <c r="BD186" i="5"/>
  <c r="BC186" i="5"/>
  <c r="BB186" i="5"/>
  <c r="BA186" i="5"/>
  <c r="AZ186" i="5"/>
  <c r="AX186" i="5"/>
  <c r="AY186" i="5" s="1"/>
  <c r="AW186" i="5"/>
  <c r="AV186" i="5"/>
  <c r="AU186" i="5"/>
  <c r="AT186" i="5"/>
  <c r="AS186" i="5"/>
  <c r="AR186" i="5"/>
  <c r="DH185" i="5"/>
  <c r="DG185" i="5"/>
  <c r="DA185" i="5"/>
  <c r="CX185" i="5"/>
  <c r="CH185" i="5"/>
  <c r="CG185" i="5"/>
  <c r="CF185" i="5"/>
  <c r="CE185" i="5"/>
  <c r="CD185" i="5"/>
  <c r="CC185" i="5"/>
  <c r="CB185" i="5"/>
  <c r="CA185" i="5"/>
  <c r="BZ185" i="5"/>
  <c r="BY185" i="5"/>
  <c r="BX185" i="5"/>
  <c r="BW185" i="5"/>
  <c r="BV185" i="5"/>
  <c r="BU185" i="5"/>
  <c r="BT185" i="5"/>
  <c r="BS185" i="5"/>
  <c r="BR185" i="5"/>
  <c r="BQ185" i="5"/>
  <c r="BP185" i="5"/>
  <c r="BO185" i="5"/>
  <c r="BN185" i="5"/>
  <c r="BM185" i="5"/>
  <c r="BL185" i="5"/>
  <c r="BK185" i="5"/>
  <c r="BJ185" i="5"/>
  <c r="BI185" i="5"/>
  <c r="BH185" i="5"/>
  <c r="BG185" i="5"/>
  <c r="BF185" i="5"/>
  <c r="BE185" i="5"/>
  <c r="BD185" i="5"/>
  <c r="BC185" i="5"/>
  <c r="BB185" i="5"/>
  <c r="BA185" i="5"/>
  <c r="AZ185" i="5"/>
  <c r="AY185" i="5"/>
  <c r="AX185" i="5"/>
  <c r="AW185" i="5"/>
  <c r="AV185" i="5"/>
  <c r="AU185" i="5"/>
  <c r="AT185" i="5"/>
  <c r="AS185" i="5"/>
  <c r="AR185" i="5"/>
  <c r="DH184" i="5"/>
  <c r="DG184" i="5"/>
  <c r="DA184" i="5"/>
  <c r="CX184" i="5"/>
  <c r="CG184" i="5"/>
  <c r="CF184" i="5"/>
  <c r="CD184" i="5"/>
  <c r="CH184" i="5" s="1"/>
  <c r="CC184" i="5"/>
  <c r="CB184" i="5"/>
  <c r="CA184" i="5"/>
  <c r="BZ184" i="5"/>
  <c r="BY184" i="5"/>
  <c r="BX184" i="5"/>
  <c r="BW184" i="5"/>
  <c r="BV184" i="5"/>
  <c r="BU184" i="5"/>
  <c r="BT184" i="5"/>
  <c r="BS184" i="5"/>
  <c r="BR184" i="5"/>
  <c r="BQ184" i="5"/>
  <c r="BP184" i="5"/>
  <c r="BO184" i="5"/>
  <c r="BN184" i="5"/>
  <c r="BM184" i="5"/>
  <c r="BL184" i="5"/>
  <c r="BK184" i="5"/>
  <c r="BJ184" i="5"/>
  <c r="BI184" i="5"/>
  <c r="BH184" i="5"/>
  <c r="BG184" i="5"/>
  <c r="BF184" i="5"/>
  <c r="BE184" i="5"/>
  <c r="BD184" i="5"/>
  <c r="BC184" i="5"/>
  <c r="BB184" i="5"/>
  <c r="BA184" i="5"/>
  <c r="AZ184" i="5"/>
  <c r="AY184" i="5"/>
  <c r="AX184" i="5"/>
  <c r="AW184" i="5"/>
  <c r="AV184" i="5"/>
  <c r="AU184" i="5"/>
  <c r="AT184" i="5"/>
  <c r="AS184" i="5"/>
  <c r="AR184" i="5"/>
  <c r="DH183" i="5"/>
  <c r="DG183" i="5"/>
  <c r="DA183" i="5"/>
  <c r="CX183" i="5"/>
  <c r="CG183" i="5"/>
  <c r="CF183" i="5"/>
  <c r="CD183" i="5"/>
  <c r="CE183" i="5" s="1"/>
  <c r="CC183" i="5"/>
  <c r="CB183" i="5"/>
  <c r="CA183" i="5"/>
  <c r="BZ183" i="5"/>
  <c r="BY183" i="5"/>
  <c r="BX183" i="5"/>
  <c r="BW183" i="5"/>
  <c r="BV183" i="5"/>
  <c r="BU183" i="5"/>
  <c r="BT183" i="5"/>
  <c r="BS183" i="5"/>
  <c r="BR183" i="5"/>
  <c r="BQ183" i="5"/>
  <c r="BP183" i="5"/>
  <c r="BO183" i="5"/>
  <c r="BN183" i="5"/>
  <c r="BM183" i="5"/>
  <c r="BL183" i="5"/>
  <c r="BK183" i="5"/>
  <c r="BJ183" i="5"/>
  <c r="BI183" i="5"/>
  <c r="BH183" i="5"/>
  <c r="BG183" i="5"/>
  <c r="BF183" i="5"/>
  <c r="BE183" i="5"/>
  <c r="BD183" i="5"/>
  <c r="BC183" i="5"/>
  <c r="BB183" i="5"/>
  <c r="BA183" i="5"/>
  <c r="AZ183" i="5"/>
  <c r="AY183" i="5"/>
  <c r="AX183" i="5"/>
  <c r="AW183" i="5"/>
  <c r="AV183" i="5"/>
  <c r="AU183" i="5"/>
  <c r="AT183" i="5"/>
  <c r="AS183" i="5"/>
  <c r="AR183" i="5"/>
  <c r="DH182" i="5"/>
  <c r="DG182" i="5"/>
  <c r="DA182" i="5"/>
  <c r="CX182" i="5"/>
  <c r="CH182" i="5"/>
  <c r="CG182" i="5"/>
  <c r="CF182" i="5"/>
  <c r="CE182" i="5"/>
  <c r="CD182" i="5"/>
  <c r="CC182" i="5"/>
  <c r="CB182" i="5"/>
  <c r="CA182" i="5"/>
  <c r="BZ182" i="5"/>
  <c r="BY182" i="5"/>
  <c r="BX182" i="5"/>
  <c r="BW182" i="5"/>
  <c r="BV182" i="5"/>
  <c r="BU182" i="5"/>
  <c r="BT182" i="5"/>
  <c r="BS182" i="5"/>
  <c r="BR182" i="5"/>
  <c r="BQ182" i="5"/>
  <c r="BP182" i="5"/>
  <c r="BO182" i="5"/>
  <c r="BN182" i="5"/>
  <c r="BM182" i="5"/>
  <c r="BL182" i="5"/>
  <c r="BK182" i="5"/>
  <c r="BJ182" i="5"/>
  <c r="BI182" i="5"/>
  <c r="BH182" i="5"/>
  <c r="BG182" i="5"/>
  <c r="BF182" i="5"/>
  <c r="BE182" i="5"/>
  <c r="BD182" i="5"/>
  <c r="BC182" i="5"/>
  <c r="BB182" i="5"/>
  <c r="BA182" i="5"/>
  <c r="AZ182" i="5"/>
  <c r="AX182" i="5"/>
  <c r="AY182" i="5" s="1"/>
  <c r="AW182" i="5"/>
  <c r="AV182" i="5"/>
  <c r="AU182" i="5"/>
  <c r="AT182" i="5"/>
  <c r="AS182" i="5"/>
  <c r="AR182" i="5"/>
  <c r="DH181" i="5"/>
  <c r="DG181" i="5"/>
  <c r="DA181" i="5"/>
  <c r="CX181" i="5"/>
  <c r="CG181" i="5"/>
  <c r="CF181" i="5"/>
  <c r="CE181" i="5"/>
  <c r="CD181" i="5"/>
  <c r="CH181" i="5" s="1"/>
  <c r="CC181" i="5"/>
  <c r="CB181" i="5"/>
  <c r="CA181" i="5"/>
  <c r="BZ181" i="5"/>
  <c r="BY181" i="5"/>
  <c r="BX181" i="5"/>
  <c r="BW181" i="5"/>
  <c r="BV181" i="5"/>
  <c r="BU181" i="5"/>
  <c r="BT181" i="5"/>
  <c r="BS181" i="5"/>
  <c r="BR181" i="5"/>
  <c r="BQ181" i="5"/>
  <c r="BP181" i="5"/>
  <c r="BO181" i="5"/>
  <c r="BN181" i="5"/>
  <c r="BM181" i="5"/>
  <c r="BL181" i="5"/>
  <c r="BK181" i="5"/>
  <c r="BJ181" i="5"/>
  <c r="BI181" i="5"/>
  <c r="BH181" i="5"/>
  <c r="BG181" i="5"/>
  <c r="BF181" i="5"/>
  <c r="BE181" i="5"/>
  <c r="BD181" i="5"/>
  <c r="BC181" i="5"/>
  <c r="BB181" i="5"/>
  <c r="BA181" i="5"/>
  <c r="AZ181" i="5"/>
  <c r="AY181" i="5"/>
  <c r="AX181" i="5"/>
  <c r="AW181" i="5"/>
  <c r="AV181" i="5"/>
  <c r="AU181" i="5"/>
  <c r="AT181" i="5"/>
  <c r="AS181" i="5"/>
  <c r="AR181" i="5"/>
  <c r="DH180" i="5"/>
  <c r="DG180" i="5"/>
  <c r="DA180" i="5"/>
  <c r="CX180" i="5"/>
  <c r="CG180" i="5"/>
  <c r="CF180" i="5"/>
  <c r="CD180" i="5"/>
  <c r="CH180" i="5" s="1"/>
  <c r="CC180" i="5"/>
  <c r="CB180" i="5"/>
  <c r="CA180" i="5"/>
  <c r="BZ180" i="5"/>
  <c r="BY180" i="5"/>
  <c r="BX180" i="5"/>
  <c r="BW180" i="5"/>
  <c r="BV180" i="5"/>
  <c r="BU180" i="5"/>
  <c r="BT180" i="5"/>
  <c r="BS180" i="5"/>
  <c r="BR180" i="5"/>
  <c r="BQ180" i="5"/>
  <c r="BP180" i="5"/>
  <c r="BO180" i="5"/>
  <c r="BN180" i="5"/>
  <c r="BM180" i="5"/>
  <c r="BL180" i="5"/>
  <c r="BK180" i="5"/>
  <c r="BJ180" i="5"/>
  <c r="BI180" i="5"/>
  <c r="BH180" i="5"/>
  <c r="BG180" i="5"/>
  <c r="BF180" i="5"/>
  <c r="BE180" i="5"/>
  <c r="BD180" i="5"/>
  <c r="BC180" i="5"/>
  <c r="BB180" i="5"/>
  <c r="BA180" i="5"/>
  <c r="AZ180" i="5"/>
  <c r="AY180" i="5"/>
  <c r="AX180" i="5"/>
  <c r="AW180" i="5"/>
  <c r="AV180" i="5"/>
  <c r="AU180" i="5"/>
  <c r="AT180" i="5"/>
  <c r="AS180" i="5"/>
  <c r="AR180" i="5"/>
  <c r="DH179" i="5"/>
  <c r="DG179" i="5"/>
  <c r="DA179" i="5"/>
  <c r="CX179" i="5"/>
  <c r="CH179" i="5"/>
  <c r="CI179" i="5" s="1"/>
  <c r="CJ179" i="5" s="1"/>
  <c r="CG179" i="5"/>
  <c r="CF179" i="5"/>
  <c r="CE179" i="5"/>
  <c r="CD179" i="5"/>
  <c r="CC179" i="5"/>
  <c r="CB179" i="5"/>
  <c r="CA179" i="5"/>
  <c r="BZ179" i="5"/>
  <c r="BY179" i="5"/>
  <c r="BX179" i="5"/>
  <c r="BW179" i="5"/>
  <c r="BV179" i="5"/>
  <c r="BU179" i="5"/>
  <c r="BT179" i="5"/>
  <c r="BS179" i="5"/>
  <c r="BR179" i="5"/>
  <c r="BQ179" i="5"/>
  <c r="BP179" i="5"/>
  <c r="BO179" i="5"/>
  <c r="BN179" i="5"/>
  <c r="BM179" i="5"/>
  <c r="BL179" i="5"/>
  <c r="BK179" i="5"/>
  <c r="BJ179" i="5"/>
  <c r="BI179" i="5"/>
  <c r="BH179" i="5"/>
  <c r="BG179" i="5"/>
  <c r="BF179" i="5"/>
  <c r="BE179" i="5"/>
  <c r="BD179" i="5"/>
  <c r="BC179" i="5"/>
  <c r="BB179" i="5"/>
  <c r="BA179" i="5"/>
  <c r="AZ179" i="5"/>
  <c r="AX179" i="5"/>
  <c r="AY179" i="5" s="1"/>
  <c r="AW179" i="5"/>
  <c r="AV179" i="5"/>
  <c r="CK179" i="5" s="1"/>
  <c r="AU179" i="5"/>
  <c r="AT179" i="5"/>
  <c r="AS179" i="5"/>
  <c r="AR179" i="5"/>
  <c r="DH178" i="5"/>
  <c r="DG178" i="5"/>
  <c r="DA178" i="5"/>
  <c r="CX178" i="5"/>
  <c r="CG178" i="5"/>
  <c r="CF178" i="5"/>
  <c r="CD178" i="5"/>
  <c r="CC178" i="5"/>
  <c r="CB178" i="5"/>
  <c r="CA178" i="5"/>
  <c r="BZ178" i="5"/>
  <c r="BY178" i="5"/>
  <c r="BX178" i="5"/>
  <c r="BW178" i="5"/>
  <c r="BV178" i="5"/>
  <c r="BU178" i="5"/>
  <c r="BT178" i="5"/>
  <c r="BS178" i="5"/>
  <c r="BR178" i="5"/>
  <c r="BQ178" i="5"/>
  <c r="BP178" i="5"/>
  <c r="BO178" i="5"/>
  <c r="BN178" i="5"/>
  <c r="BM178" i="5"/>
  <c r="BL178" i="5"/>
  <c r="BK178" i="5"/>
  <c r="BJ178" i="5"/>
  <c r="BI178" i="5"/>
  <c r="BH178" i="5"/>
  <c r="BG178" i="5"/>
  <c r="BF178" i="5"/>
  <c r="BE178" i="5"/>
  <c r="BD178" i="5"/>
  <c r="BC178" i="5"/>
  <c r="BB178" i="5"/>
  <c r="BA178" i="5"/>
  <c r="AZ178" i="5"/>
  <c r="AY178" i="5"/>
  <c r="AX178" i="5"/>
  <c r="AW178" i="5"/>
  <c r="AV178" i="5"/>
  <c r="AU178" i="5"/>
  <c r="AT178" i="5"/>
  <c r="AS178" i="5"/>
  <c r="AR178" i="5"/>
  <c r="DH177" i="5"/>
  <c r="DG177" i="5"/>
  <c r="DA177" i="5"/>
  <c r="CX177" i="5"/>
  <c r="CG177" i="5"/>
  <c r="CF177" i="5"/>
  <c r="CE177" i="5"/>
  <c r="CD177" i="5"/>
  <c r="CH177" i="5" s="1"/>
  <c r="CC177" i="5"/>
  <c r="CB177" i="5"/>
  <c r="CA177" i="5"/>
  <c r="BZ177" i="5"/>
  <c r="BY177" i="5"/>
  <c r="BX177" i="5"/>
  <c r="BW177" i="5"/>
  <c r="BV177" i="5"/>
  <c r="BU177" i="5"/>
  <c r="BT177" i="5"/>
  <c r="BS177" i="5"/>
  <c r="BR177" i="5"/>
  <c r="BQ177" i="5"/>
  <c r="BP177" i="5"/>
  <c r="BO177" i="5"/>
  <c r="BN177" i="5"/>
  <c r="BM177" i="5"/>
  <c r="BL177" i="5"/>
  <c r="BK177" i="5"/>
  <c r="BJ177" i="5"/>
  <c r="BI177" i="5"/>
  <c r="BH177" i="5"/>
  <c r="BG177" i="5"/>
  <c r="BF177" i="5"/>
  <c r="BE177" i="5"/>
  <c r="BD177" i="5"/>
  <c r="BC177" i="5"/>
  <c r="BB177" i="5"/>
  <c r="BA177" i="5"/>
  <c r="AZ177" i="5"/>
  <c r="AX177" i="5"/>
  <c r="AY177" i="5" s="1"/>
  <c r="AW177" i="5"/>
  <c r="AV177" i="5"/>
  <c r="AU177" i="5"/>
  <c r="AT177" i="5"/>
  <c r="AS177" i="5"/>
  <c r="AR177" i="5"/>
  <c r="DH176" i="5"/>
  <c r="DG176" i="5"/>
  <c r="DA176" i="5"/>
  <c r="CX176" i="5"/>
  <c r="CK176" i="5"/>
  <c r="CH176" i="5"/>
  <c r="CG176" i="5"/>
  <c r="CF176" i="5"/>
  <c r="CE176" i="5"/>
  <c r="CI176" i="5" s="1"/>
  <c r="CJ176" i="5" s="1"/>
  <c r="CD176" i="5"/>
  <c r="CC176" i="5"/>
  <c r="CB176" i="5"/>
  <c r="CA176" i="5"/>
  <c r="BZ176" i="5"/>
  <c r="BY176" i="5"/>
  <c r="BX176" i="5"/>
  <c r="BW176" i="5"/>
  <c r="BV176" i="5"/>
  <c r="BU176" i="5"/>
  <c r="BT176" i="5"/>
  <c r="BS176" i="5"/>
  <c r="BR176" i="5"/>
  <c r="BQ176" i="5"/>
  <c r="BP176" i="5"/>
  <c r="BO176" i="5"/>
  <c r="BN176" i="5"/>
  <c r="BM176" i="5"/>
  <c r="BL176" i="5"/>
  <c r="BK176" i="5"/>
  <c r="BJ176" i="5"/>
  <c r="BI176" i="5"/>
  <c r="BH176" i="5"/>
  <c r="BG176" i="5"/>
  <c r="BF176" i="5"/>
  <c r="BE176" i="5"/>
  <c r="BD176" i="5"/>
  <c r="BC176" i="5"/>
  <c r="BB176" i="5"/>
  <c r="BA176" i="5"/>
  <c r="AZ176" i="5"/>
  <c r="AX176" i="5"/>
  <c r="AY176" i="5" s="1"/>
  <c r="AW176" i="5"/>
  <c r="AV176" i="5"/>
  <c r="AU176" i="5"/>
  <c r="AT176" i="5"/>
  <c r="AS176" i="5"/>
  <c r="AR176" i="5"/>
  <c r="DH175" i="5"/>
  <c r="DG175" i="5"/>
  <c r="DA175" i="5"/>
  <c r="CX175" i="5"/>
  <c r="CG175" i="5"/>
  <c r="CF175" i="5"/>
  <c r="CE175" i="5"/>
  <c r="CI175" i="5" s="1"/>
  <c r="CJ175" i="5" s="1"/>
  <c r="CD175" i="5"/>
  <c r="CH175" i="5" s="1"/>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DH174" i="5"/>
  <c r="DG174" i="5"/>
  <c r="DA174" i="5"/>
  <c r="CX174" i="5"/>
  <c r="CK174" i="5"/>
  <c r="CH174" i="5"/>
  <c r="CI174" i="5" s="1"/>
  <c r="CJ174" i="5" s="1"/>
  <c r="CL174" i="5" s="1"/>
  <c r="CM174" i="5" s="1"/>
  <c r="CG174" i="5"/>
  <c r="CF174" i="5"/>
  <c r="CD174" i="5"/>
  <c r="CE174" i="5" s="1"/>
  <c r="CC174" i="5"/>
  <c r="CB174" i="5"/>
  <c r="CA174" i="5"/>
  <c r="BZ174" i="5"/>
  <c r="BY174" i="5"/>
  <c r="BX174" i="5"/>
  <c r="BW174" i="5"/>
  <c r="BV174" i="5"/>
  <c r="BU174" i="5"/>
  <c r="BT174" i="5"/>
  <c r="BS174" i="5"/>
  <c r="BR174" i="5"/>
  <c r="BQ174" i="5"/>
  <c r="BP174" i="5"/>
  <c r="BO174" i="5"/>
  <c r="BN174" i="5"/>
  <c r="BM174" i="5"/>
  <c r="BL174" i="5"/>
  <c r="BK174" i="5"/>
  <c r="BJ174" i="5"/>
  <c r="BI174" i="5"/>
  <c r="BH174" i="5"/>
  <c r="BG174" i="5"/>
  <c r="BF174" i="5"/>
  <c r="BE174" i="5"/>
  <c r="BD174" i="5"/>
  <c r="BC174" i="5"/>
  <c r="BB174" i="5"/>
  <c r="BA174" i="5"/>
  <c r="AZ174" i="5"/>
  <c r="AX174" i="5"/>
  <c r="AY174" i="5" s="1"/>
  <c r="AW174" i="5"/>
  <c r="AV174" i="5"/>
  <c r="AU174" i="5"/>
  <c r="AT174" i="5"/>
  <c r="AS174" i="5"/>
  <c r="AR174" i="5"/>
  <c r="DH173" i="5"/>
  <c r="DG173" i="5"/>
  <c r="DA173" i="5"/>
  <c r="CX173" i="5"/>
  <c r="CH173" i="5"/>
  <c r="CG173" i="5"/>
  <c r="CF173" i="5"/>
  <c r="CE173" i="5"/>
  <c r="CD173" i="5"/>
  <c r="CC173" i="5"/>
  <c r="CB173" i="5"/>
  <c r="CA173" i="5"/>
  <c r="BZ173" i="5"/>
  <c r="BY173" i="5"/>
  <c r="BX173" i="5"/>
  <c r="BW173" i="5"/>
  <c r="BV173" i="5"/>
  <c r="BU173" i="5"/>
  <c r="BT173" i="5"/>
  <c r="BS173" i="5"/>
  <c r="BR173" i="5"/>
  <c r="BQ173" i="5"/>
  <c r="BP173" i="5"/>
  <c r="BO173" i="5"/>
  <c r="BN173" i="5"/>
  <c r="BM173" i="5"/>
  <c r="BL173" i="5"/>
  <c r="BK173" i="5"/>
  <c r="BJ173" i="5"/>
  <c r="BI173" i="5"/>
  <c r="BH173" i="5"/>
  <c r="BG173" i="5"/>
  <c r="BF173" i="5"/>
  <c r="BE173" i="5"/>
  <c r="BD173" i="5"/>
  <c r="BC173" i="5"/>
  <c r="BB173" i="5"/>
  <c r="BA173" i="5"/>
  <c r="AZ173" i="5"/>
  <c r="AX173" i="5"/>
  <c r="AY173" i="5" s="1"/>
  <c r="AW173" i="5"/>
  <c r="AV173" i="5"/>
  <c r="AU173" i="5"/>
  <c r="AT173" i="5"/>
  <c r="AS173" i="5"/>
  <c r="AR173" i="5"/>
  <c r="DH172" i="5"/>
  <c r="DG172" i="5"/>
  <c r="DA172" i="5"/>
  <c r="CX172" i="5"/>
  <c r="CG172" i="5"/>
  <c r="CF172" i="5"/>
  <c r="CE172" i="5"/>
  <c r="CD172" i="5"/>
  <c r="CH172" i="5" s="1"/>
  <c r="CC172" i="5"/>
  <c r="CB172" i="5"/>
  <c r="CA172" i="5"/>
  <c r="BZ172" i="5"/>
  <c r="BY172" i="5"/>
  <c r="BX172" i="5"/>
  <c r="BW172" i="5"/>
  <c r="BV172" i="5"/>
  <c r="BU172" i="5"/>
  <c r="BT172" i="5"/>
  <c r="BS172" i="5"/>
  <c r="BR172" i="5"/>
  <c r="BQ172" i="5"/>
  <c r="BP172" i="5"/>
  <c r="BO172" i="5"/>
  <c r="BN172" i="5"/>
  <c r="BM172" i="5"/>
  <c r="BL172" i="5"/>
  <c r="BK172" i="5"/>
  <c r="BJ172" i="5"/>
  <c r="BI172" i="5"/>
  <c r="BH172" i="5"/>
  <c r="BG172" i="5"/>
  <c r="BF172" i="5"/>
  <c r="BE172" i="5"/>
  <c r="BD172" i="5"/>
  <c r="BC172" i="5"/>
  <c r="BB172" i="5"/>
  <c r="BA172" i="5"/>
  <c r="AZ172" i="5"/>
  <c r="AY172" i="5"/>
  <c r="AX172" i="5"/>
  <c r="AW172" i="5"/>
  <c r="AV172" i="5"/>
  <c r="AU172" i="5"/>
  <c r="AT172" i="5"/>
  <c r="AS172" i="5"/>
  <c r="AR172" i="5"/>
  <c r="DH171" i="5"/>
  <c r="DG171" i="5"/>
  <c r="DA171" i="5"/>
  <c r="CX171" i="5"/>
  <c r="CH171" i="5"/>
  <c r="CG171" i="5"/>
  <c r="CF171" i="5"/>
  <c r="CE171" i="5"/>
  <c r="CD171" i="5"/>
  <c r="CC171" i="5"/>
  <c r="CB171" i="5"/>
  <c r="CA171" i="5"/>
  <c r="BZ171" i="5"/>
  <c r="BY171" i="5"/>
  <c r="BX171" i="5"/>
  <c r="BW171" i="5"/>
  <c r="BV171" i="5"/>
  <c r="BU171" i="5"/>
  <c r="BT171" i="5"/>
  <c r="BS171" i="5"/>
  <c r="BR171" i="5"/>
  <c r="BQ171" i="5"/>
  <c r="BP171" i="5"/>
  <c r="BO171" i="5"/>
  <c r="BN171" i="5"/>
  <c r="BM171" i="5"/>
  <c r="BL171" i="5"/>
  <c r="BK171" i="5"/>
  <c r="BJ171" i="5"/>
  <c r="BI171" i="5"/>
  <c r="BH171" i="5"/>
  <c r="BG171" i="5"/>
  <c r="BF171" i="5"/>
  <c r="BE171" i="5"/>
  <c r="BD171" i="5"/>
  <c r="BC171" i="5"/>
  <c r="BB171" i="5"/>
  <c r="BA171" i="5"/>
  <c r="AZ171" i="5"/>
  <c r="AX171" i="5"/>
  <c r="AY171" i="5" s="1"/>
  <c r="AW171" i="5"/>
  <c r="AV171" i="5"/>
  <c r="AU171" i="5"/>
  <c r="AT171" i="5"/>
  <c r="AS171" i="5"/>
  <c r="AR171" i="5"/>
  <c r="DH170" i="5"/>
  <c r="DG170" i="5"/>
  <c r="DA170" i="5"/>
  <c r="CX170" i="5"/>
  <c r="CK170" i="5"/>
  <c r="CJ170" i="5"/>
  <c r="CL170" i="5" s="1"/>
  <c r="CM170" i="5" s="1"/>
  <c r="CI170" i="5"/>
  <c r="CH170" i="5"/>
  <c r="CG170" i="5"/>
  <c r="CF170" i="5"/>
  <c r="CE170" i="5"/>
  <c r="CD170" i="5"/>
  <c r="CC170" i="5"/>
  <c r="CB170" i="5"/>
  <c r="CA170" i="5"/>
  <c r="BZ170" i="5"/>
  <c r="BY170" i="5"/>
  <c r="BX170" i="5"/>
  <c r="BW170" i="5"/>
  <c r="BV170" i="5"/>
  <c r="BU170" i="5"/>
  <c r="BT170" i="5"/>
  <c r="BS170" i="5"/>
  <c r="BR170" i="5"/>
  <c r="BQ170" i="5"/>
  <c r="BP170" i="5"/>
  <c r="BO170" i="5"/>
  <c r="BN170" i="5"/>
  <c r="BM170" i="5"/>
  <c r="BL170" i="5"/>
  <c r="BK170" i="5"/>
  <c r="BJ170" i="5"/>
  <c r="BI170" i="5"/>
  <c r="BH170" i="5"/>
  <c r="BG170" i="5"/>
  <c r="BF170" i="5"/>
  <c r="BE170" i="5"/>
  <c r="BD170" i="5"/>
  <c r="BC170" i="5"/>
  <c r="BB170" i="5"/>
  <c r="BA170" i="5"/>
  <c r="AZ170" i="5"/>
  <c r="AY170" i="5"/>
  <c r="AX170" i="5"/>
  <c r="AW170" i="5"/>
  <c r="AV170" i="5"/>
  <c r="AU170" i="5"/>
  <c r="AT170" i="5"/>
  <c r="AS170" i="5"/>
  <c r="AR170" i="5"/>
  <c r="DH169" i="5"/>
  <c r="DG169" i="5"/>
  <c r="DA169" i="5"/>
  <c r="CX169" i="5"/>
  <c r="CG169" i="5"/>
  <c r="CF169" i="5"/>
  <c r="CD169" i="5"/>
  <c r="CC169" i="5"/>
  <c r="CB169" i="5"/>
  <c r="CA169" i="5"/>
  <c r="BZ169" i="5"/>
  <c r="BY169" i="5"/>
  <c r="BX169" i="5"/>
  <c r="BW169" i="5"/>
  <c r="BV169" i="5"/>
  <c r="BU169" i="5"/>
  <c r="BT169" i="5"/>
  <c r="BS169" i="5"/>
  <c r="BR169" i="5"/>
  <c r="BQ169" i="5"/>
  <c r="BP169" i="5"/>
  <c r="BO169" i="5"/>
  <c r="BN169" i="5"/>
  <c r="BM169" i="5"/>
  <c r="BL169" i="5"/>
  <c r="BK169" i="5"/>
  <c r="BJ169" i="5"/>
  <c r="BI169" i="5"/>
  <c r="BH169" i="5"/>
  <c r="BG169" i="5"/>
  <c r="BF169" i="5"/>
  <c r="BE169" i="5"/>
  <c r="BD169" i="5"/>
  <c r="BC169" i="5"/>
  <c r="BB169" i="5"/>
  <c r="BA169" i="5"/>
  <c r="AZ169" i="5"/>
  <c r="AY169" i="5"/>
  <c r="AX169" i="5"/>
  <c r="AW169" i="5"/>
  <c r="AV169" i="5"/>
  <c r="AU169" i="5"/>
  <c r="AT169" i="5"/>
  <c r="AS169" i="5"/>
  <c r="AR169" i="5"/>
  <c r="DH168" i="5"/>
  <c r="DG168" i="5"/>
  <c r="DA168" i="5"/>
  <c r="CX168" i="5"/>
  <c r="CK168" i="5"/>
  <c r="CH168" i="5"/>
  <c r="CG168" i="5"/>
  <c r="CF168" i="5"/>
  <c r="CE168" i="5"/>
  <c r="CI168" i="5" s="1"/>
  <c r="CJ168" i="5" s="1"/>
  <c r="CD168" i="5"/>
  <c r="CC168" i="5"/>
  <c r="CB168" i="5"/>
  <c r="CA168" i="5"/>
  <c r="BZ168" i="5"/>
  <c r="BY168" i="5"/>
  <c r="BX168" i="5"/>
  <c r="BW168" i="5"/>
  <c r="BV168" i="5"/>
  <c r="BU168" i="5"/>
  <c r="BT168" i="5"/>
  <c r="BS168" i="5"/>
  <c r="BR168" i="5"/>
  <c r="BQ168" i="5"/>
  <c r="BP168" i="5"/>
  <c r="BO168" i="5"/>
  <c r="BN168" i="5"/>
  <c r="BM168" i="5"/>
  <c r="BL168" i="5"/>
  <c r="BK168" i="5"/>
  <c r="BJ168" i="5"/>
  <c r="BI168" i="5"/>
  <c r="BH168" i="5"/>
  <c r="BG168" i="5"/>
  <c r="BF168" i="5"/>
  <c r="BE168" i="5"/>
  <c r="BD168" i="5"/>
  <c r="BC168" i="5"/>
  <c r="BB168" i="5"/>
  <c r="BA168" i="5"/>
  <c r="AZ168" i="5"/>
  <c r="AX168" i="5"/>
  <c r="AY168" i="5" s="1"/>
  <c r="AW168" i="5"/>
  <c r="AV168" i="5"/>
  <c r="AU168" i="5"/>
  <c r="AT168" i="5"/>
  <c r="AS168" i="5"/>
  <c r="AR168" i="5"/>
  <c r="DH167" i="5"/>
  <c r="DG167" i="5"/>
  <c r="DA167" i="5"/>
  <c r="CX167" i="5"/>
  <c r="CH167" i="5"/>
  <c r="CG167" i="5"/>
  <c r="CF167" i="5"/>
  <c r="CE167" i="5"/>
  <c r="CD167" i="5"/>
  <c r="CC167" i="5"/>
  <c r="CB167" i="5"/>
  <c r="CA167" i="5"/>
  <c r="BZ167" i="5"/>
  <c r="BY167" i="5"/>
  <c r="BX167" i="5"/>
  <c r="BW167" i="5"/>
  <c r="BV167" i="5"/>
  <c r="BU167" i="5"/>
  <c r="BT167" i="5"/>
  <c r="BS167" i="5"/>
  <c r="BR167" i="5"/>
  <c r="BQ167" i="5"/>
  <c r="BP167" i="5"/>
  <c r="BO167" i="5"/>
  <c r="BN167" i="5"/>
  <c r="BM167" i="5"/>
  <c r="BL167" i="5"/>
  <c r="BK167" i="5"/>
  <c r="BJ167" i="5"/>
  <c r="BI167" i="5"/>
  <c r="BH167" i="5"/>
  <c r="BG167" i="5"/>
  <c r="BF167" i="5"/>
  <c r="BE167" i="5"/>
  <c r="BD167" i="5"/>
  <c r="BC167" i="5"/>
  <c r="BB167" i="5"/>
  <c r="BA167" i="5"/>
  <c r="AZ167" i="5"/>
  <c r="AY167" i="5"/>
  <c r="AX167" i="5"/>
  <c r="AW167" i="5"/>
  <c r="AV167" i="5"/>
  <c r="AU167" i="5"/>
  <c r="AT167" i="5"/>
  <c r="AS167" i="5"/>
  <c r="AR167" i="5"/>
  <c r="DH166" i="5"/>
  <c r="DG166" i="5"/>
  <c r="DA166" i="5"/>
  <c r="CX166" i="5"/>
  <c r="CG166" i="5"/>
  <c r="CF166" i="5"/>
  <c r="CD166" i="5"/>
  <c r="CC166" i="5"/>
  <c r="CB166" i="5"/>
  <c r="CA166" i="5"/>
  <c r="BZ166" i="5"/>
  <c r="BY166" i="5"/>
  <c r="BX166" i="5"/>
  <c r="BW166" i="5"/>
  <c r="BV166" i="5"/>
  <c r="BU166" i="5"/>
  <c r="BT166" i="5"/>
  <c r="BS166" i="5"/>
  <c r="BR166" i="5"/>
  <c r="BQ166" i="5"/>
  <c r="BP166" i="5"/>
  <c r="BO166" i="5"/>
  <c r="BN166" i="5"/>
  <c r="BM166" i="5"/>
  <c r="BL166" i="5"/>
  <c r="BK166" i="5"/>
  <c r="BJ166" i="5"/>
  <c r="BI166" i="5"/>
  <c r="BH166" i="5"/>
  <c r="BG166" i="5"/>
  <c r="BF166" i="5"/>
  <c r="BE166" i="5"/>
  <c r="BD166" i="5"/>
  <c r="BC166" i="5"/>
  <c r="BB166" i="5"/>
  <c r="BA166" i="5"/>
  <c r="AZ166" i="5"/>
  <c r="AY166" i="5"/>
  <c r="AX166" i="5"/>
  <c r="AW166" i="5"/>
  <c r="AV166" i="5"/>
  <c r="AU166" i="5"/>
  <c r="AT166" i="5"/>
  <c r="AS166" i="5"/>
  <c r="AR166" i="5"/>
  <c r="DH165" i="5"/>
  <c r="DG165" i="5"/>
  <c r="DA165" i="5"/>
  <c r="CX165" i="5"/>
  <c r="CN165" i="5"/>
  <c r="CM165" i="5"/>
  <c r="CH165" i="5"/>
  <c r="CI165" i="5" s="1"/>
  <c r="CJ165" i="5" s="1"/>
  <c r="CL165" i="5" s="1"/>
  <c r="CG165" i="5"/>
  <c r="CF165" i="5"/>
  <c r="CD165" i="5"/>
  <c r="CE165" i="5" s="1"/>
  <c r="CK165" i="5" s="1"/>
  <c r="CC165" i="5"/>
  <c r="CB165" i="5"/>
  <c r="CA165" i="5"/>
  <c r="BZ165" i="5"/>
  <c r="BY165" i="5"/>
  <c r="BX165" i="5"/>
  <c r="BW165" i="5"/>
  <c r="BV165" i="5"/>
  <c r="BU165" i="5"/>
  <c r="BT165" i="5"/>
  <c r="BS165" i="5"/>
  <c r="BR165" i="5"/>
  <c r="BQ165" i="5"/>
  <c r="BP165" i="5"/>
  <c r="BO165" i="5"/>
  <c r="BN165" i="5"/>
  <c r="BM165" i="5"/>
  <c r="BL165" i="5"/>
  <c r="BK165" i="5"/>
  <c r="BJ165" i="5"/>
  <c r="BI165" i="5"/>
  <c r="BH165" i="5"/>
  <c r="BG165" i="5"/>
  <c r="BF165" i="5"/>
  <c r="BE165" i="5"/>
  <c r="BD165" i="5"/>
  <c r="BC165" i="5"/>
  <c r="BB165" i="5"/>
  <c r="BA165" i="5"/>
  <c r="AZ165" i="5"/>
  <c r="AX165" i="5"/>
  <c r="AY165" i="5" s="1"/>
  <c r="AW165" i="5"/>
  <c r="AV165" i="5"/>
  <c r="AU165" i="5"/>
  <c r="AT165" i="5"/>
  <c r="AS165" i="5"/>
  <c r="AR165" i="5"/>
  <c r="DH164" i="5"/>
  <c r="DG164" i="5"/>
  <c r="DA164" i="5"/>
  <c r="CX164" i="5"/>
  <c r="CH164" i="5"/>
  <c r="CG164" i="5"/>
  <c r="CF164" i="5"/>
  <c r="CE164" i="5"/>
  <c r="CD164" i="5"/>
  <c r="CC164" i="5"/>
  <c r="CB164" i="5"/>
  <c r="CA164" i="5"/>
  <c r="BZ164" i="5"/>
  <c r="BY164" i="5"/>
  <c r="BX164" i="5"/>
  <c r="BW164" i="5"/>
  <c r="BV164" i="5"/>
  <c r="BU164" i="5"/>
  <c r="BT164" i="5"/>
  <c r="BS164" i="5"/>
  <c r="BR164" i="5"/>
  <c r="BQ164" i="5"/>
  <c r="BP164" i="5"/>
  <c r="BO164" i="5"/>
  <c r="BN164" i="5"/>
  <c r="BM164" i="5"/>
  <c r="BL164" i="5"/>
  <c r="BK164" i="5"/>
  <c r="BJ164" i="5"/>
  <c r="BI164" i="5"/>
  <c r="BH164" i="5"/>
  <c r="BG164" i="5"/>
  <c r="BF164" i="5"/>
  <c r="BE164" i="5"/>
  <c r="BD164" i="5"/>
  <c r="BC164" i="5"/>
  <c r="BB164" i="5"/>
  <c r="BA164" i="5"/>
  <c r="AZ164" i="5"/>
  <c r="AX164" i="5"/>
  <c r="AY164" i="5" s="1"/>
  <c r="AW164" i="5"/>
  <c r="AV164" i="5"/>
  <c r="AU164" i="5"/>
  <c r="AT164" i="5"/>
  <c r="AS164" i="5"/>
  <c r="AR164" i="5"/>
  <c r="DH163" i="5"/>
  <c r="DG163" i="5"/>
  <c r="DA163" i="5"/>
  <c r="CX163" i="5"/>
  <c r="CH163" i="5"/>
  <c r="CG163" i="5"/>
  <c r="CF163" i="5"/>
  <c r="CD163" i="5"/>
  <c r="CE163" i="5" s="1"/>
  <c r="CC163" i="5"/>
  <c r="CB163" i="5"/>
  <c r="CA163" i="5"/>
  <c r="BZ163" i="5"/>
  <c r="BY163" i="5"/>
  <c r="BX163" i="5"/>
  <c r="BW163" i="5"/>
  <c r="BV163" i="5"/>
  <c r="BU163" i="5"/>
  <c r="BT163" i="5"/>
  <c r="BS163" i="5"/>
  <c r="BR163" i="5"/>
  <c r="BQ163" i="5"/>
  <c r="BP163" i="5"/>
  <c r="BO163" i="5"/>
  <c r="BN163" i="5"/>
  <c r="BM163" i="5"/>
  <c r="BL163" i="5"/>
  <c r="BK163" i="5"/>
  <c r="BJ163" i="5"/>
  <c r="BI163" i="5"/>
  <c r="BH163" i="5"/>
  <c r="BG163" i="5"/>
  <c r="BF163" i="5"/>
  <c r="BE163" i="5"/>
  <c r="BD163" i="5"/>
  <c r="BC163" i="5"/>
  <c r="BB163" i="5"/>
  <c r="BA163" i="5"/>
  <c r="AZ163" i="5"/>
  <c r="AX163" i="5"/>
  <c r="AY163" i="5" s="1"/>
  <c r="AW163" i="5"/>
  <c r="AV163" i="5"/>
  <c r="AU163" i="5"/>
  <c r="AT163" i="5"/>
  <c r="AS163" i="5"/>
  <c r="AR163" i="5"/>
  <c r="DH162" i="5"/>
  <c r="DG162" i="5"/>
  <c r="DA162" i="5"/>
  <c r="CX162" i="5"/>
  <c r="CH162" i="5"/>
  <c r="CG162" i="5"/>
  <c r="CF162" i="5"/>
  <c r="CD162" i="5"/>
  <c r="CE162" i="5" s="1"/>
  <c r="CK162" i="5" s="1"/>
  <c r="CC162" i="5"/>
  <c r="CB162" i="5"/>
  <c r="CA162" i="5"/>
  <c r="BZ162" i="5"/>
  <c r="BY162" i="5"/>
  <c r="BX162" i="5"/>
  <c r="BW162" i="5"/>
  <c r="BV162" i="5"/>
  <c r="BU162" i="5"/>
  <c r="BT162" i="5"/>
  <c r="BS162" i="5"/>
  <c r="BR162" i="5"/>
  <c r="BQ162" i="5"/>
  <c r="BP162" i="5"/>
  <c r="BO162" i="5"/>
  <c r="BN162" i="5"/>
  <c r="BM162" i="5"/>
  <c r="BL162" i="5"/>
  <c r="BK162" i="5"/>
  <c r="BJ162" i="5"/>
  <c r="BI162" i="5"/>
  <c r="BH162" i="5"/>
  <c r="BG162" i="5"/>
  <c r="BF162" i="5"/>
  <c r="BE162" i="5"/>
  <c r="BD162" i="5"/>
  <c r="BC162" i="5"/>
  <c r="BB162" i="5"/>
  <c r="BA162" i="5"/>
  <c r="AZ162" i="5"/>
  <c r="AX162" i="5"/>
  <c r="AY162" i="5" s="1"/>
  <c r="AW162" i="5"/>
  <c r="AV162" i="5"/>
  <c r="AU162" i="5"/>
  <c r="AT162" i="5"/>
  <c r="AS162" i="5"/>
  <c r="AR162" i="5"/>
  <c r="DH161" i="5"/>
  <c r="DG161" i="5"/>
  <c r="DA161" i="5"/>
  <c r="CX161" i="5"/>
  <c r="CG161" i="5"/>
  <c r="CF161" i="5"/>
  <c r="CD161" i="5"/>
  <c r="CC161" i="5"/>
  <c r="CB161" i="5"/>
  <c r="CA161" i="5"/>
  <c r="BZ161" i="5"/>
  <c r="BY161" i="5"/>
  <c r="BX161" i="5"/>
  <c r="BW161" i="5"/>
  <c r="BV161" i="5"/>
  <c r="BU161" i="5"/>
  <c r="BT161" i="5"/>
  <c r="BS161" i="5"/>
  <c r="BR161" i="5"/>
  <c r="BQ161" i="5"/>
  <c r="BP161" i="5"/>
  <c r="BO161" i="5"/>
  <c r="BN161" i="5"/>
  <c r="BM161" i="5"/>
  <c r="BL161" i="5"/>
  <c r="BK161" i="5"/>
  <c r="BJ161" i="5"/>
  <c r="BI161" i="5"/>
  <c r="BH161" i="5"/>
  <c r="BG161" i="5"/>
  <c r="BF161" i="5"/>
  <c r="BE161" i="5"/>
  <c r="BD161" i="5"/>
  <c r="BC161" i="5"/>
  <c r="BB161" i="5"/>
  <c r="BA161" i="5"/>
  <c r="AZ161" i="5"/>
  <c r="AX161" i="5"/>
  <c r="AY161" i="5" s="1"/>
  <c r="AW161" i="5"/>
  <c r="AV161" i="5"/>
  <c r="AU161" i="5"/>
  <c r="AT161" i="5"/>
  <c r="AS161" i="5"/>
  <c r="AR161" i="5"/>
  <c r="DH160" i="5"/>
  <c r="DG160" i="5"/>
  <c r="DA160" i="5"/>
  <c r="CX160" i="5"/>
  <c r="CH160" i="5"/>
  <c r="CI160" i="5" s="1"/>
  <c r="CJ160" i="5" s="1"/>
  <c r="CG160" i="5"/>
  <c r="CF160" i="5"/>
  <c r="CE160" i="5"/>
  <c r="CD160" i="5"/>
  <c r="CC160" i="5"/>
  <c r="CB160" i="5"/>
  <c r="CA160" i="5"/>
  <c r="BZ160" i="5"/>
  <c r="BY160" i="5"/>
  <c r="BX160" i="5"/>
  <c r="BW160" i="5"/>
  <c r="BV160" i="5"/>
  <c r="BU160" i="5"/>
  <c r="BT160" i="5"/>
  <c r="BS160" i="5"/>
  <c r="BR160" i="5"/>
  <c r="BQ160" i="5"/>
  <c r="BP160" i="5"/>
  <c r="BO160" i="5"/>
  <c r="BN160" i="5"/>
  <c r="BM160" i="5"/>
  <c r="BL160" i="5"/>
  <c r="BK160" i="5"/>
  <c r="BJ160" i="5"/>
  <c r="BI160" i="5"/>
  <c r="BH160" i="5"/>
  <c r="BG160" i="5"/>
  <c r="BF160" i="5"/>
  <c r="BE160" i="5"/>
  <c r="BD160" i="5"/>
  <c r="BC160" i="5"/>
  <c r="BB160" i="5"/>
  <c r="BA160" i="5"/>
  <c r="AZ160" i="5"/>
  <c r="AX160" i="5"/>
  <c r="AY160" i="5" s="1"/>
  <c r="AW160" i="5"/>
  <c r="AV160" i="5"/>
  <c r="AU160" i="5"/>
  <c r="AT160" i="5"/>
  <c r="AS160" i="5"/>
  <c r="AR160" i="5"/>
  <c r="DH159" i="5"/>
  <c r="DG159" i="5"/>
  <c r="DA159" i="5"/>
  <c r="CX159" i="5"/>
  <c r="CH159" i="5"/>
  <c r="CG159" i="5"/>
  <c r="CF159" i="5"/>
  <c r="CD159" i="5"/>
  <c r="CE159" i="5" s="1"/>
  <c r="CC159" i="5"/>
  <c r="CB159" i="5"/>
  <c r="CA159" i="5"/>
  <c r="BZ159" i="5"/>
  <c r="BY159" i="5"/>
  <c r="BX159" i="5"/>
  <c r="BW159" i="5"/>
  <c r="BV159" i="5"/>
  <c r="BU159" i="5"/>
  <c r="BT159" i="5"/>
  <c r="BS159" i="5"/>
  <c r="BR159" i="5"/>
  <c r="BQ159" i="5"/>
  <c r="BP159" i="5"/>
  <c r="BO159" i="5"/>
  <c r="BN159" i="5"/>
  <c r="BM159" i="5"/>
  <c r="BL159" i="5"/>
  <c r="BK159" i="5"/>
  <c r="BJ159" i="5"/>
  <c r="BI159" i="5"/>
  <c r="BH159" i="5"/>
  <c r="BG159" i="5"/>
  <c r="BF159" i="5"/>
  <c r="BE159" i="5"/>
  <c r="BD159" i="5"/>
  <c r="BC159" i="5"/>
  <c r="BB159" i="5"/>
  <c r="BA159" i="5"/>
  <c r="AZ159" i="5"/>
  <c r="AY159" i="5"/>
  <c r="AX159" i="5"/>
  <c r="AW159" i="5"/>
  <c r="AV159" i="5"/>
  <c r="AU159" i="5"/>
  <c r="AT159" i="5"/>
  <c r="AS159" i="5"/>
  <c r="AR159" i="5"/>
  <c r="DH158" i="5"/>
  <c r="DG158" i="5"/>
  <c r="DA158" i="5"/>
  <c r="CX158" i="5"/>
  <c r="CG158" i="5"/>
  <c r="CF158" i="5"/>
  <c r="CD158" i="5"/>
  <c r="CH158" i="5" s="1"/>
  <c r="CC158" i="5"/>
  <c r="CB158" i="5"/>
  <c r="CA158" i="5"/>
  <c r="BZ158" i="5"/>
  <c r="BY158" i="5"/>
  <c r="BX158" i="5"/>
  <c r="BW158" i="5"/>
  <c r="BV158" i="5"/>
  <c r="BU158" i="5"/>
  <c r="BT158" i="5"/>
  <c r="BS158" i="5"/>
  <c r="BR158" i="5"/>
  <c r="BQ158" i="5"/>
  <c r="BP158" i="5"/>
  <c r="BO158" i="5"/>
  <c r="BN158" i="5"/>
  <c r="BM158" i="5"/>
  <c r="BL158" i="5"/>
  <c r="BK158" i="5"/>
  <c r="BJ158" i="5"/>
  <c r="BI158" i="5"/>
  <c r="BH158" i="5"/>
  <c r="BG158" i="5"/>
  <c r="BF158" i="5"/>
  <c r="BE158" i="5"/>
  <c r="BD158" i="5"/>
  <c r="BC158" i="5"/>
  <c r="BB158" i="5"/>
  <c r="BA158" i="5"/>
  <c r="AZ158" i="5"/>
  <c r="AX158" i="5"/>
  <c r="AY158" i="5" s="1"/>
  <c r="AW158" i="5"/>
  <c r="AV158" i="5"/>
  <c r="AU158" i="5"/>
  <c r="AT158" i="5"/>
  <c r="AS158" i="5"/>
  <c r="AR158" i="5"/>
  <c r="DH157" i="5"/>
  <c r="DG157" i="5"/>
  <c r="DA157" i="5"/>
  <c r="CX157" i="5"/>
  <c r="CI157" i="5"/>
  <c r="CJ157" i="5" s="1"/>
  <c r="CG157" i="5"/>
  <c r="CF157" i="5"/>
  <c r="CE157" i="5"/>
  <c r="CD157" i="5"/>
  <c r="CH157" i="5" s="1"/>
  <c r="CC157" i="5"/>
  <c r="CB157" i="5"/>
  <c r="CA157" i="5"/>
  <c r="BZ157" i="5"/>
  <c r="BY157" i="5"/>
  <c r="BX157" i="5"/>
  <c r="BW157" i="5"/>
  <c r="BV157" i="5"/>
  <c r="BU157" i="5"/>
  <c r="BT157" i="5"/>
  <c r="BS157" i="5"/>
  <c r="BR157" i="5"/>
  <c r="BQ157" i="5"/>
  <c r="BP157" i="5"/>
  <c r="BO157" i="5"/>
  <c r="BN157" i="5"/>
  <c r="BM157" i="5"/>
  <c r="BL157" i="5"/>
  <c r="BK157" i="5"/>
  <c r="BJ157" i="5"/>
  <c r="BI157" i="5"/>
  <c r="BH157" i="5"/>
  <c r="BG157" i="5"/>
  <c r="BF157" i="5"/>
  <c r="BE157" i="5"/>
  <c r="BD157" i="5"/>
  <c r="BC157" i="5"/>
  <c r="BB157" i="5"/>
  <c r="BA157" i="5"/>
  <c r="AZ157" i="5"/>
  <c r="AY157" i="5"/>
  <c r="AX157" i="5"/>
  <c r="AW157" i="5"/>
  <c r="AV157" i="5"/>
  <c r="AU157" i="5"/>
  <c r="AT157" i="5"/>
  <c r="AS157" i="5"/>
  <c r="AR157" i="5"/>
  <c r="DH156" i="5"/>
  <c r="DG156" i="5"/>
  <c r="DA156" i="5"/>
  <c r="CX156" i="5"/>
  <c r="CH156" i="5"/>
  <c r="CG156" i="5"/>
  <c r="CF156" i="5"/>
  <c r="CD156" i="5"/>
  <c r="CE156" i="5" s="1"/>
  <c r="CC156" i="5"/>
  <c r="CB156" i="5"/>
  <c r="CA156" i="5"/>
  <c r="BZ156" i="5"/>
  <c r="BY156" i="5"/>
  <c r="BX156" i="5"/>
  <c r="BW156" i="5"/>
  <c r="BV156" i="5"/>
  <c r="BU156" i="5"/>
  <c r="BT156" i="5"/>
  <c r="BS156" i="5"/>
  <c r="BR156" i="5"/>
  <c r="BQ156" i="5"/>
  <c r="BP156" i="5"/>
  <c r="BO156" i="5"/>
  <c r="BN156" i="5"/>
  <c r="BM156" i="5"/>
  <c r="BL156" i="5"/>
  <c r="BK156" i="5"/>
  <c r="BJ156" i="5"/>
  <c r="BI156" i="5"/>
  <c r="BH156" i="5"/>
  <c r="BG156" i="5"/>
  <c r="BF156" i="5"/>
  <c r="BE156" i="5"/>
  <c r="BD156" i="5"/>
  <c r="BC156" i="5"/>
  <c r="BB156" i="5"/>
  <c r="BA156" i="5"/>
  <c r="AZ156" i="5"/>
  <c r="AX156" i="5"/>
  <c r="AY156" i="5" s="1"/>
  <c r="AW156" i="5"/>
  <c r="AV156" i="5"/>
  <c r="AU156" i="5"/>
  <c r="AT156" i="5"/>
  <c r="AS156" i="5"/>
  <c r="AR156" i="5"/>
  <c r="DH155" i="5"/>
  <c r="DG155" i="5"/>
  <c r="DA155" i="5"/>
  <c r="CX155" i="5"/>
  <c r="CG155" i="5"/>
  <c r="CF155" i="5"/>
  <c r="CD155" i="5"/>
  <c r="CH155" i="5" s="1"/>
  <c r="CC155" i="5"/>
  <c r="CB155" i="5"/>
  <c r="CA155" i="5"/>
  <c r="BZ155" i="5"/>
  <c r="BY155" i="5"/>
  <c r="BX155" i="5"/>
  <c r="BW155" i="5"/>
  <c r="BV155" i="5"/>
  <c r="BU155" i="5"/>
  <c r="BT155" i="5"/>
  <c r="BS155" i="5"/>
  <c r="BR155" i="5"/>
  <c r="BQ155" i="5"/>
  <c r="BP155" i="5"/>
  <c r="BO155" i="5"/>
  <c r="BN155" i="5"/>
  <c r="BM155" i="5"/>
  <c r="BL155" i="5"/>
  <c r="BK155" i="5"/>
  <c r="BJ155" i="5"/>
  <c r="BI155" i="5"/>
  <c r="BH155" i="5"/>
  <c r="BG155" i="5"/>
  <c r="BF155" i="5"/>
  <c r="BE155" i="5"/>
  <c r="BD155" i="5"/>
  <c r="BC155" i="5"/>
  <c r="BB155" i="5"/>
  <c r="BA155" i="5"/>
  <c r="AZ155" i="5"/>
  <c r="AX155" i="5"/>
  <c r="AY155" i="5" s="1"/>
  <c r="AW155" i="5"/>
  <c r="AV155" i="5"/>
  <c r="AU155" i="5"/>
  <c r="AT155" i="5"/>
  <c r="AS155" i="5"/>
  <c r="AR155" i="5"/>
  <c r="DH154" i="5"/>
  <c r="DG154" i="5"/>
  <c r="DA154" i="5"/>
  <c r="CX154" i="5"/>
  <c r="CH154" i="5"/>
  <c r="CG154" i="5"/>
  <c r="CF154" i="5"/>
  <c r="CD154" i="5"/>
  <c r="CE154" i="5" s="1"/>
  <c r="CC154" i="5"/>
  <c r="CB154" i="5"/>
  <c r="CA154" i="5"/>
  <c r="BZ154" i="5"/>
  <c r="BY154" i="5"/>
  <c r="BX154" i="5"/>
  <c r="BW154" i="5"/>
  <c r="BV154" i="5"/>
  <c r="BU154" i="5"/>
  <c r="BT154" i="5"/>
  <c r="BS154" i="5"/>
  <c r="BR154" i="5"/>
  <c r="BQ154" i="5"/>
  <c r="BP154" i="5"/>
  <c r="BO154" i="5"/>
  <c r="BN154" i="5"/>
  <c r="BM154" i="5"/>
  <c r="BL154" i="5"/>
  <c r="BK154" i="5"/>
  <c r="BJ154" i="5"/>
  <c r="BI154" i="5"/>
  <c r="BH154" i="5"/>
  <c r="BG154" i="5"/>
  <c r="BF154" i="5"/>
  <c r="BE154" i="5"/>
  <c r="BD154" i="5"/>
  <c r="BC154" i="5"/>
  <c r="BB154" i="5"/>
  <c r="BA154" i="5"/>
  <c r="AZ154" i="5"/>
  <c r="AX154" i="5"/>
  <c r="AY154" i="5" s="1"/>
  <c r="AW154" i="5"/>
  <c r="AV154" i="5"/>
  <c r="AU154" i="5"/>
  <c r="AT154" i="5"/>
  <c r="AS154" i="5"/>
  <c r="AR154" i="5"/>
  <c r="DH153" i="5"/>
  <c r="DG153" i="5"/>
  <c r="DA153" i="5"/>
  <c r="CX153" i="5"/>
  <c r="CH153" i="5"/>
  <c r="CG153" i="5"/>
  <c r="CF153" i="5"/>
  <c r="CD153" i="5"/>
  <c r="CE153" i="5" s="1"/>
  <c r="CK153" i="5" s="1"/>
  <c r="CC153" i="5"/>
  <c r="CB153" i="5"/>
  <c r="CA153" i="5"/>
  <c r="BZ153" i="5"/>
  <c r="BY153" i="5"/>
  <c r="BX153" i="5"/>
  <c r="BW153" i="5"/>
  <c r="BV153" i="5"/>
  <c r="BU153" i="5"/>
  <c r="BT153" i="5"/>
  <c r="BS153" i="5"/>
  <c r="BR153" i="5"/>
  <c r="BQ153" i="5"/>
  <c r="BP153" i="5"/>
  <c r="BO153" i="5"/>
  <c r="BN153" i="5"/>
  <c r="BM153" i="5"/>
  <c r="BL153" i="5"/>
  <c r="BK153" i="5"/>
  <c r="BJ153" i="5"/>
  <c r="BI153" i="5"/>
  <c r="BH153" i="5"/>
  <c r="BG153" i="5"/>
  <c r="BF153" i="5"/>
  <c r="BE153" i="5"/>
  <c r="BD153" i="5"/>
  <c r="BC153" i="5"/>
  <c r="BB153" i="5"/>
  <c r="BA153" i="5"/>
  <c r="AZ153" i="5"/>
  <c r="AY153" i="5"/>
  <c r="AX153" i="5"/>
  <c r="AW153" i="5"/>
  <c r="AV153" i="5"/>
  <c r="AU153" i="5"/>
  <c r="AT153" i="5"/>
  <c r="AS153" i="5"/>
  <c r="AR153" i="5"/>
  <c r="DH152" i="5"/>
  <c r="DG152" i="5"/>
  <c r="DA152" i="5"/>
  <c r="CX152" i="5"/>
  <c r="CG152" i="5"/>
  <c r="CF152" i="5"/>
  <c r="CD152" i="5"/>
  <c r="CH152" i="5" s="1"/>
  <c r="CC152" i="5"/>
  <c r="CB152" i="5"/>
  <c r="CA152" i="5"/>
  <c r="BZ152" i="5"/>
  <c r="BY152" i="5"/>
  <c r="BX152" i="5"/>
  <c r="BW152" i="5"/>
  <c r="BV152" i="5"/>
  <c r="BU152" i="5"/>
  <c r="BT152" i="5"/>
  <c r="BS152" i="5"/>
  <c r="BR152" i="5"/>
  <c r="BQ152" i="5"/>
  <c r="BP152" i="5"/>
  <c r="BO152" i="5"/>
  <c r="BN152" i="5"/>
  <c r="BM152" i="5"/>
  <c r="BL152" i="5"/>
  <c r="BK152" i="5"/>
  <c r="BJ152" i="5"/>
  <c r="BI152" i="5"/>
  <c r="BH152" i="5"/>
  <c r="BG152" i="5"/>
  <c r="BF152" i="5"/>
  <c r="BE152" i="5"/>
  <c r="BD152" i="5"/>
  <c r="BC152" i="5"/>
  <c r="BB152" i="5"/>
  <c r="BA152" i="5"/>
  <c r="AZ152" i="5"/>
  <c r="AX152" i="5"/>
  <c r="AY152" i="5" s="1"/>
  <c r="AW152" i="5"/>
  <c r="AV152" i="5"/>
  <c r="AU152" i="5"/>
  <c r="AT152" i="5"/>
  <c r="AS152" i="5"/>
  <c r="AR152" i="5"/>
  <c r="DH151" i="5"/>
  <c r="DG151" i="5"/>
  <c r="DA151" i="5"/>
  <c r="CX151" i="5"/>
  <c r="CK151" i="5"/>
  <c r="CH151" i="5"/>
  <c r="CI151" i="5" s="1"/>
  <c r="CJ151" i="5" s="1"/>
  <c r="CL151" i="5" s="1"/>
  <c r="CM151" i="5" s="1"/>
  <c r="CG151" i="5"/>
  <c r="CF151" i="5"/>
  <c r="CD151" i="5"/>
  <c r="CE151" i="5" s="1"/>
  <c r="CC151" i="5"/>
  <c r="CB151" i="5"/>
  <c r="CA151" i="5"/>
  <c r="BZ151" i="5"/>
  <c r="BY151" i="5"/>
  <c r="BX151" i="5"/>
  <c r="BW151" i="5"/>
  <c r="BV151" i="5"/>
  <c r="BU151" i="5"/>
  <c r="BT151" i="5"/>
  <c r="BS151" i="5"/>
  <c r="BR151" i="5"/>
  <c r="BQ151" i="5"/>
  <c r="BP151" i="5"/>
  <c r="BO151" i="5"/>
  <c r="BN151" i="5"/>
  <c r="BM151" i="5"/>
  <c r="BL151" i="5"/>
  <c r="BK151" i="5"/>
  <c r="BJ151" i="5"/>
  <c r="BI151" i="5"/>
  <c r="BH151" i="5"/>
  <c r="BG151" i="5"/>
  <c r="BF151" i="5"/>
  <c r="BE151" i="5"/>
  <c r="BD151" i="5"/>
  <c r="BC151" i="5"/>
  <c r="BB151" i="5"/>
  <c r="BA151" i="5"/>
  <c r="AZ151" i="5"/>
  <c r="AY151" i="5"/>
  <c r="AX151" i="5"/>
  <c r="AW151" i="5"/>
  <c r="AV151" i="5"/>
  <c r="AU151" i="5"/>
  <c r="AT151" i="5"/>
  <c r="AS151" i="5"/>
  <c r="AR151" i="5"/>
  <c r="DH150" i="5"/>
  <c r="DG150" i="5"/>
  <c r="DA150" i="5"/>
  <c r="CX150" i="5"/>
  <c r="CK150" i="5"/>
  <c r="CJ150" i="5"/>
  <c r="CL150" i="5" s="1"/>
  <c r="CM150" i="5" s="1"/>
  <c r="CH150" i="5"/>
  <c r="CI150" i="5" s="1"/>
  <c r="CG150" i="5"/>
  <c r="CF150" i="5"/>
  <c r="CD150" i="5"/>
  <c r="CE150" i="5" s="1"/>
  <c r="CC150" i="5"/>
  <c r="CB150" i="5"/>
  <c r="CA150" i="5"/>
  <c r="BZ150" i="5"/>
  <c r="BY150" i="5"/>
  <c r="BX150" i="5"/>
  <c r="BW150" i="5"/>
  <c r="BV150" i="5"/>
  <c r="BU150" i="5"/>
  <c r="BT150" i="5"/>
  <c r="BS150" i="5"/>
  <c r="BR150" i="5"/>
  <c r="BQ150" i="5"/>
  <c r="BP150" i="5"/>
  <c r="BO150" i="5"/>
  <c r="BN150" i="5"/>
  <c r="BM150" i="5"/>
  <c r="BL150" i="5"/>
  <c r="BK150" i="5"/>
  <c r="BJ150" i="5"/>
  <c r="BI150" i="5"/>
  <c r="BH150" i="5"/>
  <c r="BG150" i="5"/>
  <c r="BF150" i="5"/>
  <c r="BE150" i="5"/>
  <c r="BD150" i="5"/>
  <c r="BC150" i="5"/>
  <c r="BB150" i="5"/>
  <c r="BA150" i="5"/>
  <c r="AZ150" i="5"/>
  <c r="AY150" i="5"/>
  <c r="AX150" i="5"/>
  <c r="AW150" i="5"/>
  <c r="AV150" i="5"/>
  <c r="AU150" i="5"/>
  <c r="AT150" i="5"/>
  <c r="AS150" i="5"/>
  <c r="AR150" i="5"/>
  <c r="DH149" i="5"/>
  <c r="DG149" i="5"/>
  <c r="DA149" i="5"/>
  <c r="CX149" i="5"/>
  <c r="CG149" i="5"/>
  <c r="CF149" i="5"/>
  <c r="CD149" i="5"/>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X149" i="5"/>
  <c r="AY149" i="5" s="1"/>
  <c r="AW149" i="5"/>
  <c r="AV149" i="5"/>
  <c r="AU149" i="5"/>
  <c r="AT149" i="5"/>
  <c r="AS149" i="5"/>
  <c r="AR149" i="5"/>
  <c r="DH148" i="5"/>
  <c r="DG148" i="5"/>
  <c r="DA148" i="5"/>
  <c r="CX148" i="5"/>
  <c r="CG148" i="5"/>
  <c r="CF148" i="5"/>
  <c r="CD148" i="5"/>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Y148" i="5"/>
  <c r="AX148" i="5"/>
  <c r="AW148" i="5"/>
  <c r="AV148" i="5"/>
  <c r="AU148" i="5"/>
  <c r="AT148" i="5"/>
  <c r="AS148" i="5"/>
  <c r="AR148" i="5"/>
  <c r="DH147" i="5"/>
  <c r="DG147" i="5"/>
  <c r="DA147" i="5"/>
  <c r="CX147" i="5"/>
  <c r="CK147" i="5"/>
  <c r="CI147" i="5"/>
  <c r="CJ147" i="5" s="1"/>
  <c r="CL147" i="5" s="1"/>
  <c r="CM147" i="5" s="1"/>
  <c r="CH147" i="5"/>
  <c r="CG147" i="5"/>
  <c r="CF147" i="5"/>
  <c r="CD147" i="5"/>
  <c r="CE147" i="5" s="1"/>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X147" i="5"/>
  <c r="AY147" i="5" s="1"/>
  <c r="AW147" i="5"/>
  <c r="AV147" i="5"/>
  <c r="AU147" i="5"/>
  <c r="AT147" i="5"/>
  <c r="AS147" i="5"/>
  <c r="AR147" i="5"/>
  <c r="DH146" i="5"/>
  <c r="DG146" i="5"/>
  <c r="DA146" i="5"/>
  <c r="CX146" i="5"/>
  <c r="CG146" i="5"/>
  <c r="CF146" i="5"/>
  <c r="CE146" i="5"/>
  <c r="CI146" i="5" s="1"/>
  <c r="CJ146" i="5" s="1"/>
  <c r="CD146" i="5"/>
  <c r="CH146" i="5" s="1"/>
  <c r="CC146" i="5"/>
  <c r="CB146" i="5"/>
  <c r="CA146" i="5"/>
  <c r="BZ146" i="5"/>
  <c r="BY146" i="5"/>
  <c r="BX146" i="5"/>
  <c r="BW146" i="5"/>
  <c r="BV146" i="5"/>
  <c r="BU146" i="5"/>
  <c r="BT146" i="5"/>
  <c r="BS146" i="5"/>
  <c r="BR146" i="5"/>
  <c r="BQ146" i="5"/>
  <c r="BP146" i="5"/>
  <c r="BO146" i="5"/>
  <c r="BN146" i="5"/>
  <c r="BM146" i="5"/>
  <c r="BL146" i="5"/>
  <c r="BK146" i="5"/>
  <c r="BJ146" i="5"/>
  <c r="BI146" i="5"/>
  <c r="BH146" i="5"/>
  <c r="BG146" i="5"/>
  <c r="BF146" i="5"/>
  <c r="BE146" i="5"/>
  <c r="BD146" i="5"/>
  <c r="BC146" i="5"/>
  <c r="BB146" i="5"/>
  <c r="BA146" i="5"/>
  <c r="AZ146" i="5"/>
  <c r="AX146" i="5"/>
  <c r="AY146" i="5" s="1"/>
  <c r="AW146" i="5"/>
  <c r="AV146" i="5"/>
  <c r="AU146" i="5"/>
  <c r="AT146" i="5"/>
  <c r="AS146" i="5"/>
  <c r="AR146" i="5"/>
  <c r="DH145" i="5"/>
  <c r="DG145" i="5"/>
  <c r="DA145" i="5"/>
  <c r="CX145" i="5"/>
  <c r="CH145" i="5"/>
  <c r="CG145" i="5"/>
  <c r="CF145" i="5"/>
  <c r="CE145" i="5"/>
  <c r="CK145" i="5" s="1"/>
  <c r="CD145" i="5"/>
  <c r="CC145" i="5"/>
  <c r="CB145" i="5"/>
  <c r="CA145" i="5"/>
  <c r="BZ145" i="5"/>
  <c r="BY145" i="5"/>
  <c r="BX145" i="5"/>
  <c r="BW145" i="5"/>
  <c r="BV145" i="5"/>
  <c r="BU145" i="5"/>
  <c r="BT145" i="5"/>
  <c r="BS145" i="5"/>
  <c r="BR145" i="5"/>
  <c r="BQ145" i="5"/>
  <c r="BP145" i="5"/>
  <c r="BO145" i="5"/>
  <c r="BN145" i="5"/>
  <c r="BM145" i="5"/>
  <c r="BL145" i="5"/>
  <c r="BK145" i="5"/>
  <c r="BJ145" i="5"/>
  <c r="BI145" i="5"/>
  <c r="BH145" i="5"/>
  <c r="BG145" i="5"/>
  <c r="BF145" i="5"/>
  <c r="BE145" i="5"/>
  <c r="BD145" i="5"/>
  <c r="BC145" i="5"/>
  <c r="BB145" i="5"/>
  <c r="BA145" i="5"/>
  <c r="AZ145" i="5"/>
  <c r="AX145" i="5"/>
  <c r="AY145" i="5" s="1"/>
  <c r="AW145" i="5"/>
  <c r="AV145" i="5"/>
  <c r="AU145" i="5"/>
  <c r="AT145" i="5"/>
  <c r="AS145" i="5"/>
  <c r="AR145" i="5"/>
  <c r="DH144" i="5"/>
  <c r="DG144" i="5"/>
  <c r="DA144" i="5"/>
  <c r="CX144" i="5"/>
  <c r="CH144" i="5"/>
  <c r="CI144" i="5" s="1"/>
  <c r="CJ144" i="5" s="1"/>
  <c r="CG144" i="5"/>
  <c r="CF144" i="5"/>
  <c r="CD144" i="5"/>
  <c r="CE144" i="5" s="1"/>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Y144" i="5"/>
  <c r="AX144" i="5"/>
  <c r="AW144" i="5"/>
  <c r="AV144" i="5"/>
  <c r="CK144" i="5" s="1"/>
  <c r="AU144" i="5"/>
  <c r="AT144" i="5"/>
  <c r="AS144" i="5"/>
  <c r="AR144" i="5"/>
  <c r="DH143" i="5"/>
  <c r="DG143" i="5"/>
  <c r="DA143" i="5"/>
  <c r="CX143" i="5"/>
  <c r="CJ143" i="5"/>
  <c r="CL143" i="5" s="1"/>
  <c r="CM143" i="5" s="1"/>
  <c r="CG143" i="5"/>
  <c r="CF143" i="5"/>
  <c r="CE143" i="5"/>
  <c r="CI143" i="5" s="1"/>
  <c r="CD143" i="5"/>
  <c r="CH143" i="5" s="1"/>
  <c r="CC143" i="5"/>
  <c r="CB143" i="5"/>
  <c r="CA143" i="5"/>
  <c r="BZ143" i="5"/>
  <c r="BY143" i="5"/>
  <c r="BX143" i="5"/>
  <c r="BW143" i="5"/>
  <c r="BV143" i="5"/>
  <c r="BU143" i="5"/>
  <c r="BT143" i="5"/>
  <c r="BS143" i="5"/>
  <c r="BR143" i="5"/>
  <c r="BQ143" i="5"/>
  <c r="BP143" i="5"/>
  <c r="BO143" i="5"/>
  <c r="BN143" i="5"/>
  <c r="BM143" i="5"/>
  <c r="BL143" i="5"/>
  <c r="BK143" i="5"/>
  <c r="BJ143" i="5"/>
  <c r="BI143" i="5"/>
  <c r="BH143" i="5"/>
  <c r="BG143" i="5"/>
  <c r="BF143" i="5"/>
  <c r="BE143" i="5"/>
  <c r="BD143" i="5"/>
  <c r="BC143" i="5"/>
  <c r="BB143" i="5"/>
  <c r="BA143" i="5"/>
  <c r="AZ143" i="5"/>
  <c r="AX143" i="5"/>
  <c r="AY143" i="5" s="1"/>
  <c r="AW143" i="5"/>
  <c r="AV143" i="5"/>
  <c r="AU143" i="5"/>
  <c r="CK143" i="5" s="1"/>
  <c r="AT143" i="5"/>
  <c r="AS143" i="5"/>
  <c r="AR143" i="5"/>
  <c r="DH142" i="5"/>
  <c r="DG142" i="5"/>
  <c r="DA142" i="5"/>
  <c r="CX142" i="5"/>
  <c r="CO142" i="5"/>
  <c r="CP142" i="5" s="1"/>
  <c r="CK142" i="5"/>
  <c r="CJ142" i="5"/>
  <c r="CL142" i="5" s="1"/>
  <c r="CM142" i="5" s="1"/>
  <c r="CI142" i="5"/>
  <c r="CH142" i="5"/>
  <c r="CG142" i="5"/>
  <c r="CF142" i="5"/>
  <c r="CE142" i="5"/>
  <c r="CD142" i="5"/>
  <c r="CC142" i="5"/>
  <c r="CB142" i="5"/>
  <c r="CA142" i="5"/>
  <c r="BZ142" i="5"/>
  <c r="BY142" i="5"/>
  <c r="BX142" i="5"/>
  <c r="BW142" i="5"/>
  <c r="BV142" i="5"/>
  <c r="BU142" i="5"/>
  <c r="BT142" i="5"/>
  <c r="BS142" i="5"/>
  <c r="BR142" i="5"/>
  <c r="BQ142" i="5"/>
  <c r="BP142" i="5"/>
  <c r="BO142" i="5"/>
  <c r="BN142" i="5"/>
  <c r="BM142" i="5"/>
  <c r="BL142" i="5"/>
  <c r="BK142" i="5"/>
  <c r="BJ142" i="5"/>
  <c r="BI142" i="5"/>
  <c r="BH142" i="5"/>
  <c r="BG142" i="5"/>
  <c r="BF142" i="5"/>
  <c r="BE142" i="5"/>
  <c r="BD142" i="5"/>
  <c r="BC142" i="5"/>
  <c r="BB142" i="5"/>
  <c r="BA142" i="5"/>
  <c r="AZ142" i="5"/>
  <c r="AY142" i="5"/>
  <c r="AX142" i="5"/>
  <c r="AW142" i="5"/>
  <c r="AV142" i="5"/>
  <c r="AU142" i="5"/>
  <c r="AT142" i="5"/>
  <c r="AS142" i="5"/>
  <c r="AR142" i="5"/>
  <c r="DH141" i="5"/>
  <c r="DG141" i="5"/>
  <c r="DA141" i="5"/>
  <c r="CX141" i="5"/>
  <c r="CK141" i="5"/>
  <c r="CI141" i="5"/>
  <c r="CJ141" i="5" s="1"/>
  <c r="CL141" i="5" s="1"/>
  <c r="CM141" i="5" s="1"/>
  <c r="CH141" i="5"/>
  <c r="CG141" i="5"/>
  <c r="CF141" i="5"/>
  <c r="CD141" i="5"/>
  <c r="CE141" i="5" s="1"/>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X141" i="5"/>
  <c r="AY141" i="5" s="1"/>
  <c r="AW141" i="5"/>
  <c r="AV141" i="5"/>
  <c r="AU141" i="5"/>
  <c r="AT141" i="5"/>
  <c r="AS141" i="5"/>
  <c r="AR141" i="5"/>
  <c r="DH140" i="5"/>
  <c r="DG140" i="5"/>
  <c r="DA140" i="5"/>
  <c r="CX140" i="5"/>
  <c r="CG140" i="5"/>
  <c r="CF140" i="5"/>
  <c r="CD140" i="5"/>
  <c r="CC140" i="5"/>
  <c r="CB140" i="5"/>
  <c r="CA140" i="5"/>
  <c r="BZ140" i="5"/>
  <c r="BY140" i="5"/>
  <c r="BX140" i="5"/>
  <c r="BW140" i="5"/>
  <c r="BV140" i="5"/>
  <c r="BU140" i="5"/>
  <c r="BT140" i="5"/>
  <c r="BS140" i="5"/>
  <c r="BR140" i="5"/>
  <c r="BQ140" i="5"/>
  <c r="BP140" i="5"/>
  <c r="BO140" i="5"/>
  <c r="BN140" i="5"/>
  <c r="BM140" i="5"/>
  <c r="BL140" i="5"/>
  <c r="BK140" i="5"/>
  <c r="BJ140" i="5"/>
  <c r="BI140" i="5"/>
  <c r="BH140" i="5"/>
  <c r="BG140" i="5"/>
  <c r="BF140" i="5"/>
  <c r="BE140" i="5"/>
  <c r="BD140" i="5"/>
  <c r="BC140" i="5"/>
  <c r="BB140" i="5"/>
  <c r="BA140" i="5"/>
  <c r="AZ140" i="5"/>
  <c r="AX140" i="5"/>
  <c r="AY140" i="5" s="1"/>
  <c r="AW140" i="5"/>
  <c r="AV140" i="5"/>
  <c r="AU140" i="5"/>
  <c r="AT140" i="5"/>
  <c r="AS140" i="5"/>
  <c r="AR140" i="5"/>
  <c r="DH139" i="5"/>
  <c r="DG139" i="5"/>
  <c r="DA139" i="5"/>
  <c r="CX139" i="5"/>
  <c r="CG139" i="5"/>
  <c r="CF139" i="5"/>
  <c r="CD139" i="5"/>
  <c r="CE139" i="5" s="1"/>
  <c r="CK139" i="5" s="1"/>
  <c r="CC139" i="5"/>
  <c r="CB139" i="5"/>
  <c r="CA139" i="5"/>
  <c r="BZ139" i="5"/>
  <c r="BY139" i="5"/>
  <c r="BX139" i="5"/>
  <c r="BW139" i="5"/>
  <c r="BV139" i="5"/>
  <c r="BU139" i="5"/>
  <c r="BT139" i="5"/>
  <c r="BS139" i="5"/>
  <c r="BR139" i="5"/>
  <c r="BQ139" i="5"/>
  <c r="BP139" i="5"/>
  <c r="BO139" i="5"/>
  <c r="BN139" i="5"/>
  <c r="BM139" i="5"/>
  <c r="BL139" i="5"/>
  <c r="BK139" i="5"/>
  <c r="BJ139" i="5"/>
  <c r="BI139" i="5"/>
  <c r="BH139" i="5"/>
  <c r="BG139" i="5"/>
  <c r="BF139" i="5"/>
  <c r="BE139" i="5"/>
  <c r="BD139" i="5"/>
  <c r="BC139" i="5"/>
  <c r="BB139" i="5"/>
  <c r="BA139" i="5"/>
  <c r="AZ139" i="5"/>
  <c r="AX139" i="5"/>
  <c r="AY139" i="5" s="1"/>
  <c r="AW139" i="5"/>
  <c r="AV139" i="5"/>
  <c r="AU139" i="5"/>
  <c r="AT139" i="5"/>
  <c r="AS139" i="5"/>
  <c r="AR139" i="5"/>
  <c r="DH138" i="5"/>
  <c r="DG138" i="5"/>
  <c r="DA138" i="5"/>
  <c r="CX138" i="5"/>
  <c r="CH138" i="5"/>
  <c r="CG138" i="5"/>
  <c r="CF138" i="5"/>
  <c r="CD138" i="5"/>
  <c r="CE138" i="5" s="1"/>
  <c r="CK138" i="5" s="1"/>
  <c r="CC138" i="5"/>
  <c r="CB138" i="5"/>
  <c r="CA138" i="5"/>
  <c r="BZ138" i="5"/>
  <c r="BY138" i="5"/>
  <c r="BX138" i="5"/>
  <c r="BW138" i="5"/>
  <c r="BV138" i="5"/>
  <c r="BU138" i="5"/>
  <c r="BT138" i="5"/>
  <c r="BS138" i="5"/>
  <c r="BR138" i="5"/>
  <c r="BQ138" i="5"/>
  <c r="BP138" i="5"/>
  <c r="BO138" i="5"/>
  <c r="BN138" i="5"/>
  <c r="BM138" i="5"/>
  <c r="BL138" i="5"/>
  <c r="BK138" i="5"/>
  <c r="BJ138" i="5"/>
  <c r="BI138" i="5"/>
  <c r="BH138" i="5"/>
  <c r="BG138" i="5"/>
  <c r="BF138" i="5"/>
  <c r="BE138" i="5"/>
  <c r="BD138" i="5"/>
  <c r="BC138" i="5"/>
  <c r="BB138" i="5"/>
  <c r="BA138" i="5"/>
  <c r="AZ138" i="5"/>
  <c r="AY138" i="5"/>
  <c r="AX138" i="5"/>
  <c r="AW138" i="5"/>
  <c r="AV138" i="5"/>
  <c r="AU138" i="5"/>
  <c r="AT138" i="5"/>
  <c r="AS138" i="5"/>
  <c r="AR138" i="5"/>
  <c r="DH137" i="5"/>
  <c r="DG137" i="5"/>
  <c r="DA137" i="5"/>
  <c r="CX137" i="5"/>
  <c r="CG137" i="5"/>
  <c r="CF137" i="5"/>
  <c r="CD137" i="5"/>
  <c r="CH137" i="5" s="1"/>
  <c r="CC137" i="5"/>
  <c r="CB137" i="5"/>
  <c r="CA137" i="5"/>
  <c r="BZ137" i="5"/>
  <c r="BY137" i="5"/>
  <c r="BX137" i="5"/>
  <c r="BW137" i="5"/>
  <c r="BV137" i="5"/>
  <c r="BU137" i="5"/>
  <c r="BT137" i="5"/>
  <c r="BS137" i="5"/>
  <c r="BR137" i="5"/>
  <c r="BQ137" i="5"/>
  <c r="BP137" i="5"/>
  <c r="BO137" i="5"/>
  <c r="BN137" i="5"/>
  <c r="BM137" i="5"/>
  <c r="BL137" i="5"/>
  <c r="BK137" i="5"/>
  <c r="BJ137" i="5"/>
  <c r="BI137" i="5"/>
  <c r="BH137" i="5"/>
  <c r="BG137" i="5"/>
  <c r="BF137" i="5"/>
  <c r="BE137" i="5"/>
  <c r="BD137" i="5"/>
  <c r="BC137" i="5"/>
  <c r="BB137" i="5"/>
  <c r="BA137" i="5"/>
  <c r="AZ137" i="5"/>
  <c r="AX137" i="5"/>
  <c r="AY137" i="5" s="1"/>
  <c r="AW137" i="5"/>
  <c r="AV137" i="5"/>
  <c r="AU137" i="5"/>
  <c r="AT137" i="5"/>
  <c r="AS137" i="5"/>
  <c r="AR137" i="5"/>
  <c r="DH136" i="5"/>
  <c r="DG136" i="5"/>
  <c r="DA136" i="5"/>
  <c r="CX136" i="5"/>
  <c r="CK136" i="5"/>
  <c r="CG136" i="5"/>
  <c r="CF136" i="5"/>
  <c r="CE136" i="5"/>
  <c r="CD136" i="5"/>
  <c r="CH136" i="5" s="1"/>
  <c r="CI136" i="5" s="1"/>
  <c r="CJ136" i="5" s="1"/>
  <c r="CL136" i="5" s="1"/>
  <c r="CM136" i="5" s="1"/>
  <c r="CC136" i="5"/>
  <c r="CB136" i="5"/>
  <c r="CA136" i="5"/>
  <c r="BZ136" i="5"/>
  <c r="BY136" i="5"/>
  <c r="BX136" i="5"/>
  <c r="BW136" i="5"/>
  <c r="BV136" i="5"/>
  <c r="BU136" i="5"/>
  <c r="BT136" i="5"/>
  <c r="BS136" i="5"/>
  <c r="BR136" i="5"/>
  <c r="BQ136" i="5"/>
  <c r="BP136" i="5"/>
  <c r="BO136" i="5"/>
  <c r="BN136" i="5"/>
  <c r="BM136" i="5"/>
  <c r="BL136" i="5"/>
  <c r="BK136" i="5"/>
  <c r="BJ136" i="5"/>
  <c r="BI136" i="5"/>
  <c r="BH136" i="5"/>
  <c r="BG136" i="5"/>
  <c r="BF136" i="5"/>
  <c r="BE136" i="5"/>
  <c r="BD136" i="5"/>
  <c r="BC136" i="5"/>
  <c r="BB136" i="5"/>
  <c r="BA136" i="5"/>
  <c r="AZ136" i="5"/>
  <c r="AY136" i="5"/>
  <c r="AX136" i="5"/>
  <c r="AW136" i="5"/>
  <c r="AV136" i="5"/>
  <c r="AU136" i="5"/>
  <c r="AT136" i="5"/>
  <c r="AS136" i="5"/>
  <c r="AR136" i="5"/>
  <c r="DH135" i="5"/>
  <c r="DG135" i="5"/>
  <c r="DA135" i="5"/>
  <c r="CX135" i="5"/>
  <c r="CK135" i="5"/>
  <c r="CJ135" i="5"/>
  <c r="CL135" i="5" s="1"/>
  <c r="CM135" i="5" s="1"/>
  <c r="CH135" i="5"/>
  <c r="CG135" i="5"/>
  <c r="CF135" i="5"/>
  <c r="CD135" i="5"/>
  <c r="CE135" i="5" s="1"/>
  <c r="CI135" i="5" s="1"/>
  <c r="CC135" i="5"/>
  <c r="CB135" i="5"/>
  <c r="CA135" i="5"/>
  <c r="BZ135" i="5"/>
  <c r="BY135" i="5"/>
  <c r="BX135" i="5"/>
  <c r="BW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Y135" i="5"/>
  <c r="AX135" i="5"/>
  <c r="AW135" i="5"/>
  <c r="AV135" i="5"/>
  <c r="AU135" i="5"/>
  <c r="AT135" i="5"/>
  <c r="AS135" i="5"/>
  <c r="AR135" i="5"/>
  <c r="DH134" i="5"/>
  <c r="DG134" i="5"/>
  <c r="DA134" i="5"/>
  <c r="CX134" i="5"/>
  <c r="CL134" i="5"/>
  <c r="CM134" i="5" s="1"/>
  <c r="CK134" i="5"/>
  <c r="CG134" i="5"/>
  <c r="CF134" i="5"/>
  <c r="CE134" i="5"/>
  <c r="CI134" i="5" s="1"/>
  <c r="CJ134" i="5" s="1"/>
  <c r="CD134" i="5"/>
  <c r="CH134" i="5" s="1"/>
  <c r="CC134" i="5"/>
  <c r="CB134" i="5"/>
  <c r="CA134" i="5"/>
  <c r="BZ134" i="5"/>
  <c r="BY134" i="5"/>
  <c r="BX134" i="5"/>
  <c r="BW134" i="5"/>
  <c r="BV134" i="5"/>
  <c r="BU134" i="5"/>
  <c r="BT134" i="5"/>
  <c r="BS134" i="5"/>
  <c r="BR134" i="5"/>
  <c r="BQ134" i="5"/>
  <c r="BP134" i="5"/>
  <c r="BO134" i="5"/>
  <c r="BN134" i="5"/>
  <c r="BM134" i="5"/>
  <c r="BL134" i="5"/>
  <c r="BK134" i="5"/>
  <c r="BJ134" i="5"/>
  <c r="BI134" i="5"/>
  <c r="BH134" i="5"/>
  <c r="BG134" i="5"/>
  <c r="BF134" i="5"/>
  <c r="BE134" i="5"/>
  <c r="BD134" i="5"/>
  <c r="BC134" i="5"/>
  <c r="BB134" i="5"/>
  <c r="BA134" i="5"/>
  <c r="AZ134" i="5"/>
  <c r="AX134" i="5"/>
  <c r="AY134" i="5" s="1"/>
  <c r="AW134" i="5"/>
  <c r="AV134" i="5"/>
  <c r="AU134" i="5"/>
  <c r="AT134" i="5"/>
  <c r="AS134" i="5"/>
  <c r="AR134" i="5"/>
  <c r="DH133" i="5"/>
  <c r="DG133" i="5"/>
  <c r="DA133" i="5"/>
  <c r="CX133" i="5"/>
  <c r="CG133" i="5"/>
  <c r="CF133" i="5"/>
  <c r="CD133" i="5"/>
  <c r="CH133" i="5" s="1"/>
  <c r="CC133" i="5"/>
  <c r="CB133" i="5"/>
  <c r="CA133" i="5"/>
  <c r="BZ133" i="5"/>
  <c r="BY133" i="5"/>
  <c r="BX133" i="5"/>
  <c r="BW133" i="5"/>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Y133" i="5"/>
  <c r="AX133" i="5"/>
  <c r="AW133" i="5"/>
  <c r="AV133" i="5"/>
  <c r="AU133" i="5"/>
  <c r="AT133" i="5"/>
  <c r="AS133" i="5"/>
  <c r="AR133" i="5"/>
  <c r="DH132" i="5"/>
  <c r="DG132" i="5"/>
  <c r="DA132" i="5"/>
  <c r="CX132" i="5"/>
  <c r="CH132" i="5"/>
  <c r="CG132" i="5"/>
  <c r="CF132" i="5"/>
  <c r="CD132" i="5"/>
  <c r="CE132" i="5" s="1"/>
  <c r="CC132" i="5"/>
  <c r="CB132" i="5"/>
  <c r="CA132" i="5"/>
  <c r="BZ132" i="5"/>
  <c r="BY132" i="5"/>
  <c r="BX132" i="5"/>
  <c r="BW132" i="5"/>
  <c r="BV132" i="5"/>
  <c r="BU132" i="5"/>
  <c r="BT132" i="5"/>
  <c r="BS132" i="5"/>
  <c r="BR132" i="5"/>
  <c r="BQ132" i="5"/>
  <c r="BP132" i="5"/>
  <c r="BO132" i="5"/>
  <c r="BN132" i="5"/>
  <c r="BM132" i="5"/>
  <c r="BL132" i="5"/>
  <c r="BK132" i="5"/>
  <c r="BJ132" i="5"/>
  <c r="BI132" i="5"/>
  <c r="BH132" i="5"/>
  <c r="BG132" i="5"/>
  <c r="BF132" i="5"/>
  <c r="BE132" i="5"/>
  <c r="BD132" i="5"/>
  <c r="BC132" i="5"/>
  <c r="BB132" i="5"/>
  <c r="BA132" i="5"/>
  <c r="AZ132" i="5"/>
  <c r="AY132" i="5"/>
  <c r="AX132" i="5"/>
  <c r="AW132" i="5"/>
  <c r="AV132" i="5"/>
  <c r="AU132" i="5"/>
  <c r="AT132" i="5"/>
  <c r="AS132" i="5"/>
  <c r="AR132" i="5"/>
  <c r="DH131" i="5"/>
  <c r="DG131" i="5"/>
  <c r="DA131" i="5"/>
  <c r="CX131" i="5"/>
  <c r="CG131" i="5"/>
  <c r="CF131" i="5"/>
  <c r="CE131" i="5"/>
  <c r="CD131" i="5"/>
  <c r="CH131" i="5" s="1"/>
  <c r="CC131" i="5"/>
  <c r="CB131" i="5"/>
  <c r="CA131" i="5"/>
  <c r="BZ131" i="5"/>
  <c r="BY131" i="5"/>
  <c r="BX131" i="5"/>
  <c r="BW131" i="5"/>
  <c r="BV131" i="5"/>
  <c r="BU131" i="5"/>
  <c r="BT131" i="5"/>
  <c r="BS131" i="5"/>
  <c r="BR131" i="5"/>
  <c r="BQ131" i="5"/>
  <c r="BP131" i="5"/>
  <c r="BO131" i="5"/>
  <c r="BN131" i="5"/>
  <c r="BM131" i="5"/>
  <c r="BL131" i="5"/>
  <c r="BK131" i="5"/>
  <c r="BJ131" i="5"/>
  <c r="BI131" i="5"/>
  <c r="BH131" i="5"/>
  <c r="BG131" i="5"/>
  <c r="BF131" i="5"/>
  <c r="BE131" i="5"/>
  <c r="BD131" i="5"/>
  <c r="BC131" i="5"/>
  <c r="BB131" i="5"/>
  <c r="BA131" i="5"/>
  <c r="AZ131" i="5"/>
  <c r="AX131" i="5"/>
  <c r="AY131" i="5" s="1"/>
  <c r="AW131" i="5"/>
  <c r="AV131" i="5"/>
  <c r="AU131" i="5"/>
  <c r="AT131" i="5"/>
  <c r="AS131" i="5"/>
  <c r="AR131" i="5"/>
  <c r="DH130" i="5"/>
  <c r="DG130" i="5"/>
  <c r="DA130" i="5"/>
  <c r="CX130" i="5"/>
  <c r="CG130" i="5"/>
  <c r="CF130" i="5"/>
  <c r="CE130" i="5"/>
  <c r="CI130" i="5" s="1"/>
  <c r="CJ130" i="5" s="1"/>
  <c r="CD130" i="5"/>
  <c r="CH130" i="5" s="1"/>
  <c r="CC130" i="5"/>
  <c r="CB130" i="5"/>
  <c r="CA130" i="5"/>
  <c r="BZ130" i="5"/>
  <c r="BY130" i="5"/>
  <c r="BX130" i="5"/>
  <c r="BW130" i="5"/>
  <c r="BV130" i="5"/>
  <c r="BU130" i="5"/>
  <c r="BT130" i="5"/>
  <c r="BS130" i="5"/>
  <c r="BR130" i="5"/>
  <c r="BQ130" i="5"/>
  <c r="BP130" i="5"/>
  <c r="BO130" i="5"/>
  <c r="BN130" i="5"/>
  <c r="BM130" i="5"/>
  <c r="BL130" i="5"/>
  <c r="BK130" i="5"/>
  <c r="BJ130" i="5"/>
  <c r="BI130" i="5"/>
  <c r="BH130" i="5"/>
  <c r="BG130" i="5"/>
  <c r="BF130" i="5"/>
  <c r="BE130" i="5"/>
  <c r="BD130" i="5"/>
  <c r="BC130" i="5"/>
  <c r="BB130" i="5"/>
  <c r="BA130" i="5"/>
  <c r="AZ130" i="5"/>
  <c r="AY130" i="5"/>
  <c r="AX130" i="5"/>
  <c r="AW130" i="5"/>
  <c r="AV130" i="5"/>
  <c r="AU130" i="5"/>
  <c r="AT130" i="5"/>
  <c r="AS130" i="5"/>
  <c r="AR130" i="5"/>
  <c r="DH129" i="5"/>
  <c r="DG129" i="5"/>
  <c r="DA129" i="5"/>
  <c r="CX129" i="5"/>
  <c r="CH129" i="5"/>
  <c r="CI129" i="5" s="1"/>
  <c r="CJ129" i="5" s="1"/>
  <c r="CG129" i="5"/>
  <c r="CF129" i="5"/>
  <c r="CD129" i="5"/>
  <c r="CE129" i="5" s="1"/>
  <c r="CC129" i="5"/>
  <c r="CB129" i="5"/>
  <c r="CA129" i="5"/>
  <c r="BZ129" i="5"/>
  <c r="BY129" i="5"/>
  <c r="BX129" i="5"/>
  <c r="BW129" i="5"/>
  <c r="BV129" i="5"/>
  <c r="BU129" i="5"/>
  <c r="BT129" i="5"/>
  <c r="BS129" i="5"/>
  <c r="BR129" i="5"/>
  <c r="BQ129" i="5"/>
  <c r="BP129" i="5"/>
  <c r="BO129" i="5"/>
  <c r="BN129" i="5"/>
  <c r="BM129" i="5"/>
  <c r="BL129" i="5"/>
  <c r="BK129" i="5"/>
  <c r="BJ129" i="5"/>
  <c r="BI129" i="5"/>
  <c r="BH129" i="5"/>
  <c r="BG129" i="5"/>
  <c r="BF129" i="5"/>
  <c r="BE129" i="5"/>
  <c r="BD129" i="5"/>
  <c r="BC129" i="5"/>
  <c r="BB129" i="5"/>
  <c r="BA129" i="5"/>
  <c r="AZ129" i="5"/>
  <c r="AX129" i="5"/>
  <c r="AY129" i="5" s="1"/>
  <c r="AW129" i="5"/>
  <c r="AV129" i="5"/>
  <c r="AU129" i="5"/>
  <c r="AT129" i="5"/>
  <c r="AS129" i="5"/>
  <c r="AR129" i="5"/>
  <c r="DH128" i="5"/>
  <c r="DG128" i="5"/>
  <c r="DA128" i="5"/>
  <c r="CX128" i="5"/>
  <c r="CG128" i="5"/>
  <c r="CF128" i="5"/>
  <c r="CD128" i="5"/>
  <c r="CC128" i="5"/>
  <c r="CB128" i="5"/>
  <c r="CA128" i="5"/>
  <c r="BZ128" i="5"/>
  <c r="BY128" i="5"/>
  <c r="BX128" i="5"/>
  <c r="BW128" i="5"/>
  <c r="BV128" i="5"/>
  <c r="BU128" i="5"/>
  <c r="BT128" i="5"/>
  <c r="BS128" i="5"/>
  <c r="BR128" i="5"/>
  <c r="BQ128" i="5"/>
  <c r="BP128" i="5"/>
  <c r="BO128" i="5"/>
  <c r="BN128" i="5"/>
  <c r="BM128" i="5"/>
  <c r="BL128" i="5"/>
  <c r="BK128" i="5"/>
  <c r="BJ128" i="5"/>
  <c r="BI128" i="5"/>
  <c r="BH128" i="5"/>
  <c r="BG128" i="5"/>
  <c r="BF128" i="5"/>
  <c r="BE128" i="5"/>
  <c r="BD128" i="5"/>
  <c r="BC128" i="5"/>
  <c r="BB128" i="5"/>
  <c r="BA128" i="5"/>
  <c r="AZ128" i="5"/>
  <c r="AX128" i="5"/>
  <c r="AY128" i="5" s="1"/>
  <c r="AW128" i="5"/>
  <c r="AV128" i="5"/>
  <c r="AU128" i="5"/>
  <c r="AT128" i="5"/>
  <c r="AS128" i="5"/>
  <c r="AR128" i="5"/>
  <c r="DH127" i="5"/>
  <c r="DG127" i="5"/>
  <c r="DA127" i="5"/>
  <c r="CX127" i="5"/>
  <c r="CH127" i="5"/>
  <c r="CG127" i="5"/>
  <c r="CF127" i="5"/>
  <c r="CD127" i="5"/>
  <c r="CE127" i="5" s="1"/>
  <c r="CI127" i="5" s="1"/>
  <c r="CJ127" i="5" s="1"/>
  <c r="CC127" i="5"/>
  <c r="CB127" i="5"/>
  <c r="CA127" i="5"/>
  <c r="BZ127" i="5"/>
  <c r="BY127" i="5"/>
  <c r="BX127" i="5"/>
  <c r="BW127" i="5"/>
  <c r="BV127" i="5"/>
  <c r="BU127" i="5"/>
  <c r="BT127" i="5"/>
  <c r="BS127" i="5"/>
  <c r="BR127" i="5"/>
  <c r="BQ127" i="5"/>
  <c r="BP127" i="5"/>
  <c r="BO127" i="5"/>
  <c r="BN127" i="5"/>
  <c r="BM127" i="5"/>
  <c r="BL127" i="5"/>
  <c r="BK127" i="5"/>
  <c r="BJ127" i="5"/>
  <c r="BI127" i="5"/>
  <c r="BH127" i="5"/>
  <c r="BG127" i="5"/>
  <c r="BF127" i="5"/>
  <c r="BE127" i="5"/>
  <c r="BD127" i="5"/>
  <c r="BC127" i="5"/>
  <c r="BB127" i="5"/>
  <c r="BA127" i="5"/>
  <c r="AZ127" i="5"/>
  <c r="AX127" i="5"/>
  <c r="AY127" i="5" s="1"/>
  <c r="AW127" i="5"/>
  <c r="AV127" i="5"/>
  <c r="AU127" i="5"/>
  <c r="AT127" i="5"/>
  <c r="AS127" i="5"/>
  <c r="AR127" i="5"/>
  <c r="DH126" i="5"/>
  <c r="DG126" i="5"/>
  <c r="DA126" i="5"/>
  <c r="CX126" i="5"/>
  <c r="CH126" i="5"/>
  <c r="CG126" i="5"/>
  <c r="CF126" i="5"/>
  <c r="CD126" i="5"/>
  <c r="CE126" i="5" s="1"/>
  <c r="CK126" i="5" s="1"/>
  <c r="CC126" i="5"/>
  <c r="CB126" i="5"/>
  <c r="CA126" i="5"/>
  <c r="BZ126" i="5"/>
  <c r="BY126" i="5"/>
  <c r="BX126" i="5"/>
  <c r="BW126" i="5"/>
  <c r="BV126" i="5"/>
  <c r="BU126" i="5"/>
  <c r="BT126" i="5"/>
  <c r="BS126" i="5"/>
  <c r="BR126" i="5"/>
  <c r="BQ126" i="5"/>
  <c r="BP126" i="5"/>
  <c r="BO126" i="5"/>
  <c r="BN126" i="5"/>
  <c r="BM126" i="5"/>
  <c r="BL126" i="5"/>
  <c r="BK126" i="5"/>
  <c r="BJ126" i="5"/>
  <c r="BI126" i="5"/>
  <c r="BH126" i="5"/>
  <c r="BG126" i="5"/>
  <c r="BF126" i="5"/>
  <c r="BE126" i="5"/>
  <c r="BD126" i="5"/>
  <c r="BC126" i="5"/>
  <c r="BB126" i="5"/>
  <c r="BA126" i="5"/>
  <c r="AZ126" i="5"/>
  <c r="AX126" i="5"/>
  <c r="AY126" i="5" s="1"/>
  <c r="AW126" i="5"/>
  <c r="AV126" i="5"/>
  <c r="AU126" i="5"/>
  <c r="AT126" i="5"/>
  <c r="AS126" i="5"/>
  <c r="AR126" i="5"/>
  <c r="DH125" i="5"/>
  <c r="DG125" i="5"/>
  <c r="DA125" i="5"/>
  <c r="CX125" i="5"/>
  <c r="CG125" i="5"/>
  <c r="CF125" i="5"/>
  <c r="CD125" i="5"/>
  <c r="CH125" i="5" s="1"/>
  <c r="CC125" i="5"/>
  <c r="CB125" i="5"/>
  <c r="CA125" i="5"/>
  <c r="BZ125" i="5"/>
  <c r="BY125" i="5"/>
  <c r="BX125" i="5"/>
  <c r="BW125" i="5"/>
  <c r="BV125" i="5"/>
  <c r="BU125" i="5"/>
  <c r="BT125" i="5"/>
  <c r="BS125" i="5"/>
  <c r="BR125" i="5"/>
  <c r="BQ125" i="5"/>
  <c r="BP125" i="5"/>
  <c r="BO125" i="5"/>
  <c r="BN125" i="5"/>
  <c r="BM125" i="5"/>
  <c r="BL125" i="5"/>
  <c r="BK125" i="5"/>
  <c r="BJ125" i="5"/>
  <c r="BI125" i="5"/>
  <c r="BH125" i="5"/>
  <c r="BG125" i="5"/>
  <c r="BF125" i="5"/>
  <c r="BE125" i="5"/>
  <c r="BD125" i="5"/>
  <c r="BC125" i="5"/>
  <c r="BB125" i="5"/>
  <c r="BA125" i="5"/>
  <c r="AZ125" i="5"/>
  <c r="AX125" i="5"/>
  <c r="AY125" i="5" s="1"/>
  <c r="AW125" i="5"/>
  <c r="AV125" i="5"/>
  <c r="AU125" i="5"/>
  <c r="AT125" i="5"/>
  <c r="AS125" i="5"/>
  <c r="AR125" i="5"/>
  <c r="DH124" i="5"/>
  <c r="DG124" i="5"/>
  <c r="DA124" i="5"/>
  <c r="CX124" i="5"/>
  <c r="CG124" i="5"/>
  <c r="CF124" i="5"/>
  <c r="CE124" i="5"/>
  <c r="CD124" i="5"/>
  <c r="CH124" i="5" s="1"/>
  <c r="CI124" i="5" s="1"/>
  <c r="CJ124" i="5" s="1"/>
  <c r="CC124" i="5"/>
  <c r="CB124" i="5"/>
  <c r="CA124" i="5"/>
  <c r="BZ124" i="5"/>
  <c r="BY124" i="5"/>
  <c r="BX124" i="5"/>
  <c r="BW124" i="5"/>
  <c r="BV124" i="5"/>
  <c r="BU124" i="5"/>
  <c r="BT124" i="5"/>
  <c r="BS124" i="5"/>
  <c r="BR124" i="5"/>
  <c r="BQ124" i="5"/>
  <c r="BP124" i="5"/>
  <c r="BO124" i="5"/>
  <c r="BN124" i="5"/>
  <c r="BM124" i="5"/>
  <c r="BL124" i="5"/>
  <c r="BK124" i="5"/>
  <c r="BJ124" i="5"/>
  <c r="BI124" i="5"/>
  <c r="BH124" i="5"/>
  <c r="BG124" i="5"/>
  <c r="BF124" i="5"/>
  <c r="BE124" i="5"/>
  <c r="BD124" i="5"/>
  <c r="BC124" i="5"/>
  <c r="BB124" i="5"/>
  <c r="BA124" i="5"/>
  <c r="AZ124" i="5"/>
  <c r="AY124" i="5"/>
  <c r="AX124" i="5"/>
  <c r="AW124" i="5"/>
  <c r="AV124" i="5"/>
  <c r="AU124" i="5"/>
  <c r="AT124" i="5"/>
  <c r="AS124" i="5"/>
  <c r="AR124" i="5"/>
  <c r="DH123" i="5"/>
  <c r="DG123" i="5"/>
  <c r="DA123" i="5"/>
  <c r="CX123" i="5"/>
  <c r="CK123" i="5"/>
  <c r="CH123" i="5"/>
  <c r="CI123" i="5" s="1"/>
  <c r="CJ123" i="5" s="1"/>
  <c r="CL123" i="5" s="1"/>
  <c r="CM123" i="5" s="1"/>
  <c r="CG123" i="5"/>
  <c r="CF123" i="5"/>
  <c r="CD123" i="5"/>
  <c r="CE123" i="5" s="1"/>
  <c r="CC123" i="5"/>
  <c r="CB123" i="5"/>
  <c r="CA123" i="5"/>
  <c r="BZ123" i="5"/>
  <c r="BY123" i="5"/>
  <c r="BX123" i="5"/>
  <c r="BW123" i="5"/>
  <c r="BV123" i="5"/>
  <c r="BU123" i="5"/>
  <c r="BT123" i="5"/>
  <c r="BS123" i="5"/>
  <c r="BR123" i="5"/>
  <c r="BQ123" i="5"/>
  <c r="BP123" i="5"/>
  <c r="BO123" i="5"/>
  <c r="BN123" i="5"/>
  <c r="BM123" i="5"/>
  <c r="BL123" i="5"/>
  <c r="BK123" i="5"/>
  <c r="BJ123" i="5"/>
  <c r="BI123" i="5"/>
  <c r="BH123" i="5"/>
  <c r="BG123" i="5"/>
  <c r="BF123" i="5"/>
  <c r="BE123" i="5"/>
  <c r="BD123" i="5"/>
  <c r="BC123" i="5"/>
  <c r="BB123" i="5"/>
  <c r="BA123" i="5"/>
  <c r="AZ123" i="5"/>
  <c r="AX123" i="5"/>
  <c r="AY123" i="5" s="1"/>
  <c r="AW123" i="5"/>
  <c r="AV123" i="5"/>
  <c r="AU123" i="5"/>
  <c r="AT123" i="5"/>
  <c r="AS123" i="5"/>
  <c r="AR123" i="5"/>
  <c r="DH122" i="5"/>
  <c r="DG122" i="5"/>
  <c r="DA122" i="5"/>
  <c r="CX122" i="5"/>
  <c r="CK122" i="5"/>
  <c r="CJ122" i="5"/>
  <c r="CL122" i="5" s="1"/>
  <c r="CM122" i="5" s="1"/>
  <c r="CG122" i="5"/>
  <c r="CF122" i="5"/>
  <c r="CE122" i="5"/>
  <c r="CI122" i="5" s="1"/>
  <c r="CD122" i="5"/>
  <c r="CH122" i="5" s="1"/>
  <c r="CC122" i="5"/>
  <c r="CB122" i="5"/>
  <c r="CA122" i="5"/>
  <c r="BZ122" i="5"/>
  <c r="BY122" i="5"/>
  <c r="BX122" i="5"/>
  <c r="BW122" i="5"/>
  <c r="BV122" i="5"/>
  <c r="BU122" i="5"/>
  <c r="BT122" i="5"/>
  <c r="BS122" i="5"/>
  <c r="BR122" i="5"/>
  <c r="BQ122" i="5"/>
  <c r="BP122" i="5"/>
  <c r="BO122" i="5"/>
  <c r="BN122" i="5"/>
  <c r="BM122" i="5"/>
  <c r="BL122" i="5"/>
  <c r="BK122" i="5"/>
  <c r="BJ122" i="5"/>
  <c r="BI122" i="5"/>
  <c r="BH122" i="5"/>
  <c r="BG122" i="5"/>
  <c r="BF122" i="5"/>
  <c r="BE122" i="5"/>
  <c r="BD122" i="5"/>
  <c r="BC122" i="5"/>
  <c r="BB122" i="5"/>
  <c r="BA122" i="5"/>
  <c r="AZ122" i="5"/>
  <c r="AX122" i="5"/>
  <c r="AY122" i="5" s="1"/>
  <c r="AW122" i="5"/>
  <c r="AV122" i="5"/>
  <c r="AU122" i="5"/>
  <c r="AT122" i="5"/>
  <c r="AS122" i="5"/>
  <c r="AR122" i="5"/>
  <c r="DH121" i="5"/>
  <c r="DG121" i="5"/>
  <c r="DA121" i="5"/>
  <c r="CX121" i="5"/>
  <c r="CG121" i="5"/>
  <c r="CF121" i="5"/>
  <c r="CD121" i="5"/>
  <c r="CE121" i="5" s="1"/>
  <c r="CC121" i="5"/>
  <c r="CB121" i="5"/>
  <c r="CA121" i="5"/>
  <c r="BZ121" i="5"/>
  <c r="BY121" i="5"/>
  <c r="BX121" i="5"/>
  <c r="BW121" i="5"/>
  <c r="BV121" i="5"/>
  <c r="BU121" i="5"/>
  <c r="BT121" i="5"/>
  <c r="BS121" i="5"/>
  <c r="BR121" i="5"/>
  <c r="BQ121" i="5"/>
  <c r="BP121" i="5"/>
  <c r="BO121" i="5"/>
  <c r="BN121" i="5"/>
  <c r="BM121" i="5"/>
  <c r="BL121" i="5"/>
  <c r="BK121" i="5"/>
  <c r="BJ121" i="5"/>
  <c r="BI121" i="5"/>
  <c r="BH121" i="5"/>
  <c r="BG121" i="5"/>
  <c r="BF121" i="5"/>
  <c r="BE121" i="5"/>
  <c r="BD121" i="5"/>
  <c r="BC121" i="5"/>
  <c r="BB121" i="5"/>
  <c r="BA121" i="5"/>
  <c r="AZ121" i="5"/>
  <c r="AX121" i="5"/>
  <c r="AY121" i="5" s="1"/>
  <c r="AW121" i="5"/>
  <c r="AV121" i="5"/>
  <c r="AU121" i="5"/>
  <c r="AT121" i="5"/>
  <c r="AS121" i="5"/>
  <c r="AR121" i="5"/>
  <c r="DH120" i="5"/>
  <c r="DG120" i="5"/>
  <c r="DA120" i="5"/>
  <c r="CX120" i="5"/>
  <c r="CH120" i="5"/>
  <c r="CG120" i="5"/>
  <c r="CF120" i="5"/>
  <c r="CD120" i="5"/>
  <c r="CE120" i="5" s="1"/>
  <c r="CC120" i="5"/>
  <c r="CB120" i="5"/>
  <c r="CA120" i="5"/>
  <c r="BZ120" i="5"/>
  <c r="BY120" i="5"/>
  <c r="BX120" i="5"/>
  <c r="BW120" i="5"/>
  <c r="BV120" i="5"/>
  <c r="BU120" i="5"/>
  <c r="BT120" i="5"/>
  <c r="BS120" i="5"/>
  <c r="BR120" i="5"/>
  <c r="BQ120" i="5"/>
  <c r="BP120" i="5"/>
  <c r="BO120" i="5"/>
  <c r="BN120" i="5"/>
  <c r="BM120" i="5"/>
  <c r="BL120" i="5"/>
  <c r="BK120" i="5"/>
  <c r="BJ120" i="5"/>
  <c r="BI120" i="5"/>
  <c r="BH120" i="5"/>
  <c r="BG120" i="5"/>
  <c r="BF120" i="5"/>
  <c r="BE120" i="5"/>
  <c r="BD120" i="5"/>
  <c r="BC120" i="5"/>
  <c r="BB120" i="5"/>
  <c r="BA120" i="5"/>
  <c r="AZ120" i="5"/>
  <c r="AY120" i="5"/>
  <c r="AX120" i="5"/>
  <c r="AW120" i="5"/>
  <c r="AV120" i="5"/>
  <c r="AU120" i="5"/>
  <c r="AT120" i="5"/>
  <c r="AS120" i="5"/>
  <c r="AR120" i="5"/>
  <c r="DH119" i="5"/>
  <c r="DG119" i="5"/>
  <c r="DA119" i="5"/>
  <c r="CX119" i="5"/>
  <c r="CG119" i="5"/>
  <c r="CF119" i="5"/>
  <c r="CE119" i="5"/>
  <c r="CD119" i="5"/>
  <c r="CH119" i="5" s="1"/>
  <c r="CC119" i="5"/>
  <c r="CB119" i="5"/>
  <c r="CA119" i="5"/>
  <c r="BZ119" i="5"/>
  <c r="BY119" i="5"/>
  <c r="BX119" i="5"/>
  <c r="BW119" i="5"/>
  <c r="BV119" i="5"/>
  <c r="BU119" i="5"/>
  <c r="BT119" i="5"/>
  <c r="BS119" i="5"/>
  <c r="BR119" i="5"/>
  <c r="BQ119" i="5"/>
  <c r="BP119" i="5"/>
  <c r="BO119" i="5"/>
  <c r="BN119" i="5"/>
  <c r="BM119" i="5"/>
  <c r="BL119" i="5"/>
  <c r="BK119" i="5"/>
  <c r="BJ119" i="5"/>
  <c r="BI119" i="5"/>
  <c r="BH119" i="5"/>
  <c r="BG119" i="5"/>
  <c r="BF119" i="5"/>
  <c r="BE119" i="5"/>
  <c r="BD119" i="5"/>
  <c r="BC119" i="5"/>
  <c r="BB119" i="5"/>
  <c r="BA119" i="5"/>
  <c r="AZ119" i="5"/>
  <c r="AX119" i="5"/>
  <c r="AY119" i="5" s="1"/>
  <c r="AW119" i="5"/>
  <c r="AV119" i="5"/>
  <c r="AU119" i="5"/>
  <c r="AT119" i="5"/>
  <c r="AS119" i="5"/>
  <c r="AR119" i="5"/>
  <c r="DH118" i="5"/>
  <c r="DG118" i="5"/>
  <c r="DA118" i="5"/>
  <c r="CX118" i="5"/>
  <c r="CK118" i="5"/>
  <c r="CG118" i="5"/>
  <c r="CF118" i="5"/>
  <c r="CE118" i="5"/>
  <c r="CD118" i="5"/>
  <c r="CH118" i="5" s="1"/>
  <c r="CI118" i="5" s="1"/>
  <c r="CJ118" i="5" s="1"/>
  <c r="CL118" i="5" s="1"/>
  <c r="CM118" i="5" s="1"/>
  <c r="CR118" i="5" s="1"/>
  <c r="CC118" i="5"/>
  <c r="CB118" i="5"/>
  <c r="CA118" i="5"/>
  <c r="BZ118" i="5"/>
  <c r="BY118" i="5"/>
  <c r="BX118" i="5"/>
  <c r="BW118" i="5"/>
  <c r="BV118" i="5"/>
  <c r="BU118" i="5"/>
  <c r="BT118" i="5"/>
  <c r="BS118" i="5"/>
  <c r="BR118" i="5"/>
  <c r="BQ118" i="5"/>
  <c r="BP118" i="5"/>
  <c r="BO118" i="5"/>
  <c r="BN118" i="5"/>
  <c r="BM118" i="5"/>
  <c r="BL118" i="5"/>
  <c r="BK118" i="5"/>
  <c r="BJ118" i="5"/>
  <c r="BI118" i="5"/>
  <c r="BH118" i="5"/>
  <c r="BG118" i="5"/>
  <c r="BF118" i="5"/>
  <c r="BE118" i="5"/>
  <c r="BD118" i="5"/>
  <c r="BC118" i="5"/>
  <c r="BB118" i="5"/>
  <c r="BA118" i="5"/>
  <c r="AZ118" i="5"/>
  <c r="AY118" i="5"/>
  <c r="AX118" i="5"/>
  <c r="AW118" i="5"/>
  <c r="AV118" i="5"/>
  <c r="AU118" i="5"/>
  <c r="AT118" i="5"/>
  <c r="AS118" i="5"/>
  <c r="AR118" i="5"/>
  <c r="DH117" i="5"/>
  <c r="DG117" i="5"/>
  <c r="DA117" i="5"/>
  <c r="CX117" i="5"/>
  <c r="CK117" i="5"/>
  <c r="CJ117" i="5"/>
  <c r="CL117" i="5" s="1"/>
  <c r="CM117" i="5" s="1"/>
  <c r="CI117" i="5"/>
  <c r="CH117" i="5"/>
  <c r="CG117" i="5"/>
  <c r="CF117" i="5"/>
  <c r="CD117" i="5"/>
  <c r="CE117" i="5" s="1"/>
  <c r="CC117" i="5"/>
  <c r="CB117" i="5"/>
  <c r="CA117" i="5"/>
  <c r="BZ117" i="5"/>
  <c r="BY117" i="5"/>
  <c r="BX117" i="5"/>
  <c r="BW117" i="5"/>
  <c r="BV117" i="5"/>
  <c r="BU117" i="5"/>
  <c r="BT117" i="5"/>
  <c r="BS117" i="5"/>
  <c r="BR117" i="5"/>
  <c r="BQ117" i="5"/>
  <c r="BP117" i="5"/>
  <c r="BO117" i="5"/>
  <c r="BN117" i="5"/>
  <c r="BM117" i="5"/>
  <c r="BL117" i="5"/>
  <c r="BK117" i="5"/>
  <c r="BJ117" i="5"/>
  <c r="BI117" i="5"/>
  <c r="BH117" i="5"/>
  <c r="BG117" i="5"/>
  <c r="BF117" i="5"/>
  <c r="BE117" i="5"/>
  <c r="BD117" i="5"/>
  <c r="BC117" i="5"/>
  <c r="BB117" i="5"/>
  <c r="BA117" i="5"/>
  <c r="AZ117" i="5"/>
  <c r="AY117" i="5"/>
  <c r="AX117" i="5"/>
  <c r="AW117" i="5"/>
  <c r="AV117" i="5"/>
  <c r="AU117" i="5"/>
  <c r="AT117" i="5"/>
  <c r="AS117" i="5"/>
  <c r="AR117" i="5"/>
  <c r="DH116" i="5"/>
  <c r="DG116" i="5"/>
  <c r="DA116" i="5"/>
  <c r="CX116" i="5"/>
  <c r="CG116" i="5"/>
  <c r="CF116" i="5"/>
  <c r="CD116" i="5"/>
  <c r="CH116" i="5" s="1"/>
  <c r="CC116" i="5"/>
  <c r="CB116" i="5"/>
  <c r="CA116" i="5"/>
  <c r="BZ116" i="5"/>
  <c r="BY116" i="5"/>
  <c r="BX116" i="5"/>
  <c r="BW116" i="5"/>
  <c r="BV116" i="5"/>
  <c r="BU116" i="5"/>
  <c r="BT116" i="5"/>
  <c r="BS116" i="5"/>
  <c r="BR116" i="5"/>
  <c r="BQ116" i="5"/>
  <c r="BP116" i="5"/>
  <c r="BO116" i="5"/>
  <c r="BN116" i="5"/>
  <c r="BM116" i="5"/>
  <c r="BL116" i="5"/>
  <c r="BK116" i="5"/>
  <c r="BJ116" i="5"/>
  <c r="BI116" i="5"/>
  <c r="BH116" i="5"/>
  <c r="BG116" i="5"/>
  <c r="BF116" i="5"/>
  <c r="BE116" i="5"/>
  <c r="BD116" i="5"/>
  <c r="BC116" i="5"/>
  <c r="BB116" i="5"/>
  <c r="BA116" i="5"/>
  <c r="AZ116" i="5"/>
  <c r="AX116" i="5"/>
  <c r="AY116" i="5" s="1"/>
  <c r="AW116" i="5"/>
  <c r="AV116" i="5"/>
  <c r="AU116" i="5"/>
  <c r="AT116" i="5"/>
  <c r="AS116" i="5"/>
  <c r="AR116" i="5"/>
  <c r="DH115" i="5"/>
  <c r="DG115" i="5"/>
  <c r="DA115" i="5"/>
  <c r="CX115" i="5"/>
  <c r="CH115" i="5"/>
  <c r="CG115" i="5"/>
  <c r="CF115" i="5"/>
  <c r="CE115" i="5"/>
  <c r="CD115" i="5"/>
  <c r="CC115" i="5"/>
  <c r="CB115" i="5"/>
  <c r="CA115" i="5"/>
  <c r="BZ115" i="5"/>
  <c r="BY115" i="5"/>
  <c r="BX115" i="5"/>
  <c r="BW115" i="5"/>
  <c r="BV115" i="5"/>
  <c r="BU115" i="5"/>
  <c r="BT115" i="5"/>
  <c r="BS115" i="5"/>
  <c r="BR115" i="5"/>
  <c r="BQ115" i="5"/>
  <c r="BP115" i="5"/>
  <c r="BO115" i="5"/>
  <c r="BN115" i="5"/>
  <c r="BM115" i="5"/>
  <c r="BL115" i="5"/>
  <c r="BK115" i="5"/>
  <c r="BJ115" i="5"/>
  <c r="BI115" i="5"/>
  <c r="BH115" i="5"/>
  <c r="BG115" i="5"/>
  <c r="BF115" i="5"/>
  <c r="BE115" i="5"/>
  <c r="BD115" i="5"/>
  <c r="BC115" i="5"/>
  <c r="BB115" i="5"/>
  <c r="BA115" i="5"/>
  <c r="AZ115" i="5"/>
  <c r="AY115" i="5"/>
  <c r="AX115" i="5"/>
  <c r="AW115" i="5"/>
  <c r="AV115" i="5"/>
  <c r="AU115" i="5"/>
  <c r="AT115" i="5"/>
  <c r="AS115" i="5"/>
  <c r="AR115" i="5"/>
  <c r="DH114" i="5"/>
  <c r="DG114" i="5"/>
  <c r="DA114" i="5"/>
  <c r="CX114" i="5"/>
  <c r="CH114" i="5"/>
  <c r="CG114" i="5"/>
  <c r="CF114" i="5"/>
  <c r="CD114" i="5"/>
  <c r="CE114" i="5" s="1"/>
  <c r="CK114" i="5" s="1"/>
  <c r="CC114" i="5"/>
  <c r="CB114" i="5"/>
  <c r="CA114" i="5"/>
  <c r="BZ114" i="5"/>
  <c r="BY114" i="5"/>
  <c r="BX114" i="5"/>
  <c r="BW114" i="5"/>
  <c r="BV114" i="5"/>
  <c r="BU114" i="5"/>
  <c r="BT114" i="5"/>
  <c r="BS114" i="5"/>
  <c r="BR114" i="5"/>
  <c r="BQ114" i="5"/>
  <c r="BP114" i="5"/>
  <c r="BO114" i="5"/>
  <c r="BN114" i="5"/>
  <c r="BM114" i="5"/>
  <c r="BL114" i="5"/>
  <c r="BK114" i="5"/>
  <c r="BJ114" i="5"/>
  <c r="BI114" i="5"/>
  <c r="BH114" i="5"/>
  <c r="BG114" i="5"/>
  <c r="BF114" i="5"/>
  <c r="BE114" i="5"/>
  <c r="BD114" i="5"/>
  <c r="BC114" i="5"/>
  <c r="BB114" i="5"/>
  <c r="BA114" i="5"/>
  <c r="AZ114" i="5"/>
  <c r="AY114" i="5"/>
  <c r="AX114" i="5"/>
  <c r="AW114" i="5"/>
  <c r="AV114" i="5"/>
  <c r="AU114" i="5"/>
  <c r="AT114" i="5"/>
  <c r="AS114" i="5"/>
  <c r="AR114" i="5"/>
  <c r="DH113" i="5"/>
  <c r="DG113" i="5"/>
  <c r="DA113" i="5"/>
  <c r="CX113" i="5"/>
  <c r="CG113" i="5"/>
  <c r="CF113" i="5"/>
  <c r="CD113" i="5"/>
  <c r="CC113" i="5"/>
  <c r="CB113" i="5"/>
  <c r="CA113" i="5"/>
  <c r="BZ113" i="5"/>
  <c r="BY113" i="5"/>
  <c r="BX113" i="5"/>
  <c r="BW113" i="5"/>
  <c r="BV113" i="5"/>
  <c r="BU113" i="5"/>
  <c r="BT113" i="5"/>
  <c r="BS113" i="5"/>
  <c r="BR113" i="5"/>
  <c r="BQ113" i="5"/>
  <c r="BP113" i="5"/>
  <c r="BO113" i="5"/>
  <c r="BN113" i="5"/>
  <c r="BM113" i="5"/>
  <c r="BL113" i="5"/>
  <c r="BK113" i="5"/>
  <c r="BJ113" i="5"/>
  <c r="BI113" i="5"/>
  <c r="BH113" i="5"/>
  <c r="BG113" i="5"/>
  <c r="BF113" i="5"/>
  <c r="BE113" i="5"/>
  <c r="BD113" i="5"/>
  <c r="BC113" i="5"/>
  <c r="BB113" i="5"/>
  <c r="BA113" i="5"/>
  <c r="AZ113" i="5"/>
  <c r="AX113" i="5"/>
  <c r="AY113" i="5" s="1"/>
  <c r="AW113" i="5"/>
  <c r="AV113" i="5"/>
  <c r="AU113" i="5"/>
  <c r="AT113" i="5"/>
  <c r="AS113" i="5"/>
  <c r="AR113" i="5"/>
  <c r="DH112" i="5"/>
  <c r="DG112" i="5"/>
  <c r="DA112" i="5"/>
  <c r="CX112" i="5"/>
  <c r="CK112" i="5"/>
  <c r="CG112" i="5"/>
  <c r="CF112" i="5"/>
  <c r="CE112" i="5"/>
  <c r="CI112" i="5" s="1"/>
  <c r="CJ112" i="5" s="1"/>
  <c r="CD112" i="5"/>
  <c r="CH112" i="5" s="1"/>
  <c r="CC112" i="5"/>
  <c r="CB112" i="5"/>
  <c r="CA112" i="5"/>
  <c r="BZ112" i="5"/>
  <c r="BY112" i="5"/>
  <c r="BX112" i="5"/>
  <c r="BW112" i="5"/>
  <c r="BV112" i="5"/>
  <c r="BU112" i="5"/>
  <c r="BT112" i="5"/>
  <c r="BS112" i="5"/>
  <c r="BR112" i="5"/>
  <c r="BQ112" i="5"/>
  <c r="BP112" i="5"/>
  <c r="BO112" i="5"/>
  <c r="BN112" i="5"/>
  <c r="BM112" i="5"/>
  <c r="BL112" i="5"/>
  <c r="BK112" i="5"/>
  <c r="BJ112" i="5"/>
  <c r="BI112" i="5"/>
  <c r="BH112" i="5"/>
  <c r="BG112" i="5"/>
  <c r="BF112" i="5"/>
  <c r="BE112" i="5"/>
  <c r="BD112" i="5"/>
  <c r="BC112" i="5"/>
  <c r="BB112" i="5"/>
  <c r="BA112" i="5"/>
  <c r="AZ112" i="5"/>
  <c r="AX112" i="5"/>
  <c r="AY112" i="5" s="1"/>
  <c r="AW112" i="5"/>
  <c r="AV112" i="5"/>
  <c r="AU112" i="5"/>
  <c r="AT112" i="5"/>
  <c r="AS112" i="5"/>
  <c r="AR112" i="5"/>
  <c r="DH111" i="5"/>
  <c r="DG111" i="5"/>
  <c r="DA111" i="5"/>
  <c r="CX111" i="5"/>
  <c r="CL111" i="5"/>
  <c r="CM111" i="5" s="1"/>
  <c r="CR111" i="5" s="1"/>
  <c r="CK111" i="5"/>
  <c r="CH111" i="5"/>
  <c r="CI111" i="5" s="1"/>
  <c r="CJ111" i="5" s="1"/>
  <c r="CG111" i="5"/>
  <c r="CF111" i="5"/>
  <c r="CD111" i="5"/>
  <c r="CE111" i="5" s="1"/>
  <c r="CC111" i="5"/>
  <c r="CB111" i="5"/>
  <c r="CA111" i="5"/>
  <c r="BZ111" i="5"/>
  <c r="BY111" i="5"/>
  <c r="BX111" i="5"/>
  <c r="BW111" i="5"/>
  <c r="BV111" i="5"/>
  <c r="BU111" i="5"/>
  <c r="BT111" i="5"/>
  <c r="BS111" i="5"/>
  <c r="BR111" i="5"/>
  <c r="BQ111" i="5"/>
  <c r="BP111" i="5"/>
  <c r="BO111" i="5"/>
  <c r="BN111" i="5"/>
  <c r="BM111" i="5"/>
  <c r="BL111" i="5"/>
  <c r="BK111" i="5"/>
  <c r="BJ111" i="5"/>
  <c r="BI111" i="5"/>
  <c r="BH111" i="5"/>
  <c r="BG111" i="5"/>
  <c r="BF111" i="5"/>
  <c r="BE111" i="5"/>
  <c r="BD111" i="5"/>
  <c r="BC111" i="5"/>
  <c r="BB111" i="5"/>
  <c r="BA111" i="5"/>
  <c r="AZ111" i="5"/>
  <c r="AX111" i="5"/>
  <c r="AY111" i="5" s="1"/>
  <c r="AW111" i="5"/>
  <c r="AV111" i="5"/>
  <c r="AU111" i="5"/>
  <c r="AT111" i="5"/>
  <c r="AS111" i="5"/>
  <c r="AR111" i="5"/>
  <c r="DH110" i="5"/>
  <c r="DG110" i="5"/>
  <c r="DA110" i="5"/>
  <c r="CX110" i="5"/>
  <c r="CK110" i="5"/>
  <c r="CG110" i="5"/>
  <c r="CF110" i="5"/>
  <c r="CD110" i="5"/>
  <c r="CE110" i="5" s="1"/>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BA110" i="5"/>
  <c r="AZ110" i="5"/>
  <c r="AX110" i="5"/>
  <c r="AY110" i="5" s="1"/>
  <c r="AW110" i="5"/>
  <c r="AV110" i="5"/>
  <c r="AU110" i="5"/>
  <c r="AT110" i="5"/>
  <c r="AS110" i="5"/>
  <c r="AR110" i="5"/>
  <c r="DH109" i="5"/>
  <c r="DG109" i="5"/>
  <c r="DA109" i="5"/>
  <c r="CX109" i="5"/>
  <c r="CK109" i="5"/>
  <c r="CJ109" i="5"/>
  <c r="CL109" i="5" s="1"/>
  <c r="CM109" i="5" s="1"/>
  <c r="CI109" i="5"/>
  <c r="CH109" i="5"/>
  <c r="CG109" i="5"/>
  <c r="CF109" i="5"/>
  <c r="CD109" i="5"/>
  <c r="CE109" i="5" s="1"/>
  <c r="CC109" i="5"/>
  <c r="CB109" i="5"/>
  <c r="CA109" i="5"/>
  <c r="BZ109" i="5"/>
  <c r="BY109" i="5"/>
  <c r="BX109" i="5"/>
  <c r="BW109" i="5"/>
  <c r="BV109" i="5"/>
  <c r="BU109" i="5"/>
  <c r="BT109" i="5"/>
  <c r="BS109" i="5"/>
  <c r="BR109" i="5"/>
  <c r="BQ109" i="5"/>
  <c r="BP109" i="5"/>
  <c r="BO109" i="5"/>
  <c r="BN109" i="5"/>
  <c r="BM109" i="5"/>
  <c r="BL109" i="5"/>
  <c r="BK109" i="5"/>
  <c r="BJ109" i="5"/>
  <c r="BI109" i="5"/>
  <c r="BH109" i="5"/>
  <c r="BG109" i="5"/>
  <c r="BF109" i="5"/>
  <c r="BE109" i="5"/>
  <c r="BD109" i="5"/>
  <c r="BC109" i="5"/>
  <c r="BB109" i="5"/>
  <c r="BA109" i="5"/>
  <c r="AZ109" i="5"/>
  <c r="AY109" i="5"/>
  <c r="AX109" i="5"/>
  <c r="AW109" i="5"/>
  <c r="AV109" i="5"/>
  <c r="AU109" i="5"/>
  <c r="AT109" i="5"/>
  <c r="AS109" i="5"/>
  <c r="AR109" i="5"/>
  <c r="DH108" i="5"/>
  <c r="DG108" i="5"/>
  <c r="DA108" i="5"/>
  <c r="CX108" i="5"/>
  <c r="CH108" i="5"/>
  <c r="CG108" i="5"/>
  <c r="CF108" i="5"/>
  <c r="CD108" i="5"/>
  <c r="CE108" i="5" s="1"/>
  <c r="CC108" i="5"/>
  <c r="CB108" i="5"/>
  <c r="CA108" i="5"/>
  <c r="BZ108" i="5"/>
  <c r="BY108" i="5"/>
  <c r="BX108" i="5"/>
  <c r="BW108" i="5"/>
  <c r="BV108" i="5"/>
  <c r="BU108" i="5"/>
  <c r="BT108" i="5"/>
  <c r="BS108" i="5"/>
  <c r="BR108" i="5"/>
  <c r="BQ108" i="5"/>
  <c r="BP108" i="5"/>
  <c r="BO108" i="5"/>
  <c r="BN108" i="5"/>
  <c r="BM108" i="5"/>
  <c r="BL108" i="5"/>
  <c r="BK108" i="5"/>
  <c r="BJ108" i="5"/>
  <c r="BI108" i="5"/>
  <c r="BH108" i="5"/>
  <c r="BG108" i="5"/>
  <c r="BF108" i="5"/>
  <c r="BE108" i="5"/>
  <c r="BD108" i="5"/>
  <c r="BC108" i="5"/>
  <c r="BB108" i="5"/>
  <c r="BA108" i="5"/>
  <c r="AZ108" i="5"/>
  <c r="AY108" i="5"/>
  <c r="AX108" i="5"/>
  <c r="AW108" i="5"/>
  <c r="AV108" i="5"/>
  <c r="CK108" i="5" s="1"/>
  <c r="AU108" i="5"/>
  <c r="AT108" i="5"/>
  <c r="AS108" i="5"/>
  <c r="AR108" i="5"/>
  <c r="DH107" i="5"/>
  <c r="DG107" i="5"/>
  <c r="DA107" i="5"/>
  <c r="CX107" i="5"/>
  <c r="CH107" i="5"/>
  <c r="CG107" i="5"/>
  <c r="CF107" i="5"/>
  <c r="CE107" i="5"/>
  <c r="CD107" i="5"/>
  <c r="CC107" i="5"/>
  <c r="CB107" i="5"/>
  <c r="CA107" i="5"/>
  <c r="BZ107" i="5"/>
  <c r="BY107" i="5"/>
  <c r="BX107" i="5"/>
  <c r="BW107" i="5"/>
  <c r="BV107" i="5"/>
  <c r="BU107" i="5"/>
  <c r="BT107" i="5"/>
  <c r="BS107" i="5"/>
  <c r="BR107" i="5"/>
  <c r="BQ107" i="5"/>
  <c r="BP107" i="5"/>
  <c r="BO107" i="5"/>
  <c r="BN107" i="5"/>
  <c r="BM107" i="5"/>
  <c r="BL107" i="5"/>
  <c r="BK107" i="5"/>
  <c r="BJ107" i="5"/>
  <c r="BI107" i="5"/>
  <c r="BH107" i="5"/>
  <c r="BG107" i="5"/>
  <c r="BF107" i="5"/>
  <c r="BE107" i="5"/>
  <c r="BD107" i="5"/>
  <c r="BC107" i="5"/>
  <c r="BB107" i="5"/>
  <c r="BA107" i="5"/>
  <c r="AZ107" i="5"/>
  <c r="AX107" i="5"/>
  <c r="AY107" i="5" s="1"/>
  <c r="AW107" i="5"/>
  <c r="AV107" i="5"/>
  <c r="AU107" i="5"/>
  <c r="AT107" i="5"/>
  <c r="AS107" i="5"/>
  <c r="AR107" i="5"/>
  <c r="DH106" i="5"/>
  <c r="DG106" i="5"/>
  <c r="DA106" i="5"/>
  <c r="CX106" i="5"/>
  <c r="CH106" i="5"/>
  <c r="CG106" i="5"/>
  <c r="CF106" i="5"/>
  <c r="CE106" i="5"/>
  <c r="CD106" i="5"/>
  <c r="CC106" i="5"/>
  <c r="CB106" i="5"/>
  <c r="CA106" i="5"/>
  <c r="BZ106" i="5"/>
  <c r="BY106" i="5"/>
  <c r="BX106" i="5"/>
  <c r="BW106" i="5"/>
  <c r="BV106" i="5"/>
  <c r="BU106" i="5"/>
  <c r="BT106" i="5"/>
  <c r="BS106" i="5"/>
  <c r="BR106" i="5"/>
  <c r="BQ106" i="5"/>
  <c r="BP106" i="5"/>
  <c r="BO106" i="5"/>
  <c r="BN106" i="5"/>
  <c r="BM106" i="5"/>
  <c r="BL106" i="5"/>
  <c r="BK106" i="5"/>
  <c r="BJ106" i="5"/>
  <c r="BI106" i="5"/>
  <c r="BH106" i="5"/>
  <c r="BG106" i="5"/>
  <c r="BF106" i="5"/>
  <c r="BE106" i="5"/>
  <c r="BD106" i="5"/>
  <c r="BC106" i="5"/>
  <c r="BB106" i="5"/>
  <c r="BA106" i="5"/>
  <c r="AZ106" i="5"/>
  <c r="AX106" i="5"/>
  <c r="AY106" i="5" s="1"/>
  <c r="AW106" i="5"/>
  <c r="AV106" i="5"/>
  <c r="AU106" i="5"/>
  <c r="AT106" i="5"/>
  <c r="AS106" i="5"/>
  <c r="AR106" i="5"/>
  <c r="DH105" i="5"/>
  <c r="DG105" i="5"/>
  <c r="DA105" i="5"/>
  <c r="CX105" i="5"/>
  <c r="CL105" i="5"/>
  <c r="CM105" i="5" s="1"/>
  <c r="CK105" i="5"/>
  <c r="CI105" i="5"/>
  <c r="CJ105" i="5" s="1"/>
  <c r="CH105" i="5"/>
  <c r="CG105" i="5"/>
  <c r="CF105" i="5"/>
  <c r="CD105" i="5"/>
  <c r="CE105" i="5" s="1"/>
  <c r="CC105" i="5"/>
  <c r="CB105" i="5"/>
  <c r="CA105" i="5"/>
  <c r="BZ105" i="5"/>
  <c r="BY105" i="5"/>
  <c r="BX105" i="5"/>
  <c r="BW105" i="5"/>
  <c r="BV105" i="5"/>
  <c r="BU105" i="5"/>
  <c r="BT105" i="5"/>
  <c r="BS105" i="5"/>
  <c r="BR105" i="5"/>
  <c r="BQ105" i="5"/>
  <c r="BP105" i="5"/>
  <c r="BO105" i="5"/>
  <c r="BN105" i="5"/>
  <c r="BM105" i="5"/>
  <c r="BL105" i="5"/>
  <c r="BK105" i="5"/>
  <c r="BJ105" i="5"/>
  <c r="BI105" i="5"/>
  <c r="BH105" i="5"/>
  <c r="BG105" i="5"/>
  <c r="BF105" i="5"/>
  <c r="BE105" i="5"/>
  <c r="BD105" i="5"/>
  <c r="BC105" i="5"/>
  <c r="BB105" i="5"/>
  <c r="BA105" i="5"/>
  <c r="AZ105" i="5"/>
  <c r="AX105" i="5"/>
  <c r="AY105" i="5" s="1"/>
  <c r="AW105" i="5"/>
  <c r="AV105" i="5"/>
  <c r="AU105" i="5"/>
  <c r="AT105" i="5"/>
  <c r="AS105" i="5"/>
  <c r="AR105" i="5"/>
  <c r="DH104" i="5"/>
  <c r="DG104" i="5"/>
  <c r="DA104" i="5"/>
  <c r="CX104" i="5"/>
  <c r="CH104" i="5"/>
  <c r="CG104" i="5"/>
  <c r="CF104" i="5"/>
  <c r="CD104" i="5"/>
  <c r="CE104" i="5" s="1"/>
  <c r="CC104" i="5"/>
  <c r="CB104" i="5"/>
  <c r="CA104" i="5"/>
  <c r="BZ104" i="5"/>
  <c r="BY104" i="5"/>
  <c r="BX104" i="5"/>
  <c r="BW104" i="5"/>
  <c r="BV104" i="5"/>
  <c r="BU104" i="5"/>
  <c r="BT104" i="5"/>
  <c r="BS104" i="5"/>
  <c r="BR104" i="5"/>
  <c r="BQ104" i="5"/>
  <c r="BP104" i="5"/>
  <c r="BO104" i="5"/>
  <c r="BN104" i="5"/>
  <c r="BM104" i="5"/>
  <c r="BL104" i="5"/>
  <c r="BK104" i="5"/>
  <c r="BJ104" i="5"/>
  <c r="BI104" i="5"/>
  <c r="BH104" i="5"/>
  <c r="BG104" i="5"/>
  <c r="BF104" i="5"/>
  <c r="BE104" i="5"/>
  <c r="BD104" i="5"/>
  <c r="BC104" i="5"/>
  <c r="BB104" i="5"/>
  <c r="BA104" i="5"/>
  <c r="AZ104" i="5"/>
  <c r="AX104" i="5"/>
  <c r="AY104" i="5" s="1"/>
  <c r="AW104" i="5"/>
  <c r="AV104" i="5"/>
  <c r="CK104" i="5" s="1"/>
  <c r="AU104" i="5"/>
  <c r="AT104" i="5"/>
  <c r="AS104" i="5"/>
  <c r="AR104" i="5"/>
  <c r="DH103" i="5"/>
  <c r="DG103" i="5"/>
  <c r="DA103" i="5"/>
  <c r="CX103" i="5"/>
  <c r="CN103" i="5"/>
  <c r="CL103" i="5"/>
  <c r="CM103" i="5" s="1"/>
  <c r="CK103" i="5"/>
  <c r="CJ103" i="5"/>
  <c r="CI103" i="5"/>
  <c r="CH103" i="5"/>
  <c r="CG103" i="5"/>
  <c r="CF103" i="5"/>
  <c r="CE103" i="5"/>
  <c r="CD103" i="5"/>
  <c r="CC103" i="5"/>
  <c r="CB103" i="5"/>
  <c r="CA103" i="5"/>
  <c r="BZ103" i="5"/>
  <c r="BY103" i="5"/>
  <c r="BX103" i="5"/>
  <c r="BW103" i="5"/>
  <c r="BV103" i="5"/>
  <c r="BU103" i="5"/>
  <c r="BT103" i="5"/>
  <c r="BS103" i="5"/>
  <c r="BR103" i="5"/>
  <c r="BQ103" i="5"/>
  <c r="BP103" i="5"/>
  <c r="BO103" i="5"/>
  <c r="BN103" i="5"/>
  <c r="BM103" i="5"/>
  <c r="BL103" i="5"/>
  <c r="BK103" i="5"/>
  <c r="BJ103" i="5"/>
  <c r="BI103" i="5"/>
  <c r="BH103" i="5"/>
  <c r="BG103" i="5"/>
  <c r="BF103" i="5"/>
  <c r="BE103" i="5"/>
  <c r="BD103" i="5"/>
  <c r="BC103" i="5"/>
  <c r="BB103" i="5"/>
  <c r="BA103" i="5"/>
  <c r="AZ103" i="5"/>
  <c r="AY103" i="5"/>
  <c r="AX103" i="5"/>
  <c r="AW103" i="5"/>
  <c r="AV103" i="5"/>
  <c r="AU103" i="5"/>
  <c r="AT103" i="5"/>
  <c r="AS103" i="5"/>
  <c r="AR103" i="5"/>
  <c r="DH102" i="5"/>
  <c r="DG102" i="5"/>
  <c r="DA102" i="5"/>
  <c r="CX102" i="5"/>
  <c r="CK102" i="5"/>
  <c r="CG102" i="5"/>
  <c r="CF102" i="5"/>
  <c r="CD102" i="5"/>
  <c r="CE102" i="5" s="1"/>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F102" i="5"/>
  <c r="BE102" i="5"/>
  <c r="BD102" i="5"/>
  <c r="BC102" i="5"/>
  <c r="BB102" i="5"/>
  <c r="BA102" i="5"/>
  <c r="AZ102" i="5"/>
  <c r="AX102" i="5"/>
  <c r="AY102" i="5" s="1"/>
  <c r="AW102" i="5"/>
  <c r="AV102" i="5"/>
  <c r="AU102" i="5"/>
  <c r="AT102" i="5"/>
  <c r="AS102" i="5"/>
  <c r="AR102" i="5"/>
  <c r="DH101" i="5"/>
  <c r="DG101" i="5"/>
  <c r="DA101" i="5"/>
  <c r="CX101" i="5"/>
  <c r="CG101" i="5"/>
  <c r="CF101" i="5"/>
  <c r="CD101" i="5"/>
  <c r="CH101" i="5" s="1"/>
  <c r="CC101" i="5"/>
  <c r="CB101" i="5"/>
  <c r="CA101" i="5"/>
  <c r="BZ101" i="5"/>
  <c r="BY101" i="5"/>
  <c r="BX101" i="5"/>
  <c r="BW101" i="5"/>
  <c r="BV101" i="5"/>
  <c r="BU101" i="5"/>
  <c r="BT101" i="5"/>
  <c r="BS101" i="5"/>
  <c r="BR101" i="5"/>
  <c r="BQ101" i="5"/>
  <c r="BP101" i="5"/>
  <c r="BO101" i="5"/>
  <c r="BN101" i="5"/>
  <c r="BM101" i="5"/>
  <c r="BL101" i="5"/>
  <c r="BK101" i="5"/>
  <c r="BJ101" i="5"/>
  <c r="BI101" i="5"/>
  <c r="BH101" i="5"/>
  <c r="BG101" i="5"/>
  <c r="BF101" i="5"/>
  <c r="BE101" i="5"/>
  <c r="BD101" i="5"/>
  <c r="BC101" i="5"/>
  <c r="BB101" i="5"/>
  <c r="BA101" i="5"/>
  <c r="AZ101" i="5"/>
  <c r="AX101" i="5"/>
  <c r="AY101" i="5" s="1"/>
  <c r="AW101" i="5"/>
  <c r="AV101" i="5"/>
  <c r="AU101" i="5"/>
  <c r="AT101" i="5"/>
  <c r="AS101" i="5"/>
  <c r="AR101" i="5"/>
  <c r="DH100" i="5"/>
  <c r="DG100" i="5"/>
  <c r="DA100" i="5"/>
  <c r="CX100" i="5"/>
  <c r="CH100" i="5"/>
  <c r="CG100" i="5"/>
  <c r="CF100" i="5"/>
  <c r="CD100" i="5"/>
  <c r="CE100" i="5" s="1"/>
  <c r="CC100" i="5"/>
  <c r="CB100" i="5"/>
  <c r="CA100" i="5"/>
  <c r="BZ100" i="5"/>
  <c r="BY100" i="5"/>
  <c r="BX100" i="5"/>
  <c r="BW100" i="5"/>
  <c r="BV100" i="5"/>
  <c r="BU100" i="5"/>
  <c r="BT100" i="5"/>
  <c r="BS100" i="5"/>
  <c r="BR100" i="5"/>
  <c r="BQ100" i="5"/>
  <c r="BP100" i="5"/>
  <c r="BO100" i="5"/>
  <c r="BN100" i="5"/>
  <c r="BM100" i="5"/>
  <c r="BL100" i="5"/>
  <c r="BK100" i="5"/>
  <c r="BJ100" i="5"/>
  <c r="BI100" i="5"/>
  <c r="BH100" i="5"/>
  <c r="BG100" i="5"/>
  <c r="BF100" i="5"/>
  <c r="BE100" i="5"/>
  <c r="BD100" i="5"/>
  <c r="BC100" i="5"/>
  <c r="BB100" i="5"/>
  <c r="BA100" i="5"/>
  <c r="AZ100" i="5"/>
  <c r="AX100" i="5"/>
  <c r="AY100" i="5" s="1"/>
  <c r="AW100" i="5"/>
  <c r="AV100" i="5"/>
  <c r="CK100" i="5" s="1"/>
  <c r="AU100" i="5"/>
  <c r="AT100" i="5"/>
  <c r="AS100" i="5"/>
  <c r="AR100" i="5"/>
  <c r="DH99" i="5"/>
  <c r="DG99" i="5"/>
  <c r="DA99" i="5"/>
  <c r="CX99" i="5"/>
  <c r="CH99" i="5"/>
  <c r="CI99" i="5" s="1"/>
  <c r="CJ99" i="5" s="1"/>
  <c r="CG99" i="5"/>
  <c r="CF99" i="5"/>
  <c r="CD99" i="5"/>
  <c r="CE99" i="5" s="1"/>
  <c r="CC99" i="5"/>
  <c r="CB99" i="5"/>
  <c r="CA99" i="5"/>
  <c r="BZ99" i="5"/>
  <c r="BY99" i="5"/>
  <c r="BX99" i="5"/>
  <c r="BW99" i="5"/>
  <c r="BV99" i="5"/>
  <c r="BU99" i="5"/>
  <c r="BT99" i="5"/>
  <c r="BS99" i="5"/>
  <c r="BR99" i="5"/>
  <c r="BQ99" i="5"/>
  <c r="BP99" i="5"/>
  <c r="BO99" i="5"/>
  <c r="BN99" i="5"/>
  <c r="BM99" i="5"/>
  <c r="BL99" i="5"/>
  <c r="BK99" i="5"/>
  <c r="BJ99" i="5"/>
  <c r="BI99" i="5"/>
  <c r="BH99" i="5"/>
  <c r="BG99" i="5"/>
  <c r="BF99" i="5"/>
  <c r="BE99" i="5"/>
  <c r="BD99" i="5"/>
  <c r="BC99" i="5"/>
  <c r="BB99" i="5"/>
  <c r="BA99" i="5"/>
  <c r="AZ99" i="5"/>
  <c r="AY99" i="5"/>
  <c r="AX99" i="5"/>
  <c r="AW99" i="5"/>
  <c r="AV99" i="5"/>
  <c r="CK99" i="5" s="1"/>
  <c r="AU99" i="5"/>
  <c r="AT99" i="5"/>
  <c r="AS99" i="5"/>
  <c r="AR99" i="5"/>
  <c r="DH98" i="5"/>
  <c r="DG98" i="5"/>
  <c r="DA98" i="5"/>
  <c r="CX98" i="5"/>
  <c r="CH98" i="5"/>
  <c r="CG98" i="5"/>
  <c r="CF98" i="5"/>
  <c r="CD98" i="5"/>
  <c r="CE98" i="5" s="1"/>
  <c r="CC98" i="5"/>
  <c r="CB98" i="5"/>
  <c r="CA98" i="5"/>
  <c r="BZ98" i="5"/>
  <c r="BY98" i="5"/>
  <c r="BX98" i="5"/>
  <c r="BW98" i="5"/>
  <c r="BV98" i="5"/>
  <c r="BU98" i="5"/>
  <c r="BT98" i="5"/>
  <c r="BS98" i="5"/>
  <c r="BR98" i="5"/>
  <c r="BQ98" i="5"/>
  <c r="BP98" i="5"/>
  <c r="BO98" i="5"/>
  <c r="BN98" i="5"/>
  <c r="BM98" i="5"/>
  <c r="BL98" i="5"/>
  <c r="BK98" i="5"/>
  <c r="BJ98" i="5"/>
  <c r="BI98" i="5"/>
  <c r="BH98" i="5"/>
  <c r="BG98" i="5"/>
  <c r="BF98" i="5"/>
  <c r="BE98" i="5"/>
  <c r="BD98" i="5"/>
  <c r="BC98" i="5"/>
  <c r="BB98" i="5"/>
  <c r="BA98" i="5"/>
  <c r="AZ98" i="5"/>
  <c r="AX98" i="5"/>
  <c r="AY98" i="5" s="1"/>
  <c r="AW98" i="5"/>
  <c r="AV98" i="5"/>
  <c r="CK98" i="5" s="1"/>
  <c r="AU98" i="5"/>
  <c r="AT98" i="5"/>
  <c r="AS98" i="5"/>
  <c r="AR98" i="5"/>
  <c r="DH97" i="5"/>
  <c r="DG97" i="5"/>
  <c r="DA97" i="5"/>
  <c r="CX97" i="5"/>
  <c r="CH97" i="5"/>
  <c r="CG97" i="5"/>
  <c r="CF97" i="5"/>
  <c r="CD97" i="5"/>
  <c r="CE97" i="5" s="1"/>
  <c r="CK97" i="5" s="1"/>
  <c r="CC97" i="5"/>
  <c r="CB97" i="5"/>
  <c r="CA97" i="5"/>
  <c r="BZ97" i="5"/>
  <c r="BY97" i="5"/>
  <c r="BX97" i="5"/>
  <c r="BW97" i="5"/>
  <c r="BV97" i="5"/>
  <c r="BU97" i="5"/>
  <c r="BT97" i="5"/>
  <c r="BS97" i="5"/>
  <c r="BR97" i="5"/>
  <c r="BQ97" i="5"/>
  <c r="BP97" i="5"/>
  <c r="BO97" i="5"/>
  <c r="BN97" i="5"/>
  <c r="BM97" i="5"/>
  <c r="BL97" i="5"/>
  <c r="BK97" i="5"/>
  <c r="BJ97" i="5"/>
  <c r="BI97" i="5"/>
  <c r="BH97" i="5"/>
  <c r="BG97" i="5"/>
  <c r="BF97" i="5"/>
  <c r="BE97" i="5"/>
  <c r="BD97" i="5"/>
  <c r="BC97" i="5"/>
  <c r="BB97" i="5"/>
  <c r="BA97" i="5"/>
  <c r="AZ97" i="5"/>
  <c r="AX97" i="5"/>
  <c r="AY97" i="5" s="1"/>
  <c r="AW97" i="5"/>
  <c r="AV97" i="5"/>
  <c r="AU97" i="5"/>
  <c r="AT97" i="5"/>
  <c r="AS97" i="5"/>
  <c r="AR97" i="5"/>
  <c r="DH96" i="5"/>
  <c r="DG96" i="5"/>
  <c r="DA96" i="5"/>
  <c r="CX96" i="5"/>
  <c r="CG96" i="5"/>
  <c r="CF96" i="5"/>
  <c r="CD96" i="5"/>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X96" i="5"/>
  <c r="AY96" i="5" s="1"/>
  <c r="AW96" i="5"/>
  <c r="AV96" i="5"/>
  <c r="AU96" i="5"/>
  <c r="AT96" i="5"/>
  <c r="AS96" i="5"/>
  <c r="AR96" i="5"/>
  <c r="DH95" i="5"/>
  <c r="DG95" i="5"/>
  <c r="DA95" i="5"/>
  <c r="CX95" i="5"/>
  <c r="CG95" i="5"/>
  <c r="CF95" i="5"/>
  <c r="CE95" i="5"/>
  <c r="CD95" i="5"/>
  <c r="CH95" i="5" s="1"/>
  <c r="CC95" i="5"/>
  <c r="CB95" i="5"/>
  <c r="CA95" i="5"/>
  <c r="BZ95" i="5"/>
  <c r="BY95" i="5"/>
  <c r="BX95" i="5"/>
  <c r="BW95" i="5"/>
  <c r="BV95" i="5"/>
  <c r="BU95" i="5"/>
  <c r="BT95" i="5"/>
  <c r="BS95" i="5"/>
  <c r="BR95" i="5"/>
  <c r="BQ95" i="5"/>
  <c r="BP95" i="5"/>
  <c r="BO95" i="5"/>
  <c r="BN95" i="5"/>
  <c r="BM95" i="5"/>
  <c r="BL95" i="5"/>
  <c r="BK95" i="5"/>
  <c r="BJ95" i="5"/>
  <c r="BI95" i="5"/>
  <c r="BH95" i="5"/>
  <c r="BG95" i="5"/>
  <c r="BF95" i="5"/>
  <c r="BE95" i="5"/>
  <c r="BD95" i="5"/>
  <c r="BC95" i="5"/>
  <c r="BB95" i="5"/>
  <c r="BA95" i="5"/>
  <c r="AZ95" i="5"/>
  <c r="AX95" i="5"/>
  <c r="AY95" i="5" s="1"/>
  <c r="AW95" i="5"/>
  <c r="AV95" i="5"/>
  <c r="AU95" i="5"/>
  <c r="AT95" i="5"/>
  <c r="AS95" i="5"/>
  <c r="AR95" i="5"/>
  <c r="DH94" i="5"/>
  <c r="DG94" i="5"/>
  <c r="DA94" i="5"/>
  <c r="CX94" i="5"/>
  <c r="CH94" i="5"/>
  <c r="CG94" i="5"/>
  <c r="CF94" i="5"/>
  <c r="CD94" i="5"/>
  <c r="CE94" i="5" s="1"/>
  <c r="CC94" i="5"/>
  <c r="CB94" i="5"/>
  <c r="CA94" i="5"/>
  <c r="BZ94" i="5"/>
  <c r="BY94" i="5"/>
  <c r="BX94" i="5"/>
  <c r="BW94" i="5"/>
  <c r="BV94" i="5"/>
  <c r="BU94" i="5"/>
  <c r="BT94" i="5"/>
  <c r="BS94" i="5"/>
  <c r="BR94" i="5"/>
  <c r="BQ94" i="5"/>
  <c r="BP94" i="5"/>
  <c r="BO94" i="5"/>
  <c r="BN94" i="5"/>
  <c r="BM94" i="5"/>
  <c r="BL94" i="5"/>
  <c r="BK94" i="5"/>
  <c r="BJ94" i="5"/>
  <c r="BI94" i="5"/>
  <c r="BH94" i="5"/>
  <c r="BG94" i="5"/>
  <c r="BF94" i="5"/>
  <c r="BE94" i="5"/>
  <c r="BD94" i="5"/>
  <c r="BC94" i="5"/>
  <c r="BB94" i="5"/>
  <c r="BA94" i="5"/>
  <c r="AZ94" i="5"/>
  <c r="AX94" i="5"/>
  <c r="AY94" i="5" s="1"/>
  <c r="AW94" i="5"/>
  <c r="AV94" i="5"/>
  <c r="AU94" i="5"/>
  <c r="AT94" i="5"/>
  <c r="AS94" i="5"/>
  <c r="AR94" i="5"/>
  <c r="DH93" i="5"/>
  <c r="DG93" i="5"/>
  <c r="DA93" i="5"/>
  <c r="CX93" i="5"/>
  <c r="CH93" i="5"/>
  <c r="CG93" i="5"/>
  <c r="CF93" i="5"/>
  <c r="CE93" i="5"/>
  <c r="CK93" i="5" s="1"/>
  <c r="CD93" i="5"/>
  <c r="CC93" i="5"/>
  <c r="CB93" i="5"/>
  <c r="CA93" i="5"/>
  <c r="BZ93" i="5"/>
  <c r="BY93" i="5"/>
  <c r="BX93" i="5"/>
  <c r="BW93" i="5"/>
  <c r="BV93" i="5"/>
  <c r="BU93" i="5"/>
  <c r="BT93" i="5"/>
  <c r="BS93" i="5"/>
  <c r="BR93" i="5"/>
  <c r="BQ93" i="5"/>
  <c r="BP93" i="5"/>
  <c r="BO93" i="5"/>
  <c r="BN93" i="5"/>
  <c r="BM93" i="5"/>
  <c r="BL93" i="5"/>
  <c r="BK93" i="5"/>
  <c r="BJ93" i="5"/>
  <c r="BI93" i="5"/>
  <c r="BH93" i="5"/>
  <c r="BG93" i="5"/>
  <c r="BF93" i="5"/>
  <c r="BE93" i="5"/>
  <c r="BD93" i="5"/>
  <c r="BC93" i="5"/>
  <c r="BB93" i="5"/>
  <c r="BA93" i="5"/>
  <c r="AZ93" i="5"/>
  <c r="AX93" i="5"/>
  <c r="AY93" i="5" s="1"/>
  <c r="AW93" i="5"/>
  <c r="AV93" i="5"/>
  <c r="AU93" i="5"/>
  <c r="AT93" i="5"/>
  <c r="AS93" i="5"/>
  <c r="AR93" i="5"/>
  <c r="DH92" i="5"/>
  <c r="DG92" i="5"/>
  <c r="DA92" i="5"/>
  <c r="CX92" i="5"/>
  <c r="CL92" i="5"/>
  <c r="CM92" i="5" s="1"/>
  <c r="CK92" i="5"/>
  <c r="CH92" i="5"/>
  <c r="CG92" i="5"/>
  <c r="CF92" i="5"/>
  <c r="CD92" i="5"/>
  <c r="CE92" i="5" s="1"/>
  <c r="CI92" i="5" s="1"/>
  <c r="CJ92" i="5" s="1"/>
  <c r="CC92" i="5"/>
  <c r="CB92" i="5"/>
  <c r="CA92" i="5"/>
  <c r="BZ92" i="5"/>
  <c r="BY92" i="5"/>
  <c r="BX92" i="5"/>
  <c r="BW92" i="5"/>
  <c r="BV92" i="5"/>
  <c r="BU92" i="5"/>
  <c r="BT92" i="5"/>
  <c r="BS92" i="5"/>
  <c r="BR92" i="5"/>
  <c r="BQ92" i="5"/>
  <c r="BP92" i="5"/>
  <c r="BO92" i="5"/>
  <c r="BN92" i="5"/>
  <c r="BM92" i="5"/>
  <c r="BL92" i="5"/>
  <c r="BK92" i="5"/>
  <c r="BJ92" i="5"/>
  <c r="BI92" i="5"/>
  <c r="BH92" i="5"/>
  <c r="BG92" i="5"/>
  <c r="BF92" i="5"/>
  <c r="BE92" i="5"/>
  <c r="BD92" i="5"/>
  <c r="BC92" i="5"/>
  <c r="BB92" i="5"/>
  <c r="BA92" i="5"/>
  <c r="AZ92" i="5"/>
  <c r="AY92" i="5"/>
  <c r="AX92" i="5"/>
  <c r="AW92" i="5"/>
  <c r="AV92" i="5"/>
  <c r="AU92" i="5"/>
  <c r="AT92" i="5"/>
  <c r="AS92" i="5"/>
  <c r="AR92" i="5"/>
  <c r="DH91" i="5"/>
  <c r="DG91" i="5"/>
  <c r="DA91" i="5"/>
  <c r="CX91" i="5"/>
  <c r="CK91" i="5"/>
  <c r="CJ91" i="5"/>
  <c r="CL91" i="5" s="1"/>
  <c r="CM91" i="5" s="1"/>
  <c r="CI91" i="5"/>
  <c r="CG91" i="5"/>
  <c r="CF91" i="5"/>
  <c r="CE91" i="5"/>
  <c r="CD91" i="5"/>
  <c r="CH91" i="5" s="1"/>
  <c r="CC91" i="5"/>
  <c r="CB91" i="5"/>
  <c r="CA91" i="5"/>
  <c r="BZ91" i="5"/>
  <c r="BY91" i="5"/>
  <c r="BX91" i="5"/>
  <c r="BW91" i="5"/>
  <c r="BV91" i="5"/>
  <c r="BU91" i="5"/>
  <c r="BT91" i="5"/>
  <c r="BS91" i="5"/>
  <c r="BR91" i="5"/>
  <c r="BQ91" i="5"/>
  <c r="BP91" i="5"/>
  <c r="BO91" i="5"/>
  <c r="BN91" i="5"/>
  <c r="BM91" i="5"/>
  <c r="BL91" i="5"/>
  <c r="BK91" i="5"/>
  <c r="BJ91" i="5"/>
  <c r="BI91" i="5"/>
  <c r="BH91" i="5"/>
  <c r="BG91" i="5"/>
  <c r="BF91" i="5"/>
  <c r="BE91" i="5"/>
  <c r="BD91" i="5"/>
  <c r="BC91" i="5"/>
  <c r="BB91" i="5"/>
  <c r="BA91" i="5"/>
  <c r="AZ91" i="5"/>
  <c r="AY91" i="5"/>
  <c r="AX91" i="5"/>
  <c r="AW91" i="5"/>
  <c r="AV91" i="5"/>
  <c r="AU91" i="5"/>
  <c r="AT91" i="5"/>
  <c r="AS91" i="5"/>
  <c r="AR91" i="5"/>
  <c r="DH90" i="5"/>
  <c r="DG90" i="5"/>
  <c r="DA90" i="5"/>
  <c r="CX90" i="5"/>
  <c r="CG90" i="5"/>
  <c r="CF90" i="5"/>
  <c r="CD90" i="5"/>
  <c r="CH90" i="5" s="1"/>
  <c r="CC90" i="5"/>
  <c r="CB90" i="5"/>
  <c r="CA90" i="5"/>
  <c r="BZ90" i="5"/>
  <c r="BY90" i="5"/>
  <c r="BX90" i="5"/>
  <c r="BW90" i="5"/>
  <c r="BV90" i="5"/>
  <c r="BU90" i="5"/>
  <c r="BT90" i="5"/>
  <c r="BS90" i="5"/>
  <c r="BR90" i="5"/>
  <c r="BQ90" i="5"/>
  <c r="BP90" i="5"/>
  <c r="BO90" i="5"/>
  <c r="BN90" i="5"/>
  <c r="BM90" i="5"/>
  <c r="BL90" i="5"/>
  <c r="BK90" i="5"/>
  <c r="BJ90" i="5"/>
  <c r="BI90" i="5"/>
  <c r="BH90" i="5"/>
  <c r="BG90" i="5"/>
  <c r="BF90" i="5"/>
  <c r="BE90" i="5"/>
  <c r="BD90" i="5"/>
  <c r="BC90" i="5"/>
  <c r="BB90" i="5"/>
  <c r="BA90" i="5"/>
  <c r="AZ90" i="5"/>
  <c r="AY90" i="5"/>
  <c r="AX90" i="5"/>
  <c r="AW90" i="5"/>
  <c r="AV90" i="5"/>
  <c r="AU90" i="5"/>
  <c r="AT90" i="5"/>
  <c r="AS90" i="5"/>
  <c r="AR90" i="5"/>
  <c r="DH89" i="5"/>
  <c r="DG89" i="5"/>
  <c r="DA89" i="5"/>
  <c r="CX89" i="5"/>
  <c r="CK89" i="5"/>
  <c r="CJ89" i="5"/>
  <c r="CL89" i="5" s="1"/>
  <c r="CM89" i="5" s="1"/>
  <c r="CI89" i="5"/>
  <c r="CH89" i="5"/>
  <c r="CG89" i="5"/>
  <c r="CF89" i="5"/>
  <c r="CE89" i="5"/>
  <c r="CD89" i="5"/>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Y89" i="5"/>
  <c r="AX89" i="5"/>
  <c r="AW89" i="5"/>
  <c r="AV89" i="5"/>
  <c r="AU89" i="5"/>
  <c r="AT89" i="5"/>
  <c r="AS89" i="5"/>
  <c r="AR89" i="5"/>
  <c r="DH88" i="5"/>
  <c r="DG88" i="5"/>
  <c r="DA88" i="5"/>
  <c r="CX88" i="5"/>
  <c r="CK88" i="5"/>
  <c r="CI88" i="5"/>
  <c r="CJ88" i="5" s="1"/>
  <c r="CL88" i="5" s="1"/>
  <c r="CM88" i="5" s="1"/>
  <c r="CG88" i="5"/>
  <c r="CF88" i="5"/>
  <c r="CE88" i="5"/>
  <c r="CD88" i="5"/>
  <c r="CH88" i="5" s="1"/>
  <c r="CC88" i="5"/>
  <c r="CB88" i="5"/>
  <c r="CA88" i="5"/>
  <c r="BZ88" i="5"/>
  <c r="BY88" i="5"/>
  <c r="BX88" i="5"/>
  <c r="BW88" i="5"/>
  <c r="BV88" i="5"/>
  <c r="BU88" i="5"/>
  <c r="BT88" i="5"/>
  <c r="BS88" i="5"/>
  <c r="BR88" i="5"/>
  <c r="BQ88" i="5"/>
  <c r="BP88" i="5"/>
  <c r="BO88" i="5"/>
  <c r="BN88" i="5"/>
  <c r="BM88" i="5"/>
  <c r="BL88" i="5"/>
  <c r="BK88" i="5"/>
  <c r="BJ88" i="5"/>
  <c r="BI88" i="5"/>
  <c r="BH88" i="5"/>
  <c r="BG88" i="5"/>
  <c r="BF88" i="5"/>
  <c r="BE88" i="5"/>
  <c r="BD88" i="5"/>
  <c r="BC88" i="5"/>
  <c r="BB88" i="5"/>
  <c r="BA88" i="5"/>
  <c r="AZ88" i="5"/>
  <c r="AY88" i="5"/>
  <c r="AX88" i="5"/>
  <c r="AW88" i="5"/>
  <c r="AV88" i="5"/>
  <c r="AU88" i="5"/>
  <c r="AT88" i="5"/>
  <c r="AS88" i="5"/>
  <c r="AR88" i="5"/>
  <c r="DH87" i="5"/>
  <c r="DG87" i="5"/>
  <c r="DA87" i="5"/>
  <c r="CX87" i="5"/>
  <c r="CG87" i="5"/>
  <c r="CF87" i="5"/>
  <c r="CD87" i="5"/>
  <c r="CH87" i="5" s="1"/>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Y87" i="5"/>
  <c r="AX87" i="5"/>
  <c r="AW87" i="5"/>
  <c r="AV87" i="5"/>
  <c r="AU87" i="5"/>
  <c r="AT87" i="5"/>
  <c r="AS87" i="5"/>
  <c r="AR87" i="5"/>
  <c r="DH86" i="5"/>
  <c r="DG86" i="5"/>
  <c r="DA86" i="5"/>
  <c r="CX86" i="5"/>
  <c r="CK86" i="5"/>
  <c r="CH86" i="5"/>
  <c r="CG86" i="5"/>
  <c r="CF86" i="5"/>
  <c r="CE86" i="5"/>
  <c r="CI86" i="5" s="1"/>
  <c r="CJ86" i="5" s="1"/>
  <c r="CL86" i="5" s="1"/>
  <c r="CM86" i="5" s="1"/>
  <c r="CD86" i="5"/>
  <c r="CC86" i="5"/>
  <c r="CB86" i="5"/>
  <c r="CA86" i="5"/>
  <c r="BZ86" i="5"/>
  <c r="BY86" i="5"/>
  <c r="BX86" i="5"/>
  <c r="BW86" i="5"/>
  <c r="BV86" i="5"/>
  <c r="BU86" i="5"/>
  <c r="BT86" i="5"/>
  <c r="BS86" i="5"/>
  <c r="BR86" i="5"/>
  <c r="BQ86" i="5"/>
  <c r="BP86" i="5"/>
  <c r="BO86" i="5"/>
  <c r="BN86" i="5"/>
  <c r="BM86" i="5"/>
  <c r="BL86" i="5"/>
  <c r="BK86" i="5"/>
  <c r="BJ86" i="5"/>
  <c r="BI86" i="5"/>
  <c r="BH86" i="5"/>
  <c r="BG86" i="5"/>
  <c r="BF86" i="5"/>
  <c r="BE86" i="5"/>
  <c r="BD86" i="5"/>
  <c r="BC86" i="5"/>
  <c r="BB86" i="5"/>
  <c r="BA86" i="5"/>
  <c r="AZ86" i="5"/>
  <c r="AY86" i="5"/>
  <c r="AX86" i="5"/>
  <c r="AW86" i="5"/>
  <c r="AV86" i="5"/>
  <c r="AU86" i="5"/>
  <c r="AT86" i="5"/>
  <c r="AS86" i="5"/>
  <c r="AR86" i="5"/>
  <c r="DH85" i="5"/>
  <c r="DG85" i="5"/>
  <c r="DA85" i="5"/>
  <c r="CX85" i="5"/>
  <c r="CK85" i="5"/>
  <c r="CJ85" i="5"/>
  <c r="CL85" i="5" s="1"/>
  <c r="CM85" i="5" s="1"/>
  <c r="CG85" i="5"/>
  <c r="CF85" i="5"/>
  <c r="CE85" i="5"/>
  <c r="CD85" i="5"/>
  <c r="CH85" i="5" s="1"/>
  <c r="CI85" i="5" s="1"/>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Y85" i="5"/>
  <c r="AX85" i="5"/>
  <c r="AW85" i="5"/>
  <c r="AV85" i="5"/>
  <c r="AU85" i="5"/>
  <c r="AT85" i="5"/>
  <c r="AS85" i="5"/>
  <c r="AR85" i="5"/>
  <c r="DH84" i="5"/>
  <c r="DG84" i="5"/>
  <c r="DA84" i="5"/>
  <c r="CX84" i="5"/>
  <c r="CG84" i="5"/>
  <c r="CF84" i="5"/>
  <c r="CE84" i="5"/>
  <c r="CD84" i="5"/>
  <c r="CH84" i="5" s="1"/>
  <c r="CC84" i="5"/>
  <c r="CB84" i="5"/>
  <c r="CA84" i="5"/>
  <c r="BZ84" i="5"/>
  <c r="BY84" i="5"/>
  <c r="BX84" i="5"/>
  <c r="BW84" i="5"/>
  <c r="BV84" i="5"/>
  <c r="BU84" i="5"/>
  <c r="BT84" i="5"/>
  <c r="BS84" i="5"/>
  <c r="BR84" i="5"/>
  <c r="BQ84" i="5"/>
  <c r="BP84" i="5"/>
  <c r="BO84" i="5"/>
  <c r="BN84" i="5"/>
  <c r="BM84" i="5"/>
  <c r="BL84" i="5"/>
  <c r="BK84" i="5"/>
  <c r="BJ84" i="5"/>
  <c r="BI84" i="5"/>
  <c r="BH84" i="5"/>
  <c r="BG84" i="5"/>
  <c r="BF84" i="5"/>
  <c r="BE84" i="5"/>
  <c r="BD84" i="5"/>
  <c r="BC84" i="5"/>
  <c r="BB84" i="5"/>
  <c r="BA84" i="5"/>
  <c r="AZ84" i="5"/>
  <c r="AY84" i="5"/>
  <c r="AX84" i="5"/>
  <c r="AW84" i="5"/>
  <c r="AV84" i="5"/>
  <c r="AU84" i="5"/>
  <c r="AT84" i="5"/>
  <c r="AS84" i="5"/>
  <c r="AR84" i="5"/>
  <c r="DH83" i="5"/>
  <c r="DG83" i="5"/>
  <c r="DA83" i="5"/>
  <c r="CX83" i="5"/>
  <c r="CH83" i="5"/>
  <c r="CG83" i="5"/>
  <c r="CF83" i="5"/>
  <c r="CE83" i="5"/>
  <c r="CK83" i="5" s="1"/>
  <c r="CD83" i="5"/>
  <c r="CC83" i="5"/>
  <c r="CB83" i="5"/>
  <c r="CA83" i="5"/>
  <c r="BZ83" i="5"/>
  <c r="BY83" i="5"/>
  <c r="BX83" i="5"/>
  <c r="BW83" i="5"/>
  <c r="BV83" i="5"/>
  <c r="BU83" i="5"/>
  <c r="BT83" i="5"/>
  <c r="BS83" i="5"/>
  <c r="BR83" i="5"/>
  <c r="BQ83" i="5"/>
  <c r="BP83" i="5"/>
  <c r="BO83" i="5"/>
  <c r="BN83" i="5"/>
  <c r="BM83" i="5"/>
  <c r="BL83" i="5"/>
  <c r="BK83" i="5"/>
  <c r="BJ83" i="5"/>
  <c r="BI83" i="5"/>
  <c r="BH83" i="5"/>
  <c r="BG83" i="5"/>
  <c r="BF83" i="5"/>
  <c r="BE83" i="5"/>
  <c r="BD83" i="5"/>
  <c r="BC83" i="5"/>
  <c r="BB83" i="5"/>
  <c r="BA83" i="5"/>
  <c r="AZ83" i="5"/>
  <c r="AX83" i="5"/>
  <c r="AY83" i="5" s="1"/>
  <c r="AW83" i="5"/>
  <c r="AV83" i="5"/>
  <c r="AU83" i="5"/>
  <c r="AT83" i="5"/>
  <c r="AS83" i="5"/>
  <c r="AR83" i="5"/>
  <c r="DH82" i="5"/>
  <c r="DG82" i="5"/>
  <c r="DA82" i="5"/>
  <c r="CX82" i="5"/>
  <c r="CK82" i="5"/>
  <c r="CG82" i="5"/>
  <c r="CF82" i="5"/>
  <c r="CE82" i="5"/>
  <c r="CD82" i="5"/>
  <c r="CH82" i="5" s="1"/>
  <c r="CI82" i="5" s="1"/>
  <c r="CJ82" i="5" s="1"/>
  <c r="CL82" i="5" s="1"/>
  <c r="CM82" i="5" s="1"/>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Y82" i="5"/>
  <c r="AX82" i="5"/>
  <c r="AW82" i="5"/>
  <c r="AV82" i="5"/>
  <c r="AU82" i="5"/>
  <c r="AT82" i="5"/>
  <c r="AS82" i="5"/>
  <c r="AR82" i="5"/>
  <c r="DH81" i="5"/>
  <c r="DG81" i="5"/>
  <c r="DA81" i="5"/>
  <c r="CX81" i="5"/>
  <c r="CG81" i="5"/>
  <c r="CF81" i="5"/>
  <c r="CD81" i="5"/>
  <c r="CH81" i="5" s="1"/>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Y81" i="5"/>
  <c r="AX81" i="5"/>
  <c r="AW81" i="5"/>
  <c r="AV81" i="5"/>
  <c r="AU81" i="5"/>
  <c r="AT81" i="5"/>
  <c r="AS81" i="5"/>
  <c r="AR81" i="5"/>
  <c r="DH80" i="5"/>
  <c r="DG80" i="5"/>
  <c r="DA80" i="5"/>
  <c r="CX80" i="5"/>
  <c r="CH80" i="5"/>
  <c r="CG80" i="5"/>
  <c r="CF80" i="5"/>
  <c r="CE80" i="5"/>
  <c r="CK80" i="5" s="1"/>
  <c r="CD80" i="5"/>
  <c r="CC80" i="5"/>
  <c r="CB80" i="5"/>
  <c r="CA80" i="5"/>
  <c r="BZ80" i="5"/>
  <c r="BY80" i="5"/>
  <c r="BX80" i="5"/>
  <c r="BW80" i="5"/>
  <c r="BV80" i="5"/>
  <c r="BU80" i="5"/>
  <c r="BT80" i="5"/>
  <c r="BS80" i="5"/>
  <c r="BR80" i="5"/>
  <c r="BQ80" i="5"/>
  <c r="BP80" i="5"/>
  <c r="BO80" i="5"/>
  <c r="BN80" i="5"/>
  <c r="BM80" i="5"/>
  <c r="BL80" i="5"/>
  <c r="BK80" i="5"/>
  <c r="BJ80" i="5"/>
  <c r="BI80" i="5"/>
  <c r="BH80" i="5"/>
  <c r="BG80" i="5"/>
  <c r="BF80" i="5"/>
  <c r="BE80" i="5"/>
  <c r="BD80" i="5"/>
  <c r="BC80" i="5"/>
  <c r="BB80" i="5"/>
  <c r="BA80" i="5"/>
  <c r="AZ80" i="5"/>
  <c r="AX80" i="5"/>
  <c r="AY80" i="5" s="1"/>
  <c r="AW80" i="5"/>
  <c r="AV80" i="5"/>
  <c r="AU80" i="5"/>
  <c r="AT80" i="5"/>
  <c r="AS80" i="5"/>
  <c r="AR80" i="5"/>
  <c r="DH79" i="5"/>
  <c r="DG79" i="5"/>
  <c r="DA79" i="5"/>
  <c r="CX79" i="5"/>
  <c r="CK79" i="5"/>
  <c r="CG79" i="5"/>
  <c r="CF79" i="5"/>
  <c r="CE79" i="5"/>
  <c r="CD79" i="5"/>
  <c r="CH79" i="5" s="1"/>
  <c r="CI79" i="5" s="1"/>
  <c r="CJ79" i="5" s="1"/>
  <c r="CL79" i="5" s="1"/>
  <c r="CM79" i="5" s="1"/>
  <c r="CR79" i="5" s="1"/>
  <c r="CC79" i="5"/>
  <c r="CB79" i="5"/>
  <c r="CA79" i="5"/>
  <c r="BZ79" i="5"/>
  <c r="BY79" i="5"/>
  <c r="BX79" i="5"/>
  <c r="BW79" i="5"/>
  <c r="BV79" i="5"/>
  <c r="BU79" i="5"/>
  <c r="BT79" i="5"/>
  <c r="BS79" i="5"/>
  <c r="BR79" i="5"/>
  <c r="BQ79" i="5"/>
  <c r="BP79" i="5"/>
  <c r="BO79" i="5"/>
  <c r="BN79" i="5"/>
  <c r="BM79" i="5"/>
  <c r="BL79" i="5"/>
  <c r="BK79" i="5"/>
  <c r="BJ79" i="5"/>
  <c r="BI79" i="5"/>
  <c r="BH79" i="5"/>
  <c r="BG79" i="5"/>
  <c r="BF79" i="5"/>
  <c r="BE79" i="5"/>
  <c r="BD79" i="5"/>
  <c r="BC79" i="5"/>
  <c r="BB79" i="5"/>
  <c r="BA79" i="5"/>
  <c r="AZ79" i="5"/>
  <c r="AY79" i="5"/>
  <c r="AX79" i="5"/>
  <c r="AW79" i="5"/>
  <c r="AV79" i="5"/>
  <c r="AU79" i="5"/>
  <c r="AT79" i="5"/>
  <c r="AS79" i="5"/>
  <c r="AR79" i="5"/>
  <c r="DH78" i="5"/>
  <c r="DG78" i="5"/>
  <c r="DA78" i="5"/>
  <c r="CX78" i="5"/>
  <c r="CG78" i="5"/>
  <c r="CF78" i="5"/>
  <c r="CE78" i="5"/>
  <c r="CD78" i="5"/>
  <c r="CH78" i="5" s="1"/>
  <c r="CC78" i="5"/>
  <c r="CB78" i="5"/>
  <c r="CA78" i="5"/>
  <c r="BZ78" i="5"/>
  <c r="BY78" i="5"/>
  <c r="BX78" i="5"/>
  <c r="BW78" i="5"/>
  <c r="BV78" i="5"/>
  <c r="BU78" i="5"/>
  <c r="BT78" i="5"/>
  <c r="BS78" i="5"/>
  <c r="BR78" i="5"/>
  <c r="BQ78" i="5"/>
  <c r="BP78" i="5"/>
  <c r="BO78" i="5"/>
  <c r="BN78" i="5"/>
  <c r="BM78" i="5"/>
  <c r="BL78" i="5"/>
  <c r="BK78" i="5"/>
  <c r="BJ78" i="5"/>
  <c r="BI78" i="5"/>
  <c r="BH78" i="5"/>
  <c r="BG78" i="5"/>
  <c r="BF78" i="5"/>
  <c r="BE78" i="5"/>
  <c r="BD78" i="5"/>
  <c r="BC78" i="5"/>
  <c r="BB78" i="5"/>
  <c r="BA78" i="5"/>
  <c r="AZ78" i="5"/>
  <c r="AY78" i="5"/>
  <c r="AX78" i="5"/>
  <c r="AW78" i="5"/>
  <c r="AV78" i="5"/>
  <c r="AU78" i="5"/>
  <c r="AT78" i="5"/>
  <c r="AS78" i="5"/>
  <c r="AR78" i="5"/>
  <c r="DH77" i="5"/>
  <c r="DG77" i="5"/>
  <c r="DA77" i="5"/>
  <c r="CX77" i="5"/>
  <c r="CH77" i="5"/>
  <c r="CG77" i="5"/>
  <c r="CF77" i="5"/>
  <c r="CE77" i="5"/>
  <c r="CD77" i="5"/>
  <c r="CC77" i="5"/>
  <c r="CB77" i="5"/>
  <c r="CA77" i="5"/>
  <c r="BZ77" i="5"/>
  <c r="BY77" i="5"/>
  <c r="BX77" i="5"/>
  <c r="BW77" i="5"/>
  <c r="BV77" i="5"/>
  <c r="BU77" i="5"/>
  <c r="BT77" i="5"/>
  <c r="BS77" i="5"/>
  <c r="BR77" i="5"/>
  <c r="BQ77" i="5"/>
  <c r="BP77" i="5"/>
  <c r="BO77" i="5"/>
  <c r="BN77" i="5"/>
  <c r="BM77" i="5"/>
  <c r="BL77" i="5"/>
  <c r="BK77" i="5"/>
  <c r="BJ77" i="5"/>
  <c r="BI77" i="5"/>
  <c r="BH77" i="5"/>
  <c r="BG77" i="5"/>
  <c r="BF77" i="5"/>
  <c r="BE77" i="5"/>
  <c r="BD77" i="5"/>
  <c r="BC77" i="5"/>
  <c r="BB77" i="5"/>
  <c r="BA77" i="5"/>
  <c r="AZ77" i="5"/>
  <c r="AY77" i="5"/>
  <c r="AX77" i="5"/>
  <c r="AW77" i="5"/>
  <c r="AV77" i="5"/>
  <c r="AU77" i="5"/>
  <c r="AT77" i="5"/>
  <c r="AS77" i="5"/>
  <c r="AR77" i="5"/>
  <c r="DH76" i="5"/>
  <c r="DG76" i="5"/>
  <c r="DA76" i="5"/>
  <c r="CX76" i="5"/>
  <c r="CK76" i="5"/>
  <c r="CG76" i="5"/>
  <c r="CF76" i="5"/>
  <c r="CE76" i="5"/>
  <c r="CD76" i="5"/>
  <c r="CH76" i="5" s="1"/>
  <c r="CI76" i="5" s="1"/>
  <c r="CJ76" i="5" s="1"/>
  <c r="CL76" i="5" s="1"/>
  <c r="CM76" i="5" s="1"/>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Y76" i="5"/>
  <c r="AX76" i="5"/>
  <c r="AW76" i="5"/>
  <c r="AV76" i="5"/>
  <c r="AU76" i="5"/>
  <c r="AT76" i="5"/>
  <c r="AS76" i="5"/>
  <c r="AR76" i="5"/>
  <c r="DH75" i="5"/>
  <c r="DG75" i="5"/>
  <c r="DA75" i="5"/>
  <c r="CX75" i="5"/>
  <c r="CG75" i="5"/>
  <c r="CF75" i="5"/>
  <c r="CD75" i="5"/>
  <c r="CH75" i="5" s="1"/>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Y75" i="5"/>
  <c r="AX75" i="5"/>
  <c r="AW75" i="5"/>
  <c r="AV75" i="5"/>
  <c r="AU75" i="5"/>
  <c r="AT75" i="5"/>
  <c r="AS75" i="5"/>
  <c r="AR75" i="5"/>
  <c r="DH74" i="5"/>
  <c r="DG74" i="5"/>
  <c r="DA74" i="5"/>
  <c r="CX74" i="5"/>
  <c r="CK74" i="5"/>
  <c r="CH74" i="5"/>
  <c r="CI74" i="5" s="1"/>
  <c r="CJ74" i="5" s="1"/>
  <c r="CL74" i="5" s="1"/>
  <c r="CM74" i="5" s="1"/>
  <c r="CG74" i="5"/>
  <c r="CF74" i="5"/>
  <c r="CE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X74" i="5"/>
  <c r="AY74" i="5" s="1"/>
  <c r="AW74" i="5"/>
  <c r="AV74" i="5"/>
  <c r="AU74" i="5"/>
  <c r="AT74" i="5"/>
  <c r="AS74" i="5"/>
  <c r="AR74" i="5"/>
  <c r="DH73" i="5"/>
  <c r="DG73" i="5"/>
  <c r="DA73" i="5"/>
  <c r="CX73" i="5"/>
  <c r="CK73" i="5"/>
  <c r="CJ73" i="5"/>
  <c r="CL73" i="5" s="1"/>
  <c r="CM73" i="5" s="1"/>
  <c r="CI73" i="5"/>
  <c r="CG73" i="5"/>
  <c r="CF73" i="5"/>
  <c r="CE73" i="5"/>
  <c r="CD73" i="5"/>
  <c r="CH73" i="5" s="1"/>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Y73" i="5"/>
  <c r="AX73" i="5"/>
  <c r="AW73" i="5"/>
  <c r="AV73" i="5"/>
  <c r="AU73" i="5"/>
  <c r="AT73" i="5"/>
  <c r="AS73" i="5"/>
  <c r="AR73" i="5"/>
  <c r="DH72" i="5"/>
  <c r="DG72" i="5"/>
  <c r="DA72" i="5"/>
  <c r="CX72" i="5"/>
  <c r="CG72" i="5"/>
  <c r="CF72" i="5"/>
  <c r="CD72" i="5"/>
  <c r="CH72" i="5" s="1"/>
  <c r="CC72" i="5"/>
  <c r="CB72" i="5"/>
  <c r="CA72" i="5"/>
  <c r="BZ72" i="5"/>
  <c r="BY72" i="5"/>
  <c r="BX72" i="5"/>
  <c r="BW72" i="5"/>
  <c r="BV72" i="5"/>
  <c r="BU72" i="5"/>
  <c r="BT72" i="5"/>
  <c r="BS72" i="5"/>
  <c r="BR72" i="5"/>
  <c r="BQ72" i="5"/>
  <c r="BP72" i="5"/>
  <c r="BO72" i="5"/>
  <c r="BN72" i="5"/>
  <c r="BM72" i="5"/>
  <c r="BL72" i="5"/>
  <c r="BK72" i="5"/>
  <c r="BJ72" i="5"/>
  <c r="BI72" i="5"/>
  <c r="BH72" i="5"/>
  <c r="BG72" i="5"/>
  <c r="BF72" i="5"/>
  <c r="BE72" i="5"/>
  <c r="BD72" i="5"/>
  <c r="BC72" i="5"/>
  <c r="BB72" i="5"/>
  <c r="BA72" i="5"/>
  <c r="AZ72" i="5"/>
  <c r="AY72" i="5"/>
  <c r="AX72" i="5"/>
  <c r="AW72" i="5"/>
  <c r="AV72" i="5"/>
  <c r="AU72" i="5"/>
  <c r="AT72" i="5"/>
  <c r="AS72" i="5"/>
  <c r="AR72" i="5"/>
  <c r="DH71" i="5"/>
  <c r="DG71" i="5"/>
  <c r="DA71" i="5"/>
  <c r="CX71" i="5"/>
  <c r="CK71" i="5"/>
  <c r="CJ71" i="5"/>
  <c r="CL71" i="5" s="1"/>
  <c r="CM71" i="5" s="1"/>
  <c r="CI71" i="5"/>
  <c r="CH71" i="5"/>
  <c r="CG71" i="5"/>
  <c r="CF71" i="5"/>
  <c r="CE71" i="5"/>
  <c r="CD71" i="5"/>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Y71" i="5"/>
  <c r="AX71" i="5"/>
  <c r="AW71" i="5"/>
  <c r="AV71" i="5"/>
  <c r="AU71" i="5"/>
  <c r="AT71" i="5"/>
  <c r="AS71" i="5"/>
  <c r="AR71" i="5"/>
  <c r="DH70" i="5"/>
  <c r="DG70" i="5"/>
  <c r="DA70" i="5"/>
  <c r="CX70" i="5"/>
  <c r="CK70" i="5"/>
  <c r="CI70" i="5"/>
  <c r="CJ70" i="5" s="1"/>
  <c r="CL70" i="5" s="1"/>
  <c r="CM70" i="5" s="1"/>
  <c r="CG70" i="5"/>
  <c r="CF70" i="5"/>
  <c r="CE70" i="5"/>
  <c r="CD70" i="5"/>
  <c r="CH70" i="5" s="1"/>
  <c r="CC70" i="5"/>
  <c r="CB70" i="5"/>
  <c r="CA70" i="5"/>
  <c r="BZ70" i="5"/>
  <c r="BY70" i="5"/>
  <c r="BX70" i="5"/>
  <c r="BW70" i="5"/>
  <c r="BV70" i="5"/>
  <c r="BU70" i="5"/>
  <c r="BT70" i="5"/>
  <c r="BS70" i="5"/>
  <c r="BR70" i="5"/>
  <c r="BQ70" i="5"/>
  <c r="BP70" i="5"/>
  <c r="BO70" i="5"/>
  <c r="BN70" i="5"/>
  <c r="BM70" i="5"/>
  <c r="BL70" i="5"/>
  <c r="BK70" i="5"/>
  <c r="BJ70" i="5"/>
  <c r="BI70" i="5"/>
  <c r="BH70" i="5"/>
  <c r="BG70" i="5"/>
  <c r="BF70" i="5"/>
  <c r="BE70" i="5"/>
  <c r="BD70" i="5"/>
  <c r="BC70" i="5"/>
  <c r="BB70" i="5"/>
  <c r="BA70" i="5"/>
  <c r="AZ70" i="5"/>
  <c r="AY70" i="5"/>
  <c r="AX70" i="5"/>
  <c r="AW70" i="5"/>
  <c r="AV70" i="5"/>
  <c r="AU70" i="5"/>
  <c r="AT70" i="5"/>
  <c r="AS70" i="5"/>
  <c r="AR70" i="5"/>
  <c r="DH69" i="5"/>
  <c r="DG69" i="5"/>
  <c r="DA69" i="5"/>
  <c r="CX69" i="5"/>
  <c r="CG69" i="5"/>
  <c r="CF69" i="5"/>
  <c r="CD69" i="5"/>
  <c r="CH69" i="5" s="1"/>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Y69" i="5"/>
  <c r="AX69" i="5"/>
  <c r="AW69" i="5"/>
  <c r="AV69" i="5"/>
  <c r="AU69" i="5"/>
  <c r="AT69" i="5"/>
  <c r="AS69" i="5"/>
  <c r="AR69" i="5"/>
  <c r="DH68" i="5"/>
  <c r="DG68" i="5"/>
  <c r="DA68" i="5"/>
  <c r="CX68" i="5"/>
  <c r="CK68" i="5"/>
  <c r="CH68" i="5"/>
  <c r="CG68" i="5"/>
  <c r="CF68" i="5"/>
  <c r="CE68" i="5"/>
  <c r="CI68" i="5" s="1"/>
  <c r="CJ68" i="5" s="1"/>
  <c r="CL68" i="5" s="1"/>
  <c r="CM68" i="5" s="1"/>
  <c r="CD68" i="5"/>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Y68" i="5"/>
  <c r="AX68" i="5"/>
  <c r="AW68" i="5"/>
  <c r="AV68" i="5"/>
  <c r="AU68" i="5"/>
  <c r="AT68" i="5"/>
  <c r="AS68" i="5"/>
  <c r="AR68" i="5"/>
  <c r="DH67" i="5"/>
  <c r="DG67" i="5"/>
  <c r="DA67" i="5"/>
  <c r="CX67" i="5"/>
  <c r="CK67" i="5"/>
  <c r="CG67" i="5"/>
  <c r="CF67" i="5"/>
  <c r="CE67" i="5"/>
  <c r="CD67" i="5"/>
  <c r="CH67" i="5" s="1"/>
  <c r="CI67" i="5" s="1"/>
  <c r="CJ67" i="5" s="1"/>
  <c r="CL67" i="5" s="1"/>
  <c r="CM67" i="5" s="1"/>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Y67" i="5"/>
  <c r="AX67" i="5"/>
  <c r="AW67" i="5"/>
  <c r="AV67" i="5"/>
  <c r="AU67" i="5"/>
  <c r="AT67" i="5"/>
  <c r="AS67" i="5"/>
  <c r="AR67" i="5"/>
  <c r="DH66" i="5"/>
  <c r="DG66" i="5"/>
  <c r="DA66" i="5"/>
  <c r="CX66" i="5"/>
  <c r="CG66" i="5"/>
  <c r="CF66" i="5"/>
  <c r="CD66" i="5"/>
  <c r="CH66" i="5" s="1"/>
  <c r="CC66" i="5"/>
  <c r="CB66" i="5"/>
  <c r="CA66" i="5"/>
  <c r="BZ66" i="5"/>
  <c r="BY66" i="5"/>
  <c r="BX66" i="5"/>
  <c r="BW66" i="5"/>
  <c r="BV66" i="5"/>
  <c r="BU66" i="5"/>
  <c r="BT66" i="5"/>
  <c r="BS66" i="5"/>
  <c r="BR66" i="5"/>
  <c r="BQ66" i="5"/>
  <c r="BP66" i="5"/>
  <c r="BO66" i="5"/>
  <c r="BN66" i="5"/>
  <c r="BM66" i="5"/>
  <c r="BL66" i="5"/>
  <c r="BK66" i="5"/>
  <c r="BJ66" i="5"/>
  <c r="BI66" i="5"/>
  <c r="BH66" i="5"/>
  <c r="BG66" i="5"/>
  <c r="BF66" i="5"/>
  <c r="BE66" i="5"/>
  <c r="BD66" i="5"/>
  <c r="BC66" i="5"/>
  <c r="BB66" i="5"/>
  <c r="BA66" i="5"/>
  <c r="AZ66" i="5"/>
  <c r="AY66" i="5"/>
  <c r="AX66" i="5"/>
  <c r="AW66" i="5"/>
  <c r="AV66" i="5"/>
  <c r="AU66" i="5"/>
  <c r="AT66" i="5"/>
  <c r="AS66" i="5"/>
  <c r="AR66" i="5"/>
  <c r="DH65" i="5"/>
  <c r="DG65" i="5"/>
  <c r="DA65" i="5"/>
  <c r="CX65" i="5"/>
  <c r="CH65" i="5"/>
  <c r="CG65" i="5"/>
  <c r="CF65" i="5"/>
  <c r="CE65" i="5"/>
  <c r="CK65" i="5" s="1"/>
  <c r="CD65" i="5"/>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X65" i="5"/>
  <c r="AY65" i="5" s="1"/>
  <c r="AW65" i="5"/>
  <c r="AV65" i="5"/>
  <c r="AU65" i="5"/>
  <c r="AT65" i="5"/>
  <c r="AS65" i="5"/>
  <c r="AR65" i="5"/>
  <c r="DH64" i="5"/>
  <c r="DG64" i="5"/>
  <c r="DA64" i="5"/>
  <c r="CX64" i="5"/>
  <c r="CL64" i="5"/>
  <c r="CM64" i="5" s="1"/>
  <c r="CK64" i="5"/>
  <c r="CG64" i="5"/>
  <c r="CF64" i="5"/>
  <c r="CE64" i="5"/>
  <c r="CD64" i="5"/>
  <c r="CH64" i="5" s="1"/>
  <c r="CI64" i="5" s="1"/>
  <c r="CJ64" i="5" s="1"/>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Y64" i="5"/>
  <c r="AX64" i="5"/>
  <c r="AW64" i="5"/>
  <c r="AV64" i="5"/>
  <c r="AU64" i="5"/>
  <c r="AT64" i="5"/>
  <c r="AS64" i="5"/>
  <c r="AR64" i="5"/>
  <c r="DH63" i="5"/>
  <c r="DG63" i="5"/>
  <c r="DA63" i="5"/>
  <c r="CX63" i="5"/>
  <c r="CG63" i="5"/>
  <c r="CF63" i="5"/>
  <c r="CD63" i="5"/>
  <c r="CH63" i="5" s="1"/>
  <c r="CC63" i="5"/>
  <c r="CB63" i="5"/>
  <c r="CA63" i="5"/>
  <c r="BZ63" i="5"/>
  <c r="BY63" i="5"/>
  <c r="BX63" i="5"/>
  <c r="BW63" i="5"/>
  <c r="BV63" i="5"/>
  <c r="BU63" i="5"/>
  <c r="BT63" i="5"/>
  <c r="BS63" i="5"/>
  <c r="BR63" i="5"/>
  <c r="BQ63" i="5"/>
  <c r="BP63" i="5"/>
  <c r="BO63" i="5"/>
  <c r="BN63" i="5"/>
  <c r="BM63" i="5"/>
  <c r="BL63" i="5"/>
  <c r="BK63" i="5"/>
  <c r="BJ63" i="5"/>
  <c r="BI63" i="5"/>
  <c r="BH63" i="5"/>
  <c r="BG63" i="5"/>
  <c r="BF63" i="5"/>
  <c r="BE63" i="5"/>
  <c r="BD63" i="5"/>
  <c r="BC63" i="5"/>
  <c r="BB63" i="5"/>
  <c r="BA63" i="5"/>
  <c r="AZ63" i="5"/>
  <c r="AY63" i="5"/>
  <c r="AX63" i="5"/>
  <c r="AW63" i="5"/>
  <c r="AV63" i="5"/>
  <c r="AU63" i="5"/>
  <c r="AT63" i="5"/>
  <c r="AS63" i="5"/>
  <c r="AR63" i="5"/>
  <c r="DH62" i="5"/>
  <c r="DG62" i="5"/>
  <c r="DA62" i="5"/>
  <c r="CX62" i="5"/>
  <c r="CH62" i="5"/>
  <c r="CG62" i="5"/>
  <c r="CF62" i="5"/>
  <c r="CE62" i="5"/>
  <c r="CI62" i="5" s="1"/>
  <c r="CJ62" i="5" s="1"/>
  <c r="CD62" i="5"/>
  <c r="CC62" i="5"/>
  <c r="CB62" i="5"/>
  <c r="CA62" i="5"/>
  <c r="BZ62" i="5"/>
  <c r="BY62" i="5"/>
  <c r="BX62" i="5"/>
  <c r="BW62" i="5"/>
  <c r="BV62" i="5"/>
  <c r="BU62" i="5"/>
  <c r="BT62" i="5"/>
  <c r="BS62" i="5"/>
  <c r="BR62" i="5"/>
  <c r="BQ62" i="5"/>
  <c r="BP62" i="5"/>
  <c r="BO62" i="5"/>
  <c r="BN62" i="5"/>
  <c r="BM62" i="5"/>
  <c r="BL62" i="5"/>
  <c r="BK62" i="5"/>
  <c r="BJ62" i="5"/>
  <c r="BI62" i="5"/>
  <c r="BH62" i="5"/>
  <c r="BG62" i="5"/>
  <c r="BF62" i="5"/>
  <c r="BE62" i="5"/>
  <c r="BD62" i="5"/>
  <c r="BC62" i="5"/>
  <c r="BB62" i="5"/>
  <c r="BA62" i="5"/>
  <c r="AZ62" i="5"/>
  <c r="AX62" i="5"/>
  <c r="AY62" i="5" s="1"/>
  <c r="AW62" i="5"/>
  <c r="AV62" i="5"/>
  <c r="AU62" i="5"/>
  <c r="AT62" i="5"/>
  <c r="AS62" i="5"/>
  <c r="AR62" i="5"/>
  <c r="DH61" i="5"/>
  <c r="DG61" i="5"/>
  <c r="DA61" i="5"/>
  <c r="CX61" i="5"/>
  <c r="CK61" i="5"/>
  <c r="CG61" i="5"/>
  <c r="CF61" i="5"/>
  <c r="CE61" i="5"/>
  <c r="CD61" i="5"/>
  <c r="CH61" i="5" s="1"/>
  <c r="CI61" i="5" s="1"/>
  <c r="CJ61" i="5" s="1"/>
  <c r="CL61" i="5" s="1"/>
  <c r="CM61" i="5" s="1"/>
  <c r="CR61" i="5" s="1"/>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Y61" i="5"/>
  <c r="AX61" i="5"/>
  <c r="AW61" i="5"/>
  <c r="AV61" i="5"/>
  <c r="AU61" i="5"/>
  <c r="AT61" i="5"/>
  <c r="AS61" i="5"/>
  <c r="AR61" i="5"/>
  <c r="DH60" i="5"/>
  <c r="DG60" i="5"/>
  <c r="DA60" i="5"/>
  <c r="CX60" i="5"/>
  <c r="CG60" i="5"/>
  <c r="CF60" i="5"/>
  <c r="CE60" i="5"/>
  <c r="CD60" i="5"/>
  <c r="CH60" i="5" s="1"/>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Y60" i="5"/>
  <c r="AX60" i="5"/>
  <c r="AW60" i="5"/>
  <c r="AV60" i="5"/>
  <c r="AU60" i="5"/>
  <c r="AT60" i="5"/>
  <c r="AS60" i="5"/>
  <c r="AR60" i="5"/>
  <c r="DH59" i="5"/>
  <c r="DG59" i="5"/>
  <c r="DA59" i="5"/>
  <c r="CX59" i="5"/>
  <c r="CH59" i="5"/>
  <c r="CG59" i="5"/>
  <c r="CF59" i="5"/>
  <c r="CE59" i="5"/>
  <c r="CD59" i="5"/>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Y59" i="5"/>
  <c r="AX59" i="5"/>
  <c r="AW59" i="5"/>
  <c r="AV59" i="5"/>
  <c r="AU59" i="5"/>
  <c r="AT59" i="5"/>
  <c r="AS59" i="5"/>
  <c r="AR59" i="5"/>
  <c r="DH58" i="5"/>
  <c r="DG58" i="5"/>
  <c r="DA58" i="5"/>
  <c r="CX58" i="5"/>
  <c r="CK58" i="5"/>
  <c r="CG58" i="5"/>
  <c r="CF58" i="5"/>
  <c r="CE58" i="5"/>
  <c r="CD58" i="5"/>
  <c r="CH58" i="5" s="1"/>
  <c r="CI58" i="5" s="1"/>
  <c r="CJ58" i="5" s="1"/>
  <c r="CL58" i="5" s="1"/>
  <c r="CM58" i="5" s="1"/>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DH57" i="5"/>
  <c r="DG57" i="5"/>
  <c r="DA57" i="5"/>
  <c r="CX57" i="5"/>
  <c r="CG57" i="5"/>
  <c r="CF57" i="5"/>
  <c r="CD57" i="5"/>
  <c r="CH57" i="5" s="1"/>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DH56" i="5"/>
  <c r="DG56" i="5"/>
  <c r="DA56" i="5"/>
  <c r="CX56" i="5"/>
  <c r="CK56" i="5"/>
  <c r="CH56" i="5"/>
  <c r="CI56" i="5" s="1"/>
  <c r="CJ56" i="5" s="1"/>
  <c r="CL56" i="5" s="1"/>
  <c r="CM56" i="5" s="1"/>
  <c r="CG56" i="5"/>
  <c r="CF56" i="5"/>
  <c r="CE56" i="5"/>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X56" i="5"/>
  <c r="AY56" i="5" s="1"/>
  <c r="AW56" i="5"/>
  <c r="AV56" i="5"/>
  <c r="AU56" i="5"/>
  <c r="AT56" i="5"/>
  <c r="AS56" i="5"/>
  <c r="AR56" i="5"/>
  <c r="DH55" i="5"/>
  <c r="DG55" i="5"/>
  <c r="DA55" i="5"/>
  <c r="CX55" i="5"/>
  <c r="CK55" i="5"/>
  <c r="CJ55" i="5"/>
  <c r="CL55" i="5" s="1"/>
  <c r="CM55" i="5" s="1"/>
  <c r="CI55" i="5"/>
  <c r="CG55" i="5"/>
  <c r="CF55" i="5"/>
  <c r="CE55" i="5"/>
  <c r="CD55" i="5"/>
  <c r="CH55" i="5" s="1"/>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DH54" i="5"/>
  <c r="DG54" i="5"/>
  <c r="DA54" i="5"/>
  <c r="CX54" i="5"/>
  <c r="CG54" i="5"/>
  <c r="CF54" i="5"/>
  <c r="CD54" i="5"/>
  <c r="CH54" i="5" s="1"/>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DH53" i="5"/>
  <c r="DG53" i="5"/>
  <c r="DA53" i="5"/>
  <c r="CX53" i="5"/>
  <c r="CK53" i="5"/>
  <c r="CJ53" i="5"/>
  <c r="CL53" i="5" s="1"/>
  <c r="CM53" i="5" s="1"/>
  <c r="CI53" i="5"/>
  <c r="CH53" i="5"/>
  <c r="CG53" i="5"/>
  <c r="CF53" i="5"/>
  <c r="CE53" i="5"/>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DH52" i="5"/>
  <c r="DG52" i="5"/>
  <c r="DA52" i="5"/>
  <c r="CX52" i="5"/>
  <c r="CK52" i="5"/>
  <c r="CI52" i="5"/>
  <c r="CJ52" i="5" s="1"/>
  <c r="CL52" i="5" s="1"/>
  <c r="CM52" i="5" s="1"/>
  <c r="CG52" i="5"/>
  <c r="CF52" i="5"/>
  <c r="CE52" i="5"/>
  <c r="CD52" i="5"/>
  <c r="CH52" i="5" s="1"/>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DH51" i="5"/>
  <c r="DG51" i="5"/>
  <c r="DA51" i="5"/>
  <c r="CX51" i="5"/>
  <c r="CG51" i="5"/>
  <c r="CF51" i="5"/>
  <c r="CD51" i="5"/>
  <c r="CH51" i="5" s="1"/>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DH50" i="5"/>
  <c r="DG50" i="5"/>
  <c r="DA50" i="5"/>
  <c r="CX50" i="5"/>
  <c r="CK50" i="5"/>
  <c r="CH50" i="5"/>
  <c r="CG50" i="5"/>
  <c r="CF50" i="5"/>
  <c r="CE50" i="5"/>
  <c r="CI50" i="5" s="1"/>
  <c r="CJ50" i="5" s="1"/>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DH49" i="5"/>
  <c r="DG49" i="5"/>
  <c r="DA49" i="5"/>
  <c r="CX49" i="5"/>
  <c r="CK49" i="5"/>
  <c r="CJ49" i="5"/>
  <c r="CL49" i="5" s="1"/>
  <c r="CM49" i="5" s="1"/>
  <c r="CG49" i="5"/>
  <c r="CF49" i="5"/>
  <c r="CE49" i="5"/>
  <c r="CD49" i="5"/>
  <c r="CH49" i="5" s="1"/>
  <c r="CI49" i="5" s="1"/>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DH48" i="5"/>
  <c r="DG48" i="5"/>
  <c r="DA48" i="5"/>
  <c r="CX48" i="5"/>
  <c r="CG48" i="5"/>
  <c r="CF48" i="5"/>
  <c r="CE48" i="5"/>
  <c r="CD48" i="5"/>
  <c r="CH48" i="5" s="1"/>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DH47" i="5"/>
  <c r="DG47" i="5"/>
  <c r="DA47" i="5"/>
  <c r="CX47" i="5"/>
  <c r="CH47" i="5"/>
  <c r="CG47" i="5"/>
  <c r="CF47" i="5"/>
  <c r="CE47" i="5"/>
  <c r="CK47" i="5" s="1"/>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DH46" i="5"/>
  <c r="DG46" i="5"/>
  <c r="DA46" i="5"/>
  <c r="CX46" i="5"/>
  <c r="CL46" i="5"/>
  <c r="CM46" i="5" s="1"/>
  <c r="CK46" i="5"/>
  <c r="CJ46" i="5"/>
  <c r="CI46" i="5"/>
  <c r="CH46" i="5"/>
  <c r="CG46" i="5"/>
  <c r="CF46" i="5"/>
  <c r="CE46" i="5"/>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DH45" i="5"/>
  <c r="DG45" i="5"/>
  <c r="DA45" i="5"/>
  <c r="CX45" i="5"/>
  <c r="CG45" i="5"/>
  <c r="CF45" i="5"/>
  <c r="CE45" i="5"/>
  <c r="CD45" i="5"/>
  <c r="CH45" i="5" s="1"/>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DH44" i="5"/>
  <c r="DG44" i="5"/>
  <c r="DA44" i="5"/>
  <c r="CX44" i="5"/>
  <c r="CH44" i="5"/>
  <c r="CG44" i="5"/>
  <c r="CF44" i="5"/>
  <c r="CE44" i="5"/>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X44" i="5"/>
  <c r="AY44" i="5" s="1"/>
  <c r="AW44" i="5"/>
  <c r="AV44" i="5"/>
  <c r="AU44" i="5"/>
  <c r="AT44" i="5"/>
  <c r="AS44" i="5"/>
  <c r="AR44" i="5"/>
  <c r="DH43" i="5"/>
  <c r="DG43" i="5"/>
  <c r="DA43" i="5"/>
  <c r="CX43" i="5"/>
  <c r="CK43" i="5"/>
  <c r="CI43" i="5"/>
  <c r="CJ43" i="5" s="1"/>
  <c r="CL43" i="5" s="1"/>
  <c r="CM43" i="5" s="1"/>
  <c r="CO43" i="5" s="1"/>
  <c r="CH43" i="5"/>
  <c r="CG43" i="5"/>
  <c r="CF43" i="5"/>
  <c r="CE43" i="5"/>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DH42" i="5"/>
  <c r="DG42" i="5"/>
  <c r="DA42" i="5"/>
  <c r="CX42" i="5"/>
  <c r="CG42" i="5"/>
  <c r="CF42" i="5"/>
  <c r="CD42" i="5"/>
  <c r="CH42" i="5" s="1"/>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DH41" i="5"/>
  <c r="DG41" i="5"/>
  <c r="DA41" i="5"/>
  <c r="CX41" i="5"/>
  <c r="CK41" i="5"/>
  <c r="CH41" i="5"/>
  <c r="CI41" i="5" s="1"/>
  <c r="CJ41" i="5" s="1"/>
  <c r="CL41" i="5" s="1"/>
  <c r="CM41" i="5" s="1"/>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X41" i="5"/>
  <c r="AY41" i="5" s="1"/>
  <c r="AW41" i="5"/>
  <c r="AV41" i="5"/>
  <c r="AU41" i="5"/>
  <c r="AT41" i="5"/>
  <c r="AS41" i="5"/>
  <c r="AR41" i="5"/>
  <c r="DH40" i="5"/>
  <c r="DG40" i="5"/>
  <c r="DA40" i="5"/>
  <c r="CX40" i="5"/>
  <c r="CK40" i="5"/>
  <c r="CJ40" i="5"/>
  <c r="CL40" i="5" s="1"/>
  <c r="CM40" i="5" s="1"/>
  <c r="CI40" i="5"/>
  <c r="CH40" i="5"/>
  <c r="CG40" i="5"/>
  <c r="CF40" i="5"/>
  <c r="CE40" i="5"/>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DH39" i="5"/>
  <c r="DG39" i="5"/>
  <c r="DA39" i="5"/>
  <c r="CX39" i="5"/>
  <c r="CG39" i="5"/>
  <c r="CF39" i="5"/>
  <c r="CE39" i="5"/>
  <c r="CD39" i="5"/>
  <c r="CH39" i="5" s="1"/>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DH38" i="5"/>
  <c r="DG38" i="5"/>
  <c r="DA38" i="5"/>
  <c r="CX38" i="5"/>
  <c r="CK38" i="5"/>
  <c r="CH38" i="5"/>
  <c r="CG38" i="5"/>
  <c r="CF38" i="5"/>
  <c r="CE38" i="5"/>
  <c r="CI38" i="5" s="1"/>
  <c r="CJ38" i="5" s="1"/>
  <c r="CL38" i="5" s="1"/>
  <c r="CM38" i="5" s="1"/>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X38" i="5"/>
  <c r="AY38" i="5" s="1"/>
  <c r="AW38" i="5"/>
  <c r="AV38" i="5"/>
  <c r="AU38" i="5"/>
  <c r="AT38" i="5"/>
  <c r="AS38" i="5"/>
  <c r="AR38" i="5"/>
  <c r="DH37" i="5"/>
  <c r="DG37" i="5"/>
  <c r="DA37" i="5"/>
  <c r="CX37" i="5"/>
  <c r="CK37" i="5"/>
  <c r="CJ37" i="5"/>
  <c r="CL37" i="5" s="1"/>
  <c r="CM37" i="5" s="1"/>
  <c r="CI37" i="5"/>
  <c r="CH37" i="5"/>
  <c r="CG37" i="5"/>
  <c r="CF37" i="5"/>
  <c r="CE37" i="5"/>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DH36" i="5"/>
  <c r="DG36" i="5"/>
  <c r="DA36" i="5"/>
  <c r="CX36" i="5"/>
  <c r="CG36" i="5"/>
  <c r="CF36" i="5"/>
  <c r="CD36" i="5"/>
  <c r="CH36" i="5" s="1"/>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DH35" i="5"/>
  <c r="DG35" i="5"/>
  <c r="DA35" i="5"/>
  <c r="CX35" i="5"/>
  <c r="CH35" i="5"/>
  <c r="CG35" i="5"/>
  <c r="CF35" i="5"/>
  <c r="CE35" i="5"/>
  <c r="CK35" i="5" s="1"/>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X35" i="5"/>
  <c r="AY35" i="5" s="1"/>
  <c r="AW35" i="5"/>
  <c r="AV35" i="5"/>
  <c r="AU35" i="5"/>
  <c r="AT35" i="5"/>
  <c r="AS35" i="5"/>
  <c r="AR35" i="5"/>
  <c r="DH34" i="5"/>
  <c r="DG34" i="5"/>
  <c r="DA34" i="5"/>
  <c r="CX34" i="5"/>
  <c r="CL34" i="5"/>
  <c r="CM34" i="5" s="1"/>
  <c r="CK34" i="5"/>
  <c r="CJ34"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DH33" i="5"/>
  <c r="DG33" i="5"/>
  <c r="DA33" i="5"/>
  <c r="CX33" i="5"/>
  <c r="CG33" i="5"/>
  <c r="CF33" i="5"/>
  <c r="CE33" i="5"/>
  <c r="CD33" i="5"/>
  <c r="CH33" i="5" s="1"/>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DH32" i="5"/>
  <c r="DG32" i="5"/>
  <c r="DA32" i="5"/>
  <c r="CX32" i="5"/>
  <c r="CH32" i="5"/>
  <c r="CG32" i="5"/>
  <c r="CF32" i="5"/>
  <c r="CE32" i="5"/>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X32" i="5"/>
  <c r="AY32" i="5" s="1"/>
  <c r="AW32" i="5"/>
  <c r="AV32" i="5"/>
  <c r="AU32" i="5"/>
  <c r="AT32" i="5"/>
  <c r="AS32" i="5"/>
  <c r="AR32" i="5"/>
  <c r="DH31" i="5"/>
  <c r="DG31" i="5"/>
  <c r="DA31" i="5"/>
  <c r="CX31" i="5"/>
  <c r="CK31" i="5"/>
  <c r="CI31" i="5"/>
  <c r="CJ31" i="5" s="1"/>
  <c r="CL31" i="5" s="1"/>
  <c r="CM31" i="5" s="1"/>
  <c r="CH31" i="5"/>
  <c r="CG31" i="5"/>
  <c r="CF31" i="5"/>
  <c r="CE31" i="5"/>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DH30" i="5"/>
  <c r="DG30" i="5"/>
  <c r="DA30" i="5"/>
  <c r="CX30" i="5"/>
  <c r="CG30" i="5"/>
  <c r="CF30" i="5"/>
  <c r="CD30" i="5"/>
  <c r="CH30" i="5" s="1"/>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DH29" i="5"/>
  <c r="DG29" i="5"/>
  <c r="DA29" i="5"/>
  <c r="CX29" i="5"/>
  <c r="CK29" i="5"/>
  <c r="CH29" i="5"/>
  <c r="CI29" i="5" s="1"/>
  <c r="CJ29" i="5" s="1"/>
  <c r="CL29" i="5" s="1"/>
  <c r="CM29" i="5" s="1"/>
  <c r="CG29" i="5"/>
  <c r="CF29" i="5"/>
  <c r="CE29" i="5"/>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X29" i="5"/>
  <c r="AY29" i="5" s="1"/>
  <c r="AW29" i="5"/>
  <c r="AV29" i="5"/>
  <c r="AU29" i="5"/>
  <c r="AT29" i="5"/>
  <c r="AS29" i="5"/>
  <c r="AR29" i="5"/>
  <c r="DH28" i="5"/>
  <c r="DG28" i="5"/>
  <c r="DA28" i="5"/>
  <c r="CX28" i="5"/>
  <c r="CK28" i="5"/>
  <c r="CJ28" i="5"/>
  <c r="CL28" i="5" s="1"/>
  <c r="CM28" i="5" s="1"/>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DH27" i="5"/>
  <c r="DG27" i="5"/>
  <c r="DA27" i="5"/>
  <c r="CX27" i="5"/>
  <c r="CG27" i="5"/>
  <c r="CF27" i="5"/>
  <c r="CE27" i="5"/>
  <c r="CD27" i="5"/>
  <c r="CH27" i="5" s="1"/>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DH26" i="5"/>
  <c r="DG26" i="5"/>
  <c r="DA26" i="5"/>
  <c r="CX26" i="5"/>
  <c r="CK26" i="5"/>
  <c r="CJ26" i="5"/>
  <c r="CL26" i="5" s="1"/>
  <c r="CM26" i="5" s="1"/>
  <c r="CH26" i="5"/>
  <c r="CG26" i="5"/>
  <c r="CF26" i="5"/>
  <c r="CE26" i="5"/>
  <c r="CI26" i="5" s="1"/>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X26" i="5"/>
  <c r="AY26" i="5" s="1"/>
  <c r="AW26" i="5"/>
  <c r="AV26" i="5"/>
  <c r="AU26" i="5"/>
  <c r="AT26" i="5"/>
  <c r="AS26" i="5"/>
  <c r="AR26" i="5"/>
  <c r="DH25" i="5"/>
  <c r="DG25" i="5"/>
  <c r="DA25" i="5"/>
  <c r="CX25" i="5"/>
  <c r="CK25" i="5"/>
  <c r="CI25" i="5"/>
  <c r="CJ25" i="5" s="1"/>
  <c r="CL25" i="5" s="1"/>
  <c r="CM25" i="5" s="1"/>
  <c r="CH25" i="5"/>
  <c r="CG25" i="5"/>
  <c r="CF25" i="5"/>
  <c r="CE25" i="5"/>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DH24" i="5"/>
  <c r="DG24" i="5"/>
  <c r="DA24" i="5"/>
  <c r="CX24" i="5"/>
  <c r="CG24" i="5"/>
  <c r="CF24" i="5"/>
  <c r="CD24" i="5"/>
  <c r="CH24" i="5" s="1"/>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DH23" i="5"/>
  <c r="DG23" i="5"/>
  <c r="DA23" i="5"/>
  <c r="CX23" i="5"/>
  <c r="CH23" i="5"/>
  <c r="CG23" i="5"/>
  <c r="CF23" i="5"/>
  <c r="CE23" i="5"/>
  <c r="CK23" i="5" s="1"/>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X23" i="5"/>
  <c r="AY23" i="5" s="1"/>
  <c r="AW23" i="5"/>
  <c r="AV23" i="5"/>
  <c r="AU23" i="5"/>
  <c r="AT23" i="5"/>
  <c r="AS23" i="5"/>
  <c r="AR23" i="5"/>
  <c r="DH22" i="5"/>
  <c r="DG22" i="5"/>
  <c r="DA22" i="5"/>
  <c r="CX22" i="5"/>
  <c r="CL22" i="5"/>
  <c r="CM22" i="5" s="1"/>
  <c r="CK22" i="5"/>
  <c r="CJ22" i="5"/>
  <c r="CI22" i="5"/>
  <c r="CH22" i="5"/>
  <c r="CG22" i="5"/>
  <c r="CF22" i="5"/>
  <c r="CE22" i="5"/>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DH21" i="5"/>
  <c r="DG21" i="5"/>
  <c r="DA21" i="5"/>
  <c r="CX21" i="5"/>
  <c r="CG21" i="5"/>
  <c r="CF21" i="5"/>
  <c r="CE21" i="5"/>
  <c r="CD21" i="5"/>
  <c r="CH21" i="5" s="1"/>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DH20" i="5"/>
  <c r="DG20" i="5"/>
  <c r="D20" i="24" s="1"/>
  <c r="DA20" i="5"/>
  <c r="CX20" i="5"/>
  <c r="CH20" i="5"/>
  <c r="CG20" i="5"/>
  <c r="CF20" i="5"/>
  <c r="CE20" i="5"/>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X20" i="5"/>
  <c r="AY20" i="5" s="1"/>
  <c r="AW20" i="5"/>
  <c r="AV20" i="5"/>
  <c r="AU20" i="5"/>
  <c r="AT20" i="5"/>
  <c r="AS20" i="5"/>
  <c r="AR20" i="5"/>
  <c r="DH19" i="5"/>
  <c r="DG19" i="5"/>
  <c r="DA19" i="5"/>
  <c r="CX19" i="5"/>
  <c r="CO19" i="5"/>
  <c r="CK19" i="5"/>
  <c r="CI19" i="5"/>
  <c r="CJ19" i="5" s="1"/>
  <c r="CL19" i="5" s="1"/>
  <c r="CM19" i="5" s="1"/>
  <c r="CH19" i="5"/>
  <c r="CG19" i="5"/>
  <c r="CF19" i="5"/>
  <c r="CE19" i="5"/>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DH18" i="5"/>
  <c r="DG18" i="5"/>
  <c r="DA18" i="5"/>
  <c r="CX18" i="5"/>
  <c r="CG18" i="5"/>
  <c r="CF18" i="5"/>
  <c r="CD18" i="5"/>
  <c r="CH18" i="5" s="1"/>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DH17" i="5"/>
  <c r="DG17" i="5"/>
  <c r="DA17" i="5"/>
  <c r="CX17" i="5"/>
  <c r="CK17" i="5"/>
  <c r="CH17" i="5"/>
  <c r="CI17" i="5" s="1"/>
  <c r="CJ17" i="5" s="1"/>
  <c r="CL17" i="5" s="1"/>
  <c r="CM17" i="5" s="1"/>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X17" i="5"/>
  <c r="AY17" i="5" s="1"/>
  <c r="AW17" i="5"/>
  <c r="AV17" i="5"/>
  <c r="AU17" i="5"/>
  <c r="AT17" i="5"/>
  <c r="AS17" i="5"/>
  <c r="AR17" i="5"/>
  <c r="DH16" i="5"/>
  <c r="DG16" i="5"/>
  <c r="DA16" i="5"/>
  <c r="CX16" i="5"/>
  <c r="CK16" i="5"/>
  <c r="CJ16" i="5"/>
  <c r="CL16" i="5" s="1"/>
  <c r="CM16" i="5" s="1"/>
  <c r="CI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DH15" i="5"/>
  <c r="DG15" i="5"/>
  <c r="DA15" i="5"/>
  <c r="CX15" i="5"/>
  <c r="CG15" i="5"/>
  <c r="CF15" i="5"/>
  <c r="CE15" i="5"/>
  <c r="CD15" i="5"/>
  <c r="CH15" i="5" s="1"/>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DH14" i="5"/>
  <c r="DG14" i="5"/>
  <c r="DA14" i="5"/>
  <c r="CX14" i="5"/>
  <c r="CK14" i="5"/>
  <c r="CH14" i="5"/>
  <c r="CG14" i="5"/>
  <c r="CF14" i="5"/>
  <c r="CE14" i="5"/>
  <c r="CI14" i="5" s="1"/>
  <c r="CJ14" i="5" s="1"/>
  <c r="CL14" i="5" s="1"/>
  <c r="CM14" i="5" s="1"/>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X14" i="5"/>
  <c r="AY14" i="5" s="1"/>
  <c r="AW14" i="5"/>
  <c r="AV14" i="5"/>
  <c r="AU14" i="5"/>
  <c r="AT14" i="5"/>
  <c r="AS14" i="5"/>
  <c r="AR14" i="5"/>
  <c r="DH13" i="5"/>
  <c r="DG13" i="5"/>
  <c r="DA13" i="5"/>
  <c r="CX13" i="5"/>
  <c r="CK13" i="5"/>
  <c r="CI13" i="5"/>
  <c r="CJ13" i="5" s="1"/>
  <c r="CL13" i="5" s="1"/>
  <c r="CM13" i="5" s="1"/>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DH12" i="5"/>
  <c r="DG12" i="5"/>
  <c r="DA12" i="5"/>
  <c r="CX12" i="5"/>
  <c r="CG12" i="5"/>
  <c r="CF12" i="5"/>
  <c r="CD12" i="5"/>
  <c r="CH12" i="5" s="1"/>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DH11" i="5"/>
  <c r="DG11" i="5"/>
  <c r="DA11" i="5"/>
  <c r="CX11" i="5"/>
  <c r="CH11" i="5"/>
  <c r="CG11" i="5"/>
  <c r="CF11" i="5"/>
  <c r="CE11" i="5"/>
  <c r="CK11" i="5" s="1"/>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X11" i="5"/>
  <c r="AY11" i="5" s="1"/>
  <c r="AW11" i="5"/>
  <c r="AV11" i="5"/>
  <c r="AU11" i="5"/>
  <c r="AT11" i="5"/>
  <c r="AS11" i="5"/>
  <c r="AR11" i="5"/>
  <c r="CG10" i="5"/>
  <c r="CF10" i="5"/>
  <c r="CA10" i="5"/>
  <c r="BZ10" i="5"/>
  <c r="BY10" i="5"/>
  <c r="BX10" i="5"/>
  <c r="BW10" i="5"/>
  <c r="BV10" i="5"/>
  <c r="BU10" i="5"/>
  <c r="BT10" i="5"/>
  <c r="BS10" i="5"/>
  <c r="BR10" i="5"/>
  <c r="BQ10" i="5"/>
  <c r="BP10" i="5"/>
  <c r="BO10" i="5"/>
  <c r="BN10" i="5"/>
  <c r="CC10" i="5" s="1"/>
  <c r="BM10" i="5"/>
  <c r="BL10" i="5"/>
  <c r="BK10" i="5"/>
  <c r="BJ10" i="5"/>
  <c r="BI10" i="5"/>
  <c r="BH10" i="5"/>
  <c r="BG10" i="5"/>
  <c r="BF10" i="5"/>
  <c r="BE10" i="5"/>
  <c r="BD10" i="5"/>
  <c r="BC10" i="5"/>
  <c r="BB10" i="5"/>
  <c r="BA10" i="5"/>
  <c r="AZ10" i="5"/>
  <c r="CB10" i="5" s="1"/>
  <c r="AY10" i="5"/>
  <c r="AX10" i="5"/>
  <c r="AW10" i="5"/>
  <c r="AV10" i="5"/>
  <c r="AS10" i="5"/>
  <c r="AU10" i="5" s="1"/>
  <c r="AR10" i="5"/>
  <c r="AT10" i="5" s="1"/>
  <c r="CG9" i="5"/>
  <c r="CF9" i="5"/>
  <c r="CA9" i="5"/>
  <c r="BZ9" i="5"/>
  <c r="BY9" i="5"/>
  <c r="BX9" i="5"/>
  <c r="BW9" i="5"/>
  <c r="BV9" i="5"/>
  <c r="BU9" i="5"/>
  <c r="BT9" i="5"/>
  <c r="BS9" i="5"/>
  <c r="BR9" i="5"/>
  <c r="BQ9" i="5"/>
  <c r="BP9" i="5"/>
  <c r="BO9" i="5"/>
  <c r="CC9" i="5" s="1"/>
  <c r="BN9" i="5"/>
  <c r="BM9" i="5"/>
  <c r="BL9" i="5"/>
  <c r="BK9" i="5"/>
  <c r="BJ9" i="5"/>
  <c r="BI9" i="5"/>
  <c r="BH9" i="5"/>
  <c r="BG9" i="5"/>
  <c r="BF9" i="5"/>
  <c r="BE9" i="5"/>
  <c r="BD9" i="5"/>
  <c r="BC9" i="5"/>
  <c r="CB9" i="5" s="1"/>
  <c r="BB9" i="5"/>
  <c r="BA9" i="5"/>
  <c r="AZ9" i="5"/>
  <c r="AY9" i="5"/>
  <c r="AX9" i="5"/>
  <c r="AW9" i="5"/>
  <c r="AV9" i="5"/>
  <c r="AT9" i="5"/>
  <c r="AS9" i="5"/>
  <c r="AU9" i="5" s="1"/>
  <c r="AR9" i="5"/>
  <c r="CG8" i="5"/>
  <c r="CF8" i="5"/>
  <c r="CA8" i="5"/>
  <c r="BZ8" i="5"/>
  <c r="BY8" i="5"/>
  <c r="BX8" i="5"/>
  <c r="BW8" i="5"/>
  <c r="BV8" i="5"/>
  <c r="BU8" i="5"/>
  <c r="BT8" i="5"/>
  <c r="BS8" i="5"/>
  <c r="BR8" i="5"/>
  <c r="BQ8" i="5"/>
  <c r="BP8" i="5"/>
  <c r="BO8" i="5"/>
  <c r="BN8" i="5"/>
  <c r="BM8" i="5"/>
  <c r="BL8" i="5"/>
  <c r="BK8" i="5"/>
  <c r="BJ8" i="5"/>
  <c r="BI8" i="5"/>
  <c r="BH8" i="5"/>
  <c r="BG8" i="5"/>
  <c r="BF8" i="5"/>
  <c r="BE8" i="5"/>
  <c r="BD8" i="5"/>
  <c r="BC8" i="5"/>
  <c r="BB8" i="5"/>
  <c r="BA8" i="5"/>
  <c r="AZ8" i="5"/>
  <c r="AX8" i="5"/>
  <c r="AY8" i="5" s="1"/>
  <c r="AW8" i="5"/>
  <c r="AV8" i="5"/>
  <c r="AT8" i="5"/>
  <c r="AR8" i="5"/>
  <c r="AS8" i="5" s="1"/>
  <c r="AU8" i="5" s="1"/>
  <c r="CG7" i="5"/>
  <c r="CF7" i="5"/>
  <c r="CA7" i="5"/>
  <c r="BZ7" i="5"/>
  <c r="BY7" i="5"/>
  <c r="BX7" i="5"/>
  <c r="BW7" i="5"/>
  <c r="BV7" i="5"/>
  <c r="BU7" i="5"/>
  <c r="BT7" i="5"/>
  <c r="BS7" i="5"/>
  <c r="BR7" i="5"/>
  <c r="BQ7" i="5"/>
  <c r="BP7" i="5"/>
  <c r="BO7" i="5"/>
  <c r="BN7" i="5"/>
  <c r="CC7" i="5" s="1"/>
  <c r="BM7" i="5"/>
  <c r="BL7" i="5"/>
  <c r="BK7" i="5"/>
  <c r="BJ7" i="5"/>
  <c r="BI7" i="5"/>
  <c r="BH7" i="5"/>
  <c r="BG7" i="5"/>
  <c r="BF7" i="5"/>
  <c r="BE7" i="5"/>
  <c r="BD7" i="5"/>
  <c r="BC7" i="5"/>
  <c r="BB7" i="5"/>
  <c r="BA7" i="5"/>
  <c r="AZ7" i="5"/>
  <c r="CB7" i="5" s="1"/>
  <c r="AY7" i="5"/>
  <c r="AX7" i="5"/>
  <c r="AW7" i="5"/>
  <c r="AV7" i="5"/>
  <c r="AS7" i="5"/>
  <c r="AU7" i="5" s="1"/>
  <c r="AR7" i="5"/>
  <c r="AT7" i="5" s="1"/>
  <c r="CG6" i="5"/>
  <c r="CF6" i="5"/>
  <c r="CA6" i="5"/>
  <c r="BZ6" i="5"/>
  <c r="BY6" i="5"/>
  <c r="BX6" i="5"/>
  <c r="BW6" i="5"/>
  <c r="BV6" i="5"/>
  <c r="BU6" i="5"/>
  <c r="BT6" i="5"/>
  <c r="BS6" i="5"/>
  <c r="BR6" i="5"/>
  <c r="BQ6" i="5"/>
  <c r="BP6" i="5"/>
  <c r="BO6" i="5"/>
  <c r="CC6" i="5" s="1"/>
  <c r="BN6" i="5"/>
  <c r="BM6" i="5"/>
  <c r="BL6" i="5"/>
  <c r="BK6" i="5"/>
  <c r="BJ6" i="5"/>
  <c r="BI6" i="5"/>
  <c r="BH6" i="5"/>
  <c r="BG6" i="5"/>
  <c r="BF6" i="5"/>
  <c r="BE6" i="5"/>
  <c r="BD6" i="5"/>
  <c r="BC6" i="5"/>
  <c r="CB6" i="5" s="1"/>
  <c r="BB6" i="5"/>
  <c r="BA6" i="5"/>
  <c r="AZ6" i="5"/>
  <c r="AY6" i="5"/>
  <c r="AX6" i="5"/>
  <c r="AW6" i="5"/>
  <c r="AV6" i="5"/>
  <c r="AT6" i="5"/>
  <c r="AS6" i="5"/>
  <c r="AU6" i="5" s="1"/>
  <c r="AR6" i="5"/>
  <c r="CG5" i="5"/>
  <c r="CF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X5" i="5"/>
  <c r="AY5" i="5" s="1"/>
  <c r="AW5" i="5"/>
  <c r="AV5" i="5"/>
  <c r="AT5" i="5"/>
  <c r="AR5" i="5"/>
  <c r="AS5" i="5" s="1"/>
  <c r="F49" i="4"/>
  <c r="H34" i="4"/>
  <c r="C34" i="4"/>
  <c r="H33" i="4"/>
  <c r="C33" i="4"/>
  <c r="H32" i="4"/>
  <c r="C32" i="4"/>
  <c r="H31" i="4"/>
  <c r="C31" i="4"/>
  <c r="H30" i="4"/>
  <c r="C30" i="4"/>
  <c r="H29" i="4"/>
  <c r="C29" i="4"/>
  <c r="H28" i="4"/>
  <c r="D28" i="4"/>
  <c r="C28" i="4"/>
  <c r="H27" i="4"/>
  <c r="C27" i="4"/>
  <c r="H26" i="4"/>
  <c r="D26" i="4"/>
  <c r="C26" i="4"/>
  <c r="H25" i="4"/>
  <c r="C25" i="4"/>
  <c r="H24" i="4"/>
  <c r="C24" i="4"/>
  <c r="H23" i="4"/>
  <c r="C23" i="4"/>
  <c r="H22" i="4"/>
  <c r="C22" i="4"/>
  <c r="H21" i="4"/>
  <c r="C21" i="4"/>
  <c r="H20" i="4"/>
  <c r="C20" i="4"/>
  <c r="H19" i="4"/>
  <c r="C19" i="4"/>
  <c r="H18" i="4"/>
  <c r="C18" i="4"/>
  <c r="H17" i="4"/>
  <c r="C17" i="4"/>
  <c r="H16" i="4"/>
  <c r="D16" i="4"/>
  <c r="C16" i="4"/>
  <c r="H15" i="4"/>
  <c r="C15" i="4"/>
  <c r="H14" i="4"/>
  <c r="D14" i="4"/>
  <c r="C14" i="4"/>
  <c r="H13" i="4"/>
  <c r="C13" i="4"/>
  <c r="H12" i="4"/>
  <c r="C12" i="4"/>
  <c r="H11" i="4"/>
  <c r="C11" i="4"/>
  <c r="H10" i="4"/>
  <c r="C10" i="4"/>
  <c r="H9" i="4"/>
  <c r="C9" i="4"/>
  <c r="H8" i="4"/>
  <c r="C8" i="4"/>
  <c r="H7" i="4"/>
  <c r="C7" i="4"/>
  <c r="H6" i="4"/>
  <c r="F6" i="4"/>
  <c r="D6" i="4"/>
  <c r="C112" i="3"/>
  <c r="F50" i="4" s="1"/>
  <c r="C111" i="3"/>
  <c r="C104" i="3"/>
  <c r="C99" i="3"/>
  <c r="C93" i="3"/>
  <c r="C92" i="3"/>
  <c r="C85" i="3"/>
  <c r="D34" i="4" s="1"/>
  <c r="C84" i="3"/>
  <c r="D33" i="4" s="1"/>
  <c r="C83" i="3"/>
  <c r="D32" i="4" s="1"/>
  <c r="C82" i="3"/>
  <c r="D31" i="4" s="1"/>
  <c r="C81" i="3"/>
  <c r="D30" i="4" s="1"/>
  <c r="C80" i="3"/>
  <c r="D29" i="4" s="1"/>
  <c r="C79" i="3"/>
  <c r="C78" i="3"/>
  <c r="D27" i="4" s="1"/>
  <c r="C77" i="3"/>
  <c r="C76" i="3"/>
  <c r="D25" i="4" s="1"/>
  <c r="C75" i="3"/>
  <c r="D24" i="4" s="1"/>
  <c r="C74" i="3"/>
  <c r="D23" i="4" s="1"/>
  <c r="C73" i="3"/>
  <c r="D22" i="4" s="1"/>
  <c r="C72" i="3"/>
  <c r="C71" i="3"/>
  <c r="D20" i="4" s="1"/>
  <c r="C70" i="3"/>
  <c r="D19" i="4" s="1"/>
  <c r="C69" i="3"/>
  <c r="D18" i="4" s="1"/>
  <c r="C68" i="3"/>
  <c r="D17" i="4" s="1"/>
  <c r="C67" i="3"/>
  <c r="C66" i="3"/>
  <c r="D15" i="4" s="1"/>
  <c r="C65" i="3"/>
  <c r="C64" i="3"/>
  <c r="D13" i="4" s="1"/>
  <c r="C63" i="3"/>
  <c r="D12" i="4" s="1"/>
  <c r="C62" i="3"/>
  <c r="D11" i="4" s="1"/>
  <c r="C61" i="3"/>
  <c r="D10" i="4" s="1"/>
  <c r="C60" i="3"/>
  <c r="D9" i="4" s="1"/>
  <c r="C59" i="3"/>
  <c r="C58" i="3"/>
  <c r="D7" i="4" s="1"/>
  <c r="E7" i="4" s="1"/>
  <c r="C57" i="3"/>
  <c r="C56" i="3"/>
  <c r="E55" i="4" s="1"/>
  <c r="C55" i="3"/>
  <c r="C52" i="3"/>
  <c r="C47" i="3"/>
  <c r="C49" i="3" s="1"/>
  <c r="E27" i="2"/>
  <c r="G16" i="23"/>
  <c r="F16" i="23"/>
  <c r="K15" i="23"/>
  <c r="J15" i="23"/>
  <c r="I15" i="23"/>
  <c r="J14" i="23"/>
  <c r="K14" i="23" s="1"/>
  <c r="I14" i="23"/>
  <c r="K13" i="23"/>
  <c r="J13" i="23"/>
  <c r="I13" i="23"/>
  <c r="K12" i="23"/>
  <c r="J12" i="23"/>
  <c r="I12" i="23"/>
  <c r="K11" i="23"/>
  <c r="J11" i="23"/>
  <c r="I11" i="23"/>
  <c r="J10" i="23"/>
  <c r="K10" i="23" s="1"/>
  <c r="I10" i="23"/>
  <c r="J9" i="23"/>
  <c r="K9" i="23" s="1"/>
  <c r="I9" i="23"/>
  <c r="K8" i="23"/>
  <c r="J8" i="23"/>
  <c r="J16" i="23" s="1"/>
  <c r="I8" i="23"/>
  <c r="I16" i="23" s="1"/>
  <c r="K7" i="23"/>
  <c r="J7" i="23"/>
  <c r="I7" i="23"/>
  <c r="J6" i="23"/>
  <c r="K6" i="23" s="1"/>
  <c r="I6" i="23"/>
  <c r="CR22" i="5" l="1"/>
  <c r="CN22" i="5"/>
  <c r="CO22" i="5"/>
  <c r="CR64" i="5"/>
  <c r="CN64" i="5"/>
  <c r="CO64" i="5"/>
  <c r="CR34" i="5"/>
  <c r="CN34" i="5"/>
  <c r="CO34" i="5"/>
  <c r="CO14" i="5"/>
  <c r="CN14" i="5"/>
  <c r="CR14" i="5"/>
  <c r="CR67" i="5"/>
  <c r="CN67" i="5"/>
  <c r="CO67" i="5"/>
  <c r="CR13" i="5"/>
  <c r="CO13" i="5"/>
  <c r="CN13" i="5"/>
  <c r="CR25" i="5"/>
  <c r="CN25" i="5"/>
  <c r="CO25" i="5"/>
  <c r="CQ142" i="5"/>
  <c r="CO38" i="5"/>
  <c r="CN38" i="5"/>
  <c r="CR38" i="5"/>
  <c r="CR82" i="5"/>
  <c r="CN82" i="5"/>
  <c r="CO82" i="5"/>
  <c r="CS43" i="5"/>
  <c r="CT43" i="5" s="1"/>
  <c r="CP43" i="5"/>
  <c r="CQ43" i="5" s="1"/>
  <c r="CY43" i="5"/>
  <c r="CZ43" i="5" s="1"/>
  <c r="CW43" i="5"/>
  <c r="CU43" i="5"/>
  <c r="CV43" i="5" s="1"/>
  <c r="CR46" i="5"/>
  <c r="CN46" i="5"/>
  <c r="CO46" i="5"/>
  <c r="F19" i="4"/>
  <c r="F15" i="4"/>
  <c r="F11" i="4"/>
  <c r="F7" i="4"/>
  <c r="G7" i="4" s="1"/>
  <c r="F20" i="4"/>
  <c r="G20" i="4" s="1"/>
  <c r="F8" i="4"/>
  <c r="G8" i="4" s="1"/>
  <c r="CR76" i="5"/>
  <c r="CO76" i="5"/>
  <c r="CN76" i="5"/>
  <c r="CK121" i="5"/>
  <c r="CR123" i="5"/>
  <c r="CO123" i="5"/>
  <c r="CN123" i="5"/>
  <c r="CD10" i="5"/>
  <c r="CX10" i="5"/>
  <c r="CE12" i="5"/>
  <c r="CR70" i="5"/>
  <c r="CN70" i="5"/>
  <c r="CO70" i="5"/>
  <c r="CH205" i="5"/>
  <c r="CE205" i="5"/>
  <c r="CO290" i="5"/>
  <c r="CR290" i="5"/>
  <c r="CN290" i="5"/>
  <c r="CN61" i="5"/>
  <c r="CR88" i="5"/>
  <c r="CO88" i="5"/>
  <c r="CN88" i="5"/>
  <c r="CK94" i="5"/>
  <c r="CI94" i="5"/>
  <c r="CJ94" i="5" s="1"/>
  <c r="CL94" i="5" s="1"/>
  <c r="CM94" i="5" s="1"/>
  <c r="CN111" i="5"/>
  <c r="CR147" i="5"/>
  <c r="CN147" i="5"/>
  <c r="CO147" i="5"/>
  <c r="CO218" i="5"/>
  <c r="CR218" i="5"/>
  <c r="CN218" i="5"/>
  <c r="CR92" i="5"/>
  <c r="CO92" i="5"/>
  <c r="CN92" i="5"/>
  <c r="CR150" i="5"/>
  <c r="CO150" i="5"/>
  <c r="CN150" i="5"/>
  <c r="CL202" i="5"/>
  <c r="CM202" i="5" s="1"/>
  <c r="CO68" i="5"/>
  <c r="CN68" i="5"/>
  <c r="CR68" i="5"/>
  <c r="D21" i="4"/>
  <c r="C87" i="3"/>
  <c r="CK77" i="5"/>
  <c r="CI77" i="5"/>
  <c r="CJ77" i="5" s="1"/>
  <c r="CL77" i="5" s="1"/>
  <c r="CM77" i="5" s="1"/>
  <c r="CN122" i="5"/>
  <c r="CR122" i="5"/>
  <c r="CO122" i="5"/>
  <c r="CN194" i="5"/>
  <c r="CR194" i="5"/>
  <c r="CO194" i="5"/>
  <c r="CI44" i="5"/>
  <c r="CJ44" i="5" s="1"/>
  <c r="CK44" i="5"/>
  <c r="CR136" i="5"/>
  <c r="CN136" i="5"/>
  <c r="CR170" i="5"/>
  <c r="CO170" i="5"/>
  <c r="CN170" i="5"/>
  <c r="CR274" i="5"/>
  <c r="CO274" i="5"/>
  <c r="CN274" i="5"/>
  <c r="CD7" i="5"/>
  <c r="CX7" i="5"/>
  <c r="CO26" i="5"/>
  <c r="CN26" i="5"/>
  <c r="CR26" i="5"/>
  <c r="CR40" i="5"/>
  <c r="CO40" i="5"/>
  <c r="CN40" i="5"/>
  <c r="CO61" i="5"/>
  <c r="CR73" i="5"/>
  <c r="CO73" i="5"/>
  <c r="CN73" i="5"/>
  <c r="CR109" i="5"/>
  <c r="CO109" i="5"/>
  <c r="CN109" i="5"/>
  <c r="CO111" i="5"/>
  <c r="E105" i="6"/>
  <c r="D106" i="6"/>
  <c r="C53" i="16" s="1"/>
  <c r="D103" i="6"/>
  <c r="D100" i="6"/>
  <c r="C47" i="16" s="1"/>
  <c r="D97" i="6"/>
  <c r="C106" i="6"/>
  <c r="C103" i="6"/>
  <c r="C100" i="6"/>
  <c r="C97" i="6"/>
  <c r="D99" i="6"/>
  <c r="C99" i="6"/>
  <c r="E103" i="6"/>
  <c r="E98" i="6"/>
  <c r="D105" i="6"/>
  <c r="C105" i="6"/>
  <c r="E99" i="6"/>
  <c r="D104" i="6"/>
  <c r="C51" i="16" s="1"/>
  <c r="D98" i="6"/>
  <c r="C98" i="6"/>
  <c r="C96" i="6"/>
  <c r="C102" i="6"/>
  <c r="E100" i="6"/>
  <c r="AU5" i="5"/>
  <c r="E106" i="6"/>
  <c r="CD6" i="5"/>
  <c r="CX6" i="5" s="1"/>
  <c r="CI132" i="5"/>
  <c r="CJ132" i="5" s="1"/>
  <c r="CK132" i="5"/>
  <c r="CR135" i="5"/>
  <c r="CO135" i="5"/>
  <c r="CN135" i="5"/>
  <c r="CR165" i="5"/>
  <c r="CO165" i="5"/>
  <c r="CK199" i="5"/>
  <c r="CI199" i="5"/>
  <c r="CJ199" i="5" s="1"/>
  <c r="CH225" i="5"/>
  <c r="CE225" i="5"/>
  <c r="CE66" i="5"/>
  <c r="CY142" i="5"/>
  <c r="CZ142" i="5" s="1"/>
  <c r="CS142" i="5"/>
  <c r="CW142" i="5"/>
  <c r="CU142" i="5"/>
  <c r="CV142" i="5" s="1"/>
  <c r="CT142" i="5"/>
  <c r="CO53" i="5"/>
  <c r="CN53" i="5"/>
  <c r="CR53" i="5"/>
  <c r="CO227" i="5"/>
  <c r="CR227" i="5"/>
  <c r="CN227" i="5"/>
  <c r="CO41" i="5"/>
  <c r="CN41" i="5"/>
  <c r="CR41" i="5"/>
  <c r="CO74" i="5"/>
  <c r="CN74" i="5"/>
  <c r="CR74" i="5"/>
  <c r="CR85" i="5"/>
  <c r="CO85" i="5"/>
  <c r="CN85" i="5"/>
  <c r="CK211" i="5"/>
  <c r="CI211" i="5"/>
  <c r="CJ211" i="5" s="1"/>
  <c r="F18" i="4"/>
  <c r="CI20" i="5"/>
  <c r="CJ20" i="5" s="1"/>
  <c r="CK20" i="5"/>
  <c r="CR28" i="5"/>
  <c r="CO28" i="5"/>
  <c r="CN28" i="5"/>
  <c r="CO29" i="5"/>
  <c r="CN29" i="5"/>
  <c r="CR29" i="5"/>
  <c r="CR31" i="5"/>
  <c r="CN31" i="5"/>
  <c r="CN79" i="5"/>
  <c r="CK115" i="5"/>
  <c r="CI115" i="5"/>
  <c r="CJ115" i="5" s="1"/>
  <c r="CL115" i="5" s="1"/>
  <c r="CM115" i="5" s="1"/>
  <c r="CO117" i="5"/>
  <c r="CN117" i="5"/>
  <c r="CR117" i="5"/>
  <c r="CR134" i="5"/>
  <c r="CO134" i="5"/>
  <c r="CN134" i="5"/>
  <c r="CR141" i="5"/>
  <c r="CN141" i="5"/>
  <c r="CO141" i="5"/>
  <c r="CK156" i="5"/>
  <c r="CI156" i="5"/>
  <c r="CJ156" i="5" s="1"/>
  <c r="CL156" i="5" s="1"/>
  <c r="CM156" i="5" s="1"/>
  <c r="CR174" i="5"/>
  <c r="CO174" i="5"/>
  <c r="CN174" i="5"/>
  <c r="CO191" i="5"/>
  <c r="CR191" i="5"/>
  <c r="CN191" i="5"/>
  <c r="CR52" i="5"/>
  <c r="CN52" i="5"/>
  <c r="CO52" i="5"/>
  <c r="CO245" i="5"/>
  <c r="CN245" i="5"/>
  <c r="CR245" i="5"/>
  <c r="CS19" i="5"/>
  <c r="CT19" i="5" s="1"/>
  <c r="CP19" i="5"/>
  <c r="CY19" i="5"/>
  <c r="CZ19" i="5" s="1"/>
  <c r="CV19" i="5"/>
  <c r="CW19" i="5"/>
  <c r="CK59" i="5"/>
  <c r="CI59" i="5"/>
  <c r="CJ59" i="5" s="1"/>
  <c r="CL59" i="5" s="1"/>
  <c r="CM59" i="5" s="1"/>
  <c r="CH161" i="5"/>
  <c r="CE161" i="5"/>
  <c r="CU19" i="5"/>
  <c r="CD9" i="5"/>
  <c r="CO56" i="5"/>
  <c r="CN56" i="5"/>
  <c r="CR56" i="5"/>
  <c r="CK84" i="5"/>
  <c r="CI84" i="5"/>
  <c r="CJ84" i="5" s="1"/>
  <c r="CK167" i="5"/>
  <c r="CI167" i="5"/>
  <c r="CJ167" i="5" s="1"/>
  <c r="CO251" i="5"/>
  <c r="CR251" i="5"/>
  <c r="CN251" i="5"/>
  <c r="CH255" i="5"/>
  <c r="CE255" i="5"/>
  <c r="CI32" i="5"/>
  <c r="CJ32" i="5" s="1"/>
  <c r="CK32" i="5"/>
  <c r="CK48" i="5"/>
  <c r="CI48" i="5"/>
  <c r="CJ48" i="5" s="1"/>
  <c r="CL48" i="5" s="1"/>
  <c r="CM48" i="5" s="1"/>
  <c r="CO79" i="5"/>
  <c r="CO89" i="5"/>
  <c r="CN89" i="5"/>
  <c r="CR89" i="5"/>
  <c r="CN91" i="5"/>
  <c r="CR91" i="5"/>
  <c r="CO91" i="5"/>
  <c r="CN105" i="5"/>
  <c r="CR105" i="5"/>
  <c r="CO105" i="5"/>
  <c r="CO136" i="5"/>
  <c r="CR200" i="5"/>
  <c r="CO200" i="5"/>
  <c r="CN200" i="5"/>
  <c r="CR143" i="5"/>
  <c r="CO143" i="5"/>
  <c r="CN143" i="5"/>
  <c r="CH214" i="5"/>
  <c r="CE214" i="5"/>
  <c r="D8" i="4"/>
  <c r="E8" i="4" s="1"/>
  <c r="E9" i="4" s="1"/>
  <c r="E10" i="4" s="1"/>
  <c r="E11" i="4" s="1"/>
  <c r="E12" i="4" s="1"/>
  <c r="E13" i="4" s="1"/>
  <c r="E14" i="4" s="1"/>
  <c r="E15" i="4" s="1"/>
  <c r="E16" i="4" s="1"/>
  <c r="E17" i="4" s="1"/>
  <c r="E18" i="4" s="1"/>
  <c r="E19" i="4" s="1"/>
  <c r="E20" i="4" s="1"/>
  <c r="E21" i="4" s="1"/>
  <c r="E22" i="4" s="1"/>
  <c r="E23" i="4" s="1"/>
  <c r="E24" i="4" s="1"/>
  <c r="C86" i="3"/>
  <c r="C88" i="3" s="1"/>
  <c r="C122" i="3" s="1"/>
  <c r="C123" i="3" s="1"/>
  <c r="CE24" i="5"/>
  <c r="CR49" i="5"/>
  <c r="CN49" i="5"/>
  <c r="CO49" i="5"/>
  <c r="CL99" i="5"/>
  <c r="CM99" i="5" s="1"/>
  <c r="CR37" i="5"/>
  <c r="CN37" i="5"/>
  <c r="CO37" i="5"/>
  <c r="CR55" i="5"/>
  <c r="CO55" i="5"/>
  <c r="CN55" i="5"/>
  <c r="CO86" i="5"/>
  <c r="CN86" i="5"/>
  <c r="CR86" i="5"/>
  <c r="CO118" i="5"/>
  <c r="CN118" i="5"/>
  <c r="CK120" i="5"/>
  <c r="CI120" i="5"/>
  <c r="CJ120" i="5" s="1"/>
  <c r="CR43" i="5"/>
  <c r="CN43" i="5"/>
  <c r="CO71" i="5"/>
  <c r="CN71" i="5"/>
  <c r="CR71" i="5"/>
  <c r="CL50" i="5"/>
  <c r="CM50" i="5" s="1"/>
  <c r="K16" i="23"/>
  <c r="CR16" i="5"/>
  <c r="CO16" i="5"/>
  <c r="CN16" i="5"/>
  <c r="CO17" i="5"/>
  <c r="CN17" i="5"/>
  <c r="CR17" i="5"/>
  <c r="CR19" i="5"/>
  <c r="CN19" i="5"/>
  <c r="CO31" i="5"/>
  <c r="CE36" i="5"/>
  <c r="CR58" i="5"/>
  <c r="CO58" i="5"/>
  <c r="CN58" i="5"/>
  <c r="CR103" i="5"/>
  <c r="CO103" i="5"/>
  <c r="CH113" i="5"/>
  <c r="CE113" i="5"/>
  <c r="CL130" i="5"/>
  <c r="CM130" i="5" s="1"/>
  <c r="CO151" i="5"/>
  <c r="CN151" i="5"/>
  <c r="CR151" i="5"/>
  <c r="CO230" i="5"/>
  <c r="CR230" i="5"/>
  <c r="CN230" i="5"/>
  <c r="CK240" i="5"/>
  <c r="CI240" i="5"/>
  <c r="CJ240" i="5" s="1"/>
  <c r="CL240" i="5" s="1"/>
  <c r="CM240" i="5" s="1"/>
  <c r="CO242" i="5"/>
  <c r="CR242" i="5"/>
  <c r="CN242" i="5"/>
  <c r="CO281" i="5"/>
  <c r="CR281" i="5"/>
  <c r="CN281" i="5"/>
  <c r="CO236" i="5"/>
  <c r="CN236" i="5"/>
  <c r="CR236" i="5"/>
  <c r="CR271" i="5"/>
  <c r="CN271" i="5"/>
  <c r="CO271" i="5"/>
  <c r="CE51" i="5"/>
  <c r="CE69" i="5"/>
  <c r="CE87" i="5"/>
  <c r="CK106" i="5"/>
  <c r="CH148" i="5"/>
  <c r="CE148" i="5"/>
  <c r="CE152" i="5"/>
  <c r="CI163" i="5"/>
  <c r="CJ163" i="5" s="1"/>
  <c r="CL163" i="5" s="1"/>
  <c r="CM163" i="5" s="1"/>
  <c r="CI173" i="5"/>
  <c r="CJ173" i="5" s="1"/>
  <c r="CL173" i="5" s="1"/>
  <c r="CM173" i="5" s="1"/>
  <c r="CK173" i="5"/>
  <c r="CL179" i="5"/>
  <c r="CM179" i="5" s="1"/>
  <c r="CK181" i="5"/>
  <c r="CI181" i="5"/>
  <c r="CJ181" i="5" s="1"/>
  <c r="CH213" i="5"/>
  <c r="CE213" i="5"/>
  <c r="CL224" i="5"/>
  <c r="CM224" i="5" s="1"/>
  <c r="CL239" i="5"/>
  <c r="CM239" i="5" s="1"/>
  <c r="CE259" i="5"/>
  <c r="C32" i="6"/>
  <c r="D32" i="6"/>
  <c r="E37" i="6"/>
  <c r="G37" i="6" s="1"/>
  <c r="D37" i="6"/>
  <c r="C37" i="6"/>
  <c r="F37" i="6"/>
  <c r="D63" i="6"/>
  <c r="E63" i="6"/>
  <c r="F63" i="6" s="1"/>
  <c r="D107" i="6"/>
  <c r="C107" i="6"/>
  <c r="CI15" i="5"/>
  <c r="CJ15" i="5" s="1"/>
  <c r="CK15" i="5"/>
  <c r="CK39" i="5"/>
  <c r="CI39" i="5"/>
  <c r="CJ39" i="5" s="1"/>
  <c r="CL39" i="5" s="1"/>
  <c r="CM39" i="5" s="1"/>
  <c r="CK95" i="5"/>
  <c r="CI95" i="5"/>
  <c r="CJ95" i="5" s="1"/>
  <c r="C48" i="3"/>
  <c r="CE90" i="5"/>
  <c r="CH149" i="5"/>
  <c r="CE149" i="5"/>
  <c r="CL212" i="5"/>
  <c r="CM212" i="5" s="1"/>
  <c r="CK303" i="5"/>
  <c r="CI303" i="5"/>
  <c r="CJ303" i="5" s="1"/>
  <c r="CL303" i="5" s="1"/>
  <c r="CM303" i="5" s="1"/>
  <c r="CI80" i="5"/>
  <c r="CJ80" i="5" s="1"/>
  <c r="CL80" i="5" s="1"/>
  <c r="CM80" i="5" s="1"/>
  <c r="CE158" i="5"/>
  <c r="CI162" i="5"/>
  <c r="CJ162" i="5" s="1"/>
  <c r="CL162" i="5" s="1"/>
  <c r="CM162" i="5" s="1"/>
  <c r="CI164" i="5"/>
  <c r="CJ164" i="5" s="1"/>
  <c r="CK164" i="5"/>
  <c r="CH235" i="5"/>
  <c r="CE235" i="5"/>
  <c r="CO254" i="5"/>
  <c r="CN254" i="5"/>
  <c r="CR254" i="5"/>
  <c r="R258" i="24"/>
  <c r="F258" i="24"/>
  <c r="AA258" i="24"/>
  <c r="N258" i="24"/>
  <c r="Z258" i="24"/>
  <c r="M258" i="24"/>
  <c r="S258" i="24"/>
  <c r="E258" i="24"/>
  <c r="X258" i="24"/>
  <c r="H258" i="24"/>
  <c r="W258" i="24"/>
  <c r="G258" i="24"/>
  <c r="Q258" i="24"/>
  <c r="P258" i="24"/>
  <c r="Y258" i="24"/>
  <c r="C258" i="24"/>
  <c r="U258" i="24"/>
  <c r="T258" i="24"/>
  <c r="O258" i="24"/>
  <c r="J258" i="24"/>
  <c r="I258" i="24"/>
  <c r="D258" i="24"/>
  <c r="AC258" i="24"/>
  <c r="AB258" i="24"/>
  <c r="V258" i="24"/>
  <c r="L258" i="24"/>
  <c r="K258" i="24"/>
  <c r="CE18" i="5"/>
  <c r="CE30" i="5"/>
  <c r="CE42" i="5"/>
  <c r="CE57" i="5"/>
  <c r="CE75" i="5"/>
  <c r="CI97" i="5"/>
  <c r="CJ97" i="5" s="1"/>
  <c r="CL97" i="5" s="1"/>
  <c r="CM97" i="5" s="1"/>
  <c r="CI106" i="5"/>
  <c r="CJ106" i="5" s="1"/>
  <c r="CL106" i="5" s="1"/>
  <c r="CM106" i="5" s="1"/>
  <c r="CH139" i="5"/>
  <c r="CK163" i="5"/>
  <c r="CP260" i="5"/>
  <c r="CQ260" i="5" s="1"/>
  <c r="CW260" i="5"/>
  <c r="CV260" i="5"/>
  <c r="CT260" i="5"/>
  <c r="CS260" i="5"/>
  <c r="CK261" i="5"/>
  <c r="CO269" i="5"/>
  <c r="CR269" i="5"/>
  <c r="CN269" i="5"/>
  <c r="CE54" i="5"/>
  <c r="CL144" i="5"/>
  <c r="CM144" i="5" s="1"/>
  <c r="CE189" i="5"/>
  <c r="CL206" i="5"/>
  <c r="CM206" i="5" s="1"/>
  <c r="CE207" i="5"/>
  <c r="CH219" i="5"/>
  <c r="CE219" i="5"/>
  <c r="G145" i="6"/>
  <c r="H145" i="6"/>
  <c r="CI126" i="5"/>
  <c r="CJ126" i="5" s="1"/>
  <c r="CL126" i="5" s="1"/>
  <c r="CM126" i="5" s="1"/>
  <c r="CR275" i="5"/>
  <c r="CS275" i="5" s="1"/>
  <c r="CT275" i="5" s="1"/>
  <c r="CB5" i="5"/>
  <c r="CB8" i="5"/>
  <c r="CI11" i="5"/>
  <c r="CJ11" i="5" s="1"/>
  <c r="CL11" i="5" s="1"/>
  <c r="CM11" i="5" s="1"/>
  <c r="CI23" i="5"/>
  <c r="CJ23" i="5" s="1"/>
  <c r="CL23" i="5" s="1"/>
  <c r="CM23" i="5" s="1"/>
  <c r="CI35" i="5"/>
  <c r="CJ35" i="5" s="1"/>
  <c r="CL35" i="5" s="1"/>
  <c r="CM35" i="5" s="1"/>
  <c r="CI47" i="5"/>
  <c r="CJ47" i="5" s="1"/>
  <c r="CL47" i="5" s="1"/>
  <c r="CM47" i="5" s="1"/>
  <c r="CK62" i="5"/>
  <c r="CL62" i="5" s="1"/>
  <c r="CM62" i="5" s="1"/>
  <c r="CI65" i="5"/>
  <c r="CJ65" i="5" s="1"/>
  <c r="CL65" i="5" s="1"/>
  <c r="CM65" i="5" s="1"/>
  <c r="CI83" i="5"/>
  <c r="CJ83" i="5" s="1"/>
  <c r="CL83" i="5" s="1"/>
  <c r="CM83" i="5" s="1"/>
  <c r="CI93" i="5"/>
  <c r="CJ93" i="5" s="1"/>
  <c r="CL93" i="5" s="1"/>
  <c r="CM93" i="5" s="1"/>
  <c r="CH96" i="5"/>
  <c r="CE96" i="5"/>
  <c r="CH121" i="5"/>
  <c r="CI121" i="5" s="1"/>
  <c r="CJ121" i="5" s="1"/>
  <c r="CL121" i="5" s="1"/>
  <c r="CM121" i="5" s="1"/>
  <c r="CH128" i="5"/>
  <c r="CE128" i="5"/>
  <c r="CI139" i="5"/>
  <c r="CJ139" i="5" s="1"/>
  <c r="CL139" i="5" s="1"/>
  <c r="CM139" i="5" s="1"/>
  <c r="CI154" i="5"/>
  <c r="CJ154" i="5" s="1"/>
  <c r="CL154" i="5" s="1"/>
  <c r="CM154" i="5" s="1"/>
  <c r="CK154" i="5"/>
  <c r="CI159" i="5"/>
  <c r="CJ159" i="5" s="1"/>
  <c r="CL159" i="5" s="1"/>
  <c r="CM159" i="5" s="1"/>
  <c r="CK159" i="5"/>
  <c r="CE192" i="5"/>
  <c r="CH192" i="5"/>
  <c r="CH244" i="5"/>
  <c r="CE244" i="5"/>
  <c r="CN260" i="5"/>
  <c r="D138" i="6"/>
  <c r="AA217" i="24"/>
  <c r="O217" i="24"/>
  <c r="C217" i="24"/>
  <c r="S217" i="24"/>
  <c r="F217" i="24"/>
  <c r="AB217" i="24"/>
  <c r="M217" i="24"/>
  <c r="Z217" i="24"/>
  <c r="L217" i="24"/>
  <c r="X217" i="24"/>
  <c r="H217" i="24"/>
  <c r="W217" i="24"/>
  <c r="G217" i="24"/>
  <c r="P217" i="24"/>
  <c r="N217" i="24"/>
  <c r="K217" i="24"/>
  <c r="U217" i="24"/>
  <c r="T217" i="24"/>
  <c r="R217" i="24"/>
  <c r="V217" i="24"/>
  <c r="Q217" i="24"/>
  <c r="J217" i="24"/>
  <c r="I217" i="24"/>
  <c r="E217" i="24"/>
  <c r="D217" i="24"/>
  <c r="AC217" i="24"/>
  <c r="Y217" i="24"/>
  <c r="CI27" i="5"/>
  <c r="CJ27" i="5" s="1"/>
  <c r="CK27" i="5"/>
  <c r="CH169" i="5"/>
  <c r="CE169" i="5"/>
  <c r="CP275" i="5"/>
  <c r="CQ275" i="5" s="1"/>
  <c r="CU275" i="5"/>
  <c r="CV275" i="5" s="1"/>
  <c r="CY275" i="5"/>
  <c r="CZ275" i="5" s="1"/>
  <c r="CW275" i="5"/>
  <c r="CO215" i="5"/>
  <c r="CR215" i="5"/>
  <c r="CN215" i="5"/>
  <c r="CN275" i="5"/>
  <c r="E148" i="6"/>
  <c r="I148" i="6" s="1"/>
  <c r="D148" i="6"/>
  <c r="C148" i="6"/>
  <c r="C94" i="3"/>
  <c r="E40" i="4" s="1"/>
  <c r="E56" i="4"/>
  <c r="E57" i="4" s="1"/>
  <c r="E58" i="4" s="1"/>
  <c r="E59" i="4" s="1"/>
  <c r="E60" i="4" s="1"/>
  <c r="CK60" i="5"/>
  <c r="CI60" i="5"/>
  <c r="CJ60" i="5" s="1"/>
  <c r="CK78" i="5"/>
  <c r="CI78" i="5"/>
  <c r="CJ78" i="5" s="1"/>
  <c r="CI98" i="5"/>
  <c r="CJ98" i="5" s="1"/>
  <c r="CL98" i="5" s="1"/>
  <c r="CM98" i="5" s="1"/>
  <c r="CI114" i="5"/>
  <c r="CJ114" i="5" s="1"/>
  <c r="CL114" i="5" s="1"/>
  <c r="CM114" i="5" s="1"/>
  <c r="CI119" i="5"/>
  <c r="CJ119" i="5" s="1"/>
  <c r="CK119" i="5"/>
  <c r="CK127" i="5"/>
  <c r="CL127" i="5" s="1"/>
  <c r="CM127" i="5" s="1"/>
  <c r="CK130" i="5"/>
  <c r="CI153" i="5"/>
  <c r="CJ153" i="5" s="1"/>
  <c r="CL153" i="5" s="1"/>
  <c r="CM153" i="5" s="1"/>
  <c r="CH166" i="5"/>
  <c r="CE166" i="5"/>
  <c r="CL176" i="5"/>
  <c r="CM176" i="5" s="1"/>
  <c r="CN201" i="5"/>
  <c r="CK202" i="5"/>
  <c r="CE222" i="5"/>
  <c r="CR260" i="5"/>
  <c r="CI289" i="5"/>
  <c r="CJ289" i="5" s="1"/>
  <c r="CK289" i="5"/>
  <c r="H91" i="8"/>
  <c r="W112" i="24"/>
  <c r="K112" i="24"/>
  <c r="Y112" i="24"/>
  <c r="L112" i="24"/>
  <c r="X112" i="24"/>
  <c r="J112" i="24"/>
  <c r="U112" i="24"/>
  <c r="F112" i="24"/>
  <c r="T112" i="24"/>
  <c r="E112" i="24"/>
  <c r="S112" i="24"/>
  <c r="D112" i="24"/>
  <c r="R112" i="24"/>
  <c r="Q112" i="24"/>
  <c r="P112" i="24"/>
  <c r="AB112" i="24"/>
  <c r="G112" i="24"/>
  <c r="AA112" i="24"/>
  <c r="C112" i="24"/>
  <c r="AC112" i="24"/>
  <c r="Z112" i="24"/>
  <c r="V112" i="24"/>
  <c r="O112" i="24"/>
  <c r="M112" i="24"/>
  <c r="I112" i="24"/>
  <c r="H112" i="24"/>
  <c r="CK21" i="5"/>
  <c r="CI21" i="5"/>
  <c r="CJ21" i="5" s="1"/>
  <c r="CL21" i="5" s="1"/>
  <c r="CM21" i="5" s="1"/>
  <c r="CK33" i="5"/>
  <c r="CI33" i="5"/>
  <c r="CJ33" i="5" s="1"/>
  <c r="CL33" i="5" s="1"/>
  <c r="CM33" i="5" s="1"/>
  <c r="CI100" i="5"/>
  <c r="CJ100" i="5" s="1"/>
  <c r="CL100" i="5" s="1"/>
  <c r="CM100" i="5" s="1"/>
  <c r="CL112" i="5"/>
  <c r="CM112" i="5" s="1"/>
  <c r="CR142" i="5"/>
  <c r="CN142" i="5"/>
  <c r="CI177" i="5"/>
  <c r="CJ177" i="5" s="1"/>
  <c r="CK177" i="5"/>
  <c r="CH187" i="5"/>
  <c r="CE187" i="5"/>
  <c r="CH193" i="5"/>
  <c r="CE193" i="5"/>
  <c r="CS201" i="5"/>
  <c r="CV201" i="5"/>
  <c r="CT201" i="5"/>
  <c r="CW201" i="5"/>
  <c r="CL203" i="5"/>
  <c r="CM203" i="5" s="1"/>
  <c r="CO263" i="5"/>
  <c r="CN263" i="5"/>
  <c r="CR263" i="5"/>
  <c r="CH265" i="5"/>
  <c r="CE265" i="5"/>
  <c r="CO287" i="5"/>
  <c r="CR287" i="5"/>
  <c r="CN287" i="5"/>
  <c r="CE72" i="5"/>
  <c r="CE133" i="5"/>
  <c r="F151" i="6"/>
  <c r="E151" i="6"/>
  <c r="I151" i="6" s="1"/>
  <c r="D151" i="6"/>
  <c r="C151" i="6"/>
  <c r="CK45" i="5"/>
  <c r="CI45" i="5"/>
  <c r="CJ45" i="5" s="1"/>
  <c r="CL45" i="5" s="1"/>
  <c r="CM45" i="5" s="1"/>
  <c r="CI107" i="5"/>
  <c r="CJ107" i="5" s="1"/>
  <c r="CL107" i="5" s="1"/>
  <c r="CM107" i="5" s="1"/>
  <c r="CK107" i="5"/>
  <c r="CC5" i="5"/>
  <c r="CC8" i="5"/>
  <c r="CE63" i="5"/>
  <c r="CE81" i="5"/>
  <c r="CI104" i="5"/>
  <c r="CJ104" i="5" s="1"/>
  <c r="CL104" i="5" s="1"/>
  <c r="CM104" i="5" s="1"/>
  <c r="CE125" i="5"/>
  <c r="CK129" i="5"/>
  <c r="CL129" i="5" s="1"/>
  <c r="CM129" i="5" s="1"/>
  <c r="CE137" i="5"/>
  <c r="CK146" i="5"/>
  <c r="CL146" i="5" s="1"/>
  <c r="CM146" i="5" s="1"/>
  <c r="CE155" i="5"/>
  <c r="CI171" i="5"/>
  <c r="CJ171" i="5" s="1"/>
  <c r="CL171" i="5" s="1"/>
  <c r="CM171" i="5" s="1"/>
  <c r="CK171" i="5"/>
  <c r="CL197" i="5"/>
  <c r="CM197" i="5" s="1"/>
  <c r="CP201" i="5"/>
  <c r="CI261" i="5"/>
  <c r="CJ261" i="5" s="1"/>
  <c r="CL261" i="5" s="1"/>
  <c r="CM261" i="5" s="1"/>
  <c r="CL266" i="5"/>
  <c r="CM266" i="5" s="1"/>
  <c r="CK270" i="5"/>
  <c r="CI270" i="5"/>
  <c r="CJ270" i="5" s="1"/>
  <c r="CL270" i="5" s="1"/>
  <c r="CM270" i="5" s="1"/>
  <c r="CH277" i="5"/>
  <c r="CE277" i="5"/>
  <c r="CO278" i="5"/>
  <c r="CR278" i="5"/>
  <c r="CN278" i="5"/>
  <c r="CK185" i="5"/>
  <c r="CK216" i="5"/>
  <c r="CK231" i="5"/>
  <c r="CK234" i="5"/>
  <c r="CH283" i="5"/>
  <c r="CE283" i="5"/>
  <c r="CL302" i="5"/>
  <c r="CM302" i="5" s="1"/>
  <c r="AB297" i="24"/>
  <c r="S297" i="24"/>
  <c r="G297" i="24"/>
  <c r="R297" i="24"/>
  <c r="F297" i="24"/>
  <c r="W297" i="24"/>
  <c r="K297" i="24"/>
  <c r="U297" i="24"/>
  <c r="D297" i="24"/>
  <c r="T297" i="24"/>
  <c r="C297" i="24"/>
  <c r="Z297" i="24"/>
  <c r="J297" i="24"/>
  <c r="N297" i="24"/>
  <c r="M297" i="24"/>
  <c r="X297" i="24"/>
  <c r="V297" i="24"/>
  <c r="E297" i="24"/>
  <c r="P297" i="24"/>
  <c r="O297" i="24"/>
  <c r="L297" i="24"/>
  <c r="Q297" i="24"/>
  <c r="I297" i="24"/>
  <c r="H297" i="24"/>
  <c r="AC297" i="24"/>
  <c r="AA297" i="24"/>
  <c r="R166" i="24"/>
  <c r="F166" i="24"/>
  <c r="Q166" i="24"/>
  <c r="D166" i="24"/>
  <c r="AC166" i="24"/>
  <c r="P166" i="24"/>
  <c r="C166" i="24"/>
  <c r="W166" i="24"/>
  <c r="H166" i="24"/>
  <c r="V166" i="24"/>
  <c r="G166" i="24"/>
  <c r="S166" i="24"/>
  <c r="O166" i="24"/>
  <c r="L166" i="24"/>
  <c r="K166" i="24"/>
  <c r="J166" i="24"/>
  <c r="AA166" i="24"/>
  <c r="Z166" i="24"/>
  <c r="Y166" i="24"/>
  <c r="I166" i="24"/>
  <c r="E166" i="24"/>
  <c r="T166" i="24"/>
  <c r="N166" i="24"/>
  <c r="M166" i="24"/>
  <c r="AB166" i="24"/>
  <c r="X166" i="24"/>
  <c r="U166" i="24"/>
  <c r="AB312" i="24"/>
  <c r="P312" i="24"/>
  <c r="D312" i="24"/>
  <c r="X312" i="24"/>
  <c r="L312" i="24"/>
  <c r="U312" i="24"/>
  <c r="AC312" i="24"/>
  <c r="M312" i="24"/>
  <c r="AA312" i="24"/>
  <c r="K312" i="24"/>
  <c r="V312" i="24"/>
  <c r="E312" i="24"/>
  <c r="T312" i="24"/>
  <c r="C312" i="24"/>
  <c r="I312" i="24"/>
  <c r="O312" i="24"/>
  <c r="N312" i="24"/>
  <c r="W312" i="24"/>
  <c r="Y312" i="24"/>
  <c r="S312" i="24"/>
  <c r="R312" i="24"/>
  <c r="Q312" i="24"/>
  <c r="J312" i="24"/>
  <c r="H312" i="24"/>
  <c r="G312" i="24"/>
  <c r="Z312" i="24"/>
  <c r="F312" i="24"/>
  <c r="V153" i="24"/>
  <c r="J153" i="24"/>
  <c r="R153" i="24"/>
  <c r="E153" i="24"/>
  <c r="AA153" i="24"/>
  <c r="M153" i="24"/>
  <c r="Z153" i="24"/>
  <c r="L153" i="24"/>
  <c r="O153" i="24"/>
  <c r="N153" i="24"/>
  <c r="T153" i="24"/>
  <c r="S153" i="24"/>
  <c r="Q153" i="24"/>
  <c r="W153" i="24"/>
  <c r="U153" i="24"/>
  <c r="P153" i="24"/>
  <c r="AC153" i="24"/>
  <c r="D153" i="24"/>
  <c r="AB153" i="24"/>
  <c r="C153" i="24"/>
  <c r="Y153" i="24"/>
  <c r="X153" i="24"/>
  <c r="G153" i="24"/>
  <c r="F153" i="24"/>
  <c r="K153" i="24"/>
  <c r="I153" i="24"/>
  <c r="CI110" i="5"/>
  <c r="CJ110" i="5" s="1"/>
  <c r="CL110" i="5" s="1"/>
  <c r="CM110" i="5" s="1"/>
  <c r="CI138" i="5"/>
  <c r="CJ138" i="5" s="1"/>
  <c r="CL138" i="5" s="1"/>
  <c r="CM138" i="5" s="1"/>
  <c r="CI145" i="5"/>
  <c r="CJ145" i="5" s="1"/>
  <c r="CL145" i="5" s="1"/>
  <c r="CM145" i="5" s="1"/>
  <c r="CI185" i="5"/>
  <c r="CJ185" i="5" s="1"/>
  <c r="CL185" i="5" s="1"/>
  <c r="CM185" i="5" s="1"/>
  <c r="CI186" i="5"/>
  <c r="CJ186" i="5" s="1"/>
  <c r="CL186" i="5" s="1"/>
  <c r="CM186" i="5" s="1"/>
  <c r="CI216" i="5"/>
  <c r="CJ216" i="5" s="1"/>
  <c r="CL216" i="5" s="1"/>
  <c r="CM216" i="5" s="1"/>
  <c r="CI231" i="5"/>
  <c r="CJ231" i="5" s="1"/>
  <c r="CL231" i="5" s="1"/>
  <c r="CM231" i="5" s="1"/>
  <c r="CI234" i="5"/>
  <c r="CJ234" i="5" s="1"/>
  <c r="CL234" i="5" s="1"/>
  <c r="CM234" i="5" s="1"/>
  <c r="CL248" i="5"/>
  <c r="CM248" i="5" s="1"/>
  <c r="CL272" i="5"/>
  <c r="CM272" i="5" s="1"/>
  <c r="CL284" i="5"/>
  <c r="CM284" i="5" s="1"/>
  <c r="CK292" i="5"/>
  <c r="CL292" i="5" s="1"/>
  <c r="CM292" i="5" s="1"/>
  <c r="F89" i="6"/>
  <c r="H153" i="24"/>
  <c r="CK124" i="5"/>
  <c r="CL124" i="5" s="1"/>
  <c r="CM124" i="5" s="1"/>
  <c r="CI131" i="5"/>
  <c r="CJ131" i="5" s="1"/>
  <c r="CK131" i="5"/>
  <c r="CL168" i="5"/>
  <c r="CM168" i="5" s="1"/>
  <c r="CK190" i="5"/>
  <c r="CH196" i="5"/>
  <c r="CE196" i="5"/>
  <c r="CH217" i="5"/>
  <c r="CE217" i="5"/>
  <c r="CK220" i="5"/>
  <c r="CI220" i="5"/>
  <c r="CJ220" i="5" s="1"/>
  <c r="CL220" i="5" s="1"/>
  <c r="CM220" i="5" s="1"/>
  <c r="CK229" i="5"/>
  <c r="CK232" i="5"/>
  <c r="CI232" i="5"/>
  <c r="CJ232" i="5" s="1"/>
  <c r="CK249" i="5"/>
  <c r="CK267" i="5"/>
  <c r="CL267" i="5" s="1"/>
  <c r="CM267" i="5" s="1"/>
  <c r="CK285" i="5"/>
  <c r="CI285" i="5"/>
  <c r="CJ285" i="5" s="1"/>
  <c r="CO293" i="5"/>
  <c r="CR293" i="5"/>
  <c r="CN293" i="5"/>
  <c r="D101" i="6"/>
  <c r="C101" i="6"/>
  <c r="AA208" i="24"/>
  <c r="O208" i="24"/>
  <c r="C208" i="24"/>
  <c r="V208" i="24"/>
  <c r="I208" i="24"/>
  <c r="X208" i="24"/>
  <c r="J208" i="24"/>
  <c r="W208" i="24"/>
  <c r="H208" i="24"/>
  <c r="AB208" i="24"/>
  <c r="K208" i="24"/>
  <c r="Z208" i="24"/>
  <c r="G208" i="24"/>
  <c r="Q208" i="24"/>
  <c r="P208" i="24"/>
  <c r="N208" i="24"/>
  <c r="R208" i="24"/>
  <c r="M208" i="24"/>
  <c r="L208" i="24"/>
  <c r="Y208" i="24"/>
  <c r="U208" i="24"/>
  <c r="T208" i="24"/>
  <c r="AC208" i="24"/>
  <c r="S208" i="24"/>
  <c r="F208" i="24"/>
  <c r="E208" i="24"/>
  <c r="D208" i="24"/>
  <c r="CE101" i="5"/>
  <c r="CH178" i="5"/>
  <c r="CE178" i="5"/>
  <c r="CE184" i="5"/>
  <c r="CK212" i="5"/>
  <c r="CK246" i="5"/>
  <c r="CI246" i="5"/>
  <c r="CJ246" i="5" s="1"/>
  <c r="CE280" i="5"/>
  <c r="D141" i="6"/>
  <c r="H144" i="6"/>
  <c r="G144" i="6"/>
  <c r="CI108" i="5"/>
  <c r="CJ108" i="5" s="1"/>
  <c r="CL108" i="5" s="1"/>
  <c r="CM108" i="5" s="1"/>
  <c r="CH110" i="5"/>
  <c r="CE180" i="5"/>
  <c r="CH186" i="5"/>
  <c r="CK210" i="5"/>
  <c r="CI210" i="5"/>
  <c r="CJ210" i="5" s="1"/>
  <c r="CL210" i="5" s="1"/>
  <c r="CM210" i="5" s="1"/>
  <c r="CI233" i="5"/>
  <c r="CJ233" i="5" s="1"/>
  <c r="CL233" i="5" s="1"/>
  <c r="CM233" i="5" s="1"/>
  <c r="CK233" i="5"/>
  <c r="CL237" i="5"/>
  <c r="CM237" i="5" s="1"/>
  <c r="CK243" i="5"/>
  <c r="CI243" i="5"/>
  <c r="CJ243" i="5" s="1"/>
  <c r="CL243" i="5" s="1"/>
  <c r="CM243" i="5" s="1"/>
  <c r="CI250" i="5"/>
  <c r="CJ250" i="5" s="1"/>
  <c r="CK250" i="5"/>
  <c r="CL256" i="5"/>
  <c r="CM256" i="5" s="1"/>
  <c r="CL295" i="5"/>
  <c r="CM295" i="5" s="1"/>
  <c r="D134" i="6"/>
  <c r="C134" i="6"/>
  <c r="F134" i="6"/>
  <c r="C141" i="6"/>
  <c r="M31" i="24"/>
  <c r="O31" i="24" s="1"/>
  <c r="M25" i="24"/>
  <c r="M34" i="24"/>
  <c r="O34" i="24" s="1"/>
  <c r="M30" i="24"/>
  <c r="O30" i="24" s="1"/>
  <c r="M33" i="24"/>
  <c r="O33" i="24" s="1"/>
  <c r="M32" i="24"/>
  <c r="O32" i="24" s="1"/>
  <c r="M29" i="24"/>
  <c r="O29" i="24" s="1"/>
  <c r="M27" i="24"/>
  <c r="O27" i="24" s="1"/>
  <c r="M28" i="24"/>
  <c r="O28" i="24" s="1"/>
  <c r="M26" i="24"/>
  <c r="O26" i="24" s="1"/>
  <c r="CH102" i="5"/>
  <c r="CI102" i="5" s="1"/>
  <c r="CJ102" i="5" s="1"/>
  <c r="CL102" i="5" s="1"/>
  <c r="CM102" i="5" s="1"/>
  <c r="CE116" i="5"/>
  <c r="CH140" i="5"/>
  <c r="CE140" i="5"/>
  <c r="CK157" i="5"/>
  <c r="CL157" i="5" s="1"/>
  <c r="CM157" i="5" s="1"/>
  <c r="CK160" i="5"/>
  <c r="CL160" i="5" s="1"/>
  <c r="CM160" i="5" s="1"/>
  <c r="CK172" i="5"/>
  <c r="CI172" i="5"/>
  <c r="CJ172" i="5" s="1"/>
  <c r="CL172" i="5" s="1"/>
  <c r="CM172" i="5" s="1"/>
  <c r="CK175" i="5"/>
  <c r="CL175" i="5" s="1"/>
  <c r="CM175" i="5" s="1"/>
  <c r="CK186" i="5"/>
  <c r="CL188" i="5"/>
  <c r="CM188" i="5" s="1"/>
  <c r="CI190" i="5"/>
  <c r="CJ190" i="5" s="1"/>
  <c r="CI198" i="5"/>
  <c r="CJ198" i="5" s="1"/>
  <c r="CL198" i="5" s="1"/>
  <c r="CM198" i="5" s="1"/>
  <c r="CK221" i="5"/>
  <c r="CI221" i="5"/>
  <c r="CJ221" i="5" s="1"/>
  <c r="CI229" i="5"/>
  <c r="CJ229" i="5" s="1"/>
  <c r="CL229" i="5" s="1"/>
  <c r="CM229" i="5" s="1"/>
  <c r="CI249" i="5"/>
  <c r="CJ249" i="5" s="1"/>
  <c r="CL249" i="5" s="1"/>
  <c r="CM249" i="5" s="1"/>
  <c r="CH304" i="5"/>
  <c r="CE304" i="5"/>
  <c r="E66" i="6"/>
  <c r="F66" i="6" s="1"/>
  <c r="D66" i="6"/>
  <c r="E134" i="6"/>
  <c r="I134" i="6" s="1"/>
  <c r="CK183" i="5"/>
  <c r="CI209" i="5"/>
  <c r="CJ209" i="5" s="1"/>
  <c r="CK209" i="5"/>
  <c r="CH226" i="5"/>
  <c r="CE226" i="5"/>
  <c r="CH241" i="5"/>
  <c r="CE241" i="5"/>
  <c r="CH291" i="5"/>
  <c r="CE291" i="5"/>
  <c r="CK294" i="5"/>
  <c r="CI294" i="5"/>
  <c r="CJ294" i="5" s="1"/>
  <c r="F67" i="6"/>
  <c r="E70" i="6"/>
  <c r="D70" i="6"/>
  <c r="E78" i="6"/>
  <c r="F78" i="6" s="1"/>
  <c r="D78" i="6"/>
  <c r="D102" i="6"/>
  <c r="D139" i="6"/>
  <c r="AB83" i="24"/>
  <c r="P83" i="24"/>
  <c r="D83" i="24"/>
  <c r="AA83" i="24"/>
  <c r="O83" i="24"/>
  <c r="C83" i="24"/>
  <c r="V83" i="24"/>
  <c r="H83" i="24"/>
  <c r="U83" i="24"/>
  <c r="G83" i="24"/>
  <c r="T83" i="24"/>
  <c r="F83" i="24"/>
  <c r="L83" i="24"/>
  <c r="K83" i="24"/>
  <c r="AC83" i="24"/>
  <c r="J83" i="24"/>
  <c r="R83" i="24"/>
  <c r="Q83" i="24"/>
  <c r="Z83" i="24"/>
  <c r="Y83" i="24"/>
  <c r="S83" i="24"/>
  <c r="N83" i="24"/>
  <c r="M83" i="24"/>
  <c r="X83" i="24"/>
  <c r="W83" i="24"/>
  <c r="CK228" i="5"/>
  <c r="CL228" i="5" s="1"/>
  <c r="CM228" i="5" s="1"/>
  <c r="CK297" i="5"/>
  <c r="CI297" i="5"/>
  <c r="CJ297" i="5" s="1"/>
  <c r="CL297" i="5" s="1"/>
  <c r="CM297" i="5" s="1"/>
  <c r="CO299" i="5"/>
  <c r="CN299" i="5"/>
  <c r="CK300" i="5"/>
  <c r="CI300" i="5"/>
  <c r="CJ300" i="5" s="1"/>
  <c r="CL300" i="5" s="1"/>
  <c r="CM300" i="5" s="1"/>
  <c r="E47" i="6"/>
  <c r="D47" i="6"/>
  <c r="C47" i="6"/>
  <c r="E56" i="6"/>
  <c r="F56" i="6" s="1"/>
  <c r="D56" i="6"/>
  <c r="C50" i="16"/>
  <c r="C44" i="16"/>
  <c r="C49" i="16"/>
  <c r="C54" i="16"/>
  <c r="C45" i="16"/>
  <c r="C46" i="16"/>
  <c r="C48" i="16"/>
  <c r="C52" i="16"/>
  <c r="AB50" i="24"/>
  <c r="P50" i="24"/>
  <c r="D50" i="24"/>
  <c r="AA50" i="24"/>
  <c r="O50" i="24"/>
  <c r="C50" i="24"/>
  <c r="X50" i="24"/>
  <c r="J50" i="24"/>
  <c r="W50" i="24"/>
  <c r="I50" i="24"/>
  <c r="V50" i="24"/>
  <c r="H50" i="24"/>
  <c r="N50" i="24"/>
  <c r="M50" i="24"/>
  <c r="L50" i="24"/>
  <c r="T50" i="24"/>
  <c r="S50" i="24"/>
  <c r="AC50" i="24"/>
  <c r="Z50" i="24"/>
  <c r="G50" i="24"/>
  <c r="F50" i="24"/>
  <c r="E50" i="24"/>
  <c r="U50" i="24"/>
  <c r="R50" i="24"/>
  <c r="Q50" i="24"/>
  <c r="K50" i="24"/>
  <c r="E83" i="24"/>
  <c r="CI253" i="5"/>
  <c r="CJ253" i="5" s="1"/>
  <c r="CK253" i="5"/>
  <c r="CL257" i="5"/>
  <c r="CM257" i="5" s="1"/>
  <c r="CE258" i="5"/>
  <c r="CH258" i="5"/>
  <c r="CK273" i="5"/>
  <c r="CI273" i="5"/>
  <c r="CJ273" i="5" s="1"/>
  <c r="CL273" i="5" s="1"/>
  <c r="CM273" i="5" s="1"/>
  <c r="D34" i="22"/>
  <c r="C37" i="22"/>
  <c r="Y50" i="24"/>
  <c r="I83" i="24"/>
  <c r="CI182" i="5"/>
  <c r="CJ182" i="5" s="1"/>
  <c r="CK182" i="5"/>
  <c r="CH183" i="5"/>
  <c r="CI183" i="5" s="1"/>
  <c r="CJ183" i="5" s="1"/>
  <c r="CL183" i="5" s="1"/>
  <c r="CM183" i="5" s="1"/>
  <c r="CI195" i="5"/>
  <c r="CJ195" i="5" s="1"/>
  <c r="CL195" i="5" s="1"/>
  <c r="CM195" i="5" s="1"/>
  <c r="CK223" i="5"/>
  <c r="CL223" i="5" s="1"/>
  <c r="CM223" i="5" s="1"/>
  <c r="CE247" i="5"/>
  <c r="F48" i="6"/>
  <c r="F75" i="6"/>
  <c r="D96" i="6"/>
  <c r="C43" i="16" s="1"/>
  <c r="F88" i="8"/>
  <c r="F122" i="8" s="1"/>
  <c r="F123" i="8" s="1"/>
  <c r="CL204" i="5"/>
  <c r="CM204" i="5" s="1"/>
  <c r="CK208" i="5"/>
  <c r="CI208" i="5"/>
  <c r="CJ208" i="5" s="1"/>
  <c r="CL208" i="5" s="1"/>
  <c r="CM208" i="5" s="1"/>
  <c r="CK237" i="5"/>
  <c r="CK262" i="5"/>
  <c r="CL262" i="5" s="1"/>
  <c r="CM262" i="5" s="1"/>
  <c r="CE279" i="5"/>
  <c r="CH279" i="5"/>
  <c r="D27" i="6"/>
  <c r="C27" i="6"/>
  <c r="E44" i="6"/>
  <c r="D44" i="6"/>
  <c r="E49" i="6"/>
  <c r="F49" i="6" s="1"/>
  <c r="C49" i="6"/>
  <c r="G155" i="6"/>
  <c r="H155" i="6"/>
  <c r="D122" i="8"/>
  <c r="D123" i="8" s="1"/>
  <c r="D91" i="8"/>
  <c r="E53" i="6"/>
  <c r="D53" i="6"/>
  <c r="E61" i="6"/>
  <c r="F61" i="6" s="1"/>
  <c r="D61" i="6"/>
  <c r="C61" i="6"/>
  <c r="D79" i="6"/>
  <c r="C79" i="6"/>
  <c r="F43" i="21"/>
  <c r="F59" i="21" s="1"/>
  <c r="G46" i="24"/>
  <c r="D46" i="24"/>
  <c r="C46" i="24"/>
  <c r="CH268" i="5"/>
  <c r="CE268" i="5"/>
  <c r="CE286" i="5"/>
  <c r="D29" i="6"/>
  <c r="C29" i="6"/>
  <c r="C53" i="6"/>
  <c r="E79" i="6"/>
  <c r="F79" i="6" s="1"/>
  <c r="F82" i="6"/>
  <c r="F143" i="6"/>
  <c r="E143" i="6"/>
  <c r="I143" i="6" s="1"/>
  <c r="D143" i="6"/>
  <c r="F146" i="6"/>
  <c r="D146" i="6"/>
  <c r="AB68" i="24"/>
  <c r="P68" i="24"/>
  <c r="D68" i="24"/>
  <c r="AA68" i="24"/>
  <c r="O68" i="24"/>
  <c r="C68" i="24"/>
  <c r="X68" i="24"/>
  <c r="J68" i="24"/>
  <c r="W68" i="24"/>
  <c r="I68" i="24"/>
  <c r="V68" i="24"/>
  <c r="H68" i="24"/>
  <c r="S68" i="24"/>
  <c r="R68" i="24"/>
  <c r="Q68" i="24"/>
  <c r="Z68" i="24"/>
  <c r="F68" i="24"/>
  <c r="Y68" i="24"/>
  <c r="E68" i="24"/>
  <c r="L68" i="24"/>
  <c r="K68" i="24"/>
  <c r="G68" i="24"/>
  <c r="AC68" i="24"/>
  <c r="T68" i="24"/>
  <c r="N68" i="24"/>
  <c r="M68" i="24"/>
  <c r="U302" i="24"/>
  <c r="I302" i="24"/>
  <c r="T302" i="24"/>
  <c r="H302" i="24"/>
  <c r="V302" i="24"/>
  <c r="F302" i="24"/>
  <c r="S302" i="24"/>
  <c r="E302" i="24"/>
  <c r="Z302" i="24"/>
  <c r="L302" i="24"/>
  <c r="N302" i="24"/>
  <c r="M302" i="24"/>
  <c r="R302" i="24"/>
  <c r="O302" i="24"/>
  <c r="K302" i="24"/>
  <c r="P302" i="24"/>
  <c r="J302" i="24"/>
  <c r="Y302" i="24"/>
  <c r="AC302" i="24"/>
  <c r="AB302" i="24"/>
  <c r="AA302" i="24"/>
  <c r="Q302" i="24"/>
  <c r="G302" i="24"/>
  <c r="D302" i="24"/>
  <c r="X302" i="24"/>
  <c r="W302" i="24"/>
  <c r="C302" i="24"/>
  <c r="CK282" i="5"/>
  <c r="CL282" i="5" s="1"/>
  <c r="CM282" i="5" s="1"/>
  <c r="D36" i="6"/>
  <c r="E83" i="6"/>
  <c r="F83" i="6" s="1"/>
  <c r="D83" i="6"/>
  <c r="C83" i="6"/>
  <c r="E87" i="6"/>
  <c r="F87" i="6" s="1"/>
  <c r="D87" i="6"/>
  <c r="G42" i="21"/>
  <c r="G58" i="21" s="1"/>
  <c r="I40" i="21"/>
  <c r="I56" i="21" s="1"/>
  <c r="C43" i="21"/>
  <c r="C59" i="21" s="1"/>
  <c r="D41" i="21"/>
  <c r="D57" i="21" s="1"/>
  <c r="E39" i="21"/>
  <c r="E55" i="21" s="1"/>
  <c r="G37" i="21"/>
  <c r="G53" i="21" s="1"/>
  <c r="I35" i="21"/>
  <c r="I51" i="21" s="1"/>
  <c r="D34" i="21"/>
  <c r="D50" i="21" s="1"/>
  <c r="F32" i="21"/>
  <c r="F48" i="21" s="1"/>
  <c r="I42" i="21"/>
  <c r="I58" i="21" s="1"/>
  <c r="C41" i="21"/>
  <c r="C57" i="21" s="1"/>
  <c r="D39" i="21"/>
  <c r="D55" i="21" s="1"/>
  <c r="F37" i="21"/>
  <c r="F53" i="21" s="1"/>
  <c r="H35" i="21"/>
  <c r="H51" i="21" s="1"/>
  <c r="C34" i="21"/>
  <c r="C50" i="21" s="1"/>
  <c r="E32" i="21"/>
  <c r="E48" i="21" s="1"/>
  <c r="D104" i="8"/>
  <c r="H42" i="21"/>
  <c r="H58" i="21" s="1"/>
  <c r="H40" i="21"/>
  <c r="H56" i="21" s="1"/>
  <c r="C39" i="21"/>
  <c r="C55" i="21" s="1"/>
  <c r="E37" i="21"/>
  <c r="E53" i="21" s="1"/>
  <c r="G35" i="21"/>
  <c r="G51" i="21" s="1"/>
  <c r="I33" i="21"/>
  <c r="I49" i="21" s="1"/>
  <c r="D32" i="21"/>
  <c r="D48" i="21" s="1"/>
  <c r="C104" i="8"/>
  <c r="E43" i="21"/>
  <c r="E59" i="21" s="1"/>
  <c r="F40" i="21"/>
  <c r="F56" i="21" s="1"/>
  <c r="E38" i="21"/>
  <c r="E54" i="21" s="1"/>
  <c r="D36" i="21"/>
  <c r="D52" i="21" s="1"/>
  <c r="G33" i="21"/>
  <c r="G49" i="21" s="1"/>
  <c r="G104" i="8"/>
  <c r="D43" i="21"/>
  <c r="D59" i="21" s="1"/>
  <c r="E40" i="21"/>
  <c r="E56" i="21" s="1"/>
  <c r="D38" i="21"/>
  <c r="D54" i="21" s="1"/>
  <c r="C36" i="21"/>
  <c r="C52" i="21" s="1"/>
  <c r="F33" i="21"/>
  <c r="F49" i="21" s="1"/>
  <c r="F104" i="8"/>
  <c r="F42" i="21"/>
  <c r="F58" i="21" s="1"/>
  <c r="D40" i="21"/>
  <c r="D56" i="21" s="1"/>
  <c r="C38" i="21"/>
  <c r="C54" i="21" s="1"/>
  <c r="F35" i="21"/>
  <c r="F51" i="21" s="1"/>
  <c r="E33" i="21"/>
  <c r="E49" i="21" s="1"/>
  <c r="E104" i="8"/>
  <c r="I43" i="21"/>
  <c r="I59" i="21" s="1"/>
  <c r="G40" i="21"/>
  <c r="G56" i="21" s="1"/>
  <c r="D37" i="21"/>
  <c r="D53" i="21" s="1"/>
  <c r="G34" i="21"/>
  <c r="G50" i="21" s="1"/>
  <c r="H43" i="21"/>
  <c r="H59" i="21" s="1"/>
  <c r="C40" i="21"/>
  <c r="C56" i="21" s="1"/>
  <c r="C37" i="21"/>
  <c r="C53" i="21" s="1"/>
  <c r="F34" i="21"/>
  <c r="F50" i="21" s="1"/>
  <c r="G43" i="21"/>
  <c r="G59" i="21" s="1"/>
  <c r="I39" i="21"/>
  <c r="I55" i="21" s="1"/>
  <c r="I36" i="21"/>
  <c r="I52" i="21" s="1"/>
  <c r="E34" i="21"/>
  <c r="E50" i="21" s="1"/>
  <c r="G41" i="21"/>
  <c r="G57" i="21" s="1"/>
  <c r="H36" i="21"/>
  <c r="H52" i="21" s="1"/>
  <c r="I32" i="21"/>
  <c r="I48" i="21" s="1"/>
  <c r="F41" i="21"/>
  <c r="F57" i="21" s="1"/>
  <c r="G36" i="21"/>
  <c r="G52" i="21" s="1"/>
  <c r="H32" i="21"/>
  <c r="H48" i="21" s="1"/>
  <c r="E41" i="21"/>
  <c r="E57" i="21" s="1"/>
  <c r="F36" i="21"/>
  <c r="F52" i="21" s="1"/>
  <c r="G32" i="21"/>
  <c r="G48" i="21" s="1"/>
  <c r="D42" i="21"/>
  <c r="D58" i="21" s="1"/>
  <c r="G38" i="21"/>
  <c r="G54" i="21" s="1"/>
  <c r="H34" i="21"/>
  <c r="H50" i="21" s="1"/>
  <c r="H39" i="21"/>
  <c r="H55" i="21" s="1"/>
  <c r="I34" i="21"/>
  <c r="I50" i="21" s="1"/>
  <c r="F39" i="21"/>
  <c r="F55" i="21" s="1"/>
  <c r="D33" i="21"/>
  <c r="D49" i="21" s="1"/>
  <c r="I38" i="21"/>
  <c r="I54" i="21" s="1"/>
  <c r="C33" i="21"/>
  <c r="C49" i="21" s="1"/>
  <c r="H38" i="21"/>
  <c r="H54" i="21" s="1"/>
  <c r="C32" i="21"/>
  <c r="C48" i="21" s="1"/>
  <c r="F38" i="21"/>
  <c r="F54" i="21" s="1"/>
  <c r="I37" i="21"/>
  <c r="I53" i="21" s="1"/>
  <c r="H37" i="21"/>
  <c r="H53" i="21" s="1"/>
  <c r="E36" i="21"/>
  <c r="E52" i="21" s="1"/>
  <c r="T85" i="24"/>
  <c r="H85" i="24"/>
  <c r="S85" i="24"/>
  <c r="G85" i="24"/>
  <c r="X85" i="24"/>
  <c r="J85" i="24"/>
  <c r="W85" i="24"/>
  <c r="I85" i="24"/>
  <c r="V85" i="24"/>
  <c r="F85" i="24"/>
  <c r="N85" i="24"/>
  <c r="M85" i="24"/>
  <c r="AC85" i="24"/>
  <c r="L85" i="24"/>
  <c r="R85" i="24"/>
  <c r="Q85" i="24"/>
  <c r="U85" i="24"/>
  <c r="P85" i="24"/>
  <c r="O85" i="24"/>
  <c r="K85" i="24"/>
  <c r="E85" i="24"/>
  <c r="D85" i="24"/>
  <c r="AB85" i="24"/>
  <c r="AA85" i="24"/>
  <c r="T91" i="24"/>
  <c r="H91" i="24"/>
  <c r="S91" i="24"/>
  <c r="G91" i="24"/>
  <c r="AB91" i="24"/>
  <c r="N91" i="24"/>
  <c r="AA91" i="24"/>
  <c r="M91" i="24"/>
  <c r="Z91" i="24"/>
  <c r="L91" i="24"/>
  <c r="R91" i="24"/>
  <c r="Q91" i="24"/>
  <c r="P91" i="24"/>
  <c r="X91" i="24"/>
  <c r="E91" i="24"/>
  <c r="W91" i="24"/>
  <c r="D91" i="24"/>
  <c r="AC91" i="24"/>
  <c r="Y91" i="24"/>
  <c r="V91" i="24"/>
  <c r="J91" i="24"/>
  <c r="I91" i="24"/>
  <c r="F91" i="24"/>
  <c r="U91" i="24"/>
  <c r="CE288" i="5"/>
  <c r="CH298" i="5"/>
  <c r="CE298" i="5"/>
  <c r="CE301" i="5"/>
  <c r="E33" i="6"/>
  <c r="D33" i="6"/>
  <c r="C33" i="6"/>
  <c r="C36" i="6"/>
  <c r="C43" i="6"/>
  <c r="E54" i="6"/>
  <c r="D54" i="6"/>
  <c r="C54" i="6"/>
  <c r="C87" i="6"/>
  <c r="H149" i="6"/>
  <c r="G149" i="6"/>
  <c r="F156" i="6"/>
  <c r="E156" i="6"/>
  <c r="I156" i="6" s="1"/>
  <c r="D156" i="6"/>
  <c r="C156" i="6"/>
  <c r="H88" i="8"/>
  <c r="H122" i="8" s="1"/>
  <c r="H123" i="8" s="1"/>
  <c r="H33" i="21"/>
  <c r="H49" i="21" s="1"/>
  <c r="AB56" i="24"/>
  <c r="P56" i="24"/>
  <c r="D56" i="24"/>
  <c r="AA56" i="24"/>
  <c r="O56" i="24"/>
  <c r="C56" i="24"/>
  <c r="N56" i="24"/>
  <c r="AC56" i="24"/>
  <c r="M56" i="24"/>
  <c r="Z56" i="24"/>
  <c r="L56" i="24"/>
  <c r="T56" i="24"/>
  <c r="S56" i="24"/>
  <c r="R56" i="24"/>
  <c r="X56" i="24"/>
  <c r="G56" i="24"/>
  <c r="W56" i="24"/>
  <c r="F56" i="24"/>
  <c r="Y56" i="24"/>
  <c r="V56" i="24"/>
  <c r="U56" i="24"/>
  <c r="E56" i="24"/>
  <c r="K56" i="24"/>
  <c r="J56" i="24"/>
  <c r="I56" i="24"/>
  <c r="C85" i="24"/>
  <c r="C91" i="24"/>
  <c r="CK252" i="5"/>
  <c r="CI252" i="5"/>
  <c r="CJ252" i="5" s="1"/>
  <c r="CK264" i="5"/>
  <c r="CL264" i="5" s="1"/>
  <c r="CM264" i="5" s="1"/>
  <c r="CL296" i="5"/>
  <c r="CM296" i="5" s="1"/>
  <c r="D43" i="6"/>
  <c r="E73" i="6"/>
  <c r="F73" i="6" s="1"/>
  <c r="D73" i="6"/>
  <c r="E84" i="6"/>
  <c r="D84" i="6"/>
  <c r="E144" i="6"/>
  <c r="I144" i="6" s="1"/>
  <c r="F144" i="6"/>
  <c r="H157" i="6"/>
  <c r="G157" i="6"/>
  <c r="E48" i="8"/>
  <c r="E49" i="8"/>
  <c r="C35" i="21"/>
  <c r="C51" i="21" s="1"/>
  <c r="Y85" i="24"/>
  <c r="K91" i="24"/>
  <c r="D28" i="6"/>
  <c r="H154" i="6"/>
  <c r="G154" i="6"/>
  <c r="V260" i="24"/>
  <c r="J260" i="24"/>
  <c r="W260" i="24"/>
  <c r="I260" i="24"/>
  <c r="U260" i="24"/>
  <c r="H260" i="24"/>
  <c r="AA260" i="24"/>
  <c r="N260" i="24"/>
  <c r="AB260" i="24"/>
  <c r="K260" i="24"/>
  <c r="Z260" i="24"/>
  <c r="G260" i="24"/>
  <c r="AC260" i="24"/>
  <c r="E260" i="24"/>
  <c r="Y260" i="24"/>
  <c r="D260" i="24"/>
  <c r="O260" i="24"/>
  <c r="Q260" i="24"/>
  <c r="P260" i="24"/>
  <c r="M260" i="24"/>
  <c r="R260" i="24"/>
  <c r="L260" i="24"/>
  <c r="F260" i="24"/>
  <c r="T260" i="24"/>
  <c r="S260" i="24"/>
  <c r="C260" i="24"/>
  <c r="X260" i="24"/>
  <c r="D48" i="6"/>
  <c r="C48" i="6"/>
  <c r="E71" i="6"/>
  <c r="D71" i="6"/>
  <c r="C71" i="6"/>
  <c r="W118" i="24"/>
  <c r="K118" i="24"/>
  <c r="AA118" i="24"/>
  <c r="N118" i="24"/>
  <c r="Z118" i="24"/>
  <c r="M118" i="24"/>
  <c r="V118" i="24"/>
  <c r="G118" i="24"/>
  <c r="U118" i="24"/>
  <c r="F118" i="24"/>
  <c r="T118" i="24"/>
  <c r="E118" i="24"/>
  <c r="S118" i="24"/>
  <c r="R118" i="24"/>
  <c r="Q118" i="24"/>
  <c r="AC118" i="24"/>
  <c r="H118" i="24"/>
  <c r="AB118" i="24"/>
  <c r="D118" i="24"/>
  <c r="Y118" i="24"/>
  <c r="X118" i="24"/>
  <c r="I118" i="24"/>
  <c r="C118" i="24"/>
  <c r="W136" i="24"/>
  <c r="K136" i="24"/>
  <c r="Q136" i="24"/>
  <c r="D136" i="24"/>
  <c r="AC136" i="24"/>
  <c r="P136" i="24"/>
  <c r="C136" i="24"/>
  <c r="R136" i="24"/>
  <c r="O136" i="24"/>
  <c r="AB136" i="24"/>
  <c r="J136" i="24"/>
  <c r="AA136" i="24"/>
  <c r="I136" i="24"/>
  <c r="Z136" i="24"/>
  <c r="H136" i="24"/>
  <c r="L136" i="24"/>
  <c r="G136" i="24"/>
  <c r="F136" i="24"/>
  <c r="T136" i="24"/>
  <c r="S136" i="24"/>
  <c r="Y136" i="24"/>
  <c r="X136" i="24"/>
  <c r="V136" i="24"/>
  <c r="AA147" i="24"/>
  <c r="O147" i="24"/>
  <c r="C147" i="24"/>
  <c r="W147" i="24"/>
  <c r="J147" i="24"/>
  <c r="V147" i="24"/>
  <c r="I147" i="24"/>
  <c r="P147" i="24"/>
  <c r="N147" i="24"/>
  <c r="S147" i="24"/>
  <c r="R147" i="24"/>
  <c r="Q147" i="24"/>
  <c r="U147" i="24"/>
  <c r="T147" i="24"/>
  <c r="M147" i="24"/>
  <c r="AB147" i="24"/>
  <c r="E147" i="24"/>
  <c r="Z147" i="24"/>
  <c r="D147" i="24"/>
  <c r="X147" i="24"/>
  <c r="L147" i="24"/>
  <c r="K147" i="24"/>
  <c r="AC147" i="24"/>
  <c r="Y147" i="24"/>
  <c r="H147" i="24"/>
  <c r="E104" i="6"/>
  <c r="H147" i="6"/>
  <c r="G147" i="6"/>
  <c r="C48" i="8"/>
  <c r="C49" i="8"/>
  <c r="T55" i="24"/>
  <c r="H55" i="24"/>
  <c r="S55" i="24"/>
  <c r="G55" i="24"/>
  <c r="AB55" i="24"/>
  <c r="N55" i="24"/>
  <c r="AA55" i="24"/>
  <c r="M55" i="24"/>
  <c r="Z55" i="24"/>
  <c r="L55" i="24"/>
  <c r="AC55" i="24"/>
  <c r="I55" i="24"/>
  <c r="Y55" i="24"/>
  <c r="F55" i="24"/>
  <c r="X55" i="24"/>
  <c r="E55" i="24"/>
  <c r="P55" i="24"/>
  <c r="O55" i="24"/>
  <c r="U55" i="24"/>
  <c r="R55" i="24"/>
  <c r="Q55" i="24"/>
  <c r="K55" i="24"/>
  <c r="J55" i="24"/>
  <c r="D55" i="24"/>
  <c r="X90" i="24"/>
  <c r="L90" i="24"/>
  <c r="W90" i="24"/>
  <c r="K90" i="24"/>
  <c r="AB90" i="24"/>
  <c r="N90" i="24"/>
  <c r="AA90" i="24"/>
  <c r="M90" i="24"/>
  <c r="Z90" i="24"/>
  <c r="J90" i="24"/>
  <c r="AC90" i="24"/>
  <c r="G90" i="24"/>
  <c r="Y90" i="24"/>
  <c r="F90" i="24"/>
  <c r="V90" i="24"/>
  <c r="E90" i="24"/>
  <c r="P90" i="24"/>
  <c r="O90" i="24"/>
  <c r="T90" i="24"/>
  <c r="S90" i="24"/>
  <c r="R90" i="24"/>
  <c r="H90" i="24"/>
  <c r="D90" i="24"/>
  <c r="C90" i="24"/>
  <c r="J118" i="24"/>
  <c r="E136" i="24"/>
  <c r="F147" i="24"/>
  <c r="E35" i="6"/>
  <c r="D35" i="6"/>
  <c r="C35" i="6"/>
  <c r="F81" i="6"/>
  <c r="C104" i="6"/>
  <c r="D48" i="8"/>
  <c r="D49" i="8"/>
  <c r="G88" i="8"/>
  <c r="D38" i="22"/>
  <c r="C44" i="22"/>
  <c r="D44" i="22" s="1"/>
  <c r="L118" i="24"/>
  <c r="M136" i="24"/>
  <c r="G147" i="24"/>
  <c r="F48" i="8"/>
  <c r="F49" i="8"/>
  <c r="F91" i="8"/>
  <c r="X48" i="24"/>
  <c r="L48" i="24"/>
  <c r="W48" i="24"/>
  <c r="K48" i="24"/>
  <c r="V48" i="24"/>
  <c r="H48" i="24"/>
  <c r="U48" i="24"/>
  <c r="G48" i="24"/>
  <c r="T48" i="24"/>
  <c r="F48" i="24"/>
  <c r="N48" i="24"/>
  <c r="M48" i="24"/>
  <c r="AC48" i="24"/>
  <c r="J48" i="24"/>
  <c r="R48" i="24"/>
  <c r="Q48" i="24"/>
  <c r="I48" i="24"/>
  <c r="E48" i="24"/>
  <c r="D48" i="24"/>
  <c r="Y48" i="24"/>
  <c r="S48" i="24"/>
  <c r="P48" i="24"/>
  <c r="C48" i="24"/>
  <c r="AB71" i="24"/>
  <c r="P71" i="24"/>
  <c r="D71" i="24"/>
  <c r="AA71" i="24"/>
  <c r="O71" i="24"/>
  <c r="C71" i="24"/>
  <c r="Z71" i="24"/>
  <c r="L71" i="24"/>
  <c r="Y71" i="24"/>
  <c r="K71" i="24"/>
  <c r="X71" i="24"/>
  <c r="J71" i="24"/>
  <c r="M71" i="24"/>
  <c r="I71" i="24"/>
  <c r="H71" i="24"/>
  <c r="S71" i="24"/>
  <c r="R71" i="24"/>
  <c r="T71" i="24"/>
  <c r="Q71" i="24"/>
  <c r="N71" i="24"/>
  <c r="U71" i="24"/>
  <c r="G71" i="24"/>
  <c r="F71" i="24"/>
  <c r="T88" i="24"/>
  <c r="H88" i="24"/>
  <c r="S88" i="24"/>
  <c r="G88" i="24"/>
  <c r="Z88" i="24"/>
  <c r="L88" i="24"/>
  <c r="Y88" i="24"/>
  <c r="K88" i="24"/>
  <c r="X88" i="24"/>
  <c r="J88" i="24"/>
  <c r="AA88" i="24"/>
  <c r="E88" i="24"/>
  <c r="W88" i="24"/>
  <c r="D88" i="24"/>
  <c r="V88" i="24"/>
  <c r="C88" i="24"/>
  <c r="N88" i="24"/>
  <c r="M88" i="24"/>
  <c r="P88" i="24"/>
  <c r="O88" i="24"/>
  <c r="I88" i="24"/>
  <c r="U88" i="24"/>
  <c r="R88" i="24"/>
  <c r="Q88" i="24"/>
  <c r="R184" i="24"/>
  <c r="F184" i="24"/>
  <c r="Q184" i="24"/>
  <c r="D184" i="24"/>
  <c r="AC184" i="24"/>
  <c r="P184" i="24"/>
  <c r="C184" i="24"/>
  <c r="Z184" i="24"/>
  <c r="K184" i="24"/>
  <c r="Y184" i="24"/>
  <c r="J184" i="24"/>
  <c r="N184" i="24"/>
  <c r="M184" i="24"/>
  <c r="U184" i="24"/>
  <c r="T184" i="24"/>
  <c r="S184" i="24"/>
  <c r="H184" i="24"/>
  <c r="G184" i="24"/>
  <c r="E184" i="24"/>
  <c r="V184" i="24"/>
  <c r="O184" i="24"/>
  <c r="AA184" i="24"/>
  <c r="X184" i="24"/>
  <c r="W184" i="24"/>
  <c r="D45" i="24"/>
  <c r="G45" i="24"/>
  <c r="G341" i="24" s="1"/>
  <c r="AA48" i="24"/>
  <c r="W71" i="24"/>
  <c r="AC88" i="24"/>
  <c r="AB184" i="24"/>
  <c r="U299" i="24"/>
  <c r="I299" i="24"/>
  <c r="T299" i="24"/>
  <c r="H299" i="24"/>
  <c r="R299" i="24"/>
  <c r="D299" i="24"/>
  <c r="Q299" i="24"/>
  <c r="C299" i="24"/>
  <c r="X299" i="24"/>
  <c r="J299" i="24"/>
  <c r="V299" i="24"/>
  <c r="S299" i="24"/>
  <c r="AA299" i="24"/>
  <c r="G299" i="24"/>
  <c r="F299" i="24"/>
  <c r="AC299" i="24"/>
  <c r="E299" i="24"/>
  <c r="Z299" i="24"/>
  <c r="Y299" i="24"/>
  <c r="K299" i="24"/>
  <c r="P299" i="24"/>
  <c r="O299" i="24"/>
  <c r="N299" i="24"/>
  <c r="AB299" i="24"/>
  <c r="W299" i="24"/>
  <c r="M299" i="24"/>
  <c r="L299" i="24"/>
  <c r="E87" i="8"/>
  <c r="X81" i="24"/>
  <c r="L81" i="24"/>
  <c r="W81" i="24"/>
  <c r="K81" i="24"/>
  <c r="T81" i="24"/>
  <c r="F81" i="24"/>
  <c r="S81" i="24"/>
  <c r="E81" i="24"/>
  <c r="R81" i="24"/>
  <c r="D81" i="24"/>
  <c r="AC81" i="24"/>
  <c r="J81" i="24"/>
  <c r="AB81" i="24"/>
  <c r="I81" i="24"/>
  <c r="AA81" i="24"/>
  <c r="H81" i="24"/>
  <c r="P81" i="24"/>
  <c r="O81" i="24"/>
  <c r="V81" i="24"/>
  <c r="U81" i="24"/>
  <c r="Q81" i="24"/>
  <c r="AB92" i="24"/>
  <c r="P92" i="24"/>
  <c r="D92" i="24"/>
  <c r="AA92" i="24"/>
  <c r="O92" i="24"/>
  <c r="C92" i="24"/>
  <c r="N92" i="24"/>
  <c r="AC92" i="24"/>
  <c r="M92" i="24"/>
  <c r="Z92" i="24"/>
  <c r="L92" i="24"/>
  <c r="I92" i="24"/>
  <c r="Y92" i="24"/>
  <c r="H92" i="24"/>
  <c r="X92" i="24"/>
  <c r="G92" i="24"/>
  <c r="R92" i="24"/>
  <c r="Q92" i="24"/>
  <c r="W92" i="24"/>
  <c r="S125" i="24"/>
  <c r="G125" i="24"/>
  <c r="X125" i="24"/>
  <c r="K125" i="24"/>
  <c r="V125" i="24"/>
  <c r="H125" i="24"/>
  <c r="U125" i="24"/>
  <c r="F125" i="24"/>
  <c r="Y125" i="24"/>
  <c r="E125" i="24"/>
  <c r="W125" i="24"/>
  <c r="D125" i="24"/>
  <c r="T125" i="24"/>
  <c r="C125" i="24"/>
  <c r="L125" i="24"/>
  <c r="J125" i="24"/>
  <c r="AC125" i="24"/>
  <c r="I125" i="24"/>
  <c r="P125" i="24"/>
  <c r="O125" i="24"/>
  <c r="R125" i="24"/>
  <c r="Q125" i="24"/>
  <c r="N125" i="24"/>
  <c r="S143" i="24"/>
  <c r="G143" i="24"/>
  <c r="Q143" i="24"/>
  <c r="D143" i="24"/>
  <c r="AC143" i="24"/>
  <c r="P143" i="24"/>
  <c r="C143" i="24"/>
  <c r="V143" i="24"/>
  <c r="F143" i="24"/>
  <c r="U143" i="24"/>
  <c r="E143" i="24"/>
  <c r="AA143" i="24"/>
  <c r="J143" i="24"/>
  <c r="Z143" i="24"/>
  <c r="I143" i="24"/>
  <c r="Y143" i="24"/>
  <c r="H143" i="24"/>
  <c r="AB143" i="24"/>
  <c r="X143" i="24"/>
  <c r="M143" i="24"/>
  <c r="L143" i="24"/>
  <c r="S213" i="24"/>
  <c r="G213" i="24"/>
  <c r="Z213" i="24"/>
  <c r="M213" i="24"/>
  <c r="Y213" i="24"/>
  <c r="K213" i="24"/>
  <c r="X213" i="24"/>
  <c r="J213" i="24"/>
  <c r="Q213" i="24"/>
  <c r="P213" i="24"/>
  <c r="AB213" i="24"/>
  <c r="F213" i="24"/>
  <c r="AA213" i="24"/>
  <c r="E213" i="24"/>
  <c r="W213" i="24"/>
  <c r="D213" i="24"/>
  <c r="N213" i="24"/>
  <c r="L213" i="24"/>
  <c r="I213" i="24"/>
  <c r="U213" i="24"/>
  <c r="T213" i="24"/>
  <c r="R213" i="24"/>
  <c r="AC213" i="24"/>
  <c r="T231" i="24"/>
  <c r="H231" i="24"/>
  <c r="S231" i="24"/>
  <c r="G231" i="24"/>
  <c r="X231" i="24"/>
  <c r="J231" i="24"/>
  <c r="W231" i="24"/>
  <c r="I231" i="24"/>
  <c r="O231" i="24"/>
  <c r="N231" i="24"/>
  <c r="U231" i="24"/>
  <c r="C231" i="24"/>
  <c r="L231" i="24"/>
  <c r="K231" i="24"/>
  <c r="Y231" i="24"/>
  <c r="V231" i="24"/>
  <c r="R231" i="24"/>
  <c r="M231" i="24"/>
  <c r="F231" i="24"/>
  <c r="E231" i="24"/>
  <c r="AB231" i="24"/>
  <c r="AA231" i="24"/>
  <c r="Z231" i="24"/>
  <c r="Q231" i="24"/>
  <c r="P231" i="24"/>
  <c r="D231" i="24"/>
  <c r="T308" i="24"/>
  <c r="H308" i="24"/>
  <c r="Y308" i="24"/>
  <c r="L308" i="24"/>
  <c r="X308" i="24"/>
  <c r="K308" i="24"/>
  <c r="O308" i="24"/>
  <c r="AC308" i="24"/>
  <c r="N308" i="24"/>
  <c r="S308" i="24"/>
  <c r="D308" i="24"/>
  <c r="U308" i="24"/>
  <c r="R308" i="24"/>
  <c r="AA308" i="24"/>
  <c r="F308" i="24"/>
  <c r="G308" i="24"/>
  <c r="E308" i="24"/>
  <c r="Z308" i="24"/>
  <c r="W308" i="24"/>
  <c r="C308" i="24"/>
  <c r="Q308" i="24"/>
  <c r="P308" i="24"/>
  <c r="M308" i="24"/>
  <c r="V308" i="24"/>
  <c r="J308" i="24"/>
  <c r="I308" i="24"/>
  <c r="E94" i="8"/>
  <c r="V189" i="24"/>
  <c r="J189" i="24"/>
  <c r="S189" i="24"/>
  <c r="F189" i="24"/>
  <c r="R189" i="24"/>
  <c r="E189" i="24"/>
  <c r="AC189" i="24"/>
  <c r="N189" i="24"/>
  <c r="AB189" i="24"/>
  <c r="M189" i="24"/>
  <c r="Q189" i="24"/>
  <c r="P189" i="24"/>
  <c r="K189" i="24"/>
  <c r="I189" i="24"/>
  <c r="H189" i="24"/>
  <c r="T189" i="24"/>
  <c r="O189" i="24"/>
  <c r="L189" i="24"/>
  <c r="Y189" i="24"/>
  <c r="X189" i="24"/>
  <c r="AA189" i="24"/>
  <c r="Z189" i="24"/>
  <c r="W189" i="24"/>
  <c r="E42" i="6"/>
  <c r="D42" i="6"/>
  <c r="E59" i="6"/>
  <c r="D59" i="6"/>
  <c r="C59" i="6"/>
  <c r="E90" i="6"/>
  <c r="F90" i="6" s="1"/>
  <c r="D90" i="6"/>
  <c r="F94" i="8"/>
  <c r="G32" i="24"/>
  <c r="G33" i="24"/>
  <c r="G26" i="24"/>
  <c r="G30" i="24"/>
  <c r="G31" i="24"/>
  <c r="X69" i="24"/>
  <c r="L69" i="24"/>
  <c r="W69" i="24"/>
  <c r="K69" i="24"/>
  <c r="Z69" i="24"/>
  <c r="J69" i="24"/>
  <c r="Y69" i="24"/>
  <c r="I69" i="24"/>
  <c r="V69" i="24"/>
  <c r="H69" i="24"/>
  <c r="M69" i="24"/>
  <c r="AC69" i="24"/>
  <c r="G69" i="24"/>
  <c r="AB69" i="24"/>
  <c r="F69" i="24"/>
  <c r="Q69" i="24"/>
  <c r="P69" i="24"/>
  <c r="R69" i="24"/>
  <c r="O69" i="24"/>
  <c r="N69" i="24"/>
  <c r="T82" i="24"/>
  <c r="H82" i="24"/>
  <c r="S82" i="24"/>
  <c r="G82" i="24"/>
  <c r="V82" i="24"/>
  <c r="F82" i="24"/>
  <c r="U82" i="24"/>
  <c r="E82" i="24"/>
  <c r="R82" i="24"/>
  <c r="D82" i="24"/>
  <c r="W82" i="24"/>
  <c r="Q82" i="24"/>
  <c r="P82" i="24"/>
  <c r="AA82" i="24"/>
  <c r="J82" i="24"/>
  <c r="Z82" i="24"/>
  <c r="I82" i="24"/>
  <c r="AB82" i="24"/>
  <c r="Y82" i="24"/>
  <c r="X82" i="24"/>
  <c r="U92" i="24"/>
  <c r="AA135" i="24"/>
  <c r="O135" i="24"/>
  <c r="C135" i="24"/>
  <c r="S135" i="24"/>
  <c r="F135" i="24"/>
  <c r="R135" i="24"/>
  <c r="E135" i="24"/>
  <c r="AC135" i="24"/>
  <c r="M135" i="24"/>
  <c r="AB135" i="24"/>
  <c r="L135" i="24"/>
  <c r="U135" i="24"/>
  <c r="T135" i="24"/>
  <c r="Q135" i="24"/>
  <c r="K135" i="24"/>
  <c r="J135" i="24"/>
  <c r="I135" i="24"/>
  <c r="W135" i="24"/>
  <c r="V135" i="24"/>
  <c r="X135" i="24"/>
  <c r="P135" i="24"/>
  <c r="N135" i="24"/>
  <c r="C189" i="24"/>
  <c r="W209" i="24"/>
  <c r="K209" i="24"/>
  <c r="T209" i="24"/>
  <c r="G209" i="24"/>
  <c r="Y209" i="24"/>
  <c r="J209" i="24"/>
  <c r="X209" i="24"/>
  <c r="I209" i="24"/>
  <c r="P209" i="24"/>
  <c r="O209" i="24"/>
  <c r="AC209" i="24"/>
  <c r="H209" i="24"/>
  <c r="AB209" i="24"/>
  <c r="F209" i="24"/>
  <c r="AA209" i="24"/>
  <c r="E209" i="24"/>
  <c r="Q209" i="24"/>
  <c r="N209" i="24"/>
  <c r="M209" i="24"/>
  <c r="Z209" i="24"/>
  <c r="D209" i="24"/>
  <c r="C209" i="24"/>
  <c r="S209" i="24"/>
  <c r="R209" i="24"/>
  <c r="L209" i="24"/>
  <c r="S288" i="24"/>
  <c r="G288" i="24"/>
  <c r="R288" i="24"/>
  <c r="F288" i="24"/>
  <c r="W288" i="24"/>
  <c r="K288" i="24"/>
  <c r="U288" i="24"/>
  <c r="D288" i="24"/>
  <c r="T288" i="24"/>
  <c r="C288" i="24"/>
  <c r="Z288" i="24"/>
  <c r="J288" i="24"/>
  <c r="V288" i="24"/>
  <c r="Q288" i="24"/>
  <c r="H288" i="24"/>
  <c r="AC288" i="24"/>
  <c r="E288" i="24"/>
  <c r="N288" i="24"/>
  <c r="AB288" i="24"/>
  <c r="AA288" i="24"/>
  <c r="Y288" i="24"/>
  <c r="M288" i="24"/>
  <c r="L288" i="24"/>
  <c r="I288" i="24"/>
  <c r="X288" i="24"/>
  <c r="CE238" i="5"/>
  <c r="CK276" i="5"/>
  <c r="CL276" i="5" s="1"/>
  <c r="CM276" i="5" s="1"/>
  <c r="E31" i="6"/>
  <c r="D31" i="6"/>
  <c r="C31" i="6"/>
  <c r="C42" i="6"/>
  <c r="F85" i="6"/>
  <c r="C90" i="6"/>
  <c r="X54" i="24"/>
  <c r="L54" i="24"/>
  <c r="W54" i="24"/>
  <c r="K54" i="24"/>
  <c r="AB54" i="24"/>
  <c r="N54" i="24"/>
  <c r="AA54" i="24"/>
  <c r="M54" i="24"/>
  <c r="Z54" i="24"/>
  <c r="J54" i="24"/>
  <c r="R54" i="24"/>
  <c r="Q54" i="24"/>
  <c r="P54" i="24"/>
  <c r="V54" i="24"/>
  <c r="E54" i="24"/>
  <c r="U54" i="24"/>
  <c r="D54" i="24"/>
  <c r="O54" i="24"/>
  <c r="I54" i="24"/>
  <c r="H54" i="24"/>
  <c r="C82" i="24"/>
  <c r="V92" i="24"/>
  <c r="D135" i="24"/>
  <c r="D189" i="24"/>
  <c r="U209" i="24"/>
  <c r="AA211" i="24"/>
  <c r="O211" i="24"/>
  <c r="C211" i="24"/>
  <c r="Q211" i="24"/>
  <c r="D211" i="24"/>
  <c r="Y211" i="24"/>
  <c r="K211" i="24"/>
  <c r="X211" i="24"/>
  <c r="J211" i="24"/>
  <c r="AC211" i="24"/>
  <c r="L211" i="24"/>
  <c r="AB211" i="24"/>
  <c r="I211" i="24"/>
  <c r="P211" i="24"/>
  <c r="N211" i="24"/>
  <c r="M211" i="24"/>
  <c r="R211" i="24"/>
  <c r="H211" i="24"/>
  <c r="G211" i="24"/>
  <c r="S211" i="24"/>
  <c r="F211" i="24"/>
  <c r="E211" i="24"/>
  <c r="W211" i="24"/>
  <c r="V211" i="24"/>
  <c r="O288" i="24"/>
  <c r="C86" i="8"/>
  <c r="C88" i="8" s="1"/>
  <c r="C122" i="8" s="1"/>
  <c r="C123" i="8" s="1"/>
  <c r="AB53" i="24"/>
  <c r="P53" i="24"/>
  <c r="D53" i="24"/>
  <c r="AA53" i="24"/>
  <c r="O53" i="24"/>
  <c r="C53" i="24"/>
  <c r="Z53" i="24"/>
  <c r="L53" i="24"/>
  <c r="Y53" i="24"/>
  <c r="K53" i="24"/>
  <c r="X53" i="24"/>
  <c r="J53" i="24"/>
  <c r="AC53" i="24"/>
  <c r="G53" i="24"/>
  <c r="W53" i="24"/>
  <c r="F53" i="24"/>
  <c r="V53" i="24"/>
  <c r="E53" i="24"/>
  <c r="N53" i="24"/>
  <c r="M53" i="24"/>
  <c r="S107" i="24"/>
  <c r="G107" i="24"/>
  <c r="U107" i="24"/>
  <c r="H107" i="24"/>
  <c r="T107" i="24"/>
  <c r="F107" i="24"/>
  <c r="Y107" i="24"/>
  <c r="J107" i="24"/>
  <c r="X107" i="24"/>
  <c r="I107" i="24"/>
  <c r="W107" i="24"/>
  <c r="E107" i="24"/>
  <c r="M107" i="24"/>
  <c r="L107" i="24"/>
  <c r="AC107" i="24"/>
  <c r="K107" i="24"/>
  <c r="Q107" i="24"/>
  <c r="P107" i="24"/>
  <c r="W109" i="24"/>
  <c r="K109" i="24"/>
  <c r="Q109" i="24"/>
  <c r="D109" i="24"/>
  <c r="AC109" i="24"/>
  <c r="P109" i="24"/>
  <c r="C109" i="24"/>
  <c r="O109" i="24"/>
  <c r="N109" i="24"/>
  <c r="AB109" i="24"/>
  <c r="M109" i="24"/>
  <c r="T109" i="24"/>
  <c r="S109" i="24"/>
  <c r="R109" i="24"/>
  <c r="Y109" i="24"/>
  <c r="F109" i="24"/>
  <c r="X109" i="24"/>
  <c r="E109" i="24"/>
  <c r="W115" i="24"/>
  <c r="K115" i="24"/>
  <c r="S115" i="24"/>
  <c r="F115" i="24"/>
  <c r="R115" i="24"/>
  <c r="E115" i="24"/>
  <c r="P115" i="24"/>
  <c r="O115" i="24"/>
  <c r="AC115" i="24"/>
  <c r="N115" i="24"/>
  <c r="U115" i="24"/>
  <c r="T115" i="24"/>
  <c r="Q115" i="24"/>
  <c r="Z115" i="24"/>
  <c r="G115" i="24"/>
  <c r="Y115" i="24"/>
  <c r="D115" i="24"/>
  <c r="S128" i="24"/>
  <c r="G128" i="24"/>
  <c r="R128" i="24"/>
  <c r="E128" i="24"/>
  <c r="Q128" i="24"/>
  <c r="D128" i="24"/>
  <c r="Z128" i="24"/>
  <c r="K128" i="24"/>
  <c r="Y128" i="24"/>
  <c r="J128" i="24"/>
  <c r="AB128" i="24"/>
  <c r="I128" i="24"/>
  <c r="AA128" i="24"/>
  <c r="H128" i="24"/>
  <c r="X128" i="24"/>
  <c r="F128" i="24"/>
  <c r="P128" i="24"/>
  <c r="O128" i="24"/>
  <c r="N128" i="24"/>
  <c r="W128" i="24"/>
  <c r="V128" i="24"/>
  <c r="S149" i="24"/>
  <c r="G149" i="24"/>
  <c r="T149" i="24"/>
  <c r="F149" i="24"/>
  <c r="R149" i="24"/>
  <c r="E149" i="24"/>
  <c r="W149" i="24"/>
  <c r="H149" i="24"/>
  <c r="V149" i="24"/>
  <c r="D149" i="24"/>
  <c r="P149" i="24"/>
  <c r="O149" i="24"/>
  <c r="N149" i="24"/>
  <c r="Z149" i="24"/>
  <c r="Y149" i="24"/>
  <c r="X149" i="24"/>
  <c r="J149" i="24"/>
  <c r="AC149" i="24"/>
  <c r="I149" i="24"/>
  <c r="R160" i="24"/>
  <c r="F160" i="24"/>
  <c r="Q160" i="24"/>
  <c r="D160" i="24"/>
  <c r="AC160" i="24"/>
  <c r="P160" i="24"/>
  <c r="C160" i="24"/>
  <c r="O160" i="24"/>
  <c r="N160" i="24"/>
  <c r="AB160" i="24"/>
  <c r="K160" i="24"/>
  <c r="AA160" i="24"/>
  <c r="J160" i="24"/>
  <c r="T160" i="24"/>
  <c r="S160" i="24"/>
  <c r="M160" i="24"/>
  <c r="I160" i="24"/>
  <c r="H160" i="24"/>
  <c r="G160" i="24"/>
  <c r="W160" i="24"/>
  <c r="V160" i="24"/>
  <c r="V174" i="24"/>
  <c r="J174" i="24"/>
  <c r="Z174" i="24"/>
  <c r="M174" i="24"/>
  <c r="Y174" i="24"/>
  <c r="L174" i="24"/>
  <c r="AC174" i="24"/>
  <c r="N174" i="24"/>
  <c r="AB174" i="24"/>
  <c r="K174" i="24"/>
  <c r="R174" i="24"/>
  <c r="Q174" i="24"/>
  <c r="H174" i="24"/>
  <c r="G174" i="24"/>
  <c r="F174" i="24"/>
  <c r="X174" i="24"/>
  <c r="W174" i="24"/>
  <c r="U174" i="24"/>
  <c r="E174" i="24"/>
  <c r="D174" i="24"/>
  <c r="AB318" i="24"/>
  <c r="P318" i="24"/>
  <c r="D318" i="24"/>
  <c r="X318" i="24"/>
  <c r="L318" i="24"/>
  <c r="U318" i="24"/>
  <c r="I318" i="24"/>
  <c r="T318" i="24"/>
  <c r="E318" i="24"/>
  <c r="S318" i="24"/>
  <c r="C318" i="24"/>
  <c r="AA318" i="24"/>
  <c r="H318" i="24"/>
  <c r="Z318" i="24"/>
  <c r="G318" i="24"/>
  <c r="N318" i="24"/>
  <c r="Q318" i="24"/>
  <c r="O318" i="24"/>
  <c r="Y318" i="24"/>
  <c r="V318" i="24"/>
  <c r="R318" i="24"/>
  <c r="J318" i="24"/>
  <c r="AC318" i="24"/>
  <c r="W318" i="24"/>
  <c r="M318" i="24"/>
  <c r="K318" i="24"/>
  <c r="AB324" i="24"/>
  <c r="P324" i="24"/>
  <c r="D324" i="24"/>
  <c r="X324" i="24"/>
  <c r="L324" i="24"/>
  <c r="U324" i="24"/>
  <c r="I324" i="24"/>
  <c r="AC324" i="24"/>
  <c r="M324" i="24"/>
  <c r="AA324" i="24"/>
  <c r="K324" i="24"/>
  <c r="N324" i="24"/>
  <c r="J324" i="24"/>
  <c r="S324" i="24"/>
  <c r="H324" i="24"/>
  <c r="G324" i="24"/>
  <c r="T324" i="24"/>
  <c r="Q324" i="24"/>
  <c r="O324" i="24"/>
  <c r="F324" i="24"/>
  <c r="E324" i="24"/>
  <c r="Y324" i="24"/>
  <c r="Z324" i="24"/>
  <c r="W324" i="24"/>
  <c r="V324" i="24"/>
  <c r="R324" i="24"/>
  <c r="E86" i="8"/>
  <c r="C94" i="8"/>
  <c r="AB47" i="24"/>
  <c r="P47" i="24"/>
  <c r="D47" i="24"/>
  <c r="AA47" i="24"/>
  <c r="O47" i="24"/>
  <c r="C47" i="24"/>
  <c r="V47" i="24"/>
  <c r="H47" i="24"/>
  <c r="U47" i="24"/>
  <c r="G47" i="24"/>
  <c r="T47" i="24"/>
  <c r="F47" i="24"/>
  <c r="W47" i="24"/>
  <c r="S47" i="24"/>
  <c r="R47" i="24"/>
  <c r="AC47" i="24"/>
  <c r="J47" i="24"/>
  <c r="Z47" i="24"/>
  <c r="I47" i="24"/>
  <c r="T67" i="24"/>
  <c r="H67" i="24"/>
  <c r="S67" i="24"/>
  <c r="G67" i="24"/>
  <c r="X67" i="24"/>
  <c r="J67" i="24"/>
  <c r="W67" i="24"/>
  <c r="I67" i="24"/>
  <c r="V67" i="24"/>
  <c r="F67" i="24"/>
  <c r="AB67" i="24"/>
  <c r="K67" i="24"/>
  <c r="AA67" i="24"/>
  <c r="E67" i="24"/>
  <c r="Z67" i="24"/>
  <c r="D67" i="24"/>
  <c r="O67" i="24"/>
  <c r="N67" i="24"/>
  <c r="AA120" i="24"/>
  <c r="O120" i="24"/>
  <c r="C120" i="24"/>
  <c r="W120" i="24"/>
  <c r="J120" i="24"/>
  <c r="V120" i="24"/>
  <c r="I120" i="24"/>
  <c r="N120" i="24"/>
  <c r="AC120" i="24"/>
  <c r="M120" i="24"/>
  <c r="AB120" i="24"/>
  <c r="L120" i="24"/>
  <c r="Z120" i="24"/>
  <c r="F120" i="24"/>
  <c r="Y120" i="24"/>
  <c r="E120" i="24"/>
  <c r="X120" i="24"/>
  <c r="D120" i="24"/>
  <c r="P120" i="24"/>
  <c r="K120" i="24"/>
  <c r="S134" i="24"/>
  <c r="G134" i="24"/>
  <c r="U134" i="24"/>
  <c r="H134" i="24"/>
  <c r="T134" i="24"/>
  <c r="F134" i="24"/>
  <c r="Z134" i="24"/>
  <c r="K134" i="24"/>
  <c r="Y134" i="24"/>
  <c r="J134" i="24"/>
  <c r="AC134" i="24"/>
  <c r="L134" i="24"/>
  <c r="AB134" i="24"/>
  <c r="I134" i="24"/>
  <c r="AA134" i="24"/>
  <c r="E134" i="24"/>
  <c r="P134" i="24"/>
  <c r="O134" i="24"/>
  <c r="N134" i="24"/>
  <c r="W134" i="24"/>
  <c r="V134" i="24"/>
  <c r="AA138" i="24"/>
  <c r="O138" i="24"/>
  <c r="C138" i="24"/>
  <c r="Z138" i="24"/>
  <c r="M138" i="24"/>
  <c r="Y138" i="24"/>
  <c r="L138" i="24"/>
  <c r="T138" i="24"/>
  <c r="E138" i="24"/>
  <c r="S138" i="24"/>
  <c r="D138" i="24"/>
  <c r="U138" i="24"/>
  <c r="R138" i="24"/>
  <c r="Q138" i="24"/>
  <c r="H138" i="24"/>
  <c r="G138" i="24"/>
  <c r="AC138" i="24"/>
  <c r="F138" i="24"/>
  <c r="N138" i="24"/>
  <c r="K138" i="24"/>
  <c r="S146" i="24"/>
  <c r="G146" i="24"/>
  <c r="Y146" i="24"/>
  <c r="L146" i="24"/>
  <c r="X146" i="24"/>
  <c r="K146" i="24"/>
  <c r="AB146" i="24"/>
  <c r="M146" i="24"/>
  <c r="AA146" i="24"/>
  <c r="J146" i="24"/>
  <c r="AC146" i="24"/>
  <c r="H146" i="24"/>
  <c r="Z146" i="24"/>
  <c r="F146" i="24"/>
  <c r="W146" i="24"/>
  <c r="E146" i="24"/>
  <c r="U146" i="24"/>
  <c r="T146" i="24"/>
  <c r="R146" i="24"/>
  <c r="D146" i="24"/>
  <c r="C146" i="24"/>
  <c r="V177" i="24"/>
  <c r="J177" i="24"/>
  <c r="S177" i="24"/>
  <c r="F177" i="24"/>
  <c r="R177" i="24"/>
  <c r="E177" i="24"/>
  <c r="P177" i="24"/>
  <c r="O177" i="24"/>
  <c r="AC177" i="24"/>
  <c r="L177" i="24"/>
  <c r="AB177" i="24"/>
  <c r="K177" i="24"/>
  <c r="Q177" i="24"/>
  <c r="N177" i="24"/>
  <c r="M177" i="24"/>
  <c r="I177" i="24"/>
  <c r="H177" i="24"/>
  <c r="G177" i="24"/>
  <c r="X177" i="24"/>
  <c r="W177" i="24"/>
  <c r="AA196" i="24"/>
  <c r="R196" i="24"/>
  <c r="F196" i="24"/>
  <c r="Q196" i="24"/>
  <c r="D196" i="24"/>
  <c r="P196" i="24"/>
  <c r="C196" i="24"/>
  <c r="X196" i="24"/>
  <c r="I196" i="24"/>
  <c r="W196" i="24"/>
  <c r="H196" i="24"/>
  <c r="S196" i="24"/>
  <c r="O196" i="24"/>
  <c r="N196" i="24"/>
  <c r="T196" i="24"/>
  <c r="M196" i="24"/>
  <c r="L196" i="24"/>
  <c r="U196" i="24"/>
  <c r="K196" i="24"/>
  <c r="J196" i="24"/>
  <c r="AB196" i="24"/>
  <c r="Z196" i="24"/>
  <c r="W221" i="24"/>
  <c r="K221" i="24"/>
  <c r="Y221" i="24"/>
  <c r="L221" i="24"/>
  <c r="AC221" i="24"/>
  <c r="O221" i="24"/>
  <c r="AB221" i="24"/>
  <c r="N221" i="24"/>
  <c r="S221" i="24"/>
  <c r="E221" i="24"/>
  <c r="M221" i="24"/>
  <c r="J221" i="24"/>
  <c r="Q221" i="24"/>
  <c r="P221" i="24"/>
  <c r="I221" i="24"/>
  <c r="R221" i="24"/>
  <c r="H221" i="24"/>
  <c r="G221" i="24"/>
  <c r="AA221" i="24"/>
  <c r="Z221" i="24"/>
  <c r="D221" i="24"/>
  <c r="C221" i="24"/>
  <c r="W293" i="24"/>
  <c r="K293" i="24"/>
  <c r="V293" i="24"/>
  <c r="J293" i="24"/>
  <c r="AA293" i="24"/>
  <c r="O293" i="24"/>
  <c r="C293" i="24"/>
  <c r="Y293" i="24"/>
  <c r="H293" i="24"/>
  <c r="X293" i="24"/>
  <c r="G293" i="24"/>
  <c r="N293" i="24"/>
  <c r="P293" i="24"/>
  <c r="M293" i="24"/>
  <c r="Q293" i="24"/>
  <c r="L293" i="24"/>
  <c r="U293" i="24"/>
  <c r="Z293" i="24"/>
  <c r="T293" i="24"/>
  <c r="S293" i="24"/>
  <c r="F293" i="24"/>
  <c r="E293" i="24"/>
  <c r="D293" i="24"/>
  <c r="AB293" i="24"/>
  <c r="R293" i="24"/>
  <c r="I293" i="24"/>
  <c r="F318" i="24"/>
  <c r="C324" i="24"/>
  <c r="D94" i="8"/>
  <c r="X51" i="24"/>
  <c r="L51" i="24"/>
  <c r="W51" i="24"/>
  <c r="K51" i="24"/>
  <c r="Z51" i="24"/>
  <c r="J51" i="24"/>
  <c r="Y51" i="24"/>
  <c r="I51" i="24"/>
  <c r="V51" i="24"/>
  <c r="H51" i="24"/>
  <c r="AA51" i="24"/>
  <c r="E51" i="24"/>
  <c r="U51" i="24"/>
  <c r="D51" i="24"/>
  <c r="T51" i="24"/>
  <c r="C51" i="24"/>
  <c r="N51" i="24"/>
  <c r="M51" i="24"/>
  <c r="X66" i="24"/>
  <c r="L66" i="24"/>
  <c r="W66" i="24"/>
  <c r="K66" i="24"/>
  <c r="V66" i="24"/>
  <c r="H66" i="24"/>
  <c r="U66" i="24"/>
  <c r="G66" i="24"/>
  <c r="T66" i="24"/>
  <c r="F66" i="24"/>
  <c r="Q66" i="24"/>
  <c r="P66" i="24"/>
  <c r="O66" i="24"/>
  <c r="Z66" i="24"/>
  <c r="D66" i="24"/>
  <c r="Y66" i="24"/>
  <c r="C66" i="24"/>
  <c r="S113" i="24"/>
  <c r="G113" i="24"/>
  <c r="W113" i="24"/>
  <c r="J113" i="24"/>
  <c r="V113" i="24"/>
  <c r="I113" i="24"/>
  <c r="Z113" i="24"/>
  <c r="K113" i="24"/>
  <c r="Y113" i="24"/>
  <c r="H113" i="24"/>
  <c r="X113" i="24"/>
  <c r="F113" i="24"/>
  <c r="N113" i="24"/>
  <c r="M113" i="24"/>
  <c r="L113" i="24"/>
  <c r="R113" i="24"/>
  <c r="Q113" i="24"/>
  <c r="S119" i="24"/>
  <c r="G119" i="24"/>
  <c r="Y119" i="24"/>
  <c r="L119" i="24"/>
  <c r="X119" i="24"/>
  <c r="K119" i="24"/>
  <c r="AA119" i="24"/>
  <c r="J119" i="24"/>
  <c r="Z119" i="24"/>
  <c r="I119" i="24"/>
  <c r="W119" i="24"/>
  <c r="H119" i="24"/>
  <c r="O119" i="24"/>
  <c r="N119" i="24"/>
  <c r="M119" i="24"/>
  <c r="T119" i="24"/>
  <c r="R119" i="24"/>
  <c r="V284" i="24"/>
  <c r="J284" i="24"/>
  <c r="W284" i="24"/>
  <c r="I284" i="24"/>
  <c r="U284" i="24"/>
  <c r="H284" i="24"/>
  <c r="AA284" i="24"/>
  <c r="N284" i="24"/>
  <c r="T284" i="24"/>
  <c r="D284" i="24"/>
  <c r="S284" i="24"/>
  <c r="C284" i="24"/>
  <c r="R284" i="24"/>
  <c r="Q284" i="24"/>
  <c r="AB284" i="24"/>
  <c r="F284" i="24"/>
  <c r="Z284" i="24"/>
  <c r="Y284" i="24"/>
  <c r="X284" i="24"/>
  <c r="M284" i="24"/>
  <c r="L284" i="24"/>
  <c r="K284" i="24"/>
  <c r="P284" i="24"/>
  <c r="O284" i="24"/>
  <c r="G284" i="24"/>
  <c r="T52" i="24"/>
  <c r="H52" i="24"/>
  <c r="S52" i="24"/>
  <c r="G52" i="24"/>
  <c r="Z52" i="24"/>
  <c r="L52" i="24"/>
  <c r="Y52" i="24"/>
  <c r="K52" i="24"/>
  <c r="X52" i="24"/>
  <c r="J52" i="24"/>
  <c r="U52" i="24"/>
  <c r="X87" i="24"/>
  <c r="L87" i="24"/>
  <c r="W87" i="24"/>
  <c r="K87" i="24"/>
  <c r="Z87" i="24"/>
  <c r="J87" i="24"/>
  <c r="Y87" i="24"/>
  <c r="I87" i="24"/>
  <c r="V87" i="24"/>
  <c r="H87" i="24"/>
  <c r="S87" i="24"/>
  <c r="AB89" i="24"/>
  <c r="P89" i="24"/>
  <c r="D89" i="24"/>
  <c r="AA89" i="24"/>
  <c r="O89" i="24"/>
  <c r="C89" i="24"/>
  <c r="Z89" i="24"/>
  <c r="L89" i="24"/>
  <c r="Y89" i="24"/>
  <c r="K89" i="24"/>
  <c r="X89" i="24"/>
  <c r="J89" i="24"/>
  <c r="U89" i="24"/>
  <c r="S101" i="24"/>
  <c r="G101" i="24"/>
  <c r="R101" i="24"/>
  <c r="E101" i="24"/>
  <c r="Q101" i="24"/>
  <c r="D101" i="24"/>
  <c r="Y101" i="24"/>
  <c r="J101" i="24"/>
  <c r="X101" i="24"/>
  <c r="I101" i="24"/>
  <c r="W101" i="24"/>
  <c r="H101" i="24"/>
  <c r="Z101" i="24"/>
  <c r="W106" i="24"/>
  <c r="K106" i="24"/>
  <c r="V106" i="24"/>
  <c r="I106" i="24"/>
  <c r="U106" i="24"/>
  <c r="H106" i="24"/>
  <c r="T106" i="24"/>
  <c r="E106" i="24"/>
  <c r="S106" i="24"/>
  <c r="D106" i="24"/>
  <c r="R106" i="24"/>
  <c r="C106" i="24"/>
  <c r="Z106" i="24"/>
  <c r="AA123" i="24"/>
  <c r="O123" i="24"/>
  <c r="C123" i="24"/>
  <c r="AB123" i="24"/>
  <c r="N123" i="24"/>
  <c r="U123" i="24"/>
  <c r="G123" i="24"/>
  <c r="T123" i="24"/>
  <c r="F123" i="24"/>
  <c r="AC123" i="24"/>
  <c r="K123" i="24"/>
  <c r="Z123" i="24"/>
  <c r="J123" i="24"/>
  <c r="Y123" i="24"/>
  <c r="I123" i="24"/>
  <c r="X123" i="24"/>
  <c r="W133" i="24"/>
  <c r="K133" i="24"/>
  <c r="V133" i="24"/>
  <c r="I133" i="24"/>
  <c r="U133" i="24"/>
  <c r="H133" i="24"/>
  <c r="X133" i="24"/>
  <c r="F133" i="24"/>
  <c r="T133" i="24"/>
  <c r="E133" i="24"/>
  <c r="R133" i="24"/>
  <c r="Q133" i="24"/>
  <c r="P133" i="24"/>
  <c r="AA133" i="24"/>
  <c r="AA141" i="24"/>
  <c r="O141" i="24"/>
  <c r="C141" i="24"/>
  <c r="U141" i="24"/>
  <c r="H141" i="24"/>
  <c r="T141" i="24"/>
  <c r="G141" i="24"/>
  <c r="N141" i="24"/>
  <c r="AC141" i="24"/>
  <c r="M141" i="24"/>
  <c r="K141" i="24"/>
  <c r="AB141" i="24"/>
  <c r="J141" i="24"/>
  <c r="Z141" i="24"/>
  <c r="I141" i="24"/>
  <c r="Y141" i="24"/>
  <c r="R169" i="24"/>
  <c r="F169" i="24"/>
  <c r="X169" i="24"/>
  <c r="K169" i="24"/>
  <c r="W169" i="24"/>
  <c r="J169" i="24"/>
  <c r="Z169" i="24"/>
  <c r="I169" i="24"/>
  <c r="Y169" i="24"/>
  <c r="H169" i="24"/>
  <c r="O169" i="24"/>
  <c r="N169" i="24"/>
  <c r="T169" i="24"/>
  <c r="S169" i="24"/>
  <c r="Q169" i="24"/>
  <c r="AC169" i="24"/>
  <c r="R181" i="24"/>
  <c r="F181" i="24"/>
  <c r="X181" i="24"/>
  <c r="K181" i="24"/>
  <c r="W181" i="24"/>
  <c r="J181" i="24"/>
  <c r="V181" i="24"/>
  <c r="G181" i="24"/>
  <c r="U181" i="24"/>
  <c r="E181" i="24"/>
  <c r="P181" i="24"/>
  <c r="O181" i="24"/>
  <c r="M181" i="24"/>
  <c r="L181" i="24"/>
  <c r="I181" i="24"/>
  <c r="AC181" i="24"/>
  <c r="AA214" i="24"/>
  <c r="O214" i="24"/>
  <c r="C214" i="24"/>
  <c r="X214" i="24"/>
  <c r="K214" i="24"/>
  <c r="Z214" i="24"/>
  <c r="L214" i="24"/>
  <c r="Y214" i="24"/>
  <c r="J214" i="24"/>
  <c r="V214" i="24"/>
  <c r="F214" i="24"/>
  <c r="U214" i="24"/>
  <c r="E214" i="24"/>
  <c r="S214" i="24"/>
  <c r="R214" i="24"/>
  <c r="Q214" i="24"/>
  <c r="M214" i="24"/>
  <c r="I214" i="24"/>
  <c r="H214" i="24"/>
  <c r="W218" i="24"/>
  <c r="K218" i="24"/>
  <c r="Q218" i="24"/>
  <c r="D218" i="24"/>
  <c r="AB218" i="24"/>
  <c r="N218" i="24"/>
  <c r="AA218" i="24"/>
  <c r="M218" i="24"/>
  <c r="O218" i="24"/>
  <c r="L218" i="24"/>
  <c r="Z218" i="24"/>
  <c r="G218" i="24"/>
  <c r="Y218" i="24"/>
  <c r="F218" i="24"/>
  <c r="X218" i="24"/>
  <c r="E218" i="24"/>
  <c r="T218" i="24"/>
  <c r="S218" i="24"/>
  <c r="R218" i="24"/>
  <c r="C52" i="24"/>
  <c r="V52" i="24"/>
  <c r="T64" i="24"/>
  <c r="H64" i="24"/>
  <c r="S64" i="24"/>
  <c r="G64" i="24"/>
  <c r="V64" i="24"/>
  <c r="F64" i="24"/>
  <c r="U64" i="24"/>
  <c r="E64" i="24"/>
  <c r="R64" i="24"/>
  <c r="D64" i="24"/>
  <c r="X64" i="24"/>
  <c r="F70" i="24"/>
  <c r="AB70" i="24"/>
  <c r="T73" i="24"/>
  <c r="H73" i="24"/>
  <c r="S73" i="24"/>
  <c r="G73" i="24"/>
  <c r="AB73" i="24"/>
  <c r="N73" i="24"/>
  <c r="AA73" i="24"/>
  <c r="M73" i="24"/>
  <c r="Z73" i="24"/>
  <c r="L73" i="24"/>
  <c r="U73" i="24"/>
  <c r="C87" i="24"/>
  <c r="T87" i="24"/>
  <c r="E89" i="24"/>
  <c r="V89" i="24"/>
  <c r="X99" i="24"/>
  <c r="L99" i="24"/>
  <c r="W99" i="24"/>
  <c r="K99" i="24"/>
  <c r="T99" i="24"/>
  <c r="F99" i="24"/>
  <c r="S99" i="24"/>
  <c r="E99" i="24"/>
  <c r="R99" i="24"/>
  <c r="D99" i="24"/>
  <c r="V99" i="24"/>
  <c r="C101" i="24"/>
  <c r="AA101" i="24"/>
  <c r="S104" i="24"/>
  <c r="G104" i="24"/>
  <c r="Z104" i="24"/>
  <c r="M104" i="24"/>
  <c r="Y104" i="24"/>
  <c r="L104" i="24"/>
  <c r="O104" i="24"/>
  <c r="AC104" i="24"/>
  <c r="N104" i="24"/>
  <c r="AB104" i="24"/>
  <c r="K104" i="24"/>
  <c r="U104" i="24"/>
  <c r="F106" i="24"/>
  <c r="AA106" i="24"/>
  <c r="D123" i="24"/>
  <c r="W124" i="24"/>
  <c r="K124" i="24"/>
  <c r="Z124" i="24"/>
  <c r="M124" i="24"/>
  <c r="U124" i="24"/>
  <c r="G124" i="24"/>
  <c r="T124" i="24"/>
  <c r="F124" i="24"/>
  <c r="Q124" i="24"/>
  <c r="P124" i="24"/>
  <c r="O124" i="24"/>
  <c r="X124" i="24"/>
  <c r="C133" i="24"/>
  <c r="AB133" i="24"/>
  <c r="D141" i="24"/>
  <c r="AA150" i="24"/>
  <c r="O150" i="24"/>
  <c r="C150" i="24"/>
  <c r="R150" i="24"/>
  <c r="E150" i="24"/>
  <c r="Q150" i="24"/>
  <c r="D150" i="24"/>
  <c r="Y150" i="24"/>
  <c r="J150" i="24"/>
  <c r="X150" i="24"/>
  <c r="I150" i="24"/>
  <c r="AB150" i="24"/>
  <c r="H150" i="24"/>
  <c r="Z150" i="24"/>
  <c r="G150" i="24"/>
  <c r="W150" i="24"/>
  <c r="F150" i="24"/>
  <c r="G157" i="24"/>
  <c r="C169" i="24"/>
  <c r="V180" i="24"/>
  <c r="J180" i="24"/>
  <c r="Z180" i="24"/>
  <c r="M180" i="24"/>
  <c r="Y180" i="24"/>
  <c r="L180" i="24"/>
  <c r="S180" i="24"/>
  <c r="D180" i="24"/>
  <c r="R180" i="24"/>
  <c r="C180" i="24"/>
  <c r="AA180" i="24"/>
  <c r="G180" i="24"/>
  <c r="X180" i="24"/>
  <c r="F180" i="24"/>
  <c r="Q180" i="24"/>
  <c r="P180" i="24"/>
  <c r="O180" i="24"/>
  <c r="C181" i="24"/>
  <c r="R187" i="24"/>
  <c r="F187" i="24"/>
  <c r="X187" i="24"/>
  <c r="K187" i="24"/>
  <c r="W187" i="24"/>
  <c r="J187" i="24"/>
  <c r="AC187" i="24"/>
  <c r="N187" i="24"/>
  <c r="AB187" i="24"/>
  <c r="M187" i="24"/>
  <c r="I187" i="24"/>
  <c r="AA187" i="24"/>
  <c r="H187" i="24"/>
  <c r="U187" i="24"/>
  <c r="T187" i="24"/>
  <c r="S187" i="24"/>
  <c r="S198" i="24"/>
  <c r="G198" i="24"/>
  <c r="AA198" i="24"/>
  <c r="N198" i="24"/>
  <c r="R198" i="24"/>
  <c r="D198" i="24"/>
  <c r="Q198" i="24"/>
  <c r="C198" i="24"/>
  <c r="O198" i="24"/>
  <c r="M198" i="24"/>
  <c r="K198" i="24"/>
  <c r="AC198" i="24"/>
  <c r="J198" i="24"/>
  <c r="AB198" i="24"/>
  <c r="I198" i="24"/>
  <c r="U198" i="24"/>
  <c r="T198" i="24"/>
  <c r="P198" i="24"/>
  <c r="D214" i="24"/>
  <c r="R215" i="24"/>
  <c r="C218" i="24"/>
  <c r="R261" i="24"/>
  <c r="F261" i="24"/>
  <c r="U261" i="24"/>
  <c r="H261" i="24"/>
  <c r="T261" i="24"/>
  <c r="G261" i="24"/>
  <c r="Y261" i="24"/>
  <c r="L261" i="24"/>
  <c r="P261" i="24"/>
  <c r="O261" i="24"/>
  <c r="V261" i="24"/>
  <c r="S261" i="24"/>
  <c r="AA261" i="24"/>
  <c r="E261" i="24"/>
  <c r="N261" i="24"/>
  <c r="M261" i="24"/>
  <c r="K261" i="24"/>
  <c r="Z261" i="24"/>
  <c r="X261" i="24"/>
  <c r="W261" i="24"/>
  <c r="AB333" i="24"/>
  <c r="P333" i="24"/>
  <c r="D333" i="24"/>
  <c r="X333" i="24"/>
  <c r="L333" i="24"/>
  <c r="U333" i="24"/>
  <c r="I333" i="24"/>
  <c r="Q333" i="24"/>
  <c r="O333" i="24"/>
  <c r="AC333" i="24"/>
  <c r="J333" i="24"/>
  <c r="AA333" i="24"/>
  <c r="H333" i="24"/>
  <c r="R333" i="24"/>
  <c r="N333" i="24"/>
  <c r="M333" i="24"/>
  <c r="W333" i="24"/>
  <c r="S333" i="24"/>
  <c r="K333" i="24"/>
  <c r="G333" i="24"/>
  <c r="F333" i="24"/>
  <c r="Y333" i="24"/>
  <c r="V333" i="24"/>
  <c r="T333" i="24"/>
  <c r="N52" i="24"/>
  <c r="X63" i="24"/>
  <c r="L63" i="24"/>
  <c r="W63" i="24"/>
  <c r="K63" i="24"/>
  <c r="T63" i="24"/>
  <c r="F63" i="24"/>
  <c r="S63" i="24"/>
  <c r="E63" i="24"/>
  <c r="R63" i="24"/>
  <c r="D63" i="24"/>
  <c r="V63" i="24"/>
  <c r="M64" i="24"/>
  <c r="AB65" i="24"/>
  <c r="P65" i="24"/>
  <c r="D65" i="24"/>
  <c r="AA65" i="24"/>
  <c r="O65" i="24"/>
  <c r="C65" i="24"/>
  <c r="V65" i="24"/>
  <c r="H65" i="24"/>
  <c r="U65" i="24"/>
  <c r="G65" i="24"/>
  <c r="T65" i="24"/>
  <c r="F65" i="24"/>
  <c r="X65" i="24"/>
  <c r="Q70" i="24"/>
  <c r="X72" i="24"/>
  <c r="L72" i="24"/>
  <c r="W72" i="24"/>
  <c r="K72" i="24"/>
  <c r="AB72" i="24"/>
  <c r="N72" i="24"/>
  <c r="AA72" i="24"/>
  <c r="M72" i="24"/>
  <c r="Z72" i="24"/>
  <c r="J72" i="24"/>
  <c r="S72" i="24"/>
  <c r="J73" i="24"/>
  <c r="AB74" i="24"/>
  <c r="P74" i="24"/>
  <c r="D74" i="24"/>
  <c r="AA74" i="24"/>
  <c r="O74" i="24"/>
  <c r="C74" i="24"/>
  <c r="N74" i="24"/>
  <c r="AC74" i="24"/>
  <c r="M74" i="24"/>
  <c r="Z74" i="24"/>
  <c r="L74" i="24"/>
  <c r="U74" i="24"/>
  <c r="N87" i="24"/>
  <c r="N89" i="24"/>
  <c r="W100" i="24"/>
  <c r="T100" i="24"/>
  <c r="H100" i="24"/>
  <c r="S100" i="24"/>
  <c r="G100" i="24"/>
  <c r="V100" i="24"/>
  <c r="F100" i="24"/>
  <c r="U100" i="24"/>
  <c r="E100" i="24"/>
  <c r="R100" i="24"/>
  <c r="D100" i="24"/>
  <c r="Y100" i="24"/>
  <c r="O101" i="24"/>
  <c r="O106" i="24"/>
  <c r="AA114" i="24"/>
  <c r="O114" i="24"/>
  <c r="C114" i="24"/>
  <c r="U114" i="24"/>
  <c r="H114" i="24"/>
  <c r="T114" i="24"/>
  <c r="G114" i="24"/>
  <c r="AC114" i="24"/>
  <c r="M114" i="24"/>
  <c r="AB114" i="24"/>
  <c r="L114" i="24"/>
  <c r="Z114" i="24"/>
  <c r="K114" i="24"/>
  <c r="W114" i="24"/>
  <c r="Q123" i="24"/>
  <c r="N133" i="24"/>
  <c r="R141" i="24"/>
  <c r="Y157" i="24"/>
  <c r="V162" i="24"/>
  <c r="J162" i="24"/>
  <c r="Z162" i="24"/>
  <c r="M162" i="24"/>
  <c r="Y162" i="24"/>
  <c r="L162" i="24"/>
  <c r="P162" i="24"/>
  <c r="O162" i="24"/>
  <c r="N162" i="24"/>
  <c r="K162" i="24"/>
  <c r="AA162" i="24"/>
  <c r="E162" i="24"/>
  <c r="X162" i="24"/>
  <c r="D162" i="24"/>
  <c r="W162" i="24"/>
  <c r="C162" i="24"/>
  <c r="P169" i="24"/>
  <c r="T181" i="24"/>
  <c r="V195" i="24"/>
  <c r="J195" i="24"/>
  <c r="S195" i="24"/>
  <c r="F195" i="24"/>
  <c r="R195" i="24"/>
  <c r="E195" i="24"/>
  <c r="U195" i="24"/>
  <c r="D195" i="24"/>
  <c r="T195" i="24"/>
  <c r="C195" i="24"/>
  <c r="AA195" i="24"/>
  <c r="I195" i="24"/>
  <c r="Z195" i="24"/>
  <c r="H195" i="24"/>
  <c r="Y195" i="24"/>
  <c r="G195" i="24"/>
  <c r="Q195" i="24"/>
  <c r="P195" i="24"/>
  <c r="O195" i="24"/>
  <c r="AB214" i="24"/>
  <c r="V218" i="24"/>
  <c r="X242" i="24"/>
  <c r="L242" i="24"/>
  <c r="W242" i="24"/>
  <c r="K242" i="24"/>
  <c r="R242" i="24"/>
  <c r="D242" i="24"/>
  <c r="Q242" i="24"/>
  <c r="C242" i="24"/>
  <c r="Y242" i="24"/>
  <c r="G242" i="24"/>
  <c r="V242" i="24"/>
  <c r="F242" i="24"/>
  <c r="AC242" i="24"/>
  <c r="M242" i="24"/>
  <c r="J242" i="24"/>
  <c r="I242" i="24"/>
  <c r="U242" i="24"/>
  <c r="T242" i="24"/>
  <c r="S242" i="24"/>
  <c r="AB242" i="24"/>
  <c r="AA242" i="24"/>
  <c r="R285" i="24"/>
  <c r="F285" i="24"/>
  <c r="U285" i="24"/>
  <c r="H285" i="24"/>
  <c r="T285" i="24"/>
  <c r="G285" i="24"/>
  <c r="Y285" i="24"/>
  <c r="L285" i="24"/>
  <c r="AB285" i="24"/>
  <c r="K285" i="24"/>
  <c r="AA285" i="24"/>
  <c r="J285" i="24"/>
  <c r="N285" i="24"/>
  <c r="M285" i="24"/>
  <c r="S285" i="24"/>
  <c r="X285" i="24"/>
  <c r="W285" i="24"/>
  <c r="V285" i="24"/>
  <c r="Z285" i="24"/>
  <c r="Q285" i="24"/>
  <c r="P285" i="24"/>
  <c r="G34" i="24"/>
  <c r="G28" i="24"/>
  <c r="D21" i="24"/>
  <c r="E21" i="24" s="1"/>
  <c r="T49" i="24"/>
  <c r="H49" i="24"/>
  <c r="S49" i="24"/>
  <c r="G49" i="24"/>
  <c r="X49" i="24"/>
  <c r="J49" i="24"/>
  <c r="W49" i="24"/>
  <c r="I49" i="24"/>
  <c r="V49" i="24"/>
  <c r="F49" i="24"/>
  <c r="U49" i="24"/>
  <c r="O52" i="24"/>
  <c r="C63" i="24"/>
  <c r="Y63" i="24"/>
  <c r="N64" i="24"/>
  <c r="E65" i="24"/>
  <c r="Y65" i="24"/>
  <c r="C72" i="24"/>
  <c r="T72" i="24"/>
  <c r="K73" i="24"/>
  <c r="E74" i="24"/>
  <c r="V74" i="24"/>
  <c r="X84" i="24"/>
  <c r="L84" i="24"/>
  <c r="W84" i="24"/>
  <c r="K84" i="24"/>
  <c r="V84" i="24"/>
  <c r="H84" i="24"/>
  <c r="U84" i="24"/>
  <c r="G84" i="24"/>
  <c r="T84" i="24"/>
  <c r="F84" i="24"/>
  <c r="S84" i="24"/>
  <c r="AB86" i="24"/>
  <c r="P86" i="24"/>
  <c r="D86" i="24"/>
  <c r="AA86" i="24"/>
  <c r="O86" i="24"/>
  <c r="C86" i="24"/>
  <c r="X86" i="24"/>
  <c r="J86" i="24"/>
  <c r="W86" i="24"/>
  <c r="I86" i="24"/>
  <c r="V86" i="24"/>
  <c r="H86" i="24"/>
  <c r="U86" i="24"/>
  <c r="O87" i="24"/>
  <c r="Q89" i="24"/>
  <c r="N99" i="24"/>
  <c r="C100" i="24"/>
  <c r="Z100" i="24"/>
  <c r="P101" i="24"/>
  <c r="J104" i="24"/>
  <c r="P106" i="24"/>
  <c r="AA108" i="24"/>
  <c r="O108" i="24"/>
  <c r="C108" i="24"/>
  <c r="S108" i="24"/>
  <c r="F108" i="24"/>
  <c r="R108" i="24"/>
  <c r="E108" i="24"/>
  <c r="AB108" i="24"/>
  <c r="L108" i="24"/>
  <c r="Z108" i="24"/>
  <c r="K108" i="24"/>
  <c r="Y108" i="24"/>
  <c r="J108" i="24"/>
  <c r="W108" i="24"/>
  <c r="D114" i="24"/>
  <c r="X114" i="24"/>
  <c r="R123" i="24"/>
  <c r="L124" i="24"/>
  <c r="AA126" i="24"/>
  <c r="O126" i="24"/>
  <c r="C126" i="24"/>
  <c r="V126" i="24"/>
  <c r="I126" i="24"/>
  <c r="W126" i="24"/>
  <c r="H126" i="24"/>
  <c r="U126" i="24"/>
  <c r="G126" i="24"/>
  <c r="M126" i="24"/>
  <c r="AC126" i="24"/>
  <c r="L126" i="24"/>
  <c r="AB126" i="24"/>
  <c r="K126" i="24"/>
  <c r="Y126" i="24"/>
  <c r="O133" i="24"/>
  <c r="W139" i="24"/>
  <c r="K139" i="24"/>
  <c r="Y139" i="24"/>
  <c r="L139" i="24"/>
  <c r="X139" i="24"/>
  <c r="J139" i="24"/>
  <c r="V139" i="24"/>
  <c r="G139" i="24"/>
  <c r="U139" i="24"/>
  <c r="F139" i="24"/>
  <c r="M139" i="24"/>
  <c r="AC139" i="24"/>
  <c r="I139" i="24"/>
  <c r="AB139" i="24"/>
  <c r="H139" i="24"/>
  <c r="AA139" i="24"/>
  <c r="S141" i="24"/>
  <c r="W145" i="24"/>
  <c r="K145" i="24"/>
  <c r="AA145" i="24"/>
  <c r="N145" i="24"/>
  <c r="Z145" i="24"/>
  <c r="M145" i="24"/>
  <c r="X145" i="24"/>
  <c r="H145" i="24"/>
  <c r="V145" i="24"/>
  <c r="G145" i="24"/>
  <c r="R145" i="24"/>
  <c r="Q145" i="24"/>
  <c r="P145" i="24"/>
  <c r="Y145" i="24"/>
  <c r="T150" i="24"/>
  <c r="V156" i="24"/>
  <c r="J156" i="24"/>
  <c r="Y156" i="24"/>
  <c r="L156" i="24"/>
  <c r="Z156" i="24"/>
  <c r="K156" i="24"/>
  <c r="X156" i="24"/>
  <c r="I156" i="24"/>
  <c r="W156" i="24"/>
  <c r="F156" i="24"/>
  <c r="U156" i="24"/>
  <c r="E156" i="24"/>
  <c r="S156" i="24"/>
  <c r="R156" i="24"/>
  <c r="Q156" i="24"/>
  <c r="AC156" i="24"/>
  <c r="F162" i="24"/>
  <c r="U169" i="24"/>
  <c r="R172" i="24"/>
  <c r="F172" i="24"/>
  <c r="Q172" i="24"/>
  <c r="D172" i="24"/>
  <c r="AC172" i="24"/>
  <c r="P172" i="24"/>
  <c r="C172" i="24"/>
  <c r="AB172" i="24"/>
  <c r="M172" i="24"/>
  <c r="AA172" i="24"/>
  <c r="L172" i="24"/>
  <c r="K172" i="24"/>
  <c r="J172" i="24"/>
  <c r="W172" i="24"/>
  <c r="V172" i="24"/>
  <c r="U172" i="24"/>
  <c r="U180" i="24"/>
  <c r="Y181" i="24"/>
  <c r="P187" i="24"/>
  <c r="K195" i="24"/>
  <c r="X198" i="24"/>
  <c r="S210" i="24"/>
  <c r="G210" i="24"/>
  <c r="R210" i="24"/>
  <c r="E210" i="24"/>
  <c r="Y210" i="24"/>
  <c r="K210" i="24"/>
  <c r="X210" i="24"/>
  <c r="J210" i="24"/>
  <c r="V210" i="24"/>
  <c r="D210" i="24"/>
  <c r="U210" i="24"/>
  <c r="C210" i="24"/>
  <c r="W210" i="24"/>
  <c r="T210" i="24"/>
  <c r="Q210" i="24"/>
  <c r="N210" i="24"/>
  <c r="M210" i="24"/>
  <c r="L210" i="24"/>
  <c r="AC214" i="24"/>
  <c r="AC218" i="24"/>
  <c r="X227" i="24"/>
  <c r="L227" i="24"/>
  <c r="W227" i="24"/>
  <c r="K227" i="24"/>
  <c r="T227" i="24"/>
  <c r="F227" i="24"/>
  <c r="Z227" i="24"/>
  <c r="I227" i="24"/>
  <c r="Y227" i="24"/>
  <c r="H227" i="24"/>
  <c r="O227" i="24"/>
  <c r="N227" i="24"/>
  <c r="M227" i="24"/>
  <c r="J227" i="24"/>
  <c r="G227" i="24"/>
  <c r="E227" i="24"/>
  <c r="P227" i="24"/>
  <c r="D227" i="24"/>
  <c r="C227" i="24"/>
  <c r="E242" i="24"/>
  <c r="AC261" i="24"/>
  <c r="V266" i="24"/>
  <c r="J266" i="24"/>
  <c r="W266" i="24"/>
  <c r="I266" i="24"/>
  <c r="U266" i="24"/>
  <c r="H266" i="24"/>
  <c r="AA266" i="24"/>
  <c r="N266" i="24"/>
  <c r="T266" i="24"/>
  <c r="D266" i="24"/>
  <c r="S266" i="24"/>
  <c r="C266" i="24"/>
  <c r="M266" i="24"/>
  <c r="L266" i="24"/>
  <c r="R266" i="24"/>
  <c r="P266" i="24"/>
  <c r="O266" i="24"/>
  <c r="K266" i="24"/>
  <c r="AC266" i="24"/>
  <c r="AB266" i="24"/>
  <c r="G266" i="24"/>
  <c r="F266" i="24"/>
  <c r="E266" i="24"/>
  <c r="C285" i="24"/>
  <c r="P52" i="24"/>
  <c r="T70" i="24"/>
  <c r="H70" i="24"/>
  <c r="S70" i="24"/>
  <c r="G70" i="24"/>
  <c r="Z70" i="24"/>
  <c r="L70" i="24"/>
  <c r="Y70" i="24"/>
  <c r="K70" i="24"/>
  <c r="X70" i="24"/>
  <c r="J70" i="24"/>
  <c r="U70" i="24"/>
  <c r="P87" i="24"/>
  <c r="R89" i="24"/>
  <c r="T101" i="24"/>
  <c r="Q106" i="24"/>
  <c r="S123" i="24"/>
  <c r="S133" i="24"/>
  <c r="V141" i="24"/>
  <c r="R157" i="24"/>
  <c r="F157" i="24"/>
  <c r="X157" i="24"/>
  <c r="K157" i="24"/>
  <c r="W157" i="24"/>
  <c r="J157" i="24"/>
  <c r="AB157" i="24"/>
  <c r="M157" i="24"/>
  <c r="AA157" i="24"/>
  <c r="L157" i="24"/>
  <c r="O157" i="24"/>
  <c r="N157" i="24"/>
  <c r="P157" i="24"/>
  <c r="I157" i="24"/>
  <c r="H157" i="24"/>
  <c r="AC157" i="24"/>
  <c r="V169" i="24"/>
  <c r="Z181" i="24"/>
  <c r="W215" i="24"/>
  <c r="K215" i="24"/>
  <c r="V215" i="24"/>
  <c r="I215" i="24"/>
  <c r="AA215" i="24"/>
  <c r="M215" i="24"/>
  <c r="Z215" i="24"/>
  <c r="L215" i="24"/>
  <c r="N215" i="24"/>
  <c r="AC215" i="24"/>
  <c r="J215" i="24"/>
  <c r="O215" i="24"/>
  <c r="H215" i="24"/>
  <c r="G215" i="24"/>
  <c r="P215" i="24"/>
  <c r="F215" i="24"/>
  <c r="E215" i="24"/>
  <c r="S222" i="24"/>
  <c r="G222" i="24"/>
  <c r="W222" i="24"/>
  <c r="J222" i="24"/>
  <c r="AC222" i="24"/>
  <c r="O222" i="24"/>
  <c r="AB222" i="24"/>
  <c r="N222" i="24"/>
  <c r="T222" i="24"/>
  <c r="E222" i="24"/>
  <c r="X222" i="24"/>
  <c r="D222" i="24"/>
  <c r="V222" i="24"/>
  <c r="C222" i="24"/>
  <c r="K222" i="24"/>
  <c r="I222" i="24"/>
  <c r="H222" i="24"/>
  <c r="Q222" i="24"/>
  <c r="P222" i="24"/>
  <c r="M222" i="24"/>
  <c r="AB229" i="24"/>
  <c r="P229" i="24"/>
  <c r="D229" i="24"/>
  <c r="AA229" i="24"/>
  <c r="O229" i="24"/>
  <c r="C229" i="24"/>
  <c r="V229" i="24"/>
  <c r="H229" i="24"/>
  <c r="U229" i="24"/>
  <c r="G229" i="24"/>
  <c r="S229" i="24"/>
  <c r="R229" i="24"/>
  <c r="Y229" i="24"/>
  <c r="I229" i="24"/>
  <c r="W229" i="24"/>
  <c r="T229" i="24"/>
  <c r="Z229" i="24"/>
  <c r="X229" i="24"/>
  <c r="Q229" i="24"/>
  <c r="H242" i="24"/>
  <c r="D285" i="24"/>
  <c r="G43" i="24"/>
  <c r="D44" i="24"/>
  <c r="C44" i="24"/>
  <c r="N57" i="24"/>
  <c r="AB57" i="24"/>
  <c r="N58" i="24"/>
  <c r="AB58" i="24"/>
  <c r="N59" i="24"/>
  <c r="X60" i="24"/>
  <c r="L60" i="24"/>
  <c r="W60" i="24"/>
  <c r="K60" i="24"/>
  <c r="P60" i="24"/>
  <c r="T61" i="24"/>
  <c r="H61" i="24"/>
  <c r="S61" i="24"/>
  <c r="G61" i="24"/>
  <c r="P61" i="24"/>
  <c r="AB62" i="24"/>
  <c r="P62" i="24"/>
  <c r="D62" i="24"/>
  <c r="AA62" i="24"/>
  <c r="O62" i="24"/>
  <c r="C62" i="24"/>
  <c r="R62" i="24"/>
  <c r="N75" i="24"/>
  <c r="AB75" i="24"/>
  <c r="N76" i="24"/>
  <c r="AB76" i="24"/>
  <c r="N77" i="24"/>
  <c r="X78" i="24"/>
  <c r="L78" i="24"/>
  <c r="W78" i="24"/>
  <c r="K78" i="24"/>
  <c r="P78" i="24"/>
  <c r="T79" i="24"/>
  <c r="H79" i="24"/>
  <c r="S79" i="24"/>
  <c r="G79" i="24"/>
  <c r="P79" i="24"/>
  <c r="AB80" i="24"/>
  <c r="P80" i="24"/>
  <c r="D80" i="24"/>
  <c r="AA80" i="24"/>
  <c r="O80" i="24"/>
  <c r="C80" i="24"/>
  <c r="R80" i="24"/>
  <c r="N93" i="24"/>
  <c r="AB93" i="24"/>
  <c r="N94" i="24"/>
  <c r="AB94" i="24"/>
  <c r="N95" i="24"/>
  <c r="X96" i="24"/>
  <c r="L96" i="24"/>
  <c r="W96" i="24"/>
  <c r="K96" i="24"/>
  <c r="P96" i="24"/>
  <c r="T97" i="24"/>
  <c r="H97" i="24"/>
  <c r="S97" i="24"/>
  <c r="G97" i="24"/>
  <c r="P97" i="24"/>
  <c r="AB98" i="24"/>
  <c r="P98" i="24"/>
  <c r="D98" i="24"/>
  <c r="AA98" i="24"/>
  <c r="O98" i="24"/>
  <c r="C98" i="24"/>
  <c r="R98" i="24"/>
  <c r="P105" i="24"/>
  <c r="O121" i="24"/>
  <c r="S122" i="24"/>
  <c r="G122" i="24"/>
  <c r="AC122" i="24"/>
  <c r="P122" i="24"/>
  <c r="U122" i="24"/>
  <c r="F122" i="24"/>
  <c r="T122" i="24"/>
  <c r="E122" i="24"/>
  <c r="R122" i="24"/>
  <c r="P127" i="24"/>
  <c r="Q140" i="24"/>
  <c r="S168" i="24"/>
  <c r="R175" i="24"/>
  <c r="F175" i="24"/>
  <c r="X175" i="24"/>
  <c r="K175" i="24"/>
  <c r="W175" i="24"/>
  <c r="J175" i="24"/>
  <c r="P175" i="24"/>
  <c r="O175" i="24"/>
  <c r="AA175" i="24"/>
  <c r="H175" i="24"/>
  <c r="Z175" i="24"/>
  <c r="G175" i="24"/>
  <c r="V175" i="24"/>
  <c r="R190" i="24"/>
  <c r="F190" i="24"/>
  <c r="Q190" i="24"/>
  <c r="D190" i="24"/>
  <c r="AC190" i="24"/>
  <c r="P190" i="24"/>
  <c r="C190" i="24"/>
  <c r="S190" i="24"/>
  <c r="O190" i="24"/>
  <c r="Z190" i="24"/>
  <c r="I190" i="24"/>
  <c r="Y190" i="24"/>
  <c r="H190" i="24"/>
  <c r="X190" i="24"/>
  <c r="Y193" i="24"/>
  <c r="W200" i="24"/>
  <c r="K200" i="24"/>
  <c r="X200" i="24"/>
  <c r="J200" i="24"/>
  <c r="S200" i="24"/>
  <c r="E200" i="24"/>
  <c r="R200" i="24"/>
  <c r="D200" i="24"/>
  <c r="AB200" i="24"/>
  <c r="L200" i="24"/>
  <c r="AA200" i="24"/>
  <c r="I200" i="24"/>
  <c r="P200" i="24"/>
  <c r="O200" i="24"/>
  <c r="N200" i="24"/>
  <c r="AC200" i="24"/>
  <c r="X230" i="24"/>
  <c r="L230" i="24"/>
  <c r="W230" i="24"/>
  <c r="K230" i="24"/>
  <c r="V230" i="24"/>
  <c r="H230" i="24"/>
  <c r="U230" i="24"/>
  <c r="G230" i="24"/>
  <c r="AA230" i="24"/>
  <c r="I230" i="24"/>
  <c r="Z230" i="24"/>
  <c r="F230" i="24"/>
  <c r="O230" i="24"/>
  <c r="Q230" i="24"/>
  <c r="P230" i="24"/>
  <c r="Y230" i="24"/>
  <c r="T230" i="24"/>
  <c r="S230" i="24"/>
  <c r="X322" i="24"/>
  <c r="L322" i="24"/>
  <c r="T322" i="24"/>
  <c r="H322" i="24"/>
  <c r="AC322" i="24"/>
  <c r="Q322" i="24"/>
  <c r="E322" i="24"/>
  <c r="U322" i="24"/>
  <c r="D322" i="24"/>
  <c r="S322" i="24"/>
  <c r="C322" i="24"/>
  <c r="K322" i="24"/>
  <c r="AB322" i="24"/>
  <c r="J322" i="24"/>
  <c r="P322" i="24"/>
  <c r="Y322" i="24"/>
  <c r="W322" i="24"/>
  <c r="G322" i="24"/>
  <c r="V322" i="24"/>
  <c r="R322" i="24"/>
  <c r="M322" i="24"/>
  <c r="I322" i="24"/>
  <c r="AA322" i="24"/>
  <c r="Z322" i="24"/>
  <c r="O57" i="24"/>
  <c r="O58" i="24"/>
  <c r="O75" i="24"/>
  <c r="O76" i="24"/>
  <c r="O93" i="24"/>
  <c r="O94" i="24"/>
  <c r="AA111" i="24"/>
  <c r="O111" i="24"/>
  <c r="C111" i="24"/>
  <c r="Z111" i="24"/>
  <c r="M111" i="24"/>
  <c r="Y111" i="24"/>
  <c r="L111" i="24"/>
  <c r="R111" i="24"/>
  <c r="S116" i="24"/>
  <c r="G116" i="24"/>
  <c r="Q116" i="24"/>
  <c r="D116" i="24"/>
  <c r="AC116" i="24"/>
  <c r="P116" i="24"/>
  <c r="C116" i="24"/>
  <c r="T116" i="24"/>
  <c r="S131" i="24"/>
  <c r="G131" i="24"/>
  <c r="Z131" i="24"/>
  <c r="M131" i="24"/>
  <c r="Y131" i="24"/>
  <c r="L131" i="24"/>
  <c r="P131" i="24"/>
  <c r="O131" i="24"/>
  <c r="T131" i="24"/>
  <c r="S201" i="24"/>
  <c r="G201" i="24"/>
  <c r="V201" i="24"/>
  <c r="I201" i="24"/>
  <c r="T201" i="24"/>
  <c r="E201" i="24"/>
  <c r="R201" i="24"/>
  <c r="D201" i="24"/>
  <c r="P201" i="24"/>
  <c r="O201" i="24"/>
  <c r="AB201" i="24"/>
  <c r="J201" i="24"/>
  <c r="AA201" i="24"/>
  <c r="H201" i="24"/>
  <c r="Z201" i="24"/>
  <c r="F201" i="24"/>
  <c r="AA202" i="24"/>
  <c r="O202" i="24"/>
  <c r="C202" i="24"/>
  <c r="T202" i="24"/>
  <c r="G202" i="24"/>
  <c r="U202" i="24"/>
  <c r="F202" i="24"/>
  <c r="S202" i="24"/>
  <c r="E202" i="24"/>
  <c r="X202" i="24"/>
  <c r="H202" i="24"/>
  <c r="W202" i="24"/>
  <c r="D202" i="24"/>
  <c r="V202" i="24"/>
  <c r="R202" i="24"/>
  <c r="Q202" i="24"/>
  <c r="W203" i="24"/>
  <c r="K203" i="24"/>
  <c r="R203" i="24"/>
  <c r="E203" i="24"/>
  <c r="U203" i="24"/>
  <c r="G203" i="24"/>
  <c r="T203" i="24"/>
  <c r="F203" i="24"/>
  <c r="AC203" i="24"/>
  <c r="M203" i="24"/>
  <c r="AB203" i="24"/>
  <c r="L203" i="24"/>
  <c r="O203" i="24"/>
  <c r="N203" i="24"/>
  <c r="J203" i="24"/>
  <c r="AA203" i="24"/>
  <c r="AA205" i="24"/>
  <c r="O205" i="24"/>
  <c r="C205" i="24"/>
  <c r="AB205" i="24"/>
  <c r="N205" i="24"/>
  <c r="V205" i="24"/>
  <c r="H205" i="24"/>
  <c r="U205" i="24"/>
  <c r="G205" i="24"/>
  <c r="Y205" i="24"/>
  <c r="I205" i="24"/>
  <c r="X205" i="24"/>
  <c r="F205" i="24"/>
  <c r="S205" i="24"/>
  <c r="R205" i="24"/>
  <c r="Q205" i="24"/>
  <c r="W206" i="24"/>
  <c r="K206" i="24"/>
  <c r="Z206" i="24"/>
  <c r="M206" i="24"/>
  <c r="V206" i="24"/>
  <c r="H206" i="24"/>
  <c r="U206" i="24"/>
  <c r="G206" i="24"/>
  <c r="O206" i="24"/>
  <c r="N206" i="24"/>
  <c r="L206" i="24"/>
  <c r="J206" i="24"/>
  <c r="AC206" i="24"/>
  <c r="I206" i="24"/>
  <c r="AA206" i="24"/>
  <c r="C230" i="24"/>
  <c r="F322" i="24"/>
  <c r="D41" i="24"/>
  <c r="C41" i="24"/>
  <c r="X57" i="24"/>
  <c r="L57" i="24"/>
  <c r="W57" i="24"/>
  <c r="K57" i="24"/>
  <c r="P57" i="24"/>
  <c r="T58" i="24"/>
  <c r="H58" i="24"/>
  <c r="S58" i="24"/>
  <c r="G58" i="24"/>
  <c r="P58" i="24"/>
  <c r="AB59" i="24"/>
  <c r="P59" i="24"/>
  <c r="D59" i="24"/>
  <c r="AA59" i="24"/>
  <c r="O59" i="24"/>
  <c r="C59" i="24"/>
  <c r="R59" i="24"/>
  <c r="X75" i="24"/>
  <c r="L75" i="24"/>
  <c r="W75" i="24"/>
  <c r="K75" i="24"/>
  <c r="P75" i="24"/>
  <c r="T76" i="24"/>
  <c r="H76" i="24"/>
  <c r="S76" i="24"/>
  <c r="G76" i="24"/>
  <c r="P76" i="24"/>
  <c r="AB77" i="24"/>
  <c r="P77" i="24"/>
  <c r="D77" i="24"/>
  <c r="AA77" i="24"/>
  <c r="O77" i="24"/>
  <c r="C77" i="24"/>
  <c r="R77" i="24"/>
  <c r="X93" i="24"/>
  <c r="L93" i="24"/>
  <c r="W93" i="24"/>
  <c r="K93" i="24"/>
  <c r="P93" i="24"/>
  <c r="T94" i="24"/>
  <c r="H94" i="24"/>
  <c r="S94" i="24"/>
  <c r="G94" i="24"/>
  <c r="P94" i="24"/>
  <c r="AB95" i="24"/>
  <c r="P95" i="24"/>
  <c r="D95" i="24"/>
  <c r="AA95" i="24"/>
  <c r="O95" i="24"/>
  <c r="C95" i="24"/>
  <c r="R95" i="24"/>
  <c r="AA105" i="24"/>
  <c r="O105" i="24"/>
  <c r="C105" i="24"/>
  <c r="X105" i="24"/>
  <c r="K105" i="24"/>
  <c r="W105" i="24"/>
  <c r="J105" i="24"/>
  <c r="R105" i="24"/>
  <c r="W121" i="24"/>
  <c r="K121" i="24"/>
  <c r="U121" i="24"/>
  <c r="H121" i="24"/>
  <c r="T121" i="24"/>
  <c r="G121" i="24"/>
  <c r="Q121" i="24"/>
  <c r="W127" i="24"/>
  <c r="K127" i="24"/>
  <c r="T127" i="24"/>
  <c r="G127" i="24"/>
  <c r="X127" i="24"/>
  <c r="I127" i="24"/>
  <c r="V127" i="24"/>
  <c r="H127" i="24"/>
  <c r="R127" i="24"/>
  <c r="S140" i="24"/>
  <c r="G140" i="24"/>
  <c r="W140" i="24"/>
  <c r="J140" i="24"/>
  <c r="V140" i="24"/>
  <c r="I140" i="24"/>
  <c r="AA140" i="24"/>
  <c r="L140" i="24"/>
  <c r="Z140" i="24"/>
  <c r="K140" i="24"/>
  <c r="T140" i="24"/>
  <c r="V168" i="24"/>
  <c r="J168" i="24"/>
  <c r="Z168" i="24"/>
  <c r="M168" i="24"/>
  <c r="Y168" i="24"/>
  <c r="L168" i="24"/>
  <c r="U168" i="24"/>
  <c r="F168" i="24"/>
  <c r="T168" i="24"/>
  <c r="E168" i="24"/>
  <c r="X168" i="24"/>
  <c r="D168" i="24"/>
  <c r="W168" i="24"/>
  <c r="C168" i="24"/>
  <c r="AB168" i="24"/>
  <c r="R193" i="24"/>
  <c r="F193" i="24"/>
  <c r="X193" i="24"/>
  <c r="K193" i="24"/>
  <c r="W193" i="24"/>
  <c r="J193" i="24"/>
  <c r="T193" i="24"/>
  <c r="D193" i="24"/>
  <c r="S193" i="24"/>
  <c r="C193" i="24"/>
  <c r="U193" i="24"/>
  <c r="Q193" i="24"/>
  <c r="P193" i="24"/>
  <c r="AA193" i="24"/>
  <c r="S204" i="24"/>
  <c r="G204" i="24"/>
  <c r="AC204" i="24"/>
  <c r="P204" i="24"/>
  <c r="C204" i="24"/>
  <c r="V204" i="24"/>
  <c r="H204" i="24"/>
  <c r="U204" i="24"/>
  <c r="F204" i="24"/>
  <c r="R204" i="24"/>
  <c r="Q204" i="24"/>
  <c r="AA204" i="24"/>
  <c r="I204" i="24"/>
  <c r="Z204" i="24"/>
  <c r="E204" i="24"/>
  <c r="Y204" i="24"/>
  <c r="D204" i="24"/>
  <c r="AB226" i="24"/>
  <c r="P226" i="24"/>
  <c r="D226" i="24"/>
  <c r="AA226" i="24"/>
  <c r="O226" i="24"/>
  <c r="C226" i="24"/>
  <c r="T226" i="24"/>
  <c r="F226" i="24"/>
  <c r="V226" i="24"/>
  <c r="G226" i="24"/>
  <c r="U226" i="24"/>
  <c r="E226" i="24"/>
  <c r="Z226" i="24"/>
  <c r="K226" i="24"/>
  <c r="S226" i="24"/>
  <c r="R226" i="24"/>
  <c r="M226" i="24"/>
  <c r="L226" i="24"/>
  <c r="J226" i="24"/>
  <c r="R243" i="24"/>
  <c r="U243" i="24"/>
  <c r="H243" i="24"/>
  <c r="T243" i="24"/>
  <c r="G243" i="24"/>
  <c r="S243" i="24"/>
  <c r="D243" i="24"/>
  <c r="Q243" i="24"/>
  <c r="C243" i="24"/>
  <c r="M243" i="24"/>
  <c r="AC243" i="24"/>
  <c r="L243" i="24"/>
  <c r="V243" i="24"/>
  <c r="AB243" i="24"/>
  <c r="F243" i="24"/>
  <c r="AA243" i="24"/>
  <c r="E243" i="24"/>
  <c r="X243" i="24"/>
  <c r="W243" i="24"/>
  <c r="P243" i="24"/>
  <c r="R273" i="24"/>
  <c r="F273" i="24"/>
  <c r="U273" i="24"/>
  <c r="H273" i="24"/>
  <c r="T273" i="24"/>
  <c r="G273" i="24"/>
  <c r="Y273" i="24"/>
  <c r="L273" i="24"/>
  <c r="W273" i="24"/>
  <c r="D273" i="24"/>
  <c r="V273" i="24"/>
  <c r="C273" i="24"/>
  <c r="O273" i="24"/>
  <c r="N273" i="24"/>
  <c r="X273" i="24"/>
  <c r="Q273" i="24"/>
  <c r="P273" i="24"/>
  <c r="M273" i="24"/>
  <c r="S273" i="24"/>
  <c r="K273" i="24"/>
  <c r="J273" i="24"/>
  <c r="T320" i="24"/>
  <c r="H320" i="24"/>
  <c r="AB320" i="24"/>
  <c r="P320" i="24"/>
  <c r="D320" i="24"/>
  <c r="Y320" i="24"/>
  <c r="M320" i="24"/>
  <c r="AC320" i="24"/>
  <c r="L320" i="24"/>
  <c r="AA320" i="24"/>
  <c r="K320" i="24"/>
  <c r="I320" i="24"/>
  <c r="Z320" i="24"/>
  <c r="G320" i="24"/>
  <c r="Q320" i="24"/>
  <c r="N320" i="24"/>
  <c r="J320" i="24"/>
  <c r="U320" i="24"/>
  <c r="V320" i="24"/>
  <c r="S320" i="24"/>
  <c r="X320" i="24"/>
  <c r="W320" i="24"/>
  <c r="R320" i="24"/>
  <c r="O320" i="24"/>
  <c r="X325" i="24"/>
  <c r="L325" i="24"/>
  <c r="T325" i="24"/>
  <c r="H325" i="24"/>
  <c r="AC325" i="24"/>
  <c r="Q325" i="24"/>
  <c r="E325" i="24"/>
  <c r="P325" i="24"/>
  <c r="O325" i="24"/>
  <c r="W325" i="24"/>
  <c r="D325" i="24"/>
  <c r="V325" i="24"/>
  <c r="C325" i="24"/>
  <c r="AB325" i="24"/>
  <c r="J325" i="24"/>
  <c r="I325" i="24"/>
  <c r="G325" i="24"/>
  <c r="R325" i="24"/>
  <c r="U325" i="24"/>
  <c r="S325" i="24"/>
  <c r="Z325" i="24"/>
  <c r="Y325" i="24"/>
  <c r="M325" i="24"/>
  <c r="K325" i="24"/>
  <c r="F325" i="24"/>
  <c r="AA325" i="24"/>
  <c r="AA102" i="24"/>
  <c r="O102" i="24"/>
  <c r="C102" i="24"/>
  <c r="P102" i="24"/>
  <c r="AC102" i="24"/>
  <c r="AA132" i="24"/>
  <c r="O132" i="24"/>
  <c r="C132" i="24"/>
  <c r="X132" i="24"/>
  <c r="K132" i="24"/>
  <c r="W132" i="24"/>
  <c r="J132" i="24"/>
  <c r="R132" i="24"/>
  <c r="W148" i="24"/>
  <c r="K148" i="24"/>
  <c r="U148" i="24"/>
  <c r="H148" i="24"/>
  <c r="T148" i="24"/>
  <c r="G148" i="24"/>
  <c r="Q148" i="24"/>
  <c r="R154" i="24"/>
  <c r="F154" i="24"/>
  <c r="AC154" i="24"/>
  <c r="P154" i="24"/>
  <c r="C154" i="24"/>
  <c r="AA154" i="24"/>
  <c r="M154" i="24"/>
  <c r="Z154" i="24"/>
  <c r="L154" i="24"/>
  <c r="T154" i="24"/>
  <c r="V183" i="24"/>
  <c r="J183" i="24"/>
  <c r="S183" i="24"/>
  <c r="F183" i="24"/>
  <c r="R183" i="24"/>
  <c r="E183" i="24"/>
  <c r="X183" i="24"/>
  <c r="H183" i="24"/>
  <c r="W183" i="24"/>
  <c r="G183" i="24"/>
  <c r="U183" i="24"/>
  <c r="AA223" i="24"/>
  <c r="O223" i="24"/>
  <c r="C223" i="24"/>
  <c r="U223" i="24"/>
  <c r="H223" i="24"/>
  <c r="P223" i="24"/>
  <c r="AC223" i="24"/>
  <c r="N223" i="24"/>
  <c r="T223" i="24"/>
  <c r="F223" i="24"/>
  <c r="M223" i="24"/>
  <c r="L223" i="24"/>
  <c r="X223" i="24"/>
  <c r="X233" i="24"/>
  <c r="L233" i="24"/>
  <c r="W233" i="24"/>
  <c r="K233" i="24"/>
  <c r="Z233" i="24"/>
  <c r="J233" i="24"/>
  <c r="Y233" i="24"/>
  <c r="I233" i="24"/>
  <c r="AC233" i="24"/>
  <c r="M233" i="24"/>
  <c r="AB233" i="24"/>
  <c r="H233" i="24"/>
  <c r="Q233" i="24"/>
  <c r="P233" i="24"/>
  <c r="O233" i="24"/>
  <c r="AA233" i="24"/>
  <c r="R279" i="24"/>
  <c r="F279" i="24"/>
  <c r="U279" i="24"/>
  <c r="H279" i="24"/>
  <c r="T279" i="24"/>
  <c r="G279" i="24"/>
  <c r="Y279" i="24"/>
  <c r="L279" i="24"/>
  <c r="P279" i="24"/>
  <c r="O279" i="24"/>
  <c r="AA279" i="24"/>
  <c r="E279" i="24"/>
  <c r="Z279" i="24"/>
  <c r="D279" i="24"/>
  <c r="M279" i="24"/>
  <c r="X279" i="24"/>
  <c r="W279" i="24"/>
  <c r="V279" i="24"/>
  <c r="X316" i="24"/>
  <c r="L316" i="24"/>
  <c r="T316" i="24"/>
  <c r="H316" i="24"/>
  <c r="AC316" i="24"/>
  <c r="Q316" i="24"/>
  <c r="E316" i="24"/>
  <c r="AB316" i="24"/>
  <c r="M316" i="24"/>
  <c r="AA316" i="24"/>
  <c r="K316" i="24"/>
  <c r="Y316" i="24"/>
  <c r="F316" i="24"/>
  <c r="W316" i="24"/>
  <c r="D316" i="24"/>
  <c r="N316" i="24"/>
  <c r="U316" i="24"/>
  <c r="S316" i="24"/>
  <c r="C316" i="24"/>
  <c r="I316" i="24"/>
  <c r="G316" i="24"/>
  <c r="O316" i="24"/>
  <c r="J316" i="24"/>
  <c r="Z316" i="24"/>
  <c r="D102" i="24"/>
  <c r="Q102" i="24"/>
  <c r="W103" i="24"/>
  <c r="K103" i="24"/>
  <c r="O103" i="24"/>
  <c r="AB103" i="24"/>
  <c r="S110" i="24"/>
  <c r="G110" i="24"/>
  <c r="O110" i="24"/>
  <c r="AB110" i="24"/>
  <c r="AA117" i="24"/>
  <c r="O117" i="24"/>
  <c r="C117" i="24"/>
  <c r="P117" i="24"/>
  <c r="AC117" i="24"/>
  <c r="D132" i="24"/>
  <c r="S132" i="24"/>
  <c r="W142" i="24"/>
  <c r="K142" i="24"/>
  <c r="S142" i="24"/>
  <c r="F142" i="24"/>
  <c r="R142" i="24"/>
  <c r="E142" i="24"/>
  <c r="Q142" i="24"/>
  <c r="C148" i="24"/>
  <c r="R148" i="24"/>
  <c r="D154" i="24"/>
  <c r="U154" i="24"/>
  <c r="V159" i="24"/>
  <c r="J159" i="24"/>
  <c r="S159" i="24"/>
  <c r="F159" i="24"/>
  <c r="R159" i="24"/>
  <c r="E159" i="24"/>
  <c r="AB159" i="24"/>
  <c r="M159" i="24"/>
  <c r="AA159" i="24"/>
  <c r="L159" i="24"/>
  <c r="U159" i="24"/>
  <c r="V171" i="24"/>
  <c r="J171" i="24"/>
  <c r="S171" i="24"/>
  <c r="F171" i="24"/>
  <c r="R171" i="24"/>
  <c r="E171" i="24"/>
  <c r="Z171" i="24"/>
  <c r="K171" i="24"/>
  <c r="Y171" i="24"/>
  <c r="I171" i="24"/>
  <c r="U171" i="24"/>
  <c r="C183" i="24"/>
  <c r="Y183" i="24"/>
  <c r="V186" i="24"/>
  <c r="J186" i="24"/>
  <c r="Z186" i="24"/>
  <c r="M186" i="24"/>
  <c r="Y186" i="24"/>
  <c r="L186" i="24"/>
  <c r="AA186" i="24"/>
  <c r="I186" i="24"/>
  <c r="X186" i="24"/>
  <c r="H186" i="24"/>
  <c r="S186" i="24"/>
  <c r="D223" i="24"/>
  <c r="Y223" i="24"/>
  <c r="C233" i="24"/>
  <c r="T234" i="24"/>
  <c r="H234" i="24"/>
  <c r="S234" i="24"/>
  <c r="G234" i="24"/>
  <c r="Z234" i="24"/>
  <c r="L234" i="24"/>
  <c r="Y234" i="24"/>
  <c r="K234" i="24"/>
  <c r="Q234" i="24"/>
  <c r="P234" i="24"/>
  <c r="W234" i="24"/>
  <c r="E234" i="24"/>
  <c r="J234" i="24"/>
  <c r="I234" i="24"/>
  <c r="AB234" i="24"/>
  <c r="R249" i="24"/>
  <c r="F249" i="24"/>
  <c r="U249" i="24"/>
  <c r="H249" i="24"/>
  <c r="T249" i="24"/>
  <c r="G249" i="24"/>
  <c r="Y249" i="24"/>
  <c r="L249" i="24"/>
  <c r="AB249" i="24"/>
  <c r="K249" i="24"/>
  <c r="AA249" i="24"/>
  <c r="J249" i="24"/>
  <c r="S249" i="24"/>
  <c r="Q249" i="24"/>
  <c r="Z249" i="24"/>
  <c r="D249" i="24"/>
  <c r="I249" i="24"/>
  <c r="E249" i="24"/>
  <c r="C249" i="24"/>
  <c r="R255" i="24"/>
  <c r="F255" i="24"/>
  <c r="U255" i="24"/>
  <c r="H255" i="24"/>
  <c r="T255" i="24"/>
  <c r="G255" i="24"/>
  <c r="Y255" i="24"/>
  <c r="L255" i="24"/>
  <c r="W255" i="24"/>
  <c r="D255" i="24"/>
  <c r="V255" i="24"/>
  <c r="C255" i="24"/>
  <c r="AC255" i="24"/>
  <c r="J255" i="24"/>
  <c r="AB255" i="24"/>
  <c r="I255" i="24"/>
  <c r="O255" i="24"/>
  <c r="Z255" i="24"/>
  <c r="X255" i="24"/>
  <c r="S255" i="24"/>
  <c r="C279" i="24"/>
  <c r="W290" i="24"/>
  <c r="K290" i="24"/>
  <c r="V290" i="24"/>
  <c r="J290" i="24"/>
  <c r="AA290" i="24"/>
  <c r="O290" i="24"/>
  <c r="C290" i="24"/>
  <c r="T290" i="24"/>
  <c r="E290" i="24"/>
  <c r="S290" i="24"/>
  <c r="D290" i="24"/>
  <c r="Z290" i="24"/>
  <c r="I290" i="24"/>
  <c r="L290" i="24"/>
  <c r="H290" i="24"/>
  <c r="Y290" i="24"/>
  <c r="X290" i="24"/>
  <c r="G290" i="24"/>
  <c r="AC290" i="24"/>
  <c r="AB290" i="24"/>
  <c r="U290" i="24"/>
  <c r="P316" i="24"/>
  <c r="T326" i="24"/>
  <c r="H326" i="24"/>
  <c r="AB326" i="24"/>
  <c r="P326" i="24"/>
  <c r="D326" i="24"/>
  <c r="Y326" i="24"/>
  <c r="M326" i="24"/>
  <c r="U326" i="24"/>
  <c r="E326" i="24"/>
  <c r="S326" i="24"/>
  <c r="C326" i="24"/>
  <c r="N326" i="24"/>
  <c r="L326" i="24"/>
  <c r="V326" i="24"/>
  <c r="G326" i="24"/>
  <c r="AC326" i="24"/>
  <c r="F326" i="24"/>
  <c r="O326" i="24"/>
  <c r="Z326" i="24"/>
  <c r="X326" i="24"/>
  <c r="J326" i="24"/>
  <c r="AB330" i="24"/>
  <c r="P330" i="24"/>
  <c r="D330" i="24"/>
  <c r="X330" i="24"/>
  <c r="L330" i="24"/>
  <c r="U330" i="24"/>
  <c r="I330" i="24"/>
  <c r="T330" i="24"/>
  <c r="E330" i="24"/>
  <c r="S330" i="24"/>
  <c r="C330" i="24"/>
  <c r="Q330" i="24"/>
  <c r="O330" i="24"/>
  <c r="Y330" i="24"/>
  <c r="F330" i="24"/>
  <c r="W330" i="24"/>
  <c r="V330" i="24"/>
  <c r="G330" i="24"/>
  <c r="N330" i="24"/>
  <c r="M330" i="24"/>
  <c r="AC330" i="24"/>
  <c r="AA330" i="24"/>
  <c r="V254" i="24"/>
  <c r="J254" i="24"/>
  <c r="W254" i="24"/>
  <c r="I254" i="24"/>
  <c r="U254" i="24"/>
  <c r="H254" i="24"/>
  <c r="AA254" i="24"/>
  <c r="N254" i="24"/>
  <c r="P254" i="24"/>
  <c r="O254" i="24"/>
  <c r="Q254" i="24"/>
  <c r="M254" i="24"/>
  <c r="X254" i="24"/>
  <c r="C254" i="24"/>
  <c r="Z254" i="24"/>
  <c r="Y254" i="24"/>
  <c r="T254" i="24"/>
  <c r="R267" i="24"/>
  <c r="F267" i="24"/>
  <c r="U267" i="24"/>
  <c r="H267" i="24"/>
  <c r="T267" i="24"/>
  <c r="G267" i="24"/>
  <c r="Y267" i="24"/>
  <c r="L267" i="24"/>
  <c r="AB267" i="24"/>
  <c r="K267" i="24"/>
  <c r="AA267" i="24"/>
  <c r="J267" i="24"/>
  <c r="Z267" i="24"/>
  <c r="D267" i="24"/>
  <c r="X267" i="24"/>
  <c r="C267" i="24"/>
  <c r="N267" i="24"/>
  <c r="P267" i="24"/>
  <c r="O267" i="24"/>
  <c r="M267" i="24"/>
  <c r="V278" i="24"/>
  <c r="J278" i="24"/>
  <c r="W278" i="24"/>
  <c r="I278" i="24"/>
  <c r="U278" i="24"/>
  <c r="H278" i="24"/>
  <c r="AA278" i="24"/>
  <c r="N278" i="24"/>
  <c r="AB278" i="24"/>
  <c r="K278" i="24"/>
  <c r="Z278" i="24"/>
  <c r="G278" i="24"/>
  <c r="O278" i="24"/>
  <c r="M278" i="24"/>
  <c r="S278" i="24"/>
  <c r="Y278" i="24"/>
  <c r="X278" i="24"/>
  <c r="T278" i="24"/>
  <c r="AA129" i="24"/>
  <c r="O129" i="24"/>
  <c r="C129" i="24"/>
  <c r="P129" i="24"/>
  <c r="AC129" i="24"/>
  <c r="W151" i="24"/>
  <c r="K151" i="24"/>
  <c r="O151" i="24"/>
  <c r="AB151" i="24"/>
  <c r="R163" i="24"/>
  <c r="F163" i="24"/>
  <c r="X163" i="24"/>
  <c r="K163" i="24"/>
  <c r="W163" i="24"/>
  <c r="J163" i="24"/>
  <c r="Q163" i="24"/>
  <c r="V165" i="24"/>
  <c r="J165" i="24"/>
  <c r="S165" i="24"/>
  <c r="F165" i="24"/>
  <c r="R165" i="24"/>
  <c r="E165" i="24"/>
  <c r="Q165" i="24"/>
  <c r="R178" i="24"/>
  <c r="F178" i="24"/>
  <c r="Q178" i="24"/>
  <c r="D178" i="24"/>
  <c r="AC178" i="24"/>
  <c r="P178" i="24"/>
  <c r="C178" i="24"/>
  <c r="T178" i="24"/>
  <c r="AA199" i="24"/>
  <c r="O199" i="24"/>
  <c r="C199" i="24"/>
  <c r="Y199" i="24"/>
  <c r="L199" i="24"/>
  <c r="S199" i="24"/>
  <c r="E199" i="24"/>
  <c r="R199" i="24"/>
  <c r="D199" i="24"/>
  <c r="U199" i="24"/>
  <c r="S207" i="24"/>
  <c r="G207" i="24"/>
  <c r="X207" i="24"/>
  <c r="K207" i="24"/>
  <c r="W207" i="24"/>
  <c r="I207" i="24"/>
  <c r="V207" i="24"/>
  <c r="H207" i="24"/>
  <c r="R207" i="24"/>
  <c r="AA220" i="24"/>
  <c r="O220" i="24"/>
  <c r="C220" i="24"/>
  <c r="Z220" i="24"/>
  <c r="M220" i="24"/>
  <c r="AC220" i="24"/>
  <c r="N220" i="24"/>
  <c r="AB220" i="24"/>
  <c r="L220" i="24"/>
  <c r="S220" i="24"/>
  <c r="E220" i="24"/>
  <c r="U220" i="24"/>
  <c r="AB235" i="24"/>
  <c r="P235" i="24"/>
  <c r="D235" i="24"/>
  <c r="AA235" i="24"/>
  <c r="O235" i="24"/>
  <c r="C235" i="24"/>
  <c r="Z235" i="24"/>
  <c r="L235" i="24"/>
  <c r="Y235" i="24"/>
  <c r="K235" i="24"/>
  <c r="W235" i="24"/>
  <c r="G235" i="24"/>
  <c r="V235" i="24"/>
  <c r="F235" i="24"/>
  <c r="M235" i="24"/>
  <c r="AC235" i="24"/>
  <c r="AB238" i="24"/>
  <c r="P238" i="24"/>
  <c r="D238" i="24"/>
  <c r="AA238" i="24"/>
  <c r="O238" i="24"/>
  <c r="C238" i="24"/>
  <c r="N238" i="24"/>
  <c r="AC238" i="24"/>
  <c r="M238" i="24"/>
  <c r="Y238" i="24"/>
  <c r="I238" i="24"/>
  <c r="X238" i="24"/>
  <c r="H238" i="24"/>
  <c r="Q238" i="24"/>
  <c r="W238" i="24"/>
  <c r="V248" i="24"/>
  <c r="J248" i="24"/>
  <c r="W248" i="24"/>
  <c r="I248" i="24"/>
  <c r="U248" i="24"/>
  <c r="H248" i="24"/>
  <c r="AA248" i="24"/>
  <c r="N248" i="24"/>
  <c r="T248" i="24"/>
  <c r="D248" i="24"/>
  <c r="S248" i="24"/>
  <c r="C248" i="24"/>
  <c r="AB248" i="24"/>
  <c r="F248" i="24"/>
  <c r="Z248" i="24"/>
  <c r="E248" i="24"/>
  <c r="M248" i="24"/>
  <c r="T311" i="24"/>
  <c r="H311" i="24"/>
  <c r="AB311" i="24"/>
  <c r="P311" i="24"/>
  <c r="D311" i="24"/>
  <c r="Z311" i="24"/>
  <c r="L311" i="24"/>
  <c r="Y311" i="24"/>
  <c r="K311" i="24"/>
  <c r="O311" i="24"/>
  <c r="N311" i="24"/>
  <c r="U311" i="24"/>
  <c r="C311" i="24"/>
  <c r="S311" i="24"/>
  <c r="R311" i="24"/>
  <c r="AA311" i="24"/>
  <c r="E311" i="24"/>
  <c r="V311" i="24"/>
  <c r="Q311" i="24"/>
  <c r="I311" i="24"/>
  <c r="G311" i="24"/>
  <c r="X311" i="24"/>
  <c r="T317" i="24"/>
  <c r="H317" i="24"/>
  <c r="AB317" i="24"/>
  <c r="P317" i="24"/>
  <c r="D317" i="24"/>
  <c r="Y317" i="24"/>
  <c r="M317" i="24"/>
  <c r="Q317" i="24"/>
  <c r="O317" i="24"/>
  <c r="R317" i="24"/>
  <c r="N317" i="24"/>
  <c r="W317" i="24"/>
  <c r="E317" i="24"/>
  <c r="U317" i="24"/>
  <c r="S317" i="24"/>
  <c r="AA317" i="24"/>
  <c r="C317" i="24"/>
  <c r="K317" i="24"/>
  <c r="J317" i="24"/>
  <c r="Z317" i="24"/>
  <c r="X317" i="24"/>
  <c r="T329" i="24"/>
  <c r="H329" i="24"/>
  <c r="AB329" i="24"/>
  <c r="P329" i="24"/>
  <c r="D329" i="24"/>
  <c r="Y329" i="24"/>
  <c r="M329" i="24"/>
  <c r="Q329" i="24"/>
  <c r="O329" i="24"/>
  <c r="Z329" i="24"/>
  <c r="G329" i="24"/>
  <c r="X329" i="24"/>
  <c r="F329" i="24"/>
  <c r="L329" i="24"/>
  <c r="W329" i="24"/>
  <c r="V329" i="24"/>
  <c r="I329" i="24"/>
  <c r="AC329" i="24"/>
  <c r="AA329" i="24"/>
  <c r="E329" i="24"/>
  <c r="C329" i="24"/>
  <c r="R329" i="24"/>
  <c r="D129" i="24"/>
  <c r="Q129" i="24"/>
  <c r="W130" i="24"/>
  <c r="K130" i="24"/>
  <c r="O130" i="24"/>
  <c r="AB130" i="24"/>
  <c r="S137" i="24"/>
  <c r="G137" i="24"/>
  <c r="O137" i="24"/>
  <c r="AB137" i="24"/>
  <c r="AA144" i="24"/>
  <c r="O144" i="24"/>
  <c r="C144" i="24"/>
  <c r="P144" i="24"/>
  <c r="AC144" i="24"/>
  <c r="C151" i="24"/>
  <c r="P151" i="24"/>
  <c r="AC151" i="24"/>
  <c r="C163" i="24"/>
  <c r="S163" i="24"/>
  <c r="C165" i="24"/>
  <c r="T165" i="24"/>
  <c r="E178" i="24"/>
  <c r="U178" i="24"/>
  <c r="V192" i="24"/>
  <c r="J192" i="24"/>
  <c r="Z192" i="24"/>
  <c r="M192" i="24"/>
  <c r="Y192" i="24"/>
  <c r="L192" i="24"/>
  <c r="Q192" i="24"/>
  <c r="F199" i="24"/>
  <c r="V199" i="24"/>
  <c r="C207" i="24"/>
  <c r="T207" i="24"/>
  <c r="S216" i="24"/>
  <c r="G216" i="24"/>
  <c r="U216" i="24"/>
  <c r="H216" i="24"/>
  <c r="AA216" i="24"/>
  <c r="M216" i="24"/>
  <c r="Z216" i="24"/>
  <c r="L216" i="24"/>
  <c r="R216" i="24"/>
  <c r="D220" i="24"/>
  <c r="V220" i="24"/>
  <c r="E235" i="24"/>
  <c r="X236" i="24"/>
  <c r="L236" i="24"/>
  <c r="W236" i="24"/>
  <c r="K236" i="24"/>
  <c r="AB236" i="24"/>
  <c r="N236" i="24"/>
  <c r="AA236" i="24"/>
  <c r="M236" i="24"/>
  <c r="O236" i="24"/>
  <c r="J236" i="24"/>
  <c r="S236" i="24"/>
  <c r="C236" i="24"/>
  <c r="V236" i="24"/>
  <c r="E238" i="24"/>
  <c r="Z238" i="24"/>
  <c r="G248" i="24"/>
  <c r="R252" i="24"/>
  <c r="F252" i="24"/>
  <c r="AA252" i="24"/>
  <c r="N252" i="24"/>
  <c r="Z252" i="24"/>
  <c r="M252" i="24"/>
  <c r="S252" i="24"/>
  <c r="E252" i="24"/>
  <c r="L252" i="24"/>
  <c r="AC252" i="24"/>
  <c r="K252" i="24"/>
  <c r="AB252" i="24"/>
  <c r="H252" i="24"/>
  <c r="Y252" i="24"/>
  <c r="G252" i="24"/>
  <c r="P252" i="24"/>
  <c r="F311" i="24"/>
  <c r="F317" i="24"/>
  <c r="X319" i="24"/>
  <c r="L319" i="24"/>
  <c r="T319" i="24"/>
  <c r="H319" i="24"/>
  <c r="AC319" i="24"/>
  <c r="Q319" i="24"/>
  <c r="E319" i="24"/>
  <c r="Y319" i="24"/>
  <c r="I319" i="24"/>
  <c r="W319" i="24"/>
  <c r="G319" i="24"/>
  <c r="R319" i="24"/>
  <c r="P319" i="24"/>
  <c r="Z319" i="24"/>
  <c r="D319" i="24"/>
  <c r="N319" i="24"/>
  <c r="M319" i="24"/>
  <c r="V319" i="24"/>
  <c r="AB319" i="24"/>
  <c r="AA319" i="24"/>
  <c r="J319" i="24"/>
  <c r="F319" i="24"/>
  <c r="U319" i="24"/>
  <c r="J329" i="24"/>
  <c r="AB339" i="24"/>
  <c r="P339" i="24"/>
  <c r="D339" i="24"/>
  <c r="X339" i="24"/>
  <c r="L339" i="24"/>
  <c r="U339" i="24"/>
  <c r="I339" i="24"/>
  <c r="Y339" i="24"/>
  <c r="H339" i="24"/>
  <c r="W339" i="24"/>
  <c r="G339" i="24"/>
  <c r="V339" i="24"/>
  <c r="F339" i="24"/>
  <c r="N339" i="24"/>
  <c r="J339" i="24"/>
  <c r="E339" i="24"/>
  <c r="Q339" i="24"/>
  <c r="S339" i="24"/>
  <c r="R339" i="24"/>
  <c r="AC339" i="24"/>
  <c r="Z339" i="24"/>
  <c r="T339" i="24"/>
  <c r="T228" i="24"/>
  <c r="H228" i="24"/>
  <c r="S228" i="24"/>
  <c r="G228" i="24"/>
  <c r="V228" i="24"/>
  <c r="F228" i="24"/>
  <c r="U228" i="24"/>
  <c r="Q228" i="24"/>
  <c r="R270" i="24"/>
  <c r="F270" i="24"/>
  <c r="AA270" i="24"/>
  <c r="N270" i="24"/>
  <c r="Z270" i="24"/>
  <c r="M270" i="24"/>
  <c r="S270" i="24"/>
  <c r="E270" i="24"/>
  <c r="L270" i="24"/>
  <c r="AC270" i="24"/>
  <c r="K270" i="24"/>
  <c r="V270" i="24"/>
  <c r="H296" i="24"/>
  <c r="Y298" i="24"/>
  <c r="M298" i="24"/>
  <c r="X298" i="24"/>
  <c r="L298" i="24"/>
  <c r="R298" i="24"/>
  <c r="D298" i="24"/>
  <c r="Q298" i="24"/>
  <c r="C298" i="24"/>
  <c r="V298" i="24"/>
  <c r="H298" i="24"/>
  <c r="AC298" i="24"/>
  <c r="J298" i="24"/>
  <c r="AB298" i="24"/>
  <c r="I298" i="24"/>
  <c r="P298" i="24"/>
  <c r="G298" i="24"/>
  <c r="F298" i="24"/>
  <c r="W197" i="24"/>
  <c r="K197" i="24"/>
  <c r="AC197" i="24"/>
  <c r="P197" i="24"/>
  <c r="C197" i="24"/>
  <c r="Q197" i="24"/>
  <c r="O224" i="24"/>
  <c r="L228" i="24"/>
  <c r="AB228" i="24"/>
  <c r="AB232" i="24"/>
  <c r="P232" i="24"/>
  <c r="D232" i="24"/>
  <c r="AA232" i="24"/>
  <c r="O232" i="24"/>
  <c r="C232" i="24"/>
  <c r="X232" i="24"/>
  <c r="J232" i="24"/>
  <c r="W232" i="24"/>
  <c r="I232" i="24"/>
  <c r="T232" i="24"/>
  <c r="T237" i="24"/>
  <c r="H237" i="24"/>
  <c r="S237" i="24"/>
  <c r="G237" i="24"/>
  <c r="AB237" i="24"/>
  <c r="N237" i="24"/>
  <c r="AA237" i="24"/>
  <c r="M237" i="24"/>
  <c r="R237" i="24"/>
  <c r="O270" i="24"/>
  <c r="V272" i="24"/>
  <c r="J272" i="24"/>
  <c r="W272" i="24"/>
  <c r="I272" i="24"/>
  <c r="U272" i="24"/>
  <c r="H272" i="24"/>
  <c r="AA272" i="24"/>
  <c r="N272" i="24"/>
  <c r="P272" i="24"/>
  <c r="O272" i="24"/>
  <c r="T272" i="24"/>
  <c r="R276" i="24"/>
  <c r="F276" i="24"/>
  <c r="AA276" i="24"/>
  <c r="N276" i="24"/>
  <c r="Z276" i="24"/>
  <c r="M276" i="24"/>
  <c r="S276" i="24"/>
  <c r="E276" i="24"/>
  <c r="X276" i="24"/>
  <c r="H276" i="24"/>
  <c r="W276" i="24"/>
  <c r="G276" i="24"/>
  <c r="V276" i="24"/>
  <c r="U298" i="24"/>
  <c r="AC306" i="24"/>
  <c r="Q306" i="24"/>
  <c r="E306" i="24"/>
  <c r="AB306" i="24"/>
  <c r="P306" i="24"/>
  <c r="D306" i="24"/>
  <c r="X306" i="24"/>
  <c r="J306" i="24"/>
  <c r="W306" i="24"/>
  <c r="I306" i="24"/>
  <c r="N306" i="24"/>
  <c r="R306" i="24"/>
  <c r="O306" i="24"/>
  <c r="V306" i="24"/>
  <c r="C306" i="24"/>
  <c r="U306" i="24"/>
  <c r="T306" i="24"/>
  <c r="W224" i="24"/>
  <c r="K224" i="24"/>
  <c r="S224" i="24"/>
  <c r="F224" i="24"/>
  <c r="P224" i="24"/>
  <c r="T225" i="24"/>
  <c r="H225" i="24"/>
  <c r="S225" i="24"/>
  <c r="G225" i="24"/>
  <c r="R225" i="24"/>
  <c r="D225" i="24"/>
  <c r="Q225" i="24"/>
  <c r="M228" i="24"/>
  <c r="AC228" i="24"/>
  <c r="P270" i="24"/>
  <c r="W296" i="24"/>
  <c r="K296" i="24"/>
  <c r="V296" i="24"/>
  <c r="J296" i="24"/>
  <c r="AA296" i="24"/>
  <c r="O296" i="24"/>
  <c r="C296" i="24"/>
  <c r="Q296" i="24"/>
  <c r="P296" i="24"/>
  <c r="U296" i="24"/>
  <c r="F296" i="24"/>
  <c r="T296" i="24"/>
  <c r="S296" i="24"/>
  <c r="Z296" i="24"/>
  <c r="W298" i="24"/>
  <c r="U305" i="24"/>
  <c r="I305" i="24"/>
  <c r="T305" i="24"/>
  <c r="H305" i="24"/>
  <c r="X305" i="24"/>
  <c r="J305" i="24"/>
  <c r="W305" i="24"/>
  <c r="G305" i="24"/>
  <c r="AB305" i="24"/>
  <c r="N305" i="24"/>
  <c r="Z305" i="24"/>
  <c r="E305" i="24"/>
  <c r="Y305" i="24"/>
  <c r="D305" i="24"/>
  <c r="M305" i="24"/>
  <c r="V305" i="24"/>
  <c r="S305" i="24"/>
  <c r="F306" i="24"/>
  <c r="R246" i="24"/>
  <c r="F246" i="24"/>
  <c r="AA246" i="24"/>
  <c r="N246" i="24"/>
  <c r="Z246" i="24"/>
  <c r="M246" i="24"/>
  <c r="S246" i="24"/>
  <c r="Q246" i="24"/>
  <c r="S291" i="24"/>
  <c r="G291" i="24"/>
  <c r="R291" i="24"/>
  <c r="F291" i="24"/>
  <c r="W291" i="24"/>
  <c r="K291" i="24"/>
  <c r="Y291" i="24"/>
  <c r="I291" i="24"/>
  <c r="X291" i="24"/>
  <c r="H291" i="24"/>
  <c r="AC291" i="24"/>
  <c r="N291" i="24"/>
  <c r="V291" i="24"/>
  <c r="N152" i="24"/>
  <c r="N155" i="24"/>
  <c r="N158" i="24"/>
  <c r="N161" i="24"/>
  <c r="N164" i="24"/>
  <c r="N167" i="24"/>
  <c r="N170" i="24"/>
  <c r="N173" i="24"/>
  <c r="N176" i="24"/>
  <c r="N179" i="24"/>
  <c r="N182" i="24"/>
  <c r="N185" i="24"/>
  <c r="N188" i="24"/>
  <c r="N191" i="24"/>
  <c r="N194" i="24"/>
  <c r="W212" i="24"/>
  <c r="K212" i="24"/>
  <c r="O212" i="24"/>
  <c r="AB212" i="24"/>
  <c r="S219" i="24"/>
  <c r="G219" i="24"/>
  <c r="O219" i="24"/>
  <c r="AB219" i="24"/>
  <c r="X239" i="24"/>
  <c r="L239" i="24"/>
  <c r="W239" i="24"/>
  <c r="K239" i="24"/>
  <c r="P239" i="24"/>
  <c r="T240" i="24"/>
  <c r="H240" i="24"/>
  <c r="S240" i="24"/>
  <c r="G240" i="24"/>
  <c r="P240" i="24"/>
  <c r="AB241" i="24"/>
  <c r="P241" i="24"/>
  <c r="D241" i="24"/>
  <c r="AA241" i="24"/>
  <c r="O241" i="24"/>
  <c r="C241" i="24"/>
  <c r="R241" i="24"/>
  <c r="C246" i="24"/>
  <c r="T246" i="24"/>
  <c r="R264" i="24"/>
  <c r="F264" i="24"/>
  <c r="AA264" i="24"/>
  <c r="N264" i="24"/>
  <c r="Z264" i="24"/>
  <c r="M264" i="24"/>
  <c r="S264" i="24"/>
  <c r="E264" i="24"/>
  <c r="T264" i="24"/>
  <c r="R282" i="24"/>
  <c r="F282" i="24"/>
  <c r="AA282" i="24"/>
  <c r="N282" i="24"/>
  <c r="Z282" i="24"/>
  <c r="M282" i="24"/>
  <c r="S282" i="24"/>
  <c r="E282" i="24"/>
  <c r="T282" i="24"/>
  <c r="C291" i="24"/>
  <c r="Z291" i="24"/>
  <c r="AC300" i="24"/>
  <c r="Q300" i="24"/>
  <c r="E300" i="24"/>
  <c r="AB300" i="24"/>
  <c r="P300" i="24"/>
  <c r="D300" i="24"/>
  <c r="T300" i="24"/>
  <c r="F300" i="24"/>
  <c r="S300" i="24"/>
  <c r="C300" i="24"/>
  <c r="X300" i="24"/>
  <c r="J300" i="24"/>
  <c r="L300" i="24"/>
  <c r="K300" i="24"/>
  <c r="R300" i="24"/>
  <c r="AA300" i="24"/>
  <c r="Y304" i="24"/>
  <c r="M304" i="24"/>
  <c r="X304" i="24"/>
  <c r="L304" i="24"/>
  <c r="V304" i="24"/>
  <c r="H304" i="24"/>
  <c r="U304" i="24"/>
  <c r="G304" i="24"/>
  <c r="AB304" i="24"/>
  <c r="N304" i="24"/>
  <c r="P304" i="24"/>
  <c r="O304" i="24"/>
  <c r="T304" i="24"/>
  <c r="C304" i="24"/>
  <c r="AA304" i="24"/>
  <c r="S294" i="24"/>
  <c r="G294" i="24"/>
  <c r="R294" i="24"/>
  <c r="F294" i="24"/>
  <c r="W294" i="24"/>
  <c r="K294" i="24"/>
  <c r="Q294" i="24"/>
  <c r="X331" i="24"/>
  <c r="L331" i="24"/>
  <c r="T331" i="24"/>
  <c r="H331" i="24"/>
  <c r="AC331" i="24"/>
  <c r="Q331" i="24"/>
  <c r="E331" i="24"/>
  <c r="Y331" i="24"/>
  <c r="I331" i="24"/>
  <c r="W331" i="24"/>
  <c r="G331" i="24"/>
  <c r="AB331" i="24"/>
  <c r="J331" i="24"/>
  <c r="AA331" i="24"/>
  <c r="F331" i="24"/>
  <c r="O331" i="24"/>
  <c r="T332" i="24"/>
  <c r="H332" i="24"/>
  <c r="AB332" i="24"/>
  <c r="P332" i="24"/>
  <c r="D332" i="24"/>
  <c r="Y332" i="24"/>
  <c r="M332" i="24"/>
  <c r="AC332" i="24"/>
  <c r="L332" i="24"/>
  <c r="AA332" i="24"/>
  <c r="K332" i="24"/>
  <c r="S332" i="24"/>
  <c r="R332" i="24"/>
  <c r="X332" i="24"/>
  <c r="F332" i="24"/>
  <c r="Z332" i="24"/>
  <c r="V245" i="24"/>
  <c r="J245" i="24"/>
  <c r="O245" i="24"/>
  <c r="AB245" i="24"/>
  <c r="V251" i="24"/>
  <c r="J251" i="24"/>
  <c r="O251" i="24"/>
  <c r="AB251" i="24"/>
  <c r="V257" i="24"/>
  <c r="J257" i="24"/>
  <c r="O257" i="24"/>
  <c r="AB257" i="24"/>
  <c r="V263" i="24"/>
  <c r="J263" i="24"/>
  <c r="O263" i="24"/>
  <c r="AB263" i="24"/>
  <c r="V269" i="24"/>
  <c r="J269" i="24"/>
  <c r="O269" i="24"/>
  <c r="AB269" i="24"/>
  <c r="V275" i="24"/>
  <c r="J275" i="24"/>
  <c r="O275" i="24"/>
  <c r="AB275" i="24"/>
  <c r="V281" i="24"/>
  <c r="J281" i="24"/>
  <c r="O281" i="24"/>
  <c r="AB281" i="24"/>
  <c r="W287" i="24"/>
  <c r="K287" i="24"/>
  <c r="V287" i="24"/>
  <c r="J287" i="24"/>
  <c r="AA287" i="24"/>
  <c r="P287" i="24"/>
  <c r="L294" i="24"/>
  <c r="AA294" i="24"/>
  <c r="Y301" i="24"/>
  <c r="M301" i="24"/>
  <c r="X301" i="24"/>
  <c r="L301" i="24"/>
  <c r="T301" i="24"/>
  <c r="F301" i="24"/>
  <c r="S301" i="24"/>
  <c r="E301" i="24"/>
  <c r="Z301" i="24"/>
  <c r="J301" i="24"/>
  <c r="U301" i="24"/>
  <c r="AC303" i="24"/>
  <c r="Q303" i="24"/>
  <c r="E303" i="24"/>
  <c r="AB303" i="24"/>
  <c r="P303" i="24"/>
  <c r="D303" i="24"/>
  <c r="V303" i="24"/>
  <c r="H303" i="24"/>
  <c r="U303" i="24"/>
  <c r="G303" i="24"/>
  <c r="Z303" i="24"/>
  <c r="L303" i="24"/>
  <c r="W303" i="24"/>
  <c r="R331" i="24"/>
  <c r="O332" i="24"/>
  <c r="T335" i="24"/>
  <c r="H335" i="24"/>
  <c r="AB335" i="24"/>
  <c r="P335" i="24"/>
  <c r="D335" i="24"/>
  <c r="Y335" i="24"/>
  <c r="M335" i="24"/>
  <c r="X335" i="24"/>
  <c r="I335" i="24"/>
  <c r="W335" i="24"/>
  <c r="G335" i="24"/>
  <c r="V335" i="24"/>
  <c r="F335" i="24"/>
  <c r="O335" i="24"/>
  <c r="N335" i="24"/>
  <c r="U335" i="24"/>
  <c r="AB336" i="24"/>
  <c r="P336" i="24"/>
  <c r="D336" i="24"/>
  <c r="X336" i="24"/>
  <c r="L336" i="24"/>
  <c r="U336" i="24"/>
  <c r="I336" i="24"/>
  <c r="AC336" i="24"/>
  <c r="M336" i="24"/>
  <c r="AA336" i="24"/>
  <c r="K336" i="24"/>
  <c r="Z336" i="24"/>
  <c r="J336" i="24"/>
  <c r="G336" i="24"/>
  <c r="F336" i="24"/>
  <c r="Q336" i="24"/>
  <c r="M294" i="24"/>
  <c r="AB294" i="24"/>
  <c r="X310" i="24"/>
  <c r="L310" i="24"/>
  <c r="T310" i="24"/>
  <c r="H310" i="24"/>
  <c r="Z310" i="24"/>
  <c r="K310" i="24"/>
  <c r="Y310" i="24"/>
  <c r="J310" i="24"/>
  <c r="AA310" i="24"/>
  <c r="G310" i="24"/>
  <c r="W310" i="24"/>
  <c r="F310" i="24"/>
  <c r="O310" i="24"/>
  <c r="V310" i="24"/>
  <c r="AB327" i="24"/>
  <c r="P327" i="24"/>
  <c r="D327" i="24"/>
  <c r="X327" i="24"/>
  <c r="L327" i="24"/>
  <c r="U327" i="24"/>
  <c r="I327" i="24"/>
  <c r="Y327" i="24"/>
  <c r="H327" i="24"/>
  <c r="W327" i="24"/>
  <c r="G327" i="24"/>
  <c r="Z327" i="24"/>
  <c r="E327" i="24"/>
  <c r="V327" i="24"/>
  <c r="C327" i="24"/>
  <c r="M327" i="24"/>
  <c r="X328" i="24"/>
  <c r="L328" i="24"/>
  <c r="T328" i="24"/>
  <c r="H328" i="24"/>
  <c r="AC328" i="24"/>
  <c r="Q328" i="24"/>
  <c r="E328" i="24"/>
  <c r="AB328" i="24"/>
  <c r="M328" i="24"/>
  <c r="AA328" i="24"/>
  <c r="K328" i="24"/>
  <c r="P328" i="24"/>
  <c r="O328" i="24"/>
  <c r="V328" i="24"/>
  <c r="C328" i="24"/>
  <c r="Z328" i="24"/>
  <c r="S331" i="24"/>
  <c r="Q332" i="24"/>
  <c r="C335" i="24"/>
  <c r="C336" i="24"/>
  <c r="X307" i="24"/>
  <c r="L307" i="24"/>
  <c r="AA307" i="24"/>
  <c r="N307" i="24"/>
  <c r="Z307" i="24"/>
  <c r="M307" i="24"/>
  <c r="Q307" i="24"/>
  <c r="X313" i="24"/>
  <c r="L313" i="24"/>
  <c r="T313" i="24"/>
  <c r="H313" i="24"/>
  <c r="AC313" i="24"/>
  <c r="Q313" i="24"/>
  <c r="E313" i="24"/>
  <c r="P313" i="24"/>
  <c r="O313" i="24"/>
  <c r="U313" i="24"/>
  <c r="AB315" i="24"/>
  <c r="P315" i="24"/>
  <c r="D315" i="24"/>
  <c r="X315" i="24"/>
  <c r="L315" i="24"/>
  <c r="U315" i="24"/>
  <c r="I315" i="24"/>
  <c r="Y315" i="24"/>
  <c r="H315" i="24"/>
  <c r="W315" i="24"/>
  <c r="G315" i="24"/>
  <c r="T315" i="24"/>
  <c r="N244" i="24"/>
  <c r="N247" i="24"/>
  <c r="N250" i="24"/>
  <c r="N253" i="24"/>
  <c r="N256" i="24"/>
  <c r="N259" i="24"/>
  <c r="N262" i="24"/>
  <c r="N265" i="24"/>
  <c r="N268" i="24"/>
  <c r="N271" i="24"/>
  <c r="N274" i="24"/>
  <c r="N277" i="24"/>
  <c r="N280" i="24"/>
  <c r="N283" i="24"/>
  <c r="N286" i="24"/>
  <c r="N289" i="24"/>
  <c r="N292" i="24"/>
  <c r="N295" i="24"/>
  <c r="Z295" i="24"/>
  <c r="I307" i="24"/>
  <c r="Y307" i="24"/>
  <c r="K313" i="24"/>
  <c r="T314" i="24"/>
  <c r="H314" i="24"/>
  <c r="AB314" i="24"/>
  <c r="P314" i="24"/>
  <c r="D314" i="24"/>
  <c r="Y314" i="24"/>
  <c r="M314" i="24"/>
  <c r="U314" i="24"/>
  <c r="E314" i="24"/>
  <c r="S314" i="24"/>
  <c r="C314" i="24"/>
  <c r="W314" i="24"/>
  <c r="N315" i="24"/>
  <c r="X337" i="24"/>
  <c r="L337" i="24"/>
  <c r="T337" i="24"/>
  <c r="H337" i="24"/>
  <c r="AC337" i="24"/>
  <c r="Q337" i="24"/>
  <c r="E337" i="24"/>
  <c r="P337" i="24"/>
  <c r="O337" i="24"/>
  <c r="N337" i="24"/>
  <c r="V337" i="24"/>
  <c r="C295" i="24"/>
  <c r="O295" i="24"/>
  <c r="J307" i="24"/>
  <c r="AB307" i="24"/>
  <c r="AB309" i="24"/>
  <c r="P309" i="24"/>
  <c r="D309" i="24"/>
  <c r="X309" i="24"/>
  <c r="L309" i="24"/>
  <c r="Y309" i="24"/>
  <c r="J309" i="24"/>
  <c r="W309" i="24"/>
  <c r="I309" i="24"/>
  <c r="S309" i="24"/>
  <c r="M313" i="24"/>
  <c r="F314" i="24"/>
  <c r="X314" i="24"/>
  <c r="O315" i="24"/>
  <c r="AB321" i="24"/>
  <c r="P321" i="24"/>
  <c r="D321" i="24"/>
  <c r="X321" i="24"/>
  <c r="L321" i="24"/>
  <c r="U321" i="24"/>
  <c r="I321" i="24"/>
  <c r="Q321" i="24"/>
  <c r="O321" i="24"/>
  <c r="T321" i="24"/>
  <c r="T323" i="24"/>
  <c r="H323" i="24"/>
  <c r="AB323" i="24"/>
  <c r="P323" i="24"/>
  <c r="D323" i="24"/>
  <c r="Y323" i="24"/>
  <c r="M323" i="24"/>
  <c r="X323" i="24"/>
  <c r="I323" i="24"/>
  <c r="W323" i="24"/>
  <c r="G323" i="24"/>
  <c r="U323" i="24"/>
  <c r="C337" i="24"/>
  <c r="W337" i="24"/>
  <c r="X340" i="24"/>
  <c r="L340" i="24"/>
  <c r="T340" i="24"/>
  <c r="H340" i="24"/>
  <c r="AC340" i="24"/>
  <c r="Q340" i="24"/>
  <c r="E340" i="24"/>
  <c r="R340" i="24"/>
  <c r="X334" i="24"/>
  <c r="L334" i="24"/>
  <c r="T334" i="24"/>
  <c r="H334" i="24"/>
  <c r="AC334" i="24"/>
  <c r="Q334" i="24"/>
  <c r="E334" i="24"/>
  <c r="R334" i="24"/>
  <c r="T338" i="24"/>
  <c r="H338" i="24"/>
  <c r="AB338" i="24"/>
  <c r="P338" i="24"/>
  <c r="D338" i="24"/>
  <c r="Y338" i="24"/>
  <c r="M338" i="24"/>
  <c r="R338" i="24"/>
  <c r="J340" i="24"/>
  <c r="Z340" i="24"/>
  <c r="C334" i="24"/>
  <c r="S334" i="24"/>
  <c r="C338" i="24"/>
  <c r="S338" i="24"/>
  <c r="K340" i="24"/>
  <c r="AA340" i="24"/>
  <c r="D334" i="24"/>
  <c r="U334" i="24"/>
  <c r="E338" i="24"/>
  <c r="U338" i="24"/>
  <c r="M340" i="24"/>
  <c r="AB340" i="24"/>
  <c r="CO267" i="5" l="1"/>
  <c r="CR267" i="5"/>
  <c r="CN267" i="5"/>
  <c r="CN276" i="5"/>
  <c r="CR276" i="5"/>
  <c r="CO276" i="5"/>
  <c r="CR282" i="5"/>
  <c r="CO282" i="5"/>
  <c r="CN282" i="5"/>
  <c r="CR127" i="5"/>
  <c r="CO127" i="5"/>
  <c r="CN127" i="5"/>
  <c r="CN124" i="5"/>
  <c r="CR124" i="5"/>
  <c r="CO124" i="5"/>
  <c r="CO262" i="5"/>
  <c r="CN262" i="5"/>
  <c r="CR262" i="5"/>
  <c r="CR183" i="5"/>
  <c r="CO183" i="5"/>
  <c r="CN183" i="5"/>
  <c r="CO228" i="5"/>
  <c r="CR228" i="5"/>
  <c r="CN228" i="5"/>
  <c r="CR160" i="5"/>
  <c r="CO160" i="5"/>
  <c r="CN160" i="5"/>
  <c r="F43" i="16"/>
  <c r="CO62" i="5"/>
  <c r="CN62" i="5"/>
  <c r="CR62" i="5"/>
  <c r="CR129" i="5"/>
  <c r="CO129" i="5"/>
  <c r="CN129" i="5"/>
  <c r="CN157" i="5"/>
  <c r="CR157" i="5"/>
  <c r="CO157" i="5"/>
  <c r="F51" i="16"/>
  <c r="H51" i="16" s="1"/>
  <c r="I51" i="16"/>
  <c r="CO264" i="5"/>
  <c r="CR264" i="5"/>
  <c r="CN264" i="5"/>
  <c r="CR292" i="5"/>
  <c r="CO292" i="5"/>
  <c r="CN292" i="5"/>
  <c r="I47" i="16"/>
  <c r="F47" i="16"/>
  <c r="H47" i="16" s="1"/>
  <c r="CN121" i="5"/>
  <c r="CO121" i="5"/>
  <c r="CR121" i="5"/>
  <c r="DA6" i="5"/>
  <c r="DG6" i="5"/>
  <c r="E42" i="24" s="1"/>
  <c r="F42" i="24" s="1"/>
  <c r="CN243" i="5"/>
  <c r="CO243" i="5"/>
  <c r="CR243" i="5"/>
  <c r="CP287" i="5"/>
  <c r="CQ287" i="5" s="1"/>
  <c r="CY287" i="5"/>
  <c r="CZ287" i="5" s="1"/>
  <c r="CV287" i="5"/>
  <c r="CT287" i="5"/>
  <c r="CS287" i="5"/>
  <c r="CU287" i="5"/>
  <c r="CW287" i="5"/>
  <c r="CP123" i="5"/>
  <c r="CQ123" i="5" s="1"/>
  <c r="CW123" i="5"/>
  <c r="CU123" i="5"/>
  <c r="CV123" i="5" s="1"/>
  <c r="CS123" i="5"/>
  <c r="CT123" i="5" s="1"/>
  <c r="CY123" i="5"/>
  <c r="CZ123" i="5" s="1"/>
  <c r="F84" i="6"/>
  <c r="F54" i="6"/>
  <c r="CI247" i="5"/>
  <c r="CJ247" i="5" s="1"/>
  <c r="CK247" i="5"/>
  <c r="F45" i="16"/>
  <c r="H45" i="16" s="1"/>
  <c r="I45" i="16"/>
  <c r="CO300" i="5"/>
  <c r="CR300" i="5"/>
  <c r="CN300" i="5"/>
  <c r="CK226" i="5"/>
  <c r="CI226" i="5"/>
  <c r="CJ226" i="5" s="1"/>
  <c r="CL226" i="5" s="1"/>
  <c r="CM226" i="5" s="1"/>
  <c r="CO229" i="5"/>
  <c r="CN229" i="5"/>
  <c r="CR229" i="5"/>
  <c r="CI140" i="5"/>
  <c r="CJ140" i="5" s="1"/>
  <c r="CK140" i="5"/>
  <c r="O25" i="24"/>
  <c r="M35" i="24"/>
  <c r="M36" i="24" s="1"/>
  <c r="CR237" i="5"/>
  <c r="CN237" i="5"/>
  <c r="CO237" i="5"/>
  <c r="CI101" i="5"/>
  <c r="CJ101" i="5" s="1"/>
  <c r="CK101" i="5"/>
  <c r="CO186" i="5"/>
  <c r="CR186" i="5"/>
  <c r="CN186" i="5"/>
  <c r="CP278" i="5"/>
  <c r="CQ278" i="5" s="1"/>
  <c r="CU278" i="5"/>
  <c r="CV278" i="5" s="1"/>
  <c r="CW278" i="5"/>
  <c r="CY278" i="5"/>
  <c r="CZ278" i="5" s="1"/>
  <c r="CS278" i="5"/>
  <c r="CT278" i="5" s="1"/>
  <c r="CR146" i="5"/>
  <c r="CN146" i="5"/>
  <c r="CO146" i="5"/>
  <c r="CI265" i="5"/>
  <c r="CJ265" i="5" s="1"/>
  <c r="CL265" i="5" s="1"/>
  <c r="CM265" i="5" s="1"/>
  <c r="CK265" i="5"/>
  <c r="CI187" i="5"/>
  <c r="CJ187" i="5" s="1"/>
  <c r="CK187" i="5"/>
  <c r="CO153" i="5"/>
  <c r="CN153" i="5"/>
  <c r="CR153" i="5"/>
  <c r="H40" i="4"/>
  <c r="CI128" i="5"/>
  <c r="CJ128" i="5" s="1"/>
  <c r="CK128" i="5"/>
  <c r="CO11" i="5"/>
  <c r="CN11" i="5"/>
  <c r="CR11" i="5"/>
  <c r="CR144" i="5"/>
  <c r="CN144" i="5"/>
  <c r="CO144" i="5"/>
  <c r="CO212" i="5"/>
  <c r="CN212" i="5"/>
  <c r="CR212" i="5"/>
  <c r="CI152" i="5"/>
  <c r="CJ152" i="5" s="1"/>
  <c r="CK152" i="5"/>
  <c r="CP236" i="5"/>
  <c r="CQ236" i="5" s="1"/>
  <c r="CS236" i="5"/>
  <c r="CT236" i="5" s="1"/>
  <c r="CY236" i="5"/>
  <c r="CZ236" i="5" s="1"/>
  <c r="CW236" i="5"/>
  <c r="CU236" i="5"/>
  <c r="CV236" i="5" s="1"/>
  <c r="CP230" i="5"/>
  <c r="CQ230" i="5" s="1"/>
  <c r="CS230" i="5"/>
  <c r="CT230" i="5" s="1"/>
  <c r="CU230" i="5"/>
  <c r="CV230" i="5" s="1"/>
  <c r="CY230" i="5"/>
  <c r="CZ230" i="5" s="1"/>
  <c r="CW230" i="5"/>
  <c r="CO50" i="5"/>
  <c r="CN50" i="5"/>
  <c r="CR50" i="5"/>
  <c r="CP86" i="5"/>
  <c r="CQ86" i="5" s="1"/>
  <c r="CY86" i="5"/>
  <c r="CZ86" i="5" s="1"/>
  <c r="CU86" i="5"/>
  <c r="CV86" i="5" s="1"/>
  <c r="CW86" i="5"/>
  <c r="CS86" i="5"/>
  <c r="CT86" i="5" s="1"/>
  <c r="CT105" i="5"/>
  <c r="CS105" i="5"/>
  <c r="CP105" i="5"/>
  <c r="CQ105" i="5" s="1"/>
  <c r="CW105" i="5"/>
  <c r="CY105" i="5"/>
  <c r="CZ105" i="5" s="1"/>
  <c r="CU105" i="5"/>
  <c r="CV105" i="5" s="1"/>
  <c r="CP191" i="5"/>
  <c r="CQ191" i="5" s="1"/>
  <c r="CV191" i="5"/>
  <c r="CU191" i="5"/>
  <c r="CY191" i="5"/>
  <c r="CZ191" i="5" s="1"/>
  <c r="CS191" i="5"/>
  <c r="CT191" i="5" s="1"/>
  <c r="CW191" i="5"/>
  <c r="CT28" i="5"/>
  <c r="CS28" i="5"/>
  <c r="CP28" i="5"/>
  <c r="CQ28" i="5" s="1"/>
  <c r="CU28" i="5"/>
  <c r="CV28" i="5" s="1"/>
  <c r="CY28" i="5"/>
  <c r="CZ28" i="5" s="1"/>
  <c r="CW28" i="5"/>
  <c r="CP74" i="5"/>
  <c r="CQ74" i="5" s="1"/>
  <c r="CY74" i="5"/>
  <c r="CZ74" i="5" s="1"/>
  <c r="CW74" i="5"/>
  <c r="CV74" i="5"/>
  <c r="CU74" i="5"/>
  <c r="CT74" i="5"/>
  <c r="CS74" i="5"/>
  <c r="CP135" i="5"/>
  <c r="CQ135" i="5" s="1"/>
  <c r="CW135" i="5"/>
  <c r="CU135" i="5"/>
  <c r="CV135" i="5" s="1"/>
  <c r="CT135" i="5"/>
  <c r="CS135" i="5"/>
  <c r="CY135" i="5"/>
  <c r="CZ135" i="5" s="1"/>
  <c r="CP68" i="5"/>
  <c r="CQ68" i="5" s="1"/>
  <c r="CY68" i="5"/>
  <c r="CZ68" i="5" s="1"/>
  <c r="CU68" i="5"/>
  <c r="CV68" i="5" s="1"/>
  <c r="CT68" i="5"/>
  <c r="CW68" i="5"/>
  <c r="CS68" i="5"/>
  <c r="CP147" i="5"/>
  <c r="CQ147" i="5" s="1"/>
  <c r="CS147" i="5"/>
  <c r="CY147" i="5"/>
  <c r="CZ147" i="5" s="1"/>
  <c r="CW147" i="5"/>
  <c r="CU147" i="5"/>
  <c r="CV147" i="5" s="1"/>
  <c r="CT147" i="5"/>
  <c r="CP290" i="5"/>
  <c r="CQ290" i="5" s="1"/>
  <c r="CY290" i="5"/>
  <c r="CZ290" i="5" s="1"/>
  <c r="CW290" i="5"/>
  <c r="CU290" i="5"/>
  <c r="CS290" i="5"/>
  <c r="CT290" i="5" s="1"/>
  <c r="CV290" i="5"/>
  <c r="CT25" i="5"/>
  <c r="CS25" i="5"/>
  <c r="CP25" i="5"/>
  <c r="CQ25" i="5" s="1"/>
  <c r="CY25" i="5"/>
  <c r="CZ25" i="5" s="1"/>
  <c r="CW25" i="5"/>
  <c r="CU25" i="5"/>
  <c r="CV25" i="5" s="1"/>
  <c r="CP14" i="5"/>
  <c r="CQ14" i="5" s="1"/>
  <c r="CY14" i="5"/>
  <c r="CZ14" i="5" s="1"/>
  <c r="CU14" i="5"/>
  <c r="CW14" i="5"/>
  <c r="CT14" i="5"/>
  <c r="CV14" i="5"/>
  <c r="CS14" i="5"/>
  <c r="F59" i="6"/>
  <c r="F100" i="8"/>
  <c r="F95" i="8"/>
  <c r="CR223" i="5"/>
  <c r="CO223" i="5"/>
  <c r="CN223" i="5"/>
  <c r="CK258" i="5"/>
  <c r="CI258" i="5"/>
  <c r="CJ258" i="5" s="1"/>
  <c r="CL258" i="5" s="1"/>
  <c r="CM258" i="5" s="1"/>
  <c r="F54" i="16"/>
  <c r="H54" i="16" s="1"/>
  <c r="I54" i="16" s="1"/>
  <c r="CL221" i="5"/>
  <c r="CM221" i="5" s="1"/>
  <c r="CL232" i="5"/>
  <c r="CM232" i="5" s="1"/>
  <c r="CL131" i="5"/>
  <c r="CM131" i="5" s="1"/>
  <c r="CR185" i="5"/>
  <c r="CO185" i="5"/>
  <c r="CN185" i="5"/>
  <c r="CI277" i="5"/>
  <c r="CJ277" i="5" s="1"/>
  <c r="CL277" i="5" s="1"/>
  <c r="CM277" i="5" s="1"/>
  <c r="CK277" i="5"/>
  <c r="CI137" i="5"/>
  <c r="CJ137" i="5" s="1"/>
  <c r="CK137" i="5"/>
  <c r="C91" i="3"/>
  <c r="CD8" i="5"/>
  <c r="CX8" i="5"/>
  <c r="CK54" i="5"/>
  <c r="CI54" i="5"/>
  <c r="CJ54" i="5" s="1"/>
  <c r="CL54" i="5" s="1"/>
  <c r="CM54" i="5" s="1"/>
  <c r="CI149" i="5"/>
  <c r="CJ149" i="5" s="1"/>
  <c r="CK149" i="5"/>
  <c r="CI259" i="5"/>
  <c r="CJ259" i="5" s="1"/>
  <c r="CK259" i="5"/>
  <c r="CK148" i="5"/>
  <c r="CI148" i="5"/>
  <c r="CJ148" i="5" s="1"/>
  <c r="CK36" i="5"/>
  <c r="CI36" i="5"/>
  <c r="CJ36" i="5" s="1"/>
  <c r="CL36" i="5" s="1"/>
  <c r="CM36" i="5" s="1"/>
  <c r="E25" i="4"/>
  <c r="F24" i="4"/>
  <c r="CL32" i="5"/>
  <c r="CM32" i="5" s="1"/>
  <c r="CP56" i="5"/>
  <c r="CQ56" i="5" s="1"/>
  <c r="CY56" i="5"/>
  <c r="CZ56" i="5" s="1"/>
  <c r="CW56" i="5"/>
  <c r="CU56" i="5"/>
  <c r="CV56" i="5" s="1"/>
  <c r="CT56" i="5"/>
  <c r="CS56" i="5"/>
  <c r="CQ19" i="5"/>
  <c r="CS73" i="5"/>
  <c r="CT73" i="5" s="1"/>
  <c r="CP73" i="5"/>
  <c r="CQ73" i="5" s="1"/>
  <c r="CU73" i="5"/>
  <c r="CV73" i="5" s="1"/>
  <c r="CY73" i="5"/>
  <c r="CZ73" i="5" s="1"/>
  <c r="CW73" i="5"/>
  <c r="CU274" i="5"/>
  <c r="CV274" i="5" s="1"/>
  <c r="CT274" i="5"/>
  <c r="CS274" i="5"/>
  <c r="CW274" i="5"/>
  <c r="CP274" i="5"/>
  <c r="CQ274" i="5" s="1"/>
  <c r="CY274" i="5"/>
  <c r="CZ274" i="5" s="1"/>
  <c r="CU122" i="5"/>
  <c r="CV122" i="5"/>
  <c r="CS122" i="5"/>
  <c r="CT122" i="5" s="1"/>
  <c r="CP122" i="5"/>
  <c r="CQ122" i="5" s="1"/>
  <c r="CY122" i="5"/>
  <c r="CZ122" i="5" s="1"/>
  <c r="CW122" i="5"/>
  <c r="CK205" i="5"/>
  <c r="CI205" i="5"/>
  <c r="CJ205" i="5" s="1"/>
  <c r="F14" i="4"/>
  <c r="F9" i="4"/>
  <c r="G9" i="4" s="1"/>
  <c r="CS34" i="5"/>
  <c r="CT34" i="5" s="1"/>
  <c r="CP34" i="5"/>
  <c r="CQ34" i="5" s="1"/>
  <c r="CW34" i="5"/>
  <c r="CU34" i="5"/>
  <c r="CV34" i="5" s="1"/>
  <c r="CY34" i="5"/>
  <c r="CZ34" i="5" s="1"/>
  <c r="H143" i="6"/>
  <c r="G143" i="6"/>
  <c r="CR273" i="5"/>
  <c r="CO273" i="5"/>
  <c r="CN273" i="5"/>
  <c r="CI241" i="5"/>
  <c r="CJ241" i="5" s="1"/>
  <c r="CK241" i="5"/>
  <c r="CO171" i="5"/>
  <c r="CN171" i="5"/>
  <c r="CR171" i="5"/>
  <c r="CR303" i="5"/>
  <c r="CO303" i="5"/>
  <c r="CN303" i="5"/>
  <c r="CU134" i="5"/>
  <c r="CW134" i="5"/>
  <c r="CS134" i="5"/>
  <c r="CT134" i="5" s="1"/>
  <c r="CP134" i="5"/>
  <c r="CQ134" i="5" s="1"/>
  <c r="CV134" i="5"/>
  <c r="CY134" i="5"/>
  <c r="CZ134" i="5" s="1"/>
  <c r="I46" i="16"/>
  <c r="F46" i="16"/>
  <c r="H46" i="16" s="1"/>
  <c r="CR168" i="5"/>
  <c r="CN168" i="5"/>
  <c r="CO168" i="5"/>
  <c r="CL15" i="5"/>
  <c r="CM15" i="5" s="1"/>
  <c r="CK24" i="5"/>
  <c r="CI24" i="5"/>
  <c r="CJ24" i="5" s="1"/>
  <c r="CL24" i="5" s="1"/>
  <c r="CM24" i="5" s="1"/>
  <c r="CO257" i="5"/>
  <c r="CN257" i="5"/>
  <c r="CR257" i="5"/>
  <c r="F49" i="16"/>
  <c r="H49" i="16" s="1"/>
  <c r="I49" i="16"/>
  <c r="CI244" i="5"/>
  <c r="CJ244" i="5" s="1"/>
  <c r="CK244" i="5"/>
  <c r="CK214" i="5"/>
  <c r="CI214" i="5"/>
  <c r="CJ214" i="5" s="1"/>
  <c r="CL214" i="5" s="1"/>
  <c r="CM214" i="5" s="1"/>
  <c r="F51" i="8"/>
  <c r="F50" i="8"/>
  <c r="CP299" i="5"/>
  <c r="CQ299" i="5" s="1"/>
  <c r="CY299" i="5"/>
  <c r="CZ299" i="5" s="1"/>
  <c r="CT299" i="5"/>
  <c r="CS299" i="5"/>
  <c r="CW299" i="5"/>
  <c r="CU299" i="5"/>
  <c r="CV299" i="5" s="1"/>
  <c r="CO198" i="5"/>
  <c r="CN198" i="5"/>
  <c r="CR198" i="5"/>
  <c r="CR138" i="5"/>
  <c r="CO138" i="5"/>
  <c r="CN138" i="5"/>
  <c r="CR270" i="5"/>
  <c r="CO270" i="5"/>
  <c r="CN270" i="5"/>
  <c r="CL177" i="5"/>
  <c r="CM177" i="5" s="1"/>
  <c r="CK169" i="5"/>
  <c r="CI169" i="5"/>
  <c r="CJ169" i="5" s="1"/>
  <c r="CL169" i="5" s="1"/>
  <c r="CM169" i="5" s="1"/>
  <c r="CO224" i="5"/>
  <c r="CR224" i="5"/>
  <c r="CN224" i="5"/>
  <c r="CP71" i="5"/>
  <c r="CQ71" i="5" s="1"/>
  <c r="CY71" i="5"/>
  <c r="CZ71" i="5" s="1"/>
  <c r="CW71" i="5"/>
  <c r="CS71" i="5"/>
  <c r="CT71" i="5" s="1"/>
  <c r="CU71" i="5"/>
  <c r="CV71" i="5" s="1"/>
  <c r="CU91" i="5"/>
  <c r="CV91" i="5" s="1"/>
  <c r="CS91" i="5"/>
  <c r="CT91" i="5" s="1"/>
  <c r="CW91" i="5"/>
  <c r="CP91" i="5"/>
  <c r="CQ91" i="5" s="1"/>
  <c r="CY91" i="5"/>
  <c r="CZ91" i="5" s="1"/>
  <c r="CO115" i="5"/>
  <c r="CR115" i="5"/>
  <c r="CN115" i="5"/>
  <c r="CL132" i="5"/>
  <c r="CM132" i="5" s="1"/>
  <c r="CL253" i="5"/>
  <c r="CM253" i="5" s="1"/>
  <c r="F70" i="6"/>
  <c r="CL190" i="5"/>
  <c r="CM190" i="5" s="1"/>
  <c r="CO220" i="5"/>
  <c r="CN220" i="5"/>
  <c r="CR220" i="5"/>
  <c r="CR104" i="5"/>
  <c r="CO104" i="5"/>
  <c r="CN104" i="5"/>
  <c r="CK87" i="5"/>
  <c r="CI87" i="5"/>
  <c r="CJ87" i="5" s="1"/>
  <c r="CL87" i="5" s="1"/>
  <c r="CM87" i="5" s="1"/>
  <c r="CT37" i="5"/>
  <c r="CS37" i="5"/>
  <c r="CP37" i="5"/>
  <c r="CQ37" i="5" s="1"/>
  <c r="CY37" i="5"/>
  <c r="CZ37" i="5" s="1"/>
  <c r="CW37" i="5"/>
  <c r="CU37" i="5"/>
  <c r="CV37" i="5" s="1"/>
  <c r="CN94" i="5"/>
  <c r="CR94" i="5"/>
  <c r="CO94" i="5"/>
  <c r="CS70" i="5"/>
  <c r="CT70" i="5" s="1"/>
  <c r="CP70" i="5"/>
  <c r="CQ70" i="5" s="1"/>
  <c r="CW70" i="5"/>
  <c r="CU70" i="5"/>
  <c r="CV70" i="5" s="1"/>
  <c r="CY70" i="5"/>
  <c r="CZ70" i="5" s="1"/>
  <c r="CS64" i="5"/>
  <c r="CT64" i="5" s="1"/>
  <c r="CP64" i="5"/>
  <c r="CQ64" i="5" s="1"/>
  <c r="CY64" i="5"/>
  <c r="CZ64" i="5" s="1"/>
  <c r="CW64" i="5"/>
  <c r="CU64" i="5"/>
  <c r="CV64" i="5" s="1"/>
  <c r="CO296" i="5"/>
  <c r="CR296" i="5"/>
  <c r="CN296" i="5"/>
  <c r="G33" i="6"/>
  <c r="CL182" i="5"/>
  <c r="CM182" i="5" s="1"/>
  <c r="CR188" i="5"/>
  <c r="CO188" i="5"/>
  <c r="CN188" i="5"/>
  <c r="H134" i="6"/>
  <c r="G134" i="6"/>
  <c r="CI280" i="5"/>
  <c r="CJ280" i="5" s="1"/>
  <c r="CK280" i="5"/>
  <c r="CO266" i="5"/>
  <c r="CR266" i="5"/>
  <c r="CN266" i="5"/>
  <c r="CK81" i="5"/>
  <c r="CI81" i="5"/>
  <c r="CJ81" i="5" s="1"/>
  <c r="CL81" i="5" s="1"/>
  <c r="CM81" i="5" s="1"/>
  <c r="CO203" i="5"/>
  <c r="CN203" i="5"/>
  <c r="CR203" i="5"/>
  <c r="CR114" i="5"/>
  <c r="CO114" i="5"/>
  <c r="CN114" i="5"/>
  <c r="CK192" i="5"/>
  <c r="CI192" i="5"/>
  <c r="CJ192" i="5" s="1"/>
  <c r="CL192" i="5" s="1"/>
  <c r="CM192" i="5" s="1"/>
  <c r="CR93" i="5"/>
  <c r="CO93" i="5"/>
  <c r="CN93" i="5"/>
  <c r="CK57" i="5"/>
  <c r="CI57" i="5"/>
  <c r="CJ57" i="5" s="1"/>
  <c r="C51" i="3"/>
  <c r="C50" i="3"/>
  <c r="CK69" i="5"/>
  <c r="CI69" i="5"/>
  <c r="CJ69" i="5" s="1"/>
  <c r="CL69" i="5" s="1"/>
  <c r="CM69" i="5" s="1"/>
  <c r="CU143" i="5"/>
  <c r="CS143" i="5"/>
  <c r="CT143" i="5" s="1"/>
  <c r="CY143" i="5"/>
  <c r="CZ143" i="5" s="1"/>
  <c r="CP143" i="5"/>
  <c r="CQ143" i="5" s="1"/>
  <c r="CV143" i="5"/>
  <c r="CW143" i="5"/>
  <c r="CL211" i="5"/>
  <c r="CM211" i="5" s="1"/>
  <c r="CK225" i="5"/>
  <c r="CI225" i="5"/>
  <c r="CJ225" i="5" s="1"/>
  <c r="CS40" i="5"/>
  <c r="CT40" i="5" s="1"/>
  <c r="CP40" i="5"/>
  <c r="CQ40" i="5" s="1"/>
  <c r="CU40" i="5"/>
  <c r="CV40" i="5" s="1"/>
  <c r="CY40" i="5"/>
  <c r="CZ40" i="5" s="1"/>
  <c r="CW40" i="5"/>
  <c r="CS82" i="5"/>
  <c r="CT82" i="5" s="1"/>
  <c r="CP82" i="5"/>
  <c r="CQ82" i="5" s="1"/>
  <c r="CV82" i="5"/>
  <c r="CY82" i="5"/>
  <c r="CZ82" i="5" s="1"/>
  <c r="CW82" i="5"/>
  <c r="CU82" i="5"/>
  <c r="CS13" i="5"/>
  <c r="CT13" i="5" s="1"/>
  <c r="CP13" i="5"/>
  <c r="CQ13" i="5" s="1"/>
  <c r="CY13" i="5"/>
  <c r="CZ13" i="5" s="1"/>
  <c r="CW13" i="5"/>
  <c r="CU13" i="5"/>
  <c r="CV13" i="5" s="1"/>
  <c r="CR107" i="5"/>
  <c r="CO107" i="5"/>
  <c r="CN107" i="5"/>
  <c r="CI193" i="5"/>
  <c r="CJ193" i="5" s="1"/>
  <c r="CK193" i="5"/>
  <c r="CK166" i="5"/>
  <c r="CI166" i="5"/>
  <c r="CJ166" i="5" s="1"/>
  <c r="CL166" i="5" s="1"/>
  <c r="CM166" i="5" s="1"/>
  <c r="CR206" i="5"/>
  <c r="CN206" i="5"/>
  <c r="CO206" i="5"/>
  <c r="CR173" i="5"/>
  <c r="CN173" i="5"/>
  <c r="CO173" i="5"/>
  <c r="CR48" i="5"/>
  <c r="CO48" i="5"/>
  <c r="CN48" i="5"/>
  <c r="CP29" i="5"/>
  <c r="CQ29" i="5" s="1"/>
  <c r="CY29" i="5"/>
  <c r="CZ29" i="5" s="1"/>
  <c r="CW29" i="5"/>
  <c r="CV29" i="5"/>
  <c r="CU29" i="5"/>
  <c r="CS29" i="5"/>
  <c r="CT29" i="5" s="1"/>
  <c r="CP38" i="5"/>
  <c r="CQ38" i="5" s="1"/>
  <c r="CY38" i="5"/>
  <c r="CZ38" i="5" s="1"/>
  <c r="CS38" i="5"/>
  <c r="CT38" i="5" s="1"/>
  <c r="CU38" i="5"/>
  <c r="CW38" i="5"/>
  <c r="CV38" i="5"/>
  <c r="C50" i="8"/>
  <c r="C51" i="8"/>
  <c r="F47" i="6"/>
  <c r="CR45" i="5"/>
  <c r="CO45" i="5"/>
  <c r="CN45" i="5"/>
  <c r="CR208" i="5"/>
  <c r="CN208" i="5"/>
  <c r="CO208" i="5"/>
  <c r="CI116" i="5"/>
  <c r="CJ116" i="5" s="1"/>
  <c r="CK116" i="5"/>
  <c r="CD5" i="5"/>
  <c r="CX5" i="5"/>
  <c r="DH6" i="5" s="1"/>
  <c r="CO239" i="5"/>
  <c r="CR239" i="5"/>
  <c r="CN239" i="5"/>
  <c r="CL209" i="5"/>
  <c r="CM209" i="5" s="1"/>
  <c r="CO97" i="5"/>
  <c r="CR97" i="5"/>
  <c r="CN97" i="5"/>
  <c r="CK235" i="5"/>
  <c r="CI235" i="5"/>
  <c r="CJ235" i="5" s="1"/>
  <c r="CL235" i="5" s="1"/>
  <c r="CM235" i="5" s="1"/>
  <c r="CY151" i="5"/>
  <c r="CZ151" i="5" s="1"/>
  <c r="CP151" i="5"/>
  <c r="CQ151" i="5" s="1"/>
  <c r="CW151" i="5"/>
  <c r="CU151" i="5"/>
  <c r="CV151" i="5" s="1"/>
  <c r="CS151" i="5"/>
  <c r="CT151" i="5" s="1"/>
  <c r="F71" i="6"/>
  <c r="CO297" i="5"/>
  <c r="CN297" i="5"/>
  <c r="CR297" i="5"/>
  <c r="CR110" i="5"/>
  <c r="CO110" i="5"/>
  <c r="CN110" i="5"/>
  <c r="CI283" i="5"/>
  <c r="CJ283" i="5" s="1"/>
  <c r="CL283" i="5" s="1"/>
  <c r="CM283" i="5" s="1"/>
  <c r="CK283" i="5"/>
  <c r="CP263" i="5"/>
  <c r="CQ263" i="5" s="1"/>
  <c r="CW263" i="5"/>
  <c r="CT263" i="5"/>
  <c r="CS263" i="5"/>
  <c r="CV263" i="5"/>
  <c r="CU263" i="5"/>
  <c r="CY263" i="5"/>
  <c r="CZ263" i="5" s="1"/>
  <c r="CL119" i="5"/>
  <c r="CM119" i="5" s="1"/>
  <c r="CR126" i="5"/>
  <c r="CO126" i="5"/>
  <c r="CN126" i="5"/>
  <c r="CK75" i="5"/>
  <c r="CI75" i="5"/>
  <c r="CJ75" i="5" s="1"/>
  <c r="CL75" i="5" s="1"/>
  <c r="CM75" i="5" s="1"/>
  <c r="CR130" i="5"/>
  <c r="CO130" i="5"/>
  <c r="CN130" i="5"/>
  <c r="CP170" i="5"/>
  <c r="CQ170" i="5" s="1"/>
  <c r="CY170" i="5"/>
  <c r="CZ170" i="5" s="1"/>
  <c r="CW170" i="5"/>
  <c r="CU170" i="5"/>
  <c r="CV170" i="5" s="1"/>
  <c r="CS170" i="5"/>
  <c r="CT170" i="5" s="1"/>
  <c r="CP150" i="5"/>
  <c r="CQ150" i="5" s="1"/>
  <c r="CU150" i="5"/>
  <c r="CV150" i="5" s="1"/>
  <c r="CT150" i="5"/>
  <c r="CS150" i="5"/>
  <c r="CY150" i="5"/>
  <c r="CZ150" i="5" s="1"/>
  <c r="CW150" i="5"/>
  <c r="E88" i="8"/>
  <c r="G31" i="6"/>
  <c r="G35" i="6"/>
  <c r="E51" i="8"/>
  <c r="E50" i="8"/>
  <c r="F44" i="6"/>
  <c r="C91" i="8"/>
  <c r="CL294" i="5"/>
  <c r="CM294" i="5" s="1"/>
  <c r="CN295" i="5"/>
  <c r="CR295" i="5"/>
  <c r="CO295" i="5"/>
  <c r="CK180" i="5"/>
  <c r="CI180" i="5"/>
  <c r="CJ180" i="5" s="1"/>
  <c r="CL246" i="5"/>
  <c r="CM246" i="5" s="1"/>
  <c r="CI217" i="5"/>
  <c r="CJ217" i="5" s="1"/>
  <c r="CK217" i="5"/>
  <c r="CO284" i="5"/>
  <c r="CR284" i="5"/>
  <c r="CN284" i="5"/>
  <c r="CO261" i="5"/>
  <c r="CN261" i="5"/>
  <c r="CR261" i="5"/>
  <c r="CK63" i="5"/>
  <c r="CI63" i="5"/>
  <c r="CJ63" i="5" s="1"/>
  <c r="CK133" i="5"/>
  <c r="CI133" i="5"/>
  <c r="CJ133" i="5" s="1"/>
  <c r="CL133" i="5" s="1"/>
  <c r="CM133" i="5" s="1"/>
  <c r="CR112" i="5"/>
  <c r="CO112" i="5"/>
  <c r="CN112" i="5"/>
  <c r="CK222" i="5"/>
  <c r="CI222" i="5"/>
  <c r="CJ222" i="5" s="1"/>
  <c r="CL222" i="5" s="1"/>
  <c r="CM222" i="5" s="1"/>
  <c r="CN98" i="5"/>
  <c r="CR98" i="5"/>
  <c r="CO98" i="5"/>
  <c r="CL27" i="5"/>
  <c r="CM27" i="5" s="1"/>
  <c r="CO83" i="5"/>
  <c r="CN83" i="5"/>
  <c r="CR83" i="5"/>
  <c r="CK42" i="5"/>
  <c r="CI42" i="5"/>
  <c r="CJ42" i="5" s="1"/>
  <c r="CL42" i="5" s="1"/>
  <c r="CM42" i="5" s="1"/>
  <c r="CL164" i="5"/>
  <c r="CM164" i="5" s="1"/>
  <c r="CL95" i="5"/>
  <c r="CM95" i="5" s="1"/>
  <c r="CL181" i="5"/>
  <c r="CM181" i="5" s="1"/>
  <c r="CK51" i="5"/>
  <c r="CI51" i="5"/>
  <c r="CJ51" i="5" s="1"/>
  <c r="CL51" i="5" s="1"/>
  <c r="CM51" i="5" s="1"/>
  <c r="CI113" i="5"/>
  <c r="CJ113" i="5" s="1"/>
  <c r="CK113" i="5"/>
  <c r="CL120" i="5"/>
  <c r="CM120" i="5" s="1"/>
  <c r="CP251" i="5"/>
  <c r="CQ251" i="5" s="1"/>
  <c r="CY251" i="5"/>
  <c r="CZ251" i="5" s="1"/>
  <c r="CW251" i="5"/>
  <c r="CS251" i="5"/>
  <c r="CV251" i="5"/>
  <c r="CU251" i="5"/>
  <c r="CT251" i="5"/>
  <c r="CI161" i="5"/>
  <c r="CJ161" i="5" s="1"/>
  <c r="CK161" i="5"/>
  <c r="CP245" i="5"/>
  <c r="CQ245" i="5" s="1"/>
  <c r="CW245" i="5"/>
  <c r="CV245" i="5"/>
  <c r="CU245" i="5"/>
  <c r="CY245" i="5"/>
  <c r="CZ245" i="5" s="1"/>
  <c r="CS245" i="5"/>
  <c r="CT245" i="5" s="1"/>
  <c r="CP141" i="5"/>
  <c r="CQ141" i="5" s="1"/>
  <c r="CU141" i="5"/>
  <c r="CT141" i="5"/>
  <c r="CW141" i="5"/>
  <c r="CV141" i="5"/>
  <c r="CS141" i="5"/>
  <c r="CY141" i="5"/>
  <c r="CZ141" i="5" s="1"/>
  <c r="CP227" i="5"/>
  <c r="CQ227" i="5" s="1"/>
  <c r="CS227" i="5"/>
  <c r="CW227" i="5"/>
  <c r="CV227" i="5"/>
  <c r="CT227" i="5"/>
  <c r="CY227" i="5"/>
  <c r="CZ227" i="5" s="1"/>
  <c r="CU227" i="5"/>
  <c r="I53" i="16"/>
  <c r="F53" i="16"/>
  <c r="H53" i="16" s="1"/>
  <c r="F13" i="4"/>
  <c r="CK288" i="5"/>
  <c r="CI288" i="5"/>
  <c r="CJ288" i="5" s="1"/>
  <c r="CL288" i="5" s="1"/>
  <c r="CM288" i="5" s="1"/>
  <c r="D95" i="8"/>
  <c r="F48" i="16"/>
  <c r="H48" i="16" s="1"/>
  <c r="I48" i="16" s="1"/>
  <c r="CK178" i="5"/>
  <c r="CI178" i="5"/>
  <c r="CJ178" i="5" s="1"/>
  <c r="CL178" i="5" s="1"/>
  <c r="CM178" i="5" s="1"/>
  <c r="CR21" i="5"/>
  <c r="CN21" i="5"/>
  <c r="CO21" i="5"/>
  <c r="CO154" i="5"/>
  <c r="CN154" i="5"/>
  <c r="CR154" i="5"/>
  <c r="DH7" i="5"/>
  <c r="DG7" i="5"/>
  <c r="E43" i="24" s="1"/>
  <c r="F43" i="24" s="1"/>
  <c r="DA7" i="5"/>
  <c r="D50" i="8"/>
  <c r="D51" i="8"/>
  <c r="D100" i="8" s="1"/>
  <c r="CI155" i="5"/>
  <c r="CJ155" i="5" s="1"/>
  <c r="CL155" i="5" s="1"/>
  <c r="CM155" i="5" s="1"/>
  <c r="CK155" i="5"/>
  <c r="CS58" i="5"/>
  <c r="CT58" i="5" s="1"/>
  <c r="CP58" i="5"/>
  <c r="CQ58" i="5" s="1"/>
  <c r="CW58" i="5"/>
  <c r="CY58" i="5"/>
  <c r="CZ58" i="5" s="1"/>
  <c r="CV58" i="5"/>
  <c r="CU58" i="5"/>
  <c r="CY136" i="5"/>
  <c r="CZ136" i="5" s="1"/>
  <c r="CU136" i="5"/>
  <c r="CV136" i="5" s="1"/>
  <c r="CW136" i="5"/>
  <c r="CS136" i="5"/>
  <c r="CT136" i="5" s="1"/>
  <c r="CP136" i="5"/>
  <c r="CQ136" i="5" s="1"/>
  <c r="CH7" i="5"/>
  <c r="CE7" i="5"/>
  <c r="CP218" i="5"/>
  <c r="CQ218" i="5" s="1"/>
  <c r="CS218" i="5"/>
  <c r="CY218" i="5"/>
  <c r="CZ218" i="5" s="1"/>
  <c r="CW218" i="5"/>
  <c r="CU218" i="5"/>
  <c r="CT218" i="5"/>
  <c r="CV218" i="5"/>
  <c r="G148" i="6"/>
  <c r="H148" i="6"/>
  <c r="CP254" i="5"/>
  <c r="CQ254" i="5" s="1"/>
  <c r="CY254" i="5"/>
  <c r="CZ254" i="5" s="1"/>
  <c r="CU254" i="5"/>
  <c r="CV254" i="5" s="1"/>
  <c r="CT254" i="5"/>
  <c r="CS254" i="5"/>
  <c r="CW254" i="5"/>
  <c r="G11" i="4"/>
  <c r="CO302" i="5"/>
  <c r="CR302" i="5"/>
  <c r="CN302" i="5"/>
  <c r="CI125" i="5"/>
  <c r="CJ125" i="5" s="1"/>
  <c r="CK125" i="5"/>
  <c r="CI96" i="5"/>
  <c r="CJ96" i="5" s="1"/>
  <c r="CL96" i="5" s="1"/>
  <c r="CM96" i="5" s="1"/>
  <c r="CK96" i="5"/>
  <c r="G15" i="4"/>
  <c r="H156" i="6"/>
  <c r="G156" i="6"/>
  <c r="CR204" i="5"/>
  <c r="CO204" i="5"/>
  <c r="CN204" i="5"/>
  <c r="I50" i="16"/>
  <c r="F50" i="16"/>
  <c r="H50" i="16" s="1"/>
  <c r="CL289" i="5"/>
  <c r="CM289" i="5" s="1"/>
  <c r="CP269" i="5"/>
  <c r="CQ269" i="5" s="1"/>
  <c r="CS269" i="5"/>
  <c r="CT269" i="5" s="1"/>
  <c r="CY269" i="5"/>
  <c r="CZ269" i="5" s="1"/>
  <c r="CW269" i="5"/>
  <c r="CV269" i="5"/>
  <c r="CU269" i="5"/>
  <c r="CK90" i="5"/>
  <c r="CI90" i="5"/>
  <c r="CJ90" i="5" s="1"/>
  <c r="CL90" i="5" s="1"/>
  <c r="CM90" i="5" s="1"/>
  <c r="CK213" i="5"/>
  <c r="CI213" i="5"/>
  <c r="CJ213" i="5" s="1"/>
  <c r="CP281" i="5"/>
  <c r="CQ281" i="5" s="1"/>
  <c r="CW281" i="5"/>
  <c r="CV281" i="5"/>
  <c r="CU281" i="5"/>
  <c r="CT281" i="5"/>
  <c r="CS281" i="5"/>
  <c r="CY281" i="5"/>
  <c r="CZ281" i="5" s="1"/>
  <c r="CN156" i="5"/>
  <c r="CR156" i="5"/>
  <c r="CO156" i="5"/>
  <c r="G18" i="4"/>
  <c r="CK66" i="5"/>
  <c r="CI66" i="5"/>
  <c r="CJ66" i="5" s="1"/>
  <c r="CL66" i="5" s="1"/>
  <c r="CM66" i="5" s="1"/>
  <c r="CH6" i="5"/>
  <c r="CE6" i="5"/>
  <c r="CO77" i="5"/>
  <c r="CN77" i="5"/>
  <c r="CR77" i="5"/>
  <c r="CS76" i="5"/>
  <c r="CT76" i="5" s="1"/>
  <c r="CP76" i="5"/>
  <c r="CQ76" i="5" s="1"/>
  <c r="CW76" i="5"/>
  <c r="CY76" i="5"/>
  <c r="CZ76" i="5" s="1"/>
  <c r="CU76" i="5"/>
  <c r="CV76" i="5" s="1"/>
  <c r="G19" i="4"/>
  <c r="CL252" i="5"/>
  <c r="CM252" i="5" s="1"/>
  <c r="CI301" i="5"/>
  <c r="CJ301" i="5" s="1"/>
  <c r="CK301" i="5"/>
  <c r="CO175" i="5"/>
  <c r="CR175" i="5"/>
  <c r="CN175" i="5"/>
  <c r="CR256" i="5"/>
  <c r="CN256" i="5"/>
  <c r="CO256" i="5"/>
  <c r="CO272" i="5"/>
  <c r="CR272" i="5"/>
  <c r="CN272" i="5"/>
  <c r="CQ201" i="5"/>
  <c r="CK72" i="5"/>
  <c r="CI72" i="5"/>
  <c r="CJ72" i="5" s="1"/>
  <c r="CL72" i="5" s="1"/>
  <c r="CM72" i="5" s="1"/>
  <c r="CR100" i="5"/>
  <c r="CN100" i="5"/>
  <c r="CO100" i="5"/>
  <c r="CL78" i="5"/>
  <c r="CM78" i="5" s="1"/>
  <c r="CP215" i="5"/>
  <c r="CQ215" i="5" s="1"/>
  <c r="CW215" i="5"/>
  <c r="CU215" i="5"/>
  <c r="CV215" i="5" s="1"/>
  <c r="CT215" i="5"/>
  <c r="CY215" i="5"/>
  <c r="CZ215" i="5" s="1"/>
  <c r="CS215" i="5"/>
  <c r="CR159" i="5"/>
  <c r="CO159" i="5"/>
  <c r="CN159" i="5"/>
  <c r="CO65" i="5"/>
  <c r="CN65" i="5"/>
  <c r="CR65" i="5"/>
  <c r="CK219" i="5"/>
  <c r="CI219" i="5"/>
  <c r="CJ219" i="5" s="1"/>
  <c r="CK30" i="5"/>
  <c r="CI30" i="5"/>
  <c r="CJ30" i="5" s="1"/>
  <c r="CL30" i="5" s="1"/>
  <c r="CM30" i="5" s="1"/>
  <c r="CR162" i="5"/>
  <c r="CO162" i="5"/>
  <c r="CN162" i="5"/>
  <c r="CU271" i="5"/>
  <c r="CS271" i="5"/>
  <c r="CT271" i="5" s="1"/>
  <c r="CY271" i="5"/>
  <c r="CZ271" i="5" s="1"/>
  <c r="CW271" i="5"/>
  <c r="CV271" i="5"/>
  <c r="CP271" i="5"/>
  <c r="CQ271" i="5" s="1"/>
  <c r="CP242" i="5"/>
  <c r="CQ242" i="5" s="1"/>
  <c r="CU242" i="5"/>
  <c r="CV242" i="5" s="1"/>
  <c r="CY242" i="5"/>
  <c r="CZ242" i="5" s="1"/>
  <c r="CT242" i="5"/>
  <c r="CW242" i="5"/>
  <c r="CS242" i="5"/>
  <c r="CP17" i="5"/>
  <c r="CQ17" i="5" s="1"/>
  <c r="CY17" i="5"/>
  <c r="CZ17" i="5" s="1"/>
  <c r="CW17" i="5"/>
  <c r="CV17" i="5"/>
  <c r="CU17" i="5"/>
  <c r="CS17" i="5"/>
  <c r="CT17" i="5" s="1"/>
  <c r="CR99" i="5"/>
  <c r="CO99" i="5"/>
  <c r="CN99" i="5"/>
  <c r="CL167" i="5"/>
  <c r="CM167" i="5" s="1"/>
  <c r="CS52" i="5"/>
  <c r="CT52" i="5" s="1"/>
  <c r="CP52" i="5"/>
  <c r="CQ52" i="5" s="1"/>
  <c r="CW52" i="5"/>
  <c r="CV52" i="5"/>
  <c r="CU52" i="5"/>
  <c r="CY52" i="5"/>
  <c r="CZ52" i="5" s="1"/>
  <c r="CL199" i="5"/>
  <c r="CM199" i="5" s="1"/>
  <c r="F12" i="4"/>
  <c r="G12" i="4" s="1"/>
  <c r="CV92" i="5"/>
  <c r="CS92" i="5"/>
  <c r="CT92" i="5" s="1"/>
  <c r="CP92" i="5"/>
  <c r="CQ92" i="5" s="1"/>
  <c r="CY92" i="5"/>
  <c r="CZ92" i="5" s="1"/>
  <c r="CU92" i="5"/>
  <c r="CW92" i="5"/>
  <c r="CT88" i="5"/>
  <c r="CS88" i="5"/>
  <c r="CP88" i="5"/>
  <c r="CQ88" i="5" s="1"/>
  <c r="CW88" i="5"/>
  <c r="CV88" i="5"/>
  <c r="CU88" i="5"/>
  <c r="CY88" i="5"/>
  <c r="CZ88" i="5" s="1"/>
  <c r="CI12" i="5"/>
  <c r="CJ12" i="5" s="1"/>
  <c r="CL12" i="5" s="1"/>
  <c r="CM12" i="5" s="1"/>
  <c r="CK12" i="5"/>
  <c r="F10" i="4"/>
  <c r="F17" i="4"/>
  <c r="CS46" i="5"/>
  <c r="CT46" i="5" s="1"/>
  <c r="CP46" i="5"/>
  <c r="CQ46" i="5" s="1"/>
  <c r="CW46" i="5"/>
  <c r="CY46" i="5"/>
  <c r="CZ46" i="5" s="1"/>
  <c r="CV46" i="5"/>
  <c r="CU46" i="5"/>
  <c r="CT67" i="5"/>
  <c r="CS67" i="5"/>
  <c r="CP67" i="5"/>
  <c r="CQ67" i="5" s="1"/>
  <c r="CY67" i="5"/>
  <c r="CZ67" i="5" s="1"/>
  <c r="CU67" i="5"/>
  <c r="CW67" i="5"/>
  <c r="CV67" i="5"/>
  <c r="CS22" i="5"/>
  <c r="CT22" i="5" s="1"/>
  <c r="CP22" i="5"/>
  <c r="CQ22" i="5" s="1"/>
  <c r="CV22" i="5"/>
  <c r="CU22" i="5"/>
  <c r="CW22" i="5"/>
  <c r="CY22" i="5"/>
  <c r="CZ22" i="5" s="1"/>
  <c r="CO231" i="5"/>
  <c r="CN231" i="5"/>
  <c r="CR231" i="5"/>
  <c r="CO35" i="5"/>
  <c r="CN35" i="5"/>
  <c r="CR35" i="5"/>
  <c r="CK279" i="5"/>
  <c r="CI279" i="5"/>
  <c r="CJ279" i="5" s="1"/>
  <c r="CL279" i="5" s="1"/>
  <c r="CM279" i="5" s="1"/>
  <c r="CR249" i="5"/>
  <c r="CN249" i="5"/>
  <c r="CO249" i="5"/>
  <c r="CO23" i="5"/>
  <c r="CN23" i="5"/>
  <c r="CR23" i="5"/>
  <c r="CR145" i="5"/>
  <c r="CN145" i="5"/>
  <c r="CO145" i="5"/>
  <c r="F42" i="6"/>
  <c r="F44" i="16"/>
  <c r="H44" i="16" s="1"/>
  <c r="I44" i="16" s="1"/>
  <c r="CR102" i="5"/>
  <c r="CN102" i="5"/>
  <c r="CO102" i="5"/>
  <c r="CI238" i="5"/>
  <c r="CJ238" i="5" s="1"/>
  <c r="CL238" i="5" s="1"/>
  <c r="CM238" i="5" s="1"/>
  <c r="CK238" i="5"/>
  <c r="CI298" i="5"/>
  <c r="CJ298" i="5" s="1"/>
  <c r="CK298" i="5"/>
  <c r="H146" i="6"/>
  <c r="G146" i="6"/>
  <c r="CI286" i="5"/>
  <c r="CJ286" i="5" s="1"/>
  <c r="CK286" i="5"/>
  <c r="C45" i="22"/>
  <c r="D45" i="22" s="1"/>
  <c r="D37" i="22"/>
  <c r="I52" i="16"/>
  <c r="F52" i="16"/>
  <c r="H52" i="16" s="1"/>
  <c r="CK291" i="5"/>
  <c r="CI291" i="5"/>
  <c r="CJ291" i="5" s="1"/>
  <c r="CL291" i="5" s="1"/>
  <c r="CM291" i="5" s="1"/>
  <c r="CO172" i="5"/>
  <c r="CN172" i="5"/>
  <c r="CR172" i="5"/>
  <c r="CR108" i="5"/>
  <c r="CO108" i="5"/>
  <c r="CN108" i="5"/>
  <c r="CP293" i="5"/>
  <c r="CQ293" i="5" s="1"/>
  <c r="CV293" i="5"/>
  <c r="CS293" i="5"/>
  <c r="CT293" i="5" s="1"/>
  <c r="CY293" i="5"/>
  <c r="CZ293" i="5" s="1"/>
  <c r="CW293" i="5"/>
  <c r="CU293" i="5"/>
  <c r="CK196" i="5"/>
  <c r="CI196" i="5"/>
  <c r="CJ196" i="5" s="1"/>
  <c r="CL196" i="5" s="1"/>
  <c r="CM196" i="5" s="1"/>
  <c r="CO248" i="5"/>
  <c r="CN248" i="5"/>
  <c r="CR248" i="5"/>
  <c r="CR197" i="5"/>
  <c r="CO197" i="5"/>
  <c r="CN197" i="5"/>
  <c r="CN33" i="5"/>
  <c r="CR33" i="5"/>
  <c r="CO33" i="5"/>
  <c r="CI18" i="5"/>
  <c r="CJ18" i="5" s="1"/>
  <c r="CK18" i="5"/>
  <c r="CI158" i="5"/>
  <c r="CJ158" i="5" s="1"/>
  <c r="CL158" i="5" s="1"/>
  <c r="CM158" i="5" s="1"/>
  <c r="CK158" i="5"/>
  <c r="CO39" i="5"/>
  <c r="CN39" i="5"/>
  <c r="CR39" i="5"/>
  <c r="CR179" i="5"/>
  <c r="CO179" i="5"/>
  <c r="CN179" i="5"/>
  <c r="CO240" i="5"/>
  <c r="CN240" i="5"/>
  <c r="CR240" i="5"/>
  <c r="CY103" i="5"/>
  <c r="CZ103" i="5" s="1"/>
  <c r="CT103" i="5"/>
  <c r="CS103" i="5"/>
  <c r="CP103" i="5"/>
  <c r="CQ103" i="5" s="1"/>
  <c r="CW103" i="5"/>
  <c r="CV103" i="5"/>
  <c r="CU103" i="5"/>
  <c r="CT49" i="5"/>
  <c r="CS49" i="5"/>
  <c r="CP49" i="5"/>
  <c r="CQ49" i="5" s="1"/>
  <c r="CY49" i="5"/>
  <c r="CZ49" i="5" s="1"/>
  <c r="CW49" i="5"/>
  <c r="CU49" i="5"/>
  <c r="CV49" i="5"/>
  <c r="CP89" i="5"/>
  <c r="CQ89" i="5" s="1"/>
  <c r="CY89" i="5"/>
  <c r="CZ89" i="5" s="1"/>
  <c r="CW89" i="5"/>
  <c r="CV89" i="5"/>
  <c r="CU89" i="5"/>
  <c r="CT89" i="5"/>
  <c r="CS89" i="5"/>
  <c r="CO59" i="5"/>
  <c r="CN59" i="5"/>
  <c r="CR59" i="5"/>
  <c r="CS85" i="5"/>
  <c r="CT85" i="5" s="1"/>
  <c r="CP85" i="5"/>
  <c r="CQ85" i="5" s="1"/>
  <c r="CY85" i="5"/>
  <c r="CZ85" i="5" s="1"/>
  <c r="CU85" i="5"/>
  <c r="CV85" i="5" s="1"/>
  <c r="CW85" i="5"/>
  <c r="CP111" i="5"/>
  <c r="CQ111" i="5" s="1"/>
  <c r="CS111" i="5"/>
  <c r="CY111" i="5"/>
  <c r="CZ111" i="5" s="1"/>
  <c r="CW111" i="5"/>
  <c r="CU111" i="5"/>
  <c r="CV111" i="5" s="1"/>
  <c r="CT111" i="5"/>
  <c r="DG10" i="5"/>
  <c r="E46" i="24" s="1"/>
  <c r="F46" i="24" s="1"/>
  <c r="DA10" i="5"/>
  <c r="F16" i="4"/>
  <c r="G16" i="4" s="1"/>
  <c r="F21" i="4"/>
  <c r="G21" i="4" s="1"/>
  <c r="CY109" i="5"/>
  <c r="CZ109" i="5" s="1"/>
  <c r="CS109" i="5"/>
  <c r="CT109" i="5" s="1"/>
  <c r="CU109" i="5"/>
  <c r="CV109" i="5" s="1"/>
  <c r="CP109" i="5"/>
  <c r="CQ109" i="5" s="1"/>
  <c r="CW109" i="5"/>
  <c r="CP194" i="5"/>
  <c r="CQ194" i="5" s="1"/>
  <c r="CY194" i="5"/>
  <c r="CZ194" i="5" s="1"/>
  <c r="CS194" i="5"/>
  <c r="CW194" i="5"/>
  <c r="CT194" i="5"/>
  <c r="CU194" i="5"/>
  <c r="CV194" i="5" s="1"/>
  <c r="CR216" i="5"/>
  <c r="CN216" i="5"/>
  <c r="CO216" i="5"/>
  <c r="CO139" i="5"/>
  <c r="CN139" i="5"/>
  <c r="CR139" i="5"/>
  <c r="CI189" i="5"/>
  <c r="CJ189" i="5" s="1"/>
  <c r="CL189" i="5" s="1"/>
  <c r="CM189" i="5" s="1"/>
  <c r="CK189" i="5"/>
  <c r="CR163" i="5"/>
  <c r="CN163" i="5"/>
  <c r="CO163" i="5"/>
  <c r="CR195" i="5"/>
  <c r="CO195" i="5"/>
  <c r="CN195" i="5"/>
  <c r="CO233" i="5"/>
  <c r="CR233" i="5"/>
  <c r="CN233" i="5"/>
  <c r="H100" i="8"/>
  <c r="H95" i="8"/>
  <c r="CR106" i="5"/>
  <c r="CO106" i="5"/>
  <c r="CN106" i="5"/>
  <c r="CS31" i="5"/>
  <c r="CT31" i="5" s="1"/>
  <c r="CP31" i="5"/>
  <c r="CQ31" i="5" s="1"/>
  <c r="CY31" i="5"/>
  <c r="CZ31" i="5" s="1"/>
  <c r="CW31" i="5"/>
  <c r="CU31" i="5"/>
  <c r="CV31" i="5" s="1"/>
  <c r="CS55" i="5"/>
  <c r="CT55" i="5" s="1"/>
  <c r="CP55" i="5"/>
  <c r="CQ55" i="5" s="1"/>
  <c r="CV55" i="5"/>
  <c r="CU55" i="5"/>
  <c r="CY55" i="5"/>
  <c r="CZ55" i="5" s="1"/>
  <c r="CW55" i="5"/>
  <c r="CK255" i="5"/>
  <c r="CI255" i="5"/>
  <c r="CJ255" i="5" s="1"/>
  <c r="CL255" i="5" s="1"/>
  <c r="CM255" i="5" s="1"/>
  <c r="CH9" i="5"/>
  <c r="CE9" i="5"/>
  <c r="CS174" i="5"/>
  <c r="CV174" i="5"/>
  <c r="CT174" i="5"/>
  <c r="CW174" i="5"/>
  <c r="CP174" i="5"/>
  <c r="CQ174" i="5" s="1"/>
  <c r="CY174" i="5"/>
  <c r="CZ174" i="5" s="1"/>
  <c r="CU174" i="5"/>
  <c r="CP117" i="5"/>
  <c r="CQ117" i="5" s="1"/>
  <c r="CW117" i="5"/>
  <c r="CU117" i="5"/>
  <c r="CV117" i="5" s="1"/>
  <c r="CY117" i="5"/>
  <c r="CZ117" i="5" s="1"/>
  <c r="CS117" i="5"/>
  <c r="CT117" i="5" s="1"/>
  <c r="CO202" i="5"/>
  <c r="CR202" i="5"/>
  <c r="CN202" i="5"/>
  <c r="CR210" i="5"/>
  <c r="CO210" i="5"/>
  <c r="CN210" i="5"/>
  <c r="G151" i="6"/>
  <c r="H151" i="6"/>
  <c r="CX9" i="5"/>
  <c r="CL20" i="5"/>
  <c r="CM20" i="5" s="1"/>
  <c r="CP41" i="5"/>
  <c r="CQ41" i="5" s="1"/>
  <c r="CY41" i="5"/>
  <c r="CZ41" i="5" s="1"/>
  <c r="CW41" i="5"/>
  <c r="CU41" i="5"/>
  <c r="CV41" i="5" s="1"/>
  <c r="CT41" i="5"/>
  <c r="CS41" i="5"/>
  <c r="CS61" i="5"/>
  <c r="CT61" i="5" s="1"/>
  <c r="CP61" i="5"/>
  <c r="CQ61" i="5" s="1"/>
  <c r="CW61" i="5"/>
  <c r="CY61" i="5"/>
  <c r="CZ61" i="5" s="1"/>
  <c r="CU61" i="5"/>
  <c r="CV61" i="5"/>
  <c r="G122" i="8"/>
  <c r="G123" i="8" s="1"/>
  <c r="G91" i="8"/>
  <c r="CI268" i="5"/>
  <c r="CJ268" i="5" s="1"/>
  <c r="CL268" i="5" s="1"/>
  <c r="CM268" i="5" s="1"/>
  <c r="CK268" i="5"/>
  <c r="F53" i="6"/>
  <c r="CI304" i="5"/>
  <c r="CJ304" i="5" s="1"/>
  <c r="CK304" i="5"/>
  <c r="CL250" i="5"/>
  <c r="CM250" i="5" s="1"/>
  <c r="CK184" i="5"/>
  <c r="CI184" i="5"/>
  <c r="CJ184" i="5" s="1"/>
  <c r="CL184" i="5" s="1"/>
  <c r="CM184" i="5" s="1"/>
  <c r="CL285" i="5"/>
  <c r="CM285" i="5" s="1"/>
  <c r="CR234" i="5"/>
  <c r="CO234" i="5"/>
  <c r="CN234" i="5"/>
  <c r="CR176" i="5"/>
  <c r="CO176" i="5"/>
  <c r="CN176" i="5"/>
  <c r="CL60" i="5"/>
  <c r="CM60" i="5" s="1"/>
  <c r="CO47" i="5"/>
  <c r="CN47" i="5"/>
  <c r="CR47" i="5"/>
  <c r="CK207" i="5"/>
  <c r="CI207" i="5"/>
  <c r="CJ207" i="5" s="1"/>
  <c r="CL207" i="5" s="1"/>
  <c r="CM207" i="5" s="1"/>
  <c r="CO80" i="5"/>
  <c r="CN80" i="5"/>
  <c r="CR80" i="5"/>
  <c r="CS16" i="5"/>
  <c r="CT16" i="5" s="1"/>
  <c r="CP16" i="5"/>
  <c r="CQ16" i="5" s="1"/>
  <c r="CU16" i="5"/>
  <c r="CV16" i="5" s="1"/>
  <c r="CY16" i="5"/>
  <c r="CZ16" i="5" s="1"/>
  <c r="CW16" i="5"/>
  <c r="CY118" i="5"/>
  <c r="CZ118" i="5" s="1"/>
  <c r="CW118" i="5"/>
  <c r="CU118" i="5"/>
  <c r="CV118" i="5" s="1"/>
  <c r="CT118" i="5"/>
  <c r="CP118" i="5"/>
  <c r="CQ118" i="5" s="1"/>
  <c r="CS118" i="5"/>
  <c r="CP200" i="5"/>
  <c r="CQ200" i="5" s="1"/>
  <c r="CU200" i="5"/>
  <c r="CV200" i="5" s="1"/>
  <c r="CY200" i="5"/>
  <c r="CZ200" i="5" s="1"/>
  <c r="CW200" i="5"/>
  <c r="CS200" i="5"/>
  <c r="CT200" i="5" s="1"/>
  <c r="CS79" i="5"/>
  <c r="CT79" i="5" s="1"/>
  <c r="CP79" i="5"/>
  <c r="CQ79" i="5" s="1"/>
  <c r="CW79" i="5"/>
  <c r="CY79" i="5"/>
  <c r="CZ79" i="5" s="1"/>
  <c r="CU79" i="5"/>
  <c r="CV79" i="5"/>
  <c r="CL84" i="5"/>
  <c r="CM84" i="5" s="1"/>
  <c r="CP53" i="5"/>
  <c r="CQ53" i="5" s="1"/>
  <c r="CY53" i="5"/>
  <c r="CZ53" i="5" s="1"/>
  <c r="CT53" i="5"/>
  <c r="CW53" i="5"/>
  <c r="CU53" i="5"/>
  <c r="CV53" i="5" s="1"/>
  <c r="CS53" i="5"/>
  <c r="CS165" i="5"/>
  <c r="CY165" i="5"/>
  <c r="CZ165" i="5" s="1"/>
  <c r="CW165" i="5"/>
  <c r="CU165" i="5"/>
  <c r="CV165" i="5" s="1"/>
  <c r="CT165" i="5"/>
  <c r="CP165" i="5"/>
  <c r="CQ165" i="5" s="1"/>
  <c r="CP26" i="5"/>
  <c r="CQ26" i="5" s="1"/>
  <c r="CY26" i="5"/>
  <c r="CZ26" i="5" s="1"/>
  <c r="CU26" i="5"/>
  <c r="CV26" i="5" s="1"/>
  <c r="CS26" i="5"/>
  <c r="CT26" i="5" s="1"/>
  <c r="CW26" i="5"/>
  <c r="CL44" i="5"/>
  <c r="CM44" i="5" s="1"/>
  <c r="CH10" i="5"/>
  <c r="CE10" i="5"/>
  <c r="F22" i="4"/>
  <c r="G22" i="4" s="1"/>
  <c r="F23" i="4"/>
  <c r="G23" i="4" s="1"/>
  <c r="G13" i="4" l="1"/>
  <c r="CL161" i="5"/>
  <c r="CM161" i="5" s="1"/>
  <c r="CW45" i="5"/>
  <c r="CU45" i="5"/>
  <c r="CV45" i="5" s="1"/>
  <c r="CY45" i="5"/>
  <c r="CZ45" i="5" s="1"/>
  <c r="CP45" i="5"/>
  <c r="CQ45" i="5" s="1"/>
  <c r="CS45" i="5"/>
  <c r="CT45" i="5" s="1"/>
  <c r="CL149" i="5"/>
  <c r="CM149" i="5" s="1"/>
  <c r="CN75" i="5"/>
  <c r="CR75" i="5"/>
  <c r="CO75" i="5"/>
  <c r="CP206" i="5"/>
  <c r="CQ206" i="5" s="1"/>
  <c r="CY206" i="5"/>
  <c r="CZ206" i="5" s="1"/>
  <c r="CW206" i="5"/>
  <c r="CU206" i="5"/>
  <c r="CV206" i="5" s="1"/>
  <c r="CS206" i="5"/>
  <c r="CT206" i="5" s="1"/>
  <c r="CP93" i="5"/>
  <c r="CQ93" i="5" s="1"/>
  <c r="CY93" i="5"/>
  <c r="CZ93" i="5" s="1"/>
  <c r="CW93" i="5"/>
  <c r="CV93" i="5"/>
  <c r="CU93" i="5"/>
  <c r="CS93" i="5"/>
  <c r="CT93" i="5"/>
  <c r="CO54" i="5"/>
  <c r="CN54" i="5"/>
  <c r="CR54" i="5"/>
  <c r="CR131" i="5"/>
  <c r="CO131" i="5"/>
  <c r="CN131" i="5"/>
  <c r="CL152" i="5"/>
  <c r="CM152" i="5" s="1"/>
  <c r="CY237" i="5"/>
  <c r="CZ237" i="5" s="1"/>
  <c r="CW237" i="5"/>
  <c r="CS237" i="5"/>
  <c r="CT237" i="5" s="1"/>
  <c r="CV237" i="5"/>
  <c r="CU237" i="5"/>
  <c r="CP237" i="5"/>
  <c r="CQ237" i="5" s="1"/>
  <c r="CP129" i="5"/>
  <c r="CQ129" i="5" s="1"/>
  <c r="CY129" i="5"/>
  <c r="CZ129" i="5" s="1"/>
  <c r="CS129" i="5"/>
  <c r="CW129" i="5"/>
  <c r="CU129" i="5"/>
  <c r="CV129" i="5" s="1"/>
  <c r="CT129" i="5"/>
  <c r="CW228" i="5"/>
  <c r="CP228" i="5"/>
  <c r="CQ228" i="5" s="1"/>
  <c r="CY228" i="5"/>
  <c r="CZ228" i="5" s="1"/>
  <c r="CU228" i="5"/>
  <c r="CS228" i="5"/>
  <c r="CT228" i="5" s="1"/>
  <c r="CV228" i="5"/>
  <c r="CO250" i="5"/>
  <c r="CN250" i="5"/>
  <c r="CR250" i="5"/>
  <c r="CO20" i="5"/>
  <c r="CN20" i="5"/>
  <c r="CR20" i="5"/>
  <c r="CI9" i="5"/>
  <c r="CJ9" i="5" s="1"/>
  <c r="CK9" i="5"/>
  <c r="CY139" i="5"/>
  <c r="CZ139" i="5" s="1"/>
  <c r="CS139" i="5"/>
  <c r="CT139" i="5" s="1"/>
  <c r="CP139" i="5"/>
  <c r="CQ139" i="5" s="1"/>
  <c r="CU139" i="5"/>
  <c r="CV139" i="5" s="1"/>
  <c r="CW139" i="5"/>
  <c r="DH10" i="5"/>
  <c r="CP248" i="5"/>
  <c r="CQ248" i="5" s="1"/>
  <c r="CW248" i="5"/>
  <c r="CY248" i="5"/>
  <c r="CZ248" i="5" s="1"/>
  <c r="CV248" i="5"/>
  <c r="CU248" i="5"/>
  <c r="CS248" i="5"/>
  <c r="CT248" i="5" s="1"/>
  <c r="CL286" i="5"/>
  <c r="CM286" i="5" s="1"/>
  <c r="CL219" i="5"/>
  <c r="CM219" i="5" s="1"/>
  <c r="CP272" i="5"/>
  <c r="CQ272" i="5" s="1"/>
  <c r="CS272" i="5"/>
  <c r="CT272" i="5" s="1"/>
  <c r="CY272" i="5"/>
  <c r="CZ272" i="5" s="1"/>
  <c r="CU272" i="5"/>
  <c r="CW272" i="5"/>
  <c r="CV272" i="5"/>
  <c r="CL213" i="5"/>
  <c r="CM213" i="5" s="1"/>
  <c r="CO95" i="5"/>
  <c r="CN95" i="5"/>
  <c r="CR95" i="5"/>
  <c r="CP239" i="5"/>
  <c r="CQ239" i="5" s="1"/>
  <c r="CU239" i="5"/>
  <c r="CV239" i="5" s="1"/>
  <c r="CT239" i="5"/>
  <c r="CY239" i="5"/>
  <c r="CZ239" i="5" s="1"/>
  <c r="CW239" i="5"/>
  <c r="CS239" i="5"/>
  <c r="CN253" i="5"/>
  <c r="CR253" i="5"/>
  <c r="CO253" i="5"/>
  <c r="CR177" i="5"/>
  <c r="CN177" i="5"/>
  <c r="CO177" i="5"/>
  <c r="CS171" i="5"/>
  <c r="CT171" i="5" s="1"/>
  <c r="CW171" i="5"/>
  <c r="CP171" i="5"/>
  <c r="CQ171" i="5" s="1"/>
  <c r="CV171" i="5"/>
  <c r="CY171" i="5"/>
  <c r="CZ171" i="5" s="1"/>
  <c r="CU171" i="5"/>
  <c r="CO32" i="5"/>
  <c r="CN32" i="5"/>
  <c r="CR32" i="5"/>
  <c r="CN232" i="5"/>
  <c r="CR232" i="5"/>
  <c r="CO232" i="5"/>
  <c r="CU292" i="5"/>
  <c r="CV292" i="5" s="1"/>
  <c r="CS292" i="5"/>
  <c r="CT292" i="5" s="1"/>
  <c r="CW292" i="5"/>
  <c r="CP292" i="5"/>
  <c r="CQ292" i="5" s="1"/>
  <c r="CY292" i="5"/>
  <c r="CZ292" i="5" s="1"/>
  <c r="CO189" i="5"/>
  <c r="CN189" i="5"/>
  <c r="CR189" i="5"/>
  <c r="CI6" i="5"/>
  <c r="CJ6" i="5" s="1"/>
  <c r="CK6" i="5"/>
  <c r="CO209" i="5"/>
  <c r="CN209" i="5"/>
  <c r="CR209" i="5"/>
  <c r="CR182" i="5"/>
  <c r="CO182" i="5"/>
  <c r="CN182" i="5"/>
  <c r="CS198" i="5"/>
  <c r="CP198" i="5"/>
  <c r="CQ198" i="5" s="1"/>
  <c r="CY198" i="5"/>
  <c r="CZ198" i="5" s="1"/>
  <c r="CW198" i="5"/>
  <c r="CU198" i="5"/>
  <c r="CV198" i="5" s="1"/>
  <c r="CT198" i="5"/>
  <c r="C46" i="22"/>
  <c r="CR169" i="5"/>
  <c r="CO169" i="5"/>
  <c r="CN169" i="5"/>
  <c r="CL128" i="5"/>
  <c r="CM128" i="5" s="1"/>
  <c r="CY127" i="5"/>
  <c r="CZ127" i="5" s="1"/>
  <c r="CW127" i="5"/>
  <c r="CU127" i="5"/>
  <c r="CV127" i="5" s="1"/>
  <c r="CS127" i="5"/>
  <c r="CT127" i="5" s="1"/>
  <c r="CP127" i="5"/>
  <c r="CQ127" i="5" s="1"/>
  <c r="CL125" i="5"/>
  <c r="CM125" i="5" s="1"/>
  <c r="CR84" i="5"/>
  <c r="CO84" i="5"/>
  <c r="CN84" i="5"/>
  <c r="CP47" i="5"/>
  <c r="CQ47" i="5" s="1"/>
  <c r="CY47" i="5"/>
  <c r="CZ47" i="5" s="1"/>
  <c r="CW47" i="5"/>
  <c r="CU47" i="5"/>
  <c r="CV47" i="5" s="1"/>
  <c r="CS47" i="5"/>
  <c r="CT47" i="5" s="1"/>
  <c r="CW216" i="5"/>
  <c r="CU216" i="5"/>
  <c r="CV216" i="5" s="1"/>
  <c r="CT216" i="5"/>
  <c r="CS216" i="5"/>
  <c r="CP216" i="5"/>
  <c r="CQ216" i="5" s="1"/>
  <c r="CY216" i="5"/>
  <c r="CZ216" i="5" s="1"/>
  <c r="CY145" i="5"/>
  <c r="CZ145" i="5" s="1"/>
  <c r="CP145" i="5"/>
  <c r="CQ145" i="5" s="1"/>
  <c r="CU145" i="5"/>
  <c r="CV145" i="5" s="1"/>
  <c r="CS145" i="5"/>
  <c r="CT145" i="5" s="1"/>
  <c r="CW145" i="5"/>
  <c r="CU256" i="5"/>
  <c r="CV256" i="5" s="1"/>
  <c r="CT256" i="5"/>
  <c r="CS256" i="5"/>
  <c r="CP256" i="5"/>
  <c r="CQ256" i="5" s="1"/>
  <c r="CY256" i="5"/>
  <c r="CZ256" i="5" s="1"/>
  <c r="CW256" i="5"/>
  <c r="DG8" i="5"/>
  <c r="E44" i="24" s="1"/>
  <c r="F44" i="24" s="1"/>
  <c r="DA8" i="5"/>
  <c r="DH8" i="5"/>
  <c r="CY300" i="5"/>
  <c r="CZ300" i="5" s="1"/>
  <c r="CW300" i="5"/>
  <c r="CP300" i="5"/>
  <c r="CQ300" i="5" s="1"/>
  <c r="CT300" i="5"/>
  <c r="CS300" i="5"/>
  <c r="CV300" i="5"/>
  <c r="CU300" i="5"/>
  <c r="CR60" i="5"/>
  <c r="CO60" i="5"/>
  <c r="CN60" i="5"/>
  <c r="CP156" i="5"/>
  <c r="CQ156" i="5" s="1"/>
  <c r="CU156" i="5"/>
  <c r="CV156" i="5" s="1"/>
  <c r="CS156" i="5"/>
  <c r="CT156" i="5" s="1"/>
  <c r="CY156" i="5"/>
  <c r="CZ156" i="5" s="1"/>
  <c r="CW156" i="5"/>
  <c r="CO166" i="5"/>
  <c r="CR166" i="5"/>
  <c r="CN166" i="5"/>
  <c r="CR87" i="5"/>
  <c r="CO87" i="5"/>
  <c r="CN87" i="5"/>
  <c r="CL241" i="5"/>
  <c r="CM241" i="5" s="1"/>
  <c r="CH8" i="5"/>
  <c r="CE8" i="5"/>
  <c r="CW195" i="5"/>
  <c r="CS195" i="5"/>
  <c r="CY195" i="5"/>
  <c r="CZ195" i="5" s="1"/>
  <c r="CT195" i="5"/>
  <c r="CP195" i="5"/>
  <c r="CQ195" i="5" s="1"/>
  <c r="CU195" i="5"/>
  <c r="CV195" i="5" s="1"/>
  <c r="CL217" i="5"/>
  <c r="CM217" i="5" s="1"/>
  <c r="CL280" i="5"/>
  <c r="CM280" i="5" s="1"/>
  <c r="CP257" i="5"/>
  <c r="CQ257" i="5" s="1"/>
  <c r="CT257" i="5"/>
  <c r="CW257" i="5"/>
  <c r="CV257" i="5"/>
  <c r="CS257" i="5"/>
  <c r="CY257" i="5"/>
  <c r="CZ257" i="5" s="1"/>
  <c r="CU257" i="5"/>
  <c r="F28" i="2"/>
  <c r="E39" i="4"/>
  <c r="E28" i="2"/>
  <c r="C95" i="3"/>
  <c r="C100" i="3"/>
  <c r="E43" i="4" s="1"/>
  <c r="CP153" i="5"/>
  <c r="CQ153" i="5" s="1"/>
  <c r="CY153" i="5"/>
  <c r="CZ153" i="5" s="1"/>
  <c r="CS153" i="5"/>
  <c r="CT153" i="5" s="1"/>
  <c r="CU153" i="5"/>
  <c r="CV153" i="5" s="1"/>
  <c r="CW153" i="5"/>
  <c r="R42" i="24"/>
  <c r="Q42" i="24"/>
  <c r="N42" i="24"/>
  <c r="M42" i="24"/>
  <c r="AC42" i="24"/>
  <c r="J42" i="24"/>
  <c r="U42" i="24"/>
  <c r="Z42" i="24"/>
  <c r="Y42" i="24"/>
  <c r="V42" i="24"/>
  <c r="AB42" i="24"/>
  <c r="AA42" i="24"/>
  <c r="T42" i="24"/>
  <c r="S42" i="24"/>
  <c r="O42" i="24"/>
  <c r="L42" i="24"/>
  <c r="X42" i="24"/>
  <c r="W42" i="24"/>
  <c r="K42" i="24"/>
  <c r="P42" i="24"/>
  <c r="CP62" i="5"/>
  <c r="CQ62" i="5" s="1"/>
  <c r="CY62" i="5"/>
  <c r="CZ62" i="5" s="1"/>
  <c r="CS62" i="5"/>
  <c r="CV62" i="5"/>
  <c r="CW62" i="5"/>
  <c r="CU62" i="5"/>
  <c r="CT62" i="5"/>
  <c r="CP176" i="5"/>
  <c r="CQ176" i="5" s="1"/>
  <c r="CY176" i="5"/>
  <c r="CZ176" i="5" s="1"/>
  <c r="CU176" i="5"/>
  <c r="CS176" i="5"/>
  <c r="CT176" i="5" s="1"/>
  <c r="CW176" i="5"/>
  <c r="CV176" i="5"/>
  <c r="CU33" i="5"/>
  <c r="CW33" i="5"/>
  <c r="CV33" i="5"/>
  <c r="CY33" i="5"/>
  <c r="CZ33" i="5" s="1"/>
  <c r="CP33" i="5"/>
  <c r="CQ33" i="5" s="1"/>
  <c r="CS33" i="5"/>
  <c r="CT33" i="5" s="1"/>
  <c r="CO291" i="5"/>
  <c r="CN291" i="5"/>
  <c r="CR291" i="5"/>
  <c r="CL298" i="5"/>
  <c r="CM298" i="5" s="1"/>
  <c r="G10" i="4"/>
  <c r="CP65" i="5"/>
  <c r="CQ65" i="5" s="1"/>
  <c r="CY65" i="5"/>
  <c r="CZ65" i="5" s="1"/>
  <c r="CW65" i="5"/>
  <c r="CU65" i="5"/>
  <c r="CV65" i="5" s="1"/>
  <c r="CS65" i="5"/>
  <c r="CT65" i="5" s="1"/>
  <c r="CY100" i="5"/>
  <c r="CZ100" i="5" s="1"/>
  <c r="CV100" i="5"/>
  <c r="CS100" i="5"/>
  <c r="CT100" i="5" s="1"/>
  <c r="CP100" i="5"/>
  <c r="CQ100" i="5" s="1"/>
  <c r="CW100" i="5"/>
  <c r="CU100" i="5"/>
  <c r="CO133" i="5"/>
  <c r="CN133" i="5"/>
  <c r="CR133" i="5"/>
  <c r="CR246" i="5"/>
  <c r="CO246" i="5"/>
  <c r="CN246" i="5"/>
  <c r="CO119" i="5"/>
  <c r="CN119" i="5"/>
  <c r="CR119" i="5"/>
  <c r="CR235" i="5"/>
  <c r="CN235" i="5"/>
  <c r="CO235" i="5"/>
  <c r="CL116" i="5"/>
  <c r="CM116" i="5" s="1"/>
  <c r="CR69" i="5"/>
  <c r="CO69" i="5"/>
  <c r="CN69" i="5"/>
  <c r="CP114" i="5"/>
  <c r="CQ114" i="5" s="1"/>
  <c r="CS114" i="5"/>
  <c r="CT114" i="5"/>
  <c r="CY114" i="5"/>
  <c r="CZ114" i="5" s="1"/>
  <c r="CW114" i="5"/>
  <c r="CV114" i="5"/>
  <c r="CU114" i="5"/>
  <c r="CY94" i="5"/>
  <c r="CZ94" i="5" s="1"/>
  <c r="CW94" i="5"/>
  <c r="CU94" i="5"/>
  <c r="CV94" i="5" s="1"/>
  <c r="CP94" i="5"/>
  <c r="CQ94" i="5" s="1"/>
  <c r="CS94" i="5"/>
  <c r="CT94" i="5" s="1"/>
  <c r="CY115" i="5"/>
  <c r="CZ115" i="5" s="1"/>
  <c r="CP115" i="5"/>
  <c r="CQ115" i="5" s="1"/>
  <c r="CS115" i="5"/>
  <c r="CT115" i="5" s="1"/>
  <c r="CW115" i="5"/>
  <c r="CU115" i="5"/>
  <c r="CV115" i="5" s="1"/>
  <c r="CR24" i="5"/>
  <c r="CO24" i="5"/>
  <c r="CN24" i="5"/>
  <c r="CY273" i="5"/>
  <c r="CZ273" i="5" s="1"/>
  <c r="CW273" i="5"/>
  <c r="CS273" i="5"/>
  <c r="CU273" i="5"/>
  <c r="CV273" i="5" s="1"/>
  <c r="CT273" i="5"/>
  <c r="CP273" i="5"/>
  <c r="CQ273" i="5" s="1"/>
  <c r="G14" i="4"/>
  <c r="CN258" i="5"/>
  <c r="CR258" i="5"/>
  <c r="CO258" i="5"/>
  <c r="CY264" i="5"/>
  <c r="CZ264" i="5" s="1"/>
  <c r="CW264" i="5"/>
  <c r="CP264" i="5"/>
  <c r="CQ264" i="5" s="1"/>
  <c r="CU264" i="5"/>
  <c r="CV264" i="5" s="1"/>
  <c r="CS264" i="5"/>
  <c r="CT264" i="5" s="1"/>
  <c r="F55" i="16"/>
  <c r="H43" i="16"/>
  <c r="I43" i="16" s="1"/>
  <c r="CR285" i="5"/>
  <c r="CO285" i="5"/>
  <c r="CN285" i="5"/>
  <c r="CP202" i="5"/>
  <c r="CQ202" i="5" s="1"/>
  <c r="CV202" i="5"/>
  <c r="CS202" i="5"/>
  <c r="CT202" i="5" s="1"/>
  <c r="CY202" i="5"/>
  <c r="CZ202" i="5" s="1"/>
  <c r="CW202" i="5"/>
  <c r="CU202" i="5"/>
  <c r="H96" i="8"/>
  <c r="H97" i="8" s="1"/>
  <c r="CR51" i="5"/>
  <c r="CO51" i="5"/>
  <c r="CN51" i="5"/>
  <c r="CP224" i="5"/>
  <c r="CQ224" i="5" s="1"/>
  <c r="CW224" i="5"/>
  <c r="CU224" i="5"/>
  <c r="CV224" i="5" s="1"/>
  <c r="CS224" i="5"/>
  <c r="CT224" i="5" s="1"/>
  <c r="CY224" i="5"/>
  <c r="CZ224" i="5" s="1"/>
  <c r="CN279" i="5"/>
  <c r="CO279" i="5"/>
  <c r="CR279" i="5"/>
  <c r="CU21" i="5"/>
  <c r="CW21" i="5"/>
  <c r="CV21" i="5"/>
  <c r="CY21" i="5"/>
  <c r="CZ21" i="5" s="1"/>
  <c r="CP21" i="5"/>
  <c r="CQ21" i="5" s="1"/>
  <c r="CS21" i="5"/>
  <c r="CT21" i="5" s="1"/>
  <c r="CN294" i="5"/>
  <c r="CO294" i="5"/>
  <c r="CR294" i="5"/>
  <c r="CL244" i="5"/>
  <c r="CM244" i="5" s="1"/>
  <c r="V46" i="24"/>
  <c r="P46" i="24"/>
  <c r="L46" i="24"/>
  <c r="O46" i="24"/>
  <c r="W46" i="24"/>
  <c r="U46" i="24"/>
  <c r="Z46" i="24"/>
  <c r="X46" i="24"/>
  <c r="AA46" i="24"/>
  <c r="M46" i="24"/>
  <c r="Q46" i="24"/>
  <c r="J46" i="24"/>
  <c r="R46" i="24"/>
  <c r="Y46" i="24"/>
  <c r="AC46" i="24"/>
  <c r="S46" i="24"/>
  <c r="T46" i="24"/>
  <c r="AB46" i="24"/>
  <c r="N46" i="24"/>
  <c r="K46" i="24"/>
  <c r="CW108" i="5"/>
  <c r="CV108" i="5"/>
  <c r="CU108" i="5"/>
  <c r="CT108" i="5"/>
  <c r="CS108" i="5"/>
  <c r="CP108" i="5"/>
  <c r="CQ108" i="5" s="1"/>
  <c r="CY108" i="5"/>
  <c r="CZ108" i="5" s="1"/>
  <c r="CR66" i="5"/>
  <c r="CN66" i="5"/>
  <c r="CO66" i="5"/>
  <c r="CR181" i="5"/>
  <c r="CN181" i="5"/>
  <c r="CO181" i="5"/>
  <c r="C100" i="8"/>
  <c r="C95" i="8"/>
  <c r="CN158" i="5"/>
  <c r="CO158" i="5"/>
  <c r="CR158" i="5"/>
  <c r="CO155" i="5"/>
  <c r="CN155" i="5"/>
  <c r="CR155" i="5"/>
  <c r="CR164" i="5"/>
  <c r="CO164" i="5"/>
  <c r="CN164" i="5"/>
  <c r="CO283" i="5"/>
  <c r="CN283" i="5"/>
  <c r="CR283" i="5"/>
  <c r="CR192" i="5"/>
  <c r="CN192" i="5"/>
  <c r="CO192" i="5"/>
  <c r="CP296" i="5"/>
  <c r="CQ296" i="5" s="1"/>
  <c r="CY296" i="5"/>
  <c r="CZ296" i="5" s="1"/>
  <c r="CU296" i="5"/>
  <c r="CS296" i="5"/>
  <c r="CT296" i="5" s="1"/>
  <c r="CV296" i="5"/>
  <c r="CW296" i="5"/>
  <c r="CO221" i="5"/>
  <c r="CN221" i="5"/>
  <c r="CR221" i="5"/>
  <c r="CO90" i="5"/>
  <c r="CN90" i="5"/>
  <c r="CR90" i="5"/>
  <c r="CN42" i="5"/>
  <c r="CR42" i="5"/>
  <c r="CO42" i="5"/>
  <c r="CP126" i="5"/>
  <c r="CQ126" i="5" s="1"/>
  <c r="CY126" i="5"/>
  <c r="CZ126" i="5" s="1"/>
  <c r="CS126" i="5"/>
  <c r="CT126" i="5" s="1"/>
  <c r="CW126" i="5"/>
  <c r="CU126" i="5"/>
  <c r="CV126" i="5" s="1"/>
  <c r="E26" i="4"/>
  <c r="F25" i="4"/>
  <c r="G25" i="4" s="1"/>
  <c r="CP212" i="5"/>
  <c r="CQ212" i="5" s="1"/>
  <c r="CY212" i="5"/>
  <c r="CZ212" i="5" s="1"/>
  <c r="CW212" i="5"/>
  <c r="CU212" i="5"/>
  <c r="CV212" i="5" s="1"/>
  <c r="CT212" i="5"/>
  <c r="CS212" i="5"/>
  <c r="CL18" i="5"/>
  <c r="CM18" i="5" s="1"/>
  <c r="G17" i="4"/>
  <c r="CR78" i="5"/>
  <c r="CO78" i="5"/>
  <c r="CN78" i="5"/>
  <c r="CW204" i="5"/>
  <c r="CY204" i="5"/>
  <c r="CZ204" i="5" s="1"/>
  <c r="CU204" i="5"/>
  <c r="CV204" i="5" s="1"/>
  <c r="CS204" i="5"/>
  <c r="CT204" i="5" s="1"/>
  <c r="CP204" i="5"/>
  <c r="CQ204" i="5" s="1"/>
  <c r="CU110" i="5"/>
  <c r="CS110" i="5"/>
  <c r="CY110" i="5"/>
  <c r="CZ110" i="5" s="1"/>
  <c r="CW110" i="5"/>
  <c r="CV110" i="5"/>
  <c r="CT110" i="5"/>
  <c r="CP110" i="5"/>
  <c r="CQ110" i="5" s="1"/>
  <c r="CO36" i="5"/>
  <c r="CN36" i="5"/>
  <c r="CR36" i="5"/>
  <c r="CP144" i="5"/>
  <c r="CQ144" i="5" s="1"/>
  <c r="CT144" i="5"/>
  <c r="CS144" i="5"/>
  <c r="CY144" i="5"/>
  <c r="CZ144" i="5" s="1"/>
  <c r="CU144" i="5"/>
  <c r="CW144" i="5"/>
  <c r="CV144" i="5"/>
  <c r="CY276" i="5"/>
  <c r="CZ276" i="5" s="1"/>
  <c r="CW276" i="5"/>
  <c r="CS276" i="5"/>
  <c r="CT276" i="5" s="1"/>
  <c r="CU276" i="5"/>
  <c r="CV276" i="5" s="1"/>
  <c r="CP276" i="5"/>
  <c r="CQ276" i="5" s="1"/>
  <c r="CS210" i="5"/>
  <c r="CP210" i="5"/>
  <c r="CQ210" i="5" s="1"/>
  <c r="CY210" i="5"/>
  <c r="CZ210" i="5" s="1"/>
  <c r="CW210" i="5"/>
  <c r="CU210" i="5"/>
  <c r="CV210" i="5"/>
  <c r="CT210" i="5"/>
  <c r="CY163" i="5"/>
  <c r="CZ163" i="5" s="1"/>
  <c r="CW163" i="5"/>
  <c r="CT163" i="5"/>
  <c r="CV163" i="5"/>
  <c r="CU163" i="5"/>
  <c r="CS163" i="5"/>
  <c r="CP163" i="5"/>
  <c r="CQ163" i="5" s="1"/>
  <c r="CP59" i="5"/>
  <c r="CQ59" i="5" s="1"/>
  <c r="CY59" i="5"/>
  <c r="CZ59" i="5" s="1"/>
  <c r="CU59" i="5"/>
  <c r="CS59" i="5"/>
  <c r="CT59" i="5" s="1"/>
  <c r="CV59" i="5"/>
  <c r="CW59" i="5"/>
  <c r="CY240" i="5"/>
  <c r="CZ240" i="5" s="1"/>
  <c r="CW240" i="5"/>
  <c r="CT240" i="5"/>
  <c r="CS240" i="5"/>
  <c r="CV240" i="5"/>
  <c r="CU240" i="5"/>
  <c r="CP240" i="5"/>
  <c r="CQ240" i="5" s="1"/>
  <c r="CW231" i="5"/>
  <c r="CY231" i="5"/>
  <c r="CZ231" i="5" s="1"/>
  <c r="CU231" i="5"/>
  <c r="CS231" i="5"/>
  <c r="CT231" i="5" s="1"/>
  <c r="CP231" i="5"/>
  <c r="CQ231" i="5" s="1"/>
  <c r="CV231" i="5"/>
  <c r="R43" i="24"/>
  <c r="Q43" i="24"/>
  <c r="O43" i="24"/>
  <c r="N43" i="24"/>
  <c r="M43" i="24"/>
  <c r="J43" i="24"/>
  <c r="K43" i="24"/>
  <c r="L43" i="24"/>
  <c r="S43" i="24"/>
  <c r="P43" i="24"/>
  <c r="D96" i="8"/>
  <c r="D97" i="8"/>
  <c r="CL180" i="5"/>
  <c r="CM180" i="5" s="1"/>
  <c r="E122" i="8"/>
  <c r="E123" i="8" s="1"/>
  <c r="E91" i="8"/>
  <c r="CY208" i="5"/>
  <c r="CZ208" i="5" s="1"/>
  <c r="CW208" i="5"/>
  <c r="CU208" i="5"/>
  <c r="CV208" i="5" s="1"/>
  <c r="CS208" i="5"/>
  <c r="CT208" i="5" s="1"/>
  <c r="CP208" i="5"/>
  <c r="CQ208" i="5" s="1"/>
  <c r="CL193" i="5"/>
  <c r="CM193" i="5" s="1"/>
  <c r="CU104" i="5"/>
  <c r="CV104" i="5" s="1"/>
  <c r="CP104" i="5"/>
  <c r="CQ104" i="5" s="1"/>
  <c r="CT104" i="5"/>
  <c r="CS104" i="5"/>
  <c r="CY104" i="5"/>
  <c r="CZ104" i="5" s="1"/>
  <c r="CW104" i="5"/>
  <c r="CP138" i="5"/>
  <c r="CQ138" i="5" s="1"/>
  <c r="CU138" i="5"/>
  <c r="CV138" i="5" s="1"/>
  <c r="CY138" i="5"/>
  <c r="CZ138" i="5" s="1"/>
  <c r="CS138" i="5"/>
  <c r="CW138" i="5"/>
  <c r="CT138" i="5"/>
  <c r="CL205" i="5"/>
  <c r="CM205" i="5" s="1"/>
  <c r="CL148" i="5"/>
  <c r="CM148" i="5" s="1"/>
  <c r="CL137" i="5"/>
  <c r="CM137" i="5" s="1"/>
  <c r="CL187" i="5"/>
  <c r="CM187" i="5" s="1"/>
  <c r="CL140" i="5"/>
  <c r="CM140" i="5" s="1"/>
  <c r="CL247" i="5"/>
  <c r="CM247" i="5" s="1"/>
  <c r="CU262" i="5"/>
  <c r="CS262" i="5"/>
  <c r="CT262" i="5" s="1"/>
  <c r="CV262" i="5"/>
  <c r="CY262" i="5"/>
  <c r="CZ262" i="5" s="1"/>
  <c r="CW262" i="5"/>
  <c r="CP262" i="5"/>
  <c r="CQ262" i="5" s="1"/>
  <c r="CR252" i="5"/>
  <c r="CO252" i="5"/>
  <c r="CN252" i="5"/>
  <c r="CY130" i="5"/>
  <c r="CZ130" i="5" s="1"/>
  <c r="CW130" i="5"/>
  <c r="CS130" i="5"/>
  <c r="CT130" i="5" s="1"/>
  <c r="CP130" i="5"/>
  <c r="CQ130" i="5" s="1"/>
  <c r="CU130" i="5"/>
  <c r="CV130" i="5" s="1"/>
  <c r="CS220" i="5"/>
  <c r="CT220" i="5" s="1"/>
  <c r="CY220" i="5"/>
  <c r="CZ220" i="5" s="1"/>
  <c r="CU220" i="5"/>
  <c r="CW220" i="5"/>
  <c r="CV220" i="5"/>
  <c r="CP220" i="5"/>
  <c r="CQ220" i="5" s="1"/>
  <c r="F96" i="8"/>
  <c r="F97" i="8" s="1"/>
  <c r="CR226" i="5"/>
  <c r="CN226" i="5"/>
  <c r="CO226" i="5"/>
  <c r="CO184" i="5"/>
  <c r="CN184" i="5"/>
  <c r="CR184" i="5"/>
  <c r="CR199" i="5"/>
  <c r="CN199" i="5"/>
  <c r="CO199" i="5"/>
  <c r="CO190" i="5"/>
  <c r="CR190" i="5"/>
  <c r="CN190" i="5"/>
  <c r="CL101" i="5"/>
  <c r="CM101" i="5" s="1"/>
  <c r="CO289" i="5"/>
  <c r="CN289" i="5"/>
  <c r="CR289" i="5"/>
  <c r="CN222" i="5"/>
  <c r="CR222" i="5"/>
  <c r="CO222" i="5"/>
  <c r="CI10" i="5"/>
  <c r="CJ10" i="5" s="1"/>
  <c r="CL10" i="5" s="1"/>
  <c r="CM10" i="5" s="1"/>
  <c r="CK10" i="5"/>
  <c r="CP233" i="5"/>
  <c r="CQ233" i="5" s="1"/>
  <c r="CW233" i="5"/>
  <c r="CY233" i="5"/>
  <c r="CZ233" i="5" s="1"/>
  <c r="CS233" i="5"/>
  <c r="CT233" i="5"/>
  <c r="CU233" i="5"/>
  <c r="CV233" i="5" s="1"/>
  <c r="CR178" i="5"/>
  <c r="CO178" i="5"/>
  <c r="CN178" i="5"/>
  <c r="CP266" i="5"/>
  <c r="CQ266" i="5" s="1"/>
  <c r="CS266" i="5"/>
  <c r="CW266" i="5"/>
  <c r="CU266" i="5"/>
  <c r="CV266" i="5" s="1"/>
  <c r="CT266" i="5"/>
  <c r="CY266" i="5"/>
  <c r="CZ266" i="5" s="1"/>
  <c r="CS183" i="5"/>
  <c r="CT183" i="5" s="1"/>
  <c r="CY183" i="5"/>
  <c r="CZ183" i="5" s="1"/>
  <c r="CV183" i="5"/>
  <c r="CP183" i="5"/>
  <c r="CQ183" i="5" s="1"/>
  <c r="CW183" i="5"/>
  <c r="CU183" i="5"/>
  <c r="CP302" i="5"/>
  <c r="CQ302" i="5" s="1"/>
  <c r="CU302" i="5"/>
  <c r="CV302" i="5" s="1"/>
  <c r="CY302" i="5"/>
  <c r="CZ302" i="5" s="1"/>
  <c r="CW302" i="5"/>
  <c r="CS302" i="5"/>
  <c r="CT302" i="5" s="1"/>
  <c r="CO44" i="5"/>
  <c r="CN44" i="5"/>
  <c r="CR44" i="5"/>
  <c r="CT172" i="5"/>
  <c r="CY172" i="5"/>
  <c r="CZ172" i="5" s="1"/>
  <c r="CS172" i="5"/>
  <c r="CW172" i="5"/>
  <c r="CU172" i="5"/>
  <c r="CV172" i="5" s="1"/>
  <c r="CP172" i="5"/>
  <c r="CQ172" i="5" s="1"/>
  <c r="CR238" i="5"/>
  <c r="CO238" i="5"/>
  <c r="CN238" i="5"/>
  <c r="CP23" i="5"/>
  <c r="CQ23" i="5" s="1"/>
  <c r="CY23" i="5"/>
  <c r="CZ23" i="5" s="1"/>
  <c r="CW23" i="5"/>
  <c r="CU23" i="5"/>
  <c r="CV23" i="5" s="1"/>
  <c r="CS23" i="5"/>
  <c r="CT23" i="5" s="1"/>
  <c r="CO12" i="5"/>
  <c r="CR12" i="5"/>
  <c r="CN12" i="5"/>
  <c r="CN167" i="5"/>
  <c r="CR167" i="5"/>
  <c r="CO167" i="5"/>
  <c r="CP159" i="5"/>
  <c r="CQ159" i="5" s="1"/>
  <c r="CW159" i="5"/>
  <c r="CS159" i="5"/>
  <c r="CY159" i="5"/>
  <c r="CZ159" i="5" s="1"/>
  <c r="CU159" i="5"/>
  <c r="CV159" i="5" s="1"/>
  <c r="CT159" i="5"/>
  <c r="CP175" i="5"/>
  <c r="CQ175" i="5" s="1"/>
  <c r="CV175" i="5"/>
  <c r="CS175" i="5"/>
  <c r="CT175" i="5" s="1"/>
  <c r="CY175" i="5"/>
  <c r="CZ175" i="5" s="1"/>
  <c r="CU175" i="5"/>
  <c r="CW175" i="5"/>
  <c r="CN120" i="5"/>
  <c r="CO120" i="5"/>
  <c r="CR120" i="5"/>
  <c r="CP83" i="5"/>
  <c r="CQ83" i="5" s="1"/>
  <c r="CY83" i="5"/>
  <c r="CZ83" i="5" s="1"/>
  <c r="CW83" i="5"/>
  <c r="CT83" i="5"/>
  <c r="CU83" i="5"/>
  <c r="CV83" i="5" s="1"/>
  <c r="CS83" i="5"/>
  <c r="CL63" i="5"/>
  <c r="CM63" i="5" s="1"/>
  <c r="CW48" i="5"/>
  <c r="CV48" i="5"/>
  <c r="CU48" i="5"/>
  <c r="CS48" i="5"/>
  <c r="CT48" i="5" s="1"/>
  <c r="CP48" i="5"/>
  <c r="CQ48" i="5" s="1"/>
  <c r="CY48" i="5"/>
  <c r="CZ48" i="5" s="1"/>
  <c r="CL225" i="5"/>
  <c r="CM225" i="5" s="1"/>
  <c r="CO15" i="5"/>
  <c r="CN15" i="5"/>
  <c r="CR15" i="5"/>
  <c r="CY124" i="5"/>
  <c r="CZ124" i="5" s="1"/>
  <c r="CW124" i="5"/>
  <c r="CV124" i="5"/>
  <c r="CU124" i="5"/>
  <c r="CS124" i="5"/>
  <c r="CT124" i="5" s="1"/>
  <c r="CP124" i="5"/>
  <c r="CQ124" i="5" s="1"/>
  <c r="CO207" i="5"/>
  <c r="CN207" i="5"/>
  <c r="CR207" i="5"/>
  <c r="CR96" i="5"/>
  <c r="CO96" i="5"/>
  <c r="CN96" i="5"/>
  <c r="CY154" i="5"/>
  <c r="CZ154" i="5" s="1"/>
  <c r="CW154" i="5"/>
  <c r="CU154" i="5"/>
  <c r="CV154" i="5" s="1"/>
  <c r="CS154" i="5"/>
  <c r="CT154" i="5" s="1"/>
  <c r="CP154" i="5"/>
  <c r="CQ154" i="5" s="1"/>
  <c r="CP185" i="5"/>
  <c r="CQ185" i="5" s="1"/>
  <c r="CY185" i="5"/>
  <c r="CZ185" i="5" s="1"/>
  <c r="CW185" i="5"/>
  <c r="CT185" i="5"/>
  <c r="CS185" i="5"/>
  <c r="CV185" i="5"/>
  <c r="CU185" i="5"/>
  <c r="CW39" i="5"/>
  <c r="CU39" i="5"/>
  <c r="CV39" i="5" s="1"/>
  <c r="CP39" i="5"/>
  <c r="CQ39" i="5" s="1"/>
  <c r="CY39" i="5"/>
  <c r="CZ39" i="5" s="1"/>
  <c r="CS39" i="5"/>
  <c r="CT39" i="5" s="1"/>
  <c r="DH9" i="5"/>
  <c r="DG9" i="5"/>
  <c r="E45" i="24" s="1"/>
  <c r="F45" i="24" s="1"/>
  <c r="DA9" i="5"/>
  <c r="CP284" i="5"/>
  <c r="CQ284" i="5" s="1"/>
  <c r="CW284" i="5"/>
  <c r="CS284" i="5"/>
  <c r="CU284" i="5"/>
  <c r="CV284" i="5" s="1"/>
  <c r="CT284" i="5"/>
  <c r="CY284" i="5"/>
  <c r="CZ284" i="5" s="1"/>
  <c r="CY243" i="5"/>
  <c r="CZ243" i="5" s="1"/>
  <c r="CW243" i="5"/>
  <c r="CU243" i="5"/>
  <c r="CV243" i="5" s="1"/>
  <c r="CT243" i="5"/>
  <c r="CP243" i="5"/>
  <c r="CQ243" i="5" s="1"/>
  <c r="CS243" i="5"/>
  <c r="CN255" i="5"/>
  <c r="CR255" i="5"/>
  <c r="CO255" i="5"/>
  <c r="CH5" i="5"/>
  <c r="CE5" i="5"/>
  <c r="CN268" i="5"/>
  <c r="CO268" i="5"/>
  <c r="CR268" i="5"/>
  <c r="CT102" i="5"/>
  <c r="CU102" i="5"/>
  <c r="CV102" i="5" s="1"/>
  <c r="CS102" i="5"/>
  <c r="CP102" i="5"/>
  <c r="CQ102" i="5" s="1"/>
  <c r="CY102" i="5"/>
  <c r="CZ102" i="5" s="1"/>
  <c r="CW102" i="5"/>
  <c r="CO72" i="5"/>
  <c r="CN72" i="5"/>
  <c r="CR72" i="5"/>
  <c r="CR288" i="5"/>
  <c r="CN288" i="5"/>
  <c r="CO288" i="5"/>
  <c r="CO27" i="5"/>
  <c r="CN27" i="5"/>
  <c r="CR27" i="5"/>
  <c r="CU295" i="5"/>
  <c r="CS295" i="5"/>
  <c r="CT295" i="5" s="1"/>
  <c r="CW295" i="5"/>
  <c r="CV295" i="5"/>
  <c r="CY295" i="5"/>
  <c r="CZ295" i="5" s="1"/>
  <c r="CP295" i="5"/>
  <c r="CQ295" i="5" s="1"/>
  <c r="CY297" i="5"/>
  <c r="CZ297" i="5" s="1"/>
  <c r="CW297" i="5"/>
  <c r="CS297" i="5"/>
  <c r="CP297" i="5"/>
  <c r="CQ297" i="5" s="1"/>
  <c r="CT297" i="5"/>
  <c r="CU297" i="5"/>
  <c r="CV297" i="5" s="1"/>
  <c r="CU107" i="5"/>
  <c r="CV107" i="5" s="1"/>
  <c r="CY107" i="5"/>
  <c r="CZ107" i="5" s="1"/>
  <c r="CS107" i="5"/>
  <c r="CP107" i="5"/>
  <c r="CQ107" i="5" s="1"/>
  <c r="CT107" i="5"/>
  <c r="CW107" i="5"/>
  <c r="CP188" i="5"/>
  <c r="CQ188" i="5" s="1"/>
  <c r="CY188" i="5"/>
  <c r="CZ188" i="5" s="1"/>
  <c r="CW188" i="5"/>
  <c r="CU188" i="5"/>
  <c r="CV188" i="5" s="1"/>
  <c r="CS188" i="5"/>
  <c r="CT188" i="5" s="1"/>
  <c r="CR214" i="5"/>
  <c r="CO214" i="5"/>
  <c r="CN214" i="5"/>
  <c r="CW168" i="5"/>
  <c r="CS168" i="5"/>
  <c r="CT168" i="5"/>
  <c r="CP168" i="5"/>
  <c r="CQ168" i="5" s="1"/>
  <c r="CY168" i="5"/>
  <c r="CZ168" i="5" s="1"/>
  <c r="CU168" i="5"/>
  <c r="CV168" i="5" s="1"/>
  <c r="CR277" i="5"/>
  <c r="CO277" i="5"/>
  <c r="CN277" i="5"/>
  <c r="CS223" i="5"/>
  <c r="CT223" i="5" s="1"/>
  <c r="CY223" i="5"/>
  <c r="CZ223" i="5" s="1"/>
  <c r="CU223" i="5"/>
  <c r="CV223" i="5" s="1"/>
  <c r="CP223" i="5"/>
  <c r="CQ223" i="5" s="1"/>
  <c r="CW223" i="5"/>
  <c r="CP50" i="5"/>
  <c r="CQ50" i="5" s="1"/>
  <c r="CY50" i="5"/>
  <c r="CZ50" i="5" s="1"/>
  <c r="CU50" i="5"/>
  <c r="CW50" i="5"/>
  <c r="CV50" i="5"/>
  <c r="CS50" i="5"/>
  <c r="CT50" i="5" s="1"/>
  <c r="CO265" i="5"/>
  <c r="CR265" i="5"/>
  <c r="CN265" i="5"/>
  <c r="CY121" i="5"/>
  <c r="CZ121" i="5" s="1"/>
  <c r="CP121" i="5"/>
  <c r="CQ121" i="5" s="1"/>
  <c r="CS121" i="5"/>
  <c r="CT121" i="5" s="1"/>
  <c r="CW121" i="5"/>
  <c r="CU121" i="5"/>
  <c r="CV121" i="5"/>
  <c r="CY157" i="5"/>
  <c r="CZ157" i="5" s="1"/>
  <c r="CV157" i="5"/>
  <c r="CW157" i="5"/>
  <c r="CU157" i="5"/>
  <c r="CS157" i="5"/>
  <c r="CT157" i="5" s="1"/>
  <c r="CP157" i="5"/>
  <c r="CQ157" i="5" s="1"/>
  <c r="CY160" i="5"/>
  <c r="CZ160" i="5" s="1"/>
  <c r="CU160" i="5"/>
  <c r="CV160" i="5"/>
  <c r="CS160" i="5"/>
  <c r="CT160" i="5" s="1"/>
  <c r="CW160" i="5"/>
  <c r="CP160" i="5"/>
  <c r="CQ160" i="5" s="1"/>
  <c r="CO81" i="5"/>
  <c r="CR81" i="5"/>
  <c r="CN81" i="5"/>
  <c r="CN30" i="5"/>
  <c r="CR30" i="5"/>
  <c r="CO30" i="5"/>
  <c r="CY261" i="5"/>
  <c r="CZ261" i="5" s="1"/>
  <c r="CW261" i="5"/>
  <c r="CS261" i="5"/>
  <c r="CT261" i="5" s="1"/>
  <c r="CP261" i="5"/>
  <c r="CQ261" i="5" s="1"/>
  <c r="CU261" i="5"/>
  <c r="CV261" i="5" s="1"/>
  <c r="CR196" i="5"/>
  <c r="CO196" i="5"/>
  <c r="CN196" i="5"/>
  <c r="C14" i="7"/>
  <c r="C24" i="7" s="1"/>
  <c r="C20" i="6"/>
  <c r="C19" i="6"/>
  <c r="C22" i="6"/>
  <c r="C23" i="7"/>
  <c r="C21" i="6"/>
  <c r="DG5" i="5"/>
  <c r="DA5" i="5"/>
  <c r="DH5" i="5"/>
  <c r="CN132" i="5"/>
  <c r="CR132" i="5"/>
  <c r="CO132" i="5"/>
  <c r="G24" i="4"/>
  <c r="CY282" i="5"/>
  <c r="CZ282" i="5" s="1"/>
  <c r="CW282" i="5"/>
  <c r="CU282" i="5"/>
  <c r="CV282" i="5" s="1"/>
  <c r="CS282" i="5"/>
  <c r="CT282" i="5" s="1"/>
  <c r="CP282" i="5"/>
  <c r="CQ282" i="5" s="1"/>
  <c r="CL304" i="5"/>
  <c r="CM304" i="5" s="1"/>
  <c r="CP35" i="5"/>
  <c r="CQ35" i="5" s="1"/>
  <c r="CY35" i="5"/>
  <c r="CZ35" i="5" s="1"/>
  <c r="CW35" i="5"/>
  <c r="CU35" i="5"/>
  <c r="CV35" i="5" s="1"/>
  <c r="CS35" i="5"/>
  <c r="CT35" i="5" s="1"/>
  <c r="CY112" i="5"/>
  <c r="CZ112" i="5" s="1"/>
  <c r="CP112" i="5"/>
  <c r="CQ112" i="5" s="1"/>
  <c r="CW112" i="5"/>
  <c r="CV112" i="5"/>
  <c r="CS112" i="5"/>
  <c r="CT112" i="5" s="1"/>
  <c r="CU112" i="5"/>
  <c r="CY270" i="5"/>
  <c r="CZ270" i="5" s="1"/>
  <c r="CW270" i="5"/>
  <c r="CS270" i="5"/>
  <c r="CT270" i="5" s="1"/>
  <c r="CP270" i="5"/>
  <c r="CQ270" i="5" s="1"/>
  <c r="CU270" i="5"/>
  <c r="CV270" i="5" s="1"/>
  <c r="CW234" i="5"/>
  <c r="CU234" i="5"/>
  <c r="CV234" i="5" s="1"/>
  <c r="CT234" i="5"/>
  <c r="CS234" i="5"/>
  <c r="CP234" i="5"/>
  <c r="CQ234" i="5" s="1"/>
  <c r="CY234" i="5"/>
  <c r="CZ234" i="5" s="1"/>
  <c r="CY106" i="5"/>
  <c r="CZ106" i="5" s="1"/>
  <c r="CP106" i="5"/>
  <c r="CQ106" i="5" s="1"/>
  <c r="CS106" i="5"/>
  <c r="CT106" i="5" s="1"/>
  <c r="CW106" i="5"/>
  <c r="CU106" i="5"/>
  <c r="CV106" i="5" s="1"/>
  <c r="CP179" i="5"/>
  <c r="CQ179" i="5" s="1"/>
  <c r="CV179" i="5"/>
  <c r="CW179" i="5"/>
  <c r="CS179" i="5"/>
  <c r="CY179" i="5"/>
  <c r="CZ179" i="5" s="1"/>
  <c r="CU179" i="5"/>
  <c r="CT179" i="5"/>
  <c r="CY249" i="5"/>
  <c r="CZ249" i="5" s="1"/>
  <c r="CW249" i="5"/>
  <c r="CS249" i="5"/>
  <c r="CT249" i="5" s="1"/>
  <c r="CU249" i="5"/>
  <c r="CV249" i="5" s="1"/>
  <c r="CP249" i="5"/>
  <c r="CQ249" i="5" s="1"/>
  <c r="CP80" i="5"/>
  <c r="CQ80" i="5" s="1"/>
  <c r="CY80" i="5"/>
  <c r="CZ80" i="5" s="1"/>
  <c r="CS80" i="5"/>
  <c r="CW80" i="5"/>
  <c r="CU80" i="5"/>
  <c r="CV80" i="5" s="1"/>
  <c r="CT80" i="5"/>
  <c r="G100" i="8"/>
  <c r="G95" i="8"/>
  <c r="CP197" i="5"/>
  <c r="CQ197" i="5" s="1"/>
  <c r="CT197" i="5"/>
  <c r="CY197" i="5"/>
  <c r="CZ197" i="5" s="1"/>
  <c r="CW197" i="5"/>
  <c r="CV197" i="5"/>
  <c r="CS197" i="5"/>
  <c r="CU197" i="5"/>
  <c r="CY99" i="5"/>
  <c r="CZ99" i="5" s="1"/>
  <c r="CS99" i="5"/>
  <c r="CT99" i="5" s="1"/>
  <c r="CP99" i="5"/>
  <c r="CQ99" i="5" s="1"/>
  <c r="CW99" i="5"/>
  <c r="CU99" i="5"/>
  <c r="CV99" i="5" s="1"/>
  <c r="CP162" i="5"/>
  <c r="CQ162" i="5" s="1"/>
  <c r="CY162" i="5"/>
  <c r="CZ162" i="5" s="1"/>
  <c r="CV162" i="5"/>
  <c r="CW162" i="5"/>
  <c r="CU162" i="5"/>
  <c r="CS162" i="5"/>
  <c r="CT162" i="5" s="1"/>
  <c r="CL301" i="5"/>
  <c r="CM301" i="5" s="1"/>
  <c r="CP77" i="5"/>
  <c r="CQ77" i="5" s="1"/>
  <c r="CY77" i="5"/>
  <c r="CZ77" i="5" s="1"/>
  <c r="CU77" i="5"/>
  <c r="CV77" i="5" s="1"/>
  <c r="CT77" i="5"/>
  <c r="CS77" i="5"/>
  <c r="CW77" i="5"/>
  <c r="CI7" i="5"/>
  <c r="CJ7" i="5" s="1"/>
  <c r="CL7" i="5" s="1"/>
  <c r="CM7" i="5" s="1"/>
  <c r="CK7" i="5"/>
  <c r="CL113" i="5"/>
  <c r="CM113" i="5" s="1"/>
  <c r="CU98" i="5"/>
  <c r="CV98" i="5" s="1"/>
  <c r="CS98" i="5"/>
  <c r="CT98" i="5" s="1"/>
  <c r="CP98" i="5"/>
  <c r="CQ98" i="5" s="1"/>
  <c r="CY98" i="5"/>
  <c r="CZ98" i="5" s="1"/>
  <c r="CW98" i="5"/>
  <c r="CY97" i="5"/>
  <c r="CZ97" i="5" s="1"/>
  <c r="CS97" i="5"/>
  <c r="CT97" i="5" s="1"/>
  <c r="CP97" i="5"/>
  <c r="CQ97" i="5" s="1"/>
  <c r="CW97" i="5"/>
  <c r="CU97" i="5"/>
  <c r="CV97" i="5"/>
  <c r="E61" i="4"/>
  <c r="E62" i="4" s="1"/>
  <c r="E63" i="4" s="1"/>
  <c r="CP173" i="5"/>
  <c r="CQ173" i="5" s="1"/>
  <c r="CU173" i="5"/>
  <c r="CV173" i="5" s="1"/>
  <c r="CT173" i="5"/>
  <c r="CS173" i="5"/>
  <c r="CY173" i="5"/>
  <c r="CZ173" i="5" s="1"/>
  <c r="CW173" i="5"/>
  <c r="CO211" i="5"/>
  <c r="CR211" i="5"/>
  <c r="CN211" i="5"/>
  <c r="CL57" i="5"/>
  <c r="CM57" i="5" s="1"/>
  <c r="CP203" i="5"/>
  <c r="CQ203" i="5" s="1"/>
  <c r="CY203" i="5"/>
  <c r="CZ203" i="5" s="1"/>
  <c r="CU203" i="5"/>
  <c r="CV203" i="5" s="1"/>
  <c r="CS203" i="5"/>
  <c r="CT203" i="5" s="1"/>
  <c r="CW203" i="5"/>
  <c r="CY303" i="5"/>
  <c r="CZ303" i="5" s="1"/>
  <c r="CW303" i="5"/>
  <c r="CP303" i="5"/>
  <c r="CQ303" i="5" s="1"/>
  <c r="CU303" i="5"/>
  <c r="CV303" i="5"/>
  <c r="CS303" i="5"/>
  <c r="CT303" i="5" s="1"/>
  <c r="CL259" i="5"/>
  <c r="CM259" i="5" s="1"/>
  <c r="CP11" i="5"/>
  <c r="CQ11" i="5" s="1"/>
  <c r="CY11" i="5"/>
  <c r="CZ11" i="5" s="1"/>
  <c r="CW11" i="5"/>
  <c r="CV11" i="5"/>
  <c r="CU11" i="5"/>
  <c r="CS11" i="5"/>
  <c r="CT11" i="5" s="1"/>
  <c r="CU146" i="5"/>
  <c r="CW146" i="5"/>
  <c r="CV146" i="5"/>
  <c r="CS146" i="5"/>
  <c r="CT146" i="5" s="1"/>
  <c r="CP146" i="5"/>
  <c r="CQ146" i="5" s="1"/>
  <c r="CY146" i="5"/>
  <c r="CZ146" i="5" s="1"/>
  <c r="CW186" i="5"/>
  <c r="CY186" i="5"/>
  <c r="CZ186" i="5" s="1"/>
  <c r="CS186" i="5"/>
  <c r="CU186" i="5"/>
  <c r="CV186" i="5" s="1"/>
  <c r="CT186" i="5"/>
  <c r="CP186" i="5"/>
  <c r="CQ186" i="5" s="1"/>
  <c r="CS229" i="5"/>
  <c r="CT229" i="5" s="1"/>
  <c r="CU229" i="5"/>
  <c r="CV229" i="5"/>
  <c r="CP229" i="5"/>
  <c r="CQ229" i="5" s="1"/>
  <c r="CY229" i="5"/>
  <c r="CZ229" i="5" s="1"/>
  <c r="CW229" i="5"/>
  <c r="CY267" i="5"/>
  <c r="CZ267" i="5" s="1"/>
  <c r="CW267" i="5"/>
  <c r="CP267" i="5"/>
  <c r="CQ267" i="5" s="1"/>
  <c r="CS267" i="5"/>
  <c r="CU267" i="5"/>
  <c r="CT267" i="5"/>
  <c r="CV267" i="5"/>
  <c r="H101" i="8" l="1"/>
  <c r="H98" i="8"/>
  <c r="F98" i="8"/>
  <c r="F101" i="8" s="1"/>
  <c r="CW15" i="5"/>
  <c r="CU15" i="5"/>
  <c r="CV15" i="5" s="1"/>
  <c r="CP15" i="5"/>
  <c r="CQ15" i="5" s="1"/>
  <c r="CY15" i="5"/>
  <c r="CZ15" i="5" s="1"/>
  <c r="CS15" i="5"/>
  <c r="CT15" i="5" s="1"/>
  <c r="CU238" i="5"/>
  <c r="CV238" i="5" s="1"/>
  <c r="CT238" i="5"/>
  <c r="CS238" i="5"/>
  <c r="CW238" i="5"/>
  <c r="CY238" i="5"/>
  <c r="CZ238" i="5" s="1"/>
  <c r="CP238" i="5"/>
  <c r="CQ238" i="5" s="1"/>
  <c r="CO180" i="5"/>
  <c r="CN180" i="5"/>
  <c r="CR180" i="5"/>
  <c r="CI8" i="5"/>
  <c r="CJ8" i="5" s="1"/>
  <c r="CK8" i="5"/>
  <c r="CT214" i="5"/>
  <c r="CS214" i="5"/>
  <c r="CY214" i="5"/>
  <c r="CZ214" i="5" s="1"/>
  <c r="CP214" i="5"/>
  <c r="CQ214" i="5" s="1"/>
  <c r="CW214" i="5"/>
  <c r="CU214" i="5"/>
  <c r="CV214" i="5" s="1"/>
  <c r="CR225" i="5"/>
  <c r="CO225" i="5"/>
  <c r="CN225" i="5"/>
  <c r="CS226" i="5"/>
  <c r="CT226" i="5" s="1"/>
  <c r="CU226" i="5"/>
  <c r="CV226" i="5" s="1"/>
  <c r="CY226" i="5"/>
  <c r="CZ226" i="5" s="1"/>
  <c r="CP226" i="5"/>
  <c r="CQ226" i="5" s="1"/>
  <c r="CW226" i="5"/>
  <c r="CR149" i="5"/>
  <c r="CO149" i="5"/>
  <c r="CN149" i="5"/>
  <c r="CW66" i="5"/>
  <c r="CU66" i="5"/>
  <c r="CV66" i="5" s="1"/>
  <c r="CT66" i="5"/>
  <c r="CS66" i="5"/>
  <c r="CP66" i="5"/>
  <c r="CQ66" i="5" s="1"/>
  <c r="CY66" i="5"/>
  <c r="CZ66" i="5" s="1"/>
  <c r="CR217" i="5"/>
  <c r="CO217" i="5"/>
  <c r="CN217" i="5"/>
  <c r="CO286" i="5"/>
  <c r="CR286" i="5"/>
  <c r="CN286" i="5"/>
  <c r="CU155" i="5"/>
  <c r="CV155" i="5" s="1"/>
  <c r="CY155" i="5"/>
  <c r="CZ155" i="5" s="1"/>
  <c r="CS155" i="5"/>
  <c r="CT155" i="5" s="1"/>
  <c r="CW155" i="5"/>
  <c r="CP155" i="5"/>
  <c r="CQ155" i="5" s="1"/>
  <c r="CY258" i="5"/>
  <c r="CZ258" i="5" s="1"/>
  <c r="CW258" i="5"/>
  <c r="CU258" i="5"/>
  <c r="CV258" i="5" s="1"/>
  <c r="CS258" i="5"/>
  <c r="CT258" i="5" s="1"/>
  <c r="CP258" i="5"/>
  <c r="CQ258" i="5" s="1"/>
  <c r="CW24" i="5"/>
  <c r="CU24" i="5"/>
  <c r="CV24" i="5" s="1"/>
  <c r="CS24" i="5"/>
  <c r="CT24" i="5" s="1"/>
  <c r="CP24" i="5"/>
  <c r="CQ24" i="5" s="1"/>
  <c r="CY24" i="5"/>
  <c r="CZ24" i="5" s="1"/>
  <c r="CW69" i="5"/>
  <c r="CU69" i="5"/>
  <c r="CV69" i="5" s="1"/>
  <c r="CP69" i="5"/>
  <c r="CQ69" i="5" s="1"/>
  <c r="CY69" i="5"/>
  <c r="CZ69" i="5" s="1"/>
  <c r="CS69" i="5"/>
  <c r="CT69" i="5" s="1"/>
  <c r="CW60" i="5"/>
  <c r="CU60" i="5"/>
  <c r="CV60" i="5" s="1"/>
  <c r="CY60" i="5"/>
  <c r="CZ60" i="5" s="1"/>
  <c r="CS60" i="5"/>
  <c r="CT60" i="5" s="1"/>
  <c r="CP60" i="5"/>
  <c r="CQ60" i="5" s="1"/>
  <c r="CP211" i="5"/>
  <c r="CQ211" i="5" s="1"/>
  <c r="CW211" i="5"/>
  <c r="CV211" i="5"/>
  <c r="CS211" i="5"/>
  <c r="CT211" i="5" s="1"/>
  <c r="CY211" i="5"/>
  <c r="CZ211" i="5" s="1"/>
  <c r="CU211" i="5"/>
  <c r="CU30" i="5"/>
  <c r="CV30" i="5" s="1"/>
  <c r="CW30" i="5"/>
  <c r="CS30" i="5"/>
  <c r="CT30" i="5" s="1"/>
  <c r="CY30" i="5"/>
  <c r="CZ30" i="5" s="1"/>
  <c r="CP30" i="5"/>
  <c r="CQ30" i="5" s="1"/>
  <c r="CP120" i="5"/>
  <c r="CQ120" i="5" s="1"/>
  <c r="CY120" i="5"/>
  <c r="CZ120" i="5" s="1"/>
  <c r="CW120" i="5"/>
  <c r="CV120" i="5"/>
  <c r="CU120" i="5"/>
  <c r="CS120" i="5"/>
  <c r="CT120" i="5" s="1"/>
  <c r="CY190" i="5"/>
  <c r="CZ190" i="5" s="1"/>
  <c r="CU190" i="5"/>
  <c r="CV190" i="5" s="1"/>
  <c r="CP190" i="5"/>
  <c r="CQ190" i="5" s="1"/>
  <c r="CW190" i="5"/>
  <c r="CS190" i="5"/>
  <c r="CT190" i="5" s="1"/>
  <c r="CN247" i="5"/>
  <c r="CR247" i="5"/>
  <c r="CO247" i="5"/>
  <c r="CW78" i="5"/>
  <c r="CV78" i="5"/>
  <c r="CU78" i="5"/>
  <c r="CY78" i="5"/>
  <c r="CZ78" i="5" s="1"/>
  <c r="CS78" i="5"/>
  <c r="CT78" i="5" s="1"/>
  <c r="CP78" i="5"/>
  <c r="CQ78" i="5" s="1"/>
  <c r="E27" i="4"/>
  <c r="F26" i="4"/>
  <c r="G26" i="4" s="1"/>
  <c r="CS192" i="5"/>
  <c r="CT192" i="5" s="1"/>
  <c r="CP192" i="5"/>
  <c r="CQ192" i="5" s="1"/>
  <c r="CY192" i="5"/>
  <c r="CZ192" i="5" s="1"/>
  <c r="CU192" i="5"/>
  <c r="CV192" i="5" s="1"/>
  <c r="CW192" i="5"/>
  <c r="CW51" i="5"/>
  <c r="CU51" i="5"/>
  <c r="CV51" i="5" s="1"/>
  <c r="CT51" i="5"/>
  <c r="CP51" i="5"/>
  <c r="CQ51" i="5" s="1"/>
  <c r="CY51" i="5"/>
  <c r="CZ51" i="5" s="1"/>
  <c r="CS51" i="5"/>
  <c r="CY285" i="5"/>
  <c r="CZ285" i="5" s="1"/>
  <c r="CW285" i="5"/>
  <c r="CV285" i="5"/>
  <c r="CU285" i="5"/>
  <c r="CS285" i="5"/>
  <c r="CT285" i="5" s="1"/>
  <c r="CP285" i="5"/>
  <c r="CQ285" i="5" s="1"/>
  <c r="F39" i="4"/>
  <c r="F40" i="4" s="1"/>
  <c r="F41" i="4" s="1"/>
  <c r="H39" i="4"/>
  <c r="CY189" i="5"/>
  <c r="CZ189" i="5" s="1"/>
  <c r="CV189" i="5"/>
  <c r="CU189" i="5"/>
  <c r="CT189" i="5"/>
  <c r="CS189" i="5"/>
  <c r="CP189" i="5"/>
  <c r="CQ189" i="5" s="1"/>
  <c r="CW189" i="5"/>
  <c r="CU253" i="5"/>
  <c r="CV253" i="5" s="1"/>
  <c r="CS253" i="5"/>
  <c r="CT253" i="5" s="1"/>
  <c r="CP253" i="5"/>
  <c r="CQ253" i="5" s="1"/>
  <c r="CY253" i="5"/>
  <c r="CZ253" i="5" s="1"/>
  <c r="CW253" i="5"/>
  <c r="CY95" i="5"/>
  <c r="CZ95" i="5" s="1"/>
  <c r="CW95" i="5"/>
  <c r="CU95" i="5"/>
  <c r="CV95" i="5" s="1"/>
  <c r="CP95" i="5"/>
  <c r="CQ95" i="5" s="1"/>
  <c r="CS95" i="5"/>
  <c r="CT95" i="5" s="1"/>
  <c r="CW81" i="5"/>
  <c r="CU81" i="5"/>
  <c r="CV81" i="5" s="1"/>
  <c r="CT81" i="5"/>
  <c r="CP81" i="5"/>
  <c r="CQ81" i="5" s="1"/>
  <c r="CY81" i="5"/>
  <c r="CZ81" i="5" s="1"/>
  <c r="CS81" i="5"/>
  <c r="CO205" i="5"/>
  <c r="CN205" i="5"/>
  <c r="CR205" i="5"/>
  <c r="CO152" i="5"/>
  <c r="CR152" i="5"/>
  <c r="CN152" i="5"/>
  <c r="CI5" i="5"/>
  <c r="CJ5" i="5" s="1"/>
  <c r="CK5" i="5"/>
  <c r="CR101" i="5"/>
  <c r="CO101" i="5"/>
  <c r="CN101" i="5"/>
  <c r="CY246" i="5"/>
  <c r="CZ246" i="5" s="1"/>
  <c r="CW246" i="5"/>
  <c r="CU246" i="5"/>
  <c r="CV246" i="5" s="1"/>
  <c r="CS246" i="5"/>
  <c r="CT246" i="5" s="1"/>
  <c r="CP246" i="5"/>
  <c r="CQ246" i="5" s="1"/>
  <c r="CU131" i="5"/>
  <c r="CV131" i="5" s="1"/>
  <c r="CT131" i="5"/>
  <c r="CY131" i="5"/>
  <c r="CZ131" i="5" s="1"/>
  <c r="CW131" i="5"/>
  <c r="CS131" i="5"/>
  <c r="CP131" i="5"/>
  <c r="CQ131" i="5" s="1"/>
  <c r="CY255" i="5"/>
  <c r="CZ255" i="5" s="1"/>
  <c r="CW255" i="5"/>
  <c r="CP255" i="5"/>
  <c r="CQ255" i="5" s="1"/>
  <c r="CU255" i="5"/>
  <c r="CV255" i="5" s="1"/>
  <c r="CS255" i="5"/>
  <c r="CT255" i="5" s="1"/>
  <c r="CT199" i="5"/>
  <c r="CY199" i="5"/>
  <c r="CZ199" i="5" s="1"/>
  <c r="CS199" i="5"/>
  <c r="CU199" i="5"/>
  <c r="CW199" i="5"/>
  <c r="CP199" i="5"/>
  <c r="CQ199" i="5" s="1"/>
  <c r="CV199" i="5"/>
  <c r="CR140" i="5"/>
  <c r="CO140" i="5"/>
  <c r="CN140" i="5"/>
  <c r="CW90" i="5"/>
  <c r="CV90" i="5"/>
  <c r="CU90" i="5"/>
  <c r="CT90" i="5"/>
  <c r="CP90" i="5"/>
  <c r="CQ90" i="5" s="1"/>
  <c r="CY90" i="5"/>
  <c r="CZ90" i="5" s="1"/>
  <c r="CS90" i="5"/>
  <c r="CU158" i="5"/>
  <c r="CY158" i="5"/>
  <c r="CZ158" i="5" s="1"/>
  <c r="CS158" i="5"/>
  <c r="CT158" i="5" s="1"/>
  <c r="CP158" i="5"/>
  <c r="CQ158" i="5" s="1"/>
  <c r="CW158" i="5"/>
  <c r="CV158" i="5"/>
  <c r="CO116" i="5"/>
  <c r="CR116" i="5"/>
  <c r="CN116" i="5"/>
  <c r="CY133" i="5"/>
  <c r="CZ133" i="5" s="1"/>
  <c r="CV133" i="5"/>
  <c r="CU133" i="5"/>
  <c r="CP133" i="5"/>
  <c r="CQ133" i="5" s="1"/>
  <c r="CS133" i="5"/>
  <c r="CW133" i="5"/>
  <c r="CT133" i="5"/>
  <c r="CP32" i="5"/>
  <c r="CQ32" i="5" s="1"/>
  <c r="CY32" i="5"/>
  <c r="CZ32" i="5" s="1"/>
  <c r="CT32" i="5"/>
  <c r="CS32" i="5"/>
  <c r="CW32" i="5"/>
  <c r="CU32" i="5"/>
  <c r="CV32" i="5" s="1"/>
  <c r="CO213" i="5"/>
  <c r="CR213" i="5"/>
  <c r="CN213" i="5"/>
  <c r="CW54" i="5"/>
  <c r="CU54" i="5"/>
  <c r="CV54" i="5" s="1"/>
  <c r="CT54" i="5"/>
  <c r="CP54" i="5"/>
  <c r="CQ54" i="5" s="1"/>
  <c r="CY54" i="5"/>
  <c r="CZ54" i="5" s="1"/>
  <c r="CS54" i="5"/>
  <c r="M177" i="7"/>
  <c r="P176" i="7"/>
  <c r="D176" i="7"/>
  <c r="G175" i="7"/>
  <c r="J174" i="7"/>
  <c r="M173" i="7"/>
  <c r="P172" i="7"/>
  <c r="D172" i="7"/>
  <c r="G171" i="7"/>
  <c r="J170" i="7"/>
  <c r="M169" i="7"/>
  <c r="P168" i="7"/>
  <c r="D168" i="7"/>
  <c r="G167" i="7"/>
  <c r="J166" i="7"/>
  <c r="M165" i="7"/>
  <c r="P164" i="7"/>
  <c r="D164" i="7"/>
  <c r="G163" i="7"/>
  <c r="J162" i="7"/>
  <c r="M161" i="7"/>
  <c r="P160" i="7"/>
  <c r="D160" i="7"/>
  <c r="G159" i="7"/>
  <c r="J158" i="7"/>
  <c r="M157" i="7"/>
  <c r="P156" i="7"/>
  <c r="D156" i="7"/>
  <c r="G155" i="7"/>
  <c r="J154" i="7"/>
  <c r="M153" i="7"/>
  <c r="P152" i="7"/>
  <c r="D152" i="7"/>
  <c r="G151" i="7"/>
  <c r="J150" i="7"/>
  <c r="M149" i="7"/>
  <c r="P148" i="7"/>
  <c r="D148" i="7"/>
  <c r="G147" i="7"/>
  <c r="J146" i="7"/>
  <c r="M145" i="7"/>
  <c r="P144" i="7"/>
  <c r="D144" i="7"/>
  <c r="G143" i="7"/>
  <c r="J142" i="7"/>
  <c r="M141" i="7"/>
  <c r="P140" i="7"/>
  <c r="D140" i="7"/>
  <c r="G139" i="7"/>
  <c r="J138" i="7"/>
  <c r="M137" i="7"/>
  <c r="P136" i="7"/>
  <c r="D136" i="7"/>
  <c r="G135" i="7"/>
  <c r="J134" i="7"/>
  <c r="M133" i="7"/>
  <c r="P132" i="7"/>
  <c r="D132" i="7"/>
  <c r="G131" i="7"/>
  <c r="J130" i="7"/>
  <c r="M129" i="7"/>
  <c r="P128" i="7"/>
  <c r="D128" i="7"/>
  <c r="G127" i="7"/>
  <c r="J126" i="7"/>
  <c r="M125" i="7"/>
  <c r="L177" i="7"/>
  <c r="C176" i="7"/>
  <c r="F175" i="7"/>
  <c r="I174" i="7"/>
  <c r="L173" i="7"/>
  <c r="C172" i="7"/>
  <c r="F171" i="7"/>
  <c r="I170" i="7"/>
  <c r="L169" i="7"/>
  <c r="C168" i="7"/>
  <c r="F167" i="7"/>
  <c r="I166" i="7"/>
  <c r="L165" i="7"/>
  <c r="C164" i="7"/>
  <c r="F163" i="7"/>
  <c r="I162" i="7"/>
  <c r="L161" i="7"/>
  <c r="C160" i="7"/>
  <c r="F159" i="7"/>
  <c r="I158" i="7"/>
  <c r="L157" i="7"/>
  <c r="C156" i="7"/>
  <c r="F155" i="7"/>
  <c r="I154" i="7"/>
  <c r="L153" i="7"/>
  <c r="C152" i="7"/>
  <c r="F151" i="7"/>
  <c r="I150" i="7"/>
  <c r="L149" i="7"/>
  <c r="C148" i="7"/>
  <c r="F147" i="7"/>
  <c r="I146" i="7"/>
  <c r="L145" i="7"/>
  <c r="C144" i="7"/>
  <c r="F143" i="7"/>
  <c r="I142" i="7"/>
  <c r="L141" i="7"/>
  <c r="C140" i="7"/>
  <c r="F139" i="7"/>
  <c r="I138" i="7"/>
  <c r="L137" i="7"/>
  <c r="C136" i="7"/>
  <c r="F135" i="7"/>
  <c r="I134" i="7"/>
  <c r="L133" i="7"/>
  <c r="C132" i="7"/>
  <c r="F131" i="7"/>
  <c r="I130" i="7"/>
  <c r="L129" i="7"/>
  <c r="C128" i="7"/>
  <c r="F127" i="7"/>
  <c r="I126" i="7"/>
  <c r="L125" i="7"/>
  <c r="C124" i="7"/>
  <c r="F123" i="7"/>
  <c r="Q177" i="7"/>
  <c r="C177" i="7"/>
  <c r="Q175" i="7"/>
  <c r="C175" i="7"/>
  <c r="D174" i="7"/>
  <c r="E173" i="7"/>
  <c r="F172" i="7"/>
  <c r="E171" i="7"/>
  <c r="F170" i="7"/>
  <c r="G169" i="7"/>
  <c r="H168" i="7"/>
  <c r="I167" i="7"/>
  <c r="H166" i="7"/>
  <c r="I165" i="7"/>
  <c r="J164" i="7"/>
  <c r="K163" i="7"/>
  <c r="L162" i="7"/>
  <c r="K161" i="7"/>
  <c r="L160" i="7"/>
  <c r="M159" i="7"/>
  <c r="P154" i="7"/>
  <c r="Q153" i="7"/>
  <c r="C153" i="7"/>
  <c r="Q151" i="7"/>
  <c r="C151" i="7"/>
  <c r="D150" i="7"/>
  <c r="E149" i="7"/>
  <c r="F148" i="7"/>
  <c r="E147" i="7"/>
  <c r="F146" i="7"/>
  <c r="G145" i="7"/>
  <c r="H144" i="7"/>
  <c r="I143" i="7"/>
  <c r="H142" i="7"/>
  <c r="I141" i="7"/>
  <c r="J140" i="7"/>
  <c r="K139" i="7"/>
  <c r="L138" i="7"/>
  <c r="K137" i="7"/>
  <c r="L136" i="7"/>
  <c r="M135" i="7"/>
  <c r="P130" i="7"/>
  <c r="Q129" i="7"/>
  <c r="C129" i="7"/>
  <c r="Q127" i="7"/>
  <c r="C127" i="7"/>
  <c r="D126" i="7"/>
  <c r="E125" i="7"/>
  <c r="G124" i="7"/>
  <c r="I123" i="7"/>
  <c r="K122" i="7"/>
  <c r="Q120" i="7"/>
  <c r="E120" i="7"/>
  <c r="H119" i="7"/>
  <c r="K118" i="7"/>
  <c r="Q116" i="7"/>
  <c r="E116" i="7"/>
  <c r="H115" i="7"/>
  <c r="K114" i="7"/>
  <c r="Q112" i="7"/>
  <c r="E112" i="7"/>
  <c r="H111" i="7"/>
  <c r="K110" i="7"/>
  <c r="Q108" i="7"/>
  <c r="E108" i="7"/>
  <c r="H107" i="7"/>
  <c r="K106" i="7"/>
  <c r="Q104" i="7"/>
  <c r="E104" i="7"/>
  <c r="H103" i="7"/>
  <c r="K102" i="7"/>
  <c r="P177" i="7"/>
  <c r="Q176" i="7"/>
  <c r="P175" i="7"/>
  <c r="Q174" i="7"/>
  <c r="C174" i="7"/>
  <c r="D173" i="7"/>
  <c r="E172" i="7"/>
  <c r="D171" i="7"/>
  <c r="E170" i="7"/>
  <c r="F169" i="7"/>
  <c r="G168" i="7"/>
  <c r="H167" i="7"/>
  <c r="G166" i="7"/>
  <c r="H165" i="7"/>
  <c r="I164" i="7"/>
  <c r="J163" i="7"/>
  <c r="K162" i="7"/>
  <c r="J161" i="7"/>
  <c r="K160" i="7"/>
  <c r="L159" i="7"/>
  <c r="M158" i="7"/>
  <c r="M156" i="7"/>
  <c r="P153" i="7"/>
  <c r="Q152" i="7"/>
  <c r="P151" i="7"/>
  <c r="Q150" i="7"/>
  <c r="C150" i="7"/>
  <c r="D149" i="7"/>
  <c r="E148" i="7"/>
  <c r="D147" i="7"/>
  <c r="E146" i="7"/>
  <c r="F145" i="7"/>
  <c r="G144" i="7"/>
  <c r="H143" i="7"/>
  <c r="G142" i="7"/>
  <c r="H141" i="7"/>
  <c r="I140" i="7"/>
  <c r="J139" i="7"/>
  <c r="K138" i="7"/>
  <c r="J137" i="7"/>
  <c r="K136" i="7"/>
  <c r="L135" i="7"/>
  <c r="M134" i="7"/>
  <c r="M132" i="7"/>
  <c r="P129" i="7"/>
  <c r="Q128" i="7"/>
  <c r="P127" i="7"/>
  <c r="Q126" i="7"/>
  <c r="C126" i="7"/>
  <c r="D125" i="7"/>
  <c r="F124" i="7"/>
  <c r="H123" i="7"/>
  <c r="J122" i="7"/>
  <c r="M121" i="7"/>
  <c r="P120" i="7"/>
  <c r="D120" i="7"/>
  <c r="G119" i="7"/>
  <c r="J118" i="7"/>
  <c r="M117" i="7"/>
  <c r="P116" i="7"/>
  <c r="D116" i="7"/>
  <c r="G115" i="7"/>
  <c r="J114" i="7"/>
  <c r="M113" i="7"/>
  <c r="P112" i="7"/>
  <c r="D112" i="7"/>
  <c r="G111" i="7"/>
  <c r="J110" i="7"/>
  <c r="M109" i="7"/>
  <c r="P108" i="7"/>
  <c r="D108" i="7"/>
  <c r="G107" i="7"/>
  <c r="J106" i="7"/>
  <c r="M105" i="7"/>
  <c r="P104" i="7"/>
  <c r="D104" i="7"/>
  <c r="G103" i="7"/>
  <c r="J102" i="7"/>
  <c r="M101" i="7"/>
  <c r="P100" i="7"/>
  <c r="D100" i="7"/>
  <c r="G99" i="7"/>
  <c r="J98" i="7"/>
  <c r="M97" i="7"/>
  <c r="P96" i="7"/>
  <c r="D96" i="7"/>
  <c r="G95" i="7"/>
  <c r="J94" i="7"/>
  <c r="M93" i="7"/>
  <c r="P92" i="7"/>
  <c r="D92" i="7"/>
  <c r="G91" i="7"/>
  <c r="J90" i="7"/>
  <c r="M89" i="7"/>
  <c r="P88" i="7"/>
  <c r="D88" i="7"/>
  <c r="G87" i="7"/>
  <c r="J86" i="7"/>
  <c r="M85" i="7"/>
  <c r="P84" i="7"/>
  <c r="D84" i="7"/>
  <c r="G83" i="7"/>
  <c r="J82" i="7"/>
  <c r="M81" i="7"/>
  <c r="P80" i="7"/>
  <c r="D80" i="7"/>
  <c r="G79" i="7"/>
  <c r="J78" i="7"/>
  <c r="M77" i="7"/>
  <c r="P76" i="7"/>
  <c r="D76" i="7"/>
  <c r="G75" i="7"/>
  <c r="J74" i="7"/>
  <c r="M73" i="7"/>
  <c r="P72" i="7"/>
  <c r="D72" i="7"/>
  <c r="G71" i="7"/>
  <c r="J70" i="7"/>
  <c r="M69" i="7"/>
  <c r="P68" i="7"/>
  <c r="D68" i="7"/>
  <c r="G67" i="7"/>
  <c r="J66" i="7"/>
  <c r="M65" i="7"/>
  <c r="P64" i="7"/>
  <c r="D64" i="7"/>
  <c r="G63" i="7"/>
  <c r="J62" i="7"/>
  <c r="M61" i="7"/>
  <c r="P60" i="7"/>
  <c r="D60" i="7"/>
  <c r="G59" i="7"/>
  <c r="J58" i="7"/>
  <c r="M57" i="7"/>
  <c r="P56" i="7"/>
  <c r="D56" i="7"/>
  <c r="G55" i="7"/>
  <c r="J54" i="7"/>
  <c r="M53" i="7"/>
  <c r="P52" i="7"/>
  <c r="D52" i="7"/>
  <c r="G51" i="7"/>
  <c r="J50" i="7"/>
  <c r="M49" i="7"/>
  <c r="P48" i="7"/>
  <c r="D48" i="7"/>
  <c r="G47" i="7"/>
  <c r="J46" i="7"/>
  <c r="M45" i="7"/>
  <c r="P44" i="7"/>
  <c r="D44" i="7"/>
  <c r="G43" i="7"/>
  <c r="J42" i="7"/>
  <c r="M41" i="7"/>
  <c r="P40" i="7"/>
  <c r="D40" i="7"/>
  <c r="G39" i="7"/>
  <c r="J38" i="7"/>
  <c r="M37" i="7"/>
  <c r="P36" i="7"/>
  <c r="D36" i="7"/>
  <c r="G35" i="7"/>
  <c r="J34" i="7"/>
  <c r="M33" i="7"/>
  <c r="P32" i="7"/>
  <c r="D32" i="7"/>
  <c r="G31" i="7"/>
  <c r="J30" i="7"/>
  <c r="M29" i="7"/>
  <c r="P28" i="7"/>
  <c r="D28" i="7"/>
  <c r="P174" i="7"/>
  <c r="Q173" i="7"/>
  <c r="C173" i="7"/>
  <c r="Q171" i="7"/>
  <c r="C171" i="7"/>
  <c r="D170" i="7"/>
  <c r="E169" i="7"/>
  <c r="F168" i="7"/>
  <c r="E167" i="7"/>
  <c r="F166" i="7"/>
  <c r="G165" i="7"/>
  <c r="H164" i="7"/>
  <c r="I163" i="7"/>
  <c r="H162" i="7"/>
  <c r="I161" i="7"/>
  <c r="J160" i="7"/>
  <c r="K159" i="7"/>
  <c r="L158" i="7"/>
  <c r="K157" i="7"/>
  <c r="L156" i="7"/>
  <c r="M155" i="7"/>
  <c r="P150" i="7"/>
  <c r="Q149" i="7"/>
  <c r="C149" i="7"/>
  <c r="Q147" i="7"/>
  <c r="C147" i="7"/>
  <c r="D146" i="7"/>
  <c r="E145" i="7"/>
  <c r="F144" i="7"/>
  <c r="E143" i="7"/>
  <c r="F142" i="7"/>
  <c r="G141" i="7"/>
  <c r="H140" i="7"/>
  <c r="I139" i="7"/>
  <c r="H138" i="7"/>
  <c r="I137" i="7"/>
  <c r="J136" i="7"/>
  <c r="K135" i="7"/>
  <c r="L134" i="7"/>
  <c r="K133" i="7"/>
  <c r="L132" i="7"/>
  <c r="M131" i="7"/>
  <c r="P126" i="7"/>
  <c r="Q125" i="7"/>
  <c r="C125" i="7"/>
  <c r="E124" i="7"/>
  <c r="G123" i="7"/>
  <c r="I122" i="7"/>
  <c r="L121" i="7"/>
  <c r="C120" i="7"/>
  <c r="F119" i="7"/>
  <c r="I118" i="7"/>
  <c r="L117" i="7"/>
  <c r="C116" i="7"/>
  <c r="F115" i="7"/>
  <c r="I114" i="7"/>
  <c r="L113" i="7"/>
  <c r="C112" i="7"/>
  <c r="F111" i="7"/>
  <c r="I110" i="7"/>
  <c r="L109" i="7"/>
  <c r="C108" i="7"/>
  <c r="F107" i="7"/>
  <c r="I106" i="7"/>
  <c r="L105" i="7"/>
  <c r="C104" i="7"/>
  <c r="F103" i="7"/>
  <c r="I102" i="7"/>
  <c r="L101" i="7"/>
  <c r="C100" i="7"/>
  <c r="F99" i="7"/>
  <c r="I98" i="7"/>
  <c r="L97" i="7"/>
  <c r="C96" i="7"/>
  <c r="F95" i="7"/>
  <c r="I94" i="7"/>
  <c r="L93" i="7"/>
  <c r="C92" i="7"/>
  <c r="F91" i="7"/>
  <c r="I90" i="7"/>
  <c r="L89" i="7"/>
  <c r="C88" i="7"/>
  <c r="F87" i="7"/>
  <c r="I86" i="7"/>
  <c r="L85" i="7"/>
  <c r="C84" i="7"/>
  <c r="F83" i="7"/>
  <c r="I82" i="7"/>
  <c r="L81" i="7"/>
  <c r="C80" i="7"/>
  <c r="F79" i="7"/>
  <c r="I78" i="7"/>
  <c r="L77" i="7"/>
  <c r="C76" i="7"/>
  <c r="F75" i="7"/>
  <c r="I74" i="7"/>
  <c r="L73" i="7"/>
  <c r="C72" i="7"/>
  <c r="F71" i="7"/>
  <c r="I70" i="7"/>
  <c r="L69" i="7"/>
  <c r="C68" i="7"/>
  <c r="F67" i="7"/>
  <c r="I66" i="7"/>
  <c r="L65" i="7"/>
  <c r="C64" i="7"/>
  <c r="F63" i="7"/>
  <c r="I62" i="7"/>
  <c r="L61" i="7"/>
  <c r="C60" i="7"/>
  <c r="F59" i="7"/>
  <c r="I58" i="7"/>
  <c r="L57" i="7"/>
  <c r="C56" i="7"/>
  <c r="F55" i="7"/>
  <c r="I54" i="7"/>
  <c r="L53" i="7"/>
  <c r="C52" i="7"/>
  <c r="F51" i="7"/>
  <c r="I50" i="7"/>
  <c r="L49" i="7"/>
  <c r="C48" i="7"/>
  <c r="F47" i="7"/>
  <c r="I46" i="7"/>
  <c r="L45" i="7"/>
  <c r="C44" i="7"/>
  <c r="F43" i="7"/>
  <c r="I42" i="7"/>
  <c r="L41" i="7"/>
  <c r="C40" i="7"/>
  <c r="F39" i="7"/>
  <c r="I38" i="7"/>
  <c r="L37" i="7"/>
  <c r="C36" i="7"/>
  <c r="F35" i="7"/>
  <c r="I34" i="7"/>
  <c r="L33" i="7"/>
  <c r="C32" i="7"/>
  <c r="F31" i="7"/>
  <c r="L29" i="7"/>
  <c r="C28" i="7"/>
  <c r="I177" i="7"/>
  <c r="G176" i="7"/>
  <c r="K173" i="7"/>
  <c r="I172" i="7"/>
  <c r="Q170" i="7"/>
  <c r="K168" i="7"/>
  <c r="D167" i="7"/>
  <c r="Q165" i="7"/>
  <c r="M164" i="7"/>
  <c r="H163" i="7"/>
  <c r="D162" i="7"/>
  <c r="Q160" i="7"/>
  <c r="J159" i="7"/>
  <c r="F158" i="7"/>
  <c r="D157" i="7"/>
  <c r="L155" i="7"/>
  <c r="H154" i="7"/>
  <c r="F153" i="7"/>
  <c r="L150" i="7"/>
  <c r="H149" i="7"/>
  <c r="P147" i="7"/>
  <c r="J145" i="7"/>
  <c r="E144" i="7"/>
  <c r="P142" i="7"/>
  <c r="G140" i="7"/>
  <c r="C139" i="7"/>
  <c r="P137" i="7"/>
  <c r="I136" i="7"/>
  <c r="E135" i="7"/>
  <c r="C134" i="7"/>
  <c r="K132" i="7"/>
  <c r="I131" i="7"/>
  <c r="E130" i="7"/>
  <c r="M128" i="7"/>
  <c r="K127" i="7"/>
  <c r="G126" i="7"/>
  <c r="Q124" i="7"/>
  <c r="K121" i="7"/>
  <c r="K120" i="7"/>
  <c r="K119" i="7"/>
  <c r="H118" i="7"/>
  <c r="H117" i="7"/>
  <c r="H116" i="7"/>
  <c r="E115" i="7"/>
  <c r="E114" i="7"/>
  <c r="E113" i="7"/>
  <c r="Q111" i="7"/>
  <c r="Q110" i="7"/>
  <c r="Q109" i="7"/>
  <c r="K105" i="7"/>
  <c r="K104" i="7"/>
  <c r="K103" i="7"/>
  <c r="H102" i="7"/>
  <c r="I101" i="7"/>
  <c r="J100" i="7"/>
  <c r="K99" i="7"/>
  <c r="L98" i="7"/>
  <c r="K97" i="7"/>
  <c r="L96" i="7"/>
  <c r="M95" i="7"/>
  <c r="P90" i="7"/>
  <c r="Q89" i="7"/>
  <c r="C89" i="7"/>
  <c r="Q87" i="7"/>
  <c r="C87" i="7"/>
  <c r="D86" i="7"/>
  <c r="E85" i="7"/>
  <c r="F84" i="7"/>
  <c r="E83" i="7"/>
  <c r="F82" i="7"/>
  <c r="G81" i="7"/>
  <c r="H80" i="7"/>
  <c r="I79" i="7"/>
  <c r="H78" i="7"/>
  <c r="I77" i="7"/>
  <c r="J76" i="7"/>
  <c r="K75" i="7"/>
  <c r="L74" i="7"/>
  <c r="K73" i="7"/>
  <c r="L72" i="7"/>
  <c r="M71" i="7"/>
  <c r="P66" i="7"/>
  <c r="Q65" i="7"/>
  <c r="C65" i="7"/>
  <c r="Q63" i="7"/>
  <c r="C63" i="7"/>
  <c r="D62" i="7"/>
  <c r="E61" i="7"/>
  <c r="F60" i="7"/>
  <c r="E59" i="7"/>
  <c r="F58" i="7"/>
  <c r="G57" i="7"/>
  <c r="H56" i="7"/>
  <c r="I55" i="7"/>
  <c r="H54" i="7"/>
  <c r="I53" i="7"/>
  <c r="J52" i="7"/>
  <c r="K51" i="7"/>
  <c r="L50" i="7"/>
  <c r="K49" i="7"/>
  <c r="L48" i="7"/>
  <c r="M47" i="7"/>
  <c r="P42" i="7"/>
  <c r="Q41" i="7"/>
  <c r="C41" i="7"/>
  <c r="Q39" i="7"/>
  <c r="C39" i="7"/>
  <c r="D38" i="7"/>
  <c r="E37" i="7"/>
  <c r="F36" i="7"/>
  <c r="E35" i="7"/>
  <c r="F34" i="7"/>
  <c r="G33" i="7"/>
  <c r="H32" i="7"/>
  <c r="I31" i="7"/>
  <c r="J28" i="7"/>
  <c r="H177" i="7"/>
  <c r="F176" i="7"/>
  <c r="J173" i="7"/>
  <c r="H172" i="7"/>
  <c r="P170" i="7"/>
  <c r="J168" i="7"/>
  <c r="C167" i="7"/>
  <c r="P165" i="7"/>
  <c r="L164" i="7"/>
  <c r="E163" i="7"/>
  <c r="C162" i="7"/>
  <c r="I159" i="7"/>
  <c r="E158" i="7"/>
  <c r="C157" i="7"/>
  <c r="K155" i="7"/>
  <c r="G154" i="7"/>
  <c r="E153" i="7"/>
  <c r="M151" i="7"/>
  <c r="K150" i="7"/>
  <c r="G149" i="7"/>
  <c r="M146" i="7"/>
  <c r="I145" i="7"/>
  <c r="Q143" i="7"/>
  <c r="K141" i="7"/>
  <c r="F140" i="7"/>
  <c r="Q138" i="7"/>
  <c r="H136" i="7"/>
  <c r="D135" i="7"/>
  <c r="Q133" i="7"/>
  <c r="J132" i="7"/>
  <c r="H131" i="7"/>
  <c r="D130" i="7"/>
  <c r="L128" i="7"/>
  <c r="J127" i="7"/>
  <c r="F126" i="7"/>
  <c r="P124" i="7"/>
  <c r="M122" i="7"/>
  <c r="J121" i="7"/>
  <c r="J120" i="7"/>
  <c r="J119" i="7"/>
  <c r="G118" i="7"/>
  <c r="G117" i="7"/>
  <c r="G116" i="7"/>
  <c r="D115" i="7"/>
  <c r="D114" i="7"/>
  <c r="D113" i="7"/>
  <c r="P111" i="7"/>
  <c r="P110" i="7"/>
  <c r="P109" i="7"/>
  <c r="M108" i="7"/>
  <c r="M107" i="7"/>
  <c r="M106" i="7"/>
  <c r="J105" i="7"/>
  <c r="J104" i="7"/>
  <c r="J103" i="7"/>
  <c r="G102" i="7"/>
  <c r="H101" i="7"/>
  <c r="I100" i="7"/>
  <c r="J99" i="7"/>
  <c r="K98" i="7"/>
  <c r="J97" i="7"/>
  <c r="K96" i="7"/>
  <c r="L95" i="7"/>
  <c r="M94" i="7"/>
  <c r="M92" i="7"/>
  <c r="P89" i="7"/>
  <c r="Q88" i="7"/>
  <c r="P87" i="7"/>
  <c r="Q86" i="7"/>
  <c r="C86" i="7"/>
  <c r="D85" i="7"/>
  <c r="E84" i="7"/>
  <c r="D83" i="7"/>
  <c r="E82" i="7"/>
  <c r="F81" i="7"/>
  <c r="G80" i="7"/>
  <c r="H79" i="7"/>
  <c r="G78" i="7"/>
  <c r="H77" i="7"/>
  <c r="I76" i="7"/>
  <c r="J75" i="7"/>
  <c r="K74" i="7"/>
  <c r="J73" i="7"/>
  <c r="K72" i="7"/>
  <c r="L71" i="7"/>
  <c r="M70" i="7"/>
  <c r="M68" i="7"/>
  <c r="P65" i="7"/>
  <c r="Q64" i="7"/>
  <c r="P63" i="7"/>
  <c r="Q62" i="7"/>
  <c r="C62" i="7"/>
  <c r="D61" i="7"/>
  <c r="E60" i="7"/>
  <c r="D59" i="7"/>
  <c r="E58" i="7"/>
  <c r="F57" i="7"/>
  <c r="G56" i="7"/>
  <c r="H55" i="7"/>
  <c r="G54" i="7"/>
  <c r="H53" i="7"/>
  <c r="I52" i="7"/>
  <c r="J51" i="7"/>
  <c r="K50" i="7"/>
  <c r="J49" i="7"/>
  <c r="K48" i="7"/>
  <c r="L47" i="7"/>
  <c r="M46" i="7"/>
  <c r="M44" i="7"/>
  <c r="P41" i="7"/>
  <c r="Q40" i="7"/>
  <c r="P39" i="7"/>
  <c r="Q38" i="7"/>
  <c r="C38" i="7"/>
  <c r="D37" i="7"/>
  <c r="E36" i="7"/>
  <c r="D35" i="7"/>
  <c r="E34" i="7"/>
  <c r="F33" i="7"/>
  <c r="G32" i="7"/>
  <c r="H31" i="7"/>
  <c r="G30" i="7"/>
  <c r="G177" i="7"/>
  <c r="E176" i="7"/>
  <c r="M174" i="7"/>
  <c r="I173" i="7"/>
  <c r="G172" i="7"/>
  <c r="K169" i="7"/>
  <c r="I168" i="7"/>
  <c r="Q166" i="7"/>
  <c r="K164" i="7"/>
  <c r="D163" i="7"/>
  <c r="Q161" i="7"/>
  <c r="M160" i="7"/>
  <c r="H159" i="7"/>
  <c r="D158" i="7"/>
  <c r="Q156" i="7"/>
  <c r="J155" i="7"/>
  <c r="F154" i="7"/>
  <c r="D153" i="7"/>
  <c r="L151" i="7"/>
  <c r="H150" i="7"/>
  <c r="F149" i="7"/>
  <c r="L146" i="7"/>
  <c r="H145" i="7"/>
  <c r="P143" i="7"/>
  <c r="J141" i="7"/>
  <c r="E140" i="7"/>
  <c r="P138" i="7"/>
  <c r="G136" i="7"/>
  <c r="C135" i="7"/>
  <c r="P133" i="7"/>
  <c r="I132" i="7"/>
  <c r="E131" i="7"/>
  <c r="C130" i="7"/>
  <c r="K128" i="7"/>
  <c r="I127" i="7"/>
  <c r="E126" i="7"/>
  <c r="M123" i="7"/>
  <c r="L122" i="7"/>
  <c r="I121" i="7"/>
  <c r="I120" i="7"/>
  <c r="I119" i="7"/>
  <c r="F118" i="7"/>
  <c r="F117" i="7"/>
  <c r="F116" i="7"/>
  <c r="C115" i="7"/>
  <c r="C114" i="7"/>
  <c r="C113" i="7"/>
  <c r="L108" i="7"/>
  <c r="L107" i="7"/>
  <c r="L106" i="7"/>
  <c r="I105" i="7"/>
  <c r="I104" i="7"/>
  <c r="I103" i="7"/>
  <c r="F102" i="7"/>
  <c r="G101" i="7"/>
  <c r="H100" i="7"/>
  <c r="I99" i="7"/>
  <c r="H98" i="7"/>
  <c r="I97" i="7"/>
  <c r="J96" i="7"/>
  <c r="K95" i="7"/>
  <c r="L94" i="7"/>
  <c r="K93" i="7"/>
  <c r="L92" i="7"/>
  <c r="M91" i="7"/>
  <c r="P86" i="7"/>
  <c r="Q85" i="7"/>
  <c r="C85" i="7"/>
  <c r="Q83" i="7"/>
  <c r="C83" i="7"/>
  <c r="D82" i="7"/>
  <c r="E81" i="7"/>
  <c r="F80" i="7"/>
  <c r="E79" i="7"/>
  <c r="F78" i="7"/>
  <c r="G77" i="7"/>
  <c r="H76" i="7"/>
  <c r="I75" i="7"/>
  <c r="H74" i="7"/>
  <c r="I73" i="7"/>
  <c r="J72" i="7"/>
  <c r="K71" i="7"/>
  <c r="L70" i="7"/>
  <c r="K69" i="7"/>
  <c r="L68" i="7"/>
  <c r="M67" i="7"/>
  <c r="P62" i="7"/>
  <c r="Q61" i="7"/>
  <c r="C61" i="7"/>
  <c r="Q59" i="7"/>
  <c r="C59" i="7"/>
  <c r="D58" i="7"/>
  <c r="E57" i="7"/>
  <c r="F56" i="7"/>
  <c r="E55" i="7"/>
  <c r="F54" i="7"/>
  <c r="G53" i="7"/>
  <c r="H52" i="7"/>
  <c r="I51" i="7"/>
  <c r="H50" i="7"/>
  <c r="I49" i="7"/>
  <c r="J48" i="7"/>
  <c r="K47" i="7"/>
  <c r="L46" i="7"/>
  <c r="K45" i="7"/>
  <c r="L44" i="7"/>
  <c r="M43" i="7"/>
  <c r="P38" i="7"/>
  <c r="Q37" i="7"/>
  <c r="C37" i="7"/>
  <c r="Q35" i="7"/>
  <c r="C35" i="7"/>
  <c r="D34" i="7"/>
  <c r="E33" i="7"/>
  <c r="F32" i="7"/>
  <c r="E31" i="7"/>
  <c r="F30" i="7"/>
  <c r="G29" i="7"/>
  <c r="E177" i="7"/>
  <c r="J175" i="7"/>
  <c r="H170" i="7"/>
  <c r="M168" i="7"/>
  <c r="E165" i="7"/>
  <c r="M163" i="7"/>
  <c r="E160" i="7"/>
  <c r="H158" i="7"/>
  <c r="J156" i="7"/>
  <c r="C155" i="7"/>
  <c r="H153" i="7"/>
  <c r="J151" i="7"/>
  <c r="H148" i="7"/>
  <c r="H146" i="7"/>
  <c r="M144" i="7"/>
  <c r="C143" i="7"/>
  <c r="E141" i="7"/>
  <c r="M139" i="7"/>
  <c r="C138" i="7"/>
  <c r="E136" i="7"/>
  <c r="H134" i="7"/>
  <c r="C133" i="7"/>
  <c r="C131" i="7"/>
  <c r="H129" i="7"/>
  <c r="M127" i="7"/>
  <c r="I124" i="7"/>
  <c r="P122" i="7"/>
  <c r="G121" i="7"/>
  <c r="P119" i="7"/>
  <c r="M118" i="7"/>
  <c r="D117" i="7"/>
  <c r="M115" i="7"/>
  <c r="G114" i="7"/>
  <c r="M112" i="7"/>
  <c r="J111" i="7"/>
  <c r="D110" i="7"/>
  <c r="J108" i="7"/>
  <c r="D107" i="7"/>
  <c r="P105" i="7"/>
  <c r="G104" i="7"/>
  <c r="P102" i="7"/>
  <c r="K101" i="7"/>
  <c r="F100" i="7"/>
  <c r="Q98" i="7"/>
  <c r="H96" i="7"/>
  <c r="D95" i="7"/>
  <c r="Q93" i="7"/>
  <c r="J92" i="7"/>
  <c r="H91" i="7"/>
  <c r="D90" i="7"/>
  <c r="L88" i="7"/>
  <c r="J87" i="7"/>
  <c r="F86" i="7"/>
  <c r="L83" i="7"/>
  <c r="H82" i="7"/>
  <c r="C81" i="7"/>
  <c r="L78" i="7"/>
  <c r="E77" i="7"/>
  <c r="P75" i="7"/>
  <c r="G73" i="7"/>
  <c r="E72" i="7"/>
  <c r="P70" i="7"/>
  <c r="I69" i="7"/>
  <c r="G68" i="7"/>
  <c r="C67" i="7"/>
  <c r="K65" i="7"/>
  <c r="I64" i="7"/>
  <c r="E63" i="7"/>
  <c r="K60" i="7"/>
  <c r="I59" i="7"/>
  <c r="Q57" i="7"/>
  <c r="M56" i="7"/>
  <c r="K55" i="7"/>
  <c r="D54" i="7"/>
  <c r="Q52" i="7"/>
  <c r="M51" i="7"/>
  <c r="F50" i="7"/>
  <c r="D49" i="7"/>
  <c r="H46" i="7"/>
  <c r="F45" i="7"/>
  <c r="Q43" i="7"/>
  <c r="L42" i="7"/>
  <c r="H41" i="7"/>
  <c r="F40" i="7"/>
  <c r="J37" i="7"/>
  <c r="H36" i="7"/>
  <c r="P34" i="7"/>
  <c r="J32" i="7"/>
  <c r="C31" i="7"/>
  <c r="P29" i="7"/>
  <c r="L28" i="7"/>
  <c r="D177" i="7"/>
  <c r="I175" i="7"/>
  <c r="G170" i="7"/>
  <c r="L168" i="7"/>
  <c r="D165" i="7"/>
  <c r="L163" i="7"/>
  <c r="Q159" i="7"/>
  <c r="G158" i="7"/>
  <c r="I156" i="7"/>
  <c r="Q154" i="7"/>
  <c r="G153" i="7"/>
  <c r="I151" i="7"/>
  <c r="G148" i="7"/>
  <c r="G146" i="7"/>
  <c r="L144" i="7"/>
  <c r="Q142" i="7"/>
  <c r="D141" i="7"/>
  <c r="L139" i="7"/>
  <c r="Q137" i="7"/>
  <c r="Q135" i="7"/>
  <c r="G134" i="7"/>
  <c r="Q132" i="7"/>
  <c r="Q130" i="7"/>
  <c r="G129" i="7"/>
  <c r="L127" i="7"/>
  <c r="H124" i="7"/>
  <c r="F121" i="7"/>
  <c r="L118" i="7"/>
  <c r="C117" i="7"/>
  <c r="L115" i="7"/>
  <c r="F114" i="7"/>
  <c r="L112" i="7"/>
  <c r="I111" i="7"/>
  <c r="C110" i="7"/>
  <c r="I108" i="7"/>
  <c r="C107" i="7"/>
  <c r="F104" i="7"/>
  <c r="J101" i="7"/>
  <c r="E100" i="7"/>
  <c r="P98" i="7"/>
  <c r="G96" i="7"/>
  <c r="C95" i="7"/>
  <c r="P93" i="7"/>
  <c r="I92" i="7"/>
  <c r="E91" i="7"/>
  <c r="C90" i="7"/>
  <c r="K88" i="7"/>
  <c r="I87" i="7"/>
  <c r="E86" i="7"/>
  <c r="M84" i="7"/>
  <c r="K83" i="7"/>
  <c r="G82" i="7"/>
  <c r="Q80" i="7"/>
  <c r="M79" i="7"/>
  <c r="K78" i="7"/>
  <c r="D77" i="7"/>
  <c r="M74" i="7"/>
  <c r="F73" i="7"/>
  <c r="Q71" i="7"/>
  <c r="H69" i="7"/>
  <c r="F68" i="7"/>
  <c r="Q66" i="7"/>
  <c r="J65" i="7"/>
  <c r="H64" i="7"/>
  <c r="D63" i="7"/>
  <c r="J60" i="7"/>
  <c r="H59" i="7"/>
  <c r="P57" i="7"/>
  <c r="L56" i="7"/>
  <c r="J55" i="7"/>
  <c r="C54" i="7"/>
  <c r="L51" i="7"/>
  <c r="E50" i="7"/>
  <c r="C49" i="7"/>
  <c r="G46" i="7"/>
  <c r="E45" i="7"/>
  <c r="P43" i="7"/>
  <c r="K42" i="7"/>
  <c r="G41" i="7"/>
  <c r="E40" i="7"/>
  <c r="M38" i="7"/>
  <c r="I37" i="7"/>
  <c r="G36" i="7"/>
  <c r="K33" i="7"/>
  <c r="I32" i="7"/>
  <c r="Q30" i="7"/>
  <c r="K28" i="7"/>
  <c r="G174" i="7"/>
  <c r="L172" i="7"/>
  <c r="D169" i="7"/>
  <c r="L167" i="7"/>
  <c r="Q163" i="7"/>
  <c r="G162" i="7"/>
  <c r="I160" i="7"/>
  <c r="Q158" i="7"/>
  <c r="G157" i="7"/>
  <c r="I155" i="7"/>
  <c r="G152" i="7"/>
  <c r="G150" i="7"/>
  <c r="L148" i="7"/>
  <c r="Q146" i="7"/>
  <c r="D145" i="7"/>
  <c r="L143" i="7"/>
  <c r="Q141" i="7"/>
  <c r="Q139" i="7"/>
  <c r="G138" i="7"/>
  <c r="Q136" i="7"/>
  <c r="Q134" i="7"/>
  <c r="G133" i="7"/>
  <c r="L131" i="7"/>
  <c r="G128" i="7"/>
  <c r="L126" i="7"/>
  <c r="M124" i="7"/>
  <c r="E123" i="7"/>
  <c r="Q121" i="7"/>
  <c r="H120" i="7"/>
  <c r="Q118" i="7"/>
  <c r="K117" i="7"/>
  <c r="Q115" i="7"/>
  <c r="H113" i="7"/>
  <c r="H110" i="7"/>
  <c r="E109" i="7"/>
  <c r="K107" i="7"/>
  <c r="E106" i="7"/>
  <c r="E103" i="7"/>
  <c r="Q101" i="7"/>
  <c r="M100" i="7"/>
  <c r="H99" i="7"/>
  <c r="D98" i="7"/>
  <c r="Q96" i="7"/>
  <c r="J95" i="7"/>
  <c r="F94" i="7"/>
  <c r="D93" i="7"/>
  <c r="L91" i="7"/>
  <c r="H90" i="7"/>
  <c r="F89" i="7"/>
  <c r="L86" i="7"/>
  <c r="H85" i="7"/>
  <c r="P83" i="7"/>
  <c r="J81" i="7"/>
  <c r="E80" i="7"/>
  <c r="P78" i="7"/>
  <c r="G76" i="7"/>
  <c r="C75" i="7"/>
  <c r="P73" i="7"/>
  <c r="I72" i="7"/>
  <c r="E71" i="7"/>
  <c r="C70" i="7"/>
  <c r="K68" i="7"/>
  <c r="I67" i="7"/>
  <c r="E66" i="7"/>
  <c r="M64" i="7"/>
  <c r="K63" i="7"/>
  <c r="G62" i="7"/>
  <c r="Q60" i="7"/>
  <c r="M59" i="7"/>
  <c r="K58" i="7"/>
  <c r="D57" i="7"/>
  <c r="M54" i="7"/>
  <c r="F53" i="7"/>
  <c r="Q51" i="7"/>
  <c r="H49" i="7"/>
  <c r="F48" i="7"/>
  <c r="Q46" i="7"/>
  <c r="J45" i="7"/>
  <c r="H44" i="7"/>
  <c r="D43" i="7"/>
  <c r="J40" i="7"/>
  <c r="H39" i="7"/>
  <c r="P37" i="7"/>
  <c r="L36" i="7"/>
  <c r="J35" i="7"/>
  <c r="C34" i="7"/>
  <c r="L31" i="7"/>
  <c r="E30" i="7"/>
  <c r="C29" i="7"/>
  <c r="L176" i="7"/>
  <c r="K174" i="7"/>
  <c r="J172" i="7"/>
  <c r="Q169" i="7"/>
  <c r="J165" i="7"/>
  <c r="Q162" i="7"/>
  <c r="D161" i="7"/>
  <c r="G156" i="7"/>
  <c r="D154" i="7"/>
  <c r="E152" i="7"/>
  <c r="J149" i="7"/>
  <c r="I147" i="7"/>
  <c r="Q144" i="7"/>
  <c r="L142" i="7"/>
  <c r="L140" i="7"/>
  <c r="E138" i="7"/>
  <c r="I133" i="7"/>
  <c r="J131" i="7"/>
  <c r="E129" i="7"/>
  <c r="K124" i="7"/>
  <c r="G122" i="7"/>
  <c r="M120" i="7"/>
  <c r="M116" i="7"/>
  <c r="P114" i="7"/>
  <c r="F113" i="7"/>
  <c r="D111" i="7"/>
  <c r="G109" i="7"/>
  <c r="I107" i="7"/>
  <c r="G105" i="7"/>
  <c r="M103" i="7"/>
  <c r="P99" i="7"/>
  <c r="F98" i="7"/>
  <c r="M96" i="7"/>
  <c r="P94" i="7"/>
  <c r="F93" i="7"/>
  <c r="J91" i="7"/>
  <c r="K89" i="7"/>
  <c r="F88" i="7"/>
  <c r="H86" i="7"/>
  <c r="K84" i="7"/>
  <c r="P82" i="7"/>
  <c r="H81" i="7"/>
  <c r="K79" i="7"/>
  <c r="P77" i="7"/>
  <c r="E76" i="7"/>
  <c r="F74" i="7"/>
  <c r="C71" i="7"/>
  <c r="F69" i="7"/>
  <c r="K67" i="7"/>
  <c r="C66" i="7"/>
  <c r="F64" i="7"/>
  <c r="K62" i="7"/>
  <c r="M60" i="7"/>
  <c r="P58" i="7"/>
  <c r="I57" i="7"/>
  <c r="M55" i="7"/>
  <c r="P53" i="7"/>
  <c r="F52" i="7"/>
  <c r="M50" i="7"/>
  <c r="D47" i="7"/>
  <c r="H45" i="7"/>
  <c r="K43" i="7"/>
  <c r="D42" i="7"/>
  <c r="H40" i="7"/>
  <c r="I176" i="7"/>
  <c r="E174" i="7"/>
  <c r="L171" i="7"/>
  <c r="I169" i="7"/>
  <c r="J167" i="7"/>
  <c r="Q164" i="7"/>
  <c r="G160" i="7"/>
  <c r="Q157" i="7"/>
  <c r="Q155" i="7"/>
  <c r="J153" i="7"/>
  <c r="E151" i="7"/>
  <c r="J144" i="7"/>
  <c r="D142" i="7"/>
  <c r="G137" i="7"/>
  <c r="I135" i="7"/>
  <c r="E133" i="7"/>
  <c r="L130" i="7"/>
  <c r="I128" i="7"/>
  <c r="H126" i="7"/>
  <c r="Q123" i="7"/>
  <c r="D122" i="7"/>
  <c r="F120" i="7"/>
  <c r="D118" i="7"/>
  <c r="J116" i="7"/>
  <c r="L114" i="7"/>
  <c r="J112" i="7"/>
  <c r="M110" i="7"/>
  <c r="C109" i="7"/>
  <c r="P106" i="7"/>
  <c r="D105" i="7"/>
  <c r="C103" i="7"/>
  <c r="E101" i="7"/>
  <c r="M99" i="7"/>
  <c r="Q97" i="7"/>
  <c r="E96" i="7"/>
  <c r="H94" i="7"/>
  <c r="Q92" i="7"/>
  <c r="C91" i="7"/>
  <c r="H89" i="7"/>
  <c r="L87" i="7"/>
  <c r="H84" i="7"/>
  <c r="L82" i="7"/>
  <c r="M80" i="7"/>
  <c r="C79" i="7"/>
  <c r="J77" i="7"/>
  <c r="M75" i="7"/>
  <c r="C74" i="7"/>
  <c r="G72" i="7"/>
  <c r="H70" i="7"/>
  <c r="C69" i="7"/>
  <c r="E67" i="7"/>
  <c r="H65" i="7"/>
  <c r="M63" i="7"/>
  <c r="E62" i="7"/>
  <c r="H60" i="7"/>
  <c r="M58" i="7"/>
  <c r="Q56" i="7"/>
  <c r="C55" i="7"/>
  <c r="K53" i="7"/>
  <c r="H176" i="7"/>
  <c r="P173" i="7"/>
  <c r="K171" i="7"/>
  <c r="H169" i="7"/>
  <c r="P166" i="7"/>
  <c r="M162" i="7"/>
  <c r="F160" i="7"/>
  <c r="P157" i="7"/>
  <c r="P155" i="7"/>
  <c r="I153" i="7"/>
  <c r="D151" i="7"/>
  <c r="M148" i="7"/>
  <c r="K146" i="7"/>
  <c r="I144" i="7"/>
  <c r="C142" i="7"/>
  <c r="F137" i="7"/>
  <c r="H135" i="7"/>
  <c r="D133" i="7"/>
  <c r="K130" i="7"/>
  <c r="H128" i="7"/>
  <c r="P125" i="7"/>
  <c r="P123" i="7"/>
  <c r="C122" i="7"/>
  <c r="Q119" i="7"/>
  <c r="C118" i="7"/>
  <c r="I116" i="7"/>
  <c r="H114" i="7"/>
  <c r="I112" i="7"/>
  <c r="L110" i="7"/>
  <c r="K108" i="7"/>
  <c r="C105" i="7"/>
  <c r="Q102" i="7"/>
  <c r="D101" i="7"/>
  <c r="L99" i="7"/>
  <c r="P97" i="7"/>
  <c r="Q95" i="7"/>
  <c r="G94" i="7"/>
  <c r="K92" i="7"/>
  <c r="Q90" i="7"/>
  <c r="G89" i="7"/>
  <c r="K87" i="7"/>
  <c r="G84" i="7"/>
  <c r="K82" i="7"/>
  <c r="L80" i="7"/>
  <c r="E175" i="7"/>
  <c r="P171" i="7"/>
  <c r="Q168" i="7"/>
  <c r="D166" i="7"/>
  <c r="P162" i="7"/>
  <c r="E157" i="7"/>
  <c r="C154" i="7"/>
  <c r="L147" i="7"/>
  <c r="G132" i="7"/>
  <c r="J129" i="7"/>
  <c r="M126" i="7"/>
  <c r="K123" i="7"/>
  <c r="D121" i="7"/>
  <c r="J113" i="7"/>
  <c r="C111" i="7"/>
  <c r="G108" i="7"/>
  <c r="C106" i="7"/>
  <c r="L103" i="7"/>
  <c r="Q100" i="7"/>
  <c r="I96" i="7"/>
  <c r="D94" i="7"/>
  <c r="Q91" i="7"/>
  <c r="J89" i="7"/>
  <c r="E87" i="7"/>
  <c r="F85" i="7"/>
  <c r="J80" i="7"/>
  <c r="E78" i="7"/>
  <c r="K76" i="7"/>
  <c r="E74" i="7"/>
  <c r="F72" i="7"/>
  <c r="E70" i="7"/>
  <c r="E68" i="7"/>
  <c r="F66" i="7"/>
  <c r="E64" i="7"/>
  <c r="P61" i="7"/>
  <c r="P55" i="7"/>
  <c r="Q49" i="7"/>
  <c r="E48" i="7"/>
  <c r="E46" i="7"/>
  <c r="I44" i="7"/>
  <c r="H42" i="7"/>
  <c r="L40" i="7"/>
  <c r="F37" i="7"/>
  <c r="K35" i="7"/>
  <c r="P31" i="7"/>
  <c r="K30" i="7"/>
  <c r="M28" i="7"/>
  <c r="D175" i="7"/>
  <c r="M171" i="7"/>
  <c r="C166" i="7"/>
  <c r="K156" i="7"/>
  <c r="K153" i="7"/>
  <c r="M150" i="7"/>
  <c r="K147" i="7"/>
  <c r="K144" i="7"/>
  <c r="F141" i="7"/>
  <c r="M138" i="7"/>
  <c r="J135" i="7"/>
  <c r="F132" i="7"/>
  <c r="I129" i="7"/>
  <c r="K126" i="7"/>
  <c r="J123" i="7"/>
  <c r="C121" i="7"/>
  <c r="E118" i="7"/>
  <c r="I113" i="7"/>
  <c r="F108" i="7"/>
  <c r="Q105" i="7"/>
  <c r="D103" i="7"/>
  <c r="M98" i="7"/>
  <c r="F96" i="7"/>
  <c r="C94" i="7"/>
  <c r="P91" i="7"/>
  <c r="I89" i="7"/>
  <c r="D87" i="7"/>
  <c r="Q84" i="7"/>
  <c r="M82" i="7"/>
  <c r="I80" i="7"/>
  <c r="D78" i="7"/>
  <c r="F76" i="7"/>
  <c r="D74" i="7"/>
  <c r="P71" i="7"/>
  <c r="D70" i="7"/>
  <c r="Q67" i="7"/>
  <c r="D66" i="7"/>
  <c r="K61" i="7"/>
  <c r="P49" i="7"/>
  <c r="Q47" i="7"/>
  <c r="D46" i="7"/>
  <c r="G44" i="7"/>
  <c r="G42" i="7"/>
  <c r="K40" i="7"/>
  <c r="L38" i="7"/>
  <c r="Q36" i="7"/>
  <c r="I35" i="7"/>
  <c r="J33" i="7"/>
  <c r="D30" i="7"/>
  <c r="G28" i="7"/>
  <c r="K177" i="7"/>
  <c r="L174" i="7"/>
  <c r="J171" i="7"/>
  <c r="E168" i="7"/>
  <c r="K165" i="7"/>
  <c r="F162" i="7"/>
  <c r="E159" i="7"/>
  <c r="H156" i="7"/>
  <c r="M152" i="7"/>
  <c r="F150" i="7"/>
  <c r="J147" i="7"/>
  <c r="C141" i="7"/>
  <c r="F138" i="7"/>
  <c r="P134" i="7"/>
  <c r="E132" i="7"/>
  <c r="F129" i="7"/>
  <c r="K125" i="7"/>
  <c r="D123" i="7"/>
  <c r="Q117" i="7"/>
  <c r="K115" i="7"/>
  <c r="G113" i="7"/>
  <c r="G110" i="7"/>
  <c r="Q107" i="7"/>
  <c r="H105" i="7"/>
  <c r="L100" i="7"/>
  <c r="G98" i="7"/>
  <c r="P95" i="7"/>
  <c r="J93" i="7"/>
  <c r="K91" i="7"/>
  <c r="E89" i="7"/>
  <c r="L84" i="7"/>
  <c r="C82" i="7"/>
  <c r="Q79" i="7"/>
  <c r="C78" i="7"/>
  <c r="Q75" i="7"/>
  <c r="Q73" i="7"/>
  <c r="Q69" i="7"/>
  <c r="P67" i="7"/>
  <c r="L63" i="7"/>
  <c r="J61" i="7"/>
  <c r="L59" i="7"/>
  <c r="K57" i="7"/>
  <c r="L55" i="7"/>
  <c r="J53" i="7"/>
  <c r="H51" i="7"/>
  <c r="P47" i="7"/>
  <c r="C46" i="7"/>
  <c r="F44" i="7"/>
  <c r="F42" i="7"/>
  <c r="I40" i="7"/>
  <c r="K38" i="7"/>
  <c r="H35" i="7"/>
  <c r="I33" i="7"/>
  <c r="C30" i="7"/>
  <c r="F28" i="7"/>
  <c r="J177" i="7"/>
  <c r="H174" i="7"/>
  <c r="I171" i="7"/>
  <c r="Q167" i="7"/>
  <c r="F165" i="7"/>
  <c r="E162" i="7"/>
  <c r="D159" i="7"/>
  <c r="F156" i="7"/>
  <c r="L152" i="7"/>
  <c r="E150" i="7"/>
  <c r="H147" i="7"/>
  <c r="Q140" i="7"/>
  <c r="D138" i="7"/>
  <c r="Q131" i="7"/>
  <c r="D129" i="7"/>
  <c r="J125" i="7"/>
  <c r="C123" i="7"/>
  <c r="L120" i="7"/>
  <c r="P117" i="7"/>
  <c r="J115" i="7"/>
  <c r="F110" i="7"/>
  <c r="P107" i="7"/>
  <c r="F105" i="7"/>
  <c r="M102" i="7"/>
  <c r="K100" i="7"/>
  <c r="E98" i="7"/>
  <c r="I93" i="7"/>
  <c r="I91" i="7"/>
  <c r="D89" i="7"/>
  <c r="J84" i="7"/>
  <c r="Q81" i="7"/>
  <c r="P79" i="7"/>
  <c r="Q77" i="7"/>
  <c r="P69" i="7"/>
  <c r="L67" i="7"/>
  <c r="I65" i="7"/>
  <c r="J63" i="7"/>
  <c r="I61" i="7"/>
  <c r="K59" i="7"/>
  <c r="J57" i="7"/>
  <c r="D55" i="7"/>
  <c r="E53" i="7"/>
  <c r="E51" i="7"/>
  <c r="J47" i="7"/>
  <c r="Q45" i="7"/>
  <c r="E44" i="7"/>
  <c r="E42" i="7"/>
  <c r="G40" i="7"/>
  <c r="H38" i="7"/>
  <c r="M36" i="7"/>
  <c r="Q34" i="7"/>
  <c r="H33" i="7"/>
  <c r="M31" i="7"/>
  <c r="Q29" i="7"/>
  <c r="E28" i="7"/>
  <c r="H173" i="7"/>
  <c r="P169" i="7"/>
  <c r="G164" i="7"/>
  <c r="C161" i="7"/>
  <c r="H155" i="7"/>
  <c r="K151" i="7"/>
  <c r="C146" i="7"/>
  <c r="K142" i="7"/>
  <c r="E137" i="7"/>
  <c r="H133" i="7"/>
  <c r="F128" i="7"/>
  <c r="J124" i="7"/>
  <c r="L116" i="7"/>
  <c r="H112" i="7"/>
  <c r="F109" i="7"/>
  <c r="M104" i="7"/>
  <c r="H97" i="7"/>
  <c r="M90" i="7"/>
  <c r="E88" i="7"/>
  <c r="D81" i="7"/>
  <c r="K77" i="7"/>
  <c r="P74" i="7"/>
  <c r="I71" i="7"/>
  <c r="J68" i="7"/>
  <c r="F65" i="7"/>
  <c r="L62" i="7"/>
  <c r="Q58" i="7"/>
  <c r="I56" i="7"/>
  <c r="C53" i="7"/>
  <c r="G50" i="7"/>
  <c r="H47" i="7"/>
  <c r="Q44" i="7"/>
  <c r="K41" i="7"/>
  <c r="I39" i="7"/>
  <c r="J36" i="7"/>
  <c r="G34" i="7"/>
  <c r="J31" i="7"/>
  <c r="D29" i="7"/>
  <c r="G173" i="7"/>
  <c r="J169" i="7"/>
  <c r="F164" i="7"/>
  <c r="H160" i="7"/>
  <c r="E155" i="7"/>
  <c r="H151" i="7"/>
  <c r="Q145" i="7"/>
  <c r="E142" i="7"/>
  <c r="D137" i="7"/>
  <c r="F133" i="7"/>
  <c r="E128" i="7"/>
  <c r="D124" i="7"/>
  <c r="M119" i="7"/>
  <c r="K116" i="7"/>
  <c r="G112" i="7"/>
  <c r="D109" i="7"/>
  <c r="L104" i="7"/>
  <c r="F101" i="7"/>
  <c r="G97" i="7"/>
  <c r="K94" i="7"/>
  <c r="L90" i="7"/>
  <c r="M87" i="7"/>
  <c r="F77" i="7"/>
  <c r="H71" i="7"/>
  <c r="I68" i="7"/>
  <c r="E65" i="7"/>
  <c r="H62" i="7"/>
  <c r="E56" i="7"/>
  <c r="M52" i="7"/>
  <c r="D50" i="7"/>
  <c r="E47" i="7"/>
  <c r="K44" i="7"/>
  <c r="J41" i="7"/>
  <c r="E39" i="7"/>
  <c r="I36" i="7"/>
  <c r="Q33" i="7"/>
  <c r="D31" i="7"/>
  <c r="Q28" i="7"/>
  <c r="F173" i="7"/>
  <c r="C169" i="7"/>
  <c r="E164" i="7"/>
  <c r="P159" i="7"/>
  <c r="D155" i="7"/>
  <c r="P145" i="7"/>
  <c r="P141" i="7"/>
  <c r="C137" i="7"/>
  <c r="H132" i="7"/>
  <c r="L123" i="7"/>
  <c r="L119" i="7"/>
  <c r="P115" i="7"/>
  <c r="F112" i="7"/>
  <c r="H108" i="7"/>
  <c r="H104" i="7"/>
  <c r="C101" i="7"/>
  <c r="F97" i="7"/>
  <c r="E94" i="7"/>
  <c r="K90" i="7"/>
  <c r="H87" i="7"/>
  <c r="M83" i="7"/>
  <c r="K80" i="7"/>
  <c r="C77" i="7"/>
  <c r="G74" i="7"/>
  <c r="D71" i="7"/>
  <c r="H68" i="7"/>
  <c r="D65" i="7"/>
  <c r="F62" i="7"/>
  <c r="Q55" i="7"/>
  <c r="L52" i="7"/>
  <c r="C50" i="7"/>
  <c r="C47" i="7"/>
  <c r="J44" i="7"/>
  <c r="I41" i="7"/>
  <c r="D39" i="7"/>
  <c r="P35" i="7"/>
  <c r="P33" i="7"/>
  <c r="P30" i="7"/>
  <c r="F177" i="7"/>
  <c r="Q172" i="7"/>
  <c r="P167" i="7"/>
  <c r="P163" i="7"/>
  <c r="C159" i="7"/>
  <c r="M154" i="7"/>
  <c r="P149" i="7"/>
  <c r="P131" i="7"/>
  <c r="H127" i="7"/>
  <c r="Q122" i="7"/>
  <c r="E119" i="7"/>
  <c r="I115" i="7"/>
  <c r="M111" i="7"/>
  <c r="Q103" i="7"/>
  <c r="G100" i="7"/>
  <c r="E97" i="7"/>
  <c r="H93" i="7"/>
  <c r="G90" i="7"/>
  <c r="M86" i="7"/>
  <c r="J83" i="7"/>
  <c r="Q76" i="7"/>
  <c r="Q70" i="7"/>
  <c r="J67" i="7"/>
  <c r="L64" i="7"/>
  <c r="H61" i="7"/>
  <c r="L58" i="7"/>
  <c r="Q54" i="7"/>
  <c r="K52" i="7"/>
  <c r="G49" i="7"/>
  <c r="P46" i="7"/>
  <c r="L43" i="7"/>
  <c r="F41" i="7"/>
  <c r="G38" i="7"/>
  <c r="D33" i="7"/>
  <c r="M176" i="7"/>
  <c r="P158" i="7"/>
  <c r="L154" i="7"/>
  <c r="K149" i="7"/>
  <c r="M140" i="7"/>
  <c r="M136" i="7"/>
  <c r="K131" i="7"/>
  <c r="E127" i="7"/>
  <c r="H122" i="7"/>
  <c r="D119" i="7"/>
  <c r="Q114" i="7"/>
  <c r="L111" i="7"/>
  <c r="J107" i="7"/>
  <c r="P103" i="7"/>
  <c r="Q99" i="7"/>
  <c r="D97" i="7"/>
  <c r="G93" i="7"/>
  <c r="F90" i="7"/>
  <c r="K86" i="7"/>
  <c r="I83" i="7"/>
  <c r="L79" i="7"/>
  <c r="H73" i="7"/>
  <c r="K70" i="7"/>
  <c r="H67" i="7"/>
  <c r="K64" i="7"/>
  <c r="G61" i="7"/>
  <c r="H58" i="7"/>
  <c r="P54" i="7"/>
  <c r="G52" i="7"/>
  <c r="F49" i="7"/>
  <c r="J43" i="7"/>
  <c r="E41" i="7"/>
  <c r="F38" i="7"/>
  <c r="C33" i="7"/>
  <c r="H175" i="7"/>
  <c r="L166" i="7"/>
  <c r="C158" i="7"/>
  <c r="F152" i="7"/>
  <c r="J143" i="7"/>
  <c r="K134" i="7"/>
  <c r="D127" i="7"/>
  <c r="E121" i="7"/>
  <c r="P113" i="7"/>
  <c r="Q106" i="7"/>
  <c r="P101" i="7"/>
  <c r="H95" i="7"/>
  <c r="M88" i="7"/>
  <c r="H83" i="7"/>
  <c r="M78" i="7"/>
  <c r="Q72" i="7"/>
  <c r="M66" i="7"/>
  <c r="M62" i="7"/>
  <c r="D51" i="7"/>
  <c r="K46" i="7"/>
  <c r="M42" i="7"/>
  <c r="K37" i="7"/>
  <c r="M32" i="7"/>
  <c r="E29" i="7"/>
  <c r="F174" i="7"/>
  <c r="K166" i="7"/>
  <c r="J157" i="7"/>
  <c r="I149" i="7"/>
  <c r="D143" i="7"/>
  <c r="F134" i="7"/>
  <c r="G120" i="7"/>
  <c r="H106" i="7"/>
  <c r="E95" i="7"/>
  <c r="J88" i="7"/>
  <c r="Q82" i="7"/>
  <c r="M72" i="7"/>
  <c r="L66" i="7"/>
  <c r="F61" i="7"/>
  <c r="K56" i="7"/>
  <c r="C51" i="7"/>
  <c r="F46" i="7"/>
  <c r="C42" i="7"/>
  <c r="H37" i="7"/>
  <c r="L32" i="7"/>
  <c r="M172" i="7"/>
  <c r="E166" i="7"/>
  <c r="I157" i="7"/>
  <c r="Q148" i="7"/>
  <c r="M142" i="7"/>
  <c r="E134" i="7"/>
  <c r="I125" i="7"/>
  <c r="C119" i="7"/>
  <c r="K113" i="7"/>
  <c r="G106" i="7"/>
  <c r="Q94" i="7"/>
  <c r="I88" i="7"/>
  <c r="P81" i="7"/>
  <c r="M76" i="7"/>
  <c r="H72" i="7"/>
  <c r="K66" i="7"/>
  <c r="J56" i="7"/>
  <c r="Q50" i="7"/>
  <c r="P45" i="7"/>
  <c r="D41" i="7"/>
  <c r="G37" i="7"/>
  <c r="K32" i="7"/>
  <c r="K172" i="7"/>
  <c r="C165" i="7"/>
  <c r="H157" i="7"/>
  <c r="K148" i="7"/>
  <c r="K140" i="7"/>
  <c r="D134" i="7"/>
  <c r="H125" i="7"/>
  <c r="P118" i="7"/>
  <c r="K112" i="7"/>
  <c r="F106" i="7"/>
  <c r="E99" i="7"/>
  <c r="E93" i="7"/>
  <c r="H88" i="7"/>
  <c r="L76" i="7"/>
  <c r="J71" i="7"/>
  <c r="H66" i="7"/>
  <c r="L60" i="7"/>
  <c r="P50" i="7"/>
  <c r="I45" i="7"/>
  <c r="M40" i="7"/>
  <c r="K36" i="7"/>
  <c r="E32" i="7"/>
  <c r="H171" i="7"/>
  <c r="F157" i="7"/>
  <c r="J148" i="7"/>
  <c r="P139" i="7"/>
  <c r="J133" i="7"/>
  <c r="G125" i="7"/>
  <c r="K111" i="7"/>
  <c r="D106" i="7"/>
  <c r="D99" i="7"/>
  <c r="C93" i="7"/>
  <c r="G88" i="7"/>
  <c r="L75" i="7"/>
  <c r="G70" i="7"/>
  <c r="G66" i="7"/>
  <c r="I60" i="7"/>
  <c r="G45" i="7"/>
  <c r="M35" i="7"/>
  <c r="Q31" i="7"/>
  <c r="M167" i="7"/>
  <c r="E154" i="7"/>
  <c r="H139" i="7"/>
  <c r="K129" i="7"/>
  <c r="I95" i="7"/>
  <c r="I85" i="7"/>
  <c r="D75" i="7"/>
  <c r="G65" i="7"/>
  <c r="H57" i="7"/>
  <c r="I48" i="7"/>
  <c r="L39" i="7"/>
  <c r="Q32" i="7"/>
  <c r="K167" i="7"/>
  <c r="K152" i="7"/>
  <c r="E139" i="7"/>
  <c r="J128" i="7"/>
  <c r="H92" i="7"/>
  <c r="G85" i="7"/>
  <c r="Q74" i="7"/>
  <c r="J64" i="7"/>
  <c r="C57" i="7"/>
  <c r="H48" i="7"/>
  <c r="K39" i="7"/>
  <c r="K31" i="7"/>
  <c r="M166" i="7"/>
  <c r="J152" i="7"/>
  <c r="D139" i="7"/>
  <c r="F125" i="7"/>
  <c r="M114" i="7"/>
  <c r="L102" i="7"/>
  <c r="G92" i="7"/>
  <c r="I84" i="7"/>
  <c r="E73" i="7"/>
  <c r="G64" i="7"/>
  <c r="L54" i="7"/>
  <c r="G48" i="7"/>
  <c r="J39" i="7"/>
  <c r="M30" i="7"/>
  <c r="K176" i="7"/>
  <c r="C163" i="7"/>
  <c r="I152" i="7"/>
  <c r="L124" i="7"/>
  <c r="Q113" i="7"/>
  <c r="E102" i="7"/>
  <c r="F92" i="7"/>
  <c r="K81" i="7"/>
  <c r="D73" i="7"/>
  <c r="I63" i="7"/>
  <c r="K54" i="7"/>
  <c r="I47" i="7"/>
  <c r="E38" i="7"/>
  <c r="L30" i="7"/>
  <c r="J176" i="7"/>
  <c r="P161" i="7"/>
  <c r="H152" i="7"/>
  <c r="H137" i="7"/>
  <c r="F122" i="7"/>
  <c r="E111" i="7"/>
  <c r="D102" i="7"/>
  <c r="E92" i="7"/>
  <c r="I81" i="7"/>
  <c r="C73" i="7"/>
  <c r="H63" i="7"/>
  <c r="E54" i="7"/>
  <c r="D45" i="7"/>
  <c r="H161" i="7"/>
  <c r="F136" i="7"/>
  <c r="E110" i="7"/>
  <c r="D91" i="7"/>
  <c r="F70" i="7"/>
  <c r="M175" i="7"/>
  <c r="I148" i="7"/>
  <c r="E122" i="7"/>
  <c r="C102" i="7"/>
  <c r="J79" i="7"/>
  <c r="M170" i="7"/>
  <c r="E161" i="7"/>
  <c r="K145" i="7"/>
  <c r="M130" i="7"/>
  <c r="H121" i="7"/>
  <c r="I109" i="7"/>
  <c r="C98" i="7"/>
  <c r="G86" i="7"/>
  <c r="E69" i="7"/>
  <c r="P59" i="7"/>
  <c r="P51" i="7"/>
  <c r="E43" i="7"/>
  <c r="M34" i="7"/>
  <c r="K175" i="7"/>
  <c r="M143" i="7"/>
  <c r="K109" i="7"/>
  <c r="P85" i="7"/>
  <c r="D67" i="7"/>
  <c r="C45" i="7"/>
  <c r="K29" i="7"/>
  <c r="L170" i="7"/>
  <c r="K143" i="7"/>
  <c r="J109" i="7"/>
  <c r="K85" i="7"/>
  <c r="I43" i="7"/>
  <c r="J29" i="7"/>
  <c r="K170" i="7"/>
  <c r="P135" i="7"/>
  <c r="H109" i="7"/>
  <c r="J85" i="7"/>
  <c r="G60" i="7"/>
  <c r="H43" i="7"/>
  <c r="F29" i="7"/>
  <c r="K158" i="7"/>
  <c r="Q53" i="7"/>
  <c r="E156" i="7"/>
  <c r="L35" i="7"/>
  <c r="C170" i="7"/>
  <c r="D131" i="7"/>
  <c r="E107" i="7"/>
  <c r="D79" i="7"/>
  <c r="J59" i="7"/>
  <c r="C43" i="7"/>
  <c r="G130" i="7"/>
  <c r="C99" i="7"/>
  <c r="M39" i="7"/>
  <c r="F130" i="7"/>
  <c r="C97" i="7"/>
  <c r="E75" i="7"/>
  <c r="G161" i="7"/>
  <c r="H130" i="7"/>
  <c r="E105" i="7"/>
  <c r="Q78" i="7"/>
  <c r="G58" i="7"/>
  <c r="Q42" i="7"/>
  <c r="F161" i="7"/>
  <c r="C58" i="7"/>
  <c r="H75" i="7"/>
  <c r="P121" i="7"/>
  <c r="D53" i="7"/>
  <c r="K154" i="7"/>
  <c r="J69" i="7"/>
  <c r="E52" i="7"/>
  <c r="M147" i="7"/>
  <c r="J117" i="7"/>
  <c r="G69" i="7"/>
  <c r="E49" i="7"/>
  <c r="L34" i="7"/>
  <c r="C145" i="7"/>
  <c r="I117" i="7"/>
  <c r="E117" i="7"/>
  <c r="Q68" i="7"/>
  <c r="Q48" i="7"/>
  <c r="H34" i="7"/>
  <c r="E90" i="7"/>
  <c r="L175" i="7"/>
  <c r="P146" i="7"/>
  <c r="D69" i="7"/>
  <c r="M48" i="7"/>
  <c r="K34" i="7"/>
  <c r="CU265" i="5"/>
  <c r="CV265" i="5" s="1"/>
  <c r="CS265" i="5"/>
  <c r="CT265" i="5" s="1"/>
  <c r="CP265" i="5"/>
  <c r="CQ265" i="5" s="1"/>
  <c r="CY265" i="5"/>
  <c r="CZ265" i="5" s="1"/>
  <c r="CW265" i="5"/>
  <c r="CP44" i="5"/>
  <c r="CQ44" i="5" s="1"/>
  <c r="CY44" i="5"/>
  <c r="CZ44" i="5" s="1"/>
  <c r="CS44" i="5"/>
  <c r="CT44" i="5" s="1"/>
  <c r="CW44" i="5"/>
  <c r="CU44" i="5"/>
  <c r="CV44" i="5" s="1"/>
  <c r="CU283" i="5"/>
  <c r="CV283" i="5" s="1"/>
  <c r="CT283" i="5"/>
  <c r="CS283" i="5"/>
  <c r="CY283" i="5"/>
  <c r="CZ283" i="5" s="1"/>
  <c r="CW283" i="5"/>
  <c r="CP283" i="5"/>
  <c r="CQ283" i="5" s="1"/>
  <c r="CP20" i="5"/>
  <c r="CQ20" i="5" s="1"/>
  <c r="CY20" i="5"/>
  <c r="CZ20" i="5" s="1"/>
  <c r="CS20" i="5"/>
  <c r="CT20" i="5" s="1"/>
  <c r="CW20" i="5"/>
  <c r="CU20" i="5"/>
  <c r="CV20" i="5"/>
  <c r="G97" i="8"/>
  <c r="G96" i="8"/>
  <c r="D11" i="24"/>
  <c r="C18" i="7"/>
  <c r="E41" i="24"/>
  <c r="F41" i="24" s="1"/>
  <c r="C17" i="7"/>
  <c r="C16" i="7"/>
  <c r="D14" i="24"/>
  <c r="C15" i="7"/>
  <c r="D98" i="8"/>
  <c r="D101" i="8" s="1"/>
  <c r="CU289" i="5"/>
  <c r="CS289" i="5"/>
  <c r="CT289" i="5" s="1"/>
  <c r="CW289" i="5"/>
  <c r="CV289" i="5"/>
  <c r="CP289" i="5"/>
  <c r="CQ289" i="5" s="1"/>
  <c r="CY289" i="5"/>
  <c r="CZ289" i="5" s="1"/>
  <c r="CO193" i="5"/>
  <c r="CN193" i="5"/>
  <c r="CR193" i="5"/>
  <c r="CW36" i="5"/>
  <c r="CV36" i="5"/>
  <c r="CU36" i="5"/>
  <c r="CS36" i="5"/>
  <c r="CT36" i="5" s="1"/>
  <c r="CP36" i="5"/>
  <c r="CQ36" i="5" s="1"/>
  <c r="CY36" i="5"/>
  <c r="CZ36" i="5" s="1"/>
  <c r="CY291" i="5"/>
  <c r="CZ291" i="5" s="1"/>
  <c r="CW291" i="5"/>
  <c r="CP291" i="5"/>
  <c r="CQ291" i="5" s="1"/>
  <c r="CS291" i="5"/>
  <c r="CT291" i="5" s="1"/>
  <c r="CU291" i="5"/>
  <c r="CV291" i="5" s="1"/>
  <c r="CN57" i="5"/>
  <c r="CR57" i="5"/>
  <c r="CO57" i="5"/>
  <c r="CW12" i="5"/>
  <c r="CU12" i="5"/>
  <c r="CV12" i="5" s="1"/>
  <c r="CS12" i="5"/>
  <c r="CT12" i="5" s="1"/>
  <c r="CP12" i="5"/>
  <c r="CQ12" i="5" s="1"/>
  <c r="CY12" i="5"/>
  <c r="CZ12" i="5" s="1"/>
  <c r="CL6" i="5"/>
  <c r="CM6" i="5" s="1"/>
  <c r="CU250" i="5"/>
  <c r="CS250" i="5"/>
  <c r="CT250" i="5" s="1"/>
  <c r="CY250" i="5"/>
  <c r="CZ250" i="5" s="1"/>
  <c r="CP250" i="5"/>
  <c r="CQ250" i="5" s="1"/>
  <c r="CV250" i="5"/>
  <c r="CW250" i="5"/>
  <c r="CW87" i="5"/>
  <c r="CU87" i="5"/>
  <c r="CV87" i="5" s="1"/>
  <c r="CT87" i="5"/>
  <c r="CP87" i="5"/>
  <c r="CQ87" i="5" s="1"/>
  <c r="CY87" i="5"/>
  <c r="CZ87" i="5" s="1"/>
  <c r="CS87" i="5"/>
  <c r="CN113" i="5"/>
  <c r="CO113" i="5"/>
  <c r="CR113" i="5"/>
  <c r="CR10" i="5"/>
  <c r="CN10" i="5"/>
  <c r="CO10" i="5"/>
  <c r="E141" i="6"/>
  <c r="E36" i="6"/>
  <c r="G36" i="6" s="1"/>
  <c r="CN244" i="5"/>
  <c r="CR244" i="5"/>
  <c r="CO244" i="5"/>
  <c r="CY279" i="5"/>
  <c r="CZ279" i="5" s="1"/>
  <c r="CW279" i="5"/>
  <c r="CU279" i="5"/>
  <c r="CV279" i="5"/>
  <c r="CP279" i="5"/>
  <c r="CQ279" i="5" s="1"/>
  <c r="CS279" i="5"/>
  <c r="CT279" i="5" s="1"/>
  <c r="CT166" i="5"/>
  <c r="CP166" i="5"/>
  <c r="CQ166" i="5" s="1"/>
  <c r="CW166" i="5"/>
  <c r="CY166" i="5"/>
  <c r="CZ166" i="5" s="1"/>
  <c r="CS166" i="5"/>
  <c r="CU166" i="5"/>
  <c r="CV166" i="5" s="1"/>
  <c r="CN128" i="5"/>
  <c r="CR128" i="5"/>
  <c r="CO128" i="5"/>
  <c r="CU119" i="5"/>
  <c r="CY119" i="5"/>
  <c r="CZ119" i="5" s="1"/>
  <c r="CS119" i="5"/>
  <c r="CT119" i="5" s="1"/>
  <c r="CV119" i="5"/>
  <c r="CW119" i="5"/>
  <c r="CP119" i="5"/>
  <c r="CQ119" i="5" s="1"/>
  <c r="CP209" i="5"/>
  <c r="CQ209" i="5" s="1"/>
  <c r="CU209" i="5"/>
  <c r="CV209" i="5" s="1"/>
  <c r="CW209" i="5"/>
  <c r="CY209" i="5"/>
  <c r="CZ209" i="5" s="1"/>
  <c r="CS209" i="5"/>
  <c r="CT209" i="5" s="1"/>
  <c r="CW207" i="5"/>
  <c r="CU207" i="5"/>
  <c r="CV207" i="5" s="1"/>
  <c r="CP207" i="5"/>
  <c r="CQ207" i="5" s="1"/>
  <c r="CS207" i="5"/>
  <c r="CT207" i="5" s="1"/>
  <c r="CY207" i="5"/>
  <c r="CZ207" i="5" s="1"/>
  <c r="CW42" i="5"/>
  <c r="CU42" i="5"/>
  <c r="CV42" i="5" s="1"/>
  <c r="CY42" i="5"/>
  <c r="CZ42" i="5" s="1"/>
  <c r="CS42" i="5"/>
  <c r="CT42" i="5" s="1"/>
  <c r="CP42" i="5"/>
  <c r="CQ42" i="5" s="1"/>
  <c r="CR241" i="5"/>
  <c r="CO241" i="5"/>
  <c r="CN241" i="5"/>
  <c r="CS232" i="5"/>
  <c r="CT232" i="5" s="1"/>
  <c r="CY232" i="5"/>
  <c r="CZ232" i="5" s="1"/>
  <c r="CW232" i="5"/>
  <c r="CU232" i="5"/>
  <c r="CV232" i="5"/>
  <c r="CP232" i="5"/>
  <c r="CQ232" i="5" s="1"/>
  <c r="CO301" i="5"/>
  <c r="CN301" i="5"/>
  <c r="CR301" i="5"/>
  <c r="CO280" i="5"/>
  <c r="CN280" i="5"/>
  <c r="CR280" i="5"/>
  <c r="CW177" i="5"/>
  <c r="CY177" i="5"/>
  <c r="CZ177" i="5" s="1"/>
  <c r="CU177" i="5"/>
  <c r="CV177" i="5" s="1"/>
  <c r="CP177" i="5"/>
  <c r="CQ177" i="5" s="1"/>
  <c r="CS177" i="5"/>
  <c r="CT177" i="5" s="1"/>
  <c r="T44" i="24"/>
  <c r="S44" i="24"/>
  <c r="AC44" i="24"/>
  <c r="J44" i="24"/>
  <c r="Z44" i="24"/>
  <c r="Y44" i="24"/>
  <c r="N44" i="24"/>
  <c r="M44" i="24"/>
  <c r="W44" i="24"/>
  <c r="V44" i="24"/>
  <c r="U44" i="24"/>
  <c r="X44" i="24"/>
  <c r="Q44" i="24"/>
  <c r="L44" i="24"/>
  <c r="K44" i="24"/>
  <c r="AA44" i="24"/>
  <c r="O44" i="24"/>
  <c r="AB44" i="24"/>
  <c r="P44" i="24"/>
  <c r="R44" i="24"/>
  <c r="CR7" i="5"/>
  <c r="CN7" i="5"/>
  <c r="CO7" i="5"/>
  <c r="E32" i="6"/>
  <c r="G32" i="6" s="1"/>
  <c r="E138" i="6"/>
  <c r="CP132" i="5"/>
  <c r="CQ132" i="5" s="1"/>
  <c r="CW132" i="5"/>
  <c r="CY132" i="5"/>
  <c r="CZ132" i="5" s="1"/>
  <c r="CU132" i="5"/>
  <c r="CV132" i="5" s="1"/>
  <c r="CS132" i="5"/>
  <c r="CT132" i="5" s="1"/>
  <c r="CN187" i="5"/>
  <c r="CR187" i="5"/>
  <c r="CO187" i="5"/>
  <c r="CS235" i="5"/>
  <c r="CT235" i="5" s="1"/>
  <c r="CU235" i="5"/>
  <c r="CV235" i="5" s="1"/>
  <c r="CY235" i="5"/>
  <c r="CZ235" i="5" s="1"/>
  <c r="CW235" i="5"/>
  <c r="CP235" i="5"/>
  <c r="CQ235" i="5" s="1"/>
  <c r="CU196" i="5"/>
  <c r="CS196" i="5"/>
  <c r="CT196" i="5" s="1"/>
  <c r="CP196" i="5"/>
  <c r="CQ196" i="5" s="1"/>
  <c r="CY196" i="5"/>
  <c r="CZ196" i="5" s="1"/>
  <c r="CW196" i="5"/>
  <c r="CV196" i="5"/>
  <c r="CW27" i="5"/>
  <c r="CU27" i="5"/>
  <c r="CV27" i="5" s="1"/>
  <c r="CP27" i="5"/>
  <c r="CQ27" i="5" s="1"/>
  <c r="CY27" i="5"/>
  <c r="CZ27" i="5" s="1"/>
  <c r="CS27" i="5"/>
  <c r="CT27" i="5" s="1"/>
  <c r="CO63" i="5"/>
  <c r="CR63" i="5"/>
  <c r="CN63" i="5"/>
  <c r="CW222" i="5"/>
  <c r="CY222" i="5"/>
  <c r="CZ222" i="5" s="1"/>
  <c r="CP222" i="5"/>
  <c r="CQ222" i="5" s="1"/>
  <c r="CS222" i="5"/>
  <c r="CT222" i="5" s="1"/>
  <c r="CU222" i="5"/>
  <c r="CV222" i="5"/>
  <c r="CY252" i="5"/>
  <c r="CZ252" i="5" s="1"/>
  <c r="CW252" i="5"/>
  <c r="CP252" i="5"/>
  <c r="CQ252" i="5" s="1"/>
  <c r="CU252" i="5"/>
  <c r="CV252" i="5" s="1"/>
  <c r="CS252" i="5"/>
  <c r="CT252" i="5" s="1"/>
  <c r="CO137" i="5"/>
  <c r="CR137" i="5"/>
  <c r="CN137" i="5"/>
  <c r="CN18" i="5"/>
  <c r="CR18" i="5"/>
  <c r="CO18" i="5"/>
  <c r="C96" i="8"/>
  <c r="C97" i="8"/>
  <c r="P29" i="24"/>
  <c r="P28" i="24"/>
  <c r="P27" i="24"/>
  <c r="P26" i="24"/>
  <c r="P25" i="24"/>
  <c r="P35" i="24" s="1"/>
  <c r="P33" i="24"/>
  <c r="P30" i="24"/>
  <c r="P34" i="24"/>
  <c r="P32" i="24"/>
  <c r="P31" i="24"/>
  <c r="CP182" i="5"/>
  <c r="CQ182" i="5" s="1"/>
  <c r="CU182" i="5"/>
  <c r="CV182" i="5" s="1"/>
  <c r="CW182" i="5"/>
  <c r="CY182" i="5"/>
  <c r="CZ182" i="5" s="1"/>
  <c r="CS182" i="5"/>
  <c r="CT182" i="5" s="1"/>
  <c r="CL9" i="5"/>
  <c r="CM9" i="5" s="1"/>
  <c r="CR161" i="5"/>
  <c r="CO161" i="5"/>
  <c r="CN161" i="5"/>
  <c r="CO304" i="5"/>
  <c r="CN304" i="5"/>
  <c r="CR304" i="5"/>
  <c r="CY181" i="5"/>
  <c r="CZ181" i="5" s="1"/>
  <c r="CV181" i="5"/>
  <c r="CS181" i="5"/>
  <c r="CT181" i="5" s="1"/>
  <c r="CP181" i="5"/>
  <c r="CQ181" i="5" s="1"/>
  <c r="CW181" i="5"/>
  <c r="CU181" i="5"/>
  <c r="CO298" i="5"/>
  <c r="CN298" i="5"/>
  <c r="CR298" i="5"/>
  <c r="CN259" i="5"/>
  <c r="CR259" i="5"/>
  <c r="CO259" i="5"/>
  <c r="CU268" i="5"/>
  <c r="CV268" i="5" s="1"/>
  <c r="CS268" i="5"/>
  <c r="CT268" i="5" s="1"/>
  <c r="CP268" i="5"/>
  <c r="CQ268" i="5" s="1"/>
  <c r="CY268" i="5"/>
  <c r="CZ268" i="5" s="1"/>
  <c r="CW268" i="5"/>
  <c r="CP184" i="5"/>
  <c r="CQ184" i="5" s="1"/>
  <c r="CY184" i="5"/>
  <c r="CZ184" i="5" s="1"/>
  <c r="CW184" i="5"/>
  <c r="CS184" i="5"/>
  <c r="CT184" i="5" s="1"/>
  <c r="CU184" i="5"/>
  <c r="CV184" i="5"/>
  <c r="CO125" i="5"/>
  <c r="CN125" i="5"/>
  <c r="CR125" i="5"/>
  <c r="CP164" i="5"/>
  <c r="CQ164" i="5" s="1"/>
  <c r="CU164" i="5"/>
  <c r="CV164" i="5" s="1"/>
  <c r="CY164" i="5"/>
  <c r="CZ164" i="5" s="1"/>
  <c r="CW164" i="5"/>
  <c r="CS164" i="5"/>
  <c r="CT164" i="5" s="1"/>
  <c r="CU277" i="5"/>
  <c r="CV277" i="5" s="1"/>
  <c r="CS277" i="5"/>
  <c r="CT277" i="5" s="1"/>
  <c r="CW277" i="5"/>
  <c r="CP277" i="5"/>
  <c r="CQ277" i="5" s="1"/>
  <c r="CY277" i="5"/>
  <c r="CZ277" i="5" s="1"/>
  <c r="CW72" i="5"/>
  <c r="CU72" i="5"/>
  <c r="CV72" i="5" s="1"/>
  <c r="CP72" i="5"/>
  <c r="CQ72" i="5" s="1"/>
  <c r="CY72" i="5"/>
  <c r="CZ72" i="5" s="1"/>
  <c r="CS72" i="5"/>
  <c r="CT72" i="5" s="1"/>
  <c r="H43" i="4"/>
  <c r="CR219" i="5"/>
  <c r="CO219" i="5"/>
  <c r="CN219" i="5"/>
  <c r="C97" i="3"/>
  <c r="C96" i="3"/>
  <c r="E41" i="4" s="1"/>
  <c r="CY288" i="5"/>
  <c r="CZ288" i="5" s="1"/>
  <c r="CW288" i="5"/>
  <c r="CU288" i="5"/>
  <c r="CV288" i="5" s="1"/>
  <c r="CS288" i="5"/>
  <c r="CT288" i="5" s="1"/>
  <c r="CP288" i="5"/>
  <c r="CQ288" i="5" s="1"/>
  <c r="J45" i="24"/>
  <c r="M45" i="24"/>
  <c r="N45" i="24"/>
  <c r="Q45" i="24"/>
  <c r="P45" i="24"/>
  <c r="S45" i="24"/>
  <c r="R45" i="24"/>
  <c r="O45" i="24"/>
  <c r="K45" i="24"/>
  <c r="L45" i="24"/>
  <c r="CU96" i="5"/>
  <c r="CV96" i="5" s="1"/>
  <c r="CS96" i="5"/>
  <c r="CT96" i="5" s="1"/>
  <c r="CW96" i="5"/>
  <c r="CY96" i="5"/>
  <c r="CZ96" i="5" s="1"/>
  <c r="CP96" i="5"/>
  <c r="CQ96" i="5" s="1"/>
  <c r="CP167" i="5"/>
  <c r="CQ167" i="5" s="1"/>
  <c r="CY167" i="5"/>
  <c r="CZ167" i="5" s="1"/>
  <c r="CU167" i="5"/>
  <c r="CS167" i="5"/>
  <c r="CT167" i="5" s="1"/>
  <c r="CV167" i="5"/>
  <c r="CW167" i="5"/>
  <c r="CT178" i="5"/>
  <c r="CU178" i="5"/>
  <c r="CV178" i="5" s="1"/>
  <c r="CS178" i="5"/>
  <c r="CY178" i="5"/>
  <c r="CZ178" i="5" s="1"/>
  <c r="CW178" i="5"/>
  <c r="CP178" i="5"/>
  <c r="CQ178" i="5" s="1"/>
  <c r="CR148" i="5"/>
  <c r="CO148" i="5"/>
  <c r="CN148" i="5"/>
  <c r="E100" i="8"/>
  <c r="E95" i="8"/>
  <c r="CP221" i="5"/>
  <c r="CQ221" i="5" s="1"/>
  <c r="CY221" i="5"/>
  <c r="CZ221" i="5" s="1"/>
  <c r="CV221" i="5"/>
  <c r="CW221" i="5"/>
  <c r="CU221" i="5"/>
  <c r="CT221" i="5"/>
  <c r="CS221" i="5"/>
  <c r="CY294" i="5"/>
  <c r="CZ294" i="5" s="1"/>
  <c r="CW294" i="5"/>
  <c r="CU294" i="5"/>
  <c r="CP294" i="5"/>
  <c r="CQ294" i="5" s="1"/>
  <c r="CV294" i="5"/>
  <c r="CS294" i="5"/>
  <c r="CT294" i="5" s="1"/>
  <c r="CW84" i="5"/>
  <c r="CU84" i="5"/>
  <c r="CV84" i="5" s="1"/>
  <c r="CT84" i="5"/>
  <c r="CS84" i="5"/>
  <c r="CP84" i="5"/>
  <c r="CQ84" i="5" s="1"/>
  <c r="CY84" i="5"/>
  <c r="CZ84" i="5" s="1"/>
  <c r="CU169" i="5"/>
  <c r="CV169" i="5" s="1"/>
  <c r="CS169" i="5"/>
  <c r="CT169" i="5" s="1"/>
  <c r="CP169" i="5"/>
  <c r="CQ169" i="5" s="1"/>
  <c r="CY169" i="5"/>
  <c r="CZ169" i="5" s="1"/>
  <c r="CW169" i="5"/>
  <c r="CW75" i="5"/>
  <c r="CV75" i="5"/>
  <c r="CU75" i="5"/>
  <c r="CY75" i="5"/>
  <c r="CZ75" i="5" s="1"/>
  <c r="CS75" i="5"/>
  <c r="CT75" i="5" s="1"/>
  <c r="CP75" i="5"/>
  <c r="CQ75" i="5" s="1"/>
  <c r="D102" i="8" l="1"/>
  <c r="D103" i="8"/>
  <c r="D105" i="8" s="1"/>
  <c r="F102" i="8"/>
  <c r="F103" i="8" s="1"/>
  <c r="F105" i="8" s="1"/>
  <c r="CU116" i="5"/>
  <c r="CP116" i="5"/>
  <c r="CQ116" i="5" s="1"/>
  <c r="CW116" i="5"/>
  <c r="CV116" i="5"/>
  <c r="CS116" i="5"/>
  <c r="CT116" i="5" s="1"/>
  <c r="CY116" i="5"/>
  <c r="CZ116" i="5" s="1"/>
  <c r="CU137" i="5"/>
  <c r="CV137" i="5" s="1"/>
  <c r="CW137" i="5"/>
  <c r="CY137" i="5"/>
  <c r="CZ137" i="5" s="1"/>
  <c r="CP137" i="5"/>
  <c r="CQ137" i="5" s="1"/>
  <c r="CS137" i="5"/>
  <c r="CT137" i="5" s="1"/>
  <c r="N33" i="7"/>
  <c r="O33" i="7"/>
  <c r="O32" i="7"/>
  <c r="N32" i="7"/>
  <c r="O129" i="7"/>
  <c r="N129" i="7"/>
  <c r="E137" i="6"/>
  <c r="CO6" i="5"/>
  <c r="CN6" i="5"/>
  <c r="CR6" i="5"/>
  <c r="E29" i="6"/>
  <c r="G29" i="6" s="1"/>
  <c r="G138" i="6"/>
  <c r="O73" i="7"/>
  <c r="N73" i="7"/>
  <c r="O118" i="7"/>
  <c r="N118" i="7"/>
  <c r="O68" i="7"/>
  <c r="N68" i="7"/>
  <c r="H33" i="24"/>
  <c r="H27" i="24"/>
  <c r="H26" i="24"/>
  <c r="H32" i="24"/>
  <c r="H28" i="24"/>
  <c r="H31" i="24"/>
  <c r="H25" i="24"/>
  <c r="H34" i="24"/>
  <c r="H30" i="24"/>
  <c r="H29" i="24"/>
  <c r="O54" i="7"/>
  <c r="N54" i="7"/>
  <c r="O140" i="7"/>
  <c r="N140" i="7"/>
  <c r="CL5" i="5"/>
  <c r="CM5" i="5" s="1"/>
  <c r="E28" i="4"/>
  <c r="F27" i="4"/>
  <c r="G27" i="4" s="1"/>
  <c r="CU187" i="5"/>
  <c r="CS187" i="5"/>
  <c r="CT187" i="5" s="1"/>
  <c r="CW187" i="5"/>
  <c r="CV187" i="5"/>
  <c r="CP187" i="5"/>
  <c r="CQ187" i="5" s="1"/>
  <c r="CY187" i="5"/>
  <c r="CZ187" i="5" s="1"/>
  <c r="CT7" i="5"/>
  <c r="CS7" i="5"/>
  <c r="CP7" i="5"/>
  <c r="CQ7" i="5" s="1"/>
  <c r="CY7" i="5"/>
  <c r="CZ7" i="5" s="1"/>
  <c r="CW7" i="5"/>
  <c r="I43" i="24" s="1"/>
  <c r="CV7" i="5"/>
  <c r="CU7" i="5"/>
  <c r="H43" i="24"/>
  <c r="F138" i="6"/>
  <c r="H138" i="6" s="1"/>
  <c r="F32" i="6"/>
  <c r="O47" i="7"/>
  <c r="N47" i="7"/>
  <c r="N122" i="7"/>
  <c r="O122" i="7"/>
  <c r="O90" i="7"/>
  <c r="N90" i="7"/>
  <c r="O62" i="7"/>
  <c r="N62" i="7"/>
  <c r="O50" i="7"/>
  <c r="N50" i="7"/>
  <c r="O143" i="7"/>
  <c r="N143" i="7"/>
  <c r="CY148" i="5"/>
  <c r="CZ148" i="5" s="1"/>
  <c r="CP148" i="5"/>
  <c r="CQ148" i="5" s="1"/>
  <c r="CW148" i="5"/>
  <c r="CU148" i="5"/>
  <c r="CV148" i="5" s="1"/>
  <c r="CS148" i="5"/>
  <c r="CT148" i="5" s="1"/>
  <c r="O48" i="7"/>
  <c r="N48" i="7"/>
  <c r="O96" i="7"/>
  <c r="N96" i="7"/>
  <c r="O175" i="7"/>
  <c r="N175" i="7"/>
  <c r="O57" i="7"/>
  <c r="N57" i="7"/>
  <c r="O103" i="7"/>
  <c r="N103" i="7"/>
  <c r="O89" i="7"/>
  <c r="N89" i="7"/>
  <c r="O132" i="7"/>
  <c r="N132" i="7"/>
  <c r="O144" i="7"/>
  <c r="N144" i="7"/>
  <c r="O156" i="7"/>
  <c r="N156" i="7"/>
  <c r="O168" i="7"/>
  <c r="N168" i="7"/>
  <c r="CU286" i="5"/>
  <c r="CT286" i="5"/>
  <c r="CS286" i="5"/>
  <c r="CY286" i="5"/>
  <c r="CZ286" i="5" s="1"/>
  <c r="CP286" i="5"/>
  <c r="CQ286" i="5" s="1"/>
  <c r="CW286" i="5"/>
  <c r="CV286" i="5"/>
  <c r="CU149" i="5"/>
  <c r="CV149" i="5" s="1"/>
  <c r="CT149" i="5"/>
  <c r="CP149" i="5"/>
  <c r="CQ149" i="5" s="1"/>
  <c r="CW149" i="5"/>
  <c r="CS149" i="5"/>
  <c r="CY149" i="5"/>
  <c r="CZ149" i="5" s="1"/>
  <c r="H41" i="4"/>
  <c r="CU304" i="5"/>
  <c r="CS304" i="5"/>
  <c r="CT304" i="5" s="1"/>
  <c r="CP304" i="5"/>
  <c r="CQ304" i="5" s="1"/>
  <c r="CV304" i="5"/>
  <c r="CY304" i="5"/>
  <c r="CZ304" i="5" s="1"/>
  <c r="CW304" i="5"/>
  <c r="CU18" i="5"/>
  <c r="CV18" i="5" s="1"/>
  <c r="CW18" i="5"/>
  <c r="CY18" i="5"/>
  <c r="CZ18" i="5" s="1"/>
  <c r="CS18" i="5"/>
  <c r="CT18" i="5" s="1"/>
  <c r="CP18" i="5"/>
  <c r="CQ18" i="5" s="1"/>
  <c r="O42" i="7"/>
  <c r="N42" i="7"/>
  <c r="O101" i="7"/>
  <c r="N101" i="7"/>
  <c r="O78" i="7"/>
  <c r="N78" i="7"/>
  <c r="N94" i="7"/>
  <c r="O94" i="7"/>
  <c r="N105" i="7"/>
  <c r="O105" i="7"/>
  <c r="O95" i="7"/>
  <c r="N95" i="7"/>
  <c r="O63" i="7"/>
  <c r="N63" i="7"/>
  <c r="O139" i="7"/>
  <c r="N139" i="7"/>
  <c r="O149" i="7"/>
  <c r="N149" i="7"/>
  <c r="N150" i="7"/>
  <c r="O150" i="7"/>
  <c r="O177" i="7"/>
  <c r="N177" i="7"/>
  <c r="CW213" i="5"/>
  <c r="CY213" i="5"/>
  <c r="CZ213" i="5" s="1"/>
  <c r="CP213" i="5"/>
  <c r="CQ213" i="5" s="1"/>
  <c r="CS213" i="5"/>
  <c r="CT213" i="5" s="1"/>
  <c r="CV213" i="5"/>
  <c r="CU213" i="5"/>
  <c r="O97" i="7"/>
  <c r="N97" i="7"/>
  <c r="N107" i="7"/>
  <c r="O107" i="7"/>
  <c r="O80" i="7"/>
  <c r="N80" i="7"/>
  <c r="E96" i="8"/>
  <c r="E97" i="8" s="1"/>
  <c r="N74" i="7"/>
  <c r="O74" i="7"/>
  <c r="O99" i="7"/>
  <c r="N99" i="7"/>
  <c r="O111" i="7"/>
  <c r="N111" i="7"/>
  <c r="CW63" i="5"/>
  <c r="CU63" i="5"/>
  <c r="CV63" i="5" s="1"/>
  <c r="CY63" i="5"/>
  <c r="CZ63" i="5" s="1"/>
  <c r="CP63" i="5"/>
  <c r="CQ63" i="5" s="1"/>
  <c r="CS63" i="5"/>
  <c r="CT63" i="5" s="1"/>
  <c r="O72" i="7"/>
  <c r="N72" i="7"/>
  <c r="O147" i="7"/>
  <c r="N147" i="7"/>
  <c r="CW57" i="5"/>
  <c r="CV57" i="5"/>
  <c r="CU57" i="5"/>
  <c r="CS57" i="5"/>
  <c r="CT57" i="5" s="1"/>
  <c r="CY57" i="5"/>
  <c r="CZ57" i="5" s="1"/>
  <c r="CP57" i="5"/>
  <c r="CQ57" i="5" s="1"/>
  <c r="N146" i="7"/>
  <c r="O146" i="7"/>
  <c r="O34" i="7"/>
  <c r="N34" i="7"/>
  <c r="N117" i="7"/>
  <c r="O117" i="7"/>
  <c r="N113" i="7"/>
  <c r="O113" i="7"/>
  <c r="O151" i="7"/>
  <c r="N151" i="7"/>
  <c r="CU205" i="5"/>
  <c r="CV205" i="5" s="1"/>
  <c r="CS205" i="5"/>
  <c r="CT205" i="5" s="1"/>
  <c r="CY205" i="5"/>
  <c r="CZ205" i="5" s="1"/>
  <c r="CW205" i="5"/>
  <c r="CP205" i="5"/>
  <c r="CQ205" i="5" s="1"/>
  <c r="CS217" i="5"/>
  <c r="CT217" i="5" s="1"/>
  <c r="CU217" i="5"/>
  <c r="CY217" i="5"/>
  <c r="CZ217" i="5" s="1"/>
  <c r="CW217" i="5"/>
  <c r="CP217" i="5"/>
  <c r="CQ217" i="5" s="1"/>
  <c r="CV217" i="5"/>
  <c r="O102" i="7"/>
  <c r="N102" i="7"/>
  <c r="N138" i="7"/>
  <c r="O138" i="7"/>
  <c r="O86" i="7"/>
  <c r="N86" i="7"/>
  <c r="O56" i="7"/>
  <c r="N56" i="7"/>
  <c r="O104" i="7"/>
  <c r="N104" i="7"/>
  <c r="CU301" i="5"/>
  <c r="CS301" i="5"/>
  <c r="CT301" i="5" s="1"/>
  <c r="CP301" i="5"/>
  <c r="CQ301" i="5" s="1"/>
  <c r="CW301" i="5"/>
  <c r="CY301" i="5"/>
  <c r="CZ301" i="5" s="1"/>
  <c r="CV301" i="5"/>
  <c r="O61" i="7"/>
  <c r="N61" i="7"/>
  <c r="O135" i="7"/>
  <c r="N135" i="7"/>
  <c r="O152" i="7"/>
  <c r="N152" i="7"/>
  <c r="O58" i="7"/>
  <c r="N58" i="7"/>
  <c r="N121" i="7"/>
  <c r="O121" i="7"/>
  <c r="O66" i="7"/>
  <c r="N66" i="7"/>
  <c r="O31" i="7"/>
  <c r="N31" i="7"/>
  <c r="CU259" i="5"/>
  <c r="CS259" i="5"/>
  <c r="CT259" i="5" s="1"/>
  <c r="CY259" i="5"/>
  <c r="CZ259" i="5" s="1"/>
  <c r="CW259" i="5"/>
  <c r="CV259" i="5"/>
  <c r="CP259" i="5"/>
  <c r="CQ259" i="5" s="1"/>
  <c r="CS10" i="5"/>
  <c r="CT10" i="5" s="1"/>
  <c r="CP10" i="5"/>
  <c r="CQ10" i="5" s="1"/>
  <c r="CY10" i="5"/>
  <c r="CW10" i="5"/>
  <c r="I46" i="24" s="1"/>
  <c r="E45" i="6"/>
  <c r="F45" i="6" s="1"/>
  <c r="CU10" i="5"/>
  <c r="CV10" i="5" s="1"/>
  <c r="E102" i="6"/>
  <c r="F36" i="6"/>
  <c r="F141" i="6"/>
  <c r="H141" i="6" s="1"/>
  <c r="H46" i="24"/>
  <c r="O166" i="7"/>
  <c r="N166" i="7"/>
  <c r="O173" i="7"/>
  <c r="N173" i="7"/>
  <c r="C98" i="8"/>
  <c r="C101" i="8" s="1"/>
  <c r="O43" i="7"/>
  <c r="N43" i="7"/>
  <c r="O37" i="7"/>
  <c r="N37" i="7"/>
  <c r="N38" i="7"/>
  <c r="O38" i="7"/>
  <c r="O84" i="7"/>
  <c r="N84" i="7"/>
  <c r="O174" i="7"/>
  <c r="N174" i="7"/>
  <c r="CW180" i="5"/>
  <c r="CU180" i="5"/>
  <c r="CY180" i="5"/>
  <c r="CZ180" i="5" s="1"/>
  <c r="CV180" i="5"/>
  <c r="CP180" i="5"/>
  <c r="CQ180" i="5" s="1"/>
  <c r="CS180" i="5"/>
  <c r="CT180" i="5" s="1"/>
  <c r="CU128" i="5"/>
  <c r="CV128" i="5" s="1"/>
  <c r="CY128" i="5"/>
  <c r="CZ128" i="5" s="1"/>
  <c r="CW128" i="5"/>
  <c r="CS128" i="5"/>
  <c r="CT128" i="5" s="1"/>
  <c r="CP128" i="5"/>
  <c r="CQ128" i="5" s="1"/>
  <c r="N46" i="7"/>
  <c r="O46" i="7"/>
  <c r="CU298" i="5"/>
  <c r="CV298" i="5" s="1"/>
  <c r="CS298" i="5"/>
  <c r="CT298" i="5" s="1"/>
  <c r="CY298" i="5"/>
  <c r="CZ298" i="5" s="1"/>
  <c r="CW298" i="5"/>
  <c r="CP298" i="5"/>
  <c r="CQ298" i="5" s="1"/>
  <c r="CU161" i="5"/>
  <c r="CW161" i="5"/>
  <c r="CY161" i="5"/>
  <c r="CZ161" i="5" s="1"/>
  <c r="CV161" i="5"/>
  <c r="CS161" i="5"/>
  <c r="CT161" i="5" s="1"/>
  <c r="CP161" i="5"/>
  <c r="CQ161" i="5" s="1"/>
  <c r="O119" i="7"/>
  <c r="N119" i="7"/>
  <c r="O51" i="7"/>
  <c r="N51" i="7"/>
  <c r="O169" i="7"/>
  <c r="N169" i="7"/>
  <c r="N82" i="7"/>
  <c r="O82" i="7"/>
  <c r="N109" i="7"/>
  <c r="O109" i="7"/>
  <c r="N70" i="7"/>
  <c r="O70" i="7"/>
  <c r="O131" i="7"/>
  <c r="N131" i="7"/>
  <c r="O83" i="7"/>
  <c r="N83" i="7"/>
  <c r="N114" i="7"/>
  <c r="O114" i="7"/>
  <c r="O157" i="7"/>
  <c r="N157" i="7"/>
  <c r="O65" i="7"/>
  <c r="N65" i="7"/>
  <c r="O28" i="7"/>
  <c r="N28" i="7"/>
  <c r="O40" i="7"/>
  <c r="N40" i="7"/>
  <c r="O52" i="7"/>
  <c r="N52" i="7"/>
  <c r="O64" i="7"/>
  <c r="N64" i="7"/>
  <c r="O76" i="7"/>
  <c r="N76" i="7"/>
  <c r="O88" i="7"/>
  <c r="N88" i="7"/>
  <c r="O100" i="7"/>
  <c r="N100" i="7"/>
  <c r="O112" i="7"/>
  <c r="N112" i="7"/>
  <c r="N126" i="7"/>
  <c r="O126" i="7"/>
  <c r="O81" i="7"/>
  <c r="N81" i="7"/>
  <c r="N162" i="7"/>
  <c r="O162" i="7"/>
  <c r="O75" i="7"/>
  <c r="N75" i="7"/>
  <c r="O92" i="7"/>
  <c r="N92" i="7"/>
  <c r="O171" i="7"/>
  <c r="N171" i="7"/>
  <c r="O128" i="7"/>
  <c r="N128" i="7"/>
  <c r="O176" i="7"/>
  <c r="N176" i="7"/>
  <c r="G141" i="6"/>
  <c r="CP193" i="5"/>
  <c r="CQ193" i="5" s="1"/>
  <c r="CU193" i="5"/>
  <c r="CV193" i="5" s="1"/>
  <c r="CS193" i="5"/>
  <c r="CT193" i="5" s="1"/>
  <c r="CY193" i="5"/>
  <c r="CZ193" i="5" s="1"/>
  <c r="CW193" i="5"/>
  <c r="O110" i="7"/>
  <c r="N110" i="7"/>
  <c r="O67" i="7"/>
  <c r="N67" i="7"/>
  <c r="N134" i="7"/>
  <c r="O134" i="7"/>
  <c r="O159" i="7"/>
  <c r="N159" i="7"/>
  <c r="N167" i="7"/>
  <c r="O167" i="7"/>
  <c r="O87" i="7"/>
  <c r="N87" i="7"/>
  <c r="CW225" i="5"/>
  <c r="CU225" i="5"/>
  <c r="CV225" i="5" s="1"/>
  <c r="CY225" i="5"/>
  <c r="CZ225" i="5" s="1"/>
  <c r="CS225" i="5"/>
  <c r="CT225" i="5" s="1"/>
  <c r="CP225" i="5"/>
  <c r="CQ225" i="5" s="1"/>
  <c r="O45" i="7"/>
  <c r="N45" i="7"/>
  <c r="O36" i="7"/>
  <c r="N36" i="7"/>
  <c r="O108" i="7"/>
  <c r="N108" i="7"/>
  <c r="CU152" i="5"/>
  <c r="CV152" i="5" s="1"/>
  <c r="CP152" i="5"/>
  <c r="CQ152" i="5" s="1"/>
  <c r="CY152" i="5"/>
  <c r="CZ152" i="5" s="1"/>
  <c r="CS152" i="5"/>
  <c r="CT152" i="5" s="1"/>
  <c r="CW152" i="5"/>
  <c r="N342" i="24"/>
  <c r="N343" i="24" s="1"/>
  <c r="G342" i="24"/>
  <c r="G343" i="24" s="1"/>
  <c r="O342" i="24"/>
  <c r="L342" i="24"/>
  <c r="L343" i="24" s="1"/>
  <c r="M41" i="24"/>
  <c r="M341" i="24" s="1"/>
  <c r="K41" i="24"/>
  <c r="K341" i="24" s="1"/>
  <c r="S41" i="24"/>
  <c r="S341" i="24" s="1"/>
  <c r="L41" i="24"/>
  <c r="L341" i="24" s="1"/>
  <c r="J41" i="24"/>
  <c r="J341" i="24" s="1"/>
  <c r="Q41" i="24"/>
  <c r="Q341" i="24" s="1"/>
  <c r="P41" i="24"/>
  <c r="P341" i="24" s="1"/>
  <c r="R41" i="24"/>
  <c r="R341" i="24" s="1"/>
  <c r="N41" i="24"/>
  <c r="N341" i="24" s="1"/>
  <c r="O41" i="24"/>
  <c r="O341" i="24" s="1"/>
  <c r="O71" i="7"/>
  <c r="N71" i="7"/>
  <c r="D13" i="24"/>
  <c r="D12" i="24"/>
  <c r="CW219" i="5"/>
  <c r="CP219" i="5"/>
  <c r="CQ219" i="5" s="1"/>
  <c r="CU219" i="5"/>
  <c r="CV219" i="5" s="1"/>
  <c r="CS219" i="5"/>
  <c r="CT219" i="5" s="1"/>
  <c r="CY219" i="5"/>
  <c r="CZ219" i="5" s="1"/>
  <c r="O170" i="7"/>
  <c r="N170" i="7"/>
  <c r="N158" i="7"/>
  <c r="O158" i="7"/>
  <c r="O53" i="7"/>
  <c r="N53" i="7"/>
  <c r="O133" i="7"/>
  <c r="N133" i="7"/>
  <c r="O155" i="7"/>
  <c r="N155" i="7"/>
  <c r="O115" i="7"/>
  <c r="N115" i="7"/>
  <c r="O130" i="7"/>
  <c r="N130" i="7"/>
  <c r="O39" i="7"/>
  <c r="N39" i="7"/>
  <c r="O125" i="7"/>
  <c r="N125" i="7"/>
  <c r="O153" i="7"/>
  <c r="N153" i="7"/>
  <c r="O124" i="7"/>
  <c r="N124" i="7"/>
  <c r="O136" i="7"/>
  <c r="N136" i="7"/>
  <c r="O148" i="7"/>
  <c r="N148" i="7"/>
  <c r="O160" i="7"/>
  <c r="N160" i="7"/>
  <c r="O172" i="7"/>
  <c r="N172" i="7"/>
  <c r="CU247" i="5"/>
  <c r="CV247" i="5" s="1"/>
  <c r="CS247" i="5"/>
  <c r="CT247" i="5" s="1"/>
  <c r="CY247" i="5"/>
  <c r="CZ247" i="5" s="1"/>
  <c r="CW247" i="5"/>
  <c r="CP247" i="5"/>
  <c r="CQ247" i="5" s="1"/>
  <c r="N77" i="7"/>
  <c r="O77" i="7"/>
  <c r="O59" i="7"/>
  <c r="N59" i="7"/>
  <c r="O41" i="7"/>
  <c r="N41" i="7"/>
  <c r="CU125" i="5"/>
  <c r="CV125" i="5" s="1"/>
  <c r="CT125" i="5"/>
  <c r="CY125" i="5"/>
  <c r="CZ125" i="5" s="1"/>
  <c r="CS125" i="5"/>
  <c r="CW125" i="5"/>
  <c r="CP125" i="5"/>
  <c r="CQ125" i="5" s="1"/>
  <c r="N106" i="7"/>
  <c r="O106" i="7"/>
  <c r="O44" i="7"/>
  <c r="N44" i="7"/>
  <c r="O116" i="7"/>
  <c r="N116" i="7"/>
  <c r="O164" i="7"/>
  <c r="N164" i="7"/>
  <c r="CL8" i="5"/>
  <c r="CM8" i="5" s="1"/>
  <c r="O145" i="7"/>
  <c r="N145" i="7"/>
  <c r="O137" i="7"/>
  <c r="N137" i="7"/>
  <c r="O55" i="7"/>
  <c r="N55" i="7"/>
  <c r="O35" i="7"/>
  <c r="N35" i="7"/>
  <c r="CU140" i="5"/>
  <c r="CV140" i="5" s="1"/>
  <c r="CT140" i="5"/>
  <c r="CS140" i="5"/>
  <c r="CW140" i="5"/>
  <c r="CP140" i="5"/>
  <c r="CQ140" i="5" s="1"/>
  <c r="CY140" i="5"/>
  <c r="CZ140" i="5" s="1"/>
  <c r="N98" i="7"/>
  <c r="O98" i="7"/>
  <c r="O165" i="7"/>
  <c r="N165" i="7"/>
  <c r="O123" i="7"/>
  <c r="N123" i="7"/>
  <c r="N141" i="7"/>
  <c r="O141" i="7"/>
  <c r="N79" i="7"/>
  <c r="O79" i="7"/>
  <c r="O29" i="7"/>
  <c r="N29" i="7"/>
  <c r="O60" i="7"/>
  <c r="N60" i="7"/>
  <c r="O120" i="7"/>
  <c r="N120" i="7"/>
  <c r="C98" i="3"/>
  <c r="E42" i="4" s="1"/>
  <c r="C101" i="3"/>
  <c r="CU113" i="5"/>
  <c r="CV113" i="5" s="1"/>
  <c r="CT113" i="5"/>
  <c r="CP113" i="5"/>
  <c r="CQ113" i="5" s="1"/>
  <c r="CY113" i="5"/>
  <c r="CZ113" i="5" s="1"/>
  <c r="CW113" i="5"/>
  <c r="CS113" i="5"/>
  <c r="E140" i="6"/>
  <c r="CO9" i="5"/>
  <c r="CN9" i="5"/>
  <c r="CR9" i="5"/>
  <c r="E27" i="6"/>
  <c r="G27" i="6" s="1"/>
  <c r="CU280" i="5"/>
  <c r="CV280" i="5" s="1"/>
  <c r="CS280" i="5"/>
  <c r="CT280" i="5" s="1"/>
  <c r="CW280" i="5"/>
  <c r="CP280" i="5"/>
  <c r="CQ280" i="5" s="1"/>
  <c r="CY280" i="5"/>
  <c r="CZ280" i="5" s="1"/>
  <c r="CU241" i="5"/>
  <c r="CS241" i="5"/>
  <c r="CT241" i="5" s="1"/>
  <c r="CW241" i="5"/>
  <c r="CV241" i="5"/>
  <c r="CY241" i="5"/>
  <c r="CZ241" i="5" s="1"/>
  <c r="CP241" i="5"/>
  <c r="CQ241" i="5" s="1"/>
  <c r="CU244" i="5"/>
  <c r="CV244" i="5" s="1"/>
  <c r="CT244" i="5"/>
  <c r="CS244" i="5"/>
  <c r="CW244" i="5"/>
  <c r="CP244" i="5"/>
  <c r="CQ244" i="5" s="1"/>
  <c r="CY244" i="5"/>
  <c r="CZ244" i="5" s="1"/>
  <c r="G98" i="8"/>
  <c r="G101" i="8" s="1"/>
  <c r="O163" i="7"/>
  <c r="N163" i="7"/>
  <c r="O93" i="7"/>
  <c r="N93" i="7"/>
  <c r="O161" i="7"/>
  <c r="N161" i="7"/>
  <c r="O30" i="7"/>
  <c r="N30" i="7"/>
  <c r="O154" i="7"/>
  <c r="N154" i="7"/>
  <c r="O142" i="7"/>
  <c r="N142" i="7"/>
  <c r="O69" i="7"/>
  <c r="N69" i="7"/>
  <c r="O91" i="7"/>
  <c r="N91" i="7"/>
  <c r="O49" i="7"/>
  <c r="N49" i="7"/>
  <c r="O85" i="7"/>
  <c r="N85" i="7"/>
  <c r="O127" i="7"/>
  <c r="N127" i="7"/>
  <c r="CU101" i="5"/>
  <c r="CV101" i="5"/>
  <c r="CW101" i="5"/>
  <c r="CT101" i="5"/>
  <c r="CS101" i="5"/>
  <c r="CY101" i="5"/>
  <c r="CZ101" i="5" s="1"/>
  <c r="CP101" i="5"/>
  <c r="CQ101" i="5" s="1"/>
  <c r="H102" i="8"/>
  <c r="H103" i="8" s="1"/>
  <c r="H105" i="8" s="1"/>
  <c r="C102" i="8" l="1"/>
  <c r="C103" i="8"/>
  <c r="C105" i="8" s="1"/>
  <c r="E98" i="8"/>
  <c r="E101" i="8" s="1"/>
  <c r="G102" i="8"/>
  <c r="G103" i="8"/>
  <c r="G105" i="8" s="1"/>
  <c r="H106" i="8"/>
  <c r="H108" i="8"/>
  <c r="H107" i="8"/>
  <c r="F106" i="8"/>
  <c r="F107" i="8"/>
  <c r="F108" i="8"/>
  <c r="C102" i="3"/>
  <c r="E44" i="4" s="1"/>
  <c r="AB43" i="24"/>
  <c r="V43" i="24"/>
  <c r="W43" i="24"/>
  <c r="AC43" i="24"/>
  <c r="AA43" i="24"/>
  <c r="U43" i="24"/>
  <c r="X43" i="24"/>
  <c r="T43" i="24"/>
  <c r="Z43" i="24"/>
  <c r="Y43" i="24"/>
  <c r="O343" i="24"/>
  <c r="H42" i="4"/>
  <c r="M342" i="24"/>
  <c r="M343" i="24" s="1"/>
  <c r="G140" i="6"/>
  <c r="P342" i="24"/>
  <c r="P343" i="24" s="1"/>
  <c r="E29" i="4"/>
  <c r="F28" i="4"/>
  <c r="G28" i="4" s="1"/>
  <c r="I138" i="6"/>
  <c r="F140" i="6"/>
  <c r="H140" i="6" s="1"/>
  <c r="CU9" i="5"/>
  <c r="CV9" i="5" s="1"/>
  <c r="CW9" i="5"/>
  <c r="I45" i="24" s="1"/>
  <c r="CT9" i="5"/>
  <c r="E80" i="6"/>
  <c r="F80" i="6" s="1"/>
  <c r="CY9" i="5"/>
  <c r="CZ9" i="5" s="1"/>
  <c r="CS9" i="5"/>
  <c r="F27" i="6"/>
  <c r="CP9" i="5"/>
  <c r="CQ9" i="5" s="1"/>
  <c r="E97" i="6"/>
  <c r="H45" i="24"/>
  <c r="H35" i="24"/>
  <c r="H36" i="24" s="1"/>
  <c r="Q342" i="24"/>
  <c r="Q343" i="24" s="1"/>
  <c r="I141" i="6"/>
  <c r="F42" i="4"/>
  <c r="F43" i="4" s="1"/>
  <c r="F44" i="4" s="1"/>
  <c r="S342" i="24"/>
  <c r="S343" i="24" s="1"/>
  <c r="R342" i="24"/>
  <c r="R343" i="24" s="1"/>
  <c r="J342" i="24"/>
  <c r="J343" i="24" s="1"/>
  <c r="CZ10" i="5"/>
  <c r="I30" i="7" s="1"/>
  <c r="H30" i="7"/>
  <c r="C7" i="6"/>
  <c r="CO5" i="5"/>
  <c r="CN5" i="5"/>
  <c r="C14" i="6"/>
  <c r="CR5" i="5"/>
  <c r="E136" i="6"/>
  <c r="E28" i="6"/>
  <c r="G28" i="6" s="1"/>
  <c r="H42" i="24"/>
  <c r="F137" i="6"/>
  <c r="H137" i="6" s="1"/>
  <c r="CU6" i="5"/>
  <c r="CW6" i="5"/>
  <c r="I42" i="24" s="1"/>
  <c r="CV6" i="5"/>
  <c r="CY6" i="5"/>
  <c r="CS6" i="5"/>
  <c r="CT6" i="5" s="1"/>
  <c r="CP6" i="5"/>
  <c r="CQ6" i="5" s="1"/>
  <c r="E101" i="6"/>
  <c r="F29" i="6"/>
  <c r="E43" i="6"/>
  <c r="F43" i="6" s="1"/>
  <c r="C21" i="7"/>
  <c r="D108" i="8"/>
  <c r="D106" i="8"/>
  <c r="D107" i="8"/>
  <c r="CO8" i="5"/>
  <c r="CN8" i="5"/>
  <c r="CR8" i="5"/>
  <c r="E139" i="6"/>
  <c r="K342" i="24"/>
  <c r="K343" i="24" s="1"/>
  <c r="I137" i="6"/>
  <c r="G137" i="6"/>
  <c r="E102" i="8" l="1"/>
  <c r="E103" i="8" s="1"/>
  <c r="E105" i="8" s="1"/>
  <c r="F113" i="8"/>
  <c r="F114" i="8" s="1"/>
  <c r="F119" i="8"/>
  <c r="F109" i="8"/>
  <c r="F110" i="8" s="1"/>
  <c r="F118" i="8"/>
  <c r="F117" i="8"/>
  <c r="F120" i="8" s="1"/>
  <c r="F121" i="8"/>
  <c r="G139" i="6"/>
  <c r="U45" i="24"/>
  <c r="AA45" i="24"/>
  <c r="AC45" i="24"/>
  <c r="V45" i="24"/>
  <c r="W45" i="24"/>
  <c r="AB45" i="24"/>
  <c r="Z45" i="24"/>
  <c r="T45" i="24"/>
  <c r="Y45" i="24"/>
  <c r="X45" i="24"/>
  <c r="E30" i="4"/>
  <c r="F29" i="4"/>
  <c r="G29" i="4" s="1"/>
  <c r="H117" i="8"/>
  <c r="H120" i="8" s="1"/>
  <c r="H119" i="8"/>
  <c r="H109" i="8"/>
  <c r="H110" i="8" s="1"/>
  <c r="H118" i="8"/>
  <c r="H113" i="8"/>
  <c r="H114" i="8" s="1"/>
  <c r="G106" i="8"/>
  <c r="G107" i="8"/>
  <c r="G108" i="8" s="1"/>
  <c r="CZ6" i="5"/>
  <c r="I28" i="7" s="1"/>
  <c r="H28" i="7"/>
  <c r="H41" i="24"/>
  <c r="C8" i="6"/>
  <c r="E50" i="6"/>
  <c r="F50" i="6" s="1"/>
  <c r="F28" i="6"/>
  <c r="CP5" i="5"/>
  <c r="CQ5" i="5" s="1"/>
  <c r="CY5" i="5"/>
  <c r="C16" i="6"/>
  <c r="CU5" i="5"/>
  <c r="CS5" i="5"/>
  <c r="CT5" i="5" s="1"/>
  <c r="C15" i="6"/>
  <c r="CW5" i="5"/>
  <c r="CV5" i="5"/>
  <c r="C12" i="6" s="1"/>
  <c r="F136" i="6"/>
  <c r="H136" i="6" s="1"/>
  <c r="E96" i="6"/>
  <c r="D15" i="24"/>
  <c r="H44" i="24"/>
  <c r="E69" i="6"/>
  <c r="F69" i="6" s="1"/>
  <c r="CP8" i="5"/>
  <c r="CQ8" i="5" s="1"/>
  <c r="CY8" i="5"/>
  <c r="CU8" i="5"/>
  <c r="CS8" i="5"/>
  <c r="C9" i="6" s="1"/>
  <c r="CV8" i="5"/>
  <c r="CW8" i="5"/>
  <c r="I44" i="24" s="1"/>
  <c r="F139" i="6"/>
  <c r="H139" i="6" s="1"/>
  <c r="E107" i="6"/>
  <c r="I140" i="6"/>
  <c r="D118" i="8"/>
  <c r="D109" i="8"/>
  <c r="D110" i="8" s="1"/>
  <c r="D119" i="8"/>
  <c r="D117" i="8"/>
  <c r="D120" i="8" s="1"/>
  <c r="D121" i="8"/>
  <c r="D113" i="8"/>
  <c r="D114" i="8" s="1"/>
  <c r="H44" i="4"/>
  <c r="C108" i="8"/>
  <c r="C106" i="8"/>
  <c r="C107" i="8"/>
  <c r="G136" i="6"/>
  <c r="C103" i="3"/>
  <c r="G113" i="8" l="1"/>
  <c r="G114" i="8" s="1"/>
  <c r="G117" i="8"/>
  <c r="G119" i="8"/>
  <c r="G109" i="8"/>
  <c r="G110" i="8" s="1"/>
  <c r="G121" i="8"/>
  <c r="G118" i="8"/>
  <c r="E106" i="8"/>
  <c r="E107" i="8"/>
  <c r="E108" i="8"/>
  <c r="I139" i="6"/>
  <c r="CT8" i="5"/>
  <c r="C10" i="6" s="1"/>
  <c r="H341" i="24"/>
  <c r="AC41" i="24"/>
  <c r="W41" i="24"/>
  <c r="AA41" i="24"/>
  <c r="X41" i="24"/>
  <c r="AB41" i="24"/>
  <c r="V41" i="24"/>
  <c r="H342" i="24"/>
  <c r="H343" i="24" s="1"/>
  <c r="Z41" i="24"/>
  <c r="U41" i="24"/>
  <c r="Y41" i="24"/>
  <c r="T41" i="24"/>
  <c r="I41" i="24"/>
  <c r="C13" i="6"/>
  <c r="E31" i="4"/>
  <c r="F30" i="4"/>
  <c r="G30" i="4" s="1"/>
  <c r="I136" i="6"/>
  <c r="C124" i="6"/>
  <c r="C123" i="6"/>
  <c r="C20" i="7"/>
  <c r="C19" i="7"/>
  <c r="C126" i="6"/>
  <c r="CZ5" i="5"/>
  <c r="C118" i="8"/>
  <c r="C109" i="8"/>
  <c r="C110" i="8" s="1"/>
  <c r="C117" i="8"/>
  <c r="C113" i="8"/>
  <c r="C114" i="8" s="1"/>
  <c r="C121" i="8"/>
  <c r="C119" i="8"/>
  <c r="C105" i="3"/>
  <c r="F29" i="2"/>
  <c r="E29" i="2"/>
  <c r="CZ8" i="5"/>
  <c r="I29" i="7" s="1"/>
  <c r="H29" i="7"/>
  <c r="C11" i="6"/>
  <c r="H121" i="8"/>
  <c r="I33" i="24"/>
  <c r="I27" i="24"/>
  <c r="D19" i="24"/>
  <c r="I26" i="24"/>
  <c r="I31" i="24"/>
  <c r="I28" i="24"/>
  <c r="I29" i="24"/>
  <c r="I34" i="24"/>
  <c r="D18" i="24"/>
  <c r="I30" i="24"/>
  <c r="D17" i="24"/>
  <c r="D16" i="24"/>
  <c r="I25" i="24"/>
  <c r="I32" i="24"/>
  <c r="C119" i="6"/>
  <c r="C17" i="6"/>
  <c r="C122" i="6"/>
  <c r="J32" i="24" l="1"/>
  <c r="J26" i="24"/>
  <c r="J31" i="24"/>
  <c r="J33" i="24"/>
  <c r="J34" i="24"/>
  <c r="J29" i="24"/>
  <c r="J30" i="24"/>
  <c r="L30" i="24" s="1"/>
  <c r="J28" i="24"/>
  <c r="L28" i="24" s="1"/>
  <c r="J27" i="24"/>
  <c r="J25" i="24"/>
  <c r="J35" i="24" s="1"/>
  <c r="J36" i="24" s="1"/>
  <c r="K32" i="24"/>
  <c r="L32" i="24" s="1"/>
  <c r="K26" i="24"/>
  <c r="K31" i="24"/>
  <c r="K34" i="24"/>
  <c r="K30" i="24"/>
  <c r="K33" i="24"/>
  <c r="K27" i="24"/>
  <c r="K25" i="24"/>
  <c r="K29" i="24"/>
  <c r="K28" i="24"/>
  <c r="U341" i="24"/>
  <c r="U342" i="24"/>
  <c r="U343" i="24" s="1"/>
  <c r="E118" i="8"/>
  <c r="E109" i="8"/>
  <c r="E110" i="8" s="1"/>
  <c r="E113" i="8"/>
  <c r="E117" i="8"/>
  <c r="E114" i="8"/>
  <c r="E121" i="8"/>
  <c r="E119" i="8"/>
  <c r="L34" i="24"/>
  <c r="Z341" i="24"/>
  <c r="Z342" i="24"/>
  <c r="Z343" i="24" s="1"/>
  <c r="L29" i="24"/>
  <c r="L26" i="24"/>
  <c r="AA341" i="24"/>
  <c r="AA342" i="24"/>
  <c r="AA343" i="24" s="1"/>
  <c r="C120" i="8"/>
  <c r="E32" i="4"/>
  <c r="F31" i="4"/>
  <c r="G31" i="4" s="1"/>
  <c r="W341" i="24"/>
  <c r="W342" i="24"/>
  <c r="W343" i="24" s="1"/>
  <c r="C106" i="3"/>
  <c r="E45" i="4"/>
  <c r="C107" i="3"/>
  <c r="F47" i="4" s="1"/>
  <c r="F30" i="2"/>
  <c r="G40" i="4"/>
  <c r="G39" i="4"/>
  <c r="G43" i="4"/>
  <c r="E64" i="4"/>
  <c r="F64" i="4" s="1"/>
  <c r="G41" i="4"/>
  <c r="G42" i="4"/>
  <c r="G44" i="4"/>
  <c r="V341" i="24"/>
  <c r="V342" i="24"/>
  <c r="V343" i="24" s="1"/>
  <c r="L27" i="24"/>
  <c r="I35" i="24"/>
  <c r="I36" i="24" s="1"/>
  <c r="L33" i="24"/>
  <c r="AC341" i="24"/>
  <c r="AC342" i="24"/>
  <c r="AC343" i="24" s="1"/>
  <c r="T341" i="24"/>
  <c r="T342" i="24"/>
  <c r="T343" i="24" s="1"/>
  <c r="C127" i="6"/>
  <c r="C117" i="6"/>
  <c r="D117" i="6" s="1"/>
  <c r="C115" i="6"/>
  <c r="D115" i="6" s="1"/>
  <c r="G116" i="6"/>
  <c r="G114" i="6"/>
  <c r="E117" i="6"/>
  <c r="E114" i="6"/>
  <c r="C114" i="6"/>
  <c r="D114" i="6" s="1"/>
  <c r="G117" i="6"/>
  <c r="E116" i="6"/>
  <c r="C116" i="6"/>
  <c r="D116" i="6" s="1"/>
  <c r="G115" i="6"/>
  <c r="C22" i="7"/>
  <c r="C121" i="6"/>
  <c r="C120" i="6"/>
  <c r="E115" i="6"/>
  <c r="Y341" i="24"/>
  <c r="Y342" i="24"/>
  <c r="Y343" i="24" s="1"/>
  <c r="L31" i="24"/>
  <c r="AB341" i="24"/>
  <c r="AB342" i="24"/>
  <c r="AB343" i="24" s="1"/>
  <c r="X341" i="24"/>
  <c r="X342" i="24"/>
  <c r="X343" i="24" s="1"/>
  <c r="I341" i="24"/>
  <c r="I342" i="24"/>
  <c r="G120" i="8"/>
  <c r="F115" i="6" l="1"/>
  <c r="H115" i="6"/>
  <c r="H116" i="6"/>
  <c r="F116" i="6"/>
  <c r="E33" i="4"/>
  <c r="F32" i="4"/>
  <c r="G32" i="4" s="1"/>
  <c r="H117" i="6"/>
  <c r="F117" i="6"/>
  <c r="C108" i="3"/>
  <c r="G45" i="4"/>
  <c r="G46" i="4" s="1"/>
  <c r="H45" i="4"/>
  <c r="F45" i="4"/>
  <c r="F46" i="4" s="1"/>
  <c r="E30" i="2"/>
  <c r="H46" i="4"/>
  <c r="E120" i="8"/>
  <c r="K35" i="24"/>
  <c r="K36" i="24" s="1"/>
  <c r="H114" i="6"/>
  <c r="F114" i="6"/>
  <c r="L25" i="24"/>
  <c r="L35" i="24" s="1"/>
  <c r="L36" i="24" s="1"/>
  <c r="C117" i="3" l="1"/>
  <c r="C120" i="3" s="1"/>
  <c r="C119" i="3"/>
  <c r="C118" i="3"/>
  <c r="C113" i="3"/>
  <c r="F51" i="4" s="1"/>
  <c r="C109" i="3"/>
  <c r="F48" i="4"/>
  <c r="F31" i="2"/>
  <c r="E34" i="4"/>
  <c r="F33" i="4"/>
  <c r="G33" i="4" s="1"/>
  <c r="E35" i="4" l="1"/>
  <c r="F34" i="4"/>
  <c r="C110" i="3"/>
  <c r="E32" i="2" s="1"/>
  <c r="E31" i="2"/>
  <c r="C114" i="3"/>
  <c r="F52" i="4" s="1"/>
  <c r="C121" i="3"/>
  <c r="F35" i="4" l="1"/>
  <c r="H35" i="4" s="1"/>
  <c r="G34" i="4"/>
</calcChain>
</file>

<file path=xl/sharedStrings.xml><?xml version="1.0" encoding="utf-8"?>
<sst xmlns="http://schemas.openxmlformats.org/spreadsheetml/2006/main" count="5835" uniqueCount="2957">
  <si>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</si>
  <si>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</si>
  <si>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</si>
  <si>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</si>
  <si>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</si>
  <si>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</si>
  <si>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</si>
  <si>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</si>
  <si>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</si>
  <si>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</si>
  <si>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</si>
  <si>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</si>
  <si>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</si>
  <si>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</si>
  <si>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</si>
  <si>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</si>
  <si>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</si>
  <si>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</si>
  <si>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</si>
  <si>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</si>
  <si>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</si>
  <si>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</si>
  <si>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</si>
  <si>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</si>
  <si>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</si>
  <si>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</si>
  <si>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</si>
  <si>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</si>
  <si>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</si>
  <si>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</si>
  <si>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</si>
  <si>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</si>
  <si>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</si>
  <si>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</si>
  <si>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</si>
  <si>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</si>
  <si>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</si>
  <si>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</si>
  <si>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</si>
  <si>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</si>
  <si>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</si>
  <si>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</si>
  <si>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</si>
  <si>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</si>
  <si>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</si>
  <si>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</si>
  <si>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each writing a 10% line, with indicative line size, binder type and the 25% commission (12.5% Torque Underwriters / 12.5% broker) linked from Commission Structure, plus alternates and a placement checklist.</t>
  </si>
  <si>
    <t>Security Schedule</t>
  </si>
  <si>
    <t>Who is on risk for how much: the ten-market panel with each syndicate's 10% signed line, its share of TIV on risk, gross premium, the 25% commission split (12.5% Torque Underwriters / 12.5% broker) and net premium to market - at panel level and one row per register vehicle.</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</si>
  <si>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</si>
  <si>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</si>
  <si>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</si>
  <si>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</si>
  <si>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</si>
  <si>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</si>
  <si>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</si>
  <si>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</si>
  <si>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</si>
  <si>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</si>
  <si>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</si>
  <si>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</si>
  <si>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</si>
  <si>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</si>
  <si>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</si>
  <si>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</si>
  <si>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</si>
  <si>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</si>
  <si>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</si>
  <si>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</si>
  <si>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</si>
  <si>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</si>
  <si>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</si>
  <si>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</si>
  <si>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</si>
  <si>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</si>
  <si>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</si>
  <si>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</si>
  <si>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</si>
  <si>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</si>
  <si>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</si>
  <si>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</si>
  <si>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</si>
  <si>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</si>
  <si>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</si>
  <si>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</si>
  <si>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</si>
  <si>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</si>
  <si>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</si>
  <si>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</si>
  <si>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</si>
  <si>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</si>
  <si>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</si>
  <si>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</si>
  <si>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</si>
  <si>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</si>
  <si>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</si>
  <si>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</si>
  <si>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</si>
  <si>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</si>
  <si>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</si>
  <si>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</si>
  <si>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</si>
  <si>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</si>
  <si>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</si>
  <si>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</si>
  <si>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</si>
  <si>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</si>
  <si>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</si>
  <si>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</si>
  <si>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</si>
  <si>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</si>
  <si>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</si>
  <si>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</si>
  <si>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</si>
  <si>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</si>
  <si>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</si>
  <si>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</si>
  <si>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</si>
  <si>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</si>
  <si>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</si>
  <si>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</si>
  <si>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</si>
  <si>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</si>
  <si>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</si>
  <si>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</si>
  <si>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</si>
  <si>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</si>
  <si>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</si>
  <si>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</si>
  <si>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</si>
  <si>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</si>
  <si>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</si>
  <si>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</si>
  <si>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</si>
  <si>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</si>
  <si>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</si>
  <si>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</si>
  <si>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</si>
  <si>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</si>
  <si>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</si>
  <si>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</si>
  <si>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</si>
  <si>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</si>
  <si>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</si>
  <si>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</si>
  <si>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</si>
  <si>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</si>
  <si>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</si>
  <si>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</si>
  <si>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</si>
  <si>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</si>
  <si>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</si>
  <si>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</si>
  <si>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</si>
  <si>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</si>
  <si>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</si>
  <si>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</si>
  <si>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</si>
  <si>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</si>
  <si>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</si>
  <si>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</si>
  <si>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</si>
  <si>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</si>
  <si>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</si>
  <si>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</si>
  <si>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</si>
  <si>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</si>
  <si>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</si>
  <si>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</si>
  <si>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</si>
  <si>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</si>
  <si>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</si>
  <si>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</si>
  <si>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</si>
  <si>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</si>
  <si>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</si>
  <si>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</si>
  <si>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</si>
  <si>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</si>
  <si>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</si>
  <si>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</si>
  <si>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</si>
  <si>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</si>
  <si>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</si>
  <si>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</si>
  <si>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</si>
  <si>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</si>
  <si>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</si>
  <si>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</si>
  <si>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</si>
  <si>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</si>
  <si>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</si>
  <si>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</si>
  <si>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</si>
  <si>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</si>
  <si>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</si>
  <si>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</si>
  <si>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</si>
  <si>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</si>
  <si>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</si>
  <si>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</si>
  <si>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</si>
  <si>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</si>
  <si>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</si>
  <si>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</si>
  <si>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</si>
  <si>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</si>
  <si>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</si>
  <si>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</si>
  <si>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</si>
  <si>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</si>
  <si>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</si>
  <si>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</si>
  <si>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</si>
  <si>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</si>
  <si>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</si>
  <si>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</si>
  <si>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</si>
  <si>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</si>
  <si>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</si>
  <si>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</si>
  <si>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</si>
  <si>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</si>
  <si>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</si>
  <si>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</si>
  <si>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</si>
  <si>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</si>
  <si>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</si>
  <si>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</si>
  <si>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</si>
  <si>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</si>
  <si>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</si>
  <si>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</si>
  <si>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</si>
  <si>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</si>
  <si>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</si>
  <si>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</si>
  <si>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</si>
  <si>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</si>
  <si>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</si>
  <si>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</si>
  <si>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</si>
  <si>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</si>
  <si>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</si>
  <si>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</si>
  <si>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</si>
  <si>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</si>
  <si>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</si>
  <si>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</si>
  <si>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</si>
  <si>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</si>
  <si>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</si>
  <si>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</si>
  <si>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</si>
  <si>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</si>
  <si>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</si>
  <si>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</si>
  <si>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</si>
  <si>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</si>
  <si>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</si>
  <si>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</si>
  <si>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</si>
  <si>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</si>
  <si>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</si>
  <si>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</si>
  <si>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</si>
  <si>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</si>
  <si>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</si>
  <si>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</si>
  <si>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</si>
  <si>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</si>
  <si>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</si>
  <si>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</si>
  <si>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</si>
  <si>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</si>
  <si>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</si>
  <si>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</si>
  <si>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</si>
  <si>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</si>
  <si>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</si>
  <si>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</si>
  <si>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</si>
  <si>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</si>
  <si>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</si>
  <si>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</si>
  <si>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</si>
  <si>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</si>
  <si>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</si>
  <si>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</si>
  <si>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</si>
  <si>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</si>
  <si>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</si>
  <si>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</si>
  <si>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</si>
  <si>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</si>
  <si>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</si>
  <si>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</si>
  <si>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</si>
  <si>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</si>
  <si>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</si>
  <si>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</si>
  <si>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</si>
  <si>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</si>
  <si>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</si>
  <si>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</si>
  <si>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</si>
  <si>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</si>
  <si>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</si>
  <si>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</si>
  <si>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</si>
  <si>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</si>
  <si>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</si>
  <si>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</si>
  <si>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</si>
  <si>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</si>
  <si>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</si>
  <si>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</si>
  <si>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</si>
  <si>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</si>
  <si>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</si>
  <si>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</si>
  <si>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</si>
  <si>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</si>
  <si>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</si>
  <si>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</si>
  <si>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</si>
  <si>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</si>
  <si>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</si>
  <si>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</si>
  <si>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</si>
  <si>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</si>
  <si>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</si>
  <si>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</si>
  <si>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</si>
  <si>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</si>
  <si>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</si>
  <si>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</si>
  <si>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</si>
  <si>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</si>
  <si>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</si>
  <si>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</si>
  <si>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</si>
  <si>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</si>
  <si>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</si>
  <si>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</si>
  <si>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</si>
  <si>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</si>
  <si>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</si>
  <si>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</si>
  <si>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</si>
  <si>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</si>
  <si>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Referral / decline reason(s)</t>
  </si>
  <si>
    <t>Lists every trigger that fired in row 122, with the figure that tripped it. The same wording is used by the 'Referral reason (auto)' column on the Portfolio Register, so a risk keyed here reconciles to the Referral Log.</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</si>
  <si>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</si>
  <si>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</si>
  <si>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</si>
  <si>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</si>
  <si>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</si>
  <si>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</si>
  <si>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</si>
  <si>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</si>
  <si>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</si>
  <si>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</si>
  <si>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</si>
  <si>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</si>
  <si>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</si>
  <si>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</si>
  <si>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</si>
  <si>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</si>
  <si>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</si>
  <si>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</si>
  <si>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</si>
  <si>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</si>
  <si>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</si>
  <si>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</si>
  <si>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</si>
  <si>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</si>
  <si>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</si>
  <si>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</si>
  <si>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</si>
  <si>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</si>
  <si>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</si>
  <si>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</si>
  <si>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</si>
  <si>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</si>
  <si>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</si>
  <si>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</si>
  <si>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</si>
  <si>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</si>
  <si>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</si>
  <si>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</si>
  <si>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</si>
  <si>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</si>
  <si>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</si>
  <si>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</si>
  <si>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</si>
  <si>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</si>
  <si>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</si>
  <si>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</si>
  <si>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</si>
  <si>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</si>
  <si>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</si>
  <si>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</si>
  <si>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</si>
  <si>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</si>
  <si>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</si>
  <si>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</si>
  <si>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</si>
  <si>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</si>
  <si>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</si>
  <si>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</si>
  <si>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</si>
  <si>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</si>
  <si>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</si>
  <si>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</si>
  <si>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</si>
  <si>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</si>
  <si>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</si>
  <si>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</si>
  <si>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</si>
  <si>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</si>
  <si>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</si>
  <si>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</si>
  <si>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</si>
  <si>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</si>
  <si>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</si>
  <si>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</si>
  <si>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</si>
  <si>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</si>
  <si>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</si>
  <si>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</si>
  <si>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</si>
  <si>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</si>
  <si>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</si>
  <si>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</si>
  <si>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</si>
  <si>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</si>
  <si>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</si>
  <si>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</si>
  <si>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</si>
  <si>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</si>
  <si>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</si>
  <si>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</si>
  <si>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</si>
  <si>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</si>
  <si>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</si>
  <si>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</si>
  <si>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</si>
  <si>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</si>
  <si>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</si>
  <si>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</si>
  <si>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</si>
  <si>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</si>
  <si>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</si>
  <si>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</si>
  <si>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</si>
  <si>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</si>
  <si>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</si>
  <si>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</si>
  <si>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</si>
  <si>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</si>
  <si>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</si>
  <si>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</si>
  <si>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</si>
  <si>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</si>
  <si>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</si>
  <si>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</si>
  <si>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</si>
  <si>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</si>
  <si>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</si>
  <si>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</si>
  <si>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</si>
  <si>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</si>
  <si>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</si>
  <si>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</si>
  <si>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</si>
  <si>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</si>
  <si>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</si>
  <si>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</si>
  <si>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</si>
  <si>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</si>
  <si>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</si>
  <si>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</si>
  <si>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</si>
  <si>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</si>
  <si>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</si>
  <si>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</si>
  <si>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</si>
  <si>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</si>
  <si>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</si>
  <si>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</si>
  <si>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</si>
  <si>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</si>
  <si>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</si>
  <si>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</si>
  <si>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</si>
  <si>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</si>
  <si>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</si>
  <si>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</si>
  <si>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</si>
  <si>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</si>
  <si>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</si>
  <si>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</si>
  <si>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</si>
  <si>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</si>
  <si>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</si>
  <si>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</si>
  <si>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</si>
  <si>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</si>
  <si>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</si>
  <si>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</si>
  <si>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</si>
  <si>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</si>
  <si>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</si>
  <si>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</si>
  <si>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</si>
  <si>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</si>
  <si>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</si>
  <si>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</si>
  <si>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</si>
  <si>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</si>
  <si>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</si>
  <si>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</si>
  <si>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</si>
  <si>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</si>
  <si>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</si>
  <si>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</si>
  <si>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</si>
  <si>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</si>
  <si>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</si>
  <si>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</si>
  <si>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</si>
  <si>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</si>
  <si>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</si>
  <si>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</si>
  <si>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</si>
  <si>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</si>
  <si>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</si>
  <si>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</si>
  <si>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</si>
  <si>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</si>
  <si>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</si>
  <si>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</si>
  <si>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</si>
  <si>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</si>
  <si>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</si>
  <si>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</si>
  <si>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</si>
  <si>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</si>
  <si>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</si>
  <si>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</si>
  <si>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</si>
  <si>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</si>
  <si>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</si>
  <si>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</si>
  <si>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</si>
  <si>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</si>
  <si>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</si>
  <si>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</si>
  <si>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</si>
  <si>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</si>
  <si>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</si>
  <si>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</si>
  <si>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</si>
  <si>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</si>
  <si>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</si>
  <si>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</si>
  <si>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</si>
  <si>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</si>
  <si>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</si>
  <si>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</si>
  <si>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</si>
  <si>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</si>
  <si>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</si>
  <si>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</si>
  <si>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</si>
  <si>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</si>
  <si>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</si>
  <si>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</si>
  <si>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</si>
  <si>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</si>
  <si>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</si>
  <si>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</si>
  <si>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</si>
  <si>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</si>
  <si>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</si>
  <si>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</si>
  <si>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</si>
  <si>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</si>
  <si>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</si>
  <si>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</si>
  <si>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</si>
  <si>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</si>
  <si>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</si>
  <si>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</si>
  <si>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</si>
  <si>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</si>
  <si>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</si>
  <si>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</si>
  <si>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</si>
  <si>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</si>
  <si>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</si>
  <si>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</si>
  <si>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</si>
  <si>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</si>
  <si>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</si>
  <si>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</si>
  <si>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</si>
  <si>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</si>
  <si>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</si>
  <si>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</si>
  <si>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</si>
  <si>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</si>
  <si>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</si>
  <si>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</si>
  <si>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</si>
  <si>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</si>
  <si>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</si>
  <si>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</si>
  <si>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</si>
  <si>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</si>
  <si>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</si>
  <si>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</si>
  <si>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</si>
  <si>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</si>
  <si>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</si>
  <si>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</si>
  <si>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</si>
  <si>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</si>
  <si>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</si>
  <si>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</si>
  <si>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</si>
  <si>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</si>
  <si>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</si>
  <si>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</si>
  <si>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</si>
  <si>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</si>
  <si>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</si>
  <si>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</si>
  <si>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</si>
  <si>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</si>
  <si>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</si>
  <si>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</si>
  <si>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</si>
  <si>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</si>
  <si>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</si>
  <si>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</si>
  <si>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</si>
  <si>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</si>
  <si>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</si>
  <si>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</si>
  <si>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</si>
  <si>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</si>
  <si>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</si>
  <si>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</si>
  <si>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</si>
  <si>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</si>
  <si>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</si>
  <si>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</si>
  <si>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</si>
  <si>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</si>
  <si>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</si>
  <si>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</si>
  <si>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</si>
  <si>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</si>
  <si>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</si>
  <si>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</si>
  <si>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</si>
  <si>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</si>
  <si>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</si>
  <si>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</si>
  <si>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</si>
  <si>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</si>
  <si>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</si>
  <si>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</si>
  <si>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</si>
  <si>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</si>
  <si>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</si>
  <si>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</si>
  <si>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</si>
  <si>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</si>
  <si>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</si>
  <si>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</si>
  <si>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</si>
  <si>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</si>
  <si>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</si>
  <si>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</si>
  <si>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</si>
  <si>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</si>
  <si>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</si>
  <si>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</si>
  <si>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</si>
  <si>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</si>
  <si>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</si>
  <si>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</si>
  <si>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</si>
  <si>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</si>
  <si>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</si>
  <si>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</si>
  <si>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</si>
  <si>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</si>
  <si>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</si>
  <si>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</si>
  <si>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</si>
  <si>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</si>
  <si>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</si>
  <si>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</si>
  <si>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</si>
  <si>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</si>
  <si>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</si>
  <si>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</si>
  <si>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</si>
  <si>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</si>
  <si>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</si>
  <si>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</si>
  <si>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</si>
  <si>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</si>
  <si>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</si>
  <si>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</si>
  <si>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</si>
  <si>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</si>
  <si>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</si>
  <si>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</si>
  <si>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</si>
  <si>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</si>
  <si>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</si>
  <si>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</si>
  <si>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</si>
  <si>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</si>
  <si>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</si>
  <si>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</si>
  <si>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</si>
  <si>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</si>
  <si>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</si>
  <si>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</si>
  <si>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</si>
  <si>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</si>
  <si>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</si>
  <si>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</si>
  <si>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</si>
  <si>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</si>
  <si>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</si>
  <si>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</si>
  <si>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</si>
  <si>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</si>
  <si>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</si>
  <si>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</si>
  <si>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</si>
  <si>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</si>
  <si>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</si>
  <si>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</si>
  <si>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</si>
  <si>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</si>
  <si>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</si>
  <si>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</si>
  <si>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</si>
  <si>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</si>
  <si>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</si>
  <si>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</si>
  <si>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</si>
  <si>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</si>
  <si>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</si>
  <si>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</si>
  <si>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</si>
  <si>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</si>
  <si>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</si>
  <si>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</si>
  <si>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</si>
  <si>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</si>
  <si>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</si>
  <si>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</si>
  <si>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</si>
  <si>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</si>
  <si>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</si>
  <si>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</si>
  <si>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</si>
  <si>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</si>
  <si>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</si>
  <si>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</si>
  <si>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</si>
  <si>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</si>
  <si>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</si>
  <si>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</si>
  <si>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</si>
  <si>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</si>
  <si>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</si>
  <si>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</si>
  <si>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</si>
  <si>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</si>
  <si>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</si>
  <si>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</si>
  <si>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</si>
  <si>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</si>
  <si>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</si>
  <si>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</si>
  <si>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</si>
  <si>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</si>
  <si>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</si>
  <si>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</si>
  <si>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</si>
  <si>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</si>
  <si>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</si>
  <si>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</si>
  <si>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</si>
  <si>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</si>
  <si>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</si>
  <si>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</si>
  <si>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</si>
  <si>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</si>
  <si>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</si>
  <si>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</si>
  <si>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</si>
  <si>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</si>
  <si>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</si>
  <si>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</si>
  <si>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</si>
  <si>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</si>
  <si>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</si>
  <si>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</si>
  <si>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</si>
  <si>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</si>
  <si>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</si>
  <si>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</si>
  <si>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</si>
  <si>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</si>
  <si>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</si>
  <si>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</si>
  <si>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</si>
  <si>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</si>
  <si>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</si>
  <si>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</si>
  <si>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</si>
  <si>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</si>
  <si>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</si>
  <si>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</si>
  <si>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</si>
  <si>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</si>
  <si>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</si>
  <si>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</si>
  <si>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</si>
  <si>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</si>
  <si>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</si>
  <si>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</si>
  <si>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</si>
  <si>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</si>
  <si>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</si>
  <si>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</si>
  <si>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</si>
  <si>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</si>
  <si>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</si>
  <si>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</si>
  <si>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</si>
  <si>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</si>
  <si>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</si>
  <si>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</si>
  <si>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</si>
  <si>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</si>
  <si>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</si>
  <si>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</si>
  <si>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</si>
  <si>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</si>
  <si>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</si>
  <si>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</si>
  <si>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</si>
  <si>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</si>
  <si>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</si>
  <si>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</si>
  <si>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</si>
  <si>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</si>
  <si>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</si>
  <si>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</si>
  <si>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</si>
  <si>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</si>
  <si>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</si>
  <si>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</si>
  <si>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</si>
  <si>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</si>
  <si>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</si>
  <si>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</si>
  <si>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</si>
  <si>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</si>
  <si>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</si>
  <si>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</si>
  <si>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</si>
  <si>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</si>
  <si>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</si>
  <si>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</si>
  <si>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</si>
  <si>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</si>
  <si>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</si>
  <si>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</si>
  <si>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</si>
  <si>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</si>
  <si>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</si>
  <si>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</si>
  <si>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</si>
  <si>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</si>
  <si>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</si>
  <si>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</si>
  <si>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</si>
  <si>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</si>
  <si>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</si>
  <si>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</si>
  <si>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</si>
  <si>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</si>
  <si>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</si>
  <si>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</si>
  <si>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</si>
  <si>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</si>
  <si>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</si>
  <si>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</si>
  <si>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</si>
  <si>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</si>
  <si>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</si>
  <si>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</si>
  <si>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</si>
  <si>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</si>
  <si>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</si>
  <si>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</si>
  <si>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</si>
  <si>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</si>
  <si>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</si>
  <si>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</si>
  <si>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</si>
  <si>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</si>
  <si>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</si>
  <si>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</si>
  <si>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</si>
  <si>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</si>
  <si>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</si>
  <si>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</si>
  <si>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</si>
  <si>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</si>
  <si>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</si>
  <si>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</si>
  <si>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</si>
  <si>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</si>
  <si>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</si>
  <si>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</si>
  <si>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</si>
  <si>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</si>
  <si>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</si>
  <si>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</si>
  <si>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</si>
  <si>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</si>
  <si>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</si>
  <si>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</si>
  <si>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</si>
  <si>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</si>
  <si>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</si>
  <si>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</si>
  <si>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</si>
  <si>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</si>
  <si>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</si>
  <si>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</si>
  <si>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</si>
  <si>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</si>
  <si>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</si>
  <si>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</si>
  <si>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</si>
  <si>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</si>
  <si>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</si>
  <si>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</si>
  <si>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</si>
  <si>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</si>
  <si>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</si>
  <si>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</si>
  <si>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</si>
  <si>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</si>
  <si>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</si>
  <si>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</si>
  <si>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</si>
  <si>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</si>
  <si>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</si>
  <si>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</si>
  <si>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</si>
  <si>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</si>
  <si>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</si>
  <si>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</si>
  <si>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</si>
  <si>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</si>
  <si>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</si>
  <si>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</si>
  <si>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</si>
  <si>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</si>
  <si>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</si>
  <si>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</si>
  <si>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</si>
  <si>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</si>
  <si>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</si>
  <si>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</si>
  <si>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</si>
  <si>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</si>
  <si>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</si>
  <si>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</si>
  <si>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</si>
  <si>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</si>
  <si>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</si>
  <si>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</si>
  <si>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</si>
  <si>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</si>
  <si>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</si>
  <si>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</si>
  <si>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</si>
  <si>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</si>
  <si>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</si>
  <si>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</si>
  <si>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</si>
  <si>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</si>
  <si>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</si>
  <si>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</si>
  <si>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</si>
  <si>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</si>
  <si>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</si>
  <si>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</si>
  <si>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</si>
  <si>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</si>
  <si>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</si>
  <si>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</si>
  <si>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</si>
  <si>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</si>
  <si>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</si>
  <si>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</si>
  <si>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</si>
  <si>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</si>
  <si>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</si>
  <si>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</si>
  <si>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</si>
  <si>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</si>
  <si>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</si>
  <si>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</si>
  <si>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</si>
  <si>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</si>
  <si>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</si>
  <si>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</si>
  <si>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</si>
  <si>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</si>
  <si>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</si>
  <si>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</si>
  <si>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</si>
  <si>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</si>
  <si>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</si>
  <si>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</si>
  <si>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</si>
  <si>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</si>
  <si>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</si>
  <si>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</si>
  <si>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</si>
  <si>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</si>
  <si>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</si>
  <si>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</si>
  <si>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</si>
  <si>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</si>
  <si>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</si>
  <si>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</si>
  <si>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</si>
  <si>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</si>
  <si>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</si>
  <si>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</si>
  <si>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</si>
  <si>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</si>
  <si>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</si>
  <si>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</si>
  <si>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</si>
  <si>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</si>
  <si>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</si>
  <si>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</si>
  <si>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</si>
  <si>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</si>
  <si>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</si>
  <si>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</si>
  <si>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</si>
  <si>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</si>
  <si>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</si>
  <si>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</si>
  <si>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</si>
  <si>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</si>
  <si>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</si>
  <si>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</si>
  <si>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</si>
  <si>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</si>
  <si>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</si>
  <si>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</si>
  <si>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</si>
  <si>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</si>
  <si>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</si>
  <si>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</si>
  <si>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</si>
  <si>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</si>
  <si>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</si>
  <si>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</si>
  <si>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</si>
  <si>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</si>
  <si>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</si>
  <si>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</si>
  <si>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</si>
  <si>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</si>
  <si>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</si>
  <si>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</si>
  <si>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</si>
  <si>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</si>
  <si>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</si>
  <si>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</si>
  <si>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</si>
  <si>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</si>
  <si>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</si>
  <si>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</si>
  <si>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</si>
  <si>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</si>
  <si>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</si>
  <si>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</si>
  <si>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</si>
  <si>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</si>
  <si>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</si>
  <si>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</si>
  <si>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</si>
  <si>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</si>
  <si>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</si>
  <si>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</si>
  <si>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</si>
  <si>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</si>
  <si>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</si>
  <si>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</si>
  <si>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</si>
  <si>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</si>
  <si>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</si>
  <si>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</si>
  <si>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</si>
  <si>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</si>
  <si>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</si>
  <si>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</si>
  <si>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</si>
  <si>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</si>
  <si>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</si>
  <si>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</si>
  <si>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</si>
  <si>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</si>
  <si>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</si>
  <si>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</si>
  <si>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</si>
  <si>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</si>
  <si>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</si>
  <si>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</si>
  <si>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</si>
  <si>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</si>
  <si>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</si>
  <si>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</si>
  <si>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</si>
  <si>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</si>
  <si>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</si>
  <si>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</si>
  <si>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</si>
  <si>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</si>
  <si>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</si>
  <si>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</si>
  <si>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</si>
  <si>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</si>
  <si>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</si>
  <si>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</si>
  <si>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</si>
  <si>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</si>
  <si>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</si>
  <si>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</si>
  <si>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</si>
  <si>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</si>
  <si>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</si>
  <si>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</si>
  <si>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</si>
  <si>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</si>
  <si>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</si>
  <si>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</si>
  <si>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</si>
  <si>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</si>
  <si>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</si>
  <si>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</si>
  <si>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</si>
  <si>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</si>
  <si>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</si>
  <si>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</si>
  <si>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</si>
  <si>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</si>
  <si>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</si>
  <si>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</si>
  <si>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</si>
  <si>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</si>
  <si>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</si>
  <si>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</si>
  <si>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</si>
  <si>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</si>
  <si>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</si>
  <si>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</si>
  <si>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</si>
  <si>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</si>
  <si>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</si>
  <si>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</si>
  <si>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</si>
  <si>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</si>
  <si>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</si>
  <si>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</si>
  <si>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</si>
  <si>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</si>
  <si>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</si>
  <si>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</si>
  <si>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</si>
  <si>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</si>
  <si>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</si>
  <si>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</si>
  <si>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</si>
  <si>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</si>
  <si>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</si>
  <si>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</si>
  <si>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</si>
  <si>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</si>
  <si>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</si>
  <si>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</si>
  <si>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</si>
  <si>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</si>
  <si>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</si>
  <si>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</si>
  <si>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</si>
  <si>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</si>
  <si>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</si>
  <si>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</si>
  <si>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</si>
  <si>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</si>
  <si>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</si>
  <si>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</si>
  <si>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</si>
  <si>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</si>
  <si>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</si>
  <si>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</si>
  <si>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</si>
  <si>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</si>
  <si>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</si>
  <si>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</si>
  <si>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</si>
  <si>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</si>
  <si>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</si>
  <si>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</si>
  <si>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</si>
  <si>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</si>
  <si>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</si>
  <si>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</si>
  <si>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</si>
  <si>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</si>
  <si>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</si>
  <si>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</si>
  <si>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</si>
  <si>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</si>
  <si>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</si>
  <si>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</si>
  <si>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</si>
  <si>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</si>
  <si>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</si>
  <si>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</si>
  <si>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</si>
  <si>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</si>
  <si>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</si>
  <si>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</si>
  <si>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</si>
  <si>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</si>
  <si>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</si>
  <si>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</si>
  <si>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</si>
  <si>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</si>
  <si>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</si>
  <si>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</si>
  <si>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</si>
  <si>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</si>
  <si>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</si>
  <si>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</si>
  <si>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</si>
  <si>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</si>
  <si>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</si>
  <si>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</si>
  <si>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</si>
  <si>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</si>
  <si>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</si>
  <si>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</si>
  <si>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</si>
  <si>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</si>
  <si>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</si>
  <si>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</si>
  <si>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</si>
  <si>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</si>
  <si>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</si>
  <si>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</si>
  <si>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</si>
  <si>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</si>
  <si>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</si>
  <si>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</si>
  <si>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</si>
  <si>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</si>
  <si>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</si>
  <si>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</si>
  <si>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</si>
  <si>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</si>
  <si>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</si>
  <si>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</si>
  <si>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</si>
  <si>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</si>
  <si>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</si>
  <si>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</si>
  <si>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</si>
  <si>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</si>
  <si>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</si>
  <si>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</si>
  <si>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</si>
  <si>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</si>
  <si>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</si>
  <si>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</si>
  <si>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</si>
  <si>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</si>
  <si>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</si>
  <si>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</si>
  <si>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</si>
  <si>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</si>
  <si>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</si>
  <si>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</si>
  <si>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</si>
  <si>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</si>
  <si>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</si>
  <si>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</si>
  <si>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</si>
  <si>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</si>
  <si>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</si>
  <si>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</si>
  <si>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</si>
  <si>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</si>
  <si>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</si>
  <si>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</si>
  <si>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</si>
  <si>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</si>
  <si>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</si>
  <si>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</si>
  <si>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</si>
  <si>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</si>
  <si>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</si>
  <si>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</si>
  <si>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</si>
  <si>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</si>
  <si>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</si>
  <si>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</si>
  <si>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</si>
  <si>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</si>
  <si>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</si>
  <si>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</si>
  <si>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</si>
  <si>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</si>
  <si>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</si>
  <si>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</si>
  <si>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</si>
  <si>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</si>
  <si>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</si>
  <si>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</si>
  <si>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</si>
  <si>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</si>
  <si>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</si>
  <si>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</si>
  <si>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</si>
  <si>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</si>
  <si>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</si>
  <si>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</si>
  <si>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</si>
  <si>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</si>
  <si>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</si>
  <si>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</si>
  <si>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</si>
  <si>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</si>
  <si>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</si>
  <si>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</si>
  <si>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</si>
  <si>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</si>
  <si>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</si>
  <si>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</si>
  <si>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</si>
  <si>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</si>
  <si>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</si>
  <si>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</si>
  <si>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</si>
  <si>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</si>
  <si>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</si>
  <si>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</si>
  <si>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</si>
  <si>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</si>
  <si>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</si>
  <si>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</si>
  <si>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</si>
  <si>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</si>
  <si>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</si>
  <si>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</si>
  <si>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</si>
  <si>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</si>
  <si>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</si>
  <si>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</si>
  <si>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</si>
  <si>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</si>
  <si>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</si>
  <si>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</si>
  <si>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</si>
  <si>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</si>
  <si>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</si>
  <si>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</si>
  <si>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</si>
  <si>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</si>
  <si>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</si>
  <si>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</si>
  <si>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</si>
  <si>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</si>
  <si>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</si>
  <si>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</si>
  <si>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</si>
  <si>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</si>
  <si>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</si>
  <si>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</si>
  <si>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</si>
  <si>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</si>
  <si>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</si>
  <si>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</si>
  <si>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</si>
  <si>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</si>
  <si>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</si>
  <si>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</si>
  <si>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</si>
  <si>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</si>
  <si>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</si>
  <si>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</si>
  <si>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</si>
  <si>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</si>
  <si>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</si>
  <si>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</si>
  <si>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</si>
  <si>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</si>
  <si>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</si>
  <si>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</si>
  <si>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</si>
  <si>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</si>
  <si>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</si>
  <si>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</si>
  <si>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</si>
  <si>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</si>
  <si>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</si>
  <si>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</si>
  <si>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</si>
  <si>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</si>
  <si>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</si>
  <si>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</si>
  <si>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</si>
  <si>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</si>
  <si>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</si>
  <si>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</si>
  <si>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</si>
  <si>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</si>
  <si>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</si>
  <si>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</si>
  <si>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</si>
  <si>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</si>
  <si>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</si>
  <si>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</si>
  <si>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</si>
  <si>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</si>
  <si>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</si>
  <si>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</si>
  <si>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</si>
  <si>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</si>
  <si>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</si>
  <si>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</si>
  <si>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</si>
  <si>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</si>
  <si>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</si>
  <si>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</si>
  <si>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</si>
  <si>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</si>
  <si>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</si>
  <si>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</si>
  <si>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</si>
  <si>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</si>
  <si>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</si>
  <si>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</si>
  <si>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</si>
  <si>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</si>
  <si>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</si>
  <si>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</si>
  <si>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</si>
  <si>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</si>
  <si>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</si>
  <si>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</si>
  <si>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</si>
  <si>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</si>
  <si>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</si>
  <si>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</si>
  <si>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</si>
  <si>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</si>
  <si>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</si>
  <si>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</si>
  <si>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</si>
  <si>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</si>
  <si>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</si>
  <si>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</si>
  <si>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</si>
  <si>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</si>
  <si>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</si>
  <si>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</si>
  <si>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</si>
  <si>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</si>
  <si>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</si>
  <si>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</si>
  <si>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</si>
  <si>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</si>
  <si>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</si>
  <si>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</si>
  <si>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</si>
  <si>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</si>
  <si>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</si>
  <si>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</si>
  <si>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</si>
  <si>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</si>
  <si>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</si>
  <si>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</si>
  <si>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</si>
  <si>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</si>
  <si>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</si>
  <si>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</si>
  <si>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</si>
  <si>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</si>
  <si>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</si>
  <si>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</si>
  <si>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</si>
  <si>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</si>
  <si>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</si>
  <si>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</si>
  <si>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</si>
  <si>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</si>
  <si>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</si>
  <si>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</si>
  <si>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</si>
  <si>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</si>
  <si>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</si>
  <si>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</si>
  <si>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</si>
  <si>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</si>
  <si>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</si>
  <si>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</si>
  <si>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</si>
  <si>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</si>
  <si>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</si>
  <si>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</si>
  <si>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</si>
  <si>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</si>
  <si>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</si>
  <si>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</si>
  <si>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</si>
  <si>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</si>
  <si>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</si>
  <si>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</si>
  <si>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</si>
  <si>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</si>
  <si>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</si>
  <si>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</si>
  <si>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</si>
  <si>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</si>
  <si>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</si>
  <si>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</si>
  <si>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</si>
  <si>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</si>
  <si>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</si>
  <si>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</si>
  <si>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</si>
  <si>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</si>
  <si>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</si>
  <si>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</si>
  <si>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</si>
  <si>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</si>
  <si>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</si>
  <si>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</si>
  <si>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</si>
  <si>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</si>
  <si>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</si>
  <si>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</si>
  <si>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</si>
  <si>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</si>
  <si>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</si>
  <si>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</si>
  <si>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</si>
  <si>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</si>
  <si>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</si>
  <si>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</si>
  <si>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</si>
  <si>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</si>
  <si>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</si>
  <si>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</si>
  <si>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</si>
  <si>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</si>
  <si>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</si>
  <si>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</si>
  <si>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</si>
  <si>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</si>
  <si>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</si>
  <si>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</si>
  <si>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</si>
  <si>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</si>
  <si>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</si>
  <si>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</si>
  <si>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</si>
  <si>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</si>
  <si>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</si>
  <si>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</si>
  <si>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</si>
  <si>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</si>
  <si>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</si>
  <si>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</si>
  <si>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</si>
  <si>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</si>
  <si>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</si>
  <si>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</si>
  <si>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</si>
  <si>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</si>
  <si>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</si>
  <si>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</si>
  <si>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</si>
  <si>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</si>
  <si>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</si>
  <si>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</si>
  <si>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</si>
  <si>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</si>
  <si>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</si>
  <si>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</si>
  <si>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</si>
  <si>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</si>
  <si>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</si>
  <si>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</si>
  <si>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</si>
  <si>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</si>
  <si>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</si>
  <si>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</si>
  <si>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</si>
  <si>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</si>
  <si>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</si>
  <si>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</si>
  <si>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</si>
  <si>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</si>
  <si>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</si>
  <si>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</si>
  <si>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</si>
  <si>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</si>
  <si>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</si>
  <si>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</si>
  <si>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</si>
  <si>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</si>
  <si>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</si>
  <si>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</si>
  <si>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</si>
  <si>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</si>
  <si>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</si>
  <si>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</si>
  <si>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</si>
  <si>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</si>
  <si>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</si>
  <si>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</si>
  <si>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</si>
  <si>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</si>
  <si>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</si>
  <si>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</si>
  <si>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</si>
  <si>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</si>
  <si>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</si>
  <si>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</si>
  <si>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</si>
  <si>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</si>
  <si>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</si>
  <si>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</si>
  <si>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</si>
  <si>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</si>
  <si>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</si>
  <si>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</si>
  <si>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</si>
  <si>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</si>
  <si>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</si>
  <si>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</si>
  <si>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</si>
  <si>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</si>
  <si>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</si>
  <si>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</si>
  <si>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</si>
  <si>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</si>
  <si>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</si>
  <si>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</si>
  <si>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</si>
  <si>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</si>
  <si>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</si>
  <si>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</si>
  <si>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</si>
  <si>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</si>
  <si>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</si>
  <si>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</si>
  <si>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</si>
  <si>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</si>
  <si>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</si>
  <si>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</si>
  <si>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</si>
  <si>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</si>
  <si>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</si>
  <si>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</si>
  <si>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</si>
  <si>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</si>
  <si>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</si>
  <si>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</si>
  <si>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</si>
  <si>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</si>
  <si>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</si>
  <si>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</si>
  <si>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</si>
  <si>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</si>
  <si>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</si>
  <si>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</si>
  <si>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</si>
  <si>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</si>
  <si>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</si>
  <si>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</si>
  <si>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</si>
  <si>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</si>
  <si>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</si>
  <si>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</si>
  <si>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</si>
  <si>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</si>
  <si>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</si>
  <si>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</si>
  <si>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</si>
  <si>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</si>
  <si>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</si>
  <si>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</si>
  <si>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</si>
  <si>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</si>
  <si>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</si>
  <si>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</si>
  <si>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</si>
  <si>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</si>
  <si>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</si>
  <si>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</si>
  <si>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</si>
  <si>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</si>
  <si>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</si>
  <si>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</si>
  <si>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</si>
  <si>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</si>
  <si>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</si>
  <si>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</si>
  <si>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</si>
  <si>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</si>
  <si>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</si>
  <si>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</si>
  <si>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</si>
  <si>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</si>
  <si>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</si>
  <si>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</si>
  <si>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</si>
  <si>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</si>
  <si>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</si>
  <si>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</si>
  <si>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</si>
  <si>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</si>
  <si>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</si>
  <si>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</si>
  <si>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</si>
  <si>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</si>
  <si>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</si>
  <si>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</si>
  <si>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</si>
  <si>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</si>
  <si>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</si>
  <si>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</si>
  <si>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</si>
  <si>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</si>
  <si>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</si>
  <si>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</si>
  <si>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</si>
  <si>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</si>
  <si>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</si>
  <si>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</si>
  <si>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</si>
  <si>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</si>
  <si>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</si>
  <si>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</si>
  <si>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</si>
  <si>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</si>
  <si>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</si>
  <si>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</si>
  <si>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</si>
  <si>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</si>
  <si>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</si>
  <si>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</si>
  <si>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</si>
  <si>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</si>
  <si>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</si>
  <si>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</si>
  <si>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</si>
  <si>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</si>
  <si>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</si>
  <si>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</si>
  <si>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</si>
  <si>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</si>
  <si>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</si>
  <si>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</si>
  <si>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</si>
  <si>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</si>
  <si>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</si>
  <si>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</si>
  <si>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</si>
  <si>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</si>
  <si>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</si>
  <si>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</si>
  <si>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</si>
  <si>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</si>
  <si>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</si>
  <si>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</si>
  <si>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</si>
  <si>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</si>
  <si>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</si>
  <si>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</si>
  <si>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</si>
  <si>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</si>
  <si>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</si>
  <si>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</si>
  <si>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</si>
  <si>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</si>
  <si>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</si>
  <si>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</si>
  <si>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</si>
  <si>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</si>
  <si>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</si>
  <si>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</si>
  <si>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</si>
  <si>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</si>
  <si>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</si>
  <si>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</si>
  <si>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</si>
  <si>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</si>
  <si>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</si>
  <si>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</si>
  <si>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</si>
  <si>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</si>
  <si>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</si>
  <si>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</si>
  <si>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</si>
  <si>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</si>
  <si>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</si>
  <si>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</si>
  <si>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</si>
  <si>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</si>
  <si>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</si>
  <si>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</si>
  <si>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</si>
  <si>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</si>
  <si>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</si>
  <si>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</si>
  <si>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</si>
  <si>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</si>
  <si>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</si>
  <si>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</si>
  <si>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</si>
  <si>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</si>
  <si>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</si>
  <si>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</si>
  <si>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</si>
  <si>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</si>
  <si>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</si>
  <si>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</si>
  <si>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</si>
  <si>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</si>
  <si>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</si>
  <si>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</si>
  <si>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</si>
  <si>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</si>
  <si>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</si>
  <si>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</si>
  <si>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</si>
  <si>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</si>
  <si>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</si>
  <si>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</si>
  <si>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</si>
  <si>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</si>
  <si>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</si>
  <si>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</si>
  <si>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</si>
  <si>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</si>
  <si>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</si>
  <si>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</si>
  <si>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</si>
  <si>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</si>
  <si>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</si>
  <si>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</si>
  <si>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</si>
  <si>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</si>
  <si>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</si>
  <si>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</si>
  <si>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</si>
  <si>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</si>
  <si>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</si>
  <si>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</si>
  <si>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</si>
  <si>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</si>
  <si>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</si>
  <si>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</si>
  <si>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</si>
  <si>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</si>
  <si>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</si>
  <si>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</si>
  <si>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</si>
  <si>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</si>
  <si>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</si>
  <si>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</si>
  <si>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</si>
  <si>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</si>
  <si>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</si>
  <si>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</si>
  <si>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</si>
  <si>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</si>
  <si>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</si>
  <si>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</si>
  <si>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</si>
  <si>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</si>
  <si>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</si>
  <si>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</si>
  <si>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</si>
  <si>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</si>
  <si>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</si>
  <si>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</si>
  <si>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</si>
  <si>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</si>
  <si>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</si>
  <si>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</si>
  <si>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</si>
  <si>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</si>
  <si>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</si>
  <si>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</si>
  <si>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</si>
  <si>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</si>
  <si>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</si>
  <si>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</si>
  <si>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</si>
  <si>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</si>
  <si>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</si>
  <si>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</si>
  <si>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</si>
  <si>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</si>
  <si>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</si>
  <si>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</si>
  <si>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</si>
  <si>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</si>
  <si>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</si>
  <si>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</si>
  <si>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</si>
  <si>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</si>
  <si>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</si>
  <si>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</si>
  <si>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</si>
  <si>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</si>
  <si>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</si>
  <si>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</si>
  <si>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</si>
  <si>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</si>
  <si>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</si>
  <si>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</si>
  <si>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</si>
  <si>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</si>
  <si>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</si>
  <si>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</si>
  <si>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</si>
  <si>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</si>
  <si>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</si>
  <si>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</si>
  <si>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</si>
  <si>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</si>
  <si>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</si>
  <si>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</si>
  <si>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</si>
  <si>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</si>
  <si>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</si>
  <si>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</si>
  <si>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</si>
  <si>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</si>
  <si>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</si>
  <si>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</si>
  <si>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</si>
  <si>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</si>
  <si>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</si>
  <si>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</si>
  <si>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</si>
  <si>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</si>
  <si>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</si>
  <si>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</si>
  <si>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</si>
  <si>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</si>
  <si>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</si>
  <si>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</si>
  <si>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</si>
  <si>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</si>
  <si>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</si>
  <si>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</si>
  <si>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</si>
  <si>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</si>
  <si>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</si>
  <si>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</si>
  <si>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</si>
  <si>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</si>
  <si>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</si>
  <si>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</si>
  <si>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</si>
  <si>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</si>
  <si>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</si>
  <si>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</si>
  <si>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</si>
  <si>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</si>
  <si>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</si>
  <si>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</si>
  <si>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</si>
  <si>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</si>
  <si>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</si>
  <si>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</si>
  <si>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</si>
  <si>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</si>
  <si>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</si>
  <si>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</si>
  <si>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</si>
  <si>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</si>
  <si>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</si>
  <si>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</si>
  <si>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</si>
  <si>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</si>
  <si>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</si>
  <si>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</si>
  <si>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</si>
  <si>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</si>
  <si>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</si>
  <si>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</si>
  <si>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</si>
  <si>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</si>
  <si>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</si>
  <si>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</si>
  <si>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</si>
  <si>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</si>
  <si>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</si>
  <si>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</si>
  <si>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</si>
  <si>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</si>
  <si>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</si>
  <si>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</si>
  <si>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</si>
  <si>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</si>
  <si>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</si>
  <si>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</si>
  <si>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</si>
  <si>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</si>
  <si>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</si>
  <si>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</si>
  <si>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</si>
  <si>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</si>
  <si>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</si>
  <si>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</si>
  <si>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</si>
  <si>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</si>
  <si>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</si>
  <si>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</si>
  <si>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</si>
  <si>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</si>
  <si>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</si>
  <si>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</si>
  <si>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</si>
  <si>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</si>
  <si>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</si>
  <si>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</si>
  <si>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</si>
  <si>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</si>
  <si>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</si>
  <si>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</si>
  <si>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</si>
  <si>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</si>
  <si>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</si>
  <si>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</si>
  <si>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</si>
  <si>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</si>
  <si>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</si>
  <si>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</si>
  <si>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</si>
  <si>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</si>
  <si>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</si>
  <si>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</si>
  <si>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</si>
  <si>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</si>
  <si>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</si>
  <si>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</si>
  <si>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</si>
  <si>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</si>
  <si>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</si>
  <si>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</si>
  <si>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</si>
  <si>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</si>
  <si>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</si>
  <si>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</si>
  <si>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</si>
  <si>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</si>
  <si>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</si>
  <si>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</si>
  <si>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</si>
  <si>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</si>
  <si>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</si>
  <si>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</si>
  <si>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</si>
  <si>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</si>
  <si>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</si>
  <si>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</si>
  <si>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</si>
  <si>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</si>
  <si>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</si>
  <si>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</si>
  <si>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</si>
  <si>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</si>
  <si>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</si>
  <si>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</si>
  <si>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</si>
  <si>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</si>
  <si>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</si>
  <si>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</si>
  <si>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</si>
  <si>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</si>
  <si>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</si>
  <si>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</si>
  <si>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</si>
  <si>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</si>
  <si>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</si>
  <si>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</si>
  <si>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</si>
  <si>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</si>
  <si>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</si>
  <si>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</si>
  <si>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</si>
  <si>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</si>
  <si>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</si>
  <si>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</si>
  <si>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</si>
  <si>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</si>
  <si>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</si>
  <si>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</si>
  <si>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</si>
  <si>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</si>
  <si>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</si>
  <si>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</si>
  <si>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</si>
  <si>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</si>
  <si>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</si>
  <si>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</si>
  <si>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</si>
  <si>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</si>
  <si>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</si>
  <si>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</si>
  <si>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</si>
  <si>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</si>
  <si>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</si>
  <si>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</si>
  <si>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</si>
  <si>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</si>
  <si>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</si>
  <si>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</si>
  <si>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</si>
  <si>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</si>
  <si>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</si>
  <si>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</si>
  <si>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</si>
  <si>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</si>
  <si>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</si>
  <si>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</si>
  <si>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</si>
  <si>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</si>
  <si>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</si>
  <si>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</si>
  <si>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</si>
  <si>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</si>
  <si>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</si>
  <si>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</si>
  <si>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</si>
  <si>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</si>
  <si>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</si>
  <si>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</si>
  <si>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</si>
  <si>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</si>
  <si>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</si>
  <si>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</si>
  <si>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</si>
  <si>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</si>
  <si>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</si>
  <si>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</si>
  <si>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</si>
  <si>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</si>
  <si>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</si>
  <si>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</si>
  <si>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</si>
  <si>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</si>
  <si>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</si>
  <si>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</si>
  <si>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</si>
  <si>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</si>
  <si>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</si>
  <si>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</si>
  <si>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</si>
  <si>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</si>
  <si>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</si>
  <si>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</si>
  <si>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</si>
  <si>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</si>
  <si>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</si>
  <si>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</si>
  <si>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</si>
  <si>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</si>
  <si>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</si>
  <si>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</si>
  <si>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</si>
  <si>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</si>
  <si>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</si>
  <si>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</si>
  <si>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</si>
  <si>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</si>
  <si>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</si>
  <si>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</si>
  <si>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</si>
  <si>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</si>
  <si>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</si>
  <si>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</si>
  <si>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</si>
  <si>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</si>
  <si>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</si>
  <si>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</si>
  <si>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</si>
  <si>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</si>
  <si>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</si>
  <si>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</si>
  <si>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</si>
  <si>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</si>
  <si>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</si>
  <si>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</si>
  <si>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</si>
  <si>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</si>
  <si>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</si>
  <si>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</si>
  <si>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</si>
  <si>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</si>
  <si>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</si>
  <si>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</si>
  <si>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</si>
  <si>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</si>
  <si>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</si>
  <si>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</si>
  <si>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</si>
  <si>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</si>
  <si>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</si>
  <si>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</si>
  <si>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</si>
  <si>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</si>
  <si>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</si>
  <si>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</si>
  <si>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</si>
  <si>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</si>
  <si>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</si>
  <si>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</si>
  <si>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</si>
  <si>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</si>
  <si>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</si>
  <si>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</si>
  <si>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</si>
  <si>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</si>
  <si>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</si>
  <si>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</si>
  <si>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</si>
  <si>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</si>
  <si>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</si>
  <si>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</si>
  <si>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</si>
  <si>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</si>
  <si>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</si>
  <si>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</si>
  <si>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</si>
  <si>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</si>
  <si>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</si>
  <si>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</si>
  <si>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</si>
  <si>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</si>
  <si>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</si>
  <si>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</si>
  <si>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</si>
  <si>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</si>
  <si>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</si>
  <si>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</si>
  <si>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</si>
  <si>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</si>
  <si>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</si>
  <si>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</si>
  <si>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</si>
  <si>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</si>
  <si>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</si>
  <si>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</si>
  <si>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</si>
  <si>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</si>
  <si>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</si>
  <si>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</si>
  <si>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</si>
  <si>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</si>
  <si>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</si>
  <si>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</si>
  <si>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</si>
  <si>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</si>
  <si>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</si>
  <si>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</si>
  <si>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</si>
  <si>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</si>
  <si>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</si>
  <si>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</si>
  <si>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</si>
  <si>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</si>
  <si>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</si>
  <si>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</si>
  <si>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</si>
  <si>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</si>
  <si>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</si>
  <si>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</si>
  <si>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</si>
  <si>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</si>
  <si>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</si>
  <si>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</si>
  <si>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</si>
  <si>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</si>
  <si>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</si>
  <si>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</si>
  <si>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</si>
  <si>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</si>
  <si>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</si>
  <si>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</si>
  <si>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</si>
  <si>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</si>
  <si>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</si>
  <si>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</si>
  <si>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</si>
  <si>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</si>
  <si>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</si>
  <si>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</si>
  <si>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</si>
  <si>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</si>
  <si>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</si>
  <si>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</si>
  <si>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</si>
  <si>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</si>
  <si>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</si>
  <si>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</si>
  <si>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</si>
  <si>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</si>
  <si>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</si>
  <si>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</si>
  <si>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</si>
  <si>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</si>
  <si>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</si>
  <si>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</si>
  <si>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</si>
  <si>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</si>
  <si>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</si>
  <si>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</si>
  <si>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</si>
  <si>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</si>
  <si>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</si>
  <si>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</si>
  <si>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</si>
  <si>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</si>
  <si>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</si>
  <si>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</si>
  <si>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</si>
  <si>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</si>
  <si>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</si>
  <si>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</si>
  <si>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</si>
  <si>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</si>
  <si>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</si>
  <si>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</si>
  <si>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</si>
  <si>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</si>
  <si>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</si>
  <si>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</si>
  <si>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</si>
  <si>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</si>
  <si>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</si>
  <si>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</si>
  <si>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</si>
  <si>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</si>
  <si>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</si>
  <si>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</si>
  <si>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</si>
  <si>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</si>
  <si>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</si>
  <si>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</si>
  <si>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</si>
  <si>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</si>
  <si>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</si>
  <si>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</si>
  <si>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</si>
  <si>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</si>
  <si>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</si>
  <si>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</si>
  <si>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</si>
  <si>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</si>
  <si>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</si>
  <si>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</si>
  <si>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</si>
  <si>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</si>
  <si>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</si>
  <si>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</si>
  <si>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</si>
  <si>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</si>
  <si>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</si>
  <si>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</si>
  <si>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</si>
  <si>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</si>
  <si>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</si>
  <si>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</si>
  <si>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</si>
  <si>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</si>
  <si>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</si>
  <si>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</si>
  <si>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</si>
  <si>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</si>
  <si>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</si>
  <si>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</si>
  <si>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</si>
  <si>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</si>
  <si>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</si>
  <si>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</si>
  <si>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</si>
  <si>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</si>
  <si>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</si>
  <si>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</si>
  <si>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</si>
  <si>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</si>
  <si>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</si>
  <si>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</si>
  <si>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</si>
  <si>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</si>
  <si>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</si>
  <si>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</si>
  <si>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</si>
  <si>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</si>
  <si>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</si>
  <si>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</si>
  <si>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</si>
  <si>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</si>
  <si>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</si>
  <si>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</si>
  <si>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</si>
  <si>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</si>
  <si>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</si>
  <si>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</si>
  <si>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</si>
  <si>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</si>
  <si>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</si>
  <si>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</si>
  <si>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</si>
  <si>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</si>
  <si>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</si>
  <si>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</si>
  <si>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</si>
  <si>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</si>
  <si>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</si>
  <si>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</si>
  <si>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</si>
  <si>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</si>
  <si>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</si>
  <si>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</si>
  <si>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</si>
  <si>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</si>
  <si>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</si>
  <si>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</si>
  <si>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</si>
  <si>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</si>
  <si>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</si>
  <si>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</si>
  <si>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</si>
  <si>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</si>
  <si>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</si>
  <si>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</si>
  <si>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</si>
  <si>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</si>
  <si>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</si>
  <si>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</si>
  <si>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</si>
  <si>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</si>
  <si>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</si>
  <si>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</si>
  <si>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</si>
  <si>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</si>
  <si>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</si>
  <si>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</si>
  <si>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</si>
  <si>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</si>
  <si>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</si>
  <si>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</si>
  <si>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</si>
  <si>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</si>
  <si>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</si>
  <si>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</si>
  <si>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</si>
  <si>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</si>
  <si>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</si>
  <si>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</si>
  <si>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</si>
  <si>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</si>
  <si>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</si>
  <si>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</si>
  <si>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</si>
  <si>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</si>
  <si>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</si>
  <si>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</si>
  <si>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</si>
  <si>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</si>
  <si>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</si>
  <si>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</si>
  <si>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</si>
  <si>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</si>
  <si>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</si>
  <si>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</si>
  <si>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</si>
  <si>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</si>
  <si>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</si>
  <si>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</si>
  <si>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</si>
  <si>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</si>
  <si>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</si>
  <si>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</si>
  <si>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</si>
  <si>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</si>
  <si>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</si>
  <si>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</si>
  <si>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</si>
  <si>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</si>
  <si>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</si>
  <si>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</si>
  <si>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</si>
  <si>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</si>
  <si>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</si>
  <si>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</si>
  <si>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</si>
  <si>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</si>
  <si>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</si>
  <si>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</si>
  <si>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</si>
  <si>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</si>
  <si>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</si>
  <si>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</si>
  <si>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</si>
  <si>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</si>
  <si>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</si>
  <si>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</si>
  <si>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</si>
  <si>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</si>
  <si>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</si>
  <si>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</si>
  <si>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</si>
  <si>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</si>
  <si>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</si>
  <si>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</si>
  <si>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</si>
  <si>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</si>
  <si>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</si>
  <si>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</si>
  <si>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</si>
  <si>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</si>
  <si>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</si>
  <si>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</si>
  <si>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</si>
  <si>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</si>
  <si>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</si>
  <si>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</si>
  <si>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</si>
  <si>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</si>
  <si>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</si>
  <si>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</si>
  <si>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</si>
  <si>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</si>
  <si>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</si>
  <si>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</si>
  <si>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</si>
  <si>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</si>
  <si>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</si>
  <si>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</si>
  <si>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</si>
  <si>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</si>
  <si>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</si>
  <si>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</si>
  <si>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</si>
  <si>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</si>
  <si>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</si>
  <si>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</si>
  <si>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</si>
  <si>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</si>
  <si>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</si>
  <si>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</si>
  <si>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</si>
  <si>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</si>
  <si>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</si>
  <si>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</si>
  <si>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</si>
  <si>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</si>
  <si>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</si>
  <si>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</si>
  <si>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</si>
  <si>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</si>
  <si>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</si>
  <si>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</si>
  <si>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</si>
  <si>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</si>
  <si>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</si>
  <si>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</si>
  <si>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</si>
  <si>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</si>
  <si>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</si>
  <si>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</si>
  <si>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</si>
  <si>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</si>
  <si>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</si>
  <si>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</si>
  <si>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</si>
  <si>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</si>
  <si>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</si>
  <si>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</si>
  <si>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</si>
  <si>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</si>
  <si>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</si>
  <si>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</si>
  <si>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</si>
  <si>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</si>
  <si>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</si>
  <si>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</si>
  <si>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</si>
  <si>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</si>
  <si>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</si>
  <si>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</si>
  <si>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</si>
  <si>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</si>
  <si>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</si>
  <si>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</si>
  <si>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</si>
  <si>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</si>
  <si>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</si>
  <si>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</si>
  <si>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</si>
  <si>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</si>
  <si>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</si>
  <si>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</si>
  <si>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</si>
  <si>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</si>
  <si>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</si>
  <si>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</si>
  <si>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</si>
  <si>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</si>
  <si>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</si>
  <si>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</si>
  <si>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</si>
  <si>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</si>
  <si>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</si>
  <si>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</si>
  <si>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</si>
  <si>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</si>
  <si>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</si>
  <si>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</si>
  <si>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</si>
  <si>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</si>
  <si>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</si>
  <si>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</si>
  <si>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</si>
  <si>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</si>
  <si>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</si>
  <si>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</si>
  <si>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</si>
  <si>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</si>
  <si>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</si>
  <si>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</si>
  <si>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</si>
  <si>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</si>
  <si>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</si>
  <si>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</si>
  <si>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</si>
  <si>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</si>
  <si>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</si>
  <si>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</si>
  <si>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</si>
  <si>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</si>
  <si>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</si>
  <si>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</si>
  <si>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</si>
  <si>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</si>
  <si>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</si>
  <si>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</si>
  <si>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</si>
  <si>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</si>
  <si>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</si>
  <si>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</si>
  <si>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</si>
  <si>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</si>
  <si>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</si>
  <si>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</si>
  <si>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</si>
  <si>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</si>
  <si>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</si>
  <si>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</si>
  <si>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</si>
  <si>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</si>
  <si>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</si>
  <si>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</si>
  <si>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</si>
  <si>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</si>
  <si>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</si>
  <si>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</si>
  <si>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</si>
  <si>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</si>
  <si>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</si>
  <si>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</si>
  <si>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</si>
  <si>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</si>
  <si>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</si>
  <si>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</si>
  <si>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</si>
  <si>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</si>
  <si>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</si>
  <si>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</si>
  <si>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</si>
  <si>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</si>
  <si>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</si>
  <si>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</si>
  <si>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</si>
  <si>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</si>
  <si>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</si>
  <si>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</si>
  <si>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</si>
  <si>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</si>
  <si>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</si>
  <si>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</si>
  <si>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</si>
  <si>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</si>
  <si>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</si>
  <si>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</si>
  <si>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</si>
  <si>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</si>
  <si>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</si>
  <si>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</si>
  <si>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</si>
  <si>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</si>
  <si>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</si>
  <si>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</si>
  <si>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</si>
  <si>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</si>
  <si>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</si>
  <si>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</si>
  <si>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</si>
  <si>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</si>
  <si>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</si>
  <si>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</si>
  <si>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</si>
  <si>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</si>
  <si>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</si>
  <si>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</si>
  <si>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</si>
  <si>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</si>
  <si>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</si>
  <si>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</si>
  <si>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</si>
  <si>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</si>
  <si>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</si>
  <si>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</si>
  <si>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</si>
  <si>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</si>
  <si>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</si>
  <si>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</si>
  <si>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</si>
  <si>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</si>
  <si>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</si>
  <si>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</si>
  <si>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</si>
  <si>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</si>
  <si>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</si>
  <si>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</si>
  <si>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</si>
  <si>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</si>
  <si>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</si>
  <si>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</si>
  <si>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</si>
  <si>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</si>
  <si>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</si>
  <si>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</si>
  <si>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</si>
  <si>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</si>
  <si>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</si>
  <si>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</si>
  <si>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</si>
  <si>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</si>
  <si>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</si>
  <si>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</si>
  <si>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</si>
  <si>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</si>
  <si>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</si>
  <si>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</si>
  <si>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</si>
  <si>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</si>
  <si>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</si>
  <si>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</si>
  <si>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</si>
  <si>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Signed line / target share (%)</t>
  </si>
  <si>
    <t>Delegation type</t>
  </si>
  <si>
    <t>Torque Underwriters commission</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</si>
  <si>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</si>
  <si>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</si>
  <si>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</si>
  <si>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</si>
  <si>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</si>
  <si>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</si>
  <si>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</si>
  <si>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</si>
  <si>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</si>
  <si>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</si>
  <si>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</si>
  <si>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</si>
  <si>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</si>
  <si>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</si>
  <si>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</si>
  <si>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</si>
  <si>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</si>
  <si>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</si>
  <si>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</si>
  <si>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</si>
  <si>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</si>
  <si>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</si>
  <si>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</si>
  <si>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</si>
  <si>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</si>
  <si>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</si>
  <si>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</si>
  <si>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</si>
  <si>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</si>
  <si>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</si>
  <si>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</si>
  <si>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</si>
  <si>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</si>
  <si>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</si>
  <si>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</si>
  <si>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</si>
  <si>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</si>
  <si>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</si>
  <si>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</si>
  <si>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</si>
  <si>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</si>
  <si>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</si>
  <si>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</si>
  <si>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</si>
  <si>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</si>
  <si>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</si>
  <si>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</si>
  <si>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</si>
  <si>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</si>
  <si>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</si>
  <si>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</si>
  <si>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(coverholder / broker / total) -&gt;</t>
  </si>
  <si>
    <t>Panel must total 100% signed share. Each of the ten markets writes a 10% line; adjust here if the placement signs down differently.</t>
  </si>
  <si>
    <t>Commission is linked from Commission Structure, Section A: 25.0% total ceding commission = 12.5% retained by Torque Underwriters + 12.5% paid to the producing broker; 75.0% net to capacity.</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</si>
  <si>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</si>
  <si>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</si>
  <si>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</si>
  <si>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</si>
  <si>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</si>
  <si>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</si>
  <si>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</si>
  <si>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</si>
  <si>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</si>
  <si>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</si>
  <si>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</si>
  <si>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</si>
  <si>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</si>
  <si>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</si>
  <si>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</si>
  <si>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</si>
  <si>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</si>
  <si>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</si>
  <si>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</si>
  <si>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</si>
  <si>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</si>
  <si>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</si>
  <si>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</si>
  <si>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</si>
  <si>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</si>
  <si>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</si>
  <si>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</si>
  <si>
    <t>SECURITY SCHEDULE  -  LLOYD'S PANEL LINES ON RISK</t>
  </si>
  <si>
    <t>Which syndicate is on risk for how much. Each of the ten markets writes a 10% line, so every bound risk - its TIV and its premium - is split ten ways. Lines link from Lloyds Markets, commission from Commission Structure, the book from the Portfolio Register.</t>
  </si>
  <si>
    <t>SECTION A  -  PLACEMENT DETAILS AND BOOK ON RISK  (yellow cells are inputs)</t>
  </si>
  <si>
    <t>On-risk basis for this schedule</t>
  </si>
  <si>
    <t>Bind-permitted rows only</t>
  </si>
  <si>
    <t>Bind-permitted = register rows whose BIND PERMITTED? column reads YES (auto-bind within authority, or a referral with a named approver and date). Switch to 'Whole register' to allocate every row regardless of status.</t>
  </si>
  <si>
    <t>UMR (unique market reference)</t>
  </si>
  <si>
    <t>Enter the UMR allocated by the Lloyd's broker when the binder is placed.</t>
  </si>
  <si>
    <t>Binding authority period</t>
  </si>
  <si>
    <t>Inception to expiry of the binder, e.g. 01-Jan-2027 to 31-Dec-2027.</t>
  </si>
  <si>
    <t>Lloyd's broker</t>
  </si>
  <si>
    <t>The placing broker of record. An MGA cannot approach syndicates directly.</t>
  </si>
  <si>
    <t>Lead syndicate</t>
  </si>
  <si>
    <t>First row of the Lloyds Markets panel. The lead agrees terms; the nine following markets sign the same lines.</t>
  </si>
  <si>
    <t>All rows keyed on the Portfolio Register.</t>
  </si>
  <si>
    <t xml:space="preserve">  of which bind-permitted</t>
  </si>
  <si>
    <t>BIND PERMITTED? begins with YES.</t>
  </si>
  <si>
    <t xml:space="preserve">  of which awaiting approval, declined or incomplete</t>
  </si>
  <si>
    <t>Referred risks with no recorded approval, declines and rows with missing inputs. Not on risk.</t>
  </si>
  <si>
    <t>VEHICLES ON RISK (selected basis)</t>
  </si>
  <si>
    <t>TIV ON RISK ($)</t>
  </si>
  <si>
    <t>Sum of agreed values on risk. This is the figure that is split 10% to each market below.</t>
  </si>
  <si>
    <t>GROSS WRITTEN PREMIUM ON RISK ($)</t>
  </si>
  <si>
    <t>Charged premium (GWP) on risk, before fees and surplus lines tax.</t>
  </si>
  <si>
    <t>Total ceding commission ($)</t>
  </si>
  <si>
    <t>25.0% of GWP - linked from Commission Structure.</t>
  </si>
  <si>
    <t xml:space="preserve">  Broker commission ($)</t>
  </si>
  <si>
    <t>12.5% of GWP paid to the producing broker.</t>
  </si>
  <si>
    <t xml:space="preserve">  Torque Underwriters commission ($)</t>
  </si>
  <si>
    <t>12.5% of GWP retained by Torque Underwriters as coverholder.</t>
  </si>
  <si>
    <t>NET PREMIUM TO LLOYD'S CAPACITY ($)</t>
  </si>
  <si>
    <t>75.0% of GWP - the amount remitted to the panel, split by signed line.</t>
  </si>
  <si>
    <t>Largest single agreed value on risk ($)</t>
  </si>
  <si>
    <t>Drives the largest single-risk exposure per market (Section B) - compare it with each syndicate's maximum line.</t>
  </si>
  <si>
    <t>Panel signed lines - total (%)</t>
  </si>
  <si>
    <t>SECTION B  -  SECURITY SCHEDULE BY MARKET  (each market's share of what is on risk)</t>
  </si>
  <si>
    <t>Line no.</t>
  </si>
  <si>
    <t>Signed line (%)</t>
  </si>
  <si>
    <t>Cumulative (%)</t>
  </si>
  <si>
    <t>TIV on risk ($)</t>
  </si>
  <si>
    <t>Gross premium ($)</t>
  </si>
  <si>
    <t>Broker commission ($)</t>
  </si>
  <si>
    <t>Torque Underwriters commission ($)</t>
  </si>
  <si>
    <t>Net premium to market ($)</t>
  </si>
  <si>
    <t>Largest single-risk exposure ($)</t>
  </si>
  <si>
    <t>Line capacity check</t>
  </si>
  <si>
    <t>Share of largest single-zone modelled loss ($)</t>
  </si>
  <si>
    <t>Check - schedule agrees to Section A</t>
  </si>
  <si>
    <t>SECTION C  -  PER-RISK SECURITY ALLOCATION  (one row per Portfolio Register vehicle; 300 rows pre-built)</t>
  </si>
  <si>
    <t>RISK  (read from the Portfolio Register)</t>
  </si>
  <si>
    <t>TIV ON RISK BY MARKET ($)  -  agreed value x signed line</t>
  </si>
  <si>
    <t>GROSS PREMIUM BY MARKET ($)  -  GWP x signed line;  net to market = 75% of this</t>
  </si>
  <si>
    <t>Bind permitted?</t>
  </si>
  <si>
    <t>On risk?</t>
  </si>
  <si>
    <t>Agreed value ($)</t>
  </si>
  <si>
    <t>Net premium to capacity ($)</t>
  </si>
  <si>
    <t>TOTAL - all register rows</t>
  </si>
  <si>
    <t>TOTAL - on risk (basis in D5)</t>
  </si>
  <si>
    <t>Check - on-risk totals agree to Section B</t>
  </si>
  <si>
    <t>1.  Security is the list of syndicates on the binder and the line each one signs. With ten markets at 10%, every certificate is 10% Beazley, 10% Hiscox and so on - there is no per-risk selection of markets under a binding authority.</t>
  </si>
  <si>
    <t>2.  Signed lines link from the 'Signed line / target share' column on Lloyds Markets. If the placement signs down (for example a market writes 12% and another 8%), change the lines there and every figure on this sheet re-allocates.</t>
  </si>
  <si>
    <t>3.  Premium per market is shown gross (GWP x line) and net (gross less the 25% ceding commission). Bordereaux to the syndicates report the gross signed premium, the commission deducted and the net remitted, by line.</t>
  </si>
  <si>
    <t>4.  'Largest single-risk exposure' is the biggest agreed value on risk multiplied by the line. It is checked against each syndicate's maximum line from Lloyds Markets; EXCEEDS MAX LINE means that market cannot follow at 10% on that risk without a special acceptance.</t>
  </si>
  <si>
    <t>5.  The last column applies each line to the largest single-zone modelled loss from the Natural Catastrophe monitor - the share of a cat event each market would carry before reinsurance.</t>
  </si>
  <si>
    <t>6.  All figures are live. Nothing is typed on this sheet other than the yellow cells in Section A; add or approve vehicles on the Portfolio Register and the allocation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</si>
</sst>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46">
    <xf numFmtId="0" fontId="0" fillId="0" borderId="0" xfId="0"/>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13" fillId="0" borderId="0" xfId="0" applyFont="1" applyAlignment="1">
      <alignment vertical="top" wrapText="1"/>
    </xf>
    <xf numFmtId="0" fontId="5" fillId="0" borderId="0" xfId="0" applyFont="1" applyAlignment="1">
      <alignment vertical="top" wrapText="1"/>
    </xf>
    <xf numFmtId="0" fontId="5" fillId="0" borderId="1" xfId="0" applyFont="1" applyBorder="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12" fillId="0" borderId="2" xfId="0" applyFont="1" applyBorder="1" applyAlignment="1">
      <alignment vertical="top" wrapText="1"/>
    </xf>
    <xf numFmtId="0" fontId="5" fillId="0" borderId="2" xfId="0" applyFont="1" applyBorder="1" applyAlignment="1">
      <alignment horizontal="left" vertical="top"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3" xfId="0" applyFont="1" applyBorder="1" applyAlignment="1">
      <alignment horizontal="center"/>
    </xf>
    <xf numFmtId="0" fontId="7" fillId="0" borderId="3" xfId="0" applyFont="1" applyBorder="1"/>
    <xf numFmtId="170" fontId="7" fillId="0" borderId="3" xfId="0" applyNumberFormat="1" applyFont="1" applyBorder="1" applyAlignment="1">
      <alignment horizontal="center"/>
    </xf>
    <xf numFmtId="170" fontId="0" fillId="0" borderId="3" xfId="0" applyNumberFormat="1" applyBorder="1" applyAlignment="1">
      <alignment horizontal="center"/>
    </xf>
    <xf numFmtId="166" fontId="0" fillId="0" borderId="3" xfId="0" applyNumberFormat="1" applyBorder="1" applyAlignment="1">
      <alignment horizontal="center"/>
    </xf>
    <xf numFmtId="0" fontId="7" fillId="0" borderId="3"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69" fontId="7" fillId="0" borderId="2" xfId="0" applyNumberFormat="1" applyFont="1" applyBorder="1" applyAlignment="1">
      <alignment horizontal="center"/>
    </xf>
    <xf numFmtId="169" fontId="12" fillId="0" borderId="2" xfId="0" applyNumberFormat="1" applyFont="1" applyBorder="1" applyAlignment="1">
      <alignment horizontal="center"/>
    </xf>
    <xf numFmtId="175" fontId="6" fillId="5" borderId="1" xfId="0" applyNumberFormat="1" applyFont="1" applyFill="1" applyBorder="1" applyAlignment="1">
      <alignment horizontal="center"/>
    </xf>
    <xf numFmtId="169" fontId="7" fillId="5" borderId="2"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169" fontId="10" fillId="6" borderId="2" xfId="0" applyNumberFormat="1" applyFont="1" applyFill="1" applyBorder="1" applyAlignment="1">
      <alignment horizontal="center"/>
    </xf>
    <xf numFmtId="0" fontId="6" fillId="4" borderId="2" xfId="0" applyFont="1" applyFill="1" applyBorder="1" applyAlignment="1">
      <alignment horizontal="center"/>
    </xf>
    <xf numFmtId="0" fontId="7" fillId="0" borderId="2" xfId="0" applyFont="1" applyBorder="1" applyAlignment="1">
      <alignment horizontal="left"/>
    </xf>
    <xf numFmtId="3" fontId="7" fillId="0" borderId="2" xfId="0" applyNumberFormat="1" applyFont="1" applyBorder="1" applyAlignment="1">
      <alignment horizontal="center"/>
    </xf>
    <xf numFmtId="3" fontId="12" fillId="0" borderId="2" xfId="0" applyNumberFormat="1" applyFont="1" applyBorder="1" applyAlignment="1">
      <alignment horizontal="center"/>
    </xf>
    <xf numFmtId="0" fontId="10" fillId="6" borderId="2" xfId="0" applyFont="1" applyFill="1" applyBorder="1"/>
    <xf numFmtId="3" fontId="10" fillId="6" borderId="2" xfId="0" applyNumberFormat="1" applyFont="1" applyFill="1" applyBorder="1" applyAlignment="1">
      <alignment horizontal="center"/>
    </xf>
    <xf numFmtId="166" fontId="10" fillId="6" borderId="2" xfId="0" applyNumberFormat="1" applyFont="1" applyFill="1" applyBorder="1" applyAlignment="1">
      <alignment horizontal="center"/>
    </xf>
    <xf numFmtId="166" fontId="12" fillId="0" borderId="2" xfId="0" applyNumberFormat="1" applyFont="1" applyBorder="1" applyAlignment="1">
      <alignment horizontal="center"/>
    </xf>
    <xf numFmtId="0" fontId="21" fillId="0" borderId="0" xfId="0" applyFont="1"/>
    <xf numFmtId="0" fontId="9" fillId="3" borderId="2" xfId="0" applyFont="1" applyFill="1" applyBorder="1" applyAlignment="1">
      <alignment horizontal="center" vertical="center" wrapText="1"/>
    </xf>
    <xf numFmtId="0" fontId="17" fillId="0" borderId="2" xfId="0" applyFont="1" applyBorder="1" applyAlignment="1">
      <alignment horizontal="left"/>
    </xf>
    <xf numFmtId="0" fontId="7" fillId="0" borderId="2" xfId="0" applyFont="1" applyBorder="1" applyAlignment="1">
      <alignment horizontal="center"/>
    </xf>
    <xf numFmtId="175" fontId="7" fillId="0" borderId="2" xfId="0" applyNumberFormat="1" applyFont="1" applyBorder="1" applyAlignment="1">
      <alignment horizontal="center"/>
    </xf>
    <xf numFmtId="0" fontId="4" fillId="0" borderId="2" xfId="0" applyFont="1" applyBorder="1" applyAlignment="1">
      <alignment horizontal="center"/>
    </xf>
    <xf numFmtId="175" fontId="10" fillId="6" borderId="2" xfId="0" applyNumberFormat="1" applyFont="1" applyFill="1" applyBorder="1" applyAlignment="1">
      <alignment horizontal="center"/>
    </xf>
    <xf numFmtId="0" fontId="10" fillId="6" borderId="2" xfId="0" applyFont="1" applyFill="1" applyBorder="1" applyAlignment="1">
      <alignment horizontal="center"/>
    </xf>
    <xf numFmtId="0" fontId="26" fillId="0" borderId="0" xfId="0" applyFont="1" applyAlignment="1">
      <alignment horizontal="center"/>
    </xf>
    <xf numFmtId="0" fontId="12" fillId="0" borderId="2" xfId="0" applyFont="1" applyBorder="1" applyAlignment="1">
      <alignment horizontal="center"/>
    </xf>
    <xf numFmtId="166" fontId="7" fillId="0" borderId="2" xfId="0" applyNumberFormat="1" applyFont="1" applyBorder="1" applyAlignment="1">
      <alignment horizontal="center"/>
    </xf>
    <xf numFmtId="170" fontId="6" fillId="4" borderId="1" xfId="0" applyNumberFormat="1" applyFont="1" applyFill="1" applyBorder="1" applyAlignment="1">
      <alignment horizontal="center"/>
    </xf>
    <xf numFmtId="0" fontId="5" fillId="0" borderId="1" xfId="0" applyFont="1" applyBorder="1" applyAlignment="1">
      <alignment vertical="top" wrapText="1"/>
    </xf>
    <xf numFmtId="0" fontId="5" fillId="5" borderId="1" xfId="0" applyFont="1" applyFill="1" applyBorder="1" applyAlignment="1">
      <alignment vertical="top" wrapText="1"/>
    </xf>
    <xf numFmtId="0" fontId="5" fillId="5" borderId="1" xfId="0" applyFont="1" applyFill="1" applyBorder="1"/>
    <xf numFmtId="0" fontId="9" fillId="3" borderId="1" xfId="0" applyFont="1" applyFill="1" applyBorder="1" applyAlignment="1">
      <alignment horizontal="center" vertical="center"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xf numFmtId="0" fontId="12" fillId="0" borderId="2" xfId="0" applyFont="1" applyBorder="1"/>
    <xf numFmtId="0" fontId="10" fillId="6" borderId="2" xfId="0" applyFont="1" applyFill="1" applyBorder="1"/>
    <xf numFmtId="0" fontId="9"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5.641765021552672</c:v>
                </c:pt>
                <c:pt idx="3">
                  <c:v>1.2035533329854731</c:v>
                </c:pt>
                <c:pt idx="4">
                  <c:v>0.65388408605706505</c:v>
                </c:pt>
                <c:pt idx="5">
                  <c:v>15.784303771551725</c:v>
                </c:pt>
                <c:pt idx="6">
                  <c:v>1.8012784002280908</c:v>
                </c:pt>
                <c:pt idx="7">
                  <c:v>3.3273435343793594</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3E66-43A6-BD29-0E7511F50417}"/>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5.641765021552672</c:v>
                </c:pt>
                <c:pt idx="3">
                  <c:v>1.2035533329854731</c:v>
                </c:pt>
                <c:pt idx="4">
                  <c:v>0.60157335917249988</c:v>
                </c:pt>
                <c:pt idx="5">
                  <c:v>17.362734148706902</c:v>
                </c:pt>
                <c:pt idx="6">
                  <c:v>1.5851249922007198</c:v>
                </c:pt>
                <c:pt idx="7">
                  <c:v>3.4937107110983279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3E66-43A6-BD29-0E7511F50417}"/>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0.87999999999999989</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592C-4A6C-9431-3C481FDC69BC}"/>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9"/>
  <sheetViews>
    <sheetView showGridLines="0" tabSelected="1" zoomScaleNormal="100" workbookViewId="0"/>
  </sheetViews>
  <sheetFormatPr defaultColWidth="8.6328125" defaultRowHeight="14.5" x14ac:dyDescent="0.35"/>
  <cols>
    <col min="1" max="1" width="2" customWidth="1"/>
    <col min="2" max="2" width="34" customWidth="1"/>
    <col min="3" max="3" width="92" customWidth="1"/>
    <col min="4" max="7" width="14" customWidth="1"/>
  </cols>
  <sheetData>
    <row r="1" spans="2:7" ht="25.5" customHeight="1" x14ac:dyDescent="0.35">
      <c r="B1" s="14" t="s">
        <v>0</v>
      </c>
      <c r="C1" s="14"/>
      <c r="D1" s="14"/>
      <c r="E1" s="14"/>
      <c r="F1" s="14"/>
      <c r="G1" s="14"/>
    </row>
    <row r="2" spans="2:7" ht="15" customHeight="1" x14ac:dyDescent="0.35">
      <c r="B2" s="13" t="s">
        <v>1</v>
      </c>
      <c r="C2" s="13"/>
      <c r="D2" s="13"/>
      <c r="E2" s="13"/>
      <c r="F2" s="13"/>
      <c r="G2" s="13"/>
    </row>
    <row r="4" spans="2:7" ht="18" customHeight="1" x14ac:dyDescent="0.35">
      <c r="B4" s="12" t="s">
        <v>2</v>
      </c>
      <c r="C4" s="12"/>
      <c r="D4" s="12"/>
      <c r="E4" s="12"/>
      <c r="F4" s="12"/>
      <c r="G4" s="12"/>
    </row>
    <row r="6" spans="2:7" ht="42" customHeight="1" x14ac:dyDescent="0.35">
      <c r="B6" s="15" t="s">
        <v>3</v>
      </c>
      <c r="C6" s="16" t="s">
        <v>4</v>
      </c>
    </row>
    <row r="7" spans="2:7" ht="30" customHeight="1" x14ac:dyDescent="0.35">
      <c r="B7" s="15" t="s">
        <v>5</v>
      </c>
      <c r="C7" s="16" t="s">
        <v>6</v>
      </c>
    </row>
    <row r="8" spans="2:7" ht="42" customHeight="1" x14ac:dyDescent="0.35">
      <c r="B8" s="15" t="s">
        <v>7</v>
      </c>
      <c r="C8" s="16" t="s">
        <v>8</v>
      </c>
    </row>
    <row r="9" spans="2:7" ht="30" customHeight="1" x14ac:dyDescent="0.35">
      <c r="B9" s="15" t="s">
        <v>9</v>
      </c>
      <c r="C9" s="16" t="s">
        <v>10</v>
      </c>
    </row>
    <row r="10" spans="2:7" ht="30" customHeight="1" x14ac:dyDescent="0.35">
      <c r="B10" s="15" t="s">
        <v>11</v>
      </c>
      <c r="C10" s="16" t="s">
        <v>12</v>
      </c>
    </row>
    <row r="11" spans="2:7" ht="30" customHeight="1" x14ac:dyDescent="0.35">
      <c r="B11" s="15" t="s">
        <v>13</v>
      </c>
      <c r="C11" s="16" t="s">
        <v>14</v>
      </c>
    </row>
    <row r="12" spans="2:7" ht="30" customHeight="1" x14ac:dyDescent="0.35">
      <c r="B12" s="15" t="s">
        <v>15</v>
      </c>
      <c r="C12" s="16" t="s">
        <v>16</v>
      </c>
    </row>
    <row r="13" spans="2:7" ht="42" customHeight="1" x14ac:dyDescent="0.35">
      <c r="B13" s="15" t="s">
        <v>17</v>
      </c>
      <c r="C13" s="16" t="s">
        <v>18</v>
      </c>
    </row>
    <row r="14" spans="2:7" ht="42" customHeight="1" x14ac:dyDescent="0.35">
      <c r="B14" s="15" t="s">
        <v>19</v>
      </c>
      <c r="C14" s="16" t="s">
        <v>20</v>
      </c>
    </row>
    <row r="15" spans="2:7" ht="30" customHeight="1" x14ac:dyDescent="0.35">
      <c r="B15" s="15" t="s">
        <v>21</v>
      </c>
      <c r="C15" s="16" t="s">
        <v>22</v>
      </c>
    </row>
    <row r="16" spans="2:7" ht="30" customHeight="1" x14ac:dyDescent="0.35">
      <c r="B16" s="15" t="s">
        <v>23</v>
      </c>
      <c r="C16" s="16" t="s">
        <v>24</v>
      </c>
    </row>
    <row r="17" spans="2:7" ht="42" customHeight="1" x14ac:dyDescent="0.35">
      <c r="B17" s="15" t="s">
        <v>25</v>
      </c>
      <c r="C17" s="16" t="s">
        <v>26</v>
      </c>
    </row>
    <row r="18" spans="2:7" ht="30" customHeight="1" x14ac:dyDescent="0.35">
      <c r="B18" s="15" t="s">
        <v>27</v>
      </c>
      <c r="C18" s="16" t="s">
        <v>28</v>
      </c>
    </row>
    <row r="19" spans="2:7" ht="30" customHeight="1" x14ac:dyDescent="0.35">
      <c r="B19" s="15" t="s">
        <v>29</v>
      </c>
      <c r="C19" s="16" t="s">
        <v>30</v>
      </c>
    </row>
    <row r="20" spans="2:7" ht="30" customHeight="1" x14ac:dyDescent="0.35">
      <c r="B20" s="15" t="s">
        <v>31</v>
      </c>
      <c r="C20" s="16" t="s">
        <v>32</v>
      </c>
    </row>
    <row r="21" spans="2:7" ht="30" customHeight="1" x14ac:dyDescent="0.35">
      <c r="B21" s="15" t="s">
        <v>33</v>
      </c>
      <c r="C21" s="16" t="s">
        <v>34</v>
      </c>
    </row>
    <row r="22" spans="2:7" ht="30" customHeight="1" x14ac:dyDescent="0.35">
      <c r="B22" s="15" t="s">
        <v>35</v>
      </c>
      <c r="C22" s="16" t="s">
        <v>36</v>
      </c>
    </row>
    <row r="23" spans="2:7" ht="42" customHeight="1" x14ac:dyDescent="0.35">
      <c r="B23" s="15" t="s">
        <v>37</v>
      </c>
      <c r="C23" s="16" t="s">
        <v>38</v>
      </c>
    </row>
    <row r="24" spans="2:7" ht="42" customHeight="1" x14ac:dyDescent="0.35">
      <c r="B24" s="15" t="s">
        <v>39</v>
      </c>
      <c r="C24" s="16" t="s">
        <v>40</v>
      </c>
    </row>
    <row r="25" spans="2:7" ht="42" customHeight="1" x14ac:dyDescent="0.35">
      <c r="B25" s="15" t="s">
        <v>41</v>
      </c>
      <c r="C25" s="16" t="s">
        <v>42</v>
      </c>
    </row>
    <row r="26" spans="2:7" ht="30" customHeight="1" x14ac:dyDescent="0.35">
      <c r="B26" s="15" t="s">
        <v>43</v>
      </c>
      <c r="C26" s="16" t="s">
        <v>44</v>
      </c>
    </row>
    <row r="27" spans="2:7" ht="30" customHeight="1" x14ac:dyDescent="0.35">
      <c r="B27" s="15" t="s">
        <v>45</v>
      </c>
      <c r="C27" s="16" t="s">
        <v>46</v>
      </c>
    </row>
    <row r="28" spans="2:7" ht="42" customHeight="1" x14ac:dyDescent="0.35">
      <c r="B28" s="15" t="s">
        <v>47</v>
      </c>
      <c r="C28" s="16" t="s">
        <v>48</v>
      </c>
    </row>
    <row r="30" spans="2:7" ht="18" customHeight="1" x14ac:dyDescent="0.35">
      <c r="B30" s="12" t="s">
        <v>49</v>
      </c>
      <c r="C30" s="12"/>
      <c r="D30" s="12"/>
      <c r="E30" s="12"/>
      <c r="F30" s="12"/>
      <c r="G30" s="12"/>
    </row>
    <row r="32" spans="2:7" x14ac:dyDescent="0.35">
      <c r="B32" s="17" t="s">
        <v>50</v>
      </c>
      <c r="C32" s="18" t="s">
        <v>51</v>
      </c>
    </row>
    <row r="33" spans="2:7" x14ac:dyDescent="0.35">
      <c r="B33" s="19" t="s">
        <v>52</v>
      </c>
      <c r="C33" s="18" t="s">
        <v>53</v>
      </c>
    </row>
    <row r="34" spans="2:7" x14ac:dyDescent="0.35">
      <c r="B34" s="20" t="s">
        <v>54</v>
      </c>
      <c r="C34" s="18" t="s">
        <v>55</v>
      </c>
    </row>
    <row r="35" spans="2:7" x14ac:dyDescent="0.35">
      <c r="B35" s="21" t="s">
        <v>56</v>
      </c>
      <c r="C35" s="18" t="s">
        <v>57</v>
      </c>
    </row>
    <row r="37" spans="2:7" ht="18" customHeight="1" x14ac:dyDescent="0.35">
      <c r="B37" s="12" t="s">
        <v>58</v>
      </c>
      <c r="C37" s="12"/>
      <c r="D37" s="12"/>
      <c r="E37" s="12"/>
      <c r="F37" s="12"/>
      <c r="G37" s="12"/>
    </row>
    <row r="39" spans="2:7" x14ac:dyDescent="0.35">
      <c r="B39" s="8" t="s">
        <v>59</v>
      </c>
      <c r="C39" s="8"/>
      <c r="D39" s="8"/>
      <c r="E39" s="8"/>
      <c r="F39" s="8"/>
      <c r="G39" s="8"/>
    </row>
    <row r="40" spans="2:7" x14ac:dyDescent="0.35">
      <c r="B40" s="8" t="s">
        <v>60</v>
      </c>
      <c r="C40" s="8"/>
      <c r="D40" s="8"/>
      <c r="E40" s="8"/>
      <c r="F40" s="8"/>
      <c r="G40" s="8"/>
    </row>
    <row r="41" spans="2:7" x14ac:dyDescent="0.35">
      <c r="B41" s="8" t="s">
        <v>61</v>
      </c>
      <c r="C41" s="8"/>
      <c r="D41" s="8"/>
      <c r="E41" s="8"/>
      <c r="F41" s="8"/>
      <c r="G41" s="8"/>
    </row>
    <row r="42" spans="2:7" x14ac:dyDescent="0.35">
      <c r="B42" s="8" t="s">
        <v>62</v>
      </c>
      <c r="C42" s="8"/>
      <c r="D42" s="8"/>
      <c r="E42" s="8"/>
      <c r="F42" s="8"/>
      <c r="G42" s="8"/>
    </row>
    <row r="43" spans="2:7" x14ac:dyDescent="0.35">
      <c r="B43" s="8" t="s">
        <v>63</v>
      </c>
      <c r="C43" s="8"/>
      <c r="D43" s="8"/>
      <c r="E43" s="8"/>
      <c r="F43" s="8"/>
      <c r="G43" s="8"/>
    </row>
    <row r="44" spans="2:7" x14ac:dyDescent="0.35">
      <c r="B44" s="8" t="s">
        <v>64</v>
      </c>
      <c r="C44" s="8"/>
      <c r="D44" s="8"/>
      <c r="E44" s="8"/>
      <c r="F44" s="8"/>
      <c r="G44" s="8"/>
    </row>
    <row r="45" spans="2:7" x14ac:dyDescent="0.35">
      <c r="B45" s="8" t="s">
        <v>65</v>
      </c>
      <c r="C45" s="8"/>
      <c r="D45" s="8"/>
      <c r="E45" s="8"/>
      <c r="F45" s="8"/>
      <c r="G45" s="8"/>
    </row>
    <row r="46" spans="2:7" x14ac:dyDescent="0.35">
      <c r="B46" s="8" t="s">
        <v>66</v>
      </c>
      <c r="C46" s="8"/>
      <c r="D46" s="8"/>
      <c r="E46" s="8"/>
      <c r="F46" s="8"/>
      <c r="G46" s="8"/>
    </row>
    <row r="47" spans="2:7" x14ac:dyDescent="0.35">
      <c r="B47" s="8" t="s">
        <v>67</v>
      </c>
      <c r="C47" s="8"/>
      <c r="D47" s="8"/>
      <c r="E47" s="8"/>
      <c r="F47" s="8"/>
      <c r="G47" s="8"/>
    </row>
    <row r="48" spans="2:7" x14ac:dyDescent="0.35">
      <c r="B48" s="8" t="s">
        <v>68</v>
      </c>
      <c r="C48" s="8"/>
      <c r="D48" s="8"/>
      <c r="E48" s="8"/>
      <c r="F48" s="8"/>
      <c r="G48" s="8"/>
    </row>
    <row r="49" spans="2:7" x14ac:dyDescent="0.35">
      <c r="B49" s="8" t="s">
        <v>69</v>
      </c>
      <c r="C49" s="8"/>
      <c r="D49" s="8"/>
      <c r="E49" s="8"/>
      <c r="F49" s="8"/>
      <c r="G49" s="8"/>
    </row>
    <row r="50" spans="2:7" x14ac:dyDescent="0.35">
      <c r="B50" s="8" t="s">
        <v>70</v>
      </c>
      <c r="C50" s="8"/>
      <c r="D50" s="8"/>
      <c r="E50" s="8"/>
      <c r="F50" s="8"/>
      <c r="G50" s="8"/>
    </row>
    <row r="52" spans="2:7" ht="18" customHeight="1" x14ac:dyDescent="0.35">
      <c r="B52" s="12" t="s">
        <v>71</v>
      </c>
      <c r="C52" s="12"/>
      <c r="D52" s="12"/>
      <c r="E52" s="12"/>
      <c r="F52" s="12"/>
      <c r="G52" s="12"/>
    </row>
    <row r="54" spans="2:7" ht="39.75" customHeight="1" x14ac:dyDescent="0.35">
      <c r="B54" s="7" t="s">
        <v>72</v>
      </c>
      <c r="C54" s="7"/>
      <c r="D54" s="7"/>
      <c r="E54" s="7"/>
      <c r="F54" s="7"/>
      <c r="G54" s="7"/>
    </row>
    <row r="55" spans="2:7" ht="39.75" customHeight="1" x14ac:dyDescent="0.35">
      <c r="B55" s="7" t="s">
        <v>73</v>
      </c>
      <c r="C55" s="7"/>
      <c r="D55" s="7"/>
      <c r="E55" s="7"/>
      <c r="F55" s="7"/>
      <c r="G55" s="7"/>
    </row>
    <row r="56" spans="2:7" ht="39.75" customHeight="1" x14ac:dyDescent="0.35">
      <c r="B56" s="7" t="s">
        <v>74</v>
      </c>
      <c r="C56" s="7"/>
      <c r="D56" s="7"/>
      <c r="E56" s="7"/>
      <c r="F56" s="7"/>
      <c r="G56" s="7"/>
    </row>
    <row r="57" spans="2:7" ht="39.75" customHeight="1" x14ac:dyDescent="0.35">
      <c r="B57" s="7" t="s">
        <v>75</v>
      </c>
      <c r="C57" s="7"/>
      <c r="D57" s="7"/>
      <c r="E57" s="7"/>
      <c r="F57" s="7"/>
      <c r="G57" s="7"/>
    </row>
    <row r="58" spans="2:7" ht="39.75" customHeight="1" x14ac:dyDescent="0.35">
      <c r="B58" s="7" t="s">
        <v>76</v>
      </c>
      <c r="C58" s="7"/>
      <c r="D58" s="7"/>
      <c r="E58" s="7"/>
      <c r="F58" s="7"/>
      <c r="G58" s="7"/>
    </row>
    <row r="59" spans="2:7" ht="39.75" customHeight="1" x14ac:dyDescent="0.35">
      <c r="B59" s="7" t="s">
        <v>77</v>
      </c>
      <c r="C59" s="7"/>
      <c r="D59" s="7"/>
      <c r="E59" s="7"/>
      <c r="F59" s="7"/>
      <c r="G59" s="7"/>
    </row>
  </sheetData>
  <mergeCells count="24">
    <mergeCell ref="B56:G56"/>
    <mergeCell ref="B57:G57"/>
    <mergeCell ref="B58:G58"/>
    <mergeCell ref="B59:G59"/>
    <mergeCell ref="B49:G49"/>
    <mergeCell ref="B50:G50"/>
    <mergeCell ref="B52:G52"/>
    <mergeCell ref="B54:G54"/>
    <mergeCell ref="B55:G55"/>
    <mergeCell ref="B44:G44"/>
    <mergeCell ref="B45:G45"/>
    <mergeCell ref="B46:G46"/>
    <mergeCell ref="B47:G47"/>
    <mergeCell ref="B48:G48"/>
    <mergeCell ref="B39:G39"/>
    <mergeCell ref="B40:G40"/>
    <mergeCell ref="B41:G41"/>
    <mergeCell ref="B42:G42"/>
    <mergeCell ref="B43:G43"/>
    <mergeCell ref="B1:G1"/>
    <mergeCell ref="B2:G2"/>
    <mergeCell ref="B4:G4"/>
    <mergeCell ref="B30:G30"/>
    <mergeCell ref="B37:G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6328125" defaultRowHeight="14.5" x14ac:dyDescent="0.3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35">
      <c r="B1" s="14" t="s">
        <v>78</v>
      </c>
      <c r="C1" s="14"/>
      <c r="D1" s="14"/>
      <c r="E1" s="14"/>
      <c r="F1" s="14"/>
    </row>
    <row r="2" spans="2:6" ht="15" customHeight="1" x14ac:dyDescent="0.35">
      <c r="B2" s="13" t="s">
        <v>79</v>
      </c>
      <c r="C2" s="13"/>
      <c r="D2" s="13"/>
      <c r="E2" s="13"/>
      <c r="F2" s="13"/>
    </row>
    <row r="4" spans="2:6" ht="18" customHeight="1" x14ac:dyDescent="0.35">
      <c r="B4" s="12" t="s">
        <v>80</v>
      </c>
      <c r="C4" s="12"/>
      <c r="D4" s="12"/>
      <c r="E4" s="12"/>
      <c r="F4" s="12"/>
    </row>
    <row r="5" spans="2:6" ht="30" customHeight="1" x14ac:dyDescent="0.35">
      <c r="B5" s="22" t="s">
        <v>81</v>
      </c>
      <c r="C5" s="22" t="s">
        <v>82</v>
      </c>
      <c r="D5" s="22" t="s">
        <v>83</v>
      </c>
    </row>
    <row r="6" spans="2:6" ht="31.5" customHeight="1" x14ac:dyDescent="0.35">
      <c r="B6" s="23" t="s">
        <v>84</v>
      </c>
      <c r="C6" s="6" t="s">
        <v>85</v>
      </c>
      <c r="D6" s="6"/>
      <c r="E6" s="6" t="s">
        <v>86</v>
      </c>
      <c r="F6" s="6"/>
    </row>
    <row r="7" spans="2:6" ht="31.5" customHeight="1" x14ac:dyDescent="0.35">
      <c r="B7" s="25" t="s">
        <v>87</v>
      </c>
      <c r="C7" s="5" t="s">
        <v>88</v>
      </c>
      <c r="D7" s="5"/>
      <c r="E7" s="5" t="s">
        <v>89</v>
      </c>
      <c r="F7" s="5"/>
    </row>
    <row r="8" spans="2:6" ht="31.5" customHeight="1" x14ac:dyDescent="0.35">
      <c r="B8" s="23" t="s">
        <v>90</v>
      </c>
      <c r="C8" s="6" t="s">
        <v>91</v>
      </c>
      <c r="D8" s="6"/>
      <c r="E8" s="6" t="s">
        <v>92</v>
      </c>
      <c r="F8" s="6"/>
    </row>
    <row r="9" spans="2:6" ht="31.5" customHeight="1" x14ac:dyDescent="0.35">
      <c r="B9" s="25" t="s">
        <v>93</v>
      </c>
      <c r="C9" s="5" t="s">
        <v>94</v>
      </c>
      <c r="D9" s="5"/>
      <c r="E9" s="5" t="s">
        <v>95</v>
      </c>
      <c r="F9" s="5"/>
    </row>
    <row r="10" spans="2:6" ht="31.5" customHeight="1" x14ac:dyDescent="0.35">
      <c r="B10" s="23" t="s">
        <v>96</v>
      </c>
      <c r="C10" s="6" t="s">
        <v>97</v>
      </c>
      <c r="D10" s="6"/>
      <c r="E10" s="6" t="s">
        <v>98</v>
      </c>
      <c r="F10" s="6"/>
    </row>
    <row r="11" spans="2:6" ht="31.5" customHeight="1" x14ac:dyDescent="0.35">
      <c r="B11" s="25" t="s">
        <v>99</v>
      </c>
      <c r="C11" s="5" t="s">
        <v>100</v>
      </c>
      <c r="D11" s="5"/>
      <c r="E11" s="5" t="s">
        <v>98</v>
      </c>
      <c r="F11" s="5"/>
    </row>
    <row r="12" spans="2:6" ht="31.5" customHeight="1" x14ac:dyDescent="0.35">
      <c r="B12" s="23" t="s">
        <v>101</v>
      </c>
      <c r="C12" s="6" t="s">
        <v>102</v>
      </c>
      <c r="D12" s="6"/>
      <c r="E12" s="6" t="s">
        <v>103</v>
      </c>
      <c r="F12" s="6"/>
    </row>
    <row r="13" spans="2:6" ht="31.5" customHeight="1" x14ac:dyDescent="0.35">
      <c r="B13" s="25" t="s">
        <v>104</v>
      </c>
      <c r="C13" s="5" t="s">
        <v>105</v>
      </c>
      <c r="D13" s="5"/>
      <c r="E13" s="5" t="s">
        <v>98</v>
      </c>
      <c r="F13" s="5"/>
    </row>
    <row r="14" spans="2:6" ht="31.5" customHeight="1" x14ac:dyDescent="0.35">
      <c r="B14" s="23" t="s">
        <v>106</v>
      </c>
      <c r="C14" s="6" t="s">
        <v>107</v>
      </c>
      <c r="D14" s="6"/>
      <c r="E14" s="6" t="s">
        <v>108</v>
      </c>
      <c r="F14" s="6"/>
    </row>
    <row r="15" spans="2:6" ht="31.5" customHeight="1" x14ac:dyDescent="0.35">
      <c r="B15" s="25" t="s">
        <v>109</v>
      </c>
      <c r="C15" s="5" t="s">
        <v>110</v>
      </c>
      <c r="D15" s="5"/>
      <c r="E15" s="5" t="s">
        <v>98</v>
      </c>
      <c r="F15" s="5"/>
    </row>
    <row r="16" spans="2:6" ht="31.5" customHeight="1" x14ac:dyDescent="0.35">
      <c r="B16" s="23" t="s">
        <v>111</v>
      </c>
      <c r="C16" s="6" t="s">
        <v>112</v>
      </c>
      <c r="D16" s="6"/>
      <c r="E16" s="6" t="s">
        <v>113</v>
      </c>
      <c r="F16" s="6"/>
    </row>
    <row r="17" spans="2:6" ht="31.5" customHeight="1" x14ac:dyDescent="0.35">
      <c r="B17" s="25" t="s">
        <v>114</v>
      </c>
      <c r="C17" s="5" t="s">
        <v>115</v>
      </c>
      <c r="D17" s="5"/>
      <c r="E17" s="5" t="s">
        <v>116</v>
      </c>
      <c r="F17" s="5"/>
    </row>
    <row r="18" spans="2:6" ht="31.5" customHeight="1" x14ac:dyDescent="0.35">
      <c r="B18" s="23" t="s">
        <v>117</v>
      </c>
      <c r="C18" s="6" t="s">
        <v>118</v>
      </c>
      <c r="D18" s="6"/>
      <c r="E18" s="6" t="s">
        <v>119</v>
      </c>
      <c r="F18" s="6"/>
    </row>
    <row r="19" spans="2:6" ht="31.5" customHeight="1" x14ac:dyDescent="0.35">
      <c r="B19" s="25" t="s">
        <v>120</v>
      </c>
      <c r="C19" s="5" t="s">
        <v>121</v>
      </c>
      <c r="D19" s="5"/>
      <c r="E19" s="5" t="s">
        <v>122</v>
      </c>
      <c r="F19" s="5"/>
    </row>
    <row r="20" spans="2:6" ht="31.5" customHeight="1" x14ac:dyDescent="0.35">
      <c r="B20" s="23" t="s">
        <v>123</v>
      </c>
      <c r="C20" s="6" t="s">
        <v>124</v>
      </c>
      <c r="D20" s="6"/>
      <c r="E20" s="6" t="s">
        <v>125</v>
      </c>
      <c r="F20" s="6"/>
    </row>
    <row r="21" spans="2:6" ht="31.5" customHeight="1" x14ac:dyDescent="0.35">
      <c r="B21" s="25" t="s">
        <v>126</v>
      </c>
      <c r="C21" s="5" t="s">
        <v>127</v>
      </c>
      <c r="D21" s="5"/>
      <c r="E21" s="5" t="s">
        <v>128</v>
      </c>
      <c r="F21" s="5"/>
    </row>
    <row r="22" spans="2:6" ht="31.5" customHeight="1" x14ac:dyDescent="0.35">
      <c r="B22" s="23" t="s">
        <v>129</v>
      </c>
      <c r="C22" s="6" t="s">
        <v>130</v>
      </c>
      <c r="D22" s="6"/>
      <c r="E22" s="6" t="s">
        <v>45</v>
      </c>
      <c r="F22" s="6"/>
    </row>
    <row r="23" spans="2:6" ht="31.5" customHeight="1" x14ac:dyDescent="0.35">
      <c r="B23" s="25" t="s">
        <v>131</v>
      </c>
      <c r="C23" s="5" t="s">
        <v>132</v>
      </c>
      <c r="D23" s="5"/>
      <c r="E23" s="5" t="s">
        <v>43</v>
      </c>
      <c r="F23" s="5"/>
    </row>
    <row r="25" spans="2:6" ht="18" customHeight="1" x14ac:dyDescent="0.35">
      <c r="B25" s="12" t="s">
        <v>133</v>
      </c>
      <c r="C25" s="12"/>
      <c r="D25" s="12"/>
      <c r="E25" s="12"/>
      <c r="F25" s="12"/>
    </row>
    <row r="26" spans="2:6" ht="30" customHeight="1" x14ac:dyDescent="0.35">
      <c r="B26" s="22" t="s">
        <v>134</v>
      </c>
      <c r="C26" s="22" t="s">
        <v>135</v>
      </c>
      <c r="D26" s="22"/>
      <c r="E26" s="22" t="s">
        <v>136</v>
      </c>
      <c r="F26" s="22" t="s">
        <v>137</v>
      </c>
    </row>
    <row r="27" spans="2:6" x14ac:dyDescent="0.35">
      <c r="B27" s="20" t="s">
        <v>138</v>
      </c>
      <c r="C27" s="11" t="s">
        <v>139</v>
      </c>
      <c r="D27" s="11"/>
      <c r="E27" s="28">
        <f>'Rating Engine'!C56</f>
        <v>1.1499999999999999</v>
      </c>
      <c r="F27" s="29"/>
    </row>
    <row r="28" spans="2:6" x14ac:dyDescent="0.35">
      <c r="B28" s="20" t="s">
        <v>140</v>
      </c>
      <c r="C28" s="11" t="s">
        <v>141</v>
      </c>
      <c r="D28" s="11"/>
      <c r="E28" s="30">
        <f>'Rating Engine'!C91/'Rating Engine'!C11*100</f>
        <v>1.6460710673965873</v>
      </c>
      <c r="F28" s="31">
        <f>'Rating Engine'!C91</f>
        <v>6995.8020364354952</v>
      </c>
    </row>
    <row r="29" spans="2:6" x14ac:dyDescent="0.35">
      <c r="B29" s="20" t="s">
        <v>142</v>
      </c>
      <c r="C29" s="11" t="s">
        <v>143</v>
      </c>
      <c r="D29" s="11"/>
      <c r="E29" s="30">
        <f>'Rating Engine'!C103/'Rating Engine'!C11*100</f>
        <v>3.27222371250055</v>
      </c>
      <c r="F29" s="31">
        <f>'Rating Engine'!C103</f>
        <v>13906.950778127337</v>
      </c>
    </row>
    <row r="30" spans="2:6" x14ac:dyDescent="0.35">
      <c r="B30" s="32" t="s">
        <v>144</v>
      </c>
      <c r="C30" s="4" t="s">
        <v>145</v>
      </c>
      <c r="D30" s="4"/>
      <c r="E30" s="33">
        <f>'Rating Engine'!C106</f>
        <v>5.641765021552672</v>
      </c>
      <c r="F30" s="34">
        <f>'Rating Engine'!C105</f>
        <v>23977.501341598858</v>
      </c>
    </row>
    <row r="31" spans="2:6" x14ac:dyDescent="0.35">
      <c r="B31" s="20" t="s">
        <v>146</v>
      </c>
      <c r="C31" s="11" t="s">
        <v>147</v>
      </c>
      <c r="D31" s="11"/>
      <c r="E31" s="30">
        <f>'Rating Engine'!C109</f>
        <v>5.641765021552672</v>
      </c>
      <c r="F31" s="31">
        <f>'Rating Engine'!C108</f>
        <v>23977.501341598858</v>
      </c>
    </row>
    <row r="32" spans="2:6" x14ac:dyDescent="0.35">
      <c r="B32" s="20" t="s">
        <v>148</v>
      </c>
      <c r="C32" s="11" t="s">
        <v>149</v>
      </c>
      <c r="D32" s="11"/>
      <c r="E32" s="35">
        <f>'Rating Engine'!C110</f>
        <v>1</v>
      </c>
      <c r="F32" s="29"/>
    </row>
    <row r="34" spans="2:6" ht="15" customHeight="1" x14ac:dyDescent="0.35">
      <c r="B34" s="7" t="s">
        <v>150</v>
      </c>
      <c r="C34" s="7"/>
      <c r="D34" s="7"/>
      <c r="E34" s="7"/>
      <c r="F34" s="7"/>
    </row>
    <row r="35" spans="2:6" x14ac:dyDescent="0.35">
      <c r="B35" s="7"/>
      <c r="C35" s="7"/>
      <c r="D35" s="7"/>
      <c r="E35" s="7"/>
      <c r="F35" s="7"/>
    </row>
    <row r="36" spans="2:6" x14ac:dyDescent="0.35">
      <c r="B36" s="7"/>
      <c r="C36" s="7"/>
      <c r="D36" s="7"/>
      <c r="E36" s="7"/>
      <c r="F36" s="7"/>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3"/>
  <sheetViews>
    <sheetView showGridLines="0" topLeftCell="B1" zoomScaleNormal="100" workbookViewId="0">
      <selection activeCell="B1" sqref="B1"/>
    </sheetView>
  </sheetViews>
  <sheetFormatPr defaultColWidth="8.6328125" defaultRowHeight="14.5" x14ac:dyDescent="0.35"/>
  <cols>
    <col min="1" max="1" width="2" customWidth="1"/>
    <col min="2" max="2" width="44" customWidth="1"/>
    <col min="3" max="3" width="34" customWidth="1"/>
    <col min="4" max="4" width="96" customWidth="1"/>
  </cols>
  <sheetData>
    <row r="1" spans="2:4" ht="25.5" customHeight="1" x14ac:dyDescent="0.35">
      <c r="B1" s="14" t="s">
        <v>151</v>
      </c>
      <c r="C1" s="14"/>
      <c r="D1" s="14"/>
    </row>
    <row r="2" spans="2:4" ht="15" customHeight="1" x14ac:dyDescent="0.35">
      <c r="B2" s="13" t="s">
        <v>152</v>
      </c>
      <c r="C2" s="13"/>
      <c r="D2" s="13"/>
    </row>
    <row r="4" spans="2:4" ht="18" customHeight="1" x14ac:dyDescent="0.35">
      <c r="B4" s="12" t="s">
        <v>153</v>
      </c>
      <c r="C4" s="12"/>
      <c r="D4" s="12"/>
    </row>
    <row r="5" spans="2:4" x14ac:dyDescent="0.35">
      <c r="B5" s="36" t="s">
        <v>154</v>
      </c>
      <c r="C5" s="37" t="inlineStr">
        <is>
          <t xml:space="preserve">Noor Fairweather</t>
        </is>
      </c>
      <c r="D5" s="38" t="s">
        <v>156</v>
      </c>
    </row>
    <row r="6" spans="2:4" x14ac:dyDescent="0.35">
      <c r="B6" s="36" t="s">
        <v>157</v>
      </c>
      <c r="C6" s="39">
        <v>45972</v>
      </c>
      <c r="D6" s="38" t="s">
        <v>158</v>
      </c>
    </row>
    <row r="7" spans="2:4" x14ac:dyDescent="0.35">
      <c r="B7" s="36" t="s">
        <v>159</v>
      </c>
      <c r="C7" s="37">
        <v>2022</v>
      </c>
      <c r="D7" s="38" t="s">
        <v>160</v>
      </c>
    </row>
    <row r="8" spans="2:4" x14ac:dyDescent="0.35">
      <c r="B8" s="36" t="s">
        <v>161</v>
      </c>
      <c r="C8" s="37" t="inlineStr">
        <is>
          <t xml:space="preserve">Singer Vehicle Design</t>
        </is>
      </c>
      <c r="D8" s="38" t="s">
        <v>163</v>
      </c>
    </row>
    <row r="9" spans="2:4" x14ac:dyDescent="0.35">
      <c r="B9" s="36" t="s">
        <v>164</v>
      </c>
      <c r="C9" s="37" t="inlineStr">
        <is>
          <t xml:space="preserve">911 Reimagined</t>
        </is>
      </c>
      <c r="D9" s="38" t="s">
        <v>166</v>
      </c>
    </row>
    <row r="10" spans="2:4" x14ac:dyDescent="0.35">
      <c r="B10" s="36" t="s">
        <v>167</v>
      </c>
      <c r="C10" s="37" t="inlineStr">
        <is>
          <t xml:space="preserve">02 - Sports / GT</t>
        </is>
      </c>
      <c r="D10" s="38" t="s">
        <v>169</v>
      </c>
    </row>
    <row r="11" spans="2:4" ht="24" customHeight="1" x14ac:dyDescent="0.35">
      <c r="B11" s="36" t="s">
        <v>170</v>
      </c>
      <c r="C11" s="40">
        <v>1120000</v>
      </c>
      <c r="D11" s="38" t="s">
        <v>171</v>
      </c>
    </row>
    <row r="12" spans="2:4" x14ac:dyDescent="0.35">
      <c r="B12" s="36" t="s">
        <v>172</v>
      </c>
      <c r="C12" s="37" t="inlineStr">
        <is>
          <t xml:space="preserve">Louisiana</t>
        </is>
      </c>
      <c r="D12" s="38" t="s">
        <v>174</v>
      </c>
    </row>
    <row r="13" spans="2:4" x14ac:dyDescent="0.35">
      <c r="B13" s="36" t="s">
        <v>175</v>
      </c>
      <c r="C13" s="37" t="inlineStr">
        <is>
          <t xml:space="preserve">70115</t>
        </is>
      </c>
      <c r="D13" s="41" t="s">
        <v>177</v>
      </c>
    </row>
    <row r="14" spans="2:4" x14ac:dyDescent="0.35">
      <c r="B14" s="36" t="s">
        <v>178</v>
      </c>
      <c r="C14" s="37" t="inlineStr">
        <is>
          <t xml:space="preserve">Personal</t>
        </is>
      </c>
      <c r="D14" s="38" t="s">
        <v>180</v>
      </c>
    </row>
    <row r="15" spans="2:4" x14ac:dyDescent="0.35">
      <c r="B15" s="36" t="s">
        <v>181</v>
      </c>
      <c r="C15" s="37" t="inlineStr">
        <is>
          <t xml:space="preserve">Personal - regular use</t>
        </is>
      </c>
      <c r="D15" s="38" t="s">
        <v>183</v>
      </c>
    </row>
    <row r="16" spans="2:4" x14ac:dyDescent="0.35">
      <c r="B16" s="36" t="s">
        <v>184</v>
      </c>
      <c r="C16" s="37" t="inlineStr">
        <is>
          <t xml:space="preserve">1,000 - 2,500</t>
        </is>
      </c>
      <c r="D16" s="38" t="s">
        <v>186</v>
      </c>
    </row>
    <row r="17" spans="2:4" ht="25.5" customHeight="1" x14ac:dyDescent="0.35">
      <c r="B17" s="36" t="s">
        <v>187</v>
      </c>
      <c r="C17" s="37" t="inlineStr">
        <is>
          <t xml:space="preserve">Locked private garage w/ monitored alarm</t>
        </is>
      </c>
      <c r="D17" s="38" t="s">
        <v>189</v>
      </c>
    </row>
    <row r="18" spans="2:4" x14ac:dyDescent="0.35">
      <c r="B18" s="36" t="s">
        <v>190</v>
      </c>
      <c r="C18" s="37" t="inlineStr">
        <is>
          <t xml:space="preserve">GPS tracker w/ recovery service</t>
        </is>
      </c>
      <c r="D18" s="38" t="s">
        <v>192</v>
      </c>
    </row>
    <row r="19" spans="2:4" x14ac:dyDescent="0.35">
      <c r="B19" s="36" t="s">
        <v>193</v>
      </c>
      <c r="C19" s="37" t="inlineStr">
        <is>
          <t xml:space="preserve">55 - 64</t>
        </is>
      </c>
      <c r="D19" s="38" t="s">
        <v>195</v>
      </c>
    </row>
    <row r="20" spans="2:4" x14ac:dyDescent="0.35">
      <c r="B20" s="36" t="s">
        <v>196</v>
      </c>
      <c r="C20" s="37" t="inlineStr">
        <is>
          <t xml:space="preserve">5 - 10 years</t>
        </is>
      </c>
      <c r="D20" s="38" t="s">
        <v>198</v>
      </c>
    </row>
    <row r="21" spans="2:4" x14ac:dyDescent="0.35">
      <c r="B21" s="36" t="s">
        <v>199</v>
      </c>
      <c r="C21" s="37" t="inlineStr">
        <is>
          <t xml:space="preserve">Clean - no violations 3 yrs</t>
        </is>
      </c>
      <c r="D21" s="38" t="s">
        <v>201</v>
      </c>
    </row>
    <row r="22" spans="2:4" x14ac:dyDescent="0.35">
      <c r="B22" s="36" t="s">
        <v>202</v>
      </c>
      <c r="C22" s="37" t="inlineStr">
        <is>
          <t xml:space="preserve">No at-fault claims - 5 yrs</t>
        </is>
      </c>
      <c r="D22" s="38" t="s">
        <v>204</v>
      </c>
    </row>
    <row r="23" spans="2:4" x14ac:dyDescent="0.35">
      <c r="B23" s="36" t="s">
        <v>205</v>
      </c>
      <c r="C23" s="37" t="inlineStr">
        <is>
          <t xml:space="preserve">1 vehicle</t>
        </is>
      </c>
      <c r="D23" s="38" t="s">
        <v>207</v>
      </c>
    </row>
    <row r="24" spans="2:4" x14ac:dyDescent="0.35">
      <c r="B24" s="36" t="s">
        <v>208</v>
      </c>
      <c r="C24" s="37" t="inlineStr">
        <is>
          <t xml:space="preserve">$2,500</t>
        </is>
      </c>
      <c r="D24" s="38" t="s">
        <v>210</v>
      </c>
    </row>
    <row r="25" spans="2:4" x14ac:dyDescent="0.35">
      <c r="B25" s="36" t="s">
        <v>211</v>
      </c>
      <c r="C25" s="37" t="inlineStr">
        <is>
          <t xml:space="preserve">Agreed Value</t>
        </is>
      </c>
      <c r="D25" s="38" t="s">
        <v>207</v>
      </c>
    </row>
    <row r="26" spans="2:4" x14ac:dyDescent="0.35">
      <c r="B26" s="36" t="s">
        <v>213</v>
      </c>
      <c r="C26" s="37" t="inlineStr">
        <is>
          <t xml:space="preserve">$1,000,000 CSL</t>
        </is>
      </c>
      <c r="D26" s="38" t="s">
        <v>215</v>
      </c>
    </row>
    <row r="27" spans="2:4" x14ac:dyDescent="0.35">
      <c r="B27" s="36" t="s">
        <v>216</v>
      </c>
      <c r="C27" s="37" t="inlineStr">
        <is>
          <t xml:space="preserve">New Orleans, LA</t>
        </is>
      </c>
      <c r="D27" s="38" t="s">
        <v>218</v>
      </c>
    </row>
    <row r="28" spans="2:4" x14ac:dyDescent="0.35">
      <c r="B28" s="36" t="s">
        <v>219</v>
      </c>
      <c r="C28" s="37" t="inlineStr">
        <is>
          <t xml:space="preserve">2% of agreed value, minimum $10,000</t>
        </is>
      </c>
      <c r="D28" s="38" t="s">
        <v>221</v>
      </c>
    </row>
    <row r="29" spans="2:4" x14ac:dyDescent="0.35">
      <c r="B29" s="42" t="s">
        <v>222</v>
      </c>
      <c r="C29" s="37" t="s">
        <v>223</v>
      </c>
      <c r="D29" s="38" t="s">
        <v>224</v>
      </c>
    </row>
    <row r="30" spans="2:4" x14ac:dyDescent="0.35">
      <c r="B30" s="36" t="s">
        <v>225</v>
      </c>
      <c r="C30" s="37" t="s">
        <v>226</v>
      </c>
    </row>
    <row r="31" spans="2:4" x14ac:dyDescent="0.35">
      <c r="B31" s="36" t="s">
        <v>227</v>
      </c>
      <c r="C31" s="37" t="s">
        <v>228</v>
      </c>
    </row>
    <row r="32" spans="2:4" x14ac:dyDescent="0.35">
      <c r="B32" s="36" t="s">
        <v>229</v>
      </c>
      <c r="C32" s="37" t="s">
        <v>230</v>
      </c>
    </row>
    <row r="33" spans="2:4" x14ac:dyDescent="0.35">
      <c r="B33" s="36" t="s">
        <v>231</v>
      </c>
      <c r="C33" s="37" t="s">
        <v>232</v>
      </c>
    </row>
    <row r="34" spans="2:4" x14ac:dyDescent="0.35">
      <c r="B34" s="42" t="s">
        <v>233</v>
      </c>
      <c r="C34" s="37" t="s">
        <v>234</v>
      </c>
      <c r="D34" s="38" t="s">
        <v>235</v>
      </c>
    </row>
    <row r="35" spans="2:4" x14ac:dyDescent="0.35">
      <c r="B35" s="36" t="s">
        <v>236</v>
      </c>
      <c r="C35" s="37" t="s">
        <v>237</v>
      </c>
    </row>
    <row r="36" spans="2:4" x14ac:dyDescent="0.35">
      <c r="B36" s="36" t="s">
        <v>238</v>
      </c>
      <c r="C36" s="37" t="s">
        <v>209</v>
      </c>
    </row>
    <row r="37" spans="2:4" x14ac:dyDescent="0.35">
      <c r="B37" s="36" t="s">
        <v>239</v>
      </c>
      <c r="C37" s="37" t="s">
        <v>240</v>
      </c>
    </row>
    <row r="38" spans="2:4" x14ac:dyDescent="0.35">
      <c r="B38" s="36" t="s">
        <v>241</v>
      </c>
      <c r="C38" s="37" t="s">
        <v>242</v>
      </c>
    </row>
    <row r="39" spans="2:4" x14ac:dyDescent="0.35">
      <c r="B39" s="36" t="s">
        <v>243</v>
      </c>
      <c r="C39" s="37" t="s">
        <v>244</v>
      </c>
    </row>
    <row r="40" spans="2:4" x14ac:dyDescent="0.35">
      <c r="B40" s="36" t="s">
        <v>245</v>
      </c>
      <c r="C40" s="37" t="s">
        <v>246</v>
      </c>
    </row>
    <row r="41" spans="2:4" x14ac:dyDescent="0.35">
      <c r="B41" s="36" t="s">
        <v>247</v>
      </c>
      <c r="C41" s="37" t="s">
        <v>248</v>
      </c>
    </row>
    <row r="42" spans="2:4" x14ac:dyDescent="0.35">
      <c r="B42" s="36" t="s">
        <v>249</v>
      </c>
      <c r="C42" s="37" t="s">
        <v>250</v>
      </c>
    </row>
    <row r="43" spans="2:4" ht="24" customHeight="1" x14ac:dyDescent="0.35">
      <c r="B43" s="36" t="s">
        <v>251</v>
      </c>
      <c r="C43" s="37"/>
      <c r="D43" s="38" t="s">
        <v>252</v>
      </c>
    </row>
    <row r="44" spans="2:4" ht="24" customHeight="1" x14ac:dyDescent="0.35">
      <c r="B44" s="36" t="s">
        <v>120</v>
      </c>
      <c r="C44" s="43">
        <v>0</v>
      </c>
      <c r="D44" s="38" t="s">
        <v>253</v>
      </c>
    </row>
    <row r="46" spans="2:4" ht="18" customHeight="1" x14ac:dyDescent="0.35">
      <c r="B46" s="12" t="s">
        <v>254</v>
      </c>
      <c r="C46" s="12"/>
      <c r="D46" s="12"/>
    </row>
    <row r="47" spans="2:4" x14ac:dyDescent="0.35">
      <c r="B47" s="36" t="s">
        <v>255</v>
      </c>
      <c r="C47" s="44" t="str">
        <f>IFERROR(LEFT(TEXT(VALUE(C13),"00000"),3),"---")</f>
        <v>701</v>
      </c>
      <c r="D47" s="38" t="s">
        <v>256</v>
      </c>
    </row>
    <row r="48" spans="2:4" ht="30.75" customHeight="1" x14ac:dyDescent="0.35">
      <c r="B48" s="32" t="s">
        <v>257</v>
      </c>
      <c r="C48" s="45" t="str">
        <f>IF(C43&lt;&gt;"",C43,IFERROR(INDEX('Cat Zone by ZIP'!$D$6:$D$856,MATCH(C47,'Cat Zone by ZIP'!$B$6:$B$856,0)),IFERROR(INDEX('Cat Zone by ZIP'!$C$860:$C$910,MATCH(C12,'Cat Zone by ZIP'!$B$860:$B$910,0)),"NOT FOUND - select an override")))</f>
        <v>Tier 1 - Coastal wind / surge (0-1 mile, FEMA V or Coastal A)</v>
      </c>
      <c r="D48" s="38" t="s">
        <v>258</v>
      </c>
    </row>
    <row r="49" spans="2:4" x14ac:dyDescent="0.35">
      <c r="B49" s="36" t="s">
        <v>259</v>
      </c>
      <c r="C49" s="44" t="str">
        <f>IF(C43&lt;&gt;"","Manual underwriter override",IF(ISNUMBER(MATCH(C47,'Cat Zone by ZIP'!$B$6:$B$856,0)),"ZIP-3 prefix "&amp;C47&amp;" mapped","State default for "&amp;C12))</f>
        <v>ZIP-3 prefix 701 mapped</v>
      </c>
      <c r="D49" s="38" t="s">
        <v>260</v>
      </c>
    </row>
    <row r="50" spans="2:4" ht="25.5" customHeight="1" x14ac:dyDescent="0.35">
      <c r="B50" s="36" t="s">
        <v>261</v>
      </c>
      <c r="C50" s="44" t="str">
        <f>INDEX('Natural Catastrophe'!$C$6:$C$17,MATCH(C48,'Natural Catastrophe'!$B$6:$B$17,0))</f>
        <v>Barrier islands and immediate waterfront on the Gulf and South Atlantic coasts.</v>
      </c>
      <c r="D50" s="38" t="s">
        <v>262</v>
      </c>
    </row>
    <row r="51" spans="2:4" ht="24" customHeight="1" x14ac:dyDescent="0.35">
      <c r="B51" s="36" t="s">
        <v>263</v>
      </c>
      <c r="C51" s="46">
        <f>INDEX('Natural Catastrophe'!$D$6:$D$17,MATCH(C48,'Natural Catastrophe'!$B$6:$B$17,0))</f>
        <v>3</v>
      </c>
      <c r="D51" s="38" t="s">
        <v>264</v>
      </c>
    </row>
    <row r="52" spans="2:4" x14ac:dyDescent="0.35">
      <c r="B52" s="36" t="s">
        <v>265</v>
      </c>
      <c r="C52" s="46">
        <f>INDEX('Natural Catastrophe'!$C$21:$C$26,MATCH(C28,'Natural Catastrophe'!$B$21:$B$26,0))</f>
        <v>0.8</v>
      </c>
      <c r="D52" s="38" t="s">
        <v>266</v>
      </c>
    </row>
    <row r="54" spans="2:4" ht="18" customHeight="1" x14ac:dyDescent="0.35">
      <c r="B54" s="12" t="s">
        <v>267</v>
      </c>
      <c r="C54" s="12"/>
      <c r="D54" s="12"/>
    </row>
    <row r="55" spans="2:4" x14ac:dyDescent="0.35">
      <c r="B55" s="36" t="s">
        <v>268</v>
      </c>
      <c r="C55" s="44" t="str">
        <f>INDEX('Base Rates'!$C$4:$I$4,MATCH(MAX(C11,'Technical Premium'!$C$18),'Base Rates'!$C$3:$I$3,1))</f>
        <v>$1.0M - $2.0M</v>
      </c>
      <c r="D55" s="38" t="s">
        <v>269</v>
      </c>
    </row>
    <row r="56" spans="2:4" x14ac:dyDescent="0.35">
      <c r="B56" s="36" t="s">
        <v>270</v>
      </c>
      <c r="C56" s="47">
        <f>INDEX('Base Rates'!$C$5:$I$16,MATCH(C10,'Base Rates'!$B$5:$B$16,0),MATCH(MAX(C11,'Technical Premium'!$C$18),'Base Rates'!$C$3:$I$3,1))</f>
        <v>0.7</v>
      </c>
      <c r="D56" s="38" t="s">
        <v>271</v>
      </c>
    </row>
    <row r="57" spans="2:4" x14ac:dyDescent="0.35">
      <c r="B57" s="36" t="s">
        <v>272</v>
      </c>
      <c r="C57" s="48">
        <f>C11/100*C56</f>
        <v>7840</v>
      </c>
      <c r="D57" s="38" t="s">
        <v>273</v>
      </c>
    </row>
    <row r="58" spans="2:4" x14ac:dyDescent="0.35">
      <c r="B58" s="36" t="s">
        <v>274</v>
      </c>
      <c r="C58" s="46">
        <f>INDEX('Make Factors'!$G$5:$G$69,MATCH(C8,'Make Factors'!$B$5:$B$69,0))</f>
        <v>1.654</v>
      </c>
    </row>
    <row r="59" spans="2:4" x14ac:dyDescent="0.35">
      <c r="B59" s="36" t="s">
        <v>275</v>
      </c>
      <c r="C59" s="46">
        <f>INDEX('Driver Factors'!$C$6:$C$15,MATCH(C19,'Driver Factors'!$B$6:$B$15,0))</f>
        <v>1</v>
      </c>
    </row>
    <row r="60" spans="2:4" x14ac:dyDescent="0.35">
      <c r="B60" s="36" t="s">
        <v>276</v>
      </c>
      <c r="C60" s="46">
        <f>INDEX('Driver Factors'!$C$19:$C$24,MATCH(C20,'Driver Factors'!$B$19:$B$24,0))</f>
        <v>1</v>
      </c>
    </row>
    <row r="61" spans="2:4" x14ac:dyDescent="0.35">
      <c r="B61" s="36" t="s">
        <v>277</v>
      </c>
      <c r="C61" s="46">
        <f>INDEX('Driver Factors'!$C$28:$C$36,MATCH(C21,'Driver Factors'!$B$28:$B$36,0))</f>
        <v>1</v>
      </c>
    </row>
    <row r="62" spans="2:4" x14ac:dyDescent="0.35">
      <c r="B62" s="36" t="s">
        <v>278</v>
      </c>
      <c r="C62" s="46">
        <f>INDEX('Claims History'!$C$6:$C$15,MATCH(C22,'Claims History'!$B$6:$B$15,0))</f>
        <v>0.9</v>
      </c>
    </row>
    <row r="63" spans="2:4" x14ac:dyDescent="0.35">
      <c r="B63" s="36" t="s">
        <v>279</v>
      </c>
      <c r="C63" s="46">
        <f>INDEX('Territory Factors'!$E$6:$E$56,MATCH(C12,'Territory Factors'!$B$6:$B$56,0))</f>
        <v>1.38</v>
      </c>
    </row>
    <row r="64" spans="2:4" x14ac:dyDescent="0.35">
      <c r="B64" s="36" t="s">
        <v>280</v>
      </c>
      <c r="C64" s="46">
        <f>INDEX('City Accident Ratings'!$G$6:$G$54,MATCH(C27,'City Accident Ratings'!$B$6:$B$54,0))</f>
        <v>1.315</v>
      </c>
    </row>
    <row r="65" spans="2:3" x14ac:dyDescent="0.35">
      <c r="B65" s="36" t="s">
        <v>281</v>
      </c>
      <c r="C65" s="46">
        <f>INDEX('Usage and Coverage'!$D$6:$D$20,MATCH(C15,'Usage and Coverage'!$C$6:$C$20,0))</f>
        <v>1</v>
      </c>
    </row>
    <row r="66" spans="2:3" x14ac:dyDescent="0.35">
      <c r="B66" s="36" t="s">
        <v>282</v>
      </c>
      <c r="C66" s="46">
        <f>INDEX('Usage and Coverage'!$C$24:$C$30,MATCH(C16,'Usage and Coverage'!$B$24:$B$30,0))</f>
        <v>0.85</v>
      </c>
    </row>
    <row r="67" spans="2:3" x14ac:dyDescent="0.35">
      <c r="B67" s="36" t="s">
        <v>283</v>
      </c>
      <c r="C67" s="46">
        <f>INDEX('Usage and Coverage'!$C$34:$C$40,MATCH(C17,'Usage and Coverage'!$B$34:$B$40,0))</f>
        <v>0.9</v>
      </c>
    </row>
    <row r="68" spans="2:3" x14ac:dyDescent="0.35">
      <c r="B68" s="36" t="s">
        <v>284</v>
      </c>
      <c r="C68" s="46">
        <f>INDEX('Usage and Coverage'!$C$44:$C$49,MATCH(C18,'Usage and Coverage'!$B$44:$B$49,0))</f>
        <v>0.9</v>
      </c>
    </row>
    <row r="69" spans="2:3" x14ac:dyDescent="0.35">
      <c r="B69" s="36" t="s">
        <v>285</v>
      </c>
      <c r="C69" s="46">
        <f>INDEX(Deductibles!$C$6:$I$15,MATCH(C24,Deductibles!$B$6:$B$15,0),MATCH(MAX(C11,'Technical Premium'!$C$18),'Base Rates'!$C$3:$I$3,1))</f>
        <v>1</v>
      </c>
    </row>
    <row r="70" spans="2:3" x14ac:dyDescent="0.35">
      <c r="B70" s="36" t="s">
        <v>286</v>
      </c>
      <c r="C70" s="46">
        <f>INDEX('Usage and Coverage'!$C$63:$C$66,MATCH(C25,'Usage and Coverage'!$B$63:$B$66,0))</f>
        <v>1</v>
      </c>
    </row>
    <row r="71" spans="2:3" x14ac:dyDescent="0.35">
      <c r="B71" s="36" t="s">
        <v>287</v>
      </c>
      <c r="C71" s="46">
        <f>INDEX('Usage and Coverage'!$C$70:$C$75,MATCH(C23,'Usage and Coverage'!$B$70:$B$75,0))</f>
        <v>1</v>
      </c>
    </row>
    <row r="72" spans="2:3" x14ac:dyDescent="0.35">
      <c r="B72" s="36" t="s">
        <v>288</v>
      </c>
      <c r="C72" s="46">
        <f>INDEX(Deductibles!$C$48:$C$51,MATCH(C29,Deductibles!$B$48:$B$51,0))</f>
        <v>1</v>
      </c>
    </row>
    <row r="73" spans="2:3" x14ac:dyDescent="0.35">
      <c r="B73" s="36" t="s">
        <v>289</v>
      </c>
      <c r="C73" s="46">
        <f>INDEX(Deductibles!$C$55:$C$57,MATCH(C30,Deductibles!$B$55:$B$57,0))</f>
        <v>1</v>
      </c>
    </row>
    <row r="74" spans="2:3" x14ac:dyDescent="0.35">
      <c r="B74" s="36" t="s">
        <v>290</v>
      </c>
      <c r="C74" s="46">
        <f>INDEX(Deductibles!$C$61:$C$63,MATCH(C31,Deductibles!$B$61:$B$63,0))</f>
        <v>1</v>
      </c>
    </row>
    <row r="75" spans="2:3" x14ac:dyDescent="0.35">
      <c r="B75" s="36" t="s">
        <v>291</v>
      </c>
      <c r="C75" s="46">
        <f>INDEX(Deductibles!$C$67:$C$69,MATCH(C32,Deductibles!$B$67:$B$69,0))</f>
        <v>1</v>
      </c>
    </row>
    <row r="76" spans="2:3" x14ac:dyDescent="0.35">
      <c r="B76" s="36" t="s">
        <v>292</v>
      </c>
      <c r="C76" s="46">
        <f>INDEX(Deductibles!$C$73:$C$74,MATCH(C33,Deductibles!$B$73:$B$74,0))</f>
        <v>1</v>
      </c>
    </row>
    <row r="77" spans="2:3" x14ac:dyDescent="0.35">
      <c r="B77" s="36" t="s">
        <v>293</v>
      </c>
      <c r="C77" s="46">
        <f>INDEX('Sublimits and Parts'!$C$49:$C$52,MATCH(C34,'Sublimits and Parts'!$B$49:$B$52,0))</f>
        <v>1</v>
      </c>
    </row>
    <row r="78" spans="2:3" x14ac:dyDescent="0.35">
      <c r="B78" s="36" t="s">
        <v>294</v>
      </c>
      <c r="C78" s="46">
        <f>INDEX('Sublimits and Parts'!$C$56:$C$60,MATCH(C35,'Sublimits and Parts'!$B$56:$B$60,0))</f>
        <v>1</v>
      </c>
    </row>
    <row r="79" spans="2:3" x14ac:dyDescent="0.35">
      <c r="B79" s="36" t="s">
        <v>295</v>
      </c>
      <c r="C79" s="46">
        <f>INDEX('Sublimits and Parts'!$C$64:$C$67,MATCH(C36,'Sublimits and Parts'!$B$64:$B$67,0))</f>
        <v>1</v>
      </c>
    </row>
    <row r="80" spans="2:3" x14ac:dyDescent="0.35">
      <c r="B80" s="36" t="s">
        <v>296</v>
      </c>
      <c r="C80" s="46">
        <f>INDEX('Sublimits and Parts'!$C$71:$C$74,MATCH(C37,'Sublimits and Parts'!$B$71:$B$74,0))</f>
        <v>1</v>
      </c>
    </row>
    <row r="81" spans="2:4" x14ac:dyDescent="0.35">
      <c r="B81" s="36" t="s">
        <v>297</v>
      </c>
      <c r="C81" s="46">
        <f>INDEX('Sublimits and Parts'!$C$78:$C$80,MATCH(C38,'Sublimits and Parts'!$B$78:$B$80,0))</f>
        <v>1</v>
      </c>
    </row>
    <row r="82" spans="2:4" x14ac:dyDescent="0.35">
      <c r="B82" s="36" t="s">
        <v>298</v>
      </c>
      <c r="C82" s="46">
        <f>INDEX('Sublimits and Parts'!$C$84:$C$87,MATCH(C39,'Sublimits and Parts'!$B$84:$B$87,0))</f>
        <v>1</v>
      </c>
    </row>
    <row r="83" spans="2:4" x14ac:dyDescent="0.35">
      <c r="B83" s="36" t="s">
        <v>299</v>
      </c>
      <c r="C83" s="46">
        <f>INDEX('Sublimits and Parts'!$C$91:$C$94,MATCH(C40,'Sublimits and Parts'!$B$91:$B$94,0))</f>
        <v>1</v>
      </c>
    </row>
    <row r="84" spans="2:4" x14ac:dyDescent="0.35">
      <c r="B84" s="36" t="s">
        <v>300</v>
      </c>
      <c r="C84" s="46">
        <f>INDEX('Sublimits and Parts'!$C$98:$C$101,MATCH(C41,'Sublimits and Parts'!$B$98:$B$101,0))</f>
        <v>1</v>
      </c>
    </row>
    <row r="85" spans="2:4" x14ac:dyDescent="0.35">
      <c r="B85" s="36" t="s">
        <v>301</v>
      </c>
      <c r="C85" s="46">
        <f>INDEX('Sublimits and Parts'!$C$105:$C$109,MATCH(C42,'Sublimits and Parts'!$B$105:$B$109,0))</f>
        <v>1</v>
      </c>
    </row>
    <row r="86" spans="2:4" x14ac:dyDescent="0.35">
      <c r="B86" s="32" t="s">
        <v>302</v>
      </c>
      <c r="C86" s="49">
        <f>PRODUCT(C58:C71)</f>
        <v>1.85988802617</v>
      </c>
      <c r="D86" s="38" t="s">
        <v>303</v>
      </c>
    </row>
    <row r="87" spans="2:4" x14ac:dyDescent="0.35">
      <c r="B87" s="32" t="s">
        <v>304</v>
      </c>
      <c r="C87" s="49">
        <f>PRODUCT(C72:C85)</f>
        <v>1</v>
      </c>
      <c r="D87" s="38" t="s">
        <v>305</v>
      </c>
    </row>
    <row r="88" spans="2:4" x14ac:dyDescent="0.35">
      <c r="B88" s="32" t="s">
        <v>306</v>
      </c>
      <c r="C88" s="49">
        <f>MIN(C86*C87,'Technical Premium'!$C$17)</f>
        <v>1.85988802617</v>
      </c>
      <c r="D88" s="38" t="s">
        <v>307</v>
      </c>
    </row>
    <row r="90" spans="2:4" ht="18" customHeight="1" x14ac:dyDescent="0.35">
      <c r="B90" s="12" t="s">
        <v>308</v>
      </c>
      <c r="C90" s="12"/>
      <c r="D90" s="12"/>
    </row>
    <row r="91" spans="2:4" x14ac:dyDescent="0.35">
      <c r="B91" s="36" t="s">
        <v>309</v>
      </c>
      <c r="C91" s="48">
        <f>C57*C88</f>
        <v>14581.5221251728</v>
      </c>
      <c r="D91" s="38" t="s">
        <v>310</v>
      </c>
    </row>
    <row r="92" spans="2:4" x14ac:dyDescent="0.35">
      <c r="B92" s="36" t="s">
        <v>311</v>
      </c>
      <c r="C92" s="48">
        <f>INDEX('Territory Factors'!$F$6:$F$56,MATCH(C12,'Territory Factors'!$B$6:$B$56,0))</f>
        <v>880</v>
      </c>
    </row>
    <row r="93" spans="2:4" x14ac:dyDescent="0.35">
      <c r="B93" s="36" t="s">
        <v>312</v>
      </c>
      <c r="C93" s="46">
        <f>INDEX('Usage and Coverage'!$C$79:$C$84,MATCH(C26,'Usage and Coverage'!$B$79:$B$84,0))</f>
        <v>1.42</v>
      </c>
    </row>
    <row r="94" spans="2:4" x14ac:dyDescent="0.35">
      <c r="B94" s="36" t="s">
        <v>313</v>
      </c>
      <c r="C94" s="48">
        <f>C92*C93*MIN(C65*C59*C61*C62*C66*C64,'Technical Premium'!$C$17)</f>
        <v>1257.06636</v>
      </c>
      <c r="D94" s="38" t="s">
        <v>314</v>
      </c>
    </row>
    <row r="95" spans="2:4" x14ac:dyDescent="0.35">
      <c r="B95" s="36" t="s">
        <v>315</v>
      </c>
      <c r="C95" s="48">
        <f>C91+C94</f>
        <v>15838.5884851728</v>
      </c>
    </row>
    <row r="96" spans="2:4" x14ac:dyDescent="0.35">
      <c r="B96" s="36" t="s">
        <v>316</v>
      </c>
      <c r="C96" s="48">
        <f>C95*'Technical Premium'!$C$5</f>
        <v>1267.08707881382</v>
      </c>
    </row>
    <row r="97" spans="2:4" x14ac:dyDescent="0.35">
      <c r="B97" s="36" t="s">
        <v>317</v>
      </c>
      <c r="C97" s="48">
        <f>C95+C96</f>
        <v>17105.6755639866</v>
      </c>
    </row>
    <row r="98" spans="2:4" x14ac:dyDescent="0.35">
      <c r="B98" s="36" t="s">
        <v>318</v>
      </c>
      <c r="C98" s="48">
        <f>C97*'Technical Premium'!$C$6</f>
        <v>855.283778199331</v>
      </c>
    </row>
    <row r="99" spans="2:4" x14ac:dyDescent="0.35">
      <c r="B99" s="36" t="s">
        <v>319</v>
      </c>
      <c r="C99" s="50">
        <f>INDEX('Territory Factors'!$G$6:$G$56,MATCH(C12,'Territory Factors'!$B$6:$B$56,0))</f>
        <v>0.15</v>
      </c>
      <c r="D99" s="38" t="s">
        <v>320</v>
      </c>
    </row>
    <row r="100" spans="2:4" x14ac:dyDescent="0.35">
      <c r="B100" s="36" t="s">
        <v>321</v>
      </c>
      <c r="C100" s="48">
        <f>C91*C99*C51*C52</f>
        <v>5249.34796506221</v>
      </c>
      <c r="D100" s="38" t="s">
        <v>322</v>
      </c>
    </row>
    <row r="101" spans="2:4" x14ac:dyDescent="0.35">
      <c r="B101" s="36" t="s">
        <v>323</v>
      </c>
      <c r="C101" s="48">
        <f>C97+C98+C100</f>
        <v>23210.3073072482</v>
      </c>
    </row>
    <row r="102" spans="2:4" x14ac:dyDescent="0.35">
      <c r="B102" s="36" t="s">
        <v>324</v>
      </c>
      <c r="C102" s="48">
        <f>C101*'Technical Premium'!$C$7</f>
        <v>1740.77304804361</v>
      </c>
    </row>
    <row r="103" spans="2:4" x14ac:dyDescent="0.35">
      <c r="B103" s="32" t="s">
        <v>325</v>
      </c>
      <c r="C103" s="51">
        <f>C101+C102</f>
        <v>24951.0803552918</v>
      </c>
      <c r="D103" s="38" t="s">
        <v>326</v>
      </c>
    </row>
    <row r="104" spans="2:4" x14ac:dyDescent="0.35">
      <c r="B104" s="36" t="s">
        <v>111</v>
      </c>
      <c r="C104" s="46">
        <f>'Technical Premium'!$C$13</f>
        <v>0.58</v>
      </c>
      <c r="D104" s="38" t="s">
        <v>327</v>
      </c>
    </row>
    <row r="105" spans="2:4" ht="15" customHeight="1" x14ac:dyDescent="0.35">
      <c r="B105" s="32" t="s">
        <v>114</v>
      </c>
      <c r="C105" s="52">
        <f>C103/C104</f>
        <v>43019.1040608479</v>
      </c>
      <c r="D105" s="38" t="s">
        <v>328</v>
      </c>
    </row>
    <row r="106" spans="2:4" ht="15" customHeight="1" x14ac:dyDescent="0.35">
      <c r="B106" s="32" t="s">
        <v>329</v>
      </c>
      <c r="C106" s="53">
        <f>C105/C11*100</f>
        <v>3.84099143400427</v>
      </c>
      <c r="D106" s="38" t="s">
        <v>330</v>
      </c>
    </row>
    <row r="107" spans="2:4" x14ac:dyDescent="0.35">
      <c r="B107" s="36" t="s">
        <v>120</v>
      </c>
      <c r="C107" s="48">
        <f>C105*C44</f>
        <v>0</v>
      </c>
    </row>
    <row r="108" spans="2:4" ht="15" customHeight="1" x14ac:dyDescent="0.35">
      <c r="B108" s="32" t="s">
        <v>331</v>
      </c>
      <c r="C108" s="52">
        <f>C105+C107</f>
        <v>43019.1040608479</v>
      </c>
      <c r="D108" s="38" t="s">
        <v>332</v>
      </c>
    </row>
    <row r="109" spans="2:4" x14ac:dyDescent="0.35">
      <c r="B109" s="36" t="s">
        <v>333</v>
      </c>
      <c r="C109" s="54">
        <f>C108/C11*100</f>
        <v>3.84099143400427</v>
      </c>
      <c r="D109" s="38" t="s">
        <v>334</v>
      </c>
    </row>
    <row r="110" spans="2:4" x14ac:dyDescent="0.35">
      <c r="B110" s="36" t="s">
        <v>335</v>
      </c>
      <c r="C110" s="55">
        <f>C109/C106</f>
        <v>1</v>
      </c>
      <c r="D110" s="38" t="s">
        <v>336</v>
      </c>
    </row>
    <row r="111" spans="2:4" x14ac:dyDescent="0.35">
      <c r="B111" s="36" t="s">
        <v>337</v>
      </c>
      <c r="C111" s="48">
        <f>'Technical Premium'!$C$14</f>
        <v>350</v>
      </c>
    </row>
    <row r="112" spans="2:4" x14ac:dyDescent="0.35">
      <c r="B112" s="36" t="s">
        <v>338</v>
      </c>
      <c r="C112" s="48">
        <f>IF(C11&gt;=1000000,'Technical Premium'!$C$15,0)</f>
        <v>250</v>
      </c>
    </row>
    <row r="113" spans="2:4" x14ac:dyDescent="0.35">
      <c r="B113" s="36" t="s">
        <v>339</v>
      </c>
      <c r="C113" s="48">
        <f>(C108+C111+C112)*(INDEX('Territory Factors'!$K$6:$K$56,MATCH(C12,'Territory Factors'!$B$6:$B$56,0))+'Commission Structure'!$C$21)</f>
        <v>2194.04093426065</v>
      </c>
      <c r="D113" s="38" t="s">
        <v>340</v>
      </c>
    </row>
    <row r="114" spans="2:4" ht="15" customHeight="1" x14ac:dyDescent="0.35">
      <c r="B114" s="32" t="s">
        <v>341</v>
      </c>
      <c r="C114" s="52">
        <f>C108+C111+C112+C113</f>
        <v>45813.1449951085</v>
      </c>
      <c r="D114" s="38" t="s">
        <v>342</v>
      </c>
    </row>
    <row r="116" spans="2:4" ht="18" customHeight="1" x14ac:dyDescent="0.35">
      <c r="B116" s="12" t="s">
        <v>343</v>
      </c>
      <c r="C116" s="12"/>
      <c r="D116" s="12"/>
    </row>
    <row r="117" spans="2:4" x14ac:dyDescent="0.35">
      <c r="B117" s="36" t="s">
        <v>344</v>
      </c>
      <c r="C117" s="48">
        <f>C108*'Commission Structure'!$C$5</f>
        <v>10754.776015212</v>
      </c>
    </row>
    <row r="118" spans="2:4" x14ac:dyDescent="0.35">
      <c r="B118" s="36" t="s">
        <v>345</v>
      </c>
      <c r="C118" s="48">
        <f>C108*'Commission Structure'!$C$6</f>
        <v>5377.38800760599</v>
      </c>
    </row>
    <row r="119" spans="2:4" x14ac:dyDescent="0.35">
      <c r="B119" s="36" t="s">
        <v>346</v>
      </c>
      <c r="C119" s="48">
        <f>C108*'Commission Structure'!$C$7</f>
        <v>0</v>
      </c>
    </row>
    <row r="120" spans="2:4" x14ac:dyDescent="0.35">
      <c r="B120" s="32" t="s">
        <v>347</v>
      </c>
      <c r="C120" s="51">
        <f>C117-C118-C119</f>
        <v>5377.38800760599</v>
      </c>
    </row>
    <row r="121" spans="2:4" x14ac:dyDescent="0.35">
      <c r="B121" s="36" t="s">
        <v>348</v>
      </c>
      <c r="C121" s="48">
        <f>C108-C117</f>
        <v>32264.3280456359</v>
      </c>
    </row>
    <row r="122" spans="2:4" ht="24" customHeight="1" x14ac:dyDescent="0.35">
      <c r="B122" s="32" t="s">
        <v>349</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38" t="s">
        <v>350</v>
      </c>
    </row>
    <row r="123" spans="2:4" ht="61.5" customHeight="1" x14ac:dyDescent="0.35">
      <c r="B123" s="56" t="s">
        <v>351</v>
      </c>
      <c r="C123" s="57" t="str">
        <f>IF(C122="AUTO-BIND","None - every referral trigger is clear; the risk sits inside automatic binding authority.",TRIM(IF(C11&lt;'Technical Premium'!$C$18,"DECLINE - agreed value "&amp;TEXT(C11,"$#,##0")&amp;" is below the programme minimum of "&amp;TEXT('Technical Premium'!$C$18,"$#,##0")&amp;". ","")&amp;IF(C44&lt;'Technical Premium'!$C$19,"DISCOUNT AUTHORITY BREACH - underwriter adjustment "&amp;TEXT(C44,"0%")&amp;" is below the "&amp;TEXT('Technical Premium'!$C$19,"0%")&amp;" limit. ","")&amp;IF(C44&gt;'Technical Premium'!$C$20,"Load authority breach - underwriter adjustment "&amp;TEXT(C44,"0%")&amp;" exceeds the "&amp;TEXT('Technical Premium'!$C$20,"0%")&amp;" limit. ","")&amp;IF(C11&gt;='Technical Premium'!$C$16,"Agreed value "&amp;TEXT(C11,"$#,##0")&amp;" is at or above the "&amp;TEXT('Technical Premium'!$C$16,"$#,##0")&amp;" automatic bind limit. ","")&amp;IF(C88&gt;='Technical Premium'!$C$17,"Composite factor "&amp;TEXT(C88,"0.00")&amp;" has hit the "&amp;TEXT('Technical Premium'!$C$17,"0.00")&amp;" cap. ","")&amp;IF(C88&gt;2.5,"Composite factor "&amp;TEXT(C88,"0.00")&amp;" exceeds the 2.50 referral threshold. ","")&amp;IF(LEFT(IFERROR(INDEX('Driver Factors'!$D$6:$D$15,MATCH(C19,'Driver Factors'!$B$6:$B$15,0)),""),7)="DECLINE","DECLINE - driver age band '"&amp;C19&amp;"': "&amp;IFERROR(INDEX('Driver Factors'!$D$6:$D$15,MATCH(C19,'Driver Factors'!$B$6:$B$15,0)),"")&amp;". ",IF(LEFT(IFERROR(INDEX('Driver Factors'!$D$6:$D$15,MATCH(C19,'Driver Factors'!$B$6:$B$15,0)),""),5)="Refer","Driver age band '"&amp;C19&amp;"': "&amp;IFERROR(INDEX('Driver Factors'!$D$6:$D$15,MATCH(C19,'Driver Factors'!$B$6:$B$15,0)),"")&amp;". ",""))&amp;IF(LEFT(IFERROR(INDEX('Driver Factors'!$D$28:$D$36,MATCH(C21,'Driver Factors'!$B$28:$B$36,0)),""),7)="DECLINE","DECLINE - MVR '"&amp;C21&amp;"': "&amp;IFERROR(INDEX('Driver Factors'!$D$28:$D$36,MATCH(C21,'Driver Factors'!$B$28:$B$36,0)),"")&amp;". ",IF(LEFT(IFERROR(INDEX('Driver Factors'!$D$28:$D$36,MATCH(C21,'Driver Factors'!$B$28:$B$36,0)),""),5)="Refer","MVR '"&amp;C21&amp;"': "&amp;IFERROR(INDEX('Driver Factors'!$D$28:$D$36,MATCH(C21,'Driver Factors'!$B$28:$B$36,0)),"")&amp;". ",""))&amp;IF(LEFT(IFERROR(INDEX('Claims History'!$D$6:$D$15,MATCH(C22,'Claims History'!$B$6:$B$15,0)),""),7)="DECLINE","DECLINE - claims history '"&amp;C22&amp;"': "&amp;IFERROR(INDEX('Claims History'!$D$6:$D$15,MATCH(C22,'Claims History'!$B$6:$B$15,0)),"")&amp;". ",IF(LEFT(IFERROR(INDEX('Claims History'!$D$6:$D$15,MATCH(C22,'Claims History'!$B$6:$B$15,0)),""),5)="Refer","Claims history '"&amp;C22&amp;"': "&amp;IFERROR(INDEX('Claims History'!$D$6:$D$15,MATCH(C22,'Claims History'!$B$6:$B$15,0)),"")&amp;". ",""))&amp;IF(LEFT(IFERROR(INDEX('Usage and Coverage'!$E$6:$E$20,MATCH(C15,'Usage and Coverage'!$C$6:$D$20,0)),""),7)="DECLINE","DECLINE - usage '"&amp;C15&amp;"': "&amp;IFERROR(INDEX('Usage and Coverage'!$E$6:$E$20,MATCH(C15,'Usage and Coverage'!$C$6:$D$20,0)),"")&amp;". ",IF(LEFT(IFERROR(INDEX('Usage and Coverage'!$E$6:$E$20,MATCH(C15,'Usage and Coverage'!$C$6:$D$20,0)),""),5)="Refer","Usage '"&amp;C15&amp;"': "&amp;IFERROR(INDEX('Usage and Coverage'!$E$6:$E$20,MATCH(C15,'Usage and Coverage'!$C$6:$D$20,0)),"")&amp;". ",""))))</f>
        <v>None - every referral trigger is clear; the risk sits inside automatic binding authority.</v>
      </c>
      <c r="D123" s="38" t="s">
        <v>352</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0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1000000}">
          <x14:formula1>
            <xm:f>'Make Factors'!$B$5:$B$69</xm:f>
          </x14:formula1>
          <x14:formula2>
            <xm:f>0</xm:f>
          </x14:formula2>
          <xm:sqref>C8</xm:sqref>
        </x14:dataValidation>
        <x14:dataValidation type="list" allowBlank="1" xr:uid="{00000000-0002-0000-0200-000002000000}">
          <x14:formula1>
            <xm:f>'Base Rates'!$B$5:$B$16</xm:f>
          </x14:formula1>
          <x14:formula2>
            <xm:f>0</xm:f>
          </x14:formula2>
          <xm:sqref>C10</xm:sqref>
        </x14:dataValidation>
        <x14:dataValidation type="list" allowBlank="1" xr:uid="{00000000-0002-0000-0200-000003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6328125" defaultRowHeight="14.5" x14ac:dyDescent="0.3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35">
      <c r="B1" s="14" t="s">
        <v>353</v>
      </c>
      <c r="C1" s="14"/>
      <c r="D1" s="14"/>
      <c r="E1" s="14"/>
      <c r="F1" s="14"/>
      <c r="G1" s="14"/>
      <c r="H1" s="14"/>
    </row>
    <row r="2" spans="2:8" ht="15" customHeight="1" x14ac:dyDescent="0.35">
      <c r="B2" s="13" t="s">
        <v>354</v>
      </c>
      <c r="C2" s="13"/>
      <c r="D2" s="13"/>
      <c r="E2" s="13"/>
      <c r="F2" s="13"/>
      <c r="G2" s="13"/>
      <c r="H2" s="13"/>
    </row>
    <row r="4" spans="2:8" ht="18" customHeight="1" x14ac:dyDescent="0.35">
      <c r="B4" s="12" t="s">
        <v>355</v>
      </c>
      <c r="C4" s="12"/>
      <c r="D4" s="12"/>
      <c r="E4" s="12"/>
      <c r="F4" s="12"/>
      <c r="G4" s="12"/>
      <c r="H4" s="12"/>
    </row>
    <row r="5" spans="2:8" ht="30" customHeight="1" x14ac:dyDescent="0.35">
      <c r="B5" s="22" t="s">
        <v>356</v>
      </c>
      <c r="C5" s="22" t="s">
        <v>90</v>
      </c>
      <c r="D5" s="22" t="s">
        <v>357</v>
      </c>
      <c r="E5" s="22" t="s">
        <v>358</v>
      </c>
      <c r="F5" s="22" t="s">
        <v>359</v>
      </c>
      <c r="G5" s="22" t="s">
        <v>360</v>
      </c>
      <c r="H5" s="22" t="s">
        <v>361</v>
      </c>
    </row>
    <row r="6" spans="2:8" x14ac:dyDescent="0.35">
      <c r="B6" s="58" t="s">
        <v>362</v>
      </c>
      <c r="C6" s="20" t="s">
        <v>363</v>
      </c>
      <c r="D6" s="28">
        <f>'Rating Engine'!C56</f>
        <v>0.7</v>
      </c>
      <c r="E6" s="59">
        <v>1</v>
      </c>
      <c r="F6" s="31">
        <f>'Rating Engine'!C57</f>
        <v>7840</v>
      </c>
      <c r="G6" s="60"/>
      <c r="H6" s="61" t="str">
        <f>'Rating Engine'!C10&amp;"  |  "&amp;'Rating Engine'!C55</f>
        <v>02 - Sports / GT  |  $1.0M - $2.0M</v>
      </c>
    </row>
    <row r="7" spans="2:8" x14ac:dyDescent="0.35">
      <c r="B7" s="58">
        <v>1</v>
      </c>
      <c r="C7" s="21" t="str">
        <f>'Rating Engine'!B58</f>
        <v>Make / model factor</v>
      </c>
      <c r="D7" s="62">
        <f>'Rating Engine'!C58</f>
        <v>1.654</v>
      </c>
      <c r="E7" s="63">
        <f t="shared" ref="E7:E34" si="0">E6*D7</f>
        <v>1.654</v>
      </c>
      <c r="F7" s="64">
        <f t="shared" ref="F7:F34" si="1">$F$6*E7</f>
        <v>12967.36</v>
      </c>
      <c r="G7" s="64">
        <f t="shared" ref="G7:G34" si="2">F7-F6</f>
        <v>5127.36</v>
      </c>
      <c r="H7" s="61" t="str">
        <f>'Rating Engine'!C8</f>
        <v>Singer Vehicle Design</v>
      </c>
    </row>
    <row r="8" spans="2:8" x14ac:dyDescent="0.35">
      <c r="B8" s="65">
        <v>2</v>
      </c>
      <c r="C8" s="66" t="str">
        <f>'Rating Engine'!B59</f>
        <v>Driver age factor</v>
      </c>
      <c r="D8" s="67">
        <f>'Rating Engine'!C59</f>
        <v>1</v>
      </c>
      <c r="E8" s="68">
        <f t="shared" si="0"/>
        <v>1.654</v>
      </c>
      <c r="F8" s="69">
        <f t="shared" si="1"/>
        <v>12967.36</v>
      </c>
      <c r="G8" s="69">
        <f t="shared" si="2"/>
        <v>0</v>
      </c>
      <c r="H8" s="70" t="str">
        <f>'Rating Engine'!C19</f>
        <v>55 - 64</v>
      </c>
    </row>
    <row r="9" spans="2:8" x14ac:dyDescent="0.35">
      <c r="B9" s="58">
        <v>3</v>
      </c>
      <c r="C9" s="21" t="str">
        <f>'Rating Engine'!B60</f>
        <v>Experience factor</v>
      </c>
      <c r="D9" s="62">
        <f>'Rating Engine'!C60</f>
        <v>1</v>
      </c>
      <c r="E9" s="63">
        <f t="shared" si="0"/>
        <v>1.654</v>
      </c>
      <c r="F9" s="64">
        <f t="shared" si="1"/>
        <v>12967.36</v>
      </c>
      <c r="G9" s="64">
        <f t="shared" si="2"/>
        <v>0</v>
      </c>
      <c r="H9" s="61" t="str">
        <f>'Rating Engine'!C20</f>
        <v>5 - 10 years</v>
      </c>
    </row>
    <row r="10" spans="2:8" x14ac:dyDescent="0.35">
      <c r="B10" s="65">
        <v>4</v>
      </c>
      <c r="C10" s="66" t="str">
        <f>'Rating Engine'!B61</f>
        <v>MVR factor</v>
      </c>
      <c r="D10" s="67">
        <f>'Rating Engine'!C61</f>
        <v>1</v>
      </c>
      <c r="E10" s="68">
        <f t="shared" si="0"/>
        <v>1.654</v>
      </c>
      <c r="F10" s="69">
        <f t="shared" si="1"/>
        <v>12967.36</v>
      </c>
      <c r="G10" s="69">
        <f t="shared" si="2"/>
        <v>0</v>
      </c>
      <c r="H10" s="70" t="str">
        <f>'Rating Engine'!C21</f>
        <v>Clean - no violations 3 yrs</v>
      </c>
    </row>
    <row r="11" spans="2:8" x14ac:dyDescent="0.35">
      <c r="B11" s="58">
        <v>5</v>
      </c>
      <c r="C11" s="21" t="str">
        <f>'Rating Engine'!B62</f>
        <v>Claims history factor</v>
      </c>
      <c r="D11" s="62">
        <f>'Rating Engine'!C62</f>
        <v>0.9</v>
      </c>
      <c r="E11" s="63">
        <f t="shared" si="0"/>
        <v>1.4886</v>
      </c>
      <c r="F11" s="64">
        <f t="shared" si="1"/>
        <v>11670.624</v>
      </c>
      <c r="G11" s="64">
        <f t="shared" si="2"/>
        <v>-1296.736</v>
      </c>
      <c r="H11" s="61" t="str">
        <f>'Rating Engine'!C22</f>
        <v>No at-fault claims - 5 yrs</v>
      </c>
    </row>
    <row r="12" spans="2:8" x14ac:dyDescent="0.35">
      <c r="B12" s="65">
        <v>6</v>
      </c>
      <c r="C12" s="66" t="str">
        <f>'Rating Engine'!B63</f>
        <v>State territory factor</v>
      </c>
      <c r="D12" s="67">
        <f>'Rating Engine'!C63</f>
        <v>1.38</v>
      </c>
      <c r="E12" s="68">
        <f t="shared" si="0"/>
        <v>2.054268</v>
      </c>
      <c r="F12" s="69">
        <f t="shared" si="1"/>
        <v>16105.46112</v>
      </c>
      <c r="G12" s="69">
        <f t="shared" si="2"/>
        <v>4434.83712</v>
      </c>
      <c r="H12" s="70" t="str">
        <f>'Rating Engine'!C12</f>
        <v>Louisiana</v>
      </c>
    </row>
    <row r="13" spans="2:8" x14ac:dyDescent="0.35">
      <c r="B13" s="58">
        <v>7</v>
      </c>
      <c r="C13" s="21" t="str">
        <f>'Rating Engine'!B64</f>
        <v>City / metro accident factor</v>
      </c>
      <c r="D13" s="62">
        <f>'Rating Engine'!C64</f>
        <v>1.315</v>
      </c>
      <c r="E13" s="63">
        <f t="shared" si="0"/>
        <v>2.70136242</v>
      </c>
      <c r="F13" s="64">
        <f t="shared" si="1"/>
        <v>21178.6813728</v>
      </c>
      <c r="G13" s="64">
        <f t="shared" si="2"/>
        <v>5073.2202528</v>
      </c>
      <c r="H13" s="61" t="str">
        <f>'Rating Engine'!C27</f>
        <v>New Orleans, LA</v>
      </c>
    </row>
    <row r="14" spans="2:8" x14ac:dyDescent="0.35">
      <c r="B14" s="65">
        <v>8</v>
      </c>
      <c r="C14" s="66" t="str">
        <f>'Rating Engine'!B65</f>
        <v>Usage factor</v>
      </c>
      <c r="D14" s="67">
        <f>'Rating Engine'!C65</f>
        <v>1</v>
      </c>
      <c r="E14" s="68">
        <f t="shared" si="0"/>
        <v>2.70136242</v>
      </c>
      <c r="F14" s="69">
        <f t="shared" si="1"/>
        <v>21178.6813728</v>
      </c>
      <c r="G14" s="69">
        <f t="shared" si="2"/>
        <v>0</v>
      </c>
      <c r="H14" s="70" t="str">
        <f>'Rating Engine'!C15</f>
        <v>Personal - regular use</v>
      </c>
    </row>
    <row r="15" spans="2:8" x14ac:dyDescent="0.35">
      <c r="B15" s="58">
        <v>9</v>
      </c>
      <c r="C15" s="21" t="str">
        <f>'Rating Engine'!B66</f>
        <v>Mileage factor</v>
      </c>
      <c r="D15" s="62">
        <f>'Rating Engine'!C66</f>
        <v>0.85</v>
      </c>
      <c r="E15" s="63">
        <f t="shared" si="0"/>
        <v>2.296158057</v>
      </c>
      <c r="F15" s="64">
        <f t="shared" si="1"/>
        <v>18001.87916688</v>
      </c>
      <c r="G15" s="64">
        <f t="shared" si="2"/>
        <v>-3176.80220592</v>
      </c>
      <c r="H15" s="61" t="str">
        <f>'Rating Engine'!C16</f>
        <v>1,000 - 2,500</v>
      </c>
    </row>
    <row r="16" spans="2:8" x14ac:dyDescent="0.35">
      <c r="B16" s="65">
        <v>10</v>
      </c>
      <c r="C16" s="66" t="str">
        <f>'Rating Engine'!B67</f>
        <v>Storage factor</v>
      </c>
      <c r="D16" s="67">
        <f>'Rating Engine'!C67</f>
        <v>0.9</v>
      </c>
      <c r="E16" s="68">
        <f t="shared" si="0"/>
        <v>2.0665422513</v>
      </c>
      <c r="F16" s="69">
        <f t="shared" si="1"/>
        <v>16201.691250192</v>
      </c>
      <c r="G16" s="69">
        <f t="shared" si="2"/>
        <v>-1800.187916688</v>
      </c>
      <c r="H16" s="70" t="str">
        <f>'Rating Engine'!C17</f>
        <v>Locked private garage w/ monitored alarm</v>
      </c>
    </row>
    <row r="17" spans="2:8" x14ac:dyDescent="0.35">
      <c r="B17" s="58">
        <v>11</v>
      </c>
      <c r="C17" s="21" t="str">
        <f>'Rating Engine'!B68</f>
        <v>Security factor</v>
      </c>
      <c r="D17" s="62">
        <f>'Rating Engine'!C68</f>
        <v>0.9</v>
      </c>
      <c r="E17" s="63">
        <f t="shared" si="0"/>
        <v>1.85988802617</v>
      </c>
      <c r="F17" s="64">
        <f t="shared" si="1"/>
        <v>14581.5221251728</v>
      </c>
      <c r="G17" s="64">
        <f t="shared" si="2"/>
        <v>-1620.1691250192</v>
      </c>
      <c r="H17" s="61" t="str">
        <f>'Rating Engine'!C18</f>
        <v>GPS tracker w/ recovery service</v>
      </c>
    </row>
    <row r="18" spans="2:8" x14ac:dyDescent="0.35">
      <c r="B18" s="65">
        <v>12</v>
      </c>
      <c r="C18" s="66" t="str">
        <f>'Rating Engine'!B69</f>
        <v>PD deductible factor (value-banded)</v>
      </c>
      <c r="D18" s="67">
        <f>'Rating Engine'!C69</f>
        <v>1</v>
      </c>
      <c r="E18" s="68">
        <f t="shared" si="0"/>
        <v>1.85988802617</v>
      </c>
      <c r="F18" s="69">
        <f t="shared" si="1"/>
        <v>14581.5221251728</v>
      </c>
      <c r="G18" s="69">
        <f t="shared" si="2"/>
        <v>0</v>
      </c>
      <c r="H18" s="70" t="str">
        <f>'Rating Engine'!C24</f>
        <v>$2,500</v>
      </c>
    </row>
    <row r="19" spans="2:8" x14ac:dyDescent="0.35">
      <c r="B19" s="58">
        <v>13</v>
      </c>
      <c r="C19" s="21" t="str">
        <f>'Rating Engine'!B70</f>
        <v>Valuation basis factor</v>
      </c>
      <c r="D19" s="62">
        <f>'Rating Engine'!C70</f>
        <v>1</v>
      </c>
      <c r="E19" s="63">
        <f t="shared" si="0"/>
        <v>1.85988802617</v>
      </c>
      <c r="F19" s="64">
        <f t="shared" si="1"/>
        <v>14581.5221251728</v>
      </c>
      <c r="G19" s="64">
        <f t="shared" si="2"/>
        <v>0</v>
      </c>
      <c r="H19" s="61" t="str">
        <f>'Rating Engine'!C25</f>
        <v>Agreed Value</v>
      </c>
    </row>
    <row r="20" spans="2:8" x14ac:dyDescent="0.35">
      <c r="B20" s="65">
        <v>14</v>
      </c>
      <c r="C20" s="66" t="str">
        <f>'Rating Engine'!B71</f>
        <v>Collection size credit</v>
      </c>
      <c r="D20" s="67">
        <f>'Rating Engine'!C71</f>
        <v>1</v>
      </c>
      <c r="E20" s="68">
        <f t="shared" si="0"/>
        <v>1.85988802617</v>
      </c>
      <c r="F20" s="69">
        <f t="shared" si="1"/>
        <v>14581.5221251728</v>
      </c>
      <c r="G20" s="69">
        <f t="shared" si="2"/>
        <v>0</v>
      </c>
      <c r="H20" s="70" t="str">
        <f>'Rating Engine'!C23</f>
        <v>1 vehicle</v>
      </c>
    </row>
    <row r="21" spans="2:8" x14ac:dyDescent="0.35">
      <c r="B21" s="71">
        <v>15</v>
      </c>
      <c r="C21" s="72" t="str">
        <f>'Rating Engine'!B72</f>
        <v>Comprehensive deductible factor</v>
      </c>
      <c r="D21" s="73">
        <f>'Rating Engine'!C72</f>
        <v>1</v>
      </c>
      <c r="E21" s="74">
        <f t="shared" si="0"/>
        <v>1.85988802617</v>
      </c>
      <c r="F21" s="75">
        <f t="shared" si="1"/>
        <v>14581.5221251728</v>
      </c>
      <c r="G21" s="75">
        <f t="shared" si="2"/>
        <v>0</v>
      </c>
      <c r="H21" s="76" t="str">
        <f>'Rating Engine'!C29</f>
        <v>Same as physical damage deductible</v>
      </c>
    </row>
    <row r="22" spans="2:8" x14ac:dyDescent="0.35">
      <c r="B22" s="65">
        <v>16</v>
      </c>
      <c r="C22" s="66" t="str">
        <f>'Rating Engine'!B73</f>
        <v>Glass deductible factor</v>
      </c>
      <c r="D22" s="67">
        <f>'Rating Engine'!C73</f>
        <v>1</v>
      </c>
      <c r="E22" s="68">
        <f t="shared" si="0"/>
        <v>1.85988802617</v>
      </c>
      <c r="F22" s="69">
        <f t="shared" si="1"/>
        <v>14581.5221251728</v>
      </c>
      <c r="G22" s="69">
        <f t="shared" si="2"/>
        <v>0</v>
      </c>
      <c r="H22" s="70" t="str">
        <f>'Rating Engine'!C30</f>
        <v>$500 flat, OEM glass</v>
      </c>
    </row>
    <row r="23" spans="2:8" x14ac:dyDescent="0.35">
      <c r="B23" s="58">
        <v>17</v>
      </c>
      <c r="C23" s="21" t="str">
        <f>'Rating Engine'!B74</f>
        <v>Theft deductible factor</v>
      </c>
      <c r="D23" s="62">
        <f>'Rating Engine'!C74</f>
        <v>1</v>
      </c>
      <c r="E23" s="63">
        <f t="shared" si="0"/>
        <v>1.85988802617</v>
      </c>
      <c r="F23" s="64">
        <f t="shared" si="1"/>
        <v>14581.5221251728</v>
      </c>
      <c r="G23" s="64">
        <f t="shared" si="2"/>
        <v>0</v>
      </c>
      <c r="H23" s="61" t="str">
        <f>'Rating Engine'!C31</f>
        <v>Same as PD deductible</v>
      </c>
    </row>
    <row r="24" spans="2:8" x14ac:dyDescent="0.35">
      <c r="B24" s="65">
        <v>18</v>
      </c>
      <c r="C24" s="66" t="str">
        <f>'Rating Engine'!B75</f>
        <v>Aggregate deductible factor</v>
      </c>
      <c r="D24" s="67">
        <f>'Rating Engine'!C75</f>
        <v>1</v>
      </c>
      <c r="E24" s="68">
        <f t="shared" si="0"/>
        <v>1.85988802617</v>
      </c>
      <c r="F24" s="69">
        <f t="shared" si="1"/>
        <v>14581.5221251728</v>
      </c>
      <c r="G24" s="69">
        <f t="shared" si="2"/>
        <v>0</v>
      </c>
      <c r="H24" s="70" t="str">
        <f>'Rating Engine'!C32</f>
        <v>Not applicable - per vehicle deductible</v>
      </c>
    </row>
    <row r="25" spans="2:8" x14ac:dyDescent="0.35">
      <c r="B25" s="58">
        <v>19</v>
      </c>
      <c r="C25" s="21" t="str">
        <f>'Rating Engine'!B76</f>
        <v>Total loss waiver factor</v>
      </c>
      <c r="D25" s="62">
        <f>'Rating Engine'!C76</f>
        <v>1</v>
      </c>
      <c r="E25" s="63">
        <f t="shared" si="0"/>
        <v>1.85988802617</v>
      </c>
      <c r="F25" s="64">
        <f t="shared" si="1"/>
        <v>14581.5221251728</v>
      </c>
      <c r="G25" s="64">
        <f t="shared" si="2"/>
        <v>0</v>
      </c>
      <c r="H25" s="61" t="str">
        <f>'Rating Engine'!C33</f>
        <v>Not purchased</v>
      </c>
    </row>
    <row r="26" spans="2:8" x14ac:dyDescent="0.35">
      <c r="B26" s="65">
        <v>20</v>
      </c>
      <c r="C26" s="66" t="str">
        <f>'Rating Engine'!B77</f>
        <v>Newly acquired vehicle factor</v>
      </c>
      <c r="D26" s="67">
        <f>'Rating Engine'!C77</f>
        <v>1</v>
      </c>
      <c r="E26" s="68">
        <f t="shared" si="0"/>
        <v>1.85988802617</v>
      </c>
      <c r="F26" s="69">
        <f t="shared" si="1"/>
        <v>14581.5221251728</v>
      </c>
      <c r="G26" s="69">
        <f t="shared" si="2"/>
        <v>0</v>
      </c>
      <c r="H26" s="70" t="str">
        <f>'Rating Engine'!C34</f>
        <v>$500,000 / 30 days</v>
      </c>
    </row>
    <row r="27" spans="2:8" x14ac:dyDescent="0.35">
      <c r="B27" s="58">
        <v>21</v>
      </c>
      <c r="C27" s="21" t="str">
        <f>'Rating Engine'!B78</f>
        <v>Spare parts factor</v>
      </c>
      <c r="D27" s="62">
        <f>'Rating Engine'!C78</f>
        <v>1</v>
      </c>
      <c r="E27" s="63">
        <f t="shared" si="0"/>
        <v>1.85988802617</v>
      </c>
      <c r="F27" s="64">
        <f t="shared" si="1"/>
        <v>14581.5221251728</v>
      </c>
      <c r="G27" s="64">
        <f t="shared" si="2"/>
        <v>0</v>
      </c>
      <c r="H27" s="61" t="str">
        <f>'Rating Engine'!C35</f>
        <v>$25,000</v>
      </c>
    </row>
    <row r="28" spans="2:8" x14ac:dyDescent="0.35">
      <c r="B28" s="65">
        <v>22</v>
      </c>
      <c r="C28" s="66" t="str">
        <f>'Rating Engine'!B79</f>
        <v>Personal effects factor</v>
      </c>
      <c r="D28" s="67">
        <f>'Rating Engine'!C79</f>
        <v>1</v>
      </c>
      <c r="E28" s="68">
        <f t="shared" si="0"/>
        <v>1.85988802617</v>
      </c>
      <c r="F28" s="69">
        <f t="shared" si="1"/>
        <v>14581.5221251728</v>
      </c>
      <c r="G28" s="69">
        <f t="shared" si="2"/>
        <v>0</v>
      </c>
      <c r="H28" s="70" t="str">
        <f>'Rating Engine'!C36</f>
        <v>$5,000</v>
      </c>
    </row>
    <row r="29" spans="2:8" x14ac:dyDescent="0.35">
      <c r="B29" s="58">
        <v>23</v>
      </c>
      <c r="C29" s="21" t="str">
        <f>'Rating Engine'!B80</f>
        <v>Loss of use factor</v>
      </c>
      <c r="D29" s="62">
        <f>'Rating Engine'!C80</f>
        <v>1</v>
      </c>
      <c r="E29" s="63">
        <f t="shared" si="0"/>
        <v>1.85988802617</v>
      </c>
      <c r="F29" s="64">
        <f t="shared" si="1"/>
        <v>14581.5221251728</v>
      </c>
      <c r="G29" s="64">
        <f t="shared" si="2"/>
        <v>0</v>
      </c>
      <c r="H29" s="61" t="str">
        <f>'Rating Engine'!C37</f>
        <v>$10,000</v>
      </c>
    </row>
    <row r="30" spans="2:8" x14ac:dyDescent="0.35">
      <c r="B30" s="65">
        <v>24</v>
      </c>
      <c r="C30" s="66" t="str">
        <f>'Rating Engine'!B81</f>
        <v>Transit factor</v>
      </c>
      <c r="D30" s="67">
        <f>'Rating Engine'!C81</f>
        <v>1</v>
      </c>
      <c r="E30" s="68">
        <f t="shared" si="0"/>
        <v>1.85988802617</v>
      </c>
      <c r="F30" s="69">
        <f t="shared" si="1"/>
        <v>14581.5221251728</v>
      </c>
      <c r="G30" s="69">
        <f t="shared" si="2"/>
        <v>0</v>
      </c>
      <c r="H30" s="70" t="str">
        <f>'Rating Engine'!C38</f>
        <v>Enclosed carrier only</v>
      </c>
    </row>
    <row r="31" spans="2:8" x14ac:dyDescent="0.35">
      <c r="B31" s="58">
        <v>25</v>
      </c>
      <c r="C31" s="21" t="str">
        <f>'Rating Engine'!B82</f>
        <v>Worldwide territory factor</v>
      </c>
      <c r="D31" s="62">
        <f>'Rating Engine'!C82</f>
        <v>1</v>
      </c>
      <c r="E31" s="63">
        <f t="shared" si="0"/>
        <v>1.85988802617</v>
      </c>
      <c r="F31" s="64">
        <f t="shared" si="1"/>
        <v>14581.5221251728</v>
      </c>
      <c r="G31" s="64">
        <f t="shared" si="2"/>
        <v>0</v>
      </c>
      <c r="H31" s="61" t="str">
        <f>'Rating Engine'!C39</f>
        <v>Not required - US and Canada only</v>
      </c>
    </row>
    <row r="32" spans="2:8" x14ac:dyDescent="0.35">
      <c r="B32" s="65">
        <v>26</v>
      </c>
      <c r="C32" s="66" t="str">
        <f>'Rating Engine'!B83</f>
        <v>Unobtainable parts factor</v>
      </c>
      <c r="D32" s="67">
        <f>'Rating Engine'!C83</f>
        <v>1</v>
      </c>
      <c r="E32" s="68">
        <f t="shared" si="0"/>
        <v>1.85988802617</v>
      </c>
      <c r="F32" s="69">
        <f t="shared" si="1"/>
        <v>14581.5221251728</v>
      </c>
      <c r="G32" s="69">
        <f t="shared" si="2"/>
        <v>0</v>
      </c>
      <c r="H32" s="70" t="str">
        <f>'Rating Engine'!C40</f>
        <v>$100,000</v>
      </c>
    </row>
    <row r="33" spans="2:8" x14ac:dyDescent="0.35">
      <c r="B33" s="58">
        <v>27</v>
      </c>
      <c r="C33" s="21" t="str">
        <f>'Rating Engine'!B84</f>
        <v>Diminution in value factor</v>
      </c>
      <c r="D33" s="62">
        <f>'Rating Engine'!C84</f>
        <v>1</v>
      </c>
      <c r="E33" s="63">
        <f t="shared" si="0"/>
        <v>1.85988802617</v>
      </c>
      <c r="F33" s="64">
        <f t="shared" si="1"/>
        <v>14581.5221251728</v>
      </c>
      <c r="G33" s="64">
        <f t="shared" si="2"/>
        <v>0</v>
      </c>
      <c r="H33" s="61" t="str">
        <f>'Rating Engine'!C41</f>
        <v>10% of agreed value</v>
      </c>
    </row>
    <row r="34" spans="2:8" x14ac:dyDescent="0.35">
      <c r="B34" s="65">
        <v>28</v>
      </c>
      <c r="C34" s="66" t="str">
        <f>'Rating Engine'!B85</f>
        <v>Per-location aggregate factor</v>
      </c>
      <c r="D34" s="67">
        <f>'Rating Engine'!C85</f>
        <v>1</v>
      </c>
      <c r="E34" s="68">
        <f t="shared" si="0"/>
        <v>1.85988802617</v>
      </c>
      <c r="F34" s="69">
        <f t="shared" si="1"/>
        <v>14581.5221251728</v>
      </c>
      <c r="G34" s="69">
        <f t="shared" si="2"/>
        <v>0</v>
      </c>
      <c r="H34" s="70" t="str">
        <f>'Rating Engine'!C42</f>
        <v>$10,000,000</v>
      </c>
    </row>
    <row r="35" spans="2:8" x14ac:dyDescent="0.35">
      <c r="C35" s="32" t="s">
        <v>364</v>
      </c>
      <c r="E35" s="77">
        <f>E34</f>
        <v>1.85988802617</v>
      </c>
      <c r="F35" s="78">
        <f>F34</f>
        <v>14581.5221251728</v>
      </c>
      <c r="H35" s="79" t="str">
        <f>IF(ROUND(F35-'Rating Engine'!C91,2)=0,"AGREES with Rating Engine row 91","VARIANCE - investigate")</f>
        <v>AGREES with Rating Engine row 91</v>
      </c>
    </row>
    <row r="37" spans="2:8" ht="18" customHeight="1" x14ac:dyDescent="0.35">
      <c r="B37" s="12" t="s">
        <v>365</v>
      </c>
      <c r="C37" s="12"/>
      <c r="D37" s="12"/>
      <c r="E37" s="12"/>
      <c r="F37" s="12"/>
      <c r="G37" s="12"/>
      <c r="H37" s="12"/>
    </row>
    <row r="38" spans="2:8" ht="30" customHeight="1" x14ac:dyDescent="0.35">
      <c r="B38" s="22"/>
      <c r="C38" s="22" t="s">
        <v>366</v>
      </c>
      <c r="D38" s="22"/>
      <c r="E38" s="22" t="s">
        <v>367</v>
      </c>
      <c r="F38" s="22" t="s">
        <v>368</v>
      </c>
      <c r="G38" s="22" t="s">
        <v>369</v>
      </c>
      <c r="H38" s="22" t="s">
        <v>370</v>
      </c>
    </row>
    <row r="39" spans="2:8" x14ac:dyDescent="0.35">
      <c r="C39" s="36" t="s">
        <v>371</v>
      </c>
      <c r="E39" s="31">
        <f>'Rating Engine'!C91</f>
        <v>14581.5221251728</v>
      </c>
      <c r="F39" s="64">
        <f>E39</f>
        <v>14581.5221251728</v>
      </c>
      <c r="G39" s="80">
        <f>E39/'Rating Engine'!C105</f>
        <v>0.338954574798864</v>
      </c>
      <c r="H39" s="81">
        <f>E39/'Rating Engine'!C11*100</f>
        <v>1.301921618319</v>
      </c>
    </row>
    <row r="40" spans="2:8" x14ac:dyDescent="0.35">
      <c r="C40" s="82" t="s">
        <v>313</v>
      </c>
      <c r="D40" s="83"/>
      <c r="E40" s="84">
        <f>'Rating Engine'!C94</f>
        <v>1257.06636</v>
      </c>
      <c r="F40" s="69">
        <f t="shared" ref="F40:F45" si="3">F39+E40</f>
        <v>15838.5884851728</v>
      </c>
      <c r="G40" s="85">
        <f>E40/'Rating Engine'!C105</f>
        <v>0.0292211190224222</v>
      </c>
      <c r="H40" s="86">
        <f>E40/'Rating Engine'!C11*100</f>
        <v>0.112238067857143</v>
      </c>
    </row>
    <row r="41" spans="2:8" x14ac:dyDescent="0.35">
      <c r="C41" s="36" t="s">
        <v>372</v>
      </c>
      <c r="E41" s="31">
        <f>'Rating Engine'!C96</f>
        <v>1267.08707881382</v>
      </c>
      <c r="F41" s="64">
        <f t="shared" si="3"/>
        <v>17105.6755639866</v>
      </c>
      <c r="G41" s="80">
        <f>E41/'Rating Engine'!C105</f>
        <v>0.0294540555057029</v>
      </c>
      <c r="H41" s="81">
        <f>E41/'Rating Engine'!C11*100</f>
        <v>0.113132774894091</v>
      </c>
    </row>
    <row r="42" spans="2:8" x14ac:dyDescent="0.35">
      <c r="C42" s="82" t="s">
        <v>373</v>
      </c>
      <c r="D42" s="83"/>
      <c r="E42" s="84">
        <f>'Rating Engine'!C98</f>
        <v>855.283778199331</v>
      </c>
      <c r="F42" s="69">
        <f t="shared" si="3"/>
        <v>17960.959342186</v>
      </c>
      <c r="G42" s="85">
        <f>E42/'Rating Engine'!C105</f>
        <v>0.0198814874663495</v>
      </c>
      <c r="H42" s="86">
        <f>E42/'Rating Engine'!C11*100</f>
        <v>0.0763646230535117</v>
      </c>
    </row>
    <row r="43" spans="2:8" x14ac:dyDescent="0.35">
      <c r="C43" s="36" t="s">
        <v>101</v>
      </c>
      <c r="E43" s="31">
        <f>'Rating Engine'!C100</f>
        <v>5249.34796506221</v>
      </c>
      <c r="F43" s="64">
        <f t="shared" si="3"/>
        <v>23210.3073072482</v>
      </c>
      <c r="G43" s="80">
        <f>E43/'Rating Engine'!C105</f>
        <v>0.122023646927591</v>
      </c>
      <c r="H43" s="81">
        <f>E43/'Rating Engine'!C11*100</f>
        <v>0.46869178259484</v>
      </c>
    </row>
    <row r="44" spans="2:8" x14ac:dyDescent="0.35">
      <c r="C44" s="82" t="s">
        <v>374</v>
      </c>
      <c r="D44" s="83"/>
      <c r="E44" s="84">
        <f>'Rating Engine'!C102</f>
        <v>1740.77304804361</v>
      </c>
      <c r="F44" s="69">
        <f t="shared" si="3"/>
        <v>24951.0803552918</v>
      </c>
      <c r="G44" s="85">
        <f>E44/'Rating Engine'!C105</f>
        <v>0.0404651162790698</v>
      </c>
      <c r="H44" s="86">
        <f>E44/'Rating Engine'!C11*100</f>
        <v>0.155426165003894</v>
      </c>
    </row>
    <row r="45" spans="2:8" x14ac:dyDescent="0.35">
      <c r="C45" s="36" t="s">
        <v>375</v>
      </c>
      <c r="E45" s="31">
        <f>'Rating Engine'!C105-'Rating Engine'!C103</f>
        <v>18068.0237055561</v>
      </c>
      <c r="F45" s="64">
        <f t="shared" si="3"/>
        <v>43019.1040608479</v>
      </c>
      <c r="G45" s="80">
        <f>E45/'Rating Engine'!C105</f>
        <v>0.42</v>
      </c>
      <c r="H45" s="81">
        <f>E45/'Rating Engine'!C11*100</f>
        <v>1.6132164022818</v>
      </c>
    </row>
    <row r="46" spans="2:8" x14ac:dyDescent="0.35">
      <c r="C46" s="32" t="s">
        <v>114</v>
      </c>
      <c r="D46" s="87"/>
      <c r="E46" s="87"/>
      <c r="F46" s="78">
        <f>F45</f>
        <v>43019.1040608479</v>
      </c>
      <c r="G46" s="88">
        <f>SUM(G39:G45)</f>
        <v>1</v>
      </c>
      <c r="H46" s="89">
        <f>'Rating Engine'!C106</f>
        <v>3.84099143400427</v>
      </c>
    </row>
    <row r="47" spans="2:8" x14ac:dyDescent="0.35">
      <c r="C47" s="36" t="s">
        <v>120</v>
      </c>
      <c r="F47" s="31">
        <f>'Rating Engine'!C107</f>
        <v>0</v>
      </c>
    </row>
    <row r="48" spans="2:8" x14ac:dyDescent="0.35">
      <c r="C48" s="32" t="s">
        <v>376</v>
      </c>
      <c r="F48" s="78">
        <f>'Rating Engine'!C108</f>
        <v>43019.1040608479</v>
      </c>
    </row>
    <row r="49" spans="2:8" x14ac:dyDescent="0.35">
      <c r="C49" s="36" t="s">
        <v>337</v>
      </c>
      <c r="F49" s="31">
        <f>'Rating Engine'!C111</f>
        <v>350</v>
      </c>
    </row>
    <row r="50" spans="2:8" x14ac:dyDescent="0.35">
      <c r="C50" s="36" t="s">
        <v>338</v>
      </c>
      <c r="F50" s="31">
        <f>'Rating Engine'!C112</f>
        <v>250</v>
      </c>
    </row>
    <row r="51" spans="2:8" x14ac:dyDescent="0.35">
      <c r="C51" s="36" t="s">
        <v>339</v>
      </c>
      <c r="F51" s="31">
        <f>'Rating Engine'!C113</f>
        <v>2194.04093426065</v>
      </c>
    </row>
    <row r="52" spans="2:8" x14ac:dyDescent="0.35">
      <c r="C52" s="32" t="s">
        <v>341</v>
      </c>
      <c r="F52" s="78">
        <f>'Rating Engine'!C114</f>
        <v>45813.1449951085</v>
      </c>
    </row>
    <row r="54" spans="2:8" ht="18" customHeight="1" x14ac:dyDescent="0.35">
      <c r="B54" s="12" t="s">
        <v>377</v>
      </c>
      <c r="C54" s="12"/>
      <c r="D54" s="12"/>
      <c r="E54" s="12"/>
      <c r="F54" s="12"/>
      <c r="G54" s="12"/>
      <c r="H54" s="12"/>
    </row>
    <row r="55" spans="2:8" x14ac:dyDescent="0.35">
      <c r="C55" s="36" t="s">
        <v>378</v>
      </c>
      <c r="E55" s="60">
        <f>'Rating Engine'!C11/100*'Rating Engine'!C56</f>
        <v>7840</v>
      </c>
    </row>
    <row r="56" spans="2:8" x14ac:dyDescent="0.35">
      <c r="C56" s="82" t="s">
        <v>379</v>
      </c>
      <c r="D56" s="83"/>
      <c r="E56" s="90">
        <f>E55*'Rating Engine'!C86</f>
        <v>14581.5221251728</v>
      </c>
    </row>
    <row r="57" spans="2:8" x14ac:dyDescent="0.35">
      <c r="C57" s="36" t="s">
        <v>380</v>
      </c>
      <c r="E57" s="60">
        <f>E56*'Rating Engine'!C87</f>
        <v>14581.5221251728</v>
      </c>
    </row>
    <row r="58" spans="2:8" x14ac:dyDescent="0.35">
      <c r="C58" s="82" t="s">
        <v>381</v>
      </c>
      <c r="D58" s="83"/>
      <c r="E58" s="90">
        <f>E57+'Rating Engine'!C92*'Rating Engine'!C93*MIN('Rating Engine'!C65*'Rating Engine'!C59*'Rating Engine'!C61*'Rating Engine'!C62*'Rating Engine'!C66*'Rating Engine'!C64,'Technical Premium'!C17)</f>
        <v>15838.5884851728</v>
      </c>
    </row>
    <row r="59" spans="2:8" x14ac:dyDescent="0.35">
      <c r="C59" s="36" t="s">
        <v>382</v>
      </c>
      <c r="E59" s="60">
        <f>E58*(1+'Technical Premium'!C5)</f>
        <v>17105.6755639866</v>
      </c>
    </row>
    <row r="60" spans="2:8" x14ac:dyDescent="0.35">
      <c r="C60" s="82" t="s">
        <v>383</v>
      </c>
      <c r="D60" s="83"/>
      <c r="E60" s="90">
        <f>E59*(1+'Technical Premium'!C6)</f>
        <v>17960.959342186</v>
      </c>
    </row>
    <row r="61" spans="2:8" x14ac:dyDescent="0.35">
      <c r="C61" s="36" t="s">
        <v>384</v>
      </c>
      <c r="E61" s="60">
        <f>E60+'Rating Engine'!C91*'Rating Engine'!C99*'Rating Engine'!C51*'Rating Engine'!C52</f>
        <v>23210.3073072482</v>
      </c>
    </row>
    <row r="62" spans="2:8" x14ac:dyDescent="0.35">
      <c r="C62" s="82" t="s">
        <v>385</v>
      </c>
      <c r="D62" s="83"/>
      <c r="E62" s="90">
        <f>E61*(1+'Technical Premium'!C7)</f>
        <v>24951.0803552918</v>
      </c>
    </row>
    <row r="63" spans="2:8" x14ac:dyDescent="0.35">
      <c r="C63" s="32" t="s">
        <v>386</v>
      </c>
      <c r="E63" s="78">
        <f>E62/'Technical Premium'!C13</f>
        <v>43019.1040608479</v>
      </c>
    </row>
    <row r="64" spans="2:8" x14ac:dyDescent="0.35">
      <c r="C64" s="91" t="s">
        <v>387</v>
      </c>
      <c r="D64" s="92"/>
      <c r="E64" s="93">
        <f>E63-'Rating Engine'!C105</f>
        <v>0</v>
      </c>
      <c r="F64" s="3" t="str">
        <f>IF(ABS(E64)&lt;0.01,"PROVED - the two routes agree","VARIANCE - investigate")</f>
        <v>PROVED - the two routes agree</v>
      </c>
      <c r="G64" s="3"/>
      <c r="H64" s="3"/>
    </row>
    <row r="66" spans="3:8" x14ac:dyDescent="0.35">
      <c r="C66" s="15" t="s">
        <v>388</v>
      </c>
    </row>
    <row r="67" spans="3:8" ht="42" customHeight="1" x14ac:dyDescent="0.35">
      <c r="C67" s="7" t="s">
        <v>389</v>
      </c>
      <c r="D67" s="7"/>
      <c r="E67" s="7"/>
      <c r="F67" s="7"/>
      <c r="G67" s="7"/>
      <c r="H67" s="7"/>
    </row>
    <row r="68" spans="3:8" ht="42" customHeight="1" x14ac:dyDescent="0.35">
      <c r="C68" s="7" t="s">
        <v>390</v>
      </c>
      <c r="D68" s="7"/>
      <c r="E68" s="7"/>
      <c r="F68" s="7"/>
      <c r="G68" s="7"/>
      <c r="H68" s="7"/>
    </row>
    <row r="69" spans="3:8" ht="42" customHeight="1" x14ac:dyDescent="0.35">
      <c r="C69" s="7" t="s">
        <v>391</v>
      </c>
      <c r="D69" s="7"/>
      <c r="E69" s="7"/>
      <c r="F69" s="7"/>
      <c r="G69" s="7"/>
      <c r="H69" s="7"/>
    </row>
    <row r="70" spans="3:8" ht="42" customHeight="1" x14ac:dyDescent="0.35">
      <c r="C70" s="7" t="s">
        <v>392</v>
      </c>
      <c r="D70" s="7"/>
      <c r="E70" s="7"/>
      <c r="F70" s="7"/>
      <c r="G70" s="7"/>
      <c r="H70" s="7"/>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 ySplit="4" topLeftCell="B5" activePane="bottomRight" state="frozen"/>
      <selection pane="topRight" activeCell="B1" sqref="B1"/>
      <selection pane="bottomLeft" activeCell="A5" sqref="A5"/>
      <selection pane="bottomRight" activeCell="K9" sqref="K9"/>
    </sheetView>
  </sheetViews>
  <sheetFormatPr defaultColWidth="8.6328125" defaultRowHeight="14.5" x14ac:dyDescent="0.35"/>
  <cols>
    <col min="1" max="1" width="15" customWidth="1"/>
    <col min="2" max="2" width="22" customWidth="1"/>
    <col min="3" max="4" width="12" customWidth="1"/>
    <col min="5" max="5" width="8" customWidth="1"/>
    <col min="6" max="6" width="17" customWidth="1"/>
    <col min="7" max="7" width="20" customWidth="1"/>
    <col min="8" max="8" width="18" customWidth="1"/>
    <col min="9" max="9" width="10.90625" customWidth="1"/>
    <col min="10" max="10" width="11.54296875"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35">
      <c r="B1" s="14" t="s">
        <v>393</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35">
      <c r="B2" s="13" t="s">
        <v>394</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35">
      <c r="A3" s="2" t="s">
        <v>395</v>
      </c>
      <c r="B3" s="2"/>
      <c r="C3" s="2"/>
      <c r="D3" s="2"/>
      <c r="E3" s="2"/>
      <c r="F3" s="2"/>
      <c r="G3" s="2"/>
      <c r="H3" s="2"/>
      <c r="I3" s="2"/>
      <c r="J3" s="2"/>
      <c r="K3" s="2"/>
      <c r="L3" s="2"/>
      <c r="M3" s="2"/>
      <c r="N3" s="2" t="s">
        <v>396</v>
      </c>
      <c r="O3" s="2"/>
      <c r="P3" s="2"/>
      <c r="Q3" s="2"/>
      <c r="R3" s="2"/>
      <c r="S3" s="2"/>
      <c r="T3" s="2"/>
      <c r="U3" s="2"/>
      <c r="V3" s="2"/>
      <c r="W3" s="2"/>
      <c r="X3" s="2"/>
      <c r="Y3" s="2"/>
      <c r="Z3" s="2"/>
      <c r="AA3" s="2"/>
      <c r="AB3" s="2" t="s">
        <v>397</v>
      </c>
      <c r="AC3" s="2"/>
      <c r="AD3" s="2"/>
      <c r="AE3" s="2"/>
      <c r="AF3" s="2"/>
      <c r="AG3" s="2" t="s">
        <v>398</v>
      </c>
      <c r="AH3" s="2"/>
      <c r="AI3" s="2"/>
      <c r="AJ3" s="2"/>
      <c r="AK3" s="2"/>
      <c r="AL3" s="2"/>
      <c r="AM3" s="2"/>
      <c r="AN3" s="2"/>
      <c r="AO3" s="2"/>
      <c r="AP3" s="2"/>
      <c r="AR3" s="2" t="s">
        <v>399</v>
      </c>
      <c r="AS3" s="2"/>
      <c r="AT3" s="2"/>
      <c r="AU3" s="2"/>
      <c r="AV3" s="2"/>
      <c r="AW3" s="2" t="s">
        <v>400</v>
      </c>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t="s">
        <v>401</v>
      </c>
      <c r="CC3" s="2"/>
      <c r="CD3" s="2"/>
      <c r="CE3" s="2"/>
      <c r="CF3" s="2"/>
      <c r="CG3" s="2"/>
      <c r="CH3" s="2"/>
      <c r="CI3" s="2"/>
      <c r="CJ3" s="2"/>
      <c r="CK3" s="2"/>
      <c r="CL3" s="2"/>
      <c r="CM3" s="2"/>
      <c r="CN3" s="2"/>
      <c r="CO3" s="2"/>
      <c r="CP3" s="2"/>
      <c r="CQ3" s="2"/>
      <c r="CR3" s="2"/>
      <c r="CS3" s="2"/>
      <c r="CT3" s="2"/>
      <c r="CU3" s="2" t="s">
        <v>402</v>
      </c>
      <c r="CV3" s="2"/>
      <c r="CW3" s="2"/>
      <c r="CX3" s="2"/>
      <c r="CY3" s="2"/>
      <c r="CZ3" s="2"/>
      <c r="DA3" s="2" t="s">
        <v>403</v>
      </c>
      <c r="DB3" s="2"/>
      <c r="DC3" s="2"/>
      <c r="DD3" s="2"/>
      <c r="DE3" s="2"/>
      <c r="DF3" s="2"/>
      <c r="DG3" s="2"/>
      <c r="DH3" s="2"/>
      <c r="DI3" s="2"/>
    </row>
    <row r="4" spans="1:113" ht="42" customHeight="1" x14ac:dyDescent="0.35">
      <c r="A4" s="22" t="s">
        <v>404</v>
      </c>
      <c r="B4" s="22" t="s">
        <v>405</v>
      </c>
      <c r="C4" s="22" t="s">
        <v>406</v>
      </c>
      <c r="D4" s="22" t="s">
        <v>407</v>
      </c>
      <c r="E4" s="22" t="s">
        <v>159</v>
      </c>
      <c r="F4" s="22" t="s">
        <v>408</v>
      </c>
      <c r="G4" s="22" t="s">
        <v>409</v>
      </c>
      <c r="H4" s="22" t="s">
        <v>410</v>
      </c>
      <c r="I4" s="22" t="s">
        <v>167</v>
      </c>
      <c r="J4" s="22" t="s">
        <v>170</v>
      </c>
      <c r="K4" s="22" t="s">
        <v>172</v>
      </c>
      <c r="L4" s="22" t="s">
        <v>411</v>
      </c>
      <c r="M4" s="22" t="s">
        <v>178</v>
      </c>
      <c r="N4" s="22" t="s">
        <v>181</v>
      </c>
      <c r="O4" s="22" t="s">
        <v>184</v>
      </c>
      <c r="P4" s="22" t="s">
        <v>187</v>
      </c>
      <c r="Q4" s="22" t="s">
        <v>412</v>
      </c>
      <c r="R4" s="22" t="s">
        <v>413</v>
      </c>
      <c r="S4" s="22" t="s">
        <v>414</v>
      </c>
      <c r="T4" s="22" t="s">
        <v>415</v>
      </c>
      <c r="U4" s="22" t="s">
        <v>416</v>
      </c>
      <c r="V4" s="22" t="s">
        <v>205</v>
      </c>
      <c r="W4" s="22" t="s">
        <v>417</v>
      </c>
      <c r="X4" s="22" t="s">
        <v>211</v>
      </c>
      <c r="Y4" s="22" t="s">
        <v>418</v>
      </c>
      <c r="Z4" s="22" t="s">
        <v>419</v>
      </c>
      <c r="AA4" s="22" t="s">
        <v>420</v>
      </c>
      <c r="AB4" s="22" t="s">
        <v>421</v>
      </c>
      <c r="AC4" s="22" t="s">
        <v>225</v>
      </c>
      <c r="AD4" s="22" t="s">
        <v>227</v>
      </c>
      <c r="AE4" s="22" t="s">
        <v>422</v>
      </c>
      <c r="AF4" s="22" t="s">
        <v>423</v>
      </c>
      <c r="AG4" s="22" t="s">
        <v>424</v>
      </c>
      <c r="AH4" s="22" t="s">
        <v>425</v>
      </c>
      <c r="AI4" s="22" t="s">
        <v>238</v>
      </c>
      <c r="AJ4" s="22" t="s">
        <v>426</v>
      </c>
      <c r="AK4" s="22" t="s">
        <v>427</v>
      </c>
      <c r="AL4" s="22" t="s">
        <v>428</v>
      </c>
      <c r="AM4" s="22" t="s">
        <v>429</v>
      </c>
      <c r="AN4" s="22" t="s">
        <v>247</v>
      </c>
      <c r="AO4" s="22" t="s">
        <v>430</v>
      </c>
      <c r="AP4" s="22" t="s">
        <v>431</v>
      </c>
      <c r="AQ4" s="22" t="s">
        <v>432</v>
      </c>
      <c r="AR4" s="22" t="s">
        <v>433</v>
      </c>
      <c r="AS4" s="22" t="s">
        <v>434</v>
      </c>
      <c r="AT4" s="22" t="s">
        <v>435</v>
      </c>
      <c r="AU4" s="22" t="s">
        <v>436</v>
      </c>
      <c r="AV4" s="22" t="s">
        <v>437</v>
      </c>
      <c r="AW4" s="22" t="s">
        <v>438</v>
      </c>
      <c r="AX4" s="22" t="s">
        <v>439</v>
      </c>
      <c r="AY4" s="22" t="s">
        <v>272</v>
      </c>
      <c r="AZ4" s="22" t="s">
        <v>440</v>
      </c>
      <c r="BA4" s="22" t="s">
        <v>441</v>
      </c>
      <c r="BB4" s="22" t="s">
        <v>442</v>
      </c>
      <c r="BC4" s="22" t="s">
        <v>443</v>
      </c>
      <c r="BD4" s="22" t="s">
        <v>444</v>
      </c>
      <c r="BE4" s="22" t="s">
        <v>445</v>
      </c>
      <c r="BF4" s="22" t="s">
        <v>446</v>
      </c>
      <c r="BG4" s="22" t="s">
        <v>447</v>
      </c>
      <c r="BH4" s="22" t="s">
        <v>448</v>
      </c>
      <c r="BI4" s="22" t="s">
        <v>449</v>
      </c>
      <c r="BJ4" s="22" t="s">
        <v>450</v>
      </c>
      <c r="BK4" s="22" t="s">
        <v>451</v>
      </c>
      <c r="BL4" s="22" t="s">
        <v>452</v>
      </c>
      <c r="BM4" s="22" t="s">
        <v>453</v>
      </c>
      <c r="BN4" s="22" t="s">
        <v>454</v>
      </c>
      <c r="BO4" s="22" t="s">
        <v>455</v>
      </c>
      <c r="BP4" s="22" t="s">
        <v>456</v>
      </c>
      <c r="BQ4" s="22" t="s">
        <v>457</v>
      </c>
      <c r="BR4" s="22" t="s">
        <v>458</v>
      </c>
      <c r="BS4" s="22" t="s">
        <v>459</v>
      </c>
      <c r="BT4" s="22" t="s">
        <v>460</v>
      </c>
      <c r="BU4" s="22" t="s">
        <v>461</v>
      </c>
      <c r="BV4" s="22" t="s">
        <v>462</v>
      </c>
      <c r="BW4" s="22" t="s">
        <v>463</v>
      </c>
      <c r="BX4" s="22" t="s">
        <v>464</v>
      </c>
      <c r="BY4" s="22" t="s">
        <v>465</v>
      </c>
      <c r="BZ4" s="22" t="s">
        <v>466</v>
      </c>
      <c r="CA4" s="22" t="s">
        <v>467</v>
      </c>
      <c r="CB4" s="22" t="s">
        <v>468</v>
      </c>
      <c r="CC4" s="22" t="s">
        <v>469</v>
      </c>
      <c r="CD4" s="22" t="s">
        <v>470</v>
      </c>
      <c r="CE4" s="22" t="s">
        <v>309</v>
      </c>
      <c r="CF4" s="22" t="s">
        <v>471</v>
      </c>
      <c r="CG4" s="22" t="s">
        <v>472</v>
      </c>
      <c r="CH4" s="22" t="s">
        <v>473</v>
      </c>
      <c r="CI4" s="22" t="s">
        <v>474</v>
      </c>
      <c r="CJ4" s="22" t="s">
        <v>475</v>
      </c>
      <c r="CK4" s="22" t="s">
        <v>476</v>
      </c>
      <c r="CL4" s="22" t="s">
        <v>325</v>
      </c>
      <c r="CM4" s="22" t="s">
        <v>114</v>
      </c>
      <c r="CN4" s="22" t="s">
        <v>477</v>
      </c>
      <c r="CO4" s="22" t="s">
        <v>478</v>
      </c>
      <c r="CP4" s="22" t="s">
        <v>479</v>
      </c>
      <c r="CQ4" s="22" t="s">
        <v>126</v>
      </c>
      <c r="CR4" s="22" t="s">
        <v>480</v>
      </c>
      <c r="CS4" s="22" t="s">
        <v>481</v>
      </c>
      <c r="CT4" s="22" t="s">
        <v>482</v>
      </c>
      <c r="CU4" s="22" t="s">
        <v>483</v>
      </c>
      <c r="CV4" s="22" t="s">
        <v>484</v>
      </c>
      <c r="CW4" s="22" t="s">
        <v>485</v>
      </c>
      <c r="CX4" s="22" t="s">
        <v>486</v>
      </c>
      <c r="CY4" s="22" t="s">
        <v>487</v>
      </c>
      <c r="CZ4" s="22" t="s">
        <v>488</v>
      </c>
      <c r="DA4" s="22" t="s">
        <v>489</v>
      </c>
      <c r="DB4" s="22" t="s">
        <v>490</v>
      </c>
      <c r="DC4" s="22" t="s">
        <v>491</v>
      </c>
      <c r="DD4" s="22" t="s">
        <v>492</v>
      </c>
      <c r="DE4" s="22" t="s">
        <v>493</v>
      </c>
      <c r="DF4" s="22" t="s">
        <v>494</v>
      </c>
      <c r="DG4" s="22" t="s">
        <v>495</v>
      </c>
      <c r="DH4" s="22" t="s">
        <v>496</v>
      </c>
      <c r="DI4" s="22" t="s">
        <v>497</v>
      </c>
    </row>
    <row r="5" spans="1:113" x14ac:dyDescent="0.35">
      <c r="A5" s="94" t="s">
        <v>498</v>
      </c>
      <c r="B5" s="94" t="s">
        <v>499</v>
      </c>
      <c r="C5" s="95">
        <v>46082</v>
      </c>
      <c r="D5" s="95">
        <v>46631</v>
      </c>
      <c r="E5" s="96">
        <v>2024</v>
      </c>
      <c r="F5" s="94" t="s">
        <v>162</v>
      </c>
      <c r="G5" s="94" t="s">
        <v>165</v>
      </c>
      <c r="H5" s="94" t="s">
        <v>500</v>
      </c>
      <c r="I5" s="94" t="s">
        <v>168</v>
      </c>
      <c r="J5" s="97">
        <v>425000</v>
      </c>
      <c r="K5" s="94" t="s">
        <v>173</v>
      </c>
      <c r="L5" s="94" t="s">
        <v>501</v>
      </c>
      <c r="M5" s="94" t="s">
        <v>179</v>
      </c>
      <c r="N5" s="94" t="s">
        <v>182</v>
      </c>
      <c r="O5" s="94" t="s">
        <v>185</v>
      </c>
      <c r="P5" s="94" t="s">
        <v>188</v>
      </c>
      <c r="Q5" s="94" t="s">
        <v>191</v>
      </c>
      <c r="R5" s="94" t="s">
        <v>194</v>
      </c>
      <c r="S5" s="94" t="s">
        <v>197</v>
      </c>
      <c r="T5" s="94" t="s">
        <v>200</v>
      </c>
      <c r="U5" s="94" t="s">
        <v>203</v>
      </c>
      <c r="V5" s="94" t="s">
        <v>206</v>
      </c>
      <c r="W5" s="94" t="s">
        <v>209</v>
      </c>
      <c r="X5" s="94" t="s">
        <v>212</v>
      </c>
      <c r="Y5" s="94" t="s">
        <v>214</v>
      </c>
      <c r="Z5" s="94" t="s">
        <v>217</v>
      </c>
      <c r="AA5" s="94" t="s">
        <v>220</v>
      </c>
      <c r="AB5" s="94"/>
      <c r="AC5" s="94"/>
      <c r="AD5" s="94"/>
      <c r="AE5" s="94"/>
      <c r="AF5" s="94"/>
      <c r="AG5" s="94"/>
      <c r="AH5" s="94"/>
      <c r="AI5" s="94"/>
      <c r="AJ5" s="94"/>
      <c r="AK5" s="94"/>
      <c r="AL5" s="94"/>
      <c r="AM5" s="94"/>
      <c r="AN5" s="94"/>
      <c r="AO5" s="94"/>
      <c r="AP5" s="94"/>
      <c r="AQ5" s="98">
        <v>0</v>
      </c>
      <c r="AR5" s="99" t="str">
        <f t="shared" ref="AR5:AR68" si="0">IF($A5="","",IFERROR(LEFT(TEXT(VALUE($L5),"00000"),3),"---"))</f>
        <v>331</v>
      </c>
      <c r="AS5" s="99" t="str">
        <f>IF($A5="","",IF($AP5&lt;&gt;"",$AP5,IFERROR(INDEX('Cat Zone by ZIP'!$D$6:$D$856,MATCH($AR5,'Cat Zone by ZIP'!$B$6:$B$856,0)),IFERROR(INDEX('Cat Zone by ZIP'!$C$860:$C$910,MATCH($K5,'Cat Zone by ZIP'!$B$860:$B$910,0)),"NOT FOUND"))))</f>
        <v>Tier 1 - Coastal wind / surge (0-1 mile, FEMA V or Coastal A)</v>
      </c>
      <c r="AT5" s="99" t="str">
        <f>IF($A5="","",IF($AP5&lt;&gt;"","Override",IF(ISNUMBER(MATCH($AR5,'Cat Zone by ZIP'!$B$6:$B$856,0)),"ZIP-3","State default")))</f>
        <v>ZIP-3</v>
      </c>
      <c r="AU5" s="100">
        <f>IF($A5="","",IFERROR(INDEX('Natural Catastrophe'!$D$6:$D$17,MATCH($AS5,'Natural Catastrophe'!$B$6:$B$17,0)),"?"))</f>
        <v>3</v>
      </c>
      <c r="AV5" s="100">
        <f>IF($A5="","",IFERROR(INDEX('Natural Catastrophe'!$C$21:$C$26,MATCH($AA5,'Natural Catastrophe'!$B$21:$B$26,0)),"?"))</f>
        <v>0.8</v>
      </c>
      <c r="AW5" s="99" t="str">
        <f>IF($A5="","",IFERROR(INDEX('Base Rates'!$C$4:$I$4,MATCH(MAX($J5,'Technical Premium'!$C$18),'Base Rates'!$C$3:$I$3,1)),"?"))</f>
        <v>$250k - $500k</v>
      </c>
      <c r="AX5" s="101">
        <f>IF($A5="","",IFERROR(INDEX('Base Rates'!$C$5:$I$16,MATCH($I5,'Base Rates'!$B$5:$B$16,0),MATCH(MAX($J5,'Technical Premium'!$C$18),'Base Rates'!$C$3:$I$3,1)),"?"))</f>
        <v>1.1499999999999999</v>
      </c>
      <c r="AY5" s="102">
        <f t="shared" ref="AY5:AY68" si="1">IF(ISNUMBER($AX5),$J5/100*$AX5,"")</f>
        <v>4887.5</v>
      </c>
      <c r="AZ5" s="100">
        <f>IF($A5="","",IFERROR(INDEX('Make Factors'!$G$5:$G$69,MATCH($F5,'Make Factors'!$B$5:$B$69,0)),"?"))</f>
        <v>1.087</v>
      </c>
      <c r="BA5" s="100">
        <f>IF($A5="","",IFERROR(INDEX('Driver Factors'!$C$6:$C$15,MATCH($R5,'Driver Factors'!$B$6:$B$15,0)),"?"))</f>
        <v>1</v>
      </c>
      <c r="BB5" s="100">
        <f>IF($A5="","",IFERROR(INDEX('Driver Factors'!$C$19:$C$24,MATCH($S5,'Driver Factors'!$B$19:$B$24,0)),"?"))</f>
        <v>1</v>
      </c>
      <c r="BC5" s="100">
        <f>IF($A5="","",IFERROR(INDEX('Driver Factors'!$C$28:$C$36,MATCH($T5,'Driver Factors'!$B$28:$B$36,0)),"?"))</f>
        <v>1</v>
      </c>
      <c r="BD5" s="100">
        <f>IF($A5="","",IFERROR(INDEX('Claims History'!$C$6:$C$15,MATCH($U5,'Claims History'!$B$6:$B$15,0)),"?"))</f>
        <v>0.9</v>
      </c>
      <c r="BE5" s="100">
        <f>IF($A5="","",IFERROR(INDEX('Territory Factors'!$E$6:$E$56,MATCH($K5,'Territory Factors'!$B$6:$B$56,0)),"?"))</f>
        <v>1.45</v>
      </c>
      <c r="BF5" s="100">
        <f>IF($A5="","",IFERROR(INDEX('City Accident Ratings'!$G$6:$G$54,MATCH($Z5,'City Accident Ratings'!$B$6:$B$54,0)),"?"))</f>
        <v>1.395</v>
      </c>
      <c r="BG5" s="100">
        <f>IF($A5="","",IFERROR(INDEX('Usage and Coverage'!$D$6:$D$20,MATCH($N5,'Usage and Coverage'!$C$6:$C$20,0)),"?"))</f>
        <v>1</v>
      </c>
      <c r="BH5" s="100">
        <f>IF($A5="","",IFERROR(INDEX('Usage and Coverage'!$C$24:$C$30,MATCH($O5,'Usage and Coverage'!$B$24:$B$30,0)),"?"))</f>
        <v>1</v>
      </c>
      <c r="BI5" s="100">
        <f>IF($A5="","",IFERROR(INDEX('Usage and Coverage'!$C$34:$C$40,MATCH($P5,'Usage and Coverage'!$B$34:$B$40,0)),"?"))</f>
        <v>0.9</v>
      </c>
      <c r="BJ5" s="100">
        <f>IF($A5="","",IFERROR(INDEX('Usage and Coverage'!$C$44:$C$49,MATCH($Q5,'Usage and Coverage'!$B$44:$B$49,0)),"?"))</f>
        <v>0.9</v>
      </c>
      <c r="BK5" s="100">
        <f>IF($A5="","",IFERROR(INDEX(Deductibles!$C$6:$I$15,MATCH($W5,Deductibles!$B$6:$B$15,0),MATCH(MAX($J5,'Technical Premium'!$C$18),'Base Rates'!$C$3:$I$3,1)),"?"))</f>
        <v>0.94</v>
      </c>
      <c r="BL5" s="100">
        <f>IF($A5="","",IFERROR(INDEX('Usage and Coverage'!$C$63:$C$66,MATCH($X5,'Usage and Coverage'!$B$63:$B$66,0)),"?"))</f>
        <v>1</v>
      </c>
      <c r="BM5" s="100">
        <f>IF($A5="","",IFERROR(INDEX('Usage and Coverage'!$C$70:$C$75,MATCH($V5,'Usage and Coverage'!$B$70:$B$75,0)),"?"))</f>
        <v>0.95</v>
      </c>
      <c r="BN5" s="99">
        <f>IF($A5="","",IF($AB5="",1,IFERROR(INDEX(Deductibles!$C$48:$C$51,MATCH($AB5,Deductibles!$B$48:$B$51,0)),"?")))</f>
        <v>1</v>
      </c>
      <c r="BO5" s="99">
        <f>IF($A5="","",IF($AC5="",1,IFERROR(INDEX(Deductibles!$C$55:$C$57,MATCH($AC5,Deductibles!$B$55:$B$57,0)),"?")))</f>
        <v>1</v>
      </c>
      <c r="BP5" s="99">
        <f>IF($A5="","",IF($AD5="",1,IFERROR(INDEX(Deductibles!$C$61:$C$63,MATCH($AD5,Deductibles!$B$61:$B$63,0)),"?")))</f>
        <v>1</v>
      </c>
      <c r="BQ5" s="99">
        <f>IF($A5="","",IF($AE5="",1,IFERROR(INDEX(Deductibles!$C$67:$C$69,MATCH($AE5,Deductibles!$B$67:$B$69,0)),"?")))</f>
        <v>1</v>
      </c>
      <c r="BR5" s="99">
        <f>IF($A5="","",IF($AF5="",1,IFERROR(INDEX(Deductibles!$C$73:$C$74,MATCH($AF5,Deductibles!$B$73:$B$74,0)),"?")))</f>
        <v>1</v>
      </c>
      <c r="BS5" s="99">
        <f>IF($A5="","",IF($AG5="",1,IFERROR(INDEX('Sublimits and Parts'!$C$49:$C$52,MATCH($AG5,'Sublimits and Parts'!$B$49:$B$52,0)),"?")))</f>
        <v>1</v>
      </c>
      <c r="BT5" s="99">
        <f>IF($A5="","",IF($AH5="",1,IFERROR(INDEX('Sublimits and Parts'!$C$56:$C$60,MATCH($AH5,'Sublimits and Parts'!$B$56:$B$60,0)),"?")))</f>
        <v>1</v>
      </c>
      <c r="BU5" s="99">
        <f>IF($A5="","",IF($AI5="",1,IFERROR(INDEX('Sublimits and Parts'!$C$64:$C$67,MATCH($AI5,'Sublimits and Parts'!$B$64:$B$67,0)),"?")))</f>
        <v>1</v>
      </c>
      <c r="BV5" s="99">
        <f>IF($A5="","",IF($AJ5="",1,IFERROR(INDEX('Sublimits and Parts'!$C$71:$C$74,MATCH($AJ5,'Sublimits and Parts'!$B$71:$B$74,0)),"?")))</f>
        <v>1</v>
      </c>
      <c r="BW5" s="99">
        <f>IF($A5="","",IF($AK5="",1,IFERROR(INDEX('Sublimits and Parts'!$C$78:$C$80,MATCH($AK5,'Sublimits and Parts'!$B$78:$B$80,0)),"?")))</f>
        <v>1</v>
      </c>
      <c r="BX5" s="99">
        <f>IF($A5="","",IF($AL5="",1,IFERROR(INDEX('Sublimits and Parts'!$C$84:$C$87,MATCH($AL5,'Sublimits and Parts'!$B$84:$B$87,0)),"?")))</f>
        <v>1</v>
      </c>
      <c r="BY5" s="99">
        <f>IF($A5="","",IF($AM5="",1,IFERROR(INDEX('Sublimits and Parts'!$C$91:$C$94,MATCH($AM5,'Sublimits and Parts'!$B$91:$B$94,0)),"?")))</f>
        <v>1</v>
      </c>
      <c r="BZ5" s="99">
        <f>IF($A5="","",IF($AN5="",1,IFERROR(INDEX('Sublimits and Parts'!$C$98:$C$101,MATCH($AN5,'Sublimits and Parts'!$B$98:$B$101,0)),"?")))</f>
        <v>1</v>
      </c>
      <c r="CA5" s="99">
        <f>IF($A5="","",IF($AO5="",1,IFERROR(INDEX('Sublimits and Parts'!$C$105:$C$109,MATCH($AO5,'Sublimits and Parts'!$B$105:$B$109,0)),"?")))</f>
        <v>1</v>
      </c>
      <c r="CB5" s="100">
        <f t="shared" ref="CB5:CB68" si="2">IF($A5="","",IF(SUMPRODUCT(--ISTEXT($AZ5:$BM5))&gt;0,"?",PRODUCT($AZ5:$BM5)))</f>
        <v>1.4313661455622497</v>
      </c>
      <c r="CC5" s="100">
        <f t="shared" ref="CC5:CC68" si="3">IF($A5="","",IF(SUMPRODUCT(--ISTEXT($BN5:$CA5))&gt;0,"?",PRODUCT($BN5:$CA5)))</f>
        <v>1</v>
      </c>
      <c r="CD5" s="103">
        <f>IF($A5="","",IF(OR($CB5="?",$CC5="?"),"?",MIN($CB5*$CC5,'Technical Premium'!$C$17)))</f>
        <v>1.4313661455622497</v>
      </c>
      <c r="CE5" s="102">
        <f t="shared" ref="CE5:CE68" si="4">IF(ISNUMBER($CD5),$AY5*$CD5,"")</f>
        <v>6995.8020364354952</v>
      </c>
      <c r="CF5" s="102">
        <f>IF($A5="","",IFERROR(INDEX('Territory Factors'!$F$6:$F$56,MATCH($K5,'Territory Factors'!$B$6:$B$56,0)),"?"))</f>
        <v>980</v>
      </c>
      <c r="CG5" s="100">
        <f>IF($A5="","",IFERROR(INDEX('Usage and Coverage'!$C$79:$C$84,MATCH($Y5,'Usage and Coverage'!$B$79:$B$84,0)),"?"))</f>
        <v>1.42</v>
      </c>
      <c r="CH5" s="102">
        <f>IFERROR(IF(ISNUMBER($CD5),$CF5*$CG5*MIN($BG5*$BA5*$BC5*$BD5*$BH5*$BF5,'Technical Premium'!$C$17),""),"")</f>
        <v>1747.1538</v>
      </c>
      <c r="CI5" s="102">
        <f t="shared" ref="CI5:CI68" si="5">IFERROR($CE5+$CH5,"")</f>
        <v>8742.9558364354962</v>
      </c>
      <c r="CJ5" s="102">
        <f>IFERROR($CI5*(1+'Technical Premium'!$C$5)*(1+'Technical Premium'!$C$6),"")</f>
        <v>9914.5119185178537</v>
      </c>
      <c r="CK5" s="102">
        <f>IFERROR($CE5*INDEX('Territory Factors'!$G$6:$G$56,MATCH($K5,'Territory Factors'!$B$6:$B$56,0))*$AU5*$AV5,"")</f>
        <v>3022.186479740134</v>
      </c>
      <c r="CL5" s="102">
        <f>IFERROR(($CJ5+$CK5)*(1+'Technical Premium'!$C$7),"")</f>
        <v>13906.950778127337</v>
      </c>
      <c r="CM5" s="104">
        <f>IFERROR($CL5/'Technical Premium'!$C$13,"")</f>
        <v>23977.501341598858</v>
      </c>
      <c r="CN5" s="105">
        <f t="shared" ref="CN5:CN68" si="6">IFERROR($CM5/$J5*100,"")</f>
        <v>5.641765021552672</v>
      </c>
      <c r="CO5" s="104">
        <f t="shared" ref="CO5:CO68" si="7">IFERROR($CM5*(1+N($AQ5)),"")</f>
        <v>23977.501341598858</v>
      </c>
      <c r="CP5" s="105">
        <f t="shared" ref="CP5:CP68" si="8">IFERROR($CO5/$J5*100,"")</f>
        <v>5.641765021552672</v>
      </c>
      <c r="CQ5" s="106">
        <f t="shared" ref="CQ5:CQ68" si="9">IFERROR($CP5/$CN5,"")</f>
        <v>1</v>
      </c>
      <c r="CR5" s="102">
        <f>IF(ISNUMBER($CM5),'Technical Premium'!$C$14+IF($J5&gt;=1000000,'Technical Premium'!$C$15,0),"")</f>
        <v>350</v>
      </c>
      <c r="CS5" s="102">
        <f>IFERROR(($CO5+$CR5)*(INDEX('Territory Factors'!$K$6:$K$56,MATCH($K5,'Territory Factors'!$B$6:$B$56,0))+'Commission Structure'!$C$21),"")</f>
        <v>1245.5680686898615</v>
      </c>
      <c r="CT5" s="104">
        <f t="shared" ref="CT5:CT68" si="10">IFERROR($CO5+$CR5+$CS5,"")</f>
        <v>25573.069410288721</v>
      </c>
      <c r="CU5" s="102">
        <f>IFERROR($CO5*('Commission Structure'!$C$6+'Commission Structure'!$C$7),"")</f>
        <v>2997.1876676998572</v>
      </c>
      <c r="CV5" s="102">
        <f>IFERROR($CO5*'Commission Structure'!$C$5-$CU5,"")</f>
        <v>2997.1876676998572</v>
      </c>
      <c r="CW5" s="102">
        <f>IFERROR($CO5*(1-'Commission Structure'!$C$5),"")</f>
        <v>17983.126006199142</v>
      </c>
      <c r="CX5" s="107"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8">
        <f t="shared" ref="CY5:CY68" si="11">IFERROR($CO5/$CM5-1,"")</f>
        <v>0</v>
      </c>
      <c r="CZ5" s="99" t="str">
        <f>IF($CY5="","",IF($CY5&lt;'Technical Premium'!$C$19,"BEYOND AUTHORITY",IF($CY5&gt;0.005,"Above technical",IF($CY5&lt;-0.005,"BELOW technical","At technical"))))</f>
        <v>At technical</v>
      </c>
      <c r="DA5" s="99"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4"/>
      <c r="DC5" s="94"/>
      <c r="DD5" s="95"/>
      <c r="DE5" s="94"/>
      <c r="DF5" s="94"/>
      <c r="DG5" s="99" t="str">
        <f t="shared" ref="DG5:DG68" si="12">IF($A5="","",IF($CX5="DECLINE","NO - DECLINED",IF($CX5="CHECK INPUTS","NO - INCOMPLETE INPUTS",IF($CX5="AUTO-BIND","YES - within authority",IF(AND($DB5&lt;&gt;"",$DD5&lt;&gt;""),"YES - approved "&amp;TEXT($DD5,"dd-mmm-yy"),"NO - AWAITING APPROVAL")))))</f>
        <v>YES - within authority</v>
      </c>
      <c r="DH5" s="99" t="str">
        <f>IF($A5="","",IF(OR($CX5="REFER",$CX5="DECLINE"),COUNTIF($CX$5:$CX5,"REFER")+COUNTIF($CX$5:$CX5,"DECLINE"),""))</f>
        <v/>
      </c>
      <c r="DI5" s="94"/>
    </row>
    <row r="6" spans="1:113" x14ac:dyDescent="0.35">
      <c r="A6" s="94" t="s">
        <v>502</v>
      </c>
      <c r="B6" s="94" t="s">
        <v>503</v>
      </c>
      <c r="C6" s="95">
        <v>46113</v>
      </c>
      <c r="D6" s="95">
        <v>46631</v>
      </c>
      <c r="E6" s="96">
        <v>2021</v>
      </c>
      <c r="F6" s="94" t="s">
        <v>504</v>
      </c>
      <c r="G6" s="94" t="s">
        <v>505</v>
      </c>
      <c r="H6" s="94" t="s">
        <v>506</v>
      </c>
      <c r="I6" s="94" t="s">
        <v>507</v>
      </c>
      <c r="J6" s="97">
        <v>3600000</v>
      </c>
      <c r="K6" s="94" t="s">
        <v>508</v>
      </c>
      <c r="L6" s="94" t="s">
        <v>509</v>
      </c>
      <c r="M6" s="94" t="s">
        <v>179</v>
      </c>
      <c r="N6" s="94" t="s">
        <v>510</v>
      </c>
      <c r="O6" s="94" t="s">
        <v>511</v>
      </c>
      <c r="P6" s="94" t="s">
        <v>512</v>
      </c>
      <c r="Q6" s="94" t="s">
        <v>513</v>
      </c>
      <c r="R6" s="94" t="s">
        <v>514</v>
      </c>
      <c r="S6" s="94" t="s">
        <v>515</v>
      </c>
      <c r="T6" s="94" t="s">
        <v>200</v>
      </c>
      <c r="U6" s="94" t="s">
        <v>516</v>
      </c>
      <c r="V6" s="94" t="s">
        <v>517</v>
      </c>
      <c r="W6" s="94" t="s">
        <v>246</v>
      </c>
      <c r="X6" s="94" t="s">
        <v>518</v>
      </c>
      <c r="Y6" s="94" t="s">
        <v>519</v>
      </c>
      <c r="Z6" s="94" t="s">
        <v>520</v>
      </c>
      <c r="AA6" s="94" t="s">
        <v>220</v>
      </c>
      <c r="AB6" s="94"/>
      <c r="AC6" s="94"/>
      <c r="AD6" s="94"/>
      <c r="AE6" s="94"/>
      <c r="AF6" s="94"/>
      <c r="AG6" s="94"/>
      <c r="AH6" s="94" t="s">
        <v>521</v>
      </c>
      <c r="AI6" s="94"/>
      <c r="AJ6" s="94"/>
      <c r="AK6" s="94"/>
      <c r="AL6" s="94" t="s">
        <v>522</v>
      </c>
      <c r="AM6" s="94"/>
      <c r="AN6" s="94" t="s">
        <v>523</v>
      </c>
      <c r="AO6" s="94" t="s">
        <v>524</v>
      </c>
      <c r="AP6" s="94"/>
      <c r="AQ6" s="98">
        <v>0</v>
      </c>
      <c r="AR6" s="99" t="str">
        <f t="shared" si="0"/>
        <v>852</v>
      </c>
      <c r="AS6" s="99" t="str">
        <f>IF($A6="","",IF($AP6&lt;&gt;"",$AP6,IFERROR(INDEX('Cat Zone by ZIP'!$D$6:$D$856,MATCH($AR6,'Cat Zone by ZIP'!$B$6:$B$856,0)),IFERROR(INDEX('Cat Zone by ZIP'!$C$860:$C$910,MATCH($K6,'Cat Zone by ZIP'!$B$860:$B$910,0)),"NOT FOUND"))))</f>
        <v>Severe convective - hail / tornado (moderate)</v>
      </c>
      <c r="AT6" s="99" t="str">
        <f>IF($A6="","",IF($AP6&lt;&gt;"","Override",IF(ISNUMBER(MATCH($AR6,'Cat Zone by ZIP'!$B$6:$B$856,0)),"ZIP-3","State default")))</f>
        <v>ZIP-3</v>
      </c>
      <c r="AU6" s="100">
        <f>IF($A6="","",IFERROR(INDEX('Natural Catastrophe'!$D$6:$D$17,MATCH($AS6,'Natural Catastrophe'!$B$6:$B$17,0)),"?"))</f>
        <v>1.5</v>
      </c>
      <c r="AV6" s="100">
        <f>IF($A6="","",IFERROR(INDEX('Natural Catastrophe'!$C$21:$C$26,MATCH($AA6,'Natural Catastrophe'!$B$21:$B$26,0)),"?"))</f>
        <v>0.8</v>
      </c>
      <c r="AW6" s="99" t="str">
        <f>IF($A6="","",IFERROR(INDEX('Base Rates'!$C$4:$I$4,MATCH(MAX($J6,'Technical Premium'!$C$18),'Base Rates'!$C$3:$I$3,1)),"?"))</f>
        <v>$2.0M - $5.0M</v>
      </c>
      <c r="AX6" s="101">
        <f>IF($A6="","",IFERROR(INDEX('Base Rates'!$C$5:$I$16,MATCH($I6,'Base Rates'!$B$5:$B$16,0),MATCH(MAX($J6,'Technical Premium'!$C$18),'Base Rates'!$C$3:$I$3,1)),"?"))</f>
        <v>0.82</v>
      </c>
      <c r="AY6" s="102">
        <f t="shared" si="1"/>
        <v>29520</v>
      </c>
      <c r="AZ6" s="100">
        <f>IF($A6="","",IFERROR(INDEX('Make Factors'!$G$5:$G$69,MATCH($F6,'Make Factors'!$B$5:$B$69,0)),"?"))</f>
        <v>1.607</v>
      </c>
      <c r="BA6" s="100">
        <f>IF($A6="","",IFERROR(INDEX('Driver Factors'!$C$6:$C$15,MATCH($R6,'Driver Factors'!$B$6:$B$15,0)),"?"))</f>
        <v>1</v>
      </c>
      <c r="BB6" s="100">
        <f>IF($A6="","",IFERROR(INDEX('Driver Factors'!$C$19:$C$24,MATCH($S6,'Driver Factors'!$B$19:$B$24,0)),"?"))</f>
        <v>0.95</v>
      </c>
      <c r="BC6" s="100">
        <f>IF($A6="","",IFERROR(INDEX('Driver Factors'!$C$28:$C$36,MATCH($T6,'Driver Factors'!$B$28:$B$36,0)),"?"))</f>
        <v>1</v>
      </c>
      <c r="BD6" s="100">
        <f>IF($A6="","",IFERROR(INDEX('Claims History'!$C$6:$C$15,MATCH($U6,'Claims History'!$B$6:$B$15,0)),"?"))</f>
        <v>0.85</v>
      </c>
      <c r="BE6" s="100">
        <f>IF($A6="","",IFERROR(INDEX('Territory Factors'!$E$6:$E$56,MATCH($K6,'Territory Factors'!$B$6:$B$56,0)),"?"))</f>
        <v>1.1000000000000001</v>
      </c>
      <c r="BF6" s="100">
        <f>IF($A6="","",IFERROR(INDEX('City Accident Ratings'!$G$6:$G$54,MATCH($Z6,'City Accident Ratings'!$B$6:$B$54,0)),"?"))</f>
        <v>1.18</v>
      </c>
      <c r="BG6" s="100">
        <f>IF($A6="","",IFERROR(INDEX('Usage and Coverage'!$D$6:$D$20,MATCH($N6,'Usage and Coverage'!$C$6:$C$20,0)),"?"))</f>
        <v>0.85</v>
      </c>
      <c r="BH6" s="100">
        <f>IF($A6="","",IFERROR(INDEX('Usage and Coverage'!$C$24:$C$30,MATCH($O6,'Usage and Coverage'!$B$24:$B$30,0)),"?"))</f>
        <v>0.75</v>
      </c>
      <c r="BI6" s="100">
        <f>IF($A6="","",IFERROR(INDEX('Usage and Coverage'!$C$34:$C$40,MATCH($P6,'Usage and Coverage'!$B$34:$B$40,0)),"?"))</f>
        <v>0.85</v>
      </c>
      <c r="BJ6" s="100">
        <f>IF($A6="","",IFERROR(INDEX('Usage and Coverage'!$C$44:$C$49,MATCH($Q6,'Usage and Coverage'!$B$44:$B$49,0)),"?"))</f>
        <v>0.85</v>
      </c>
      <c r="BK6" s="100">
        <f>IF($A6="","",IFERROR(INDEX(Deductibles!$C$6:$I$15,MATCH($W6,Deductibles!$B$6:$B$15,0),MATCH(MAX($J6,'Technical Premium'!$C$18),'Base Rates'!$C$3:$I$3,1)),"?"))</f>
        <v>0.78</v>
      </c>
      <c r="BL6" s="100">
        <f>IF($A6="","",IFERROR(INDEX('Usage and Coverage'!$C$63:$C$66,MATCH($X6,'Usage and Coverage'!$B$63:$B$66,0)),"?"))</f>
        <v>1.06</v>
      </c>
      <c r="BM6" s="100">
        <f>IF($A6="","",IFERROR(INDEX('Usage and Coverage'!$C$70:$C$75,MATCH($V6,'Usage and Coverage'!$B$70:$B$75,0)),"?"))</f>
        <v>0.82</v>
      </c>
      <c r="BN6" s="99">
        <f>IF($A6="","",IF($AB6="",1,IFERROR(INDEX(Deductibles!$C$48:$C$51,MATCH($AB6,Deductibles!$B$48:$B$51,0)),"?")))</f>
        <v>1</v>
      </c>
      <c r="BO6" s="99">
        <f>IF($A6="","",IF($AC6="",1,IFERROR(INDEX(Deductibles!$C$55:$C$57,MATCH($AC6,Deductibles!$B$55:$B$57,0)),"?")))</f>
        <v>1</v>
      </c>
      <c r="BP6" s="99">
        <f>IF($A6="","",IF($AD6="",1,IFERROR(INDEX(Deductibles!$C$61:$C$63,MATCH($AD6,Deductibles!$B$61:$B$63,0)),"?")))</f>
        <v>1</v>
      </c>
      <c r="BQ6" s="99">
        <f>IF($A6="","",IF($AE6="",1,IFERROR(INDEX(Deductibles!$C$67:$C$69,MATCH($AE6,Deductibles!$B$67:$B$69,0)),"?")))</f>
        <v>1</v>
      </c>
      <c r="BR6" s="99">
        <f>IF($A6="","",IF($AF6="",1,IFERROR(INDEX(Deductibles!$C$73:$C$74,MATCH($AF6,Deductibles!$B$73:$B$74,0)),"?")))</f>
        <v>1</v>
      </c>
      <c r="BS6" s="99">
        <f>IF($A6="","",IF($AG6="",1,IFERROR(INDEX('Sublimits and Parts'!$C$49:$C$52,MATCH($AG6,'Sublimits and Parts'!$B$49:$B$52,0)),"?")))</f>
        <v>1</v>
      </c>
      <c r="BT6" s="100">
        <f>IF($A6="","",IF($AH6="",1,IFERROR(INDEX('Sublimits and Parts'!$C$56:$C$60,MATCH($AH6,'Sublimits and Parts'!$B$56:$B$60,0)),"?")))</f>
        <v>1.0349999999999999</v>
      </c>
      <c r="BU6" s="99">
        <f>IF($A6="","",IF($AI6="",1,IFERROR(INDEX('Sublimits and Parts'!$C$64:$C$67,MATCH($AI6,'Sublimits and Parts'!$B$64:$B$67,0)),"?")))</f>
        <v>1</v>
      </c>
      <c r="BV6" s="99">
        <f>IF($A6="","",IF($AJ6="",1,IFERROR(INDEX('Sublimits and Parts'!$C$71:$C$74,MATCH($AJ6,'Sublimits and Parts'!$B$71:$B$74,0)),"?")))</f>
        <v>1</v>
      </c>
      <c r="BW6" s="99">
        <f>IF($A6="","",IF($AK6="",1,IFERROR(INDEX('Sublimits and Parts'!$C$78:$C$80,MATCH($AK6,'Sublimits and Parts'!$B$78:$B$80,0)),"?")))</f>
        <v>1</v>
      </c>
      <c r="BX6" s="100">
        <f>IF($A6="","",IF($AL6="",1,IFERROR(INDEX('Sublimits and Parts'!$C$84:$C$87,MATCH($AL6,'Sublimits and Parts'!$B$84:$B$87,0)),"?")))</f>
        <v>1.1000000000000001</v>
      </c>
      <c r="BY6" s="99">
        <f>IF($A6="","",IF($AM6="",1,IFERROR(INDEX('Sublimits and Parts'!$C$91:$C$94,MATCH($AM6,'Sublimits and Parts'!$B$91:$B$94,0)),"?")))</f>
        <v>1</v>
      </c>
      <c r="BZ6" s="100">
        <f>IF($A6="","",IF($AN6="",1,IFERROR(INDEX('Sublimits and Parts'!$C$98:$C$101,MATCH($AN6,'Sublimits and Parts'!$B$98:$B$101,0)),"?")))</f>
        <v>1.0449999999999999</v>
      </c>
      <c r="CA6" s="100">
        <f>IF($A6="","",IF($AO6="",1,IFERROR(INDEX('Sublimits and Parts'!$C$105:$C$109,MATCH($AO6,'Sublimits and Parts'!$B$105:$B$109,0)),"?")))</f>
        <v>1.03</v>
      </c>
      <c r="CB6" s="100">
        <f t="shared" si="2"/>
        <v>0.52597543456047924</v>
      </c>
      <c r="CC6" s="100">
        <f t="shared" si="3"/>
        <v>1.2254244750000001</v>
      </c>
      <c r="CD6" s="103">
        <f>IF($A6="","",IF(OR($CB6="?",$CC6="?"),"?",MIN($CB6*$CC6,'Technical Premium'!$C$17)))</f>
        <v>0.64454317075917211</v>
      </c>
      <c r="CE6" s="102">
        <f t="shared" si="4"/>
        <v>19026.914400810761</v>
      </c>
      <c r="CF6" s="102">
        <f>IF($A6="","",IFERROR(INDEX('Territory Factors'!$F$6:$F$56,MATCH($K6,'Territory Factors'!$B$6:$B$56,0)),"?"))</f>
        <v>520</v>
      </c>
      <c r="CG6" s="100">
        <f>IF($A6="","",IFERROR(INDEX('Usage and Coverage'!$C$79:$C$84,MATCH($Y6,'Usage and Coverage'!$B$79:$B$84,0)),"?"))</f>
        <v>2.0499999999999998</v>
      </c>
      <c r="CH6" s="102">
        <f>IFERROR(IF(ISNUMBER($CD6),$CF6*$CG6*MIN($BG6*$BA6*$BC6*$BD6*$BH6*$BF6,'Technical Premium'!$C$17),""),"")</f>
        <v>681.61372499999982</v>
      </c>
      <c r="CI6" s="102">
        <f t="shared" si="5"/>
        <v>19708.528125810761</v>
      </c>
      <c r="CJ6" s="102">
        <f>IFERROR($CI6*(1+'Technical Premium'!$C$5)*(1+'Technical Premium'!$C$6),"")</f>
        <v>22349.470894669405</v>
      </c>
      <c r="CK6" s="102">
        <f>IFERROR($CE6*INDEX('Territory Factors'!$G$6:$G$56,MATCH($K6,'Territory Factors'!$B$6:$B$56,0))*$AU6*$AV6,"")</f>
        <v>1027.4533776437811</v>
      </c>
      <c r="CL6" s="102">
        <f>IFERROR(($CJ6+$CK6)*(1+'Technical Premium'!$C$7),"")</f>
        <v>25130.193592736676</v>
      </c>
      <c r="CM6" s="104">
        <f>IFERROR($CL6/'Technical Premium'!$C$13,"")</f>
        <v>43327.919987477027</v>
      </c>
      <c r="CN6" s="105">
        <f t="shared" si="6"/>
        <v>1.2035533329854731</v>
      </c>
      <c r="CO6" s="104">
        <f t="shared" si="7"/>
        <v>43327.919987477027</v>
      </c>
      <c r="CP6" s="105">
        <f t="shared" si="8"/>
        <v>1.2035533329854731</v>
      </c>
      <c r="CQ6" s="106">
        <f t="shared" si="9"/>
        <v>1</v>
      </c>
      <c r="CR6" s="102">
        <f>IF(ISNUMBER($CM6),'Technical Premium'!$C$14+IF($J6&gt;=1000000,'Technical Premium'!$C$15,0),"")</f>
        <v>600</v>
      </c>
      <c r="CS6" s="102">
        <f>IFERROR(($CO6+$CR6)*(INDEX('Territory Factors'!$K$6:$K$56,MATCH($K6,'Territory Factors'!$B$6:$B$56,0))+'Commission Structure'!$C$21),"")</f>
        <v>1396.9078556017696</v>
      </c>
      <c r="CT6" s="104">
        <f t="shared" si="10"/>
        <v>45324.827843078798</v>
      </c>
      <c r="CU6" s="102">
        <f>IFERROR($CO6*('Commission Structure'!$C$6+'Commission Structure'!$C$7),"")</f>
        <v>5415.9899984346284</v>
      </c>
      <c r="CV6" s="102">
        <f>IFERROR($CO6*'Commission Structure'!$C$5-$CU6,"")</f>
        <v>5415.9899984346284</v>
      </c>
      <c r="CW6" s="102">
        <f>IFERROR($CO6*(1-'Commission Structure'!$C$5),"")</f>
        <v>32495.939990607771</v>
      </c>
      <c r="CX6" s="107"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8">
        <f t="shared" si="11"/>
        <v>0</v>
      </c>
      <c r="CZ6" s="99" t="str">
        <f>IF($CY6="","",IF($CY6&lt;'Technical Premium'!$C$19,"BEYOND AUTHORITY",IF($CY6&gt;0.005,"Above technical",IF($CY6&lt;-0.005,"BELOW technical","At technical"))))</f>
        <v>At technical</v>
      </c>
      <c r="DA6" s="99"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4"/>
      <c r="DC6" s="94"/>
      <c r="DD6" s="95"/>
      <c r="DE6" s="94"/>
      <c r="DF6" s="94"/>
      <c r="DG6" s="99" t="str">
        <f t="shared" si="12"/>
        <v>NO - AWAITING APPROVAL</v>
      </c>
      <c r="DH6" s="99">
        <f>IF($A6="","",IF(OR($CX6="REFER",$CX6="DECLINE"),COUNTIF($CX$5:$CX6,"REFER")+COUNTIF($CX$5:$CX6,"DECLINE"),""))</f>
        <v>1</v>
      </c>
      <c r="DI6" s="94"/>
    </row>
    <row r="7" spans="1:113" x14ac:dyDescent="0.35">
      <c r="A7" s="94" t="s">
        <v>525</v>
      </c>
      <c r="B7" s="94" t="s">
        <v>503</v>
      </c>
      <c r="C7" s="95">
        <v>46143</v>
      </c>
      <c r="D7" s="95">
        <v>46631</v>
      </c>
      <c r="E7" s="96">
        <v>1965</v>
      </c>
      <c r="F7" s="94" t="s">
        <v>526</v>
      </c>
      <c r="G7" s="94" t="s">
        <v>527</v>
      </c>
      <c r="H7" s="94" t="s">
        <v>528</v>
      </c>
      <c r="I7" s="94" t="s">
        <v>529</v>
      </c>
      <c r="J7" s="97">
        <v>1450000</v>
      </c>
      <c r="K7" s="94" t="s">
        <v>508</v>
      </c>
      <c r="L7" s="94" t="s">
        <v>509</v>
      </c>
      <c r="M7" s="94" t="s">
        <v>179</v>
      </c>
      <c r="N7" s="94" t="s">
        <v>530</v>
      </c>
      <c r="O7" s="94" t="s">
        <v>531</v>
      </c>
      <c r="P7" s="94" t="s">
        <v>512</v>
      </c>
      <c r="Q7" s="94" t="s">
        <v>191</v>
      </c>
      <c r="R7" s="94" t="s">
        <v>514</v>
      </c>
      <c r="S7" s="94" t="s">
        <v>515</v>
      </c>
      <c r="T7" s="94" t="s">
        <v>200</v>
      </c>
      <c r="U7" s="94" t="s">
        <v>516</v>
      </c>
      <c r="V7" s="94" t="s">
        <v>517</v>
      </c>
      <c r="W7" s="94" t="s">
        <v>237</v>
      </c>
      <c r="X7" s="94" t="s">
        <v>518</v>
      </c>
      <c r="Y7" s="94" t="s">
        <v>532</v>
      </c>
      <c r="Z7" s="94" t="s">
        <v>520</v>
      </c>
      <c r="AA7" s="94" t="s">
        <v>533</v>
      </c>
      <c r="AB7" s="94"/>
      <c r="AC7" s="94"/>
      <c r="AD7" s="94"/>
      <c r="AE7" s="94"/>
      <c r="AF7" s="94"/>
      <c r="AG7" s="94"/>
      <c r="AH7" s="94"/>
      <c r="AI7" s="94"/>
      <c r="AJ7" s="94"/>
      <c r="AK7" s="94"/>
      <c r="AL7" s="94"/>
      <c r="AM7" s="94"/>
      <c r="AN7" s="94"/>
      <c r="AO7" s="94"/>
      <c r="AP7" s="94"/>
      <c r="AQ7" s="98">
        <v>-0.08</v>
      </c>
      <c r="AR7" s="99" t="str">
        <f t="shared" si="0"/>
        <v>852</v>
      </c>
      <c r="AS7" s="99" t="str">
        <f>IF($A7="","",IF($AP7&lt;&gt;"",$AP7,IFERROR(INDEX('Cat Zone by ZIP'!$D$6:$D$856,MATCH($AR7,'Cat Zone by ZIP'!$B$6:$B$856,0)),IFERROR(INDEX('Cat Zone by ZIP'!$C$860:$C$910,MATCH($K7,'Cat Zone by ZIP'!$B$860:$B$910,0)),"NOT FOUND"))))</f>
        <v>Severe convective - hail / tornado (moderate)</v>
      </c>
      <c r="AT7" s="99" t="str">
        <f>IF($A7="","",IF($AP7&lt;&gt;"","Override",IF(ISNUMBER(MATCH($AR7,'Cat Zone by ZIP'!$B$6:$B$856,0)),"ZIP-3","State default")))</f>
        <v>ZIP-3</v>
      </c>
      <c r="AU7" s="100">
        <f>IF($A7="","",IFERROR(INDEX('Natural Catastrophe'!$D$6:$D$17,MATCH($AS7,'Natural Catastrophe'!$B$6:$B$17,0)),"?"))</f>
        <v>1.5</v>
      </c>
      <c r="AV7" s="100">
        <f>IF($A7="","",IFERROR(INDEX('Natural Catastrophe'!$C$21:$C$26,MATCH($AA7,'Natural Catastrophe'!$B$21:$B$26,0)),"?"))</f>
        <v>0.9</v>
      </c>
      <c r="AW7" s="99" t="str">
        <f>IF($A7="","",IFERROR(INDEX('Base Rates'!$C$4:$I$4,MATCH(MAX($J7,'Technical Premium'!$C$18),'Base Rates'!$C$3:$I$3,1)),"?"))</f>
        <v>$1.0M - $2.0M</v>
      </c>
      <c r="AX7" s="101">
        <f>IF($A7="","",IFERROR(INDEX('Base Rates'!$C$5:$I$16,MATCH($I7,'Base Rates'!$B$5:$B$16,0),MATCH(MAX($J7,'Technical Premium'!$C$18),'Base Rates'!$C$3:$I$3,1)),"?"))</f>
        <v>0.38</v>
      </c>
      <c r="AY7" s="102">
        <f t="shared" si="1"/>
        <v>5510</v>
      </c>
      <c r="AZ7" s="100">
        <f>IF($A7="","",IFERROR(INDEX('Make Factors'!$G$5:$G$69,MATCH($F7,'Make Factors'!$B$5:$B$69,0)),"?"))</f>
        <v>1.1870000000000001</v>
      </c>
      <c r="BA7" s="100">
        <f>IF($A7="","",IFERROR(INDEX('Driver Factors'!$C$6:$C$15,MATCH($R7,'Driver Factors'!$B$6:$B$15,0)),"?"))</f>
        <v>1</v>
      </c>
      <c r="BB7" s="100">
        <f>IF($A7="","",IFERROR(INDEX('Driver Factors'!$C$19:$C$24,MATCH($S7,'Driver Factors'!$B$19:$B$24,0)),"?"))</f>
        <v>0.95</v>
      </c>
      <c r="BC7" s="100">
        <f>IF($A7="","",IFERROR(INDEX('Driver Factors'!$C$28:$C$36,MATCH($T7,'Driver Factors'!$B$28:$B$36,0)),"?"))</f>
        <v>1</v>
      </c>
      <c r="BD7" s="100">
        <f>IF($A7="","",IFERROR(INDEX('Claims History'!$C$6:$C$15,MATCH($U7,'Claims History'!$B$6:$B$15,0)),"?"))</f>
        <v>0.85</v>
      </c>
      <c r="BE7" s="100">
        <f>IF($A7="","",IFERROR(INDEX('Territory Factors'!$E$6:$E$56,MATCH($K7,'Territory Factors'!$B$6:$B$56,0)),"?"))</f>
        <v>1.1000000000000001</v>
      </c>
      <c r="BF7" s="100">
        <f>IF($A7="","",IFERROR(INDEX('City Accident Ratings'!$G$6:$G$54,MATCH($Z7,'City Accident Ratings'!$B$6:$B$54,0)),"?"))</f>
        <v>1.18</v>
      </c>
      <c r="BG7" s="100">
        <f>IF($A7="","",IFERROR(INDEX('Usage and Coverage'!$D$6:$D$20,MATCH($N7,'Usage and Coverage'!$C$6:$C$20,0)),"?"))</f>
        <v>1.05</v>
      </c>
      <c r="BH7" s="100">
        <f>IF($A7="","",IFERROR(INDEX('Usage and Coverage'!$C$24:$C$30,MATCH($O7,'Usage and Coverage'!$B$24:$B$30,0)),"?"))</f>
        <v>0.85</v>
      </c>
      <c r="BI7" s="100">
        <f>IF($A7="","",IFERROR(INDEX('Usage and Coverage'!$C$34:$C$40,MATCH($P7,'Usage and Coverage'!$B$34:$B$40,0)),"?"))</f>
        <v>0.85</v>
      </c>
      <c r="BJ7" s="100">
        <f>IF($A7="","",IFERROR(INDEX('Usage and Coverage'!$C$44:$C$49,MATCH($Q7,'Usage and Coverage'!$B$44:$B$49,0)),"?"))</f>
        <v>0.9</v>
      </c>
      <c r="BK7" s="100">
        <f>IF($A7="","",IFERROR(INDEX(Deductibles!$C$6:$I$15,MATCH($W7,Deductibles!$B$6:$B$15,0),MATCH(MAX($J7,'Technical Premium'!$C$18),'Base Rates'!$C$3:$I$3,1)),"?"))</f>
        <v>0.87</v>
      </c>
      <c r="BL7" s="100">
        <f>IF($A7="","",IFERROR(INDEX('Usage and Coverage'!$C$63:$C$66,MATCH($X7,'Usage and Coverage'!$B$63:$B$66,0)),"?"))</f>
        <v>1.06</v>
      </c>
      <c r="BM7" s="100">
        <f>IF($A7="","",IFERROR(INDEX('Usage and Coverage'!$C$70:$C$75,MATCH($V7,'Usage and Coverage'!$B$70:$B$75,0)),"?"))</f>
        <v>0.82</v>
      </c>
      <c r="BN7" s="99">
        <f>IF($A7="","",IF($AB7="",1,IFERROR(INDEX(Deductibles!$C$48:$C$51,MATCH($AB7,Deductibles!$B$48:$B$51,0)),"?")))</f>
        <v>1</v>
      </c>
      <c r="BO7" s="99">
        <f>IF($A7="","",IF($AC7="",1,IFERROR(INDEX(Deductibles!$C$55:$C$57,MATCH($AC7,Deductibles!$B$55:$B$57,0)),"?")))</f>
        <v>1</v>
      </c>
      <c r="BP7" s="99">
        <f>IF($A7="","",IF($AD7="",1,IFERROR(INDEX(Deductibles!$C$61:$C$63,MATCH($AD7,Deductibles!$B$61:$B$63,0)),"?")))</f>
        <v>1</v>
      </c>
      <c r="BQ7" s="99">
        <f>IF($A7="","",IF($AE7="",1,IFERROR(INDEX(Deductibles!$C$67:$C$69,MATCH($AE7,Deductibles!$B$67:$B$69,0)),"?")))</f>
        <v>1</v>
      </c>
      <c r="BR7" s="99">
        <f>IF($A7="","",IF($AF7="",1,IFERROR(INDEX(Deductibles!$C$73:$C$74,MATCH($AF7,Deductibles!$B$73:$B$74,0)),"?")))</f>
        <v>1</v>
      </c>
      <c r="BS7" s="99">
        <f>IF($A7="","",IF($AG7="",1,IFERROR(INDEX('Sublimits and Parts'!$C$49:$C$52,MATCH($AG7,'Sublimits and Parts'!$B$49:$B$52,0)),"?")))</f>
        <v>1</v>
      </c>
      <c r="BT7" s="99">
        <f>IF($A7="","",IF($AH7="",1,IFERROR(INDEX('Sublimits and Parts'!$C$56:$C$60,MATCH($AH7,'Sublimits and Parts'!$B$56:$B$60,0)),"?")))</f>
        <v>1</v>
      </c>
      <c r="BU7" s="99">
        <f>IF($A7="","",IF($AI7="",1,IFERROR(INDEX('Sublimits and Parts'!$C$64:$C$67,MATCH($AI7,'Sublimits and Parts'!$B$64:$B$67,0)),"?")))</f>
        <v>1</v>
      </c>
      <c r="BV7" s="99">
        <f>IF($A7="","",IF($AJ7="",1,IFERROR(INDEX('Sublimits and Parts'!$C$71:$C$74,MATCH($AJ7,'Sublimits and Parts'!$B$71:$B$74,0)),"?")))</f>
        <v>1</v>
      </c>
      <c r="BW7" s="99">
        <f>IF($A7="","",IF($AK7="",1,IFERROR(INDEX('Sublimits and Parts'!$C$78:$C$80,MATCH($AK7,'Sublimits and Parts'!$B$78:$B$80,0)),"?")))</f>
        <v>1</v>
      </c>
      <c r="BX7" s="99">
        <f>IF($A7="","",IF($AL7="",1,IFERROR(INDEX('Sublimits and Parts'!$C$84:$C$87,MATCH($AL7,'Sublimits and Parts'!$B$84:$B$87,0)),"?")))</f>
        <v>1</v>
      </c>
      <c r="BY7" s="99">
        <f>IF($A7="","",IF($AM7="",1,IFERROR(INDEX('Sublimits and Parts'!$C$91:$C$94,MATCH($AM7,'Sublimits and Parts'!$B$91:$B$94,0)),"?")))</f>
        <v>1</v>
      </c>
      <c r="BZ7" s="99">
        <f>IF($A7="","",IF($AN7="",1,IFERROR(INDEX('Sublimits and Parts'!$C$98:$C$101,MATCH($AN7,'Sublimits and Parts'!$B$98:$B$101,0)),"?")))</f>
        <v>1</v>
      </c>
      <c r="CA7" s="99">
        <f>IF($A7="","",IF($AO7="",1,IFERROR(INDEX('Sublimits and Parts'!$C$105:$C$109,MATCH($AO7,'Sublimits and Parts'!$B$105:$B$109,0)),"?")))</f>
        <v>1</v>
      </c>
      <c r="CB7" s="100">
        <f t="shared" si="2"/>
        <v>0.64235716488335748</v>
      </c>
      <c r="CC7" s="100">
        <f t="shared" si="3"/>
        <v>1</v>
      </c>
      <c r="CD7" s="103">
        <f>IF($A7="","",IF(OR($CB7="?",$CC7="?"),"?",MIN($CB7*$CC7,'Technical Premium'!$C$17)))</f>
        <v>0.64235716488335748</v>
      </c>
      <c r="CE7" s="102">
        <f t="shared" si="4"/>
        <v>3539.3879785072995</v>
      </c>
      <c r="CF7" s="102">
        <f>IF($A7="","",IFERROR(INDEX('Territory Factors'!$F$6:$F$56,MATCH($K7,'Territory Factors'!$B$6:$B$56,0)),"?"))</f>
        <v>520</v>
      </c>
      <c r="CG7" s="100">
        <f>IF($A7="","",IFERROR(INDEX('Usage and Coverage'!$C$79:$C$84,MATCH($Y7,'Usage and Coverage'!$B$79:$B$84,0)),"?"))</f>
        <v>1.68</v>
      </c>
      <c r="CH7" s="102">
        <f>IFERROR(IF(ISNUMBER($CD7),$CF7*$CG7*MIN($BG7*$BA7*$BC7*$BD7*$BH7*$BF7,'Technical Premium'!$C$17),""),"")</f>
        <v>782.027064</v>
      </c>
      <c r="CI7" s="102">
        <f t="shared" si="5"/>
        <v>4321.4150425072994</v>
      </c>
      <c r="CJ7" s="102">
        <f>IFERROR($CI7*(1+'Technical Premium'!$C$5)*(1+'Technical Premium'!$C$6),"")</f>
        <v>4900.4846582032778</v>
      </c>
      <c r="CK7" s="102">
        <f>IFERROR($CE7*INDEX('Territory Factors'!$G$6:$G$56,MATCH($K7,'Territory Factors'!$B$6:$B$56,0))*$AU7*$AV7,"")</f>
        <v>215.01781969431843</v>
      </c>
      <c r="CL7" s="102">
        <f>IFERROR(($CJ7+$CK7)*(1+'Technical Premium'!$C$7),"")</f>
        <v>5499.1651637399164</v>
      </c>
      <c r="CM7" s="104">
        <f>IFERROR($CL7/'Technical Premium'!$C$13,"")</f>
        <v>9481.3192478274432</v>
      </c>
      <c r="CN7" s="105">
        <f t="shared" si="6"/>
        <v>0.65388408605706505</v>
      </c>
      <c r="CO7" s="104">
        <f t="shared" si="7"/>
        <v>8722.8137080012475</v>
      </c>
      <c r="CP7" s="105">
        <f t="shared" si="8"/>
        <v>0.60157335917249988</v>
      </c>
      <c r="CQ7" s="106">
        <f t="shared" si="9"/>
        <v>0.92</v>
      </c>
      <c r="CR7" s="102">
        <f>IF(ISNUMBER($CM7),'Technical Premium'!$C$14+IF($J7&gt;=1000000,'Technical Premium'!$C$15,0),"")</f>
        <v>600</v>
      </c>
      <c r="CS7" s="102">
        <f>IFERROR(($CO7+$CR7)*(INDEX('Territory Factors'!$K$6:$K$56,MATCH($K7,'Territory Factors'!$B$6:$B$56,0))+'Commission Structure'!$C$21),"")</f>
        <v>296.46547591443971</v>
      </c>
      <c r="CT7" s="104">
        <f t="shared" si="10"/>
        <v>9619.2791839156871</v>
      </c>
      <c r="CU7" s="102">
        <f>IFERROR($CO7*('Commission Structure'!$C$6+'Commission Structure'!$C$7),"")</f>
        <v>1090.3517135001559</v>
      </c>
      <c r="CV7" s="102">
        <f>IFERROR($CO7*'Commission Structure'!$C$5-$CU7,"")</f>
        <v>1090.3517135001559</v>
      </c>
      <c r="CW7" s="102">
        <f>IFERROR($CO7*(1-'Commission Structure'!$C$5),"")</f>
        <v>6542.1102810009361</v>
      </c>
      <c r="CX7" s="107"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8">
        <f t="shared" si="11"/>
        <v>-8.0000000000000071E-2</v>
      </c>
      <c r="CZ7" s="99" t="str">
        <f>IF($CY7="","",IF($CY7&lt;'Technical Premium'!$C$19,"BEYOND AUTHORITY",IF($CY7&gt;0.005,"Above technical",IF($CY7&lt;-0.005,"BELOW technical","At technical"))))</f>
        <v>BELOW technical</v>
      </c>
      <c r="DA7" s="99"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4"/>
      <c r="DC7" s="94"/>
      <c r="DD7" s="95"/>
      <c r="DE7" s="94"/>
      <c r="DF7" s="94"/>
      <c r="DG7" s="99" t="str">
        <f t="shared" si="12"/>
        <v>YES - within authority</v>
      </c>
      <c r="DH7" s="99" t="str">
        <f>IF($A7="","",IF(OR($CX7="REFER",$CX7="DECLINE"),COUNTIF($CX$5:$CX7,"REFER")+COUNTIF($CX$5:$CX7,"DECLINE"),""))</f>
        <v/>
      </c>
      <c r="DI7" s="94"/>
    </row>
    <row r="8" spans="1:113" x14ac:dyDescent="0.35">
      <c r="A8" s="94" t="s">
        <v>534</v>
      </c>
      <c r="B8" s="94" t="s">
        <v>535</v>
      </c>
      <c r="C8" s="95">
        <v>46174</v>
      </c>
      <c r="D8" s="95">
        <v>46631</v>
      </c>
      <c r="E8" s="96">
        <v>2023</v>
      </c>
      <c r="F8" s="94" t="s">
        <v>536</v>
      </c>
      <c r="G8" s="94" t="s">
        <v>537</v>
      </c>
      <c r="H8" s="94" t="s">
        <v>538</v>
      </c>
      <c r="I8" s="94" t="s">
        <v>168</v>
      </c>
      <c r="J8" s="97">
        <v>280000</v>
      </c>
      <c r="K8" s="94" t="s">
        <v>539</v>
      </c>
      <c r="L8" s="94" t="s">
        <v>540</v>
      </c>
      <c r="M8" s="94" t="s">
        <v>541</v>
      </c>
      <c r="N8" s="94" t="s">
        <v>542</v>
      </c>
      <c r="O8" s="94" t="s">
        <v>543</v>
      </c>
      <c r="P8" s="94" t="s">
        <v>544</v>
      </c>
      <c r="Q8" s="94" t="s">
        <v>513</v>
      </c>
      <c r="R8" s="94" t="s">
        <v>545</v>
      </c>
      <c r="S8" s="94" t="s">
        <v>546</v>
      </c>
      <c r="T8" s="94" t="s">
        <v>547</v>
      </c>
      <c r="U8" s="94" t="s">
        <v>548</v>
      </c>
      <c r="V8" s="94" t="s">
        <v>549</v>
      </c>
      <c r="W8" s="94" t="s">
        <v>240</v>
      </c>
      <c r="X8" s="94" t="s">
        <v>550</v>
      </c>
      <c r="Y8" s="94" t="s">
        <v>532</v>
      </c>
      <c r="Z8" s="94" t="s">
        <v>551</v>
      </c>
      <c r="AA8" s="94" t="s">
        <v>552</v>
      </c>
      <c r="AB8" s="94" t="s">
        <v>553</v>
      </c>
      <c r="AC8" s="94"/>
      <c r="AD8" s="94" t="s">
        <v>554</v>
      </c>
      <c r="AE8" s="94"/>
      <c r="AF8" s="94"/>
      <c r="AG8" s="94"/>
      <c r="AH8" s="94"/>
      <c r="AI8" s="94" t="s">
        <v>555</v>
      </c>
      <c r="AJ8" s="94" t="s">
        <v>555</v>
      </c>
      <c r="AK8" s="94"/>
      <c r="AL8" s="94"/>
      <c r="AM8" s="94"/>
      <c r="AN8" s="94" t="s">
        <v>555</v>
      </c>
      <c r="AO8" s="94"/>
      <c r="AP8" s="94"/>
      <c r="AQ8" s="98">
        <v>0.1</v>
      </c>
      <c r="AR8" s="99" t="str">
        <f t="shared" si="0"/>
        <v>891</v>
      </c>
      <c r="AS8" s="99" t="str">
        <f>IF($A8="","",IF($AP8&lt;&gt;"",$AP8,IFERROR(INDEX('Cat Zone by ZIP'!$D$6:$D$856,MATCH($AR8,'Cat Zone by ZIP'!$B$6:$B$856,0)),IFERROR(INDEX('Cat Zone by ZIP'!$C$860:$C$910,MATCH($K8,'Cat Zone by ZIP'!$B$860:$B$910,0)),"NOT FOUND"))))</f>
        <v>Low hazard - inland benign</v>
      </c>
      <c r="AT8" s="99" t="str">
        <f>IF($A8="","",IF($AP8&lt;&gt;"","Override",IF(ISNUMBER(MATCH($AR8,'Cat Zone by ZIP'!$B$6:$B$856,0)),"ZIP-3","State default")))</f>
        <v>ZIP-3</v>
      </c>
      <c r="AU8" s="100">
        <f>IF($A8="","",IFERROR(INDEX('Natural Catastrophe'!$D$6:$D$17,MATCH($AS8,'Natural Catastrophe'!$B$6:$B$17,0)),"?"))</f>
        <v>0.45</v>
      </c>
      <c r="AV8" s="100">
        <f>IF($A8="","",IFERROR(INDEX('Natural Catastrophe'!$C$21:$C$26,MATCH($AA8,'Natural Catastrophe'!$B$21:$B$26,0)),"?"))</f>
        <v>1</v>
      </c>
      <c r="AW8" s="99" t="str">
        <f>IF($A8="","",IFERROR(INDEX('Base Rates'!$C$4:$I$4,MATCH(MAX($J8,'Technical Premium'!$C$18),'Base Rates'!$C$3:$I$3,1)),"?"))</f>
        <v>$250k - $500k</v>
      </c>
      <c r="AX8" s="101">
        <f>IF($A8="","",IFERROR(INDEX('Base Rates'!$C$5:$I$16,MATCH($I8,'Base Rates'!$B$5:$B$16,0),MATCH(MAX($J8,'Technical Premium'!$C$18),'Base Rates'!$C$3:$I$3,1)),"?"))</f>
        <v>1.1499999999999999</v>
      </c>
      <c r="AY8" s="102">
        <f t="shared" si="1"/>
        <v>3219.9999999999995</v>
      </c>
      <c r="AZ8" s="100">
        <f>IF($A8="","",IFERROR(INDEX('Make Factors'!$G$5:$G$69,MATCH($F8,'Make Factors'!$B$5:$B$69,0)),"?"))</f>
        <v>1.127</v>
      </c>
      <c r="BA8" s="100">
        <f>IF($A8="","",IFERROR(INDEX('Driver Factors'!$C$6:$C$15,MATCH($R8,'Driver Factors'!$B$6:$B$15,0)),"?"))</f>
        <v>1.35</v>
      </c>
      <c r="BB8" s="100">
        <f>IF($A8="","",IFERROR(INDEX('Driver Factors'!$C$19:$C$24,MATCH($S8,'Driver Factors'!$B$19:$B$24,0)),"?"))</f>
        <v>1.05</v>
      </c>
      <c r="BC8" s="100">
        <f>IF($A8="","",IFERROR(INDEX('Driver Factors'!$C$28:$C$36,MATCH($T8,'Driver Factors'!$B$28:$B$36,0)),"?"))</f>
        <v>1.1499999999999999</v>
      </c>
      <c r="BD8" s="100">
        <f>IF($A8="","",IFERROR(INDEX('Claims History'!$C$6:$C$15,MATCH($U8,'Claims History'!$B$6:$B$15,0)),"?"))</f>
        <v>1.1000000000000001</v>
      </c>
      <c r="BE8" s="100">
        <f>IF($A8="","",IFERROR(INDEX('Territory Factors'!$E$6:$E$56,MATCH($K8,'Territory Factors'!$B$6:$B$56,0)),"?"))</f>
        <v>1.1499999999999999</v>
      </c>
      <c r="BF8" s="100">
        <f>IF($A8="","",IFERROR(INDEX('City Accident Ratings'!$G$6:$G$54,MATCH($Z8,'City Accident Ratings'!$B$6:$B$54,0)),"?"))</f>
        <v>1.2250000000000001</v>
      </c>
      <c r="BG8" s="100">
        <f>IF($A8="","",IFERROR(INDEX('Usage and Coverage'!$D$6:$D$20,MATCH($N8,'Usage and Coverage'!$C$6:$C$20,0)),"?"))</f>
        <v>2.9</v>
      </c>
      <c r="BH8" s="100">
        <f>IF($A8="","",IFERROR(INDEX('Usage and Coverage'!$C$24:$C$30,MATCH($O8,'Usage and Coverage'!$B$24:$B$30,0)),"?"))</f>
        <v>1.85</v>
      </c>
      <c r="BI8" s="100">
        <f>IF($A8="","",IFERROR(INDEX('Usage and Coverage'!$C$34:$C$40,MATCH($P8,'Usage and Coverage'!$B$34:$B$40,0)),"?"))</f>
        <v>1.05</v>
      </c>
      <c r="BJ8" s="100">
        <f>IF($A8="","",IFERROR(INDEX('Usage and Coverage'!$C$44:$C$49,MATCH($Q8,'Usage and Coverage'!$B$44:$B$49,0)),"?"))</f>
        <v>0.85</v>
      </c>
      <c r="BK8" s="100">
        <f>IF($A8="","",IFERROR(INDEX(Deductibles!$C$6:$I$15,MATCH($W8,Deductibles!$B$6:$B$15,0),MATCH(MAX($J8,'Technical Premium'!$C$18),'Base Rates'!$C$3:$I$3,1)),"?"))</f>
        <v>0.87</v>
      </c>
      <c r="BL8" s="100">
        <f>IF($A8="","",IFERROR(INDEX('Usage and Coverage'!$C$63:$C$66,MATCH($X8,'Usage and Coverage'!$B$63:$B$66,0)),"?"))</f>
        <v>0.92</v>
      </c>
      <c r="BM8" s="100">
        <f>IF($A8="","",IFERROR(INDEX('Usage and Coverage'!$C$70:$C$75,MATCH($V8,'Usage and Coverage'!$B$70:$B$75,0)),"?"))</f>
        <v>0.86</v>
      </c>
      <c r="BN8" s="100">
        <f>IF($A8="","",IF($AB8="",1,IFERROR(INDEX(Deductibles!$C$48:$C$51,MATCH($AB8,Deductibles!$B$48:$B$51,0)),"?")))</f>
        <v>0.97499999999999998</v>
      </c>
      <c r="BO8" s="99">
        <f>IF($A8="","",IF($AC8="",1,IFERROR(INDEX(Deductibles!$C$55:$C$57,MATCH($AC8,Deductibles!$B$55:$B$57,0)),"?")))</f>
        <v>1</v>
      </c>
      <c r="BP8" s="100">
        <f>IF($A8="","",IF($AD8="",1,IFERROR(INDEX(Deductibles!$C$61:$C$63,MATCH($AD8,Deductibles!$B$61:$B$63,0)),"?")))</f>
        <v>0.97499999999999998</v>
      </c>
      <c r="BQ8" s="99">
        <f>IF($A8="","",IF($AE8="",1,IFERROR(INDEX(Deductibles!$C$67:$C$69,MATCH($AE8,Deductibles!$B$67:$B$69,0)),"?")))</f>
        <v>1</v>
      </c>
      <c r="BR8" s="99">
        <f>IF($A8="","",IF($AF8="",1,IFERROR(INDEX(Deductibles!$C$73:$C$74,MATCH($AF8,Deductibles!$B$73:$B$74,0)),"?")))</f>
        <v>1</v>
      </c>
      <c r="BS8" s="99">
        <f>IF($A8="","",IF($AG8="",1,IFERROR(INDEX('Sublimits and Parts'!$C$49:$C$52,MATCH($AG8,'Sublimits and Parts'!$B$49:$B$52,0)),"?")))</f>
        <v>1</v>
      </c>
      <c r="BT8" s="99">
        <f>IF($A8="","",IF($AH8="",1,IFERROR(INDEX('Sublimits and Parts'!$C$56:$C$60,MATCH($AH8,'Sublimits and Parts'!$B$56:$B$60,0)),"?")))</f>
        <v>1</v>
      </c>
      <c r="BU8" s="100">
        <f>IF($A8="","",IF($AI8="",1,IFERROR(INDEX('Sublimits and Parts'!$C$64:$C$67,MATCH($AI8,'Sublimits and Parts'!$B$64:$B$67,0)),"?")))</f>
        <v>0.997</v>
      </c>
      <c r="BV8" s="100">
        <f>IF($A8="","",IF($AJ8="",1,IFERROR(INDEX('Sublimits and Parts'!$C$71:$C$74,MATCH($AJ8,'Sublimits and Parts'!$B$71:$B$74,0)),"?")))</f>
        <v>0.98499999999999999</v>
      </c>
      <c r="BW8" s="99">
        <f>IF($A8="","",IF($AK8="",1,IFERROR(INDEX('Sublimits and Parts'!$C$78:$C$80,MATCH($AK8,'Sublimits and Parts'!$B$78:$B$80,0)),"?")))</f>
        <v>1</v>
      </c>
      <c r="BX8" s="99">
        <f>IF($A8="","",IF($AL8="",1,IFERROR(INDEX('Sublimits and Parts'!$C$84:$C$87,MATCH($AL8,'Sublimits and Parts'!$B$84:$B$87,0)),"?")))</f>
        <v>1</v>
      </c>
      <c r="BY8" s="99">
        <f>IF($A8="","",IF($AM8="",1,IFERROR(INDEX('Sublimits and Parts'!$C$91:$C$94,MATCH($AM8,'Sublimits and Parts'!$B$91:$B$94,0)),"?")))</f>
        <v>1</v>
      </c>
      <c r="BZ8" s="100">
        <f>IF($A8="","",IF($AN8="",1,IFERROR(INDEX('Sublimits and Parts'!$C$98:$C$101,MATCH($AN8,'Sublimits and Parts'!$B$98:$B$101,0)),"?")))</f>
        <v>0.96</v>
      </c>
      <c r="CA8" s="99">
        <f>IF($A8="","",IF($AO8="",1,IFERROR(INDEX('Sublimits and Parts'!$C$105:$C$109,MATCH($AO8,'Sublimits and Parts'!$B$105:$B$109,0)),"?")))</f>
        <v>1</v>
      </c>
      <c r="CB8" s="100">
        <f t="shared" si="2"/>
        <v>9.3832852819536914</v>
      </c>
      <c r="CC8" s="100">
        <f t="shared" si="3"/>
        <v>0.89621426699999995</v>
      </c>
      <c r="CD8" s="103">
        <f>IF($A8="","",IF(OR($CB8="?",$CC8="?"),"?",MIN($CB8*$CC8,'Technical Premium'!$C$17)))</f>
        <v>5</v>
      </c>
      <c r="CE8" s="102">
        <f t="shared" si="4"/>
        <v>16099.999999999998</v>
      </c>
      <c r="CF8" s="102">
        <f>IF($A8="","",IFERROR(INDEX('Territory Factors'!$F$6:$F$56,MATCH($K8,'Territory Factors'!$B$6:$B$56,0)),"?"))</f>
        <v>560</v>
      </c>
      <c r="CG8" s="100">
        <f>IF($A8="","",IFERROR(INDEX('Usage and Coverage'!$C$79:$C$84,MATCH($Y8,'Usage and Coverage'!$B$79:$B$84,0)),"?"))</f>
        <v>1.68</v>
      </c>
      <c r="CH8" s="102">
        <f>IFERROR(IF(ISNUMBER($CD8),$CF8*$CG8*MIN($BG8*$BA8*$BC8*$BD8*$BH8*$BF8,'Technical Premium'!$C$17),""),"")</f>
        <v>4704</v>
      </c>
      <c r="CI8" s="102">
        <f t="shared" si="5"/>
        <v>20804</v>
      </c>
      <c r="CJ8" s="102">
        <f>IFERROR($CI8*(1+'Technical Premium'!$C$5)*(1+'Technical Premium'!$C$6),"")</f>
        <v>23591.736000000001</v>
      </c>
      <c r="CK8" s="102">
        <f>IFERROR($CE8*INDEX('Territory Factors'!$G$6:$G$56,MATCH($K8,'Territory Factors'!$B$6:$B$56,0))*$AU8*$AV8,"")</f>
        <v>253.57500000000002</v>
      </c>
      <c r="CL8" s="102">
        <f>IFERROR(($CJ8+$CK8)*(1+'Technical Premium'!$C$7),"")</f>
        <v>25633.709325</v>
      </c>
      <c r="CM8" s="104">
        <f>IFERROR($CL8/'Technical Premium'!$C$13,"")</f>
        <v>44196.050560344833</v>
      </c>
      <c r="CN8" s="105">
        <f t="shared" si="6"/>
        <v>15.784303771551725</v>
      </c>
      <c r="CO8" s="104">
        <f t="shared" si="7"/>
        <v>48615.655616379321</v>
      </c>
      <c r="CP8" s="105">
        <f t="shared" si="8"/>
        <v>17.362734148706902</v>
      </c>
      <c r="CQ8" s="106">
        <f t="shared" si="9"/>
        <v>1.1000000000000003</v>
      </c>
      <c r="CR8" s="102">
        <f>IF(ISNUMBER($CM8),'Technical Premium'!$C$14+IF($J8&gt;=1000000,'Technical Premium'!$C$15,0),"")</f>
        <v>350</v>
      </c>
      <c r="CS8" s="102">
        <f>IFERROR(($CO8+$CR8)*(INDEX('Territory Factors'!$K$6:$K$56,MATCH($K8,'Territory Factors'!$B$6:$B$56,0))+'Commission Structure'!$C$21),"")</f>
        <v>1801.9361266827593</v>
      </c>
      <c r="CT8" s="104">
        <f t="shared" si="10"/>
        <v>50767.591743062083</v>
      </c>
      <c r="CU8" s="102">
        <f>IFERROR($CO8*('Commission Structure'!$C$6+'Commission Structure'!$C$7),"")</f>
        <v>6076.9569520474151</v>
      </c>
      <c r="CV8" s="102">
        <f>IFERROR($CO8*'Commission Structure'!$C$5-$CU8,"")</f>
        <v>6076.9569520474151</v>
      </c>
      <c r="CW8" s="102">
        <f>IFERROR($CO8*(1-'Commission Structure'!$C$5),"")</f>
        <v>36461.741712284493</v>
      </c>
      <c r="CX8" s="107"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8">
        <f t="shared" si="11"/>
        <v>0.10000000000000009</v>
      </c>
      <c r="CZ8" s="99" t="str">
        <f>IF($CY8="","",IF($CY8&lt;'Technical Premium'!$C$19,"BEYOND AUTHORITY",IF($CY8&gt;0.005,"Above technical",IF($CY8&lt;-0.005,"BELOW technical","At technical"))))</f>
        <v>Above technical</v>
      </c>
      <c r="DA8" s="99"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4"/>
      <c r="DC8" s="94"/>
      <c r="DD8" s="95"/>
      <c r="DE8" s="94"/>
      <c r="DF8" s="94"/>
      <c r="DG8" s="99" t="str">
        <f t="shared" si="12"/>
        <v>NO - AWAITING APPROVAL</v>
      </c>
      <c r="DH8" s="99">
        <f>IF($A8="","",IF(OR($CX8="REFER",$CX8="DECLINE"),COUNTIF($CX$5:$CX8,"REFER")+COUNTIF($CX$5:$CX8,"DECLINE"),""))</f>
        <v>2</v>
      </c>
      <c r="DI8" s="94"/>
    </row>
    <row r="9" spans="1:113" x14ac:dyDescent="0.35">
      <c r="A9" s="94" t="s">
        <v>556</v>
      </c>
      <c r="B9" s="94" t="s">
        <v>557</v>
      </c>
      <c r="C9" s="95">
        <v>46204</v>
      </c>
      <c r="D9" s="95">
        <v>46631</v>
      </c>
      <c r="E9" s="96">
        <v>2017</v>
      </c>
      <c r="F9" s="94" t="s">
        <v>558</v>
      </c>
      <c r="G9" s="94" t="s">
        <v>559</v>
      </c>
      <c r="H9" s="94" t="s">
        <v>560</v>
      </c>
      <c r="I9" s="94" t="s">
        <v>561</v>
      </c>
      <c r="J9" s="97">
        <v>185000</v>
      </c>
      <c r="K9" s="94" t="s">
        <v>562</v>
      </c>
      <c r="L9" s="94" t="s">
        <v>563</v>
      </c>
      <c r="M9" s="94" t="s">
        <v>179</v>
      </c>
      <c r="N9" s="94" t="s">
        <v>510</v>
      </c>
      <c r="O9" s="94" t="s">
        <v>531</v>
      </c>
      <c r="P9" s="94" t="s">
        <v>188</v>
      </c>
      <c r="Q9" s="94" t="s">
        <v>191</v>
      </c>
      <c r="R9" s="94" t="s">
        <v>564</v>
      </c>
      <c r="S9" s="94" t="s">
        <v>565</v>
      </c>
      <c r="T9" s="94" t="s">
        <v>200</v>
      </c>
      <c r="U9" s="94" t="s">
        <v>203</v>
      </c>
      <c r="V9" s="94" t="s">
        <v>206</v>
      </c>
      <c r="W9" s="94" t="s">
        <v>209</v>
      </c>
      <c r="X9" s="94" t="s">
        <v>212</v>
      </c>
      <c r="Y9" s="94" t="s">
        <v>214</v>
      </c>
      <c r="Z9" s="94" t="s">
        <v>566</v>
      </c>
      <c r="AA9" s="94" t="s">
        <v>552</v>
      </c>
      <c r="AB9" s="94"/>
      <c r="AC9" s="94"/>
      <c r="AD9" s="94"/>
      <c r="AE9" s="94"/>
      <c r="AF9" s="94"/>
      <c r="AG9" s="94"/>
      <c r="AH9" s="94"/>
      <c r="AI9" s="94"/>
      <c r="AJ9" s="94"/>
      <c r="AK9" s="94"/>
      <c r="AL9" s="94"/>
      <c r="AM9" s="94"/>
      <c r="AN9" s="94"/>
      <c r="AO9" s="94"/>
      <c r="AP9" s="94"/>
      <c r="AQ9" s="98">
        <v>-0.12</v>
      </c>
      <c r="AR9" s="99" t="str">
        <f t="shared" si="0"/>
        <v>029</v>
      </c>
      <c r="AS9" s="99" t="str">
        <f>IF($A9="","",IF($AP9&lt;&gt;"",$AP9,IFERROR(INDEX('Cat Zone by ZIP'!$D$6:$D$856,MATCH($AR9,'Cat Zone by ZIP'!$B$6:$B$856,0)),IFERROR(INDEX('Cat Zone by ZIP'!$C$860:$C$910,MATCH($K9,'Cat Zone by ZIP'!$B$860:$B$910,0)),"NOT FOUND"))))</f>
        <v>Tier 2 - Coastal wind (1-25 miles)</v>
      </c>
      <c r="AT9" s="99" t="str">
        <f>IF($A9="","",IF($AP9&lt;&gt;"","Override",IF(ISNUMBER(MATCH($AR9,'Cat Zone by ZIP'!$B$6:$B$856,0)),"ZIP-3","State default")))</f>
        <v>ZIP-3</v>
      </c>
      <c r="AU9" s="100">
        <f>IF($A9="","",IFERROR(INDEX('Natural Catastrophe'!$D$6:$D$17,MATCH($AS9,'Natural Catastrophe'!$B$6:$B$17,0)),"?"))</f>
        <v>2.1</v>
      </c>
      <c r="AV9" s="100">
        <f>IF($A9="","",IFERROR(INDEX('Natural Catastrophe'!$C$21:$C$26,MATCH($AA9,'Natural Catastrophe'!$B$21:$B$26,0)),"?"))</f>
        <v>1</v>
      </c>
      <c r="AW9" s="99" t="str">
        <f>IF($A9="","",IFERROR(INDEX('Base Rates'!$C$4:$I$4,MATCH(MAX($J9,'Technical Premium'!$C$18),'Base Rates'!$C$3:$I$3,1)),"?"))</f>
        <v>$100k - $250k</v>
      </c>
      <c r="AX9" s="101">
        <f>IF($A9="","",IFERROR(INDEX('Base Rates'!$C$5:$I$16,MATCH($I9,'Base Rates'!$B$5:$B$16,0),MATCH(MAX($J9,'Technical Premium'!$C$18),'Base Rates'!$C$3:$I$3,1)),"?"))</f>
        <v>1.18</v>
      </c>
      <c r="AY9" s="102">
        <f t="shared" si="1"/>
        <v>2183</v>
      </c>
      <c r="AZ9" s="100">
        <f>IF($A9="","",IFERROR(INDEX('Make Factors'!$G$5:$G$69,MATCH($F9,'Make Factors'!$B$5:$B$69,0)),"?"))</f>
        <v>0.80500000000000005</v>
      </c>
      <c r="BA9" s="100">
        <f>IF($A9="","",IFERROR(INDEX('Driver Factors'!$C$6:$C$15,MATCH($R9,'Driver Factors'!$B$6:$B$15,0)),"?"))</f>
        <v>1.1000000000000001</v>
      </c>
      <c r="BB9" s="100">
        <f>IF($A9="","",IFERROR(INDEX('Driver Factors'!$C$19:$C$24,MATCH($S9,'Driver Factors'!$B$19:$B$24,0)),"?"))</f>
        <v>0.9</v>
      </c>
      <c r="BC9" s="100">
        <f>IF($A9="","",IFERROR(INDEX('Driver Factors'!$C$28:$C$36,MATCH($T9,'Driver Factors'!$B$28:$B$36,0)),"?"))</f>
        <v>1</v>
      </c>
      <c r="BD9" s="100">
        <f>IF($A9="","",IFERROR(INDEX('Claims History'!$C$6:$C$15,MATCH($U9,'Claims History'!$B$6:$B$15,0)),"?"))</f>
        <v>0.9</v>
      </c>
      <c r="BE9" s="100">
        <f>IF($A9="","",IFERROR(INDEX('Territory Factors'!$E$6:$E$56,MATCH($K9,'Territory Factors'!$B$6:$B$56,0)),"?"))</f>
        <v>1.1499999999999999</v>
      </c>
      <c r="BF9" s="100">
        <f>IF($A9="","",IFERROR(INDEX('City Accident Ratings'!$G$6:$G$54,MATCH($Z9,'City Accident Ratings'!$B$6:$B$54,0)),"?"))</f>
        <v>1</v>
      </c>
      <c r="BG9" s="100">
        <f>IF($A9="","",IFERROR(INDEX('Usage and Coverage'!$D$6:$D$20,MATCH($N9,'Usage and Coverage'!$C$6:$C$20,0)),"?"))</f>
        <v>0.85</v>
      </c>
      <c r="BH9" s="100">
        <f>IF($A9="","",IFERROR(INDEX('Usage and Coverage'!$C$24:$C$30,MATCH($O9,'Usage and Coverage'!$B$24:$B$30,0)),"?"))</f>
        <v>0.85</v>
      </c>
      <c r="BI9" s="100">
        <f>IF($A9="","",IFERROR(INDEX('Usage and Coverage'!$C$34:$C$40,MATCH($P9,'Usage and Coverage'!$B$34:$B$40,0)),"?"))</f>
        <v>0.9</v>
      </c>
      <c r="BJ9" s="100">
        <f>IF($A9="","",IFERROR(INDEX('Usage and Coverage'!$C$44:$C$49,MATCH($Q9,'Usage and Coverage'!$B$44:$B$49,0)),"?"))</f>
        <v>0.9</v>
      </c>
      <c r="BK9" s="100">
        <f>IF($A9="","",IFERROR(INDEX(Deductibles!$C$6:$I$15,MATCH($W9,Deductibles!$B$6:$B$15,0),MATCH(MAX($J9,'Technical Premium'!$C$18),'Base Rates'!$C$3:$I$3,1)),"?"))</f>
        <v>0.9</v>
      </c>
      <c r="BL9" s="100">
        <f>IF($A9="","",IFERROR(INDEX('Usage and Coverage'!$C$63:$C$66,MATCH($X9,'Usage and Coverage'!$B$63:$B$66,0)),"?"))</f>
        <v>1</v>
      </c>
      <c r="BM9" s="100">
        <f>IF($A9="","",IFERROR(INDEX('Usage and Coverage'!$C$70:$C$75,MATCH($V9,'Usage and Coverage'!$B$70:$B$75,0)),"?"))</f>
        <v>0.95</v>
      </c>
      <c r="BN9" s="99">
        <f>IF($A9="","",IF($AB9="",1,IFERROR(INDEX(Deductibles!$C$48:$C$51,MATCH($AB9,Deductibles!$B$48:$B$51,0)),"?")))</f>
        <v>1</v>
      </c>
      <c r="BO9" s="99">
        <f>IF($A9="","",IF($AC9="",1,IFERROR(INDEX(Deductibles!$C$55:$C$57,MATCH($AC9,Deductibles!$B$55:$B$57,0)),"?")))</f>
        <v>1</v>
      </c>
      <c r="BP9" s="99">
        <f>IF($A9="","",IF($AD9="",1,IFERROR(INDEX(Deductibles!$C$61:$C$63,MATCH($AD9,Deductibles!$B$61:$B$63,0)),"?")))</f>
        <v>1</v>
      </c>
      <c r="BQ9" s="99">
        <f>IF($A9="","",IF($AE9="",1,IFERROR(INDEX(Deductibles!$C$67:$C$69,MATCH($AE9,Deductibles!$B$67:$B$69,0)),"?")))</f>
        <v>1</v>
      </c>
      <c r="BR9" s="99">
        <f>IF($A9="","",IF($AF9="",1,IFERROR(INDEX(Deductibles!$C$73:$C$74,MATCH($AF9,Deductibles!$B$73:$B$74,0)),"?")))</f>
        <v>1</v>
      </c>
      <c r="BS9" s="99">
        <f>IF($A9="","",IF($AG9="",1,IFERROR(INDEX('Sublimits and Parts'!$C$49:$C$52,MATCH($AG9,'Sublimits and Parts'!$B$49:$B$52,0)),"?")))</f>
        <v>1</v>
      </c>
      <c r="BT9" s="99">
        <f>IF($A9="","",IF($AH9="",1,IFERROR(INDEX('Sublimits and Parts'!$C$56:$C$60,MATCH($AH9,'Sublimits and Parts'!$B$56:$B$60,0)),"?")))</f>
        <v>1</v>
      </c>
      <c r="BU9" s="99">
        <f>IF($A9="","",IF($AI9="",1,IFERROR(INDEX('Sublimits and Parts'!$C$64:$C$67,MATCH($AI9,'Sublimits and Parts'!$B$64:$B$67,0)),"?")))</f>
        <v>1</v>
      </c>
      <c r="BV9" s="99">
        <f>IF($A9="","",IF($AJ9="",1,IFERROR(INDEX('Sublimits and Parts'!$C$71:$C$74,MATCH($AJ9,'Sublimits and Parts'!$B$71:$B$74,0)),"?")))</f>
        <v>1</v>
      </c>
      <c r="BW9" s="99">
        <f>IF($A9="","",IF($AK9="",1,IFERROR(INDEX('Sublimits and Parts'!$C$78:$C$80,MATCH($AK9,'Sublimits and Parts'!$B$78:$B$80,0)),"?")))</f>
        <v>1</v>
      </c>
      <c r="BX9" s="99">
        <f>IF($A9="","",IF($AL9="",1,IFERROR(INDEX('Sublimits and Parts'!$C$84:$C$87,MATCH($AL9,'Sublimits and Parts'!$B$84:$B$87,0)),"?")))</f>
        <v>1</v>
      </c>
      <c r="BY9" s="99">
        <f>IF($A9="","",IF($AM9="",1,IFERROR(INDEX('Sublimits and Parts'!$C$91:$C$94,MATCH($AM9,'Sublimits and Parts'!$B$91:$B$94,0)),"?")))</f>
        <v>1</v>
      </c>
      <c r="BZ9" s="99">
        <f>IF($A9="","",IF($AN9="",1,IFERROR(INDEX('Sublimits and Parts'!$C$98:$C$101,MATCH($AN9,'Sublimits and Parts'!$B$98:$B$101,0)),"?")))</f>
        <v>1</v>
      </c>
      <c r="CA9" s="99">
        <f>IF($A9="","",IF($AO9="",1,IFERROR(INDEX('Sublimits and Parts'!$C$105:$C$109,MATCH($AO9,'Sublimits and Parts'!$B$105:$B$109,0)),"?")))</f>
        <v>1</v>
      </c>
      <c r="CB9" s="100">
        <f t="shared" si="2"/>
        <v>0.41272465178896878</v>
      </c>
      <c r="CC9" s="100">
        <f t="shared" si="3"/>
        <v>1</v>
      </c>
      <c r="CD9" s="103">
        <f>IF($A9="","",IF(OR($CB9="?",$CC9="?"),"?",MIN($CB9*$CC9,'Technical Premium'!$C$17)))</f>
        <v>0.41272465178896878</v>
      </c>
      <c r="CE9" s="102">
        <f t="shared" si="4"/>
        <v>900.97791485531889</v>
      </c>
      <c r="CF9" s="102">
        <f>IF($A9="","",IFERROR(INDEX('Territory Factors'!$F$6:$F$56,MATCH($K9,'Territory Factors'!$B$6:$B$56,0)),"?"))</f>
        <v>600</v>
      </c>
      <c r="CG9" s="100">
        <f>IF($A9="","",IFERROR(INDEX('Usage and Coverage'!$C$79:$C$84,MATCH($Y9,'Usage and Coverage'!$B$79:$B$84,0)),"?"))</f>
        <v>1.42</v>
      </c>
      <c r="CH9" s="102">
        <f>IFERROR(IF(ISNUMBER($CD9),$CF9*$CG9*MIN($BG9*$BA9*$BC9*$BD9*$BH9*$BF9,'Technical Premium'!$C$17),""),"")</f>
        <v>609.41430000000003</v>
      </c>
      <c r="CI9" s="102">
        <f t="shared" si="5"/>
        <v>1510.3922148553188</v>
      </c>
      <c r="CJ9" s="102">
        <f>IFERROR($CI9*(1+'Technical Premium'!$C$5)*(1+'Technical Premium'!$C$6),"")</f>
        <v>1712.7847716459319</v>
      </c>
      <c r="CK9" s="102">
        <f>IFERROR($CE9*INDEX('Territory Factors'!$G$6:$G$56,MATCH($K9,'Territory Factors'!$B$6:$B$56,0))*$AU9*$AV9,"")</f>
        <v>85.14241295382763</v>
      </c>
      <c r="CL9" s="102">
        <f>IFERROR(($CJ9+$CK9)*(1+'Technical Premium'!$C$7),"")</f>
        <v>1932.7717234447414</v>
      </c>
      <c r="CM9" s="104">
        <f>IFERROR($CL9/'Technical Premium'!$C$13,"")</f>
        <v>3332.3650404219679</v>
      </c>
      <c r="CN9" s="105">
        <f t="shared" si="6"/>
        <v>1.8012784002280908</v>
      </c>
      <c r="CO9" s="104">
        <f t="shared" si="7"/>
        <v>2932.4812355713316</v>
      </c>
      <c r="CP9" s="105">
        <f t="shared" si="8"/>
        <v>1.5851249922007198</v>
      </c>
      <c r="CQ9" s="106">
        <f t="shared" si="9"/>
        <v>0.87999999999999989</v>
      </c>
      <c r="CR9" s="102">
        <f>IF(ISNUMBER($CM9),'Technical Premium'!$C$14+IF($J9&gt;=1000000,'Technical Premium'!$C$15,0),"")</f>
        <v>350</v>
      </c>
      <c r="CS9" s="102">
        <f>IFERROR(($CO9+$CR9)*(INDEX('Territory Factors'!$K$6:$K$56,MATCH($K9,'Territory Factors'!$B$6:$B$56,0))+'Commission Structure'!$C$21),"")</f>
        <v>137.20771564688167</v>
      </c>
      <c r="CT9" s="104">
        <f t="shared" si="10"/>
        <v>3419.6889512182133</v>
      </c>
      <c r="CU9" s="102">
        <f>IFERROR($CO9*('Commission Structure'!$C$6+'Commission Structure'!$C$7),"")</f>
        <v>366.56015444641645</v>
      </c>
      <c r="CV9" s="102">
        <f>IFERROR($CO9*'Commission Structure'!$C$5-$CU9,"")</f>
        <v>366.56015444641645</v>
      </c>
      <c r="CW9" s="102">
        <f>IFERROR($CO9*(1-'Commission Structure'!$C$5),"")</f>
        <v>2199.3609266784988</v>
      </c>
      <c r="CX9" s="107"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8">
        <f t="shared" si="11"/>
        <v>-0.12000000000000011</v>
      </c>
      <c r="CZ9" s="99" t="str">
        <f>IF($CY9="","",IF($CY9&lt;'Technical Premium'!$C$19,"BEYOND AUTHORITY",IF($CY9&gt;0.005,"Above technical",IF($CY9&lt;-0.005,"BELOW technical","At technical"))))</f>
        <v>BELOW technical</v>
      </c>
      <c r="DA9" s="99"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4"/>
      <c r="DC9" s="94"/>
      <c r="DD9" s="95"/>
      <c r="DE9" s="94"/>
      <c r="DF9" s="94"/>
      <c r="DG9" s="99" t="str">
        <f t="shared" si="12"/>
        <v>YES - within authority</v>
      </c>
      <c r="DH9" s="99" t="str">
        <f>IF($A9="","",IF(OR($CX9="REFER",$CX9="DECLINE"),COUNTIF($CX$5:$CX9,"REFER")+COUNTIF($CX$5:$CX9,"DECLINE"),""))</f>
        <v/>
      </c>
      <c r="DI9" s="94"/>
    </row>
    <row r="10" spans="1:113" x14ac:dyDescent="0.35">
      <c r="A10" s="94" t="s">
        <v>567</v>
      </c>
      <c r="B10" s="94" t="s">
        <v>568</v>
      </c>
      <c r="C10" s="95">
        <v>46235</v>
      </c>
      <c r="D10" s="95">
        <v>46631</v>
      </c>
      <c r="E10" s="96">
        <v>2022</v>
      </c>
      <c r="F10" s="94" t="s">
        <v>569</v>
      </c>
      <c r="G10" s="94" t="s">
        <v>570</v>
      </c>
      <c r="H10" s="94" t="s">
        <v>571</v>
      </c>
      <c r="I10" s="94" t="s">
        <v>572</v>
      </c>
      <c r="J10" s="97">
        <v>2200000</v>
      </c>
      <c r="K10" s="94" t="s">
        <v>573</v>
      </c>
      <c r="L10" s="94" t="s">
        <v>574</v>
      </c>
      <c r="M10" s="94" t="s">
        <v>179</v>
      </c>
      <c r="N10" s="94" t="s">
        <v>530</v>
      </c>
      <c r="O10" s="94" t="s">
        <v>185</v>
      </c>
      <c r="P10" s="94" t="s">
        <v>188</v>
      </c>
      <c r="Q10" s="94" t="s">
        <v>191</v>
      </c>
      <c r="R10" s="94" t="s">
        <v>564</v>
      </c>
      <c r="S10" s="94" t="s">
        <v>565</v>
      </c>
      <c r="T10" s="94" t="s">
        <v>547</v>
      </c>
      <c r="U10" s="94" t="s">
        <v>203</v>
      </c>
      <c r="V10" s="94" t="s">
        <v>575</v>
      </c>
      <c r="W10" s="94" t="s">
        <v>576</v>
      </c>
      <c r="X10" s="94" t="s">
        <v>518</v>
      </c>
      <c r="Y10" s="94" t="s">
        <v>532</v>
      </c>
      <c r="Z10" s="94" t="s">
        <v>577</v>
      </c>
      <c r="AA10" s="94" t="s">
        <v>220</v>
      </c>
      <c r="AB10" s="94"/>
      <c r="AC10" s="94" t="s">
        <v>578</v>
      </c>
      <c r="AD10" s="94"/>
      <c r="AE10" s="94"/>
      <c r="AF10" s="94"/>
      <c r="AG10" s="94"/>
      <c r="AH10" s="94" t="s">
        <v>246</v>
      </c>
      <c r="AI10" s="94"/>
      <c r="AJ10" s="94"/>
      <c r="AK10" s="94"/>
      <c r="AL10" s="94"/>
      <c r="AM10" s="94" t="s">
        <v>521</v>
      </c>
      <c r="AN10" s="94" t="s">
        <v>523</v>
      </c>
      <c r="AO10" s="94"/>
      <c r="AP10" s="94"/>
      <c r="AQ10" s="98">
        <v>0.05</v>
      </c>
      <c r="AR10" s="99" t="str">
        <f t="shared" si="0"/>
        <v>913</v>
      </c>
      <c r="AS10" s="99" t="str">
        <f>IF($A10="","",IF($AP10&lt;&gt;"",$AP10,IFERROR(INDEX('Cat Zone by ZIP'!$D$6:$D$856,MATCH($AR10,'Cat Zone by ZIP'!$B$6:$B$856,0)),IFERROR(INDEX('Cat Zone by ZIP'!$C$860:$C$910,MATCH($K10,'Cat Zone by ZIP'!$B$860:$B$910,0)),"NOT FOUND"))))</f>
        <v>Wildfire - WUI high hazard</v>
      </c>
      <c r="AT10" s="99" t="str">
        <f>IF($A10="","",IF($AP10&lt;&gt;"","Override",IF(ISNUMBER(MATCH($AR10,'Cat Zone by ZIP'!$B$6:$B$856,0)),"ZIP-3","State default")))</f>
        <v>ZIP-3</v>
      </c>
      <c r="AU10" s="100">
        <f>IF($A10="","",IFERROR(INDEX('Natural Catastrophe'!$D$6:$D$17,MATCH($AS10,'Natural Catastrophe'!$B$6:$B$17,0)),"?"))</f>
        <v>2.6</v>
      </c>
      <c r="AV10" s="100">
        <f>IF($A10="","",IFERROR(INDEX('Natural Catastrophe'!$C$21:$C$26,MATCH($AA10,'Natural Catastrophe'!$B$21:$B$26,0)),"?"))</f>
        <v>0.8</v>
      </c>
      <c r="AW10" s="99" t="str">
        <f>IF($A10="","",IFERROR(INDEX('Base Rates'!$C$4:$I$4,MATCH(MAX($J10,'Technical Premium'!$C$18),'Base Rates'!$C$3:$I$3,1)),"?"))</f>
        <v>$2.0M - $5.0M</v>
      </c>
      <c r="AX10" s="101">
        <f>IF($A10="","",IFERROR(INDEX('Base Rates'!$C$5:$I$16,MATCH($I10,'Base Rates'!$B$5:$B$16,0),MATCH(MAX($J10,'Technical Premium'!$C$18),'Base Rates'!$C$3:$I$3,1)),"?"))</f>
        <v>0.57999999999999996</v>
      </c>
      <c r="AY10" s="102">
        <f t="shared" si="1"/>
        <v>12760</v>
      </c>
      <c r="AZ10" s="100">
        <f>IF($A10="","",IFERROR(INDEX('Make Factors'!$G$5:$G$69,MATCH($F10,'Make Factors'!$B$5:$B$69,0)),"?"))</f>
        <v>1.6539999999999999</v>
      </c>
      <c r="BA10" s="100">
        <f>IF($A10="","",IFERROR(INDEX('Driver Factors'!$C$6:$C$15,MATCH($R10,'Driver Factors'!$B$6:$B$15,0)),"?"))</f>
        <v>1.1000000000000001</v>
      </c>
      <c r="BB10" s="100">
        <f>IF($A10="","",IFERROR(INDEX('Driver Factors'!$C$19:$C$24,MATCH($S10,'Driver Factors'!$B$19:$B$24,0)),"?"))</f>
        <v>0.9</v>
      </c>
      <c r="BC10" s="100">
        <f>IF($A10="","",IFERROR(INDEX('Driver Factors'!$C$28:$C$36,MATCH($T10,'Driver Factors'!$B$28:$B$36,0)),"?"))</f>
        <v>1.1499999999999999</v>
      </c>
      <c r="BD10" s="100">
        <f>IF($A10="","",IFERROR(INDEX('Claims History'!$C$6:$C$15,MATCH($U10,'Claims History'!$B$6:$B$15,0)),"?"))</f>
        <v>0.9</v>
      </c>
      <c r="BE10" s="100">
        <f>IF($A10="","",IFERROR(INDEX('Territory Factors'!$E$6:$E$56,MATCH($K10,'Territory Factors'!$B$6:$B$56,0)),"?"))</f>
        <v>1.35</v>
      </c>
      <c r="BF10" s="100">
        <f>IF($A10="","",IFERROR(INDEX('City Accident Ratings'!$G$6:$G$54,MATCH($Z10,'City Accident Ratings'!$B$6:$B$54,0)),"?"))</f>
        <v>1.35</v>
      </c>
      <c r="BG10" s="100">
        <f>IF($A10="","",IFERROR(INDEX('Usage and Coverage'!$D$6:$D$20,MATCH($N10,'Usage and Coverage'!$C$6:$C$20,0)),"?"))</f>
        <v>1.05</v>
      </c>
      <c r="BH10" s="100">
        <f>IF($A10="","",IFERROR(INDEX('Usage and Coverage'!$C$24:$C$30,MATCH($O10,'Usage and Coverage'!$B$24:$B$30,0)),"?"))</f>
        <v>1</v>
      </c>
      <c r="BI10" s="100">
        <f>IF($A10="","",IFERROR(INDEX('Usage and Coverage'!$C$34:$C$40,MATCH($P10,'Usage and Coverage'!$B$34:$B$40,0)),"?"))</f>
        <v>0.9</v>
      </c>
      <c r="BJ10" s="100">
        <f>IF($A10="","",IFERROR(INDEX('Usage and Coverage'!$C$44:$C$49,MATCH($Q10,'Usage and Coverage'!$B$44:$B$49,0)),"?"))</f>
        <v>0.9</v>
      </c>
      <c r="BK10" s="100">
        <f>IF($A10="","",IFERROR(INDEX(Deductibles!$C$6:$I$15,MATCH($W10,Deductibles!$B$6:$B$15,0),MATCH(MAX($J10,'Technical Premium'!$C$18),'Base Rates'!$C$3:$I$3,1)),"?"))</f>
        <v>0.83</v>
      </c>
      <c r="BL10" s="100">
        <f>IF($A10="","",IFERROR(INDEX('Usage and Coverage'!$C$63:$C$66,MATCH($X10,'Usage and Coverage'!$B$63:$B$66,0)),"?"))</f>
        <v>1.06</v>
      </c>
      <c r="BM10" s="100">
        <f>IF($A10="","",IFERROR(INDEX('Usage and Coverage'!$C$70:$C$75,MATCH($V10,'Usage and Coverage'!$B$70:$B$75,0)),"?"))</f>
        <v>0.9</v>
      </c>
      <c r="BN10" s="99">
        <f>IF($A10="","",IF($AB10="",1,IFERROR(INDEX(Deductibles!$C$48:$C$51,MATCH($AB10,Deductibles!$B$48:$B$51,0)),"?")))</f>
        <v>1</v>
      </c>
      <c r="BO10" s="100">
        <f>IF($A10="","",IF($AC10="",1,IFERROR(INDEX(Deductibles!$C$55:$C$57,MATCH($AC10,Deductibles!$B$55:$B$57,0)),"?")))</f>
        <v>1.0149999999999999</v>
      </c>
      <c r="BP10" s="99">
        <f>IF($A10="","",IF($AD10="",1,IFERROR(INDEX(Deductibles!$C$61:$C$63,MATCH($AD10,Deductibles!$B$61:$B$63,0)),"?")))</f>
        <v>1</v>
      </c>
      <c r="BQ10" s="99">
        <f>IF($A10="","",IF($AE10="",1,IFERROR(INDEX(Deductibles!$C$67:$C$69,MATCH($AE10,Deductibles!$B$67:$B$69,0)),"?")))</f>
        <v>1</v>
      </c>
      <c r="BR10" s="99">
        <f>IF($A10="","",IF($AF10="",1,IFERROR(INDEX(Deductibles!$C$73:$C$74,MATCH($AF10,Deductibles!$B$73:$B$74,0)),"?")))</f>
        <v>1</v>
      </c>
      <c r="BS10" s="99">
        <f>IF($A10="","",IF($AG10="",1,IFERROR(INDEX('Sublimits and Parts'!$C$49:$C$52,MATCH($AG10,'Sublimits and Parts'!$B$49:$B$52,0)),"?")))</f>
        <v>1</v>
      </c>
      <c r="BT10" s="100">
        <f>IF($A10="","",IF($AH10="",1,IFERROR(INDEX('Sublimits and Parts'!$C$56:$C$60,MATCH($AH10,'Sublimits and Parts'!$B$56:$B$60,0)),"?")))</f>
        <v>1.018</v>
      </c>
      <c r="BU10" s="99">
        <f>IF($A10="","",IF($AI10="",1,IFERROR(INDEX('Sublimits and Parts'!$C$64:$C$67,MATCH($AI10,'Sublimits and Parts'!$B$64:$B$67,0)),"?")))</f>
        <v>1</v>
      </c>
      <c r="BV10" s="99">
        <f>IF($A10="","",IF($AJ10="",1,IFERROR(INDEX('Sublimits and Parts'!$C$71:$C$74,MATCH($AJ10,'Sublimits and Parts'!$B$71:$B$74,0)),"?")))</f>
        <v>1</v>
      </c>
      <c r="BW10" s="99">
        <f>IF($A10="","",IF($AK10="",1,IFERROR(INDEX('Sublimits and Parts'!$C$78:$C$80,MATCH($AK10,'Sublimits and Parts'!$B$78:$B$80,0)),"?")))</f>
        <v>1</v>
      </c>
      <c r="BX10" s="99">
        <f>IF($A10="","",IF($AL10="",1,IFERROR(INDEX('Sublimits and Parts'!$C$84:$C$87,MATCH($AL10,'Sublimits and Parts'!$B$84:$B$87,0)),"?")))</f>
        <v>1</v>
      </c>
      <c r="BY10" s="100">
        <f>IF($A10="","",IF($AM10="",1,IFERROR(INDEX('Sublimits and Parts'!$C$91:$C$94,MATCH($AM10,'Sublimits and Parts'!$B$91:$B$94,0)),"?")))</f>
        <v>1.03</v>
      </c>
      <c r="BZ10" s="100">
        <f>IF($A10="","",IF($AN10="",1,IFERROR(INDEX('Sublimits and Parts'!$C$98:$C$101,MATCH($AN10,'Sublimits and Parts'!$B$98:$B$101,0)),"?")))</f>
        <v>1.0449999999999999</v>
      </c>
      <c r="CA10" s="99">
        <f>IF($A10="","",IF($AO10="",1,IFERROR(INDEX('Sublimits and Parts'!$C$105:$C$109,MATCH($AO10,'Sublimits and Parts'!$B$105:$B$109,0)),"?")))</f>
        <v>1</v>
      </c>
      <c r="CB10" s="100">
        <f t="shared" si="2"/>
        <v>2.0800768070430005</v>
      </c>
      <c r="CC10" s="100">
        <f t="shared" si="3"/>
        <v>1.1121601644999997</v>
      </c>
      <c r="CD10" s="103">
        <f>IF($A10="","",IF(OR($CB10="?",$CC10="?"),"?",MIN($CB10*$CC10,'Technical Premium'!$C$17)))</f>
        <v>2.3133785638935773</v>
      </c>
      <c r="CE10" s="102">
        <f t="shared" si="4"/>
        <v>29518.710475282045</v>
      </c>
      <c r="CF10" s="102">
        <f>IF($A10="","",IFERROR(INDEX('Territory Factors'!$F$6:$F$56,MATCH($K10,'Territory Factors'!$B$6:$B$56,0)),"?"))</f>
        <v>760</v>
      </c>
      <c r="CG10" s="100">
        <f>IF($A10="","",IFERROR(INDEX('Usage and Coverage'!$C$79:$C$84,MATCH($Y10,'Usage and Coverage'!$B$79:$B$84,0)),"?"))</f>
        <v>1.68</v>
      </c>
      <c r="CH10" s="102">
        <f>IFERROR(IF(ISNUMBER($CD10),$CF10*$CG10*MIN($BG10*$BA10*$BC10*$BD10*$BH10*$BF10,'Technical Premium'!$C$17),""),"")</f>
        <v>2060.5301640000002</v>
      </c>
      <c r="CI10" s="102">
        <f t="shared" si="5"/>
        <v>31579.240639282045</v>
      </c>
      <c r="CJ10" s="102">
        <f>IFERROR($CI10*(1+'Technical Premium'!$C$5)*(1+'Technical Premium'!$C$6),"")</f>
        <v>35810.858884945847</v>
      </c>
      <c r="CK10" s="102">
        <f>IFERROR($CE10*INDEX('Territory Factors'!$G$6:$G$56,MATCH($K10,'Territory Factors'!$B$6:$B$56,0))*$AU10*$AV10,"")</f>
        <v>3683.9350673151989</v>
      </c>
      <c r="CL10" s="102">
        <f>IFERROR(($CJ10+$CK10)*(1+'Technical Premium'!$C$7),"")</f>
        <v>42456.903498680622</v>
      </c>
      <c r="CM10" s="104">
        <f>IFERROR($CL10/'Technical Premium'!$C$13,"")</f>
        <v>73201.557756345908</v>
      </c>
      <c r="CN10" s="105">
        <f t="shared" si="6"/>
        <v>3.3273435343793594</v>
      </c>
      <c r="CO10" s="104">
        <f t="shared" si="7"/>
        <v>76861.635644163209</v>
      </c>
      <c r="CP10" s="105">
        <f t="shared" si="8"/>
        <v>3.4937107110983279</v>
      </c>
      <c r="CQ10" s="106">
        <f t="shared" si="9"/>
        <v>1.0500000000000003</v>
      </c>
      <c r="CR10" s="102">
        <f>IF(ISNUMBER($CM10),'Technical Premium'!$C$14+IF($J10&gt;=1000000,'Technical Premium'!$C$15,0),"")</f>
        <v>600</v>
      </c>
      <c r="CS10" s="102">
        <f>IFERROR(($CO10+$CR10)*(INDEX('Territory Factors'!$K$6:$K$56,MATCH($K10,'Territory Factors'!$B$6:$B$56,0))+'Commission Structure'!$C$21),"")</f>
        <v>2463.2800134843901</v>
      </c>
      <c r="CT10" s="104">
        <f t="shared" si="10"/>
        <v>79924.915657647594</v>
      </c>
      <c r="CU10" s="102">
        <f>IFERROR($CO10*('Commission Structure'!$C$6+'Commission Structure'!$C$7),"")</f>
        <v>9607.7044555204011</v>
      </c>
      <c r="CV10" s="102">
        <f>IFERROR($CO10*'Commission Structure'!$C$5-$CU10,"")</f>
        <v>9607.7044555204011</v>
      </c>
      <c r="CW10" s="102">
        <f>IFERROR($CO10*(1-'Commission Structure'!$C$5),"")</f>
        <v>57646.226733122407</v>
      </c>
      <c r="CX10" s="107"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8">
        <f t="shared" si="11"/>
        <v>5.0000000000000044E-2</v>
      </c>
      <c r="CZ10" s="99" t="str">
        <f>IF($CY10="","",IF($CY10&lt;'Technical Premium'!$C$19,"BEYOND AUTHORITY",IF($CY10&gt;0.005,"Above technical",IF($CY10&lt;-0.005,"BELOW technical","At technical"))))</f>
        <v>Above technical</v>
      </c>
      <c r="DA10" s="99"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4"/>
      <c r="DC10" s="94"/>
      <c r="DD10" s="95"/>
      <c r="DE10" s="94"/>
      <c r="DF10" s="94"/>
      <c r="DG10" s="99" t="str">
        <f t="shared" si="12"/>
        <v>NO - AWAITING APPROVAL</v>
      </c>
      <c r="DH10" s="99">
        <f>IF($A10="","",IF(OR($CX10="REFER",$CX10="DECLINE"),COUNTIF($CX$5:$CX10,"REFER")+COUNTIF($CX$5:$CX10,"DECLINE"),""))</f>
        <v>3</v>
      </c>
      <c r="DI10" s="94"/>
    </row>
    <row r="11" spans="1:113" x14ac:dyDescent="0.35">
      <c r="A11" s="94"/>
      <c r="B11" s="94"/>
      <c r="C11" s="95"/>
      <c r="D11" s="95"/>
      <c r="E11" s="96"/>
      <c r="F11" s="94"/>
      <c r="G11" s="94"/>
      <c r="H11" s="94"/>
      <c r="I11" s="94"/>
      <c r="J11" s="97"/>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8"/>
      <c r="AR11" s="99" t="str">
        <f t="shared" si="0"/>
        <v/>
      </c>
      <c r="AS11" s="99" t="str">
        <f>IF($A11="","",IF($AP11&lt;&gt;"",$AP11,IFERROR(INDEX('Cat Zone by ZIP'!$D$6:$D$856,MATCH($AR11,'Cat Zone by ZIP'!$B$6:$B$856,0)),IFERROR(INDEX('Cat Zone by ZIP'!$C$860:$C$910,MATCH($K11,'Cat Zone by ZIP'!$B$860:$B$910,0)),"NOT FOUND"))))</f>
        <v/>
      </c>
      <c r="AT11" s="99" t="str">
        <f>IF($A11="","",IF($AP11&lt;&gt;"","Override",IF(ISNUMBER(MATCH($AR11,'Cat Zone by ZIP'!$B$6:$B$856,0)),"ZIP-3","State default")))</f>
        <v/>
      </c>
      <c r="AU11" s="100" t="str">
        <f>IF($A11="","",IFERROR(INDEX('Natural Catastrophe'!$D$6:$D$17,MATCH($AS11,'Natural Catastrophe'!$B$6:$B$17,0)),"?"))</f>
        <v/>
      </c>
      <c r="AV11" s="100" t="str">
        <f>IF($A11="","",IFERROR(INDEX('Natural Catastrophe'!$C$21:$C$26,MATCH($AA11,'Natural Catastrophe'!$B$21:$B$26,0)),"?"))</f>
        <v/>
      </c>
      <c r="AW11" s="99" t="str">
        <f>IF($A11="","",IFERROR(INDEX('Base Rates'!$C$4:$I$4,MATCH(MAX($J11,'Technical Premium'!$C$18),'Base Rates'!$C$3:$I$3,1)),"?"))</f>
        <v/>
      </c>
      <c r="AX11" s="101" t="str">
        <f>IF($A11="","",IFERROR(INDEX('Base Rates'!$C$5:$I$16,MATCH($I11,'Base Rates'!$B$5:$B$16,0),MATCH(MAX($J11,'Technical Premium'!$C$18),'Base Rates'!$C$3:$I$3,1)),"?"))</f>
        <v/>
      </c>
      <c r="AY11" s="102" t="str">
        <f t="shared" si="1"/>
        <v/>
      </c>
      <c r="AZ11" s="99" t="str">
        <f>IF($A11="","",IFERROR(INDEX('Make Factors'!$G$5:$G$69,MATCH($F11,'Make Factors'!$B$5:$B$69,0)),"?"))</f>
        <v/>
      </c>
      <c r="BA11" s="99" t="str">
        <f>IF($A11="","",IFERROR(INDEX('Driver Factors'!$C$6:$C$15,MATCH($R11,'Driver Factors'!$B$6:$B$15,0)),"?"))</f>
        <v/>
      </c>
      <c r="BB11" s="99" t="str">
        <f>IF($A11="","",IFERROR(INDEX('Driver Factors'!$C$19:$C$24,MATCH($S11,'Driver Factors'!$B$19:$B$24,0)),"?"))</f>
        <v/>
      </c>
      <c r="BC11" s="99" t="str">
        <f>IF($A11="","",IFERROR(INDEX('Driver Factors'!$C$28:$C$36,MATCH($T11,'Driver Factors'!$B$28:$B$36,0)),"?"))</f>
        <v/>
      </c>
      <c r="BD11" s="99" t="str">
        <f>IF($A11="","",IFERROR(INDEX('Claims History'!$C$6:$C$15,MATCH($U11,'Claims History'!$B$6:$B$15,0)),"?"))</f>
        <v/>
      </c>
      <c r="BE11" s="99" t="str">
        <f>IF($A11="","",IFERROR(INDEX('Territory Factors'!$E$6:$E$56,MATCH($K11,'Territory Factors'!$B$6:$B$56,0)),"?"))</f>
        <v/>
      </c>
      <c r="BF11" s="99" t="str">
        <f>IF($A11="","",IFERROR(INDEX('City Accident Ratings'!$G$6:$G$54,MATCH($Z11,'City Accident Ratings'!$B$6:$B$54,0)),"?"))</f>
        <v/>
      </c>
      <c r="BG11" s="99" t="str">
        <f>IF($A11="","",IFERROR(INDEX('Usage and Coverage'!$D$6:$D$20,MATCH($N11,'Usage and Coverage'!$C$6:$C$20,0)),"?"))</f>
        <v/>
      </c>
      <c r="BH11" s="99" t="str">
        <f>IF($A11="","",IFERROR(INDEX('Usage and Coverage'!$C$24:$C$30,MATCH($O11,'Usage and Coverage'!$B$24:$B$30,0)),"?"))</f>
        <v/>
      </c>
      <c r="BI11" s="99" t="str">
        <f>IF($A11="","",IFERROR(INDEX('Usage and Coverage'!$C$34:$C$40,MATCH($P11,'Usage and Coverage'!$B$34:$B$40,0)),"?"))</f>
        <v/>
      </c>
      <c r="BJ11" s="99" t="str">
        <f>IF($A11="","",IFERROR(INDEX('Usage and Coverage'!$C$44:$C$49,MATCH($Q11,'Usage and Coverage'!$B$44:$B$49,0)),"?"))</f>
        <v/>
      </c>
      <c r="BK11" s="99" t="str">
        <f>IF($A11="","",IFERROR(INDEX(Deductibles!$C$6:$I$15,MATCH($W11,Deductibles!$B$6:$B$15,0),MATCH(MAX($J11,'Technical Premium'!$C$18),'Base Rates'!$C$3:$I$3,1)),"?"))</f>
        <v/>
      </c>
      <c r="BL11" s="99" t="str">
        <f>IF($A11="","",IFERROR(INDEX('Usage and Coverage'!$C$63:$C$66,MATCH($X11,'Usage and Coverage'!$B$63:$B$66,0)),"?"))</f>
        <v/>
      </c>
      <c r="BM11" s="99" t="str">
        <f>IF($A11="","",IFERROR(INDEX('Usage and Coverage'!$C$70:$C$75,MATCH($V11,'Usage and Coverage'!$B$70:$B$75,0)),"?"))</f>
        <v/>
      </c>
      <c r="BN11" s="99" t="str">
        <f>IF($A11="","",IF($AB11="",1,IFERROR(INDEX(Deductibles!$C$48:$C$51,MATCH($AB11,Deductibles!$B$48:$B$51,0)),"?")))</f>
        <v/>
      </c>
      <c r="BO11" s="99" t="str">
        <f>IF($A11="","",IF($AC11="",1,IFERROR(INDEX(Deductibles!$C$55:$C$57,MATCH($AC11,Deductibles!$B$55:$B$57,0)),"?")))</f>
        <v/>
      </c>
      <c r="BP11" s="99" t="str">
        <f>IF($A11="","",IF($AD11="",1,IFERROR(INDEX(Deductibles!$C$61:$C$63,MATCH($AD11,Deductibles!$B$61:$B$63,0)),"?")))</f>
        <v/>
      </c>
      <c r="BQ11" s="99" t="str">
        <f>IF($A11="","",IF($AE11="",1,IFERROR(INDEX(Deductibles!$C$67:$C$69,MATCH($AE11,Deductibles!$B$67:$B$69,0)),"?")))</f>
        <v/>
      </c>
      <c r="BR11" s="99" t="str">
        <f>IF($A11="","",IF($AF11="",1,IFERROR(INDEX(Deductibles!$C$73:$C$74,MATCH($AF11,Deductibles!$B$73:$B$74,0)),"?")))</f>
        <v/>
      </c>
      <c r="BS11" s="99" t="str">
        <f>IF($A11="","",IF($AG11="",1,IFERROR(INDEX('Sublimits and Parts'!$C$49:$C$52,MATCH($AG11,'Sublimits and Parts'!$B$49:$B$52,0)),"?")))</f>
        <v/>
      </c>
      <c r="BT11" s="99" t="str">
        <f>IF($A11="","",IF($AH11="",1,IFERROR(INDEX('Sublimits and Parts'!$C$56:$C$60,MATCH($AH11,'Sublimits and Parts'!$B$56:$B$60,0)),"?")))</f>
        <v/>
      </c>
      <c r="BU11" s="99" t="str">
        <f>IF($A11="","",IF($AI11="",1,IFERROR(INDEX('Sublimits and Parts'!$C$64:$C$67,MATCH($AI11,'Sublimits and Parts'!$B$64:$B$67,0)),"?")))</f>
        <v/>
      </c>
      <c r="BV11" s="99" t="str">
        <f>IF($A11="","",IF($AJ11="",1,IFERROR(INDEX('Sublimits and Parts'!$C$71:$C$74,MATCH($AJ11,'Sublimits and Parts'!$B$71:$B$74,0)),"?")))</f>
        <v/>
      </c>
      <c r="BW11" s="99" t="str">
        <f>IF($A11="","",IF($AK11="",1,IFERROR(INDEX('Sublimits and Parts'!$C$78:$C$80,MATCH($AK11,'Sublimits and Parts'!$B$78:$B$80,0)),"?")))</f>
        <v/>
      </c>
      <c r="BX11" s="99" t="str">
        <f>IF($A11="","",IF($AL11="",1,IFERROR(INDEX('Sublimits and Parts'!$C$84:$C$87,MATCH($AL11,'Sublimits and Parts'!$B$84:$B$87,0)),"?")))</f>
        <v/>
      </c>
      <c r="BY11" s="99" t="str">
        <f>IF($A11="","",IF($AM11="",1,IFERROR(INDEX('Sublimits and Parts'!$C$91:$C$94,MATCH($AM11,'Sublimits and Parts'!$B$91:$B$94,0)),"?")))</f>
        <v/>
      </c>
      <c r="BZ11" s="99" t="str">
        <f>IF($A11="","",IF($AN11="",1,IFERROR(INDEX('Sublimits and Parts'!$C$98:$C$101,MATCH($AN11,'Sublimits and Parts'!$B$98:$B$101,0)),"?")))</f>
        <v/>
      </c>
      <c r="CA11" s="99" t="str">
        <f>IF($A11="","",IF($AO11="",1,IFERROR(INDEX('Sublimits and Parts'!$C$105:$C$109,MATCH($AO11,'Sublimits and Parts'!$B$105:$B$109,0)),"?")))</f>
        <v/>
      </c>
      <c r="CB11" s="100" t="str">
        <f t="shared" si="2"/>
        <v/>
      </c>
      <c r="CC11" s="100" t="str">
        <f t="shared" si="3"/>
        <v/>
      </c>
      <c r="CD11" s="103" t="str">
        <f>IF($A11="","",IF(OR($CB11="?",$CC11="?"),"?",MIN($CB11*$CC11,'Technical Premium'!$C$17)))</f>
        <v/>
      </c>
      <c r="CE11" s="102" t="str">
        <f t="shared" si="4"/>
        <v/>
      </c>
      <c r="CF11" s="102" t="str">
        <f>IF($A11="","",IFERROR(INDEX('Territory Factors'!$F$6:$F$56,MATCH($K11,'Territory Factors'!$B$6:$B$56,0)),"?"))</f>
        <v/>
      </c>
      <c r="CG11" s="100" t="str">
        <f>IF($A11="","",IFERROR(INDEX('Usage and Coverage'!$C$79:$C$84,MATCH($Y11,'Usage and Coverage'!$B$79:$B$84,0)),"?"))</f>
        <v/>
      </c>
      <c r="CH11" s="102" t="str">
        <f>IFERROR(IF(ISNUMBER($CD11),$CF11*$CG11*MIN($BG11*$BA11*$BC11*$BD11*$BH11*$BF11,'Technical Premium'!$C$17),""),"")</f>
        <v/>
      </c>
      <c r="CI11" s="102" t="str">
        <f t="shared" si="5"/>
        <v/>
      </c>
      <c r="CJ11" s="102" t="str">
        <f>IFERROR($CI11*(1+'Technical Premium'!$C$5)*(1+'Technical Premium'!$C$6),"")</f>
        <v/>
      </c>
      <c r="CK11" s="102" t="str">
        <f>IFERROR($CE11*INDEX('Territory Factors'!$G$6:$G$56,MATCH($K11,'Territory Factors'!$B$6:$B$56,0))*$AU11*$AV11,"")</f>
        <v/>
      </c>
      <c r="CL11" s="102" t="str">
        <f>IFERROR(($CJ11+$CK11)*(1+'Technical Premium'!$C$7),"")</f>
        <v/>
      </c>
      <c r="CM11" s="104" t="str">
        <f>IFERROR($CL11/'Technical Premium'!$C$13,"")</f>
        <v/>
      </c>
      <c r="CN11" s="105" t="str">
        <f t="shared" si="6"/>
        <v/>
      </c>
      <c r="CO11" s="104" t="str">
        <f t="shared" si="7"/>
        <v/>
      </c>
      <c r="CP11" s="105" t="str">
        <f t="shared" si="8"/>
        <v/>
      </c>
      <c r="CQ11" s="106" t="str">
        <f t="shared" si="9"/>
        <v/>
      </c>
      <c r="CR11" s="102" t="str">
        <f>IF(ISNUMBER($CM11),'Technical Premium'!$C$14+IF($J11&gt;=1000000,'Technical Premium'!$C$15,0),"")</f>
        <v/>
      </c>
      <c r="CS11" s="102" t="str">
        <f>IFERROR(($CO11+$CR11)*(INDEX('Territory Factors'!$K$6:$K$56,MATCH($K11,'Territory Factors'!$B$6:$B$56,0))+'Commission Structure'!$C$21),"")</f>
        <v/>
      </c>
      <c r="CT11" s="104" t="str">
        <f t="shared" si="10"/>
        <v/>
      </c>
      <c r="CU11" s="102" t="str">
        <f>IFERROR($CO11*('Commission Structure'!$C$6+'Commission Structure'!$C$7),"")</f>
        <v/>
      </c>
      <c r="CV11" s="102" t="str">
        <f>IFERROR($CO11*'Commission Structure'!$C$5-$CU11,"")</f>
        <v/>
      </c>
      <c r="CW11" s="102" t="str">
        <f>IFERROR($CO11*(1-'Commission Structure'!$C$5),"")</f>
        <v/>
      </c>
      <c r="CX11" s="107"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8" t="str">
        <f t="shared" si="11"/>
        <v/>
      </c>
      <c r="CZ11" s="99" t="str">
        <f>IF($CY11="","",IF($CY11&lt;'Technical Premium'!$C$19,"BEYOND AUTHORITY",IF($CY11&gt;0.005,"Above technical",IF($CY11&lt;-0.005,"BELOW technical","At technical"))))</f>
        <v/>
      </c>
      <c r="DA11" s="99"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4"/>
      <c r="DC11" s="94"/>
      <c r="DD11" s="95"/>
      <c r="DE11" s="94"/>
      <c r="DF11" s="94"/>
      <c r="DG11" s="99" t="str">
        <f t="shared" si="12"/>
        <v/>
      </c>
      <c r="DH11" s="99" t="str">
        <f>IF($A11="","",IF(OR($CX11="REFER",$CX11="DECLINE"),COUNTIF($CX$5:$CX11,"REFER")+COUNTIF($CX$5:$CX11,"DECLINE"),""))</f>
        <v/>
      </c>
      <c r="DI11" s="94"/>
    </row>
    <row r="12" spans="1:113" x14ac:dyDescent="0.35">
      <c r="A12" s="94"/>
      <c r="B12" s="94"/>
      <c r="C12" s="95"/>
      <c r="D12" s="95"/>
      <c r="E12" s="96"/>
      <c r="F12" s="94"/>
      <c r="G12" s="94"/>
      <c r="H12" s="94"/>
      <c r="I12" s="94"/>
      <c r="J12" s="97"/>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8"/>
      <c r="AR12" s="99" t="str">
        <f t="shared" si="0"/>
        <v/>
      </c>
      <c r="AS12" s="99" t="str">
        <f>IF($A12="","",IF($AP12&lt;&gt;"",$AP12,IFERROR(INDEX('Cat Zone by ZIP'!$D$6:$D$856,MATCH($AR12,'Cat Zone by ZIP'!$B$6:$B$856,0)),IFERROR(INDEX('Cat Zone by ZIP'!$C$860:$C$910,MATCH($K12,'Cat Zone by ZIP'!$B$860:$B$910,0)),"NOT FOUND"))))</f>
        <v/>
      </c>
      <c r="AT12" s="99" t="str">
        <f>IF($A12="","",IF($AP12&lt;&gt;"","Override",IF(ISNUMBER(MATCH($AR12,'Cat Zone by ZIP'!$B$6:$B$856,0)),"ZIP-3","State default")))</f>
        <v/>
      </c>
      <c r="AU12" s="100" t="str">
        <f>IF($A12="","",IFERROR(INDEX('Natural Catastrophe'!$D$6:$D$17,MATCH($AS12,'Natural Catastrophe'!$B$6:$B$17,0)),"?"))</f>
        <v/>
      </c>
      <c r="AV12" s="100" t="str">
        <f>IF($A12="","",IFERROR(INDEX('Natural Catastrophe'!$C$21:$C$26,MATCH($AA12,'Natural Catastrophe'!$B$21:$B$26,0)),"?"))</f>
        <v/>
      </c>
      <c r="AW12" s="99" t="str">
        <f>IF($A12="","",IFERROR(INDEX('Base Rates'!$C$4:$I$4,MATCH(MAX($J12,'Technical Premium'!$C$18),'Base Rates'!$C$3:$I$3,1)),"?"))</f>
        <v/>
      </c>
      <c r="AX12" s="101" t="str">
        <f>IF($A12="","",IFERROR(INDEX('Base Rates'!$C$5:$I$16,MATCH($I12,'Base Rates'!$B$5:$B$16,0),MATCH(MAX($J12,'Technical Premium'!$C$18),'Base Rates'!$C$3:$I$3,1)),"?"))</f>
        <v/>
      </c>
      <c r="AY12" s="102" t="str">
        <f t="shared" si="1"/>
        <v/>
      </c>
      <c r="AZ12" s="99" t="str">
        <f>IF($A12="","",IFERROR(INDEX('Make Factors'!$G$5:$G$69,MATCH($F12,'Make Factors'!$B$5:$B$69,0)),"?"))</f>
        <v/>
      </c>
      <c r="BA12" s="99" t="str">
        <f>IF($A12="","",IFERROR(INDEX('Driver Factors'!$C$6:$C$15,MATCH($R12,'Driver Factors'!$B$6:$B$15,0)),"?"))</f>
        <v/>
      </c>
      <c r="BB12" s="99" t="str">
        <f>IF($A12="","",IFERROR(INDEX('Driver Factors'!$C$19:$C$24,MATCH($S12,'Driver Factors'!$B$19:$B$24,0)),"?"))</f>
        <v/>
      </c>
      <c r="BC12" s="99" t="str">
        <f>IF($A12="","",IFERROR(INDEX('Driver Factors'!$C$28:$C$36,MATCH($T12,'Driver Factors'!$B$28:$B$36,0)),"?"))</f>
        <v/>
      </c>
      <c r="BD12" s="99" t="str">
        <f>IF($A12="","",IFERROR(INDEX('Claims History'!$C$6:$C$15,MATCH($U12,'Claims History'!$B$6:$B$15,0)),"?"))</f>
        <v/>
      </c>
      <c r="BE12" s="99" t="str">
        <f>IF($A12="","",IFERROR(INDEX('Territory Factors'!$E$6:$E$56,MATCH($K12,'Territory Factors'!$B$6:$B$56,0)),"?"))</f>
        <v/>
      </c>
      <c r="BF12" s="99" t="str">
        <f>IF($A12="","",IFERROR(INDEX('City Accident Ratings'!$G$6:$G$54,MATCH($Z12,'City Accident Ratings'!$B$6:$B$54,0)),"?"))</f>
        <v/>
      </c>
      <c r="BG12" s="99" t="str">
        <f>IF($A12="","",IFERROR(INDEX('Usage and Coverage'!$D$6:$D$20,MATCH($N12,'Usage and Coverage'!$C$6:$C$20,0)),"?"))</f>
        <v/>
      </c>
      <c r="BH12" s="99" t="str">
        <f>IF($A12="","",IFERROR(INDEX('Usage and Coverage'!$C$24:$C$30,MATCH($O12,'Usage and Coverage'!$B$24:$B$30,0)),"?"))</f>
        <v/>
      </c>
      <c r="BI12" s="99" t="str">
        <f>IF($A12="","",IFERROR(INDEX('Usage and Coverage'!$C$34:$C$40,MATCH($P12,'Usage and Coverage'!$B$34:$B$40,0)),"?"))</f>
        <v/>
      </c>
      <c r="BJ12" s="99" t="str">
        <f>IF($A12="","",IFERROR(INDEX('Usage and Coverage'!$C$44:$C$49,MATCH($Q12,'Usage and Coverage'!$B$44:$B$49,0)),"?"))</f>
        <v/>
      </c>
      <c r="BK12" s="99" t="str">
        <f>IF($A12="","",IFERROR(INDEX(Deductibles!$C$6:$I$15,MATCH($W12,Deductibles!$B$6:$B$15,0),MATCH(MAX($J12,'Technical Premium'!$C$18),'Base Rates'!$C$3:$I$3,1)),"?"))</f>
        <v/>
      </c>
      <c r="BL12" s="99" t="str">
        <f>IF($A12="","",IFERROR(INDEX('Usage and Coverage'!$C$63:$C$66,MATCH($X12,'Usage and Coverage'!$B$63:$B$66,0)),"?"))</f>
        <v/>
      </c>
      <c r="BM12" s="99" t="str">
        <f>IF($A12="","",IFERROR(INDEX('Usage and Coverage'!$C$70:$C$75,MATCH($V12,'Usage and Coverage'!$B$70:$B$75,0)),"?"))</f>
        <v/>
      </c>
      <c r="BN12" s="99" t="str">
        <f>IF($A12="","",IF($AB12="",1,IFERROR(INDEX(Deductibles!$C$48:$C$51,MATCH($AB12,Deductibles!$B$48:$B$51,0)),"?")))</f>
        <v/>
      </c>
      <c r="BO12" s="99" t="str">
        <f>IF($A12="","",IF($AC12="",1,IFERROR(INDEX(Deductibles!$C$55:$C$57,MATCH($AC12,Deductibles!$B$55:$B$57,0)),"?")))</f>
        <v/>
      </c>
      <c r="BP12" s="99" t="str">
        <f>IF($A12="","",IF($AD12="",1,IFERROR(INDEX(Deductibles!$C$61:$C$63,MATCH($AD12,Deductibles!$B$61:$B$63,0)),"?")))</f>
        <v/>
      </c>
      <c r="BQ12" s="99" t="str">
        <f>IF($A12="","",IF($AE12="",1,IFERROR(INDEX(Deductibles!$C$67:$C$69,MATCH($AE12,Deductibles!$B$67:$B$69,0)),"?")))</f>
        <v/>
      </c>
      <c r="BR12" s="99" t="str">
        <f>IF($A12="","",IF($AF12="",1,IFERROR(INDEX(Deductibles!$C$73:$C$74,MATCH($AF12,Deductibles!$B$73:$B$74,0)),"?")))</f>
        <v/>
      </c>
      <c r="BS12" s="99" t="str">
        <f>IF($A12="","",IF($AG12="",1,IFERROR(INDEX('Sublimits and Parts'!$C$49:$C$52,MATCH($AG12,'Sublimits and Parts'!$B$49:$B$52,0)),"?")))</f>
        <v/>
      </c>
      <c r="BT12" s="99" t="str">
        <f>IF($A12="","",IF($AH12="",1,IFERROR(INDEX('Sublimits and Parts'!$C$56:$C$60,MATCH($AH12,'Sublimits and Parts'!$B$56:$B$60,0)),"?")))</f>
        <v/>
      </c>
      <c r="BU12" s="99" t="str">
        <f>IF($A12="","",IF($AI12="",1,IFERROR(INDEX('Sublimits and Parts'!$C$64:$C$67,MATCH($AI12,'Sublimits and Parts'!$B$64:$B$67,0)),"?")))</f>
        <v/>
      </c>
      <c r="BV12" s="99" t="str">
        <f>IF($A12="","",IF($AJ12="",1,IFERROR(INDEX('Sublimits and Parts'!$C$71:$C$74,MATCH($AJ12,'Sublimits and Parts'!$B$71:$B$74,0)),"?")))</f>
        <v/>
      </c>
      <c r="BW12" s="99" t="str">
        <f>IF($A12="","",IF($AK12="",1,IFERROR(INDEX('Sublimits and Parts'!$C$78:$C$80,MATCH($AK12,'Sublimits and Parts'!$B$78:$B$80,0)),"?")))</f>
        <v/>
      </c>
      <c r="BX12" s="99" t="str">
        <f>IF($A12="","",IF($AL12="",1,IFERROR(INDEX('Sublimits and Parts'!$C$84:$C$87,MATCH($AL12,'Sublimits and Parts'!$B$84:$B$87,0)),"?")))</f>
        <v/>
      </c>
      <c r="BY12" s="99" t="str">
        <f>IF($A12="","",IF($AM12="",1,IFERROR(INDEX('Sublimits and Parts'!$C$91:$C$94,MATCH($AM12,'Sublimits and Parts'!$B$91:$B$94,0)),"?")))</f>
        <v/>
      </c>
      <c r="BZ12" s="99" t="str">
        <f>IF($A12="","",IF($AN12="",1,IFERROR(INDEX('Sublimits and Parts'!$C$98:$C$101,MATCH($AN12,'Sublimits and Parts'!$B$98:$B$101,0)),"?")))</f>
        <v/>
      </c>
      <c r="CA12" s="99" t="str">
        <f>IF($A12="","",IF($AO12="",1,IFERROR(INDEX('Sublimits and Parts'!$C$105:$C$109,MATCH($AO12,'Sublimits and Parts'!$B$105:$B$109,0)),"?")))</f>
        <v/>
      </c>
      <c r="CB12" s="100" t="str">
        <f t="shared" si="2"/>
        <v/>
      </c>
      <c r="CC12" s="100" t="str">
        <f t="shared" si="3"/>
        <v/>
      </c>
      <c r="CD12" s="103" t="str">
        <f>IF($A12="","",IF(OR($CB12="?",$CC12="?"),"?",MIN($CB12*$CC12,'Technical Premium'!$C$17)))</f>
        <v/>
      </c>
      <c r="CE12" s="102" t="str">
        <f t="shared" si="4"/>
        <v/>
      </c>
      <c r="CF12" s="102" t="str">
        <f>IF($A12="","",IFERROR(INDEX('Territory Factors'!$F$6:$F$56,MATCH($K12,'Territory Factors'!$B$6:$B$56,0)),"?"))</f>
        <v/>
      </c>
      <c r="CG12" s="100" t="str">
        <f>IF($A12="","",IFERROR(INDEX('Usage and Coverage'!$C$79:$C$84,MATCH($Y12,'Usage and Coverage'!$B$79:$B$84,0)),"?"))</f>
        <v/>
      </c>
      <c r="CH12" s="102" t="str">
        <f>IFERROR(IF(ISNUMBER($CD12),$CF12*$CG12*MIN($BG12*$BA12*$BC12*$BD12*$BH12*$BF12,'Technical Premium'!$C$17),""),"")</f>
        <v/>
      </c>
      <c r="CI12" s="102" t="str">
        <f t="shared" si="5"/>
        <v/>
      </c>
      <c r="CJ12" s="102" t="str">
        <f>IFERROR($CI12*(1+'Technical Premium'!$C$5)*(1+'Technical Premium'!$C$6),"")</f>
        <v/>
      </c>
      <c r="CK12" s="102" t="str">
        <f>IFERROR($CE12*INDEX('Territory Factors'!$G$6:$G$56,MATCH($K12,'Territory Factors'!$B$6:$B$56,0))*$AU12*$AV12,"")</f>
        <v/>
      </c>
      <c r="CL12" s="102" t="str">
        <f>IFERROR(($CJ12+$CK12)*(1+'Technical Premium'!$C$7),"")</f>
        <v/>
      </c>
      <c r="CM12" s="104" t="str">
        <f>IFERROR($CL12/'Technical Premium'!$C$13,"")</f>
        <v/>
      </c>
      <c r="CN12" s="105" t="str">
        <f t="shared" si="6"/>
        <v/>
      </c>
      <c r="CO12" s="104" t="str">
        <f t="shared" si="7"/>
        <v/>
      </c>
      <c r="CP12" s="105" t="str">
        <f t="shared" si="8"/>
        <v/>
      </c>
      <c r="CQ12" s="106" t="str">
        <f t="shared" si="9"/>
        <v/>
      </c>
      <c r="CR12" s="102" t="str">
        <f>IF(ISNUMBER($CM12),'Technical Premium'!$C$14+IF($J12&gt;=1000000,'Technical Premium'!$C$15,0),"")</f>
        <v/>
      </c>
      <c r="CS12" s="102" t="str">
        <f>IFERROR(($CO12+$CR12)*(INDEX('Territory Factors'!$K$6:$K$56,MATCH($K12,'Territory Factors'!$B$6:$B$56,0))+'Commission Structure'!$C$21),"")</f>
        <v/>
      </c>
      <c r="CT12" s="104" t="str">
        <f t="shared" si="10"/>
        <v/>
      </c>
      <c r="CU12" s="102" t="str">
        <f>IFERROR($CO12*('Commission Structure'!$C$6+'Commission Structure'!$C$7),"")</f>
        <v/>
      </c>
      <c r="CV12" s="102" t="str">
        <f>IFERROR($CO12*'Commission Structure'!$C$5-$CU12,"")</f>
        <v/>
      </c>
      <c r="CW12" s="102" t="str">
        <f>IFERROR($CO12*(1-'Commission Structure'!$C$5),"")</f>
        <v/>
      </c>
      <c r="CX12" s="107"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8" t="str">
        <f t="shared" si="11"/>
        <v/>
      </c>
      <c r="CZ12" s="99" t="str">
        <f>IF($CY12="","",IF($CY12&lt;'Technical Premium'!$C$19,"BEYOND AUTHORITY",IF($CY12&gt;0.005,"Above technical",IF($CY12&lt;-0.005,"BELOW technical","At technical"))))</f>
        <v/>
      </c>
      <c r="DA12" s="99"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4"/>
      <c r="DC12" s="94"/>
      <c r="DD12" s="95"/>
      <c r="DE12" s="94"/>
      <c r="DF12" s="94"/>
      <c r="DG12" s="99" t="str">
        <f t="shared" si="12"/>
        <v/>
      </c>
      <c r="DH12" s="99" t="str">
        <f>IF($A12="","",IF(OR($CX12="REFER",$CX12="DECLINE"),COUNTIF($CX$5:$CX12,"REFER")+COUNTIF($CX$5:$CX12,"DECLINE"),""))</f>
        <v/>
      </c>
      <c r="DI12" s="94"/>
    </row>
    <row r="13" spans="1:113" x14ac:dyDescent="0.35">
      <c r="A13" s="94"/>
      <c r="B13" s="94"/>
      <c r="C13" s="95"/>
      <c r="D13" s="95"/>
      <c r="E13" s="96"/>
      <c r="F13" s="94"/>
      <c r="G13" s="94"/>
      <c r="H13" s="94"/>
      <c r="I13" s="94"/>
      <c r="J13" s="97"/>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8"/>
      <c r="AR13" s="99" t="str">
        <f t="shared" si="0"/>
        <v/>
      </c>
      <c r="AS13" s="99" t="str">
        <f>IF($A13="","",IF($AP13&lt;&gt;"",$AP13,IFERROR(INDEX('Cat Zone by ZIP'!$D$6:$D$856,MATCH($AR13,'Cat Zone by ZIP'!$B$6:$B$856,0)),IFERROR(INDEX('Cat Zone by ZIP'!$C$860:$C$910,MATCH($K13,'Cat Zone by ZIP'!$B$860:$B$910,0)),"NOT FOUND"))))</f>
        <v/>
      </c>
      <c r="AT13" s="99" t="str">
        <f>IF($A13="","",IF($AP13&lt;&gt;"","Override",IF(ISNUMBER(MATCH($AR13,'Cat Zone by ZIP'!$B$6:$B$856,0)),"ZIP-3","State default")))</f>
        <v/>
      </c>
      <c r="AU13" s="100" t="str">
        <f>IF($A13="","",IFERROR(INDEX('Natural Catastrophe'!$D$6:$D$17,MATCH($AS13,'Natural Catastrophe'!$B$6:$B$17,0)),"?"))</f>
        <v/>
      </c>
      <c r="AV13" s="100" t="str">
        <f>IF($A13="","",IFERROR(INDEX('Natural Catastrophe'!$C$21:$C$26,MATCH($AA13,'Natural Catastrophe'!$B$21:$B$26,0)),"?"))</f>
        <v/>
      </c>
      <c r="AW13" s="99" t="str">
        <f>IF($A13="","",IFERROR(INDEX('Base Rates'!$C$4:$I$4,MATCH(MAX($J13,'Technical Premium'!$C$18),'Base Rates'!$C$3:$I$3,1)),"?"))</f>
        <v/>
      </c>
      <c r="AX13" s="101" t="str">
        <f>IF($A13="","",IFERROR(INDEX('Base Rates'!$C$5:$I$16,MATCH($I13,'Base Rates'!$B$5:$B$16,0),MATCH(MAX($J13,'Technical Premium'!$C$18),'Base Rates'!$C$3:$I$3,1)),"?"))</f>
        <v/>
      </c>
      <c r="AY13" s="102" t="str">
        <f t="shared" si="1"/>
        <v/>
      </c>
      <c r="AZ13" s="99" t="str">
        <f>IF($A13="","",IFERROR(INDEX('Make Factors'!$G$5:$G$69,MATCH($F13,'Make Factors'!$B$5:$B$69,0)),"?"))</f>
        <v/>
      </c>
      <c r="BA13" s="99" t="str">
        <f>IF($A13="","",IFERROR(INDEX('Driver Factors'!$C$6:$C$15,MATCH($R13,'Driver Factors'!$B$6:$B$15,0)),"?"))</f>
        <v/>
      </c>
      <c r="BB13" s="99" t="str">
        <f>IF($A13="","",IFERROR(INDEX('Driver Factors'!$C$19:$C$24,MATCH($S13,'Driver Factors'!$B$19:$B$24,0)),"?"))</f>
        <v/>
      </c>
      <c r="BC13" s="99" t="str">
        <f>IF($A13="","",IFERROR(INDEX('Driver Factors'!$C$28:$C$36,MATCH($T13,'Driver Factors'!$B$28:$B$36,0)),"?"))</f>
        <v/>
      </c>
      <c r="BD13" s="99" t="str">
        <f>IF($A13="","",IFERROR(INDEX('Claims History'!$C$6:$C$15,MATCH($U13,'Claims History'!$B$6:$B$15,0)),"?"))</f>
        <v/>
      </c>
      <c r="BE13" s="99" t="str">
        <f>IF($A13="","",IFERROR(INDEX('Territory Factors'!$E$6:$E$56,MATCH($K13,'Territory Factors'!$B$6:$B$56,0)),"?"))</f>
        <v/>
      </c>
      <c r="BF13" s="99" t="str">
        <f>IF($A13="","",IFERROR(INDEX('City Accident Ratings'!$G$6:$G$54,MATCH($Z13,'City Accident Ratings'!$B$6:$B$54,0)),"?"))</f>
        <v/>
      </c>
      <c r="BG13" s="99" t="str">
        <f>IF($A13="","",IFERROR(INDEX('Usage and Coverage'!$D$6:$D$20,MATCH($N13,'Usage and Coverage'!$C$6:$C$20,0)),"?"))</f>
        <v/>
      </c>
      <c r="BH13" s="99" t="str">
        <f>IF($A13="","",IFERROR(INDEX('Usage and Coverage'!$C$24:$C$30,MATCH($O13,'Usage and Coverage'!$B$24:$B$30,0)),"?"))</f>
        <v/>
      </c>
      <c r="BI13" s="99" t="str">
        <f>IF($A13="","",IFERROR(INDEX('Usage and Coverage'!$C$34:$C$40,MATCH($P13,'Usage and Coverage'!$B$34:$B$40,0)),"?"))</f>
        <v/>
      </c>
      <c r="BJ13" s="99" t="str">
        <f>IF($A13="","",IFERROR(INDEX('Usage and Coverage'!$C$44:$C$49,MATCH($Q13,'Usage and Coverage'!$B$44:$B$49,0)),"?"))</f>
        <v/>
      </c>
      <c r="BK13" s="99" t="str">
        <f>IF($A13="","",IFERROR(INDEX(Deductibles!$C$6:$I$15,MATCH($W13,Deductibles!$B$6:$B$15,0),MATCH(MAX($J13,'Technical Premium'!$C$18),'Base Rates'!$C$3:$I$3,1)),"?"))</f>
        <v/>
      </c>
      <c r="BL13" s="99" t="str">
        <f>IF($A13="","",IFERROR(INDEX('Usage and Coverage'!$C$63:$C$66,MATCH($X13,'Usage and Coverage'!$B$63:$B$66,0)),"?"))</f>
        <v/>
      </c>
      <c r="BM13" s="99" t="str">
        <f>IF($A13="","",IFERROR(INDEX('Usage and Coverage'!$C$70:$C$75,MATCH($V13,'Usage and Coverage'!$B$70:$B$75,0)),"?"))</f>
        <v/>
      </c>
      <c r="BN13" s="99" t="str">
        <f>IF($A13="","",IF($AB13="",1,IFERROR(INDEX(Deductibles!$C$48:$C$51,MATCH($AB13,Deductibles!$B$48:$B$51,0)),"?")))</f>
        <v/>
      </c>
      <c r="BO13" s="99" t="str">
        <f>IF($A13="","",IF($AC13="",1,IFERROR(INDEX(Deductibles!$C$55:$C$57,MATCH($AC13,Deductibles!$B$55:$B$57,0)),"?")))</f>
        <v/>
      </c>
      <c r="BP13" s="99" t="str">
        <f>IF($A13="","",IF($AD13="",1,IFERROR(INDEX(Deductibles!$C$61:$C$63,MATCH($AD13,Deductibles!$B$61:$B$63,0)),"?")))</f>
        <v/>
      </c>
      <c r="BQ13" s="99" t="str">
        <f>IF($A13="","",IF($AE13="",1,IFERROR(INDEX(Deductibles!$C$67:$C$69,MATCH($AE13,Deductibles!$B$67:$B$69,0)),"?")))</f>
        <v/>
      </c>
      <c r="BR13" s="99" t="str">
        <f>IF($A13="","",IF($AF13="",1,IFERROR(INDEX(Deductibles!$C$73:$C$74,MATCH($AF13,Deductibles!$B$73:$B$74,0)),"?")))</f>
        <v/>
      </c>
      <c r="BS13" s="99" t="str">
        <f>IF($A13="","",IF($AG13="",1,IFERROR(INDEX('Sublimits and Parts'!$C$49:$C$52,MATCH($AG13,'Sublimits and Parts'!$B$49:$B$52,0)),"?")))</f>
        <v/>
      </c>
      <c r="BT13" s="99" t="str">
        <f>IF($A13="","",IF($AH13="",1,IFERROR(INDEX('Sublimits and Parts'!$C$56:$C$60,MATCH($AH13,'Sublimits and Parts'!$B$56:$B$60,0)),"?")))</f>
        <v/>
      </c>
      <c r="BU13" s="99" t="str">
        <f>IF($A13="","",IF($AI13="",1,IFERROR(INDEX('Sublimits and Parts'!$C$64:$C$67,MATCH($AI13,'Sublimits and Parts'!$B$64:$B$67,0)),"?")))</f>
        <v/>
      </c>
      <c r="BV13" s="99" t="str">
        <f>IF($A13="","",IF($AJ13="",1,IFERROR(INDEX('Sublimits and Parts'!$C$71:$C$74,MATCH($AJ13,'Sublimits and Parts'!$B$71:$B$74,0)),"?")))</f>
        <v/>
      </c>
      <c r="BW13" s="99" t="str">
        <f>IF($A13="","",IF($AK13="",1,IFERROR(INDEX('Sublimits and Parts'!$C$78:$C$80,MATCH($AK13,'Sublimits and Parts'!$B$78:$B$80,0)),"?")))</f>
        <v/>
      </c>
      <c r="BX13" s="99" t="str">
        <f>IF($A13="","",IF($AL13="",1,IFERROR(INDEX('Sublimits and Parts'!$C$84:$C$87,MATCH($AL13,'Sublimits and Parts'!$B$84:$B$87,0)),"?")))</f>
        <v/>
      </c>
      <c r="BY13" s="99" t="str">
        <f>IF($A13="","",IF($AM13="",1,IFERROR(INDEX('Sublimits and Parts'!$C$91:$C$94,MATCH($AM13,'Sublimits and Parts'!$B$91:$B$94,0)),"?")))</f>
        <v/>
      </c>
      <c r="BZ13" s="99" t="str">
        <f>IF($A13="","",IF($AN13="",1,IFERROR(INDEX('Sublimits and Parts'!$C$98:$C$101,MATCH($AN13,'Sublimits and Parts'!$B$98:$B$101,0)),"?")))</f>
        <v/>
      </c>
      <c r="CA13" s="99" t="str">
        <f>IF($A13="","",IF($AO13="",1,IFERROR(INDEX('Sublimits and Parts'!$C$105:$C$109,MATCH($AO13,'Sublimits and Parts'!$B$105:$B$109,0)),"?")))</f>
        <v/>
      </c>
      <c r="CB13" s="100" t="str">
        <f t="shared" si="2"/>
        <v/>
      </c>
      <c r="CC13" s="100" t="str">
        <f t="shared" si="3"/>
        <v/>
      </c>
      <c r="CD13" s="103" t="str">
        <f>IF($A13="","",IF(OR($CB13="?",$CC13="?"),"?",MIN($CB13*$CC13,'Technical Premium'!$C$17)))</f>
        <v/>
      </c>
      <c r="CE13" s="102" t="str">
        <f t="shared" si="4"/>
        <v/>
      </c>
      <c r="CF13" s="102" t="str">
        <f>IF($A13="","",IFERROR(INDEX('Territory Factors'!$F$6:$F$56,MATCH($K13,'Territory Factors'!$B$6:$B$56,0)),"?"))</f>
        <v/>
      </c>
      <c r="CG13" s="100" t="str">
        <f>IF($A13="","",IFERROR(INDEX('Usage and Coverage'!$C$79:$C$84,MATCH($Y13,'Usage and Coverage'!$B$79:$B$84,0)),"?"))</f>
        <v/>
      </c>
      <c r="CH13" s="102" t="str">
        <f>IFERROR(IF(ISNUMBER($CD13),$CF13*$CG13*MIN($BG13*$BA13*$BC13*$BD13*$BH13*$BF13,'Technical Premium'!$C$17),""),"")</f>
        <v/>
      </c>
      <c r="CI13" s="102" t="str">
        <f t="shared" si="5"/>
        <v/>
      </c>
      <c r="CJ13" s="102" t="str">
        <f>IFERROR($CI13*(1+'Technical Premium'!$C$5)*(1+'Technical Premium'!$C$6),"")</f>
        <v/>
      </c>
      <c r="CK13" s="102" t="str">
        <f>IFERROR($CE13*INDEX('Territory Factors'!$G$6:$G$56,MATCH($K13,'Territory Factors'!$B$6:$B$56,0))*$AU13*$AV13,"")</f>
        <v/>
      </c>
      <c r="CL13" s="102" t="str">
        <f>IFERROR(($CJ13+$CK13)*(1+'Technical Premium'!$C$7),"")</f>
        <v/>
      </c>
      <c r="CM13" s="104" t="str">
        <f>IFERROR($CL13/'Technical Premium'!$C$13,"")</f>
        <v/>
      </c>
      <c r="CN13" s="105" t="str">
        <f t="shared" si="6"/>
        <v/>
      </c>
      <c r="CO13" s="104" t="str">
        <f t="shared" si="7"/>
        <v/>
      </c>
      <c r="CP13" s="105" t="str">
        <f t="shared" si="8"/>
        <v/>
      </c>
      <c r="CQ13" s="106" t="str">
        <f t="shared" si="9"/>
        <v/>
      </c>
      <c r="CR13" s="102" t="str">
        <f>IF(ISNUMBER($CM13),'Technical Premium'!$C$14+IF($J13&gt;=1000000,'Technical Premium'!$C$15,0),"")</f>
        <v/>
      </c>
      <c r="CS13" s="102" t="str">
        <f>IFERROR(($CO13+$CR13)*(INDEX('Territory Factors'!$K$6:$K$56,MATCH($K13,'Territory Factors'!$B$6:$B$56,0))+'Commission Structure'!$C$21),"")</f>
        <v/>
      </c>
      <c r="CT13" s="104" t="str">
        <f t="shared" si="10"/>
        <v/>
      </c>
      <c r="CU13" s="102" t="str">
        <f>IFERROR($CO13*('Commission Structure'!$C$6+'Commission Structure'!$C$7),"")</f>
        <v/>
      </c>
      <c r="CV13" s="102" t="str">
        <f>IFERROR($CO13*'Commission Structure'!$C$5-$CU13,"")</f>
        <v/>
      </c>
      <c r="CW13" s="102" t="str">
        <f>IFERROR($CO13*(1-'Commission Structure'!$C$5),"")</f>
        <v/>
      </c>
      <c r="CX13" s="107"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8" t="str">
        <f t="shared" si="11"/>
        <v/>
      </c>
      <c r="CZ13" s="99" t="str">
        <f>IF($CY13="","",IF($CY13&lt;'Technical Premium'!$C$19,"BEYOND AUTHORITY",IF($CY13&gt;0.005,"Above technical",IF($CY13&lt;-0.005,"BELOW technical","At technical"))))</f>
        <v/>
      </c>
      <c r="DA13" s="99"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4"/>
      <c r="DC13" s="94"/>
      <c r="DD13" s="95"/>
      <c r="DE13" s="94"/>
      <c r="DF13" s="94"/>
      <c r="DG13" s="99" t="str">
        <f t="shared" si="12"/>
        <v/>
      </c>
      <c r="DH13" s="99" t="str">
        <f>IF($A13="","",IF(OR($CX13="REFER",$CX13="DECLINE"),COUNTIF($CX$5:$CX13,"REFER")+COUNTIF($CX$5:$CX13,"DECLINE"),""))</f>
        <v/>
      </c>
      <c r="DI13" s="94"/>
    </row>
    <row r="14" spans="1:113" x14ac:dyDescent="0.35">
      <c r="A14" s="94"/>
      <c r="B14" s="94"/>
      <c r="C14" s="95"/>
      <c r="D14" s="95"/>
      <c r="E14" s="96"/>
      <c r="F14" s="94"/>
      <c r="G14" s="94"/>
      <c r="H14" s="94"/>
      <c r="I14" s="94"/>
      <c r="J14" s="97"/>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8"/>
      <c r="AR14" s="99" t="str">
        <f t="shared" si="0"/>
        <v/>
      </c>
      <c r="AS14" s="99" t="str">
        <f>IF($A14="","",IF($AP14&lt;&gt;"",$AP14,IFERROR(INDEX('Cat Zone by ZIP'!$D$6:$D$856,MATCH($AR14,'Cat Zone by ZIP'!$B$6:$B$856,0)),IFERROR(INDEX('Cat Zone by ZIP'!$C$860:$C$910,MATCH($K14,'Cat Zone by ZIP'!$B$860:$B$910,0)),"NOT FOUND"))))</f>
        <v/>
      </c>
      <c r="AT14" s="99" t="str">
        <f>IF($A14="","",IF($AP14&lt;&gt;"","Override",IF(ISNUMBER(MATCH($AR14,'Cat Zone by ZIP'!$B$6:$B$856,0)),"ZIP-3","State default")))</f>
        <v/>
      </c>
      <c r="AU14" s="100" t="str">
        <f>IF($A14="","",IFERROR(INDEX('Natural Catastrophe'!$D$6:$D$17,MATCH($AS14,'Natural Catastrophe'!$B$6:$B$17,0)),"?"))</f>
        <v/>
      </c>
      <c r="AV14" s="100" t="str">
        <f>IF($A14="","",IFERROR(INDEX('Natural Catastrophe'!$C$21:$C$26,MATCH($AA14,'Natural Catastrophe'!$B$21:$B$26,0)),"?"))</f>
        <v/>
      </c>
      <c r="AW14" s="99" t="str">
        <f>IF($A14="","",IFERROR(INDEX('Base Rates'!$C$4:$I$4,MATCH(MAX($J14,'Technical Premium'!$C$18),'Base Rates'!$C$3:$I$3,1)),"?"))</f>
        <v/>
      </c>
      <c r="AX14" s="101" t="str">
        <f>IF($A14="","",IFERROR(INDEX('Base Rates'!$C$5:$I$16,MATCH($I14,'Base Rates'!$B$5:$B$16,0),MATCH(MAX($J14,'Technical Premium'!$C$18),'Base Rates'!$C$3:$I$3,1)),"?"))</f>
        <v/>
      </c>
      <c r="AY14" s="102" t="str">
        <f t="shared" si="1"/>
        <v/>
      </c>
      <c r="AZ14" s="99" t="str">
        <f>IF($A14="","",IFERROR(INDEX('Make Factors'!$G$5:$G$69,MATCH($F14,'Make Factors'!$B$5:$B$69,0)),"?"))</f>
        <v/>
      </c>
      <c r="BA14" s="99" t="str">
        <f>IF($A14="","",IFERROR(INDEX('Driver Factors'!$C$6:$C$15,MATCH($R14,'Driver Factors'!$B$6:$B$15,0)),"?"))</f>
        <v/>
      </c>
      <c r="BB14" s="99" t="str">
        <f>IF($A14="","",IFERROR(INDEX('Driver Factors'!$C$19:$C$24,MATCH($S14,'Driver Factors'!$B$19:$B$24,0)),"?"))</f>
        <v/>
      </c>
      <c r="BC14" s="99" t="str">
        <f>IF($A14="","",IFERROR(INDEX('Driver Factors'!$C$28:$C$36,MATCH($T14,'Driver Factors'!$B$28:$B$36,0)),"?"))</f>
        <v/>
      </c>
      <c r="BD14" s="99" t="str">
        <f>IF($A14="","",IFERROR(INDEX('Claims History'!$C$6:$C$15,MATCH($U14,'Claims History'!$B$6:$B$15,0)),"?"))</f>
        <v/>
      </c>
      <c r="BE14" s="99" t="str">
        <f>IF($A14="","",IFERROR(INDEX('Territory Factors'!$E$6:$E$56,MATCH($K14,'Territory Factors'!$B$6:$B$56,0)),"?"))</f>
        <v/>
      </c>
      <c r="BF14" s="99" t="str">
        <f>IF($A14="","",IFERROR(INDEX('City Accident Ratings'!$G$6:$G$54,MATCH($Z14,'City Accident Ratings'!$B$6:$B$54,0)),"?"))</f>
        <v/>
      </c>
      <c r="BG14" s="99" t="str">
        <f>IF($A14="","",IFERROR(INDEX('Usage and Coverage'!$D$6:$D$20,MATCH($N14,'Usage and Coverage'!$C$6:$C$20,0)),"?"))</f>
        <v/>
      </c>
      <c r="BH14" s="99" t="str">
        <f>IF($A14="","",IFERROR(INDEX('Usage and Coverage'!$C$24:$C$30,MATCH($O14,'Usage and Coverage'!$B$24:$B$30,0)),"?"))</f>
        <v/>
      </c>
      <c r="BI14" s="99" t="str">
        <f>IF($A14="","",IFERROR(INDEX('Usage and Coverage'!$C$34:$C$40,MATCH($P14,'Usage and Coverage'!$B$34:$B$40,0)),"?"))</f>
        <v/>
      </c>
      <c r="BJ14" s="99" t="str">
        <f>IF($A14="","",IFERROR(INDEX('Usage and Coverage'!$C$44:$C$49,MATCH($Q14,'Usage and Coverage'!$B$44:$B$49,0)),"?"))</f>
        <v/>
      </c>
      <c r="BK14" s="99" t="str">
        <f>IF($A14="","",IFERROR(INDEX(Deductibles!$C$6:$I$15,MATCH($W14,Deductibles!$B$6:$B$15,0),MATCH(MAX($J14,'Technical Premium'!$C$18),'Base Rates'!$C$3:$I$3,1)),"?"))</f>
        <v/>
      </c>
      <c r="BL14" s="99" t="str">
        <f>IF($A14="","",IFERROR(INDEX('Usage and Coverage'!$C$63:$C$66,MATCH($X14,'Usage and Coverage'!$B$63:$B$66,0)),"?"))</f>
        <v/>
      </c>
      <c r="BM14" s="99" t="str">
        <f>IF($A14="","",IFERROR(INDEX('Usage and Coverage'!$C$70:$C$75,MATCH($V14,'Usage and Coverage'!$B$70:$B$75,0)),"?"))</f>
        <v/>
      </c>
      <c r="BN14" s="99" t="str">
        <f>IF($A14="","",IF($AB14="",1,IFERROR(INDEX(Deductibles!$C$48:$C$51,MATCH($AB14,Deductibles!$B$48:$B$51,0)),"?")))</f>
        <v/>
      </c>
      <c r="BO14" s="99" t="str">
        <f>IF($A14="","",IF($AC14="",1,IFERROR(INDEX(Deductibles!$C$55:$C$57,MATCH($AC14,Deductibles!$B$55:$B$57,0)),"?")))</f>
        <v/>
      </c>
      <c r="BP14" s="99" t="str">
        <f>IF($A14="","",IF($AD14="",1,IFERROR(INDEX(Deductibles!$C$61:$C$63,MATCH($AD14,Deductibles!$B$61:$B$63,0)),"?")))</f>
        <v/>
      </c>
      <c r="BQ14" s="99" t="str">
        <f>IF($A14="","",IF($AE14="",1,IFERROR(INDEX(Deductibles!$C$67:$C$69,MATCH($AE14,Deductibles!$B$67:$B$69,0)),"?")))</f>
        <v/>
      </c>
      <c r="BR14" s="99" t="str">
        <f>IF($A14="","",IF($AF14="",1,IFERROR(INDEX(Deductibles!$C$73:$C$74,MATCH($AF14,Deductibles!$B$73:$B$74,0)),"?")))</f>
        <v/>
      </c>
      <c r="BS14" s="99" t="str">
        <f>IF($A14="","",IF($AG14="",1,IFERROR(INDEX('Sublimits and Parts'!$C$49:$C$52,MATCH($AG14,'Sublimits and Parts'!$B$49:$B$52,0)),"?")))</f>
        <v/>
      </c>
      <c r="BT14" s="99" t="str">
        <f>IF($A14="","",IF($AH14="",1,IFERROR(INDEX('Sublimits and Parts'!$C$56:$C$60,MATCH($AH14,'Sublimits and Parts'!$B$56:$B$60,0)),"?")))</f>
        <v/>
      </c>
      <c r="BU14" s="99" t="str">
        <f>IF($A14="","",IF($AI14="",1,IFERROR(INDEX('Sublimits and Parts'!$C$64:$C$67,MATCH($AI14,'Sublimits and Parts'!$B$64:$B$67,0)),"?")))</f>
        <v/>
      </c>
      <c r="BV14" s="99" t="str">
        <f>IF($A14="","",IF($AJ14="",1,IFERROR(INDEX('Sublimits and Parts'!$C$71:$C$74,MATCH($AJ14,'Sublimits and Parts'!$B$71:$B$74,0)),"?")))</f>
        <v/>
      </c>
      <c r="BW14" s="99" t="str">
        <f>IF($A14="","",IF($AK14="",1,IFERROR(INDEX('Sublimits and Parts'!$C$78:$C$80,MATCH($AK14,'Sublimits and Parts'!$B$78:$B$80,0)),"?")))</f>
        <v/>
      </c>
      <c r="BX14" s="99" t="str">
        <f>IF($A14="","",IF($AL14="",1,IFERROR(INDEX('Sublimits and Parts'!$C$84:$C$87,MATCH($AL14,'Sublimits and Parts'!$B$84:$B$87,0)),"?")))</f>
        <v/>
      </c>
      <c r="BY14" s="99" t="str">
        <f>IF($A14="","",IF($AM14="",1,IFERROR(INDEX('Sublimits and Parts'!$C$91:$C$94,MATCH($AM14,'Sublimits and Parts'!$B$91:$B$94,0)),"?")))</f>
        <v/>
      </c>
      <c r="BZ14" s="99" t="str">
        <f>IF($A14="","",IF($AN14="",1,IFERROR(INDEX('Sublimits and Parts'!$C$98:$C$101,MATCH($AN14,'Sublimits and Parts'!$B$98:$B$101,0)),"?")))</f>
        <v/>
      </c>
      <c r="CA14" s="99" t="str">
        <f>IF($A14="","",IF($AO14="",1,IFERROR(INDEX('Sublimits and Parts'!$C$105:$C$109,MATCH($AO14,'Sublimits and Parts'!$B$105:$B$109,0)),"?")))</f>
        <v/>
      </c>
      <c r="CB14" s="100" t="str">
        <f t="shared" si="2"/>
        <v/>
      </c>
      <c r="CC14" s="100" t="str">
        <f t="shared" si="3"/>
        <v/>
      </c>
      <c r="CD14" s="103" t="str">
        <f>IF($A14="","",IF(OR($CB14="?",$CC14="?"),"?",MIN($CB14*$CC14,'Technical Premium'!$C$17)))</f>
        <v/>
      </c>
      <c r="CE14" s="102" t="str">
        <f t="shared" si="4"/>
        <v/>
      </c>
      <c r="CF14" s="102" t="str">
        <f>IF($A14="","",IFERROR(INDEX('Territory Factors'!$F$6:$F$56,MATCH($K14,'Territory Factors'!$B$6:$B$56,0)),"?"))</f>
        <v/>
      </c>
      <c r="CG14" s="100" t="str">
        <f>IF($A14="","",IFERROR(INDEX('Usage and Coverage'!$C$79:$C$84,MATCH($Y14,'Usage and Coverage'!$B$79:$B$84,0)),"?"))</f>
        <v/>
      </c>
      <c r="CH14" s="102" t="str">
        <f>IFERROR(IF(ISNUMBER($CD14),$CF14*$CG14*MIN($BG14*$BA14*$BC14*$BD14*$BH14*$BF14,'Technical Premium'!$C$17),""),"")</f>
        <v/>
      </c>
      <c r="CI14" s="102" t="str">
        <f t="shared" si="5"/>
        <v/>
      </c>
      <c r="CJ14" s="102" t="str">
        <f>IFERROR($CI14*(1+'Technical Premium'!$C$5)*(1+'Technical Premium'!$C$6),"")</f>
        <v/>
      </c>
      <c r="CK14" s="102" t="str">
        <f>IFERROR($CE14*INDEX('Territory Factors'!$G$6:$G$56,MATCH($K14,'Territory Factors'!$B$6:$B$56,0))*$AU14*$AV14,"")</f>
        <v/>
      </c>
      <c r="CL14" s="102" t="str">
        <f>IFERROR(($CJ14+$CK14)*(1+'Technical Premium'!$C$7),"")</f>
        <v/>
      </c>
      <c r="CM14" s="104" t="str">
        <f>IFERROR($CL14/'Technical Premium'!$C$13,"")</f>
        <v/>
      </c>
      <c r="CN14" s="105" t="str">
        <f t="shared" si="6"/>
        <v/>
      </c>
      <c r="CO14" s="104" t="str">
        <f t="shared" si="7"/>
        <v/>
      </c>
      <c r="CP14" s="105" t="str">
        <f t="shared" si="8"/>
        <v/>
      </c>
      <c r="CQ14" s="106" t="str">
        <f t="shared" si="9"/>
        <v/>
      </c>
      <c r="CR14" s="102" t="str">
        <f>IF(ISNUMBER($CM14),'Technical Premium'!$C$14+IF($J14&gt;=1000000,'Technical Premium'!$C$15,0),"")</f>
        <v/>
      </c>
      <c r="CS14" s="102" t="str">
        <f>IFERROR(($CO14+$CR14)*(INDEX('Territory Factors'!$K$6:$K$56,MATCH($K14,'Territory Factors'!$B$6:$B$56,0))+'Commission Structure'!$C$21),"")</f>
        <v/>
      </c>
      <c r="CT14" s="104" t="str">
        <f t="shared" si="10"/>
        <v/>
      </c>
      <c r="CU14" s="102" t="str">
        <f>IFERROR($CO14*('Commission Structure'!$C$6+'Commission Structure'!$C$7),"")</f>
        <v/>
      </c>
      <c r="CV14" s="102" t="str">
        <f>IFERROR($CO14*'Commission Structure'!$C$5-$CU14,"")</f>
        <v/>
      </c>
      <c r="CW14" s="102" t="str">
        <f>IFERROR($CO14*(1-'Commission Structure'!$C$5),"")</f>
        <v/>
      </c>
      <c r="CX14" s="107"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8" t="str">
        <f t="shared" si="11"/>
        <v/>
      </c>
      <c r="CZ14" s="99" t="str">
        <f>IF($CY14="","",IF($CY14&lt;'Technical Premium'!$C$19,"BEYOND AUTHORITY",IF($CY14&gt;0.005,"Above technical",IF($CY14&lt;-0.005,"BELOW technical","At technical"))))</f>
        <v/>
      </c>
      <c r="DA14" s="99"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4"/>
      <c r="DC14" s="94"/>
      <c r="DD14" s="95"/>
      <c r="DE14" s="94"/>
      <c r="DF14" s="94"/>
      <c r="DG14" s="99" t="str">
        <f t="shared" si="12"/>
        <v/>
      </c>
      <c r="DH14" s="99" t="str">
        <f>IF($A14="","",IF(OR($CX14="REFER",$CX14="DECLINE"),COUNTIF($CX$5:$CX14,"REFER")+COUNTIF($CX$5:$CX14,"DECLINE"),""))</f>
        <v/>
      </c>
      <c r="DI14" s="94"/>
    </row>
    <row r="15" spans="1:113" x14ac:dyDescent="0.35">
      <c r="A15" s="94"/>
      <c r="B15" s="94"/>
      <c r="C15" s="95"/>
      <c r="D15" s="95"/>
      <c r="E15" s="96"/>
      <c r="F15" s="94"/>
      <c r="G15" s="94"/>
      <c r="H15" s="94"/>
      <c r="I15" s="94"/>
      <c r="J15" s="97"/>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8"/>
      <c r="AR15" s="99" t="str">
        <f t="shared" si="0"/>
        <v/>
      </c>
      <c r="AS15" s="99" t="str">
        <f>IF($A15="","",IF($AP15&lt;&gt;"",$AP15,IFERROR(INDEX('Cat Zone by ZIP'!$D$6:$D$856,MATCH($AR15,'Cat Zone by ZIP'!$B$6:$B$856,0)),IFERROR(INDEX('Cat Zone by ZIP'!$C$860:$C$910,MATCH($K15,'Cat Zone by ZIP'!$B$860:$B$910,0)),"NOT FOUND"))))</f>
        <v/>
      </c>
      <c r="AT15" s="99" t="str">
        <f>IF($A15="","",IF($AP15&lt;&gt;"","Override",IF(ISNUMBER(MATCH($AR15,'Cat Zone by ZIP'!$B$6:$B$856,0)),"ZIP-3","State default")))</f>
        <v/>
      </c>
      <c r="AU15" s="100" t="str">
        <f>IF($A15="","",IFERROR(INDEX('Natural Catastrophe'!$D$6:$D$17,MATCH($AS15,'Natural Catastrophe'!$B$6:$B$17,0)),"?"))</f>
        <v/>
      </c>
      <c r="AV15" s="100" t="str">
        <f>IF($A15="","",IFERROR(INDEX('Natural Catastrophe'!$C$21:$C$26,MATCH($AA15,'Natural Catastrophe'!$B$21:$B$26,0)),"?"))</f>
        <v/>
      </c>
      <c r="AW15" s="99" t="str">
        <f>IF($A15="","",IFERROR(INDEX('Base Rates'!$C$4:$I$4,MATCH(MAX($J15,'Technical Premium'!$C$18),'Base Rates'!$C$3:$I$3,1)),"?"))</f>
        <v/>
      </c>
      <c r="AX15" s="101" t="str">
        <f>IF($A15="","",IFERROR(INDEX('Base Rates'!$C$5:$I$16,MATCH($I15,'Base Rates'!$B$5:$B$16,0),MATCH(MAX($J15,'Technical Premium'!$C$18),'Base Rates'!$C$3:$I$3,1)),"?"))</f>
        <v/>
      </c>
      <c r="AY15" s="102" t="str">
        <f t="shared" si="1"/>
        <v/>
      </c>
      <c r="AZ15" s="99" t="str">
        <f>IF($A15="","",IFERROR(INDEX('Make Factors'!$G$5:$G$69,MATCH($F15,'Make Factors'!$B$5:$B$69,0)),"?"))</f>
        <v/>
      </c>
      <c r="BA15" s="99" t="str">
        <f>IF($A15="","",IFERROR(INDEX('Driver Factors'!$C$6:$C$15,MATCH($R15,'Driver Factors'!$B$6:$B$15,0)),"?"))</f>
        <v/>
      </c>
      <c r="BB15" s="99" t="str">
        <f>IF($A15="","",IFERROR(INDEX('Driver Factors'!$C$19:$C$24,MATCH($S15,'Driver Factors'!$B$19:$B$24,0)),"?"))</f>
        <v/>
      </c>
      <c r="BC15" s="99" t="str">
        <f>IF($A15="","",IFERROR(INDEX('Driver Factors'!$C$28:$C$36,MATCH($T15,'Driver Factors'!$B$28:$B$36,0)),"?"))</f>
        <v/>
      </c>
      <c r="BD15" s="99" t="str">
        <f>IF($A15="","",IFERROR(INDEX('Claims History'!$C$6:$C$15,MATCH($U15,'Claims History'!$B$6:$B$15,0)),"?"))</f>
        <v/>
      </c>
      <c r="BE15" s="99" t="str">
        <f>IF($A15="","",IFERROR(INDEX('Territory Factors'!$E$6:$E$56,MATCH($K15,'Territory Factors'!$B$6:$B$56,0)),"?"))</f>
        <v/>
      </c>
      <c r="BF15" s="99" t="str">
        <f>IF($A15="","",IFERROR(INDEX('City Accident Ratings'!$G$6:$G$54,MATCH($Z15,'City Accident Ratings'!$B$6:$B$54,0)),"?"))</f>
        <v/>
      </c>
      <c r="BG15" s="99" t="str">
        <f>IF($A15="","",IFERROR(INDEX('Usage and Coverage'!$D$6:$D$20,MATCH($N15,'Usage and Coverage'!$C$6:$C$20,0)),"?"))</f>
        <v/>
      </c>
      <c r="BH15" s="99" t="str">
        <f>IF($A15="","",IFERROR(INDEX('Usage and Coverage'!$C$24:$C$30,MATCH($O15,'Usage and Coverage'!$B$24:$B$30,0)),"?"))</f>
        <v/>
      </c>
      <c r="BI15" s="99" t="str">
        <f>IF($A15="","",IFERROR(INDEX('Usage and Coverage'!$C$34:$C$40,MATCH($P15,'Usage and Coverage'!$B$34:$B$40,0)),"?"))</f>
        <v/>
      </c>
      <c r="BJ15" s="99" t="str">
        <f>IF($A15="","",IFERROR(INDEX('Usage and Coverage'!$C$44:$C$49,MATCH($Q15,'Usage and Coverage'!$B$44:$B$49,0)),"?"))</f>
        <v/>
      </c>
      <c r="BK15" s="99" t="str">
        <f>IF($A15="","",IFERROR(INDEX(Deductibles!$C$6:$I$15,MATCH($W15,Deductibles!$B$6:$B$15,0),MATCH(MAX($J15,'Technical Premium'!$C$18),'Base Rates'!$C$3:$I$3,1)),"?"))</f>
        <v/>
      </c>
      <c r="BL15" s="99" t="str">
        <f>IF($A15="","",IFERROR(INDEX('Usage and Coverage'!$C$63:$C$66,MATCH($X15,'Usage and Coverage'!$B$63:$B$66,0)),"?"))</f>
        <v/>
      </c>
      <c r="BM15" s="99" t="str">
        <f>IF($A15="","",IFERROR(INDEX('Usage and Coverage'!$C$70:$C$75,MATCH($V15,'Usage and Coverage'!$B$70:$B$75,0)),"?"))</f>
        <v/>
      </c>
      <c r="BN15" s="99" t="str">
        <f>IF($A15="","",IF($AB15="",1,IFERROR(INDEX(Deductibles!$C$48:$C$51,MATCH($AB15,Deductibles!$B$48:$B$51,0)),"?")))</f>
        <v/>
      </c>
      <c r="BO15" s="99" t="str">
        <f>IF($A15="","",IF($AC15="",1,IFERROR(INDEX(Deductibles!$C$55:$C$57,MATCH($AC15,Deductibles!$B$55:$B$57,0)),"?")))</f>
        <v/>
      </c>
      <c r="BP15" s="99" t="str">
        <f>IF($A15="","",IF($AD15="",1,IFERROR(INDEX(Deductibles!$C$61:$C$63,MATCH($AD15,Deductibles!$B$61:$B$63,0)),"?")))</f>
        <v/>
      </c>
      <c r="BQ15" s="99" t="str">
        <f>IF($A15="","",IF($AE15="",1,IFERROR(INDEX(Deductibles!$C$67:$C$69,MATCH($AE15,Deductibles!$B$67:$B$69,0)),"?")))</f>
        <v/>
      </c>
      <c r="BR15" s="99" t="str">
        <f>IF($A15="","",IF($AF15="",1,IFERROR(INDEX(Deductibles!$C$73:$C$74,MATCH($AF15,Deductibles!$B$73:$B$74,0)),"?")))</f>
        <v/>
      </c>
      <c r="BS15" s="99" t="str">
        <f>IF($A15="","",IF($AG15="",1,IFERROR(INDEX('Sublimits and Parts'!$C$49:$C$52,MATCH($AG15,'Sublimits and Parts'!$B$49:$B$52,0)),"?")))</f>
        <v/>
      </c>
      <c r="BT15" s="99" t="str">
        <f>IF($A15="","",IF($AH15="",1,IFERROR(INDEX('Sublimits and Parts'!$C$56:$C$60,MATCH($AH15,'Sublimits and Parts'!$B$56:$B$60,0)),"?")))</f>
        <v/>
      </c>
      <c r="BU15" s="99" t="str">
        <f>IF($A15="","",IF($AI15="",1,IFERROR(INDEX('Sublimits and Parts'!$C$64:$C$67,MATCH($AI15,'Sublimits and Parts'!$B$64:$B$67,0)),"?")))</f>
        <v/>
      </c>
      <c r="BV15" s="99" t="str">
        <f>IF($A15="","",IF($AJ15="",1,IFERROR(INDEX('Sublimits and Parts'!$C$71:$C$74,MATCH($AJ15,'Sublimits and Parts'!$B$71:$B$74,0)),"?")))</f>
        <v/>
      </c>
      <c r="BW15" s="99" t="str">
        <f>IF($A15="","",IF($AK15="",1,IFERROR(INDEX('Sublimits and Parts'!$C$78:$C$80,MATCH($AK15,'Sublimits and Parts'!$B$78:$B$80,0)),"?")))</f>
        <v/>
      </c>
      <c r="BX15" s="99" t="str">
        <f>IF($A15="","",IF($AL15="",1,IFERROR(INDEX('Sublimits and Parts'!$C$84:$C$87,MATCH($AL15,'Sublimits and Parts'!$B$84:$B$87,0)),"?")))</f>
        <v/>
      </c>
      <c r="BY15" s="99" t="str">
        <f>IF($A15="","",IF($AM15="",1,IFERROR(INDEX('Sublimits and Parts'!$C$91:$C$94,MATCH($AM15,'Sublimits and Parts'!$B$91:$B$94,0)),"?")))</f>
        <v/>
      </c>
      <c r="BZ15" s="99" t="str">
        <f>IF($A15="","",IF($AN15="",1,IFERROR(INDEX('Sublimits and Parts'!$C$98:$C$101,MATCH($AN15,'Sublimits and Parts'!$B$98:$B$101,0)),"?")))</f>
        <v/>
      </c>
      <c r="CA15" s="99" t="str">
        <f>IF($A15="","",IF($AO15="",1,IFERROR(INDEX('Sublimits and Parts'!$C$105:$C$109,MATCH($AO15,'Sublimits and Parts'!$B$105:$B$109,0)),"?")))</f>
        <v/>
      </c>
      <c r="CB15" s="100" t="str">
        <f t="shared" si="2"/>
        <v/>
      </c>
      <c r="CC15" s="100" t="str">
        <f t="shared" si="3"/>
        <v/>
      </c>
      <c r="CD15" s="103" t="str">
        <f>IF($A15="","",IF(OR($CB15="?",$CC15="?"),"?",MIN($CB15*$CC15,'Technical Premium'!$C$17)))</f>
        <v/>
      </c>
      <c r="CE15" s="102" t="str">
        <f t="shared" si="4"/>
        <v/>
      </c>
      <c r="CF15" s="102" t="str">
        <f>IF($A15="","",IFERROR(INDEX('Territory Factors'!$F$6:$F$56,MATCH($K15,'Territory Factors'!$B$6:$B$56,0)),"?"))</f>
        <v/>
      </c>
      <c r="CG15" s="100" t="str">
        <f>IF($A15="","",IFERROR(INDEX('Usage and Coverage'!$C$79:$C$84,MATCH($Y15,'Usage and Coverage'!$B$79:$B$84,0)),"?"))</f>
        <v/>
      </c>
      <c r="CH15" s="102" t="str">
        <f>IFERROR(IF(ISNUMBER($CD15),$CF15*$CG15*MIN($BG15*$BA15*$BC15*$BD15*$BH15*$BF15,'Technical Premium'!$C$17),""),"")</f>
        <v/>
      </c>
      <c r="CI15" s="102" t="str">
        <f t="shared" si="5"/>
        <v/>
      </c>
      <c r="CJ15" s="102" t="str">
        <f>IFERROR($CI15*(1+'Technical Premium'!$C$5)*(1+'Technical Premium'!$C$6),"")</f>
        <v/>
      </c>
      <c r="CK15" s="102" t="str">
        <f>IFERROR($CE15*INDEX('Territory Factors'!$G$6:$G$56,MATCH($K15,'Territory Factors'!$B$6:$B$56,0))*$AU15*$AV15,"")</f>
        <v/>
      </c>
      <c r="CL15" s="102" t="str">
        <f>IFERROR(($CJ15+$CK15)*(1+'Technical Premium'!$C$7),"")</f>
        <v/>
      </c>
      <c r="CM15" s="104" t="str">
        <f>IFERROR($CL15/'Technical Premium'!$C$13,"")</f>
        <v/>
      </c>
      <c r="CN15" s="105" t="str">
        <f t="shared" si="6"/>
        <v/>
      </c>
      <c r="CO15" s="104" t="str">
        <f t="shared" si="7"/>
        <v/>
      </c>
      <c r="CP15" s="105" t="str">
        <f t="shared" si="8"/>
        <v/>
      </c>
      <c r="CQ15" s="106" t="str">
        <f t="shared" si="9"/>
        <v/>
      </c>
      <c r="CR15" s="102" t="str">
        <f>IF(ISNUMBER($CM15),'Technical Premium'!$C$14+IF($J15&gt;=1000000,'Technical Premium'!$C$15,0),"")</f>
        <v/>
      </c>
      <c r="CS15" s="102" t="str">
        <f>IFERROR(($CO15+$CR15)*(INDEX('Territory Factors'!$K$6:$K$56,MATCH($K15,'Territory Factors'!$B$6:$B$56,0))+'Commission Structure'!$C$21),"")</f>
        <v/>
      </c>
      <c r="CT15" s="104" t="str">
        <f t="shared" si="10"/>
        <v/>
      </c>
      <c r="CU15" s="102" t="str">
        <f>IFERROR($CO15*('Commission Structure'!$C$6+'Commission Structure'!$C$7),"")</f>
        <v/>
      </c>
      <c r="CV15" s="102" t="str">
        <f>IFERROR($CO15*'Commission Structure'!$C$5-$CU15,"")</f>
        <v/>
      </c>
      <c r="CW15" s="102" t="str">
        <f>IFERROR($CO15*(1-'Commission Structure'!$C$5),"")</f>
        <v/>
      </c>
      <c r="CX15" s="107"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8" t="str">
        <f t="shared" si="11"/>
        <v/>
      </c>
      <c r="CZ15" s="99" t="str">
        <f>IF($CY15="","",IF($CY15&lt;'Technical Premium'!$C$19,"BEYOND AUTHORITY",IF($CY15&gt;0.005,"Above technical",IF($CY15&lt;-0.005,"BELOW technical","At technical"))))</f>
        <v/>
      </c>
      <c r="DA15" s="99"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4"/>
      <c r="DC15" s="94"/>
      <c r="DD15" s="95"/>
      <c r="DE15" s="94"/>
      <c r="DF15" s="94"/>
      <c r="DG15" s="99" t="str">
        <f t="shared" si="12"/>
        <v/>
      </c>
      <c r="DH15" s="99" t="str">
        <f>IF($A15="","",IF(OR($CX15="REFER",$CX15="DECLINE"),COUNTIF($CX$5:$CX15,"REFER")+COUNTIF($CX$5:$CX15,"DECLINE"),""))</f>
        <v/>
      </c>
      <c r="DI15" s="94"/>
    </row>
    <row r="16" spans="1:113" x14ac:dyDescent="0.35">
      <c r="A16" s="94"/>
      <c r="B16" s="94"/>
      <c r="C16" s="95"/>
      <c r="D16" s="95"/>
      <c r="E16" s="96"/>
      <c r="F16" s="94"/>
      <c r="G16" s="94"/>
      <c r="H16" s="94"/>
      <c r="I16" s="94"/>
      <c r="J16" s="97"/>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8"/>
      <c r="AR16" s="99" t="str">
        <f t="shared" si="0"/>
        <v/>
      </c>
      <c r="AS16" s="99" t="str">
        <f>IF($A16="","",IF($AP16&lt;&gt;"",$AP16,IFERROR(INDEX('Cat Zone by ZIP'!$D$6:$D$856,MATCH($AR16,'Cat Zone by ZIP'!$B$6:$B$856,0)),IFERROR(INDEX('Cat Zone by ZIP'!$C$860:$C$910,MATCH($K16,'Cat Zone by ZIP'!$B$860:$B$910,0)),"NOT FOUND"))))</f>
        <v/>
      </c>
      <c r="AT16" s="99" t="str">
        <f>IF($A16="","",IF($AP16&lt;&gt;"","Override",IF(ISNUMBER(MATCH($AR16,'Cat Zone by ZIP'!$B$6:$B$856,0)),"ZIP-3","State default")))</f>
        <v/>
      </c>
      <c r="AU16" s="100" t="str">
        <f>IF($A16="","",IFERROR(INDEX('Natural Catastrophe'!$D$6:$D$17,MATCH($AS16,'Natural Catastrophe'!$B$6:$B$17,0)),"?"))</f>
        <v/>
      </c>
      <c r="AV16" s="100" t="str">
        <f>IF($A16="","",IFERROR(INDEX('Natural Catastrophe'!$C$21:$C$26,MATCH($AA16,'Natural Catastrophe'!$B$21:$B$26,0)),"?"))</f>
        <v/>
      </c>
      <c r="AW16" s="99" t="str">
        <f>IF($A16="","",IFERROR(INDEX('Base Rates'!$C$4:$I$4,MATCH(MAX($J16,'Technical Premium'!$C$18),'Base Rates'!$C$3:$I$3,1)),"?"))</f>
        <v/>
      </c>
      <c r="AX16" s="101" t="str">
        <f>IF($A16="","",IFERROR(INDEX('Base Rates'!$C$5:$I$16,MATCH($I16,'Base Rates'!$B$5:$B$16,0),MATCH(MAX($J16,'Technical Premium'!$C$18),'Base Rates'!$C$3:$I$3,1)),"?"))</f>
        <v/>
      </c>
      <c r="AY16" s="102" t="str">
        <f t="shared" si="1"/>
        <v/>
      </c>
      <c r="AZ16" s="99" t="str">
        <f>IF($A16="","",IFERROR(INDEX('Make Factors'!$G$5:$G$69,MATCH($F16,'Make Factors'!$B$5:$B$69,0)),"?"))</f>
        <v/>
      </c>
      <c r="BA16" s="99" t="str">
        <f>IF($A16="","",IFERROR(INDEX('Driver Factors'!$C$6:$C$15,MATCH($R16,'Driver Factors'!$B$6:$B$15,0)),"?"))</f>
        <v/>
      </c>
      <c r="BB16" s="99" t="str">
        <f>IF($A16="","",IFERROR(INDEX('Driver Factors'!$C$19:$C$24,MATCH($S16,'Driver Factors'!$B$19:$B$24,0)),"?"))</f>
        <v/>
      </c>
      <c r="BC16" s="99" t="str">
        <f>IF($A16="","",IFERROR(INDEX('Driver Factors'!$C$28:$C$36,MATCH($T16,'Driver Factors'!$B$28:$B$36,0)),"?"))</f>
        <v/>
      </c>
      <c r="BD16" s="99" t="str">
        <f>IF($A16="","",IFERROR(INDEX('Claims History'!$C$6:$C$15,MATCH($U16,'Claims History'!$B$6:$B$15,0)),"?"))</f>
        <v/>
      </c>
      <c r="BE16" s="99" t="str">
        <f>IF($A16="","",IFERROR(INDEX('Territory Factors'!$E$6:$E$56,MATCH($K16,'Territory Factors'!$B$6:$B$56,0)),"?"))</f>
        <v/>
      </c>
      <c r="BF16" s="99" t="str">
        <f>IF($A16="","",IFERROR(INDEX('City Accident Ratings'!$G$6:$G$54,MATCH($Z16,'City Accident Ratings'!$B$6:$B$54,0)),"?"))</f>
        <v/>
      </c>
      <c r="BG16" s="99" t="str">
        <f>IF($A16="","",IFERROR(INDEX('Usage and Coverage'!$D$6:$D$20,MATCH($N16,'Usage and Coverage'!$C$6:$C$20,0)),"?"))</f>
        <v/>
      </c>
      <c r="BH16" s="99" t="str">
        <f>IF($A16="","",IFERROR(INDEX('Usage and Coverage'!$C$24:$C$30,MATCH($O16,'Usage and Coverage'!$B$24:$B$30,0)),"?"))</f>
        <v/>
      </c>
      <c r="BI16" s="99" t="str">
        <f>IF($A16="","",IFERROR(INDEX('Usage and Coverage'!$C$34:$C$40,MATCH($P16,'Usage and Coverage'!$B$34:$B$40,0)),"?"))</f>
        <v/>
      </c>
      <c r="BJ16" s="99" t="str">
        <f>IF($A16="","",IFERROR(INDEX('Usage and Coverage'!$C$44:$C$49,MATCH($Q16,'Usage and Coverage'!$B$44:$B$49,0)),"?"))</f>
        <v/>
      </c>
      <c r="BK16" s="99" t="str">
        <f>IF($A16="","",IFERROR(INDEX(Deductibles!$C$6:$I$15,MATCH($W16,Deductibles!$B$6:$B$15,0),MATCH(MAX($J16,'Technical Premium'!$C$18),'Base Rates'!$C$3:$I$3,1)),"?"))</f>
        <v/>
      </c>
      <c r="BL16" s="99" t="str">
        <f>IF($A16="","",IFERROR(INDEX('Usage and Coverage'!$C$63:$C$66,MATCH($X16,'Usage and Coverage'!$B$63:$B$66,0)),"?"))</f>
        <v/>
      </c>
      <c r="BM16" s="99" t="str">
        <f>IF($A16="","",IFERROR(INDEX('Usage and Coverage'!$C$70:$C$75,MATCH($V16,'Usage and Coverage'!$B$70:$B$75,0)),"?"))</f>
        <v/>
      </c>
      <c r="BN16" s="99" t="str">
        <f>IF($A16="","",IF($AB16="",1,IFERROR(INDEX(Deductibles!$C$48:$C$51,MATCH($AB16,Deductibles!$B$48:$B$51,0)),"?")))</f>
        <v/>
      </c>
      <c r="BO16" s="99" t="str">
        <f>IF($A16="","",IF($AC16="",1,IFERROR(INDEX(Deductibles!$C$55:$C$57,MATCH($AC16,Deductibles!$B$55:$B$57,0)),"?")))</f>
        <v/>
      </c>
      <c r="BP16" s="99" t="str">
        <f>IF($A16="","",IF($AD16="",1,IFERROR(INDEX(Deductibles!$C$61:$C$63,MATCH($AD16,Deductibles!$B$61:$B$63,0)),"?")))</f>
        <v/>
      </c>
      <c r="BQ16" s="99" t="str">
        <f>IF($A16="","",IF($AE16="",1,IFERROR(INDEX(Deductibles!$C$67:$C$69,MATCH($AE16,Deductibles!$B$67:$B$69,0)),"?")))</f>
        <v/>
      </c>
      <c r="BR16" s="99" t="str">
        <f>IF($A16="","",IF($AF16="",1,IFERROR(INDEX(Deductibles!$C$73:$C$74,MATCH($AF16,Deductibles!$B$73:$B$74,0)),"?")))</f>
        <v/>
      </c>
      <c r="BS16" s="99" t="str">
        <f>IF($A16="","",IF($AG16="",1,IFERROR(INDEX('Sublimits and Parts'!$C$49:$C$52,MATCH($AG16,'Sublimits and Parts'!$B$49:$B$52,0)),"?")))</f>
        <v/>
      </c>
      <c r="BT16" s="99" t="str">
        <f>IF($A16="","",IF($AH16="",1,IFERROR(INDEX('Sublimits and Parts'!$C$56:$C$60,MATCH($AH16,'Sublimits and Parts'!$B$56:$B$60,0)),"?")))</f>
        <v/>
      </c>
      <c r="BU16" s="99" t="str">
        <f>IF($A16="","",IF($AI16="",1,IFERROR(INDEX('Sublimits and Parts'!$C$64:$C$67,MATCH($AI16,'Sublimits and Parts'!$B$64:$B$67,0)),"?")))</f>
        <v/>
      </c>
      <c r="BV16" s="99" t="str">
        <f>IF($A16="","",IF($AJ16="",1,IFERROR(INDEX('Sublimits and Parts'!$C$71:$C$74,MATCH($AJ16,'Sublimits and Parts'!$B$71:$B$74,0)),"?")))</f>
        <v/>
      </c>
      <c r="BW16" s="99" t="str">
        <f>IF($A16="","",IF($AK16="",1,IFERROR(INDEX('Sublimits and Parts'!$C$78:$C$80,MATCH($AK16,'Sublimits and Parts'!$B$78:$B$80,0)),"?")))</f>
        <v/>
      </c>
      <c r="BX16" s="99" t="str">
        <f>IF($A16="","",IF($AL16="",1,IFERROR(INDEX('Sublimits and Parts'!$C$84:$C$87,MATCH($AL16,'Sublimits and Parts'!$B$84:$B$87,0)),"?")))</f>
        <v/>
      </c>
      <c r="BY16" s="99" t="str">
        <f>IF($A16="","",IF($AM16="",1,IFERROR(INDEX('Sublimits and Parts'!$C$91:$C$94,MATCH($AM16,'Sublimits and Parts'!$B$91:$B$94,0)),"?")))</f>
        <v/>
      </c>
      <c r="BZ16" s="99" t="str">
        <f>IF($A16="","",IF($AN16="",1,IFERROR(INDEX('Sublimits and Parts'!$C$98:$C$101,MATCH($AN16,'Sublimits and Parts'!$B$98:$B$101,0)),"?")))</f>
        <v/>
      </c>
      <c r="CA16" s="99" t="str">
        <f>IF($A16="","",IF($AO16="",1,IFERROR(INDEX('Sublimits and Parts'!$C$105:$C$109,MATCH($AO16,'Sublimits and Parts'!$B$105:$B$109,0)),"?")))</f>
        <v/>
      </c>
      <c r="CB16" s="100" t="str">
        <f t="shared" si="2"/>
        <v/>
      </c>
      <c r="CC16" s="100" t="str">
        <f t="shared" si="3"/>
        <v/>
      </c>
      <c r="CD16" s="103" t="str">
        <f>IF($A16="","",IF(OR($CB16="?",$CC16="?"),"?",MIN($CB16*$CC16,'Technical Premium'!$C$17)))</f>
        <v/>
      </c>
      <c r="CE16" s="102" t="str">
        <f t="shared" si="4"/>
        <v/>
      </c>
      <c r="CF16" s="102" t="str">
        <f>IF($A16="","",IFERROR(INDEX('Territory Factors'!$F$6:$F$56,MATCH($K16,'Territory Factors'!$B$6:$B$56,0)),"?"))</f>
        <v/>
      </c>
      <c r="CG16" s="100" t="str">
        <f>IF($A16="","",IFERROR(INDEX('Usage and Coverage'!$C$79:$C$84,MATCH($Y16,'Usage and Coverage'!$B$79:$B$84,0)),"?"))</f>
        <v/>
      </c>
      <c r="CH16" s="102" t="str">
        <f>IFERROR(IF(ISNUMBER($CD16),$CF16*$CG16*MIN($BG16*$BA16*$BC16*$BD16*$BH16*$BF16,'Technical Premium'!$C$17),""),"")</f>
        <v/>
      </c>
      <c r="CI16" s="102" t="str">
        <f t="shared" si="5"/>
        <v/>
      </c>
      <c r="CJ16" s="102" t="str">
        <f>IFERROR($CI16*(1+'Technical Premium'!$C$5)*(1+'Technical Premium'!$C$6),"")</f>
        <v/>
      </c>
      <c r="CK16" s="102" t="str">
        <f>IFERROR($CE16*INDEX('Territory Factors'!$G$6:$G$56,MATCH($K16,'Territory Factors'!$B$6:$B$56,0))*$AU16*$AV16,"")</f>
        <v/>
      </c>
      <c r="CL16" s="102" t="str">
        <f>IFERROR(($CJ16+$CK16)*(1+'Technical Premium'!$C$7),"")</f>
        <v/>
      </c>
      <c r="CM16" s="104" t="str">
        <f>IFERROR($CL16/'Technical Premium'!$C$13,"")</f>
        <v/>
      </c>
      <c r="CN16" s="105" t="str">
        <f t="shared" si="6"/>
        <v/>
      </c>
      <c r="CO16" s="104" t="str">
        <f t="shared" si="7"/>
        <v/>
      </c>
      <c r="CP16" s="105" t="str">
        <f t="shared" si="8"/>
        <v/>
      </c>
      <c r="CQ16" s="106" t="str">
        <f t="shared" si="9"/>
        <v/>
      </c>
      <c r="CR16" s="102" t="str">
        <f>IF(ISNUMBER($CM16),'Technical Premium'!$C$14+IF($J16&gt;=1000000,'Technical Premium'!$C$15,0),"")</f>
        <v/>
      </c>
      <c r="CS16" s="102" t="str">
        <f>IFERROR(($CO16+$CR16)*(INDEX('Territory Factors'!$K$6:$K$56,MATCH($K16,'Territory Factors'!$B$6:$B$56,0))+'Commission Structure'!$C$21),"")</f>
        <v/>
      </c>
      <c r="CT16" s="104" t="str">
        <f t="shared" si="10"/>
        <v/>
      </c>
      <c r="CU16" s="102" t="str">
        <f>IFERROR($CO16*('Commission Structure'!$C$6+'Commission Structure'!$C$7),"")</f>
        <v/>
      </c>
      <c r="CV16" s="102" t="str">
        <f>IFERROR($CO16*'Commission Structure'!$C$5-$CU16,"")</f>
        <v/>
      </c>
      <c r="CW16" s="102" t="str">
        <f>IFERROR($CO16*(1-'Commission Structure'!$C$5),"")</f>
        <v/>
      </c>
      <c r="CX16" s="107"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8" t="str">
        <f t="shared" si="11"/>
        <v/>
      </c>
      <c r="CZ16" s="99" t="str">
        <f>IF($CY16="","",IF($CY16&lt;'Technical Premium'!$C$19,"BEYOND AUTHORITY",IF($CY16&gt;0.005,"Above technical",IF($CY16&lt;-0.005,"BELOW technical","At technical"))))</f>
        <v/>
      </c>
      <c r="DA16" s="99"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4"/>
      <c r="DC16" s="94"/>
      <c r="DD16" s="95"/>
      <c r="DE16" s="94"/>
      <c r="DF16" s="94"/>
      <c r="DG16" s="99" t="str">
        <f t="shared" si="12"/>
        <v/>
      </c>
      <c r="DH16" s="99" t="str">
        <f>IF($A16="","",IF(OR($CX16="REFER",$CX16="DECLINE"),COUNTIF($CX$5:$CX16,"REFER")+COUNTIF($CX$5:$CX16,"DECLINE"),""))</f>
        <v/>
      </c>
      <c r="DI16" s="94"/>
    </row>
    <row r="17" spans="1:113" x14ac:dyDescent="0.35">
      <c r="A17" s="94"/>
      <c r="B17" s="94"/>
      <c r="C17" s="95"/>
      <c r="D17" s="95"/>
      <c r="E17" s="96"/>
      <c r="F17" s="94"/>
      <c r="G17" s="94"/>
      <c r="H17" s="94"/>
      <c r="I17" s="94"/>
      <c r="J17" s="97"/>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c r="AJ17" s="94"/>
      <c r="AK17" s="94"/>
      <c r="AL17" s="94"/>
      <c r="AM17" s="94"/>
      <c r="AN17" s="94"/>
      <c r="AO17" s="94"/>
      <c r="AP17" s="94"/>
      <c r="AQ17" s="98"/>
      <c r="AR17" s="99" t="str">
        <f t="shared" si="0"/>
        <v/>
      </c>
      <c r="AS17" s="99" t="str">
        <f>IF($A17="","",IF($AP17&lt;&gt;"",$AP17,IFERROR(INDEX('Cat Zone by ZIP'!$D$6:$D$856,MATCH($AR17,'Cat Zone by ZIP'!$B$6:$B$856,0)),IFERROR(INDEX('Cat Zone by ZIP'!$C$860:$C$910,MATCH($K17,'Cat Zone by ZIP'!$B$860:$B$910,0)),"NOT FOUND"))))</f>
        <v/>
      </c>
      <c r="AT17" s="99" t="str">
        <f>IF($A17="","",IF($AP17&lt;&gt;"","Override",IF(ISNUMBER(MATCH($AR17,'Cat Zone by ZIP'!$B$6:$B$856,0)),"ZIP-3","State default")))</f>
        <v/>
      </c>
      <c r="AU17" s="100" t="str">
        <f>IF($A17="","",IFERROR(INDEX('Natural Catastrophe'!$D$6:$D$17,MATCH($AS17,'Natural Catastrophe'!$B$6:$B$17,0)),"?"))</f>
        <v/>
      </c>
      <c r="AV17" s="100" t="str">
        <f>IF($A17="","",IFERROR(INDEX('Natural Catastrophe'!$C$21:$C$26,MATCH($AA17,'Natural Catastrophe'!$B$21:$B$26,0)),"?"))</f>
        <v/>
      </c>
      <c r="AW17" s="99" t="str">
        <f>IF($A17="","",IFERROR(INDEX('Base Rates'!$C$4:$I$4,MATCH(MAX($J17,'Technical Premium'!$C$18),'Base Rates'!$C$3:$I$3,1)),"?"))</f>
        <v/>
      </c>
      <c r="AX17" s="101" t="str">
        <f>IF($A17="","",IFERROR(INDEX('Base Rates'!$C$5:$I$16,MATCH($I17,'Base Rates'!$B$5:$B$16,0),MATCH(MAX($J17,'Technical Premium'!$C$18),'Base Rates'!$C$3:$I$3,1)),"?"))</f>
        <v/>
      </c>
      <c r="AY17" s="102" t="str">
        <f t="shared" si="1"/>
        <v/>
      </c>
      <c r="AZ17" s="99" t="str">
        <f>IF($A17="","",IFERROR(INDEX('Make Factors'!$G$5:$G$69,MATCH($F17,'Make Factors'!$B$5:$B$69,0)),"?"))</f>
        <v/>
      </c>
      <c r="BA17" s="99" t="str">
        <f>IF($A17="","",IFERROR(INDEX('Driver Factors'!$C$6:$C$15,MATCH($R17,'Driver Factors'!$B$6:$B$15,0)),"?"))</f>
        <v/>
      </c>
      <c r="BB17" s="99" t="str">
        <f>IF($A17="","",IFERROR(INDEX('Driver Factors'!$C$19:$C$24,MATCH($S17,'Driver Factors'!$B$19:$B$24,0)),"?"))</f>
        <v/>
      </c>
      <c r="BC17" s="99" t="str">
        <f>IF($A17="","",IFERROR(INDEX('Driver Factors'!$C$28:$C$36,MATCH($T17,'Driver Factors'!$B$28:$B$36,0)),"?"))</f>
        <v/>
      </c>
      <c r="BD17" s="99" t="str">
        <f>IF($A17="","",IFERROR(INDEX('Claims History'!$C$6:$C$15,MATCH($U17,'Claims History'!$B$6:$B$15,0)),"?"))</f>
        <v/>
      </c>
      <c r="BE17" s="99" t="str">
        <f>IF($A17="","",IFERROR(INDEX('Territory Factors'!$E$6:$E$56,MATCH($K17,'Territory Factors'!$B$6:$B$56,0)),"?"))</f>
        <v/>
      </c>
      <c r="BF17" s="99" t="str">
        <f>IF($A17="","",IFERROR(INDEX('City Accident Ratings'!$G$6:$G$54,MATCH($Z17,'City Accident Ratings'!$B$6:$B$54,0)),"?"))</f>
        <v/>
      </c>
      <c r="BG17" s="99" t="str">
        <f>IF($A17="","",IFERROR(INDEX('Usage and Coverage'!$D$6:$D$20,MATCH($N17,'Usage and Coverage'!$C$6:$C$20,0)),"?"))</f>
        <v/>
      </c>
      <c r="BH17" s="99" t="str">
        <f>IF($A17="","",IFERROR(INDEX('Usage and Coverage'!$C$24:$C$30,MATCH($O17,'Usage and Coverage'!$B$24:$B$30,0)),"?"))</f>
        <v/>
      </c>
      <c r="BI17" s="99" t="str">
        <f>IF($A17="","",IFERROR(INDEX('Usage and Coverage'!$C$34:$C$40,MATCH($P17,'Usage and Coverage'!$B$34:$B$40,0)),"?"))</f>
        <v/>
      </c>
      <c r="BJ17" s="99" t="str">
        <f>IF($A17="","",IFERROR(INDEX('Usage and Coverage'!$C$44:$C$49,MATCH($Q17,'Usage and Coverage'!$B$44:$B$49,0)),"?"))</f>
        <v/>
      </c>
      <c r="BK17" s="99" t="str">
        <f>IF($A17="","",IFERROR(INDEX(Deductibles!$C$6:$I$15,MATCH($W17,Deductibles!$B$6:$B$15,0),MATCH(MAX($J17,'Technical Premium'!$C$18),'Base Rates'!$C$3:$I$3,1)),"?"))</f>
        <v/>
      </c>
      <c r="BL17" s="99" t="str">
        <f>IF($A17="","",IFERROR(INDEX('Usage and Coverage'!$C$63:$C$66,MATCH($X17,'Usage and Coverage'!$B$63:$B$66,0)),"?"))</f>
        <v/>
      </c>
      <c r="BM17" s="99" t="str">
        <f>IF($A17="","",IFERROR(INDEX('Usage and Coverage'!$C$70:$C$75,MATCH($V17,'Usage and Coverage'!$B$70:$B$75,0)),"?"))</f>
        <v/>
      </c>
      <c r="BN17" s="99" t="str">
        <f>IF($A17="","",IF($AB17="",1,IFERROR(INDEX(Deductibles!$C$48:$C$51,MATCH($AB17,Deductibles!$B$48:$B$51,0)),"?")))</f>
        <v/>
      </c>
      <c r="BO17" s="99" t="str">
        <f>IF($A17="","",IF($AC17="",1,IFERROR(INDEX(Deductibles!$C$55:$C$57,MATCH($AC17,Deductibles!$B$55:$B$57,0)),"?")))</f>
        <v/>
      </c>
      <c r="BP17" s="99" t="str">
        <f>IF($A17="","",IF($AD17="",1,IFERROR(INDEX(Deductibles!$C$61:$C$63,MATCH($AD17,Deductibles!$B$61:$B$63,0)),"?")))</f>
        <v/>
      </c>
      <c r="BQ17" s="99" t="str">
        <f>IF($A17="","",IF($AE17="",1,IFERROR(INDEX(Deductibles!$C$67:$C$69,MATCH($AE17,Deductibles!$B$67:$B$69,0)),"?")))</f>
        <v/>
      </c>
      <c r="BR17" s="99" t="str">
        <f>IF($A17="","",IF($AF17="",1,IFERROR(INDEX(Deductibles!$C$73:$C$74,MATCH($AF17,Deductibles!$B$73:$B$74,0)),"?")))</f>
        <v/>
      </c>
      <c r="BS17" s="99" t="str">
        <f>IF($A17="","",IF($AG17="",1,IFERROR(INDEX('Sublimits and Parts'!$C$49:$C$52,MATCH($AG17,'Sublimits and Parts'!$B$49:$B$52,0)),"?")))</f>
        <v/>
      </c>
      <c r="BT17" s="99" t="str">
        <f>IF($A17="","",IF($AH17="",1,IFERROR(INDEX('Sublimits and Parts'!$C$56:$C$60,MATCH($AH17,'Sublimits and Parts'!$B$56:$B$60,0)),"?")))</f>
        <v/>
      </c>
      <c r="BU17" s="99" t="str">
        <f>IF($A17="","",IF($AI17="",1,IFERROR(INDEX('Sublimits and Parts'!$C$64:$C$67,MATCH($AI17,'Sublimits and Parts'!$B$64:$B$67,0)),"?")))</f>
        <v/>
      </c>
      <c r="BV17" s="99" t="str">
        <f>IF($A17="","",IF($AJ17="",1,IFERROR(INDEX('Sublimits and Parts'!$C$71:$C$74,MATCH($AJ17,'Sublimits and Parts'!$B$71:$B$74,0)),"?")))</f>
        <v/>
      </c>
      <c r="BW17" s="99" t="str">
        <f>IF($A17="","",IF($AK17="",1,IFERROR(INDEX('Sublimits and Parts'!$C$78:$C$80,MATCH($AK17,'Sublimits and Parts'!$B$78:$B$80,0)),"?")))</f>
        <v/>
      </c>
      <c r="BX17" s="99" t="str">
        <f>IF($A17="","",IF($AL17="",1,IFERROR(INDEX('Sublimits and Parts'!$C$84:$C$87,MATCH($AL17,'Sublimits and Parts'!$B$84:$B$87,0)),"?")))</f>
        <v/>
      </c>
      <c r="BY17" s="99" t="str">
        <f>IF($A17="","",IF($AM17="",1,IFERROR(INDEX('Sublimits and Parts'!$C$91:$C$94,MATCH($AM17,'Sublimits and Parts'!$B$91:$B$94,0)),"?")))</f>
        <v/>
      </c>
      <c r="BZ17" s="99" t="str">
        <f>IF($A17="","",IF($AN17="",1,IFERROR(INDEX('Sublimits and Parts'!$C$98:$C$101,MATCH($AN17,'Sublimits and Parts'!$B$98:$B$101,0)),"?")))</f>
        <v/>
      </c>
      <c r="CA17" s="99" t="str">
        <f>IF($A17="","",IF($AO17="",1,IFERROR(INDEX('Sublimits and Parts'!$C$105:$C$109,MATCH($AO17,'Sublimits and Parts'!$B$105:$B$109,0)),"?")))</f>
        <v/>
      </c>
      <c r="CB17" s="100" t="str">
        <f t="shared" si="2"/>
        <v/>
      </c>
      <c r="CC17" s="100" t="str">
        <f t="shared" si="3"/>
        <v/>
      </c>
      <c r="CD17" s="103" t="str">
        <f>IF($A17="","",IF(OR($CB17="?",$CC17="?"),"?",MIN($CB17*$CC17,'Technical Premium'!$C$17)))</f>
        <v/>
      </c>
      <c r="CE17" s="102" t="str">
        <f t="shared" si="4"/>
        <v/>
      </c>
      <c r="CF17" s="102" t="str">
        <f>IF($A17="","",IFERROR(INDEX('Territory Factors'!$F$6:$F$56,MATCH($K17,'Territory Factors'!$B$6:$B$56,0)),"?"))</f>
        <v/>
      </c>
      <c r="CG17" s="100" t="str">
        <f>IF($A17="","",IFERROR(INDEX('Usage and Coverage'!$C$79:$C$84,MATCH($Y17,'Usage and Coverage'!$B$79:$B$84,0)),"?"))</f>
        <v/>
      </c>
      <c r="CH17" s="102" t="str">
        <f>IFERROR(IF(ISNUMBER($CD17),$CF17*$CG17*MIN($BG17*$BA17*$BC17*$BD17*$BH17*$BF17,'Technical Premium'!$C$17),""),"")</f>
        <v/>
      </c>
      <c r="CI17" s="102" t="str">
        <f t="shared" si="5"/>
        <v/>
      </c>
      <c r="CJ17" s="102" t="str">
        <f>IFERROR($CI17*(1+'Technical Premium'!$C$5)*(1+'Technical Premium'!$C$6),"")</f>
        <v/>
      </c>
      <c r="CK17" s="102" t="str">
        <f>IFERROR($CE17*INDEX('Territory Factors'!$G$6:$G$56,MATCH($K17,'Territory Factors'!$B$6:$B$56,0))*$AU17*$AV17,"")</f>
        <v/>
      </c>
      <c r="CL17" s="102" t="str">
        <f>IFERROR(($CJ17+$CK17)*(1+'Technical Premium'!$C$7),"")</f>
        <v/>
      </c>
      <c r="CM17" s="104" t="str">
        <f>IFERROR($CL17/'Technical Premium'!$C$13,"")</f>
        <v/>
      </c>
      <c r="CN17" s="105" t="str">
        <f t="shared" si="6"/>
        <v/>
      </c>
      <c r="CO17" s="104" t="str">
        <f t="shared" si="7"/>
        <v/>
      </c>
      <c r="CP17" s="105" t="str">
        <f t="shared" si="8"/>
        <v/>
      </c>
      <c r="CQ17" s="106" t="str">
        <f t="shared" si="9"/>
        <v/>
      </c>
      <c r="CR17" s="102" t="str">
        <f>IF(ISNUMBER($CM17),'Technical Premium'!$C$14+IF($J17&gt;=1000000,'Technical Premium'!$C$15,0),"")</f>
        <v/>
      </c>
      <c r="CS17" s="102" t="str">
        <f>IFERROR(($CO17+$CR17)*(INDEX('Territory Factors'!$K$6:$K$56,MATCH($K17,'Territory Factors'!$B$6:$B$56,0))+'Commission Structure'!$C$21),"")</f>
        <v/>
      </c>
      <c r="CT17" s="104" t="str">
        <f t="shared" si="10"/>
        <v/>
      </c>
      <c r="CU17" s="102" t="str">
        <f>IFERROR($CO17*('Commission Structure'!$C$6+'Commission Structure'!$C$7),"")</f>
        <v/>
      </c>
      <c r="CV17" s="102" t="str">
        <f>IFERROR($CO17*'Commission Structure'!$C$5-$CU17,"")</f>
        <v/>
      </c>
      <c r="CW17" s="102" t="str">
        <f>IFERROR($CO17*(1-'Commission Structure'!$C$5),"")</f>
        <v/>
      </c>
      <c r="CX17" s="107"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8" t="str">
        <f t="shared" si="11"/>
        <v/>
      </c>
      <c r="CZ17" s="99" t="str">
        <f>IF($CY17="","",IF($CY17&lt;'Technical Premium'!$C$19,"BEYOND AUTHORITY",IF($CY17&gt;0.005,"Above technical",IF($CY17&lt;-0.005,"BELOW technical","At technical"))))</f>
        <v/>
      </c>
      <c r="DA17" s="99"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4"/>
      <c r="DC17" s="94"/>
      <c r="DD17" s="95"/>
      <c r="DE17" s="94"/>
      <c r="DF17" s="94"/>
      <c r="DG17" s="99" t="str">
        <f t="shared" si="12"/>
        <v/>
      </c>
      <c r="DH17" s="99" t="str">
        <f>IF($A17="","",IF(OR($CX17="REFER",$CX17="DECLINE"),COUNTIF($CX$5:$CX17,"REFER")+COUNTIF($CX$5:$CX17,"DECLINE"),""))</f>
        <v/>
      </c>
      <c r="DI17" s="94"/>
    </row>
    <row r="18" spans="1:113" x14ac:dyDescent="0.35">
      <c r="A18" s="94"/>
      <c r="B18" s="94"/>
      <c r="C18" s="95"/>
      <c r="D18" s="95"/>
      <c r="E18" s="96"/>
      <c r="F18" s="94"/>
      <c r="G18" s="94"/>
      <c r="H18" s="94"/>
      <c r="I18" s="94"/>
      <c r="J18" s="97"/>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8"/>
      <c r="AR18" s="99" t="str">
        <f t="shared" si="0"/>
        <v/>
      </c>
      <c r="AS18" s="99" t="str">
        <f>IF($A18="","",IF($AP18&lt;&gt;"",$AP18,IFERROR(INDEX('Cat Zone by ZIP'!$D$6:$D$856,MATCH($AR18,'Cat Zone by ZIP'!$B$6:$B$856,0)),IFERROR(INDEX('Cat Zone by ZIP'!$C$860:$C$910,MATCH($K18,'Cat Zone by ZIP'!$B$860:$B$910,0)),"NOT FOUND"))))</f>
        <v/>
      </c>
      <c r="AT18" s="99" t="str">
        <f>IF($A18="","",IF($AP18&lt;&gt;"","Override",IF(ISNUMBER(MATCH($AR18,'Cat Zone by ZIP'!$B$6:$B$856,0)),"ZIP-3","State default")))</f>
        <v/>
      </c>
      <c r="AU18" s="100" t="str">
        <f>IF($A18="","",IFERROR(INDEX('Natural Catastrophe'!$D$6:$D$17,MATCH($AS18,'Natural Catastrophe'!$B$6:$B$17,0)),"?"))</f>
        <v/>
      </c>
      <c r="AV18" s="100" t="str">
        <f>IF($A18="","",IFERROR(INDEX('Natural Catastrophe'!$C$21:$C$26,MATCH($AA18,'Natural Catastrophe'!$B$21:$B$26,0)),"?"))</f>
        <v/>
      </c>
      <c r="AW18" s="99" t="str">
        <f>IF($A18="","",IFERROR(INDEX('Base Rates'!$C$4:$I$4,MATCH(MAX($J18,'Technical Premium'!$C$18),'Base Rates'!$C$3:$I$3,1)),"?"))</f>
        <v/>
      </c>
      <c r="AX18" s="101" t="str">
        <f>IF($A18="","",IFERROR(INDEX('Base Rates'!$C$5:$I$16,MATCH($I18,'Base Rates'!$B$5:$B$16,0),MATCH(MAX($J18,'Technical Premium'!$C$18),'Base Rates'!$C$3:$I$3,1)),"?"))</f>
        <v/>
      </c>
      <c r="AY18" s="102" t="str">
        <f t="shared" si="1"/>
        <v/>
      </c>
      <c r="AZ18" s="99" t="str">
        <f>IF($A18="","",IFERROR(INDEX('Make Factors'!$G$5:$G$69,MATCH($F18,'Make Factors'!$B$5:$B$69,0)),"?"))</f>
        <v/>
      </c>
      <c r="BA18" s="99" t="str">
        <f>IF($A18="","",IFERROR(INDEX('Driver Factors'!$C$6:$C$15,MATCH($R18,'Driver Factors'!$B$6:$B$15,0)),"?"))</f>
        <v/>
      </c>
      <c r="BB18" s="99" t="str">
        <f>IF($A18="","",IFERROR(INDEX('Driver Factors'!$C$19:$C$24,MATCH($S18,'Driver Factors'!$B$19:$B$24,0)),"?"))</f>
        <v/>
      </c>
      <c r="BC18" s="99" t="str">
        <f>IF($A18="","",IFERROR(INDEX('Driver Factors'!$C$28:$C$36,MATCH($T18,'Driver Factors'!$B$28:$B$36,0)),"?"))</f>
        <v/>
      </c>
      <c r="BD18" s="99" t="str">
        <f>IF($A18="","",IFERROR(INDEX('Claims History'!$C$6:$C$15,MATCH($U18,'Claims History'!$B$6:$B$15,0)),"?"))</f>
        <v/>
      </c>
      <c r="BE18" s="99" t="str">
        <f>IF($A18="","",IFERROR(INDEX('Territory Factors'!$E$6:$E$56,MATCH($K18,'Territory Factors'!$B$6:$B$56,0)),"?"))</f>
        <v/>
      </c>
      <c r="BF18" s="99" t="str">
        <f>IF($A18="","",IFERROR(INDEX('City Accident Ratings'!$G$6:$G$54,MATCH($Z18,'City Accident Ratings'!$B$6:$B$54,0)),"?"))</f>
        <v/>
      </c>
      <c r="BG18" s="99" t="str">
        <f>IF($A18="","",IFERROR(INDEX('Usage and Coverage'!$D$6:$D$20,MATCH($N18,'Usage and Coverage'!$C$6:$C$20,0)),"?"))</f>
        <v/>
      </c>
      <c r="BH18" s="99" t="str">
        <f>IF($A18="","",IFERROR(INDEX('Usage and Coverage'!$C$24:$C$30,MATCH($O18,'Usage and Coverage'!$B$24:$B$30,0)),"?"))</f>
        <v/>
      </c>
      <c r="BI18" s="99" t="str">
        <f>IF($A18="","",IFERROR(INDEX('Usage and Coverage'!$C$34:$C$40,MATCH($P18,'Usage and Coverage'!$B$34:$B$40,0)),"?"))</f>
        <v/>
      </c>
      <c r="BJ18" s="99" t="str">
        <f>IF($A18="","",IFERROR(INDEX('Usage and Coverage'!$C$44:$C$49,MATCH($Q18,'Usage and Coverage'!$B$44:$B$49,0)),"?"))</f>
        <v/>
      </c>
      <c r="BK18" s="99" t="str">
        <f>IF($A18="","",IFERROR(INDEX(Deductibles!$C$6:$I$15,MATCH($W18,Deductibles!$B$6:$B$15,0),MATCH(MAX($J18,'Technical Premium'!$C$18),'Base Rates'!$C$3:$I$3,1)),"?"))</f>
        <v/>
      </c>
      <c r="BL18" s="99" t="str">
        <f>IF($A18="","",IFERROR(INDEX('Usage and Coverage'!$C$63:$C$66,MATCH($X18,'Usage and Coverage'!$B$63:$B$66,0)),"?"))</f>
        <v/>
      </c>
      <c r="BM18" s="99" t="str">
        <f>IF($A18="","",IFERROR(INDEX('Usage and Coverage'!$C$70:$C$75,MATCH($V18,'Usage and Coverage'!$B$70:$B$75,0)),"?"))</f>
        <v/>
      </c>
      <c r="BN18" s="99" t="str">
        <f>IF($A18="","",IF($AB18="",1,IFERROR(INDEX(Deductibles!$C$48:$C$51,MATCH($AB18,Deductibles!$B$48:$B$51,0)),"?")))</f>
        <v/>
      </c>
      <c r="BO18" s="99" t="str">
        <f>IF($A18="","",IF($AC18="",1,IFERROR(INDEX(Deductibles!$C$55:$C$57,MATCH($AC18,Deductibles!$B$55:$B$57,0)),"?")))</f>
        <v/>
      </c>
      <c r="BP18" s="99" t="str">
        <f>IF($A18="","",IF($AD18="",1,IFERROR(INDEX(Deductibles!$C$61:$C$63,MATCH($AD18,Deductibles!$B$61:$B$63,0)),"?")))</f>
        <v/>
      </c>
      <c r="BQ18" s="99" t="str">
        <f>IF($A18="","",IF($AE18="",1,IFERROR(INDEX(Deductibles!$C$67:$C$69,MATCH($AE18,Deductibles!$B$67:$B$69,0)),"?")))</f>
        <v/>
      </c>
      <c r="BR18" s="99" t="str">
        <f>IF($A18="","",IF($AF18="",1,IFERROR(INDEX(Deductibles!$C$73:$C$74,MATCH($AF18,Deductibles!$B$73:$B$74,0)),"?")))</f>
        <v/>
      </c>
      <c r="BS18" s="99" t="str">
        <f>IF($A18="","",IF($AG18="",1,IFERROR(INDEX('Sublimits and Parts'!$C$49:$C$52,MATCH($AG18,'Sublimits and Parts'!$B$49:$B$52,0)),"?")))</f>
        <v/>
      </c>
      <c r="BT18" s="99" t="str">
        <f>IF($A18="","",IF($AH18="",1,IFERROR(INDEX('Sublimits and Parts'!$C$56:$C$60,MATCH($AH18,'Sublimits and Parts'!$B$56:$B$60,0)),"?")))</f>
        <v/>
      </c>
      <c r="BU18" s="99" t="str">
        <f>IF($A18="","",IF($AI18="",1,IFERROR(INDEX('Sublimits and Parts'!$C$64:$C$67,MATCH($AI18,'Sublimits and Parts'!$B$64:$B$67,0)),"?")))</f>
        <v/>
      </c>
      <c r="BV18" s="99" t="str">
        <f>IF($A18="","",IF($AJ18="",1,IFERROR(INDEX('Sublimits and Parts'!$C$71:$C$74,MATCH($AJ18,'Sublimits and Parts'!$B$71:$B$74,0)),"?")))</f>
        <v/>
      </c>
      <c r="BW18" s="99" t="str">
        <f>IF($A18="","",IF($AK18="",1,IFERROR(INDEX('Sublimits and Parts'!$C$78:$C$80,MATCH($AK18,'Sublimits and Parts'!$B$78:$B$80,0)),"?")))</f>
        <v/>
      </c>
      <c r="BX18" s="99" t="str">
        <f>IF($A18="","",IF($AL18="",1,IFERROR(INDEX('Sublimits and Parts'!$C$84:$C$87,MATCH($AL18,'Sublimits and Parts'!$B$84:$B$87,0)),"?")))</f>
        <v/>
      </c>
      <c r="BY18" s="99" t="str">
        <f>IF($A18="","",IF($AM18="",1,IFERROR(INDEX('Sublimits and Parts'!$C$91:$C$94,MATCH($AM18,'Sublimits and Parts'!$B$91:$B$94,0)),"?")))</f>
        <v/>
      </c>
      <c r="BZ18" s="99" t="str">
        <f>IF($A18="","",IF($AN18="",1,IFERROR(INDEX('Sublimits and Parts'!$C$98:$C$101,MATCH($AN18,'Sublimits and Parts'!$B$98:$B$101,0)),"?")))</f>
        <v/>
      </c>
      <c r="CA18" s="99" t="str">
        <f>IF($A18="","",IF($AO18="",1,IFERROR(INDEX('Sublimits and Parts'!$C$105:$C$109,MATCH($AO18,'Sublimits and Parts'!$B$105:$B$109,0)),"?")))</f>
        <v/>
      </c>
      <c r="CB18" s="100" t="str">
        <f t="shared" si="2"/>
        <v/>
      </c>
      <c r="CC18" s="100" t="str">
        <f t="shared" si="3"/>
        <v/>
      </c>
      <c r="CD18" s="103" t="str">
        <f>IF($A18="","",IF(OR($CB18="?",$CC18="?"),"?",MIN($CB18*$CC18,'Technical Premium'!$C$17)))</f>
        <v/>
      </c>
      <c r="CE18" s="102" t="str">
        <f t="shared" si="4"/>
        <v/>
      </c>
      <c r="CF18" s="102" t="str">
        <f>IF($A18="","",IFERROR(INDEX('Territory Factors'!$F$6:$F$56,MATCH($K18,'Territory Factors'!$B$6:$B$56,0)),"?"))</f>
        <v/>
      </c>
      <c r="CG18" s="100" t="str">
        <f>IF($A18="","",IFERROR(INDEX('Usage and Coverage'!$C$79:$C$84,MATCH($Y18,'Usage and Coverage'!$B$79:$B$84,0)),"?"))</f>
        <v/>
      </c>
      <c r="CH18" s="102" t="str">
        <f>IFERROR(IF(ISNUMBER($CD18),$CF18*$CG18*MIN($BG18*$BA18*$BC18*$BD18*$BH18*$BF18,'Technical Premium'!$C$17),""),"")</f>
        <v/>
      </c>
      <c r="CI18" s="102" t="str">
        <f t="shared" si="5"/>
        <v/>
      </c>
      <c r="CJ18" s="102" t="str">
        <f>IFERROR($CI18*(1+'Technical Premium'!$C$5)*(1+'Technical Premium'!$C$6),"")</f>
        <v/>
      </c>
      <c r="CK18" s="102" t="str">
        <f>IFERROR($CE18*INDEX('Territory Factors'!$G$6:$G$56,MATCH($K18,'Territory Factors'!$B$6:$B$56,0))*$AU18*$AV18,"")</f>
        <v/>
      </c>
      <c r="CL18" s="102" t="str">
        <f>IFERROR(($CJ18+$CK18)*(1+'Technical Premium'!$C$7),"")</f>
        <v/>
      </c>
      <c r="CM18" s="104" t="str">
        <f>IFERROR($CL18/'Technical Premium'!$C$13,"")</f>
        <v/>
      </c>
      <c r="CN18" s="105" t="str">
        <f t="shared" si="6"/>
        <v/>
      </c>
      <c r="CO18" s="104" t="str">
        <f t="shared" si="7"/>
        <v/>
      </c>
      <c r="CP18" s="105" t="str">
        <f t="shared" si="8"/>
        <v/>
      </c>
      <c r="CQ18" s="106" t="str">
        <f t="shared" si="9"/>
        <v/>
      </c>
      <c r="CR18" s="102" t="str">
        <f>IF(ISNUMBER($CM18),'Technical Premium'!$C$14+IF($J18&gt;=1000000,'Technical Premium'!$C$15,0),"")</f>
        <v/>
      </c>
      <c r="CS18" s="102" t="str">
        <f>IFERROR(($CO18+$CR18)*(INDEX('Territory Factors'!$K$6:$K$56,MATCH($K18,'Territory Factors'!$B$6:$B$56,0))+'Commission Structure'!$C$21),"")</f>
        <v/>
      </c>
      <c r="CT18" s="104" t="str">
        <f t="shared" si="10"/>
        <v/>
      </c>
      <c r="CU18" s="102" t="str">
        <f>IFERROR($CO18*('Commission Structure'!$C$6+'Commission Structure'!$C$7),"")</f>
        <v/>
      </c>
      <c r="CV18" s="102" t="str">
        <f>IFERROR($CO18*'Commission Structure'!$C$5-$CU18,"")</f>
        <v/>
      </c>
      <c r="CW18" s="102" t="str">
        <f>IFERROR($CO18*(1-'Commission Structure'!$C$5),"")</f>
        <v/>
      </c>
      <c r="CX18" s="107"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8" t="str">
        <f t="shared" si="11"/>
        <v/>
      </c>
      <c r="CZ18" s="99" t="str">
        <f>IF($CY18="","",IF($CY18&lt;'Technical Premium'!$C$19,"BEYOND AUTHORITY",IF($CY18&gt;0.005,"Above technical",IF($CY18&lt;-0.005,"BELOW technical","At technical"))))</f>
        <v/>
      </c>
      <c r="DA18" s="99"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4"/>
      <c r="DC18" s="94"/>
      <c r="DD18" s="95"/>
      <c r="DE18" s="94"/>
      <c r="DF18" s="94"/>
      <c r="DG18" s="99" t="str">
        <f t="shared" si="12"/>
        <v/>
      </c>
      <c r="DH18" s="99" t="str">
        <f>IF($A18="","",IF(OR($CX18="REFER",$CX18="DECLINE"),COUNTIF($CX$5:$CX18,"REFER")+COUNTIF($CX$5:$CX18,"DECLINE"),""))</f>
        <v/>
      </c>
      <c r="DI18" s="94"/>
    </row>
    <row r="19" spans="1:113" x14ac:dyDescent="0.35">
      <c r="A19" s="94"/>
      <c r="B19" s="94"/>
      <c r="C19" s="95"/>
      <c r="D19" s="95"/>
      <c r="E19" s="96"/>
      <c r="F19" s="94"/>
      <c r="G19" s="94"/>
      <c r="H19" s="94"/>
      <c r="I19" s="94"/>
      <c r="J19" s="97"/>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8"/>
      <c r="AR19" s="99" t="str">
        <f t="shared" si="0"/>
        <v/>
      </c>
      <c r="AS19" s="99" t="str">
        <f>IF($A19="","",IF($AP19&lt;&gt;"",$AP19,IFERROR(INDEX('Cat Zone by ZIP'!$D$6:$D$856,MATCH($AR19,'Cat Zone by ZIP'!$B$6:$B$856,0)),IFERROR(INDEX('Cat Zone by ZIP'!$C$860:$C$910,MATCH($K19,'Cat Zone by ZIP'!$B$860:$B$910,0)),"NOT FOUND"))))</f>
        <v/>
      </c>
      <c r="AT19" s="99" t="str">
        <f>IF($A19="","",IF($AP19&lt;&gt;"","Override",IF(ISNUMBER(MATCH($AR19,'Cat Zone by ZIP'!$B$6:$B$856,0)),"ZIP-3","State default")))</f>
        <v/>
      </c>
      <c r="AU19" s="100" t="str">
        <f>IF($A19="","",IFERROR(INDEX('Natural Catastrophe'!$D$6:$D$17,MATCH($AS19,'Natural Catastrophe'!$B$6:$B$17,0)),"?"))</f>
        <v/>
      </c>
      <c r="AV19" s="100" t="str">
        <f>IF($A19="","",IFERROR(INDEX('Natural Catastrophe'!$C$21:$C$26,MATCH($AA19,'Natural Catastrophe'!$B$21:$B$26,0)),"?"))</f>
        <v/>
      </c>
      <c r="AW19" s="99" t="str">
        <f>IF($A19="","",IFERROR(INDEX('Base Rates'!$C$4:$I$4,MATCH(MAX($J19,'Technical Premium'!$C$18),'Base Rates'!$C$3:$I$3,1)),"?"))</f>
        <v/>
      </c>
      <c r="AX19" s="101" t="str">
        <f>IF($A19="","",IFERROR(INDEX('Base Rates'!$C$5:$I$16,MATCH($I19,'Base Rates'!$B$5:$B$16,0),MATCH(MAX($J19,'Technical Premium'!$C$18),'Base Rates'!$C$3:$I$3,1)),"?"))</f>
        <v/>
      </c>
      <c r="AY19" s="102" t="str">
        <f t="shared" si="1"/>
        <v/>
      </c>
      <c r="AZ19" s="99" t="str">
        <f>IF($A19="","",IFERROR(INDEX('Make Factors'!$G$5:$G$69,MATCH($F19,'Make Factors'!$B$5:$B$69,0)),"?"))</f>
        <v/>
      </c>
      <c r="BA19" s="99" t="str">
        <f>IF($A19="","",IFERROR(INDEX('Driver Factors'!$C$6:$C$15,MATCH($R19,'Driver Factors'!$B$6:$B$15,0)),"?"))</f>
        <v/>
      </c>
      <c r="BB19" s="99" t="str">
        <f>IF($A19="","",IFERROR(INDEX('Driver Factors'!$C$19:$C$24,MATCH($S19,'Driver Factors'!$B$19:$B$24,0)),"?"))</f>
        <v/>
      </c>
      <c r="BC19" s="99" t="str">
        <f>IF($A19="","",IFERROR(INDEX('Driver Factors'!$C$28:$C$36,MATCH($T19,'Driver Factors'!$B$28:$B$36,0)),"?"))</f>
        <v/>
      </c>
      <c r="BD19" s="99" t="str">
        <f>IF($A19="","",IFERROR(INDEX('Claims History'!$C$6:$C$15,MATCH($U19,'Claims History'!$B$6:$B$15,0)),"?"))</f>
        <v/>
      </c>
      <c r="BE19" s="99" t="str">
        <f>IF($A19="","",IFERROR(INDEX('Territory Factors'!$E$6:$E$56,MATCH($K19,'Territory Factors'!$B$6:$B$56,0)),"?"))</f>
        <v/>
      </c>
      <c r="BF19" s="99" t="str">
        <f>IF($A19="","",IFERROR(INDEX('City Accident Ratings'!$G$6:$G$54,MATCH($Z19,'City Accident Ratings'!$B$6:$B$54,0)),"?"))</f>
        <v/>
      </c>
      <c r="BG19" s="99" t="str">
        <f>IF($A19="","",IFERROR(INDEX('Usage and Coverage'!$D$6:$D$20,MATCH($N19,'Usage and Coverage'!$C$6:$C$20,0)),"?"))</f>
        <v/>
      </c>
      <c r="BH19" s="99" t="str">
        <f>IF($A19="","",IFERROR(INDEX('Usage and Coverage'!$C$24:$C$30,MATCH($O19,'Usage and Coverage'!$B$24:$B$30,0)),"?"))</f>
        <v/>
      </c>
      <c r="BI19" s="99" t="str">
        <f>IF($A19="","",IFERROR(INDEX('Usage and Coverage'!$C$34:$C$40,MATCH($P19,'Usage and Coverage'!$B$34:$B$40,0)),"?"))</f>
        <v/>
      </c>
      <c r="BJ19" s="99" t="str">
        <f>IF($A19="","",IFERROR(INDEX('Usage and Coverage'!$C$44:$C$49,MATCH($Q19,'Usage and Coverage'!$B$44:$B$49,0)),"?"))</f>
        <v/>
      </c>
      <c r="BK19" s="99" t="str">
        <f>IF($A19="","",IFERROR(INDEX(Deductibles!$C$6:$I$15,MATCH($W19,Deductibles!$B$6:$B$15,0),MATCH(MAX($J19,'Technical Premium'!$C$18),'Base Rates'!$C$3:$I$3,1)),"?"))</f>
        <v/>
      </c>
      <c r="BL19" s="99" t="str">
        <f>IF($A19="","",IFERROR(INDEX('Usage and Coverage'!$C$63:$C$66,MATCH($X19,'Usage and Coverage'!$B$63:$B$66,0)),"?"))</f>
        <v/>
      </c>
      <c r="BM19" s="99" t="str">
        <f>IF($A19="","",IFERROR(INDEX('Usage and Coverage'!$C$70:$C$75,MATCH($V19,'Usage and Coverage'!$B$70:$B$75,0)),"?"))</f>
        <v/>
      </c>
      <c r="BN19" s="99" t="str">
        <f>IF($A19="","",IF($AB19="",1,IFERROR(INDEX(Deductibles!$C$48:$C$51,MATCH($AB19,Deductibles!$B$48:$B$51,0)),"?")))</f>
        <v/>
      </c>
      <c r="BO19" s="99" t="str">
        <f>IF($A19="","",IF($AC19="",1,IFERROR(INDEX(Deductibles!$C$55:$C$57,MATCH($AC19,Deductibles!$B$55:$B$57,0)),"?")))</f>
        <v/>
      </c>
      <c r="BP19" s="99" t="str">
        <f>IF($A19="","",IF($AD19="",1,IFERROR(INDEX(Deductibles!$C$61:$C$63,MATCH($AD19,Deductibles!$B$61:$B$63,0)),"?")))</f>
        <v/>
      </c>
      <c r="BQ19" s="99" t="str">
        <f>IF($A19="","",IF($AE19="",1,IFERROR(INDEX(Deductibles!$C$67:$C$69,MATCH($AE19,Deductibles!$B$67:$B$69,0)),"?")))</f>
        <v/>
      </c>
      <c r="BR19" s="99" t="str">
        <f>IF($A19="","",IF($AF19="",1,IFERROR(INDEX(Deductibles!$C$73:$C$74,MATCH($AF19,Deductibles!$B$73:$B$74,0)),"?")))</f>
        <v/>
      </c>
      <c r="BS19" s="99" t="str">
        <f>IF($A19="","",IF($AG19="",1,IFERROR(INDEX('Sublimits and Parts'!$C$49:$C$52,MATCH($AG19,'Sublimits and Parts'!$B$49:$B$52,0)),"?")))</f>
        <v/>
      </c>
      <c r="BT19" s="99" t="str">
        <f>IF($A19="","",IF($AH19="",1,IFERROR(INDEX('Sublimits and Parts'!$C$56:$C$60,MATCH($AH19,'Sublimits and Parts'!$B$56:$B$60,0)),"?")))</f>
        <v/>
      </c>
      <c r="BU19" s="99" t="str">
        <f>IF($A19="","",IF($AI19="",1,IFERROR(INDEX('Sublimits and Parts'!$C$64:$C$67,MATCH($AI19,'Sublimits and Parts'!$B$64:$B$67,0)),"?")))</f>
        <v/>
      </c>
      <c r="BV19" s="99" t="str">
        <f>IF($A19="","",IF($AJ19="",1,IFERROR(INDEX('Sublimits and Parts'!$C$71:$C$74,MATCH($AJ19,'Sublimits and Parts'!$B$71:$B$74,0)),"?")))</f>
        <v/>
      </c>
      <c r="BW19" s="99" t="str">
        <f>IF($A19="","",IF($AK19="",1,IFERROR(INDEX('Sublimits and Parts'!$C$78:$C$80,MATCH($AK19,'Sublimits and Parts'!$B$78:$B$80,0)),"?")))</f>
        <v/>
      </c>
      <c r="BX19" s="99" t="str">
        <f>IF($A19="","",IF($AL19="",1,IFERROR(INDEX('Sublimits and Parts'!$C$84:$C$87,MATCH($AL19,'Sublimits and Parts'!$B$84:$B$87,0)),"?")))</f>
        <v/>
      </c>
      <c r="BY19" s="99" t="str">
        <f>IF($A19="","",IF($AM19="",1,IFERROR(INDEX('Sublimits and Parts'!$C$91:$C$94,MATCH($AM19,'Sublimits and Parts'!$B$91:$B$94,0)),"?")))</f>
        <v/>
      </c>
      <c r="BZ19" s="99" t="str">
        <f>IF($A19="","",IF($AN19="",1,IFERROR(INDEX('Sublimits and Parts'!$C$98:$C$101,MATCH($AN19,'Sublimits and Parts'!$B$98:$B$101,0)),"?")))</f>
        <v/>
      </c>
      <c r="CA19" s="99" t="str">
        <f>IF($A19="","",IF($AO19="",1,IFERROR(INDEX('Sublimits and Parts'!$C$105:$C$109,MATCH($AO19,'Sublimits and Parts'!$B$105:$B$109,0)),"?")))</f>
        <v/>
      </c>
      <c r="CB19" s="100" t="str">
        <f t="shared" si="2"/>
        <v/>
      </c>
      <c r="CC19" s="100" t="str">
        <f t="shared" si="3"/>
        <v/>
      </c>
      <c r="CD19" s="103" t="str">
        <f>IF($A19="","",IF(OR($CB19="?",$CC19="?"),"?",MIN($CB19*$CC19,'Technical Premium'!$C$17)))</f>
        <v/>
      </c>
      <c r="CE19" s="102" t="str">
        <f t="shared" si="4"/>
        <v/>
      </c>
      <c r="CF19" s="102" t="str">
        <f>IF($A19="","",IFERROR(INDEX('Territory Factors'!$F$6:$F$56,MATCH($K19,'Territory Factors'!$B$6:$B$56,0)),"?"))</f>
        <v/>
      </c>
      <c r="CG19" s="100" t="str">
        <f>IF($A19="","",IFERROR(INDEX('Usage and Coverage'!$C$79:$C$84,MATCH($Y19,'Usage and Coverage'!$B$79:$B$84,0)),"?"))</f>
        <v/>
      </c>
      <c r="CH19" s="102" t="str">
        <f>IFERROR(IF(ISNUMBER($CD19),$CF19*$CG19*MIN($BG19*$BA19*$BC19*$BD19*$BH19*$BF19,'Technical Premium'!$C$17),""),"")</f>
        <v/>
      </c>
      <c r="CI19" s="102" t="str">
        <f t="shared" si="5"/>
        <v/>
      </c>
      <c r="CJ19" s="102" t="str">
        <f>IFERROR($CI19*(1+'Technical Premium'!$C$5)*(1+'Technical Premium'!$C$6),"")</f>
        <v/>
      </c>
      <c r="CK19" s="102" t="str">
        <f>IFERROR($CE19*INDEX('Territory Factors'!$G$6:$G$56,MATCH($K19,'Territory Factors'!$B$6:$B$56,0))*$AU19*$AV19,"")</f>
        <v/>
      </c>
      <c r="CL19" s="102" t="str">
        <f>IFERROR(($CJ19+$CK19)*(1+'Technical Premium'!$C$7),"")</f>
        <v/>
      </c>
      <c r="CM19" s="104" t="str">
        <f>IFERROR($CL19/'Technical Premium'!$C$13,"")</f>
        <v/>
      </c>
      <c r="CN19" s="105" t="str">
        <f t="shared" si="6"/>
        <v/>
      </c>
      <c r="CO19" s="104" t="str">
        <f t="shared" si="7"/>
        <v/>
      </c>
      <c r="CP19" s="105" t="str">
        <f t="shared" si="8"/>
        <v/>
      </c>
      <c r="CQ19" s="106" t="str">
        <f t="shared" si="9"/>
        <v/>
      </c>
      <c r="CR19" s="102" t="str">
        <f>IF(ISNUMBER($CM19),'Technical Premium'!$C$14+IF($J19&gt;=1000000,'Technical Premium'!$C$15,0),"")</f>
        <v/>
      </c>
      <c r="CS19" s="102" t="str">
        <f>IFERROR(($CO19+$CR19)*(INDEX('Territory Factors'!$K$6:$K$56,MATCH($K19,'Territory Factors'!$B$6:$B$56,0))+'Commission Structure'!$C$21),"")</f>
        <v/>
      </c>
      <c r="CT19" s="104" t="str">
        <f t="shared" si="10"/>
        <v/>
      </c>
      <c r="CU19" s="102" t="str">
        <f>IFERROR($CO19*('Commission Structure'!$C$6+'Commission Structure'!$C$7),"")</f>
        <v/>
      </c>
      <c r="CV19" s="102" t="str">
        <f>IFERROR($CO19*'Commission Structure'!$C$5-$CU19,"")</f>
        <v/>
      </c>
      <c r="CW19" s="102" t="str">
        <f>IFERROR($CO19*(1-'Commission Structure'!$C$5),"")</f>
        <v/>
      </c>
      <c r="CX19" s="107"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8" t="str">
        <f t="shared" si="11"/>
        <v/>
      </c>
      <c r="CZ19" s="99" t="str">
        <f>IF($CY19="","",IF($CY19&lt;'Technical Premium'!$C$19,"BEYOND AUTHORITY",IF($CY19&gt;0.005,"Above technical",IF($CY19&lt;-0.005,"BELOW technical","At technical"))))</f>
        <v/>
      </c>
      <c r="DA19" s="99"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4"/>
      <c r="DC19" s="94"/>
      <c r="DD19" s="95"/>
      <c r="DE19" s="94"/>
      <c r="DF19" s="94"/>
      <c r="DG19" s="99" t="str">
        <f t="shared" si="12"/>
        <v/>
      </c>
      <c r="DH19" s="99" t="str">
        <f>IF($A19="","",IF(OR($CX19="REFER",$CX19="DECLINE"),COUNTIF($CX$5:$CX19,"REFER")+COUNTIF($CX$5:$CX19,"DECLINE"),""))</f>
        <v/>
      </c>
      <c r="DI19" s="94"/>
    </row>
    <row r="20" spans="1:113" x14ac:dyDescent="0.35">
      <c r="A20" s="94"/>
      <c r="B20" s="94"/>
      <c r="C20" s="95"/>
      <c r="D20" s="95"/>
      <c r="E20" s="96"/>
      <c r="F20" s="94"/>
      <c r="G20" s="94"/>
      <c r="H20" s="94"/>
      <c r="I20" s="94"/>
      <c r="J20" s="97"/>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8"/>
      <c r="AR20" s="99" t="str">
        <f t="shared" si="0"/>
        <v/>
      </c>
      <c r="AS20" s="99" t="str">
        <f>IF($A20="","",IF($AP20&lt;&gt;"",$AP20,IFERROR(INDEX('Cat Zone by ZIP'!$D$6:$D$856,MATCH($AR20,'Cat Zone by ZIP'!$B$6:$B$856,0)),IFERROR(INDEX('Cat Zone by ZIP'!$C$860:$C$910,MATCH($K20,'Cat Zone by ZIP'!$B$860:$B$910,0)),"NOT FOUND"))))</f>
        <v/>
      </c>
      <c r="AT20" s="99" t="str">
        <f>IF($A20="","",IF($AP20&lt;&gt;"","Override",IF(ISNUMBER(MATCH($AR20,'Cat Zone by ZIP'!$B$6:$B$856,0)),"ZIP-3","State default")))</f>
        <v/>
      </c>
      <c r="AU20" s="100" t="str">
        <f>IF($A20="","",IFERROR(INDEX('Natural Catastrophe'!$D$6:$D$17,MATCH($AS20,'Natural Catastrophe'!$B$6:$B$17,0)),"?"))</f>
        <v/>
      </c>
      <c r="AV20" s="100" t="str">
        <f>IF($A20="","",IFERROR(INDEX('Natural Catastrophe'!$C$21:$C$26,MATCH($AA20,'Natural Catastrophe'!$B$21:$B$26,0)),"?"))</f>
        <v/>
      </c>
      <c r="AW20" s="99" t="str">
        <f>IF($A20="","",IFERROR(INDEX('Base Rates'!$C$4:$I$4,MATCH(MAX($J20,'Technical Premium'!$C$18),'Base Rates'!$C$3:$I$3,1)),"?"))</f>
        <v/>
      </c>
      <c r="AX20" s="101" t="str">
        <f>IF($A20="","",IFERROR(INDEX('Base Rates'!$C$5:$I$16,MATCH($I20,'Base Rates'!$B$5:$B$16,0),MATCH(MAX($J20,'Technical Premium'!$C$18),'Base Rates'!$C$3:$I$3,1)),"?"))</f>
        <v/>
      </c>
      <c r="AY20" s="102" t="str">
        <f t="shared" si="1"/>
        <v/>
      </c>
      <c r="AZ20" s="99" t="str">
        <f>IF($A20="","",IFERROR(INDEX('Make Factors'!$G$5:$G$69,MATCH($F20,'Make Factors'!$B$5:$B$69,0)),"?"))</f>
        <v/>
      </c>
      <c r="BA20" s="99" t="str">
        <f>IF($A20="","",IFERROR(INDEX('Driver Factors'!$C$6:$C$15,MATCH($R20,'Driver Factors'!$B$6:$B$15,0)),"?"))</f>
        <v/>
      </c>
      <c r="BB20" s="99" t="str">
        <f>IF($A20="","",IFERROR(INDEX('Driver Factors'!$C$19:$C$24,MATCH($S20,'Driver Factors'!$B$19:$B$24,0)),"?"))</f>
        <v/>
      </c>
      <c r="BC20" s="99" t="str">
        <f>IF($A20="","",IFERROR(INDEX('Driver Factors'!$C$28:$C$36,MATCH($T20,'Driver Factors'!$B$28:$B$36,0)),"?"))</f>
        <v/>
      </c>
      <c r="BD20" s="99" t="str">
        <f>IF($A20="","",IFERROR(INDEX('Claims History'!$C$6:$C$15,MATCH($U20,'Claims History'!$B$6:$B$15,0)),"?"))</f>
        <v/>
      </c>
      <c r="BE20" s="99" t="str">
        <f>IF($A20="","",IFERROR(INDEX('Territory Factors'!$E$6:$E$56,MATCH($K20,'Territory Factors'!$B$6:$B$56,0)),"?"))</f>
        <v/>
      </c>
      <c r="BF20" s="99" t="str">
        <f>IF($A20="","",IFERROR(INDEX('City Accident Ratings'!$G$6:$G$54,MATCH($Z20,'City Accident Ratings'!$B$6:$B$54,0)),"?"))</f>
        <v/>
      </c>
      <c r="BG20" s="99" t="str">
        <f>IF($A20="","",IFERROR(INDEX('Usage and Coverage'!$D$6:$D$20,MATCH($N20,'Usage and Coverage'!$C$6:$C$20,0)),"?"))</f>
        <v/>
      </c>
      <c r="BH20" s="99" t="str">
        <f>IF($A20="","",IFERROR(INDEX('Usage and Coverage'!$C$24:$C$30,MATCH($O20,'Usage and Coverage'!$B$24:$B$30,0)),"?"))</f>
        <v/>
      </c>
      <c r="BI20" s="99" t="str">
        <f>IF($A20="","",IFERROR(INDEX('Usage and Coverage'!$C$34:$C$40,MATCH($P20,'Usage and Coverage'!$B$34:$B$40,0)),"?"))</f>
        <v/>
      </c>
      <c r="BJ20" s="99" t="str">
        <f>IF($A20="","",IFERROR(INDEX('Usage and Coverage'!$C$44:$C$49,MATCH($Q20,'Usage and Coverage'!$B$44:$B$49,0)),"?"))</f>
        <v/>
      </c>
      <c r="BK20" s="99" t="str">
        <f>IF($A20="","",IFERROR(INDEX(Deductibles!$C$6:$I$15,MATCH($W20,Deductibles!$B$6:$B$15,0),MATCH(MAX($J20,'Technical Premium'!$C$18),'Base Rates'!$C$3:$I$3,1)),"?"))</f>
        <v/>
      </c>
      <c r="BL20" s="99" t="str">
        <f>IF($A20="","",IFERROR(INDEX('Usage and Coverage'!$C$63:$C$66,MATCH($X20,'Usage and Coverage'!$B$63:$B$66,0)),"?"))</f>
        <v/>
      </c>
      <c r="BM20" s="99" t="str">
        <f>IF($A20="","",IFERROR(INDEX('Usage and Coverage'!$C$70:$C$75,MATCH($V20,'Usage and Coverage'!$B$70:$B$75,0)),"?"))</f>
        <v/>
      </c>
      <c r="BN20" s="99" t="str">
        <f>IF($A20="","",IF($AB20="",1,IFERROR(INDEX(Deductibles!$C$48:$C$51,MATCH($AB20,Deductibles!$B$48:$B$51,0)),"?")))</f>
        <v/>
      </c>
      <c r="BO20" s="99" t="str">
        <f>IF($A20="","",IF($AC20="",1,IFERROR(INDEX(Deductibles!$C$55:$C$57,MATCH($AC20,Deductibles!$B$55:$B$57,0)),"?")))</f>
        <v/>
      </c>
      <c r="BP20" s="99" t="str">
        <f>IF($A20="","",IF($AD20="",1,IFERROR(INDEX(Deductibles!$C$61:$C$63,MATCH($AD20,Deductibles!$B$61:$B$63,0)),"?")))</f>
        <v/>
      </c>
      <c r="BQ20" s="99" t="str">
        <f>IF($A20="","",IF($AE20="",1,IFERROR(INDEX(Deductibles!$C$67:$C$69,MATCH($AE20,Deductibles!$B$67:$B$69,0)),"?")))</f>
        <v/>
      </c>
      <c r="BR20" s="99" t="str">
        <f>IF($A20="","",IF($AF20="",1,IFERROR(INDEX(Deductibles!$C$73:$C$74,MATCH($AF20,Deductibles!$B$73:$B$74,0)),"?")))</f>
        <v/>
      </c>
      <c r="BS20" s="99" t="str">
        <f>IF($A20="","",IF($AG20="",1,IFERROR(INDEX('Sublimits and Parts'!$C$49:$C$52,MATCH($AG20,'Sublimits and Parts'!$B$49:$B$52,0)),"?")))</f>
        <v/>
      </c>
      <c r="BT20" s="99" t="str">
        <f>IF($A20="","",IF($AH20="",1,IFERROR(INDEX('Sublimits and Parts'!$C$56:$C$60,MATCH($AH20,'Sublimits and Parts'!$B$56:$B$60,0)),"?")))</f>
        <v/>
      </c>
      <c r="BU20" s="99" t="str">
        <f>IF($A20="","",IF($AI20="",1,IFERROR(INDEX('Sublimits and Parts'!$C$64:$C$67,MATCH($AI20,'Sublimits and Parts'!$B$64:$B$67,0)),"?")))</f>
        <v/>
      </c>
      <c r="BV20" s="99" t="str">
        <f>IF($A20="","",IF($AJ20="",1,IFERROR(INDEX('Sublimits and Parts'!$C$71:$C$74,MATCH($AJ20,'Sublimits and Parts'!$B$71:$B$74,0)),"?")))</f>
        <v/>
      </c>
      <c r="BW20" s="99" t="str">
        <f>IF($A20="","",IF($AK20="",1,IFERROR(INDEX('Sublimits and Parts'!$C$78:$C$80,MATCH($AK20,'Sublimits and Parts'!$B$78:$B$80,0)),"?")))</f>
        <v/>
      </c>
      <c r="BX20" s="99" t="str">
        <f>IF($A20="","",IF($AL20="",1,IFERROR(INDEX('Sublimits and Parts'!$C$84:$C$87,MATCH($AL20,'Sublimits and Parts'!$B$84:$B$87,0)),"?")))</f>
        <v/>
      </c>
      <c r="BY20" s="99" t="str">
        <f>IF($A20="","",IF($AM20="",1,IFERROR(INDEX('Sublimits and Parts'!$C$91:$C$94,MATCH($AM20,'Sublimits and Parts'!$B$91:$B$94,0)),"?")))</f>
        <v/>
      </c>
      <c r="BZ20" s="99" t="str">
        <f>IF($A20="","",IF($AN20="",1,IFERROR(INDEX('Sublimits and Parts'!$C$98:$C$101,MATCH($AN20,'Sublimits and Parts'!$B$98:$B$101,0)),"?")))</f>
        <v/>
      </c>
      <c r="CA20" s="99" t="str">
        <f>IF($A20="","",IF($AO20="",1,IFERROR(INDEX('Sublimits and Parts'!$C$105:$C$109,MATCH($AO20,'Sublimits and Parts'!$B$105:$B$109,0)),"?")))</f>
        <v/>
      </c>
      <c r="CB20" s="100" t="str">
        <f t="shared" si="2"/>
        <v/>
      </c>
      <c r="CC20" s="100" t="str">
        <f t="shared" si="3"/>
        <v/>
      </c>
      <c r="CD20" s="103" t="str">
        <f>IF($A20="","",IF(OR($CB20="?",$CC20="?"),"?",MIN($CB20*$CC20,'Technical Premium'!$C$17)))</f>
        <v/>
      </c>
      <c r="CE20" s="102" t="str">
        <f t="shared" si="4"/>
        <v/>
      </c>
      <c r="CF20" s="102" t="str">
        <f>IF($A20="","",IFERROR(INDEX('Territory Factors'!$F$6:$F$56,MATCH($K20,'Territory Factors'!$B$6:$B$56,0)),"?"))</f>
        <v/>
      </c>
      <c r="CG20" s="100" t="str">
        <f>IF($A20="","",IFERROR(INDEX('Usage and Coverage'!$C$79:$C$84,MATCH($Y20,'Usage and Coverage'!$B$79:$B$84,0)),"?"))</f>
        <v/>
      </c>
      <c r="CH20" s="102" t="str">
        <f>IFERROR(IF(ISNUMBER($CD20),$CF20*$CG20*MIN($BG20*$BA20*$BC20*$BD20*$BH20*$BF20,'Technical Premium'!$C$17),""),"")</f>
        <v/>
      </c>
      <c r="CI20" s="102" t="str">
        <f t="shared" si="5"/>
        <v/>
      </c>
      <c r="CJ20" s="102" t="str">
        <f>IFERROR($CI20*(1+'Technical Premium'!$C$5)*(1+'Technical Premium'!$C$6),"")</f>
        <v/>
      </c>
      <c r="CK20" s="102" t="str">
        <f>IFERROR($CE20*INDEX('Territory Factors'!$G$6:$G$56,MATCH($K20,'Territory Factors'!$B$6:$B$56,0))*$AU20*$AV20,"")</f>
        <v/>
      </c>
      <c r="CL20" s="102" t="str">
        <f>IFERROR(($CJ20+$CK20)*(1+'Technical Premium'!$C$7),"")</f>
        <v/>
      </c>
      <c r="CM20" s="104" t="str">
        <f>IFERROR($CL20/'Technical Premium'!$C$13,"")</f>
        <v/>
      </c>
      <c r="CN20" s="105" t="str">
        <f t="shared" si="6"/>
        <v/>
      </c>
      <c r="CO20" s="104" t="str">
        <f t="shared" si="7"/>
        <v/>
      </c>
      <c r="CP20" s="105" t="str">
        <f t="shared" si="8"/>
        <v/>
      </c>
      <c r="CQ20" s="106" t="str">
        <f t="shared" si="9"/>
        <v/>
      </c>
      <c r="CR20" s="102" t="str">
        <f>IF(ISNUMBER($CM20),'Technical Premium'!$C$14+IF($J20&gt;=1000000,'Technical Premium'!$C$15,0),"")</f>
        <v/>
      </c>
      <c r="CS20" s="102" t="str">
        <f>IFERROR(($CO20+$CR20)*(INDEX('Territory Factors'!$K$6:$K$56,MATCH($K20,'Territory Factors'!$B$6:$B$56,0))+'Commission Structure'!$C$21),"")</f>
        <v/>
      </c>
      <c r="CT20" s="104" t="str">
        <f t="shared" si="10"/>
        <v/>
      </c>
      <c r="CU20" s="102" t="str">
        <f>IFERROR($CO20*('Commission Structure'!$C$6+'Commission Structure'!$C$7),"")</f>
        <v/>
      </c>
      <c r="CV20" s="102" t="str">
        <f>IFERROR($CO20*'Commission Structure'!$C$5-$CU20,"")</f>
        <v/>
      </c>
      <c r="CW20" s="102" t="str">
        <f>IFERROR($CO20*(1-'Commission Structure'!$C$5),"")</f>
        <v/>
      </c>
      <c r="CX20" s="107"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8" t="str">
        <f t="shared" si="11"/>
        <v/>
      </c>
      <c r="CZ20" s="99" t="str">
        <f>IF($CY20="","",IF($CY20&lt;'Technical Premium'!$C$19,"BEYOND AUTHORITY",IF($CY20&gt;0.005,"Above technical",IF($CY20&lt;-0.005,"BELOW technical","At technical"))))</f>
        <v/>
      </c>
      <c r="DA20" s="99"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4"/>
      <c r="DC20" s="94"/>
      <c r="DD20" s="95"/>
      <c r="DE20" s="94"/>
      <c r="DF20" s="94"/>
      <c r="DG20" s="99" t="str">
        <f t="shared" si="12"/>
        <v/>
      </c>
      <c r="DH20" s="99" t="str">
        <f>IF($A20="","",IF(OR($CX20="REFER",$CX20="DECLINE"),COUNTIF($CX$5:$CX20,"REFER")+COUNTIF($CX$5:$CX20,"DECLINE"),""))</f>
        <v/>
      </c>
      <c r="DI20" s="94"/>
    </row>
    <row r="21" spans="1:113" x14ac:dyDescent="0.35">
      <c r="A21" s="94"/>
      <c r="B21" s="94"/>
      <c r="C21" s="95"/>
      <c r="D21" s="95"/>
      <c r="E21" s="96"/>
      <c r="F21" s="94"/>
      <c r="G21" s="94"/>
      <c r="H21" s="94"/>
      <c r="I21" s="94"/>
      <c r="J21" s="97"/>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8"/>
      <c r="AR21" s="99" t="str">
        <f t="shared" si="0"/>
        <v/>
      </c>
      <c r="AS21" s="99" t="str">
        <f>IF($A21="","",IF($AP21&lt;&gt;"",$AP21,IFERROR(INDEX('Cat Zone by ZIP'!$D$6:$D$856,MATCH($AR21,'Cat Zone by ZIP'!$B$6:$B$856,0)),IFERROR(INDEX('Cat Zone by ZIP'!$C$860:$C$910,MATCH($K21,'Cat Zone by ZIP'!$B$860:$B$910,0)),"NOT FOUND"))))</f>
        <v/>
      </c>
      <c r="AT21" s="99" t="str">
        <f>IF($A21="","",IF($AP21&lt;&gt;"","Override",IF(ISNUMBER(MATCH($AR21,'Cat Zone by ZIP'!$B$6:$B$856,0)),"ZIP-3","State default")))</f>
        <v/>
      </c>
      <c r="AU21" s="100" t="str">
        <f>IF($A21="","",IFERROR(INDEX('Natural Catastrophe'!$D$6:$D$17,MATCH($AS21,'Natural Catastrophe'!$B$6:$B$17,0)),"?"))</f>
        <v/>
      </c>
      <c r="AV21" s="100" t="str">
        <f>IF($A21="","",IFERROR(INDEX('Natural Catastrophe'!$C$21:$C$26,MATCH($AA21,'Natural Catastrophe'!$B$21:$B$26,0)),"?"))</f>
        <v/>
      </c>
      <c r="AW21" s="99" t="str">
        <f>IF($A21="","",IFERROR(INDEX('Base Rates'!$C$4:$I$4,MATCH(MAX($J21,'Technical Premium'!$C$18),'Base Rates'!$C$3:$I$3,1)),"?"))</f>
        <v/>
      </c>
      <c r="AX21" s="101" t="str">
        <f>IF($A21="","",IFERROR(INDEX('Base Rates'!$C$5:$I$16,MATCH($I21,'Base Rates'!$B$5:$B$16,0),MATCH(MAX($J21,'Technical Premium'!$C$18),'Base Rates'!$C$3:$I$3,1)),"?"))</f>
        <v/>
      </c>
      <c r="AY21" s="102" t="str">
        <f t="shared" si="1"/>
        <v/>
      </c>
      <c r="AZ21" s="99" t="str">
        <f>IF($A21="","",IFERROR(INDEX('Make Factors'!$G$5:$G$69,MATCH($F21,'Make Factors'!$B$5:$B$69,0)),"?"))</f>
        <v/>
      </c>
      <c r="BA21" s="99" t="str">
        <f>IF($A21="","",IFERROR(INDEX('Driver Factors'!$C$6:$C$15,MATCH($R21,'Driver Factors'!$B$6:$B$15,0)),"?"))</f>
        <v/>
      </c>
      <c r="BB21" s="99" t="str">
        <f>IF($A21="","",IFERROR(INDEX('Driver Factors'!$C$19:$C$24,MATCH($S21,'Driver Factors'!$B$19:$B$24,0)),"?"))</f>
        <v/>
      </c>
      <c r="BC21" s="99" t="str">
        <f>IF($A21="","",IFERROR(INDEX('Driver Factors'!$C$28:$C$36,MATCH($T21,'Driver Factors'!$B$28:$B$36,0)),"?"))</f>
        <v/>
      </c>
      <c r="BD21" s="99" t="str">
        <f>IF($A21="","",IFERROR(INDEX('Claims History'!$C$6:$C$15,MATCH($U21,'Claims History'!$B$6:$B$15,0)),"?"))</f>
        <v/>
      </c>
      <c r="BE21" s="99" t="str">
        <f>IF($A21="","",IFERROR(INDEX('Territory Factors'!$E$6:$E$56,MATCH($K21,'Territory Factors'!$B$6:$B$56,0)),"?"))</f>
        <v/>
      </c>
      <c r="BF21" s="99" t="str">
        <f>IF($A21="","",IFERROR(INDEX('City Accident Ratings'!$G$6:$G$54,MATCH($Z21,'City Accident Ratings'!$B$6:$B$54,0)),"?"))</f>
        <v/>
      </c>
      <c r="BG21" s="99" t="str">
        <f>IF($A21="","",IFERROR(INDEX('Usage and Coverage'!$D$6:$D$20,MATCH($N21,'Usage and Coverage'!$C$6:$C$20,0)),"?"))</f>
        <v/>
      </c>
      <c r="BH21" s="99" t="str">
        <f>IF($A21="","",IFERROR(INDEX('Usage and Coverage'!$C$24:$C$30,MATCH($O21,'Usage and Coverage'!$B$24:$B$30,0)),"?"))</f>
        <v/>
      </c>
      <c r="BI21" s="99" t="str">
        <f>IF($A21="","",IFERROR(INDEX('Usage and Coverage'!$C$34:$C$40,MATCH($P21,'Usage and Coverage'!$B$34:$B$40,0)),"?"))</f>
        <v/>
      </c>
      <c r="BJ21" s="99" t="str">
        <f>IF($A21="","",IFERROR(INDEX('Usage and Coverage'!$C$44:$C$49,MATCH($Q21,'Usage and Coverage'!$B$44:$B$49,0)),"?"))</f>
        <v/>
      </c>
      <c r="BK21" s="99" t="str">
        <f>IF($A21="","",IFERROR(INDEX(Deductibles!$C$6:$I$15,MATCH($W21,Deductibles!$B$6:$B$15,0),MATCH(MAX($J21,'Technical Premium'!$C$18),'Base Rates'!$C$3:$I$3,1)),"?"))</f>
        <v/>
      </c>
      <c r="BL21" s="99" t="str">
        <f>IF($A21="","",IFERROR(INDEX('Usage and Coverage'!$C$63:$C$66,MATCH($X21,'Usage and Coverage'!$B$63:$B$66,0)),"?"))</f>
        <v/>
      </c>
      <c r="BM21" s="99" t="str">
        <f>IF($A21="","",IFERROR(INDEX('Usage and Coverage'!$C$70:$C$75,MATCH($V21,'Usage and Coverage'!$B$70:$B$75,0)),"?"))</f>
        <v/>
      </c>
      <c r="BN21" s="99" t="str">
        <f>IF($A21="","",IF($AB21="",1,IFERROR(INDEX(Deductibles!$C$48:$C$51,MATCH($AB21,Deductibles!$B$48:$B$51,0)),"?")))</f>
        <v/>
      </c>
      <c r="BO21" s="99" t="str">
        <f>IF($A21="","",IF($AC21="",1,IFERROR(INDEX(Deductibles!$C$55:$C$57,MATCH($AC21,Deductibles!$B$55:$B$57,0)),"?")))</f>
        <v/>
      </c>
      <c r="BP21" s="99" t="str">
        <f>IF($A21="","",IF($AD21="",1,IFERROR(INDEX(Deductibles!$C$61:$C$63,MATCH($AD21,Deductibles!$B$61:$B$63,0)),"?")))</f>
        <v/>
      </c>
      <c r="BQ21" s="99" t="str">
        <f>IF($A21="","",IF($AE21="",1,IFERROR(INDEX(Deductibles!$C$67:$C$69,MATCH($AE21,Deductibles!$B$67:$B$69,0)),"?")))</f>
        <v/>
      </c>
      <c r="BR21" s="99" t="str">
        <f>IF($A21="","",IF($AF21="",1,IFERROR(INDEX(Deductibles!$C$73:$C$74,MATCH($AF21,Deductibles!$B$73:$B$74,0)),"?")))</f>
        <v/>
      </c>
      <c r="BS21" s="99" t="str">
        <f>IF($A21="","",IF($AG21="",1,IFERROR(INDEX('Sublimits and Parts'!$C$49:$C$52,MATCH($AG21,'Sublimits and Parts'!$B$49:$B$52,0)),"?")))</f>
        <v/>
      </c>
      <c r="BT21" s="99" t="str">
        <f>IF($A21="","",IF($AH21="",1,IFERROR(INDEX('Sublimits and Parts'!$C$56:$C$60,MATCH($AH21,'Sublimits and Parts'!$B$56:$B$60,0)),"?")))</f>
        <v/>
      </c>
      <c r="BU21" s="99" t="str">
        <f>IF($A21="","",IF($AI21="",1,IFERROR(INDEX('Sublimits and Parts'!$C$64:$C$67,MATCH($AI21,'Sublimits and Parts'!$B$64:$B$67,0)),"?")))</f>
        <v/>
      </c>
      <c r="BV21" s="99" t="str">
        <f>IF($A21="","",IF($AJ21="",1,IFERROR(INDEX('Sublimits and Parts'!$C$71:$C$74,MATCH($AJ21,'Sublimits and Parts'!$B$71:$B$74,0)),"?")))</f>
        <v/>
      </c>
      <c r="BW21" s="99" t="str">
        <f>IF($A21="","",IF($AK21="",1,IFERROR(INDEX('Sublimits and Parts'!$C$78:$C$80,MATCH($AK21,'Sublimits and Parts'!$B$78:$B$80,0)),"?")))</f>
        <v/>
      </c>
      <c r="BX21" s="99" t="str">
        <f>IF($A21="","",IF($AL21="",1,IFERROR(INDEX('Sublimits and Parts'!$C$84:$C$87,MATCH($AL21,'Sublimits and Parts'!$B$84:$B$87,0)),"?")))</f>
        <v/>
      </c>
      <c r="BY21" s="99" t="str">
        <f>IF($A21="","",IF($AM21="",1,IFERROR(INDEX('Sublimits and Parts'!$C$91:$C$94,MATCH($AM21,'Sublimits and Parts'!$B$91:$B$94,0)),"?")))</f>
        <v/>
      </c>
      <c r="BZ21" s="99" t="str">
        <f>IF($A21="","",IF($AN21="",1,IFERROR(INDEX('Sublimits and Parts'!$C$98:$C$101,MATCH($AN21,'Sublimits and Parts'!$B$98:$B$101,0)),"?")))</f>
        <v/>
      </c>
      <c r="CA21" s="99" t="str">
        <f>IF($A21="","",IF($AO21="",1,IFERROR(INDEX('Sublimits and Parts'!$C$105:$C$109,MATCH($AO21,'Sublimits and Parts'!$B$105:$B$109,0)),"?")))</f>
        <v/>
      </c>
      <c r="CB21" s="100" t="str">
        <f t="shared" si="2"/>
        <v/>
      </c>
      <c r="CC21" s="100" t="str">
        <f t="shared" si="3"/>
        <v/>
      </c>
      <c r="CD21" s="103" t="str">
        <f>IF($A21="","",IF(OR($CB21="?",$CC21="?"),"?",MIN($CB21*$CC21,'Technical Premium'!$C$17)))</f>
        <v/>
      </c>
      <c r="CE21" s="102" t="str">
        <f t="shared" si="4"/>
        <v/>
      </c>
      <c r="CF21" s="102" t="str">
        <f>IF($A21="","",IFERROR(INDEX('Territory Factors'!$F$6:$F$56,MATCH($K21,'Territory Factors'!$B$6:$B$56,0)),"?"))</f>
        <v/>
      </c>
      <c r="CG21" s="100" t="str">
        <f>IF($A21="","",IFERROR(INDEX('Usage and Coverage'!$C$79:$C$84,MATCH($Y21,'Usage and Coverage'!$B$79:$B$84,0)),"?"))</f>
        <v/>
      </c>
      <c r="CH21" s="102" t="str">
        <f>IFERROR(IF(ISNUMBER($CD21),$CF21*$CG21*MIN($BG21*$BA21*$BC21*$BD21*$BH21*$BF21,'Technical Premium'!$C$17),""),"")</f>
        <v/>
      </c>
      <c r="CI21" s="102" t="str">
        <f t="shared" si="5"/>
        <v/>
      </c>
      <c r="CJ21" s="102" t="str">
        <f>IFERROR($CI21*(1+'Technical Premium'!$C$5)*(1+'Technical Premium'!$C$6),"")</f>
        <v/>
      </c>
      <c r="CK21" s="102" t="str">
        <f>IFERROR($CE21*INDEX('Territory Factors'!$G$6:$G$56,MATCH($K21,'Territory Factors'!$B$6:$B$56,0))*$AU21*$AV21,"")</f>
        <v/>
      </c>
      <c r="CL21" s="102" t="str">
        <f>IFERROR(($CJ21+$CK21)*(1+'Technical Premium'!$C$7),"")</f>
        <v/>
      </c>
      <c r="CM21" s="104" t="str">
        <f>IFERROR($CL21/'Technical Premium'!$C$13,"")</f>
        <v/>
      </c>
      <c r="CN21" s="105" t="str">
        <f t="shared" si="6"/>
        <v/>
      </c>
      <c r="CO21" s="104" t="str">
        <f t="shared" si="7"/>
        <v/>
      </c>
      <c r="CP21" s="105" t="str">
        <f t="shared" si="8"/>
        <v/>
      </c>
      <c r="CQ21" s="106" t="str">
        <f t="shared" si="9"/>
        <v/>
      </c>
      <c r="CR21" s="102" t="str">
        <f>IF(ISNUMBER($CM21),'Technical Premium'!$C$14+IF($J21&gt;=1000000,'Technical Premium'!$C$15,0),"")</f>
        <v/>
      </c>
      <c r="CS21" s="102" t="str">
        <f>IFERROR(($CO21+$CR21)*(INDEX('Territory Factors'!$K$6:$K$56,MATCH($K21,'Territory Factors'!$B$6:$B$56,0))+'Commission Structure'!$C$21),"")</f>
        <v/>
      </c>
      <c r="CT21" s="104" t="str">
        <f t="shared" si="10"/>
        <v/>
      </c>
      <c r="CU21" s="102" t="str">
        <f>IFERROR($CO21*('Commission Structure'!$C$6+'Commission Structure'!$C$7),"")</f>
        <v/>
      </c>
      <c r="CV21" s="102" t="str">
        <f>IFERROR($CO21*'Commission Structure'!$C$5-$CU21,"")</f>
        <v/>
      </c>
      <c r="CW21" s="102" t="str">
        <f>IFERROR($CO21*(1-'Commission Structure'!$C$5),"")</f>
        <v/>
      </c>
      <c r="CX21" s="107"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8" t="str">
        <f t="shared" si="11"/>
        <v/>
      </c>
      <c r="CZ21" s="99" t="str">
        <f>IF($CY21="","",IF($CY21&lt;'Technical Premium'!$C$19,"BEYOND AUTHORITY",IF($CY21&gt;0.005,"Above technical",IF($CY21&lt;-0.005,"BELOW technical","At technical"))))</f>
        <v/>
      </c>
      <c r="DA21" s="99"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4"/>
      <c r="DC21" s="94"/>
      <c r="DD21" s="95"/>
      <c r="DE21" s="94"/>
      <c r="DF21" s="94"/>
      <c r="DG21" s="99" t="str">
        <f t="shared" si="12"/>
        <v/>
      </c>
      <c r="DH21" s="99" t="str">
        <f>IF($A21="","",IF(OR($CX21="REFER",$CX21="DECLINE"),COUNTIF($CX$5:$CX21,"REFER")+COUNTIF($CX$5:$CX21,"DECLINE"),""))</f>
        <v/>
      </c>
      <c r="DI21" s="94"/>
    </row>
    <row r="22" spans="1:113" x14ac:dyDescent="0.35">
      <c r="A22" s="94"/>
      <c r="B22" s="94"/>
      <c r="C22" s="95"/>
      <c r="D22" s="95"/>
      <c r="E22" s="96"/>
      <c r="F22" s="94"/>
      <c r="G22" s="94"/>
      <c r="H22" s="94"/>
      <c r="I22" s="94"/>
      <c r="J22" s="97"/>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8"/>
      <c r="AR22" s="99" t="str">
        <f t="shared" si="0"/>
        <v/>
      </c>
      <c r="AS22" s="99" t="str">
        <f>IF($A22="","",IF($AP22&lt;&gt;"",$AP22,IFERROR(INDEX('Cat Zone by ZIP'!$D$6:$D$856,MATCH($AR22,'Cat Zone by ZIP'!$B$6:$B$856,0)),IFERROR(INDEX('Cat Zone by ZIP'!$C$860:$C$910,MATCH($K22,'Cat Zone by ZIP'!$B$860:$B$910,0)),"NOT FOUND"))))</f>
        <v/>
      </c>
      <c r="AT22" s="99" t="str">
        <f>IF($A22="","",IF($AP22&lt;&gt;"","Override",IF(ISNUMBER(MATCH($AR22,'Cat Zone by ZIP'!$B$6:$B$856,0)),"ZIP-3","State default")))</f>
        <v/>
      </c>
      <c r="AU22" s="100" t="str">
        <f>IF($A22="","",IFERROR(INDEX('Natural Catastrophe'!$D$6:$D$17,MATCH($AS22,'Natural Catastrophe'!$B$6:$B$17,0)),"?"))</f>
        <v/>
      </c>
      <c r="AV22" s="100" t="str">
        <f>IF($A22="","",IFERROR(INDEX('Natural Catastrophe'!$C$21:$C$26,MATCH($AA22,'Natural Catastrophe'!$B$21:$B$26,0)),"?"))</f>
        <v/>
      </c>
      <c r="AW22" s="99" t="str">
        <f>IF($A22="","",IFERROR(INDEX('Base Rates'!$C$4:$I$4,MATCH(MAX($J22,'Technical Premium'!$C$18),'Base Rates'!$C$3:$I$3,1)),"?"))</f>
        <v/>
      </c>
      <c r="AX22" s="101" t="str">
        <f>IF($A22="","",IFERROR(INDEX('Base Rates'!$C$5:$I$16,MATCH($I22,'Base Rates'!$B$5:$B$16,0),MATCH(MAX($J22,'Technical Premium'!$C$18),'Base Rates'!$C$3:$I$3,1)),"?"))</f>
        <v/>
      </c>
      <c r="AY22" s="102" t="str">
        <f t="shared" si="1"/>
        <v/>
      </c>
      <c r="AZ22" s="99" t="str">
        <f>IF($A22="","",IFERROR(INDEX('Make Factors'!$G$5:$G$69,MATCH($F22,'Make Factors'!$B$5:$B$69,0)),"?"))</f>
        <v/>
      </c>
      <c r="BA22" s="99" t="str">
        <f>IF($A22="","",IFERROR(INDEX('Driver Factors'!$C$6:$C$15,MATCH($R22,'Driver Factors'!$B$6:$B$15,0)),"?"))</f>
        <v/>
      </c>
      <c r="BB22" s="99" t="str">
        <f>IF($A22="","",IFERROR(INDEX('Driver Factors'!$C$19:$C$24,MATCH($S22,'Driver Factors'!$B$19:$B$24,0)),"?"))</f>
        <v/>
      </c>
      <c r="BC22" s="99" t="str">
        <f>IF($A22="","",IFERROR(INDEX('Driver Factors'!$C$28:$C$36,MATCH($T22,'Driver Factors'!$B$28:$B$36,0)),"?"))</f>
        <v/>
      </c>
      <c r="BD22" s="99" t="str">
        <f>IF($A22="","",IFERROR(INDEX('Claims History'!$C$6:$C$15,MATCH($U22,'Claims History'!$B$6:$B$15,0)),"?"))</f>
        <v/>
      </c>
      <c r="BE22" s="99" t="str">
        <f>IF($A22="","",IFERROR(INDEX('Territory Factors'!$E$6:$E$56,MATCH($K22,'Territory Factors'!$B$6:$B$56,0)),"?"))</f>
        <v/>
      </c>
      <c r="BF22" s="99" t="str">
        <f>IF($A22="","",IFERROR(INDEX('City Accident Ratings'!$G$6:$G$54,MATCH($Z22,'City Accident Ratings'!$B$6:$B$54,0)),"?"))</f>
        <v/>
      </c>
      <c r="BG22" s="99" t="str">
        <f>IF($A22="","",IFERROR(INDEX('Usage and Coverage'!$D$6:$D$20,MATCH($N22,'Usage and Coverage'!$C$6:$C$20,0)),"?"))</f>
        <v/>
      </c>
      <c r="BH22" s="99" t="str">
        <f>IF($A22="","",IFERROR(INDEX('Usage and Coverage'!$C$24:$C$30,MATCH($O22,'Usage and Coverage'!$B$24:$B$30,0)),"?"))</f>
        <v/>
      </c>
      <c r="BI22" s="99" t="str">
        <f>IF($A22="","",IFERROR(INDEX('Usage and Coverage'!$C$34:$C$40,MATCH($P22,'Usage and Coverage'!$B$34:$B$40,0)),"?"))</f>
        <v/>
      </c>
      <c r="BJ22" s="99" t="str">
        <f>IF($A22="","",IFERROR(INDEX('Usage and Coverage'!$C$44:$C$49,MATCH($Q22,'Usage and Coverage'!$B$44:$B$49,0)),"?"))</f>
        <v/>
      </c>
      <c r="BK22" s="99" t="str">
        <f>IF($A22="","",IFERROR(INDEX(Deductibles!$C$6:$I$15,MATCH($W22,Deductibles!$B$6:$B$15,0),MATCH(MAX($J22,'Technical Premium'!$C$18),'Base Rates'!$C$3:$I$3,1)),"?"))</f>
        <v/>
      </c>
      <c r="BL22" s="99" t="str">
        <f>IF($A22="","",IFERROR(INDEX('Usage and Coverage'!$C$63:$C$66,MATCH($X22,'Usage and Coverage'!$B$63:$B$66,0)),"?"))</f>
        <v/>
      </c>
      <c r="BM22" s="99" t="str">
        <f>IF($A22="","",IFERROR(INDEX('Usage and Coverage'!$C$70:$C$75,MATCH($V22,'Usage and Coverage'!$B$70:$B$75,0)),"?"))</f>
        <v/>
      </c>
      <c r="BN22" s="99" t="str">
        <f>IF($A22="","",IF($AB22="",1,IFERROR(INDEX(Deductibles!$C$48:$C$51,MATCH($AB22,Deductibles!$B$48:$B$51,0)),"?")))</f>
        <v/>
      </c>
      <c r="BO22" s="99" t="str">
        <f>IF($A22="","",IF($AC22="",1,IFERROR(INDEX(Deductibles!$C$55:$C$57,MATCH($AC22,Deductibles!$B$55:$B$57,0)),"?")))</f>
        <v/>
      </c>
      <c r="BP22" s="99" t="str">
        <f>IF($A22="","",IF($AD22="",1,IFERROR(INDEX(Deductibles!$C$61:$C$63,MATCH($AD22,Deductibles!$B$61:$B$63,0)),"?")))</f>
        <v/>
      </c>
      <c r="BQ22" s="99" t="str">
        <f>IF($A22="","",IF($AE22="",1,IFERROR(INDEX(Deductibles!$C$67:$C$69,MATCH($AE22,Deductibles!$B$67:$B$69,0)),"?")))</f>
        <v/>
      </c>
      <c r="BR22" s="99" t="str">
        <f>IF($A22="","",IF($AF22="",1,IFERROR(INDEX(Deductibles!$C$73:$C$74,MATCH($AF22,Deductibles!$B$73:$B$74,0)),"?")))</f>
        <v/>
      </c>
      <c r="BS22" s="99" t="str">
        <f>IF($A22="","",IF($AG22="",1,IFERROR(INDEX('Sublimits and Parts'!$C$49:$C$52,MATCH($AG22,'Sublimits and Parts'!$B$49:$B$52,0)),"?")))</f>
        <v/>
      </c>
      <c r="BT22" s="99" t="str">
        <f>IF($A22="","",IF($AH22="",1,IFERROR(INDEX('Sublimits and Parts'!$C$56:$C$60,MATCH($AH22,'Sublimits and Parts'!$B$56:$B$60,0)),"?")))</f>
        <v/>
      </c>
      <c r="BU22" s="99" t="str">
        <f>IF($A22="","",IF($AI22="",1,IFERROR(INDEX('Sublimits and Parts'!$C$64:$C$67,MATCH($AI22,'Sublimits and Parts'!$B$64:$B$67,0)),"?")))</f>
        <v/>
      </c>
      <c r="BV22" s="99" t="str">
        <f>IF($A22="","",IF($AJ22="",1,IFERROR(INDEX('Sublimits and Parts'!$C$71:$C$74,MATCH($AJ22,'Sublimits and Parts'!$B$71:$B$74,0)),"?")))</f>
        <v/>
      </c>
      <c r="BW22" s="99" t="str">
        <f>IF($A22="","",IF($AK22="",1,IFERROR(INDEX('Sublimits and Parts'!$C$78:$C$80,MATCH($AK22,'Sublimits and Parts'!$B$78:$B$80,0)),"?")))</f>
        <v/>
      </c>
      <c r="BX22" s="99" t="str">
        <f>IF($A22="","",IF($AL22="",1,IFERROR(INDEX('Sublimits and Parts'!$C$84:$C$87,MATCH($AL22,'Sublimits and Parts'!$B$84:$B$87,0)),"?")))</f>
        <v/>
      </c>
      <c r="BY22" s="99" t="str">
        <f>IF($A22="","",IF($AM22="",1,IFERROR(INDEX('Sublimits and Parts'!$C$91:$C$94,MATCH($AM22,'Sublimits and Parts'!$B$91:$B$94,0)),"?")))</f>
        <v/>
      </c>
      <c r="BZ22" s="99" t="str">
        <f>IF($A22="","",IF($AN22="",1,IFERROR(INDEX('Sublimits and Parts'!$C$98:$C$101,MATCH($AN22,'Sublimits and Parts'!$B$98:$B$101,0)),"?")))</f>
        <v/>
      </c>
      <c r="CA22" s="99" t="str">
        <f>IF($A22="","",IF($AO22="",1,IFERROR(INDEX('Sublimits and Parts'!$C$105:$C$109,MATCH($AO22,'Sublimits and Parts'!$B$105:$B$109,0)),"?")))</f>
        <v/>
      </c>
      <c r="CB22" s="100" t="str">
        <f t="shared" si="2"/>
        <v/>
      </c>
      <c r="CC22" s="100" t="str">
        <f t="shared" si="3"/>
        <v/>
      </c>
      <c r="CD22" s="103" t="str">
        <f>IF($A22="","",IF(OR($CB22="?",$CC22="?"),"?",MIN($CB22*$CC22,'Technical Premium'!$C$17)))</f>
        <v/>
      </c>
      <c r="CE22" s="102" t="str">
        <f t="shared" si="4"/>
        <v/>
      </c>
      <c r="CF22" s="102" t="str">
        <f>IF($A22="","",IFERROR(INDEX('Territory Factors'!$F$6:$F$56,MATCH($K22,'Territory Factors'!$B$6:$B$56,0)),"?"))</f>
        <v/>
      </c>
      <c r="CG22" s="100" t="str">
        <f>IF($A22="","",IFERROR(INDEX('Usage and Coverage'!$C$79:$C$84,MATCH($Y22,'Usage and Coverage'!$B$79:$B$84,0)),"?"))</f>
        <v/>
      </c>
      <c r="CH22" s="102" t="str">
        <f>IFERROR(IF(ISNUMBER($CD22),$CF22*$CG22*MIN($BG22*$BA22*$BC22*$BD22*$BH22*$BF22,'Technical Premium'!$C$17),""),"")</f>
        <v/>
      </c>
      <c r="CI22" s="102" t="str">
        <f t="shared" si="5"/>
        <v/>
      </c>
      <c r="CJ22" s="102" t="str">
        <f>IFERROR($CI22*(1+'Technical Premium'!$C$5)*(1+'Technical Premium'!$C$6),"")</f>
        <v/>
      </c>
      <c r="CK22" s="102" t="str">
        <f>IFERROR($CE22*INDEX('Territory Factors'!$G$6:$G$56,MATCH($K22,'Territory Factors'!$B$6:$B$56,0))*$AU22*$AV22,"")</f>
        <v/>
      </c>
      <c r="CL22" s="102" t="str">
        <f>IFERROR(($CJ22+$CK22)*(1+'Technical Premium'!$C$7),"")</f>
        <v/>
      </c>
      <c r="CM22" s="104" t="str">
        <f>IFERROR($CL22/'Technical Premium'!$C$13,"")</f>
        <v/>
      </c>
      <c r="CN22" s="105" t="str">
        <f t="shared" si="6"/>
        <v/>
      </c>
      <c r="CO22" s="104" t="str">
        <f t="shared" si="7"/>
        <v/>
      </c>
      <c r="CP22" s="105" t="str">
        <f t="shared" si="8"/>
        <v/>
      </c>
      <c r="CQ22" s="106" t="str">
        <f t="shared" si="9"/>
        <v/>
      </c>
      <c r="CR22" s="102" t="str">
        <f>IF(ISNUMBER($CM22),'Technical Premium'!$C$14+IF($J22&gt;=1000000,'Technical Premium'!$C$15,0),"")</f>
        <v/>
      </c>
      <c r="CS22" s="102" t="str">
        <f>IFERROR(($CO22+$CR22)*(INDEX('Territory Factors'!$K$6:$K$56,MATCH($K22,'Territory Factors'!$B$6:$B$56,0))+'Commission Structure'!$C$21),"")</f>
        <v/>
      </c>
      <c r="CT22" s="104" t="str">
        <f t="shared" si="10"/>
        <v/>
      </c>
      <c r="CU22" s="102" t="str">
        <f>IFERROR($CO22*('Commission Structure'!$C$6+'Commission Structure'!$C$7),"")</f>
        <v/>
      </c>
      <c r="CV22" s="102" t="str">
        <f>IFERROR($CO22*'Commission Structure'!$C$5-$CU22,"")</f>
        <v/>
      </c>
      <c r="CW22" s="102" t="str">
        <f>IFERROR($CO22*(1-'Commission Structure'!$C$5),"")</f>
        <v/>
      </c>
      <c r="CX22" s="107"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8" t="str">
        <f t="shared" si="11"/>
        <v/>
      </c>
      <c r="CZ22" s="99" t="str">
        <f>IF($CY22="","",IF($CY22&lt;'Technical Premium'!$C$19,"BEYOND AUTHORITY",IF($CY22&gt;0.005,"Above technical",IF($CY22&lt;-0.005,"BELOW technical","At technical"))))</f>
        <v/>
      </c>
      <c r="DA22" s="99"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4"/>
      <c r="DC22" s="94"/>
      <c r="DD22" s="95"/>
      <c r="DE22" s="94"/>
      <c r="DF22" s="94"/>
      <c r="DG22" s="99" t="str">
        <f t="shared" si="12"/>
        <v/>
      </c>
      <c r="DH22" s="99" t="str">
        <f>IF($A22="","",IF(OR($CX22="REFER",$CX22="DECLINE"),COUNTIF($CX$5:$CX22,"REFER")+COUNTIF($CX$5:$CX22,"DECLINE"),""))</f>
        <v/>
      </c>
      <c r="DI22" s="94"/>
    </row>
    <row r="23" spans="1:113" x14ac:dyDescent="0.35">
      <c r="A23" s="94"/>
      <c r="B23" s="94"/>
      <c r="C23" s="95"/>
      <c r="D23" s="95"/>
      <c r="E23" s="96"/>
      <c r="F23" s="94"/>
      <c r="G23" s="94"/>
      <c r="H23" s="94"/>
      <c r="I23" s="94"/>
      <c r="J23" s="97"/>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8"/>
      <c r="AR23" s="99" t="str">
        <f t="shared" si="0"/>
        <v/>
      </c>
      <c r="AS23" s="99" t="str">
        <f>IF($A23="","",IF($AP23&lt;&gt;"",$AP23,IFERROR(INDEX('Cat Zone by ZIP'!$D$6:$D$856,MATCH($AR23,'Cat Zone by ZIP'!$B$6:$B$856,0)),IFERROR(INDEX('Cat Zone by ZIP'!$C$860:$C$910,MATCH($K23,'Cat Zone by ZIP'!$B$860:$B$910,0)),"NOT FOUND"))))</f>
        <v/>
      </c>
      <c r="AT23" s="99" t="str">
        <f>IF($A23="","",IF($AP23&lt;&gt;"","Override",IF(ISNUMBER(MATCH($AR23,'Cat Zone by ZIP'!$B$6:$B$856,0)),"ZIP-3","State default")))</f>
        <v/>
      </c>
      <c r="AU23" s="100" t="str">
        <f>IF($A23="","",IFERROR(INDEX('Natural Catastrophe'!$D$6:$D$17,MATCH($AS23,'Natural Catastrophe'!$B$6:$B$17,0)),"?"))</f>
        <v/>
      </c>
      <c r="AV23" s="100" t="str">
        <f>IF($A23="","",IFERROR(INDEX('Natural Catastrophe'!$C$21:$C$26,MATCH($AA23,'Natural Catastrophe'!$B$21:$B$26,0)),"?"))</f>
        <v/>
      </c>
      <c r="AW23" s="99" t="str">
        <f>IF($A23="","",IFERROR(INDEX('Base Rates'!$C$4:$I$4,MATCH(MAX($J23,'Technical Premium'!$C$18),'Base Rates'!$C$3:$I$3,1)),"?"))</f>
        <v/>
      </c>
      <c r="AX23" s="101" t="str">
        <f>IF($A23="","",IFERROR(INDEX('Base Rates'!$C$5:$I$16,MATCH($I23,'Base Rates'!$B$5:$B$16,0),MATCH(MAX($J23,'Technical Premium'!$C$18),'Base Rates'!$C$3:$I$3,1)),"?"))</f>
        <v/>
      </c>
      <c r="AY23" s="102" t="str">
        <f t="shared" si="1"/>
        <v/>
      </c>
      <c r="AZ23" s="99" t="str">
        <f>IF($A23="","",IFERROR(INDEX('Make Factors'!$G$5:$G$69,MATCH($F23,'Make Factors'!$B$5:$B$69,0)),"?"))</f>
        <v/>
      </c>
      <c r="BA23" s="99" t="str">
        <f>IF($A23="","",IFERROR(INDEX('Driver Factors'!$C$6:$C$15,MATCH($R23,'Driver Factors'!$B$6:$B$15,0)),"?"))</f>
        <v/>
      </c>
      <c r="BB23" s="99" t="str">
        <f>IF($A23="","",IFERROR(INDEX('Driver Factors'!$C$19:$C$24,MATCH($S23,'Driver Factors'!$B$19:$B$24,0)),"?"))</f>
        <v/>
      </c>
      <c r="BC23" s="99" t="str">
        <f>IF($A23="","",IFERROR(INDEX('Driver Factors'!$C$28:$C$36,MATCH($T23,'Driver Factors'!$B$28:$B$36,0)),"?"))</f>
        <v/>
      </c>
      <c r="BD23" s="99" t="str">
        <f>IF($A23="","",IFERROR(INDEX('Claims History'!$C$6:$C$15,MATCH($U23,'Claims History'!$B$6:$B$15,0)),"?"))</f>
        <v/>
      </c>
      <c r="BE23" s="99" t="str">
        <f>IF($A23="","",IFERROR(INDEX('Territory Factors'!$E$6:$E$56,MATCH($K23,'Territory Factors'!$B$6:$B$56,0)),"?"))</f>
        <v/>
      </c>
      <c r="BF23" s="99" t="str">
        <f>IF($A23="","",IFERROR(INDEX('City Accident Ratings'!$G$6:$G$54,MATCH($Z23,'City Accident Ratings'!$B$6:$B$54,0)),"?"))</f>
        <v/>
      </c>
      <c r="BG23" s="99" t="str">
        <f>IF($A23="","",IFERROR(INDEX('Usage and Coverage'!$D$6:$D$20,MATCH($N23,'Usage and Coverage'!$C$6:$C$20,0)),"?"))</f>
        <v/>
      </c>
      <c r="BH23" s="99" t="str">
        <f>IF($A23="","",IFERROR(INDEX('Usage and Coverage'!$C$24:$C$30,MATCH($O23,'Usage and Coverage'!$B$24:$B$30,0)),"?"))</f>
        <v/>
      </c>
      <c r="BI23" s="99" t="str">
        <f>IF($A23="","",IFERROR(INDEX('Usage and Coverage'!$C$34:$C$40,MATCH($P23,'Usage and Coverage'!$B$34:$B$40,0)),"?"))</f>
        <v/>
      </c>
      <c r="BJ23" s="99" t="str">
        <f>IF($A23="","",IFERROR(INDEX('Usage and Coverage'!$C$44:$C$49,MATCH($Q23,'Usage and Coverage'!$B$44:$B$49,0)),"?"))</f>
        <v/>
      </c>
      <c r="BK23" s="99" t="str">
        <f>IF($A23="","",IFERROR(INDEX(Deductibles!$C$6:$I$15,MATCH($W23,Deductibles!$B$6:$B$15,0),MATCH(MAX($J23,'Technical Premium'!$C$18),'Base Rates'!$C$3:$I$3,1)),"?"))</f>
        <v/>
      </c>
      <c r="BL23" s="99" t="str">
        <f>IF($A23="","",IFERROR(INDEX('Usage and Coverage'!$C$63:$C$66,MATCH($X23,'Usage and Coverage'!$B$63:$B$66,0)),"?"))</f>
        <v/>
      </c>
      <c r="BM23" s="99" t="str">
        <f>IF($A23="","",IFERROR(INDEX('Usage and Coverage'!$C$70:$C$75,MATCH($V23,'Usage and Coverage'!$B$70:$B$75,0)),"?"))</f>
        <v/>
      </c>
      <c r="BN23" s="99" t="str">
        <f>IF($A23="","",IF($AB23="",1,IFERROR(INDEX(Deductibles!$C$48:$C$51,MATCH($AB23,Deductibles!$B$48:$B$51,0)),"?")))</f>
        <v/>
      </c>
      <c r="BO23" s="99" t="str">
        <f>IF($A23="","",IF($AC23="",1,IFERROR(INDEX(Deductibles!$C$55:$C$57,MATCH($AC23,Deductibles!$B$55:$B$57,0)),"?")))</f>
        <v/>
      </c>
      <c r="BP23" s="99" t="str">
        <f>IF($A23="","",IF($AD23="",1,IFERROR(INDEX(Deductibles!$C$61:$C$63,MATCH($AD23,Deductibles!$B$61:$B$63,0)),"?")))</f>
        <v/>
      </c>
      <c r="BQ23" s="99" t="str">
        <f>IF($A23="","",IF($AE23="",1,IFERROR(INDEX(Deductibles!$C$67:$C$69,MATCH($AE23,Deductibles!$B$67:$B$69,0)),"?")))</f>
        <v/>
      </c>
      <c r="BR23" s="99" t="str">
        <f>IF($A23="","",IF($AF23="",1,IFERROR(INDEX(Deductibles!$C$73:$C$74,MATCH($AF23,Deductibles!$B$73:$B$74,0)),"?")))</f>
        <v/>
      </c>
      <c r="BS23" s="99" t="str">
        <f>IF($A23="","",IF($AG23="",1,IFERROR(INDEX('Sublimits and Parts'!$C$49:$C$52,MATCH($AG23,'Sublimits and Parts'!$B$49:$B$52,0)),"?")))</f>
        <v/>
      </c>
      <c r="BT23" s="99" t="str">
        <f>IF($A23="","",IF($AH23="",1,IFERROR(INDEX('Sublimits and Parts'!$C$56:$C$60,MATCH($AH23,'Sublimits and Parts'!$B$56:$B$60,0)),"?")))</f>
        <v/>
      </c>
      <c r="BU23" s="99" t="str">
        <f>IF($A23="","",IF($AI23="",1,IFERROR(INDEX('Sublimits and Parts'!$C$64:$C$67,MATCH($AI23,'Sublimits and Parts'!$B$64:$B$67,0)),"?")))</f>
        <v/>
      </c>
      <c r="BV23" s="99" t="str">
        <f>IF($A23="","",IF($AJ23="",1,IFERROR(INDEX('Sublimits and Parts'!$C$71:$C$74,MATCH($AJ23,'Sublimits and Parts'!$B$71:$B$74,0)),"?")))</f>
        <v/>
      </c>
      <c r="BW23" s="99" t="str">
        <f>IF($A23="","",IF($AK23="",1,IFERROR(INDEX('Sublimits and Parts'!$C$78:$C$80,MATCH($AK23,'Sublimits and Parts'!$B$78:$B$80,0)),"?")))</f>
        <v/>
      </c>
      <c r="BX23" s="99" t="str">
        <f>IF($A23="","",IF($AL23="",1,IFERROR(INDEX('Sublimits and Parts'!$C$84:$C$87,MATCH($AL23,'Sublimits and Parts'!$B$84:$B$87,0)),"?")))</f>
        <v/>
      </c>
      <c r="BY23" s="99" t="str">
        <f>IF($A23="","",IF($AM23="",1,IFERROR(INDEX('Sublimits and Parts'!$C$91:$C$94,MATCH($AM23,'Sublimits and Parts'!$B$91:$B$94,0)),"?")))</f>
        <v/>
      </c>
      <c r="BZ23" s="99" t="str">
        <f>IF($A23="","",IF($AN23="",1,IFERROR(INDEX('Sublimits and Parts'!$C$98:$C$101,MATCH($AN23,'Sublimits and Parts'!$B$98:$B$101,0)),"?")))</f>
        <v/>
      </c>
      <c r="CA23" s="99" t="str">
        <f>IF($A23="","",IF($AO23="",1,IFERROR(INDEX('Sublimits and Parts'!$C$105:$C$109,MATCH($AO23,'Sublimits and Parts'!$B$105:$B$109,0)),"?")))</f>
        <v/>
      </c>
      <c r="CB23" s="100" t="str">
        <f t="shared" si="2"/>
        <v/>
      </c>
      <c r="CC23" s="100" t="str">
        <f t="shared" si="3"/>
        <v/>
      </c>
      <c r="CD23" s="103" t="str">
        <f>IF($A23="","",IF(OR($CB23="?",$CC23="?"),"?",MIN($CB23*$CC23,'Technical Premium'!$C$17)))</f>
        <v/>
      </c>
      <c r="CE23" s="102" t="str">
        <f t="shared" si="4"/>
        <v/>
      </c>
      <c r="CF23" s="102" t="str">
        <f>IF($A23="","",IFERROR(INDEX('Territory Factors'!$F$6:$F$56,MATCH($K23,'Territory Factors'!$B$6:$B$56,0)),"?"))</f>
        <v/>
      </c>
      <c r="CG23" s="100" t="str">
        <f>IF($A23="","",IFERROR(INDEX('Usage and Coverage'!$C$79:$C$84,MATCH($Y23,'Usage and Coverage'!$B$79:$B$84,0)),"?"))</f>
        <v/>
      </c>
      <c r="CH23" s="102" t="str">
        <f>IFERROR(IF(ISNUMBER($CD23),$CF23*$CG23*MIN($BG23*$BA23*$BC23*$BD23*$BH23*$BF23,'Technical Premium'!$C$17),""),"")</f>
        <v/>
      </c>
      <c r="CI23" s="102" t="str">
        <f t="shared" si="5"/>
        <v/>
      </c>
      <c r="CJ23" s="102" t="str">
        <f>IFERROR($CI23*(1+'Technical Premium'!$C$5)*(1+'Technical Premium'!$C$6),"")</f>
        <v/>
      </c>
      <c r="CK23" s="102" t="str">
        <f>IFERROR($CE23*INDEX('Territory Factors'!$G$6:$G$56,MATCH($K23,'Territory Factors'!$B$6:$B$56,0))*$AU23*$AV23,"")</f>
        <v/>
      </c>
      <c r="CL23" s="102" t="str">
        <f>IFERROR(($CJ23+$CK23)*(1+'Technical Premium'!$C$7),"")</f>
        <v/>
      </c>
      <c r="CM23" s="104" t="str">
        <f>IFERROR($CL23/'Technical Premium'!$C$13,"")</f>
        <v/>
      </c>
      <c r="CN23" s="105" t="str">
        <f t="shared" si="6"/>
        <v/>
      </c>
      <c r="CO23" s="104" t="str">
        <f t="shared" si="7"/>
        <v/>
      </c>
      <c r="CP23" s="105" t="str">
        <f t="shared" si="8"/>
        <v/>
      </c>
      <c r="CQ23" s="106" t="str">
        <f t="shared" si="9"/>
        <v/>
      </c>
      <c r="CR23" s="102" t="str">
        <f>IF(ISNUMBER($CM23),'Technical Premium'!$C$14+IF($J23&gt;=1000000,'Technical Premium'!$C$15,0),"")</f>
        <v/>
      </c>
      <c r="CS23" s="102" t="str">
        <f>IFERROR(($CO23+$CR23)*(INDEX('Territory Factors'!$K$6:$K$56,MATCH($K23,'Territory Factors'!$B$6:$B$56,0))+'Commission Structure'!$C$21),"")</f>
        <v/>
      </c>
      <c r="CT23" s="104" t="str">
        <f t="shared" si="10"/>
        <v/>
      </c>
      <c r="CU23" s="102" t="str">
        <f>IFERROR($CO23*('Commission Structure'!$C$6+'Commission Structure'!$C$7),"")</f>
        <v/>
      </c>
      <c r="CV23" s="102" t="str">
        <f>IFERROR($CO23*'Commission Structure'!$C$5-$CU23,"")</f>
        <v/>
      </c>
      <c r="CW23" s="102" t="str">
        <f>IFERROR($CO23*(1-'Commission Structure'!$C$5),"")</f>
        <v/>
      </c>
      <c r="CX23" s="107"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8" t="str">
        <f t="shared" si="11"/>
        <v/>
      </c>
      <c r="CZ23" s="99" t="str">
        <f>IF($CY23="","",IF($CY23&lt;'Technical Premium'!$C$19,"BEYOND AUTHORITY",IF($CY23&gt;0.005,"Above technical",IF($CY23&lt;-0.005,"BELOW technical","At technical"))))</f>
        <v/>
      </c>
      <c r="DA23" s="99"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4"/>
      <c r="DC23" s="94"/>
      <c r="DD23" s="95"/>
      <c r="DE23" s="94"/>
      <c r="DF23" s="94"/>
      <c r="DG23" s="99" t="str">
        <f t="shared" si="12"/>
        <v/>
      </c>
      <c r="DH23" s="99" t="str">
        <f>IF($A23="","",IF(OR($CX23="REFER",$CX23="DECLINE"),COUNTIF($CX$5:$CX23,"REFER")+COUNTIF($CX$5:$CX23,"DECLINE"),""))</f>
        <v/>
      </c>
      <c r="DI23" s="94"/>
    </row>
    <row r="24" spans="1:113" x14ac:dyDescent="0.35">
      <c r="A24" s="94"/>
      <c r="B24" s="94"/>
      <c r="C24" s="95"/>
      <c r="D24" s="95"/>
      <c r="E24" s="96"/>
      <c r="F24" s="94"/>
      <c r="G24" s="94"/>
      <c r="H24" s="94"/>
      <c r="I24" s="94"/>
      <c r="J24" s="97"/>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8"/>
      <c r="AR24" s="99" t="str">
        <f t="shared" si="0"/>
        <v/>
      </c>
      <c r="AS24" s="99" t="str">
        <f>IF($A24="","",IF($AP24&lt;&gt;"",$AP24,IFERROR(INDEX('Cat Zone by ZIP'!$D$6:$D$856,MATCH($AR24,'Cat Zone by ZIP'!$B$6:$B$856,0)),IFERROR(INDEX('Cat Zone by ZIP'!$C$860:$C$910,MATCH($K24,'Cat Zone by ZIP'!$B$860:$B$910,0)),"NOT FOUND"))))</f>
        <v/>
      </c>
      <c r="AT24" s="99" t="str">
        <f>IF($A24="","",IF($AP24&lt;&gt;"","Override",IF(ISNUMBER(MATCH($AR24,'Cat Zone by ZIP'!$B$6:$B$856,0)),"ZIP-3","State default")))</f>
        <v/>
      </c>
      <c r="AU24" s="100" t="str">
        <f>IF($A24="","",IFERROR(INDEX('Natural Catastrophe'!$D$6:$D$17,MATCH($AS24,'Natural Catastrophe'!$B$6:$B$17,0)),"?"))</f>
        <v/>
      </c>
      <c r="AV24" s="100" t="str">
        <f>IF($A24="","",IFERROR(INDEX('Natural Catastrophe'!$C$21:$C$26,MATCH($AA24,'Natural Catastrophe'!$B$21:$B$26,0)),"?"))</f>
        <v/>
      </c>
      <c r="AW24" s="99" t="str">
        <f>IF($A24="","",IFERROR(INDEX('Base Rates'!$C$4:$I$4,MATCH(MAX($J24,'Technical Premium'!$C$18),'Base Rates'!$C$3:$I$3,1)),"?"))</f>
        <v/>
      </c>
      <c r="AX24" s="101" t="str">
        <f>IF($A24="","",IFERROR(INDEX('Base Rates'!$C$5:$I$16,MATCH($I24,'Base Rates'!$B$5:$B$16,0),MATCH(MAX($J24,'Technical Premium'!$C$18),'Base Rates'!$C$3:$I$3,1)),"?"))</f>
        <v/>
      </c>
      <c r="AY24" s="102" t="str">
        <f t="shared" si="1"/>
        <v/>
      </c>
      <c r="AZ24" s="99" t="str">
        <f>IF($A24="","",IFERROR(INDEX('Make Factors'!$G$5:$G$69,MATCH($F24,'Make Factors'!$B$5:$B$69,0)),"?"))</f>
        <v/>
      </c>
      <c r="BA24" s="99" t="str">
        <f>IF($A24="","",IFERROR(INDEX('Driver Factors'!$C$6:$C$15,MATCH($R24,'Driver Factors'!$B$6:$B$15,0)),"?"))</f>
        <v/>
      </c>
      <c r="BB24" s="99" t="str">
        <f>IF($A24="","",IFERROR(INDEX('Driver Factors'!$C$19:$C$24,MATCH($S24,'Driver Factors'!$B$19:$B$24,0)),"?"))</f>
        <v/>
      </c>
      <c r="BC24" s="99" t="str">
        <f>IF($A24="","",IFERROR(INDEX('Driver Factors'!$C$28:$C$36,MATCH($T24,'Driver Factors'!$B$28:$B$36,0)),"?"))</f>
        <v/>
      </c>
      <c r="BD24" s="99" t="str">
        <f>IF($A24="","",IFERROR(INDEX('Claims History'!$C$6:$C$15,MATCH($U24,'Claims History'!$B$6:$B$15,0)),"?"))</f>
        <v/>
      </c>
      <c r="BE24" s="99" t="str">
        <f>IF($A24="","",IFERROR(INDEX('Territory Factors'!$E$6:$E$56,MATCH($K24,'Territory Factors'!$B$6:$B$56,0)),"?"))</f>
        <v/>
      </c>
      <c r="BF24" s="99" t="str">
        <f>IF($A24="","",IFERROR(INDEX('City Accident Ratings'!$G$6:$G$54,MATCH($Z24,'City Accident Ratings'!$B$6:$B$54,0)),"?"))</f>
        <v/>
      </c>
      <c r="BG24" s="99" t="str">
        <f>IF($A24="","",IFERROR(INDEX('Usage and Coverage'!$D$6:$D$20,MATCH($N24,'Usage and Coverage'!$C$6:$C$20,0)),"?"))</f>
        <v/>
      </c>
      <c r="BH24" s="99" t="str">
        <f>IF($A24="","",IFERROR(INDEX('Usage and Coverage'!$C$24:$C$30,MATCH($O24,'Usage and Coverage'!$B$24:$B$30,0)),"?"))</f>
        <v/>
      </c>
      <c r="BI24" s="99" t="str">
        <f>IF($A24="","",IFERROR(INDEX('Usage and Coverage'!$C$34:$C$40,MATCH($P24,'Usage and Coverage'!$B$34:$B$40,0)),"?"))</f>
        <v/>
      </c>
      <c r="BJ24" s="99" t="str">
        <f>IF($A24="","",IFERROR(INDEX('Usage and Coverage'!$C$44:$C$49,MATCH($Q24,'Usage and Coverage'!$B$44:$B$49,0)),"?"))</f>
        <v/>
      </c>
      <c r="BK24" s="99" t="str">
        <f>IF($A24="","",IFERROR(INDEX(Deductibles!$C$6:$I$15,MATCH($W24,Deductibles!$B$6:$B$15,0),MATCH(MAX($J24,'Technical Premium'!$C$18),'Base Rates'!$C$3:$I$3,1)),"?"))</f>
        <v/>
      </c>
      <c r="BL24" s="99" t="str">
        <f>IF($A24="","",IFERROR(INDEX('Usage and Coverage'!$C$63:$C$66,MATCH($X24,'Usage and Coverage'!$B$63:$B$66,0)),"?"))</f>
        <v/>
      </c>
      <c r="BM24" s="99" t="str">
        <f>IF($A24="","",IFERROR(INDEX('Usage and Coverage'!$C$70:$C$75,MATCH($V24,'Usage and Coverage'!$B$70:$B$75,0)),"?"))</f>
        <v/>
      </c>
      <c r="BN24" s="99" t="str">
        <f>IF($A24="","",IF($AB24="",1,IFERROR(INDEX(Deductibles!$C$48:$C$51,MATCH($AB24,Deductibles!$B$48:$B$51,0)),"?")))</f>
        <v/>
      </c>
      <c r="BO24" s="99" t="str">
        <f>IF($A24="","",IF($AC24="",1,IFERROR(INDEX(Deductibles!$C$55:$C$57,MATCH($AC24,Deductibles!$B$55:$B$57,0)),"?")))</f>
        <v/>
      </c>
      <c r="BP24" s="99" t="str">
        <f>IF($A24="","",IF($AD24="",1,IFERROR(INDEX(Deductibles!$C$61:$C$63,MATCH($AD24,Deductibles!$B$61:$B$63,0)),"?")))</f>
        <v/>
      </c>
      <c r="BQ24" s="99" t="str">
        <f>IF($A24="","",IF($AE24="",1,IFERROR(INDEX(Deductibles!$C$67:$C$69,MATCH($AE24,Deductibles!$B$67:$B$69,0)),"?")))</f>
        <v/>
      </c>
      <c r="BR24" s="99" t="str">
        <f>IF($A24="","",IF($AF24="",1,IFERROR(INDEX(Deductibles!$C$73:$C$74,MATCH($AF24,Deductibles!$B$73:$B$74,0)),"?")))</f>
        <v/>
      </c>
      <c r="BS24" s="99" t="str">
        <f>IF($A24="","",IF($AG24="",1,IFERROR(INDEX('Sublimits and Parts'!$C$49:$C$52,MATCH($AG24,'Sublimits and Parts'!$B$49:$B$52,0)),"?")))</f>
        <v/>
      </c>
      <c r="BT24" s="99" t="str">
        <f>IF($A24="","",IF($AH24="",1,IFERROR(INDEX('Sublimits and Parts'!$C$56:$C$60,MATCH($AH24,'Sublimits and Parts'!$B$56:$B$60,0)),"?")))</f>
        <v/>
      </c>
      <c r="BU24" s="99" t="str">
        <f>IF($A24="","",IF($AI24="",1,IFERROR(INDEX('Sublimits and Parts'!$C$64:$C$67,MATCH($AI24,'Sublimits and Parts'!$B$64:$B$67,0)),"?")))</f>
        <v/>
      </c>
      <c r="BV24" s="99" t="str">
        <f>IF($A24="","",IF($AJ24="",1,IFERROR(INDEX('Sublimits and Parts'!$C$71:$C$74,MATCH($AJ24,'Sublimits and Parts'!$B$71:$B$74,0)),"?")))</f>
        <v/>
      </c>
      <c r="BW24" s="99" t="str">
        <f>IF($A24="","",IF($AK24="",1,IFERROR(INDEX('Sublimits and Parts'!$C$78:$C$80,MATCH($AK24,'Sublimits and Parts'!$B$78:$B$80,0)),"?")))</f>
        <v/>
      </c>
      <c r="BX24" s="99" t="str">
        <f>IF($A24="","",IF($AL24="",1,IFERROR(INDEX('Sublimits and Parts'!$C$84:$C$87,MATCH($AL24,'Sublimits and Parts'!$B$84:$B$87,0)),"?")))</f>
        <v/>
      </c>
      <c r="BY24" s="99" t="str">
        <f>IF($A24="","",IF($AM24="",1,IFERROR(INDEX('Sublimits and Parts'!$C$91:$C$94,MATCH($AM24,'Sublimits and Parts'!$B$91:$B$94,0)),"?")))</f>
        <v/>
      </c>
      <c r="BZ24" s="99" t="str">
        <f>IF($A24="","",IF($AN24="",1,IFERROR(INDEX('Sublimits and Parts'!$C$98:$C$101,MATCH($AN24,'Sublimits and Parts'!$B$98:$B$101,0)),"?")))</f>
        <v/>
      </c>
      <c r="CA24" s="99" t="str">
        <f>IF($A24="","",IF($AO24="",1,IFERROR(INDEX('Sublimits and Parts'!$C$105:$C$109,MATCH($AO24,'Sublimits and Parts'!$B$105:$B$109,0)),"?")))</f>
        <v/>
      </c>
      <c r="CB24" s="100" t="str">
        <f t="shared" si="2"/>
        <v/>
      </c>
      <c r="CC24" s="100" t="str">
        <f t="shared" si="3"/>
        <v/>
      </c>
      <c r="CD24" s="103" t="str">
        <f>IF($A24="","",IF(OR($CB24="?",$CC24="?"),"?",MIN($CB24*$CC24,'Technical Premium'!$C$17)))</f>
        <v/>
      </c>
      <c r="CE24" s="102" t="str">
        <f t="shared" si="4"/>
        <v/>
      </c>
      <c r="CF24" s="102" t="str">
        <f>IF($A24="","",IFERROR(INDEX('Territory Factors'!$F$6:$F$56,MATCH($K24,'Territory Factors'!$B$6:$B$56,0)),"?"))</f>
        <v/>
      </c>
      <c r="CG24" s="100" t="str">
        <f>IF($A24="","",IFERROR(INDEX('Usage and Coverage'!$C$79:$C$84,MATCH($Y24,'Usage and Coverage'!$B$79:$B$84,0)),"?"))</f>
        <v/>
      </c>
      <c r="CH24" s="102" t="str">
        <f>IFERROR(IF(ISNUMBER($CD24),$CF24*$CG24*MIN($BG24*$BA24*$BC24*$BD24*$BH24*$BF24,'Technical Premium'!$C$17),""),"")</f>
        <v/>
      </c>
      <c r="CI24" s="102" t="str">
        <f t="shared" si="5"/>
        <v/>
      </c>
      <c r="CJ24" s="102" t="str">
        <f>IFERROR($CI24*(1+'Technical Premium'!$C$5)*(1+'Technical Premium'!$C$6),"")</f>
        <v/>
      </c>
      <c r="CK24" s="102" t="str">
        <f>IFERROR($CE24*INDEX('Territory Factors'!$G$6:$G$56,MATCH($K24,'Territory Factors'!$B$6:$B$56,0))*$AU24*$AV24,"")</f>
        <v/>
      </c>
      <c r="CL24" s="102" t="str">
        <f>IFERROR(($CJ24+$CK24)*(1+'Technical Premium'!$C$7),"")</f>
        <v/>
      </c>
      <c r="CM24" s="104" t="str">
        <f>IFERROR($CL24/'Technical Premium'!$C$13,"")</f>
        <v/>
      </c>
      <c r="CN24" s="105" t="str">
        <f t="shared" si="6"/>
        <v/>
      </c>
      <c r="CO24" s="104" t="str">
        <f t="shared" si="7"/>
        <v/>
      </c>
      <c r="CP24" s="105" t="str">
        <f t="shared" si="8"/>
        <v/>
      </c>
      <c r="CQ24" s="106" t="str">
        <f t="shared" si="9"/>
        <v/>
      </c>
      <c r="CR24" s="102" t="str">
        <f>IF(ISNUMBER($CM24),'Technical Premium'!$C$14+IF($J24&gt;=1000000,'Technical Premium'!$C$15,0),"")</f>
        <v/>
      </c>
      <c r="CS24" s="102" t="str">
        <f>IFERROR(($CO24+$CR24)*(INDEX('Territory Factors'!$K$6:$K$56,MATCH($K24,'Territory Factors'!$B$6:$B$56,0))+'Commission Structure'!$C$21),"")</f>
        <v/>
      </c>
      <c r="CT24" s="104" t="str">
        <f t="shared" si="10"/>
        <v/>
      </c>
      <c r="CU24" s="102" t="str">
        <f>IFERROR($CO24*('Commission Structure'!$C$6+'Commission Structure'!$C$7),"")</f>
        <v/>
      </c>
      <c r="CV24" s="102" t="str">
        <f>IFERROR($CO24*'Commission Structure'!$C$5-$CU24,"")</f>
        <v/>
      </c>
      <c r="CW24" s="102" t="str">
        <f>IFERROR($CO24*(1-'Commission Structure'!$C$5),"")</f>
        <v/>
      </c>
      <c r="CX24" s="107"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8" t="str">
        <f t="shared" si="11"/>
        <v/>
      </c>
      <c r="CZ24" s="99" t="str">
        <f>IF($CY24="","",IF($CY24&lt;'Technical Premium'!$C$19,"BEYOND AUTHORITY",IF($CY24&gt;0.005,"Above technical",IF($CY24&lt;-0.005,"BELOW technical","At technical"))))</f>
        <v/>
      </c>
      <c r="DA24" s="99"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4"/>
      <c r="DC24" s="94"/>
      <c r="DD24" s="95"/>
      <c r="DE24" s="94"/>
      <c r="DF24" s="94"/>
      <c r="DG24" s="99" t="str">
        <f t="shared" si="12"/>
        <v/>
      </c>
      <c r="DH24" s="99" t="str">
        <f>IF($A24="","",IF(OR($CX24="REFER",$CX24="DECLINE"),COUNTIF($CX$5:$CX24,"REFER")+COUNTIF($CX$5:$CX24,"DECLINE"),""))</f>
        <v/>
      </c>
      <c r="DI24" s="94"/>
    </row>
    <row r="25" spans="1:113" x14ac:dyDescent="0.35">
      <c r="A25" s="94"/>
      <c r="B25" s="94"/>
      <c r="C25" s="95"/>
      <c r="D25" s="95"/>
      <c r="E25" s="96"/>
      <c r="F25" s="94"/>
      <c r="G25" s="94"/>
      <c r="H25" s="94"/>
      <c r="I25" s="94"/>
      <c r="J25" s="97"/>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8"/>
      <c r="AR25" s="99" t="str">
        <f t="shared" si="0"/>
        <v/>
      </c>
      <c r="AS25" s="99" t="str">
        <f>IF($A25="","",IF($AP25&lt;&gt;"",$AP25,IFERROR(INDEX('Cat Zone by ZIP'!$D$6:$D$856,MATCH($AR25,'Cat Zone by ZIP'!$B$6:$B$856,0)),IFERROR(INDEX('Cat Zone by ZIP'!$C$860:$C$910,MATCH($K25,'Cat Zone by ZIP'!$B$860:$B$910,0)),"NOT FOUND"))))</f>
        <v/>
      </c>
      <c r="AT25" s="99" t="str">
        <f>IF($A25="","",IF($AP25&lt;&gt;"","Override",IF(ISNUMBER(MATCH($AR25,'Cat Zone by ZIP'!$B$6:$B$856,0)),"ZIP-3","State default")))</f>
        <v/>
      </c>
      <c r="AU25" s="100" t="str">
        <f>IF($A25="","",IFERROR(INDEX('Natural Catastrophe'!$D$6:$D$17,MATCH($AS25,'Natural Catastrophe'!$B$6:$B$17,0)),"?"))</f>
        <v/>
      </c>
      <c r="AV25" s="100" t="str">
        <f>IF($A25="","",IFERROR(INDEX('Natural Catastrophe'!$C$21:$C$26,MATCH($AA25,'Natural Catastrophe'!$B$21:$B$26,0)),"?"))</f>
        <v/>
      </c>
      <c r="AW25" s="99" t="str">
        <f>IF($A25="","",IFERROR(INDEX('Base Rates'!$C$4:$I$4,MATCH(MAX($J25,'Technical Premium'!$C$18),'Base Rates'!$C$3:$I$3,1)),"?"))</f>
        <v/>
      </c>
      <c r="AX25" s="101" t="str">
        <f>IF($A25="","",IFERROR(INDEX('Base Rates'!$C$5:$I$16,MATCH($I25,'Base Rates'!$B$5:$B$16,0),MATCH(MAX($J25,'Technical Premium'!$C$18),'Base Rates'!$C$3:$I$3,1)),"?"))</f>
        <v/>
      </c>
      <c r="AY25" s="102" t="str">
        <f t="shared" si="1"/>
        <v/>
      </c>
      <c r="AZ25" s="99" t="str">
        <f>IF($A25="","",IFERROR(INDEX('Make Factors'!$G$5:$G$69,MATCH($F25,'Make Factors'!$B$5:$B$69,0)),"?"))</f>
        <v/>
      </c>
      <c r="BA25" s="99" t="str">
        <f>IF($A25="","",IFERROR(INDEX('Driver Factors'!$C$6:$C$15,MATCH($R25,'Driver Factors'!$B$6:$B$15,0)),"?"))</f>
        <v/>
      </c>
      <c r="BB25" s="99" t="str">
        <f>IF($A25="","",IFERROR(INDEX('Driver Factors'!$C$19:$C$24,MATCH($S25,'Driver Factors'!$B$19:$B$24,0)),"?"))</f>
        <v/>
      </c>
      <c r="BC25" s="99" t="str">
        <f>IF($A25="","",IFERROR(INDEX('Driver Factors'!$C$28:$C$36,MATCH($T25,'Driver Factors'!$B$28:$B$36,0)),"?"))</f>
        <v/>
      </c>
      <c r="BD25" s="99" t="str">
        <f>IF($A25="","",IFERROR(INDEX('Claims History'!$C$6:$C$15,MATCH($U25,'Claims History'!$B$6:$B$15,0)),"?"))</f>
        <v/>
      </c>
      <c r="BE25" s="99" t="str">
        <f>IF($A25="","",IFERROR(INDEX('Territory Factors'!$E$6:$E$56,MATCH($K25,'Territory Factors'!$B$6:$B$56,0)),"?"))</f>
        <v/>
      </c>
      <c r="BF25" s="99" t="str">
        <f>IF($A25="","",IFERROR(INDEX('City Accident Ratings'!$G$6:$G$54,MATCH($Z25,'City Accident Ratings'!$B$6:$B$54,0)),"?"))</f>
        <v/>
      </c>
      <c r="BG25" s="99" t="str">
        <f>IF($A25="","",IFERROR(INDEX('Usage and Coverage'!$D$6:$D$20,MATCH($N25,'Usage and Coverage'!$C$6:$C$20,0)),"?"))</f>
        <v/>
      </c>
      <c r="BH25" s="99" t="str">
        <f>IF($A25="","",IFERROR(INDEX('Usage and Coverage'!$C$24:$C$30,MATCH($O25,'Usage and Coverage'!$B$24:$B$30,0)),"?"))</f>
        <v/>
      </c>
      <c r="BI25" s="99" t="str">
        <f>IF($A25="","",IFERROR(INDEX('Usage and Coverage'!$C$34:$C$40,MATCH($P25,'Usage and Coverage'!$B$34:$B$40,0)),"?"))</f>
        <v/>
      </c>
      <c r="BJ25" s="99" t="str">
        <f>IF($A25="","",IFERROR(INDEX('Usage and Coverage'!$C$44:$C$49,MATCH($Q25,'Usage and Coverage'!$B$44:$B$49,0)),"?"))</f>
        <v/>
      </c>
      <c r="BK25" s="99" t="str">
        <f>IF($A25="","",IFERROR(INDEX(Deductibles!$C$6:$I$15,MATCH($W25,Deductibles!$B$6:$B$15,0),MATCH(MAX($J25,'Technical Premium'!$C$18),'Base Rates'!$C$3:$I$3,1)),"?"))</f>
        <v/>
      </c>
      <c r="BL25" s="99" t="str">
        <f>IF($A25="","",IFERROR(INDEX('Usage and Coverage'!$C$63:$C$66,MATCH($X25,'Usage and Coverage'!$B$63:$B$66,0)),"?"))</f>
        <v/>
      </c>
      <c r="BM25" s="99" t="str">
        <f>IF($A25="","",IFERROR(INDEX('Usage and Coverage'!$C$70:$C$75,MATCH($V25,'Usage and Coverage'!$B$70:$B$75,0)),"?"))</f>
        <v/>
      </c>
      <c r="BN25" s="99" t="str">
        <f>IF($A25="","",IF($AB25="",1,IFERROR(INDEX(Deductibles!$C$48:$C$51,MATCH($AB25,Deductibles!$B$48:$B$51,0)),"?")))</f>
        <v/>
      </c>
      <c r="BO25" s="99" t="str">
        <f>IF($A25="","",IF($AC25="",1,IFERROR(INDEX(Deductibles!$C$55:$C$57,MATCH($AC25,Deductibles!$B$55:$B$57,0)),"?")))</f>
        <v/>
      </c>
      <c r="BP25" s="99" t="str">
        <f>IF($A25="","",IF($AD25="",1,IFERROR(INDEX(Deductibles!$C$61:$C$63,MATCH($AD25,Deductibles!$B$61:$B$63,0)),"?")))</f>
        <v/>
      </c>
      <c r="BQ25" s="99" t="str">
        <f>IF($A25="","",IF($AE25="",1,IFERROR(INDEX(Deductibles!$C$67:$C$69,MATCH($AE25,Deductibles!$B$67:$B$69,0)),"?")))</f>
        <v/>
      </c>
      <c r="BR25" s="99" t="str">
        <f>IF($A25="","",IF($AF25="",1,IFERROR(INDEX(Deductibles!$C$73:$C$74,MATCH($AF25,Deductibles!$B$73:$B$74,0)),"?")))</f>
        <v/>
      </c>
      <c r="BS25" s="99" t="str">
        <f>IF($A25="","",IF($AG25="",1,IFERROR(INDEX('Sublimits and Parts'!$C$49:$C$52,MATCH($AG25,'Sublimits and Parts'!$B$49:$B$52,0)),"?")))</f>
        <v/>
      </c>
      <c r="BT25" s="99" t="str">
        <f>IF($A25="","",IF($AH25="",1,IFERROR(INDEX('Sublimits and Parts'!$C$56:$C$60,MATCH($AH25,'Sublimits and Parts'!$B$56:$B$60,0)),"?")))</f>
        <v/>
      </c>
      <c r="BU25" s="99" t="str">
        <f>IF($A25="","",IF($AI25="",1,IFERROR(INDEX('Sublimits and Parts'!$C$64:$C$67,MATCH($AI25,'Sublimits and Parts'!$B$64:$B$67,0)),"?")))</f>
        <v/>
      </c>
      <c r="BV25" s="99" t="str">
        <f>IF($A25="","",IF($AJ25="",1,IFERROR(INDEX('Sublimits and Parts'!$C$71:$C$74,MATCH($AJ25,'Sublimits and Parts'!$B$71:$B$74,0)),"?")))</f>
        <v/>
      </c>
      <c r="BW25" s="99" t="str">
        <f>IF($A25="","",IF($AK25="",1,IFERROR(INDEX('Sublimits and Parts'!$C$78:$C$80,MATCH($AK25,'Sublimits and Parts'!$B$78:$B$80,0)),"?")))</f>
        <v/>
      </c>
      <c r="BX25" s="99" t="str">
        <f>IF($A25="","",IF($AL25="",1,IFERROR(INDEX('Sublimits and Parts'!$C$84:$C$87,MATCH($AL25,'Sublimits and Parts'!$B$84:$B$87,0)),"?")))</f>
        <v/>
      </c>
      <c r="BY25" s="99" t="str">
        <f>IF($A25="","",IF($AM25="",1,IFERROR(INDEX('Sublimits and Parts'!$C$91:$C$94,MATCH($AM25,'Sublimits and Parts'!$B$91:$B$94,0)),"?")))</f>
        <v/>
      </c>
      <c r="BZ25" s="99" t="str">
        <f>IF($A25="","",IF($AN25="",1,IFERROR(INDEX('Sublimits and Parts'!$C$98:$C$101,MATCH($AN25,'Sublimits and Parts'!$B$98:$B$101,0)),"?")))</f>
        <v/>
      </c>
      <c r="CA25" s="99" t="str">
        <f>IF($A25="","",IF($AO25="",1,IFERROR(INDEX('Sublimits and Parts'!$C$105:$C$109,MATCH($AO25,'Sublimits and Parts'!$B$105:$B$109,0)),"?")))</f>
        <v/>
      </c>
      <c r="CB25" s="100" t="str">
        <f t="shared" si="2"/>
        <v/>
      </c>
      <c r="CC25" s="100" t="str">
        <f t="shared" si="3"/>
        <v/>
      </c>
      <c r="CD25" s="103" t="str">
        <f>IF($A25="","",IF(OR($CB25="?",$CC25="?"),"?",MIN($CB25*$CC25,'Technical Premium'!$C$17)))</f>
        <v/>
      </c>
      <c r="CE25" s="102" t="str">
        <f t="shared" si="4"/>
        <v/>
      </c>
      <c r="CF25" s="102" t="str">
        <f>IF($A25="","",IFERROR(INDEX('Territory Factors'!$F$6:$F$56,MATCH($K25,'Territory Factors'!$B$6:$B$56,0)),"?"))</f>
        <v/>
      </c>
      <c r="CG25" s="100" t="str">
        <f>IF($A25="","",IFERROR(INDEX('Usage and Coverage'!$C$79:$C$84,MATCH($Y25,'Usage and Coverage'!$B$79:$B$84,0)),"?"))</f>
        <v/>
      </c>
      <c r="CH25" s="102" t="str">
        <f>IFERROR(IF(ISNUMBER($CD25),$CF25*$CG25*MIN($BG25*$BA25*$BC25*$BD25*$BH25*$BF25,'Technical Premium'!$C$17),""),"")</f>
        <v/>
      </c>
      <c r="CI25" s="102" t="str">
        <f t="shared" si="5"/>
        <v/>
      </c>
      <c r="CJ25" s="102" t="str">
        <f>IFERROR($CI25*(1+'Technical Premium'!$C$5)*(1+'Technical Premium'!$C$6),"")</f>
        <v/>
      </c>
      <c r="CK25" s="102" t="str">
        <f>IFERROR($CE25*INDEX('Territory Factors'!$G$6:$G$56,MATCH($K25,'Territory Factors'!$B$6:$B$56,0))*$AU25*$AV25,"")</f>
        <v/>
      </c>
      <c r="CL25" s="102" t="str">
        <f>IFERROR(($CJ25+$CK25)*(1+'Technical Premium'!$C$7),"")</f>
        <v/>
      </c>
      <c r="CM25" s="104" t="str">
        <f>IFERROR($CL25/'Technical Premium'!$C$13,"")</f>
        <v/>
      </c>
      <c r="CN25" s="105" t="str">
        <f t="shared" si="6"/>
        <v/>
      </c>
      <c r="CO25" s="104" t="str">
        <f t="shared" si="7"/>
        <v/>
      </c>
      <c r="CP25" s="105" t="str">
        <f t="shared" si="8"/>
        <v/>
      </c>
      <c r="CQ25" s="106" t="str">
        <f t="shared" si="9"/>
        <v/>
      </c>
      <c r="CR25" s="102" t="str">
        <f>IF(ISNUMBER($CM25),'Technical Premium'!$C$14+IF($J25&gt;=1000000,'Technical Premium'!$C$15,0),"")</f>
        <v/>
      </c>
      <c r="CS25" s="102" t="str">
        <f>IFERROR(($CO25+$CR25)*(INDEX('Territory Factors'!$K$6:$K$56,MATCH($K25,'Territory Factors'!$B$6:$B$56,0))+'Commission Structure'!$C$21),"")</f>
        <v/>
      </c>
      <c r="CT25" s="104" t="str">
        <f t="shared" si="10"/>
        <v/>
      </c>
      <c r="CU25" s="102" t="str">
        <f>IFERROR($CO25*('Commission Structure'!$C$6+'Commission Structure'!$C$7),"")</f>
        <v/>
      </c>
      <c r="CV25" s="102" t="str">
        <f>IFERROR($CO25*'Commission Structure'!$C$5-$CU25,"")</f>
        <v/>
      </c>
      <c r="CW25" s="102" t="str">
        <f>IFERROR($CO25*(1-'Commission Structure'!$C$5),"")</f>
        <v/>
      </c>
      <c r="CX25" s="107"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8" t="str">
        <f t="shared" si="11"/>
        <v/>
      </c>
      <c r="CZ25" s="99" t="str">
        <f>IF($CY25="","",IF($CY25&lt;'Technical Premium'!$C$19,"BEYOND AUTHORITY",IF($CY25&gt;0.005,"Above technical",IF($CY25&lt;-0.005,"BELOW technical","At technical"))))</f>
        <v/>
      </c>
      <c r="DA25" s="99"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4"/>
      <c r="DC25" s="94"/>
      <c r="DD25" s="95"/>
      <c r="DE25" s="94"/>
      <c r="DF25" s="94"/>
      <c r="DG25" s="99" t="str">
        <f t="shared" si="12"/>
        <v/>
      </c>
      <c r="DH25" s="99" t="str">
        <f>IF($A25="","",IF(OR($CX25="REFER",$CX25="DECLINE"),COUNTIF($CX$5:$CX25,"REFER")+COUNTIF($CX$5:$CX25,"DECLINE"),""))</f>
        <v/>
      </c>
      <c r="DI25" s="94"/>
    </row>
    <row r="26" spans="1:113" x14ac:dyDescent="0.35">
      <c r="A26" s="94"/>
      <c r="B26" s="94"/>
      <c r="C26" s="95"/>
      <c r="D26" s="95"/>
      <c r="E26" s="96"/>
      <c r="F26" s="94"/>
      <c r="G26" s="94"/>
      <c r="H26" s="94"/>
      <c r="I26" s="94"/>
      <c r="J26" s="97"/>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8"/>
      <c r="AR26" s="99" t="str">
        <f t="shared" si="0"/>
        <v/>
      </c>
      <c r="AS26" s="99" t="str">
        <f>IF($A26="","",IF($AP26&lt;&gt;"",$AP26,IFERROR(INDEX('Cat Zone by ZIP'!$D$6:$D$856,MATCH($AR26,'Cat Zone by ZIP'!$B$6:$B$856,0)),IFERROR(INDEX('Cat Zone by ZIP'!$C$860:$C$910,MATCH($K26,'Cat Zone by ZIP'!$B$860:$B$910,0)),"NOT FOUND"))))</f>
        <v/>
      </c>
      <c r="AT26" s="99" t="str">
        <f>IF($A26="","",IF($AP26&lt;&gt;"","Override",IF(ISNUMBER(MATCH($AR26,'Cat Zone by ZIP'!$B$6:$B$856,0)),"ZIP-3","State default")))</f>
        <v/>
      </c>
      <c r="AU26" s="100" t="str">
        <f>IF($A26="","",IFERROR(INDEX('Natural Catastrophe'!$D$6:$D$17,MATCH($AS26,'Natural Catastrophe'!$B$6:$B$17,0)),"?"))</f>
        <v/>
      </c>
      <c r="AV26" s="100" t="str">
        <f>IF($A26="","",IFERROR(INDEX('Natural Catastrophe'!$C$21:$C$26,MATCH($AA26,'Natural Catastrophe'!$B$21:$B$26,0)),"?"))</f>
        <v/>
      </c>
      <c r="AW26" s="99" t="str">
        <f>IF($A26="","",IFERROR(INDEX('Base Rates'!$C$4:$I$4,MATCH(MAX($J26,'Technical Premium'!$C$18),'Base Rates'!$C$3:$I$3,1)),"?"))</f>
        <v/>
      </c>
      <c r="AX26" s="101" t="str">
        <f>IF($A26="","",IFERROR(INDEX('Base Rates'!$C$5:$I$16,MATCH($I26,'Base Rates'!$B$5:$B$16,0),MATCH(MAX($J26,'Technical Premium'!$C$18),'Base Rates'!$C$3:$I$3,1)),"?"))</f>
        <v/>
      </c>
      <c r="AY26" s="102" t="str">
        <f t="shared" si="1"/>
        <v/>
      </c>
      <c r="AZ26" s="99" t="str">
        <f>IF($A26="","",IFERROR(INDEX('Make Factors'!$G$5:$G$69,MATCH($F26,'Make Factors'!$B$5:$B$69,0)),"?"))</f>
        <v/>
      </c>
      <c r="BA26" s="99" t="str">
        <f>IF($A26="","",IFERROR(INDEX('Driver Factors'!$C$6:$C$15,MATCH($R26,'Driver Factors'!$B$6:$B$15,0)),"?"))</f>
        <v/>
      </c>
      <c r="BB26" s="99" t="str">
        <f>IF($A26="","",IFERROR(INDEX('Driver Factors'!$C$19:$C$24,MATCH($S26,'Driver Factors'!$B$19:$B$24,0)),"?"))</f>
        <v/>
      </c>
      <c r="BC26" s="99" t="str">
        <f>IF($A26="","",IFERROR(INDEX('Driver Factors'!$C$28:$C$36,MATCH($T26,'Driver Factors'!$B$28:$B$36,0)),"?"))</f>
        <v/>
      </c>
      <c r="BD26" s="99" t="str">
        <f>IF($A26="","",IFERROR(INDEX('Claims History'!$C$6:$C$15,MATCH($U26,'Claims History'!$B$6:$B$15,0)),"?"))</f>
        <v/>
      </c>
      <c r="BE26" s="99" t="str">
        <f>IF($A26="","",IFERROR(INDEX('Territory Factors'!$E$6:$E$56,MATCH($K26,'Territory Factors'!$B$6:$B$56,0)),"?"))</f>
        <v/>
      </c>
      <c r="BF26" s="99" t="str">
        <f>IF($A26="","",IFERROR(INDEX('City Accident Ratings'!$G$6:$G$54,MATCH($Z26,'City Accident Ratings'!$B$6:$B$54,0)),"?"))</f>
        <v/>
      </c>
      <c r="BG26" s="99" t="str">
        <f>IF($A26="","",IFERROR(INDEX('Usage and Coverage'!$D$6:$D$20,MATCH($N26,'Usage and Coverage'!$C$6:$C$20,0)),"?"))</f>
        <v/>
      </c>
      <c r="BH26" s="99" t="str">
        <f>IF($A26="","",IFERROR(INDEX('Usage and Coverage'!$C$24:$C$30,MATCH($O26,'Usage and Coverage'!$B$24:$B$30,0)),"?"))</f>
        <v/>
      </c>
      <c r="BI26" s="99" t="str">
        <f>IF($A26="","",IFERROR(INDEX('Usage and Coverage'!$C$34:$C$40,MATCH($P26,'Usage and Coverage'!$B$34:$B$40,0)),"?"))</f>
        <v/>
      </c>
      <c r="BJ26" s="99" t="str">
        <f>IF($A26="","",IFERROR(INDEX('Usage and Coverage'!$C$44:$C$49,MATCH($Q26,'Usage and Coverage'!$B$44:$B$49,0)),"?"))</f>
        <v/>
      </c>
      <c r="BK26" s="99" t="str">
        <f>IF($A26="","",IFERROR(INDEX(Deductibles!$C$6:$I$15,MATCH($W26,Deductibles!$B$6:$B$15,0),MATCH(MAX($J26,'Technical Premium'!$C$18),'Base Rates'!$C$3:$I$3,1)),"?"))</f>
        <v/>
      </c>
      <c r="BL26" s="99" t="str">
        <f>IF($A26="","",IFERROR(INDEX('Usage and Coverage'!$C$63:$C$66,MATCH($X26,'Usage and Coverage'!$B$63:$B$66,0)),"?"))</f>
        <v/>
      </c>
      <c r="BM26" s="99" t="str">
        <f>IF($A26="","",IFERROR(INDEX('Usage and Coverage'!$C$70:$C$75,MATCH($V26,'Usage and Coverage'!$B$70:$B$75,0)),"?"))</f>
        <v/>
      </c>
      <c r="BN26" s="99" t="str">
        <f>IF($A26="","",IF($AB26="",1,IFERROR(INDEX(Deductibles!$C$48:$C$51,MATCH($AB26,Deductibles!$B$48:$B$51,0)),"?")))</f>
        <v/>
      </c>
      <c r="BO26" s="99" t="str">
        <f>IF($A26="","",IF($AC26="",1,IFERROR(INDEX(Deductibles!$C$55:$C$57,MATCH($AC26,Deductibles!$B$55:$B$57,0)),"?")))</f>
        <v/>
      </c>
      <c r="BP26" s="99" t="str">
        <f>IF($A26="","",IF($AD26="",1,IFERROR(INDEX(Deductibles!$C$61:$C$63,MATCH($AD26,Deductibles!$B$61:$B$63,0)),"?")))</f>
        <v/>
      </c>
      <c r="BQ26" s="99" t="str">
        <f>IF($A26="","",IF($AE26="",1,IFERROR(INDEX(Deductibles!$C$67:$C$69,MATCH($AE26,Deductibles!$B$67:$B$69,0)),"?")))</f>
        <v/>
      </c>
      <c r="BR26" s="99" t="str">
        <f>IF($A26="","",IF($AF26="",1,IFERROR(INDEX(Deductibles!$C$73:$C$74,MATCH($AF26,Deductibles!$B$73:$B$74,0)),"?")))</f>
        <v/>
      </c>
      <c r="BS26" s="99" t="str">
        <f>IF($A26="","",IF($AG26="",1,IFERROR(INDEX('Sublimits and Parts'!$C$49:$C$52,MATCH($AG26,'Sublimits and Parts'!$B$49:$B$52,0)),"?")))</f>
        <v/>
      </c>
      <c r="BT26" s="99" t="str">
        <f>IF($A26="","",IF($AH26="",1,IFERROR(INDEX('Sublimits and Parts'!$C$56:$C$60,MATCH($AH26,'Sublimits and Parts'!$B$56:$B$60,0)),"?")))</f>
        <v/>
      </c>
      <c r="BU26" s="99" t="str">
        <f>IF($A26="","",IF($AI26="",1,IFERROR(INDEX('Sublimits and Parts'!$C$64:$C$67,MATCH($AI26,'Sublimits and Parts'!$B$64:$B$67,0)),"?")))</f>
        <v/>
      </c>
      <c r="BV26" s="99" t="str">
        <f>IF($A26="","",IF($AJ26="",1,IFERROR(INDEX('Sublimits and Parts'!$C$71:$C$74,MATCH($AJ26,'Sublimits and Parts'!$B$71:$B$74,0)),"?")))</f>
        <v/>
      </c>
      <c r="BW26" s="99" t="str">
        <f>IF($A26="","",IF($AK26="",1,IFERROR(INDEX('Sublimits and Parts'!$C$78:$C$80,MATCH($AK26,'Sublimits and Parts'!$B$78:$B$80,0)),"?")))</f>
        <v/>
      </c>
      <c r="BX26" s="99" t="str">
        <f>IF($A26="","",IF($AL26="",1,IFERROR(INDEX('Sublimits and Parts'!$C$84:$C$87,MATCH($AL26,'Sublimits and Parts'!$B$84:$B$87,0)),"?")))</f>
        <v/>
      </c>
      <c r="BY26" s="99" t="str">
        <f>IF($A26="","",IF($AM26="",1,IFERROR(INDEX('Sublimits and Parts'!$C$91:$C$94,MATCH($AM26,'Sublimits and Parts'!$B$91:$B$94,0)),"?")))</f>
        <v/>
      </c>
      <c r="BZ26" s="99" t="str">
        <f>IF($A26="","",IF($AN26="",1,IFERROR(INDEX('Sublimits and Parts'!$C$98:$C$101,MATCH($AN26,'Sublimits and Parts'!$B$98:$B$101,0)),"?")))</f>
        <v/>
      </c>
      <c r="CA26" s="99" t="str">
        <f>IF($A26="","",IF($AO26="",1,IFERROR(INDEX('Sublimits and Parts'!$C$105:$C$109,MATCH($AO26,'Sublimits and Parts'!$B$105:$B$109,0)),"?")))</f>
        <v/>
      </c>
      <c r="CB26" s="100" t="str">
        <f t="shared" si="2"/>
        <v/>
      </c>
      <c r="CC26" s="100" t="str">
        <f t="shared" si="3"/>
        <v/>
      </c>
      <c r="CD26" s="103" t="str">
        <f>IF($A26="","",IF(OR($CB26="?",$CC26="?"),"?",MIN($CB26*$CC26,'Technical Premium'!$C$17)))</f>
        <v/>
      </c>
      <c r="CE26" s="102" t="str">
        <f t="shared" si="4"/>
        <v/>
      </c>
      <c r="CF26" s="102" t="str">
        <f>IF($A26="","",IFERROR(INDEX('Territory Factors'!$F$6:$F$56,MATCH($K26,'Territory Factors'!$B$6:$B$56,0)),"?"))</f>
        <v/>
      </c>
      <c r="CG26" s="100" t="str">
        <f>IF($A26="","",IFERROR(INDEX('Usage and Coverage'!$C$79:$C$84,MATCH($Y26,'Usage and Coverage'!$B$79:$B$84,0)),"?"))</f>
        <v/>
      </c>
      <c r="CH26" s="102" t="str">
        <f>IFERROR(IF(ISNUMBER($CD26),$CF26*$CG26*MIN($BG26*$BA26*$BC26*$BD26*$BH26*$BF26,'Technical Premium'!$C$17),""),"")</f>
        <v/>
      </c>
      <c r="CI26" s="102" t="str">
        <f t="shared" si="5"/>
        <v/>
      </c>
      <c r="CJ26" s="102" t="str">
        <f>IFERROR($CI26*(1+'Technical Premium'!$C$5)*(1+'Technical Premium'!$C$6),"")</f>
        <v/>
      </c>
      <c r="CK26" s="102" t="str">
        <f>IFERROR($CE26*INDEX('Territory Factors'!$G$6:$G$56,MATCH($K26,'Territory Factors'!$B$6:$B$56,0))*$AU26*$AV26,"")</f>
        <v/>
      </c>
      <c r="CL26" s="102" t="str">
        <f>IFERROR(($CJ26+$CK26)*(1+'Technical Premium'!$C$7),"")</f>
        <v/>
      </c>
      <c r="CM26" s="104" t="str">
        <f>IFERROR($CL26/'Technical Premium'!$C$13,"")</f>
        <v/>
      </c>
      <c r="CN26" s="105" t="str">
        <f t="shared" si="6"/>
        <v/>
      </c>
      <c r="CO26" s="104" t="str">
        <f t="shared" si="7"/>
        <v/>
      </c>
      <c r="CP26" s="105" t="str">
        <f t="shared" si="8"/>
        <v/>
      </c>
      <c r="CQ26" s="106" t="str">
        <f t="shared" si="9"/>
        <v/>
      </c>
      <c r="CR26" s="102" t="str">
        <f>IF(ISNUMBER($CM26),'Technical Premium'!$C$14+IF($J26&gt;=1000000,'Technical Premium'!$C$15,0),"")</f>
        <v/>
      </c>
      <c r="CS26" s="102" t="str">
        <f>IFERROR(($CO26+$CR26)*(INDEX('Territory Factors'!$K$6:$K$56,MATCH($K26,'Territory Factors'!$B$6:$B$56,0))+'Commission Structure'!$C$21),"")</f>
        <v/>
      </c>
      <c r="CT26" s="104" t="str">
        <f t="shared" si="10"/>
        <v/>
      </c>
      <c r="CU26" s="102" t="str">
        <f>IFERROR($CO26*('Commission Structure'!$C$6+'Commission Structure'!$C$7),"")</f>
        <v/>
      </c>
      <c r="CV26" s="102" t="str">
        <f>IFERROR($CO26*'Commission Structure'!$C$5-$CU26,"")</f>
        <v/>
      </c>
      <c r="CW26" s="102" t="str">
        <f>IFERROR($CO26*(1-'Commission Structure'!$C$5),"")</f>
        <v/>
      </c>
      <c r="CX26" s="107"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8" t="str">
        <f t="shared" si="11"/>
        <v/>
      </c>
      <c r="CZ26" s="99" t="str">
        <f>IF($CY26="","",IF($CY26&lt;'Technical Premium'!$C$19,"BEYOND AUTHORITY",IF($CY26&gt;0.005,"Above technical",IF($CY26&lt;-0.005,"BELOW technical","At technical"))))</f>
        <v/>
      </c>
      <c r="DA26" s="99"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4"/>
      <c r="DC26" s="94"/>
      <c r="DD26" s="95"/>
      <c r="DE26" s="94"/>
      <c r="DF26" s="94"/>
      <c r="DG26" s="99" t="str">
        <f t="shared" si="12"/>
        <v/>
      </c>
      <c r="DH26" s="99" t="str">
        <f>IF($A26="","",IF(OR($CX26="REFER",$CX26="DECLINE"),COUNTIF($CX$5:$CX26,"REFER")+COUNTIF($CX$5:$CX26,"DECLINE"),""))</f>
        <v/>
      </c>
      <c r="DI26" s="94"/>
    </row>
    <row r="27" spans="1:113" x14ac:dyDescent="0.35">
      <c r="A27" s="94"/>
      <c r="B27" s="94"/>
      <c r="C27" s="95"/>
      <c r="D27" s="95"/>
      <c r="E27" s="96"/>
      <c r="F27" s="94"/>
      <c r="G27" s="94"/>
      <c r="H27" s="94"/>
      <c r="I27" s="94"/>
      <c r="J27" s="97"/>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8"/>
      <c r="AR27" s="99" t="str">
        <f t="shared" si="0"/>
        <v/>
      </c>
      <c r="AS27" s="99" t="str">
        <f>IF($A27="","",IF($AP27&lt;&gt;"",$AP27,IFERROR(INDEX('Cat Zone by ZIP'!$D$6:$D$856,MATCH($AR27,'Cat Zone by ZIP'!$B$6:$B$856,0)),IFERROR(INDEX('Cat Zone by ZIP'!$C$860:$C$910,MATCH($K27,'Cat Zone by ZIP'!$B$860:$B$910,0)),"NOT FOUND"))))</f>
        <v/>
      </c>
      <c r="AT27" s="99" t="str">
        <f>IF($A27="","",IF($AP27&lt;&gt;"","Override",IF(ISNUMBER(MATCH($AR27,'Cat Zone by ZIP'!$B$6:$B$856,0)),"ZIP-3","State default")))</f>
        <v/>
      </c>
      <c r="AU27" s="100" t="str">
        <f>IF($A27="","",IFERROR(INDEX('Natural Catastrophe'!$D$6:$D$17,MATCH($AS27,'Natural Catastrophe'!$B$6:$B$17,0)),"?"))</f>
        <v/>
      </c>
      <c r="AV27" s="100" t="str">
        <f>IF($A27="","",IFERROR(INDEX('Natural Catastrophe'!$C$21:$C$26,MATCH($AA27,'Natural Catastrophe'!$B$21:$B$26,0)),"?"))</f>
        <v/>
      </c>
      <c r="AW27" s="99" t="str">
        <f>IF($A27="","",IFERROR(INDEX('Base Rates'!$C$4:$I$4,MATCH(MAX($J27,'Technical Premium'!$C$18),'Base Rates'!$C$3:$I$3,1)),"?"))</f>
        <v/>
      </c>
      <c r="AX27" s="101" t="str">
        <f>IF($A27="","",IFERROR(INDEX('Base Rates'!$C$5:$I$16,MATCH($I27,'Base Rates'!$B$5:$B$16,0),MATCH(MAX($J27,'Technical Premium'!$C$18),'Base Rates'!$C$3:$I$3,1)),"?"))</f>
        <v/>
      </c>
      <c r="AY27" s="102" t="str">
        <f t="shared" si="1"/>
        <v/>
      </c>
      <c r="AZ27" s="99" t="str">
        <f>IF($A27="","",IFERROR(INDEX('Make Factors'!$G$5:$G$69,MATCH($F27,'Make Factors'!$B$5:$B$69,0)),"?"))</f>
        <v/>
      </c>
      <c r="BA27" s="99" t="str">
        <f>IF($A27="","",IFERROR(INDEX('Driver Factors'!$C$6:$C$15,MATCH($R27,'Driver Factors'!$B$6:$B$15,0)),"?"))</f>
        <v/>
      </c>
      <c r="BB27" s="99" t="str">
        <f>IF($A27="","",IFERROR(INDEX('Driver Factors'!$C$19:$C$24,MATCH($S27,'Driver Factors'!$B$19:$B$24,0)),"?"))</f>
        <v/>
      </c>
      <c r="BC27" s="99" t="str">
        <f>IF($A27="","",IFERROR(INDEX('Driver Factors'!$C$28:$C$36,MATCH($T27,'Driver Factors'!$B$28:$B$36,0)),"?"))</f>
        <v/>
      </c>
      <c r="BD27" s="99" t="str">
        <f>IF($A27="","",IFERROR(INDEX('Claims History'!$C$6:$C$15,MATCH($U27,'Claims History'!$B$6:$B$15,0)),"?"))</f>
        <v/>
      </c>
      <c r="BE27" s="99" t="str">
        <f>IF($A27="","",IFERROR(INDEX('Territory Factors'!$E$6:$E$56,MATCH($K27,'Territory Factors'!$B$6:$B$56,0)),"?"))</f>
        <v/>
      </c>
      <c r="BF27" s="99" t="str">
        <f>IF($A27="","",IFERROR(INDEX('City Accident Ratings'!$G$6:$G$54,MATCH($Z27,'City Accident Ratings'!$B$6:$B$54,0)),"?"))</f>
        <v/>
      </c>
      <c r="BG27" s="99" t="str">
        <f>IF($A27="","",IFERROR(INDEX('Usage and Coverage'!$D$6:$D$20,MATCH($N27,'Usage and Coverage'!$C$6:$C$20,0)),"?"))</f>
        <v/>
      </c>
      <c r="BH27" s="99" t="str">
        <f>IF($A27="","",IFERROR(INDEX('Usage and Coverage'!$C$24:$C$30,MATCH($O27,'Usage and Coverage'!$B$24:$B$30,0)),"?"))</f>
        <v/>
      </c>
      <c r="BI27" s="99" t="str">
        <f>IF($A27="","",IFERROR(INDEX('Usage and Coverage'!$C$34:$C$40,MATCH($P27,'Usage and Coverage'!$B$34:$B$40,0)),"?"))</f>
        <v/>
      </c>
      <c r="BJ27" s="99" t="str">
        <f>IF($A27="","",IFERROR(INDEX('Usage and Coverage'!$C$44:$C$49,MATCH($Q27,'Usage and Coverage'!$B$44:$B$49,0)),"?"))</f>
        <v/>
      </c>
      <c r="BK27" s="99" t="str">
        <f>IF($A27="","",IFERROR(INDEX(Deductibles!$C$6:$I$15,MATCH($W27,Deductibles!$B$6:$B$15,0),MATCH(MAX($J27,'Technical Premium'!$C$18),'Base Rates'!$C$3:$I$3,1)),"?"))</f>
        <v/>
      </c>
      <c r="BL27" s="99" t="str">
        <f>IF($A27="","",IFERROR(INDEX('Usage and Coverage'!$C$63:$C$66,MATCH($X27,'Usage and Coverage'!$B$63:$B$66,0)),"?"))</f>
        <v/>
      </c>
      <c r="BM27" s="99" t="str">
        <f>IF($A27="","",IFERROR(INDEX('Usage and Coverage'!$C$70:$C$75,MATCH($V27,'Usage and Coverage'!$B$70:$B$75,0)),"?"))</f>
        <v/>
      </c>
      <c r="BN27" s="99" t="str">
        <f>IF($A27="","",IF($AB27="",1,IFERROR(INDEX(Deductibles!$C$48:$C$51,MATCH($AB27,Deductibles!$B$48:$B$51,0)),"?")))</f>
        <v/>
      </c>
      <c r="BO27" s="99" t="str">
        <f>IF($A27="","",IF($AC27="",1,IFERROR(INDEX(Deductibles!$C$55:$C$57,MATCH($AC27,Deductibles!$B$55:$B$57,0)),"?")))</f>
        <v/>
      </c>
      <c r="BP27" s="99" t="str">
        <f>IF($A27="","",IF($AD27="",1,IFERROR(INDEX(Deductibles!$C$61:$C$63,MATCH($AD27,Deductibles!$B$61:$B$63,0)),"?")))</f>
        <v/>
      </c>
      <c r="BQ27" s="99" t="str">
        <f>IF($A27="","",IF($AE27="",1,IFERROR(INDEX(Deductibles!$C$67:$C$69,MATCH($AE27,Deductibles!$B$67:$B$69,0)),"?")))</f>
        <v/>
      </c>
      <c r="BR27" s="99" t="str">
        <f>IF($A27="","",IF($AF27="",1,IFERROR(INDEX(Deductibles!$C$73:$C$74,MATCH($AF27,Deductibles!$B$73:$B$74,0)),"?")))</f>
        <v/>
      </c>
      <c r="BS27" s="99" t="str">
        <f>IF($A27="","",IF($AG27="",1,IFERROR(INDEX('Sublimits and Parts'!$C$49:$C$52,MATCH($AG27,'Sublimits and Parts'!$B$49:$B$52,0)),"?")))</f>
        <v/>
      </c>
      <c r="BT27" s="99" t="str">
        <f>IF($A27="","",IF($AH27="",1,IFERROR(INDEX('Sublimits and Parts'!$C$56:$C$60,MATCH($AH27,'Sublimits and Parts'!$B$56:$B$60,0)),"?")))</f>
        <v/>
      </c>
      <c r="BU27" s="99" t="str">
        <f>IF($A27="","",IF($AI27="",1,IFERROR(INDEX('Sublimits and Parts'!$C$64:$C$67,MATCH($AI27,'Sublimits and Parts'!$B$64:$B$67,0)),"?")))</f>
        <v/>
      </c>
      <c r="BV27" s="99" t="str">
        <f>IF($A27="","",IF($AJ27="",1,IFERROR(INDEX('Sublimits and Parts'!$C$71:$C$74,MATCH($AJ27,'Sublimits and Parts'!$B$71:$B$74,0)),"?")))</f>
        <v/>
      </c>
      <c r="BW27" s="99" t="str">
        <f>IF($A27="","",IF($AK27="",1,IFERROR(INDEX('Sublimits and Parts'!$C$78:$C$80,MATCH($AK27,'Sublimits and Parts'!$B$78:$B$80,0)),"?")))</f>
        <v/>
      </c>
      <c r="BX27" s="99" t="str">
        <f>IF($A27="","",IF($AL27="",1,IFERROR(INDEX('Sublimits and Parts'!$C$84:$C$87,MATCH($AL27,'Sublimits and Parts'!$B$84:$B$87,0)),"?")))</f>
        <v/>
      </c>
      <c r="BY27" s="99" t="str">
        <f>IF($A27="","",IF($AM27="",1,IFERROR(INDEX('Sublimits and Parts'!$C$91:$C$94,MATCH($AM27,'Sublimits and Parts'!$B$91:$B$94,0)),"?")))</f>
        <v/>
      </c>
      <c r="BZ27" s="99" t="str">
        <f>IF($A27="","",IF($AN27="",1,IFERROR(INDEX('Sublimits and Parts'!$C$98:$C$101,MATCH($AN27,'Sublimits and Parts'!$B$98:$B$101,0)),"?")))</f>
        <v/>
      </c>
      <c r="CA27" s="99" t="str">
        <f>IF($A27="","",IF($AO27="",1,IFERROR(INDEX('Sublimits and Parts'!$C$105:$C$109,MATCH($AO27,'Sublimits and Parts'!$B$105:$B$109,0)),"?")))</f>
        <v/>
      </c>
      <c r="CB27" s="100" t="str">
        <f t="shared" si="2"/>
        <v/>
      </c>
      <c r="CC27" s="100" t="str">
        <f t="shared" si="3"/>
        <v/>
      </c>
      <c r="CD27" s="103" t="str">
        <f>IF($A27="","",IF(OR($CB27="?",$CC27="?"),"?",MIN($CB27*$CC27,'Technical Premium'!$C$17)))</f>
        <v/>
      </c>
      <c r="CE27" s="102" t="str">
        <f t="shared" si="4"/>
        <v/>
      </c>
      <c r="CF27" s="102" t="str">
        <f>IF($A27="","",IFERROR(INDEX('Territory Factors'!$F$6:$F$56,MATCH($K27,'Territory Factors'!$B$6:$B$56,0)),"?"))</f>
        <v/>
      </c>
      <c r="CG27" s="100" t="str">
        <f>IF($A27="","",IFERROR(INDEX('Usage and Coverage'!$C$79:$C$84,MATCH($Y27,'Usage and Coverage'!$B$79:$B$84,0)),"?"))</f>
        <v/>
      </c>
      <c r="CH27" s="102" t="str">
        <f>IFERROR(IF(ISNUMBER($CD27),$CF27*$CG27*MIN($BG27*$BA27*$BC27*$BD27*$BH27*$BF27,'Technical Premium'!$C$17),""),"")</f>
        <v/>
      </c>
      <c r="CI27" s="102" t="str">
        <f t="shared" si="5"/>
        <v/>
      </c>
      <c r="CJ27" s="102" t="str">
        <f>IFERROR($CI27*(1+'Technical Premium'!$C$5)*(1+'Technical Premium'!$C$6),"")</f>
        <v/>
      </c>
      <c r="CK27" s="102" t="str">
        <f>IFERROR($CE27*INDEX('Territory Factors'!$G$6:$G$56,MATCH($K27,'Territory Factors'!$B$6:$B$56,0))*$AU27*$AV27,"")</f>
        <v/>
      </c>
      <c r="CL27" s="102" t="str">
        <f>IFERROR(($CJ27+$CK27)*(1+'Technical Premium'!$C$7),"")</f>
        <v/>
      </c>
      <c r="CM27" s="104" t="str">
        <f>IFERROR($CL27/'Technical Premium'!$C$13,"")</f>
        <v/>
      </c>
      <c r="CN27" s="105" t="str">
        <f t="shared" si="6"/>
        <v/>
      </c>
      <c r="CO27" s="104" t="str">
        <f t="shared" si="7"/>
        <v/>
      </c>
      <c r="CP27" s="105" t="str">
        <f t="shared" si="8"/>
        <v/>
      </c>
      <c r="CQ27" s="106" t="str">
        <f t="shared" si="9"/>
        <v/>
      </c>
      <c r="CR27" s="102" t="str">
        <f>IF(ISNUMBER($CM27),'Technical Premium'!$C$14+IF($J27&gt;=1000000,'Technical Premium'!$C$15,0),"")</f>
        <v/>
      </c>
      <c r="CS27" s="102" t="str">
        <f>IFERROR(($CO27+$CR27)*(INDEX('Territory Factors'!$K$6:$K$56,MATCH($K27,'Territory Factors'!$B$6:$B$56,0))+'Commission Structure'!$C$21),"")</f>
        <v/>
      </c>
      <c r="CT27" s="104" t="str">
        <f t="shared" si="10"/>
        <v/>
      </c>
      <c r="CU27" s="102" t="str">
        <f>IFERROR($CO27*('Commission Structure'!$C$6+'Commission Structure'!$C$7),"")</f>
        <v/>
      </c>
      <c r="CV27" s="102" t="str">
        <f>IFERROR($CO27*'Commission Structure'!$C$5-$CU27,"")</f>
        <v/>
      </c>
      <c r="CW27" s="102" t="str">
        <f>IFERROR($CO27*(1-'Commission Structure'!$C$5),"")</f>
        <v/>
      </c>
      <c r="CX27" s="107"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8" t="str">
        <f t="shared" si="11"/>
        <v/>
      </c>
      <c r="CZ27" s="99" t="str">
        <f>IF($CY27="","",IF($CY27&lt;'Technical Premium'!$C$19,"BEYOND AUTHORITY",IF($CY27&gt;0.005,"Above technical",IF($CY27&lt;-0.005,"BELOW technical","At technical"))))</f>
        <v/>
      </c>
      <c r="DA27" s="99"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4"/>
      <c r="DC27" s="94"/>
      <c r="DD27" s="95"/>
      <c r="DE27" s="94"/>
      <c r="DF27" s="94"/>
      <c r="DG27" s="99" t="str">
        <f t="shared" si="12"/>
        <v/>
      </c>
      <c r="DH27" s="99" t="str">
        <f>IF($A27="","",IF(OR($CX27="REFER",$CX27="DECLINE"),COUNTIF($CX$5:$CX27,"REFER")+COUNTIF($CX$5:$CX27,"DECLINE"),""))</f>
        <v/>
      </c>
      <c r="DI27" s="94"/>
    </row>
    <row r="28" spans="1:113" x14ac:dyDescent="0.35">
      <c r="A28" s="94"/>
      <c r="B28" s="94"/>
      <c r="C28" s="95"/>
      <c r="D28" s="95"/>
      <c r="E28" s="96"/>
      <c r="F28" s="94"/>
      <c r="G28" s="94"/>
      <c r="H28" s="94"/>
      <c r="I28" s="94"/>
      <c r="J28" s="97"/>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8"/>
      <c r="AR28" s="99" t="str">
        <f t="shared" si="0"/>
        <v/>
      </c>
      <c r="AS28" s="99" t="str">
        <f>IF($A28="","",IF($AP28&lt;&gt;"",$AP28,IFERROR(INDEX('Cat Zone by ZIP'!$D$6:$D$856,MATCH($AR28,'Cat Zone by ZIP'!$B$6:$B$856,0)),IFERROR(INDEX('Cat Zone by ZIP'!$C$860:$C$910,MATCH($K28,'Cat Zone by ZIP'!$B$860:$B$910,0)),"NOT FOUND"))))</f>
        <v/>
      </c>
      <c r="AT28" s="99" t="str">
        <f>IF($A28="","",IF($AP28&lt;&gt;"","Override",IF(ISNUMBER(MATCH($AR28,'Cat Zone by ZIP'!$B$6:$B$856,0)),"ZIP-3","State default")))</f>
        <v/>
      </c>
      <c r="AU28" s="100" t="str">
        <f>IF($A28="","",IFERROR(INDEX('Natural Catastrophe'!$D$6:$D$17,MATCH($AS28,'Natural Catastrophe'!$B$6:$B$17,0)),"?"))</f>
        <v/>
      </c>
      <c r="AV28" s="100" t="str">
        <f>IF($A28="","",IFERROR(INDEX('Natural Catastrophe'!$C$21:$C$26,MATCH($AA28,'Natural Catastrophe'!$B$21:$B$26,0)),"?"))</f>
        <v/>
      </c>
      <c r="AW28" s="99" t="str">
        <f>IF($A28="","",IFERROR(INDEX('Base Rates'!$C$4:$I$4,MATCH(MAX($J28,'Technical Premium'!$C$18),'Base Rates'!$C$3:$I$3,1)),"?"))</f>
        <v/>
      </c>
      <c r="AX28" s="101" t="str">
        <f>IF($A28="","",IFERROR(INDEX('Base Rates'!$C$5:$I$16,MATCH($I28,'Base Rates'!$B$5:$B$16,0),MATCH(MAX($J28,'Technical Premium'!$C$18),'Base Rates'!$C$3:$I$3,1)),"?"))</f>
        <v/>
      </c>
      <c r="AY28" s="102" t="str">
        <f t="shared" si="1"/>
        <v/>
      </c>
      <c r="AZ28" s="99" t="str">
        <f>IF($A28="","",IFERROR(INDEX('Make Factors'!$G$5:$G$69,MATCH($F28,'Make Factors'!$B$5:$B$69,0)),"?"))</f>
        <v/>
      </c>
      <c r="BA28" s="99" t="str">
        <f>IF($A28="","",IFERROR(INDEX('Driver Factors'!$C$6:$C$15,MATCH($R28,'Driver Factors'!$B$6:$B$15,0)),"?"))</f>
        <v/>
      </c>
      <c r="BB28" s="99" t="str">
        <f>IF($A28="","",IFERROR(INDEX('Driver Factors'!$C$19:$C$24,MATCH($S28,'Driver Factors'!$B$19:$B$24,0)),"?"))</f>
        <v/>
      </c>
      <c r="BC28" s="99" t="str">
        <f>IF($A28="","",IFERROR(INDEX('Driver Factors'!$C$28:$C$36,MATCH($T28,'Driver Factors'!$B$28:$B$36,0)),"?"))</f>
        <v/>
      </c>
      <c r="BD28" s="99" t="str">
        <f>IF($A28="","",IFERROR(INDEX('Claims History'!$C$6:$C$15,MATCH($U28,'Claims History'!$B$6:$B$15,0)),"?"))</f>
        <v/>
      </c>
      <c r="BE28" s="99" t="str">
        <f>IF($A28="","",IFERROR(INDEX('Territory Factors'!$E$6:$E$56,MATCH($K28,'Territory Factors'!$B$6:$B$56,0)),"?"))</f>
        <v/>
      </c>
      <c r="BF28" s="99" t="str">
        <f>IF($A28="","",IFERROR(INDEX('City Accident Ratings'!$G$6:$G$54,MATCH($Z28,'City Accident Ratings'!$B$6:$B$54,0)),"?"))</f>
        <v/>
      </c>
      <c r="BG28" s="99" t="str">
        <f>IF($A28="","",IFERROR(INDEX('Usage and Coverage'!$D$6:$D$20,MATCH($N28,'Usage and Coverage'!$C$6:$C$20,0)),"?"))</f>
        <v/>
      </c>
      <c r="BH28" s="99" t="str">
        <f>IF($A28="","",IFERROR(INDEX('Usage and Coverage'!$C$24:$C$30,MATCH($O28,'Usage and Coverage'!$B$24:$B$30,0)),"?"))</f>
        <v/>
      </c>
      <c r="BI28" s="99" t="str">
        <f>IF($A28="","",IFERROR(INDEX('Usage and Coverage'!$C$34:$C$40,MATCH($P28,'Usage and Coverage'!$B$34:$B$40,0)),"?"))</f>
        <v/>
      </c>
      <c r="BJ28" s="99" t="str">
        <f>IF($A28="","",IFERROR(INDEX('Usage and Coverage'!$C$44:$C$49,MATCH($Q28,'Usage and Coverage'!$B$44:$B$49,0)),"?"))</f>
        <v/>
      </c>
      <c r="BK28" s="99" t="str">
        <f>IF($A28="","",IFERROR(INDEX(Deductibles!$C$6:$I$15,MATCH($W28,Deductibles!$B$6:$B$15,0),MATCH(MAX($J28,'Technical Premium'!$C$18),'Base Rates'!$C$3:$I$3,1)),"?"))</f>
        <v/>
      </c>
      <c r="BL28" s="99" t="str">
        <f>IF($A28="","",IFERROR(INDEX('Usage and Coverage'!$C$63:$C$66,MATCH($X28,'Usage and Coverage'!$B$63:$B$66,0)),"?"))</f>
        <v/>
      </c>
      <c r="BM28" s="99" t="str">
        <f>IF($A28="","",IFERROR(INDEX('Usage and Coverage'!$C$70:$C$75,MATCH($V28,'Usage and Coverage'!$B$70:$B$75,0)),"?"))</f>
        <v/>
      </c>
      <c r="BN28" s="99" t="str">
        <f>IF($A28="","",IF($AB28="",1,IFERROR(INDEX(Deductibles!$C$48:$C$51,MATCH($AB28,Deductibles!$B$48:$B$51,0)),"?")))</f>
        <v/>
      </c>
      <c r="BO28" s="99" t="str">
        <f>IF($A28="","",IF($AC28="",1,IFERROR(INDEX(Deductibles!$C$55:$C$57,MATCH($AC28,Deductibles!$B$55:$B$57,0)),"?")))</f>
        <v/>
      </c>
      <c r="BP28" s="99" t="str">
        <f>IF($A28="","",IF($AD28="",1,IFERROR(INDEX(Deductibles!$C$61:$C$63,MATCH($AD28,Deductibles!$B$61:$B$63,0)),"?")))</f>
        <v/>
      </c>
      <c r="BQ28" s="99" t="str">
        <f>IF($A28="","",IF($AE28="",1,IFERROR(INDEX(Deductibles!$C$67:$C$69,MATCH($AE28,Deductibles!$B$67:$B$69,0)),"?")))</f>
        <v/>
      </c>
      <c r="BR28" s="99" t="str">
        <f>IF($A28="","",IF($AF28="",1,IFERROR(INDEX(Deductibles!$C$73:$C$74,MATCH($AF28,Deductibles!$B$73:$B$74,0)),"?")))</f>
        <v/>
      </c>
      <c r="BS28" s="99" t="str">
        <f>IF($A28="","",IF($AG28="",1,IFERROR(INDEX('Sublimits and Parts'!$C$49:$C$52,MATCH($AG28,'Sublimits and Parts'!$B$49:$B$52,0)),"?")))</f>
        <v/>
      </c>
      <c r="BT28" s="99" t="str">
        <f>IF($A28="","",IF($AH28="",1,IFERROR(INDEX('Sublimits and Parts'!$C$56:$C$60,MATCH($AH28,'Sublimits and Parts'!$B$56:$B$60,0)),"?")))</f>
        <v/>
      </c>
      <c r="BU28" s="99" t="str">
        <f>IF($A28="","",IF($AI28="",1,IFERROR(INDEX('Sublimits and Parts'!$C$64:$C$67,MATCH($AI28,'Sublimits and Parts'!$B$64:$B$67,0)),"?")))</f>
        <v/>
      </c>
      <c r="BV28" s="99" t="str">
        <f>IF($A28="","",IF($AJ28="",1,IFERROR(INDEX('Sublimits and Parts'!$C$71:$C$74,MATCH($AJ28,'Sublimits and Parts'!$B$71:$B$74,0)),"?")))</f>
        <v/>
      </c>
      <c r="BW28" s="99" t="str">
        <f>IF($A28="","",IF($AK28="",1,IFERROR(INDEX('Sublimits and Parts'!$C$78:$C$80,MATCH($AK28,'Sublimits and Parts'!$B$78:$B$80,0)),"?")))</f>
        <v/>
      </c>
      <c r="BX28" s="99" t="str">
        <f>IF($A28="","",IF($AL28="",1,IFERROR(INDEX('Sublimits and Parts'!$C$84:$C$87,MATCH($AL28,'Sublimits and Parts'!$B$84:$B$87,0)),"?")))</f>
        <v/>
      </c>
      <c r="BY28" s="99" t="str">
        <f>IF($A28="","",IF($AM28="",1,IFERROR(INDEX('Sublimits and Parts'!$C$91:$C$94,MATCH($AM28,'Sublimits and Parts'!$B$91:$B$94,0)),"?")))</f>
        <v/>
      </c>
      <c r="BZ28" s="99" t="str">
        <f>IF($A28="","",IF($AN28="",1,IFERROR(INDEX('Sublimits and Parts'!$C$98:$C$101,MATCH($AN28,'Sublimits and Parts'!$B$98:$B$101,0)),"?")))</f>
        <v/>
      </c>
      <c r="CA28" s="99" t="str">
        <f>IF($A28="","",IF($AO28="",1,IFERROR(INDEX('Sublimits and Parts'!$C$105:$C$109,MATCH($AO28,'Sublimits and Parts'!$B$105:$B$109,0)),"?")))</f>
        <v/>
      </c>
      <c r="CB28" s="100" t="str">
        <f t="shared" si="2"/>
        <v/>
      </c>
      <c r="CC28" s="100" t="str">
        <f t="shared" si="3"/>
        <v/>
      </c>
      <c r="CD28" s="103" t="str">
        <f>IF($A28="","",IF(OR($CB28="?",$CC28="?"),"?",MIN($CB28*$CC28,'Technical Premium'!$C$17)))</f>
        <v/>
      </c>
      <c r="CE28" s="102" t="str">
        <f t="shared" si="4"/>
        <v/>
      </c>
      <c r="CF28" s="102" t="str">
        <f>IF($A28="","",IFERROR(INDEX('Territory Factors'!$F$6:$F$56,MATCH($K28,'Territory Factors'!$B$6:$B$56,0)),"?"))</f>
        <v/>
      </c>
      <c r="CG28" s="100" t="str">
        <f>IF($A28="","",IFERROR(INDEX('Usage and Coverage'!$C$79:$C$84,MATCH($Y28,'Usage and Coverage'!$B$79:$B$84,0)),"?"))</f>
        <v/>
      </c>
      <c r="CH28" s="102" t="str">
        <f>IFERROR(IF(ISNUMBER($CD28),$CF28*$CG28*MIN($BG28*$BA28*$BC28*$BD28*$BH28*$BF28,'Technical Premium'!$C$17),""),"")</f>
        <v/>
      </c>
      <c r="CI28" s="102" t="str">
        <f t="shared" si="5"/>
        <v/>
      </c>
      <c r="CJ28" s="102" t="str">
        <f>IFERROR($CI28*(1+'Technical Premium'!$C$5)*(1+'Technical Premium'!$C$6),"")</f>
        <v/>
      </c>
      <c r="CK28" s="102" t="str">
        <f>IFERROR($CE28*INDEX('Territory Factors'!$G$6:$G$56,MATCH($K28,'Territory Factors'!$B$6:$B$56,0))*$AU28*$AV28,"")</f>
        <v/>
      </c>
      <c r="CL28" s="102" t="str">
        <f>IFERROR(($CJ28+$CK28)*(1+'Technical Premium'!$C$7),"")</f>
        <v/>
      </c>
      <c r="CM28" s="104" t="str">
        <f>IFERROR($CL28/'Technical Premium'!$C$13,"")</f>
        <v/>
      </c>
      <c r="CN28" s="105" t="str">
        <f t="shared" si="6"/>
        <v/>
      </c>
      <c r="CO28" s="104" t="str">
        <f t="shared" si="7"/>
        <v/>
      </c>
      <c r="CP28" s="105" t="str">
        <f t="shared" si="8"/>
        <v/>
      </c>
      <c r="CQ28" s="106" t="str">
        <f t="shared" si="9"/>
        <v/>
      </c>
      <c r="CR28" s="102" t="str">
        <f>IF(ISNUMBER($CM28),'Technical Premium'!$C$14+IF($J28&gt;=1000000,'Technical Premium'!$C$15,0),"")</f>
        <v/>
      </c>
      <c r="CS28" s="102" t="str">
        <f>IFERROR(($CO28+$CR28)*(INDEX('Territory Factors'!$K$6:$K$56,MATCH($K28,'Territory Factors'!$B$6:$B$56,0))+'Commission Structure'!$C$21),"")</f>
        <v/>
      </c>
      <c r="CT28" s="104" t="str">
        <f t="shared" si="10"/>
        <v/>
      </c>
      <c r="CU28" s="102" t="str">
        <f>IFERROR($CO28*('Commission Structure'!$C$6+'Commission Structure'!$C$7),"")</f>
        <v/>
      </c>
      <c r="CV28" s="102" t="str">
        <f>IFERROR($CO28*'Commission Structure'!$C$5-$CU28,"")</f>
        <v/>
      </c>
      <c r="CW28" s="102" t="str">
        <f>IFERROR($CO28*(1-'Commission Structure'!$C$5),"")</f>
        <v/>
      </c>
      <c r="CX28" s="107"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8" t="str">
        <f t="shared" si="11"/>
        <v/>
      </c>
      <c r="CZ28" s="99" t="str">
        <f>IF($CY28="","",IF($CY28&lt;'Technical Premium'!$C$19,"BEYOND AUTHORITY",IF($CY28&gt;0.005,"Above technical",IF($CY28&lt;-0.005,"BELOW technical","At technical"))))</f>
        <v/>
      </c>
      <c r="DA28" s="99"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4"/>
      <c r="DC28" s="94"/>
      <c r="DD28" s="95"/>
      <c r="DE28" s="94"/>
      <c r="DF28" s="94"/>
      <c r="DG28" s="99" t="str">
        <f t="shared" si="12"/>
        <v/>
      </c>
      <c r="DH28" s="99" t="str">
        <f>IF($A28="","",IF(OR($CX28="REFER",$CX28="DECLINE"),COUNTIF($CX$5:$CX28,"REFER")+COUNTIF($CX$5:$CX28,"DECLINE"),""))</f>
        <v/>
      </c>
      <c r="DI28" s="94"/>
    </row>
    <row r="29" spans="1:113" x14ac:dyDescent="0.35">
      <c r="A29" s="94"/>
      <c r="B29" s="94"/>
      <c r="C29" s="95"/>
      <c r="D29" s="95"/>
      <c r="E29" s="96"/>
      <c r="F29" s="94"/>
      <c r="G29" s="94"/>
      <c r="H29" s="94"/>
      <c r="I29" s="94"/>
      <c r="J29" s="97"/>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8"/>
      <c r="AR29" s="99" t="str">
        <f t="shared" si="0"/>
        <v/>
      </c>
      <c r="AS29" s="99" t="str">
        <f>IF($A29="","",IF($AP29&lt;&gt;"",$AP29,IFERROR(INDEX('Cat Zone by ZIP'!$D$6:$D$856,MATCH($AR29,'Cat Zone by ZIP'!$B$6:$B$856,0)),IFERROR(INDEX('Cat Zone by ZIP'!$C$860:$C$910,MATCH($K29,'Cat Zone by ZIP'!$B$860:$B$910,0)),"NOT FOUND"))))</f>
        <v/>
      </c>
      <c r="AT29" s="99" t="str">
        <f>IF($A29="","",IF($AP29&lt;&gt;"","Override",IF(ISNUMBER(MATCH($AR29,'Cat Zone by ZIP'!$B$6:$B$856,0)),"ZIP-3","State default")))</f>
        <v/>
      </c>
      <c r="AU29" s="100" t="str">
        <f>IF($A29="","",IFERROR(INDEX('Natural Catastrophe'!$D$6:$D$17,MATCH($AS29,'Natural Catastrophe'!$B$6:$B$17,0)),"?"))</f>
        <v/>
      </c>
      <c r="AV29" s="100" t="str">
        <f>IF($A29="","",IFERROR(INDEX('Natural Catastrophe'!$C$21:$C$26,MATCH($AA29,'Natural Catastrophe'!$B$21:$B$26,0)),"?"))</f>
        <v/>
      </c>
      <c r="AW29" s="99" t="str">
        <f>IF($A29="","",IFERROR(INDEX('Base Rates'!$C$4:$I$4,MATCH(MAX($J29,'Technical Premium'!$C$18),'Base Rates'!$C$3:$I$3,1)),"?"))</f>
        <v/>
      </c>
      <c r="AX29" s="101" t="str">
        <f>IF($A29="","",IFERROR(INDEX('Base Rates'!$C$5:$I$16,MATCH($I29,'Base Rates'!$B$5:$B$16,0),MATCH(MAX($J29,'Technical Premium'!$C$18),'Base Rates'!$C$3:$I$3,1)),"?"))</f>
        <v/>
      </c>
      <c r="AY29" s="102" t="str">
        <f t="shared" si="1"/>
        <v/>
      </c>
      <c r="AZ29" s="99" t="str">
        <f>IF($A29="","",IFERROR(INDEX('Make Factors'!$G$5:$G$69,MATCH($F29,'Make Factors'!$B$5:$B$69,0)),"?"))</f>
        <v/>
      </c>
      <c r="BA29" s="99" t="str">
        <f>IF($A29="","",IFERROR(INDEX('Driver Factors'!$C$6:$C$15,MATCH($R29,'Driver Factors'!$B$6:$B$15,0)),"?"))</f>
        <v/>
      </c>
      <c r="BB29" s="99" t="str">
        <f>IF($A29="","",IFERROR(INDEX('Driver Factors'!$C$19:$C$24,MATCH($S29,'Driver Factors'!$B$19:$B$24,0)),"?"))</f>
        <v/>
      </c>
      <c r="BC29" s="99" t="str">
        <f>IF($A29="","",IFERROR(INDEX('Driver Factors'!$C$28:$C$36,MATCH($T29,'Driver Factors'!$B$28:$B$36,0)),"?"))</f>
        <v/>
      </c>
      <c r="BD29" s="99" t="str">
        <f>IF($A29="","",IFERROR(INDEX('Claims History'!$C$6:$C$15,MATCH($U29,'Claims History'!$B$6:$B$15,0)),"?"))</f>
        <v/>
      </c>
      <c r="BE29" s="99" t="str">
        <f>IF($A29="","",IFERROR(INDEX('Territory Factors'!$E$6:$E$56,MATCH($K29,'Territory Factors'!$B$6:$B$56,0)),"?"))</f>
        <v/>
      </c>
      <c r="BF29" s="99" t="str">
        <f>IF($A29="","",IFERROR(INDEX('City Accident Ratings'!$G$6:$G$54,MATCH($Z29,'City Accident Ratings'!$B$6:$B$54,0)),"?"))</f>
        <v/>
      </c>
      <c r="BG29" s="99" t="str">
        <f>IF($A29="","",IFERROR(INDEX('Usage and Coverage'!$D$6:$D$20,MATCH($N29,'Usage and Coverage'!$C$6:$C$20,0)),"?"))</f>
        <v/>
      </c>
      <c r="BH29" s="99" t="str">
        <f>IF($A29="","",IFERROR(INDEX('Usage and Coverage'!$C$24:$C$30,MATCH($O29,'Usage and Coverage'!$B$24:$B$30,0)),"?"))</f>
        <v/>
      </c>
      <c r="BI29" s="99" t="str">
        <f>IF($A29="","",IFERROR(INDEX('Usage and Coverage'!$C$34:$C$40,MATCH($P29,'Usage and Coverage'!$B$34:$B$40,0)),"?"))</f>
        <v/>
      </c>
      <c r="BJ29" s="99" t="str">
        <f>IF($A29="","",IFERROR(INDEX('Usage and Coverage'!$C$44:$C$49,MATCH($Q29,'Usage and Coverage'!$B$44:$B$49,0)),"?"))</f>
        <v/>
      </c>
      <c r="BK29" s="99" t="str">
        <f>IF($A29="","",IFERROR(INDEX(Deductibles!$C$6:$I$15,MATCH($W29,Deductibles!$B$6:$B$15,0),MATCH(MAX($J29,'Technical Premium'!$C$18),'Base Rates'!$C$3:$I$3,1)),"?"))</f>
        <v/>
      </c>
      <c r="BL29" s="99" t="str">
        <f>IF($A29="","",IFERROR(INDEX('Usage and Coverage'!$C$63:$C$66,MATCH($X29,'Usage and Coverage'!$B$63:$B$66,0)),"?"))</f>
        <v/>
      </c>
      <c r="BM29" s="99" t="str">
        <f>IF($A29="","",IFERROR(INDEX('Usage and Coverage'!$C$70:$C$75,MATCH($V29,'Usage and Coverage'!$B$70:$B$75,0)),"?"))</f>
        <v/>
      </c>
      <c r="BN29" s="99" t="str">
        <f>IF($A29="","",IF($AB29="",1,IFERROR(INDEX(Deductibles!$C$48:$C$51,MATCH($AB29,Deductibles!$B$48:$B$51,0)),"?")))</f>
        <v/>
      </c>
      <c r="BO29" s="99" t="str">
        <f>IF($A29="","",IF($AC29="",1,IFERROR(INDEX(Deductibles!$C$55:$C$57,MATCH($AC29,Deductibles!$B$55:$B$57,0)),"?")))</f>
        <v/>
      </c>
      <c r="BP29" s="99" t="str">
        <f>IF($A29="","",IF($AD29="",1,IFERROR(INDEX(Deductibles!$C$61:$C$63,MATCH($AD29,Deductibles!$B$61:$B$63,0)),"?")))</f>
        <v/>
      </c>
      <c r="BQ29" s="99" t="str">
        <f>IF($A29="","",IF($AE29="",1,IFERROR(INDEX(Deductibles!$C$67:$C$69,MATCH($AE29,Deductibles!$B$67:$B$69,0)),"?")))</f>
        <v/>
      </c>
      <c r="BR29" s="99" t="str">
        <f>IF($A29="","",IF($AF29="",1,IFERROR(INDEX(Deductibles!$C$73:$C$74,MATCH($AF29,Deductibles!$B$73:$B$74,0)),"?")))</f>
        <v/>
      </c>
      <c r="BS29" s="99" t="str">
        <f>IF($A29="","",IF($AG29="",1,IFERROR(INDEX('Sublimits and Parts'!$C$49:$C$52,MATCH($AG29,'Sublimits and Parts'!$B$49:$B$52,0)),"?")))</f>
        <v/>
      </c>
      <c r="BT29" s="99" t="str">
        <f>IF($A29="","",IF($AH29="",1,IFERROR(INDEX('Sublimits and Parts'!$C$56:$C$60,MATCH($AH29,'Sublimits and Parts'!$B$56:$B$60,0)),"?")))</f>
        <v/>
      </c>
      <c r="BU29" s="99" t="str">
        <f>IF($A29="","",IF($AI29="",1,IFERROR(INDEX('Sublimits and Parts'!$C$64:$C$67,MATCH($AI29,'Sublimits and Parts'!$B$64:$B$67,0)),"?")))</f>
        <v/>
      </c>
      <c r="BV29" s="99" t="str">
        <f>IF($A29="","",IF($AJ29="",1,IFERROR(INDEX('Sublimits and Parts'!$C$71:$C$74,MATCH($AJ29,'Sublimits and Parts'!$B$71:$B$74,0)),"?")))</f>
        <v/>
      </c>
      <c r="BW29" s="99" t="str">
        <f>IF($A29="","",IF($AK29="",1,IFERROR(INDEX('Sublimits and Parts'!$C$78:$C$80,MATCH($AK29,'Sublimits and Parts'!$B$78:$B$80,0)),"?")))</f>
        <v/>
      </c>
      <c r="BX29" s="99" t="str">
        <f>IF($A29="","",IF($AL29="",1,IFERROR(INDEX('Sublimits and Parts'!$C$84:$C$87,MATCH($AL29,'Sublimits and Parts'!$B$84:$B$87,0)),"?")))</f>
        <v/>
      </c>
      <c r="BY29" s="99" t="str">
        <f>IF($A29="","",IF($AM29="",1,IFERROR(INDEX('Sublimits and Parts'!$C$91:$C$94,MATCH($AM29,'Sublimits and Parts'!$B$91:$B$94,0)),"?")))</f>
        <v/>
      </c>
      <c r="BZ29" s="99" t="str">
        <f>IF($A29="","",IF($AN29="",1,IFERROR(INDEX('Sublimits and Parts'!$C$98:$C$101,MATCH($AN29,'Sublimits and Parts'!$B$98:$B$101,0)),"?")))</f>
        <v/>
      </c>
      <c r="CA29" s="99" t="str">
        <f>IF($A29="","",IF($AO29="",1,IFERROR(INDEX('Sublimits and Parts'!$C$105:$C$109,MATCH($AO29,'Sublimits and Parts'!$B$105:$B$109,0)),"?")))</f>
        <v/>
      </c>
      <c r="CB29" s="100" t="str">
        <f t="shared" si="2"/>
        <v/>
      </c>
      <c r="CC29" s="100" t="str">
        <f t="shared" si="3"/>
        <v/>
      </c>
      <c r="CD29" s="103" t="str">
        <f>IF($A29="","",IF(OR($CB29="?",$CC29="?"),"?",MIN($CB29*$CC29,'Technical Premium'!$C$17)))</f>
        <v/>
      </c>
      <c r="CE29" s="102" t="str">
        <f t="shared" si="4"/>
        <v/>
      </c>
      <c r="CF29" s="102" t="str">
        <f>IF($A29="","",IFERROR(INDEX('Territory Factors'!$F$6:$F$56,MATCH($K29,'Territory Factors'!$B$6:$B$56,0)),"?"))</f>
        <v/>
      </c>
      <c r="CG29" s="100" t="str">
        <f>IF($A29="","",IFERROR(INDEX('Usage and Coverage'!$C$79:$C$84,MATCH($Y29,'Usage and Coverage'!$B$79:$B$84,0)),"?"))</f>
        <v/>
      </c>
      <c r="CH29" s="102" t="str">
        <f>IFERROR(IF(ISNUMBER($CD29),$CF29*$CG29*MIN($BG29*$BA29*$BC29*$BD29*$BH29*$BF29,'Technical Premium'!$C$17),""),"")</f>
        <v/>
      </c>
      <c r="CI29" s="102" t="str">
        <f t="shared" si="5"/>
        <v/>
      </c>
      <c r="CJ29" s="102" t="str">
        <f>IFERROR($CI29*(1+'Technical Premium'!$C$5)*(1+'Technical Premium'!$C$6),"")</f>
        <v/>
      </c>
      <c r="CK29" s="102" t="str">
        <f>IFERROR($CE29*INDEX('Territory Factors'!$G$6:$G$56,MATCH($K29,'Territory Factors'!$B$6:$B$56,0))*$AU29*$AV29,"")</f>
        <v/>
      </c>
      <c r="CL29" s="102" t="str">
        <f>IFERROR(($CJ29+$CK29)*(1+'Technical Premium'!$C$7),"")</f>
        <v/>
      </c>
      <c r="CM29" s="104" t="str">
        <f>IFERROR($CL29/'Technical Premium'!$C$13,"")</f>
        <v/>
      </c>
      <c r="CN29" s="105" t="str">
        <f t="shared" si="6"/>
        <v/>
      </c>
      <c r="CO29" s="104" t="str">
        <f t="shared" si="7"/>
        <v/>
      </c>
      <c r="CP29" s="105" t="str">
        <f t="shared" si="8"/>
        <v/>
      </c>
      <c r="CQ29" s="106" t="str">
        <f t="shared" si="9"/>
        <v/>
      </c>
      <c r="CR29" s="102" t="str">
        <f>IF(ISNUMBER($CM29),'Technical Premium'!$C$14+IF($J29&gt;=1000000,'Technical Premium'!$C$15,0),"")</f>
        <v/>
      </c>
      <c r="CS29" s="102" t="str">
        <f>IFERROR(($CO29+$CR29)*(INDEX('Territory Factors'!$K$6:$K$56,MATCH($K29,'Territory Factors'!$B$6:$B$56,0))+'Commission Structure'!$C$21),"")</f>
        <v/>
      </c>
      <c r="CT29" s="104" t="str">
        <f t="shared" si="10"/>
        <v/>
      </c>
      <c r="CU29" s="102" t="str">
        <f>IFERROR($CO29*('Commission Structure'!$C$6+'Commission Structure'!$C$7),"")</f>
        <v/>
      </c>
      <c r="CV29" s="102" t="str">
        <f>IFERROR($CO29*'Commission Structure'!$C$5-$CU29,"")</f>
        <v/>
      </c>
      <c r="CW29" s="102" t="str">
        <f>IFERROR($CO29*(1-'Commission Structure'!$C$5),"")</f>
        <v/>
      </c>
      <c r="CX29" s="107"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8" t="str">
        <f t="shared" si="11"/>
        <v/>
      </c>
      <c r="CZ29" s="99" t="str">
        <f>IF($CY29="","",IF($CY29&lt;'Technical Premium'!$C$19,"BEYOND AUTHORITY",IF($CY29&gt;0.005,"Above technical",IF($CY29&lt;-0.005,"BELOW technical","At technical"))))</f>
        <v/>
      </c>
      <c r="DA29" s="99"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4"/>
      <c r="DC29" s="94"/>
      <c r="DD29" s="95"/>
      <c r="DE29" s="94"/>
      <c r="DF29" s="94"/>
      <c r="DG29" s="99" t="str">
        <f t="shared" si="12"/>
        <v/>
      </c>
      <c r="DH29" s="99" t="str">
        <f>IF($A29="","",IF(OR($CX29="REFER",$CX29="DECLINE"),COUNTIF($CX$5:$CX29,"REFER")+COUNTIF($CX$5:$CX29,"DECLINE"),""))</f>
        <v/>
      </c>
      <c r="DI29" s="94"/>
    </row>
    <row r="30" spans="1:113" x14ac:dyDescent="0.35">
      <c r="A30" s="94"/>
      <c r="B30" s="94"/>
      <c r="C30" s="95"/>
      <c r="D30" s="95"/>
      <c r="E30" s="96"/>
      <c r="F30" s="94"/>
      <c r="G30" s="94"/>
      <c r="H30" s="94"/>
      <c r="I30" s="94"/>
      <c r="J30" s="97"/>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8"/>
      <c r="AR30" s="99" t="str">
        <f t="shared" si="0"/>
        <v/>
      </c>
      <c r="AS30" s="99" t="str">
        <f>IF($A30="","",IF($AP30&lt;&gt;"",$AP30,IFERROR(INDEX('Cat Zone by ZIP'!$D$6:$D$856,MATCH($AR30,'Cat Zone by ZIP'!$B$6:$B$856,0)),IFERROR(INDEX('Cat Zone by ZIP'!$C$860:$C$910,MATCH($K30,'Cat Zone by ZIP'!$B$860:$B$910,0)),"NOT FOUND"))))</f>
        <v/>
      </c>
      <c r="AT30" s="99" t="str">
        <f>IF($A30="","",IF($AP30&lt;&gt;"","Override",IF(ISNUMBER(MATCH($AR30,'Cat Zone by ZIP'!$B$6:$B$856,0)),"ZIP-3","State default")))</f>
        <v/>
      </c>
      <c r="AU30" s="100" t="str">
        <f>IF($A30="","",IFERROR(INDEX('Natural Catastrophe'!$D$6:$D$17,MATCH($AS30,'Natural Catastrophe'!$B$6:$B$17,0)),"?"))</f>
        <v/>
      </c>
      <c r="AV30" s="100" t="str">
        <f>IF($A30="","",IFERROR(INDEX('Natural Catastrophe'!$C$21:$C$26,MATCH($AA30,'Natural Catastrophe'!$B$21:$B$26,0)),"?"))</f>
        <v/>
      </c>
      <c r="AW30" s="99" t="str">
        <f>IF($A30="","",IFERROR(INDEX('Base Rates'!$C$4:$I$4,MATCH(MAX($J30,'Technical Premium'!$C$18),'Base Rates'!$C$3:$I$3,1)),"?"))</f>
        <v/>
      </c>
      <c r="AX30" s="101" t="str">
        <f>IF($A30="","",IFERROR(INDEX('Base Rates'!$C$5:$I$16,MATCH($I30,'Base Rates'!$B$5:$B$16,0),MATCH(MAX($J30,'Technical Premium'!$C$18),'Base Rates'!$C$3:$I$3,1)),"?"))</f>
        <v/>
      </c>
      <c r="AY30" s="102" t="str">
        <f t="shared" si="1"/>
        <v/>
      </c>
      <c r="AZ30" s="99" t="str">
        <f>IF($A30="","",IFERROR(INDEX('Make Factors'!$G$5:$G$69,MATCH($F30,'Make Factors'!$B$5:$B$69,0)),"?"))</f>
        <v/>
      </c>
      <c r="BA30" s="99" t="str">
        <f>IF($A30="","",IFERROR(INDEX('Driver Factors'!$C$6:$C$15,MATCH($R30,'Driver Factors'!$B$6:$B$15,0)),"?"))</f>
        <v/>
      </c>
      <c r="BB30" s="99" t="str">
        <f>IF($A30="","",IFERROR(INDEX('Driver Factors'!$C$19:$C$24,MATCH($S30,'Driver Factors'!$B$19:$B$24,0)),"?"))</f>
        <v/>
      </c>
      <c r="BC30" s="99" t="str">
        <f>IF($A30="","",IFERROR(INDEX('Driver Factors'!$C$28:$C$36,MATCH($T30,'Driver Factors'!$B$28:$B$36,0)),"?"))</f>
        <v/>
      </c>
      <c r="BD30" s="99" t="str">
        <f>IF($A30="","",IFERROR(INDEX('Claims History'!$C$6:$C$15,MATCH($U30,'Claims History'!$B$6:$B$15,0)),"?"))</f>
        <v/>
      </c>
      <c r="BE30" s="99" t="str">
        <f>IF($A30="","",IFERROR(INDEX('Territory Factors'!$E$6:$E$56,MATCH($K30,'Territory Factors'!$B$6:$B$56,0)),"?"))</f>
        <v/>
      </c>
      <c r="BF30" s="99" t="str">
        <f>IF($A30="","",IFERROR(INDEX('City Accident Ratings'!$G$6:$G$54,MATCH($Z30,'City Accident Ratings'!$B$6:$B$54,0)),"?"))</f>
        <v/>
      </c>
      <c r="BG30" s="99" t="str">
        <f>IF($A30="","",IFERROR(INDEX('Usage and Coverage'!$D$6:$D$20,MATCH($N30,'Usage and Coverage'!$C$6:$C$20,0)),"?"))</f>
        <v/>
      </c>
      <c r="BH30" s="99" t="str">
        <f>IF($A30="","",IFERROR(INDEX('Usage and Coverage'!$C$24:$C$30,MATCH($O30,'Usage and Coverage'!$B$24:$B$30,0)),"?"))</f>
        <v/>
      </c>
      <c r="BI30" s="99" t="str">
        <f>IF($A30="","",IFERROR(INDEX('Usage and Coverage'!$C$34:$C$40,MATCH($P30,'Usage and Coverage'!$B$34:$B$40,0)),"?"))</f>
        <v/>
      </c>
      <c r="BJ30" s="99" t="str">
        <f>IF($A30="","",IFERROR(INDEX('Usage and Coverage'!$C$44:$C$49,MATCH($Q30,'Usage and Coverage'!$B$44:$B$49,0)),"?"))</f>
        <v/>
      </c>
      <c r="BK30" s="99" t="str">
        <f>IF($A30="","",IFERROR(INDEX(Deductibles!$C$6:$I$15,MATCH($W30,Deductibles!$B$6:$B$15,0),MATCH(MAX($J30,'Technical Premium'!$C$18),'Base Rates'!$C$3:$I$3,1)),"?"))</f>
        <v/>
      </c>
      <c r="BL30" s="99" t="str">
        <f>IF($A30="","",IFERROR(INDEX('Usage and Coverage'!$C$63:$C$66,MATCH($X30,'Usage and Coverage'!$B$63:$B$66,0)),"?"))</f>
        <v/>
      </c>
      <c r="BM30" s="99" t="str">
        <f>IF($A30="","",IFERROR(INDEX('Usage and Coverage'!$C$70:$C$75,MATCH($V30,'Usage and Coverage'!$B$70:$B$75,0)),"?"))</f>
        <v/>
      </c>
      <c r="BN30" s="99" t="str">
        <f>IF($A30="","",IF($AB30="",1,IFERROR(INDEX(Deductibles!$C$48:$C$51,MATCH($AB30,Deductibles!$B$48:$B$51,0)),"?")))</f>
        <v/>
      </c>
      <c r="BO30" s="99" t="str">
        <f>IF($A30="","",IF($AC30="",1,IFERROR(INDEX(Deductibles!$C$55:$C$57,MATCH($AC30,Deductibles!$B$55:$B$57,0)),"?")))</f>
        <v/>
      </c>
      <c r="BP30" s="99" t="str">
        <f>IF($A30="","",IF($AD30="",1,IFERROR(INDEX(Deductibles!$C$61:$C$63,MATCH($AD30,Deductibles!$B$61:$B$63,0)),"?")))</f>
        <v/>
      </c>
      <c r="BQ30" s="99" t="str">
        <f>IF($A30="","",IF($AE30="",1,IFERROR(INDEX(Deductibles!$C$67:$C$69,MATCH($AE30,Deductibles!$B$67:$B$69,0)),"?")))</f>
        <v/>
      </c>
      <c r="BR30" s="99" t="str">
        <f>IF($A30="","",IF($AF30="",1,IFERROR(INDEX(Deductibles!$C$73:$C$74,MATCH($AF30,Deductibles!$B$73:$B$74,0)),"?")))</f>
        <v/>
      </c>
      <c r="BS30" s="99" t="str">
        <f>IF($A30="","",IF($AG30="",1,IFERROR(INDEX('Sublimits and Parts'!$C$49:$C$52,MATCH($AG30,'Sublimits and Parts'!$B$49:$B$52,0)),"?")))</f>
        <v/>
      </c>
      <c r="BT30" s="99" t="str">
        <f>IF($A30="","",IF($AH30="",1,IFERROR(INDEX('Sublimits and Parts'!$C$56:$C$60,MATCH($AH30,'Sublimits and Parts'!$B$56:$B$60,0)),"?")))</f>
        <v/>
      </c>
      <c r="BU30" s="99" t="str">
        <f>IF($A30="","",IF($AI30="",1,IFERROR(INDEX('Sublimits and Parts'!$C$64:$C$67,MATCH($AI30,'Sublimits and Parts'!$B$64:$B$67,0)),"?")))</f>
        <v/>
      </c>
      <c r="BV30" s="99" t="str">
        <f>IF($A30="","",IF($AJ30="",1,IFERROR(INDEX('Sublimits and Parts'!$C$71:$C$74,MATCH($AJ30,'Sublimits and Parts'!$B$71:$B$74,0)),"?")))</f>
        <v/>
      </c>
      <c r="BW30" s="99" t="str">
        <f>IF($A30="","",IF($AK30="",1,IFERROR(INDEX('Sublimits and Parts'!$C$78:$C$80,MATCH($AK30,'Sublimits and Parts'!$B$78:$B$80,0)),"?")))</f>
        <v/>
      </c>
      <c r="BX30" s="99" t="str">
        <f>IF($A30="","",IF($AL30="",1,IFERROR(INDEX('Sublimits and Parts'!$C$84:$C$87,MATCH($AL30,'Sublimits and Parts'!$B$84:$B$87,0)),"?")))</f>
        <v/>
      </c>
      <c r="BY30" s="99" t="str">
        <f>IF($A30="","",IF($AM30="",1,IFERROR(INDEX('Sublimits and Parts'!$C$91:$C$94,MATCH($AM30,'Sublimits and Parts'!$B$91:$B$94,0)),"?")))</f>
        <v/>
      </c>
      <c r="BZ30" s="99" t="str">
        <f>IF($A30="","",IF($AN30="",1,IFERROR(INDEX('Sublimits and Parts'!$C$98:$C$101,MATCH($AN30,'Sublimits and Parts'!$B$98:$B$101,0)),"?")))</f>
        <v/>
      </c>
      <c r="CA30" s="99" t="str">
        <f>IF($A30="","",IF($AO30="",1,IFERROR(INDEX('Sublimits and Parts'!$C$105:$C$109,MATCH($AO30,'Sublimits and Parts'!$B$105:$B$109,0)),"?")))</f>
        <v/>
      </c>
      <c r="CB30" s="100" t="str">
        <f t="shared" si="2"/>
        <v/>
      </c>
      <c r="CC30" s="100" t="str">
        <f t="shared" si="3"/>
        <v/>
      </c>
      <c r="CD30" s="103" t="str">
        <f>IF($A30="","",IF(OR($CB30="?",$CC30="?"),"?",MIN($CB30*$CC30,'Technical Premium'!$C$17)))</f>
        <v/>
      </c>
      <c r="CE30" s="102" t="str">
        <f t="shared" si="4"/>
        <v/>
      </c>
      <c r="CF30" s="102" t="str">
        <f>IF($A30="","",IFERROR(INDEX('Territory Factors'!$F$6:$F$56,MATCH($K30,'Territory Factors'!$B$6:$B$56,0)),"?"))</f>
        <v/>
      </c>
      <c r="CG30" s="100" t="str">
        <f>IF($A30="","",IFERROR(INDEX('Usage and Coverage'!$C$79:$C$84,MATCH($Y30,'Usage and Coverage'!$B$79:$B$84,0)),"?"))</f>
        <v/>
      </c>
      <c r="CH30" s="102" t="str">
        <f>IFERROR(IF(ISNUMBER($CD30),$CF30*$CG30*MIN($BG30*$BA30*$BC30*$BD30*$BH30*$BF30,'Technical Premium'!$C$17),""),"")</f>
        <v/>
      </c>
      <c r="CI30" s="102" t="str">
        <f t="shared" si="5"/>
        <v/>
      </c>
      <c r="CJ30" s="102" t="str">
        <f>IFERROR($CI30*(1+'Technical Premium'!$C$5)*(1+'Technical Premium'!$C$6),"")</f>
        <v/>
      </c>
      <c r="CK30" s="102" t="str">
        <f>IFERROR($CE30*INDEX('Territory Factors'!$G$6:$G$56,MATCH($K30,'Territory Factors'!$B$6:$B$56,0))*$AU30*$AV30,"")</f>
        <v/>
      </c>
      <c r="CL30" s="102" t="str">
        <f>IFERROR(($CJ30+$CK30)*(1+'Technical Premium'!$C$7),"")</f>
        <v/>
      </c>
      <c r="CM30" s="104" t="str">
        <f>IFERROR($CL30/'Technical Premium'!$C$13,"")</f>
        <v/>
      </c>
      <c r="CN30" s="105" t="str">
        <f t="shared" si="6"/>
        <v/>
      </c>
      <c r="CO30" s="104" t="str">
        <f t="shared" si="7"/>
        <v/>
      </c>
      <c r="CP30" s="105" t="str">
        <f t="shared" si="8"/>
        <v/>
      </c>
      <c r="CQ30" s="106" t="str">
        <f t="shared" si="9"/>
        <v/>
      </c>
      <c r="CR30" s="102" t="str">
        <f>IF(ISNUMBER($CM30),'Technical Premium'!$C$14+IF($J30&gt;=1000000,'Technical Premium'!$C$15,0),"")</f>
        <v/>
      </c>
      <c r="CS30" s="102" t="str">
        <f>IFERROR(($CO30+$CR30)*(INDEX('Territory Factors'!$K$6:$K$56,MATCH($K30,'Territory Factors'!$B$6:$B$56,0))+'Commission Structure'!$C$21),"")</f>
        <v/>
      </c>
      <c r="CT30" s="104" t="str">
        <f t="shared" si="10"/>
        <v/>
      </c>
      <c r="CU30" s="102" t="str">
        <f>IFERROR($CO30*('Commission Structure'!$C$6+'Commission Structure'!$C$7),"")</f>
        <v/>
      </c>
      <c r="CV30" s="102" t="str">
        <f>IFERROR($CO30*'Commission Structure'!$C$5-$CU30,"")</f>
        <v/>
      </c>
      <c r="CW30" s="102" t="str">
        <f>IFERROR($CO30*(1-'Commission Structure'!$C$5),"")</f>
        <v/>
      </c>
      <c r="CX30" s="107"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8" t="str">
        <f t="shared" si="11"/>
        <v/>
      </c>
      <c r="CZ30" s="99" t="str">
        <f>IF($CY30="","",IF($CY30&lt;'Technical Premium'!$C$19,"BEYOND AUTHORITY",IF($CY30&gt;0.005,"Above technical",IF($CY30&lt;-0.005,"BELOW technical","At technical"))))</f>
        <v/>
      </c>
      <c r="DA30" s="99"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4"/>
      <c r="DC30" s="94"/>
      <c r="DD30" s="95"/>
      <c r="DE30" s="94"/>
      <c r="DF30" s="94"/>
      <c r="DG30" s="99" t="str">
        <f t="shared" si="12"/>
        <v/>
      </c>
      <c r="DH30" s="99" t="str">
        <f>IF($A30="","",IF(OR($CX30="REFER",$CX30="DECLINE"),COUNTIF($CX$5:$CX30,"REFER")+COUNTIF($CX$5:$CX30,"DECLINE"),""))</f>
        <v/>
      </c>
      <c r="DI30" s="94"/>
    </row>
    <row r="31" spans="1:113" x14ac:dyDescent="0.35">
      <c r="A31" s="94"/>
      <c r="B31" s="94"/>
      <c r="C31" s="95"/>
      <c r="D31" s="95"/>
      <c r="E31" s="96"/>
      <c r="F31" s="94"/>
      <c r="G31" s="94"/>
      <c r="H31" s="94"/>
      <c r="I31" s="94"/>
      <c r="J31" s="97"/>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8"/>
      <c r="AR31" s="99" t="str">
        <f t="shared" si="0"/>
        <v/>
      </c>
      <c r="AS31" s="99" t="str">
        <f>IF($A31="","",IF($AP31&lt;&gt;"",$AP31,IFERROR(INDEX('Cat Zone by ZIP'!$D$6:$D$856,MATCH($AR31,'Cat Zone by ZIP'!$B$6:$B$856,0)),IFERROR(INDEX('Cat Zone by ZIP'!$C$860:$C$910,MATCH($K31,'Cat Zone by ZIP'!$B$860:$B$910,0)),"NOT FOUND"))))</f>
        <v/>
      </c>
      <c r="AT31" s="99" t="str">
        <f>IF($A31="","",IF($AP31&lt;&gt;"","Override",IF(ISNUMBER(MATCH($AR31,'Cat Zone by ZIP'!$B$6:$B$856,0)),"ZIP-3","State default")))</f>
        <v/>
      </c>
      <c r="AU31" s="100" t="str">
        <f>IF($A31="","",IFERROR(INDEX('Natural Catastrophe'!$D$6:$D$17,MATCH($AS31,'Natural Catastrophe'!$B$6:$B$17,0)),"?"))</f>
        <v/>
      </c>
      <c r="AV31" s="100" t="str">
        <f>IF($A31="","",IFERROR(INDEX('Natural Catastrophe'!$C$21:$C$26,MATCH($AA31,'Natural Catastrophe'!$B$21:$B$26,0)),"?"))</f>
        <v/>
      </c>
      <c r="AW31" s="99" t="str">
        <f>IF($A31="","",IFERROR(INDEX('Base Rates'!$C$4:$I$4,MATCH(MAX($J31,'Technical Premium'!$C$18),'Base Rates'!$C$3:$I$3,1)),"?"))</f>
        <v/>
      </c>
      <c r="AX31" s="101" t="str">
        <f>IF($A31="","",IFERROR(INDEX('Base Rates'!$C$5:$I$16,MATCH($I31,'Base Rates'!$B$5:$B$16,0),MATCH(MAX($J31,'Technical Premium'!$C$18),'Base Rates'!$C$3:$I$3,1)),"?"))</f>
        <v/>
      </c>
      <c r="AY31" s="102" t="str">
        <f t="shared" si="1"/>
        <v/>
      </c>
      <c r="AZ31" s="99" t="str">
        <f>IF($A31="","",IFERROR(INDEX('Make Factors'!$G$5:$G$69,MATCH($F31,'Make Factors'!$B$5:$B$69,0)),"?"))</f>
        <v/>
      </c>
      <c r="BA31" s="99" t="str">
        <f>IF($A31="","",IFERROR(INDEX('Driver Factors'!$C$6:$C$15,MATCH($R31,'Driver Factors'!$B$6:$B$15,0)),"?"))</f>
        <v/>
      </c>
      <c r="BB31" s="99" t="str">
        <f>IF($A31="","",IFERROR(INDEX('Driver Factors'!$C$19:$C$24,MATCH($S31,'Driver Factors'!$B$19:$B$24,0)),"?"))</f>
        <v/>
      </c>
      <c r="BC31" s="99" t="str">
        <f>IF($A31="","",IFERROR(INDEX('Driver Factors'!$C$28:$C$36,MATCH($T31,'Driver Factors'!$B$28:$B$36,0)),"?"))</f>
        <v/>
      </c>
      <c r="BD31" s="99" t="str">
        <f>IF($A31="","",IFERROR(INDEX('Claims History'!$C$6:$C$15,MATCH($U31,'Claims History'!$B$6:$B$15,0)),"?"))</f>
        <v/>
      </c>
      <c r="BE31" s="99" t="str">
        <f>IF($A31="","",IFERROR(INDEX('Territory Factors'!$E$6:$E$56,MATCH($K31,'Territory Factors'!$B$6:$B$56,0)),"?"))</f>
        <v/>
      </c>
      <c r="BF31" s="99" t="str">
        <f>IF($A31="","",IFERROR(INDEX('City Accident Ratings'!$G$6:$G$54,MATCH($Z31,'City Accident Ratings'!$B$6:$B$54,0)),"?"))</f>
        <v/>
      </c>
      <c r="BG31" s="99" t="str">
        <f>IF($A31="","",IFERROR(INDEX('Usage and Coverage'!$D$6:$D$20,MATCH($N31,'Usage and Coverage'!$C$6:$C$20,0)),"?"))</f>
        <v/>
      </c>
      <c r="BH31" s="99" t="str">
        <f>IF($A31="","",IFERROR(INDEX('Usage and Coverage'!$C$24:$C$30,MATCH($O31,'Usage and Coverage'!$B$24:$B$30,0)),"?"))</f>
        <v/>
      </c>
      <c r="BI31" s="99" t="str">
        <f>IF($A31="","",IFERROR(INDEX('Usage and Coverage'!$C$34:$C$40,MATCH($P31,'Usage and Coverage'!$B$34:$B$40,0)),"?"))</f>
        <v/>
      </c>
      <c r="BJ31" s="99" t="str">
        <f>IF($A31="","",IFERROR(INDEX('Usage and Coverage'!$C$44:$C$49,MATCH($Q31,'Usage and Coverage'!$B$44:$B$49,0)),"?"))</f>
        <v/>
      </c>
      <c r="BK31" s="99" t="str">
        <f>IF($A31="","",IFERROR(INDEX(Deductibles!$C$6:$I$15,MATCH($W31,Deductibles!$B$6:$B$15,0),MATCH(MAX($J31,'Technical Premium'!$C$18),'Base Rates'!$C$3:$I$3,1)),"?"))</f>
        <v/>
      </c>
      <c r="BL31" s="99" t="str">
        <f>IF($A31="","",IFERROR(INDEX('Usage and Coverage'!$C$63:$C$66,MATCH($X31,'Usage and Coverage'!$B$63:$B$66,0)),"?"))</f>
        <v/>
      </c>
      <c r="BM31" s="99" t="str">
        <f>IF($A31="","",IFERROR(INDEX('Usage and Coverage'!$C$70:$C$75,MATCH($V31,'Usage and Coverage'!$B$70:$B$75,0)),"?"))</f>
        <v/>
      </c>
      <c r="BN31" s="99" t="str">
        <f>IF($A31="","",IF($AB31="",1,IFERROR(INDEX(Deductibles!$C$48:$C$51,MATCH($AB31,Deductibles!$B$48:$B$51,0)),"?")))</f>
        <v/>
      </c>
      <c r="BO31" s="99" t="str">
        <f>IF($A31="","",IF($AC31="",1,IFERROR(INDEX(Deductibles!$C$55:$C$57,MATCH($AC31,Deductibles!$B$55:$B$57,0)),"?")))</f>
        <v/>
      </c>
      <c r="BP31" s="99" t="str">
        <f>IF($A31="","",IF($AD31="",1,IFERROR(INDEX(Deductibles!$C$61:$C$63,MATCH($AD31,Deductibles!$B$61:$B$63,0)),"?")))</f>
        <v/>
      </c>
      <c r="BQ31" s="99" t="str">
        <f>IF($A31="","",IF($AE31="",1,IFERROR(INDEX(Deductibles!$C$67:$C$69,MATCH($AE31,Deductibles!$B$67:$B$69,0)),"?")))</f>
        <v/>
      </c>
      <c r="BR31" s="99" t="str">
        <f>IF($A31="","",IF($AF31="",1,IFERROR(INDEX(Deductibles!$C$73:$C$74,MATCH($AF31,Deductibles!$B$73:$B$74,0)),"?")))</f>
        <v/>
      </c>
      <c r="BS31" s="99" t="str">
        <f>IF($A31="","",IF($AG31="",1,IFERROR(INDEX('Sublimits and Parts'!$C$49:$C$52,MATCH($AG31,'Sublimits and Parts'!$B$49:$B$52,0)),"?")))</f>
        <v/>
      </c>
      <c r="BT31" s="99" t="str">
        <f>IF($A31="","",IF($AH31="",1,IFERROR(INDEX('Sublimits and Parts'!$C$56:$C$60,MATCH($AH31,'Sublimits and Parts'!$B$56:$B$60,0)),"?")))</f>
        <v/>
      </c>
      <c r="BU31" s="99" t="str">
        <f>IF($A31="","",IF($AI31="",1,IFERROR(INDEX('Sublimits and Parts'!$C$64:$C$67,MATCH($AI31,'Sublimits and Parts'!$B$64:$B$67,0)),"?")))</f>
        <v/>
      </c>
      <c r="BV31" s="99" t="str">
        <f>IF($A31="","",IF($AJ31="",1,IFERROR(INDEX('Sublimits and Parts'!$C$71:$C$74,MATCH($AJ31,'Sublimits and Parts'!$B$71:$B$74,0)),"?")))</f>
        <v/>
      </c>
      <c r="BW31" s="99" t="str">
        <f>IF($A31="","",IF($AK31="",1,IFERROR(INDEX('Sublimits and Parts'!$C$78:$C$80,MATCH($AK31,'Sublimits and Parts'!$B$78:$B$80,0)),"?")))</f>
        <v/>
      </c>
      <c r="BX31" s="99" t="str">
        <f>IF($A31="","",IF($AL31="",1,IFERROR(INDEX('Sublimits and Parts'!$C$84:$C$87,MATCH($AL31,'Sublimits and Parts'!$B$84:$B$87,0)),"?")))</f>
        <v/>
      </c>
      <c r="BY31" s="99" t="str">
        <f>IF($A31="","",IF($AM31="",1,IFERROR(INDEX('Sublimits and Parts'!$C$91:$C$94,MATCH($AM31,'Sublimits and Parts'!$B$91:$B$94,0)),"?")))</f>
        <v/>
      </c>
      <c r="BZ31" s="99" t="str">
        <f>IF($A31="","",IF($AN31="",1,IFERROR(INDEX('Sublimits and Parts'!$C$98:$C$101,MATCH($AN31,'Sublimits and Parts'!$B$98:$B$101,0)),"?")))</f>
        <v/>
      </c>
      <c r="CA31" s="99" t="str">
        <f>IF($A31="","",IF($AO31="",1,IFERROR(INDEX('Sublimits and Parts'!$C$105:$C$109,MATCH($AO31,'Sublimits and Parts'!$B$105:$B$109,0)),"?")))</f>
        <v/>
      </c>
      <c r="CB31" s="100" t="str">
        <f t="shared" si="2"/>
        <v/>
      </c>
      <c r="CC31" s="100" t="str">
        <f t="shared" si="3"/>
        <v/>
      </c>
      <c r="CD31" s="103" t="str">
        <f>IF($A31="","",IF(OR($CB31="?",$CC31="?"),"?",MIN($CB31*$CC31,'Technical Premium'!$C$17)))</f>
        <v/>
      </c>
      <c r="CE31" s="102" t="str">
        <f t="shared" si="4"/>
        <v/>
      </c>
      <c r="CF31" s="102" t="str">
        <f>IF($A31="","",IFERROR(INDEX('Territory Factors'!$F$6:$F$56,MATCH($K31,'Territory Factors'!$B$6:$B$56,0)),"?"))</f>
        <v/>
      </c>
      <c r="CG31" s="100" t="str">
        <f>IF($A31="","",IFERROR(INDEX('Usage and Coverage'!$C$79:$C$84,MATCH($Y31,'Usage and Coverage'!$B$79:$B$84,0)),"?"))</f>
        <v/>
      </c>
      <c r="CH31" s="102" t="str">
        <f>IFERROR(IF(ISNUMBER($CD31),$CF31*$CG31*MIN($BG31*$BA31*$BC31*$BD31*$BH31*$BF31,'Technical Premium'!$C$17),""),"")</f>
        <v/>
      </c>
      <c r="CI31" s="102" t="str">
        <f t="shared" si="5"/>
        <v/>
      </c>
      <c r="CJ31" s="102" t="str">
        <f>IFERROR($CI31*(1+'Technical Premium'!$C$5)*(1+'Technical Premium'!$C$6),"")</f>
        <v/>
      </c>
      <c r="CK31" s="102" t="str">
        <f>IFERROR($CE31*INDEX('Territory Factors'!$G$6:$G$56,MATCH($K31,'Territory Factors'!$B$6:$B$56,0))*$AU31*$AV31,"")</f>
        <v/>
      </c>
      <c r="CL31" s="102" t="str">
        <f>IFERROR(($CJ31+$CK31)*(1+'Technical Premium'!$C$7),"")</f>
        <v/>
      </c>
      <c r="CM31" s="104" t="str">
        <f>IFERROR($CL31/'Technical Premium'!$C$13,"")</f>
        <v/>
      </c>
      <c r="CN31" s="105" t="str">
        <f t="shared" si="6"/>
        <v/>
      </c>
      <c r="CO31" s="104" t="str">
        <f t="shared" si="7"/>
        <v/>
      </c>
      <c r="CP31" s="105" t="str">
        <f t="shared" si="8"/>
        <v/>
      </c>
      <c r="CQ31" s="106" t="str">
        <f t="shared" si="9"/>
        <v/>
      </c>
      <c r="CR31" s="102" t="str">
        <f>IF(ISNUMBER($CM31),'Technical Premium'!$C$14+IF($J31&gt;=1000000,'Technical Premium'!$C$15,0),"")</f>
        <v/>
      </c>
      <c r="CS31" s="102" t="str">
        <f>IFERROR(($CO31+$CR31)*(INDEX('Territory Factors'!$K$6:$K$56,MATCH($K31,'Territory Factors'!$B$6:$B$56,0))+'Commission Structure'!$C$21),"")</f>
        <v/>
      </c>
      <c r="CT31" s="104" t="str">
        <f t="shared" si="10"/>
        <v/>
      </c>
      <c r="CU31" s="102" t="str">
        <f>IFERROR($CO31*('Commission Structure'!$C$6+'Commission Structure'!$C$7),"")</f>
        <v/>
      </c>
      <c r="CV31" s="102" t="str">
        <f>IFERROR($CO31*'Commission Structure'!$C$5-$CU31,"")</f>
        <v/>
      </c>
      <c r="CW31" s="102" t="str">
        <f>IFERROR($CO31*(1-'Commission Structure'!$C$5),"")</f>
        <v/>
      </c>
      <c r="CX31" s="107"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8" t="str">
        <f t="shared" si="11"/>
        <v/>
      </c>
      <c r="CZ31" s="99" t="str">
        <f>IF($CY31="","",IF($CY31&lt;'Technical Premium'!$C$19,"BEYOND AUTHORITY",IF($CY31&gt;0.005,"Above technical",IF($CY31&lt;-0.005,"BELOW technical","At technical"))))</f>
        <v/>
      </c>
      <c r="DA31" s="99"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4"/>
      <c r="DC31" s="94"/>
      <c r="DD31" s="95"/>
      <c r="DE31" s="94"/>
      <c r="DF31" s="94"/>
      <c r="DG31" s="99" t="str">
        <f t="shared" si="12"/>
        <v/>
      </c>
      <c r="DH31" s="99" t="str">
        <f>IF($A31="","",IF(OR($CX31="REFER",$CX31="DECLINE"),COUNTIF($CX$5:$CX31,"REFER")+COUNTIF($CX$5:$CX31,"DECLINE"),""))</f>
        <v/>
      </c>
      <c r="DI31" s="94"/>
    </row>
    <row r="32" spans="1:113" x14ac:dyDescent="0.35">
      <c r="A32" s="94"/>
      <c r="B32" s="94"/>
      <c r="C32" s="95"/>
      <c r="D32" s="95"/>
      <c r="E32" s="96"/>
      <c r="F32" s="94"/>
      <c r="G32" s="94"/>
      <c r="H32" s="94"/>
      <c r="I32" s="94"/>
      <c r="J32" s="97"/>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8"/>
      <c r="AR32" s="99" t="str">
        <f t="shared" si="0"/>
        <v/>
      </c>
      <c r="AS32" s="99" t="str">
        <f>IF($A32="","",IF($AP32&lt;&gt;"",$AP32,IFERROR(INDEX('Cat Zone by ZIP'!$D$6:$D$856,MATCH($AR32,'Cat Zone by ZIP'!$B$6:$B$856,0)),IFERROR(INDEX('Cat Zone by ZIP'!$C$860:$C$910,MATCH($K32,'Cat Zone by ZIP'!$B$860:$B$910,0)),"NOT FOUND"))))</f>
        <v/>
      </c>
      <c r="AT32" s="99" t="str">
        <f>IF($A32="","",IF($AP32&lt;&gt;"","Override",IF(ISNUMBER(MATCH($AR32,'Cat Zone by ZIP'!$B$6:$B$856,0)),"ZIP-3","State default")))</f>
        <v/>
      </c>
      <c r="AU32" s="100" t="str">
        <f>IF($A32="","",IFERROR(INDEX('Natural Catastrophe'!$D$6:$D$17,MATCH($AS32,'Natural Catastrophe'!$B$6:$B$17,0)),"?"))</f>
        <v/>
      </c>
      <c r="AV32" s="100" t="str">
        <f>IF($A32="","",IFERROR(INDEX('Natural Catastrophe'!$C$21:$C$26,MATCH($AA32,'Natural Catastrophe'!$B$21:$B$26,0)),"?"))</f>
        <v/>
      </c>
      <c r="AW32" s="99" t="str">
        <f>IF($A32="","",IFERROR(INDEX('Base Rates'!$C$4:$I$4,MATCH(MAX($J32,'Technical Premium'!$C$18),'Base Rates'!$C$3:$I$3,1)),"?"))</f>
        <v/>
      </c>
      <c r="AX32" s="101" t="str">
        <f>IF($A32="","",IFERROR(INDEX('Base Rates'!$C$5:$I$16,MATCH($I32,'Base Rates'!$B$5:$B$16,0),MATCH(MAX($J32,'Technical Premium'!$C$18),'Base Rates'!$C$3:$I$3,1)),"?"))</f>
        <v/>
      </c>
      <c r="AY32" s="102" t="str">
        <f t="shared" si="1"/>
        <v/>
      </c>
      <c r="AZ32" s="99" t="str">
        <f>IF($A32="","",IFERROR(INDEX('Make Factors'!$G$5:$G$69,MATCH($F32,'Make Factors'!$B$5:$B$69,0)),"?"))</f>
        <v/>
      </c>
      <c r="BA32" s="99" t="str">
        <f>IF($A32="","",IFERROR(INDEX('Driver Factors'!$C$6:$C$15,MATCH($R32,'Driver Factors'!$B$6:$B$15,0)),"?"))</f>
        <v/>
      </c>
      <c r="BB32" s="99" t="str">
        <f>IF($A32="","",IFERROR(INDEX('Driver Factors'!$C$19:$C$24,MATCH($S32,'Driver Factors'!$B$19:$B$24,0)),"?"))</f>
        <v/>
      </c>
      <c r="BC32" s="99" t="str">
        <f>IF($A32="","",IFERROR(INDEX('Driver Factors'!$C$28:$C$36,MATCH($T32,'Driver Factors'!$B$28:$B$36,0)),"?"))</f>
        <v/>
      </c>
      <c r="BD32" s="99" t="str">
        <f>IF($A32="","",IFERROR(INDEX('Claims History'!$C$6:$C$15,MATCH($U32,'Claims History'!$B$6:$B$15,0)),"?"))</f>
        <v/>
      </c>
      <c r="BE32" s="99" t="str">
        <f>IF($A32="","",IFERROR(INDEX('Territory Factors'!$E$6:$E$56,MATCH($K32,'Territory Factors'!$B$6:$B$56,0)),"?"))</f>
        <v/>
      </c>
      <c r="BF32" s="99" t="str">
        <f>IF($A32="","",IFERROR(INDEX('City Accident Ratings'!$G$6:$G$54,MATCH($Z32,'City Accident Ratings'!$B$6:$B$54,0)),"?"))</f>
        <v/>
      </c>
      <c r="BG32" s="99" t="str">
        <f>IF($A32="","",IFERROR(INDEX('Usage and Coverage'!$D$6:$D$20,MATCH($N32,'Usage and Coverage'!$C$6:$C$20,0)),"?"))</f>
        <v/>
      </c>
      <c r="BH32" s="99" t="str">
        <f>IF($A32="","",IFERROR(INDEX('Usage and Coverage'!$C$24:$C$30,MATCH($O32,'Usage and Coverage'!$B$24:$B$30,0)),"?"))</f>
        <v/>
      </c>
      <c r="BI32" s="99" t="str">
        <f>IF($A32="","",IFERROR(INDEX('Usage and Coverage'!$C$34:$C$40,MATCH($P32,'Usage and Coverage'!$B$34:$B$40,0)),"?"))</f>
        <v/>
      </c>
      <c r="BJ32" s="99" t="str">
        <f>IF($A32="","",IFERROR(INDEX('Usage and Coverage'!$C$44:$C$49,MATCH($Q32,'Usage and Coverage'!$B$44:$B$49,0)),"?"))</f>
        <v/>
      </c>
      <c r="BK32" s="99" t="str">
        <f>IF($A32="","",IFERROR(INDEX(Deductibles!$C$6:$I$15,MATCH($W32,Deductibles!$B$6:$B$15,0),MATCH(MAX($J32,'Technical Premium'!$C$18),'Base Rates'!$C$3:$I$3,1)),"?"))</f>
        <v/>
      </c>
      <c r="BL32" s="99" t="str">
        <f>IF($A32="","",IFERROR(INDEX('Usage and Coverage'!$C$63:$C$66,MATCH($X32,'Usage and Coverage'!$B$63:$B$66,0)),"?"))</f>
        <v/>
      </c>
      <c r="BM32" s="99" t="str">
        <f>IF($A32="","",IFERROR(INDEX('Usage and Coverage'!$C$70:$C$75,MATCH($V32,'Usage and Coverage'!$B$70:$B$75,0)),"?"))</f>
        <v/>
      </c>
      <c r="BN32" s="99" t="str">
        <f>IF($A32="","",IF($AB32="",1,IFERROR(INDEX(Deductibles!$C$48:$C$51,MATCH($AB32,Deductibles!$B$48:$B$51,0)),"?")))</f>
        <v/>
      </c>
      <c r="BO32" s="99" t="str">
        <f>IF($A32="","",IF($AC32="",1,IFERROR(INDEX(Deductibles!$C$55:$C$57,MATCH($AC32,Deductibles!$B$55:$B$57,0)),"?")))</f>
        <v/>
      </c>
      <c r="BP32" s="99" t="str">
        <f>IF($A32="","",IF($AD32="",1,IFERROR(INDEX(Deductibles!$C$61:$C$63,MATCH($AD32,Deductibles!$B$61:$B$63,0)),"?")))</f>
        <v/>
      </c>
      <c r="BQ32" s="99" t="str">
        <f>IF($A32="","",IF($AE32="",1,IFERROR(INDEX(Deductibles!$C$67:$C$69,MATCH($AE32,Deductibles!$B$67:$B$69,0)),"?")))</f>
        <v/>
      </c>
      <c r="BR32" s="99" t="str">
        <f>IF($A32="","",IF($AF32="",1,IFERROR(INDEX(Deductibles!$C$73:$C$74,MATCH($AF32,Deductibles!$B$73:$B$74,0)),"?")))</f>
        <v/>
      </c>
      <c r="BS32" s="99" t="str">
        <f>IF($A32="","",IF($AG32="",1,IFERROR(INDEX('Sublimits and Parts'!$C$49:$C$52,MATCH($AG32,'Sublimits and Parts'!$B$49:$B$52,0)),"?")))</f>
        <v/>
      </c>
      <c r="BT32" s="99" t="str">
        <f>IF($A32="","",IF($AH32="",1,IFERROR(INDEX('Sublimits and Parts'!$C$56:$C$60,MATCH($AH32,'Sublimits and Parts'!$B$56:$B$60,0)),"?")))</f>
        <v/>
      </c>
      <c r="BU32" s="99" t="str">
        <f>IF($A32="","",IF($AI32="",1,IFERROR(INDEX('Sublimits and Parts'!$C$64:$C$67,MATCH($AI32,'Sublimits and Parts'!$B$64:$B$67,0)),"?")))</f>
        <v/>
      </c>
      <c r="BV32" s="99" t="str">
        <f>IF($A32="","",IF($AJ32="",1,IFERROR(INDEX('Sublimits and Parts'!$C$71:$C$74,MATCH($AJ32,'Sublimits and Parts'!$B$71:$B$74,0)),"?")))</f>
        <v/>
      </c>
      <c r="BW32" s="99" t="str">
        <f>IF($A32="","",IF($AK32="",1,IFERROR(INDEX('Sublimits and Parts'!$C$78:$C$80,MATCH($AK32,'Sublimits and Parts'!$B$78:$B$80,0)),"?")))</f>
        <v/>
      </c>
      <c r="BX32" s="99" t="str">
        <f>IF($A32="","",IF($AL32="",1,IFERROR(INDEX('Sublimits and Parts'!$C$84:$C$87,MATCH($AL32,'Sublimits and Parts'!$B$84:$B$87,0)),"?")))</f>
        <v/>
      </c>
      <c r="BY32" s="99" t="str">
        <f>IF($A32="","",IF($AM32="",1,IFERROR(INDEX('Sublimits and Parts'!$C$91:$C$94,MATCH($AM32,'Sublimits and Parts'!$B$91:$B$94,0)),"?")))</f>
        <v/>
      </c>
      <c r="BZ32" s="99" t="str">
        <f>IF($A32="","",IF($AN32="",1,IFERROR(INDEX('Sublimits and Parts'!$C$98:$C$101,MATCH($AN32,'Sublimits and Parts'!$B$98:$B$101,0)),"?")))</f>
        <v/>
      </c>
      <c r="CA32" s="99" t="str">
        <f>IF($A32="","",IF($AO32="",1,IFERROR(INDEX('Sublimits and Parts'!$C$105:$C$109,MATCH($AO32,'Sublimits and Parts'!$B$105:$B$109,0)),"?")))</f>
        <v/>
      </c>
      <c r="CB32" s="100" t="str">
        <f t="shared" si="2"/>
        <v/>
      </c>
      <c r="CC32" s="100" t="str">
        <f t="shared" si="3"/>
        <v/>
      </c>
      <c r="CD32" s="103" t="str">
        <f>IF($A32="","",IF(OR($CB32="?",$CC32="?"),"?",MIN($CB32*$CC32,'Technical Premium'!$C$17)))</f>
        <v/>
      </c>
      <c r="CE32" s="102" t="str">
        <f t="shared" si="4"/>
        <v/>
      </c>
      <c r="CF32" s="102" t="str">
        <f>IF($A32="","",IFERROR(INDEX('Territory Factors'!$F$6:$F$56,MATCH($K32,'Territory Factors'!$B$6:$B$56,0)),"?"))</f>
        <v/>
      </c>
      <c r="CG32" s="100" t="str">
        <f>IF($A32="","",IFERROR(INDEX('Usage and Coverage'!$C$79:$C$84,MATCH($Y32,'Usage and Coverage'!$B$79:$B$84,0)),"?"))</f>
        <v/>
      </c>
      <c r="CH32" s="102" t="str">
        <f>IFERROR(IF(ISNUMBER($CD32),$CF32*$CG32*MIN($BG32*$BA32*$BC32*$BD32*$BH32*$BF32,'Technical Premium'!$C$17),""),"")</f>
        <v/>
      </c>
      <c r="CI32" s="102" t="str">
        <f t="shared" si="5"/>
        <v/>
      </c>
      <c r="CJ32" s="102" t="str">
        <f>IFERROR($CI32*(1+'Technical Premium'!$C$5)*(1+'Technical Premium'!$C$6),"")</f>
        <v/>
      </c>
      <c r="CK32" s="102" t="str">
        <f>IFERROR($CE32*INDEX('Territory Factors'!$G$6:$G$56,MATCH($K32,'Territory Factors'!$B$6:$B$56,0))*$AU32*$AV32,"")</f>
        <v/>
      </c>
      <c r="CL32" s="102" t="str">
        <f>IFERROR(($CJ32+$CK32)*(1+'Technical Premium'!$C$7),"")</f>
        <v/>
      </c>
      <c r="CM32" s="104" t="str">
        <f>IFERROR($CL32/'Technical Premium'!$C$13,"")</f>
        <v/>
      </c>
      <c r="CN32" s="105" t="str">
        <f t="shared" si="6"/>
        <v/>
      </c>
      <c r="CO32" s="104" t="str">
        <f t="shared" si="7"/>
        <v/>
      </c>
      <c r="CP32" s="105" t="str">
        <f t="shared" si="8"/>
        <v/>
      </c>
      <c r="CQ32" s="106" t="str">
        <f t="shared" si="9"/>
        <v/>
      </c>
      <c r="CR32" s="102" t="str">
        <f>IF(ISNUMBER($CM32),'Technical Premium'!$C$14+IF($J32&gt;=1000000,'Technical Premium'!$C$15,0),"")</f>
        <v/>
      </c>
      <c r="CS32" s="102" t="str">
        <f>IFERROR(($CO32+$CR32)*(INDEX('Territory Factors'!$K$6:$K$56,MATCH($K32,'Territory Factors'!$B$6:$B$56,0))+'Commission Structure'!$C$21),"")</f>
        <v/>
      </c>
      <c r="CT32" s="104" t="str">
        <f t="shared" si="10"/>
        <v/>
      </c>
      <c r="CU32" s="102" t="str">
        <f>IFERROR($CO32*('Commission Structure'!$C$6+'Commission Structure'!$C$7),"")</f>
        <v/>
      </c>
      <c r="CV32" s="102" t="str">
        <f>IFERROR($CO32*'Commission Structure'!$C$5-$CU32,"")</f>
        <v/>
      </c>
      <c r="CW32" s="102" t="str">
        <f>IFERROR($CO32*(1-'Commission Structure'!$C$5),"")</f>
        <v/>
      </c>
      <c r="CX32" s="107"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8" t="str">
        <f t="shared" si="11"/>
        <v/>
      </c>
      <c r="CZ32" s="99" t="str">
        <f>IF($CY32="","",IF($CY32&lt;'Technical Premium'!$C$19,"BEYOND AUTHORITY",IF($CY32&gt;0.005,"Above technical",IF($CY32&lt;-0.005,"BELOW technical","At technical"))))</f>
        <v/>
      </c>
      <c r="DA32" s="99"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4"/>
      <c r="DC32" s="94"/>
      <c r="DD32" s="95"/>
      <c r="DE32" s="94"/>
      <c r="DF32" s="94"/>
      <c r="DG32" s="99" t="str">
        <f t="shared" si="12"/>
        <v/>
      </c>
      <c r="DH32" s="99" t="str">
        <f>IF($A32="","",IF(OR($CX32="REFER",$CX32="DECLINE"),COUNTIF($CX$5:$CX32,"REFER")+COUNTIF($CX$5:$CX32,"DECLINE"),""))</f>
        <v/>
      </c>
      <c r="DI32" s="94"/>
    </row>
    <row r="33" spans="1:113" x14ac:dyDescent="0.35">
      <c r="A33" s="94"/>
      <c r="B33" s="94"/>
      <c r="C33" s="95"/>
      <c r="D33" s="95"/>
      <c r="E33" s="96"/>
      <c r="F33" s="94"/>
      <c r="G33" s="94"/>
      <c r="H33" s="94"/>
      <c r="I33" s="94"/>
      <c r="J33" s="97"/>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8"/>
      <c r="AR33" s="99" t="str">
        <f t="shared" si="0"/>
        <v/>
      </c>
      <c r="AS33" s="99" t="str">
        <f>IF($A33="","",IF($AP33&lt;&gt;"",$AP33,IFERROR(INDEX('Cat Zone by ZIP'!$D$6:$D$856,MATCH($AR33,'Cat Zone by ZIP'!$B$6:$B$856,0)),IFERROR(INDEX('Cat Zone by ZIP'!$C$860:$C$910,MATCH($K33,'Cat Zone by ZIP'!$B$860:$B$910,0)),"NOT FOUND"))))</f>
        <v/>
      </c>
      <c r="AT33" s="99" t="str">
        <f>IF($A33="","",IF($AP33&lt;&gt;"","Override",IF(ISNUMBER(MATCH($AR33,'Cat Zone by ZIP'!$B$6:$B$856,0)),"ZIP-3","State default")))</f>
        <v/>
      </c>
      <c r="AU33" s="100" t="str">
        <f>IF($A33="","",IFERROR(INDEX('Natural Catastrophe'!$D$6:$D$17,MATCH($AS33,'Natural Catastrophe'!$B$6:$B$17,0)),"?"))</f>
        <v/>
      </c>
      <c r="AV33" s="100" t="str">
        <f>IF($A33="","",IFERROR(INDEX('Natural Catastrophe'!$C$21:$C$26,MATCH($AA33,'Natural Catastrophe'!$B$21:$B$26,0)),"?"))</f>
        <v/>
      </c>
      <c r="AW33" s="99" t="str">
        <f>IF($A33="","",IFERROR(INDEX('Base Rates'!$C$4:$I$4,MATCH(MAX($J33,'Technical Premium'!$C$18),'Base Rates'!$C$3:$I$3,1)),"?"))</f>
        <v/>
      </c>
      <c r="AX33" s="101" t="str">
        <f>IF($A33="","",IFERROR(INDEX('Base Rates'!$C$5:$I$16,MATCH($I33,'Base Rates'!$B$5:$B$16,0),MATCH(MAX($J33,'Technical Premium'!$C$18),'Base Rates'!$C$3:$I$3,1)),"?"))</f>
        <v/>
      </c>
      <c r="AY33" s="102" t="str">
        <f t="shared" si="1"/>
        <v/>
      </c>
      <c r="AZ33" s="99" t="str">
        <f>IF($A33="","",IFERROR(INDEX('Make Factors'!$G$5:$G$69,MATCH($F33,'Make Factors'!$B$5:$B$69,0)),"?"))</f>
        <v/>
      </c>
      <c r="BA33" s="99" t="str">
        <f>IF($A33="","",IFERROR(INDEX('Driver Factors'!$C$6:$C$15,MATCH($R33,'Driver Factors'!$B$6:$B$15,0)),"?"))</f>
        <v/>
      </c>
      <c r="BB33" s="99" t="str">
        <f>IF($A33="","",IFERROR(INDEX('Driver Factors'!$C$19:$C$24,MATCH($S33,'Driver Factors'!$B$19:$B$24,0)),"?"))</f>
        <v/>
      </c>
      <c r="BC33" s="99" t="str">
        <f>IF($A33="","",IFERROR(INDEX('Driver Factors'!$C$28:$C$36,MATCH($T33,'Driver Factors'!$B$28:$B$36,0)),"?"))</f>
        <v/>
      </c>
      <c r="BD33" s="99" t="str">
        <f>IF($A33="","",IFERROR(INDEX('Claims History'!$C$6:$C$15,MATCH($U33,'Claims History'!$B$6:$B$15,0)),"?"))</f>
        <v/>
      </c>
      <c r="BE33" s="99" t="str">
        <f>IF($A33="","",IFERROR(INDEX('Territory Factors'!$E$6:$E$56,MATCH($K33,'Territory Factors'!$B$6:$B$56,0)),"?"))</f>
        <v/>
      </c>
      <c r="BF33" s="99" t="str">
        <f>IF($A33="","",IFERROR(INDEX('City Accident Ratings'!$G$6:$G$54,MATCH($Z33,'City Accident Ratings'!$B$6:$B$54,0)),"?"))</f>
        <v/>
      </c>
      <c r="BG33" s="99" t="str">
        <f>IF($A33="","",IFERROR(INDEX('Usage and Coverage'!$D$6:$D$20,MATCH($N33,'Usage and Coverage'!$C$6:$C$20,0)),"?"))</f>
        <v/>
      </c>
      <c r="BH33" s="99" t="str">
        <f>IF($A33="","",IFERROR(INDEX('Usage and Coverage'!$C$24:$C$30,MATCH($O33,'Usage and Coverage'!$B$24:$B$30,0)),"?"))</f>
        <v/>
      </c>
      <c r="BI33" s="99" t="str">
        <f>IF($A33="","",IFERROR(INDEX('Usage and Coverage'!$C$34:$C$40,MATCH($P33,'Usage and Coverage'!$B$34:$B$40,0)),"?"))</f>
        <v/>
      </c>
      <c r="BJ33" s="99" t="str">
        <f>IF($A33="","",IFERROR(INDEX('Usage and Coverage'!$C$44:$C$49,MATCH($Q33,'Usage and Coverage'!$B$44:$B$49,0)),"?"))</f>
        <v/>
      </c>
      <c r="BK33" s="99" t="str">
        <f>IF($A33="","",IFERROR(INDEX(Deductibles!$C$6:$I$15,MATCH($W33,Deductibles!$B$6:$B$15,0),MATCH(MAX($J33,'Technical Premium'!$C$18),'Base Rates'!$C$3:$I$3,1)),"?"))</f>
        <v/>
      </c>
      <c r="BL33" s="99" t="str">
        <f>IF($A33="","",IFERROR(INDEX('Usage and Coverage'!$C$63:$C$66,MATCH($X33,'Usage and Coverage'!$B$63:$B$66,0)),"?"))</f>
        <v/>
      </c>
      <c r="BM33" s="99" t="str">
        <f>IF($A33="","",IFERROR(INDEX('Usage and Coverage'!$C$70:$C$75,MATCH($V33,'Usage and Coverage'!$B$70:$B$75,0)),"?"))</f>
        <v/>
      </c>
      <c r="BN33" s="99" t="str">
        <f>IF($A33="","",IF($AB33="",1,IFERROR(INDEX(Deductibles!$C$48:$C$51,MATCH($AB33,Deductibles!$B$48:$B$51,0)),"?")))</f>
        <v/>
      </c>
      <c r="BO33" s="99" t="str">
        <f>IF($A33="","",IF($AC33="",1,IFERROR(INDEX(Deductibles!$C$55:$C$57,MATCH($AC33,Deductibles!$B$55:$B$57,0)),"?")))</f>
        <v/>
      </c>
      <c r="BP33" s="99" t="str">
        <f>IF($A33="","",IF($AD33="",1,IFERROR(INDEX(Deductibles!$C$61:$C$63,MATCH($AD33,Deductibles!$B$61:$B$63,0)),"?")))</f>
        <v/>
      </c>
      <c r="BQ33" s="99" t="str">
        <f>IF($A33="","",IF($AE33="",1,IFERROR(INDEX(Deductibles!$C$67:$C$69,MATCH($AE33,Deductibles!$B$67:$B$69,0)),"?")))</f>
        <v/>
      </c>
      <c r="BR33" s="99" t="str">
        <f>IF($A33="","",IF($AF33="",1,IFERROR(INDEX(Deductibles!$C$73:$C$74,MATCH($AF33,Deductibles!$B$73:$B$74,0)),"?")))</f>
        <v/>
      </c>
      <c r="BS33" s="99" t="str">
        <f>IF($A33="","",IF($AG33="",1,IFERROR(INDEX('Sublimits and Parts'!$C$49:$C$52,MATCH($AG33,'Sublimits and Parts'!$B$49:$B$52,0)),"?")))</f>
        <v/>
      </c>
      <c r="BT33" s="99" t="str">
        <f>IF($A33="","",IF($AH33="",1,IFERROR(INDEX('Sublimits and Parts'!$C$56:$C$60,MATCH($AH33,'Sublimits and Parts'!$B$56:$B$60,0)),"?")))</f>
        <v/>
      </c>
      <c r="BU33" s="99" t="str">
        <f>IF($A33="","",IF($AI33="",1,IFERROR(INDEX('Sublimits and Parts'!$C$64:$C$67,MATCH($AI33,'Sublimits and Parts'!$B$64:$B$67,0)),"?")))</f>
        <v/>
      </c>
      <c r="BV33" s="99" t="str">
        <f>IF($A33="","",IF($AJ33="",1,IFERROR(INDEX('Sublimits and Parts'!$C$71:$C$74,MATCH($AJ33,'Sublimits and Parts'!$B$71:$B$74,0)),"?")))</f>
        <v/>
      </c>
      <c r="BW33" s="99" t="str">
        <f>IF($A33="","",IF($AK33="",1,IFERROR(INDEX('Sublimits and Parts'!$C$78:$C$80,MATCH($AK33,'Sublimits and Parts'!$B$78:$B$80,0)),"?")))</f>
        <v/>
      </c>
      <c r="BX33" s="99" t="str">
        <f>IF($A33="","",IF($AL33="",1,IFERROR(INDEX('Sublimits and Parts'!$C$84:$C$87,MATCH($AL33,'Sublimits and Parts'!$B$84:$B$87,0)),"?")))</f>
        <v/>
      </c>
      <c r="BY33" s="99" t="str">
        <f>IF($A33="","",IF($AM33="",1,IFERROR(INDEX('Sublimits and Parts'!$C$91:$C$94,MATCH($AM33,'Sublimits and Parts'!$B$91:$B$94,0)),"?")))</f>
        <v/>
      </c>
      <c r="BZ33" s="99" t="str">
        <f>IF($A33="","",IF($AN33="",1,IFERROR(INDEX('Sublimits and Parts'!$C$98:$C$101,MATCH($AN33,'Sublimits and Parts'!$B$98:$B$101,0)),"?")))</f>
        <v/>
      </c>
      <c r="CA33" s="99" t="str">
        <f>IF($A33="","",IF($AO33="",1,IFERROR(INDEX('Sublimits and Parts'!$C$105:$C$109,MATCH($AO33,'Sublimits and Parts'!$B$105:$B$109,0)),"?")))</f>
        <v/>
      </c>
      <c r="CB33" s="100" t="str">
        <f t="shared" si="2"/>
        <v/>
      </c>
      <c r="CC33" s="100" t="str">
        <f t="shared" si="3"/>
        <v/>
      </c>
      <c r="CD33" s="103" t="str">
        <f>IF($A33="","",IF(OR($CB33="?",$CC33="?"),"?",MIN($CB33*$CC33,'Technical Premium'!$C$17)))</f>
        <v/>
      </c>
      <c r="CE33" s="102" t="str">
        <f t="shared" si="4"/>
        <v/>
      </c>
      <c r="CF33" s="102" t="str">
        <f>IF($A33="","",IFERROR(INDEX('Territory Factors'!$F$6:$F$56,MATCH($K33,'Territory Factors'!$B$6:$B$56,0)),"?"))</f>
        <v/>
      </c>
      <c r="CG33" s="100" t="str">
        <f>IF($A33="","",IFERROR(INDEX('Usage and Coverage'!$C$79:$C$84,MATCH($Y33,'Usage and Coverage'!$B$79:$B$84,0)),"?"))</f>
        <v/>
      </c>
      <c r="CH33" s="102" t="str">
        <f>IFERROR(IF(ISNUMBER($CD33),$CF33*$CG33*MIN($BG33*$BA33*$BC33*$BD33*$BH33*$BF33,'Technical Premium'!$C$17),""),"")</f>
        <v/>
      </c>
      <c r="CI33" s="102" t="str">
        <f t="shared" si="5"/>
        <v/>
      </c>
      <c r="CJ33" s="102" t="str">
        <f>IFERROR($CI33*(1+'Technical Premium'!$C$5)*(1+'Technical Premium'!$C$6),"")</f>
        <v/>
      </c>
      <c r="CK33" s="102" t="str">
        <f>IFERROR($CE33*INDEX('Territory Factors'!$G$6:$G$56,MATCH($K33,'Territory Factors'!$B$6:$B$56,0))*$AU33*$AV33,"")</f>
        <v/>
      </c>
      <c r="CL33" s="102" t="str">
        <f>IFERROR(($CJ33+$CK33)*(1+'Technical Premium'!$C$7),"")</f>
        <v/>
      </c>
      <c r="CM33" s="104" t="str">
        <f>IFERROR($CL33/'Technical Premium'!$C$13,"")</f>
        <v/>
      </c>
      <c r="CN33" s="105" t="str">
        <f t="shared" si="6"/>
        <v/>
      </c>
      <c r="CO33" s="104" t="str">
        <f t="shared" si="7"/>
        <v/>
      </c>
      <c r="CP33" s="105" t="str">
        <f t="shared" si="8"/>
        <v/>
      </c>
      <c r="CQ33" s="106" t="str">
        <f t="shared" si="9"/>
        <v/>
      </c>
      <c r="CR33" s="102" t="str">
        <f>IF(ISNUMBER($CM33),'Technical Premium'!$C$14+IF($J33&gt;=1000000,'Technical Premium'!$C$15,0),"")</f>
        <v/>
      </c>
      <c r="CS33" s="102" t="str">
        <f>IFERROR(($CO33+$CR33)*(INDEX('Territory Factors'!$K$6:$K$56,MATCH($K33,'Territory Factors'!$B$6:$B$56,0))+'Commission Structure'!$C$21),"")</f>
        <v/>
      </c>
      <c r="CT33" s="104" t="str">
        <f t="shared" si="10"/>
        <v/>
      </c>
      <c r="CU33" s="102" t="str">
        <f>IFERROR($CO33*('Commission Structure'!$C$6+'Commission Structure'!$C$7),"")</f>
        <v/>
      </c>
      <c r="CV33" s="102" t="str">
        <f>IFERROR($CO33*'Commission Structure'!$C$5-$CU33,"")</f>
        <v/>
      </c>
      <c r="CW33" s="102" t="str">
        <f>IFERROR($CO33*(1-'Commission Structure'!$C$5),"")</f>
        <v/>
      </c>
      <c r="CX33" s="107"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8" t="str">
        <f t="shared" si="11"/>
        <v/>
      </c>
      <c r="CZ33" s="99" t="str">
        <f>IF($CY33="","",IF($CY33&lt;'Technical Premium'!$C$19,"BEYOND AUTHORITY",IF($CY33&gt;0.005,"Above technical",IF($CY33&lt;-0.005,"BELOW technical","At technical"))))</f>
        <v/>
      </c>
      <c r="DA33" s="99"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4"/>
      <c r="DC33" s="94"/>
      <c r="DD33" s="95"/>
      <c r="DE33" s="94"/>
      <c r="DF33" s="94"/>
      <c r="DG33" s="99" t="str">
        <f t="shared" si="12"/>
        <v/>
      </c>
      <c r="DH33" s="99" t="str">
        <f>IF($A33="","",IF(OR($CX33="REFER",$CX33="DECLINE"),COUNTIF($CX$5:$CX33,"REFER")+COUNTIF($CX$5:$CX33,"DECLINE"),""))</f>
        <v/>
      </c>
      <c r="DI33" s="94"/>
    </row>
    <row r="34" spans="1:113" x14ac:dyDescent="0.35">
      <c r="A34" s="94"/>
      <c r="B34" s="94"/>
      <c r="C34" s="95"/>
      <c r="D34" s="95"/>
      <c r="E34" s="96"/>
      <c r="F34" s="94"/>
      <c r="G34" s="94"/>
      <c r="H34" s="94"/>
      <c r="I34" s="94"/>
      <c r="J34" s="97"/>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8"/>
      <c r="AR34" s="99" t="str">
        <f t="shared" si="0"/>
        <v/>
      </c>
      <c r="AS34" s="99" t="str">
        <f>IF($A34="","",IF($AP34&lt;&gt;"",$AP34,IFERROR(INDEX('Cat Zone by ZIP'!$D$6:$D$856,MATCH($AR34,'Cat Zone by ZIP'!$B$6:$B$856,0)),IFERROR(INDEX('Cat Zone by ZIP'!$C$860:$C$910,MATCH($K34,'Cat Zone by ZIP'!$B$860:$B$910,0)),"NOT FOUND"))))</f>
        <v/>
      </c>
      <c r="AT34" s="99" t="str">
        <f>IF($A34="","",IF($AP34&lt;&gt;"","Override",IF(ISNUMBER(MATCH($AR34,'Cat Zone by ZIP'!$B$6:$B$856,0)),"ZIP-3","State default")))</f>
        <v/>
      </c>
      <c r="AU34" s="100" t="str">
        <f>IF($A34="","",IFERROR(INDEX('Natural Catastrophe'!$D$6:$D$17,MATCH($AS34,'Natural Catastrophe'!$B$6:$B$17,0)),"?"))</f>
        <v/>
      </c>
      <c r="AV34" s="100" t="str">
        <f>IF($A34="","",IFERROR(INDEX('Natural Catastrophe'!$C$21:$C$26,MATCH($AA34,'Natural Catastrophe'!$B$21:$B$26,0)),"?"))</f>
        <v/>
      </c>
      <c r="AW34" s="99" t="str">
        <f>IF($A34="","",IFERROR(INDEX('Base Rates'!$C$4:$I$4,MATCH(MAX($J34,'Technical Premium'!$C$18),'Base Rates'!$C$3:$I$3,1)),"?"))</f>
        <v/>
      </c>
      <c r="AX34" s="101" t="str">
        <f>IF($A34="","",IFERROR(INDEX('Base Rates'!$C$5:$I$16,MATCH($I34,'Base Rates'!$B$5:$B$16,0),MATCH(MAX($J34,'Technical Premium'!$C$18),'Base Rates'!$C$3:$I$3,1)),"?"))</f>
        <v/>
      </c>
      <c r="AY34" s="102" t="str">
        <f t="shared" si="1"/>
        <v/>
      </c>
      <c r="AZ34" s="99" t="str">
        <f>IF($A34="","",IFERROR(INDEX('Make Factors'!$G$5:$G$69,MATCH($F34,'Make Factors'!$B$5:$B$69,0)),"?"))</f>
        <v/>
      </c>
      <c r="BA34" s="99" t="str">
        <f>IF($A34="","",IFERROR(INDEX('Driver Factors'!$C$6:$C$15,MATCH($R34,'Driver Factors'!$B$6:$B$15,0)),"?"))</f>
        <v/>
      </c>
      <c r="BB34" s="99" t="str">
        <f>IF($A34="","",IFERROR(INDEX('Driver Factors'!$C$19:$C$24,MATCH($S34,'Driver Factors'!$B$19:$B$24,0)),"?"))</f>
        <v/>
      </c>
      <c r="BC34" s="99" t="str">
        <f>IF($A34="","",IFERROR(INDEX('Driver Factors'!$C$28:$C$36,MATCH($T34,'Driver Factors'!$B$28:$B$36,0)),"?"))</f>
        <v/>
      </c>
      <c r="BD34" s="99" t="str">
        <f>IF($A34="","",IFERROR(INDEX('Claims History'!$C$6:$C$15,MATCH($U34,'Claims History'!$B$6:$B$15,0)),"?"))</f>
        <v/>
      </c>
      <c r="BE34" s="99" t="str">
        <f>IF($A34="","",IFERROR(INDEX('Territory Factors'!$E$6:$E$56,MATCH($K34,'Territory Factors'!$B$6:$B$56,0)),"?"))</f>
        <v/>
      </c>
      <c r="BF34" s="99" t="str">
        <f>IF($A34="","",IFERROR(INDEX('City Accident Ratings'!$G$6:$G$54,MATCH($Z34,'City Accident Ratings'!$B$6:$B$54,0)),"?"))</f>
        <v/>
      </c>
      <c r="BG34" s="99" t="str">
        <f>IF($A34="","",IFERROR(INDEX('Usage and Coverage'!$D$6:$D$20,MATCH($N34,'Usage and Coverage'!$C$6:$C$20,0)),"?"))</f>
        <v/>
      </c>
      <c r="BH34" s="99" t="str">
        <f>IF($A34="","",IFERROR(INDEX('Usage and Coverage'!$C$24:$C$30,MATCH($O34,'Usage and Coverage'!$B$24:$B$30,0)),"?"))</f>
        <v/>
      </c>
      <c r="BI34" s="99" t="str">
        <f>IF($A34="","",IFERROR(INDEX('Usage and Coverage'!$C$34:$C$40,MATCH($P34,'Usage and Coverage'!$B$34:$B$40,0)),"?"))</f>
        <v/>
      </c>
      <c r="BJ34" s="99" t="str">
        <f>IF($A34="","",IFERROR(INDEX('Usage and Coverage'!$C$44:$C$49,MATCH($Q34,'Usage and Coverage'!$B$44:$B$49,0)),"?"))</f>
        <v/>
      </c>
      <c r="BK34" s="99" t="str">
        <f>IF($A34="","",IFERROR(INDEX(Deductibles!$C$6:$I$15,MATCH($W34,Deductibles!$B$6:$B$15,0),MATCH(MAX($J34,'Technical Premium'!$C$18),'Base Rates'!$C$3:$I$3,1)),"?"))</f>
        <v/>
      </c>
      <c r="BL34" s="99" t="str">
        <f>IF($A34="","",IFERROR(INDEX('Usage and Coverage'!$C$63:$C$66,MATCH($X34,'Usage and Coverage'!$B$63:$B$66,0)),"?"))</f>
        <v/>
      </c>
      <c r="BM34" s="99" t="str">
        <f>IF($A34="","",IFERROR(INDEX('Usage and Coverage'!$C$70:$C$75,MATCH($V34,'Usage and Coverage'!$B$70:$B$75,0)),"?"))</f>
        <v/>
      </c>
      <c r="BN34" s="99" t="str">
        <f>IF($A34="","",IF($AB34="",1,IFERROR(INDEX(Deductibles!$C$48:$C$51,MATCH($AB34,Deductibles!$B$48:$B$51,0)),"?")))</f>
        <v/>
      </c>
      <c r="BO34" s="99" t="str">
        <f>IF($A34="","",IF($AC34="",1,IFERROR(INDEX(Deductibles!$C$55:$C$57,MATCH($AC34,Deductibles!$B$55:$B$57,0)),"?")))</f>
        <v/>
      </c>
      <c r="BP34" s="99" t="str">
        <f>IF($A34="","",IF($AD34="",1,IFERROR(INDEX(Deductibles!$C$61:$C$63,MATCH($AD34,Deductibles!$B$61:$B$63,0)),"?")))</f>
        <v/>
      </c>
      <c r="BQ34" s="99" t="str">
        <f>IF($A34="","",IF($AE34="",1,IFERROR(INDEX(Deductibles!$C$67:$C$69,MATCH($AE34,Deductibles!$B$67:$B$69,0)),"?")))</f>
        <v/>
      </c>
      <c r="BR34" s="99" t="str">
        <f>IF($A34="","",IF($AF34="",1,IFERROR(INDEX(Deductibles!$C$73:$C$74,MATCH($AF34,Deductibles!$B$73:$B$74,0)),"?")))</f>
        <v/>
      </c>
      <c r="BS34" s="99" t="str">
        <f>IF($A34="","",IF($AG34="",1,IFERROR(INDEX('Sublimits and Parts'!$C$49:$C$52,MATCH($AG34,'Sublimits and Parts'!$B$49:$B$52,0)),"?")))</f>
        <v/>
      </c>
      <c r="BT34" s="99" t="str">
        <f>IF($A34="","",IF($AH34="",1,IFERROR(INDEX('Sublimits and Parts'!$C$56:$C$60,MATCH($AH34,'Sublimits and Parts'!$B$56:$B$60,0)),"?")))</f>
        <v/>
      </c>
      <c r="BU34" s="99" t="str">
        <f>IF($A34="","",IF($AI34="",1,IFERROR(INDEX('Sublimits and Parts'!$C$64:$C$67,MATCH($AI34,'Sublimits and Parts'!$B$64:$B$67,0)),"?")))</f>
        <v/>
      </c>
      <c r="BV34" s="99" t="str">
        <f>IF($A34="","",IF($AJ34="",1,IFERROR(INDEX('Sublimits and Parts'!$C$71:$C$74,MATCH($AJ34,'Sublimits and Parts'!$B$71:$B$74,0)),"?")))</f>
        <v/>
      </c>
      <c r="BW34" s="99" t="str">
        <f>IF($A34="","",IF($AK34="",1,IFERROR(INDEX('Sublimits and Parts'!$C$78:$C$80,MATCH($AK34,'Sublimits and Parts'!$B$78:$B$80,0)),"?")))</f>
        <v/>
      </c>
      <c r="BX34" s="99" t="str">
        <f>IF($A34="","",IF($AL34="",1,IFERROR(INDEX('Sublimits and Parts'!$C$84:$C$87,MATCH($AL34,'Sublimits and Parts'!$B$84:$B$87,0)),"?")))</f>
        <v/>
      </c>
      <c r="BY34" s="99" t="str">
        <f>IF($A34="","",IF($AM34="",1,IFERROR(INDEX('Sublimits and Parts'!$C$91:$C$94,MATCH($AM34,'Sublimits and Parts'!$B$91:$B$94,0)),"?")))</f>
        <v/>
      </c>
      <c r="BZ34" s="99" t="str">
        <f>IF($A34="","",IF($AN34="",1,IFERROR(INDEX('Sublimits and Parts'!$C$98:$C$101,MATCH($AN34,'Sublimits and Parts'!$B$98:$B$101,0)),"?")))</f>
        <v/>
      </c>
      <c r="CA34" s="99" t="str">
        <f>IF($A34="","",IF($AO34="",1,IFERROR(INDEX('Sublimits and Parts'!$C$105:$C$109,MATCH($AO34,'Sublimits and Parts'!$B$105:$B$109,0)),"?")))</f>
        <v/>
      </c>
      <c r="CB34" s="100" t="str">
        <f t="shared" si="2"/>
        <v/>
      </c>
      <c r="CC34" s="100" t="str">
        <f t="shared" si="3"/>
        <v/>
      </c>
      <c r="CD34" s="103" t="str">
        <f>IF($A34="","",IF(OR($CB34="?",$CC34="?"),"?",MIN($CB34*$CC34,'Technical Premium'!$C$17)))</f>
        <v/>
      </c>
      <c r="CE34" s="102" t="str">
        <f t="shared" si="4"/>
        <v/>
      </c>
      <c r="CF34" s="102" t="str">
        <f>IF($A34="","",IFERROR(INDEX('Territory Factors'!$F$6:$F$56,MATCH($K34,'Territory Factors'!$B$6:$B$56,0)),"?"))</f>
        <v/>
      </c>
      <c r="CG34" s="100" t="str">
        <f>IF($A34="","",IFERROR(INDEX('Usage and Coverage'!$C$79:$C$84,MATCH($Y34,'Usage and Coverage'!$B$79:$B$84,0)),"?"))</f>
        <v/>
      </c>
      <c r="CH34" s="102" t="str">
        <f>IFERROR(IF(ISNUMBER($CD34),$CF34*$CG34*MIN($BG34*$BA34*$BC34*$BD34*$BH34*$BF34,'Technical Premium'!$C$17),""),"")</f>
        <v/>
      </c>
      <c r="CI34" s="102" t="str">
        <f t="shared" si="5"/>
        <v/>
      </c>
      <c r="CJ34" s="102" t="str">
        <f>IFERROR($CI34*(1+'Technical Premium'!$C$5)*(1+'Technical Premium'!$C$6),"")</f>
        <v/>
      </c>
      <c r="CK34" s="102" t="str">
        <f>IFERROR($CE34*INDEX('Territory Factors'!$G$6:$G$56,MATCH($K34,'Territory Factors'!$B$6:$B$56,0))*$AU34*$AV34,"")</f>
        <v/>
      </c>
      <c r="CL34" s="102" t="str">
        <f>IFERROR(($CJ34+$CK34)*(1+'Technical Premium'!$C$7),"")</f>
        <v/>
      </c>
      <c r="CM34" s="104" t="str">
        <f>IFERROR($CL34/'Technical Premium'!$C$13,"")</f>
        <v/>
      </c>
      <c r="CN34" s="105" t="str">
        <f t="shared" si="6"/>
        <v/>
      </c>
      <c r="CO34" s="104" t="str">
        <f t="shared" si="7"/>
        <v/>
      </c>
      <c r="CP34" s="105" t="str">
        <f t="shared" si="8"/>
        <v/>
      </c>
      <c r="CQ34" s="106" t="str">
        <f t="shared" si="9"/>
        <v/>
      </c>
      <c r="CR34" s="102" t="str">
        <f>IF(ISNUMBER($CM34),'Technical Premium'!$C$14+IF($J34&gt;=1000000,'Technical Premium'!$C$15,0),"")</f>
        <v/>
      </c>
      <c r="CS34" s="102" t="str">
        <f>IFERROR(($CO34+$CR34)*(INDEX('Territory Factors'!$K$6:$K$56,MATCH($K34,'Territory Factors'!$B$6:$B$56,0))+'Commission Structure'!$C$21),"")</f>
        <v/>
      </c>
      <c r="CT34" s="104" t="str">
        <f t="shared" si="10"/>
        <v/>
      </c>
      <c r="CU34" s="102" t="str">
        <f>IFERROR($CO34*('Commission Structure'!$C$6+'Commission Structure'!$C$7),"")</f>
        <v/>
      </c>
      <c r="CV34" s="102" t="str">
        <f>IFERROR($CO34*'Commission Structure'!$C$5-$CU34,"")</f>
        <v/>
      </c>
      <c r="CW34" s="102" t="str">
        <f>IFERROR($CO34*(1-'Commission Structure'!$C$5),"")</f>
        <v/>
      </c>
      <c r="CX34" s="107"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8" t="str">
        <f t="shared" si="11"/>
        <v/>
      </c>
      <c r="CZ34" s="99" t="str">
        <f>IF($CY34="","",IF($CY34&lt;'Technical Premium'!$C$19,"BEYOND AUTHORITY",IF($CY34&gt;0.005,"Above technical",IF($CY34&lt;-0.005,"BELOW technical","At technical"))))</f>
        <v/>
      </c>
      <c r="DA34" s="99"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4"/>
      <c r="DC34" s="94"/>
      <c r="DD34" s="95"/>
      <c r="DE34" s="94"/>
      <c r="DF34" s="94"/>
      <c r="DG34" s="99" t="str">
        <f t="shared" si="12"/>
        <v/>
      </c>
      <c r="DH34" s="99" t="str">
        <f>IF($A34="","",IF(OR($CX34="REFER",$CX34="DECLINE"),COUNTIF($CX$5:$CX34,"REFER")+COUNTIF($CX$5:$CX34,"DECLINE"),""))</f>
        <v/>
      </c>
      <c r="DI34" s="94"/>
    </row>
    <row r="35" spans="1:113" x14ac:dyDescent="0.35">
      <c r="A35" s="94"/>
      <c r="B35" s="94"/>
      <c r="C35" s="95"/>
      <c r="D35" s="95"/>
      <c r="E35" s="96"/>
      <c r="F35" s="94"/>
      <c r="G35" s="94"/>
      <c r="H35" s="94"/>
      <c r="I35" s="94"/>
      <c r="J35" s="97"/>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8"/>
      <c r="AR35" s="99" t="str">
        <f t="shared" si="0"/>
        <v/>
      </c>
      <c r="AS35" s="99" t="str">
        <f>IF($A35="","",IF($AP35&lt;&gt;"",$AP35,IFERROR(INDEX('Cat Zone by ZIP'!$D$6:$D$856,MATCH($AR35,'Cat Zone by ZIP'!$B$6:$B$856,0)),IFERROR(INDEX('Cat Zone by ZIP'!$C$860:$C$910,MATCH($K35,'Cat Zone by ZIP'!$B$860:$B$910,0)),"NOT FOUND"))))</f>
        <v/>
      </c>
      <c r="AT35" s="99" t="str">
        <f>IF($A35="","",IF($AP35&lt;&gt;"","Override",IF(ISNUMBER(MATCH($AR35,'Cat Zone by ZIP'!$B$6:$B$856,0)),"ZIP-3","State default")))</f>
        <v/>
      </c>
      <c r="AU35" s="100" t="str">
        <f>IF($A35="","",IFERROR(INDEX('Natural Catastrophe'!$D$6:$D$17,MATCH($AS35,'Natural Catastrophe'!$B$6:$B$17,0)),"?"))</f>
        <v/>
      </c>
      <c r="AV35" s="100" t="str">
        <f>IF($A35="","",IFERROR(INDEX('Natural Catastrophe'!$C$21:$C$26,MATCH($AA35,'Natural Catastrophe'!$B$21:$B$26,0)),"?"))</f>
        <v/>
      </c>
      <c r="AW35" s="99" t="str">
        <f>IF($A35="","",IFERROR(INDEX('Base Rates'!$C$4:$I$4,MATCH(MAX($J35,'Technical Premium'!$C$18),'Base Rates'!$C$3:$I$3,1)),"?"))</f>
        <v/>
      </c>
      <c r="AX35" s="101" t="str">
        <f>IF($A35="","",IFERROR(INDEX('Base Rates'!$C$5:$I$16,MATCH($I35,'Base Rates'!$B$5:$B$16,0),MATCH(MAX($J35,'Technical Premium'!$C$18),'Base Rates'!$C$3:$I$3,1)),"?"))</f>
        <v/>
      </c>
      <c r="AY35" s="102" t="str">
        <f t="shared" si="1"/>
        <v/>
      </c>
      <c r="AZ35" s="99" t="str">
        <f>IF($A35="","",IFERROR(INDEX('Make Factors'!$G$5:$G$69,MATCH($F35,'Make Factors'!$B$5:$B$69,0)),"?"))</f>
        <v/>
      </c>
      <c r="BA35" s="99" t="str">
        <f>IF($A35="","",IFERROR(INDEX('Driver Factors'!$C$6:$C$15,MATCH($R35,'Driver Factors'!$B$6:$B$15,0)),"?"))</f>
        <v/>
      </c>
      <c r="BB35" s="99" t="str">
        <f>IF($A35="","",IFERROR(INDEX('Driver Factors'!$C$19:$C$24,MATCH($S35,'Driver Factors'!$B$19:$B$24,0)),"?"))</f>
        <v/>
      </c>
      <c r="BC35" s="99" t="str">
        <f>IF($A35="","",IFERROR(INDEX('Driver Factors'!$C$28:$C$36,MATCH($T35,'Driver Factors'!$B$28:$B$36,0)),"?"))</f>
        <v/>
      </c>
      <c r="BD35" s="99" t="str">
        <f>IF($A35="","",IFERROR(INDEX('Claims History'!$C$6:$C$15,MATCH($U35,'Claims History'!$B$6:$B$15,0)),"?"))</f>
        <v/>
      </c>
      <c r="BE35" s="99" t="str">
        <f>IF($A35="","",IFERROR(INDEX('Territory Factors'!$E$6:$E$56,MATCH($K35,'Territory Factors'!$B$6:$B$56,0)),"?"))</f>
        <v/>
      </c>
      <c r="BF35" s="99" t="str">
        <f>IF($A35="","",IFERROR(INDEX('City Accident Ratings'!$G$6:$G$54,MATCH($Z35,'City Accident Ratings'!$B$6:$B$54,0)),"?"))</f>
        <v/>
      </c>
      <c r="BG35" s="99" t="str">
        <f>IF($A35="","",IFERROR(INDEX('Usage and Coverage'!$D$6:$D$20,MATCH($N35,'Usage and Coverage'!$C$6:$C$20,0)),"?"))</f>
        <v/>
      </c>
      <c r="BH35" s="99" t="str">
        <f>IF($A35="","",IFERROR(INDEX('Usage and Coverage'!$C$24:$C$30,MATCH($O35,'Usage and Coverage'!$B$24:$B$30,0)),"?"))</f>
        <v/>
      </c>
      <c r="BI35" s="99" t="str">
        <f>IF($A35="","",IFERROR(INDEX('Usage and Coverage'!$C$34:$C$40,MATCH($P35,'Usage and Coverage'!$B$34:$B$40,0)),"?"))</f>
        <v/>
      </c>
      <c r="BJ35" s="99" t="str">
        <f>IF($A35="","",IFERROR(INDEX('Usage and Coverage'!$C$44:$C$49,MATCH($Q35,'Usage and Coverage'!$B$44:$B$49,0)),"?"))</f>
        <v/>
      </c>
      <c r="BK35" s="99" t="str">
        <f>IF($A35="","",IFERROR(INDEX(Deductibles!$C$6:$I$15,MATCH($W35,Deductibles!$B$6:$B$15,0),MATCH(MAX($J35,'Technical Premium'!$C$18),'Base Rates'!$C$3:$I$3,1)),"?"))</f>
        <v/>
      </c>
      <c r="BL35" s="99" t="str">
        <f>IF($A35="","",IFERROR(INDEX('Usage and Coverage'!$C$63:$C$66,MATCH($X35,'Usage and Coverage'!$B$63:$B$66,0)),"?"))</f>
        <v/>
      </c>
      <c r="BM35" s="99" t="str">
        <f>IF($A35="","",IFERROR(INDEX('Usage and Coverage'!$C$70:$C$75,MATCH($V35,'Usage and Coverage'!$B$70:$B$75,0)),"?"))</f>
        <v/>
      </c>
      <c r="BN35" s="99" t="str">
        <f>IF($A35="","",IF($AB35="",1,IFERROR(INDEX(Deductibles!$C$48:$C$51,MATCH($AB35,Deductibles!$B$48:$B$51,0)),"?")))</f>
        <v/>
      </c>
      <c r="BO35" s="99" t="str">
        <f>IF($A35="","",IF($AC35="",1,IFERROR(INDEX(Deductibles!$C$55:$C$57,MATCH($AC35,Deductibles!$B$55:$B$57,0)),"?")))</f>
        <v/>
      </c>
      <c r="BP35" s="99" t="str">
        <f>IF($A35="","",IF($AD35="",1,IFERROR(INDEX(Deductibles!$C$61:$C$63,MATCH($AD35,Deductibles!$B$61:$B$63,0)),"?")))</f>
        <v/>
      </c>
      <c r="BQ35" s="99" t="str">
        <f>IF($A35="","",IF($AE35="",1,IFERROR(INDEX(Deductibles!$C$67:$C$69,MATCH($AE35,Deductibles!$B$67:$B$69,0)),"?")))</f>
        <v/>
      </c>
      <c r="BR35" s="99" t="str">
        <f>IF($A35="","",IF($AF35="",1,IFERROR(INDEX(Deductibles!$C$73:$C$74,MATCH($AF35,Deductibles!$B$73:$B$74,0)),"?")))</f>
        <v/>
      </c>
      <c r="BS35" s="99" t="str">
        <f>IF($A35="","",IF($AG35="",1,IFERROR(INDEX('Sublimits and Parts'!$C$49:$C$52,MATCH($AG35,'Sublimits and Parts'!$B$49:$B$52,0)),"?")))</f>
        <v/>
      </c>
      <c r="BT35" s="99" t="str">
        <f>IF($A35="","",IF($AH35="",1,IFERROR(INDEX('Sublimits and Parts'!$C$56:$C$60,MATCH($AH35,'Sublimits and Parts'!$B$56:$B$60,0)),"?")))</f>
        <v/>
      </c>
      <c r="BU35" s="99" t="str">
        <f>IF($A35="","",IF($AI35="",1,IFERROR(INDEX('Sublimits and Parts'!$C$64:$C$67,MATCH($AI35,'Sublimits and Parts'!$B$64:$B$67,0)),"?")))</f>
        <v/>
      </c>
      <c r="BV35" s="99" t="str">
        <f>IF($A35="","",IF($AJ35="",1,IFERROR(INDEX('Sublimits and Parts'!$C$71:$C$74,MATCH($AJ35,'Sublimits and Parts'!$B$71:$B$74,0)),"?")))</f>
        <v/>
      </c>
      <c r="BW35" s="99" t="str">
        <f>IF($A35="","",IF($AK35="",1,IFERROR(INDEX('Sublimits and Parts'!$C$78:$C$80,MATCH($AK35,'Sublimits and Parts'!$B$78:$B$80,0)),"?")))</f>
        <v/>
      </c>
      <c r="BX35" s="99" t="str">
        <f>IF($A35="","",IF($AL35="",1,IFERROR(INDEX('Sublimits and Parts'!$C$84:$C$87,MATCH($AL35,'Sublimits and Parts'!$B$84:$B$87,0)),"?")))</f>
        <v/>
      </c>
      <c r="BY35" s="99" t="str">
        <f>IF($A35="","",IF($AM35="",1,IFERROR(INDEX('Sublimits and Parts'!$C$91:$C$94,MATCH($AM35,'Sublimits and Parts'!$B$91:$B$94,0)),"?")))</f>
        <v/>
      </c>
      <c r="BZ35" s="99" t="str">
        <f>IF($A35="","",IF($AN35="",1,IFERROR(INDEX('Sublimits and Parts'!$C$98:$C$101,MATCH($AN35,'Sublimits and Parts'!$B$98:$B$101,0)),"?")))</f>
        <v/>
      </c>
      <c r="CA35" s="99" t="str">
        <f>IF($A35="","",IF($AO35="",1,IFERROR(INDEX('Sublimits and Parts'!$C$105:$C$109,MATCH($AO35,'Sublimits and Parts'!$B$105:$B$109,0)),"?")))</f>
        <v/>
      </c>
      <c r="CB35" s="100" t="str">
        <f t="shared" si="2"/>
        <v/>
      </c>
      <c r="CC35" s="100" t="str">
        <f t="shared" si="3"/>
        <v/>
      </c>
      <c r="CD35" s="103" t="str">
        <f>IF($A35="","",IF(OR($CB35="?",$CC35="?"),"?",MIN($CB35*$CC35,'Technical Premium'!$C$17)))</f>
        <v/>
      </c>
      <c r="CE35" s="102" t="str">
        <f t="shared" si="4"/>
        <v/>
      </c>
      <c r="CF35" s="102" t="str">
        <f>IF($A35="","",IFERROR(INDEX('Territory Factors'!$F$6:$F$56,MATCH($K35,'Territory Factors'!$B$6:$B$56,0)),"?"))</f>
        <v/>
      </c>
      <c r="CG35" s="100" t="str">
        <f>IF($A35="","",IFERROR(INDEX('Usage and Coverage'!$C$79:$C$84,MATCH($Y35,'Usage and Coverage'!$B$79:$B$84,0)),"?"))</f>
        <v/>
      </c>
      <c r="CH35" s="102" t="str">
        <f>IFERROR(IF(ISNUMBER($CD35),$CF35*$CG35*MIN($BG35*$BA35*$BC35*$BD35*$BH35*$BF35,'Technical Premium'!$C$17),""),"")</f>
        <v/>
      </c>
      <c r="CI35" s="102" t="str">
        <f t="shared" si="5"/>
        <v/>
      </c>
      <c r="CJ35" s="102" t="str">
        <f>IFERROR($CI35*(1+'Technical Premium'!$C$5)*(1+'Technical Premium'!$C$6),"")</f>
        <v/>
      </c>
      <c r="CK35" s="102" t="str">
        <f>IFERROR($CE35*INDEX('Territory Factors'!$G$6:$G$56,MATCH($K35,'Territory Factors'!$B$6:$B$56,0))*$AU35*$AV35,"")</f>
        <v/>
      </c>
      <c r="CL35" s="102" t="str">
        <f>IFERROR(($CJ35+$CK35)*(1+'Technical Premium'!$C$7),"")</f>
        <v/>
      </c>
      <c r="CM35" s="104" t="str">
        <f>IFERROR($CL35/'Technical Premium'!$C$13,"")</f>
        <v/>
      </c>
      <c r="CN35" s="105" t="str">
        <f t="shared" si="6"/>
        <v/>
      </c>
      <c r="CO35" s="104" t="str">
        <f t="shared" si="7"/>
        <v/>
      </c>
      <c r="CP35" s="105" t="str">
        <f t="shared" si="8"/>
        <v/>
      </c>
      <c r="CQ35" s="106" t="str">
        <f t="shared" si="9"/>
        <v/>
      </c>
      <c r="CR35" s="102" t="str">
        <f>IF(ISNUMBER($CM35),'Technical Premium'!$C$14+IF($J35&gt;=1000000,'Technical Premium'!$C$15,0),"")</f>
        <v/>
      </c>
      <c r="CS35" s="102" t="str">
        <f>IFERROR(($CO35+$CR35)*(INDEX('Territory Factors'!$K$6:$K$56,MATCH($K35,'Territory Factors'!$B$6:$B$56,0))+'Commission Structure'!$C$21),"")</f>
        <v/>
      </c>
      <c r="CT35" s="104" t="str">
        <f t="shared" si="10"/>
        <v/>
      </c>
      <c r="CU35" s="102" t="str">
        <f>IFERROR($CO35*('Commission Structure'!$C$6+'Commission Structure'!$C$7),"")</f>
        <v/>
      </c>
      <c r="CV35" s="102" t="str">
        <f>IFERROR($CO35*'Commission Structure'!$C$5-$CU35,"")</f>
        <v/>
      </c>
      <c r="CW35" s="102" t="str">
        <f>IFERROR($CO35*(1-'Commission Structure'!$C$5),"")</f>
        <v/>
      </c>
      <c r="CX35" s="107"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8" t="str">
        <f t="shared" si="11"/>
        <v/>
      </c>
      <c r="CZ35" s="99" t="str">
        <f>IF($CY35="","",IF($CY35&lt;'Technical Premium'!$C$19,"BEYOND AUTHORITY",IF($CY35&gt;0.005,"Above technical",IF($CY35&lt;-0.005,"BELOW technical","At technical"))))</f>
        <v/>
      </c>
      <c r="DA35" s="99"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4"/>
      <c r="DC35" s="94"/>
      <c r="DD35" s="95"/>
      <c r="DE35" s="94"/>
      <c r="DF35" s="94"/>
      <c r="DG35" s="99" t="str">
        <f t="shared" si="12"/>
        <v/>
      </c>
      <c r="DH35" s="99" t="str">
        <f>IF($A35="","",IF(OR($CX35="REFER",$CX35="DECLINE"),COUNTIF($CX$5:$CX35,"REFER")+COUNTIF($CX$5:$CX35,"DECLINE"),""))</f>
        <v/>
      </c>
      <c r="DI35" s="94"/>
    </row>
    <row r="36" spans="1:113" x14ac:dyDescent="0.35">
      <c r="A36" s="94"/>
      <c r="B36" s="94"/>
      <c r="C36" s="95"/>
      <c r="D36" s="95"/>
      <c r="E36" s="96"/>
      <c r="F36" s="94"/>
      <c r="G36" s="94"/>
      <c r="H36" s="94"/>
      <c r="I36" s="94"/>
      <c r="J36" s="97"/>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8"/>
      <c r="AR36" s="99" t="str">
        <f t="shared" si="0"/>
        <v/>
      </c>
      <c r="AS36" s="99" t="str">
        <f>IF($A36="","",IF($AP36&lt;&gt;"",$AP36,IFERROR(INDEX('Cat Zone by ZIP'!$D$6:$D$856,MATCH($AR36,'Cat Zone by ZIP'!$B$6:$B$856,0)),IFERROR(INDEX('Cat Zone by ZIP'!$C$860:$C$910,MATCH($K36,'Cat Zone by ZIP'!$B$860:$B$910,0)),"NOT FOUND"))))</f>
        <v/>
      </c>
      <c r="AT36" s="99" t="str">
        <f>IF($A36="","",IF($AP36&lt;&gt;"","Override",IF(ISNUMBER(MATCH($AR36,'Cat Zone by ZIP'!$B$6:$B$856,0)),"ZIP-3","State default")))</f>
        <v/>
      </c>
      <c r="AU36" s="100" t="str">
        <f>IF($A36="","",IFERROR(INDEX('Natural Catastrophe'!$D$6:$D$17,MATCH($AS36,'Natural Catastrophe'!$B$6:$B$17,0)),"?"))</f>
        <v/>
      </c>
      <c r="AV36" s="100" t="str">
        <f>IF($A36="","",IFERROR(INDEX('Natural Catastrophe'!$C$21:$C$26,MATCH($AA36,'Natural Catastrophe'!$B$21:$B$26,0)),"?"))</f>
        <v/>
      </c>
      <c r="AW36" s="99" t="str">
        <f>IF($A36="","",IFERROR(INDEX('Base Rates'!$C$4:$I$4,MATCH(MAX($J36,'Technical Premium'!$C$18),'Base Rates'!$C$3:$I$3,1)),"?"))</f>
        <v/>
      </c>
      <c r="AX36" s="101" t="str">
        <f>IF($A36="","",IFERROR(INDEX('Base Rates'!$C$5:$I$16,MATCH($I36,'Base Rates'!$B$5:$B$16,0),MATCH(MAX($J36,'Technical Premium'!$C$18),'Base Rates'!$C$3:$I$3,1)),"?"))</f>
        <v/>
      </c>
      <c r="AY36" s="102" t="str">
        <f t="shared" si="1"/>
        <v/>
      </c>
      <c r="AZ36" s="99" t="str">
        <f>IF($A36="","",IFERROR(INDEX('Make Factors'!$G$5:$G$69,MATCH($F36,'Make Factors'!$B$5:$B$69,0)),"?"))</f>
        <v/>
      </c>
      <c r="BA36" s="99" t="str">
        <f>IF($A36="","",IFERROR(INDEX('Driver Factors'!$C$6:$C$15,MATCH($R36,'Driver Factors'!$B$6:$B$15,0)),"?"))</f>
        <v/>
      </c>
      <c r="BB36" s="99" t="str">
        <f>IF($A36="","",IFERROR(INDEX('Driver Factors'!$C$19:$C$24,MATCH($S36,'Driver Factors'!$B$19:$B$24,0)),"?"))</f>
        <v/>
      </c>
      <c r="BC36" s="99" t="str">
        <f>IF($A36="","",IFERROR(INDEX('Driver Factors'!$C$28:$C$36,MATCH($T36,'Driver Factors'!$B$28:$B$36,0)),"?"))</f>
        <v/>
      </c>
      <c r="BD36" s="99" t="str">
        <f>IF($A36="","",IFERROR(INDEX('Claims History'!$C$6:$C$15,MATCH($U36,'Claims History'!$B$6:$B$15,0)),"?"))</f>
        <v/>
      </c>
      <c r="BE36" s="99" t="str">
        <f>IF($A36="","",IFERROR(INDEX('Territory Factors'!$E$6:$E$56,MATCH($K36,'Territory Factors'!$B$6:$B$56,0)),"?"))</f>
        <v/>
      </c>
      <c r="BF36" s="99" t="str">
        <f>IF($A36="","",IFERROR(INDEX('City Accident Ratings'!$G$6:$G$54,MATCH($Z36,'City Accident Ratings'!$B$6:$B$54,0)),"?"))</f>
        <v/>
      </c>
      <c r="BG36" s="99" t="str">
        <f>IF($A36="","",IFERROR(INDEX('Usage and Coverage'!$D$6:$D$20,MATCH($N36,'Usage and Coverage'!$C$6:$C$20,0)),"?"))</f>
        <v/>
      </c>
      <c r="BH36" s="99" t="str">
        <f>IF($A36="","",IFERROR(INDEX('Usage and Coverage'!$C$24:$C$30,MATCH($O36,'Usage and Coverage'!$B$24:$B$30,0)),"?"))</f>
        <v/>
      </c>
      <c r="BI36" s="99" t="str">
        <f>IF($A36="","",IFERROR(INDEX('Usage and Coverage'!$C$34:$C$40,MATCH($P36,'Usage and Coverage'!$B$34:$B$40,0)),"?"))</f>
        <v/>
      </c>
      <c r="BJ36" s="99" t="str">
        <f>IF($A36="","",IFERROR(INDEX('Usage and Coverage'!$C$44:$C$49,MATCH($Q36,'Usage and Coverage'!$B$44:$B$49,0)),"?"))</f>
        <v/>
      </c>
      <c r="BK36" s="99" t="str">
        <f>IF($A36="","",IFERROR(INDEX(Deductibles!$C$6:$I$15,MATCH($W36,Deductibles!$B$6:$B$15,0),MATCH(MAX($J36,'Technical Premium'!$C$18),'Base Rates'!$C$3:$I$3,1)),"?"))</f>
        <v/>
      </c>
      <c r="BL36" s="99" t="str">
        <f>IF($A36="","",IFERROR(INDEX('Usage and Coverage'!$C$63:$C$66,MATCH($X36,'Usage and Coverage'!$B$63:$B$66,0)),"?"))</f>
        <v/>
      </c>
      <c r="BM36" s="99" t="str">
        <f>IF($A36="","",IFERROR(INDEX('Usage and Coverage'!$C$70:$C$75,MATCH($V36,'Usage and Coverage'!$B$70:$B$75,0)),"?"))</f>
        <v/>
      </c>
      <c r="BN36" s="99" t="str">
        <f>IF($A36="","",IF($AB36="",1,IFERROR(INDEX(Deductibles!$C$48:$C$51,MATCH($AB36,Deductibles!$B$48:$B$51,0)),"?")))</f>
        <v/>
      </c>
      <c r="BO36" s="99" t="str">
        <f>IF($A36="","",IF($AC36="",1,IFERROR(INDEX(Deductibles!$C$55:$C$57,MATCH($AC36,Deductibles!$B$55:$B$57,0)),"?")))</f>
        <v/>
      </c>
      <c r="BP36" s="99" t="str">
        <f>IF($A36="","",IF($AD36="",1,IFERROR(INDEX(Deductibles!$C$61:$C$63,MATCH($AD36,Deductibles!$B$61:$B$63,0)),"?")))</f>
        <v/>
      </c>
      <c r="BQ36" s="99" t="str">
        <f>IF($A36="","",IF($AE36="",1,IFERROR(INDEX(Deductibles!$C$67:$C$69,MATCH($AE36,Deductibles!$B$67:$B$69,0)),"?")))</f>
        <v/>
      </c>
      <c r="BR36" s="99" t="str">
        <f>IF($A36="","",IF($AF36="",1,IFERROR(INDEX(Deductibles!$C$73:$C$74,MATCH($AF36,Deductibles!$B$73:$B$74,0)),"?")))</f>
        <v/>
      </c>
      <c r="BS36" s="99" t="str">
        <f>IF($A36="","",IF($AG36="",1,IFERROR(INDEX('Sublimits and Parts'!$C$49:$C$52,MATCH($AG36,'Sublimits and Parts'!$B$49:$B$52,0)),"?")))</f>
        <v/>
      </c>
      <c r="BT36" s="99" t="str">
        <f>IF($A36="","",IF($AH36="",1,IFERROR(INDEX('Sublimits and Parts'!$C$56:$C$60,MATCH($AH36,'Sublimits and Parts'!$B$56:$B$60,0)),"?")))</f>
        <v/>
      </c>
      <c r="BU36" s="99" t="str">
        <f>IF($A36="","",IF($AI36="",1,IFERROR(INDEX('Sublimits and Parts'!$C$64:$C$67,MATCH($AI36,'Sublimits and Parts'!$B$64:$B$67,0)),"?")))</f>
        <v/>
      </c>
      <c r="BV36" s="99" t="str">
        <f>IF($A36="","",IF($AJ36="",1,IFERROR(INDEX('Sublimits and Parts'!$C$71:$C$74,MATCH($AJ36,'Sublimits and Parts'!$B$71:$B$74,0)),"?")))</f>
        <v/>
      </c>
      <c r="BW36" s="99" t="str">
        <f>IF($A36="","",IF($AK36="",1,IFERROR(INDEX('Sublimits and Parts'!$C$78:$C$80,MATCH($AK36,'Sublimits and Parts'!$B$78:$B$80,0)),"?")))</f>
        <v/>
      </c>
      <c r="BX36" s="99" t="str">
        <f>IF($A36="","",IF($AL36="",1,IFERROR(INDEX('Sublimits and Parts'!$C$84:$C$87,MATCH($AL36,'Sublimits and Parts'!$B$84:$B$87,0)),"?")))</f>
        <v/>
      </c>
      <c r="BY36" s="99" t="str">
        <f>IF($A36="","",IF($AM36="",1,IFERROR(INDEX('Sublimits and Parts'!$C$91:$C$94,MATCH($AM36,'Sublimits and Parts'!$B$91:$B$94,0)),"?")))</f>
        <v/>
      </c>
      <c r="BZ36" s="99" t="str">
        <f>IF($A36="","",IF($AN36="",1,IFERROR(INDEX('Sublimits and Parts'!$C$98:$C$101,MATCH($AN36,'Sublimits and Parts'!$B$98:$B$101,0)),"?")))</f>
        <v/>
      </c>
      <c r="CA36" s="99" t="str">
        <f>IF($A36="","",IF($AO36="",1,IFERROR(INDEX('Sublimits and Parts'!$C$105:$C$109,MATCH($AO36,'Sublimits and Parts'!$B$105:$B$109,0)),"?")))</f>
        <v/>
      </c>
      <c r="CB36" s="100" t="str">
        <f t="shared" si="2"/>
        <v/>
      </c>
      <c r="CC36" s="100" t="str">
        <f t="shared" si="3"/>
        <v/>
      </c>
      <c r="CD36" s="103" t="str">
        <f>IF($A36="","",IF(OR($CB36="?",$CC36="?"),"?",MIN($CB36*$CC36,'Technical Premium'!$C$17)))</f>
        <v/>
      </c>
      <c r="CE36" s="102" t="str">
        <f t="shared" si="4"/>
        <v/>
      </c>
      <c r="CF36" s="102" t="str">
        <f>IF($A36="","",IFERROR(INDEX('Territory Factors'!$F$6:$F$56,MATCH($K36,'Territory Factors'!$B$6:$B$56,0)),"?"))</f>
        <v/>
      </c>
      <c r="CG36" s="100" t="str">
        <f>IF($A36="","",IFERROR(INDEX('Usage and Coverage'!$C$79:$C$84,MATCH($Y36,'Usage and Coverage'!$B$79:$B$84,0)),"?"))</f>
        <v/>
      </c>
      <c r="CH36" s="102" t="str">
        <f>IFERROR(IF(ISNUMBER($CD36),$CF36*$CG36*MIN($BG36*$BA36*$BC36*$BD36*$BH36*$BF36,'Technical Premium'!$C$17),""),"")</f>
        <v/>
      </c>
      <c r="CI36" s="102" t="str">
        <f t="shared" si="5"/>
        <v/>
      </c>
      <c r="CJ36" s="102" t="str">
        <f>IFERROR($CI36*(1+'Technical Premium'!$C$5)*(1+'Technical Premium'!$C$6),"")</f>
        <v/>
      </c>
      <c r="CK36" s="102" t="str">
        <f>IFERROR($CE36*INDEX('Territory Factors'!$G$6:$G$56,MATCH($K36,'Territory Factors'!$B$6:$B$56,0))*$AU36*$AV36,"")</f>
        <v/>
      </c>
      <c r="CL36" s="102" t="str">
        <f>IFERROR(($CJ36+$CK36)*(1+'Technical Premium'!$C$7),"")</f>
        <v/>
      </c>
      <c r="CM36" s="104" t="str">
        <f>IFERROR($CL36/'Technical Premium'!$C$13,"")</f>
        <v/>
      </c>
      <c r="CN36" s="105" t="str">
        <f t="shared" si="6"/>
        <v/>
      </c>
      <c r="CO36" s="104" t="str">
        <f t="shared" si="7"/>
        <v/>
      </c>
      <c r="CP36" s="105" t="str">
        <f t="shared" si="8"/>
        <v/>
      </c>
      <c r="CQ36" s="106" t="str">
        <f t="shared" si="9"/>
        <v/>
      </c>
      <c r="CR36" s="102" t="str">
        <f>IF(ISNUMBER($CM36),'Technical Premium'!$C$14+IF($J36&gt;=1000000,'Technical Premium'!$C$15,0),"")</f>
        <v/>
      </c>
      <c r="CS36" s="102" t="str">
        <f>IFERROR(($CO36+$CR36)*(INDEX('Territory Factors'!$K$6:$K$56,MATCH($K36,'Territory Factors'!$B$6:$B$56,0))+'Commission Structure'!$C$21),"")</f>
        <v/>
      </c>
      <c r="CT36" s="104" t="str">
        <f t="shared" si="10"/>
        <v/>
      </c>
      <c r="CU36" s="102" t="str">
        <f>IFERROR($CO36*('Commission Structure'!$C$6+'Commission Structure'!$C$7),"")</f>
        <v/>
      </c>
      <c r="CV36" s="102" t="str">
        <f>IFERROR($CO36*'Commission Structure'!$C$5-$CU36,"")</f>
        <v/>
      </c>
      <c r="CW36" s="102" t="str">
        <f>IFERROR($CO36*(1-'Commission Structure'!$C$5),"")</f>
        <v/>
      </c>
      <c r="CX36" s="107"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8" t="str">
        <f t="shared" si="11"/>
        <v/>
      </c>
      <c r="CZ36" s="99" t="str">
        <f>IF($CY36="","",IF($CY36&lt;'Technical Premium'!$C$19,"BEYOND AUTHORITY",IF($CY36&gt;0.005,"Above technical",IF($CY36&lt;-0.005,"BELOW technical","At technical"))))</f>
        <v/>
      </c>
      <c r="DA36" s="99"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4"/>
      <c r="DC36" s="94"/>
      <c r="DD36" s="95"/>
      <c r="DE36" s="94"/>
      <c r="DF36" s="94"/>
      <c r="DG36" s="99" t="str">
        <f t="shared" si="12"/>
        <v/>
      </c>
      <c r="DH36" s="99" t="str">
        <f>IF($A36="","",IF(OR($CX36="REFER",$CX36="DECLINE"),COUNTIF($CX$5:$CX36,"REFER")+COUNTIF($CX$5:$CX36,"DECLINE"),""))</f>
        <v/>
      </c>
      <c r="DI36" s="94"/>
    </row>
    <row r="37" spans="1:113" x14ac:dyDescent="0.35">
      <c r="A37" s="94"/>
      <c r="B37" s="94"/>
      <c r="C37" s="95"/>
      <c r="D37" s="95"/>
      <c r="E37" s="96"/>
      <c r="F37" s="94"/>
      <c r="G37" s="94"/>
      <c r="H37" s="94"/>
      <c r="I37" s="94"/>
      <c r="J37" s="97"/>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8"/>
      <c r="AR37" s="99" t="str">
        <f t="shared" si="0"/>
        <v/>
      </c>
      <c r="AS37" s="99" t="str">
        <f>IF($A37="","",IF($AP37&lt;&gt;"",$AP37,IFERROR(INDEX('Cat Zone by ZIP'!$D$6:$D$856,MATCH($AR37,'Cat Zone by ZIP'!$B$6:$B$856,0)),IFERROR(INDEX('Cat Zone by ZIP'!$C$860:$C$910,MATCH($K37,'Cat Zone by ZIP'!$B$860:$B$910,0)),"NOT FOUND"))))</f>
        <v/>
      </c>
      <c r="AT37" s="99" t="str">
        <f>IF($A37="","",IF($AP37&lt;&gt;"","Override",IF(ISNUMBER(MATCH($AR37,'Cat Zone by ZIP'!$B$6:$B$856,0)),"ZIP-3","State default")))</f>
        <v/>
      </c>
      <c r="AU37" s="100" t="str">
        <f>IF($A37="","",IFERROR(INDEX('Natural Catastrophe'!$D$6:$D$17,MATCH($AS37,'Natural Catastrophe'!$B$6:$B$17,0)),"?"))</f>
        <v/>
      </c>
      <c r="AV37" s="100" t="str">
        <f>IF($A37="","",IFERROR(INDEX('Natural Catastrophe'!$C$21:$C$26,MATCH($AA37,'Natural Catastrophe'!$B$21:$B$26,0)),"?"))</f>
        <v/>
      </c>
      <c r="AW37" s="99" t="str">
        <f>IF($A37="","",IFERROR(INDEX('Base Rates'!$C$4:$I$4,MATCH(MAX($J37,'Technical Premium'!$C$18),'Base Rates'!$C$3:$I$3,1)),"?"))</f>
        <v/>
      </c>
      <c r="AX37" s="101" t="str">
        <f>IF($A37="","",IFERROR(INDEX('Base Rates'!$C$5:$I$16,MATCH($I37,'Base Rates'!$B$5:$B$16,0),MATCH(MAX($J37,'Technical Premium'!$C$18),'Base Rates'!$C$3:$I$3,1)),"?"))</f>
        <v/>
      </c>
      <c r="AY37" s="102" t="str">
        <f t="shared" si="1"/>
        <v/>
      </c>
      <c r="AZ37" s="99" t="str">
        <f>IF($A37="","",IFERROR(INDEX('Make Factors'!$G$5:$G$69,MATCH($F37,'Make Factors'!$B$5:$B$69,0)),"?"))</f>
        <v/>
      </c>
      <c r="BA37" s="99" t="str">
        <f>IF($A37="","",IFERROR(INDEX('Driver Factors'!$C$6:$C$15,MATCH($R37,'Driver Factors'!$B$6:$B$15,0)),"?"))</f>
        <v/>
      </c>
      <c r="BB37" s="99" t="str">
        <f>IF($A37="","",IFERROR(INDEX('Driver Factors'!$C$19:$C$24,MATCH($S37,'Driver Factors'!$B$19:$B$24,0)),"?"))</f>
        <v/>
      </c>
      <c r="BC37" s="99" t="str">
        <f>IF($A37="","",IFERROR(INDEX('Driver Factors'!$C$28:$C$36,MATCH($T37,'Driver Factors'!$B$28:$B$36,0)),"?"))</f>
        <v/>
      </c>
      <c r="BD37" s="99" t="str">
        <f>IF($A37="","",IFERROR(INDEX('Claims History'!$C$6:$C$15,MATCH($U37,'Claims History'!$B$6:$B$15,0)),"?"))</f>
        <v/>
      </c>
      <c r="BE37" s="99" t="str">
        <f>IF($A37="","",IFERROR(INDEX('Territory Factors'!$E$6:$E$56,MATCH($K37,'Territory Factors'!$B$6:$B$56,0)),"?"))</f>
        <v/>
      </c>
      <c r="BF37" s="99" t="str">
        <f>IF($A37="","",IFERROR(INDEX('City Accident Ratings'!$G$6:$G$54,MATCH($Z37,'City Accident Ratings'!$B$6:$B$54,0)),"?"))</f>
        <v/>
      </c>
      <c r="BG37" s="99" t="str">
        <f>IF($A37="","",IFERROR(INDEX('Usage and Coverage'!$D$6:$D$20,MATCH($N37,'Usage and Coverage'!$C$6:$C$20,0)),"?"))</f>
        <v/>
      </c>
      <c r="BH37" s="99" t="str">
        <f>IF($A37="","",IFERROR(INDEX('Usage and Coverage'!$C$24:$C$30,MATCH($O37,'Usage and Coverage'!$B$24:$B$30,0)),"?"))</f>
        <v/>
      </c>
      <c r="BI37" s="99" t="str">
        <f>IF($A37="","",IFERROR(INDEX('Usage and Coverage'!$C$34:$C$40,MATCH($P37,'Usage and Coverage'!$B$34:$B$40,0)),"?"))</f>
        <v/>
      </c>
      <c r="BJ37" s="99" t="str">
        <f>IF($A37="","",IFERROR(INDEX('Usage and Coverage'!$C$44:$C$49,MATCH($Q37,'Usage and Coverage'!$B$44:$B$49,0)),"?"))</f>
        <v/>
      </c>
      <c r="BK37" s="99" t="str">
        <f>IF($A37="","",IFERROR(INDEX(Deductibles!$C$6:$I$15,MATCH($W37,Deductibles!$B$6:$B$15,0),MATCH(MAX($J37,'Technical Premium'!$C$18),'Base Rates'!$C$3:$I$3,1)),"?"))</f>
        <v/>
      </c>
      <c r="BL37" s="99" t="str">
        <f>IF($A37="","",IFERROR(INDEX('Usage and Coverage'!$C$63:$C$66,MATCH($X37,'Usage and Coverage'!$B$63:$B$66,0)),"?"))</f>
        <v/>
      </c>
      <c r="BM37" s="99" t="str">
        <f>IF($A37="","",IFERROR(INDEX('Usage and Coverage'!$C$70:$C$75,MATCH($V37,'Usage and Coverage'!$B$70:$B$75,0)),"?"))</f>
        <v/>
      </c>
      <c r="BN37" s="99" t="str">
        <f>IF($A37="","",IF($AB37="",1,IFERROR(INDEX(Deductibles!$C$48:$C$51,MATCH($AB37,Deductibles!$B$48:$B$51,0)),"?")))</f>
        <v/>
      </c>
      <c r="BO37" s="99" t="str">
        <f>IF($A37="","",IF($AC37="",1,IFERROR(INDEX(Deductibles!$C$55:$C$57,MATCH($AC37,Deductibles!$B$55:$B$57,0)),"?")))</f>
        <v/>
      </c>
      <c r="BP37" s="99" t="str">
        <f>IF($A37="","",IF($AD37="",1,IFERROR(INDEX(Deductibles!$C$61:$C$63,MATCH($AD37,Deductibles!$B$61:$B$63,0)),"?")))</f>
        <v/>
      </c>
      <c r="BQ37" s="99" t="str">
        <f>IF($A37="","",IF($AE37="",1,IFERROR(INDEX(Deductibles!$C$67:$C$69,MATCH($AE37,Deductibles!$B$67:$B$69,0)),"?")))</f>
        <v/>
      </c>
      <c r="BR37" s="99" t="str">
        <f>IF($A37="","",IF($AF37="",1,IFERROR(INDEX(Deductibles!$C$73:$C$74,MATCH($AF37,Deductibles!$B$73:$B$74,0)),"?")))</f>
        <v/>
      </c>
      <c r="BS37" s="99" t="str">
        <f>IF($A37="","",IF($AG37="",1,IFERROR(INDEX('Sublimits and Parts'!$C$49:$C$52,MATCH($AG37,'Sublimits and Parts'!$B$49:$B$52,0)),"?")))</f>
        <v/>
      </c>
      <c r="BT37" s="99" t="str">
        <f>IF($A37="","",IF($AH37="",1,IFERROR(INDEX('Sublimits and Parts'!$C$56:$C$60,MATCH($AH37,'Sublimits and Parts'!$B$56:$B$60,0)),"?")))</f>
        <v/>
      </c>
      <c r="BU37" s="99" t="str">
        <f>IF($A37="","",IF($AI37="",1,IFERROR(INDEX('Sublimits and Parts'!$C$64:$C$67,MATCH($AI37,'Sublimits and Parts'!$B$64:$B$67,0)),"?")))</f>
        <v/>
      </c>
      <c r="BV37" s="99" t="str">
        <f>IF($A37="","",IF($AJ37="",1,IFERROR(INDEX('Sublimits and Parts'!$C$71:$C$74,MATCH($AJ37,'Sublimits and Parts'!$B$71:$B$74,0)),"?")))</f>
        <v/>
      </c>
      <c r="BW37" s="99" t="str">
        <f>IF($A37="","",IF($AK37="",1,IFERROR(INDEX('Sublimits and Parts'!$C$78:$C$80,MATCH($AK37,'Sublimits and Parts'!$B$78:$B$80,0)),"?")))</f>
        <v/>
      </c>
      <c r="BX37" s="99" t="str">
        <f>IF($A37="","",IF($AL37="",1,IFERROR(INDEX('Sublimits and Parts'!$C$84:$C$87,MATCH($AL37,'Sublimits and Parts'!$B$84:$B$87,0)),"?")))</f>
        <v/>
      </c>
      <c r="BY37" s="99" t="str">
        <f>IF($A37="","",IF($AM37="",1,IFERROR(INDEX('Sublimits and Parts'!$C$91:$C$94,MATCH($AM37,'Sublimits and Parts'!$B$91:$B$94,0)),"?")))</f>
        <v/>
      </c>
      <c r="BZ37" s="99" t="str">
        <f>IF($A37="","",IF($AN37="",1,IFERROR(INDEX('Sublimits and Parts'!$C$98:$C$101,MATCH($AN37,'Sublimits and Parts'!$B$98:$B$101,0)),"?")))</f>
        <v/>
      </c>
      <c r="CA37" s="99" t="str">
        <f>IF($A37="","",IF($AO37="",1,IFERROR(INDEX('Sublimits and Parts'!$C$105:$C$109,MATCH($AO37,'Sublimits and Parts'!$B$105:$B$109,0)),"?")))</f>
        <v/>
      </c>
      <c r="CB37" s="100" t="str">
        <f t="shared" si="2"/>
        <v/>
      </c>
      <c r="CC37" s="100" t="str">
        <f t="shared" si="3"/>
        <v/>
      </c>
      <c r="CD37" s="103" t="str">
        <f>IF($A37="","",IF(OR($CB37="?",$CC37="?"),"?",MIN($CB37*$CC37,'Technical Premium'!$C$17)))</f>
        <v/>
      </c>
      <c r="CE37" s="102" t="str">
        <f t="shared" si="4"/>
        <v/>
      </c>
      <c r="CF37" s="102" t="str">
        <f>IF($A37="","",IFERROR(INDEX('Territory Factors'!$F$6:$F$56,MATCH($K37,'Territory Factors'!$B$6:$B$56,0)),"?"))</f>
        <v/>
      </c>
      <c r="CG37" s="100" t="str">
        <f>IF($A37="","",IFERROR(INDEX('Usage and Coverage'!$C$79:$C$84,MATCH($Y37,'Usage and Coverage'!$B$79:$B$84,0)),"?"))</f>
        <v/>
      </c>
      <c r="CH37" s="102" t="str">
        <f>IFERROR(IF(ISNUMBER($CD37),$CF37*$CG37*MIN($BG37*$BA37*$BC37*$BD37*$BH37*$BF37,'Technical Premium'!$C$17),""),"")</f>
        <v/>
      </c>
      <c r="CI37" s="102" t="str">
        <f t="shared" si="5"/>
        <v/>
      </c>
      <c r="CJ37" s="102" t="str">
        <f>IFERROR($CI37*(1+'Technical Premium'!$C$5)*(1+'Technical Premium'!$C$6),"")</f>
        <v/>
      </c>
      <c r="CK37" s="102" t="str">
        <f>IFERROR($CE37*INDEX('Territory Factors'!$G$6:$G$56,MATCH($K37,'Territory Factors'!$B$6:$B$56,0))*$AU37*$AV37,"")</f>
        <v/>
      </c>
      <c r="CL37" s="102" t="str">
        <f>IFERROR(($CJ37+$CK37)*(1+'Technical Premium'!$C$7),"")</f>
        <v/>
      </c>
      <c r="CM37" s="104" t="str">
        <f>IFERROR($CL37/'Technical Premium'!$C$13,"")</f>
        <v/>
      </c>
      <c r="CN37" s="105" t="str">
        <f t="shared" si="6"/>
        <v/>
      </c>
      <c r="CO37" s="104" t="str">
        <f t="shared" si="7"/>
        <v/>
      </c>
      <c r="CP37" s="105" t="str">
        <f t="shared" si="8"/>
        <v/>
      </c>
      <c r="CQ37" s="106" t="str">
        <f t="shared" si="9"/>
        <v/>
      </c>
      <c r="CR37" s="102" t="str">
        <f>IF(ISNUMBER($CM37),'Technical Premium'!$C$14+IF($J37&gt;=1000000,'Technical Premium'!$C$15,0),"")</f>
        <v/>
      </c>
      <c r="CS37" s="102" t="str">
        <f>IFERROR(($CO37+$CR37)*(INDEX('Territory Factors'!$K$6:$K$56,MATCH($K37,'Territory Factors'!$B$6:$B$56,0))+'Commission Structure'!$C$21),"")</f>
        <v/>
      </c>
      <c r="CT37" s="104" t="str">
        <f t="shared" si="10"/>
        <v/>
      </c>
      <c r="CU37" s="102" t="str">
        <f>IFERROR($CO37*('Commission Structure'!$C$6+'Commission Structure'!$C$7),"")</f>
        <v/>
      </c>
      <c r="CV37" s="102" t="str">
        <f>IFERROR($CO37*'Commission Structure'!$C$5-$CU37,"")</f>
        <v/>
      </c>
      <c r="CW37" s="102" t="str">
        <f>IFERROR($CO37*(1-'Commission Structure'!$C$5),"")</f>
        <v/>
      </c>
      <c r="CX37" s="107"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8" t="str">
        <f t="shared" si="11"/>
        <v/>
      </c>
      <c r="CZ37" s="99" t="str">
        <f>IF($CY37="","",IF($CY37&lt;'Technical Premium'!$C$19,"BEYOND AUTHORITY",IF($CY37&gt;0.005,"Above technical",IF($CY37&lt;-0.005,"BELOW technical","At technical"))))</f>
        <v/>
      </c>
      <c r="DA37" s="99"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4"/>
      <c r="DC37" s="94"/>
      <c r="DD37" s="95"/>
      <c r="DE37" s="94"/>
      <c r="DF37" s="94"/>
      <c r="DG37" s="99" t="str">
        <f t="shared" si="12"/>
        <v/>
      </c>
      <c r="DH37" s="99" t="str">
        <f>IF($A37="","",IF(OR($CX37="REFER",$CX37="DECLINE"),COUNTIF($CX$5:$CX37,"REFER")+COUNTIF($CX$5:$CX37,"DECLINE"),""))</f>
        <v/>
      </c>
      <c r="DI37" s="94"/>
    </row>
    <row r="38" spans="1:113" x14ac:dyDescent="0.35">
      <c r="A38" s="94"/>
      <c r="B38" s="94"/>
      <c r="C38" s="95"/>
      <c r="D38" s="95"/>
      <c r="E38" s="96"/>
      <c r="F38" s="94"/>
      <c r="G38" s="94"/>
      <c r="H38" s="94"/>
      <c r="I38" s="94"/>
      <c r="J38" s="97"/>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8"/>
      <c r="AR38" s="99" t="str">
        <f t="shared" si="0"/>
        <v/>
      </c>
      <c r="AS38" s="99" t="str">
        <f>IF($A38="","",IF($AP38&lt;&gt;"",$AP38,IFERROR(INDEX('Cat Zone by ZIP'!$D$6:$D$856,MATCH($AR38,'Cat Zone by ZIP'!$B$6:$B$856,0)),IFERROR(INDEX('Cat Zone by ZIP'!$C$860:$C$910,MATCH($K38,'Cat Zone by ZIP'!$B$860:$B$910,0)),"NOT FOUND"))))</f>
        <v/>
      </c>
      <c r="AT38" s="99" t="str">
        <f>IF($A38="","",IF($AP38&lt;&gt;"","Override",IF(ISNUMBER(MATCH($AR38,'Cat Zone by ZIP'!$B$6:$B$856,0)),"ZIP-3","State default")))</f>
        <v/>
      </c>
      <c r="AU38" s="100" t="str">
        <f>IF($A38="","",IFERROR(INDEX('Natural Catastrophe'!$D$6:$D$17,MATCH($AS38,'Natural Catastrophe'!$B$6:$B$17,0)),"?"))</f>
        <v/>
      </c>
      <c r="AV38" s="100" t="str">
        <f>IF($A38="","",IFERROR(INDEX('Natural Catastrophe'!$C$21:$C$26,MATCH($AA38,'Natural Catastrophe'!$B$21:$B$26,0)),"?"))</f>
        <v/>
      </c>
      <c r="AW38" s="99" t="str">
        <f>IF($A38="","",IFERROR(INDEX('Base Rates'!$C$4:$I$4,MATCH(MAX($J38,'Technical Premium'!$C$18),'Base Rates'!$C$3:$I$3,1)),"?"))</f>
        <v/>
      </c>
      <c r="AX38" s="101" t="str">
        <f>IF($A38="","",IFERROR(INDEX('Base Rates'!$C$5:$I$16,MATCH($I38,'Base Rates'!$B$5:$B$16,0),MATCH(MAX($J38,'Technical Premium'!$C$18),'Base Rates'!$C$3:$I$3,1)),"?"))</f>
        <v/>
      </c>
      <c r="AY38" s="102" t="str">
        <f t="shared" si="1"/>
        <v/>
      </c>
      <c r="AZ38" s="99" t="str">
        <f>IF($A38="","",IFERROR(INDEX('Make Factors'!$G$5:$G$69,MATCH($F38,'Make Factors'!$B$5:$B$69,0)),"?"))</f>
        <v/>
      </c>
      <c r="BA38" s="99" t="str">
        <f>IF($A38="","",IFERROR(INDEX('Driver Factors'!$C$6:$C$15,MATCH($R38,'Driver Factors'!$B$6:$B$15,0)),"?"))</f>
        <v/>
      </c>
      <c r="BB38" s="99" t="str">
        <f>IF($A38="","",IFERROR(INDEX('Driver Factors'!$C$19:$C$24,MATCH($S38,'Driver Factors'!$B$19:$B$24,0)),"?"))</f>
        <v/>
      </c>
      <c r="BC38" s="99" t="str">
        <f>IF($A38="","",IFERROR(INDEX('Driver Factors'!$C$28:$C$36,MATCH($T38,'Driver Factors'!$B$28:$B$36,0)),"?"))</f>
        <v/>
      </c>
      <c r="BD38" s="99" t="str">
        <f>IF($A38="","",IFERROR(INDEX('Claims History'!$C$6:$C$15,MATCH($U38,'Claims History'!$B$6:$B$15,0)),"?"))</f>
        <v/>
      </c>
      <c r="BE38" s="99" t="str">
        <f>IF($A38="","",IFERROR(INDEX('Territory Factors'!$E$6:$E$56,MATCH($K38,'Territory Factors'!$B$6:$B$56,0)),"?"))</f>
        <v/>
      </c>
      <c r="BF38" s="99" t="str">
        <f>IF($A38="","",IFERROR(INDEX('City Accident Ratings'!$G$6:$G$54,MATCH($Z38,'City Accident Ratings'!$B$6:$B$54,0)),"?"))</f>
        <v/>
      </c>
      <c r="BG38" s="99" t="str">
        <f>IF($A38="","",IFERROR(INDEX('Usage and Coverage'!$D$6:$D$20,MATCH($N38,'Usage and Coverage'!$C$6:$C$20,0)),"?"))</f>
        <v/>
      </c>
      <c r="BH38" s="99" t="str">
        <f>IF($A38="","",IFERROR(INDEX('Usage and Coverage'!$C$24:$C$30,MATCH($O38,'Usage and Coverage'!$B$24:$B$30,0)),"?"))</f>
        <v/>
      </c>
      <c r="BI38" s="99" t="str">
        <f>IF($A38="","",IFERROR(INDEX('Usage and Coverage'!$C$34:$C$40,MATCH($P38,'Usage and Coverage'!$B$34:$B$40,0)),"?"))</f>
        <v/>
      </c>
      <c r="BJ38" s="99" t="str">
        <f>IF($A38="","",IFERROR(INDEX('Usage and Coverage'!$C$44:$C$49,MATCH($Q38,'Usage and Coverage'!$B$44:$B$49,0)),"?"))</f>
        <v/>
      </c>
      <c r="BK38" s="99" t="str">
        <f>IF($A38="","",IFERROR(INDEX(Deductibles!$C$6:$I$15,MATCH($W38,Deductibles!$B$6:$B$15,0),MATCH(MAX($J38,'Technical Premium'!$C$18),'Base Rates'!$C$3:$I$3,1)),"?"))</f>
        <v/>
      </c>
      <c r="BL38" s="99" t="str">
        <f>IF($A38="","",IFERROR(INDEX('Usage and Coverage'!$C$63:$C$66,MATCH($X38,'Usage and Coverage'!$B$63:$B$66,0)),"?"))</f>
        <v/>
      </c>
      <c r="BM38" s="99" t="str">
        <f>IF($A38="","",IFERROR(INDEX('Usage and Coverage'!$C$70:$C$75,MATCH($V38,'Usage and Coverage'!$B$70:$B$75,0)),"?"))</f>
        <v/>
      </c>
      <c r="BN38" s="99" t="str">
        <f>IF($A38="","",IF($AB38="",1,IFERROR(INDEX(Deductibles!$C$48:$C$51,MATCH($AB38,Deductibles!$B$48:$B$51,0)),"?")))</f>
        <v/>
      </c>
      <c r="BO38" s="99" t="str">
        <f>IF($A38="","",IF($AC38="",1,IFERROR(INDEX(Deductibles!$C$55:$C$57,MATCH($AC38,Deductibles!$B$55:$B$57,0)),"?")))</f>
        <v/>
      </c>
      <c r="BP38" s="99" t="str">
        <f>IF($A38="","",IF($AD38="",1,IFERROR(INDEX(Deductibles!$C$61:$C$63,MATCH($AD38,Deductibles!$B$61:$B$63,0)),"?")))</f>
        <v/>
      </c>
      <c r="BQ38" s="99" t="str">
        <f>IF($A38="","",IF($AE38="",1,IFERROR(INDEX(Deductibles!$C$67:$C$69,MATCH($AE38,Deductibles!$B$67:$B$69,0)),"?")))</f>
        <v/>
      </c>
      <c r="BR38" s="99" t="str">
        <f>IF($A38="","",IF($AF38="",1,IFERROR(INDEX(Deductibles!$C$73:$C$74,MATCH($AF38,Deductibles!$B$73:$B$74,0)),"?")))</f>
        <v/>
      </c>
      <c r="BS38" s="99" t="str">
        <f>IF($A38="","",IF($AG38="",1,IFERROR(INDEX('Sublimits and Parts'!$C$49:$C$52,MATCH($AG38,'Sublimits and Parts'!$B$49:$B$52,0)),"?")))</f>
        <v/>
      </c>
      <c r="BT38" s="99" t="str">
        <f>IF($A38="","",IF($AH38="",1,IFERROR(INDEX('Sublimits and Parts'!$C$56:$C$60,MATCH($AH38,'Sublimits and Parts'!$B$56:$B$60,0)),"?")))</f>
        <v/>
      </c>
      <c r="BU38" s="99" t="str">
        <f>IF($A38="","",IF($AI38="",1,IFERROR(INDEX('Sublimits and Parts'!$C$64:$C$67,MATCH($AI38,'Sublimits and Parts'!$B$64:$B$67,0)),"?")))</f>
        <v/>
      </c>
      <c r="BV38" s="99" t="str">
        <f>IF($A38="","",IF($AJ38="",1,IFERROR(INDEX('Sublimits and Parts'!$C$71:$C$74,MATCH($AJ38,'Sublimits and Parts'!$B$71:$B$74,0)),"?")))</f>
        <v/>
      </c>
      <c r="BW38" s="99" t="str">
        <f>IF($A38="","",IF($AK38="",1,IFERROR(INDEX('Sublimits and Parts'!$C$78:$C$80,MATCH($AK38,'Sublimits and Parts'!$B$78:$B$80,0)),"?")))</f>
        <v/>
      </c>
      <c r="BX38" s="99" t="str">
        <f>IF($A38="","",IF($AL38="",1,IFERROR(INDEX('Sublimits and Parts'!$C$84:$C$87,MATCH($AL38,'Sublimits and Parts'!$B$84:$B$87,0)),"?")))</f>
        <v/>
      </c>
      <c r="BY38" s="99" t="str">
        <f>IF($A38="","",IF($AM38="",1,IFERROR(INDEX('Sublimits and Parts'!$C$91:$C$94,MATCH($AM38,'Sublimits and Parts'!$B$91:$B$94,0)),"?")))</f>
        <v/>
      </c>
      <c r="BZ38" s="99" t="str">
        <f>IF($A38="","",IF($AN38="",1,IFERROR(INDEX('Sublimits and Parts'!$C$98:$C$101,MATCH($AN38,'Sublimits and Parts'!$B$98:$B$101,0)),"?")))</f>
        <v/>
      </c>
      <c r="CA38" s="99" t="str">
        <f>IF($A38="","",IF($AO38="",1,IFERROR(INDEX('Sublimits and Parts'!$C$105:$C$109,MATCH($AO38,'Sublimits and Parts'!$B$105:$B$109,0)),"?")))</f>
        <v/>
      </c>
      <c r="CB38" s="100" t="str">
        <f t="shared" si="2"/>
        <v/>
      </c>
      <c r="CC38" s="100" t="str">
        <f t="shared" si="3"/>
        <v/>
      </c>
      <c r="CD38" s="103" t="str">
        <f>IF($A38="","",IF(OR($CB38="?",$CC38="?"),"?",MIN($CB38*$CC38,'Technical Premium'!$C$17)))</f>
        <v/>
      </c>
      <c r="CE38" s="102" t="str">
        <f t="shared" si="4"/>
        <v/>
      </c>
      <c r="CF38" s="102" t="str">
        <f>IF($A38="","",IFERROR(INDEX('Territory Factors'!$F$6:$F$56,MATCH($K38,'Territory Factors'!$B$6:$B$56,0)),"?"))</f>
        <v/>
      </c>
      <c r="CG38" s="100" t="str">
        <f>IF($A38="","",IFERROR(INDEX('Usage and Coverage'!$C$79:$C$84,MATCH($Y38,'Usage and Coverage'!$B$79:$B$84,0)),"?"))</f>
        <v/>
      </c>
      <c r="CH38" s="102" t="str">
        <f>IFERROR(IF(ISNUMBER($CD38),$CF38*$CG38*MIN($BG38*$BA38*$BC38*$BD38*$BH38*$BF38,'Technical Premium'!$C$17),""),"")</f>
        <v/>
      </c>
      <c r="CI38" s="102" t="str">
        <f t="shared" si="5"/>
        <v/>
      </c>
      <c r="CJ38" s="102" t="str">
        <f>IFERROR($CI38*(1+'Technical Premium'!$C$5)*(1+'Technical Premium'!$C$6),"")</f>
        <v/>
      </c>
      <c r="CK38" s="102" t="str">
        <f>IFERROR($CE38*INDEX('Territory Factors'!$G$6:$G$56,MATCH($K38,'Territory Factors'!$B$6:$B$56,0))*$AU38*$AV38,"")</f>
        <v/>
      </c>
      <c r="CL38" s="102" t="str">
        <f>IFERROR(($CJ38+$CK38)*(1+'Technical Premium'!$C$7),"")</f>
        <v/>
      </c>
      <c r="CM38" s="104" t="str">
        <f>IFERROR($CL38/'Technical Premium'!$C$13,"")</f>
        <v/>
      </c>
      <c r="CN38" s="105" t="str">
        <f t="shared" si="6"/>
        <v/>
      </c>
      <c r="CO38" s="104" t="str">
        <f t="shared" si="7"/>
        <v/>
      </c>
      <c r="CP38" s="105" t="str">
        <f t="shared" si="8"/>
        <v/>
      </c>
      <c r="CQ38" s="106" t="str">
        <f t="shared" si="9"/>
        <v/>
      </c>
      <c r="CR38" s="102" t="str">
        <f>IF(ISNUMBER($CM38),'Technical Premium'!$C$14+IF($J38&gt;=1000000,'Technical Premium'!$C$15,0),"")</f>
        <v/>
      </c>
      <c r="CS38" s="102" t="str">
        <f>IFERROR(($CO38+$CR38)*(INDEX('Territory Factors'!$K$6:$K$56,MATCH($K38,'Territory Factors'!$B$6:$B$56,0))+'Commission Structure'!$C$21),"")</f>
        <v/>
      </c>
      <c r="CT38" s="104" t="str">
        <f t="shared" si="10"/>
        <v/>
      </c>
      <c r="CU38" s="102" t="str">
        <f>IFERROR($CO38*('Commission Structure'!$C$6+'Commission Structure'!$C$7),"")</f>
        <v/>
      </c>
      <c r="CV38" s="102" t="str">
        <f>IFERROR($CO38*'Commission Structure'!$C$5-$CU38,"")</f>
        <v/>
      </c>
      <c r="CW38" s="102" t="str">
        <f>IFERROR($CO38*(1-'Commission Structure'!$C$5),"")</f>
        <v/>
      </c>
      <c r="CX38" s="107"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8" t="str">
        <f t="shared" si="11"/>
        <v/>
      </c>
      <c r="CZ38" s="99" t="str">
        <f>IF($CY38="","",IF($CY38&lt;'Technical Premium'!$C$19,"BEYOND AUTHORITY",IF($CY38&gt;0.005,"Above technical",IF($CY38&lt;-0.005,"BELOW technical","At technical"))))</f>
        <v/>
      </c>
      <c r="DA38" s="99"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4"/>
      <c r="DC38" s="94"/>
      <c r="DD38" s="95"/>
      <c r="DE38" s="94"/>
      <c r="DF38" s="94"/>
      <c r="DG38" s="99" t="str">
        <f t="shared" si="12"/>
        <v/>
      </c>
      <c r="DH38" s="99" t="str">
        <f>IF($A38="","",IF(OR($CX38="REFER",$CX38="DECLINE"),COUNTIF($CX$5:$CX38,"REFER")+COUNTIF($CX$5:$CX38,"DECLINE"),""))</f>
        <v/>
      </c>
      <c r="DI38" s="94"/>
    </row>
    <row r="39" spans="1:113" x14ac:dyDescent="0.35">
      <c r="A39" s="94"/>
      <c r="B39" s="94"/>
      <c r="C39" s="95"/>
      <c r="D39" s="95"/>
      <c r="E39" s="96"/>
      <c r="F39" s="94"/>
      <c r="G39" s="94"/>
      <c r="H39" s="94"/>
      <c r="I39" s="94"/>
      <c r="J39" s="97"/>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8"/>
      <c r="AR39" s="99" t="str">
        <f t="shared" si="0"/>
        <v/>
      </c>
      <c r="AS39" s="99" t="str">
        <f>IF($A39="","",IF($AP39&lt;&gt;"",$AP39,IFERROR(INDEX('Cat Zone by ZIP'!$D$6:$D$856,MATCH($AR39,'Cat Zone by ZIP'!$B$6:$B$856,0)),IFERROR(INDEX('Cat Zone by ZIP'!$C$860:$C$910,MATCH($K39,'Cat Zone by ZIP'!$B$860:$B$910,0)),"NOT FOUND"))))</f>
        <v/>
      </c>
      <c r="AT39" s="99" t="str">
        <f>IF($A39="","",IF($AP39&lt;&gt;"","Override",IF(ISNUMBER(MATCH($AR39,'Cat Zone by ZIP'!$B$6:$B$856,0)),"ZIP-3","State default")))</f>
        <v/>
      </c>
      <c r="AU39" s="100" t="str">
        <f>IF($A39="","",IFERROR(INDEX('Natural Catastrophe'!$D$6:$D$17,MATCH($AS39,'Natural Catastrophe'!$B$6:$B$17,0)),"?"))</f>
        <v/>
      </c>
      <c r="AV39" s="100" t="str">
        <f>IF($A39="","",IFERROR(INDEX('Natural Catastrophe'!$C$21:$C$26,MATCH($AA39,'Natural Catastrophe'!$B$21:$B$26,0)),"?"))</f>
        <v/>
      </c>
      <c r="AW39" s="99" t="str">
        <f>IF($A39="","",IFERROR(INDEX('Base Rates'!$C$4:$I$4,MATCH(MAX($J39,'Technical Premium'!$C$18),'Base Rates'!$C$3:$I$3,1)),"?"))</f>
        <v/>
      </c>
      <c r="AX39" s="101" t="str">
        <f>IF($A39="","",IFERROR(INDEX('Base Rates'!$C$5:$I$16,MATCH($I39,'Base Rates'!$B$5:$B$16,0),MATCH(MAX($J39,'Technical Premium'!$C$18),'Base Rates'!$C$3:$I$3,1)),"?"))</f>
        <v/>
      </c>
      <c r="AY39" s="102" t="str">
        <f t="shared" si="1"/>
        <v/>
      </c>
      <c r="AZ39" s="99" t="str">
        <f>IF($A39="","",IFERROR(INDEX('Make Factors'!$G$5:$G$69,MATCH($F39,'Make Factors'!$B$5:$B$69,0)),"?"))</f>
        <v/>
      </c>
      <c r="BA39" s="99" t="str">
        <f>IF($A39="","",IFERROR(INDEX('Driver Factors'!$C$6:$C$15,MATCH($R39,'Driver Factors'!$B$6:$B$15,0)),"?"))</f>
        <v/>
      </c>
      <c r="BB39" s="99" t="str">
        <f>IF($A39="","",IFERROR(INDEX('Driver Factors'!$C$19:$C$24,MATCH($S39,'Driver Factors'!$B$19:$B$24,0)),"?"))</f>
        <v/>
      </c>
      <c r="BC39" s="99" t="str">
        <f>IF($A39="","",IFERROR(INDEX('Driver Factors'!$C$28:$C$36,MATCH($T39,'Driver Factors'!$B$28:$B$36,0)),"?"))</f>
        <v/>
      </c>
      <c r="BD39" s="99" t="str">
        <f>IF($A39="","",IFERROR(INDEX('Claims History'!$C$6:$C$15,MATCH($U39,'Claims History'!$B$6:$B$15,0)),"?"))</f>
        <v/>
      </c>
      <c r="BE39" s="99" t="str">
        <f>IF($A39="","",IFERROR(INDEX('Territory Factors'!$E$6:$E$56,MATCH($K39,'Territory Factors'!$B$6:$B$56,0)),"?"))</f>
        <v/>
      </c>
      <c r="BF39" s="99" t="str">
        <f>IF($A39="","",IFERROR(INDEX('City Accident Ratings'!$G$6:$G$54,MATCH($Z39,'City Accident Ratings'!$B$6:$B$54,0)),"?"))</f>
        <v/>
      </c>
      <c r="BG39" s="99" t="str">
        <f>IF($A39="","",IFERROR(INDEX('Usage and Coverage'!$D$6:$D$20,MATCH($N39,'Usage and Coverage'!$C$6:$C$20,0)),"?"))</f>
        <v/>
      </c>
      <c r="BH39" s="99" t="str">
        <f>IF($A39="","",IFERROR(INDEX('Usage and Coverage'!$C$24:$C$30,MATCH($O39,'Usage and Coverage'!$B$24:$B$30,0)),"?"))</f>
        <v/>
      </c>
      <c r="BI39" s="99" t="str">
        <f>IF($A39="","",IFERROR(INDEX('Usage and Coverage'!$C$34:$C$40,MATCH($P39,'Usage and Coverage'!$B$34:$B$40,0)),"?"))</f>
        <v/>
      </c>
      <c r="BJ39" s="99" t="str">
        <f>IF($A39="","",IFERROR(INDEX('Usage and Coverage'!$C$44:$C$49,MATCH($Q39,'Usage and Coverage'!$B$44:$B$49,0)),"?"))</f>
        <v/>
      </c>
      <c r="BK39" s="99" t="str">
        <f>IF($A39="","",IFERROR(INDEX(Deductibles!$C$6:$I$15,MATCH($W39,Deductibles!$B$6:$B$15,0),MATCH(MAX($J39,'Technical Premium'!$C$18),'Base Rates'!$C$3:$I$3,1)),"?"))</f>
        <v/>
      </c>
      <c r="BL39" s="99" t="str">
        <f>IF($A39="","",IFERROR(INDEX('Usage and Coverage'!$C$63:$C$66,MATCH($X39,'Usage and Coverage'!$B$63:$B$66,0)),"?"))</f>
        <v/>
      </c>
      <c r="BM39" s="99" t="str">
        <f>IF($A39="","",IFERROR(INDEX('Usage and Coverage'!$C$70:$C$75,MATCH($V39,'Usage and Coverage'!$B$70:$B$75,0)),"?"))</f>
        <v/>
      </c>
      <c r="BN39" s="99" t="str">
        <f>IF($A39="","",IF($AB39="",1,IFERROR(INDEX(Deductibles!$C$48:$C$51,MATCH($AB39,Deductibles!$B$48:$B$51,0)),"?")))</f>
        <v/>
      </c>
      <c r="BO39" s="99" t="str">
        <f>IF($A39="","",IF($AC39="",1,IFERROR(INDEX(Deductibles!$C$55:$C$57,MATCH($AC39,Deductibles!$B$55:$B$57,0)),"?")))</f>
        <v/>
      </c>
      <c r="BP39" s="99" t="str">
        <f>IF($A39="","",IF($AD39="",1,IFERROR(INDEX(Deductibles!$C$61:$C$63,MATCH($AD39,Deductibles!$B$61:$B$63,0)),"?")))</f>
        <v/>
      </c>
      <c r="BQ39" s="99" t="str">
        <f>IF($A39="","",IF($AE39="",1,IFERROR(INDEX(Deductibles!$C$67:$C$69,MATCH($AE39,Deductibles!$B$67:$B$69,0)),"?")))</f>
        <v/>
      </c>
      <c r="BR39" s="99" t="str">
        <f>IF($A39="","",IF($AF39="",1,IFERROR(INDEX(Deductibles!$C$73:$C$74,MATCH($AF39,Deductibles!$B$73:$B$74,0)),"?")))</f>
        <v/>
      </c>
      <c r="BS39" s="99" t="str">
        <f>IF($A39="","",IF($AG39="",1,IFERROR(INDEX('Sublimits and Parts'!$C$49:$C$52,MATCH($AG39,'Sublimits and Parts'!$B$49:$B$52,0)),"?")))</f>
        <v/>
      </c>
      <c r="BT39" s="99" t="str">
        <f>IF($A39="","",IF($AH39="",1,IFERROR(INDEX('Sublimits and Parts'!$C$56:$C$60,MATCH($AH39,'Sublimits and Parts'!$B$56:$B$60,0)),"?")))</f>
        <v/>
      </c>
      <c r="BU39" s="99" t="str">
        <f>IF($A39="","",IF($AI39="",1,IFERROR(INDEX('Sublimits and Parts'!$C$64:$C$67,MATCH($AI39,'Sublimits and Parts'!$B$64:$B$67,0)),"?")))</f>
        <v/>
      </c>
      <c r="BV39" s="99" t="str">
        <f>IF($A39="","",IF($AJ39="",1,IFERROR(INDEX('Sublimits and Parts'!$C$71:$C$74,MATCH($AJ39,'Sublimits and Parts'!$B$71:$B$74,0)),"?")))</f>
        <v/>
      </c>
      <c r="BW39" s="99" t="str">
        <f>IF($A39="","",IF($AK39="",1,IFERROR(INDEX('Sublimits and Parts'!$C$78:$C$80,MATCH($AK39,'Sublimits and Parts'!$B$78:$B$80,0)),"?")))</f>
        <v/>
      </c>
      <c r="BX39" s="99" t="str">
        <f>IF($A39="","",IF($AL39="",1,IFERROR(INDEX('Sublimits and Parts'!$C$84:$C$87,MATCH($AL39,'Sublimits and Parts'!$B$84:$B$87,0)),"?")))</f>
        <v/>
      </c>
      <c r="BY39" s="99" t="str">
        <f>IF($A39="","",IF($AM39="",1,IFERROR(INDEX('Sublimits and Parts'!$C$91:$C$94,MATCH($AM39,'Sublimits and Parts'!$B$91:$B$94,0)),"?")))</f>
        <v/>
      </c>
      <c r="BZ39" s="99" t="str">
        <f>IF($A39="","",IF($AN39="",1,IFERROR(INDEX('Sublimits and Parts'!$C$98:$C$101,MATCH($AN39,'Sublimits and Parts'!$B$98:$B$101,0)),"?")))</f>
        <v/>
      </c>
      <c r="CA39" s="99" t="str">
        <f>IF($A39="","",IF($AO39="",1,IFERROR(INDEX('Sublimits and Parts'!$C$105:$C$109,MATCH($AO39,'Sublimits and Parts'!$B$105:$B$109,0)),"?")))</f>
        <v/>
      </c>
      <c r="CB39" s="100" t="str">
        <f t="shared" si="2"/>
        <v/>
      </c>
      <c r="CC39" s="100" t="str">
        <f t="shared" si="3"/>
        <v/>
      </c>
      <c r="CD39" s="103" t="str">
        <f>IF($A39="","",IF(OR($CB39="?",$CC39="?"),"?",MIN($CB39*$CC39,'Technical Premium'!$C$17)))</f>
        <v/>
      </c>
      <c r="CE39" s="102" t="str">
        <f t="shared" si="4"/>
        <v/>
      </c>
      <c r="CF39" s="102" t="str">
        <f>IF($A39="","",IFERROR(INDEX('Territory Factors'!$F$6:$F$56,MATCH($K39,'Territory Factors'!$B$6:$B$56,0)),"?"))</f>
        <v/>
      </c>
      <c r="CG39" s="100" t="str">
        <f>IF($A39="","",IFERROR(INDEX('Usage and Coverage'!$C$79:$C$84,MATCH($Y39,'Usage and Coverage'!$B$79:$B$84,0)),"?"))</f>
        <v/>
      </c>
      <c r="CH39" s="102" t="str">
        <f>IFERROR(IF(ISNUMBER($CD39),$CF39*$CG39*MIN($BG39*$BA39*$BC39*$BD39*$BH39*$BF39,'Technical Premium'!$C$17),""),"")</f>
        <v/>
      </c>
      <c r="CI39" s="102" t="str">
        <f t="shared" si="5"/>
        <v/>
      </c>
      <c r="CJ39" s="102" t="str">
        <f>IFERROR($CI39*(1+'Technical Premium'!$C$5)*(1+'Technical Premium'!$C$6),"")</f>
        <v/>
      </c>
      <c r="CK39" s="102" t="str">
        <f>IFERROR($CE39*INDEX('Territory Factors'!$G$6:$G$56,MATCH($K39,'Territory Factors'!$B$6:$B$56,0))*$AU39*$AV39,"")</f>
        <v/>
      </c>
      <c r="CL39" s="102" t="str">
        <f>IFERROR(($CJ39+$CK39)*(1+'Technical Premium'!$C$7),"")</f>
        <v/>
      </c>
      <c r="CM39" s="104" t="str">
        <f>IFERROR($CL39/'Technical Premium'!$C$13,"")</f>
        <v/>
      </c>
      <c r="CN39" s="105" t="str">
        <f t="shared" si="6"/>
        <v/>
      </c>
      <c r="CO39" s="104" t="str">
        <f t="shared" si="7"/>
        <v/>
      </c>
      <c r="CP39" s="105" t="str">
        <f t="shared" si="8"/>
        <v/>
      </c>
      <c r="CQ39" s="106" t="str">
        <f t="shared" si="9"/>
        <v/>
      </c>
      <c r="CR39" s="102" t="str">
        <f>IF(ISNUMBER($CM39),'Technical Premium'!$C$14+IF($J39&gt;=1000000,'Technical Premium'!$C$15,0),"")</f>
        <v/>
      </c>
      <c r="CS39" s="102" t="str">
        <f>IFERROR(($CO39+$CR39)*(INDEX('Territory Factors'!$K$6:$K$56,MATCH($K39,'Territory Factors'!$B$6:$B$56,0))+'Commission Structure'!$C$21),"")</f>
        <v/>
      </c>
      <c r="CT39" s="104" t="str">
        <f t="shared" si="10"/>
        <v/>
      </c>
      <c r="CU39" s="102" t="str">
        <f>IFERROR($CO39*('Commission Structure'!$C$6+'Commission Structure'!$C$7),"")</f>
        <v/>
      </c>
      <c r="CV39" s="102" t="str">
        <f>IFERROR($CO39*'Commission Structure'!$C$5-$CU39,"")</f>
        <v/>
      </c>
      <c r="CW39" s="102" t="str">
        <f>IFERROR($CO39*(1-'Commission Structure'!$C$5),"")</f>
        <v/>
      </c>
      <c r="CX39" s="107"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8" t="str">
        <f t="shared" si="11"/>
        <v/>
      </c>
      <c r="CZ39" s="99" t="str">
        <f>IF($CY39="","",IF($CY39&lt;'Technical Premium'!$C$19,"BEYOND AUTHORITY",IF($CY39&gt;0.005,"Above technical",IF($CY39&lt;-0.005,"BELOW technical","At technical"))))</f>
        <v/>
      </c>
      <c r="DA39" s="99"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4"/>
      <c r="DC39" s="94"/>
      <c r="DD39" s="95"/>
      <c r="DE39" s="94"/>
      <c r="DF39" s="94"/>
      <c r="DG39" s="99" t="str">
        <f t="shared" si="12"/>
        <v/>
      </c>
      <c r="DH39" s="99" t="str">
        <f>IF($A39="","",IF(OR($CX39="REFER",$CX39="DECLINE"),COUNTIF($CX$5:$CX39,"REFER")+COUNTIF($CX$5:$CX39,"DECLINE"),""))</f>
        <v/>
      </c>
      <c r="DI39" s="94"/>
    </row>
    <row r="40" spans="1:113" x14ac:dyDescent="0.35">
      <c r="A40" s="94"/>
      <c r="B40" s="94"/>
      <c r="C40" s="95"/>
      <c r="D40" s="95"/>
      <c r="E40" s="96"/>
      <c r="F40" s="94"/>
      <c r="G40" s="94"/>
      <c r="H40" s="94"/>
      <c r="I40" s="94"/>
      <c r="J40" s="97"/>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8"/>
      <c r="AR40" s="99" t="str">
        <f t="shared" si="0"/>
        <v/>
      </c>
      <c r="AS40" s="99" t="str">
        <f>IF($A40="","",IF($AP40&lt;&gt;"",$AP40,IFERROR(INDEX('Cat Zone by ZIP'!$D$6:$D$856,MATCH($AR40,'Cat Zone by ZIP'!$B$6:$B$856,0)),IFERROR(INDEX('Cat Zone by ZIP'!$C$860:$C$910,MATCH($K40,'Cat Zone by ZIP'!$B$860:$B$910,0)),"NOT FOUND"))))</f>
        <v/>
      </c>
      <c r="AT40" s="99" t="str">
        <f>IF($A40="","",IF($AP40&lt;&gt;"","Override",IF(ISNUMBER(MATCH($AR40,'Cat Zone by ZIP'!$B$6:$B$856,0)),"ZIP-3","State default")))</f>
        <v/>
      </c>
      <c r="AU40" s="100" t="str">
        <f>IF($A40="","",IFERROR(INDEX('Natural Catastrophe'!$D$6:$D$17,MATCH($AS40,'Natural Catastrophe'!$B$6:$B$17,0)),"?"))</f>
        <v/>
      </c>
      <c r="AV40" s="100" t="str">
        <f>IF($A40="","",IFERROR(INDEX('Natural Catastrophe'!$C$21:$C$26,MATCH($AA40,'Natural Catastrophe'!$B$21:$B$26,0)),"?"))</f>
        <v/>
      </c>
      <c r="AW40" s="99" t="str">
        <f>IF($A40="","",IFERROR(INDEX('Base Rates'!$C$4:$I$4,MATCH(MAX($J40,'Technical Premium'!$C$18),'Base Rates'!$C$3:$I$3,1)),"?"))</f>
        <v/>
      </c>
      <c r="AX40" s="101" t="str">
        <f>IF($A40="","",IFERROR(INDEX('Base Rates'!$C$5:$I$16,MATCH($I40,'Base Rates'!$B$5:$B$16,0),MATCH(MAX($J40,'Technical Premium'!$C$18),'Base Rates'!$C$3:$I$3,1)),"?"))</f>
        <v/>
      </c>
      <c r="AY40" s="102" t="str">
        <f t="shared" si="1"/>
        <v/>
      </c>
      <c r="AZ40" s="99" t="str">
        <f>IF($A40="","",IFERROR(INDEX('Make Factors'!$G$5:$G$69,MATCH($F40,'Make Factors'!$B$5:$B$69,0)),"?"))</f>
        <v/>
      </c>
      <c r="BA40" s="99" t="str">
        <f>IF($A40="","",IFERROR(INDEX('Driver Factors'!$C$6:$C$15,MATCH($R40,'Driver Factors'!$B$6:$B$15,0)),"?"))</f>
        <v/>
      </c>
      <c r="BB40" s="99" t="str">
        <f>IF($A40="","",IFERROR(INDEX('Driver Factors'!$C$19:$C$24,MATCH($S40,'Driver Factors'!$B$19:$B$24,0)),"?"))</f>
        <v/>
      </c>
      <c r="BC40" s="99" t="str">
        <f>IF($A40="","",IFERROR(INDEX('Driver Factors'!$C$28:$C$36,MATCH($T40,'Driver Factors'!$B$28:$B$36,0)),"?"))</f>
        <v/>
      </c>
      <c r="BD40" s="99" t="str">
        <f>IF($A40="","",IFERROR(INDEX('Claims History'!$C$6:$C$15,MATCH($U40,'Claims History'!$B$6:$B$15,0)),"?"))</f>
        <v/>
      </c>
      <c r="BE40" s="99" t="str">
        <f>IF($A40="","",IFERROR(INDEX('Territory Factors'!$E$6:$E$56,MATCH($K40,'Territory Factors'!$B$6:$B$56,0)),"?"))</f>
        <v/>
      </c>
      <c r="BF40" s="99" t="str">
        <f>IF($A40="","",IFERROR(INDEX('City Accident Ratings'!$G$6:$G$54,MATCH($Z40,'City Accident Ratings'!$B$6:$B$54,0)),"?"))</f>
        <v/>
      </c>
      <c r="BG40" s="99" t="str">
        <f>IF($A40="","",IFERROR(INDEX('Usage and Coverage'!$D$6:$D$20,MATCH($N40,'Usage and Coverage'!$C$6:$C$20,0)),"?"))</f>
        <v/>
      </c>
      <c r="BH40" s="99" t="str">
        <f>IF($A40="","",IFERROR(INDEX('Usage and Coverage'!$C$24:$C$30,MATCH($O40,'Usage and Coverage'!$B$24:$B$30,0)),"?"))</f>
        <v/>
      </c>
      <c r="BI40" s="99" t="str">
        <f>IF($A40="","",IFERROR(INDEX('Usage and Coverage'!$C$34:$C$40,MATCH($P40,'Usage and Coverage'!$B$34:$B$40,0)),"?"))</f>
        <v/>
      </c>
      <c r="BJ40" s="99" t="str">
        <f>IF($A40="","",IFERROR(INDEX('Usage and Coverage'!$C$44:$C$49,MATCH($Q40,'Usage and Coverage'!$B$44:$B$49,0)),"?"))</f>
        <v/>
      </c>
      <c r="BK40" s="99" t="str">
        <f>IF($A40="","",IFERROR(INDEX(Deductibles!$C$6:$I$15,MATCH($W40,Deductibles!$B$6:$B$15,0),MATCH(MAX($J40,'Technical Premium'!$C$18),'Base Rates'!$C$3:$I$3,1)),"?"))</f>
        <v/>
      </c>
      <c r="BL40" s="99" t="str">
        <f>IF($A40="","",IFERROR(INDEX('Usage and Coverage'!$C$63:$C$66,MATCH($X40,'Usage and Coverage'!$B$63:$B$66,0)),"?"))</f>
        <v/>
      </c>
      <c r="BM40" s="99" t="str">
        <f>IF($A40="","",IFERROR(INDEX('Usage and Coverage'!$C$70:$C$75,MATCH($V40,'Usage and Coverage'!$B$70:$B$75,0)),"?"))</f>
        <v/>
      </c>
      <c r="BN40" s="99" t="str">
        <f>IF($A40="","",IF($AB40="",1,IFERROR(INDEX(Deductibles!$C$48:$C$51,MATCH($AB40,Deductibles!$B$48:$B$51,0)),"?")))</f>
        <v/>
      </c>
      <c r="BO40" s="99" t="str">
        <f>IF($A40="","",IF($AC40="",1,IFERROR(INDEX(Deductibles!$C$55:$C$57,MATCH($AC40,Deductibles!$B$55:$B$57,0)),"?")))</f>
        <v/>
      </c>
      <c r="BP40" s="99" t="str">
        <f>IF($A40="","",IF($AD40="",1,IFERROR(INDEX(Deductibles!$C$61:$C$63,MATCH($AD40,Deductibles!$B$61:$B$63,0)),"?")))</f>
        <v/>
      </c>
      <c r="BQ40" s="99" t="str">
        <f>IF($A40="","",IF($AE40="",1,IFERROR(INDEX(Deductibles!$C$67:$C$69,MATCH($AE40,Deductibles!$B$67:$B$69,0)),"?")))</f>
        <v/>
      </c>
      <c r="BR40" s="99" t="str">
        <f>IF($A40="","",IF($AF40="",1,IFERROR(INDEX(Deductibles!$C$73:$C$74,MATCH($AF40,Deductibles!$B$73:$B$74,0)),"?")))</f>
        <v/>
      </c>
      <c r="BS40" s="99" t="str">
        <f>IF($A40="","",IF($AG40="",1,IFERROR(INDEX('Sublimits and Parts'!$C$49:$C$52,MATCH($AG40,'Sublimits and Parts'!$B$49:$B$52,0)),"?")))</f>
        <v/>
      </c>
      <c r="BT40" s="99" t="str">
        <f>IF($A40="","",IF($AH40="",1,IFERROR(INDEX('Sublimits and Parts'!$C$56:$C$60,MATCH($AH40,'Sublimits and Parts'!$B$56:$B$60,0)),"?")))</f>
        <v/>
      </c>
      <c r="BU40" s="99" t="str">
        <f>IF($A40="","",IF($AI40="",1,IFERROR(INDEX('Sublimits and Parts'!$C$64:$C$67,MATCH($AI40,'Sublimits and Parts'!$B$64:$B$67,0)),"?")))</f>
        <v/>
      </c>
      <c r="BV40" s="99" t="str">
        <f>IF($A40="","",IF($AJ40="",1,IFERROR(INDEX('Sublimits and Parts'!$C$71:$C$74,MATCH($AJ40,'Sublimits and Parts'!$B$71:$B$74,0)),"?")))</f>
        <v/>
      </c>
      <c r="BW40" s="99" t="str">
        <f>IF($A40="","",IF($AK40="",1,IFERROR(INDEX('Sublimits and Parts'!$C$78:$C$80,MATCH($AK40,'Sublimits and Parts'!$B$78:$B$80,0)),"?")))</f>
        <v/>
      </c>
      <c r="BX40" s="99" t="str">
        <f>IF($A40="","",IF($AL40="",1,IFERROR(INDEX('Sublimits and Parts'!$C$84:$C$87,MATCH($AL40,'Sublimits and Parts'!$B$84:$B$87,0)),"?")))</f>
        <v/>
      </c>
      <c r="BY40" s="99" t="str">
        <f>IF($A40="","",IF($AM40="",1,IFERROR(INDEX('Sublimits and Parts'!$C$91:$C$94,MATCH($AM40,'Sublimits and Parts'!$B$91:$B$94,0)),"?")))</f>
        <v/>
      </c>
      <c r="BZ40" s="99" t="str">
        <f>IF($A40="","",IF($AN40="",1,IFERROR(INDEX('Sublimits and Parts'!$C$98:$C$101,MATCH($AN40,'Sublimits and Parts'!$B$98:$B$101,0)),"?")))</f>
        <v/>
      </c>
      <c r="CA40" s="99" t="str">
        <f>IF($A40="","",IF($AO40="",1,IFERROR(INDEX('Sublimits and Parts'!$C$105:$C$109,MATCH($AO40,'Sublimits and Parts'!$B$105:$B$109,0)),"?")))</f>
        <v/>
      </c>
      <c r="CB40" s="100" t="str">
        <f t="shared" si="2"/>
        <v/>
      </c>
      <c r="CC40" s="100" t="str">
        <f t="shared" si="3"/>
        <v/>
      </c>
      <c r="CD40" s="103" t="str">
        <f>IF($A40="","",IF(OR($CB40="?",$CC40="?"),"?",MIN($CB40*$CC40,'Technical Premium'!$C$17)))</f>
        <v/>
      </c>
      <c r="CE40" s="102" t="str">
        <f t="shared" si="4"/>
        <v/>
      </c>
      <c r="CF40" s="102" t="str">
        <f>IF($A40="","",IFERROR(INDEX('Territory Factors'!$F$6:$F$56,MATCH($K40,'Territory Factors'!$B$6:$B$56,0)),"?"))</f>
        <v/>
      </c>
      <c r="CG40" s="100" t="str">
        <f>IF($A40="","",IFERROR(INDEX('Usage and Coverage'!$C$79:$C$84,MATCH($Y40,'Usage and Coverage'!$B$79:$B$84,0)),"?"))</f>
        <v/>
      </c>
      <c r="CH40" s="102" t="str">
        <f>IFERROR(IF(ISNUMBER($CD40),$CF40*$CG40*MIN($BG40*$BA40*$BC40*$BD40*$BH40*$BF40,'Technical Premium'!$C$17),""),"")</f>
        <v/>
      </c>
      <c r="CI40" s="102" t="str">
        <f t="shared" si="5"/>
        <v/>
      </c>
      <c r="CJ40" s="102" t="str">
        <f>IFERROR($CI40*(1+'Technical Premium'!$C$5)*(1+'Technical Premium'!$C$6),"")</f>
        <v/>
      </c>
      <c r="CK40" s="102" t="str">
        <f>IFERROR($CE40*INDEX('Territory Factors'!$G$6:$G$56,MATCH($K40,'Territory Factors'!$B$6:$B$56,0))*$AU40*$AV40,"")</f>
        <v/>
      </c>
      <c r="CL40" s="102" t="str">
        <f>IFERROR(($CJ40+$CK40)*(1+'Technical Premium'!$C$7),"")</f>
        <v/>
      </c>
      <c r="CM40" s="104" t="str">
        <f>IFERROR($CL40/'Technical Premium'!$C$13,"")</f>
        <v/>
      </c>
      <c r="CN40" s="105" t="str">
        <f t="shared" si="6"/>
        <v/>
      </c>
      <c r="CO40" s="104" t="str">
        <f t="shared" si="7"/>
        <v/>
      </c>
      <c r="CP40" s="105" t="str">
        <f t="shared" si="8"/>
        <v/>
      </c>
      <c r="CQ40" s="106" t="str">
        <f t="shared" si="9"/>
        <v/>
      </c>
      <c r="CR40" s="102" t="str">
        <f>IF(ISNUMBER($CM40),'Technical Premium'!$C$14+IF($J40&gt;=1000000,'Technical Premium'!$C$15,0),"")</f>
        <v/>
      </c>
      <c r="CS40" s="102" t="str">
        <f>IFERROR(($CO40+$CR40)*(INDEX('Territory Factors'!$K$6:$K$56,MATCH($K40,'Territory Factors'!$B$6:$B$56,0))+'Commission Structure'!$C$21),"")</f>
        <v/>
      </c>
      <c r="CT40" s="104" t="str">
        <f t="shared" si="10"/>
        <v/>
      </c>
      <c r="CU40" s="102" t="str">
        <f>IFERROR($CO40*('Commission Structure'!$C$6+'Commission Structure'!$C$7),"")</f>
        <v/>
      </c>
      <c r="CV40" s="102" t="str">
        <f>IFERROR($CO40*'Commission Structure'!$C$5-$CU40,"")</f>
        <v/>
      </c>
      <c r="CW40" s="102" t="str">
        <f>IFERROR($CO40*(1-'Commission Structure'!$C$5),"")</f>
        <v/>
      </c>
      <c r="CX40" s="107"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8" t="str">
        <f t="shared" si="11"/>
        <v/>
      </c>
      <c r="CZ40" s="99" t="str">
        <f>IF($CY40="","",IF($CY40&lt;'Technical Premium'!$C$19,"BEYOND AUTHORITY",IF($CY40&gt;0.005,"Above technical",IF($CY40&lt;-0.005,"BELOW technical","At technical"))))</f>
        <v/>
      </c>
      <c r="DA40" s="99"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4"/>
      <c r="DC40" s="94"/>
      <c r="DD40" s="95"/>
      <c r="DE40" s="94"/>
      <c r="DF40" s="94"/>
      <c r="DG40" s="99" t="str">
        <f t="shared" si="12"/>
        <v/>
      </c>
      <c r="DH40" s="99" t="str">
        <f>IF($A40="","",IF(OR($CX40="REFER",$CX40="DECLINE"),COUNTIF($CX$5:$CX40,"REFER")+COUNTIF($CX$5:$CX40,"DECLINE"),""))</f>
        <v/>
      </c>
      <c r="DI40" s="94"/>
    </row>
    <row r="41" spans="1:113" x14ac:dyDescent="0.35">
      <c r="A41" s="94"/>
      <c r="B41" s="94"/>
      <c r="C41" s="95"/>
      <c r="D41" s="95"/>
      <c r="E41" s="96"/>
      <c r="F41" s="94"/>
      <c r="G41" s="94"/>
      <c r="H41" s="94"/>
      <c r="I41" s="94"/>
      <c r="J41" s="97"/>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8"/>
      <c r="AR41" s="99" t="str">
        <f t="shared" si="0"/>
        <v/>
      </c>
      <c r="AS41" s="99" t="str">
        <f>IF($A41="","",IF($AP41&lt;&gt;"",$AP41,IFERROR(INDEX('Cat Zone by ZIP'!$D$6:$D$856,MATCH($AR41,'Cat Zone by ZIP'!$B$6:$B$856,0)),IFERROR(INDEX('Cat Zone by ZIP'!$C$860:$C$910,MATCH($K41,'Cat Zone by ZIP'!$B$860:$B$910,0)),"NOT FOUND"))))</f>
        <v/>
      </c>
      <c r="AT41" s="99" t="str">
        <f>IF($A41="","",IF($AP41&lt;&gt;"","Override",IF(ISNUMBER(MATCH($AR41,'Cat Zone by ZIP'!$B$6:$B$856,0)),"ZIP-3","State default")))</f>
        <v/>
      </c>
      <c r="AU41" s="100" t="str">
        <f>IF($A41="","",IFERROR(INDEX('Natural Catastrophe'!$D$6:$D$17,MATCH($AS41,'Natural Catastrophe'!$B$6:$B$17,0)),"?"))</f>
        <v/>
      </c>
      <c r="AV41" s="100" t="str">
        <f>IF($A41="","",IFERROR(INDEX('Natural Catastrophe'!$C$21:$C$26,MATCH($AA41,'Natural Catastrophe'!$B$21:$B$26,0)),"?"))</f>
        <v/>
      </c>
      <c r="AW41" s="99" t="str">
        <f>IF($A41="","",IFERROR(INDEX('Base Rates'!$C$4:$I$4,MATCH(MAX($J41,'Technical Premium'!$C$18),'Base Rates'!$C$3:$I$3,1)),"?"))</f>
        <v/>
      </c>
      <c r="AX41" s="101" t="str">
        <f>IF($A41="","",IFERROR(INDEX('Base Rates'!$C$5:$I$16,MATCH($I41,'Base Rates'!$B$5:$B$16,0),MATCH(MAX($J41,'Technical Premium'!$C$18),'Base Rates'!$C$3:$I$3,1)),"?"))</f>
        <v/>
      </c>
      <c r="AY41" s="102" t="str">
        <f t="shared" si="1"/>
        <v/>
      </c>
      <c r="AZ41" s="99" t="str">
        <f>IF($A41="","",IFERROR(INDEX('Make Factors'!$G$5:$G$69,MATCH($F41,'Make Factors'!$B$5:$B$69,0)),"?"))</f>
        <v/>
      </c>
      <c r="BA41" s="99" t="str">
        <f>IF($A41="","",IFERROR(INDEX('Driver Factors'!$C$6:$C$15,MATCH($R41,'Driver Factors'!$B$6:$B$15,0)),"?"))</f>
        <v/>
      </c>
      <c r="BB41" s="99" t="str">
        <f>IF($A41="","",IFERROR(INDEX('Driver Factors'!$C$19:$C$24,MATCH($S41,'Driver Factors'!$B$19:$B$24,0)),"?"))</f>
        <v/>
      </c>
      <c r="BC41" s="99" t="str">
        <f>IF($A41="","",IFERROR(INDEX('Driver Factors'!$C$28:$C$36,MATCH($T41,'Driver Factors'!$B$28:$B$36,0)),"?"))</f>
        <v/>
      </c>
      <c r="BD41" s="99" t="str">
        <f>IF($A41="","",IFERROR(INDEX('Claims History'!$C$6:$C$15,MATCH($U41,'Claims History'!$B$6:$B$15,0)),"?"))</f>
        <v/>
      </c>
      <c r="BE41" s="99" t="str">
        <f>IF($A41="","",IFERROR(INDEX('Territory Factors'!$E$6:$E$56,MATCH($K41,'Territory Factors'!$B$6:$B$56,0)),"?"))</f>
        <v/>
      </c>
      <c r="BF41" s="99" t="str">
        <f>IF($A41="","",IFERROR(INDEX('City Accident Ratings'!$G$6:$G$54,MATCH($Z41,'City Accident Ratings'!$B$6:$B$54,0)),"?"))</f>
        <v/>
      </c>
      <c r="BG41" s="99" t="str">
        <f>IF($A41="","",IFERROR(INDEX('Usage and Coverage'!$D$6:$D$20,MATCH($N41,'Usage and Coverage'!$C$6:$C$20,0)),"?"))</f>
        <v/>
      </c>
      <c r="BH41" s="99" t="str">
        <f>IF($A41="","",IFERROR(INDEX('Usage and Coverage'!$C$24:$C$30,MATCH($O41,'Usage and Coverage'!$B$24:$B$30,0)),"?"))</f>
        <v/>
      </c>
      <c r="BI41" s="99" t="str">
        <f>IF($A41="","",IFERROR(INDEX('Usage and Coverage'!$C$34:$C$40,MATCH($P41,'Usage and Coverage'!$B$34:$B$40,0)),"?"))</f>
        <v/>
      </c>
      <c r="BJ41" s="99" t="str">
        <f>IF($A41="","",IFERROR(INDEX('Usage and Coverage'!$C$44:$C$49,MATCH($Q41,'Usage and Coverage'!$B$44:$B$49,0)),"?"))</f>
        <v/>
      </c>
      <c r="BK41" s="99" t="str">
        <f>IF($A41="","",IFERROR(INDEX(Deductibles!$C$6:$I$15,MATCH($W41,Deductibles!$B$6:$B$15,0),MATCH(MAX($J41,'Technical Premium'!$C$18),'Base Rates'!$C$3:$I$3,1)),"?"))</f>
        <v/>
      </c>
      <c r="BL41" s="99" t="str">
        <f>IF($A41="","",IFERROR(INDEX('Usage and Coverage'!$C$63:$C$66,MATCH($X41,'Usage and Coverage'!$B$63:$B$66,0)),"?"))</f>
        <v/>
      </c>
      <c r="BM41" s="99" t="str">
        <f>IF($A41="","",IFERROR(INDEX('Usage and Coverage'!$C$70:$C$75,MATCH($V41,'Usage and Coverage'!$B$70:$B$75,0)),"?"))</f>
        <v/>
      </c>
      <c r="BN41" s="99" t="str">
        <f>IF($A41="","",IF($AB41="",1,IFERROR(INDEX(Deductibles!$C$48:$C$51,MATCH($AB41,Deductibles!$B$48:$B$51,0)),"?")))</f>
        <v/>
      </c>
      <c r="BO41" s="99" t="str">
        <f>IF($A41="","",IF($AC41="",1,IFERROR(INDEX(Deductibles!$C$55:$C$57,MATCH($AC41,Deductibles!$B$55:$B$57,0)),"?")))</f>
        <v/>
      </c>
      <c r="BP41" s="99" t="str">
        <f>IF($A41="","",IF($AD41="",1,IFERROR(INDEX(Deductibles!$C$61:$C$63,MATCH($AD41,Deductibles!$B$61:$B$63,0)),"?")))</f>
        <v/>
      </c>
      <c r="BQ41" s="99" t="str">
        <f>IF($A41="","",IF($AE41="",1,IFERROR(INDEX(Deductibles!$C$67:$C$69,MATCH($AE41,Deductibles!$B$67:$B$69,0)),"?")))</f>
        <v/>
      </c>
      <c r="BR41" s="99" t="str">
        <f>IF($A41="","",IF($AF41="",1,IFERROR(INDEX(Deductibles!$C$73:$C$74,MATCH($AF41,Deductibles!$B$73:$B$74,0)),"?")))</f>
        <v/>
      </c>
      <c r="BS41" s="99" t="str">
        <f>IF($A41="","",IF($AG41="",1,IFERROR(INDEX('Sublimits and Parts'!$C$49:$C$52,MATCH($AG41,'Sublimits and Parts'!$B$49:$B$52,0)),"?")))</f>
        <v/>
      </c>
      <c r="BT41" s="99" t="str">
        <f>IF($A41="","",IF($AH41="",1,IFERROR(INDEX('Sublimits and Parts'!$C$56:$C$60,MATCH($AH41,'Sublimits and Parts'!$B$56:$B$60,0)),"?")))</f>
        <v/>
      </c>
      <c r="BU41" s="99" t="str">
        <f>IF($A41="","",IF($AI41="",1,IFERROR(INDEX('Sublimits and Parts'!$C$64:$C$67,MATCH($AI41,'Sublimits and Parts'!$B$64:$B$67,0)),"?")))</f>
        <v/>
      </c>
      <c r="BV41" s="99" t="str">
        <f>IF($A41="","",IF($AJ41="",1,IFERROR(INDEX('Sublimits and Parts'!$C$71:$C$74,MATCH($AJ41,'Sublimits and Parts'!$B$71:$B$74,0)),"?")))</f>
        <v/>
      </c>
      <c r="BW41" s="99" t="str">
        <f>IF($A41="","",IF($AK41="",1,IFERROR(INDEX('Sublimits and Parts'!$C$78:$C$80,MATCH($AK41,'Sublimits and Parts'!$B$78:$B$80,0)),"?")))</f>
        <v/>
      </c>
      <c r="BX41" s="99" t="str">
        <f>IF($A41="","",IF($AL41="",1,IFERROR(INDEX('Sublimits and Parts'!$C$84:$C$87,MATCH($AL41,'Sublimits and Parts'!$B$84:$B$87,0)),"?")))</f>
        <v/>
      </c>
      <c r="BY41" s="99" t="str">
        <f>IF($A41="","",IF($AM41="",1,IFERROR(INDEX('Sublimits and Parts'!$C$91:$C$94,MATCH($AM41,'Sublimits and Parts'!$B$91:$B$94,0)),"?")))</f>
        <v/>
      </c>
      <c r="BZ41" s="99" t="str">
        <f>IF($A41="","",IF($AN41="",1,IFERROR(INDEX('Sublimits and Parts'!$C$98:$C$101,MATCH($AN41,'Sublimits and Parts'!$B$98:$B$101,0)),"?")))</f>
        <v/>
      </c>
      <c r="CA41" s="99" t="str">
        <f>IF($A41="","",IF($AO41="",1,IFERROR(INDEX('Sublimits and Parts'!$C$105:$C$109,MATCH($AO41,'Sublimits and Parts'!$B$105:$B$109,0)),"?")))</f>
        <v/>
      </c>
      <c r="CB41" s="100" t="str">
        <f t="shared" si="2"/>
        <v/>
      </c>
      <c r="CC41" s="100" t="str">
        <f t="shared" si="3"/>
        <v/>
      </c>
      <c r="CD41" s="103" t="str">
        <f>IF($A41="","",IF(OR($CB41="?",$CC41="?"),"?",MIN($CB41*$CC41,'Technical Premium'!$C$17)))</f>
        <v/>
      </c>
      <c r="CE41" s="102" t="str">
        <f t="shared" si="4"/>
        <v/>
      </c>
      <c r="CF41" s="102" t="str">
        <f>IF($A41="","",IFERROR(INDEX('Territory Factors'!$F$6:$F$56,MATCH($K41,'Territory Factors'!$B$6:$B$56,0)),"?"))</f>
        <v/>
      </c>
      <c r="CG41" s="100" t="str">
        <f>IF($A41="","",IFERROR(INDEX('Usage and Coverage'!$C$79:$C$84,MATCH($Y41,'Usage and Coverage'!$B$79:$B$84,0)),"?"))</f>
        <v/>
      </c>
      <c r="CH41" s="102" t="str">
        <f>IFERROR(IF(ISNUMBER($CD41),$CF41*$CG41*MIN($BG41*$BA41*$BC41*$BD41*$BH41*$BF41,'Technical Premium'!$C$17),""),"")</f>
        <v/>
      </c>
      <c r="CI41" s="102" t="str">
        <f t="shared" si="5"/>
        <v/>
      </c>
      <c r="CJ41" s="102" t="str">
        <f>IFERROR($CI41*(1+'Technical Premium'!$C$5)*(1+'Technical Premium'!$C$6),"")</f>
        <v/>
      </c>
      <c r="CK41" s="102" t="str">
        <f>IFERROR($CE41*INDEX('Territory Factors'!$G$6:$G$56,MATCH($K41,'Territory Factors'!$B$6:$B$56,0))*$AU41*$AV41,"")</f>
        <v/>
      </c>
      <c r="CL41" s="102" t="str">
        <f>IFERROR(($CJ41+$CK41)*(1+'Technical Premium'!$C$7),"")</f>
        <v/>
      </c>
      <c r="CM41" s="104" t="str">
        <f>IFERROR($CL41/'Technical Premium'!$C$13,"")</f>
        <v/>
      </c>
      <c r="CN41" s="105" t="str">
        <f t="shared" si="6"/>
        <v/>
      </c>
      <c r="CO41" s="104" t="str">
        <f t="shared" si="7"/>
        <v/>
      </c>
      <c r="CP41" s="105" t="str">
        <f t="shared" si="8"/>
        <v/>
      </c>
      <c r="CQ41" s="106" t="str">
        <f t="shared" si="9"/>
        <v/>
      </c>
      <c r="CR41" s="102" t="str">
        <f>IF(ISNUMBER($CM41),'Technical Premium'!$C$14+IF($J41&gt;=1000000,'Technical Premium'!$C$15,0),"")</f>
        <v/>
      </c>
      <c r="CS41" s="102" t="str">
        <f>IFERROR(($CO41+$CR41)*(INDEX('Territory Factors'!$K$6:$K$56,MATCH($K41,'Territory Factors'!$B$6:$B$56,0))+'Commission Structure'!$C$21),"")</f>
        <v/>
      </c>
      <c r="CT41" s="104" t="str">
        <f t="shared" si="10"/>
        <v/>
      </c>
      <c r="CU41" s="102" t="str">
        <f>IFERROR($CO41*('Commission Structure'!$C$6+'Commission Structure'!$C$7),"")</f>
        <v/>
      </c>
      <c r="CV41" s="102" t="str">
        <f>IFERROR($CO41*'Commission Structure'!$C$5-$CU41,"")</f>
        <v/>
      </c>
      <c r="CW41" s="102" t="str">
        <f>IFERROR($CO41*(1-'Commission Structure'!$C$5),"")</f>
        <v/>
      </c>
      <c r="CX41" s="107"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8" t="str">
        <f t="shared" si="11"/>
        <v/>
      </c>
      <c r="CZ41" s="99" t="str">
        <f>IF($CY41="","",IF($CY41&lt;'Technical Premium'!$C$19,"BEYOND AUTHORITY",IF($CY41&gt;0.005,"Above technical",IF($CY41&lt;-0.005,"BELOW technical","At technical"))))</f>
        <v/>
      </c>
      <c r="DA41" s="99"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4"/>
      <c r="DC41" s="94"/>
      <c r="DD41" s="95"/>
      <c r="DE41" s="94"/>
      <c r="DF41" s="94"/>
      <c r="DG41" s="99" t="str">
        <f t="shared" si="12"/>
        <v/>
      </c>
      <c r="DH41" s="99" t="str">
        <f>IF($A41="","",IF(OR($CX41="REFER",$CX41="DECLINE"),COUNTIF($CX$5:$CX41,"REFER")+COUNTIF($CX$5:$CX41,"DECLINE"),""))</f>
        <v/>
      </c>
      <c r="DI41" s="94"/>
    </row>
    <row r="42" spans="1:113" x14ac:dyDescent="0.35">
      <c r="A42" s="94"/>
      <c r="B42" s="94"/>
      <c r="C42" s="95"/>
      <c r="D42" s="95"/>
      <c r="E42" s="96"/>
      <c r="F42" s="94"/>
      <c r="G42" s="94"/>
      <c r="H42" s="94"/>
      <c r="I42" s="94"/>
      <c r="J42" s="97"/>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8"/>
      <c r="AR42" s="99" t="str">
        <f t="shared" si="0"/>
        <v/>
      </c>
      <c r="AS42" s="99" t="str">
        <f>IF($A42="","",IF($AP42&lt;&gt;"",$AP42,IFERROR(INDEX('Cat Zone by ZIP'!$D$6:$D$856,MATCH($AR42,'Cat Zone by ZIP'!$B$6:$B$856,0)),IFERROR(INDEX('Cat Zone by ZIP'!$C$860:$C$910,MATCH($K42,'Cat Zone by ZIP'!$B$860:$B$910,0)),"NOT FOUND"))))</f>
        <v/>
      </c>
      <c r="AT42" s="99" t="str">
        <f>IF($A42="","",IF($AP42&lt;&gt;"","Override",IF(ISNUMBER(MATCH($AR42,'Cat Zone by ZIP'!$B$6:$B$856,0)),"ZIP-3","State default")))</f>
        <v/>
      </c>
      <c r="AU42" s="100" t="str">
        <f>IF($A42="","",IFERROR(INDEX('Natural Catastrophe'!$D$6:$D$17,MATCH($AS42,'Natural Catastrophe'!$B$6:$B$17,0)),"?"))</f>
        <v/>
      </c>
      <c r="AV42" s="100" t="str">
        <f>IF($A42="","",IFERROR(INDEX('Natural Catastrophe'!$C$21:$C$26,MATCH($AA42,'Natural Catastrophe'!$B$21:$B$26,0)),"?"))</f>
        <v/>
      </c>
      <c r="AW42" s="99" t="str">
        <f>IF($A42="","",IFERROR(INDEX('Base Rates'!$C$4:$I$4,MATCH(MAX($J42,'Technical Premium'!$C$18),'Base Rates'!$C$3:$I$3,1)),"?"))</f>
        <v/>
      </c>
      <c r="AX42" s="101" t="str">
        <f>IF($A42="","",IFERROR(INDEX('Base Rates'!$C$5:$I$16,MATCH($I42,'Base Rates'!$B$5:$B$16,0),MATCH(MAX($J42,'Technical Premium'!$C$18),'Base Rates'!$C$3:$I$3,1)),"?"))</f>
        <v/>
      </c>
      <c r="AY42" s="102" t="str">
        <f t="shared" si="1"/>
        <v/>
      </c>
      <c r="AZ42" s="99" t="str">
        <f>IF($A42="","",IFERROR(INDEX('Make Factors'!$G$5:$G$69,MATCH($F42,'Make Factors'!$B$5:$B$69,0)),"?"))</f>
        <v/>
      </c>
      <c r="BA42" s="99" t="str">
        <f>IF($A42="","",IFERROR(INDEX('Driver Factors'!$C$6:$C$15,MATCH($R42,'Driver Factors'!$B$6:$B$15,0)),"?"))</f>
        <v/>
      </c>
      <c r="BB42" s="99" t="str">
        <f>IF($A42="","",IFERROR(INDEX('Driver Factors'!$C$19:$C$24,MATCH($S42,'Driver Factors'!$B$19:$B$24,0)),"?"))</f>
        <v/>
      </c>
      <c r="BC42" s="99" t="str">
        <f>IF($A42="","",IFERROR(INDEX('Driver Factors'!$C$28:$C$36,MATCH($T42,'Driver Factors'!$B$28:$B$36,0)),"?"))</f>
        <v/>
      </c>
      <c r="BD42" s="99" t="str">
        <f>IF($A42="","",IFERROR(INDEX('Claims History'!$C$6:$C$15,MATCH($U42,'Claims History'!$B$6:$B$15,0)),"?"))</f>
        <v/>
      </c>
      <c r="BE42" s="99" t="str">
        <f>IF($A42="","",IFERROR(INDEX('Territory Factors'!$E$6:$E$56,MATCH($K42,'Territory Factors'!$B$6:$B$56,0)),"?"))</f>
        <v/>
      </c>
      <c r="BF42" s="99" t="str">
        <f>IF($A42="","",IFERROR(INDEX('City Accident Ratings'!$G$6:$G$54,MATCH($Z42,'City Accident Ratings'!$B$6:$B$54,0)),"?"))</f>
        <v/>
      </c>
      <c r="BG42" s="99" t="str">
        <f>IF($A42="","",IFERROR(INDEX('Usage and Coverage'!$D$6:$D$20,MATCH($N42,'Usage and Coverage'!$C$6:$C$20,0)),"?"))</f>
        <v/>
      </c>
      <c r="BH42" s="99" t="str">
        <f>IF($A42="","",IFERROR(INDEX('Usage and Coverage'!$C$24:$C$30,MATCH($O42,'Usage and Coverage'!$B$24:$B$30,0)),"?"))</f>
        <v/>
      </c>
      <c r="BI42" s="99" t="str">
        <f>IF($A42="","",IFERROR(INDEX('Usage and Coverage'!$C$34:$C$40,MATCH($P42,'Usage and Coverage'!$B$34:$B$40,0)),"?"))</f>
        <v/>
      </c>
      <c r="BJ42" s="99" t="str">
        <f>IF($A42="","",IFERROR(INDEX('Usage and Coverage'!$C$44:$C$49,MATCH($Q42,'Usage and Coverage'!$B$44:$B$49,0)),"?"))</f>
        <v/>
      </c>
      <c r="BK42" s="99" t="str">
        <f>IF($A42="","",IFERROR(INDEX(Deductibles!$C$6:$I$15,MATCH($W42,Deductibles!$B$6:$B$15,0),MATCH(MAX($J42,'Technical Premium'!$C$18),'Base Rates'!$C$3:$I$3,1)),"?"))</f>
        <v/>
      </c>
      <c r="BL42" s="99" t="str">
        <f>IF($A42="","",IFERROR(INDEX('Usage and Coverage'!$C$63:$C$66,MATCH($X42,'Usage and Coverage'!$B$63:$B$66,0)),"?"))</f>
        <v/>
      </c>
      <c r="BM42" s="99" t="str">
        <f>IF($A42="","",IFERROR(INDEX('Usage and Coverage'!$C$70:$C$75,MATCH($V42,'Usage and Coverage'!$B$70:$B$75,0)),"?"))</f>
        <v/>
      </c>
      <c r="BN42" s="99" t="str">
        <f>IF($A42="","",IF($AB42="",1,IFERROR(INDEX(Deductibles!$C$48:$C$51,MATCH($AB42,Deductibles!$B$48:$B$51,0)),"?")))</f>
        <v/>
      </c>
      <c r="BO42" s="99" t="str">
        <f>IF($A42="","",IF($AC42="",1,IFERROR(INDEX(Deductibles!$C$55:$C$57,MATCH($AC42,Deductibles!$B$55:$B$57,0)),"?")))</f>
        <v/>
      </c>
      <c r="BP42" s="99" t="str">
        <f>IF($A42="","",IF($AD42="",1,IFERROR(INDEX(Deductibles!$C$61:$C$63,MATCH($AD42,Deductibles!$B$61:$B$63,0)),"?")))</f>
        <v/>
      </c>
      <c r="BQ42" s="99" t="str">
        <f>IF($A42="","",IF($AE42="",1,IFERROR(INDEX(Deductibles!$C$67:$C$69,MATCH($AE42,Deductibles!$B$67:$B$69,0)),"?")))</f>
        <v/>
      </c>
      <c r="BR42" s="99" t="str">
        <f>IF($A42="","",IF($AF42="",1,IFERROR(INDEX(Deductibles!$C$73:$C$74,MATCH($AF42,Deductibles!$B$73:$B$74,0)),"?")))</f>
        <v/>
      </c>
      <c r="BS42" s="99" t="str">
        <f>IF($A42="","",IF($AG42="",1,IFERROR(INDEX('Sublimits and Parts'!$C$49:$C$52,MATCH($AG42,'Sublimits and Parts'!$B$49:$B$52,0)),"?")))</f>
        <v/>
      </c>
      <c r="BT42" s="99" t="str">
        <f>IF($A42="","",IF($AH42="",1,IFERROR(INDEX('Sublimits and Parts'!$C$56:$C$60,MATCH($AH42,'Sublimits and Parts'!$B$56:$B$60,0)),"?")))</f>
        <v/>
      </c>
      <c r="BU42" s="99" t="str">
        <f>IF($A42="","",IF($AI42="",1,IFERROR(INDEX('Sublimits and Parts'!$C$64:$C$67,MATCH($AI42,'Sublimits and Parts'!$B$64:$B$67,0)),"?")))</f>
        <v/>
      </c>
      <c r="BV42" s="99" t="str">
        <f>IF($A42="","",IF($AJ42="",1,IFERROR(INDEX('Sublimits and Parts'!$C$71:$C$74,MATCH($AJ42,'Sublimits and Parts'!$B$71:$B$74,0)),"?")))</f>
        <v/>
      </c>
      <c r="BW42" s="99" t="str">
        <f>IF($A42="","",IF($AK42="",1,IFERROR(INDEX('Sublimits and Parts'!$C$78:$C$80,MATCH($AK42,'Sublimits and Parts'!$B$78:$B$80,0)),"?")))</f>
        <v/>
      </c>
      <c r="BX42" s="99" t="str">
        <f>IF($A42="","",IF($AL42="",1,IFERROR(INDEX('Sublimits and Parts'!$C$84:$C$87,MATCH($AL42,'Sublimits and Parts'!$B$84:$B$87,0)),"?")))</f>
        <v/>
      </c>
      <c r="BY42" s="99" t="str">
        <f>IF($A42="","",IF($AM42="",1,IFERROR(INDEX('Sublimits and Parts'!$C$91:$C$94,MATCH($AM42,'Sublimits and Parts'!$B$91:$B$94,0)),"?")))</f>
        <v/>
      </c>
      <c r="BZ42" s="99" t="str">
        <f>IF($A42="","",IF($AN42="",1,IFERROR(INDEX('Sublimits and Parts'!$C$98:$C$101,MATCH($AN42,'Sublimits and Parts'!$B$98:$B$101,0)),"?")))</f>
        <v/>
      </c>
      <c r="CA42" s="99" t="str">
        <f>IF($A42="","",IF($AO42="",1,IFERROR(INDEX('Sublimits and Parts'!$C$105:$C$109,MATCH($AO42,'Sublimits and Parts'!$B$105:$B$109,0)),"?")))</f>
        <v/>
      </c>
      <c r="CB42" s="100" t="str">
        <f t="shared" si="2"/>
        <v/>
      </c>
      <c r="CC42" s="100" t="str">
        <f t="shared" si="3"/>
        <v/>
      </c>
      <c r="CD42" s="103" t="str">
        <f>IF($A42="","",IF(OR($CB42="?",$CC42="?"),"?",MIN($CB42*$CC42,'Technical Premium'!$C$17)))</f>
        <v/>
      </c>
      <c r="CE42" s="102" t="str">
        <f t="shared" si="4"/>
        <v/>
      </c>
      <c r="CF42" s="102" t="str">
        <f>IF($A42="","",IFERROR(INDEX('Territory Factors'!$F$6:$F$56,MATCH($K42,'Territory Factors'!$B$6:$B$56,0)),"?"))</f>
        <v/>
      </c>
      <c r="CG42" s="100" t="str">
        <f>IF($A42="","",IFERROR(INDEX('Usage and Coverage'!$C$79:$C$84,MATCH($Y42,'Usage and Coverage'!$B$79:$B$84,0)),"?"))</f>
        <v/>
      </c>
      <c r="CH42" s="102" t="str">
        <f>IFERROR(IF(ISNUMBER($CD42),$CF42*$CG42*MIN($BG42*$BA42*$BC42*$BD42*$BH42*$BF42,'Technical Premium'!$C$17),""),"")</f>
        <v/>
      </c>
      <c r="CI42" s="102" t="str">
        <f t="shared" si="5"/>
        <v/>
      </c>
      <c r="CJ42" s="102" t="str">
        <f>IFERROR($CI42*(1+'Technical Premium'!$C$5)*(1+'Technical Premium'!$C$6),"")</f>
        <v/>
      </c>
      <c r="CK42" s="102" t="str">
        <f>IFERROR($CE42*INDEX('Territory Factors'!$G$6:$G$56,MATCH($K42,'Territory Factors'!$B$6:$B$56,0))*$AU42*$AV42,"")</f>
        <v/>
      </c>
      <c r="CL42" s="102" t="str">
        <f>IFERROR(($CJ42+$CK42)*(1+'Technical Premium'!$C$7),"")</f>
        <v/>
      </c>
      <c r="CM42" s="104" t="str">
        <f>IFERROR($CL42/'Technical Premium'!$C$13,"")</f>
        <v/>
      </c>
      <c r="CN42" s="105" t="str">
        <f t="shared" si="6"/>
        <v/>
      </c>
      <c r="CO42" s="104" t="str">
        <f t="shared" si="7"/>
        <v/>
      </c>
      <c r="CP42" s="105" t="str">
        <f t="shared" si="8"/>
        <v/>
      </c>
      <c r="CQ42" s="106" t="str">
        <f t="shared" si="9"/>
        <v/>
      </c>
      <c r="CR42" s="102" t="str">
        <f>IF(ISNUMBER($CM42),'Technical Premium'!$C$14+IF($J42&gt;=1000000,'Technical Premium'!$C$15,0),"")</f>
        <v/>
      </c>
      <c r="CS42" s="102" t="str">
        <f>IFERROR(($CO42+$CR42)*(INDEX('Territory Factors'!$K$6:$K$56,MATCH($K42,'Territory Factors'!$B$6:$B$56,0))+'Commission Structure'!$C$21),"")</f>
        <v/>
      </c>
      <c r="CT42" s="104" t="str">
        <f t="shared" si="10"/>
        <v/>
      </c>
      <c r="CU42" s="102" t="str">
        <f>IFERROR($CO42*('Commission Structure'!$C$6+'Commission Structure'!$C$7),"")</f>
        <v/>
      </c>
      <c r="CV42" s="102" t="str">
        <f>IFERROR($CO42*'Commission Structure'!$C$5-$CU42,"")</f>
        <v/>
      </c>
      <c r="CW42" s="102" t="str">
        <f>IFERROR($CO42*(1-'Commission Structure'!$C$5),"")</f>
        <v/>
      </c>
      <c r="CX42" s="107"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8" t="str">
        <f t="shared" si="11"/>
        <v/>
      </c>
      <c r="CZ42" s="99" t="str">
        <f>IF($CY42="","",IF($CY42&lt;'Technical Premium'!$C$19,"BEYOND AUTHORITY",IF($CY42&gt;0.005,"Above technical",IF($CY42&lt;-0.005,"BELOW technical","At technical"))))</f>
        <v/>
      </c>
      <c r="DA42" s="99"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4"/>
      <c r="DC42" s="94"/>
      <c r="DD42" s="95"/>
      <c r="DE42" s="94"/>
      <c r="DF42" s="94"/>
      <c r="DG42" s="99" t="str">
        <f t="shared" si="12"/>
        <v/>
      </c>
      <c r="DH42" s="99" t="str">
        <f>IF($A42="","",IF(OR($CX42="REFER",$CX42="DECLINE"),COUNTIF($CX$5:$CX42,"REFER")+COUNTIF($CX$5:$CX42,"DECLINE"),""))</f>
        <v/>
      </c>
      <c r="DI42" s="94"/>
    </row>
    <row r="43" spans="1:113" x14ac:dyDescent="0.35">
      <c r="A43" s="94"/>
      <c r="B43" s="94"/>
      <c r="C43" s="95"/>
      <c r="D43" s="95"/>
      <c r="E43" s="96"/>
      <c r="F43" s="94"/>
      <c r="G43" s="94"/>
      <c r="H43" s="94"/>
      <c r="I43" s="94"/>
      <c r="J43" s="97"/>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8"/>
      <c r="AR43" s="99" t="str">
        <f t="shared" si="0"/>
        <v/>
      </c>
      <c r="AS43" s="99" t="str">
        <f>IF($A43="","",IF($AP43&lt;&gt;"",$AP43,IFERROR(INDEX('Cat Zone by ZIP'!$D$6:$D$856,MATCH($AR43,'Cat Zone by ZIP'!$B$6:$B$856,0)),IFERROR(INDEX('Cat Zone by ZIP'!$C$860:$C$910,MATCH($K43,'Cat Zone by ZIP'!$B$860:$B$910,0)),"NOT FOUND"))))</f>
        <v/>
      </c>
      <c r="AT43" s="99" t="str">
        <f>IF($A43="","",IF($AP43&lt;&gt;"","Override",IF(ISNUMBER(MATCH($AR43,'Cat Zone by ZIP'!$B$6:$B$856,0)),"ZIP-3","State default")))</f>
        <v/>
      </c>
      <c r="AU43" s="100" t="str">
        <f>IF($A43="","",IFERROR(INDEX('Natural Catastrophe'!$D$6:$D$17,MATCH($AS43,'Natural Catastrophe'!$B$6:$B$17,0)),"?"))</f>
        <v/>
      </c>
      <c r="AV43" s="100" t="str">
        <f>IF($A43="","",IFERROR(INDEX('Natural Catastrophe'!$C$21:$C$26,MATCH($AA43,'Natural Catastrophe'!$B$21:$B$26,0)),"?"))</f>
        <v/>
      </c>
      <c r="AW43" s="99" t="str">
        <f>IF($A43="","",IFERROR(INDEX('Base Rates'!$C$4:$I$4,MATCH(MAX($J43,'Technical Premium'!$C$18),'Base Rates'!$C$3:$I$3,1)),"?"))</f>
        <v/>
      </c>
      <c r="AX43" s="101" t="str">
        <f>IF($A43="","",IFERROR(INDEX('Base Rates'!$C$5:$I$16,MATCH($I43,'Base Rates'!$B$5:$B$16,0),MATCH(MAX($J43,'Technical Premium'!$C$18),'Base Rates'!$C$3:$I$3,1)),"?"))</f>
        <v/>
      </c>
      <c r="AY43" s="102" t="str">
        <f t="shared" si="1"/>
        <v/>
      </c>
      <c r="AZ43" s="99" t="str">
        <f>IF($A43="","",IFERROR(INDEX('Make Factors'!$G$5:$G$69,MATCH($F43,'Make Factors'!$B$5:$B$69,0)),"?"))</f>
        <v/>
      </c>
      <c r="BA43" s="99" t="str">
        <f>IF($A43="","",IFERROR(INDEX('Driver Factors'!$C$6:$C$15,MATCH($R43,'Driver Factors'!$B$6:$B$15,0)),"?"))</f>
        <v/>
      </c>
      <c r="BB43" s="99" t="str">
        <f>IF($A43="","",IFERROR(INDEX('Driver Factors'!$C$19:$C$24,MATCH($S43,'Driver Factors'!$B$19:$B$24,0)),"?"))</f>
        <v/>
      </c>
      <c r="BC43" s="99" t="str">
        <f>IF($A43="","",IFERROR(INDEX('Driver Factors'!$C$28:$C$36,MATCH($T43,'Driver Factors'!$B$28:$B$36,0)),"?"))</f>
        <v/>
      </c>
      <c r="BD43" s="99" t="str">
        <f>IF($A43="","",IFERROR(INDEX('Claims History'!$C$6:$C$15,MATCH($U43,'Claims History'!$B$6:$B$15,0)),"?"))</f>
        <v/>
      </c>
      <c r="BE43" s="99" t="str">
        <f>IF($A43="","",IFERROR(INDEX('Territory Factors'!$E$6:$E$56,MATCH($K43,'Territory Factors'!$B$6:$B$56,0)),"?"))</f>
        <v/>
      </c>
      <c r="BF43" s="99" t="str">
        <f>IF($A43="","",IFERROR(INDEX('City Accident Ratings'!$G$6:$G$54,MATCH($Z43,'City Accident Ratings'!$B$6:$B$54,0)),"?"))</f>
        <v/>
      </c>
      <c r="BG43" s="99" t="str">
        <f>IF($A43="","",IFERROR(INDEX('Usage and Coverage'!$D$6:$D$20,MATCH($N43,'Usage and Coverage'!$C$6:$C$20,0)),"?"))</f>
        <v/>
      </c>
      <c r="BH43" s="99" t="str">
        <f>IF($A43="","",IFERROR(INDEX('Usage and Coverage'!$C$24:$C$30,MATCH($O43,'Usage and Coverage'!$B$24:$B$30,0)),"?"))</f>
        <v/>
      </c>
      <c r="BI43" s="99" t="str">
        <f>IF($A43="","",IFERROR(INDEX('Usage and Coverage'!$C$34:$C$40,MATCH($P43,'Usage and Coverage'!$B$34:$B$40,0)),"?"))</f>
        <v/>
      </c>
      <c r="BJ43" s="99" t="str">
        <f>IF($A43="","",IFERROR(INDEX('Usage and Coverage'!$C$44:$C$49,MATCH($Q43,'Usage and Coverage'!$B$44:$B$49,0)),"?"))</f>
        <v/>
      </c>
      <c r="BK43" s="99" t="str">
        <f>IF($A43="","",IFERROR(INDEX(Deductibles!$C$6:$I$15,MATCH($W43,Deductibles!$B$6:$B$15,0),MATCH(MAX($J43,'Technical Premium'!$C$18),'Base Rates'!$C$3:$I$3,1)),"?"))</f>
        <v/>
      </c>
      <c r="BL43" s="99" t="str">
        <f>IF($A43="","",IFERROR(INDEX('Usage and Coverage'!$C$63:$C$66,MATCH($X43,'Usage and Coverage'!$B$63:$B$66,0)),"?"))</f>
        <v/>
      </c>
      <c r="BM43" s="99" t="str">
        <f>IF($A43="","",IFERROR(INDEX('Usage and Coverage'!$C$70:$C$75,MATCH($V43,'Usage and Coverage'!$B$70:$B$75,0)),"?"))</f>
        <v/>
      </c>
      <c r="BN43" s="99" t="str">
        <f>IF($A43="","",IF($AB43="",1,IFERROR(INDEX(Deductibles!$C$48:$C$51,MATCH($AB43,Deductibles!$B$48:$B$51,0)),"?")))</f>
        <v/>
      </c>
      <c r="BO43" s="99" t="str">
        <f>IF($A43="","",IF($AC43="",1,IFERROR(INDEX(Deductibles!$C$55:$C$57,MATCH($AC43,Deductibles!$B$55:$B$57,0)),"?")))</f>
        <v/>
      </c>
      <c r="BP43" s="99" t="str">
        <f>IF($A43="","",IF($AD43="",1,IFERROR(INDEX(Deductibles!$C$61:$C$63,MATCH($AD43,Deductibles!$B$61:$B$63,0)),"?")))</f>
        <v/>
      </c>
      <c r="BQ43" s="99" t="str">
        <f>IF($A43="","",IF($AE43="",1,IFERROR(INDEX(Deductibles!$C$67:$C$69,MATCH($AE43,Deductibles!$B$67:$B$69,0)),"?")))</f>
        <v/>
      </c>
      <c r="BR43" s="99" t="str">
        <f>IF($A43="","",IF($AF43="",1,IFERROR(INDEX(Deductibles!$C$73:$C$74,MATCH($AF43,Deductibles!$B$73:$B$74,0)),"?")))</f>
        <v/>
      </c>
      <c r="BS43" s="99" t="str">
        <f>IF($A43="","",IF($AG43="",1,IFERROR(INDEX('Sublimits and Parts'!$C$49:$C$52,MATCH($AG43,'Sublimits and Parts'!$B$49:$B$52,0)),"?")))</f>
        <v/>
      </c>
      <c r="BT43" s="99" t="str">
        <f>IF($A43="","",IF($AH43="",1,IFERROR(INDEX('Sublimits and Parts'!$C$56:$C$60,MATCH($AH43,'Sublimits and Parts'!$B$56:$B$60,0)),"?")))</f>
        <v/>
      </c>
      <c r="BU43" s="99" t="str">
        <f>IF($A43="","",IF($AI43="",1,IFERROR(INDEX('Sublimits and Parts'!$C$64:$C$67,MATCH($AI43,'Sublimits and Parts'!$B$64:$B$67,0)),"?")))</f>
        <v/>
      </c>
      <c r="BV43" s="99" t="str">
        <f>IF($A43="","",IF($AJ43="",1,IFERROR(INDEX('Sublimits and Parts'!$C$71:$C$74,MATCH($AJ43,'Sublimits and Parts'!$B$71:$B$74,0)),"?")))</f>
        <v/>
      </c>
      <c r="BW43" s="99" t="str">
        <f>IF($A43="","",IF($AK43="",1,IFERROR(INDEX('Sublimits and Parts'!$C$78:$C$80,MATCH($AK43,'Sublimits and Parts'!$B$78:$B$80,0)),"?")))</f>
        <v/>
      </c>
      <c r="BX43" s="99" t="str">
        <f>IF($A43="","",IF($AL43="",1,IFERROR(INDEX('Sublimits and Parts'!$C$84:$C$87,MATCH($AL43,'Sublimits and Parts'!$B$84:$B$87,0)),"?")))</f>
        <v/>
      </c>
      <c r="BY43" s="99" t="str">
        <f>IF($A43="","",IF($AM43="",1,IFERROR(INDEX('Sublimits and Parts'!$C$91:$C$94,MATCH($AM43,'Sublimits and Parts'!$B$91:$B$94,0)),"?")))</f>
        <v/>
      </c>
      <c r="BZ43" s="99" t="str">
        <f>IF($A43="","",IF($AN43="",1,IFERROR(INDEX('Sublimits and Parts'!$C$98:$C$101,MATCH($AN43,'Sublimits and Parts'!$B$98:$B$101,0)),"?")))</f>
        <v/>
      </c>
      <c r="CA43" s="99" t="str">
        <f>IF($A43="","",IF($AO43="",1,IFERROR(INDEX('Sublimits and Parts'!$C$105:$C$109,MATCH($AO43,'Sublimits and Parts'!$B$105:$B$109,0)),"?")))</f>
        <v/>
      </c>
      <c r="CB43" s="100" t="str">
        <f t="shared" si="2"/>
        <v/>
      </c>
      <c r="CC43" s="100" t="str">
        <f t="shared" si="3"/>
        <v/>
      </c>
      <c r="CD43" s="103" t="str">
        <f>IF($A43="","",IF(OR($CB43="?",$CC43="?"),"?",MIN($CB43*$CC43,'Technical Premium'!$C$17)))</f>
        <v/>
      </c>
      <c r="CE43" s="102" t="str">
        <f t="shared" si="4"/>
        <v/>
      </c>
      <c r="CF43" s="102" t="str">
        <f>IF($A43="","",IFERROR(INDEX('Territory Factors'!$F$6:$F$56,MATCH($K43,'Territory Factors'!$B$6:$B$56,0)),"?"))</f>
        <v/>
      </c>
      <c r="CG43" s="100" t="str">
        <f>IF($A43="","",IFERROR(INDEX('Usage and Coverage'!$C$79:$C$84,MATCH($Y43,'Usage and Coverage'!$B$79:$B$84,0)),"?"))</f>
        <v/>
      </c>
      <c r="CH43" s="102" t="str">
        <f>IFERROR(IF(ISNUMBER($CD43),$CF43*$CG43*MIN($BG43*$BA43*$BC43*$BD43*$BH43*$BF43,'Technical Premium'!$C$17),""),"")</f>
        <v/>
      </c>
      <c r="CI43" s="102" t="str">
        <f t="shared" si="5"/>
        <v/>
      </c>
      <c r="CJ43" s="102" t="str">
        <f>IFERROR($CI43*(1+'Technical Premium'!$C$5)*(1+'Technical Premium'!$C$6),"")</f>
        <v/>
      </c>
      <c r="CK43" s="102" t="str">
        <f>IFERROR($CE43*INDEX('Territory Factors'!$G$6:$G$56,MATCH($K43,'Territory Factors'!$B$6:$B$56,0))*$AU43*$AV43,"")</f>
        <v/>
      </c>
      <c r="CL43" s="102" t="str">
        <f>IFERROR(($CJ43+$CK43)*(1+'Technical Premium'!$C$7),"")</f>
        <v/>
      </c>
      <c r="CM43" s="104" t="str">
        <f>IFERROR($CL43/'Technical Premium'!$C$13,"")</f>
        <v/>
      </c>
      <c r="CN43" s="105" t="str">
        <f t="shared" si="6"/>
        <v/>
      </c>
      <c r="CO43" s="104" t="str">
        <f t="shared" si="7"/>
        <v/>
      </c>
      <c r="CP43" s="105" t="str">
        <f t="shared" si="8"/>
        <v/>
      </c>
      <c r="CQ43" s="106" t="str">
        <f t="shared" si="9"/>
        <v/>
      </c>
      <c r="CR43" s="102" t="str">
        <f>IF(ISNUMBER($CM43),'Technical Premium'!$C$14+IF($J43&gt;=1000000,'Technical Premium'!$C$15,0),"")</f>
        <v/>
      </c>
      <c r="CS43" s="102" t="str">
        <f>IFERROR(($CO43+$CR43)*(INDEX('Territory Factors'!$K$6:$K$56,MATCH($K43,'Territory Factors'!$B$6:$B$56,0))+'Commission Structure'!$C$21),"")</f>
        <v/>
      </c>
      <c r="CT43" s="104" t="str">
        <f t="shared" si="10"/>
        <v/>
      </c>
      <c r="CU43" s="102" t="str">
        <f>IFERROR($CO43*('Commission Structure'!$C$6+'Commission Structure'!$C$7),"")</f>
        <v/>
      </c>
      <c r="CV43" s="102" t="str">
        <f>IFERROR($CO43*'Commission Structure'!$C$5-$CU43,"")</f>
        <v/>
      </c>
      <c r="CW43" s="102" t="str">
        <f>IFERROR($CO43*(1-'Commission Structure'!$C$5),"")</f>
        <v/>
      </c>
      <c r="CX43" s="107"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8" t="str">
        <f t="shared" si="11"/>
        <v/>
      </c>
      <c r="CZ43" s="99" t="str">
        <f>IF($CY43="","",IF($CY43&lt;'Technical Premium'!$C$19,"BEYOND AUTHORITY",IF($CY43&gt;0.005,"Above technical",IF($CY43&lt;-0.005,"BELOW technical","At technical"))))</f>
        <v/>
      </c>
      <c r="DA43" s="99"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4"/>
      <c r="DC43" s="94"/>
      <c r="DD43" s="95"/>
      <c r="DE43" s="94"/>
      <c r="DF43" s="94"/>
      <c r="DG43" s="99" t="str">
        <f t="shared" si="12"/>
        <v/>
      </c>
      <c r="DH43" s="99" t="str">
        <f>IF($A43="","",IF(OR($CX43="REFER",$CX43="DECLINE"),COUNTIF($CX$5:$CX43,"REFER")+COUNTIF($CX$5:$CX43,"DECLINE"),""))</f>
        <v/>
      </c>
      <c r="DI43" s="94"/>
    </row>
    <row r="44" spans="1:113" x14ac:dyDescent="0.35">
      <c r="A44" s="94"/>
      <c r="B44" s="94"/>
      <c r="C44" s="95"/>
      <c r="D44" s="95"/>
      <c r="E44" s="96"/>
      <c r="F44" s="94"/>
      <c r="G44" s="94"/>
      <c r="H44" s="94"/>
      <c r="I44" s="94"/>
      <c r="J44" s="97"/>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8"/>
      <c r="AR44" s="99" t="str">
        <f t="shared" si="0"/>
        <v/>
      </c>
      <c r="AS44" s="99" t="str">
        <f>IF($A44="","",IF($AP44&lt;&gt;"",$AP44,IFERROR(INDEX('Cat Zone by ZIP'!$D$6:$D$856,MATCH($AR44,'Cat Zone by ZIP'!$B$6:$B$856,0)),IFERROR(INDEX('Cat Zone by ZIP'!$C$860:$C$910,MATCH($K44,'Cat Zone by ZIP'!$B$860:$B$910,0)),"NOT FOUND"))))</f>
        <v/>
      </c>
      <c r="AT44" s="99" t="str">
        <f>IF($A44="","",IF($AP44&lt;&gt;"","Override",IF(ISNUMBER(MATCH($AR44,'Cat Zone by ZIP'!$B$6:$B$856,0)),"ZIP-3","State default")))</f>
        <v/>
      </c>
      <c r="AU44" s="100" t="str">
        <f>IF($A44="","",IFERROR(INDEX('Natural Catastrophe'!$D$6:$D$17,MATCH($AS44,'Natural Catastrophe'!$B$6:$B$17,0)),"?"))</f>
        <v/>
      </c>
      <c r="AV44" s="100" t="str">
        <f>IF($A44="","",IFERROR(INDEX('Natural Catastrophe'!$C$21:$C$26,MATCH($AA44,'Natural Catastrophe'!$B$21:$B$26,0)),"?"))</f>
        <v/>
      </c>
      <c r="AW44" s="99" t="str">
        <f>IF($A44="","",IFERROR(INDEX('Base Rates'!$C$4:$I$4,MATCH(MAX($J44,'Technical Premium'!$C$18),'Base Rates'!$C$3:$I$3,1)),"?"))</f>
        <v/>
      </c>
      <c r="AX44" s="101" t="str">
        <f>IF($A44="","",IFERROR(INDEX('Base Rates'!$C$5:$I$16,MATCH($I44,'Base Rates'!$B$5:$B$16,0),MATCH(MAX($J44,'Technical Premium'!$C$18),'Base Rates'!$C$3:$I$3,1)),"?"))</f>
        <v/>
      </c>
      <c r="AY44" s="102" t="str">
        <f t="shared" si="1"/>
        <v/>
      </c>
      <c r="AZ44" s="99" t="str">
        <f>IF($A44="","",IFERROR(INDEX('Make Factors'!$G$5:$G$69,MATCH($F44,'Make Factors'!$B$5:$B$69,0)),"?"))</f>
        <v/>
      </c>
      <c r="BA44" s="99" t="str">
        <f>IF($A44="","",IFERROR(INDEX('Driver Factors'!$C$6:$C$15,MATCH($R44,'Driver Factors'!$B$6:$B$15,0)),"?"))</f>
        <v/>
      </c>
      <c r="BB44" s="99" t="str">
        <f>IF($A44="","",IFERROR(INDEX('Driver Factors'!$C$19:$C$24,MATCH($S44,'Driver Factors'!$B$19:$B$24,0)),"?"))</f>
        <v/>
      </c>
      <c r="BC44" s="99" t="str">
        <f>IF($A44="","",IFERROR(INDEX('Driver Factors'!$C$28:$C$36,MATCH($T44,'Driver Factors'!$B$28:$B$36,0)),"?"))</f>
        <v/>
      </c>
      <c r="BD44" s="99" t="str">
        <f>IF($A44="","",IFERROR(INDEX('Claims History'!$C$6:$C$15,MATCH($U44,'Claims History'!$B$6:$B$15,0)),"?"))</f>
        <v/>
      </c>
      <c r="BE44" s="99" t="str">
        <f>IF($A44="","",IFERROR(INDEX('Territory Factors'!$E$6:$E$56,MATCH($K44,'Territory Factors'!$B$6:$B$56,0)),"?"))</f>
        <v/>
      </c>
      <c r="BF44" s="99" t="str">
        <f>IF($A44="","",IFERROR(INDEX('City Accident Ratings'!$G$6:$G$54,MATCH($Z44,'City Accident Ratings'!$B$6:$B$54,0)),"?"))</f>
        <v/>
      </c>
      <c r="BG44" s="99" t="str">
        <f>IF($A44="","",IFERROR(INDEX('Usage and Coverage'!$D$6:$D$20,MATCH($N44,'Usage and Coverage'!$C$6:$C$20,0)),"?"))</f>
        <v/>
      </c>
      <c r="BH44" s="99" t="str">
        <f>IF($A44="","",IFERROR(INDEX('Usage and Coverage'!$C$24:$C$30,MATCH($O44,'Usage and Coverage'!$B$24:$B$30,0)),"?"))</f>
        <v/>
      </c>
      <c r="BI44" s="99" t="str">
        <f>IF($A44="","",IFERROR(INDEX('Usage and Coverage'!$C$34:$C$40,MATCH($P44,'Usage and Coverage'!$B$34:$B$40,0)),"?"))</f>
        <v/>
      </c>
      <c r="BJ44" s="99" t="str">
        <f>IF($A44="","",IFERROR(INDEX('Usage and Coverage'!$C$44:$C$49,MATCH($Q44,'Usage and Coverage'!$B$44:$B$49,0)),"?"))</f>
        <v/>
      </c>
      <c r="BK44" s="99" t="str">
        <f>IF($A44="","",IFERROR(INDEX(Deductibles!$C$6:$I$15,MATCH($W44,Deductibles!$B$6:$B$15,0),MATCH(MAX($J44,'Technical Premium'!$C$18),'Base Rates'!$C$3:$I$3,1)),"?"))</f>
        <v/>
      </c>
      <c r="BL44" s="99" t="str">
        <f>IF($A44="","",IFERROR(INDEX('Usage and Coverage'!$C$63:$C$66,MATCH($X44,'Usage and Coverage'!$B$63:$B$66,0)),"?"))</f>
        <v/>
      </c>
      <c r="BM44" s="99" t="str">
        <f>IF($A44="","",IFERROR(INDEX('Usage and Coverage'!$C$70:$C$75,MATCH($V44,'Usage and Coverage'!$B$70:$B$75,0)),"?"))</f>
        <v/>
      </c>
      <c r="BN44" s="99" t="str">
        <f>IF($A44="","",IF($AB44="",1,IFERROR(INDEX(Deductibles!$C$48:$C$51,MATCH($AB44,Deductibles!$B$48:$B$51,0)),"?")))</f>
        <v/>
      </c>
      <c r="BO44" s="99" t="str">
        <f>IF($A44="","",IF($AC44="",1,IFERROR(INDEX(Deductibles!$C$55:$C$57,MATCH($AC44,Deductibles!$B$55:$B$57,0)),"?")))</f>
        <v/>
      </c>
      <c r="BP44" s="99" t="str">
        <f>IF($A44="","",IF($AD44="",1,IFERROR(INDEX(Deductibles!$C$61:$C$63,MATCH($AD44,Deductibles!$B$61:$B$63,0)),"?")))</f>
        <v/>
      </c>
      <c r="BQ44" s="99" t="str">
        <f>IF($A44="","",IF($AE44="",1,IFERROR(INDEX(Deductibles!$C$67:$C$69,MATCH($AE44,Deductibles!$B$67:$B$69,0)),"?")))</f>
        <v/>
      </c>
      <c r="BR44" s="99" t="str">
        <f>IF($A44="","",IF($AF44="",1,IFERROR(INDEX(Deductibles!$C$73:$C$74,MATCH($AF44,Deductibles!$B$73:$B$74,0)),"?")))</f>
        <v/>
      </c>
      <c r="BS44" s="99" t="str">
        <f>IF($A44="","",IF($AG44="",1,IFERROR(INDEX('Sublimits and Parts'!$C$49:$C$52,MATCH($AG44,'Sublimits and Parts'!$B$49:$B$52,0)),"?")))</f>
        <v/>
      </c>
      <c r="BT44" s="99" t="str">
        <f>IF($A44="","",IF($AH44="",1,IFERROR(INDEX('Sublimits and Parts'!$C$56:$C$60,MATCH($AH44,'Sublimits and Parts'!$B$56:$B$60,0)),"?")))</f>
        <v/>
      </c>
      <c r="BU44" s="99" t="str">
        <f>IF($A44="","",IF($AI44="",1,IFERROR(INDEX('Sublimits and Parts'!$C$64:$C$67,MATCH($AI44,'Sublimits and Parts'!$B$64:$B$67,0)),"?")))</f>
        <v/>
      </c>
      <c r="BV44" s="99" t="str">
        <f>IF($A44="","",IF($AJ44="",1,IFERROR(INDEX('Sublimits and Parts'!$C$71:$C$74,MATCH($AJ44,'Sublimits and Parts'!$B$71:$B$74,0)),"?")))</f>
        <v/>
      </c>
      <c r="BW44" s="99" t="str">
        <f>IF($A44="","",IF($AK44="",1,IFERROR(INDEX('Sublimits and Parts'!$C$78:$C$80,MATCH($AK44,'Sublimits and Parts'!$B$78:$B$80,0)),"?")))</f>
        <v/>
      </c>
      <c r="BX44" s="99" t="str">
        <f>IF($A44="","",IF($AL44="",1,IFERROR(INDEX('Sublimits and Parts'!$C$84:$C$87,MATCH($AL44,'Sublimits and Parts'!$B$84:$B$87,0)),"?")))</f>
        <v/>
      </c>
      <c r="BY44" s="99" t="str">
        <f>IF($A44="","",IF($AM44="",1,IFERROR(INDEX('Sublimits and Parts'!$C$91:$C$94,MATCH($AM44,'Sublimits and Parts'!$B$91:$B$94,0)),"?")))</f>
        <v/>
      </c>
      <c r="BZ44" s="99" t="str">
        <f>IF($A44="","",IF($AN44="",1,IFERROR(INDEX('Sublimits and Parts'!$C$98:$C$101,MATCH($AN44,'Sublimits and Parts'!$B$98:$B$101,0)),"?")))</f>
        <v/>
      </c>
      <c r="CA44" s="99" t="str">
        <f>IF($A44="","",IF($AO44="",1,IFERROR(INDEX('Sublimits and Parts'!$C$105:$C$109,MATCH($AO44,'Sublimits and Parts'!$B$105:$B$109,0)),"?")))</f>
        <v/>
      </c>
      <c r="CB44" s="100" t="str">
        <f t="shared" si="2"/>
        <v/>
      </c>
      <c r="CC44" s="100" t="str">
        <f t="shared" si="3"/>
        <v/>
      </c>
      <c r="CD44" s="103" t="str">
        <f>IF($A44="","",IF(OR($CB44="?",$CC44="?"),"?",MIN($CB44*$CC44,'Technical Premium'!$C$17)))</f>
        <v/>
      </c>
      <c r="CE44" s="102" t="str">
        <f t="shared" si="4"/>
        <v/>
      </c>
      <c r="CF44" s="102" t="str">
        <f>IF($A44="","",IFERROR(INDEX('Territory Factors'!$F$6:$F$56,MATCH($K44,'Territory Factors'!$B$6:$B$56,0)),"?"))</f>
        <v/>
      </c>
      <c r="CG44" s="100" t="str">
        <f>IF($A44="","",IFERROR(INDEX('Usage and Coverage'!$C$79:$C$84,MATCH($Y44,'Usage and Coverage'!$B$79:$B$84,0)),"?"))</f>
        <v/>
      </c>
      <c r="CH44" s="102" t="str">
        <f>IFERROR(IF(ISNUMBER($CD44),$CF44*$CG44*MIN($BG44*$BA44*$BC44*$BD44*$BH44*$BF44,'Technical Premium'!$C$17),""),"")</f>
        <v/>
      </c>
      <c r="CI44" s="102" t="str">
        <f t="shared" si="5"/>
        <v/>
      </c>
      <c r="CJ44" s="102" t="str">
        <f>IFERROR($CI44*(1+'Technical Premium'!$C$5)*(1+'Technical Premium'!$C$6),"")</f>
        <v/>
      </c>
      <c r="CK44" s="102" t="str">
        <f>IFERROR($CE44*INDEX('Territory Factors'!$G$6:$G$56,MATCH($K44,'Territory Factors'!$B$6:$B$56,0))*$AU44*$AV44,"")</f>
        <v/>
      </c>
      <c r="CL44" s="102" t="str">
        <f>IFERROR(($CJ44+$CK44)*(1+'Technical Premium'!$C$7),"")</f>
        <v/>
      </c>
      <c r="CM44" s="104" t="str">
        <f>IFERROR($CL44/'Technical Premium'!$C$13,"")</f>
        <v/>
      </c>
      <c r="CN44" s="105" t="str">
        <f t="shared" si="6"/>
        <v/>
      </c>
      <c r="CO44" s="104" t="str">
        <f t="shared" si="7"/>
        <v/>
      </c>
      <c r="CP44" s="105" t="str">
        <f t="shared" si="8"/>
        <v/>
      </c>
      <c r="CQ44" s="106" t="str">
        <f t="shared" si="9"/>
        <v/>
      </c>
      <c r="CR44" s="102" t="str">
        <f>IF(ISNUMBER($CM44),'Technical Premium'!$C$14+IF($J44&gt;=1000000,'Technical Premium'!$C$15,0),"")</f>
        <v/>
      </c>
      <c r="CS44" s="102" t="str">
        <f>IFERROR(($CO44+$CR44)*(INDEX('Territory Factors'!$K$6:$K$56,MATCH($K44,'Territory Factors'!$B$6:$B$56,0))+'Commission Structure'!$C$21),"")</f>
        <v/>
      </c>
      <c r="CT44" s="104" t="str">
        <f t="shared" si="10"/>
        <v/>
      </c>
      <c r="CU44" s="102" t="str">
        <f>IFERROR($CO44*('Commission Structure'!$C$6+'Commission Structure'!$C$7),"")</f>
        <v/>
      </c>
      <c r="CV44" s="102" t="str">
        <f>IFERROR($CO44*'Commission Structure'!$C$5-$CU44,"")</f>
        <v/>
      </c>
      <c r="CW44" s="102" t="str">
        <f>IFERROR($CO44*(1-'Commission Structure'!$C$5),"")</f>
        <v/>
      </c>
      <c r="CX44" s="107"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8" t="str">
        <f t="shared" si="11"/>
        <v/>
      </c>
      <c r="CZ44" s="99" t="str">
        <f>IF($CY44="","",IF($CY44&lt;'Technical Premium'!$C$19,"BEYOND AUTHORITY",IF($CY44&gt;0.005,"Above technical",IF($CY44&lt;-0.005,"BELOW technical","At technical"))))</f>
        <v/>
      </c>
      <c r="DA44" s="99"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4"/>
      <c r="DC44" s="94"/>
      <c r="DD44" s="95"/>
      <c r="DE44" s="94"/>
      <c r="DF44" s="94"/>
      <c r="DG44" s="99" t="str">
        <f t="shared" si="12"/>
        <v/>
      </c>
      <c r="DH44" s="99" t="str">
        <f>IF($A44="","",IF(OR($CX44="REFER",$CX44="DECLINE"),COUNTIF($CX$5:$CX44,"REFER")+COUNTIF($CX$5:$CX44,"DECLINE"),""))</f>
        <v/>
      </c>
      <c r="DI44" s="94"/>
    </row>
    <row r="45" spans="1:113" x14ac:dyDescent="0.35">
      <c r="A45" s="94"/>
      <c r="B45" s="94"/>
      <c r="C45" s="95"/>
      <c r="D45" s="95"/>
      <c r="E45" s="96"/>
      <c r="F45" s="94"/>
      <c r="G45" s="94"/>
      <c r="H45" s="94"/>
      <c r="I45" s="94"/>
      <c r="J45" s="97"/>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8"/>
      <c r="AR45" s="99" t="str">
        <f t="shared" si="0"/>
        <v/>
      </c>
      <c r="AS45" s="99" t="str">
        <f>IF($A45="","",IF($AP45&lt;&gt;"",$AP45,IFERROR(INDEX('Cat Zone by ZIP'!$D$6:$D$856,MATCH($AR45,'Cat Zone by ZIP'!$B$6:$B$856,0)),IFERROR(INDEX('Cat Zone by ZIP'!$C$860:$C$910,MATCH($K45,'Cat Zone by ZIP'!$B$860:$B$910,0)),"NOT FOUND"))))</f>
        <v/>
      </c>
      <c r="AT45" s="99" t="str">
        <f>IF($A45="","",IF($AP45&lt;&gt;"","Override",IF(ISNUMBER(MATCH($AR45,'Cat Zone by ZIP'!$B$6:$B$856,0)),"ZIP-3","State default")))</f>
        <v/>
      </c>
      <c r="AU45" s="100" t="str">
        <f>IF($A45="","",IFERROR(INDEX('Natural Catastrophe'!$D$6:$D$17,MATCH($AS45,'Natural Catastrophe'!$B$6:$B$17,0)),"?"))</f>
        <v/>
      </c>
      <c r="AV45" s="100" t="str">
        <f>IF($A45="","",IFERROR(INDEX('Natural Catastrophe'!$C$21:$C$26,MATCH($AA45,'Natural Catastrophe'!$B$21:$B$26,0)),"?"))</f>
        <v/>
      </c>
      <c r="AW45" s="99" t="str">
        <f>IF($A45="","",IFERROR(INDEX('Base Rates'!$C$4:$I$4,MATCH(MAX($J45,'Technical Premium'!$C$18),'Base Rates'!$C$3:$I$3,1)),"?"))</f>
        <v/>
      </c>
      <c r="AX45" s="101" t="str">
        <f>IF($A45="","",IFERROR(INDEX('Base Rates'!$C$5:$I$16,MATCH($I45,'Base Rates'!$B$5:$B$16,0),MATCH(MAX($J45,'Technical Premium'!$C$18),'Base Rates'!$C$3:$I$3,1)),"?"))</f>
        <v/>
      </c>
      <c r="AY45" s="102" t="str">
        <f t="shared" si="1"/>
        <v/>
      </c>
      <c r="AZ45" s="99" t="str">
        <f>IF($A45="","",IFERROR(INDEX('Make Factors'!$G$5:$G$69,MATCH($F45,'Make Factors'!$B$5:$B$69,0)),"?"))</f>
        <v/>
      </c>
      <c r="BA45" s="99" t="str">
        <f>IF($A45="","",IFERROR(INDEX('Driver Factors'!$C$6:$C$15,MATCH($R45,'Driver Factors'!$B$6:$B$15,0)),"?"))</f>
        <v/>
      </c>
      <c r="BB45" s="99" t="str">
        <f>IF($A45="","",IFERROR(INDEX('Driver Factors'!$C$19:$C$24,MATCH($S45,'Driver Factors'!$B$19:$B$24,0)),"?"))</f>
        <v/>
      </c>
      <c r="BC45" s="99" t="str">
        <f>IF($A45="","",IFERROR(INDEX('Driver Factors'!$C$28:$C$36,MATCH($T45,'Driver Factors'!$B$28:$B$36,0)),"?"))</f>
        <v/>
      </c>
      <c r="BD45" s="99" t="str">
        <f>IF($A45="","",IFERROR(INDEX('Claims History'!$C$6:$C$15,MATCH($U45,'Claims History'!$B$6:$B$15,0)),"?"))</f>
        <v/>
      </c>
      <c r="BE45" s="99" t="str">
        <f>IF($A45="","",IFERROR(INDEX('Territory Factors'!$E$6:$E$56,MATCH($K45,'Territory Factors'!$B$6:$B$56,0)),"?"))</f>
        <v/>
      </c>
      <c r="BF45" s="99" t="str">
        <f>IF($A45="","",IFERROR(INDEX('City Accident Ratings'!$G$6:$G$54,MATCH($Z45,'City Accident Ratings'!$B$6:$B$54,0)),"?"))</f>
        <v/>
      </c>
      <c r="BG45" s="99" t="str">
        <f>IF($A45="","",IFERROR(INDEX('Usage and Coverage'!$D$6:$D$20,MATCH($N45,'Usage and Coverage'!$C$6:$C$20,0)),"?"))</f>
        <v/>
      </c>
      <c r="BH45" s="99" t="str">
        <f>IF($A45="","",IFERROR(INDEX('Usage and Coverage'!$C$24:$C$30,MATCH($O45,'Usage and Coverage'!$B$24:$B$30,0)),"?"))</f>
        <v/>
      </c>
      <c r="BI45" s="99" t="str">
        <f>IF($A45="","",IFERROR(INDEX('Usage and Coverage'!$C$34:$C$40,MATCH($P45,'Usage and Coverage'!$B$34:$B$40,0)),"?"))</f>
        <v/>
      </c>
      <c r="BJ45" s="99" t="str">
        <f>IF($A45="","",IFERROR(INDEX('Usage and Coverage'!$C$44:$C$49,MATCH($Q45,'Usage and Coverage'!$B$44:$B$49,0)),"?"))</f>
        <v/>
      </c>
      <c r="BK45" s="99" t="str">
        <f>IF($A45="","",IFERROR(INDEX(Deductibles!$C$6:$I$15,MATCH($W45,Deductibles!$B$6:$B$15,0),MATCH(MAX($J45,'Technical Premium'!$C$18),'Base Rates'!$C$3:$I$3,1)),"?"))</f>
        <v/>
      </c>
      <c r="BL45" s="99" t="str">
        <f>IF($A45="","",IFERROR(INDEX('Usage and Coverage'!$C$63:$C$66,MATCH($X45,'Usage and Coverage'!$B$63:$B$66,0)),"?"))</f>
        <v/>
      </c>
      <c r="BM45" s="99" t="str">
        <f>IF($A45="","",IFERROR(INDEX('Usage and Coverage'!$C$70:$C$75,MATCH($V45,'Usage and Coverage'!$B$70:$B$75,0)),"?"))</f>
        <v/>
      </c>
      <c r="BN45" s="99" t="str">
        <f>IF($A45="","",IF($AB45="",1,IFERROR(INDEX(Deductibles!$C$48:$C$51,MATCH($AB45,Deductibles!$B$48:$B$51,0)),"?")))</f>
        <v/>
      </c>
      <c r="BO45" s="99" t="str">
        <f>IF($A45="","",IF($AC45="",1,IFERROR(INDEX(Deductibles!$C$55:$C$57,MATCH($AC45,Deductibles!$B$55:$B$57,0)),"?")))</f>
        <v/>
      </c>
      <c r="BP45" s="99" t="str">
        <f>IF($A45="","",IF($AD45="",1,IFERROR(INDEX(Deductibles!$C$61:$C$63,MATCH($AD45,Deductibles!$B$61:$B$63,0)),"?")))</f>
        <v/>
      </c>
      <c r="BQ45" s="99" t="str">
        <f>IF($A45="","",IF($AE45="",1,IFERROR(INDEX(Deductibles!$C$67:$C$69,MATCH($AE45,Deductibles!$B$67:$B$69,0)),"?")))</f>
        <v/>
      </c>
      <c r="BR45" s="99" t="str">
        <f>IF($A45="","",IF($AF45="",1,IFERROR(INDEX(Deductibles!$C$73:$C$74,MATCH($AF45,Deductibles!$B$73:$B$74,0)),"?")))</f>
        <v/>
      </c>
      <c r="BS45" s="99" t="str">
        <f>IF($A45="","",IF($AG45="",1,IFERROR(INDEX('Sublimits and Parts'!$C$49:$C$52,MATCH($AG45,'Sublimits and Parts'!$B$49:$B$52,0)),"?")))</f>
        <v/>
      </c>
      <c r="BT45" s="99" t="str">
        <f>IF($A45="","",IF($AH45="",1,IFERROR(INDEX('Sublimits and Parts'!$C$56:$C$60,MATCH($AH45,'Sublimits and Parts'!$B$56:$B$60,0)),"?")))</f>
        <v/>
      </c>
      <c r="BU45" s="99" t="str">
        <f>IF($A45="","",IF($AI45="",1,IFERROR(INDEX('Sublimits and Parts'!$C$64:$C$67,MATCH($AI45,'Sublimits and Parts'!$B$64:$B$67,0)),"?")))</f>
        <v/>
      </c>
      <c r="BV45" s="99" t="str">
        <f>IF($A45="","",IF($AJ45="",1,IFERROR(INDEX('Sublimits and Parts'!$C$71:$C$74,MATCH($AJ45,'Sublimits and Parts'!$B$71:$B$74,0)),"?")))</f>
        <v/>
      </c>
      <c r="BW45" s="99" t="str">
        <f>IF($A45="","",IF($AK45="",1,IFERROR(INDEX('Sublimits and Parts'!$C$78:$C$80,MATCH($AK45,'Sublimits and Parts'!$B$78:$B$80,0)),"?")))</f>
        <v/>
      </c>
      <c r="BX45" s="99" t="str">
        <f>IF($A45="","",IF($AL45="",1,IFERROR(INDEX('Sublimits and Parts'!$C$84:$C$87,MATCH($AL45,'Sublimits and Parts'!$B$84:$B$87,0)),"?")))</f>
        <v/>
      </c>
      <c r="BY45" s="99" t="str">
        <f>IF($A45="","",IF($AM45="",1,IFERROR(INDEX('Sublimits and Parts'!$C$91:$C$94,MATCH($AM45,'Sublimits and Parts'!$B$91:$B$94,0)),"?")))</f>
        <v/>
      </c>
      <c r="BZ45" s="99" t="str">
        <f>IF($A45="","",IF($AN45="",1,IFERROR(INDEX('Sublimits and Parts'!$C$98:$C$101,MATCH($AN45,'Sublimits and Parts'!$B$98:$B$101,0)),"?")))</f>
        <v/>
      </c>
      <c r="CA45" s="99" t="str">
        <f>IF($A45="","",IF($AO45="",1,IFERROR(INDEX('Sublimits and Parts'!$C$105:$C$109,MATCH($AO45,'Sublimits and Parts'!$B$105:$B$109,0)),"?")))</f>
        <v/>
      </c>
      <c r="CB45" s="100" t="str">
        <f t="shared" si="2"/>
        <v/>
      </c>
      <c r="CC45" s="100" t="str">
        <f t="shared" si="3"/>
        <v/>
      </c>
      <c r="CD45" s="103" t="str">
        <f>IF($A45="","",IF(OR($CB45="?",$CC45="?"),"?",MIN($CB45*$CC45,'Technical Premium'!$C$17)))</f>
        <v/>
      </c>
      <c r="CE45" s="102" t="str">
        <f t="shared" si="4"/>
        <v/>
      </c>
      <c r="CF45" s="102" t="str">
        <f>IF($A45="","",IFERROR(INDEX('Territory Factors'!$F$6:$F$56,MATCH($K45,'Territory Factors'!$B$6:$B$56,0)),"?"))</f>
        <v/>
      </c>
      <c r="CG45" s="100" t="str">
        <f>IF($A45="","",IFERROR(INDEX('Usage and Coverage'!$C$79:$C$84,MATCH($Y45,'Usage and Coverage'!$B$79:$B$84,0)),"?"))</f>
        <v/>
      </c>
      <c r="CH45" s="102" t="str">
        <f>IFERROR(IF(ISNUMBER($CD45),$CF45*$CG45*MIN($BG45*$BA45*$BC45*$BD45*$BH45*$BF45,'Technical Premium'!$C$17),""),"")</f>
        <v/>
      </c>
      <c r="CI45" s="102" t="str">
        <f t="shared" si="5"/>
        <v/>
      </c>
      <c r="CJ45" s="102" t="str">
        <f>IFERROR($CI45*(1+'Technical Premium'!$C$5)*(1+'Technical Premium'!$C$6),"")</f>
        <v/>
      </c>
      <c r="CK45" s="102" t="str">
        <f>IFERROR($CE45*INDEX('Territory Factors'!$G$6:$G$56,MATCH($K45,'Territory Factors'!$B$6:$B$56,0))*$AU45*$AV45,"")</f>
        <v/>
      </c>
      <c r="CL45" s="102" t="str">
        <f>IFERROR(($CJ45+$CK45)*(1+'Technical Premium'!$C$7),"")</f>
        <v/>
      </c>
      <c r="CM45" s="104" t="str">
        <f>IFERROR($CL45/'Technical Premium'!$C$13,"")</f>
        <v/>
      </c>
      <c r="CN45" s="105" t="str">
        <f t="shared" si="6"/>
        <v/>
      </c>
      <c r="CO45" s="104" t="str">
        <f t="shared" si="7"/>
        <v/>
      </c>
      <c r="CP45" s="105" t="str">
        <f t="shared" si="8"/>
        <v/>
      </c>
      <c r="CQ45" s="106" t="str">
        <f t="shared" si="9"/>
        <v/>
      </c>
      <c r="CR45" s="102" t="str">
        <f>IF(ISNUMBER($CM45),'Technical Premium'!$C$14+IF($J45&gt;=1000000,'Technical Premium'!$C$15,0),"")</f>
        <v/>
      </c>
      <c r="CS45" s="102" t="str">
        <f>IFERROR(($CO45+$CR45)*(INDEX('Territory Factors'!$K$6:$K$56,MATCH($K45,'Territory Factors'!$B$6:$B$56,0))+'Commission Structure'!$C$21),"")</f>
        <v/>
      </c>
      <c r="CT45" s="104" t="str">
        <f t="shared" si="10"/>
        <v/>
      </c>
      <c r="CU45" s="102" t="str">
        <f>IFERROR($CO45*('Commission Structure'!$C$6+'Commission Structure'!$C$7),"")</f>
        <v/>
      </c>
      <c r="CV45" s="102" t="str">
        <f>IFERROR($CO45*'Commission Structure'!$C$5-$CU45,"")</f>
        <v/>
      </c>
      <c r="CW45" s="102" t="str">
        <f>IFERROR($CO45*(1-'Commission Structure'!$C$5),"")</f>
        <v/>
      </c>
      <c r="CX45" s="107"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8" t="str">
        <f t="shared" si="11"/>
        <v/>
      </c>
      <c r="CZ45" s="99" t="str">
        <f>IF($CY45="","",IF($CY45&lt;'Technical Premium'!$C$19,"BEYOND AUTHORITY",IF($CY45&gt;0.005,"Above technical",IF($CY45&lt;-0.005,"BELOW technical","At technical"))))</f>
        <v/>
      </c>
      <c r="DA45" s="99"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4"/>
      <c r="DC45" s="94"/>
      <c r="DD45" s="95"/>
      <c r="DE45" s="94"/>
      <c r="DF45" s="94"/>
      <c r="DG45" s="99" t="str">
        <f t="shared" si="12"/>
        <v/>
      </c>
      <c r="DH45" s="99" t="str">
        <f>IF($A45="","",IF(OR($CX45="REFER",$CX45="DECLINE"),COUNTIF($CX$5:$CX45,"REFER")+COUNTIF($CX$5:$CX45,"DECLINE"),""))</f>
        <v/>
      </c>
      <c r="DI45" s="94"/>
    </row>
    <row r="46" spans="1:113" x14ac:dyDescent="0.35">
      <c r="A46" s="94"/>
      <c r="B46" s="94"/>
      <c r="C46" s="95"/>
      <c r="D46" s="95"/>
      <c r="E46" s="96"/>
      <c r="F46" s="94"/>
      <c r="G46" s="94"/>
      <c r="H46" s="94"/>
      <c r="I46" s="94"/>
      <c r="J46" s="97"/>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8"/>
      <c r="AR46" s="99" t="str">
        <f t="shared" si="0"/>
        <v/>
      </c>
      <c r="AS46" s="99" t="str">
        <f>IF($A46="","",IF($AP46&lt;&gt;"",$AP46,IFERROR(INDEX('Cat Zone by ZIP'!$D$6:$D$856,MATCH($AR46,'Cat Zone by ZIP'!$B$6:$B$856,0)),IFERROR(INDEX('Cat Zone by ZIP'!$C$860:$C$910,MATCH($K46,'Cat Zone by ZIP'!$B$860:$B$910,0)),"NOT FOUND"))))</f>
        <v/>
      </c>
      <c r="AT46" s="99" t="str">
        <f>IF($A46="","",IF($AP46&lt;&gt;"","Override",IF(ISNUMBER(MATCH($AR46,'Cat Zone by ZIP'!$B$6:$B$856,0)),"ZIP-3","State default")))</f>
        <v/>
      </c>
      <c r="AU46" s="100" t="str">
        <f>IF($A46="","",IFERROR(INDEX('Natural Catastrophe'!$D$6:$D$17,MATCH($AS46,'Natural Catastrophe'!$B$6:$B$17,0)),"?"))</f>
        <v/>
      </c>
      <c r="AV46" s="100" t="str">
        <f>IF($A46="","",IFERROR(INDEX('Natural Catastrophe'!$C$21:$C$26,MATCH($AA46,'Natural Catastrophe'!$B$21:$B$26,0)),"?"))</f>
        <v/>
      </c>
      <c r="AW46" s="99" t="str">
        <f>IF($A46="","",IFERROR(INDEX('Base Rates'!$C$4:$I$4,MATCH(MAX($J46,'Technical Premium'!$C$18),'Base Rates'!$C$3:$I$3,1)),"?"))</f>
        <v/>
      </c>
      <c r="AX46" s="101" t="str">
        <f>IF($A46="","",IFERROR(INDEX('Base Rates'!$C$5:$I$16,MATCH($I46,'Base Rates'!$B$5:$B$16,0),MATCH(MAX($J46,'Technical Premium'!$C$18),'Base Rates'!$C$3:$I$3,1)),"?"))</f>
        <v/>
      </c>
      <c r="AY46" s="102" t="str">
        <f t="shared" si="1"/>
        <v/>
      </c>
      <c r="AZ46" s="99" t="str">
        <f>IF($A46="","",IFERROR(INDEX('Make Factors'!$G$5:$G$69,MATCH($F46,'Make Factors'!$B$5:$B$69,0)),"?"))</f>
        <v/>
      </c>
      <c r="BA46" s="99" t="str">
        <f>IF($A46="","",IFERROR(INDEX('Driver Factors'!$C$6:$C$15,MATCH($R46,'Driver Factors'!$B$6:$B$15,0)),"?"))</f>
        <v/>
      </c>
      <c r="BB46" s="99" t="str">
        <f>IF($A46="","",IFERROR(INDEX('Driver Factors'!$C$19:$C$24,MATCH($S46,'Driver Factors'!$B$19:$B$24,0)),"?"))</f>
        <v/>
      </c>
      <c r="BC46" s="99" t="str">
        <f>IF($A46="","",IFERROR(INDEX('Driver Factors'!$C$28:$C$36,MATCH($T46,'Driver Factors'!$B$28:$B$36,0)),"?"))</f>
        <v/>
      </c>
      <c r="BD46" s="99" t="str">
        <f>IF($A46="","",IFERROR(INDEX('Claims History'!$C$6:$C$15,MATCH($U46,'Claims History'!$B$6:$B$15,0)),"?"))</f>
        <v/>
      </c>
      <c r="BE46" s="99" t="str">
        <f>IF($A46="","",IFERROR(INDEX('Territory Factors'!$E$6:$E$56,MATCH($K46,'Territory Factors'!$B$6:$B$56,0)),"?"))</f>
        <v/>
      </c>
      <c r="BF46" s="99" t="str">
        <f>IF($A46="","",IFERROR(INDEX('City Accident Ratings'!$G$6:$G$54,MATCH($Z46,'City Accident Ratings'!$B$6:$B$54,0)),"?"))</f>
        <v/>
      </c>
      <c r="BG46" s="99" t="str">
        <f>IF($A46="","",IFERROR(INDEX('Usage and Coverage'!$D$6:$D$20,MATCH($N46,'Usage and Coverage'!$C$6:$C$20,0)),"?"))</f>
        <v/>
      </c>
      <c r="BH46" s="99" t="str">
        <f>IF($A46="","",IFERROR(INDEX('Usage and Coverage'!$C$24:$C$30,MATCH($O46,'Usage and Coverage'!$B$24:$B$30,0)),"?"))</f>
        <v/>
      </c>
      <c r="BI46" s="99" t="str">
        <f>IF($A46="","",IFERROR(INDEX('Usage and Coverage'!$C$34:$C$40,MATCH($P46,'Usage and Coverage'!$B$34:$B$40,0)),"?"))</f>
        <v/>
      </c>
      <c r="BJ46" s="99" t="str">
        <f>IF($A46="","",IFERROR(INDEX('Usage and Coverage'!$C$44:$C$49,MATCH($Q46,'Usage and Coverage'!$B$44:$B$49,0)),"?"))</f>
        <v/>
      </c>
      <c r="BK46" s="99" t="str">
        <f>IF($A46="","",IFERROR(INDEX(Deductibles!$C$6:$I$15,MATCH($W46,Deductibles!$B$6:$B$15,0),MATCH(MAX($J46,'Technical Premium'!$C$18),'Base Rates'!$C$3:$I$3,1)),"?"))</f>
        <v/>
      </c>
      <c r="BL46" s="99" t="str">
        <f>IF($A46="","",IFERROR(INDEX('Usage and Coverage'!$C$63:$C$66,MATCH($X46,'Usage and Coverage'!$B$63:$B$66,0)),"?"))</f>
        <v/>
      </c>
      <c r="BM46" s="99" t="str">
        <f>IF($A46="","",IFERROR(INDEX('Usage and Coverage'!$C$70:$C$75,MATCH($V46,'Usage and Coverage'!$B$70:$B$75,0)),"?"))</f>
        <v/>
      </c>
      <c r="BN46" s="99" t="str">
        <f>IF($A46="","",IF($AB46="",1,IFERROR(INDEX(Deductibles!$C$48:$C$51,MATCH($AB46,Deductibles!$B$48:$B$51,0)),"?")))</f>
        <v/>
      </c>
      <c r="BO46" s="99" t="str">
        <f>IF($A46="","",IF($AC46="",1,IFERROR(INDEX(Deductibles!$C$55:$C$57,MATCH($AC46,Deductibles!$B$55:$B$57,0)),"?")))</f>
        <v/>
      </c>
      <c r="BP46" s="99" t="str">
        <f>IF($A46="","",IF($AD46="",1,IFERROR(INDEX(Deductibles!$C$61:$C$63,MATCH($AD46,Deductibles!$B$61:$B$63,0)),"?")))</f>
        <v/>
      </c>
      <c r="BQ46" s="99" t="str">
        <f>IF($A46="","",IF($AE46="",1,IFERROR(INDEX(Deductibles!$C$67:$C$69,MATCH($AE46,Deductibles!$B$67:$B$69,0)),"?")))</f>
        <v/>
      </c>
      <c r="BR46" s="99" t="str">
        <f>IF($A46="","",IF($AF46="",1,IFERROR(INDEX(Deductibles!$C$73:$C$74,MATCH($AF46,Deductibles!$B$73:$B$74,0)),"?")))</f>
        <v/>
      </c>
      <c r="BS46" s="99" t="str">
        <f>IF($A46="","",IF($AG46="",1,IFERROR(INDEX('Sublimits and Parts'!$C$49:$C$52,MATCH($AG46,'Sublimits and Parts'!$B$49:$B$52,0)),"?")))</f>
        <v/>
      </c>
      <c r="BT46" s="99" t="str">
        <f>IF($A46="","",IF($AH46="",1,IFERROR(INDEX('Sublimits and Parts'!$C$56:$C$60,MATCH($AH46,'Sublimits and Parts'!$B$56:$B$60,0)),"?")))</f>
        <v/>
      </c>
      <c r="BU46" s="99" t="str">
        <f>IF($A46="","",IF($AI46="",1,IFERROR(INDEX('Sublimits and Parts'!$C$64:$C$67,MATCH($AI46,'Sublimits and Parts'!$B$64:$B$67,0)),"?")))</f>
        <v/>
      </c>
      <c r="BV46" s="99" t="str">
        <f>IF($A46="","",IF($AJ46="",1,IFERROR(INDEX('Sublimits and Parts'!$C$71:$C$74,MATCH($AJ46,'Sublimits and Parts'!$B$71:$B$74,0)),"?")))</f>
        <v/>
      </c>
      <c r="BW46" s="99" t="str">
        <f>IF($A46="","",IF($AK46="",1,IFERROR(INDEX('Sublimits and Parts'!$C$78:$C$80,MATCH($AK46,'Sublimits and Parts'!$B$78:$B$80,0)),"?")))</f>
        <v/>
      </c>
      <c r="BX46" s="99" t="str">
        <f>IF($A46="","",IF($AL46="",1,IFERROR(INDEX('Sublimits and Parts'!$C$84:$C$87,MATCH($AL46,'Sublimits and Parts'!$B$84:$B$87,0)),"?")))</f>
        <v/>
      </c>
      <c r="BY46" s="99" t="str">
        <f>IF($A46="","",IF($AM46="",1,IFERROR(INDEX('Sublimits and Parts'!$C$91:$C$94,MATCH($AM46,'Sublimits and Parts'!$B$91:$B$94,0)),"?")))</f>
        <v/>
      </c>
      <c r="BZ46" s="99" t="str">
        <f>IF($A46="","",IF($AN46="",1,IFERROR(INDEX('Sublimits and Parts'!$C$98:$C$101,MATCH($AN46,'Sublimits and Parts'!$B$98:$B$101,0)),"?")))</f>
        <v/>
      </c>
      <c r="CA46" s="99" t="str">
        <f>IF($A46="","",IF($AO46="",1,IFERROR(INDEX('Sublimits and Parts'!$C$105:$C$109,MATCH($AO46,'Sublimits and Parts'!$B$105:$B$109,0)),"?")))</f>
        <v/>
      </c>
      <c r="CB46" s="100" t="str">
        <f t="shared" si="2"/>
        <v/>
      </c>
      <c r="CC46" s="100" t="str">
        <f t="shared" si="3"/>
        <v/>
      </c>
      <c r="CD46" s="103" t="str">
        <f>IF($A46="","",IF(OR($CB46="?",$CC46="?"),"?",MIN($CB46*$CC46,'Technical Premium'!$C$17)))</f>
        <v/>
      </c>
      <c r="CE46" s="102" t="str">
        <f t="shared" si="4"/>
        <v/>
      </c>
      <c r="CF46" s="102" t="str">
        <f>IF($A46="","",IFERROR(INDEX('Territory Factors'!$F$6:$F$56,MATCH($K46,'Territory Factors'!$B$6:$B$56,0)),"?"))</f>
        <v/>
      </c>
      <c r="CG46" s="100" t="str">
        <f>IF($A46="","",IFERROR(INDEX('Usage and Coverage'!$C$79:$C$84,MATCH($Y46,'Usage and Coverage'!$B$79:$B$84,0)),"?"))</f>
        <v/>
      </c>
      <c r="CH46" s="102" t="str">
        <f>IFERROR(IF(ISNUMBER($CD46),$CF46*$CG46*MIN($BG46*$BA46*$BC46*$BD46*$BH46*$BF46,'Technical Premium'!$C$17),""),"")</f>
        <v/>
      </c>
      <c r="CI46" s="102" t="str">
        <f t="shared" si="5"/>
        <v/>
      </c>
      <c r="CJ46" s="102" t="str">
        <f>IFERROR($CI46*(1+'Technical Premium'!$C$5)*(1+'Technical Premium'!$C$6),"")</f>
        <v/>
      </c>
      <c r="CK46" s="102" t="str">
        <f>IFERROR($CE46*INDEX('Territory Factors'!$G$6:$G$56,MATCH($K46,'Territory Factors'!$B$6:$B$56,0))*$AU46*$AV46,"")</f>
        <v/>
      </c>
      <c r="CL46" s="102" t="str">
        <f>IFERROR(($CJ46+$CK46)*(1+'Technical Premium'!$C$7),"")</f>
        <v/>
      </c>
      <c r="CM46" s="104" t="str">
        <f>IFERROR($CL46/'Technical Premium'!$C$13,"")</f>
        <v/>
      </c>
      <c r="CN46" s="105" t="str">
        <f t="shared" si="6"/>
        <v/>
      </c>
      <c r="CO46" s="104" t="str">
        <f t="shared" si="7"/>
        <v/>
      </c>
      <c r="CP46" s="105" t="str">
        <f t="shared" si="8"/>
        <v/>
      </c>
      <c r="CQ46" s="106" t="str">
        <f t="shared" si="9"/>
        <v/>
      </c>
      <c r="CR46" s="102" t="str">
        <f>IF(ISNUMBER($CM46),'Technical Premium'!$C$14+IF($J46&gt;=1000000,'Technical Premium'!$C$15,0),"")</f>
        <v/>
      </c>
      <c r="CS46" s="102" t="str">
        <f>IFERROR(($CO46+$CR46)*(INDEX('Territory Factors'!$K$6:$K$56,MATCH($K46,'Territory Factors'!$B$6:$B$56,0))+'Commission Structure'!$C$21),"")</f>
        <v/>
      </c>
      <c r="CT46" s="104" t="str">
        <f t="shared" si="10"/>
        <v/>
      </c>
      <c r="CU46" s="102" t="str">
        <f>IFERROR($CO46*('Commission Structure'!$C$6+'Commission Structure'!$C$7),"")</f>
        <v/>
      </c>
      <c r="CV46" s="102" t="str">
        <f>IFERROR($CO46*'Commission Structure'!$C$5-$CU46,"")</f>
        <v/>
      </c>
      <c r="CW46" s="102" t="str">
        <f>IFERROR($CO46*(1-'Commission Structure'!$C$5),"")</f>
        <v/>
      </c>
      <c r="CX46" s="107"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8" t="str">
        <f t="shared" si="11"/>
        <v/>
      </c>
      <c r="CZ46" s="99" t="str">
        <f>IF($CY46="","",IF($CY46&lt;'Technical Premium'!$C$19,"BEYOND AUTHORITY",IF($CY46&gt;0.005,"Above technical",IF($CY46&lt;-0.005,"BELOW technical","At technical"))))</f>
        <v/>
      </c>
      <c r="DA46" s="99"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4"/>
      <c r="DC46" s="94"/>
      <c r="DD46" s="95"/>
      <c r="DE46" s="94"/>
      <c r="DF46" s="94"/>
      <c r="DG46" s="99" t="str">
        <f t="shared" si="12"/>
        <v/>
      </c>
      <c r="DH46" s="99" t="str">
        <f>IF($A46="","",IF(OR($CX46="REFER",$CX46="DECLINE"),COUNTIF($CX$5:$CX46,"REFER")+COUNTIF($CX$5:$CX46,"DECLINE"),""))</f>
        <v/>
      </c>
      <c r="DI46" s="94"/>
    </row>
    <row r="47" spans="1:113" x14ac:dyDescent="0.35">
      <c r="A47" s="94"/>
      <c r="B47" s="94"/>
      <c r="C47" s="95"/>
      <c r="D47" s="95"/>
      <c r="E47" s="96"/>
      <c r="F47" s="94"/>
      <c r="G47" s="94"/>
      <c r="H47" s="94"/>
      <c r="I47" s="94"/>
      <c r="J47" s="97"/>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8"/>
      <c r="AR47" s="99" t="str">
        <f t="shared" si="0"/>
        <v/>
      </c>
      <c r="AS47" s="99" t="str">
        <f>IF($A47="","",IF($AP47&lt;&gt;"",$AP47,IFERROR(INDEX('Cat Zone by ZIP'!$D$6:$D$856,MATCH($AR47,'Cat Zone by ZIP'!$B$6:$B$856,0)),IFERROR(INDEX('Cat Zone by ZIP'!$C$860:$C$910,MATCH($K47,'Cat Zone by ZIP'!$B$860:$B$910,0)),"NOT FOUND"))))</f>
        <v/>
      </c>
      <c r="AT47" s="99" t="str">
        <f>IF($A47="","",IF($AP47&lt;&gt;"","Override",IF(ISNUMBER(MATCH($AR47,'Cat Zone by ZIP'!$B$6:$B$856,0)),"ZIP-3","State default")))</f>
        <v/>
      </c>
      <c r="AU47" s="100" t="str">
        <f>IF($A47="","",IFERROR(INDEX('Natural Catastrophe'!$D$6:$D$17,MATCH($AS47,'Natural Catastrophe'!$B$6:$B$17,0)),"?"))</f>
        <v/>
      </c>
      <c r="AV47" s="100" t="str">
        <f>IF($A47="","",IFERROR(INDEX('Natural Catastrophe'!$C$21:$C$26,MATCH($AA47,'Natural Catastrophe'!$B$21:$B$26,0)),"?"))</f>
        <v/>
      </c>
      <c r="AW47" s="99" t="str">
        <f>IF($A47="","",IFERROR(INDEX('Base Rates'!$C$4:$I$4,MATCH(MAX($J47,'Technical Premium'!$C$18),'Base Rates'!$C$3:$I$3,1)),"?"))</f>
        <v/>
      </c>
      <c r="AX47" s="101" t="str">
        <f>IF($A47="","",IFERROR(INDEX('Base Rates'!$C$5:$I$16,MATCH($I47,'Base Rates'!$B$5:$B$16,0),MATCH(MAX($J47,'Technical Premium'!$C$18),'Base Rates'!$C$3:$I$3,1)),"?"))</f>
        <v/>
      </c>
      <c r="AY47" s="102" t="str">
        <f t="shared" si="1"/>
        <v/>
      </c>
      <c r="AZ47" s="99" t="str">
        <f>IF($A47="","",IFERROR(INDEX('Make Factors'!$G$5:$G$69,MATCH($F47,'Make Factors'!$B$5:$B$69,0)),"?"))</f>
        <v/>
      </c>
      <c r="BA47" s="99" t="str">
        <f>IF($A47="","",IFERROR(INDEX('Driver Factors'!$C$6:$C$15,MATCH($R47,'Driver Factors'!$B$6:$B$15,0)),"?"))</f>
        <v/>
      </c>
      <c r="BB47" s="99" t="str">
        <f>IF($A47="","",IFERROR(INDEX('Driver Factors'!$C$19:$C$24,MATCH($S47,'Driver Factors'!$B$19:$B$24,0)),"?"))</f>
        <v/>
      </c>
      <c r="BC47" s="99" t="str">
        <f>IF($A47="","",IFERROR(INDEX('Driver Factors'!$C$28:$C$36,MATCH($T47,'Driver Factors'!$B$28:$B$36,0)),"?"))</f>
        <v/>
      </c>
      <c r="BD47" s="99" t="str">
        <f>IF($A47="","",IFERROR(INDEX('Claims History'!$C$6:$C$15,MATCH($U47,'Claims History'!$B$6:$B$15,0)),"?"))</f>
        <v/>
      </c>
      <c r="BE47" s="99" t="str">
        <f>IF($A47="","",IFERROR(INDEX('Territory Factors'!$E$6:$E$56,MATCH($K47,'Territory Factors'!$B$6:$B$56,0)),"?"))</f>
        <v/>
      </c>
      <c r="BF47" s="99" t="str">
        <f>IF($A47="","",IFERROR(INDEX('City Accident Ratings'!$G$6:$G$54,MATCH($Z47,'City Accident Ratings'!$B$6:$B$54,0)),"?"))</f>
        <v/>
      </c>
      <c r="BG47" s="99" t="str">
        <f>IF($A47="","",IFERROR(INDEX('Usage and Coverage'!$D$6:$D$20,MATCH($N47,'Usage and Coverage'!$C$6:$C$20,0)),"?"))</f>
        <v/>
      </c>
      <c r="BH47" s="99" t="str">
        <f>IF($A47="","",IFERROR(INDEX('Usage and Coverage'!$C$24:$C$30,MATCH($O47,'Usage and Coverage'!$B$24:$B$30,0)),"?"))</f>
        <v/>
      </c>
      <c r="BI47" s="99" t="str">
        <f>IF($A47="","",IFERROR(INDEX('Usage and Coverage'!$C$34:$C$40,MATCH($P47,'Usage and Coverage'!$B$34:$B$40,0)),"?"))</f>
        <v/>
      </c>
      <c r="BJ47" s="99" t="str">
        <f>IF($A47="","",IFERROR(INDEX('Usage and Coverage'!$C$44:$C$49,MATCH($Q47,'Usage and Coverage'!$B$44:$B$49,0)),"?"))</f>
        <v/>
      </c>
      <c r="BK47" s="99" t="str">
        <f>IF($A47="","",IFERROR(INDEX(Deductibles!$C$6:$I$15,MATCH($W47,Deductibles!$B$6:$B$15,0),MATCH(MAX($J47,'Technical Premium'!$C$18),'Base Rates'!$C$3:$I$3,1)),"?"))</f>
        <v/>
      </c>
      <c r="BL47" s="99" t="str">
        <f>IF($A47="","",IFERROR(INDEX('Usage and Coverage'!$C$63:$C$66,MATCH($X47,'Usage and Coverage'!$B$63:$B$66,0)),"?"))</f>
        <v/>
      </c>
      <c r="BM47" s="99" t="str">
        <f>IF($A47="","",IFERROR(INDEX('Usage and Coverage'!$C$70:$C$75,MATCH($V47,'Usage and Coverage'!$B$70:$B$75,0)),"?"))</f>
        <v/>
      </c>
      <c r="BN47" s="99" t="str">
        <f>IF($A47="","",IF($AB47="",1,IFERROR(INDEX(Deductibles!$C$48:$C$51,MATCH($AB47,Deductibles!$B$48:$B$51,0)),"?")))</f>
        <v/>
      </c>
      <c r="BO47" s="99" t="str">
        <f>IF($A47="","",IF($AC47="",1,IFERROR(INDEX(Deductibles!$C$55:$C$57,MATCH($AC47,Deductibles!$B$55:$B$57,0)),"?")))</f>
        <v/>
      </c>
      <c r="BP47" s="99" t="str">
        <f>IF($A47="","",IF($AD47="",1,IFERROR(INDEX(Deductibles!$C$61:$C$63,MATCH($AD47,Deductibles!$B$61:$B$63,0)),"?")))</f>
        <v/>
      </c>
      <c r="BQ47" s="99" t="str">
        <f>IF($A47="","",IF($AE47="",1,IFERROR(INDEX(Deductibles!$C$67:$C$69,MATCH($AE47,Deductibles!$B$67:$B$69,0)),"?")))</f>
        <v/>
      </c>
      <c r="BR47" s="99" t="str">
        <f>IF($A47="","",IF($AF47="",1,IFERROR(INDEX(Deductibles!$C$73:$C$74,MATCH($AF47,Deductibles!$B$73:$B$74,0)),"?")))</f>
        <v/>
      </c>
      <c r="BS47" s="99" t="str">
        <f>IF($A47="","",IF($AG47="",1,IFERROR(INDEX('Sublimits and Parts'!$C$49:$C$52,MATCH($AG47,'Sublimits and Parts'!$B$49:$B$52,0)),"?")))</f>
        <v/>
      </c>
      <c r="BT47" s="99" t="str">
        <f>IF($A47="","",IF($AH47="",1,IFERROR(INDEX('Sublimits and Parts'!$C$56:$C$60,MATCH($AH47,'Sublimits and Parts'!$B$56:$B$60,0)),"?")))</f>
        <v/>
      </c>
      <c r="BU47" s="99" t="str">
        <f>IF($A47="","",IF($AI47="",1,IFERROR(INDEX('Sublimits and Parts'!$C$64:$C$67,MATCH($AI47,'Sublimits and Parts'!$B$64:$B$67,0)),"?")))</f>
        <v/>
      </c>
      <c r="BV47" s="99" t="str">
        <f>IF($A47="","",IF($AJ47="",1,IFERROR(INDEX('Sublimits and Parts'!$C$71:$C$74,MATCH($AJ47,'Sublimits and Parts'!$B$71:$B$74,0)),"?")))</f>
        <v/>
      </c>
      <c r="BW47" s="99" t="str">
        <f>IF($A47="","",IF($AK47="",1,IFERROR(INDEX('Sublimits and Parts'!$C$78:$C$80,MATCH($AK47,'Sublimits and Parts'!$B$78:$B$80,0)),"?")))</f>
        <v/>
      </c>
      <c r="BX47" s="99" t="str">
        <f>IF($A47="","",IF($AL47="",1,IFERROR(INDEX('Sublimits and Parts'!$C$84:$C$87,MATCH($AL47,'Sublimits and Parts'!$B$84:$B$87,0)),"?")))</f>
        <v/>
      </c>
      <c r="BY47" s="99" t="str">
        <f>IF($A47="","",IF($AM47="",1,IFERROR(INDEX('Sublimits and Parts'!$C$91:$C$94,MATCH($AM47,'Sublimits and Parts'!$B$91:$B$94,0)),"?")))</f>
        <v/>
      </c>
      <c r="BZ47" s="99" t="str">
        <f>IF($A47="","",IF($AN47="",1,IFERROR(INDEX('Sublimits and Parts'!$C$98:$C$101,MATCH($AN47,'Sublimits and Parts'!$B$98:$B$101,0)),"?")))</f>
        <v/>
      </c>
      <c r="CA47" s="99" t="str">
        <f>IF($A47="","",IF($AO47="",1,IFERROR(INDEX('Sublimits and Parts'!$C$105:$C$109,MATCH($AO47,'Sublimits and Parts'!$B$105:$B$109,0)),"?")))</f>
        <v/>
      </c>
      <c r="CB47" s="100" t="str">
        <f t="shared" si="2"/>
        <v/>
      </c>
      <c r="CC47" s="100" t="str">
        <f t="shared" si="3"/>
        <v/>
      </c>
      <c r="CD47" s="103" t="str">
        <f>IF($A47="","",IF(OR($CB47="?",$CC47="?"),"?",MIN($CB47*$CC47,'Technical Premium'!$C$17)))</f>
        <v/>
      </c>
      <c r="CE47" s="102" t="str">
        <f t="shared" si="4"/>
        <v/>
      </c>
      <c r="CF47" s="102" t="str">
        <f>IF($A47="","",IFERROR(INDEX('Territory Factors'!$F$6:$F$56,MATCH($K47,'Territory Factors'!$B$6:$B$56,0)),"?"))</f>
        <v/>
      </c>
      <c r="CG47" s="100" t="str">
        <f>IF($A47="","",IFERROR(INDEX('Usage and Coverage'!$C$79:$C$84,MATCH($Y47,'Usage and Coverage'!$B$79:$B$84,0)),"?"))</f>
        <v/>
      </c>
      <c r="CH47" s="102" t="str">
        <f>IFERROR(IF(ISNUMBER($CD47),$CF47*$CG47*MIN($BG47*$BA47*$BC47*$BD47*$BH47*$BF47,'Technical Premium'!$C$17),""),"")</f>
        <v/>
      </c>
      <c r="CI47" s="102" t="str">
        <f t="shared" si="5"/>
        <v/>
      </c>
      <c r="CJ47" s="102" t="str">
        <f>IFERROR($CI47*(1+'Technical Premium'!$C$5)*(1+'Technical Premium'!$C$6),"")</f>
        <v/>
      </c>
      <c r="CK47" s="102" t="str">
        <f>IFERROR($CE47*INDEX('Territory Factors'!$G$6:$G$56,MATCH($K47,'Territory Factors'!$B$6:$B$56,0))*$AU47*$AV47,"")</f>
        <v/>
      </c>
      <c r="CL47" s="102" t="str">
        <f>IFERROR(($CJ47+$CK47)*(1+'Technical Premium'!$C$7),"")</f>
        <v/>
      </c>
      <c r="CM47" s="104" t="str">
        <f>IFERROR($CL47/'Technical Premium'!$C$13,"")</f>
        <v/>
      </c>
      <c r="CN47" s="105" t="str">
        <f t="shared" si="6"/>
        <v/>
      </c>
      <c r="CO47" s="104" t="str">
        <f t="shared" si="7"/>
        <v/>
      </c>
      <c r="CP47" s="105" t="str">
        <f t="shared" si="8"/>
        <v/>
      </c>
      <c r="CQ47" s="106" t="str">
        <f t="shared" si="9"/>
        <v/>
      </c>
      <c r="CR47" s="102" t="str">
        <f>IF(ISNUMBER($CM47),'Technical Premium'!$C$14+IF($J47&gt;=1000000,'Technical Premium'!$C$15,0),"")</f>
        <v/>
      </c>
      <c r="CS47" s="102" t="str">
        <f>IFERROR(($CO47+$CR47)*(INDEX('Territory Factors'!$K$6:$K$56,MATCH($K47,'Territory Factors'!$B$6:$B$56,0))+'Commission Structure'!$C$21),"")</f>
        <v/>
      </c>
      <c r="CT47" s="104" t="str">
        <f t="shared" si="10"/>
        <v/>
      </c>
      <c r="CU47" s="102" t="str">
        <f>IFERROR($CO47*('Commission Structure'!$C$6+'Commission Structure'!$C$7),"")</f>
        <v/>
      </c>
      <c r="CV47" s="102" t="str">
        <f>IFERROR($CO47*'Commission Structure'!$C$5-$CU47,"")</f>
        <v/>
      </c>
      <c r="CW47" s="102" t="str">
        <f>IFERROR($CO47*(1-'Commission Structure'!$C$5),"")</f>
        <v/>
      </c>
      <c r="CX47" s="107"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8" t="str">
        <f t="shared" si="11"/>
        <v/>
      </c>
      <c r="CZ47" s="99" t="str">
        <f>IF($CY47="","",IF($CY47&lt;'Technical Premium'!$C$19,"BEYOND AUTHORITY",IF($CY47&gt;0.005,"Above technical",IF($CY47&lt;-0.005,"BELOW technical","At technical"))))</f>
        <v/>
      </c>
      <c r="DA47" s="99"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4"/>
      <c r="DC47" s="94"/>
      <c r="DD47" s="95"/>
      <c r="DE47" s="94"/>
      <c r="DF47" s="94"/>
      <c r="DG47" s="99" t="str">
        <f t="shared" si="12"/>
        <v/>
      </c>
      <c r="DH47" s="99" t="str">
        <f>IF($A47="","",IF(OR($CX47="REFER",$CX47="DECLINE"),COUNTIF($CX$5:$CX47,"REFER")+COUNTIF($CX$5:$CX47,"DECLINE"),""))</f>
        <v/>
      </c>
      <c r="DI47" s="94"/>
    </row>
    <row r="48" spans="1:113" x14ac:dyDescent="0.35">
      <c r="A48" s="94"/>
      <c r="B48" s="94"/>
      <c r="C48" s="95"/>
      <c r="D48" s="95"/>
      <c r="E48" s="96"/>
      <c r="F48" s="94"/>
      <c r="G48" s="94"/>
      <c r="H48" s="94"/>
      <c r="I48" s="94"/>
      <c r="J48" s="97"/>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8"/>
      <c r="AR48" s="99" t="str">
        <f t="shared" si="0"/>
        <v/>
      </c>
      <c r="AS48" s="99" t="str">
        <f>IF($A48="","",IF($AP48&lt;&gt;"",$AP48,IFERROR(INDEX('Cat Zone by ZIP'!$D$6:$D$856,MATCH($AR48,'Cat Zone by ZIP'!$B$6:$B$856,0)),IFERROR(INDEX('Cat Zone by ZIP'!$C$860:$C$910,MATCH($K48,'Cat Zone by ZIP'!$B$860:$B$910,0)),"NOT FOUND"))))</f>
        <v/>
      </c>
      <c r="AT48" s="99" t="str">
        <f>IF($A48="","",IF($AP48&lt;&gt;"","Override",IF(ISNUMBER(MATCH($AR48,'Cat Zone by ZIP'!$B$6:$B$856,0)),"ZIP-3","State default")))</f>
        <v/>
      </c>
      <c r="AU48" s="100" t="str">
        <f>IF($A48="","",IFERROR(INDEX('Natural Catastrophe'!$D$6:$D$17,MATCH($AS48,'Natural Catastrophe'!$B$6:$B$17,0)),"?"))</f>
        <v/>
      </c>
      <c r="AV48" s="100" t="str">
        <f>IF($A48="","",IFERROR(INDEX('Natural Catastrophe'!$C$21:$C$26,MATCH($AA48,'Natural Catastrophe'!$B$21:$B$26,0)),"?"))</f>
        <v/>
      </c>
      <c r="AW48" s="99" t="str">
        <f>IF($A48="","",IFERROR(INDEX('Base Rates'!$C$4:$I$4,MATCH(MAX($J48,'Technical Premium'!$C$18),'Base Rates'!$C$3:$I$3,1)),"?"))</f>
        <v/>
      </c>
      <c r="AX48" s="101" t="str">
        <f>IF($A48="","",IFERROR(INDEX('Base Rates'!$C$5:$I$16,MATCH($I48,'Base Rates'!$B$5:$B$16,0),MATCH(MAX($J48,'Technical Premium'!$C$18),'Base Rates'!$C$3:$I$3,1)),"?"))</f>
        <v/>
      </c>
      <c r="AY48" s="102" t="str">
        <f t="shared" si="1"/>
        <v/>
      </c>
      <c r="AZ48" s="99" t="str">
        <f>IF($A48="","",IFERROR(INDEX('Make Factors'!$G$5:$G$69,MATCH($F48,'Make Factors'!$B$5:$B$69,0)),"?"))</f>
        <v/>
      </c>
      <c r="BA48" s="99" t="str">
        <f>IF($A48="","",IFERROR(INDEX('Driver Factors'!$C$6:$C$15,MATCH($R48,'Driver Factors'!$B$6:$B$15,0)),"?"))</f>
        <v/>
      </c>
      <c r="BB48" s="99" t="str">
        <f>IF($A48="","",IFERROR(INDEX('Driver Factors'!$C$19:$C$24,MATCH($S48,'Driver Factors'!$B$19:$B$24,0)),"?"))</f>
        <v/>
      </c>
      <c r="BC48" s="99" t="str">
        <f>IF($A48="","",IFERROR(INDEX('Driver Factors'!$C$28:$C$36,MATCH($T48,'Driver Factors'!$B$28:$B$36,0)),"?"))</f>
        <v/>
      </c>
      <c r="BD48" s="99" t="str">
        <f>IF($A48="","",IFERROR(INDEX('Claims History'!$C$6:$C$15,MATCH($U48,'Claims History'!$B$6:$B$15,0)),"?"))</f>
        <v/>
      </c>
      <c r="BE48" s="99" t="str">
        <f>IF($A48="","",IFERROR(INDEX('Territory Factors'!$E$6:$E$56,MATCH($K48,'Territory Factors'!$B$6:$B$56,0)),"?"))</f>
        <v/>
      </c>
      <c r="BF48" s="99" t="str">
        <f>IF($A48="","",IFERROR(INDEX('City Accident Ratings'!$G$6:$G$54,MATCH($Z48,'City Accident Ratings'!$B$6:$B$54,0)),"?"))</f>
        <v/>
      </c>
      <c r="BG48" s="99" t="str">
        <f>IF($A48="","",IFERROR(INDEX('Usage and Coverage'!$D$6:$D$20,MATCH($N48,'Usage and Coverage'!$C$6:$C$20,0)),"?"))</f>
        <v/>
      </c>
      <c r="BH48" s="99" t="str">
        <f>IF($A48="","",IFERROR(INDEX('Usage and Coverage'!$C$24:$C$30,MATCH($O48,'Usage and Coverage'!$B$24:$B$30,0)),"?"))</f>
        <v/>
      </c>
      <c r="BI48" s="99" t="str">
        <f>IF($A48="","",IFERROR(INDEX('Usage and Coverage'!$C$34:$C$40,MATCH($P48,'Usage and Coverage'!$B$34:$B$40,0)),"?"))</f>
        <v/>
      </c>
      <c r="BJ48" s="99" t="str">
        <f>IF($A48="","",IFERROR(INDEX('Usage and Coverage'!$C$44:$C$49,MATCH($Q48,'Usage and Coverage'!$B$44:$B$49,0)),"?"))</f>
        <v/>
      </c>
      <c r="BK48" s="99" t="str">
        <f>IF($A48="","",IFERROR(INDEX(Deductibles!$C$6:$I$15,MATCH($W48,Deductibles!$B$6:$B$15,0),MATCH(MAX($J48,'Technical Premium'!$C$18),'Base Rates'!$C$3:$I$3,1)),"?"))</f>
        <v/>
      </c>
      <c r="BL48" s="99" t="str">
        <f>IF($A48="","",IFERROR(INDEX('Usage and Coverage'!$C$63:$C$66,MATCH($X48,'Usage and Coverage'!$B$63:$B$66,0)),"?"))</f>
        <v/>
      </c>
      <c r="BM48" s="99" t="str">
        <f>IF($A48="","",IFERROR(INDEX('Usage and Coverage'!$C$70:$C$75,MATCH($V48,'Usage and Coverage'!$B$70:$B$75,0)),"?"))</f>
        <v/>
      </c>
      <c r="BN48" s="99" t="str">
        <f>IF($A48="","",IF($AB48="",1,IFERROR(INDEX(Deductibles!$C$48:$C$51,MATCH($AB48,Deductibles!$B$48:$B$51,0)),"?")))</f>
        <v/>
      </c>
      <c r="BO48" s="99" t="str">
        <f>IF($A48="","",IF($AC48="",1,IFERROR(INDEX(Deductibles!$C$55:$C$57,MATCH($AC48,Deductibles!$B$55:$B$57,0)),"?")))</f>
        <v/>
      </c>
      <c r="BP48" s="99" t="str">
        <f>IF($A48="","",IF($AD48="",1,IFERROR(INDEX(Deductibles!$C$61:$C$63,MATCH($AD48,Deductibles!$B$61:$B$63,0)),"?")))</f>
        <v/>
      </c>
      <c r="BQ48" s="99" t="str">
        <f>IF($A48="","",IF($AE48="",1,IFERROR(INDEX(Deductibles!$C$67:$C$69,MATCH($AE48,Deductibles!$B$67:$B$69,0)),"?")))</f>
        <v/>
      </c>
      <c r="BR48" s="99" t="str">
        <f>IF($A48="","",IF($AF48="",1,IFERROR(INDEX(Deductibles!$C$73:$C$74,MATCH($AF48,Deductibles!$B$73:$B$74,0)),"?")))</f>
        <v/>
      </c>
      <c r="BS48" s="99" t="str">
        <f>IF($A48="","",IF($AG48="",1,IFERROR(INDEX('Sublimits and Parts'!$C$49:$C$52,MATCH($AG48,'Sublimits and Parts'!$B$49:$B$52,0)),"?")))</f>
        <v/>
      </c>
      <c r="BT48" s="99" t="str">
        <f>IF($A48="","",IF($AH48="",1,IFERROR(INDEX('Sublimits and Parts'!$C$56:$C$60,MATCH($AH48,'Sublimits and Parts'!$B$56:$B$60,0)),"?")))</f>
        <v/>
      </c>
      <c r="BU48" s="99" t="str">
        <f>IF($A48="","",IF($AI48="",1,IFERROR(INDEX('Sublimits and Parts'!$C$64:$C$67,MATCH($AI48,'Sublimits and Parts'!$B$64:$B$67,0)),"?")))</f>
        <v/>
      </c>
      <c r="BV48" s="99" t="str">
        <f>IF($A48="","",IF($AJ48="",1,IFERROR(INDEX('Sublimits and Parts'!$C$71:$C$74,MATCH($AJ48,'Sublimits and Parts'!$B$71:$B$74,0)),"?")))</f>
        <v/>
      </c>
      <c r="BW48" s="99" t="str">
        <f>IF($A48="","",IF($AK48="",1,IFERROR(INDEX('Sublimits and Parts'!$C$78:$C$80,MATCH($AK48,'Sublimits and Parts'!$B$78:$B$80,0)),"?")))</f>
        <v/>
      </c>
      <c r="BX48" s="99" t="str">
        <f>IF($A48="","",IF($AL48="",1,IFERROR(INDEX('Sublimits and Parts'!$C$84:$C$87,MATCH($AL48,'Sublimits and Parts'!$B$84:$B$87,0)),"?")))</f>
        <v/>
      </c>
      <c r="BY48" s="99" t="str">
        <f>IF($A48="","",IF($AM48="",1,IFERROR(INDEX('Sublimits and Parts'!$C$91:$C$94,MATCH($AM48,'Sublimits and Parts'!$B$91:$B$94,0)),"?")))</f>
        <v/>
      </c>
      <c r="BZ48" s="99" t="str">
        <f>IF($A48="","",IF($AN48="",1,IFERROR(INDEX('Sublimits and Parts'!$C$98:$C$101,MATCH($AN48,'Sublimits and Parts'!$B$98:$B$101,0)),"?")))</f>
        <v/>
      </c>
      <c r="CA48" s="99" t="str">
        <f>IF($A48="","",IF($AO48="",1,IFERROR(INDEX('Sublimits and Parts'!$C$105:$C$109,MATCH($AO48,'Sublimits and Parts'!$B$105:$B$109,0)),"?")))</f>
        <v/>
      </c>
      <c r="CB48" s="100" t="str">
        <f t="shared" si="2"/>
        <v/>
      </c>
      <c r="CC48" s="100" t="str">
        <f t="shared" si="3"/>
        <v/>
      </c>
      <c r="CD48" s="103" t="str">
        <f>IF($A48="","",IF(OR($CB48="?",$CC48="?"),"?",MIN($CB48*$CC48,'Technical Premium'!$C$17)))</f>
        <v/>
      </c>
      <c r="CE48" s="102" t="str">
        <f t="shared" si="4"/>
        <v/>
      </c>
      <c r="CF48" s="102" t="str">
        <f>IF($A48="","",IFERROR(INDEX('Territory Factors'!$F$6:$F$56,MATCH($K48,'Territory Factors'!$B$6:$B$56,0)),"?"))</f>
        <v/>
      </c>
      <c r="CG48" s="100" t="str">
        <f>IF($A48="","",IFERROR(INDEX('Usage and Coverage'!$C$79:$C$84,MATCH($Y48,'Usage and Coverage'!$B$79:$B$84,0)),"?"))</f>
        <v/>
      </c>
      <c r="CH48" s="102" t="str">
        <f>IFERROR(IF(ISNUMBER($CD48),$CF48*$CG48*MIN($BG48*$BA48*$BC48*$BD48*$BH48*$BF48,'Technical Premium'!$C$17),""),"")</f>
        <v/>
      </c>
      <c r="CI48" s="102" t="str">
        <f t="shared" si="5"/>
        <v/>
      </c>
      <c r="CJ48" s="102" t="str">
        <f>IFERROR($CI48*(1+'Technical Premium'!$C$5)*(1+'Technical Premium'!$C$6),"")</f>
        <v/>
      </c>
      <c r="CK48" s="102" t="str">
        <f>IFERROR($CE48*INDEX('Territory Factors'!$G$6:$G$56,MATCH($K48,'Territory Factors'!$B$6:$B$56,0))*$AU48*$AV48,"")</f>
        <v/>
      </c>
      <c r="CL48" s="102" t="str">
        <f>IFERROR(($CJ48+$CK48)*(1+'Technical Premium'!$C$7),"")</f>
        <v/>
      </c>
      <c r="CM48" s="104" t="str">
        <f>IFERROR($CL48/'Technical Premium'!$C$13,"")</f>
        <v/>
      </c>
      <c r="CN48" s="105" t="str">
        <f t="shared" si="6"/>
        <v/>
      </c>
      <c r="CO48" s="104" t="str">
        <f t="shared" si="7"/>
        <v/>
      </c>
      <c r="CP48" s="105" t="str">
        <f t="shared" si="8"/>
        <v/>
      </c>
      <c r="CQ48" s="106" t="str">
        <f t="shared" si="9"/>
        <v/>
      </c>
      <c r="CR48" s="102" t="str">
        <f>IF(ISNUMBER($CM48),'Technical Premium'!$C$14+IF($J48&gt;=1000000,'Technical Premium'!$C$15,0),"")</f>
        <v/>
      </c>
      <c r="CS48" s="102" t="str">
        <f>IFERROR(($CO48+$CR48)*(INDEX('Territory Factors'!$K$6:$K$56,MATCH($K48,'Territory Factors'!$B$6:$B$56,0))+'Commission Structure'!$C$21),"")</f>
        <v/>
      </c>
      <c r="CT48" s="104" t="str">
        <f t="shared" si="10"/>
        <v/>
      </c>
      <c r="CU48" s="102" t="str">
        <f>IFERROR($CO48*('Commission Structure'!$C$6+'Commission Structure'!$C$7),"")</f>
        <v/>
      </c>
      <c r="CV48" s="102" t="str">
        <f>IFERROR($CO48*'Commission Structure'!$C$5-$CU48,"")</f>
        <v/>
      </c>
      <c r="CW48" s="102" t="str">
        <f>IFERROR($CO48*(1-'Commission Structure'!$C$5),"")</f>
        <v/>
      </c>
      <c r="CX48" s="107"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8" t="str">
        <f t="shared" si="11"/>
        <v/>
      </c>
      <c r="CZ48" s="99" t="str">
        <f>IF($CY48="","",IF($CY48&lt;'Technical Premium'!$C$19,"BEYOND AUTHORITY",IF($CY48&gt;0.005,"Above technical",IF($CY48&lt;-0.005,"BELOW technical","At technical"))))</f>
        <v/>
      </c>
      <c r="DA48" s="99"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4"/>
      <c r="DC48" s="94"/>
      <c r="DD48" s="95"/>
      <c r="DE48" s="94"/>
      <c r="DF48" s="94"/>
      <c r="DG48" s="99" t="str">
        <f t="shared" si="12"/>
        <v/>
      </c>
      <c r="DH48" s="99" t="str">
        <f>IF($A48="","",IF(OR($CX48="REFER",$CX48="DECLINE"),COUNTIF($CX$5:$CX48,"REFER")+COUNTIF($CX$5:$CX48,"DECLINE"),""))</f>
        <v/>
      </c>
      <c r="DI48" s="94"/>
    </row>
    <row r="49" spans="1:113" x14ac:dyDescent="0.35">
      <c r="A49" s="94"/>
      <c r="B49" s="94"/>
      <c r="C49" s="95"/>
      <c r="D49" s="95"/>
      <c r="E49" s="96"/>
      <c r="F49" s="94"/>
      <c r="G49" s="94"/>
      <c r="H49" s="94"/>
      <c r="I49" s="94"/>
      <c r="J49" s="97"/>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8"/>
      <c r="AR49" s="99" t="str">
        <f t="shared" si="0"/>
        <v/>
      </c>
      <c r="AS49" s="99" t="str">
        <f>IF($A49="","",IF($AP49&lt;&gt;"",$AP49,IFERROR(INDEX('Cat Zone by ZIP'!$D$6:$D$856,MATCH($AR49,'Cat Zone by ZIP'!$B$6:$B$856,0)),IFERROR(INDEX('Cat Zone by ZIP'!$C$860:$C$910,MATCH($K49,'Cat Zone by ZIP'!$B$860:$B$910,0)),"NOT FOUND"))))</f>
        <v/>
      </c>
      <c r="AT49" s="99" t="str">
        <f>IF($A49="","",IF($AP49&lt;&gt;"","Override",IF(ISNUMBER(MATCH($AR49,'Cat Zone by ZIP'!$B$6:$B$856,0)),"ZIP-3","State default")))</f>
        <v/>
      </c>
      <c r="AU49" s="100" t="str">
        <f>IF($A49="","",IFERROR(INDEX('Natural Catastrophe'!$D$6:$D$17,MATCH($AS49,'Natural Catastrophe'!$B$6:$B$17,0)),"?"))</f>
        <v/>
      </c>
      <c r="AV49" s="100" t="str">
        <f>IF($A49="","",IFERROR(INDEX('Natural Catastrophe'!$C$21:$C$26,MATCH($AA49,'Natural Catastrophe'!$B$21:$B$26,0)),"?"))</f>
        <v/>
      </c>
      <c r="AW49" s="99" t="str">
        <f>IF($A49="","",IFERROR(INDEX('Base Rates'!$C$4:$I$4,MATCH(MAX($J49,'Technical Premium'!$C$18),'Base Rates'!$C$3:$I$3,1)),"?"))</f>
        <v/>
      </c>
      <c r="AX49" s="101" t="str">
        <f>IF($A49="","",IFERROR(INDEX('Base Rates'!$C$5:$I$16,MATCH($I49,'Base Rates'!$B$5:$B$16,0),MATCH(MAX($J49,'Technical Premium'!$C$18),'Base Rates'!$C$3:$I$3,1)),"?"))</f>
        <v/>
      </c>
      <c r="AY49" s="102" t="str">
        <f t="shared" si="1"/>
        <v/>
      </c>
      <c r="AZ49" s="99" t="str">
        <f>IF($A49="","",IFERROR(INDEX('Make Factors'!$G$5:$G$69,MATCH($F49,'Make Factors'!$B$5:$B$69,0)),"?"))</f>
        <v/>
      </c>
      <c r="BA49" s="99" t="str">
        <f>IF($A49="","",IFERROR(INDEX('Driver Factors'!$C$6:$C$15,MATCH($R49,'Driver Factors'!$B$6:$B$15,0)),"?"))</f>
        <v/>
      </c>
      <c r="BB49" s="99" t="str">
        <f>IF($A49="","",IFERROR(INDEX('Driver Factors'!$C$19:$C$24,MATCH($S49,'Driver Factors'!$B$19:$B$24,0)),"?"))</f>
        <v/>
      </c>
      <c r="BC49" s="99" t="str">
        <f>IF($A49="","",IFERROR(INDEX('Driver Factors'!$C$28:$C$36,MATCH($T49,'Driver Factors'!$B$28:$B$36,0)),"?"))</f>
        <v/>
      </c>
      <c r="BD49" s="99" t="str">
        <f>IF($A49="","",IFERROR(INDEX('Claims History'!$C$6:$C$15,MATCH($U49,'Claims History'!$B$6:$B$15,0)),"?"))</f>
        <v/>
      </c>
      <c r="BE49" s="99" t="str">
        <f>IF($A49="","",IFERROR(INDEX('Territory Factors'!$E$6:$E$56,MATCH($K49,'Territory Factors'!$B$6:$B$56,0)),"?"))</f>
        <v/>
      </c>
      <c r="BF49" s="99" t="str">
        <f>IF($A49="","",IFERROR(INDEX('City Accident Ratings'!$G$6:$G$54,MATCH($Z49,'City Accident Ratings'!$B$6:$B$54,0)),"?"))</f>
        <v/>
      </c>
      <c r="BG49" s="99" t="str">
        <f>IF($A49="","",IFERROR(INDEX('Usage and Coverage'!$D$6:$D$20,MATCH($N49,'Usage and Coverage'!$C$6:$C$20,0)),"?"))</f>
        <v/>
      </c>
      <c r="BH49" s="99" t="str">
        <f>IF($A49="","",IFERROR(INDEX('Usage and Coverage'!$C$24:$C$30,MATCH($O49,'Usage and Coverage'!$B$24:$B$30,0)),"?"))</f>
        <v/>
      </c>
      <c r="BI49" s="99" t="str">
        <f>IF($A49="","",IFERROR(INDEX('Usage and Coverage'!$C$34:$C$40,MATCH($P49,'Usage and Coverage'!$B$34:$B$40,0)),"?"))</f>
        <v/>
      </c>
      <c r="BJ49" s="99" t="str">
        <f>IF($A49="","",IFERROR(INDEX('Usage and Coverage'!$C$44:$C$49,MATCH($Q49,'Usage and Coverage'!$B$44:$B$49,0)),"?"))</f>
        <v/>
      </c>
      <c r="BK49" s="99" t="str">
        <f>IF($A49="","",IFERROR(INDEX(Deductibles!$C$6:$I$15,MATCH($W49,Deductibles!$B$6:$B$15,0),MATCH(MAX($J49,'Technical Premium'!$C$18),'Base Rates'!$C$3:$I$3,1)),"?"))</f>
        <v/>
      </c>
      <c r="BL49" s="99" t="str">
        <f>IF($A49="","",IFERROR(INDEX('Usage and Coverage'!$C$63:$C$66,MATCH($X49,'Usage and Coverage'!$B$63:$B$66,0)),"?"))</f>
        <v/>
      </c>
      <c r="BM49" s="99" t="str">
        <f>IF($A49="","",IFERROR(INDEX('Usage and Coverage'!$C$70:$C$75,MATCH($V49,'Usage and Coverage'!$B$70:$B$75,0)),"?"))</f>
        <v/>
      </c>
      <c r="BN49" s="99" t="str">
        <f>IF($A49="","",IF($AB49="",1,IFERROR(INDEX(Deductibles!$C$48:$C$51,MATCH($AB49,Deductibles!$B$48:$B$51,0)),"?")))</f>
        <v/>
      </c>
      <c r="BO49" s="99" t="str">
        <f>IF($A49="","",IF($AC49="",1,IFERROR(INDEX(Deductibles!$C$55:$C$57,MATCH($AC49,Deductibles!$B$55:$B$57,0)),"?")))</f>
        <v/>
      </c>
      <c r="BP49" s="99" t="str">
        <f>IF($A49="","",IF($AD49="",1,IFERROR(INDEX(Deductibles!$C$61:$C$63,MATCH($AD49,Deductibles!$B$61:$B$63,0)),"?")))</f>
        <v/>
      </c>
      <c r="BQ49" s="99" t="str">
        <f>IF($A49="","",IF($AE49="",1,IFERROR(INDEX(Deductibles!$C$67:$C$69,MATCH($AE49,Deductibles!$B$67:$B$69,0)),"?")))</f>
        <v/>
      </c>
      <c r="BR49" s="99" t="str">
        <f>IF($A49="","",IF($AF49="",1,IFERROR(INDEX(Deductibles!$C$73:$C$74,MATCH($AF49,Deductibles!$B$73:$B$74,0)),"?")))</f>
        <v/>
      </c>
      <c r="BS49" s="99" t="str">
        <f>IF($A49="","",IF($AG49="",1,IFERROR(INDEX('Sublimits and Parts'!$C$49:$C$52,MATCH($AG49,'Sublimits and Parts'!$B$49:$B$52,0)),"?")))</f>
        <v/>
      </c>
      <c r="BT49" s="99" t="str">
        <f>IF($A49="","",IF($AH49="",1,IFERROR(INDEX('Sublimits and Parts'!$C$56:$C$60,MATCH($AH49,'Sublimits and Parts'!$B$56:$B$60,0)),"?")))</f>
        <v/>
      </c>
      <c r="BU49" s="99" t="str">
        <f>IF($A49="","",IF($AI49="",1,IFERROR(INDEX('Sublimits and Parts'!$C$64:$C$67,MATCH($AI49,'Sublimits and Parts'!$B$64:$B$67,0)),"?")))</f>
        <v/>
      </c>
      <c r="BV49" s="99" t="str">
        <f>IF($A49="","",IF($AJ49="",1,IFERROR(INDEX('Sublimits and Parts'!$C$71:$C$74,MATCH($AJ49,'Sublimits and Parts'!$B$71:$B$74,0)),"?")))</f>
        <v/>
      </c>
      <c r="BW49" s="99" t="str">
        <f>IF($A49="","",IF($AK49="",1,IFERROR(INDEX('Sublimits and Parts'!$C$78:$C$80,MATCH($AK49,'Sublimits and Parts'!$B$78:$B$80,0)),"?")))</f>
        <v/>
      </c>
      <c r="BX49" s="99" t="str">
        <f>IF($A49="","",IF($AL49="",1,IFERROR(INDEX('Sublimits and Parts'!$C$84:$C$87,MATCH($AL49,'Sublimits and Parts'!$B$84:$B$87,0)),"?")))</f>
        <v/>
      </c>
      <c r="BY49" s="99" t="str">
        <f>IF($A49="","",IF($AM49="",1,IFERROR(INDEX('Sublimits and Parts'!$C$91:$C$94,MATCH($AM49,'Sublimits and Parts'!$B$91:$B$94,0)),"?")))</f>
        <v/>
      </c>
      <c r="BZ49" s="99" t="str">
        <f>IF($A49="","",IF($AN49="",1,IFERROR(INDEX('Sublimits and Parts'!$C$98:$C$101,MATCH($AN49,'Sublimits and Parts'!$B$98:$B$101,0)),"?")))</f>
        <v/>
      </c>
      <c r="CA49" s="99" t="str">
        <f>IF($A49="","",IF($AO49="",1,IFERROR(INDEX('Sublimits and Parts'!$C$105:$C$109,MATCH($AO49,'Sublimits and Parts'!$B$105:$B$109,0)),"?")))</f>
        <v/>
      </c>
      <c r="CB49" s="100" t="str">
        <f t="shared" si="2"/>
        <v/>
      </c>
      <c r="CC49" s="100" t="str">
        <f t="shared" si="3"/>
        <v/>
      </c>
      <c r="CD49" s="103" t="str">
        <f>IF($A49="","",IF(OR($CB49="?",$CC49="?"),"?",MIN($CB49*$CC49,'Technical Premium'!$C$17)))</f>
        <v/>
      </c>
      <c r="CE49" s="102" t="str">
        <f t="shared" si="4"/>
        <v/>
      </c>
      <c r="CF49" s="102" t="str">
        <f>IF($A49="","",IFERROR(INDEX('Territory Factors'!$F$6:$F$56,MATCH($K49,'Territory Factors'!$B$6:$B$56,0)),"?"))</f>
        <v/>
      </c>
      <c r="CG49" s="100" t="str">
        <f>IF($A49="","",IFERROR(INDEX('Usage and Coverage'!$C$79:$C$84,MATCH($Y49,'Usage and Coverage'!$B$79:$B$84,0)),"?"))</f>
        <v/>
      </c>
      <c r="CH49" s="102" t="str">
        <f>IFERROR(IF(ISNUMBER($CD49),$CF49*$CG49*MIN($BG49*$BA49*$BC49*$BD49*$BH49*$BF49,'Technical Premium'!$C$17),""),"")</f>
        <v/>
      </c>
      <c r="CI49" s="102" t="str">
        <f t="shared" si="5"/>
        <v/>
      </c>
      <c r="CJ49" s="102" t="str">
        <f>IFERROR($CI49*(1+'Technical Premium'!$C$5)*(1+'Technical Premium'!$C$6),"")</f>
        <v/>
      </c>
      <c r="CK49" s="102" t="str">
        <f>IFERROR($CE49*INDEX('Territory Factors'!$G$6:$G$56,MATCH($K49,'Territory Factors'!$B$6:$B$56,0))*$AU49*$AV49,"")</f>
        <v/>
      </c>
      <c r="CL49" s="102" t="str">
        <f>IFERROR(($CJ49+$CK49)*(1+'Technical Premium'!$C$7),"")</f>
        <v/>
      </c>
      <c r="CM49" s="104" t="str">
        <f>IFERROR($CL49/'Technical Premium'!$C$13,"")</f>
        <v/>
      </c>
      <c r="CN49" s="105" t="str">
        <f t="shared" si="6"/>
        <v/>
      </c>
      <c r="CO49" s="104" t="str">
        <f t="shared" si="7"/>
        <v/>
      </c>
      <c r="CP49" s="105" t="str">
        <f t="shared" si="8"/>
        <v/>
      </c>
      <c r="CQ49" s="106" t="str">
        <f t="shared" si="9"/>
        <v/>
      </c>
      <c r="CR49" s="102" t="str">
        <f>IF(ISNUMBER($CM49),'Technical Premium'!$C$14+IF($J49&gt;=1000000,'Technical Premium'!$C$15,0),"")</f>
        <v/>
      </c>
      <c r="CS49" s="102" t="str">
        <f>IFERROR(($CO49+$CR49)*(INDEX('Territory Factors'!$K$6:$K$56,MATCH($K49,'Territory Factors'!$B$6:$B$56,0))+'Commission Structure'!$C$21),"")</f>
        <v/>
      </c>
      <c r="CT49" s="104" t="str">
        <f t="shared" si="10"/>
        <v/>
      </c>
      <c r="CU49" s="102" t="str">
        <f>IFERROR($CO49*('Commission Structure'!$C$6+'Commission Structure'!$C$7),"")</f>
        <v/>
      </c>
      <c r="CV49" s="102" t="str">
        <f>IFERROR($CO49*'Commission Structure'!$C$5-$CU49,"")</f>
        <v/>
      </c>
      <c r="CW49" s="102" t="str">
        <f>IFERROR($CO49*(1-'Commission Structure'!$C$5),"")</f>
        <v/>
      </c>
      <c r="CX49" s="107"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8" t="str">
        <f t="shared" si="11"/>
        <v/>
      </c>
      <c r="CZ49" s="99" t="str">
        <f>IF($CY49="","",IF($CY49&lt;'Technical Premium'!$C$19,"BEYOND AUTHORITY",IF($CY49&gt;0.005,"Above technical",IF($CY49&lt;-0.005,"BELOW technical","At technical"))))</f>
        <v/>
      </c>
      <c r="DA49" s="99"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4"/>
      <c r="DC49" s="94"/>
      <c r="DD49" s="95"/>
      <c r="DE49" s="94"/>
      <c r="DF49" s="94"/>
      <c r="DG49" s="99" t="str">
        <f t="shared" si="12"/>
        <v/>
      </c>
      <c r="DH49" s="99" t="str">
        <f>IF($A49="","",IF(OR($CX49="REFER",$CX49="DECLINE"),COUNTIF($CX$5:$CX49,"REFER")+COUNTIF($CX$5:$CX49,"DECLINE"),""))</f>
        <v/>
      </c>
      <c r="DI49" s="94"/>
    </row>
    <row r="50" spans="1:113" x14ac:dyDescent="0.35">
      <c r="A50" s="94"/>
      <c r="B50" s="94"/>
      <c r="C50" s="95"/>
      <c r="D50" s="95"/>
      <c r="E50" s="96"/>
      <c r="F50" s="94"/>
      <c r="G50" s="94"/>
      <c r="H50" s="94"/>
      <c r="I50" s="94"/>
      <c r="J50" s="97"/>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8"/>
      <c r="AR50" s="99" t="str">
        <f t="shared" si="0"/>
        <v/>
      </c>
      <c r="AS50" s="99" t="str">
        <f>IF($A50="","",IF($AP50&lt;&gt;"",$AP50,IFERROR(INDEX('Cat Zone by ZIP'!$D$6:$D$856,MATCH($AR50,'Cat Zone by ZIP'!$B$6:$B$856,0)),IFERROR(INDEX('Cat Zone by ZIP'!$C$860:$C$910,MATCH($K50,'Cat Zone by ZIP'!$B$860:$B$910,0)),"NOT FOUND"))))</f>
        <v/>
      </c>
      <c r="AT50" s="99" t="str">
        <f>IF($A50="","",IF($AP50&lt;&gt;"","Override",IF(ISNUMBER(MATCH($AR50,'Cat Zone by ZIP'!$B$6:$B$856,0)),"ZIP-3","State default")))</f>
        <v/>
      </c>
      <c r="AU50" s="100" t="str">
        <f>IF($A50="","",IFERROR(INDEX('Natural Catastrophe'!$D$6:$D$17,MATCH($AS50,'Natural Catastrophe'!$B$6:$B$17,0)),"?"))</f>
        <v/>
      </c>
      <c r="AV50" s="100" t="str">
        <f>IF($A50="","",IFERROR(INDEX('Natural Catastrophe'!$C$21:$C$26,MATCH($AA50,'Natural Catastrophe'!$B$21:$B$26,0)),"?"))</f>
        <v/>
      </c>
      <c r="AW50" s="99" t="str">
        <f>IF($A50="","",IFERROR(INDEX('Base Rates'!$C$4:$I$4,MATCH(MAX($J50,'Technical Premium'!$C$18),'Base Rates'!$C$3:$I$3,1)),"?"))</f>
        <v/>
      </c>
      <c r="AX50" s="101" t="str">
        <f>IF($A50="","",IFERROR(INDEX('Base Rates'!$C$5:$I$16,MATCH($I50,'Base Rates'!$B$5:$B$16,0),MATCH(MAX($J50,'Technical Premium'!$C$18),'Base Rates'!$C$3:$I$3,1)),"?"))</f>
        <v/>
      </c>
      <c r="AY50" s="102" t="str">
        <f t="shared" si="1"/>
        <v/>
      </c>
      <c r="AZ50" s="99" t="str">
        <f>IF($A50="","",IFERROR(INDEX('Make Factors'!$G$5:$G$69,MATCH($F50,'Make Factors'!$B$5:$B$69,0)),"?"))</f>
        <v/>
      </c>
      <c r="BA50" s="99" t="str">
        <f>IF($A50="","",IFERROR(INDEX('Driver Factors'!$C$6:$C$15,MATCH($R50,'Driver Factors'!$B$6:$B$15,0)),"?"))</f>
        <v/>
      </c>
      <c r="BB50" s="99" t="str">
        <f>IF($A50="","",IFERROR(INDEX('Driver Factors'!$C$19:$C$24,MATCH($S50,'Driver Factors'!$B$19:$B$24,0)),"?"))</f>
        <v/>
      </c>
      <c r="BC50" s="99" t="str">
        <f>IF($A50="","",IFERROR(INDEX('Driver Factors'!$C$28:$C$36,MATCH($T50,'Driver Factors'!$B$28:$B$36,0)),"?"))</f>
        <v/>
      </c>
      <c r="BD50" s="99" t="str">
        <f>IF($A50="","",IFERROR(INDEX('Claims History'!$C$6:$C$15,MATCH($U50,'Claims History'!$B$6:$B$15,0)),"?"))</f>
        <v/>
      </c>
      <c r="BE50" s="99" t="str">
        <f>IF($A50="","",IFERROR(INDEX('Territory Factors'!$E$6:$E$56,MATCH($K50,'Territory Factors'!$B$6:$B$56,0)),"?"))</f>
        <v/>
      </c>
      <c r="BF50" s="99" t="str">
        <f>IF($A50="","",IFERROR(INDEX('City Accident Ratings'!$G$6:$G$54,MATCH($Z50,'City Accident Ratings'!$B$6:$B$54,0)),"?"))</f>
        <v/>
      </c>
      <c r="BG50" s="99" t="str">
        <f>IF($A50="","",IFERROR(INDEX('Usage and Coverage'!$D$6:$D$20,MATCH($N50,'Usage and Coverage'!$C$6:$C$20,0)),"?"))</f>
        <v/>
      </c>
      <c r="BH50" s="99" t="str">
        <f>IF($A50="","",IFERROR(INDEX('Usage and Coverage'!$C$24:$C$30,MATCH($O50,'Usage and Coverage'!$B$24:$B$30,0)),"?"))</f>
        <v/>
      </c>
      <c r="BI50" s="99" t="str">
        <f>IF($A50="","",IFERROR(INDEX('Usage and Coverage'!$C$34:$C$40,MATCH($P50,'Usage and Coverage'!$B$34:$B$40,0)),"?"))</f>
        <v/>
      </c>
      <c r="BJ50" s="99" t="str">
        <f>IF($A50="","",IFERROR(INDEX('Usage and Coverage'!$C$44:$C$49,MATCH($Q50,'Usage and Coverage'!$B$44:$B$49,0)),"?"))</f>
        <v/>
      </c>
      <c r="BK50" s="99" t="str">
        <f>IF($A50="","",IFERROR(INDEX(Deductibles!$C$6:$I$15,MATCH($W50,Deductibles!$B$6:$B$15,0),MATCH(MAX($J50,'Technical Premium'!$C$18),'Base Rates'!$C$3:$I$3,1)),"?"))</f>
        <v/>
      </c>
      <c r="BL50" s="99" t="str">
        <f>IF($A50="","",IFERROR(INDEX('Usage and Coverage'!$C$63:$C$66,MATCH($X50,'Usage and Coverage'!$B$63:$B$66,0)),"?"))</f>
        <v/>
      </c>
      <c r="BM50" s="99" t="str">
        <f>IF($A50="","",IFERROR(INDEX('Usage and Coverage'!$C$70:$C$75,MATCH($V50,'Usage and Coverage'!$B$70:$B$75,0)),"?"))</f>
        <v/>
      </c>
      <c r="BN50" s="99" t="str">
        <f>IF($A50="","",IF($AB50="",1,IFERROR(INDEX(Deductibles!$C$48:$C$51,MATCH($AB50,Deductibles!$B$48:$B$51,0)),"?")))</f>
        <v/>
      </c>
      <c r="BO50" s="99" t="str">
        <f>IF($A50="","",IF($AC50="",1,IFERROR(INDEX(Deductibles!$C$55:$C$57,MATCH($AC50,Deductibles!$B$55:$B$57,0)),"?")))</f>
        <v/>
      </c>
      <c r="BP50" s="99" t="str">
        <f>IF($A50="","",IF($AD50="",1,IFERROR(INDEX(Deductibles!$C$61:$C$63,MATCH($AD50,Deductibles!$B$61:$B$63,0)),"?")))</f>
        <v/>
      </c>
      <c r="BQ50" s="99" t="str">
        <f>IF($A50="","",IF($AE50="",1,IFERROR(INDEX(Deductibles!$C$67:$C$69,MATCH($AE50,Deductibles!$B$67:$B$69,0)),"?")))</f>
        <v/>
      </c>
      <c r="BR50" s="99" t="str">
        <f>IF($A50="","",IF($AF50="",1,IFERROR(INDEX(Deductibles!$C$73:$C$74,MATCH($AF50,Deductibles!$B$73:$B$74,0)),"?")))</f>
        <v/>
      </c>
      <c r="BS50" s="99" t="str">
        <f>IF($A50="","",IF($AG50="",1,IFERROR(INDEX('Sublimits and Parts'!$C$49:$C$52,MATCH($AG50,'Sublimits and Parts'!$B$49:$B$52,0)),"?")))</f>
        <v/>
      </c>
      <c r="BT50" s="99" t="str">
        <f>IF($A50="","",IF($AH50="",1,IFERROR(INDEX('Sublimits and Parts'!$C$56:$C$60,MATCH($AH50,'Sublimits and Parts'!$B$56:$B$60,0)),"?")))</f>
        <v/>
      </c>
      <c r="BU50" s="99" t="str">
        <f>IF($A50="","",IF($AI50="",1,IFERROR(INDEX('Sublimits and Parts'!$C$64:$C$67,MATCH($AI50,'Sublimits and Parts'!$B$64:$B$67,0)),"?")))</f>
        <v/>
      </c>
      <c r="BV50" s="99" t="str">
        <f>IF($A50="","",IF($AJ50="",1,IFERROR(INDEX('Sublimits and Parts'!$C$71:$C$74,MATCH($AJ50,'Sublimits and Parts'!$B$71:$B$74,0)),"?")))</f>
        <v/>
      </c>
      <c r="BW50" s="99" t="str">
        <f>IF($A50="","",IF($AK50="",1,IFERROR(INDEX('Sublimits and Parts'!$C$78:$C$80,MATCH($AK50,'Sublimits and Parts'!$B$78:$B$80,0)),"?")))</f>
        <v/>
      </c>
      <c r="BX50" s="99" t="str">
        <f>IF($A50="","",IF($AL50="",1,IFERROR(INDEX('Sublimits and Parts'!$C$84:$C$87,MATCH($AL50,'Sublimits and Parts'!$B$84:$B$87,0)),"?")))</f>
        <v/>
      </c>
      <c r="BY50" s="99" t="str">
        <f>IF($A50="","",IF($AM50="",1,IFERROR(INDEX('Sublimits and Parts'!$C$91:$C$94,MATCH($AM50,'Sublimits and Parts'!$B$91:$B$94,0)),"?")))</f>
        <v/>
      </c>
      <c r="BZ50" s="99" t="str">
        <f>IF($A50="","",IF($AN50="",1,IFERROR(INDEX('Sublimits and Parts'!$C$98:$C$101,MATCH($AN50,'Sublimits and Parts'!$B$98:$B$101,0)),"?")))</f>
        <v/>
      </c>
      <c r="CA50" s="99" t="str">
        <f>IF($A50="","",IF($AO50="",1,IFERROR(INDEX('Sublimits and Parts'!$C$105:$C$109,MATCH($AO50,'Sublimits and Parts'!$B$105:$B$109,0)),"?")))</f>
        <v/>
      </c>
      <c r="CB50" s="100" t="str">
        <f t="shared" si="2"/>
        <v/>
      </c>
      <c r="CC50" s="100" t="str">
        <f t="shared" si="3"/>
        <v/>
      </c>
      <c r="CD50" s="103" t="str">
        <f>IF($A50="","",IF(OR($CB50="?",$CC50="?"),"?",MIN($CB50*$CC50,'Technical Premium'!$C$17)))</f>
        <v/>
      </c>
      <c r="CE50" s="102" t="str">
        <f t="shared" si="4"/>
        <v/>
      </c>
      <c r="CF50" s="102" t="str">
        <f>IF($A50="","",IFERROR(INDEX('Territory Factors'!$F$6:$F$56,MATCH($K50,'Territory Factors'!$B$6:$B$56,0)),"?"))</f>
        <v/>
      </c>
      <c r="CG50" s="100" t="str">
        <f>IF($A50="","",IFERROR(INDEX('Usage and Coverage'!$C$79:$C$84,MATCH($Y50,'Usage and Coverage'!$B$79:$B$84,0)),"?"))</f>
        <v/>
      </c>
      <c r="CH50" s="102" t="str">
        <f>IFERROR(IF(ISNUMBER($CD50),$CF50*$CG50*MIN($BG50*$BA50*$BC50*$BD50*$BH50*$BF50,'Technical Premium'!$C$17),""),"")</f>
        <v/>
      </c>
      <c r="CI50" s="102" t="str">
        <f t="shared" si="5"/>
        <v/>
      </c>
      <c r="CJ50" s="102" t="str">
        <f>IFERROR($CI50*(1+'Technical Premium'!$C$5)*(1+'Technical Premium'!$C$6),"")</f>
        <v/>
      </c>
      <c r="CK50" s="102" t="str">
        <f>IFERROR($CE50*INDEX('Territory Factors'!$G$6:$G$56,MATCH($K50,'Territory Factors'!$B$6:$B$56,0))*$AU50*$AV50,"")</f>
        <v/>
      </c>
      <c r="CL50" s="102" t="str">
        <f>IFERROR(($CJ50+$CK50)*(1+'Technical Premium'!$C$7),"")</f>
        <v/>
      </c>
      <c r="CM50" s="104" t="str">
        <f>IFERROR($CL50/'Technical Premium'!$C$13,"")</f>
        <v/>
      </c>
      <c r="CN50" s="105" t="str">
        <f t="shared" si="6"/>
        <v/>
      </c>
      <c r="CO50" s="104" t="str">
        <f t="shared" si="7"/>
        <v/>
      </c>
      <c r="CP50" s="105" t="str">
        <f t="shared" si="8"/>
        <v/>
      </c>
      <c r="CQ50" s="106" t="str">
        <f t="shared" si="9"/>
        <v/>
      </c>
      <c r="CR50" s="102" t="str">
        <f>IF(ISNUMBER($CM50),'Technical Premium'!$C$14+IF($J50&gt;=1000000,'Technical Premium'!$C$15,0),"")</f>
        <v/>
      </c>
      <c r="CS50" s="102" t="str">
        <f>IFERROR(($CO50+$CR50)*(INDEX('Territory Factors'!$K$6:$K$56,MATCH($K50,'Territory Factors'!$B$6:$B$56,0))+'Commission Structure'!$C$21),"")</f>
        <v/>
      </c>
      <c r="CT50" s="104" t="str">
        <f t="shared" si="10"/>
        <v/>
      </c>
      <c r="CU50" s="102" t="str">
        <f>IFERROR($CO50*('Commission Structure'!$C$6+'Commission Structure'!$C$7),"")</f>
        <v/>
      </c>
      <c r="CV50" s="102" t="str">
        <f>IFERROR($CO50*'Commission Structure'!$C$5-$CU50,"")</f>
        <v/>
      </c>
      <c r="CW50" s="102" t="str">
        <f>IFERROR($CO50*(1-'Commission Structure'!$C$5),"")</f>
        <v/>
      </c>
      <c r="CX50" s="107"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8" t="str">
        <f t="shared" si="11"/>
        <v/>
      </c>
      <c r="CZ50" s="99" t="str">
        <f>IF($CY50="","",IF($CY50&lt;'Technical Premium'!$C$19,"BEYOND AUTHORITY",IF($CY50&gt;0.005,"Above technical",IF($CY50&lt;-0.005,"BELOW technical","At technical"))))</f>
        <v/>
      </c>
      <c r="DA50" s="99"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4"/>
      <c r="DC50" s="94"/>
      <c r="DD50" s="95"/>
      <c r="DE50" s="94"/>
      <c r="DF50" s="94"/>
      <c r="DG50" s="99" t="str">
        <f t="shared" si="12"/>
        <v/>
      </c>
      <c r="DH50" s="99" t="str">
        <f>IF($A50="","",IF(OR($CX50="REFER",$CX50="DECLINE"),COUNTIF($CX$5:$CX50,"REFER")+COUNTIF($CX$5:$CX50,"DECLINE"),""))</f>
        <v/>
      </c>
      <c r="DI50" s="94"/>
    </row>
    <row r="51" spans="1:113" x14ac:dyDescent="0.35">
      <c r="A51" s="94"/>
      <c r="B51" s="94"/>
      <c r="C51" s="95"/>
      <c r="D51" s="95"/>
      <c r="E51" s="96"/>
      <c r="F51" s="94"/>
      <c r="G51" s="94"/>
      <c r="H51" s="94"/>
      <c r="I51" s="94"/>
      <c r="J51" s="97"/>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8"/>
      <c r="AR51" s="99" t="str">
        <f t="shared" si="0"/>
        <v/>
      </c>
      <c r="AS51" s="99" t="str">
        <f>IF($A51="","",IF($AP51&lt;&gt;"",$AP51,IFERROR(INDEX('Cat Zone by ZIP'!$D$6:$D$856,MATCH($AR51,'Cat Zone by ZIP'!$B$6:$B$856,0)),IFERROR(INDEX('Cat Zone by ZIP'!$C$860:$C$910,MATCH($K51,'Cat Zone by ZIP'!$B$860:$B$910,0)),"NOT FOUND"))))</f>
        <v/>
      </c>
      <c r="AT51" s="99" t="str">
        <f>IF($A51="","",IF($AP51&lt;&gt;"","Override",IF(ISNUMBER(MATCH($AR51,'Cat Zone by ZIP'!$B$6:$B$856,0)),"ZIP-3","State default")))</f>
        <v/>
      </c>
      <c r="AU51" s="100" t="str">
        <f>IF($A51="","",IFERROR(INDEX('Natural Catastrophe'!$D$6:$D$17,MATCH($AS51,'Natural Catastrophe'!$B$6:$B$17,0)),"?"))</f>
        <v/>
      </c>
      <c r="AV51" s="100" t="str">
        <f>IF($A51="","",IFERROR(INDEX('Natural Catastrophe'!$C$21:$C$26,MATCH($AA51,'Natural Catastrophe'!$B$21:$B$26,0)),"?"))</f>
        <v/>
      </c>
      <c r="AW51" s="99" t="str">
        <f>IF($A51="","",IFERROR(INDEX('Base Rates'!$C$4:$I$4,MATCH(MAX($J51,'Technical Premium'!$C$18),'Base Rates'!$C$3:$I$3,1)),"?"))</f>
        <v/>
      </c>
      <c r="AX51" s="101" t="str">
        <f>IF($A51="","",IFERROR(INDEX('Base Rates'!$C$5:$I$16,MATCH($I51,'Base Rates'!$B$5:$B$16,0),MATCH(MAX($J51,'Technical Premium'!$C$18),'Base Rates'!$C$3:$I$3,1)),"?"))</f>
        <v/>
      </c>
      <c r="AY51" s="102" t="str">
        <f t="shared" si="1"/>
        <v/>
      </c>
      <c r="AZ51" s="99" t="str">
        <f>IF($A51="","",IFERROR(INDEX('Make Factors'!$G$5:$G$69,MATCH($F51,'Make Factors'!$B$5:$B$69,0)),"?"))</f>
        <v/>
      </c>
      <c r="BA51" s="99" t="str">
        <f>IF($A51="","",IFERROR(INDEX('Driver Factors'!$C$6:$C$15,MATCH($R51,'Driver Factors'!$B$6:$B$15,0)),"?"))</f>
        <v/>
      </c>
      <c r="BB51" s="99" t="str">
        <f>IF($A51="","",IFERROR(INDEX('Driver Factors'!$C$19:$C$24,MATCH($S51,'Driver Factors'!$B$19:$B$24,0)),"?"))</f>
        <v/>
      </c>
      <c r="BC51" s="99" t="str">
        <f>IF($A51="","",IFERROR(INDEX('Driver Factors'!$C$28:$C$36,MATCH($T51,'Driver Factors'!$B$28:$B$36,0)),"?"))</f>
        <v/>
      </c>
      <c r="BD51" s="99" t="str">
        <f>IF($A51="","",IFERROR(INDEX('Claims History'!$C$6:$C$15,MATCH($U51,'Claims History'!$B$6:$B$15,0)),"?"))</f>
        <v/>
      </c>
      <c r="BE51" s="99" t="str">
        <f>IF($A51="","",IFERROR(INDEX('Territory Factors'!$E$6:$E$56,MATCH($K51,'Territory Factors'!$B$6:$B$56,0)),"?"))</f>
        <v/>
      </c>
      <c r="BF51" s="99" t="str">
        <f>IF($A51="","",IFERROR(INDEX('City Accident Ratings'!$G$6:$G$54,MATCH($Z51,'City Accident Ratings'!$B$6:$B$54,0)),"?"))</f>
        <v/>
      </c>
      <c r="BG51" s="99" t="str">
        <f>IF($A51="","",IFERROR(INDEX('Usage and Coverage'!$D$6:$D$20,MATCH($N51,'Usage and Coverage'!$C$6:$C$20,0)),"?"))</f>
        <v/>
      </c>
      <c r="BH51" s="99" t="str">
        <f>IF($A51="","",IFERROR(INDEX('Usage and Coverage'!$C$24:$C$30,MATCH($O51,'Usage and Coverage'!$B$24:$B$30,0)),"?"))</f>
        <v/>
      </c>
      <c r="BI51" s="99" t="str">
        <f>IF($A51="","",IFERROR(INDEX('Usage and Coverage'!$C$34:$C$40,MATCH($P51,'Usage and Coverage'!$B$34:$B$40,0)),"?"))</f>
        <v/>
      </c>
      <c r="BJ51" s="99" t="str">
        <f>IF($A51="","",IFERROR(INDEX('Usage and Coverage'!$C$44:$C$49,MATCH($Q51,'Usage and Coverage'!$B$44:$B$49,0)),"?"))</f>
        <v/>
      </c>
      <c r="BK51" s="99" t="str">
        <f>IF($A51="","",IFERROR(INDEX(Deductibles!$C$6:$I$15,MATCH($W51,Deductibles!$B$6:$B$15,0),MATCH(MAX($J51,'Technical Premium'!$C$18),'Base Rates'!$C$3:$I$3,1)),"?"))</f>
        <v/>
      </c>
      <c r="BL51" s="99" t="str">
        <f>IF($A51="","",IFERROR(INDEX('Usage and Coverage'!$C$63:$C$66,MATCH($X51,'Usage and Coverage'!$B$63:$B$66,0)),"?"))</f>
        <v/>
      </c>
      <c r="BM51" s="99" t="str">
        <f>IF($A51="","",IFERROR(INDEX('Usage and Coverage'!$C$70:$C$75,MATCH($V51,'Usage and Coverage'!$B$70:$B$75,0)),"?"))</f>
        <v/>
      </c>
      <c r="BN51" s="99" t="str">
        <f>IF($A51="","",IF($AB51="",1,IFERROR(INDEX(Deductibles!$C$48:$C$51,MATCH($AB51,Deductibles!$B$48:$B$51,0)),"?")))</f>
        <v/>
      </c>
      <c r="BO51" s="99" t="str">
        <f>IF($A51="","",IF($AC51="",1,IFERROR(INDEX(Deductibles!$C$55:$C$57,MATCH($AC51,Deductibles!$B$55:$B$57,0)),"?")))</f>
        <v/>
      </c>
      <c r="BP51" s="99" t="str">
        <f>IF($A51="","",IF($AD51="",1,IFERROR(INDEX(Deductibles!$C$61:$C$63,MATCH($AD51,Deductibles!$B$61:$B$63,0)),"?")))</f>
        <v/>
      </c>
      <c r="BQ51" s="99" t="str">
        <f>IF($A51="","",IF($AE51="",1,IFERROR(INDEX(Deductibles!$C$67:$C$69,MATCH($AE51,Deductibles!$B$67:$B$69,0)),"?")))</f>
        <v/>
      </c>
      <c r="BR51" s="99" t="str">
        <f>IF($A51="","",IF($AF51="",1,IFERROR(INDEX(Deductibles!$C$73:$C$74,MATCH($AF51,Deductibles!$B$73:$B$74,0)),"?")))</f>
        <v/>
      </c>
      <c r="BS51" s="99" t="str">
        <f>IF($A51="","",IF($AG51="",1,IFERROR(INDEX('Sublimits and Parts'!$C$49:$C$52,MATCH($AG51,'Sublimits and Parts'!$B$49:$B$52,0)),"?")))</f>
        <v/>
      </c>
      <c r="BT51" s="99" t="str">
        <f>IF($A51="","",IF($AH51="",1,IFERROR(INDEX('Sublimits and Parts'!$C$56:$C$60,MATCH($AH51,'Sublimits and Parts'!$B$56:$B$60,0)),"?")))</f>
        <v/>
      </c>
      <c r="BU51" s="99" t="str">
        <f>IF($A51="","",IF($AI51="",1,IFERROR(INDEX('Sublimits and Parts'!$C$64:$C$67,MATCH($AI51,'Sublimits and Parts'!$B$64:$B$67,0)),"?")))</f>
        <v/>
      </c>
      <c r="BV51" s="99" t="str">
        <f>IF($A51="","",IF($AJ51="",1,IFERROR(INDEX('Sublimits and Parts'!$C$71:$C$74,MATCH($AJ51,'Sublimits and Parts'!$B$71:$B$74,0)),"?")))</f>
        <v/>
      </c>
      <c r="BW51" s="99" t="str">
        <f>IF($A51="","",IF($AK51="",1,IFERROR(INDEX('Sublimits and Parts'!$C$78:$C$80,MATCH($AK51,'Sublimits and Parts'!$B$78:$B$80,0)),"?")))</f>
        <v/>
      </c>
      <c r="BX51" s="99" t="str">
        <f>IF($A51="","",IF($AL51="",1,IFERROR(INDEX('Sublimits and Parts'!$C$84:$C$87,MATCH($AL51,'Sublimits and Parts'!$B$84:$B$87,0)),"?")))</f>
        <v/>
      </c>
      <c r="BY51" s="99" t="str">
        <f>IF($A51="","",IF($AM51="",1,IFERROR(INDEX('Sublimits and Parts'!$C$91:$C$94,MATCH($AM51,'Sublimits and Parts'!$B$91:$B$94,0)),"?")))</f>
        <v/>
      </c>
      <c r="BZ51" s="99" t="str">
        <f>IF($A51="","",IF($AN51="",1,IFERROR(INDEX('Sublimits and Parts'!$C$98:$C$101,MATCH($AN51,'Sublimits and Parts'!$B$98:$B$101,0)),"?")))</f>
        <v/>
      </c>
      <c r="CA51" s="99" t="str">
        <f>IF($A51="","",IF($AO51="",1,IFERROR(INDEX('Sublimits and Parts'!$C$105:$C$109,MATCH($AO51,'Sublimits and Parts'!$B$105:$B$109,0)),"?")))</f>
        <v/>
      </c>
      <c r="CB51" s="100" t="str">
        <f t="shared" si="2"/>
        <v/>
      </c>
      <c r="CC51" s="100" t="str">
        <f t="shared" si="3"/>
        <v/>
      </c>
      <c r="CD51" s="103" t="str">
        <f>IF($A51="","",IF(OR($CB51="?",$CC51="?"),"?",MIN($CB51*$CC51,'Technical Premium'!$C$17)))</f>
        <v/>
      </c>
      <c r="CE51" s="102" t="str">
        <f t="shared" si="4"/>
        <v/>
      </c>
      <c r="CF51" s="102" t="str">
        <f>IF($A51="","",IFERROR(INDEX('Territory Factors'!$F$6:$F$56,MATCH($K51,'Territory Factors'!$B$6:$B$56,0)),"?"))</f>
        <v/>
      </c>
      <c r="CG51" s="100" t="str">
        <f>IF($A51="","",IFERROR(INDEX('Usage and Coverage'!$C$79:$C$84,MATCH($Y51,'Usage and Coverage'!$B$79:$B$84,0)),"?"))</f>
        <v/>
      </c>
      <c r="CH51" s="102" t="str">
        <f>IFERROR(IF(ISNUMBER($CD51),$CF51*$CG51*MIN($BG51*$BA51*$BC51*$BD51*$BH51*$BF51,'Technical Premium'!$C$17),""),"")</f>
        <v/>
      </c>
      <c r="CI51" s="102" t="str">
        <f t="shared" si="5"/>
        <v/>
      </c>
      <c r="CJ51" s="102" t="str">
        <f>IFERROR($CI51*(1+'Technical Premium'!$C$5)*(1+'Technical Premium'!$C$6),"")</f>
        <v/>
      </c>
      <c r="CK51" s="102" t="str">
        <f>IFERROR($CE51*INDEX('Territory Factors'!$G$6:$G$56,MATCH($K51,'Territory Factors'!$B$6:$B$56,0))*$AU51*$AV51,"")</f>
        <v/>
      </c>
      <c r="CL51" s="102" t="str">
        <f>IFERROR(($CJ51+$CK51)*(1+'Technical Premium'!$C$7),"")</f>
        <v/>
      </c>
      <c r="CM51" s="104" t="str">
        <f>IFERROR($CL51/'Technical Premium'!$C$13,"")</f>
        <v/>
      </c>
      <c r="CN51" s="105" t="str">
        <f t="shared" si="6"/>
        <v/>
      </c>
      <c r="CO51" s="104" t="str">
        <f t="shared" si="7"/>
        <v/>
      </c>
      <c r="CP51" s="105" t="str">
        <f t="shared" si="8"/>
        <v/>
      </c>
      <c r="CQ51" s="106" t="str">
        <f t="shared" si="9"/>
        <v/>
      </c>
      <c r="CR51" s="102" t="str">
        <f>IF(ISNUMBER($CM51),'Technical Premium'!$C$14+IF($J51&gt;=1000000,'Technical Premium'!$C$15,0),"")</f>
        <v/>
      </c>
      <c r="CS51" s="102" t="str">
        <f>IFERROR(($CO51+$CR51)*(INDEX('Territory Factors'!$K$6:$K$56,MATCH($K51,'Territory Factors'!$B$6:$B$56,0))+'Commission Structure'!$C$21),"")</f>
        <v/>
      </c>
      <c r="CT51" s="104" t="str">
        <f t="shared" si="10"/>
        <v/>
      </c>
      <c r="CU51" s="102" t="str">
        <f>IFERROR($CO51*('Commission Structure'!$C$6+'Commission Structure'!$C$7),"")</f>
        <v/>
      </c>
      <c r="CV51" s="102" t="str">
        <f>IFERROR($CO51*'Commission Structure'!$C$5-$CU51,"")</f>
        <v/>
      </c>
      <c r="CW51" s="102" t="str">
        <f>IFERROR($CO51*(1-'Commission Structure'!$C$5),"")</f>
        <v/>
      </c>
      <c r="CX51" s="107"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8" t="str">
        <f t="shared" si="11"/>
        <v/>
      </c>
      <c r="CZ51" s="99" t="str">
        <f>IF($CY51="","",IF($CY51&lt;'Technical Premium'!$C$19,"BEYOND AUTHORITY",IF($CY51&gt;0.005,"Above technical",IF($CY51&lt;-0.005,"BELOW technical","At technical"))))</f>
        <v/>
      </c>
      <c r="DA51" s="99"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4"/>
      <c r="DC51" s="94"/>
      <c r="DD51" s="95"/>
      <c r="DE51" s="94"/>
      <c r="DF51" s="94"/>
      <c r="DG51" s="99" t="str">
        <f t="shared" si="12"/>
        <v/>
      </c>
      <c r="DH51" s="99" t="str">
        <f>IF($A51="","",IF(OR($CX51="REFER",$CX51="DECLINE"),COUNTIF($CX$5:$CX51,"REFER")+COUNTIF($CX$5:$CX51,"DECLINE"),""))</f>
        <v/>
      </c>
      <c r="DI51" s="94"/>
    </row>
    <row r="52" spans="1:113" x14ac:dyDescent="0.35">
      <c r="A52" s="94"/>
      <c r="B52" s="94"/>
      <c r="C52" s="95"/>
      <c r="D52" s="95"/>
      <c r="E52" s="96"/>
      <c r="F52" s="94"/>
      <c r="G52" s="94"/>
      <c r="H52" s="94"/>
      <c r="I52" s="94"/>
      <c r="J52" s="97"/>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8"/>
      <c r="AR52" s="99" t="str">
        <f t="shared" si="0"/>
        <v/>
      </c>
      <c r="AS52" s="99" t="str">
        <f>IF($A52="","",IF($AP52&lt;&gt;"",$AP52,IFERROR(INDEX('Cat Zone by ZIP'!$D$6:$D$856,MATCH($AR52,'Cat Zone by ZIP'!$B$6:$B$856,0)),IFERROR(INDEX('Cat Zone by ZIP'!$C$860:$C$910,MATCH($K52,'Cat Zone by ZIP'!$B$860:$B$910,0)),"NOT FOUND"))))</f>
        <v/>
      </c>
      <c r="AT52" s="99" t="str">
        <f>IF($A52="","",IF($AP52&lt;&gt;"","Override",IF(ISNUMBER(MATCH($AR52,'Cat Zone by ZIP'!$B$6:$B$856,0)),"ZIP-3","State default")))</f>
        <v/>
      </c>
      <c r="AU52" s="100" t="str">
        <f>IF($A52="","",IFERROR(INDEX('Natural Catastrophe'!$D$6:$D$17,MATCH($AS52,'Natural Catastrophe'!$B$6:$B$17,0)),"?"))</f>
        <v/>
      </c>
      <c r="AV52" s="100" t="str">
        <f>IF($A52="","",IFERROR(INDEX('Natural Catastrophe'!$C$21:$C$26,MATCH($AA52,'Natural Catastrophe'!$B$21:$B$26,0)),"?"))</f>
        <v/>
      </c>
      <c r="AW52" s="99" t="str">
        <f>IF($A52="","",IFERROR(INDEX('Base Rates'!$C$4:$I$4,MATCH(MAX($J52,'Technical Premium'!$C$18),'Base Rates'!$C$3:$I$3,1)),"?"))</f>
        <v/>
      </c>
      <c r="AX52" s="101" t="str">
        <f>IF($A52="","",IFERROR(INDEX('Base Rates'!$C$5:$I$16,MATCH($I52,'Base Rates'!$B$5:$B$16,0),MATCH(MAX($J52,'Technical Premium'!$C$18),'Base Rates'!$C$3:$I$3,1)),"?"))</f>
        <v/>
      </c>
      <c r="AY52" s="102" t="str">
        <f t="shared" si="1"/>
        <v/>
      </c>
      <c r="AZ52" s="99" t="str">
        <f>IF($A52="","",IFERROR(INDEX('Make Factors'!$G$5:$G$69,MATCH($F52,'Make Factors'!$B$5:$B$69,0)),"?"))</f>
        <v/>
      </c>
      <c r="BA52" s="99" t="str">
        <f>IF($A52="","",IFERROR(INDEX('Driver Factors'!$C$6:$C$15,MATCH($R52,'Driver Factors'!$B$6:$B$15,0)),"?"))</f>
        <v/>
      </c>
      <c r="BB52" s="99" t="str">
        <f>IF($A52="","",IFERROR(INDEX('Driver Factors'!$C$19:$C$24,MATCH($S52,'Driver Factors'!$B$19:$B$24,0)),"?"))</f>
        <v/>
      </c>
      <c r="BC52" s="99" t="str">
        <f>IF($A52="","",IFERROR(INDEX('Driver Factors'!$C$28:$C$36,MATCH($T52,'Driver Factors'!$B$28:$B$36,0)),"?"))</f>
        <v/>
      </c>
      <c r="BD52" s="99" t="str">
        <f>IF($A52="","",IFERROR(INDEX('Claims History'!$C$6:$C$15,MATCH($U52,'Claims History'!$B$6:$B$15,0)),"?"))</f>
        <v/>
      </c>
      <c r="BE52" s="99" t="str">
        <f>IF($A52="","",IFERROR(INDEX('Territory Factors'!$E$6:$E$56,MATCH($K52,'Territory Factors'!$B$6:$B$56,0)),"?"))</f>
        <v/>
      </c>
      <c r="BF52" s="99" t="str">
        <f>IF($A52="","",IFERROR(INDEX('City Accident Ratings'!$G$6:$G$54,MATCH($Z52,'City Accident Ratings'!$B$6:$B$54,0)),"?"))</f>
        <v/>
      </c>
      <c r="BG52" s="99" t="str">
        <f>IF($A52="","",IFERROR(INDEX('Usage and Coverage'!$D$6:$D$20,MATCH($N52,'Usage and Coverage'!$C$6:$C$20,0)),"?"))</f>
        <v/>
      </c>
      <c r="BH52" s="99" t="str">
        <f>IF($A52="","",IFERROR(INDEX('Usage and Coverage'!$C$24:$C$30,MATCH($O52,'Usage and Coverage'!$B$24:$B$30,0)),"?"))</f>
        <v/>
      </c>
      <c r="BI52" s="99" t="str">
        <f>IF($A52="","",IFERROR(INDEX('Usage and Coverage'!$C$34:$C$40,MATCH($P52,'Usage and Coverage'!$B$34:$B$40,0)),"?"))</f>
        <v/>
      </c>
      <c r="BJ52" s="99" t="str">
        <f>IF($A52="","",IFERROR(INDEX('Usage and Coverage'!$C$44:$C$49,MATCH($Q52,'Usage and Coverage'!$B$44:$B$49,0)),"?"))</f>
        <v/>
      </c>
      <c r="BK52" s="99" t="str">
        <f>IF($A52="","",IFERROR(INDEX(Deductibles!$C$6:$I$15,MATCH($W52,Deductibles!$B$6:$B$15,0),MATCH(MAX($J52,'Technical Premium'!$C$18),'Base Rates'!$C$3:$I$3,1)),"?"))</f>
        <v/>
      </c>
      <c r="BL52" s="99" t="str">
        <f>IF($A52="","",IFERROR(INDEX('Usage and Coverage'!$C$63:$C$66,MATCH($X52,'Usage and Coverage'!$B$63:$B$66,0)),"?"))</f>
        <v/>
      </c>
      <c r="BM52" s="99" t="str">
        <f>IF($A52="","",IFERROR(INDEX('Usage and Coverage'!$C$70:$C$75,MATCH($V52,'Usage and Coverage'!$B$70:$B$75,0)),"?"))</f>
        <v/>
      </c>
      <c r="BN52" s="99" t="str">
        <f>IF($A52="","",IF($AB52="",1,IFERROR(INDEX(Deductibles!$C$48:$C$51,MATCH($AB52,Deductibles!$B$48:$B$51,0)),"?")))</f>
        <v/>
      </c>
      <c r="BO52" s="99" t="str">
        <f>IF($A52="","",IF($AC52="",1,IFERROR(INDEX(Deductibles!$C$55:$C$57,MATCH($AC52,Deductibles!$B$55:$B$57,0)),"?")))</f>
        <v/>
      </c>
      <c r="BP52" s="99" t="str">
        <f>IF($A52="","",IF($AD52="",1,IFERROR(INDEX(Deductibles!$C$61:$C$63,MATCH($AD52,Deductibles!$B$61:$B$63,0)),"?")))</f>
        <v/>
      </c>
      <c r="BQ52" s="99" t="str">
        <f>IF($A52="","",IF($AE52="",1,IFERROR(INDEX(Deductibles!$C$67:$C$69,MATCH($AE52,Deductibles!$B$67:$B$69,0)),"?")))</f>
        <v/>
      </c>
      <c r="BR52" s="99" t="str">
        <f>IF($A52="","",IF($AF52="",1,IFERROR(INDEX(Deductibles!$C$73:$C$74,MATCH($AF52,Deductibles!$B$73:$B$74,0)),"?")))</f>
        <v/>
      </c>
      <c r="BS52" s="99" t="str">
        <f>IF($A52="","",IF($AG52="",1,IFERROR(INDEX('Sublimits and Parts'!$C$49:$C$52,MATCH($AG52,'Sublimits and Parts'!$B$49:$B$52,0)),"?")))</f>
        <v/>
      </c>
      <c r="BT52" s="99" t="str">
        <f>IF($A52="","",IF($AH52="",1,IFERROR(INDEX('Sublimits and Parts'!$C$56:$C$60,MATCH($AH52,'Sublimits and Parts'!$B$56:$B$60,0)),"?")))</f>
        <v/>
      </c>
      <c r="BU52" s="99" t="str">
        <f>IF($A52="","",IF($AI52="",1,IFERROR(INDEX('Sublimits and Parts'!$C$64:$C$67,MATCH($AI52,'Sublimits and Parts'!$B$64:$B$67,0)),"?")))</f>
        <v/>
      </c>
      <c r="BV52" s="99" t="str">
        <f>IF($A52="","",IF($AJ52="",1,IFERROR(INDEX('Sublimits and Parts'!$C$71:$C$74,MATCH($AJ52,'Sublimits and Parts'!$B$71:$B$74,0)),"?")))</f>
        <v/>
      </c>
      <c r="BW52" s="99" t="str">
        <f>IF($A52="","",IF($AK52="",1,IFERROR(INDEX('Sublimits and Parts'!$C$78:$C$80,MATCH($AK52,'Sublimits and Parts'!$B$78:$B$80,0)),"?")))</f>
        <v/>
      </c>
      <c r="BX52" s="99" t="str">
        <f>IF($A52="","",IF($AL52="",1,IFERROR(INDEX('Sublimits and Parts'!$C$84:$C$87,MATCH($AL52,'Sublimits and Parts'!$B$84:$B$87,0)),"?")))</f>
        <v/>
      </c>
      <c r="BY52" s="99" t="str">
        <f>IF($A52="","",IF($AM52="",1,IFERROR(INDEX('Sublimits and Parts'!$C$91:$C$94,MATCH($AM52,'Sublimits and Parts'!$B$91:$B$94,0)),"?")))</f>
        <v/>
      </c>
      <c r="BZ52" s="99" t="str">
        <f>IF($A52="","",IF($AN52="",1,IFERROR(INDEX('Sublimits and Parts'!$C$98:$C$101,MATCH($AN52,'Sublimits and Parts'!$B$98:$B$101,0)),"?")))</f>
        <v/>
      </c>
      <c r="CA52" s="99" t="str">
        <f>IF($A52="","",IF($AO52="",1,IFERROR(INDEX('Sublimits and Parts'!$C$105:$C$109,MATCH($AO52,'Sublimits and Parts'!$B$105:$B$109,0)),"?")))</f>
        <v/>
      </c>
      <c r="CB52" s="100" t="str">
        <f t="shared" si="2"/>
        <v/>
      </c>
      <c r="CC52" s="100" t="str">
        <f t="shared" si="3"/>
        <v/>
      </c>
      <c r="CD52" s="103" t="str">
        <f>IF($A52="","",IF(OR($CB52="?",$CC52="?"),"?",MIN($CB52*$CC52,'Technical Premium'!$C$17)))</f>
        <v/>
      </c>
      <c r="CE52" s="102" t="str">
        <f t="shared" si="4"/>
        <v/>
      </c>
      <c r="CF52" s="102" t="str">
        <f>IF($A52="","",IFERROR(INDEX('Territory Factors'!$F$6:$F$56,MATCH($K52,'Territory Factors'!$B$6:$B$56,0)),"?"))</f>
        <v/>
      </c>
      <c r="CG52" s="100" t="str">
        <f>IF($A52="","",IFERROR(INDEX('Usage and Coverage'!$C$79:$C$84,MATCH($Y52,'Usage and Coverage'!$B$79:$B$84,0)),"?"))</f>
        <v/>
      </c>
      <c r="CH52" s="102" t="str">
        <f>IFERROR(IF(ISNUMBER($CD52),$CF52*$CG52*MIN($BG52*$BA52*$BC52*$BD52*$BH52*$BF52,'Technical Premium'!$C$17),""),"")</f>
        <v/>
      </c>
      <c r="CI52" s="102" t="str">
        <f t="shared" si="5"/>
        <v/>
      </c>
      <c r="CJ52" s="102" t="str">
        <f>IFERROR($CI52*(1+'Technical Premium'!$C$5)*(1+'Technical Premium'!$C$6),"")</f>
        <v/>
      </c>
      <c r="CK52" s="102" t="str">
        <f>IFERROR($CE52*INDEX('Territory Factors'!$G$6:$G$56,MATCH($K52,'Territory Factors'!$B$6:$B$56,0))*$AU52*$AV52,"")</f>
        <v/>
      </c>
      <c r="CL52" s="102" t="str">
        <f>IFERROR(($CJ52+$CK52)*(1+'Technical Premium'!$C$7),"")</f>
        <v/>
      </c>
      <c r="CM52" s="104" t="str">
        <f>IFERROR($CL52/'Technical Premium'!$C$13,"")</f>
        <v/>
      </c>
      <c r="CN52" s="105" t="str">
        <f t="shared" si="6"/>
        <v/>
      </c>
      <c r="CO52" s="104" t="str">
        <f t="shared" si="7"/>
        <v/>
      </c>
      <c r="CP52" s="105" t="str">
        <f t="shared" si="8"/>
        <v/>
      </c>
      <c r="CQ52" s="106" t="str">
        <f t="shared" si="9"/>
        <v/>
      </c>
      <c r="CR52" s="102" t="str">
        <f>IF(ISNUMBER($CM52),'Technical Premium'!$C$14+IF($J52&gt;=1000000,'Technical Premium'!$C$15,0),"")</f>
        <v/>
      </c>
      <c r="CS52" s="102" t="str">
        <f>IFERROR(($CO52+$CR52)*(INDEX('Territory Factors'!$K$6:$K$56,MATCH($K52,'Territory Factors'!$B$6:$B$56,0))+'Commission Structure'!$C$21),"")</f>
        <v/>
      </c>
      <c r="CT52" s="104" t="str">
        <f t="shared" si="10"/>
        <v/>
      </c>
      <c r="CU52" s="102" t="str">
        <f>IFERROR($CO52*('Commission Structure'!$C$6+'Commission Structure'!$C$7),"")</f>
        <v/>
      </c>
      <c r="CV52" s="102" t="str">
        <f>IFERROR($CO52*'Commission Structure'!$C$5-$CU52,"")</f>
        <v/>
      </c>
      <c r="CW52" s="102" t="str">
        <f>IFERROR($CO52*(1-'Commission Structure'!$C$5),"")</f>
        <v/>
      </c>
      <c r="CX52" s="107"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8" t="str">
        <f t="shared" si="11"/>
        <v/>
      </c>
      <c r="CZ52" s="99" t="str">
        <f>IF($CY52="","",IF($CY52&lt;'Technical Premium'!$C$19,"BEYOND AUTHORITY",IF($CY52&gt;0.005,"Above technical",IF($CY52&lt;-0.005,"BELOW technical","At technical"))))</f>
        <v/>
      </c>
      <c r="DA52" s="99"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4"/>
      <c r="DC52" s="94"/>
      <c r="DD52" s="95"/>
      <c r="DE52" s="94"/>
      <c r="DF52" s="94"/>
      <c r="DG52" s="99" t="str">
        <f t="shared" si="12"/>
        <v/>
      </c>
      <c r="DH52" s="99" t="str">
        <f>IF($A52="","",IF(OR($CX52="REFER",$CX52="DECLINE"),COUNTIF($CX$5:$CX52,"REFER")+COUNTIF($CX$5:$CX52,"DECLINE"),""))</f>
        <v/>
      </c>
      <c r="DI52" s="94"/>
    </row>
    <row r="53" spans="1:113" x14ac:dyDescent="0.35">
      <c r="A53" s="94"/>
      <c r="B53" s="94"/>
      <c r="C53" s="95"/>
      <c r="D53" s="95"/>
      <c r="E53" s="96"/>
      <c r="F53" s="94"/>
      <c r="G53" s="94"/>
      <c r="H53" s="94"/>
      <c r="I53" s="94"/>
      <c r="J53" s="97"/>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8"/>
      <c r="AR53" s="99" t="str">
        <f t="shared" si="0"/>
        <v/>
      </c>
      <c r="AS53" s="99" t="str">
        <f>IF($A53="","",IF($AP53&lt;&gt;"",$AP53,IFERROR(INDEX('Cat Zone by ZIP'!$D$6:$D$856,MATCH($AR53,'Cat Zone by ZIP'!$B$6:$B$856,0)),IFERROR(INDEX('Cat Zone by ZIP'!$C$860:$C$910,MATCH($K53,'Cat Zone by ZIP'!$B$860:$B$910,0)),"NOT FOUND"))))</f>
        <v/>
      </c>
      <c r="AT53" s="99" t="str">
        <f>IF($A53="","",IF($AP53&lt;&gt;"","Override",IF(ISNUMBER(MATCH($AR53,'Cat Zone by ZIP'!$B$6:$B$856,0)),"ZIP-3","State default")))</f>
        <v/>
      </c>
      <c r="AU53" s="100" t="str">
        <f>IF($A53="","",IFERROR(INDEX('Natural Catastrophe'!$D$6:$D$17,MATCH($AS53,'Natural Catastrophe'!$B$6:$B$17,0)),"?"))</f>
        <v/>
      </c>
      <c r="AV53" s="100" t="str">
        <f>IF($A53="","",IFERROR(INDEX('Natural Catastrophe'!$C$21:$C$26,MATCH($AA53,'Natural Catastrophe'!$B$21:$B$26,0)),"?"))</f>
        <v/>
      </c>
      <c r="AW53" s="99" t="str">
        <f>IF($A53="","",IFERROR(INDEX('Base Rates'!$C$4:$I$4,MATCH(MAX($J53,'Technical Premium'!$C$18),'Base Rates'!$C$3:$I$3,1)),"?"))</f>
        <v/>
      </c>
      <c r="AX53" s="101" t="str">
        <f>IF($A53="","",IFERROR(INDEX('Base Rates'!$C$5:$I$16,MATCH($I53,'Base Rates'!$B$5:$B$16,0),MATCH(MAX($J53,'Technical Premium'!$C$18),'Base Rates'!$C$3:$I$3,1)),"?"))</f>
        <v/>
      </c>
      <c r="AY53" s="102" t="str">
        <f t="shared" si="1"/>
        <v/>
      </c>
      <c r="AZ53" s="99" t="str">
        <f>IF($A53="","",IFERROR(INDEX('Make Factors'!$G$5:$G$69,MATCH($F53,'Make Factors'!$B$5:$B$69,0)),"?"))</f>
        <v/>
      </c>
      <c r="BA53" s="99" t="str">
        <f>IF($A53="","",IFERROR(INDEX('Driver Factors'!$C$6:$C$15,MATCH($R53,'Driver Factors'!$B$6:$B$15,0)),"?"))</f>
        <v/>
      </c>
      <c r="BB53" s="99" t="str">
        <f>IF($A53="","",IFERROR(INDEX('Driver Factors'!$C$19:$C$24,MATCH($S53,'Driver Factors'!$B$19:$B$24,0)),"?"))</f>
        <v/>
      </c>
      <c r="BC53" s="99" t="str">
        <f>IF($A53="","",IFERROR(INDEX('Driver Factors'!$C$28:$C$36,MATCH($T53,'Driver Factors'!$B$28:$B$36,0)),"?"))</f>
        <v/>
      </c>
      <c r="BD53" s="99" t="str">
        <f>IF($A53="","",IFERROR(INDEX('Claims History'!$C$6:$C$15,MATCH($U53,'Claims History'!$B$6:$B$15,0)),"?"))</f>
        <v/>
      </c>
      <c r="BE53" s="99" t="str">
        <f>IF($A53="","",IFERROR(INDEX('Territory Factors'!$E$6:$E$56,MATCH($K53,'Territory Factors'!$B$6:$B$56,0)),"?"))</f>
        <v/>
      </c>
      <c r="BF53" s="99" t="str">
        <f>IF($A53="","",IFERROR(INDEX('City Accident Ratings'!$G$6:$G$54,MATCH($Z53,'City Accident Ratings'!$B$6:$B$54,0)),"?"))</f>
        <v/>
      </c>
      <c r="BG53" s="99" t="str">
        <f>IF($A53="","",IFERROR(INDEX('Usage and Coverage'!$D$6:$D$20,MATCH($N53,'Usage and Coverage'!$C$6:$C$20,0)),"?"))</f>
        <v/>
      </c>
      <c r="BH53" s="99" t="str">
        <f>IF($A53="","",IFERROR(INDEX('Usage and Coverage'!$C$24:$C$30,MATCH($O53,'Usage and Coverage'!$B$24:$B$30,0)),"?"))</f>
        <v/>
      </c>
      <c r="BI53" s="99" t="str">
        <f>IF($A53="","",IFERROR(INDEX('Usage and Coverage'!$C$34:$C$40,MATCH($P53,'Usage and Coverage'!$B$34:$B$40,0)),"?"))</f>
        <v/>
      </c>
      <c r="BJ53" s="99" t="str">
        <f>IF($A53="","",IFERROR(INDEX('Usage and Coverage'!$C$44:$C$49,MATCH($Q53,'Usage and Coverage'!$B$44:$B$49,0)),"?"))</f>
        <v/>
      </c>
      <c r="BK53" s="99" t="str">
        <f>IF($A53="","",IFERROR(INDEX(Deductibles!$C$6:$I$15,MATCH($W53,Deductibles!$B$6:$B$15,0),MATCH(MAX($J53,'Technical Premium'!$C$18),'Base Rates'!$C$3:$I$3,1)),"?"))</f>
        <v/>
      </c>
      <c r="BL53" s="99" t="str">
        <f>IF($A53="","",IFERROR(INDEX('Usage and Coverage'!$C$63:$C$66,MATCH($X53,'Usage and Coverage'!$B$63:$B$66,0)),"?"))</f>
        <v/>
      </c>
      <c r="BM53" s="99" t="str">
        <f>IF($A53="","",IFERROR(INDEX('Usage and Coverage'!$C$70:$C$75,MATCH($V53,'Usage and Coverage'!$B$70:$B$75,0)),"?"))</f>
        <v/>
      </c>
      <c r="BN53" s="99" t="str">
        <f>IF($A53="","",IF($AB53="",1,IFERROR(INDEX(Deductibles!$C$48:$C$51,MATCH($AB53,Deductibles!$B$48:$B$51,0)),"?")))</f>
        <v/>
      </c>
      <c r="BO53" s="99" t="str">
        <f>IF($A53="","",IF($AC53="",1,IFERROR(INDEX(Deductibles!$C$55:$C$57,MATCH($AC53,Deductibles!$B$55:$B$57,0)),"?")))</f>
        <v/>
      </c>
      <c r="BP53" s="99" t="str">
        <f>IF($A53="","",IF($AD53="",1,IFERROR(INDEX(Deductibles!$C$61:$C$63,MATCH($AD53,Deductibles!$B$61:$B$63,0)),"?")))</f>
        <v/>
      </c>
      <c r="BQ53" s="99" t="str">
        <f>IF($A53="","",IF($AE53="",1,IFERROR(INDEX(Deductibles!$C$67:$C$69,MATCH($AE53,Deductibles!$B$67:$B$69,0)),"?")))</f>
        <v/>
      </c>
      <c r="BR53" s="99" t="str">
        <f>IF($A53="","",IF($AF53="",1,IFERROR(INDEX(Deductibles!$C$73:$C$74,MATCH($AF53,Deductibles!$B$73:$B$74,0)),"?")))</f>
        <v/>
      </c>
      <c r="BS53" s="99" t="str">
        <f>IF($A53="","",IF($AG53="",1,IFERROR(INDEX('Sublimits and Parts'!$C$49:$C$52,MATCH($AG53,'Sublimits and Parts'!$B$49:$B$52,0)),"?")))</f>
        <v/>
      </c>
      <c r="BT53" s="99" t="str">
        <f>IF($A53="","",IF($AH53="",1,IFERROR(INDEX('Sublimits and Parts'!$C$56:$C$60,MATCH($AH53,'Sublimits and Parts'!$B$56:$B$60,0)),"?")))</f>
        <v/>
      </c>
      <c r="BU53" s="99" t="str">
        <f>IF($A53="","",IF($AI53="",1,IFERROR(INDEX('Sublimits and Parts'!$C$64:$C$67,MATCH($AI53,'Sublimits and Parts'!$B$64:$B$67,0)),"?")))</f>
        <v/>
      </c>
      <c r="BV53" s="99" t="str">
        <f>IF($A53="","",IF($AJ53="",1,IFERROR(INDEX('Sublimits and Parts'!$C$71:$C$74,MATCH($AJ53,'Sublimits and Parts'!$B$71:$B$74,0)),"?")))</f>
        <v/>
      </c>
      <c r="BW53" s="99" t="str">
        <f>IF($A53="","",IF($AK53="",1,IFERROR(INDEX('Sublimits and Parts'!$C$78:$C$80,MATCH($AK53,'Sublimits and Parts'!$B$78:$B$80,0)),"?")))</f>
        <v/>
      </c>
      <c r="BX53" s="99" t="str">
        <f>IF($A53="","",IF($AL53="",1,IFERROR(INDEX('Sublimits and Parts'!$C$84:$C$87,MATCH($AL53,'Sublimits and Parts'!$B$84:$B$87,0)),"?")))</f>
        <v/>
      </c>
      <c r="BY53" s="99" t="str">
        <f>IF($A53="","",IF($AM53="",1,IFERROR(INDEX('Sublimits and Parts'!$C$91:$C$94,MATCH($AM53,'Sublimits and Parts'!$B$91:$B$94,0)),"?")))</f>
        <v/>
      </c>
      <c r="BZ53" s="99" t="str">
        <f>IF($A53="","",IF($AN53="",1,IFERROR(INDEX('Sublimits and Parts'!$C$98:$C$101,MATCH($AN53,'Sublimits and Parts'!$B$98:$B$101,0)),"?")))</f>
        <v/>
      </c>
      <c r="CA53" s="99" t="str">
        <f>IF($A53="","",IF($AO53="",1,IFERROR(INDEX('Sublimits and Parts'!$C$105:$C$109,MATCH($AO53,'Sublimits and Parts'!$B$105:$B$109,0)),"?")))</f>
        <v/>
      </c>
      <c r="CB53" s="100" t="str">
        <f t="shared" si="2"/>
        <v/>
      </c>
      <c r="CC53" s="100" t="str">
        <f t="shared" si="3"/>
        <v/>
      </c>
      <c r="CD53" s="103" t="str">
        <f>IF($A53="","",IF(OR($CB53="?",$CC53="?"),"?",MIN($CB53*$CC53,'Technical Premium'!$C$17)))</f>
        <v/>
      </c>
      <c r="CE53" s="102" t="str">
        <f t="shared" si="4"/>
        <v/>
      </c>
      <c r="CF53" s="102" t="str">
        <f>IF($A53="","",IFERROR(INDEX('Territory Factors'!$F$6:$F$56,MATCH($K53,'Territory Factors'!$B$6:$B$56,0)),"?"))</f>
        <v/>
      </c>
      <c r="CG53" s="100" t="str">
        <f>IF($A53="","",IFERROR(INDEX('Usage and Coverage'!$C$79:$C$84,MATCH($Y53,'Usage and Coverage'!$B$79:$B$84,0)),"?"))</f>
        <v/>
      </c>
      <c r="CH53" s="102" t="str">
        <f>IFERROR(IF(ISNUMBER($CD53),$CF53*$CG53*MIN($BG53*$BA53*$BC53*$BD53*$BH53*$BF53,'Technical Premium'!$C$17),""),"")</f>
        <v/>
      </c>
      <c r="CI53" s="102" t="str">
        <f t="shared" si="5"/>
        <v/>
      </c>
      <c r="CJ53" s="102" t="str">
        <f>IFERROR($CI53*(1+'Technical Premium'!$C$5)*(1+'Technical Premium'!$C$6),"")</f>
        <v/>
      </c>
      <c r="CK53" s="102" t="str">
        <f>IFERROR($CE53*INDEX('Territory Factors'!$G$6:$G$56,MATCH($K53,'Territory Factors'!$B$6:$B$56,0))*$AU53*$AV53,"")</f>
        <v/>
      </c>
      <c r="CL53" s="102" t="str">
        <f>IFERROR(($CJ53+$CK53)*(1+'Technical Premium'!$C$7),"")</f>
        <v/>
      </c>
      <c r="CM53" s="104" t="str">
        <f>IFERROR($CL53/'Technical Premium'!$C$13,"")</f>
        <v/>
      </c>
      <c r="CN53" s="105" t="str">
        <f t="shared" si="6"/>
        <v/>
      </c>
      <c r="CO53" s="104" t="str">
        <f t="shared" si="7"/>
        <v/>
      </c>
      <c r="CP53" s="105" t="str">
        <f t="shared" si="8"/>
        <v/>
      </c>
      <c r="CQ53" s="106" t="str">
        <f t="shared" si="9"/>
        <v/>
      </c>
      <c r="CR53" s="102" t="str">
        <f>IF(ISNUMBER($CM53),'Technical Premium'!$C$14+IF($J53&gt;=1000000,'Technical Premium'!$C$15,0),"")</f>
        <v/>
      </c>
      <c r="CS53" s="102" t="str">
        <f>IFERROR(($CO53+$CR53)*(INDEX('Territory Factors'!$K$6:$K$56,MATCH($K53,'Territory Factors'!$B$6:$B$56,0))+'Commission Structure'!$C$21),"")</f>
        <v/>
      </c>
      <c r="CT53" s="104" t="str">
        <f t="shared" si="10"/>
        <v/>
      </c>
      <c r="CU53" s="102" t="str">
        <f>IFERROR($CO53*('Commission Structure'!$C$6+'Commission Structure'!$C$7),"")</f>
        <v/>
      </c>
      <c r="CV53" s="102" t="str">
        <f>IFERROR($CO53*'Commission Structure'!$C$5-$CU53,"")</f>
        <v/>
      </c>
      <c r="CW53" s="102" t="str">
        <f>IFERROR($CO53*(1-'Commission Structure'!$C$5),"")</f>
        <v/>
      </c>
      <c r="CX53" s="107"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8" t="str">
        <f t="shared" si="11"/>
        <v/>
      </c>
      <c r="CZ53" s="99" t="str">
        <f>IF($CY53="","",IF($CY53&lt;'Technical Premium'!$C$19,"BEYOND AUTHORITY",IF($CY53&gt;0.005,"Above technical",IF($CY53&lt;-0.005,"BELOW technical","At technical"))))</f>
        <v/>
      </c>
      <c r="DA53" s="99"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4"/>
      <c r="DC53" s="94"/>
      <c r="DD53" s="95"/>
      <c r="DE53" s="94"/>
      <c r="DF53" s="94"/>
      <c r="DG53" s="99" t="str">
        <f t="shared" si="12"/>
        <v/>
      </c>
      <c r="DH53" s="99" t="str">
        <f>IF($A53="","",IF(OR($CX53="REFER",$CX53="DECLINE"),COUNTIF($CX$5:$CX53,"REFER")+COUNTIF($CX$5:$CX53,"DECLINE"),""))</f>
        <v/>
      </c>
      <c r="DI53" s="94"/>
    </row>
    <row r="54" spans="1:113" x14ac:dyDescent="0.35">
      <c r="A54" s="94"/>
      <c r="B54" s="94"/>
      <c r="C54" s="95"/>
      <c r="D54" s="95"/>
      <c r="E54" s="96"/>
      <c r="F54" s="94"/>
      <c r="G54" s="94"/>
      <c r="H54" s="94"/>
      <c r="I54" s="94"/>
      <c r="J54" s="97"/>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8"/>
      <c r="AR54" s="99" t="str">
        <f t="shared" si="0"/>
        <v/>
      </c>
      <c r="AS54" s="99" t="str">
        <f>IF($A54="","",IF($AP54&lt;&gt;"",$AP54,IFERROR(INDEX('Cat Zone by ZIP'!$D$6:$D$856,MATCH($AR54,'Cat Zone by ZIP'!$B$6:$B$856,0)),IFERROR(INDEX('Cat Zone by ZIP'!$C$860:$C$910,MATCH($K54,'Cat Zone by ZIP'!$B$860:$B$910,0)),"NOT FOUND"))))</f>
        <v/>
      </c>
      <c r="AT54" s="99" t="str">
        <f>IF($A54="","",IF($AP54&lt;&gt;"","Override",IF(ISNUMBER(MATCH($AR54,'Cat Zone by ZIP'!$B$6:$B$856,0)),"ZIP-3","State default")))</f>
        <v/>
      </c>
      <c r="AU54" s="100" t="str">
        <f>IF($A54="","",IFERROR(INDEX('Natural Catastrophe'!$D$6:$D$17,MATCH($AS54,'Natural Catastrophe'!$B$6:$B$17,0)),"?"))</f>
        <v/>
      </c>
      <c r="AV54" s="100" t="str">
        <f>IF($A54="","",IFERROR(INDEX('Natural Catastrophe'!$C$21:$C$26,MATCH($AA54,'Natural Catastrophe'!$B$21:$B$26,0)),"?"))</f>
        <v/>
      </c>
      <c r="AW54" s="99" t="str">
        <f>IF($A54="","",IFERROR(INDEX('Base Rates'!$C$4:$I$4,MATCH(MAX($J54,'Technical Premium'!$C$18),'Base Rates'!$C$3:$I$3,1)),"?"))</f>
        <v/>
      </c>
      <c r="AX54" s="101" t="str">
        <f>IF($A54="","",IFERROR(INDEX('Base Rates'!$C$5:$I$16,MATCH($I54,'Base Rates'!$B$5:$B$16,0),MATCH(MAX($J54,'Technical Premium'!$C$18),'Base Rates'!$C$3:$I$3,1)),"?"))</f>
        <v/>
      </c>
      <c r="AY54" s="102" t="str">
        <f t="shared" si="1"/>
        <v/>
      </c>
      <c r="AZ54" s="99" t="str">
        <f>IF($A54="","",IFERROR(INDEX('Make Factors'!$G$5:$G$69,MATCH($F54,'Make Factors'!$B$5:$B$69,0)),"?"))</f>
        <v/>
      </c>
      <c r="BA54" s="99" t="str">
        <f>IF($A54="","",IFERROR(INDEX('Driver Factors'!$C$6:$C$15,MATCH($R54,'Driver Factors'!$B$6:$B$15,0)),"?"))</f>
        <v/>
      </c>
      <c r="BB54" s="99" t="str">
        <f>IF($A54="","",IFERROR(INDEX('Driver Factors'!$C$19:$C$24,MATCH($S54,'Driver Factors'!$B$19:$B$24,0)),"?"))</f>
        <v/>
      </c>
      <c r="BC54" s="99" t="str">
        <f>IF($A54="","",IFERROR(INDEX('Driver Factors'!$C$28:$C$36,MATCH($T54,'Driver Factors'!$B$28:$B$36,0)),"?"))</f>
        <v/>
      </c>
      <c r="BD54" s="99" t="str">
        <f>IF($A54="","",IFERROR(INDEX('Claims History'!$C$6:$C$15,MATCH($U54,'Claims History'!$B$6:$B$15,0)),"?"))</f>
        <v/>
      </c>
      <c r="BE54" s="99" t="str">
        <f>IF($A54="","",IFERROR(INDEX('Territory Factors'!$E$6:$E$56,MATCH($K54,'Territory Factors'!$B$6:$B$56,0)),"?"))</f>
        <v/>
      </c>
      <c r="BF54" s="99" t="str">
        <f>IF($A54="","",IFERROR(INDEX('City Accident Ratings'!$G$6:$G$54,MATCH($Z54,'City Accident Ratings'!$B$6:$B$54,0)),"?"))</f>
        <v/>
      </c>
      <c r="BG54" s="99" t="str">
        <f>IF($A54="","",IFERROR(INDEX('Usage and Coverage'!$D$6:$D$20,MATCH($N54,'Usage and Coverage'!$C$6:$C$20,0)),"?"))</f>
        <v/>
      </c>
      <c r="BH54" s="99" t="str">
        <f>IF($A54="","",IFERROR(INDEX('Usage and Coverage'!$C$24:$C$30,MATCH($O54,'Usage and Coverage'!$B$24:$B$30,0)),"?"))</f>
        <v/>
      </c>
      <c r="BI54" s="99" t="str">
        <f>IF($A54="","",IFERROR(INDEX('Usage and Coverage'!$C$34:$C$40,MATCH($P54,'Usage and Coverage'!$B$34:$B$40,0)),"?"))</f>
        <v/>
      </c>
      <c r="BJ54" s="99" t="str">
        <f>IF($A54="","",IFERROR(INDEX('Usage and Coverage'!$C$44:$C$49,MATCH($Q54,'Usage and Coverage'!$B$44:$B$49,0)),"?"))</f>
        <v/>
      </c>
      <c r="BK54" s="99" t="str">
        <f>IF($A54="","",IFERROR(INDEX(Deductibles!$C$6:$I$15,MATCH($W54,Deductibles!$B$6:$B$15,0),MATCH(MAX($J54,'Technical Premium'!$C$18),'Base Rates'!$C$3:$I$3,1)),"?"))</f>
        <v/>
      </c>
      <c r="BL54" s="99" t="str">
        <f>IF($A54="","",IFERROR(INDEX('Usage and Coverage'!$C$63:$C$66,MATCH($X54,'Usage and Coverage'!$B$63:$B$66,0)),"?"))</f>
        <v/>
      </c>
      <c r="BM54" s="99" t="str">
        <f>IF($A54="","",IFERROR(INDEX('Usage and Coverage'!$C$70:$C$75,MATCH($V54,'Usage and Coverage'!$B$70:$B$75,0)),"?"))</f>
        <v/>
      </c>
      <c r="BN54" s="99" t="str">
        <f>IF($A54="","",IF($AB54="",1,IFERROR(INDEX(Deductibles!$C$48:$C$51,MATCH($AB54,Deductibles!$B$48:$B$51,0)),"?")))</f>
        <v/>
      </c>
      <c r="BO54" s="99" t="str">
        <f>IF($A54="","",IF($AC54="",1,IFERROR(INDEX(Deductibles!$C$55:$C$57,MATCH($AC54,Deductibles!$B$55:$B$57,0)),"?")))</f>
        <v/>
      </c>
      <c r="BP54" s="99" t="str">
        <f>IF($A54="","",IF($AD54="",1,IFERROR(INDEX(Deductibles!$C$61:$C$63,MATCH($AD54,Deductibles!$B$61:$B$63,0)),"?")))</f>
        <v/>
      </c>
      <c r="BQ54" s="99" t="str">
        <f>IF($A54="","",IF($AE54="",1,IFERROR(INDEX(Deductibles!$C$67:$C$69,MATCH($AE54,Deductibles!$B$67:$B$69,0)),"?")))</f>
        <v/>
      </c>
      <c r="BR54" s="99" t="str">
        <f>IF($A54="","",IF($AF54="",1,IFERROR(INDEX(Deductibles!$C$73:$C$74,MATCH($AF54,Deductibles!$B$73:$B$74,0)),"?")))</f>
        <v/>
      </c>
      <c r="BS54" s="99" t="str">
        <f>IF($A54="","",IF($AG54="",1,IFERROR(INDEX('Sublimits and Parts'!$C$49:$C$52,MATCH($AG54,'Sublimits and Parts'!$B$49:$B$52,0)),"?")))</f>
        <v/>
      </c>
      <c r="BT54" s="99" t="str">
        <f>IF($A54="","",IF($AH54="",1,IFERROR(INDEX('Sublimits and Parts'!$C$56:$C$60,MATCH($AH54,'Sublimits and Parts'!$B$56:$B$60,0)),"?")))</f>
        <v/>
      </c>
      <c r="BU54" s="99" t="str">
        <f>IF($A54="","",IF($AI54="",1,IFERROR(INDEX('Sublimits and Parts'!$C$64:$C$67,MATCH($AI54,'Sublimits and Parts'!$B$64:$B$67,0)),"?")))</f>
        <v/>
      </c>
      <c r="BV54" s="99" t="str">
        <f>IF($A54="","",IF($AJ54="",1,IFERROR(INDEX('Sublimits and Parts'!$C$71:$C$74,MATCH($AJ54,'Sublimits and Parts'!$B$71:$B$74,0)),"?")))</f>
        <v/>
      </c>
      <c r="BW54" s="99" t="str">
        <f>IF($A54="","",IF($AK54="",1,IFERROR(INDEX('Sublimits and Parts'!$C$78:$C$80,MATCH($AK54,'Sublimits and Parts'!$B$78:$B$80,0)),"?")))</f>
        <v/>
      </c>
      <c r="BX54" s="99" t="str">
        <f>IF($A54="","",IF($AL54="",1,IFERROR(INDEX('Sublimits and Parts'!$C$84:$C$87,MATCH($AL54,'Sublimits and Parts'!$B$84:$B$87,0)),"?")))</f>
        <v/>
      </c>
      <c r="BY54" s="99" t="str">
        <f>IF($A54="","",IF($AM54="",1,IFERROR(INDEX('Sublimits and Parts'!$C$91:$C$94,MATCH($AM54,'Sublimits and Parts'!$B$91:$B$94,0)),"?")))</f>
        <v/>
      </c>
      <c r="BZ54" s="99" t="str">
        <f>IF($A54="","",IF($AN54="",1,IFERROR(INDEX('Sublimits and Parts'!$C$98:$C$101,MATCH($AN54,'Sublimits and Parts'!$B$98:$B$101,0)),"?")))</f>
        <v/>
      </c>
      <c r="CA54" s="99" t="str">
        <f>IF($A54="","",IF($AO54="",1,IFERROR(INDEX('Sublimits and Parts'!$C$105:$C$109,MATCH($AO54,'Sublimits and Parts'!$B$105:$B$109,0)),"?")))</f>
        <v/>
      </c>
      <c r="CB54" s="100" t="str">
        <f t="shared" si="2"/>
        <v/>
      </c>
      <c r="CC54" s="100" t="str">
        <f t="shared" si="3"/>
        <v/>
      </c>
      <c r="CD54" s="103" t="str">
        <f>IF($A54="","",IF(OR($CB54="?",$CC54="?"),"?",MIN($CB54*$CC54,'Technical Premium'!$C$17)))</f>
        <v/>
      </c>
      <c r="CE54" s="102" t="str">
        <f t="shared" si="4"/>
        <v/>
      </c>
      <c r="CF54" s="102" t="str">
        <f>IF($A54="","",IFERROR(INDEX('Territory Factors'!$F$6:$F$56,MATCH($K54,'Territory Factors'!$B$6:$B$56,0)),"?"))</f>
        <v/>
      </c>
      <c r="CG54" s="100" t="str">
        <f>IF($A54="","",IFERROR(INDEX('Usage and Coverage'!$C$79:$C$84,MATCH($Y54,'Usage and Coverage'!$B$79:$B$84,0)),"?"))</f>
        <v/>
      </c>
      <c r="CH54" s="102" t="str">
        <f>IFERROR(IF(ISNUMBER($CD54),$CF54*$CG54*MIN($BG54*$BA54*$BC54*$BD54*$BH54*$BF54,'Technical Premium'!$C$17),""),"")</f>
        <v/>
      </c>
      <c r="CI54" s="102" t="str">
        <f t="shared" si="5"/>
        <v/>
      </c>
      <c r="CJ54" s="102" t="str">
        <f>IFERROR($CI54*(1+'Technical Premium'!$C$5)*(1+'Technical Premium'!$C$6),"")</f>
        <v/>
      </c>
      <c r="CK54" s="102" t="str">
        <f>IFERROR($CE54*INDEX('Territory Factors'!$G$6:$G$56,MATCH($K54,'Territory Factors'!$B$6:$B$56,0))*$AU54*$AV54,"")</f>
        <v/>
      </c>
      <c r="CL54" s="102" t="str">
        <f>IFERROR(($CJ54+$CK54)*(1+'Technical Premium'!$C$7),"")</f>
        <v/>
      </c>
      <c r="CM54" s="104" t="str">
        <f>IFERROR($CL54/'Technical Premium'!$C$13,"")</f>
        <v/>
      </c>
      <c r="CN54" s="105" t="str">
        <f t="shared" si="6"/>
        <v/>
      </c>
      <c r="CO54" s="104" t="str">
        <f t="shared" si="7"/>
        <v/>
      </c>
      <c r="CP54" s="105" t="str">
        <f t="shared" si="8"/>
        <v/>
      </c>
      <c r="CQ54" s="106" t="str">
        <f t="shared" si="9"/>
        <v/>
      </c>
      <c r="CR54" s="102" t="str">
        <f>IF(ISNUMBER($CM54),'Technical Premium'!$C$14+IF($J54&gt;=1000000,'Technical Premium'!$C$15,0),"")</f>
        <v/>
      </c>
      <c r="CS54" s="102" t="str">
        <f>IFERROR(($CO54+$CR54)*(INDEX('Territory Factors'!$K$6:$K$56,MATCH($K54,'Territory Factors'!$B$6:$B$56,0))+'Commission Structure'!$C$21),"")</f>
        <v/>
      </c>
      <c r="CT54" s="104" t="str">
        <f t="shared" si="10"/>
        <v/>
      </c>
      <c r="CU54" s="102" t="str">
        <f>IFERROR($CO54*('Commission Structure'!$C$6+'Commission Structure'!$C$7),"")</f>
        <v/>
      </c>
      <c r="CV54" s="102" t="str">
        <f>IFERROR($CO54*'Commission Structure'!$C$5-$CU54,"")</f>
        <v/>
      </c>
      <c r="CW54" s="102" t="str">
        <f>IFERROR($CO54*(1-'Commission Structure'!$C$5),"")</f>
        <v/>
      </c>
      <c r="CX54" s="107"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8" t="str">
        <f t="shared" si="11"/>
        <v/>
      </c>
      <c r="CZ54" s="99" t="str">
        <f>IF($CY54="","",IF($CY54&lt;'Technical Premium'!$C$19,"BEYOND AUTHORITY",IF($CY54&gt;0.005,"Above technical",IF($CY54&lt;-0.005,"BELOW technical","At technical"))))</f>
        <v/>
      </c>
      <c r="DA54" s="99"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4"/>
      <c r="DC54" s="94"/>
      <c r="DD54" s="95"/>
      <c r="DE54" s="94"/>
      <c r="DF54" s="94"/>
      <c r="DG54" s="99" t="str">
        <f t="shared" si="12"/>
        <v/>
      </c>
      <c r="DH54" s="99" t="str">
        <f>IF($A54="","",IF(OR($CX54="REFER",$CX54="DECLINE"),COUNTIF($CX$5:$CX54,"REFER")+COUNTIF($CX$5:$CX54,"DECLINE"),""))</f>
        <v/>
      </c>
      <c r="DI54" s="94"/>
    </row>
    <row r="55" spans="1:113" x14ac:dyDescent="0.35">
      <c r="A55" s="94"/>
      <c r="B55" s="94"/>
      <c r="C55" s="95"/>
      <c r="D55" s="95"/>
      <c r="E55" s="96"/>
      <c r="F55" s="94"/>
      <c r="G55" s="94"/>
      <c r="H55" s="94"/>
      <c r="I55" s="94"/>
      <c r="J55" s="97"/>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8"/>
      <c r="AR55" s="99" t="str">
        <f t="shared" si="0"/>
        <v/>
      </c>
      <c r="AS55" s="99" t="str">
        <f>IF($A55="","",IF($AP55&lt;&gt;"",$AP55,IFERROR(INDEX('Cat Zone by ZIP'!$D$6:$D$856,MATCH($AR55,'Cat Zone by ZIP'!$B$6:$B$856,0)),IFERROR(INDEX('Cat Zone by ZIP'!$C$860:$C$910,MATCH($K55,'Cat Zone by ZIP'!$B$860:$B$910,0)),"NOT FOUND"))))</f>
        <v/>
      </c>
      <c r="AT55" s="99" t="str">
        <f>IF($A55="","",IF($AP55&lt;&gt;"","Override",IF(ISNUMBER(MATCH($AR55,'Cat Zone by ZIP'!$B$6:$B$856,0)),"ZIP-3","State default")))</f>
        <v/>
      </c>
      <c r="AU55" s="100" t="str">
        <f>IF($A55="","",IFERROR(INDEX('Natural Catastrophe'!$D$6:$D$17,MATCH($AS55,'Natural Catastrophe'!$B$6:$B$17,0)),"?"))</f>
        <v/>
      </c>
      <c r="AV55" s="100" t="str">
        <f>IF($A55="","",IFERROR(INDEX('Natural Catastrophe'!$C$21:$C$26,MATCH($AA55,'Natural Catastrophe'!$B$21:$B$26,0)),"?"))</f>
        <v/>
      </c>
      <c r="AW55" s="99" t="str">
        <f>IF($A55="","",IFERROR(INDEX('Base Rates'!$C$4:$I$4,MATCH(MAX($J55,'Technical Premium'!$C$18),'Base Rates'!$C$3:$I$3,1)),"?"))</f>
        <v/>
      </c>
      <c r="AX55" s="101" t="str">
        <f>IF($A55="","",IFERROR(INDEX('Base Rates'!$C$5:$I$16,MATCH($I55,'Base Rates'!$B$5:$B$16,0),MATCH(MAX($J55,'Technical Premium'!$C$18),'Base Rates'!$C$3:$I$3,1)),"?"))</f>
        <v/>
      </c>
      <c r="AY55" s="102" t="str">
        <f t="shared" si="1"/>
        <v/>
      </c>
      <c r="AZ55" s="99" t="str">
        <f>IF($A55="","",IFERROR(INDEX('Make Factors'!$G$5:$G$69,MATCH($F55,'Make Factors'!$B$5:$B$69,0)),"?"))</f>
        <v/>
      </c>
      <c r="BA55" s="99" t="str">
        <f>IF($A55="","",IFERROR(INDEX('Driver Factors'!$C$6:$C$15,MATCH($R55,'Driver Factors'!$B$6:$B$15,0)),"?"))</f>
        <v/>
      </c>
      <c r="BB55" s="99" t="str">
        <f>IF($A55="","",IFERROR(INDEX('Driver Factors'!$C$19:$C$24,MATCH($S55,'Driver Factors'!$B$19:$B$24,0)),"?"))</f>
        <v/>
      </c>
      <c r="BC55" s="99" t="str">
        <f>IF($A55="","",IFERROR(INDEX('Driver Factors'!$C$28:$C$36,MATCH($T55,'Driver Factors'!$B$28:$B$36,0)),"?"))</f>
        <v/>
      </c>
      <c r="BD55" s="99" t="str">
        <f>IF($A55="","",IFERROR(INDEX('Claims History'!$C$6:$C$15,MATCH($U55,'Claims History'!$B$6:$B$15,0)),"?"))</f>
        <v/>
      </c>
      <c r="BE55" s="99" t="str">
        <f>IF($A55="","",IFERROR(INDEX('Territory Factors'!$E$6:$E$56,MATCH($K55,'Territory Factors'!$B$6:$B$56,0)),"?"))</f>
        <v/>
      </c>
      <c r="BF55" s="99" t="str">
        <f>IF($A55="","",IFERROR(INDEX('City Accident Ratings'!$G$6:$G$54,MATCH($Z55,'City Accident Ratings'!$B$6:$B$54,0)),"?"))</f>
        <v/>
      </c>
      <c r="BG55" s="99" t="str">
        <f>IF($A55="","",IFERROR(INDEX('Usage and Coverage'!$D$6:$D$20,MATCH($N55,'Usage and Coverage'!$C$6:$C$20,0)),"?"))</f>
        <v/>
      </c>
      <c r="BH55" s="99" t="str">
        <f>IF($A55="","",IFERROR(INDEX('Usage and Coverage'!$C$24:$C$30,MATCH($O55,'Usage and Coverage'!$B$24:$B$30,0)),"?"))</f>
        <v/>
      </c>
      <c r="BI55" s="99" t="str">
        <f>IF($A55="","",IFERROR(INDEX('Usage and Coverage'!$C$34:$C$40,MATCH($P55,'Usage and Coverage'!$B$34:$B$40,0)),"?"))</f>
        <v/>
      </c>
      <c r="BJ55" s="99" t="str">
        <f>IF($A55="","",IFERROR(INDEX('Usage and Coverage'!$C$44:$C$49,MATCH($Q55,'Usage and Coverage'!$B$44:$B$49,0)),"?"))</f>
        <v/>
      </c>
      <c r="BK55" s="99" t="str">
        <f>IF($A55="","",IFERROR(INDEX(Deductibles!$C$6:$I$15,MATCH($W55,Deductibles!$B$6:$B$15,0),MATCH(MAX($J55,'Technical Premium'!$C$18),'Base Rates'!$C$3:$I$3,1)),"?"))</f>
        <v/>
      </c>
      <c r="BL55" s="99" t="str">
        <f>IF($A55="","",IFERROR(INDEX('Usage and Coverage'!$C$63:$C$66,MATCH($X55,'Usage and Coverage'!$B$63:$B$66,0)),"?"))</f>
        <v/>
      </c>
      <c r="BM55" s="99" t="str">
        <f>IF($A55="","",IFERROR(INDEX('Usage and Coverage'!$C$70:$C$75,MATCH($V55,'Usage and Coverage'!$B$70:$B$75,0)),"?"))</f>
        <v/>
      </c>
      <c r="BN55" s="99" t="str">
        <f>IF($A55="","",IF($AB55="",1,IFERROR(INDEX(Deductibles!$C$48:$C$51,MATCH($AB55,Deductibles!$B$48:$B$51,0)),"?")))</f>
        <v/>
      </c>
      <c r="BO55" s="99" t="str">
        <f>IF($A55="","",IF($AC55="",1,IFERROR(INDEX(Deductibles!$C$55:$C$57,MATCH($AC55,Deductibles!$B$55:$B$57,0)),"?")))</f>
        <v/>
      </c>
      <c r="BP55" s="99" t="str">
        <f>IF($A55="","",IF($AD55="",1,IFERROR(INDEX(Deductibles!$C$61:$C$63,MATCH($AD55,Deductibles!$B$61:$B$63,0)),"?")))</f>
        <v/>
      </c>
      <c r="BQ55" s="99" t="str">
        <f>IF($A55="","",IF($AE55="",1,IFERROR(INDEX(Deductibles!$C$67:$C$69,MATCH($AE55,Deductibles!$B$67:$B$69,0)),"?")))</f>
        <v/>
      </c>
      <c r="BR55" s="99" t="str">
        <f>IF($A55="","",IF($AF55="",1,IFERROR(INDEX(Deductibles!$C$73:$C$74,MATCH($AF55,Deductibles!$B$73:$B$74,0)),"?")))</f>
        <v/>
      </c>
      <c r="BS55" s="99" t="str">
        <f>IF($A55="","",IF($AG55="",1,IFERROR(INDEX('Sublimits and Parts'!$C$49:$C$52,MATCH($AG55,'Sublimits and Parts'!$B$49:$B$52,0)),"?")))</f>
        <v/>
      </c>
      <c r="BT55" s="99" t="str">
        <f>IF($A55="","",IF($AH55="",1,IFERROR(INDEX('Sublimits and Parts'!$C$56:$C$60,MATCH($AH55,'Sublimits and Parts'!$B$56:$B$60,0)),"?")))</f>
        <v/>
      </c>
      <c r="BU55" s="99" t="str">
        <f>IF($A55="","",IF($AI55="",1,IFERROR(INDEX('Sublimits and Parts'!$C$64:$C$67,MATCH($AI55,'Sublimits and Parts'!$B$64:$B$67,0)),"?")))</f>
        <v/>
      </c>
      <c r="BV55" s="99" t="str">
        <f>IF($A55="","",IF($AJ55="",1,IFERROR(INDEX('Sublimits and Parts'!$C$71:$C$74,MATCH($AJ55,'Sublimits and Parts'!$B$71:$B$74,0)),"?")))</f>
        <v/>
      </c>
      <c r="BW55" s="99" t="str">
        <f>IF($A55="","",IF($AK55="",1,IFERROR(INDEX('Sublimits and Parts'!$C$78:$C$80,MATCH($AK55,'Sublimits and Parts'!$B$78:$B$80,0)),"?")))</f>
        <v/>
      </c>
      <c r="BX55" s="99" t="str">
        <f>IF($A55="","",IF($AL55="",1,IFERROR(INDEX('Sublimits and Parts'!$C$84:$C$87,MATCH($AL55,'Sublimits and Parts'!$B$84:$B$87,0)),"?")))</f>
        <v/>
      </c>
      <c r="BY55" s="99" t="str">
        <f>IF($A55="","",IF($AM55="",1,IFERROR(INDEX('Sublimits and Parts'!$C$91:$C$94,MATCH($AM55,'Sublimits and Parts'!$B$91:$B$94,0)),"?")))</f>
        <v/>
      </c>
      <c r="BZ55" s="99" t="str">
        <f>IF($A55="","",IF($AN55="",1,IFERROR(INDEX('Sublimits and Parts'!$C$98:$C$101,MATCH($AN55,'Sublimits and Parts'!$B$98:$B$101,0)),"?")))</f>
        <v/>
      </c>
      <c r="CA55" s="99" t="str">
        <f>IF($A55="","",IF($AO55="",1,IFERROR(INDEX('Sublimits and Parts'!$C$105:$C$109,MATCH($AO55,'Sublimits and Parts'!$B$105:$B$109,0)),"?")))</f>
        <v/>
      </c>
      <c r="CB55" s="100" t="str">
        <f t="shared" si="2"/>
        <v/>
      </c>
      <c r="CC55" s="100" t="str">
        <f t="shared" si="3"/>
        <v/>
      </c>
      <c r="CD55" s="103" t="str">
        <f>IF($A55="","",IF(OR($CB55="?",$CC55="?"),"?",MIN($CB55*$CC55,'Technical Premium'!$C$17)))</f>
        <v/>
      </c>
      <c r="CE55" s="102" t="str">
        <f t="shared" si="4"/>
        <v/>
      </c>
      <c r="CF55" s="102" t="str">
        <f>IF($A55="","",IFERROR(INDEX('Territory Factors'!$F$6:$F$56,MATCH($K55,'Territory Factors'!$B$6:$B$56,0)),"?"))</f>
        <v/>
      </c>
      <c r="CG55" s="100" t="str">
        <f>IF($A55="","",IFERROR(INDEX('Usage and Coverage'!$C$79:$C$84,MATCH($Y55,'Usage and Coverage'!$B$79:$B$84,0)),"?"))</f>
        <v/>
      </c>
      <c r="CH55" s="102" t="str">
        <f>IFERROR(IF(ISNUMBER($CD55),$CF55*$CG55*MIN($BG55*$BA55*$BC55*$BD55*$BH55*$BF55,'Technical Premium'!$C$17),""),"")</f>
        <v/>
      </c>
      <c r="CI55" s="102" t="str">
        <f t="shared" si="5"/>
        <v/>
      </c>
      <c r="CJ55" s="102" t="str">
        <f>IFERROR($CI55*(1+'Technical Premium'!$C$5)*(1+'Technical Premium'!$C$6),"")</f>
        <v/>
      </c>
      <c r="CK55" s="102" t="str">
        <f>IFERROR($CE55*INDEX('Territory Factors'!$G$6:$G$56,MATCH($K55,'Territory Factors'!$B$6:$B$56,0))*$AU55*$AV55,"")</f>
        <v/>
      </c>
      <c r="CL55" s="102" t="str">
        <f>IFERROR(($CJ55+$CK55)*(1+'Technical Premium'!$C$7),"")</f>
        <v/>
      </c>
      <c r="CM55" s="104" t="str">
        <f>IFERROR($CL55/'Technical Premium'!$C$13,"")</f>
        <v/>
      </c>
      <c r="CN55" s="105" t="str">
        <f t="shared" si="6"/>
        <v/>
      </c>
      <c r="CO55" s="104" t="str">
        <f t="shared" si="7"/>
        <v/>
      </c>
      <c r="CP55" s="105" t="str">
        <f t="shared" si="8"/>
        <v/>
      </c>
      <c r="CQ55" s="106" t="str">
        <f t="shared" si="9"/>
        <v/>
      </c>
      <c r="CR55" s="102" t="str">
        <f>IF(ISNUMBER($CM55),'Technical Premium'!$C$14+IF($J55&gt;=1000000,'Technical Premium'!$C$15,0),"")</f>
        <v/>
      </c>
      <c r="CS55" s="102" t="str">
        <f>IFERROR(($CO55+$CR55)*(INDEX('Territory Factors'!$K$6:$K$56,MATCH($K55,'Territory Factors'!$B$6:$B$56,0))+'Commission Structure'!$C$21),"")</f>
        <v/>
      </c>
      <c r="CT55" s="104" t="str">
        <f t="shared" si="10"/>
        <v/>
      </c>
      <c r="CU55" s="102" t="str">
        <f>IFERROR($CO55*('Commission Structure'!$C$6+'Commission Structure'!$C$7),"")</f>
        <v/>
      </c>
      <c r="CV55" s="102" t="str">
        <f>IFERROR($CO55*'Commission Structure'!$C$5-$CU55,"")</f>
        <v/>
      </c>
      <c r="CW55" s="102" t="str">
        <f>IFERROR($CO55*(1-'Commission Structure'!$C$5),"")</f>
        <v/>
      </c>
      <c r="CX55" s="107"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8" t="str">
        <f t="shared" si="11"/>
        <v/>
      </c>
      <c r="CZ55" s="99" t="str">
        <f>IF($CY55="","",IF($CY55&lt;'Technical Premium'!$C$19,"BEYOND AUTHORITY",IF($CY55&gt;0.005,"Above technical",IF($CY55&lt;-0.005,"BELOW technical","At technical"))))</f>
        <v/>
      </c>
      <c r="DA55" s="99"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4"/>
      <c r="DC55" s="94"/>
      <c r="DD55" s="95"/>
      <c r="DE55" s="94"/>
      <c r="DF55" s="94"/>
      <c r="DG55" s="99" t="str">
        <f t="shared" si="12"/>
        <v/>
      </c>
      <c r="DH55" s="99" t="str">
        <f>IF($A55="","",IF(OR($CX55="REFER",$CX55="DECLINE"),COUNTIF($CX$5:$CX55,"REFER")+COUNTIF($CX$5:$CX55,"DECLINE"),""))</f>
        <v/>
      </c>
      <c r="DI55" s="94"/>
    </row>
    <row r="56" spans="1:113" x14ac:dyDescent="0.35">
      <c r="A56" s="94"/>
      <c r="B56" s="94"/>
      <c r="C56" s="95"/>
      <c r="D56" s="95"/>
      <c r="E56" s="96"/>
      <c r="F56" s="94"/>
      <c r="G56" s="94"/>
      <c r="H56" s="94"/>
      <c r="I56" s="94"/>
      <c r="J56" s="97"/>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8"/>
      <c r="AR56" s="99" t="str">
        <f t="shared" si="0"/>
        <v/>
      </c>
      <c r="AS56" s="99" t="str">
        <f>IF($A56="","",IF($AP56&lt;&gt;"",$AP56,IFERROR(INDEX('Cat Zone by ZIP'!$D$6:$D$856,MATCH($AR56,'Cat Zone by ZIP'!$B$6:$B$856,0)),IFERROR(INDEX('Cat Zone by ZIP'!$C$860:$C$910,MATCH($K56,'Cat Zone by ZIP'!$B$860:$B$910,0)),"NOT FOUND"))))</f>
        <v/>
      </c>
      <c r="AT56" s="99" t="str">
        <f>IF($A56="","",IF($AP56&lt;&gt;"","Override",IF(ISNUMBER(MATCH($AR56,'Cat Zone by ZIP'!$B$6:$B$856,0)),"ZIP-3","State default")))</f>
        <v/>
      </c>
      <c r="AU56" s="100" t="str">
        <f>IF($A56="","",IFERROR(INDEX('Natural Catastrophe'!$D$6:$D$17,MATCH($AS56,'Natural Catastrophe'!$B$6:$B$17,0)),"?"))</f>
        <v/>
      </c>
      <c r="AV56" s="100" t="str">
        <f>IF($A56="","",IFERROR(INDEX('Natural Catastrophe'!$C$21:$C$26,MATCH($AA56,'Natural Catastrophe'!$B$21:$B$26,0)),"?"))</f>
        <v/>
      </c>
      <c r="AW56" s="99" t="str">
        <f>IF($A56="","",IFERROR(INDEX('Base Rates'!$C$4:$I$4,MATCH(MAX($J56,'Technical Premium'!$C$18),'Base Rates'!$C$3:$I$3,1)),"?"))</f>
        <v/>
      </c>
      <c r="AX56" s="101" t="str">
        <f>IF($A56="","",IFERROR(INDEX('Base Rates'!$C$5:$I$16,MATCH($I56,'Base Rates'!$B$5:$B$16,0),MATCH(MAX($J56,'Technical Premium'!$C$18),'Base Rates'!$C$3:$I$3,1)),"?"))</f>
        <v/>
      </c>
      <c r="AY56" s="102" t="str">
        <f t="shared" si="1"/>
        <v/>
      </c>
      <c r="AZ56" s="99" t="str">
        <f>IF($A56="","",IFERROR(INDEX('Make Factors'!$G$5:$G$69,MATCH($F56,'Make Factors'!$B$5:$B$69,0)),"?"))</f>
        <v/>
      </c>
      <c r="BA56" s="99" t="str">
        <f>IF($A56="","",IFERROR(INDEX('Driver Factors'!$C$6:$C$15,MATCH($R56,'Driver Factors'!$B$6:$B$15,0)),"?"))</f>
        <v/>
      </c>
      <c r="BB56" s="99" t="str">
        <f>IF($A56="","",IFERROR(INDEX('Driver Factors'!$C$19:$C$24,MATCH($S56,'Driver Factors'!$B$19:$B$24,0)),"?"))</f>
        <v/>
      </c>
      <c r="BC56" s="99" t="str">
        <f>IF($A56="","",IFERROR(INDEX('Driver Factors'!$C$28:$C$36,MATCH($T56,'Driver Factors'!$B$28:$B$36,0)),"?"))</f>
        <v/>
      </c>
      <c r="BD56" s="99" t="str">
        <f>IF($A56="","",IFERROR(INDEX('Claims History'!$C$6:$C$15,MATCH($U56,'Claims History'!$B$6:$B$15,0)),"?"))</f>
        <v/>
      </c>
      <c r="BE56" s="99" t="str">
        <f>IF($A56="","",IFERROR(INDEX('Territory Factors'!$E$6:$E$56,MATCH($K56,'Territory Factors'!$B$6:$B$56,0)),"?"))</f>
        <v/>
      </c>
      <c r="BF56" s="99" t="str">
        <f>IF($A56="","",IFERROR(INDEX('City Accident Ratings'!$G$6:$G$54,MATCH($Z56,'City Accident Ratings'!$B$6:$B$54,0)),"?"))</f>
        <v/>
      </c>
      <c r="BG56" s="99" t="str">
        <f>IF($A56="","",IFERROR(INDEX('Usage and Coverage'!$D$6:$D$20,MATCH($N56,'Usage and Coverage'!$C$6:$C$20,0)),"?"))</f>
        <v/>
      </c>
      <c r="BH56" s="99" t="str">
        <f>IF($A56="","",IFERROR(INDEX('Usage and Coverage'!$C$24:$C$30,MATCH($O56,'Usage and Coverage'!$B$24:$B$30,0)),"?"))</f>
        <v/>
      </c>
      <c r="BI56" s="99" t="str">
        <f>IF($A56="","",IFERROR(INDEX('Usage and Coverage'!$C$34:$C$40,MATCH($P56,'Usage and Coverage'!$B$34:$B$40,0)),"?"))</f>
        <v/>
      </c>
      <c r="BJ56" s="99" t="str">
        <f>IF($A56="","",IFERROR(INDEX('Usage and Coverage'!$C$44:$C$49,MATCH($Q56,'Usage and Coverage'!$B$44:$B$49,0)),"?"))</f>
        <v/>
      </c>
      <c r="BK56" s="99" t="str">
        <f>IF($A56="","",IFERROR(INDEX(Deductibles!$C$6:$I$15,MATCH($W56,Deductibles!$B$6:$B$15,0),MATCH(MAX($J56,'Technical Premium'!$C$18),'Base Rates'!$C$3:$I$3,1)),"?"))</f>
        <v/>
      </c>
      <c r="BL56" s="99" t="str">
        <f>IF($A56="","",IFERROR(INDEX('Usage and Coverage'!$C$63:$C$66,MATCH($X56,'Usage and Coverage'!$B$63:$B$66,0)),"?"))</f>
        <v/>
      </c>
      <c r="BM56" s="99" t="str">
        <f>IF($A56="","",IFERROR(INDEX('Usage and Coverage'!$C$70:$C$75,MATCH($V56,'Usage and Coverage'!$B$70:$B$75,0)),"?"))</f>
        <v/>
      </c>
      <c r="BN56" s="99" t="str">
        <f>IF($A56="","",IF($AB56="",1,IFERROR(INDEX(Deductibles!$C$48:$C$51,MATCH($AB56,Deductibles!$B$48:$B$51,0)),"?")))</f>
        <v/>
      </c>
      <c r="BO56" s="99" t="str">
        <f>IF($A56="","",IF($AC56="",1,IFERROR(INDEX(Deductibles!$C$55:$C$57,MATCH($AC56,Deductibles!$B$55:$B$57,0)),"?")))</f>
        <v/>
      </c>
      <c r="BP56" s="99" t="str">
        <f>IF($A56="","",IF($AD56="",1,IFERROR(INDEX(Deductibles!$C$61:$C$63,MATCH($AD56,Deductibles!$B$61:$B$63,0)),"?")))</f>
        <v/>
      </c>
      <c r="BQ56" s="99" t="str">
        <f>IF($A56="","",IF($AE56="",1,IFERROR(INDEX(Deductibles!$C$67:$C$69,MATCH($AE56,Deductibles!$B$67:$B$69,0)),"?")))</f>
        <v/>
      </c>
      <c r="BR56" s="99" t="str">
        <f>IF($A56="","",IF($AF56="",1,IFERROR(INDEX(Deductibles!$C$73:$C$74,MATCH($AF56,Deductibles!$B$73:$B$74,0)),"?")))</f>
        <v/>
      </c>
      <c r="BS56" s="99" t="str">
        <f>IF($A56="","",IF($AG56="",1,IFERROR(INDEX('Sublimits and Parts'!$C$49:$C$52,MATCH($AG56,'Sublimits and Parts'!$B$49:$B$52,0)),"?")))</f>
        <v/>
      </c>
      <c r="BT56" s="99" t="str">
        <f>IF($A56="","",IF($AH56="",1,IFERROR(INDEX('Sublimits and Parts'!$C$56:$C$60,MATCH($AH56,'Sublimits and Parts'!$B$56:$B$60,0)),"?")))</f>
        <v/>
      </c>
      <c r="BU56" s="99" t="str">
        <f>IF($A56="","",IF($AI56="",1,IFERROR(INDEX('Sublimits and Parts'!$C$64:$C$67,MATCH($AI56,'Sublimits and Parts'!$B$64:$B$67,0)),"?")))</f>
        <v/>
      </c>
      <c r="BV56" s="99" t="str">
        <f>IF($A56="","",IF($AJ56="",1,IFERROR(INDEX('Sublimits and Parts'!$C$71:$C$74,MATCH($AJ56,'Sublimits and Parts'!$B$71:$B$74,0)),"?")))</f>
        <v/>
      </c>
      <c r="BW56" s="99" t="str">
        <f>IF($A56="","",IF($AK56="",1,IFERROR(INDEX('Sublimits and Parts'!$C$78:$C$80,MATCH($AK56,'Sublimits and Parts'!$B$78:$B$80,0)),"?")))</f>
        <v/>
      </c>
      <c r="BX56" s="99" t="str">
        <f>IF($A56="","",IF($AL56="",1,IFERROR(INDEX('Sublimits and Parts'!$C$84:$C$87,MATCH($AL56,'Sublimits and Parts'!$B$84:$B$87,0)),"?")))</f>
        <v/>
      </c>
      <c r="BY56" s="99" t="str">
        <f>IF($A56="","",IF($AM56="",1,IFERROR(INDEX('Sublimits and Parts'!$C$91:$C$94,MATCH($AM56,'Sublimits and Parts'!$B$91:$B$94,0)),"?")))</f>
        <v/>
      </c>
      <c r="BZ56" s="99" t="str">
        <f>IF($A56="","",IF($AN56="",1,IFERROR(INDEX('Sublimits and Parts'!$C$98:$C$101,MATCH($AN56,'Sublimits and Parts'!$B$98:$B$101,0)),"?")))</f>
        <v/>
      </c>
      <c r="CA56" s="99" t="str">
        <f>IF($A56="","",IF($AO56="",1,IFERROR(INDEX('Sublimits and Parts'!$C$105:$C$109,MATCH($AO56,'Sublimits and Parts'!$B$105:$B$109,0)),"?")))</f>
        <v/>
      </c>
      <c r="CB56" s="100" t="str">
        <f t="shared" si="2"/>
        <v/>
      </c>
      <c r="CC56" s="100" t="str">
        <f t="shared" si="3"/>
        <v/>
      </c>
      <c r="CD56" s="103" t="str">
        <f>IF($A56="","",IF(OR($CB56="?",$CC56="?"),"?",MIN($CB56*$CC56,'Technical Premium'!$C$17)))</f>
        <v/>
      </c>
      <c r="CE56" s="102" t="str">
        <f t="shared" si="4"/>
        <v/>
      </c>
      <c r="CF56" s="102" t="str">
        <f>IF($A56="","",IFERROR(INDEX('Territory Factors'!$F$6:$F$56,MATCH($K56,'Territory Factors'!$B$6:$B$56,0)),"?"))</f>
        <v/>
      </c>
      <c r="CG56" s="100" t="str">
        <f>IF($A56="","",IFERROR(INDEX('Usage and Coverage'!$C$79:$C$84,MATCH($Y56,'Usage and Coverage'!$B$79:$B$84,0)),"?"))</f>
        <v/>
      </c>
      <c r="CH56" s="102" t="str">
        <f>IFERROR(IF(ISNUMBER($CD56),$CF56*$CG56*MIN($BG56*$BA56*$BC56*$BD56*$BH56*$BF56,'Technical Premium'!$C$17),""),"")</f>
        <v/>
      </c>
      <c r="CI56" s="102" t="str">
        <f t="shared" si="5"/>
        <v/>
      </c>
      <c r="CJ56" s="102" t="str">
        <f>IFERROR($CI56*(1+'Technical Premium'!$C$5)*(1+'Technical Premium'!$C$6),"")</f>
        <v/>
      </c>
      <c r="CK56" s="102" t="str">
        <f>IFERROR($CE56*INDEX('Territory Factors'!$G$6:$G$56,MATCH($K56,'Territory Factors'!$B$6:$B$56,0))*$AU56*$AV56,"")</f>
        <v/>
      </c>
      <c r="CL56" s="102" t="str">
        <f>IFERROR(($CJ56+$CK56)*(1+'Technical Premium'!$C$7),"")</f>
        <v/>
      </c>
      <c r="CM56" s="104" t="str">
        <f>IFERROR($CL56/'Technical Premium'!$C$13,"")</f>
        <v/>
      </c>
      <c r="CN56" s="105" t="str">
        <f t="shared" si="6"/>
        <v/>
      </c>
      <c r="CO56" s="104" t="str">
        <f t="shared" si="7"/>
        <v/>
      </c>
      <c r="CP56" s="105" t="str">
        <f t="shared" si="8"/>
        <v/>
      </c>
      <c r="CQ56" s="106" t="str">
        <f t="shared" si="9"/>
        <v/>
      </c>
      <c r="CR56" s="102" t="str">
        <f>IF(ISNUMBER($CM56),'Technical Premium'!$C$14+IF($J56&gt;=1000000,'Technical Premium'!$C$15,0),"")</f>
        <v/>
      </c>
      <c r="CS56" s="102" t="str">
        <f>IFERROR(($CO56+$CR56)*(INDEX('Territory Factors'!$K$6:$K$56,MATCH($K56,'Territory Factors'!$B$6:$B$56,0))+'Commission Structure'!$C$21),"")</f>
        <v/>
      </c>
      <c r="CT56" s="104" t="str">
        <f t="shared" si="10"/>
        <v/>
      </c>
      <c r="CU56" s="102" t="str">
        <f>IFERROR($CO56*('Commission Structure'!$C$6+'Commission Structure'!$C$7),"")</f>
        <v/>
      </c>
      <c r="CV56" s="102" t="str">
        <f>IFERROR($CO56*'Commission Structure'!$C$5-$CU56,"")</f>
        <v/>
      </c>
      <c r="CW56" s="102" t="str">
        <f>IFERROR($CO56*(1-'Commission Structure'!$C$5),"")</f>
        <v/>
      </c>
      <c r="CX56" s="107"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8" t="str">
        <f t="shared" si="11"/>
        <v/>
      </c>
      <c r="CZ56" s="99" t="str">
        <f>IF($CY56="","",IF($CY56&lt;'Technical Premium'!$C$19,"BEYOND AUTHORITY",IF($CY56&gt;0.005,"Above technical",IF($CY56&lt;-0.005,"BELOW technical","At technical"))))</f>
        <v/>
      </c>
      <c r="DA56" s="99"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4"/>
      <c r="DC56" s="94"/>
      <c r="DD56" s="95"/>
      <c r="DE56" s="94"/>
      <c r="DF56" s="94"/>
      <c r="DG56" s="99" t="str">
        <f t="shared" si="12"/>
        <v/>
      </c>
      <c r="DH56" s="99" t="str">
        <f>IF($A56="","",IF(OR($CX56="REFER",$CX56="DECLINE"),COUNTIF($CX$5:$CX56,"REFER")+COUNTIF($CX$5:$CX56,"DECLINE"),""))</f>
        <v/>
      </c>
      <c r="DI56" s="94"/>
    </row>
    <row r="57" spans="1:113" x14ac:dyDescent="0.35">
      <c r="A57" s="94"/>
      <c r="B57" s="94"/>
      <c r="C57" s="95"/>
      <c r="D57" s="95"/>
      <c r="E57" s="96"/>
      <c r="F57" s="94"/>
      <c r="G57" s="94"/>
      <c r="H57" s="94"/>
      <c r="I57" s="94"/>
      <c r="J57" s="97"/>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8"/>
      <c r="AR57" s="99" t="str">
        <f t="shared" si="0"/>
        <v/>
      </c>
      <c r="AS57" s="99" t="str">
        <f>IF($A57="","",IF($AP57&lt;&gt;"",$AP57,IFERROR(INDEX('Cat Zone by ZIP'!$D$6:$D$856,MATCH($AR57,'Cat Zone by ZIP'!$B$6:$B$856,0)),IFERROR(INDEX('Cat Zone by ZIP'!$C$860:$C$910,MATCH($K57,'Cat Zone by ZIP'!$B$860:$B$910,0)),"NOT FOUND"))))</f>
        <v/>
      </c>
      <c r="AT57" s="99" t="str">
        <f>IF($A57="","",IF($AP57&lt;&gt;"","Override",IF(ISNUMBER(MATCH($AR57,'Cat Zone by ZIP'!$B$6:$B$856,0)),"ZIP-3","State default")))</f>
        <v/>
      </c>
      <c r="AU57" s="100" t="str">
        <f>IF($A57="","",IFERROR(INDEX('Natural Catastrophe'!$D$6:$D$17,MATCH($AS57,'Natural Catastrophe'!$B$6:$B$17,0)),"?"))</f>
        <v/>
      </c>
      <c r="AV57" s="100" t="str">
        <f>IF($A57="","",IFERROR(INDEX('Natural Catastrophe'!$C$21:$C$26,MATCH($AA57,'Natural Catastrophe'!$B$21:$B$26,0)),"?"))</f>
        <v/>
      </c>
      <c r="AW57" s="99" t="str">
        <f>IF($A57="","",IFERROR(INDEX('Base Rates'!$C$4:$I$4,MATCH(MAX($J57,'Technical Premium'!$C$18),'Base Rates'!$C$3:$I$3,1)),"?"))</f>
        <v/>
      </c>
      <c r="AX57" s="101" t="str">
        <f>IF($A57="","",IFERROR(INDEX('Base Rates'!$C$5:$I$16,MATCH($I57,'Base Rates'!$B$5:$B$16,0),MATCH(MAX($J57,'Technical Premium'!$C$18),'Base Rates'!$C$3:$I$3,1)),"?"))</f>
        <v/>
      </c>
      <c r="AY57" s="102" t="str">
        <f t="shared" si="1"/>
        <v/>
      </c>
      <c r="AZ57" s="99" t="str">
        <f>IF($A57="","",IFERROR(INDEX('Make Factors'!$G$5:$G$69,MATCH($F57,'Make Factors'!$B$5:$B$69,0)),"?"))</f>
        <v/>
      </c>
      <c r="BA57" s="99" t="str">
        <f>IF($A57="","",IFERROR(INDEX('Driver Factors'!$C$6:$C$15,MATCH($R57,'Driver Factors'!$B$6:$B$15,0)),"?"))</f>
        <v/>
      </c>
      <c r="BB57" s="99" t="str">
        <f>IF($A57="","",IFERROR(INDEX('Driver Factors'!$C$19:$C$24,MATCH($S57,'Driver Factors'!$B$19:$B$24,0)),"?"))</f>
        <v/>
      </c>
      <c r="BC57" s="99" t="str">
        <f>IF($A57="","",IFERROR(INDEX('Driver Factors'!$C$28:$C$36,MATCH($T57,'Driver Factors'!$B$28:$B$36,0)),"?"))</f>
        <v/>
      </c>
      <c r="BD57" s="99" t="str">
        <f>IF($A57="","",IFERROR(INDEX('Claims History'!$C$6:$C$15,MATCH($U57,'Claims History'!$B$6:$B$15,0)),"?"))</f>
        <v/>
      </c>
      <c r="BE57" s="99" t="str">
        <f>IF($A57="","",IFERROR(INDEX('Territory Factors'!$E$6:$E$56,MATCH($K57,'Territory Factors'!$B$6:$B$56,0)),"?"))</f>
        <v/>
      </c>
      <c r="BF57" s="99" t="str">
        <f>IF($A57="","",IFERROR(INDEX('City Accident Ratings'!$G$6:$G$54,MATCH($Z57,'City Accident Ratings'!$B$6:$B$54,0)),"?"))</f>
        <v/>
      </c>
      <c r="BG57" s="99" t="str">
        <f>IF($A57="","",IFERROR(INDEX('Usage and Coverage'!$D$6:$D$20,MATCH($N57,'Usage and Coverage'!$C$6:$C$20,0)),"?"))</f>
        <v/>
      </c>
      <c r="BH57" s="99" t="str">
        <f>IF($A57="","",IFERROR(INDEX('Usage and Coverage'!$C$24:$C$30,MATCH($O57,'Usage and Coverage'!$B$24:$B$30,0)),"?"))</f>
        <v/>
      </c>
      <c r="BI57" s="99" t="str">
        <f>IF($A57="","",IFERROR(INDEX('Usage and Coverage'!$C$34:$C$40,MATCH($P57,'Usage and Coverage'!$B$34:$B$40,0)),"?"))</f>
        <v/>
      </c>
      <c r="BJ57" s="99" t="str">
        <f>IF($A57="","",IFERROR(INDEX('Usage and Coverage'!$C$44:$C$49,MATCH($Q57,'Usage and Coverage'!$B$44:$B$49,0)),"?"))</f>
        <v/>
      </c>
      <c r="BK57" s="99" t="str">
        <f>IF($A57="","",IFERROR(INDEX(Deductibles!$C$6:$I$15,MATCH($W57,Deductibles!$B$6:$B$15,0),MATCH(MAX($J57,'Technical Premium'!$C$18),'Base Rates'!$C$3:$I$3,1)),"?"))</f>
        <v/>
      </c>
      <c r="BL57" s="99" t="str">
        <f>IF($A57="","",IFERROR(INDEX('Usage and Coverage'!$C$63:$C$66,MATCH($X57,'Usage and Coverage'!$B$63:$B$66,0)),"?"))</f>
        <v/>
      </c>
      <c r="BM57" s="99" t="str">
        <f>IF($A57="","",IFERROR(INDEX('Usage and Coverage'!$C$70:$C$75,MATCH($V57,'Usage and Coverage'!$B$70:$B$75,0)),"?"))</f>
        <v/>
      </c>
      <c r="BN57" s="99" t="str">
        <f>IF($A57="","",IF($AB57="",1,IFERROR(INDEX(Deductibles!$C$48:$C$51,MATCH($AB57,Deductibles!$B$48:$B$51,0)),"?")))</f>
        <v/>
      </c>
      <c r="BO57" s="99" t="str">
        <f>IF($A57="","",IF($AC57="",1,IFERROR(INDEX(Deductibles!$C$55:$C$57,MATCH($AC57,Deductibles!$B$55:$B$57,0)),"?")))</f>
        <v/>
      </c>
      <c r="BP57" s="99" t="str">
        <f>IF($A57="","",IF($AD57="",1,IFERROR(INDEX(Deductibles!$C$61:$C$63,MATCH($AD57,Deductibles!$B$61:$B$63,0)),"?")))</f>
        <v/>
      </c>
      <c r="BQ57" s="99" t="str">
        <f>IF($A57="","",IF($AE57="",1,IFERROR(INDEX(Deductibles!$C$67:$C$69,MATCH($AE57,Deductibles!$B$67:$B$69,0)),"?")))</f>
        <v/>
      </c>
      <c r="BR57" s="99" t="str">
        <f>IF($A57="","",IF($AF57="",1,IFERROR(INDEX(Deductibles!$C$73:$C$74,MATCH($AF57,Deductibles!$B$73:$B$74,0)),"?")))</f>
        <v/>
      </c>
      <c r="BS57" s="99" t="str">
        <f>IF($A57="","",IF($AG57="",1,IFERROR(INDEX('Sublimits and Parts'!$C$49:$C$52,MATCH($AG57,'Sublimits and Parts'!$B$49:$B$52,0)),"?")))</f>
        <v/>
      </c>
      <c r="BT57" s="99" t="str">
        <f>IF($A57="","",IF($AH57="",1,IFERROR(INDEX('Sublimits and Parts'!$C$56:$C$60,MATCH($AH57,'Sublimits and Parts'!$B$56:$B$60,0)),"?")))</f>
        <v/>
      </c>
      <c r="BU57" s="99" t="str">
        <f>IF($A57="","",IF($AI57="",1,IFERROR(INDEX('Sublimits and Parts'!$C$64:$C$67,MATCH($AI57,'Sublimits and Parts'!$B$64:$B$67,0)),"?")))</f>
        <v/>
      </c>
      <c r="BV57" s="99" t="str">
        <f>IF($A57="","",IF($AJ57="",1,IFERROR(INDEX('Sublimits and Parts'!$C$71:$C$74,MATCH($AJ57,'Sublimits and Parts'!$B$71:$B$74,0)),"?")))</f>
        <v/>
      </c>
      <c r="BW57" s="99" t="str">
        <f>IF($A57="","",IF($AK57="",1,IFERROR(INDEX('Sublimits and Parts'!$C$78:$C$80,MATCH($AK57,'Sublimits and Parts'!$B$78:$B$80,0)),"?")))</f>
        <v/>
      </c>
      <c r="BX57" s="99" t="str">
        <f>IF($A57="","",IF($AL57="",1,IFERROR(INDEX('Sublimits and Parts'!$C$84:$C$87,MATCH($AL57,'Sublimits and Parts'!$B$84:$B$87,0)),"?")))</f>
        <v/>
      </c>
      <c r="BY57" s="99" t="str">
        <f>IF($A57="","",IF($AM57="",1,IFERROR(INDEX('Sublimits and Parts'!$C$91:$C$94,MATCH($AM57,'Sublimits and Parts'!$B$91:$B$94,0)),"?")))</f>
        <v/>
      </c>
      <c r="BZ57" s="99" t="str">
        <f>IF($A57="","",IF($AN57="",1,IFERROR(INDEX('Sublimits and Parts'!$C$98:$C$101,MATCH($AN57,'Sublimits and Parts'!$B$98:$B$101,0)),"?")))</f>
        <v/>
      </c>
      <c r="CA57" s="99" t="str">
        <f>IF($A57="","",IF($AO57="",1,IFERROR(INDEX('Sublimits and Parts'!$C$105:$C$109,MATCH($AO57,'Sublimits and Parts'!$B$105:$B$109,0)),"?")))</f>
        <v/>
      </c>
      <c r="CB57" s="100" t="str">
        <f t="shared" si="2"/>
        <v/>
      </c>
      <c r="CC57" s="100" t="str">
        <f t="shared" si="3"/>
        <v/>
      </c>
      <c r="CD57" s="103" t="str">
        <f>IF($A57="","",IF(OR($CB57="?",$CC57="?"),"?",MIN($CB57*$CC57,'Technical Premium'!$C$17)))</f>
        <v/>
      </c>
      <c r="CE57" s="102" t="str">
        <f t="shared" si="4"/>
        <v/>
      </c>
      <c r="CF57" s="102" t="str">
        <f>IF($A57="","",IFERROR(INDEX('Territory Factors'!$F$6:$F$56,MATCH($K57,'Territory Factors'!$B$6:$B$56,0)),"?"))</f>
        <v/>
      </c>
      <c r="CG57" s="100" t="str">
        <f>IF($A57="","",IFERROR(INDEX('Usage and Coverage'!$C$79:$C$84,MATCH($Y57,'Usage and Coverage'!$B$79:$B$84,0)),"?"))</f>
        <v/>
      </c>
      <c r="CH57" s="102" t="str">
        <f>IFERROR(IF(ISNUMBER($CD57),$CF57*$CG57*MIN($BG57*$BA57*$BC57*$BD57*$BH57*$BF57,'Technical Premium'!$C$17),""),"")</f>
        <v/>
      </c>
      <c r="CI57" s="102" t="str">
        <f t="shared" si="5"/>
        <v/>
      </c>
      <c r="CJ57" s="102" t="str">
        <f>IFERROR($CI57*(1+'Technical Premium'!$C$5)*(1+'Technical Premium'!$C$6),"")</f>
        <v/>
      </c>
      <c r="CK57" s="102" t="str">
        <f>IFERROR($CE57*INDEX('Territory Factors'!$G$6:$G$56,MATCH($K57,'Territory Factors'!$B$6:$B$56,0))*$AU57*$AV57,"")</f>
        <v/>
      </c>
      <c r="CL57" s="102" t="str">
        <f>IFERROR(($CJ57+$CK57)*(1+'Technical Premium'!$C$7),"")</f>
        <v/>
      </c>
      <c r="CM57" s="104" t="str">
        <f>IFERROR($CL57/'Technical Premium'!$C$13,"")</f>
        <v/>
      </c>
      <c r="CN57" s="105" t="str">
        <f t="shared" si="6"/>
        <v/>
      </c>
      <c r="CO57" s="104" t="str">
        <f t="shared" si="7"/>
        <v/>
      </c>
      <c r="CP57" s="105" t="str">
        <f t="shared" si="8"/>
        <v/>
      </c>
      <c r="CQ57" s="106" t="str">
        <f t="shared" si="9"/>
        <v/>
      </c>
      <c r="CR57" s="102" t="str">
        <f>IF(ISNUMBER($CM57),'Technical Premium'!$C$14+IF($J57&gt;=1000000,'Technical Premium'!$C$15,0),"")</f>
        <v/>
      </c>
      <c r="CS57" s="102" t="str">
        <f>IFERROR(($CO57+$CR57)*(INDEX('Territory Factors'!$K$6:$K$56,MATCH($K57,'Territory Factors'!$B$6:$B$56,0))+'Commission Structure'!$C$21),"")</f>
        <v/>
      </c>
      <c r="CT57" s="104" t="str">
        <f t="shared" si="10"/>
        <v/>
      </c>
      <c r="CU57" s="102" t="str">
        <f>IFERROR($CO57*('Commission Structure'!$C$6+'Commission Structure'!$C$7),"")</f>
        <v/>
      </c>
      <c r="CV57" s="102" t="str">
        <f>IFERROR($CO57*'Commission Structure'!$C$5-$CU57,"")</f>
        <v/>
      </c>
      <c r="CW57" s="102" t="str">
        <f>IFERROR($CO57*(1-'Commission Structure'!$C$5),"")</f>
        <v/>
      </c>
      <c r="CX57" s="107"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8" t="str">
        <f t="shared" si="11"/>
        <v/>
      </c>
      <c r="CZ57" s="99" t="str">
        <f>IF($CY57="","",IF($CY57&lt;'Technical Premium'!$C$19,"BEYOND AUTHORITY",IF($CY57&gt;0.005,"Above technical",IF($CY57&lt;-0.005,"BELOW technical","At technical"))))</f>
        <v/>
      </c>
      <c r="DA57" s="99"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4"/>
      <c r="DC57" s="94"/>
      <c r="DD57" s="95"/>
      <c r="DE57" s="94"/>
      <c r="DF57" s="94"/>
      <c r="DG57" s="99" t="str">
        <f t="shared" si="12"/>
        <v/>
      </c>
      <c r="DH57" s="99" t="str">
        <f>IF($A57="","",IF(OR($CX57="REFER",$CX57="DECLINE"),COUNTIF($CX$5:$CX57,"REFER")+COUNTIF($CX$5:$CX57,"DECLINE"),""))</f>
        <v/>
      </c>
      <c r="DI57" s="94"/>
    </row>
    <row r="58" spans="1:113" x14ac:dyDescent="0.35">
      <c r="A58" s="94"/>
      <c r="B58" s="94"/>
      <c r="C58" s="95"/>
      <c r="D58" s="95"/>
      <c r="E58" s="96"/>
      <c r="F58" s="94"/>
      <c r="G58" s="94"/>
      <c r="H58" s="94"/>
      <c r="I58" s="94"/>
      <c r="J58" s="97"/>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8"/>
      <c r="AR58" s="99" t="str">
        <f t="shared" si="0"/>
        <v/>
      </c>
      <c r="AS58" s="99" t="str">
        <f>IF($A58="","",IF($AP58&lt;&gt;"",$AP58,IFERROR(INDEX('Cat Zone by ZIP'!$D$6:$D$856,MATCH($AR58,'Cat Zone by ZIP'!$B$6:$B$856,0)),IFERROR(INDEX('Cat Zone by ZIP'!$C$860:$C$910,MATCH($K58,'Cat Zone by ZIP'!$B$860:$B$910,0)),"NOT FOUND"))))</f>
        <v/>
      </c>
      <c r="AT58" s="99" t="str">
        <f>IF($A58="","",IF($AP58&lt;&gt;"","Override",IF(ISNUMBER(MATCH($AR58,'Cat Zone by ZIP'!$B$6:$B$856,0)),"ZIP-3","State default")))</f>
        <v/>
      </c>
      <c r="AU58" s="100" t="str">
        <f>IF($A58="","",IFERROR(INDEX('Natural Catastrophe'!$D$6:$D$17,MATCH($AS58,'Natural Catastrophe'!$B$6:$B$17,0)),"?"))</f>
        <v/>
      </c>
      <c r="AV58" s="100" t="str">
        <f>IF($A58="","",IFERROR(INDEX('Natural Catastrophe'!$C$21:$C$26,MATCH($AA58,'Natural Catastrophe'!$B$21:$B$26,0)),"?"))</f>
        <v/>
      </c>
      <c r="AW58" s="99" t="str">
        <f>IF($A58="","",IFERROR(INDEX('Base Rates'!$C$4:$I$4,MATCH(MAX($J58,'Technical Premium'!$C$18),'Base Rates'!$C$3:$I$3,1)),"?"))</f>
        <v/>
      </c>
      <c r="AX58" s="101" t="str">
        <f>IF($A58="","",IFERROR(INDEX('Base Rates'!$C$5:$I$16,MATCH($I58,'Base Rates'!$B$5:$B$16,0),MATCH(MAX($J58,'Technical Premium'!$C$18),'Base Rates'!$C$3:$I$3,1)),"?"))</f>
        <v/>
      </c>
      <c r="AY58" s="102" t="str">
        <f t="shared" si="1"/>
        <v/>
      </c>
      <c r="AZ58" s="99" t="str">
        <f>IF($A58="","",IFERROR(INDEX('Make Factors'!$G$5:$G$69,MATCH($F58,'Make Factors'!$B$5:$B$69,0)),"?"))</f>
        <v/>
      </c>
      <c r="BA58" s="99" t="str">
        <f>IF($A58="","",IFERROR(INDEX('Driver Factors'!$C$6:$C$15,MATCH($R58,'Driver Factors'!$B$6:$B$15,0)),"?"))</f>
        <v/>
      </c>
      <c r="BB58" s="99" t="str">
        <f>IF($A58="","",IFERROR(INDEX('Driver Factors'!$C$19:$C$24,MATCH($S58,'Driver Factors'!$B$19:$B$24,0)),"?"))</f>
        <v/>
      </c>
      <c r="BC58" s="99" t="str">
        <f>IF($A58="","",IFERROR(INDEX('Driver Factors'!$C$28:$C$36,MATCH($T58,'Driver Factors'!$B$28:$B$36,0)),"?"))</f>
        <v/>
      </c>
      <c r="BD58" s="99" t="str">
        <f>IF($A58="","",IFERROR(INDEX('Claims History'!$C$6:$C$15,MATCH($U58,'Claims History'!$B$6:$B$15,0)),"?"))</f>
        <v/>
      </c>
      <c r="BE58" s="99" t="str">
        <f>IF($A58="","",IFERROR(INDEX('Territory Factors'!$E$6:$E$56,MATCH($K58,'Territory Factors'!$B$6:$B$56,0)),"?"))</f>
        <v/>
      </c>
      <c r="BF58" s="99" t="str">
        <f>IF($A58="","",IFERROR(INDEX('City Accident Ratings'!$G$6:$G$54,MATCH($Z58,'City Accident Ratings'!$B$6:$B$54,0)),"?"))</f>
        <v/>
      </c>
      <c r="BG58" s="99" t="str">
        <f>IF($A58="","",IFERROR(INDEX('Usage and Coverage'!$D$6:$D$20,MATCH($N58,'Usage and Coverage'!$C$6:$C$20,0)),"?"))</f>
        <v/>
      </c>
      <c r="BH58" s="99" t="str">
        <f>IF($A58="","",IFERROR(INDEX('Usage and Coverage'!$C$24:$C$30,MATCH($O58,'Usage and Coverage'!$B$24:$B$30,0)),"?"))</f>
        <v/>
      </c>
      <c r="BI58" s="99" t="str">
        <f>IF($A58="","",IFERROR(INDEX('Usage and Coverage'!$C$34:$C$40,MATCH($P58,'Usage and Coverage'!$B$34:$B$40,0)),"?"))</f>
        <v/>
      </c>
      <c r="BJ58" s="99" t="str">
        <f>IF($A58="","",IFERROR(INDEX('Usage and Coverage'!$C$44:$C$49,MATCH($Q58,'Usage and Coverage'!$B$44:$B$49,0)),"?"))</f>
        <v/>
      </c>
      <c r="BK58" s="99" t="str">
        <f>IF($A58="","",IFERROR(INDEX(Deductibles!$C$6:$I$15,MATCH($W58,Deductibles!$B$6:$B$15,0),MATCH(MAX($J58,'Technical Premium'!$C$18),'Base Rates'!$C$3:$I$3,1)),"?"))</f>
        <v/>
      </c>
      <c r="BL58" s="99" t="str">
        <f>IF($A58="","",IFERROR(INDEX('Usage and Coverage'!$C$63:$C$66,MATCH($X58,'Usage and Coverage'!$B$63:$B$66,0)),"?"))</f>
        <v/>
      </c>
      <c r="BM58" s="99" t="str">
        <f>IF($A58="","",IFERROR(INDEX('Usage and Coverage'!$C$70:$C$75,MATCH($V58,'Usage and Coverage'!$B$70:$B$75,0)),"?"))</f>
        <v/>
      </c>
      <c r="BN58" s="99" t="str">
        <f>IF($A58="","",IF($AB58="",1,IFERROR(INDEX(Deductibles!$C$48:$C$51,MATCH($AB58,Deductibles!$B$48:$B$51,0)),"?")))</f>
        <v/>
      </c>
      <c r="BO58" s="99" t="str">
        <f>IF($A58="","",IF($AC58="",1,IFERROR(INDEX(Deductibles!$C$55:$C$57,MATCH($AC58,Deductibles!$B$55:$B$57,0)),"?")))</f>
        <v/>
      </c>
      <c r="BP58" s="99" t="str">
        <f>IF($A58="","",IF($AD58="",1,IFERROR(INDEX(Deductibles!$C$61:$C$63,MATCH($AD58,Deductibles!$B$61:$B$63,0)),"?")))</f>
        <v/>
      </c>
      <c r="BQ58" s="99" t="str">
        <f>IF($A58="","",IF($AE58="",1,IFERROR(INDEX(Deductibles!$C$67:$C$69,MATCH($AE58,Deductibles!$B$67:$B$69,0)),"?")))</f>
        <v/>
      </c>
      <c r="BR58" s="99" t="str">
        <f>IF($A58="","",IF($AF58="",1,IFERROR(INDEX(Deductibles!$C$73:$C$74,MATCH($AF58,Deductibles!$B$73:$B$74,0)),"?")))</f>
        <v/>
      </c>
      <c r="BS58" s="99" t="str">
        <f>IF($A58="","",IF($AG58="",1,IFERROR(INDEX('Sublimits and Parts'!$C$49:$C$52,MATCH($AG58,'Sublimits and Parts'!$B$49:$B$52,0)),"?")))</f>
        <v/>
      </c>
      <c r="BT58" s="99" t="str">
        <f>IF($A58="","",IF($AH58="",1,IFERROR(INDEX('Sublimits and Parts'!$C$56:$C$60,MATCH($AH58,'Sublimits and Parts'!$B$56:$B$60,0)),"?")))</f>
        <v/>
      </c>
      <c r="BU58" s="99" t="str">
        <f>IF($A58="","",IF($AI58="",1,IFERROR(INDEX('Sublimits and Parts'!$C$64:$C$67,MATCH($AI58,'Sublimits and Parts'!$B$64:$B$67,0)),"?")))</f>
        <v/>
      </c>
      <c r="BV58" s="99" t="str">
        <f>IF($A58="","",IF($AJ58="",1,IFERROR(INDEX('Sublimits and Parts'!$C$71:$C$74,MATCH($AJ58,'Sublimits and Parts'!$B$71:$B$74,0)),"?")))</f>
        <v/>
      </c>
      <c r="BW58" s="99" t="str">
        <f>IF($A58="","",IF($AK58="",1,IFERROR(INDEX('Sublimits and Parts'!$C$78:$C$80,MATCH($AK58,'Sublimits and Parts'!$B$78:$B$80,0)),"?")))</f>
        <v/>
      </c>
      <c r="BX58" s="99" t="str">
        <f>IF($A58="","",IF($AL58="",1,IFERROR(INDEX('Sublimits and Parts'!$C$84:$C$87,MATCH($AL58,'Sublimits and Parts'!$B$84:$B$87,0)),"?")))</f>
        <v/>
      </c>
      <c r="BY58" s="99" t="str">
        <f>IF($A58="","",IF($AM58="",1,IFERROR(INDEX('Sublimits and Parts'!$C$91:$C$94,MATCH($AM58,'Sublimits and Parts'!$B$91:$B$94,0)),"?")))</f>
        <v/>
      </c>
      <c r="BZ58" s="99" t="str">
        <f>IF($A58="","",IF($AN58="",1,IFERROR(INDEX('Sublimits and Parts'!$C$98:$C$101,MATCH($AN58,'Sublimits and Parts'!$B$98:$B$101,0)),"?")))</f>
        <v/>
      </c>
      <c r="CA58" s="99" t="str">
        <f>IF($A58="","",IF($AO58="",1,IFERROR(INDEX('Sublimits and Parts'!$C$105:$C$109,MATCH($AO58,'Sublimits and Parts'!$B$105:$B$109,0)),"?")))</f>
        <v/>
      </c>
      <c r="CB58" s="100" t="str">
        <f t="shared" si="2"/>
        <v/>
      </c>
      <c r="CC58" s="100" t="str">
        <f t="shared" si="3"/>
        <v/>
      </c>
      <c r="CD58" s="103" t="str">
        <f>IF($A58="","",IF(OR($CB58="?",$CC58="?"),"?",MIN($CB58*$CC58,'Technical Premium'!$C$17)))</f>
        <v/>
      </c>
      <c r="CE58" s="102" t="str">
        <f t="shared" si="4"/>
        <v/>
      </c>
      <c r="CF58" s="102" t="str">
        <f>IF($A58="","",IFERROR(INDEX('Territory Factors'!$F$6:$F$56,MATCH($K58,'Territory Factors'!$B$6:$B$56,0)),"?"))</f>
        <v/>
      </c>
      <c r="CG58" s="100" t="str">
        <f>IF($A58="","",IFERROR(INDEX('Usage and Coverage'!$C$79:$C$84,MATCH($Y58,'Usage and Coverage'!$B$79:$B$84,0)),"?"))</f>
        <v/>
      </c>
      <c r="CH58" s="102" t="str">
        <f>IFERROR(IF(ISNUMBER($CD58),$CF58*$CG58*MIN($BG58*$BA58*$BC58*$BD58*$BH58*$BF58,'Technical Premium'!$C$17),""),"")</f>
        <v/>
      </c>
      <c r="CI58" s="102" t="str">
        <f t="shared" si="5"/>
        <v/>
      </c>
      <c r="CJ58" s="102" t="str">
        <f>IFERROR($CI58*(1+'Technical Premium'!$C$5)*(1+'Technical Premium'!$C$6),"")</f>
        <v/>
      </c>
      <c r="CK58" s="102" t="str">
        <f>IFERROR($CE58*INDEX('Territory Factors'!$G$6:$G$56,MATCH($K58,'Territory Factors'!$B$6:$B$56,0))*$AU58*$AV58,"")</f>
        <v/>
      </c>
      <c r="CL58" s="102" t="str">
        <f>IFERROR(($CJ58+$CK58)*(1+'Technical Premium'!$C$7),"")</f>
        <v/>
      </c>
      <c r="CM58" s="104" t="str">
        <f>IFERROR($CL58/'Technical Premium'!$C$13,"")</f>
        <v/>
      </c>
      <c r="CN58" s="105" t="str">
        <f t="shared" si="6"/>
        <v/>
      </c>
      <c r="CO58" s="104" t="str">
        <f t="shared" si="7"/>
        <v/>
      </c>
      <c r="CP58" s="105" t="str">
        <f t="shared" si="8"/>
        <v/>
      </c>
      <c r="CQ58" s="106" t="str">
        <f t="shared" si="9"/>
        <v/>
      </c>
      <c r="CR58" s="102" t="str">
        <f>IF(ISNUMBER($CM58),'Technical Premium'!$C$14+IF($J58&gt;=1000000,'Technical Premium'!$C$15,0),"")</f>
        <v/>
      </c>
      <c r="CS58" s="102" t="str">
        <f>IFERROR(($CO58+$CR58)*(INDEX('Territory Factors'!$K$6:$K$56,MATCH($K58,'Territory Factors'!$B$6:$B$56,0))+'Commission Structure'!$C$21),"")</f>
        <v/>
      </c>
      <c r="CT58" s="104" t="str">
        <f t="shared" si="10"/>
        <v/>
      </c>
      <c r="CU58" s="102" t="str">
        <f>IFERROR($CO58*('Commission Structure'!$C$6+'Commission Structure'!$C$7),"")</f>
        <v/>
      </c>
      <c r="CV58" s="102" t="str">
        <f>IFERROR($CO58*'Commission Structure'!$C$5-$CU58,"")</f>
        <v/>
      </c>
      <c r="CW58" s="102" t="str">
        <f>IFERROR($CO58*(1-'Commission Structure'!$C$5),"")</f>
        <v/>
      </c>
      <c r="CX58" s="107"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8" t="str">
        <f t="shared" si="11"/>
        <v/>
      </c>
      <c r="CZ58" s="99" t="str">
        <f>IF($CY58="","",IF($CY58&lt;'Technical Premium'!$C$19,"BEYOND AUTHORITY",IF($CY58&gt;0.005,"Above technical",IF($CY58&lt;-0.005,"BELOW technical","At technical"))))</f>
        <v/>
      </c>
      <c r="DA58" s="99"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4"/>
      <c r="DC58" s="94"/>
      <c r="DD58" s="95"/>
      <c r="DE58" s="94"/>
      <c r="DF58" s="94"/>
      <c r="DG58" s="99" t="str">
        <f t="shared" si="12"/>
        <v/>
      </c>
      <c r="DH58" s="99" t="str">
        <f>IF($A58="","",IF(OR($CX58="REFER",$CX58="DECLINE"),COUNTIF($CX$5:$CX58,"REFER")+COUNTIF($CX$5:$CX58,"DECLINE"),""))</f>
        <v/>
      </c>
      <c r="DI58" s="94"/>
    </row>
    <row r="59" spans="1:113" x14ac:dyDescent="0.35">
      <c r="A59" s="94"/>
      <c r="B59" s="94"/>
      <c r="C59" s="95"/>
      <c r="D59" s="95"/>
      <c r="E59" s="96"/>
      <c r="F59" s="94"/>
      <c r="G59" s="94"/>
      <c r="H59" s="94"/>
      <c r="I59" s="94"/>
      <c r="J59" s="97"/>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8"/>
      <c r="AR59" s="99" t="str">
        <f t="shared" si="0"/>
        <v/>
      </c>
      <c r="AS59" s="99" t="str">
        <f>IF($A59="","",IF($AP59&lt;&gt;"",$AP59,IFERROR(INDEX('Cat Zone by ZIP'!$D$6:$D$856,MATCH($AR59,'Cat Zone by ZIP'!$B$6:$B$856,0)),IFERROR(INDEX('Cat Zone by ZIP'!$C$860:$C$910,MATCH($K59,'Cat Zone by ZIP'!$B$860:$B$910,0)),"NOT FOUND"))))</f>
        <v/>
      </c>
      <c r="AT59" s="99" t="str">
        <f>IF($A59="","",IF($AP59&lt;&gt;"","Override",IF(ISNUMBER(MATCH($AR59,'Cat Zone by ZIP'!$B$6:$B$856,0)),"ZIP-3","State default")))</f>
        <v/>
      </c>
      <c r="AU59" s="100" t="str">
        <f>IF($A59="","",IFERROR(INDEX('Natural Catastrophe'!$D$6:$D$17,MATCH($AS59,'Natural Catastrophe'!$B$6:$B$17,0)),"?"))</f>
        <v/>
      </c>
      <c r="AV59" s="100" t="str">
        <f>IF($A59="","",IFERROR(INDEX('Natural Catastrophe'!$C$21:$C$26,MATCH($AA59,'Natural Catastrophe'!$B$21:$B$26,0)),"?"))</f>
        <v/>
      </c>
      <c r="AW59" s="99" t="str">
        <f>IF($A59="","",IFERROR(INDEX('Base Rates'!$C$4:$I$4,MATCH(MAX($J59,'Technical Premium'!$C$18),'Base Rates'!$C$3:$I$3,1)),"?"))</f>
        <v/>
      </c>
      <c r="AX59" s="101" t="str">
        <f>IF($A59="","",IFERROR(INDEX('Base Rates'!$C$5:$I$16,MATCH($I59,'Base Rates'!$B$5:$B$16,0),MATCH(MAX($J59,'Technical Premium'!$C$18),'Base Rates'!$C$3:$I$3,1)),"?"))</f>
        <v/>
      </c>
      <c r="AY59" s="102" t="str">
        <f t="shared" si="1"/>
        <v/>
      </c>
      <c r="AZ59" s="99" t="str">
        <f>IF($A59="","",IFERROR(INDEX('Make Factors'!$G$5:$G$69,MATCH($F59,'Make Factors'!$B$5:$B$69,0)),"?"))</f>
        <v/>
      </c>
      <c r="BA59" s="99" t="str">
        <f>IF($A59="","",IFERROR(INDEX('Driver Factors'!$C$6:$C$15,MATCH($R59,'Driver Factors'!$B$6:$B$15,0)),"?"))</f>
        <v/>
      </c>
      <c r="BB59" s="99" t="str">
        <f>IF($A59="","",IFERROR(INDEX('Driver Factors'!$C$19:$C$24,MATCH($S59,'Driver Factors'!$B$19:$B$24,0)),"?"))</f>
        <v/>
      </c>
      <c r="BC59" s="99" t="str">
        <f>IF($A59="","",IFERROR(INDEX('Driver Factors'!$C$28:$C$36,MATCH($T59,'Driver Factors'!$B$28:$B$36,0)),"?"))</f>
        <v/>
      </c>
      <c r="BD59" s="99" t="str">
        <f>IF($A59="","",IFERROR(INDEX('Claims History'!$C$6:$C$15,MATCH($U59,'Claims History'!$B$6:$B$15,0)),"?"))</f>
        <v/>
      </c>
      <c r="BE59" s="99" t="str">
        <f>IF($A59="","",IFERROR(INDEX('Territory Factors'!$E$6:$E$56,MATCH($K59,'Territory Factors'!$B$6:$B$56,0)),"?"))</f>
        <v/>
      </c>
      <c r="BF59" s="99" t="str">
        <f>IF($A59="","",IFERROR(INDEX('City Accident Ratings'!$G$6:$G$54,MATCH($Z59,'City Accident Ratings'!$B$6:$B$54,0)),"?"))</f>
        <v/>
      </c>
      <c r="BG59" s="99" t="str">
        <f>IF($A59="","",IFERROR(INDEX('Usage and Coverage'!$D$6:$D$20,MATCH($N59,'Usage and Coverage'!$C$6:$C$20,0)),"?"))</f>
        <v/>
      </c>
      <c r="BH59" s="99" t="str">
        <f>IF($A59="","",IFERROR(INDEX('Usage and Coverage'!$C$24:$C$30,MATCH($O59,'Usage and Coverage'!$B$24:$B$30,0)),"?"))</f>
        <v/>
      </c>
      <c r="BI59" s="99" t="str">
        <f>IF($A59="","",IFERROR(INDEX('Usage and Coverage'!$C$34:$C$40,MATCH($P59,'Usage and Coverage'!$B$34:$B$40,0)),"?"))</f>
        <v/>
      </c>
      <c r="BJ59" s="99" t="str">
        <f>IF($A59="","",IFERROR(INDEX('Usage and Coverage'!$C$44:$C$49,MATCH($Q59,'Usage and Coverage'!$B$44:$B$49,0)),"?"))</f>
        <v/>
      </c>
      <c r="BK59" s="99" t="str">
        <f>IF($A59="","",IFERROR(INDEX(Deductibles!$C$6:$I$15,MATCH($W59,Deductibles!$B$6:$B$15,0),MATCH(MAX($J59,'Technical Premium'!$C$18),'Base Rates'!$C$3:$I$3,1)),"?"))</f>
        <v/>
      </c>
      <c r="BL59" s="99" t="str">
        <f>IF($A59="","",IFERROR(INDEX('Usage and Coverage'!$C$63:$C$66,MATCH($X59,'Usage and Coverage'!$B$63:$B$66,0)),"?"))</f>
        <v/>
      </c>
      <c r="BM59" s="99" t="str">
        <f>IF($A59="","",IFERROR(INDEX('Usage and Coverage'!$C$70:$C$75,MATCH($V59,'Usage and Coverage'!$B$70:$B$75,0)),"?"))</f>
        <v/>
      </c>
      <c r="BN59" s="99" t="str">
        <f>IF($A59="","",IF($AB59="",1,IFERROR(INDEX(Deductibles!$C$48:$C$51,MATCH($AB59,Deductibles!$B$48:$B$51,0)),"?")))</f>
        <v/>
      </c>
      <c r="BO59" s="99" t="str">
        <f>IF($A59="","",IF($AC59="",1,IFERROR(INDEX(Deductibles!$C$55:$C$57,MATCH($AC59,Deductibles!$B$55:$B$57,0)),"?")))</f>
        <v/>
      </c>
      <c r="BP59" s="99" t="str">
        <f>IF($A59="","",IF($AD59="",1,IFERROR(INDEX(Deductibles!$C$61:$C$63,MATCH($AD59,Deductibles!$B$61:$B$63,0)),"?")))</f>
        <v/>
      </c>
      <c r="BQ59" s="99" t="str">
        <f>IF($A59="","",IF($AE59="",1,IFERROR(INDEX(Deductibles!$C$67:$C$69,MATCH($AE59,Deductibles!$B$67:$B$69,0)),"?")))</f>
        <v/>
      </c>
      <c r="BR59" s="99" t="str">
        <f>IF($A59="","",IF($AF59="",1,IFERROR(INDEX(Deductibles!$C$73:$C$74,MATCH($AF59,Deductibles!$B$73:$B$74,0)),"?")))</f>
        <v/>
      </c>
      <c r="BS59" s="99" t="str">
        <f>IF($A59="","",IF($AG59="",1,IFERROR(INDEX('Sublimits and Parts'!$C$49:$C$52,MATCH($AG59,'Sublimits and Parts'!$B$49:$B$52,0)),"?")))</f>
        <v/>
      </c>
      <c r="BT59" s="99" t="str">
        <f>IF($A59="","",IF($AH59="",1,IFERROR(INDEX('Sublimits and Parts'!$C$56:$C$60,MATCH($AH59,'Sublimits and Parts'!$B$56:$B$60,0)),"?")))</f>
        <v/>
      </c>
      <c r="BU59" s="99" t="str">
        <f>IF($A59="","",IF($AI59="",1,IFERROR(INDEX('Sublimits and Parts'!$C$64:$C$67,MATCH($AI59,'Sublimits and Parts'!$B$64:$B$67,0)),"?")))</f>
        <v/>
      </c>
      <c r="BV59" s="99" t="str">
        <f>IF($A59="","",IF($AJ59="",1,IFERROR(INDEX('Sublimits and Parts'!$C$71:$C$74,MATCH($AJ59,'Sublimits and Parts'!$B$71:$B$74,0)),"?")))</f>
        <v/>
      </c>
      <c r="BW59" s="99" t="str">
        <f>IF($A59="","",IF($AK59="",1,IFERROR(INDEX('Sublimits and Parts'!$C$78:$C$80,MATCH($AK59,'Sublimits and Parts'!$B$78:$B$80,0)),"?")))</f>
        <v/>
      </c>
      <c r="BX59" s="99" t="str">
        <f>IF($A59="","",IF($AL59="",1,IFERROR(INDEX('Sublimits and Parts'!$C$84:$C$87,MATCH($AL59,'Sublimits and Parts'!$B$84:$B$87,0)),"?")))</f>
        <v/>
      </c>
      <c r="BY59" s="99" t="str">
        <f>IF($A59="","",IF($AM59="",1,IFERROR(INDEX('Sublimits and Parts'!$C$91:$C$94,MATCH($AM59,'Sublimits and Parts'!$B$91:$B$94,0)),"?")))</f>
        <v/>
      </c>
      <c r="BZ59" s="99" t="str">
        <f>IF($A59="","",IF($AN59="",1,IFERROR(INDEX('Sublimits and Parts'!$C$98:$C$101,MATCH($AN59,'Sublimits and Parts'!$B$98:$B$101,0)),"?")))</f>
        <v/>
      </c>
      <c r="CA59" s="99" t="str">
        <f>IF($A59="","",IF($AO59="",1,IFERROR(INDEX('Sublimits and Parts'!$C$105:$C$109,MATCH($AO59,'Sublimits and Parts'!$B$105:$B$109,0)),"?")))</f>
        <v/>
      </c>
      <c r="CB59" s="100" t="str">
        <f t="shared" si="2"/>
        <v/>
      </c>
      <c r="CC59" s="100" t="str">
        <f t="shared" si="3"/>
        <v/>
      </c>
      <c r="CD59" s="103" t="str">
        <f>IF($A59="","",IF(OR($CB59="?",$CC59="?"),"?",MIN($CB59*$CC59,'Technical Premium'!$C$17)))</f>
        <v/>
      </c>
      <c r="CE59" s="102" t="str">
        <f t="shared" si="4"/>
        <v/>
      </c>
      <c r="CF59" s="102" t="str">
        <f>IF($A59="","",IFERROR(INDEX('Territory Factors'!$F$6:$F$56,MATCH($K59,'Territory Factors'!$B$6:$B$56,0)),"?"))</f>
        <v/>
      </c>
      <c r="CG59" s="100" t="str">
        <f>IF($A59="","",IFERROR(INDEX('Usage and Coverage'!$C$79:$C$84,MATCH($Y59,'Usage and Coverage'!$B$79:$B$84,0)),"?"))</f>
        <v/>
      </c>
      <c r="CH59" s="102" t="str">
        <f>IFERROR(IF(ISNUMBER($CD59),$CF59*$CG59*MIN($BG59*$BA59*$BC59*$BD59*$BH59*$BF59,'Technical Premium'!$C$17),""),"")</f>
        <v/>
      </c>
      <c r="CI59" s="102" t="str">
        <f t="shared" si="5"/>
        <v/>
      </c>
      <c r="CJ59" s="102" t="str">
        <f>IFERROR($CI59*(1+'Technical Premium'!$C$5)*(1+'Technical Premium'!$C$6),"")</f>
        <v/>
      </c>
      <c r="CK59" s="102" t="str">
        <f>IFERROR($CE59*INDEX('Territory Factors'!$G$6:$G$56,MATCH($K59,'Territory Factors'!$B$6:$B$56,0))*$AU59*$AV59,"")</f>
        <v/>
      </c>
      <c r="CL59" s="102" t="str">
        <f>IFERROR(($CJ59+$CK59)*(1+'Technical Premium'!$C$7),"")</f>
        <v/>
      </c>
      <c r="CM59" s="104" t="str">
        <f>IFERROR($CL59/'Technical Premium'!$C$13,"")</f>
        <v/>
      </c>
      <c r="CN59" s="105" t="str">
        <f t="shared" si="6"/>
        <v/>
      </c>
      <c r="CO59" s="104" t="str">
        <f t="shared" si="7"/>
        <v/>
      </c>
      <c r="CP59" s="105" t="str">
        <f t="shared" si="8"/>
        <v/>
      </c>
      <c r="CQ59" s="106" t="str">
        <f t="shared" si="9"/>
        <v/>
      </c>
      <c r="CR59" s="102" t="str">
        <f>IF(ISNUMBER($CM59),'Technical Premium'!$C$14+IF($J59&gt;=1000000,'Technical Premium'!$C$15,0),"")</f>
        <v/>
      </c>
      <c r="CS59" s="102" t="str">
        <f>IFERROR(($CO59+$CR59)*(INDEX('Territory Factors'!$K$6:$K$56,MATCH($K59,'Territory Factors'!$B$6:$B$56,0))+'Commission Structure'!$C$21),"")</f>
        <v/>
      </c>
      <c r="CT59" s="104" t="str">
        <f t="shared" si="10"/>
        <v/>
      </c>
      <c r="CU59" s="102" t="str">
        <f>IFERROR($CO59*('Commission Structure'!$C$6+'Commission Structure'!$C$7),"")</f>
        <v/>
      </c>
      <c r="CV59" s="102" t="str">
        <f>IFERROR($CO59*'Commission Structure'!$C$5-$CU59,"")</f>
        <v/>
      </c>
      <c r="CW59" s="102" t="str">
        <f>IFERROR($CO59*(1-'Commission Structure'!$C$5),"")</f>
        <v/>
      </c>
      <c r="CX59" s="107"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8" t="str">
        <f t="shared" si="11"/>
        <v/>
      </c>
      <c r="CZ59" s="99" t="str">
        <f>IF($CY59="","",IF($CY59&lt;'Technical Premium'!$C$19,"BEYOND AUTHORITY",IF($CY59&gt;0.005,"Above technical",IF($CY59&lt;-0.005,"BELOW technical","At technical"))))</f>
        <v/>
      </c>
      <c r="DA59" s="99"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4"/>
      <c r="DC59" s="94"/>
      <c r="DD59" s="95"/>
      <c r="DE59" s="94"/>
      <c r="DF59" s="94"/>
      <c r="DG59" s="99" t="str">
        <f t="shared" si="12"/>
        <v/>
      </c>
      <c r="DH59" s="99" t="str">
        <f>IF($A59="","",IF(OR($CX59="REFER",$CX59="DECLINE"),COUNTIF($CX$5:$CX59,"REFER")+COUNTIF($CX$5:$CX59,"DECLINE"),""))</f>
        <v/>
      </c>
      <c r="DI59" s="94"/>
    </row>
    <row r="60" spans="1:113" x14ac:dyDescent="0.35">
      <c r="A60" s="94"/>
      <c r="B60" s="94"/>
      <c r="C60" s="95"/>
      <c r="D60" s="95"/>
      <c r="E60" s="96"/>
      <c r="F60" s="94"/>
      <c r="G60" s="94"/>
      <c r="H60" s="94"/>
      <c r="I60" s="94"/>
      <c r="J60" s="97"/>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8"/>
      <c r="AR60" s="99" t="str">
        <f t="shared" si="0"/>
        <v/>
      </c>
      <c r="AS60" s="99" t="str">
        <f>IF($A60="","",IF($AP60&lt;&gt;"",$AP60,IFERROR(INDEX('Cat Zone by ZIP'!$D$6:$D$856,MATCH($AR60,'Cat Zone by ZIP'!$B$6:$B$856,0)),IFERROR(INDEX('Cat Zone by ZIP'!$C$860:$C$910,MATCH($K60,'Cat Zone by ZIP'!$B$860:$B$910,0)),"NOT FOUND"))))</f>
        <v/>
      </c>
      <c r="AT60" s="99" t="str">
        <f>IF($A60="","",IF($AP60&lt;&gt;"","Override",IF(ISNUMBER(MATCH($AR60,'Cat Zone by ZIP'!$B$6:$B$856,0)),"ZIP-3","State default")))</f>
        <v/>
      </c>
      <c r="AU60" s="100" t="str">
        <f>IF($A60="","",IFERROR(INDEX('Natural Catastrophe'!$D$6:$D$17,MATCH($AS60,'Natural Catastrophe'!$B$6:$B$17,0)),"?"))</f>
        <v/>
      </c>
      <c r="AV60" s="100" t="str">
        <f>IF($A60="","",IFERROR(INDEX('Natural Catastrophe'!$C$21:$C$26,MATCH($AA60,'Natural Catastrophe'!$B$21:$B$26,0)),"?"))</f>
        <v/>
      </c>
      <c r="AW60" s="99" t="str">
        <f>IF($A60="","",IFERROR(INDEX('Base Rates'!$C$4:$I$4,MATCH(MAX($J60,'Technical Premium'!$C$18),'Base Rates'!$C$3:$I$3,1)),"?"))</f>
        <v/>
      </c>
      <c r="AX60" s="101" t="str">
        <f>IF($A60="","",IFERROR(INDEX('Base Rates'!$C$5:$I$16,MATCH($I60,'Base Rates'!$B$5:$B$16,0),MATCH(MAX($J60,'Technical Premium'!$C$18),'Base Rates'!$C$3:$I$3,1)),"?"))</f>
        <v/>
      </c>
      <c r="AY60" s="102" t="str">
        <f t="shared" si="1"/>
        <v/>
      </c>
      <c r="AZ60" s="99" t="str">
        <f>IF($A60="","",IFERROR(INDEX('Make Factors'!$G$5:$G$69,MATCH($F60,'Make Factors'!$B$5:$B$69,0)),"?"))</f>
        <v/>
      </c>
      <c r="BA60" s="99" t="str">
        <f>IF($A60="","",IFERROR(INDEX('Driver Factors'!$C$6:$C$15,MATCH($R60,'Driver Factors'!$B$6:$B$15,0)),"?"))</f>
        <v/>
      </c>
      <c r="BB60" s="99" t="str">
        <f>IF($A60="","",IFERROR(INDEX('Driver Factors'!$C$19:$C$24,MATCH($S60,'Driver Factors'!$B$19:$B$24,0)),"?"))</f>
        <v/>
      </c>
      <c r="BC60" s="99" t="str">
        <f>IF($A60="","",IFERROR(INDEX('Driver Factors'!$C$28:$C$36,MATCH($T60,'Driver Factors'!$B$28:$B$36,0)),"?"))</f>
        <v/>
      </c>
      <c r="BD60" s="99" t="str">
        <f>IF($A60="","",IFERROR(INDEX('Claims History'!$C$6:$C$15,MATCH($U60,'Claims History'!$B$6:$B$15,0)),"?"))</f>
        <v/>
      </c>
      <c r="BE60" s="99" t="str">
        <f>IF($A60="","",IFERROR(INDEX('Territory Factors'!$E$6:$E$56,MATCH($K60,'Territory Factors'!$B$6:$B$56,0)),"?"))</f>
        <v/>
      </c>
      <c r="BF60" s="99" t="str">
        <f>IF($A60="","",IFERROR(INDEX('City Accident Ratings'!$G$6:$G$54,MATCH($Z60,'City Accident Ratings'!$B$6:$B$54,0)),"?"))</f>
        <v/>
      </c>
      <c r="BG60" s="99" t="str">
        <f>IF($A60="","",IFERROR(INDEX('Usage and Coverage'!$D$6:$D$20,MATCH($N60,'Usage and Coverage'!$C$6:$C$20,0)),"?"))</f>
        <v/>
      </c>
      <c r="BH60" s="99" t="str">
        <f>IF($A60="","",IFERROR(INDEX('Usage and Coverage'!$C$24:$C$30,MATCH($O60,'Usage and Coverage'!$B$24:$B$30,0)),"?"))</f>
        <v/>
      </c>
      <c r="BI60" s="99" t="str">
        <f>IF($A60="","",IFERROR(INDEX('Usage and Coverage'!$C$34:$C$40,MATCH($P60,'Usage and Coverage'!$B$34:$B$40,0)),"?"))</f>
        <v/>
      </c>
      <c r="BJ60" s="99" t="str">
        <f>IF($A60="","",IFERROR(INDEX('Usage and Coverage'!$C$44:$C$49,MATCH($Q60,'Usage and Coverage'!$B$44:$B$49,0)),"?"))</f>
        <v/>
      </c>
      <c r="BK60" s="99" t="str">
        <f>IF($A60="","",IFERROR(INDEX(Deductibles!$C$6:$I$15,MATCH($W60,Deductibles!$B$6:$B$15,0),MATCH(MAX($J60,'Technical Premium'!$C$18),'Base Rates'!$C$3:$I$3,1)),"?"))</f>
        <v/>
      </c>
      <c r="BL60" s="99" t="str">
        <f>IF($A60="","",IFERROR(INDEX('Usage and Coverage'!$C$63:$C$66,MATCH($X60,'Usage and Coverage'!$B$63:$B$66,0)),"?"))</f>
        <v/>
      </c>
      <c r="BM60" s="99" t="str">
        <f>IF($A60="","",IFERROR(INDEX('Usage and Coverage'!$C$70:$C$75,MATCH($V60,'Usage and Coverage'!$B$70:$B$75,0)),"?"))</f>
        <v/>
      </c>
      <c r="BN60" s="99" t="str">
        <f>IF($A60="","",IF($AB60="",1,IFERROR(INDEX(Deductibles!$C$48:$C$51,MATCH($AB60,Deductibles!$B$48:$B$51,0)),"?")))</f>
        <v/>
      </c>
      <c r="BO60" s="99" t="str">
        <f>IF($A60="","",IF($AC60="",1,IFERROR(INDEX(Deductibles!$C$55:$C$57,MATCH($AC60,Deductibles!$B$55:$B$57,0)),"?")))</f>
        <v/>
      </c>
      <c r="BP60" s="99" t="str">
        <f>IF($A60="","",IF($AD60="",1,IFERROR(INDEX(Deductibles!$C$61:$C$63,MATCH($AD60,Deductibles!$B$61:$B$63,0)),"?")))</f>
        <v/>
      </c>
      <c r="BQ60" s="99" t="str">
        <f>IF($A60="","",IF($AE60="",1,IFERROR(INDEX(Deductibles!$C$67:$C$69,MATCH($AE60,Deductibles!$B$67:$B$69,0)),"?")))</f>
        <v/>
      </c>
      <c r="BR60" s="99" t="str">
        <f>IF($A60="","",IF($AF60="",1,IFERROR(INDEX(Deductibles!$C$73:$C$74,MATCH($AF60,Deductibles!$B$73:$B$74,0)),"?")))</f>
        <v/>
      </c>
      <c r="BS60" s="99" t="str">
        <f>IF($A60="","",IF($AG60="",1,IFERROR(INDEX('Sublimits and Parts'!$C$49:$C$52,MATCH($AG60,'Sublimits and Parts'!$B$49:$B$52,0)),"?")))</f>
        <v/>
      </c>
      <c r="BT60" s="99" t="str">
        <f>IF($A60="","",IF($AH60="",1,IFERROR(INDEX('Sublimits and Parts'!$C$56:$C$60,MATCH($AH60,'Sublimits and Parts'!$B$56:$B$60,0)),"?")))</f>
        <v/>
      </c>
      <c r="BU60" s="99" t="str">
        <f>IF($A60="","",IF($AI60="",1,IFERROR(INDEX('Sublimits and Parts'!$C$64:$C$67,MATCH($AI60,'Sublimits and Parts'!$B$64:$B$67,0)),"?")))</f>
        <v/>
      </c>
      <c r="BV60" s="99" t="str">
        <f>IF($A60="","",IF($AJ60="",1,IFERROR(INDEX('Sublimits and Parts'!$C$71:$C$74,MATCH($AJ60,'Sublimits and Parts'!$B$71:$B$74,0)),"?")))</f>
        <v/>
      </c>
      <c r="BW60" s="99" t="str">
        <f>IF($A60="","",IF($AK60="",1,IFERROR(INDEX('Sublimits and Parts'!$C$78:$C$80,MATCH($AK60,'Sublimits and Parts'!$B$78:$B$80,0)),"?")))</f>
        <v/>
      </c>
      <c r="BX60" s="99" t="str">
        <f>IF($A60="","",IF($AL60="",1,IFERROR(INDEX('Sublimits and Parts'!$C$84:$C$87,MATCH($AL60,'Sublimits and Parts'!$B$84:$B$87,0)),"?")))</f>
        <v/>
      </c>
      <c r="BY60" s="99" t="str">
        <f>IF($A60="","",IF($AM60="",1,IFERROR(INDEX('Sublimits and Parts'!$C$91:$C$94,MATCH($AM60,'Sublimits and Parts'!$B$91:$B$94,0)),"?")))</f>
        <v/>
      </c>
      <c r="BZ60" s="99" t="str">
        <f>IF($A60="","",IF($AN60="",1,IFERROR(INDEX('Sublimits and Parts'!$C$98:$C$101,MATCH($AN60,'Sublimits and Parts'!$B$98:$B$101,0)),"?")))</f>
        <v/>
      </c>
      <c r="CA60" s="99" t="str">
        <f>IF($A60="","",IF($AO60="",1,IFERROR(INDEX('Sublimits and Parts'!$C$105:$C$109,MATCH($AO60,'Sublimits and Parts'!$B$105:$B$109,0)),"?")))</f>
        <v/>
      </c>
      <c r="CB60" s="100" t="str">
        <f t="shared" si="2"/>
        <v/>
      </c>
      <c r="CC60" s="100" t="str">
        <f t="shared" si="3"/>
        <v/>
      </c>
      <c r="CD60" s="103" t="str">
        <f>IF($A60="","",IF(OR($CB60="?",$CC60="?"),"?",MIN($CB60*$CC60,'Technical Premium'!$C$17)))</f>
        <v/>
      </c>
      <c r="CE60" s="102" t="str">
        <f t="shared" si="4"/>
        <v/>
      </c>
      <c r="CF60" s="102" t="str">
        <f>IF($A60="","",IFERROR(INDEX('Territory Factors'!$F$6:$F$56,MATCH($K60,'Territory Factors'!$B$6:$B$56,0)),"?"))</f>
        <v/>
      </c>
      <c r="CG60" s="100" t="str">
        <f>IF($A60="","",IFERROR(INDEX('Usage and Coverage'!$C$79:$C$84,MATCH($Y60,'Usage and Coverage'!$B$79:$B$84,0)),"?"))</f>
        <v/>
      </c>
      <c r="CH60" s="102" t="str">
        <f>IFERROR(IF(ISNUMBER($CD60),$CF60*$CG60*MIN($BG60*$BA60*$BC60*$BD60*$BH60*$BF60,'Technical Premium'!$C$17),""),"")</f>
        <v/>
      </c>
      <c r="CI60" s="102" t="str">
        <f t="shared" si="5"/>
        <v/>
      </c>
      <c r="CJ60" s="102" t="str">
        <f>IFERROR($CI60*(1+'Technical Premium'!$C$5)*(1+'Technical Premium'!$C$6),"")</f>
        <v/>
      </c>
      <c r="CK60" s="102" t="str">
        <f>IFERROR($CE60*INDEX('Territory Factors'!$G$6:$G$56,MATCH($K60,'Territory Factors'!$B$6:$B$56,0))*$AU60*$AV60,"")</f>
        <v/>
      </c>
      <c r="CL60" s="102" t="str">
        <f>IFERROR(($CJ60+$CK60)*(1+'Technical Premium'!$C$7),"")</f>
        <v/>
      </c>
      <c r="CM60" s="104" t="str">
        <f>IFERROR($CL60/'Technical Premium'!$C$13,"")</f>
        <v/>
      </c>
      <c r="CN60" s="105" t="str">
        <f t="shared" si="6"/>
        <v/>
      </c>
      <c r="CO60" s="104" t="str">
        <f t="shared" si="7"/>
        <v/>
      </c>
      <c r="CP60" s="105" t="str">
        <f t="shared" si="8"/>
        <v/>
      </c>
      <c r="CQ60" s="106" t="str">
        <f t="shared" si="9"/>
        <v/>
      </c>
      <c r="CR60" s="102" t="str">
        <f>IF(ISNUMBER($CM60),'Technical Premium'!$C$14+IF($J60&gt;=1000000,'Technical Premium'!$C$15,0),"")</f>
        <v/>
      </c>
      <c r="CS60" s="102" t="str">
        <f>IFERROR(($CO60+$CR60)*(INDEX('Territory Factors'!$K$6:$K$56,MATCH($K60,'Territory Factors'!$B$6:$B$56,0))+'Commission Structure'!$C$21),"")</f>
        <v/>
      </c>
      <c r="CT60" s="104" t="str">
        <f t="shared" si="10"/>
        <v/>
      </c>
      <c r="CU60" s="102" t="str">
        <f>IFERROR($CO60*('Commission Structure'!$C$6+'Commission Structure'!$C$7),"")</f>
        <v/>
      </c>
      <c r="CV60" s="102" t="str">
        <f>IFERROR($CO60*'Commission Structure'!$C$5-$CU60,"")</f>
        <v/>
      </c>
      <c r="CW60" s="102" t="str">
        <f>IFERROR($CO60*(1-'Commission Structure'!$C$5),"")</f>
        <v/>
      </c>
      <c r="CX60" s="107"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8" t="str">
        <f t="shared" si="11"/>
        <v/>
      </c>
      <c r="CZ60" s="99" t="str">
        <f>IF($CY60="","",IF($CY60&lt;'Technical Premium'!$C$19,"BEYOND AUTHORITY",IF($CY60&gt;0.005,"Above technical",IF($CY60&lt;-0.005,"BELOW technical","At technical"))))</f>
        <v/>
      </c>
      <c r="DA60" s="99"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4"/>
      <c r="DC60" s="94"/>
      <c r="DD60" s="95"/>
      <c r="DE60" s="94"/>
      <c r="DF60" s="94"/>
      <c r="DG60" s="99" t="str">
        <f t="shared" si="12"/>
        <v/>
      </c>
      <c r="DH60" s="99" t="str">
        <f>IF($A60="","",IF(OR($CX60="REFER",$CX60="DECLINE"),COUNTIF($CX$5:$CX60,"REFER")+COUNTIF($CX$5:$CX60,"DECLINE"),""))</f>
        <v/>
      </c>
      <c r="DI60" s="94"/>
    </row>
    <row r="61" spans="1:113" x14ac:dyDescent="0.35">
      <c r="A61" s="94"/>
      <c r="B61" s="94"/>
      <c r="C61" s="95"/>
      <c r="D61" s="95"/>
      <c r="E61" s="96"/>
      <c r="F61" s="94"/>
      <c r="G61" s="94"/>
      <c r="H61" s="94"/>
      <c r="I61" s="94"/>
      <c r="J61" s="97"/>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8"/>
      <c r="AR61" s="99" t="str">
        <f t="shared" si="0"/>
        <v/>
      </c>
      <c r="AS61" s="99" t="str">
        <f>IF($A61="","",IF($AP61&lt;&gt;"",$AP61,IFERROR(INDEX('Cat Zone by ZIP'!$D$6:$D$856,MATCH($AR61,'Cat Zone by ZIP'!$B$6:$B$856,0)),IFERROR(INDEX('Cat Zone by ZIP'!$C$860:$C$910,MATCH($K61,'Cat Zone by ZIP'!$B$860:$B$910,0)),"NOT FOUND"))))</f>
        <v/>
      </c>
      <c r="AT61" s="99" t="str">
        <f>IF($A61="","",IF($AP61&lt;&gt;"","Override",IF(ISNUMBER(MATCH($AR61,'Cat Zone by ZIP'!$B$6:$B$856,0)),"ZIP-3","State default")))</f>
        <v/>
      </c>
      <c r="AU61" s="100" t="str">
        <f>IF($A61="","",IFERROR(INDEX('Natural Catastrophe'!$D$6:$D$17,MATCH($AS61,'Natural Catastrophe'!$B$6:$B$17,0)),"?"))</f>
        <v/>
      </c>
      <c r="AV61" s="100" t="str">
        <f>IF($A61="","",IFERROR(INDEX('Natural Catastrophe'!$C$21:$C$26,MATCH($AA61,'Natural Catastrophe'!$B$21:$B$26,0)),"?"))</f>
        <v/>
      </c>
      <c r="AW61" s="99" t="str">
        <f>IF($A61="","",IFERROR(INDEX('Base Rates'!$C$4:$I$4,MATCH(MAX($J61,'Technical Premium'!$C$18),'Base Rates'!$C$3:$I$3,1)),"?"))</f>
        <v/>
      </c>
      <c r="AX61" s="101" t="str">
        <f>IF($A61="","",IFERROR(INDEX('Base Rates'!$C$5:$I$16,MATCH($I61,'Base Rates'!$B$5:$B$16,0),MATCH(MAX($J61,'Technical Premium'!$C$18),'Base Rates'!$C$3:$I$3,1)),"?"))</f>
        <v/>
      </c>
      <c r="AY61" s="102" t="str">
        <f t="shared" si="1"/>
        <v/>
      </c>
      <c r="AZ61" s="99" t="str">
        <f>IF($A61="","",IFERROR(INDEX('Make Factors'!$G$5:$G$69,MATCH($F61,'Make Factors'!$B$5:$B$69,0)),"?"))</f>
        <v/>
      </c>
      <c r="BA61" s="99" t="str">
        <f>IF($A61="","",IFERROR(INDEX('Driver Factors'!$C$6:$C$15,MATCH($R61,'Driver Factors'!$B$6:$B$15,0)),"?"))</f>
        <v/>
      </c>
      <c r="BB61" s="99" t="str">
        <f>IF($A61="","",IFERROR(INDEX('Driver Factors'!$C$19:$C$24,MATCH($S61,'Driver Factors'!$B$19:$B$24,0)),"?"))</f>
        <v/>
      </c>
      <c r="BC61" s="99" t="str">
        <f>IF($A61="","",IFERROR(INDEX('Driver Factors'!$C$28:$C$36,MATCH($T61,'Driver Factors'!$B$28:$B$36,0)),"?"))</f>
        <v/>
      </c>
      <c r="BD61" s="99" t="str">
        <f>IF($A61="","",IFERROR(INDEX('Claims History'!$C$6:$C$15,MATCH($U61,'Claims History'!$B$6:$B$15,0)),"?"))</f>
        <v/>
      </c>
      <c r="BE61" s="99" t="str">
        <f>IF($A61="","",IFERROR(INDEX('Territory Factors'!$E$6:$E$56,MATCH($K61,'Territory Factors'!$B$6:$B$56,0)),"?"))</f>
        <v/>
      </c>
      <c r="BF61" s="99" t="str">
        <f>IF($A61="","",IFERROR(INDEX('City Accident Ratings'!$G$6:$G$54,MATCH($Z61,'City Accident Ratings'!$B$6:$B$54,0)),"?"))</f>
        <v/>
      </c>
      <c r="BG61" s="99" t="str">
        <f>IF($A61="","",IFERROR(INDEX('Usage and Coverage'!$D$6:$D$20,MATCH($N61,'Usage and Coverage'!$C$6:$C$20,0)),"?"))</f>
        <v/>
      </c>
      <c r="BH61" s="99" t="str">
        <f>IF($A61="","",IFERROR(INDEX('Usage and Coverage'!$C$24:$C$30,MATCH($O61,'Usage and Coverage'!$B$24:$B$30,0)),"?"))</f>
        <v/>
      </c>
      <c r="BI61" s="99" t="str">
        <f>IF($A61="","",IFERROR(INDEX('Usage and Coverage'!$C$34:$C$40,MATCH($P61,'Usage and Coverage'!$B$34:$B$40,0)),"?"))</f>
        <v/>
      </c>
      <c r="BJ61" s="99" t="str">
        <f>IF($A61="","",IFERROR(INDEX('Usage and Coverage'!$C$44:$C$49,MATCH($Q61,'Usage and Coverage'!$B$44:$B$49,0)),"?"))</f>
        <v/>
      </c>
      <c r="BK61" s="99" t="str">
        <f>IF($A61="","",IFERROR(INDEX(Deductibles!$C$6:$I$15,MATCH($W61,Deductibles!$B$6:$B$15,0),MATCH(MAX($J61,'Technical Premium'!$C$18),'Base Rates'!$C$3:$I$3,1)),"?"))</f>
        <v/>
      </c>
      <c r="BL61" s="99" t="str">
        <f>IF($A61="","",IFERROR(INDEX('Usage and Coverage'!$C$63:$C$66,MATCH($X61,'Usage and Coverage'!$B$63:$B$66,0)),"?"))</f>
        <v/>
      </c>
      <c r="BM61" s="99" t="str">
        <f>IF($A61="","",IFERROR(INDEX('Usage and Coverage'!$C$70:$C$75,MATCH($V61,'Usage and Coverage'!$B$70:$B$75,0)),"?"))</f>
        <v/>
      </c>
      <c r="BN61" s="99" t="str">
        <f>IF($A61="","",IF($AB61="",1,IFERROR(INDEX(Deductibles!$C$48:$C$51,MATCH($AB61,Deductibles!$B$48:$B$51,0)),"?")))</f>
        <v/>
      </c>
      <c r="BO61" s="99" t="str">
        <f>IF($A61="","",IF($AC61="",1,IFERROR(INDEX(Deductibles!$C$55:$C$57,MATCH($AC61,Deductibles!$B$55:$B$57,0)),"?")))</f>
        <v/>
      </c>
      <c r="BP61" s="99" t="str">
        <f>IF($A61="","",IF($AD61="",1,IFERROR(INDEX(Deductibles!$C$61:$C$63,MATCH($AD61,Deductibles!$B$61:$B$63,0)),"?")))</f>
        <v/>
      </c>
      <c r="BQ61" s="99" t="str">
        <f>IF($A61="","",IF($AE61="",1,IFERROR(INDEX(Deductibles!$C$67:$C$69,MATCH($AE61,Deductibles!$B$67:$B$69,0)),"?")))</f>
        <v/>
      </c>
      <c r="BR61" s="99" t="str">
        <f>IF($A61="","",IF($AF61="",1,IFERROR(INDEX(Deductibles!$C$73:$C$74,MATCH($AF61,Deductibles!$B$73:$B$74,0)),"?")))</f>
        <v/>
      </c>
      <c r="BS61" s="99" t="str">
        <f>IF($A61="","",IF($AG61="",1,IFERROR(INDEX('Sublimits and Parts'!$C$49:$C$52,MATCH($AG61,'Sublimits and Parts'!$B$49:$B$52,0)),"?")))</f>
        <v/>
      </c>
      <c r="BT61" s="99" t="str">
        <f>IF($A61="","",IF($AH61="",1,IFERROR(INDEX('Sublimits and Parts'!$C$56:$C$60,MATCH($AH61,'Sublimits and Parts'!$B$56:$B$60,0)),"?")))</f>
        <v/>
      </c>
      <c r="BU61" s="99" t="str">
        <f>IF($A61="","",IF($AI61="",1,IFERROR(INDEX('Sublimits and Parts'!$C$64:$C$67,MATCH($AI61,'Sublimits and Parts'!$B$64:$B$67,0)),"?")))</f>
        <v/>
      </c>
      <c r="BV61" s="99" t="str">
        <f>IF($A61="","",IF($AJ61="",1,IFERROR(INDEX('Sublimits and Parts'!$C$71:$C$74,MATCH($AJ61,'Sublimits and Parts'!$B$71:$B$74,0)),"?")))</f>
        <v/>
      </c>
      <c r="BW61" s="99" t="str">
        <f>IF($A61="","",IF($AK61="",1,IFERROR(INDEX('Sublimits and Parts'!$C$78:$C$80,MATCH($AK61,'Sublimits and Parts'!$B$78:$B$80,0)),"?")))</f>
        <v/>
      </c>
      <c r="BX61" s="99" t="str">
        <f>IF($A61="","",IF($AL61="",1,IFERROR(INDEX('Sublimits and Parts'!$C$84:$C$87,MATCH($AL61,'Sublimits and Parts'!$B$84:$B$87,0)),"?")))</f>
        <v/>
      </c>
      <c r="BY61" s="99" t="str">
        <f>IF($A61="","",IF($AM61="",1,IFERROR(INDEX('Sublimits and Parts'!$C$91:$C$94,MATCH($AM61,'Sublimits and Parts'!$B$91:$B$94,0)),"?")))</f>
        <v/>
      </c>
      <c r="BZ61" s="99" t="str">
        <f>IF($A61="","",IF($AN61="",1,IFERROR(INDEX('Sublimits and Parts'!$C$98:$C$101,MATCH($AN61,'Sublimits and Parts'!$B$98:$B$101,0)),"?")))</f>
        <v/>
      </c>
      <c r="CA61" s="99" t="str">
        <f>IF($A61="","",IF($AO61="",1,IFERROR(INDEX('Sublimits and Parts'!$C$105:$C$109,MATCH($AO61,'Sublimits and Parts'!$B$105:$B$109,0)),"?")))</f>
        <v/>
      </c>
      <c r="CB61" s="100" t="str">
        <f t="shared" si="2"/>
        <v/>
      </c>
      <c r="CC61" s="100" t="str">
        <f t="shared" si="3"/>
        <v/>
      </c>
      <c r="CD61" s="103" t="str">
        <f>IF($A61="","",IF(OR($CB61="?",$CC61="?"),"?",MIN($CB61*$CC61,'Technical Premium'!$C$17)))</f>
        <v/>
      </c>
      <c r="CE61" s="102" t="str">
        <f t="shared" si="4"/>
        <v/>
      </c>
      <c r="CF61" s="102" t="str">
        <f>IF($A61="","",IFERROR(INDEX('Territory Factors'!$F$6:$F$56,MATCH($K61,'Territory Factors'!$B$6:$B$56,0)),"?"))</f>
        <v/>
      </c>
      <c r="CG61" s="100" t="str">
        <f>IF($A61="","",IFERROR(INDEX('Usage and Coverage'!$C$79:$C$84,MATCH($Y61,'Usage and Coverage'!$B$79:$B$84,0)),"?"))</f>
        <v/>
      </c>
      <c r="CH61" s="102" t="str">
        <f>IFERROR(IF(ISNUMBER($CD61),$CF61*$CG61*MIN($BG61*$BA61*$BC61*$BD61*$BH61*$BF61,'Technical Premium'!$C$17),""),"")</f>
        <v/>
      </c>
      <c r="CI61" s="102" t="str">
        <f t="shared" si="5"/>
        <v/>
      </c>
      <c r="CJ61" s="102" t="str">
        <f>IFERROR($CI61*(1+'Technical Premium'!$C$5)*(1+'Technical Premium'!$C$6),"")</f>
        <v/>
      </c>
      <c r="CK61" s="102" t="str">
        <f>IFERROR($CE61*INDEX('Territory Factors'!$G$6:$G$56,MATCH($K61,'Territory Factors'!$B$6:$B$56,0))*$AU61*$AV61,"")</f>
        <v/>
      </c>
      <c r="CL61" s="102" t="str">
        <f>IFERROR(($CJ61+$CK61)*(1+'Technical Premium'!$C$7),"")</f>
        <v/>
      </c>
      <c r="CM61" s="104" t="str">
        <f>IFERROR($CL61/'Technical Premium'!$C$13,"")</f>
        <v/>
      </c>
      <c r="CN61" s="105" t="str">
        <f t="shared" si="6"/>
        <v/>
      </c>
      <c r="CO61" s="104" t="str">
        <f t="shared" si="7"/>
        <v/>
      </c>
      <c r="CP61" s="105" t="str">
        <f t="shared" si="8"/>
        <v/>
      </c>
      <c r="CQ61" s="106" t="str">
        <f t="shared" si="9"/>
        <v/>
      </c>
      <c r="CR61" s="102" t="str">
        <f>IF(ISNUMBER($CM61),'Technical Premium'!$C$14+IF($J61&gt;=1000000,'Technical Premium'!$C$15,0),"")</f>
        <v/>
      </c>
      <c r="CS61" s="102" t="str">
        <f>IFERROR(($CO61+$CR61)*(INDEX('Territory Factors'!$K$6:$K$56,MATCH($K61,'Territory Factors'!$B$6:$B$56,0))+'Commission Structure'!$C$21),"")</f>
        <v/>
      </c>
      <c r="CT61" s="104" t="str">
        <f t="shared" si="10"/>
        <v/>
      </c>
      <c r="CU61" s="102" t="str">
        <f>IFERROR($CO61*('Commission Structure'!$C$6+'Commission Structure'!$C$7),"")</f>
        <v/>
      </c>
      <c r="CV61" s="102" t="str">
        <f>IFERROR($CO61*'Commission Structure'!$C$5-$CU61,"")</f>
        <v/>
      </c>
      <c r="CW61" s="102" t="str">
        <f>IFERROR($CO61*(1-'Commission Structure'!$C$5),"")</f>
        <v/>
      </c>
      <c r="CX61" s="107"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8" t="str">
        <f t="shared" si="11"/>
        <v/>
      </c>
      <c r="CZ61" s="99" t="str">
        <f>IF($CY61="","",IF($CY61&lt;'Technical Premium'!$C$19,"BEYOND AUTHORITY",IF($CY61&gt;0.005,"Above technical",IF($CY61&lt;-0.005,"BELOW technical","At technical"))))</f>
        <v/>
      </c>
      <c r="DA61" s="99"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4"/>
      <c r="DC61" s="94"/>
      <c r="DD61" s="95"/>
      <c r="DE61" s="94"/>
      <c r="DF61" s="94"/>
      <c r="DG61" s="99" t="str">
        <f t="shared" si="12"/>
        <v/>
      </c>
      <c r="DH61" s="99" t="str">
        <f>IF($A61="","",IF(OR($CX61="REFER",$CX61="DECLINE"),COUNTIF($CX$5:$CX61,"REFER")+COUNTIF($CX$5:$CX61,"DECLINE"),""))</f>
        <v/>
      </c>
      <c r="DI61" s="94"/>
    </row>
    <row r="62" spans="1:113" x14ac:dyDescent="0.35">
      <c r="A62" s="94"/>
      <c r="B62" s="94"/>
      <c r="C62" s="95"/>
      <c r="D62" s="95"/>
      <c r="E62" s="96"/>
      <c r="F62" s="94"/>
      <c r="G62" s="94"/>
      <c r="H62" s="94"/>
      <c r="I62" s="94"/>
      <c r="J62" s="97"/>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8"/>
      <c r="AR62" s="99" t="str">
        <f t="shared" si="0"/>
        <v/>
      </c>
      <c r="AS62" s="99" t="str">
        <f>IF($A62="","",IF($AP62&lt;&gt;"",$AP62,IFERROR(INDEX('Cat Zone by ZIP'!$D$6:$D$856,MATCH($AR62,'Cat Zone by ZIP'!$B$6:$B$856,0)),IFERROR(INDEX('Cat Zone by ZIP'!$C$860:$C$910,MATCH($K62,'Cat Zone by ZIP'!$B$860:$B$910,0)),"NOT FOUND"))))</f>
        <v/>
      </c>
      <c r="AT62" s="99" t="str">
        <f>IF($A62="","",IF($AP62&lt;&gt;"","Override",IF(ISNUMBER(MATCH($AR62,'Cat Zone by ZIP'!$B$6:$B$856,0)),"ZIP-3","State default")))</f>
        <v/>
      </c>
      <c r="AU62" s="100" t="str">
        <f>IF($A62="","",IFERROR(INDEX('Natural Catastrophe'!$D$6:$D$17,MATCH($AS62,'Natural Catastrophe'!$B$6:$B$17,0)),"?"))</f>
        <v/>
      </c>
      <c r="AV62" s="100" t="str">
        <f>IF($A62="","",IFERROR(INDEX('Natural Catastrophe'!$C$21:$C$26,MATCH($AA62,'Natural Catastrophe'!$B$21:$B$26,0)),"?"))</f>
        <v/>
      </c>
      <c r="AW62" s="99" t="str">
        <f>IF($A62="","",IFERROR(INDEX('Base Rates'!$C$4:$I$4,MATCH(MAX($J62,'Technical Premium'!$C$18),'Base Rates'!$C$3:$I$3,1)),"?"))</f>
        <v/>
      </c>
      <c r="AX62" s="101" t="str">
        <f>IF($A62="","",IFERROR(INDEX('Base Rates'!$C$5:$I$16,MATCH($I62,'Base Rates'!$B$5:$B$16,0),MATCH(MAX($J62,'Technical Premium'!$C$18),'Base Rates'!$C$3:$I$3,1)),"?"))</f>
        <v/>
      </c>
      <c r="AY62" s="102" t="str">
        <f t="shared" si="1"/>
        <v/>
      </c>
      <c r="AZ62" s="99" t="str">
        <f>IF($A62="","",IFERROR(INDEX('Make Factors'!$G$5:$G$69,MATCH($F62,'Make Factors'!$B$5:$B$69,0)),"?"))</f>
        <v/>
      </c>
      <c r="BA62" s="99" t="str">
        <f>IF($A62="","",IFERROR(INDEX('Driver Factors'!$C$6:$C$15,MATCH($R62,'Driver Factors'!$B$6:$B$15,0)),"?"))</f>
        <v/>
      </c>
      <c r="BB62" s="99" t="str">
        <f>IF($A62="","",IFERROR(INDEX('Driver Factors'!$C$19:$C$24,MATCH($S62,'Driver Factors'!$B$19:$B$24,0)),"?"))</f>
        <v/>
      </c>
      <c r="BC62" s="99" t="str">
        <f>IF($A62="","",IFERROR(INDEX('Driver Factors'!$C$28:$C$36,MATCH($T62,'Driver Factors'!$B$28:$B$36,0)),"?"))</f>
        <v/>
      </c>
      <c r="BD62" s="99" t="str">
        <f>IF($A62="","",IFERROR(INDEX('Claims History'!$C$6:$C$15,MATCH($U62,'Claims History'!$B$6:$B$15,0)),"?"))</f>
        <v/>
      </c>
      <c r="BE62" s="99" t="str">
        <f>IF($A62="","",IFERROR(INDEX('Territory Factors'!$E$6:$E$56,MATCH($K62,'Territory Factors'!$B$6:$B$56,0)),"?"))</f>
        <v/>
      </c>
      <c r="BF62" s="99" t="str">
        <f>IF($A62="","",IFERROR(INDEX('City Accident Ratings'!$G$6:$G$54,MATCH($Z62,'City Accident Ratings'!$B$6:$B$54,0)),"?"))</f>
        <v/>
      </c>
      <c r="BG62" s="99" t="str">
        <f>IF($A62="","",IFERROR(INDEX('Usage and Coverage'!$D$6:$D$20,MATCH($N62,'Usage and Coverage'!$C$6:$C$20,0)),"?"))</f>
        <v/>
      </c>
      <c r="BH62" s="99" t="str">
        <f>IF($A62="","",IFERROR(INDEX('Usage and Coverage'!$C$24:$C$30,MATCH($O62,'Usage and Coverage'!$B$24:$B$30,0)),"?"))</f>
        <v/>
      </c>
      <c r="BI62" s="99" t="str">
        <f>IF($A62="","",IFERROR(INDEX('Usage and Coverage'!$C$34:$C$40,MATCH($P62,'Usage and Coverage'!$B$34:$B$40,0)),"?"))</f>
        <v/>
      </c>
      <c r="BJ62" s="99" t="str">
        <f>IF($A62="","",IFERROR(INDEX('Usage and Coverage'!$C$44:$C$49,MATCH($Q62,'Usage and Coverage'!$B$44:$B$49,0)),"?"))</f>
        <v/>
      </c>
      <c r="BK62" s="99" t="str">
        <f>IF($A62="","",IFERROR(INDEX(Deductibles!$C$6:$I$15,MATCH($W62,Deductibles!$B$6:$B$15,0),MATCH(MAX($J62,'Technical Premium'!$C$18),'Base Rates'!$C$3:$I$3,1)),"?"))</f>
        <v/>
      </c>
      <c r="BL62" s="99" t="str">
        <f>IF($A62="","",IFERROR(INDEX('Usage and Coverage'!$C$63:$C$66,MATCH($X62,'Usage and Coverage'!$B$63:$B$66,0)),"?"))</f>
        <v/>
      </c>
      <c r="BM62" s="99" t="str">
        <f>IF($A62="","",IFERROR(INDEX('Usage and Coverage'!$C$70:$C$75,MATCH($V62,'Usage and Coverage'!$B$70:$B$75,0)),"?"))</f>
        <v/>
      </c>
      <c r="BN62" s="99" t="str">
        <f>IF($A62="","",IF($AB62="",1,IFERROR(INDEX(Deductibles!$C$48:$C$51,MATCH($AB62,Deductibles!$B$48:$B$51,0)),"?")))</f>
        <v/>
      </c>
      <c r="BO62" s="99" t="str">
        <f>IF($A62="","",IF($AC62="",1,IFERROR(INDEX(Deductibles!$C$55:$C$57,MATCH($AC62,Deductibles!$B$55:$B$57,0)),"?")))</f>
        <v/>
      </c>
      <c r="BP62" s="99" t="str">
        <f>IF($A62="","",IF($AD62="",1,IFERROR(INDEX(Deductibles!$C$61:$C$63,MATCH($AD62,Deductibles!$B$61:$B$63,0)),"?")))</f>
        <v/>
      </c>
      <c r="BQ62" s="99" t="str">
        <f>IF($A62="","",IF($AE62="",1,IFERROR(INDEX(Deductibles!$C$67:$C$69,MATCH($AE62,Deductibles!$B$67:$B$69,0)),"?")))</f>
        <v/>
      </c>
      <c r="BR62" s="99" t="str">
        <f>IF($A62="","",IF($AF62="",1,IFERROR(INDEX(Deductibles!$C$73:$C$74,MATCH($AF62,Deductibles!$B$73:$B$74,0)),"?")))</f>
        <v/>
      </c>
      <c r="BS62" s="99" t="str">
        <f>IF($A62="","",IF($AG62="",1,IFERROR(INDEX('Sublimits and Parts'!$C$49:$C$52,MATCH($AG62,'Sublimits and Parts'!$B$49:$B$52,0)),"?")))</f>
        <v/>
      </c>
      <c r="BT62" s="99" t="str">
        <f>IF($A62="","",IF($AH62="",1,IFERROR(INDEX('Sublimits and Parts'!$C$56:$C$60,MATCH($AH62,'Sublimits and Parts'!$B$56:$B$60,0)),"?")))</f>
        <v/>
      </c>
      <c r="BU62" s="99" t="str">
        <f>IF($A62="","",IF($AI62="",1,IFERROR(INDEX('Sublimits and Parts'!$C$64:$C$67,MATCH($AI62,'Sublimits and Parts'!$B$64:$B$67,0)),"?")))</f>
        <v/>
      </c>
      <c r="BV62" s="99" t="str">
        <f>IF($A62="","",IF($AJ62="",1,IFERROR(INDEX('Sublimits and Parts'!$C$71:$C$74,MATCH($AJ62,'Sublimits and Parts'!$B$71:$B$74,0)),"?")))</f>
        <v/>
      </c>
      <c r="BW62" s="99" t="str">
        <f>IF($A62="","",IF($AK62="",1,IFERROR(INDEX('Sublimits and Parts'!$C$78:$C$80,MATCH($AK62,'Sublimits and Parts'!$B$78:$B$80,0)),"?")))</f>
        <v/>
      </c>
      <c r="BX62" s="99" t="str">
        <f>IF($A62="","",IF($AL62="",1,IFERROR(INDEX('Sublimits and Parts'!$C$84:$C$87,MATCH($AL62,'Sublimits and Parts'!$B$84:$B$87,0)),"?")))</f>
        <v/>
      </c>
      <c r="BY62" s="99" t="str">
        <f>IF($A62="","",IF($AM62="",1,IFERROR(INDEX('Sublimits and Parts'!$C$91:$C$94,MATCH($AM62,'Sublimits and Parts'!$B$91:$B$94,0)),"?")))</f>
        <v/>
      </c>
      <c r="BZ62" s="99" t="str">
        <f>IF($A62="","",IF($AN62="",1,IFERROR(INDEX('Sublimits and Parts'!$C$98:$C$101,MATCH($AN62,'Sublimits and Parts'!$B$98:$B$101,0)),"?")))</f>
        <v/>
      </c>
      <c r="CA62" s="99" t="str">
        <f>IF($A62="","",IF($AO62="",1,IFERROR(INDEX('Sublimits and Parts'!$C$105:$C$109,MATCH($AO62,'Sublimits and Parts'!$B$105:$B$109,0)),"?")))</f>
        <v/>
      </c>
      <c r="CB62" s="100" t="str">
        <f t="shared" si="2"/>
        <v/>
      </c>
      <c r="CC62" s="100" t="str">
        <f t="shared" si="3"/>
        <v/>
      </c>
      <c r="CD62" s="103" t="str">
        <f>IF($A62="","",IF(OR($CB62="?",$CC62="?"),"?",MIN($CB62*$CC62,'Technical Premium'!$C$17)))</f>
        <v/>
      </c>
      <c r="CE62" s="102" t="str">
        <f t="shared" si="4"/>
        <v/>
      </c>
      <c r="CF62" s="102" t="str">
        <f>IF($A62="","",IFERROR(INDEX('Territory Factors'!$F$6:$F$56,MATCH($K62,'Territory Factors'!$B$6:$B$56,0)),"?"))</f>
        <v/>
      </c>
      <c r="CG62" s="100" t="str">
        <f>IF($A62="","",IFERROR(INDEX('Usage and Coverage'!$C$79:$C$84,MATCH($Y62,'Usage and Coverage'!$B$79:$B$84,0)),"?"))</f>
        <v/>
      </c>
      <c r="CH62" s="102" t="str">
        <f>IFERROR(IF(ISNUMBER($CD62),$CF62*$CG62*MIN($BG62*$BA62*$BC62*$BD62*$BH62*$BF62,'Technical Premium'!$C$17),""),"")</f>
        <v/>
      </c>
      <c r="CI62" s="102" t="str">
        <f t="shared" si="5"/>
        <v/>
      </c>
      <c r="CJ62" s="102" t="str">
        <f>IFERROR($CI62*(1+'Technical Premium'!$C$5)*(1+'Technical Premium'!$C$6),"")</f>
        <v/>
      </c>
      <c r="CK62" s="102" t="str">
        <f>IFERROR($CE62*INDEX('Territory Factors'!$G$6:$G$56,MATCH($K62,'Territory Factors'!$B$6:$B$56,0))*$AU62*$AV62,"")</f>
        <v/>
      </c>
      <c r="CL62" s="102" t="str">
        <f>IFERROR(($CJ62+$CK62)*(1+'Technical Premium'!$C$7),"")</f>
        <v/>
      </c>
      <c r="CM62" s="104" t="str">
        <f>IFERROR($CL62/'Technical Premium'!$C$13,"")</f>
        <v/>
      </c>
      <c r="CN62" s="105" t="str">
        <f t="shared" si="6"/>
        <v/>
      </c>
      <c r="CO62" s="104" t="str">
        <f t="shared" si="7"/>
        <v/>
      </c>
      <c r="CP62" s="105" t="str">
        <f t="shared" si="8"/>
        <v/>
      </c>
      <c r="CQ62" s="106" t="str">
        <f t="shared" si="9"/>
        <v/>
      </c>
      <c r="CR62" s="102" t="str">
        <f>IF(ISNUMBER($CM62),'Technical Premium'!$C$14+IF($J62&gt;=1000000,'Technical Premium'!$C$15,0),"")</f>
        <v/>
      </c>
      <c r="CS62" s="102" t="str">
        <f>IFERROR(($CO62+$CR62)*(INDEX('Territory Factors'!$K$6:$K$56,MATCH($K62,'Territory Factors'!$B$6:$B$56,0))+'Commission Structure'!$C$21),"")</f>
        <v/>
      </c>
      <c r="CT62" s="104" t="str">
        <f t="shared" si="10"/>
        <v/>
      </c>
      <c r="CU62" s="102" t="str">
        <f>IFERROR($CO62*('Commission Structure'!$C$6+'Commission Structure'!$C$7),"")</f>
        <v/>
      </c>
      <c r="CV62" s="102" t="str">
        <f>IFERROR($CO62*'Commission Structure'!$C$5-$CU62,"")</f>
        <v/>
      </c>
      <c r="CW62" s="102" t="str">
        <f>IFERROR($CO62*(1-'Commission Structure'!$C$5),"")</f>
        <v/>
      </c>
      <c r="CX62" s="107"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8" t="str">
        <f t="shared" si="11"/>
        <v/>
      </c>
      <c r="CZ62" s="99" t="str">
        <f>IF($CY62="","",IF($CY62&lt;'Technical Premium'!$C$19,"BEYOND AUTHORITY",IF($CY62&gt;0.005,"Above technical",IF($CY62&lt;-0.005,"BELOW technical","At technical"))))</f>
        <v/>
      </c>
      <c r="DA62" s="99"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4"/>
      <c r="DC62" s="94"/>
      <c r="DD62" s="95"/>
      <c r="DE62" s="94"/>
      <c r="DF62" s="94"/>
      <c r="DG62" s="99" t="str">
        <f t="shared" si="12"/>
        <v/>
      </c>
      <c r="DH62" s="99" t="str">
        <f>IF($A62="","",IF(OR($CX62="REFER",$CX62="DECLINE"),COUNTIF($CX$5:$CX62,"REFER")+COUNTIF($CX$5:$CX62,"DECLINE"),""))</f>
        <v/>
      </c>
      <c r="DI62" s="94"/>
    </row>
    <row r="63" spans="1:113" x14ac:dyDescent="0.35">
      <c r="A63" s="94"/>
      <c r="B63" s="94"/>
      <c r="C63" s="95"/>
      <c r="D63" s="95"/>
      <c r="E63" s="96"/>
      <c r="F63" s="94"/>
      <c r="G63" s="94"/>
      <c r="H63" s="94"/>
      <c r="I63" s="94"/>
      <c r="J63" s="97"/>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8"/>
      <c r="AR63" s="99" t="str">
        <f t="shared" si="0"/>
        <v/>
      </c>
      <c r="AS63" s="99" t="str">
        <f>IF($A63="","",IF($AP63&lt;&gt;"",$AP63,IFERROR(INDEX('Cat Zone by ZIP'!$D$6:$D$856,MATCH($AR63,'Cat Zone by ZIP'!$B$6:$B$856,0)),IFERROR(INDEX('Cat Zone by ZIP'!$C$860:$C$910,MATCH($K63,'Cat Zone by ZIP'!$B$860:$B$910,0)),"NOT FOUND"))))</f>
        <v/>
      </c>
      <c r="AT63" s="99" t="str">
        <f>IF($A63="","",IF($AP63&lt;&gt;"","Override",IF(ISNUMBER(MATCH($AR63,'Cat Zone by ZIP'!$B$6:$B$856,0)),"ZIP-3","State default")))</f>
        <v/>
      </c>
      <c r="AU63" s="100" t="str">
        <f>IF($A63="","",IFERROR(INDEX('Natural Catastrophe'!$D$6:$D$17,MATCH($AS63,'Natural Catastrophe'!$B$6:$B$17,0)),"?"))</f>
        <v/>
      </c>
      <c r="AV63" s="100" t="str">
        <f>IF($A63="","",IFERROR(INDEX('Natural Catastrophe'!$C$21:$C$26,MATCH($AA63,'Natural Catastrophe'!$B$21:$B$26,0)),"?"))</f>
        <v/>
      </c>
      <c r="AW63" s="99" t="str">
        <f>IF($A63="","",IFERROR(INDEX('Base Rates'!$C$4:$I$4,MATCH(MAX($J63,'Technical Premium'!$C$18),'Base Rates'!$C$3:$I$3,1)),"?"))</f>
        <v/>
      </c>
      <c r="AX63" s="101" t="str">
        <f>IF($A63="","",IFERROR(INDEX('Base Rates'!$C$5:$I$16,MATCH($I63,'Base Rates'!$B$5:$B$16,0),MATCH(MAX($J63,'Technical Premium'!$C$18),'Base Rates'!$C$3:$I$3,1)),"?"))</f>
        <v/>
      </c>
      <c r="AY63" s="102" t="str">
        <f t="shared" si="1"/>
        <v/>
      </c>
      <c r="AZ63" s="99" t="str">
        <f>IF($A63="","",IFERROR(INDEX('Make Factors'!$G$5:$G$69,MATCH($F63,'Make Factors'!$B$5:$B$69,0)),"?"))</f>
        <v/>
      </c>
      <c r="BA63" s="99" t="str">
        <f>IF($A63="","",IFERROR(INDEX('Driver Factors'!$C$6:$C$15,MATCH($R63,'Driver Factors'!$B$6:$B$15,0)),"?"))</f>
        <v/>
      </c>
      <c r="BB63" s="99" t="str">
        <f>IF($A63="","",IFERROR(INDEX('Driver Factors'!$C$19:$C$24,MATCH($S63,'Driver Factors'!$B$19:$B$24,0)),"?"))</f>
        <v/>
      </c>
      <c r="BC63" s="99" t="str">
        <f>IF($A63="","",IFERROR(INDEX('Driver Factors'!$C$28:$C$36,MATCH($T63,'Driver Factors'!$B$28:$B$36,0)),"?"))</f>
        <v/>
      </c>
      <c r="BD63" s="99" t="str">
        <f>IF($A63="","",IFERROR(INDEX('Claims History'!$C$6:$C$15,MATCH($U63,'Claims History'!$B$6:$B$15,0)),"?"))</f>
        <v/>
      </c>
      <c r="BE63" s="99" t="str">
        <f>IF($A63="","",IFERROR(INDEX('Territory Factors'!$E$6:$E$56,MATCH($K63,'Territory Factors'!$B$6:$B$56,0)),"?"))</f>
        <v/>
      </c>
      <c r="BF63" s="99" t="str">
        <f>IF($A63="","",IFERROR(INDEX('City Accident Ratings'!$G$6:$G$54,MATCH($Z63,'City Accident Ratings'!$B$6:$B$54,0)),"?"))</f>
        <v/>
      </c>
      <c r="BG63" s="99" t="str">
        <f>IF($A63="","",IFERROR(INDEX('Usage and Coverage'!$D$6:$D$20,MATCH($N63,'Usage and Coverage'!$C$6:$C$20,0)),"?"))</f>
        <v/>
      </c>
      <c r="BH63" s="99" t="str">
        <f>IF($A63="","",IFERROR(INDEX('Usage and Coverage'!$C$24:$C$30,MATCH($O63,'Usage and Coverage'!$B$24:$B$30,0)),"?"))</f>
        <v/>
      </c>
      <c r="BI63" s="99" t="str">
        <f>IF($A63="","",IFERROR(INDEX('Usage and Coverage'!$C$34:$C$40,MATCH($P63,'Usage and Coverage'!$B$34:$B$40,0)),"?"))</f>
        <v/>
      </c>
      <c r="BJ63" s="99" t="str">
        <f>IF($A63="","",IFERROR(INDEX('Usage and Coverage'!$C$44:$C$49,MATCH($Q63,'Usage and Coverage'!$B$44:$B$49,0)),"?"))</f>
        <v/>
      </c>
      <c r="BK63" s="99" t="str">
        <f>IF($A63="","",IFERROR(INDEX(Deductibles!$C$6:$I$15,MATCH($W63,Deductibles!$B$6:$B$15,0),MATCH(MAX($J63,'Technical Premium'!$C$18),'Base Rates'!$C$3:$I$3,1)),"?"))</f>
        <v/>
      </c>
      <c r="BL63" s="99" t="str">
        <f>IF($A63="","",IFERROR(INDEX('Usage and Coverage'!$C$63:$C$66,MATCH($X63,'Usage and Coverage'!$B$63:$B$66,0)),"?"))</f>
        <v/>
      </c>
      <c r="BM63" s="99" t="str">
        <f>IF($A63="","",IFERROR(INDEX('Usage and Coverage'!$C$70:$C$75,MATCH($V63,'Usage and Coverage'!$B$70:$B$75,0)),"?"))</f>
        <v/>
      </c>
      <c r="BN63" s="99" t="str">
        <f>IF($A63="","",IF($AB63="",1,IFERROR(INDEX(Deductibles!$C$48:$C$51,MATCH($AB63,Deductibles!$B$48:$B$51,0)),"?")))</f>
        <v/>
      </c>
      <c r="BO63" s="99" t="str">
        <f>IF($A63="","",IF($AC63="",1,IFERROR(INDEX(Deductibles!$C$55:$C$57,MATCH($AC63,Deductibles!$B$55:$B$57,0)),"?")))</f>
        <v/>
      </c>
      <c r="BP63" s="99" t="str">
        <f>IF($A63="","",IF($AD63="",1,IFERROR(INDEX(Deductibles!$C$61:$C$63,MATCH($AD63,Deductibles!$B$61:$B$63,0)),"?")))</f>
        <v/>
      </c>
      <c r="BQ63" s="99" t="str">
        <f>IF($A63="","",IF($AE63="",1,IFERROR(INDEX(Deductibles!$C$67:$C$69,MATCH($AE63,Deductibles!$B$67:$B$69,0)),"?")))</f>
        <v/>
      </c>
      <c r="BR63" s="99" t="str">
        <f>IF($A63="","",IF($AF63="",1,IFERROR(INDEX(Deductibles!$C$73:$C$74,MATCH($AF63,Deductibles!$B$73:$B$74,0)),"?")))</f>
        <v/>
      </c>
      <c r="BS63" s="99" t="str">
        <f>IF($A63="","",IF($AG63="",1,IFERROR(INDEX('Sublimits and Parts'!$C$49:$C$52,MATCH($AG63,'Sublimits and Parts'!$B$49:$B$52,0)),"?")))</f>
        <v/>
      </c>
      <c r="BT63" s="99" t="str">
        <f>IF($A63="","",IF($AH63="",1,IFERROR(INDEX('Sublimits and Parts'!$C$56:$C$60,MATCH($AH63,'Sublimits and Parts'!$B$56:$B$60,0)),"?")))</f>
        <v/>
      </c>
      <c r="BU63" s="99" t="str">
        <f>IF($A63="","",IF($AI63="",1,IFERROR(INDEX('Sublimits and Parts'!$C$64:$C$67,MATCH($AI63,'Sublimits and Parts'!$B$64:$B$67,0)),"?")))</f>
        <v/>
      </c>
      <c r="BV63" s="99" t="str">
        <f>IF($A63="","",IF($AJ63="",1,IFERROR(INDEX('Sublimits and Parts'!$C$71:$C$74,MATCH($AJ63,'Sublimits and Parts'!$B$71:$B$74,0)),"?")))</f>
        <v/>
      </c>
      <c r="BW63" s="99" t="str">
        <f>IF($A63="","",IF($AK63="",1,IFERROR(INDEX('Sublimits and Parts'!$C$78:$C$80,MATCH($AK63,'Sublimits and Parts'!$B$78:$B$80,0)),"?")))</f>
        <v/>
      </c>
      <c r="BX63" s="99" t="str">
        <f>IF($A63="","",IF($AL63="",1,IFERROR(INDEX('Sublimits and Parts'!$C$84:$C$87,MATCH($AL63,'Sublimits and Parts'!$B$84:$B$87,0)),"?")))</f>
        <v/>
      </c>
      <c r="BY63" s="99" t="str">
        <f>IF($A63="","",IF($AM63="",1,IFERROR(INDEX('Sublimits and Parts'!$C$91:$C$94,MATCH($AM63,'Sublimits and Parts'!$B$91:$B$94,0)),"?")))</f>
        <v/>
      </c>
      <c r="BZ63" s="99" t="str">
        <f>IF($A63="","",IF($AN63="",1,IFERROR(INDEX('Sublimits and Parts'!$C$98:$C$101,MATCH($AN63,'Sublimits and Parts'!$B$98:$B$101,0)),"?")))</f>
        <v/>
      </c>
      <c r="CA63" s="99" t="str">
        <f>IF($A63="","",IF($AO63="",1,IFERROR(INDEX('Sublimits and Parts'!$C$105:$C$109,MATCH($AO63,'Sublimits and Parts'!$B$105:$B$109,0)),"?")))</f>
        <v/>
      </c>
      <c r="CB63" s="100" t="str">
        <f t="shared" si="2"/>
        <v/>
      </c>
      <c r="CC63" s="100" t="str">
        <f t="shared" si="3"/>
        <v/>
      </c>
      <c r="CD63" s="103" t="str">
        <f>IF($A63="","",IF(OR($CB63="?",$CC63="?"),"?",MIN($CB63*$CC63,'Technical Premium'!$C$17)))</f>
        <v/>
      </c>
      <c r="CE63" s="102" t="str">
        <f t="shared" si="4"/>
        <v/>
      </c>
      <c r="CF63" s="102" t="str">
        <f>IF($A63="","",IFERROR(INDEX('Territory Factors'!$F$6:$F$56,MATCH($K63,'Territory Factors'!$B$6:$B$56,0)),"?"))</f>
        <v/>
      </c>
      <c r="CG63" s="100" t="str">
        <f>IF($A63="","",IFERROR(INDEX('Usage and Coverage'!$C$79:$C$84,MATCH($Y63,'Usage and Coverage'!$B$79:$B$84,0)),"?"))</f>
        <v/>
      </c>
      <c r="CH63" s="102" t="str">
        <f>IFERROR(IF(ISNUMBER($CD63),$CF63*$CG63*MIN($BG63*$BA63*$BC63*$BD63*$BH63*$BF63,'Technical Premium'!$C$17),""),"")</f>
        <v/>
      </c>
      <c r="CI63" s="102" t="str">
        <f t="shared" si="5"/>
        <v/>
      </c>
      <c r="CJ63" s="102" t="str">
        <f>IFERROR($CI63*(1+'Technical Premium'!$C$5)*(1+'Technical Premium'!$C$6),"")</f>
        <v/>
      </c>
      <c r="CK63" s="102" t="str">
        <f>IFERROR($CE63*INDEX('Territory Factors'!$G$6:$G$56,MATCH($K63,'Territory Factors'!$B$6:$B$56,0))*$AU63*$AV63,"")</f>
        <v/>
      </c>
      <c r="CL63" s="102" t="str">
        <f>IFERROR(($CJ63+$CK63)*(1+'Technical Premium'!$C$7),"")</f>
        <v/>
      </c>
      <c r="CM63" s="104" t="str">
        <f>IFERROR($CL63/'Technical Premium'!$C$13,"")</f>
        <v/>
      </c>
      <c r="CN63" s="105" t="str">
        <f t="shared" si="6"/>
        <v/>
      </c>
      <c r="CO63" s="104" t="str">
        <f t="shared" si="7"/>
        <v/>
      </c>
      <c r="CP63" s="105" t="str">
        <f t="shared" si="8"/>
        <v/>
      </c>
      <c r="CQ63" s="106" t="str">
        <f t="shared" si="9"/>
        <v/>
      </c>
      <c r="CR63" s="102" t="str">
        <f>IF(ISNUMBER($CM63),'Technical Premium'!$C$14+IF($J63&gt;=1000000,'Technical Premium'!$C$15,0),"")</f>
        <v/>
      </c>
      <c r="CS63" s="102" t="str">
        <f>IFERROR(($CO63+$CR63)*(INDEX('Territory Factors'!$K$6:$K$56,MATCH($K63,'Territory Factors'!$B$6:$B$56,0))+'Commission Structure'!$C$21),"")</f>
        <v/>
      </c>
      <c r="CT63" s="104" t="str">
        <f t="shared" si="10"/>
        <v/>
      </c>
      <c r="CU63" s="102" t="str">
        <f>IFERROR($CO63*('Commission Structure'!$C$6+'Commission Structure'!$C$7),"")</f>
        <v/>
      </c>
      <c r="CV63" s="102" t="str">
        <f>IFERROR($CO63*'Commission Structure'!$C$5-$CU63,"")</f>
        <v/>
      </c>
      <c r="CW63" s="102" t="str">
        <f>IFERROR($CO63*(1-'Commission Structure'!$C$5),"")</f>
        <v/>
      </c>
      <c r="CX63" s="107"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8" t="str">
        <f t="shared" si="11"/>
        <v/>
      </c>
      <c r="CZ63" s="99" t="str">
        <f>IF($CY63="","",IF($CY63&lt;'Technical Premium'!$C$19,"BEYOND AUTHORITY",IF($CY63&gt;0.005,"Above technical",IF($CY63&lt;-0.005,"BELOW technical","At technical"))))</f>
        <v/>
      </c>
      <c r="DA63" s="99"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4"/>
      <c r="DC63" s="94"/>
      <c r="DD63" s="95"/>
      <c r="DE63" s="94"/>
      <c r="DF63" s="94"/>
      <c r="DG63" s="99" t="str">
        <f t="shared" si="12"/>
        <v/>
      </c>
      <c r="DH63" s="99" t="str">
        <f>IF($A63="","",IF(OR($CX63="REFER",$CX63="DECLINE"),COUNTIF($CX$5:$CX63,"REFER")+COUNTIF($CX$5:$CX63,"DECLINE"),""))</f>
        <v/>
      </c>
      <c r="DI63" s="94"/>
    </row>
    <row r="64" spans="1:113" x14ac:dyDescent="0.35">
      <c r="A64" s="94"/>
      <c r="B64" s="94"/>
      <c r="C64" s="95"/>
      <c r="D64" s="95"/>
      <c r="E64" s="96"/>
      <c r="F64" s="94"/>
      <c r="G64" s="94"/>
      <c r="H64" s="94"/>
      <c r="I64" s="94"/>
      <c r="J64" s="97"/>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8"/>
      <c r="AR64" s="99" t="str">
        <f t="shared" si="0"/>
        <v/>
      </c>
      <c r="AS64" s="99" t="str">
        <f>IF($A64="","",IF($AP64&lt;&gt;"",$AP64,IFERROR(INDEX('Cat Zone by ZIP'!$D$6:$D$856,MATCH($AR64,'Cat Zone by ZIP'!$B$6:$B$856,0)),IFERROR(INDEX('Cat Zone by ZIP'!$C$860:$C$910,MATCH($K64,'Cat Zone by ZIP'!$B$860:$B$910,0)),"NOT FOUND"))))</f>
        <v/>
      </c>
      <c r="AT64" s="99" t="str">
        <f>IF($A64="","",IF($AP64&lt;&gt;"","Override",IF(ISNUMBER(MATCH($AR64,'Cat Zone by ZIP'!$B$6:$B$856,0)),"ZIP-3","State default")))</f>
        <v/>
      </c>
      <c r="AU64" s="100" t="str">
        <f>IF($A64="","",IFERROR(INDEX('Natural Catastrophe'!$D$6:$D$17,MATCH($AS64,'Natural Catastrophe'!$B$6:$B$17,0)),"?"))</f>
        <v/>
      </c>
      <c r="AV64" s="100" t="str">
        <f>IF($A64="","",IFERROR(INDEX('Natural Catastrophe'!$C$21:$C$26,MATCH($AA64,'Natural Catastrophe'!$B$21:$B$26,0)),"?"))</f>
        <v/>
      </c>
      <c r="AW64" s="99" t="str">
        <f>IF($A64="","",IFERROR(INDEX('Base Rates'!$C$4:$I$4,MATCH(MAX($J64,'Technical Premium'!$C$18),'Base Rates'!$C$3:$I$3,1)),"?"))</f>
        <v/>
      </c>
      <c r="AX64" s="101" t="str">
        <f>IF($A64="","",IFERROR(INDEX('Base Rates'!$C$5:$I$16,MATCH($I64,'Base Rates'!$B$5:$B$16,0),MATCH(MAX($J64,'Technical Premium'!$C$18),'Base Rates'!$C$3:$I$3,1)),"?"))</f>
        <v/>
      </c>
      <c r="AY64" s="102" t="str">
        <f t="shared" si="1"/>
        <v/>
      </c>
      <c r="AZ64" s="99" t="str">
        <f>IF($A64="","",IFERROR(INDEX('Make Factors'!$G$5:$G$69,MATCH($F64,'Make Factors'!$B$5:$B$69,0)),"?"))</f>
        <v/>
      </c>
      <c r="BA64" s="99" t="str">
        <f>IF($A64="","",IFERROR(INDEX('Driver Factors'!$C$6:$C$15,MATCH($R64,'Driver Factors'!$B$6:$B$15,0)),"?"))</f>
        <v/>
      </c>
      <c r="BB64" s="99" t="str">
        <f>IF($A64="","",IFERROR(INDEX('Driver Factors'!$C$19:$C$24,MATCH($S64,'Driver Factors'!$B$19:$B$24,0)),"?"))</f>
        <v/>
      </c>
      <c r="BC64" s="99" t="str">
        <f>IF($A64="","",IFERROR(INDEX('Driver Factors'!$C$28:$C$36,MATCH($T64,'Driver Factors'!$B$28:$B$36,0)),"?"))</f>
        <v/>
      </c>
      <c r="BD64" s="99" t="str">
        <f>IF($A64="","",IFERROR(INDEX('Claims History'!$C$6:$C$15,MATCH($U64,'Claims History'!$B$6:$B$15,0)),"?"))</f>
        <v/>
      </c>
      <c r="BE64" s="99" t="str">
        <f>IF($A64="","",IFERROR(INDEX('Territory Factors'!$E$6:$E$56,MATCH($K64,'Territory Factors'!$B$6:$B$56,0)),"?"))</f>
        <v/>
      </c>
      <c r="BF64" s="99" t="str">
        <f>IF($A64="","",IFERROR(INDEX('City Accident Ratings'!$G$6:$G$54,MATCH($Z64,'City Accident Ratings'!$B$6:$B$54,0)),"?"))</f>
        <v/>
      </c>
      <c r="BG64" s="99" t="str">
        <f>IF($A64="","",IFERROR(INDEX('Usage and Coverage'!$D$6:$D$20,MATCH($N64,'Usage and Coverage'!$C$6:$C$20,0)),"?"))</f>
        <v/>
      </c>
      <c r="BH64" s="99" t="str">
        <f>IF($A64="","",IFERROR(INDEX('Usage and Coverage'!$C$24:$C$30,MATCH($O64,'Usage and Coverage'!$B$24:$B$30,0)),"?"))</f>
        <v/>
      </c>
      <c r="BI64" s="99" t="str">
        <f>IF($A64="","",IFERROR(INDEX('Usage and Coverage'!$C$34:$C$40,MATCH($P64,'Usage and Coverage'!$B$34:$B$40,0)),"?"))</f>
        <v/>
      </c>
      <c r="BJ64" s="99" t="str">
        <f>IF($A64="","",IFERROR(INDEX('Usage and Coverage'!$C$44:$C$49,MATCH($Q64,'Usage and Coverage'!$B$44:$B$49,0)),"?"))</f>
        <v/>
      </c>
      <c r="BK64" s="99" t="str">
        <f>IF($A64="","",IFERROR(INDEX(Deductibles!$C$6:$I$15,MATCH($W64,Deductibles!$B$6:$B$15,0),MATCH(MAX($J64,'Technical Premium'!$C$18),'Base Rates'!$C$3:$I$3,1)),"?"))</f>
        <v/>
      </c>
      <c r="BL64" s="99" t="str">
        <f>IF($A64="","",IFERROR(INDEX('Usage and Coverage'!$C$63:$C$66,MATCH($X64,'Usage and Coverage'!$B$63:$B$66,0)),"?"))</f>
        <v/>
      </c>
      <c r="BM64" s="99" t="str">
        <f>IF($A64="","",IFERROR(INDEX('Usage and Coverage'!$C$70:$C$75,MATCH($V64,'Usage and Coverage'!$B$70:$B$75,0)),"?"))</f>
        <v/>
      </c>
      <c r="BN64" s="99" t="str">
        <f>IF($A64="","",IF($AB64="",1,IFERROR(INDEX(Deductibles!$C$48:$C$51,MATCH($AB64,Deductibles!$B$48:$B$51,0)),"?")))</f>
        <v/>
      </c>
      <c r="BO64" s="99" t="str">
        <f>IF($A64="","",IF($AC64="",1,IFERROR(INDEX(Deductibles!$C$55:$C$57,MATCH($AC64,Deductibles!$B$55:$B$57,0)),"?")))</f>
        <v/>
      </c>
      <c r="BP64" s="99" t="str">
        <f>IF($A64="","",IF($AD64="",1,IFERROR(INDEX(Deductibles!$C$61:$C$63,MATCH($AD64,Deductibles!$B$61:$B$63,0)),"?")))</f>
        <v/>
      </c>
      <c r="BQ64" s="99" t="str">
        <f>IF($A64="","",IF($AE64="",1,IFERROR(INDEX(Deductibles!$C$67:$C$69,MATCH($AE64,Deductibles!$B$67:$B$69,0)),"?")))</f>
        <v/>
      </c>
      <c r="BR64" s="99" t="str">
        <f>IF($A64="","",IF($AF64="",1,IFERROR(INDEX(Deductibles!$C$73:$C$74,MATCH($AF64,Deductibles!$B$73:$B$74,0)),"?")))</f>
        <v/>
      </c>
      <c r="BS64" s="99" t="str">
        <f>IF($A64="","",IF($AG64="",1,IFERROR(INDEX('Sublimits and Parts'!$C$49:$C$52,MATCH($AG64,'Sublimits and Parts'!$B$49:$B$52,0)),"?")))</f>
        <v/>
      </c>
      <c r="BT64" s="99" t="str">
        <f>IF($A64="","",IF($AH64="",1,IFERROR(INDEX('Sublimits and Parts'!$C$56:$C$60,MATCH($AH64,'Sublimits and Parts'!$B$56:$B$60,0)),"?")))</f>
        <v/>
      </c>
      <c r="BU64" s="99" t="str">
        <f>IF($A64="","",IF($AI64="",1,IFERROR(INDEX('Sublimits and Parts'!$C$64:$C$67,MATCH($AI64,'Sublimits and Parts'!$B$64:$B$67,0)),"?")))</f>
        <v/>
      </c>
      <c r="BV64" s="99" t="str">
        <f>IF($A64="","",IF($AJ64="",1,IFERROR(INDEX('Sublimits and Parts'!$C$71:$C$74,MATCH($AJ64,'Sublimits and Parts'!$B$71:$B$74,0)),"?")))</f>
        <v/>
      </c>
      <c r="BW64" s="99" t="str">
        <f>IF($A64="","",IF($AK64="",1,IFERROR(INDEX('Sublimits and Parts'!$C$78:$C$80,MATCH($AK64,'Sublimits and Parts'!$B$78:$B$80,0)),"?")))</f>
        <v/>
      </c>
      <c r="BX64" s="99" t="str">
        <f>IF($A64="","",IF($AL64="",1,IFERROR(INDEX('Sublimits and Parts'!$C$84:$C$87,MATCH($AL64,'Sublimits and Parts'!$B$84:$B$87,0)),"?")))</f>
        <v/>
      </c>
      <c r="BY64" s="99" t="str">
        <f>IF($A64="","",IF($AM64="",1,IFERROR(INDEX('Sublimits and Parts'!$C$91:$C$94,MATCH($AM64,'Sublimits and Parts'!$B$91:$B$94,0)),"?")))</f>
        <v/>
      </c>
      <c r="BZ64" s="99" t="str">
        <f>IF($A64="","",IF($AN64="",1,IFERROR(INDEX('Sublimits and Parts'!$C$98:$C$101,MATCH($AN64,'Sublimits and Parts'!$B$98:$B$101,0)),"?")))</f>
        <v/>
      </c>
      <c r="CA64" s="99" t="str">
        <f>IF($A64="","",IF($AO64="",1,IFERROR(INDEX('Sublimits and Parts'!$C$105:$C$109,MATCH($AO64,'Sublimits and Parts'!$B$105:$B$109,0)),"?")))</f>
        <v/>
      </c>
      <c r="CB64" s="100" t="str">
        <f t="shared" si="2"/>
        <v/>
      </c>
      <c r="CC64" s="100" t="str">
        <f t="shared" si="3"/>
        <v/>
      </c>
      <c r="CD64" s="103" t="str">
        <f>IF($A64="","",IF(OR($CB64="?",$CC64="?"),"?",MIN($CB64*$CC64,'Technical Premium'!$C$17)))</f>
        <v/>
      </c>
      <c r="CE64" s="102" t="str">
        <f t="shared" si="4"/>
        <v/>
      </c>
      <c r="CF64" s="102" t="str">
        <f>IF($A64="","",IFERROR(INDEX('Territory Factors'!$F$6:$F$56,MATCH($K64,'Territory Factors'!$B$6:$B$56,0)),"?"))</f>
        <v/>
      </c>
      <c r="CG64" s="100" t="str">
        <f>IF($A64="","",IFERROR(INDEX('Usage and Coverage'!$C$79:$C$84,MATCH($Y64,'Usage and Coverage'!$B$79:$B$84,0)),"?"))</f>
        <v/>
      </c>
      <c r="CH64" s="102" t="str">
        <f>IFERROR(IF(ISNUMBER($CD64),$CF64*$CG64*MIN($BG64*$BA64*$BC64*$BD64*$BH64*$BF64,'Technical Premium'!$C$17),""),"")</f>
        <v/>
      </c>
      <c r="CI64" s="102" t="str">
        <f t="shared" si="5"/>
        <v/>
      </c>
      <c r="CJ64" s="102" t="str">
        <f>IFERROR($CI64*(1+'Technical Premium'!$C$5)*(1+'Technical Premium'!$C$6),"")</f>
        <v/>
      </c>
      <c r="CK64" s="102" t="str">
        <f>IFERROR($CE64*INDEX('Territory Factors'!$G$6:$G$56,MATCH($K64,'Territory Factors'!$B$6:$B$56,0))*$AU64*$AV64,"")</f>
        <v/>
      </c>
      <c r="CL64" s="102" t="str">
        <f>IFERROR(($CJ64+$CK64)*(1+'Technical Premium'!$C$7),"")</f>
        <v/>
      </c>
      <c r="CM64" s="104" t="str">
        <f>IFERROR($CL64/'Technical Premium'!$C$13,"")</f>
        <v/>
      </c>
      <c r="CN64" s="105" t="str">
        <f t="shared" si="6"/>
        <v/>
      </c>
      <c r="CO64" s="104" t="str">
        <f t="shared" si="7"/>
        <v/>
      </c>
      <c r="CP64" s="105" t="str">
        <f t="shared" si="8"/>
        <v/>
      </c>
      <c r="CQ64" s="106" t="str">
        <f t="shared" si="9"/>
        <v/>
      </c>
      <c r="CR64" s="102" t="str">
        <f>IF(ISNUMBER($CM64),'Technical Premium'!$C$14+IF($J64&gt;=1000000,'Technical Premium'!$C$15,0),"")</f>
        <v/>
      </c>
      <c r="CS64" s="102" t="str">
        <f>IFERROR(($CO64+$CR64)*(INDEX('Territory Factors'!$K$6:$K$56,MATCH($K64,'Territory Factors'!$B$6:$B$56,0))+'Commission Structure'!$C$21),"")</f>
        <v/>
      </c>
      <c r="CT64" s="104" t="str">
        <f t="shared" si="10"/>
        <v/>
      </c>
      <c r="CU64" s="102" t="str">
        <f>IFERROR($CO64*('Commission Structure'!$C$6+'Commission Structure'!$C$7),"")</f>
        <v/>
      </c>
      <c r="CV64" s="102" t="str">
        <f>IFERROR($CO64*'Commission Structure'!$C$5-$CU64,"")</f>
        <v/>
      </c>
      <c r="CW64" s="102" t="str">
        <f>IFERROR($CO64*(1-'Commission Structure'!$C$5),"")</f>
        <v/>
      </c>
      <c r="CX64" s="107"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8" t="str">
        <f t="shared" si="11"/>
        <v/>
      </c>
      <c r="CZ64" s="99" t="str">
        <f>IF($CY64="","",IF($CY64&lt;'Technical Premium'!$C$19,"BEYOND AUTHORITY",IF($CY64&gt;0.005,"Above technical",IF($CY64&lt;-0.005,"BELOW technical","At technical"))))</f>
        <v/>
      </c>
      <c r="DA64" s="99"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4"/>
      <c r="DC64" s="94"/>
      <c r="DD64" s="95"/>
      <c r="DE64" s="94"/>
      <c r="DF64" s="94"/>
      <c r="DG64" s="99" t="str">
        <f t="shared" si="12"/>
        <v/>
      </c>
      <c r="DH64" s="99" t="str">
        <f>IF($A64="","",IF(OR($CX64="REFER",$CX64="DECLINE"),COUNTIF($CX$5:$CX64,"REFER")+COUNTIF($CX$5:$CX64,"DECLINE"),""))</f>
        <v/>
      </c>
      <c r="DI64" s="94"/>
    </row>
    <row r="65" spans="1:113" x14ac:dyDescent="0.35">
      <c r="A65" s="94"/>
      <c r="B65" s="94"/>
      <c r="C65" s="95"/>
      <c r="D65" s="95"/>
      <c r="E65" s="96"/>
      <c r="F65" s="94"/>
      <c r="G65" s="94"/>
      <c r="H65" s="94"/>
      <c r="I65" s="94"/>
      <c r="J65" s="97"/>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8"/>
      <c r="AR65" s="99" t="str">
        <f t="shared" si="0"/>
        <v/>
      </c>
      <c r="AS65" s="99" t="str">
        <f>IF($A65="","",IF($AP65&lt;&gt;"",$AP65,IFERROR(INDEX('Cat Zone by ZIP'!$D$6:$D$856,MATCH($AR65,'Cat Zone by ZIP'!$B$6:$B$856,0)),IFERROR(INDEX('Cat Zone by ZIP'!$C$860:$C$910,MATCH($K65,'Cat Zone by ZIP'!$B$860:$B$910,0)),"NOT FOUND"))))</f>
        <v/>
      </c>
      <c r="AT65" s="99" t="str">
        <f>IF($A65="","",IF($AP65&lt;&gt;"","Override",IF(ISNUMBER(MATCH($AR65,'Cat Zone by ZIP'!$B$6:$B$856,0)),"ZIP-3","State default")))</f>
        <v/>
      </c>
      <c r="AU65" s="100" t="str">
        <f>IF($A65="","",IFERROR(INDEX('Natural Catastrophe'!$D$6:$D$17,MATCH($AS65,'Natural Catastrophe'!$B$6:$B$17,0)),"?"))</f>
        <v/>
      </c>
      <c r="AV65" s="100" t="str">
        <f>IF($A65="","",IFERROR(INDEX('Natural Catastrophe'!$C$21:$C$26,MATCH($AA65,'Natural Catastrophe'!$B$21:$B$26,0)),"?"))</f>
        <v/>
      </c>
      <c r="AW65" s="99" t="str">
        <f>IF($A65="","",IFERROR(INDEX('Base Rates'!$C$4:$I$4,MATCH(MAX($J65,'Technical Premium'!$C$18),'Base Rates'!$C$3:$I$3,1)),"?"))</f>
        <v/>
      </c>
      <c r="AX65" s="101" t="str">
        <f>IF($A65="","",IFERROR(INDEX('Base Rates'!$C$5:$I$16,MATCH($I65,'Base Rates'!$B$5:$B$16,0),MATCH(MAX($J65,'Technical Premium'!$C$18),'Base Rates'!$C$3:$I$3,1)),"?"))</f>
        <v/>
      </c>
      <c r="AY65" s="102" t="str">
        <f t="shared" si="1"/>
        <v/>
      </c>
      <c r="AZ65" s="99" t="str">
        <f>IF($A65="","",IFERROR(INDEX('Make Factors'!$G$5:$G$69,MATCH($F65,'Make Factors'!$B$5:$B$69,0)),"?"))</f>
        <v/>
      </c>
      <c r="BA65" s="99" t="str">
        <f>IF($A65="","",IFERROR(INDEX('Driver Factors'!$C$6:$C$15,MATCH($R65,'Driver Factors'!$B$6:$B$15,0)),"?"))</f>
        <v/>
      </c>
      <c r="BB65" s="99" t="str">
        <f>IF($A65="","",IFERROR(INDEX('Driver Factors'!$C$19:$C$24,MATCH($S65,'Driver Factors'!$B$19:$B$24,0)),"?"))</f>
        <v/>
      </c>
      <c r="BC65" s="99" t="str">
        <f>IF($A65="","",IFERROR(INDEX('Driver Factors'!$C$28:$C$36,MATCH($T65,'Driver Factors'!$B$28:$B$36,0)),"?"))</f>
        <v/>
      </c>
      <c r="BD65" s="99" t="str">
        <f>IF($A65="","",IFERROR(INDEX('Claims History'!$C$6:$C$15,MATCH($U65,'Claims History'!$B$6:$B$15,0)),"?"))</f>
        <v/>
      </c>
      <c r="BE65" s="99" t="str">
        <f>IF($A65="","",IFERROR(INDEX('Territory Factors'!$E$6:$E$56,MATCH($K65,'Territory Factors'!$B$6:$B$56,0)),"?"))</f>
        <v/>
      </c>
      <c r="BF65" s="99" t="str">
        <f>IF($A65="","",IFERROR(INDEX('City Accident Ratings'!$G$6:$G$54,MATCH($Z65,'City Accident Ratings'!$B$6:$B$54,0)),"?"))</f>
        <v/>
      </c>
      <c r="BG65" s="99" t="str">
        <f>IF($A65="","",IFERROR(INDEX('Usage and Coverage'!$D$6:$D$20,MATCH($N65,'Usage and Coverage'!$C$6:$C$20,0)),"?"))</f>
        <v/>
      </c>
      <c r="BH65" s="99" t="str">
        <f>IF($A65="","",IFERROR(INDEX('Usage and Coverage'!$C$24:$C$30,MATCH($O65,'Usage and Coverage'!$B$24:$B$30,0)),"?"))</f>
        <v/>
      </c>
      <c r="BI65" s="99" t="str">
        <f>IF($A65="","",IFERROR(INDEX('Usage and Coverage'!$C$34:$C$40,MATCH($P65,'Usage and Coverage'!$B$34:$B$40,0)),"?"))</f>
        <v/>
      </c>
      <c r="BJ65" s="99" t="str">
        <f>IF($A65="","",IFERROR(INDEX('Usage and Coverage'!$C$44:$C$49,MATCH($Q65,'Usage and Coverage'!$B$44:$B$49,0)),"?"))</f>
        <v/>
      </c>
      <c r="BK65" s="99" t="str">
        <f>IF($A65="","",IFERROR(INDEX(Deductibles!$C$6:$I$15,MATCH($W65,Deductibles!$B$6:$B$15,0),MATCH(MAX($J65,'Technical Premium'!$C$18),'Base Rates'!$C$3:$I$3,1)),"?"))</f>
        <v/>
      </c>
      <c r="BL65" s="99" t="str">
        <f>IF($A65="","",IFERROR(INDEX('Usage and Coverage'!$C$63:$C$66,MATCH($X65,'Usage and Coverage'!$B$63:$B$66,0)),"?"))</f>
        <v/>
      </c>
      <c r="BM65" s="99" t="str">
        <f>IF($A65="","",IFERROR(INDEX('Usage and Coverage'!$C$70:$C$75,MATCH($V65,'Usage and Coverage'!$B$70:$B$75,0)),"?"))</f>
        <v/>
      </c>
      <c r="BN65" s="99" t="str">
        <f>IF($A65="","",IF($AB65="",1,IFERROR(INDEX(Deductibles!$C$48:$C$51,MATCH($AB65,Deductibles!$B$48:$B$51,0)),"?")))</f>
        <v/>
      </c>
      <c r="BO65" s="99" t="str">
        <f>IF($A65="","",IF($AC65="",1,IFERROR(INDEX(Deductibles!$C$55:$C$57,MATCH($AC65,Deductibles!$B$55:$B$57,0)),"?")))</f>
        <v/>
      </c>
      <c r="BP65" s="99" t="str">
        <f>IF($A65="","",IF($AD65="",1,IFERROR(INDEX(Deductibles!$C$61:$C$63,MATCH($AD65,Deductibles!$B$61:$B$63,0)),"?")))</f>
        <v/>
      </c>
      <c r="BQ65" s="99" t="str">
        <f>IF($A65="","",IF($AE65="",1,IFERROR(INDEX(Deductibles!$C$67:$C$69,MATCH($AE65,Deductibles!$B$67:$B$69,0)),"?")))</f>
        <v/>
      </c>
      <c r="BR65" s="99" t="str">
        <f>IF($A65="","",IF($AF65="",1,IFERROR(INDEX(Deductibles!$C$73:$C$74,MATCH($AF65,Deductibles!$B$73:$B$74,0)),"?")))</f>
        <v/>
      </c>
      <c r="BS65" s="99" t="str">
        <f>IF($A65="","",IF($AG65="",1,IFERROR(INDEX('Sublimits and Parts'!$C$49:$C$52,MATCH($AG65,'Sublimits and Parts'!$B$49:$B$52,0)),"?")))</f>
        <v/>
      </c>
      <c r="BT65" s="99" t="str">
        <f>IF($A65="","",IF($AH65="",1,IFERROR(INDEX('Sublimits and Parts'!$C$56:$C$60,MATCH($AH65,'Sublimits and Parts'!$B$56:$B$60,0)),"?")))</f>
        <v/>
      </c>
      <c r="BU65" s="99" t="str">
        <f>IF($A65="","",IF($AI65="",1,IFERROR(INDEX('Sublimits and Parts'!$C$64:$C$67,MATCH($AI65,'Sublimits and Parts'!$B$64:$B$67,0)),"?")))</f>
        <v/>
      </c>
      <c r="BV65" s="99" t="str">
        <f>IF($A65="","",IF($AJ65="",1,IFERROR(INDEX('Sublimits and Parts'!$C$71:$C$74,MATCH($AJ65,'Sublimits and Parts'!$B$71:$B$74,0)),"?")))</f>
        <v/>
      </c>
      <c r="BW65" s="99" t="str">
        <f>IF($A65="","",IF($AK65="",1,IFERROR(INDEX('Sublimits and Parts'!$C$78:$C$80,MATCH($AK65,'Sublimits and Parts'!$B$78:$B$80,0)),"?")))</f>
        <v/>
      </c>
      <c r="BX65" s="99" t="str">
        <f>IF($A65="","",IF($AL65="",1,IFERROR(INDEX('Sublimits and Parts'!$C$84:$C$87,MATCH($AL65,'Sublimits and Parts'!$B$84:$B$87,0)),"?")))</f>
        <v/>
      </c>
      <c r="BY65" s="99" t="str">
        <f>IF($A65="","",IF($AM65="",1,IFERROR(INDEX('Sublimits and Parts'!$C$91:$C$94,MATCH($AM65,'Sublimits and Parts'!$B$91:$B$94,0)),"?")))</f>
        <v/>
      </c>
      <c r="BZ65" s="99" t="str">
        <f>IF($A65="","",IF($AN65="",1,IFERROR(INDEX('Sublimits and Parts'!$C$98:$C$101,MATCH($AN65,'Sublimits and Parts'!$B$98:$B$101,0)),"?")))</f>
        <v/>
      </c>
      <c r="CA65" s="99" t="str">
        <f>IF($A65="","",IF($AO65="",1,IFERROR(INDEX('Sublimits and Parts'!$C$105:$C$109,MATCH($AO65,'Sublimits and Parts'!$B$105:$B$109,0)),"?")))</f>
        <v/>
      </c>
      <c r="CB65" s="100" t="str">
        <f t="shared" si="2"/>
        <v/>
      </c>
      <c r="CC65" s="100" t="str">
        <f t="shared" si="3"/>
        <v/>
      </c>
      <c r="CD65" s="103" t="str">
        <f>IF($A65="","",IF(OR($CB65="?",$CC65="?"),"?",MIN($CB65*$CC65,'Technical Premium'!$C$17)))</f>
        <v/>
      </c>
      <c r="CE65" s="102" t="str">
        <f t="shared" si="4"/>
        <v/>
      </c>
      <c r="CF65" s="102" t="str">
        <f>IF($A65="","",IFERROR(INDEX('Territory Factors'!$F$6:$F$56,MATCH($K65,'Territory Factors'!$B$6:$B$56,0)),"?"))</f>
        <v/>
      </c>
      <c r="CG65" s="100" t="str">
        <f>IF($A65="","",IFERROR(INDEX('Usage and Coverage'!$C$79:$C$84,MATCH($Y65,'Usage and Coverage'!$B$79:$B$84,0)),"?"))</f>
        <v/>
      </c>
      <c r="CH65" s="102" t="str">
        <f>IFERROR(IF(ISNUMBER($CD65),$CF65*$CG65*MIN($BG65*$BA65*$BC65*$BD65*$BH65*$BF65,'Technical Premium'!$C$17),""),"")</f>
        <v/>
      </c>
      <c r="CI65" s="102" t="str">
        <f t="shared" si="5"/>
        <v/>
      </c>
      <c r="CJ65" s="102" t="str">
        <f>IFERROR($CI65*(1+'Technical Premium'!$C$5)*(1+'Technical Premium'!$C$6),"")</f>
        <v/>
      </c>
      <c r="CK65" s="102" t="str">
        <f>IFERROR($CE65*INDEX('Territory Factors'!$G$6:$G$56,MATCH($K65,'Territory Factors'!$B$6:$B$56,0))*$AU65*$AV65,"")</f>
        <v/>
      </c>
      <c r="CL65" s="102" t="str">
        <f>IFERROR(($CJ65+$CK65)*(1+'Technical Premium'!$C$7),"")</f>
        <v/>
      </c>
      <c r="CM65" s="104" t="str">
        <f>IFERROR($CL65/'Technical Premium'!$C$13,"")</f>
        <v/>
      </c>
      <c r="CN65" s="105" t="str">
        <f t="shared" si="6"/>
        <v/>
      </c>
      <c r="CO65" s="104" t="str">
        <f t="shared" si="7"/>
        <v/>
      </c>
      <c r="CP65" s="105" t="str">
        <f t="shared" si="8"/>
        <v/>
      </c>
      <c r="CQ65" s="106" t="str">
        <f t="shared" si="9"/>
        <v/>
      </c>
      <c r="CR65" s="102" t="str">
        <f>IF(ISNUMBER($CM65),'Technical Premium'!$C$14+IF($J65&gt;=1000000,'Technical Premium'!$C$15,0),"")</f>
        <v/>
      </c>
      <c r="CS65" s="102" t="str">
        <f>IFERROR(($CO65+$CR65)*(INDEX('Territory Factors'!$K$6:$K$56,MATCH($K65,'Territory Factors'!$B$6:$B$56,0))+'Commission Structure'!$C$21),"")</f>
        <v/>
      </c>
      <c r="CT65" s="104" t="str">
        <f t="shared" si="10"/>
        <v/>
      </c>
      <c r="CU65" s="102" t="str">
        <f>IFERROR($CO65*('Commission Structure'!$C$6+'Commission Structure'!$C$7),"")</f>
        <v/>
      </c>
      <c r="CV65" s="102" t="str">
        <f>IFERROR($CO65*'Commission Structure'!$C$5-$CU65,"")</f>
        <v/>
      </c>
      <c r="CW65" s="102" t="str">
        <f>IFERROR($CO65*(1-'Commission Structure'!$C$5),"")</f>
        <v/>
      </c>
      <c r="CX65" s="107"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8" t="str">
        <f t="shared" si="11"/>
        <v/>
      </c>
      <c r="CZ65" s="99" t="str">
        <f>IF($CY65="","",IF($CY65&lt;'Technical Premium'!$C$19,"BEYOND AUTHORITY",IF($CY65&gt;0.005,"Above technical",IF($CY65&lt;-0.005,"BELOW technical","At technical"))))</f>
        <v/>
      </c>
      <c r="DA65" s="99"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4"/>
      <c r="DC65" s="94"/>
      <c r="DD65" s="95"/>
      <c r="DE65" s="94"/>
      <c r="DF65" s="94"/>
      <c r="DG65" s="99" t="str">
        <f t="shared" si="12"/>
        <v/>
      </c>
      <c r="DH65" s="99" t="str">
        <f>IF($A65="","",IF(OR($CX65="REFER",$CX65="DECLINE"),COUNTIF($CX$5:$CX65,"REFER")+COUNTIF($CX$5:$CX65,"DECLINE"),""))</f>
        <v/>
      </c>
      <c r="DI65" s="94"/>
    </row>
    <row r="66" spans="1:113" x14ac:dyDescent="0.35">
      <c r="A66" s="94"/>
      <c r="B66" s="94"/>
      <c r="C66" s="95"/>
      <c r="D66" s="95"/>
      <c r="E66" s="96"/>
      <c r="F66" s="94"/>
      <c r="G66" s="94"/>
      <c r="H66" s="94"/>
      <c r="I66" s="94"/>
      <c r="J66" s="97"/>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8"/>
      <c r="AR66" s="99" t="str">
        <f t="shared" si="0"/>
        <v/>
      </c>
      <c r="AS66" s="99" t="str">
        <f>IF($A66="","",IF($AP66&lt;&gt;"",$AP66,IFERROR(INDEX('Cat Zone by ZIP'!$D$6:$D$856,MATCH($AR66,'Cat Zone by ZIP'!$B$6:$B$856,0)),IFERROR(INDEX('Cat Zone by ZIP'!$C$860:$C$910,MATCH($K66,'Cat Zone by ZIP'!$B$860:$B$910,0)),"NOT FOUND"))))</f>
        <v/>
      </c>
      <c r="AT66" s="99" t="str">
        <f>IF($A66="","",IF($AP66&lt;&gt;"","Override",IF(ISNUMBER(MATCH($AR66,'Cat Zone by ZIP'!$B$6:$B$856,0)),"ZIP-3","State default")))</f>
        <v/>
      </c>
      <c r="AU66" s="100" t="str">
        <f>IF($A66="","",IFERROR(INDEX('Natural Catastrophe'!$D$6:$D$17,MATCH($AS66,'Natural Catastrophe'!$B$6:$B$17,0)),"?"))</f>
        <v/>
      </c>
      <c r="AV66" s="100" t="str">
        <f>IF($A66="","",IFERROR(INDEX('Natural Catastrophe'!$C$21:$C$26,MATCH($AA66,'Natural Catastrophe'!$B$21:$B$26,0)),"?"))</f>
        <v/>
      </c>
      <c r="AW66" s="99" t="str">
        <f>IF($A66="","",IFERROR(INDEX('Base Rates'!$C$4:$I$4,MATCH(MAX($J66,'Technical Premium'!$C$18),'Base Rates'!$C$3:$I$3,1)),"?"))</f>
        <v/>
      </c>
      <c r="AX66" s="101" t="str">
        <f>IF($A66="","",IFERROR(INDEX('Base Rates'!$C$5:$I$16,MATCH($I66,'Base Rates'!$B$5:$B$16,0),MATCH(MAX($J66,'Technical Premium'!$C$18),'Base Rates'!$C$3:$I$3,1)),"?"))</f>
        <v/>
      </c>
      <c r="AY66" s="102" t="str">
        <f t="shared" si="1"/>
        <v/>
      </c>
      <c r="AZ66" s="99" t="str">
        <f>IF($A66="","",IFERROR(INDEX('Make Factors'!$G$5:$G$69,MATCH($F66,'Make Factors'!$B$5:$B$69,0)),"?"))</f>
        <v/>
      </c>
      <c r="BA66" s="99" t="str">
        <f>IF($A66="","",IFERROR(INDEX('Driver Factors'!$C$6:$C$15,MATCH($R66,'Driver Factors'!$B$6:$B$15,0)),"?"))</f>
        <v/>
      </c>
      <c r="BB66" s="99" t="str">
        <f>IF($A66="","",IFERROR(INDEX('Driver Factors'!$C$19:$C$24,MATCH($S66,'Driver Factors'!$B$19:$B$24,0)),"?"))</f>
        <v/>
      </c>
      <c r="BC66" s="99" t="str">
        <f>IF($A66="","",IFERROR(INDEX('Driver Factors'!$C$28:$C$36,MATCH($T66,'Driver Factors'!$B$28:$B$36,0)),"?"))</f>
        <v/>
      </c>
      <c r="BD66" s="99" t="str">
        <f>IF($A66="","",IFERROR(INDEX('Claims History'!$C$6:$C$15,MATCH($U66,'Claims History'!$B$6:$B$15,0)),"?"))</f>
        <v/>
      </c>
      <c r="BE66" s="99" t="str">
        <f>IF($A66="","",IFERROR(INDEX('Territory Factors'!$E$6:$E$56,MATCH($K66,'Territory Factors'!$B$6:$B$56,0)),"?"))</f>
        <v/>
      </c>
      <c r="BF66" s="99" t="str">
        <f>IF($A66="","",IFERROR(INDEX('City Accident Ratings'!$G$6:$G$54,MATCH($Z66,'City Accident Ratings'!$B$6:$B$54,0)),"?"))</f>
        <v/>
      </c>
      <c r="BG66" s="99" t="str">
        <f>IF($A66="","",IFERROR(INDEX('Usage and Coverage'!$D$6:$D$20,MATCH($N66,'Usage and Coverage'!$C$6:$C$20,0)),"?"))</f>
        <v/>
      </c>
      <c r="BH66" s="99" t="str">
        <f>IF($A66="","",IFERROR(INDEX('Usage and Coverage'!$C$24:$C$30,MATCH($O66,'Usage and Coverage'!$B$24:$B$30,0)),"?"))</f>
        <v/>
      </c>
      <c r="BI66" s="99" t="str">
        <f>IF($A66="","",IFERROR(INDEX('Usage and Coverage'!$C$34:$C$40,MATCH($P66,'Usage and Coverage'!$B$34:$B$40,0)),"?"))</f>
        <v/>
      </c>
      <c r="BJ66" s="99" t="str">
        <f>IF($A66="","",IFERROR(INDEX('Usage and Coverage'!$C$44:$C$49,MATCH($Q66,'Usage and Coverage'!$B$44:$B$49,0)),"?"))</f>
        <v/>
      </c>
      <c r="BK66" s="99" t="str">
        <f>IF($A66="","",IFERROR(INDEX(Deductibles!$C$6:$I$15,MATCH($W66,Deductibles!$B$6:$B$15,0),MATCH(MAX($J66,'Technical Premium'!$C$18),'Base Rates'!$C$3:$I$3,1)),"?"))</f>
        <v/>
      </c>
      <c r="BL66" s="99" t="str">
        <f>IF($A66="","",IFERROR(INDEX('Usage and Coverage'!$C$63:$C$66,MATCH($X66,'Usage and Coverage'!$B$63:$B$66,0)),"?"))</f>
        <v/>
      </c>
      <c r="BM66" s="99" t="str">
        <f>IF($A66="","",IFERROR(INDEX('Usage and Coverage'!$C$70:$C$75,MATCH($V66,'Usage and Coverage'!$B$70:$B$75,0)),"?"))</f>
        <v/>
      </c>
      <c r="BN66" s="99" t="str">
        <f>IF($A66="","",IF($AB66="",1,IFERROR(INDEX(Deductibles!$C$48:$C$51,MATCH($AB66,Deductibles!$B$48:$B$51,0)),"?")))</f>
        <v/>
      </c>
      <c r="BO66" s="99" t="str">
        <f>IF($A66="","",IF($AC66="",1,IFERROR(INDEX(Deductibles!$C$55:$C$57,MATCH($AC66,Deductibles!$B$55:$B$57,0)),"?")))</f>
        <v/>
      </c>
      <c r="BP66" s="99" t="str">
        <f>IF($A66="","",IF($AD66="",1,IFERROR(INDEX(Deductibles!$C$61:$C$63,MATCH($AD66,Deductibles!$B$61:$B$63,0)),"?")))</f>
        <v/>
      </c>
      <c r="BQ66" s="99" t="str">
        <f>IF($A66="","",IF($AE66="",1,IFERROR(INDEX(Deductibles!$C$67:$C$69,MATCH($AE66,Deductibles!$B$67:$B$69,0)),"?")))</f>
        <v/>
      </c>
      <c r="BR66" s="99" t="str">
        <f>IF($A66="","",IF($AF66="",1,IFERROR(INDEX(Deductibles!$C$73:$C$74,MATCH($AF66,Deductibles!$B$73:$B$74,0)),"?")))</f>
        <v/>
      </c>
      <c r="BS66" s="99" t="str">
        <f>IF($A66="","",IF($AG66="",1,IFERROR(INDEX('Sublimits and Parts'!$C$49:$C$52,MATCH($AG66,'Sublimits and Parts'!$B$49:$B$52,0)),"?")))</f>
        <v/>
      </c>
      <c r="BT66" s="99" t="str">
        <f>IF($A66="","",IF($AH66="",1,IFERROR(INDEX('Sublimits and Parts'!$C$56:$C$60,MATCH($AH66,'Sublimits and Parts'!$B$56:$B$60,0)),"?")))</f>
        <v/>
      </c>
      <c r="BU66" s="99" t="str">
        <f>IF($A66="","",IF($AI66="",1,IFERROR(INDEX('Sublimits and Parts'!$C$64:$C$67,MATCH($AI66,'Sublimits and Parts'!$B$64:$B$67,0)),"?")))</f>
        <v/>
      </c>
      <c r="BV66" s="99" t="str">
        <f>IF($A66="","",IF($AJ66="",1,IFERROR(INDEX('Sublimits and Parts'!$C$71:$C$74,MATCH($AJ66,'Sublimits and Parts'!$B$71:$B$74,0)),"?")))</f>
        <v/>
      </c>
      <c r="BW66" s="99" t="str">
        <f>IF($A66="","",IF($AK66="",1,IFERROR(INDEX('Sublimits and Parts'!$C$78:$C$80,MATCH($AK66,'Sublimits and Parts'!$B$78:$B$80,0)),"?")))</f>
        <v/>
      </c>
      <c r="BX66" s="99" t="str">
        <f>IF($A66="","",IF($AL66="",1,IFERROR(INDEX('Sublimits and Parts'!$C$84:$C$87,MATCH($AL66,'Sublimits and Parts'!$B$84:$B$87,0)),"?")))</f>
        <v/>
      </c>
      <c r="BY66" s="99" t="str">
        <f>IF($A66="","",IF($AM66="",1,IFERROR(INDEX('Sublimits and Parts'!$C$91:$C$94,MATCH($AM66,'Sublimits and Parts'!$B$91:$B$94,0)),"?")))</f>
        <v/>
      </c>
      <c r="BZ66" s="99" t="str">
        <f>IF($A66="","",IF($AN66="",1,IFERROR(INDEX('Sublimits and Parts'!$C$98:$C$101,MATCH($AN66,'Sublimits and Parts'!$B$98:$B$101,0)),"?")))</f>
        <v/>
      </c>
      <c r="CA66" s="99" t="str">
        <f>IF($A66="","",IF($AO66="",1,IFERROR(INDEX('Sublimits and Parts'!$C$105:$C$109,MATCH($AO66,'Sublimits and Parts'!$B$105:$B$109,0)),"?")))</f>
        <v/>
      </c>
      <c r="CB66" s="100" t="str">
        <f t="shared" si="2"/>
        <v/>
      </c>
      <c r="CC66" s="100" t="str">
        <f t="shared" si="3"/>
        <v/>
      </c>
      <c r="CD66" s="103" t="str">
        <f>IF($A66="","",IF(OR($CB66="?",$CC66="?"),"?",MIN($CB66*$CC66,'Technical Premium'!$C$17)))</f>
        <v/>
      </c>
      <c r="CE66" s="102" t="str">
        <f t="shared" si="4"/>
        <v/>
      </c>
      <c r="CF66" s="102" t="str">
        <f>IF($A66="","",IFERROR(INDEX('Territory Factors'!$F$6:$F$56,MATCH($K66,'Territory Factors'!$B$6:$B$56,0)),"?"))</f>
        <v/>
      </c>
      <c r="CG66" s="100" t="str">
        <f>IF($A66="","",IFERROR(INDEX('Usage and Coverage'!$C$79:$C$84,MATCH($Y66,'Usage and Coverage'!$B$79:$B$84,0)),"?"))</f>
        <v/>
      </c>
      <c r="CH66" s="102" t="str">
        <f>IFERROR(IF(ISNUMBER($CD66),$CF66*$CG66*MIN($BG66*$BA66*$BC66*$BD66*$BH66*$BF66,'Technical Premium'!$C$17),""),"")</f>
        <v/>
      </c>
      <c r="CI66" s="102" t="str">
        <f t="shared" si="5"/>
        <v/>
      </c>
      <c r="CJ66" s="102" t="str">
        <f>IFERROR($CI66*(1+'Technical Premium'!$C$5)*(1+'Technical Premium'!$C$6),"")</f>
        <v/>
      </c>
      <c r="CK66" s="102" t="str">
        <f>IFERROR($CE66*INDEX('Territory Factors'!$G$6:$G$56,MATCH($K66,'Territory Factors'!$B$6:$B$56,0))*$AU66*$AV66,"")</f>
        <v/>
      </c>
      <c r="CL66" s="102" t="str">
        <f>IFERROR(($CJ66+$CK66)*(1+'Technical Premium'!$C$7),"")</f>
        <v/>
      </c>
      <c r="CM66" s="104" t="str">
        <f>IFERROR($CL66/'Technical Premium'!$C$13,"")</f>
        <v/>
      </c>
      <c r="CN66" s="105" t="str">
        <f t="shared" si="6"/>
        <v/>
      </c>
      <c r="CO66" s="104" t="str">
        <f t="shared" si="7"/>
        <v/>
      </c>
      <c r="CP66" s="105" t="str">
        <f t="shared" si="8"/>
        <v/>
      </c>
      <c r="CQ66" s="106" t="str">
        <f t="shared" si="9"/>
        <v/>
      </c>
      <c r="CR66" s="102" t="str">
        <f>IF(ISNUMBER($CM66),'Technical Premium'!$C$14+IF($J66&gt;=1000000,'Technical Premium'!$C$15,0),"")</f>
        <v/>
      </c>
      <c r="CS66" s="102" t="str">
        <f>IFERROR(($CO66+$CR66)*(INDEX('Territory Factors'!$K$6:$K$56,MATCH($K66,'Territory Factors'!$B$6:$B$56,0))+'Commission Structure'!$C$21),"")</f>
        <v/>
      </c>
      <c r="CT66" s="104" t="str">
        <f t="shared" si="10"/>
        <v/>
      </c>
      <c r="CU66" s="102" t="str">
        <f>IFERROR($CO66*('Commission Structure'!$C$6+'Commission Structure'!$C$7),"")</f>
        <v/>
      </c>
      <c r="CV66" s="102" t="str">
        <f>IFERROR($CO66*'Commission Structure'!$C$5-$CU66,"")</f>
        <v/>
      </c>
      <c r="CW66" s="102" t="str">
        <f>IFERROR($CO66*(1-'Commission Structure'!$C$5),"")</f>
        <v/>
      </c>
      <c r="CX66" s="107"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8" t="str">
        <f t="shared" si="11"/>
        <v/>
      </c>
      <c r="CZ66" s="99" t="str">
        <f>IF($CY66="","",IF($CY66&lt;'Technical Premium'!$C$19,"BEYOND AUTHORITY",IF($CY66&gt;0.005,"Above technical",IF($CY66&lt;-0.005,"BELOW technical","At technical"))))</f>
        <v/>
      </c>
      <c r="DA66" s="99"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4"/>
      <c r="DC66" s="94"/>
      <c r="DD66" s="95"/>
      <c r="DE66" s="94"/>
      <c r="DF66" s="94"/>
      <c r="DG66" s="99" t="str">
        <f t="shared" si="12"/>
        <v/>
      </c>
      <c r="DH66" s="99" t="str">
        <f>IF($A66="","",IF(OR($CX66="REFER",$CX66="DECLINE"),COUNTIF($CX$5:$CX66,"REFER")+COUNTIF($CX$5:$CX66,"DECLINE"),""))</f>
        <v/>
      </c>
      <c r="DI66" s="94"/>
    </row>
    <row r="67" spans="1:113" x14ac:dyDescent="0.35">
      <c r="A67" s="94"/>
      <c r="B67" s="94"/>
      <c r="C67" s="95"/>
      <c r="D67" s="95"/>
      <c r="E67" s="96"/>
      <c r="F67" s="94"/>
      <c r="G67" s="94"/>
      <c r="H67" s="94"/>
      <c r="I67" s="94"/>
      <c r="J67" s="97"/>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8"/>
      <c r="AR67" s="99" t="str">
        <f t="shared" si="0"/>
        <v/>
      </c>
      <c r="AS67" s="99" t="str">
        <f>IF($A67="","",IF($AP67&lt;&gt;"",$AP67,IFERROR(INDEX('Cat Zone by ZIP'!$D$6:$D$856,MATCH($AR67,'Cat Zone by ZIP'!$B$6:$B$856,0)),IFERROR(INDEX('Cat Zone by ZIP'!$C$860:$C$910,MATCH($K67,'Cat Zone by ZIP'!$B$860:$B$910,0)),"NOT FOUND"))))</f>
        <v/>
      </c>
      <c r="AT67" s="99" t="str">
        <f>IF($A67="","",IF($AP67&lt;&gt;"","Override",IF(ISNUMBER(MATCH($AR67,'Cat Zone by ZIP'!$B$6:$B$856,0)),"ZIP-3","State default")))</f>
        <v/>
      </c>
      <c r="AU67" s="100" t="str">
        <f>IF($A67="","",IFERROR(INDEX('Natural Catastrophe'!$D$6:$D$17,MATCH($AS67,'Natural Catastrophe'!$B$6:$B$17,0)),"?"))</f>
        <v/>
      </c>
      <c r="AV67" s="100" t="str">
        <f>IF($A67="","",IFERROR(INDEX('Natural Catastrophe'!$C$21:$C$26,MATCH($AA67,'Natural Catastrophe'!$B$21:$B$26,0)),"?"))</f>
        <v/>
      </c>
      <c r="AW67" s="99" t="str">
        <f>IF($A67="","",IFERROR(INDEX('Base Rates'!$C$4:$I$4,MATCH(MAX($J67,'Technical Premium'!$C$18),'Base Rates'!$C$3:$I$3,1)),"?"))</f>
        <v/>
      </c>
      <c r="AX67" s="101" t="str">
        <f>IF($A67="","",IFERROR(INDEX('Base Rates'!$C$5:$I$16,MATCH($I67,'Base Rates'!$B$5:$B$16,0),MATCH(MAX($J67,'Technical Premium'!$C$18),'Base Rates'!$C$3:$I$3,1)),"?"))</f>
        <v/>
      </c>
      <c r="AY67" s="102" t="str">
        <f t="shared" si="1"/>
        <v/>
      </c>
      <c r="AZ67" s="99" t="str">
        <f>IF($A67="","",IFERROR(INDEX('Make Factors'!$G$5:$G$69,MATCH($F67,'Make Factors'!$B$5:$B$69,0)),"?"))</f>
        <v/>
      </c>
      <c r="BA67" s="99" t="str">
        <f>IF($A67="","",IFERROR(INDEX('Driver Factors'!$C$6:$C$15,MATCH($R67,'Driver Factors'!$B$6:$B$15,0)),"?"))</f>
        <v/>
      </c>
      <c r="BB67" s="99" t="str">
        <f>IF($A67="","",IFERROR(INDEX('Driver Factors'!$C$19:$C$24,MATCH($S67,'Driver Factors'!$B$19:$B$24,0)),"?"))</f>
        <v/>
      </c>
      <c r="BC67" s="99" t="str">
        <f>IF($A67="","",IFERROR(INDEX('Driver Factors'!$C$28:$C$36,MATCH($T67,'Driver Factors'!$B$28:$B$36,0)),"?"))</f>
        <v/>
      </c>
      <c r="BD67" s="99" t="str">
        <f>IF($A67="","",IFERROR(INDEX('Claims History'!$C$6:$C$15,MATCH($U67,'Claims History'!$B$6:$B$15,0)),"?"))</f>
        <v/>
      </c>
      <c r="BE67" s="99" t="str">
        <f>IF($A67="","",IFERROR(INDEX('Territory Factors'!$E$6:$E$56,MATCH($K67,'Territory Factors'!$B$6:$B$56,0)),"?"))</f>
        <v/>
      </c>
      <c r="BF67" s="99" t="str">
        <f>IF($A67="","",IFERROR(INDEX('City Accident Ratings'!$G$6:$G$54,MATCH($Z67,'City Accident Ratings'!$B$6:$B$54,0)),"?"))</f>
        <v/>
      </c>
      <c r="BG67" s="99" t="str">
        <f>IF($A67="","",IFERROR(INDEX('Usage and Coverage'!$D$6:$D$20,MATCH($N67,'Usage and Coverage'!$C$6:$C$20,0)),"?"))</f>
        <v/>
      </c>
      <c r="BH67" s="99" t="str">
        <f>IF($A67="","",IFERROR(INDEX('Usage and Coverage'!$C$24:$C$30,MATCH($O67,'Usage and Coverage'!$B$24:$B$30,0)),"?"))</f>
        <v/>
      </c>
      <c r="BI67" s="99" t="str">
        <f>IF($A67="","",IFERROR(INDEX('Usage and Coverage'!$C$34:$C$40,MATCH($P67,'Usage and Coverage'!$B$34:$B$40,0)),"?"))</f>
        <v/>
      </c>
      <c r="BJ67" s="99" t="str">
        <f>IF($A67="","",IFERROR(INDEX('Usage and Coverage'!$C$44:$C$49,MATCH($Q67,'Usage and Coverage'!$B$44:$B$49,0)),"?"))</f>
        <v/>
      </c>
      <c r="BK67" s="99" t="str">
        <f>IF($A67="","",IFERROR(INDEX(Deductibles!$C$6:$I$15,MATCH($W67,Deductibles!$B$6:$B$15,0),MATCH(MAX($J67,'Technical Premium'!$C$18),'Base Rates'!$C$3:$I$3,1)),"?"))</f>
        <v/>
      </c>
      <c r="BL67" s="99" t="str">
        <f>IF($A67="","",IFERROR(INDEX('Usage and Coverage'!$C$63:$C$66,MATCH($X67,'Usage and Coverage'!$B$63:$B$66,0)),"?"))</f>
        <v/>
      </c>
      <c r="BM67" s="99" t="str">
        <f>IF($A67="","",IFERROR(INDEX('Usage and Coverage'!$C$70:$C$75,MATCH($V67,'Usage and Coverage'!$B$70:$B$75,0)),"?"))</f>
        <v/>
      </c>
      <c r="BN67" s="99" t="str">
        <f>IF($A67="","",IF($AB67="",1,IFERROR(INDEX(Deductibles!$C$48:$C$51,MATCH($AB67,Deductibles!$B$48:$B$51,0)),"?")))</f>
        <v/>
      </c>
      <c r="BO67" s="99" t="str">
        <f>IF($A67="","",IF($AC67="",1,IFERROR(INDEX(Deductibles!$C$55:$C$57,MATCH($AC67,Deductibles!$B$55:$B$57,0)),"?")))</f>
        <v/>
      </c>
      <c r="BP67" s="99" t="str">
        <f>IF($A67="","",IF($AD67="",1,IFERROR(INDEX(Deductibles!$C$61:$C$63,MATCH($AD67,Deductibles!$B$61:$B$63,0)),"?")))</f>
        <v/>
      </c>
      <c r="BQ67" s="99" t="str">
        <f>IF($A67="","",IF($AE67="",1,IFERROR(INDEX(Deductibles!$C$67:$C$69,MATCH($AE67,Deductibles!$B$67:$B$69,0)),"?")))</f>
        <v/>
      </c>
      <c r="BR67" s="99" t="str">
        <f>IF($A67="","",IF($AF67="",1,IFERROR(INDEX(Deductibles!$C$73:$C$74,MATCH($AF67,Deductibles!$B$73:$B$74,0)),"?")))</f>
        <v/>
      </c>
      <c r="BS67" s="99" t="str">
        <f>IF($A67="","",IF($AG67="",1,IFERROR(INDEX('Sublimits and Parts'!$C$49:$C$52,MATCH($AG67,'Sublimits and Parts'!$B$49:$B$52,0)),"?")))</f>
        <v/>
      </c>
      <c r="BT67" s="99" t="str">
        <f>IF($A67="","",IF($AH67="",1,IFERROR(INDEX('Sublimits and Parts'!$C$56:$C$60,MATCH($AH67,'Sublimits and Parts'!$B$56:$B$60,0)),"?")))</f>
        <v/>
      </c>
      <c r="BU67" s="99" t="str">
        <f>IF($A67="","",IF($AI67="",1,IFERROR(INDEX('Sublimits and Parts'!$C$64:$C$67,MATCH($AI67,'Sublimits and Parts'!$B$64:$B$67,0)),"?")))</f>
        <v/>
      </c>
      <c r="BV67" s="99" t="str">
        <f>IF($A67="","",IF($AJ67="",1,IFERROR(INDEX('Sublimits and Parts'!$C$71:$C$74,MATCH($AJ67,'Sublimits and Parts'!$B$71:$B$74,0)),"?")))</f>
        <v/>
      </c>
      <c r="BW67" s="99" t="str">
        <f>IF($A67="","",IF($AK67="",1,IFERROR(INDEX('Sublimits and Parts'!$C$78:$C$80,MATCH($AK67,'Sublimits and Parts'!$B$78:$B$80,0)),"?")))</f>
        <v/>
      </c>
      <c r="BX67" s="99" t="str">
        <f>IF($A67="","",IF($AL67="",1,IFERROR(INDEX('Sublimits and Parts'!$C$84:$C$87,MATCH($AL67,'Sublimits and Parts'!$B$84:$B$87,0)),"?")))</f>
        <v/>
      </c>
      <c r="BY67" s="99" t="str">
        <f>IF($A67="","",IF($AM67="",1,IFERROR(INDEX('Sublimits and Parts'!$C$91:$C$94,MATCH($AM67,'Sublimits and Parts'!$B$91:$B$94,0)),"?")))</f>
        <v/>
      </c>
      <c r="BZ67" s="99" t="str">
        <f>IF($A67="","",IF($AN67="",1,IFERROR(INDEX('Sublimits and Parts'!$C$98:$C$101,MATCH($AN67,'Sublimits and Parts'!$B$98:$B$101,0)),"?")))</f>
        <v/>
      </c>
      <c r="CA67" s="99" t="str">
        <f>IF($A67="","",IF($AO67="",1,IFERROR(INDEX('Sublimits and Parts'!$C$105:$C$109,MATCH($AO67,'Sublimits and Parts'!$B$105:$B$109,0)),"?")))</f>
        <v/>
      </c>
      <c r="CB67" s="100" t="str">
        <f t="shared" si="2"/>
        <v/>
      </c>
      <c r="CC67" s="100" t="str">
        <f t="shared" si="3"/>
        <v/>
      </c>
      <c r="CD67" s="103" t="str">
        <f>IF($A67="","",IF(OR($CB67="?",$CC67="?"),"?",MIN($CB67*$CC67,'Technical Premium'!$C$17)))</f>
        <v/>
      </c>
      <c r="CE67" s="102" t="str">
        <f t="shared" si="4"/>
        <v/>
      </c>
      <c r="CF67" s="102" t="str">
        <f>IF($A67="","",IFERROR(INDEX('Territory Factors'!$F$6:$F$56,MATCH($K67,'Territory Factors'!$B$6:$B$56,0)),"?"))</f>
        <v/>
      </c>
      <c r="CG67" s="100" t="str">
        <f>IF($A67="","",IFERROR(INDEX('Usage and Coverage'!$C$79:$C$84,MATCH($Y67,'Usage and Coverage'!$B$79:$B$84,0)),"?"))</f>
        <v/>
      </c>
      <c r="CH67" s="102" t="str">
        <f>IFERROR(IF(ISNUMBER($CD67),$CF67*$CG67*MIN($BG67*$BA67*$BC67*$BD67*$BH67*$BF67,'Technical Premium'!$C$17),""),"")</f>
        <v/>
      </c>
      <c r="CI67" s="102" t="str">
        <f t="shared" si="5"/>
        <v/>
      </c>
      <c r="CJ67" s="102" t="str">
        <f>IFERROR($CI67*(1+'Technical Premium'!$C$5)*(1+'Technical Premium'!$C$6),"")</f>
        <v/>
      </c>
      <c r="CK67" s="102" t="str">
        <f>IFERROR($CE67*INDEX('Territory Factors'!$G$6:$G$56,MATCH($K67,'Territory Factors'!$B$6:$B$56,0))*$AU67*$AV67,"")</f>
        <v/>
      </c>
      <c r="CL67" s="102" t="str">
        <f>IFERROR(($CJ67+$CK67)*(1+'Technical Premium'!$C$7),"")</f>
        <v/>
      </c>
      <c r="CM67" s="104" t="str">
        <f>IFERROR($CL67/'Technical Premium'!$C$13,"")</f>
        <v/>
      </c>
      <c r="CN67" s="105" t="str">
        <f t="shared" si="6"/>
        <v/>
      </c>
      <c r="CO67" s="104" t="str">
        <f t="shared" si="7"/>
        <v/>
      </c>
      <c r="CP67" s="105" t="str">
        <f t="shared" si="8"/>
        <v/>
      </c>
      <c r="CQ67" s="106" t="str">
        <f t="shared" si="9"/>
        <v/>
      </c>
      <c r="CR67" s="102" t="str">
        <f>IF(ISNUMBER($CM67),'Technical Premium'!$C$14+IF($J67&gt;=1000000,'Technical Premium'!$C$15,0),"")</f>
        <v/>
      </c>
      <c r="CS67" s="102" t="str">
        <f>IFERROR(($CO67+$CR67)*(INDEX('Territory Factors'!$K$6:$K$56,MATCH($K67,'Territory Factors'!$B$6:$B$56,0))+'Commission Structure'!$C$21),"")</f>
        <v/>
      </c>
      <c r="CT67" s="104" t="str">
        <f t="shared" si="10"/>
        <v/>
      </c>
      <c r="CU67" s="102" t="str">
        <f>IFERROR($CO67*('Commission Structure'!$C$6+'Commission Structure'!$C$7),"")</f>
        <v/>
      </c>
      <c r="CV67" s="102" t="str">
        <f>IFERROR($CO67*'Commission Structure'!$C$5-$CU67,"")</f>
        <v/>
      </c>
      <c r="CW67" s="102" t="str">
        <f>IFERROR($CO67*(1-'Commission Structure'!$C$5),"")</f>
        <v/>
      </c>
      <c r="CX67" s="107"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8" t="str">
        <f t="shared" si="11"/>
        <v/>
      </c>
      <c r="CZ67" s="99" t="str">
        <f>IF($CY67="","",IF($CY67&lt;'Technical Premium'!$C$19,"BEYOND AUTHORITY",IF($CY67&gt;0.005,"Above technical",IF($CY67&lt;-0.005,"BELOW technical","At technical"))))</f>
        <v/>
      </c>
      <c r="DA67" s="99"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4"/>
      <c r="DC67" s="94"/>
      <c r="DD67" s="95"/>
      <c r="DE67" s="94"/>
      <c r="DF67" s="94"/>
      <c r="DG67" s="99" t="str">
        <f t="shared" si="12"/>
        <v/>
      </c>
      <c r="DH67" s="99" t="str">
        <f>IF($A67="","",IF(OR($CX67="REFER",$CX67="DECLINE"),COUNTIF($CX$5:$CX67,"REFER")+COUNTIF($CX$5:$CX67,"DECLINE"),""))</f>
        <v/>
      </c>
      <c r="DI67" s="94"/>
    </row>
    <row r="68" spans="1:113" x14ac:dyDescent="0.35">
      <c r="A68" s="94"/>
      <c r="B68" s="94"/>
      <c r="C68" s="95"/>
      <c r="D68" s="95"/>
      <c r="E68" s="96"/>
      <c r="F68" s="94"/>
      <c r="G68" s="94"/>
      <c r="H68" s="94"/>
      <c r="I68" s="94"/>
      <c r="J68" s="97"/>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8"/>
      <c r="AR68" s="99" t="str">
        <f t="shared" si="0"/>
        <v/>
      </c>
      <c r="AS68" s="99" t="str">
        <f>IF($A68="","",IF($AP68&lt;&gt;"",$AP68,IFERROR(INDEX('Cat Zone by ZIP'!$D$6:$D$856,MATCH($AR68,'Cat Zone by ZIP'!$B$6:$B$856,0)),IFERROR(INDEX('Cat Zone by ZIP'!$C$860:$C$910,MATCH($K68,'Cat Zone by ZIP'!$B$860:$B$910,0)),"NOT FOUND"))))</f>
        <v/>
      </c>
      <c r="AT68" s="99" t="str">
        <f>IF($A68="","",IF($AP68&lt;&gt;"","Override",IF(ISNUMBER(MATCH($AR68,'Cat Zone by ZIP'!$B$6:$B$856,0)),"ZIP-3","State default")))</f>
        <v/>
      </c>
      <c r="AU68" s="100" t="str">
        <f>IF($A68="","",IFERROR(INDEX('Natural Catastrophe'!$D$6:$D$17,MATCH($AS68,'Natural Catastrophe'!$B$6:$B$17,0)),"?"))</f>
        <v/>
      </c>
      <c r="AV68" s="100" t="str">
        <f>IF($A68="","",IFERROR(INDEX('Natural Catastrophe'!$C$21:$C$26,MATCH($AA68,'Natural Catastrophe'!$B$21:$B$26,0)),"?"))</f>
        <v/>
      </c>
      <c r="AW68" s="99" t="str">
        <f>IF($A68="","",IFERROR(INDEX('Base Rates'!$C$4:$I$4,MATCH(MAX($J68,'Technical Premium'!$C$18),'Base Rates'!$C$3:$I$3,1)),"?"))</f>
        <v/>
      </c>
      <c r="AX68" s="101" t="str">
        <f>IF($A68="","",IFERROR(INDEX('Base Rates'!$C$5:$I$16,MATCH($I68,'Base Rates'!$B$5:$B$16,0),MATCH(MAX($J68,'Technical Premium'!$C$18),'Base Rates'!$C$3:$I$3,1)),"?"))</f>
        <v/>
      </c>
      <c r="AY68" s="102" t="str">
        <f t="shared" si="1"/>
        <v/>
      </c>
      <c r="AZ68" s="99" t="str">
        <f>IF($A68="","",IFERROR(INDEX('Make Factors'!$G$5:$G$69,MATCH($F68,'Make Factors'!$B$5:$B$69,0)),"?"))</f>
        <v/>
      </c>
      <c r="BA68" s="99" t="str">
        <f>IF($A68="","",IFERROR(INDEX('Driver Factors'!$C$6:$C$15,MATCH($R68,'Driver Factors'!$B$6:$B$15,0)),"?"))</f>
        <v/>
      </c>
      <c r="BB68" s="99" t="str">
        <f>IF($A68="","",IFERROR(INDEX('Driver Factors'!$C$19:$C$24,MATCH($S68,'Driver Factors'!$B$19:$B$24,0)),"?"))</f>
        <v/>
      </c>
      <c r="BC68" s="99" t="str">
        <f>IF($A68="","",IFERROR(INDEX('Driver Factors'!$C$28:$C$36,MATCH($T68,'Driver Factors'!$B$28:$B$36,0)),"?"))</f>
        <v/>
      </c>
      <c r="BD68" s="99" t="str">
        <f>IF($A68="","",IFERROR(INDEX('Claims History'!$C$6:$C$15,MATCH($U68,'Claims History'!$B$6:$B$15,0)),"?"))</f>
        <v/>
      </c>
      <c r="BE68" s="99" t="str">
        <f>IF($A68="","",IFERROR(INDEX('Territory Factors'!$E$6:$E$56,MATCH($K68,'Territory Factors'!$B$6:$B$56,0)),"?"))</f>
        <v/>
      </c>
      <c r="BF68" s="99" t="str">
        <f>IF($A68="","",IFERROR(INDEX('City Accident Ratings'!$G$6:$G$54,MATCH($Z68,'City Accident Ratings'!$B$6:$B$54,0)),"?"))</f>
        <v/>
      </c>
      <c r="BG68" s="99" t="str">
        <f>IF($A68="","",IFERROR(INDEX('Usage and Coverage'!$D$6:$D$20,MATCH($N68,'Usage and Coverage'!$C$6:$C$20,0)),"?"))</f>
        <v/>
      </c>
      <c r="BH68" s="99" t="str">
        <f>IF($A68="","",IFERROR(INDEX('Usage and Coverage'!$C$24:$C$30,MATCH($O68,'Usage and Coverage'!$B$24:$B$30,0)),"?"))</f>
        <v/>
      </c>
      <c r="BI68" s="99" t="str">
        <f>IF($A68="","",IFERROR(INDEX('Usage and Coverage'!$C$34:$C$40,MATCH($P68,'Usage and Coverage'!$B$34:$B$40,0)),"?"))</f>
        <v/>
      </c>
      <c r="BJ68" s="99" t="str">
        <f>IF($A68="","",IFERROR(INDEX('Usage and Coverage'!$C$44:$C$49,MATCH($Q68,'Usage and Coverage'!$B$44:$B$49,0)),"?"))</f>
        <v/>
      </c>
      <c r="BK68" s="99" t="str">
        <f>IF($A68="","",IFERROR(INDEX(Deductibles!$C$6:$I$15,MATCH($W68,Deductibles!$B$6:$B$15,0),MATCH(MAX($J68,'Technical Premium'!$C$18),'Base Rates'!$C$3:$I$3,1)),"?"))</f>
        <v/>
      </c>
      <c r="BL68" s="99" t="str">
        <f>IF($A68="","",IFERROR(INDEX('Usage and Coverage'!$C$63:$C$66,MATCH($X68,'Usage and Coverage'!$B$63:$B$66,0)),"?"))</f>
        <v/>
      </c>
      <c r="BM68" s="99" t="str">
        <f>IF($A68="","",IFERROR(INDEX('Usage and Coverage'!$C$70:$C$75,MATCH($V68,'Usage and Coverage'!$B$70:$B$75,0)),"?"))</f>
        <v/>
      </c>
      <c r="BN68" s="99" t="str">
        <f>IF($A68="","",IF($AB68="",1,IFERROR(INDEX(Deductibles!$C$48:$C$51,MATCH($AB68,Deductibles!$B$48:$B$51,0)),"?")))</f>
        <v/>
      </c>
      <c r="BO68" s="99" t="str">
        <f>IF($A68="","",IF($AC68="",1,IFERROR(INDEX(Deductibles!$C$55:$C$57,MATCH($AC68,Deductibles!$B$55:$B$57,0)),"?")))</f>
        <v/>
      </c>
      <c r="BP68" s="99" t="str">
        <f>IF($A68="","",IF($AD68="",1,IFERROR(INDEX(Deductibles!$C$61:$C$63,MATCH($AD68,Deductibles!$B$61:$B$63,0)),"?")))</f>
        <v/>
      </c>
      <c r="BQ68" s="99" t="str">
        <f>IF($A68="","",IF($AE68="",1,IFERROR(INDEX(Deductibles!$C$67:$C$69,MATCH($AE68,Deductibles!$B$67:$B$69,0)),"?")))</f>
        <v/>
      </c>
      <c r="BR68" s="99" t="str">
        <f>IF($A68="","",IF($AF68="",1,IFERROR(INDEX(Deductibles!$C$73:$C$74,MATCH($AF68,Deductibles!$B$73:$B$74,0)),"?")))</f>
        <v/>
      </c>
      <c r="BS68" s="99" t="str">
        <f>IF($A68="","",IF($AG68="",1,IFERROR(INDEX('Sublimits and Parts'!$C$49:$C$52,MATCH($AG68,'Sublimits and Parts'!$B$49:$B$52,0)),"?")))</f>
        <v/>
      </c>
      <c r="BT68" s="99" t="str">
        <f>IF($A68="","",IF($AH68="",1,IFERROR(INDEX('Sublimits and Parts'!$C$56:$C$60,MATCH($AH68,'Sublimits and Parts'!$B$56:$B$60,0)),"?")))</f>
        <v/>
      </c>
      <c r="BU68" s="99" t="str">
        <f>IF($A68="","",IF($AI68="",1,IFERROR(INDEX('Sublimits and Parts'!$C$64:$C$67,MATCH($AI68,'Sublimits and Parts'!$B$64:$B$67,0)),"?")))</f>
        <v/>
      </c>
      <c r="BV68" s="99" t="str">
        <f>IF($A68="","",IF($AJ68="",1,IFERROR(INDEX('Sublimits and Parts'!$C$71:$C$74,MATCH($AJ68,'Sublimits and Parts'!$B$71:$B$74,0)),"?")))</f>
        <v/>
      </c>
      <c r="BW68" s="99" t="str">
        <f>IF($A68="","",IF($AK68="",1,IFERROR(INDEX('Sublimits and Parts'!$C$78:$C$80,MATCH($AK68,'Sublimits and Parts'!$B$78:$B$80,0)),"?")))</f>
        <v/>
      </c>
      <c r="BX68" s="99" t="str">
        <f>IF($A68="","",IF($AL68="",1,IFERROR(INDEX('Sublimits and Parts'!$C$84:$C$87,MATCH($AL68,'Sublimits and Parts'!$B$84:$B$87,0)),"?")))</f>
        <v/>
      </c>
      <c r="BY68" s="99" t="str">
        <f>IF($A68="","",IF($AM68="",1,IFERROR(INDEX('Sublimits and Parts'!$C$91:$C$94,MATCH($AM68,'Sublimits and Parts'!$B$91:$B$94,0)),"?")))</f>
        <v/>
      </c>
      <c r="BZ68" s="99" t="str">
        <f>IF($A68="","",IF($AN68="",1,IFERROR(INDEX('Sublimits and Parts'!$C$98:$C$101,MATCH($AN68,'Sublimits and Parts'!$B$98:$B$101,0)),"?")))</f>
        <v/>
      </c>
      <c r="CA68" s="99" t="str">
        <f>IF($A68="","",IF($AO68="",1,IFERROR(INDEX('Sublimits and Parts'!$C$105:$C$109,MATCH($AO68,'Sublimits and Parts'!$B$105:$B$109,0)),"?")))</f>
        <v/>
      </c>
      <c r="CB68" s="100" t="str">
        <f t="shared" si="2"/>
        <v/>
      </c>
      <c r="CC68" s="100" t="str">
        <f t="shared" si="3"/>
        <v/>
      </c>
      <c r="CD68" s="103" t="str">
        <f>IF($A68="","",IF(OR($CB68="?",$CC68="?"),"?",MIN($CB68*$CC68,'Technical Premium'!$C$17)))</f>
        <v/>
      </c>
      <c r="CE68" s="102" t="str">
        <f t="shared" si="4"/>
        <v/>
      </c>
      <c r="CF68" s="102" t="str">
        <f>IF($A68="","",IFERROR(INDEX('Territory Factors'!$F$6:$F$56,MATCH($K68,'Territory Factors'!$B$6:$B$56,0)),"?"))</f>
        <v/>
      </c>
      <c r="CG68" s="100" t="str">
        <f>IF($A68="","",IFERROR(INDEX('Usage and Coverage'!$C$79:$C$84,MATCH($Y68,'Usage and Coverage'!$B$79:$B$84,0)),"?"))</f>
        <v/>
      </c>
      <c r="CH68" s="102" t="str">
        <f>IFERROR(IF(ISNUMBER($CD68),$CF68*$CG68*MIN($BG68*$BA68*$BC68*$BD68*$BH68*$BF68,'Technical Premium'!$C$17),""),"")</f>
        <v/>
      </c>
      <c r="CI68" s="102" t="str">
        <f t="shared" si="5"/>
        <v/>
      </c>
      <c r="CJ68" s="102" t="str">
        <f>IFERROR($CI68*(1+'Technical Premium'!$C$5)*(1+'Technical Premium'!$C$6),"")</f>
        <v/>
      </c>
      <c r="CK68" s="102" t="str">
        <f>IFERROR($CE68*INDEX('Territory Factors'!$G$6:$G$56,MATCH($K68,'Territory Factors'!$B$6:$B$56,0))*$AU68*$AV68,"")</f>
        <v/>
      </c>
      <c r="CL68" s="102" t="str">
        <f>IFERROR(($CJ68+$CK68)*(1+'Technical Premium'!$C$7),"")</f>
        <v/>
      </c>
      <c r="CM68" s="104" t="str">
        <f>IFERROR($CL68/'Technical Premium'!$C$13,"")</f>
        <v/>
      </c>
      <c r="CN68" s="105" t="str">
        <f t="shared" si="6"/>
        <v/>
      </c>
      <c r="CO68" s="104" t="str">
        <f t="shared" si="7"/>
        <v/>
      </c>
      <c r="CP68" s="105" t="str">
        <f t="shared" si="8"/>
        <v/>
      </c>
      <c r="CQ68" s="106" t="str">
        <f t="shared" si="9"/>
        <v/>
      </c>
      <c r="CR68" s="102" t="str">
        <f>IF(ISNUMBER($CM68),'Technical Premium'!$C$14+IF($J68&gt;=1000000,'Technical Premium'!$C$15,0),"")</f>
        <v/>
      </c>
      <c r="CS68" s="102" t="str">
        <f>IFERROR(($CO68+$CR68)*(INDEX('Territory Factors'!$K$6:$K$56,MATCH($K68,'Territory Factors'!$B$6:$B$56,0))+'Commission Structure'!$C$21),"")</f>
        <v/>
      </c>
      <c r="CT68" s="104" t="str">
        <f t="shared" si="10"/>
        <v/>
      </c>
      <c r="CU68" s="102" t="str">
        <f>IFERROR($CO68*('Commission Structure'!$C$6+'Commission Structure'!$C$7),"")</f>
        <v/>
      </c>
      <c r="CV68" s="102" t="str">
        <f>IFERROR($CO68*'Commission Structure'!$C$5-$CU68,"")</f>
        <v/>
      </c>
      <c r="CW68" s="102" t="str">
        <f>IFERROR($CO68*(1-'Commission Structure'!$C$5),"")</f>
        <v/>
      </c>
      <c r="CX68" s="107"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8" t="str">
        <f t="shared" si="11"/>
        <v/>
      </c>
      <c r="CZ68" s="99" t="str">
        <f>IF($CY68="","",IF($CY68&lt;'Technical Premium'!$C$19,"BEYOND AUTHORITY",IF($CY68&gt;0.005,"Above technical",IF($CY68&lt;-0.005,"BELOW technical","At technical"))))</f>
        <v/>
      </c>
      <c r="DA68" s="99"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4"/>
      <c r="DC68" s="94"/>
      <c r="DD68" s="95"/>
      <c r="DE68" s="94"/>
      <c r="DF68" s="94"/>
      <c r="DG68" s="99" t="str">
        <f t="shared" si="12"/>
        <v/>
      </c>
      <c r="DH68" s="99" t="str">
        <f>IF($A68="","",IF(OR($CX68="REFER",$CX68="DECLINE"),COUNTIF($CX$5:$CX68,"REFER")+COUNTIF($CX$5:$CX68,"DECLINE"),""))</f>
        <v/>
      </c>
      <c r="DI68" s="94"/>
    </row>
    <row r="69" spans="1:113" x14ac:dyDescent="0.35">
      <c r="A69" s="94"/>
      <c r="B69" s="94"/>
      <c r="C69" s="95"/>
      <c r="D69" s="95"/>
      <c r="E69" s="96"/>
      <c r="F69" s="94"/>
      <c r="G69" s="94"/>
      <c r="H69" s="94"/>
      <c r="I69" s="94"/>
      <c r="J69" s="97"/>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8"/>
      <c r="AR69" s="99" t="str">
        <f t="shared" ref="AR69:AR132" si="13">IF($A69="","",IFERROR(LEFT(TEXT(VALUE($L69),"00000"),3),"---"))</f>
        <v/>
      </c>
      <c r="AS69" s="99" t="str">
        <f>IF($A69="","",IF($AP69&lt;&gt;"",$AP69,IFERROR(INDEX('Cat Zone by ZIP'!$D$6:$D$856,MATCH($AR69,'Cat Zone by ZIP'!$B$6:$B$856,0)),IFERROR(INDEX('Cat Zone by ZIP'!$C$860:$C$910,MATCH($K69,'Cat Zone by ZIP'!$B$860:$B$910,0)),"NOT FOUND"))))</f>
        <v/>
      </c>
      <c r="AT69" s="99" t="str">
        <f>IF($A69="","",IF($AP69&lt;&gt;"","Override",IF(ISNUMBER(MATCH($AR69,'Cat Zone by ZIP'!$B$6:$B$856,0)),"ZIP-3","State default")))</f>
        <v/>
      </c>
      <c r="AU69" s="100" t="str">
        <f>IF($A69="","",IFERROR(INDEX('Natural Catastrophe'!$D$6:$D$17,MATCH($AS69,'Natural Catastrophe'!$B$6:$B$17,0)),"?"))</f>
        <v/>
      </c>
      <c r="AV69" s="100" t="str">
        <f>IF($A69="","",IFERROR(INDEX('Natural Catastrophe'!$C$21:$C$26,MATCH($AA69,'Natural Catastrophe'!$B$21:$B$26,0)),"?"))</f>
        <v/>
      </c>
      <c r="AW69" s="99" t="str">
        <f>IF($A69="","",IFERROR(INDEX('Base Rates'!$C$4:$I$4,MATCH(MAX($J69,'Technical Premium'!$C$18),'Base Rates'!$C$3:$I$3,1)),"?"))</f>
        <v/>
      </c>
      <c r="AX69" s="101" t="str">
        <f>IF($A69="","",IFERROR(INDEX('Base Rates'!$C$5:$I$16,MATCH($I69,'Base Rates'!$B$5:$B$16,0),MATCH(MAX($J69,'Technical Premium'!$C$18),'Base Rates'!$C$3:$I$3,1)),"?"))</f>
        <v/>
      </c>
      <c r="AY69" s="102" t="str">
        <f t="shared" ref="AY69:AY132" si="14">IF(ISNUMBER($AX69),$J69/100*$AX69,"")</f>
        <v/>
      </c>
      <c r="AZ69" s="99" t="str">
        <f>IF($A69="","",IFERROR(INDEX('Make Factors'!$G$5:$G$69,MATCH($F69,'Make Factors'!$B$5:$B$69,0)),"?"))</f>
        <v/>
      </c>
      <c r="BA69" s="99" t="str">
        <f>IF($A69="","",IFERROR(INDEX('Driver Factors'!$C$6:$C$15,MATCH($R69,'Driver Factors'!$B$6:$B$15,0)),"?"))</f>
        <v/>
      </c>
      <c r="BB69" s="99" t="str">
        <f>IF($A69="","",IFERROR(INDEX('Driver Factors'!$C$19:$C$24,MATCH($S69,'Driver Factors'!$B$19:$B$24,0)),"?"))</f>
        <v/>
      </c>
      <c r="BC69" s="99" t="str">
        <f>IF($A69="","",IFERROR(INDEX('Driver Factors'!$C$28:$C$36,MATCH($T69,'Driver Factors'!$B$28:$B$36,0)),"?"))</f>
        <v/>
      </c>
      <c r="BD69" s="99" t="str">
        <f>IF($A69="","",IFERROR(INDEX('Claims History'!$C$6:$C$15,MATCH($U69,'Claims History'!$B$6:$B$15,0)),"?"))</f>
        <v/>
      </c>
      <c r="BE69" s="99" t="str">
        <f>IF($A69="","",IFERROR(INDEX('Territory Factors'!$E$6:$E$56,MATCH($K69,'Territory Factors'!$B$6:$B$56,0)),"?"))</f>
        <v/>
      </c>
      <c r="BF69" s="99" t="str">
        <f>IF($A69="","",IFERROR(INDEX('City Accident Ratings'!$G$6:$G$54,MATCH($Z69,'City Accident Ratings'!$B$6:$B$54,0)),"?"))</f>
        <v/>
      </c>
      <c r="BG69" s="99" t="str">
        <f>IF($A69="","",IFERROR(INDEX('Usage and Coverage'!$D$6:$D$20,MATCH($N69,'Usage and Coverage'!$C$6:$C$20,0)),"?"))</f>
        <v/>
      </c>
      <c r="BH69" s="99" t="str">
        <f>IF($A69="","",IFERROR(INDEX('Usage and Coverage'!$C$24:$C$30,MATCH($O69,'Usage and Coverage'!$B$24:$B$30,0)),"?"))</f>
        <v/>
      </c>
      <c r="BI69" s="99" t="str">
        <f>IF($A69="","",IFERROR(INDEX('Usage and Coverage'!$C$34:$C$40,MATCH($P69,'Usage and Coverage'!$B$34:$B$40,0)),"?"))</f>
        <v/>
      </c>
      <c r="BJ69" s="99" t="str">
        <f>IF($A69="","",IFERROR(INDEX('Usage and Coverage'!$C$44:$C$49,MATCH($Q69,'Usage and Coverage'!$B$44:$B$49,0)),"?"))</f>
        <v/>
      </c>
      <c r="BK69" s="99" t="str">
        <f>IF($A69="","",IFERROR(INDEX(Deductibles!$C$6:$I$15,MATCH($W69,Deductibles!$B$6:$B$15,0),MATCH(MAX($J69,'Technical Premium'!$C$18),'Base Rates'!$C$3:$I$3,1)),"?"))</f>
        <v/>
      </c>
      <c r="BL69" s="99" t="str">
        <f>IF($A69="","",IFERROR(INDEX('Usage and Coverage'!$C$63:$C$66,MATCH($X69,'Usage and Coverage'!$B$63:$B$66,0)),"?"))</f>
        <v/>
      </c>
      <c r="BM69" s="99" t="str">
        <f>IF($A69="","",IFERROR(INDEX('Usage and Coverage'!$C$70:$C$75,MATCH($V69,'Usage and Coverage'!$B$70:$B$75,0)),"?"))</f>
        <v/>
      </c>
      <c r="BN69" s="99" t="str">
        <f>IF($A69="","",IF($AB69="",1,IFERROR(INDEX(Deductibles!$C$48:$C$51,MATCH($AB69,Deductibles!$B$48:$B$51,0)),"?")))</f>
        <v/>
      </c>
      <c r="BO69" s="99" t="str">
        <f>IF($A69="","",IF($AC69="",1,IFERROR(INDEX(Deductibles!$C$55:$C$57,MATCH($AC69,Deductibles!$B$55:$B$57,0)),"?")))</f>
        <v/>
      </c>
      <c r="BP69" s="99" t="str">
        <f>IF($A69="","",IF($AD69="",1,IFERROR(INDEX(Deductibles!$C$61:$C$63,MATCH($AD69,Deductibles!$B$61:$B$63,0)),"?")))</f>
        <v/>
      </c>
      <c r="BQ69" s="99" t="str">
        <f>IF($A69="","",IF($AE69="",1,IFERROR(INDEX(Deductibles!$C$67:$C$69,MATCH($AE69,Deductibles!$B$67:$B$69,0)),"?")))</f>
        <v/>
      </c>
      <c r="BR69" s="99" t="str">
        <f>IF($A69="","",IF($AF69="",1,IFERROR(INDEX(Deductibles!$C$73:$C$74,MATCH($AF69,Deductibles!$B$73:$B$74,0)),"?")))</f>
        <v/>
      </c>
      <c r="BS69" s="99" t="str">
        <f>IF($A69="","",IF($AG69="",1,IFERROR(INDEX('Sublimits and Parts'!$C$49:$C$52,MATCH($AG69,'Sublimits and Parts'!$B$49:$B$52,0)),"?")))</f>
        <v/>
      </c>
      <c r="BT69" s="99" t="str">
        <f>IF($A69="","",IF($AH69="",1,IFERROR(INDEX('Sublimits and Parts'!$C$56:$C$60,MATCH($AH69,'Sublimits and Parts'!$B$56:$B$60,0)),"?")))</f>
        <v/>
      </c>
      <c r="BU69" s="99" t="str">
        <f>IF($A69="","",IF($AI69="",1,IFERROR(INDEX('Sublimits and Parts'!$C$64:$C$67,MATCH($AI69,'Sublimits and Parts'!$B$64:$B$67,0)),"?")))</f>
        <v/>
      </c>
      <c r="BV69" s="99" t="str">
        <f>IF($A69="","",IF($AJ69="",1,IFERROR(INDEX('Sublimits and Parts'!$C$71:$C$74,MATCH($AJ69,'Sublimits and Parts'!$B$71:$B$74,0)),"?")))</f>
        <v/>
      </c>
      <c r="BW69" s="99" t="str">
        <f>IF($A69="","",IF($AK69="",1,IFERROR(INDEX('Sublimits and Parts'!$C$78:$C$80,MATCH($AK69,'Sublimits and Parts'!$B$78:$B$80,0)),"?")))</f>
        <v/>
      </c>
      <c r="BX69" s="99" t="str">
        <f>IF($A69="","",IF($AL69="",1,IFERROR(INDEX('Sublimits and Parts'!$C$84:$C$87,MATCH($AL69,'Sublimits and Parts'!$B$84:$B$87,0)),"?")))</f>
        <v/>
      </c>
      <c r="BY69" s="99" t="str">
        <f>IF($A69="","",IF($AM69="",1,IFERROR(INDEX('Sublimits and Parts'!$C$91:$C$94,MATCH($AM69,'Sublimits and Parts'!$B$91:$B$94,0)),"?")))</f>
        <v/>
      </c>
      <c r="BZ69" s="99" t="str">
        <f>IF($A69="","",IF($AN69="",1,IFERROR(INDEX('Sublimits and Parts'!$C$98:$C$101,MATCH($AN69,'Sublimits and Parts'!$B$98:$B$101,0)),"?")))</f>
        <v/>
      </c>
      <c r="CA69" s="99" t="str">
        <f>IF($A69="","",IF($AO69="",1,IFERROR(INDEX('Sublimits and Parts'!$C$105:$C$109,MATCH($AO69,'Sublimits and Parts'!$B$105:$B$109,0)),"?")))</f>
        <v/>
      </c>
      <c r="CB69" s="100" t="str">
        <f t="shared" ref="CB69:CB132" si="15">IF($A69="","",IF(SUMPRODUCT(--ISTEXT($AZ69:$BM69))&gt;0,"?",PRODUCT($AZ69:$BM69)))</f>
        <v/>
      </c>
      <c r="CC69" s="100" t="str">
        <f t="shared" ref="CC69:CC132" si="16">IF($A69="","",IF(SUMPRODUCT(--ISTEXT($BN69:$CA69))&gt;0,"?",PRODUCT($BN69:$CA69)))</f>
        <v/>
      </c>
      <c r="CD69" s="103" t="str">
        <f>IF($A69="","",IF(OR($CB69="?",$CC69="?"),"?",MIN($CB69*$CC69,'Technical Premium'!$C$17)))</f>
        <v/>
      </c>
      <c r="CE69" s="102" t="str">
        <f t="shared" ref="CE69:CE132" si="17">IF(ISNUMBER($CD69),$AY69*$CD69,"")</f>
        <v/>
      </c>
      <c r="CF69" s="102" t="str">
        <f>IF($A69="","",IFERROR(INDEX('Territory Factors'!$F$6:$F$56,MATCH($K69,'Territory Factors'!$B$6:$B$56,0)),"?"))</f>
        <v/>
      </c>
      <c r="CG69" s="100" t="str">
        <f>IF($A69="","",IFERROR(INDEX('Usage and Coverage'!$C$79:$C$84,MATCH($Y69,'Usage and Coverage'!$B$79:$B$84,0)),"?"))</f>
        <v/>
      </c>
      <c r="CH69" s="102" t="str">
        <f>IFERROR(IF(ISNUMBER($CD69),$CF69*$CG69*MIN($BG69*$BA69*$BC69*$BD69*$BH69*$BF69,'Technical Premium'!$C$17),""),"")</f>
        <v/>
      </c>
      <c r="CI69" s="102" t="str">
        <f t="shared" ref="CI69:CI132" si="18">IFERROR($CE69+$CH69,"")</f>
        <v/>
      </c>
      <c r="CJ69" s="102" t="str">
        <f>IFERROR($CI69*(1+'Technical Premium'!$C$5)*(1+'Technical Premium'!$C$6),"")</f>
        <v/>
      </c>
      <c r="CK69" s="102" t="str">
        <f>IFERROR($CE69*INDEX('Territory Factors'!$G$6:$G$56,MATCH($K69,'Territory Factors'!$B$6:$B$56,0))*$AU69*$AV69,"")</f>
        <v/>
      </c>
      <c r="CL69" s="102" t="str">
        <f>IFERROR(($CJ69+$CK69)*(1+'Technical Premium'!$C$7),"")</f>
        <v/>
      </c>
      <c r="CM69" s="104" t="str">
        <f>IFERROR($CL69/'Technical Premium'!$C$13,"")</f>
        <v/>
      </c>
      <c r="CN69" s="105" t="str">
        <f t="shared" ref="CN69:CN132" si="19">IFERROR($CM69/$J69*100,"")</f>
        <v/>
      </c>
      <c r="CO69" s="104" t="str">
        <f t="shared" ref="CO69:CO132" si="20">IFERROR($CM69*(1+N($AQ69)),"")</f>
        <v/>
      </c>
      <c r="CP69" s="105" t="str">
        <f t="shared" ref="CP69:CP132" si="21">IFERROR($CO69/$J69*100,"")</f>
        <v/>
      </c>
      <c r="CQ69" s="106" t="str">
        <f t="shared" ref="CQ69:CQ132" si="22">IFERROR($CP69/$CN69,"")</f>
        <v/>
      </c>
      <c r="CR69" s="102" t="str">
        <f>IF(ISNUMBER($CM69),'Technical Premium'!$C$14+IF($J69&gt;=1000000,'Technical Premium'!$C$15,0),"")</f>
        <v/>
      </c>
      <c r="CS69" s="102" t="str">
        <f>IFERROR(($CO69+$CR69)*(INDEX('Territory Factors'!$K$6:$K$56,MATCH($K69,'Territory Factors'!$B$6:$B$56,0))+'Commission Structure'!$C$21),"")</f>
        <v/>
      </c>
      <c r="CT69" s="104" t="str">
        <f t="shared" ref="CT69:CT132" si="23">IFERROR($CO69+$CR69+$CS69,"")</f>
        <v/>
      </c>
      <c r="CU69" s="102" t="str">
        <f>IFERROR($CO69*('Commission Structure'!$C$6+'Commission Structure'!$C$7),"")</f>
        <v/>
      </c>
      <c r="CV69" s="102" t="str">
        <f>IFERROR($CO69*'Commission Structure'!$C$5-$CU69,"")</f>
        <v/>
      </c>
      <c r="CW69" s="102" t="str">
        <f>IFERROR($CO69*(1-'Commission Structure'!$C$5),"")</f>
        <v/>
      </c>
      <c r="CX69" s="107"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8" t="str">
        <f t="shared" ref="CY69:CY132" si="24">IFERROR($CO69/$CM69-1,"")</f>
        <v/>
      </c>
      <c r="CZ69" s="99" t="str">
        <f>IF($CY69="","",IF($CY69&lt;'Technical Premium'!$C$19,"BEYOND AUTHORITY",IF($CY69&gt;0.005,"Above technical",IF($CY69&lt;-0.005,"BELOW technical","At technical"))))</f>
        <v/>
      </c>
      <c r="DA69" s="99"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4"/>
      <c r="DC69" s="94"/>
      <c r="DD69" s="95"/>
      <c r="DE69" s="94"/>
      <c r="DF69" s="94"/>
      <c r="DG69" s="99" t="str">
        <f t="shared" ref="DG69:DG132" si="25">IF($A69="","",IF($CX69="DECLINE","NO - DECLINED",IF($CX69="CHECK INPUTS","NO - INCOMPLETE INPUTS",IF($CX69="AUTO-BIND","YES - within authority",IF(AND($DB69&lt;&gt;"",$DD69&lt;&gt;""),"YES - approved "&amp;TEXT($DD69,"dd-mmm-yy"),"NO - AWAITING APPROVAL")))))</f>
        <v/>
      </c>
      <c r="DH69" s="99" t="str">
        <f>IF($A69="","",IF(OR($CX69="REFER",$CX69="DECLINE"),COUNTIF($CX$5:$CX69,"REFER")+COUNTIF($CX$5:$CX69,"DECLINE"),""))</f>
        <v/>
      </c>
      <c r="DI69" s="94"/>
    </row>
    <row r="70" spans="1:113" x14ac:dyDescent="0.35">
      <c r="A70" s="94"/>
      <c r="B70" s="94"/>
      <c r="C70" s="95"/>
      <c r="D70" s="95"/>
      <c r="E70" s="96"/>
      <c r="F70" s="94"/>
      <c r="G70" s="94"/>
      <c r="H70" s="94"/>
      <c r="I70" s="94"/>
      <c r="J70" s="97"/>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8"/>
      <c r="AR70" s="99" t="str">
        <f t="shared" si="13"/>
        <v/>
      </c>
      <c r="AS70" s="99" t="str">
        <f>IF($A70="","",IF($AP70&lt;&gt;"",$AP70,IFERROR(INDEX('Cat Zone by ZIP'!$D$6:$D$856,MATCH($AR70,'Cat Zone by ZIP'!$B$6:$B$856,0)),IFERROR(INDEX('Cat Zone by ZIP'!$C$860:$C$910,MATCH($K70,'Cat Zone by ZIP'!$B$860:$B$910,0)),"NOT FOUND"))))</f>
        <v/>
      </c>
      <c r="AT70" s="99" t="str">
        <f>IF($A70="","",IF($AP70&lt;&gt;"","Override",IF(ISNUMBER(MATCH($AR70,'Cat Zone by ZIP'!$B$6:$B$856,0)),"ZIP-3","State default")))</f>
        <v/>
      </c>
      <c r="AU70" s="100" t="str">
        <f>IF($A70="","",IFERROR(INDEX('Natural Catastrophe'!$D$6:$D$17,MATCH($AS70,'Natural Catastrophe'!$B$6:$B$17,0)),"?"))</f>
        <v/>
      </c>
      <c r="AV70" s="100" t="str">
        <f>IF($A70="","",IFERROR(INDEX('Natural Catastrophe'!$C$21:$C$26,MATCH($AA70,'Natural Catastrophe'!$B$21:$B$26,0)),"?"))</f>
        <v/>
      </c>
      <c r="AW70" s="99" t="str">
        <f>IF($A70="","",IFERROR(INDEX('Base Rates'!$C$4:$I$4,MATCH(MAX($J70,'Technical Premium'!$C$18),'Base Rates'!$C$3:$I$3,1)),"?"))</f>
        <v/>
      </c>
      <c r="AX70" s="101" t="str">
        <f>IF($A70="","",IFERROR(INDEX('Base Rates'!$C$5:$I$16,MATCH($I70,'Base Rates'!$B$5:$B$16,0),MATCH(MAX($J70,'Technical Premium'!$C$18),'Base Rates'!$C$3:$I$3,1)),"?"))</f>
        <v/>
      </c>
      <c r="AY70" s="102" t="str">
        <f t="shared" si="14"/>
        <v/>
      </c>
      <c r="AZ70" s="99" t="str">
        <f>IF($A70="","",IFERROR(INDEX('Make Factors'!$G$5:$G$69,MATCH($F70,'Make Factors'!$B$5:$B$69,0)),"?"))</f>
        <v/>
      </c>
      <c r="BA70" s="99" t="str">
        <f>IF($A70="","",IFERROR(INDEX('Driver Factors'!$C$6:$C$15,MATCH($R70,'Driver Factors'!$B$6:$B$15,0)),"?"))</f>
        <v/>
      </c>
      <c r="BB70" s="99" t="str">
        <f>IF($A70="","",IFERROR(INDEX('Driver Factors'!$C$19:$C$24,MATCH($S70,'Driver Factors'!$B$19:$B$24,0)),"?"))</f>
        <v/>
      </c>
      <c r="BC70" s="99" t="str">
        <f>IF($A70="","",IFERROR(INDEX('Driver Factors'!$C$28:$C$36,MATCH($T70,'Driver Factors'!$B$28:$B$36,0)),"?"))</f>
        <v/>
      </c>
      <c r="BD70" s="99" t="str">
        <f>IF($A70="","",IFERROR(INDEX('Claims History'!$C$6:$C$15,MATCH($U70,'Claims History'!$B$6:$B$15,0)),"?"))</f>
        <v/>
      </c>
      <c r="BE70" s="99" t="str">
        <f>IF($A70="","",IFERROR(INDEX('Territory Factors'!$E$6:$E$56,MATCH($K70,'Territory Factors'!$B$6:$B$56,0)),"?"))</f>
        <v/>
      </c>
      <c r="BF70" s="99" t="str">
        <f>IF($A70="","",IFERROR(INDEX('City Accident Ratings'!$G$6:$G$54,MATCH($Z70,'City Accident Ratings'!$B$6:$B$54,0)),"?"))</f>
        <v/>
      </c>
      <c r="BG70" s="99" t="str">
        <f>IF($A70="","",IFERROR(INDEX('Usage and Coverage'!$D$6:$D$20,MATCH($N70,'Usage and Coverage'!$C$6:$C$20,0)),"?"))</f>
        <v/>
      </c>
      <c r="BH70" s="99" t="str">
        <f>IF($A70="","",IFERROR(INDEX('Usage and Coverage'!$C$24:$C$30,MATCH($O70,'Usage and Coverage'!$B$24:$B$30,0)),"?"))</f>
        <v/>
      </c>
      <c r="BI70" s="99" t="str">
        <f>IF($A70="","",IFERROR(INDEX('Usage and Coverage'!$C$34:$C$40,MATCH($P70,'Usage and Coverage'!$B$34:$B$40,0)),"?"))</f>
        <v/>
      </c>
      <c r="BJ70" s="99" t="str">
        <f>IF($A70="","",IFERROR(INDEX('Usage and Coverage'!$C$44:$C$49,MATCH($Q70,'Usage and Coverage'!$B$44:$B$49,0)),"?"))</f>
        <v/>
      </c>
      <c r="BK70" s="99" t="str">
        <f>IF($A70="","",IFERROR(INDEX(Deductibles!$C$6:$I$15,MATCH($W70,Deductibles!$B$6:$B$15,0),MATCH(MAX($J70,'Technical Premium'!$C$18),'Base Rates'!$C$3:$I$3,1)),"?"))</f>
        <v/>
      </c>
      <c r="BL70" s="99" t="str">
        <f>IF($A70="","",IFERROR(INDEX('Usage and Coverage'!$C$63:$C$66,MATCH($X70,'Usage and Coverage'!$B$63:$B$66,0)),"?"))</f>
        <v/>
      </c>
      <c r="BM70" s="99" t="str">
        <f>IF($A70="","",IFERROR(INDEX('Usage and Coverage'!$C$70:$C$75,MATCH($V70,'Usage and Coverage'!$B$70:$B$75,0)),"?"))</f>
        <v/>
      </c>
      <c r="BN70" s="99" t="str">
        <f>IF($A70="","",IF($AB70="",1,IFERROR(INDEX(Deductibles!$C$48:$C$51,MATCH($AB70,Deductibles!$B$48:$B$51,0)),"?")))</f>
        <v/>
      </c>
      <c r="BO70" s="99" t="str">
        <f>IF($A70="","",IF($AC70="",1,IFERROR(INDEX(Deductibles!$C$55:$C$57,MATCH($AC70,Deductibles!$B$55:$B$57,0)),"?")))</f>
        <v/>
      </c>
      <c r="BP70" s="99" t="str">
        <f>IF($A70="","",IF($AD70="",1,IFERROR(INDEX(Deductibles!$C$61:$C$63,MATCH($AD70,Deductibles!$B$61:$B$63,0)),"?")))</f>
        <v/>
      </c>
      <c r="BQ70" s="99" t="str">
        <f>IF($A70="","",IF($AE70="",1,IFERROR(INDEX(Deductibles!$C$67:$C$69,MATCH($AE70,Deductibles!$B$67:$B$69,0)),"?")))</f>
        <v/>
      </c>
      <c r="BR70" s="99" t="str">
        <f>IF($A70="","",IF($AF70="",1,IFERROR(INDEX(Deductibles!$C$73:$C$74,MATCH($AF70,Deductibles!$B$73:$B$74,0)),"?")))</f>
        <v/>
      </c>
      <c r="BS70" s="99" t="str">
        <f>IF($A70="","",IF($AG70="",1,IFERROR(INDEX('Sublimits and Parts'!$C$49:$C$52,MATCH($AG70,'Sublimits and Parts'!$B$49:$B$52,0)),"?")))</f>
        <v/>
      </c>
      <c r="BT70" s="99" t="str">
        <f>IF($A70="","",IF($AH70="",1,IFERROR(INDEX('Sublimits and Parts'!$C$56:$C$60,MATCH($AH70,'Sublimits and Parts'!$B$56:$B$60,0)),"?")))</f>
        <v/>
      </c>
      <c r="BU70" s="99" t="str">
        <f>IF($A70="","",IF($AI70="",1,IFERROR(INDEX('Sublimits and Parts'!$C$64:$C$67,MATCH($AI70,'Sublimits and Parts'!$B$64:$B$67,0)),"?")))</f>
        <v/>
      </c>
      <c r="BV70" s="99" t="str">
        <f>IF($A70="","",IF($AJ70="",1,IFERROR(INDEX('Sublimits and Parts'!$C$71:$C$74,MATCH($AJ70,'Sublimits and Parts'!$B$71:$B$74,0)),"?")))</f>
        <v/>
      </c>
      <c r="BW70" s="99" t="str">
        <f>IF($A70="","",IF($AK70="",1,IFERROR(INDEX('Sublimits and Parts'!$C$78:$C$80,MATCH($AK70,'Sublimits and Parts'!$B$78:$B$80,0)),"?")))</f>
        <v/>
      </c>
      <c r="BX70" s="99" t="str">
        <f>IF($A70="","",IF($AL70="",1,IFERROR(INDEX('Sublimits and Parts'!$C$84:$C$87,MATCH($AL70,'Sublimits and Parts'!$B$84:$B$87,0)),"?")))</f>
        <v/>
      </c>
      <c r="BY70" s="99" t="str">
        <f>IF($A70="","",IF($AM70="",1,IFERROR(INDEX('Sublimits and Parts'!$C$91:$C$94,MATCH($AM70,'Sublimits and Parts'!$B$91:$B$94,0)),"?")))</f>
        <v/>
      </c>
      <c r="BZ70" s="99" t="str">
        <f>IF($A70="","",IF($AN70="",1,IFERROR(INDEX('Sublimits and Parts'!$C$98:$C$101,MATCH($AN70,'Sublimits and Parts'!$B$98:$B$101,0)),"?")))</f>
        <v/>
      </c>
      <c r="CA70" s="99" t="str">
        <f>IF($A70="","",IF($AO70="",1,IFERROR(INDEX('Sublimits and Parts'!$C$105:$C$109,MATCH($AO70,'Sublimits and Parts'!$B$105:$B$109,0)),"?")))</f>
        <v/>
      </c>
      <c r="CB70" s="100" t="str">
        <f t="shared" si="15"/>
        <v/>
      </c>
      <c r="CC70" s="100" t="str">
        <f t="shared" si="16"/>
        <v/>
      </c>
      <c r="CD70" s="103" t="str">
        <f>IF($A70="","",IF(OR($CB70="?",$CC70="?"),"?",MIN($CB70*$CC70,'Technical Premium'!$C$17)))</f>
        <v/>
      </c>
      <c r="CE70" s="102" t="str">
        <f t="shared" si="17"/>
        <v/>
      </c>
      <c r="CF70" s="102" t="str">
        <f>IF($A70="","",IFERROR(INDEX('Territory Factors'!$F$6:$F$56,MATCH($K70,'Territory Factors'!$B$6:$B$56,0)),"?"))</f>
        <v/>
      </c>
      <c r="CG70" s="100" t="str">
        <f>IF($A70="","",IFERROR(INDEX('Usage and Coverage'!$C$79:$C$84,MATCH($Y70,'Usage and Coverage'!$B$79:$B$84,0)),"?"))</f>
        <v/>
      </c>
      <c r="CH70" s="102" t="str">
        <f>IFERROR(IF(ISNUMBER($CD70),$CF70*$CG70*MIN($BG70*$BA70*$BC70*$BD70*$BH70*$BF70,'Technical Premium'!$C$17),""),"")</f>
        <v/>
      </c>
      <c r="CI70" s="102" t="str">
        <f t="shared" si="18"/>
        <v/>
      </c>
      <c r="CJ70" s="102" t="str">
        <f>IFERROR($CI70*(1+'Technical Premium'!$C$5)*(1+'Technical Premium'!$C$6),"")</f>
        <v/>
      </c>
      <c r="CK70" s="102" t="str">
        <f>IFERROR($CE70*INDEX('Territory Factors'!$G$6:$G$56,MATCH($K70,'Territory Factors'!$B$6:$B$56,0))*$AU70*$AV70,"")</f>
        <v/>
      </c>
      <c r="CL70" s="102" t="str">
        <f>IFERROR(($CJ70+$CK70)*(1+'Technical Premium'!$C$7),"")</f>
        <v/>
      </c>
      <c r="CM70" s="104" t="str">
        <f>IFERROR($CL70/'Technical Premium'!$C$13,"")</f>
        <v/>
      </c>
      <c r="CN70" s="105" t="str">
        <f t="shared" si="19"/>
        <v/>
      </c>
      <c r="CO70" s="104" t="str">
        <f t="shared" si="20"/>
        <v/>
      </c>
      <c r="CP70" s="105" t="str">
        <f t="shared" si="21"/>
        <v/>
      </c>
      <c r="CQ70" s="106" t="str">
        <f t="shared" si="22"/>
        <v/>
      </c>
      <c r="CR70" s="102" t="str">
        <f>IF(ISNUMBER($CM70),'Technical Premium'!$C$14+IF($J70&gt;=1000000,'Technical Premium'!$C$15,0),"")</f>
        <v/>
      </c>
      <c r="CS70" s="102" t="str">
        <f>IFERROR(($CO70+$CR70)*(INDEX('Territory Factors'!$K$6:$K$56,MATCH($K70,'Territory Factors'!$B$6:$B$56,0))+'Commission Structure'!$C$21),"")</f>
        <v/>
      </c>
      <c r="CT70" s="104" t="str">
        <f t="shared" si="23"/>
        <v/>
      </c>
      <c r="CU70" s="102" t="str">
        <f>IFERROR($CO70*('Commission Structure'!$C$6+'Commission Structure'!$C$7),"")</f>
        <v/>
      </c>
      <c r="CV70" s="102" t="str">
        <f>IFERROR($CO70*'Commission Structure'!$C$5-$CU70,"")</f>
        <v/>
      </c>
      <c r="CW70" s="102" t="str">
        <f>IFERROR($CO70*(1-'Commission Structure'!$C$5),"")</f>
        <v/>
      </c>
      <c r="CX70" s="107"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8" t="str">
        <f t="shared" si="24"/>
        <v/>
      </c>
      <c r="CZ70" s="99" t="str">
        <f>IF($CY70="","",IF($CY70&lt;'Technical Premium'!$C$19,"BEYOND AUTHORITY",IF($CY70&gt;0.005,"Above technical",IF($CY70&lt;-0.005,"BELOW technical","At technical"))))</f>
        <v/>
      </c>
      <c r="DA70" s="99"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4"/>
      <c r="DC70" s="94"/>
      <c r="DD70" s="95"/>
      <c r="DE70" s="94"/>
      <c r="DF70" s="94"/>
      <c r="DG70" s="99" t="str">
        <f t="shared" si="25"/>
        <v/>
      </c>
      <c r="DH70" s="99" t="str">
        <f>IF($A70="","",IF(OR($CX70="REFER",$CX70="DECLINE"),COUNTIF($CX$5:$CX70,"REFER")+COUNTIF($CX$5:$CX70,"DECLINE"),""))</f>
        <v/>
      </c>
      <c r="DI70" s="94"/>
    </row>
    <row r="71" spans="1:113" x14ac:dyDescent="0.35">
      <c r="A71" s="94"/>
      <c r="B71" s="94"/>
      <c r="C71" s="95"/>
      <c r="D71" s="95"/>
      <c r="E71" s="96"/>
      <c r="F71" s="94"/>
      <c r="G71" s="94"/>
      <c r="H71" s="94"/>
      <c r="I71" s="94"/>
      <c r="J71" s="97"/>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8"/>
      <c r="AR71" s="99" t="str">
        <f t="shared" si="13"/>
        <v/>
      </c>
      <c r="AS71" s="99" t="str">
        <f>IF($A71="","",IF($AP71&lt;&gt;"",$AP71,IFERROR(INDEX('Cat Zone by ZIP'!$D$6:$D$856,MATCH($AR71,'Cat Zone by ZIP'!$B$6:$B$856,0)),IFERROR(INDEX('Cat Zone by ZIP'!$C$860:$C$910,MATCH($K71,'Cat Zone by ZIP'!$B$860:$B$910,0)),"NOT FOUND"))))</f>
        <v/>
      </c>
      <c r="AT71" s="99" t="str">
        <f>IF($A71="","",IF($AP71&lt;&gt;"","Override",IF(ISNUMBER(MATCH($AR71,'Cat Zone by ZIP'!$B$6:$B$856,0)),"ZIP-3","State default")))</f>
        <v/>
      </c>
      <c r="AU71" s="100" t="str">
        <f>IF($A71="","",IFERROR(INDEX('Natural Catastrophe'!$D$6:$D$17,MATCH($AS71,'Natural Catastrophe'!$B$6:$B$17,0)),"?"))</f>
        <v/>
      </c>
      <c r="AV71" s="100" t="str">
        <f>IF($A71="","",IFERROR(INDEX('Natural Catastrophe'!$C$21:$C$26,MATCH($AA71,'Natural Catastrophe'!$B$21:$B$26,0)),"?"))</f>
        <v/>
      </c>
      <c r="AW71" s="99" t="str">
        <f>IF($A71="","",IFERROR(INDEX('Base Rates'!$C$4:$I$4,MATCH(MAX($J71,'Technical Premium'!$C$18),'Base Rates'!$C$3:$I$3,1)),"?"))</f>
        <v/>
      </c>
      <c r="AX71" s="101" t="str">
        <f>IF($A71="","",IFERROR(INDEX('Base Rates'!$C$5:$I$16,MATCH($I71,'Base Rates'!$B$5:$B$16,0),MATCH(MAX($J71,'Technical Premium'!$C$18),'Base Rates'!$C$3:$I$3,1)),"?"))</f>
        <v/>
      </c>
      <c r="AY71" s="102" t="str">
        <f t="shared" si="14"/>
        <v/>
      </c>
      <c r="AZ71" s="99" t="str">
        <f>IF($A71="","",IFERROR(INDEX('Make Factors'!$G$5:$G$69,MATCH($F71,'Make Factors'!$B$5:$B$69,0)),"?"))</f>
        <v/>
      </c>
      <c r="BA71" s="99" t="str">
        <f>IF($A71="","",IFERROR(INDEX('Driver Factors'!$C$6:$C$15,MATCH($R71,'Driver Factors'!$B$6:$B$15,0)),"?"))</f>
        <v/>
      </c>
      <c r="BB71" s="99" t="str">
        <f>IF($A71="","",IFERROR(INDEX('Driver Factors'!$C$19:$C$24,MATCH($S71,'Driver Factors'!$B$19:$B$24,0)),"?"))</f>
        <v/>
      </c>
      <c r="BC71" s="99" t="str">
        <f>IF($A71="","",IFERROR(INDEX('Driver Factors'!$C$28:$C$36,MATCH($T71,'Driver Factors'!$B$28:$B$36,0)),"?"))</f>
        <v/>
      </c>
      <c r="BD71" s="99" t="str">
        <f>IF($A71="","",IFERROR(INDEX('Claims History'!$C$6:$C$15,MATCH($U71,'Claims History'!$B$6:$B$15,0)),"?"))</f>
        <v/>
      </c>
      <c r="BE71" s="99" t="str">
        <f>IF($A71="","",IFERROR(INDEX('Territory Factors'!$E$6:$E$56,MATCH($K71,'Territory Factors'!$B$6:$B$56,0)),"?"))</f>
        <v/>
      </c>
      <c r="BF71" s="99" t="str">
        <f>IF($A71="","",IFERROR(INDEX('City Accident Ratings'!$G$6:$G$54,MATCH($Z71,'City Accident Ratings'!$B$6:$B$54,0)),"?"))</f>
        <v/>
      </c>
      <c r="BG71" s="99" t="str">
        <f>IF($A71="","",IFERROR(INDEX('Usage and Coverage'!$D$6:$D$20,MATCH($N71,'Usage and Coverage'!$C$6:$C$20,0)),"?"))</f>
        <v/>
      </c>
      <c r="BH71" s="99" t="str">
        <f>IF($A71="","",IFERROR(INDEX('Usage and Coverage'!$C$24:$C$30,MATCH($O71,'Usage and Coverage'!$B$24:$B$30,0)),"?"))</f>
        <v/>
      </c>
      <c r="BI71" s="99" t="str">
        <f>IF($A71="","",IFERROR(INDEX('Usage and Coverage'!$C$34:$C$40,MATCH($P71,'Usage and Coverage'!$B$34:$B$40,0)),"?"))</f>
        <v/>
      </c>
      <c r="BJ71" s="99" t="str">
        <f>IF($A71="","",IFERROR(INDEX('Usage and Coverage'!$C$44:$C$49,MATCH($Q71,'Usage and Coverage'!$B$44:$B$49,0)),"?"))</f>
        <v/>
      </c>
      <c r="BK71" s="99" t="str">
        <f>IF($A71="","",IFERROR(INDEX(Deductibles!$C$6:$I$15,MATCH($W71,Deductibles!$B$6:$B$15,0),MATCH(MAX($J71,'Technical Premium'!$C$18),'Base Rates'!$C$3:$I$3,1)),"?"))</f>
        <v/>
      </c>
      <c r="BL71" s="99" t="str">
        <f>IF($A71="","",IFERROR(INDEX('Usage and Coverage'!$C$63:$C$66,MATCH($X71,'Usage and Coverage'!$B$63:$B$66,0)),"?"))</f>
        <v/>
      </c>
      <c r="BM71" s="99" t="str">
        <f>IF($A71="","",IFERROR(INDEX('Usage and Coverage'!$C$70:$C$75,MATCH($V71,'Usage and Coverage'!$B$70:$B$75,0)),"?"))</f>
        <v/>
      </c>
      <c r="BN71" s="99" t="str">
        <f>IF($A71="","",IF($AB71="",1,IFERROR(INDEX(Deductibles!$C$48:$C$51,MATCH($AB71,Deductibles!$B$48:$B$51,0)),"?")))</f>
        <v/>
      </c>
      <c r="BO71" s="99" t="str">
        <f>IF($A71="","",IF($AC71="",1,IFERROR(INDEX(Deductibles!$C$55:$C$57,MATCH($AC71,Deductibles!$B$55:$B$57,0)),"?")))</f>
        <v/>
      </c>
      <c r="BP71" s="99" t="str">
        <f>IF($A71="","",IF($AD71="",1,IFERROR(INDEX(Deductibles!$C$61:$C$63,MATCH($AD71,Deductibles!$B$61:$B$63,0)),"?")))</f>
        <v/>
      </c>
      <c r="BQ71" s="99" t="str">
        <f>IF($A71="","",IF($AE71="",1,IFERROR(INDEX(Deductibles!$C$67:$C$69,MATCH($AE71,Deductibles!$B$67:$B$69,0)),"?")))</f>
        <v/>
      </c>
      <c r="BR71" s="99" t="str">
        <f>IF($A71="","",IF($AF71="",1,IFERROR(INDEX(Deductibles!$C$73:$C$74,MATCH($AF71,Deductibles!$B$73:$B$74,0)),"?")))</f>
        <v/>
      </c>
      <c r="BS71" s="99" t="str">
        <f>IF($A71="","",IF($AG71="",1,IFERROR(INDEX('Sublimits and Parts'!$C$49:$C$52,MATCH($AG71,'Sublimits and Parts'!$B$49:$B$52,0)),"?")))</f>
        <v/>
      </c>
      <c r="BT71" s="99" t="str">
        <f>IF($A71="","",IF($AH71="",1,IFERROR(INDEX('Sublimits and Parts'!$C$56:$C$60,MATCH($AH71,'Sublimits and Parts'!$B$56:$B$60,0)),"?")))</f>
        <v/>
      </c>
      <c r="BU71" s="99" t="str">
        <f>IF($A71="","",IF($AI71="",1,IFERROR(INDEX('Sublimits and Parts'!$C$64:$C$67,MATCH($AI71,'Sublimits and Parts'!$B$64:$B$67,0)),"?")))</f>
        <v/>
      </c>
      <c r="BV71" s="99" t="str">
        <f>IF($A71="","",IF($AJ71="",1,IFERROR(INDEX('Sublimits and Parts'!$C$71:$C$74,MATCH($AJ71,'Sublimits and Parts'!$B$71:$B$74,0)),"?")))</f>
        <v/>
      </c>
      <c r="BW71" s="99" t="str">
        <f>IF($A71="","",IF($AK71="",1,IFERROR(INDEX('Sublimits and Parts'!$C$78:$C$80,MATCH($AK71,'Sublimits and Parts'!$B$78:$B$80,0)),"?")))</f>
        <v/>
      </c>
      <c r="BX71" s="99" t="str">
        <f>IF($A71="","",IF($AL71="",1,IFERROR(INDEX('Sublimits and Parts'!$C$84:$C$87,MATCH($AL71,'Sublimits and Parts'!$B$84:$B$87,0)),"?")))</f>
        <v/>
      </c>
      <c r="BY71" s="99" t="str">
        <f>IF($A71="","",IF($AM71="",1,IFERROR(INDEX('Sublimits and Parts'!$C$91:$C$94,MATCH($AM71,'Sublimits and Parts'!$B$91:$B$94,0)),"?")))</f>
        <v/>
      </c>
      <c r="BZ71" s="99" t="str">
        <f>IF($A71="","",IF($AN71="",1,IFERROR(INDEX('Sublimits and Parts'!$C$98:$C$101,MATCH($AN71,'Sublimits and Parts'!$B$98:$B$101,0)),"?")))</f>
        <v/>
      </c>
      <c r="CA71" s="99" t="str">
        <f>IF($A71="","",IF($AO71="",1,IFERROR(INDEX('Sublimits and Parts'!$C$105:$C$109,MATCH($AO71,'Sublimits and Parts'!$B$105:$B$109,0)),"?")))</f>
        <v/>
      </c>
      <c r="CB71" s="100" t="str">
        <f t="shared" si="15"/>
        <v/>
      </c>
      <c r="CC71" s="100" t="str">
        <f t="shared" si="16"/>
        <v/>
      </c>
      <c r="CD71" s="103" t="str">
        <f>IF($A71="","",IF(OR($CB71="?",$CC71="?"),"?",MIN($CB71*$CC71,'Technical Premium'!$C$17)))</f>
        <v/>
      </c>
      <c r="CE71" s="102" t="str">
        <f t="shared" si="17"/>
        <v/>
      </c>
      <c r="CF71" s="102" t="str">
        <f>IF($A71="","",IFERROR(INDEX('Territory Factors'!$F$6:$F$56,MATCH($K71,'Territory Factors'!$B$6:$B$56,0)),"?"))</f>
        <v/>
      </c>
      <c r="CG71" s="100" t="str">
        <f>IF($A71="","",IFERROR(INDEX('Usage and Coverage'!$C$79:$C$84,MATCH($Y71,'Usage and Coverage'!$B$79:$B$84,0)),"?"))</f>
        <v/>
      </c>
      <c r="CH71" s="102" t="str">
        <f>IFERROR(IF(ISNUMBER($CD71),$CF71*$CG71*MIN($BG71*$BA71*$BC71*$BD71*$BH71*$BF71,'Technical Premium'!$C$17),""),"")</f>
        <v/>
      </c>
      <c r="CI71" s="102" t="str">
        <f t="shared" si="18"/>
        <v/>
      </c>
      <c r="CJ71" s="102" t="str">
        <f>IFERROR($CI71*(1+'Technical Premium'!$C$5)*(1+'Technical Premium'!$C$6),"")</f>
        <v/>
      </c>
      <c r="CK71" s="102" t="str">
        <f>IFERROR($CE71*INDEX('Territory Factors'!$G$6:$G$56,MATCH($K71,'Territory Factors'!$B$6:$B$56,0))*$AU71*$AV71,"")</f>
        <v/>
      </c>
      <c r="CL71" s="102" t="str">
        <f>IFERROR(($CJ71+$CK71)*(1+'Technical Premium'!$C$7),"")</f>
        <v/>
      </c>
      <c r="CM71" s="104" t="str">
        <f>IFERROR($CL71/'Technical Premium'!$C$13,"")</f>
        <v/>
      </c>
      <c r="CN71" s="105" t="str">
        <f t="shared" si="19"/>
        <v/>
      </c>
      <c r="CO71" s="104" t="str">
        <f t="shared" si="20"/>
        <v/>
      </c>
      <c r="CP71" s="105" t="str">
        <f t="shared" si="21"/>
        <v/>
      </c>
      <c r="CQ71" s="106" t="str">
        <f t="shared" si="22"/>
        <v/>
      </c>
      <c r="CR71" s="102" t="str">
        <f>IF(ISNUMBER($CM71),'Technical Premium'!$C$14+IF($J71&gt;=1000000,'Technical Premium'!$C$15,0),"")</f>
        <v/>
      </c>
      <c r="CS71" s="102" t="str">
        <f>IFERROR(($CO71+$CR71)*(INDEX('Territory Factors'!$K$6:$K$56,MATCH($K71,'Territory Factors'!$B$6:$B$56,0))+'Commission Structure'!$C$21),"")</f>
        <v/>
      </c>
      <c r="CT71" s="104" t="str">
        <f t="shared" si="23"/>
        <v/>
      </c>
      <c r="CU71" s="102" t="str">
        <f>IFERROR($CO71*('Commission Structure'!$C$6+'Commission Structure'!$C$7),"")</f>
        <v/>
      </c>
      <c r="CV71" s="102" t="str">
        <f>IFERROR($CO71*'Commission Structure'!$C$5-$CU71,"")</f>
        <v/>
      </c>
      <c r="CW71" s="102" t="str">
        <f>IFERROR($CO71*(1-'Commission Structure'!$C$5),"")</f>
        <v/>
      </c>
      <c r="CX71" s="107"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8" t="str">
        <f t="shared" si="24"/>
        <v/>
      </c>
      <c r="CZ71" s="99" t="str">
        <f>IF($CY71="","",IF($CY71&lt;'Technical Premium'!$C$19,"BEYOND AUTHORITY",IF($CY71&gt;0.005,"Above technical",IF($CY71&lt;-0.005,"BELOW technical","At technical"))))</f>
        <v/>
      </c>
      <c r="DA71" s="99"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4"/>
      <c r="DC71" s="94"/>
      <c r="DD71" s="95"/>
      <c r="DE71" s="94"/>
      <c r="DF71" s="94"/>
      <c r="DG71" s="99" t="str">
        <f t="shared" si="25"/>
        <v/>
      </c>
      <c r="DH71" s="99" t="str">
        <f>IF($A71="","",IF(OR($CX71="REFER",$CX71="DECLINE"),COUNTIF($CX$5:$CX71,"REFER")+COUNTIF($CX$5:$CX71,"DECLINE"),""))</f>
        <v/>
      </c>
      <c r="DI71" s="94"/>
    </row>
    <row r="72" spans="1:113" x14ac:dyDescent="0.35">
      <c r="A72" s="94"/>
      <c r="B72" s="94"/>
      <c r="C72" s="95"/>
      <c r="D72" s="95"/>
      <c r="E72" s="96"/>
      <c r="F72" s="94"/>
      <c r="G72" s="94"/>
      <c r="H72" s="94"/>
      <c r="I72" s="94"/>
      <c r="J72" s="97"/>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8"/>
      <c r="AR72" s="99" t="str">
        <f t="shared" si="13"/>
        <v/>
      </c>
      <c r="AS72" s="99" t="str">
        <f>IF($A72="","",IF($AP72&lt;&gt;"",$AP72,IFERROR(INDEX('Cat Zone by ZIP'!$D$6:$D$856,MATCH($AR72,'Cat Zone by ZIP'!$B$6:$B$856,0)),IFERROR(INDEX('Cat Zone by ZIP'!$C$860:$C$910,MATCH($K72,'Cat Zone by ZIP'!$B$860:$B$910,0)),"NOT FOUND"))))</f>
        <v/>
      </c>
      <c r="AT72" s="99" t="str">
        <f>IF($A72="","",IF($AP72&lt;&gt;"","Override",IF(ISNUMBER(MATCH($AR72,'Cat Zone by ZIP'!$B$6:$B$856,0)),"ZIP-3","State default")))</f>
        <v/>
      </c>
      <c r="AU72" s="100" t="str">
        <f>IF($A72="","",IFERROR(INDEX('Natural Catastrophe'!$D$6:$D$17,MATCH($AS72,'Natural Catastrophe'!$B$6:$B$17,0)),"?"))</f>
        <v/>
      </c>
      <c r="AV72" s="100" t="str">
        <f>IF($A72="","",IFERROR(INDEX('Natural Catastrophe'!$C$21:$C$26,MATCH($AA72,'Natural Catastrophe'!$B$21:$B$26,0)),"?"))</f>
        <v/>
      </c>
      <c r="AW72" s="99" t="str">
        <f>IF($A72="","",IFERROR(INDEX('Base Rates'!$C$4:$I$4,MATCH(MAX($J72,'Technical Premium'!$C$18),'Base Rates'!$C$3:$I$3,1)),"?"))</f>
        <v/>
      </c>
      <c r="AX72" s="101" t="str">
        <f>IF($A72="","",IFERROR(INDEX('Base Rates'!$C$5:$I$16,MATCH($I72,'Base Rates'!$B$5:$B$16,0),MATCH(MAX($J72,'Technical Premium'!$C$18),'Base Rates'!$C$3:$I$3,1)),"?"))</f>
        <v/>
      </c>
      <c r="AY72" s="102" t="str">
        <f t="shared" si="14"/>
        <v/>
      </c>
      <c r="AZ72" s="99" t="str">
        <f>IF($A72="","",IFERROR(INDEX('Make Factors'!$G$5:$G$69,MATCH($F72,'Make Factors'!$B$5:$B$69,0)),"?"))</f>
        <v/>
      </c>
      <c r="BA72" s="99" t="str">
        <f>IF($A72="","",IFERROR(INDEX('Driver Factors'!$C$6:$C$15,MATCH($R72,'Driver Factors'!$B$6:$B$15,0)),"?"))</f>
        <v/>
      </c>
      <c r="BB72" s="99" t="str">
        <f>IF($A72="","",IFERROR(INDEX('Driver Factors'!$C$19:$C$24,MATCH($S72,'Driver Factors'!$B$19:$B$24,0)),"?"))</f>
        <v/>
      </c>
      <c r="BC72" s="99" t="str">
        <f>IF($A72="","",IFERROR(INDEX('Driver Factors'!$C$28:$C$36,MATCH($T72,'Driver Factors'!$B$28:$B$36,0)),"?"))</f>
        <v/>
      </c>
      <c r="BD72" s="99" t="str">
        <f>IF($A72="","",IFERROR(INDEX('Claims History'!$C$6:$C$15,MATCH($U72,'Claims History'!$B$6:$B$15,0)),"?"))</f>
        <v/>
      </c>
      <c r="BE72" s="99" t="str">
        <f>IF($A72="","",IFERROR(INDEX('Territory Factors'!$E$6:$E$56,MATCH($K72,'Territory Factors'!$B$6:$B$56,0)),"?"))</f>
        <v/>
      </c>
      <c r="BF72" s="99" t="str">
        <f>IF($A72="","",IFERROR(INDEX('City Accident Ratings'!$G$6:$G$54,MATCH($Z72,'City Accident Ratings'!$B$6:$B$54,0)),"?"))</f>
        <v/>
      </c>
      <c r="BG72" s="99" t="str">
        <f>IF($A72="","",IFERROR(INDEX('Usage and Coverage'!$D$6:$D$20,MATCH($N72,'Usage and Coverage'!$C$6:$C$20,0)),"?"))</f>
        <v/>
      </c>
      <c r="BH72" s="99" t="str">
        <f>IF($A72="","",IFERROR(INDEX('Usage and Coverage'!$C$24:$C$30,MATCH($O72,'Usage and Coverage'!$B$24:$B$30,0)),"?"))</f>
        <v/>
      </c>
      <c r="BI72" s="99" t="str">
        <f>IF($A72="","",IFERROR(INDEX('Usage and Coverage'!$C$34:$C$40,MATCH($P72,'Usage and Coverage'!$B$34:$B$40,0)),"?"))</f>
        <v/>
      </c>
      <c r="BJ72" s="99" t="str">
        <f>IF($A72="","",IFERROR(INDEX('Usage and Coverage'!$C$44:$C$49,MATCH($Q72,'Usage and Coverage'!$B$44:$B$49,0)),"?"))</f>
        <v/>
      </c>
      <c r="BK72" s="99" t="str">
        <f>IF($A72="","",IFERROR(INDEX(Deductibles!$C$6:$I$15,MATCH($W72,Deductibles!$B$6:$B$15,0),MATCH(MAX($J72,'Technical Premium'!$C$18),'Base Rates'!$C$3:$I$3,1)),"?"))</f>
        <v/>
      </c>
      <c r="BL72" s="99" t="str">
        <f>IF($A72="","",IFERROR(INDEX('Usage and Coverage'!$C$63:$C$66,MATCH($X72,'Usage and Coverage'!$B$63:$B$66,0)),"?"))</f>
        <v/>
      </c>
      <c r="BM72" s="99" t="str">
        <f>IF($A72="","",IFERROR(INDEX('Usage and Coverage'!$C$70:$C$75,MATCH($V72,'Usage and Coverage'!$B$70:$B$75,0)),"?"))</f>
        <v/>
      </c>
      <c r="BN72" s="99" t="str">
        <f>IF($A72="","",IF($AB72="",1,IFERROR(INDEX(Deductibles!$C$48:$C$51,MATCH($AB72,Deductibles!$B$48:$B$51,0)),"?")))</f>
        <v/>
      </c>
      <c r="BO72" s="99" t="str">
        <f>IF($A72="","",IF($AC72="",1,IFERROR(INDEX(Deductibles!$C$55:$C$57,MATCH($AC72,Deductibles!$B$55:$B$57,0)),"?")))</f>
        <v/>
      </c>
      <c r="BP72" s="99" t="str">
        <f>IF($A72="","",IF($AD72="",1,IFERROR(INDEX(Deductibles!$C$61:$C$63,MATCH($AD72,Deductibles!$B$61:$B$63,0)),"?")))</f>
        <v/>
      </c>
      <c r="BQ72" s="99" t="str">
        <f>IF($A72="","",IF($AE72="",1,IFERROR(INDEX(Deductibles!$C$67:$C$69,MATCH($AE72,Deductibles!$B$67:$B$69,0)),"?")))</f>
        <v/>
      </c>
      <c r="BR72" s="99" t="str">
        <f>IF($A72="","",IF($AF72="",1,IFERROR(INDEX(Deductibles!$C$73:$C$74,MATCH($AF72,Deductibles!$B$73:$B$74,0)),"?")))</f>
        <v/>
      </c>
      <c r="BS72" s="99" t="str">
        <f>IF($A72="","",IF($AG72="",1,IFERROR(INDEX('Sublimits and Parts'!$C$49:$C$52,MATCH($AG72,'Sublimits and Parts'!$B$49:$B$52,0)),"?")))</f>
        <v/>
      </c>
      <c r="BT72" s="99" t="str">
        <f>IF($A72="","",IF($AH72="",1,IFERROR(INDEX('Sublimits and Parts'!$C$56:$C$60,MATCH($AH72,'Sublimits and Parts'!$B$56:$B$60,0)),"?")))</f>
        <v/>
      </c>
      <c r="BU72" s="99" t="str">
        <f>IF($A72="","",IF($AI72="",1,IFERROR(INDEX('Sublimits and Parts'!$C$64:$C$67,MATCH($AI72,'Sublimits and Parts'!$B$64:$B$67,0)),"?")))</f>
        <v/>
      </c>
      <c r="BV72" s="99" t="str">
        <f>IF($A72="","",IF($AJ72="",1,IFERROR(INDEX('Sublimits and Parts'!$C$71:$C$74,MATCH($AJ72,'Sublimits and Parts'!$B$71:$B$74,0)),"?")))</f>
        <v/>
      </c>
      <c r="BW72" s="99" t="str">
        <f>IF($A72="","",IF($AK72="",1,IFERROR(INDEX('Sublimits and Parts'!$C$78:$C$80,MATCH($AK72,'Sublimits and Parts'!$B$78:$B$80,0)),"?")))</f>
        <v/>
      </c>
      <c r="BX72" s="99" t="str">
        <f>IF($A72="","",IF($AL72="",1,IFERROR(INDEX('Sublimits and Parts'!$C$84:$C$87,MATCH($AL72,'Sublimits and Parts'!$B$84:$B$87,0)),"?")))</f>
        <v/>
      </c>
      <c r="BY72" s="99" t="str">
        <f>IF($A72="","",IF($AM72="",1,IFERROR(INDEX('Sublimits and Parts'!$C$91:$C$94,MATCH($AM72,'Sublimits and Parts'!$B$91:$B$94,0)),"?")))</f>
        <v/>
      </c>
      <c r="BZ72" s="99" t="str">
        <f>IF($A72="","",IF($AN72="",1,IFERROR(INDEX('Sublimits and Parts'!$C$98:$C$101,MATCH($AN72,'Sublimits and Parts'!$B$98:$B$101,0)),"?")))</f>
        <v/>
      </c>
      <c r="CA72" s="99" t="str">
        <f>IF($A72="","",IF($AO72="",1,IFERROR(INDEX('Sublimits and Parts'!$C$105:$C$109,MATCH($AO72,'Sublimits and Parts'!$B$105:$B$109,0)),"?")))</f>
        <v/>
      </c>
      <c r="CB72" s="100" t="str">
        <f t="shared" si="15"/>
        <v/>
      </c>
      <c r="CC72" s="100" t="str">
        <f t="shared" si="16"/>
        <v/>
      </c>
      <c r="CD72" s="103" t="str">
        <f>IF($A72="","",IF(OR($CB72="?",$CC72="?"),"?",MIN($CB72*$CC72,'Technical Premium'!$C$17)))</f>
        <v/>
      </c>
      <c r="CE72" s="102" t="str">
        <f t="shared" si="17"/>
        <v/>
      </c>
      <c r="CF72" s="102" t="str">
        <f>IF($A72="","",IFERROR(INDEX('Territory Factors'!$F$6:$F$56,MATCH($K72,'Territory Factors'!$B$6:$B$56,0)),"?"))</f>
        <v/>
      </c>
      <c r="CG72" s="100" t="str">
        <f>IF($A72="","",IFERROR(INDEX('Usage and Coverage'!$C$79:$C$84,MATCH($Y72,'Usage and Coverage'!$B$79:$B$84,0)),"?"))</f>
        <v/>
      </c>
      <c r="CH72" s="102" t="str">
        <f>IFERROR(IF(ISNUMBER($CD72),$CF72*$CG72*MIN($BG72*$BA72*$BC72*$BD72*$BH72*$BF72,'Technical Premium'!$C$17),""),"")</f>
        <v/>
      </c>
      <c r="CI72" s="102" t="str">
        <f t="shared" si="18"/>
        <v/>
      </c>
      <c r="CJ72" s="102" t="str">
        <f>IFERROR($CI72*(1+'Technical Premium'!$C$5)*(1+'Technical Premium'!$C$6),"")</f>
        <v/>
      </c>
      <c r="CK72" s="102" t="str">
        <f>IFERROR($CE72*INDEX('Territory Factors'!$G$6:$G$56,MATCH($K72,'Territory Factors'!$B$6:$B$56,0))*$AU72*$AV72,"")</f>
        <v/>
      </c>
      <c r="CL72" s="102" t="str">
        <f>IFERROR(($CJ72+$CK72)*(1+'Technical Premium'!$C$7),"")</f>
        <v/>
      </c>
      <c r="CM72" s="104" t="str">
        <f>IFERROR($CL72/'Technical Premium'!$C$13,"")</f>
        <v/>
      </c>
      <c r="CN72" s="105" t="str">
        <f t="shared" si="19"/>
        <v/>
      </c>
      <c r="CO72" s="104" t="str">
        <f t="shared" si="20"/>
        <v/>
      </c>
      <c r="CP72" s="105" t="str">
        <f t="shared" si="21"/>
        <v/>
      </c>
      <c r="CQ72" s="106" t="str">
        <f t="shared" si="22"/>
        <v/>
      </c>
      <c r="CR72" s="102" t="str">
        <f>IF(ISNUMBER($CM72),'Technical Premium'!$C$14+IF($J72&gt;=1000000,'Technical Premium'!$C$15,0),"")</f>
        <v/>
      </c>
      <c r="CS72" s="102" t="str">
        <f>IFERROR(($CO72+$CR72)*(INDEX('Territory Factors'!$K$6:$K$56,MATCH($K72,'Territory Factors'!$B$6:$B$56,0))+'Commission Structure'!$C$21),"")</f>
        <v/>
      </c>
      <c r="CT72" s="104" t="str">
        <f t="shared" si="23"/>
        <v/>
      </c>
      <c r="CU72" s="102" t="str">
        <f>IFERROR($CO72*('Commission Structure'!$C$6+'Commission Structure'!$C$7),"")</f>
        <v/>
      </c>
      <c r="CV72" s="102" t="str">
        <f>IFERROR($CO72*'Commission Structure'!$C$5-$CU72,"")</f>
        <v/>
      </c>
      <c r="CW72" s="102" t="str">
        <f>IFERROR($CO72*(1-'Commission Structure'!$C$5),"")</f>
        <v/>
      </c>
      <c r="CX72" s="107"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8" t="str">
        <f t="shared" si="24"/>
        <v/>
      </c>
      <c r="CZ72" s="99" t="str">
        <f>IF($CY72="","",IF($CY72&lt;'Technical Premium'!$C$19,"BEYOND AUTHORITY",IF($CY72&gt;0.005,"Above technical",IF($CY72&lt;-0.005,"BELOW technical","At technical"))))</f>
        <v/>
      </c>
      <c r="DA72" s="99"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4"/>
      <c r="DC72" s="94"/>
      <c r="DD72" s="95"/>
      <c r="DE72" s="94"/>
      <c r="DF72" s="94"/>
      <c r="DG72" s="99" t="str">
        <f t="shared" si="25"/>
        <v/>
      </c>
      <c r="DH72" s="99" t="str">
        <f>IF($A72="","",IF(OR($CX72="REFER",$CX72="DECLINE"),COUNTIF($CX$5:$CX72,"REFER")+COUNTIF($CX$5:$CX72,"DECLINE"),""))</f>
        <v/>
      </c>
      <c r="DI72" s="94"/>
    </row>
    <row r="73" spans="1:113" x14ac:dyDescent="0.35">
      <c r="A73" s="94"/>
      <c r="B73" s="94"/>
      <c r="C73" s="95"/>
      <c r="D73" s="95"/>
      <c r="E73" s="96"/>
      <c r="F73" s="94"/>
      <c r="G73" s="94"/>
      <c r="H73" s="94"/>
      <c r="I73" s="94"/>
      <c r="J73" s="97"/>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8"/>
      <c r="AR73" s="99" t="str">
        <f t="shared" si="13"/>
        <v/>
      </c>
      <c r="AS73" s="99" t="str">
        <f>IF($A73="","",IF($AP73&lt;&gt;"",$AP73,IFERROR(INDEX('Cat Zone by ZIP'!$D$6:$D$856,MATCH($AR73,'Cat Zone by ZIP'!$B$6:$B$856,0)),IFERROR(INDEX('Cat Zone by ZIP'!$C$860:$C$910,MATCH($K73,'Cat Zone by ZIP'!$B$860:$B$910,0)),"NOT FOUND"))))</f>
        <v/>
      </c>
      <c r="AT73" s="99" t="str">
        <f>IF($A73="","",IF($AP73&lt;&gt;"","Override",IF(ISNUMBER(MATCH($AR73,'Cat Zone by ZIP'!$B$6:$B$856,0)),"ZIP-3","State default")))</f>
        <v/>
      </c>
      <c r="AU73" s="100" t="str">
        <f>IF($A73="","",IFERROR(INDEX('Natural Catastrophe'!$D$6:$D$17,MATCH($AS73,'Natural Catastrophe'!$B$6:$B$17,0)),"?"))</f>
        <v/>
      </c>
      <c r="AV73" s="100" t="str">
        <f>IF($A73="","",IFERROR(INDEX('Natural Catastrophe'!$C$21:$C$26,MATCH($AA73,'Natural Catastrophe'!$B$21:$B$26,0)),"?"))</f>
        <v/>
      </c>
      <c r="AW73" s="99" t="str">
        <f>IF($A73="","",IFERROR(INDEX('Base Rates'!$C$4:$I$4,MATCH(MAX($J73,'Technical Premium'!$C$18),'Base Rates'!$C$3:$I$3,1)),"?"))</f>
        <v/>
      </c>
      <c r="AX73" s="101" t="str">
        <f>IF($A73="","",IFERROR(INDEX('Base Rates'!$C$5:$I$16,MATCH($I73,'Base Rates'!$B$5:$B$16,0),MATCH(MAX($J73,'Technical Premium'!$C$18),'Base Rates'!$C$3:$I$3,1)),"?"))</f>
        <v/>
      </c>
      <c r="AY73" s="102" t="str">
        <f t="shared" si="14"/>
        <v/>
      </c>
      <c r="AZ73" s="99" t="str">
        <f>IF($A73="","",IFERROR(INDEX('Make Factors'!$G$5:$G$69,MATCH($F73,'Make Factors'!$B$5:$B$69,0)),"?"))</f>
        <v/>
      </c>
      <c r="BA73" s="99" t="str">
        <f>IF($A73="","",IFERROR(INDEX('Driver Factors'!$C$6:$C$15,MATCH($R73,'Driver Factors'!$B$6:$B$15,0)),"?"))</f>
        <v/>
      </c>
      <c r="BB73" s="99" t="str">
        <f>IF($A73="","",IFERROR(INDEX('Driver Factors'!$C$19:$C$24,MATCH($S73,'Driver Factors'!$B$19:$B$24,0)),"?"))</f>
        <v/>
      </c>
      <c r="BC73" s="99" t="str">
        <f>IF($A73="","",IFERROR(INDEX('Driver Factors'!$C$28:$C$36,MATCH($T73,'Driver Factors'!$B$28:$B$36,0)),"?"))</f>
        <v/>
      </c>
      <c r="BD73" s="99" t="str">
        <f>IF($A73="","",IFERROR(INDEX('Claims History'!$C$6:$C$15,MATCH($U73,'Claims History'!$B$6:$B$15,0)),"?"))</f>
        <v/>
      </c>
      <c r="BE73" s="99" t="str">
        <f>IF($A73="","",IFERROR(INDEX('Territory Factors'!$E$6:$E$56,MATCH($K73,'Territory Factors'!$B$6:$B$56,0)),"?"))</f>
        <v/>
      </c>
      <c r="BF73" s="99" t="str">
        <f>IF($A73="","",IFERROR(INDEX('City Accident Ratings'!$G$6:$G$54,MATCH($Z73,'City Accident Ratings'!$B$6:$B$54,0)),"?"))</f>
        <v/>
      </c>
      <c r="BG73" s="99" t="str">
        <f>IF($A73="","",IFERROR(INDEX('Usage and Coverage'!$D$6:$D$20,MATCH($N73,'Usage and Coverage'!$C$6:$C$20,0)),"?"))</f>
        <v/>
      </c>
      <c r="BH73" s="99" t="str">
        <f>IF($A73="","",IFERROR(INDEX('Usage and Coverage'!$C$24:$C$30,MATCH($O73,'Usage and Coverage'!$B$24:$B$30,0)),"?"))</f>
        <v/>
      </c>
      <c r="BI73" s="99" t="str">
        <f>IF($A73="","",IFERROR(INDEX('Usage and Coverage'!$C$34:$C$40,MATCH($P73,'Usage and Coverage'!$B$34:$B$40,0)),"?"))</f>
        <v/>
      </c>
      <c r="BJ73" s="99" t="str">
        <f>IF($A73="","",IFERROR(INDEX('Usage and Coverage'!$C$44:$C$49,MATCH($Q73,'Usage and Coverage'!$B$44:$B$49,0)),"?"))</f>
        <v/>
      </c>
      <c r="BK73" s="99" t="str">
        <f>IF($A73="","",IFERROR(INDEX(Deductibles!$C$6:$I$15,MATCH($W73,Deductibles!$B$6:$B$15,0),MATCH(MAX($J73,'Technical Premium'!$C$18),'Base Rates'!$C$3:$I$3,1)),"?"))</f>
        <v/>
      </c>
      <c r="BL73" s="99" t="str">
        <f>IF($A73="","",IFERROR(INDEX('Usage and Coverage'!$C$63:$C$66,MATCH($X73,'Usage and Coverage'!$B$63:$B$66,0)),"?"))</f>
        <v/>
      </c>
      <c r="BM73" s="99" t="str">
        <f>IF($A73="","",IFERROR(INDEX('Usage and Coverage'!$C$70:$C$75,MATCH($V73,'Usage and Coverage'!$B$70:$B$75,0)),"?"))</f>
        <v/>
      </c>
      <c r="BN73" s="99" t="str">
        <f>IF($A73="","",IF($AB73="",1,IFERROR(INDEX(Deductibles!$C$48:$C$51,MATCH($AB73,Deductibles!$B$48:$B$51,0)),"?")))</f>
        <v/>
      </c>
      <c r="BO73" s="99" t="str">
        <f>IF($A73="","",IF($AC73="",1,IFERROR(INDEX(Deductibles!$C$55:$C$57,MATCH($AC73,Deductibles!$B$55:$B$57,0)),"?")))</f>
        <v/>
      </c>
      <c r="BP73" s="99" t="str">
        <f>IF($A73="","",IF($AD73="",1,IFERROR(INDEX(Deductibles!$C$61:$C$63,MATCH($AD73,Deductibles!$B$61:$B$63,0)),"?")))</f>
        <v/>
      </c>
      <c r="BQ73" s="99" t="str">
        <f>IF($A73="","",IF($AE73="",1,IFERROR(INDEX(Deductibles!$C$67:$C$69,MATCH($AE73,Deductibles!$B$67:$B$69,0)),"?")))</f>
        <v/>
      </c>
      <c r="BR73" s="99" t="str">
        <f>IF($A73="","",IF($AF73="",1,IFERROR(INDEX(Deductibles!$C$73:$C$74,MATCH($AF73,Deductibles!$B$73:$B$74,0)),"?")))</f>
        <v/>
      </c>
      <c r="BS73" s="99" t="str">
        <f>IF($A73="","",IF($AG73="",1,IFERROR(INDEX('Sublimits and Parts'!$C$49:$C$52,MATCH($AG73,'Sublimits and Parts'!$B$49:$B$52,0)),"?")))</f>
        <v/>
      </c>
      <c r="BT73" s="99" t="str">
        <f>IF($A73="","",IF($AH73="",1,IFERROR(INDEX('Sublimits and Parts'!$C$56:$C$60,MATCH($AH73,'Sublimits and Parts'!$B$56:$B$60,0)),"?")))</f>
        <v/>
      </c>
      <c r="BU73" s="99" t="str">
        <f>IF($A73="","",IF($AI73="",1,IFERROR(INDEX('Sublimits and Parts'!$C$64:$C$67,MATCH($AI73,'Sublimits and Parts'!$B$64:$B$67,0)),"?")))</f>
        <v/>
      </c>
      <c r="BV73" s="99" t="str">
        <f>IF($A73="","",IF($AJ73="",1,IFERROR(INDEX('Sublimits and Parts'!$C$71:$C$74,MATCH($AJ73,'Sublimits and Parts'!$B$71:$B$74,0)),"?")))</f>
        <v/>
      </c>
      <c r="BW73" s="99" t="str">
        <f>IF($A73="","",IF($AK73="",1,IFERROR(INDEX('Sublimits and Parts'!$C$78:$C$80,MATCH($AK73,'Sublimits and Parts'!$B$78:$B$80,0)),"?")))</f>
        <v/>
      </c>
      <c r="BX73" s="99" t="str">
        <f>IF($A73="","",IF($AL73="",1,IFERROR(INDEX('Sublimits and Parts'!$C$84:$C$87,MATCH($AL73,'Sublimits and Parts'!$B$84:$B$87,0)),"?")))</f>
        <v/>
      </c>
      <c r="BY73" s="99" t="str">
        <f>IF($A73="","",IF($AM73="",1,IFERROR(INDEX('Sublimits and Parts'!$C$91:$C$94,MATCH($AM73,'Sublimits and Parts'!$B$91:$B$94,0)),"?")))</f>
        <v/>
      </c>
      <c r="BZ73" s="99" t="str">
        <f>IF($A73="","",IF($AN73="",1,IFERROR(INDEX('Sublimits and Parts'!$C$98:$C$101,MATCH($AN73,'Sublimits and Parts'!$B$98:$B$101,0)),"?")))</f>
        <v/>
      </c>
      <c r="CA73" s="99" t="str">
        <f>IF($A73="","",IF($AO73="",1,IFERROR(INDEX('Sublimits and Parts'!$C$105:$C$109,MATCH($AO73,'Sublimits and Parts'!$B$105:$B$109,0)),"?")))</f>
        <v/>
      </c>
      <c r="CB73" s="100" t="str">
        <f t="shared" si="15"/>
        <v/>
      </c>
      <c r="CC73" s="100" t="str">
        <f t="shared" si="16"/>
        <v/>
      </c>
      <c r="CD73" s="103" t="str">
        <f>IF($A73="","",IF(OR($CB73="?",$CC73="?"),"?",MIN($CB73*$CC73,'Technical Premium'!$C$17)))</f>
        <v/>
      </c>
      <c r="CE73" s="102" t="str">
        <f t="shared" si="17"/>
        <v/>
      </c>
      <c r="CF73" s="102" t="str">
        <f>IF($A73="","",IFERROR(INDEX('Territory Factors'!$F$6:$F$56,MATCH($K73,'Territory Factors'!$B$6:$B$56,0)),"?"))</f>
        <v/>
      </c>
      <c r="CG73" s="100" t="str">
        <f>IF($A73="","",IFERROR(INDEX('Usage and Coverage'!$C$79:$C$84,MATCH($Y73,'Usage and Coverage'!$B$79:$B$84,0)),"?"))</f>
        <v/>
      </c>
      <c r="CH73" s="102" t="str">
        <f>IFERROR(IF(ISNUMBER($CD73),$CF73*$CG73*MIN($BG73*$BA73*$BC73*$BD73*$BH73*$BF73,'Technical Premium'!$C$17),""),"")</f>
        <v/>
      </c>
      <c r="CI73" s="102" t="str">
        <f t="shared" si="18"/>
        <v/>
      </c>
      <c r="CJ73" s="102" t="str">
        <f>IFERROR($CI73*(1+'Technical Premium'!$C$5)*(1+'Technical Premium'!$C$6),"")</f>
        <v/>
      </c>
      <c r="CK73" s="102" t="str">
        <f>IFERROR($CE73*INDEX('Territory Factors'!$G$6:$G$56,MATCH($K73,'Territory Factors'!$B$6:$B$56,0))*$AU73*$AV73,"")</f>
        <v/>
      </c>
      <c r="CL73" s="102" t="str">
        <f>IFERROR(($CJ73+$CK73)*(1+'Technical Premium'!$C$7),"")</f>
        <v/>
      </c>
      <c r="CM73" s="104" t="str">
        <f>IFERROR($CL73/'Technical Premium'!$C$13,"")</f>
        <v/>
      </c>
      <c r="CN73" s="105" t="str">
        <f t="shared" si="19"/>
        <v/>
      </c>
      <c r="CO73" s="104" t="str">
        <f t="shared" si="20"/>
        <v/>
      </c>
      <c r="CP73" s="105" t="str">
        <f t="shared" si="21"/>
        <v/>
      </c>
      <c r="CQ73" s="106" t="str">
        <f t="shared" si="22"/>
        <v/>
      </c>
      <c r="CR73" s="102" t="str">
        <f>IF(ISNUMBER($CM73),'Technical Premium'!$C$14+IF($J73&gt;=1000000,'Technical Premium'!$C$15,0),"")</f>
        <v/>
      </c>
      <c r="CS73" s="102" t="str">
        <f>IFERROR(($CO73+$CR73)*(INDEX('Territory Factors'!$K$6:$K$56,MATCH($K73,'Territory Factors'!$B$6:$B$56,0))+'Commission Structure'!$C$21),"")</f>
        <v/>
      </c>
      <c r="CT73" s="104" t="str">
        <f t="shared" si="23"/>
        <v/>
      </c>
      <c r="CU73" s="102" t="str">
        <f>IFERROR($CO73*('Commission Structure'!$C$6+'Commission Structure'!$C$7),"")</f>
        <v/>
      </c>
      <c r="CV73" s="102" t="str">
        <f>IFERROR($CO73*'Commission Structure'!$C$5-$CU73,"")</f>
        <v/>
      </c>
      <c r="CW73" s="102" t="str">
        <f>IFERROR($CO73*(1-'Commission Structure'!$C$5),"")</f>
        <v/>
      </c>
      <c r="CX73" s="107"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8" t="str">
        <f t="shared" si="24"/>
        <v/>
      </c>
      <c r="CZ73" s="99" t="str">
        <f>IF($CY73="","",IF($CY73&lt;'Technical Premium'!$C$19,"BEYOND AUTHORITY",IF($CY73&gt;0.005,"Above technical",IF($CY73&lt;-0.005,"BELOW technical","At technical"))))</f>
        <v/>
      </c>
      <c r="DA73" s="99"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4"/>
      <c r="DC73" s="94"/>
      <c r="DD73" s="95"/>
      <c r="DE73" s="94"/>
      <c r="DF73" s="94"/>
      <c r="DG73" s="99" t="str">
        <f t="shared" si="25"/>
        <v/>
      </c>
      <c r="DH73" s="99" t="str">
        <f>IF($A73="","",IF(OR($CX73="REFER",$CX73="DECLINE"),COUNTIF($CX$5:$CX73,"REFER")+COUNTIF($CX$5:$CX73,"DECLINE"),""))</f>
        <v/>
      </c>
      <c r="DI73" s="94"/>
    </row>
    <row r="74" spans="1:113" x14ac:dyDescent="0.35">
      <c r="A74" s="94"/>
      <c r="B74" s="94"/>
      <c r="C74" s="95"/>
      <c r="D74" s="95"/>
      <c r="E74" s="96"/>
      <c r="F74" s="94"/>
      <c r="G74" s="94"/>
      <c r="H74" s="94"/>
      <c r="I74" s="94"/>
      <c r="J74" s="97"/>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8"/>
      <c r="AR74" s="99" t="str">
        <f t="shared" si="13"/>
        <v/>
      </c>
      <c r="AS74" s="99" t="str">
        <f>IF($A74="","",IF($AP74&lt;&gt;"",$AP74,IFERROR(INDEX('Cat Zone by ZIP'!$D$6:$D$856,MATCH($AR74,'Cat Zone by ZIP'!$B$6:$B$856,0)),IFERROR(INDEX('Cat Zone by ZIP'!$C$860:$C$910,MATCH($K74,'Cat Zone by ZIP'!$B$860:$B$910,0)),"NOT FOUND"))))</f>
        <v/>
      </c>
      <c r="AT74" s="99" t="str">
        <f>IF($A74="","",IF($AP74&lt;&gt;"","Override",IF(ISNUMBER(MATCH($AR74,'Cat Zone by ZIP'!$B$6:$B$856,0)),"ZIP-3","State default")))</f>
        <v/>
      </c>
      <c r="AU74" s="100" t="str">
        <f>IF($A74="","",IFERROR(INDEX('Natural Catastrophe'!$D$6:$D$17,MATCH($AS74,'Natural Catastrophe'!$B$6:$B$17,0)),"?"))</f>
        <v/>
      </c>
      <c r="AV74" s="100" t="str">
        <f>IF($A74="","",IFERROR(INDEX('Natural Catastrophe'!$C$21:$C$26,MATCH($AA74,'Natural Catastrophe'!$B$21:$B$26,0)),"?"))</f>
        <v/>
      </c>
      <c r="AW74" s="99" t="str">
        <f>IF($A74="","",IFERROR(INDEX('Base Rates'!$C$4:$I$4,MATCH(MAX($J74,'Technical Premium'!$C$18),'Base Rates'!$C$3:$I$3,1)),"?"))</f>
        <v/>
      </c>
      <c r="AX74" s="101" t="str">
        <f>IF($A74="","",IFERROR(INDEX('Base Rates'!$C$5:$I$16,MATCH($I74,'Base Rates'!$B$5:$B$16,0),MATCH(MAX($J74,'Technical Premium'!$C$18),'Base Rates'!$C$3:$I$3,1)),"?"))</f>
        <v/>
      </c>
      <c r="AY74" s="102" t="str">
        <f t="shared" si="14"/>
        <v/>
      </c>
      <c r="AZ74" s="99" t="str">
        <f>IF($A74="","",IFERROR(INDEX('Make Factors'!$G$5:$G$69,MATCH($F74,'Make Factors'!$B$5:$B$69,0)),"?"))</f>
        <v/>
      </c>
      <c r="BA74" s="99" t="str">
        <f>IF($A74="","",IFERROR(INDEX('Driver Factors'!$C$6:$C$15,MATCH($R74,'Driver Factors'!$B$6:$B$15,0)),"?"))</f>
        <v/>
      </c>
      <c r="BB74" s="99" t="str">
        <f>IF($A74="","",IFERROR(INDEX('Driver Factors'!$C$19:$C$24,MATCH($S74,'Driver Factors'!$B$19:$B$24,0)),"?"))</f>
        <v/>
      </c>
      <c r="BC74" s="99" t="str">
        <f>IF($A74="","",IFERROR(INDEX('Driver Factors'!$C$28:$C$36,MATCH($T74,'Driver Factors'!$B$28:$B$36,0)),"?"))</f>
        <v/>
      </c>
      <c r="BD74" s="99" t="str">
        <f>IF($A74="","",IFERROR(INDEX('Claims History'!$C$6:$C$15,MATCH($U74,'Claims History'!$B$6:$B$15,0)),"?"))</f>
        <v/>
      </c>
      <c r="BE74" s="99" t="str">
        <f>IF($A74="","",IFERROR(INDEX('Territory Factors'!$E$6:$E$56,MATCH($K74,'Territory Factors'!$B$6:$B$56,0)),"?"))</f>
        <v/>
      </c>
      <c r="BF74" s="99" t="str">
        <f>IF($A74="","",IFERROR(INDEX('City Accident Ratings'!$G$6:$G$54,MATCH($Z74,'City Accident Ratings'!$B$6:$B$54,0)),"?"))</f>
        <v/>
      </c>
      <c r="BG74" s="99" t="str">
        <f>IF($A74="","",IFERROR(INDEX('Usage and Coverage'!$D$6:$D$20,MATCH($N74,'Usage and Coverage'!$C$6:$C$20,0)),"?"))</f>
        <v/>
      </c>
      <c r="BH74" s="99" t="str">
        <f>IF($A74="","",IFERROR(INDEX('Usage and Coverage'!$C$24:$C$30,MATCH($O74,'Usage and Coverage'!$B$24:$B$30,0)),"?"))</f>
        <v/>
      </c>
      <c r="BI74" s="99" t="str">
        <f>IF($A74="","",IFERROR(INDEX('Usage and Coverage'!$C$34:$C$40,MATCH($P74,'Usage and Coverage'!$B$34:$B$40,0)),"?"))</f>
        <v/>
      </c>
      <c r="BJ74" s="99" t="str">
        <f>IF($A74="","",IFERROR(INDEX('Usage and Coverage'!$C$44:$C$49,MATCH($Q74,'Usage and Coverage'!$B$44:$B$49,0)),"?"))</f>
        <v/>
      </c>
      <c r="BK74" s="99" t="str">
        <f>IF($A74="","",IFERROR(INDEX(Deductibles!$C$6:$I$15,MATCH($W74,Deductibles!$B$6:$B$15,0),MATCH(MAX($J74,'Technical Premium'!$C$18),'Base Rates'!$C$3:$I$3,1)),"?"))</f>
        <v/>
      </c>
      <c r="BL74" s="99" t="str">
        <f>IF($A74="","",IFERROR(INDEX('Usage and Coverage'!$C$63:$C$66,MATCH($X74,'Usage and Coverage'!$B$63:$B$66,0)),"?"))</f>
        <v/>
      </c>
      <c r="BM74" s="99" t="str">
        <f>IF($A74="","",IFERROR(INDEX('Usage and Coverage'!$C$70:$C$75,MATCH($V74,'Usage and Coverage'!$B$70:$B$75,0)),"?"))</f>
        <v/>
      </c>
      <c r="BN74" s="99" t="str">
        <f>IF($A74="","",IF($AB74="",1,IFERROR(INDEX(Deductibles!$C$48:$C$51,MATCH($AB74,Deductibles!$B$48:$B$51,0)),"?")))</f>
        <v/>
      </c>
      <c r="BO74" s="99" t="str">
        <f>IF($A74="","",IF($AC74="",1,IFERROR(INDEX(Deductibles!$C$55:$C$57,MATCH($AC74,Deductibles!$B$55:$B$57,0)),"?")))</f>
        <v/>
      </c>
      <c r="BP74" s="99" t="str">
        <f>IF($A74="","",IF($AD74="",1,IFERROR(INDEX(Deductibles!$C$61:$C$63,MATCH($AD74,Deductibles!$B$61:$B$63,0)),"?")))</f>
        <v/>
      </c>
      <c r="BQ74" s="99" t="str">
        <f>IF($A74="","",IF($AE74="",1,IFERROR(INDEX(Deductibles!$C$67:$C$69,MATCH($AE74,Deductibles!$B$67:$B$69,0)),"?")))</f>
        <v/>
      </c>
      <c r="BR74" s="99" t="str">
        <f>IF($A74="","",IF($AF74="",1,IFERROR(INDEX(Deductibles!$C$73:$C$74,MATCH($AF74,Deductibles!$B$73:$B$74,0)),"?")))</f>
        <v/>
      </c>
      <c r="BS74" s="99" t="str">
        <f>IF($A74="","",IF($AG74="",1,IFERROR(INDEX('Sublimits and Parts'!$C$49:$C$52,MATCH($AG74,'Sublimits and Parts'!$B$49:$B$52,0)),"?")))</f>
        <v/>
      </c>
      <c r="BT74" s="99" t="str">
        <f>IF($A74="","",IF($AH74="",1,IFERROR(INDEX('Sublimits and Parts'!$C$56:$C$60,MATCH($AH74,'Sublimits and Parts'!$B$56:$B$60,0)),"?")))</f>
        <v/>
      </c>
      <c r="BU74" s="99" t="str">
        <f>IF($A74="","",IF($AI74="",1,IFERROR(INDEX('Sublimits and Parts'!$C$64:$C$67,MATCH($AI74,'Sublimits and Parts'!$B$64:$B$67,0)),"?")))</f>
        <v/>
      </c>
      <c r="BV74" s="99" t="str">
        <f>IF($A74="","",IF($AJ74="",1,IFERROR(INDEX('Sublimits and Parts'!$C$71:$C$74,MATCH($AJ74,'Sublimits and Parts'!$B$71:$B$74,0)),"?")))</f>
        <v/>
      </c>
      <c r="BW74" s="99" t="str">
        <f>IF($A74="","",IF($AK74="",1,IFERROR(INDEX('Sublimits and Parts'!$C$78:$C$80,MATCH($AK74,'Sublimits and Parts'!$B$78:$B$80,0)),"?")))</f>
        <v/>
      </c>
      <c r="BX74" s="99" t="str">
        <f>IF($A74="","",IF($AL74="",1,IFERROR(INDEX('Sublimits and Parts'!$C$84:$C$87,MATCH($AL74,'Sublimits and Parts'!$B$84:$B$87,0)),"?")))</f>
        <v/>
      </c>
      <c r="BY74" s="99" t="str">
        <f>IF($A74="","",IF($AM74="",1,IFERROR(INDEX('Sublimits and Parts'!$C$91:$C$94,MATCH($AM74,'Sublimits and Parts'!$B$91:$B$94,0)),"?")))</f>
        <v/>
      </c>
      <c r="BZ74" s="99" t="str">
        <f>IF($A74="","",IF($AN74="",1,IFERROR(INDEX('Sublimits and Parts'!$C$98:$C$101,MATCH($AN74,'Sublimits and Parts'!$B$98:$B$101,0)),"?")))</f>
        <v/>
      </c>
      <c r="CA74" s="99" t="str">
        <f>IF($A74="","",IF($AO74="",1,IFERROR(INDEX('Sublimits and Parts'!$C$105:$C$109,MATCH($AO74,'Sublimits and Parts'!$B$105:$B$109,0)),"?")))</f>
        <v/>
      </c>
      <c r="CB74" s="100" t="str">
        <f t="shared" si="15"/>
        <v/>
      </c>
      <c r="CC74" s="100" t="str">
        <f t="shared" si="16"/>
        <v/>
      </c>
      <c r="CD74" s="103" t="str">
        <f>IF($A74="","",IF(OR($CB74="?",$CC74="?"),"?",MIN($CB74*$CC74,'Technical Premium'!$C$17)))</f>
        <v/>
      </c>
      <c r="CE74" s="102" t="str">
        <f t="shared" si="17"/>
        <v/>
      </c>
      <c r="CF74" s="102" t="str">
        <f>IF($A74="","",IFERROR(INDEX('Territory Factors'!$F$6:$F$56,MATCH($K74,'Territory Factors'!$B$6:$B$56,0)),"?"))</f>
        <v/>
      </c>
      <c r="CG74" s="100" t="str">
        <f>IF($A74="","",IFERROR(INDEX('Usage and Coverage'!$C$79:$C$84,MATCH($Y74,'Usage and Coverage'!$B$79:$B$84,0)),"?"))</f>
        <v/>
      </c>
      <c r="CH74" s="102" t="str">
        <f>IFERROR(IF(ISNUMBER($CD74),$CF74*$CG74*MIN($BG74*$BA74*$BC74*$BD74*$BH74*$BF74,'Technical Premium'!$C$17),""),"")</f>
        <v/>
      </c>
      <c r="CI74" s="102" t="str">
        <f t="shared" si="18"/>
        <v/>
      </c>
      <c r="CJ74" s="102" t="str">
        <f>IFERROR($CI74*(1+'Technical Premium'!$C$5)*(1+'Technical Premium'!$C$6),"")</f>
        <v/>
      </c>
      <c r="CK74" s="102" t="str">
        <f>IFERROR($CE74*INDEX('Territory Factors'!$G$6:$G$56,MATCH($K74,'Territory Factors'!$B$6:$B$56,0))*$AU74*$AV74,"")</f>
        <v/>
      </c>
      <c r="CL74" s="102" t="str">
        <f>IFERROR(($CJ74+$CK74)*(1+'Technical Premium'!$C$7),"")</f>
        <v/>
      </c>
      <c r="CM74" s="104" t="str">
        <f>IFERROR($CL74/'Technical Premium'!$C$13,"")</f>
        <v/>
      </c>
      <c r="CN74" s="105" t="str">
        <f t="shared" si="19"/>
        <v/>
      </c>
      <c r="CO74" s="104" t="str">
        <f t="shared" si="20"/>
        <v/>
      </c>
      <c r="CP74" s="105" t="str">
        <f t="shared" si="21"/>
        <v/>
      </c>
      <c r="CQ74" s="106" t="str">
        <f t="shared" si="22"/>
        <v/>
      </c>
      <c r="CR74" s="102" t="str">
        <f>IF(ISNUMBER($CM74),'Technical Premium'!$C$14+IF($J74&gt;=1000000,'Technical Premium'!$C$15,0),"")</f>
        <v/>
      </c>
      <c r="CS74" s="102" t="str">
        <f>IFERROR(($CO74+$CR74)*(INDEX('Territory Factors'!$K$6:$K$56,MATCH($K74,'Territory Factors'!$B$6:$B$56,0))+'Commission Structure'!$C$21),"")</f>
        <v/>
      </c>
      <c r="CT74" s="104" t="str">
        <f t="shared" si="23"/>
        <v/>
      </c>
      <c r="CU74" s="102" t="str">
        <f>IFERROR($CO74*('Commission Structure'!$C$6+'Commission Structure'!$C$7),"")</f>
        <v/>
      </c>
      <c r="CV74" s="102" t="str">
        <f>IFERROR($CO74*'Commission Structure'!$C$5-$CU74,"")</f>
        <v/>
      </c>
      <c r="CW74" s="102" t="str">
        <f>IFERROR($CO74*(1-'Commission Structure'!$C$5),"")</f>
        <v/>
      </c>
      <c r="CX74" s="107"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8" t="str">
        <f t="shared" si="24"/>
        <v/>
      </c>
      <c r="CZ74" s="99" t="str">
        <f>IF($CY74="","",IF($CY74&lt;'Technical Premium'!$C$19,"BEYOND AUTHORITY",IF($CY74&gt;0.005,"Above technical",IF($CY74&lt;-0.005,"BELOW technical","At technical"))))</f>
        <v/>
      </c>
      <c r="DA74" s="99"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4"/>
      <c r="DC74" s="94"/>
      <c r="DD74" s="95"/>
      <c r="DE74" s="94"/>
      <c r="DF74" s="94"/>
      <c r="DG74" s="99" t="str">
        <f t="shared" si="25"/>
        <v/>
      </c>
      <c r="DH74" s="99" t="str">
        <f>IF($A74="","",IF(OR($CX74="REFER",$CX74="DECLINE"),COUNTIF($CX$5:$CX74,"REFER")+COUNTIF($CX$5:$CX74,"DECLINE"),""))</f>
        <v/>
      </c>
      <c r="DI74" s="94"/>
    </row>
    <row r="75" spans="1:113" x14ac:dyDescent="0.35">
      <c r="A75" s="94"/>
      <c r="B75" s="94"/>
      <c r="C75" s="95"/>
      <c r="D75" s="95"/>
      <c r="E75" s="96"/>
      <c r="F75" s="94"/>
      <c r="G75" s="94"/>
      <c r="H75" s="94"/>
      <c r="I75" s="94"/>
      <c r="J75" s="97"/>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8"/>
      <c r="AR75" s="99" t="str">
        <f t="shared" si="13"/>
        <v/>
      </c>
      <c r="AS75" s="99" t="str">
        <f>IF($A75="","",IF($AP75&lt;&gt;"",$AP75,IFERROR(INDEX('Cat Zone by ZIP'!$D$6:$D$856,MATCH($AR75,'Cat Zone by ZIP'!$B$6:$B$856,0)),IFERROR(INDEX('Cat Zone by ZIP'!$C$860:$C$910,MATCH($K75,'Cat Zone by ZIP'!$B$860:$B$910,0)),"NOT FOUND"))))</f>
        <v/>
      </c>
      <c r="AT75" s="99" t="str">
        <f>IF($A75="","",IF($AP75&lt;&gt;"","Override",IF(ISNUMBER(MATCH($AR75,'Cat Zone by ZIP'!$B$6:$B$856,0)),"ZIP-3","State default")))</f>
        <v/>
      </c>
      <c r="AU75" s="100" t="str">
        <f>IF($A75="","",IFERROR(INDEX('Natural Catastrophe'!$D$6:$D$17,MATCH($AS75,'Natural Catastrophe'!$B$6:$B$17,0)),"?"))</f>
        <v/>
      </c>
      <c r="AV75" s="100" t="str">
        <f>IF($A75="","",IFERROR(INDEX('Natural Catastrophe'!$C$21:$C$26,MATCH($AA75,'Natural Catastrophe'!$B$21:$B$26,0)),"?"))</f>
        <v/>
      </c>
      <c r="AW75" s="99" t="str">
        <f>IF($A75="","",IFERROR(INDEX('Base Rates'!$C$4:$I$4,MATCH(MAX($J75,'Technical Premium'!$C$18),'Base Rates'!$C$3:$I$3,1)),"?"))</f>
        <v/>
      </c>
      <c r="AX75" s="101" t="str">
        <f>IF($A75="","",IFERROR(INDEX('Base Rates'!$C$5:$I$16,MATCH($I75,'Base Rates'!$B$5:$B$16,0),MATCH(MAX($J75,'Technical Premium'!$C$18),'Base Rates'!$C$3:$I$3,1)),"?"))</f>
        <v/>
      </c>
      <c r="AY75" s="102" t="str">
        <f t="shared" si="14"/>
        <v/>
      </c>
      <c r="AZ75" s="99" t="str">
        <f>IF($A75="","",IFERROR(INDEX('Make Factors'!$G$5:$G$69,MATCH($F75,'Make Factors'!$B$5:$B$69,0)),"?"))</f>
        <v/>
      </c>
      <c r="BA75" s="99" t="str">
        <f>IF($A75="","",IFERROR(INDEX('Driver Factors'!$C$6:$C$15,MATCH($R75,'Driver Factors'!$B$6:$B$15,0)),"?"))</f>
        <v/>
      </c>
      <c r="BB75" s="99" t="str">
        <f>IF($A75="","",IFERROR(INDEX('Driver Factors'!$C$19:$C$24,MATCH($S75,'Driver Factors'!$B$19:$B$24,0)),"?"))</f>
        <v/>
      </c>
      <c r="BC75" s="99" t="str">
        <f>IF($A75="","",IFERROR(INDEX('Driver Factors'!$C$28:$C$36,MATCH($T75,'Driver Factors'!$B$28:$B$36,0)),"?"))</f>
        <v/>
      </c>
      <c r="BD75" s="99" t="str">
        <f>IF($A75="","",IFERROR(INDEX('Claims History'!$C$6:$C$15,MATCH($U75,'Claims History'!$B$6:$B$15,0)),"?"))</f>
        <v/>
      </c>
      <c r="BE75" s="99" t="str">
        <f>IF($A75="","",IFERROR(INDEX('Territory Factors'!$E$6:$E$56,MATCH($K75,'Territory Factors'!$B$6:$B$56,0)),"?"))</f>
        <v/>
      </c>
      <c r="BF75" s="99" t="str">
        <f>IF($A75="","",IFERROR(INDEX('City Accident Ratings'!$G$6:$G$54,MATCH($Z75,'City Accident Ratings'!$B$6:$B$54,0)),"?"))</f>
        <v/>
      </c>
      <c r="BG75" s="99" t="str">
        <f>IF($A75="","",IFERROR(INDEX('Usage and Coverage'!$D$6:$D$20,MATCH($N75,'Usage and Coverage'!$C$6:$C$20,0)),"?"))</f>
        <v/>
      </c>
      <c r="BH75" s="99" t="str">
        <f>IF($A75="","",IFERROR(INDEX('Usage and Coverage'!$C$24:$C$30,MATCH($O75,'Usage and Coverage'!$B$24:$B$30,0)),"?"))</f>
        <v/>
      </c>
      <c r="BI75" s="99" t="str">
        <f>IF($A75="","",IFERROR(INDEX('Usage and Coverage'!$C$34:$C$40,MATCH($P75,'Usage and Coverage'!$B$34:$B$40,0)),"?"))</f>
        <v/>
      </c>
      <c r="BJ75" s="99" t="str">
        <f>IF($A75="","",IFERROR(INDEX('Usage and Coverage'!$C$44:$C$49,MATCH($Q75,'Usage and Coverage'!$B$44:$B$49,0)),"?"))</f>
        <v/>
      </c>
      <c r="BK75" s="99" t="str">
        <f>IF($A75="","",IFERROR(INDEX(Deductibles!$C$6:$I$15,MATCH($W75,Deductibles!$B$6:$B$15,0),MATCH(MAX($J75,'Technical Premium'!$C$18),'Base Rates'!$C$3:$I$3,1)),"?"))</f>
        <v/>
      </c>
      <c r="BL75" s="99" t="str">
        <f>IF($A75="","",IFERROR(INDEX('Usage and Coverage'!$C$63:$C$66,MATCH($X75,'Usage and Coverage'!$B$63:$B$66,0)),"?"))</f>
        <v/>
      </c>
      <c r="BM75" s="99" t="str">
        <f>IF($A75="","",IFERROR(INDEX('Usage and Coverage'!$C$70:$C$75,MATCH($V75,'Usage and Coverage'!$B$70:$B$75,0)),"?"))</f>
        <v/>
      </c>
      <c r="BN75" s="99" t="str">
        <f>IF($A75="","",IF($AB75="",1,IFERROR(INDEX(Deductibles!$C$48:$C$51,MATCH($AB75,Deductibles!$B$48:$B$51,0)),"?")))</f>
        <v/>
      </c>
      <c r="BO75" s="99" t="str">
        <f>IF($A75="","",IF($AC75="",1,IFERROR(INDEX(Deductibles!$C$55:$C$57,MATCH($AC75,Deductibles!$B$55:$B$57,0)),"?")))</f>
        <v/>
      </c>
      <c r="BP75" s="99" t="str">
        <f>IF($A75="","",IF($AD75="",1,IFERROR(INDEX(Deductibles!$C$61:$C$63,MATCH($AD75,Deductibles!$B$61:$B$63,0)),"?")))</f>
        <v/>
      </c>
      <c r="BQ75" s="99" t="str">
        <f>IF($A75="","",IF($AE75="",1,IFERROR(INDEX(Deductibles!$C$67:$C$69,MATCH($AE75,Deductibles!$B$67:$B$69,0)),"?")))</f>
        <v/>
      </c>
      <c r="BR75" s="99" t="str">
        <f>IF($A75="","",IF($AF75="",1,IFERROR(INDEX(Deductibles!$C$73:$C$74,MATCH($AF75,Deductibles!$B$73:$B$74,0)),"?")))</f>
        <v/>
      </c>
      <c r="BS75" s="99" t="str">
        <f>IF($A75="","",IF($AG75="",1,IFERROR(INDEX('Sublimits and Parts'!$C$49:$C$52,MATCH($AG75,'Sublimits and Parts'!$B$49:$B$52,0)),"?")))</f>
        <v/>
      </c>
      <c r="BT75" s="99" t="str">
        <f>IF($A75="","",IF($AH75="",1,IFERROR(INDEX('Sublimits and Parts'!$C$56:$C$60,MATCH($AH75,'Sublimits and Parts'!$B$56:$B$60,0)),"?")))</f>
        <v/>
      </c>
      <c r="BU75" s="99" t="str">
        <f>IF($A75="","",IF($AI75="",1,IFERROR(INDEX('Sublimits and Parts'!$C$64:$C$67,MATCH($AI75,'Sublimits and Parts'!$B$64:$B$67,0)),"?")))</f>
        <v/>
      </c>
      <c r="BV75" s="99" t="str">
        <f>IF($A75="","",IF($AJ75="",1,IFERROR(INDEX('Sublimits and Parts'!$C$71:$C$74,MATCH($AJ75,'Sublimits and Parts'!$B$71:$B$74,0)),"?")))</f>
        <v/>
      </c>
      <c r="BW75" s="99" t="str">
        <f>IF($A75="","",IF($AK75="",1,IFERROR(INDEX('Sublimits and Parts'!$C$78:$C$80,MATCH($AK75,'Sublimits and Parts'!$B$78:$B$80,0)),"?")))</f>
        <v/>
      </c>
      <c r="BX75" s="99" t="str">
        <f>IF($A75="","",IF($AL75="",1,IFERROR(INDEX('Sublimits and Parts'!$C$84:$C$87,MATCH($AL75,'Sublimits and Parts'!$B$84:$B$87,0)),"?")))</f>
        <v/>
      </c>
      <c r="BY75" s="99" t="str">
        <f>IF($A75="","",IF($AM75="",1,IFERROR(INDEX('Sublimits and Parts'!$C$91:$C$94,MATCH($AM75,'Sublimits and Parts'!$B$91:$B$94,0)),"?")))</f>
        <v/>
      </c>
      <c r="BZ75" s="99" t="str">
        <f>IF($A75="","",IF($AN75="",1,IFERROR(INDEX('Sublimits and Parts'!$C$98:$C$101,MATCH($AN75,'Sublimits and Parts'!$B$98:$B$101,0)),"?")))</f>
        <v/>
      </c>
      <c r="CA75" s="99" t="str">
        <f>IF($A75="","",IF($AO75="",1,IFERROR(INDEX('Sublimits and Parts'!$C$105:$C$109,MATCH($AO75,'Sublimits and Parts'!$B$105:$B$109,0)),"?")))</f>
        <v/>
      </c>
      <c r="CB75" s="100" t="str">
        <f t="shared" si="15"/>
        <v/>
      </c>
      <c r="CC75" s="100" t="str">
        <f t="shared" si="16"/>
        <v/>
      </c>
      <c r="CD75" s="103" t="str">
        <f>IF($A75="","",IF(OR($CB75="?",$CC75="?"),"?",MIN($CB75*$CC75,'Technical Premium'!$C$17)))</f>
        <v/>
      </c>
      <c r="CE75" s="102" t="str">
        <f t="shared" si="17"/>
        <v/>
      </c>
      <c r="CF75" s="102" t="str">
        <f>IF($A75="","",IFERROR(INDEX('Territory Factors'!$F$6:$F$56,MATCH($K75,'Territory Factors'!$B$6:$B$56,0)),"?"))</f>
        <v/>
      </c>
      <c r="CG75" s="100" t="str">
        <f>IF($A75="","",IFERROR(INDEX('Usage and Coverage'!$C$79:$C$84,MATCH($Y75,'Usage and Coverage'!$B$79:$B$84,0)),"?"))</f>
        <v/>
      </c>
      <c r="CH75" s="102" t="str">
        <f>IFERROR(IF(ISNUMBER($CD75),$CF75*$CG75*MIN($BG75*$BA75*$BC75*$BD75*$BH75*$BF75,'Technical Premium'!$C$17),""),"")</f>
        <v/>
      </c>
      <c r="CI75" s="102" t="str">
        <f t="shared" si="18"/>
        <v/>
      </c>
      <c r="CJ75" s="102" t="str">
        <f>IFERROR($CI75*(1+'Technical Premium'!$C$5)*(1+'Technical Premium'!$C$6),"")</f>
        <v/>
      </c>
      <c r="CK75" s="102" t="str">
        <f>IFERROR($CE75*INDEX('Territory Factors'!$G$6:$G$56,MATCH($K75,'Territory Factors'!$B$6:$B$56,0))*$AU75*$AV75,"")</f>
        <v/>
      </c>
      <c r="CL75" s="102" t="str">
        <f>IFERROR(($CJ75+$CK75)*(1+'Technical Premium'!$C$7),"")</f>
        <v/>
      </c>
      <c r="CM75" s="104" t="str">
        <f>IFERROR($CL75/'Technical Premium'!$C$13,"")</f>
        <v/>
      </c>
      <c r="CN75" s="105" t="str">
        <f t="shared" si="19"/>
        <v/>
      </c>
      <c r="CO75" s="104" t="str">
        <f t="shared" si="20"/>
        <v/>
      </c>
      <c r="CP75" s="105" t="str">
        <f t="shared" si="21"/>
        <v/>
      </c>
      <c r="CQ75" s="106" t="str">
        <f t="shared" si="22"/>
        <v/>
      </c>
      <c r="CR75" s="102" t="str">
        <f>IF(ISNUMBER($CM75),'Technical Premium'!$C$14+IF($J75&gt;=1000000,'Technical Premium'!$C$15,0),"")</f>
        <v/>
      </c>
      <c r="CS75" s="102" t="str">
        <f>IFERROR(($CO75+$CR75)*(INDEX('Territory Factors'!$K$6:$K$56,MATCH($K75,'Territory Factors'!$B$6:$B$56,0))+'Commission Structure'!$C$21),"")</f>
        <v/>
      </c>
      <c r="CT75" s="104" t="str">
        <f t="shared" si="23"/>
        <v/>
      </c>
      <c r="CU75" s="102" t="str">
        <f>IFERROR($CO75*('Commission Structure'!$C$6+'Commission Structure'!$C$7),"")</f>
        <v/>
      </c>
      <c r="CV75" s="102" t="str">
        <f>IFERROR($CO75*'Commission Structure'!$C$5-$CU75,"")</f>
        <v/>
      </c>
      <c r="CW75" s="102" t="str">
        <f>IFERROR($CO75*(1-'Commission Structure'!$C$5),"")</f>
        <v/>
      </c>
      <c r="CX75" s="107"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8" t="str">
        <f t="shared" si="24"/>
        <v/>
      </c>
      <c r="CZ75" s="99" t="str">
        <f>IF($CY75="","",IF($CY75&lt;'Technical Premium'!$C$19,"BEYOND AUTHORITY",IF($CY75&gt;0.005,"Above technical",IF($CY75&lt;-0.005,"BELOW technical","At technical"))))</f>
        <v/>
      </c>
      <c r="DA75" s="99"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4"/>
      <c r="DC75" s="94"/>
      <c r="DD75" s="95"/>
      <c r="DE75" s="94"/>
      <c r="DF75" s="94"/>
      <c r="DG75" s="99" t="str">
        <f t="shared" si="25"/>
        <v/>
      </c>
      <c r="DH75" s="99" t="str">
        <f>IF($A75="","",IF(OR($CX75="REFER",$CX75="DECLINE"),COUNTIF($CX$5:$CX75,"REFER")+COUNTIF($CX$5:$CX75,"DECLINE"),""))</f>
        <v/>
      </c>
      <c r="DI75" s="94"/>
    </row>
    <row r="76" spans="1:113" x14ac:dyDescent="0.35">
      <c r="A76" s="94"/>
      <c r="B76" s="94"/>
      <c r="C76" s="95"/>
      <c r="D76" s="95"/>
      <c r="E76" s="96"/>
      <c r="F76" s="94"/>
      <c r="G76" s="94"/>
      <c r="H76" s="94"/>
      <c r="I76" s="94"/>
      <c r="J76" s="97"/>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8"/>
      <c r="AR76" s="99" t="str">
        <f t="shared" si="13"/>
        <v/>
      </c>
      <c r="AS76" s="99" t="str">
        <f>IF($A76="","",IF($AP76&lt;&gt;"",$AP76,IFERROR(INDEX('Cat Zone by ZIP'!$D$6:$D$856,MATCH($AR76,'Cat Zone by ZIP'!$B$6:$B$856,0)),IFERROR(INDEX('Cat Zone by ZIP'!$C$860:$C$910,MATCH($K76,'Cat Zone by ZIP'!$B$860:$B$910,0)),"NOT FOUND"))))</f>
        <v/>
      </c>
      <c r="AT76" s="99" t="str">
        <f>IF($A76="","",IF($AP76&lt;&gt;"","Override",IF(ISNUMBER(MATCH($AR76,'Cat Zone by ZIP'!$B$6:$B$856,0)),"ZIP-3","State default")))</f>
        <v/>
      </c>
      <c r="AU76" s="100" t="str">
        <f>IF($A76="","",IFERROR(INDEX('Natural Catastrophe'!$D$6:$D$17,MATCH($AS76,'Natural Catastrophe'!$B$6:$B$17,0)),"?"))</f>
        <v/>
      </c>
      <c r="AV76" s="100" t="str">
        <f>IF($A76="","",IFERROR(INDEX('Natural Catastrophe'!$C$21:$C$26,MATCH($AA76,'Natural Catastrophe'!$B$21:$B$26,0)),"?"))</f>
        <v/>
      </c>
      <c r="AW76" s="99" t="str">
        <f>IF($A76="","",IFERROR(INDEX('Base Rates'!$C$4:$I$4,MATCH(MAX($J76,'Technical Premium'!$C$18),'Base Rates'!$C$3:$I$3,1)),"?"))</f>
        <v/>
      </c>
      <c r="AX76" s="101" t="str">
        <f>IF($A76="","",IFERROR(INDEX('Base Rates'!$C$5:$I$16,MATCH($I76,'Base Rates'!$B$5:$B$16,0),MATCH(MAX($J76,'Technical Premium'!$C$18),'Base Rates'!$C$3:$I$3,1)),"?"))</f>
        <v/>
      </c>
      <c r="AY76" s="102" t="str">
        <f t="shared" si="14"/>
        <v/>
      </c>
      <c r="AZ76" s="99" t="str">
        <f>IF($A76="","",IFERROR(INDEX('Make Factors'!$G$5:$G$69,MATCH($F76,'Make Factors'!$B$5:$B$69,0)),"?"))</f>
        <v/>
      </c>
      <c r="BA76" s="99" t="str">
        <f>IF($A76="","",IFERROR(INDEX('Driver Factors'!$C$6:$C$15,MATCH($R76,'Driver Factors'!$B$6:$B$15,0)),"?"))</f>
        <v/>
      </c>
      <c r="BB76" s="99" t="str">
        <f>IF($A76="","",IFERROR(INDEX('Driver Factors'!$C$19:$C$24,MATCH($S76,'Driver Factors'!$B$19:$B$24,0)),"?"))</f>
        <v/>
      </c>
      <c r="BC76" s="99" t="str">
        <f>IF($A76="","",IFERROR(INDEX('Driver Factors'!$C$28:$C$36,MATCH($T76,'Driver Factors'!$B$28:$B$36,0)),"?"))</f>
        <v/>
      </c>
      <c r="BD76" s="99" t="str">
        <f>IF($A76="","",IFERROR(INDEX('Claims History'!$C$6:$C$15,MATCH($U76,'Claims History'!$B$6:$B$15,0)),"?"))</f>
        <v/>
      </c>
      <c r="BE76" s="99" t="str">
        <f>IF($A76="","",IFERROR(INDEX('Territory Factors'!$E$6:$E$56,MATCH($K76,'Territory Factors'!$B$6:$B$56,0)),"?"))</f>
        <v/>
      </c>
      <c r="BF76" s="99" t="str">
        <f>IF($A76="","",IFERROR(INDEX('City Accident Ratings'!$G$6:$G$54,MATCH($Z76,'City Accident Ratings'!$B$6:$B$54,0)),"?"))</f>
        <v/>
      </c>
      <c r="BG76" s="99" t="str">
        <f>IF($A76="","",IFERROR(INDEX('Usage and Coverage'!$D$6:$D$20,MATCH($N76,'Usage and Coverage'!$C$6:$C$20,0)),"?"))</f>
        <v/>
      </c>
      <c r="BH76" s="99" t="str">
        <f>IF($A76="","",IFERROR(INDEX('Usage and Coverage'!$C$24:$C$30,MATCH($O76,'Usage and Coverage'!$B$24:$B$30,0)),"?"))</f>
        <v/>
      </c>
      <c r="BI76" s="99" t="str">
        <f>IF($A76="","",IFERROR(INDEX('Usage and Coverage'!$C$34:$C$40,MATCH($P76,'Usage and Coverage'!$B$34:$B$40,0)),"?"))</f>
        <v/>
      </c>
      <c r="BJ76" s="99" t="str">
        <f>IF($A76="","",IFERROR(INDEX('Usage and Coverage'!$C$44:$C$49,MATCH($Q76,'Usage and Coverage'!$B$44:$B$49,0)),"?"))</f>
        <v/>
      </c>
      <c r="BK76" s="99" t="str">
        <f>IF($A76="","",IFERROR(INDEX(Deductibles!$C$6:$I$15,MATCH($W76,Deductibles!$B$6:$B$15,0),MATCH(MAX($J76,'Technical Premium'!$C$18),'Base Rates'!$C$3:$I$3,1)),"?"))</f>
        <v/>
      </c>
      <c r="BL76" s="99" t="str">
        <f>IF($A76="","",IFERROR(INDEX('Usage and Coverage'!$C$63:$C$66,MATCH($X76,'Usage and Coverage'!$B$63:$B$66,0)),"?"))</f>
        <v/>
      </c>
      <c r="BM76" s="99" t="str">
        <f>IF($A76="","",IFERROR(INDEX('Usage and Coverage'!$C$70:$C$75,MATCH($V76,'Usage and Coverage'!$B$70:$B$75,0)),"?"))</f>
        <v/>
      </c>
      <c r="BN76" s="99" t="str">
        <f>IF($A76="","",IF($AB76="",1,IFERROR(INDEX(Deductibles!$C$48:$C$51,MATCH($AB76,Deductibles!$B$48:$B$51,0)),"?")))</f>
        <v/>
      </c>
      <c r="BO76" s="99" t="str">
        <f>IF($A76="","",IF($AC76="",1,IFERROR(INDEX(Deductibles!$C$55:$C$57,MATCH($AC76,Deductibles!$B$55:$B$57,0)),"?")))</f>
        <v/>
      </c>
      <c r="BP76" s="99" t="str">
        <f>IF($A76="","",IF($AD76="",1,IFERROR(INDEX(Deductibles!$C$61:$C$63,MATCH($AD76,Deductibles!$B$61:$B$63,0)),"?")))</f>
        <v/>
      </c>
      <c r="BQ76" s="99" t="str">
        <f>IF($A76="","",IF($AE76="",1,IFERROR(INDEX(Deductibles!$C$67:$C$69,MATCH($AE76,Deductibles!$B$67:$B$69,0)),"?")))</f>
        <v/>
      </c>
      <c r="BR76" s="99" t="str">
        <f>IF($A76="","",IF($AF76="",1,IFERROR(INDEX(Deductibles!$C$73:$C$74,MATCH($AF76,Deductibles!$B$73:$B$74,0)),"?")))</f>
        <v/>
      </c>
      <c r="BS76" s="99" t="str">
        <f>IF($A76="","",IF($AG76="",1,IFERROR(INDEX('Sublimits and Parts'!$C$49:$C$52,MATCH($AG76,'Sublimits and Parts'!$B$49:$B$52,0)),"?")))</f>
        <v/>
      </c>
      <c r="BT76" s="99" t="str">
        <f>IF($A76="","",IF($AH76="",1,IFERROR(INDEX('Sublimits and Parts'!$C$56:$C$60,MATCH($AH76,'Sublimits and Parts'!$B$56:$B$60,0)),"?")))</f>
        <v/>
      </c>
      <c r="BU76" s="99" t="str">
        <f>IF($A76="","",IF($AI76="",1,IFERROR(INDEX('Sublimits and Parts'!$C$64:$C$67,MATCH($AI76,'Sublimits and Parts'!$B$64:$B$67,0)),"?")))</f>
        <v/>
      </c>
      <c r="BV76" s="99" t="str">
        <f>IF($A76="","",IF($AJ76="",1,IFERROR(INDEX('Sublimits and Parts'!$C$71:$C$74,MATCH($AJ76,'Sublimits and Parts'!$B$71:$B$74,0)),"?")))</f>
        <v/>
      </c>
      <c r="BW76" s="99" t="str">
        <f>IF($A76="","",IF($AK76="",1,IFERROR(INDEX('Sublimits and Parts'!$C$78:$C$80,MATCH($AK76,'Sublimits and Parts'!$B$78:$B$80,0)),"?")))</f>
        <v/>
      </c>
      <c r="BX76" s="99" t="str">
        <f>IF($A76="","",IF($AL76="",1,IFERROR(INDEX('Sublimits and Parts'!$C$84:$C$87,MATCH($AL76,'Sublimits and Parts'!$B$84:$B$87,0)),"?")))</f>
        <v/>
      </c>
      <c r="BY76" s="99" t="str">
        <f>IF($A76="","",IF($AM76="",1,IFERROR(INDEX('Sublimits and Parts'!$C$91:$C$94,MATCH($AM76,'Sublimits and Parts'!$B$91:$B$94,0)),"?")))</f>
        <v/>
      </c>
      <c r="BZ76" s="99" t="str">
        <f>IF($A76="","",IF($AN76="",1,IFERROR(INDEX('Sublimits and Parts'!$C$98:$C$101,MATCH($AN76,'Sublimits and Parts'!$B$98:$B$101,0)),"?")))</f>
        <v/>
      </c>
      <c r="CA76" s="99" t="str">
        <f>IF($A76="","",IF($AO76="",1,IFERROR(INDEX('Sublimits and Parts'!$C$105:$C$109,MATCH($AO76,'Sublimits and Parts'!$B$105:$B$109,0)),"?")))</f>
        <v/>
      </c>
      <c r="CB76" s="100" t="str">
        <f t="shared" si="15"/>
        <v/>
      </c>
      <c r="CC76" s="100" t="str">
        <f t="shared" si="16"/>
        <v/>
      </c>
      <c r="CD76" s="103" t="str">
        <f>IF($A76="","",IF(OR($CB76="?",$CC76="?"),"?",MIN($CB76*$CC76,'Technical Premium'!$C$17)))</f>
        <v/>
      </c>
      <c r="CE76" s="102" t="str">
        <f t="shared" si="17"/>
        <v/>
      </c>
      <c r="CF76" s="102" t="str">
        <f>IF($A76="","",IFERROR(INDEX('Territory Factors'!$F$6:$F$56,MATCH($K76,'Territory Factors'!$B$6:$B$56,0)),"?"))</f>
        <v/>
      </c>
      <c r="CG76" s="100" t="str">
        <f>IF($A76="","",IFERROR(INDEX('Usage and Coverage'!$C$79:$C$84,MATCH($Y76,'Usage and Coverage'!$B$79:$B$84,0)),"?"))</f>
        <v/>
      </c>
      <c r="CH76" s="102" t="str">
        <f>IFERROR(IF(ISNUMBER($CD76),$CF76*$CG76*MIN($BG76*$BA76*$BC76*$BD76*$BH76*$BF76,'Technical Premium'!$C$17),""),"")</f>
        <v/>
      </c>
      <c r="CI76" s="102" t="str">
        <f t="shared" si="18"/>
        <v/>
      </c>
      <c r="CJ76" s="102" t="str">
        <f>IFERROR($CI76*(1+'Technical Premium'!$C$5)*(1+'Technical Premium'!$C$6),"")</f>
        <v/>
      </c>
      <c r="CK76" s="102" t="str">
        <f>IFERROR($CE76*INDEX('Territory Factors'!$G$6:$G$56,MATCH($K76,'Territory Factors'!$B$6:$B$56,0))*$AU76*$AV76,"")</f>
        <v/>
      </c>
      <c r="CL76" s="102" t="str">
        <f>IFERROR(($CJ76+$CK76)*(1+'Technical Premium'!$C$7),"")</f>
        <v/>
      </c>
      <c r="CM76" s="104" t="str">
        <f>IFERROR($CL76/'Technical Premium'!$C$13,"")</f>
        <v/>
      </c>
      <c r="CN76" s="105" t="str">
        <f t="shared" si="19"/>
        <v/>
      </c>
      <c r="CO76" s="104" t="str">
        <f t="shared" si="20"/>
        <v/>
      </c>
      <c r="CP76" s="105" t="str">
        <f t="shared" si="21"/>
        <v/>
      </c>
      <c r="CQ76" s="106" t="str">
        <f t="shared" si="22"/>
        <v/>
      </c>
      <c r="CR76" s="102" t="str">
        <f>IF(ISNUMBER($CM76),'Technical Premium'!$C$14+IF($J76&gt;=1000000,'Technical Premium'!$C$15,0),"")</f>
        <v/>
      </c>
      <c r="CS76" s="102" t="str">
        <f>IFERROR(($CO76+$CR76)*(INDEX('Territory Factors'!$K$6:$K$56,MATCH($K76,'Territory Factors'!$B$6:$B$56,0))+'Commission Structure'!$C$21),"")</f>
        <v/>
      </c>
      <c r="CT76" s="104" t="str">
        <f t="shared" si="23"/>
        <v/>
      </c>
      <c r="CU76" s="102" t="str">
        <f>IFERROR($CO76*('Commission Structure'!$C$6+'Commission Structure'!$C$7),"")</f>
        <v/>
      </c>
      <c r="CV76" s="102" t="str">
        <f>IFERROR($CO76*'Commission Structure'!$C$5-$CU76,"")</f>
        <v/>
      </c>
      <c r="CW76" s="102" t="str">
        <f>IFERROR($CO76*(1-'Commission Structure'!$C$5),"")</f>
        <v/>
      </c>
      <c r="CX76" s="107"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8" t="str">
        <f t="shared" si="24"/>
        <v/>
      </c>
      <c r="CZ76" s="99" t="str">
        <f>IF($CY76="","",IF($CY76&lt;'Technical Premium'!$C$19,"BEYOND AUTHORITY",IF($CY76&gt;0.005,"Above technical",IF($CY76&lt;-0.005,"BELOW technical","At technical"))))</f>
        <v/>
      </c>
      <c r="DA76" s="99"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4"/>
      <c r="DC76" s="94"/>
      <c r="DD76" s="95"/>
      <c r="DE76" s="94"/>
      <c r="DF76" s="94"/>
      <c r="DG76" s="99" t="str">
        <f t="shared" si="25"/>
        <v/>
      </c>
      <c r="DH76" s="99" t="str">
        <f>IF($A76="","",IF(OR($CX76="REFER",$CX76="DECLINE"),COUNTIF($CX$5:$CX76,"REFER")+COUNTIF($CX$5:$CX76,"DECLINE"),""))</f>
        <v/>
      </c>
      <c r="DI76" s="94"/>
    </row>
    <row r="77" spans="1:113" x14ac:dyDescent="0.35">
      <c r="A77" s="94"/>
      <c r="B77" s="94"/>
      <c r="C77" s="95"/>
      <c r="D77" s="95"/>
      <c r="E77" s="96"/>
      <c r="F77" s="94"/>
      <c r="G77" s="94"/>
      <c r="H77" s="94"/>
      <c r="I77" s="94"/>
      <c r="J77" s="97"/>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8"/>
      <c r="AR77" s="99" t="str">
        <f t="shared" si="13"/>
        <v/>
      </c>
      <c r="AS77" s="99" t="str">
        <f>IF($A77="","",IF($AP77&lt;&gt;"",$AP77,IFERROR(INDEX('Cat Zone by ZIP'!$D$6:$D$856,MATCH($AR77,'Cat Zone by ZIP'!$B$6:$B$856,0)),IFERROR(INDEX('Cat Zone by ZIP'!$C$860:$C$910,MATCH($K77,'Cat Zone by ZIP'!$B$860:$B$910,0)),"NOT FOUND"))))</f>
        <v/>
      </c>
      <c r="AT77" s="99" t="str">
        <f>IF($A77="","",IF($AP77&lt;&gt;"","Override",IF(ISNUMBER(MATCH($AR77,'Cat Zone by ZIP'!$B$6:$B$856,0)),"ZIP-3","State default")))</f>
        <v/>
      </c>
      <c r="AU77" s="100" t="str">
        <f>IF($A77="","",IFERROR(INDEX('Natural Catastrophe'!$D$6:$D$17,MATCH($AS77,'Natural Catastrophe'!$B$6:$B$17,0)),"?"))</f>
        <v/>
      </c>
      <c r="AV77" s="100" t="str">
        <f>IF($A77="","",IFERROR(INDEX('Natural Catastrophe'!$C$21:$C$26,MATCH($AA77,'Natural Catastrophe'!$B$21:$B$26,0)),"?"))</f>
        <v/>
      </c>
      <c r="AW77" s="99" t="str">
        <f>IF($A77="","",IFERROR(INDEX('Base Rates'!$C$4:$I$4,MATCH(MAX($J77,'Technical Premium'!$C$18),'Base Rates'!$C$3:$I$3,1)),"?"))</f>
        <v/>
      </c>
      <c r="AX77" s="101" t="str">
        <f>IF($A77="","",IFERROR(INDEX('Base Rates'!$C$5:$I$16,MATCH($I77,'Base Rates'!$B$5:$B$16,0),MATCH(MAX($J77,'Technical Premium'!$C$18),'Base Rates'!$C$3:$I$3,1)),"?"))</f>
        <v/>
      </c>
      <c r="AY77" s="102" t="str">
        <f t="shared" si="14"/>
        <v/>
      </c>
      <c r="AZ77" s="99" t="str">
        <f>IF($A77="","",IFERROR(INDEX('Make Factors'!$G$5:$G$69,MATCH($F77,'Make Factors'!$B$5:$B$69,0)),"?"))</f>
        <v/>
      </c>
      <c r="BA77" s="99" t="str">
        <f>IF($A77="","",IFERROR(INDEX('Driver Factors'!$C$6:$C$15,MATCH($R77,'Driver Factors'!$B$6:$B$15,0)),"?"))</f>
        <v/>
      </c>
      <c r="BB77" s="99" t="str">
        <f>IF($A77="","",IFERROR(INDEX('Driver Factors'!$C$19:$C$24,MATCH($S77,'Driver Factors'!$B$19:$B$24,0)),"?"))</f>
        <v/>
      </c>
      <c r="BC77" s="99" t="str">
        <f>IF($A77="","",IFERROR(INDEX('Driver Factors'!$C$28:$C$36,MATCH($T77,'Driver Factors'!$B$28:$B$36,0)),"?"))</f>
        <v/>
      </c>
      <c r="BD77" s="99" t="str">
        <f>IF($A77="","",IFERROR(INDEX('Claims History'!$C$6:$C$15,MATCH($U77,'Claims History'!$B$6:$B$15,0)),"?"))</f>
        <v/>
      </c>
      <c r="BE77" s="99" t="str">
        <f>IF($A77="","",IFERROR(INDEX('Territory Factors'!$E$6:$E$56,MATCH($K77,'Territory Factors'!$B$6:$B$56,0)),"?"))</f>
        <v/>
      </c>
      <c r="BF77" s="99" t="str">
        <f>IF($A77="","",IFERROR(INDEX('City Accident Ratings'!$G$6:$G$54,MATCH($Z77,'City Accident Ratings'!$B$6:$B$54,0)),"?"))</f>
        <v/>
      </c>
      <c r="BG77" s="99" t="str">
        <f>IF($A77="","",IFERROR(INDEX('Usage and Coverage'!$D$6:$D$20,MATCH($N77,'Usage and Coverage'!$C$6:$C$20,0)),"?"))</f>
        <v/>
      </c>
      <c r="BH77" s="99" t="str">
        <f>IF($A77="","",IFERROR(INDEX('Usage and Coverage'!$C$24:$C$30,MATCH($O77,'Usage and Coverage'!$B$24:$B$30,0)),"?"))</f>
        <v/>
      </c>
      <c r="BI77" s="99" t="str">
        <f>IF($A77="","",IFERROR(INDEX('Usage and Coverage'!$C$34:$C$40,MATCH($P77,'Usage and Coverage'!$B$34:$B$40,0)),"?"))</f>
        <v/>
      </c>
      <c r="BJ77" s="99" t="str">
        <f>IF($A77="","",IFERROR(INDEX('Usage and Coverage'!$C$44:$C$49,MATCH($Q77,'Usage and Coverage'!$B$44:$B$49,0)),"?"))</f>
        <v/>
      </c>
      <c r="BK77" s="99" t="str">
        <f>IF($A77="","",IFERROR(INDEX(Deductibles!$C$6:$I$15,MATCH($W77,Deductibles!$B$6:$B$15,0),MATCH(MAX($J77,'Technical Premium'!$C$18),'Base Rates'!$C$3:$I$3,1)),"?"))</f>
        <v/>
      </c>
      <c r="BL77" s="99" t="str">
        <f>IF($A77="","",IFERROR(INDEX('Usage and Coverage'!$C$63:$C$66,MATCH($X77,'Usage and Coverage'!$B$63:$B$66,0)),"?"))</f>
        <v/>
      </c>
      <c r="BM77" s="99" t="str">
        <f>IF($A77="","",IFERROR(INDEX('Usage and Coverage'!$C$70:$C$75,MATCH($V77,'Usage and Coverage'!$B$70:$B$75,0)),"?"))</f>
        <v/>
      </c>
      <c r="BN77" s="99" t="str">
        <f>IF($A77="","",IF($AB77="",1,IFERROR(INDEX(Deductibles!$C$48:$C$51,MATCH($AB77,Deductibles!$B$48:$B$51,0)),"?")))</f>
        <v/>
      </c>
      <c r="BO77" s="99" t="str">
        <f>IF($A77="","",IF($AC77="",1,IFERROR(INDEX(Deductibles!$C$55:$C$57,MATCH($AC77,Deductibles!$B$55:$B$57,0)),"?")))</f>
        <v/>
      </c>
      <c r="BP77" s="99" t="str">
        <f>IF($A77="","",IF($AD77="",1,IFERROR(INDEX(Deductibles!$C$61:$C$63,MATCH($AD77,Deductibles!$B$61:$B$63,0)),"?")))</f>
        <v/>
      </c>
      <c r="BQ77" s="99" t="str">
        <f>IF($A77="","",IF($AE77="",1,IFERROR(INDEX(Deductibles!$C$67:$C$69,MATCH($AE77,Deductibles!$B$67:$B$69,0)),"?")))</f>
        <v/>
      </c>
      <c r="BR77" s="99" t="str">
        <f>IF($A77="","",IF($AF77="",1,IFERROR(INDEX(Deductibles!$C$73:$C$74,MATCH($AF77,Deductibles!$B$73:$B$74,0)),"?")))</f>
        <v/>
      </c>
      <c r="BS77" s="99" t="str">
        <f>IF($A77="","",IF($AG77="",1,IFERROR(INDEX('Sublimits and Parts'!$C$49:$C$52,MATCH($AG77,'Sublimits and Parts'!$B$49:$B$52,0)),"?")))</f>
        <v/>
      </c>
      <c r="BT77" s="99" t="str">
        <f>IF($A77="","",IF($AH77="",1,IFERROR(INDEX('Sublimits and Parts'!$C$56:$C$60,MATCH($AH77,'Sublimits and Parts'!$B$56:$B$60,0)),"?")))</f>
        <v/>
      </c>
      <c r="BU77" s="99" t="str">
        <f>IF($A77="","",IF($AI77="",1,IFERROR(INDEX('Sublimits and Parts'!$C$64:$C$67,MATCH($AI77,'Sublimits and Parts'!$B$64:$B$67,0)),"?")))</f>
        <v/>
      </c>
      <c r="BV77" s="99" t="str">
        <f>IF($A77="","",IF($AJ77="",1,IFERROR(INDEX('Sublimits and Parts'!$C$71:$C$74,MATCH($AJ77,'Sublimits and Parts'!$B$71:$B$74,0)),"?")))</f>
        <v/>
      </c>
      <c r="BW77" s="99" t="str">
        <f>IF($A77="","",IF($AK77="",1,IFERROR(INDEX('Sublimits and Parts'!$C$78:$C$80,MATCH($AK77,'Sublimits and Parts'!$B$78:$B$80,0)),"?")))</f>
        <v/>
      </c>
      <c r="BX77" s="99" t="str">
        <f>IF($A77="","",IF($AL77="",1,IFERROR(INDEX('Sublimits and Parts'!$C$84:$C$87,MATCH($AL77,'Sublimits and Parts'!$B$84:$B$87,0)),"?")))</f>
        <v/>
      </c>
      <c r="BY77" s="99" t="str">
        <f>IF($A77="","",IF($AM77="",1,IFERROR(INDEX('Sublimits and Parts'!$C$91:$C$94,MATCH($AM77,'Sublimits and Parts'!$B$91:$B$94,0)),"?")))</f>
        <v/>
      </c>
      <c r="BZ77" s="99" t="str">
        <f>IF($A77="","",IF($AN77="",1,IFERROR(INDEX('Sublimits and Parts'!$C$98:$C$101,MATCH($AN77,'Sublimits and Parts'!$B$98:$B$101,0)),"?")))</f>
        <v/>
      </c>
      <c r="CA77" s="99" t="str">
        <f>IF($A77="","",IF($AO77="",1,IFERROR(INDEX('Sublimits and Parts'!$C$105:$C$109,MATCH($AO77,'Sublimits and Parts'!$B$105:$B$109,0)),"?")))</f>
        <v/>
      </c>
      <c r="CB77" s="100" t="str">
        <f t="shared" si="15"/>
        <v/>
      </c>
      <c r="CC77" s="100" t="str">
        <f t="shared" si="16"/>
        <v/>
      </c>
      <c r="CD77" s="103" t="str">
        <f>IF($A77="","",IF(OR($CB77="?",$CC77="?"),"?",MIN($CB77*$CC77,'Technical Premium'!$C$17)))</f>
        <v/>
      </c>
      <c r="CE77" s="102" t="str">
        <f t="shared" si="17"/>
        <v/>
      </c>
      <c r="CF77" s="102" t="str">
        <f>IF($A77="","",IFERROR(INDEX('Territory Factors'!$F$6:$F$56,MATCH($K77,'Territory Factors'!$B$6:$B$56,0)),"?"))</f>
        <v/>
      </c>
      <c r="CG77" s="100" t="str">
        <f>IF($A77="","",IFERROR(INDEX('Usage and Coverage'!$C$79:$C$84,MATCH($Y77,'Usage and Coverage'!$B$79:$B$84,0)),"?"))</f>
        <v/>
      </c>
      <c r="CH77" s="102" t="str">
        <f>IFERROR(IF(ISNUMBER($CD77),$CF77*$CG77*MIN($BG77*$BA77*$BC77*$BD77*$BH77*$BF77,'Technical Premium'!$C$17),""),"")</f>
        <v/>
      </c>
      <c r="CI77" s="102" t="str">
        <f t="shared" si="18"/>
        <v/>
      </c>
      <c r="CJ77" s="102" t="str">
        <f>IFERROR($CI77*(1+'Technical Premium'!$C$5)*(1+'Technical Premium'!$C$6),"")</f>
        <v/>
      </c>
      <c r="CK77" s="102" t="str">
        <f>IFERROR($CE77*INDEX('Territory Factors'!$G$6:$G$56,MATCH($K77,'Territory Factors'!$B$6:$B$56,0))*$AU77*$AV77,"")</f>
        <v/>
      </c>
      <c r="CL77" s="102" t="str">
        <f>IFERROR(($CJ77+$CK77)*(1+'Technical Premium'!$C$7),"")</f>
        <v/>
      </c>
      <c r="CM77" s="104" t="str">
        <f>IFERROR($CL77/'Technical Premium'!$C$13,"")</f>
        <v/>
      </c>
      <c r="CN77" s="105" t="str">
        <f t="shared" si="19"/>
        <v/>
      </c>
      <c r="CO77" s="104" t="str">
        <f t="shared" si="20"/>
        <v/>
      </c>
      <c r="CP77" s="105" t="str">
        <f t="shared" si="21"/>
        <v/>
      </c>
      <c r="CQ77" s="106" t="str">
        <f t="shared" si="22"/>
        <v/>
      </c>
      <c r="CR77" s="102" t="str">
        <f>IF(ISNUMBER($CM77),'Technical Premium'!$C$14+IF($J77&gt;=1000000,'Technical Premium'!$C$15,0),"")</f>
        <v/>
      </c>
      <c r="CS77" s="102" t="str">
        <f>IFERROR(($CO77+$CR77)*(INDEX('Territory Factors'!$K$6:$K$56,MATCH($K77,'Territory Factors'!$B$6:$B$56,0))+'Commission Structure'!$C$21),"")</f>
        <v/>
      </c>
      <c r="CT77" s="104" t="str">
        <f t="shared" si="23"/>
        <v/>
      </c>
      <c r="CU77" s="102" t="str">
        <f>IFERROR($CO77*('Commission Structure'!$C$6+'Commission Structure'!$C$7),"")</f>
        <v/>
      </c>
      <c r="CV77" s="102" t="str">
        <f>IFERROR($CO77*'Commission Structure'!$C$5-$CU77,"")</f>
        <v/>
      </c>
      <c r="CW77" s="102" t="str">
        <f>IFERROR($CO77*(1-'Commission Structure'!$C$5),"")</f>
        <v/>
      </c>
      <c r="CX77" s="107"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8" t="str">
        <f t="shared" si="24"/>
        <v/>
      </c>
      <c r="CZ77" s="99" t="str">
        <f>IF($CY77="","",IF($CY77&lt;'Technical Premium'!$C$19,"BEYOND AUTHORITY",IF($CY77&gt;0.005,"Above technical",IF($CY77&lt;-0.005,"BELOW technical","At technical"))))</f>
        <v/>
      </c>
      <c r="DA77" s="99"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4"/>
      <c r="DC77" s="94"/>
      <c r="DD77" s="95"/>
      <c r="DE77" s="94"/>
      <c r="DF77" s="94"/>
      <c r="DG77" s="99" t="str">
        <f t="shared" si="25"/>
        <v/>
      </c>
      <c r="DH77" s="99" t="str">
        <f>IF($A77="","",IF(OR($CX77="REFER",$CX77="DECLINE"),COUNTIF($CX$5:$CX77,"REFER")+COUNTIF($CX$5:$CX77,"DECLINE"),""))</f>
        <v/>
      </c>
      <c r="DI77" s="94"/>
    </row>
    <row r="78" spans="1:113" x14ac:dyDescent="0.35">
      <c r="A78" s="94"/>
      <c r="B78" s="94"/>
      <c r="C78" s="95"/>
      <c r="D78" s="95"/>
      <c r="E78" s="96"/>
      <c r="F78" s="94"/>
      <c r="G78" s="94"/>
      <c r="H78" s="94"/>
      <c r="I78" s="94"/>
      <c r="J78" s="97"/>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8"/>
      <c r="AR78" s="99" t="str">
        <f t="shared" si="13"/>
        <v/>
      </c>
      <c r="AS78" s="99" t="str">
        <f>IF($A78="","",IF($AP78&lt;&gt;"",$AP78,IFERROR(INDEX('Cat Zone by ZIP'!$D$6:$D$856,MATCH($AR78,'Cat Zone by ZIP'!$B$6:$B$856,0)),IFERROR(INDEX('Cat Zone by ZIP'!$C$860:$C$910,MATCH($K78,'Cat Zone by ZIP'!$B$860:$B$910,0)),"NOT FOUND"))))</f>
        <v/>
      </c>
      <c r="AT78" s="99" t="str">
        <f>IF($A78="","",IF($AP78&lt;&gt;"","Override",IF(ISNUMBER(MATCH($AR78,'Cat Zone by ZIP'!$B$6:$B$856,0)),"ZIP-3","State default")))</f>
        <v/>
      </c>
      <c r="AU78" s="100" t="str">
        <f>IF($A78="","",IFERROR(INDEX('Natural Catastrophe'!$D$6:$D$17,MATCH($AS78,'Natural Catastrophe'!$B$6:$B$17,0)),"?"))</f>
        <v/>
      </c>
      <c r="AV78" s="100" t="str">
        <f>IF($A78="","",IFERROR(INDEX('Natural Catastrophe'!$C$21:$C$26,MATCH($AA78,'Natural Catastrophe'!$B$21:$B$26,0)),"?"))</f>
        <v/>
      </c>
      <c r="AW78" s="99" t="str">
        <f>IF($A78="","",IFERROR(INDEX('Base Rates'!$C$4:$I$4,MATCH(MAX($J78,'Technical Premium'!$C$18),'Base Rates'!$C$3:$I$3,1)),"?"))</f>
        <v/>
      </c>
      <c r="AX78" s="101" t="str">
        <f>IF($A78="","",IFERROR(INDEX('Base Rates'!$C$5:$I$16,MATCH($I78,'Base Rates'!$B$5:$B$16,0),MATCH(MAX($J78,'Technical Premium'!$C$18),'Base Rates'!$C$3:$I$3,1)),"?"))</f>
        <v/>
      </c>
      <c r="AY78" s="102" t="str">
        <f t="shared" si="14"/>
        <v/>
      </c>
      <c r="AZ78" s="99" t="str">
        <f>IF($A78="","",IFERROR(INDEX('Make Factors'!$G$5:$G$69,MATCH($F78,'Make Factors'!$B$5:$B$69,0)),"?"))</f>
        <v/>
      </c>
      <c r="BA78" s="99" t="str">
        <f>IF($A78="","",IFERROR(INDEX('Driver Factors'!$C$6:$C$15,MATCH($R78,'Driver Factors'!$B$6:$B$15,0)),"?"))</f>
        <v/>
      </c>
      <c r="BB78" s="99" t="str">
        <f>IF($A78="","",IFERROR(INDEX('Driver Factors'!$C$19:$C$24,MATCH($S78,'Driver Factors'!$B$19:$B$24,0)),"?"))</f>
        <v/>
      </c>
      <c r="BC78" s="99" t="str">
        <f>IF($A78="","",IFERROR(INDEX('Driver Factors'!$C$28:$C$36,MATCH($T78,'Driver Factors'!$B$28:$B$36,0)),"?"))</f>
        <v/>
      </c>
      <c r="BD78" s="99" t="str">
        <f>IF($A78="","",IFERROR(INDEX('Claims History'!$C$6:$C$15,MATCH($U78,'Claims History'!$B$6:$B$15,0)),"?"))</f>
        <v/>
      </c>
      <c r="BE78" s="99" t="str">
        <f>IF($A78="","",IFERROR(INDEX('Territory Factors'!$E$6:$E$56,MATCH($K78,'Territory Factors'!$B$6:$B$56,0)),"?"))</f>
        <v/>
      </c>
      <c r="BF78" s="99" t="str">
        <f>IF($A78="","",IFERROR(INDEX('City Accident Ratings'!$G$6:$G$54,MATCH($Z78,'City Accident Ratings'!$B$6:$B$54,0)),"?"))</f>
        <v/>
      </c>
      <c r="BG78" s="99" t="str">
        <f>IF($A78="","",IFERROR(INDEX('Usage and Coverage'!$D$6:$D$20,MATCH($N78,'Usage and Coverage'!$C$6:$C$20,0)),"?"))</f>
        <v/>
      </c>
      <c r="BH78" s="99" t="str">
        <f>IF($A78="","",IFERROR(INDEX('Usage and Coverage'!$C$24:$C$30,MATCH($O78,'Usage and Coverage'!$B$24:$B$30,0)),"?"))</f>
        <v/>
      </c>
      <c r="BI78" s="99" t="str">
        <f>IF($A78="","",IFERROR(INDEX('Usage and Coverage'!$C$34:$C$40,MATCH($P78,'Usage and Coverage'!$B$34:$B$40,0)),"?"))</f>
        <v/>
      </c>
      <c r="BJ78" s="99" t="str">
        <f>IF($A78="","",IFERROR(INDEX('Usage and Coverage'!$C$44:$C$49,MATCH($Q78,'Usage and Coverage'!$B$44:$B$49,0)),"?"))</f>
        <v/>
      </c>
      <c r="BK78" s="99" t="str">
        <f>IF($A78="","",IFERROR(INDEX(Deductibles!$C$6:$I$15,MATCH($W78,Deductibles!$B$6:$B$15,0),MATCH(MAX($J78,'Technical Premium'!$C$18),'Base Rates'!$C$3:$I$3,1)),"?"))</f>
        <v/>
      </c>
      <c r="BL78" s="99" t="str">
        <f>IF($A78="","",IFERROR(INDEX('Usage and Coverage'!$C$63:$C$66,MATCH($X78,'Usage and Coverage'!$B$63:$B$66,0)),"?"))</f>
        <v/>
      </c>
      <c r="BM78" s="99" t="str">
        <f>IF($A78="","",IFERROR(INDEX('Usage and Coverage'!$C$70:$C$75,MATCH($V78,'Usage and Coverage'!$B$70:$B$75,0)),"?"))</f>
        <v/>
      </c>
      <c r="BN78" s="99" t="str">
        <f>IF($A78="","",IF($AB78="",1,IFERROR(INDEX(Deductibles!$C$48:$C$51,MATCH($AB78,Deductibles!$B$48:$B$51,0)),"?")))</f>
        <v/>
      </c>
      <c r="BO78" s="99" t="str">
        <f>IF($A78="","",IF($AC78="",1,IFERROR(INDEX(Deductibles!$C$55:$C$57,MATCH($AC78,Deductibles!$B$55:$B$57,0)),"?")))</f>
        <v/>
      </c>
      <c r="BP78" s="99" t="str">
        <f>IF($A78="","",IF($AD78="",1,IFERROR(INDEX(Deductibles!$C$61:$C$63,MATCH($AD78,Deductibles!$B$61:$B$63,0)),"?")))</f>
        <v/>
      </c>
      <c r="BQ78" s="99" t="str">
        <f>IF($A78="","",IF($AE78="",1,IFERROR(INDEX(Deductibles!$C$67:$C$69,MATCH($AE78,Deductibles!$B$67:$B$69,0)),"?")))</f>
        <v/>
      </c>
      <c r="BR78" s="99" t="str">
        <f>IF($A78="","",IF($AF78="",1,IFERROR(INDEX(Deductibles!$C$73:$C$74,MATCH($AF78,Deductibles!$B$73:$B$74,0)),"?")))</f>
        <v/>
      </c>
      <c r="BS78" s="99" t="str">
        <f>IF($A78="","",IF($AG78="",1,IFERROR(INDEX('Sublimits and Parts'!$C$49:$C$52,MATCH($AG78,'Sublimits and Parts'!$B$49:$B$52,0)),"?")))</f>
        <v/>
      </c>
      <c r="BT78" s="99" t="str">
        <f>IF($A78="","",IF($AH78="",1,IFERROR(INDEX('Sublimits and Parts'!$C$56:$C$60,MATCH($AH78,'Sublimits and Parts'!$B$56:$B$60,0)),"?")))</f>
        <v/>
      </c>
      <c r="BU78" s="99" t="str">
        <f>IF($A78="","",IF($AI78="",1,IFERROR(INDEX('Sublimits and Parts'!$C$64:$C$67,MATCH($AI78,'Sublimits and Parts'!$B$64:$B$67,0)),"?")))</f>
        <v/>
      </c>
      <c r="BV78" s="99" t="str">
        <f>IF($A78="","",IF($AJ78="",1,IFERROR(INDEX('Sublimits and Parts'!$C$71:$C$74,MATCH($AJ78,'Sublimits and Parts'!$B$71:$B$74,0)),"?")))</f>
        <v/>
      </c>
      <c r="BW78" s="99" t="str">
        <f>IF($A78="","",IF($AK78="",1,IFERROR(INDEX('Sublimits and Parts'!$C$78:$C$80,MATCH($AK78,'Sublimits and Parts'!$B$78:$B$80,0)),"?")))</f>
        <v/>
      </c>
      <c r="BX78" s="99" t="str">
        <f>IF($A78="","",IF($AL78="",1,IFERROR(INDEX('Sublimits and Parts'!$C$84:$C$87,MATCH($AL78,'Sublimits and Parts'!$B$84:$B$87,0)),"?")))</f>
        <v/>
      </c>
      <c r="BY78" s="99" t="str">
        <f>IF($A78="","",IF($AM78="",1,IFERROR(INDEX('Sublimits and Parts'!$C$91:$C$94,MATCH($AM78,'Sublimits and Parts'!$B$91:$B$94,0)),"?")))</f>
        <v/>
      </c>
      <c r="BZ78" s="99" t="str">
        <f>IF($A78="","",IF($AN78="",1,IFERROR(INDEX('Sublimits and Parts'!$C$98:$C$101,MATCH($AN78,'Sublimits and Parts'!$B$98:$B$101,0)),"?")))</f>
        <v/>
      </c>
      <c r="CA78" s="99" t="str">
        <f>IF($A78="","",IF($AO78="",1,IFERROR(INDEX('Sublimits and Parts'!$C$105:$C$109,MATCH($AO78,'Sublimits and Parts'!$B$105:$B$109,0)),"?")))</f>
        <v/>
      </c>
      <c r="CB78" s="100" t="str">
        <f t="shared" si="15"/>
        <v/>
      </c>
      <c r="CC78" s="100" t="str">
        <f t="shared" si="16"/>
        <v/>
      </c>
      <c r="CD78" s="103" t="str">
        <f>IF($A78="","",IF(OR($CB78="?",$CC78="?"),"?",MIN($CB78*$CC78,'Technical Premium'!$C$17)))</f>
        <v/>
      </c>
      <c r="CE78" s="102" t="str">
        <f t="shared" si="17"/>
        <v/>
      </c>
      <c r="CF78" s="102" t="str">
        <f>IF($A78="","",IFERROR(INDEX('Territory Factors'!$F$6:$F$56,MATCH($K78,'Territory Factors'!$B$6:$B$56,0)),"?"))</f>
        <v/>
      </c>
      <c r="CG78" s="100" t="str">
        <f>IF($A78="","",IFERROR(INDEX('Usage and Coverage'!$C$79:$C$84,MATCH($Y78,'Usage and Coverage'!$B$79:$B$84,0)),"?"))</f>
        <v/>
      </c>
      <c r="CH78" s="102" t="str">
        <f>IFERROR(IF(ISNUMBER($CD78),$CF78*$CG78*MIN($BG78*$BA78*$BC78*$BD78*$BH78*$BF78,'Technical Premium'!$C$17),""),"")</f>
        <v/>
      </c>
      <c r="CI78" s="102" t="str">
        <f t="shared" si="18"/>
        <v/>
      </c>
      <c r="CJ78" s="102" t="str">
        <f>IFERROR($CI78*(1+'Technical Premium'!$C$5)*(1+'Technical Premium'!$C$6),"")</f>
        <v/>
      </c>
      <c r="CK78" s="102" t="str">
        <f>IFERROR($CE78*INDEX('Territory Factors'!$G$6:$G$56,MATCH($K78,'Territory Factors'!$B$6:$B$56,0))*$AU78*$AV78,"")</f>
        <v/>
      </c>
      <c r="CL78" s="102" t="str">
        <f>IFERROR(($CJ78+$CK78)*(1+'Technical Premium'!$C$7),"")</f>
        <v/>
      </c>
      <c r="CM78" s="104" t="str">
        <f>IFERROR($CL78/'Technical Premium'!$C$13,"")</f>
        <v/>
      </c>
      <c r="CN78" s="105" t="str">
        <f t="shared" si="19"/>
        <v/>
      </c>
      <c r="CO78" s="104" t="str">
        <f t="shared" si="20"/>
        <v/>
      </c>
      <c r="CP78" s="105" t="str">
        <f t="shared" si="21"/>
        <v/>
      </c>
      <c r="CQ78" s="106" t="str">
        <f t="shared" si="22"/>
        <v/>
      </c>
      <c r="CR78" s="102" t="str">
        <f>IF(ISNUMBER($CM78),'Technical Premium'!$C$14+IF($J78&gt;=1000000,'Technical Premium'!$C$15,0),"")</f>
        <v/>
      </c>
      <c r="CS78" s="102" t="str">
        <f>IFERROR(($CO78+$CR78)*(INDEX('Territory Factors'!$K$6:$K$56,MATCH($K78,'Territory Factors'!$B$6:$B$56,0))+'Commission Structure'!$C$21),"")</f>
        <v/>
      </c>
      <c r="CT78" s="104" t="str">
        <f t="shared" si="23"/>
        <v/>
      </c>
      <c r="CU78" s="102" t="str">
        <f>IFERROR($CO78*('Commission Structure'!$C$6+'Commission Structure'!$C$7),"")</f>
        <v/>
      </c>
      <c r="CV78" s="102" t="str">
        <f>IFERROR($CO78*'Commission Structure'!$C$5-$CU78,"")</f>
        <v/>
      </c>
      <c r="CW78" s="102" t="str">
        <f>IFERROR($CO78*(1-'Commission Structure'!$C$5),"")</f>
        <v/>
      </c>
      <c r="CX78" s="107"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8" t="str">
        <f t="shared" si="24"/>
        <v/>
      </c>
      <c r="CZ78" s="99" t="str">
        <f>IF($CY78="","",IF($CY78&lt;'Technical Premium'!$C$19,"BEYOND AUTHORITY",IF($CY78&gt;0.005,"Above technical",IF($CY78&lt;-0.005,"BELOW technical","At technical"))))</f>
        <v/>
      </c>
      <c r="DA78" s="99"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4"/>
      <c r="DC78" s="94"/>
      <c r="DD78" s="95"/>
      <c r="DE78" s="94"/>
      <c r="DF78" s="94"/>
      <c r="DG78" s="99" t="str">
        <f t="shared" si="25"/>
        <v/>
      </c>
      <c r="DH78" s="99" t="str">
        <f>IF($A78="","",IF(OR($CX78="REFER",$CX78="DECLINE"),COUNTIF($CX$5:$CX78,"REFER")+COUNTIF($CX$5:$CX78,"DECLINE"),""))</f>
        <v/>
      </c>
      <c r="DI78" s="94"/>
    </row>
    <row r="79" spans="1:113" x14ac:dyDescent="0.35">
      <c r="A79" s="94"/>
      <c r="B79" s="94"/>
      <c r="C79" s="95"/>
      <c r="D79" s="95"/>
      <c r="E79" s="96"/>
      <c r="F79" s="94"/>
      <c r="G79" s="94"/>
      <c r="H79" s="94"/>
      <c r="I79" s="94"/>
      <c r="J79" s="97"/>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8"/>
      <c r="AR79" s="99" t="str">
        <f t="shared" si="13"/>
        <v/>
      </c>
      <c r="AS79" s="99" t="str">
        <f>IF($A79="","",IF($AP79&lt;&gt;"",$AP79,IFERROR(INDEX('Cat Zone by ZIP'!$D$6:$D$856,MATCH($AR79,'Cat Zone by ZIP'!$B$6:$B$856,0)),IFERROR(INDEX('Cat Zone by ZIP'!$C$860:$C$910,MATCH($K79,'Cat Zone by ZIP'!$B$860:$B$910,0)),"NOT FOUND"))))</f>
        <v/>
      </c>
      <c r="AT79" s="99" t="str">
        <f>IF($A79="","",IF($AP79&lt;&gt;"","Override",IF(ISNUMBER(MATCH($AR79,'Cat Zone by ZIP'!$B$6:$B$856,0)),"ZIP-3","State default")))</f>
        <v/>
      </c>
      <c r="AU79" s="100" t="str">
        <f>IF($A79="","",IFERROR(INDEX('Natural Catastrophe'!$D$6:$D$17,MATCH($AS79,'Natural Catastrophe'!$B$6:$B$17,0)),"?"))</f>
        <v/>
      </c>
      <c r="AV79" s="100" t="str">
        <f>IF($A79="","",IFERROR(INDEX('Natural Catastrophe'!$C$21:$C$26,MATCH($AA79,'Natural Catastrophe'!$B$21:$B$26,0)),"?"))</f>
        <v/>
      </c>
      <c r="AW79" s="99" t="str">
        <f>IF($A79="","",IFERROR(INDEX('Base Rates'!$C$4:$I$4,MATCH(MAX($J79,'Technical Premium'!$C$18),'Base Rates'!$C$3:$I$3,1)),"?"))</f>
        <v/>
      </c>
      <c r="AX79" s="101" t="str">
        <f>IF($A79="","",IFERROR(INDEX('Base Rates'!$C$5:$I$16,MATCH($I79,'Base Rates'!$B$5:$B$16,0),MATCH(MAX($J79,'Technical Premium'!$C$18),'Base Rates'!$C$3:$I$3,1)),"?"))</f>
        <v/>
      </c>
      <c r="AY79" s="102" t="str">
        <f t="shared" si="14"/>
        <v/>
      </c>
      <c r="AZ79" s="99" t="str">
        <f>IF($A79="","",IFERROR(INDEX('Make Factors'!$G$5:$G$69,MATCH($F79,'Make Factors'!$B$5:$B$69,0)),"?"))</f>
        <v/>
      </c>
      <c r="BA79" s="99" t="str">
        <f>IF($A79="","",IFERROR(INDEX('Driver Factors'!$C$6:$C$15,MATCH($R79,'Driver Factors'!$B$6:$B$15,0)),"?"))</f>
        <v/>
      </c>
      <c r="BB79" s="99" t="str">
        <f>IF($A79="","",IFERROR(INDEX('Driver Factors'!$C$19:$C$24,MATCH($S79,'Driver Factors'!$B$19:$B$24,0)),"?"))</f>
        <v/>
      </c>
      <c r="BC79" s="99" t="str">
        <f>IF($A79="","",IFERROR(INDEX('Driver Factors'!$C$28:$C$36,MATCH($T79,'Driver Factors'!$B$28:$B$36,0)),"?"))</f>
        <v/>
      </c>
      <c r="BD79" s="99" t="str">
        <f>IF($A79="","",IFERROR(INDEX('Claims History'!$C$6:$C$15,MATCH($U79,'Claims History'!$B$6:$B$15,0)),"?"))</f>
        <v/>
      </c>
      <c r="BE79" s="99" t="str">
        <f>IF($A79="","",IFERROR(INDEX('Territory Factors'!$E$6:$E$56,MATCH($K79,'Territory Factors'!$B$6:$B$56,0)),"?"))</f>
        <v/>
      </c>
      <c r="BF79" s="99" t="str">
        <f>IF($A79="","",IFERROR(INDEX('City Accident Ratings'!$G$6:$G$54,MATCH($Z79,'City Accident Ratings'!$B$6:$B$54,0)),"?"))</f>
        <v/>
      </c>
      <c r="BG79" s="99" t="str">
        <f>IF($A79="","",IFERROR(INDEX('Usage and Coverage'!$D$6:$D$20,MATCH($N79,'Usage and Coverage'!$C$6:$C$20,0)),"?"))</f>
        <v/>
      </c>
      <c r="BH79" s="99" t="str">
        <f>IF($A79="","",IFERROR(INDEX('Usage and Coverage'!$C$24:$C$30,MATCH($O79,'Usage and Coverage'!$B$24:$B$30,0)),"?"))</f>
        <v/>
      </c>
      <c r="BI79" s="99" t="str">
        <f>IF($A79="","",IFERROR(INDEX('Usage and Coverage'!$C$34:$C$40,MATCH($P79,'Usage and Coverage'!$B$34:$B$40,0)),"?"))</f>
        <v/>
      </c>
      <c r="BJ79" s="99" t="str">
        <f>IF($A79="","",IFERROR(INDEX('Usage and Coverage'!$C$44:$C$49,MATCH($Q79,'Usage and Coverage'!$B$44:$B$49,0)),"?"))</f>
        <v/>
      </c>
      <c r="BK79" s="99" t="str">
        <f>IF($A79="","",IFERROR(INDEX(Deductibles!$C$6:$I$15,MATCH($W79,Deductibles!$B$6:$B$15,0),MATCH(MAX($J79,'Technical Premium'!$C$18),'Base Rates'!$C$3:$I$3,1)),"?"))</f>
        <v/>
      </c>
      <c r="BL79" s="99" t="str">
        <f>IF($A79="","",IFERROR(INDEX('Usage and Coverage'!$C$63:$C$66,MATCH($X79,'Usage and Coverage'!$B$63:$B$66,0)),"?"))</f>
        <v/>
      </c>
      <c r="BM79" s="99" t="str">
        <f>IF($A79="","",IFERROR(INDEX('Usage and Coverage'!$C$70:$C$75,MATCH($V79,'Usage and Coverage'!$B$70:$B$75,0)),"?"))</f>
        <v/>
      </c>
      <c r="BN79" s="99" t="str">
        <f>IF($A79="","",IF($AB79="",1,IFERROR(INDEX(Deductibles!$C$48:$C$51,MATCH($AB79,Deductibles!$B$48:$B$51,0)),"?")))</f>
        <v/>
      </c>
      <c r="BO79" s="99" t="str">
        <f>IF($A79="","",IF($AC79="",1,IFERROR(INDEX(Deductibles!$C$55:$C$57,MATCH($AC79,Deductibles!$B$55:$B$57,0)),"?")))</f>
        <v/>
      </c>
      <c r="BP79" s="99" t="str">
        <f>IF($A79="","",IF($AD79="",1,IFERROR(INDEX(Deductibles!$C$61:$C$63,MATCH($AD79,Deductibles!$B$61:$B$63,0)),"?")))</f>
        <v/>
      </c>
      <c r="BQ79" s="99" t="str">
        <f>IF($A79="","",IF($AE79="",1,IFERROR(INDEX(Deductibles!$C$67:$C$69,MATCH($AE79,Deductibles!$B$67:$B$69,0)),"?")))</f>
        <v/>
      </c>
      <c r="BR79" s="99" t="str">
        <f>IF($A79="","",IF($AF79="",1,IFERROR(INDEX(Deductibles!$C$73:$C$74,MATCH($AF79,Deductibles!$B$73:$B$74,0)),"?")))</f>
        <v/>
      </c>
      <c r="BS79" s="99" t="str">
        <f>IF($A79="","",IF($AG79="",1,IFERROR(INDEX('Sublimits and Parts'!$C$49:$C$52,MATCH($AG79,'Sublimits and Parts'!$B$49:$B$52,0)),"?")))</f>
        <v/>
      </c>
      <c r="BT79" s="99" t="str">
        <f>IF($A79="","",IF($AH79="",1,IFERROR(INDEX('Sublimits and Parts'!$C$56:$C$60,MATCH($AH79,'Sublimits and Parts'!$B$56:$B$60,0)),"?")))</f>
        <v/>
      </c>
      <c r="BU79" s="99" t="str">
        <f>IF($A79="","",IF($AI79="",1,IFERROR(INDEX('Sublimits and Parts'!$C$64:$C$67,MATCH($AI79,'Sublimits and Parts'!$B$64:$B$67,0)),"?")))</f>
        <v/>
      </c>
      <c r="BV79" s="99" t="str">
        <f>IF($A79="","",IF($AJ79="",1,IFERROR(INDEX('Sublimits and Parts'!$C$71:$C$74,MATCH($AJ79,'Sublimits and Parts'!$B$71:$B$74,0)),"?")))</f>
        <v/>
      </c>
      <c r="BW79" s="99" t="str">
        <f>IF($A79="","",IF($AK79="",1,IFERROR(INDEX('Sublimits and Parts'!$C$78:$C$80,MATCH($AK79,'Sublimits and Parts'!$B$78:$B$80,0)),"?")))</f>
        <v/>
      </c>
      <c r="BX79" s="99" t="str">
        <f>IF($A79="","",IF($AL79="",1,IFERROR(INDEX('Sublimits and Parts'!$C$84:$C$87,MATCH($AL79,'Sublimits and Parts'!$B$84:$B$87,0)),"?")))</f>
        <v/>
      </c>
      <c r="BY79" s="99" t="str">
        <f>IF($A79="","",IF($AM79="",1,IFERROR(INDEX('Sublimits and Parts'!$C$91:$C$94,MATCH($AM79,'Sublimits and Parts'!$B$91:$B$94,0)),"?")))</f>
        <v/>
      </c>
      <c r="BZ79" s="99" t="str">
        <f>IF($A79="","",IF($AN79="",1,IFERROR(INDEX('Sublimits and Parts'!$C$98:$C$101,MATCH($AN79,'Sublimits and Parts'!$B$98:$B$101,0)),"?")))</f>
        <v/>
      </c>
      <c r="CA79" s="99" t="str">
        <f>IF($A79="","",IF($AO79="",1,IFERROR(INDEX('Sublimits and Parts'!$C$105:$C$109,MATCH($AO79,'Sublimits and Parts'!$B$105:$B$109,0)),"?")))</f>
        <v/>
      </c>
      <c r="CB79" s="100" t="str">
        <f t="shared" si="15"/>
        <v/>
      </c>
      <c r="CC79" s="100" t="str">
        <f t="shared" si="16"/>
        <v/>
      </c>
      <c r="CD79" s="103" t="str">
        <f>IF($A79="","",IF(OR($CB79="?",$CC79="?"),"?",MIN($CB79*$CC79,'Technical Premium'!$C$17)))</f>
        <v/>
      </c>
      <c r="CE79" s="102" t="str">
        <f t="shared" si="17"/>
        <v/>
      </c>
      <c r="CF79" s="102" t="str">
        <f>IF($A79="","",IFERROR(INDEX('Territory Factors'!$F$6:$F$56,MATCH($K79,'Territory Factors'!$B$6:$B$56,0)),"?"))</f>
        <v/>
      </c>
      <c r="CG79" s="100" t="str">
        <f>IF($A79="","",IFERROR(INDEX('Usage and Coverage'!$C$79:$C$84,MATCH($Y79,'Usage and Coverage'!$B$79:$B$84,0)),"?"))</f>
        <v/>
      </c>
      <c r="CH79" s="102" t="str">
        <f>IFERROR(IF(ISNUMBER($CD79),$CF79*$CG79*MIN($BG79*$BA79*$BC79*$BD79*$BH79*$BF79,'Technical Premium'!$C$17),""),"")</f>
        <v/>
      </c>
      <c r="CI79" s="102" t="str">
        <f t="shared" si="18"/>
        <v/>
      </c>
      <c r="CJ79" s="102" t="str">
        <f>IFERROR($CI79*(1+'Technical Premium'!$C$5)*(1+'Technical Premium'!$C$6),"")</f>
        <v/>
      </c>
      <c r="CK79" s="102" t="str">
        <f>IFERROR($CE79*INDEX('Territory Factors'!$G$6:$G$56,MATCH($K79,'Territory Factors'!$B$6:$B$56,0))*$AU79*$AV79,"")</f>
        <v/>
      </c>
      <c r="CL79" s="102" t="str">
        <f>IFERROR(($CJ79+$CK79)*(1+'Technical Premium'!$C$7),"")</f>
        <v/>
      </c>
      <c r="CM79" s="104" t="str">
        <f>IFERROR($CL79/'Technical Premium'!$C$13,"")</f>
        <v/>
      </c>
      <c r="CN79" s="105" t="str">
        <f t="shared" si="19"/>
        <v/>
      </c>
      <c r="CO79" s="104" t="str">
        <f t="shared" si="20"/>
        <v/>
      </c>
      <c r="CP79" s="105" t="str">
        <f t="shared" si="21"/>
        <v/>
      </c>
      <c r="CQ79" s="106" t="str">
        <f t="shared" si="22"/>
        <v/>
      </c>
      <c r="CR79" s="102" t="str">
        <f>IF(ISNUMBER($CM79),'Technical Premium'!$C$14+IF($J79&gt;=1000000,'Technical Premium'!$C$15,0),"")</f>
        <v/>
      </c>
      <c r="CS79" s="102" t="str">
        <f>IFERROR(($CO79+$CR79)*(INDEX('Territory Factors'!$K$6:$K$56,MATCH($K79,'Territory Factors'!$B$6:$B$56,0))+'Commission Structure'!$C$21),"")</f>
        <v/>
      </c>
      <c r="CT79" s="104" t="str">
        <f t="shared" si="23"/>
        <v/>
      </c>
      <c r="CU79" s="102" t="str">
        <f>IFERROR($CO79*('Commission Structure'!$C$6+'Commission Structure'!$C$7),"")</f>
        <v/>
      </c>
      <c r="CV79" s="102" t="str">
        <f>IFERROR($CO79*'Commission Structure'!$C$5-$CU79,"")</f>
        <v/>
      </c>
      <c r="CW79" s="102" t="str">
        <f>IFERROR($CO79*(1-'Commission Structure'!$C$5),"")</f>
        <v/>
      </c>
      <c r="CX79" s="107"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8" t="str">
        <f t="shared" si="24"/>
        <v/>
      </c>
      <c r="CZ79" s="99" t="str">
        <f>IF($CY79="","",IF($CY79&lt;'Technical Premium'!$C$19,"BEYOND AUTHORITY",IF($CY79&gt;0.005,"Above technical",IF($CY79&lt;-0.005,"BELOW technical","At technical"))))</f>
        <v/>
      </c>
      <c r="DA79" s="99"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4"/>
      <c r="DC79" s="94"/>
      <c r="DD79" s="95"/>
      <c r="DE79" s="94"/>
      <c r="DF79" s="94"/>
      <c r="DG79" s="99" t="str">
        <f t="shared" si="25"/>
        <v/>
      </c>
      <c r="DH79" s="99" t="str">
        <f>IF($A79="","",IF(OR($CX79="REFER",$CX79="DECLINE"),COUNTIF($CX$5:$CX79,"REFER")+COUNTIF($CX$5:$CX79,"DECLINE"),""))</f>
        <v/>
      </c>
      <c r="DI79" s="94"/>
    </row>
    <row r="80" spans="1:113" x14ac:dyDescent="0.35">
      <c r="A80" s="94"/>
      <c r="B80" s="94"/>
      <c r="C80" s="95"/>
      <c r="D80" s="95"/>
      <c r="E80" s="96"/>
      <c r="F80" s="94"/>
      <c r="G80" s="94"/>
      <c r="H80" s="94"/>
      <c r="I80" s="94"/>
      <c r="J80" s="97"/>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8"/>
      <c r="AR80" s="99" t="str">
        <f t="shared" si="13"/>
        <v/>
      </c>
      <c r="AS80" s="99" t="str">
        <f>IF($A80="","",IF($AP80&lt;&gt;"",$AP80,IFERROR(INDEX('Cat Zone by ZIP'!$D$6:$D$856,MATCH($AR80,'Cat Zone by ZIP'!$B$6:$B$856,0)),IFERROR(INDEX('Cat Zone by ZIP'!$C$860:$C$910,MATCH($K80,'Cat Zone by ZIP'!$B$860:$B$910,0)),"NOT FOUND"))))</f>
        <v/>
      </c>
      <c r="AT80" s="99" t="str">
        <f>IF($A80="","",IF($AP80&lt;&gt;"","Override",IF(ISNUMBER(MATCH($AR80,'Cat Zone by ZIP'!$B$6:$B$856,0)),"ZIP-3","State default")))</f>
        <v/>
      </c>
      <c r="AU80" s="100" t="str">
        <f>IF($A80="","",IFERROR(INDEX('Natural Catastrophe'!$D$6:$D$17,MATCH($AS80,'Natural Catastrophe'!$B$6:$B$17,0)),"?"))</f>
        <v/>
      </c>
      <c r="AV80" s="100" t="str">
        <f>IF($A80="","",IFERROR(INDEX('Natural Catastrophe'!$C$21:$C$26,MATCH($AA80,'Natural Catastrophe'!$B$21:$B$26,0)),"?"))</f>
        <v/>
      </c>
      <c r="AW80" s="99" t="str">
        <f>IF($A80="","",IFERROR(INDEX('Base Rates'!$C$4:$I$4,MATCH(MAX($J80,'Technical Premium'!$C$18),'Base Rates'!$C$3:$I$3,1)),"?"))</f>
        <v/>
      </c>
      <c r="AX80" s="101" t="str">
        <f>IF($A80="","",IFERROR(INDEX('Base Rates'!$C$5:$I$16,MATCH($I80,'Base Rates'!$B$5:$B$16,0),MATCH(MAX($J80,'Technical Premium'!$C$18),'Base Rates'!$C$3:$I$3,1)),"?"))</f>
        <v/>
      </c>
      <c r="AY80" s="102" t="str">
        <f t="shared" si="14"/>
        <v/>
      </c>
      <c r="AZ80" s="99" t="str">
        <f>IF($A80="","",IFERROR(INDEX('Make Factors'!$G$5:$G$69,MATCH($F80,'Make Factors'!$B$5:$B$69,0)),"?"))</f>
        <v/>
      </c>
      <c r="BA80" s="99" t="str">
        <f>IF($A80="","",IFERROR(INDEX('Driver Factors'!$C$6:$C$15,MATCH($R80,'Driver Factors'!$B$6:$B$15,0)),"?"))</f>
        <v/>
      </c>
      <c r="BB80" s="99" t="str">
        <f>IF($A80="","",IFERROR(INDEX('Driver Factors'!$C$19:$C$24,MATCH($S80,'Driver Factors'!$B$19:$B$24,0)),"?"))</f>
        <v/>
      </c>
      <c r="BC80" s="99" t="str">
        <f>IF($A80="","",IFERROR(INDEX('Driver Factors'!$C$28:$C$36,MATCH($T80,'Driver Factors'!$B$28:$B$36,0)),"?"))</f>
        <v/>
      </c>
      <c r="BD80" s="99" t="str">
        <f>IF($A80="","",IFERROR(INDEX('Claims History'!$C$6:$C$15,MATCH($U80,'Claims History'!$B$6:$B$15,0)),"?"))</f>
        <v/>
      </c>
      <c r="BE80" s="99" t="str">
        <f>IF($A80="","",IFERROR(INDEX('Territory Factors'!$E$6:$E$56,MATCH($K80,'Territory Factors'!$B$6:$B$56,0)),"?"))</f>
        <v/>
      </c>
      <c r="BF80" s="99" t="str">
        <f>IF($A80="","",IFERROR(INDEX('City Accident Ratings'!$G$6:$G$54,MATCH($Z80,'City Accident Ratings'!$B$6:$B$54,0)),"?"))</f>
        <v/>
      </c>
      <c r="BG80" s="99" t="str">
        <f>IF($A80="","",IFERROR(INDEX('Usage and Coverage'!$D$6:$D$20,MATCH($N80,'Usage and Coverage'!$C$6:$C$20,0)),"?"))</f>
        <v/>
      </c>
      <c r="BH80" s="99" t="str">
        <f>IF($A80="","",IFERROR(INDEX('Usage and Coverage'!$C$24:$C$30,MATCH($O80,'Usage and Coverage'!$B$24:$B$30,0)),"?"))</f>
        <v/>
      </c>
      <c r="BI80" s="99" t="str">
        <f>IF($A80="","",IFERROR(INDEX('Usage and Coverage'!$C$34:$C$40,MATCH($P80,'Usage and Coverage'!$B$34:$B$40,0)),"?"))</f>
        <v/>
      </c>
      <c r="BJ80" s="99" t="str">
        <f>IF($A80="","",IFERROR(INDEX('Usage and Coverage'!$C$44:$C$49,MATCH($Q80,'Usage and Coverage'!$B$44:$B$49,0)),"?"))</f>
        <v/>
      </c>
      <c r="BK80" s="99" t="str">
        <f>IF($A80="","",IFERROR(INDEX(Deductibles!$C$6:$I$15,MATCH($W80,Deductibles!$B$6:$B$15,0),MATCH(MAX($J80,'Technical Premium'!$C$18),'Base Rates'!$C$3:$I$3,1)),"?"))</f>
        <v/>
      </c>
      <c r="BL80" s="99" t="str">
        <f>IF($A80="","",IFERROR(INDEX('Usage and Coverage'!$C$63:$C$66,MATCH($X80,'Usage and Coverage'!$B$63:$B$66,0)),"?"))</f>
        <v/>
      </c>
      <c r="BM80" s="99" t="str">
        <f>IF($A80="","",IFERROR(INDEX('Usage and Coverage'!$C$70:$C$75,MATCH($V80,'Usage and Coverage'!$B$70:$B$75,0)),"?"))</f>
        <v/>
      </c>
      <c r="BN80" s="99" t="str">
        <f>IF($A80="","",IF($AB80="",1,IFERROR(INDEX(Deductibles!$C$48:$C$51,MATCH($AB80,Deductibles!$B$48:$B$51,0)),"?")))</f>
        <v/>
      </c>
      <c r="BO80" s="99" t="str">
        <f>IF($A80="","",IF($AC80="",1,IFERROR(INDEX(Deductibles!$C$55:$C$57,MATCH($AC80,Deductibles!$B$55:$B$57,0)),"?")))</f>
        <v/>
      </c>
      <c r="BP80" s="99" t="str">
        <f>IF($A80="","",IF($AD80="",1,IFERROR(INDEX(Deductibles!$C$61:$C$63,MATCH($AD80,Deductibles!$B$61:$B$63,0)),"?")))</f>
        <v/>
      </c>
      <c r="BQ80" s="99" t="str">
        <f>IF($A80="","",IF($AE80="",1,IFERROR(INDEX(Deductibles!$C$67:$C$69,MATCH($AE80,Deductibles!$B$67:$B$69,0)),"?")))</f>
        <v/>
      </c>
      <c r="BR80" s="99" t="str">
        <f>IF($A80="","",IF($AF80="",1,IFERROR(INDEX(Deductibles!$C$73:$C$74,MATCH($AF80,Deductibles!$B$73:$B$74,0)),"?")))</f>
        <v/>
      </c>
      <c r="BS80" s="99" t="str">
        <f>IF($A80="","",IF($AG80="",1,IFERROR(INDEX('Sublimits and Parts'!$C$49:$C$52,MATCH($AG80,'Sublimits and Parts'!$B$49:$B$52,0)),"?")))</f>
        <v/>
      </c>
      <c r="BT80" s="99" t="str">
        <f>IF($A80="","",IF($AH80="",1,IFERROR(INDEX('Sublimits and Parts'!$C$56:$C$60,MATCH($AH80,'Sublimits and Parts'!$B$56:$B$60,0)),"?")))</f>
        <v/>
      </c>
      <c r="BU80" s="99" t="str">
        <f>IF($A80="","",IF($AI80="",1,IFERROR(INDEX('Sublimits and Parts'!$C$64:$C$67,MATCH($AI80,'Sublimits and Parts'!$B$64:$B$67,0)),"?")))</f>
        <v/>
      </c>
      <c r="BV80" s="99" t="str">
        <f>IF($A80="","",IF($AJ80="",1,IFERROR(INDEX('Sublimits and Parts'!$C$71:$C$74,MATCH($AJ80,'Sublimits and Parts'!$B$71:$B$74,0)),"?")))</f>
        <v/>
      </c>
      <c r="BW80" s="99" t="str">
        <f>IF($A80="","",IF($AK80="",1,IFERROR(INDEX('Sublimits and Parts'!$C$78:$C$80,MATCH($AK80,'Sublimits and Parts'!$B$78:$B$80,0)),"?")))</f>
        <v/>
      </c>
      <c r="BX80" s="99" t="str">
        <f>IF($A80="","",IF($AL80="",1,IFERROR(INDEX('Sublimits and Parts'!$C$84:$C$87,MATCH($AL80,'Sublimits and Parts'!$B$84:$B$87,0)),"?")))</f>
        <v/>
      </c>
      <c r="BY80" s="99" t="str">
        <f>IF($A80="","",IF($AM80="",1,IFERROR(INDEX('Sublimits and Parts'!$C$91:$C$94,MATCH($AM80,'Sublimits and Parts'!$B$91:$B$94,0)),"?")))</f>
        <v/>
      </c>
      <c r="BZ80" s="99" t="str">
        <f>IF($A80="","",IF($AN80="",1,IFERROR(INDEX('Sublimits and Parts'!$C$98:$C$101,MATCH($AN80,'Sublimits and Parts'!$B$98:$B$101,0)),"?")))</f>
        <v/>
      </c>
      <c r="CA80" s="99" t="str">
        <f>IF($A80="","",IF($AO80="",1,IFERROR(INDEX('Sublimits and Parts'!$C$105:$C$109,MATCH($AO80,'Sublimits and Parts'!$B$105:$B$109,0)),"?")))</f>
        <v/>
      </c>
      <c r="CB80" s="100" t="str">
        <f t="shared" si="15"/>
        <v/>
      </c>
      <c r="CC80" s="100" t="str">
        <f t="shared" si="16"/>
        <v/>
      </c>
      <c r="CD80" s="103" t="str">
        <f>IF($A80="","",IF(OR($CB80="?",$CC80="?"),"?",MIN($CB80*$CC80,'Technical Premium'!$C$17)))</f>
        <v/>
      </c>
      <c r="CE80" s="102" t="str">
        <f t="shared" si="17"/>
        <v/>
      </c>
      <c r="CF80" s="102" t="str">
        <f>IF($A80="","",IFERROR(INDEX('Territory Factors'!$F$6:$F$56,MATCH($K80,'Territory Factors'!$B$6:$B$56,0)),"?"))</f>
        <v/>
      </c>
      <c r="CG80" s="100" t="str">
        <f>IF($A80="","",IFERROR(INDEX('Usage and Coverage'!$C$79:$C$84,MATCH($Y80,'Usage and Coverage'!$B$79:$B$84,0)),"?"))</f>
        <v/>
      </c>
      <c r="CH80" s="102" t="str">
        <f>IFERROR(IF(ISNUMBER($CD80),$CF80*$CG80*MIN($BG80*$BA80*$BC80*$BD80*$BH80*$BF80,'Technical Premium'!$C$17),""),"")</f>
        <v/>
      </c>
      <c r="CI80" s="102" t="str">
        <f t="shared" si="18"/>
        <v/>
      </c>
      <c r="CJ80" s="102" t="str">
        <f>IFERROR($CI80*(1+'Technical Premium'!$C$5)*(1+'Technical Premium'!$C$6),"")</f>
        <v/>
      </c>
      <c r="CK80" s="102" t="str">
        <f>IFERROR($CE80*INDEX('Territory Factors'!$G$6:$G$56,MATCH($K80,'Territory Factors'!$B$6:$B$56,0))*$AU80*$AV80,"")</f>
        <v/>
      </c>
      <c r="CL80" s="102" t="str">
        <f>IFERROR(($CJ80+$CK80)*(1+'Technical Premium'!$C$7),"")</f>
        <v/>
      </c>
      <c r="CM80" s="104" t="str">
        <f>IFERROR($CL80/'Technical Premium'!$C$13,"")</f>
        <v/>
      </c>
      <c r="CN80" s="105" t="str">
        <f t="shared" si="19"/>
        <v/>
      </c>
      <c r="CO80" s="104" t="str">
        <f t="shared" si="20"/>
        <v/>
      </c>
      <c r="CP80" s="105" t="str">
        <f t="shared" si="21"/>
        <v/>
      </c>
      <c r="CQ80" s="106" t="str">
        <f t="shared" si="22"/>
        <v/>
      </c>
      <c r="CR80" s="102" t="str">
        <f>IF(ISNUMBER($CM80),'Technical Premium'!$C$14+IF($J80&gt;=1000000,'Technical Premium'!$C$15,0),"")</f>
        <v/>
      </c>
      <c r="CS80" s="102" t="str">
        <f>IFERROR(($CO80+$CR80)*(INDEX('Territory Factors'!$K$6:$K$56,MATCH($K80,'Territory Factors'!$B$6:$B$56,0))+'Commission Structure'!$C$21),"")</f>
        <v/>
      </c>
      <c r="CT80" s="104" t="str">
        <f t="shared" si="23"/>
        <v/>
      </c>
      <c r="CU80" s="102" t="str">
        <f>IFERROR($CO80*('Commission Structure'!$C$6+'Commission Structure'!$C$7),"")</f>
        <v/>
      </c>
      <c r="CV80" s="102" t="str">
        <f>IFERROR($CO80*'Commission Structure'!$C$5-$CU80,"")</f>
        <v/>
      </c>
      <c r="CW80" s="102" t="str">
        <f>IFERROR($CO80*(1-'Commission Structure'!$C$5),"")</f>
        <v/>
      </c>
      <c r="CX80" s="107"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8" t="str">
        <f t="shared" si="24"/>
        <v/>
      </c>
      <c r="CZ80" s="99" t="str">
        <f>IF($CY80="","",IF($CY80&lt;'Technical Premium'!$C$19,"BEYOND AUTHORITY",IF($CY80&gt;0.005,"Above technical",IF($CY80&lt;-0.005,"BELOW technical","At technical"))))</f>
        <v/>
      </c>
      <c r="DA80" s="99"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4"/>
      <c r="DC80" s="94"/>
      <c r="DD80" s="95"/>
      <c r="DE80" s="94"/>
      <c r="DF80" s="94"/>
      <c r="DG80" s="99" t="str">
        <f t="shared" si="25"/>
        <v/>
      </c>
      <c r="DH80" s="99" t="str">
        <f>IF($A80="","",IF(OR($CX80="REFER",$CX80="DECLINE"),COUNTIF($CX$5:$CX80,"REFER")+COUNTIF($CX$5:$CX80,"DECLINE"),""))</f>
        <v/>
      </c>
      <c r="DI80" s="94"/>
    </row>
    <row r="81" spans="1:113" x14ac:dyDescent="0.35">
      <c r="A81" s="94"/>
      <c r="B81" s="94"/>
      <c r="C81" s="95"/>
      <c r="D81" s="95"/>
      <c r="E81" s="96"/>
      <c r="F81" s="94"/>
      <c r="G81" s="94"/>
      <c r="H81" s="94"/>
      <c r="I81" s="94"/>
      <c r="J81" s="97"/>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8"/>
      <c r="AR81" s="99" t="str">
        <f t="shared" si="13"/>
        <v/>
      </c>
      <c r="AS81" s="99" t="str">
        <f>IF($A81="","",IF($AP81&lt;&gt;"",$AP81,IFERROR(INDEX('Cat Zone by ZIP'!$D$6:$D$856,MATCH($AR81,'Cat Zone by ZIP'!$B$6:$B$856,0)),IFERROR(INDEX('Cat Zone by ZIP'!$C$860:$C$910,MATCH($K81,'Cat Zone by ZIP'!$B$860:$B$910,0)),"NOT FOUND"))))</f>
        <v/>
      </c>
      <c r="AT81" s="99" t="str">
        <f>IF($A81="","",IF($AP81&lt;&gt;"","Override",IF(ISNUMBER(MATCH($AR81,'Cat Zone by ZIP'!$B$6:$B$856,0)),"ZIP-3","State default")))</f>
        <v/>
      </c>
      <c r="AU81" s="100" t="str">
        <f>IF($A81="","",IFERROR(INDEX('Natural Catastrophe'!$D$6:$D$17,MATCH($AS81,'Natural Catastrophe'!$B$6:$B$17,0)),"?"))</f>
        <v/>
      </c>
      <c r="AV81" s="100" t="str">
        <f>IF($A81="","",IFERROR(INDEX('Natural Catastrophe'!$C$21:$C$26,MATCH($AA81,'Natural Catastrophe'!$B$21:$B$26,0)),"?"))</f>
        <v/>
      </c>
      <c r="AW81" s="99" t="str">
        <f>IF($A81="","",IFERROR(INDEX('Base Rates'!$C$4:$I$4,MATCH(MAX($J81,'Technical Premium'!$C$18),'Base Rates'!$C$3:$I$3,1)),"?"))</f>
        <v/>
      </c>
      <c r="AX81" s="101" t="str">
        <f>IF($A81="","",IFERROR(INDEX('Base Rates'!$C$5:$I$16,MATCH($I81,'Base Rates'!$B$5:$B$16,0),MATCH(MAX($J81,'Technical Premium'!$C$18),'Base Rates'!$C$3:$I$3,1)),"?"))</f>
        <v/>
      </c>
      <c r="AY81" s="102" t="str">
        <f t="shared" si="14"/>
        <v/>
      </c>
      <c r="AZ81" s="99" t="str">
        <f>IF($A81="","",IFERROR(INDEX('Make Factors'!$G$5:$G$69,MATCH($F81,'Make Factors'!$B$5:$B$69,0)),"?"))</f>
        <v/>
      </c>
      <c r="BA81" s="99" t="str">
        <f>IF($A81="","",IFERROR(INDEX('Driver Factors'!$C$6:$C$15,MATCH($R81,'Driver Factors'!$B$6:$B$15,0)),"?"))</f>
        <v/>
      </c>
      <c r="BB81" s="99" t="str">
        <f>IF($A81="","",IFERROR(INDEX('Driver Factors'!$C$19:$C$24,MATCH($S81,'Driver Factors'!$B$19:$B$24,0)),"?"))</f>
        <v/>
      </c>
      <c r="BC81" s="99" t="str">
        <f>IF($A81="","",IFERROR(INDEX('Driver Factors'!$C$28:$C$36,MATCH($T81,'Driver Factors'!$B$28:$B$36,0)),"?"))</f>
        <v/>
      </c>
      <c r="BD81" s="99" t="str">
        <f>IF($A81="","",IFERROR(INDEX('Claims History'!$C$6:$C$15,MATCH($U81,'Claims History'!$B$6:$B$15,0)),"?"))</f>
        <v/>
      </c>
      <c r="BE81" s="99" t="str">
        <f>IF($A81="","",IFERROR(INDEX('Territory Factors'!$E$6:$E$56,MATCH($K81,'Territory Factors'!$B$6:$B$56,0)),"?"))</f>
        <v/>
      </c>
      <c r="BF81" s="99" t="str">
        <f>IF($A81="","",IFERROR(INDEX('City Accident Ratings'!$G$6:$G$54,MATCH($Z81,'City Accident Ratings'!$B$6:$B$54,0)),"?"))</f>
        <v/>
      </c>
      <c r="BG81" s="99" t="str">
        <f>IF($A81="","",IFERROR(INDEX('Usage and Coverage'!$D$6:$D$20,MATCH($N81,'Usage and Coverage'!$C$6:$C$20,0)),"?"))</f>
        <v/>
      </c>
      <c r="BH81" s="99" t="str">
        <f>IF($A81="","",IFERROR(INDEX('Usage and Coverage'!$C$24:$C$30,MATCH($O81,'Usage and Coverage'!$B$24:$B$30,0)),"?"))</f>
        <v/>
      </c>
      <c r="BI81" s="99" t="str">
        <f>IF($A81="","",IFERROR(INDEX('Usage and Coverage'!$C$34:$C$40,MATCH($P81,'Usage and Coverage'!$B$34:$B$40,0)),"?"))</f>
        <v/>
      </c>
      <c r="BJ81" s="99" t="str">
        <f>IF($A81="","",IFERROR(INDEX('Usage and Coverage'!$C$44:$C$49,MATCH($Q81,'Usage and Coverage'!$B$44:$B$49,0)),"?"))</f>
        <v/>
      </c>
      <c r="BK81" s="99" t="str">
        <f>IF($A81="","",IFERROR(INDEX(Deductibles!$C$6:$I$15,MATCH($W81,Deductibles!$B$6:$B$15,0),MATCH(MAX($J81,'Technical Premium'!$C$18),'Base Rates'!$C$3:$I$3,1)),"?"))</f>
        <v/>
      </c>
      <c r="BL81" s="99" t="str">
        <f>IF($A81="","",IFERROR(INDEX('Usage and Coverage'!$C$63:$C$66,MATCH($X81,'Usage and Coverage'!$B$63:$B$66,0)),"?"))</f>
        <v/>
      </c>
      <c r="BM81" s="99" t="str">
        <f>IF($A81="","",IFERROR(INDEX('Usage and Coverage'!$C$70:$C$75,MATCH($V81,'Usage and Coverage'!$B$70:$B$75,0)),"?"))</f>
        <v/>
      </c>
      <c r="BN81" s="99" t="str">
        <f>IF($A81="","",IF($AB81="",1,IFERROR(INDEX(Deductibles!$C$48:$C$51,MATCH($AB81,Deductibles!$B$48:$B$51,0)),"?")))</f>
        <v/>
      </c>
      <c r="BO81" s="99" t="str">
        <f>IF($A81="","",IF($AC81="",1,IFERROR(INDEX(Deductibles!$C$55:$C$57,MATCH($AC81,Deductibles!$B$55:$B$57,0)),"?")))</f>
        <v/>
      </c>
      <c r="BP81" s="99" t="str">
        <f>IF($A81="","",IF($AD81="",1,IFERROR(INDEX(Deductibles!$C$61:$C$63,MATCH($AD81,Deductibles!$B$61:$B$63,0)),"?")))</f>
        <v/>
      </c>
      <c r="BQ81" s="99" t="str">
        <f>IF($A81="","",IF($AE81="",1,IFERROR(INDEX(Deductibles!$C$67:$C$69,MATCH($AE81,Deductibles!$B$67:$B$69,0)),"?")))</f>
        <v/>
      </c>
      <c r="BR81" s="99" t="str">
        <f>IF($A81="","",IF($AF81="",1,IFERROR(INDEX(Deductibles!$C$73:$C$74,MATCH($AF81,Deductibles!$B$73:$B$74,0)),"?")))</f>
        <v/>
      </c>
      <c r="BS81" s="99" t="str">
        <f>IF($A81="","",IF($AG81="",1,IFERROR(INDEX('Sublimits and Parts'!$C$49:$C$52,MATCH($AG81,'Sublimits and Parts'!$B$49:$B$52,0)),"?")))</f>
        <v/>
      </c>
      <c r="BT81" s="99" t="str">
        <f>IF($A81="","",IF($AH81="",1,IFERROR(INDEX('Sublimits and Parts'!$C$56:$C$60,MATCH($AH81,'Sublimits and Parts'!$B$56:$B$60,0)),"?")))</f>
        <v/>
      </c>
      <c r="BU81" s="99" t="str">
        <f>IF($A81="","",IF($AI81="",1,IFERROR(INDEX('Sublimits and Parts'!$C$64:$C$67,MATCH($AI81,'Sublimits and Parts'!$B$64:$B$67,0)),"?")))</f>
        <v/>
      </c>
      <c r="BV81" s="99" t="str">
        <f>IF($A81="","",IF($AJ81="",1,IFERROR(INDEX('Sublimits and Parts'!$C$71:$C$74,MATCH($AJ81,'Sublimits and Parts'!$B$71:$B$74,0)),"?")))</f>
        <v/>
      </c>
      <c r="BW81" s="99" t="str">
        <f>IF($A81="","",IF($AK81="",1,IFERROR(INDEX('Sublimits and Parts'!$C$78:$C$80,MATCH($AK81,'Sublimits and Parts'!$B$78:$B$80,0)),"?")))</f>
        <v/>
      </c>
      <c r="BX81" s="99" t="str">
        <f>IF($A81="","",IF($AL81="",1,IFERROR(INDEX('Sublimits and Parts'!$C$84:$C$87,MATCH($AL81,'Sublimits and Parts'!$B$84:$B$87,0)),"?")))</f>
        <v/>
      </c>
      <c r="BY81" s="99" t="str">
        <f>IF($A81="","",IF($AM81="",1,IFERROR(INDEX('Sublimits and Parts'!$C$91:$C$94,MATCH($AM81,'Sublimits and Parts'!$B$91:$B$94,0)),"?")))</f>
        <v/>
      </c>
      <c r="BZ81" s="99" t="str">
        <f>IF($A81="","",IF($AN81="",1,IFERROR(INDEX('Sublimits and Parts'!$C$98:$C$101,MATCH($AN81,'Sublimits and Parts'!$B$98:$B$101,0)),"?")))</f>
        <v/>
      </c>
      <c r="CA81" s="99" t="str">
        <f>IF($A81="","",IF($AO81="",1,IFERROR(INDEX('Sublimits and Parts'!$C$105:$C$109,MATCH($AO81,'Sublimits and Parts'!$B$105:$B$109,0)),"?")))</f>
        <v/>
      </c>
      <c r="CB81" s="100" t="str">
        <f t="shared" si="15"/>
        <v/>
      </c>
      <c r="CC81" s="100" t="str">
        <f t="shared" si="16"/>
        <v/>
      </c>
      <c r="CD81" s="103" t="str">
        <f>IF($A81="","",IF(OR($CB81="?",$CC81="?"),"?",MIN($CB81*$CC81,'Technical Premium'!$C$17)))</f>
        <v/>
      </c>
      <c r="CE81" s="102" t="str">
        <f t="shared" si="17"/>
        <v/>
      </c>
      <c r="CF81" s="102" t="str">
        <f>IF($A81="","",IFERROR(INDEX('Territory Factors'!$F$6:$F$56,MATCH($K81,'Territory Factors'!$B$6:$B$56,0)),"?"))</f>
        <v/>
      </c>
      <c r="CG81" s="100" t="str">
        <f>IF($A81="","",IFERROR(INDEX('Usage and Coverage'!$C$79:$C$84,MATCH($Y81,'Usage and Coverage'!$B$79:$B$84,0)),"?"))</f>
        <v/>
      </c>
      <c r="CH81" s="102" t="str">
        <f>IFERROR(IF(ISNUMBER($CD81),$CF81*$CG81*MIN($BG81*$BA81*$BC81*$BD81*$BH81*$BF81,'Technical Premium'!$C$17),""),"")</f>
        <v/>
      </c>
      <c r="CI81" s="102" t="str">
        <f t="shared" si="18"/>
        <v/>
      </c>
      <c r="CJ81" s="102" t="str">
        <f>IFERROR($CI81*(1+'Technical Premium'!$C$5)*(1+'Technical Premium'!$C$6),"")</f>
        <v/>
      </c>
      <c r="CK81" s="102" t="str">
        <f>IFERROR($CE81*INDEX('Territory Factors'!$G$6:$G$56,MATCH($K81,'Territory Factors'!$B$6:$B$56,0))*$AU81*$AV81,"")</f>
        <v/>
      </c>
      <c r="CL81" s="102" t="str">
        <f>IFERROR(($CJ81+$CK81)*(1+'Technical Premium'!$C$7),"")</f>
        <v/>
      </c>
      <c r="CM81" s="104" t="str">
        <f>IFERROR($CL81/'Technical Premium'!$C$13,"")</f>
        <v/>
      </c>
      <c r="CN81" s="105" t="str">
        <f t="shared" si="19"/>
        <v/>
      </c>
      <c r="CO81" s="104" t="str">
        <f t="shared" si="20"/>
        <v/>
      </c>
      <c r="CP81" s="105" t="str">
        <f t="shared" si="21"/>
        <v/>
      </c>
      <c r="CQ81" s="106" t="str">
        <f t="shared" si="22"/>
        <v/>
      </c>
      <c r="CR81" s="102" t="str">
        <f>IF(ISNUMBER($CM81),'Technical Premium'!$C$14+IF($J81&gt;=1000000,'Technical Premium'!$C$15,0),"")</f>
        <v/>
      </c>
      <c r="CS81" s="102" t="str">
        <f>IFERROR(($CO81+$CR81)*(INDEX('Territory Factors'!$K$6:$K$56,MATCH($K81,'Territory Factors'!$B$6:$B$56,0))+'Commission Structure'!$C$21),"")</f>
        <v/>
      </c>
      <c r="CT81" s="104" t="str">
        <f t="shared" si="23"/>
        <v/>
      </c>
      <c r="CU81" s="102" t="str">
        <f>IFERROR($CO81*('Commission Structure'!$C$6+'Commission Structure'!$C$7),"")</f>
        <v/>
      </c>
      <c r="CV81" s="102" t="str">
        <f>IFERROR($CO81*'Commission Structure'!$C$5-$CU81,"")</f>
        <v/>
      </c>
      <c r="CW81" s="102" t="str">
        <f>IFERROR($CO81*(1-'Commission Structure'!$C$5),"")</f>
        <v/>
      </c>
      <c r="CX81" s="107"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8" t="str">
        <f t="shared" si="24"/>
        <v/>
      </c>
      <c r="CZ81" s="99" t="str">
        <f>IF($CY81="","",IF($CY81&lt;'Technical Premium'!$C$19,"BEYOND AUTHORITY",IF($CY81&gt;0.005,"Above technical",IF($CY81&lt;-0.005,"BELOW technical","At technical"))))</f>
        <v/>
      </c>
      <c r="DA81" s="99"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4"/>
      <c r="DC81" s="94"/>
      <c r="DD81" s="95"/>
      <c r="DE81" s="94"/>
      <c r="DF81" s="94"/>
      <c r="DG81" s="99" t="str">
        <f t="shared" si="25"/>
        <v/>
      </c>
      <c r="DH81" s="99" t="str">
        <f>IF($A81="","",IF(OR($CX81="REFER",$CX81="DECLINE"),COUNTIF($CX$5:$CX81,"REFER")+COUNTIF($CX$5:$CX81,"DECLINE"),""))</f>
        <v/>
      </c>
      <c r="DI81" s="94"/>
    </row>
    <row r="82" spans="1:113" x14ac:dyDescent="0.35">
      <c r="A82" s="94"/>
      <c r="B82" s="94"/>
      <c r="C82" s="95"/>
      <c r="D82" s="95"/>
      <c r="E82" s="96"/>
      <c r="F82" s="94"/>
      <c r="G82" s="94"/>
      <c r="H82" s="94"/>
      <c r="I82" s="94"/>
      <c r="J82" s="97"/>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8"/>
      <c r="AR82" s="99" t="str">
        <f t="shared" si="13"/>
        <v/>
      </c>
      <c r="AS82" s="99" t="str">
        <f>IF($A82="","",IF($AP82&lt;&gt;"",$AP82,IFERROR(INDEX('Cat Zone by ZIP'!$D$6:$D$856,MATCH($AR82,'Cat Zone by ZIP'!$B$6:$B$856,0)),IFERROR(INDEX('Cat Zone by ZIP'!$C$860:$C$910,MATCH($K82,'Cat Zone by ZIP'!$B$860:$B$910,0)),"NOT FOUND"))))</f>
        <v/>
      </c>
      <c r="AT82" s="99" t="str">
        <f>IF($A82="","",IF($AP82&lt;&gt;"","Override",IF(ISNUMBER(MATCH($AR82,'Cat Zone by ZIP'!$B$6:$B$856,0)),"ZIP-3","State default")))</f>
        <v/>
      </c>
      <c r="AU82" s="100" t="str">
        <f>IF($A82="","",IFERROR(INDEX('Natural Catastrophe'!$D$6:$D$17,MATCH($AS82,'Natural Catastrophe'!$B$6:$B$17,0)),"?"))</f>
        <v/>
      </c>
      <c r="AV82" s="100" t="str">
        <f>IF($A82="","",IFERROR(INDEX('Natural Catastrophe'!$C$21:$C$26,MATCH($AA82,'Natural Catastrophe'!$B$21:$B$26,0)),"?"))</f>
        <v/>
      </c>
      <c r="AW82" s="99" t="str">
        <f>IF($A82="","",IFERROR(INDEX('Base Rates'!$C$4:$I$4,MATCH(MAX($J82,'Technical Premium'!$C$18),'Base Rates'!$C$3:$I$3,1)),"?"))</f>
        <v/>
      </c>
      <c r="AX82" s="101" t="str">
        <f>IF($A82="","",IFERROR(INDEX('Base Rates'!$C$5:$I$16,MATCH($I82,'Base Rates'!$B$5:$B$16,0),MATCH(MAX($J82,'Technical Premium'!$C$18),'Base Rates'!$C$3:$I$3,1)),"?"))</f>
        <v/>
      </c>
      <c r="AY82" s="102" t="str">
        <f t="shared" si="14"/>
        <v/>
      </c>
      <c r="AZ82" s="99" t="str">
        <f>IF($A82="","",IFERROR(INDEX('Make Factors'!$G$5:$G$69,MATCH($F82,'Make Factors'!$B$5:$B$69,0)),"?"))</f>
        <v/>
      </c>
      <c r="BA82" s="99" t="str">
        <f>IF($A82="","",IFERROR(INDEX('Driver Factors'!$C$6:$C$15,MATCH($R82,'Driver Factors'!$B$6:$B$15,0)),"?"))</f>
        <v/>
      </c>
      <c r="BB82" s="99" t="str">
        <f>IF($A82="","",IFERROR(INDEX('Driver Factors'!$C$19:$C$24,MATCH($S82,'Driver Factors'!$B$19:$B$24,0)),"?"))</f>
        <v/>
      </c>
      <c r="BC82" s="99" t="str">
        <f>IF($A82="","",IFERROR(INDEX('Driver Factors'!$C$28:$C$36,MATCH($T82,'Driver Factors'!$B$28:$B$36,0)),"?"))</f>
        <v/>
      </c>
      <c r="BD82" s="99" t="str">
        <f>IF($A82="","",IFERROR(INDEX('Claims History'!$C$6:$C$15,MATCH($U82,'Claims History'!$B$6:$B$15,0)),"?"))</f>
        <v/>
      </c>
      <c r="BE82" s="99" t="str">
        <f>IF($A82="","",IFERROR(INDEX('Territory Factors'!$E$6:$E$56,MATCH($K82,'Territory Factors'!$B$6:$B$56,0)),"?"))</f>
        <v/>
      </c>
      <c r="BF82" s="99" t="str">
        <f>IF($A82="","",IFERROR(INDEX('City Accident Ratings'!$G$6:$G$54,MATCH($Z82,'City Accident Ratings'!$B$6:$B$54,0)),"?"))</f>
        <v/>
      </c>
      <c r="BG82" s="99" t="str">
        <f>IF($A82="","",IFERROR(INDEX('Usage and Coverage'!$D$6:$D$20,MATCH($N82,'Usage and Coverage'!$C$6:$C$20,0)),"?"))</f>
        <v/>
      </c>
      <c r="BH82" s="99" t="str">
        <f>IF($A82="","",IFERROR(INDEX('Usage and Coverage'!$C$24:$C$30,MATCH($O82,'Usage and Coverage'!$B$24:$B$30,0)),"?"))</f>
        <v/>
      </c>
      <c r="BI82" s="99" t="str">
        <f>IF($A82="","",IFERROR(INDEX('Usage and Coverage'!$C$34:$C$40,MATCH($P82,'Usage and Coverage'!$B$34:$B$40,0)),"?"))</f>
        <v/>
      </c>
      <c r="BJ82" s="99" t="str">
        <f>IF($A82="","",IFERROR(INDEX('Usage and Coverage'!$C$44:$C$49,MATCH($Q82,'Usage and Coverage'!$B$44:$B$49,0)),"?"))</f>
        <v/>
      </c>
      <c r="BK82" s="99" t="str">
        <f>IF($A82="","",IFERROR(INDEX(Deductibles!$C$6:$I$15,MATCH($W82,Deductibles!$B$6:$B$15,0),MATCH(MAX($J82,'Technical Premium'!$C$18),'Base Rates'!$C$3:$I$3,1)),"?"))</f>
        <v/>
      </c>
      <c r="BL82" s="99" t="str">
        <f>IF($A82="","",IFERROR(INDEX('Usage and Coverage'!$C$63:$C$66,MATCH($X82,'Usage and Coverage'!$B$63:$B$66,0)),"?"))</f>
        <v/>
      </c>
      <c r="BM82" s="99" t="str">
        <f>IF($A82="","",IFERROR(INDEX('Usage and Coverage'!$C$70:$C$75,MATCH($V82,'Usage and Coverage'!$B$70:$B$75,0)),"?"))</f>
        <v/>
      </c>
      <c r="BN82" s="99" t="str">
        <f>IF($A82="","",IF($AB82="",1,IFERROR(INDEX(Deductibles!$C$48:$C$51,MATCH($AB82,Deductibles!$B$48:$B$51,0)),"?")))</f>
        <v/>
      </c>
      <c r="BO82" s="99" t="str">
        <f>IF($A82="","",IF($AC82="",1,IFERROR(INDEX(Deductibles!$C$55:$C$57,MATCH($AC82,Deductibles!$B$55:$B$57,0)),"?")))</f>
        <v/>
      </c>
      <c r="BP82" s="99" t="str">
        <f>IF($A82="","",IF($AD82="",1,IFERROR(INDEX(Deductibles!$C$61:$C$63,MATCH($AD82,Deductibles!$B$61:$B$63,0)),"?")))</f>
        <v/>
      </c>
      <c r="BQ82" s="99" t="str">
        <f>IF($A82="","",IF($AE82="",1,IFERROR(INDEX(Deductibles!$C$67:$C$69,MATCH($AE82,Deductibles!$B$67:$B$69,0)),"?")))</f>
        <v/>
      </c>
      <c r="BR82" s="99" t="str">
        <f>IF($A82="","",IF($AF82="",1,IFERROR(INDEX(Deductibles!$C$73:$C$74,MATCH($AF82,Deductibles!$B$73:$B$74,0)),"?")))</f>
        <v/>
      </c>
      <c r="BS82" s="99" t="str">
        <f>IF($A82="","",IF($AG82="",1,IFERROR(INDEX('Sublimits and Parts'!$C$49:$C$52,MATCH($AG82,'Sublimits and Parts'!$B$49:$B$52,0)),"?")))</f>
        <v/>
      </c>
      <c r="BT82" s="99" t="str">
        <f>IF($A82="","",IF($AH82="",1,IFERROR(INDEX('Sublimits and Parts'!$C$56:$C$60,MATCH($AH82,'Sublimits and Parts'!$B$56:$B$60,0)),"?")))</f>
        <v/>
      </c>
      <c r="BU82" s="99" t="str">
        <f>IF($A82="","",IF($AI82="",1,IFERROR(INDEX('Sublimits and Parts'!$C$64:$C$67,MATCH($AI82,'Sublimits and Parts'!$B$64:$B$67,0)),"?")))</f>
        <v/>
      </c>
      <c r="BV82" s="99" t="str">
        <f>IF($A82="","",IF($AJ82="",1,IFERROR(INDEX('Sublimits and Parts'!$C$71:$C$74,MATCH($AJ82,'Sublimits and Parts'!$B$71:$B$74,0)),"?")))</f>
        <v/>
      </c>
      <c r="BW82" s="99" t="str">
        <f>IF($A82="","",IF($AK82="",1,IFERROR(INDEX('Sublimits and Parts'!$C$78:$C$80,MATCH($AK82,'Sublimits and Parts'!$B$78:$B$80,0)),"?")))</f>
        <v/>
      </c>
      <c r="BX82" s="99" t="str">
        <f>IF($A82="","",IF($AL82="",1,IFERROR(INDEX('Sublimits and Parts'!$C$84:$C$87,MATCH($AL82,'Sublimits and Parts'!$B$84:$B$87,0)),"?")))</f>
        <v/>
      </c>
      <c r="BY82" s="99" t="str">
        <f>IF($A82="","",IF($AM82="",1,IFERROR(INDEX('Sublimits and Parts'!$C$91:$C$94,MATCH($AM82,'Sublimits and Parts'!$B$91:$B$94,0)),"?")))</f>
        <v/>
      </c>
      <c r="BZ82" s="99" t="str">
        <f>IF($A82="","",IF($AN82="",1,IFERROR(INDEX('Sublimits and Parts'!$C$98:$C$101,MATCH($AN82,'Sublimits and Parts'!$B$98:$B$101,0)),"?")))</f>
        <v/>
      </c>
      <c r="CA82" s="99" t="str">
        <f>IF($A82="","",IF($AO82="",1,IFERROR(INDEX('Sublimits and Parts'!$C$105:$C$109,MATCH($AO82,'Sublimits and Parts'!$B$105:$B$109,0)),"?")))</f>
        <v/>
      </c>
      <c r="CB82" s="100" t="str">
        <f t="shared" si="15"/>
        <v/>
      </c>
      <c r="CC82" s="100" t="str">
        <f t="shared" si="16"/>
        <v/>
      </c>
      <c r="CD82" s="103" t="str">
        <f>IF($A82="","",IF(OR($CB82="?",$CC82="?"),"?",MIN($CB82*$CC82,'Technical Premium'!$C$17)))</f>
        <v/>
      </c>
      <c r="CE82" s="102" t="str">
        <f t="shared" si="17"/>
        <v/>
      </c>
      <c r="CF82" s="102" t="str">
        <f>IF($A82="","",IFERROR(INDEX('Territory Factors'!$F$6:$F$56,MATCH($K82,'Territory Factors'!$B$6:$B$56,0)),"?"))</f>
        <v/>
      </c>
      <c r="CG82" s="100" t="str">
        <f>IF($A82="","",IFERROR(INDEX('Usage and Coverage'!$C$79:$C$84,MATCH($Y82,'Usage and Coverage'!$B$79:$B$84,0)),"?"))</f>
        <v/>
      </c>
      <c r="CH82" s="102" t="str">
        <f>IFERROR(IF(ISNUMBER($CD82),$CF82*$CG82*MIN($BG82*$BA82*$BC82*$BD82*$BH82*$BF82,'Technical Premium'!$C$17),""),"")</f>
        <v/>
      </c>
      <c r="CI82" s="102" t="str">
        <f t="shared" si="18"/>
        <v/>
      </c>
      <c r="CJ82" s="102" t="str">
        <f>IFERROR($CI82*(1+'Technical Premium'!$C$5)*(1+'Technical Premium'!$C$6),"")</f>
        <v/>
      </c>
      <c r="CK82" s="102" t="str">
        <f>IFERROR($CE82*INDEX('Territory Factors'!$G$6:$G$56,MATCH($K82,'Territory Factors'!$B$6:$B$56,0))*$AU82*$AV82,"")</f>
        <v/>
      </c>
      <c r="CL82" s="102" t="str">
        <f>IFERROR(($CJ82+$CK82)*(1+'Technical Premium'!$C$7),"")</f>
        <v/>
      </c>
      <c r="CM82" s="104" t="str">
        <f>IFERROR($CL82/'Technical Premium'!$C$13,"")</f>
        <v/>
      </c>
      <c r="CN82" s="105" t="str">
        <f t="shared" si="19"/>
        <v/>
      </c>
      <c r="CO82" s="104" t="str">
        <f t="shared" si="20"/>
        <v/>
      </c>
      <c r="CP82" s="105" t="str">
        <f t="shared" si="21"/>
        <v/>
      </c>
      <c r="CQ82" s="106" t="str">
        <f t="shared" si="22"/>
        <v/>
      </c>
      <c r="CR82" s="102" t="str">
        <f>IF(ISNUMBER($CM82),'Technical Premium'!$C$14+IF($J82&gt;=1000000,'Technical Premium'!$C$15,0),"")</f>
        <v/>
      </c>
      <c r="CS82" s="102" t="str">
        <f>IFERROR(($CO82+$CR82)*(INDEX('Territory Factors'!$K$6:$K$56,MATCH($K82,'Territory Factors'!$B$6:$B$56,0))+'Commission Structure'!$C$21),"")</f>
        <v/>
      </c>
      <c r="CT82" s="104" t="str">
        <f t="shared" si="23"/>
        <v/>
      </c>
      <c r="CU82" s="102" t="str">
        <f>IFERROR($CO82*('Commission Structure'!$C$6+'Commission Structure'!$C$7),"")</f>
        <v/>
      </c>
      <c r="CV82" s="102" t="str">
        <f>IFERROR($CO82*'Commission Structure'!$C$5-$CU82,"")</f>
        <v/>
      </c>
      <c r="CW82" s="102" t="str">
        <f>IFERROR($CO82*(1-'Commission Structure'!$C$5),"")</f>
        <v/>
      </c>
      <c r="CX82" s="107"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8" t="str">
        <f t="shared" si="24"/>
        <v/>
      </c>
      <c r="CZ82" s="99" t="str">
        <f>IF($CY82="","",IF($CY82&lt;'Technical Premium'!$C$19,"BEYOND AUTHORITY",IF($CY82&gt;0.005,"Above technical",IF($CY82&lt;-0.005,"BELOW technical","At technical"))))</f>
        <v/>
      </c>
      <c r="DA82" s="99"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4"/>
      <c r="DC82" s="94"/>
      <c r="DD82" s="95"/>
      <c r="DE82" s="94"/>
      <c r="DF82" s="94"/>
      <c r="DG82" s="99" t="str">
        <f t="shared" si="25"/>
        <v/>
      </c>
      <c r="DH82" s="99" t="str">
        <f>IF($A82="","",IF(OR($CX82="REFER",$CX82="DECLINE"),COUNTIF($CX$5:$CX82,"REFER")+COUNTIF($CX$5:$CX82,"DECLINE"),""))</f>
        <v/>
      </c>
      <c r="DI82" s="94"/>
    </row>
    <row r="83" spans="1:113" x14ac:dyDescent="0.35">
      <c r="A83" s="94"/>
      <c r="B83" s="94"/>
      <c r="C83" s="95"/>
      <c r="D83" s="95"/>
      <c r="E83" s="96"/>
      <c r="F83" s="94"/>
      <c r="G83" s="94"/>
      <c r="H83" s="94"/>
      <c r="I83" s="94"/>
      <c r="J83" s="97"/>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8"/>
      <c r="AR83" s="99" t="str">
        <f t="shared" si="13"/>
        <v/>
      </c>
      <c r="AS83" s="99" t="str">
        <f>IF($A83="","",IF($AP83&lt;&gt;"",$AP83,IFERROR(INDEX('Cat Zone by ZIP'!$D$6:$D$856,MATCH($AR83,'Cat Zone by ZIP'!$B$6:$B$856,0)),IFERROR(INDEX('Cat Zone by ZIP'!$C$860:$C$910,MATCH($K83,'Cat Zone by ZIP'!$B$860:$B$910,0)),"NOT FOUND"))))</f>
        <v/>
      </c>
      <c r="AT83" s="99" t="str">
        <f>IF($A83="","",IF($AP83&lt;&gt;"","Override",IF(ISNUMBER(MATCH($AR83,'Cat Zone by ZIP'!$B$6:$B$856,0)),"ZIP-3","State default")))</f>
        <v/>
      </c>
      <c r="AU83" s="100" t="str">
        <f>IF($A83="","",IFERROR(INDEX('Natural Catastrophe'!$D$6:$D$17,MATCH($AS83,'Natural Catastrophe'!$B$6:$B$17,0)),"?"))</f>
        <v/>
      </c>
      <c r="AV83" s="100" t="str">
        <f>IF($A83="","",IFERROR(INDEX('Natural Catastrophe'!$C$21:$C$26,MATCH($AA83,'Natural Catastrophe'!$B$21:$B$26,0)),"?"))</f>
        <v/>
      </c>
      <c r="AW83" s="99" t="str">
        <f>IF($A83="","",IFERROR(INDEX('Base Rates'!$C$4:$I$4,MATCH(MAX($J83,'Technical Premium'!$C$18),'Base Rates'!$C$3:$I$3,1)),"?"))</f>
        <v/>
      </c>
      <c r="AX83" s="101" t="str">
        <f>IF($A83="","",IFERROR(INDEX('Base Rates'!$C$5:$I$16,MATCH($I83,'Base Rates'!$B$5:$B$16,0),MATCH(MAX($J83,'Technical Premium'!$C$18),'Base Rates'!$C$3:$I$3,1)),"?"))</f>
        <v/>
      </c>
      <c r="AY83" s="102" t="str">
        <f t="shared" si="14"/>
        <v/>
      </c>
      <c r="AZ83" s="99" t="str">
        <f>IF($A83="","",IFERROR(INDEX('Make Factors'!$G$5:$G$69,MATCH($F83,'Make Factors'!$B$5:$B$69,0)),"?"))</f>
        <v/>
      </c>
      <c r="BA83" s="99" t="str">
        <f>IF($A83="","",IFERROR(INDEX('Driver Factors'!$C$6:$C$15,MATCH($R83,'Driver Factors'!$B$6:$B$15,0)),"?"))</f>
        <v/>
      </c>
      <c r="BB83" s="99" t="str">
        <f>IF($A83="","",IFERROR(INDEX('Driver Factors'!$C$19:$C$24,MATCH($S83,'Driver Factors'!$B$19:$B$24,0)),"?"))</f>
        <v/>
      </c>
      <c r="BC83" s="99" t="str">
        <f>IF($A83="","",IFERROR(INDEX('Driver Factors'!$C$28:$C$36,MATCH($T83,'Driver Factors'!$B$28:$B$36,0)),"?"))</f>
        <v/>
      </c>
      <c r="BD83" s="99" t="str">
        <f>IF($A83="","",IFERROR(INDEX('Claims History'!$C$6:$C$15,MATCH($U83,'Claims History'!$B$6:$B$15,0)),"?"))</f>
        <v/>
      </c>
      <c r="BE83" s="99" t="str">
        <f>IF($A83="","",IFERROR(INDEX('Territory Factors'!$E$6:$E$56,MATCH($K83,'Territory Factors'!$B$6:$B$56,0)),"?"))</f>
        <v/>
      </c>
      <c r="BF83" s="99" t="str">
        <f>IF($A83="","",IFERROR(INDEX('City Accident Ratings'!$G$6:$G$54,MATCH($Z83,'City Accident Ratings'!$B$6:$B$54,0)),"?"))</f>
        <v/>
      </c>
      <c r="BG83" s="99" t="str">
        <f>IF($A83="","",IFERROR(INDEX('Usage and Coverage'!$D$6:$D$20,MATCH($N83,'Usage and Coverage'!$C$6:$C$20,0)),"?"))</f>
        <v/>
      </c>
      <c r="BH83" s="99" t="str">
        <f>IF($A83="","",IFERROR(INDEX('Usage and Coverage'!$C$24:$C$30,MATCH($O83,'Usage and Coverage'!$B$24:$B$30,0)),"?"))</f>
        <v/>
      </c>
      <c r="BI83" s="99" t="str">
        <f>IF($A83="","",IFERROR(INDEX('Usage and Coverage'!$C$34:$C$40,MATCH($P83,'Usage and Coverage'!$B$34:$B$40,0)),"?"))</f>
        <v/>
      </c>
      <c r="BJ83" s="99" t="str">
        <f>IF($A83="","",IFERROR(INDEX('Usage and Coverage'!$C$44:$C$49,MATCH($Q83,'Usage and Coverage'!$B$44:$B$49,0)),"?"))</f>
        <v/>
      </c>
      <c r="BK83" s="99" t="str">
        <f>IF($A83="","",IFERROR(INDEX(Deductibles!$C$6:$I$15,MATCH($W83,Deductibles!$B$6:$B$15,0),MATCH(MAX($J83,'Technical Premium'!$C$18),'Base Rates'!$C$3:$I$3,1)),"?"))</f>
        <v/>
      </c>
      <c r="BL83" s="99" t="str">
        <f>IF($A83="","",IFERROR(INDEX('Usage and Coverage'!$C$63:$C$66,MATCH($X83,'Usage and Coverage'!$B$63:$B$66,0)),"?"))</f>
        <v/>
      </c>
      <c r="BM83" s="99" t="str">
        <f>IF($A83="","",IFERROR(INDEX('Usage and Coverage'!$C$70:$C$75,MATCH($V83,'Usage and Coverage'!$B$70:$B$75,0)),"?"))</f>
        <v/>
      </c>
      <c r="BN83" s="99" t="str">
        <f>IF($A83="","",IF($AB83="",1,IFERROR(INDEX(Deductibles!$C$48:$C$51,MATCH($AB83,Deductibles!$B$48:$B$51,0)),"?")))</f>
        <v/>
      </c>
      <c r="BO83" s="99" t="str">
        <f>IF($A83="","",IF($AC83="",1,IFERROR(INDEX(Deductibles!$C$55:$C$57,MATCH($AC83,Deductibles!$B$55:$B$57,0)),"?")))</f>
        <v/>
      </c>
      <c r="BP83" s="99" t="str">
        <f>IF($A83="","",IF($AD83="",1,IFERROR(INDEX(Deductibles!$C$61:$C$63,MATCH($AD83,Deductibles!$B$61:$B$63,0)),"?")))</f>
        <v/>
      </c>
      <c r="BQ83" s="99" t="str">
        <f>IF($A83="","",IF($AE83="",1,IFERROR(INDEX(Deductibles!$C$67:$C$69,MATCH($AE83,Deductibles!$B$67:$B$69,0)),"?")))</f>
        <v/>
      </c>
      <c r="BR83" s="99" t="str">
        <f>IF($A83="","",IF($AF83="",1,IFERROR(INDEX(Deductibles!$C$73:$C$74,MATCH($AF83,Deductibles!$B$73:$B$74,0)),"?")))</f>
        <v/>
      </c>
      <c r="BS83" s="99" t="str">
        <f>IF($A83="","",IF($AG83="",1,IFERROR(INDEX('Sublimits and Parts'!$C$49:$C$52,MATCH($AG83,'Sublimits and Parts'!$B$49:$B$52,0)),"?")))</f>
        <v/>
      </c>
      <c r="BT83" s="99" t="str">
        <f>IF($A83="","",IF($AH83="",1,IFERROR(INDEX('Sublimits and Parts'!$C$56:$C$60,MATCH($AH83,'Sublimits and Parts'!$B$56:$B$60,0)),"?")))</f>
        <v/>
      </c>
      <c r="BU83" s="99" t="str">
        <f>IF($A83="","",IF($AI83="",1,IFERROR(INDEX('Sublimits and Parts'!$C$64:$C$67,MATCH($AI83,'Sublimits and Parts'!$B$64:$B$67,0)),"?")))</f>
        <v/>
      </c>
      <c r="BV83" s="99" t="str">
        <f>IF($A83="","",IF($AJ83="",1,IFERROR(INDEX('Sublimits and Parts'!$C$71:$C$74,MATCH($AJ83,'Sublimits and Parts'!$B$71:$B$74,0)),"?")))</f>
        <v/>
      </c>
      <c r="BW83" s="99" t="str">
        <f>IF($A83="","",IF($AK83="",1,IFERROR(INDEX('Sublimits and Parts'!$C$78:$C$80,MATCH($AK83,'Sublimits and Parts'!$B$78:$B$80,0)),"?")))</f>
        <v/>
      </c>
      <c r="BX83" s="99" t="str">
        <f>IF($A83="","",IF($AL83="",1,IFERROR(INDEX('Sublimits and Parts'!$C$84:$C$87,MATCH($AL83,'Sublimits and Parts'!$B$84:$B$87,0)),"?")))</f>
        <v/>
      </c>
      <c r="BY83" s="99" t="str">
        <f>IF($A83="","",IF($AM83="",1,IFERROR(INDEX('Sublimits and Parts'!$C$91:$C$94,MATCH($AM83,'Sublimits and Parts'!$B$91:$B$94,0)),"?")))</f>
        <v/>
      </c>
      <c r="BZ83" s="99" t="str">
        <f>IF($A83="","",IF($AN83="",1,IFERROR(INDEX('Sublimits and Parts'!$C$98:$C$101,MATCH($AN83,'Sublimits and Parts'!$B$98:$B$101,0)),"?")))</f>
        <v/>
      </c>
      <c r="CA83" s="99" t="str">
        <f>IF($A83="","",IF($AO83="",1,IFERROR(INDEX('Sublimits and Parts'!$C$105:$C$109,MATCH($AO83,'Sublimits and Parts'!$B$105:$B$109,0)),"?")))</f>
        <v/>
      </c>
      <c r="CB83" s="100" t="str">
        <f t="shared" si="15"/>
        <v/>
      </c>
      <c r="CC83" s="100" t="str">
        <f t="shared" si="16"/>
        <v/>
      </c>
      <c r="CD83" s="103" t="str">
        <f>IF($A83="","",IF(OR($CB83="?",$CC83="?"),"?",MIN($CB83*$CC83,'Technical Premium'!$C$17)))</f>
        <v/>
      </c>
      <c r="CE83" s="102" t="str">
        <f t="shared" si="17"/>
        <v/>
      </c>
      <c r="CF83" s="102" t="str">
        <f>IF($A83="","",IFERROR(INDEX('Territory Factors'!$F$6:$F$56,MATCH($K83,'Territory Factors'!$B$6:$B$56,0)),"?"))</f>
        <v/>
      </c>
      <c r="CG83" s="100" t="str">
        <f>IF($A83="","",IFERROR(INDEX('Usage and Coverage'!$C$79:$C$84,MATCH($Y83,'Usage and Coverage'!$B$79:$B$84,0)),"?"))</f>
        <v/>
      </c>
      <c r="CH83" s="102" t="str">
        <f>IFERROR(IF(ISNUMBER($CD83),$CF83*$CG83*MIN($BG83*$BA83*$BC83*$BD83*$BH83*$BF83,'Technical Premium'!$C$17),""),"")</f>
        <v/>
      </c>
      <c r="CI83" s="102" t="str">
        <f t="shared" si="18"/>
        <v/>
      </c>
      <c r="CJ83" s="102" t="str">
        <f>IFERROR($CI83*(1+'Technical Premium'!$C$5)*(1+'Technical Premium'!$C$6),"")</f>
        <v/>
      </c>
      <c r="CK83" s="102" t="str">
        <f>IFERROR($CE83*INDEX('Territory Factors'!$G$6:$G$56,MATCH($K83,'Territory Factors'!$B$6:$B$56,0))*$AU83*$AV83,"")</f>
        <v/>
      </c>
      <c r="CL83" s="102" t="str">
        <f>IFERROR(($CJ83+$CK83)*(1+'Technical Premium'!$C$7),"")</f>
        <v/>
      </c>
      <c r="CM83" s="104" t="str">
        <f>IFERROR($CL83/'Technical Premium'!$C$13,"")</f>
        <v/>
      </c>
      <c r="CN83" s="105" t="str">
        <f t="shared" si="19"/>
        <v/>
      </c>
      <c r="CO83" s="104" t="str">
        <f t="shared" si="20"/>
        <v/>
      </c>
      <c r="CP83" s="105" t="str">
        <f t="shared" si="21"/>
        <v/>
      </c>
      <c r="CQ83" s="106" t="str">
        <f t="shared" si="22"/>
        <v/>
      </c>
      <c r="CR83" s="102" t="str">
        <f>IF(ISNUMBER($CM83),'Technical Premium'!$C$14+IF($J83&gt;=1000000,'Technical Premium'!$C$15,0),"")</f>
        <v/>
      </c>
      <c r="CS83" s="102" t="str">
        <f>IFERROR(($CO83+$CR83)*(INDEX('Territory Factors'!$K$6:$K$56,MATCH($K83,'Territory Factors'!$B$6:$B$56,0))+'Commission Structure'!$C$21),"")</f>
        <v/>
      </c>
      <c r="CT83" s="104" t="str">
        <f t="shared" si="23"/>
        <v/>
      </c>
      <c r="CU83" s="102" t="str">
        <f>IFERROR($CO83*('Commission Structure'!$C$6+'Commission Structure'!$C$7),"")</f>
        <v/>
      </c>
      <c r="CV83" s="102" t="str">
        <f>IFERROR($CO83*'Commission Structure'!$C$5-$CU83,"")</f>
        <v/>
      </c>
      <c r="CW83" s="102" t="str">
        <f>IFERROR($CO83*(1-'Commission Structure'!$C$5),"")</f>
        <v/>
      </c>
      <c r="CX83" s="107"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8" t="str">
        <f t="shared" si="24"/>
        <v/>
      </c>
      <c r="CZ83" s="99" t="str">
        <f>IF($CY83="","",IF($CY83&lt;'Technical Premium'!$C$19,"BEYOND AUTHORITY",IF($CY83&gt;0.005,"Above technical",IF($CY83&lt;-0.005,"BELOW technical","At technical"))))</f>
        <v/>
      </c>
      <c r="DA83" s="99"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4"/>
      <c r="DC83" s="94"/>
      <c r="DD83" s="95"/>
      <c r="DE83" s="94"/>
      <c r="DF83" s="94"/>
      <c r="DG83" s="99" t="str">
        <f t="shared" si="25"/>
        <v/>
      </c>
      <c r="DH83" s="99" t="str">
        <f>IF($A83="","",IF(OR($CX83="REFER",$CX83="DECLINE"),COUNTIF($CX$5:$CX83,"REFER")+COUNTIF($CX$5:$CX83,"DECLINE"),""))</f>
        <v/>
      </c>
      <c r="DI83" s="94"/>
    </row>
    <row r="84" spans="1:113" x14ac:dyDescent="0.35">
      <c r="A84" s="94"/>
      <c r="B84" s="94"/>
      <c r="C84" s="95"/>
      <c r="D84" s="95"/>
      <c r="E84" s="96"/>
      <c r="F84" s="94"/>
      <c r="G84" s="94"/>
      <c r="H84" s="94"/>
      <c r="I84" s="94"/>
      <c r="J84" s="97"/>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8"/>
      <c r="AR84" s="99" t="str">
        <f t="shared" si="13"/>
        <v/>
      </c>
      <c r="AS84" s="99" t="str">
        <f>IF($A84="","",IF($AP84&lt;&gt;"",$AP84,IFERROR(INDEX('Cat Zone by ZIP'!$D$6:$D$856,MATCH($AR84,'Cat Zone by ZIP'!$B$6:$B$856,0)),IFERROR(INDEX('Cat Zone by ZIP'!$C$860:$C$910,MATCH($K84,'Cat Zone by ZIP'!$B$860:$B$910,0)),"NOT FOUND"))))</f>
        <v/>
      </c>
      <c r="AT84" s="99" t="str">
        <f>IF($A84="","",IF($AP84&lt;&gt;"","Override",IF(ISNUMBER(MATCH($AR84,'Cat Zone by ZIP'!$B$6:$B$856,0)),"ZIP-3","State default")))</f>
        <v/>
      </c>
      <c r="AU84" s="100" t="str">
        <f>IF($A84="","",IFERROR(INDEX('Natural Catastrophe'!$D$6:$D$17,MATCH($AS84,'Natural Catastrophe'!$B$6:$B$17,0)),"?"))</f>
        <v/>
      </c>
      <c r="AV84" s="100" t="str">
        <f>IF($A84="","",IFERROR(INDEX('Natural Catastrophe'!$C$21:$C$26,MATCH($AA84,'Natural Catastrophe'!$B$21:$B$26,0)),"?"))</f>
        <v/>
      </c>
      <c r="AW84" s="99" t="str">
        <f>IF($A84="","",IFERROR(INDEX('Base Rates'!$C$4:$I$4,MATCH(MAX($J84,'Technical Premium'!$C$18),'Base Rates'!$C$3:$I$3,1)),"?"))</f>
        <v/>
      </c>
      <c r="AX84" s="101" t="str">
        <f>IF($A84="","",IFERROR(INDEX('Base Rates'!$C$5:$I$16,MATCH($I84,'Base Rates'!$B$5:$B$16,0),MATCH(MAX($J84,'Technical Premium'!$C$18),'Base Rates'!$C$3:$I$3,1)),"?"))</f>
        <v/>
      </c>
      <c r="AY84" s="102" t="str">
        <f t="shared" si="14"/>
        <v/>
      </c>
      <c r="AZ84" s="99" t="str">
        <f>IF($A84="","",IFERROR(INDEX('Make Factors'!$G$5:$G$69,MATCH($F84,'Make Factors'!$B$5:$B$69,0)),"?"))</f>
        <v/>
      </c>
      <c r="BA84" s="99" t="str">
        <f>IF($A84="","",IFERROR(INDEX('Driver Factors'!$C$6:$C$15,MATCH($R84,'Driver Factors'!$B$6:$B$15,0)),"?"))</f>
        <v/>
      </c>
      <c r="BB84" s="99" t="str">
        <f>IF($A84="","",IFERROR(INDEX('Driver Factors'!$C$19:$C$24,MATCH($S84,'Driver Factors'!$B$19:$B$24,0)),"?"))</f>
        <v/>
      </c>
      <c r="BC84" s="99" t="str">
        <f>IF($A84="","",IFERROR(INDEX('Driver Factors'!$C$28:$C$36,MATCH($T84,'Driver Factors'!$B$28:$B$36,0)),"?"))</f>
        <v/>
      </c>
      <c r="BD84" s="99" t="str">
        <f>IF($A84="","",IFERROR(INDEX('Claims History'!$C$6:$C$15,MATCH($U84,'Claims History'!$B$6:$B$15,0)),"?"))</f>
        <v/>
      </c>
      <c r="BE84" s="99" t="str">
        <f>IF($A84="","",IFERROR(INDEX('Territory Factors'!$E$6:$E$56,MATCH($K84,'Territory Factors'!$B$6:$B$56,0)),"?"))</f>
        <v/>
      </c>
      <c r="BF84" s="99" t="str">
        <f>IF($A84="","",IFERROR(INDEX('City Accident Ratings'!$G$6:$G$54,MATCH($Z84,'City Accident Ratings'!$B$6:$B$54,0)),"?"))</f>
        <v/>
      </c>
      <c r="BG84" s="99" t="str">
        <f>IF($A84="","",IFERROR(INDEX('Usage and Coverage'!$D$6:$D$20,MATCH($N84,'Usage and Coverage'!$C$6:$C$20,0)),"?"))</f>
        <v/>
      </c>
      <c r="BH84" s="99" t="str">
        <f>IF($A84="","",IFERROR(INDEX('Usage and Coverage'!$C$24:$C$30,MATCH($O84,'Usage and Coverage'!$B$24:$B$30,0)),"?"))</f>
        <v/>
      </c>
      <c r="BI84" s="99" t="str">
        <f>IF($A84="","",IFERROR(INDEX('Usage and Coverage'!$C$34:$C$40,MATCH($P84,'Usage and Coverage'!$B$34:$B$40,0)),"?"))</f>
        <v/>
      </c>
      <c r="BJ84" s="99" t="str">
        <f>IF($A84="","",IFERROR(INDEX('Usage and Coverage'!$C$44:$C$49,MATCH($Q84,'Usage and Coverage'!$B$44:$B$49,0)),"?"))</f>
        <v/>
      </c>
      <c r="BK84" s="99" t="str">
        <f>IF($A84="","",IFERROR(INDEX(Deductibles!$C$6:$I$15,MATCH($W84,Deductibles!$B$6:$B$15,0),MATCH(MAX($J84,'Technical Premium'!$C$18),'Base Rates'!$C$3:$I$3,1)),"?"))</f>
        <v/>
      </c>
      <c r="BL84" s="99" t="str">
        <f>IF($A84="","",IFERROR(INDEX('Usage and Coverage'!$C$63:$C$66,MATCH($X84,'Usage and Coverage'!$B$63:$B$66,0)),"?"))</f>
        <v/>
      </c>
      <c r="BM84" s="99" t="str">
        <f>IF($A84="","",IFERROR(INDEX('Usage and Coverage'!$C$70:$C$75,MATCH($V84,'Usage and Coverage'!$B$70:$B$75,0)),"?"))</f>
        <v/>
      </c>
      <c r="BN84" s="99" t="str">
        <f>IF($A84="","",IF($AB84="",1,IFERROR(INDEX(Deductibles!$C$48:$C$51,MATCH($AB84,Deductibles!$B$48:$B$51,0)),"?")))</f>
        <v/>
      </c>
      <c r="BO84" s="99" t="str">
        <f>IF($A84="","",IF($AC84="",1,IFERROR(INDEX(Deductibles!$C$55:$C$57,MATCH($AC84,Deductibles!$B$55:$B$57,0)),"?")))</f>
        <v/>
      </c>
      <c r="BP84" s="99" t="str">
        <f>IF($A84="","",IF($AD84="",1,IFERROR(INDEX(Deductibles!$C$61:$C$63,MATCH($AD84,Deductibles!$B$61:$B$63,0)),"?")))</f>
        <v/>
      </c>
      <c r="BQ84" s="99" t="str">
        <f>IF($A84="","",IF($AE84="",1,IFERROR(INDEX(Deductibles!$C$67:$C$69,MATCH($AE84,Deductibles!$B$67:$B$69,0)),"?")))</f>
        <v/>
      </c>
      <c r="BR84" s="99" t="str">
        <f>IF($A84="","",IF($AF84="",1,IFERROR(INDEX(Deductibles!$C$73:$C$74,MATCH($AF84,Deductibles!$B$73:$B$74,0)),"?")))</f>
        <v/>
      </c>
      <c r="BS84" s="99" t="str">
        <f>IF($A84="","",IF($AG84="",1,IFERROR(INDEX('Sublimits and Parts'!$C$49:$C$52,MATCH($AG84,'Sublimits and Parts'!$B$49:$B$52,0)),"?")))</f>
        <v/>
      </c>
      <c r="BT84" s="99" t="str">
        <f>IF($A84="","",IF($AH84="",1,IFERROR(INDEX('Sublimits and Parts'!$C$56:$C$60,MATCH($AH84,'Sublimits and Parts'!$B$56:$B$60,0)),"?")))</f>
        <v/>
      </c>
      <c r="BU84" s="99" t="str">
        <f>IF($A84="","",IF($AI84="",1,IFERROR(INDEX('Sublimits and Parts'!$C$64:$C$67,MATCH($AI84,'Sublimits and Parts'!$B$64:$B$67,0)),"?")))</f>
        <v/>
      </c>
      <c r="BV84" s="99" t="str">
        <f>IF($A84="","",IF($AJ84="",1,IFERROR(INDEX('Sublimits and Parts'!$C$71:$C$74,MATCH($AJ84,'Sublimits and Parts'!$B$71:$B$74,0)),"?")))</f>
        <v/>
      </c>
      <c r="BW84" s="99" t="str">
        <f>IF($A84="","",IF($AK84="",1,IFERROR(INDEX('Sublimits and Parts'!$C$78:$C$80,MATCH($AK84,'Sublimits and Parts'!$B$78:$B$80,0)),"?")))</f>
        <v/>
      </c>
      <c r="BX84" s="99" t="str">
        <f>IF($A84="","",IF($AL84="",1,IFERROR(INDEX('Sublimits and Parts'!$C$84:$C$87,MATCH($AL84,'Sublimits and Parts'!$B$84:$B$87,0)),"?")))</f>
        <v/>
      </c>
      <c r="BY84" s="99" t="str">
        <f>IF($A84="","",IF($AM84="",1,IFERROR(INDEX('Sublimits and Parts'!$C$91:$C$94,MATCH($AM84,'Sublimits and Parts'!$B$91:$B$94,0)),"?")))</f>
        <v/>
      </c>
      <c r="BZ84" s="99" t="str">
        <f>IF($A84="","",IF($AN84="",1,IFERROR(INDEX('Sublimits and Parts'!$C$98:$C$101,MATCH($AN84,'Sublimits and Parts'!$B$98:$B$101,0)),"?")))</f>
        <v/>
      </c>
      <c r="CA84" s="99" t="str">
        <f>IF($A84="","",IF($AO84="",1,IFERROR(INDEX('Sublimits and Parts'!$C$105:$C$109,MATCH($AO84,'Sublimits and Parts'!$B$105:$B$109,0)),"?")))</f>
        <v/>
      </c>
      <c r="CB84" s="100" t="str">
        <f t="shared" si="15"/>
        <v/>
      </c>
      <c r="CC84" s="100" t="str">
        <f t="shared" si="16"/>
        <v/>
      </c>
      <c r="CD84" s="103" t="str">
        <f>IF($A84="","",IF(OR($CB84="?",$CC84="?"),"?",MIN($CB84*$CC84,'Technical Premium'!$C$17)))</f>
        <v/>
      </c>
      <c r="CE84" s="102" t="str">
        <f t="shared" si="17"/>
        <v/>
      </c>
      <c r="CF84" s="102" t="str">
        <f>IF($A84="","",IFERROR(INDEX('Territory Factors'!$F$6:$F$56,MATCH($K84,'Territory Factors'!$B$6:$B$56,0)),"?"))</f>
        <v/>
      </c>
      <c r="CG84" s="100" t="str">
        <f>IF($A84="","",IFERROR(INDEX('Usage and Coverage'!$C$79:$C$84,MATCH($Y84,'Usage and Coverage'!$B$79:$B$84,0)),"?"))</f>
        <v/>
      </c>
      <c r="CH84" s="102" t="str">
        <f>IFERROR(IF(ISNUMBER($CD84),$CF84*$CG84*MIN($BG84*$BA84*$BC84*$BD84*$BH84*$BF84,'Technical Premium'!$C$17),""),"")</f>
        <v/>
      </c>
      <c r="CI84" s="102" t="str">
        <f t="shared" si="18"/>
        <v/>
      </c>
      <c r="CJ84" s="102" t="str">
        <f>IFERROR($CI84*(1+'Technical Premium'!$C$5)*(1+'Technical Premium'!$C$6),"")</f>
        <v/>
      </c>
      <c r="CK84" s="102" t="str">
        <f>IFERROR($CE84*INDEX('Territory Factors'!$G$6:$G$56,MATCH($K84,'Territory Factors'!$B$6:$B$56,0))*$AU84*$AV84,"")</f>
        <v/>
      </c>
      <c r="CL84" s="102" t="str">
        <f>IFERROR(($CJ84+$CK84)*(1+'Technical Premium'!$C$7),"")</f>
        <v/>
      </c>
      <c r="CM84" s="104" t="str">
        <f>IFERROR($CL84/'Technical Premium'!$C$13,"")</f>
        <v/>
      </c>
      <c r="CN84" s="105" t="str">
        <f t="shared" si="19"/>
        <v/>
      </c>
      <c r="CO84" s="104" t="str">
        <f t="shared" si="20"/>
        <v/>
      </c>
      <c r="CP84" s="105" t="str">
        <f t="shared" si="21"/>
        <v/>
      </c>
      <c r="CQ84" s="106" t="str">
        <f t="shared" si="22"/>
        <v/>
      </c>
      <c r="CR84" s="102" t="str">
        <f>IF(ISNUMBER($CM84),'Technical Premium'!$C$14+IF($J84&gt;=1000000,'Technical Premium'!$C$15,0),"")</f>
        <v/>
      </c>
      <c r="CS84" s="102" t="str">
        <f>IFERROR(($CO84+$CR84)*(INDEX('Territory Factors'!$K$6:$K$56,MATCH($K84,'Territory Factors'!$B$6:$B$56,0))+'Commission Structure'!$C$21),"")</f>
        <v/>
      </c>
      <c r="CT84" s="104" t="str">
        <f t="shared" si="23"/>
        <v/>
      </c>
      <c r="CU84" s="102" t="str">
        <f>IFERROR($CO84*('Commission Structure'!$C$6+'Commission Structure'!$C$7),"")</f>
        <v/>
      </c>
      <c r="CV84" s="102" t="str">
        <f>IFERROR($CO84*'Commission Structure'!$C$5-$CU84,"")</f>
        <v/>
      </c>
      <c r="CW84" s="102" t="str">
        <f>IFERROR($CO84*(1-'Commission Structure'!$C$5),"")</f>
        <v/>
      </c>
      <c r="CX84" s="107"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8" t="str">
        <f t="shared" si="24"/>
        <v/>
      </c>
      <c r="CZ84" s="99" t="str">
        <f>IF($CY84="","",IF($CY84&lt;'Technical Premium'!$C$19,"BEYOND AUTHORITY",IF($CY84&gt;0.005,"Above technical",IF($CY84&lt;-0.005,"BELOW technical","At technical"))))</f>
        <v/>
      </c>
      <c r="DA84" s="99"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4"/>
      <c r="DC84" s="94"/>
      <c r="DD84" s="95"/>
      <c r="DE84" s="94"/>
      <c r="DF84" s="94"/>
      <c r="DG84" s="99" t="str">
        <f t="shared" si="25"/>
        <v/>
      </c>
      <c r="DH84" s="99" t="str">
        <f>IF($A84="","",IF(OR($CX84="REFER",$CX84="DECLINE"),COUNTIF($CX$5:$CX84,"REFER")+COUNTIF($CX$5:$CX84,"DECLINE"),""))</f>
        <v/>
      </c>
      <c r="DI84" s="94"/>
    </row>
    <row r="85" spans="1:113" x14ac:dyDescent="0.35">
      <c r="A85" s="94"/>
      <c r="B85" s="94"/>
      <c r="C85" s="95"/>
      <c r="D85" s="95"/>
      <c r="E85" s="96"/>
      <c r="F85" s="94"/>
      <c r="G85" s="94"/>
      <c r="H85" s="94"/>
      <c r="I85" s="94"/>
      <c r="J85" s="97"/>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8"/>
      <c r="AR85" s="99" t="str">
        <f t="shared" si="13"/>
        <v/>
      </c>
      <c r="AS85" s="99" t="str">
        <f>IF($A85="","",IF($AP85&lt;&gt;"",$AP85,IFERROR(INDEX('Cat Zone by ZIP'!$D$6:$D$856,MATCH($AR85,'Cat Zone by ZIP'!$B$6:$B$856,0)),IFERROR(INDEX('Cat Zone by ZIP'!$C$860:$C$910,MATCH($K85,'Cat Zone by ZIP'!$B$860:$B$910,0)),"NOT FOUND"))))</f>
        <v/>
      </c>
      <c r="AT85" s="99" t="str">
        <f>IF($A85="","",IF($AP85&lt;&gt;"","Override",IF(ISNUMBER(MATCH($AR85,'Cat Zone by ZIP'!$B$6:$B$856,0)),"ZIP-3","State default")))</f>
        <v/>
      </c>
      <c r="AU85" s="100" t="str">
        <f>IF($A85="","",IFERROR(INDEX('Natural Catastrophe'!$D$6:$D$17,MATCH($AS85,'Natural Catastrophe'!$B$6:$B$17,0)),"?"))</f>
        <v/>
      </c>
      <c r="AV85" s="100" t="str">
        <f>IF($A85="","",IFERROR(INDEX('Natural Catastrophe'!$C$21:$C$26,MATCH($AA85,'Natural Catastrophe'!$B$21:$B$26,0)),"?"))</f>
        <v/>
      </c>
      <c r="AW85" s="99" t="str">
        <f>IF($A85="","",IFERROR(INDEX('Base Rates'!$C$4:$I$4,MATCH(MAX($J85,'Technical Premium'!$C$18),'Base Rates'!$C$3:$I$3,1)),"?"))</f>
        <v/>
      </c>
      <c r="AX85" s="101" t="str">
        <f>IF($A85="","",IFERROR(INDEX('Base Rates'!$C$5:$I$16,MATCH($I85,'Base Rates'!$B$5:$B$16,0),MATCH(MAX($J85,'Technical Premium'!$C$18),'Base Rates'!$C$3:$I$3,1)),"?"))</f>
        <v/>
      </c>
      <c r="AY85" s="102" t="str">
        <f t="shared" si="14"/>
        <v/>
      </c>
      <c r="AZ85" s="99" t="str">
        <f>IF($A85="","",IFERROR(INDEX('Make Factors'!$G$5:$G$69,MATCH($F85,'Make Factors'!$B$5:$B$69,0)),"?"))</f>
        <v/>
      </c>
      <c r="BA85" s="99" t="str">
        <f>IF($A85="","",IFERROR(INDEX('Driver Factors'!$C$6:$C$15,MATCH($R85,'Driver Factors'!$B$6:$B$15,0)),"?"))</f>
        <v/>
      </c>
      <c r="BB85" s="99" t="str">
        <f>IF($A85="","",IFERROR(INDEX('Driver Factors'!$C$19:$C$24,MATCH($S85,'Driver Factors'!$B$19:$B$24,0)),"?"))</f>
        <v/>
      </c>
      <c r="BC85" s="99" t="str">
        <f>IF($A85="","",IFERROR(INDEX('Driver Factors'!$C$28:$C$36,MATCH($T85,'Driver Factors'!$B$28:$B$36,0)),"?"))</f>
        <v/>
      </c>
      <c r="BD85" s="99" t="str">
        <f>IF($A85="","",IFERROR(INDEX('Claims History'!$C$6:$C$15,MATCH($U85,'Claims History'!$B$6:$B$15,0)),"?"))</f>
        <v/>
      </c>
      <c r="BE85" s="99" t="str">
        <f>IF($A85="","",IFERROR(INDEX('Territory Factors'!$E$6:$E$56,MATCH($K85,'Territory Factors'!$B$6:$B$56,0)),"?"))</f>
        <v/>
      </c>
      <c r="BF85" s="99" t="str">
        <f>IF($A85="","",IFERROR(INDEX('City Accident Ratings'!$G$6:$G$54,MATCH($Z85,'City Accident Ratings'!$B$6:$B$54,0)),"?"))</f>
        <v/>
      </c>
      <c r="BG85" s="99" t="str">
        <f>IF($A85="","",IFERROR(INDEX('Usage and Coverage'!$D$6:$D$20,MATCH($N85,'Usage and Coverage'!$C$6:$C$20,0)),"?"))</f>
        <v/>
      </c>
      <c r="BH85" s="99" t="str">
        <f>IF($A85="","",IFERROR(INDEX('Usage and Coverage'!$C$24:$C$30,MATCH($O85,'Usage and Coverage'!$B$24:$B$30,0)),"?"))</f>
        <v/>
      </c>
      <c r="BI85" s="99" t="str">
        <f>IF($A85="","",IFERROR(INDEX('Usage and Coverage'!$C$34:$C$40,MATCH($P85,'Usage and Coverage'!$B$34:$B$40,0)),"?"))</f>
        <v/>
      </c>
      <c r="BJ85" s="99" t="str">
        <f>IF($A85="","",IFERROR(INDEX('Usage and Coverage'!$C$44:$C$49,MATCH($Q85,'Usage and Coverage'!$B$44:$B$49,0)),"?"))</f>
        <v/>
      </c>
      <c r="BK85" s="99" t="str">
        <f>IF($A85="","",IFERROR(INDEX(Deductibles!$C$6:$I$15,MATCH($W85,Deductibles!$B$6:$B$15,0),MATCH(MAX($J85,'Technical Premium'!$C$18),'Base Rates'!$C$3:$I$3,1)),"?"))</f>
        <v/>
      </c>
      <c r="BL85" s="99" t="str">
        <f>IF($A85="","",IFERROR(INDEX('Usage and Coverage'!$C$63:$C$66,MATCH($X85,'Usage and Coverage'!$B$63:$B$66,0)),"?"))</f>
        <v/>
      </c>
      <c r="BM85" s="99" t="str">
        <f>IF($A85="","",IFERROR(INDEX('Usage and Coverage'!$C$70:$C$75,MATCH($V85,'Usage and Coverage'!$B$70:$B$75,0)),"?"))</f>
        <v/>
      </c>
      <c r="BN85" s="99" t="str">
        <f>IF($A85="","",IF($AB85="",1,IFERROR(INDEX(Deductibles!$C$48:$C$51,MATCH($AB85,Deductibles!$B$48:$B$51,0)),"?")))</f>
        <v/>
      </c>
      <c r="BO85" s="99" t="str">
        <f>IF($A85="","",IF($AC85="",1,IFERROR(INDEX(Deductibles!$C$55:$C$57,MATCH($AC85,Deductibles!$B$55:$B$57,0)),"?")))</f>
        <v/>
      </c>
      <c r="BP85" s="99" t="str">
        <f>IF($A85="","",IF($AD85="",1,IFERROR(INDEX(Deductibles!$C$61:$C$63,MATCH($AD85,Deductibles!$B$61:$B$63,0)),"?")))</f>
        <v/>
      </c>
      <c r="BQ85" s="99" t="str">
        <f>IF($A85="","",IF($AE85="",1,IFERROR(INDEX(Deductibles!$C$67:$C$69,MATCH($AE85,Deductibles!$B$67:$B$69,0)),"?")))</f>
        <v/>
      </c>
      <c r="BR85" s="99" t="str">
        <f>IF($A85="","",IF($AF85="",1,IFERROR(INDEX(Deductibles!$C$73:$C$74,MATCH($AF85,Deductibles!$B$73:$B$74,0)),"?")))</f>
        <v/>
      </c>
      <c r="BS85" s="99" t="str">
        <f>IF($A85="","",IF($AG85="",1,IFERROR(INDEX('Sublimits and Parts'!$C$49:$C$52,MATCH($AG85,'Sublimits and Parts'!$B$49:$B$52,0)),"?")))</f>
        <v/>
      </c>
      <c r="BT85" s="99" t="str">
        <f>IF($A85="","",IF($AH85="",1,IFERROR(INDEX('Sublimits and Parts'!$C$56:$C$60,MATCH($AH85,'Sublimits and Parts'!$B$56:$B$60,0)),"?")))</f>
        <v/>
      </c>
      <c r="BU85" s="99" t="str">
        <f>IF($A85="","",IF($AI85="",1,IFERROR(INDEX('Sublimits and Parts'!$C$64:$C$67,MATCH($AI85,'Sublimits and Parts'!$B$64:$B$67,0)),"?")))</f>
        <v/>
      </c>
      <c r="BV85" s="99" t="str">
        <f>IF($A85="","",IF($AJ85="",1,IFERROR(INDEX('Sublimits and Parts'!$C$71:$C$74,MATCH($AJ85,'Sublimits and Parts'!$B$71:$B$74,0)),"?")))</f>
        <v/>
      </c>
      <c r="BW85" s="99" t="str">
        <f>IF($A85="","",IF($AK85="",1,IFERROR(INDEX('Sublimits and Parts'!$C$78:$C$80,MATCH($AK85,'Sublimits and Parts'!$B$78:$B$80,0)),"?")))</f>
        <v/>
      </c>
      <c r="BX85" s="99" t="str">
        <f>IF($A85="","",IF($AL85="",1,IFERROR(INDEX('Sublimits and Parts'!$C$84:$C$87,MATCH($AL85,'Sublimits and Parts'!$B$84:$B$87,0)),"?")))</f>
        <v/>
      </c>
      <c r="BY85" s="99" t="str">
        <f>IF($A85="","",IF($AM85="",1,IFERROR(INDEX('Sublimits and Parts'!$C$91:$C$94,MATCH($AM85,'Sublimits and Parts'!$B$91:$B$94,0)),"?")))</f>
        <v/>
      </c>
      <c r="BZ85" s="99" t="str">
        <f>IF($A85="","",IF($AN85="",1,IFERROR(INDEX('Sublimits and Parts'!$C$98:$C$101,MATCH($AN85,'Sublimits and Parts'!$B$98:$B$101,0)),"?")))</f>
        <v/>
      </c>
      <c r="CA85" s="99" t="str">
        <f>IF($A85="","",IF($AO85="",1,IFERROR(INDEX('Sublimits and Parts'!$C$105:$C$109,MATCH($AO85,'Sublimits and Parts'!$B$105:$B$109,0)),"?")))</f>
        <v/>
      </c>
      <c r="CB85" s="100" t="str">
        <f t="shared" si="15"/>
        <v/>
      </c>
      <c r="CC85" s="100" t="str">
        <f t="shared" si="16"/>
        <v/>
      </c>
      <c r="CD85" s="103" t="str">
        <f>IF($A85="","",IF(OR($CB85="?",$CC85="?"),"?",MIN($CB85*$CC85,'Technical Premium'!$C$17)))</f>
        <v/>
      </c>
      <c r="CE85" s="102" t="str">
        <f t="shared" si="17"/>
        <v/>
      </c>
      <c r="CF85" s="102" t="str">
        <f>IF($A85="","",IFERROR(INDEX('Territory Factors'!$F$6:$F$56,MATCH($K85,'Territory Factors'!$B$6:$B$56,0)),"?"))</f>
        <v/>
      </c>
      <c r="CG85" s="100" t="str">
        <f>IF($A85="","",IFERROR(INDEX('Usage and Coverage'!$C$79:$C$84,MATCH($Y85,'Usage and Coverage'!$B$79:$B$84,0)),"?"))</f>
        <v/>
      </c>
      <c r="CH85" s="102" t="str">
        <f>IFERROR(IF(ISNUMBER($CD85),$CF85*$CG85*MIN($BG85*$BA85*$BC85*$BD85*$BH85*$BF85,'Technical Premium'!$C$17),""),"")</f>
        <v/>
      </c>
      <c r="CI85" s="102" t="str">
        <f t="shared" si="18"/>
        <v/>
      </c>
      <c r="CJ85" s="102" t="str">
        <f>IFERROR($CI85*(1+'Technical Premium'!$C$5)*(1+'Technical Premium'!$C$6),"")</f>
        <v/>
      </c>
      <c r="CK85" s="102" t="str">
        <f>IFERROR($CE85*INDEX('Territory Factors'!$G$6:$G$56,MATCH($K85,'Territory Factors'!$B$6:$B$56,0))*$AU85*$AV85,"")</f>
        <v/>
      </c>
      <c r="CL85" s="102" t="str">
        <f>IFERROR(($CJ85+$CK85)*(1+'Technical Premium'!$C$7),"")</f>
        <v/>
      </c>
      <c r="CM85" s="104" t="str">
        <f>IFERROR($CL85/'Technical Premium'!$C$13,"")</f>
        <v/>
      </c>
      <c r="CN85" s="105" t="str">
        <f t="shared" si="19"/>
        <v/>
      </c>
      <c r="CO85" s="104" t="str">
        <f t="shared" si="20"/>
        <v/>
      </c>
      <c r="CP85" s="105" t="str">
        <f t="shared" si="21"/>
        <v/>
      </c>
      <c r="CQ85" s="106" t="str">
        <f t="shared" si="22"/>
        <v/>
      </c>
      <c r="CR85" s="102" t="str">
        <f>IF(ISNUMBER($CM85),'Technical Premium'!$C$14+IF($J85&gt;=1000000,'Technical Premium'!$C$15,0),"")</f>
        <v/>
      </c>
      <c r="CS85" s="102" t="str">
        <f>IFERROR(($CO85+$CR85)*(INDEX('Territory Factors'!$K$6:$K$56,MATCH($K85,'Territory Factors'!$B$6:$B$56,0))+'Commission Structure'!$C$21),"")</f>
        <v/>
      </c>
      <c r="CT85" s="104" t="str">
        <f t="shared" si="23"/>
        <v/>
      </c>
      <c r="CU85" s="102" t="str">
        <f>IFERROR($CO85*('Commission Structure'!$C$6+'Commission Structure'!$C$7),"")</f>
        <v/>
      </c>
      <c r="CV85" s="102" t="str">
        <f>IFERROR($CO85*'Commission Structure'!$C$5-$CU85,"")</f>
        <v/>
      </c>
      <c r="CW85" s="102" t="str">
        <f>IFERROR($CO85*(1-'Commission Structure'!$C$5),"")</f>
        <v/>
      </c>
      <c r="CX85" s="107"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8" t="str">
        <f t="shared" si="24"/>
        <v/>
      </c>
      <c r="CZ85" s="99" t="str">
        <f>IF($CY85="","",IF($CY85&lt;'Technical Premium'!$C$19,"BEYOND AUTHORITY",IF($CY85&gt;0.005,"Above technical",IF($CY85&lt;-0.005,"BELOW technical","At technical"))))</f>
        <v/>
      </c>
      <c r="DA85" s="99"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4"/>
      <c r="DC85" s="94"/>
      <c r="DD85" s="95"/>
      <c r="DE85" s="94"/>
      <c r="DF85" s="94"/>
      <c r="DG85" s="99" t="str">
        <f t="shared" si="25"/>
        <v/>
      </c>
      <c r="DH85" s="99" t="str">
        <f>IF($A85="","",IF(OR($CX85="REFER",$CX85="DECLINE"),COUNTIF($CX$5:$CX85,"REFER")+COUNTIF($CX$5:$CX85,"DECLINE"),""))</f>
        <v/>
      </c>
      <c r="DI85" s="94"/>
    </row>
    <row r="86" spans="1:113" x14ac:dyDescent="0.35">
      <c r="A86" s="94"/>
      <c r="B86" s="94"/>
      <c r="C86" s="95"/>
      <c r="D86" s="95"/>
      <c r="E86" s="96"/>
      <c r="F86" s="94"/>
      <c r="G86" s="94"/>
      <c r="H86" s="94"/>
      <c r="I86" s="94"/>
      <c r="J86" s="97"/>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8"/>
      <c r="AR86" s="99" t="str">
        <f t="shared" si="13"/>
        <v/>
      </c>
      <c r="AS86" s="99" t="str">
        <f>IF($A86="","",IF($AP86&lt;&gt;"",$AP86,IFERROR(INDEX('Cat Zone by ZIP'!$D$6:$D$856,MATCH($AR86,'Cat Zone by ZIP'!$B$6:$B$856,0)),IFERROR(INDEX('Cat Zone by ZIP'!$C$860:$C$910,MATCH($K86,'Cat Zone by ZIP'!$B$860:$B$910,0)),"NOT FOUND"))))</f>
        <v/>
      </c>
      <c r="AT86" s="99" t="str">
        <f>IF($A86="","",IF($AP86&lt;&gt;"","Override",IF(ISNUMBER(MATCH($AR86,'Cat Zone by ZIP'!$B$6:$B$856,0)),"ZIP-3","State default")))</f>
        <v/>
      </c>
      <c r="AU86" s="100" t="str">
        <f>IF($A86="","",IFERROR(INDEX('Natural Catastrophe'!$D$6:$D$17,MATCH($AS86,'Natural Catastrophe'!$B$6:$B$17,0)),"?"))</f>
        <v/>
      </c>
      <c r="AV86" s="100" t="str">
        <f>IF($A86="","",IFERROR(INDEX('Natural Catastrophe'!$C$21:$C$26,MATCH($AA86,'Natural Catastrophe'!$B$21:$B$26,0)),"?"))</f>
        <v/>
      </c>
      <c r="AW86" s="99" t="str">
        <f>IF($A86="","",IFERROR(INDEX('Base Rates'!$C$4:$I$4,MATCH(MAX($J86,'Technical Premium'!$C$18),'Base Rates'!$C$3:$I$3,1)),"?"))</f>
        <v/>
      </c>
      <c r="AX86" s="101" t="str">
        <f>IF($A86="","",IFERROR(INDEX('Base Rates'!$C$5:$I$16,MATCH($I86,'Base Rates'!$B$5:$B$16,0),MATCH(MAX($J86,'Technical Premium'!$C$18),'Base Rates'!$C$3:$I$3,1)),"?"))</f>
        <v/>
      </c>
      <c r="AY86" s="102" t="str">
        <f t="shared" si="14"/>
        <v/>
      </c>
      <c r="AZ86" s="99" t="str">
        <f>IF($A86="","",IFERROR(INDEX('Make Factors'!$G$5:$G$69,MATCH($F86,'Make Factors'!$B$5:$B$69,0)),"?"))</f>
        <v/>
      </c>
      <c r="BA86" s="99" t="str">
        <f>IF($A86="","",IFERROR(INDEX('Driver Factors'!$C$6:$C$15,MATCH($R86,'Driver Factors'!$B$6:$B$15,0)),"?"))</f>
        <v/>
      </c>
      <c r="BB86" s="99" t="str">
        <f>IF($A86="","",IFERROR(INDEX('Driver Factors'!$C$19:$C$24,MATCH($S86,'Driver Factors'!$B$19:$B$24,0)),"?"))</f>
        <v/>
      </c>
      <c r="BC86" s="99" t="str">
        <f>IF($A86="","",IFERROR(INDEX('Driver Factors'!$C$28:$C$36,MATCH($T86,'Driver Factors'!$B$28:$B$36,0)),"?"))</f>
        <v/>
      </c>
      <c r="BD86" s="99" t="str">
        <f>IF($A86="","",IFERROR(INDEX('Claims History'!$C$6:$C$15,MATCH($U86,'Claims History'!$B$6:$B$15,0)),"?"))</f>
        <v/>
      </c>
      <c r="BE86" s="99" t="str">
        <f>IF($A86="","",IFERROR(INDEX('Territory Factors'!$E$6:$E$56,MATCH($K86,'Territory Factors'!$B$6:$B$56,0)),"?"))</f>
        <v/>
      </c>
      <c r="BF86" s="99" t="str">
        <f>IF($A86="","",IFERROR(INDEX('City Accident Ratings'!$G$6:$G$54,MATCH($Z86,'City Accident Ratings'!$B$6:$B$54,0)),"?"))</f>
        <v/>
      </c>
      <c r="BG86" s="99" t="str">
        <f>IF($A86="","",IFERROR(INDEX('Usage and Coverage'!$D$6:$D$20,MATCH($N86,'Usage and Coverage'!$C$6:$C$20,0)),"?"))</f>
        <v/>
      </c>
      <c r="BH86" s="99" t="str">
        <f>IF($A86="","",IFERROR(INDEX('Usage and Coverage'!$C$24:$C$30,MATCH($O86,'Usage and Coverage'!$B$24:$B$30,0)),"?"))</f>
        <v/>
      </c>
      <c r="BI86" s="99" t="str">
        <f>IF($A86="","",IFERROR(INDEX('Usage and Coverage'!$C$34:$C$40,MATCH($P86,'Usage and Coverage'!$B$34:$B$40,0)),"?"))</f>
        <v/>
      </c>
      <c r="BJ86" s="99" t="str">
        <f>IF($A86="","",IFERROR(INDEX('Usage and Coverage'!$C$44:$C$49,MATCH($Q86,'Usage and Coverage'!$B$44:$B$49,0)),"?"))</f>
        <v/>
      </c>
      <c r="BK86" s="99" t="str">
        <f>IF($A86="","",IFERROR(INDEX(Deductibles!$C$6:$I$15,MATCH($W86,Deductibles!$B$6:$B$15,0),MATCH(MAX($J86,'Technical Premium'!$C$18),'Base Rates'!$C$3:$I$3,1)),"?"))</f>
        <v/>
      </c>
      <c r="BL86" s="99" t="str">
        <f>IF($A86="","",IFERROR(INDEX('Usage and Coverage'!$C$63:$C$66,MATCH($X86,'Usage and Coverage'!$B$63:$B$66,0)),"?"))</f>
        <v/>
      </c>
      <c r="BM86" s="99" t="str">
        <f>IF($A86="","",IFERROR(INDEX('Usage and Coverage'!$C$70:$C$75,MATCH($V86,'Usage and Coverage'!$B$70:$B$75,0)),"?"))</f>
        <v/>
      </c>
      <c r="BN86" s="99" t="str">
        <f>IF($A86="","",IF($AB86="",1,IFERROR(INDEX(Deductibles!$C$48:$C$51,MATCH($AB86,Deductibles!$B$48:$B$51,0)),"?")))</f>
        <v/>
      </c>
      <c r="BO86" s="99" t="str">
        <f>IF($A86="","",IF($AC86="",1,IFERROR(INDEX(Deductibles!$C$55:$C$57,MATCH($AC86,Deductibles!$B$55:$B$57,0)),"?")))</f>
        <v/>
      </c>
      <c r="BP86" s="99" t="str">
        <f>IF($A86="","",IF($AD86="",1,IFERROR(INDEX(Deductibles!$C$61:$C$63,MATCH($AD86,Deductibles!$B$61:$B$63,0)),"?")))</f>
        <v/>
      </c>
      <c r="BQ86" s="99" t="str">
        <f>IF($A86="","",IF($AE86="",1,IFERROR(INDEX(Deductibles!$C$67:$C$69,MATCH($AE86,Deductibles!$B$67:$B$69,0)),"?")))</f>
        <v/>
      </c>
      <c r="BR86" s="99" t="str">
        <f>IF($A86="","",IF($AF86="",1,IFERROR(INDEX(Deductibles!$C$73:$C$74,MATCH($AF86,Deductibles!$B$73:$B$74,0)),"?")))</f>
        <v/>
      </c>
      <c r="BS86" s="99" t="str">
        <f>IF($A86="","",IF($AG86="",1,IFERROR(INDEX('Sublimits and Parts'!$C$49:$C$52,MATCH($AG86,'Sublimits and Parts'!$B$49:$B$52,0)),"?")))</f>
        <v/>
      </c>
      <c r="BT86" s="99" t="str">
        <f>IF($A86="","",IF($AH86="",1,IFERROR(INDEX('Sublimits and Parts'!$C$56:$C$60,MATCH($AH86,'Sublimits and Parts'!$B$56:$B$60,0)),"?")))</f>
        <v/>
      </c>
      <c r="BU86" s="99" t="str">
        <f>IF($A86="","",IF($AI86="",1,IFERROR(INDEX('Sublimits and Parts'!$C$64:$C$67,MATCH($AI86,'Sublimits and Parts'!$B$64:$B$67,0)),"?")))</f>
        <v/>
      </c>
      <c r="BV86" s="99" t="str">
        <f>IF($A86="","",IF($AJ86="",1,IFERROR(INDEX('Sublimits and Parts'!$C$71:$C$74,MATCH($AJ86,'Sublimits and Parts'!$B$71:$B$74,0)),"?")))</f>
        <v/>
      </c>
      <c r="BW86" s="99" t="str">
        <f>IF($A86="","",IF($AK86="",1,IFERROR(INDEX('Sublimits and Parts'!$C$78:$C$80,MATCH($AK86,'Sublimits and Parts'!$B$78:$B$80,0)),"?")))</f>
        <v/>
      </c>
      <c r="BX86" s="99" t="str">
        <f>IF($A86="","",IF($AL86="",1,IFERROR(INDEX('Sublimits and Parts'!$C$84:$C$87,MATCH($AL86,'Sublimits and Parts'!$B$84:$B$87,0)),"?")))</f>
        <v/>
      </c>
      <c r="BY86" s="99" t="str">
        <f>IF($A86="","",IF($AM86="",1,IFERROR(INDEX('Sublimits and Parts'!$C$91:$C$94,MATCH($AM86,'Sublimits and Parts'!$B$91:$B$94,0)),"?")))</f>
        <v/>
      </c>
      <c r="BZ86" s="99" t="str">
        <f>IF($A86="","",IF($AN86="",1,IFERROR(INDEX('Sublimits and Parts'!$C$98:$C$101,MATCH($AN86,'Sublimits and Parts'!$B$98:$B$101,0)),"?")))</f>
        <v/>
      </c>
      <c r="CA86" s="99" t="str">
        <f>IF($A86="","",IF($AO86="",1,IFERROR(INDEX('Sublimits and Parts'!$C$105:$C$109,MATCH($AO86,'Sublimits and Parts'!$B$105:$B$109,0)),"?")))</f>
        <v/>
      </c>
      <c r="CB86" s="100" t="str">
        <f t="shared" si="15"/>
        <v/>
      </c>
      <c r="CC86" s="100" t="str">
        <f t="shared" si="16"/>
        <v/>
      </c>
      <c r="CD86" s="103" t="str">
        <f>IF($A86="","",IF(OR($CB86="?",$CC86="?"),"?",MIN($CB86*$CC86,'Technical Premium'!$C$17)))</f>
        <v/>
      </c>
      <c r="CE86" s="102" t="str">
        <f t="shared" si="17"/>
        <v/>
      </c>
      <c r="CF86" s="102" t="str">
        <f>IF($A86="","",IFERROR(INDEX('Territory Factors'!$F$6:$F$56,MATCH($K86,'Territory Factors'!$B$6:$B$56,0)),"?"))</f>
        <v/>
      </c>
      <c r="CG86" s="100" t="str">
        <f>IF($A86="","",IFERROR(INDEX('Usage and Coverage'!$C$79:$C$84,MATCH($Y86,'Usage and Coverage'!$B$79:$B$84,0)),"?"))</f>
        <v/>
      </c>
      <c r="CH86" s="102" t="str">
        <f>IFERROR(IF(ISNUMBER($CD86),$CF86*$CG86*MIN($BG86*$BA86*$BC86*$BD86*$BH86*$BF86,'Technical Premium'!$C$17),""),"")</f>
        <v/>
      </c>
      <c r="CI86" s="102" t="str">
        <f t="shared" si="18"/>
        <v/>
      </c>
      <c r="CJ86" s="102" t="str">
        <f>IFERROR($CI86*(1+'Technical Premium'!$C$5)*(1+'Technical Premium'!$C$6),"")</f>
        <v/>
      </c>
      <c r="CK86" s="102" t="str">
        <f>IFERROR($CE86*INDEX('Territory Factors'!$G$6:$G$56,MATCH($K86,'Territory Factors'!$B$6:$B$56,0))*$AU86*$AV86,"")</f>
        <v/>
      </c>
      <c r="CL86" s="102" t="str">
        <f>IFERROR(($CJ86+$CK86)*(1+'Technical Premium'!$C$7),"")</f>
        <v/>
      </c>
      <c r="CM86" s="104" t="str">
        <f>IFERROR($CL86/'Technical Premium'!$C$13,"")</f>
        <v/>
      </c>
      <c r="CN86" s="105" t="str">
        <f t="shared" si="19"/>
        <v/>
      </c>
      <c r="CO86" s="104" t="str">
        <f t="shared" si="20"/>
        <v/>
      </c>
      <c r="CP86" s="105" t="str">
        <f t="shared" si="21"/>
        <v/>
      </c>
      <c r="CQ86" s="106" t="str">
        <f t="shared" si="22"/>
        <v/>
      </c>
      <c r="CR86" s="102" t="str">
        <f>IF(ISNUMBER($CM86),'Technical Premium'!$C$14+IF($J86&gt;=1000000,'Technical Premium'!$C$15,0),"")</f>
        <v/>
      </c>
      <c r="CS86" s="102" t="str">
        <f>IFERROR(($CO86+$CR86)*(INDEX('Territory Factors'!$K$6:$K$56,MATCH($K86,'Territory Factors'!$B$6:$B$56,0))+'Commission Structure'!$C$21),"")</f>
        <v/>
      </c>
      <c r="CT86" s="104" t="str">
        <f t="shared" si="23"/>
        <v/>
      </c>
      <c r="CU86" s="102" t="str">
        <f>IFERROR($CO86*('Commission Structure'!$C$6+'Commission Structure'!$C$7),"")</f>
        <v/>
      </c>
      <c r="CV86" s="102" t="str">
        <f>IFERROR($CO86*'Commission Structure'!$C$5-$CU86,"")</f>
        <v/>
      </c>
      <c r="CW86" s="102" t="str">
        <f>IFERROR($CO86*(1-'Commission Structure'!$C$5),"")</f>
        <v/>
      </c>
      <c r="CX86" s="107"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8" t="str">
        <f t="shared" si="24"/>
        <v/>
      </c>
      <c r="CZ86" s="99" t="str">
        <f>IF($CY86="","",IF($CY86&lt;'Technical Premium'!$C$19,"BEYOND AUTHORITY",IF($CY86&gt;0.005,"Above technical",IF($CY86&lt;-0.005,"BELOW technical","At technical"))))</f>
        <v/>
      </c>
      <c r="DA86" s="99"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4"/>
      <c r="DC86" s="94"/>
      <c r="DD86" s="95"/>
      <c r="DE86" s="94"/>
      <c r="DF86" s="94"/>
      <c r="DG86" s="99" t="str">
        <f t="shared" si="25"/>
        <v/>
      </c>
      <c r="DH86" s="99" t="str">
        <f>IF($A86="","",IF(OR($CX86="REFER",$CX86="DECLINE"),COUNTIF($CX$5:$CX86,"REFER")+COUNTIF($CX$5:$CX86,"DECLINE"),""))</f>
        <v/>
      </c>
      <c r="DI86" s="94"/>
    </row>
    <row r="87" spans="1:113" x14ac:dyDescent="0.35">
      <c r="A87" s="94"/>
      <c r="B87" s="94"/>
      <c r="C87" s="95"/>
      <c r="D87" s="95"/>
      <c r="E87" s="96"/>
      <c r="F87" s="94"/>
      <c r="G87" s="94"/>
      <c r="H87" s="94"/>
      <c r="I87" s="94"/>
      <c r="J87" s="97"/>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8"/>
      <c r="AR87" s="99" t="str">
        <f t="shared" si="13"/>
        <v/>
      </c>
      <c r="AS87" s="99" t="str">
        <f>IF($A87="","",IF($AP87&lt;&gt;"",$AP87,IFERROR(INDEX('Cat Zone by ZIP'!$D$6:$D$856,MATCH($AR87,'Cat Zone by ZIP'!$B$6:$B$856,0)),IFERROR(INDEX('Cat Zone by ZIP'!$C$860:$C$910,MATCH($K87,'Cat Zone by ZIP'!$B$860:$B$910,0)),"NOT FOUND"))))</f>
        <v/>
      </c>
      <c r="AT87" s="99" t="str">
        <f>IF($A87="","",IF($AP87&lt;&gt;"","Override",IF(ISNUMBER(MATCH($AR87,'Cat Zone by ZIP'!$B$6:$B$856,0)),"ZIP-3","State default")))</f>
        <v/>
      </c>
      <c r="AU87" s="100" t="str">
        <f>IF($A87="","",IFERROR(INDEX('Natural Catastrophe'!$D$6:$D$17,MATCH($AS87,'Natural Catastrophe'!$B$6:$B$17,0)),"?"))</f>
        <v/>
      </c>
      <c r="AV87" s="100" t="str">
        <f>IF($A87="","",IFERROR(INDEX('Natural Catastrophe'!$C$21:$C$26,MATCH($AA87,'Natural Catastrophe'!$B$21:$B$26,0)),"?"))</f>
        <v/>
      </c>
      <c r="AW87" s="99" t="str">
        <f>IF($A87="","",IFERROR(INDEX('Base Rates'!$C$4:$I$4,MATCH(MAX($J87,'Technical Premium'!$C$18),'Base Rates'!$C$3:$I$3,1)),"?"))</f>
        <v/>
      </c>
      <c r="AX87" s="101" t="str">
        <f>IF($A87="","",IFERROR(INDEX('Base Rates'!$C$5:$I$16,MATCH($I87,'Base Rates'!$B$5:$B$16,0),MATCH(MAX($J87,'Technical Premium'!$C$18),'Base Rates'!$C$3:$I$3,1)),"?"))</f>
        <v/>
      </c>
      <c r="AY87" s="102" t="str">
        <f t="shared" si="14"/>
        <v/>
      </c>
      <c r="AZ87" s="99" t="str">
        <f>IF($A87="","",IFERROR(INDEX('Make Factors'!$G$5:$G$69,MATCH($F87,'Make Factors'!$B$5:$B$69,0)),"?"))</f>
        <v/>
      </c>
      <c r="BA87" s="99" t="str">
        <f>IF($A87="","",IFERROR(INDEX('Driver Factors'!$C$6:$C$15,MATCH($R87,'Driver Factors'!$B$6:$B$15,0)),"?"))</f>
        <v/>
      </c>
      <c r="BB87" s="99" t="str">
        <f>IF($A87="","",IFERROR(INDEX('Driver Factors'!$C$19:$C$24,MATCH($S87,'Driver Factors'!$B$19:$B$24,0)),"?"))</f>
        <v/>
      </c>
      <c r="BC87" s="99" t="str">
        <f>IF($A87="","",IFERROR(INDEX('Driver Factors'!$C$28:$C$36,MATCH($T87,'Driver Factors'!$B$28:$B$36,0)),"?"))</f>
        <v/>
      </c>
      <c r="BD87" s="99" t="str">
        <f>IF($A87="","",IFERROR(INDEX('Claims History'!$C$6:$C$15,MATCH($U87,'Claims History'!$B$6:$B$15,0)),"?"))</f>
        <v/>
      </c>
      <c r="BE87" s="99" t="str">
        <f>IF($A87="","",IFERROR(INDEX('Territory Factors'!$E$6:$E$56,MATCH($K87,'Territory Factors'!$B$6:$B$56,0)),"?"))</f>
        <v/>
      </c>
      <c r="BF87" s="99" t="str">
        <f>IF($A87="","",IFERROR(INDEX('City Accident Ratings'!$G$6:$G$54,MATCH($Z87,'City Accident Ratings'!$B$6:$B$54,0)),"?"))</f>
        <v/>
      </c>
      <c r="BG87" s="99" t="str">
        <f>IF($A87="","",IFERROR(INDEX('Usage and Coverage'!$D$6:$D$20,MATCH($N87,'Usage and Coverage'!$C$6:$C$20,0)),"?"))</f>
        <v/>
      </c>
      <c r="BH87" s="99" t="str">
        <f>IF($A87="","",IFERROR(INDEX('Usage and Coverage'!$C$24:$C$30,MATCH($O87,'Usage and Coverage'!$B$24:$B$30,0)),"?"))</f>
        <v/>
      </c>
      <c r="BI87" s="99" t="str">
        <f>IF($A87="","",IFERROR(INDEX('Usage and Coverage'!$C$34:$C$40,MATCH($P87,'Usage and Coverage'!$B$34:$B$40,0)),"?"))</f>
        <v/>
      </c>
      <c r="BJ87" s="99" t="str">
        <f>IF($A87="","",IFERROR(INDEX('Usage and Coverage'!$C$44:$C$49,MATCH($Q87,'Usage and Coverage'!$B$44:$B$49,0)),"?"))</f>
        <v/>
      </c>
      <c r="BK87" s="99" t="str">
        <f>IF($A87="","",IFERROR(INDEX(Deductibles!$C$6:$I$15,MATCH($W87,Deductibles!$B$6:$B$15,0),MATCH(MAX($J87,'Technical Premium'!$C$18),'Base Rates'!$C$3:$I$3,1)),"?"))</f>
        <v/>
      </c>
      <c r="BL87" s="99" t="str">
        <f>IF($A87="","",IFERROR(INDEX('Usage and Coverage'!$C$63:$C$66,MATCH($X87,'Usage and Coverage'!$B$63:$B$66,0)),"?"))</f>
        <v/>
      </c>
      <c r="BM87" s="99" t="str">
        <f>IF($A87="","",IFERROR(INDEX('Usage and Coverage'!$C$70:$C$75,MATCH($V87,'Usage and Coverage'!$B$70:$B$75,0)),"?"))</f>
        <v/>
      </c>
      <c r="BN87" s="99" t="str">
        <f>IF($A87="","",IF($AB87="",1,IFERROR(INDEX(Deductibles!$C$48:$C$51,MATCH($AB87,Deductibles!$B$48:$B$51,0)),"?")))</f>
        <v/>
      </c>
      <c r="BO87" s="99" t="str">
        <f>IF($A87="","",IF($AC87="",1,IFERROR(INDEX(Deductibles!$C$55:$C$57,MATCH($AC87,Deductibles!$B$55:$B$57,0)),"?")))</f>
        <v/>
      </c>
      <c r="BP87" s="99" t="str">
        <f>IF($A87="","",IF($AD87="",1,IFERROR(INDEX(Deductibles!$C$61:$C$63,MATCH($AD87,Deductibles!$B$61:$B$63,0)),"?")))</f>
        <v/>
      </c>
      <c r="BQ87" s="99" t="str">
        <f>IF($A87="","",IF($AE87="",1,IFERROR(INDEX(Deductibles!$C$67:$C$69,MATCH($AE87,Deductibles!$B$67:$B$69,0)),"?")))</f>
        <v/>
      </c>
      <c r="BR87" s="99" t="str">
        <f>IF($A87="","",IF($AF87="",1,IFERROR(INDEX(Deductibles!$C$73:$C$74,MATCH($AF87,Deductibles!$B$73:$B$74,0)),"?")))</f>
        <v/>
      </c>
      <c r="BS87" s="99" t="str">
        <f>IF($A87="","",IF($AG87="",1,IFERROR(INDEX('Sublimits and Parts'!$C$49:$C$52,MATCH($AG87,'Sublimits and Parts'!$B$49:$B$52,0)),"?")))</f>
        <v/>
      </c>
      <c r="BT87" s="99" t="str">
        <f>IF($A87="","",IF($AH87="",1,IFERROR(INDEX('Sublimits and Parts'!$C$56:$C$60,MATCH($AH87,'Sublimits and Parts'!$B$56:$B$60,0)),"?")))</f>
        <v/>
      </c>
      <c r="BU87" s="99" t="str">
        <f>IF($A87="","",IF($AI87="",1,IFERROR(INDEX('Sublimits and Parts'!$C$64:$C$67,MATCH($AI87,'Sublimits and Parts'!$B$64:$B$67,0)),"?")))</f>
        <v/>
      </c>
      <c r="BV87" s="99" t="str">
        <f>IF($A87="","",IF($AJ87="",1,IFERROR(INDEX('Sublimits and Parts'!$C$71:$C$74,MATCH($AJ87,'Sublimits and Parts'!$B$71:$B$74,0)),"?")))</f>
        <v/>
      </c>
      <c r="BW87" s="99" t="str">
        <f>IF($A87="","",IF($AK87="",1,IFERROR(INDEX('Sublimits and Parts'!$C$78:$C$80,MATCH($AK87,'Sublimits and Parts'!$B$78:$B$80,0)),"?")))</f>
        <v/>
      </c>
      <c r="BX87" s="99" t="str">
        <f>IF($A87="","",IF($AL87="",1,IFERROR(INDEX('Sublimits and Parts'!$C$84:$C$87,MATCH($AL87,'Sublimits and Parts'!$B$84:$B$87,0)),"?")))</f>
        <v/>
      </c>
      <c r="BY87" s="99" t="str">
        <f>IF($A87="","",IF($AM87="",1,IFERROR(INDEX('Sublimits and Parts'!$C$91:$C$94,MATCH($AM87,'Sublimits and Parts'!$B$91:$B$94,0)),"?")))</f>
        <v/>
      </c>
      <c r="BZ87" s="99" t="str">
        <f>IF($A87="","",IF($AN87="",1,IFERROR(INDEX('Sublimits and Parts'!$C$98:$C$101,MATCH($AN87,'Sublimits and Parts'!$B$98:$B$101,0)),"?")))</f>
        <v/>
      </c>
      <c r="CA87" s="99" t="str">
        <f>IF($A87="","",IF($AO87="",1,IFERROR(INDEX('Sublimits and Parts'!$C$105:$C$109,MATCH($AO87,'Sublimits and Parts'!$B$105:$B$109,0)),"?")))</f>
        <v/>
      </c>
      <c r="CB87" s="100" t="str">
        <f t="shared" si="15"/>
        <v/>
      </c>
      <c r="CC87" s="100" t="str">
        <f t="shared" si="16"/>
        <v/>
      </c>
      <c r="CD87" s="103" t="str">
        <f>IF($A87="","",IF(OR($CB87="?",$CC87="?"),"?",MIN($CB87*$CC87,'Technical Premium'!$C$17)))</f>
        <v/>
      </c>
      <c r="CE87" s="102" t="str">
        <f t="shared" si="17"/>
        <v/>
      </c>
      <c r="CF87" s="102" t="str">
        <f>IF($A87="","",IFERROR(INDEX('Territory Factors'!$F$6:$F$56,MATCH($K87,'Territory Factors'!$B$6:$B$56,0)),"?"))</f>
        <v/>
      </c>
      <c r="CG87" s="100" t="str">
        <f>IF($A87="","",IFERROR(INDEX('Usage and Coverage'!$C$79:$C$84,MATCH($Y87,'Usage and Coverage'!$B$79:$B$84,0)),"?"))</f>
        <v/>
      </c>
      <c r="CH87" s="102" t="str">
        <f>IFERROR(IF(ISNUMBER($CD87),$CF87*$CG87*MIN($BG87*$BA87*$BC87*$BD87*$BH87*$BF87,'Technical Premium'!$C$17),""),"")</f>
        <v/>
      </c>
      <c r="CI87" s="102" t="str">
        <f t="shared" si="18"/>
        <v/>
      </c>
      <c r="CJ87" s="102" t="str">
        <f>IFERROR($CI87*(1+'Technical Premium'!$C$5)*(1+'Technical Premium'!$C$6),"")</f>
        <v/>
      </c>
      <c r="CK87" s="102" t="str">
        <f>IFERROR($CE87*INDEX('Territory Factors'!$G$6:$G$56,MATCH($K87,'Territory Factors'!$B$6:$B$56,0))*$AU87*$AV87,"")</f>
        <v/>
      </c>
      <c r="CL87" s="102" t="str">
        <f>IFERROR(($CJ87+$CK87)*(1+'Technical Premium'!$C$7),"")</f>
        <v/>
      </c>
      <c r="CM87" s="104" t="str">
        <f>IFERROR($CL87/'Technical Premium'!$C$13,"")</f>
        <v/>
      </c>
      <c r="CN87" s="105" t="str">
        <f t="shared" si="19"/>
        <v/>
      </c>
      <c r="CO87" s="104" t="str">
        <f t="shared" si="20"/>
        <v/>
      </c>
      <c r="CP87" s="105" t="str">
        <f t="shared" si="21"/>
        <v/>
      </c>
      <c r="CQ87" s="106" t="str">
        <f t="shared" si="22"/>
        <v/>
      </c>
      <c r="CR87" s="102" t="str">
        <f>IF(ISNUMBER($CM87),'Technical Premium'!$C$14+IF($J87&gt;=1000000,'Technical Premium'!$C$15,0),"")</f>
        <v/>
      </c>
      <c r="CS87" s="102" t="str">
        <f>IFERROR(($CO87+$CR87)*(INDEX('Territory Factors'!$K$6:$K$56,MATCH($K87,'Territory Factors'!$B$6:$B$56,0))+'Commission Structure'!$C$21),"")</f>
        <v/>
      </c>
      <c r="CT87" s="104" t="str">
        <f t="shared" si="23"/>
        <v/>
      </c>
      <c r="CU87" s="102" t="str">
        <f>IFERROR($CO87*('Commission Structure'!$C$6+'Commission Structure'!$C$7),"")</f>
        <v/>
      </c>
      <c r="CV87" s="102" t="str">
        <f>IFERROR($CO87*'Commission Structure'!$C$5-$CU87,"")</f>
        <v/>
      </c>
      <c r="CW87" s="102" t="str">
        <f>IFERROR($CO87*(1-'Commission Structure'!$C$5),"")</f>
        <v/>
      </c>
      <c r="CX87" s="107"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8" t="str">
        <f t="shared" si="24"/>
        <v/>
      </c>
      <c r="CZ87" s="99" t="str">
        <f>IF($CY87="","",IF($CY87&lt;'Technical Premium'!$C$19,"BEYOND AUTHORITY",IF($CY87&gt;0.005,"Above technical",IF($CY87&lt;-0.005,"BELOW technical","At technical"))))</f>
        <v/>
      </c>
      <c r="DA87" s="99"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4"/>
      <c r="DC87" s="94"/>
      <c r="DD87" s="95"/>
      <c r="DE87" s="94"/>
      <c r="DF87" s="94"/>
      <c r="DG87" s="99" t="str">
        <f t="shared" si="25"/>
        <v/>
      </c>
      <c r="DH87" s="99" t="str">
        <f>IF($A87="","",IF(OR($CX87="REFER",$CX87="DECLINE"),COUNTIF($CX$5:$CX87,"REFER")+COUNTIF($CX$5:$CX87,"DECLINE"),""))</f>
        <v/>
      </c>
      <c r="DI87" s="94"/>
    </row>
    <row r="88" spans="1:113" x14ac:dyDescent="0.35">
      <c r="A88" s="94"/>
      <c r="B88" s="94"/>
      <c r="C88" s="95"/>
      <c r="D88" s="95"/>
      <c r="E88" s="96"/>
      <c r="F88" s="94"/>
      <c r="G88" s="94"/>
      <c r="H88" s="94"/>
      <c r="I88" s="94"/>
      <c r="J88" s="97"/>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8"/>
      <c r="AR88" s="99" t="str">
        <f t="shared" si="13"/>
        <v/>
      </c>
      <c r="AS88" s="99" t="str">
        <f>IF($A88="","",IF($AP88&lt;&gt;"",$AP88,IFERROR(INDEX('Cat Zone by ZIP'!$D$6:$D$856,MATCH($AR88,'Cat Zone by ZIP'!$B$6:$B$856,0)),IFERROR(INDEX('Cat Zone by ZIP'!$C$860:$C$910,MATCH($K88,'Cat Zone by ZIP'!$B$860:$B$910,0)),"NOT FOUND"))))</f>
        <v/>
      </c>
      <c r="AT88" s="99" t="str">
        <f>IF($A88="","",IF($AP88&lt;&gt;"","Override",IF(ISNUMBER(MATCH($AR88,'Cat Zone by ZIP'!$B$6:$B$856,0)),"ZIP-3","State default")))</f>
        <v/>
      </c>
      <c r="AU88" s="100" t="str">
        <f>IF($A88="","",IFERROR(INDEX('Natural Catastrophe'!$D$6:$D$17,MATCH($AS88,'Natural Catastrophe'!$B$6:$B$17,0)),"?"))</f>
        <v/>
      </c>
      <c r="AV88" s="100" t="str">
        <f>IF($A88="","",IFERROR(INDEX('Natural Catastrophe'!$C$21:$C$26,MATCH($AA88,'Natural Catastrophe'!$B$21:$B$26,0)),"?"))</f>
        <v/>
      </c>
      <c r="AW88" s="99" t="str">
        <f>IF($A88="","",IFERROR(INDEX('Base Rates'!$C$4:$I$4,MATCH(MAX($J88,'Technical Premium'!$C$18),'Base Rates'!$C$3:$I$3,1)),"?"))</f>
        <v/>
      </c>
      <c r="AX88" s="101" t="str">
        <f>IF($A88="","",IFERROR(INDEX('Base Rates'!$C$5:$I$16,MATCH($I88,'Base Rates'!$B$5:$B$16,0),MATCH(MAX($J88,'Technical Premium'!$C$18),'Base Rates'!$C$3:$I$3,1)),"?"))</f>
        <v/>
      </c>
      <c r="AY88" s="102" t="str">
        <f t="shared" si="14"/>
        <v/>
      </c>
      <c r="AZ88" s="99" t="str">
        <f>IF($A88="","",IFERROR(INDEX('Make Factors'!$G$5:$G$69,MATCH($F88,'Make Factors'!$B$5:$B$69,0)),"?"))</f>
        <v/>
      </c>
      <c r="BA88" s="99" t="str">
        <f>IF($A88="","",IFERROR(INDEX('Driver Factors'!$C$6:$C$15,MATCH($R88,'Driver Factors'!$B$6:$B$15,0)),"?"))</f>
        <v/>
      </c>
      <c r="BB88" s="99" t="str">
        <f>IF($A88="","",IFERROR(INDEX('Driver Factors'!$C$19:$C$24,MATCH($S88,'Driver Factors'!$B$19:$B$24,0)),"?"))</f>
        <v/>
      </c>
      <c r="BC88" s="99" t="str">
        <f>IF($A88="","",IFERROR(INDEX('Driver Factors'!$C$28:$C$36,MATCH($T88,'Driver Factors'!$B$28:$B$36,0)),"?"))</f>
        <v/>
      </c>
      <c r="BD88" s="99" t="str">
        <f>IF($A88="","",IFERROR(INDEX('Claims History'!$C$6:$C$15,MATCH($U88,'Claims History'!$B$6:$B$15,0)),"?"))</f>
        <v/>
      </c>
      <c r="BE88" s="99" t="str">
        <f>IF($A88="","",IFERROR(INDEX('Territory Factors'!$E$6:$E$56,MATCH($K88,'Territory Factors'!$B$6:$B$56,0)),"?"))</f>
        <v/>
      </c>
      <c r="BF88" s="99" t="str">
        <f>IF($A88="","",IFERROR(INDEX('City Accident Ratings'!$G$6:$G$54,MATCH($Z88,'City Accident Ratings'!$B$6:$B$54,0)),"?"))</f>
        <v/>
      </c>
      <c r="BG88" s="99" t="str">
        <f>IF($A88="","",IFERROR(INDEX('Usage and Coverage'!$D$6:$D$20,MATCH($N88,'Usage and Coverage'!$C$6:$C$20,0)),"?"))</f>
        <v/>
      </c>
      <c r="BH88" s="99" t="str">
        <f>IF($A88="","",IFERROR(INDEX('Usage and Coverage'!$C$24:$C$30,MATCH($O88,'Usage and Coverage'!$B$24:$B$30,0)),"?"))</f>
        <v/>
      </c>
      <c r="BI88" s="99" t="str">
        <f>IF($A88="","",IFERROR(INDEX('Usage and Coverage'!$C$34:$C$40,MATCH($P88,'Usage and Coverage'!$B$34:$B$40,0)),"?"))</f>
        <v/>
      </c>
      <c r="BJ88" s="99" t="str">
        <f>IF($A88="","",IFERROR(INDEX('Usage and Coverage'!$C$44:$C$49,MATCH($Q88,'Usage and Coverage'!$B$44:$B$49,0)),"?"))</f>
        <v/>
      </c>
      <c r="BK88" s="99" t="str">
        <f>IF($A88="","",IFERROR(INDEX(Deductibles!$C$6:$I$15,MATCH($W88,Deductibles!$B$6:$B$15,0),MATCH(MAX($J88,'Technical Premium'!$C$18),'Base Rates'!$C$3:$I$3,1)),"?"))</f>
        <v/>
      </c>
      <c r="BL88" s="99" t="str">
        <f>IF($A88="","",IFERROR(INDEX('Usage and Coverage'!$C$63:$C$66,MATCH($X88,'Usage and Coverage'!$B$63:$B$66,0)),"?"))</f>
        <v/>
      </c>
      <c r="BM88" s="99" t="str">
        <f>IF($A88="","",IFERROR(INDEX('Usage and Coverage'!$C$70:$C$75,MATCH($V88,'Usage and Coverage'!$B$70:$B$75,0)),"?"))</f>
        <v/>
      </c>
      <c r="BN88" s="99" t="str">
        <f>IF($A88="","",IF($AB88="",1,IFERROR(INDEX(Deductibles!$C$48:$C$51,MATCH($AB88,Deductibles!$B$48:$B$51,0)),"?")))</f>
        <v/>
      </c>
      <c r="BO88" s="99" t="str">
        <f>IF($A88="","",IF($AC88="",1,IFERROR(INDEX(Deductibles!$C$55:$C$57,MATCH($AC88,Deductibles!$B$55:$B$57,0)),"?")))</f>
        <v/>
      </c>
      <c r="BP88" s="99" t="str">
        <f>IF($A88="","",IF($AD88="",1,IFERROR(INDEX(Deductibles!$C$61:$C$63,MATCH($AD88,Deductibles!$B$61:$B$63,0)),"?")))</f>
        <v/>
      </c>
      <c r="BQ88" s="99" t="str">
        <f>IF($A88="","",IF($AE88="",1,IFERROR(INDEX(Deductibles!$C$67:$C$69,MATCH($AE88,Deductibles!$B$67:$B$69,0)),"?")))</f>
        <v/>
      </c>
      <c r="BR88" s="99" t="str">
        <f>IF($A88="","",IF($AF88="",1,IFERROR(INDEX(Deductibles!$C$73:$C$74,MATCH($AF88,Deductibles!$B$73:$B$74,0)),"?")))</f>
        <v/>
      </c>
      <c r="BS88" s="99" t="str">
        <f>IF($A88="","",IF($AG88="",1,IFERROR(INDEX('Sublimits and Parts'!$C$49:$C$52,MATCH($AG88,'Sublimits and Parts'!$B$49:$B$52,0)),"?")))</f>
        <v/>
      </c>
      <c r="BT88" s="99" t="str">
        <f>IF($A88="","",IF($AH88="",1,IFERROR(INDEX('Sublimits and Parts'!$C$56:$C$60,MATCH($AH88,'Sublimits and Parts'!$B$56:$B$60,0)),"?")))</f>
        <v/>
      </c>
      <c r="BU88" s="99" t="str">
        <f>IF($A88="","",IF($AI88="",1,IFERROR(INDEX('Sublimits and Parts'!$C$64:$C$67,MATCH($AI88,'Sublimits and Parts'!$B$64:$B$67,0)),"?")))</f>
        <v/>
      </c>
      <c r="BV88" s="99" t="str">
        <f>IF($A88="","",IF($AJ88="",1,IFERROR(INDEX('Sublimits and Parts'!$C$71:$C$74,MATCH($AJ88,'Sublimits and Parts'!$B$71:$B$74,0)),"?")))</f>
        <v/>
      </c>
      <c r="BW88" s="99" t="str">
        <f>IF($A88="","",IF($AK88="",1,IFERROR(INDEX('Sublimits and Parts'!$C$78:$C$80,MATCH($AK88,'Sublimits and Parts'!$B$78:$B$80,0)),"?")))</f>
        <v/>
      </c>
      <c r="BX88" s="99" t="str">
        <f>IF($A88="","",IF($AL88="",1,IFERROR(INDEX('Sublimits and Parts'!$C$84:$C$87,MATCH($AL88,'Sublimits and Parts'!$B$84:$B$87,0)),"?")))</f>
        <v/>
      </c>
      <c r="BY88" s="99" t="str">
        <f>IF($A88="","",IF($AM88="",1,IFERROR(INDEX('Sublimits and Parts'!$C$91:$C$94,MATCH($AM88,'Sublimits and Parts'!$B$91:$B$94,0)),"?")))</f>
        <v/>
      </c>
      <c r="BZ88" s="99" t="str">
        <f>IF($A88="","",IF($AN88="",1,IFERROR(INDEX('Sublimits and Parts'!$C$98:$C$101,MATCH($AN88,'Sublimits and Parts'!$B$98:$B$101,0)),"?")))</f>
        <v/>
      </c>
      <c r="CA88" s="99" t="str">
        <f>IF($A88="","",IF($AO88="",1,IFERROR(INDEX('Sublimits and Parts'!$C$105:$C$109,MATCH($AO88,'Sublimits and Parts'!$B$105:$B$109,0)),"?")))</f>
        <v/>
      </c>
      <c r="CB88" s="100" t="str">
        <f t="shared" si="15"/>
        <v/>
      </c>
      <c r="CC88" s="100" t="str">
        <f t="shared" si="16"/>
        <v/>
      </c>
      <c r="CD88" s="103" t="str">
        <f>IF($A88="","",IF(OR($CB88="?",$CC88="?"),"?",MIN($CB88*$CC88,'Technical Premium'!$C$17)))</f>
        <v/>
      </c>
      <c r="CE88" s="102" t="str">
        <f t="shared" si="17"/>
        <v/>
      </c>
      <c r="CF88" s="102" t="str">
        <f>IF($A88="","",IFERROR(INDEX('Territory Factors'!$F$6:$F$56,MATCH($K88,'Territory Factors'!$B$6:$B$56,0)),"?"))</f>
        <v/>
      </c>
      <c r="CG88" s="100" t="str">
        <f>IF($A88="","",IFERROR(INDEX('Usage and Coverage'!$C$79:$C$84,MATCH($Y88,'Usage and Coverage'!$B$79:$B$84,0)),"?"))</f>
        <v/>
      </c>
      <c r="CH88" s="102" t="str">
        <f>IFERROR(IF(ISNUMBER($CD88),$CF88*$CG88*MIN($BG88*$BA88*$BC88*$BD88*$BH88*$BF88,'Technical Premium'!$C$17),""),"")</f>
        <v/>
      </c>
      <c r="CI88" s="102" t="str">
        <f t="shared" si="18"/>
        <v/>
      </c>
      <c r="CJ88" s="102" t="str">
        <f>IFERROR($CI88*(1+'Technical Premium'!$C$5)*(1+'Technical Premium'!$C$6),"")</f>
        <v/>
      </c>
      <c r="CK88" s="102" t="str">
        <f>IFERROR($CE88*INDEX('Territory Factors'!$G$6:$G$56,MATCH($K88,'Territory Factors'!$B$6:$B$56,0))*$AU88*$AV88,"")</f>
        <v/>
      </c>
      <c r="CL88" s="102" t="str">
        <f>IFERROR(($CJ88+$CK88)*(1+'Technical Premium'!$C$7),"")</f>
        <v/>
      </c>
      <c r="CM88" s="104" t="str">
        <f>IFERROR($CL88/'Technical Premium'!$C$13,"")</f>
        <v/>
      </c>
      <c r="CN88" s="105" t="str">
        <f t="shared" si="19"/>
        <v/>
      </c>
      <c r="CO88" s="104" t="str">
        <f t="shared" si="20"/>
        <v/>
      </c>
      <c r="CP88" s="105" t="str">
        <f t="shared" si="21"/>
        <v/>
      </c>
      <c r="CQ88" s="106" t="str">
        <f t="shared" si="22"/>
        <v/>
      </c>
      <c r="CR88" s="102" t="str">
        <f>IF(ISNUMBER($CM88),'Technical Premium'!$C$14+IF($J88&gt;=1000000,'Technical Premium'!$C$15,0),"")</f>
        <v/>
      </c>
      <c r="CS88" s="102" t="str">
        <f>IFERROR(($CO88+$CR88)*(INDEX('Territory Factors'!$K$6:$K$56,MATCH($K88,'Territory Factors'!$B$6:$B$56,0))+'Commission Structure'!$C$21),"")</f>
        <v/>
      </c>
      <c r="CT88" s="104" t="str">
        <f t="shared" si="23"/>
        <v/>
      </c>
      <c r="CU88" s="102" t="str">
        <f>IFERROR($CO88*('Commission Structure'!$C$6+'Commission Structure'!$C$7),"")</f>
        <v/>
      </c>
      <c r="CV88" s="102" t="str">
        <f>IFERROR($CO88*'Commission Structure'!$C$5-$CU88,"")</f>
        <v/>
      </c>
      <c r="CW88" s="102" t="str">
        <f>IFERROR($CO88*(1-'Commission Structure'!$C$5),"")</f>
        <v/>
      </c>
      <c r="CX88" s="107"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8" t="str">
        <f t="shared" si="24"/>
        <v/>
      </c>
      <c r="CZ88" s="99" t="str">
        <f>IF($CY88="","",IF($CY88&lt;'Technical Premium'!$C$19,"BEYOND AUTHORITY",IF($CY88&gt;0.005,"Above technical",IF($CY88&lt;-0.005,"BELOW technical","At technical"))))</f>
        <v/>
      </c>
      <c r="DA88" s="99"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4"/>
      <c r="DC88" s="94"/>
      <c r="DD88" s="95"/>
      <c r="DE88" s="94"/>
      <c r="DF88" s="94"/>
      <c r="DG88" s="99" t="str">
        <f t="shared" si="25"/>
        <v/>
      </c>
      <c r="DH88" s="99" t="str">
        <f>IF($A88="","",IF(OR($CX88="REFER",$CX88="DECLINE"),COUNTIF($CX$5:$CX88,"REFER")+COUNTIF($CX$5:$CX88,"DECLINE"),""))</f>
        <v/>
      </c>
      <c r="DI88" s="94"/>
    </row>
    <row r="89" spans="1:113" x14ac:dyDescent="0.35">
      <c r="A89" s="94"/>
      <c r="B89" s="94"/>
      <c r="C89" s="95"/>
      <c r="D89" s="95"/>
      <c r="E89" s="96"/>
      <c r="F89" s="94"/>
      <c r="G89" s="94"/>
      <c r="H89" s="94"/>
      <c r="I89" s="94"/>
      <c r="J89" s="97"/>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8"/>
      <c r="AR89" s="99" t="str">
        <f t="shared" si="13"/>
        <v/>
      </c>
      <c r="AS89" s="99" t="str">
        <f>IF($A89="","",IF($AP89&lt;&gt;"",$AP89,IFERROR(INDEX('Cat Zone by ZIP'!$D$6:$D$856,MATCH($AR89,'Cat Zone by ZIP'!$B$6:$B$856,0)),IFERROR(INDEX('Cat Zone by ZIP'!$C$860:$C$910,MATCH($K89,'Cat Zone by ZIP'!$B$860:$B$910,0)),"NOT FOUND"))))</f>
        <v/>
      </c>
      <c r="AT89" s="99" t="str">
        <f>IF($A89="","",IF($AP89&lt;&gt;"","Override",IF(ISNUMBER(MATCH($AR89,'Cat Zone by ZIP'!$B$6:$B$856,0)),"ZIP-3","State default")))</f>
        <v/>
      </c>
      <c r="AU89" s="100" t="str">
        <f>IF($A89="","",IFERROR(INDEX('Natural Catastrophe'!$D$6:$D$17,MATCH($AS89,'Natural Catastrophe'!$B$6:$B$17,0)),"?"))</f>
        <v/>
      </c>
      <c r="AV89" s="100" t="str">
        <f>IF($A89="","",IFERROR(INDEX('Natural Catastrophe'!$C$21:$C$26,MATCH($AA89,'Natural Catastrophe'!$B$21:$B$26,0)),"?"))</f>
        <v/>
      </c>
      <c r="AW89" s="99" t="str">
        <f>IF($A89="","",IFERROR(INDEX('Base Rates'!$C$4:$I$4,MATCH(MAX($J89,'Technical Premium'!$C$18),'Base Rates'!$C$3:$I$3,1)),"?"))</f>
        <v/>
      </c>
      <c r="AX89" s="101" t="str">
        <f>IF($A89="","",IFERROR(INDEX('Base Rates'!$C$5:$I$16,MATCH($I89,'Base Rates'!$B$5:$B$16,0),MATCH(MAX($J89,'Technical Premium'!$C$18),'Base Rates'!$C$3:$I$3,1)),"?"))</f>
        <v/>
      </c>
      <c r="AY89" s="102" t="str">
        <f t="shared" si="14"/>
        <v/>
      </c>
      <c r="AZ89" s="99" t="str">
        <f>IF($A89="","",IFERROR(INDEX('Make Factors'!$G$5:$G$69,MATCH($F89,'Make Factors'!$B$5:$B$69,0)),"?"))</f>
        <v/>
      </c>
      <c r="BA89" s="99" t="str">
        <f>IF($A89="","",IFERROR(INDEX('Driver Factors'!$C$6:$C$15,MATCH($R89,'Driver Factors'!$B$6:$B$15,0)),"?"))</f>
        <v/>
      </c>
      <c r="BB89" s="99" t="str">
        <f>IF($A89="","",IFERROR(INDEX('Driver Factors'!$C$19:$C$24,MATCH($S89,'Driver Factors'!$B$19:$B$24,0)),"?"))</f>
        <v/>
      </c>
      <c r="BC89" s="99" t="str">
        <f>IF($A89="","",IFERROR(INDEX('Driver Factors'!$C$28:$C$36,MATCH($T89,'Driver Factors'!$B$28:$B$36,0)),"?"))</f>
        <v/>
      </c>
      <c r="BD89" s="99" t="str">
        <f>IF($A89="","",IFERROR(INDEX('Claims History'!$C$6:$C$15,MATCH($U89,'Claims History'!$B$6:$B$15,0)),"?"))</f>
        <v/>
      </c>
      <c r="BE89" s="99" t="str">
        <f>IF($A89="","",IFERROR(INDEX('Territory Factors'!$E$6:$E$56,MATCH($K89,'Territory Factors'!$B$6:$B$56,0)),"?"))</f>
        <v/>
      </c>
      <c r="BF89" s="99" t="str">
        <f>IF($A89="","",IFERROR(INDEX('City Accident Ratings'!$G$6:$G$54,MATCH($Z89,'City Accident Ratings'!$B$6:$B$54,0)),"?"))</f>
        <v/>
      </c>
      <c r="BG89" s="99" t="str">
        <f>IF($A89="","",IFERROR(INDEX('Usage and Coverage'!$D$6:$D$20,MATCH($N89,'Usage and Coverage'!$C$6:$C$20,0)),"?"))</f>
        <v/>
      </c>
      <c r="BH89" s="99" t="str">
        <f>IF($A89="","",IFERROR(INDEX('Usage and Coverage'!$C$24:$C$30,MATCH($O89,'Usage and Coverage'!$B$24:$B$30,0)),"?"))</f>
        <v/>
      </c>
      <c r="BI89" s="99" t="str">
        <f>IF($A89="","",IFERROR(INDEX('Usage and Coverage'!$C$34:$C$40,MATCH($P89,'Usage and Coverage'!$B$34:$B$40,0)),"?"))</f>
        <v/>
      </c>
      <c r="BJ89" s="99" t="str">
        <f>IF($A89="","",IFERROR(INDEX('Usage and Coverage'!$C$44:$C$49,MATCH($Q89,'Usage and Coverage'!$B$44:$B$49,0)),"?"))</f>
        <v/>
      </c>
      <c r="BK89" s="99" t="str">
        <f>IF($A89="","",IFERROR(INDEX(Deductibles!$C$6:$I$15,MATCH($W89,Deductibles!$B$6:$B$15,0),MATCH(MAX($J89,'Technical Premium'!$C$18),'Base Rates'!$C$3:$I$3,1)),"?"))</f>
        <v/>
      </c>
      <c r="BL89" s="99" t="str">
        <f>IF($A89="","",IFERROR(INDEX('Usage and Coverage'!$C$63:$C$66,MATCH($X89,'Usage and Coverage'!$B$63:$B$66,0)),"?"))</f>
        <v/>
      </c>
      <c r="BM89" s="99" t="str">
        <f>IF($A89="","",IFERROR(INDEX('Usage and Coverage'!$C$70:$C$75,MATCH($V89,'Usage and Coverage'!$B$70:$B$75,0)),"?"))</f>
        <v/>
      </c>
      <c r="BN89" s="99" t="str">
        <f>IF($A89="","",IF($AB89="",1,IFERROR(INDEX(Deductibles!$C$48:$C$51,MATCH($AB89,Deductibles!$B$48:$B$51,0)),"?")))</f>
        <v/>
      </c>
      <c r="BO89" s="99" t="str">
        <f>IF($A89="","",IF($AC89="",1,IFERROR(INDEX(Deductibles!$C$55:$C$57,MATCH($AC89,Deductibles!$B$55:$B$57,0)),"?")))</f>
        <v/>
      </c>
      <c r="BP89" s="99" t="str">
        <f>IF($A89="","",IF($AD89="",1,IFERROR(INDEX(Deductibles!$C$61:$C$63,MATCH($AD89,Deductibles!$B$61:$B$63,0)),"?")))</f>
        <v/>
      </c>
      <c r="BQ89" s="99" t="str">
        <f>IF($A89="","",IF($AE89="",1,IFERROR(INDEX(Deductibles!$C$67:$C$69,MATCH($AE89,Deductibles!$B$67:$B$69,0)),"?")))</f>
        <v/>
      </c>
      <c r="BR89" s="99" t="str">
        <f>IF($A89="","",IF($AF89="",1,IFERROR(INDEX(Deductibles!$C$73:$C$74,MATCH($AF89,Deductibles!$B$73:$B$74,0)),"?")))</f>
        <v/>
      </c>
      <c r="BS89" s="99" t="str">
        <f>IF($A89="","",IF($AG89="",1,IFERROR(INDEX('Sublimits and Parts'!$C$49:$C$52,MATCH($AG89,'Sublimits and Parts'!$B$49:$B$52,0)),"?")))</f>
        <v/>
      </c>
      <c r="BT89" s="99" t="str">
        <f>IF($A89="","",IF($AH89="",1,IFERROR(INDEX('Sublimits and Parts'!$C$56:$C$60,MATCH($AH89,'Sublimits and Parts'!$B$56:$B$60,0)),"?")))</f>
        <v/>
      </c>
      <c r="BU89" s="99" t="str">
        <f>IF($A89="","",IF($AI89="",1,IFERROR(INDEX('Sublimits and Parts'!$C$64:$C$67,MATCH($AI89,'Sublimits and Parts'!$B$64:$B$67,0)),"?")))</f>
        <v/>
      </c>
      <c r="BV89" s="99" t="str">
        <f>IF($A89="","",IF($AJ89="",1,IFERROR(INDEX('Sublimits and Parts'!$C$71:$C$74,MATCH($AJ89,'Sublimits and Parts'!$B$71:$B$74,0)),"?")))</f>
        <v/>
      </c>
      <c r="BW89" s="99" t="str">
        <f>IF($A89="","",IF($AK89="",1,IFERROR(INDEX('Sublimits and Parts'!$C$78:$C$80,MATCH($AK89,'Sublimits and Parts'!$B$78:$B$80,0)),"?")))</f>
        <v/>
      </c>
      <c r="BX89" s="99" t="str">
        <f>IF($A89="","",IF($AL89="",1,IFERROR(INDEX('Sublimits and Parts'!$C$84:$C$87,MATCH($AL89,'Sublimits and Parts'!$B$84:$B$87,0)),"?")))</f>
        <v/>
      </c>
      <c r="BY89" s="99" t="str">
        <f>IF($A89="","",IF($AM89="",1,IFERROR(INDEX('Sublimits and Parts'!$C$91:$C$94,MATCH($AM89,'Sublimits and Parts'!$B$91:$B$94,0)),"?")))</f>
        <v/>
      </c>
      <c r="BZ89" s="99" t="str">
        <f>IF($A89="","",IF($AN89="",1,IFERROR(INDEX('Sublimits and Parts'!$C$98:$C$101,MATCH($AN89,'Sublimits and Parts'!$B$98:$B$101,0)),"?")))</f>
        <v/>
      </c>
      <c r="CA89" s="99" t="str">
        <f>IF($A89="","",IF($AO89="",1,IFERROR(INDEX('Sublimits and Parts'!$C$105:$C$109,MATCH($AO89,'Sublimits and Parts'!$B$105:$B$109,0)),"?")))</f>
        <v/>
      </c>
      <c r="CB89" s="100" t="str">
        <f t="shared" si="15"/>
        <v/>
      </c>
      <c r="CC89" s="100" t="str">
        <f t="shared" si="16"/>
        <v/>
      </c>
      <c r="CD89" s="103" t="str">
        <f>IF($A89="","",IF(OR($CB89="?",$CC89="?"),"?",MIN($CB89*$CC89,'Technical Premium'!$C$17)))</f>
        <v/>
      </c>
      <c r="CE89" s="102" t="str">
        <f t="shared" si="17"/>
        <v/>
      </c>
      <c r="CF89" s="102" t="str">
        <f>IF($A89="","",IFERROR(INDEX('Territory Factors'!$F$6:$F$56,MATCH($K89,'Territory Factors'!$B$6:$B$56,0)),"?"))</f>
        <v/>
      </c>
      <c r="CG89" s="100" t="str">
        <f>IF($A89="","",IFERROR(INDEX('Usage and Coverage'!$C$79:$C$84,MATCH($Y89,'Usage and Coverage'!$B$79:$B$84,0)),"?"))</f>
        <v/>
      </c>
      <c r="CH89" s="102" t="str">
        <f>IFERROR(IF(ISNUMBER($CD89),$CF89*$CG89*MIN($BG89*$BA89*$BC89*$BD89*$BH89*$BF89,'Technical Premium'!$C$17),""),"")</f>
        <v/>
      </c>
      <c r="CI89" s="102" t="str">
        <f t="shared" si="18"/>
        <v/>
      </c>
      <c r="CJ89" s="102" t="str">
        <f>IFERROR($CI89*(1+'Technical Premium'!$C$5)*(1+'Technical Premium'!$C$6),"")</f>
        <v/>
      </c>
      <c r="CK89" s="102" t="str">
        <f>IFERROR($CE89*INDEX('Territory Factors'!$G$6:$G$56,MATCH($K89,'Territory Factors'!$B$6:$B$56,0))*$AU89*$AV89,"")</f>
        <v/>
      </c>
      <c r="CL89" s="102" t="str">
        <f>IFERROR(($CJ89+$CK89)*(1+'Technical Premium'!$C$7),"")</f>
        <v/>
      </c>
      <c r="CM89" s="104" t="str">
        <f>IFERROR($CL89/'Technical Premium'!$C$13,"")</f>
        <v/>
      </c>
      <c r="CN89" s="105" t="str">
        <f t="shared" si="19"/>
        <v/>
      </c>
      <c r="CO89" s="104" t="str">
        <f t="shared" si="20"/>
        <v/>
      </c>
      <c r="CP89" s="105" t="str">
        <f t="shared" si="21"/>
        <v/>
      </c>
      <c r="CQ89" s="106" t="str">
        <f t="shared" si="22"/>
        <v/>
      </c>
      <c r="CR89" s="102" t="str">
        <f>IF(ISNUMBER($CM89),'Technical Premium'!$C$14+IF($J89&gt;=1000000,'Technical Premium'!$C$15,0),"")</f>
        <v/>
      </c>
      <c r="CS89" s="102" t="str">
        <f>IFERROR(($CO89+$CR89)*(INDEX('Territory Factors'!$K$6:$K$56,MATCH($K89,'Territory Factors'!$B$6:$B$56,0))+'Commission Structure'!$C$21),"")</f>
        <v/>
      </c>
      <c r="CT89" s="104" t="str">
        <f t="shared" si="23"/>
        <v/>
      </c>
      <c r="CU89" s="102" t="str">
        <f>IFERROR($CO89*('Commission Structure'!$C$6+'Commission Structure'!$C$7),"")</f>
        <v/>
      </c>
      <c r="CV89" s="102" t="str">
        <f>IFERROR($CO89*'Commission Structure'!$C$5-$CU89,"")</f>
        <v/>
      </c>
      <c r="CW89" s="102" t="str">
        <f>IFERROR($CO89*(1-'Commission Structure'!$C$5),"")</f>
        <v/>
      </c>
      <c r="CX89" s="107"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8" t="str">
        <f t="shared" si="24"/>
        <v/>
      </c>
      <c r="CZ89" s="99" t="str">
        <f>IF($CY89="","",IF($CY89&lt;'Technical Premium'!$C$19,"BEYOND AUTHORITY",IF($CY89&gt;0.005,"Above technical",IF($CY89&lt;-0.005,"BELOW technical","At technical"))))</f>
        <v/>
      </c>
      <c r="DA89" s="99"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4"/>
      <c r="DC89" s="94"/>
      <c r="DD89" s="95"/>
      <c r="DE89" s="94"/>
      <c r="DF89" s="94"/>
      <c r="DG89" s="99" t="str">
        <f t="shared" si="25"/>
        <v/>
      </c>
      <c r="DH89" s="99" t="str">
        <f>IF($A89="","",IF(OR($CX89="REFER",$CX89="DECLINE"),COUNTIF($CX$5:$CX89,"REFER")+COUNTIF($CX$5:$CX89,"DECLINE"),""))</f>
        <v/>
      </c>
      <c r="DI89" s="94"/>
    </row>
    <row r="90" spans="1:113" x14ac:dyDescent="0.35">
      <c r="A90" s="94"/>
      <c r="B90" s="94"/>
      <c r="C90" s="95"/>
      <c r="D90" s="95"/>
      <c r="E90" s="96"/>
      <c r="F90" s="94"/>
      <c r="G90" s="94"/>
      <c r="H90" s="94"/>
      <c r="I90" s="94"/>
      <c r="J90" s="97"/>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8"/>
      <c r="AR90" s="99" t="str">
        <f t="shared" si="13"/>
        <v/>
      </c>
      <c r="AS90" s="99" t="str">
        <f>IF($A90="","",IF($AP90&lt;&gt;"",$AP90,IFERROR(INDEX('Cat Zone by ZIP'!$D$6:$D$856,MATCH($AR90,'Cat Zone by ZIP'!$B$6:$B$856,0)),IFERROR(INDEX('Cat Zone by ZIP'!$C$860:$C$910,MATCH($K90,'Cat Zone by ZIP'!$B$860:$B$910,0)),"NOT FOUND"))))</f>
        <v/>
      </c>
      <c r="AT90" s="99" t="str">
        <f>IF($A90="","",IF($AP90&lt;&gt;"","Override",IF(ISNUMBER(MATCH($AR90,'Cat Zone by ZIP'!$B$6:$B$856,0)),"ZIP-3","State default")))</f>
        <v/>
      </c>
      <c r="AU90" s="100" t="str">
        <f>IF($A90="","",IFERROR(INDEX('Natural Catastrophe'!$D$6:$D$17,MATCH($AS90,'Natural Catastrophe'!$B$6:$B$17,0)),"?"))</f>
        <v/>
      </c>
      <c r="AV90" s="100" t="str">
        <f>IF($A90="","",IFERROR(INDEX('Natural Catastrophe'!$C$21:$C$26,MATCH($AA90,'Natural Catastrophe'!$B$21:$B$26,0)),"?"))</f>
        <v/>
      </c>
      <c r="AW90" s="99" t="str">
        <f>IF($A90="","",IFERROR(INDEX('Base Rates'!$C$4:$I$4,MATCH(MAX($J90,'Technical Premium'!$C$18),'Base Rates'!$C$3:$I$3,1)),"?"))</f>
        <v/>
      </c>
      <c r="AX90" s="101" t="str">
        <f>IF($A90="","",IFERROR(INDEX('Base Rates'!$C$5:$I$16,MATCH($I90,'Base Rates'!$B$5:$B$16,0),MATCH(MAX($J90,'Technical Premium'!$C$18),'Base Rates'!$C$3:$I$3,1)),"?"))</f>
        <v/>
      </c>
      <c r="AY90" s="102" t="str">
        <f t="shared" si="14"/>
        <v/>
      </c>
      <c r="AZ90" s="99" t="str">
        <f>IF($A90="","",IFERROR(INDEX('Make Factors'!$G$5:$G$69,MATCH($F90,'Make Factors'!$B$5:$B$69,0)),"?"))</f>
        <v/>
      </c>
      <c r="BA90" s="99" t="str">
        <f>IF($A90="","",IFERROR(INDEX('Driver Factors'!$C$6:$C$15,MATCH($R90,'Driver Factors'!$B$6:$B$15,0)),"?"))</f>
        <v/>
      </c>
      <c r="BB90" s="99" t="str">
        <f>IF($A90="","",IFERROR(INDEX('Driver Factors'!$C$19:$C$24,MATCH($S90,'Driver Factors'!$B$19:$B$24,0)),"?"))</f>
        <v/>
      </c>
      <c r="BC90" s="99" t="str">
        <f>IF($A90="","",IFERROR(INDEX('Driver Factors'!$C$28:$C$36,MATCH($T90,'Driver Factors'!$B$28:$B$36,0)),"?"))</f>
        <v/>
      </c>
      <c r="BD90" s="99" t="str">
        <f>IF($A90="","",IFERROR(INDEX('Claims History'!$C$6:$C$15,MATCH($U90,'Claims History'!$B$6:$B$15,0)),"?"))</f>
        <v/>
      </c>
      <c r="BE90" s="99" t="str">
        <f>IF($A90="","",IFERROR(INDEX('Territory Factors'!$E$6:$E$56,MATCH($K90,'Territory Factors'!$B$6:$B$56,0)),"?"))</f>
        <v/>
      </c>
      <c r="BF90" s="99" t="str">
        <f>IF($A90="","",IFERROR(INDEX('City Accident Ratings'!$G$6:$G$54,MATCH($Z90,'City Accident Ratings'!$B$6:$B$54,0)),"?"))</f>
        <v/>
      </c>
      <c r="BG90" s="99" t="str">
        <f>IF($A90="","",IFERROR(INDEX('Usage and Coverage'!$D$6:$D$20,MATCH($N90,'Usage and Coverage'!$C$6:$C$20,0)),"?"))</f>
        <v/>
      </c>
      <c r="BH90" s="99" t="str">
        <f>IF($A90="","",IFERROR(INDEX('Usage and Coverage'!$C$24:$C$30,MATCH($O90,'Usage and Coverage'!$B$24:$B$30,0)),"?"))</f>
        <v/>
      </c>
      <c r="BI90" s="99" t="str">
        <f>IF($A90="","",IFERROR(INDEX('Usage and Coverage'!$C$34:$C$40,MATCH($P90,'Usage and Coverage'!$B$34:$B$40,0)),"?"))</f>
        <v/>
      </c>
      <c r="BJ90" s="99" t="str">
        <f>IF($A90="","",IFERROR(INDEX('Usage and Coverage'!$C$44:$C$49,MATCH($Q90,'Usage and Coverage'!$B$44:$B$49,0)),"?"))</f>
        <v/>
      </c>
      <c r="BK90" s="99" t="str">
        <f>IF($A90="","",IFERROR(INDEX(Deductibles!$C$6:$I$15,MATCH($W90,Deductibles!$B$6:$B$15,0),MATCH(MAX($J90,'Technical Premium'!$C$18),'Base Rates'!$C$3:$I$3,1)),"?"))</f>
        <v/>
      </c>
      <c r="BL90" s="99" t="str">
        <f>IF($A90="","",IFERROR(INDEX('Usage and Coverage'!$C$63:$C$66,MATCH($X90,'Usage and Coverage'!$B$63:$B$66,0)),"?"))</f>
        <v/>
      </c>
      <c r="BM90" s="99" t="str">
        <f>IF($A90="","",IFERROR(INDEX('Usage and Coverage'!$C$70:$C$75,MATCH($V90,'Usage and Coverage'!$B$70:$B$75,0)),"?"))</f>
        <v/>
      </c>
      <c r="BN90" s="99" t="str">
        <f>IF($A90="","",IF($AB90="",1,IFERROR(INDEX(Deductibles!$C$48:$C$51,MATCH($AB90,Deductibles!$B$48:$B$51,0)),"?")))</f>
        <v/>
      </c>
      <c r="BO90" s="99" t="str">
        <f>IF($A90="","",IF($AC90="",1,IFERROR(INDEX(Deductibles!$C$55:$C$57,MATCH($AC90,Deductibles!$B$55:$B$57,0)),"?")))</f>
        <v/>
      </c>
      <c r="BP90" s="99" t="str">
        <f>IF($A90="","",IF($AD90="",1,IFERROR(INDEX(Deductibles!$C$61:$C$63,MATCH($AD90,Deductibles!$B$61:$B$63,0)),"?")))</f>
        <v/>
      </c>
      <c r="BQ90" s="99" t="str">
        <f>IF($A90="","",IF($AE90="",1,IFERROR(INDEX(Deductibles!$C$67:$C$69,MATCH($AE90,Deductibles!$B$67:$B$69,0)),"?")))</f>
        <v/>
      </c>
      <c r="BR90" s="99" t="str">
        <f>IF($A90="","",IF($AF90="",1,IFERROR(INDEX(Deductibles!$C$73:$C$74,MATCH($AF90,Deductibles!$B$73:$B$74,0)),"?")))</f>
        <v/>
      </c>
      <c r="BS90" s="99" t="str">
        <f>IF($A90="","",IF($AG90="",1,IFERROR(INDEX('Sublimits and Parts'!$C$49:$C$52,MATCH($AG90,'Sublimits and Parts'!$B$49:$B$52,0)),"?")))</f>
        <v/>
      </c>
      <c r="BT90" s="99" t="str">
        <f>IF($A90="","",IF($AH90="",1,IFERROR(INDEX('Sublimits and Parts'!$C$56:$C$60,MATCH($AH90,'Sublimits and Parts'!$B$56:$B$60,0)),"?")))</f>
        <v/>
      </c>
      <c r="BU90" s="99" t="str">
        <f>IF($A90="","",IF($AI90="",1,IFERROR(INDEX('Sublimits and Parts'!$C$64:$C$67,MATCH($AI90,'Sublimits and Parts'!$B$64:$B$67,0)),"?")))</f>
        <v/>
      </c>
      <c r="BV90" s="99" t="str">
        <f>IF($A90="","",IF($AJ90="",1,IFERROR(INDEX('Sublimits and Parts'!$C$71:$C$74,MATCH($AJ90,'Sublimits and Parts'!$B$71:$B$74,0)),"?")))</f>
        <v/>
      </c>
      <c r="BW90" s="99" t="str">
        <f>IF($A90="","",IF($AK90="",1,IFERROR(INDEX('Sublimits and Parts'!$C$78:$C$80,MATCH($AK90,'Sublimits and Parts'!$B$78:$B$80,0)),"?")))</f>
        <v/>
      </c>
      <c r="BX90" s="99" t="str">
        <f>IF($A90="","",IF($AL90="",1,IFERROR(INDEX('Sublimits and Parts'!$C$84:$C$87,MATCH($AL90,'Sublimits and Parts'!$B$84:$B$87,0)),"?")))</f>
        <v/>
      </c>
      <c r="BY90" s="99" t="str">
        <f>IF($A90="","",IF($AM90="",1,IFERROR(INDEX('Sublimits and Parts'!$C$91:$C$94,MATCH($AM90,'Sublimits and Parts'!$B$91:$B$94,0)),"?")))</f>
        <v/>
      </c>
      <c r="BZ90" s="99" t="str">
        <f>IF($A90="","",IF($AN90="",1,IFERROR(INDEX('Sublimits and Parts'!$C$98:$C$101,MATCH($AN90,'Sublimits and Parts'!$B$98:$B$101,0)),"?")))</f>
        <v/>
      </c>
      <c r="CA90" s="99" t="str">
        <f>IF($A90="","",IF($AO90="",1,IFERROR(INDEX('Sublimits and Parts'!$C$105:$C$109,MATCH($AO90,'Sublimits and Parts'!$B$105:$B$109,0)),"?")))</f>
        <v/>
      </c>
      <c r="CB90" s="100" t="str">
        <f t="shared" si="15"/>
        <v/>
      </c>
      <c r="CC90" s="100" t="str">
        <f t="shared" si="16"/>
        <v/>
      </c>
      <c r="CD90" s="103" t="str">
        <f>IF($A90="","",IF(OR($CB90="?",$CC90="?"),"?",MIN($CB90*$CC90,'Technical Premium'!$C$17)))</f>
        <v/>
      </c>
      <c r="CE90" s="102" t="str">
        <f t="shared" si="17"/>
        <v/>
      </c>
      <c r="CF90" s="102" t="str">
        <f>IF($A90="","",IFERROR(INDEX('Territory Factors'!$F$6:$F$56,MATCH($K90,'Territory Factors'!$B$6:$B$56,0)),"?"))</f>
        <v/>
      </c>
      <c r="CG90" s="100" t="str">
        <f>IF($A90="","",IFERROR(INDEX('Usage and Coverage'!$C$79:$C$84,MATCH($Y90,'Usage and Coverage'!$B$79:$B$84,0)),"?"))</f>
        <v/>
      </c>
      <c r="CH90" s="102" t="str">
        <f>IFERROR(IF(ISNUMBER($CD90),$CF90*$CG90*MIN($BG90*$BA90*$BC90*$BD90*$BH90*$BF90,'Technical Premium'!$C$17),""),"")</f>
        <v/>
      </c>
      <c r="CI90" s="102" t="str">
        <f t="shared" si="18"/>
        <v/>
      </c>
      <c r="CJ90" s="102" t="str">
        <f>IFERROR($CI90*(1+'Technical Premium'!$C$5)*(1+'Technical Premium'!$C$6),"")</f>
        <v/>
      </c>
      <c r="CK90" s="102" t="str">
        <f>IFERROR($CE90*INDEX('Territory Factors'!$G$6:$G$56,MATCH($K90,'Territory Factors'!$B$6:$B$56,0))*$AU90*$AV90,"")</f>
        <v/>
      </c>
      <c r="CL90" s="102" t="str">
        <f>IFERROR(($CJ90+$CK90)*(1+'Technical Premium'!$C$7),"")</f>
        <v/>
      </c>
      <c r="CM90" s="104" t="str">
        <f>IFERROR($CL90/'Technical Premium'!$C$13,"")</f>
        <v/>
      </c>
      <c r="CN90" s="105" t="str">
        <f t="shared" si="19"/>
        <v/>
      </c>
      <c r="CO90" s="104" t="str">
        <f t="shared" si="20"/>
        <v/>
      </c>
      <c r="CP90" s="105" t="str">
        <f t="shared" si="21"/>
        <v/>
      </c>
      <c r="CQ90" s="106" t="str">
        <f t="shared" si="22"/>
        <v/>
      </c>
      <c r="CR90" s="102" t="str">
        <f>IF(ISNUMBER($CM90),'Technical Premium'!$C$14+IF($J90&gt;=1000000,'Technical Premium'!$C$15,0),"")</f>
        <v/>
      </c>
      <c r="CS90" s="102" t="str">
        <f>IFERROR(($CO90+$CR90)*(INDEX('Territory Factors'!$K$6:$K$56,MATCH($K90,'Territory Factors'!$B$6:$B$56,0))+'Commission Structure'!$C$21),"")</f>
        <v/>
      </c>
      <c r="CT90" s="104" t="str">
        <f t="shared" si="23"/>
        <v/>
      </c>
      <c r="CU90" s="102" t="str">
        <f>IFERROR($CO90*('Commission Structure'!$C$6+'Commission Structure'!$C$7),"")</f>
        <v/>
      </c>
      <c r="CV90" s="102" t="str">
        <f>IFERROR($CO90*'Commission Structure'!$C$5-$CU90,"")</f>
        <v/>
      </c>
      <c r="CW90" s="102" t="str">
        <f>IFERROR($CO90*(1-'Commission Structure'!$C$5),"")</f>
        <v/>
      </c>
      <c r="CX90" s="107"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8" t="str">
        <f t="shared" si="24"/>
        <v/>
      </c>
      <c r="CZ90" s="99" t="str">
        <f>IF($CY90="","",IF($CY90&lt;'Technical Premium'!$C$19,"BEYOND AUTHORITY",IF($CY90&gt;0.005,"Above technical",IF($CY90&lt;-0.005,"BELOW technical","At technical"))))</f>
        <v/>
      </c>
      <c r="DA90" s="99"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4"/>
      <c r="DC90" s="94"/>
      <c r="DD90" s="95"/>
      <c r="DE90" s="94"/>
      <c r="DF90" s="94"/>
      <c r="DG90" s="99" t="str">
        <f t="shared" si="25"/>
        <v/>
      </c>
      <c r="DH90" s="99" t="str">
        <f>IF($A90="","",IF(OR($CX90="REFER",$CX90="DECLINE"),COUNTIF($CX$5:$CX90,"REFER")+COUNTIF($CX$5:$CX90,"DECLINE"),""))</f>
        <v/>
      </c>
      <c r="DI90" s="94"/>
    </row>
    <row r="91" spans="1:113" x14ac:dyDescent="0.35">
      <c r="A91" s="94"/>
      <c r="B91" s="94"/>
      <c r="C91" s="95"/>
      <c r="D91" s="95"/>
      <c r="E91" s="96"/>
      <c r="F91" s="94"/>
      <c r="G91" s="94"/>
      <c r="H91" s="94"/>
      <c r="I91" s="94"/>
      <c r="J91" s="97"/>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8"/>
      <c r="AR91" s="99" t="str">
        <f t="shared" si="13"/>
        <v/>
      </c>
      <c r="AS91" s="99" t="str">
        <f>IF($A91="","",IF($AP91&lt;&gt;"",$AP91,IFERROR(INDEX('Cat Zone by ZIP'!$D$6:$D$856,MATCH($AR91,'Cat Zone by ZIP'!$B$6:$B$856,0)),IFERROR(INDEX('Cat Zone by ZIP'!$C$860:$C$910,MATCH($K91,'Cat Zone by ZIP'!$B$860:$B$910,0)),"NOT FOUND"))))</f>
        <v/>
      </c>
      <c r="AT91" s="99" t="str">
        <f>IF($A91="","",IF($AP91&lt;&gt;"","Override",IF(ISNUMBER(MATCH($AR91,'Cat Zone by ZIP'!$B$6:$B$856,0)),"ZIP-3","State default")))</f>
        <v/>
      </c>
      <c r="AU91" s="100" t="str">
        <f>IF($A91="","",IFERROR(INDEX('Natural Catastrophe'!$D$6:$D$17,MATCH($AS91,'Natural Catastrophe'!$B$6:$B$17,0)),"?"))</f>
        <v/>
      </c>
      <c r="AV91" s="100" t="str">
        <f>IF($A91="","",IFERROR(INDEX('Natural Catastrophe'!$C$21:$C$26,MATCH($AA91,'Natural Catastrophe'!$B$21:$B$26,0)),"?"))</f>
        <v/>
      </c>
      <c r="AW91" s="99" t="str">
        <f>IF($A91="","",IFERROR(INDEX('Base Rates'!$C$4:$I$4,MATCH(MAX($J91,'Technical Premium'!$C$18),'Base Rates'!$C$3:$I$3,1)),"?"))</f>
        <v/>
      </c>
      <c r="AX91" s="101" t="str">
        <f>IF($A91="","",IFERROR(INDEX('Base Rates'!$C$5:$I$16,MATCH($I91,'Base Rates'!$B$5:$B$16,0),MATCH(MAX($J91,'Technical Premium'!$C$18),'Base Rates'!$C$3:$I$3,1)),"?"))</f>
        <v/>
      </c>
      <c r="AY91" s="102" t="str">
        <f t="shared" si="14"/>
        <v/>
      </c>
      <c r="AZ91" s="99" t="str">
        <f>IF($A91="","",IFERROR(INDEX('Make Factors'!$G$5:$G$69,MATCH($F91,'Make Factors'!$B$5:$B$69,0)),"?"))</f>
        <v/>
      </c>
      <c r="BA91" s="99" t="str">
        <f>IF($A91="","",IFERROR(INDEX('Driver Factors'!$C$6:$C$15,MATCH($R91,'Driver Factors'!$B$6:$B$15,0)),"?"))</f>
        <v/>
      </c>
      <c r="BB91" s="99" t="str">
        <f>IF($A91="","",IFERROR(INDEX('Driver Factors'!$C$19:$C$24,MATCH($S91,'Driver Factors'!$B$19:$B$24,0)),"?"))</f>
        <v/>
      </c>
      <c r="BC91" s="99" t="str">
        <f>IF($A91="","",IFERROR(INDEX('Driver Factors'!$C$28:$C$36,MATCH($T91,'Driver Factors'!$B$28:$B$36,0)),"?"))</f>
        <v/>
      </c>
      <c r="BD91" s="99" t="str">
        <f>IF($A91="","",IFERROR(INDEX('Claims History'!$C$6:$C$15,MATCH($U91,'Claims History'!$B$6:$B$15,0)),"?"))</f>
        <v/>
      </c>
      <c r="BE91" s="99" t="str">
        <f>IF($A91="","",IFERROR(INDEX('Territory Factors'!$E$6:$E$56,MATCH($K91,'Territory Factors'!$B$6:$B$56,0)),"?"))</f>
        <v/>
      </c>
      <c r="BF91" s="99" t="str">
        <f>IF($A91="","",IFERROR(INDEX('City Accident Ratings'!$G$6:$G$54,MATCH($Z91,'City Accident Ratings'!$B$6:$B$54,0)),"?"))</f>
        <v/>
      </c>
      <c r="BG91" s="99" t="str">
        <f>IF($A91="","",IFERROR(INDEX('Usage and Coverage'!$D$6:$D$20,MATCH($N91,'Usage and Coverage'!$C$6:$C$20,0)),"?"))</f>
        <v/>
      </c>
      <c r="BH91" s="99" t="str">
        <f>IF($A91="","",IFERROR(INDEX('Usage and Coverage'!$C$24:$C$30,MATCH($O91,'Usage and Coverage'!$B$24:$B$30,0)),"?"))</f>
        <v/>
      </c>
      <c r="BI91" s="99" t="str">
        <f>IF($A91="","",IFERROR(INDEX('Usage and Coverage'!$C$34:$C$40,MATCH($P91,'Usage and Coverage'!$B$34:$B$40,0)),"?"))</f>
        <v/>
      </c>
      <c r="BJ91" s="99" t="str">
        <f>IF($A91="","",IFERROR(INDEX('Usage and Coverage'!$C$44:$C$49,MATCH($Q91,'Usage and Coverage'!$B$44:$B$49,0)),"?"))</f>
        <v/>
      </c>
      <c r="BK91" s="99" t="str">
        <f>IF($A91="","",IFERROR(INDEX(Deductibles!$C$6:$I$15,MATCH($W91,Deductibles!$B$6:$B$15,0),MATCH(MAX($J91,'Technical Premium'!$C$18),'Base Rates'!$C$3:$I$3,1)),"?"))</f>
        <v/>
      </c>
      <c r="BL91" s="99" t="str">
        <f>IF($A91="","",IFERROR(INDEX('Usage and Coverage'!$C$63:$C$66,MATCH($X91,'Usage and Coverage'!$B$63:$B$66,0)),"?"))</f>
        <v/>
      </c>
      <c r="BM91" s="99" t="str">
        <f>IF($A91="","",IFERROR(INDEX('Usage and Coverage'!$C$70:$C$75,MATCH($V91,'Usage and Coverage'!$B$70:$B$75,0)),"?"))</f>
        <v/>
      </c>
      <c r="BN91" s="99" t="str">
        <f>IF($A91="","",IF($AB91="",1,IFERROR(INDEX(Deductibles!$C$48:$C$51,MATCH($AB91,Deductibles!$B$48:$B$51,0)),"?")))</f>
        <v/>
      </c>
      <c r="BO91" s="99" t="str">
        <f>IF($A91="","",IF($AC91="",1,IFERROR(INDEX(Deductibles!$C$55:$C$57,MATCH($AC91,Deductibles!$B$55:$B$57,0)),"?")))</f>
        <v/>
      </c>
      <c r="BP91" s="99" t="str">
        <f>IF($A91="","",IF($AD91="",1,IFERROR(INDEX(Deductibles!$C$61:$C$63,MATCH($AD91,Deductibles!$B$61:$B$63,0)),"?")))</f>
        <v/>
      </c>
      <c r="BQ91" s="99" t="str">
        <f>IF($A91="","",IF($AE91="",1,IFERROR(INDEX(Deductibles!$C$67:$C$69,MATCH($AE91,Deductibles!$B$67:$B$69,0)),"?")))</f>
        <v/>
      </c>
      <c r="BR91" s="99" t="str">
        <f>IF($A91="","",IF($AF91="",1,IFERROR(INDEX(Deductibles!$C$73:$C$74,MATCH($AF91,Deductibles!$B$73:$B$74,0)),"?")))</f>
        <v/>
      </c>
      <c r="BS91" s="99" t="str">
        <f>IF($A91="","",IF($AG91="",1,IFERROR(INDEX('Sublimits and Parts'!$C$49:$C$52,MATCH($AG91,'Sublimits and Parts'!$B$49:$B$52,0)),"?")))</f>
        <v/>
      </c>
      <c r="BT91" s="99" t="str">
        <f>IF($A91="","",IF($AH91="",1,IFERROR(INDEX('Sublimits and Parts'!$C$56:$C$60,MATCH($AH91,'Sublimits and Parts'!$B$56:$B$60,0)),"?")))</f>
        <v/>
      </c>
      <c r="BU91" s="99" t="str">
        <f>IF($A91="","",IF($AI91="",1,IFERROR(INDEX('Sublimits and Parts'!$C$64:$C$67,MATCH($AI91,'Sublimits and Parts'!$B$64:$B$67,0)),"?")))</f>
        <v/>
      </c>
      <c r="BV91" s="99" t="str">
        <f>IF($A91="","",IF($AJ91="",1,IFERROR(INDEX('Sublimits and Parts'!$C$71:$C$74,MATCH($AJ91,'Sublimits and Parts'!$B$71:$B$74,0)),"?")))</f>
        <v/>
      </c>
      <c r="BW91" s="99" t="str">
        <f>IF($A91="","",IF($AK91="",1,IFERROR(INDEX('Sublimits and Parts'!$C$78:$C$80,MATCH($AK91,'Sublimits and Parts'!$B$78:$B$80,0)),"?")))</f>
        <v/>
      </c>
      <c r="BX91" s="99" t="str">
        <f>IF($A91="","",IF($AL91="",1,IFERROR(INDEX('Sublimits and Parts'!$C$84:$C$87,MATCH($AL91,'Sublimits and Parts'!$B$84:$B$87,0)),"?")))</f>
        <v/>
      </c>
      <c r="BY91" s="99" t="str">
        <f>IF($A91="","",IF($AM91="",1,IFERROR(INDEX('Sublimits and Parts'!$C$91:$C$94,MATCH($AM91,'Sublimits and Parts'!$B$91:$B$94,0)),"?")))</f>
        <v/>
      </c>
      <c r="BZ91" s="99" t="str">
        <f>IF($A91="","",IF($AN91="",1,IFERROR(INDEX('Sublimits and Parts'!$C$98:$C$101,MATCH($AN91,'Sublimits and Parts'!$B$98:$B$101,0)),"?")))</f>
        <v/>
      </c>
      <c r="CA91" s="99" t="str">
        <f>IF($A91="","",IF($AO91="",1,IFERROR(INDEX('Sublimits and Parts'!$C$105:$C$109,MATCH($AO91,'Sublimits and Parts'!$B$105:$B$109,0)),"?")))</f>
        <v/>
      </c>
      <c r="CB91" s="100" t="str">
        <f t="shared" si="15"/>
        <v/>
      </c>
      <c r="CC91" s="100" t="str">
        <f t="shared" si="16"/>
        <v/>
      </c>
      <c r="CD91" s="103" t="str">
        <f>IF($A91="","",IF(OR($CB91="?",$CC91="?"),"?",MIN($CB91*$CC91,'Technical Premium'!$C$17)))</f>
        <v/>
      </c>
      <c r="CE91" s="102" t="str">
        <f t="shared" si="17"/>
        <v/>
      </c>
      <c r="CF91" s="102" t="str">
        <f>IF($A91="","",IFERROR(INDEX('Territory Factors'!$F$6:$F$56,MATCH($K91,'Territory Factors'!$B$6:$B$56,0)),"?"))</f>
        <v/>
      </c>
      <c r="CG91" s="100" t="str">
        <f>IF($A91="","",IFERROR(INDEX('Usage and Coverage'!$C$79:$C$84,MATCH($Y91,'Usage and Coverage'!$B$79:$B$84,0)),"?"))</f>
        <v/>
      </c>
      <c r="CH91" s="102" t="str">
        <f>IFERROR(IF(ISNUMBER($CD91),$CF91*$CG91*MIN($BG91*$BA91*$BC91*$BD91*$BH91*$BF91,'Technical Premium'!$C$17),""),"")</f>
        <v/>
      </c>
      <c r="CI91" s="102" t="str">
        <f t="shared" si="18"/>
        <v/>
      </c>
      <c r="CJ91" s="102" t="str">
        <f>IFERROR($CI91*(1+'Technical Premium'!$C$5)*(1+'Technical Premium'!$C$6),"")</f>
        <v/>
      </c>
      <c r="CK91" s="102" t="str">
        <f>IFERROR($CE91*INDEX('Territory Factors'!$G$6:$G$56,MATCH($K91,'Territory Factors'!$B$6:$B$56,0))*$AU91*$AV91,"")</f>
        <v/>
      </c>
      <c r="CL91" s="102" t="str">
        <f>IFERROR(($CJ91+$CK91)*(1+'Technical Premium'!$C$7),"")</f>
        <v/>
      </c>
      <c r="CM91" s="104" t="str">
        <f>IFERROR($CL91/'Technical Premium'!$C$13,"")</f>
        <v/>
      </c>
      <c r="CN91" s="105" t="str">
        <f t="shared" si="19"/>
        <v/>
      </c>
      <c r="CO91" s="104" t="str">
        <f t="shared" si="20"/>
        <v/>
      </c>
      <c r="CP91" s="105" t="str">
        <f t="shared" si="21"/>
        <v/>
      </c>
      <c r="CQ91" s="106" t="str">
        <f t="shared" si="22"/>
        <v/>
      </c>
      <c r="CR91" s="102" t="str">
        <f>IF(ISNUMBER($CM91),'Technical Premium'!$C$14+IF($J91&gt;=1000000,'Technical Premium'!$C$15,0),"")</f>
        <v/>
      </c>
      <c r="CS91" s="102" t="str">
        <f>IFERROR(($CO91+$CR91)*(INDEX('Territory Factors'!$K$6:$K$56,MATCH($K91,'Territory Factors'!$B$6:$B$56,0))+'Commission Structure'!$C$21),"")</f>
        <v/>
      </c>
      <c r="CT91" s="104" t="str">
        <f t="shared" si="23"/>
        <v/>
      </c>
      <c r="CU91" s="102" t="str">
        <f>IFERROR($CO91*('Commission Structure'!$C$6+'Commission Structure'!$C$7),"")</f>
        <v/>
      </c>
      <c r="CV91" s="102" t="str">
        <f>IFERROR($CO91*'Commission Structure'!$C$5-$CU91,"")</f>
        <v/>
      </c>
      <c r="CW91" s="102" t="str">
        <f>IFERROR($CO91*(1-'Commission Structure'!$C$5),"")</f>
        <v/>
      </c>
      <c r="CX91" s="107"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8" t="str">
        <f t="shared" si="24"/>
        <v/>
      </c>
      <c r="CZ91" s="99" t="str">
        <f>IF($CY91="","",IF($CY91&lt;'Technical Premium'!$C$19,"BEYOND AUTHORITY",IF($CY91&gt;0.005,"Above technical",IF($CY91&lt;-0.005,"BELOW technical","At technical"))))</f>
        <v/>
      </c>
      <c r="DA91" s="99"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4"/>
      <c r="DC91" s="94"/>
      <c r="DD91" s="95"/>
      <c r="DE91" s="94"/>
      <c r="DF91" s="94"/>
      <c r="DG91" s="99" t="str">
        <f t="shared" si="25"/>
        <v/>
      </c>
      <c r="DH91" s="99" t="str">
        <f>IF($A91="","",IF(OR($CX91="REFER",$CX91="DECLINE"),COUNTIF($CX$5:$CX91,"REFER")+COUNTIF($CX$5:$CX91,"DECLINE"),""))</f>
        <v/>
      </c>
      <c r="DI91" s="94"/>
    </row>
    <row r="92" spans="1:113" x14ac:dyDescent="0.35">
      <c r="A92" s="94"/>
      <c r="B92" s="94"/>
      <c r="C92" s="95"/>
      <c r="D92" s="95"/>
      <c r="E92" s="96"/>
      <c r="F92" s="94"/>
      <c r="G92" s="94"/>
      <c r="H92" s="94"/>
      <c r="I92" s="94"/>
      <c r="J92" s="97"/>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8"/>
      <c r="AR92" s="99" t="str">
        <f t="shared" si="13"/>
        <v/>
      </c>
      <c r="AS92" s="99" t="str">
        <f>IF($A92="","",IF($AP92&lt;&gt;"",$AP92,IFERROR(INDEX('Cat Zone by ZIP'!$D$6:$D$856,MATCH($AR92,'Cat Zone by ZIP'!$B$6:$B$856,0)),IFERROR(INDEX('Cat Zone by ZIP'!$C$860:$C$910,MATCH($K92,'Cat Zone by ZIP'!$B$860:$B$910,0)),"NOT FOUND"))))</f>
        <v/>
      </c>
      <c r="AT92" s="99" t="str">
        <f>IF($A92="","",IF($AP92&lt;&gt;"","Override",IF(ISNUMBER(MATCH($AR92,'Cat Zone by ZIP'!$B$6:$B$856,0)),"ZIP-3","State default")))</f>
        <v/>
      </c>
      <c r="AU92" s="100" t="str">
        <f>IF($A92="","",IFERROR(INDEX('Natural Catastrophe'!$D$6:$D$17,MATCH($AS92,'Natural Catastrophe'!$B$6:$B$17,0)),"?"))</f>
        <v/>
      </c>
      <c r="AV92" s="100" t="str">
        <f>IF($A92="","",IFERROR(INDEX('Natural Catastrophe'!$C$21:$C$26,MATCH($AA92,'Natural Catastrophe'!$B$21:$B$26,0)),"?"))</f>
        <v/>
      </c>
      <c r="AW92" s="99" t="str">
        <f>IF($A92="","",IFERROR(INDEX('Base Rates'!$C$4:$I$4,MATCH(MAX($J92,'Technical Premium'!$C$18),'Base Rates'!$C$3:$I$3,1)),"?"))</f>
        <v/>
      </c>
      <c r="AX92" s="101" t="str">
        <f>IF($A92="","",IFERROR(INDEX('Base Rates'!$C$5:$I$16,MATCH($I92,'Base Rates'!$B$5:$B$16,0),MATCH(MAX($J92,'Technical Premium'!$C$18),'Base Rates'!$C$3:$I$3,1)),"?"))</f>
        <v/>
      </c>
      <c r="AY92" s="102" t="str">
        <f t="shared" si="14"/>
        <v/>
      </c>
      <c r="AZ92" s="99" t="str">
        <f>IF($A92="","",IFERROR(INDEX('Make Factors'!$G$5:$G$69,MATCH($F92,'Make Factors'!$B$5:$B$69,0)),"?"))</f>
        <v/>
      </c>
      <c r="BA92" s="99" t="str">
        <f>IF($A92="","",IFERROR(INDEX('Driver Factors'!$C$6:$C$15,MATCH($R92,'Driver Factors'!$B$6:$B$15,0)),"?"))</f>
        <v/>
      </c>
      <c r="BB92" s="99" t="str">
        <f>IF($A92="","",IFERROR(INDEX('Driver Factors'!$C$19:$C$24,MATCH($S92,'Driver Factors'!$B$19:$B$24,0)),"?"))</f>
        <v/>
      </c>
      <c r="BC92" s="99" t="str">
        <f>IF($A92="","",IFERROR(INDEX('Driver Factors'!$C$28:$C$36,MATCH($T92,'Driver Factors'!$B$28:$B$36,0)),"?"))</f>
        <v/>
      </c>
      <c r="BD92" s="99" t="str">
        <f>IF($A92="","",IFERROR(INDEX('Claims History'!$C$6:$C$15,MATCH($U92,'Claims History'!$B$6:$B$15,0)),"?"))</f>
        <v/>
      </c>
      <c r="BE92" s="99" t="str">
        <f>IF($A92="","",IFERROR(INDEX('Territory Factors'!$E$6:$E$56,MATCH($K92,'Territory Factors'!$B$6:$B$56,0)),"?"))</f>
        <v/>
      </c>
      <c r="BF92" s="99" t="str">
        <f>IF($A92="","",IFERROR(INDEX('City Accident Ratings'!$G$6:$G$54,MATCH($Z92,'City Accident Ratings'!$B$6:$B$54,0)),"?"))</f>
        <v/>
      </c>
      <c r="BG92" s="99" t="str">
        <f>IF($A92="","",IFERROR(INDEX('Usage and Coverage'!$D$6:$D$20,MATCH($N92,'Usage and Coverage'!$C$6:$C$20,0)),"?"))</f>
        <v/>
      </c>
      <c r="BH92" s="99" t="str">
        <f>IF($A92="","",IFERROR(INDEX('Usage and Coverage'!$C$24:$C$30,MATCH($O92,'Usage and Coverage'!$B$24:$B$30,0)),"?"))</f>
        <v/>
      </c>
      <c r="BI92" s="99" t="str">
        <f>IF($A92="","",IFERROR(INDEX('Usage and Coverage'!$C$34:$C$40,MATCH($P92,'Usage and Coverage'!$B$34:$B$40,0)),"?"))</f>
        <v/>
      </c>
      <c r="BJ92" s="99" t="str">
        <f>IF($A92="","",IFERROR(INDEX('Usage and Coverage'!$C$44:$C$49,MATCH($Q92,'Usage and Coverage'!$B$44:$B$49,0)),"?"))</f>
        <v/>
      </c>
      <c r="BK92" s="99" t="str">
        <f>IF($A92="","",IFERROR(INDEX(Deductibles!$C$6:$I$15,MATCH($W92,Deductibles!$B$6:$B$15,0),MATCH(MAX($J92,'Technical Premium'!$C$18),'Base Rates'!$C$3:$I$3,1)),"?"))</f>
        <v/>
      </c>
      <c r="BL92" s="99" t="str">
        <f>IF($A92="","",IFERROR(INDEX('Usage and Coverage'!$C$63:$C$66,MATCH($X92,'Usage and Coverage'!$B$63:$B$66,0)),"?"))</f>
        <v/>
      </c>
      <c r="BM92" s="99" t="str">
        <f>IF($A92="","",IFERROR(INDEX('Usage and Coverage'!$C$70:$C$75,MATCH($V92,'Usage and Coverage'!$B$70:$B$75,0)),"?"))</f>
        <v/>
      </c>
      <c r="BN92" s="99" t="str">
        <f>IF($A92="","",IF($AB92="",1,IFERROR(INDEX(Deductibles!$C$48:$C$51,MATCH($AB92,Deductibles!$B$48:$B$51,0)),"?")))</f>
        <v/>
      </c>
      <c r="BO92" s="99" t="str">
        <f>IF($A92="","",IF($AC92="",1,IFERROR(INDEX(Deductibles!$C$55:$C$57,MATCH($AC92,Deductibles!$B$55:$B$57,0)),"?")))</f>
        <v/>
      </c>
      <c r="BP92" s="99" t="str">
        <f>IF($A92="","",IF($AD92="",1,IFERROR(INDEX(Deductibles!$C$61:$C$63,MATCH($AD92,Deductibles!$B$61:$B$63,0)),"?")))</f>
        <v/>
      </c>
      <c r="BQ92" s="99" t="str">
        <f>IF($A92="","",IF($AE92="",1,IFERROR(INDEX(Deductibles!$C$67:$C$69,MATCH($AE92,Deductibles!$B$67:$B$69,0)),"?")))</f>
        <v/>
      </c>
      <c r="BR92" s="99" t="str">
        <f>IF($A92="","",IF($AF92="",1,IFERROR(INDEX(Deductibles!$C$73:$C$74,MATCH($AF92,Deductibles!$B$73:$B$74,0)),"?")))</f>
        <v/>
      </c>
      <c r="BS92" s="99" t="str">
        <f>IF($A92="","",IF($AG92="",1,IFERROR(INDEX('Sublimits and Parts'!$C$49:$C$52,MATCH($AG92,'Sublimits and Parts'!$B$49:$B$52,0)),"?")))</f>
        <v/>
      </c>
      <c r="BT92" s="99" t="str">
        <f>IF($A92="","",IF($AH92="",1,IFERROR(INDEX('Sublimits and Parts'!$C$56:$C$60,MATCH($AH92,'Sublimits and Parts'!$B$56:$B$60,0)),"?")))</f>
        <v/>
      </c>
      <c r="BU92" s="99" t="str">
        <f>IF($A92="","",IF($AI92="",1,IFERROR(INDEX('Sublimits and Parts'!$C$64:$C$67,MATCH($AI92,'Sublimits and Parts'!$B$64:$B$67,0)),"?")))</f>
        <v/>
      </c>
      <c r="BV92" s="99" t="str">
        <f>IF($A92="","",IF($AJ92="",1,IFERROR(INDEX('Sublimits and Parts'!$C$71:$C$74,MATCH($AJ92,'Sublimits and Parts'!$B$71:$B$74,0)),"?")))</f>
        <v/>
      </c>
      <c r="BW92" s="99" t="str">
        <f>IF($A92="","",IF($AK92="",1,IFERROR(INDEX('Sublimits and Parts'!$C$78:$C$80,MATCH($AK92,'Sublimits and Parts'!$B$78:$B$80,0)),"?")))</f>
        <v/>
      </c>
      <c r="BX92" s="99" t="str">
        <f>IF($A92="","",IF($AL92="",1,IFERROR(INDEX('Sublimits and Parts'!$C$84:$C$87,MATCH($AL92,'Sublimits and Parts'!$B$84:$B$87,0)),"?")))</f>
        <v/>
      </c>
      <c r="BY92" s="99" t="str">
        <f>IF($A92="","",IF($AM92="",1,IFERROR(INDEX('Sublimits and Parts'!$C$91:$C$94,MATCH($AM92,'Sublimits and Parts'!$B$91:$B$94,0)),"?")))</f>
        <v/>
      </c>
      <c r="BZ92" s="99" t="str">
        <f>IF($A92="","",IF($AN92="",1,IFERROR(INDEX('Sublimits and Parts'!$C$98:$C$101,MATCH($AN92,'Sublimits and Parts'!$B$98:$B$101,0)),"?")))</f>
        <v/>
      </c>
      <c r="CA92" s="99" t="str">
        <f>IF($A92="","",IF($AO92="",1,IFERROR(INDEX('Sublimits and Parts'!$C$105:$C$109,MATCH($AO92,'Sublimits and Parts'!$B$105:$B$109,0)),"?")))</f>
        <v/>
      </c>
      <c r="CB92" s="100" t="str">
        <f t="shared" si="15"/>
        <v/>
      </c>
      <c r="CC92" s="100" t="str">
        <f t="shared" si="16"/>
        <v/>
      </c>
      <c r="CD92" s="103" t="str">
        <f>IF($A92="","",IF(OR($CB92="?",$CC92="?"),"?",MIN($CB92*$CC92,'Technical Premium'!$C$17)))</f>
        <v/>
      </c>
      <c r="CE92" s="102" t="str">
        <f t="shared" si="17"/>
        <v/>
      </c>
      <c r="CF92" s="102" t="str">
        <f>IF($A92="","",IFERROR(INDEX('Territory Factors'!$F$6:$F$56,MATCH($K92,'Territory Factors'!$B$6:$B$56,0)),"?"))</f>
        <v/>
      </c>
      <c r="CG92" s="100" t="str">
        <f>IF($A92="","",IFERROR(INDEX('Usage and Coverage'!$C$79:$C$84,MATCH($Y92,'Usage and Coverage'!$B$79:$B$84,0)),"?"))</f>
        <v/>
      </c>
      <c r="CH92" s="102" t="str">
        <f>IFERROR(IF(ISNUMBER($CD92),$CF92*$CG92*MIN($BG92*$BA92*$BC92*$BD92*$BH92*$BF92,'Technical Premium'!$C$17),""),"")</f>
        <v/>
      </c>
      <c r="CI92" s="102" t="str">
        <f t="shared" si="18"/>
        <v/>
      </c>
      <c r="CJ92" s="102" t="str">
        <f>IFERROR($CI92*(1+'Technical Premium'!$C$5)*(1+'Technical Premium'!$C$6),"")</f>
        <v/>
      </c>
      <c r="CK92" s="102" t="str">
        <f>IFERROR($CE92*INDEX('Territory Factors'!$G$6:$G$56,MATCH($K92,'Territory Factors'!$B$6:$B$56,0))*$AU92*$AV92,"")</f>
        <v/>
      </c>
      <c r="CL92" s="102" t="str">
        <f>IFERROR(($CJ92+$CK92)*(1+'Technical Premium'!$C$7),"")</f>
        <v/>
      </c>
      <c r="CM92" s="104" t="str">
        <f>IFERROR($CL92/'Technical Premium'!$C$13,"")</f>
        <v/>
      </c>
      <c r="CN92" s="105" t="str">
        <f t="shared" si="19"/>
        <v/>
      </c>
      <c r="CO92" s="104" t="str">
        <f t="shared" si="20"/>
        <v/>
      </c>
      <c r="CP92" s="105" t="str">
        <f t="shared" si="21"/>
        <v/>
      </c>
      <c r="CQ92" s="106" t="str">
        <f t="shared" si="22"/>
        <v/>
      </c>
      <c r="CR92" s="102" t="str">
        <f>IF(ISNUMBER($CM92),'Technical Premium'!$C$14+IF($J92&gt;=1000000,'Technical Premium'!$C$15,0),"")</f>
        <v/>
      </c>
      <c r="CS92" s="102" t="str">
        <f>IFERROR(($CO92+$CR92)*(INDEX('Territory Factors'!$K$6:$K$56,MATCH($K92,'Territory Factors'!$B$6:$B$56,0))+'Commission Structure'!$C$21),"")</f>
        <v/>
      </c>
      <c r="CT92" s="104" t="str">
        <f t="shared" si="23"/>
        <v/>
      </c>
      <c r="CU92" s="102" t="str">
        <f>IFERROR($CO92*('Commission Structure'!$C$6+'Commission Structure'!$C$7),"")</f>
        <v/>
      </c>
      <c r="CV92" s="102" t="str">
        <f>IFERROR($CO92*'Commission Structure'!$C$5-$CU92,"")</f>
        <v/>
      </c>
      <c r="CW92" s="102" t="str">
        <f>IFERROR($CO92*(1-'Commission Structure'!$C$5),"")</f>
        <v/>
      </c>
      <c r="CX92" s="107"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8" t="str">
        <f t="shared" si="24"/>
        <v/>
      </c>
      <c r="CZ92" s="99" t="str">
        <f>IF($CY92="","",IF($CY92&lt;'Technical Premium'!$C$19,"BEYOND AUTHORITY",IF($CY92&gt;0.005,"Above technical",IF($CY92&lt;-0.005,"BELOW technical","At technical"))))</f>
        <v/>
      </c>
      <c r="DA92" s="99"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4"/>
      <c r="DC92" s="94"/>
      <c r="DD92" s="95"/>
      <c r="DE92" s="94"/>
      <c r="DF92" s="94"/>
      <c r="DG92" s="99" t="str">
        <f t="shared" si="25"/>
        <v/>
      </c>
      <c r="DH92" s="99" t="str">
        <f>IF($A92="","",IF(OR($CX92="REFER",$CX92="DECLINE"),COUNTIF($CX$5:$CX92,"REFER")+COUNTIF($CX$5:$CX92,"DECLINE"),""))</f>
        <v/>
      </c>
      <c r="DI92" s="94"/>
    </row>
    <row r="93" spans="1:113" x14ac:dyDescent="0.35">
      <c r="A93" s="94"/>
      <c r="B93" s="94"/>
      <c r="C93" s="95"/>
      <c r="D93" s="95"/>
      <c r="E93" s="96"/>
      <c r="F93" s="94"/>
      <c r="G93" s="94"/>
      <c r="H93" s="94"/>
      <c r="I93" s="94"/>
      <c r="J93" s="97"/>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8"/>
      <c r="AR93" s="99" t="str">
        <f t="shared" si="13"/>
        <v/>
      </c>
      <c r="AS93" s="99" t="str">
        <f>IF($A93="","",IF($AP93&lt;&gt;"",$AP93,IFERROR(INDEX('Cat Zone by ZIP'!$D$6:$D$856,MATCH($AR93,'Cat Zone by ZIP'!$B$6:$B$856,0)),IFERROR(INDEX('Cat Zone by ZIP'!$C$860:$C$910,MATCH($K93,'Cat Zone by ZIP'!$B$860:$B$910,0)),"NOT FOUND"))))</f>
        <v/>
      </c>
      <c r="AT93" s="99" t="str">
        <f>IF($A93="","",IF($AP93&lt;&gt;"","Override",IF(ISNUMBER(MATCH($AR93,'Cat Zone by ZIP'!$B$6:$B$856,0)),"ZIP-3","State default")))</f>
        <v/>
      </c>
      <c r="AU93" s="100" t="str">
        <f>IF($A93="","",IFERROR(INDEX('Natural Catastrophe'!$D$6:$D$17,MATCH($AS93,'Natural Catastrophe'!$B$6:$B$17,0)),"?"))</f>
        <v/>
      </c>
      <c r="AV93" s="100" t="str">
        <f>IF($A93="","",IFERROR(INDEX('Natural Catastrophe'!$C$21:$C$26,MATCH($AA93,'Natural Catastrophe'!$B$21:$B$26,0)),"?"))</f>
        <v/>
      </c>
      <c r="AW93" s="99" t="str">
        <f>IF($A93="","",IFERROR(INDEX('Base Rates'!$C$4:$I$4,MATCH(MAX($J93,'Technical Premium'!$C$18),'Base Rates'!$C$3:$I$3,1)),"?"))</f>
        <v/>
      </c>
      <c r="AX93" s="101" t="str">
        <f>IF($A93="","",IFERROR(INDEX('Base Rates'!$C$5:$I$16,MATCH($I93,'Base Rates'!$B$5:$B$16,0),MATCH(MAX($J93,'Technical Premium'!$C$18),'Base Rates'!$C$3:$I$3,1)),"?"))</f>
        <v/>
      </c>
      <c r="AY93" s="102" t="str">
        <f t="shared" si="14"/>
        <v/>
      </c>
      <c r="AZ93" s="99" t="str">
        <f>IF($A93="","",IFERROR(INDEX('Make Factors'!$G$5:$G$69,MATCH($F93,'Make Factors'!$B$5:$B$69,0)),"?"))</f>
        <v/>
      </c>
      <c r="BA93" s="99" t="str">
        <f>IF($A93="","",IFERROR(INDEX('Driver Factors'!$C$6:$C$15,MATCH($R93,'Driver Factors'!$B$6:$B$15,0)),"?"))</f>
        <v/>
      </c>
      <c r="BB93" s="99" t="str">
        <f>IF($A93="","",IFERROR(INDEX('Driver Factors'!$C$19:$C$24,MATCH($S93,'Driver Factors'!$B$19:$B$24,0)),"?"))</f>
        <v/>
      </c>
      <c r="BC93" s="99" t="str">
        <f>IF($A93="","",IFERROR(INDEX('Driver Factors'!$C$28:$C$36,MATCH($T93,'Driver Factors'!$B$28:$B$36,0)),"?"))</f>
        <v/>
      </c>
      <c r="BD93" s="99" t="str">
        <f>IF($A93="","",IFERROR(INDEX('Claims History'!$C$6:$C$15,MATCH($U93,'Claims History'!$B$6:$B$15,0)),"?"))</f>
        <v/>
      </c>
      <c r="BE93" s="99" t="str">
        <f>IF($A93="","",IFERROR(INDEX('Territory Factors'!$E$6:$E$56,MATCH($K93,'Territory Factors'!$B$6:$B$56,0)),"?"))</f>
        <v/>
      </c>
      <c r="BF93" s="99" t="str">
        <f>IF($A93="","",IFERROR(INDEX('City Accident Ratings'!$G$6:$G$54,MATCH($Z93,'City Accident Ratings'!$B$6:$B$54,0)),"?"))</f>
        <v/>
      </c>
      <c r="BG93" s="99" t="str">
        <f>IF($A93="","",IFERROR(INDEX('Usage and Coverage'!$D$6:$D$20,MATCH($N93,'Usage and Coverage'!$C$6:$C$20,0)),"?"))</f>
        <v/>
      </c>
      <c r="BH93" s="99" t="str">
        <f>IF($A93="","",IFERROR(INDEX('Usage and Coverage'!$C$24:$C$30,MATCH($O93,'Usage and Coverage'!$B$24:$B$30,0)),"?"))</f>
        <v/>
      </c>
      <c r="BI93" s="99" t="str">
        <f>IF($A93="","",IFERROR(INDEX('Usage and Coverage'!$C$34:$C$40,MATCH($P93,'Usage and Coverage'!$B$34:$B$40,0)),"?"))</f>
        <v/>
      </c>
      <c r="BJ93" s="99" t="str">
        <f>IF($A93="","",IFERROR(INDEX('Usage and Coverage'!$C$44:$C$49,MATCH($Q93,'Usage and Coverage'!$B$44:$B$49,0)),"?"))</f>
        <v/>
      </c>
      <c r="BK93" s="99" t="str">
        <f>IF($A93="","",IFERROR(INDEX(Deductibles!$C$6:$I$15,MATCH($W93,Deductibles!$B$6:$B$15,0),MATCH(MAX($J93,'Technical Premium'!$C$18),'Base Rates'!$C$3:$I$3,1)),"?"))</f>
        <v/>
      </c>
      <c r="BL93" s="99" t="str">
        <f>IF($A93="","",IFERROR(INDEX('Usage and Coverage'!$C$63:$C$66,MATCH($X93,'Usage and Coverage'!$B$63:$B$66,0)),"?"))</f>
        <v/>
      </c>
      <c r="BM93" s="99" t="str">
        <f>IF($A93="","",IFERROR(INDEX('Usage and Coverage'!$C$70:$C$75,MATCH($V93,'Usage and Coverage'!$B$70:$B$75,0)),"?"))</f>
        <v/>
      </c>
      <c r="BN93" s="99" t="str">
        <f>IF($A93="","",IF($AB93="",1,IFERROR(INDEX(Deductibles!$C$48:$C$51,MATCH($AB93,Deductibles!$B$48:$B$51,0)),"?")))</f>
        <v/>
      </c>
      <c r="BO93" s="99" t="str">
        <f>IF($A93="","",IF($AC93="",1,IFERROR(INDEX(Deductibles!$C$55:$C$57,MATCH($AC93,Deductibles!$B$55:$B$57,0)),"?")))</f>
        <v/>
      </c>
      <c r="BP93" s="99" t="str">
        <f>IF($A93="","",IF($AD93="",1,IFERROR(INDEX(Deductibles!$C$61:$C$63,MATCH($AD93,Deductibles!$B$61:$B$63,0)),"?")))</f>
        <v/>
      </c>
      <c r="BQ93" s="99" t="str">
        <f>IF($A93="","",IF($AE93="",1,IFERROR(INDEX(Deductibles!$C$67:$C$69,MATCH($AE93,Deductibles!$B$67:$B$69,0)),"?")))</f>
        <v/>
      </c>
      <c r="BR93" s="99" t="str">
        <f>IF($A93="","",IF($AF93="",1,IFERROR(INDEX(Deductibles!$C$73:$C$74,MATCH($AF93,Deductibles!$B$73:$B$74,0)),"?")))</f>
        <v/>
      </c>
      <c r="BS93" s="99" t="str">
        <f>IF($A93="","",IF($AG93="",1,IFERROR(INDEX('Sublimits and Parts'!$C$49:$C$52,MATCH($AG93,'Sublimits and Parts'!$B$49:$B$52,0)),"?")))</f>
        <v/>
      </c>
      <c r="BT93" s="99" t="str">
        <f>IF($A93="","",IF($AH93="",1,IFERROR(INDEX('Sublimits and Parts'!$C$56:$C$60,MATCH($AH93,'Sublimits and Parts'!$B$56:$B$60,0)),"?")))</f>
        <v/>
      </c>
      <c r="BU93" s="99" t="str">
        <f>IF($A93="","",IF($AI93="",1,IFERROR(INDEX('Sublimits and Parts'!$C$64:$C$67,MATCH($AI93,'Sublimits and Parts'!$B$64:$B$67,0)),"?")))</f>
        <v/>
      </c>
      <c r="BV93" s="99" t="str">
        <f>IF($A93="","",IF($AJ93="",1,IFERROR(INDEX('Sublimits and Parts'!$C$71:$C$74,MATCH($AJ93,'Sublimits and Parts'!$B$71:$B$74,0)),"?")))</f>
        <v/>
      </c>
      <c r="BW93" s="99" t="str">
        <f>IF($A93="","",IF($AK93="",1,IFERROR(INDEX('Sublimits and Parts'!$C$78:$C$80,MATCH($AK93,'Sublimits and Parts'!$B$78:$B$80,0)),"?")))</f>
        <v/>
      </c>
      <c r="BX93" s="99" t="str">
        <f>IF($A93="","",IF($AL93="",1,IFERROR(INDEX('Sublimits and Parts'!$C$84:$C$87,MATCH($AL93,'Sublimits and Parts'!$B$84:$B$87,0)),"?")))</f>
        <v/>
      </c>
      <c r="BY93" s="99" t="str">
        <f>IF($A93="","",IF($AM93="",1,IFERROR(INDEX('Sublimits and Parts'!$C$91:$C$94,MATCH($AM93,'Sublimits and Parts'!$B$91:$B$94,0)),"?")))</f>
        <v/>
      </c>
      <c r="BZ93" s="99" t="str">
        <f>IF($A93="","",IF($AN93="",1,IFERROR(INDEX('Sublimits and Parts'!$C$98:$C$101,MATCH($AN93,'Sublimits and Parts'!$B$98:$B$101,0)),"?")))</f>
        <v/>
      </c>
      <c r="CA93" s="99" t="str">
        <f>IF($A93="","",IF($AO93="",1,IFERROR(INDEX('Sublimits and Parts'!$C$105:$C$109,MATCH($AO93,'Sublimits and Parts'!$B$105:$B$109,0)),"?")))</f>
        <v/>
      </c>
      <c r="CB93" s="100" t="str">
        <f t="shared" si="15"/>
        <v/>
      </c>
      <c r="CC93" s="100" t="str">
        <f t="shared" si="16"/>
        <v/>
      </c>
      <c r="CD93" s="103" t="str">
        <f>IF($A93="","",IF(OR($CB93="?",$CC93="?"),"?",MIN($CB93*$CC93,'Technical Premium'!$C$17)))</f>
        <v/>
      </c>
      <c r="CE93" s="102" t="str">
        <f t="shared" si="17"/>
        <v/>
      </c>
      <c r="CF93" s="102" t="str">
        <f>IF($A93="","",IFERROR(INDEX('Territory Factors'!$F$6:$F$56,MATCH($K93,'Territory Factors'!$B$6:$B$56,0)),"?"))</f>
        <v/>
      </c>
      <c r="CG93" s="100" t="str">
        <f>IF($A93="","",IFERROR(INDEX('Usage and Coverage'!$C$79:$C$84,MATCH($Y93,'Usage and Coverage'!$B$79:$B$84,0)),"?"))</f>
        <v/>
      </c>
      <c r="CH93" s="102" t="str">
        <f>IFERROR(IF(ISNUMBER($CD93),$CF93*$CG93*MIN($BG93*$BA93*$BC93*$BD93*$BH93*$BF93,'Technical Premium'!$C$17),""),"")</f>
        <v/>
      </c>
      <c r="CI93" s="102" t="str">
        <f t="shared" si="18"/>
        <v/>
      </c>
      <c r="CJ93" s="102" t="str">
        <f>IFERROR($CI93*(1+'Technical Premium'!$C$5)*(1+'Technical Premium'!$C$6),"")</f>
        <v/>
      </c>
      <c r="CK93" s="102" t="str">
        <f>IFERROR($CE93*INDEX('Territory Factors'!$G$6:$G$56,MATCH($K93,'Territory Factors'!$B$6:$B$56,0))*$AU93*$AV93,"")</f>
        <v/>
      </c>
      <c r="CL93" s="102" t="str">
        <f>IFERROR(($CJ93+$CK93)*(1+'Technical Premium'!$C$7),"")</f>
        <v/>
      </c>
      <c r="CM93" s="104" t="str">
        <f>IFERROR($CL93/'Technical Premium'!$C$13,"")</f>
        <v/>
      </c>
      <c r="CN93" s="105" t="str">
        <f t="shared" si="19"/>
        <v/>
      </c>
      <c r="CO93" s="104" t="str">
        <f t="shared" si="20"/>
        <v/>
      </c>
      <c r="CP93" s="105" t="str">
        <f t="shared" si="21"/>
        <v/>
      </c>
      <c r="CQ93" s="106" t="str">
        <f t="shared" si="22"/>
        <v/>
      </c>
      <c r="CR93" s="102" t="str">
        <f>IF(ISNUMBER($CM93),'Technical Premium'!$C$14+IF($J93&gt;=1000000,'Technical Premium'!$C$15,0),"")</f>
        <v/>
      </c>
      <c r="CS93" s="102" t="str">
        <f>IFERROR(($CO93+$CR93)*(INDEX('Territory Factors'!$K$6:$K$56,MATCH($K93,'Territory Factors'!$B$6:$B$56,0))+'Commission Structure'!$C$21),"")</f>
        <v/>
      </c>
      <c r="CT93" s="104" t="str">
        <f t="shared" si="23"/>
        <v/>
      </c>
      <c r="CU93" s="102" t="str">
        <f>IFERROR($CO93*('Commission Structure'!$C$6+'Commission Structure'!$C$7),"")</f>
        <v/>
      </c>
      <c r="CV93" s="102" t="str">
        <f>IFERROR($CO93*'Commission Structure'!$C$5-$CU93,"")</f>
        <v/>
      </c>
      <c r="CW93" s="102" t="str">
        <f>IFERROR($CO93*(1-'Commission Structure'!$C$5),"")</f>
        <v/>
      </c>
      <c r="CX93" s="107"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8" t="str">
        <f t="shared" si="24"/>
        <v/>
      </c>
      <c r="CZ93" s="99" t="str">
        <f>IF($CY93="","",IF($CY93&lt;'Technical Premium'!$C$19,"BEYOND AUTHORITY",IF($CY93&gt;0.005,"Above technical",IF($CY93&lt;-0.005,"BELOW technical","At technical"))))</f>
        <v/>
      </c>
      <c r="DA93" s="99"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4"/>
      <c r="DC93" s="94"/>
      <c r="DD93" s="95"/>
      <c r="DE93" s="94"/>
      <c r="DF93" s="94"/>
      <c r="DG93" s="99" t="str">
        <f t="shared" si="25"/>
        <v/>
      </c>
      <c r="DH93" s="99" t="str">
        <f>IF($A93="","",IF(OR($CX93="REFER",$CX93="DECLINE"),COUNTIF($CX$5:$CX93,"REFER")+COUNTIF($CX$5:$CX93,"DECLINE"),""))</f>
        <v/>
      </c>
      <c r="DI93" s="94"/>
    </row>
    <row r="94" spans="1:113" x14ac:dyDescent="0.35">
      <c r="A94" s="94"/>
      <c r="B94" s="94"/>
      <c r="C94" s="95"/>
      <c r="D94" s="95"/>
      <c r="E94" s="96"/>
      <c r="F94" s="94"/>
      <c r="G94" s="94"/>
      <c r="H94" s="94"/>
      <c r="I94" s="94"/>
      <c r="J94" s="97"/>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8"/>
      <c r="AR94" s="99" t="str">
        <f t="shared" si="13"/>
        <v/>
      </c>
      <c r="AS94" s="99" t="str">
        <f>IF($A94="","",IF($AP94&lt;&gt;"",$AP94,IFERROR(INDEX('Cat Zone by ZIP'!$D$6:$D$856,MATCH($AR94,'Cat Zone by ZIP'!$B$6:$B$856,0)),IFERROR(INDEX('Cat Zone by ZIP'!$C$860:$C$910,MATCH($K94,'Cat Zone by ZIP'!$B$860:$B$910,0)),"NOT FOUND"))))</f>
        <v/>
      </c>
      <c r="AT94" s="99" t="str">
        <f>IF($A94="","",IF($AP94&lt;&gt;"","Override",IF(ISNUMBER(MATCH($AR94,'Cat Zone by ZIP'!$B$6:$B$856,0)),"ZIP-3","State default")))</f>
        <v/>
      </c>
      <c r="AU94" s="100" t="str">
        <f>IF($A94="","",IFERROR(INDEX('Natural Catastrophe'!$D$6:$D$17,MATCH($AS94,'Natural Catastrophe'!$B$6:$B$17,0)),"?"))</f>
        <v/>
      </c>
      <c r="AV94" s="100" t="str">
        <f>IF($A94="","",IFERROR(INDEX('Natural Catastrophe'!$C$21:$C$26,MATCH($AA94,'Natural Catastrophe'!$B$21:$B$26,0)),"?"))</f>
        <v/>
      </c>
      <c r="AW94" s="99" t="str">
        <f>IF($A94="","",IFERROR(INDEX('Base Rates'!$C$4:$I$4,MATCH(MAX($J94,'Technical Premium'!$C$18),'Base Rates'!$C$3:$I$3,1)),"?"))</f>
        <v/>
      </c>
      <c r="AX94" s="101" t="str">
        <f>IF($A94="","",IFERROR(INDEX('Base Rates'!$C$5:$I$16,MATCH($I94,'Base Rates'!$B$5:$B$16,0),MATCH(MAX($J94,'Technical Premium'!$C$18),'Base Rates'!$C$3:$I$3,1)),"?"))</f>
        <v/>
      </c>
      <c r="AY94" s="102" t="str">
        <f t="shared" si="14"/>
        <v/>
      </c>
      <c r="AZ94" s="99" t="str">
        <f>IF($A94="","",IFERROR(INDEX('Make Factors'!$G$5:$G$69,MATCH($F94,'Make Factors'!$B$5:$B$69,0)),"?"))</f>
        <v/>
      </c>
      <c r="BA94" s="99" t="str">
        <f>IF($A94="","",IFERROR(INDEX('Driver Factors'!$C$6:$C$15,MATCH($R94,'Driver Factors'!$B$6:$B$15,0)),"?"))</f>
        <v/>
      </c>
      <c r="BB94" s="99" t="str">
        <f>IF($A94="","",IFERROR(INDEX('Driver Factors'!$C$19:$C$24,MATCH($S94,'Driver Factors'!$B$19:$B$24,0)),"?"))</f>
        <v/>
      </c>
      <c r="BC94" s="99" t="str">
        <f>IF($A94="","",IFERROR(INDEX('Driver Factors'!$C$28:$C$36,MATCH($T94,'Driver Factors'!$B$28:$B$36,0)),"?"))</f>
        <v/>
      </c>
      <c r="BD94" s="99" t="str">
        <f>IF($A94="","",IFERROR(INDEX('Claims History'!$C$6:$C$15,MATCH($U94,'Claims History'!$B$6:$B$15,0)),"?"))</f>
        <v/>
      </c>
      <c r="BE94" s="99" t="str">
        <f>IF($A94="","",IFERROR(INDEX('Territory Factors'!$E$6:$E$56,MATCH($K94,'Territory Factors'!$B$6:$B$56,0)),"?"))</f>
        <v/>
      </c>
      <c r="BF94" s="99" t="str">
        <f>IF($A94="","",IFERROR(INDEX('City Accident Ratings'!$G$6:$G$54,MATCH($Z94,'City Accident Ratings'!$B$6:$B$54,0)),"?"))</f>
        <v/>
      </c>
      <c r="BG94" s="99" t="str">
        <f>IF($A94="","",IFERROR(INDEX('Usage and Coverage'!$D$6:$D$20,MATCH($N94,'Usage and Coverage'!$C$6:$C$20,0)),"?"))</f>
        <v/>
      </c>
      <c r="BH94" s="99" t="str">
        <f>IF($A94="","",IFERROR(INDEX('Usage and Coverage'!$C$24:$C$30,MATCH($O94,'Usage and Coverage'!$B$24:$B$30,0)),"?"))</f>
        <v/>
      </c>
      <c r="BI94" s="99" t="str">
        <f>IF($A94="","",IFERROR(INDEX('Usage and Coverage'!$C$34:$C$40,MATCH($P94,'Usage and Coverage'!$B$34:$B$40,0)),"?"))</f>
        <v/>
      </c>
      <c r="BJ94" s="99" t="str">
        <f>IF($A94="","",IFERROR(INDEX('Usage and Coverage'!$C$44:$C$49,MATCH($Q94,'Usage and Coverage'!$B$44:$B$49,0)),"?"))</f>
        <v/>
      </c>
      <c r="BK94" s="99" t="str">
        <f>IF($A94="","",IFERROR(INDEX(Deductibles!$C$6:$I$15,MATCH($W94,Deductibles!$B$6:$B$15,0),MATCH(MAX($J94,'Technical Premium'!$C$18),'Base Rates'!$C$3:$I$3,1)),"?"))</f>
        <v/>
      </c>
      <c r="BL94" s="99" t="str">
        <f>IF($A94="","",IFERROR(INDEX('Usage and Coverage'!$C$63:$C$66,MATCH($X94,'Usage and Coverage'!$B$63:$B$66,0)),"?"))</f>
        <v/>
      </c>
      <c r="BM94" s="99" t="str">
        <f>IF($A94="","",IFERROR(INDEX('Usage and Coverage'!$C$70:$C$75,MATCH($V94,'Usage and Coverage'!$B$70:$B$75,0)),"?"))</f>
        <v/>
      </c>
      <c r="BN94" s="99" t="str">
        <f>IF($A94="","",IF($AB94="",1,IFERROR(INDEX(Deductibles!$C$48:$C$51,MATCH($AB94,Deductibles!$B$48:$B$51,0)),"?")))</f>
        <v/>
      </c>
      <c r="BO94" s="99" t="str">
        <f>IF($A94="","",IF($AC94="",1,IFERROR(INDEX(Deductibles!$C$55:$C$57,MATCH($AC94,Deductibles!$B$55:$B$57,0)),"?")))</f>
        <v/>
      </c>
      <c r="BP94" s="99" t="str">
        <f>IF($A94="","",IF($AD94="",1,IFERROR(INDEX(Deductibles!$C$61:$C$63,MATCH($AD94,Deductibles!$B$61:$B$63,0)),"?")))</f>
        <v/>
      </c>
      <c r="BQ94" s="99" t="str">
        <f>IF($A94="","",IF($AE94="",1,IFERROR(INDEX(Deductibles!$C$67:$C$69,MATCH($AE94,Deductibles!$B$67:$B$69,0)),"?")))</f>
        <v/>
      </c>
      <c r="BR94" s="99" t="str">
        <f>IF($A94="","",IF($AF94="",1,IFERROR(INDEX(Deductibles!$C$73:$C$74,MATCH($AF94,Deductibles!$B$73:$B$74,0)),"?")))</f>
        <v/>
      </c>
      <c r="BS94" s="99" t="str">
        <f>IF($A94="","",IF($AG94="",1,IFERROR(INDEX('Sublimits and Parts'!$C$49:$C$52,MATCH($AG94,'Sublimits and Parts'!$B$49:$B$52,0)),"?")))</f>
        <v/>
      </c>
      <c r="BT94" s="99" t="str">
        <f>IF($A94="","",IF($AH94="",1,IFERROR(INDEX('Sublimits and Parts'!$C$56:$C$60,MATCH($AH94,'Sublimits and Parts'!$B$56:$B$60,0)),"?")))</f>
        <v/>
      </c>
      <c r="BU94" s="99" t="str">
        <f>IF($A94="","",IF($AI94="",1,IFERROR(INDEX('Sublimits and Parts'!$C$64:$C$67,MATCH($AI94,'Sublimits and Parts'!$B$64:$B$67,0)),"?")))</f>
        <v/>
      </c>
      <c r="BV94" s="99" t="str">
        <f>IF($A94="","",IF($AJ94="",1,IFERROR(INDEX('Sublimits and Parts'!$C$71:$C$74,MATCH($AJ94,'Sublimits and Parts'!$B$71:$B$74,0)),"?")))</f>
        <v/>
      </c>
      <c r="BW94" s="99" t="str">
        <f>IF($A94="","",IF($AK94="",1,IFERROR(INDEX('Sublimits and Parts'!$C$78:$C$80,MATCH($AK94,'Sublimits and Parts'!$B$78:$B$80,0)),"?")))</f>
        <v/>
      </c>
      <c r="BX94" s="99" t="str">
        <f>IF($A94="","",IF($AL94="",1,IFERROR(INDEX('Sublimits and Parts'!$C$84:$C$87,MATCH($AL94,'Sublimits and Parts'!$B$84:$B$87,0)),"?")))</f>
        <v/>
      </c>
      <c r="BY94" s="99" t="str">
        <f>IF($A94="","",IF($AM94="",1,IFERROR(INDEX('Sublimits and Parts'!$C$91:$C$94,MATCH($AM94,'Sublimits and Parts'!$B$91:$B$94,0)),"?")))</f>
        <v/>
      </c>
      <c r="BZ94" s="99" t="str">
        <f>IF($A94="","",IF($AN94="",1,IFERROR(INDEX('Sublimits and Parts'!$C$98:$C$101,MATCH($AN94,'Sublimits and Parts'!$B$98:$B$101,0)),"?")))</f>
        <v/>
      </c>
      <c r="CA94" s="99" t="str">
        <f>IF($A94="","",IF($AO94="",1,IFERROR(INDEX('Sublimits and Parts'!$C$105:$C$109,MATCH($AO94,'Sublimits and Parts'!$B$105:$B$109,0)),"?")))</f>
        <v/>
      </c>
      <c r="CB94" s="100" t="str">
        <f t="shared" si="15"/>
        <v/>
      </c>
      <c r="CC94" s="100" t="str">
        <f t="shared" si="16"/>
        <v/>
      </c>
      <c r="CD94" s="103" t="str">
        <f>IF($A94="","",IF(OR($CB94="?",$CC94="?"),"?",MIN($CB94*$CC94,'Technical Premium'!$C$17)))</f>
        <v/>
      </c>
      <c r="CE94" s="102" t="str">
        <f t="shared" si="17"/>
        <v/>
      </c>
      <c r="CF94" s="102" t="str">
        <f>IF($A94="","",IFERROR(INDEX('Territory Factors'!$F$6:$F$56,MATCH($K94,'Territory Factors'!$B$6:$B$56,0)),"?"))</f>
        <v/>
      </c>
      <c r="CG94" s="100" t="str">
        <f>IF($A94="","",IFERROR(INDEX('Usage and Coverage'!$C$79:$C$84,MATCH($Y94,'Usage and Coverage'!$B$79:$B$84,0)),"?"))</f>
        <v/>
      </c>
      <c r="CH94" s="102" t="str">
        <f>IFERROR(IF(ISNUMBER($CD94),$CF94*$CG94*MIN($BG94*$BA94*$BC94*$BD94*$BH94*$BF94,'Technical Premium'!$C$17),""),"")</f>
        <v/>
      </c>
      <c r="CI94" s="102" t="str">
        <f t="shared" si="18"/>
        <v/>
      </c>
      <c r="CJ94" s="102" t="str">
        <f>IFERROR($CI94*(1+'Technical Premium'!$C$5)*(1+'Technical Premium'!$C$6),"")</f>
        <v/>
      </c>
      <c r="CK94" s="102" t="str">
        <f>IFERROR($CE94*INDEX('Territory Factors'!$G$6:$G$56,MATCH($K94,'Territory Factors'!$B$6:$B$56,0))*$AU94*$AV94,"")</f>
        <v/>
      </c>
      <c r="CL94" s="102" t="str">
        <f>IFERROR(($CJ94+$CK94)*(1+'Technical Premium'!$C$7),"")</f>
        <v/>
      </c>
      <c r="CM94" s="104" t="str">
        <f>IFERROR($CL94/'Technical Premium'!$C$13,"")</f>
        <v/>
      </c>
      <c r="CN94" s="105" t="str">
        <f t="shared" si="19"/>
        <v/>
      </c>
      <c r="CO94" s="104" t="str">
        <f t="shared" si="20"/>
        <v/>
      </c>
      <c r="CP94" s="105" t="str">
        <f t="shared" si="21"/>
        <v/>
      </c>
      <c r="CQ94" s="106" t="str">
        <f t="shared" si="22"/>
        <v/>
      </c>
      <c r="CR94" s="102" t="str">
        <f>IF(ISNUMBER($CM94),'Technical Premium'!$C$14+IF($J94&gt;=1000000,'Technical Premium'!$C$15,0),"")</f>
        <v/>
      </c>
      <c r="CS94" s="102" t="str">
        <f>IFERROR(($CO94+$CR94)*(INDEX('Territory Factors'!$K$6:$K$56,MATCH($K94,'Territory Factors'!$B$6:$B$56,0))+'Commission Structure'!$C$21),"")</f>
        <v/>
      </c>
      <c r="CT94" s="104" t="str">
        <f t="shared" si="23"/>
        <v/>
      </c>
      <c r="CU94" s="102" t="str">
        <f>IFERROR($CO94*('Commission Structure'!$C$6+'Commission Structure'!$C$7),"")</f>
        <v/>
      </c>
      <c r="CV94" s="102" t="str">
        <f>IFERROR($CO94*'Commission Structure'!$C$5-$CU94,"")</f>
        <v/>
      </c>
      <c r="CW94" s="102" t="str">
        <f>IFERROR($CO94*(1-'Commission Structure'!$C$5),"")</f>
        <v/>
      </c>
      <c r="CX94" s="107"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8" t="str">
        <f t="shared" si="24"/>
        <v/>
      </c>
      <c r="CZ94" s="99" t="str">
        <f>IF($CY94="","",IF($CY94&lt;'Technical Premium'!$C$19,"BEYOND AUTHORITY",IF($CY94&gt;0.005,"Above technical",IF($CY94&lt;-0.005,"BELOW technical","At technical"))))</f>
        <v/>
      </c>
      <c r="DA94" s="99"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4"/>
      <c r="DC94" s="94"/>
      <c r="DD94" s="95"/>
      <c r="DE94" s="94"/>
      <c r="DF94" s="94"/>
      <c r="DG94" s="99" t="str">
        <f t="shared" si="25"/>
        <v/>
      </c>
      <c r="DH94" s="99" t="str">
        <f>IF($A94="","",IF(OR($CX94="REFER",$CX94="DECLINE"),COUNTIF($CX$5:$CX94,"REFER")+COUNTIF($CX$5:$CX94,"DECLINE"),""))</f>
        <v/>
      </c>
      <c r="DI94" s="94"/>
    </row>
    <row r="95" spans="1:113" x14ac:dyDescent="0.35">
      <c r="A95" s="94"/>
      <c r="B95" s="94"/>
      <c r="C95" s="95"/>
      <c r="D95" s="95"/>
      <c r="E95" s="96"/>
      <c r="F95" s="94"/>
      <c r="G95" s="94"/>
      <c r="H95" s="94"/>
      <c r="I95" s="94"/>
      <c r="J95" s="97"/>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8"/>
      <c r="AR95" s="99" t="str">
        <f t="shared" si="13"/>
        <v/>
      </c>
      <c r="AS95" s="99" t="str">
        <f>IF($A95="","",IF($AP95&lt;&gt;"",$AP95,IFERROR(INDEX('Cat Zone by ZIP'!$D$6:$D$856,MATCH($AR95,'Cat Zone by ZIP'!$B$6:$B$856,0)),IFERROR(INDEX('Cat Zone by ZIP'!$C$860:$C$910,MATCH($K95,'Cat Zone by ZIP'!$B$860:$B$910,0)),"NOT FOUND"))))</f>
        <v/>
      </c>
      <c r="AT95" s="99" t="str">
        <f>IF($A95="","",IF($AP95&lt;&gt;"","Override",IF(ISNUMBER(MATCH($AR95,'Cat Zone by ZIP'!$B$6:$B$856,0)),"ZIP-3","State default")))</f>
        <v/>
      </c>
      <c r="AU95" s="100" t="str">
        <f>IF($A95="","",IFERROR(INDEX('Natural Catastrophe'!$D$6:$D$17,MATCH($AS95,'Natural Catastrophe'!$B$6:$B$17,0)),"?"))</f>
        <v/>
      </c>
      <c r="AV95" s="100" t="str">
        <f>IF($A95="","",IFERROR(INDEX('Natural Catastrophe'!$C$21:$C$26,MATCH($AA95,'Natural Catastrophe'!$B$21:$B$26,0)),"?"))</f>
        <v/>
      </c>
      <c r="AW95" s="99" t="str">
        <f>IF($A95="","",IFERROR(INDEX('Base Rates'!$C$4:$I$4,MATCH(MAX($J95,'Technical Premium'!$C$18),'Base Rates'!$C$3:$I$3,1)),"?"))</f>
        <v/>
      </c>
      <c r="AX95" s="101" t="str">
        <f>IF($A95="","",IFERROR(INDEX('Base Rates'!$C$5:$I$16,MATCH($I95,'Base Rates'!$B$5:$B$16,0),MATCH(MAX($J95,'Technical Premium'!$C$18),'Base Rates'!$C$3:$I$3,1)),"?"))</f>
        <v/>
      </c>
      <c r="AY95" s="102" t="str">
        <f t="shared" si="14"/>
        <v/>
      </c>
      <c r="AZ95" s="99" t="str">
        <f>IF($A95="","",IFERROR(INDEX('Make Factors'!$G$5:$G$69,MATCH($F95,'Make Factors'!$B$5:$B$69,0)),"?"))</f>
        <v/>
      </c>
      <c r="BA95" s="99" t="str">
        <f>IF($A95="","",IFERROR(INDEX('Driver Factors'!$C$6:$C$15,MATCH($R95,'Driver Factors'!$B$6:$B$15,0)),"?"))</f>
        <v/>
      </c>
      <c r="BB95" s="99" t="str">
        <f>IF($A95="","",IFERROR(INDEX('Driver Factors'!$C$19:$C$24,MATCH($S95,'Driver Factors'!$B$19:$B$24,0)),"?"))</f>
        <v/>
      </c>
      <c r="BC95" s="99" t="str">
        <f>IF($A95="","",IFERROR(INDEX('Driver Factors'!$C$28:$C$36,MATCH($T95,'Driver Factors'!$B$28:$B$36,0)),"?"))</f>
        <v/>
      </c>
      <c r="BD95" s="99" t="str">
        <f>IF($A95="","",IFERROR(INDEX('Claims History'!$C$6:$C$15,MATCH($U95,'Claims History'!$B$6:$B$15,0)),"?"))</f>
        <v/>
      </c>
      <c r="BE95" s="99" t="str">
        <f>IF($A95="","",IFERROR(INDEX('Territory Factors'!$E$6:$E$56,MATCH($K95,'Territory Factors'!$B$6:$B$56,0)),"?"))</f>
        <v/>
      </c>
      <c r="BF95" s="99" t="str">
        <f>IF($A95="","",IFERROR(INDEX('City Accident Ratings'!$G$6:$G$54,MATCH($Z95,'City Accident Ratings'!$B$6:$B$54,0)),"?"))</f>
        <v/>
      </c>
      <c r="BG95" s="99" t="str">
        <f>IF($A95="","",IFERROR(INDEX('Usage and Coverage'!$D$6:$D$20,MATCH($N95,'Usage and Coverage'!$C$6:$C$20,0)),"?"))</f>
        <v/>
      </c>
      <c r="BH95" s="99" t="str">
        <f>IF($A95="","",IFERROR(INDEX('Usage and Coverage'!$C$24:$C$30,MATCH($O95,'Usage and Coverage'!$B$24:$B$30,0)),"?"))</f>
        <v/>
      </c>
      <c r="BI95" s="99" t="str">
        <f>IF($A95="","",IFERROR(INDEX('Usage and Coverage'!$C$34:$C$40,MATCH($P95,'Usage and Coverage'!$B$34:$B$40,0)),"?"))</f>
        <v/>
      </c>
      <c r="BJ95" s="99" t="str">
        <f>IF($A95="","",IFERROR(INDEX('Usage and Coverage'!$C$44:$C$49,MATCH($Q95,'Usage and Coverage'!$B$44:$B$49,0)),"?"))</f>
        <v/>
      </c>
      <c r="BK95" s="99" t="str">
        <f>IF($A95="","",IFERROR(INDEX(Deductibles!$C$6:$I$15,MATCH($W95,Deductibles!$B$6:$B$15,0),MATCH(MAX($J95,'Technical Premium'!$C$18),'Base Rates'!$C$3:$I$3,1)),"?"))</f>
        <v/>
      </c>
      <c r="BL95" s="99" t="str">
        <f>IF($A95="","",IFERROR(INDEX('Usage and Coverage'!$C$63:$C$66,MATCH($X95,'Usage and Coverage'!$B$63:$B$66,0)),"?"))</f>
        <v/>
      </c>
      <c r="BM95" s="99" t="str">
        <f>IF($A95="","",IFERROR(INDEX('Usage and Coverage'!$C$70:$C$75,MATCH($V95,'Usage and Coverage'!$B$70:$B$75,0)),"?"))</f>
        <v/>
      </c>
      <c r="BN95" s="99" t="str">
        <f>IF($A95="","",IF($AB95="",1,IFERROR(INDEX(Deductibles!$C$48:$C$51,MATCH($AB95,Deductibles!$B$48:$B$51,0)),"?")))</f>
        <v/>
      </c>
      <c r="BO95" s="99" t="str">
        <f>IF($A95="","",IF($AC95="",1,IFERROR(INDEX(Deductibles!$C$55:$C$57,MATCH($AC95,Deductibles!$B$55:$B$57,0)),"?")))</f>
        <v/>
      </c>
      <c r="BP95" s="99" t="str">
        <f>IF($A95="","",IF($AD95="",1,IFERROR(INDEX(Deductibles!$C$61:$C$63,MATCH($AD95,Deductibles!$B$61:$B$63,0)),"?")))</f>
        <v/>
      </c>
      <c r="BQ95" s="99" t="str">
        <f>IF($A95="","",IF($AE95="",1,IFERROR(INDEX(Deductibles!$C$67:$C$69,MATCH($AE95,Deductibles!$B$67:$B$69,0)),"?")))</f>
        <v/>
      </c>
      <c r="BR95" s="99" t="str">
        <f>IF($A95="","",IF($AF95="",1,IFERROR(INDEX(Deductibles!$C$73:$C$74,MATCH($AF95,Deductibles!$B$73:$B$74,0)),"?")))</f>
        <v/>
      </c>
      <c r="BS95" s="99" t="str">
        <f>IF($A95="","",IF($AG95="",1,IFERROR(INDEX('Sublimits and Parts'!$C$49:$C$52,MATCH($AG95,'Sublimits and Parts'!$B$49:$B$52,0)),"?")))</f>
        <v/>
      </c>
      <c r="BT95" s="99" t="str">
        <f>IF($A95="","",IF($AH95="",1,IFERROR(INDEX('Sublimits and Parts'!$C$56:$C$60,MATCH($AH95,'Sublimits and Parts'!$B$56:$B$60,0)),"?")))</f>
        <v/>
      </c>
      <c r="BU95" s="99" t="str">
        <f>IF($A95="","",IF($AI95="",1,IFERROR(INDEX('Sublimits and Parts'!$C$64:$C$67,MATCH($AI95,'Sublimits and Parts'!$B$64:$B$67,0)),"?")))</f>
        <v/>
      </c>
      <c r="BV95" s="99" t="str">
        <f>IF($A95="","",IF($AJ95="",1,IFERROR(INDEX('Sublimits and Parts'!$C$71:$C$74,MATCH($AJ95,'Sublimits and Parts'!$B$71:$B$74,0)),"?")))</f>
        <v/>
      </c>
      <c r="BW95" s="99" t="str">
        <f>IF($A95="","",IF($AK95="",1,IFERROR(INDEX('Sublimits and Parts'!$C$78:$C$80,MATCH($AK95,'Sublimits and Parts'!$B$78:$B$80,0)),"?")))</f>
        <v/>
      </c>
      <c r="BX95" s="99" t="str">
        <f>IF($A95="","",IF($AL95="",1,IFERROR(INDEX('Sublimits and Parts'!$C$84:$C$87,MATCH($AL95,'Sublimits and Parts'!$B$84:$B$87,0)),"?")))</f>
        <v/>
      </c>
      <c r="BY95" s="99" t="str">
        <f>IF($A95="","",IF($AM95="",1,IFERROR(INDEX('Sublimits and Parts'!$C$91:$C$94,MATCH($AM95,'Sublimits and Parts'!$B$91:$B$94,0)),"?")))</f>
        <v/>
      </c>
      <c r="BZ95" s="99" t="str">
        <f>IF($A95="","",IF($AN95="",1,IFERROR(INDEX('Sublimits and Parts'!$C$98:$C$101,MATCH($AN95,'Sublimits and Parts'!$B$98:$B$101,0)),"?")))</f>
        <v/>
      </c>
      <c r="CA95" s="99" t="str">
        <f>IF($A95="","",IF($AO95="",1,IFERROR(INDEX('Sublimits and Parts'!$C$105:$C$109,MATCH($AO95,'Sublimits and Parts'!$B$105:$B$109,0)),"?")))</f>
        <v/>
      </c>
      <c r="CB95" s="100" t="str">
        <f t="shared" si="15"/>
        <v/>
      </c>
      <c r="CC95" s="100" t="str">
        <f t="shared" si="16"/>
        <v/>
      </c>
      <c r="CD95" s="103" t="str">
        <f>IF($A95="","",IF(OR($CB95="?",$CC95="?"),"?",MIN($CB95*$CC95,'Technical Premium'!$C$17)))</f>
        <v/>
      </c>
      <c r="CE95" s="102" t="str">
        <f t="shared" si="17"/>
        <v/>
      </c>
      <c r="CF95" s="102" t="str">
        <f>IF($A95="","",IFERROR(INDEX('Territory Factors'!$F$6:$F$56,MATCH($K95,'Territory Factors'!$B$6:$B$56,0)),"?"))</f>
        <v/>
      </c>
      <c r="CG95" s="100" t="str">
        <f>IF($A95="","",IFERROR(INDEX('Usage and Coverage'!$C$79:$C$84,MATCH($Y95,'Usage and Coverage'!$B$79:$B$84,0)),"?"))</f>
        <v/>
      </c>
      <c r="CH95" s="102" t="str">
        <f>IFERROR(IF(ISNUMBER($CD95),$CF95*$CG95*MIN($BG95*$BA95*$BC95*$BD95*$BH95*$BF95,'Technical Premium'!$C$17),""),"")</f>
        <v/>
      </c>
      <c r="CI95" s="102" t="str">
        <f t="shared" si="18"/>
        <v/>
      </c>
      <c r="CJ95" s="102" t="str">
        <f>IFERROR($CI95*(1+'Technical Premium'!$C$5)*(1+'Technical Premium'!$C$6),"")</f>
        <v/>
      </c>
      <c r="CK95" s="102" t="str">
        <f>IFERROR($CE95*INDEX('Territory Factors'!$G$6:$G$56,MATCH($K95,'Territory Factors'!$B$6:$B$56,0))*$AU95*$AV95,"")</f>
        <v/>
      </c>
      <c r="CL95" s="102" t="str">
        <f>IFERROR(($CJ95+$CK95)*(1+'Technical Premium'!$C$7),"")</f>
        <v/>
      </c>
      <c r="CM95" s="104" t="str">
        <f>IFERROR($CL95/'Technical Premium'!$C$13,"")</f>
        <v/>
      </c>
      <c r="CN95" s="105" t="str">
        <f t="shared" si="19"/>
        <v/>
      </c>
      <c r="CO95" s="104" t="str">
        <f t="shared" si="20"/>
        <v/>
      </c>
      <c r="CP95" s="105" t="str">
        <f t="shared" si="21"/>
        <v/>
      </c>
      <c r="CQ95" s="106" t="str">
        <f t="shared" si="22"/>
        <v/>
      </c>
      <c r="CR95" s="102" t="str">
        <f>IF(ISNUMBER($CM95),'Technical Premium'!$C$14+IF($J95&gt;=1000000,'Technical Premium'!$C$15,0),"")</f>
        <v/>
      </c>
      <c r="CS95" s="102" t="str">
        <f>IFERROR(($CO95+$CR95)*(INDEX('Territory Factors'!$K$6:$K$56,MATCH($K95,'Territory Factors'!$B$6:$B$56,0))+'Commission Structure'!$C$21),"")</f>
        <v/>
      </c>
      <c r="CT95" s="104" t="str">
        <f t="shared" si="23"/>
        <v/>
      </c>
      <c r="CU95" s="102" t="str">
        <f>IFERROR($CO95*('Commission Structure'!$C$6+'Commission Structure'!$C$7),"")</f>
        <v/>
      </c>
      <c r="CV95" s="102" t="str">
        <f>IFERROR($CO95*'Commission Structure'!$C$5-$CU95,"")</f>
        <v/>
      </c>
      <c r="CW95" s="102" t="str">
        <f>IFERROR($CO95*(1-'Commission Structure'!$C$5),"")</f>
        <v/>
      </c>
      <c r="CX95" s="107"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8" t="str">
        <f t="shared" si="24"/>
        <v/>
      </c>
      <c r="CZ95" s="99" t="str">
        <f>IF($CY95="","",IF($CY95&lt;'Technical Premium'!$C$19,"BEYOND AUTHORITY",IF($CY95&gt;0.005,"Above technical",IF($CY95&lt;-0.005,"BELOW technical","At technical"))))</f>
        <v/>
      </c>
      <c r="DA95" s="99"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4"/>
      <c r="DC95" s="94"/>
      <c r="DD95" s="95"/>
      <c r="DE95" s="94"/>
      <c r="DF95" s="94"/>
      <c r="DG95" s="99" t="str">
        <f t="shared" si="25"/>
        <v/>
      </c>
      <c r="DH95" s="99" t="str">
        <f>IF($A95="","",IF(OR($CX95="REFER",$CX95="DECLINE"),COUNTIF($CX$5:$CX95,"REFER")+COUNTIF($CX$5:$CX95,"DECLINE"),""))</f>
        <v/>
      </c>
      <c r="DI95" s="94"/>
    </row>
    <row r="96" spans="1:113" x14ac:dyDescent="0.35">
      <c r="A96" s="94"/>
      <c r="B96" s="94"/>
      <c r="C96" s="95"/>
      <c r="D96" s="95"/>
      <c r="E96" s="96"/>
      <c r="F96" s="94"/>
      <c r="G96" s="94"/>
      <c r="H96" s="94"/>
      <c r="I96" s="94"/>
      <c r="J96" s="97"/>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8"/>
      <c r="AR96" s="99" t="str">
        <f t="shared" si="13"/>
        <v/>
      </c>
      <c r="AS96" s="99" t="str">
        <f>IF($A96="","",IF($AP96&lt;&gt;"",$AP96,IFERROR(INDEX('Cat Zone by ZIP'!$D$6:$D$856,MATCH($AR96,'Cat Zone by ZIP'!$B$6:$B$856,0)),IFERROR(INDEX('Cat Zone by ZIP'!$C$860:$C$910,MATCH($K96,'Cat Zone by ZIP'!$B$860:$B$910,0)),"NOT FOUND"))))</f>
        <v/>
      </c>
      <c r="AT96" s="99" t="str">
        <f>IF($A96="","",IF($AP96&lt;&gt;"","Override",IF(ISNUMBER(MATCH($AR96,'Cat Zone by ZIP'!$B$6:$B$856,0)),"ZIP-3","State default")))</f>
        <v/>
      </c>
      <c r="AU96" s="100" t="str">
        <f>IF($A96="","",IFERROR(INDEX('Natural Catastrophe'!$D$6:$D$17,MATCH($AS96,'Natural Catastrophe'!$B$6:$B$17,0)),"?"))</f>
        <v/>
      </c>
      <c r="AV96" s="100" t="str">
        <f>IF($A96="","",IFERROR(INDEX('Natural Catastrophe'!$C$21:$C$26,MATCH($AA96,'Natural Catastrophe'!$B$21:$B$26,0)),"?"))</f>
        <v/>
      </c>
      <c r="AW96" s="99" t="str">
        <f>IF($A96="","",IFERROR(INDEX('Base Rates'!$C$4:$I$4,MATCH(MAX($J96,'Technical Premium'!$C$18),'Base Rates'!$C$3:$I$3,1)),"?"))</f>
        <v/>
      </c>
      <c r="AX96" s="101" t="str">
        <f>IF($A96="","",IFERROR(INDEX('Base Rates'!$C$5:$I$16,MATCH($I96,'Base Rates'!$B$5:$B$16,0),MATCH(MAX($J96,'Technical Premium'!$C$18),'Base Rates'!$C$3:$I$3,1)),"?"))</f>
        <v/>
      </c>
      <c r="AY96" s="102" t="str">
        <f t="shared" si="14"/>
        <v/>
      </c>
      <c r="AZ96" s="99" t="str">
        <f>IF($A96="","",IFERROR(INDEX('Make Factors'!$G$5:$G$69,MATCH($F96,'Make Factors'!$B$5:$B$69,0)),"?"))</f>
        <v/>
      </c>
      <c r="BA96" s="99" t="str">
        <f>IF($A96="","",IFERROR(INDEX('Driver Factors'!$C$6:$C$15,MATCH($R96,'Driver Factors'!$B$6:$B$15,0)),"?"))</f>
        <v/>
      </c>
      <c r="BB96" s="99" t="str">
        <f>IF($A96="","",IFERROR(INDEX('Driver Factors'!$C$19:$C$24,MATCH($S96,'Driver Factors'!$B$19:$B$24,0)),"?"))</f>
        <v/>
      </c>
      <c r="BC96" s="99" t="str">
        <f>IF($A96="","",IFERROR(INDEX('Driver Factors'!$C$28:$C$36,MATCH($T96,'Driver Factors'!$B$28:$B$36,0)),"?"))</f>
        <v/>
      </c>
      <c r="BD96" s="99" t="str">
        <f>IF($A96="","",IFERROR(INDEX('Claims History'!$C$6:$C$15,MATCH($U96,'Claims History'!$B$6:$B$15,0)),"?"))</f>
        <v/>
      </c>
      <c r="BE96" s="99" t="str">
        <f>IF($A96="","",IFERROR(INDEX('Territory Factors'!$E$6:$E$56,MATCH($K96,'Territory Factors'!$B$6:$B$56,0)),"?"))</f>
        <v/>
      </c>
      <c r="BF96" s="99" t="str">
        <f>IF($A96="","",IFERROR(INDEX('City Accident Ratings'!$G$6:$G$54,MATCH($Z96,'City Accident Ratings'!$B$6:$B$54,0)),"?"))</f>
        <v/>
      </c>
      <c r="BG96" s="99" t="str">
        <f>IF($A96="","",IFERROR(INDEX('Usage and Coverage'!$D$6:$D$20,MATCH($N96,'Usage and Coverage'!$C$6:$C$20,0)),"?"))</f>
        <v/>
      </c>
      <c r="BH96" s="99" t="str">
        <f>IF($A96="","",IFERROR(INDEX('Usage and Coverage'!$C$24:$C$30,MATCH($O96,'Usage and Coverage'!$B$24:$B$30,0)),"?"))</f>
        <v/>
      </c>
      <c r="BI96" s="99" t="str">
        <f>IF($A96="","",IFERROR(INDEX('Usage and Coverage'!$C$34:$C$40,MATCH($P96,'Usage and Coverage'!$B$34:$B$40,0)),"?"))</f>
        <v/>
      </c>
      <c r="BJ96" s="99" t="str">
        <f>IF($A96="","",IFERROR(INDEX('Usage and Coverage'!$C$44:$C$49,MATCH($Q96,'Usage and Coverage'!$B$44:$B$49,0)),"?"))</f>
        <v/>
      </c>
      <c r="BK96" s="99" t="str">
        <f>IF($A96="","",IFERROR(INDEX(Deductibles!$C$6:$I$15,MATCH($W96,Deductibles!$B$6:$B$15,0),MATCH(MAX($J96,'Technical Premium'!$C$18),'Base Rates'!$C$3:$I$3,1)),"?"))</f>
        <v/>
      </c>
      <c r="BL96" s="99" t="str">
        <f>IF($A96="","",IFERROR(INDEX('Usage and Coverage'!$C$63:$C$66,MATCH($X96,'Usage and Coverage'!$B$63:$B$66,0)),"?"))</f>
        <v/>
      </c>
      <c r="BM96" s="99" t="str">
        <f>IF($A96="","",IFERROR(INDEX('Usage and Coverage'!$C$70:$C$75,MATCH($V96,'Usage and Coverage'!$B$70:$B$75,0)),"?"))</f>
        <v/>
      </c>
      <c r="BN96" s="99" t="str">
        <f>IF($A96="","",IF($AB96="",1,IFERROR(INDEX(Deductibles!$C$48:$C$51,MATCH($AB96,Deductibles!$B$48:$B$51,0)),"?")))</f>
        <v/>
      </c>
      <c r="BO96" s="99" t="str">
        <f>IF($A96="","",IF($AC96="",1,IFERROR(INDEX(Deductibles!$C$55:$C$57,MATCH($AC96,Deductibles!$B$55:$B$57,0)),"?")))</f>
        <v/>
      </c>
      <c r="BP96" s="99" t="str">
        <f>IF($A96="","",IF($AD96="",1,IFERROR(INDEX(Deductibles!$C$61:$C$63,MATCH($AD96,Deductibles!$B$61:$B$63,0)),"?")))</f>
        <v/>
      </c>
      <c r="BQ96" s="99" t="str">
        <f>IF($A96="","",IF($AE96="",1,IFERROR(INDEX(Deductibles!$C$67:$C$69,MATCH($AE96,Deductibles!$B$67:$B$69,0)),"?")))</f>
        <v/>
      </c>
      <c r="BR96" s="99" t="str">
        <f>IF($A96="","",IF($AF96="",1,IFERROR(INDEX(Deductibles!$C$73:$C$74,MATCH($AF96,Deductibles!$B$73:$B$74,0)),"?")))</f>
        <v/>
      </c>
      <c r="BS96" s="99" t="str">
        <f>IF($A96="","",IF($AG96="",1,IFERROR(INDEX('Sublimits and Parts'!$C$49:$C$52,MATCH($AG96,'Sublimits and Parts'!$B$49:$B$52,0)),"?")))</f>
        <v/>
      </c>
      <c r="BT96" s="99" t="str">
        <f>IF($A96="","",IF($AH96="",1,IFERROR(INDEX('Sublimits and Parts'!$C$56:$C$60,MATCH($AH96,'Sublimits and Parts'!$B$56:$B$60,0)),"?")))</f>
        <v/>
      </c>
      <c r="BU96" s="99" t="str">
        <f>IF($A96="","",IF($AI96="",1,IFERROR(INDEX('Sublimits and Parts'!$C$64:$C$67,MATCH($AI96,'Sublimits and Parts'!$B$64:$B$67,0)),"?")))</f>
        <v/>
      </c>
      <c r="BV96" s="99" t="str">
        <f>IF($A96="","",IF($AJ96="",1,IFERROR(INDEX('Sublimits and Parts'!$C$71:$C$74,MATCH($AJ96,'Sublimits and Parts'!$B$71:$B$74,0)),"?")))</f>
        <v/>
      </c>
      <c r="BW96" s="99" t="str">
        <f>IF($A96="","",IF($AK96="",1,IFERROR(INDEX('Sublimits and Parts'!$C$78:$C$80,MATCH($AK96,'Sublimits and Parts'!$B$78:$B$80,0)),"?")))</f>
        <v/>
      </c>
      <c r="BX96" s="99" t="str">
        <f>IF($A96="","",IF($AL96="",1,IFERROR(INDEX('Sublimits and Parts'!$C$84:$C$87,MATCH($AL96,'Sublimits and Parts'!$B$84:$B$87,0)),"?")))</f>
        <v/>
      </c>
      <c r="BY96" s="99" t="str">
        <f>IF($A96="","",IF($AM96="",1,IFERROR(INDEX('Sublimits and Parts'!$C$91:$C$94,MATCH($AM96,'Sublimits and Parts'!$B$91:$B$94,0)),"?")))</f>
        <v/>
      </c>
      <c r="BZ96" s="99" t="str">
        <f>IF($A96="","",IF($AN96="",1,IFERROR(INDEX('Sublimits and Parts'!$C$98:$C$101,MATCH($AN96,'Sublimits and Parts'!$B$98:$B$101,0)),"?")))</f>
        <v/>
      </c>
      <c r="CA96" s="99" t="str">
        <f>IF($A96="","",IF($AO96="",1,IFERROR(INDEX('Sublimits and Parts'!$C$105:$C$109,MATCH($AO96,'Sublimits and Parts'!$B$105:$B$109,0)),"?")))</f>
        <v/>
      </c>
      <c r="CB96" s="100" t="str">
        <f t="shared" si="15"/>
        <v/>
      </c>
      <c r="CC96" s="100" t="str">
        <f t="shared" si="16"/>
        <v/>
      </c>
      <c r="CD96" s="103" t="str">
        <f>IF($A96="","",IF(OR($CB96="?",$CC96="?"),"?",MIN($CB96*$CC96,'Technical Premium'!$C$17)))</f>
        <v/>
      </c>
      <c r="CE96" s="102" t="str">
        <f t="shared" si="17"/>
        <v/>
      </c>
      <c r="CF96" s="102" t="str">
        <f>IF($A96="","",IFERROR(INDEX('Territory Factors'!$F$6:$F$56,MATCH($K96,'Territory Factors'!$B$6:$B$56,0)),"?"))</f>
        <v/>
      </c>
      <c r="CG96" s="100" t="str">
        <f>IF($A96="","",IFERROR(INDEX('Usage and Coverage'!$C$79:$C$84,MATCH($Y96,'Usage and Coverage'!$B$79:$B$84,0)),"?"))</f>
        <v/>
      </c>
      <c r="CH96" s="102" t="str">
        <f>IFERROR(IF(ISNUMBER($CD96),$CF96*$CG96*MIN($BG96*$BA96*$BC96*$BD96*$BH96*$BF96,'Technical Premium'!$C$17),""),"")</f>
        <v/>
      </c>
      <c r="CI96" s="102" t="str">
        <f t="shared" si="18"/>
        <v/>
      </c>
      <c r="CJ96" s="102" t="str">
        <f>IFERROR($CI96*(1+'Technical Premium'!$C$5)*(1+'Technical Premium'!$C$6),"")</f>
        <v/>
      </c>
      <c r="CK96" s="102" t="str">
        <f>IFERROR($CE96*INDEX('Territory Factors'!$G$6:$G$56,MATCH($K96,'Territory Factors'!$B$6:$B$56,0))*$AU96*$AV96,"")</f>
        <v/>
      </c>
      <c r="CL96" s="102" t="str">
        <f>IFERROR(($CJ96+$CK96)*(1+'Technical Premium'!$C$7),"")</f>
        <v/>
      </c>
      <c r="CM96" s="104" t="str">
        <f>IFERROR($CL96/'Technical Premium'!$C$13,"")</f>
        <v/>
      </c>
      <c r="CN96" s="105" t="str">
        <f t="shared" si="19"/>
        <v/>
      </c>
      <c r="CO96" s="104" t="str">
        <f t="shared" si="20"/>
        <v/>
      </c>
      <c r="CP96" s="105" t="str">
        <f t="shared" si="21"/>
        <v/>
      </c>
      <c r="CQ96" s="106" t="str">
        <f t="shared" si="22"/>
        <v/>
      </c>
      <c r="CR96" s="102" t="str">
        <f>IF(ISNUMBER($CM96),'Technical Premium'!$C$14+IF($J96&gt;=1000000,'Technical Premium'!$C$15,0),"")</f>
        <v/>
      </c>
      <c r="CS96" s="102" t="str">
        <f>IFERROR(($CO96+$CR96)*(INDEX('Territory Factors'!$K$6:$K$56,MATCH($K96,'Territory Factors'!$B$6:$B$56,0))+'Commission Structure'!$C$21),"")</f>
        <v/>
      </c>
      <c r="CT96" s="104" t="str">
        <f t="shared" si="23"/>
        <v/>
      </c>
      <c r="CU96" s="102" t="str">
        <f>IFERROR($CO96*('Commission Structure'!$C$6+'Commission Structure'!$C$7),"")</f>
        <v/>
      </c>
      <c r="CV96" s="102" t="str">
        <f>IFERROR($CO96*'Commission Structure'!$C$5-$CU96,"")</f>
        <v/>
      </c>
      <c r="CW96" s="102" t="str">
        <f>IFERROR($CO96*(1-'Commission Structure'!$C$5),"")</f>
        <v/>
      </c>
      <c r="CX96" s="107"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8" t="str">
        <f t="shared" si="24"/>
        <v/>
      </c>
      <c r="CZ96" s="99" t="str">
        <f>IF($CY96="","",IF($CY96&lt;'Technical Premium'!$C$19,"BEYOND AUTHORITY",IF($CY96&gt;0.005,"Above technical",IF($CY96&lt;-0.005,"BELOW technical","At technical"))))</f>
        <v/>
      </c>
      <c r="DA96" s="99"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4"/>
      <c r="DC96" s="94"/>
      <c r="DD96" s="95"/>
      <c r="DE96" s="94"/>
      <c r="DF96" s="94"/>
      <c r="DG96" s="99" t="str">
        <f t="shared" si="25"/>
        <v/>
      </c>
      <c r="DH96" s="99" t="str">
        <f>IF($A96="","",IF(OR($CX96="REFER",$CX96="DECLINE"),COUNTIF($CX$5:$CX96,"REFER")+COUNTIF($CX$5:$CX96,"DECLINE"),""))</f>
        <v/>
      </c>
      <c r="DI96" s="94"/>
    </row>
    <row r="97" spans="1:113" x14ac:dyDescent="0.35">
      <c r="A97" s="94"/>
      <c r="B97" s="94"/>
      <c r="C97" s="95"/>
      <c r="D97" s="95"/>
      <c r="E97" s="96"/>
      <c r="F97" s="94"/>
      <c r="G97" s="94"/>
      <c r="H97" s="94"/>
      <c r="I97" s="94"/>
      <c r="J97" s="97"/>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8"/>
      <c r="AR97" s="99" t="str">
        <f t="shared" si="13"/>
        <v/>
      </c>
      <c r="AS97" s="99" t="str">
        <f>IF($A97="","",IF($AP97&lt;&gt;"",$AP97,IFERROR(INDEX('Cat Zone by ZIP'!$D$6:$D$856,MATCH($AR97,'Cat Zone by ZIP'!$B$6:$B$856,0)),IFERROR(INDEX('Cat Zone by ZIP'!$C$860:$C$910,MATCH($K97,'Cat Zone by ZIP'!$B$860:$B$910,0)),"NOT FOUND"))))</f>
        <v/>
      </c>
      <c r="AT97" s="99" t="str">
        <f>IF($A97="","",IF($AP97&lt;&gt;"","Override",IF(ISNUMBER(MATCH($AR97,'Cat Zone by ZIP'!$B$6:$B$856,0)),"ZIP-3","State default")))</f>
        <v/>
      </c>
      <c r="AU97" s="100" t="str">
        <f>IF($A97="","",IFERROR(INDEX('Natural Catastrophe'!$D$6:$D$17,MATCH($AS97,'Natural Catastrophe'!$B$6:$B$17,0)),"?"))</f>
        <v/>
      </c>
      <c r="AV97" s="100" t="str">
        <f>IF($A97="","",IFERROR(INDEX('Natural Catastrophe'!$C$21:$C$26,MATCH($AA97,'Natural Catastrophe'!$B$21:$B$26,0)),"?"))</f>
        <v/>
      </c>
      <c r="AW97" s="99" t="str">
        <f>IF($A97="","",IFERROR(INDEX('Base Rates'!$C$4:$I$4,MATCH(MAX($J97,'Technical Premium'!$C$18),'Base Rates'!$C$3:$I$3,1)),"?"))</f>
        <v/>
      </c>
      <c r="AX97" s="101" t="str">
        <f>IF($A97="","",IFERROR(INDEX('Base Rates'!$C$5:$I$16,MATCH($I97,'Base Rates'!$B$5:$B$16,0),MATCH(MAX($J97,'Technical Premium'!$C$18),'Base Rates'!$C$3:$I$3,1)),"?"))</f>
        <v/>
      </c>
      <c r="AY97" s="102" t="str">
        <f t="shared" si="14"/>
        <v/>
      </c>
      <c r="AZ97" s="99" t="str">
        <f>IF($A97="","",IFERROR(INDEX('Make Factors'!$G$5:$G$69,MATCH($F97,'Make Factors'!$B$5:$B$69,0)),"?"))</f>
        <v/>
      </c>
      <c r="BA97" s="99" t="str">
        <f>IF($A97="","",IFERROR(INDEX('Driver Factors'!$C$6:$C$15,MATCH($R97,'Driver Factors'!$B$6:$B$15,0)),"?"))</f>
        <v/>
      </c>
      <c r="BB97" s="99" t="str">
        <f>IF($A97="","",IFERROR(INDEX('Driver Factors'!$C$19:$C$24,MATCH($S97,'Driver Factors'!$B$19:$B$24,0)),"?"))</f>
        <v/>
      </c>
      <c r="BC97" s="99" t="str">
        <f>IF($A97="","",IFERROR(INDEX('Driver Factors'!$C$28:$C$36,MATCH($T97,'Driver Factors'!$B$28:$B$36,0)),"?"))</f>
        <v/>
      </c>
      <c r="BD97" s="99" t="str">
        <f>IF($A97="","",IFERROR(INDEX('Claims History'!$C$6:$C$15,MATCH($U97,'Claims History'!$B$6:$B$15,0)),"?"))</f>
        <v/>
      </c>
      <c r="BE97" s="99" t="str">
        <f>IF($A97="","",IFERROR(INDEX('Territory Factors'!$E$6:$E$56,MATCH($K97,'Territory Factors'!$B$6:$B$56,0)),"?"))</f>
        <v/>
      </c>
      <c r="BF97" s="99" t="str">
        <f>IF($A97="","",IFERROR(INDEX('City Accident Ratings'!$G$6:$G$54,MATCH($Z97,'City Accident Ratings'!$B$6:$B$54,0)),"?"))</f>
        <v/>
      </c>
      <c r="BG97" s="99" t="str">
        <f>IF($A97="","",IFERROR(INDEX('Usage and Coverage'!$D$6:$D$20,MATCH($N97,'Usage and Coverage'!$C$6:$C$20,0)),"?"))</f>
        <v/>
      </c>
      <c r="BH97" s="99" t="str">
        <f>IF($A97="","",IFERROR(INDEX('Usage and Coverage'!$C$24:$C$30,MATCH($O97,'Usage and Coverage'!$B$24:$B$30,0)),"?"))</f>
        <v/>
      </c>
      <c r="BI97" s="99" t="str">
        <f>IF($A97="","",IFERROR(INDEX('Usage and Coverage'!$C$34:$C$40,MATCH($P97,'Usage and Coverage'!$B$34:$B$40,0)),"?"))</f>
        <v/>
      </c>
      <c r="BJ97" s="99" t="str">
        <f>IF($A97="","",IFERROR(INDEX('Usage and Coverage'!$C$44:$C$49,MATCH($Q97,'Usage and Coverage'!$B$44:$B$49,0)),"?"))</f>
        <v/>
      </c>
      <c r="BK97" s="99" t="str">
        <f>IF($A97="","",IFERROR(INDEX(Deductibles!$C$6:$I$15,MATCH($W97,Deductibles!$B$6:$B$15,0),MATCH(MAX($J97,'Technical Premium'!$C$18),'Base Rates'!$C$3:$I$3,1)),"?"))</f>
        <v/>
      </c>
      <c r="BL97" s="99" t="str">
        <f>IF($A97="","",IFERROR(INDEX('Usage and Coverage'!$C$63:$C$66,MATCH($X97,'Usage and Coverage'!$B$63:$B$66,0)),"?"))</f>
        <v/>
      </c>
      <c r="BM97" s="99" t="str">
        <f>IF($A97="","",IFERROR(INDEX('Usage and Coverage'!$C$70:$C$75,MATCH($V97,'Usage and Coverage'!$B$70:$B$75,0)),"?"))</f>
        <v/>
      </c>
      <c r="BN97" s="99" t="str">
        <f>IF($A97="","",IF($AB97="",1,IFERROR(INDEX(Deductibles!$C$48:$C$51,MATCH($AB97,Deductibles!$B$48:$B$51,0)),"?")))</f>
        <v/>
      </c>
      <c r="BO97" s="99" t="str">
        <f>IF($A97="","",IF($AC97="",1,IFERROR(INDEX(Deductibles!$C$55:$C$57,MATCH($AC97,Deductibles!$B$55:$B$57,0)),"?")))</f>
        <v/>
      </c>
      <c r="BP97" s="99" t="str">
        <f>IF($A97="","",IF($AD97="",1,IFERROR(INDEX(Deductibles!$C$61:$C$63,MATCH($AD97,Deductibles!$B$61:$B$63,0)),"?")))</f>
        <v/>
      </c>
      <c r="BQ97" s="99" t="str">
        <f>IF($A97="","",IF($AE97="",1,IFERROR(INDEX(Deductibles!$C$67:$C$69,MATCH($AE97,Deductibles!$B$67:$B$69,0)),"?")))</f>
        <v/>
      </c>
      <c r="BR97" s="99" t="str">
        <f>IF($A97="","",IF($AF97="",1,IFERROR(INDEX(Deductibles!$C$73:$C$74,MATCH($AF97,Deductibles!$B$73:$B$74,0)),"?")))</f>
        <v/>
      </c>
      <c r="BS97" s="99" t="str">
        <f>IF($A97="","",IF($AG97="",1,IFERROR(INDEX('Sublimits and Parts'!$C$49:$C$52,MATCH($AG97,'Sublimits and Parts'!$B$49:$B$52,0)),"?")))</f>
        <v/>
      </c>
      <c r="BT97" s="99" t="str">
        <f>IF($A97="","",IF($AH97="",1,IFERROR(INDEX('Sublimits and Parts'!$C$56:$C$60,MATCH($AH97,'Sublimits and Parts'!$B$56:$B$60,0)),"?")))</f>
        <v/>
      </c>
      <c r="BU97" s="99" t="str">
        <f>IF($A97="","",IF($AI97="",1,IFERROR(INDEX('Sublimits and Parts'!$C$64:$C$67,MATCH($AI97,'Sublimits and Parts'!$B$64:$B$67,0)),"?")))</f>
        <v/>
      </c>
      <c r="BV97" s="99" t="str">
        <f>IF($A97="","",IF($AJ97="",1,IFERROR(INDEX('Sublimits and Parts'!$C$71:$C$74,MATCH($AJ97,'Sublimits and Parts'!$B$71:$B$74,0)),"?")))</f>
        <v/>
      </c>
      <c r="BW97" s="99" t="str">
        <f>IF($A97="","",IF($AK97="",1,IFERROR(INDEX('Sublimits and Parts'!$C$78:$C$80,MATCH($AK97,'Sublimits and Parts'!$B$78:$B$80,0)),"?")))</f>
        <v/>
      </c>
      <c r="BX97" s="99" t="str">
        <f>IF($A97="","",IF($AL97="",1,IFERROR(INDEX('Sublimits and Parts'!$C$84:$C$87,MATCH($AL97,'Sublimits and Parts'!$B$84:$B$87,0)),"?")))</f>
        <v/>
      </c>
      <c r="BY97" s="99" t="str">
        <f>IF($A97="","",IF($AM97="",1,IFERROR(INDEX('Sublimits and Parts'!$C$91:$C$94,MATCH($AM97,'Sublimits and Parts'!$B$91:$B$94,0)),"?")))</f>
        <v/>
      </c>
      <c r="BZ97" s="99" t="str">
        <f>IF($A97="","",IF($AN97="",1,IFERROR(INDEX('Sublimits and Parts'!$C$98:$C$101,MATCH($AN97,'Sublimits and Parts'!$B$98:$B$101,0)),"?")))</f>
        <v/>
      </c>
      <c r="CA97" s="99" t="str">
        <f>IF($A97="","",IF($AO97="",1,IFERROR(INDEX('Sublimits and Parts'!$C$105:$C$109,MATCH($AO97,'Sublimits and Parts'!$B$105:$B$109,0)),"?")))</f>
        <v/>
      </c>
      <c r="CB97" s="100" t="str">
        <f t="shared" si="15"/>
        <v/>
      </c>
      <c r="CC97" s="100" t="str">
        <f t="shared" si="16"/>
        <v/>
      </c>
      <c r="CD97" s="103" t="str">
        <f>IF($A97="","",IF(OR($CB97="?",$CC97="?"),"?",MIN($CB97*$CC97,'Technical Premium'!$C$17)))</f>
        <v/>
      </c>
      <c r="CE97" s="102" t="str">
        <f t="shared" si="17"/>
        <v/>
      </c>
      <c r="CF97" s="102" t="str">
        <f>IF($A97="","",IFERROR(INDEX('Territory Factors'!$F$6:$F$56,MATCH($K97,'Territory Factors'!$B$6:$B$56,0)),"?"))</f>
        <v/>
      </c>
      <c r="CG97" s="100" t="str">
        <f>IF($A97="","",IFERROR(INDEX('Usage and Coverage'!$C$79:$C$84,MATCH($Y97,'Usage and Coverage'!$B$79:$B$84,0)),"?"))</f>
        <v/>
      </c>
      <c r="CH97" s="102" t="str">
        <f>IFERROR(IF(ISNUMBER($CD97),$CF97*$CG97*MIN($BG97*$BA97*$BC97*$BD97*$BH97*$BF97,'Technical Premium'!$C$17),""),"")</f>
        <v/>
      </c>
      <c r="CI97" s="102" t="str">
        <f t="shared" si="18"/>
        <v/>
      </c>
      <c r="CJ97" s="102" t="str">
        <f>IFERROR($CI97*(1+'Technical Premium'!$C$5)*(1+'Technical Premium'!$C$6),"")</f>
        <v/>
      </c>
      <c r="CK97" s="102" t="str">
        <f>IFERROR($CE97*INDEX('Territory Factors'!$G$6:$G$56,MATCH($K97,'Territory Factors'!$B$6:$B$56,0))*$AU97*$AV97,"")</f>
        <v/>
      </c>
      <c r="CL97" s="102" t="str">
        <f>IFERROR(($CJ97+$CK97)*(1+'Technical Premium'!$C$7),"")</f>
        <v/>
      </c>
      <c r="CM97" s="104" t="str">
        <f>IFERROR($CL97/'Technical Premium'!$C$13,"")</f>
        <v/>
      </c>
      <c r="CN97" s="105" t="str">
        <f t="shared" si="19"/>
        <v/>
      </c>
      <c r="CO97" s="104" t="str">
        <f t="shared" si="20"/>
        <v/>
      </c>
      <c r="CP97" s="105" t="str">
        <f t="shared" si="21"/>
        <v/>
      </c>
      <c r="CQ97" s="106" t="str">
        <f t="shared" si="22"/>
        <v/>
      </c>
      <c r="CR97" s="102" t="str">
        <f>IF(ISNUMBER($CM97),'Technical Premium'!$C$14+IF($J97&gt;=1000000,'Technical Premium'!$C$15,0),"")</f>
        <v/>
      </c>
      <c r="CS97" s="102" t="str">
        <f>IFERROR(($CO97+$CR97)*(INDEX('Territory Factors'!$K$6:$K$56,MATCH($K97,'Territory Factors'!$B$6:$B$56,0))+'Commission Structure'!$C$21),"")</f>
        <v/>
      </c>
      <c r="CT97" s="104" t="str">
        <f t="shared" si="23"/>
        <v/>
      </c>
      <c r="CU97" s="102" t="str">
        <f>IFERROR($CO97*('Commission Structure'!$C$6+'Commission Structure'!$C$7),"")</f>
        <v/>
      </c>
      <c r="CV97" s="102" t="str">
        <f>IFERROR($CO97*'Commission Structure'!$C$5-$CU97,"")</f>
        <v/>
      </c>
      <c r="CW97" s="102" t="str">
        <f>IFERROR($CO97*(1-'Commission Structure'!$C$5),"")</f>
        <v/>
      </c>
      <c r="CX97" s="107"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8" t="str">
        <f t="shared" si="24"/>
        <v/>
      </c>
      <c r="CZ97" s="99" t="str">
        <f>IF($CY97="","",IF($CY97&lt;'Technical Premium'!$C$19,"BEYOND AUTHORITY",IF($CY97&gt;0.005,"Above technical",IF($CY97&lt;-0.005,"BELOW technical","At technical"))))</f>
        <v/>
      </c>
      <c r="DA97" s="99"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4"/>
      <c r="DC97" s="94"/>
      <c r="DD97" s="95"/>
      <c r="DE97" s="94"/>
      <c r="DF97" s="94"/>
      <c r="DG97" s="99" t="str">
        <f t="shared" si="25"/>
        <v/>
      </c>
      <c r="DH97" s="99" t="str">
        <f>IF($A97="","",IF(OR($CX97="REFER",$CX97="DECLINE"),COUNTIF($CX$5:$CX97,"REFER")+COUNTIF($CX$5:$CX97,"DECLINE"),""))</f>
        <v/>
      </c>
      <c r="DI97" s="94"/>
    </row>
    <row r="98" spans="1:113" x14ac:dyDescent="0.35">
      <c r="A98" s="94"/>
      <c r="B98" s="94"/>
      <c r="C98" s="95"/>
      <c r="D98" s="95"/>
      <c r="E98" s="96"/>
      <c r="F98" s="94"/>
      <c r="G98" s="94"/>
      <c r="H98" s="94"/>
      <c r="I98" s="94"/>
      <c r="J98" s="97"/>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8"/>
      <c r="AR98" s="99" t="str">
        <f t="shared" si="13"/>
        <v/>
      </c>
      <c r="AS98" s="99" t="str">
        <f>IF($A98="","",IF($AP98&lt;&gt;"",$AP98,IFERROR(INDEX('Cat Zone by ZIP'!$D$6:$D$856,MATCH($AR98,'Cat Zone by ZIP'!$B$6:$B$856,0)),IFERROR(INDEX('Cat Zone by ZIP'!$C$860:$C$910,MATCH($K98,'Cat Zone by ZIP'!$B$860:$B$910,0)),"NOT FOUND"))))</f>
        <v/>
      </c>
      <c r="AT98" s="99" t="str">
        <f>IF($A98="","",IF($AP98&lt;&gt;"","Override",IF(ISNUMBER(MATCH($AR98,'Cat Zone by ZIP'!$B$6:$B$856,0)),"ZIP-3","State default")))</f>
        <v/>
      </c>
      <c r="AU98" s="100" t="str">
        <f>IF($A98="","",IFERROR(INDEX('Natural Catastrophe'!$D$6:$D$17,MATCH($AS98,'Natural Catastrophe'!$B$6:$B$17,0)),"?"))</f>
        <v/>
      </c>
      <c r="AV98" s="100" t="str">
        <f>IF($A98="","",IFERROR(INDEX('Natural Catastrophe'!$C$21:$C$26,MATCH($AA98,'Natural Catastrophe'!$B$21:$B$26,0)),"?"))</f>
        <v/>
      </c>
      <c r="AW98" s="99" t="str">
        <f>IF($A98="","",IFERROR(INDEX('Base Rates'!$C$4:$I$4,MATCH(MAX($J98,'Technical Premium'!$C$18),'Base Rates'!$C$3:$I$3,1)),"?"))</f>
        <v/>
      </c>
      <c r="AX98" s="101" t="str">
        <f>IF($A98="","",IFERROR(INDEX('Base Rates'!$C$5:$I$16,MATCH($I98,'Base Rates'!$B$5:$B$16,0),MATCH(MAX($J98,'Technical Premium'!$C$18),'Base Rates'!$C$3:$I$3,1)),"?"))</f>
        <v/>
      </c>
      <c r="AY98" s="102" t="str">
        <f t="shared" si="14"/>
        <v/>
      </c>
      <c r="AZ98" s="99" t="str">
        <f>IF($A98="","",IFERROR(INDEX('Make Factors'!$G$5:$G$69,MATCH($F98,'Make Factors'!$B$5:$B$69,0)),"?"))</f>
        <v/>
      </c>
      <c r="BA98" s="99" t="str">
        <f>IF($A98="","",IFERROR(INDEX('Driver Factors'!$C$6:$C$15,MATCH($R98,'Driver Factors'!$B$6:$B$15,0)),"?"))</f>
        <v/>
      </c>
      <c r="BB98" s="99" t="str">
        <f>IF($A98="","",IFERROR(INDEX('Driver Factors'!$C$19:$C$24,MATCH($S98,'Driver Factors'!$B$19:$B$24,0)),"?"))</f>
        <v/>
      </c>
      <c r="BC98" s="99" t="str">
        <f>IF($A98="","",IFERROR(INDEX('Driver Factors'!$C$28:$C$36,MATCH($T98,'Driver Factors'!$B$28:$B$36,0)),"?"))</f>
        <v/>
      </c>
      <c r="BD98" s="99" t="str">
        <f>IF($A98="","",IFERROR(INDEX('Claims History'!$C$6:$C$15,MATCH($U98,'Claims History'!$B$6:$B$15,0)),"?"))</f>
        <v/>
      </c>
      <c r="BE98" s="99" t="str">
        <f>IF($A98="","",IFERROR(INDEX('Territory Factors'!$E$6:$E$56,MATCH($K98,'Territory Factors'!$B$6:$B$56,0)),"?"))</f>
        <v/>
      </c>
      <c r="BF98" s="99" t="str">
        <f>IF($A98="","",IFERROR(INDEX('City Accident Ratings'!$G$6:$G$54,MATCH($Z98,'City Accident Ratings'!$B$6:$B$54,0)),"?"))</f>
        <v/>
      </c>
      <c r="BG98" s="99" t="str">
        <f>IF($A98="","",IFERROR(INDEX('Usage and Coverage'!$D$6:$D$20,MATCH($N98,'Usage and Coverage'!$C$6:$C$20,0)),"?"))</f>
        <v/>
      </c>
      <c r="BH98" s="99" t="str">
        <f>IF($A98="","",IFERROR(INDEX('Usage and Coverage'!$C$24:$C$30,MATCH($O98,'Usage and Coverage'!$B$24:$B$30,0)),"?"))</f>
        <v/>
      </c>
      <c r="BI98" s="99" t="str">
        <f>IF($A98="","",IFERROR(INDEX('Usage and Coverage'!$C$34:$C$40,MATCH($P98,'Usage and Coverage'!$B$34:$B$40,0)),"?"))</f>
        <v/>
      </c>
      <c r="BJ98" s="99" t="str">
        <f>IF($A98="","",IFERROR(INDEX('Usage and Coverage'!$C$44:$C$49,MATCH($Q98,'Usage and Coverage'!$B$44:$B$49,0)),"?"))</f>
        <v/>
      </c>
      <c r="BK98" s="99" t="str">
        <f>IF($A98="","",IFERROR(INDEX(Deductibles!$C$6:$I$15,MATCH($W98,Deductibles!$B$6:$B$15,0),MATCH(MAX($J98,'Technical Premium'!$C$18),'Base Rates'!$C$3:$I$3,1)),"?"))</f>
        <v/>
      </c>
      <c r="BL98" s="99" t="str">
        <f>IF($A98="","",IFERROR(INDEX('Usage and Coverage'!$C$63:$C$66,MATCH($X98,'Usage and Coverage'!$B$63:$B$66,0)),"?"))</f>
        <v/>
      </c>
      <c r="BM98" s="99" t="str">
        <f>IF($A98="","",IFERROR(INDEX('Usage and Coverage'!$C$70:$C$75,MATCH($V98,'Usage and Coverage'!$B$70:$B$75,0)),"?"))</f>
        <v/>
      </c>
      <c r="BN98" s="99" t="str">
        <f>IF($A98="","",IF($AB98="",1,IFERROR(INDEX(Deductibles!$C$48:$C$51,MATCH($AB98,Deductibles!$B$48:$B$51,0)),"?")))</f>
        <v/>
      </c>
      <c r="BO98" s="99" t="str">
        <f>IF($A98="","",IF($AC98="",1,IFERROR(INDEX(Deductibles!$C$55:$C$57,MATCH($AC98,Deductibles!$B$55:$B$57,0)),"?")))</f>
        <v/>
      </c>
      <c r="BP98" s="99" t="str">
        <f>IF($A98="","",IF($AD98="",1,IFERROR(INDEX(Deductibles!$C$61:$C$63,MATCH($AD98,Deductibles!$B$61:$B$63,0)),"?")))</f>
        <v/>
      </c>
      <c r="BQ98" s="99" t="str">
        <f>IF($A98="","",IF($AE98="",1,IFERROR(INDEX(Deductibles!$C$67:$C$69,MATCH($AE98,Deductibles!$B$67:$B$69,0)),"?")))</f>
        <v/>
      </c>
      <c r="BR98" s="99" t="str">
        <f>IF($A98="","",IF($AF98="",1,IFERROR(INDEX(Deductibles!$C$73:$C$74,MATCH($AF98,Deductibles!$B$73:$B$74,0)),"?")))</f>
        <v/>
      </c>
      <c r="BS98" s="99" t="str">
        <f>IF($A98="","",IF($AG98="",1,IFERROR(INDEX('Sublimits and Parts'!$C$49:$C$52,MATCH($AG98,'Sublimits and Parts'!$B$49:$B$52,0)),"?")))</f>
        <v/>
      </c>
      <c r="BT98" s="99" t="str">
        <f>IF($A98="","",IF($AH98="",1,IFERROR(INDEX('Sublimits and Parts'!$C$56:$C$60,MATCH($AH98,'Sublimits and Parts'!$B$56:$B$60,0)),"?")))</f>
        <v/>
      </c>
      <c r="BU98" s="99" t="str">
        <f>IF($A98="","",IF($AI98="",1,IFERROR(INDEX('Sublimits and Parts'!$C$64:$C$67,MATCH($AI98,'Sublimits and Parts'!$B$64:$B$67,0)),"?")))</f>
        <v/>
      </c>
      <c r="BV98" s="99" t="str">
        <f>IF($A98="","",IF($AJ98="",1,IFERROR(INDEX('Sublimits and Parts'!$C$71:$C$74,MATCH($AJ98,'Sublimits and Parts'!$B$71:$B$74,0)),"?")))</f>
        <v/>
      </c>
      <c r="BW98" s="99" t="str">
        <f>IF($A98="","",IF($AK98="",1,IFERROR(INDEX('Sublimits and Parts'!$C$78:$C$80,MATCH($AK98,'Sublimits and Parts'!$B$78:$B$80,0)),"?")))</f>
        <v/>
      </c>
      <c r="BX98" s="99" t="str">
        <f>IF($A98="","",IF($AL98="",1,IFERROR(INDEX('Sublimits and Parts'!$C$84:$C$87,MATCH($AL98,'Sublimits and Parts'!$B$84:$B$87,0)),"?")))</f>
        <v/>
      </c>
      <c r="BY98" s="99" t="str">
        <f>IF($A98="","",IF($AM98="",1,IFERROR(INDEX('Sublimits and Parts'!$C$91:$C$94,MATCH($AM98,'Sublimits and Parts'!$B$91:$B$94,0)),"?")))</f>
        <v/>
      </c>
      <c r="BZ98" s="99" t="str">
        <f>IF($A98="","",IF($AN98="",1,IFERROR(INDEX('Sublimits and Parts'!$C$98:$C$101,MATCH($AN98,'Sublimits and Parts'!$B$98:$B$101,0)),"?")))</f>
        <v/>
      </c>
      <c r="CA98" s="99" t="str">
        <f>IF($A98="","",IF($AO98="",1,IFERROR(INDEX('Sublimits and Parts'!$C$105:$C$109,MATCH($AO98,'Sublimits and Parts'!$B$105:$B$109,0)),"?")))</f>
        <v/>
      </c>
      <c r="CB98" s="100" t="str">
        <f t="shared" si="15"/>
        <v/>
      </c>
      <c r="CC98" s="100" t="str">
        <f t="shared" si="16"/>
        <v/>
      </c>
      <c r="CD98" s="103" t="str">
        <f>IF($A98="","",IF(OR($CB98="?",$CC98="?"),"?",MIN($CB98*$CC98,'Technical Premium'!$C$17)))</f>
        <v/>
      </c>
      <c r="CE98" s="102" t="str">
        <f t="shared" si="17"/>
        <v/>
      </c>
      <c r="CF98" s="102" t="str">
        <f>IF($A98="","",IFERROR(INDEX('Territory Factors'!$F$6:$F$56,MATCH($K98,'Territory Factors'!$B$6:$B$56,0)),"?"))</f>
        <v/>
      </c>
      <c r="CG98" s="100" t="str">
        <f>IF($A98="","",IFERROR(INDEX('Usage and Coverage'!$C$79:$C$84,MATCH($Y98,'Usage and Coverage'!$B$79:$B$84,0)),"?"))</f>
        <v/>
      </c>
      <c r="CH98" s="102" t="str">
        <f>IFERROR(IF(ISNUMBER($CD98),$CF98*$CG98*MIN($BG98*$BA98*$BC98*$BD98*$BH98*$BF98,'Technical Premium'!$C$17),""),"")</f>
        <v/>
      </c>
      <c r="CI98" s="102" t="str">
        <f t="shared" si="18"/>
        <v/>
      </c>
      <c r="CJ98" s="102" t="str">
        <f>IFERROR($CI98*(1+'Technical Premium'!$C$5)*(1+'Technical Premium'!$C$6),"")</f>
        <v/>
      </c>
      <c r="CK98" s="102" t="str">
        <f>IFERROR($CE98*INDEX('Territory Factors'!$G$6:$G$56,MATCH($K98,'Territory Factors'!$B$6:$B$56,0))*$AU98*$AV98,"")</f>
        <v/>
      </c>
      <c r="CL98" s="102" t="str">
        <f>IFERROR(($CJ98+$CK98)*(1+'Technical Premium'!$C$7),"")</f>
        <v/>
      </c>
      <c r="CM98" s="104" t="str">
        <f>IFERROR($CL98/'Technical Premium'!$C$13,"")</f>
        <v/>
      </c>
      <c r="CN98" s="105" t="str">
        <f t="shared" si="19"/>
        <v/>
      </c>
      <c r="CO98" s="104" t="str">
        <f t="shared" si="20"/>
        <v/>
      </c>
      <c r="CP98" s="105" t="str">
        <f t="shared" si="21"/>
        <v/>
      </c>
      <c r="CQ98" s="106" t="str">
        <f t="shared" si="22"/>
        <v/>
      </c>
      <c r="CR98" s="102" t="str">
        <f>IF(ISNUMBER($CM98),'Technical Premium'!$C$14+IF($J98&gt;=1000000,'Technical Premium'!$C$15,0),"")</f>
        <v/>
      </c>
      <c r="CS98" s="102" t="str">
        <f>IFERROR(($CO98+$CR98)*(INDEX('Territory Factors'!$K$6:$K$56,MATCH($K98,'Territory Factors'!$B$6:$B$56,0))+'Commission Structure'!$C$21),"")</f>
        <v/>
      </c>
      <c r="CT98" s="104" t="str">
        <f t="shared" si="23"/>
        <v/>
      </c>
      <c r="CU98" s="102" t="str">
        <f>IFERROR($CO98*('Commission Structure'!$C$6+'Commission Structure'!$C$7),"")</f>
        <v/>
      </c>
      <c r="CV98" s="102" t="str">
        <f>IFERROR($CO98*'Commission Structure'!$C$5-$CU98,"")</f>
        <v/>
      </c>
      <c r="CW98" s="102" t="str">
        <f>IFERROR($CO98*(1-'Commission Structure'!$C$5),"")</f>
        <v/>
      </c>
      <c r="CX98" s="107"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8" t="str">
        <f t="shared" si="24"/>
        <v/>
      </c>
      <c r="CZ98" s="99" t="str">
        <f>IF($CY98="","",IF($CY98&lt;'Technical Premium'!$C$19,"BEYOND AUTHORITY",IF($CY98&gt;0.005,"Above technical",IF($CY98&lt;-0.005,"BELOW technical","At technical"))))</f>
        <v/>
      </c>
      <c r="DA98" s="99"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4"/>
      <c r="DC98" s="94"/>
      <c r="DD98" s="95"/>
      <c r="DE98" s="94"/>
      <c r="DF98" s="94"/>
      <c r="DG98" s="99" t="str">
        <f t="shared" si="25"/>
        <v/>
      </c>
      <c r="DH98" s="99" t="str">
        <f>IF($A98="","",IF(OR($CX98="REFER",$CX98="DECLINE"),COUNTIF($CX$5:$CX98,"REFER")+COUNTIF($CX$5:$CX98,"DECLINE"),""))</f>
        <v/>
      </c>
      <c r="DI98" s="94"/>
    </row>
    <row r="99" spans="1:113" x14ac:dyDescent="0.35">
      <c r="A99" s="94"/>
      <c r="B99" s="94"/>
      <c r="C99" s="95"/>
      <c r="D99" s="95"/>
      <c r="E99" s="96"/>
      <c r="F99" s="94"/>
      <c r="G99" s="94"/>
      <c r="H99" s="94"/>
      <c r="I99" s="94"/>
      <c r="J99" s="97"/>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8"/>
      <c r="AR99" s="99" t="str">
        <f t="shared" si="13"/>
        <v/>
      </c>
      <c r="AS99" s="99" t="str">
        <f>IF($A99="","",IF($AP99&lt;&gt;"",$AP99,IFERROR(INDEX('Cat Zone by ZIP'!$D$6:$D$856,MATCH($AR99,'Cat Zone by ZIP'!$B$6:$B$856,0)),IFERROR(INDEX('Cat Zone by ZIP'!$C$860:$C$910,MATCH($K99,'Cat Zone by ZIP'!$B$860:$B$910,0)),"NOT FOUND"))))</f>
        <v/>
      </c>
      <c r="AT99" s="99" t="str">
        <f>IF($A99="","",IF($AP99&lt;&gt;"","Override",IF(ISNUMBER(MATCH($AR99,'Cat Zone by ZIP'!$B$6:$B$856,0)),"ZIP-3","State default")))</f>
        <v/>
      </c>
      <c r="AU99" s="100" t="str">
        <f>IF($A99="","",IFERROR(INDEX('Natural Catastrophe'!$D$6:$D$17,MATCH($AS99,'Natural Catastrophe'!$B$6:$B$17,0)),"?"))</f>
        <v/>
      </c>
      <c r="AV99" s="100" t="str">
        <f>IF($A99="","",IFERROR(INDEX('Natural Catastrophe'!$C$21:$C$26,MATCH($AA99,'Natural Catastrophe'!$B$21:$B$26,0)),"?"))</f>
        <v/>
      </c>
      <c r="AW99" s="99" t="str">
        <f>IF($A99="","",IFERROR(INDEX('Base Rates'!$C$4:$I$4,MATCH(MAX($J99,'Technical Premium'!$C$18),'Base Rates'!$C$3:$I$3,1)),"?"))</f>
        <v/>
      </c>
      <c r="AX99" s="101" t="str">
        <f>IF($A99="","",IFERROR(INDEX('Base Rates'!$C$5:$I$16,MATCH($I99,'Base Rates'!$B$5:$B$16,0),MATCH(MAX($J99,'Technical Premium'!$C$18),'Base Rates'!$C$3:$I$3,1)),"?"))</f>
        <v/>
      </c>
      <c r="AY99" s="102" t="str">
        <f t="shared" si="14"/>
        <v/>
      </c>
      <c r="AZ99" s="99" t="str">
        <f>IF($A99="","",IFERROR(INDEX('Make Factors'!$G$5:$G$69,MATCH($F99,'Make Factors'!$B$5:$B$69,0)),"?"))</f>
        <v/>
      </c>
      <c r="BA99" s="99" t="str">
        <f>IF($A99="","",IFERROR(INDEX('Driver Factors'!$C$6:$C$15,MATCH($R99,'Driver Factors'!$B$6:$B$15,0)),"?"))</f>
        <v/>
      </c>
      <c r="BB99" s="99" t="str">
        <f>IF($A99="","",IFERROR(INDEX('Driver Factors'!$C$19:$C$24,MATCH($S99,'Driver Factors'!$B$19:$B$24,0)),"?"))</f>
        <v/>
      </c>
      <c r="BC99" s="99" t="str">
        <f>IF($A99="","",IFERROR(INDEX('Driver Factors'!$C$28:$C$36,MATCH($T99,'Driver Factors'!$B$28:$B$36,0)),"?"))</f>
        <v/>
      </c>
      <c r="BD99" s="99" t="str">
        <f>IF($A99="","",IFERROR(INDEX('Claims History'!$C$6:$C$15,MATCH($U99,'Claims History'!$B$6:$B$15,0)),"?"))</f>
        <v/>
      </c>
      <c r="BE99" s="99" t="str">
        <f>IF($A99="","",IFERROR(INDEX('Territory Factors'!$E$6:$E$56,MATCH($K99,'Territory Factors'!$B$6:$B$56,0)),"?"))</f>
        <v/>
      </c>
      <c r="BF99" s="99" t="str">
        <f>IF($A99="","",IFERROR(INDEX('City Accident Ratings'!$G$6:$G$54,MATCH($Z99,'City Accident Ratings'!$B$6:$B$54,0)),"?"))</f>
        <v/>
      </c>
      <c r="BG99" s="99" t="str">
        <f>IF($A99="","",IFERROR(INDEX('Usage and Coverage'!$D$6:$D$20,MATCH($N99,'Usage and Coverage'!$C$6:$C$20,0)),"?"))</f>
        <v/>
      </c>
      <c r="BH99" s="99" t="str">
        <f>IF($A99="","",IFERROR(INDEX('Usage and Coverage'!$C$24:$C$30,MATCH($O99,'Usage and Coverage'!$B$24:$B$30,0)),"?"))</f>
        <v/>
      </c>
      <c r="BI99" s="99" t="str">
        <f>IF($A99="","",IFERROR(INDEX('Usage and Coverage'!$C$34:$C$40,MATCH($P99,'Usage and Coverage'!$B$34:$B$40,0)),"?"))</f>
        <v/>
      </c>
      <c r="BJ99" s="99" t="str">
        <f>IF($A99="","",IFERROR(INDEX('Usage and Coverage'!$C$44:$C$49,MATCH($Q99,'Usage and Coverage'!$B$44:$B$49,0)),"?"))</f>
        <v/>
      </c>
      <c r="BK99" s="99" t="str">
        <f>IF($A99="","",IFERROR(INDEX(Deductibles!$C$6:$I$15,MATCH($W99,Deductibles!$B$6:$B$15,0),MATCH(MAX($J99,'Technical Premium'!$C$18),'Base Rates'!$C$3:$I$3,1)),"?"))</f>
        <v/>
      </c>
      <c r="BL99" s="99" t="str">
        <f>IF($A99="","",IFERROR(INDEX('Usage and Coverage'!$C$63:$C$66,MATCH($X99,'Usage and Coverage'!$B$63:$B$66,0)),"?"))</f>
        <v/>
      </c>
      <c r="BM99" s="99" t="str">
        <f>IF($A99="","",IFERROR(INDEX('Usage and Coverage'!$C$70:$C$75,MATCH($V99,'Usage and Coverage'!$B$70:$B$75,0)),"?"))</f>
        <v/>
      </c>
      <c r="BN99" s="99" t="str">
        <f>IF($A99="","",IF($AB99="",1,IFERROR(INDEX(Deductibles!$C$48:$C$51,MATCH($AB99,Deductibles!$B$48:$B$51,0)),"?")))</f>
        <v/>
      </c>
      <c r="BO99" s="99" t="str">
        <f>IF($A99="","",IF($AC99="",1,IFERROR(INDEX(Deductibles!$C$55:$C$57,MATCH($AC99,Deductibles!$B$55:$B$57,0)),"?")))</f>
        <v/>
      </c>
      <c r="BP99" s="99" t="str">
        <f>IF($A99="","",IF($AD99="",1,IFERROR(INDEX(Deductibles!$C$61:$C$63,MATCH($AD99,Deductibles!$B$61:$B$63,0)),"?")))</f>
        <v/>
      </c>
      <c r="BQ99" s="99" t="str">
        <f>IF($A99="","",IF($AE99="",1,IFERROR(INDEX(Deductibles!$C$67:$C$69,MATCH($AE99,Deductibles!$B$67:$B$69,0)),"?")))</f>
        <v/>
      </c>
      <c r="BR99" s="99" t="str">
        <f>IF($A99="","",IF($AF99="",1,IFERROR(INDEX(Deductibles!$C$73:$C$74,MATCH($AF99,Deductibles!$B$73:$B$74,0)),"?")))</f>
        <v/>
      </c>
      <c r="BS99" s="99" t="str">
        <f>IF($A99="","",IF($AG99="",1,IFERROR(INDEX('Sublimits and Parts'!$C$49:$C$52,MATCH($AG99,'Sublimits and Parts'!$B$49:$B$52,0)),"?")))</f>
        <v/>
      </c>
      <c r="BT99" s="99" t="str">
        <f>IF($A99="","",IF($AH99="",1,IFERROR(INDEX('Sublimits and Parts'!$C$56:$C$60,MATCH($AH99,'Sublimits and Parts'!$B$56:$B$60,0)),"?")))</f>
        <v/>
      </c>
      <c r="BU99" s="99" t="str">
        <f>IF($A99="","",IF($AI99="",1,IFERROR(INDEX('Sublimits and Parts'!$C$64:$C$67,MATCH($AI99,'Sublimits and Parts'!$B$64:$B$67,0)),"?")))</f>
        <v/>
      </c>
      <c r="BV99" s="99" t="str">
        <f>IF($A99="","",IF($AJ99="",1,IFERROR(INDEX('Sublimits and Parts'!$C$71:$C$74,MATCH($AJ99,'Sublimits and Parts'!$B$71:$B$74,0)),"?")))</f>
        <v/>
      </c>
      <c r="BW99" s="99" t="str">
        <f>IF($A99="","",IF($AK99="",1,IFERROR(INDEX('Sublimits and Parts'!$C$78:$C$80,MATCH($AK99,'Sublimits and Parts'!$B$78:$B$80,0)),"?")))</f>
        <v/>
      </c>
      <c r="BX99" s="99" t="str">
        <f>IF($A99="","",IF($AL99="",1,IFERROR(INDEX('Sublimits and Parts'!$C$84:$C$87,MATCH($AL99,'Sublimits and Parts'!$B$84:$B$87,0)),"?")))</f>
        <v/>
      </c>
      <c r="BY99" s="99" t="str">
        <f>IF($A99="","",IF($AM99="",1,IFERROR(INDEX('Sublimits and Parts'!$C$91:$C$94,MATCH($AM99,'Sublimits and Parts'!$B$91:$B$94,0)),"?")))</f>
        <v/>
      </c>
      <c r="BZ99" s="99" t="str">
        <f>IF($A99="","",IF($AN99="",1,IFERROR(INDEX('Sublimits and Parts'!$C$98:$C$101,MATCH($AN99,'Sublimits and Parts'!$B$98:$B$101,0)),"?")))</f>
        <v/>
      </c>
      <c r="CA99" s="99" t="str">
        <f>IF($A99="","",IF($AO99="",1,IFERROR(INDEX('Sublimits and Parts'!$C$105:$C$109,MATCH($AO99,'Sublimits and Parts'!$B$105:$B$109,0)),"?")))</f>
        <v/>
      </c>
      <c r="CB99" s="100" t="str">
        <f t="shared" si="15"/>
        <v/>
      </c>
      <c r="CC99" s="100" t="str">
        <f t="shared" si="16"/>
        <v/>
      </c>
      <c r="CD99" s="103" t="str">
        <f>IF($A99="","",IF(OR($CB99="?",$CC99="?"),"?",MIN($CB99*$CC99,'Technical Premium'!$C$17)))</f>
        <v/>
      </c>
      <c r="CE99" s="102" t="str">
        <f t="shared" si="17"/>
        <v/>
      </c>
      <c r="CF99" s="102" t="str">
        <f>IF($A99="","",IFERROR(INDEX('Territory Factors'!$F$6:$F$56,MATCH($K99,'Territory Factors'!$B$6:$B$56,0)),"?"))</f>
        <v/>
      </c>
      <c r="CG99" s="100" t="str">
        <f>IF($A99="","",IFERROR(INDEX('Usage and Coverage'!$C$79:$C$84,MATCH($Y99,'Usage and Coverage'!$B$79:$B$84,0)),"?"))</f>
        <v/>
      </c>
      <c r="CH99" s="102" t="str">
        <f>IFERROR(IF(ISNUMBER($CD99),$CF99*$CG99*MIN($BG99*$BA99*$BC99*$BD99*$BH99*$BF99,'Technical Premium'!$C$17),""),"")</f>
        <v/>
      </c>
      <c r="CI99" s="102" t="str">
        <f t="shared" si="18"/>
        <v/>
      </c>
      <c r="CJ99" s="102" t="str">
        <f>IFERROR($CI99*(1+'Technical Premium'!$C$5)*(1+'Technical Premium'!$C$6),"")</f>
        <v/>
      </c>
      <c r="CK99" s="102" t="str">
        <f>IFERROR($CE99*INDEX('Territory Factors'!$G$6:$G$56,MATCH($K99,'Territory Factors'!$B$6:$B$56,0))*$AU99*$AV99,"")</f>
        <v/>
      </c>
      <c r="CL99" s="102" t="str">
        <f>IFERROR(($CJ99+$CK99)*(1+'Technical Premium'!$C$7),"")</f>
        <v/>
      </c>
      <c r="CM99" s="104" t="str">
        <f>IFERROR($CL99/'Technical Premium'!$C$13,"")</f>
        <v/>
      </c>
      <c r="CN99" s="105" t="str">
        <f t="shared" si="19"/>
        <v/>
      </c>
      <c r="CO99" s="104" t="str">
        <f t="shared" si="20"/>
        <v/>
      </c>
      <c r="CP99" s="105" t="str">
        <f t="shared" si="21"/>
        <v/>
      </c>
      <c r="CQ99" s="106" t="str">
        <f t="shared" si="22"/>
        <v/>
      </c>
      <c r="CR99" s="102" t="str">
        <f>IF(ISNUMBER($CM99),'Technical Premium'!$C$14+IF($J99&gt;=1000000,'Technical Premium'!$C$15,0),"")</f>
        <v/>
      </c>
      <c r="CS99" s="102" t="str">
        <f>IFERROR(($CO99+$CR99)*(INDEX('Territory Factors'!$K$6:$K$56,MATCH($K99,'Territory Factors'!$B$6:$B$56,0))+'Commission Structure'!$C$21),"")</f>
        <v/>
      </c>
      <c r="CT99" s="104" t="str">
        <f t="shared" si="23"/>
        <v/>
      </c>
      <c r="CU99" s="102" t="str">
        <f>IFERROR($CO99*('Commission Structure'!$C$6+'Commission Structure'!$C$7),"")</f>
        <v/>
      </c>
      <c r="CV99" s="102" t="str">
        <f>IFERROR($CO99*'Commission Structure'!$C$5-$CU99,"")</f>
        <v/>
      </c>
      <c r="CW99" s="102" t="str">
        <f>IFERROR($CO99*(1-'Commission Structure'!$C$5),"")</f>
        <v/>
      </c>
      <c r="CX99" s="107"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8" t="str">
        <f t="shared" si="24"/>
        <v/>
      </c>
      <c r="CZ99" s="99" t="str">
        <f>IF($CY99="","",IF($CY99&lt;'Technical Premium'!$C$19,"BEYOND AUTHORITY",IF($CY99&gt;0.005,"Above technical",IF($CY99&lt;-0.005,"BELOW technical","At technical"))))</f>
        <v/>
      </c>
      <c r="DA99" s="99"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4"/>
      <c r="DC99" s="94"/>
      <c r="DD99" s="95"/>
      <c r="DE99" s="94"/>
      <c r="DF99" s="94"/>
      <c r="DG99" s="99" t="str">
        <f t="shared" si="25"/>
        <v/>
      </c>
      <c r="DH99" s="99" t="str">
        <f>IF($A99="","",IF(OR($CX99="REFER",$CX99="DECLINE"),COUNTIF($CX$5:$CX99,"REFER")+COUNTIF($CX$5:$CX99,"DECLINE"),""))</f>
        <v/>
      </c>
      <c r="DI99" s="94"/>
    </row>
    <row r="100" spans="1:113" x14ac:dyDescent="0.35">
      <c r="A100" s="94"/>
      <c r="B100" s="94"/>
      <c r="C100" s="95"/>
      <c r="D100" s="95"/>
      <c r="E100" s="96"/>
      <c r="F100" s="94"/>
      <c r="G100" s="94"/>
      <c r="H100" s="94"/>
      <c r="I100" s="94"/>
      <c r="J100" s="97"/>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8"/>
      <c r="AR100" s="99" t="str">
        <f t="shared" si="13"/>
        <v/>
      </c>
      <c r="AS100" s="99" t="str">
        <f>IF($A100="","",IF($AP100&lt;&gt;"",$AP100,IFERROR(INDEX('Cat Zone by ZIP'!$D$6:$D$856,MATCH($AR100,'Cat Zone by ZIP'!$B$6:$B$856,0)),IFERROR(INDEX('Cat Zone by ZIP'!$C$860:$C$910,MATCH($K100,'Cat Zone by ZIP'!$B$860:$B$910,0)),"NOT FOUND"))))</f>
        <v/>
      </c>
      <c r="AT100" s="99" t="str">
        <f>IF($A100="","",IF($AP100&lt;&gt;"","Override",IF(ISNUMBER(MATCH($AR100,'Cat Zone by ZIP'!$B$6:$B$856,0)),"ZIP-3","State default")))</f>
        <v/>
      </c>
      <c r="AU100" s="100" t="str">
        <f>IF($A100="","",IFERROR(INDEX('Natural Catastrophe'!$D$6:$D$17,MATCH($AS100,'Natural Catastrophe'!$B$6:$B$17,0)),"?"))</f>
        <v/>
      </c>
      <c r="AV100" s="100" t="str">
        <f>IF($A100="","",IFERROR(INDEX('Natural Catastrophe'!$C$21:$C$26,MATCH($AA100,'Natural Catastrophe'!$B$21:$B$26,0)),"?"))</f>
        <v/>
      </c>
      <c r="AW100" s="99" t="str">
        <f>IF($A100="","",IFERROR(INDEX('Base Rates'!$C$4:$I$4,MATCH(MAX($J100,'Technical Premium'!$C$18),'Base Rates'!$C$3:$I$3,1)),"?"))</f>
        <v/>
      </c>
      <c r="AX100" s="101" t="str">
        <f>IF($A100="","",IFERROR(INDEX('Base Rates'!$C$5:$I$16,MATCH($I100,'Base Rates'!$B$5:$B$16,0),MATCH(MAX($J100,'Technical Premium'!$C$18),'Base Rates'!$C$3:$I$3,1)),"?"))</f>
        <v/>
      </c>
      <c r="AY100" s="102" t="str">
        <f t="shared" si="14"/>
        <v/>
      </c>
      <c r="AZ100" s="99" t="str">
        <f>IF($A100="","",IFERROR(INDEX('Make Factors'!$G$5:$G$69,MATCH($F100,'Make Factors'!$B$5:$B$69,0)),"?"))</f>
        <v/>
      </c>
      <c r="BA100" s="99" t="str">
        <f>IF($A100="","",IFERROR(INDEX('Driver Factors'!$C$6:$C$15,MATCH($R100,'Driver Factors'!$B$6:$B$15,0)),"?"))</f>
        <v/>
      </c>
      <c r="BB100" s="99" t="str">
        <f>IF($A100="","",IFERROR(INDEX('Driver Factors'!$C$19:$C$24,MATCH($S100,'Driver Factors'!$B$19:$B$24,0)),"?"))</f>
        <v/>
      </c>
      <c r="BC100" s="99" t="str">
        <f>IF($A100="","",IFERROR(INDEX('Driver Factors'!$C$28:$C$36,MATCH($T100,'Driver Factors'!$B$28:$B$36,0)),"?"))</f>
        <v/>
      </c>
      <c r="BD100" s="99" t="str">
        <f>IF($A100="","",IFERROR(INDEX('Claims History'!$C$6:$C$15,MATCH($U100,'Claims History'!$B$6:$B$15,0)),"?"))</f>
        <v/>
      </c>
      <c r="BE100" s="99" t="str">
        <f>IF($A100="","",IFERROR(INDEX('Territory Factors'!$E$6:$E$56,MATCH($K100,'Territory Factors'!$B$6:$B$56,0)),"?"))</f>
        <v/>
      </c>
      <c r="BF100" s="99" t="str">
        <f>IF($A100="","",IFERROR(INDEX('City Accident Ratings'!$G$6:$G$54,MATCH($Z100,'City Accident Ratings'!$B$6:$B$54,0)),"?"))</f>
        <v/>
      </c>
      <c r="BG100" s="99" t="str">
        <f>IF($A100="","",IFERROR(INDEX('Usage and Coverage'!$D$6:$D$20,MATCH($N100,'Usage and Coverage'!$C$6:$C$20,0)),"?"))</f>
        <v/>
      </c>
      <c r="BH100" s="99" t="str">
        <f>IF($A100="","",IFERROR(INDEX('Usage and Coverage'!$C$24:$C$30,MATCH($O100,'Usage and Coverage'!$B$24:$B$30,0)),"?"))</f>
        <v/>
      </c>
      <c r="BI100" s="99" t="str">
        <f>IF($A100="","",IFERROR(INDEX('Usage and Coverage'!$C$34:$C$40,MATCH($P100,'Usage and Coverage'!$B$34:$B$40,0)),"?"))</f>
        <v/>
      </c>
      <c r="BJ100" s="99" t="str">
        <f>IF($A100="","",IFERROR(INDEX('Usage and Coverage'!$C$44:$C$49,MATCH($Q100,'Usage and Coverage'!$B$44:$B$49,0)),"?"))</f>
        <v/>
      </c>
      <c r="BK100" s="99" t="str">
        <f>IF($A100="","",IFERROR(INDEX(Deductibles!$C$6:$I$15,MATCH($W100,Deductibles!$B$6:$B$15,0),MATCH(MAX($J100,'Technical Premium'!$C$18),'Base Rates'!$C$3:$I$3,1)),"?"))</f>
        <v/>
      </c>
      <c r="BL100" s="99" t="str">
        <f>IF($A100="","",IFERROR(INDEX('Usage and Coverage'!$C$63:$C$66,MATCH($X100,'Usage and Coverage'!$B$63:$B$66,0)),"?"))</f>
        <v/>
      </c>
      <c r="BM100" s="99" t="str">
        <f>IF($A100="","",IFERROR(INDEX('Usage and Coverage'!$C$70:$C$75,MATCH($V100,'Usage and Coverage'!$B$70:$B$75,0)),"?"))</f>
        <v/>
      </c>
      <c r="BN100" s="99" t="str">
        <f>IF($A100="","",IF($AB100="",1,IFERROR(INDEX(Deductibles!$C$48:$C$51,MATCH($AB100,Deductibles!$B$48:$B$51,0)),"?")))</f>
        <v/>
      </c>
      <c r="BO100" s="99" t="str">
        <f>IF($A100="","",IF($AC100="",1,IFERROR(INDEX(Deductibles!$C$55:$C$57,MATCH($AC100,Deductibles!$B$55:$B$57,0)),"?")))</f>
        <v/>
      </c>
      <c r="BP100" s="99" t="str">
        <f>IF($A100="","",IF($AD100="",1,IFERROR(INDEX(Deductibles!$C$61:$C$63,MATCH($AD100,Deductibles!$B$61:$B$63,0)),"?")))</f>
        <v/>
      </c>
      <c r="BQ100" s="99" t="str">
        <f>IF($A100="","",IF($AE100="",1,IFERROR(INDEX(Deductibles!$C$67:$C$69,MATCH($AE100,Deductibles!$B$67:$B$69,0)),"?")))</f>
        <v/>
      </c>
      <c r="BR100" s="99" t="str">
        <f>IF($A100="","",IF($AF100="",1,IFERROR(INDEX(Deductibles!$C$73:$C$74,MATCH($AF100,Deductibles!$B$73:$B$74,0)),"?")))</f>
        <v/>
      </c>
      <c r="BS100" s="99" t="str">
        <f>IF($A100="","",IF($AG100="",1,IFERROR(INDEX('Sublimits and Parts'!$C$49:$C$52,MATCH($AG100,'Sublimits and Parts'!$B$49:$B$52,0)),"?")))</f>
        <v/>
      </c>
      <c r="BT100" s="99" t="str">
        <f>IF($A100="","",IF($AH100="",1,IFERROR(INDEX('Sublimits and Parts'!$C$56:$C$60,MATCH($AH100,'Sublimits and Parts'!$B$56:$B$60,0)),"?")))</f>
        <v/>
      </c>
      <c r="BU100" s="99" t="str">
        <f>IF($A100="","",IF($AI100="",1,IFERROR(INDEX('Sublimits and Parts'!$C$64:$C$67,MATCH($AI100,'Sublimits and Parts'!$B$64:$B$67,0)),"?")))</f>
        <v/>
      </c>
      <c r="BV100" s="99" t="str">
        <f>IF($A100="","",IF($AJ100="",1,IFERROR(INDEX('Sublimits and Parts'!$C$71:$C$74,MATCH($AJ100,'Sublimits and Parts'!$B$71:$B$74,0)),"?")))</f>
        <v/>
      </c>
      <c r="BW100" s="99" t="str">
        <f>IF($A100="","",IF($AK100="",1,IFERROR(INDEX('Sublimits and Parts'!$C$78:$C$80,MATCH($AK100,'Sublimits and Parts'!$B$78:$B$80,0)),"?")))</f>
        <v/>
      </c>
      <c r="BX100" s="99" t="str">
        <f>IF($A100="","",IF($AL100="",1,IFERROR(INDEX('Sublimits and Parts'!$C$84:$C$87,MATCH($AL100,'Sublimits and Parts'!$B$84:$B$87,0)),"?")))</f>
        <v/>
      </c>
      <c r="BY100" s="99" t="str">
        <f>IF($A100="","",IF($AM100="",1,IFERROR(INDEX('Sublimits and Parts'!$C$91:$C$94,MATCH($AM100,'Sublimits and Parts'!$B$91:$B$94,0)),"?")))</f>
        <v/>
      </c>
      <c r="BZ100" s="99" t="str">
        <f>IF($A100="","",IF($AN100="",1,IFERROR(INDEX('Sublimits and Parts'!$C$98:$C$101,MATCH($AN100,'Sublimits and Parts'!$B$98:$B$101,0)),"?")))</f>
        <v/>
      </c>
      <c r="CA100" s="99" t="str">
        <f>IF($A100="","",IF($AO100="",1,IFERROR(INDEX('Sublimits and Parts'!$C$105:$C$109,MATCH($AO100,'Sublimits and Parts'!$B$105:$B$109,0)),"?")))</f>
        <v/>
      </c>
      <c r="CB100" s="100" t="str">
        <f t="shared" si="15"/>
        <v/>
      </c>
      <c r="CC100" s="100" t="str">
        <f t="shared" si="16"/>
        <v/>
      </c>
      <c r="CD100" s="103" t="str">
        <f>IF($A100="","",IF(OR($CB100="?",$CC100="?"),"?",MIN($CB100*$CC100,'Technical Premium'!$C$17)))</f>
        <v/>
      </c>
      <c r="CE100" s="102" t="str">
        <f t="shared" si="17"/>
        <v/>
      </c>
      <c r="CF100" s="102" t="str">
        <f>IF($A100="","",IFERROR(INDEX('Territory Factors'!$F$6:$F$56,MATCH($K100,'Territory Factors'!$B$6:$B$56,0)),"?"))</f>
        <v/>
      </c>
      <c r="CG100" s="100" t="str">
        <f>IF($A100="","",IFERROR(INDEX('Usage and Coverage'!$C$79:$C$84,MATCH($Y100,'Usage and Coverage'!$B$79:$B$84,0)),"?"))</f>
        <v/>
      </c>
      <c r="CH100" s="102" t="str">
        <f>IFERROR(IF(ISNUMBER($CD100),$CF100*$CG100*MIN($BG100*$BA100*$BC100*$BD100*$BH100*$BF100,'Technical Premium'!$C$17),""),"")</f>
        <v/>
      </c>
      <c r="CI100" s="102" t="str">
        <f t="shared" si="18"/>
        <v/>
      </c>
      <c r="CJ100" s="102" t="str">
        <f>IFERROR($CI100*(1+'Technical Premium'!$C$5)*(1+'Technical Premium'!$C$6),"")</f>
        <v/>
      </c>
      <c r="CK100" s="102" t="str">
        <f>IFERROR($CE100*INDEX('Territory Factors'!$G$6:$G$56,MATCH($K100,'Territory Factors'!$B$6:$B$56,0))*$AU100*$AV100,"")</f>
        <v/>
      </c>
      <c r="CL100" s="102" t="str">
        <f>IFERROR(($CJ100+$CK100)*(1+'Technical Premium'!$C$7),"")</f>
        <v/>
      </c>
      <c r="CM100" s="104" t="str">
        <f>IFERROR($CL100/'Technical Premium'!$C$13,"")</f>
        <v/>
      </c>
      <c r="CN100" s="105" t="str">
        <f t="shared" si="19"/>
        <v/>
      </c>
      <c r="CO100" s="104" t="str">
        <f t="shared" si="20"/>
        <v/>
      </c>
      <c r="CP100" s="105" t="str">
        <f t="shared" si="21"/>
        <v/>
      </c>
      <c r="CQ100" s="106" t="str">
        <f t="shared" si="22"/>
        <v/>
      </c>
      <c r="CR100" s="102" t="str">
        <f>IF(ISNUMBER($CM100),'Technical Premium'!$C$14+IF($J100&gt;=1000000,'Technical Premium'!$C$15,0),"")</f>
        <v/>
      </c>
      <c r="CS100" s="102" t="str">
        <f>IFERROR(($CO100+$CR100)*(INDEX('Territory Factors'!$K$6:$K$56,MATCH($K100,'Territory Factors'!$B$6:$B$56,0))+'Commission Structure'!$C$21),"")</f>
        <v/>
      </c>
      <c r="CT100" s="104" t="str">
        <f t="shared" si="23"/>
        <v/>
      </c>
      <c r="CU100" s="102" t="str">
        <f>IFERROR($CO100*('Commission Structure'!$C$6+'Commission Structure'!$C$7),"")</f>
        <v/>
      </c>
      <c r="CV100" s="102" t="str">
        <f>IFERROR($CO100*'Commission Structure'!$C$5-$CU100,"")</f>
        <v/>
      </c>
      <c r="CW100" s="102" t="str">
        <f>IFERROR($CO100*(1-'Commission Structure'!$C$5),"")</f>
        <v/>
      </c>
      <c r="CX100" s="107"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8" t="str">
        <f t="shared" si="24"/>
        <v/>
      </c>
      <c r="CZ100" s="99" t="str">
        <f>IF($CY100="","",IF($CY100&lt;'Technical Premium'!$C$19,"BEYOND AUTHORITY",IF($CY100&gt;0.005,"Above technical",IF($CY100&lt;-0.005,"BELOW technical","At technical"))))</f>
        <v/>
      </c>
      <c r="DA100" s="99"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4"/>
      <c r="DC100" s="94"/>
      <c r="DD100" s="95"/>
      <c r="DE100" s="94"/>
      <c r="DF100" s="94"/>
      <c r="DG100" s="99" t="str">
        <f t="shared" si="25"/>
        <v/>
      </c>
      <c r="DH100" s="99" t="str">
        <f>IF($A100="","",IF(OR($CX100="REFER",$CX100="DECLINE"),COUNTIF($CX$5:$CX100,"REFER")+COUNTIF($CX$5:$CX100,"DECLINE"),""))</f>
        <v/>
      </c>
      <c r="DI100" s="94"/>
    </row>
    <row r="101" spans="1:113" x14ac:dyDescent="0.35">
      <c r="A101" s="94"/>
      <c r="B101" s="94"/>
      <c r="C101" s="95"/>
      <c r="D101" s="95"/>
      <c r="E101" s="96"/>
      <c r="F101" s="94"/>
      <c r="G101" s="94"/>
      <c r="H101" s="94"/>
      <c r="I101" s="94"/>
      <c r="J101" s="97"/>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8"/>
      <c r="AR101" s="99" t="str">
        <f t="shared" si="13"/>
        <v/>
      </c>
      <c r="AS101" s="99" t="str">
        <f>IF($A101="","",IF($AP101&lt;&gt;"",$AP101,IFERROR(INDEX('Cat Zone by ZIP'!$D$6:$D$856,MATCH($AR101,'Cat Zone by ZIP'!$B$6:$B$856,0)),IFERROR(INDEX('Cat Zone by ZIP'!$C$860:$C$910,MATCH($K101,'Cat Zone by ZIP'!$B$860:$B$910,0)),"NOT FOUND"))))</f>
        <v/>
      </c>
      <c r="AT101" s="99" t="str">
        <f>IF($A101="","",IF($AP101&lt;&gt;"","Override",IF(ISNUMBER(MATCH($AR101,'Cat Zone by ZIP'!$B$6:$B$856,0)),"ZIP-3","State default")))</f>
        <v/>
      </c>
      <c r="AU101" s="100" t="str">
        <f>IF($A101="","",IFERROR(INDEX('Natural Catastrophe'!$D$6:$D$17,MATCH($AS101,'Natural Catastrophe'!$B$6:$B$17,0)),"?"))</f>
        <v/>
      </c>
      <c r="AV101" s="100" t="str">
        <f>IF($A101="","",IFERROR(INDEX('Natural Catastrophe'!$C$21:$C$26,MATCH($AA101,'Natural Catastrophe'!$B$21:$B$26,0)),"?"))</f>
        <v/>
      </c>
      <c r="AW101" s="99" t="str">
        <f>IF($A101="","",IFERROR(INDEX('Base Rates'!$C$4:$I$4,MATCH(MAX($J101,'Technical Premium'!$C$18),'Base Rates'!$C$3:$I$3,1)),"?"))</f>
        <v/>
      </c>
      <c r="AX101" s="101" t="str">
        <f>IF($A101="","",IFERROR(INDEX('Base Rates'!$C$5:$I$16,MATCH($I101,'Base Rates'!$B$5:$B$16,0),MATCH(MAX($J101,'Technical Premium'!$C$18),'Base Rates'!$C$3:$I$3,1)),"?"))</f>
        <v/>
      </c>
      <c r="AY101" s="102" t="str">
        <f t="shared" si="14"/>
        <v/>
      </c>
      <c r="AZ101" s="99" t="str">
        <f>IF($A101="","",IFERROR(INDEX('Make Factors'!$G$5:$G$69,MATCH($F101,'Make Factors'!$B$5:$B$69,0)),"?"))</f>
        <v/>
      </c>
      <c r="BA101" s="99" t="str">
        <f>IF($A101="","",IFERROR(INDEX('Driver Factors'!$C$6:$C$15,MATCH($R101,'Driver Factors'!$B$6:$B$15,0)),"?"))</f>
        <v/>
      </c>
      <c r="BB101" s="99" t="str">
        <f>IF($A101="","",IFERROR(INDEX('Driver Factors'!$C$19:$C$24,MATCH($S101,'Driver Factors'!$B$19:$B$24,0)),"?"))</f>
        <v/>
      </c>
      <c r="BC101" s="99" t="str">
        <f>IF($A101="","",IFERROR(INDEX('Driver Factors'!$C$28:$C$36,MATCH($T101,'Driver Factors'!$B$28:$B$36,0)),"?"))</f>
        <v/>
      </c>
      <c r="BD101" s="99" t="str">
        <f>IF($A101="","",IFERROR(INDEX('Claims History'!$C$6:$C$15,MATCH($U101,'Claims History'!$B$6:$B$15,0)),"?"))</f>
        <v/>
      </c>
      <c r="BE101" s="99" t="str">
        <f>IF($A101="","",IFERROR(INDEX('Territory Factors'!$E$6:$E$56,MATCH($K101,'Territory Factors'!$B$6:$B$56,0)),"?"))</f>
        <v/>
      </c>
      <c r="BF101" s="99" t="str">
        <f>IF($A101="","",IFERROR(INDEX('City Accident Ratings'!$G$6:$G$54,MATCH($Z101,'City Accident Ratings'!$B$6:$B$54,0)),"?"))</f>
        <v/>
      </c>
      <c r="BG101" s="99" t="str">
        <f>IF($A101="","",IFERROR(INDEX('Usage and Coverage'!$D$6:$D$20,MATCH($N101,'Usage and Coverage'!$C$6:$C$20,0)),"?"))</f>
        <v/>
      </c>
      <c r="BH101" s="99" t="str">
        <f>IF($A101="","",IFERROR(INDEX('Usage and Coverage'!$C$24:$C$30,MATCH($O101,'Usage and Coverage'!$B$24:$B$30,0)),"?"))</f>
        <v/>
      </c>
      <c r="BI101" s="99" t="str">
        <f>IF($A101="","",IFERROR(INDEX('Usage and Coverage'!$C$34:$C$40,MATCH($P101,'Usage and Coverage'!$B$34:$B$40,0)),"?"))</f>
        <v/>
      </c>
      <c r="BJ101" s="99" t="str">
        <f>IF($A101="","",IFERROR(INDEX('Usage and Coverage'!$C$44:$C$49,MATCH($Q101,'Usage and Coverage'!$B$44:$B$49,0)),"?"))</f>
        <v/>
      </c>
      <c r="BK101" s="99" t="str">
        <f>IF($A101="","",IFERROR(INDEX(Deductibles!$C$6:$I$15,MATCH($W101,Deductibles!$B$6:$B$15,0),MATCH(MAX($J101,'Technical Premium'!$C$18),'Base Rates'!$C$3:$I$3,1)),"?"))</f>
        <v/>
      </c>
      <c r="BL101" s="99" t="str">
        <f>IF($A101="","",IFERROR(INDEX('Usage and Coverage'!$C$63:$C$66,MATCH($X101,'Usage and Coverage'!$B$63:$B$66,0)),"?"))</f>
        <v/>
      </c>
      <c r="BM101" s="99" t="str">
        <f>IF($A101="","",IFERROR(INDEX('Usage and Coverage'!$C$70:$C$75,MATCH($V101,'Usage and Coverage'!$B$70:$B$75,0)),"?"))</f>
        <v/>
      </c>
      <c r="BN101" s="99" t="str">
        <f>IF($A101="","",IF($AB101="",1,IFERROR(INDEX(Deductibles!$C$48:$C$51,MATCH($AB101,Deductibles!$B$48:$B$51,0)),"?")))</f>
        <v/>
      </c>
      <c r="BO101" s="99" t="str">
        <f>IF($A101="","",IF($AC101="",1,IFERROR(INDEX(Deductibles!$C$55:$C$57,MATCH($AC101,Deductibles!$B$55:$B$57,0)),"?")))</f>
        <v/>
      </c>
      <c r="BP101" s="99" t="str">
        <f>IF($A101="","",IF($AD101="",1,IFERROR(INDEX(Deductibles!$C$61:$C$63,MATCH($AD101,Deductibles!$B$61:$B$63,0)),"?")))</f>
        <v/>
      </c>
      <c r="BQ101" s="99" t="str">
        <f>IF($A101="","",IF($AE101="",1,IFERROR(INDEX(Deductibles!$C$67:$C$69,MATCH($AE101,Deductibles!$B$67:$B$69,0)),"?")))</f>
        <v/>
      </c>
      <c r="BR101" s="99" t="str">
        <f>IF($A101="","",IF($AF101="",1,IFERROR(INDEX(Deductibles!$C$73:$C$74,MATCH($AF101,Deductibles!$B$73:$B$74,0)),"?")))</f>
        <v/>
      </c>
      <c r="BS101" s="99" t="str">
        <f>IF($A101="","",IF($AG101="",1,IFERROR(INDEX('Sublimits and Parts'!$C$49:$C$52,MATCH($AG101,'Sublimits and Parts'!$B$49:$B$52,0)),"?")))</f>
        <v/>
      </c>
      <c r="BT101" s="99" t="str">
        <f>IF($A101="","",IF($AH101="",1,IFERROR(INDEX('Sublimits and Parts'!$C$56:$C$60,MATCH($AH101,'Sublimits and Parts'!$B$56:$B$60,0)),"?")))</f>
        <v/>
      </c>
      <c r="BU101" s="99" t="str">
        <f>IF($A101="","",IF($AI101="",1,IFERROR(INDEX('Sublimits and Parts'!$C$64:$C$67,MATCH($AI101,'Sublimits and Parts'!$B$64:$B$67,0)),"?")))</f>
        <v/>
      </c>
      <c r="BV101" s="99" t="str">
        <f>IF($A101="","",IF($AJ101="",1,IFERROR(INDEX('Sublimits and Parts'!$C$71:$C$74,MATCH($AJ101,'Sublimits and Parts'!$B$71:$B$74,0)),"?")))</f>
        <v/>
      </c>
      <c r="BW101" s="99" t="str">
        <f>IF($A101="","",IF($AK101="",1,IFERROR(INDEX('Sublimits and Parts'!$C$78:$C$80,MATCH($AK101,'Sublimits and Parts'!$B$78:$B$80,0)),"?")))</f>
        <v/>
      </c>
      <c r="BX101" s="99" t="str">
        <f>IF($A101="","",IF($AL101="",1,IFERROR(INDEX('Sublimits and Parts'!$C$84:$C$87,MATCH($AL101,'Sublimits and Parts'!$B$84:$B$87,0)),"?")))</f>
        <v/>
      </c>
      <c r="BY101" s="99" t="str">
        <f>IF($A101="","",IF($AM101="",1,IFERROR(INDEX('Sublimits and Parts'!$C$91:$C$94,MATCH($AM101,'Sublimits and Parts'!$B$91:$B$94,0)),"?")))</f>
        <v/>
      </c>
      <c r="BZ101" s="99" t="str">
        <f>IF($A101="","",IF($AN101="",1,IFERROR(INDEX('Sublimits and Parts'!$C$98:$C$101,MATCH($AN101,'Sublimits and Parts'!$B$98:$B$101,0)),"?")))</f>
        <v/>
      </c>
      <c r="CA101" s="99" t="str">
        <f>IF($A101="","",IF($AO101="",1,IFERROR(INDEX('Sublimits and Parts'!$C$105:$C$109,MATCH($AO101,'Sublimits and Parts'!$B$105:$B$109,0)),"?")))</f>
        <v/>
      </c>
      <c r="CB101" s="100" t="str">
        <f t="shared" si="15"/>
        <v/>
      </c>
      <c r="CC101" s="100" t="str">
        <f t="shared" si="16"/>
        <v/>
      </c>
      <c r="CD101" s="103" t="str">
        <f>IF($A101="","",IF(OR($CB101="?",$CC101="?"),"?",MIN($CB101*$CC101,'Technical Premium'!$C$17)))</f>
        <v/>
      </c>
      <c r="CE101" s="102" t="str">
        <f t="shared" si="17"/>
        <v/>
      </c>
      <c r="CF101" s="102" t="str">
        <f>IF($A101="","",IFERROR(INDEX('Territory Factors'!$F$6:$F$56,MATCH($K101,'Territory Factors'!$B$6:$B$56,0)),"?"))</f>
        <v/>
      </c>
      <c r="CG101" s="100" t="str">
        <f>IF($A101="","",IFERROR(INDEX('Usage and Coverage'!$C$79:$C$84,MATCH($Y101,'Usage and Coverage'!$B$79:$B$84,0)),"?"))</f>
        <v/>
      </c>
      <c r="CH101" s="102" t="str">
        <f>IFERROR(IF(ISNUMBER($CD101),$CF101*$CG101*MIN($BG101*$BA101*$BC101*$BD101*$BH101*$BF101,'Technical Premium'!$C$17),""),"")</f>
        <v/>
      </c>
      <c r="CI101" s="102" t="str">
        <f t="shared" si="18"/>
        <v/>
      </c>
      <c r="CJ101" s="102" t="str">
        <f>IFERROR($CI101*(1+'Technical Premium'!$C$5)*(1+'Technical Premium'!$C$6),"")</f>
        <v/>
      </c>
      <c r="CK101" s="102" t="str">
        <f>IFERROR($CE101*INDEX('Territory Factors'!$G$6:$G$56,MATCH($K101,'Territory Factors'!$B$6:$B$56,0))*$AU101*$AV101,"")</f>
        <v/>
      </c>
      <c r="CL101" s="102" t="str">
        <f>IFERROR(($CJ101+$CK101)*(1+'Technical Premium'!$C$7),"")</f>
        <v/>
      </c>
      <c r="CM101" s="104" t="str">
        <f>IFERROR($CL101/'Technical Premium'!$C$13,"")</f>
        <v/>
      </c>
      <c r="CN101" s="105" t="str">
        <f t="shared" si="19"/>
        <v/>
      </c>
      <c r="CO101" s="104" t="str">
        <f t="shared" si="20"/>
        <v/>
      </c>
      <c r="CP101" s="105" t="str">
        <f t="shared" si="21"/>
        <v/>
      </c>
      <c r="CQ101" s="106" t="str">
        <f t="shared" si="22"/>
        <v/>
      </c>
      <c r="CR101" s="102" t="str">
        <f>IF(ISNUMBER($CM101),'Technical Premium'!$C$14+IF($J101&gt;=1000000,'Technical Premium'!$C$15,0),"")</f>
        <v/>
      </c>
      <c r="CS101" s="102" t="str">
        <f>IFERROR(($CO101+$CR101)*(INDEX('Territory Factors'!$K$6:$K$56,MATCH($K101,'Territory Factors'!$B$6:$B$56,0))+'Commission Structure'!$C$21),"")</f>
        <v/>
      </c>
      <c r="CT101" s="104" t="str">
        <f t="shared" si="23"/>
        <v/>
      </c>
      <c r="CU101" s="102" t="str">
        <f>IFERROR($CO101*('Commission Structure'!$C$6+'Commission Structure'!$C$7),"")</f>
        <v/>
      </c>
      <c r="CV101" s="102" t="str">
        <f>IFERROR($CO101*'Commission Structure'!$C$5-$CU101,"")</f>
        <v/>
      </c>
      <c r="CW101" s="102" t="str">
        <f>IFERROR($CO101*(1-'Commission Structure'!$C$5),"")</f>
        <v/>
      </c>
      <c r="CX101" s="107"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8" t="str">
        <f t="shared" si="24"/>
        <v/>
      </c>
      <c r="CZ101" s="99" t="str">
        <f>IF($CY101="","",IF($CY101&lt;'Technical Premium'!$C$19,"BEYOND AUTHORITY",IF($CY101&gt;0.005,"Above technical",IF($CY101&lt;-0.005,"BELOW technical","At technical"))))</f>
        <v/>
      </c>
      <c r="DA101" s="99"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4"/>
      <c r="DC101" s="94"/>
      <c r="DD101" s="95"/>
      <c r="DE101" s="94"/>
      <c r="DF101" s="94"/>
      <c r="DG101" s="99" t="str">
        <f t="shared" si="25"/>
        <v/>
      </c>
      <c r="DH101" s="99" t="str">
        <f>IF($A101="","",IF(OR($CX101="REFER",$CX101="DECLINE"),COUNTIF($CX$5:$CX101,"REFER")+COUNTIF($CX$5:$CX101,"DECLINE"),""))</f>
        <v/>
      </c>
      <c r="DI101" s="94"/>
    </row>
    <row r="102" spans="1:113" x14ac:dyDescent="0.35">
      <c r="A102" s="94"/>
      <c r="B102" s="94"/>
      <c r="C102" s="95"/>
      <c r="D102" s="95"/>
      <c r="E102" s="96"/>
      <c r="F102" s="94"/>
      <c r="G102" s="94"/>
      <c r="H102" s="94"/>
      <c r="I102" s="94"/>
      <c r="J102" s="97"/>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8"/>
      <c r="AR102" s="99" t="str">
        <f t="shared" si="13"/>
        <v/>
      </c>
      <c r="AS102" s="99" t="str">
        <f>IF($A102="","",IF($AP102&lt;&gt;"",$AP102,IFERROR(INDEX('Cat Zone by ZIP'!$D$6:$D$856,MATCH($AR102,'Cat Zone by ZIP'!$B$6:$B$856,0)),IFERROR(INDEX('Cat Zone by ZIP'!$C$860:$C$910,MATCH($K102,'Cat Zone by ZIP'!$B$860:$B$910,0)),"NOT FOUND"))))</f>
        <v/>
      </c>
      <c r="AT102" s="99" t="str">
        <f>IF($A102="","",IF($AP102&lt;&gt;"","Override",IF(ISNUMBER(MATCH($AR102,'Cat Zone by ZIP'!$B$6:$B$856,0)),"ZIP-3","State default")))</f>
        <v/>
      </c>
      <c r="AU102" s="100" t="str">
        <f>IF($A102="","",IFERROR(INDEX('Natural Catastrophe'!$D$6:$D$17,MATCH($AS102,'Natural Catastrophe'!$B$6:$B$17,0)),"?"))</f>
        <v/>
      </c>
      <c r="AV102" s="100" t="str">
        <f>IF($A102="","",IFERROR(INDEX('Natural Catastrophe'!$C$21:$C$26,MATCH($AA102,'Natural Catastrophe'!$B$21:$B$26,0)),"?"))</f>
        <v/>
      </c>
      <c r="AW102" s="99" t="str">
        <f>IF($A102="","",IFERROR(INDEX('Base Rates'!$C$4:$I$4,MATCH(MAX($J102,'Technical Premium'!$C$18),'Base Rates'!$C$3:$I$3,1)),"?"))</f>
        <v/>
      </c>
      <c r="AX102" s="101" t="str">
        <f>IF($A102="","",IFERROR(INDEX('Base Rates'!$C$5:$I$16,MATCH($I102,'Base Rates'!$B$5:$B$16,0),MATCH(MAX($J102,'Technical Premium'!$C$18),'Base Rates'!$C$3:$I$3,1)),"?"))</f>
        <v/>
      </c>
      <c r="AY102" s="102" t="str">
        <f t="shared" si="14"/>
        <v/>
      </c>
      <c r="AZ102" s="99" t="str">
        <f>IF($A102="","",IFERROR(INDEX('Make Factors'!$G$5:$G$69,MATCH($F102,'Make Factors'!$B$5:$B$69,0)),"?"))</f>
        <v/>
      </c>
      <c r="BA102" s="99" t="str">
        <f>IF($A102="","",IFERROR(INDEX('Driver Factors'!$C$6:$C$15,MATCH($R102,'Driver Factors'!$B$6:$B$15,0)),"?"))</f>
        <v/>
      </c>
      <c r="BB102" s="99" t="str">
        <f>IF($A102="","",IFERROR(INDEX('Driver Factors'!$C$19:$C$24,MATCH($S102,'Driver Factors'!$B$19:$B$24,0)),"?"))</f>
        <v/>
      </c>
      <c r="BC102" s="99" t="str">
        <f>IF($A102="","",IFERROR(INDEX('Driver Factors'!$C$28:$C$36,MATCH($T102,'Driver Factors'!$B$28:$B$36,0)),"?"))</f>
        <v/>
      </c>
      <c r="BD102" s="99" t="str">
        <f>IF($A102="","",IFERROR(INDEX('Claims History'!$C$6:$C$15,MATCH($U102,'Claims History'!$B$6:$B$15,0)),"?"))</f>
        <v/>
      </c>
      <c r="BE102" s="99" t="str">
        <f>IF($A102="","",IFERROR(INDEX('Territory Factors'!$E$6:$E$56,MATCH($K102,'Territory Factors'!$B$6:$B$56,0)),"?"))</f>
        <v/>
      </c>
      <c r="BF102" s="99" t="str">
        <f>IF($A102="","",IFERROR(INDEX('City Accident Ratings'!$G$6:$G$54,MATCH($Z102,'City Accident Ratings'!$B$6:$B$54,0)),"?"))</f>
        <v/>
      </c>
      <c r="BG102" s="99" t="str">
        <f>IF($A102="","",IFERROR(INDEX('Usage and Coverage'!$D$6:$D$20,MATCH($N102,'Usage and Coverage'!$C$6:$C$20,0)),"?"))</f>
        <v/>
      </c>
      <c r="BH102" s="99" t="str">
        <f>IF($A102="","",IFERROR(INDEX('Usage and Coverage'!$C$24:$C$30,MATCH($O102,'Usage and Coverage'!$B$24:$B$30,0)),"?"))</f>
        <v/>
      </c>
      <c r="BI102" s="99" t="str">
        <f>IF($A102="","",IFERROR(INDEX('Usage and Coverage'!$C$34:$C$40,MATCH($P102,'Usage and Coverage'!$B$34:$B$40,0)),"?"))</f>
        <v/>
      </c>
      <c r="BJ102" s="99" t="str">
        <f>IF($A102="","",IFERROR(INDEX('Usage and Coverage'!$C$44:$C$49,MATCH($Q102,'Usage and Coverage'!$B$44:$B$49,0)),"?"))</f>
        <v/>
      </c>
      <c r="BK102" s="99" t="str">
        <f>IF($A102="","",IFERROR(INDEX(Deductibles!$C$6:$I$15,MATCH($W102,Deductibles!$B$6:$B$15,0),MATCH(MAX($J102,'Technical Premium'!$C$18),'Base Rates'!$C$3:$I$3,1)),"?"))</f>
        <v/>
      </c>
      <c r="BL102" s="99" t="str">
        <f>IF($A102="","",IFERROR(INDEX('Usage and Coverage'!$C$63:$C$66,MATCH($X102,'Usage and Coverage'!$B$63:$B$66,0)),"?"))</f>
        <v/>
      </c>
      <c r="BM102" s="99" t="str">
        <f>IF($A102="","",IFERROR(INDEX('Usage and Coverage'!$C$70:$C$75,MATCH($V102,'Usage and Coverage'!$B$70:$B$75,0)),"?"))</f>
        <v/>
      </c>
      <c r="BN102" s="99" t="str">
        <f>IF($A102="","",IF($AB102="",1,IFERROR(INDEX(Deductibles!$C$48:$C$51,MATCH($AB102,Deductibles!$B$48:$B$51,0)),"?")))</f>
        <v/>
      </c>
      <c r="BO102" s="99" t="str">
        <f>IF($A102="","",IF($AC102="",1,IFERROR(INDEX(Deductibles!$C$55:$C$57,MATCH($AC102,Deductibles!$B$55:$B$57,0)),"?")))</f>
        <v/>
      </c>
      <c r="BP102" s="99" t="str">
        <f>IF($A102="","",IF($AD102="",1,IFERROR(INDEX(Deductibles!$C$61:$C$63,MATCH($AD102,Deductibles!$B$61:$B$63,0)),"?")))</f>
        <v/>
      </c>
      <c r="BQ102" s="99" t="str">
        <f>IF($A102="","",IF($AE102="",1,IFERROR(INDEX(Deductibles!$C$67:$C$69,MATCH($AE102,Deductibles!$B$67:$B$69,0)),"?")))</f>
        <v/>
      </c>
      <c r="BR102" s="99" t="str">
        <f>IF($A102="","",IF($AF102="",1,IFERROR(INDEX(Deductibles!$C$73:$C$74,MATCH($AF102,Deductibles!$B$73:$B$74,0)),"?")))</f>
        <v/>
      </c>
      <c r="BS102" s="99" t="str">
        <f>IF($A102="","",IF($AG102="",1,IFERROR(INDEX('Sublimits and Parts'!$C$49:$C$52,MATCH($AG102,'Sublimits and Parts'!$B$49:$B$52,0)),"?")))</f>
        <v/>
      </c>
      <c r="BT102" s="99" t="str">
        <f>IF($A102="","",IF($AH102="",1,IFERROR(INDEX('Sublimits and Parts'!$C$56:$C$60,MATCH($AH102,'Sublimits and Parts'!$B$56:$B$60,0)),"?")))</f>
        <v/>
      </c>
      <c r="BU102" s="99" t="str">
        <f>IF($A102="","",IF($AI102="",1,IFERROR(INDEX('Sublimits and Parts'!$C$64:$C$67,MATCH($AI102,'Sublimits and Parts'!$B$64:$B$67,0)),"?")))</f>
        <v/>
      </c>
      <c r="BV102" s="99" t="str">
        <f>IF($A102="","",IF($AJ102="",1,IFERROR(INDEX('Sublimits and Parts'!$C$71:$C$74,MATCH($AJ102,'Sublimits and Parts'!$B$71:$B$74,0)),"?")))</f>
        <v/>
      </c>
      <c r="BW102" s="99" t="str">
        <f>IF($A102="","",IF($AK102="",1,IFERROR(INDEX('Sublimits and Parts'!$C$78:$C$80,MATCH($AK102,'Sublimits and Parts'!$B$78:$B$80,0)),"?")))</f>
        <v/>
      </c>
      <c r="BX102" s="99" t="str">
        <f>IF($A102="","",IF($AL102="",1,IFERROR(INDEX('Sublimits and Parts'!$C$84:$C$87,MATCH($AL102,'Sublimits and Parts'!$B$84:$B$87,0)),"?")))</f>
        <v/>
      </c>
      <c r="BY102" s="99" t="str">
        <f>IF($A102="","",IF($AM102="",1,IFERROR(INDEX('Sublimits and Parts'!$C$91:$C$94,MATCH($AM102,'Sublimits and Parts'!$B$91:$B$94,0)),"?")))</f>
        <v/>
      </c>
      <c r="BZ102" s="99" t="str">
        <f>IF($A102="","",IF($AN102="",1,IFERROR(INDEX('Sublimits and Parts'!$C$98:$C$101,MATCH($AN102,'Sublimits and Parts'!$B$98:$B$101,0)),"?")))</f>
        <v/>
      </c>
      <c r="CA102" s="99" t="str">
        <f>IF($A102="","",IF($AO102="",1,IFERROR(INDEX('Sublimits and Parts'!$C$105:$C$109,MATCH($AO102,'Sublimits and Parts'!$B$105:$B$109,0)),"?")))</f>
        <v/>
      </c>
      <c r="CB102" s="100" t="str">
        <f t="shared" si="15"/>
        <v/>
      </c>
      <c r="CC102" s="100" t="str">
        <f t="shared" si="16"/>
        <v/>
      </c>
      <c r="CD102" s="103" t="str">
        <f>IF($A102="","",IF(OR($CB102="?",$CC102="?"),"?",MIN($CB102*$CC102,'Technical Premium'!$C$17)))</f>
        <v/>
      </c>
      <c r="CE102" s="102" t="str">
        <f t="shared" si="17"/>
        <v/>
      </c>
      <c r="CF102" s="102" t="str">
        <f>IF($A102="","",IFERROR(INDEX('Territory Factors'!$F$6:$F$56,MATCH($K102,'Territory Factors'!$B$6:$B$56,0)),"?"))</f>
        <v/>
      </c>
      <c r="CG102" s="100" t="str">
        <f>IF($A102="","",IFERROR(INDEX('Usage and Coverage'!$C$79:$C$84,MATCH($Y102,'Usage and Coverage'!$B$79:$B$84,0)),"?"))</f>
        <v/>
      </c>
      <c r="CH102" s="102" t="str">
        <f>IFERROR(IF(ISNUMBER($CD102),$CF102*$CG102*MIN($BG102*$BA102*$BC102*$BD102*$BH102*$BF102,'Technical Premium'!$C$17),""),"")</f>
        <v/>
      </c>
      <c r="CI102" s="102" t="str">
        <f t="shared" si="18"/>
        <v/>
      </c>
      <c r="CJ102" s="102" t="str">
        <f>IFERROR($CI102*(1+'Technical Premium'!$C$5)*(1+'Technical Premium'!$C$6),"")</f>
        <v/>
      </c>
      <c r="CK102" s="102" t="str">
        <f>IFERROR($CE102*INDEX('Territory Factors'!$G$6:$G$56,MATCH($K102,'Territory Factors'!$B$6:$B$56,0))*$AU102*$AV102,"")</f>
        <v/>
      </c>
      <c r="CL102" s="102" t="str">
        <f>IFERROR(($CJ102+$CK102)*(1+'Technical Premium'!$C$7),"")</f>
        <v/>
      </c>
      <c r="CM102" s="104" t="str">
        <f>IFERROR($CL102/'Technical Premium'!$C$13,"")</f>
        <v/>
      </c>
      <c r="CN102" s="105" t="str">
        <f t="shared" si="19"/>
        <v/>
      </c>
      <c r="CO102" s="104" t="str">
        <f t="shared" si="20"/>
        <v/>
      </c>
      <c r="CP102" s="105" t="str">
        <f t="shared" si="21"/>
        <v/>
      </c>
      <c r="CQ102" s="106" t="str">
        <f t="shared" si="22"/>
        <v/>
      </c>
      <c r="CR102" s="102" t="str">
        <f>IF(ISNUMBER($CM102),'Technical Premium'!$C$14+IF($J102&gt;=1000000,'Technical Premium'!$C$15,0),"")</f>
        <v/>
      </c>
      <c r="CS102" s="102" t="str">
        <f>IFERROR(($CO102+$CR102)*(INDEX('Territory Factors'!$K$6:$K$56,MATCH($K102,'Territory Factors'!$B$6:$B$56,0))+'Commission Structure'!$C$21),"")</f>
        <v/>
      </c>
      <c r="CT102" s="104" t="str">
        <f t="shared" si="23"/>
        <v/>
      </c>
      <c r="CU102" s="102" t="str">
        <f>IFERROR($CO102*('Commission Structure'!$C$6+'Commission Structure'!$C$7),"")</f>
        <v/>
      </c>
      <c r="CV102" s="102" t="str">
        <f>IFERROR($CO102*'Commission Structure'!$C$5-$CU102,"")</f>
        <v/>
      </c>
      <c r="CW102" s="102" t="str">
        <f>IFERROR($CO102*(1-'Commission Structure'!$C$5),"")</f>
        <v/>
      </c>
      <c r="CX102" s="107"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8" t="str">
        <f t="shared" si="24"/>
        <v/>
      </c>
      <c r="CZ102" s="99" t="str">
        <f>IF($CY102="","",IF($CY102&lt;'Technical Premium'!$C$19,"BEYOND AUTHORITY",IF($CY102&gt;0.005,"Above technical",IF($CY102&lt;-0.005,"BELOW technical","At technical"))))</f>
        <v/>
      </c>
      <c r="DA102" s="99"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4"/>
      <c r="DC102" s="94"/>
      <c r="DD102" s="95"/>
      <c r="DE102" s="94"/>
      <c r="DF102" s="94"/>
      <c r="DG102" s="99" t="str">
        <f t="shared" si="25"/>
        <v/>
      </c>
      <c r="DH102" s="99" t="str">
        <f>IF($A102="","",IF(OR($CX102="REFER",$CX102="DECLINE"),COUNTIF($CX$5:$CX102,"REFER")+COUNTIF($CX$5:$CX102,"DECLINE"),""))</f>
        <v/>
      </c>
      <c r="DI102" s="94"/>
    </row>
    <row r="103" spans="1:113" x14ac:dyDescent="0.35">
      <c r="A103" s="94"/>
      <c r="B103" s="94"/>
      <c r="C103" s="95"/>
      <c r="D103" s="95"/>
      <c r="E103" s="96"/>
      <c r="F103" s="94"/>
      <c r="G103" s="94"/>
      <c r="H103" s="94"/>
      <c r="I103" s="94"/>
      <c r="J103" s="97"/>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8"/>
      <c r="AR103" s="99" t="str">
        <f t="shared" si="13"/>
        <v/>
      </c>
      <c r="AS103" s="99" t="str">
        <f>IF($A103="","",IF($AP103&lt;&gt;"",$AP103,IFERROR(INDEX('Cat Zone by ZIP'!$D$6:$D$856,MATCH($AR103,'Cat Zone by ZIP'!$B$6:$B$856,0)),IFERROR(INDEX('Cat Zone by ZIP'!$C$860:$C$910,MATCH($K103,'Cat Zone by ZIP'!$B$860:$B$910,0)),"NOT FOUND"))))</f>
        <v/>
      </c>
      <c r="AT103" s="99" t="str">
        <f>IF($A103="","",IF($AP103&lt;&gt;"","Override",IF(ISNUMBER(MATCH($AR103,'Cat Zone by ZIP'!$B$6:$B$856,0)),"ZIP-3","State default")))</f>
        <v/>
      </c>
      <c r="AU103" s="100" t="str">
        <f>IF($A103="","",IFERROR(INDEX('Natural Catastrophe'!$D$6:$D$17,MATCH($AS103,'Natural Catastrophe'!$B$6:$B$17,0)),"?"))</f>
        <v/>
      </c>
      <c r="AV103" s="100" t="str">
        <f>IF($A103="","",IFERROR(INDEX('Natural Catastrophe'!$C$21:$C$26,MATCH($AA103,'Natural Catastrophe'!$B$21:$B$26,0)),"?"))</f>
        <v/>
      </c>
      <c r="AW103" s="99" t="str">
        <f>IF($A103="","",IFERROR(INDEX('Base Rates'!$C$4:$I$4,MATCH(MAX($J103,'Technical Premium'!$C$18),'Base Rates'!$C$3:$I$3,1)),"?"))</f>
        <v/>
      </c>
      <c r="AX103" s="101" t="str">
        <f>IF($A103="","",IFERROR(INDEX('Base Rates'!$C$5:$I$16,MATCH($I103,'Base Rates'!$B$5:$B$16,0),MATCH(MAX($J103,'Technical Premium'!$C$18),'Base Rates'!$C$3:$I$3,1)),"?"))</f>
        <v/>
      </c>
      <c r="AY103" s="102" t="str">
        <f t="shared" si="14"/>
        <v/>
      </c>
      <c r="AZ103" s="99" t="str">
        <f>IF($A103="","",IFERROR(INDEX('Make Factors'!$G$5:$G$69,MATCH($F103,'Make Factors'!$B$5:$B$69,0)),"?"))</f>
        <v/>
      </c>
      <c r="BA103" s="99" t="str">
        <f>IF($A103="","",IFERROR(INDEX('Driver Factors'!$C$6:$C$15,MATCH($R103,'Driver Factors'!$B$6:$B$15,0)),"?"))</f>
        <v/>
      </c>
      <c r="BB103" s="99" t="str">
        <f>IF($A103="","",IFERROR(INDEX('Driver Factors'!$C$19:$C$24,MATCH($S103,'Driver Factors'!$B$19:$B$24,0)),"?"))</f>
        <v/>
      </c>
      <c r="BC103" s="99" t="str">
        <f>IF($A103="","",IFERROR(INDEX('Driver Factors'!$C$28:$C$36,MATCH($T103,'Driver Factors'!$B$28:$B$36,0)),"?"))</f>
        <v/>
      </c>
      <c r="BD103" s="99" t="str">
        <f>IF($A103="","",IFERROR(INDEX('Claims History'!$C$6:$C$15,MATCH($U103,'Claims History'!$B$6:$B$15,0)),"?"))</f>
        <v/>
      </c>
      <c r="BE103" s="99" t="str">
        <f>IF($A103="","",IFERROR(INDEX('Territory Factors'!$E$6:$E$56,MATCH($K103,'Territory Factors'!$B$6:$B$56,0)),"?"))</f>
        <v/>
      </c>
      <c r="BF103" s="99" t="str">
        <f>IF($A103="","",IFERROR(INDEX('City Accident Ratings'!$G$6:$G$54,MATCH($Z103,'City Accident Ratings'!$B$6:$B$54,0)),"?"))</f>
        <v/>
      </c>
      <c r="BG103" s="99" t="str">
        <f>IF($A103="","",IFERROR(INDEX('Usage and Coverage'!$D$6:$D$20,MATCH($N103,'Usage and Coverage'!$C$6:$C$20,0)),"?"))</f>
        <v/>
      </c>
      <c r="BH103" s="99" t="str">
        <f>IF($A103="","",IFERROR(INDEX('Usage and Coverage'!$C$24:$C$30,MATCH($O103,'Usage and Coverage'!$B$24:$B$30,0)),"?"))</f>
        <v/>
      </c>
      <c r="BI103" s="99" t="str">
        <f>IF($A103="","",IFERROR(INDEX('Usage and Coverage'!$C$34:$C$40,MATCH($P103,'Usage and Coverage'!$B$34:$B$40,0)),"?"))</f>
        <v/>
      </c>
      <c r="BJ103" s="99" t="str">
        <f>IF($A103="","",IFERROR(INDEX('Usage and Coverage'!$C$44:$C$49,MATCH($Q103,'Usage and Coverage'!$B$44:$B$49,0)),"?"))</f>
        <v/>
      </c>
      <c r="BK103" s="99" t="str">
        <f>IF($A103="","",IFERROR(INDEX(Deductibles!$C$6:$I$15,MATCH($W103,Deductibles!$B$6:$B$15,0),MATCH(MAX($J103,'Technical Premium'!$C$18),'Base Rates'!$C$3:$I$3,1)),"?"))</f>
        <v/>
      </c>
      <c r="BL103" s="99" t="str">
        <f>IF($A103="","",IFERROR(INDEX('Usage and Coverage'!$C$63:$C$66,MATCH($X103,'Usage and Coverage'!$B$63:$B$66,0)),"?"))</f>
        <v/>
      </c>
      <c r="BM103" s="99" t="str">
        <f>IF($A103="","",IFERROR(INDEX('Usage and Coverage'!$C$70:$C$75,MATCH($V103,'Usage and Coverage'!$B$70:$B$75,0)),"?"))</f>
        <v/>
      </c>
      <c r="BN103" s="99" t="str">
        <f>IF($A103="","",IF($AB103="",1,IFERROR(INDEX(Deductibles!$C$48:$C$51,MATCH($AB103,Deductibles!$B$48:$B$51,0)),"?")))</f>
        <v/>
      </c>
      <c r="BO103" s="99" t="str">
        <f>IF($A103="","",IF($AC103="",1,IFERROR(INDEX(Deductibles!$C$55:$C$57,MATCH($AC103,Deductibles!$B$55:$B$57,0)),"?")))</f>
        <v/>
      </c>
      <c r="BP103" s="99" t="str">
        <f>IF($A103="","",IF($AD103="",1,IFERROR(INDEX(Deductibles!$C$61:$C$63,MATCH($AD103,Deductibles!$B$61:$B$63,0)),"?")))</f>
        <v/>
      </c>
      <c r="BQ103" s="99" t="str">
        <f>IF($A103="","",IF($AE103="",1,IFERROR(INDEX(Deductibles!$C$67:$C$69,MATCH($AE103,Deductibles!$B$67:$B$69,0)),"?")))</f>
        <v/>
      </c>
      <c r="BR103" s="99" t="str">
        <f>IF($A103="","",IF($AF103="",1,IFERROR(INDEX(Deductibles!$C$73:$C$74,MATCH($AF103,Deductibles!$B$73:$B$74,0)),"?")))</f>
        <v/>
      </c>
      <c r="BS103" s="99" t="str">
        <f>IF($A103="","",IF($AG103="",1,IFERROR(INDEX('Sublimits and Parts'!$C$49:$C$52,MATCH($AG103,'Sublimits and Parts'!$B$49:$B$52,0)),"?")))</f>
        <v/>
      </c>
      <c r="BT103" s="99" t="str">
        <f>IF($A103="","",IF($AH103="",1,IFERROR(INDEX('Sublimits and Parts'!$C$56:$C$60,MATCH($AH103,'Sublimits and Parts'!$B$56:$B$60,0)),"?")))</f>
        <v/>
      </c>
      <c r="BU103" s="99" t="str">
        <f>IF($A103="","",IF($AI103="",1,IFERROR(INDEX('Sublimits and Parts'!$C$64:$C$67,MATCH($AI103,'Sublimits and Parts'!$B$64:$B$67,0)),"?")))</f>
        <v/>
      </c>
      <c r="BV103" s="99" t="str">
        <f>IF($A103="","",IF($AJ103="",1,IFERROR(INDEX('Sublimits and Parts'!$C$71:$C$74,MATCH($AJ103,'Sublimits and Parts'!$B$71:$B$74,0)),"?")))</f>
        <v/>
      </c>
      <c r="BW103" s="99" t="str">
        <f>IF($A103="","",IF($AK103="",1,IFERROR(INDEX('Sublimits and Parts'!$C$78:$C$80,MATCH($AK103,'Sublimits and Parts'!$B$78:$B$80,0)),"?")))</f>
        <v/>
      </c>
      <c r="BX103" s="99" t="str">
        <f>IF($A103="","",IF($AL103="",1,IFERROR(INDEX('Sublimits and Parts'!$C$84:$C$87,MATCH($AL103,'Sublimits and Parts'!$B$84:$B$87,0)),"?")))</f>
        <v/>
      </c>
      <c r="BY103" s="99" t="str">
        <f>IF($A103="","",IF($AM103="",1,IFERROR(INDEX('Sublimits and Parts'!$C$91:$C$94,MATCH($AM103,'Sublimits and Parts'!$B$91:$B$94,0)),"?")))</f>
        <v/>
      </c>
      <c r="BZ103" s="99" t="str">
        <f>IF($A103="","",IF($AN103="",1,IFERROR(INDEX('Sublimits and Parts'!$C$98:$C$101,MATCH($AN103,'Sublimits and Parts'!$B$98:$B$101,0)),"?")))</f>
        <v/>
      </c>
      <c r="CA103" s="99" t="str">
        <f>IF($A103="","",IF($AO103="",1,IFERROR(INDEX('Sublimits and Parts'!$C$105:$C$109,MATCH($AO103,'Sublimits and Parts'!$B$105:$B$109,0)),"?")))</f>
        <v/>
      </c>
      <c r="CB103" s="100" t="str">
        <f t="shared" si="15"/>
        <v/>
      </c>
      <c r="CC103" s="100" t="str">
        <f t="shared" si="16"/>
        <v/>
      </c>
      <c r="CD103" s="103" t="str">
        <f>IF($A103="","",IF(OR($CB103="?",$CC103="?"),"?",MIN($CB103*$CC103,'Technical Premium'!$C$17)))</f>
        <v/>
      </c>
      <c r="CE103" s="102" t="str">
        <f t="shared" si="17"/>
        <v/>
      </c>
      <c r="CF103" s="102" t="str">
        <f>IF($A103="","",IFERROR(INDEX('Territory Factors'!$F$6:$F$56,MATCH($K103,'Territory Factors'!$B$6:$B$56,0)),"?"))</f>
        <v/>
      </c>
      <c r="CG103" s="100" t="str">
        <f>IF($A103="","",IFERROR(INDEX('Usage and Coverage'!$C$79:$C$84,MATCH($Y103,'Usage and Coverage'!$B$79:$B$84,0)),"?"))</f>
        <v/>
      </c>
      <c r="CH103" s="102" t="str">
        <f>IFERROR(IF(ISNUMBER($CD103),$CF103*$CG103*MIN($BG103*$BA103*$BC103*$BD103*$BH103*$BF103,'Technical Premium'!$C$17),""),"")</f>
        <v/>
      </c>
      <c r="CI103" s="102" t="str">
        <f t="shared" si="18"/>
        <v/>
      </c>
      <c r="CJ103" s="102" t="str">
        <f>IFERROR($CI103*(1+'Technical Premium'!$C$5)*(1+'Technical Premium'!$C$6),"")</f>
        <v/>
      </c>
      <c r="CK103" s="102" t="str">
        <f>IFERROR($CE103*INDEX('Territory Factors'!$G$6:$G$56,MATCH($K103,'Territory Factors'!$B$6:$B$56,0))*$AU103*$AV103,"")</f>
        <v/>
      </c>
      <c r="CL103" s="102" t="str">
        <f>IFERROR(($CJ103+$CK103)*(1+'Technical Premium'!$C$7),"")</f>
        <v/>
      </c>
      <c r="CM103" s="104" t="str">
        <f>IFERROR($CL103/'Technical Premium'!$C$13,"")</f>
        <v/>
      </c>
      <c r="CN103" s="105" t="str">
        <f t="shared" si="19"/>
        <v/>
      </c>
      <c r="CO103" s="104" t="str">
        <f t="shared" si="20"/>
        <v/>
      </c>
      <c r="CP103" s="105" t="str">
        <f t="shared" si="21"/>
        <v/>
      </c>
      <c r="CQ103" s="106" t="str">
        <f t="shared" si="22"/>
        <v/>
      </c>
      <c r="CR103" s="102" t="str">
        <f>IF(ISNUMBER($CM103),'Technical Premium'!$C$14+IF($J103&gt;=1000000,'Technical Premium'!$C$15,0),"")</f>
        <v/>
      </c>
      <c r="CS103" s="102" t="str">
        <f>IFERROR(($CO103+$CR103)*(INDEX('Territory Factors'!$K$6:$K$56,MATCH($K103,'Territory Factors'!$B$6:$B$56,0))+'Commission Structure'!$C$21),"")</f>
        <v/>
      </c>
      <c r="CT103" s="104" t="str">
        <f t="shared" si="23"/>
        <v/>
      </c>
      <c r="CU103" s="102" t="str">
        <f>IFERROR($CO103*('Commission Structure'!$C$6+'Commission Structure'!$C$7),"")</f>
        <v/>
      </c>
      <c r="CV103" s="102" t="str">
        <f>IFERROR($CO103*'Commission Structure'!$C$5-$CU103,"")</f>
        <v/>
      </c>
      <c r="CW103" s="102" t="str">
        <f>IFERROR($CO103*(1-'Commission Structure'!$C$5),"")</f>
        <v/>
      </c>
      <c r="CX103" s="107"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8" t="str">
        <f t="shared" si="24"/>
        <v/>
      </c>
      <c r="CZ103" s="99" t="str">
        <f>IF($CY103="","",IF($CY103&lt;'Technical Premium'!$C$19,"BEYOND AUTHORITY",IF($CY103&gt;0.005,"Above technical",IF($CY103&lt;-0.005,"BELOW technical","At technical"))))</f>
        <v/>
      </c>
      <c r="DA103" s="99"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4"/>
      <c r="DC103" s="94"/>
      <c r="DD103" s="95"/>
      <c r="DE103" s="94"/>
      <c r="DF103" s="94"/>
      <c r="DG103" s="99" t="str">
        <f t="shared" si="25"/>
        <v/>
      </c>
      <c r="DH103" s="99" t="str">
        <f>IF($A103="","",IF(OR($CX103="REFER",$CX103="DECLINE"),COUNTIF($CX$5:$CX103,"REFER")+COUNTIF($CX$5:$CX103,"DECLINE"),""))</f>
        <v/>
      </c>
      <c r="DI103" s="94"/>
    </row>
    <row r="104" spans="1:113" x14ac:dyDescent="0.35">
      <c r="A104" s="94"/>
      <c r="B104" s="94"/>
      <c r="C104" s="95"/>
      <c r="D104" s="95"/>
      <c r="E104" s="96"/>
      <c r="F104" s="94"/>
      <c r="G104" s="94"/>
      <c r="H104" s="94"/>
      <c r="I104" s="94"/>
      <c r="J104" s="97"/>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8"/>
      <c r="AR104" s="99" t="str">
        <f t="shared" si="13"/>
        <v/>
      </c>
      <c r="AS104" s="99" t="str">
        <f>IF($A104="","",IF($AP104&lt;&gt;"",$AP104,IFERROR(INDEX('Cat Zone by ZIP'!$D$6:$D$856,MATCH($AR104,'Cat Zone by ZIP'!$B$6:$B$856,0)),IFERROR(INDEX('Cat Zone by ZIP'!$C$860:$C$910,MATCH($K104,'Cat Zone by ZIP'!$B$860:$B$910,0)),"NOT FOUND"))))</f>
        <v/>
      </c>
      <c r="AT104" s="99" t="str">
        <f>IF($A104="","",IF($AP104&lt;&gt;"","Override",IF(ISNUMBER(MATCH($AR104,'Cat Zone by ZIP'!$B$6:$B$856,0)),"ZIP-3","State default")))</f>
        <v/>
      </c>
      <c r="AU104" s="100" t="str">
        <f>IF($A104="","",IFERROR(INDEX('Natural Catastrophe'!$D$6:$D$17,MATCH($AS104,'Natural Catastrophe'!$B$6:$B$17,0)),"?"))</f>
        <v/>
      </c>
      <c r="AV104" s="100" t="str">
        <f>IF($A104="","",IFERROR(INDEX('Natural Catastrophe'!$C$21:$C$26,MATCH($AA104,'Natural Catastrophe'!$B$21:$B$26,0)),"?"))</f>
        <v/>
      </c>
      <c r="AW104" s="99" t="str">
        <f>IF($A104="","",IFERROR(INDEX('Base Rates'!$C$4:$I$4,MATCH(MAX($J104,'Technical Premium'!$C$18),'Base Rates'!$C$3:$I$3,1)),"?"))</f>
        <v/>
      </c>
      <c r="AX104" s="101" t="str">
        <f>IF($A104="","",IFERROR(INDEX('Base Rates'!$C$5:$I$16,MATCH($I104,'Base Rates'!$B$5:$B$16,0),MATCH(MAX($J104,'Technical Premium'!$C$18),'Base Rates'!$C$3:$I$3,1)),"?"))</f>
        <v/>
      </c>
      <c r="AY104" s="102" t="str">
        <f t="shared" si="14"/>
        <v/>
      </c>
      <c r="AZ104" s="99" t="str">
        <f>IF($A104="","",IFERROR(INDEX('Make Factors'!$G$5:$G$69,MATCH($F104,'Make Factors'!$B$5:$B$69,0)),"?"))</f>
        <v/>
      </c>
      <c r="BA104" s="99" t="str">
        <f>IF($A104="","",IFERROR(INDEX('Driver Factors'!$C$6:$C$15,MATCH($R104,'Driver Factors'!$B$6:$B$15,0)),"?"))</f>
        <v/>
      </c>
      <c r="BB104" s="99" t="str">
        <f>IF($A104="","",IFERROR(INDEX('Driver Factors'!$C$19:$C$24,MATCH($S104,'Driver Factors'!$B$19:$B$24,0)),"?"))</f>
        <v/>
      </c>
      <c r="BC104" s="99" t="str">
        <f>IF($A104="","",IFERROR(INDEX('Driver Factors'!$C$28:$C$36,MATCH($T104,'Driver Factors'!$B$28:$B$36,0)),"?"))</f>
        <v/>
      </c>
      <c r="BD104" s="99" t="str">
        <f>IF($A104="","",IFERROR(INDEX('Claims History'!$C$6:$C$15,MATCH($U104,'Claims History'!$B$6:$B$15,0)),"?"))</f>
        <v/>
      </c>
      <c r="BE104" s="99" t="str">
        <f>IF($A104="","",IFERROR(INDEX('Territory Factors'!$E$6:$E$56,MATCH($K104,'Territory Factors'!$B$6:$B$56,0)),"?"))</f>
        <v/>
      </c>
      <c r="BF104" s="99" t="str">
        <f>IF($A104="","",IFERROR(INDEX('City Accident Ratings'!$G$6:$G$54,MATCH($Z104,'City Accident Ratings'!$B$6:$B$54,0)),"?"))</f>
        <v/>
      </c>
      <c r="BG104" s="99" t="str">
        <f>IF($A104="","",IFERROR(INDEX('Usage and Coverage'!$D$6:$D$20,MATCH($N104,'Usage and Coverage'!$C$6:$C$20,0)),"?"))</f>
        <v/>
      </c>
      <c r="BH104" s="99" t="str">
        <f>IF($A104="","",IFERROR(INDEX('Usage and Coverage'!$C$24:$C$30,MATCH($O104,'Usage and Coverage'!$B$24:$B$30,0)),"?"))</f>
        <v/>
      </c>
      <c r="BI104" s="99" t="str">
        <f>IF($A104="","",IFERROR(INDEX('Usage and Coverage'!$C$34:$C$40,MATCH($P104,'Usage and Coverage'!$B$34:$B$40,0)),"?"))</f>
        <v/>
      </c>
      <c r="BJ104" s="99" t="str">
        <f>IF($A104="","",IFERROR(INDEX('Usage and Coverage'!$C$44:$C$49,MATCH($Q104,'Usage and Coverage'!$B$44:$B$49,0)),"?"))</f>
        <v/>
      </c>
      <c r="BK104" s="99" t="str">
        <f>IF($A104="","",IFERROR(INDEX(Deductibles!$C$6:$I$15,MATCH($W104,Deductibles!$B$6:$B$15,0),MATCH(MAX($J104,'Technical Premium'!$C$18),'Base Rates'!$C$3:$I$3,1)),"?"))</f>
        <v/>
      </c>
      <c r="BL104" s="99" t="str">
        <f>IF($A104="","",IFERROR(INDEX('Usage and Coverage'!$C$63:$C$66,MATCH($X104,'Usage and Coverage'!$B$63:$B$66,0)),"?"))</f>
        <v/>
      </c>
      <c r="BM104" s="99" t="str">
        <f>IF($A104="","",IFERROR(INDEX('Usage and Coverage'!$C$70:$C$75,MATCH($V104,'Usage and Coverage'!$B$70:$B$75,0)),"?"))</f>
        <v/>
      </c>
      <c r="BN104" s="99" t="str">
        <f>IF($A104="","",IF($AB104="",1,IFERROR(INDEX(Deductibles!$C$48:$C$51,MATCH($AB104,Deductibles!$B$48:$B$51,0)),"?")))</f>
        <v/>
      </c>
      <c r="BO104" s="99" t="str">
        <f>IF($A104="","",IF($AC104="",1,IFERROR(INDEX(Deductibles!$C$55:$C$57,MATCH($AC104,Deductibles!$B$55:$B$57,0)),"?")))</f>
        <v/>
      </c>
      <c r="BP104" s="99" t="str">
        <f>IF($A104="","",IF($AD104="",1,IFERROR(INDEX(Deductibles!$C$61:$C$63,MATCH($AD104,Deductibles!$B$61:$B$63,0)),"?")))</f>
        <v/>
      </c>
      <c r="BQ104" s="99" t="str">
        <f>IF($A104="","",IF($AE104="",1,IFERROR(INDEX(Deductibles!$C$67:$C$69,MATCH($AE104,Deductibles!$B$67:$B$69,0)),"?")))</f>
        <v/>
      </c>
      <c r="BR104" s="99" t="str">
        <f>IF($A104="","",IF($AF104="",1,IFERROR(INDEX(Deductibles!$C$73:$C$74,MATCH($AF104,Deductibles!$B$73:$B$74,0)),"?")))</f>
        <v/>
      </c>
      <c r="BS104" s="99" t="str">
        <f>IF($A104="","",IF($AG104="",1,IFERROR(INDEX('Sublimits and Parts'!$C$49:$C$52,MATCH($AG104,'Sublimits and Parts'!$B$49:$B$52,0)),"?")))</f>
        <v/>
      </c>
      <c r="BT104" s="99" t="str">
        <f>IF($A104="","",IF($AH104="",1,IFERROR(INDEX('Sublimits and Parts'!$C$56:$C$60,MATCH($AH104,'Sublimits and Parts'!$B$56:$B$60,0)),"?")))</f>
        <v/>
      </c>
      <c r="BU104" s="99" t="str">
        <f>IF($A104="","",IF($AI104="",1,IFERROR(INDEX('Sublimits and Parts'!$C$64:$C$67,MATCH($AI104,'Sublimits and Parts'!$B$64:$B$67,0)),"?")))</f>
        <v/>
      </c>
      <c r="BV104" s="99" t="str">
        <f>IF($A104="","",IF($AJ104="",1,IFERROR(INDEX('Sublimits and Parts'!$C$71:$C$74,MATCH($AJ104,'Sublimits and Parts'!$B$71:$B$74,0)),"?")))</f>
        <v/>
      </c>
      <c r="BW104" s="99" t="str">
        <f>IF($A104="","",IF($AK104="",1,IFERROR(INDEX('Sublimits and Parts'!$C$78:$C$80,MATCH($AK104,'Sublimits and Parts'!$B$78:$B$80,0)),"?")))</f>
        <v/>
      </c>
      <c r="BX104" s="99" t="str">
        <f>IF($A104="","",IF($AL104="",1,IFERROR(INDEX('Sublimits and Parts'!$C$84:$C$87,MATCH($AL104,'Sublimits and Parts'!$B$84:$B$87,0)),"?")))</f>
        <v/>
      </c>
      <c r="BY104" s="99" t="str">
        <f>IF($A104="","",IF($AM104="",1,IFERROR(INDEX('Sublimits and Parts'!$C$91:$C$94,MATCH($AM104,'Sublimits and Parts'!$B$91:$B$94,0)),"?")))</f>
        <v/>
      </c>
      <c r="BZ104" s="99" t="str">
        <f>IF($A104="","",IF($AN104="",1,IFERROR(INDEX('Sublimits and Parts'!$C$98:$C$101,MATCH($AN104,'Sublimits and Parts'!$B$98:$B$101,0)),"?")))</f>
        <v/>
      </c>
      <c r="CA104" s="99" t="str">
        <f>IF($A104="","",IF($AO104="",1,IFERROR(INDEX('Sublimits and Parts'!$C$105:$C$109,MATCH($AO104,'Sublimits and Parts'!$B$105:$B$109,0)),"?")))</f>
        <v/>
      </c>
      <c r="CB104" s="100" t="str">
        <f t="shared" si="15"/>
        <v/>
      </c>
      <c r="CC104" s="100" t="str">
        <f t="shared" si="16"/>
        <v/>
      </c>
      <c r="CD104" s="103" t="str">
        <f>IF($A104="","",IF(OR($CB104="?",$CC104="?"),"?",MIN($CB104*$CC104,'Technical Premium'!$C$17)))</f>
        <v/>
      </c>
      <c r="CE104" s="102" t="str">
        <f t="shared" si="17"/>
        <v/>
      </c>
      <c r="CF104" s="102" t="str">
        <f>IF($A104="","",IFERROR(INDEX('Territory Factors'!$F$6:$F$56,MATCH($K104,'Territory Factors'!$B$6:$B$56,0)),"?"))</f>
        <v/>
      </c>
      <c r="CG104" s="100" t="str">
        <f>IF($A104="","",IFERROR(INDEX('Usage and Coverage'!$C$79:$C$84,MATCH($Y104,'Usage and Coverage'!$B$79:$B$84,0)),"?"))</f>
        <v/>
      </c>
      <c r="CH104" s="102" t="str">
        <f>IFERROR(IF(ISNUMBER($CD104),$CF104*$CG104*MIN($BG104*$BA104*$BC104*$BD104*$BH104*$BF104,'Technical Premium'!$C$17),""),"")</f>
        <v/>
      </c>
      <c r="CI104" s="102" t="str">
        <f t="shared" si="18"/>
        <v/>
      </c>
      <c r="CJ104" s="102" t="str">
        <f>IFERROR($CI104*(1+'Technical Premium'!$C$5)*(1+'Technical Premium'!$C$6),"")</f>
        <v/>
      </c>
      <c r="CK104" s="102" t="str">
        <f>IFERROR($CE104*INDEX('Territory Factors'!$G$6:$G$56,MATCH($K104,'Territory Factors'!$B$6:$B$56,0))*$AU104*$AV104,"")</f>
        <v/>
      </c>
      <c r="CL104" s="102" t="str">
        <f>IFERROR(($CJ104+$CK104)*(1+'Technical Premium'!$C$7),"")</f>
        <v/>
      </c>
      <c r="CM104" s="104" t="str">
        <f>IFERROR($CL104/'Technical Premium'!$C$13,"")</f>
        <v/>
      </c>
      <c r="CN104" s="105" t="str">
        <f t="shared" si="19"/>
        <v/>
      </c>
      <c r="CO104" s="104" t="str">
        <f t="shared" si="20"/>
        <v/>
      </c>
      <c r="CP104" s="105" t="str">
        <f t="shared" si="21"/>
        <v/>
      </c>
      <c r="CQ104" s="106" t="str">
        <f t="shared" si="22"/>
        <v/>
      </c>
      <c r="CR104" s="102" t="str">
        <f>IF(ISNUMBER($CM104),'Technical Premium'!$C$14+IF($J104&gt;=1000000,'Technical Premium'!$C$15,0),"")</f>
        <v/>
      </c>
      <c r="CS104" s="102" t="str">
        <f>IFERROR(($CO104+$CR104)*(INDEX('Territory Factors'!$K$6:$K$56,MATCH($K104,'Territory Factors'!$B$6:$B$56,0))+'Commission Structure'!$C$21),"")</f>
        <v/>
      </c>
      <c r="CT104" s="104" t="str">
        <f t="shared" si="23"/>
        <v/>
      </c>
      <c r="CU104" s="102" t="str">
        <f>IFERROR($CO104*('Commission Structure'!$C$6+'Commission Structure'!$C$7),"")</f>
        <v/>
      </c>
      <c r="CV104" s="102" t="str">
        <f>IFERROR($CO104*'Commission Structure'!$C$5-$CU104,"")</f>
        <v/>
      </c>
      <c r="CW104" s="102" t="str">
        <f>IFERROR($CO104*(1-'Commission Structure'!$C$5),"")</f>
        <v/>
      </c>
      <c r="CX104" s="107"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8" t="str">
        <f t="shared" si="24"/>
        <v/>
      </c>
      <c r="CZ104" s="99" t="str">
        <f>IF($CY104="","",IF($CY104&lt;'Technical Premium'!$C$19,"BEYOND AUTHORITY",IF($CY104&gt;0.005,"Above technical",IF($CY104&lt;-0.005,"BELOW technical","At technical"))))</f>
        <v/>
      </c>
      <c r="DA104" s="99"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4"/>
      <c r="DC104" s="94"/>
      <c r="DD104" s="95"/>
      <c r="DE104" s="94"/>
      <c r="DF104" s="94"/>
      <c r="DG104" s="99" t="str">
        <f t="shared" si="25"/>
        <v/>
      </c>
      <c r="DH104" s="99" t="str">
        <f>IF($A104="","",IF(OR($CX104="REFER",$CX104="DECLINE"),COUNTIF($CX$5:$CX104,"REFER")+COUNTIF($CX$5:$CX104,"DECLINE"),""))</f>
        <v/>
      </c>
      <c r="DI104" s="94"/>
    </row>
    <row r="105" spans="1:113" x14ac:dyDescent="0.35">
      <c r="A105" s="94"/>
      <c r="B105" s="94"/>
      <c r="C105" s="95"/>
      <c r="D105" s="95"/>
      <c r="E105" s="96"/>
      <c r="F105" s="94"/>
      <c r="G105" s="94"/>
      <c r="H105" s="94"/>
      <c r="I105" s="94"/>
      <c r="J105" s="97"/>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8"/>
      <c r="AR105" s="99" t="str">
        <f t="shared" si="13"/>
        <v/>
      </c>
      <c r="AS105" s="99" t="str">
        <f>IF($A105="","",IF($AP105&lt;&gt;"",$AP105,IFERROR(INDEX('Cat Zone by ZIP'!$D$6:$D$856,MATCH($AR105,'Cat Zone by ZIP'!$B$6:$B$856,0)),IFERROR(INDEX('Cat Zone by ZIP'!$C$860:$C$910,MATCH($K105,'Cat Zone by ZIP'!$B$860:$B$910,0)),"NOT FOUND"))))</f>
        <v/>
      </c>
      <c r="AT105" s="99" t="str">
        <f>IF($A105="","",IF($AP105&lt;&gt;"","Override",IF(ISNUMBER(MATCH($AR105,'Cat Zone by ZIP'!$B$6:$B$856,0)),"ZIP-3","State default")))</f>
        <v/>
      </c>
      <c r="AU105" s="100" t="str">
        <f>IF($A105="","",IFERROR(INDEX('Natural Catastrophe'!$D$6:$D$17,MATCH($AS105,'Natural Catastrophe'!$B$6:$B$17,0)),"?"))</f>
        <v/>
      </c>
      <c r="AV105" s="100" t="str">
        <f>IF($A105="","",IFERROR(INDEX('Natural Catastrophe'!$C$21:$C$26,MATCH($AA105,'Natural Catastrophe'!$B$21:$B$26,0)),"?"))</f>
        <v/>
      </c>
      <c r="AW105" s="99" t="str">
        <f>IF($A105="","",IFERROR(INDEX('Base Rates'!$C$4:$I$4,MATCH(MAX($J105,'Technical Premium'!$C$18),'Base Rates'!$C$3:$I$3,1)),"?"))</f>
        <v/>
      </c>
      <c r="AX105" s="101" t="str">
        <f>IF($A105="","",IFERROR(INDEX('Base Rates'!$C$5:$I$16,MATCH($I105,'Base Rates'!$B$5:$B$16,0),MATCH(MAX($J105,'Technical Premium'!$C$18),'Base Rates'!$C$3:$I$3,1)),"?"))</f>
        <v/>
      </c>
      <c r="AY105" s="102" t="str">
        <f t="shared" si="14"/>
        <v/>
      </c>
      <c r="AZ105" s="99" t="str">
        <f>IF($A105="","",IFERROR(INDEX('Make Factors'!$G$5:$G$69,MATCH($F105,'Make Factors'!$B$5:$B$69,0)),"?"))</f>
        <v/>
      </c>
      <c r="BA105" s="99" t="str">
        <f>IF($A105="","",IFERROR(INDEX('Driver Factors'!$C$6:$C$15,MATCH($R105,'Driver Factors'!$B$6:$B$15,0)),"?"))</f>
        <v/>
      </c>
      <c r="BB105" s="99" t="str">
        <f>IF($A105="","",IFERROR(INDEX('Driver Factors'!$C$19:$C$24,MATCH($S105,'Driver Factors'!$B$19:$B$24,0)),"?"))</f>
        <v/>
      </c>
      <c r="BC105" s="99" t="str">
        <f>IF($A105="","",IFERROR(INDEX('Driver Factors'!$C$28:$C$36,MATCH($T105,'Driver Factors'!$B$28:$B$36,0)),"?"))</f>
        <v/>
      </c>
      <c r="BD105" s="99" t="str">
        <f>IF($A105="","",IFERROR(INDEX('Claims History'!$C$6:$C$15,MATCH($U105,'Claims History'!$B$6:$B$15,0)),"?"))</f>
        <v/>
      </c>
      <c r="BE105" s="99" t="str">
        <f>IF($A105="","",IFERROR(INDEX('Territory Factors'!$E$6:$E$56,MATCH($K105,'Territory Factors'!$B$6:$B$56,0)),"?"))</f>
        <v/>
      </c>
      <c r="BF105" s="99" t="str">
        <f>IF($A105="","",IFERROR(INDEX('City Accident Ratings'!$G$6:$G$54,MATCH($Z105,'City Accident Ratings'!$B$6:$B$54,0)),"?"))</f>
        <v/>
      </c>
      <c r="BG105" s="99" t="str">
        <f>IF($A105="","",IFERROR(INDEX('Usage and Coverage'!$D$6:$D$20,MATCH($N105,'Usage and Coverage'!$C$6:$C$20,0)),"?"))</f>
        <v/>
      </c>
      <c r="BH105" s="99" t="str">
        <f>IF($A105="","",IFERROR(INDEX('Usage and Coverage'!$C$24:$C$30,MATCH($O105,'Usage and Coverage'!$B$24:$B$30,0)),"?"))</f>
        <v/>
      </c>
      <c r="BI105" s="99" t="str">
        <f>IF($A105="","",IFERROR(INDEX('Usage and Coverage'!$C$34:$C$40,MATCH($P105,'Usage and Coverage'!$B$34:$B$40,0)),"?"))</f>
        <v/>
      </c>
      <c r="BJ105" s="99" t="str">
        <f>IF($A105="","",IFERROR(INDEX('Usage and Coverage'!$C$44:$C$49,MATCH($Q105,'Usage and Coverage'!$B$44:$B$49,0)),"?"))</f>
        <v/>
      </c>
      <c r="BK105" s="99" t="str">
        <f>IF($A105="","",IFERROR(INDEX(Deductibles!$C$6:$I$15,MATCH($W105,Deductibles!$B$6:$B$15,0),MATCH(MAX($J105,'Technical Premium'!$C$18),'Base Rates'!$C$3:$I$3,1)),"?"))</f>
        <v/>
      </c>
      <c r="BL105" s="99" t="str">
        <f>IF($A105="","",IFERROR(INDEX('Usage and Coverage'!$C$63:$C$66,MATCH($X105,'Usage and Coverage'!$B$63:$B$66,0)),"?"))</f>
        <v/>
      </c>
      <c r="BM105" s="99" t="str">
        <f>IF($A105="","",IFERROR(INDEX('Usage and Coverage'!$C$70:$C$75,MATCH($V105,'Usage and Coverage'!$B$70:$B$75,0)),"?"))</f>
        <v/>
      </c>
      <c r="BN105" s="99" t="str">
        <f>IF($A105="","",IF($AB105="",1,IFERROR(INDEX(Deductibles!$C$48:$C$51,MATCH($AB105,Deductibles!$B$48:$B$51,0)),"?")))</f>
        <v/>
      </c>
      <c r="BO105" s="99" t="str">
        <f>IF($A105="","",IF($AC105="",1,IFERROR(INDEX(Deductibles!$C$55:$C$57,MATCH($AC105,Deductibles!$B$55:$B$57,0)),"?")))</f>
        <v/>
      </c>
      <c r="BP105" s="99" t="str">
        <f>IF($A105="","",IF($AD105="",1,IFERROR(INDEX(Deductibles!$C$61:$C$63,MATCH($AD105,Deductibles!$B$61:$B$63,0)),"?")))</f>
        <v/>
      </c>
      <c r="BQ105" s="99" t="str">
        <f>IF($A105="","",IF($AE105="",1,IFERROR(INDEX(Deductibles!$C$67:$C$69,MATCH($AE105,Deductibles!$B$67:$B$69,0)),"?")))</f>
        <v/>
      </c>
      <c r="BR105" s="99" t="str">
        <f>IF($A105="","",IF($AF105="",1,IFERROR(INDEX(Deductibles!$C$73:$C$74,MATCH($AF105,Deductibles!$B$73:$B$74,0)),"?")))</f>
        <v/>
      </c>
      <c r="BS105" s="99" t="str">
        <f>IF($A105="","",IF($AG105="",1,IFERROR(INDEX('Sublimits and Parts'!$C$49:$C$52,MATCH($AG105,'Sublimits and Parts'!$B$49:$B$52,0)),"?")))</f>
        <v/>
      </c>
      <c r="BT105" s="99" t="str">
        <f>IF($A105="","",IF($AH105="",1,IFERROR(INDEX('Sublimits and Parts'!$C$56:$C$60,MATCH($AH105,'Sublimits and Parts'!$B$56:$B$60,0)),"?")))</f>
        <v/>
      </c>
      <c r="BU105" s="99" t="str">
        <f>IF($A105="","",IF($AI105="",1,IFERROR(INDEX('Sublimits and Parts'!$C$64:$C$67,MATCH($AI105,'Sublimits and Parts'!$B$64:$B$67,0)),"?")))</f>
        <v/>
      </c>
      <c r="BV105" s="99" t="str">
        <f>IF($A105="","",IF($AJ105="",1,IFERROR(INDEX('Sublimits and Parts'!$C$71:$C$74,MATCH($AJ105,'Sublimits and Parts'!$B$71:$B$74,0)),"?")))</f>
        <v/>
      </c>
      <c r="BW105" s="99" t="str">
        <f>IF($A105="","",IF($AK105="",1,IFERROR(INDEX('Sublimits and Parts'!$C$78:$C$80,MATCH($AK105,'Sublimits and Parts'!$B$78:$B$80,0)),"?")))</f>
        <v/>
      </c>
      <c r="BX105" s="99" t="str">
        <f>IF($A105="","",IF($AL105="",1,IFERROR(INDEX('Sublimits and Parts'!$C$84:$C$87,MATCH($AL105,'Sublimits and Parts'!$B$84:$B$87,0)),"?")))</f>
        <v/>
      </c>
      <c r="BY105" s="99" t="str">
        <f>IF($A105="","",IF($AM105="",1,IFERROR(INDEX('Sublimits and Parts'!$C$91:$C$94,MATCH($AM105,'Sublimits and Parts'!$B$91:$B$94,0)),"?")))</f>
        <v/>
      </c>
      <c r="BZ105" s="99" t="str">
        <f>IF($A105="","",IF($AN105="",1,IFERROR(INDEX('Sublimits and Parts'!$C$98:$C$101,MATCH($AN105,'Sublimits and Parts'!$B$98:$B$101,0)),"?")))</f>
        <v/>
      </c>
      <c r="CA105" s="99" t="str">
        <f>IF($A105="","",IF($AO105="",1,IFERROR(INDEX('Sublimits and Parts'!$C$105:$C$109,MATCH($AO105,'Sublimits and Parts'!$B$105:$B$109,0)),"?")))</f>
        <v/>
      </c>
      <c r="CB105" s="100" t="str">
        <f t="shared" si="15"/>
        <v/>
      </c>
      <c r="CC105" s="100" t="str">
        <f t="shared" si="16"/>
        <v/>
      </c>
      <c r="CD105" s="103" t="str">
        <f>IF($A105="","",IF(OR($CB105="?",$CC105="?"),"?",MIN($CB105*$CC105,'Technical Premium'!$C$17)))</f>
        <v/>
      </c>
      <c r="CE105" s="102" t="str">
        <f t="shared" si="17"/>
        <v/>
      </c>
      <c r="CF105" s="102" t="str">
        <f>IF($A105="","",IFERROR(INDEX('Territory Factors'!$F$6:$F$56,MATCH($K105,'Territory Factors'!$B$6:$B$56,0)),"?"))</f>
        <v/>
      </c>
      <c r="CG105" s="100" t="str">
        <f>IF($A105="","",IFERROR(INDEX('Usage and Coverage'!$C$79:$C$84,MATCH($Y105,'Usage and Coverage'!$B$79:$B$84,0)),"?"))</f>
        <v/>
      </c>
      <c r="CH105" s="102" t="str">
        <f>IFERROR(IF(ISNUMBER($CD105),$CF105*$CG105*MIN($BG105*$BA105*$BC105*$BD105*$BH105*$BF105,'Technical Premium'!$C$17),""),"")</f>
        <v/>
      </c>
      <c r="CI105" s="102" t="str">
        <f t="shared" si="18"/>
        <v/>
      </c>
      <c r="CJ105" s="102" t="str">
        <f>IFERROR($CI105*(1+'Technical Premium'!$C$5)*(1+'Technical Premium'!$C$6),"")</f>
        <v/>
      </c>
      <c r="CK105" s="102" t="str">
        <f>IFERROR($CE105*INDEX('Territory Factors'!$G$6:$G$56,MATCH($K105,'Territory Factors'!$B$6:$B$56,0))*$AU105*$AV105,"")</f>
        <v/>
      </c>
      <c r="CL105" s="102" t="str">
        <f>IFERROR(($CJ105+$CK105)*(1+'Technical Premium'!$C$7),"")</f>
        <v/>
      </c>
      <c r="CM105" s="104" t="str">
        <f>IFERROR($CL105/'Technical Premium'!$C$13,"")</f>
        <v/>
      </c>
      <c r="CN105" s="105" t="str">
        <f t="shared" si="19"/>
        <v/>
      </c>
      <c r="CO105" s="104" t="str">
        <f t="shared" si="20"/>
        <v/>
      </c>
      <c r="CP105" s="105" t="str">
        <f t="shared" si="21"/>
        <v/>
      </c>
      <c r="CQ105" s="106" t="str">
        <f t="shared" si="22"/>
        <v/>
      </c>
      <c r="CR105" s="102" t="str">
        <f>IF(ISNUMBER($CM105),'Technical Premium'!$C$14+IF($J105&gt;=1000000,'Technical Premium'!$C$15,0),"")</f>
        <v/>
      </c>
      <c r="CS105" s="102" t="str">
        <f>IFERROR(($CO105+$CR105)*(INDEX('Territory Factors'!$K$6:$K$56,MATCH($K105,'Territory Factors'!$B$6:$B$56,0))+'Commission Structure'!$C$21),"")</f>
        <v/>
      </c>
      <c r="CT105" s="104" t="str">
        <f t="shared" si="23"/>
        <v/>
      </c>
      <c r="CU105" s="102" t="str">
        <f>IFERROR($CO105*('Commission Structure'!$C$6+'Commission Structure'!$C$7),"")</f>
        <v/>
      </c>
      <c r="CV105" s="102" t="str">
        <f>IFERROR($CO105*'Commission Structure'!$C$5-$CU105,"")</f>
        <v/>
      </c>
      <c r="CW105" s="102" t="str">
        <f>IFERROR($CO105*(1-'Commission Structure'!$C$5),"")</f>
        <v/>
      </c>
      <c r="CX105" s="107"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8" t="str">
        <f t="shared" si="24"/>
        <v/>
      </c>
      <c r="CZ105" s="99" t="str">
        <f>IF($CY105="","",IF($CY105&lt;'Technical Premium'!$C$19,"BEYOND AUTHORITY",IF($CY105&gt;0.005,"Above technical",IF($CY105&lt;-0.005,"BELOW technical","At technical"))))</f>
        <v/>
      </c>
      <c r="DA105" s="99"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4"/>
      <c r="DC105" s="94"/>
      <c r="DD105" s="95"/>
      <c r="DE105" s="94"/>
      <c r="DF105" s="94"/>
      <c r="DG105" s="99" t="str">
        <f t="shared" si="25"/>
        <v/>
      </c>
      <c r="DH105" s="99" t="str">
        <f>IF($A105="","",IF(OR($CX105="REFER",$CX105="DECLINE"),COUNTIF($CX$5:$CX105,"REFER")+COUNTIF($CX$5:$CX105,"DECLINE"),""))</f>
        <v/>
      </c>
      <c r="DI105" s="94"/>
    </row>
    <row r="106" spans="1:113" x14ac:dyDescent="0.35">
      <c r="A106" s="94"/>
      <c r="B106" s="94"/>
      <c r="C106" s="95"/>
      <c r="D106" s="95"/>
      <c r="E106" s="96"/>
      <c r="F106" s="94"/>
      <c r="G106" s="94"/>
      <c r="H106" s="94"/>
      <c r="I106" s="94"/>
      <c r="J106" s="97"/>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8"/>
      <c r="AR106" s="99" t="str">
        <f t="shared" si="13"/>
        <v/>
      </c>
      <c r="AS106" s="99" t="str">
        <f>IF($A106="","",IF($AP106&lt;&gt;"",$AP106,IFERROR(INDEX('Cat Zone by ZIP'!$D$6:$D$856,MATCH($AR106,'Cat Zone by ZIP'!$B$6:$B$856,0)),IFERROR(INDEX('Cat Zone by ZIP'!$C$860:$C$910,MATCH($K106,'Cat Zone by ZIP'!$B$860:$B$910,0)),"NOT FOUND"))))</f>
        <v/>
      </c>
      <c r="AT106" s="99" t="str">
        <f>IF($A106="","",IF($AP106&lt;&gt;"","Override",IF(ISNUMBER(MATCH($AR106,'Cat Zone by ZIP'!$B$6:$B$856,0)),"ZIP-3","State default")))</f>
        <v/>
      </c>
      <c r="AU106" s="100" t="str">
        <f>IF($A106="","",IFERROR(INDEX('Natural Catastrophe'!$D$6:$D$17,MATCH($AS106,'Natural Catastrophe'!$B$6:$B$17,0)),"?"))</f>
        <v/>
      </c>
      <c r="AV106" s="100" t="str">
        <f>IF($A106="","",IFERROR(INDEX('Natural Catastrophe'!$C$21:$C$26,MATCH($AA106,'Natural Catastrophe'!$B$21:$B$26,0)),"?"))</f>
        <v/>
      </c>
      <c r="AW106" s="99" t="str">
        <f>IF($A106="","",IFERROR(INDEX('Base Rates'!$C$4:$I$4,MATCH(MAX($J106,'Technical Premium'!$C$18),'Base Rates'!$C$3:$I$3,1)),"?"))</f>
        <v/>
      </c>
      <c r="AX106" s="101" t="str">
        <f>IF($A106="","",IFERROR(INDEX('Base Rates'!$C$5:$I$16,MATCH($I106,'Base Rates'!$B$5:$B$16,0),MATCH(MAX($J106,'Technical Premium'!$C$18),'Base Rates'!$C$3:$I$3,1)),"?"))</f>
        <v/>
      </c>
      <c r="AY106" s="102" t="str">
        <f t="shared" si="14"/>
        <v/>
      </c>
      <c r="AZ106" s="99" t="str">
        <f>IF($A106="","",IFERROR(INDEX('Make Factors'!$G$5:$G$69,MATCH($F106,'Make Factors'!$B$5:$B$69,0)),"?"))</f>
        <v/>
      </c>
      <c r="BA106" s="99" t="str">
        <f>IF($A106="","",IFERROR(INDEX('Driver Factors'!$C$6:$C$15,MATCH($R106,'Driver Factors'!$B$6:$B$15,0)),"?"))</f>
        <v/>
      </c>
      <c r="BB106" s="99" t="str">
        <f>IF($A106="","",IFERROR(INDEX('Driver Factors'!$C$19:$C$24,MATCH($S106,'Driver Factors'!$B$19:$B$24,0)),"?"))</f>
        <v/>
      </c>
      <c r="BC106" s="99" t="str">
        <f>IF($A106="","",IFERROR(INDEX('Driver Factors'!$C$28:$C$36,MATCH($T106,'Driver Factors'!$B$28:$B$36,0)),"?"))</f>
        <v/>
      </c>
      <c r="BD106" s="99" t="str">
        <f>IF($A106="","",IFERROR(INDEX('Claims History'!$C$6:$C$15,MATCH($U106,'Claims History'!$B$6:$B$15,0)),"?"))</f>
        <v/>
      </c>
      <c r="BE106" s="99" t="str">
        <f>IF($A106="","",IFERROR(INDEX('Territory Factors'!$E$6:$E$56,MATCH($K106,'Territory Factors'!$B$6:$B$56,0)),"?"))</f>
        <v/>
      </c>
      <c r="BF106" s="99" t="str">
        <f>IF($A106="","",IFERROR(INDEX('City Accident Ratings'!$G$6:$G$54,MATCH($Z106,'City Accident Ratings'!$B$6:$B$54,0)),"?"))</f>
        <v/>
      </c>
      <c r="BG106" s="99" t="str">
        <f>IF($A106="","",IFERROR(INDEX('Usage and Coverage'!$D$6:$D$20,MATCH($N106,'Usage and Coverage'!$C$6:$C$20,0)),"?"))</f>
        <v/>
      </c>
      <c r="BH106" s="99" t="str">
        <f>IF($A106="","",IFERROR(INDEX('Usage and Coverage'!$C$24:$C$30,MATCH($O106,'Usage and Coverage'!$B$24:$B$30,0)),"?"))</f>
        <v/>
      </c>
      <c r="BI106" s="99" t="str">
        <f>IF($A106="","",IFERROR(INDEX('Usage and Coverage'!$C$34:$C$40,MATCH($P106,'Usage and Coverage'!$B$34:$B$40,0)),"?"))</f>
        <v/>
      </c>
      <c r="BJ106" s="99" t="str">
        <f>IF($A106="","",IFERROR(INDEX('Usage and Coverage'!$C$44:$C$49,MATCH($Q106,'Usage and Coverage'!$B$44:$B$49,0)),"?"))</f>
        <v/>
      </c>
      <c r="BK106" s="99" t="str">
        <f>IF($A106="","",IFERROR(INDEX(Deductibles!$C$6:$I$15,MATCH($W106,Deductibles!$B$6:$B$15,0),MATCH(MAX($J106,'Technical Premium'!$C$18),'Base Rates'!$C$3:$I$3,1)),"?"))</f>
        <v/>
      </c>
      <c r="BL106" s="99" t="str">
        <f>IF($A106="","",IFERROR(INDEX('Usage and Coverage'!$C$63:$C$66,MATCH($X106,'Usage and Coverage'!$B$63:$B$66,0)),"?"))</f>
        <v/>
      </c>
      <c r="BM106" s="99" t="str">
        <f>IF($A106="","",IFERROR(INDEX('Usage and Coverage'!$C$70:$C$75,MATCH($V106,'Usage and Coverage'!$B$70:$B$75,0)),"?"))</f>
        <v/>
      </c>
      <c r="BN106" s="99" t="str">
        <f>IF($A106="","",IF($AB106="",1,IFERROR(INDEX(Deductibles!$C$48:$C$51,MATCH($AB106,Deductibles!$B$48:$B$51,0)),"?")))</f>
        <v/>
      </c>
      <c r="BO106" s="99" t="str">
        <f>IF($A106="","",IF($AC106="",1,IFERROR(INDEX(Deductibles!$C$55:$C$57,MATCH($AC106,Deductibles!$B$55:$B$57,0)),"?")))</f>
        <v/>
      </c>
      <c r="BP106" s="99" t="str">
        <f>IF($A106="","",IF($AD106="",1,IFERROR(INDEX(Deductibles!$C$61:$C$63,MATCH($AD106,Deductibles!$B$61:$B$63,0)),"?")))</f>
        <v/>
      </c>
      <c r="BQ106" s="99" t="str">
        <f>IF($A106="","",IF($AE106="",1,IFERROR(INDEX(Deductibles!$C$67:$C$69,MATCH($AE106,Deductibles!$B$67:$B$69,0)),"?")))</f>
        <v/>
      </c>
      <c r="BR106" s="99" t="str">
        <f>IF($A106="","",IF($AF106="",1,IFERROR(INDEX(Deductibles!$C$73:$C$74,MATCH($AF106,Deductibles!$B$73:$B$74,0)),"?")))</f>
        <v/>
      </c>
      <c r="BS106" s="99" t="str">
        <f>IF($A106="","",IF($AG106="",1,IFERROR(INDEX('Sublimits and Parts'!$C$49:$C$52,MATCH($AG106,'Sublimits and Parts'!$B$49:$B$52,0)),"?")))</f>
        <v/>
      </c>
      <c r="BT106" s="99" t="str">
        <f>IF($A106="","",IF($AH106="",1,IFERROR(INDEX('Sublimits and Parts'!$C$56:$C$60,MATCH($AH106,'Sublimits and Parts'!$B$56:$B$60,0)),"?")))</f>
        <v/>
      </c>
      <c r="BU106" s="99" t="str">
        <f>IF($A106="","",IF($AI106="",1,IFERROR(INDEX('Sublimits and Parts'!$C$64:$C$67,MATCH($AI106,'Sublimits and Parts'!$B$64:$B$67,0)),"?")))</f>
        <v/>
      </c>
      <c r="BV106" s="99" t="str">
        <f>IF($A106="","",IF($AJ106="",1,IFERROR(INDEX('Sublimits and Parts'!$C$71:$C$74,MATCH($AJ106,'Sublimits and Parts'!$B$71:$B$74,0)),"?")))</f>
        <v/>
      </c>
      <c r="BW106" s="99" t="str">
        <f>IF($A106="","",IF($AK106="",1,IFERROR(INDEX('Sublimits and Parts'!$C$78:$C$80,MATCH($AK106,'Sublimits and Parts'!$B$78:$B$80,0)),"?")))</f>
        <v/>
      </c>
      <c r="BX106" s="99" t="str">
        <f>IF($A106="","",IF($AL106="",1,IFERROR(INDEX('Sublimits and Parts'!$C$84:$C$87,MATCH($AL106,'Sublimits and Parts'!$B$84:$B$87,0)),"?")))</f>
        <v/>
      </c>
      <c r="BY106" s="99" t="str">
        <f>IF($A106="","",IF($AM106="",1,IFERROR(INDEX('Sublimits and Parts'!$C$91:$C$94,MATCH($AM106,'Sublimits and Parts'!$B$91:$B$94,0)),"?")))</f>
        <v/>
      </c>
      <c r="BZ106" s="99" t="str">
        <f>IF($A106="","",IF($AN106="",1,IFERROR(INDEX('Sublimits and Parts'!$C$98:$C$101,MATCH($AN106,'Sublimits and Parts'!$B$98:$B$101,0)),"?")))</f>
        <v/>
      </c>
      <c r="CA106" s="99" t="str">
        <f>IF($A106="","",IF($AO106="",1,IFERROR(INDEX('Sublimits and Parts'!$C$105:$C$109,MATCH($AO106,'Sublimits and Parts'!$B$105:$B$109,0)),"?")))</f>
        <v/>
      </c>
      <c r="CB106" s="100" t="str">
        <f t="shared" si="15"/>
        <v/>
      </c>
      <c r="CC106" s="100" t="str">
        <f t="shared" si="16"/>
        <v/>
      </c>
      <c r="CD106" s="103" t="str">
        <f>IF($A106="","",IF(OR($CB106="?",$CC106="?"),"?",MIN($CB106*$CC106,'Technical Premium'!$C$17)))</f>
        <v/>
      </c>
      <c r="CE106" s="102" t="str">
        <f t="shared" si="17"/>
        <v/>
      </c>
      <c r="CF106" s="102" t="str">
        <f>IF($A106="","",IFERROR(INDEX('Territory Factors'!$F$6:$F$56,MATCH($K106,'Territory Factors'!$B$6:$B$56,0)),"?"))</f>
        <v/>
      </c>
      <c r="CG106" s="100" t="str">
        <f>IF($A106="","",IFERROR(INDEX('Usage and Coverage'!$C$79:$C$84,MATCH($Y106,'Usage and Coverage'!$B$79:$B$84,0)),"?"))</f>
        <v/>
      </c>
      <c r="CH106" s="102" t="str">
        <f>IFERROR(IF(ISNUMBER($CD106),$CF106*$CG106*MIN($BG106*$BA106*$BC106*$BD106*$BH106*$BF106,'Technical Premium'!$C$17),""),"")</f>
        <v/>
      </c>
      <c r="CI106" s="102" t="str">
        <f t="shared" si="18"/>
        <v/>
      </c>
      <c r="CJ106" s="102" t="str">
        <f>IFERROR($CI106*(1+'Technical Premium'!$C$5)*(1+'Technical Premium'!$C$6),"")</f>
        <v/>
      </c>
      <c r="CK106" s="102" t="str">
        <f>IFERROR($CE106*INDEX('Territory Factors'!$G$6:$G$56,MATCH($K106,'Territory Factors'!$B$6:$B$56,0))*$AU106*$AV106,"")</f>
        <v/>
      </c>
      <c r="CL106" s="102" t="str">
        <f>IFERROR(($CJ106+$CK106)*(1+'Technical Premium'!$C$7),"")</f>
        <v/>
      </c>
      <c r="CM106" s="104" t="str">
        <f>IFERROR($CL106/'Technical Premium'!$C$13,"")</f>
        <v/>
      </c>
      <c r="CN106" s="105" t="str">
        <f t="shared" si="19"/>
        <v/>
      </c>
      <c r="CO106" s="104" t="str">
        <f t="shared" si="20"/>
        <v/>
      </c>
      <c r="CP106" s="105" t="str">
        <f t="shared" si="21"/>
        <v/>
      </c>
      <c r="CQ106" s="106" t="str">
        <f t="shared" si="22"/>
        <v/>
      </c>
      <c r="CR106" s="102" t="str">
        <f>IF(ISNUMBER($CM106),'Technical Premium'!$C$14+IF($J106&gt;=1000000,'Technical Premium'!$C$15,0),"")</f>
        <v/>
      </c>
      <c r="CS106" s="102" t="str">
        <f>IFERROR(($CO106+$CR106)*(INDEX('Territory Factors'!$K$6:$K$56,MATCH($K106,'Territory Factors'!$B$6:$B$56,0))+'Commission Structure'!$C$21),"")</f>
        <v/>
      </c>
      <c r="CT106" s="104" t="str">
        <f t="shared" si="23"/>
        <v/>
      </c>
      <c r="CU106" s="102" t="str">
        <f>IFERROR($CO106*('Commission Structure'!$C$6+'Commission Structure'!$C$7),"")</f>
        <v/>
      </c>
      <c r="CV106" s="102" t="str">
        <f>IFERROR($CO106*'Commission Structure'!$C$5-$CU106,"")</f>
        <v/>
      </c>
      <c r="CW106" s="102" t="str">
        <f>IFERROR($CO106*(1-'Commission Structure'!$C$5),"")</f>
        <v/>
      </c>
      <c r="CX106" s="107"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8" t="str">
        <f t="shared" si="24"/>
        <v/>
      </c>
      <c r="CZ106" s="99" t="str">
        <f>IF($CY106="","",IF($CY106&lt;'Technical Premium'!$C$19,"BEYOND AUTHORITY",IF($CY106&gt;0.005,"Above technical",IF($CY106&lt;-0.005,"BELOW technical","At technical"))))</f>
        <v/>
      </c>
      <c r="DA106" s="99"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4"/>
      <c r="DC106" s="94"/>
      <c r="DD106" s="95"/>
      <c r="DE106" s="94"/>
      <c r="DF106" s="94"/>
      <c r="DG106" s="99" t="str">
        <f t="shared" si="25"/>
        <v/>
      </c>
      <c r="DH106" s="99" t="str">
        <f>IF($A106="","",IF(OR($CX106="REFER",$CX106="DECLINE"),COUNTIF($CX$5:$CX106,"REFER")+COUNTIF($CX$5:$CX106,"DECLINE"),""))</f>
        <v/>
      </c>
      <c r="DI106" s="94"/>
    </row>
    <row r="107" spans="1:113" x14ac:dyDescent="0.35">
      <c r="A107" s="94"/>
      <c r="B107" s="94"/>
      <c r="C107" s="95"/>
      <c r="D107" s="95"/>
      <c r="E107" s="96"/>
      <c r="F107" s="94"/>
      <c r="G107" s="94"/>
      <c r="H107" s="94"/>
      <c r="I107" s="94"/>
      <c r="J107" s="97"/>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8"/>
      <c r="AR107" s="99" t="str">
        <f t="shared" si="13"/>
        <v/>
      </c>
      <c r="AS107" s="99" t="str">
        <f>IF($A107="","",IF($AP107&lt;&gt;"",$AP107,IFERROR(INDEX('Cat Zone by ZIP'!$D$6:$D$856,MATCH($AR107,'Cat Zone by ZIP'!$B$6:$B$856,0)),IFERROR(INDEX('Cat Zone by ZIP'!$C$860:$C$910,MATCH($K107,'Cat Zone by ZIP'!$B$860:$B$910,0)),"NOT FOUND"))))</f>
        <v/>
      </c>
      <c r="AT107" s="99" t="str">
        <f>IF($A107="","",IF($AP107&lt;&gt;"","Override",IF(ISNUMBER(MATCH($AR107,'Cat Zone by ZIP'!$B$6:$B$856,0)),"ZIP-3","State default")))</f>
        <v/>
      </c>
      <c r="AU107" s="100" t="str">
        <f>IF($A107="","",IFERROR(INDEX('Natural Catastrophe'!$D$6:$D$17,MATCH($AS107,'Natural Catastrophe'!$B$6:$B$17,0)),"?"))</f>
        <v/>
      </c>
      <c r="AV107" s="100" t="str">
        <f>IF($A107="","",IFERROR(INDEX('Natural Catastrophe'!$C$21:$C$26,MATCH($AA107,'Natural Catastrophe'!$B$21:$B$26,0)),"?"))</f>
        <v/>
      </c>
      <c r="AW107" s="99" t="str">
        <f>IF($A107="","",IFERROR(INDEX('Base Rates'!$C$4:$I$4,MATCH(MAX($J107,'Technical Premium'!$C$18),'Base Rates'!$C$3:$I$3,1)),"?"))</f>
        <v/>
      </c>
      <c r="AX107" s="101" t="str">
        <f>IF($A107="","",IFERROR(INDEX('Base Rates'!$C$5:$I$16,MATCH($I107,'Base Rates'!$B$5:$B$16,0),MATCH(MAX($J107,'Technical Premium'!$C$18),'Base Rates'!$C$3:$I$3,1)),"?"))</f>
        <v/>
      </c>
      <c r="AY107" s="102" t="str">
        <f t="shared" si="14"/>
        <v/>
      </c>
      <c r="AZ107" s="99" t="str">
        <f>IF($A107="","",IFERROR(INDEX('Make Factors'!$G$5:$G$69,MATCH($F107,'Make Factors'!$B$5:$B$69,0)),"?"))</f>
        <v/>
      </c>
      <c r="BA107" s="99" t="str">
        <f>IF($A107="","",IFERROR(INDEX('Driver Factors'!$C$6:$C$15,MATCH($R107,'Driver Factors'!$B$6:$B$15,0)),"?"))</f>
        <v/>
      </c>
      <c r="BB107" s="99" t="str">
        <f>IF($A107="","",IFERROR(INDEX('Driver Factors'!$C$19:$C$24,MATCH($S107,'Driver Factors'!$B$19:$B$24,0)),"?"))</f>
        <v/>
      </c>
      <c r="BC107" s="99" t="str">
        <f>IF($A107="","",IFERROR(INDEX('Driver Factors'!$C$28:$C$36,MATCH($T107,'Driver Factors'!$B$28:$B$36,0)),"?"))</f>
        <v/>
      </c>
      <c r="BD107" s="99" t="str">
        <f>IF($A107="","",IFERROR(INDEX('Claims History'!$C$6:$C$15,MATCH($U107,'Claims History'!$B$6:$B$15,0)),"?"))</f>
        <v/>
      </c>
      <c r="BE107" s="99" t="str">
        <f>IF($A107="","",IFERROR(INDEX('Territory Factors'!$E$6:$E$56,MATCH($K107,'Territory Factors'!$B$6:$B$56,0)),"?"))</f>
        <v/>
      </c>
      <c r="BF107" s="99" t="str">
        <f>IF($A107="","",IFERROR(INDEX('City Accident Ratings'!$G$6:$G$54,MATCH($Z107,'City Accident Ratings'!$B$6:$B$54,0)),"?"))</f>
        <v/>
      </c>
      <c r="BG107" s="99" t="str">
        <f>IF($A107="","",IFERROR(INDEX('Usage and Coverage'!$D$6:$D$20,MATCH($N107,'Usage and Coverage'!$C$6:$C$20,0)),"?"))</f>
        <v/>
      </c>
      <c r="BH107" s="99" t="str">
        <f>IF($A107="","",IFERROR(INDEX('Usage and Coverage'!$C$24:$C$30,MATCH($O107,'Usage and Coverage'!$B$24:$B$30,0)),"?"))</f>
        <v/>
      </c>
      <c r="BI107" s="99" t="str">
        <f>IF($A107="","",IFERROR(INDEX('Usage and Coverage'!$C$34:$C$40,MATCH($P107,'Usage and Coverage'!$B$34:$B$40,0)),"?"))</f>
        <v/>
      </c>
      <c r="BJ107" s="99" t="str">
        <f>IF($A107="","",IFERROR(INDEX('Usage and Coverage'!$C$44:$C$49,MATCH($Q107,'Usage and Coverage'!$B$44:$B$49,0)),"?"))</f>
        <v/>
      </c>
      <c r="BK107" s="99" t="str">
        <f>IF($A107="","",IFERROR(INDEX(Deductibles!$C$6:$I$15,MATCH($W107,Deductibles!$B$6:$B$15,0),MATCH(MAX($J107,'Technical Premium'!$C$18),'Base Rates'!$C$3:$I$3,1)),"?"))</f>
        <v/>
      </c>
      <c r="BL107" s="99" t="str">
        <f>IF($A107="","",IFERROR(INDEX('Usage and Coverage'!$C$63:$C$66,MATCH($X107,'Usage and Coverage'!$B$63:$B$66,0)),"?"))</f>
        <v/>
      </c>
      <c r="BM107" s="99" t="str">
        <f>IF($A107="","",IFERROR(INDEX('Usage and Coverage'!$C$70:$C$75,MATCH($V107,'Usage and Coverage'!$B$70:$B$75,0)),"?"))</f>
        <v/>
      </c>
      <c r="BN107" s="99" t="str">
        <f>IF($A107="","",IF($AB107="",1,IFERROR(INDEX(Deductibles!$C$48:$C$51,MATCH($AB107,Deductibles!$B$48:$B$51,0)),"?")))</f>
        <v/>
      </c>
      <c r="BO107" s="99" t="str">
        <f>IF($A107="","",IF($AC107="",1,IFERROR(INDEX(Deductibles!$C$55:$C$57,MATCH($AC107,Deductibles!$B$55:$B$57,0)),"?")))</f>
        <v/>
      </c>
      <c r="BP107" s="99" t="str">
        <f>IF($A107="","",IF($AD107="",1,IFERROR(INDEX(Deductibles!$C$61:$C$63,MATCH($AD107,Deductibles!$B$61:$B$63,0)),"?")))</f>
        <v/>
      </c>
      <c r="BQ107" s="99" t="str">
        <f>IF($A107="","",IF($AE107="",1,IFERROR(INDEX(Deductibles!$C$67:$C$69,MATCH($AE107,Deductibles!$B$67:$B$69,0)),"?")))</f>
        <v/>
      </c>
      <c r="BR107" s="99" t="str">
        <f>IF($A107="","",IF($AF107="",1,IFERROR(INDEX(Deductibles!$C$73:$C$74,MATCH($AF107,Deductibles!$B$73:$B$74,0)),"?")))</f>
        <v/>
      </c>
      <c r="BS107" s="99" t="str">
        <f>IF($A107="","",IF($AG107="",1,IFERROR(INDEX('Sublimits and Parts'!$C$49:$C$52,MATCH($AG107,'Sublimits and Parts'!$B$49:$B$52,0)),"?")))</f>
        <v/>
      </c>
      <c r="BT107" s="99" t="str">
        <f>IF($A107="","",IF($AH107="",1,IFERROR(INDEX('Sublimits and Parts'!$C$56:$C$60,MATCH($AH107,'Sublimits and Parts'!$B$56:$B$60,0)),"?")))</f>
        <v/>
      </c>
      <c r="BU107" s="99" t="str">
        <f>IF($A107="","",IF($AI107="",1,IFERROR(INDEX('Sublimits and Parts'!$C$64:$C$67,MATCH($AI107,'Sublimits and Parts'!$B$64:$B$67,0)),"?")))</f>
        <v/>
      </c>
      <c r="BV107" s="99" t="str">
        <f>IF($A107="","",IF($AJ107="",1,IFERROR(INDEX('Sublimits and Parts'!$C$71:$C$74,MATCH($AJ107,'Sublimits and Parts'!$B$71:$B$74,0)),"?")))</f>
        <v/>
      </c>
      <c r="BW107" s="99" t="str">
        <f>IF($A107="","",IF($AK107="",1,IFERROR(INDEX('Sublimits and Parts'!$C$78:$C$80,MATCH($AK107,'Sublimits and Parts'!$B$78:$B$80,0)),"?")))</f>
        <v/>
      </c>
      <c r="BX107" s="99" t="str">
        <f>IF($A107="","",IF($AL107="",1,IFERROR(INDEX('Sublimits and Parts'!$C$84:$C$87,MATCH($AL107,'Sublimits and Parts'!$B$84:$B$87,0)),"?")))</f>
        <v/>
      </c>
      <c r="BY107" s="99" t="str">
        <f>IF($A107="","",IF($AM107="",1,IFERROR(INDEX('Sublimits and Parts'!$C$91:$C$94,MATCH($AM107,'Sublimits and Parts'!$B$91:$B$94,0)),"?")))</f>
        <v/>
      </c>
      <c r="BZ107" s="99" t="str">
        <f>IF($A107="","",IF($AN107="",1,IFERROR(INDEX('Sublimits and Parts'!$C$98:$C$101,MATCH($AN107,'Sublimits and Parts'!$B$98:$B$101,0)),"?")))</f>
        <v/>
      </c>
      <c r="CA107" s="99" t="str">
        <f>IF($A107="","",IF($AO107="",1,IFERROR(INDEX('Sublimits and Parts'!$C$105:$C$109,MATCH($AO107,'Sublimits and Parts'!$B$105:$B$109,0)),"?")))</f>
        <v/>
      </c>
      <c r="CB107" s="100" t="str">
        <f t="shared" si="15"/>
        <v/>
      </c>
      <c r="CC107" s="100" t="str">
        <f t="shared" si="16"/>
        <v/>
      </c>
      <c r="CD107" s="103" t="str">
        <f>IF($A107="","",IF(OR($CB107="?",$CC107="?"),"?",MIN($CB107*$CC107,'Technical Premium'!$C$17)))</f>
        <v/>
      </c>
      <c r="CE107" s="102" t="str">
        <f t="shared" si="17"/>
        <v/>
      </c>
      <c r="CF107" s="102" t="str">
        <f>IF($A107="","",IFERROR(INDEX('Territory Factors'!$F$6:$F$56,MATCH($K107,'Territory Factors'!$B$6:$B$56,0)),"?"))</f>
        <v/>
      </c>
      <c r="CG107" s="100" t="str">
        <f>IF($A107="","",IFERROR(INDEX('Usage and Coverage'!$C$79:$C$84,MATCH($Y107,'Usage and Coverage'!$B$79:$B$84,0)),"?"))</f>
        <v/>
      </c>
      <c r="CH107" s="102" t="str">
        <f>IFERROR(IF(ISNUMBER($CD107),$CF107*$CG107*MIN($BG107*$BA107*$BC107*$BD107*$BH107*$BF107,'Technical Premium'!$C$17),""),"")</f>
        <v/>
      </c>
      <c r="CI107" s="102" t="str">
        <f t="shared" si="18"/>
        <v/>
      </c>
      <c r="CJ107" s="102" t="str">
        <f>IFERROR($CI107*(1+'Technical Premium'!$C$5)*(1+'Technical Premium'!$C$6),"")</f>
        <v/>
      </c>
      <c r="CK107" s="102" t="str">
        <f>IFERROR($CE107*INDEX('Territory Factors'!$G$6:$G$56,MATCH($K107,'Territory Factors'!$B$6:$B$56,0))*$AU107*$AV107,"")</f>
        <v/>
      </c>
      <c r="CL107" s="102" t="str">
        <f>IFERROR(($CJ107+$CK107)*(1+'Technical Premium'!$C$7),"")</f>
        <v/>
      </c>
      <c r="CM107" s="104" t="str">
        <f>IFERROR($CL107/'Technical Premium'!$C$13,"")</f>
        <v/>
      </c>
      <c r="CN107" s="105" t="str">
        <f t="shared" si="19"/>
        <v/>
      </c>
      <c r="CO107" s="104" t="str">
        <f t="shared" si="20"/>
        <v/>
      </c>
      <c r="CP107" s="105" t="str">
        <f t="shared" si="21"/>
        <v/>
      </c>
      <c r="CQ107" s="106" t="str">
        <f t="shared" si="22"/>
        <v/>
      </c>
      <c r="CR107" s="102" t="str">
        <f>IF(ISNUMBER($CM107),'Technical Premium'!$C$14+IF($J107&gt;=1000000,'Technical Premium'!$C$15,0),"")</f>
        <v/>
      </c>
      <c r="CS107" s="102" t="str">
        <f>IFERROR(($CO107+$CR107)*(INDEX('Territory Factors'!$K$6:$K$56,MATCH($K107,'Territory Factors'!$B$6:$B$56,0))+'Commission Structure'!$C$21),"")</f>
        <v/>
      </c>
      <c r="CT107" s="104" t="str">
        <f t="shared" si="23"/>
        <v/>
      </c>
      <c r="CU107" s="102" t="str">
        <f>IFERROR($CO107*('Commission Structure'!$C$6+'Commission Structure'!$C$7),"")</f>
        <v/>
      </c>
      <c r="CV107" s="102" t="str">
        <f>IFERROR($CO107*'Commission Structure'!$C$5-$CU107,"")</f>
        <v/>
      </c>
      <c r="CW107" s="102" t="str">
        <f>IFERROR($CO107*(1-'Commission Structure'!$C$5),"")</f>
        <v/>
      </c>
      <c r="CX107" s="107"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8" t="str">
        <f t="shared" si="24"/>
        <v/>
      </c>
      <c r="CZ107" s="99" t="str">
        <f>IF($CY107="","",IF($CY107&lt;'Technical Premium'!$C$19,"BEYOND AUTHORITY",IF($CY107&gt;0.005,"Above technical",IF($CY107&lt;-0.005,"BELOW technical","At technical"))))</f>
        <v/>
      </c>
      <c r="DA107" s="99"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4"/>
      <c r="DC107" s="94"/>
      <c r="DD107" s="95"/>
      <c r="DE107" s="94"/>
      <c r="DF107" s="94"/>
      <c r="DG107" s="99" t="str">
        <f t="shared" si="25"/>
        <v/>
      </c>
      <c r="DH107" s="99" t="str">
        <f>IF($A107="","",IF(OR($CX107="REFER",$CX107="DECLINE"),COUNTIF($CX$5:$CX107,"REFER")+COUNTIF($CX$5:$CX107,"DECLINE"),""))</f>
        <v/>
      </c>
      <c r="DI107" s="94"/>
    </row>
    <row r="108" spans="1:113" x14ac:dyDescent="0.35">
      <c r="A108" s="94"/>
      <c r="B108" s="94"/>
      <c r="C108" s="95"/>
      <c r="D108" s="95"/>
      <c r="E108" s="96"/>
      <c r="F108" s="94"/>
      <c r="G108" s="94"/>
      <c r="H108" s="94"/>
      <c r="I108" s="94"/>
      <c r="J108" s="97"/>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8"/>
      <c r="AR108" s="99" t="str">
        <f t="shared" si="13"/>
        <v/>
      </c>
      <c r="AS108" s="99" t="str">
        <f>IF($A108="","",IF($AP108&lt;&gt;"",$AP108,IFERROR(INDEX('Cat Zone by ZIP'!$D$6:$D$856,MATCH($AR108,'Cat Zone by ZIP'!$B$6:$B$856,0)),IFERROR(INDEX('Cat Zone by ZIP'!$C$860:$C$910,MATCH($K108,'Cat Zone by ZIP'!$B$860:$B$910,0)),"NOT FOUND"))))</f>
        <v/>
      </c>
      <c r="AT108" s="99" t="str">
        <f>IF($A108="","",IF($AP108&lt;&gt;"","Override",IF(ISNUMBER(MATCH($AR108,'Cat Zone by ZIP'!$B$6:$B$856,0)),"ZIP-3","State default")))</f>
        <v/>
      </c>
      <c r="AU108" s="100" t="str">
        <f>IF($A108="","",IFERROR(INDEX('Natural Catastrophe'!$D$6:$D$17,MATCH($AS108,'Natural Catastrophe'!$B$6:$B$17,0)),"?"))</f>
        <v/>
      </c>
      <c r="AV108" s="100" t="str">
        <f>IF($A108="","",IFERROR(INDEX('Natural Catastrophe'!$C$21:$C$26,MATCH($AA108,'Natural Catastrophe'!$B$21:$B$26,0)),"?"))</f>
        <v/>
      </c>
      <c r="AW108" s="99" t="str">
        <f>IF($A108="","",IFERROR(INDEX('Base Rates'!$C$4:$I$4,MATCH(MAX($J108,'Technical Premium'!$C$18),'Base Rates'!$C$3:$I$3,1)),"?"))</f>
        <v/>
      </c>
      <c r="AX108" s="101" t="str">
        <f>IF($A108="","",IFERROR(INDEX('Base Rates'!$C$5:$I$16,MATCH($I108,'Base Rates'!$B$5:$B$16,0),MATCH(MAX($J108,'Technical Premium'!$C$18),'Base Rates'!$C$3:$I$3,1)),"?"))</f>
        <v/>
      </c>
      <c r="AY108" s="102" t="str">
        <f t="shared" si="14"/>
        <v/>
      </c>
      <c r="AZ108" s="99" t="str">
        <f>IF($A108="","",IFERROR(INDEX('Make Factors'!$G$5:$G$69,MATCH($F108,'Make Factors'!$B$5:$B$69,0)),"?"))</f>
        <v/>
      </c>
      <c r="BA108" s="99" t="str">
        <f>IF($A108="","",IFERROR(INDEX('Driver Factors'!$C$6:$C$15,MATCH($R108,'Driver Factors'!$B$6:$B$15,0)),"?"))</f>
        <v/>
      </c>
      <c r="BB108" s="99" t="str">
        <f>IF($A108="","",IFERROR(INDEX('Driver Factors'!$C$19:$C$24,MATCH($S108,'Driver Factors'!$B$19:$B$24,0)),"?"))</f>
        <v/>
      </c>
      <c r="BC108" s="99" t="str">
        <f>IF($A108="","",IFERROR(INDEX('Driver Factors'!$C$28:$C$36,MATCH($T108,'Driver Factors'!$B$28:$B$36,0)),"?"))</f>
        <v/>
      </c>
      <c r="BD108" s="99" t="str">
        <f>IF($A108="","",IFERROR(INDEX('Claims History'!$C$6:$C$15,MATCH($U108,'Claims History'!$B$6:$B$15,0)),"?"))</f>
        <v/>
      </c>
      <c r="BE108" s="99" t="str">
        <f>IF($A108="","",IFERROR(INDEX('Territory Factors'!$E$6:$E$56,MATCH($K108,'Territory Factors'!$B$6:$B$56,0)),"?"))</f>
        <v/>
      </c>
      <c r="BF108" s="99" t="str">
        <f>IF($A108="","",IFERROR(INDEX('City Accident Ratings'!$G$6:$G$54,MATCH($Z108,'City Accident Ratings'!$B$6:$B$54,0)),"?"))</f>
        <v/>
      </c>
      <c r="BG108" s="99" t="str">
        <f>IF($A108="","",IFERROR(INDEX('Usage and Coverage'!$D$6:$D$20,MATCH($N108,'Usage and Coverage'!$C$6:$C$20,0)),"?"))</f>
        <v/>
      </c>
      <c r="BH108" s="99" t="str">
        <f>IF($A108="","",IFERROR(INDEX('Usage and Coverage'!$C$24:$C$30,MATCH($O108,'Usage and Coverage'!$B$24:$B$30,0)),"?"))</f>
        <v/>
      </c>
      <c r="BI108" s="99" t="str">
        <f>IF($A108="","",IFERROR(INDEX('Usage and Coverage'!$C$34:$C$40,MATCH($P108,'Usage and Coverage'!$B$34:$B$40,0)),"?"))</f>
        <v/>
      </c>
      <c r="BJ108" s="99" t="str">
        <f>IF($A108="","",IFERROR(INDEX('Usage and Coverage'!$C$44:$C$49,MATCH($Q108,'Usage and Coverage'!$B$44:$B$49,0)),"?"))</f>
        <v/>
      </c>
      <c r="BK108" s="99" t="str">
        <f>IF($A108="","",IFERROR(INDEX(Deductibles!$C$6:$I$15,MATCH($W108,Deductibles!$B$6:$B$15,0),MATCH(MAX($J108,'Technical Premium'!$C$18),'Base Rates'!$C$3:$I$3,1)),"?"))</f>
        <v/>
      </c>
      <c r="BL108" s="99" t="str">
        <f>IF($A108="","",IFERROR(INDEX('Usage and Coverage'!$C$63:$C$66,MATCH($X108,'Usage and Coverage'!$B$63:$B$66,0)),"?"))</f>
        <v/>
      </c>
      <c r="BM108" s="99" t="str">
        <f>IF($A108="","",IFERROR(INDEX('Usage and Coverage'!$C$70:$C$75,MATCH($V108,'Usage and Coverage'!$B$70:$B$75,0)),"?"))</f>
        <v/>
      </c>
      <c r="BN108" s="99" t="str">
        <f>IF($A108="","",IF($AB108="",1,IFERROR(INDEX(Deductibles!$C$48:$C$51,MATCH($AB108,Deductibles!$B$48:$B$51,0)),"?")))</f>
        <v/>
      </c>
      <c r="BO108" s="99" t="str">
        <f>IF($A108="","",IF($AC108="",1,IFERROR(INDEX(Deductibles!$C$55:$C$57,MATCH($AC108,Deductibles!$B$55:$B$57,0)),"?")))</f>
        <v/>
      </c>
      <c r="BP108" s="99" t="str">
        <f>IF($A108="","",IF($AD108="",1,IFERROR(INDEX(Deductibles!$C$61:$C$63,MATCH($AD108,Deductibles!$B$61:$B$63,0)),"?")))</f>
        <v/>
      </c>
      <c r="BQ108" s="99" t="str">
        <f>IF($A108="","",IF($AE108="",1,IFERROR(INDEX(Deductibles!$C$67:$C$69,MATCH($AE108,Deductibles!$B$67:$B$69,0)),"?")))</f>
        <v/>
      </c>
      <c r="BR108" s="99" t="str">
        <f>IF($A108="","",IF($AF108="",1,IFERROR(INDEX(Deductibles!$C$73:$C$74,MATCH($AF108,Deductibles!$B$73:$B$74,0)),"?")))</f>
        <v/>
      </c>
      <c r="BS108" s="99" t="str">
        <f>IF($A108="","",IF($AG108="",1,IFERROR(INDEX('Sublimits and Parts'!$C$49:$C$52,MATCH($AG108,'Sublimits and Parts'!$B$49:$B$52,0)),"?")))</f>
        <v/>
      </c>
      <c r="BT108" s="99" t="str">
        <f>IF($A108="","",IF($AH108="",1,IFERROR(INDEX('Sublimits and Parts'!$C$56:$C$60,MATCH($AH108,'Sublimits and Parts'!$B$56:$B$60,0)),"?")))</f>
        <v/>
      </c>
      <c r="BU108" s="99" t="str">
        <f>IF($A108="","",IF($AI108="",1,IFERROR(INDEX('Sublimits and Parts'!$C$64:$C$67,MATCH($AI108,'Sublimits and Parts'!$B$64:$B$67,0)),"?")))</f>
        <v/>
      </c>
      <c r="BV108" s="99" t="str">
        <f>IF($A108="","",IF($AJ108="",1,IFERROR(INDEX('Sublimits and Parts'!$C$71:$C$74,MATCH($AJ108,'Sublimits and Parts'!$B$71:$B$74,0)),"?")))</f>
        <v/>
      </c>
      <c r="BW108" s="99" t="str">
        <f>IF($A108="","",IF($AK108="",1,IFERROR(INDEX('Sublimits and Parts'!$C$78:$C$80,MATCH($AK108,'Sublimits and Parts'!$B$78:$B$80,0)),"?")))</f>
        <v/>
      </c>
      <c r="BX108" s="99" t="str">
        <f>IF($A108="","",IF($AL108="",1,IFERROR(INDEX('Sublimits and Parts'!$C$84:$C$87,MATCH($AL108,'Sublimits and Parts'!$B$84:$B$87,0)),"?")))</f>
        <v/>
      </c>
      <c r="BY108" s="99" t="str">
        <f>IF($A108="","",IF($AM108="",1,IFERROR(INDEX('Sublimits and Parts'!$C$91:$C$94,MATCH($AM108,'Sublimits and Parts'!$B$91:$B$94,0)),"?")))</f>
        <v/>
      </c>
      <c r="BZ108" s="99" t="str">
        <f>IF($A108="","",IF($AN108="",1,IFERROR(INDEX('Sublimits and Parts'!$C$98:$C$101,MATCH($AN108,'Sublimits and Parts'!$B$98:$B$101,0)),"?")))</f>
        <v/>
      </c>
      <c r="CA108" s="99" t="str">
        <f>IF($A108="","",IF($AO108="",1,IFERROR(INDEX('Sublimits and Parts'!$C$105:$C$109,MATCH($AO108,'Sublimits and Parts'!$B$105:$B$109,0)),"?")))</f>
        <v/>
      </c>
      <c r="CB108" s="100" t="str">
        <f t="shared" si="15"/>
        <v/>
      </c>
      <c r="CC108" s="100" t="str">
        <f t="shared" si="16"/>
        <v/>
      </c>
      <c r="CD108" s="103" t="str">
        <f>IF($A108="","",IF(OR($CB108="?",$CC108="?"),"?",MIN($CB108*$CC108,'Technical Premium'!$C$17)))</f>
        <v/>
      </c>
      <c r="CE108" s="102" t="str">
        <f t="shared" si="17"/>
        <v/>
      </c>
      <c r="CF108" s="102" t="str">
        <f>IF($A108="","",IFERROR(INDEX('Territory Factors'!$F$6:$F$56,MATCH($K108,'Territory Factors'!$B$6:$B$56,0)),"?"))</f>
        <v/>
      </c>
      <c r="CG108" s="100" t="str">
        <f>IF($A108="","",IFERROR(INDEX('Usage and Coverage'!$C$79:$C$84,MATCH($Y108,'Usage and Coverage'!$B$79:$B$84,0)),"?"))</f>
        <v/>
      </c>
      <c r="CH108" s="102" t="str">
        <f>IFERROR(IF(ISNUMBER($CD108),$CF108*$CG108*MIN($BG108*$BA108*$BC108*$BD108*$BH108*$BF108,'Technical Premium'!$C$17),""),"")</f>
        <v/>
      </c>
      <c r="CI108" s="102" t="str">
        <f t="shared" si="18"/>
        <v/>
      </c>
      <c r="CJ108" s="102" t="str">
        <f>IFERROR($CI108*(1+'Technical Premium'!$C$5)*(1+'Technical Premium'!$C$6),"")</f>
        <v/>
      </c>
      <c r="CK108" s="102" t="str">
        <f>IFERROR($CE108*INDEX('Territory Factors'!$G$6:$G$56,MATCH($K108,'Territory Factors'!$B$6:$B$56,0))*$AU108*$AV108,"")</f>
        <v/>
      </c>
      <c r="CL108" s="102" t="str">
        <f>IFERROR(($CJ108+$CK108)*(1+'Technical Premium'!$C$7),"")</f>
        <v/>
      </c>
      <c r="CM108" s="104" t="str">
        <f>IFERROR($CL108/'Technical Premium'!$C$13,"")</f>
        <v/>
      </c>
      <c r="CN108" s="105" t="str">
        <f t="shared" si="19"/>
        <v/>
      </c>
      <c r="CO108" s="104" t="str">
        <f t="shared" si="20"/>
        <v/>
      </c>
      <c r="CP108" s="105" t="str">
        <f t="shared" si="21"/>
        <v/>
      </c>
      <c r="CQ108" s="106" t="str">
        <f t="shared" si="22"/>
        <v/>
      </c>
      <c r="CR108" s="102" t="str">
        <f>IF(ISNUMBER($CM108),'Technical Premium'!$C$14+IF($J108&gt;=1000000,'Technical Premium'!$C$15,0),"")</f>
        <v/>
      </c>
      <c r="CS108" s="102" t="str">
        <f>IFERROR(($CO108+$CR108)*(INDEX('Territory Factors'!$K$6:$K$56,MATCH($K108,'Territory Factors'!$B$6:$B$56,0))+'Commission Structure'!$C$21),"")</f>
        <v/>
      </c>
      <c r="CT108" s="104" t="str">
        <f t="shared" si="23"/>
        <v/>
      </c>
      <c r="CU108" s="102" t="str">
        <f>IFERROR($CO108*('Commission Structure'!$C$6+'Commission Structure'!$C$7),"")</f>
        <v/>
      </c>
      <c r="CV108" s="102" t="str">
        <f>IFERROR($CO108*'Commission Structure'!$C$5-$CU108,"")</f>
        <v/>
      </c>
      <c r="CW108" s="102" t="str">
        <f>IFERROR($CO108*(1-'Commission Structure'!$C$5),"")</f>
        <v/>
      </c>
      <c r="CX108" s="107"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8" t="str">
        <f t="shared" si="24"/>
        <v/>
      </c>
      <c r="CZ108" s="99" t="str">
        <f>IF($CY108="","",IF($CY108&lt;'Technical Premium'!$C$19,"BEYOND AUTHORITY",IF($CY108&gt;0.005,"Above technical",IF($CY108&lt;-0.005,"BELOW technical","At technical"))))</f>
        <v/>
      </c>
      <c r="DA108" s="99"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4"/>
      <c r="DC108" s="94"/>
      <c r="DD108" s="95"/>
      <c r="DE108" s="94"/>
      <c r="DF108" s="94"/>
      <c r="DG108" s="99" t="str">
        <f t="shared" si="25"/>
        <v/>
      </c>
      <c r="DH108" s="99" t="str">
        <f>IF($A108="","",IF(OR($CX108="REFER",$CX108="DECLINE"),COUNTIF($CX$5:$CX108,"REFER")+COUNTIF($CX$5:$CX108,"DECLINE"),""))</f>
        <v/>
      </c>
      <c r="DI108" s="94"/>
    </row>
    <row r="109" spans="1:113" x14ac:dyDescent="0.35">
      <c r="A109" s="94"/>
      <c r="B109" s="94"/>
      <c r="C109" s="95"/>
      <c r="D109" s="95"/>
      <c r="E109" s="96"/>
      <c r="F109" s="94"/>
      <c r="G109" s="94"/>
      <c r="H109" s="94"/>
      <c r="I109" s="94"/>
      <c r="J109" s="97"/>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8"/>
      <c r="AR109" s="99" t="str">
        <f t="shared" si="13"/>
        <v/>
      </c>
      <c r="AS109" s="99" t="str">
        <f>IF($A109="","",IF($AP109&lt;&gt;"",$AP109,IFERROR(INDEX('Cat Zone by ZIP'!$D$6:$D$856,MATCH($AR109,'Cat Zone by ZIP'!$B$6:$B$856,0)),IFERROR(INDEX('Cat Zone by ZIP'!$C$860:$C$910,MATCH($K109,'Cat Zone by ZIP'!$B$860:$B$910,0)),"NOT FOUND"))))</f>
        <v/>
      </c>
      <c r="AT109" s="99" t="str">
        <f>IF($A109="","",IF($AP109&lt;&gt;"","Override",IF(ISNUMBER(MATCH($AR109,'Cat Zone by ZIP'!$B$6:$B$856,0)),"ZIP-3","State default")))</f>
        <v/>
      </c>
      <c r="AU109" s="100" t="str">
        <f>IF($A109="","",IFERROR(INDEX('Natural Catastrophe'!$D$6:$D$17,MATCH($AS109,'Natural Catastrophe'!$B$6:$B$17,0)),"?"))</f>
        <v/>
      </c>
      <c r="AV109" s="100" t="str">
        <f>IF($A109="","",IFERROR(INDEX('Natural Catastrophe'!$C$21:$C$26,MATCH($AA109,'Natural Catastrophe'!$B$21:$B$26,0)),"?"))</f>
        <v/>
      </c>
      <c r="AW109" s="99" t="str">
        <f>IF($A109="","",IFERROR(INDEX('Base Rates'!$C$4:$I$4,MATCH(MAX($J109,'Technical Premium'!$C$18),'Base Rates'!$C$3:$I$3,1)),"?"))</f>
        <v/>
      </c>
      <c r="AX109" s="101" t="str">
        <f>IF($A109="","",IFERROR(INDEX('Base Rates'!$C$5:$I$16,MATCH($I109,'Base Rates'!$B$5:$B$16,0),MATCH(MAX($J109,'Technical Premium'!$C$18),'Base Rates'!$C$3:$I$3,1)),"?"))</f>
        <v/>
      </c>
      <c r="AY109" s="102" t="str">
        <f t="shared" si="14"/>
        <v/>
      </c>
      <c r="AZ109" s="99" t="str">
        <f>IF($A109="","",IFERROR(INDEX('Make Factors'!$G$5:$G$69,MATCH($F109,'Make Factors'!$B$5:$B$69,0)),"?"))</f>
        <v/>
      </c>
      <c r="BA109" s="99" t="str">
        <f>IF($A109="","",IFERROR(INDEX('Driver Factors'!$C$6:$C$15,MATCH($R109,'Driver Factors'!$B$6:$B$15,0)),"?"))</f>
        <v/>
      </c>
      <c r="BB109" s="99" t="str">
        <f>IF($A109="","",IFERROR(INDEX('Driver Factors'!$C$19:$C$24,MATCH($S109,'Driver Factors'!$B$19:$B$24,0)),"?"))</f>
        <v/>
      </c>
      <c r="BC109" s="99" t="str">
        <f>IF($A109="","",IFERROR(INDEX('Driver Factors'!$C$28:$C$36,MATCH($T109,'Driver Factors'!$B$28:$B$36,0)),"?"))</f>
        <v/>
      </c>
      <c r="BD109" s="99" t="str">
        <f>IF($A109="","",IFERROR(INDEX('Claims History'!$C$6:$C$15,MATCH($U109,'Claims History'!$B$6:$B$15,0)),"?"))</f>
        <v/>
      </c>
      <c r="BE109" s="99" t="str">
        <f>IF($A109="","",IFERROR(INDEX('Territory Factors'!$E$6:$E$56,MATCH($K109,'Territory Factors'!$B$6:$B$56,0)),"?"))</f>
        <v/>
      </c>
      <c r="BF109" s="99" t="str">
        <f>IF($A109="","",IFERROR(INDEX('City Accident Ratings'!$G$6:$G$54,MATCH($Z109,'City Accident Ratings'!$B$6:$B$54,0)),"?"))</f>
        <v/>
      </c>
      <c r="BG109" s="99" t="str">
        <f>IF($A109="","",IFERROR(INDEX('Usage and Coverage'!$D$6:$D$20,MATCH($N109,'Usage and Coverage'!$C$6:$C$20,0)),"?"))</f>
        <v/>
      </c>
      <c r="BH109" s="99" t="str">
        <f>IF($A109="","",IFERROR(INDEX('Usage and Coverage'!$C$24:$C$30,MATCH($O109,'Usage and Coverage'!$B$24:$B$30,0)),"?"))</f>
        <v/>
      </c>
      <c r="BI109" s="99" t="str">
        <f>IF($A109="","",IFERROR(INDEX('Usage and Coverage'!$C$34:$C$40,MATCH($P109,'Usage and Coverage'!$B$34:$B$40,0)),"?"))</f>
        <v/>
      </c>
      <c r="BJ109" s="99" t="str">
        <f>IF($A109="","",IFERROR(INDEX('Usage and Coverage'!$C$44:$C$49,MATCH($Q109,'Usage and Coverage'!$B$44:$B$49,0)),"?"))</f>
        <v/>
      </c>
      <c r="BK109" s="99" t="str">
        <f>IF($A109="","",IFERROR(INDEX(Deductibles!$C$6:$I$15,MATCH($W109,Deductibles!$B$6:$B$15,0),MATCH(MAX($J109,'Technical Premium'!$C$18),'Base Rates'!$C$3:$I$3,1)),"?"))</f>
        <v/>
      </c>
      <c r="BL109" s="99" t="str">
        <f>IF($A109="","",IFERROR(INDEX('Usage and Coverage'!$C$63:$C$66,MATCH($X109,'Usage and Coverage'!$B$63:$B$66,0)),"?"))</f>
        <v/>
      </c>
      <c r="BM109" s="99" t="str">
        <f>IF($A109="","",IFERROR(INDEX('Usage and Coverage'!$C$70:$C$75,MATCH($V109,'Usage and Coverage'!$B$70:$B$75,0)),"?"))</f>
        <v/>
      </c>
      <c r="BN109" s="99" t="str">
        <f>IF($A109="","",IF($AB109="",1,IFERROR(INDEX(Deductibles!$C$48:$C$51,MATCH($AB109,Deductibles!$B$48:$B$51,0)),"?")))</f>
        <v/>
      </c>
      <c r="BO109" s="99" t="str">
        <f>IF($A109="","",IF($AC109="",1,IFERROR(INDEX(Deductibles!$C$55:$C$57,MATCH($AC109,Deductibles!$B$55:$B$57,0)),"?")))</f>
        <v/>
      </c>
      <c r="BP109" s="99" t="str">
        <f>IF($A109="","",IF($AD109="",1,IFERROR(INDEX(Deductibles!$C$61:$C$63,MATCH($AD109,Deductibles!$B$61:$B$63,0)),"?")))</f>
        <v/>
      </c>
      <c r="BQ109" s="99" t="str">
        <f>IF($A109="","",IF($AE109="",1,IFERROR(INDEX(Deductibles!$C$67:$C$69,MATCH($AE109,Deductibles!$B$67:$B$69,0)),"?")))</f>
        <v/>
      </c>
      <c r="BR109" s="99" t="str">
        <f>IF($A109="","",IF($AF109="",1,IFERROR(INDEX(Deductibles!$C$73:$C$74,MATCH($AF109,Deductibles!$B$73:$B$74,0)),"?")))</f>
        <v/>
      </c>
      <c r="BS109" s="99" t="str">
        <f>IF($A109="","",IF($AG109="",1,IFERROR(INDEX('Sublimits and Parts'!$C$49:$C$52,MATCH($AG109,'Sublimits and Parts'!$B$49:$B$52,0)),"?")))</f>
        <v/>
      </c>
      <c r="BT109" s="99" t="str">
        <f>IF($A109="","",IF($AH109="",1,IFERROR(INDEX('Sublimits and Parts'!$C$56:$C$60,MATCH($AH109,'Sublimits and Parts'!$B$56:$B$60,0)),"?")))</f>
        <v/>
      </c>
      <c r="BU109" s="99" t="str">
        <f>IF($A109="","",IF($AI109="",1,IFERROR(INDEX('Sublimits and Parts'!$C$64:$C$67,MATCH($AI109,'Sublimits and Parts'!$B$64:$B$67,0)),"?")))</f>
        <v/>
      </c>
      <c r="BV109" s="99" t="str">
        <f>IF($A109="","",IF($AJ109="",1,IFERROR(INDEX('Sublimits and Parts'!$C$71:$C$74,MATCH($AJ109,'Sublimits and Parts'!$B$71:$B$74,0)),"?")))</f>
        <v/>
      </c>
      <c r="BW109" s="99" t="str">
        <f>IF($A109="","",IF($AK109="",1,IFERROR(INDEX('Sublimits and Parts'!$C$78:$C$80,MATCH($AK109,'Sublimits and Parts'!$B$78:$B$80,0)),"?")))</f>
        <v/>
      </c>
      <c r="BX109" s="99" t="str">
        <f>IF($A109="","",IF($AL109="",1,IFERROR(INDEX('Sublimits and Parts'!$C$84:$C$87,MATCH($AL109,'Sublimits and Parts'!$B$84:$B$87,0)),"?")))</f>
        <v/>
      </c>
      <c r="BY109" s="99" t="str">
        <f>IF($A109="","",IF($AM109="",1,IFERROR(INDEX('Sublimits and Parts'!$C$91:$C$94,MATCH($AM109,'Sublimits and Parts'!$B$91:$B$94,0)),"?")))</f>
        <v/>
      </c>
      <c r="BZ109" s="99" t="str">
        <f>IF($A109="","",IF($AN109="",1,IFERROR(INDEX('Sublimits and Parts'!$C$98:$C$101,MATCH($AN109,'Sublimits and Parts'!$B$98:$B$101,0)),"?")))</f>
        <v/>
      </c>
      <c r="CA109" s="99" t="str">
        <f>IF($A109="","",IF($AO109="",1,IFERROR(INDEX('Sublimits and Parts'!$C$105:$C$109,MATCH($AO109,'Sublimits and Parts'!$B$105:$B$109,0)),"?")))</f>
        <v/>
      </c>
      <c r="CB109" s="100" t="str">
        <f t="shared" si="15"/>
        <v/>
      </c>
      <c r="CC109" s="100" t="str">
        <f t="shared" si="16"/>
        <v/>
      </c>
      <c r="CD109" s="103" t="str">
        <f>IF($A109="","",IF(OR($CB109="?",$CC109="?"),"?",MIN($CB109*$CC109,'Technical Premium'!$C$17)))</f>
        <v/>
      </c>
      <c r="CE109" s="102" t="str">
        <f t="shared" si="17"/>
        <v/>
      </c>
      <c r="CF109" s="102" t="str">
        <f>IF($A109="","",IFERROR(INDEX('Territory Factors'!$F$6:$F$56,MATCH($K109,'Territory Factors'!$B$6:$B$56,0)),"?"))</f>
        <v/>
      </c>
      <c r="CG109" s="100" t="str">
        <f>IF($A109="","",IFERROR(INDEX('Usage and Coverage'!$C$79:$C$84,MATCH($Y109,'Usage and Coverage'!$B$79:$B$84,0)),"?"))</f>
        <v/>
      </c>
      <c r="CH109" s="102" t="str">
        <f>IFERROR(IF(ISNUMBER($CD109),$CF109*$CG109*MIN($BG109*$BA109*$BC109*$BD109*$BH109*$BF109,'Technical Premium'!$C$17),""),"")</f>
        <v/>
      </c>
      <c r="CI109" s="102" t="str">
        <f t="shared" si="18"/>
        <v/>
      </c>
      <c r="CJ109" s="102" t="str">
        <f>IFERROR($CI109*(1+'Technical Premium'!$C$5)*(1+'Technical Premium'!$C$6),"")</f>
        <v/>
      </c>
      <c r="CK109" s="102" t="str">
        <f>IFERROR($CE109*INDEX('Territory Factors'!$G$6:$G$56,MATCH($K109,'Territory Factors'!$B$6:$B$56,0))*$AU109*$AV109,"")</f>
        <v/>
      </c>
      <c r="CL109" s="102" t="str">
        <f>IFERROR(($CJ109+$CK109)*(1+'Technical Premium'!$C$7),"")</f>
        <v/>
      </c>
      <c r="CM109" s="104" t="str">
        <f>IFERROR($CL109/'Technical Premium'!$C$13,"")</f>
        <v/>
      </c>
      <c r="CN109" s="105" t="str">
        <f t="shared" si="19"/>
        <v/>
      </c>
      <c r="CO109" s="104" t="str">
        <f t="shared" si="20"/>
        <v/>
      </c>
      <c r="CP109" s="105" t="str">
        <f t="shared" si="21"/>
        <v/>
      </c>
      <c r="CQ109" s="106" t="str">
        <f t="shared" si="22"/>
        <v/>
      </c>
      <c r="CR109" s="102" t="str">
        <f>IF(ISNUMBER($CM109),'Technical Premium'!$C$14+IF($J109&gt;=1000000,'Technical Premium'!$C$15,0),"")</f>
        <v/>
      </c>
      <c r="CS109" s="102" t="str">
        <f>IFERROR(($CO109+$CR109)*(INDEX('Territory Factors'!$K$6:$K$56,MATCH($K109,'Territory Factors'!$B$6:$B$56,0))+'Commission Structure'!$C$21),"")</f>
        <v/>
      </c>
      <c r="CT109" s="104" t="str">
        <f t="shared" si="23"/>
        <v/>
      </c>
      <c r="CU109" s="102" t="str">
        <f>IFERROR($CO109*('Commission Structure'!$C$6+'Commission Structure'!$C$7),"")</f>
        <v/>
      </c>
      <c r="CV109" s="102" t="str">
        <f>IFERROR($CO109*'Commission Structure'!$C$5-$CU109,"")</f>
        <v/>
      </c>
      <c r="CW109" s="102" t="str">
        <f>IFERROR($CO109*(1-'Commission Structure'!$C$5),"")</f>
        <v/>
      </c>
      <c r="CX109" s="107"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8" t="str">
        <f t="shared" si="24"/>
        <v/>
      </c>
      <c r="CZ109" s="99" t="str">
        <f>IF($CY109="","",IF($CY109&lt;'Technical Premium'!$C$19,"BEYOND AUTHORITY",IF($CY109&gt;0.005,"Above technical",IF($CY109&lt;-0.005,"BELOW technical","At technical"))))</f>
        <v/>
      </c>
      <c r="DA109" s="99"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4"/>
      <c r="DC109" s="94"/>
      <c r="DD109" s="95"/>
      <c r="DE109" s="94"/>
      <c r="DF109" s="94"/>
      <c r="DG109" s="99" t="str">
        <f t="shared" si="25"/>
        <v/>
      </c>
      <c r="DH109" s="99" t="str">
        <f>IF($A109="","",IF(OR($CX109="REFER",$CX109="DECLINE"),COUNTIF($CX$5:$CX109,"REFER")+COUNTIF($CX$5:$CX109,"DECLINE"),""))</f>
        <v/>
      </c>
      <c r="DI109" s="94"/>
    </row>
    <row r="110" spans="1:113" x14ac:dyDescent="0.35">
      <c r="A110" s="94"/>
      <c r="B110" s="94"/>
      <c r="C110" s="95"/>
      <c r="D110" s="95"/>
      <c r="E110" s="96"/>
      <c r="F110" s="94"/>
      <c r="G110" s="94"/>
      <c r="H110" s="94"/>
      <c r="I110" s="94"/>
      <c r="J110" s="97"/>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8"/>
      <c r="AR110" s="99" t="str">
        <f t="shared" si="13"/>
        <v/>
      </c>
      <c r="AS110" s="99" t="str">
        <f>IF($A110="","",IF($AP110&lt;&gt;"",$AP110,IFERROR(INDEX('Cat Zone by ZIP'!$D$6:$D$856,MATCH($AR110,'Cat Zone by ZIP'!$B$6:$B$856,0)),IFERROR(INDEX('Cat Zone by ZIP'!$C$860:$C$910,MATCH($K110,'Cat Zone by ZIP'!$B$860:$B$910,0)),"NOT FOUND"))))</f>
        <v/>
      </c>
      <c r="AT110" s="99" t="str">
        <f>IF($A110="","",IF($AP110&lt;&gt;"","Override",IF(ISNUMBER(MATCH($AR110,'Cat Zone by ZIP'!$B$6:$B$856,0)),"ZIP-3","State default")))</f>
        <v/>
      </c>
      <c r="AU110" s="100" t="str">
        <f>IF($A110="","",IFERROR(INDEX('Natural Catastrophe'!$D$6:$D$17,MATCH($AS110,'Natural Catastrophe'!$B$6:$B$17,0)),"?"))</f>
        <v/>
      </c>
      <c r="AV110" s="100" t="str">
        <f>IF($A110="","",IFERROR(INDEX('Natural Catastrophe'!$C$21:$C$26,MATCH($AA110,'Natural Catastrophe'!$B$21:$B$26,0)),"?"))</f>
        <v/>
      </c>
      <c r="AW110" s="99" t="str">
        <f>IF($A110="","",IFERROR(INDEX('Base Rates'!$C$4:$I$4,MATCH(MAX($J110,'Technical Premium'!$C$18),'Base Rates'!$C$3:$I$3,1)),"?"))</f>
        <v/>
      </c>
      <c r="AX110" s="101" t="str">
        <f>IF($A110="","",IFERROR(INDEX('Base Rates'!$C$5:$I$16,MATCH($I110,'Base Rates'!$B$5:$B$16,0),MATCH(MAX($J110,'Technical Premium'!$C$18),'Base Rates'!$C$3:$I$3,1)),"?"))</f>
        <v/>
      </c>
      <c r="AY110" s="102" t="str">
        <f t="shared" si="14"/>
        <v/>
      </c>
      <c r="AZ110" s="99" t="str">
        <f>IF($A110="","",IFERROR(INDEX('Make Factors'!$G$5:$G$69,MATCH($F110,'Make Factors'!$B$5:$B$69,0)),"?"))</f>
        <v/>
      </c>
      <c r="BA110" s="99" t="str">
        <f>IF($A110="","",IFERROR(INDEX('Driver Factors'!$C$6:$C$15,MATCH($R110,'Driver Factors'!$B$6:$B$15,0)),"?"))</f>
        <v/>
      </c>
      <c r="BB110" s="99" t="str">
        <f>IF($A110="","",IFERROR(INDEX('Driver Factors'!$C$19:$C$24,MATCH($S110,'Driver Factors'!$B$19:$B$24,0)),"?"))</f>
        <v/>
      </c>
      <c r="BC110" s="99" t="str">
        <f>IF($A110="","",IFERROR(INDEX('Driver Factors'!$C$28:$C$36,MATCH($T110,'Driver Factors'!$B$28:$B$36,0)),"?"))</f>
        <v/>
      </c>
      <c r="BD110" s="99" t="str">
        <f>IF($A110="","",IFERROR(INDEX('Claims History'!$C$6:$C$15,MATCH($U110,'Claims History'!$B$6:$B$15,0)),"?"))</f>
        <v/>
      </c>
      <c r="BE110" s="99" t="str">
        <f>IF($A110="","",IFERROR(INDEX('Territory Factors'!$E$6:$E$56,MATCH($K110,'Territory Factors'!$B$6:$B$56,0)),"?"))</f>
        <v/>
      </c>
      <c r="BF110" s="99" t="str">
        <f>IF($A110="","",IFERROR(INDEX('City Accident Ratings'!$G$6:$G$54,MATCH($Z110,'City Accident Ratings'!$B$6:$B$54,0)),"?"))</f>
        <v/>
      </c>
      <c r="BG110" s="99" t="str">
        <f>IF($A110="","",IFERROR(INDEX('Usage and Coverage'!$D$6:$D$20,MATCH($N110,'Usage and Coverage'!$C$6:$C$20,0)),"?"))</f>
        <v/>
      </c>
      <c r="BH110" s="99" t="str">
        <f>IF($A110="","",IFERROR(INDEX('Usage and Coverage'!$C$24:$C$30,MATCH($O110,'Usage and Coverage'!$B$24:$B$30,0)),"?"))</f>
        <v/>
      </c>
      <c r="BI110" s="99" t="str">
        <f>IF($A110="","",IFERROR(INDEX('Usage and Coverage'!$C$34:$C$40,MATCH($P110,'Usage and Coverage'!$B$34:$B$40,0)),"?"))</f>
        <v/>
      </c>
      <c r="BJ110" s="99" t="str">
        <f>IF($A110="","",IFERROR(INDEX('Usage and Coverage'!$C$44:$C$49,MATCH($Q110,'Usage and Coverage'!$B$44:$B$49,0)),"?"))</f>
        <v/>
      </c>
      <c r="BK110" s="99" t="str">
        <f>IF($A110="","",IFERROR(INDEX(Deductibles!$C$6:$I$15,MATCH($W110,Deductibles!$B$6:$B$15,0),MATCH(MAX($J110,'Technical Premium'!$C$18),'Base Rates'!$C$3:$I$3,1)),"?"))</f>
        <v/>
      </c>
      <c r="BL110" s="99" t="str">
        <f>IF($A110="","",IFERROR(INDEX('Usage and Coverage'!$C$63:$C$66,MATCH($X110,'Usage and Coverage'!$B$63:$B$66,0)),"?"))</f>
        <v/>
      </c>
      <c r="BM110" s="99" t="str">
        <f>IF($A110="","",IFERROR(INDEX('Usage and Coverage'!$C$70:$C$75,MATCH($V110,'Usage and Coverage'!$B$70:$B$75,0)),"?"))</f>
        <v/>
      </c>
      <c r="BN110" s="99" t="str">
        <f>IF($A110="","",IF($AB110="",1,IFERROR(INDEX(Deductibles!$C$48:$C$51,MATCH($AB110,Deductibles!$B$48:$B$51,0)),"?")))</f>
        <v/>
      </c>
      <c r="BO110" s="99" t="str">
        <f>IF($A110="","",IF($AC110="",1,IFERROR(INDEX(Deductibles!$C$55:$C$57,MATCH($AC110,Deductibles!$B$55:$B$57,0)),"?")))</f>
        <v/>
      </c>
      <c r="BP110" s="99" t="str">
        <f>IF($A110="","",IF($AD110="",1,IFERROR(INDEX(Deductibles!$C$61:$C$63,MATCH($AD110,Deductibles!$B$61:$B$63,0)),"?")))</f>
        <v/>
      </c>
      <c r="BQ110" s="99" t="str">
        <f>IF($A110="","",IF($AE110="",1,IFERROR(INDEX(Deductibles!$C$67:$C$69,MATCH($AE110,Deductibles!$B$67:$B$69,0)),"?")))</f>
        <v/>
      </c>
      <c r="BR110" s="99" t="str">
        <f>IF($A110="","",IF($AF110="",1,IFERROR(INDEX(Deductibles!$C$73:$C$74,MATCH($AF110,Deductibles!$B$73:$B$74,0)),"?")))</f>
        <v/>
      </c>
      <c r="BS110" s="99" t="str">
        <f>IF($A110="","",IF($AG110="",1,IFERROR(INDEX('Sublimits and Parts'!$C$49:$C$52,MATCH($AG110,'Sublimits and Parts'!$B$49:$B$52,0)),"?")))</f>
        <v/>
      </c>
      <c r="BT110" s="99" t="str">
        <f>IF($A110="","",IF($AH110="",1,IFERROR(INDEX('Sublimits and Parts'!$C$56:$C$60,MATCH($AH110,'Sublimits and Parts'!$B$56:$B$60,0)),"?")))</f>
        <v/>
      </c>
      <c r="BU110" s="99" t="str">
        <f>IF($A110="","",IF($AI110="",1,IFERROR(INDEX('Sublimits and Parts'!$C$64:$C$67,MATCH($AI110,'Sublimits and Parts'!$B$64:$B$67,0)),"?")))</f>
        <v/>
      </c>
      <c r="BV110" s="99" t="str">
        <f>IF($A110="","",IF($AJ110="",1,IFERROR(INDEX('Sublimits and Parts'!$C$71:$C$74,MATCH($AJ110,'Sublimits and Parts'!$B$71:$B$74,0)),"?")))</f>
        <v/>
      </c>
      <c r="BW110" s="99" t="str">
        <f>IF($A110="","",IF($AK110="",1,IFERROR(INDEX('Sublimits and Parts'!$C$78:$C$80,MATCH($AK110,'Sublimits and Parts'!$B$78:$B$80,0)),"?")))</f>
        <v/>
      </c>
      <c r="BX110" s="99" t="str">
        <f>IF($A110="","",IF($AL110="",1,IFERROR(INDEX('Sublimits and Parts'!$C$84:$C$87,MATCH($AL110,'Sublimits and Parts'!$B$84:$B$87,0)),"?")))</f>
        <v/>
      </c>
      <c r="BY110" s="99" t="str">
        <f>IF($A110="","",IF($AM110="",1,IFERROR(INDEX('Sublimits and Parts'!$C$91:$C$94,MATCH($AM110,'Sublimits and Parts'!$B$91:$B$94,0)),"?")))</f>
        <v/>
      </c>
      <c r="BZ110" s="99" t="str">
        <f>IF($A110="","",IF($AN110="",1,IFERROR(INDEX('Sublimits and Parts'!$C$98:$C$101,MATCH($AN110,'Sublimits and Parts'!$B$98:$B$101,0)),"?")))</f>
        <v/>
      </c>
      <c r="CA110" s="99" t="str">
        <f>IF($A110="","",IF($AO110="",1,IFERROR(INDEX('Sublimits and Parts'!$C$105:$C$109,MATCH($AO110,'Sublimits and Parts'!$B$105:$B$109,0)),"?")))</f>
        <v/>
      </c>
      <c r="CB110" s="100" t="str">
        <f t="shared" si="15"/>
        <v/>
      </c>
      <c r="CC110" s="100" t="str">
        <f t="shared" si="16"/>
        <v/>
      </c>
      <c r="CD110" s="103" t="str">
        <f>IF($A110="","",IF(OR($CB110="?",$CC110="?"),"?",MIN($CB110*$CC110,'Technical Premium'!$C$17)))</f>
        <v/>
      </c>
      <c r="CE110" s="102" t="str">
        <f t="shared" si="17"/>
        <v/>
      </c>
      <c r="CF110" s="102" t="str">
        <f>IF($A110="","",IFERROR(INDEX('Territory Factors'!$F$6:$F$56,MATCH($K110,'Territory Factors'!$B$6:$B$56,0)),"?"))</f>
        <v/>
      </c>
      <c r="CG110" s="100" t="str">
        <f>IF($A110="","",IFERROR(INDEX('Usage and Coverage'!$C$79:$C$84,MATCH($Y110,'Usage and Coverage'!$B$79:$B$84,0)),"?"))</f>
        <v/>
      </c>
      <c r="CH110" s="102" t="str">
        <f>IFERROR(IF(ISNUMBER($CD110),$CF110*$CG110*MIN($BG110*$BA110*$BC110*$BD110*$BH110*$BF110,'Technical Premium'!$C$17),""),"")</f>
        <v/>
      </c>
      <c r="CI110" s="102" t="str">
        <f t="shared" si="18"/>
        <v/>
      </c>
      <c r="CJ110" s="102" t="str">
        <f>IFERROR($CI110*(1+'Technical Premium'!$C$5)*(1+'Technical Premium'!$C$6),"")</f>
        <v/>
      </c>
      <c r="CK110" s="102" t="str">
        <f>IFERROR($CE110*INDEX('Territory Factors'!$G$6:$G$56,MATCH($K110,'Territory Factors'!$B$6:$B$56,0))*$AU110*$AV110,"")</f>
        <v/>
      </c>
      <c r="CL110" s="102" t="str">
        <f>IFERROR(($CJ110+$CK110)*(1+'Technical Premium'!$C$7),"")</f>
        <v/>
      </c>
      <c r="CM110" s="104" t="str">
        <f>IFERROR($CL110/'Technical Premium'!$C$13,"")</f>
        <v/>
      </c>
      <c r="CN110" s="105" t="str">
        <f t="shared" si="19"/>
        <v/>
      </c>
      <c r="CO110" s="104" t="str">
        <f t="shared" si="20"/>
        <v/>
      </c>
      <c r="CP110" s="105" t="str">
        <f t="shared" si="21"/>
        <v/>
      </c>
      <c r="CQ110" s="106" t="str">
        <f t="shared" si="22"/>
        <v/>
      </c>
      <c r="CR110" s="102" t="str">
        <f>IF(ISNUMBER($CM110),'Technical Premium'!$C$14+IF($J110&gt;=1000000,'Technical Premium'!$C$15,0),"")</f>
        <v/>
      </c>
      <c r="CS110" s="102" t="str">
        <f>IFERROR(($CO110+$CR110)*(INDEX('Territory Factors'!$K$6:$K$56,MATCH($K110,'Territory Factors'!$B$6:$B$56,0))+'Commission Structure'!$C$21),"")</f>
        <v/>
      </c>
      <c r="CT110" s="104" t="str">
        <f t="shared" si="23"/>
        <v/>
      </c>
      <c r="CU110" s="102" t="str">
        <f>IFERROR($CO110*('Commission Structure'!$C$6+'Commission Structure'!$C$7),"")</f>
        <v/>
      </c>
      <c r="CV110" s="102" t="str">
        <f>IFERROR($CO110*'Commission Structure'!$C$5-$CU110,"")</f>
        <v/>
      </c>
      <c r="CW110" s="102" t="str">
        <f>IFERROR($CO110*(1-'Commission Structure'!$C$5),"")</f>
        <v/>
      </c>
      <c r="CX110" s="107"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8" t="str">
        <f t="shared" si="24"/>
        <v/>
      </c>
      <c r="CZ110" s="99" t="str">
        <f>IF($CY110="","",IF($CY110&lt;'Technical Premium'!$C$19,"BEYOND AUTHORITY",IF($CY110&gt;0.005,"Above technical",IF($CY110&lt;-0.005,"BELOW technical","At technical"))))</f>
        <v/>
      </c>
      <c r="DA110" s="99"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4"/>
      <c r="DC110" s="94"/>
      <c r="DD110" s="95"/>
      <c r="DE110" s="94"/>
      <c r="DF110" s="94"/>
      <c r="DG110" s="99" t="str">
        <f t="shared" si="25"/>
        <v/>
      </c>
      <c r="DH110" s="99" t="str">
        <f>IF($A110="","",IF(OR($CX110="REFER",$CX110="DECLINE"),COUNTIF($CX$5:$CX110,"REFER")+COUNTIF($CX$5:$CX110,"DECLINE"),""))</f>
        <v/>
      </c>
      <c r="DI110" s="94"/>
    </row>
    <row r="111" spans="1:113" x14ac:dyDescent="0.35">
      <c r="A111" s="94"/>
      <c r="B111" s="94"/>
      <c r="C111" s="95"/>
      <c r="D111" s="95"/>
      <c r="E111" s="96"/>
      <c r="F111" s="94"/>
      <c r="G111" s="94"/>
      <c r="H111" s="94"/>
      <c r="I111" s="94"/>
      <c r="J111" s="97"/>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8"/>
      <c r="AR111" s="99" t="str">
        <f t="shared" si="13"/>
        <v/>
      </c>
      <c r="AS111" s="99" t="str">
        <f>IF($A111="","",IF($AP111&lt;&gt;"",$AP111,IFERROR(INDEX('Cat Zone by ZIP'!$D$6:$D$856,MATCH($AR111,'Cat Zone by ZIP'!$B$6:$B$856,0)),IFERROR(INDEX('Cat Zone by ZIP'!$C$860:$C$910,MATCH($K111,'Cat Zone by ZIP'!$B$860:$B$910,0)),"NOT FOUND"))))</f>
        <v/>
      </c>
      <c r="AT111" s="99" t="str">
        <f>IF($A111="","",IF($AP111&lt;&gt;"","Override",IF(ISNUMBER(MATCH($AR111,'Cat Zone by ZIP'!$B$6:$B$856,0)),"ZIP-3","State default")))</f>
        <v/>
      </c>
      <c r="AU111" s="100" t="str">
        <f>IF($A111="","",IFERROR(INDEX('Natural Catastrophe'!$D$6:$D$17,MATCH($AS111,'Natural Catastrophe'!$B$6:$B$17,0)),"?"))</f>
        <v/>
      </c>
      <c r="AV111" s="100" t="str">
        <f>IF($A111="","",IFERROR(INDEX('Natural Catastrophe'!$C$21:$C$26,MATCH($AA111,'Natural Catastrophe'!$B$21:$B$26,0)),"?"))</f>
        <v/>
      </c>
      <c r="AW111" s="99" t="str">
        <f>IF($A111="","",IFERROR(INDEX('Base Rates'!$C$4:$I$4,MATCH(MAX($J111,'Technical Premium'!$C$18),'Base Rates'!$C$3:$I$3,1)),"?"))</f>
        <v/>
      </c>
      <c r="AX111" s="101" t="str">
        <f>IF($A111="","",IFERROR(INDEX('Base Rates'!$C$5:$I$16,MATCH($I111,'Base Rates'!$B$5:$B$16,0),MATCH(MAX($J111,'Technical Premium'!$C$18),'Base Rates'!$C$3:$I$3,1)),"?"))</f>
        <v/>
      </c>
      <c r="AY111" s="102" t="str">
        <f t="shared" si="14"/>
        <v/>
      </c>
      <c r="AZ111" s="99" t="str">
        <f>IF($A111="","",IFERROR(INDEX('Make Factors'!$G$5:$G$69,MATCH($F111,'Make Factors'!$B$5:$B$69,0)),"?"))</f>
        <v/>
      </c>
      <c r="BA111" s="99" t="str">
        <f>IF($A111="","",IFERROR(INDEX('Driver Factors'!$C$6:$C$15,MATCH($R111,'Driver Factors'!$B$6:$B$15,0)),"?"))</f>
        <v/>
      </c>
      <c r="BB111" s="99" t="str">
        <f>IF($A111="","",IFERROR(INDEX('Driver Factors'!$C$19:$C$24,MATCH($S111,'Driver Factors'!$B$19:$B$24,0)),"?"))</f>
        <v/>
      </c>
      <c r="BC111" s="99" t="str">
        <f>IF($A111="","",IFERROR(INDEX('Driver Factors'!$C$28:$C$36,MATCH($T111,'Driver Factors'!$B$28:$B$36,0)),"?"))</f>
        <v/>
      </c>
      <c r="BD111" s="99" t="str">
        <f>IF($A111="","",IFERROR(INDEX('Claims History'!$C$6:$C$15,MATCH($U111,'Claims History'!$B$6:$B$15,0)),"?"))</f>
        <v/>
      </c>
      <c r="BE111" s="99" t="str">
        <f>IF($A111="","",IFERROR(INDEX('Territory Factors'!$E$6:$E$56,MATCH($K111,'Territory Factors'!$B$6:$B$56,0)),"?"))</f>
        <v/>
      </c>
      <c r="BF111" s="99" t="str">
        <f>IF($A111="","",IFERROR(INDEX('City Accident Ratings'!$G$6:$G$54,MATCH($Z111,'City Accident Ratings'!$B$6:$B$54,0)),"?"))</f>
        <v/>
      </c>
      <c r="BG111" s="99" t="str">
        <f>IF($A111="","",IFERROR(INDEX('Usage and Coverage'!$D$6:$D$20,MATCH($N111,'Usage and Coverage'!$C$6:$C$20,0)),"?"))</f>
        <v/>
      </c>
      <c r="BH111" s="99" t="str">
        <f>IF($A111="","",IFERROR(INDEX('Usage and Coverage'!$C$24:$C$30,MATCH($O111,'Usage and Coverage'!$B$24:$B$30,0)),"?"))</f>
        <v/>
      </c>
      <c r="BI111" s="99" t="str">
        <f>IF($A111="","",IFERROR(INDEX('Usage and Coverage'!$C$34:$C$40,MATCH($P111,'Usage and Coverage'!$B$34:$B$40,0)),"?"))</f>
        <v/>
      </c>
      <c r="BJ111" s="99" t="str">
        <f>IF($A111="","",IFERROR(INDEX('Usage and Coverage'!$C$44:$C$49,MATCH($Q111,'Usage and Coverage'!$B$44:$B$49,0)),"?"))</f>
        <v/>
      </c>
      <c r="BK111" s="99" t="str">
        <f>IF($A111="","",IFERROR(INDEX(Deductibles!$C$6:$I$15,MATCH($W111,Deductibles!$B$6:$B$15,0),MATCH(MAX($J111,'Technical Premium'!$C$18),'Base Rates'!$C$3:$I$3,1)),"?"))</f>
        <v/>
      </c>
      <c r="BL111" s="99" t="str">
        <f>IF($A111="","",IFERROR(INDEX('Usage and Coverage'!$C$63:$C$66,MATCH($X111,'Usage and Coverage'!$B$63:$B$66,0)),"?"))</f>
        <v/>
      </c>
      <c r="BM111" s="99" t="str">
        <f>IF($A111="","",IFERROR(INDEX('Usage and Coverage'!$C$70:$C$75,MATCH($V111,'Usage and Coverage'!$B$70:$B$75,0)),"?"))</f>
        <v/>
      </c>
      <c r="BN111" s="99" t="str">
        <f>IF($A111="","",IF($AB111="",1,IFERROR(INDEX(Deductibles!$C$48:$C$51,MATCH($AB111,Deductibles!$B$48:$B$51,0)),"?")))</f>
        <v/>
      </c>
      <c r="BO111" s="99" t="str">
        <f>IF($A111="","",IF($AC111="",1,IFERROR(INDEX(Deductibles!$C$55:$C$57,MATCH($AC111,Deductibles!$B$55:$B$57,0)),"?")))</f>
        <v/>
      </c>
      <c r="BP111" s="99" t="str">
        <f>IF($A111="","",IF($AD111="",1,IFERROR(INDEX(Deductibles!$C$61:$C$63,MATCH($AD111,Deductibles!$B$61:$B$63,0)),"?")))</f>
        <v/>
      </c>
      <c r="BQ111" s="99" t="str">
        <f>IF($A111="","",IF($AE111="",1,IFERROR(INDEX(Deductibles!$C$67:$C$69,MATCH($AE111,Deductibles!$B$67:$B$69,0)),"?")))</f>
        <v/>
      </c>
      <c r="BR111" s="99" t="str">
        <f>IF($A111="","",IF($AF111="",1,IFERROR(INDEX(Deductibles!$C$73:$C$74,MATCH($AF111,Deductibles!$B$73:$B$74,0)),"?")))</f>
        <v/>
      </c>
      <c r="BS111" s="99" t="str">
        <f>IF($A111="","",IF($AG111="",1,IFERROR(INDEX('Sublimits and Parts'!$C$49:$C$52,MATCH($AG111,'Sublimits and Parts'!$B$49:$B$52,0)),"?")))</f>
        <v/>
      </c>
      <c r="BT111" s="99" t="str">
        <f>IF($A111="","",IF($AH111="",1,IFERROR(INDEX('Sublimits and Parts'!$C$56:$C$60,MATCH($AH111,'Sublimits and Parts'!$B$56:$B$60,0)),"?")))</f>
        <v/>
      </c>
      <c r="BU111" s="99" t="str">
        <f>IF($A111="","",IF($AI111="",1,IFERROR(INDEX('Sublimits and Parts'!$C$64:$C$67,MATCH($AI111,'Sublimits and Parts'!$B$64:$B$67,0)),"?")))</f>
        <v/>
      </c>
      <c r="BV111" s="99" t="str">
        <f>IF($A111="","",IF($AJ111="",1,IFERROR(INDEX('Sublimits and Parts'!$C$71:$C$74,MATCH($AJ111,'Sublimits and Parts'!$B$71:$B$74,0)),"?")))</f>
        <v/>
      </c>
      <c r="BW111" s="99" t="str">
        <f>IF($A111="","",IF($AK111="",1,IFERROR(INDEX('Sublimits and Parts'!$C$78:$C$80,MATCH($AK111,'Sublimits and Parts'!$B$78:$B$80,0)),"?")))</f>
        <v/>
      </c>
      <c r="BX111" s="99" t="str">
        <f>IF($A111="","",IF($AL111="",1,IFERROR(INDEX('Sublimits and Parts'!$C$84:$C$87,MATCH($AL111,'Sublimits and Parts'!$B$84:$B$87,0)),"?")))</f>
        <v/>
      </c>
      <c r="BY111" s="99" t="str">
        <f>IF($A111="","",IF($AM111="",1,IFERROR(INDEX('Sublimits and Parts'!$C$91:$C$94,MATCH($AM111,'Sublimits and Parts'!$B$91:$B$94,0)),"?")))</f>
        <v/>
      </c>
      <c r="BZ111" s="99" t="str">
        <f>IF($A111="","",IF($AN111="",1,IFERROR(INDEX('Sublimits and Parts'!$C$98:$C$101,MATCH($AN111,'Sublimits and Parts'!$B$98:$B$101,0)),"?")))</f>
        <v/>
      </c>
      <c r="CA111" s="99" t="str">
        <f>IF($A111="","",IF($AO111="",1,IFERROR(INDEX('Sublimits and Parts'!$C$105:$C$109,MATCH($AO111,'Sublimits and Parts'!$B$105:$B$109,0)),"?")))</f>
        <v/>
      </c>
      <c r="CB111" s="100" t="str">
        <f t="shared" si="15"/>
        <v/>
      </c>
      <c r="CC111" s="100" t="str">
        <f t="shared" si="16"/>
        <v/>
      </c>
      <c r="CD111" s="103" t="str">
        <f>IF($A111="","",IF(OR($CB111="?",$CC111="?"),"?",MIN($CB111*$CC111,'Technical Premium'!$C$17)))</f>
        <v/>
      </c>
      <c r="CE111" s="102" t="str">
        <f t="shared" si="17"/>
        <v/>
      </c>
      <c r="CF111" s="102" t="str">
        <f>IF($A111="","",IFERROR(INDEX('Territory Factors'!$F$6:$F$56,MATCH($K111,'Territory Factors'!$B$6:$B$56,0)),"?"))</f>
        <v/>
      </c>
      <c r="CG111" s="100" t="str">
        <f>IF($A111="","",IFERROR(INDEX('Usage and Coverage'!$C$79:$C$84,MATCH($Y111,'Usage and Coverage'!$B$79:$B$84,0)),"?"))</f>
        <v/>
      </c>
      <c r="CH111" s="102" t="str">
        <f>IFERROR(IF(ISNUMBER($CD111),$CF111*$CG111*MIN($BG111*$BA111*$BC111*$BD111*$BH111*$BF111,'Technical Premium'!$C$17),""),"")</f>
        <v/>
      </c>
      <c r="CI111" s="102" t="str">
        <f t="shared" si="18"/>
        <v/>
      </c>
      <c r="CJ111" s="102" t="str">
        <f>IFERROR($CI111*(1+'Technical Premium'!$C$5)*(1+'Technical Premium'!$C$6),"")</f>
        <v/>
      </c>
      <c r="CK111" s="102" t="str">
        <f>IFERROR($CE111*INDEX('Territory Factors'!$G$6:$G$56,MATCH($K111,'Territory Factors'!$B$6:$B$56,0))*$AU111*$AV111,"")</f>
        <v/>
      </c>
      <c r="CL111" s="102" t="str">
        <f>IFERROR(($CJ111+$CK111)*(1+'Technical Premium'!$C$7),"")</f>
        <v/>
      </c>
      <c r="CM111" s="104" t="str">
        <f>IFERROR($CL111/'Technical Premium'!$C$13,"")</f>
        <v/>
      </c>
      <c r="CN111" s="105" t="str">
        <f t="shared" si="19"/>
        <v/>
      </c>
      <c r="CO111" s="104" t="str">
        <f t="shared" si="20"/>
        <v/>
      </c>
      <c r="CP111" s="105" t="str">
        <f t="shared" si="21"/>
        <v/>
      </c>
      <c r="CQ111" s="106" t="str">
        <f t="shared" si="22"/>
        <v/>
      </c>
      <c r="CR111" s="102" t="str">
        <f>IF(ISNUMBER($CM111),'Technical Premium'!$C$14+IF($J111&gt;=1000000,'Technical Premium'!$C$15,0),"")</f>
        <v/>
      </c>
      <c r="CS111" s="102" t="str">
        <f>IFERROR(($CO111+$CR111)*(INDEX('Territory Factors'!$K$6:$K$56,MATCH($K111,'Territory Factors'!$B$6:$B$56,0))+'Commission Structure'!$C$21),"")</f>
        <v/>
      </c>
      <c r="CT111" s="104" t="str">
        <f t="shared" si="23"/>
        <v/>
      </c>
      <c r="CU111" s="102" t="str">
        <f>IFERROR($CO111*('Commission Structure'!$C$6+'Commission Structure'!$C$7),"")</f>
        <v/>
      </c>
      <c r="CV111" s="102" t="str">
        <f>IFERROR($CO111*'Commission Structure'!$C$5-$CU111,"")</f>
        <v/>
      </c>
      <c r="CW111" s="102" t="str">
        <f>IFERROR($CO111*(1-'Commission Structure'!$C$5),"")</f>
        <v/>
      </c>
      <c r="CX111" s="107"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8" t="str">
        <f t="shared" si="24"/>
        <v/>
      </c>
      <c r="CZ111" s="99" t="str">
        <f>IF($CY111="","",IF($CY111&lt;'Technical Premium'!$C$19,"BEYOND AUTHORITY",IF($CY111&gt;0.005,"Above technical",IF($CY111&lt;-0.005,"BELOW technical","At technical"))))</f>
        <v/>
      </c>
      <c r="DA111" s="99"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4"/>
      <c r="DC111" s="94"/>
      <c r="DD111" s="95"/>
      <c r="DE111" s="94"/>
      <c r="DF111" s="94"/>
      <c r="DG111" s="99" t="str">
        <f t="shared" si="25"/>
        <v/>
      </c>
      <c r="DH111" s="99" t="str">
        <f>IF($A111="","",IF(OR($CX111="REFER",$CX111="DECLINE"),COUNTIF($CX$5:$CX111,"REFER")+COUNTIF($CX$5:$CX111,"DECLINE"),""))</f>
        <v/>
      </c>
      <c r="DI111" s="94"/>
    </row>
    <row r="112" spans="1:113" x14ac:dyDescent="0.35">
      <c r="A112" s="94"/>
      <c r="B112" s="94"/>
      <c r="C112" s="95"/>
      <c r="D112" s="95"/>
      <c r="E112" s="96"/>
      <c r="F112" s="94"/>
      <c r="G112" s="94"/>
      <c r="H112" s="94"/>
      <c r="I112" s="94"/>
      <c r="J112" s="97"/>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8"/>
      <c r="AR112" s="99" t="str">
        <f t="shared" si="13"/>
        <v/>
      </c>
      <c r="AS112" s="99" t="str">
        <f>IF($A112="","",IF($AP112&lt;&gt;"",$AP112,IFERROR(INDEX('Cat Zone by ZIP'!$D$6:$D$856,MATCH($AR112,'Cat Zone by ZIP'!$B$6:$B$856,0)),IFERROR(INDEX('Cat Zone by ZIP'!$C$860:$C$910,MATCH($K112,'Cat Zone by ZIP'!$B$860:$B$910,0)),"NOT FOUND"))))</f>
        <v/>
      </c>
      <c r="AT112" s="99" t="str">
        <f>IF($A112="","",IF($AP112&lt;&gt;"","Override",IF(ISNUMBER(MATCH($AR112,'Cat Zone by ZIP'!$B$6:$B$856,0)),"ZIP-3","State default")))</f>
        <v/>
      </c>
      <c r="AU112" s="100" t="str">
        <f>IF($A112="","",IFERROR(INDEX('Natural Catastrophe'!$D$6:$D$17,MATCH($AS112,'Natural Catastrophe'!$B$6:$B$17,0)),"?"))</f>
        <v/>
      </c>
      <c r="AV112" s="100" t="str">
        <f>IF($A112="","",IFERROR(INDEX('Natural Catastrophe'!$C$21:$C$26,MATCH($AA112,'Natural Catastrophe'!$B$21:$B$26,0)),"?"))</f>
        <v/>
      </c>
      <c r="AW112" s="99" t="str">
        <f>IF($A112="","",IFERROR(INDEX('Base Rates'!$C$4:$I$4,MATCH(MAX($J112,'Technical Premium'!$C$18),'Base Rates'!$C$3:$I$3,1)),"?"))</f>
        <v/>
      </c>
      <c r="AX112" s="101" t="str">
        <f>IF($A112="","",IFERROR(INDEX('Base Rates'!$C$5:$I$16,MATCH($I112,'Base Rates'!$B$5:$B$16,0),MATCH(MAX($J112,'Technical Premium'!$C$18),'Base Rates'!$C$3:$I$3,1)),"?"))</f>
        <v/>
      </c>
      <c r="AY112" s="102" t="str">
        <f t="shared" si="14"/>
        <v/>
      </c>
      <c r="AZ112" s="99" t="str">
        <f>IF($A112="","",IFERROR(INDEX('Make Factors'!$G$5:$G$69,MATCH($F112,'Make Factors'!$B$5:$B$69,0)),"?"))</f>
        <v/>
      </c>
      <c r="BA112" s="99" t="str">
        <f>IF($A112="","",IFERROR(INDEX('Driver Factors'!$C$6:$C$15,MATCH($R112,'Driver Factors'!$B$6:$B$15,0)),"?"))</f>
        <v/>
      </c>
      <c r="BB112" s="99" t="str">
        <f>IF($A112="","",IFERROR(INDEX('Driver Factors'!$C$19:$C$24,MATCH($S112,'Driver Factors'!$B$19:$B$24,0)),"?"))</f>
        <v/>
      </c>
      <c r="BC112" s="99" t="str">
        <f>IF($A112="","",IFERROR(INDEX('Driver Factors'!$C$28:$C$36,MATCH($T112,'Driver Factors'!$B$28:$B$36,0)),"?"))</f>
        <v/>
      </c>
      <c r="BD112" s="99" t="str">
        <f>IF($A112="","",IFERROR(INDEX('Claims History'!$C$6:$C$15,MATCH($U112,'Claims History'!$B$6:$B$15,0)),"?"))</f>
        <v/>
      </c>
      <c r="BE112" s="99" t="str">
        <f>IF($A112="","",IFERROR(INDEX('Territory Factors'!$E$6:$E$56,MATCH($K112,'Territory Factors'!$B$6:$B$56,0)),"?"))</f>
        <v/>
      </c>
      <c r="BF112" s="99" t="str">
        <f>IF($A112="","",IFERROR(INDEX('City Accident Ratings'!$G$6:$G$54,MATCH($Z112,'City Accident Ratings'!$B$6:$B$54,0)),"?"))</f>
        <v/>
      </c>
      <c r="BG112" s="99" t="str">
        <f>IF($A112="","",IFERROR(INDEX('Usage and Coverage'!$D$6:$D$20,MATCH($N112,'Usage and Coverage'!$C$6:$C$20,0)),"?"))</f>
        <v/>
      </c>
      <c r="BH112" s="99" t="str">
        <f>IF($A112="","",IFERROR(INDEX('Usage and Coverage'!$C$24:$C$30,MATCH($O112,'Usage and Coverage'!$B$24:$B$30,0)),"?"))</f>
        <v/>
      </c>
      <c r="BI112" s="99" t="str">
        <f>IF($A112="","",IFERROR(INDEX('Usage and Coverage'!$C$34:$C$40,MATCH($P112,'Usage and Coverage'!$B$34:$B$40,0)),"?"))</f>
        <v/>
      </c>
      <c r="BJ112" s="99" t="str">
        <f>IF($A112="","",IFERROR(INDEX('Usage and Coverage'!$C$44:$C$49,MATCH($Q112,'Usage and Coverage'!$B$44:$B$49,0)),"?"))</f>
        <v/>
      </c>
      <c r="BK112" s="99" t="str">
        <f>IF($A112="","",IFERROR(INDEX(Deductibles!$C$6:$I$15,MATCH($W112,Deductibles!$B$6:$B$15,0),MATCH(MAX($J112,'Technical Premium'!$C$18),'Base Rates'!$C$3:$I$3,1)),"?"))</f>
        <v/>
      </c>
      <c r="BL112" s="99" t="str">
        <f>IF($A112="","",IFERROR(INDEX('Usage and Coverage'!$C$63:$C$66,MATCH($X112,'Usage and Coverage'!$B$63:$B$66,0)),"?"))</f>
        <v/>
      </c>
      <c r="BM112" s="99" t="str">
        <f>IF($A112="","",IFERROR(INDEX('Usage and Coverage'!$C$70:$C$75,MATCH($V112,'Usage and Coverage'!$B$70:$B$75,0)),"?"))</f>
        <v/>
      </c>
      <c r="BN112" s="99" t="str">
        <f>IF($A112="","",IF($AB112="",1,IFERROR(INDEX(Deductibles!$C$48:$C$51,MATCH($AB112,Deductibles!$B$48:$B$51,0)),"?")))</f>
        <v/>
      </c>
      <c r="BO112" s="99" t="str">
        <f>IF($A112="","",IF($AC112="",1,IFERROR(INDEX(Deductibles!$C$55:$C$57,MATCH($AC112,Deductibles!$B$55:$B$57,0)),"?")))</f>
        <v/>
      </c>
      <c r="BP112" s="99" t="str">
        <f>IF($A112="","",IF($AD112="",1,IFERROR(INDEX(Deductibles!$C$61:$C$63,MATCH($AD112,Deductibles!$B$61:$B$63,0)),"?")))</f>
        <v/>
      </c>
      <c r="BQ112" s="99" t="str">
        <f>IF($A112="","",IF($AE112="",1,IFERROR(INDEX(Deductibles!$C$67:$C$69,MATCH($AE112,Deductibles!$B$67:$B$69,0)),"?")))</f>
        <v/>
      </c>
      <c r="BR112" s="99" t="str">
        <f>IF($A112="","",IF($AF112="",1,IFERROR(INDEX(Deductibles!$C$73:$C$74,MATCH($AF112,Deductibles!$B$73:$B$74,0)),"?")))</f>
        <v/>
      </c>
      <c r="BS112" s="99" t="str">
        <f>IF($A112="","",IF($AG112="",1,IFERROR(INDEX('Sublimits and Parts'!$C$49:$C$52,MATCH($AG112,'Sublimits and Parts'!$B$49:$B$52,0)),"?")))</f>
        <v/>
      </c>
      <c r="BT112" s="99" t="str">
        <f>IF($A112="","",IF($AH112="",1,IFERROR(INDEX('Sublimits and Parts'!$C$56:$C$60,MATCH($AH112,'Sublimits and Parts'!$B$56:$B$60,0)),"?")))</f>
        <v/>
      </c>
      <c r="BU112" s="99" t="str">
        <f>IF($A112="","",IF($AI112="",1,IFERROR(INDEX('Sublimits and Parts'!$C$64:$C$67,MATCH($AI112,'Sublimits and Parts'!$B$64:$B$67,0)),"?")))</f>
        <v/>
      </c>
      <c r="BV112" s="99" t="str">
        <f>IF($A112="","",IF($AJ112="",1,IFERROR(INDEX('Sublimits and Parts'!$C$71:$C$74,MATCH($AJ112,'Sublimits and Parts'!$B$71:$B$74,0)),"?")))</f>
        <v/>
      </c>
      <c r="BW112" s="99" t="str">
        <f>IF($A112="","",IF($AK112="",1,IFERROR(INDEX('Sublimits and Parts'!$C$78:$C$80,MATCH($AK112,'Sublimits and Parts'!$B$78:$B$80,0)),"?")))</f>
        <v/>
      </c>
      <c r="BX112" s="99" t="str">
        <f>IF($A112="","",IF($AL112="",1,IFERROR(INDEX('Sublimits and Parts'!$C$84:$C$87,MATCH($AL112,'Sublimits and Parts'!$B$84:$B$87,0)),"?")))</f>
        <v/>
      </c>
      <c r="BY112" s="99" t="str">
        <f>IF($A112="","",IF($AM112="",1,IFERROR(INDEX('Sublimits and Parts'!$C$91:$C$94,MATCH($AM112,'Sublimits and Parts'!$B$91:$B$94,0)),"?")))</f>
        <v/>
      </c>
      <c r="BZ112" s="99" t="str">
        <f>IF($A112="","",IF($AN112="",1,IFERROR(INDEX('Sublimits and Parts'!$C$98:$C$101,MATCH($AN112,'Sublimits and Parts'!$B$98:$B$101,0)),"?")))</f>
        <v/>
      </c>
      <c r="CA112" s="99" t="str">
        <f>IF($A112="","",IF($AO112="",1,IFERROR(INDEX('Sublimits and Parts'!$C$105:$C$109,MATCH($AO112,'Sublimits and Parts'!$B$105:$B$109,0)),"?")))</f>
        <v/>
      </c>
      <c r="CB112" s="100" t="str">
        <f t="shared" si="15"/>
        <v/>
      </c>
      <c r="CC112" s="100" t="str">
        <f t="shared" si="16"/>
        <v/>
      </c>
      <c r="CD112" s="103" t="str">
        <f>IF($A112="","",IF(OR($CB112="?",$CC112="?"),"?",MIN($CB112*$CC112,'Technical Premium'!$C$17)))</f>
        <v/>
      </c>
      <c r="CE112" s="102" t="str">
        <f t="shared" si="17"/>
        <v/>
      </c>
      <c r="CF112" s="102" t="str">
        <f>IF($A112="","",IFERROR(INDEX('Territory Factors'!$F$6:$F$56,MATCH($K112,'Territory Factors'!$B$6:$B$56,0)),"?"))</f>
        <v/>
      </c>
      <c r="CG112" s="100" t="str">
        <f>IF($A112="","",IFERROR(INDEX('Usage and Coverage'!$C$79:$C$84,MATCH($Y112,'Usage and Coverage'!$B$79:$B$84,0)),"?"))</f>
        <v/>
      </c>
      <c r="CH112" s="102" t="str">
        <f>IFERROR(IF(ISNUMBER($CD112),$CF112*$CG112*MIN($BG112*$BA112*$BC112*$BD112*$BH112*$BF112,'Technical Premium'!$C$17),""),"")</f>
        <v/>
      </c>
      <c r="CI112" s="102" t="str">
        <f t="shared" si="18"/>
        <v/>
      </c>
      <c r="CJ112" s="102" t="str">
        <f>IFERROR($CI112*(1+'Technical Premium'!$C$5)*(1+'Technical Premium'!$C$6),"")</f>
        <v/>
      </c>
      <c r="CK112" s="102" t="str">
        <f>IFERROR($CE112*INDEX('Territory Factors'!$G$6:$G$56,MATCH($K112,'Territory Factors'!$B$6:$B$56,0))*$AU112*$AV112,"")</f>
        <v/>
      </c>
      <c r="CL112" s="102" t="str">
        <f>IFERROR(($CJ112+$CK112)*(1+'Technical Premium'!$C$7),"")</f>
        <v/>
      </c>
      <c r="CM112" s="104" t="str">
        <f>IFERROR($CL112/'Technical Premium'!$C$13,"")</f>
        <v/>
      </c>
      <c r="CN112" s="105" t="str">
        <f t="shared" si="19"/>
        <v/>
      </c>
      <c r="CO112" s="104" t="str">
        <f t="shared" si="20"/>
        <v/>
      </c>
      <c r="CP112" s="105" t="str">
        <f t="shared" si="21"/>
        <v/>
      </c>
      <c r="CQ112" s="106" t="str">
        <f t="shared" si="22"/>
        <v/>
      </c>
      <c r="CR112" s="102" t="str">
        <f>IF(ISNUMBER($CM112),'Technical Premium'!$C$14+IF($J112&gt;=1000000,'Technical Premium'!$C$15,0),"")</f>
        <v/>
      </c>
      <c r="CS112" s="102" t="str">
        <f>IFERROR(($CO112+$CR112)*(INDEX('Territory Factors'!$K$6:$K$56,MATCH($K112,'Territory Factors'!$B$6:$B$56,0))+'Commission Structure'!$C$21),"")</f>
        <v/>
      </c>
      <c r="CT112" s="104" t="str">
        <f t="shared" si="23"/>
        <v/>
      </c>
      <c r="CU112" s="102" t="str">
        <f>IFERROR($CO112*('Commission Structure'!$C$6+'Commission Structure'!$C$7),"")</f>
        <v/>
      </c>
      <c r="CV112" s="102" t="str">
        <f>IFERROR($CO112*'Commission Structure'!$C$5-$CU112,"")</f>
        <v/>
      </c>
      <c r="CW112" s="102" t="str">
        <f>IFERROR($CO112*(1-'Commission Structure'!$C$5),"")</f>
        <v/>
      </c>
      <c r="CX112" s="107"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8" t="str">
        <f t="shared" si="24"/>
        <v/>
      </c>
      <c r="CZ112" s="99" t="str">
        <f>IF($CY112="","",IF($CY112&lt;'Technical Premium'!$C$19,"BEYOND AUTHORITY",IF($CY112&gt;0.005,"Above technical",IF($CY112&lt;-0.005,"BELOW technical","At technical"))))</f>
        <v/>
      </c>
      <c r="DA112" s="99"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4"/>
      <c r="DC112" s="94"/>
      <c r="DD112" s="95"/>
      <c r="DE112" s="94"/>
      <c r="DF112" s="94"/>
      <c r="DG112" s="99" t="str">
        <f t="shared" si="25"/>
        <v/>
      </c>
      <c r="DH112" s="99" t="str">
        <f>IF($A112="","",IF(OR($CX112="REFER",$CX112="DECLINE"),COUNTIF($CX$5:$CX112,"REFER")+COUNTIF($CX$5:$CX112,"DECLINE"),""))</f>
        <v/>
      </c>
      <c r="DI112" s="94"/>
    </row>
    <row r="113" spans="1:113" x14ac:dyDescent="0.35">
      <c r="A113" s="94"/>
      <c r="B113" s="94"/>
      <c r="C113" s="95"/>
      <c r="D113" s="95"/>
      <c r="E113" s="96"/>
      <c r="F113" s="94"/>
      <c r="G113" s="94"/>
      <c r="H113" s="94"/>
      <c r="I113" s="94"/>
      <c r="J113" s="97"/>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8"/>
      <c r="AR113" s="99" t="str">
        <f t="shared" si="13"/>
        <v/>
      </c>
      <c r="AS113" s="99" t="str">
        <f>IF($A113="","",IF($AP113&lt;&gt;"",$AP113,IFERROR(INDEX('Cat Zone by ZIP'!$D$6:$D$856,MATCH($AR113,'Cat Zone by ZIP'!$B$6:$B$856,0)),IFERROR(INDEX('Cat Zone by ZIP'!$C$860:$C$910,MATCH($K113,'Cat Zone by ZIP'!$B$860:$B$910,0)),"NOT FOUND"))))</f>
        <v/>
      </c>
      <c r="AT113" s="99" t="str">
        <f>IF($A113="","",IF($AP113&lt;&gt;"","Override",IF(ISNUMBER(MATCH($AR113,'Cat Zone by ZIP'!$B$6:$B$856,0)),"ZIP-3","State default")))</f>
        <v/>
      </c>
      <c r="AU113" s="100" t="str">
        <f>IF($A113="","",IFERROR(INDEX('Natural Catastrophe'!$D$6:$D$17,MATCH($AS113,'Natural Catastrophe'!$B$6:$B$17,0)),"?"))</f>
        <v/>
      </c>
      <c r="AV113" s="100" t="str">
        <f>IF($A113="","",IFERROR(INDEX('Natural Catastrophe'!$C$21:$C$26,MATCH($AA113,'Natural Catastrophe'!$B$21:$B$26,0)),"?"))</f>
        <v/>
      </c>
      <c r="AW113" s="99" t="str">
        <f>IF($A113="","",IFERROR(INDEX('Base Rates'!$C$4:$I$4,MATCH(MAX($J113,'Technical Premium'!$C$18),'Base Rates'!$C$3:$I$3,1)),"?"))</f>
        <v/>
      </c>
      <c r="AX113" s="101" t="str">
        <f>IF($A113="","",IFERROR(INDEX('Base Rates'!$C$5:$I$16,MATCH($I113,'Base Rates'!$B$5:$B$16,0),MATCH(MAX($J113,'Technical Premium'!$C$18),'Base Rates'!$C$3:$I$3,1)),"?"))</f>
        <v/>
      </c>
      <c r="AY113" s="102" t="str">
        <f t="shared" si="14"/>
        <v/>
      </c>
      <c r="AZ113" s="99" t="str">
        <f>IF($A113="","",IFERROR(INDEX('Make Factors'!$G$5:$G$69,MATCH($F113,'Make Factors'!$B$5:$B$69,0)),"?"))</f>
        <v/>
      </c>
      <c r="BA113" s="99" t="str">
        <f>IF($A113="","",IFERROR(INDEX('Driver Factors'!$C$6:$C$15,MATCH($R113,'Driver Factors'!$B$6:$B$15,0)),"?"))</f>
        <v/>
      </c>
      <c r="BB113" s="99" t="str">
        <f>IF($A113="","",IFERROR(INDEX('Driver Factors'!$C$19:$C$24,MATCH($S113,'Driver Factors'!$B$19:$B$24,0)),"?"))</f>
        <v/>
      </c>
      <c r="BC113" s="99" t="str">
        <f>IF($A113="","",IFERROR(INDEX('Driver Factors'!$C$28:$C$36,MATCH($T113,'Driver Factors'!$B$28:$B$36,0)),"?"))</f>
        <v/>
      </c>
      <c r="BD113" s="99" t="str">
        <f>IF($A113="","",IFERROR(INDEX('Claims History'!$C$6:$C$15,MATCH($U113,'Claims History'!$B$6:$B$15,0)),"?"))</f>
        <v/>
      </c>
      <c r="BE113" s="99" t="str">
        <f>IF($A113="","",IFERROR(INDEX('Territory Factors'!$E$6:$E$56,MATCH($K113,'Territory Factors'!$B$6:$B$56,0)),"?"))</f>
        <v/>
      </c>
      <c r="BF113" s="99" t="str">
        <f>IF($A113="","",IFERROR(INDEX('City Accident Ratings'!$G$6:$G$54,MATCH($Z113,'City Accident Ratings'!$B$6:$B$54,0)),"?"))</f>
        <v/>
      </c>
      <c r="BG113" s="99" t="str">
        <f>IF($A113="","",IFERROR(INDEX('Usage and Coverage'!$D$6:$D$20,MATCH($N113,'Usage and Coverage'!$C$6:$C$20,0)),"?"))</f>
        <v/>
      </c>
      <c r="BH113" s="99" t="str">
        <f>IF($A113="","",IFERROR(INDEX('Usage and Coverage'!$C$24:$C$30,MATCH($O113,'Usage and Coverage'!$B$24:$B$30,0)),"?"))</f>
        <v/>
      </c>
      <c r="BI113" s="99" t="str">
        <f>IF($A113="","",IFERROR(INDEX('Usage and Coverage'!$C$34:$C$40,MATCH($P113,'Usage and Coverage'!$B$34:$B$40,0)),"?"))</f>
        <v/>
      </c>
      <c r="BJ113" s="99" t="str">
        <f>IF($A113="","",IFERROR(INDEX('Usage and Coverage'!$C$44:$C$49,MATCH($Q113,'Usage and Coverage'!$B$44:$B$49,0)),"?"))</f>
        <v/>
      </c>
      <c r="BK113" s="99" t="str">
        <f>IF($A113="","",IFERROR(INDEX(Deductibles!$C$6:$I$15,MATCH($W113,Deductibles!$B$6:$B$15,0),MATCH(MAX($J113,'Technical Premium'!$C$18),'Base Rates'!$C$3:$I$3,1)),"?"))</f>
        <v/>
      </c>
      <c r="BL113" s="99" t="str">
        <f>IF($A113="","",IFERROR(INDEX('Usage and Coverage'!$C$63:$C$66,MATCH($X113,'Usage and Coverage'!$B$63:$B$66,0)),"?"))</f>
        <v/>
      </c>
      <c r="BM113" s="99" t="str">
        <f>IF($A113="","",IFERROR(INDEX('Usage and Coverage'!$C$70:$C$75,MATCH($V113,'Usage and Coverage'!$B$70:$B$75,0)),"?"))</f>
        <v/>
      </c>
      <c r="BN113" s="99" t="str">
        <f>IF($A113="","",IF($AB113="",1,IFERROR(INDEX(Deductibles!$C$48:$C$51,MATCH($AB113,Deductibles!$B$48:$B$51,0)),"?")))</f>
        <v/>
      </c>
      <c r="BO113" s="99" t="str">
        <f>IF($A113="","",IF($AC113="",1,IFERROR(INDEX(Deductibles!$C$55:$C$57,MATCH($AC113,Deductibles!$B$55:$B$57,0)),"?")))</f>
        <v/>
      </c>
      <c r="BP113" s="99" t="str">
        <f>IF($A113="","",IF($AD113="",1,IFERROR(INDEX(Deductibles!$C$61:$C$63,MATCH($AD113,Deductibles!$B$61:$B$63,0)),"?")))</f>
        <v/>
      </c>
      <c r="BQ113" s="99" t="str">
        <f>IF($A113="","",IF($AE113="",1,IFERROR(INDEX(Deductibles!$C$67:$C$69,MATCH($AE113,Deductibles!$B$67:$B$69,0)),"?")))</f>
        <v/>
      </c>
      <c r="BR113" s="99" t="str">
        <f>IF($A113="","",IF($AF113="",1,IFERROR(INDEX(Deductibles!$C$73:$C$74,MATCH($AF113,Deductibles!$B$73:$B$74,0)),"?")))</f>
        <v/>
      </c>
      <c r="BS113" s="99" t="str">
        <f>IF($A113="","",IF($AG113="",1,IFERROR(INDEX('Sublimits and Parts'!$C$49:$C$52,MATCH($AG113,'Sublimits and Parts'!$B$49:$B$52,0)),"?")))</f>
        <v/>
      </c>
      <c r="BT113" s="99" t="str">
        <f>IF($A113="","",IF($AH113="",1,IFERROR(INDEX('Sublimits and Parts'!$C$56:$C$60,MATCH($AH113,'Sublimits and Parts'!$B$56:$B$60,0)),"?")))</f>
        <v/>
      </c>
      <c r="BU113" s="99" t="str">
        <f>IF($A113="","",IF($AI113="",1,IFERROR(INDEX('Sublimits and Parts'!$C$64:$C$67,MATCH($AI113,'Sublimits and Parts'!$B$64:$B$67,0)),"?")))</f>
        <v/>
      </c>
      <c r="BV113" s="99" t="str">
        <f>IF($A113="","",IF($AJ113="",1,IFERROR(INDEX('Sublimits and Parts'!$C$71:$C$74,MATCH($AJ113,'Sublimits and Parts'!$B$71:$B$74,0)),"?")))</f>
        <v/>
      </c>
      <c r="BW113" s="99" t="str">
        <f>IF($A113="","",IF($AK113="",1,IFERROR(INDEX('Sublimits and Parts'!$C$78:$C$80,MATCH($AK113,'Sublimits and Parts'!$B$78:$B$80,0)),"?")))</f>
        <v/>
      </c>
      <c r="BX113" s="99" t="str">
        <f>IF($A113="","",IF($AL113="",1,IFERROR(INDEX('Sublimits and Parts'!$C$84:$C$87,MATCH($AL113,'Sublimits and Parts'!$B$84:$B$87,0)),"?")))</f>
        <v/>
      </c>
      <c r="BY113" s="99" t="str">
        <f>IF($A113="","",IF($AM113="",1,IFERROR(INDEX('Sublimits and Parts'!$C$91:$C$94,MATCH($AM113,'Sublimits and Parts'!$B$91:$B$94,0)),"?")))</f>
        <v/>
      </c>
      <c r="BZ113" s="99" t="str">
        <f>IF($A113="","",IF($AN113="",1,IFERROR(INDEX('Sublimits and Parts'!$C$98:$C$101,MATCH($AN113,'Sublimits and Parts'!$B$98:$B$101,0)),"?")))</f>
        <v/>
      </c>
      <c r="CA113" s="99" t="str">
        <f>IF($A113="","",IF($AO113="",1,IFERROR(INDEX('Sublimits and Parts'!$C$105:$C$109,MATCH($AO113,'Sublimits and Parts'!$B$105:$B$109,0)),"?")))</f>
        <v/>
      </c>
      <c r="CB113" s="100" t="str">
        <f t="shared" si="15"/>
        <v/>
      </c>
      <c r="CC113" s="100" t="str">
        <f t="shared" si="16"/>
        <v/>
      </c>
      <c r="CD113" s="103" t="str">
        <f>IF($A113="","",IF(OR($CB113="?",$CC113="?"),"?",MIN($CB113*$CC113,'Technical Premium'!$C$17)))</f>
        <v/>
      </c>
      <c r="CE113" s="102" t="str">
        <f t="shared" si="17"/>
        <v/>
      </c>
      <c r="CF113" s="102" t="str">
        <f>IF($A113="","",IFERROR(INDEX('Territory Factors'!$F$6:$F$56,MATCH($K113,'Territory Factors'!$B$6:$B$56,0)),"?"))</f>
        <v/>
      </c>
      <c r="CG113" s="100" t="str">
        <f>IF($A113="","",IFERROR(INDEX('Usage and Coverage'!$C$79:$C$84,MATCH($Y113,'Usage and Coverage'!$B$79:$B$84,0)),"?"))</f>
        <v/>
      </c>
      <c r="CH113" s="102" t="str">
        <f>IFERROR(IF(ISNUMBER($CD113),$CF113*$CG113*MIN($BG113*$BA113*$BC113*$BD113*$BH113*$BF113,'Technical Premium'!$C$17),""),"")</f>
        <v/>
      </c>
      <c r="CI113" s="102" t="str">
        <f t="shared" si="18"/>
        <v/>
      </c>
      <c r="CJ113" s="102" t="str">
        <f>IFERROR($CI113*(1+'Technical Premium'!$C$5)*(1+'Technical Premium'!$C$6),"")</f>
        <v/>
      </c>
      <c r="CK113" s="102" t="str">
        <f>IFERROR($CE113*INDEX('Territory Factors'!$G$6:$G$56,MATCH($K113,'Territory Factors'!$B$6:$B$56,0))*$AU113*$AV113,"")</f>
        <v/>
      </c>
      <c r="CL113" s="102" t="str">
        <f>IFERROR(($CJ113+$CK113)*(1+'Technical Premium'!$C$7),"")</f>
        <v/>
      </c>
      <c r="CM113" s="104" t="str">
        <f>IFERROR($CL113/'Technical Premium'!$C$13,"")</f>
        <v/>
      </c>
      <c r="CN113" s="105" t="str">
        <f t="shared" si="19"/>
        <v/>
      </c>
      <c r="CO113" s="104" t="str">
        <f t="shared" si="20"/>
        <v/>
      </c>
      <c r="CP113" s="105" t="str">
        <f t="shared" si="21"/>
        <v/>
      </c>
      <c r="CQ113" s="106" t="str">
        <f t="shared" si="22"/>
        <v/>
      </c>
      <c r="CR113" s="102" t="str">
        <f>IF(ISNUMBER($CM113),'Technical Premium'!$C$14+IF($J113&gt;=1000000,'Technical Premium'!$C$15,0),"")</f>
        <v/>
      </c>
      <c r="CS113" s="102" t="str">
        <f>IFERROR(($CO113+$CR113)*(INDEX('Territory Factors'!$K$6:$K$56,MATCH($K113,'Territory Factors'!$B$6:$B$56,0))+'Commission Structure'!$C$21),"")</f>
        <v/>
      </c>
      <c r="CT113" s="104" t="str">
        <f t="shared" si="23"/>
        <v/>
      </c>
      <c r="CU113" s="102" t="str">
        <f>IFERROR($CO113*('Commission Structure'!$C$6+'Commission Structure'!$C$7),"")</f>
        <v/>
      </c>
      <c r="CV113" s="102" t="str">
        <f>IFERROR($CO113*'Commission Structure'!$C$5-$CU113,"")</f>
        <v/>
      </c>
      <c r="CW113" s="102" t="str">
        <f>IFERROR($CO113*(1-'Commission Structure'!$C$5),"")</f>
        <v/>
      </c>
      <c r="CX113" s="107"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8" t="str">
        <f t="shared" si="24"/>
        <v/>
      </c>
      <c r="CZ113" s="99" t="str">
        <f>IF($CY113="","",IF($CY113&lt;'Technical Premium'!$C$19,"BEYOND AUTHORITY",IF($CY113&gt;0.005,"Above technical",IF($CY113&lt;-0.005,"BELOW technical","At technical"))))</f>
        <v/>
      </c>
      <c r="DA113" s="99"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4"/>
      <c r="DC113" s="94"/>
      <c r="DD113" s="95"/>
      <c r="DE113" s="94"/>
      <c r="DF113" s="94"/>
      <c r="DG113" s="99" t="str">
        <f t="shared" si="25"/>
        <v/>
      </c>
      <c r="DH113" s="99" t="str">
        <f>IF($A113="","",IF(OR($CX113="REFER",$CX113="DECLINE"),COUNTIF($CX$5:$CX113,"REFER")+COUNTIF($CX$5:$CX113,"DECLINE"),""))</f>
        <v/>
      </c>
      <c r="DI113" s="94"/>
    </row>
    <row r="114" spans="1:113" x14ac:dyDescent="0.35">
      <c r="A114" s="94"/>
      <c r="B114" s="94"/>
      <c r="C114" s="95"/>
      <c r="D114" s="95"/>
      <c r="E114" s="96"/>
      <c r="F114" s="94"/>
      <c r="G114" s="94"/>
      <c r="H114" s="94"/>
      <c r="I114" s="94"/>
      <c r="J114" s="97"/>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8"/>
      <c r="AR114" s="99" t="str">
        <f t="shared" si="13"/>
        <v/>
      </c>
      <c r="AS114" s="99" t="str">
        <f>IF($A114="","",IF($AP114&lt;&gt;"",$AP114,IFERROR(INDEX('Cat Zone by ZIP'!$D$6:$D$856,MATCH($AR114,'Cat Zone by ZIP'!$B$6:$B$856,0)),IFERROR(INDEX('Cat Zone by ZIP'!$C$860:$C$910,MATCH($K114,'Cat Zone by ZIP'!$B$860:$B$910,0)),"NOT FOUND"))))</f>
        <v/>
      </c>
      <c r="AT114" s="99" t="str">
        <f>IF($A114="","",IF($AP114&lt;&gt;"","Override",IF(ISNUMBER(MATCH($AR114,'Cat Zone by ZIP'!$B$6:$B$856,0)),"ZIP-3","State default")))</f>
        <v/>
      </c>
      <c r="AU114" s="100" t="str">
        <f>IF($A114="","",IFERROR(INDEX('Natural Catastrophe'!$D$6:$D$17,MATCH($AS114,'Natural Catastrophe'!$B$6:$B$17,0)),"?"))</f>
        <v/>
      </c>
      <c r="AV114" s="100" t="str">
        <f>IF($A114="","",IFERROR(INDEX('Natural Catastrophe'!$C$21:$C$26,MATCH($AA114,'Natural Catastrophe'!$B$21:$B$26,0)),"?"))</f>
        <v/>
      </c>
      <c r="AW114" s="99" t="str">
        <f>IF($A114="","",IFERROR(INDEX('Base Rates'!$C$4:$I$4,MATCH(MAX($J114,'Technical Premium'!$C$18),'Base Rates'!$C$3:$I$3,1)),"?"))</f>
        <v/>
      </c>
      <c r="AX114" s="101" t="str">
        <f>IF($A114="","",IFERROR(INDEX('Base Rates'!$C$5:$I$16,MATCH($I114,'Base Rates'!$B$5:$B$16,0),MATCH(MAX($J114,'Technical Premium'!$C$18),'Base Rates'!$C$3:$I$3,1)),"?"))</f>
        <v/>
      </c>
      <c r="AY114" s="102" t="str">
        <f t="shared" si="14"/>
        <v/>
      </c>
      <c r="AZ114" s="99" t="str">
        <f>IF($A114="","",IFERROR(INDEX('Make Factors'!$G$5:$G$69,MATCH($F114,'Make Factors'!$B$5:$B$69,0)),"?"))</f>
        <v/>
      </c>
      <c r="BA114" s="99" t="str">
        <f>IF($A114="","",IFERROR(INDEX('Driver Factors'!$C$6:$C$15,MATCH($R114,'Driver Factors'!$B$6:$B$15,0)),"?"))</f>
        <v/>
      </c>
      <c r="BB114" s="99" t="str">
        <f>IF($A114="","",IFERROR(INDEX('Driver Factors'!$C$19:$C$24,MATCH($S114,'Driver Factors'!$B$19:$B$24,0)),"?"))</f>
        <v/>
      </c>
      <c r="BC114" s="99" t="str">
        <f>IF($A114="","",IFERROR(INDEX('Driver Factors'!$C$28:$C$36,MATCH($T114,'Driver Factors'!$B$28:$B$36,0)),"?"))</f>
        <v/>
      </c>
      <c r="BD114" s="99" t="str">
        <f>IF($A114="","",IFERROR(INDEX('Claims History'!$C$6:$C$15,MATCH($U114,'Claims History'!$B$6:$B$15,0)),"?"))</f>
        <v/>
      </c>
      <c r="BE114" s="99" t="str">
        <f>IF($A114="","",IFERROR(INDEX('Territory Factors'!$E$6:$E$56,MATCH($K114,'Territory Factors'!$B$6:$B$56,0)),"?"))</f>
        <v/>
      </c>
      <c r="BF114" s="99" t="str">
        <f>IF($A114="","",IFERROR(INDEX('City Accident Ratings'!$G$6:$G$54,MATCH($Z114,'City Accident Ratings'!$B$6:$B$54,0)),"?"))</f>
        <v/>
      </c>
      <c r="BG114" s="99" t="str">
        <f>IF($A114="","",IFERROR(INDEX('Usage and Coverage'!$D$6:$D$20,MATCH($N114,'Usage and Coverage'!$C$6:$C$20,0)),"?"))</f>
        <v/>
      </c>
      <c r="BH114" s="99" t="str">
        <f>IF($A114="","",IFERROR(INDEX('Usage and Coverage'!$C$24:$C$30,MATCH($O114,'Usage and Coverage'!$B$24:$B$30,0)),"?"))</f>
        <v/>
      </c>
      <c r="BI114" s="99" t="str">
        <f>IF($A114="","",IFERROR(INDEX('Usage and Coverage'!$C$34:$C$40,MATCH($P114,'Usage and Coverage'!$B$34:$B$40,0)),"?"))</f>
        <v/>
      </c>
      <c r="BJ114" s="99" t="str">
        <f>IF($A114="","",IFERROR(INDEX('Usage and Coverage'!$C$44:$C$49,MATCH($Q114,'Usage and Coverage'!$B$44:$B$49,0)),"?"))</f>
        <v/>
      </c>
      <c r="BK114" s="99" t="str">
        <f>IF($A114="","",IFERROR(INDEX(Deductibles!$C$6:$I$15,MATCH($W114,Deductibles!$B$6:$B$15,0),MATCH(MAX($J114,'Technical Premium'!$C$18),'Base Rates'!$C$3:$I$3,1)),"?"))</f>
        <v/>
      </c>
      <c r="BL114" s="99" t="str">
        <f>IF($A114="","",IFERROR(INDEX('Usage and Coverage'!$C$63:$C$66,MATCH($X114,'Usage and Coverage'!$B$63:$B$66,0)),"?"))</f>
        <v/>
      </c>
      <c r="BM114" s="99" t="str">
        <f>IF($A114="","",IFERROR(INDEX('Usage and Coverage'!$C$70:$C$75,MATCH($V114,'Usage and Coverage'!$B$70:$B$75,0)),"?"))</f>
        <v/>
      </c>
      <c r="BN114" s="99" t="str">
        <f>IF($A114="","",IF($AB114="",1,IFERROR(INDEX(Deductibles!$C$48:$C$51,MATCH($AB114,Deductibles!$B$48:$B$51,0)),"?")))</f>
        <v/>
      </c>
      <c r="BO114" s="99" t="str">
        <f>IF($A114="","",IF($AC114="",1,IFERROR(INDEX(Deductibles!$C$55:$C$57,MATCH($AC114,Deductibles!$B$55:$B$57,0)),"?")))</f>
        <v/>
      </c>
      <c r="BP114" s="99" t="str">
        <f>IF($A114="","",IF($AD114="",1,IFERROR(INDEX(Deductibles!$C$61:$C$63,MATCH($AD114,Deductibles!$B$61:$B$63,0)),"?")))</f>
        <v/>
      </c>
      <c r="BQ114" s="99" t="str">
        <f>IF($A114="","",IF($AE114="",1,IFERROR(INDEX(Deductibles!$C$67:$C$69,MATCH($AE114,Deductibles!$B$67:$B$69,0)),"?")))</f>
        <v/>
      </c>
      <c r="BR114" s="99" t="str">
        <f>IF($A114="","",IF($AF114="",1,IFERROR(INDEX(Deductibles!$C$73:$C$74,MATCH($AF114,Deductibles!$B$73:$B$74,0)),"?")))</f>
        <v/>
      </c>
      <c r="BS114" s="99" t="str">
        <f>IF($A114="","",IF($AG114="",1,IFERROR(INDEX('Sublimits and Parts'!$C$49:$C$52,MATCH($AG114,'Sublimits and Parts'!$B$49:$B$52,0)),"?")))</f>
        <v/>
      </c>
      <c r="BT114" s="99" t="str">
        <f>IF($A114="","",IF($AH114="",1,IFERROR(INDEX('Sublimits and Parts'!$C$56:$C$60,MATCH($AH114,'Sublimits and Parts'!$B$56:$B$60,0)),"?")))</f>
        <v/>
      </c>
      <c r="BU114" s="99" t="str">
        <f>IF($A114="","",IF($AI114="",1,IFERROR(INDEX('Sublimits and Parts'!$C$64:$C$67,MATCH($AI114,'Sublimits and Parts'!$B$64:$B$67,0)),"?")))</f>
        <v/>
      </c>
      <c r="BV114" s="99" t="str">
        <f>IF($A114="","",IF($AJ114="",1,IFERROR(INDEX('Sublimits and Parts'!$C$71:$C$74,MATCH($AJ114,'Sublimits and Parts'!$B$71:$B$74,0)),"?")))</f>
        <v/>
      </c>
      <c r="BW114" s="99" t="str">
        <f>IF($A114="","",IF($AK114="",1,IFERROR(INDEX('Sublimits and Parts'!$C$78:$C$80,MATCH($AK114,'Sublimits and Parts'!$B$78:$B$80,0)),"?")))</f>
        <v/>
      </c>
      <c r="BX114" s="99" t="str">
        <f>IF($A114="","",IF($AL114="",1,IFERROR(INDEX('Sublimits and Parts'!$C$84:$C$87,MATCH($AL114,'Sublimits and Parts'!$B$84:$B$87,0)),"?")))</f>
        <v/>
      </c>
      <c r="BY114" s="99" t="str">
        <f>IF($A114="","",IF($AM114="",1,IFERROR(INDEX('Sublimits and Parts'!$C$91:$C$94,MATCH($AM114,'Sublimits and Parts'!$B$91:$B$94,0)),"?")))</f>
        <v/>
      </c>
      <c r="BZ114" s="99" t="str">
        <f>IF($A114="","",IF($AN114="",1,IFERROR(INDEX('Sublimits and Parts'!$C$98:$C$101,MATCH($AN114,'Sublimits and Parts'!$B$98:$B$101,0)),"?")))</f>
        <v/>
      </c>
      <c r="CA114" s="99" t="str">
        <f>IF($A114="","",IF($AO114="",1,IFERROR(INDEX('Sublimits and Parts'!$C$105:$C$109,MATCH($AO114,'Sublimits and Parts'!$B$105:$B$109,0)),"?")))</f>
        <v/>
      </c>
      <c r="CB114" s="100" t="str">
        <f t="shared" si="15"/>
        <v/>
      </c>
      <c r="CC114" s="100" t="str">
        <f t="shared" si="16"/>
        <v/>
      </c>
      <c r="CD114" s="103" t="str">
        <f>IF($A114="","",IF(OR($CB114="?",$CC114="?"),"?",MIN($CB114*$CC114,'Technical Premium'!$C$17)))</f>
        <v/>
      </c>
      <c r="CE114" s="102" t="str">
        <f t="shared" si="17"/>
        <v/>
      </c>
      <c r="CF114" s="102" t="str">
        <f>IF($A114="","",IFERROR(INDEX('Territory Factors'!$F$6:$F$56,MATCH($K114,'Territory Factors'!$B$6:$B$56,0)),"?"))</f>
        <v/>
      </c>
      <c r="CG114" s="100" t="str">
        <f>IF($A114="","",IFERROR(INDEX('Usage and Coverage'!$C$79:$C$84,MATCH($Y114,'Usage and Coverage'!$B$79:$B$84,0)),"?"))</f>
        <v/>
      </c>
      <c r="CH114" s="102" t="str">
        <f>IFERROR(IF(ISNUMBER($CD114),$CF114*$CG114*MIN($BG114*$BA114*$BC114*$BD114*$BH114*$BF114,'Technical Premium'!$C$17),""),"")</f>
        <v/>
      </c>
      <c r="CI114" s="102" t="str">
        <f t="shared" si="18"/>
        <v/>
      </c>
      <c r="CJ114" s="102" t="str">
        <f>IFERROR($CI114*(1+'Technical Premium'!$C$5)*(1+'Technical Premium'!$C$6),"")</f>
        <v/>
      </c>
      <c r="CK114" s="102" t="str">
        <f>IFERROR($CE114*INDEX('Territory Factors'!$G$6:$G$56,MATCH($K114,'Territory Factors'!$B$6:$B$56,0))*$AU114*$AV114,"")</f>
        <v/>
      </c>
      <c r="CL114" s="102" t="str">
        <f>IFERROR(($CJ114+$CK114)*(1+'Technical Premium'!$C$7),"")</f>
        <v/>
      </c>
      <c r="CM114" s="104" t="str">
        <f>IFERROR($CL114/'Technical Premium'!$C$13,"")</f>
        <v/>
      </c>
      <c r="CN114" s="105" t="str">
        <f t="shared" si="19"/>
        <v/>
      </c>
      <c r="CO114" s="104" t="str">
        <f t="shared" si="20"/>
        <v/>
      </c>
      <c r="CP114" s="105" t="str">
        <f t="shared" si="21"/>
        <v/>
      </c>
      <c r="CQ114" s="106" t="str">
        <f t="shared" si="22"/>
        <v/>
      </c>
      <c r="CR114" s="102" t="str">
        <f>IF(ISNUMBER($CM114),'Technical Premium'!$C$14+IF($J114&gt;=1000000,'Technical Premium'!$C$15,0),"")</f>
        <v/>
      </c>
      <c r="CS114" s="102" t="str">
        <f>IFERROR(($CO114+$CR114)*(INDEX('Territory Factors'!$K$6:$K$56,MATCH($K114,'Territory Factors'!$B$6:$B$56,0))+'Commission Structure'!$C$21),"")</f>
        <v/>
      </c>
      <c r="CT114" s="104" t="str">
        <f t="shared" si="23"/>
        <v/>
      </c>
      <c r="CU114" s="102" t="str">
        <f>IFERROR($CO114*('Commission Structure'!$C$6+'Commission Structure'!$C$7),"")</f>
        <v/>
      </c>
      <c r="CV114" s="102" t="str">
        <f>IFERROR($CO114*'Commission Structure'!$C$5-$CU114,"")</f>
        <v/>
      </c>
      <c r="CW114" s="102" t="str">
        <f>IFERROR($CO114*(1-'Commission Structure'!$C$5),"")</f>
        <v/>
      </c>
      <c r="CX114" s="107"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8" t="str">
        <f t="shared" si="24"/>
        <v/>
      </c>
      <c r="CZ114" s="99" t="str">
        <f>IF($CY114="","",IF($CY114&lt;'Technical Premium'!$C$19,"BEYOND AUTHORITY",IF($CY114&gt;0.005,"Above technical",IF($CY114&lt;-0.005,"BELOW technical","At technical"))))</f>
        <v/>
      </c>
      <c r="DA114" s="99"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4"/>
      <c r="DC114" s="94"/>
      <c r="DD114" s="95"/>
      <c r="DE114" s="94"/>
      <c r="DF114" s="94"/>
      <c r="DG114" s="99" t="str">
        <f t="shared" si="25"/>
        <v/>
      </c>
      <c r="DH114" s="99" t="str">
        <f>IF($A114="","",IF(OR($CX114="REFER",$CX114="DECLINE"),COUNTIF($CX$5:$CX114,"REFER")+COUNTIF($CX$5:$CX114,"DECLINE"),""))</f>
        <v/>
      </c>
      <c r="DI114" s="94"/>
    </row>
    <row r="115" spans="1:113" x14ac:dyDescent="0.35">
      <c r="A115" s="94"/>
      <c r="B115" s="94"/>
      <c r="C115" s="95"/>
      <c r="D115" s="95"/>
      <c r="E115" s="96"/>
      <c r="F115" s="94"/>
      <c r="G115" s="94"/>
      <c r="H115" s="94"/>
      <c r="I115" s="94"/>
      <c r="J115" s="97"/>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8"/>
      <c r="AR115" s="99" t="str">
        <f t="shared" si="13"/>
        <v/>
      </c>
      <c r="AS115" s="99" t="str">
        <f>IF($A115="","",IF($AP115&lt;&gt;"",$AP115,IFERROR(INDEX('Cat Zone by ZIP'!$D$6:$D$856,MATCH($AR115,'Cat Zone by ZIP'!$B$6:$B$856,0)),IFERROR(INDEX('Cat Zone by ZIP'!$C$860:$C$910,MATCH($K115,'Cat Zone by ZIP'!$B$860:$B$910,0)),"NOT FOUND"))))</f>
        <v/>
      </c>
      <c r="AT115" s="99" t="str">
        <f>IF($A115="","",IF($AP115&lt;&gt;"","Override",IF(ISNUMBER(MATCH($AR115,'Cat Zone by ZIP'!$B$6:$B$856,0)),"ZIP-3","State default")))</f>
        <v/>
      </c>
      <c r="AU115" s="100" t="str">
        <f>IF($A115="","",IFERROR(INDEX('Natural Catastrophe'!$D$6:$D$17,MATCH($AS115,'Natural Catastrophe'!$B$6:$B$17,0)),"?"))</f>
        <v/>
      </c>
      <c r="AV115" s="100" t="str">
        <f>IF($A115="","",IFERROR(INDEX('Natural Catastrophe'!$C$21:$C$26,MATCH($AA115,'Natural Catastrophe'!$B$21:$B$26,0)),"?"))</f>
        <v/>
      </c>
      <c r="AW115" s="99" t="str">
        <f>IF($A115="","",IFERROR(INDEX('Base Rates'!$C$4:$I$4,MATCH(MAX($J115,'Technical Premium'!$C$18),'Base Rates'!$C$3:$I$3,1)),"?"))</f>
        <v/>
      </c>
      <c r="AX115" s="101" t="str">
        <f>IF($A115="","",IFERROR(INDEX('Base Rates'!$C$5:$I$16,MATCH($I115,'Base Rates'!$B$5:$B$16,0),MATCH(MAX($J115,'Technical Premium'!$C$18),'Base Rates'!$C$3:$I$3,1)),"?"))</f>
        <v/>
      </c>
      <c r="AY115" s="102" t="str">
        <f t="shared" si="14"/>
        <v/>
      </c>
      <c r="AZ115" s="99" t="str">
        <f>IF($A115="","",IFERROR(INDEX('Make Factors'!$G$5:$G$69,MATCH($F115,'Make Factors'!$B$5:$B$69,0)),"?"))</f>
        <v/>
      </c>
      <c r="BA115" s="99" t="str">
        <f>IF($A115="","",IFERROR(INDEX('Driver Factors'!$C$6:$C$15,MATCH($R115,'Driver Factors'!$B$6:$B$15,0)),"?"))</f>
        <v/>
      </c>
      <c r="BB115" s="99" t="str">
        <f>IF($A115="","",IFERROR(INDEX('Driver Factors'!$C$19:$C$24,MATCH($S115,'Driver Factors'!$B$19:$B$24,0)),"?"))</f>
        <v/>
      </c>
      <c r="BC115" s="99" t="str">
        <f>IF($A115="","",IFERROR(INDEX('Driver Factors'!$C$28:$C$36,MATCH($T115,'Driver Factors'!$B$28:$B$36,0)),"?"))</f>
        <v/>
      </c>
      <c r="BD115" s="99" t="str">
        <f>IF($A115="","",IFERROR(INDEX('Claims History'!$C$6:$C$15,MATCH($U115,'Claims History'!$B$6:$B$15,0)),"?"))</f>
        <v/>
      </c>
      <c r="BE115" s="99" t="str">
        <f>IF($A115="","",IFERROR(INDEX('Territory Factors'!$E$6:$E$56,MATCH($K115,'Territory Factors'!$B$6:$B$56,0)),"?"))</f>
        <v/>
      </c>
      <c r="BF115" s="99" t="str">
        <f>IF($A115="","",IFERROR(INDEX('City Accident Ratings'!$G$6:$G$54,MATCH($Z115,'City Accident Ratings'!$B$6:$B$54,0)),"?"))</f>
        <v/>
      </c>
      <c r="BG115" s="99" t="str">
        <f>IF($A115="","",IFERROR(INDEX('Usage and Coverage'!$D$6:$D$20,MATCH($N115,'Usage and Coverage'!$C$6:$C$20,0)),"?"))</f>
        <v/>
      </c>
      <c r="BH115" s="99" t="str">
        <f>IF($A115="","",IFERROR(INDEX('Usage and Coverage'!$C$24:$C$30,MATCH($O115,'Usage and Coverage'!$B$24:$B$30,0)),"?"))</f>
        <v/>
      </c>
      <c r="BI115" s="99" t="str">
        <f>IF($A115="","",IFERROR(INDEX('Usage and Coverage'!$C$34:$C$40,MATCH($P115,'Usage and Coverage'!$B$34:$B$40,0)),"?"))</f>
        <v/>
      </c>
      <c r="BJ115" s="99" t="str">
        <f>IF($A115="","",IFERROR(INDEX('Usage and Coverage'!$C$44:$C$49,MATCH($Q115,'Usage and Coverage'!$B$44:$B$49,0)),"?"))</f>
        <v/>
      </c>
      <c r="BK115" s="99" t="str">
        <f>IF($A115="","",IFERROR(INDEX(Deductibles!$C$6:$I$15,MATCH($W115,Deductibles!$B$6:$B$15,0),MATCH(MAX($J115,'Technical Premium'!$C$18),'Base Rates'!$C$3:$I$3,1)),"?"))</f>
        <v/>
      </c>
      <c r="BL115" s="99" t="str">
        <f>IF($A115="","",IFERROR(INDEX('Usage and Coverage'!$C$63:$C$66,MATCH($X115,'Usage and Coverage'!$B$63:$B$66,0)),"?"))</f>
        <v/>
      </c>
      <c r="BM115" s="99" t="str">
        <f>IF($A115="","",IFERROR(INDEX('Usage and Coverage'!$C$70:$C$75,MATCH($V115,'Usage and Coverage'!$B$70:$B$75,0)),"?"))</f>
        <v/>
      </c>
      <c r="BN115" s="99" t="str">
        <f>IF($A115="","",IF($AB115="",1,IFERROR(INDEX(Deductibles!$C$48:$C$51,MATCH($AB115,Deductibles!$B$48:$B$51,0)),"?")))</f>
        <v/>
      </c>
      <c r="BO115" s="99" t="str">
        <f>IF($A115="","",IF($AC115="",1,IFERROR(INDEX(Deductibles!$C$55:$C$57,MATCH($AC115,Deductibles!$B$55:$B$57,0)),"?")))</f>
        <v/>
      </c>
      <c r="BP115" s="99" t="str">
        <f>IF($A115="","",IF($AD115="",1,IFERROR(INDEX(Deductibles!$C$61:$C$63,MATCH($AD115,Deductibles!$B$61:$B$63,0)),"?")))</f>
        <v/>
      </c>
      <c r="BQ115" s="99" t="str">
        <f>IF($A115="","",IF($AE115="",1,IFERROR(INDEX(Deductibles!$C$67:$C$69,MATCH($AE115,Deductibles!$B$67:$B$69,0)),"?")))</f>
        <v/>
      </c>
      <c r="BR115" s="99" t="str">
        <f>IF($A115="","",IF($AF115="",1,IFERROR(INDEX(Deductibles!$C$73:$C$74,MATCH($AF115,Deductibles!$B$73:$B$74,0)),"?")))</f>
        <v/>
      </c>
      <c r="BS115" s="99" t="str">
        <f>IF($A115="","",IF($AG115="",1,IFERROR(INDEX('Sublimits and Parts'!$C$49:$C$52,MATCH($AG115,'Sublimits and Parts'!$B$49:$B$52,0)),"?")))</f>
        <v/>
      </c>
      <c r="BT115" s="99" t="str">
        <f>IF($A115="","",IF($AH115="",1,IFERROR(INDEX('Sublimits and Parts'!$C$56:$C$60,MATCH($AH115,'Sublimits and Parts'!$B$56:$B$60,0)),"?")))</f>
        <v/>
      </c>
      <c r="BU115" s="99" t="str">
        <f>IF($A115="","",IF($AI115="",1,IFERROR(INDEX('Sublimits and Parts'!$C$64:$C$67,MATCH($AI115,'Sublimits and Parts'!$B$64:$B$67,0)),"?")))</f>
        <v/>
      </c>
      <c r="BV115" s="99" t="str">
        <f>IF($A115="","",IF($AJ115="",1,IFERROR(INDEX('Sublimits and Parts'!$C$71:$C$74,MATCH($AJ115,'Sublimits and Parts'!$B$71:$B$74,0)),"?")))</f>
        <v/>
      </c>
      <c r="BW115" s="99" t="str">
        <f>IF($A115="","",IF($AK115="",1,IFERROR(INDEX('Sublimits and Parts'!$C$78:$C$80,MATCH($AK115,'Sublimits and Parts'!$B$78:$B$80,0)),"?")))</f>
        <v/>
      </c>
      <c r="BX115" s="99" t="str">
        <f>IF($A115="","",IF($AL115="",1,IFERROR(INDEX('Sublimits and Parts'!$C$84:$C$87,MATCH($AL115,'Sublimits and Parts'!$B$84:$B$87,0)),"?")))</f>
        <v/>
      </c>
      <c r="BY115" s="99" t="str">
        <f>IF($A115="","",IF($AM115="",1,IFERROR(INDEX('Sublimits and Parts'!$C$91:$C$94,MATCH($AM115,'Sublimits and Parts'!$B$91:$B$94,0)),"?")))</f>
        <v/>
      </c>
      <c r="BZ115" s="99" t="str">
        <f>IF($A115="","",IF($AN115="",1,IFERROR(INDEX('Sublimits and Parts'!$C$98:$C$101,MATCH($AN115,'Sublimits and Parts'!$B$98:$B$101,0)),"?")))</f>
        <v/>
      </c>
      <c r="CA115" s="99" t="str">
        <f>IF($A115="","",IF($AO115="",1,IFERROR(INDEX('Sublimits and Parts'!$C$105:$C$109,MATCH($AO115,'Sublimits and Parts'!$B$105:$B$109,0)),"?")))</f>
        <v/>
      </c>
      <c r="CB115" s="100" t="str">
        <f t="shared" si="15"/>
        <v/>
      </c>
      <c r="CC115" s="100" t="str">
        <f t="shared" si="16"/>
        <v/>
      </c>
      <c r="CD115" s="103" t="str">
        <f>IF($A115="","",IF(OR($CB115="?",$CC115="?"),"?",MIN($CB115*$CC115,'Technical Premium'!$C$17)))</f>
        <v/>
      </c>
      <c r="CE115" s="102" t="str">
        <f t="shared" si="17"/>
        <v/>
      </c>
      <c r="CF115" s="102" t="str">
        <f>IF($A115="","",IFERROR(INDEX('Territory Factors'!$F$6:$F$56,MATCH($K115,'Territory Factors'!$B$6:$B$56,0)),"?"))</f>
        <v/>
      </c>
      <c r="CG115" s="100" t="str">
        <f>IF($A115="","",IFERROR(INDEX('Usage and Coverage'!$C$79:$C$84,MATCH($Y115,'Usage and Coverage'!$B$79:$B$84,0)),"?"))</f>
        <v/>
      </c>
      <c r="CH115" s="102" t="str">
        <f>IFERROR(IF(ISNUMBER($CD115),$CF115*$CG115*MIN($BG115*$BA115*$BC115*$BD115*$BH115*$BF115,'Technical Premium'!$C$17),""),"")</f>
        <v/>
      </c>
      <c r="CI115" s="102" t="str">
        <f t="shared" si="18"/>
        <v/>
      </c>
      <c r="CJ115" s="102" t="str">
        <f>IFERROR($CI115*(1+'Technical Premium'!$C$5)*(1+'Technical Premium'!$C$6),"")</f>
        <v/>
      </c>
      <c r="CK115" s="102" t="str">
        <f>IFERROR($CE115*INDEX('Territory Factors'!$G$6:$G$56,MATCH($K115,'Territory Factors'!$B$6:$B$56,0))*$AU115*$AV115,"")</f>
        <v/>
      </c>
      <c r="CL115" s="102" t="str">
        <f>IFERROR(($CJ115+$CK115)*(1+'Technical Premium'!$C$7),"")</f>
        <v/>
      </c>
      <c r="CM115" s="104" t="str">
        <f>IFERROR($CL115/'Technical Premium'!$C$13,"")</f>
        <v/>
      </c>
      <c r="CN115" s="105" t="str">
        <f t="shared" si="19"/>
        <v/>
      </c>
      <c r="CO115" s="104" t="str">
        <f t="shared" si="20"/>
        <v/>
      </c>
      <c r="CP115" s="105" t="str">
        <f t="shared" si="21"/>
        <v/>
      </c>
      <c r="CQ115" s="106" t="str">
        <f t="shared" si="22"/>
        <v/>
      </c>
      <c r="CR115" s="102" t="str">
        <f>IF(ISNUMBER($CM115),'Technical Premium'!$C$14+IF($J115&gt;=1000000,'Technical Premium'!$C$15,0),"")</f>
        <v/>
      </c>
      <c r="CS115" s="102" t="str">
        <f>IFERROR(($CO115+$CR115)*(INDEX('Territory Factors'!$K$6:$K$56,MATCH($K115,'Territory Factors'!$B$6:$B$56,0))+'Commission Structure'!$C$21),"")</f>
        <v/>
      </c>
      <c r="CT115" s="104" t="str">
        <f t="shared" si="23"/>
        <v/>
      </c>
      <c r="CU115" s="102" t="str">
        <f>IFERROR($CO115*('Commission Structure'!$C$6+'Commission Structure'!$C$7),"")</f>
        <v/>
      </c>
      <c r="CV115" s="102" t="str">
        <f>IFERROR($CO115*'Commission Structure'!$C$5-$CU115,"")</f>
        <v/>
      </c>
      <c r="CW115" s="102" t="str">
        <f>IFERROR($CO115*(1-'Commission Structure'!$C$5),"")</f>
        <v/>
      </c>
      <c r="CX115" s="107"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8" t="str">
        <f t="shared" si="24"/>
        <v/>
      </c>
      <c r="CZ115" s="99" t="str">
        <f>IF($CY115="","",IF($CY115&lt;'Technical Premium'!$C$19,"BEYOND AUTHORITY",IF($CY115&gt;0.005,"Above technical",IF($CY115&lt;-0.005,"BELOW technical","At technical"))))</f>
        <v/>
      </c>
      <c r="DA115" s="99"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4"/>
      <c r="DC115" s="94"/>
      <c r="DD115" s="95"/>
      <c r="DE115" s="94"/>
      <c r="DF115" s="94"/>
      <c r="DG115" s="99" t="str">
        <f t="shared" si="25"/>
        <v/>
      </c>
      <c r="DH115" s="99" t="str">
        <f>IF($A115="","",IF(OR($CX115="REFER",$CX115="DECLINE"),COUNTIF($CX$5:$CX115,"REFER")+COUNTIF($CX$5:$CX115,"DECLINE"),""))</f>
        <v/>
      </c>
      <c r="DI115" s="94"/>
    </row>
    <row r="116" spans="1:113" x14ac:dyDescent="0.35">
      <c r="A116" s="94"/>
      <c r="B116" s="94"/>
      <c r="C116" s="95"/>
      <c r="D116" s="95"/>
      <c r="E116" s="96"/>
      <c r="F116" s="94"/>
      <c r="G116" s="94"/>
      <c r="H116" s="94"/>
      <c r="I116" s="94"/>
      <c r="J116" s="97"/>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8"/>
      <c r="AR116" s="99" t="str">
        <f t="shared" si="13"/>
        <v/>
      </c>
      <c r="AS116" s="99" t="str">
        <f>IF($A116="","",IF($AP116&lt;&gt;"",$AP116,IFERROR(INDEX('Cat Zone by ZIP'!$D$6:$D$856,MATCH($AR116,'Cat Zone by ZIP'!$B$6:$B$856,0)),IFERROR(INDEX('Cat Zone by ZIP'!$C$860:$C$910,MATCH($K116,'Cat Zone by ZIP'!$B$860:$B$910,0)),"NOT FOUND"))))</f>
        <v/>
      </c>
      <c r="AT116" s="99" t="str">
        <f>IF($A116="","",IF($AP116&lt;&gt;"","Override",IF(ISNUMBER(MATCH($AR116,'Cat Zone by ZIP'!$B$6:$B$856,0)),"ZIP-3","State default")))</f>
        <v/>
      </c>
      <c r="AU116" s="100" t="str">
        <f>IF($A116="","",IFERROR(INDEX('Natural Catastrophe'!$D$6:$D$17,MATCH($AS116,'Natural Catastrophe'!$B$6:$B$17,0)),"?"))</f>
        <v/>
      </c>
      <c r="AV116" s="100" t="str">
        <f>IF($A116="","",IFERROR(INDEX('Natural Catastrophe'!$C$21:$C$26,MATCH($AA116,'Natural Catastrophe'!$B$21:$B$26,0)),"?"))</f>
        <v/>
      </c>
      <c r="AW116" s="99" t="str">
        <f>IF($A116="","",IFERROR(INDEX('Base Rates'!$C$4:$I$4,MATCH(MAX($J116,'Technical Premium'!$C$18),'Base Rates'!$C$3:$I$3,1)),"?"))</f>
        <v/>
      </c>
      <c r="AX116" s="101" t="str">
        <f>IF($A116="","",IFERROR(INDEX('Base Rates'!$C$5:$I$16,MATCH($I116,'Base Rates'!$B$5:$B$16,0),MATCH(MAX($J116,'Technical Premium'!$C$18),'Base Rates'!$C$3:$I$3,1)),"?"))</f>
        <v/>
      </c>
      <c r="AY116" s="102" t="str">
        <f t="shared" si="14"/>
        <v/>
      </c>
      <c r="AZ116" s="99" t="str">
        <f>IF($A116="","",IFERROR(INDEX('Make Factors'!$G$5:$G$69,MATCH($F116,'Make Factors'!$B$5:$B$69,0)),"?"))</f>
        <v/>
      </c>
      <c r="BA116" s="99" t="str">
        <f>IF($A116="","",IFERROR(INDEX('Driver Factors'!$C$6:$C$15,MATCH($R116,'Driver Factors'!$B$6:$B$15,0)),"?"))</f>
        <v/>
      </c>
      <c r="BB116" s="99" t="str">
        <f>IF($A116="","",IFERROR(INDEX('Driver Factors'!$C$19:$C$24,MATCH($S116,'Driver Factors'!$B$19:$B$24,0)),"?"))</f>
        <v/>
      </c>
      <c r="BC116" s="99" t="str">
        <f>IF($A116="","",IFERROR(INDEX('Driver Factors'!$C$28:$C$36,MATCH($T116,'Driver Factors'!$B$28:$B$36,0)),"?"))</f>
        <v/>
      </c>
      <c r="BD116" s="99" t="str">
        <f>IF($A116="","",IFERROR(INDEX('Claims History'!$C$6:$C$15,MATCH($U116,'Claims History'!$B$6:$B$15,0)),"?"))</f>
        <v/>
      </c>
      <c r="BE116" s="99" t="str">
        <f>IF($A116="","",IFERROR(INDEX('Territory Factors'!$E$6:$E$56,MATCH($K116,'Territory Factors'!$B$6:$B$56,0)),"?"))</f>
        <v/>
      </c>
      <c r="BF116" s="99" t="str">
        <f>IF($A116="","",IFERROR(INDEX('City Accident Ratings'!$G$6:$G$54,MATCH($Z116,'City Accident Ratings'!$B$6:$B$54,0)),"?"))</f>
        <v/>
      </c>
      <c r="BG116" s="99" t="str">
        <f>IF($A116="","",IFERROR(INDEX('Usage and Coverage'!$D$6:$D$20,MATCH($N116,'Usage and Coverage'!$C$6:$C$20,0)),"?"))</f>
        <v/>
      </c>
      <c r="BH116" s="99" t="str">
        <f>IF($A116="","",IFERROR(INDEX('Usage and Coverage'!$C$24:$C$30,MATCH($O116,'Usage and Coverage'!$B$24:$B$30,0)),"?"))</f>
        <v/>
      </c>
      <c r="BI116" s="99" t="str">
        <f>IF($A116="","",IFERROR(INDEX('Usage and Coverage'!$C$34:$C$40,MATCH($P116,'Usage and Coverage'!$B$34:$B$40,0)),"?"))</f>
        <v/>
      </c>
      <c r="BJ116" s="99" t="str">
        <f>IF($A116="","",IFERROR(INDEX('Usage and Coverage'!$C$44:$C$49,MATCH($Q116,'Usage and Coverage'!$B$44:$B$49,0)),"?"))</f>
        <v/>
      </c>
      <c r="BK116" s="99" t="str">
        <f>IF($A116="","",IFERROR(INDEX(Deductibles!$C$6:$I$15,MATCH($W116,Deductibles!$B$6:$B$15,0),MATCH(MAX($J116,'Technical Premium'!$C$18),'Base Rates'!$C$3:$I$3,1)),"?"))</f>
        <v/>
      </c>
      <c r="BL116" s="99" t="str">
        <f>IF($A116="","",IFERROR(INDEX('Usage and Coverage'!$C$63:$C$66,MATCH($X116,'Usage and Coverage'!$B$63:$B$66,0)),"?"))</f>
        <v/>
      </c>
      <c r="BM116" s="99" t="str">
        <f>IF($A116="","",IFERROR(INDEX('Usage and Coverage'!$C$70:$C$75,MATCH($V116,'Usage and Coverage'!$B$70:$B$75,0)),"?"))</f>
        <v/>
      </c>
      <c r="BN116" s="99" t="str">
        <f>IF($A116="","",IF($AB116="",1,IFERROR(INDEX(Deductibles!$C$48:$C$51,MATCH($AB116,Deductibles!$B$48:$B$51,0)),"?")))</f>
        <v/>
      </c>
      <c r="BO116" s="99" t="str">
        <f>IF($A116="","",IF($AC116="",1,IFERROR(INDEX(Deductibles!$C$55:$C$57,MATCH($AC116,Deductibles!$B$55:$B$57,0)),"?")))</f>
        <v/>
      </c>
      <c r="BP116" s="99" t="str">
        <f>IF($A116="","",IF($AD116="",1,IFERROR(INDEX(Deductibles!$C$61:$C$63,MATCH($AD116,Deductibles!$B$61:$B$63,0)),"?")))</f>
        <v/>
      </c>
      <c r="BQ116" s="99" t="str">
        <f>IF($A116="","",IF($AE116="",1,IFERROR(INDEX(Deductibles!$C$67:$C$69,MATCH($AE116,Deductibles!$B$67:$B$69,0)),"?")))</f>
        <v/>
      </c>
      <c r="BR116" s="99" t="str">
        <f>IF($A116="","",IF($AF116="",1,IFERROR(INDEX(Deductibles!$C$73:$C$74,MATCH($AF116,Deductibles!$B$73:$B$74,0)),"?")))</f>
        <v/>
      </c>
      <c r="BS116" s="99" t="str">
        <f>IF($A116="","",IF($AG116="",1,IFERROR(INDEX('Sublimits and Parts'!$C$49:$C$52,MATCH($AG116,'Sublimits and Parts'!$B$49:$B$52,0)),"?")))</f>
        <v/>
      </c>
      <c r="BT116" s="99" t="str">
        <f>IF($A116="","",IF($AH116="",1,IFERROR(INDEX('Sublimits and Parts'!$C$56:$C$60,MATCH($AH116,'Sublimits and Parts'!$B$56:$B$60,0)),"?")))</f>
        <v/>
      </c>
      <c r="BU116" s="99" t="str">
        <f>IF($A116="","",IF($AI116="",1,IFERROR(INDEX('Sublimits and Parts'!$C$64:$C$67,MATCH($AI116,'Sublimits and Parts'!$B$64:$B$67,0)),"?")))</f>
        <v/>
      </c>
      <c r="BV116" s="99" t="str">
        <f>IF($A116="","",IF($AJ116="",1,IFERROR(INDEX('Sublimits and Parts'!$C$71:$C$74,MATCH($AJ116,'Sublimits and Parts'!$B$71:$B$74,0)),"?")))</f>
        <v/>
      </c>
      <c r="BW116" s="99" t="str">
        <f>IF($A116="","",IF($AK116="",1,IFERROR(INDEX('Sublimits and Parts'!$C$78:$C$80,MATCH($AK116,'Sublimits and Parts'!$B$78:$B$80,0)),"?")))</f>
        <v/>
      </c>
      <c r="BX116" s="99" t="str">
        <f>IF($A116="","",IF($AL116="",1,IFERROR(INDEX('Sublimits and Parts'!$C$84:$C$87,MATCH($AL116,'Sublimits and Parts'!$B$84:$B$87,0)),"?")))</f>
        <v/>
      </c>
      <c r="BY116" s="99" t="str">
        <f>IF($A116="","",IF($AM116="",1,IFERROR(INDEX('Sublimits and Parts'!$C$91:$C$94,MATCH($AM116,'Sublimits and Parts'!$B$91:$B$94,0)),"?")))</f>
        <v/>
      </c>
      <c r="BZ116" s="99" t="str">
        <f>IF($A116="","",IF($AN116="",1,IFERROR(INDEX('Sublimits and Parts'!$C$98:$C$101,MATCH($AN116,'Sublimits and Parts'!$B$98:$B$101,0)),"?")))</f>
        <v/>
      </c>
      <c r="CA116" s="99" t="str">
        <f>IF($A116="","",IF($AO116="",1,IFERROR(INDEX('Sublimits and Parts'!$C$105:$C$109,MATCH($AO116,'Sublimits and Parts'!$B$105:$B$109,0)),"?")))</f>
        <v/>
      </c>
      <c r="CB116" s="100" t="str">
        <f t="shared" si="15"/>
        <v/>
      </c>
      <c r="CC116" s="100" t="str">
        <f t="shared" si="16"/>
        <v/>
      </c>
      <c r="CD116" s="103" t="str">
        <f>IF($A116="","",IF(OR($CB116="?",$CC116="?"),"?",MIN($CB116*$CC116,'Technical Premium'!$C$17)))</f>
        <v/>
      </c>
      <c r="CE116" s="102" t="str">
        <f t="shared" si="17"/>
        <v/>
      </c>
      <c r="CF116" s="102" t="str">
        <f>IF($A116="","",IFERROR(INDEX('Territory Factors'!$F$6:$F$56,MATCH($K116,'Territory Factors'!$B$6:$B$56,0)),"?"))</f>
        <v/>
      </c>
      <c r="CG116" s="100" t="str">
        <f>IF($A116="","",IFERROR(INDEX('Usage and Coverage'!$C$79:$C$84,MATCH($Y116,'Usage and Coverage'!$B$79:$B$84,0)),"?"))</f>
        <v/>
      </c>
      <c r="CH116" s="102" t="str">
        <f>IFERROR(IF(ISNUMBER($CD116),$CF116*$CG116*MIN($BG116*$BA116*$BC116*$BD116*$BH116*$BF116,'Technical Premium'!$C$17),""),"")</f>
        <v/>
      </c>
      <c r="CI116" s="102" t="str">
        <f t="shared" si="18"/>
        <v/>
      </c>
      <c r="CJ116" s="102" t="str">
        <f>IFERROR($CI116*(1+'Technical Premium'!$C$5)*(1+'Technical Premium'!$C$6),"")</f>
        <v/>
      </c>
      <c r="CK116" s="102" t="str">
        <f>IFERROR($CE116*INDEX('Territory Factors'!$G$6:$G$56,MATCH($K116,'Territory Factors'!$B$6:$B$56,0))*$AU116*$AV116,"")</f>
        <v/>
      </c>
      <c r="CL116" s="102" t="str">
        <f>IFERROR(($CJ116+$CK116)*(1+'Technical Premium'!$C$7),"")</f>
        <v/>
      </c>
      <c r="CM116" s="104" t="str">
        <f>IFERROR($CL116/'Technical Premium'!$C$13,"")</f>
        <v/>
      </c>
      <c r="CN116" s="105" t="str">
        <f t="shared" si="19"/>
        <v/>
      </c>
      <c r="CO116" s="104" t="str">
        <f t="shared" si="20"/>
        <v/>
      </c>
      <c r="CP116" s="105" t="str">
        <f t="shared" si="21"/>
        <v/>
      </c>
      <c r="CQ116" s="106" t="str">
        <f t="shared" si="22"/>
        <v/>
      </c>
      <c r="CR116" s="102" t="str">
        <f>IF(ISNUMBER($CM116),'Technical Premium'!$C$14+IF($J116&gt;=1000000,'Technical Premium'!$C$15,0),"")</f>
        <v/>
      </c>
      <c r="CS116" s="102" t="str">
        <f>IFERROR(($CO116+$CR116)*(INDEX('Territory Factors'!$K$6:$K$56,MATCH($K116,'Territory Factors'!$B$6:$B$56,0))+'Commission Structure'!$C$21),"")</f>
        <v/>
      </c>
      <c r="CT116" s="104" t="str">
        <f t="shared" si="23"/>
        <v/>
      </c>
      <c r="CU116" s="102" t="str">
        <f>IFERROR($CO116*('Commission Structure'!$C$6+'Commission Structure'!$C$7),"")</f>
        <v/>
      </c>
      <c r="CV116" s="102" t="str">
        <f>IFERROR($CO116*'Commission Structure'!$C$5-$CU116,"")</f>
        <v/>
      </c>
      <c r="CW116" s="102" t="str">
        <f>IFERROR($CO116*(1-'Commission Structure'!$C$5),"")</f>
        <v/>
      </c>
      <c r="CX116" s="107"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8" t="str">
        <f t="shared" si="24"/>
        <v/>
      </c>
      <c r="CZ116" s="99" t="str">
        <f>IF($CY116="","",IF($CY116&lt;'Technical Premium'!$C$19,"BEYOND AUTHORITY",IF($CY116&gt;0.005,"Above technical",IF($CY116&lt;-0.005,"BELOW technical","At technical"))))</f>
        <v/>
      </c>
      <c r="DA116" s="99"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4"/>
      <c r="DC116" s="94"/>
      <c r="DD116" s="95"/>
      <c r="DE116" s="94"/>
      <c r="DF116" s="94"/>
      <c r="DG116" s="99" t="str">
        <f t="shared" si="25"/>
        <v/>
      </c>
      <c r="DH116" s="99" t="str">
        <f>IF($A116="","",IF(OR($CX116="REFER",$CX116="DECLINE"),COUNTIF($CX$5:$CX116,"REFER")+COUNTIF($CX$5:$CX116,"DECLINE"),""))</f>
        <v/>
      </c>
      <c r="DI116" s="94"/>
    </row>
    <row r="117" spans="1:113" x14ac:dyDescent="0.35">
      <c r="A117" s="94"/>
      <c r="B117" s="94"/>
      <c r="C117" s="95"/>
      <c r="D117" s="95"/>
      <c r="E117" s="96"/>
      <c r="F117" s="94"/>
      <c r="G117" s="94"/>
      <c r="H117" s="94"/>
      <c r="I117" s="94"/>
      <c r="J117" s="97"/>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8"/>
      <c r="AR117" s="99" t="str">
        <f t="shared" si="13"/>
        <v/>
      </c>
      <c r="AS117" s="99" t="str">
        <f>IF($A117="","",IF($AP117&lt;&gt;"",$AP117,IFERROR(INDEX('Cat Zone by ZIP'!$D$6:$D$856,MATCH($AR117,'Cat Zone by ZIP'!$B$6:$B$856,0)),IFERROR(INDEX('Cat Zone by ZIP'!$C$860:$C$910,MATCH($K117,'Cat Zone by ZIP'!$B$860:$B$910,0)),"NOT FOUND"))))</f>
        <v/>
      </c>
      <c r="AT117" s="99" t="str">
        <f>IF($A117="","",IF($AP117&lt;&gt;"","Override",IF(ISNUMBER(MATCH($AR117,'Cat Zone by ZIP'!$B$6:$B$856,0)),"ZIP-3","State default")))</f>
        <v/>
      </c>
      <c r="AU117" s="100" t="str">
        <f>IF($A117="","",IFERROR(INDEX('Natural Catastrophe'!$D$6:$D$17,MATCH($AS117,'Natural Catastrophe'!$B$6:$B$17,0)),"?"))</f>
        <v/>
      </c>
      <c r="AV117" s="100" t="str">
        <f>IF($A117="","",IFERROR(INDEX('Natural Catastrophe'!$C$21:$C$26,MATCH($AA117,'Natural Catastrophe'!$B$21:$B$26,0)),"?"))</f>
        <v/>
      </c>
      <c r="AW117" s="99" t="str">
        <f>IF($A117="","",IFERROR(INDEX('Base Rates'!$C$4:$I$4,MATCH(MAX($J117,'Technical Premium'!$C$18),'Base Rates'!$C$3:$I$3,1)),"?"))</f>
        <v/>
      </c>
      <c r="AX117" s="101" t="str">
        <f>IF($A117="","",IFERROR(INDEX('Base Rates'!$C$5:$I$16,MATCH($I117,'Base Rates'!$B$5:$B$16,0),MATCH(MAX($J117,'Technical Premium'!$C$18),'Base Rates'!$C$3:$I$3,1)),"?"))</f>
        <v/>
      </c>
      <c r="AY117" s="102" t="str">
        <f t="shared" si="14"/>
        <v/>
      </c>
      <c r="AZ117" s="99" t="str">
        <f>IF($A117="","",IFERROR(INDEX('Make Factors'!$G$5:$G$69,MATCH($F117,'Make Factors'!$B$5:$B$69,0)),"?"))</f>
        <v/>
      </c>
      <c r="BA117" s="99" t="str">
        <f>IF($A117="","",IFERROR(INDEX('Driver Factors'!$C$6:$C$15,MATCH($R117,'Driver Factors'!$B$6:$B$15,0)),"?"))</f>
        <v/>
      </c>
      <c r="BB117" s="99" t="str">
        <f>IF($A117="","",IFERROR(INDEX('Driver Factors'!$C$19:$C$24,MATCH($S117,'Driver Factors'!$B$19:$B$24,0)),"?"))</f>
        <v/>
      </c>
      <c r="BC117" s="99" t="str">
        <f>IF($A117="","",IFERROR(INDEX('Driver Factors'!$C$28:$C$36,MATCH($T117,'Driver Factors'!$B$28:$B$36,0)),"?"))</f>
        <v/>
      </c>
      <c r="BD117" s="99" t="str">
        <f>IF($A117="","",IFERROR(INDEX('Claims History'!$C$6:$C$15,MATCH($U117,'Claims History'!$B$6:$B$15,0)),"?"))</f>
        <v/>
      </c>
      <c r="BE117" s="99" t="str">
        <f>IF($A117="","",IFERROR(INDEX('Territory Factors'!$E$6:$E$56,MATCH($K117,'Territory Factors'!$B$6:$B$56,0)),"?"))</f>
        <v/>
      </c>
      <c r="BF117" s="99" t="str">
        <f>IF($A117="","",IFERROR(INDEX('City Accident Ratings'!$G$6:$G$54,MATCH($Z117,'City Accident Ratings'!$B$6:$B$54,0)),"?"))</f>
        <v/>
      </c>
      <c r="BG117" s="99" t="str">
        <f>IF($A117="","",IFERROR(INDEX('Usage and Coverage'!$D$6:$D$20,MATCH($N117,'Usage and Coverage'!$C$6:$C$20,0)),"?"))</f>
        <v/>
      </c>
      <c r="BH117" s="99" t="str">
        <f>IF($A117="","",IFERROR(INDEX('Usage and Coverage'!$C$24:$C$30,MATCH($O117,'Usage and Coverage'!$B$24:$B$30,0)),"?"))</f>
        <v/>
      </c>
      <c r="BI117" s="99" t="str">
        <f>IF($A117="","",IFERROR(INDEX('Usage and Coverage'!$C$34:$C$40,MATCH($P117,'Usage and Coverage'!$B$34:$B$40,0)),"?"))</f>
        <v/>
      </c>
      <c r="BJ117" s="99" t="str">
        <f>IF($A117="","",IFERROR(INDEX('Usage and Coverage'!$C$44:$C$49,MATCH($Q117,'Usage and Coverage'!$B$44:$B$49,0)),"?"))</f>
        <v/>
      </c>
      <c r="BK117" s="99" t="str">
        <f>IF($A117="","",IFERROR(INDEX(Deductibles!$C$6:$I$15,MATCH($W117,Deductibles!$B$6:$B$15,0),MATCH(MAX($J117,'Technical Premium'!$C$18),'Base Rates'!$C$3:$I$3,1)),"?"))</f>
        <v/>
      </c>
      <c r="BL117" s="99" t="str">
        <f>IF($A117="","",IFERROR(INDEX('Usage and Coverage'!$C$63:$C$66,MATCH($X117,'Usage and Coverage'!$B$63:$B$66,0)),"?"))</f>
        <v/>
      </c>
      <c r="BM117" s="99" t="str">
        <f>IF($A117="","",IFERROR(INDEX('Usage and Coverage'!$C$70:$C$75,MATCH($V117,'Usage and Coverage'!$B$70:$B$75,0)),"?"))</f>
        <v/>
      </c>
      <c r="BN117" s="99" t="str">
        <f>IF($A117="","",IF($AB117="",1,IFERROR(INDEX(Deductibles!$C$48:$C$51,MATCH($AB117,Deductibles!$B$48:$B$51,0)),"?")))</f>
        <v/>
      </c>
      <c r="BO117" s="99" t="str">
        <f>IF($A117="","",IF($AC117="",1,IFERROR(INDEX(Deductibles!$C$55:$C$57,MATCH($AC117,Deductibles!$B$55:$B$57,0)),"?")))</f>
        <v/>
      </c>
      <c r="BP117" s="99" t="str">
        <f>IF($A117="","",IF($AD117="",1,IFERROR(INDEX(Deductibles!$C$61:$C$63,MATCH($AD117,Deductibles!$B$61:$B$63,0)),"?")))</f>
        <v/>
      </c>
      <c r="BQ117" s="99" t="str">
        <f>IF($A117="","",IF($AE117="",1,IFERROR(INDEX(Deductibles!$C$67:$C$69,MATCH($AE117,Deductibles!$B$67:$B$69,0)),"?")))</f>
        <v/>
      </c>
      <c r="BR117" s="99" t="str">
        <f>IF($A117="","",IF($AF117="",1,IFERROR(INDEX(Deductibles!$C$73:$C$74,MATCH($AF117,Deductibles!$B$73:$B$74,0)),"?")))</f>
        <v/>
      </c>
      <c r="BS117" s="99" t="str">
        <f>IF($A117="","",IF($AG117="",1,IFERROR(INDEX('Sublimits and Parts'!$C$49:$C$52,MATCH($AG117,'Sublimits and Parts'!$B$49:$B$52,0)),"?")))</f>
        <v/>
      </c>
      <c r="BT117" s="99" t="str">
        <f>IF($A117="","",IF($AH117="",1,IFERROR(INDEX('Sublimits and Parts'!$C$56:$C$60,MATCH($AH117,'Sublimits and Parts'!$B$56:$B$60,0)),"?")))</f>
        <v/>
      </c>
      <c r="BU117" s="99" t="str">
        <f>IF($A117="","",IF($AI117="",1,IFERROR(INDEX('Sublimits and Parts'!$C$64:$C$67,MATCH($AI117,'Sublimits and Parts'!$B$64:$B$67,0)),"?")))</f>
        <v/>
      </c>
      <c r="BV117" s="99" t="str">
        <f>IF($A117="","",IF($AJ117="",1,IFERROR(INDEX('Sublimits and Parts'!$C$71:$C$74,MATCH($AJ117,'Sublimits and Parts'!$B$71:$B$74,0)),"?")))</f>
        <v/>
      </c>
      <c r="BW117" s="99" t="str">
        <f>IF($A117="","",IF($AK117="",1,IFERROR(INDEX('Sublimits and Parts'!$C$78:$C$80,MATCH($AK117,'Sublimits and Parts'!$B$78:$B$80,0)),"?")))</f>
        <v/>
      </c>
      <c r="BX117" s="99" t="str">
        <f>IF($A117="","",IF($AL117="",1,IFERROR(INDEX('Sublimits and Parts'!$C$84:$C$87,MATCH($AL117,'Sublimits and Parts'!$B$84:$B$87,0)),"?")))</f>
        <v/>
      </c>
      <c r="BY117" s="99" t="str">
        <f>IF($A117="","",IF($AM117="",1,IFERROR(INDEX('Sublimits and Parts'!$C$91:$C$94,MATCH($AM117,'Sublimits and Parts'!$B$91:$B$94,0)),"?")))</f>
        <v/>
      </c>
      <c r="BZ117" s="99" t="str">
        <f>IF($A117="","",IF($AN117="",1,IFERROR(INDEX('Sublimits and Parts'!$C$98:$C$101,MATCH($AN117,'Sublimits and Parts'!$B$98:$B$101,0)),"?")))</f>
        <v/>
      </c>
      <c r="CA117" s="99" t="str">
        <f>IF($A117="","",IF($AO117="",1,IFERROR(INDEX('Sublimits and Parts'!$C$105:$C$109,MATCH($AO117,'Sublimits and Parts'!$B$105:$B$109,0)),"?")))</f>
        <v/>
      </c>
      <c r="CB117" s="100" t="str">
        <f t="shared" si="15"/>
        <v/>
      </c>
      <c r="CC117" s="100" t="str">
        <f t="shared" si="16"/>
        <v/>
      </c>
      <c r="CD117" s="103" t="str">
        <f>IF($A117="","",IF(OR($CB117="?",$CC117="?"),"?",MIN($CB117*$CC117,'Technical Premium'!$C$17)))</f>
        <v/>
      </c>
      <c r="CE117" s="102" t="str">
        <f t="shared" si="17"/>
        <v/>
      </c>
      <c r="CF117" s="102" t="str">
        <f>IF($A117="","",IFERROR(INDEX('Territory Factors'!$F$6:$F$56,MATCH($K117,'Territory Factors'!$B$6:$B$56,0)),"?"))</f>
        <v/>
      </c>
      <c r="CG117" s="100" t="str">
        <f>IF($A117="","",IFERROR(INDEX('Usage and Coverage'!$C$79:$C$84,MATCH($Y117,'Usage and Coverage'!$B$79:$B$84,0)),"?"))</f>
        <v/>
      </c>
      <c r="CH117" s="102" t="str">
        <f>IFERROR(IF(ISNUMBER($CD117),$CF117*$CG117*MIN($BG117*$BA117*$BC117*$BD117*$BH117*$BF117,'Technical Premium'!$C$17),""),"")</f>
        <v/>
      </c>
      <c r="CI117" s="102" t="str">
        <f t="shared" si="18"/>
        <v/>
      </c>
      <c r="CJ117" s="102" t="str">
        <f>IFERROR($CI117*(1+'Technical Premium'!$C$5)*(1+'Technical Premium'!$C$6),"")</f>
        <v/>
      </c>
      <c r="CK117" s="102" t="str">
        <f>IFERROR($CE117*INDEX('Territory Factors'!$G$6:$G$56,MATCH($K117,'Territory Factors'!$B$6:$B$56,0))*$AU117*$AV117,"")</f>
        <v/>
      </c>
      <c r="CL117" s="102" t="str">
        <f>IFERROR(($CJ117+$CK117)*(1+'Technical Premium'!$C$7),"")</f>
        <v/>
      </c>
      <c r="CM117" s="104" t="str">
        <f>IFERROR($CL117/'Technical Premium'!$C$13,"")</f>
        <v/>
      </c>
      <c r="CN117" s="105" t="str">
        <f t="shared" si="19"/>
        <v/>
      </c>
      <c r="CO117" s="104" t="str">
        <f t="shared" si="20"/>
        <v/>
      </c>
      <c r="CP117" s="105" t="str">
        <f t="shared" si="21"/>
        <v/>
      </c>
      <c r="CQ117" s="106" t="str">
        <f t="shared" si="22"/>
        <v/>
      </c>
      <c r="CR117" s="102" t="str">
        <f>IF(ISNUMBER($CM117),'Technical Premium'!$C$14+IF($J117&gt;=1000000,'Technical Premium'!$C$15,0),"")</f>
        <v/>
      </c>
      <c r="CS117" s="102" t="str">
        <f>IFERROR(($CO117+$CR117)*(INDEX('Territory Factors'!$K$6:$K$56,MATCH($K117,'Territory Factors'!$B$6:$B$56,0))+'Commission Structure'!$C$21),"")</f>
        <v/>
      </c>
      <c r="CT117" s="104" t="str">
        <f t="shared" si="23"/>
        <v/>
      </c>
      <c r="CU117" s="102" t="str">
        <f>IFERROR($CO117*('Commission Structure'!$C$6+'Commission Structure'!$C$7),"")</f>
        <v/>
      </c>
      <c r="CV117" s="102" t="str">
        <f>IFERROR($CO117*'Commission Structure'!$C$5-$CU117,"")</f>
        <v/>
      </c>
      <c r="CW117" s="102" t="str">
        <f>IFERROR($CO117*(1-'Commission Structure'!$C$5),"")</f>
        <v/>
      </c>
      <c r="CX117" s="107"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8" t="str">
        <f t="shared" si="24"/>
        <v/>
      </c>
      <c r="CZ117" s="99" t="str">
        <f>IF($CY117="","",IF($CY117&lt;'Technical Premium'!$C$19,"BEYOND AUTHORITY",IF($CY117&gt;0.005,"Above technical",IF($CY117&lt;-0.005,"BELOW technical","At technical"))))</f>
        <v/>
      </c>
      <c r="DA117" s="99"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4"/>
      <c r="DC117" s="94"/>
      <c r="DD117" s="95"/>
      <c r="DE117" s="94"/>
      <c r="DF117" s="94"/>
      <c r="DG117" s="99" t="str">
        <f t="shared" si="25"/>
        <v/>
      </c>
      <c r="DH117" s="99" t="str">
        <f>IF($A117="","",IF(OR($CX117="REFER",$CX117="DECLINE"),COUNTIF($CX$5:$CX117,"REFER")+COUNTIF($CX$5:$CX117,"DECLINE"),""))</f>
        <v/>
      </c>
      <c r="DI117" s="94"/>
    </row>
    <row r="118" spans="1:113" x14ac:dyDescent="0.35">
      <c r="A118" s="94"/>
      <c r="B118" s="94"/>
      <c r="C118" s="95"/>
      <c r="D118" s="95"/>
      <c r="E118" s="96"/>
      <c r="F118" s="94"/>
      <c r="G118" s="94"/>
      <c r="H118" s="94"/>
      <c r="I118" s="94"/>
      <c r="J118" s="97"/>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8"/>
      <c r="AR118" s="99" t="str">
        <f t="shared" si="13"/>
        <v/>
      </c>
      <c r="AS118" s="99" t="str">
        <f>IF($A118="","",IF($AP118&lt;&gt;"",$AP118,IFERROR(INDEX('Cat Zone by ZIP'!$D$6:$D$856,MATCH($AR118,'Cat Zone by ZIP'!$B$6:$B$856,0)),IFERROR(INDEX('Cat Zone by ZIP'!$C$860:$C$910,MATCH($K118,'Cat Zone by ZIP'!$B$860:$B$910,0)),"NOT FOUND"))))</f>
        <v/>
      </c>
      <c r="AT118" s="99" t="str">
        <f>IF($A118="","",IF($AP118&lt;&gt;"","Override",IF(ISNUMBER(MATCH($AR118,'Cat Zone by ZIP'!$B$6:$B$856,0)),"ZIP-3","State default")))</f>
        <v/>
      </c>
      <c r="AU118" s="100" t="str">
        <f>IF($A118="","",IFERROR(INDEX('Natural Catastrophe'!$D$6:$D$17,MATCH($AS118,'Natural Catastrophe'!$B$6:$B$17,0)),"?"))</f>
        <v/>
      </c>
      <c r="AV118" s="100" t="str">
        <f>IF($A118="","",IFERROR(INDEX('Natural Catastrophe'!$C$21:$C$26,MATCH($AA118,'Natural Catastrophe'!$B$21:$B$26,0)),"?"))</f>
        <v/>
      </c>
      <c r="AW118" s="99" t="str">
        <f>IF($A118="","",IFERROR(INDEX('Base Rates'!$C$4:$I$4,MATCH(MAX($J118,'Technical Premium'!$C$18),'Base Rates'!$C$3:$I$3,1)),"?"))</f>
        <v/>
      </c>
      <c r="AX118" s="101" t="str">
        <f>IF($A118="","",IFERROR(INDEX('Base Rates'!$C$5:$I$16,MATCH($I118,'Base Rates'!$B$5:$B$16,0),MATCH(MAX($J118,'Technical Premium'!$C$18),'Base Rates'!$C$3:$I$3,1)),"?"))</f>
        <v/>
      </c>
      <c r="AY118" s="102" t="str">
        <f t="shared" si="14"/>
        <v/>
      </c>
      <c r="AZ118" s="99" t="str">
        <f>IF($A118="","",IFERROR(INDEX('Make Factors'!$G$5:$G$69,MATCH($F118,'Make Factors'!$B$5:$B$69,0)),"?"))</f>
        <v/>
      </c>
      <c r="BA118" s="99" t="str">
        <f>IF($A118="","",IFERROR(INDEX('Driver Factors'!$C$6:$C$15,MATCH($R118,'Driver Factors'!$B$6:$B$15,0)),"?"))</f>
        <v/>
      </c>
      <c r="BB118" s="99" t="str">
        <f>IF($A118="","",IFERROR(INDEX('Driver Factors'!$C$19:$C$24,MATCH($S118,'Driver Factors'!$B$19:$B$24,0)),"?"))</f>
        <v/>
      </c>
      <c r="BC118" s="99" t="str">
        <f>IF($A118="","",IFERROR(INDEX('Driver Factors'!$C$28:$C$36,MATCH($T118,'Driver Factors'!$B$28:$B$36,0)),"?"))</f>
        <v/>
      </c>
      <c r="BD118" s="99" t="str">
        <f>IF($A118="","",IFERROR(INDEX('Claims History'!$C$6:$C$15,MATCH($U118,'Claims History'!$B$6:$B$15,0)),"?"))</f>
        <v/>
      </c>
      <c r="BE118" s="99" t="str">
        <f>IF($A118="","",IFERROR(INDEX('Territory Factors'!$E$6:$E$56,MATCH($K118,'Territory Factors'!$B$6:$B$56,0)),"?"))</f>
        <v/>
      </c>
      <c r="BF118" s="99" t="str">
        <f>IF($A118="","",IFERROR(INDEX('City Accident Ratings'!$G$6:$G$54,MATCH($Z118,'City Accident Ratings'!$B$6:$B$54,0)),"?"))</f>
        <v/>
      </c>
      <c r="BG118" s="99" t="str">
        <f>IF($A118="","",IFERROR(INDEX('Usage and Coverage'!$D$6:$D$20,MATCH($N118,'Usage and Coverage'!$C$6:$C$20,0)),"?"))</f>
        <v/>
      </c>
      <c r="BH118" s="99" t="str">
        <f>IF($A118="","",IFERROR(INDEX('Usage and Coverage'!$C$24:$C$30,MATCH($O118,'Usage and Coverage'!$B$24:$B$30,0)),"?"))</f>
        <v/>
      </c>
      <c r="BI118" s="99" t="str">
        <f>IF($A118="","",IFERROR(INDEX('Usage and Coverage'!$C$34:$C$40,MATCH($P118,'Usage and Coverage'!$B$34:$B$40,0)),"?"))</f>
        <v/>
      </c>
      <c r="BJ118" s="99" t="str">
        <f>IF($A118="","",IFERROR(INDEX('Usage and Coverage'!$C$44:$C$49,MATCH($Q118,'Usage and Coverage'!$B$44:$B$49,0)),"?"))</f>
        <v/>
      </c>
      <c r="BK118" s="99" t="str">
        <f>IF($A118="","",IFERROR(INDEX(Deductibles!$C$6:$I$15,MATCH($W118,Deductibles!$B$6:$B$15,0),MATCH(MAX($J118,'Technical Premium'!$C$18),'Base Rates'!$C$3:$I$3,1)),"?"))</f>
        <v/>
      </c>
      <c r="BL118" s="99" t="str">
        <f>IF($A118="","",IFERROR(INDEX('Usage and Coverage'!$C$63:$C$66,MATCH($X118,'Usage and Coverage'!$B$63:$B$66,0)),"?"))</f>
        <v/>
      </c>
      <c r="BM118" s="99" t="str">
        <f>IF($A118="","",IFERROR(INDEX('Usage and Coverage'!$C$70:$C$75,MATCH($V118,'Usage and Coverage'!$B$70:$B$75,0)),"?"))</f>
        <v/>
      </c>
      <c r="BN118" s="99" t="str">
        <f>IF($A118="","",IF($AB118="",1,IFERROR(INDEX(Deductibles!$C$48:$C$51,MATCH($AB118,Deductibles!$B$48:$B$51,0)),"?")))</f>
        <v/>
      </c>
      <c r="BO118" s="99" t="str">
        <f>IF($A118="","",IF($AC118="",1,IFERROR(INDEX(Deductibles!$C$55:$C$57,MATCH($AC118,Deductibles!$B$55:$B$57,0)),"?")))</f>
        <v/>
      </c>
      <c r="BP118" s="99" t="str">
        <f>IF($A118="","",IF($AD118="",1,IFERROR(INDEX(Deductibles!$C$61:$C$63,MATCH($AD118,Deductibles!$B$61:$B$63,0)),"?")))</f>
        <v/>
      </c>
      <c r="BQ118" s="99" t="str">
        <f>IF($A118="","",IF($AE118="",1,IFERROR(INDEX(Deductibles!$C$67:$C$69,MATCH($AE118,Deductibles!$B$67:$B$69,0)),"?")))</f>
        <v/>
      </c>
      <c r="BR118" s="99" t="str">
        <f>IF($A118="","",IF($AF118="",1,IFERROR(INDEX(Deductibles!$C$73:$C$74,MATCH($AF118,Deductibles!$B$73:$B$74,0)),"?")))</f>
        <v/>
      </c>
      <c r="BS118" s="99" t="str">
        <f>IF($A118="","",IF($AG118="",1,IFERROR(INDEX('Sublimits and Parts'!$C$49:$C$52,MATCH($AG118,'Sublimits and Parts'!$B$49:$B$52,0)),"?")))</f>
        <v/>
      </c>
      <c r="BT118" s="99" t="str">
        <f>IF($A118="","",IF($AH118="",1,IFERROR(INDEX('Sublimits and Parts'!$C$56:$C$60,MATCH($AH118,'Sublimits and Parts'!$B$56:$B$60,0)),"?")))</f>
        <v/>
      </c>
      <c r="BU118" s="99" t="str">
        <f>IF($A118="","",IF($AI118="",1,IFERROR(INDEX('Sublimits and Parts'!$C$64:$C$67,MATCH($AI118,'Sublimits and Parts'!$B$64:$B$67,0)),"?")))</f>
        <v/>
      </c>
      <c r="BV118" s="99" t="str">
        <f>IF($A118="","",IF($AJ118="",1,IFERROR(INDEX('Sublimits and Parts'!$C$71:$C$74,MATCH($AJ118,'Sublimits and Parts'!$B$71:$B$74,0)),"?")))</f>
        <v/>
      </c>
      <c r="BW118" s="99" t="str">
        <f>IF($A118="","",IF($AK118="",1,IFERROR(INDEX('Sublimits and Parts'!$C$78:$C$80,MATCH($AK118,'Sublimits and Parts'!$B$78:$B$80,0)),"?")))</f>
        <v/>
      </c>
      <c r="BX118" s="99" t="str">
        <f>IF($A118="","",IF($AL118="",1,IFERROR(INDEX('Sublimits and Parts'!$C$84:$C$87,MATCH($AL118,'Sublimits and Parts'!$B$84:$B$87,0)),"?")))</f>
        <v/>
      </c>
      <c r="BY118" s="99" t="str">
        <f>IF($A118="","",IF($AM118="",1,IFERROR(INDEX('Sublimits and Parts'!$C$91:$C$94,MATCH($AM118,'Sublimits and Parts'!$B$91:$B$94,0)),"?")))</f>
        <v/>
      </c>
      <c r="BZ118" s="99" t="str">
        <f>IF($A118="","",IF($AN118="",1,IFERROR(INDEX('Sublimits and Parts'!$C$98:$C$101,MATCH($AN118,'Sublimits and Parts'!$B$98:$B$101,0)),"?")))</f>
        <v/>
      </c>
      <c r="CA118" s="99" t="str">
        <f>IF($A118="","",IF($AO118="",1,IFERROR(INDEX('Sublimits and Parts'!$C$105:$C$109,MATCH($AO118,'Sublimits and Parts'!$B$105:$B$109,0)),"?")))</f>
        <v/>
      </c>
      <c r="CB118" s="100" t="str">
        <f t="shared" si="15"/>
        <v/>
      </c>
      <c r="CC118" s="100" t="str">
        <f t="shared" si="16"/>
        <v/>
      </c>
      <c r="CD118" s="103" t="str">
        <f>IF($A118="","",IF(OR($CB118="?",$CC118="?"),"?",MIN($CB118*$CC118,'Technical Premium'!$C$17)))</f>
        <v/>
      </c>
      <c r="CE118" s="102" t="str">
        <f t="shared" si="17"/>
        <v/>
      </c>
      <c r="CF118" s="102" t="str">
        <f>IF($A118="","",IFERROR(INDEX('Territory Factors'!$F$6:$F$56,MATCH($K118,'Territory Factors'!$B$6:$B$56,0)),"?"))</f>
        <v/>
      </c>
      <c r="CG118" s="100" t="str">
        <f>IF($A118="","",IFERROR(INDEX('Usage and Coverage'!$C$79:$C$84,MATCH($Y118,'Usage and Coverage'!$B$79:$B$84,0)),"?"))</f>
        <v/>
      </c>
      <c r="CH118" s="102" t="str">
        <f>IFERROR(IF(ISNUMBER($CD118),$CF118*$CG118*MIN($BG118*$BA118*$BC118*$BD118*$BH118*$BF118,'Technical Premium'!$C$17),""),"")</f>
        <v/>
      </c>
      <c r="CI118" s="102" t="str">
        <f t="shared" si="18"/>
        <v/>
      </c>
      <c r="CJ118" s="102" t="str">
        <f>IFERROR($CI118*(1+'Technical Premium'!$C$5)*(1+'Technical Premium'!$C$6),"")</f>
        <v/>
      </c>
      <c r="CK118" s="102" t="str">
        <f>IFERROR($CE118*INDEX('Territory Factors'!$G$6:$G$56,MATCH($K118,'Territory Factors'!$B$6:$B$56,0))*$AU118*$AV118,"")</f>
        <v/>
      </c>
      <c r="CL118" s="102" t="str">
        <f>IFERROR(($CJ118+$CK118)*(1+'Technical Premium'!$C$7),"")</f>
        <v/>
      </c>
      <c r="CM118" s="104" t="str">
        <f>IFERROR($CL118/'Technical Premium'!$C$13,"")</f>
        <v/>
      </c>
      <c r="CN118" s="105" t="str">
        <f t="shared" si="19"/>
        <v/>
      </c>
      <c r="CO118" s="104" t="str">
        <f t="shared" si="20"/>
        <v/>
      </c>
      <c r="CP118" s="105" t="str">
        <f t="shared" si="21"/>
        <v/>
      </c>
      <c r="CQ118" s="106" t="str">
        <f t="shared" si="22"/>
        <v/>
      </c>
      <c r="CR118" s="102" t="str">
        <f>IF(ISNUMBER($CM118),'Technical Premium'!$C$14+IF($J118&gt;=1000000,'Technical Premium'!$C$15,0),"")</f>
        <v/>
      </c>
      <c r="CS118" s="102" t="str">
        <f>IFERROR(($CO118+$CR118)*(INDEX('Territory Factors'!$K$6:$K$56,MATCH($K118,'Territory Factors'!$B$6:$B$56,0))+'Commission Structure'!$C$21),"")</f>
        <v/>
      </c>
      <c r="CT118" s="104" t="str">
        <f t="shared" si="23"/>
        <v/>
      </c>
      <c r="CU118" s="102" t="str">
        <f>IFERROR($CO118*('Commission Structure'!$C$6+'Commission Structure'!$C$7),"")</f>
        <v/>
      </c>
      <c r="CV118" s="102" t="str">
        <f>IFERROR($CO118*'Commission Structure'!$C$5-$CU118,"")</f>
        <v/>
      </c>
      <c r="CW118" s="102" t="str">
        <f>IFERROR($CO118*(1-'Commission Structure'!$C$5),"")</f>
        <v/>
      </c>
      <c r="CX118" s="107"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8" t="str">
        <f t="shared" si="24"/>
        <v/>
      </c>
      <c r="CZ118" s="99" t="str">
        <f>IF($CY118="","",IF($CY118&lt;'Technical Premium'!$C$19,"BEYOND AUTHORITY",IF($CY118&gt;0.005,"Above technical",IF($CY118&lt;-0.005,"BELOW technical","At technical"))))</f>
        <v/>
      </c>
      <c r="DA118" s="99"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4"/>
      <c r="DC118" s="94"/>
      <c r="DD118" s="95"/>
      <c r="DE118" s="94"/>
      <c r="DF118" s="94"/>
      <c r="DG118" s="99" t="str">
        <f t="shared" si="25"/>
        <v/>
      </c>
      <c r="DH118" s="99" t="str">
        <f>IF($A118="","",IF(OR($CX118="REFER",$CX118="DECLINE"),COUNTIF($CX$5:$CX118,"REFER")+COUNTIF($CX$5:$CX118,"DECLINE"),""))</f>
        <v/>
      </c>
      <c r="DI118" s="94"/>
    </row>
    <row r="119" spans="1:113" x14ac:dyDescent="0.35">
      <c r="A119" s="94"/>
      <c r="B119" s="94"/>
      <c r="C119" s="95"/>
      <c r="D119" s="95"/>
      <c r="E119" s="96"/>
      <c r="F119" s="94"/>
      <c r="G119" s="94"/>
      <c r="H119" s="94"/>
      <c r="I119" s="94"/>
      <c r="J119" s="97"/>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8"/>
      <c r="AR119" s="99" t="str">
        <f t="shared" si="13"/>
        <v/>
      </c>
      <c r="AS119" s="99" t="str">
        <f>IF($A119="","",IF($AP119&lt;&gt;"",$AP119,IFERROR(INDEX('Cat Zone by ZIP'!$D$6:$D$856,MATCH($AR119,'Cat Zone by ZIP'!$B$6:$B$856,0)),IFERROR(INDEX('Cat Zone by ZIP'!$C$860:$C$910,MATCH($K119,'Cat Zone by ZIP'!$B$860:$B$910,0)),"NOT FOUND"))))</f>
        <v/>
      </c>
      <c r="AT119" s="99" t="str">
        <f>IF($A119="","",IF($AP119&lt;&gt;"","Override",IF(ISNUMBER(MATCH($AR119,'Cat Zone by ZIP'!$B$6:$B$856,0)),"ZIP-3","State default")))</f>
        <v/>
      </c>
      <c r="AU119" s="100" t="str">
        <f>IF($A119="","",IFERROR(INDEX('Natural Catastrophe'!$D$6:$D$17,MATCH($AS119,'Natural Catastrophe'!$B$6:$B$17,0)),"?"))</f>
        <v/>
      </c>
      <c r="AV119" s="100" t="str">
        <f>IF($A119="","",IFERROR(INDEX('Natural Catastrophe'!$C$21:$C$26,MATCH($AA119,'Natural Catastrophe'!$B$21:$B$26,0)),"?"))</f>
        <v/>
      </c>
      <c r="AW119" s="99" t="str">
        <f>IF($A119="","",IFERROR(INDEX('Base Rates'!$C$4:$I$4,MATCH(MAX($J119,'Technical Premium'!$C$18),'Base Rates'!$C$3:$I$3,1)),"?"))</f>
        <v/>
      </c>
      <c r="AX119" s="101" t="str">
        <f>IF($A119="","",IFERROR(INDEX('Base Rates'!$C$5:$I$16,MATCH($I119,'Base Rates'!$B$5:$B$16,0),MATCH(MAX($J119,'Technical Premium'!$C$18),'Base Rates'!$C$3:$I$3,1)),"?"))</f>
        <v/>
      </c>
      <c r="AY119" s="102" t="str">
        <f t="shared" si="14"/>
        <v/>
      </c>
      <c r="AZ119" s="99" t="str">
        <f>IF($A119="","",IFERROR(INDEX('Make Factors'!$G$5:$G$69,MATCH($F119,'Make Factors'!$B$5:$B$69,0)),"?"))</f>
        <v/>
      </c>
      <c r="BA119" s="99" t="str">
        <f>IF($A119="","",IFERROR(INDEX('Driver Factors'!$C$6:$C$15,MATCH($R119,'Driver Factors'!$B$6:$B$15,0)),"?"))</f>
        <v/>
      </c>
      <c r="BB119" s="99" t="str">
        <f>IF($A119="","",IFERROR(INDEX('Driver Factors'!$C$19:$C$24,MATCH($S119,'Driver Factors'!$B$19:$B$24,0)),"?"))</f>
        <v/>
      </c>
      <c r="BC119" s="99" t="str">
        <f>IF($A119="","",IFERROR(INDEX('Driver Factors'!$C$28:$C$36,MATCH($T119,'Driver Factors'!$B$28:$B$36,0)),"?"))</f>
        <v/>
      </c>
      <c r="BD119" s="99" t="str">
        <f>IF($A119="","",IFERROR(INDEX('Claims History'!$C$6:$C$15,MATCH($U119,'Claims History'!$B$6:$B$15,0)),"?"))</f>
        <v/>
      </c>
      <c r="BE119" s="99" t="str">
        <f>IF($A119="","",IFERROR(INDEX('Territory Factors'!$E$6:$E$56,MATCH($K119,'Territory Factors'!$B$6:$B$56,0)),"?"))</f>
        <v/>
      </c>
      <c r="BF119" s="99" t="str">
        <f>IF($A119="","",IFERROR(INDEX('City Accident Ratings'!$G$6:$G$54,MATCH($Z119,'City Accident Ratings'!$B$6:$B$54,0)),"?"))</f>
        <v/>
      </c>
      <c r="BG119" s="99" t="str">
        <f>IF($A119="","",IFERROR(INDEX('Usage and Coverage'!$D$6:$D$20,MATCH($N119,'Usage and Coverage'!$C$6:$C$20,0)),"?"))</f>
        <v/>
      </c>
      <c r="BH119" s="99" t="str">
        <f>IF($A119="","",IFERROR(INDEX('Usage and Coverage'!$C$24:$C$30,MATCH($O119,'Usage and Coverage'!$B$24:$B$30,0)),"?"))</f>
        <v/>
      </c>
      <c r="BI119" s="99" t="str">
        <f>IF($A119="","",IFERROR(INDEX('Usage and Coverage'!$C$34:$C$40,MATCH($P119,'Usage and Coverage'!$B$34:$B$40,0)),"?"))</f>
        <v/>
      </c>
      <c r="BJ119" s="99" t="str">
        <f>IF($A119="","",IFERROR(INDEX('Usage and Coverage'!$C$44:$C$49,MATCH($Q119,'Usage and Coverage'!$B$44:$B$49,0)),"?"))</f>
        <v/>
      </c>
      <c r="BK119" s="99" t="str">
        <f>IF($A119="","",IFERROR(INDEX(Deductibles!$C$6:$I$15,MATCH($W119,Deductibles!$B$6:$B$15,0),MATCH(MAX($J119,'Technical Premium'!$C$18),'Base Rates'!$C$3:$I$3,1)),"?"))</f>
        <v/>
      </c>
      <c r="BL119" s="99" t="str">
        <f>IF($A119="","",IFERROR(INDEX('Usage and Coverage'!$C$63:$C$66,MATCH($X119,'Usage and Coverage'!$B$63:$B$66,0)),"?"))</f>
        <v/>
      </c>
      <c r="BM119" s="99" t="str">
        <f>IF($A119="","",IFERROR(INDEX('Usage and Coverage'!$C$70:$C$75,MATCH($V119,'Usage and Coverage'!$B$70:$B$75,0)),"?"))</f>
        <v/>
      </c>
      <c r="BN119" s="99" t="str">
        <f>IF($A119="","",IF($AB119="",1,IFERROR(INDEX(Deductibles!$C$48:$C$51,MATCH($AB119,Deductibles!$B$48:$B$51,0)),"?")))</f>
        <v/>
      </c>
      <c r="BO119" s="99" t="str">
        <f>IF($A119="","",IF($AC119="",1,IFERROR(INDEX(Deductibles!$C$55:$C$57,MATCH($AC119,Deductibles!$B$55:$B$57,0)),"?")))</f>
        <v/>
      </c>
      <c r="BP119" s="99" t="str">
        <f>IF($A119="","",IF($AD119="",1,IFERROR(INDEX(Deductibles!$C$61:$C$63,MATCH($AD119,Deductibles!$B$61:$B$63,0)),"?")))</f>
        <v/>
      </c>
      <c r="BQ119" s="99" t="str">
        <f>IF($A119="","",IF($AE119="",1,IFERROR(INDEX(Deductibles!$C$67:$C$69,MATCH($AE119,Deductibles!$B$67:$B$69,0)),"?")))</f>
        <v/>
      </c>
      <c r="BR119" s="99" t="str">
        <f>IF($A119="","",IF($AF119="",1,IFERROR(INDEX(Deductibles!$C$73:$C$74,MATCH($AF119,Deductibles!$B$73:$B$74,0)),"?")))</f>
        <v/>
      </c>
      <c r="BS119" s="99" t="str">
        <f>IF($A119="","",IF($AG119="",1,IFERROR(INDEX('Sublimits and Parts'!$C$49:$C$52,MATCH($AG119,'Sublimits and Parts'!$B$49:$B$52,0)),"?")))</f>
        <v/>
      </c>
      <c r="BT119" s="99" t="str">
        <f>IF($A119="","",IF($AH119="",1,IFERROR(INDEX('Sublimits and Parts'!$C$56:$C$60,MATCH($AH119,'Sublimits and Parts'!$B$56:$B$60,0)),"?")))</f>
        <v/>
      </c>
      <c r="BU119" s="99" t="str">
        <f>IF($A119="","",IF($AI119="",1,IFERROR(INDEX('Sublimits and Parts'!$C$64:$C$67,MATCH($AI119,'Sublimits and Parts'!$B$64:$B$67,0)),"?")))</f>
        <v/>
      </c>
      <c r="BV119" s="99" t="str">
        <f>IF($A119="","",IF($AJ119="",1,IFERROR(INDEX('Sublimits and Parts'!$C$71:$C$74,MATCH($AJ119,'Sublimits and Parts'!$B$71:$B$74,0)),"?")))</f>
        <v/>
      </c>
      <c r="BW119" s="99" t="str">
        <f>IF($A119="","",IF($AK119="",1,IFERROR(INDEX('Sublimits and Parts'!$C$78:$C$80,MATCH($AK119,'Sublimits and Parts'!$B$78:$B$80,0)),"?")))</f>
        <v/>
      </c>
      <c r="BX119" s="99" t="str">
        <f>IF($A119="","",IF($AL119="",1,IFERROR(INDEX('Sublimits and Parts'!$C$84:$C$87,MATCH($AL119,'Sublimits and Parts'!$B$84:$B$87,0)),"?")))</f>
        <v/>
      </c>
      <c r="BY119" s="99" t="str">
        <f>IF($A119="","",IF($AM119="",1,IFERROR(INDEX('Sublimits and Parts'!$C$91:$C$94,MATCH($AM119,'Sublimits and Parts'!$B$91:$B$94,0)),"?")))</f>
        <v/>
      </c>
      <c r="BZ119" s="99" t="str">
        <f>IF($A119="","",IF($AN119="",1,IFERROR(INDEX('Sublimits and Parts'!$C$98:$C$101,MATCH($AN119,'Sublimits and Parts'!$B$98:$B$101,0)),"?")))</f>
        <v/>
      </c>
      <c r="CA119" s="99" t="str">
        <f>IF($A119="","",IF($AO119="",1,IFERROR(INDEX('Sublimits and Parts'!$C$105:$C$109,MATCH($AO119,'Sublimits and Parts'!$B$105:$B$109,0)),"?")))</f>
        <v/>
      </c>
      <c r="CB119" s="100" t="str">
        <f t="shared" si="15"/>
        <v/>
      </c>
      <c r="CC119" s="100" t="str">
        <f t="shared" si="16"/>
        <v/>
      </c>
      <c r="CD119" s="103" t="str">
        <f>IF($A119="","",IF(OR($CB119="?",$CC119="?"),"?",MIN($CB119*$CC119,'Technical Premium'!$C$17)))</f>
        <v/>
      </c>
      <c r="CE119" s="102" t="str">
        <f t="shared" si="17"/>
        <v/>
      </c>
      <c r="CF119" s="102" t="str">
        <f>IF($A119="","",IFERROR(INDEX('Territory Factors'!$F$6:$F$56,MATCH($K119,'Territory Factors'!$B$6:$B$56,0)),"?"))</f>
        <v/>
      </c>
      <c r="CG119" s="100" t="str">
        <f>IF($A119="","",IFERROR(INDEX('Usage and Coverage'!$C$79:$C$84,MATCH($Y119,'Usage and Coverage'!$B$79:$B$84,0)),"?"))</f>
        <v/>
      </c>
      <c r="CH119" s="102" t="str">
        <f>IFERROR(IF(ISNUMBER($CD119),$CF119*$CG119*MIN($BG119*$BA119*$BC119*$BD119*$BH119*$BF119,'Technical Premium'!$C$17),""),"")</f>
        <v/>
      </c>
      <c r="CI119" s="102" t="str">
        <f t="shared" si="18"/>
        <v/>
      </c>
      <c r="CJ119" s="102" t="str">
        <f>IFERROR($CI119*(1+'Technical Premium'!$C$5)*(1+'Technical Premium'!$C$6),"")</f>
        <v/>
      </c>
      <c r="CK119" s="102" t="str">
        <f>IFERROR($CE119*INDEX('Territory Factors'!$G$6:$G$56,MATCH($K119,'Territory Factors'!$B$6:$B$56,0))*$AU119*$AV119,"")</f>
        <v/>
      </c>
      <c r="CL119" s="102" t="str">
        <f>IFERROR(($CJ119+$CK119)*(1+'Technical Premium'!$C$7),"")</f>
        <v/>
      </c>
      <c r="CM119" s="104" t="str">
        <f>IFERROR($CL119/'Technical Premium'!$C$13,"")</f>
        <v/>
      </c>
      <c r="CN119" s="105" t="str">
        <f t="shared" si="19"/>
        <v/>
      </c>
      <c r="CO119" s="104" t="str">
        <f t="shared" si="20"/>
        <v/>
      </c>
      <c r="CP119" s="105" t="str">
        <f t="shared" si="21"/>
        <v/>
      </c>
      <c r="CQ119" s="106" t="str">
        <f t="shared" si="22"/>
        <v/>
      </c>
      <c r="CR119" s="102" t="str">
        <f>IF(ISNUMBER($CM119),'Technical Premium'!$C$14+IF($J119&gt;=1000000,'Technical Premium'!$C$15,0),"")</f>
        <v/>
      </c>
      <c r="CS119" s="102" t="str">
        <f>IFERROR(($CO119+$CR119)*(INDEX('Territory Factors'!$K$6:$K$56,MATCH($K119,'Territory Factors'!$B$6:$B$56,0))+'Commission Structure'!$C$21),"")</f>
        <v/>
      </c>
      <c r="CT119" s="104" t="str">
        <f t="shared" si="23"/>
        <v/>
      </c>
      <c r="CU119" s="102" t="str">
        <f>IFERROR($CO119*('Commission Structure'!$C$6+'Commission Structure'!$C$7),"")</f>
        <v/>
      </c>
      <c r="CV119" s="102" t="str">
        <f>IFERROR($CO119*'Commission Structure'!$C$5-$CU119,"")</f>
        <v/>
      </c>
      <c r="CW119" s="102" t="str">
        <f>IFERROR($CO119*(1-'Commission Structure'!$C$5),"")</f>
        <v/>
      </c>
      <c r="CX119" s="107"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8" t="str">
        <f t="shared" si="24"/>
        <v/>
      </c>
      <c r="CZ119" s="99" t="str">
        <f>IF($CY119="","",IF($CY119&lt;'Technical Premium'!$C$19,"BEYOND AUTHORITY",IF($CY119&gt;0.005,"Above technical",IF($CY119&lt;-0.005,"BELOW technical","At technical"))))</f>
        <v/>
      </c>
      <c r="DA119" s="99"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4"/>
      <c r="DC119" s="94"/>
      <c r="DD119" s="95"/>
      <c r="DE119" s="94"/>
      <c r="DF119" s="94"/>
      <c r="DG119" s="99" t="str">
        <f t="shared" si="25"/>
        <v/>
      </c>
      <c r="DH119" s="99" t="str">
        <f>IF($A119="","",IF(OR($CX119="REFER",$CX119="DECLINE"),COUNTIF($CX$5:$CX119,"REFER")+COUNTIF($CX$5:$CX119,"DECLINE"),""))</f>
        <v/>
      </c>
      <c r="DI119" s="94"/>
    </row>
    <row r="120" spans="1:113" x14ac:dyDescent="0.35">
      <c r="A120" s="94"/>
      <c r="B120" s="94"/>
      <c r="C120" s="95"/>
      <c r="D120" s="95"/>
      <c r="E120" s="96"/>
      <c r="F120" s="94"/>
      <c r="G120" s="94"/>
      <c r="H120" s="94"/>
      <c r="I120" s="94"/>
      <c r="J120" s="97"/>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8"/>
      <c r="AR120" s="99" t="str">
        <f t="shared" si="13"/>
        <v/>
      </c>
      <c r="AS120" s="99" t="str">
        <f>IF($A120="","",IF($AP120&lt;&gt;"",$AP120,IFERROR(INDEX('Cat Zone by ZIP'!$D$6:$D$856,MATCH($AR120,'Cat Zone by ZIP'!$B$6:$B$856,0)),IFERROR(INDEX('Cat Zone by ZIP'!$C$860:$C$910,MATCH($K120,'Cat Zone by ZIP'!$B$860:$B$910,0)),"NOT FOUND"))))</f>
        <v/>
      </c>
      <c r="AT120" s="99" t="str">
        <f>IF($A120="","",IF($AP120&lt;&gt;"","Override",IF(ISNUMBER(MATCH($AR120,'Cat Zone by ZIP'!$B$6:$B$856,0)),"ZIP-3","State default")))</f>
        <v/>
      </c>
      <c r="AU120" s="100" t="str">
        <f>IF($A120="","",IFERROR(INDEX('Natural Catastrophe'!$D$6:$D$17,MATCH($AS120,'Natural Catastrophe'!$B$6:$B$17,0)),"?"))</f>
        <v/>
      </c>
      <c r="AV120" s="100" t="str">
        <f>IF($A120="","",IFERROR(INDEX('Natural Catastrophe'!$C$21:$C$26,MATCH($AA120,'Natural Catastrophe'!$B$21:$B$26,0)),"?"))</f>
        <v/>
      </c>
      <c r="AW120" s="99" t="str">
        <f>IF($A120="","",IFERROR(INDEX('Base Rates'!$C$4:$I$4,MATCH(MAX($J120,'Technical Premium'!$C$18),'Base Rates'!$C$3:$I$3,1)),"?"))</f>
        <v/>
      </c>
      <c r="AX120" s="101" t="str">
        <f>IF($A120="","",IFERROR(INDEX('Base Rates'!$C$5:$I$16,MATCH($I120,'Base Rates'!$B$5:$B$16,0),MATCH(MAX($J120,'Technical Premium'!$C$18),'Base Rates'!$C$3:$I$3,1)),"?"))</f>
        <v/>
      </c>
      <c r="AY120" s="102" t="str">
        <f t="shared" si="14"/>
        <v/>
      </c>
      <c r="AZ120" s="99" t="str">
        <f>IF($A120="","",IFERROR(INDEX('Make Factors'!$G$5:$G$69,MATCH($F120,'Make Factors'!$B$5:$B$69,0)),"?"))</f>
        <v/>
      </c>
      <c r="BA120" s="99" t="str">
        <f>IF($A120="","",IFERROR(INDEX('Driver Factors'!$C$6:$C$15,MATCH($R120,'Driver Factors'!$B$6:$B$15,0)),"?"))</f>
        <v/>
      </c>
      <c r="BB120" s="99" t="str">
        <f>IF($A120="","",IFERROR(INDEX('Driver Factors'!$C$19:$C$24,MATCH($S120,'Driver Factors'!$B$19:$B$24,0)),"?"))</f>
        <v/>
      </c>
      <c r="BC120" s="99" t="str">
        <f>IF($A120="","",IFERROR(INDEX('Driver Factors'!$C$28:$C$36,MATCH($T120,'Driver Factors'!$B$28:$B$36,0)),"?"))</f>
        <v/>
      </c>
      <c r="BD120" s="99" t="str">
        <f>IF($A120="","",IFERROR(INDEX('Claims History'!$C$6:$C$15,MATCH($U120,'Claims History'!$B$6:$B$15,0)),"?"))</f>
        <v/>
      </c>
      <c r="BE120" s="99" t="str">
        <f>IF($A120="","",IFERROR(INDEX('Territory Factors'!$E$6:$E$56,MATCH($K120,'Territory Factors'!$B$6:$B$56,0)),"?"))</f>
        <v/>
      </c>
      <c r="BF120" s="99" t="str">
        <f>IF($A120="","",IFERROR(INDEX('City Accident Ratings'!$G$6:$G$54,MATCH($Z120,'City Accident Ratings'!$B$6:$B$54,0)),"?"))</f>
        <v/>
      </c>
      <c r="BG120" s="99" t="str">
        <f>IF($A120="","",IFERROR(INDEX('Usage and Coverage'!$D$6:$D$20,MATCH($N120,'Usage and Coverage'!$C$6:$C$20,0)),"?"))</f>
        <v/>
      </c>
      <c r="BH120" s="99" t="str">
        <f>IF($A120="","",IFERROR(INDEX('Usage and Coverage'!$C$24:$C$30,MATCH($O120,'Usage and Coverage'!$B$24:$B$30,0)),"?"))</f>
        <v/>
      </c>
      <c r="BI120" s="99" t="str">
        <f>IF($A120="","",IFERROR(INDEX('Usage and Coverage'!$C$34:$C$40,MATCH($P120,'Usage and Coverage'!$B$34:$B$40,0)),"?"))</f>
        <v/>
      </c>
      <c r="BJ120" s="99" t="str">
        <f>IF($A120="","",IFERROR(INDEX('Usage and Coverage'!$C$44:$C$49,MATCH($Q120,'Usage and Coverage'!$B$44:$B$49,0)),"?"))</f>
        <v/>
      </c>
      <c r="BK120" s="99" t="str">
        <f>IF($A120="","",IFERROR(INDEX(Deductibles!$C$6:$I$15,MATCH($W120,Deductibles!$B$6:$B$15,0),MATCH(MAX($J120,'Technical Premium'!$C$18),'Base Rates'!$C$3:$I$3,1)),"?"))</f>
        <v/>
      </c>
      <c r="BL120" s="99" t="str">
        <f>IF($A120="","",IFERROR(INDEX('Usage and Coverage'!$C$63:$C$66,MATCH($X120,'Usage and Coverage'!$B$63:$B$66,0)),"?"))</f>
        <v/>
      </c>
      <c r="BM120" s="99" t="str">
        <f>IF($A120="","",IFERROR(INDEX('Usage and Coverage'!$C$70:$C$75,MATCH($V120,'Usage and Coverage'!$B$70:$B$75,0)),"?"))</f>
        <v/>
      </c>
      <c r="BN120" s="99" t="str">
        <f>IF($A120="","",IF($AB120="",1,IFERROR(INDEX(Deductibles!$C$48:$C$51,MATCH($AB120,Deductibles!$B$48:$B$51,0)),"?")))</f>
        <v/>
      </c>
      <c r="BO120" s="99" t="str">
        <f>IF($A120="","",IF($AC120="",1,IFERROR(INDEX(Deductibles!$C$55:$C$57,MATCH($AC120,Deductibles!$B$55:$B$57,0)),"?")))</f>
        <v/>
      </c>
      <c r="BP120" s="99" t="str">
        <f>IF($A120="","",IF($AD120="",1,IFERROR(INDEX(Deductibles!$C$61:$C$63,MATCH($AD120,Deductibles!$B$61:$B$63,0)),"?")))</f>
        <v/>
      </c>
      <c r="BQ120" s="99" t="str">
        <f>IF($A120="","",IF($AE120="",1,IFERROR(INDEX(Deductibles!$C$67:$C$69,MATCH($AE120,Deductibles!$B$67:$B$69,0)),"?")))</f>
        <v/>
      </c>
      <c r="BR120" s="99" t="str">
        <f>IF($A120="","",IF($AF120="",1,IFERROR(INDEX(Deductibles!$C$73:$C$74,MATCH($AF120,Deductibles!$B$73:$B$74,0)),"?")))</f>
        <v/>
      </c>
      <c r="BS120" s="99" t="str">
        <f>IF($A120="","",IF($AG120="",1,IFERROR(INDEX('Sublimits and Parts'!$C$49:$C$52,MATCH($AG120,'Sublimits and Parts'!$B$49:$B$52,0)),"?")))</f>
        <v/>
      </c>
      <c r="BT120" s="99" t="str">
        <f>IF($A120="","",IF($AH120="",1,IFERROR(INDEX('Sublimits and Parts'!$C$56:$C$60,MATCH($AH120,'Sublimits and Parts'!$B$56:$B$60,0)),"?")))</f>
        <v/>
      </c>
      <c r="BU120" s="99" t="str">
        <f>IF($A120="","",IF($AI120="",1,IFERROR(INDEX('Sublimits and Parts'!$C$64:$C$67,MATCH($AI120,'Sublimits and Parts'!$B$64:$B$67,0)),"?")))</f>
        <v/>
      </c>
      <c r="BV120" s="99" t="str">
        <f>IF($A120="","",IF($AJ120="",1,IFERROR(INDEX('Sublimits and Parts'!$C$71:$C$74,MATCH($AJ120,'Sublimits and Parts'!$B$71:$B$74,0)),"?")))</f>
        <v/>
      </c>
      <c r="BW120" s="99" t="str">
        <f>IF($A120="","",IF($AK120="",1,IFERROR(INDEX('Sublimits and Parts'!$C$78:$C$80,MATCH($AK120,'Sublimits and Parts'!$B$78:$B$80,0)),"?")))</f>
        <v/>
      </c>
      <c r="BX120" s="99" t="str">
        <f>IF($A120="","",IF($AL120="",1,IFERROR(INDEX('Sublimits and Parts'!$C$84:$C$87,MATCH($AL120,'Sublimits and Parts'!$B$84:$B$87,0)),"?")))</f>
        <v/>
      </c>
      <c r="BY120" s="99" t="str">
        <f>IF($A120="","",IF($AM120="",1,IFERROR(INDEX('Sublimits and Parts'!$C$91:$C$94,MATCH($AM120,'Sublimits and Parts'!$B$91:$B$94,0)),"?")))</f>
        <v/>
      </c>
      <c r="BZ120" s="99" t="str">
        <f>IF($A120="","",IF($AN120="",1,IFERROR(INDEX('Sublimits and Parts'!$C$98:$C$101,MATCH($AN120,'Sublimits and Parts'!$B$98:$B$101,0)),"?")))</f>
        <v/>
      </c>
      <c r="CA120" s="99" t="str">
        <f>IF($A120="","",IF($AO120="",1,IFERROR(INDEX('Sublimits and Parts'!$C$105:$C$109,MATCH($AO120,'Sublimits and Parts'!$B$105:$B$109,0)),"?")))</f>
        <v/>
      </c>
      <c r="CB120" s="100" t="str">
        <f t="shared" si="15"/>
        <v/>
      </c>
      <c r="CC120" s="100" t="str">
        <f t="shared" si="16"/>
        <v/>
      </c>
      <c r="CD120" s="103" t="str">
        <f>IF($A120="","",IF(OR($CB120="?",$CC120="?"),"?",MIN($CB120*$CC120,'Technical Premium'!$C$17)))</f>
        <v/>
      </c>
      <c r="CE120" s="102" t="str">
        <f t="shared" si="17"/>
        <v/>
      </c>
      <c r="CF120" s="102" t="str">
        <f>IF($A120="","",IFERROR(INDEX('Territory Factors'!$F$6:$F$56,MATCH($K120,'Territory Factors'!$B$6:$B$56,0)),"?"))</f>
        <v/>
      </c>
      <c r="CG120" s="100" t="str">
        <f>IF($A120="","",IFERROR(INDEX('Usage and Coverage'!$C$79:$C$84,MATCH($Y120,'Usage and Coverage'!$B$79:$B$84,0)),"?"))</f>
        <v/>
      </c>
      <c r="CH120" s="102" t="str">
        <f>IFERROR(IF(ISNUMBER($CD120),$CF120*$CG120*MIN($BG120*$BA120*$BC120*$BD120*$BH120*$BF120,'Technical Premium'!$C$17),""),"")</f>
        <v/>
      </c>
      <c r="CI120" s="102" t="str">
        <f t="shared" si="18"/>
        <v/>
      </c>
      <c r="CJ120" s="102" t="str">
        <f>IFERROR($CI120*(1+'Technical Premium'!$C$5)*(1+'Technical Premium'!$C$6),"")</f>
        <v/>
      </c>
      <c r="CK120" s="102" t="str">
        <f>IFERROR($CE120*INDEX('Territory Factors'!$G$6:$G$56,MATCH($K120,'Territory Factors'!$B$6:$B$56,0))*$AU120*$AV120,"")</f>
        <v/>
      </c>
      <c r="CL120" s="102" t="str">
        <f>IFERROR(($CJ120+$CK120)*(1+'Technical Premium'!$C$7),"")</f>
        <v/>
      </c>
      <c r="CM120" s="104" t="str">
        <f>IFERROR($CL120/'Technical Premium'!$C$13,"")</f>
        <v/>
      </c>
      <c r="CN120" s="105" t="str">
        <f t="shared" si="19"/>
        <v/>
      </c>
      <c r="CO120" s="104" t="str">
        <f t="shared" si="20"/>
        <v/>
      </c>
      <c r="CP120" s="105" t="str">
        <f t="shared" si="21"/>
        <v/>
      </c>
      <c r="CQ120" s="106" t="str">
        <f t="shared" si="22"/>
        <v/>
      </c>
      <c r="CR120" s="102" t="str">
        <f>IF(ISNUMBER($CM120),'Technical Premium'!$C$14+IF($J120&gt;=1000000,'Technical Premium'!$C$15,0),"")</f>
        <v/>
      </c>
      <c r="CS120" s="102" t="str">
        <f>IFERROR(($CO120+$CR120)*(INDEX('Territory Factors'!$K$6:$K$56,MATCH($K120,'Territory Factors'!$B$6:$B$56,0))+'Commission Structure'!$C$21),"")</f>
        <v/>
      </c>
      <c r="CT120" s="104" t="str">
        <f t="shared" si="23"/>
        <v/>
      </c>
      <c r="CU120" s="102" t="str">
        <f>IFERROR($CO120*('Commission Structure'!$C$6+'Commission Structure'!$C$7),"")</f>
        <v/>
      </c>
      <c r="CV120" s="102" t="str">
        <f>IFERROR($CO120*'Commission Structure'!$C$5-$CU120,"")</f>
        <v/>
      </c>
      <c r="CW120" s="102" t="str">
        <f>IFERROR($CO120*(1-'Commission Structure'!$C$5),"")</f>
        <v/>
      </c>
      <c r="CX120" s="107"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8" t="str">
        <f t="shared" si="24"/>
        <v/>
      </c>
      <c r="CZ120" s="99" t="str">
        <f>IF($CY120="","",IF($CY120&lt;'Technical Premium'!$C$19,"BEYOND AUTHORITY",IF($CY120&gt;0.005,"Above technical",IF($CY120&lt;-0.005,"BELOW technical","At technical"))))</f>
        <v/>
      </c>
      <c r="DA120" s="99"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4"/>
      <c r="DC120" s="94"/>
      <c r="DD120" s="95"/>
      <c r="DE120" s="94"/>
      <c r="DF120" s="94"/>
      <c r="DG120" s="99" t="str">
        <f t="shared" si="25"/>
        <v/>
      </c>
      <c r="DH120" s="99" t="str">
        <f>IF($A120="","",IF(OR($CX120="REFER",$CX120="DECLINE"),COUNTIF($CX$5:$CX120,"REFER")+COUNTIF($CX$5:$CX120,"DECLINE"),""))</f>
        <v/>
      </c>
      <c r="DI120" s="94"/>
    </row>
    <row r="121" spans="1:113" x14ac:dyDescent="0.35">
      <c r="A121" s="94"/>
      <c r="B121" s="94"/>
      <c r="C121" s="95"/>
      <c r="D121" s="95"/>
      <c r="E121" s="96"/>
      <c r="F121" s="94"/>
      <c r="G121" s="94"/>
      <c r="H121" s="94"/>
      <c r="I121" s="94"/>
      <c r="J121" s="97"/>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8"/>
      <c r="AR121" s="99" t="str">
        <f t="shared" si="13"/>
        <v/>
      </c>
      <c r="AS121" s="99" t="str">
        <f>IF($A121="","",IF($AP121&lt;&gt;"",$AP121,IFERROR(INDEX('Cat Zone by ZIP'!$D$6:$D$856,MATCH($AR121,'Cat Zone by ZIP'!$B$6:$B$856,0)),IFERROR(INDEX('Cat Zone by ZIP'!$C$860:$C$910,MATCH($K121,'Cat Zone by ZIP'!$B$860:$B$910,0)),"NOT FOUND"))))</f>
        <v/>
      </c>
      <c r="AT121" s="99" t="str">
        <f>IF($A121="","",IF($AP121&lt;&gt;"","Override",IF(ISNUMBER(MATCH($AR121,'Cat Zone by ZIP'!$B$6:$B$856,0)),"ZIP-3","State default")))</f>
        <v/>
      </c>
      <c r="AU121" s="100" t="str">
        <f>IF($A121="","",IFERROR(INDEX('Natural Catastrophe'!$D$6:$D$17,MATCH($AS121,'Natural Catastrophe'!$B$6:$B$17,0)),"?"))</f>
        <v/>
      </c>
      <c r="AV121" s="100" t="str">
        <f>IF($A121="","",IFERROR(INDEX('Natural Catastrophe'!$C$21:$C$26,MATCH($AA121,'Natural Catastrophe'!$B$21:$B$26,0)),"?"))</f>
        <v/>
      </c>
      <c r="AW121" s="99" t="str">
        <f>IF($A121="","",IFERROR(INDEX('Base Rates'!$C$4:$I$4,MATCH(MAX($J121,'Technical Premium'!$C$18),'Base Rates'!$C$3:$I$3,1)),"?"))</f>
        <v/>
      </c>
      <c r="AX121" s="101" t="str">
        <f>IF($A121="","",IFERROR(INDEX('Base Rates'!$C$5:$I$16,MATCH($I121,'Base Rates'!$B$5:$B$16,0),MATCH(MAX($J121,'Technical Premium'!$C$18),'Base Rates'!$C$3:$I$3,1)),"?"))</f>
        <v/>
      </c>
      <c r="AY121" s="102" t="str">
        <f t="shared" si="14"/>
        <v/>
      </c>
      <c r="AZ121" s="99" t="str">
        <f>IF($A121="","",IFERROR(INDEX('Make Factors'!$G$5:$G$69,MATCH($F121,'Make Factors'!$B$5:$B$69,0)),"?"))</f>
        <v/>
      </c>
      <c r="BA121" s="99" t="str">
        <f>IF($A121="","",IFERROR(INDEX('Driver Factors'!$C$6:$C$15,MATCH($R121,'Driver Factors'!$B$6:$B$15,0)),"?"))</f>
        <v/>
      </c>
      <c r="BB121" s="99" t="str">
        <f>IF($A121="","",IFERROR(INDEX('Driver Factors'!$C$19:$C$24,MATCH($S121,'Driver Factors'!$B$19:$B$24,0)),"?"))</f>
        <v/>
      </c>
      <c r="BC121" s="99" t="str">
        <f>IF($A121="","",IFERROR(INDEX('Driver Factors'!$C$28:$C$36,MATCH($T121,'Driver Factors'!$B$28:$B$36,0)),"?"))</f>
        <v/>
      </c>
      <c r="BD121" s="99" t="str">
        <f>IF($A121="","",IFERROR(INDEX('Claims History'!$C$6:$C$15,MATCH($U121,'Claims History'!$B$6:$B$15,0)),"?"))</f>
        <v/>
      </c>
      <c r="BE121" s="99" t="str">
        <f>IF($A121="","",IFERROR(INDEX('Territory Factors'!$E$6:$E$56,MATCH($K121,'Territory Factors'!$B$6:$B$56,0)),"?"))</f>
        <v/>
      </c>
      <c r="BF121" s="99" t="str">
        <f>IF($A121="","",IFERROR(INDEX('City Accident Ratings'!$G$6:$G$54,MATCH($Z121,'City Accident Ratings'!$B$6:$B$54,0)),"?"))</f>
        <v/>
      </c>
      <c r="BG121" s="99" t="str">
        <f>IF($A121="","",IFERROR(INDEX('Usage and Coverage'!$D$6:$D$20,MATCH($N121,'Usage and Coverage'!$C$6:$C$20,0)),"?"))</f>
        <v/>
      </c>
      <c r="BH121" s="99" t="str">
        <f>IF($A121="","",IFERROR(INDEX('Usage and Coverage'!$C$24:$C$30,MATCH($O121,'Usage and Coverage'!$B$24:$B$30,0)),"?"))</f>
        <v/>
      </c>
      <c r="BI121" s="99" t="str">
        <f>IF($A121="","",IFERROR(INDEX('Usage and Coverage'!$C$34:$C$40,MATCH($P121,'Usage and Coverage'!$B$34:$B$40,0)),"?"))</f>
        <v/>
      </c>
      <c r="BJ121" s="99" t="str">
        <f>IF($A121="","",IFERROR(INDEX('Usage and Coverage'!$C$44:$C$49,MATCH($Q121,'Usage and Coverage'!$B$44:$B$49,0)),"?"))</f>
        <v/>
      </c>
      <c r="BK121" s="99" t="str">
        <f>IF($A121="","",IFERROR(INDEX(Deductibles!$C$6:$I$15,MATCH($W121,Deductibles!$B$6:$B$15,0),MATCH(MAX($J121,'Technical Premium'!$C$18),'Base Rates'!$C$3:$I$3,1)),"?"))</f>
        <v/>
      </c>
      <c r="BL121" s="99" t="str">
        <f>IF($A121="","",IFERROR(INDEX('Usage and Coverage'!$C$63:$C$66,MATCH($X121,'Usage and Coverage'!$B$63:$B$66,0)),"?"))</f>
        <v/>
      </c>
      <c r="BM121" s="99" t="str">
        <f>IF($A121="","",IFERROR(INDEX('Usage and Coverage'!$C$70:$C$75,MATCH($V121,'Usage and Coverage'!$B$70:$B$75,0)),"?"))</f>
        <v/>
      </c>
      <c r="BN121" s="99" t="str">
        <f>IF($A121="","",IF($AB121="",1,IFERROR(INDEX(Deductibles!$C$48:$C$51,MATCH($AB121,Deductibles!$B$48:$B$51,0)),"?")))</f>
        <v/>
      </c>
      <c r="BO121" s="99" t="str">
        <f>IF($A121="","",IF($AC121="",1,IFERROR(INDEX(Deductibles!$C$55:$C$57,MATCH($AC121,Deductibles!$B$55:$B$57,0)),"?")))</f>
        <v/>
      </c>
      <c r="BP121" s="99" t="str">
        <f>IF($A121="","",IF($AD121="",1,IFERROR(INDEX(Deductibles!$C$61:$C$63,MATCH($AD121,Deductibles!$B$61:$B$63,0)),"?")))</f>
        <v/>
      </c>
      <c r="BQ121" s="99" t="str">
        <f>IF($A121="","",IF($AE121="",1,IFERROR(INDEX(Deductibles!$C$67:$C$69,MATCH($AE121,Deductibles!$B$67:$B$69,0)),"?")))</f>
        <v/>
      </c>
      <c r="BR121" s="99" t="str">
        <f>IF($A121="","",IF($AF121="",1,IFERROR(INDEX(Deductibles!$C$73:$C$74,MATCH($AF121,Deductibles!$B$73:$B$74,0)),"?")))</f>
        <v/>
      </c>
      <c r="BS121" s="99" t="str">
        <f>IF($A121="","",IF($AG121="",1,IFERROR(INDEX('Sublimits and Parts'!$C$49:$C$52,MATCH($AG121,'Sublimits and Parts'!$B$49:$B$52,0)),"?")))</f>
        <v/>
      </c>
      <c r="BT121" s="99" t="str">
        <f>IF($A121="","",IF($AH121="",1,IFERROR(INDEX('Sublimits and Parts'!$C$56:$C$60,MATCH($AH121,'Sublimits and Parts'!$B$56:$B$60,0)),"?")))</f>
        <v/>
      </c>
      <c r="BU121" s="99" t="str">
        <f>IF($A121="","",IF($AI121="",1,IFERROR(INDEX('Sublimits and Parts'!$C$64:$C$67,MATCH($AI121,'Sublimits and Parts'!$B$64:$B$67,0)),"?")))</f>
        <v/>
      </c>
      <c r="BV121" s="99" t="str">
        <f>IF($A121="","",IF($AJ121="",1,IFERROR(INDEX('Sublimits and Parts'!$C$71:$C$74,MATCH($AJ121,'Sublimits and Parts'!$B$71:$B$74,0)),"?")))</f>
        <v/>
      </c>
      <c r="BW121" s="99" t="str">
        <f>IF($A121="","",IF($AK121="",1,IFERROR(INDEX('Sublimits and Parts'!$C$78:$C$80,MATCH($AK121,'Sublimits and Parts'!$B$78:$B$80,0)),"?")))</f>
        <v/>
      </c>
      <c r="BX121" s="99" t="str">
        <f>IF($A121="","",IF($AL121="",1,IFERROR(INDEX('Sublimits and Parts'!$C$84:$C$87,MATCH($AL121,'Sublimits and Parts'!$B$84:$B$87,0)),"?")))</f>
        <v/>
      </c>
      <c r="BY121" s="99" t="str">
        <f>IF($A121="","",IF($AM121="",1,IFERROR(INDEX('Sublimits and Parts'!$C$91:$C$94,MATCH($AM121,'Sublimits and Parts'!$B$91:$B$94,0)),"?")))</f>
        <v/>
      </c>
      <c r="BZ121" s="99" t="str">
        <f>IF($A121="","",IF($AN121="",1,IFERROR(INDEX('Sublimits and Parts'!$C$98:$C$101,MATCH($AN121,'Sublimits and Parts'!$B$98:$B$101,0)),"?")))</f>
        <v/>
      </c>
      <c r="CA121" s="99" t="str">
        <f>IF($A121="","",IF($AO121="",1,IFERROR(INDEX('Sublimits and Parts'!$C$105:$C$109,MATCH($AO121,'Sublimits and Parts'!$B$105:$B$109,0)),"?")))</f>
        <v/>
      </c>
      <c r="CB121" s="100" t="str">
        <f t="shared" si="15"/>
        <v/>
      </c>
      <c r="CC121" s="100" t="str">
        <f t="shared" si="16"/>
        <v/>
      </c>
      <c r="CD121" s="103" t="str">
        <f>IF($A121="","",IF(OR($CB121="?",$CC121="?"),"?",MIN($CB121*$CC121,'Technical Premium'!$C$17)))</f>
        <v/>
      </c>
      <c r="CE121" s="102" t="str">
        <f t="shared" si="17"/>
        <v/>
      </c>
      <c r="CF121" s="102" t="str">
        <f>IF($A121="","",IFERROR(INDEX('Territory Factors'!$F$6:$F$56,MATCH($K121,'Territory Factors'!$B$6:$B$56,0)),"?"))</f>
        <v/>
      </c>
      <c r="CG121" s="100" t="str">
        <f>IF($A121="","",IFERROR(INDEX('Usage and Coverage'!$C$79:$C$84,MATCH($Y121,'Usage and Coverage'!$B$79:$B$84,0)),"?"))</f>
        <v/>
      </c>
      <c r="CH121" s="102" t="str">
        <f>IFERROR(IF(ISNUMBER($CD121),$CF121*$CG121*MIN($BG121*$BA121*$BC121*$BD121*$BH121*$BF121,'Technical Premium'!$C$17),""),"")</f>
        <v/>
      </c>
      <c r="CI121" s="102" t="str">
        <f t="shared" si="18"/>
        <v/>
      </c>
      <c r="CJ121" s="102" t="str">
        <f>IFERROR($CI121*(1+'Technical Premium'!$C$5)*(1+'Technical Premium'!$C$6),"")</f>
        <v/>
      </c>
      <c r="CK121" s="102" t="str">
        <f>IFERROR($CE121*INDEX('Territory Factors'!$G$6:$G$56,MATCH($K121,'Territory Factors'!$B$6:$B$56,0))*$AU121*$AV121,"")</f>
        <v/>
      </c>
      <c r="CL121" s="102" t="str">
        <f>IFERROR(($CJ121+$CK121)*(1+'Technical Premium'!$C$7),"")</f>
        <v/>
      </c>
      <c r="CM121" s="104" t="str">
        <f>IFERROR($CL121/'Technical Premium'!$C$13,"")</f>
        <v/>
      </c>
      <c r="CN121" s="105" t="str">
        <f t="shared" si="19"/>
        <v/>
      </c>
      <c r="CO121" s="104" t="str">
        <f t="shared" si="20"/>
        <v/>
      </c>
      <c r="CP121" s="105" t="str">
        <f t="shared" si="21"/>
        <v/>
      </c>
      <c r="CQ121" s="106" t="str">
        <f t="shared" si="22"/>
        <v/>
      </c>
      <c r="CR121" s="102" t="str">
        <f>IF(ISNUMBER($CM121),'Technical Premium'!$C$14+IF($J121&gt;=1000000,'Technical Premium'!$C$15,0),"")</f>
        <v/>
      </c>
      <c r="CS121" s="102" t="str">
        <f>IFERROR(($CO121+$CR121)*(INDEX('Territory Factors'!$K$6:$K$56,MATCH($K121,'Territory Factors'!$B$6:$B$56,0))+'Commission Structure'!$C$21),"")</f>
        <v/>
      </c>
      <c r="CT121" s="104" t="str">
        <f t="shared" si="23"/>
        <v/>
      </c>
      <c r="CU121" s="102" t="str">
        <f>IFERROR($CO121*('Commission Structure'!$C$6+'Commission Structure'!$C$7),"")</f>
        <v/>
      </c>
      <c r="CV121" s="102" t="str">
        <f>IFERROR($CO121*'Commission Structure'!$C$5-$CU121,"")</f>
        <v/>
      </c>
      <c r="CW121" s="102" t="str">
        <f>IFERROR($CO121*(1-'Commission Structure'!$C$5),"")</f>
        <v/>
      </c>
      <c r="CX121" s="107"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8" t="str">
        <f t="shared" si="24"/>
        <v/>
      </c>
      <c r="CZ121" s="99" t="str">
        <f>IF($CY121="","",IF($CY121&lt;'Technical Premium'!$C$19,"BEYOND AUTHORITY",IF($CY121&gt;0.005,"Above technical",IF($CY121&lt;-0.005,"BELOW technical","At technical"))))</f>
        <v/>
      </c>
      <c r="DA121" s="99"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4"/>
      <c r="DC121" s="94"/>
      <c r="DD121" s="95"/>
      <c r="DE121" s="94"/>
      <c r="DF121" s="94"/>
      <c r="DG121" s="99" t="str">
        <f t="shared" si="25"/>
        <v/>
      </c>
      <c r="DH121" s="99" t="str">
        <f>IF($A121="","",IF(OR($CX121="REFER",$CX121="DECLINE"),COUNTIF($CX$5:$CX121,"REFER")+COUNTIF($CX$5:$CX121,"DECLINE"),""))</f>
        <v/>
      </c>
      <c r="DI121" s="94"/>
    </row>
    <row r="122" spans="1:113" x14ac:dyDescent="0.35">
      <c r="A122" s="94"/>
      <c r="B122" s="94"/>
      <c r="C122" s="95"/>
      <c r="D122" s="95"/>
      <c r="E122" s="96"/>
      <c r="F122" s="94"/>
      <c r="G122" s="94"/>
      <c r="H122" s="94"/>
      <c r="I122" s="94"/>
      <c r="J122" s="97"/>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8"/>
      <c r="AR122" s="99" t="str">
        <f t="shared" si="13"/>
        <v/>
      </c>
      <c r="AS122" s="99" t="str">
        <f>IF($A122="","",IF($AP122&lt;&gt;"",$AP122,IFERROR(INDEX('Cat Zone by ZIP'!$D$6:$D$856,MATCH($AR122,'Cat Zone by ZIP'!$B$6:$B$856,0)),IFERROR(INDEX('Cat Zone by ZIP'!$C$860:$C$910,MATCH($K122,'Cat Zone by ZIP'!$B$860:$B$910,0)),"NOT FOUND"))))</f>
        <v/>
      </c>
      <c r="AT122" s="99" t="str">
        <f>IF($A122="","",IF($AP122&lt;&gt;"","Override",IF(ISNUMBER(MATCH($AR122,'Cat Zone by ZIP'!$B$6:$B$856,0)),"ZIP-3","State default")))</f>
        <v/>
      </c>
      <c r="AU122" s="100" t="str">
        <f>IF($A122="","",IFERROR(INDEX('Natural Catastrophe'!$D$6:$D$17,MATCH($AS122,'Natural Catastrophe'!$B$6:$B$17,0)),"?"))</f>
        <v/>
      </c>
      <c r="AV122" s="100" t="str">
        <f>IF($A122="","",IFERROR(INDEX('Natural Catastrophe'!$C$21:$C$26,MATCH($AA122,'Natural Catastrophe'!$B$21:$B$26,0)),"?"))</f>
        <v/>
      </c>
      <c r="AW122" s="99" t="str">
        <f>IF($A122="","",IFERROR(INDEX('Base Rates'!$C$4:$I$4,MATCH(MAX($J122,'Technical Premium'!$C$18),'Base Rates'!$C$3:$I$3,1)),"?"))</f>
        <v/>
      </c>
      <c r="AX122" s="101" t="str">
        <f>IF($A122="","",IFERROR(INDEX('Base Rates'!$C$5:$I$16,MATCH($I122,'Base Rates'!$B$5:$B$16,0),MATCH(MAX($J122,'Technical Premium'!$C$18),'Base Rates'!$C$3:$I$3,1)),"?"))</f>
        <v/>
      </c>
      <c r="AY122" s="102" t="str">
        <f t="shared" si="14"/>
        <v/>
      </c>
      <c r="AZ122" s="99" t="str">
        <f>IF($A122="","",IFERROR(INDEX('Make Factors'!$G$5:$G$69,MATCH($F122,'Make Factors'!$B$5:$B$69,0)),"?"))</f>
        <v/>
      </c>
      <c r="BA122" s="99" t="str">
        <f>IF($A122="","",IFERROR(INDEX('Driver Factors'!$C$6:$C$15,MATCH($R122,'Driver Factors'!$B$6:$B$15,0)),"?"))</f>
        <v/>
      </c>
      <c r="BB122" s="99" t="str">
        <f>IF($A122="","",IFERROR(INDEX('Driver Factors'!$C$19:$C$24,MATCH($S122,'Driver Factors'!$B$19:$B$24,0)),"?"))</f>
        <v/>
      </c>
      <c r="BC122" s="99" t="str">
        <f>IF($A122="","",IFERROR(INDEX('Driver Factors'!$C$28:$C$36,MATCH($T122,'Driver Factors'!$B$28:$B$36,0)),"?"))</f>
        <v/>
      </c>
      <c r="BD122" s="99" t="str">
        <f>IF($A122="","",IFERROR(INDEX('Claims History'!$C$6:$C$15,MATCH($U122,'Claims History'!$B$6:$B$15,0)),"?"))</f>
        <v/>
      </c>
      <c r="BE122" s="99" t="str">
        <f>IF($A122="","",IFERROR(INDEX('Territory Factors'!$E$6:$E$56,MATCH($K122,'Territory Factors'!$B$6:$B$56,0)),"?"))</f>
        <v/>
      </c>
      <c r="BF122" s="99" t="str">
        <f>IF($A122="","",IFERROR(INDEX('City Accident Ratings'!$G$6:$G$54,MATCH($Z122,'City Accident Ratings'!$B$6:$B$54,0)),"?"))</f>
        <v/>
      </c>
      <c r="BG122" s="99" t="str">
        <f>IF($A122="","",IFERROR(INDEX('Usage and Coverage'!$D$6:$D$20,MATCH($N122,'Usage and Coverage'!$C$6:$C$20,0)),"?"))</f>
        <v/>
      </c>
      <c r="BH122" s="99" t="str">
        <f>IF($A122="","",IFERROR(INDEX('Usage and Coverage'!$C$24:$C$30,MATCH($O122,'Usage and Coverage'!$B$24:$B$30,0)),"?"))</f>
        <v/>
      </c>
      <c r="BI122" s="99" t="str">
        <f>IF($A122="","",IFERROR(INDEX('Usage and Coverage'!$C$34:$C$40,MATCH($P122,'Usage and Coverage'!$B$34:$B$40,0)),"?"))</f>
        <v/>
      </c>
      <c r="BJ122" s="99" t="str">
        <f>IF($A122="","",IFERROR(INDEX('Usage and Coverage'!$C$44:$C$49,MATCH($Q122,'Usage and Coverage'!$B$44:$B$49,0)),"?"))</f>
        <v/>
      </c>
      <c r="BK122" s="99" t="str">
        <f>IF($A122="","",IFERROR(INDEX(Deductibles!$C$6:$I$15,MATCH($W122,Deductibles!$B$6:$B$15,0),MATCH(MAX($J122,'Technical Premium'!$C$18),'Base Rates'!$C$3:$I$3,1)),"?"))</f>
        <v/>
      </c>
      <c r="BL122" s="99" t="str">
        <f>IF($A122="","",IFERROR(INDEX('Usage and Coverage'!$C$63:$C$66,MATCH($X122,'Usage and Coverage'!$B$63:$B$66,0)),"?"))</f>
        <v/>
      </c>
      <c r="BM122" s="99" t="str">
        <f>IF($A122="","",IFERROR(INDEX('Usage and Coverage'!$C$70:$C$75,MATCH($V122,'Usage and Coverage'!$B$70:$B$75,0)),"?"))</f>
        <v/>
      </c>
      <c r="BN122" s="99" t="str">
        <f>IF($A122="","",IF($AB122="",1,IFERROR(INDEX(Deductibles!$C$48:$C$51,MATCH($AB122,Deductibles!$B$48:$B$51,0)),"?")))</f>
        <v/>
      </c>
      <c r="BO122" s="99" t="str">
        <f>IF($A122="","",IF($AC122="",1,IFERROR(INDEX(Deductibles!$C$55:$C$57,MATCH($AC122,Deductibles!$B$55:$B$57,0)),"?")))</f>
        <v/>
      </c>
      <c r="BP122" s="99" t="str">
        <f>IF($A122="","",IF($AD122="",1,IFERROR(INDEX(Deductibles!$C$61:$C$63,MATCH($AD122,Deductibles!$B$61:$B$63,0)),"?")))</f>
        <v/>
      </c>
      <c r="BQ122" s="99" t="str">
        <f>IF($A122="","",IF($AE122="",1,IFERROR(INDEX(Deductibles!$C$67:$C$69,MATCH($AE122,Deductibles!$B$67:$B$69,0)),"?")))</f>
        <v/>
      </c>
      <c r="BR122" s="99" t="str">
        <f>IF($A122="","",IF($AF122="",1,IFERROR(INDEX(Deductibles!$C$73:$C$74,MATCH($AF122,Deductibles!$B$73:$B$74,0)),"?")))</f>
        <v/>
      </c>
      <c r="BS122" s="99" t="str">
        <f>IF($A122="","",IF($AG122="",1,IFERROR(INDEX('Sublimits and Parts'!$C$49:$C$52,MATCH($AG122,'Sublimits and Parts'!$B$49:$B$52,0)),"?")))</f>
        <v/>
      </c>
      <c r="BT122" s="99" t="str">
        <f>IF($A122="","",IF($AH122="",1,IFERROR(INDEX('Sublimits and Parts'!$C$56:$C$60,MATCH($AH122,'Sublimits and Parts'!$B$56:$B$60,0)),"?")))</f>
        <v/>
      </c>
      <c r="BU122" s="99" t="str">
        <f>IF($A122="","",IF($AI122="",1,IFERROR(INDEX('Sublimits and Parts'!$C$64:$C$67,MATCH($AI122,'Sublimits and Parts'!$B$64:$B$67,0)),"?")))</f>
        <v/>
      </c>
      <c r="BV122" s="99" t="str">
        <f>IF($A122="","",IF($AJ122="",1,IFERROR(INDEX('Sublimits and Parts'!$C$71:$C$74,MATCH($AJ122,'Sublimits and Parts'!$B$71:$B$74,0)),"?")))</f>
        <v/>
      </c>
      <c r="BW122" s="99" t="str">
        <f>IF($A122="","",IF($AK122="",1,IFERROR(INDEX('Sublimits and Parts'!$C$78:$C$80,MATCH($AK122,'Sublimits and Parts'!$B$78:$B$80,0)),"?")))</f>
        <v/>
      </c>
      <c r="BX122" s="99" t="str">
        <f>IF($A122="","",IF($AL122="",1,IFERROR(INDEX('Sublimits and Parts'!$C$84:$C$87,MATCH($AL122,'Sublimits and Parts'!$B$84:$B$87,0)),"?")))</f>
        <v/>
      </c>
      <c r="BY122" s="99" t="str">
        <f>IF($A122="","",IF($AM122="",1,IFERROR(INDEX('Sublimits and Parts'!$C$91:$C$94,MATCH($AM122,'Sublimits and Parts'!$B$91:$B$94,0)),"?")))</f>
        <v/>
      </c>
      <c r="BZ122" s="99" t="str">
        <f>IF($A122="","",IF($AN122="",1,IFERROR(INDEX('Sublimits and Parts'!$C$98:$C$101,MATCH($AN122,'Sublimits and Parts'!$B$98:$B$101,0)),"?")))</f>
        <v/>
      </c>
      <c r="CA122" s="99" t="str">
        <f>IF($A122="","",IF($AO122="",1,IFERROR(INDEX('Sublimits and Parts'!$C$105:$C$109,MATCH($AO122,'Sublimits and Parts'!$B$105:$B$109,0)),"?")))</f>
        <v/>
      </c>
      <c r="CB122" s="100" t="str">
        <f t="shared" si="15"/>
        <v/>
      </c>
      <c r="CC122" s="100" t="str">
        <f t="shared" si="16"/>
        <v/>
      </c>
      <c r="CD122" s="103" t="str">
        <f>IF($A122="","",IF(OR($CB122="?",$CC122="?"),"?",MIN($CB122*$CC122,'Technical Premium'!$C$17)))</f>
        <v/>
      </c>
      <c r="CE122" s="102" t="str">
        <f t="shared" si="17"/>
        <v/>
      </c>
      <c r="CF122" s="102" t="str">
        <f>IF($A122="","",IFERROR(INDEX('Territory Factors'!$F$6:$F$56,MATCH($K122,'Territory Factors'!$B$6:$B$56,0)),"?"))</f>
        <v/>
      </c>
      <c r="CG122" s="100" t="str">
        <f>IF($A122="","",IFERROR(INDEX('Usage and Coverage'!$C$79:$C$84,MATCH($Y122,'Usage and Coverage'!$B$79:$B$84,0)),"?"))</f>
        <v/>
      </c>
      <c r="CH122" s="102" t="str">
        <f>IFERROR(IF(ISNUMBER($CD122),$CF122*$CG122*MIN($BG122*$BA122*$BC122*$BD122*$BH122*$BF122,'Technical Premium'!$C$17),""),"")</f>
        <v/>
      </c>
      <c r="CI122" s="102" t="str">
        <f t="shared" si="18"/>
        <v/>
      </c>
      <c r="CJ122" s="102" t="str">
        <f>IFERROR($CI122*(1+'Technical Premium'!$C$5)*(1+'Technical Premium'!$C$6),"")</f>
        <v/>
      </c>
      <c r="CK122" s="102" t="str">
        <f>IFERROR($CE122*INDEX('Territory Factors'!$G$6:$G$56,MATCH($K122,'Territory Factors'!$B$6:$B$56,0))*$AU122*$AV122,"")</f>
        <v/>
      </c>
      <c r="CL122" s="102" t="str">
        <f>IFERROR(($CJ122+$CK122)*(1+'Technical Premium'!$C$7),"")</f>
        <v/>
      </c>
      <c r="CM122" s="104" t="str">
        <f>IFERROR($CL122/'Technical Premium'!$C$13,"")</f>
        <v/>
      </c>
      <c r="CN122" s="105" t="str">
        <f t="shared" si="19"/>
        <v/>
      </c>
      <c r="CO122" s="104" t="str">
        <f t="shared" si="20"/>
        <v/>
      </c>
      <c r="CP122" s="105" t="str">
        <f t="shared" si="21"/>
        <v/>
      </c>
      <c r="CQ122" s="106" t="str">
        <f t="shared" si="22"/>
        <v/>
      </c>
      <c r="CR122" s="102" t="str">
        <f>IF(ISNUMBER($CM122),'Technical Premium'!$C$14+IF($J122&gt;=1000000,'Technical Premium'!$C$15,0),"")</f>
        <v/>
      </c>
      <c r="CS122" s="102" t="str">
        <f>IFERROR(($CO122+$CR122)*(INDEX('Territory Factors'!$K$6:$K$56,MATCH($K122,'Territory Factors'!$B$6:$B$56,0))+'Commission Structure'!$C$21),"")</f>
        <v/>
      </c>
      <c r="CT122" s="104" t="str">
        <f t="shared" si="23"/>
        <v/>
      </c>
      <c r="CU122" s="102" t="str">
        <f>IFERROR($CO122*('Commission Structure'!$C$6+'Commission Structure'!$C$7),"")</f>
        <v/>
      </c>
      <c r="CV122" s="102" t="str">
        <f>IFERROR($CO122*'Commission Structure'!$C$5-$CU122,"")</f>
        <v/>
      </c>
      <c r="CW122" s="102" t="str">
        <f>IFERROR($CO122*(1-'Commission Structure'!$C$5),"")</f>
        <v/>
      </c>
      <c r="CX122" s="107"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8" t="str">
        <f t="shared" si="24"/>
        <v/>
      </c>
      <c r="CZ122" s="99" t="str">
        <f>IF($CY122="","",IF($CY122&lt;'Technical Premium'!$C$19,"BEYOND AUTHORITY",IF($CY122&gt;0.005,"Above technical",IF($CY122&lt;-0.005,"BELOW technical","At technical"))))</f>
        <v/>
      </c>
      <c r="DA122" s="99"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4"/>
      <c r="DC122" s="94"/>
      <c r="DD122" s="95"/>
      <c r="DE122" s="94"/>
      <c r="DF122" s="94"/>
      <c r="DG122" s="99" t="str">
        <f t="shared" si="25"/>
        <v/>
      </c>
      <c r="DH122" s="99" t="str">
        <f>IF($A122="","",IF(OR($CX122="REFER",$CX122="DECLINE"),COUNTIF($CX$5:$CX122,"REFER")+COUNTIF($CX$5:$CX122,"DECLINE"),""))</f>
        <v/>
      </c>
      <c r="DI122" s="94"/>
    </row>
    <row r="123" spans="1:113" x14ac:dyDescent="0.35">
      <c r="A123" s="94"/>
      <c r="B123" s="94"/>
      <c r="C123" s="95"/>
      <c r="D123" s="95"/>
      <c r="E123" s="96"/>
      <c r="F123" s="94"/>
      <c r="G123" s="94"/>
      <c r="H123" s="94"/>
      <c r="I123" s="94"/>
      <c r="J123" s="97"/>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8"/>
      <c r="AR123" s="99" t="str">
        <f t="shared" si="13"/>
        <v/>
      </c>
      <c r="AS123" s="99" t="str">
        <f>IF($A123="","",IF($AP123&lt;&gt;"",$AP123,IFERROR(INDEX('Cat Zone by ZIP'!$D$6:$D$856,MATCH($AR123,'Cat Zone by ZIP'!$B$6:$B$856,0)),IFERROR(INDEX('Cat Zone by ZIP'!$C$860:$C$910,MATCH($K123,'Cat Zone by ZIP'!$B$860:$B$910,0)),"NOT FOUND"))))</f>
        <v/>
      </c>
      <c r="AT123" s="99" t="str">
        <f>IF($A123="","",IF($AP123&lt;&gt;"","Override",IF(ISNUMBER(MATCH($AR123,'Cat Zone by ZIP'!$B$6:$B$856,0)),"ZIP-3","State default")))</f>
        <v/>
      </c>
      <c r="AU123" s="100" t="str">
        <f>IF($A123="","",IFERROR(INDEX('Natural Catastrophe'!$D$6:$D$17,MATCH($AS123,'Natural Catastrophe'!$B$6:$B$17,0)),"?"))</f>
        <v/>
      </c>
      <c r="AV123" s="100" t="str">
        <f>IF($A123="","",IFERROR(INDEX('Natural Catastrophe'!$C$21:$C$26,MATCH($AA123,'Natural Catastrophe'!$B$21:$B$26,0)),"?"))</f>
        <v/>
      </c>
      <c r="AW123" s="99" t="str">
        <f>IF($A123="","",IFERROR(INDEX('Base Rates'!$C$4:$I$4,MATCH(MAX($J123,'Technical Premium'!$C$18),'Base Rates'!$C$3:$I$3,1)),"?"))</f>
        <v/>
      </c>
      <c r="AX123" s="101" t="str">
        <f>IF($A123="","",IFERROR(INDEX('Base Rates'!$C$5:$I$16,MATCH($I123,'Base Rates'!$B$5:$B$16,0),MATCH(MAX($J123,'Technical Premium'!$C$18),'Base Rates'!$C$3:$I$3,1)),"?"))</f>
        <v/>
      </c>
      <c r="AY123" s="102" t="str">
        <f t="shared" si="14"/>
        <v/>
      </c>
      <c r="AZ123" s="99" t="str">
        <f>IF($A123="","",IFERROR(INDEX('Make Factors'!$G$5:$G$69,MATCH($F123,'Make Factors'!$B$5:$B$69,0)),"?"))</f>
        <v/>
      </c>
      <c r="BA123" s="99" t="str">
        <f>IF($A123="","",IFERROR(INDEX('Driver Factors'!$C$6:$C$15,MATCH($R123,'Driver Factors'!$B$6:$B$15,0)),"?"))</f>
        <v/>
      </c>
      <c r="BB123" s="99" t="str">
        <f>IF($A123="","",IFERROR(INDEX('Driver Factors'!$C$19:$C$24,MATCH($S123,'Driver Factors'!$B$19:$B$24,0)),"?"))</f>
        <v/>
      </c>
      <c r="BC123" s="99" t="str">
        <f>IF($A123="","",IFERROR(INDEX('Driver Factors'!$C$28:$C$36,MATCH($T123,'Driver Factors'!$B$28:$B$36,0)),"?"))</f>
        <v/>
      </c>
      <c r="BD123" s="99" t="str">
        <f>IF($A123="","",IFERROR(INDEX('Claims History'!$C$6:$C$15,MATCH($U123,'Claims History'!$B$6:$B$15,0)),"?"))</f>
        <v/>
      </c>
      <c r="BE123" s="99" t="str">
        <f>IF($A123="","",IFERROR(INDEX('Territory Factors'!$E$6:$E$56,MATCH($K123,'Territory Factors'!$B$6:$B$56,0)),"?"))</f>
        <v/>
      </c>
      <c r="BF123" s="99" t="str">
        <f>IF($A123="","",IFERROR(INDEX('City Accident Ratings'!$G$6:$G$54,MATCH($Z123,'City Accident Ratings'!$B$6:$B$54,0)),"?"))</f>
        <v/>
      </c>
      <c r="BG123" s="99" t="str">
        <f>IF($A123="","",IFERROR(INDEX('Usage and Coverage'!$D$6:$D$20,MATCH($N123,'Usage and Coverage'!$C$6:$C$20,0)),"?"))</f>
        <v/>
      </c>
      <c r="BH123" s="99" t="str">
        <f>IF($A123="","",IFERROR(INDEX('Usage and Coverage'!$C$24:$C$30,MATCH($O123,'Usage and Coverage'!$B$24:$B$30,0)),"?"))</f>
        <v/>
      </c>
      <c r="BI123" s="99" t="str">
        <f>IF($A123="","",IFERROR(INDEX('Usage and Coverage'!$C$34:$C$40,MATCH($P123,'Usage and Coverage'!$B$34:$B$40,0)),"?"))</f>
        <v/>
      </c>
      <c r="BJ123" s="99" t="str">
        <f>IF($A123="","",IFERROR(INDEX('Usage and Coverage'!$C$44:$C$49,MATCH($Q123,'Usage and Coverage'!$B$44:$B$49,0)),"?"))</f>
        <v/>
      </c>
      <c r="BK123" s="99" t="str">
        <f>IF($A123="","",IFERROR(INDEX(Deductibles!$C$6:$I$15,MATCH($W123,Deductibles!$B$6:$B$15,0),MATCH(MAX($J123,'Technical Premium'!$C$18),'Base Rates'!$C$3:$I$3,1)),"?"))</f>
        <v/>
      </c>
      <c r="BL123" s="99" t="str">
        <f>IF($A123="","",IFERROR(INDEX('Usage and Coverage'!$C$63:$C$66,MATCH($X123,'Usage and Coverage'!$B$63:$B$66,0)),"?"))</f>
        <v/>
      </c>
      <c r="BM123" s="99" t="str">
        <f>IF($A123="","",IFERROR(INDEX('Usage and Coverage'!$C$70:$C$75,MATCH($V123,'Usage and Coverage'!$B$70:$B$75,0)),"?"))</f>
        <v/>
      </c>
      <c r="BN123" s="99" t="str">
        <f>IF($A123="","",IF($AB123="",1,IFERROR(INDEX(Deductibles!$C$48:$C$51,MATCH($AB123,Deductibles!$B$48:$B$51,0)),"?")))</f>
        <v/>
      </c>
      <c r="BO123" s="99" t="str">
        <f>IF($A123="","",IF($AC123="",1,IFERROR(INDEX(Deductibles!$C$55:$C$57,MATCH($AC123,Deductibles!$B$55:$B$57,0)),"?")))</f>
        <v/>
      </c>
      <c r="BP123" s="99" t="str">
        <f>IF($A123="","",IF($AD123="",1,IFERROR(INDEX(Deductibles!$C$61:$C$63,MATCH($AD123,Deductibles!$B$61:$B$63,0)),"?")))</f>
        <v/>
      </c>
      <c r="BQ123" s="99" t="str">
        <f>IF($A123="","",IF($AE123="",1,IFERROR(INDEX(Deductibles!$C$67:$C$69,MATCH($AE123,Deductibles!$B$67:$B$69,0)),"?")))</f>
        <v/>
      </c>
      <c r="BR123" s="99" t="str">
        <f>IF($A123="","",IF($AF123="",1,IFERROR(INDEX(Deductibles!$C$73:$C$74,MATCH($AF123,Deductibles!$B$73:$B$74,0)),"?")))</f>
        <v/>
      </c>
      <c r="BS123" s="99" t="str">
        <f>IF($A123="","",IF($AG123="",1,IFERROR(INDEX('Sublimits and Parts'!$C$49:$C$52,MATCH($AG123,'Sublimits and Parts'!$B$49:$B$52,0)),"?")))</f>
        <v/>
      </c>
      <c r="BT123" s="99" t="str">
        <f>IF($A123="","",IF($AH123="",1,IFERROR(INDEX('Sublimits and Parts'!$C$56:$C$60,MATCH($AH123,'Sublimits and Parts'!$B$56:$B$60,0)),"?")))</f>
        <v/>
      </c>
      <c r="BU123" s="99" t="str">
        <f>IF($A123="","",IF($AI123="",1,IFERROR(INDEX('Sublimits and Parts'!$C$64:$C$67,MATCH($AI123,'Sublimits and Parts'!$B$64:$B$67,0)),"?")))</f>
        <v/>
      </c>
      <c r="BV123" s="99" t="str">
        <f>IF($A123="","",IF($AJ123="",1,IFERROR(INDEX('Sublimits and Parts'!$C$71:$C$74,MATCH($AJ123,'Sublimits and Parts'!$B$71:$B$74,0)),"?")))</f>
        <v/>
      </c>
      <c r="BW123" s="99" t="str">
        <f>IF($A123="","",IF($AK123="",1,IFERROR(INDEX('Sublimits and Parts'!$C$78:$C$80,MATCH($AK123,'Sublimits and Parts'!$B$78:$B$80,0)),"?")))</f>
        <v/>
      </c>
      <c r="BX123" s="99" t="str">
        <f>IF($A123="","",IF($AL123="",1,IFERROR(INDEX('Sublimits and Parts'!$C$84:$C$87,MATCH($AL123,'Sublimits and Parts'!$B$84:$B$87,0)),"?")))</f>
        <v/>
      </c>
      <c r="BY123" s="99" t="str">
        <f>IF($A123="","",IF($AM123="",1,IFERROR(INDEX('Sublimits and Parts'!$C$91:$C$94,MATCH($AM123,'Sublimits and Parts'!$B$91:$B$94,0)),"?")))</f>
        <v/>
      </c>
      <c r="BZ123" s="99" t="str">
        <f>IF($A123="","",IF($AN123="",1,IFERROR(INDEX('Sublimits and Parts'!$C$98:$C$101,MATCH($AN123,'Sublimits and Parts'!$B$98:$B$101,0)),"?")))</f>
        <v/>
      </c>
      <c r="CA123" s="99" t="str">
        <f>IF($A123="","",IF($AO123="",1,IFERROR(INDEX('Sublimits and Parts'!$C$105:$C$109,MATCH($AO123,'Sublimits and Parts'!$B$105:$B$109,0)),"?")))</f>
        <v/>
      </c>
      <c r="CB123" s="100" t="str">
        <f t="shared" si="15"/>
        <v/>
      </c>
      <c r="CC123" s="100" t="str">
        <f t="shared" si="16"/>
        <v/>
      </c>
      <c r="CD123" s="103" t="str">
        <f>IF($A123="","",IF(OR($CB123="?",$CC123="?"),"?",MIN($CB123*$CC123,'Technical Premium'!$C$17)))</f>
        <v/>
      </c>
      <c r="CE123" s="102" t="str">
        <f t="shared" si="17"/>
        <v/>
      </c>
      <c r="CF123" s="102" t="str">
        <f>IF($A123="","",IFERROR(INDEX('Territory Factors'!$F$6:$F$56,MATCH($K123,'Territory Factors'!$B$6:$B$56,0)),"?"))</f>
        <v/>
      </c>
      <c r="CG123" s="100" t="str">
        <f>IF($A123="","",IFERROR(INDEX('Usage and Coverage'!$C$79:$C$84,MATCH($Y123,'Usage and Coverage'!$B$79:$B$84,0)),"?"))</f>
        <v/>
      </c>
      <c r="CH123" s="102" t="str">
        <f>IFERROR(IF(ISNUMBER($CD123),$CF123*$CG123*MIN($BG123*$BA123*$BC123*$BD123*$BH123*$BF123,'Technical Premium'!$C$17),""),"")</f>
        <v/>
      </c>
      <c r="CI123" s="102" t="str">
        <f t="shared" si="18"/>
        <v/>
      </c>
      <c r="CJ123" s="102" t="str">
        <f>IFERROR($CI123*(1+'Technical Premium'!$C$5)*(1+'Technical Premium'!$C$6),"")</f>
        <v/>
      </c>
      <c r="CK123" s="102" t="str">
        <f>IFERROR($CE123*INDEX('Territory Factors'!$G$6:$G$56,MATCH($K123,'Territory Factors'!$B$6:$B$56,0))*$AU123*$AV123,"")</f>
        <v/>
      </c>
      <c r="CL123" s="102" t="str">
        <f>IFERROR(($CJ123+$CK123)*(1+'Technical Premium'!$C$7),"")</f>
        <v/>
      </c>
      <c r="CM123" s="104" t="str">
        <f>IFERROR($CL123/'Technical Premium'!$C$13,"")</f>
        <v/>
      </c>
      <c r="CN123" s="105" t="str">
        <f t="shared" si="19"/>
        <v/>
      </c>
      <c r="CO123" s="104" t="str">
        <f t="shared" si="20"/>
        <v/>
      </c>
      <c r="CP123" s="105" t="str">
        <f t="shared" si="21"/>
        <v/>
      </c>
      <c r="CQ123" s="106" t="str">
        <f t="shared" si="22"/>
        <v/>
      </c>
      <c r="CR123" s="102" t="str">
        <f>IF(ISNUMBER($CM123),'Technical Premium'!$C$14+IF($J123&gt;=1000000,'Technical Premium'!$C$15,0),"")</f>
        <v/>
      </c>
      <c r="CS123" s="102" t="str">
        <f>IFERROR(($CO123+$CR123)*(INDEX('Territory Factors'!$K$6:$K$56,MATCH($K123,'Territory Factors'!$B$6:$B$56,0))+'Commission Structure'!$C$21),"")</f>
        <v/>
      </c>
      <c r="CT123" s="104" t="str">
        <f t="shared" si="23"/>
        <v/>
      </c>
      <c r="CU123" s="102" t="str">
        <f>IFERROR($CO123*('Commission Structure'!$C$6+'Commission Structure'!$C$7),"")</f>
        <v/>
      </c>
      <c r="CV123" s="102" t="str">
        <f>IFERROR($CO123*'Commission Structure'!$C$5-$CU123,"")</f>
        <v/>
      </c>
      <c r="CW123" s="102" t="str">
        <f>IFERROR($CO123*(1-'Commission Structure'!$C$5),"")</f>
        <v/>
      </c>
      <c r="CX123" s="107"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8" t="str">
        <f t="shared" si="24"/>
        <v/>
      </c>
      <c r="CZ123" s="99" t="str">
        <f>IF($CY123="","",IF($CY123&lt;'Technical Premium'!$C$19,"BEYOND AUTHORITY",IF($CY123&gt;0.005,"Above technical",IF($CY123&lt;-0.005,"BELOW technical","At technical"))))</f>
        <v/>
      </c>
      <c r="DA123" s="99"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4"/>
      <c r="DC123" s="94"/>
      <c r="DD123" s="95"/>
      <c r="DE123" s="94"/>
      <c r="DF123" s="94"/>
      <c r="DG123" s="99" t="str">
        <f t="shared" si="25"/>
        <v/>
      </c>
      <c r="DH123" s="99" t="str">
        <f>IF($A123="","",IF(OR($CX123="REFER",$CX123="DECLINE"),COUNTIF($CX$5:$CX123,"REFER")+COUNTIF($CX$5:$CX123,"DECLINE"),""))</f>
        <v/>
      </c>
      <c r="DI123" s="94"/>
    </row>
    <row r="124" spans="1:113" x14ac:dyDescent="0.35">
      <c r="A124" s="94"/>
      <c r="B124" s="94"/>
      <c r="C124" s="95"/>
      <c r="D124" s="95"/>
      <c r="E124" s="96"/>
      <c r="F124" s="94"/>
      <c r="G124" s="94"/>
      <c r="H124" s="94"/>
      <c r="I124" s="94"/>
      <c r="J124" s="97"/>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8"/>
      <c r="AR124" s="99" t="str">
        <f t="shared" si="13"/>
        <v/>
      </c>
      <c r="AS124" s="99" t="str">
        <f>IF($A124="","",IF($AP124&lt;&gt;"",$AP124,IFERROR(INDEX('Cat Zone by ZIP'!$D$6:$D$856,MATCH($AR124,'Cat Zone by ZIP'!$B$6:$B$856,0)),IFERROR(INDEX('Cat Zone by ZIP'!$C$860:$C$910,MATCH($K124,'Cat Zone by ZIP'!$B$860:$B$910,0)),"NOT FOUND"))))</f>
        <v/>
      </c>
      <c r="AT124" s="99" t="str">
        <f>IF($A124="","",IF($AP124&lt;&gt;"","Override",IF(ISNUMBER(MATCH($AR124,'Cat Zone by ZIP'!$B$6:$B$856,0)),"ZIP-3","State default")))</f>
        <v/>
      </c>
      <c r="AU124" s="100" t="str">
        <f>IF($A124="","",IFERROR(INDEX('Natural Catastrophe'!$D$6:$D$17,MATCH($AS124,'Natural Catastrophe'!$B$6:$B$17,0)),"?"))</f>
        <v/>
      </c>
      <c r="AV124" s="100" t="str">
        <f>IF($A124="","",IFERROR(INDEX('Natural Catastrophe'!$C$21:$C$26,MATCH($AA124,'Natural Catastrophe'!$B$21:$B$26,0)),"?"))</f>
        <v/>
      </c>
      <c r="AW124" s="99" t="str">
        <f>IF($A124="","",IFERROR(INDEX('Base Rates'!$C$4:$I$4,MATCH(MAX($J124,'Technical Premium'!$C$18),'Base Rates'!$C$3:$I$3,1)),"?"))</f>
        <v/>
      </c>
      <c r="AX124" s="101" t="str">
        <f>IF($A124="","",IFERROR(INDEX('Base Rates'!$C$5:$I$16,MATCH($I124,'Base Rates'!$B$5:$B$16,0),MATCH(MAX($J124,'Technical Premium'!$C$18),'Base Rates'!$C$3:$I$3,1)),"?"))</f>
        <v/>
      </c>
      <c r="AY124" s="102" t="str">
        <f t="shared" si="14"/>
        <v/>
      </c>
      <c r="AZ124" s="99" t="str">
        <f>IF($A124="","",IFERROR(INDEX('Make Factors'!$G$5:$G$69,MATCH($F124,'Make Factors'!$B$5:$B$69,0)),"?"))</f>
        <v/>
      </c>
      <c r="BA124" s="99" t="str">
        <f>IF($A124="","",IFERROR(INDEX('Driver Factors'!$C$6:$C$15,MATCH($R124,'Driver Factors'!$B$6:$B$15,0)),"?"))</f>
        <v/>
      </c>
      <c r="BB124" s="99" t="str">
        <f>IF($A124="","",IFERROR(INDEX('Driver Factors'!$C$19:$C$24,MATCH($S124,'Driver Factors'!$B$19:$B$24,0)),"?"))</f>
        <v/>
      </c>
      <c r="BC124" s="99" t="str">
        <f>IF($A124="","",IFERROR(INDEX('Driver Factors'!$C$28:$C$36,MATCH($T124,'Driver Factors'!$B$28:$B$36,0)),"?"))</f>
        <v/>
      </c>
      <c r="BD124" s="99" t="str">
        <f>IF($A124="","",IFERROR(INDEX('Claims History'!$C$6:$C$15,MATCH($U124,'Claims History'!$B$6:$B$15,0)),"?"))</f>
        <v/>
      </c>
      <c r="BE124" s="99" t="str">
        <f>IF($A124="","",IFERROR(INDEX('Territory Factors'!$E$6:$E$56,MATCH($K124,'Territory Factors'!$B$6:$B$56,0)),"?"))</f>
        <v/>
      </c>
      <c r="BF124" s="99" t="str">
        <f>IF($A124="","",IFERROR(INDEX('City Accident Ratings'!$G$6:$G$54,MATCH($Z124,'City Accident Ratings'!$B$6:$B$54,0)),"?"))</f>
        <v/>
      </c>
      <c r="BG124" s="99" t="str">
        <f>IF($A124="","",IFERROR(INDEX('Usage and Coverage'!$D$6:$D$20,MATCH($N124,'Usage and Coverage'!$C$6:$C$20,0)),"?"))</f>
        <v/>
      </c>
      <c r="BH124" s="99" t="str">
        <f>IF($A124="","",IFERROR(INDEX('Usage and Coverage'!$C$24:$C$30,MATCH($O124,'Usage and Coverage'!$B$24:$B$30,0)),"?"))</f>
        <v/>
      </c>
      <c r="BI124" s="99" t="str">
        <f>IF($A124="","",IFERROR(INDEX('Usage and Coverage'!$C$34:$C$40,MATCH($P124,'Usage and Coverage'!$B$34:$B$40,0)),"?"))</f>
        <v/>
      </c>
      <c r="BJ124" s="99" t="str">
        <f>IF($A124="","",IFERROR(INDEX('Usage and Coverage'!$C$44:$C$49,MATCH($Q124,'Usage and Coverage'!$B$44:$B$49,0)),"?"))</f>
        <v/>
      </c>
      <c r="BK124" s="99" t="str">
        <f>IF($A124="","",IFERROR(INDEX(Deductibles!$C$6:$I$15,MATCH($W124,Deductibles!$B$6:$B$15,0),MATCH(MAX($J124,'Technical Premium'!$C$18),'Base Rates'!$C$3:$I$3,1)),"?"))</f>
        <v/>
      </c>
      <c r="BL124" s="99" t="str">
        <f>IF($A124="","",IFERROR(INDEX('Usage and Coverage'!$C$63:$C$66,MATCH($X124,'Usage and Coverage'!$B$63:$B$66,0)),"?"))</f>
        <v/>
      </c>
      <c r="BM124" s="99" t="str">
        <f>IF($A124="","",IFERROR(INDEX('Usage and Coverage'!$C$70:$C$75,MATCH($V124,'Usage and Coverage'!$B$70:$B$75,0)),"?"))</f>
        <v/>
      </c>
      <c r="BN124" s="99" t="str">
        <f>IF($A124="","",IF($AB124="",1,IFERROR(INDEX(Deductibles!$C$48:$C$51,MATCH($AB124,Deductibles!$B$48:$B$51,0)),"?")))</f>
        <v/>
      </c>
      <c r="BO124" s="99" t="str">
        <f>IF($A124="","",IF($AC124="",1,IFERROR(INDEX(Deductibles!$C$55:$C$57,MATCH($AC124,Deductibles!$B$55:$B$57,0)),"?")))</f>
        <v/>
      </c>
      <c r="BP124" s="99" t="str">
        <f>IF($A124="","",IF($AD124="",1,IFERROR(INDEX(Deductibles!$C$61:$C$63,MATCH($AD124,Deductibles!$B$61:$B$63,0)),"?")))</f>
        <v/>
      </c>
      <c r="BQ124" s="99" t="str">
        <f>IF($A124="","",IF($AE124="",1,IFERROR(INDEX(Deductibles!$C$67:$C$69,MATCH($AE124,Deductibles!$B$67:$B$69,0)),"?")))</f>
        <v/>
      </c>
      <c r="BR124" s="99" t="str">
        <f>IF($A124="","",IF($AF124="",1,IFERROR(INDEX(Deductibles!$C$73:$C$74,MATCH($AF124,Deductibles!$B$73:$B$74,0)),"?")))</f>
        <v/>
      </c>
      <c r="BS124" s="99" t="str">
        <f>IF($A124="","",IF($AG124="",1,IFERROR(INDEX('Sublimits and Parts'!$C$49:$C$52,MATCH($AG124,'Sublimits and Parts'!$B$49:$B$52,0)),"?")))</f>
        <v/>
      </c>
      <c r="BT124" s="99" t="str">
        <f>IF($A124="","",IF($AH124="",1,IFERROR(INDEX('Sublimits and Parts'!$C$56:$C$60,MATCH($AH124,'Sublimits and Parts'!$B$56:$B$60,0)),"?")))</f>
        <v/>
      </c>
      <c r="BU124" s="99" t="str">
        <f>IF($A124="","",IF($AI124="",1,IFERROR(INDEX('Sublimits and Parts'!$C$64:$C$67,MATCH($AI124,'Sublimits and Parts'!$B$64:$B$67,0)),"?")))</f>
        <v/>
      </c>
      <c r="BV124" s="99" t="str">
        <f>IF($A124="","",IF($AJ124="",1,IFERROR(INDEX('Sublimits and Parts'!$C$71:$C$74,MATCH($AJ124,'Sublimits and Parts'!$B$71:$B$74,0)),"?")))</f>
        <v/>
      </c>
      <c r="BW124" s="99" t="str">
        <f>IF($A124="","",IF($AK124="",1,IFERROR(INDEX('Sublimits and Parts'!$C$78:$C$80,MATCH($AK124,'Sublimits and Parts'!$B$78:$B$80,0)),"?")))</f>
        <v/>
      </c>
      <c r="BX124" s="99" t="str">
        <f>IF($A124="","",IF($AL124="",1,IFERROR(INDEX('Sublimits and Parts'!$C$84:$C$87,MATCH($AL124,'Sublimits and Parts'!$B$84:$B$87,0)),"?")))</f>
        <v/>
      </c>
      <c r="BY124" s="99" t="str">
        <f>IF($A124="","",IF($AM124="",1,IFERROR(INDEX('Sublimits and Parts'!$C$91:$C$94,MATCH($AM124,'Sublimits and Parts'!$B$91:$B$94,0)),"?")))</f>
        <v/>
      </c>
      <c r="BZ124" s="99" t="str">
        <f>IF($A124="","",IF($AN124="",1,IFERROR(INDEX('Sublimits and Parts'!$C$98:$C$101,MATCH($AN124,'Sublimits and Parts'!$B$98:$B$101,0)),"?")))</f>
        <v/>
      </c>
      <c r="CA124" s="99" t="str">
        <f>IF($A124="","",IF($AO124="",1,IFERROR(INDEX('Sublimits and Parts'!$C$105:$C$109,MATCH($AO124,'Sublimits and Parts'!$B$105:$B$109,0)),"?")))</f>
        <v/>
      </c>
      <c r="CB124" s="100" t="str">
        <f t="shared" si="15"/>
        <v/>
      </c>
      <c r="CC124" s="100" t="str">
        <f t="shared" si="16"/>
        <v/>
      </c>
      <c r="CD124" s="103" t="str">
        <f>IF($A124="","",IF(OR($CB124="?",$CC124="?"),"?",MIN($CB124*$CC124,'Technical Premium'!$C$17)))</f>
        <v/>
      </c>
      <c r="CE124" s="102" t="str">
        <f t="shared" si="17"/>
        <v/>
      </c>
      <c r="CF124" s="102" t="str">
        <f>IF($A124="","",IFERROR(INDEX('Territory Factors'!$F$6:$F$56,MATCH($K124,'Territory Factors'!$B$6:$B$56,0)),"?"))</f>
        <v/>
      </c>
      <c r="CG124" s="100" t="str">
        <f>IF($A124="","",IFERROR(INDEX('Usage and Coverage'!$C$79:$C$84,MATCH($Y124,'Usage and Coverage'!$B$79:$B$84,0)),"?"))</f>
        <v/>
      </c>
      <c r="CH124" s="102" t="str">
        <f>IFERROR(IF(ISNUMBER($CD124),$CF124*$CG124*MIN($BG124*$BA124*$BC124*$BD124*$BH124*$BF124,'Technical Premium'!$C$17),""),"")</f>
        <v/>
      </c>
      <c r="CI124" s="102" t="str">
        <f t="shared" si="18"/>
        <v/>
      </c>
      <c r="CJ124" s="102" t="str">
        <f>IFERROR($CI124*(1+'Technical Premium'!$C$5)*(1+'Technical Premium'!$C$6),"")</f>
        <v/>
      </c>
      <c r="CK124" s="102" t="str">
        <f>IFERROR($CE124*INDEX('Territory Factors'!$G$6:$G$56,MATCH($K124,'Territory Factors'!$B$6:$B$56,0))*$AU124*$AV124,"")</f>
        <v/>
      </c>
      <c r="CL124" s="102" t="str">
        <f>IFERROR(($CJ124+$CK124)*(1+'Technical Premium'!$C$7),"")</f>
        <v/>
      </c>
      <c r="CM124" s="104" t="str">
        <f>IFERROR($CL124/'Technical Premium'!$C$13,"")</f>
        <v/>
      </c>
      <c r="CN124" s="105" t="str">
        <f t="shared" si="19"/>
        <v/>
      </c>
      <c r="CO124" s="104" t="str">
        <f t="shared" si="20"/>
        <v/>
      </c>
      <c r="CP124" s="105" t="str">
        <f t="shared" si="21"/>
        <v/>
      </c>
      <c r="CQ124" s="106" t="str">
        <f t="shared" si="22"/>
        <v/>
      </c>
      <c r="CR124" s="102" t="str">
        <f>IF(ISNUMBER($CM124),'Technical Premium'!$C$14+IF($J124&gt;=1000000,'Technical Premium'!$C$15,0),"")</f>
        <v/>
      </c>
      <c r="CS124" s="102" t="str">
        <f>IFERROR(($CO124+$CR124)*(INDEX('Territory Factors'!$K$6:$K$56,MATCH($K124,'Territory Factors'!$B$6:$B$56,0))+'Commission Structure'!$C$21),"")</f>
        <v/>
      </c>
      <c r="CT124" s="104" t="str">
        <f t="shared" si="23"/>
        <v/>
      </c>
      <c r="CU124" s="102" t="str">
        <f>IFERROR($CO124*('Commission Structure'!$C$6+'Commission Structure'!$C$7),"")</f>
        <v/>
      </c>
      <c r="CV124" s="102" t="str">
        <f>IFERROR($CO124*'Commission Structure'!$C$5-$CU124,"")</f>
        <v/>
      </c>
      <c r="CW124" s="102" t="str">
        <f>IFERROR($CO124*(1-'Commission Structure'!$C$5),"")</f>
        <v/>
      </c>
      <c r="CX124" s="107"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8" t="str">
        <f t="shared" si="24"/>
        <v/>
      </c>
      <c r="CZ124" s="99" t="str">
        <f>IF($CY124="","",IF($CY124&lt;'Technical Premium'!$C$19,"BEYOND AUTHORITY",IF($CY124&gt;0.005,"Above technical",IF($CY124&lt;-0.005,"BELOW technical","At technical"))))</f>
        <v/>
      </c>
      <c r="DA124" s="99"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4"/>
      <c r="DC124" s="94"/>
      <c r="DD124" s="95"/>
      <c r="DE124" s="94"/>
      <c r="DF124" s="94"/>
      <c r="DG124" s="99" t="str">
        <f t="shared" si="25"/>
        <v/>
      </c>
      <c r="DH124" s="99" t="str">
        <f>IF($A124="","",IF(OR($CX124="REFER",$CX124="DECLINE"),COUNTIF($CX$5:$CX124,"REFER")+COUNTIF($CX$5:$CX124,"DECLINE"),""))</f>
        <v/>
      </c>
      <c r="DI124" s="94"/>
    </row>
    <row r="125" spans="1:113" x14ac:dyDescent="0.35">
      <c r="A125" s="94"/>
      <c r="B125" s="94"/>
      <c r="C125" s="95"/>
      <c r="D125" s="95"/>
      <c r="E125" s="96"/>
      <c r="F125" s="94"/>
      <c r="G125" s="94"/>
      <c r="H125" s="94"/>
      <c r="I125" s="94"/>
      <c r="J125" s="97"/>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8"/>
      <c r="AR125" s="99" t="str">
        <f t="shared" si="13"/>
        <v/>
      </c>
      <c r="AS125" s="99" t="str">
        <f>IF($A125="","",IF($AP125&lt;&gt;"",$AP125,IFERROR(INDEX('Cat Zone by ZIP'!$D$6:$D$856,MATCH($AR125,'Cat Zone by ZIP'!$B$6:$B$856,0)),IFERROR(INDEX('Cat Zone by ZIP'!$C$860:$C$910,MATCH($K125,'Cat Zone by ZIP'!$B$860:$B$910,0)),"NOT FOUND"))))</f>
        <v/>
      </c>
      <c r="AT125" s="99" t="str">
        <f>IF($A125="","",IF($AP125&lt;&gt;"","Override",IF(ISNUMBER(MATCH($AR125,'Cat Zone by ZIP'!$B$6:$B$856,0)),"ZIP-3","State default")))</f>
        <v/>
      </c>
      <c r="AU125" s="100" t="str">
        <f>IF($A125="","",IFERROR(INDEX('Natural Catastrophe'!$D$6:$D$17,MATCH($AS125,'Natural Catastrophe'!$B$6:$B$17,0)),"?"))</f>
        <v/>
      </c>
      <c r="AV125" s="100" t="str">
        <f>IF($A125="","",IFERROR(INDEX('Natural Catastrophe'!$C$21:$C$26,MATCH($AA125,'Natural Catastrophe'!$B$21:$B$26,0)),"?"))</f>
        <v/>
      </c>
      <c r="AW125" s="99" t="str">
        <f>IF($A125="","",IFERROR(INDEX('Base Rates'!$C$4:$I$4,MATCH(MAX($J125,'Technical Premium'!$C$18),'Base Rates'!$C$3:$I$3,1)),"?"))</f>
        <v/>
      </c>
      <c r="AX125" s="101" t="str">
        <f>IF($A125="","",IFERROR(INDEX('Base Rates'!$C$5:$I$16,MATCH($I125,'Base Rates'!$B$5:$B$16,0),MATCH(MAX($J125,'Technical Premium'!$C$18),'Base Rates'!$C$3:$I$3,1)),"?"))</f>
        <v/>
      </c>
      <c r="AY125" s="102" t="str">
        <f t="shared" si="14"/>
        <v/>
      </c>
      <c r="AZ125" s="99" t="str">
        <f>IF($A125="","",IFERROR(INDEX('Make Factors'!$G$5:$G$69,MATCH($F125,'Make Factors'!$B$5:$B$69,0)),"?"))</f>
        <v/>
      </c>
      <c r="BA125" s="99" t="str">
        <f>IF($A125="","",IFERROR(INDEX('Driver Factors'!$C$6:$C$15,MATCH($R125,'Driver Factors'!$B$6:$B$15,0)),"?"))</f>
        <v/>
      </c>
      <c r="BB125" s="99" t="str">
        <f>IF($A125="","",IFERROR(INDEX('Driver Factors'!$C$19:$C$24,MATCH($S125,'Driver Factors'!$B$19:$B$24,0)),"?"))</f>
        <v/>
      </c>
      <c r="BC125" s="99" t="str">
        <f>IF($A125="","",IFERROR(INDEX('Driver Factors'!$C$28:$C$36,MATCH($T125,'Driver Factors'!$B$28:$B$36,0)),"?"))</f>
        <v/>
      </c>
      <c r="BD125" s="99" t="str">
        <f>IF($A125="","",IFERROR(INDEX('Claims History'!$C$6:$C$15,MATCH($U125,'Claims History'!$B$6:$B$15,0)),"?"))</f>
        <v/>
      </c>
      <c r="BE125" s="99" t="str">
        <f>IF($A125="","",IFERROR(INDEX('Territory Factors'!$E$6:$E$56,MATCH($K125,'Territory Factors'!$B$6:$B$56,0)),"?"))</f>
        <v/>
      </c>
      <c r="BF125" s="99" t="str">
        <f>IF($A125="","",IFERROR(INDEX('City Accident Ratings'!$G$6:$G$54,MATCH($Z125,'City Accident Ratings'!$B$6:$B$54,0)),"?"))</f>
        <v/>
      </c>
      <c r="BG125" s="99" t="str">
        <f>IF($A125="","",IFERROR(INDEX('Usage and Coverage'!$D$6:$D$20,MATCH($N125,'Usage and Coverage'!$C$6:$C$20,0)),"?"))</f>
        <v/>
      </c>
      <c r="BH125" s="99" t="str">
        <f>IF($A125="","",IFERROR(INDEX('Usage and Coverage'!$C$24:$C$30,MATCH($O125,'Usage and Coverage'!$B$24:$B$30,0)),"?"))</f>
        <v/>
      </c>
      <c r="BI125" s="99" t="str">
        <f>IF($A125="","",IFERROR(INDEX('Usage and Coverage'!$C$34:$C$40,MATCH($P125,'Usage and Coverage'!$B$34:$B$40,0)),"?"))</f>
        <v/>
      </c>
      <c r="BJ125" s="99" t="str">
        <f>IF($A125="","",IFERROR(INDEX('Usage and Coverage'!$C$44:$C$49,MATCH($Q125,'Usage and Coverage'!$B$44:$B$49,0)),"?"))</f>
        <v/>
      </c>
      <c r="BK125" s="99" t="str">
        <f>IF($A125="","",IFERROR(INDEX(Deductibles!$C$6:$I$15,MATCH($W125,Deductibles!$B$6:$B$15,0),MATCH(MAX($J125,'Technical Premium'!$C$18),'Base Rates'!$C$3:$I$3,1)),"?"))</f>
        <v/>
      </c>
      <c r="BL125" s="99" t="str">
        <f>IF($A125="","",IFERROR(INDEX('Usage and Coverage'!$C$63:$C$66,MATCH($X125,'Usage and Coverage'!$B$63:$B$66,0)),"?"))</f>
        <v/>
      </c>
      <c r="BM125" s="99" t="str">
        <f>IF($A125="","",IFERROR(INDEX('Usage and Coverage'!$C$70:$C$75,MATCH($V125,'Usage and Coverage'!$B$70:$B$75,0)),"?"))</f>
        <v/>
      </c>
      <c r="BN125" s="99" t="str">
        <f>IF($A125="","",IF($AB125="",1,IFERROR(INDEX(Deductibles!$C$48:$C$51,MATCH($AB125,Deductibles!$B$48:$B$51,0)),"?")))</f>
        <v/>
      </c>
      <c r="BO125" s="99" t="str">
        <f>IF($A125="","",IF($AC125="",1,IFERROR(INDEX(Deductibles!$C$55:$C$57,MATCH($AC125,Deductibles!$B$55:$B$57,0)),"?")))</f>
        <v/>
      </c>
      <c r="BP125" s="99" t="str">
        <f>IF($A125="","",IF($AD125="",1,IFERROR(INDEX(Deductibles!$C$61:$C$63,MATCH($AD125,Deductibles!$B$61:$B$63,0)),"?")))</f>
        <v/>
      </c>
      <c r="BQ125" s="99" t="str">
        <f>IF($A125="","",IF($AE125="",1,IFERROR(INDEX(Deductibles!$C$67:$C$69,MATCH($AE125,Deductibles!$B$67:$B$69,0)),"?")))</f>
        <v/>
      </c>
      <c r="BR125" s="99" t="str">
        <f>IF($A125="","",IF($AF125="",1,IFERROR(INDEX(Deductibles!$C$73:$C$74,MATCH($AF125,Deductibles!$B$73:$B$74,0)),"?")))</f>
        <v/>
      </c>
      <c r="BS125" s="99" t="str">
        <f>IF($A125="","",IF($AG125="",1,IFERROR(INDEX('Sublimits and Parts'!$C$49:$C$52,MATCH($AG125,'Sublimits and Parts'!$B$49:$B$52,0)),"?")))</f>
        <v/>
      </c>
      <c r="BT125" s="99" t="str">
        <f>IF($A125="","",IF($AH125="",1,IFERROR(INDEX('Sublimits and Parts'!$C$56:$C$60,MATCH($AH125,'Sublimits and Parts'!$B$56:$B$60,0)),"?")))</f>
        <v/>
      </c>
      <c r="BU125" s="99" t="str">
        <f>IF($A125="","",IF($AI125="",1,IFERROR(INDEX('Sublimits and Parts'!$C$64:$C$67,MATCH($AI125,'Sublimits and Parts'!$B$64:$B$67,0)),"?")))</f>
        <v/>
      </c>
      <c r="BV125" s="99" t="str">
        <f>IF($A125="","",IF($AJ125="",1,IFERROR(INDEX('Sublimits and Parts'!$C$71:$C$74,MATCH($AJ125,'Sublimits and Parts'!$B$71:$B$74,0)),"?")))</f>
        <v/>
      </c>
      <c r="BW125" s="99" t="str">
        <f>IF($A125="","",IF($AK125="",1,IFERROR(INDEX('Sublimits and Parts'!$C$78:$C$80,MATCH($AK125,'Sublimits and Parts'!$B$78:$B$80,0)),"?")))</f>
        <v/>
      </c>
      <c r="BX125" s="99" t="str">
        <f>IF($A125="","",IF($AL125="",1,IFERROR(INDEX('Sublimits and Parts'!$C$84:$C$87,MATCH($AL125,'Sublimits and Parts'!$B$84:$B$87,0)),"?")))</f>
        <v/>
      </c>
      <c r="BY125" s="99" t="str">
        <f>IF($A125="","",IF($AM125="",1,IFERROR(INDEX('Sublimits and Parts'!$C$91:$C$94,MATCH($AM125,'Sublimits and Parts'!$B$91:$B$94,0)),"?")))</f>
        <v/>
      </c>
      <c r="BZ125" s="99" t="str">
        <f>IF($A125="","",IF($AN125="",1,IFERROR(INDEX('Sublimits and Parts'!$C$98:$C$101,MATCH($AN125,'Sublimits and Parts'!$B$98:$B$101,0)),"?")))</f>
        <v/>
      </c>
      <c r="CA125" s="99" t="str">
        <f>IF($A125="","",IF($AO125="",1,IFERROR(INDEX('Sublimits and Parts'!$C$105:$C$109,MATCH($AO125,'Sublimits and Parts'!$B$105:$B$109,0)),"?")))</f>
        <v/>
      </c>
      <c r="CB125" s="100" t="str">
        <f t="shared" si="15"/>
        <v/>
      </c>
      <c r="CC125" s="100" t="str">
        <f t="shared" si="16"/>
        <v/>
      </c>
      <c r="CD125" s="103" t="str">
        <f>IF($A125="","",IF(OR($CB125="?",$CC125="?"),"?",MIN($CB125*$CC125,'Technical Premium'!$C$17)))</f>
        <v/>
      </c>
      <c r="CE125" s="102" t="str">
        <f t="shared" si="17"/>
        <v/>
      </c>
      <c r="CF125" s="102" t="str">
        <f>IF($A125="","",IFERROR(INDEX('Territory Factors'!$F$6:$F$56,MATCH($K125,'Territory Factors'!$B$6:$B$56,0)),"?"))</f>
        <v/>
      </c>
      <c r="CG125" s="100" t="str">
        <f>IF($A125="","",IFERROR(INDEX('Usage and Coverage'!$C$79:$C$84,MATCH($Y125,'Usage and Coverage'!$B$79:$B$84,0)),"?"))</f>
        <v/>
      </c>
      <c r="CH125" s="102" t="str">
        <f>IFERROR(IF(ISNUMBER($CD125),$CF125*$CG125*MIN($BG125*$BA125*$BC125*$BD125*$BH125*$BF125,'Technical Premium'!$C$17),""),"")</f>
        <v/>
      </c>
      <c r="CI125" s="102" t="str">
        <f t="shared" si="18"/>
        <v/>
      </c>
      <c r="CJ125" s="102" t="str">
        <f>IFERROR($CI125*(1+'Technical Premium'!$C$5)*(1+'Technical Premium'!$C$6),"")</f>
        <v/>
      </c>
      <c r="CK125" s="102" t="str">
        <f>IFERROR($CE125*INDEX('Territory Factors'!$G$6:$G$56,MATCH($K125,'Territory Factors'!$B$6:$B$56,0))*$AU125*$AV125,"")</f>
        <v/>
      </c>
      <c r="CL125" s="102" t="str">
        <f>IFERROR(($CJ125+$CK125)*(1+'Technical Premium'!$C$7),"")</f>
        <v/>
      </c>
      <c r="CM125" s="104" t="str">
        <f>IFERROR($CL125/'Technical Premium'!$C$13,"")</f>
        <v/>
      </c>
      <c r="CN125" s="105" t="str">
        <f t="shared" si="19"/>
        <v/>
      </c>
      <c r="CO125" s="104" t="str">
        <f t="shared" si="20"/>
        <v/>
      </c>
      <c r="CP125" s="105" t="str">
        <f t="shared" si="21"/>
        <v/>
      </c>
      <c r="CQ125" s="106" t="str">
        <f t="shared" si="22"/>
        <v/>
      </c>
      <c r="CR125" s="102" t="str">
        <f>IF(ISNUMBER($CM125),'Technical Premium'!$C$14+IF($J125&gt;=1000000,'Technical Premium'!$C$15,0),"")</f>
        <v/>
      </c>
      <c r="CS125" s="102" t="str">
        <f>IFERROR(($CO125+$CR125)*(INDEX('Territory Factors'!$K$6:$K$56,MATCH($K125,'Territory Factors'!$B$6:$B$56,0))+'Commission Structure'!$C$21),"")</f>
        <v/>
      </c>
      <c r="CT125" s="104" t="str">
        <f t="shared" si="23"/>
        <v/>
      </c>
      <c r="CU125" s="102" t="str">
        <f>IFERROR($CO125*('Commission Structure'!$C$6+'Commission Structure'!$C$7),"")</f>
        <v/>
      </c>
      <c r="CV125" s="102" t="str">
        <f>IFERROR($CO125*'Commission Structure'!$C$5-$CU125,"")</f>
        <v/>
      </c>
      <c r="CW125" s="102" t="str">
        <f>IFERROR($CO125*(1-'Commission Structure'!$C$5),"")</f>
        <v/>
      </c>
      <c r="CX125" s="107"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8" t="str">
        <f t="shared" si="24"/>
        <v/>
      </c>
      <c r="CZ125" s="99" t="str">
        <f>IF($CY125="","",IF($CY125&lt;'Technical Premium'!$C$19,"BEYOND AUTHORITY",IF($CY125&gt;0.005,"Above technical",IF($CY125&lt;-0.005,"BELOW technical","At technical"))))</f>
        <v/>
      </c>
      <c r="DA125" s="99"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4"/>
      <c r="DC125" s="94"/>
      <c r="DD125" s="95"/>
      <c r="DE125" s="94"/>
      <c r="DF125" s="94"/>
      <c r="DG125" s="99" t="str">
        <f t="shared" si="25"/>
        <v/>
      </c>
      <c r="DH125" s="99" t="str">
        <f>IF($A125="","",IF(OR($CX125="REFER",$CX125="DECLINE"),COUNTIF($CX$5:$CX125,"REFER")+COUNTIF($CX$5:$CX125,"DECLINE"),""))</f>
        <v/>
      </c>
      <c r="DI125" s="94"/>
    </row>
    <row r="126" spans="1:113" x14ac:dyDescent="0.35">
      <c r="A126" s="94"/>
      <c r="B126" s="94"/>
      <c r="C126" s="95"/>
      <c r="D126" s="95"/>
      <c r="E126" s="96"/>
      <c r="F126" s="94"/>
      <c r="G126" s="94"/>
      <c r="H126" s="94"/>
      <c r="I126" s="94"/>
      <c r="J126" s="97"/>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8"/>
      <c r="AR126" s="99" t="str">
        <f t="shared" si="13"/>
        <v/>
      </c>
      <c r="AS126" s="99" t="str">
        <f>IF($A126="","",IF($AP126&lt;&gt;"",$AP126,IFERROR(INDEX('Cat Zone by ZIP'!$D$6:$D$856,MATCH($AR126,'Cat Zone by ZIP'!$B$6:$B$856,0)),IFERROR(INDEX('Cat Zone by ZIP'!$C$860:$C$910,MATCH($K126,'Cat Zone by ZIP'!$B$860:$B$910,0)),"NOT FOUND"))))</f>
        <v/>
      </c>
      <c r="AT126" s="99" t="str">
        <f>IF($A126="","",IF($AP126&lt;&gt;"","Override",IF(ISNUMBER(MATCH($AR126,'Cat Zone by ZIP'!$B$6:$B$856,0)),"ZIP-3","State default")))</f>
        <v/>
      </c>
      <c r="AU126" s="100" t="str">
        <f>IF($A126="","",IFERROR(INDEX('Natural Catastrophe'!$D$6:$D$17,MATCH($AS126,'Natural Catastrophe'!$B$6:$B$17,0)),"?"))</f>
        <v/>
      </c>
      <c r="AV126" s="100" t="str">
        <f>IF($A126="","",IFERROR(INDEX('Natural Catastrophe'!$C$21:$C$26,MATCH($AA126,'Natural Catastrophe'!$B$21:$B$26,0)),"?"))</f>
        <v/>
      </c>
      <c r="AW126" s="99" t="str">
        <f>IF($A126="","",IFERROR(INDEX('Base Rates'!$C$4:$I$4,MATCH(MAX($J126,'Technical Premium'!$C$18),'Base Rates'!$C$3:$I$3,1)),"?"))</f>
        <v/>
      </c>
      <c r="AX126" s="101" t="str">
        <f>IF($A126="","",IFERROR(INDEX('Base Rates'!$C$5:$I$16,MATCH($I126,'Base Rates'!$B$5:$B$16,0),MATCH(MAX($J126,'Technical Premium'!$C$18),'Base Rates'!$C$3:$I$3,1)),"?"))</f>
        <v/>
      </c>
      <c r="AY126" s="102" t="str">
        <f t="shared" si="14"/>
        <v/>
      </c>
      <c r="AZ126" s="99" t="str">
        <f>IF($A126="","",IFERROR(INDEX('Make Factors'!$G$5:$G$69,MATCH($F126,'Make Factors'!$B$5:$B$69,0)),"?"))</f>
        <v/>
      </c>
      <c r="BA126" s="99" t="str">
        <f>IF($A126="","",IFERROR(INDEX('Driver Factors'!$C$6:$C$15,MATCH($R126,'Driver Factors'!$B$6:$B$15,0)),"?"))</f>
        <v/>
      </c>
      <c r="BB126" s="99" t="str">
        <f>IF($A126="","",IFERROR(INDEX('Driver Factors'!$C$19:$C$24,MATCH($S126,'Driver Factors'!$B$19:$B$24,0)),"?"))</f>
        <v/>
      </c>
      <c r="BC126" s="99" t="str">
        <f>IF($A126="","",IFERROR(INDEX('Driver Factors'!$C$28:$C$36,MATCH($T126,'Driver Factors'!$B$28:$B$36,0)),"?"))</f>
        <v/>
      </c>
      <c r="BD126" s="99" t="str">
        <f>IF($A126="","",IFERROR(INDEX('Claims History'!$C$6:$C$15,MATCH($U126,'Claims History'!$B$6:$B$15,0)),"?"))</f>
        <v/>
      </c>
      <c r="BE126" s="99" t="str">
        <f>IF($A126="","",IFERROR(INDEX('Territory Factors'!$E$6:$E$56,MATCH($K126,'Territory Factors'!$B$6:$B$56,0)),"?"))</f>
        <v/>
      </c>
      <c r="BF126" s="99" t="str">
        <f>IF($A126="","",IFERROR(INDEX('City Accident Ratings'!$G$6:$G$54,MATCH($Z126,'City Accident Ratings'!$B$6:$B$54,0)),"?"))</f>
        <v/>
      </c>
      <c r="BG126" s="99" t="str">
        <f>IF($A126="","",IFERROR(INDEX('Usage and Coverage'!$D$6:$D$20,MATCH($N126,'Usage and Coverage'!$C$6:$C$20,0)),"?"))</f>
        <v/>
      </c>
      <c r="BH126" s="99" t="str">
        <f>IF($A126="","",IFERROR(INDEX('Usage and Coverage'!$C$24:$C$30,MATCH($O126,'Usage and Coverage'!$B$24:$B$30,0)),"?"))</f>
        <v/>
      </c>
      <c r="BI126" s="99" t="str">
        <f>IF($A126="","",IFERROR(INDEX('Usage and Coverage'!$C$34:$C$40,MATCH($P126,'Usage and Coverage'!$B$34:$B$40,0)),"?"))</f>
        <v/>
      </c>
      <c r="BJ126" s="99" t="str">
        <f>IF($A126="","",IFERROR(INDEX('Usage and Coverage'!$C$44:$C$49,MATCH($Q126,'Usage and Coverage'!$B$44:$B$49,0)),"?"))</f>
        <v/>
      </c>
      <c r="BK126" s="99" t="str">
        <f>IF($A126="","",IFERROR(INDEX(Deductibles!$C$6:$I$15,MATCH($W126,Deductibles!$B$6:$B$15,0),MATCH(MAX($J126,'Technical Premium'!$C$18),'Base Rates'!$C$3:$I$3,1)),"?"))</f>
        <v/>
      </c>
      <c r="BL126" s="99" t="str">
        <f>IF($A126="","",IFERROR(INDEX('Usage and Coverage'!$C$63:$C$66,MATCH($X126,'Usage and Coverage'!$B$63:$B$66,0)),"?"))</f>
        <v/>
      </c>
      <c r="BM126" s="99" t="str">
        <f>IF($A126="","",IFERROR(INDEX('Usage and Coverage'!$C$70:$C$75,MATCH($V126,'Usage and Coverage'!$B$70:$B$75,0)),"?"))</f>
        <v/>
      </c>
      <c r="BN126" s="99" t="str">
        <f>IF($A126="","",IF($AB126="",1,IFERROR(INDEX(Deductibles!$C$48:$C$51,MATCH($AB126,Deductibles!$B$48:$B$51,0)),"?")))</f>
        <v/>
      </c>
      <c r="BO126" s="99" t="str">
        <f>IF($A126="","",IF($AC126="",1,IFERROR(INDEX(Deductibles!$C$55:$C$57,MATCH($AC126,Deductibles!$B$55:$B$57,0)),"?")))</f>
        <v/>
      </c>
      <c r="BP126" s="99" t="str">
        <f>IF($A126="","",IF($AD126="",1,IFERROR(INDEX(Deductibles!$C$61:$C$63,MATCH($AD126,Deductibles!$B$61:$B$63,0)),"?")))</f>
        <v/>
      </c>
      <c r="BQ126" s="99" t="str">
        <f>IF($A126="","",IF($AE126="",1,IFERROR(INDEX(Deductibles!$C$67:$C$69,MATCH($AE126,Deductibles!$B$67:$B$69,0)),"?")))</f>
        <v/>
      </c>
      <c r="BR126" s="99" t="str">
        <f>IF($A126="","",IF($AF126="",1,IFERROR(INDEX(Deductibles!$C$73:$C$74,MATCH($AF126,Deductibles!$B$73:$B$74,0)),"?")))</f>
        <v/>
      </c>
      <c r="BS126" s="99" t="str">
        <f>IF($A126="","",IF($AG126="",1,IFERROR(INDEX('Sublimits and Parts'!$C$49:$C$52,MATCH($AG126,'Sublimits and Parts'!$B$49:$B$52,0)),"?")))</f>
        <v/>
      </c>
      <c r="BT126" s="99" t="str">
        <f>IF($A126="","",IF($AH126="",1,IFERROR(INDEX('Sublimits and Parts'!$C$56:$C$60,MATCH($AH126,'Sublimits and Parts'!$B$56:$B$60,0)),"?")))</f>
        <v/>
      </c>
      <c r="BU126" s="99" t="str">
        <f>IF($A126="","",IF($AI126="",1,IFERROR(INDEX('Sublimits and Parts'!$C$64:$C$67,MATCH($AI126,'Sublimits and Parts'!$B$64:$B$67,0)),"?")))</f>
        <v/>
      </c>
      <c r="BV126" s="99" t="str">
        <f>IF($A126="","",IF($AJ126="",1,IFERROR(INDEX('Sublimits and Parts'!$C$71:$C$74,MATCH($AJ126,'Sublimits and Parts'!$B$71:$B$74,0)),"?")))</f>
        <v/>
      </c>
      <c r="BW126" s="99" t="str">
        <f>IF($A126="","",IF($AK126="",1,IFERROR(INDEX('Sublimits and Parts'!$C$78:$C$80,MATCH($AK126,'Sublimits and Parts'!$B$78:$B$80,0)),"?")))</f>
        <v/>
      </c>
      <c r="BX126" s="99" t="str">
        <f>IF($A126="","",IF($AL126="",1,IFERROR(INDEX('Sublimits and Parts'!$C$84:$C$87,MATCH($AL126,'Sublimits and Parts'!$B$84:$B$87,0)),"?")))</f>
        <v/>
      </c>
      <c r="BY126" s="99" t="str">
        <f>IF($A126="","",IF($AM126="",1,IFERROR(INDEX('Sublimits and Parts'!$C$91:$C$94,MATCH($AM126,'Sublimits and Parts'!$B$91:$B$94,0)),"?")))</f>
        <v/>
      </c>
      <c r="BZ126" s="99" t="str">
        <f>IF($A126="","",IF($AN126="",1,IFERROR(INDEX('Sublimits and Parts'!$C$98:$C$101,MATCH($AN126,'Sublimits and Parts'!$B$98:$B$101,0)),"?")))</f>
        <v/>
      </c>
      <c r="CA126" s="99" t="str">
        <f>IF($A126="","",IF($AO126="",1,IFERROR(INDEX('Sublimits and Parts'!$C$105:$C$109,MATCH($AO126,'Sublimits and Parts'!$B$105:$B$109,0)),"?")))</f>
        <v/>
      </c>
      <c r="CB126" s="100" t="str">
        <f t="shared" si="15"/>
        <v/>
      </c>
      <c r="CC126" s="100" t="str">
        <f t="shared" si="16"/>
        <v/>
      </c>
      <c r="CD126" s="103" t="str">
        <f>IF($A126="","",IF(OR($CB126="?",$CC126="?"),"?",MIN($CB126*$CC126,'Technical Premium'!$C$17)))</f>
        <v/>
      </c>
      <c r="CE126" s="102" t="str">
        <f t="shared" si="17"/>
        <v/>
      </c>
      <c r="CF126" s="102" t="str">
        <f>IF($A126="","",IFERROR(INDEX('Territory Factors'!$F$6:$F$56,MATCH($K126,'Territory Factors'!$B$6:$B$56,0)),"?"))</f>
        <v/>
      </c>
      <c r="CG126" s="100" t="str">
        <f>IF($A126="","",IFERROR(INDEX('Usage and Coverage'!$C$79:$C$84,MATCH($Y126,'Usage and Coverage'!$B$79:$B$84,0)),"?"))</f>
        <v/>
      </c>
      <c r="CH126" s="102" t="str">
        <f>IFERROR(IF(ISNUMBER($CD126),$CF126*$CG126*MIN($BG126*$BA126*$BC126*$BD126*$BH126*$BF126,'Technical Premium'!$C$17),""),"")</f>
        <v/>
      </c>
      <c r="CI126" s="102" t="str">
        <f t="shared" si="18"/>
        <v/>
      </c>
      <c r="CJ126" s="102" t="str">
        <f>IFERROR($CI126*(1+'Technical Premium'!$C$5)*(1+'Technical Premium'!$C$6),"")</f>
        <v/>
      </c>
      <c r="CK126" s="102" t="str">
        <f>IFERROR($CE126*INDEX('Territory Factors'!$G$6:$G$56,MATCH($K126,'Territory Factors'!$B$6:$B$56,0))*$AU126*$AV126,"")</f>
        <v/>
      </c>
      <c r="CL126" s="102" t="str">
        <f>IFERROR(($CJ126+$CK126)*(1+'Technical Premium'!$C$7),"")</f>
        <v/>
      </c>
      <c r="CM126" s="104" t="str">
        <f>IFERROR($CL126/'Technical Premium'!$C$13,"")</f>
        <v/>
      </c>
      <c r="CN126" s="105" t="str">
        <f t="shared" si="19"/>
        <v/>
      </c>
      <c r="CO126" s="104" t="str">
        <f t="shared" si="20"/>
        <v/>
      </c>
      <c r="CP126" s="105" t="str">
        <f t="shared" si="21"/>
        <v/>
      </c>
      <c r="CQ126" s="106" t="str">
        <f t="shared" si="22"/>
        <v/>
      </c>
      <c r="CR126" s="102" t="str">
        <f>IF(ISNUMBER($CM126),'Technical Premium'!$C$14+IF($J126&gt;=1000000,'Technical Premium'!$C$15,0),"")</f>
        <v/>
      </c>
      <c r="CS126" s="102" t="str">
        <f>IFERROR(($CO126+$CR126)*(INDEX('Territory Factors'!$K$6:$K$56,MATCH($K126,'Territory Factors'!$B$6:$B$56,0))+'Commission Structure'!$C$21),"")</f>
        <v/>
      </c>
      <c r="CT126" s="104" t="str">
        <f t="shared" si="23"/>
        <v/>
      </c>
      <c r="CU126" s="102" t="str">
        <f>IFERROR($CO126*('Commission Structure'!$C$6+'Commission Structure'!$C$7),"")</f>
        <v/>
      </c>
      <c r="CV126" s="102" t="str">
        <f>IFERROR($CO126*'Commission Structure'!$C$5-$CU126,"")</f>
        <v/>
      </c>
      <c r="CW126" s="102" t="str">
        <f>IFERROR($CO126*(1-'Commission Structure'!$C$5),"")</f>
        <v/>
      </c>
      <c r="CX126" s="107"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8" t="str">
        <f t="shared" si="24"/>
        <v/>
      </c>
      <c r="CZ126" s="99" t="str">
        <f>IF($CY126="","",IF($CY126&lt;'Technical Premium'!$C$19,"BEYOND AUTHORITY",IF($CY126&gt;0.005,"Above technical",IF($CY126&lt;-0.005,"BELOW technical","At technical"))))</f>
        <v/>
      </c>
      <c r="DA126" s="99"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4"/>
      <c r="DC126" s="94"/>
      <c r="DD126" s="95"/>
      <c r="DE126" s="94"/>
      <c r="DF126" s="94"/>
      <c r="DG126" s="99" t="str">
        <f t="shared" si="25"/>
        <v/>
      </c>
      <c r="DH126" s="99" t="str">
        <f>IF($A126="","",IF(OR($CX126="REFER",$CX126="DECLINE"),COUNTIF($CX$5:$CX126,"REFER")+COUNTIF($CX$5:$CX126,"DECLINE"),""))</f>
        <v/>
      </c>
      <c r="DI126" s="94"/>
    </row>
    <row r="127" spans="1:113" x14ac:dyDescent="0.35">
      <c r="A127" s="94"/>
      <c r="B127" s="94"/>
      <c r="C127" s="95"/>
      <c r="D127" s="95"/>
      <c r="E127" s="96"/>
      <c r="F127" s="94"/>
      <c r="G127" s="94"/>
      <c r="H127" s="94"/>
      <c r="I127" s="94"/>
      <c r="J127" s="97"/>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8"/>
      <c r="AR127" s="99" t="str">
        <f t="shared" si="13"/>
        <v/>
      </c>
      <c r="AS127" s="99" t="str">
        <f>IF($A127="","",IF($AP127&lt;&gt;"",$AP127,IFERROR(INDEX('Cat Zone by ZIP'!$D$6:$D$856,MATCH($AR127,'Cat Zone by ZIP'!$B$6:$B$856,0)),IFERROR(INDEX('Cat Zone by ZIP'!$C$860:$C$910,MATCH($K127,'Cat Zone by ZIP'!$B$860:$B$910,0)),"NOT FOUND"))))</f>
        <v/>
      </c>
      <c r="AT127" s="99" t="str">
        <f>IF($A127="","",IF($AP127&lt;&gt;"","Override",IF(ISNUMBER(MATCH($AR127,'Cat Zone by ZIP'!$B$6:$B$856,0)),"ZIP-3","State default")))</f>
        <v/>
      </c>
      <c r="AU127" s="100" t="str">
        <f>IF($A127="","",IFERROR(INDEX('Natural Catastrophe'!$D$6:$D$17,MATCH($AS127,'Natural Catastrophe'!$B$6:$B$17,0)),"?"))</f>
        <v/>
      </c>
      <c r="AV127" s="100" t="str">
        <f>IF($A127="","",IFERROR(INDEX('Natural Catastrophe'!$C$21:$C$26,MATCH($AA127,'Natural Catastrophe'!$B$21:$B$26,0)),"?"))</f>
        <v/>
      </c>
      <c r="AW127" s="99" t="str">
        <f>IF($A127="","",IFERROR(INDEX('Base Rates'!$C$4:$I$4,MATCH(MAX($J127,'Technical Premium'!$C$18),'Base Rates'!$C$3:$I$3,1)),"?"))</f>
        <v/>
      </c>
      <c r="AX127" s="101" t="str">
        <f>IF($A127="","",IFERROR(INDEX('Base Rates'!$C$5:$I$16,MATCH($I127,'Base Rates'!$B$5:$B$16,0),MATCH(MAX($J127,'Technical Premium'!$C$18),'Base Rates'!$C$3:$I$3,1)),"?"))</f>
        <v/>
      </c>
      <c r="AY127" s="102" t="str">
        <f t="shared" si="14"/>
        <v/>
      </c>
      <c r="AZ127" s="99" t="str">
        <f>IF($A127="","",IFERROR(INDEX('Make Factors'!$G$5:$G$69,MATCH($F127,'Make Factors'!$B$5:$B$69,0)),"?"))</f>
        <v/>
      </c>
      <c r="BA127" s="99" t="str">
        <f>IF($A127="","",IFERROR(INDEX('Driver Factors'!$C$6:$C$15,MATCH($R127,'Driver Factors'!$B$6:$B$15,0)),"?"))</f>
        <v/>
      </c>
      <c r="BB127" s="99" t="str">
        <f>IF($A127="","",IFERROR(INDEX('Driver Factors'!$C$19:$C$24,MATCH($S127,'Driver Factors'!$B$19:$B$24,0)),"?"))</f>
        <v/>
      </c>
      <c r="BC127" s="99" t="str">
        <f>IF($A127="","",IFERROR(INDEX('Driver Factors'!$C$28:$C$36,MATCH($T127,'Driver Factors'!$B$28:$B$36,0)),"?"))</f>
        <v/>
      </c>
      <c r="BD127" s="99" t="str">
        <f>IF($A127="","",IFERROR(INDEX('Claims History'!$C$6:$C$15,MATCH($U127,'Claims History'!$B$6:$B$15,0)),"?"))</f>
        <v/>
      </c>
      <c r="BE127" s="99" t="str">
        <f>IF($A127="","",IFERROR(INDEX('Territory Factors'!$E$6:$E$56,MATCH($K127,'Territory Factors'!$B$6:$B$56,0)),"?"))</f>
        <v/>
      </c>
      <c r="BF127" s="99" t="str">
        <f>IF($A127="","",IFERROR(INDEX('City Accident Ratings'!$G$6:$G$54,MATCH($Z127,'City Accident Ratings'!$B$6:$B$54,0)),"?"))</f>
        <v/>
      </c>
      <c r="BG127" s="99" t="str">
        <f>IF($A127="","",IFERROR(INDEX('Usage and Coverage'!$D$6:$D$20,MATCH($N127,'Usage and Coverage'!$C$6:$C$20,0)),"?"))</f>
        <v/>
      </c>
      <c r="BH127" s="99" t="str">
        <f>IF($A127="","",IFERROR(INDEX('Usage and Coverage'!$C$24:$C$30,MATCH($O127,'Usage and Coverage'!$B$24:$B$30,0)),"?"))</f>
        <v/>
      </c>
      <c r="BI127" s="99" t="str">
        <f>IF($A127="","",IFERROR(INDEX('Usage and Coverage'!$C$34:$C$40,MATCH($P127,'Usage and Coverage'!$B$34:$B$40,0)),"?"))</f>
        <v/>
      </c>
      <c r="BJ127" s="99" t="str">
        <f>IF($A127="","",IFERROR(INDEX('Usage and Coverage'!$C$44:$C$49,MATCH($Q127,'Usage and Coverage'!$B$44:$B$49,0)),"?"))</f>
        <v/>
      </c>
      <c r="BK127" s="99" t="str">
        <f>IF($A127="","",IFERROR(INDEX(Deductibles!$C$6:$I$15,MATCH($W127,Deductibles!$B$6:$B$15,0),MATCH(MAX($J127,'Technical Premium'!$C$18),'Base Rates'!$C$3:$I$3,1)),"?"))</f>
        <v/>
      </c>
      <c r="BL127" s="99" t="str">
        <f>IF($A127="","",IFERROR(INDEX('Usage and Coverage'!$C$63:$C$66,MATCH($X127,'Usage and Coverage'!$B$63:$B$66,0)),"?"))</f>
        <v/>
      </c>
      <c r="BM127" s="99" t="str">
        <f>IF($A127="","",IFERROR(INDEX('Usage and Coverage'!$C$70:$C$75,MATCH($V127,'Usage and Coverage'!$B$70:$B$75,0)),"?"))</f>
        <v/>
      </c>
      <c r="BN127" s="99" t="str">
        <f>IF($A127="","",IF($AB127="",1,IFERROR(INDEX(Deductibles!$C$48:$C$51,MATCH($AB127,Deductibles!$B$48:$B$51,0)),"?")))</f>
        <v/>
      </c>
      <c r="BO127" s="99" t="str">
        <f>IF($A127="","",IF($AC127="",1,IFERROR(INDEX(Deductibles!$C$55:$C$57,MATCH($AC127,Deductibles!$B$55:$B$57,0)),"?")))</f>
        <v/>
      </c>
      <c r="BP127" s="99" t="str">
        <f>IF($A127="","",IF($AD127="",1,IFERROR(INDEX(Deductibles!$C$61:$C$63,MATCH($AD127,Deductibles!$B$61:$B$63,0)),"?")))</f>
        <v/>
      </c>
      <c r="BQ127" s="99" t="str">
        <f>IF($A127="","",IF($AE127="",1,IFERROR(INDEX(Deductibles!$C$67:$C$69,MATCH($AE127,Deductibles!$B$67:$B$69,0)),"?")))</f>
        <v/>
      </c>
      <c r="BR127" s="99" t="str">
        <f>IF($A127="","",IF($AF127="",1,IFERROR(INDEX(Deductibles!$C$73:$C$74,MATCH($AF127,Deductibles!$B$73:$B$74,0)),"?")))</f>
        <v/>
      </c>
      <c r="BS127" s="99" t="str">
        <f>IF($A127="","",IF($AG127="",1,IFERROR(INDEX('Sublimits and Parts'!$C$49:$C$52,MATCH($AG127,'Sublimits and Parts'!$B$49:$B$52,0)),"?")))</f>
        <v/>
      </c>
      <c r="BT127" s="99" t="str">
        <f>IF($A127="","",IF($AH127="",1,IFERROR(INDEX('Sublimits and Parts'!$C$56:$C$60,MATCH($AH127,'Sublimits and Parts'!$B$56:$B$60,0)),"?")))</f>
        <v/>
      </c>
      <c r="BU127" s="99" t="str">
        <f>IF($A127="","",IF($AI127="",1,IFERROR(INDEX('Sublimits and Parts'!$C$64:$C$67,MATCH($AI127,'Sublimits and Parts'!$B$64:$B$67,0)),"?")))</f>
        <v/>
      </c>
      <c r="BV127" s="99" t="str">
        <f>IF($A127="","",IF($AJ127="",1,IFERROR(INDEX('Sublimits and Parts'!$C$71:$C$74,MATCH($AJ127,'Sublimits and Parts'!$B$71:$B$74,0)),"?")))</f>
        <v/>
      </c>
      <c r="BW127" s="99" t="str">
        <f>IF($A127="","",IF($AK127="",1,IFERROR(INDEX('Sublimits and Parts'!$C$78:$C$80,MATCH($AK127,'Sublimits and Parts'!$B$78:$B$80,0)),"?")))</f>
        <v/>
      </c>
      <c r="BX127" s="99" t="str">
        <f>IF($A127="","",IF($AL127="",1,IFERROR(INDEX('Sublimits and Parts'!$C$84:$C$87,MATCH($AL127,'Sublimits and Parts'!$B$84:$B$87,0)),"?")))</f>
        <v/>
      </c>
      <c r="BY127" s="99" t="str">
        <f>IF($A127="","",IF($AM127="",1,IFERROR(INDEX('Sublimits and Parts'!$C$91:$C$94,MATCH($AM127,'Sublimits and Parts'!$B$91:$B$94,0)),"?")))</f>
        <v/>
      </c>
      <c r="BZ127" s="99" t="str">
        <f>IF($A127="","",IF($AN127="",1,IFERROR(INDEX('Sublimits and Parts'!$C$98:$C$101,MATCH($AN127,'Sublimits and Parts'!$B$98:$B$101,0)),"?")))</f>
        <v/>
      </c>
      <c r="CA127" s="99" t="str">
        <f>IF($A127="","",IF($AO127="",1,IFERROR(INDEX('Sublimits and Parts'!$C$105:$C$109,MATCH($AO127,'Sublimits and Parts'!$B$105:$B$109,0)),"?")))</f>
        <v/>
      </c>
      <c r="CB127" s="100" t="str">
        <f t="shared" si="15"/>
        <v/>
      </c>
      <c r="CC127" s="100" t="str">
        <f t="shared" si="16"/>
        <v/>
      </c>
      <c r="CD127" s="103" t="str">
        <f>IF($A127="","",IF(OR($CB127="?",$CC127="?"),"?",MIN($CB127*$CC127,'Technical Premium'!$C$17)))</f>
        <v/>
      </c>
      <c r="CE127" s="102" t="str">
        <f t="shared" si="17"/>
        <v/>
      </c>
      <c r="CF127" s="102" t="str">
        <f>IF($A127="","",IFERROR(INDEX('Territory Factors'!$F$6:$F$56,MATCH($K127,'Territory Factors'!$B$6:$B$56,0)),"?"))</f>
        <v/>
      </c>
      <c r="CG127" s="100" t="str">
        <f>IF($A127="","",IFERROR(INDEX('Usage and Coverage'!$C$79:$C$84,MATCH($Y127,'Usage and Coverage'!$B$79:$B$84,0)),"?"))</f>
        <v/>
      </c>
      <c r="CH127" s="102" t="str">
        <f>IFERROR(IF(ISNUMBER($CD127),$CF127*$CG127*MIN($BG127*$BA127*$BC127*$BD127*$BH127*$BF127,'Technical Premium'!$C$17),""),"")</f>
        <v/>
      </c>
      <c r="CI127" s="102" t="str">
        <f t="shared" si="18"/>
        <v/>
      </c>
      <c r="CJ127" s="102" t="str">
        <f>IFERROR($CI127*(1+'Technical Premium'!$C$5)*(1+'Technical Premium'!$C$6),"")</f>
        <v/>
      </c>
      <c r="CK127" s="102" t="str">
        <f>IFERROR($CE127*INDEX('Territory Factors'!$G$6:$G$56,MATCH($K127,'Territory Factors'!$B$6:$B$56,0))*$AU127*$AV127,"")</f>
        <v/>
      </c>
      <c r="CL127" s="102" t="str">
        <f>IFERROR(($CJ127+$CK127)*(1+'Technical Premium'!$C$7),"")</f>
        <v/>
      </c>
      <c r="CM127" s="104" t="str">
        <f>IFERROR($CL127/'Technical Premium'!$C$13,"")</f>
        <v/>
      </c>
      <c r="CN127" s="105" t="str">
        <f t="shared" si="19"/>
        <v/>
      </c>
      <c r="CO127" s="104" t="str">
        <f t="shared" si="20"/>
        <v/>
      </c>
      <c r="CP127" s="105" t="str">
        <f t="shared" si="21"/>
        <v/>
      </c>
      <c r="CQ127" s="106" t="str">
        <f t="shared" si="22"/>
        <v/>
      </c>
      <c r="CR127" s="102" t="str">
        <f>IF(ISNUMBER($CM127),'Technical Premium'!$C$14+IF($J127&gt;=1000000,'Technical Premium'!$C$15,0),"")</f>
        <v/>
      </c>
      <c r="CS127" s="102" t="str">
        <f>IFERROR(($CO127+$CR127)*(INDEX('Territory Factors'!$K$6:$K$56,MATCH($K127,'Territory Factors'!$B$6:$B$56,0))+'Commission Structure'!$C$21),"")</f>
        <v/>
      </c>
      <c r="CT127" s="104" t="str">
        <f t="shared" si="23"/>
        <v/>
      </c>
      <c r="CU127" s="102" t="str">
        <f>IFERROR($CO127*('Commission Structure'!$C$6+'Commission Structure'!$C$7),"")</f>
        <v/>
      </c>
      <c r="CV127" s="102" t="str">
        <f>IFERROR($CO127*'Commission Structure'!$C$5-$CU127,"")</f>
        <v/>
      </c>
      <c r="CW127" s="102" t="str">
        <f>IFERROR($CO127*(1-'Commission Structure'!$C$5),"")</f>
        <v/>
      </c>
      <c r="CX127" s="107"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8" t="str">
        <f t="shared" si="24"/>
        <v/>
      </c>
      <c r="CZ127" s="99" t="str">
        <f>IF($CY127="","",IF($CY127&lt;'Technical Premium'!$C$19,"BEYOND AUTHORITY",IF($CY127&gt;0.005,"Above technical",IF($CY127&lt;-0.005,"BELOW technical","At technical"))))</f>
        <v/>
      </c>
      <c r="DA127" s="99"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4"/>
      <c r="DC127" s="94"/>
      <c r="DD127" s="95"/>
      <c r="DE127" s="94"/>
      <c r="DF127" s="94"/>
      <c r="DG127" s="99" t="str">
        <f t="shared" si="25"/>
        <v/>
      </c>
      <c r="DH127" s="99" t="str">
        <f>IF($A127="","",IF(OR($CX127="REFER",$CX127="DECLINE"),COUNTIF($CX$5:$CX127,"REFER")+COUNTIF($CX$5:$CX127,"DECLINE"),""))</f>
        <v/>
      </c>
      <c r="DI127" s="94"/>
    </row>
    <row r="128" spans="1:113" x14ac:dyDescent="0.35">
      <c r="A128" s="94"/>
      <c r="B128" s="94"/>
      <c r="C128" s="95"/>
      <c r="D128" s="95"/>
      <c r="E128" s="96"/>
      <c r="F128" s="94"/>
      <c r="G128" s="94"/>
      <c r="H128" s="94"/>
      <c r="I128" s="94"/>
      <c r="J128" s="97"/>
      <c r="K128" s="94"/>
      <c r="L128" s="94"/>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8"/>
      <c r="AR128" s="99" t="str">
        <f t="shared" si="13"/>
        <v/>
      </c>
      <c r="AS128" s="99" t="str">
        <f>IF($A128="","",IF($AP128&lt;&gt;"",$AP128,IFERROR(INDEX('Cat Zone by ZIP'!$D$6:$D$856,MATCH($AR128,'Cat Zone by ZIP'!$B$6:$B$856,0)),IFERROR(INDEX('Cat Zone by ZIP'!$C$860:$C$910,MATCH($K128,'Cat Zone by ZIP'!$B$860:$B$910,0)),"NOT FOUND"))))</f>
        <v/>
      </c>
      <c r="AT128" s="99" t="str">
        <f>IF($A128="","",IF($AP128&lt;&gt;"","Override",IF(ISNUMBER(MATCH($AR128,'Cat Zone by ZIP'!$B$6:$B$856,0)),"ZIP-3","State default")))</f>
        <v/>
      </c>
      <c r="AU128" s="100" t="str">
        <f>IF($A128="","",IFERROR(INDEX('Natural Catastrophe'!$D$6:$D$17,MATCH($AS128,'Natural Catastrophe'!$B$6:$B$17,0)),"?"))</f>
        <v/>
      </c>
      <c r="AV128" s="100" t="str">
        <f>IF($A128="","",IFERROR(INDEX('Natural Catastrophe'!$C$21:$C$26,MATCH($AA128,'Natural Catastrophe'!$B$21:$B$26,0)),"?"))</f>
        <v/>
      </c>
      <c r="AW128" s="99" t="str">
        <f>IF($A128="","",IFERROR(INDEX('Base Rates'!$C$4:$I$4,MATCH(MAX($J128,'Technical Premium'!$C$18),'Base Rates'!$C$3:$I$3,1)),"?"))</f>
        <v/>
      </c>
      <c r="AX128" s="101" t="str">
        <f>IF($A128="","",IFERROR(INDEX('Base Rates'!$C$5:$I$16,MATCH($I128,'Base Rates'!$B$5:$B$16,0),MATCH(MAX($J128,'Technical Premium'!$C$18),'Base Rates'!$C$3:$I$3,1)),"?"))</f>
        <v/>
      </c>
      <c r="AY128" s="102" t="str">
        <f t="shared" si="14"/>
        <v/>
      </c>
      <c r="AZ128" s="99" t="str">
        <f>IF($A128="","",IFERROR(INDEX('Make Factors'!$G$5:$G$69,MATCH($F128,'Make Factors'!$B$5:$B$69,0)),"?"))</f>
        <v/>
      </c>
      <c r="BA128" s="99" t="str">
        <f>IF($A128="","",IFERROR(INDEX('Driver Factors'!$C$6:$C$15,MATCH($R128,'Driver Factors'!$B$6:$B$15,0)),"?"))</f>
        <v/>
      </c>
      <c r="BB128" s="99" t="str">
        <f>IF($A128="","",IFERROR(INDEX('Driver Factors'!$C$19:$C$24,MATCH($S128,'Driver Factors'!$B$19:$B$24,0)),"?"))</f>
        <v/>
      </c>
      <c r="BC128" s="99" t="str">
        <f>IF($A128="","",IFERROR(INDEX('Driver Factors'!$C$28:$C$36,MATCH($T128,'Driver Factors'!$B$28:$B$36,0)),"?"))</f>
        <v/>
      </c>
      <c r="BD128" s="99" t="str">
        <f>IF($A128="","",IFERROR(INDEX('Claims History'!$C$6:$C$15,MATCH($U128,'Claims History'!$B$6:$B$15,0)),"?"))</f>
        <v/>
      </c>
      <c r="BE128" s="99" t="str">
        <f>IF($A128="","",IFERROR(INDEX('Territory Factors'!$E$6:$E$56,MATCH($K128,'Territory Factors'!$B$6:$B$56,0)),"?"))</f>
        <v/>
      </c>
      <c r="BF128" s="99" t="str">
        <f>IF($A128="","",IFERROR(INDEX('City Accident Ratings'!$G$6:$G$54,MATCH($Z128,'City Accident Ratings'!$B$6:$B$54,0)),"?"))</f>
        <v/>
      </c>
      <c r="BG128" s="99" t="str">
        <f>IF($A128="","",IFERROR(INDEX('Usage and Coverage'!$D$6:$D$20,MATCH($N128,'Usage and Coverage'!$C$6:$C$20,0)),"?"))</f>
        <v/>
      </c>
      <c r="BH128" s="99" t="str">
        <f>IF($A128="","",IFERROR(INDEX('Usage and Coverage'!$C$24:$C$30,MATCH($O128,'Usage and Coverage'!$B$24:$B$30,0)),"?"))</f>
        <v/>
      </c>
      <c r="BI128" s="99" t="str">
        <f>IF($A128="","",IFERROR(INDEX('Usage and Coverage'!$C$34:$C$40,MATCH($P128,'Usage and Coverage'!$B$34:$B$40,0)),"?"))</f>
        <v/>
      </c>
      <c r="BJ128" s="99" t="str">
        <f>IF($A128="","",IFERROR(INDEX('Usage and Coverage'!$C$44:$C$49,MATCH($Q128,'Usage and Coverage'!$B$44:$B$49,0)),"?"))</f>
        <v/>
      </c>
      <c r="BK128" s="99" t="str">
        <f>IF($A128="","",IFERROR(INDEX(Deductibles!$C$6:$I$15,MATCH($W128,Deductibles!$B$6:$B$15,0),MATCH(MAX($J128,'Technical Premium'!$C$18),'Base Rates'!$C$3:$I$3,1)),"?"))</f>
        <v/>
      </c>
      <c r="BL128" s="99" t="str">
        <f>IF($A128="","",IFERROR(INDEX('Usage and Coverage'!$C$63:$C$66,MATCH($X128,'Usage and Coverage'!$B$63:$B$66,0)),"?"))</f>
        <v/>
      </c>
      <c r="BM128" s="99" t="str">
        <f>IF($A128="","",IFERROR(INDEX('Usage and Coverage'!$C$70:$C$75,MATCH($V128,'Usage and Coverage'!$B$70:$B$75,0)),"?"))</f>
        <v/>
      </c>
      <c r="BN128" s="99" t="str">
        <f>IF($A128="","",IF($AB128="",1,IFERROR(INDEX(Deductibles!$C$48:$C$51,MATCH($AB128,Deductibles!$B$48:$B$51,0)),"?")))</f>
        <v/>
      </c>
      <c r="BO128" s="99" t="str">
        <f>IF($A128="","",IF($AC128="",1,IFERROR(INDEX(Deductibles!$C$55:$C$57,MATCH($AC128,Deductibles!$B$55:$B$57,0)),"?")))</f>
        <v/>
      </c>
      <c r="BP128" s="99" t="str">
        <f>IF($A128="","",IF($AD128="",1,IFERROR(INDEX(Deductibles!$C$61:$C$63,MATCH($AD128,Deductibles!$B$61:$B$63,0)),"?")))</f>
        <v/>
      </c>
      <c r="BQ128" s="99" t="str">
        <f>IF($A128="","",IF($AE128="",1,IFERROR(INDEX(Deductibles!$C$67:$C$69,MATCH($AE128,Deductibles!$B$67:$B$69,0)),"?")))</f>
        <v/>
      </c>
      <c r="BR128" s="99" t="str">
        <f>IF($A128="","",IF($AF128="",1,IFERROR(INDEX(Deductibles!$C$73:$C$74,MATCH($AF128,Deductibles!$B$73:$B$74,0)),"?")))</f>
        <v/>
      </c>
      <c r="BS128" s="99" t="str">
        <f>IF($A128="","",IF($AG128="",1,IFERROR(INDEX('Sublimits and Parts'!$C$49:$C$52,MATCH($AG128,'Sublimits and Parts'!$B$49:$B$52,0)),"?")))</f>
        <v/>
      </c>
      <c r="BT128" s="99" t="str">
        <f>IF($A128="","",IF($AH128="",1,IFERROR(INDEX('Sublimits and Parts'!$C$56:$C$60,MATCH($AH128,'Sublimits and Parts'!$B$56:$B$60,0)),"?")))</f>
        <v/>
      </c>
      <c r="BU128" s="99" t="str">
        <f>IF($A128="","",IF($AI128="",1,IFERROR(INDEX('Sublimits and Parts'!$C$64:$C$67,MATCH($AI128,'Sublimits and Parts'!$B$64:$B$67,0)),"?")))</f>
        <v/>
      </c>
      <c r="BV128" s="99" t="str">
        <f>IF($A128="","",IF($AJ128="",1,IFERROR(INDEX('Sublimits and Parts'!$C$71:$C$74,MATCH($AJ128,'Sublimits and Parts'!$B$71:$B$74,0)),"?")))</f>
        <v/>
      </c>
      <c r="BW128" s="99" t="str">
        <f>IF($A128="","",IF($AK128="",1,IFERROR(INDEX('Sublimits and Parts'!$C$78:$C$80,MATCH($AK128,'Sublimits and Parts'!$B$78:$B$80,0)),"?")))</f>
        <v/>
      </c>
      <c r="BX128" s="99" t="str">
        <f>IF($A128="","",IF($AL128="",1,IFERROR(INDEX('Sublimits and Parts'!$C$84:$C$87,MATCH($AL128,'Sublimits and Parts'!$B$84:$B$87,0)),"?")))</f>
        <v/>
      </c>
      <c r="BY128" s="99" t="str">
        <f>IF($A128="","",IF($AM128="",1,IFERROR(INDEX('Sublimits and Parts'!$C$91:$C$94,MATCH($AM128,'Sublimits and Parts'!$B$91:$B$94,0)),"?")))</f>
        <v/>
      </c>
      <c r="BZ128" s="99" t="str">
        <f>IF($A128="","",IF($AN128="",1,IFERROR(INDEX('Sublimits and Parts'!$C$98:$C$101,MATCH($AN128,'Sublimits and Parts'!$B$98:$B$101,0)),"?")))</f>
        <v/>
      </c>
      <c r="CA128" s="99" t="str">
        <f>IF($A128="","",IF($AO128="",1,IFERROR(INDEX('Sublimits and Parts'!$C$105:$C$109,MATCH($AO128,'Sublimits and Parts'!$B$105:$B$109,0)),"?")))</f>
        <v/>
      </c>
      <c r="CB128" s="100" t="str">
        <f t="shared" si="15"/>
        <v/>
      </c>
      <c r="CC128" s="100" t="str">
        <f t="shared" si="16"/>
        <v/>
      </c>
      <c r="CD128" s="103" t="str">
        <f>IF($A128="","",IF(OR($CB128="?",$CC128="?"),"?",MIN($CB128*$CC128,'Technical Premium'!$C$17)))</f>
        <v/>
      </c>
      <c r="CE128" s="102" t="str">
        <f t="shared" si="17"/>
        <v/>
      </c>
      <c r="CF128" s="102" t="str">
        <f>IF($A128="","",IFERROR(INDEX('Territory Factors'!$F$6:$F$56,MATCH($K128,'Territory Factors'!$B$6:$B$56,0)),"?"))</f>
        <v/>
      </c>
      <c r="CG128" s="100" t="str">
        <f>IF($A128="","",IFERROR(INDEX('Usage and Coverage'!$C$79:$C$84,MATCH($Y128,'Usage and Coverage'!$B$79:$B$84,0)),"?"))</f>
        <v/>
      </c>
      <c r="CH128" s="102" t="str">
        <f>IFERROR(IF(ISNUMBER($CD128),$CF128*$CG128*MIN($BG128*$BA128*$BC128*$BD128*$BH128*$BF128,'Technical Premium'!$C$17),""),"")</f>
        <v/>
      </c>
      <c r="CI128" s="102" t="str">
        <f t="shared" si="18"/>
        <v/>
      </c>
      <c r="CJ128" s="102" t="str">
        <f>IFERROR($CI128*(1+'Technical Premium'!$C$5)*(1+'Technical Premium'!$C$6),"")</f>
        <v/>
      </c>
      <c r="CK128" s="102" t="str">
        <f>IFERROR($CE128*INDEX('Territory Factors'!$G$6:$G$56,MATCH($K128,'Territory Factors'!$B$6:$B$56,0))*$AU128*$AV128,"")</f>
        <v/>
      </c>
      <c r="CL128" s="102" t="str">
        <f>IFERROR(($CJ128+$CK128)*(1+'Technical Premium'!$C$7),"")</f>
        <v/>
      </c>
      <c r="CM128" s="104" t="str">
        <f>IFERROR($CL128/'Technical Premium'!$C$13,"")</f>
        <v/>
      </c>
      <c r="CN128" s="105" t="str">
        <f t="shared" si="19"/>
        <v/>
      </c>
      <c r="CO128" s="104" t="str">
        <f t="shared" si="20"/>
        <v/>
      </c>
      <c r="CP128" s="105" t="str">
        <f t="shared" si="21"/>
        <v/>
      </c>
      <c r="CQ128" s="106" t="str">
        <f t="shared" si="22"/>
        <v/>
      </c>
      <c r="CR128" s="102" t="str">
        <f>IF(ISNUMBER($CM128),'Technical Premium'!$C$14+IF($J128&gt;=1000000,'Technical Premium'!$C$15,0),"")</f>
        <v/>
      </c>
      <c r="CS128" s="102" t="str">
        <f>IFERROR(($CO128+$CR128)*(INDEX('Territory Factors'!$K$6:$K$56,MATCH($K128,'Territory Factors'!$B$6:$B$56,0))+'Commission Structure'!$C$21),"")</f>
        <v/>
      </c>
      <c r="CT128" s="104" t="str">
        <f t="shared" si="23"/>
        <v/>
      </c>
      <c r="CU128" s="102" t="str">
        <f>IFERROR($CO128*('Commission Structure'!$C$6+'Commission Structure'!$C$7),"")</f>
        <v/>
      </c>
      <c r="CV128" s="102" t="str">
        <f>IFERROR($CO128*'Commission Structure'!$C$5-$CU128,"")</f>
        <v/>
      </c>
      <c r="CW128" s="102" t="str">
        <f>IFERROR($CO128*(1-'Commission Structure'!$C$5),"")</f>
        <v/>
      </c>
      <c r="CX128" s="107"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8" t="str">
        <f t="shared" si="24"/>
        <v/>
      </c>
      <c r="CZ128" s="99" t="str">
        <f>IF($CY128="","",IF($CY128&lt;'Technical Premium'!$C$19,"BEYOND AUTHORITY",IF($CY128&gt;0.005,"Above technical",IF($CY128&lt;-0.005,"BELOW technical","At technical"))))</f>
        <v/>
      </c>
      <c r="DA128" s="99"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4"/>
      <c r="DC128" s="94"/>
      <c r="DD128" s="95"/>
      <c r="DE128" s="94"/>
      <c r="DF128" s="94"/>
      <c r="DG128" s="99" t="str">
        <f t="shared" si="25"/>
        <v/>
      </c>
      <c r="DH128" s="99" t="str">
        <f>IF($A128="","",IF(OR($CX128="REFER",$CX128="DECLINE"),COUNTIF($CX$5:$CX128,"REFER")+COUNTIF($CX$5:$CX128,"DECLINE"),""))</f>
        <v/>
      </c>
      <c r="DI128" s="94"/>
    </row>
    <row r="129" spans="1:113" x14ac:dyDescent="0.35">
      <c r="A129" s="94"/>
      <c r="B129" s="94"/>
      <c r="C129" s="95"/>
      <c r="D129" s="95"/>
      <c r="E129" s="96"/>
      <c r="F129" s="94"/>
      <c r="G129" s="94"/>
      <c r="H129" s="94"/>
      <c r="I129" s="94"/>
      <c r="J129" s="97"/>
      <c r="K129" s="94"/>
      <c r="L129" s="94"/>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8"/>
      <c r="AR129" s="99" t="str">
        <f t="shared" si="13"/>
        <v/>
      </c>
      <c r="AS129" s="99" t="str">
        <f>IF($A129="","",IF($AP129&lt;&gt;"",$AP129,IFERROR(INDEX('Cat Zone by ZIP'!$D$6:$D$856,MATCH($AR129,'Cat Zone by ZIP'!$B$6:$B$856,0)),IFERROR(INDEX('Cat Zone by ZIP'!$C$860:$C$910,MATCH($K129,'Cat Zone by ZIP'!$B$860:$B$910,0)),"NOT FOUND"))))</f>
        <v/>
      </c>
      <c r="AT129" s="99" t="str">
        <f>IF($A129="","",IF($AP129&lt;&gt;"","Override",IF(ISNUMBER(MATCH($AR129,'Cat Zone by ZIP'!$B$6:$B$856,0)),"ZIP-3","State default")))</f>
        <v/>
      </c>
      <c r="AU129" s="100" t="str">
        <f>IF($A129="","",IFERROR(INDEX('Natural Catastrophe'!$D$6:$D$17,MATCH($AS129,'Natural Catastrophe'!$B$6:$B$17,0)),"?"))</f>
        <v/>
      </c>
      <c r="AV129" s="100" t="str">
        <f>IF($A129="","",IFERROR(INDEX('Natural Catastrophe'!$C$21:$C$26,MATCH($AA129,'Natural Catastrophe'!$B$21:$B$26,0)),"?"))</f>
        <v/>
      </c>
      <c r="AW129" s="99" t="str">
        <f>IF($A129="","",IFERROR(INDEX('Base Rates'!$C$4:$I$4,MATCH(MAX($J129,'Technical Premium'!$C$18),'Base Rates'!$C$3:$I$3,1)),"?"))</f>
        <v/>
      </c>
      <c r="AX129" s="101" t="str">
        <f>IF($A129="","",IFERROR(INDEX('Base Rates'!$C$5:$I$16,MATCH($I129,'Base Rates'!$B$5:$B$16,0),MATCH(MAX($J129,'Technical Premium'!$C$18),'Base Rates'!$C$3:$I$3,1)),"?"))</f>
        <v/>
      </c>
      <c r="AY129" s="102" t="str">
        <f t="shared" si="14"/>
        <v/>
      </c>
      <c r="AZ129" s="99" t="str">
        <f>IF($A129="","",IFERROR(INDEX('Make Factors'!$G$5:$G$69,MATCH($F129,'Make Factors'!$B$5:$B$69,0)),"?"))</f>
        <v/>
      </c>
      <c r="BA129" s="99" t="str">
        <f>IF($A129="","",IFERROR(INDEX('Driver Factors'!$C$6:$C$15,MATCH($R129,'Driver Factors'!$B$6:$B$15,0)),"?"))</f>
        <v/>
      </c>
      <c r="BB129" s="99" t="str">
        <f>IF($A129="","",IFERROR(INDEX('Driver Factors'!$C$19:$C$24,MATCH($S129,'Driver Factors'!$B$19:$B$24,0)),"?"))</f>
        <v/>
      </c>
      <c r="BC129" s="99" t="str">
        <f>IF($A129="","",IFERROR(INDEX('Driver Factors'!$C$28:$C$36,MATCH($T129,'Driver Factors'!$B$28:$B$36,0)),"?"))</f>
        <v/>
      </c>
      <c r="BD129" s="99" t="str">
        <f>IF($A129="","",IFERROR(INDEX('Claims History'!$C$6:$C$15,MATCH($U129,'Claims History'!$B$6:$B$15,0)),"?"))</f>
        <v/>
      </c>
      <c r="BE129" s="99" t="str">
        <f>IF($A129="","",IFERROR(INDEX('Territory Factors'!$E$6:$E$56,MATCH($K129,'Territory Factors'!$B$6:$B$56,0)),"?"))</f>
        <v/>
      </c>
      <c r="BF129" s="99" t="str">
        <f>IF($A129="","",IFERROR(INDEX('City Accident Ratings'!$G$6:$G$54,MATCH($Z129,'City Accident Ratings'!$B$6:$B$54,0)),"?"))</f>
        <v/>
      </c>
      <c r="BG129" s="99" t="str">
        <f>IF($A129="","",IFERROR(INDEX('Usage and Coverage'!$D$6:$D$20,MATCH($N129,'Usage and Coverage'!$C$6:$C$20,0)),"?"))</f>
        <v/>
      </c>
      <c r="BH129" s="99" t="str">
        <f>IF($A129="","",IFERROR(INDEX('Usage and Coverage'!$C$24:$C$30,MATCH($O129,'Usage and Coverage'!$B$24:$B$30,0)),"?"))</f>
        <v/>
      </c>
      <c r="BI129" s="99" t="str">
        <f>IF($A129="","",IFERROR(INDEX('Usage and Coverage'!$C$34:$C$40,MATCH($P129,'Usage and Coverage'!$B$34:$B$40,0)),"?"))</f>
        <v/>
      </c>
      <c r="BJ129" s="99" t="str">
        <f>IF($A129="","",IFERROR(INDEX('Usage and Coverage'!$C$44:$C$49,MATCH($Q129,'Usage and Coverage'!$B$44:$B$49,0)),"?"))</f>
        <v/>
      </c>
      <c r="BK129" s="99" t="str">
        <f>IF($A129="","",IFERROR(INDEX(Deductibles!$C$6:$I$15,MATCH($W129,Deductibles!$B$6:$B$15,0),MATCH(MAX($J129,'Technical Premium'!$C$18),'Base Rates'!$C$3:$I$3,1)),"?"))</f>
        <v/>
      </c>
      <c r="BL129" s="99" t="str">
        <f>IF($A129="","",IFERROR(INDEX('Usage and Coverage'!$C$63:$C$66,MATCH($X129,'Usage and Coverage'!$B$63:$B$66,0)),"?"))</f>
        <v/>
      </c>
      <c r="BM129" s="99" t="str">
        <f>IF($A129="","",IFERROR(INDEX('Usage and Coverage'!$C$70:$C$75,MATCH($V129,'Usage and Coverage'!$B$70:$B$75,0)),"?"))</f>
        <v/>
      </c>
      <c r="BN129" s="99" t="str">
        <f>IF($A129="","",IF($AB129="",1,IFERROR(INDEX(Deductibles!$C$48:$C$51,MATCH($AB129,Deductibles!$B$48:$B$51,0)),"?")))</f>
        <v/>
      </c>
      <c r="BO129" s="99" t="str">
        <f>IF($A129="","",IF($AC129="",1,IFERROR(INDEX(Deductibles!$C$55:$C$57,MATCH($AC129,Deductibles!$B$55:$B$57,0)),"?")))</f>
        <v/>
      </c>
      <c r="BP129" s="99" t="str">
        <f>IF($A129="","",IF($AD129="",1,IFERROR(INDEX(Deductibles!$C$61:$C$63,MATCH($AD129,Deductibles!$B$61:$B$63,0)),"?")))</f>
        <v/>
      </c>
      <c r="BQ129" s="99" t="str">
        <f>IF($A129="","",IF($AE129="",1,IFERROR(INDEX(Deductibles!$C$67:$C$69,MATCH($AE129,Deductibles!$B$67:$B$69,0)),"?")))</f>
        <v/>
      </c>
      <c r="BR129" s="99" t="str">
        <f>IF($A129="","",IF($AF129="",1,IFERROR(INDEX(Deductibles!$C$73:$C$74,MATCH($AF129,Deductibles!$B$73:$B$74,0)),"?")))</f>
        <v/>
      </c>
      <c r="BS129" s="99" t="str">
        <f>IF($A129="","",IF($AG129="",1,IFERROR(INDEX('Sublimits and Parts'!$C$49:$C$52,MATCH($AG129,'Sublimits and Parts'!$B$49:$B$52,0)),"?")))</f>
        <v/>
      </c>
      <c r="BT129" s="99" t="str">
        <f>IF($A129="","",IF($AH129="",1,IFERROR(INDEX('Sublimits and Parts'!$C$56:$C$60,MATCH($AH129,'Sublimits and Parts'!$B$56:$B$60,0)),"?")))</f>
        <v/>
      </c>
      <c r="BU129" s="99" t="str">
        <f>IF($A129="","",IF($AI129="",1,IFERROR(INDEX('Sublimits and Parts'!$C$64:$C$67,MATCH($AI129,'Sublimits and Parts'!$B$64:$B$67,0)),"?")))</f>
        <v/>
      </c>
      <c r="BV129" s="99" t="str">
        <f>IF($A129="","",IF($AJ129="",1,IFERROR(INDEX('Sublimits and Parts'!$C$71:$C$74,MATCH($AJ129,'Sublimits and Parts'!$B$71:$B$74,0)),"?")))</f>
        <v/>
      </c>
      <c r="BW129" s="99" t="str">
        <f>IF($A129="","",IF($AK129="",1,IFERROR(INDEX('Sublimits and Parts'!$C$78:$C$80,MATCH($AK129,'Sublimits and Parts'!$B$78:$B$80,0)),"?")))</f>
        <v/>
      </c>
      <c r="BX129" s="99" t="str">
        <f>IF($A129="","",IF($AL129="",1,IFERROR(INDEX('Sublimits and Parts'!$C$84:$C$87,MATCH($AL129,'Sublimits and Parts'!$B$84:$B$87,0)),"?")))</f>
        <v/>
      </c>
      <c r="BY129" s="99" t="str">
        <f>IF($A129="","",IF($AM129="",1,IFERROR(INDEX('Sublimits and Parts'!$C$91:$C$94,MATCH($AM129,'Sublimits and Parts'!$B$91:$B$94,0)),"?")))</f>
        <v/>
      </c>
      <c r="BZ129" s="99" t="str">
        <f>IF($A129="","",IF($AN129="",1,IFERROR(INDEX('Sublimits and Parts'!$C$98:$C$101,MATCH($AN129,'Sublimits and Parts'!$B$98:$B$101,0)),"?")))</f>
        <v/>
      </c>
      <c r="CA129" s="99" t="str">
        <f>IF($A129="","",IF($AO129="",1,IFERROR(INDEX('Sublimits and Parts'!$C$105:$C$109,MATCH($AO129,'Sublimits and Parts'!$B$105:$B$109,0)),"?")))</f>
        <v/>
      </c>
      <c r="CB129" s="100" t="str">
        <f t="shared" si="15"/>
        <v/>
      </c>
      <c r="CC129" s="100" t="str">
        <f t="shared" si="16"/>
        <v/>
      </c>
      <c r="CD129" s="103" t="str">
        <f>IF($A129="","",IF(OR($CB129="?",$CC129="?"),"?",MIN($CB129*$CC129,'Technical Premium'!$C$17)))</f>
        <v/>
      </c>
      <c r="CE129" s="102" t="str">
        <f t="shared" si="17"/>
        <v/>
      </c>
      <c r="CF129" s="102" t="str">
        <f>IF($A129="","",IFERROR(INDEX('Territory Factors'!$F$6:$F$56,MATCH($K129,'Territory Factors'!$B$6:$B$56,0)),"?"))</f>
        <v/>
      </c>
      <c r="CG129" s="100" t="str">
        <f>IF($A129="","",IFERROR(INDEX('Usage and Coverage'!$C$79:$C$84,MATCH($Y129,'Usage and Coverage'!$B$79:$B$84,0)),"?"))</f>
        <v/>
      </c>
      <c r="CH129" s="102" t="str">
        <f>IFERROR(IF(ISNUMBER($CD129),$CF129*$CG129*MIN($BG129*$BA129*$BC129*$BD129*$BH129*$BF129,'Technical Premium'!$C$17),""),"")</f>
        <v/>
      </c>
      <c r="CI129" s="102" t="str">
        <f t="shared" si="18"/>
        <v/>
      </c>
      <c r="CJ129" s="102" t="str">
        <f>IFERROR($CI129*(1+'Technical Premium'!$C$5)*(1+'Technical Premium'!$C$6),"")</f>
        <v/>
      </c>
      <c r="CK129" s="102" t="str">
        <f>IFERROR($CE129*INDEX('Territory Factors'!$G$6:$G$56,MATCH($K129,'Territory Factors'!$B$6:$B$56,0))*$AU129*$AV129,"")</f>
        <v/>
      </c>
      <c r="CL129" s="102" t="str">
        <f>IFERROR(($CJ129+$CK129)*(1+'Technical Premium'!$C$7),"")</f>
        <v/>
      </c>
      <c r="CM129" s="104" t="str">
        <f>IFERROR($CL129/'Technical Premium'!$C$13,"")</f>
        <v/>
      </c>
      <c r="CN129" s="105" t="str">
        <f t="shared" si="19"/>
        <v/>
      </c>
      <c r="CO129" s="104" t="str">
        <f t="shared" si="20"/>
        <v/>
      </c>
      <c r="CP129" s="105" t="str">
        <f t="shared" si="21"/>
        <v/>
      </c>
      <c r="CQ129" s="106" t="str">
        <f t="shared" si="22"/>
        <v/>
      </c>
      <c r="CR129" s="102" t="str">
        <f>IF(ISNUMBER($CM129),'Technical Premium'!$C$14+IF($J129&gt;=1000000,'Technical Premium'!$C$15,0),"")</f>
        <v/>
      </c>
      <c r="CS129" s="102" t="str">
        <f>IFERROR(($CO129+$CR129)*(INDEX('Territory Factors'!$K$6:$K$56,MATCH($K129,'Territory Factors'!$B$6:$B$56,0))+'Commission Structure'!$C$21),"")</f>
        <v/>
      </c>
      <c r="CT129" s="104" t="str">
        <f t="shared" si="23"/>
        <v/>
      </c>
      <c r="CU129" s="102" t="str">
        <f>IFERROR($CO129*('Commission Structure'!$C$6+'Commission Structure'!$C$7),"")</f>
        <v/>
      </c>
      <c r="CV129" s="102" t="str">
        <f>IFERROR($CO129*'Commission Structure'!$C$5-$CU129,"")</f>
        <v/>
      </c>
      <c r="CW129" s="102" t="str">
        <f>IFERROR($CO129*(1-'Commission Structure'!$C$5),"")</f>
        <v/>
      </c>
      <c r="CX129" s="107"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8" t="str">
        <f t="shared" si="24"/>
        <v/>
      </c>
      <c r="CZ129" s="99" t="str">
        <f>IF($CY129="","",IF($CY129&lt;'Technical Premium'!$C$19,"BEYOND AUTHORITY",IF($CY129&gt;0.005,"Above technical",IF($CY129&lt;-0.005,"BELOW technical","At technical"))))</f>
        <v/>
      </c>
      <c r="DA129" s="99"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4"/>
      <c r="DC129" s="94"/>
      <c r="DD129" s="95"/>
      <c r="DE129" s="94"/>
      <c r="DF129" s="94"/>
      <c r="DG129" s="99" t="str">
        <f t="shared" si="25"/>
        <v/>
      </c>
      <c r="DH129" s="99" t="str">
        <f>IF($A129="","",IF(OR($CX129="REFER",$CX129="DECLINE"),COUNTIF($CX$5:$CX129,"REFER")+COUNTIF($CX$5:$CX129,"DECLINE"),""))</f>
        <v/>
      </c>
      <c r="DI129" s="94"/>
    </row>
    <row r="130" spans="1:113" x14ac:dyDescent="0.35">
      <c r="A130" s="94"/>
      <c r="B130" s="94"/>
      <c r="C130" s="95"/>
      <c r="D130" s="95"/>
      <c r="E130" s="96"/>
      <c r="F130" s="94"/>
      <c r="G130" s="94"/>
      <c r="H130" s="94"/>
      <c r="I130" s="94"/>
      <c r="J130" s="97"/>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8"/>
      <c r="AR130" s="99" t="str">
        <f t="shared" si="13"/>
        <v/>
      </c>
      <c r="AS130" s="99" t="str">
        <f>IF($A130="","",IF($AP130&lt;&gt;"",$AP130,IFERROR(INDEX('Cat Zone by ZIP'!$D$6:$D$856,MATCH($AR130,'Cat Zone by ZIP'!$B$6:$B$856,0)),IFERROR(INDEX('Cat Zone by ZIP'!$C$860:$C$910,MATCH($K130,'Cat Zone by ZIP'!$B$860:$B$910,0)),"NOT FOUND"))))</f>
        <v/>
      </c>
      <c r="AT130" s="99" t="str">
        <f>IF($A130="","",IF($AP130&lt;&gt;"","Override",IF(ISNUMBER(MATCH($AR130,'Cat Zone by ZIP'!$B$6:$B$856,0)),"ZIP-3","State default")))</f>
        <v/>
      </c>
      <c r="AU130" s="100" t="str">
        <f>IF($A130="","",IFERROR(INDEX('Natural Catastrophe'!$D$6:$D$17,MATCH($AS130,'Natural Catastrophe'!$B$6:$B$17,0)),"?"))</f>
        <v/>
      </c>
      <c r="AV130" s="100" t="str">
        <f>IF($A130="","",IFERROR(INDEX('Natural Catastrophe'!$C$21:$C$26,MATCH($AA130,'Natural Catastrophe'!$B$21:$B$26,0)),"?"))</f>
        <v/>
      </c>
      <c r="AW130" s="99" t="str">
        <f>IF($A130="","",IFERROR(INDEX('Base Rates'!$C$4:$I$4,MATCH(MAX($J130,'Technical Premium'!$C$18),'Base Rates'!$C$3:$I$3,1)),"?"))</f>
        <v/>
      </c>
      <c r="AX130" s="101" t="str">
        <f>IF($A130="","",IFERROR(INDEX('Base Rates'!$C$5:$I$16,MATCH($I130,'Base Rates'!$B$5:$B$16,0),MATCH(MAX($J130,'Technical Premium'!$C$18),'Base Rates'!$C$3:$I$3,1)),"?"))</f>
        <v/>
      </c>
      <c r="AY130" s="102" t="str">
        <f t="shared" si="14"/>
        <v/>
      </c>
      <c r="AZ130" s="99" t="str">
        <f>IF($A130="","",IFERROR(INDEX('Make Factors'!$G$5:$G$69,MATCH($F130,'Make Factors'!$B$5:$B$69,0)),"?"))</f>
        <v/>
      </c>
      <c r="BA130" s="99" t="str">
        <f>IF($A130="","",IFERROR(INDEX('Driver Factors'!$C$6:$C$15,MATCH($R130,'Driver Factors'!$B$6:$B$15,0)),"?"))</f>
        <v/>
      </c>
      <c r="BB130" s="99" t="str">
        <f>IF($A130="","",IFERROR(INDEX('Driver Factors'!$C$19:$C$24,MATCH($S130,'Driver Factors'!$B$19:$B$24,0)),"?"))</f>
        <v/>
      </c>
      <c r="BC130" s="99" t="str">
        <f>IF($A130="","",IFERROR(INDEX('Driver Factors'!$C$28:$C$36,MATCH($T130,'Driver Factors'!$B$28:$B$36,0)),"?"))</f>
        <v/>
      </c>
      <c r="BD130" s="99" t="str">
        <f>IF($A130="","",IFERROR(INDEX('Claims History'!$C$6:$C$15,MATCH($U130,'Claims History'!$B$6:$B$15,0)),"?"))</f>
        <v/>
      </c>
      <c r="BE130" s="99" t="str">
        <f>IF($A130="","",IFERROR(INDEX('Territory Factors'!$E$6:$E$56,MATCH($K130,'Territory Factors'!$B$6:$B$56,0)),"?"))</f>
        <v/>
      </c>
      <c r="BF130" s="99" t="str">
        <f>IF($A130="","",IFERROR(INDEX('City Accident Ratings'!$G$6:$G$54,MATCH($Z130,'City Accident Ratings'!$B$6:$B$54,0)),"?"))</f>
        <v/>
      </c>
      <c r="BG130" s="99" t="str">
        <f>IF($A130="","",IFERROR(INDEX('Usage and Coverage'!$D$6:$D$20,MATCH($N130,'Usage and Coverage'!$C$6:$C$20,0)),"?"))</f>
        <v/>
      </c>
      <c r="BH130" s="99" t="str">
        <f>IF($A130="","",IFERROR(INDEX('Usage and Coverage'!$C$24:$C$30,MATCH($O130,'Usage and Coverage'!$B$24:$B$30,0)),"?"))</f>
        <v/>
      </c>
      <c r="BI130" s="99" t="str">
        <f>IF($A130="","",IFERROR(INDEX('Usage and Coverage'!$C$34:$C$40,MATCH($P130,'Usage and Coverage'!$B$34:$B$40,0)),"?"))</f>
        <v/>
      </c>
      <c r="BJ130" s="99" t="str">
        <f>IF($A130="","",IFERROR(INDEX('Usage and Coverage'!$C$44:$C$49,MATCH($Q130,'Usage and Coverage'!$B$44:$B$49,0)),"?"))</f>
        <v/>
      </c>
      <c r="BK130" s="99" t="str">
        <f>IF($A130="","",IFERROR(INDEX(Deductibles!$C$6:$I$15,MATCH($W130,Deductibles!$B$6:$B$15,0),MATCH(MAX($J130,'Technical Premium'!$C$18),'Base Rates'!$C$3:$I$3,1)),"?"))</f>
        <v/>
      </c>
      <c r="BL130" s="99" t="str">
        <f>IF($A130="","",IFERROR(INDEX('Usage and Coverage'!$C$63:$C$66,MATCH($X130,'Usage and Coverage'!$B$63:$B$66,0)),"?"))</f>
        <v/>
      </c>
      <c r="BM130" s="99" t="str">
        <f>IF($A130="","",IFERROR(INDEX('Usage and Coverage'!$C$70:$C$75,MATCH($V130,'Usage and Coverage'!$B$70:$B$75,0)),"?"))</f>
        <v/>
      </c>
      <c r="BN130" s="99" t="str">
        <f>IF($A130="","",IF($AB130="",1,IFERROR(INDEX(Deductibles!$C$48:$C$51,MATCH($AB130,Deductibles!$B$48:$B$51,0)),"?")))</f>
        <v/>
      </c>
      <c r="BO130" s="99" t="str">
        <f>IF($A130="","",IF($AC130="",1,IFERROR(INDEX(Deductibles!$C$55:$C$57,MATCH($AC130,Deductibles!$B$55:$B$57,0)),"?")))</f>
        <v/>
      </c>
      <c r="BP130" s="99" t="str">
        <f>IF($A130="","",IF($AD130="",1,IFERROR(INDEX(Deductibles!$C$61:$C$63,MATCH($AD130,Deductibles!$B$61:$B$63,0)),"?")))</f>
        <v/>
      </c>
      <c r="BQ130" s="99" t="str">
        <f>IF($A130="","",IF($AE130="",1,IFERROR(INDEX(Deductibles!$C$67:$C$69,MATCH($AE130,Deductibles!$B$67:$B$69,0)),"?")))</f>
        <v/>
      </c>
      <c r="BR130" s="99" t="str">
        <f>IF($A130="","",IF($AF130="",1,IFERROR(INDEX(Deductibles!$C$73:$C$74,MATCH($AF130,Deductibles!$B$73:$B$74,0)),"?")))</f>
        <v/>
      </c>
      <c r="BS130" s="99" t="str">
        <f>IF($A130="","",IF($AG130="",1,IFERROR(INDEX('Sublimits and Parts'!$C$49:$C$52,MATCH($AG130,'Sublimits and Parts'!$B$49:$B$52,0)),"?")))</f>
        <v/>
      </c>
      <c r="BT130" s="99" t="str">
        <f>IF($A130="","",IF($AH130="",1,IFERROR(INDEX('Sublimits and Parts'!$C$56:$C$60,MATCH($AH130,'Sublimits and Parts'!$B$56:$B$60,0)),"?")))</f>
        <v/>
      </c>
      <c r="BU130" s="99" t="str">
        <f>IF($A130="","",IF($AI130="",1,IFERROR(INDEX('Sublimits and Parts'!$C$64:$C$67,MATCH($AI130,'Sublimits and Parts'!$B$64:$B$67,0)),"?")))</f>
        <v/>
      </c>
      <c r="BV130" s="99" t="str">
        <f>IF($A130="","",IF($AJ130="",1,IFERROR(INDEX('Sublimits and Parts'!$C$71:$C$74,MATCH($AJ130,'Sublimits and Parts'!$B$71:$B$74,0)),"?")))</f>
        <v/>
      </c>
      <c r="BW130" s="99" t="str">
        <f>IF($A130="","",IF($AK130="",1,IFERROR(INDEX('Sublimits and Parts'!$C$78:$C$80,MATCH($AK130,'Sublimits and Parts'!$B$78:$B$80,0)),"?")))</f>
        <v/>
      </c>
      <c r="BX130" s="99" t="str">
        <f>IF($A130="","",IF($AL130="",1,IFERROR(INDEX('Sublimits and Parts'!$C$84:$C$87,MATCH($AL130,'Sublimits and Parts'!$B$84:$B$87,0)),"?")))</f>
        <v/>
      </c>
      <c r="BY130" s="99" t="str">
        <f>IF($A130="","",IF($AM130="",1,IFERROR(INDEX('Sublimits and Parts'!$C$91:$C$94,MATCH($AM130,'Sublimits and Parts'!$B$91:$B$94,0)),"?")))</f>
        <v/>
      </c>
      <c r="BZ130" s="99" t="str">
        <f>IF($A130="","",IF($AN130="",1,IFERROR(INDEX('Sublimits and Parts'!$C$98:$C$101,MATCH($AN130,'Sublimits and Parts'!$B$98:$B$101,0)),"?")))</f>
        <v/>
      </c>
      <c r="CA130" s="99" t="str">
        <f>IF($A130="","",IF($AO130="",1,IFERROR(INDEX('Sublimits and Parts'!$C$105:$C$109,MATCH($AO130,'Sublimits and Parts'!$B$105:$B$109,0)),"?")))</f>
        <v/>
      </c>
      <c r="CB130" s="100" t="str">
        <f t="shared" si="15"/>
        <v/>
      </c>
      <c r="CC130" s="100" t="str">
        <f t="shared" si="16"/>
        <v/>
      </c>
      <c r="CD130" s="103" t="str">
        <f>IF($A130="","",IF(OR($CB130="?",$CC130="?"),"?",MIN($CB130*$CC130,'Technical Premium'!$C$17)))</f>
        <v/>
      </c>
      <c r="CE130" s="102" t="str">
        <f t="shared" si="17"/>
        <v/>
      </c>
      <c r="CF130" s="102" t="str">
        <f>IF($A130="","",IFERROR(INDEX('Territory Factors'!$F$6:$F$56,MATCH($K130,'Territory Factors'!$B$6:$B$56,0)),"?"))</f>
        <v/>
      </c>
      <c r="CG130" s="100" t="str">
        <f>IF($A130="","",IFERROR(INDEX('Usage and Coverage'!$C$79:$C$84,MATCH($Y130,'Usage and Coverage'!$B$79:$B$84,0)),"?"))</f>
        <v/>
      </c>
      <c r="CH130" s="102" t="str">
        <f>IFERROR(IF(ISNUMBER($CD130),$CF130*$CG130*MIN($BG130*$BA130*$BC130*$BD130*$BH130*$BF130,'Technical Premium'!$C$17),""),"")</f>
        <v/>
      </c>
      <c r="CI130" s="102" t="str">
        <f t="shared" si="18"/>
        <v/>
      </c>
      <c r="CJ130" s="102" t="str">
        <f>IFERROR($CI130*(1+'Technical Premium'!$C$5)*(1+'Technical Premium'!$C$6),"")</f>
        <v/>
      </c>
      <c r="CK130" s="102" t="str">
        <f>IFERROR($CE130*INDEX('Territory Factors'!$G$6:$G$56,MATCH($K130,'Territory Factors'!$B$6:$B$56,0))*$AU130*$AV130,"")</f>
        <v/>
      </c>
      <c r="CL130" s="102" t="str">
        <f>IFERROR(($CJ130+$CK130)*(1+'Technical Premium'!$C$7),"")</f>
        <v/>
      </c>
      <c r="CM130" s="104" t="str">
        <f>IFERROR($CL130/'Technical Premium'!$C$13,"")</f>
        <v/>
      </c>
      <c r="CN130" s="105" t="str">
        <f t="shared" si="19"/>
        <v/>
      </c>
      <c r="CO130" s="104" t="str">
        <f t="shared" si="20"/>
        <v/>
      </c>
      <c r="CP130" s="105" t="str">
        <f t="shared" si="21"/>
        <v/>
      </c>
      <c r="CQ130" s="106" t="str">
        <f t="shared" si="22"/>
        <v/>
      </c>
      <c r="CR130" s="102" t="str">
        <f>IF(ISNUMBER($CM130),'Technical Premium'!$C$14+IF($J130&gt;=1000000,'Technical Premium'!$C$15,0),"")</f>
        <v/>
      </c>
      <c r="CS130" s="102" t="str">
        <f>IFERROR(($CO130+$CR130)*(INDEX('Territory Factors'!$K$6:$K$56,MATCH($K130,'Territory Factors'!$B$6:$B$56,0))+'Commission Structure'!$C$21),"")</f>
        <v/>
      </c>
      <c r="CT130" s="104" t="str">
        <f t="shared" si="23"/>
        <v/>
      </c>
      <c r="CU130" s="102" t="str">
        <f>IFERROR($CO130*('Commission Structure'!$C$6+'Commission Structure'!$C$7),"")</f>
        <v/>
      </c>
      <c r="CV130" s="102" t="str">
        <f>IFERROR($CO130*'Commission Structure'!$C$5-$CU130,"")</f>
        <v/>
      </c>
      <c r="CW130" s="102" t="str">
        <f>IFERROR($CO130*(1-'Commission Structure'!$C$5),"")</f>
        <v/>
      </c>
      <c r="CX130" s="107"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8" t="str">
        <f t="shared" si="24"/>
        <v/>
      </c>
      <c r="CZ130" s="99" t="str">
        <f>IF($CY130="","",IF($CY130&lt;'Technical Premium'!$C$19,"BEYOND AUTHORITY",IF($CY130&gt;0.005,"Above technical",IF($CY130&lt;-0.005,"BELOW technical","At technical"))))</f>
        <v/>
      </c>
      <c r="DA130" s="99"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4"/>
      <c r="DC130" s="94"/>
      <c r="DD130" s="95"/>
      <c r="DE130" s="94"/>
      <c r="DF130" s="94"/>
      <c r="DG130" s="99" t="str">
        <f t="shared" si="25"/>
        <v/>
      </c>
      <c r="DH130" s="99" t="str">
        <f>IF($A130="","",IF(OR($CX130="REFER",$CX130="DECLINE"),COUNTIF($CX$5:$CX130,"REFER")+COUNTIF($CX$5:$CX130,"DECLINE"),""))</f>
        <v/>
      </c>
      <c r="DI130" s="94"/>
    </row>
    <row r="131" spans="1:113" x14ac:dyDescent="0.35">
      <c r="A131" s="94"/>
      <c r="B131" s="94"/>
      <c r="C131" s="95"/>
      <c r="D131" s="95"/>
      <c r="E131" s="96"/>
      <c r="F131" s="94"/>
      <c r="G131" s="94"/>
      <c r="H131" s="94"/>
      <c r="I131" s="94"/>
      <c r="J131" s="97"/>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8"/>
      <c r="AR131" s="99" t="str">
        <f t="shared" si="13"/>
        <v/>
      </c>
      <c r="AS131" s="99" t="str">
        <f>IF($A131="","",IF($AP131&lt;&gt;"",$AP131,IFERROR(INDEX('Cat Zone by ZIP'!$D$6:$D$856,MATCH($AR131,'Cat Zone by ZIP'!$B$6:$B$856,0)),IFERROR(INDEX('Cat Zone by ZIP'!$C$860:$C$910,MATCH($K131,'Cat Zone by ZIP'!$B$860:$B$910,0)),"NOT FOUND"))))</f>
        <v/>
      </c>
      <c r="AT131" s="99" t="str">
        <f>IF($A131="","",IF($AP131&lt;&gt;"","Override",IF(ISNUMBER(MATCH($AR131,'Cat Zone by ZIP'!$B$6:$B$856,0)),"ZIP-3","State default")))</f>
        <v/>
      </c>
      <c r="AU131" s="100" t="str">
        <f>IF($A131="","",IFERROR(INDEX('Natural Catastrophe'!$D$6:$D$17,MATCH($AS131,'Natural Catastrophe'!$B$6:$B$17,0)),"?"))</f>
        <v/>
      </c>
      <c r="AV131" s="100" t="str">
        <f>IF($A131="","",IFERROR(INDEX('Natural Catastrophe'!$C$21:$C$26,MATCH($AA131,'Natural Catastrophe'!$B$21:$B$26,0)),"?"))</f>
        <v/>
      </c>
      <c r="AW131" s="99" t="str">
        <f>IF($A131="","",IFERROR(INDEX('Base Rates'!$C$4:$I$4,MATCH(MAX($J131,'Technical Premium'!$C$18),'Base Rates'!$C$3:$I$3,1)),"?"))</f>
        <v/>
      </c>
      <c r="AX131" s="101" t="str">
        <f>IF($A131="","",IFERROR(INDEX('Base Rates'!$C$5:$I$16,MATCH($I131,'Base Rates'!$B$5:$B$16,0),MATCH(MAX($J131,'Technical Premium'!$C$18),'Base Rates'!$C$3:$I$3,1)),"?"))</f>
        <v/>
      </c>
      <c r="AY131" s="102" t="str">
        <f t="shared" si="14"/>
        <v/>
      </c>
      <c r="AZ131" s="99" t="str">
        <f>IF($A131="","",IFERROR(INDEX('Make Factors'!$G$5:$G$69,MATCH($F131,'Make Factors'!$B$5:$B$69,0)),"?"))</f>
        <v/>
      </c>
      <c r="BA131" s="99" t="str">
        <f>IF($A131="","",IFERROR(INDEX('Driver Factors'!$C$6:$C$15,MATCH($R131,'Driver Factors'!$B$6:$B$15,0)),"?"))</f>
        <v/>
      </c>
      <c r="BB131" s="99" t="str">
        <f>IF($A131="","",IFERROR(INDEX('Driver Factors'!$C$19:$C$24,MATCH($S131,'Driver Factors'!$B$19:$B$24,0)),"?"))</f>
        <v/>
      </c>
      <c r="BC131" s="99" t="str">
        <f>IF($A131="","",IFERROR(INDEX('Driver Factors'!$C$28:$C$36,MATCH($T131,'Driver Factors'!$B$28:$B$36,0)),"?"))</f>
        <v/>
      </c>
      <c r="BD131" s="99" t="str">
        <f>IF($A131="","",IFERROR(INDEX('Claims History'!$C$6:$C$15,MATCH($U131,'Claims History'!$B$6:$B$15,0)),"?"))</f>
        <v/>
      </c>
      <c r="BE131" s="99" t="str">
        <f>IF($A131="","",IFERROR(INDEX('Territory Factors'!$E$6:$E$56,MATCH($K131,'Territory Factors'!$B$6:$B$56,0)),"?"))</f>
        <v/>
      </c>
      <c r="BF131" s="99" t="str">
        <f>IF($A131="","",IFERROR(INDEX('City Accident Ratings'!$G$6:$G$54,MATCH($Z131,'City Accident Ratings'!$B$6:$B$54,0)),"?"))</f>
        <v/>
      </c>
      <c r="BG131" s="99" t="str">
        <f>IF($A131="","",IFERROR(INDEX('Usage and Coverage'!$D$6:$D$20,MATCH($N131,'Usage and Coverage'!$C$6:$C$20,0)),"?"))</f>
        <v/>
      </c>
      <c r="BH131" s="99" t="str">
        <f>IF($A131="","",IFERROR(INDEX('Usage and Coverage'!$C$24:$C$30,MATCH($O131,'Usage and Coverage'!$B$24:$B$30,0)),"?"))</f>
        <v/>
      </c>
      <c r="BI131" s="99" t="str">
        <f>IF($A131="","",IFERROR(INDEX('Usage and Coverage'!$C$34:$C$40,MATCH($P131,'Usage and Coverage'!$B$34:$B$40,0)),"?"))</f>
        <v/>
      </c>
      <c r="BJ131" s="99" t="str">
        <f>IF($A131="","",IFERROR(INDEX('Usage and Coverage'!$C$44:$C$49,MATCH($Q131,'Usage and Coverage'!$B$44:$B$49,0)),"?"))</f>
        <v/>
      </c>
      <c r="BK131" s="99" t="str">
        <f>IF($A131="","",IFERROR(INDEX(Deductibles!$C$6:$I$15,MATCH($W131,Deductibles!$B$6:$B$15,0),MATCH(MAX($J131,'Technical Premium'!$C$18),'Base Rates'!$C$3:$I$3,1)),"?"))</f>
        <v/>
      </c>
      <c r="BL131" s="99" t="str">
        <f>IF($A131="","",IFERROR(INDEX('Usage and Coverage'!$C$63:$C$66,MATCH($X131,'Usage and Coverage'!$B$63:$B$66,0)),"?"))</f>
        <v/>
      </c>
      <c r="BM131" s="99" t="str">
        <f>IF($A131="","",IFERROR(INDEX('Usage and Coverage'!$C$70:$C$75,MATCH($V131,'Usage and Coverage'!$B$70:$B$75,0)),"?"))</f>
        <v/>
      </c>
      <c r="BN131" s="99" t="str">
        <f>IF($A131="","",IF($AB131="",1,IFERROR(INDEX(Deductibles!$C$48:$C$51,MATCH($AB131,Deductibles!$B$48:$B$51,0)),"?")))</f>
        <v/>
      </c>
      <c r="BO131" s="99" t="str">
        <f>IF($A131="","",IF($AC131="",1,IFERROR(INDEX(Deductibles!$C$55:$C$57,MATCH($AC131,Deductibles!$B$55:$B$57,0)),"?")))</f>
        <v/>
      </c>
      <c r="BP131" s="99" t="str">
        <f>IF($A131="","",IF($AD131="",1,IFERROR(INDEX(Deductibles!$C$61:$C$63,MATCH($AD131,Deductibles!$B$61:$B$63,0)),"?")))</f>
        <v/>
      </c>
      <c r="BQ131" s="99" t="str">
        <f>IF($A131="","",IF($AE131="",1,IFERROR(INDEX(Deductibles!$C$67:$C$69,MATCH($AE131,Deductibles!$B$67:$B$69,0)),"?")))</f>
        <v/>
      </c>
      <c r="BR131" s="99" t="str">
        <f>IF($A131="","",IF($AF131="",1,IFERROR(INDEX(Deductibles!$C$73:$C$74,MATCH($AF131,Deductibles!$B$73:$B$74,0)),"?")))</f>
        <v/>
      </c>
      <c r="BS131" s="99" t="str">
        <f>IF($A131="","",IF($AG131="",1,IFERROR(INDEX('Sublimits and Parts'!$C$49:$C$52,MATCH($AG131,'Sublimits and Parts'!$B$49:$B$52,0)),"?")))</f>
        <v/>
      </c>
      <c r="BT131" s="99" t="str">
        <f>IF($A131="","",IF($AH131="",1,IFERROR(INDEX('Sublimits and Parts'!$C$56:$C$60,MATCH($AH131,'Sublimits and Parts'!$B$56:$B$60,0)),"?")))</f>
        <v/>
      </c>
      <c r="BU131" s="99" t="str">
        <f>IF($A131="","",IF($AI131="",1,IFERROR(INDEX('Sublimits and Parts'!$C$64:$C$67,MATCH($AI131,'Sublimits and Parts'!$B$64:$B$67,0)),"?")))</f>
        <v/>
      </c>
      <c r="BV131" s="99" t="str">
        <f>IF($A131="","",IF($AJ131="",1,IFERROR(INDEX('Sublimits and Parts'!$C$71:$C$74,MATCH($AJ131,'Sublimits and Parts'!$B$71:$B$74,0)),"?")))</f>
        <v/>
      </c>
      <c r="BW131" s="99" t="str">
        <f>IF($A131="","",IF($AK131="",1,IFERROR(INDEX('Sublimits and Parts'!$C$78:$C$80,MATCH($AK131,'Sublimits and Parts'!$B$78:$B$80,0)),"?")))</f>
        <v/>
      </c>
      <c r="BX131" s="99" t="str">
        <f>IF($A131="","",IF($AL131="",1,IFERROR(INDEX('Sublimits and Parts'!$C$84:$C$87,MATCH($AL131,'Sublimits and Parts'!$B$84:$B$87,0)),"?")))</f>
        <v/>
      </c>
      <c r="BY131" s="99" t="str">
        <f>IF($A131="","",IF($AM131="",1,IFERROR(INDEX('Sublimits and Parts'!$C$91:$C$94,MATCH($AM131,'Sublimits and Parts'!$B$91:$B$94,0)),"?")))</f>
        <v/>
      </c>
      <c r="BZ131" s="99" t="str">
        <f>IF($A131="","",IF($AN131="",1,IFERROR(INDEX('Sublimits and Parts'!$C$98:$C$101,MATCH($AN131,'Sublimits and Parts'!$B$98:$B$101,0)),"?")))</f>
        <v/>
      </c>
      <c r="CA131" s="99" t="str">
        <f>IF($A131="","",IF($AO131="",1,IFERROR(INDEX('Sublimits and Parts'!$C$105:$C$109,MATCH($AO131,'Sublimits and Parts'!$B$105:$B$109,0)),"?")))</f>
        <v/>
      </c>
      <c r="CB131" s="100" t="str">
        <f t="shared" si="15"/>
        <v/>
      </c>
      <c r="CC131" s="100" t="str">
        <f t="shared" si="16"/>
        <v/>
      </c>
      <c r="CD131" s="103" t="str">
        <f>IF($A131="","",IF(OR($CB131="?",$CC131="?"),"?",MIN($CB131*$CC131,'Technical Premium'!$C$17)))</f>
        <v/>
      </c>
      <c r="CE131" s="102" t="str">
        <f t="shared" si="17"/>
        <v/>
      </c>
      <c r="CF131" s="102" t="str">
        <f>IF($A131="","",IFERROR(INDEX('Territory Factors'!$F$6:$F$56,MATCH($K131,'Territory Factors'!$B$6:$B$56,0)),"?"))</f>
        <v/>
      </c>
      <c r="CG131" s="100" t="str">
        <f>IF($A131="","",IFERROR(INDEX('Usage and Coverage'!$C$79:$C$84,MATCH($Y131,'Usage and Coverage'!$B$79:$B$84,0)),"?"))</f>
        <v/>
      </c>
      <c r="CH131" s="102" t="str">
        <f>IFERROR(IF(ISNUMBER($CD131),$CF131*$CG131*MIN($BG131*$BA131*$BC131*$BD131*$BH131*$BF131,'Technical Premium'!$C$17),""),"")</f>
        <v/>
      </c>
      <c r="CI131" s="102" t="str">
        <f t="shared" si="18"/>
        <v/>
      </c>
      <c r="CJ131" s="102" t="str">
        <f>IFERROR($CI131*(1+'Technical Premium'!$C$5)*(1+'Technical Premium'!$C$6),"")</f>
        <v/>
      </c>
      <c r="CK131" s="102" t="str">
        <f>IFERROR($CE131*INDEX('Territory Factors'!$G$6:$G$56,MATCH($K131,'Territory Factors'!$B$6:$B$56,0))*$AU131*$AV131,"")</f>
        <v/>
      </c>
      <c r="CL131" s="102" t="str">
        <f>IFERROR(($CJ131+$CK131)*(1+'Technical Premium'!$C$7),"")</f>
        <v/>
      </c>
      <c r="CM131" s="104" t="str">
        <f>IFERROR($CL131/'Technical Premium'!$C$13,"")</f>
        <v/>
      </c>
      <c r="CN131" s="105" t="str">
        <f t="shared" si="19"/>
        <v/>
      </c>
      <c r="CO131" s="104" t="str">
        <f t="shared" si="20"/>
        <v/>
      </c>
      <c r="CP131" s="105" t="str">
        <f t="shared" si="21"/>
        <v/>
      </c>
      <c r="CQ131" s="106" t="str">
        <f t="shared" si="22"/>
        <v/>
      </c>
      <c r="CR131" s="102" t="str">
        <f>IF(ISNUMBER($CM131),'Technical Premium'!$C$14+IF($J131&gt;=1000000,'Technical Premium'!$C$15,0),"")</f>
        <v/>
      </c>
      <c r="CS131" s="102" t="str">
        <f>IFERROR(($CO131+$CR131)*(INDEX('Territory Factors'!$K$6:$K$56,MATCH($K131,'Territory Factors'!$B$6:$B$56,0))+'Commission Structure'!$C$21),"")</f>
        <v/>
      </c>
      <c r="CT131" s="104" t="str">
        <f t="shared" si="23"/>
        <v/>
      </c>
      <c r="CU131" s="102" t="str">
        <f>IFERROR($CO131*('Commission Structure'!$C$6+'Commission Structure'!$C$7),"")</f>
        <v/>
      </c>
      <c r="CV131" s="102" t="str">
        <f>IFERROR($CO131*'Commission Structure'!$C$5-$CU131,"")</f>
        <v/>
      </c>
      <c r="CW131" s="102" t="str">
        <f>IFERROR($CO131*(1-'Commission Structure'!$C$5),"")</f>
        <v/>
      </c>
      <c r="CX131" s="107"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8" t="str">
        <f t="shared" si="24"/>
        <v/>
      </c>
      <c r="CZ131" s="99" t="str">
        <f>IF($CY131="","",IF($CY131&lt;'Technical Premium'!$C$19,"BEYOND AUTHORITY",IF($CY131&gt;0.005,"Above technical",IF($CY131&lt;-0.005,"BELOW technical","At technical"))))</f>
        <v/>
      </c>
      <c r="DA131" s="99"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4"/>
      <c r="DC131" s="94"/>
      <c r="DD131" s="95"/>
      <c r="DE131" s="94"/>
      <c r="DF131" s="94"/>
      <c r="DG131" s="99" t="str">
        <f t="shared" si="25"/>
        <v/>
      </c>
      <c r="DH131" s="99" t="str">
        <f>IF($A131="","",IF(OR($CX131="REFER",$CX131="DECLINE"),COUNTIF($CX$5:$CX131,"REFER")+COUNTIF($CX$5:$CX131,"DECLINE"),""))</f>
        <v/>
      </c>
      <c r="DI131" s="94"/>
    </row>
    <row r="132" spans="1:113" x14ac:dyDescent="0.35">
      <c r="A132" s="94"/>
      <c r="B132" s="94"/>
      <c r="C132" s="95"/>
      <c r="D132" s="95"/>
      <c r="E132" s="96"/>
      <c r="F132" s="94"/>
      <c r="G132" s="94"/>
      <c r="H132" s="94"/>
      <c r="I132" s="94"/>
      <c r="J132" s="97"/>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8"/>
      <c r="AR132" s="99" t="str">
        <f t="shared" si="13"/>
        <v/>
      </c>
      <c r="AS132" s="99" t="str">
        <f>IF($A132="","",IF($AP132&lt;&gt;"",$AP132,IFERROR(INDEX('Cat Zone by ZIP'!$D$6:$D$856,MATCH($AR132,'Cat Zone by ZIP'!$B$6:$B$856,0)),IFERROR(INDEX('Cat Zone by ZIP'!$C$860:$C$910,MATCH($K132,'Cat Zone by ZIP'!$B$860:$B$910,0)),"NOT FOUND"))))</f>
        <v/>
      </c>
      <c r="AT132" s="99" t="str">
        <f>IF($A132="","",IF($AP132&lt;&gt;"","Override",IF(ISNUMBER(MATCH($AR132,'Cat Zone by ZIP'!$B$6:$B$856,0)),"ZIP-3","State default")))</f>
        <v/>
      </c>
      <c r="AU132" s="100" t="str">
        <f>IF($A132="","",IFERROR(INDEX('Natural Catastrophe'!$D$6:$D$17,MATCH($AS132,'Natural Catastrophe'!$B$6:$B$17,0)),"?"))</f>
        <v/>
      </c>
      <c r="AV132" s="100" t="str">
        <f>IF($A132="","",IFERROR(INDEX('Natural Catastrophe'!$C$21:$C$26,MATCH($AA132,'Natural Catastrophe'!$B$21:$B$26,0)),"?"))</f>
        <v/>
      </c>
      <c r="AW132" s="99" t="str">
        <f>IF($A132="","",IFERROR(INDEX('Base Rates'!$C$4:$I$4,MATCH(MAX($J132,'Technical Premium'!$C$18),'Base Rates'!$C$3:$I$3,1)),"?"))</f>
        <v/>
      </c>
      <c r="AX132" s="101" t="str">
        <f>IF($A132="","",IFERROR(INDEX('Base Rates'!$C$5:$I$16,MATCH($I132,'Base Rates'!$B$5:$B$16,0),MATCH(MAX($J132,'Technical Premium'!$C$18),'Base Rates'!$C$3:$I$3,1)),"?"))</f>
        <v/>
      </c>
      <c r="AY132" s="102" t="str">
        <f t="shared" si="14"/>
        <v/>
      </c>
      <c r="AZ132" s="99" t="str">
        <f>IF($A132="","",IFERROR(INDEX('Make Factors'!$G$5:$G$69,MATCH($F132,'Make Factors'!$B$5:$B$69,0)),"?"))</f>
        <v/>
      </c>
      <c r="BA132" s="99" t="str">
        <f>IF($A132="","",IFERROR(INDEX('Driver Factors'!$C$6:$C$15,MATCH($R132,'Driver Factors'!$B$6:$B$15,0)),"?"))</f>
        <v/>
      </c>
      <c r="BB132" s="99" t="str">
        <f>IF($A132="","",IFERROR(INDEX('Driver Factors'!$C$19:$C$24,MATCH($S132,'Driver Factors'!$B$19:$B$24,0)),"?"))</f>
        <v/>
      </c>
      <c r="BC132" s="99" t="str">
        <f>IF($A132="","",IFERROR(INDEX('Driver Factors'!$C$28:$C$36,MATCH($T132,'Driver Factors'!$B$28:$B$36,0)),"?"))</f>
        <v/>
      </c>
      <c r="BD132" s="99" t="str">
        <f>IF($A132="","",IFERROR(INDEX('Claims History'!$C$6:$C$15,MATCH($U132,'Claims History'!$B$6:$B$15,0)),"?"))</f>
        <v/>
      </c>
      <c r="BE132" s="99" t="str">
        <f>IF($A132="","",IFERROR(INDEX('Territory Factors'!$E$6:$E$56,MATCH($K132,'Territory Factors'!$B$6:$B$56,0)),"?"))</f>
        <v/>
      </c>
      <c r="BF132" s="99" t="str">
        <f>IF($A132="","",IFERROR(INDEX('City Accident Ratings'!$G$6:$G$54,MATCH($Z132,'City Accident Ratings'!$B$6:$B$54,0)),"?"))</f>
        <v/>
      </c>
      <c r="BG132" s="99" t="str">
        <f>IF($A132="","",IFERROR(INDEX('Usage and Coverage'!$D$6:$D$20,MATCH($N132,'Usage and Coverage'!$C$6:$C$20,0)),"?"))</f>
        <v/>
      </c>
      <c r="BH132" s="99" t="str">
        <f>IF($A132="","",IFERROR(INDEX('Usage and Coverage'!$C$24:$C$30,MATCH($O132,'Usage and Coverage'!$B$24:$B$30,0)),"?"))</f>
        <v/>
      </c>
      <c r="BI132" s="99" t="str">
        <f>IF($A132="","",IFERROR(INDEX('Usage and Coverage'!$C$34:$C$40,MATCH($P132,'Usage and Coverage'!$B$34:$B$40,0)),"?"))</f>
        <v/>
      </c>
      <c r="BJ132" s="99" t="str">
        <f>IF($A132="","",IFERROR(INDEX('Usage and Coverage'!$C$44:$C$49,MATCH($Q132,'Usage and Coverage'!$B$44:$B$49,0)),"?"))</f>
        <v/>
      </c>
      <c r="BK132" s="99" t="str">
        <f>IF($A132="","",IFERROR(INDEX(Deductibles!$C$6:$I$15,MATCH($W132,Deductibles!$B$6:$B$15,0),MATCH(MAX($J132,'Technical Premium'!$C$18),'Base Rates'!$C$3:$I$3,1)),"?"))</f>
        <v/>
      </c>
      <c r="BL132" s="99" t="str">
        <f>IF($A132="","",IFERROR(INDEX('Usage and Coverage'!$C$63:$C$66,MATCH($X132,'Usage and Coverage'!$B$63:$B$66,0)),"?"))</f>
        <v/>
      </c>
      <c r="BM132" s="99" t="str">
        <f>IF($A132="","",IFERROR(INDEX('Usage and Coverage'!$C$70:$C$75,MATCH($V132,'Usage and Coverage'!$B$70:$B$75,0)),"?"))</f>
        <v/>
      </c>
      <c r="BN132" s="99" t="str">
        <f>IF($A132="","",IF($AB132="",1,IFERROR(INDEX(Deductibles!$C$48:$C$51,MATCH($AB132,Deductibles!$B$48:$B$51,0)),"?")))</f>
        <v/>
      </c>
      <c r="BO132" s="99" t="str">
        <f>IF($A132="","",IF($AC132="",1,IFERROR(INDEX(Deductibles!$C$55:$C$57,MATCH($AC132,Deductibles!$B$55:$B$57,0)),"?")))</f>
        <v/>
      </c>
      <c r="BP132" s="99" t="str">
        <f>IF($A132="","",IF($AD132="",1,IFERROR(INDEX(Deductibles!$C$61:$C$63,MATCH($AD132,Deductibles!$B$61:$B$63,0)),"?")))</f>
        <v/>
      </c>
      <c r="BQ132" s="99" t="str">
        <f>IF($A132="","",IF($AE132="",1,IFERROR(INDEX(Deductibles!$C$67:$C$69,MATCH($AE132,Deductibles!$B$67:$B$69,0)),"?")))</f>
        <v/>
      </c>
      <c r="BR132" s="99" t="str">
        <f>IF($A132="","",IF($AF132="",1,IFERROR(INDEX(Deductibles!$C$73:$C$74,MATCH($AF132,Deductibles!$B$73:$B$74,0)),"?")))</f>
        <v/>
      </c>
      <c r="BS132" s="99" t="str">
        <f>IF($A132="","",IF($AG132="",1,IFERROR(INDEX('Sublimits and Parts'!$C$49:$C$52,MATCH($AG132,'Sublimits and Parts'!$B$49:$B$52,0)),"?")))</f>
        <v/>
      </c>
      <c r="BT132" s="99" t="str">
        <f>IF($A132="","",IF($AH132="",1,IFERROR(INDEX('Sublimits and Parts'!$C$56:$C$60,MATCH($AH132,'Sublimits and Parts'!$B$56:$B$60,0)),"?")))</f>
        <v/>
      </c>
      <c r="BU132" s="99" t="str">
        <f>IF($A132="","",IF($AI132="",1,IFERROR(INDEX('Sublimits and Parts'!$C$64:$C$67,MATCH($AI132,'Sublimits and Parts'!$B$64:$B$67,0)),"?")))</f>
        <v/>
      </c>
      <c r="BV132" s="99" t="str">
        <f>IF($A132="","",IF($AJ132="",1,IFERROR(INDEX('Sublimits and Parts'!$C$71:$C$74,MATCH($AJ132,'Sublimits and Parts'!$B$71:$B$74,0)),"?")))</f>
        <v/>
      </c>
      <c r="BW132" s="99" t="str">
        <f>IF($A132="","",IF($AK132="",1,IFERROR(INDEX('Sublimits and Parts'!$C$78:$C$80,MATCH($AK132,'Sublimits and Parts'!$B$78:$B$80,0)),"?")))</f>
        <v/>
      </c>
      <c r="BX132" s="99" t="str">
        <f>IF($A132="","",IF($AL132="",1,IFERROR(INDEX('Sublimits and Parts'!$C$84:$C$87,MATCH($AL132,'Sublimits and Parts'!$B$84:$B$87,0)),"?")))</f>
        <v/>
      </c>
      <c r="BY132" s="99" t="str">
        <f>IF($A132="","",IF($AM132="",1,IFERROR(INDEX('Sublimits and Parts'!$C$91:$C$94,MATCH($AM132,'Sublimits and Parts'!$B$91:$B$94,0)),"?")))</f>
        <v/>
      </c>
      <c r="BZ132" s="99" t="str">
        <f>IF($A132="","",IF($AN132="",1,IFERROR(INDEX('Sublimits and Parts'!$C$98:$C$101,MATCH($AN132,'Sublimits and Parts'!$B$98:$B$101,0)),"?")))</f>
        <v/>
      </c>
      <c r="CA132" s="99" t="str">
        <f>IF($A132="","",IF($AO132="",1,IFERROR(INDEX('Sublimits and Parts'!$C$105:$C$109,MATCH($AO132,'Sublimits and Parts'!$B$105:$B$109,0)),"?")))</f>
        <v/>
      </c>
      <c r="CB132" s="100" t="str">
        <f t="shared" si="15"/>
        <v/>
      </c>
      <c r="CC132" s="100" t="str">
        <f t="shared" si="16"/>
        <v/>
      </c>
      <c r="CD132" s="103" t="str">
        <f>IF($A132="","",IF(OR($CB132="?",$CC132="?"),"?",MIN($CB132*$CC132,'Technical Premium'!$C$17)))</f>
        <v/>
      </c>
      <c r="CE132" s="102" t="str">
        <f t="shared" si="17"/>
        <v/>
      </c>
      <c r="CF132" s="102" t="str">
        <f>IF($A132="","",IFERROR(INDEX('Territory Factors'!$F$6:$F$56,MATCH($K132,'Territory Factors'!$B$6:$B$56,0)),"?"))</f>
        <v/>
      </c>
      <c r="CG132" s="100" t="str">
        <f>IF($A132="","",IFERROR(INDEX('Usage and Coverage'!$C$79:$C$84,MATCH($Y132,'Usage and Coverage'!$B$79:$B$84,0)),"?"))</f>
        <v/>
      </c>
      <c r="CH132" s="102" t="str">
        <f>IFERROR(IF(ISNUMBER($CD132),$CF132*$CG132*MIN($BG132*$BA132*$BC132*$BD132*$BH132*$BF132,'Technical Premium'!$C$17),""),"")</f>
        <v/>
      </c>
      <c r="CI132" s="102" t="str">
        <f t="shared" si="18"/>
        <v/>
      </c>
      <c r="CJ132" s="102" t="str">
        <f>IFERROR($CI132*(1+'Technical Premium'!$C$5)*(1+'Technical Premium'!$C$6),"")</f>
        <v/>
      </c>
      <c r="CK132" s="102" t="str">
        <f>IFERROR($CE132*INDEX('Territory Factors'!$G$6:$G$56,MATCH($K132,'Territory Factors'!$B$6:$B$56,0))*$AU132*$AV132,"")</f>
        <v/>
      </c>
      <c r="CL132" s="102" t="str">
        <f>IFERROR(($CJ132+$CK132)*(1+'Technical Premium'!$C$7),"")</f>
        <v/>
      </c>
      <c r="CM132" s="104" t="str">
        <f>IFERROR($CL132/'Technical Premium'!$C$13,"")</f>
        <v/>
      </c>
      <c r="CN132" s="105" t="str">
        <f t="shared" si="19"/>
        <v/>
      </c>
      <c r="CO132" s="104" t="str">
        <f t="shared" si="20"/>
        <v/>
      </c>
      <c r="CP132" s="105" t="str">
        <f t="shared" si="21"/>
        <v/>
      </c>
      <c r="CQ132" s="106" t="str">
        <f t="shared" si="22"/>
        <v/>
      </c>
      <c r="CR132" s="102" t="str">
        <f>IF(ISNUMBER($CM132),'Technical Premium'!$C$14+IF($J132&gt;=1000000,'Technical Premium'!$C$15,0),"")</f>
        <v/>
      </c>
      <c r="CS132" s="102" t="str">
        <f>IFERROR(($CO132+$CR132)*(INDEX('Territory Factors'!$K$6:$K$56,MATCH($K132,'Territory Factors'!$B$6:$B$56,0))+'Commission Structure'!$C$21),"")</f>
        <v/>
      </c>
      <c r="CT132" s="104" t="str">
        <f t="shared" si="23"/>
        <v/>
      </c>
      <c r="CU132" s="102" t="str">
        <f>IFERROR($CO132*('Commission Structure'!$C$6+'Commission Structure'!$C$7),"")</f>
        <v/>
      </c>
      <c r="CV132" s="102" t="str">
        <f>IFERROR($CO132*'Commission Structure'!$C$5-$CU132,"")</f>
        <v/>
      </c>
      <c r="CW132" s="102" t="str">
        <f>IFERROR($CO132*(1-'Commission Structure'!$C$5),"")</f>
        <v/>
      </c>
      <c r="CX132" s="107"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8" t="str">
        <f t="shared" si="24"/>
        <v/>
      </c>
      <c r="CZ132" s="99" t="str">
        <f>IF($CY132="","",IF($CY132&lt;'Technical Premium'!$C$19,"BEYOND AUTHORITY",IF($CY132&gt;0.005,"Above technical",IF($CY132&lt;-0.005,"BELOW technical","At technical"))))</f>
        <v/>
      </c>
      <c r="DA132" s="99"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4"/>
      <c r="DC132" s="94"/>
      <c r="DD132" s="95"/>
      <c r="DE132" s="94"/>
      <c r="DF132" s="94"/>
      <c r="DG132" s="99" t="str">
        <f t="shared" si="25"/>
        <v/>
      </c>
      <c r="DH132" s="99" t="str">
        <f>IF($A132="","",IF(OR($CX132="REFER",$CX132="DECLINE"),COUNTIF($CX$5:$CX132,"REFER")+COUNTIF($CX$5:$CX132,"DECLINE"),""))</f>
        <v/>
      </c>
      <c r="DI132" s="94"/>
    </row>
    <row r="133" spans="1:113" x14ac:dyDescent="0.35">
      <c r="A133" s="94"/>
      <c r="B133" s="94"/>
      <c r="C133" s="95"/>
      <c r="D133" s="95"/>
      <c r="E133" s="96"/>
      <c r="F133" s="94"/>
      <c r="G133" s="94"/>
      <c r="H133" s="94"/>
      <c r="I133" s="94"/>
      <c r="J133" s="97"/>
      <c r="K133" s="94"/>
      <c r="L133" s="94"/>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8"/>
      <c r="AR133" s="99" t="str">
        <f t="shared" ref="AR133:AR196" si="26">IF($A133="","",IFERROR(LEFT(TEXT(VALUE($L133),"00000"),3),"---"))</f>
        <v/>
      </c>
      <c r="AS133" s="99" t="str">
        <f>IF($A133="","",IF($AP133&lt;&gt;"",$AP133,IFERROR(INDEX('Cat Zone by ZIP'!$D$6:$D$856,MATCH($AR133,'Cat Zone by ZIP'!$B$6:$B$856,0)),IFERROR(INDEX('Cat Zone by ZIP'!$C$860:$C$910,MATCH($K133,'Cat Zone by ZIP'!$B$860:$B$910,0)),"NOT FOUND"))))</f>
        <v/>
      </c>
      <c r="AT133" s="99" t="str">
        <f>IF($A133="","",IF($AP133&lt;&gt;"","Override",IF(ISNUMBER(MATCH($AR133,'Cat Zone by ZIP'!$B$6:$B$856,0)),"ZIP-3","State default")))</f>
        <v/>
      </c>
      <c r="AU133" s="100" t="str">
        <f>IF($A133="","",IFERROR(INDEX('Natural Catastrophe'!$D$6:$D$17,MATCH($AS133,'Natural Catastrophe'!$B$6:$B$17,0)),"?"))</f>
        <v/>
      </c>
      <c r="AV133" s="100" t="str">
        <f>IF($A133="","",IFERROR(INDEX('Natural Catastrophe'!$C$21:$C$26,MATCH($AA133,'Natural Catastrophe'!$B$21:$B$26,0)),"?"))</f>
        <v/>
      </c>
      <c r="AW133" s="99" t="str">
        <f>IF($A133="","",IFERROR(INDEX('Base Rates'!$C$4:$I$4,MATCH(MAX($J133,'Technical Premium'!$C$18),'Base Rates'!$C$3:$I$3,1)),"?"))</f>
        <v/>
      </c>
      <c r="AX133" s="101" t="str">
        <f>IF($A133="","",IFERROR(INDEX('Base Rates'!$C$5:$I$16,MATCH($I133,'Base Rates'!$B$5:$B$16,0),MATCH(MAX($J133,'Technical Premium'!$C$18),'Base Rates'!$C$3:$I$3,1)),"?"))</f>
        <v/>
      </c>
      <c r="AY133" s="102" t="str">
        <f t="shared" ref="AY133:AY196" si="27">IF(ISNUMBER($AX133),$J133/100*$AX133,"")</f>
        <v/>
      </c>
      <c r="AZ133" s="99" t="str">
        <f>IF($A133="","",IFERROR(INDEX('Make Factors'!$G$5:$G$69,MATCH($F133,'Make Factors'!$B$5:$B$69,0)),"?"))</f>
        <v/>
      </c>
      <c r="BA133" s="99" t="str">
        <f>IF($A133="","",IFERROR(INDEX('Driver Factors'!$C$6:$C$15,MATCH($R133,'Driver Factors'!$B$6:$B$15,0)),"?"))</f>
        <v/>
      </c>
      <c r="BB133" s="99" t="str">
        <f>IF($A133="","",IFERROR(INDEX('Driver Factors'!$C$19:$C$24,MATCH($S133,'Driver Factors'!$B$19:$B$24,0)),"?"))</f>
        <v/>
      </c>
      <c r="BC133" s="99" t="str">
        <f>IF($A133="","",IFERROR(INDEX('Driver Factors'!$C$28:$C$36,MATCH($T133,'Driver Factors'!$B$28:$B$36,0)),"?"))</f>
        <v/>
      </c>
      <c r="BD133" s="99" t="str">
        <f>IF($A133="","",IFERROR(INDEX('Claims History'!$C$6:$C$15,MATCH($U133,'Claims History'!$B$6:$B$15,0)),"?"))</f>
        <v/>
      </c>
      <c r="BE133" s="99" t="str">
        <f>IF($A133="","",IFERROR(INDEX('Territory Factors'!$E$6:$E$56,MATCH($K133,'Territory Factors'!$B$6:$B$56,0)),"?"))</f>
        <v/>
      </c>
      <c r="BF133" s="99" t="str">
        <f>IF($A133="","",IFERROR(INDEX('City Accident Ratings'!$G$6:$G$54,MATCH($Z133,'City Accident Ratings'!$B$6:$B$54,0)),"?"))</f>
        <v/>
      </c>
      <c r="BG133" s="99" t="str">
        <f>IF($A133="","",IFERROR(INDEX('Usage and Coverage'!$D$6:$D$20,MATCH($N133,'Usage and Coverage'!$C$6:$C$20,0)),"?"))</f>
        <v/>
      </c>
      <c r="BH133" s="99" t="str">
        <f>IF($A133="","",IFERROR(INDEX('Usage and Coverage'!$C$24:$C$30,MATCH($O133,'Usage and Coverage'!$B$24:$B$30,0)),"?"))</f>
        <v/>
      </c>
      <c r="BI133" s="99" t="str">
        <f>IF($A133="","",IFERROR(INDEX('Usage and Coverage'!$C$34:$C$40,MATCH($P133,'Usage and Coverage'!$B$34:$B$40,0)),"?"))</f>
        <v/>
      </c>
      <c r="BJ133" s="99" t="str">
        <f>IF($A133="","",IFERROR(INDEX('Usage and Coverage'!$C$44:$C$49,MATCH($Q133,'Usage and Coverage'!$B$44:$B$49,0)),"?"))</f>
        <v/>
      </c>
      <c r="BK133" s="99" t="str">
        <f>IF($A133="","",IFERROR(INDEX(Deductibles!$C$6:$I$15,MATCH($W133,Deductibles!$B$6:$B$15,0),MATCH(MAX($J133,'Technical Premium'!$C$18),'Base Rates'!$C$3:$I$3,1)),"?"))</f>
        <v/>
      </c>
      <c r="BL133" s="99" t="str">
        <f>IF($A133="","",IFERROR(INDEX('Usage and Coverage'!$C$63:$C$66,MATCH($X133,'Usage and Coverage'!$B$63:$B$66,0)),"?"))</f>
        <v/>
      </c>
      <c r="BM133" s="99" t="str">
        <f>IF($A133="","",IFERROR(INDEX('Usage and Coverage'!$C$70:$C$75,MATCH($V133,'Usage and Coverage'!$B$70:$B$75,0)),"?"))</f>
        <v/>
      </c>
      <c r="BN133" s="99" t="str">
        <f>IF($A133="","",IF($AB133="",1,IFERROR(INDEX(Deductibles!$C$48:$C$51,MATCH($AB133,Deductibles!$B$48:$B$51,0)),"?")))</f>
        <v/>
      </c>
      <c r="BO133" s="99" t="str">
        <f>IF($A133="","",IF($AC133="",1,IFERROR(INDEX(Deductibles!$C$55:$C$57,MATCH($AC133,Deductibles!$B$55:$B$57,0)),"?")))</f>
        <v/>
      </c>
      <c r="BP133" s="99" t="str">
        <f>IF($A133="","",IF($AD133="",1,IFERROR(INDEX(Deductibles!$C$61:$C$63,MATCH($AD133,Deductibles!$B$61:$B$63,0)),"?")))</f>
        <v/>
      </c>
      <c r="BQ133" s="99" t="str">
        <f>IF($A133="","",IF($AE133="",1,IFERROR(INDEX(Deductibles!$C$67:$C$69,MATCH($AE133,Deductibles!$B$67:$B$69,0)),"?")))</f>
        <v/>
      </c>
      <c r="BR133" s="99" t="str">
        <f>IF($A133="","",IF($AF133="",1,IFERROR(INDEX(Deductibles!$C$73:$C$74,MATCH($AF133,Deductibles!$B$73:$B$74,0)),"?")))</f>
        <v/>
      </c>
      <c r="BS133" s="99" t="str">
        <f>IF($A133="","",IF($AG133="",1,IFERROR(INDEX('Sublimits and Parts'!$C$49:$C$52,MATCH($AG133,'Sublimits and Parts'!$B$49:$B$52,0)),"?")))</f>
        <v/>
      </c>
      <c r="BT133" s="99" t="str">
        <f>IF($A133="","",IF($AH133="",1,IFERROR(INDEX('Sublimits and Parts'!$C$56:$C$60,MATCH($AH133,'Sublimits and Parts'!$B$56:$B$60,0)),"?")))</f>
        <v/>
      </c>
      <c r="BU133" s="99" t="str">
        <f>IF($A133="","",IF($AI133="",1,IFERROR(INDEX('Sublimits and Parts'!$C$64:$C$67,MATCH($AI133,'Sublimits and Parts'!$B$64:$B$67,0)),"?")))</f>
        <v/>
      </c>
      <c r="BV133" s="99" t="str">
        <f>IF($A133="","",IF($AJ133="",1,IFERROR(INDEX('Sublimits and Parts'!$C$71:$C$74,MATCH($AJ133,'Sublimits and Parts'!$B$71:$B$74,0)),"?")))</f>
        <v/>
      </c>
      <c r="BW133" s="99" t="str">
        <f>IF($A133="","",IF($AK133="",1,IFERROR(INDEX('Sublimits and Parts'!$C$78:$C$80,MATCH($AK133,'Sublimits and Parts'!$B$78:$B$80,0)),"?")))</f>
        <v/>
      </c>
      <c r="BX133" s="99" t="str">
        <f>IF($A133="","",IF($AL133="",1,IFERROR(INDEX('Sublimits and Parts'!$C$84:$C$87,MATCH($AL133,'Sublimits and Parts'!$B$84:$B$87,0)),"?")))</f>
        <v/>
      </c>
      <c r="BY133" s="99" t="str">
        <f>IF($A133="","",IF($AM133="",1,IFERROR(INDEX('Sublimits and Parts'!$C$91:$C$94,MATCH($AM133,'Sublimits and Parts'!$B$91:$B$94,0)),"?")))</f>
        <v/>
      </c>
      <c r="BZ133" s="99" t="str">
        <f>IF($A133="","",IF($AN133="",1,IFERROR(INDEX('Sublimits and Parts'!$C$98:$C$101,MATCH($AN133,'Sublimits and Parts'!$B$98:$B$101,0)),"?")))</f>
        <v/>
      </c>
      <c r="CA133" s="99" t="str">
        <f>IF($A133="","",IF($AO133="",1,IFERROR(INDEX('Sublimits and Parts'!$C$105:$C$109,MATCH($AO133,'Sublimits and Parts'!$B$105:$B$109,0)),"?")))</f>
        <v/>
      </c>
      <c r="CB133" s="100" t="str">
        <f t="shared" ref="CB133:CB196" si="28">IF($A133="","",IF(SUMPRODUCT(--ISTEXT($AZ133:$BM133))&gt;0,"?",PRODUCT($AZ133:$BM133)))</f>
        <v/>
      </c>
      <c r="CC133" s="100" t="str">
        <f t="shared" ref="CC133:CC196" si="29">IF($A133="","",IF(SUMPRODUCT(--ISTEXT($BN133:$CA133))&gt;0,"?",PRODUCT($BN133:$CA133)))</f>
        <v/>
      </c>
      <c r="CD133" s="103" t="str">
        <f>IF($A133="","",IF(OR($CB133="?",$CC133="?"),"?",MIN($CB133*$CC133,'Technical Premium'!$C$17)))</f>
        <v/>
      </c>
      <c r="CE133" s="102" t="str">
        <f t="shared" ref="CE133:CE196" si="30">IF(ISNUMBER($CD133),$AY133*$CD133,"")</f>
        <v/>
      </c>
      <c r="CF133" s="102" t="str">
        <f>IF($A133="","",IFERROR(INDEX('Territory Factors'!$F$6:$F$56,MATCH($K133,'Territory Factors'!$B$6:$B$56,0)),"?"))</f>
        <v/>
      </c>
      <c r="CG133" s="100" t="str">
        <f>IF($A133="","",IFERROR(INDEX('Usage and Coverage'!$C$79:$C$84,MATCH($Y133,'Usage and Coverage'!$B$79:$B$84,0)),"?"))</f>
        <v/>
      </c>
      <c r="CH133" s="102" t="str">
        <f>IFERROR(IF(ISNUMBER($CD133),$CF133*$CG133*MIN($BG133*$BA133*$BC133*$BD133*$BH133*$BF133,'Technical Premium'!$C$17),""),"")</f>
        <v/>
      </c>
      <c r="CI133" s="102" t="str">
        <f t="shared" ref="CI133:CI196" si="31">IFERROR($CE133+$CH133,"")</f>
        <v/>
      </c>
      <c r="CJ133" s="102" t="str">
        <f>IFERROR($CI133*(1+'Technical Premium'!$C$5)*(1+'Technical Premium'!$C$6),"")</f>
        <v/>
      </c>
      <c r="CK133" s="102" t="str">
        <f>IFERROR($CE133*INDEX('Territory Factors'!$G$6:$G$56,MATCH($K133,'Territory Factors'!$B$6:$B$56,0))*$AU133*$AV133,"")</f>
        <v/>
      </c>
      <c r="CL133" s="102" t="str">
        <f>IFERROR(($CJ133+$CK133)*(1+'Technical Premium'!$C$7),"")</f>
        <v/>
      </c>
      <c r="CM133" s="104" t="str">
        <f>IFERROR($CL133/'Technical Premium'!$C$13,"")</f>
        <v/>
      </c>
      <c r="CN133" s="105" t="str">
        <f t="shared" ref="CN133:CN196" si="32">IFERROR($CM133/$J133*100,"")</f>
        <v/>
      </c>
      <c r="CO133" s="104" t="str">
        <f t="shared" ref="CO133:CO196" si="33">IFERROR($CM133*(1+N($AQ133)),"")</f>
        <v/>
      </c>
      <c r="CP133" s="105" t="str">
        <f t="shared" ref="CP133:CP196" si="34">IFERROR($CO133/$J133*100,"")</f>
        <v/>
      </c>
      <c r="CQ133" s="106" t="str">
        <f t="shared" ref="CQ133:CQ196" si="35">IFERROR($CP133/$CN133,"")</f>
        <v/>
      </c>
      <c r="CR133" s="102" t="str">
        <f>IF(ISNUMBER($CM133),'Technical Premium'!$C$14+IF($J133&gt;=1000000,'Technical Premium'!$C$15,0),"")</f>
        <v/>
      </c>
      <c r="CS133" s="102" t="str">
        <f>IFERROR(($CO133+$CR133)*(INDEX('Territory Factors'!$K$6:$K$56,MATCH($K133,'Territory Factors'!$B$6:$B$56,0))+'Commission Structure'!$C$21),"")</f>
        <v/>
      </c>
      <c r="CT133" s="104" t="str">
        <f t="shared" ref="CT133:CT196" si="36">IFERROR($CO133+$CR133+$CS133,"")</f>
        <v/>
      </c>
      <c r="CU133" s="102" t="str">
        <f>IFERROR($CO133*('Commission Structure'!$C$6+'Commission Structure'!$C$7),"")</f>
        <v/>
      </c>
      <c r="CV133" s="102" t="str">
        <f>IFERROR($CO133*'Commission Structure'!$C$5-$CU133,"")</f>
        <v/>
      </c>
      <c r="CW133" s="102" t="str">
        <f>IFERROR($CO133*(1-'Commission Structure'!$C$5),"")</f>
        <v/>
      </c>
      <c r="CX133" s="107"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8" t="str">
        <f t="shared" ref="CY133:CY196" si="37">IFERROR($CO133/$CM133-1,"")</f>
        <v/>
      </c>
      <c r="CZ133" s="99" t="str">
        <f>IF($CY133="","",IF($CY133&lt;'Technical Premium'!$C$19,"BEYOND AUTHORITY",IF($CY133&gt;0.005,"Above technical",IF($CY133&lt;-0.005,"BELOW technical","At technical"))))</f>
        <v/>
      </c>
      <c r="DA133" s="99"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4"/>
      <c r="DC133" s="94"/>
      <c r="DD133" s="95"/>
      <c r="DE133" s="94"/>
      <c r="DF133" s="94"/>
      <c r="DG133" s="99" t="str">
        <f t="shared" ref="DG133:DG196" si="38">IF($A133="","",IF($CX133="DECLINE","NO - DECLINED",IF($CX133="CHECK INPUTS","NO - INCOMPLETE INPUTS",IF($CX133="AUTO-BIND","YES - within authority",IF(AND($DB133&lt;&gt;"",$DD133&lt;&gt;""),"YES - approved "&amp;TEXT($DD133,"dd-mmm-yy"),"NO - AWAITING APPROVAL")))))</f>
        <v/>
      </c>
      <c r="DH133" s="99" t="str">
        <f>IF($A133="","",IF(OR($CX133="REFER",$CX133="DECLINE"),COUNTIF($CX$5:$CX133,"REFER")+COUNTIF($CX$5:$CX133,"DECLINE"),""))</f>
        <v/>
      </c>
      <c r="DI133" s="94"/>
    </row>
    <row r="134" spans="1:113" x14ac:dyDescent="0.35">
      <c r="A134" s="94"/>
      <c r="B134" s="94"/>
      <c r="C134" s="95"/>
      <c r="D134" s="95"/>
      <c r="E134" s="96"/>
      <c r="F134" s="94"/>
      <c r="G134" s="94"/>
      <c r="H134" s="94"/>
      <c r="I134" s="94"/>
      <c r="J134" s="97"/>
      <c r="K134" s="94"/>
      <c r="L134" s="94"/>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8"/>
      <c r="AR134" s="99" t="str">
        <f t="shared" si="26"/>
        <v/>
      </c>
      <c r="AS134" s="99" t="str">
        <f>IF($A134="","",IF($AP134&lt;&gt;"",$AP134,IFERROR(INDEX('Cat Zone by ZIP'!$D$6:$D$856,MATCH($AR134,'Cat Zone by ZIP'!$B$6:$B$856,0)),IFERROR(INDEX('Cat Zone by ZIP'!$C$860:$C$910,MATCH($K134,'Cat Zone by ZIP'!$B$860:$B$910,0)),"NOT FOUND"))))</f>
        <v/>
      </c>
      <c r="AT134" s="99" t="str">
        <f>IF($A134="","",IF($AP134&lt;&gt;"","Override",IF(ISNUMBER(MATCH($AR134,'Cat Zone by ZIP'!$B$6:$B$856,0)),"ZIP-3","State default")))</f>
        <v/>
      </c>
      <c r="AU134" s="100" t="str">
        <f>IF($A134="","",IFERROR(INDEX('Natural Catastrophe'!$D$6:$D$17,MATCH($AS134,'Natural Catastrophe'!$B$6:$B$17,0)),"?"))</f>
        <v/>
      </c>
      <c r="AV134" s="100" t="str">
        <f>IF($A134="","",IFERROR(INDEX('Natural Catastrophe'!$C$21:$C$26,MATCH($AA134,'Natural Catastrophe'!$B$21:$B$26,0)),"?"))</f>
        <v/>
      </c>
      <c r="AW134" s="99" t="str">
        <f>IF($A134="","",IFERROR(INDEX('Base Rates'!$C$4:$I$4,MATCH(MAX($J134,'Technical Premium'!$C$18),'Base Rates'!$C$3:$I$3,1)),"?"))</f>
        <v/>
      </c>
      <c r="AX134" s="101" t="str">
        <f>IF($A134="","",IFERROR(INDEX('Base Rates'!$C$5:$I$16,MATCH($I134,'Base Rates'!$B$5:$B$16,0),MATCH(MAX($J134,'Technical Premium'!$C$18),'Base Rates'!$C$3:$I$3,1)),"?"))</f>
        <v/>
      </c>
      <c r="AY134" s="102" t="str">
        <f t="shared" si="27"/>
        <v/>
      </c>
      <c r="AZ134" s="99" t="str">
        <f>IF($A134="","",IFERROR(INDEX('Make Factors'!$G$5:$G$69,MATCH($F134,'Make Factors'!$B$5:$B$69,0)),"?"))</f>
        <v/>
      </c>
      <c r="BA134" s="99" t="str">
        <f>IF($A134="","",IFERROR(INDEX('Driver Factors'!$C$6:$C$15,MATCH($R134,'Driver Factors'!$B$6:$B$15,0)),"?"))</f>
        <v/>
      </c>
      <c r="BB134" s="99" t="str">
        <f>IF($A134="","",IFERROR(INDEX('Driver Factors'!$C$19:$C$24,MATCH($S134,'Driver Factors'!$B$19:$B$24,0)),"?"))</f>
        <v/>
      </c>
      <c r="BC134" s="99" t="str">
        <f>IF($A134="","",IFERROR(INDEX('Driver Factors'!$C$28:$C$36,MATCH($T134,'Driver Factors'!$B$28:$B$36,0)),"?"))</f>
        <v/>
      </c>
      <c r="BD134" s="99" t="str">
        <f>IF($A134="","",IFERROR(INDEX('Claims History'!$C$6:$C$15,MATCH($U134,'Claims History'!$B$6:$B$15,0)),"?"))</f>
        <v/>
      </c>
      <c r="BE134" s="99" t="str">
        <f>IF($A134="","",IFERROR(INDEX('Territory Factors'!$E$6:$E$56,MATCH($K134,'Territory Factors'!$B$6:$B$56,0)),"?"))</f>
        <v/>
      </c>
      <c r="BF134" s="99" t="str">
        <f>IF($A134="","",IFERROR(INDEX('City Accident Ratings'!$G$6:$G$54,MATCH($Z134,'City Accident Ratings'!$B$6:$B$54,0)),"?"))</f>
        <v/>
      </c>
      <c r="BG134" s="99" t="str">
        <f>IF($A134="","",IFERROR(INDEX('Usage and Coverage'!$D$6:$D$20,MATCH($N134,'Usage and Coverage'!$C$6:$C$20,0)),"?"))</f>
        <v/>
      </c>
      <c r="BH134" s="99" t="str">
        <f>IF($A134="","",IFERROR(INDEX('Usage and Coverage'!$C$24:$C$30,MATCH($O134,'Usage and Coverage'!$B$24:$B$30,0)),"?"))</f>
        <v/>
      </c>
      <c r="BI134" s="99" t="str">
        <f>IF($A134="","",IFERROR(INDEX('Usage and Coverage'!$C$34:$C$40,MATCH($P134,'Usage and Coverage'!$B$34:$B$40,0)),"?"))</f>
        <v/>
      </c>
      <c r="BJ134" s="99" t="str">
        <f>IF($A134="","",IFERROR(INDEX('Usage and Coverage'!$C$44:$C$49,MATCH($Q134,'Usage and Coverage'!$B$44:$B$49,0)),"?"))</f>
        <v/>
      </c>
      <c r="BK134" s="99" t="str">
        <f>IF($A134="","",IFERROR(INDEX(Deductibles!$C$6:$I$15,MATCH($W134,Deductibles!$B$6:$B$15,0),MATCH(MAX($J134,'Technical Premium'!$C$18),'Base Rates'!$C$3:$I$3,1)),"?"))</f>
        <v/>
      </c>
      <c r="BL134" s="99" t="str">
        <f>IF($A134="","",IFERROR(INDEX('Usage and Coverage'!$C$63:$C$66,MATCH($X134,'Usage and Coverage'!$B$63:$B$66,0)),"?"))</f>
        <v/>
      </c>
      <c r="BM134" s="99" t="str">
        <f>IF($A134="","",IFERROR(INDEX('Usage and Coverage'!$C$70:$C$75,MATCH($V134,'Usage and Coverage'!$B$70:$B$75,0)),"?"))</f>
        <v/>
      </c>
      <c r="BN134" s="99" t="str">
        <f>IF($A134="","",IF($AB134="",1,IFERROR(INDEX(Deductibles!$C$48:$C$51,MATCH($AB134,Deductibles!$B$48:$B$51,0)),"?")))</f>
        <v/>
      </c>
      <c r="BO134" s="99" t="str">
        <f>IF($A134="","",IF($AC134="",1,IFERROR(INDEX(Deductibles!$C$55:$C$57,MATCH($AC134,Deductibles!$B$55:$B$57,0)),"?")))</f>
        <v/>
      </c>
      <c r="BP134" s="99" t="str">
        <f>IF($A134="","",IF($AD134="",1,IFERROR(INDEX(Deductibles!$C$61:$C$63,MATCH($AD134,Deductibles!$B$61:$B$63,0)),"?")))</f>
        <v/>
      </c>
      <c r="BQ134" s="99" t="str">
        <f>IF($A134="","",IF($AE134="",1,IFERROR(INDEX(Deductibles!$C$67:$C$69,MATCH($AE134,Deductibles!$B$67:$B$69,0)),"?")))</f>
        <v/>
      </c>
      <c r="BR134" s="99" t="str">
        <f>IF($A134="","",IF($AF134="",1,IFERROR(INDEX(Deductibles!$C$73:$C$74,MATCH($AF134,Deductibles!$B$73:$B$74,0)),"?")))</f>
        <v/>
      </c>
      <c r="BS134" s="99" t="str">
        <f>IF($A134="","",IF($AG134="",1,IFERROR(INDEX('Sublimits and Parts'!$C$49:$C$52,MATCH($AG134,'Sublimits and Parts'!$B$49:$B$52,0)),"?")))</f>
        <v/>
      </c>
      <c r="BT134" s="99" t="str">
        <f>IF($A134="","",IF($AH134="",1,IFERROR(INDEX('Sublimits and Parts'!$C$56:$C$60,MATCH($AH134,'Sublimits and Parts'!$B$56:$B$60,0)),"?")))</f>
        <v/>
      </c>
      <c r="BU134" s="99" t="str">
        <f>IF($A134="","",IF($AI134="",1,IFERROR(INDEX('Sublimits and Parts'!$C$64:$C$67,MATCH($AI134,'Sublimits and Parts'!$B$64:$B$67,0)),"?")))</f>
        <v/>
      </c>
      <c r="BV134" s="99" t="str">
        <f>IF($A134="","",IF($AJ134="",1,IFERROR(INDEX('Sublimits and Parts'!$C$71:$C$74,MATCH($AJ134,'Sublimits and Parts'!$B$71:$B$74,0)),"?")))</f>
        <v/>
      </c>
      <c r="BW134" s="99" t="str">
        <f>IF($A134="","",IF($AK134="",1,IFERROR(INDEX('Sublimits and Parts'!$C$78:$C$80,MATCH($AK134,'Sublimits and Parts'!$B$78:$B$80,0)),"?")))</f>
        <v/>
      </c>
      <c r="BX134" s="99" t="str">
        <f>IF($A134="","",IF($AL134="",1,IFERROR(INDEX('Sublimits and Parts'!$C$84:$C$87,MATCH($AL134,'Sublimits and Parts'!$B$84:$B$87,0)),"?")))</f>
        <v/>
      </c>
      <c r="BY134" s="99" t="str">
        <f>IF($A134="","",IF($AM134="",1,IFERROR(INDEX('Sublimits and Parts'!$C$91:$C$94,MATCH($AM134,'Sublimits and Parts'!$B$91:$B$94,0)),"?")))</f>
        <v/>
      </c>
      <c r="BZ134" s="99" t="str">
        <f>IF($A134="","",IF($AN134="",1,IFERROR(INDEX('Sublimits and Parts'!$C$98:$C$101,MATCH($AN134,'Sublimits and Parts'!$B$98:$B$101,0)),"?")))</f>
        <v/>
      </c>
      <c r="CA134" s="99" t="str">
        <f>IF($A134="","",IF($AO134="",1,IFERROR(INDEX('Sublimits and Parts'!$C$105:$C$109,MATCH($AO134,'Sublimits and Parts'!$B$105:$B$109,0)),"?")))</f>
        <v/>
      </c>
      <c r="CB134" s="100" t="str">
        <f t="shared" si="28"/>
        <v/>
      </c>
      <c r="CC134" s="100" t="str">
        <f t="shared" si="29"/>
        <v/>
      </c>
      <c r="CD134" s="103" t="str">
        <f>IF($A134="","",IF(OR($CB134="?",$CC134="?"),"?",MIN($CB134*$CC134,'Technical Premium'!$C$17)))</f>
        <v/>
      </c>
      <c r="CE134" s="102" t="str">
        <f t="shared" si="30"/>
        <v/>
      </c>
      <c r="CF134" s="102" t="str">
        <f>IF($A134="","",IFERROR(INDEX('Territory Factors'!$F$6:$F$56,MATCH($K134,'Territory Factors'!$B$6:$B$56,0)),"?"))</f>
        <v/>
      </c>
      <c r="CG134" s="100" t="str">
        <f>IF($A134="","",IFERROR(INDEX('Usage and Coverage'!$C$79:$C$84,MATCH($Y134,'Usage and Coverage'!$B$79:$B$84,0)),"?"))</f>
        <v/>
      </c>
      <c r="CH134" s="102" t="str">
        <f>IFERROR(IF(ISNUMBER($CD134),$CF134*$CG134*MIN($BG134*$BA134*$BC134*$BD134*$BH134*$BF134,'Technical Premium'!$C$17),""),"")</f>
        <v/>
      </c>
      <c r="CI134" s="102" t="str">
        <f t="shared" si="31"/>
        <v/>
      </c>
      <c r="CJ134" s="102" t="str">
        <f>IFERROR($CI134*(1+'Technical Premium'!$C$5)*(1+'Technical Premium'!$C$6),"")</f>
        <v/>
      </c>
      <c r="CK134" s="102" t="str">
        <f>IFERROR($CE134*INDEX('Territory Factors'!$G$6:$G$56,MATCH($K134,'Territory Factors'!$B$6:$B$56,0))*$AU134*$AV134,"")</f>
        <v/>
      </c>
      <c r="CL134" s="102" t="str">
        <f>IFERROR(($CJ134+$CK134)*(1+'Technical Premium'!$C$7),"")</f>
        <v/>
      </c>
      <c r="CM134" s="104" t="str">
        <f>IFERROR($CL134/'Technical Premium'!$C$13,"")</f>
        <v/>
      </c>
      <c r="CN134" s="105" t="str">
        <f t="shared" si="32"/>
        <v/>
      </c>
      <c r="CO134" s="104" t="str">
        <f t="shared" si="33"/>
        <v/>
      </c>
      <c r="CP134" s="105" t="str">
        <f t="shared" si="34"/>
        <v/>
      </c>
      <c r="CQ134" s="106" t="str">
        <f t="shared" si="35"/>
        <v/>
      </c>
      <c r="CR134" s="102" t="str">
        <f>IF(ISNUMBER($CM134),'Technical Premium'!$C$14+IF($J134&gt;=1000000,'Technical Premium'!$C$15,0),"")</f>
        <v/>
      </c>
      <c r="CS134" s="102" t="str">
        <f>IFERROR(($CO134+$CR134)*(INDEX('Territory Factors'!$K$6:$K$56,MATCH($K134,'Territory Factors'!$B$6:$B$56,0))+'Commission Structure'!$C$21),"")</f>
        <v/>
      </c>
      <c r="CT134" s="104" t="str">
        <f t="shared" si="36"/>
        <v/>
      </c>
      <c r="CU134" s="102" t="str">
        <f>IFERROR($CO134*('Commission Structure'!$C$6+'Commission Structure'!$C$7),"")</f>
        <v/>
      </c>
      <c r="CV134" s="102" t="str">
        <f>IFERROR($CO134*'Commission Structure'!$C$5-$CU134,"")</f>
        <v/>
      </c>
      <c r="CW134" s="102" t="str">
        <f>IFERROR($CO134*(1-'Commission Structure'!$C$5),"")</f>
        <v/>
      </c>
      <c r="CX134" s="107"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8" t="str">
        <f t="shared" si="37"/>
        <v/>
      </c>
      <c r="CZ134" s="99" t="str">
        <f>IF($CY134="","",IF($CY134&lt;'Technical Premium'!$C$19,"BEYOND AUTHORITY",IF($CY134&gt;0.005,"Above technical",IF($CY134&lt;-0.005,"BELOW technical","At technical"))))</f>
        <v/>
      </c>
      <c r="DA134" s="99"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4"/>
      <c r="DC134" s="94"/>
      <c r="DD134" s="95"/>
      <c r="DE134" s="94"/>
      <c r="DF134" s="94"/>
      <c r="DG134" s="99" t="str">
        <f t="shared" si="38"/>
        <v/>
      </c>
      <c r="DH134" s="99" t="str">
        <f>IF($A134="","",IF(OR($CX134="REFER",$CX134="DECLINE"),COUNTIF($CX$5:$CX134,"REFER")+COUNTIF($CX$5:$CX134,"DECLINE"),""))</f>
        <v/>
      </c>
      <c r="DI134" s="94"/>
    </row>
    <row r="135" spans="1:113" x14ac:dyDescent="0.35">
      <c r="A135" s="94"/>
      <c r="B135" s="94"/>
      <c r="C135" s="95"/>
      <c r="D135" s="95"/>
      <c r="E135" s="96"/>
      <c r="F135" s="94"/>
      <c r="G135" s="94"/>
      <c r="H135" s="94"/>
      <c r="I135" s="94"/>
      <c r="J135" s="97"/>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8"/>
      <c r="AR135" s="99" t="str">
        <f t="shared" si="26"/>
        <v/>
      </c>
      <c r="AS135" s="99" t="str">
        <f>IF($A135="","",IF($AP135&lt;&gt;"",$AP135,IFERROR(INDEX('Cat Zone by ZIP'!$D$6:$D$856,MATCH($AR135,'Cat Zone by ZIP'!$B$6:$B$856,0)),IFERROR(INDEX('Cat Zone by ZIP'!$C$860:$C$910,MATCH($K135,'Cat Zone by ZIP'!$B$860:$B$910,0)),"NOT FOUND"))))</f>
        <v/>
      </c>
      <c r="AT135" s="99" t="str">
        <f>IF($A135="","",IF($AP135&lt;&gt;"","Override",IF(ISNUMBER(MATCH($AR135,'Cat Zone by ZIP'!$B$6:$B$856,0)),"ZIP-3","State default")))</f>
        <v/>
      </c>
      <c r="AU135" s="100" t="str">
        <f>IF($A135="","",IFERROR(INDEX('Natural Catastrophe'!$D$6:$D$17,MATCH($AS135,'Natural Catastrophe'!$B$6:$B$17,0)),"?"))</f>
        <v/>
      </c>
      <c r="AV135" s="100" t="str">
        <f>IF($A135="","",IFERROR(INDEX('Natural Catastrophe'!$C$21:$C$26,MATCH($AA135,'Natural Catastrophe'!$B$21:$B$26,0)),"?"))</f>
        <v/>
      </c>
      <c r="AW135" s="99" t="str">
        <f>IF($A135="","",IFERROR(INDEX('Base Rates'!$C$4:$I$4,MATCH(MAX($J135,'Technical Premium'!$C$18),'Base Rates'!$C$3:$I$3,1)),"?"))</f>
        <v/>
      </c>
      <c r="AX135" s="101" t="str">
        <f>IF($A135="","",IFERROR(INDEX('Base Rates'!$C$5:$I$16,MATCH($I135,'Base Rates'!$B$5:$B$16,0),MATCH(MAX($J135,'Technical Premium'!$C$18),'Base Rates'!$C$3:$I$3,1)),"?"))</f>
        <v/>
      </c>
      <c r="AY135" s="102" t="str">
        <f t="shared" si="27"/>
        <v/>
      </c>
      <c r="AZ135" s="99" t="str">
        <f>IF($A135="","",IFERROR(INDEX('Make Factors'!$G$5:$G$69,MATCH($F135,'Make Factors'!$B$5:$B$69,0)),"?"))</f>
        <v/>
      </c>
      <c r="BA135" s="99" t="str">
        <f>IF($A135="","",IFERROR(INDEX('Driver Factors'!$C$6:$C$15,MATCH($R135,'Driver Factors'!$B$6:$B$15,0)),"?"))</f>
        <v/>
      </c>
      <c r="BB135" s="99" t="str">
        <f>IF($A135="","",IFERROR(INDEX('Driver Factors'!$C$19:$C$24,MATCH($S135,'Driver Factors'!$B$19:$B$24,0)),"?"))</f>
        <v/>
      </c>
      <c r="BC135" s="99" t="str">
        <f>IF($A135="","",IFERROR(INDEX('Driver Factors'!$C$28:$C$36,MATCH($T135,'Driver Factors'!$B$28:$B$36,0)),"?"))</f>
        <v/>
      </c>
      <c r="BD135" s="99" t="str">
        <f>IF($A135="","",IFERROR(INDEX('Claims History'!$C$6:$C$15,MATCH($U135,'Claims History'!$B$6:$B$15,0)),"?"))</f>
        <v/>
      </c>
      <c r="BE135" s="99" t="str">
        <f>IF($A135="","",IFERROR(INDEX('Territory Factors'!$E$6:$E$56,MATCH($K135,'Territory Factors'!$B$6:$B$56,0)),"?"))</f>
        <v/>
      </c>
      <c r="BF135" s="99" t="str">
        <f>IF($A135="","",IFERROR(INDEX('City Accident Ratings'!$G$6:$G$54,MATCH($Z135,'City Accident Ratings'!$B$6:$B$54,0)),"?"))</f>
        <v/>
      </c>
      <c r="BG135" s="99" t="str">
        <f>IF($A135="","",IFERROR(INDEX('Usage and Coverage'!$D$6:$D$20,MATCH($N135,'Usage and Coverage'!$C$6:$C$20,0)),"?"))</f>
        <v/>
      </c>
      <c r="BH135" s="99" t="str">
        <f>IF($A135="","",IFERROR(INDEX('Usage and Coverage'!$C$24:$C$30,MATCH($O135,'Usage and Coverage'!$B$24:$B$30,0)),"?"))</f>
        <v/>
      </c>
      <c r="BI135" s="99" t="str">
        <f>IF($A135="","",IFERROR(INDEX('Usage and Coverage'!$C$34:$C$40,MATCH($P135,'Usage and Coverage'!$B$34:$B$40,0)),"?"))</f>
        <v/>
      </c>
      <c r="BJ135" s="99" t="str">
        <f>IF($A135="","",IFERROR(INDEX('Usage and Coverage'!$C$44:$C$49,MATCH($Q135,'Usage and Coverage'!$B$44:$B$49,0)),"?"))</f>
        <v/>
      </c>
      <c r="BK135" s="99" t="str">
        <f>IF($A135="","",IFERROR(INDEX(Deductibles!$C$6:$I$15,MATCH($W135,Deductibles!$B$6:$B$15,0),MATCH(MAX($J135,'Technical Premium'!$C$18),'Base Rates'!$C$3:$I$3,1)),"?"))</f>
        <v/>
      </c>
      <c r="BL135" s="99" t="str">
        <f>IF($A135="","",IFERROR(INDEX('Usage and Coverage'!$C$63:$C$66,MATCH($X135,'Usage and Coverage'!$B$63:$B$66,0)),"?"))</f>
        <v/>
      </c>
      <c r="BM135" s="99" t="str">
        <f>IF($A135="","",IFERROR(INDEX('Usage and Coverage'!$C$70:$C$75,MATCH($V135,'Usage and Coverage'!$B$70:$B$75,0)),"?"))</f>
        <v/>
      </c>
      <c r="BN135" s="99" t="str">
        <f>IF($A135="","",IF($AB135="",1,IFERROR(INDEX(Deductibles!$C$48:$C$51,MATCH($AB135,Deductibles!$B$48:$B$51,0)),"?")))</f>
        <v/>
      </c>
      <c r="BO135" s="99" t="str">
        <f>IF($A135="","",IF($AC135="",1,IFERROR(INDEX(Deductibles!$C$55:$C$57,MATCH($AC135,Deductibles!$B$55:$B$57,0)),"?")))</f>
        <v/>
      </c>
      <c r="BP135" s="99" t="str">
        <f>IF($A135="","",IF($AD135="",1,IFERROR(INDEX(Deductibles!$C$61:$C$63,MATCH($AD135,Deductibles!$B$61:$B$63,0)),"?")))</f>
        <v/>
      </c>
      <c r="BQ135" s="99" t="str">
        <f>IF($A135="","",IF($AE135="",1,IFERROR(INDEX(Deductibles!$C$67:$C$69,MATCH($AE135,Deductibles!$B$67:$B$69,0)),"?")))</f>
        <v/>
      </c>
      <c r="BR135" s="99" t="str">
        <f>IF($A135="","",IF($AF135="",1,IFERROR(INDEX(Deductibles!$C$73:$C$74,MATCH($AF135,Deductibles!$B$73:$B$74,0)),"?")))</f>
        <v/>
      </c>
      <c r="BS135" s="99" t="str">
        <f>IF($A135="","",IF($AG135="",1,IFERROR(INDEX('Sublimits and Parts'!$C$49:$C$52,MATCH($AG135,'Sublimits and Parts'!$B$49:$B$52,0)),"?")))</f>
        <v/>
      </c>
      <c r="BT135" s="99" t="str">
        <f>IF($A135="","",IF($AH135="",1,IFERROR(INDEX('Sublimits and Parts'!$C$56:$C$60,MATCH($AH135,'Sublimits and Parts'!$B$56:$B$60,0)),"?")))</f>
        <v/>
      </c>
      <c r="BU135" s="99" t="str">
        <f>IF($A135="","",IF($AI135="",1,IFERROR(INDEX('Sublimits and Parts'!$C$64:$C$67,MATCH($AI135,'Sublimits and Parts'!$B$64:$B$67,0)),"?")))</f>
        <v/>
      </c>
      <c r="BV135" s="99" t="str">
        <f>IF($A135="","",IF($AJ135="",1,IFERROR(INDEX('Sublimits and Parts'!$C$71:$C$74,MATCH($AJ135,'Sublimits and Parts'!$B$71:$B$74,0)),"?")))</f>
        <v/>
      </c>
      <c r="BW135" s="99" t="str">
        <f>IF($A135="","",IF($AK135="",1,IFERROR(INDEX('Sublimits and Parts'!$C$78:$C$80,MATCH($AK135,'Sublimits and Parts'!$B$78:$B$80,0)),"?")))</f>
        <v/>
      </c>
      <c r="BX135" s="99" t="str">
        <f>IF($A135="","",IF($AL135="",1,IFERROR(INDEX('Sublimits and Parts'!$C$84:$C$87,MATCH($AL135,'Sublimits and Parts'!$B$84:$B$87,0)),"?")))</f>
        <v/>
      </c>
      <c r="BY135" s="99" t="str">
        <f>IF($A135="","",IF($AM135="",1,IFERROR(INDEX('Sublimits and Parts'!$C$91:$C$94,MATCH($AM135,'Sublimits and Parts'!$B$91:$B$94,0)),"?")))</f>
        <v/>
      </c>
      <c r="BZ135" s="99" t="str">
        <f>IF($A135="","",IF($AN135="",1,IFERROR(INDEX('Sublimits and Parts'!$C$98:$C$101,MATCH($AN135,'Sublimits and Parts'!$B$98:$B$101,0)),"?")))</f>
        <v/>
      </c>
      <c r="CA135" s="99" t="str">
        <f>IF($A135="","",IF($AO135="",1,IFERROR(INDEX('Sublimits and Parts'!$C$105:$C$109,MATCH($AO135,'Sublimits and Parts'!$B$105:$B$109,0)),"?")))</f>
        <v/>
      </c>
      <c r="CB135" s="100" t="str">
        <f t="shared" si="28"/>
        <v/>
      </c>
      <c r="CC135" s="100" t="str">
        <f t="shared" si="29"/>
        <v/>
      </c>
      <c r="CD135" s="103" t="str">
        <f>IF($A135="","",IF(OR($CB135="?",$CC135="?"),"?",MIN($CB135*$CC135,'Technical Premium'!$C$17)))</f>
        <v/>
      </c>
      <c r="CE135" s="102" t="str">
        <f t="shared" si="30"/>
        <v/>
      </c>
      <c r="CF135" s="102" t="str">
        <f>IF($A135="","",IFERROR(INDEX('Territory Factors'!$F$6:$F$56,MATCH($K135,'Territory Factors'!$B$6:$B$56,0)),"?"))</f>
        <v/>
      </c>
      <c r="CG135" s="100" t="str">
        <f>IF($A135="","",IFERROR(INDEX('Usage and Coverage'!$C$79:$C$84,MATCH($Y135,'Usage and Coverage'!$B$79:$B$84,0)),"?"))</f>
        <v/>
      </c>
      <c r="CH135" s="102" t="str">
        <f>IFERROR(IF(ISNUMBER($CD135),$CF135*$CG135*MIN($BG135*$BA135*$BC135*$BD135*$BH135*$BF135,'Technical Premium'!$C$17),""),"")</f>
        <v/>
      </c>
      <c r="CI135" s="102" t="str">
        <f t="shared" si="31"/>
        <v/>
      </c>
      <c r="CJ135" s="102" t="str">
        <f>IFERROR($CI135*(1+'Technical Premium'!$C$5)*(1+'Technical Premium'!$C$6),"")</f>
        <v/>
      </c>
      <c r="CK135" s="102" t="str">
        <f>IFERROR($CE135*INDEX('Territory Factors'!$G$6:$G$56,MATCH($K135,'Territory Factors'!$B$6:$B$56,0))*$AU135*$AV135,"")</f>
        <v/>
      </c>
      <c r="CL135" s="102" t="str">
        <f>IFERROR(($CJ135+$CK135)*(1+'Technical Premium'!$C$7),"")</f>
        <v/>
      </c>
      <c r="CM135" s="104" t="str">
        <f>IFERROR($CL135/'Technical Premium'!$C$13,"")</f>
        <v/>
      </c>
      <c r="CN135" s="105" t="str">
        <f t="shared" si="32"/>
        <v/>
      </c>
      <c r="CO135" s="104" t="str">
        <f t="shared" si="33"/>
        <v/>
      </c>
      <c r="CP135" s="105" t="str">
        <f t="shared" si="34"/>
        <v/>
      </c>
      <c r="CQ135" s="106" t="str">
        <f t="shared" si="35"/>
        <v/>
      </c>
      <c r="CR135" s="102" t="str">
        <f>IF(ISNUMBER($CM135),'Technical Premium'!$C$14+IF($J135&gt;=1000000,'Technical Premium'!$C$15,0),"")</f>
        <v/>
      </c>
      <c r="CS135" s="102" t="str">
        <f>IFERROR(($CO135+$CR135)*(INDEX('Territory Factors'!$K$6:$K$56,MATCH($K135,'Territory Factors'!$B$6:$B$56,0))+'Commission Structure'!$C$21),"")</f>
        <v/>
      </c>
      <c r="CT135" s="104" t="str">
        <f t="shared" si="36"/>
        <v/>
      </c>
      <c r="CU135" s="102" t="str">
        <f>IFERROR($CO135*('Commission Structure'!$C$6+'Commission Structure'!$C$7),"")</f>
        <v/>
      </c>
      <c r="CV135" s="102" t="str">
        <f>IFERROR($CO135*'Commission Structure'!$C$5-$CU135,"")</f>
        <v/>
      </c>
      <c r="CW135" s="102" t="str">
        <f>IFERROR($CO135*(1-'Commission Structure'!$C$5),"")</f>
        <v/>
      </c>
      <c r="CX135" s="107"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8" t="str">
        <f t="shared" si="37"/>
        <v/>
      </c>
      <c r="CZ135" s="99" t="str">
        <f>IF($CY135="","",IF($CY135&lt;'Technical Premium'!$C$19,"BEYOND AUTHORITY",IF($CY135&gt;0.005,"Above technical",IF($CY135&lt;-0.005,"BELOW technical","At technical"))))</f>
        <v/>
      </c>
      <c r="DA135" s="99"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4"/>
      <c r="DC135" s="94"/>
      <c r="DD135" s="95"/>
      <c r="DE135" s="94"/>
      <c r="DF135" s="94"/>
      <c r="DG135" s="99" t="str">
        <f t="shared" si="38"/>
        <v/>
      </c>
      <c r="DH135" s="99" t="str">
        <f>IF($A135="","",IF(OR($CX135="REFER",$CX135="DECLINE"),COUNTIF($CX$5:$CX135,"REFER")+COUNTIF($CX$5:$CX135,"DECLINE"),""))</f>
        <v/>
      </c>
      <c r="DI135" s="94"/>
    </row>
    <row r="136" spans="1:113" x14ac:dyDescent="0.35">
      <c r="A136" s="94"/>
      <c r="B136" s="94"/>
      <c r="C136" s="95"/>
      <c r="D136" s="95"/>
      <c r="E136" s="96"/>
      <c r="F136" s="94"/>
      <c r="G136" s="94"/>
      <c r="H136" s="94"/>
      <c r="I136" s="94"/>
      <c r="J136" s="97"/>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8"/>
      <c r="AR136" s="99" t="str">
        <f t="shared" si="26"/>
        <v/>
      </c>
      <c r="AS136" s="99" t="str">
        <f>IF($A136="","",IF($AP136&lt;&gt;"",$AP136,IFERROR(INDEX('Cat Zone by ZIP'!$D$6:$D$856,MATCH($AR136,'Cat Zone by ZIP'!$B$6:$B$856,0)),IFERROR(INDEX('Cat Zone by ZIP'!$C$860:$C$910,MATCH($K136,'Cat Zone by ZIP'!$B$860:$B$910,0)),"NOT FOUND"))))</f>
        <v/>
      </c>
      <c r="AT136" s="99" t="str">
        <f>IF($A136="","",IF($AP136&lt;&gt;"","Override",IF(ISNUMBER(MATCH($AR136,'Cat Zone by ZIP'!$B$6:$B$856,0)),"ZIP-3","State default")))</f>
        <v/>
      </c>
      <c r="AU136" s="100" t="str">
        <f>IF($A136="","",IFERROR(INDEX('Natural Catastrophe'!$D$6:$D$17,MATCH($AS136,'Natural Catastrophe'!$B$6:$B$17,0)),"?"))</f>
        <v/>
      </c>
      <c r="AV136" s="100" t="str">
        <f>IF($A136="","",IFERROR(INDEX('Natural Catastrophe'!$C$21:$C$26,MATCH($AA136,'Natural Catastrophe'!$B$21:$B$26,0)),"?"))</f>
        <v/>
      </c>
      <c r="AW136" s="99" t="str">
        <f>IF($A136="","",IFERROR(INDEX('Base Rates'!$C$4:$I$4,MATCH(MAX($J136,'Technical Premium'!$C$18),'Base Rates'!$C$3:$I$3,1)),"?"))</f>
        <v/>
      </c>
      <c r="AX136" s="101" t="str">
        <f>IF($A136="","",IFERROR(INDEX('Base Rates'!$C$5:$I$16,MATCH($I136,'Base Rates'!$B$5:$B$16,0),MATCH(MAX($J136,'Technical Premium'!$C$18),'Base Rates'!$C$3:$I$3,1)),"?"))</f>
        <v/>
      </c>
      <c r="AY136" s="102" t="str">
        <f t="shared" si="27"/>
        <v/>
      </c>
      <c r="AZ136" s="99" t="str">
        <f>IF($A136="","",IFERROR(INDEX('Make Factors'!$G$5:$G$69,MATCH($F136,'Make Factors'!$B$5:$B$69,0)),"?"))</f>
        <v/>
      </c>
      <c r="BA136" s="99" t="str">
        <f>IF($A136="","",IFERROR(INDEX('Driver Factors'!$C$6:$C$15,MATCH($R136,'Driver Factors'!$B$6:$B$15,0)),"?"))</f>
        <v/>
      </c>
      <c r="BB136" s="99" t="str">
        <f>IF($A136="","",IFERROR(INDEX('Driver Factors'!$C$19:$C$24,MATCH($S136,'Driver Factors'!$B$19:$B$24,0)),"?"))</f>
        <v/>
      </c>
      <c r="BC136" s="99" t="str">
        <f>IF($A136="","",IFERROR(INDEX('Driver Factors'!$C$28:$C$36,MATCH($T136,'Driver Factors'!$B$28:$B$36,0)),"?"))</f>
        <v/>
      </c>
      <c r="BD136" s="99" t="str">
        <f>IF($A136="","",IFERROR(INDEX('Claims History'!$C$6:$C$15,MATCH($U136,'Claims History'!$B$6:$B$15,0)),"?"))</f>
        <v/>
      </c>
      <c r="BE136" s="99" t="str">
        <f>IF($A136="","",IFERROR(INDEX('Territory Factors'!$E$6:$E$56,MATCH($K136,'Territory Factors'!$B$6:$B$56,0)),"?"))</f>
        <v/>
      </c>
      <c r="BF136" s="99" t="str">
        <f>IF($A136="","",IFERROR(INDEX('City Accident Ratings'!$G$6:$G$54,MATCH($Z136,'City Accident Ratings'!$B$6:$B$54,0)),"?"))</f>
        <v/>
      </c>
      <c r="BG136" s="99" t="str">
        <f>IF($A136="","",IFERROR(INDEX('Usage and Coverage'!$D$6:$D$20,MATCH($N136,'Usage and Coverage'!$C$6:$C$20,0)),"?"))</f>
        <v/>
      </c>
      <c r="BH136" s="99" t="str">
        <f>IF($A136="","",IFERROR(INDEX('Usage and Coverage'!$C$24:$C$30,MATCH($O136,'Usage and Coverage'!$B$24:$B$30,0)),"?"))</f>
        <v/>
      </c>
      <c r="BI136" s="99" t="str">
        <f>IF($A136="","",IFERROR(INDEX('Usage and Coverage'!$C$34:$C$40,MATCH($P136,'Usage and Coverage'!$B$34:$B$40,0)),"?"))</f>
        <v/>
      </c>
      <c r="BJ136" s="99" t="str">
        <f>IF($A136="","",IFERROR(INDEX('Usage and Coverage'!$C$44:$C$49,MATCH($Q136,'Usage and Coverage'!$B$44:$B$49,0)),"?"))</f>
        <v/>
      </c>
      <c r="BK136" s="99" t="str">
        <f>IF($A136="","",IFERROR(INDEX(Deductibles!$C$6:$I$15,MATCH($W136,Deductibles!$B$6:$B$15,0),MATCH(MAX($J136,'Technical Premium'!$C$18),'Base Rates'!$C$3:$I$3,1)),"?"))</f>
        <v/>
      </c>
      <c r="BL136" s="99" t="str">
        <f>IF($A136="","",IFERROR(INDEX('Usage and Coverage'!$C$63:$C$66,MATCH($X136,'Usage and Coverage'!$B$63:$B$66,0)),"?"))</f>
        <v/>
      </c>
      <c r="BM136" s="99" t="str">
        <f>IF($A136="","",IFERROR(INDEX('Usage and Coverage'!$C$70:$C$75,MATCH($V136,'Usage and Coverage'!$B$70:$B$75,0)),"?"))</f>
        <v/>
      </c>
      <c r="BN136" s="99" t="str">
        <f>IF($A136="","",IF($AB136="",1,IFERROR(INDEX(Deductibles!$C$48:$C$51,MATCH($AB136,Deductibles!$B$48:$B$51,0)),"?")))</f>
        <v/>
      </c>
      <c r="BO136" s="99" t="str">
        <f>IF($A136="","",IF($AC136="",1,IFERROR(INDEX(Deductibles!$C$55:$C$57,MATCH($AC136,Deductibles!$B$55:$B$57,0)),"?")))</f>
        <v/>
      </c>
      <c r="BP136" s="99" t="str">
        <f>IF($A136="","",IF($AD136="",1,IFERROR(INDEX(Deductibles!$C$61:$C$63,MATCH($AD136,Deductibles!$B$61:$B$63,0)),"?")))</f>
        <v/>
      </c>
      <c r="BQ136" s="99" t="str">
        <f>IF($A136="","",IF($AE136="",1,IFERROR(INDEX(Deductibles!$C$67:$C$69,MATCH($AE136,Deductibles!$B$67:$B$69,0)),"?")))</f>
        <v/>
      </c>
      <c r="BR136" s="99" t="str">
        <f>IF($A136="","",IF($AF136="",1,IFERROR(INDEX(Deductibles!$C$73:$C$74,MATCH($AF136,Deductibles!$B$73:$B$74,0)),"?")))</f>
        <v/>
      </c>
      <c r="BS136" s="99" t="str">
        <f>IF($A136="","",IF($AG136="",1,IFERROR(INDEX('Sublimits and Parts'!$C$49:$C$52,MATCH($AG136,'Sublimits and Parts'!$B$49:$B$52,0)),"?")))</f>
        <v/>
      </c>
      <c r="BT136" s="99" t="str">
        <f>IF($A136="","",IF($AH136="",1,IFERROR(INDEX('Sublimits and Parts'!$C$56:$C$60,MATCH($AH136,'Sublimits and Parts'!$B$56:$B$60,0)),"?")))</f>
        <v/>
      </c>
      <c r="BU136" s="99" t="str">
        <f>IF($A136="","",IF($AI136="",1,IFERROR(INDEX('Sublimits and Parts'!$C$64:$C$67,MATCH($AI136,'Sublimits and Parts'!$B$64:$B$67,0)),"?")))</f>
        <v/>
      </c>
      <c r="BV136" s="99" t="str">
        <f>IF($A136="","",IF($AJ136="",1,IFERROR(INDEX('Sublimits and Parts'!$C$71:$C$74,MATCH($AJ136,'Sublimits and Parts'!$B$71:$B$74,0)),"?")))</f>
        <v/>
      </c>
      <c r="BW136" s="99" t="str">
        <f>IF($A136="","",IF($AK136="",1,IFERROR(INDEX('Sublimits and Parts'!$C$78:$C$80,MATCH($AK136,'Sublimits and Parts'!$B$78:$B$80,0)),"?")))</f>
        <v/>
      </c>
      <c r="BX136" s="99" t="str">
        <f>IF($A136="","",IF($AL136="",1,IFERROR(INDEX('Sublimits and Parts'!$C$84:$C$87,MATCH($AL136,'Sublimits and Parts'!$B$84:$B$87,0)),"?")))</f>
        <v/>
      </c>
      <c r="BY136" s="99" t="str">
        <f>IF($A136="","",IF($AM136="",1,IFERROR(INDEX('Sublimits and Parts'!$C$91:$C$94,MATCH($AM136,'Sublimits and Parts'!$B$91:$B$94,0)),"?")))</f>
        <v/>
      </c>
      <c r="BZ136" s="99" t="str">
        <f>IF($A136="","",IF($AN136="",1,IFERROR(INDEX('Sublimits and Parts'!$C$98:$C$101,MATCH($AN136,'Sublimits and Parts'!$B$98:$B$101,0)),"?")))</f>
        <v/>
      </c>
      <c r="CA136" s="99" t="str">
        <f>IF($A136="","",IF($AO136="",1,IFERROR(INDEX('Sublimits and Parts'!$C$105:$C$109,MATCH($AO136,'Sublimits and Parts'!$B$105:$B$109,0)),"?")))</f>
        <v/>
      </c>
      <c r="CB136" s="100" t="str">
        <f t="shared" si="28"/>
        <v/>
      </c>
      <c r="CC136" s="100" t="str">
        <f t="shared" si="29"/>
        <v/>
      </c>
      <c r="CD136" s="103" t="str">
        <f>IF($A136="","",IF(OR($CB136="?",$CC136="?"),"?",MIN($CB136*$CC136,'Technical Premium'!$C$17)))</f>
        <v/>
      </c>
      <c r="CE136" s="102" t="str">
        <f t="shared" si="30"/>
        <v/>
      </c>
      <c r="CF136" s="102" t="str">
        <f>IF($A136="","",IFERROR(INDEX('Territory Factors'!$F$6:$F$56,MATCH($K136,'Territory Factors'!$B$6:$B$56,0)),"?"))</f>
        <v/>
      </c>
      <c r="CG136" s="100" t="str">
        <f>IF($A136="","",IFERROR(INDEX('Usage and Coverage'!$C$79:$C$84,MATCH($Y136,'Usage and Coverage'!$B$79:$B$84,0)),"?"))</f>
        <v/>
      </c>
      <c r="CH136" s="102" t="str">
        <f>IFERROR(IF(ISNUMBER($CD136),$CF136*$CG136*MIN($BG136*$BA136*$BC136*$BD136*$BH136*$BF136,'Technical Premium'!$C$17),""),"")</f>
        <v/>
      </c>
      <c r="CI136" s="102" t="str">
        <f t="shared" si="31"/>
        <v/>
      </c>
      <c r="CJ136" s="102" t="str">
        <f>IFERROR($CI136*(1+'Technical Premium'!$C$5)*(1+'Technical Premium'!$C$6),"")</f>
        <v/>
      </c>
      <c r="CK136" s="102" t="str">
        <f>IFERROR($CE136*INDEX('Territory Factors'!$G$6:$G$56,MATCH($K136,'Territory Factors'!$B$6:$B$56,0))*$AU136*$AV136,"")</f>
        <v/>
      </c>
      <c r="CL136" s="102" t="str">
        <f>IFERROR(($CJ136+$CK136)*(1+'Technical Premium'!$C$7),"")</f>
        <v/>
      </c>
      <c r="CM136" s="104" t="str">
        <f>IFERROR($CL136/'Technical Premium'!$C$13,"")</f>
        <v/>
      </c>
      <c r="CN136" s="105" t="str">
        <f t="shared" si="32"/>
        <v/>
      </c>
      <c r="CO136" s="104" t="str">
        <f t="shared" si="33"/>
        <v/>
      </c>
      <c r="CP136" s="105" t="str">
        <f t="shared" si="34"/>
        <v/>
      </c>
      <c r="CQ136" s="106" t="str">
        <f t="shared" si="35"/>
        <v/>
      </c>
      <c r="CR136" s="102" t="str">
        <f>IF(ISNUMBER($CM136),'Technical Premium'!$C$14+IF($J136&gt;=1000000,'Technical Premium'!$C$15,0),"")</f>
        <v/>
      </c>
      <c r="CS136" s="102" t="str">
        <f>IFERROR(($CO136+$CR136)*(INDEX('Territory Factors'!$K$6:$K$56,MATCH($K136,'Territory Factors'!$B$6:$B$56,0))+'Commission Structure'!$C$21),"")</f>
        <v/>
      </c>
      <c r="CT136" s="104" t="str">
        <f t="shared" si="36"/>
        <v/>
      </c>
      <c r="CU136" s="102" t="str">
        <f>IFERROR($CO136*('Commission Structure'!$C$6+'Commission Structure'!$C$7),"")</f>
        <v/>
      </c>
      <c r="CV136" s="102" t="str">
        <f>IFERROR($CO136*'Commission Structure'!$C$5-$CU136,"")</f>
        <v/>
      </c>
      <c r="CW136" s="102" t="str">
        <f>IFERROR($CO136*(1-'Commission Structure'!$C$5),"")</f>
        <v/>
      </c>
      <c r="CX136" s="107"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8" t="str">
        <f t="shared" si="37"/>
        <v/>
      </c>
      <c r="CZ136" s="99" t="str">
        <f>IF($CY136="","",IF($CY136&lt;'Technical Premium'!$C$19,"BEYOND AUTHORITY",IF($CY136&gt;0.005,"Above technical",IF($CY136&lt;-0.005,"BELOW technical","At technical"))))</f>
        <v/>
      </c>
      <c r="DA136" s="99"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4"/>
      <c r="DC136" s="94"/>
      <c r="DD136" s="95"/>
      <c r="DE136" s="94"/>
      <c r="DF136" s="94"/>
      <c r="DG136" s="99" t="str">
        <f t="shared" si="38"/>
        <v/>
      </c>
      <c r="DH136" s="99" t="str">
        <f>IF($A136="","",IF(OR($CX136="REFER",$CX136="DECLINE"),COUNTIF($CX$5:$CX136,"REFER")+COUNTIF($CX$5:$CX136,"DECLINE"),""))</f>
        <v/>
      </c>
      <c r="DI136" s="94"/>
    </row>
    <row r="137" spans="1:113" x14ac:dyDescent="0.35">
      <c r="A137" s="94"/>
      <c r="B137" s="94"/>
      <c r="C137" s="95"/>
      <c r="D137" s="95"/>
      <c r="E137" s="96"/>
      <c r="F137" s="94"/>
      <c r="G137" s="94"/>
      <c r="H137" s="94"/>
      <c r="I137" s="94"/>
      <c r="J137" s="97"/>
      <c r="K137" s="94"/>
      <c r="L137" s="94"/>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8"/>
      <c r="AR137" s="99" t="str">
        <f t="shared" si="26"/>
        <v/>
      </c>
      <c r="AS137" s="99" t="str">
        <f>IF($A137="","",IF($AP137&lt;&gt;"",$AP137,IFERROR(INDEX('Cat Zone by ZIP'!$D$6:$D$856,MATCH($AR137,'Cat Zone by ZIP'!$B$6:$B$856,0)),IFERROR(INDEX('Cat Zone by ZIP'!$C$860:$C$910,MATCH($K137,'Cat Zone by ZIP'!$B$860:$B$910,0)),"NOT FOUND"))))</f>
        <v/>
      </c>
      <c r="AT137" s="99" t="str">
        <f>IF($A137="","",IF($AP137&lt;&gt;"","Override",IF(ISNUMBER(MATCH($AR137,'Cat Zone by ZIP'!$B$6:$B$856,0)),"ZIP-3","State default")))</f>
        <v/>
      </c>
      <c r="AU137" s="100" t="str">
        <f>IF($A137="","",IFERROR(INDEX('Natural Catastrophe'!$D$6:$D$17,MATCH($AS137,'Natural Catastrophe'!$B$6:$B$17,0)),"?"))</f>
        <v/>
      </c>
      <c r="AV137" s="100" t="str">
        <f>IF($A137="","",IFERROR(INDEX('Natural Catastrophe'!$C$21:$C$26,MATCH($AA137,'Natural Catastrophe'!$B$21:$B$26,0)),"?"))</f>
        <v/>
      </c>
      <c r="AW137" s="99" t="str">
        <f>IF($A137="","",IFERROR(INDEX('Base Rates'!$C$4:$I$4,MATCH(MAX($J137,'Technical Premium'!$C$18),'Base Rates'!$C$3:$I$3,1)),"?"))</f>
        <v/>
      </c>
      <c r="AX137" s="101" t="str">
        <f>IF($A137="","",IFERROR(INDEX('Base Rates'!$C$5:$I$16,MATCH($I137,'Base Rates'!$B$5:$B$16,0),MATCH(MAX($J137,'Technical Premium'!$C$18),'Base Rates'!$C$3:$I$3,1)),"?"))</f>
        <v/>
      </c>
      <c r="AY137" s="102" t="str">
        <f t="shared" si="27"/>
        <v/>
      </c>
      <c r="AZ137" s="99" t="str">
        <f>IF($A137="","",IFERROR(INDEX('Make Factors'!$G$5:$G$69,MATCH($F137,'Make Factors'!$B$5:$B$69,0)),"?"))</f>
        <v/>
      </c>
      <c r="BA137" s="99" t="str">
        <f>IF($A137="","",IFERROR(INDEX('Driver Factors'!$C$6:$C$15,MATCH($R137,'Driver Factors'!$B$6:$B$15,0)),"?"))</f>
        <v/>
      </c>
      <c r="BB137" s="99" t="str">
        <f>IF($A137="","",IFERROR(INDEX('Driver Factors'!$C$19:$C$24,MATCH($S137,'Driver Factors'!$B$19:$B$24,0)),"?"))</f>
        <v/>
      </c>
      <c r="BC137" s="99" t="str">
        <f>IF($A137="","",IFERROR(INDEX('Driver Factors'!$C$28:$C$36,MATCH($T137,'Driver Factors'!$B$28:$B$36,0)),"?"))</f>
        <v/>
      </c>
      <c r="BD137" s="99" t="str">
        <f>IF($A137="","",IFERROR(INDEX('Claims History'!$C$6:$C$15,MATCH($U137,'Claims History'!$B$6:$B$15,0)),"?"))</f>
        <v/>
      </c>
      <c r="BE137" s="99" t="str">
        <f>IF($A137="","",IFERROR(INDEX('Territory Factors'!$E$6:$E$56,MATCH($K137,'Territory Factors'!$B$6:$B$56,0)),"?"))</f>
        <v/>
      </c>
      <c r="BF137" s="99" t="str">
        <f>IF($A137="","",IFERROR(INDEX('City Accident Ratings'!$G$6:$G$54,MATCH($Z137,'City Accident Ratings'!$B$6:$B$54,0)),"?"))</f>
        <v/>
      </c>
      <c r="BG137" s="99" t="str">
        <f>IF($A137="","",IFERROR(INDEX('Usage and Coverage'!$D$6:$D$20,MATCH($N137,'Usage and Coverage'!$C$6:$C$20,0)),"?"))</f>
        <v/>
      </c>
      <c r="BH137" s="99" t="str">
        <f>IF($A137="","",IFERROR(INDEX('Usage and Coverage'!$C$24:$C$30,MATCH($O137,'Usage and Coverage'!$B$24:$B$30,0)),"?"))</f>
        <v/>
      </c>
      <c r="BI137" s="99" t="str">
        <f>IF($A137="","",IFERROR(INDEX('Usage and Coverage'!$C$34:$C$40,MATCH($P137,'Usage and Coverage'!$B$34:$B$40,0)),"?"))</f>
        <v/>
      </c>
      <c r="BJ137" s="99" t="str">
        <f>IF($A137="","",IFERROR(INDEX('Usage and Coverage'!$C$44:$C$49,MATCH($Q137,'Usage and Coverage'!$B$44:$B$49,0)),"?"))</f>
        <v/>
      </c>
      <c r="BK137" s="99" t="str">
        <f>IF($A137="","",IFERROR(INDEX(Deductibles!$C$6:$I$15,MATCH($W137,Deductibles!$B$6:$B$15,0),MATCH(MAX($J137,'Technical Premium'!$C$18),'Base Rates'!$C$3:$I$3,1)),"?"))</f>
        <v/>
      </c>
      <c r="BL137" s="99" t="str">
        <f>IF($A137="","",IFERROR(INDEX('Usage and Coverage'!$C$63:$C$66,MATCH($X137,'Usage and Coverage'!$B$63:$B$66,0)),"?"))</f>
        <v/>
      </c>
      <c r="BM137" s="99" t="str">
        <f>IF($A137="","",IFERROR(INDEX('Usage and Coverage'!$C$70:$C$75,MATCH($V137,'Usage and Coverage'!$B$70:$B$75,0)),"?"))</f>
        <v/>
      </c>
      <c r="BN137" s="99" t="str">
        <f>IF($A137="","",IF($AB137="",1,IFERROR(INDEX(Deductibles!$C$48:$C$51,MATCH($AB137,Deductibles!$B$48:$B$51,0)),"?")))</f>
        <v/>
      </c>
      <c r="BO137" s="99" t="str">
        <f>IF($A137="","",IF($AC137="",1,IFERROR(INDEX(Deductibles!$C$55:$C$57,MATCH($AC137,Deductibles!$B$55:$B$57,0)),"?")))</f>
        <v/>
      </c>
      <c r="BP137" s="99" t="str">
        <f>IF($A137="","",IF($AD137="",1,IFERROR(INDEX(Deductibles!$C$61:$C$63,MATCH($AD137,Deductibles!$B$61:$B$63,0)),"?")))</f>
        <v/>
      </c>
      <c r="BQ137" s="99" t="str">
        <f>IF($A137="","",IF($AE137="",1,IFERROR(INDEX(Deductibles!$C$67:$C$69,MATCH($AE137,Deductibles!$B$67:$B$69,0)),"?")))</f>
        <v/>
      </c>
      <c r="BR137" s="99" t="str">
        <f>IF($A137="","",IF($AF137="",1,IFERROR(INDEX(Deductibles!$C$73:$C$74,MATCH($AF137,Deductibles!$B$73:$B$74,0)),"?")))</f>
        <v/>
      </c>
      <c r="BS137" s="99" t="str">
        <f>IF($A137="","",IF($AG137="",1,IFERROR(INDEX('Sublimits and Parts'!$C$49:$C$52,MATCH($AG137,'Sublimits and Parts'!$B$49:$B$52,0)),"?")))</f>
        <v/>
      </c>
      <c r="BT137" s="99" t="str">
        <f>IF($A137="","",IF($AH137="",1,IFERROR(INDEX('Sublimits and Parts'!$C$56:$C$60,MATCH($AH137,'Sublimits and Parts'!$B$56:$B$60,0)),"?")))</f>
        <v/>
      </c>
      <c r="BU137" s="99" t="str">
        <f>IF($A137="","",IF($AI137="",1,IFERROR(INDEX('Sublimits and Parts'!$C$64:$C$67,MATCH($AI137,'Sublimits and Parts'!$B$64:$B$67,0)),"?")))</f>
        <v/>
      </c>
      <c r="BV137" s="99" t="str">
        <f>IF($A137="","",IF($AJ137="",1,IFERROR(INDEX('Sublimits and Parts'!$C$71:$C$74,MATCH($AJ137,'Sublimits and Parts'!$B$71:$B$74,0)),"?")))</f>
        <v/>
      </c>
      <c r="BW137" s="99" t="str">
        <f>IF($A137="","",IF($AK137="",1,IFERROR(INDEX('Sublimits and Parts'!$C$78:$C$80,MATCH($AK137,'Sublimits and Parts'!$B$78:$B$80,0)),"?")))</f>
        <v/>
      </c>
      <c r="BX137" s="99" t="str">
        <f>IF($A137="","",IF($AL137="",1,IFERROR(INDEX('Sublimits and Parts'!$C$84:$C$87,MATCH($AL137,'Sublimits and Parts'!$B$84:$B$87,0)),"?")))</f>
        <v/>
      </c>
      <c r="BY137" s="99" t="str">
        <f>IF($A137="","",IF($AM137="",1,IFERROR(INDEX('Sublimits and Parts'!$C$91:$C$94,MATCH($AM137,'Sublimits and Parts'!$B$91:$B$94,0)),"?")))</f>
        <v/>
      </c>
      <c r="BZ137" s="99" t="str">
        <f>IF($A137="","",IF($AN137="",1,IFERROR(INDEX('Sublimits and Parts'!$C$98:$C$101,MATCH($AN137,'Sublimits and Parts'!$B$98:$B$101,0)),"?")))</f>
        <v/>
      </c>
      <c r="CA137" s="99" t="str">
        <f>IF($A137="","",IF($AO137="",1,IFERROR(INDEX('Sublimits and Parts'!$C$105:$C$109,MATCH($AO137,'Sublimits and Parts'!$B$105:$B$109,0)),"?")))</f>
        <v/>
      </c>
      <c r="CB137" s="100" t="str">
        <f t="shared" si="28"/>
        <v/>
      </c>
      <c r="CC137" s="100" t="str">
        <f t="shared" si="29"/>
        <v/>
      </c>
      <c r="CD137" s="103" t="str">
        <f>IF($A137="","",IF(OR($CB137="?",$CC137="?"),"?",MIN($CB137*$CC137,'Technical Premium'!$C$17)))</f>
        <v/>
      </c>
      <c r="CE137" s="102" t="str">
        <f t="shared" si="30"/>
        <v/>
      </c>
      <c r="CF137" s="102" t="str">
        <f>IF($A137="","",IFERROR(INDEX('Territory Factors'!$F$6:$F$56,MATCH($K137,'Territory Factors'!$B$6:$B$56,0)),"?"))</f>
        <v/>
      </c>
      <c r="CG137" s="100" t="str">
        <f>IF($A137="","",IFERROR(INDEX('Usage and Coverage'!$C$79:$C$84,MATCH($Y137,'Usage and Coverage'!$B$79:$B$84,0)),"?"))</f>
        <v/>
      </c>
      <c r="CH137" s="102" t="str">
        <f>IFERROR(IF(ISNUMBER($CD137),$CF137*$CG137*MIN($BG137*$BA137*$BC137*$BD137*$BH137*$BF137,'Technical Premium'!$C$17),""),"")</f>
        <v/>
      </c>
      <c r="CI137" s="102" t="str">
        <f t="shared" si="31"/>
        <v/>
      </c>
      <c r="CJ137" s="102" t="str">
        <f>IFERROR($CI137*(1+'Technical Premium'!$C$5)*(1+'Technical Premium'!$C$6),"")</f>
        <v/>
      </c>
      <c r="CK137" s="102" t="str">
        <f>IFERROR($CE137*INDEX('Territory Factors'!$G$6:$G$56,MATCH($K137,'Territory Factors'!$B$6:$B$56,0))*$AU137*$AV137,"")</f>
        <v/>
      </c>
      <c r="CL137" s="102" t="str">
        <f>IFERROR(($CJ137+$CK137)*(1+'Technical Premium'!$C$7),"")</f>
        <v/>
      </c>
      <c r="CM137" s="104" t="str">
        <f>IFERROR($CL137/'Technical Premium'!$C$13,"")</f>
        <v/>
      </c>
      <c r="CN137" s="105" t="str">
        <f t="shared" si="32"/>
        <v/>
      </c>
      <c r="CO137" s="104" t="str">
        <f t="shared" si="33"/>
        <v/>
      </c>
      <c r="CP137" s="105" t="str">
        <f t="shared" si="34"/>
        <v/>
      </c>
      <c r="CQ137" s="106" t="str">
        <f t="shared" si="35"/>
        <v/>
      </c>
      <c r="CR137" s="102" t="str">
        <f>IF(ISNUMBER($CM137),'Technical Premium'!$C$14+IF($J137&gt;=1000000,'Technical Premium'!$C$15,0),"")</f>
        <v/>
      </c>
      <c r="CS137" s="102" t="str">
        <f>IFERROR(($CO137+$CR137)*(INDEX('Territory Factors'!$K$6:$K$56,MATCH($K137,'Territory Factors'!$B$6:$B$56,0))+'Commission Structure'!$C$21),"")</f>
        <v/>
      </c>
      <c r="CT137" s="104" t="str">
        <f t="shared" si="36"/>
        <v/>
      </c>
      <c r="CU137" s="102" t="str">
        <f>IFERROR($CO137*('Commission Structure'!$C$6+'Commission Structure'!$C$7),"")</f>
        <v/>
      </c>
      <c r="CV137" s="102" t="str">
        <f>IFERROR($CO137*'Commission Structure'!$C$5-$CU137,"")</f>
        <v/>
      </c>
      <c r="CW137" s="102" t="str">
        <f>IFERROR($CO137*(1-'Commission Structure'!$C$5),"")</f>
        <v/>
      </c>
      <c r="CX137" s="107"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8" t="str">
        <f t="shared" si="37"/>
        <v/>
      </c>
      <c r="CZ137" s="99" t="str">
        <f>IF($CY137="","",IF($CY137&lt;'Technical Premium'!$C$19,"BEYOND AUTHORITY",IF($CY137&gt;0.005,"Above technical",IF($CY137&lt;-0.005,"BELOW technical","At technical"))))</f>
        <v/>
      </c>
      <c r="DA137" s="99"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4"/>
      <c r="DC137" s="94"/>
      <c r="DD137" s="95"/>
      <c r="DE137" s="94"/>
      <c r="DF137" s="94"/>
      <c r="DG137" s="99" t="str">
        <f t="shared" si="38"/>
        <v/>
      </c>
      <c r="DH137" s="99" t="str">
        <f>IF($A137="","",IF(OR($CX137="REFER",$CX137="DECLINE"),COUNTIF($CX$5:$CX137,"REFER")+COUNTIF($CX$5:$CX137,"DECLINE"),""))</f>
        <v/>
      </c>
      <c r="DI137" s="94"/>
    </row>
    <row r="138" spans="1:113" x14ac:dyDescent="0.35">
      <c r="A138" s="94"/>
      <c r="B138" s="94"/>
      <c r="C138" s="95"/>
      <c r="D138" s="95"/>
      <c r="E138" s="96"/>
      <c r="F138" s="94"/>
      <c r="G138" s="94"/>
      <c r="H138" s="94"/>
      <c r="I138" s="94"/>
      <c r="J138" s="97"/>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8"/>
      <c r="AR138" s="99" t="str">
        <f t="shared" si="26"/>
        <v/>
      </c>
      <c r="AS138" s="99" t="str">
        <f>IF($A138="","",IF($AP138&lt;&gt;"",$AP138,IFERROR(INDEX('Cat Zone by ZIP'!$D$6:$D$856,MATCH($AR138,'Cat Zone by ZIP'!$B$6:$B$856,0)),IFERROR(INDEX('Cat Zone by ZIP'!$C$860:$C$910,MATCH($K138,'Cat Zone by ZIP'!$B$860:$B$910,0)),"NOT FOUND"))))</f>
        <v/>
      </c>
      <c r="AT138" s="99" t="str">
        <f>IF($A138="","",IF($AP138&lt;&gt;"","Override",IF(ISNUMBER(MATCH($AR138,'Cat Zone by ZIP'!$B$6:$B$856,0)),"ZIP-3","State default")))</f>
        <v/>
      </c>
      <c r="AU138" s="100" t="str">
        <f>IF($A138="","",IFERROR(INDEX('Natural Catastrophe'!$D$6:$D$17,MATCH($AS138,'Natural Catastrophe'!$B$6:$B$17,0)),"?"))</f>
        <v/>
      </c>
      <c r="AV138" s="100" t="str">
        <f>IF($A138="","",IFERROR(INDEX('Natural Catastrophe'!$C$21:$C$26,MATCH($AA138,'Natural Catastrophe'!$B$21:$B$26,0)),"?"))</f>
        <v/>
      </c>
      <c r="AW138" s="99" t="str">
        <f>IF($A138="","",IFERROR(INDEX('Base Rates'!$C$4:$I$4,MATCH(MAX($J138,'Technical Premium'!$C$18),'Base Rates'!$C$3:$I$3,1)),"?"))</f>
        <v/>
      </c>
      <c r="AX138" s="101" t="str">
        <f>IF($A138="","",IFERROR(INDEX('Base Rates'!$C$5:$I$16,MATCH($I138,'Base Rates'!$B$5:$B$16,0),MATCH(MAX($J138,'Technical Premium'!$C$18),'Base Rates'!$C$3:$I$3,1)),"?"))</f>
        <v/>
      </c>
      <c r="AY138" s="102" t="str">
        <f t="shared" si="27"/>
        <v/>
      </c>
      <c r="AZ138" s="99" t="str">
        <f>IF($A138="","",IFERROR(INDEX('Make Factors'!$G$5:$G$69,MATCH($F138,'Make Factors'!$B$5:$B$69,0)),"?"))</f>
        <v/>
      </c>
      <c r="BA138" s="99" t="str">
        <f>IF($A138="","",IFERROR(INDEX('Driver Factors'!$C$6:$C$15,MATCH($R138,'Driver Factors'!$B$6:$B$15,0)),"?"))</f>
        <v/>
      </c>
      <c r="BB138" s="99" t="str">
        <f>IF($A138="","",IFERROR(INDEX('Driver Factors'!$C$19:$C$24,MATCH($S138,'Driver Factors'!$B$19:$B$24,0)),"?"))</f>
        <v/>
      </c>
      <c r="BC138" s="99" t="str">
        <f>IF($A138="","",IFERROR(INDEX('Driver Factors'!$C$28:$C$36,MATCH($T138,'Driver Factors'!$B$28:$B$36,0)),"?"))</f>
        <v/>
      </c>
      <c r="BD138" s="99" t="str">
        <f>IF($A138="","",IFERROR(INDEX('Claims History'!$C$6:$C$15,MATCH($U138,'Claims History'!$B$6:$B$15,0)),"?"))</f>
        <v/>
      </c>
      <c r="BE138" s="99" t="str">
        <f>IF($A138="","",IFERROR(INDEX('Territory Factors'!$E$6:$E$56,MATCH($K138,'Territory Factors'!$B$6:$B$56,0)),"?"))</f>
        <v/>
      </c>
      <c r="BF138" s="99" t="str">
        <f>IF($A138="","",IFERROR(INDEX('City Accident Ratings'!$G$6:$G$54,MATCH($Z138,'City Accident Ratings'!$B$6:$B$54,0)),"?"))</f>
        <v/>
      </c>
      <c r="BG138" s="99" t="str">
        <f>IF($A138="","",IFERROR(INDEX('Usage and Coverage'!$D$6:$D$20,MATCH($N138,'Usage and Coverage'!$C$6:$C$20,0)),"?"))</f>
        <v/>
      </c>
      <c r="BH138" s="99" t="str">
        <f>IF($A138="","",IFERROR(INDEX('Usage and Coverage'!$C$24:$C$30,MATCH($O138,'Usage and Coverage'!$B$24:$B$30,0)),"?"))</f>
        <v/>
      </c>
      <c r="BI138" s="99" t="str">
        <f>IF($A138="","",IFERROR(INDEX('Usage and Coverage'!$C$34:$C$40,MATCH($P138,'Usage and Coverage'!$B$34:$B$40,0)),"?"))</f>
        <v/>
      </c>
      <c r="BJ138" s="99" t="str">
        <f>IF($A138="","",IFERROR(INDEX('Usage and Coverage'!$C$44:$C$49,MATCH($Q138,'Usage and Coverage'!$B$44:$B$49,0)),"?"))</f>
        <v/>
      </c>
      <c r="BK138" s="99" t="str">
        <f>IF($A138="","",IFERROR(INDEX(Deductibles!$C$6:$I$15,MATCH($W138,Deductibles!$B$6:$B$15,0),MATCH(MAX($J138,'Technical Premium'!$C$18),'Base Rates'!$C$3:$I$3,1)),"?"))</f>
        <v/>
      </c>
      <c r="BL138" s="99" t="str">
        <f>IF($A138="","",IFERROR(INDEX('Usage and Coverage'!$C$63:$C$66,MATCH($X138,'Usage and Coverage'!$B$63:$B$66,0)),"?"))</f>
        <v/>
      </c>
      <c r="BM138" s="99" t="str">
        <f>IF($A138="","",IFERROR(INDEX('Usage and Coverage'!$C$70:$C$75,MATCH($V138,'Usage and Coverage'!$B$70:$B$75,0)),"?"))</f>
        <v/>
      </c>
      <c r="BN138" s="99" t="str">
        <f>IF($A138="","",IF($AB138="",1,IFERROR(INDEX(Deductibles!$C$48:$C$51,MATCH($AB138,Deductibles!$B$48:$B$51,0)),"?")))</f>
        <v/>
      </c>
      <c r="BO138" s="99" t="str">
        <f>IF($A138="","",IF($AC138="",1,IFERROR(INDEX(Deductibles!$C$55:$C$57,MATCH($AC138,Deductibles!$B$55:$B$57,0)),"?")))</f>
        <v/>
      </c>
      <c r="BP138" s="99" t="str">
        <f>IF($A138="","",IF($AD138="",1,IFERROR(INDEX(Deductibles!$C$61:$C$63,MATCH($AD138,Deductibles!$B$61:$B$63,0)),"?")))</f>
        <v/>
      </c>
      <c r="BQ138" s="99" t="str">
        <f>IF($A138="","",IF($AE138="",1,IFERROR(INDEX(Deductibles!$C$67:$C$69,MATCH($AE138,Deductibles!$B$67:$B$69,0)),"?")))</f>
        <v/>
      </c>
      <c r="BR138" s="99" t="str">
        <f>IF($A138="","",IF($AF138="",1,IFERROR(INDEX(Deductibles!$C$73:$C$74,MATCH($AF138,Deductibles!$B$73:$B$74,0)),"?")))</f>
        <v/>
      </c>
      <c r="BS138" s="99" t="str">
        <f>IF($A138="","",IF($AG138="",1,IFERROR(INDEX('Sublimits and Parts'!$C$49:$C$52,MATCH($AG138,'Sublimits and Parts'!$B$49:$B$52,0)),"?")))</f>
        <v/>
      </c>
      <c r="BT138" s="99" t="str">
        <f>IF($A138="","",IF($AH138="",1,IFERROR(INDEX('Sublimits and Parts'!$C$56:$C$60,MATCH($AH138,'Sublimits and Parts'!$B$56:$B$60,0)),"?")))</f>
        <v/>
      </c>
      <c r="BU138" s="99" t="str">
        <f>IF($A138="","",IF($AI138="",1,IFERROR(INDEX('Sublimits and Parts'!$C$64:$C$67,MATCH($AI138,'Sublimits and Parts'!$B$64:$B$67,0)),"?")))</f>
        <v/>
      </c>
      <c r="BV138" s="99" t="str">
        <f>IF($A138="","",IF($AJ138="",1,IFERROR(INDEX('Sublimits and Parts'!$C$71:$C$74,MATCH($AJ138,'Sublimits and Parts'!$B$71:$B$74,0)),"?")))</f>
        <v/>
      </c>
      <c r="BW138" s="99" t="str">
        <f>IF($A138="","",IF($AK138="",1,IFERROR(INDEX('Sublimits and Parts'!$C$78:$C$80,MATCH($AK138,'Sublimits and Parts'!$B$78:$B$80,0)),"?")))</f>
        <v/>
      </c>
      <c r="BX138" s="99" t="str">
        <f>IF($A138="","",IF($AL138="",1,IFERROR(INDEX('Sublimits and Parts'!$C$84:$C$87,MATCH($AL138,'Sublimits and Parts'!$B$84:$B$87,0)),"?")))</f>
        <v/>
      </c>
      <c r="BY138" s="99" t="str">
        <f>IF($A138="","",IF($AM138="",1,IFERROR(INDEX('Sublimits and Parts'!$C$91:$C$94,MATCH($AM138,'Sublimits and Parts'!$B$91:$B$94,0)),"?")))</f>
        <v/>
      </c>
      <c r="BZ138" s="99" t="str">
        <f>IF($A138="","",IF($AN138="",1,IFERROR(INDEX('Sublimits and Parts'!$C$98:$C$101,MATCH($AN138,'Sublimits and Parts'!$B$98:$B$101,0)),"?")))</f>
        <v/>
      </c>
      <c r="CA138" s="99" t="str">
        <f>IF($A138="","",IF($AO138="",1,IFERROR(INDEX('Sublimits and Parts'!$C$105:$C$109,MATCH($AO138,'Sublimits and Parts'!$B$105:$B$109,0)),"?")))</f>
        <v/>
      </c>
      <c r="CB138" s="100" t="str">
        <f t="shared" si="28"/>
        <v/>
      </c>
      <c r="CC138" s="100" t="str">
        <f t="shared" si="29"/>
        <v/>
      </c>
      <c r="CD138" s="103" t="str">
        <f>IF($A138="","",IF(OR($CB138="?",$CC138="?"),"?",MIN($CB138*$CC138,'Technical Premium'!$C$17)))</f>
        <v/>
      </c>
      <c r="CE138" s="102" t="str">
        <f t="shared" si="30"/>
        <v/>
      </c>
      <c r="CF138" s="102" t="str">
        <f>IF($A138="","",IFERROR(INDEX('Territory Factors'!$F$6:$F$56,MATCH($K138,'Territory Factors'!$B$6:$B$56,0)),"?"))</f>
        <v/>
      </c>
      <c r="CG138" s="100" t="str">
        <f>IF($A138="","",IFERROR(INDEX('Usage and Coverage'!$C$79:$C$84,MATCH($Y138,'Usage and Coverage'!$B$79:$B$84,0)),"?"))</f>
        <v/>
      </c>
      <c r="CH138" s="102" t="str">
        <f>IFERROR(IF(ISNUMBER($CD138),$CF138*$CG138*MIN($BG138*$BA138*$BC138*$BD138*$BH138*$BF138,'Technical Premium'!$C$17),""),"")</f>
        <v/>
      </c>
      <c r="CI138" s="102" t="str">
        <f t="shared" si="31"/>
        <v/>
      </c>
      <c r="CJ138" s="102" t="str">
        <f>IFERROR($CI138*(1+'Technical Premium'!$C$5)*(1+'Technical Premium'!$C$6),"")</f>
        <v/>
      </c>
      <c r="CK138" s="102" t="str">
        <f>IFERROR($CE138*INDEX('Territory Factors'!$G$6:$G$56,MATCH($K138,'Territory Factors'!$B$6:$B$56,0))*$AU138*$AV138,"")</f>
        <v/>
      </c>
      <c r="CL138" s="102" t="str">
        <f>IFERROR(($CJ138+$CK138)*(1+'Technical Premium'!$C$7),"")</f>
        <v/>
      </c>
      <c r="CM138" s="104" t="str">
        <f>IFERROR($CL138/'Technical Premium'!$C$13,"")</f>
        <v/>
      </c>
      <c r="CN138" s="105" t="str">
        <f t="shared" si="32"/>
        <v/>
      </c>
      <c r="CO138" s="104" t="str">
        <f t="shared" si="33"/>
        <v/>
      </c>
      <c r="CP138" s="105" t="str">
        <f t="shared" si="34"/>
        <v/>
      </c>
      <c r="CQ138" s="106" t="str">
        <f t="shared" si="35"/>
        <v/>
      </c>
      <c r="CR138" s="102" t="str">
        <f>IF(ISNUMBER($CM138),'Technical Premium'!$C$14+IF($J138&gt;=1000000,'Technical Premium'!$C$15,0),"")</f>
        <v/>
      </c>
      <c r="CS138" s="102" t="str">
        <f>IFERROR(($CO138+$CR138)*(INDEX('Territory Factors'!$K$6:$K$56,MATCH($K138,'Territory Factors'!$B$6:$B$56,0))+'Commission Structure'!$C$21),"")</f>
        <v/>
      </c>
      <c r="CT138" s="104" t="str">
        <f t="shared" si="36"/>
        <v/>
      </c>
      <c r="CU138" s="102" t="str">
        <f>IFERROR($CO138*('Commission Structure'!$C$6+'Commission Structure'!$C$7),"")</f>
        <v/>
      </c>
      <c r="CV138" s="102" t="str">
        <f>IFERROR($CO138*'Commission Structure'!$C$5-$CU138,"")</f>
        <v/>
      </c>
      <c r="CW138" s="102" t="str">
        <f>IFERROR($CO138*(1-'Commission Structure'!$C$5),"")</f>
        <v/>
      </c>
      <c r="CX138" s="107"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8" t="str">
        <f t="shared" si="37"/>
        <v/>
      </c>
      <c r="CZ138" s="99" t="str">
        <f>IF($CY138="","",IF($CY138&lt;'Technical Premium'!$C$19,"BEYOND AUTHORITY",IF($CY138&gt;0.005,"Above technical",IF($CY138&lt;-0.005,"BELOW technical","At technical"))))</f>
        <v/>
      </c>
      <c r="DA138" s="99"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4"/>
      <c r="DC138" s="94"/>
      <c r="DD138" s="95"/>
      <c r="DE138" s="94"/>
      <c r="DF138" s="94"/>
      <c r="DG138" s="99" t="str">
        <f t="shared" si="38"/>
        <v/>
      </c>
      <c r="DH138" s="99" t="str">
        <f>IF($A138="","",IF(OR($CX138="REFER",$CX138="DECLINE"),COUNTIF($CX$5:$CX138,"REFER")+COUNTIF($CX$5:$CX138,"DECLINE"),""))</f>
        <v/>
      </c>
      <c r="DI138" s="94"/>
    </row>
    <row r="139" spans="1:113" x14ac:dyDescent="0.35">
      <c r="A139" s="94"/>
      <c r="B139" s="94"/>
      <c r="C139" s="95"/>
      <c r="D139" s="95"/>
      <c r="E139" s="96"/>
      <c r="F139" s="94"/>
      <c r="G139" s="94"/>
      <c r="H139" s="94"/>
      <c r="I139" s="94"/>
      <c r="J139" s="97"/>
      <c r="K139" s="94"/>
      <c r="L139" s="94"/>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8"/>
      <c r="AR139" s="99" t="str">
        <f t="shared" si="26"/>
        <v/>
      </c>
      <c r="AS139" s="99" t="str">
        <f>IF($A139="","",IF($AP139&lt;&gt;"",$AP139,IFERROR(INDEX('Cat Zone by ZIP'!$D$6:$D$856,MATCH($AR139,'Cat Zone by ZIP'!$B$6:$B$856,0)),IFERROR(INDEX('Cat Zone by ZIP'!$C$860:$C$910,MATCH($K139,'Cat Zone by ZIP'!$B$860:$B$910,0)),"NOT FOUND"))))</f>
        <v/>
      </c>
      <c r="AT139" s="99" t="str">
        <f>IF($A139="","",IF($AP139&lt;&gt;"","Override",IF(ISNUMBER(MATCH($AR139,'Cat Zone by ZIP'!$B$6:$B$856,0)),"ZIP-3","State default")))</f>
        <v/>
      </c>
      <c r="AU139" s="100" t="str">
        <f>IF($A139="","",IFERROR(INDEX('Natural Catastrophe'!$D$6:$D$17,MATCH($AS139,'Natural Catastrophe'!$B$6:$B$17,0)),"?"))</f>
        <v/>
      </c>
      <c r="AV139" s="100" t="str">
        <f>IF($A139="","",IFERROR(INDEX('Natural Catastrophe'!$C$21:$C$26,MATCH($AA139,'Natural Catastrophe'!$B$21:$B$26,0)),"?"))</f>
        <v/>
      </c>
      <c r="AW139" s="99" t="str">
        <f>IF($A139="","",IFERROR(INDEX('Base Rates'!$C$4:$I$4,MATCH(MAX($J139,'Technical Premium'!$C$18),'Base Rates'!$C$3:$I$3,1)),"?"))</f>
        <v/>
      </c>
      <c r="AX139" s="101" t="str">
        <f>IF($A139="","",IFERROR(INDEX('Base Rates'!$C$5:$I$16,MATCH($I139,'Base Rates'!$B$5:$B$16,0),MATCH(MAX($J139,'Technical Premium'!$C$18),'Base Rates'!$C$3:$I$3,1)),"?"))</f>
        <v/>
      </c>
      <c r="AY139" s="102" t="str">
        <f t="shared" si="27"/>
        <v/>
      </c>
      <c r="AZ139" s="99" t="str">
        <f>IF($A139="","",IFERROR(INDEX('Make Factors'!$G$5:$G$69,MATCH($F139,'Make Factors'!$B$5:$B$69,0)),"?"))</f>
        <v/>
      </c>
      <c r="BA139" s="99" t="str">
        <f>IF($A139="","",IFERROR(INDEX('Driver Factors'!$C$6:$C$15,MATCH($R139,'Driver Factors'!$B$6:$B$15,0)),"?"))</f>
        <v/>
      </c>
      <c r="BB139" s="99" t="str">
        <f>IF($A139="","",IFERROR(INDEX('Driver Factors'!$C$19:$C$24,MATCH($S139,'Driver Factors'!$B$19:$B$24,0)),"?"))</f>
        <v/>
      </c>
      <c r="BC139" s="99" t="str">
        <f>IF($A139="","",IFERROR(INDEX('Driver Factors'!$C$28:$C$36,MATCH($T139,'Driver Factors'!$B$28:$B$36,0)),"?"))</f>
        <v/>
      </c>
      <c r="BD139" s="99" t="str">
        <f>IF($A139="","",IFERROR(INDEX('Claims History'!$C$6:$C$15,MATCH($U139,'Claims History'!$B$6:$B$15,0)),"?"))</f>
        <v/>
      </c>
      <c r="BE139" s="99" t="str">
        <f>IF($A139="","",IFERROR(INDEX('Territory Factors'!$E$6:$E$56,MATCH($K139,'Territory Factors'!$B$6:$B$56,0)),"?"))</f>
        <v/>
      </c>
      <c r="BF139" s="99" t="str">
        <f>IF($A139="","",IFERROR(INDEX('City Accident Ratings'!$G$6:$G$54,MATCH($Z139,'City Accident Ratings'!$B$6:$B$54,0)),"?"))</f>
        <v/>
      </c>
      <c r="BG139" s="99" t="str">
        <f>IF($A139="","",IFERROR(INDEX('Usage and Coverage'!$D$6:$D$20,MATCH($N139,'Usage and Coverage'!$C$6:$C$20,0)),"?"))</f>
        <v/>
      </c>
      <c r="BH139" s="99" t="str">
        <f>IF($A139="","",IFERROR(INDEX('Usage and Coverage'!$C$24:$C$30,MATCH($O139,'Usage and Coverage'!$B$24:$B$30,0)),"?"))</f>
        <v/>
      </c>
      <c r="BI139" s="99" t="str">
        <f>IF($A139="","",IFERROR(INDEX('Usage and Coverage'!$C$34:$C$40,MATCH($P139,'Usage and Coverage'!$B$34:$B$40,0)),"?"))</f>
        <v/>
      </c>
      <c r="BJ139" s="99" t="str">
        <f>IF($A139="","",IFERROR(INDEX('Usage and Coverage'!$C$44:$C$49,MATCH($Q139,'Usage and Coverage'!$B$44:$B$49,0)),"?"))</f>
        <v/>
      </c>
      <c r="BK139" s="99" t="str">
        <f>IF($A139="","",IFERROR(INDEX(Deductibles!$C$6:$I$15,MATCH($W139,Deductibles!$B$6:$B$15,0),MATCH(MAX($J139,'Technical Premium'!$C$18),'Base Rates'!$C$3:$I$3,1)),"?"))</f>
        <v/>
      </c>
      <c r="BL139" s="99" t="str">
        <f>IF($A139="","",IFERROR(INDEX('Usage and Coverage'!$C$63:$C$66,MATCH($X139,'Usage and Coverage'!$B$63:$B$66,0)),"?"))</f>
        <v/>
      </c>
      <c r="BM139" s="99" t="str">
        <f>IF($A139="","",IFERROR(INDEX('Usage and Coverage'!$C$70:$C$75,MATCH($V139,'Usage and Coverage'!$B$70:$B$75,0)),"?"))</f>
        <v/>
      </c>
      <c r="BN139" s="99" t="str">
        <f>IF($A139="","",IF($AB139="",1,IFERROR(INDEX(Deductibles!$C$48:$C$51,MATCH($AB139,Deductibles!$B$48:$B$51,0)),"?")))</f>
        <v/>
      </c>
      <c r="BO139" s="99" t="str">
        <f>IF($A139="","",IF($AC139="",1,IFERROR(INDEX(Deductibles!$C$55:$C$57,MATCH($AC139,Deductibles!$B$55:$B$57,0)),"?")))</f>
        <v/>
      </c>
      <c r="BP139" s="99" t="str">
        <f>IF($A139="","",IF($AD139="",1,IFERROR(INDEX(Deductibles!$C$61:$C$63,MATCH($AD139,Deductibles!$B$61:$B$63,0)),"?")))</f>
        <v/>
      </c>
      <c r="BQ139" s="99" t="str">
        <f>IF($A139="","",IF($AE139="",1,IFERROR(INDEX(Deductibles!$C$67:$C$69,MATCH($AE139,Deductibles!$B$67:$B$69,0)),"?")))</f>
        <v/>
      </c>
      <c r="BR139" s="99" t="str">
        <f>IF($A139="","",IF($AF139="",1,IFERROR(INDEX(Deductibles!$C$73:$C$74,MATCH($AF139,Deductibles!$B$73:$B$74,0)),"?")))</f>
        <v/>
      </c>
      <c r="BS139" s="99" t="str">
        <f>IF($A139="","",IF($AG139="",1,IFERROR(INDEX('Sublimits and Parts'!$C$49:$C$52,MATCH($AG139,'Sublimits and Parts'!$B$49:$B$52,0)),"?")))</f>
        <v/>
      </c>
      <c r="BT139" s="99" t="str">
        <f>IF($A139="","",IF($AH139="",1,IFERROR(INDEX('Sublimits and Parts'!$C$56:$C$60,MATCH($AH139,'Sublimits and Parts'!$B$56:$B$60,0)),"?")))</f>
        <v/>
      </c>
      <c r="BU139" s="99" t="str">
        <f>IF($A139="","",IF($AI139="",1,IFERROR(INDEX('Sublimits and Parts'!$C$64:$C$67,MATCH($AI139,'Sublimits and Parts'!$B$64:$B$67,0)),"?")))</f>
        <v/>
      </c>
      <c r="BV139" s="99" t="str">
        <f>IF($A139="","",IF($AJ139="",1,IFERROR(INDEX('Sublimits and Parts'!$C$71:$C$74,MATCH($AJ139,'Sublimits and Parts'!$B$71:$B$74,0)),"?")))</f>
        <v/>
      </c>
      <c r="BW139" s="99" t="str">
        <f>IF($A139="","",IF($AK139="",1,IFERROR(INDEX('Sublimits and Parts'!$C$78:$C$80,MATCH($AK139,'Sublimits and Parts'!$B$78:$B$80,0)),"?")))</f>
        <v/>
      </c>
      <c r="BX139" s="99" t="str">
        <f>IF($A139="","",IF($AL139="",1,IFERROR(INDEX('Sublimits and Parts'!$C$84:$C$87,MATCH($AL139,'Sublimits and Parts'!$B$84:$B$87,0)),"?")))</f>
        <v/>
      </c>
      <c r="BY139" s="99" t="str">
        <f>IF($A139="","",IF($AM139="",1,IFERROR(INDEX('Sublimits and Parts'!$C$91:$C$94,MATCH($AM139,'Sublimits and Parts'!$B$91:$B$94,0)),"?")))</f>
        <v/>
      </c>
      <c r="BZ139" s="99" t="str">
        <f>IF($A139="","",IF($AN139="",1,IFERROR(INDEX('Sublimits and Parts'!$C$98:$C$101,MATCH($AN139,'Sublimits and Parts'!$B$98:$B$101,0)),"?")))</f>
        <v/>
      </c>
      <c r="CA139" s="99" t="str">
        <f>IF($A139="","",IF($AO139="",1,IFERROR(INDEX('Sublimits and Parts'!$C$105:$C$109,MATCH($AO139,'Sublimits and Parts'!$B$105:$B$109,0)),"?")))</f>
        <v/>
      </c>
      <c r="CB139" s="100" t="str">
        <f t="shared" si="28"/>
        <v/>
      </c>
      <c r="CC139" s="100" t="str">
        <f t="shared" si="29"/>
        <v/>
      </c>
      <c r="CD139" s="103" t="str">
        <f>IF($A139="","",IF(OR($CB139="?",$CC139="?"),"?",MIN($CB139*$CC139,'Technical Premium'!$C$17)))</f>
        <v/>
      </c>
      <c r="CE139" s="102" t="str">
        <f t="shared" si="30"/>
        <v/>
      </c>
      <c r="CF139" s="102" t="str">
        <f>IF($A139="","",IFERROR(INDEX('Territory Factors'!$F$6:$F$56,MATCH($K139,'Territory Factors'!$B$6:$B$56,0)),"?"))</f>
        <v/>
      </c>
      <c r="CG139" s="100" t="str">
        <f>IF($A139="","",IFERROR(INDEX('Usage and Coverage'!$C$79:$C$84,MATCH($Y139,'Usage and Coverage'!$B$79:$B$84,0)),"?"))</f>
        <v/>
      </c>
      <c r="CH139" s="102" t="str">
        <f>IFERROR(IF(ISNUMBER($CD139),$CF139*$CG139*MIN($BG139*$BA139*$BC139*$BD139*$BH139*$BF139,'Technical Premium'!$C$17),""),"")</f>
        <v/>
      </c>
      <c r="CI139" s="102" t="str">
        <f t="shared" si="31"/>
        <v/>
      </c>
      <c r="CJ139" s="102" t="str">
        <f>IFERROR($CI139*(1+'Technical Premium'!$C$5)*(1+'Technical Premium'!$C$6),"")</f>
        <v/>
      </c>
      <c r="CK139" s="102" t="str">
        <f>IFERROR($CE139*INDEX('Territory Factors'!$G$6:$G$56,MATCH($K139,'Territory Factors'!$B$6:$B$56,0))*$AU139*$AV139,"")</f>
        <v/>
      </c>
      <c r="CL139" s="102" t="str">
        <f>IFERROR(($CJ139+$CK139)*(1+'Technical Premium'!$C$7),"")</f>
        <v/>
      </c>
      <c r="CM139" s="104" t="str">
        <f>IFERROR($CL139/'Technical Premium'!$C$13,"")</f>
        <v/>
      </c>
      <c r="CN139" s="105" t="str">
        <f t="shared" si="32"/>
        <v/>
      </c>
      <c r="CO139" s="104" t="str">
        <f t="shared" si="33"/>
        <v/>
      </c>
      <c r="CP139" s="105" t="str">
        <f t="shared" si="34"/>
        <v/>
      </c>
      <c r="CQ139" s="106" t="str">
        <f t="shared" si="35"/>
        <v/>
      </c>
      <c r="CR139" s="102" t="str">
        <f>IF(ISNUMBER($CM139),'Technical Premium'!$C$14+IF($J139&gt;=1000000,'Technical Premium'!$C$15,0),"")</f>
        <v/>
      </c>
      <c r="CS139" s="102" t="str">
        <f>IFERROR(($CO139+$CR139)*(INDEX('Territory Factors'!$K$6:$K$56,MATCH($K139,'Territory Factors'!$B$6:$B$56,0))+'Commission Structure'!$C$21),"")</f>
        <v/>
      </c>
      <c r="CT139" s="104" t="str">
        <f t="shared" si="36"/>
        <v/>
      </c>
      <c r="CU139" s="102" t="str">
        <f>IFERROR($CO139*('Commission Structure'!$C$6+'Commission Structure'!$C$7),"")</f>
        <v/>
      </c>
      <c r="CV139" s="102" t="str">
        <f>IFERROR($CO139*'Commission Structure'!$C$5-$CU139,"")</f>
        <v/>
      </c>
      <c r="CW139" s="102" t="str">
        <f>IFERROR($CO139*(1-'Commission Structure'!$C$5),"")</f>
        <v/>
      </c>
      <c r="CX139" s="107"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8" t="str">
        <f t="shared" si="37"/>
        <v/>
      </c>
      <c r="CZ139" s="99" t="str">
        <f>IF($CY139="","",IF($CY139&lt;'Technical Premium'!$C$19,"BEYOND AUTHORITY",IF($CY139&gt;0.005,"Above technical",IF($CY139&lt;-0.005,"BELOW technical","At technical"))))</f>
        <v/>
      </c>
      <c r="DA139" s="99"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4"/>
      <c r="DC139" s="94"/>
      <c r="DD139" s="95"/>
      <c r="DE139" s="94"/>
      <c r="DF139" s="94"/>
      <c r="DG139" s="99" t="str">
        <f t="shared" si="38"/>
        <v/>
      </c>
      <c r="DH139" s="99" t="str">
        <f>IF($A139="","",IF(OR($CX139="REFER",$CX139="DECLINE"),COUNTIF($CX$5:$CX139,"REFER")+COUNTIF($CX$5:$CX139,"DECLINE"),""))</f>
        <v/>
      </c>
      <c r="DI139" s="94"/>
    </row>
    <row r="140" spans="1:113" x14ac:dyDescent="0.35">
      <c r="A140" s="94"/>
      <c r="B140" s="94"/>
      <c r="C140" s="95"/>
      <c r="D140" s="95"/>
      <c r="E140" s="96"/>
      <c r="F140" s="94"/>
      <c r="G140" s="94"/>
      <c r="H140" s="94"/>
      <c r="I140" s="94"/>
      <c r="J140" s="97"/>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8"/>
      <c r="AR140" s="99" t="str">
        <f t="shared" si="26"/>
        <v/>
      </c>
      <c r="AS140" s="99" t="str">
        <f>IF($A140="","",IF($AP140&lt;&gt;"",$AP140,IFERROR(INDEX('Cat Zone by ZIP'!$D$6:$D$856,MATCH($AR140,'Cat Zone by ZIP'!$B$6:$B$856,0)),IFERROR(INDEX('Cat Zone by ZIP'!$C$860:$C$910,MATCH($K140,'Cat Zone by ZIP'!$B$860:$B$910,0)),"NOT FOUND"))))</f>
        <v/>
      </c>
      <c r="AT140" s="99" t="str">
        <f>IF($A140="","",IF($AP140&lt;&gt;"","Override",IF(ISNUMBER(MATCH($AR140,'Cat Zone by ZIP'!$B$6:$B$856,0)),"ZIP-3","State default")))</f>
        <v/>
      </c>
      <c r="AU140" s="100" t="str">
        <f>IF($A140="","",IFERROR(INDEX('Natural Catastrophe'!$D$6:$D$17,MATCH($AS140,'Natural Catastrophe'!$B$6:$B$17,0)),"?"))</f>
        <v/>
      </c>
      <c r="AV140" s="100" t="str">
        <f>IF($A140="","",IFERROR(INDEX('Natural Catastrophe'!$C$21:$C$26,MATCH($AA140,'Natural Catastrophe'!$B$21:$B$26,0)),"?"))</f>
        <v/>
      </c>
      <c r="AW140" s="99" t="str">
        <f>IF($A140="","",IFERROR(INDEX('Base Rates'!$C$4:$I$4,MATCH(MAX($J140,'Technical Premium'!$C$18),'Base Rates'!$C$3:$I$3,1)),"?"))</f>
        <v/>
      </c>
      <c r="AX140" s="101" t="str">
        <f>IF($A140="","",IFERROR(INDEX('Base Rates'!$C$5:$I$16,MATCH($I140,'Base Rates'!$B$5:$B$16,0),MATCH(MAX($J140,'Technical Premium'!$C$18),'Base Rates'!$C$3:$I$3,1)),"?"))</f>
        <v/>
      </c>
      <c r="AY140" s="102" t="str">
        <f t="shared" si="27"/>
        <v/>
      </c>
      <c r="AZ140" s="99" t="str">
        <f>IF($A140="","",IFERROR(INDEX('Make Factors'!$G$5:$G$69,MATCH($F140,'Make Factors'!$B$5:$B$69,0)),"?"))</f>
        <v/>
      </c>
      <c r="BA140" s="99" t="str">
        <f>IF($A140="","",IFERROR(INDEX('Driver Factors'!$C$6:$C$15,MATCH($R140,'Driver Factors'!$B$6:$B$15,0)),"?"))</f>
        <v/>
      </c>
      <c r="BB140" s="99" t="str">
        <f>IF($A140="","",IFERROR(INDEX('Driver Factors'!$C$19:$C$24,MATCH($S140,'Driver Factors'!$B$19:$B$24,0)),"?"))</f>
        <v/>
      </c>
      <c r="BC140" s="99" t="str">
        <f>IF($A140="","",IFERROR(INDEX('Driver Factors'!$C$28:$C$36,MATCH($T140,'Driver Factors'!$B$28:$B$36,0)),"?"))</f>
        <v/>
      </c>
      <c r="BD140" s="99" t="str">
        <f>IF($A140="","",IFERROR(INDEX('Claims History'!$C$6:$C$15,MATCH($U140,'Claims History'!$B$6:$B$15,0)),"?"))</f>
        <v/>
      </c>
      <c r="BE140" s="99" t="str">
        <f>IF($A140="","",IFERROR(INDEX('Territory Factors'!$E$6:$E$56,MATCH($K140,'Territory Factors'!$B$6:$B$56,0)),"?"))</f>
        <v/>
      </c>
      <c r="BF140" s="99" t="str">
        <f>IF($A140="","",IFERROR(INDEX('City Accident Ratings'!$G$6:$G$54,MATCH($Z140,'City Accident Ratings'!$B$6:$B$54,0)),"?"))</f>
        <v/>
      </c>
      <c r="BG140" s="99" t="str">
        <f>IF($A140="","",IFERROR(INDEX('Usage and Coverage'!$D$6:$D$20,MATCH($N140,'Usage and Coverage'!$C$6:$C$20,0)),"?"))</f>
        <v/>
      </c>
      <c r="BH140" s="99" t="str">
        <f>IF($A140="","",IFERROR(INDEX('Usage and Coverage'!$C$24:$C$30,MATCH($O140,'Usage and Coverage'!$B$24:$B$30,0)),"?"))</f>
        <v/>
      </c>
      <c r="BI140" s="99" t="str">
        <f>IF($A140="","",IFERROR(INDEX('Usage and Coverage'!$C$34:$C$40,MATCH($P140,'Usage and Coverage'!$B$34:$B$40,0)),"?"))</f>
        <v/>
      </c>
      <c r="BJ140" s="99" t="str">
        <f>IF($A140="","",IFERROR(INDEX('Usage and Coverage'!$C$44:$C$49,MATCH($Q140,'Usage and Coverage'!$B$44:$B$49,0)),"?"))</f>
        <v/>
      </c>
      <c r="BK140" s="99" t="str">
        <f>IF($A140="","",IFERROR(INDEX(Deductibles!$C$6:$I$15,MATCH($W140,Deductibles!$B$6:$B$15,0),MATCH(MAX($J140,'Technical Premium'!$C$18),'Base Rates'!$C$3:$I$3,1)),"?"))</f>
        <v/>
      </c>
      <c r="BL140" s="99" t="str">
        <f>IF($A140="","",IFERROR(INDEX('Usage and Coverage'!$C$63:$C$66,MATCH($X140,'Usage and Coverage'!$B$63:$B$66,0)),"?"))</f>
        <v/>
      </c>
      <c r="BM140" s="99" t="str">
        <f>IF($A140="","",IFERROR(INDEX('Usage and Coverage'!$C$70:$C$75,MATCH($V140,'Usage and Coverage'!$B$70:$B$75,0)),"?"))</f>
        <v/>
      </c>
      <c r="BN140" s="99" t="str">
        <f>IF($A140="","",IF($AB140="",1,IFERROR(INDEX(Deductibles!$C$48:$C$51,MATCH($AB140,Deductibles!$B$48:$B$51,0)),"?")))</f>
        <v/>
      </c>
      <c r="BO140" s="99" t="str">
        <f>IF($A140="","",IF($AC140="",1,IFERROR(INDEX(Deductibles!$C$55:$C$57,MATCH($AC140,Deductibles!$B$55:$B$57,0)),"?")))</f>
        <v/>
      </c>
      <c r="BP140" s="99" t="str">
        <f>IF($A140="","",IF($AD140="",1,IFERROR(INDEX(Deductibles!$C$61:$C$63,MATCH($AD140,Deductibles!$B$61:$B$63,0)),"?")))</f>
        <v/>
      </c>
      <c r="BQ140" s="99" t="str">
        <f>IF($A140="","",IF($AE140="",1,IFERROR(INDEX(Deductibles!$C$67:$C$69,MATCH($AE140,Deductibles!$B$67:$B$69,0)),"?")))</f>
        <v/>
      </c>
      <c r="BR140" s="99" t="str">
        <f>IF($A140="","",IF($AF140="",1,IFERROR(INDEX(Deductibles!$C$73:$C$74,MATCH($AF140,Deductibles!$B$73:$B$74,0)),"?")))</f>
        <v/>
      </c>
      <c r="BS140" s="99" t="str">
        <f>IF($A140="","",IF($AG140="",1,IFERROR(INDEX('Sublimits and Parts'!$C$49:$C$52,MATCH($AG140,'Sublimits and Parts'!$B$49:$B$52,0)),"?")))</f>
        <v/>
      </c>
      <c r="BT140" s="99" t="str">
        <f>IF($A140="","",IF($AH140="",1,IFERROR(INDEX('Sublimits and Parts'!$C$56:$C$60,MATCH($AH140,'Sublimits and Parts'!$B$56:$B$60,0)),"?")))</f>
        <v/>
      </c>
      <c r="BU140" s="99" t="str">
        <f>IF($A140="","",IF($AI140="",1,IFERROR(INDEX('Sublimits and Parts'!$C$64:$C$67,MATCH($AI140,'Sublimits and Parts'!$B$64:$B$67,0)),"?")))</f>
        <v/>
      </c>
      <c r="BV140" s="99" t="str">
        <f>IF($A140="","",IF($AJ140="",1,IFERROR(INDEX('Sublimits and Parts'!$C$71:$C$74,MATCH($AJ140,'Sublimits and Parts'!$B$71:$B$74,0)),"?")))</f>
        <v/>
      </c>
      <c r="BW140" s="99" t="str">
        <f>IF($A140="","",IF($AK140="",1,IFERROR(INDEX('Sublimits and Parts'!$C$78:$C$80,MATCH($AK140,'Sublimits and Parts'!$B$78:$B$80,0)),"?")))</f>
        <v/>
      </c>
      <c r="BX140" s="99" t="str">
        <f>IF($A140="","",IF($AL140="",1,IFERROR(INDEX('Sublimits and Parts'!$C$84:$C$87,MATCH($AL140,'Sublimits and Parts'!$B$84:$B$87,0)),"?")))</f>
        <v/>
      </c>
      <c r="BY140" s="99" t="str">
        <f>IF($A140="","",IF($AM140="",1,IFERROR(INDEX('Sublimits and Parts'!$C$91:$C$94,MATCH($AM140,'Sublimits and Parts'!$B$91:$B$94,0)),"?")))</f>
        <v/>
      </c>
      <c r="BZ140" s="99" t="str">
        <f>IF($A140="","",IF($AN140="",1,IFERROR(INDEX('Sublimits and Parts'!$C$98:$C$101,MATCH($AN140,'Sublimits and Parts'!$B$98:$B$101,0)),"?")))</f>
        <v/>
      </c>
      <c r="CA140" s="99" t="str">
        <f>IF($A140="","",IF($AO140="",1,IFERROR(INDEX('Sublimits and Parts'!$C$105:$C$109,MATCH($AO140,'Sublimits and Parts'!$B$105:$B$109,0)),"?")))</f>
        <v/>
      </c>
      <c r="CB140" s="100" t="str">
        <f t="shared" si="28"/>
        <v/>
      </c>
      <c r="CC140" s="100" t="str">
        <f t="shared" si="29"/>
        <v/>
      </c>
      <c r="CD140" s="103" t="str">
        <f>IF($A140="","",IF(OR($CB140="?",$CC140="?"),"?",MIN($CB140*$CC140,'Technical Premium'!$C$17)))</f>
        <v/>
      </c>
      <c r="CE140" s="102" t="str">
        <f t="shared" si="30"/>
        <v/>
      </c>
      <c r="CF140" s="102" t="str">
        <f>IF($A140="","",IFERROR(INDEX('Territory Factors'!$F$6:$F$56,MATCH($K140,'Territory Factors'!$B$6:$B$56,0)),"?"))</f>
        <v/>
      </c>
      <c r="CG140" s="100" t="str">
        <f>IF($A140="","",IFERROR(INDEX('Usage and Coverage'!$C$79:$C$84,MATCH($Y140,'Usage and Coverage'!$B$79:$B$84,0)),"?"))</f>
        <v/>
      </c>
      <c r="CH140" s="102" t="str">
        <f>IFERROR(IF(ISNUMBER($CD140),$CF140*$CG140*MIN($BG140*$BA140*$BC140*$BD140*$BH140*$BF140,'Technical Premium'!$C$17),""),"")</f>
        <v/>
      </c>
      <c r="CI140" s="102" t="str">
        <f t="shared" si="31"/>
        <v/>
      </c>
      <c r="CJ140" s="102" t="str">
        <f>IFERROR($CI140*(1+'Technical Premium'!$C$5)*(1+'Technical Premium'!$C$6),"")</f>
        <v/>
      </c>
      <c r="CK140" s="102" t="str">
        <f>IFERROR($CE140*INDEX('Territory Factors'!$G$6:$G$56,MATCH($K140,'Territory Factors'!$B$6:$B$56,0))*$AU140*$AV140,"")</f>
        <v/>
      </c>
      <c r="CL140" s="102" t="str">
        <f>IFERROR(($CJ140+$CK140)*(1+'Technical Premium'!$C$7),"")</f>
        <v/>
      </c>
      <c r="CM140" s="104" t="str">
        <f>IFERROR($CL140/'Technical Premium'!$C$13,"")</f>
        <v/>
      </c>
      <c r="CN140" s="105" t="str">
        <f t="shared" si="32"/>
        <v/>
      </c>
      <c r="CO140" s="104" t="str">
        <f t="shared" si="33"/>
        <v/>
      </c>
      <c r="CP140" s="105" t="str">
        <f t="shared" si="34"/>
        <v/>
      </c>
      <c r="CQ140" s="106" t="str">
        <f t="shared" si="35"/>
        <v/>
      </c>
      <c r="CR140" s="102" t="str">
        <f>IF(ISNUMBER($CM140),'Technical Premium'!$C$14+IF($J140&gt;=1000000,'Technical Premium'!$C$15,0),"")</f>
        <v/>
      </c>
      <c r="CS140" s="102" t="str">
        <f>IFERROR(($CO140+$CR140)*(INDEX('Territory Factors'!$K$6:$K$56,MATCH($K140,'Territory Factors'!$B$6:$B$56,0))+'Commission Structure'!$C$21),"")</f>
        <v/>
      </c>
      <c r="CT140" s="104" t="str">
        <f t="shared" si="36"/>
        <v/>
      </c>
      <c r="CU140" s="102" t="str">
        <f>IFERROR($CO140*('Commission Structure'!$C$6+'Commission Structure'!$C$7),"")</f>
        <v/>
      </c>
      <c r="CV140" s="102" t="str">
        <f>IFERROR($CO140*'Commission Structure'!$C$5-$CU140,"")</f>
        <v/>
      </c>
      <c r="CW140" s="102" t="str">
        <f>IFERROR($CO140*(1-'Commission Structure'!$C$5),"")</f>
        <v/>
      </c>
      <c r="CX140" s="107"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8" t="str">
        <f t="shared" si="37"/>
        <v/>
      </c>
      <c r="CZ140" s="99" t="str">
        <f>IF($CY140="","",IF($CY140&lt;'Technical Premium'!$C$19,"BEYOND AUTHORITY",IF($CY140&gt;0.005,"Above technical",IF($CY140&lt;-0.005,"BELOW technical","At technical"))))</f>
        <v/>
      </c>
      <c r="DA140" s="99"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4"/>
      <c r="DC140" s="94"/>
      <c r="DD140" s="95"/>
      <c r="DE140" s="94"/>
      <c r="DF140" s="94"/>
      <c r="DG140" s="99" t="str">
        <f t="shared" si="38"/>
        <v/>
      </c>
      <c r="DH140" s="99" t="str">
        <f>IF($A140="","",IF(OR($CX140="REFER",$CX140="DECLINE"),COUNTIF($CX$5:$CX140,"REFER")+COUNTIF($CX$5:$CX140,"DECLINE"),""))</f>
        <v/>
      </c>
      <c r="DI140" s="94"/>
    </row>
    <row r="141" spans="1:113" x14ac:dyDescent="0.35">
      <c r="A141" s="94"/>
      <c r="B141" s="94"/>
      <c r="C141" s="95"/>
      <c r="D141" s="95"/>
      <c r="E141" s="96"/>
      <c r="F141" s="94"/>
      <c r="G141" s="94"/>
      <c r="H141" s="94"/>
      <c r="I141" s="94"/>
      <c r="J141" s="97"/>
      <c r="K141" s="94"/>
      <c r="L141" s="94"/>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8"/>
      <c r="AR141" s="99" t="str">
        <f t="shared" si="26"/>
        <v/>
      </c>
      <c r="AS141" s="99" t="str">
        <f>IF($A141="","",IF($AP141&lt;&gt;"",$AP141,IFERROR(INDEX('Cat Zone by ZIP'!$D$6:$D$856,MATCH($AR141,'Cat Zone by ZIP'!$B$6:$B$856,0)),IFERROR(INDEX('Cat Zone by ZIP'!$C$860:$C$910,MATCH($K141,'Cat Zone by ZIP'!$B$860:$B$910,0)),"NOT FOUND"))))</f>
        <v/>
      </c>
      <c r="AT141" s="99" t="str">
        <f>IF($A141="","",IF($AP141&lt;&gt;"","Override",IF(ISNUMBER(MATCH($AR141,'Cat Zone by ZIP'!$B$6:$B$856,0)),"ZIP-3","State default")))</f>
        <v/>
      </c>
      <c r="AU141" s="100" t="str">
        <f>IF($A141="","",IFERROR(INDEX('Natural Catastrophe'!$D$6:$D$17,MATCH($AS141,'Natural Catastrophe'!$B$6:$B$17,0)),"?"))</f>
        <v/>
      </c>
      <c r="AV141" s="100" t="str">
        <f>IF($A141="","",IFERROR(INDEX('Natural Catastrophe'!$C$21:$C$26,MATCH($AA141,'Natural Catastrophe'!$B$21:$B$26,0)),"?"))</f>
        <v/>
      </c>
      <c r="AW141" s="99" t="str">
        <f>IF($A141="","",IFERROR(INDEX('Base Rates'!$C$4:$I$4,MATCH(MAX($J141,'Technical Premium'!$C$18),'Base Rates'!$C$3:$I$3,1)),"?"))</f>
        <v/>
      </c>
      <c r="AX141" s="101" t="str">
        <f>IF($A141="","",IFERROR(INDEX('Base Rates'!$C$5:$I$16,MATCH($I141,'Base Rates'!$B$5:$B$16,0),MATCH(MAX($J141,'Technical Premium'!$C$18),'Base Rates'!$C$3:$I$3,1)),"?"))</f>
        <v/>
      </c>
      <c r="AY141" s="102" t="str">
        <f t="shared" si="27"/>
        <v/>
      </c>
      <c r="AZ141" s="99" t="str">
        <f>IF($A141="","",IFERROR(INDEX('Make Factors'!$G$5:$G$69,MATCH($F141,'Make Factors'!$B$5:$B$69,0)),"?"))</f>
        <v/>
      </c>
      <c r="BA141" s="99" t="str">
        <f>IF($A141="","",IFERROR(INDEX('Driver Factors'!$C$6:$C$15,MATCH($R141,'Driver Factors'!$B$6:$B$15,0)),"?"))</f>
        <v/>
      </c>
      <c r="BB141" s="99" t="str">
        <f>IF($A141="","",IFERROR(INDEX('Driver Factors'!$C$19:$C$24,MATCH($S141,'Driver Factors'!$B$19:$B$24,0)),"?"))</f>
        <v/>
      </c>
      <c r="BC141" s="99" t="str">
        <f>IF($A141="","",IFERROR(INDEX('Driver Factors'!$C$28:$C$36,MATCH($T141,'Driver Factors'!$B$28:$B$36,0)),"?"))</f>
        <v/>
      </c>
      <c r="BD141" s="99" t="str">
        <f>IF($A141="","",IFERROR(INDEX('Claims History'!$C$6:$C$15,MATCH($U141,'Claims History'!$B$6:$B$15,0)),"?"))</f>
        <v/>
      </c>
      <c r="BE141" s="99" t="str">
        <f>IF($A141="","",IFERROR(INDEX('Territory Factors'!$E$6:$E$56,MATCH($K141,'Territory Factors'!$B$6:$B$56,0)),"?"))</f>
        <v/>
      </c>
      <c r="BF141" s="99" t="str">
        <f>IF($A141="","",IFERROR(INDEX('City Accident Ratings'!$G$6:$G$54,MATCH($Z141,'City Accident Ratings'!$B$6:$B$54,0)),"?"))</f>
        <v/>
      </c>
      <c r="BG141" s="99" t="str">
        <f>IF($A141="","",IFERROR(INDEX('Usage and Coverage'!$D$6:$D$20,MATCH($N141,'Usage and Coverage'!$C$6:$C$20,0)),"?"))</f>
        <v/>
      </c>
      <c r="BH141" s="99" t="str">
        <f>IF($A141="","",IFERROR(INDEX('Usage and Coverage'!$C$24:$C$30,MATCH($O141,'Usage and Coverage'!$B$24:$B$30,0)),"?"))</f>
        <v/>
      </c>
      <c r="BI141" s="99" t="str">
        <f>IF($A141="","",IFERROR(INDEX('Usage and Coverage'!$C$34:$C$40,MATCH($P141,'Usage and Coverage'!$B$34:$B$40,0)),"?"))</f>
        <v/>
      </c>
      <c r="BJ141" s="99" t="str">
        <f>IF($A141="","",IFERROR(INDEX('Usage and Coverage'!$C$44:$C$49,MATCH($Q141,'Usage and Coverage'!$B$44:$B$49,0)),"?"))</f>
        <v/>
      </c>
      <c r="BK141" s="99" t="str">
        <f>IF($A141="","",IFERROR(INDEX(Deductibles!$C$6:$I$15,MATCH($W141,Deductibles!$B$6:$B$15,0),MATCH(MAX($J141,'Technical Premium'!$C$18),'Base Rates'!$C$3:$I$3,1)),"?"))</f>
        <v/>
      </c>
      <c r="BL141" s="99" t="str">
        <f>IF($A141="","",IFERROR(INDEX('Usage and Coverage'!$C$63:$C$66,MATCH($X141,'Usage and Coverage'!$B$63:$B$66,0)),"?"))</f>
        <v/>
      </c>
      <c r="BM141" s="99" t="str">
        <f>IF($A141="","",IFERROR(INDEX('Usage and Coverage'!$C$70:$C$75,MATCH($V141,'Usage and Coverage'!$B$70:$B$75,0)),"?"))</f>
        <v/>
      </c>
      <c r="BN141" s="99" t="str">
        <f>IF($A141="","",IF($AB141="",1,IFERROR(INDEX(Deductibles!$C$48:$C$51,MATCH($AB141,Deductibles!$B$48:$B$51,0)),"?")))</f>
        <v/>
      </c>
      <c r="BO141" s="99" t="str">
        <f>IF($A141="","",IF($AC141="",1,IFERROR(INDEX(Deductibles!$C$55:$C$57,MATCH($AC141,Deductibles!$B$55:$B$57,0)),"?")))</f>
        <v/>
      </c>
      <c r="BP141" s="99" t="str">
        <f>IF($A141="","",IF($AD141="",1,IFERROR(INDEX(Deductibles!$C$61:$C$63,MATCH($AD141,Deductibles!$B$61:$B$63,0)),"?")))</f>
        <v/>
      </c>
      <c r="BQ141" s="99" t="str">
        <f>IF($A141="","",IF($AE141="",1,IFERROR(INDEX(Deductibles!$C$67:$C$69,MATCH($AE141,Deductibles!$B$67:$B$69,0)),"?")))</f>
        <v/>
      </c>
      <c r="BR141" s="99" t="str">
        <f>IF($A141="","",IF($AF141="",1,IFERROR(INDEX(Deductibles!$C$73:$C$74,MATCH($AF141,Deductibles!$B$73:$B$74,0)),"?")))</f>
        <v/>
      </c>
      <c r="BS141" s="99" t="str">
        <f>IF($A141="","",IF($AG141="",1,IFERROR(INDEX('Sublimits and Parts'!$C$49:$C$52,MATCH($AG141,'Sublimits and Parts'!$B$49:$B$52,0)),"?")))</f>
        <v/>
      </c>
      <c r="BT141" s="99" t="str">
        <f>IF($A141="","",IF($AH141="",1,IFERROR(INDEX('Sublimits and Parts'!$C$56:$C$60,MATCH($AH141,'Sublimits and Parts'!$B$56:$B$60,0)),"?")))</f>
        <v/>
      </c>
      <c r="BU141" s="99" t="str">
        <f>IF($A141="","",IF($AI141="",1,IFERROR(INDEX('Sublimits and Parts'!$C$64:$C$67,MATCH($AI141,'Sublimits and Parts'!$B$64:$B$67,0)),"?")))</f>
        <v/>
      </c>
      <c r="BV141" s="99" t="str">
        <f>IF($A141="","",IF($AJ141="",1,IFERROR(INDEX('Sublimits and Parts'!$C$71:$C$74,MATCH($AJ141,'Sublimits and Parts'!$B$71:$B$74,0)),"?")))</f>
        <v/>
      </c>
      <c r="BW141" s="99" t="str">
        <f>IF($A141="","",IF($AK141="",1,IFERROR(INDEX('Sublimits and Parts'!$C$78:$C$80,MATCH($AK141,'Sublimits and Parts'!$B$78:$B$80,0)),"?")))</f>
        <v/>
      </c>
      <c r="BX141" s="99" t="str">
        <f>IF($A141="","",IF($AL141="",1,IFERROR(INDEX('Sublimits and Parts'!$C$84:$C$87,MATCH($AL141,'Sublimits and Parts'!$B$84:$B$87,0)),"?")))</f>
        <v/>
      </c>
      <c r="BY141" s="99" t="str">
        <f>IF($A141="","",IF($AM141="",1,IFERROR(INDEX('Sublimits and Parts'!$C$91:$C$94,MATCH($AM141,'Sublimits and Parts'!$B$91:$B$94,0)),"?")))</f>
        <v/>
      </c>
      <c r="BZ141" s="99" t="str">
        <f>IF($A141="","",IF($AN141="",1,IFERROR(INDEX('Sublimits and Parts'!$C$98:$C$101,MATCH($AN141,'Sublimits and Parts'!$B$98:$B$101,0)),"?")))</f>
        <v/>
      </c>
      <c r="CA141" s="99" t="str">
        <f>IF($A141="","",IF($AO141="",1,IFERROR(INDEX('Sublimits and Parts'!$C$105:$C$109,MATCH($AO141,'Sublimits and Parts'!$B$105:$B$109,0)),"?")))</f>
        <v/>
      </c>
      <c r="CB141" s="100" t="str">
        <f t="shared" si="28"/>
        <v/>
      </c>
      <c r="CC141" s="100" t="str">
        <f t="shared" si="29"/>
        <v/>
      </c>
      <c r="CD141" s="103" t="str">
        <f>IF($A141="","",IF(OR($CB141="?",$CC141="?"),"?",MIN($CB141*$CC141,'Technical Premium'!$C$17)))</f>
        <v/>
      </c>
      <c r="CE141" s="102" t="str">
        <f t="shared" si="30"/>
        <v/>
      </c>
      <c r="CF141" s="102" t="str">
        <f>IF($A141="","",IFERROR(INDEX('Territory Factors'!$F$6:$F$56,MATCH($K141,'Territory Factors'!$B$6:$B$56,0)),"?"))</f>
        <v/>
      </c>
      <c r="CG141" s="100" t="str">
        <f>IF($A141="","",IFERROR(INDEX('Usage and Coverage'!$C$79:$C$84,MATCH($Y141,'Usage and Coverage'!$B$79:$B$84,0)),"?"))</f>
        <v/>
      </c>
      <c r="CH141" s="102" t="str">
        <f>IFERROR(IF(ISNUMBER($CD141),$CF141*$CG141*MIN($BG141*$BA141*$BC141*$BD141*$BH141*$BF141,'Technical Premium'!$C$17),""),"")</f>
        <v/>
      </c>
      <c r="CI141" s="102" t="str">
        <f t="shared" si="31"/>
        <v/>
      </c>
      <c r="CJ141" s="102" t="str">
        <f>IFERROR($CI141*(1+'Technical Premium'!$C$5)*(1+'Technical Premium'!$C$6),"")</f>
        <v/>
      </c>
      <c r="CK141" s="102" t="str">
        <f>IFERROR($CE141*INDEX('Territory Factors'!$G$6:$G$56,MATCH($K141,'Territory Factors'!$B$6:$B$56,0))*$AU141*$AV141,"")</f>
        <v/>
      </c>
      <c r="CL141" s="102" t="str">
        <f>IFERROR(($CJ141+$CK141)*(1+'Technical Premium'!$C$7),"")</f>
        <v/>
      </c>
      <c r="CM141" s="104" t="str">
        <f>IFERROR($CL141/'Technical Premium'!$C$13,"")</f>
        <v/>
      </c>
      <c r="CN141" s="105" t="str">
        <f t="shared" si="32"/>
        <v/>
      </c>
      <c r="CO141" s="104" t="str">
        <f t="shared" si="33"/>
        <v/>
      </c>
      <c r="CP141" s="105" t="str">
        <f t="shared" si="34"/>
        <v/>
      </c>
      <c r="CQ141" s="106" t="str">
        <f t="shared" si="35"/>
        <v/>
      </c>
      <c r="CR141" s="102" t="str">
        <f>IF(ISNUMBER($CM141),'Technical Premium'!$C$14+IF($J141&gt;=1000000,'Technical Premium'!$C$15,0),"")</f>
        <v/>
      </c>
      <c r="CS141" s="102" t="str">
        <f>IFERROR(($CO141+$CR141)*(INDEX('Territory Factors'!$K$6:$K$56,MATCH($K141,'Territory Factors'!$B$6:$B$56,0))+'Commission Structure'!$C$21),"")</f>
        <v/>
      </c>
      <c r="CT141" s="104" t="str">
        <f t="shared" si="36"/>
        <v/>
      </c>
      <c r="CU141" s="102" t="str">
        <f>IFERROR($CO141*('Commission Structure'!$C$6+'Commission Structure'!$C$7),"")</f>
        <v/>
      </c>
      <c r="CV141" s="102" t="str">
        <f>IFERROR($CO141*'Commission Structure'!$C$5-$CU141,"")</f>
        <v/>
      </c>
      <c r="CW141" s="102" t="str">
        <f>IFERROR($CO141*(1-'Commission Structure'!$C$5),"")</f>
        <v/>
      </c>
      <c r="CX141" s="107"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8" t="str">
        <f t="shared" si="37"/>
        <v/>
      </c>
      <c r="CZ141" s="99" t="str">
        <f>IF($CY141="","",IF($CY141&lt;'Technical Premium'!$C$19,"BEYOND AUTHORITY",IF($CY141&gt;0.005,"Above technical",IF($CY141&lt;-0.005,"BELOW technical","At technical"))))</f>
        <v/>
      </c>
      <c r="DA141" s="99"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4"/>
      <c r="DC141" s="94"/>
      <c r="DD141" s="95"/>
      <c r="DE141" s="94"/>
      <c r="DF141" s="94"/>
      <c r="DG141" s="99" t="str">
        <f t="shared" si="38"/>
        <v/>
      </c>
      <c r="DH141" s="99" t="str">
        <f>IF($A141="","",IF(OR($CX141="REFER",$CX141="DECLINE"),COUNTIF($CX$5:$CX141,"REFER")+COUNTIF($CX$5:$CX141,"DECLINE"),""))</f>
        <v/>
      </c>
      <c r="DI141" s="94"/>
    </row>
    <row r="142" spans="1:113" x14ac:dyDescent="0.35">
      <c r="A142" s="94"/>
      <c r="B142" s="94"/>
      <c r="C142" s="95"/>
      <c r="D142" s="95"/>
      <c r="E142" s="96"/>
      <c r="F142" s="94"/>
      <c r="G142" s="94"/>
      <c r="H142" s="94"/>
      <c r="I142" s="94"/>
      <c r="J142" s="97"/>
      <c r="K142" s="94"/>
      <c r="L142" s="94"/>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8"/>
      <c r="AR142" s="99" t="str">
        <f t="shared" si="26"/>
        <v/>
      </c>
      <c r="AS142" s="99" t="str">
        <f>IF($A142="","",IF($AP142&lt;&gt;"",$AP142,IFERROR(INDEX('Cat Zone by ZIP'!$D$6:$D$856,MATCH($AR142,'Cat Zone by ZIP'!$B$6:$B$856,0)),IFERROR(INDEX('Cat Zone by ZIP'!$C$860:$C$910,MATCH($K142,'Cat Zone by ZIP'!$B$860:$B$910,0)),"NOT FOUND"))))</f>
        <v/>
      </c>
      <c r="AT142" s="99" t="str">
        <f>IF($A142="","",IF($AP142&lt;&gt;"","Override",IF(ISNUMBER(MATCH($AR142,'Cat Zone by ZIP'!$B$6:$B$856,0)),"ZIP-3","State default")))</f>
        <v/>
      </c>
      <c r="AU142" s="100" t="str">
        <f>IF($A142="","",IFERROR(INDEX('Natural Catastrophe'!$D$6:$D$17,MATCH($AS142,'Natural Catastrophe'!$B$6:$B$17,0)),"?"))</f>
        <v/>
      </c>
      <c r="AV142" s="100" t="str">
        <f>IF($A142="","",IFERROR(INDEX('Natural Catastrophe'!$C$21:$C$26,MATCH($AA142,'Natural Catastrophe'!$B$21:$B$26,0)),"?"))</f>
        <v/>
      </c>
      <c r="AW142" s="99" t="str">
        <f>IF($A142="","",IFERROR(INDEX('Base Rates'!$C$4:$I$4,MATCH(MAX($J142,'Technical Premium'!$C$18),'Base Rates'!$C$3:$I$3,1)),"?"))</f>
        <v/>
      </c>
      <c r="AX142" s="101" t="str">
        <f>IF($A142="","",IFERROR(INDEX('Base Rates'!$C$5:$I$16,MATCH($I142,'Base Rates'!$B$5:$B$16,0),MATCH(MAX($J142,'Technical Premium'!$C$18),'Base Rates'!$C$3:$I$3,1)),"?"))</f>
        <v/>
      </c>
      <c r="AY142" s="102" t="str">
        <f t="shared" si="27"/>
        <v/>
      </c>
      <c r="AZ142" s="99" t="str">
        <f>IF($A142="","",IFERROR(INDEX('Make Factors'!$G$5:$G$69,MATCH($F142,'Make Factors'!$B$5:$B$69,0)),"?"))</f>
        <v/>
      </c>
      <c r="BA142" s="99" t="str">
        <f>IF($A142="","",IFERROR(INDEX('Driver Factors'!$C$6:$C$15,MATCH($R142,'Driver Factors'!$B$6:$B$15,0)),"?"))</f>
        <v/>
      </c>
      <c r="BB142" s="99" t="str">
        <f>IF($A142="","",IFERROR(INDEX('Driver Factors'!$C$19:$C$24,MATCH($S142,'Driver Factors'!$B$19:$B$24,0)),"?"))</f>
        <v/>
      </c>
      <c r="BC142" s="99" t="str">
        <f>IF($A142="","",IFERROR(INDEX('Driver Factors'!$C$28:$C$36,MATCH($T142,'Driver Factors'!$B$28:$B$36,0)),"?"))</f>
        <v/>
      </c>
      <c r="BD142" s="99" t="str">
        <f>IF($A142="","",IFERROR(INDEX('Claims History'!$C$6:$C$15,MATCH($U142,'Claims History'!$B$6:$B$15,0)),"?"))</f>
        <v/>
      </c>
      <c r="BE142" s="99" t="str">
        <f>IF($A142="","",IFERROR(INDEX('Territory Factors'!$E$6:$E$56,MATCH($K142,'Territory Factors'!$B$6:$B$56,0)),"?"))</f>
        <v/>
      </c>
      <c r="BF142" s="99" t="str">
        <f>IF($A142="","",IFERROR(INDEX('City Accident Ratings'!$G$6:$G$54,MATCH($Z142,'City Accident Ratings'!$B$6:$B$54,0)),"?"))</f>
        <v/>
      </c>
      <c r="BG142" s="99" t="str">
        <f>IF($A142="","",IFERROR(INDEX('Usage and Coverage'!$D$6:$D$20,MATCH($N142,'Usage and Coverage'!$C$6:$C$20,0)),"?"))</f>
        <v/>
      </c>
      <c r="BH142" s="99" t="str">
        <f>IF($A142="","",IFERROR(INDEX('Usage and Coverage'!$C$24:$C$30,MATCH($O142,'Usage and Coverage'!$B$24:$B$30,0)),"?"))</f>
        <v/>
      </c>
      <c r="BI142" s="99" t="str">
        <f>IF($A142="","",IFERROR(INDEX('Usage and Coverage'!$C$34:$C$40,MATCH($P142,'Usage and Coverage'!$B$34:$B$40,0)),"?"))</f>
        <v/>
      </c>
      <c r="BJ142" s="99" t="str">
        <f>IF($A142="","",IFERROR(INDEX('Usage and Coverage'!$C$44:$C$49,MATCH($Q142,'Usage and Coverage'!$B$44:$B$49,0)),"?"))</f>
        <v/>
      </c>
      <c r="BK142" s="99" t="str">
        <f>IF($A142="","",IFERROR(INDEX(Deductibles!$C$6:$I$15,MATCH($W142,Deductibles!$B$6:$B$15,0),MATCH(MAX($J142,'Technical Premium'!$C$18),'Base Rates'!$C$3:$I$3,1)),"?"))</f>
        <v/>
      </c>
      <c r="BL142" s="99" t="str">
        <f>IF($A142="","",IFERROR(INDEX('Usage and Coverage'!$C$63:$C$66,MATCH($X142,'Usage and Coverage'!$B$63:$B$66,0)),"?"))</f>
        <v/>
      </c>
      <c r="BM142" s="99" t="str">
        <f>IF($A142="","",IFERROR(INDEX('Usage and Coverage'!$C$70:$C$75,MATCH($V142,'Usage and Coverage'!$B$70:$B$75,0)),"?"))</f>
        <v/>
      </c>
      <c r="BN142" s="99" t="str">
        <f>IF($A142="","",IF($AB142="",1,IFERROR(INDEX(Deductibles!$C$48:$C$51,MATCH($AB142,Deductibles!$B$48:$B$51,0)),"?")))</f>
        <v/>
      </c>
      <c r="BO142" s="99" t="str">
        <f>IF($A142="","",IF($AC142="",1,IFERROR(INDEX(Deductibles!$C$55:$C$57,MATCH($AC142,Deductibles!$B$55:$B$57,0)),"?")))</f>
        <v/>
      </c>
      <c r="BP142" s="99" t="str">
        <f>IF($A142="","",IF($AD142="",1,IFERROR(INDEX(Deductibles!$C$61:$C$63,MATCH($AD142,Deductibles!$B$61:$B$63,0)),"?")))</f>
        <v/>
      </c>
      <c r="BQ142" s="99" t="str">
        <f>IF($A142="","",IF($AE142="",1,IFERROR(INDEX(Deductibles!$C$67:$C$69,MATCH($AE142,Deductibles!$B$67:$B$69,0)),"?")))</f>
        <v/>
      </c>
      <c r="BR142" s="99" t="str">
        <f>IF($A142="","",IF($AF142="",1,IFERROR(INDEX(Deductibles!$C$73:$C$74,MATCH($AF142,Deductibles!$B$73:$B$74,0)),"?")))</f>
        <v/>
      </c>
      <c r="BS142" s="99" t="str">
        <f>IF($A142="","",IF($AG142="",1,IFERROR(INDEX('Sublimits and Parts'!$C$49:$C$52,MATCH($AG142,'Sublimits and Parts'!$B$49:$B$52,0)),"?")))</f>
        <v/>
      </c>
      <c r="BT142" s="99" t="str">
        <f>IF($A142="","",IF($AH142="",1,IFERROR(INDEX('Sublimits and Parts'!$C$56:$C$60,MATCH($AH142,'Sublimits and Parts'!$B$56:$B$60,0)),"?")))</f>
        <v/>
      </c>
      <c r="BU142" s="99" t="str">
        <f>IF($A142="","",IF($AI142="",1,IFERROR(INDEX('Sublimits and Parts'!$C$64:$C$67,MATCH($AI142,'Sublimits and Parts'!$B$64:$B$67,0)),"?")))</f>
        <v/>
      </c>
      <c r="BV142" s="99" t="str">
        <f>IF($A142="","",IF($AJ142="",1,IFERROR(INDEX('Sublimits and Parts'!$C$71:$C$74,MATCH($AJ142,'Sublimits and Parts'!$B$71:$B$74,0)),"?")))</f>
        <v/>
      </c>
      <c r="BW142" s="99" t="str">
        <f>IF($A142="","",IF($AK142="",1,IFERROR(INDEX('Sublimits and Parts'!$C$78:$C$80,MATCH($AK142,'Sublimits and Parts'!$B$78:$B$80,0)),"?")))</f>
        <v/>
      </c>
      <c r="BX142" s="99" t="str">
        <f>IF($A142="","",IF($AL142="",1,IFERROR(INDEX('Sublimits and Parts'!$C$84:$C$87,MATCH($AL142,'Sublimits and Parts'!$B$84:$B$87,0)),"?")))</f>
        <v/>
      </c>
      <c r="BY142" s="99" t="str">
        <f>IF($A142="","",IF($AM142="",1,IFERROR(INDEX('Sublimits and Parts'!$C$91:$C$94,MATCH($AM142,'Sublimits and Parts'!$B$91:$B$94,0)),"?")))</f>
        <v/>
      </c>
      <c r="BZ142" s="99" t="str">
        <f>IF($A142="","",IF($AN142="",1,IFERROR(INDEX('Sublimits and Parts'!$C$98:$C$101,MATCH($AN142,'Sublimits and Parts'!$B$98:$B$101,0)),"?")))</f>
        <v/>
      </c>
      <c r="CA142" s="99" t="str">
        <f>IF($A142="","",IF($AO142="",1,IFERROR(INDEX('Sublimits and Parts'!$C$105:$C$109,MATCH($AO142,'Sublimits and Parts'!$B$105:$B$109,0)),"?")))</f>
        <v/>
      </c>
      <c r="CB142" s="100" t="str">
        <f t="shared" si="28"/>
        <v/>
      </c>
      <c r="CC142" s="100" t="str">
        <f t="shared" si="29"/>
        <v/>
      </c>
      <c r="CD142" s="103" t="str">
        <f>IF($A142="","",IF(OR($CB142="?",$CC142="?"),"?",MIN($CB142*$CC142,'Technical Premium'!$C$17)))</f>
        <v/>
      </c>
      <c r="CE142" s="102" t="str">
        <f t="shared" si="30"/>
        <v/>
      </c>
      <c r="CF142" s="102" t="str">
        <f>IF($A142="","",IFERROR(INDEX('Territory Factors'!$F$6:$F$56,MATCH($K142,'Territory Factors'!$B$6:$B$56,0)),"?"))</f>
        <v/>
      </c>
      <c r="CG142" s="100" t="str">
        <f>IF($A142="","",IFERROR(INDEX('Usage and Coverage'!$C$79:$C$84,MATCH($Y142,'Usage and Coverage'!$B$79:$B$84,0)),"?"))</f>
        <v/>
      </c>
      <c r="CH142" s="102" t="str">
        <f>IFERROR(IF(ISNUMBER($CD142),$CF142*$CG142*MIN($BG142*$BA142*$BC142*$BD142*$BH142*$BF142,'Technical Premium'!$C$17),""),"")</f>
        <v/>
      </c>
      <c r="CI142" s="102" t="str">
        <f t="shared" si="31"/>
        <v/>
      </c>
      <c r="CJ142" s="102" t="str">
        <f>IFERROR($CI142*(1+'Technical Premium'!$C$5)*(1+'Technical Premium'!$C$6),"")</f>
        <v/>
      </c>
      <c r="CK142" s="102" t="str">
        <f>IFERROR($CE142*INDEX('Territory Factors'!$G$6:$G$56,MATCH($K142,'Territory Factors'!$B$6:$B$56,0))*$AU142*$AV142,"")</f>
        <v/>
      </c>
      <c r="CL142" s="102" t="str">
        <f>IFERROR(($CJ142+$CK142)*(1+'Technical Premium'!$C$7),"")</f>
        <v/>
      </c>
      <c r="CM142" s="104" t="str">
        <f>IFERROR($CL142/'Technical Premium'!$C$13,"")</f>
        <v/>
      </c>
      <c r="CN142" s="105" t="str">
        <f t="shared" si="32"/>
        <v/>
      </c>
      <c r="CO142" s="104" t="str">
        <f t="shared" si="33"/>
        <v/>
      </c>
      <c r="CP142" s="105" t="str">
        <f t="shared" si="34"/>
        <v/>
      </c>
      <c r="CQ142" s="106" t="str">
        <f t="shared" si="35"/>
        <v/>
      </c>
      <c r="CR142" s="102" t="str">
        <f>IF(ISNUMBER($CM142),'Technical Premium'!$C$14+IF($J142&gt;=1000000,'Technical Premium'!$C$15,0),"")</f>
        <v/>
      </c>
      <c r="CS142" s="102" t="str">
        <f>IFERROR(($CO142+$CR142)*(INDEX('Territory Factors'!$K$6:$K$56,MATCH($K142,'Territory Factors'!$B$6:$B$56,0))+'Commission Structure'!$C$21),"")</f>
        <v/>
      </c>
      <c r="CT142" s="104" t="str">
        <f t="shared" si="36"/>
        <v/>
      </c>
      <c r="CU142" s="102" t="str">
        <f>IFERROR($CO142*('Commission Structure'!$C$6+'Commission Structure'!$C$7),"")</f>
        <v/>
      </c>
      <c r="CV142" s="102" t="str">
        <f>IFERROR($CO142*'Commission Structure'!$C$5-$CU142,"")</f>
        <v/>
      </c>
      <c r="CW142" s="102" t="str">
        <f>IFERROR($CO142*(1-'Commission Structure'!$C$5),"")</f>
        <v/>
      </c>
      <c r="CX142" s="107"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8" t="str">
        <f t="shared" si="37"/>
        <v/>
      </c>
      <c r="CZ142" s="99" t="str">
        <f>IF($CY142="","",IF($CY142&lt;'Technical Premium'!$C$19,"BEYOND AUTHORITY",IF($CY142&gt;0.005,"Above technical",IF($CY142&lt;-0.005,"BELOW technical","At technical"))))</f>
        <v/>
      </c>
      <c r="DA142" s="99"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4"/>
      <c r="DC142" s="94"/>
      <c r="DD142" s="95"/>
      <c r="DE142" s="94"/>
      <c r="DF142" s="94"/>
      <c r="DG142" s="99" t="str">
        <f t="shared" si="38"/>
        <v/>
      </c>
      <c r="DH142" s="99" t="str">
        <f>IF($A142="","",IF(OR($CX142="REFER",$CX142="DECLINE"),COUNTIF($CX$5:$CX142,"REFER")+COUNTIF($CX$5:$CX142,"DECLINE"),""))</f>
        <v/>
      </c>
      <c r="DI142" s="94"/>
    </row>
    <row r="143" spans="1:113" x14ac:dyDescent="0.35">
      <c r="A143" s="94"/>
      <c r="B143" s="94"/>
      <c r="C143" s="95"/>
      <c r="D143" s="95"/>
      <c r="E143" s="96"/>
      <c r="F143" s="94"/>
      <c r="G143" s="94"/>
      <c r="H143" s="94"/>
      <c r="I143" s="94"/>
      <c r="J143" s="97"/>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8"/>
      <c r="AR143" s="99" t="str">
        <f t="shared" si="26"/>
        <v/>
      </c>
      <c r="AS143" s="99" t="str">
        <f>IF($A143="","",IF($AP143&lt;&gt;"",$AP143,IFERROR(INDEX('Cat Zone by ZIP'!$D$6:$D$856,MATCH($AR143,'Cat Zone by ZIP'!$B$6:$B$856,0)),IFERROR(INDEX('Cat Zone by ZIP'!$C$860:$C$910,MATCH($K143,'Cat Zone by ZIP'!$B$860:$B$910,0)),"NOT FOUND"))))</f>
        <v/>
      </c>
      <c r="AT143" s="99" t="str">
        <f>IF($A143="","",IF($AP143&lt;&gt;"","Override",IF(ISNUMBER(MATCH($AR143,'Cat Zone by ZIP'!$B$6:$B$856,0)),"ZIP-3","State default")))</f>
        <v/>
      </c>
      <c r="AU143" s="100" t="str">
        <f>IF($A143="","",IFERROR(INDEX('Natural Catastrophe'!$D$6:$D$17,MATCH($AS143,'Natural Catastrophe'!$B$6:$B$17,0)),"?"))</f>
        <v/>
      </c>
      <c r="AV143" s="100" t="str">
        <f>IF($A143="","",IFERROR(INDEX('Natural Catastrophe'!$C$21:$C$26,MATCH($AA143,'Natural Catastrophe'!$B$21:$B$26,0)),"?"))</f>
        <v/>
      </c>
      <c r="AW143" s="99" t="str">
        <f>IF($A143="","",IFERROR(INDEX('Base Rates'!$C$4:$I$4,MATCH(MAX($J143,'Technical Premium'!$C$18),'Base Rates'!$C$3:$I$3,1)),"?"))</f>
        <v/>
      </c>
      <c r="AX143" s="101" t="str">
        <f>IF($A143="","",IFERROR(INDEX('Base Rates'!$C$5:$I$16,MATCH($I143,'Base Rates'!$B$5:$B$16,0),MATCH(MAX($J143,'Technical Premium'!$C$18),'Base Rates'!$C$3:$I$3,1)),"?"))</f>
        <v/>
      </c>
      <c r="AY143" s="102" t="str">
        <f t="shared" si="27"/>
        <v/>
      </c>
      <c r="AZ143" s="99" t="str">
        <f>IF($A143="","",IFERROR(INDEX('Make Factors'!$G$5:$G$69,MATCH($F143,'Make Factors'!$B$5:$B$69,0)),"?"))</f>
        <v/>
      </c>
      <c r="BA143" s="99" t="str">
        <f>IF($A143="","",IFERROR(INDEX('Driver Factors'!$C$6:$C$15,MATCH($R143,'Driver Factors'!$B$6:$B$15,0)),"?"))</f>
        <v/>
      </c>
      <c r="BB143" s="99" t="str">
        <f>IF($A143="","",IFERROR(INDEX('Driver Factors'!$C$19:$C$24,MATCH($S143,'Driver Factors'!$B$19:$B$24,0)),"?"))</f>
        <v/>
      </c>
      <c r="BC143" s="99" t="str">
        <f>IF($A143="","",IFERROR(INDEX('Driver Factors'!$C$28:$C$36,MATCH($T143,'Driver Factors'!$B$28:$B$36,0)),"?"))</f>
        <v/>
      </c>
      <c r="BD143" s="99" t="str">
        <f>IF($A143="","",IFERROR(INDEX('Claims History'!$C$6:$C$15,MATCH($U143,'Claims History'!$B$6:$B$15,0)),"?"))</f>
        <v/>
      </c>
      <c r="BE143" s="99" t="str">
        <f>IF($A143="","",IFERROR(INDEX('Territory Factors'!$E$6:$E$56,MATCH($K143,'Territory Factors'!$B$6:$B$56,0)),"?"))</f>
        <v/>
      </c>
      <c r="BF143" s="99" t="str">
        <f>IF($A143="","",IFERROR(INDEX('City Accident Ratings'!$G$6:$G$54,MATCH($Z143,'City Accident Ratings'!$B$6:$B$54,0)),"?"))</f>
        <v/>
      </c>
      <c r="BG143" s="99" t="str">
        <f>IF($A143="","",IFERROR(INDEX('Usage and Coverage'!$D$6:$D$20,MATCH($N143,'Usage and Coverage'!$C$6:$C$20,0)),"?"))</f>
        <v/>
      </c>
      <c r="BH143" s="99" t="str">
        <f>IF($A143="","",IFERROR(INDEX('Usage and Coverage'!$C$24:$C$30,MATCH($O143,'Usage and Coverage'!$B$24:$B$30,0)),"?"))</f>
        <v/>
      </c>
      <c r="BI143" s="99" t="str">
        <f>IF($A143="","",IFERROR(INDEX('Usage and Coverage'!$C$34:$C$40,MATCH($P143,'Usage and Coverage'!$B$34:$B$40,0)),"?"))</f>
        <v/>
      </c>
      <c r="BJ143" s="99" t="str">
        <f>IF($A143="","",IFERROR(INDEX('Usage and Coverage'!$C$44:$C$49,MATCH($Q143,'Usage and Coverage'!$B$44:$B$49,0)),"?"))</f>
        <v/>
      </c>
      <c r="BK143" s="99" t="str">
        <f>IF($A143="","",IFERROR(INDEX(Deductibles!$C$6:$I$15,MATCH($W143,Deductibles!$B$6:$B$15,0),MATCH(MAX($J143,'Technical Premium'!$C$18),'Base Rates'!$C$3:$I$3,1)),"?"))</f>
        <v/>
      </c>
      <c r="BL143" s="99" t="str">
        <f>IF($A143="","",IFERROR(INDEX('Usage and Coverage'!$C$63:$C$66,MATCH($X143,'Usage and Coverage'!$B$63:$B$66,0)),"?"))</f>
        <v/>
      </c>
      <c r="BM143" s="99" t="str">
        <f>IF($A143="","",IFERROR(INDEX('Usage and Coverage'!$C$70:$C$75,MATCH($V143,'Usage and Coverage'!$B$70:$B$75,0)),"?"))</f>
        <v/>
      </c>
      <c r="BN143" s="99" t="str">
        <f>IF($A143="","",IF($AB143="",1,IFERROR(INDEX(Deductibles!$C$48:$C$51,MATCH($AB143,Deductibles!$B$48:$B$51,0)),"?")))</f>
        <v/>
      </c>
      <c r="BO143" s="99" t="str">
        <f>IF($A143="","",IF($AC143="",1,IFERROR(INDEX(Deductibles!$C$55:$C$57,MATCH($AC143,Deductibles!$B$55:$B$57,0)),"?")))</f>
        <v/>
      </c>
      <c r="BP143" s="99" t="str">
        <f>IF($A143="","",IF($AD143="",1,IFERROR(INDEX(Deductibles!$C$61:$C$63,MATCH($AD143,Deductibles!$B$61:$B$63,0)),"?")))</f>
        <v/>
      </c>
      <c r="BQ143" s="99" t="str">
        <f>IF($A143="","",IF($AE143="",1,IFERROR(INDEX(Deductibles!$C$67:$C$69,MATCH($AE143,Deductibles!$B$67:$B$69,0)),"?")))</f>
        <v/>
      </c>
      <c r="BR143" s="99" t="str">
        <f>IF($A143="","",IF($AF143="",1,IFERROR(INDEX(Deductibles!$C$73:$C$74,MATCH($AF143,Deductibles!$B$73:$B$74,0)),"?")))</f>
        <v/>
      </c>
      <c r="BS143" s="99" t="str">
        <f>IF($A143="","",IF($AG143="",1,IFERROR(INDEX('Sublimits and Parts'!$C$49:$C$52,MATCH($AG143,'Sublimits and Parts'!$B$49:$B$52,0)),"?")))</f>
        <v/>
      </c>
      <c r="BT143" s="99" t="str">
        <f>IF($A143="","",IF($AH143="",1,IFERROR(INDEX('Sublimits and Parts'!$C$56:$C$60,MATCH($AH143,'Sublimits and Parts'!$B$56:$B$60,0)),"?")))</f>
        <v/>
      </c>
      <c r="BU143" s="99" t="str">
        <f>IF($A143="","",IF($AI143="",1,IFERROR(INDEX('Sublimits and Parts'!$C$64:$C$67,MATCH($AI143,'Sublimits and Parts'!$B$64:$B$67,0)),"?")))</f>
        <v/>
      </c>
      <c r="BV143" s="99" t="str">
        <f>IF($A143="","",IF($AJ143="",1,IFERROR(INDEX('Sublimits and Parts'!$C$71:$C$74,MATCH($AJ143,'Sublimits and Parts'!$B$71:$B$74,0)),"?")))</f>
        <v/>
      </c>
      <c r="BW143" s="99" t="str">
        <f>IF($A143="","",IF($AK143="",1,IFERROR(INDEX('Sublimits and Parts'!$C$78:$C$80,MATCH($AK143,'Sublimits and Parts'!$B$78:$B$80,0)),"?")))</f>
        <v/>
      </c>
      <c r="BX143" s="99" t="str">
        <f>IF($A143="","",IF($AL143="",1,IFERROR(INDEX('Sublimits and Parts'!$C$84:$C$87,MATCH($AL143,'Sublimits and Parts'!$B$84:$B$87,0)),"?")))</f>
        <v/>
      </c>
      <c r="BY143" s="99" t="str">
        <f>IF($A143="","",IF($AM143="",1,IFERROR(INDEX('Sublimits and Parts'!$C$91:$C$94,MATCH($AM143,'Sublimits and Parts'!$B$91:$B$94,0)),"?")))</f>
        <v/>
      </c>
      <c r="BZ143" s="99" t="str">
        <f>IF($A143="","",IF($AN143="",1,IFERROR(INDEX('Sublimits and Parts'!$C$98:$C$101,MATCH($AN143,'Sublimits and Parts'!$B$98:$B$101,0)),"?")))</f>
        <v/>
      </c>
      <c r="CA143" s="99" t="str">
        <f>IF($A143="","",IF($AO143="",1,IFERROR(INDEX('Sublimits and Parts'!$C$105:$C$109,MATCH($AO143,'Sublimits and Parts'!$B$105:$B$109,0)),"?")))</f>
        <v/>
      </c>
      <c r="CB143" s="100" t="str">
        <f t="shared" si="28"/>
        <v/>
      </c>
      <c r="CC143" s="100" t="str">
        <f t="shared" si="29"/>
        <v/>
      </c>
      <c r="CD143" s="103" t="str">
        <f>IF($A143="","",IF(OR($CB143="?",$CC143="?"),"?",MIN($CB143*$CC143,'Technical Premium'!$C$17)))</f>
        <v/>
      </c>
      <c r="CE143" s="102" t="str">
        <f t="shared" si="30"/>
        <v/>
      </c>
      <c r="CF143" s="102" t="str">
        <f>IF($A143="","",IFERROR(INDEX('Territory Factors'!$F$6:$F$56,MATCH($K143,'Territory Factors'!$B$6:$B$56,0)),"?"))</f>
        <v/>
      </c>
      <c r="CG143" s="100" t="str">
        <f>IF($A143="","",IFERROR(INDEX('Usage and Coverage'!$C$79:$C$84,MATCH($Y143,'Usage and Coverage'!$B$79:$B$84,0)),"?"))</f>
        <v/>
      </c>
      <c r="CH143" s="102" t="str">
        <f>IFERROR(IF(ISNUMBER($CD143),$CF143*$CG143*MIN($BG143*$BA143*$BC143*$BD143*$BH143*$BF143,'Technical Premium'!$C$17),""),"")</f>
        <v/>
      </c>
      <c r="CI143" s="102" t="str">
        <f t="shared" si="31"/>
        <v/>
      </c>
      <c r="CJ143" s="102" t="str">
        <f>IFERROR($CI143*(1+'Technical Premium'!$C$5)*(1+'Technical Premium'!$C$6),"")</f>
        <v/>
      </c>
      <c r="CK143" s="102" t="str">
        <f>IFERROR($CE143*INDEX('Territory Factors'!$G$6:$G$56,MATCH($K143,'Territory Factors'!$B$6:$B$56,0))*$AU143*$AV143,"")</f>
        <v/>
      </c>
      <c r="CL143" s="102" t="str">
        <f>IFERROR(($CJ143+$CK143)*(1+'Technical Premium'!$C$7),"")</f>
        <v/>
      </c>
      <c r="CM143" s="104" t="str">
        <f>IFERROR($CL143/'Technical Premium'!$C$13,"")</f>
        <v/>
      </c>
      <c r="CN143" s="105" t="str">
        <f t="shared" si="32"/>
        <v/>
      </c>
      <c r="CO143" s="104" t="str">
        <f t="shared" si="33"/>
        <v/>
      </c>
      <c r="CP143" s="105" t="str">
        <f t="shared" si="34"/>
        <v/>
      </c>
      <c r="CQ143" s="106" t="str">
        <f t="shared" si="35"/>
        <v/>
      </c>
      <c r="CR143" s="102" t="str">
        <f>IF(ISNUMBER($CM143),'Technical Premium'!$C$14+IF($J143&gt;=1000000,'Technical Premium'!$C$15,0),"")</f>
        <v/>
      </c>
      <c r="CS143" s="102" t="str">
        <f>IFERROR(($CO143+$CR143)*(INDEX('Territory Factors'!$K$6:$K$56,MATCH($K143,'Territory Factors'!$B$6:$B$56,0))+'Commission Structure'!$C$21),"")</f>
        <v/>
      </c>
      <c r="CT143" s="104" t="str">
        <f t="shared" si="36"/>
        <v/>
      </c>
      <c r="CU143" s="102" t="str">
        <f>IFERROR($CO143*('Commission Structure'!$C$6+'Commission Structure'!$C$7),"")</f>
        <v/>
      </c>
      <c r="CV143" s="102" t="str">
        <f>IFERROR($CO143*'Commission Structure'!$C$5-$CU143,"")</f>
        <v/>
      </c>
      <c r="CW143" s="102" t="str">
        <f>IFERROR($CO143*(1-'Commission Structure'!$C$5),"")</f>
        <v/>
      </c>
      <c r="CX143" s="107"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8" t="str">
        <f t="shared" si="37"/>
        <v/>
      </c>
      <c r="CZ143" s="99" t="str">
        <f>IF($CY143="","",IF($CY143&lt;'Technical Premium'!$C$19,"BEYOND AUTHORITY",IF($CY143&gt;0.005,"Above technical",IF($CY143&lt;-0.005,"BELOW technical","At technical"))))</f>
        <v/>
      </c>
      <c r="DA143" s="99"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4"/>
      <c r="DC143" s="94"/>
      <c r="DD143" s="95"/>
      <c r="DE143" s="94"/>
      <c r="DF143" s="94"/>
      <c r="DG143" s="99" t="str">
        <f t="shared" si="38"/>
        <v/>
      </c>
      <c r="DH143" s="99" t="str">
        <f>IF($A143="","",IF(OR($CX143="REFER",$CX143="DECLINE"),COUNTIF($CX$5:$CX143,"REFER")+COUNTIF($CX$5:$CX143,"DECLINE"),""))</f>
        <v/>
      </c>
      <c r="DI143" s="94"/>
    </row>
    <row r="144" spans="1:113" x14ac:dyDescent="0.35">
      <c r="A144" s="94"/>
      <c r="B144" s="94"/>
      <c r="C144" s="95"/>
      <c r="D144" s="95"/>
      <c r="E144" s="96"/>
      <c r="F144" s="94"/>
      <c r="G144" s="94"/>
      <c r="H144" s="94"/>
      <c r="I144" s="94"/>
      <c r="J144" s="97"/>
      <c r="K144" s="94"/>
      <c r="L144" s="94"/>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8"/>
      <c r="AR144" s="99" t="str">
        <f t="shared" si="26"/>
        <v/>
      </c>
      <c r="AS144" s="99" t="str">
        <f>IF($A144="","",IF($AP144&lt;&gt;"",$AP144,IFERROR(INDEX('Cat Zone by ZIP'!$D$6:$D$856,MATCH($AR144,'Cat Zone by ZIP'!$B$6:$B$856,0)),IFERROR(INDEX('Cat Zone by ZIP'!$C$860:$C$910,MATCH($K144,'Cat Zone by ZIP'!$B$860:$B$910,0)),"NOT FOUND"))))</f>
        <v/>
      </c>
      <c r="AT144" s="99" t="str">
        <f>IF($A144="","",IF($AP144&lt;&gt;"","Override",IF(ISNUMBER(MATCH($AR144,'Cat Zone by ZIP'!$B$6:$B$856,0)),"ZIP-3","State default")))</f>
        <v/>
      </c>
      <c r="AU144" s="100" t="str">
        <f>IF($A144="","",IFERROR(INDEX('Natural Catastrophe'!$D$6:$D$17,MATCH($AS144,'Natural Catastrophe'!$B$6:$B$17,0)),"?"))</f>
        <v/>
      </c>
      <c r="AV144" s="100" t="str">
        <f>IF($A144="","",IFERROR(INDEX('Natural Catastrophe'!$C$21:$C$26,MATCH($AA144,'Natural Catastrophe'!$B$21:$B$26,0)),"?"))</f>
        <v/>
      </c>
      <c r="AW144" s="99" t="str">
        <f>IF($A144="","",IFERROR(INDEX('Base Rates'!$C$4:$I$4,MATCH(MAX($J144,'Technical Premium'!$C$18),'Base Rates'!$C$3:$I$3,1)),"?"))</f>
        <v/>
      </c>
      <c r="AX144" s="101" t="str">
        <f>IF($A144="","",IFERROR(INDEX('Base Rates'!$C$5:$I$16,MATCH($I144,'Base Rates'!$B$5:$B$16,0),MATCH(MAX($J144,'Technical Premium'!$C$18),'Base Rates'!$C$3:$I$3,1)),"?"))</f>
        <v/>
      </c>
      <c r="AY144" s="102" t="str">
        <f t="shared" si="27"/>
        <v/>
      </c>
      <c r="AZ144" s="99" t="str">
        <f>IF($A144="","",IFERROR(INDEX('Make Factors'!$G$5:$G$69,MATCH($F144,'Make Factors'!$B$5:$B$69,0)),"?"))</f>
        <v/>
      </c>
      <c r="BA144" s="99" t="str">
        <f>IF($A144="","",IFERROR(INDEX('Driver Factors'!$C$6:$C$15,MATCH($R144,'Driver Factors'!$B$6:$B$15,0)),"?"))</f>
        <v/>
      </c>
      <c r="BB144" s="99" t="str">
        <f>IF($A144="","",IFERROR(INDEX('Driver Factors'!$C$19:$C$24,MATCH($S144,'Driver Factors'!$B$19:$B$24,0)),"?"))</f>
        <v/>
      </c>
      <c r="BC144" s="99" t="str">
        <f>IF($A144="","",IFERROR(INDEX('Driver Factors'!$C$28:$C$36,MATCH($T144,'Driver Factors'!$B$28:$B$36,0)),"?"))</f>
        <v/>
      </c>
      <c r="BD144" s="99" t="str">
        <f>IF($A144="","",IFERROR(INDEX('Claims History'!$C$6:$C$15,MATCH($U144,'Claims History'!$B$6:$B$15,0)),"?"))</f>
        <v/>
      </c>
      <c r="BE144" s="99" t="str">
        <f>IF($A144="","",IFERROR(INDEX('Territory Factors'!$E$6:$E$56,MATCH($K144,'Territory Factors'!$B$6:$B$56,0)),"?"))</f>
        <v/>
      </c>
      <c r="BF144" s="99" t="str">
        <f>IF($A144="","",IFERROR(INDEX('City Accident Ratings'!$G$6:$G$54,MATCH($Z144,'City Accident Ratings'!$B$6:$B$54,0)),"?"))</f>
        <v/>
      </c>
      <c r="BG144" s="99" t="str">
        <f>IF($A144="","",IFERROR(INDEX('Usage and Coverage'!$D$6:$D$20,MATCH($N144,'Usage and Coverage'!$C$6:$C$20,0)),"?"))</f>
        <v/>
      </c>
      <c r="BH144" s="99" t="str">
        <f>IF($A144="","",IFERROR(INDEX('Usage and Coverage'!$C$24:$C$30,MATCH($O144,'Usage and Coverage'!$B$24:$B$30,0)),"?"))</f>
        <v/>
      </c>
      <c r="BI144" s="99" t="str">
        <f>IF($A144="","",IFERROR(INDEX('Usage and Coverage'!$C$34:$C$40,MATCH($P144,'Usage and Coverage'!$B$34:$B$40,0)),"?"))</f>
        <v/>
      </c>
      <c r="BJ144" s="99" t="str">
        <f>IF($A144="","",IFERROR(INDEX('Usage and Coverage'!$C$44:$C$49,MATCH($Q144,'Usage and Coverage'!$B$44:$B$49,0)),"?"))</f>
        <v/>
      </c>
      <c r="BK144" s="99" t="str">
        <f>IF($A144="","",IFERROR(INDEX(Deductibles!$C$6:$I$15,MATCH($W144,Deductibles!$B$6:$B$15,0),MATCH(MAX($J144,'Technical Premium'!$C$18),'Base Rates'!$C$3:$I$3,1)),"?"))</f>
        <v/>
      </c>
      <c r="BL144" s="99" t="str">
        <f>IF($A144="","",IFERROR(INDEX('Usage and Coverage'!$C$63:$C$66,MATCH($X144,'Usage and Coverage'!$B$63:$B$66,0)),"?"))</f>
        <v/>
      </c>
      <c r="BM144" s="99" t="str">
        <f>IF($A144="","",IFERROR(INDEX('Usage and Coverage'!$C$70:$C$75,MATCH($V144,'Usage and Coverage'!$B$70:$B$75,0)),"?"))</f>
        <v/>
      </c>
      <c r="BN144" s="99" t="str">
        <f>IF($A144="","",IF($AB144="",1,IFERROR(INDEX(Deductibles!$C$48:$C$51,MATCH($AB144,Deductibles!$B$48:$B$51,0)),"?")))</f>
        <v/>
      </c>
      <c r="BO144" s="99" t="str">
        <f>IF($A144="","",IF($AC144="",1,IFERROR(INDEX(Deductibles!$C$55:$C$57,MATCH($AC144,Deductibles!$B$55:$B$57,0)),"?")))</f>
        <v/>
      </c>
      <c r="BP144" s="99" t="str">
        <f>IF($A144="","",IF($AD144="",1,IFERROR(INDEX(Deductibles!$C$61:$C$63,MATCH($AD144,Deductibles!$B$61:$B$63,0)),"?")))</f>
        <v/>
      </c>
      <c r="BQ144" s="99" t="str">
        <f>IF($A144="","",IF($AE144="",1,IFERROR(INDEX(Deductibles!$C$67:$C$69,MATCH($AE144,Deductibles!$B$67:$B$69,0)),"?")))</f>
        <v/>
      </c>
      <c r="BR144" s="99" t="str">
        <f>IF($A144="","",IF($AF144="",1,IFERROR(INDEX(Deductibles!$C$73:$C$74,MATCH($AF144,Deductibles!$B$73:$B$74,0)),"?")))</f>
        <v/>
      </c>
      <c r="BS144" s="99" t="str">
        <f>IF($A144="","",IF($AG144="",1,IFERROR(INDEX('Sublimits and Parts'!$C$49:$C$52,MATCH($AG144,'Sublimits and Parts'!$B$49:$B$52,0)),"?")))</f>
        <v/>
      </c>
      <c r="BT144" s="99" t="str">
        <f>IF($A144="","",IF($AH144="",1,IFERROR(INDEX('Sublimits and Parts'!$C$56:$C$60,MATCH($AH144,'Sublimits and Parts'!$B$56:$B$60,0)),"?")))</f>
        <v/>
      </c>
      <c r="BU144" s="99" t="str">
        <f>IF($A144="","",IF($AI144="",1,IFERROR(INDEX('Sublimits and Parts'!$C$64:$C$67,MATCH($AI144,'Sublimits and Parts'!$B$64:$B$67,0)),"?")))</f>
        <v/>
      </c>
      <c r="BV144" s="99" t="str">
        <f>IF($A144="","",IF($AJ144="",1,IFERROR(INDEX('Sublimits and Parts'!$C$71:$C$74,MATCH($AJ144,'Sublimits and Parts'!$B$71:$B$74,0)),"?")))</f>
        <v/>
      </c>
      <c r="BW144" s="99" t="str">
        <f>IF($A144="","",IF($AK144="",1,IFERROR(INDEX('Sublimits and Parts'!$C$78:$C$80,MATCH($AK144,'Sublimits and Parts'!$B$78:$B$80,0)),"?")))</f>
        <v/>
      </c>
      <c r="BX144" s="99" t="str">
        <f>IF($A144="","",IF($AL144="",1,IFERROR(INDEX('Sublimits and Parts'!$C$84:$C$87,MATCH($AL144,'Sublimits and Parts'!$B$84:$B$87,0)),"?")))</f>
        <v/>
      </c>
      <c r="BY144" s="99" t="str">
        <f>IF($A144="","",IF($AM144="",1,IFERROR(INDEX('Sublimits and Parts'!$C$91:$C$94,MATCH($AM144,'Sublimits and Parts'!$B$91:$B$94,0)),"?")))</f>
        <v/>
      </c>
      <c r="BZ144" s="99" t="str">
        <f>IF($A144="","",IF($AN144="",1,IFERROR(INDEX('Sublimits and Parts'!$C$98:$C$101,MATCH($AN144,'Sublimits and Parts'!$B$98:$B$101,0)),"?")))</f>
        <v/>
      </c>
      <c r="CA144" s="99" t="str">
        <f>IF($A144="","",IF($AO144="",1,IFERROR(INDEX('Sublimits and Parts'!$C$105:$C$109,MATCH($AO144,'Sublimits and Parts'!$B$105:$B$109,0)),"?")))</f>
        <v/>
      </c>
      <c r="CB144" s="100" t="str">
        <f t="shared" si="28"/>
        <v/>
      </c>
      <c r="CC144" s="100" t="str">
        <f t="shared" si="29"/>
        <v/>
      </c>
      <c r="CD144" s="103" t="str">
        <f>IF($A144="","",IF(OR($CB144="?",$CC144="?"),"?",MIN($CB144*$CC144,'Technical Premium'!$C$17)))</f>
        <v/>
      </c>
      <c r="CE144" s="102" t="str">
        <f t="shared" si="30"/>
        <v/>
      </c>
      <c r="CF144" s="102" t="str">
        <f>IF($A144="","",IFERROR(INDEX('Territory Factors'!$F$6:$F$56,MATCH($K144,'Territory Factors'!$B$6:$B$56,0)),"?"))</f>
        <v/>
      </c>
      <c r="CG144" s="100" t="str">
        <f>IF($A144="","",IFERROR(INDEX('Usage and Coverage'!$C$79:$C$84,MATCH($Y144,'Usage and Coverage'!$B$79:$B$84,0)),"?"))</f>
        <v/>
      </c>
      <c r="CH144" s="102" t="str">
        <f>IFERROR(IF(ISNUMBER($CD144),$CF144*$CG144*MIN($BG144*$BA144*$BC144*$BD144*$BH144*$BF144,'Technical Premium'!$C$17),""),"")</f>
        <v/>
      </c>
      <c r="CI144" s="102" t="str">
        <f t="shared" si="31"/>
        <v/>
      </c>
      <c r="CJ144" s="102" t="str">
        <f>IFERROR($CI144*(1+'Technical Premium'!$C$5)*(1+'Technical Premium'!$C$6),"")</f>
        <v/>
      </c>
      <c r="CK144" s="102" t="str">
        <f>IFERROR($CE144*INDEX('Territory Factors'!$G$6:$G$56,MATCH($K144,'Territory Factors'!$B$6:$B$56,0))*$AU144*$AV144,"")</f>
        <v/>
      </c>
      <c r="CL144" s="102" t="str">
        <f>IFERROR(($CJ144+$CK144)*(1+'Technical Premium'!$C$7),"")</f>
        <v/>
      </c>
      <c r="CM144" s="104" t="str">
        <f>IFERROR($CL144/'Technical Premium'!$C$13,"")</f>
        <v/>
      </c>
      <c r="CN144" s="105" t="str">
        <f t="shared" si="32"/>
        <v/>
      </c>
      <c r="CO144" s="104" t="str">
        <f t="shared" si="33"/>
        <v/>
      </c>
      <c r="CP144" s="105" t="str">
        <f t="shared" si="34"/>
        <v/>
      </c>
      <c r="CQ144" s="106" t="str">
        <f t="shared" si="35"/>
        <v/>
      </c>
      <c r="CR144" s="102" t="str">
        <f>IF(ISNUMBER($CM144),'Technical Premium'!$C$14+IF($J144&gt;=1000000,'Technical Premium'!$C$15,0),"")</f>
        <v/>
      </c>
      <c r="CS144" s="102" t="str">
        <f>IFERROR(($CO144+$CR144)*(INDEX('Territory Factors'!$K$6:$K$56,MATCH($K144,'Territory Factors'!$B$6:$B$56,0))+'Commission Structure'!$C$21),"")</f>
        <v/>
      </c>
      <c r="CT144" s="104" t="str">
        <f t="shared" si="36"/>
        <v/>
      </c>
      <c r="CU144" s="102" t="str">
        <f>IFERROR($CO144*('Commission Structure'!$C$6+'Commission Structure'!$C$7),"")</f>
        <v/>
      </c>
      <c r="CV144" s="102" t="str">
        <f>IFERROR($CO144*'Commission Structure'!$C$5-$CU144,"")</f>
        <v/>
      </c>
      <c r="CW144" s="102" t="str">
        <f>IFERROR($CO144*(1-'Commission Structure'!$C$5),"")</f>
        <v/>
      </c>
      <c r="CX144" s="107"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8" t="str">
        <f t="shared" si="37"/>
        <v/>
      </c>
      <c r="CZ144" s="99" t="str">
        <f>IF($CY144="","",IF($CY144&lt;'Technical Premium'!$C$19,"BEYOND AUTHORITY",IF($CY144&gt;0.005,"Above technical",IF($CY144&lt;-0.005,"BELOW technical","At technical"))))</f>
        <v/>
      </c>
      <c r="DA144" s="99"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4"/>
      <c r="DC144" s="94"/>
      <c r="DD144" s="95"/>
      <c r="DE144" s="94"/>
      <c r="DF144" s="94"/>
      <c r="DG144" s="99" t="str">
        <f t="shared" si="38"/>
        <v/>
      </c>
      <c r="DH144" s="99" t="str">
        <f>IF($A144="","",IF(OR($CX144="REFER",$CX144="DECLINE"),COUNTIF($CX$5:$CX144,"REFER")+COUNTIF($CX$5:$CX144,"DECLINE"),""))</f>
        <v/>
      </c>
      <c r="DI144" s="94"/>
    </row>
    <row r="145" spans="1:113" x14ac:dyDescent="0.35">
      <c r="A145" s="94"/>
      <c r="B145" s="94"/>
      <c r="C145" s="95"/>
      <c r="D145" s="95"/>
      <c r="E145" s="96"/>
      <c r="F145" s="94"/>
      <c r="G145" s="94"/>
      <c r="H145" s="94"/>
      <c r="I145" s="94"/>
      <c r="J145" s="97"/>
      <c r="K145" s="94"/>
      <c r="L145" s="94"/>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8"/>
      <c r="AR145" s="99" t="str">
        <f t="shared" si="26"/>
        <v/>
      </c>
      <c r="AS145" s="99" t="str">
        <f>IF($A145="","",IF($AP145&lt;&gt;"",$AP145,IFERROR(INDEX('Cat Zone by ZIP'!$D$6:$D$856,MATCH($AR145,'Cat Zone by ZIP'!$B$6:$B$856,0)),IFERROR(INDEX('Cat Zone by ZIP'!$C$860:$C$910,MATCH($K145,'Cat Zone by ZIP'!$B$860:$B$910,0)),"NOT FOUND"))))</f>
        <v/>
      </c>
      <c r="AT145" s="99" t="str">
        <f>IF($A145="","",IF($AP145&lt;&gt;"","Override",IF(ISNUMBER(MATCH($AR145,'Cat Zone by ZIP'!$B$6:$B$856,0)),"ZIP-3","State default")))</f>
        <v/>
      </c>
      <c r="AU145" s="100" t="str">
        <f>IF($A145="","",IFERROR(INDEX('Natural Catastrophe'!$D$6:$D$17,MATCH($AS145,'Natural Catastrophe'!$B$6:$B$17,0)),"?"))</f>
        <v/>
      </c>
      <c r="AV145" s="100" t="str">
        <f>IF($A145="","",IFERROR(INDEX('Natural Catastrophe'!$C$21:$C$26,MATCH($AA145,'Natural Catastrophe'!$B$21:$B$26,0)),"?"))</f>
        <v/>
      </c>
      <c r="AW145" s="99" t="str">
        <f>IF($A145="","",IFERROR(INDEX('Base Rates'!$C$4:$I$4,MATCH(MAX($J145,'Technical Premium'!$C$18),'Base Rates'!$C$3:$I$3,1)),"?"))</f>
        <v/>
      </c>
      <c r="AX145" s="101" t="str">
        <f>IF($A145="","",IFERROR(INDEX('Base Rates'!$C$5:$I$16,MATCH($I145,'Base Rates'!$B$5:$B$16,0),MATCH(MAX($J145,'Technical Premium'!$C$18),'Base Rates'!$C$3:$I$3,1)),"?"))</f>
        <v/>
      </c>
      <c r="AY145" s="102" t="str">
        <f t="shared" si="27"/>
        <v/>
      </c>
      <c r="AZ145" s="99" t="str">
        <f>IF($A145="","",IFERROR(INDEX('Make Factors'!$G$5:$G$69,MATCH($F145,'Make Factors'!$B$5:$B$69,0)),"?"))</f>
        <v/>
      </c>
      <c r="BA145" s="99" t="str">
        <f>IF($A145="","",IFERROR(INDEX('Driver Factors'!$C$6:$C$15,MATCH($R145,'Driver Factors'!$B$6:$B$15,0)),"?"))</f>
        <v/>
      </c>
      <c r="BB145" s="99" t="str">
        <f>IF($A145="","",IFERROR(INDEX('Driver Factors'!$C$19:$C$24,MATCH($S145,'Driver Factors'!$B$19:$B$24,0)),"?"))</f>
        <v/>
      </c>
      <c r="BC145" s="99" t="str">
        <f>IF($A145="","",IFERROR(INDEX('Driver Factors'!$C$28:$C$36,MATCH($T145,'Driver Factors'!$B$28:$B$36,0)),"?"))</f>
        <v/>
      </c>
      <c r="BD145" s="99" t="str">
        <f>IF($A145="","",IFERROR(INDEX('Claims History'!$C$6:$C$15,MATCH($U145,'Claims History'!$B$6:$B$15,0)),"?"))</f>
        <v/>
      </c>
      <c r="BE145" s="99" t="str">
        <f>IF($A145="","",IFERROR(INDEX('Territory Factors'!$E$6:$E$56,MATCH($K145,'Territory Factors'!$B$6:$B$56,0)),"?"))</f>
        <v/>
      </c>
      <c r="BF145" s="99" t="str">
        <f>IF($A145="","",IFERROR(INDEX('City Accident Ratings'!$G$6:$G$54,MATCH($Z145,'City Accident Ratings'!$B$6:$B$54,0)),"?"))</f>
        <v/>
      </c>
      <c r="BG145" s="99" t="str">
        <f>IF($A145="","",IFERROR(INDEX('Usage and Coverage'!$D$6:$D$20,MATCH($N145,'Usage and Coverage'!$C$6:$C$20,0)),"?"))</f>
        <v/>
      </c>
      <c r="BH145" s="99" t="str">
        <f>IF($A145="","",IFERROR(INDEX('Usage and Coverage'!$C$24:$C$30,MATCH($O145,'Usage and Coverage'!$B$24:$B$30,0)),"?"))</f>
        <v/>
      </c>
      <c r="BI145" s="99" t="str">
        <f>IF($A145="","",IFERROR(INDEX('Usage and Coverage'!$C$34:$C$40,MATCH($P145,'Usage and Coverage'!$B$34:$B$40,0)),"?"))</f>
        <v/>
      </c>
      <c r="BJ145" s="99" t="str">
        <f>IF($A145="","",IFERROR(INDEX('Usage and Coverage'!$C$44:$C$49,MATCH($Q145,'Usage and Coverage'!$B$44:$B$49,0)),"?"))</f>
        <v/>
      </c>
      <c r="BK145" s="99" t="str">
        <f>IF($A145="","",IFERROR(INDEX(Deductibles!$C$6:$I$15,MATCH($W145,Deductibles!$B$6:$B$15,0),MATCH(MAX($J145,'Technical Premium'!$C$18),'Base Rates'!$C$3:$I$3,1)),"?"))</f>
        <v/>
      </c>
      <c r="BL145" s="99" t="str">
        <f>IF($A145="","",IFERROR(INDEX('Usage and Coverage'!$C$63:$C$66,MATCH($X145,'Usage and Coverage'!$B$63:$B$66,0)),"?"))</f>
        <v/>
      </c>
      <c r="BM145" s="99" t="str">
        <f>IF($A145="","",IFERROR(INDEX('Usage and Coverage'!$C$70:$C$75,MATCH($V145,'Usage and Coverage'!$B$70:$B$75,0)),"?"))</f>
        <v/>
      </c>
      <c r="BN145" s="99" t="str">
        <f>IF($A145="","",IF($AB145="",1,IFERROR(INDEX(Deductibles!$C$48:$C$51,MATCH($AB145,Deductibles!$B$48:$B$51,0)),"?")))</f>
        <v/>
      </c>
      <c r="BO145" s="99" t="str">
        <f>IF($A145="","",IF($AC145="",1,IFERROR(INDEX(Deductibles!$C$55:$C$57,MATCH($AC145,Deductibles!$B$55:$B$57,0)),"?")))</f>
        <v/>
      </c>
      <c r="BP145" s="99" t="str">
        <f>IF($A145="","",IF($AD145="",1,IFERROR(INDEX(Deductibles!$C$61:$C$63,MATCH($AD145,Deductibles!$B$61:$B$63,0)),"?")))</f>
        <v/>
      </c>
      <c r="BQ145" s="99" t="str">
        <f>IF($A145="","",IF($AE145="",1,IFERROR(INDEX(Deductibles!$C$67:$C$69,MATCH($AE145,Deductibles!$B$67:$B$69,0)),"?")))</f>
        <v/>
      </c>
      <c r="BR145" s="99" t="str">
        <f>IF($A145="","",IF($AF145="",1,IFERROR(INDEX(Deductibles!$C$73:$C$74,MATCH($AF145,Deductibles!$B$73:$B$74,0)),"?")))</f>
        <v/>
      </c>
      <c r="BS145" s="99" t="str">
        <f>IF($A145="","",IF($AG145="",1,IFERROR(INDEX('Sublimits and Parts'!$C$49:$C$52,MATCH($AG145,'Sublimits and Parts'!$B$49:$B$52,0)),"?")))</f>
        <v/>
      </c>
      <c r="BT145" s="99" t="str">
        <f>IF($A145="","",IF($AH145="",1,IFERROR(INDEX('Sublimits and Parts'!$C$56:$C$60,MATCH($AH145,'Sublimits and Parts'!$B$56:$B$60,0)),"?")))</f>
        <v/>
      </c>
      <c r="BU145" s="99" t="str">
        <f>IF($A145="","",IF($AI145="",1,IFERROR(INDEX('Sublimits and Parts'!$C$64:$C$67,MATCH($AI145,'Sublimits and Parts'!$B$64:$B$67,0)),"?")))</f>
        <v/>
      </c>
      <c r="BV145" s="99" t="str">
        <f>IF($A145="","",IF($AJ145="",1,IFERROR(INDEX('Sublimits and Parts'!$C$71:$C$74,MATCH($AJ145,'Sublimits and Parts'!$B$71:$B$74,0)),"?")))</f>
        <v/>
      </c>
      <c r="BW145" s="99" t="str">
        <f>IF($A145="","",IF($AK145="",1,IFERROR(INDEX('Sublimits and Parts'!$C$78:$C$80,MATCH($AK145,'Sublimits and Parts'!$B$78:$B$80,0)),"?")))</f>
        <v/>
      </c>
      <c r="BX145" s="99" t="str">
        <f>IF($A145="","",IF($AL145="",1,IFERROR(INDEX('Sublimits and Parts'!$C$84:$C$87,MATCH($AL145,'Sublimits and Parts'!$B$84:$B$87,0)),"?")))</f>
        <v/>
      </c>
      <c r="BY145" s="99" t="str">
        <f>IF($A145="","",IF($AM145="",1,IFERROR(INDEX('Sublimits and Parts'!$C$91:$C$94,MATCH($AM145,'Sublimits and Parts'!$B$91:$B$94,0)),"?")))</f>
        <v/>
      </c>
      <c r="BZ145" s="99" t="str">
        <f>IF($A145="","",IF($AN145="",1,IFERROR(INDEX('Sublimits and Parts'!$C$98:$C$101,MATCH($AN145,'Sublimits and Parts'!$B$98:$B$101,0)),"?")))</f>
        <v/>
      </c>
      <c r="CA145" s="99" t="str">
        <f>IF($A145="","",IF($AO145="",1,IFERROR(INDEX('Sublimits and Parts'!$C$105:$C$109,MATCH($AO145,'Sublimits and Parts'!$B$105:$B$109,0)),"?")))</f>
        <v/>
      </c>
      <c r="CB145" s="100" t="str">
        <f t="shared" si="28"/>
        <v/>
      </c>
      <c r="CC145" s="100" t="str">
        <f t="shared" si="29"/>
        <v/>
      </c>
      <c r="CD145" s="103" t="str">
        <f>IF($A145="","",IF(OR($CB145="?",$CC145="?"),"?",MIN($CB145*$CC145,'Technical Premium'!$C$17)))</f>
        <v/>
      </c>
      <c r="CE145" s="102" t="str">
        <f t="shared" si="30"/>
        <v/>
      </c>
      <c r="CF145" s="102" t="str">
        <f>IF($A145="","",IFERROR(INDEX('Territory Factors'!$F$6:$F$56,MATCH($K145,'Territory Factors'!$B$6:$B$56,0)),"?"))</f>
        <v/>
      </c>
      <c r="CG145" s="100" t="str">
        <f>IF($A145="","",IFERROR(INDEX('Usage and Coverage'!$C$79:$C$84,MATCH($Y145,'Usage and Coverage'!$B$79:$B$84,0)),"?"))</f>
        <v/>
      </c>
      <c r="CH145" s="102" t="str">
        <f>IFERROR(IF(ISNUMBER($CD145),$CF145*$CG145*MIN($BG145*$BA145*$BC145*$BD145*$BH145*$BF145,'Technical Premium'!$C$17),""),"")</f>
        <v/>
      </c>
      <c r="CI145" s="102" t="str">
        <f t="shared" si="31"/>
        <v/>
      </c>
      <c r="CJ145" s="102" t="str">
        <f>IFERROR($CI145*(1+'Technical Premium'!$C$5)*(1+'Technical Premium'!$C$6),"")</f>
        <v/>
      </c>
      <c r="CK145" s="102" t="str">
        <f>IFERROR($CE145*INDEX('Territory Factors'!$G$6:$G$56,MATCH($K145,'Territory Factors'!$B$6:$B$56,0))*$AU145*$AV145,"")</f>
        <v/>
      </c>
      <c r="CL145" s="102" t="str">
        <f>IFERROR(($CJ145+$CK145)*(1+'Technical Premium'!$C$7),"")</f>
        <v/>
      </c>
      <c r="CM145" s="104" t="str">
        <f>IFERROR($CL145/'Technical Premium'!$C$13,"")</f>
        <v/>
      </c>
      <c r="CN145" s="105" t="str">
        <f t="shared" si="32"/>
        <v/>
      </c>
      <c r="CO145" s="104" t="str">
        <f t="shared" si="33"/>
        <v/>
      </c>
      <c r="CP145" s="105" t="str">
        <f t="shared" si="34"/>
        <v/>
      </c>
      <c r="CQ145" s="106" t="str">
        <f t="shared" si="35"/>
        <v/>
      </c>
      <c r="CR145" s="102" t="str">
        <f>IF(ISNUMBER($CM145),'Technical Premium'!$C$14+IF($J145&gt;=1000000,'Technical Premium'!$C$15,0),"")</f>
        <v/>
      </c>
      <c r="CS145" s="102" t="str">
        <f>IFERROR(($CO145+$CR145)*(INDEX('Territory Factors'!$K$6:$K$56,MATCH($K145,'Territory Factors'!$B$6:$B$56,0))+'Commission Structure'!$C$21),"")</f>
        <v/>
      </c>
      <c r="CT145" s="104" t="str">
        <f t="shared" si="36"/>
        <v/>
      </c>
      <c r="CU145" s="102" t="str">
        <f>IFERROR($CO145*('Commission Structure'!$C$6+'Commission Structure'!$C$7),"")</f>
        <v/>
      </c>
      <c r="CV145" s="102" t="str">
        <f>IFERROR($CO145*'Commission Structure'!$C$5-$CU145,"")</f>
        <v/>
      </c>
      <c r="CW145" s="102" t="str">
        <f>IFERROR($CO145*(1-'Commission Structure'!$C$5),"")</f>
        <v/>
      </c>
      <c r="CX145" s="107"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8" t="str">
        <f t="shared" si="37"/>
        <v/>
      </c>
      <c r="CZ145" s="99" t="str">
        <f>IF($CY145="","",IF($CY145&lt;'Technical Premium'!$C$19,"BEYOND AUTHORITY",IF($CY145&gt;0.005,"Above technical",IF($CY145&lt;-0.005,"BELOW technical","At technical"))))</f>
        <v/>
      </c>
      <c r="DA145" s="99"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4"/>
      <c r="DC145" s="94"/>
      <c r="DD145" s="95"/>
      <c r="DE145" s="94"/>
      <c r="DF145" s="94"/>
      <c r="DG145" s="99" t="str">
        <f t="shared" si="38"/>
        <v/>
      </c>
      <c r="DH145" s="99" t="str">
        <f>IF($A145="","",IF(OR($CX145="REFER",$CX145="DECLINE"),COUNTIF($CX$5:$CX145,"REFER")+COUNTIF($CX$5:$CX145,"DECLINE"),""))</f>
        <v/>
      </c>
      <c r="DI145" s="94"/>
    </row>
    <row r="146" spans="1:113" x14ac:dyDescent="0.35">
      <c r="A146" s="94"/>
      <c r="B146" s="94"/>
      <c r="C146" s="95"/>
      <c r="D146" s="95"/>
      <c r="E146" s="96"/>
      <c r="F146" s="94"/>
      <c r="G146" s="94"/>
      <c r="H146" s="94"/>
      <c r="I146" s="94"/>
      <c r="J146" s="97"/>
      <c r="K146" s="94"/>
      <c r="L146" s="94"/>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8"/>
      <c r="AR146" s="99" t="str">
        <f t="shared" si="26"/>
        <v/>
      </c>
      <c r="AS146" s="99" t="str">
        <f>IF($A146="","",IF($AP146&lt;&gt;"",$AP146,IFERROR(INDEX('Cat Zone by ZIP'!$D$6:$D$856,MATCH($AR146,'Cat Zone by ZIP'!$B$6:$B$856,0)),IFERROR(INDEX('Cat Zone by ZIP'!$C$860:$C$910,MATCH($K146,'Cat Zone by ZIP'!$B$860:$B$910,0)),"NOT FOUND"))))</f>
        <v/>
      </c>
      <c r="AT146" s="99" t="str">
        <f>IF($A146="","",IF($AP146&lt;&gt;"","Override",IF(ISNUMBER(MATCH($AR146,'Cat Zone by ZIP'!$B$6:$B$856,0)),"ZIP-3","State default")))</f>
        <v/>
      </c>
      <c r="AU146" s="100" t="str">
        <f>IF($A146="","",IFERROR(INDEX('Natural Catastrophe'!$D$6:$D$17,MATCH($AS146,'Natural Catastrophe'!$B$6:$B$17,0)),"?"))</f>
        <v/>
      </c>
      <c r="AV146" s="100" t="str">
        <f>IF($A146="","",IFERROR(INDEX('Natural Catastrophe'!$C$21:$C$26,MATCH($AA146,'Natural Catastrophe'!$B$21:$B$26,0)),"?"))</f>
        <v/>
      </c>
      <c r="AW146" s="99" t="str">
        <f>IF($A146="","",IFERROR(INDEX('Base Rates'!$C$4:$I$4,MATCH(MAX($J146,'Technical Premium'!$C$18),'Base Rates'!$C$3:$I$3,1)),"?"))</f>
        <v/>
      </c>
      <c r="AX146" s="101" t="str">
        <f>IF($A146="","",IFERROR(INDEX('Base Rates'!$C$5:$I$16,MATCH($I146,'Base Rates'!$B$5:$B$16,0),MATCH(MAX($J146,'Technical Premium'!$C$18),'Base Rates'!$C$3:$I$3,1)),"?"))</f>
        <v/>
      </c>
      <c r="AY146" s="102" t="str">
        <f t="shared" si="27"/>
        <v/>
      </c>
      <c r="AZ146" s="99" t="str">
        <f>IF($A146="","",IFERROR(INDEX('Make Factors'!$G$5:$G$69,MATCH($F146,'Make Factors'!$B$5:$B$69,0)),"?"))</f>
        <v/>
      </c>
      <c r="BA146" s="99" t="str">
        <f>IF($A146="","",IFERROR(INDEX('Driver Factors'!$C$6:$C$15,MATCH($R146,'Driver Factors'!$B$6:$B$15,0)),"?"))</f>
        <v/>
      </c>
      <c r="BB146" s="99" t="str">
        <f>IF($A146="","",IFERROR(INDEX('Driver Factors'!$C$19:$C$24,MATCH($S146,'Driver Factors'!$B$19:$B$24,0)),"?"))</f>
        <v/>
      </c>
      <c r="BC146" s="99" t="str">
        <f>IF($A146="","",IFERROR(INDEX('Driver Factors'!$C$28:$C$36,MATCH($T146,'Driver Factors'!$B$28:$B$36,0)),"?"))</f>
        <v/>
      </c>
      <c r="BD146" s="99" t="str">
        <f>IF($A146="","",IFERROR(INDEX('Claims History'!$C$6:$C$15,MATCH($U146,'Claims History'!$B$6:$B$15,0)),"?"))</f>
        <v/>
      </c>
      <c r="BE146" s="99" t="str">
        <f>IF($A146="","",IFERROR(INDEX('Territory Factors'!$E$6:$E$56,MATCH($K146,'Territory Factors'!$B$6:$B$56,0)),"?"))</f>
        <v/>
      </c>
      <c r="BF146" s="99" t="str">
        <f>IF($A146="","",IFERROR(INDEX('City Accident Ratings'!$G$6:$G$54,MATCH($Z146,'City Accident Ratings'!$B$6:$B$54,0)),"?"))</f>
        <v/>
      </c>
      <c r="BG146" s="99" t="str">
        <f>IF($A146="","",IFERROR(INDEX('Usage and Coverage'!$D$6:$D$20,MATCH($N146,'Usage and Coverage'!$C$6:$C$20,0)),"?"))</f>
        <v/>
      </c>
      <c r="BH146" s="99" t="str">
        <f>IF($A146="","",IFERROR(INDEX('Usage and Coverage'!$C$24:$C$30,MATCH($O146,'Usage and Coverage'!$B$24:$B$30,0)),"?"))</f>
        <v/>
      </c>
      <c r="BI146" s="99" t="str">
        <f>IF($A146="","",IFERROR(INDEX('Usage and Coverage'!$C$34:$C$40,MATCH($P146,'Usage and Coverage'!$B$34:$B$40,0)),"?"))</f>
        <v/>
      </c>
      <c r="BJ146" s="99" t="str">
        <f>IF($A146="","",IFERROR(INDEX('Usage and Coverage'!$C$44:$C$49,MATCH($Q146,'Usage and Coverage'!$B$44:$B$49,0)),"?"))</f>
        <v/>
      </c>
      <c r="BK146" s="99" t="str">
        <f>IF($A146="","",IFERROR(INDEX(Deductibles!$C$6:$I$15,MATCH($W146,Deductibles!$B$6:$B$15,0),MATCH(MAX($J146,'Technical Premium'!$C$18),'Base Rates'!$C$3:$I$3,1)),"?"))</f>
        <v/>
      </c>
      <c r="BL146" s="99" t="str">
        <f>IF($A146="","",IFERROR(INDEX('Usage and Coverage'!$C$63:$C$66,MATCH($X146,'Usage and Coverage'!$B$63:$B$66,0)),"?"))</f>
        <v/>
      </c>
      <c r="BM146" s="99" t="str">
        <f>IF($A146="","",IFERROR(INDEX('Usage and Coverage'!$C$70:$C$75,MATCH($V146,'Usage and Coverage'!$B$70:$B$75,0)),"?"))</f>
        <v/>
      </c>
      <c r="BN146" s="99" t="str">
        <f>IF($A146="","",IF($AB146="",1,IFERROR(INDEX(Deductibles!$C$48:$C$51,MATCH($AB146,Deductibles!$B$48:$B$51,0)),"?")))</f>
        <v/>
      </c>
      <c r="BO146" s="99" t="str">
        <f>IF($A146="","",IF($AC146="",1,IFERROR(INDEX(Deductibles!$C$55:$C$57,MATCH($AC146,Deductibles!$B$55:$B$57,0)),"?")))</f>
        <v/>
      </c>
      <c r="BP146" s="99" t="str">
        <f>IF($A146="","",IF($AD146="",1,IFERROR(INDEX(Deductibles!$C$61:$C$63,MATCH($AD146,Deductibles!$B$61:$B$63,0)),"?")))</f>
        <v/>
      </c>
      <c r="BQ146" s="99" t="str">
        <f>IF($A146="","",IF($AE146="",1,IFERROR(INDEX(Deductibles!$C$67:$C$69,MATCH($AE146,Deductibles!$B$67:$B$69,0)),"?")))</f>
        <v/>
      </c>
      <c r="BR146" s="99" t="str">
        <f>IF($A146="","",IF($AF146="",1,IFERROR(INDEX(Deductibles!$C$73:$C$74,MATCH($AF146,Deductibles!$B$73:$B$74,0)),"?")))</f>
        <v/>
      </c>
      <c r="BS146" s="99" t="str">
        <f>IF($A146="","",IF($AG146="",1,IFERROR(INDEX('Sublimits and Parts'!$C$49:$C$52,MATCH($AG146,'Sublimits and Parts'!$B$49:$B$52,0)),"?")))</f>
        <v/>
      </c>
      <c r="BT146" s="99" t="str">
        <f>IF($A146="","",IF($AH146="",1,IFERROR(INDEX('Sublimits and Parts'!$C$56:$C$60,MATCH($AH146,'Sublimits and Parts'!$B$56:$B$60,0)),"?")))</f>
        <v/>
      </c>
      <c r="BU146" s="99" t="str">
        <f>IF($A146="","",IF($AI146="",1,IFERROR(INDEX('Sublimits and Parts'!$C$64:$C$67,MATCH($AI146,'Sublimits and Parts'!$B$64:$B$67,0)),"?")))</f>
        <v/>
      </c>
      <c r="BV146" s="99" t="str">
        <f>IF($A146="","",IF($AJ146="",1,IFERROR(INDEX('Sublimits and Parts'!$C$71:$C$74,MATCH($AJ146,'Sublimits and Parts'!$B$71:$B$74,0)),"?")))</f>
        <v/>
      </c>
      <c r="BW146" s="99" t="str">
        <f>IF($A146="","",IF($AK146="",1,IFERROR(INDEX('Sublimits and Parts'!$C$78:$C$80,MATCH($AK146,'Sublimits and Parts'!$B$78:$B$80,0)),"?")))</f>
        <v/>
      </c>
      <c r="BX146" s="99" t="str">
        <f>IF($A146="","",IF($AL146="",1,IFERROR(INDEX('Sublimits and Parts'!$C$84:$C$87,MATCH($AL146,'Sublimits and Parts'!$B$84:$B$87,0)),"?")))</f>
        <v/>
      </c>
      <c r="BY146" s="99" t="str">
        <f>IF($A146="","",IF($AM146="",1,IFERROR(INDEX('Sublimits and Parts'!$C$91:$C$94,MATCH($AM146,'Sublimits and Parts'!$B$91:$B$94,0)),"?")))</f>
        <v/>
      </c>
      <c r="BZ146" s="99" t="str">
        <f>IF($A146="","",IF($AN146="",1,IFERROR(INDEX('Sublimits and Parts'!$C$98:$C$101,MATCH($AN146,'Sublimits and Parts'!$B$98:$B$101,0)),"?")))</f>
        <v/>
      </c>
      <c r="CA146" s="99" t="str">
        <f>IF($A146="","",IF($AO146="",1,IFERROR(INDEX('Sublimits and Parts'!$C$105:$C$109,MATCH($AO146,'Sublimits and Parts'!$B$105:$B$109,0)),"?")))</f>
        <v/>
      </c>
      <c r="CB146" s="100" t="str">
        <f t="shared" si="28"/>
        <v/>
      </c>
      <c r="CC146" s="100" t="str">
        <f t="shared" si="29"/>
        <v/>
      </c>
      <c r="CD146" s="103" t="str">
        <f>IF($A146="","",IF(OR($CB146="?",$CC146="?"),"?",MIN($CB146*$CC146,'Technical Premium'!$C$17)))</f>
        <v/>
      </c>
      <c r="CE146" s="102" t="str">
        <f t="shared" si="30"/>
        <v/>
      </c>
      <c r="CF146" s="102" t="str">
        <f>IF($A146="","",IFERROR(INDEX('Territory Factors'!$F$6:$F$56,MATCH($K146,'Territory Factors'!$B$6:$B$56,0)),"?"))</f>
        <v/>
      </c>
      <c r="CG146" s="100" t="str">
        <f>IF($A146="","",IFERROR(INDEX('Usage and Coverage'!$C$79:$C$84,MATCH($Y146,'Usage and Coverage'!$B$79:$B$84,0)),"?"))</f>
        <v/>
      </c>
      <c r="CH146" s="102" t="str">
        <f>IFERROR(IF(ISNUMBER($CD146),$CF146*$CG146*MIN($BG146*$BA146*$BC146*$BD146*$BH146*$BF146,'Technical Premium'!$C$17),""),"")</f>
        <v/>
      </c>
      <c r="CI146" s="102" t="str">
        <f t="shared" si="31"/>
        <v/>
      </c>
      <c r="CJ146" s="102" t="str">
        <f>IFERROR($CI146*(1+'Technical Premium'!$C$5)*(1+'Technical Premium'!$C$6),"")</f>
        <v/>
      </c>
      <c r="CK146" s="102" t="str">
        <f>IFERROR($CE146*INDEX('Territory Factors'!$G$6:$G$56,MATCH($K146,'Territory Factors'!$B$6:$B$56,0))*$AU146*$AV146,"")</f>
        <v/>
      </c>
      <c r="CL146" s="102" t="str">
        <f>IFERROR(($CJ146+$CK146)*(1+'Technical Premium'!$C$7),"")</f>
        <v/>
      </c>
      <c r="CM146" s="104" t="str">
        <f>IFERROR($CL146/'Technical Premium'!$C$13,"")</f>
        <v/>
      </c>
      <c r="CN146" s="105" t="str">
        <f t="shared" si="32"/>
        <v/>
      </c>
      <c r="CO146" s="104" t="str">
        <f t="shared" si="33"/>
        <v/>
      </c>
      <c r="CP146" s="105" t="str">
        <f t="shared" si="34"/>
        <v/>
      </c>
      <c r="CQ146" s="106" t="str">
        <f t="shared" si="35"/>
        <v/>
      </c>
      <c r="CR146" s="102" t="str">
        <f>IF(ISNUMBER($CM146),'Technical Premium'!$C$14+IF($J146&gt;=1000000,'Technical Premium'!$C$15,0),"")</f>
        <v/>
      </c>
      <c r="CS146" s="102" t="str">
        <f>IFERROR(($CO146+$CR146)*(INDEX('Territory Factors'!$K$6:$K$56,MATCH($K146,'Territory Factors'!$B$6:$B$56,0))+'Commission Structure'!$C$21),"")</f>
        <v/>
      </c>
      <c r="CT146" s="104" t="str">
        <f t="shared" si="36"/>
        <v/>
      </c>
      <c r="CU146" s="102" t="str">
        <f>IFERROR($CO146*('Commission Structure'!$C$6+'Commission Structure'!$C$7),"")</f>
        <v/>
      </c>
      <c r="CV146" s="102" t="str">
        <f>IFERROR($CO146*'Commission Structure'!$C$5-$CU146,"")</f>
        <v/>
      </c>
      <c r="CW146" s="102" t="str">
        <f>IFERROR($CO146*(1-'Commission Structure'!$C$5),"")</f>
        <v/>
      </c>
      <c r="CX146" s="107"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8" t="str">
        <f t="shared" si="37"/>
        <v/>
      </c>
      <c r="CZ146" s="99" t="str">
        <f>IF($CY146="","",IF($CY146&lt;'Technical Premium'!$C$19,"BEYOND AUTHORITY",IF($CY146&gt;0.005,"Above technical",IF($CY146&lt;-0.005,"BELOW technical","At technical"))))</f>
        <v/>
      </c>
      <c r="DA146" s="99"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4"/>
      <c r="DC146" s="94"/>
      <c r="DD146" s="95"/>
      <c r="DE146" s="94"/>
      <c r="DF146" s="94"/>
      <c r="DG146" s="99" t="str">
        <f t="shared" si="38"/>
        <v/>
      </c>
      <c r="DH146" s="99" t="str">
        <f>IF($A146="","",IF(OR($CX146="REFER",$CX146="DECLINE"),COUNTIF($CX$5:$CX146,"REFER")+COUNTIF($CX$5:$CX146,"DECLINE"),""))</f>
        <v/>
      </c>
      <c r="DI146" s="94"/>
    </row>
    <row r="147" spans="1:113" x14ac:dyDescent="0.35">
      <c r="A147" s="94"/>
      <c r="B147" s="94"/>
      <c r="C147" s="95"/>
      <c r="D147" s="95"/>
      <c r="E147" s="96"/>
      <c r="F147" s="94"/>
      <c r="G147" s="94"/>
      <c r="H147" s="94"/>
      <c r="I147" s="94"/>
      <c r="J147" s="97"/>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8"/>
      <c r="AR147" s="99" t="str">
        <f t="shared" si="26"/>
        <v/>
      </c>
      <c r="AS147" s="99" t="str">
        <f>IF($A147="","",IF($AP147&lt;&gt;"",$AP147,IFERROR(INDEX('Cat Zone by ZIP'!$D$6:$D$856,MATCH($AR147,'Cat Zone by ZIP'!$B$6:$B$856,0)),IFERROR(INDEX('Cat Zone by ZIP'!$C$860:$C$910,MATCH($K147,'Cat Zone by ZIP'!$B$860:$B$910,0)),"NOT FOUND"))))</f>
        <v/>
      </c>
      <c r="AT147" s="99" t="str">
        <f>IF($A147="","",IF($AP147&lt;&gt;"","Override",IF(ISNUMBER(MATCH($AR147,'Cat Zone by ZIP'!$B$6:$B$856,0)),"ZIP-3","State default")))</f>
        <v/>
      </c>
      <c r="AU147" s="100" t="str">
        <f>IF($A147="","",IFERROR(INDEX('Natural Catastrophe'!$D$6:$D$17,MATCH($AS147,'Natural Catastrophe'!$B$6:$B$17,0)),"?"))</f>
        <v/>
      </c>
      <c r="AV147" s="100" t="str">
        <f>IF($A147="","",IFERROR(INDEX('Natural Catastrophe'!$C$21:$C$26,MATCH($AA147,'Natural Catastrophe'!$B$21:$B$26,0)),"?"))</f>
        <v/>
      </c>
      <c r="AW147" s="99" t="str">
        <f>IF($A147="","",IFERROR(INDEX('Base Rates'!$C$4:$I$4,MATCH(MAX($J147,'Technical Premium'!$C$18),'Base Rates'!$C$3:$I$3,1)),"?"))</f>
        <v/>
      </c>
      <c r="AX147" s="101" t="str">
        <f>IF($A147="","",IFERROR(INDEX('Base Rates'!$C$5:$I$16,MATCH($I147,'Base Rates'!$B$5:$B$16,0),MATCH(MAX($J147,'Technical Premium'!$C$18),'Base Rates'!$C$3:$I$3,1)),"?"))</f>
        <v/>
      </c>
      <c r="AY147" s="102" t="str">
        <f t="shared" si="27"/>
        <v/>
      </c>
      <c r="AZ147" s="99" t="str">
        <f>IF($A147="","",IFERROR(INDEX('Make Factors'!$G$5:$G$69,MATCH($F147,'Make Factors'!$B$5:$B$69,0)),"?"))</f>
        <v/>
      </c>
      <c r="BA147" s="99" t="str">
        <f>IF($A147="","",IFERROR(INDEX('Driver Factors'!$C$6:$C$15,MATCH($R147,'Driver Factors'!$B$6:$B$15,0)),"?"))</f>
        <v/>
      </c>
      <c r="BB147" s="99" t="str">
        <f>IF($A147="","",IFERROR(INDEX('Driver Factors'!$C$19:$C$24,MATCH($S147,'Driver Factors'!$B$19:$B$24,0)),"?"))</f>
        <v/>
      </c>
      <c r="BC147" s="99" t="str">
        <f>IF($A147="","",IFERROR(INDEX('Driver Factors'!$C$28:$C$36,MATCH($T147,'Driver Factors'!$B$28:$B$36,0)),"?"))</f>
        <v/>
      </c>
      <c r="BD147" s="99" t="str">
        <f>IF($A147="","",IFERROR(INDEX('Claims History'!$C$6:$C$15,MATCH($U147,'Claims History'!$B$6:$B$15,0)),"?"))</f>
        <v/>
      </c>
      <c r="BE147" s="99" t="str">
        <f>IF($A147="","",IFERROR(INDEX('Territory Factors'!$E$6:$E$56,MATCH($K147,'Territory Factors'!$B$6:$B$56,0)),"?"))</f>
        <v/>
      </c>
      <c r="BF147" s="99" t="str">
        <f>IF($A147="","",IFERROR(INDEX('City Accident Ratings'!$G$6:$G$54,MATCH($Z147,'City Accident Ratings'!$B$6:$B$54,0)),"?"))</f>
        <v/>
      </c>
      <c r="BG147" s="99" t="str">
        <f>IF($A147="","",IFERROR(INDEX('Usage and Coverage'!$D$6:$D$20,MATCH($N147,'Usage and Coverage'!$C$6:$C$20,0)),"?"))</f>
        <v/>
      </c>
      <c r="BH147" s="99" t="str">
        <f>IF($A147="","",IFERROR(INDEX('Usage and Coverage'!$C$24:$C$30,MATCH($O147,'Usage and Coverage'!$B$24:$B$30,0)),"?"))</f>
        <v/>
      </c>
      <c r="BI147" s="99" t="str">
        <f>IF($A147="","",IFERROR(INDEX('Usage and Coverage'!$C$34:$C$40,MATCH($P147,'Usage and Coverage'!$B$34:$B$40,0)),"?"))</f>
        <v/>
      </c>
      <c r="BJ147" s="99" t="str">
        <f>IF($A147="","",IFERROR(INDEX('Usage and Coverage'!$C$44:$C$49,MATCH($Q147,'Usage and Coverage'!$B$44:$B$49,0)),"?"))</f>
        <v/>
      </c>
      <c r="BK147" s="99" t="str">
        <f>IF($A147="","",IFERROR(INDEX(Deductibles!$C$6:$I$15,MATCH($W147,Deductibles!$B$6:$B$15,0),MATCH(MAX($J147,'Technical Premium'!$C$18),'Base Rates'!$C$3:$I$3,1)),"?"))</f>
        <v/>
      </c>
      <c r="BL147" s="99" t="str">
        <f>IF($A147="","",IFERROR(INDEX('Usage and Coverage'!$C$63:$C$66,MATCH($X147,'Usage and Coverage'!$B$63:$B$66,0)),"?"))</f>
        <v/>
      </c>
      <c r="BM147" s="99" t="str">
        <f>IF($A147="","",IFERROR(INDEX('Usage and Coverage'!$C$70:$C$75,MATCH($V147,'Usage and Coverage'!$B$70:$B$75,0)),"?"))</f>
        <v/>
      </c>
      <c r="BN147" s="99" t="str">
        <f>IF($A147="","",IF($AB147="",1,IFERROR(INDEX(Deductibles!$C$48:$C$51,MATCH($AB147,Deductibles!$B$48:$B$51,0)),"?")))</f>
        <v/>
      </c>
      <c r="BO147" s="99" t="str">
        <f>IF($A147="","",IF($AC147="",1,IFERROR(INDEX(Deductibles!$C$55:$C$57,MATCH($AC147,Deductibles!$B$55:$B$57,0)),"?")))</f>
        <v/>
      </c>
      <c r="BP147" s="99" t="str">
        <f>IF($A147="","",IF($AD147="",1,IFERROR(INDEX(Deductibles!$C$61:$C$63,MATCH($AD147,Deductibles!$B$61:$B$63,0)),"?")))</f>
        <v/>
      </c>
      <c r="BQ147" s="99" t="str">
        <f>IF($A147="","",IF($AE147="",1,IFERROR(INDEX(Deductibles!$C$67:$C$69,MATCH($AE147,Deductibles!$B$67:$B$69,0)),"?")))</f>
        <v/>
      </c>
      <c r="BR147" s="99" t="str">
        <f>IF($A147="","",IF($AF147="",1,IFERROR(INDEX(Deductibles!$C$73:$C$74,MATCH($AF147,Deductibles!$B$73:$B$74,0)),"?")))</f>
        <v/>
      </c>
      <c r="BS147" s="99" t="str">
        <f>IF($A147="","",IF($AG147="",1,IFERROR(INDEX('Sublimits and Parts'!$C$49:$C$52,MATCH($AG147,'Sublimits and Parts'!$B$49:$B$52,0)),"?")))</f>
        <v/>
      </c>
      <c r="BT147" s="99" t="str">
        <f>IF($A147="","",IF($AH147="",1,IFERROR(INDEX('Sublimits and Parts'!$C$56:$C$60,MATCH($AH147,'Sublimits and Parts'!$B$56:$B$60,0)),"?")))</f>
        <v/>
      </c>
      <c r="BU147" s="99" t="str">
        <f>IF($A147="","",IF($AI147="",1,IFERROR(INDEX('Sublimits and Parts'!$C$64:$C$67,MATCH($AI147,'Sublimits and Parts'!$B$64:$B$67,0)),"?")))</f>
        <v/>
      </c>
      <c r="BV147" s="99" t="str">
        <f>IF($A147="","",IF($AJ147="",1,IFERROR(INDEX('Sublimits and Parts'!$C$71:$C$74,MATCH($AJ147,'Sublimits and Parts'!$B$71:$B$74,0)),"?")))</f>
        <v/>
      </c>
      <c r="BW147" s="99" t="str">
        <f>IF($A147="","",IF($AK147="",1,IFERROR(INDEX('Sublimits and Parts'!$C$78:$C$80,MATCH($AK147,'Sublimits and Parts'!$B$78:$B$80,0)),"?")))</f>
        <v/>
      </c>
      <c r="BX147" s="99" t="str">
        <f>IF($A147="","",IF($AL147="",1,IFERROR(INDEX('Sublimits and Parts'!$C$84:$C$87,MATCH($AL147,'Sublimits and Parts'!$B$84:$B$87,0)),"?")))</f>
        <v/>
      </c>
      <c r="BY147" s="99" t="str">
        <f>IF($A147="","",IF($AM147="",1,IFERROR(INDEX('Sublimits and Parts'!$C$91:$C$94,MATCH($AM147,'Sublimits and Parts'!$B$91:$B$94,0)),"?")))</f>
        <v/>
      </c>
      <c r="BZ147" s="99" t="str">
        <f>IF($A147="","",IF($AN147="",1,IFERROR(INDEX('Sublimits and Parts'!$C$98:$C$101,MATCH($AN147,'Sublimits and Parts'!$B$98:$B$101,0)),"?")))</f>
        <v/>
      </c>
      <c r="CA147" s="99" t="str">
        <f>IF($A147="","",IF($AO147="",1,IFERROR(INDEX('Sublimits and Parts'!$C$105:$C$109,MATCH($AO147,'Sublimits and Parts'!$B$105:$B$109,0)),"?")))</f>
        <v/>
      </c>
      <c r="CB147" s="100" t="str">
        <f t="shared" si="28"/>
        <v/>
      </c>
      <c r="CC147" s="100" t="str">
        <f t="shared" si="29"/>
        <v/>
      </c>
      <c r="CD147" s="103" t="str">
        <f>IF($A147="","",IF(OR($CB147="?",$CC147="?"),"?",MIN($CB147*$CC147,'Technical Premium'!$C$17)))</f>
        <v/>
      </c>
      <c r="CE147" s="102" t="str">
        <f t="shared" si="30"/>
        <v/>
      </c>
      <c r="CF147" s="102" t="str">
        <f>IF($A147="","",IFERROR(INDEX('Territory Factors'!$F$6:$F$56,MATCH($K147,'Territory Factors'!$B$6:$B$56,0)),"?"))</f>
        <v/>
      </c>
      <c r="CG147" s="100" t="str">
        <f>IF($A147="","",IFERROR(INDEX('Usage and Coverage'!$C$79:$C$84,MATCH($Y147,'Usage and Coverage'!$B$79:$B$84,0)),"?"))</f>
        <v/>
      </c>
      <c r="CH147" s="102" t="str">
        <f>IFERROR(IF(ISNUMBER($CD147),$CF147*$CG147*MIN($BG147*$BA147*$BC147*$BD147*$BH147*$BF147,'Technical Premium'!$C$17),""),"")</f>
        <v/>
      </c>
      <c r="CI147" s="102" t="str">
        <f t="shared" si="31"/>
        <v/>
      </c>
      <c r="CJ147" s="102" t="str">
        <f>IFERROR($CI147*(1+'Technical Premium'!$C$5)*(1+'Technical Premium'!$C$6),"")</f>
        <v/>
      </c>
      <c r="CK147" s="102" t="str">
        <f>IFERROR($CE147*INDEX('Territory Factors'!$G$6:$G$56,MATCH($K147,'Territory Factors'!$B$6:$B$56,0))*$AU147*$AV147,"")</f>
        <v/>
      </c>
      <c r="CL147" s="102" t="str">
        <f>IFERROR(($CJ147+$CK147)*(1+'Technical Premium'!$C$7),"")</f>
        <v/>
      </c>
      <c r="CM147" s="104" t="str">
        <f>IFERROR($CL147/'Technical Premium'!$C$13,"")</f>
        <v/>
      </c>
      <c r="CN147" s="105" t="str">
        <f t="shared" si="32"/>
        <v/>
      </c>
      <c r="CO147" s="104" t="str">
        <f t="shared" si="33"/>
        <v/>
      </c>
      <c r="CP147" s="105" t="str">
        <f t="shared" si="34"/>
        <v/>
      </c>
      <c r="CQ147" s="106" t="str">
        <f t="shared" si="35"/>
        <v/>
      </c>
      <c r="CR147" s="102" t="str">
        <f>IF(ISNUMBER($CM147),'Technical Premium'!$C$14+IF($J147&gt;=1000000,'Technical Premium'!$C$15,0),"")</f>
        <v/>
      </c>
      <c r="CS147" s="102" t="str">
        <f>IFERROR(($CO147+$CR147)*(INDEX('Territory Factors'!$K$6:$K$56,MATCH($K147,'Territory Factors'!$B$6:$B$56,0))+'Commission Structure'!$C$21),"")</f>
        <v/>
      </c>
      <c r="CT147" s="104" t="str">
        <f t="shared" si="36"/>
        <v/>
      </c>
      <c r="CU147" s="102" t="str">
        <f>IFERROR($CO147*('Commission Structure'!$C$6+'Commission Structure'!$C$7),"")</f>
        <v/>
      </c>
      <c r="CV147" s="102" t="str">
        <f>IFERROR($CO147*'Commission Structure'!$C$5-$CU147,"")</f>
        <v/>
      </c>
      <c r="CW147" s="102" t="str">
        <f>IFERROR($CO147*(1-'Commission Structure'!$C$5),"")</f>
        <v/>
      </c>
      <c r="CX147" s="107"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8" t="str">
        <f t="shared" si="37"/>
        <v/>
      </c>
      <c r="CZ147" s="99" t="str">
        <f>IF($CY147="","",IF($CY147&lt;'Technical Premium'!$C$19,"BEYOND AUTHORITY",IF($CY147&gt;0.005,"Above technical",IF($CY147&lt;-0.005,"BELOW technical","At technical"))))</f>
        <v/>
      </c>
      <c r="DA147" s="99"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4"/>
      <c r="DC147" s="94"/>
      <c r="DD147" s="95"/>
      <c r="DE147" s="94"/>
      <c r="DF147" s="94"/>
      <c r="DG147" s="99" t="str">
        <f t="shared" si="38"/>
        <v/>
      </c>
      <c r="DH147" s="99" t="str">
        <f>IF($A147="","",IF(OR($CX147="REFER",$CX147="DECLINE"),COUNTIF($CX$5:$CX147,"REFER")+COUNTIF($CX$5:$CX147,"DECLINE"),""))</f>
        <v/>
      </c>
      <c r="DI147" s="94"/>
    </row>
    <row r="148" spans="1:113" x14ac:dyDescent="0.35">
      <c r="A148" s="94"/>
      <c r="B148" s="94"/>
      <c r="C148" s="95"/>
      <c r="D148" s="95"/>
      <c r="E148" s="96"/>
      <c r="F148" s="94"/>
      <c r="G148" s="94"/>
      <c r="H148" s="94"/>
      <c r="I148" s="94"/>
      <c r="J148" s="97"/>
      <c r="K148" s="94"/>
      <c r="L148" s="94"/>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8"/>
      <c r="AR148" s="99" t="str">
        <f t="shared" si="26"/>
        <v/>
      </c>
      <c r="AS148" s="99" t="str">
        <f>IF($A148="","",IF($AP148&lt;&gt;"",$AP148,IFERROR(INDEX('Cat Zone by ZIP'!$D$6:$D$856,MATCH($AR148,'Cat Zone by ZIP'!$B$6:$B$856,0)),IFERROR(INDEX('Cat Zone by ZIP'!$C$860:$C$910,MATCH($K148,'Cat Zone by ZIP'!$B$860:$B$910,0)),"NOT FOUND"))))</f>
        <v/>
      </c>
      <c r="AT148" s="99" t="str">
        <f>IF($A148="","",IF($AP148&lt;&gt;"","Override",IF(ISNUMBER(MATCH($AR148,'Cat Zone by ZIP'!$B$6:$B$856,0)),"ZIP-3","State default")))</f>
        <v/>
      </c>
      <c r="AU148" s="100" t="str">
        <f>IF($A148="","",IFERROR(INDEX('Natural Catastrophe'!$D$6:$D$17,MATCH($AS148,'Natural Catastrophe'!$B$6:$B$17,0)),"?"))</f>
        <v/>
      </c>
      <c r="AV148" s="100" t="str">
        <f>IF($A148="","",IFERROR(INDEX('Natural Catastrophe'!$C$21:$C$26,MATCH($AA148,'Natural Catastrophe'!$B$21:$B$26,0)),"?"))</f>
        <v/>
      </c>
      <c r="AW148" s="99" t="str">
        <f>IF($A148="","",IFERROR(INDEX('Base Rates'!$C$4:$I$4,MATCH(MAX($J148,'Technical Premium'!$C$18),'Base Rates'!$C$3:$I$3,1)),"?"))</f>
        <v/>
      </c>
      <c r="AX148" s="101" t="str">
        <f>IF($A148="","",IFERROR(INDEX('Base Rates'!$C$5:$I$16,MATCH($I148,'Base Rates'!$B$5:$B$16,0),MATCH(MAX($J148,'Technical Premium'!$C$18),'Base Rates'!$C$3:$I$3,1)),"?"))</f>
        <v/>
      </c>
      <c r="AY148" s="102" t="str">
        <f t="shared" si="27"/>
        <v/>
      </c>
      <c r="AZ148" s="99" t="str">
        <f>IF($A148="","",IFERROR(INDEX('Make Factors'!$G$5:$G$69,MATCH($F148,'Make Factors'!$B$5:$B$69,0)),"?"))</f>
        <v/>
      </c>
      <c r="BA148" s="99" t="str">
        <f>IF($A148="","",IFERROR(INDEX('Driver Factors'!$C$6:$C$15,MATCH($R148,'Driver Factors'!$B$6:$B$15,0)),"?"))</f>
        <v/>
      </c>
      <c r="BB148" s="99" t="str">
        <f>IF($A148="","",IFERROR(INDEX('Driver Factors'!$C$19:$C$24,MATCH($S148,'Driver Factors'!$B$19:$B$24,0)),"?"))</f>
        <v/>
      </c>
      <c r="BC148" s="99" t="str">
        <f>IF($A148="","",IFERROR(INDEX('Driver Factors'!$C$28:$C$36,MATCH($T148,'Driver Factors'!$B$28:$B$36,0)),"?"))</f>
        <v/>
      </c>
      <c r="BD148" s="99" t="str">
        <f>IF($A148="","",IFERROR(INDEX('Claims History'!$C$6:$C$15,MATCH($U148,'Claims History'!$B$6:$B$15,0)),"?"))</f>
        <v/>
      </c>
      <c r="BE148" s="99" t="str">
        <f>IF($A148="","",IFERROR(INDEX('Territory Factors'!$E$6:$E$56,MATCH($K148,'Territory Factors'!$B$6:$B$56,0)),"?"))</f>
        <v/>
      </c>
      <c r="BF148" s="99" t="str">
        <f>IF($A148="","",IFERROR(INDEX('City Accident Ratings'!$G$6:$G$54,MATCH($Z148,'City Accident Ratings'!$B$6:$B$54,0)),"?"))</f>
        <v/>
      </c>
      <c r="BG148" s="99" t="str">
        <f>IF($A148="","",IFERROR(INDEX('Usage and Coverage'!$D$6:$D$20,MATCH($N148,'Usage and Coverage'!$C$6:$C$20,0)),"?"))</f>
        <v/>
      </c>
      <c r="BH148" s="99" t="str">
        <f>IF($A148="","",IFERROR(INDEX('Usage and Coverage'!$C$24:$C$30,MATCH($O148,'Usage and Coverage'!$B$24:$B$30,0)),"?"))</f>
        <v/>
      </c>
      <c r="BI148" s="99" t="str">
        <f>IF($A148="","",IFERROR(INDEX('Usage and Coverage'!$C$34:$C$40,MATCH($P148,'Usage and Coverage'!$B$34:$B$40,0)),"?"))</f>
        <v/>
      </c>
      <c r="BJ148" s="99" t="str">
        <f>IF($A148="","",IFERROR(INDEX('Usage and Coverage'!$C$44:$C$49,MATCH($Q148,'Usage and Coverage'!$B$44:$B$49,0)),"?"))</f>
        <v/>
      </c>
      <c r="BK148" s="99" t="str">
        <f>IF($A148="","",IFERROR(INDEX(Deductibles!$C$6:$I$15,MATCH($W148,Deductibles!$B$6:$B$15,0),MATCH(MAX($J148,'Technical Premium'!$C$18),'Base Rates'!$C$3:$I$3,1)),"?"))</f>
        <v/>
      </c>
      <c r="BL148" s="99" t="str">
        <f>IF($A148="","",IFERROR(INDEX('Usage and Coverage'!$C$63:$C$66,MATCH($X148,'Usage and Coverage'!$B$63:$B$66,0)),"?"))</f>
        <v/>
      </c>
      <c r="BM148" s="99" t="str">
        <f>IF($A148="","",IFERROR(INDEX('Usage and Coverage'!$C$70:$C$75,MATCH($V148,'Usage and Coverage'!$B$70:$B$75,0)),"?"))</f>
        <v/>
      </c>
      <c r="BN148" s="99" t="str">
        <f>IF($A148="","",IF($AB148="",1,IFERROR(INDEX(Deductibles!$C$48:$C$51,MATCH($AB148,Deductibles!$B$48:$B$51,0)),"?")))</f>
        <v/>
      </c>
      <c r="BO148" s="99" t="str">
        <f>IF($A148="","",IF($AC148="",1,IFERROR(INDEX(Deductibles!$C$55:$C$57,MATCH($AC148,Deductibles!$B$55:$B$57,0)),"?")))</f>
        <v/>
      </c>
      <c r="BP148" s="99" t="str">
        <f>IF($A148="","",IF($AD148="",1,IFERROR(INDEX(Deductibles!$C$61:$C$63,MATCH($AD148,Deductibles!$B$61:$B$63,0)),"?")))</f>
        <v/>
      </c>
      <c r="BQ148" s="99" t="str">
        <f>IF($A148="","",IF($AE148="",1,IFERROR(INDEX(Deductibles!$C$67:$C$69,MATCH($AE148,Deductibles!$B$67:$B$69,0)),"?")))</f>
        <v/>
      </c>
      <c r="BR148" s="99" t="str">
        <f>IF($A148="","",IF($AF148="",1,IFERROR(INDEX(Deductibles!$C$73:$C$74,MATCH($AF148,Deductibles!$B$73:$B$74,0)),"?")))</f>
        <v/>
      </c>
      <c r="BS148" s="99" t="str">
        <f>IF($A148="","",IF($AG148="",1,IFERROR(INDEX('Sublimits and Parts'!$C$49:$C$52,MATCH($AG148,'Sublimits and Parts'!$B$49:$B$52,0)),"?")))</f>
        <v/>
      </c>
      <c r="BT148" s="99" t="str">
        <f>IF($A148="","",IF($AH148="",1,IFERROR(INDEX('Sublimits and Parts'!$C$56:$C$60,MATCH($AH148,'Sublimits and Parts'!$B$56:$B$60,0)),"?")))</f>
        <v/>
      </c>
      <c r="BU148" s="99" t="str">
        <f>IF($A148="","",IF($AI148="",1,IFERROR(INDEX('Sublimits and Parts'!$C$64:$C$67,MATCH($AI148,'Sublimits and Parts'!$B$64:$B$67,0)),"?")))</f>
        <v/>
      </c>
      <c r="BV148" s="99" t="str">
        <f>IF($A148="","",IF($AJ148="",1,IFERROR(INDEX('Sublimits and Parts'!$C$71:$C$74,MATCH($AJ148,'Sublimits and Parts'!$B$71:$B$74,0)),"?")))</f>
        <v/>
      </c>
      <c r="BW148" s="99" t="str">
        <f>IF($A148="","",IF($AK148="",1,IFERROR(INDEX('Sublimits and Parts'!$C$78:$C$80,MATCH($AK148,'Sublimits and Parts'!$B$78:$B$80,0)),"?")))</f>
        <v/>
      </c>
      <c r="BX148" s="99" t="str">
        <f>IF($A148="","",IF($AL148="",1,IFERROR(INDEX('Sublimits and Parts'!$C$84:$C$87,MATCH($AL148,'Sublimits and Parts'!$B$84:$B$87,0)),"?")))</f>
        <v/>
      </c>
      <c r="BY148" s="99" t="str">
        <f>IF($A148="","",IF($AM148="",1,IFERROR(INDEX('Sublimits and Parts'!$C$91:$C$94,MATCH($AM148,'Sublimits and Parts'!$B$91:$B$94,0)),"?")))</f>
        <v/>
      </c>
      <c r="BZ148" s="99" t="str">
        <f>IF($A148="","",IF($AN148="",1,IFERROR(INDEX('Sublimits and Parts'!$C$98:$C$101,MATCH($AN148,'Sublimits and Parts'!$B$98:$B$101,0)),"?")))</f>
        <v/>
      </c>
      <c r="CA148" s="99" t="str">
        <f>IF($A148="","",IF($AO148="",1,IFERROR(INDEX('Sublimits and Parts'!$C$105:$C$109,MATCH($AO148,'Sublimits and Parts'!$B$105:$B$109,0)),"?")))</f>
        <v/>
      </c>
      <c r="CB148" s="100" t="str">
        <f t="shared" si="28"/>
        <v/>
      </c>
      <c r="CC148" s="100" t="str">
        <f t="shared" si="29"/>
        <v/>
      </c>
      <c r="CD148" s="103" t="str">
        <f>IF($A148="","",IF(OR($CB148="?",$CC148="?"),"?",MIN($CB148*$CC148,'Technical Premium'!$C$17)))</f>
        <v/>
      </c>
      <c r="CE148" s="102" t="str">
        <f t="shared" si="30"/>
        <v/>
      </c>
      <c r="CF148" s="102" t="str">
        <f>IF($A148="","",IFERROR(INDEX('Territory Factors'!$F$6:$F$56,MATCH($K148,'Territory Factors'!$B$6:$B$56,0)),"?"))</f>
        <v/>
      </c>
      <c r="CG148" s="100" t="str">
        <f>IF($A148="","",IFERROR(INDEX('Usage and Coverage'!$C$79:$C$84,MATCH($Y148,'Usage and Coverage'!$B$79:$B$84,0)),"?"))</f>
        <v/>
      </c>
      <c r="CH148" s="102" t="str">
        <f>IFERROR(IF(ISNUMBER($CD148),$CF148*$CG148*MIN($BG148*$BA148*$BC148*$BD148*$BH148*$BF148,'Technical Premium'!$C$17),""),"")</f>
        <v/>
      </c>
      <c r="CI148" s="102" t="str">
        <f t="shared" si="31"/>
        <v/>
      </c>
      <c r="CJ148" s="102" t="str">
        <f>IFERROR($CI148*(1+'Technical Premium'!$C$5)*(1+'Technical Premium'!$C$6),"")</f>
        <v/>
      </c>
      <c r="CK148" s="102" t="str">
        <f>IFERROR($CE148*INDEX('Territory Factors'!$G$6:$G$56,MATCH($K148,'Territory Factors'!$B$6:$B$56,0))*$AU148*$AV148,"")</f>
        <v/>
      </c>
      <c r="CL148" s="102" t="str">
        <f>IFERROR(($CJ148+$CK148)*(1+'Technical Premium'!$C$7),"")</f>
        <v/>
      </c>
      <c r="CM148" s="104" t="str">
        <f>IFERROR($CL148/'Technical Premium'!$C$13,"")</f>
        <v/>
      </c>
      <c r="CN148" s="105" t="str">
        <f t="shared" si="32"/>
        <v/>
      </c>
      <c r="CO148" s="104" t="str">
        <f t="shared" si="33"/>
        <v/>
      </c>
      <c r="CP148" s="105" t="str">
        <f t="shared" si="34"/>
        <v/>
      </c>
      <c r="CQ148" s="106" t="str">
        <f t="shared" si="35"/>
        <v/>
      </c>
      <c r="CR148" s="102" t="str">
        <f>IF(ISNUMBER($CM148),'Technical Premium'!$C$14+IF($J148&gt;=1000000,'Technical Premium'!$C$15,0),"")</f>
        <v/>
      </c>
      <c r="CS148" s="102" t="str">
        <f>IFERROR(($CO148+$CR148)*(INDEX('Territory Factors'!$K$6:$K$56,MATCH($K148,'Territory Factors'!$B$6:$B$56,0))+'Commission Structure'!$C$21),"")</f>
        <v/>
      </c>
      <c r="CT148" s="104" t="str">
        <f t="shared" si="36"/>
        <v/>
      </c>
      <c r="CU148" s="102" t="str">
        <f>IFERROR($CO148*('Commission Structure'!$C$6+'Commission Structure'!$C$7),"")</f>
        <v/>
      </c>
      <c r="CV148" s="102" t="str">
        <f>IFERROR($CO148*'Commission Structure'!$C$5-$CU148,"")</f>
        <v/>
      </c>
      <c r="CW148" s="102" t="str">
        <f>IFERROR($CO148*(1-'Commission Structure'!$C$5),"")</f>
        <v/>
      </c>
      <c r="CX148" s="107"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8" t="str">
        <f t="shared" si="37"/>
        <v/>
      </c>
      <c r="CZ148" s="99" t="str">
        <f>IF($CY148="","",IF($CY148&lt;'Technical Premium'!$C$19,"BEYOND AUTHORITY",IF($CY148&gt;0.005,"Above technical",IF($CY148&lt;-0.005,"BELOW technical","At technical"))))</f>
        <v/>
      </c>
      <c r="DA148" s="99"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4"/>
      <c r="DC148" s="94"/>
      <c r="DD148" s="95"/>
      <c r="DE148" s="94"/>
      <c r="DF148" s="94"/>
      <c r="DG148" s="99" t="str">
        <f t="shared" si="38"/>
        <v/>
      </c>
      <c r="DH148" s="99" t="str">
        <f>IF($A148="","",IF(OR($CX148="REFER",$CX148="DECLINE"),COUNTIF($CX$5:$CX148,"REFER")+COUNTIF($CX$5:$CX148,"DECLINE"),""))</f>
        <v/>
      </c>
      <c r="DI148" s="94"/>
    </row>
    <row r="149" spans="1:113" x14ac:dyDescent="0.35">
      <c r="A149" s="94"/>
      <c r="B149" s="94"/>
      <c r="C149" s="95"/>
      <c r="D149" s="95"/>
      <c r="E149" s="96"/>
      <c r="F149" s="94"/>
      <c r="G149" s="94"/>
      <c r="H149" s="94"/>
      <c r="I149" s="94"/>
      <c r="J149" s="97"/>
      <c r="K149" s="94"/>
      <c r="L149" s="94"/>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8"/>
      <c r="AR149" s="99" t="str">
        <f t="shared" si="26"/>
        <v/>
      </c>
      <c r="AS149" s="99" t="str">
        <f>IF($A149="","",IF($AP149&lt;&gt;"",$AP149,IFERROR(INDEX('Cat Zone by ZIP'!$D$6:$D$856,MATCH($AR149,'Cat Zone by ZIP'!$B$6:$B$856,0)),IFERROR(INDEX('Cat Zone by ZIP'!$C$860:$C$910,MATCH($K149,'Cat Zone by ZIP'!$B$860:$B$910,0)),"NOT FOUND"))))</f>
        <v/>
      </c>
      <c r="AT149" s="99" t="str">
        <f>IF($A149="","",IF($AP149&lt;&gt;"","Override",IF(ISNUMBER(MATCH($AR149,'Cat Zone by ZIP'!$B$6:$B$856,0)),"ZIP-3","State default")))</f>
        <v/>
      </c>
      <c r="AU149" s="100" t="str">
        <f>IF($A149="","",IFERROR(INDEX('Natural Catastrophe'!$D$6:$D$17,MATCH($AS149,'Natural Catastrophe'!$B$6:$B$17,0)),"?"))</f>
        <v/>
      </c>
      <c r="AV149" s="100" t="str">
        <f>IF($A149="","",IFERROR(INDEX('Natural Catastrophe'!$C$21:$C$26,MATCH($AA149,'Natural Catastrophe'!$B$21:$B$26,0)),"?"))</f>
        <v/>
      </c>
      <c r="AW149" s="99" t="str">
        <f>IF($A149="","",IFERROR(INDEX('Base Rates'!$C$4:$I$4,MATCH(MAX($J149,'Technical Premium'!$C$18),'Base Rates'!$C$3:$I$3,1)),"?"))</f>
        <v/>
      </c>
      <c r="AX149" s="101" t="str">
        <f>IF($A149="","",IFERROR(INDEX('Base Rates'!$C$5:$I$16,MATCH($I149,'Base Rates'!$B$5:$B$16,0),MATCH(MAX($J149,'Technical Premium'!$C$18),'Base Rates'!$C$3:$I$3,1)),"?"))</f>
        <v/>
      </c>
      <c r="AY149" s="102" t="str">
        <f t="shared" si="27"/>
        <v/>
      </c>
      <c r="AZ149" s="99" t="str">
        <f>IF($A149="","",IFERROR(INDEX('Make Factors'!$G$5:$G$69,MATCH($F149,'Make Factors'!$B$5:$B$69,0)),"?"))</f>
        <v/>
      </c>
      <c r="BA149" s="99" t="str">
        <f>IF($A149="","",IFERROR(INDEX('Driver Factors'!$C$6:$C$15,MATCH($R149,'Driver Factors'!$B$6:$B$15,0)),"?"))</f>
        <v/>
      </c>
      <c r="BB149" s="99" t="str">
        <f>IF($A149="","",IFERROR(INDEX('Driver Factors'!$C$19:$C$24,MATCH($S149,'Driver Factors'!$B$19:$B$24,0)),"?"))</f>
        <v/>
      </c>
      <c r="BC149" s="99" t="str">
        <f>IF($A149="","",IFERROR(INDEX('Driver Factors'!$C$28:$C$36,MATCH($T149,'Driver Factors'!$B$28:$B$36,0)),"?"))</f>
        <v/>
      </c>
      <c r="BD149" s="99" t="str">
        <f>IF($A149="","",IFERROR(INDEX('Claims History'!$C$6:$C$15,MATCH($U149,'Claims History'!$B$6:$B$15,0)),"?"))</f>
        <v/>
      </c>
      <c r="BE149" s="99" t="str">
        <f>IF($A149="","",IFERROR(INDEX('Territory Factors'!$E$6:$E$56,MATCH($K149,'Territory Factors'!$B$6:$B$56,0)),"?"))</f>
        <v/>
      </c>
      <c r="BF149" s="99" t="str">
        <f>IF($A149="","",IFERROR(INDEX('City Accident Ratings'!$G$6:$G$54,MATCH($Z149,'City Accident Ratings'!$B$6:$B$54,0)),"?"))</f>
        <v/>
      </c>
      <c r="BG149" s="99" t="str">
        <f>IF($A149="","",IFERROR(INDEX('Usage and Coverage'!$D$6:$D$20,MATCH($N149,'Usage and Coverage'!$C$6:$C$20,0)),"?"))</f>
        <v/>
      </c>
      <c r="BH149" s="99" t="str">
        <f>IF($A149="","",IFERROR(INDEX('Usage and Coverage'!$C$24:$C$30,MATCH($O149,'Usage and Coverage'!$B$24:$B$30,0)),"?"))</f>
        <v/>
      </c>
      <c r="BI149" s="99" t="str">
        <f>IF($A149="","",IFERROR(INDEX('Usage and Coverage'!$C$34:$C$40,MATCH($P149,'Usage and Coverage'!$B$34:$B$40,0)),"?"))</f>
        <v/>
      </c>
      <c r="BJ149" s="99" t="str">
        <f>IF($A149="","",IFERROR(INDEX('Usage and Coverage'!$C$44:$C$49,MATCH($Q149,'Usage and Coverage'!$B$44:$B$49,0)),"?"))</f>
        <v/>
      </c>
      <c r="BK149" s="99" t="str">
        <f>IF($A149="","",IFERROR(INDEX(Deductibles!$C$6:$I$15,MATCH($W149,Deductibles!$B$6:$B$15,0),MATCH(MAX($J149,'Technical Premium'!$C$18),'Base Rates'!$C$3:$I$3,1)),"?"))</f>
        <v/>
      </c>
      <c r="BL149" s="99" t="str">
        <f>IF($A149="","",IFERROR(INDEX('Usage and Coverage'!$C$63:$C$66,MATCH($X149,'Usage and Coverage'!$B$63:$B$66,0)),"?"))</f>
        <v/>
      </c>
      <c r="BM149" s="99" t="str">
        <f>IF($A149="","",IFERROR(INDEX('Usage and Coverage'!$C$70:$C$75,MATCH($V149,'Usage and Coverage'!$B$70:$B$75,0)),"?"))</f>
        <v/>
      </c>
      <c r="BN149" s="99" t="str">
        <f>IF($A149="","",IF($AB149="",1,IFERROR(INDEX(Deductibles!$C$48:$C$51,MATCH($AB149,Deductibles!$B$48:$B$51,0)),"?")))</f>
        <v/>
      </c>
      <c r="BO149" s="99" t="str">
        <f>IF($A149="","",IF($AC149="",1,IFERROR(INDEX(Deductibles!$C$55:$C$57,MATCH($AC149,Deductibles!$B$55:$B$57,0)),"?")))</f>
        <v/>
      </c>
      <c r="BP149" s="99" t="str">
        <f>IF($A149="","",IF($AD149="",1,IFERROR(INDEX(Deductibles!$C$61:$C$63,MATCH($AD149,Deductibles!$B$61:$B$63,0)),"?")))</f>
        <v/>
      </c>
      <c r="BQ149" s="99" t="str">
        <f>IF($A149="","",IF($AE149="",1,IFERROR(INDEX(Deductibles!$C$67:$C$69,MATCH($AE149,Deductibles!$B$67:$B$69,0)),"?")))</f>
        <v/>
      </c>
      <c r="BR149" s="99" t="str">
        <f>IF($A149="","",IF($AF149="",1,IFERROR(INDEX(Deductibles!$C$73:$C$74,MATCH($AF149,Deductibles!$B$73:$B$74,0)),"?")))</f>
        <v/>
      </c>
      <c r="BS149" s="99" t="str">
        <f>IF($A149="","",IF($AG149="",1,IFERROR(INDEX('Sublimits and Parts'!$C$49:$C$52,MATCH($AG149,'Sublimits and Parts'!$B$49:$B$52,0)),"?")))</f>
        <v/>
      </c>
      <c r="BT149" s="99" t="str">
        <f>IF($A149="","",IF($AH149="",1,IFERROR(INDEX('Sublimits and Parts'!$C$56:$C$60,MATCH($AH149,'Sublimits and Parts'!$B$56:$B$60,0)),"?")))</f>
        <v/>
      </c>
      <c r="BU149" s="99" t="str">
        <f>IF($A149="","",IF($AI149="",1,IFERROR(INDEX('Sublimits and Parts'!$C$64:$C$67,MATCH($AI149,'Sublimits and Parts'!$B$64:$B$67,0)),"?")))</f>
        <v/>
      </c>
      <c r="BV149" s="99" t="str">
        <f>IF($A149="","",IF($AJ149="",1,IFERROR(INDEX('Sublimits and Parts'!$C$71:$C$74,MATCH($AJ149,'Sublimits and Parts'!$B$71:$B$74,0)),"?")))</f>
        <v/>
      </c>
      <c r="BW149" s="99" t="str">
        <f>IF($A149="","",IF($AK149="",1,IFERROR(INDEX('Sublimits and Parts'!$C$78:$C$80,MATCH($AK149,'Sublimits and Parts'!$B$78:$B$80,0)),"?")))</f>
        <v/>
      </c>
      <c r="BX149" s="99" t="str">
        <f>IF($A149="","",IF($AL149="",1,IFERROR(INDEX('Sublimits and Parts'!$C$84:$C$87,MATCH($AL149,'Sublimits and Parts'!$B$84:$B$87,0)),"?")))</f>
        <v/>
      </c>
      <c r="BY149" s="99" t="str">
        <f>IF($A149="","",IF($AM149="",1,IFERROR(INDEX('Sublimits and Parts'!$C$91:$C$94,MATCH($AM149,'Sublimits and Parts'!$B$91:$B$94,0)),"?")))</f>
        <v/>
      </c>
      <c r="BZ149" s="99" t="str">
        <f>IF($A149="","",IF($AN149="",1,IFERROR(INDEX('Sublimits and Parts'!$C$98:$C$101,MATCH($AN149,'Sublimits and Parts'!$B$98:$B$101,0)),"?")))</f>
        <v/>
      </c>
      <c r="CA149" s="99" t="str">
        <f>IF($A149="","",IF($AO149="",1,IFERROR(INDEX('Sublimits and Parts'!$C$105:$C$109,MATCH($AO149,'Sublimits and Parts'!$B$105:$B$109,0)),"?")))</f>
        <v/>
      </c>
      <c r="CB149" s="100" t="str">
        <f t="shared" si="28"/>
        <v/>
      </c>
      <c r="CC149" s="100" t="str">
        <f t="shared" si="29"/>
        <v/>
      </c>
      <c r="CD149" s="103" t="str">
        <f>IF($A149="","",IF(OR($CB149="?",$CC149="?"),"?",MIN($CB149*$CC149,'Technical Premium'!$C$17)))</f>
        <v/>
      </c>
      <c r="CE149" s="102" t="str">
        <f t="shared" si="30"/>
        <v/>
      </c>
      <c r="CF149" s="102" t="str">
        <f>IF($A149="","",IFERROR(INDEX('Territory Factors'!$F$6:$F$56,MATCH($K149,'Territory Factors'!$B$6:$B$56,0)),"?"))</f>
        <v/>
      </c>
      <c r="CG149" s="100" t="str">
        <f>IF($A149="","",IFERROR(INDEX('Usage and Coverage'!$C$79:$C$84,MATCH($Y149,'Usage and Coverage'!$B$79:$B$84,0)),"?"))</f>
        <v/>
      </c>
      <c r="CH149" s="102" t="str">
        <f>IFERROR(IF(ISNUMBER($CD149),$CF149*$CG149*MIN($BG149*$BA149*$BC149*$BD149*$BH149*$BF149,'Technical Premium'!$C$17),""),"")</f>
        <v/>
      </c>
      <c r="CI149" s="102" t="str">
        <f t="shared" si="31"/>
        <v/>
      </c>
      <c r="CJ149" s="102" t="str">
        <f>IFERROR($CI149*(1+'Technical Premium'!$C$5)*(1+'Technical Premium'!$C$6),"")</f>
        <v/>
      </c>
      <c r="CK149" s="102" t="str">
        <f>IFERROR($CE149*INDEX('Territory Factors'!$G$6:$G$56,MATCH($K149,'Territory Factors'!$B$6:$B$56,0))*$AU149*$AV149,"")</f>
        <v/>
      </c>
      <c r="CL149" s="102" t="str">
        <f>IFERROR(($CJ149+$CK149)*(1+'Technical Premium'!$C$7),"")</f>
        <v/>
      </c>
      <c r="CM149" s="104" t="str">
        <f>IFERROR($CL149/'Technical Premium'!$C$13,"")</f>
        <v/>
      </c>
      <c r="CN149" s="105" t="str">
        <f t="shared" si="32"/>
        <v/>
      </c>
      <c r="CO149" s="104" t="str">
        <f t="shared" si="33"/>
        <v/>
      </c>
      <c r="CP149" s="105" t="str">
        <f t="shared" si="34"/>
        <v/>
      </c>
      <c r="CQ149" s="106" t="str">
        <f t="shared" si="35"/>
        <v/>
      </c>
      <c r="CR149" s="102" t="str">
        <f>IF(ISNUMBER($CM149),'Technical Premium'!$C$14+IF($J149&gt;=1000000,'Technical Premium'!$C$15,0),"")</f>
        <v/>
      </c>
      <c r="CS149" s="102" t="str">
        <f>IFERROR(($CO149+$CR149)*(INDEX('Territory Factors'!$K$6:$K$56,MATCH($K149,'Territory Factors'!$B$6:$B$56,0))+'Commission Structure'!$C$21),"")</f>
        <v/>
      </c>
      <c r="CT149" s="104" t="str">
        <f t="shared" si="36"/>
        <v/>
      </c>
      <c r="CU149" s="102" t="str">
        <f>IFERROR($CO149*('Commission Structure'!$C$6+'Commission Structure'!$C$7),"")</f>
        <v/>
      </c>
      <c r="CV149" s="102" t="str">
        <f>IFERROR($CO149*'Commission Structure'!$C$5-$CU149,"")</f>
        <v/>
      </c>
      <c r="CW149" s="102" t="str">
        <f>IFERROR($CO149*(1-'Commission Structure'!$C$5),"")</f>
        <v/>
      </c>
      <c r="CX149" s="107"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8" t="str">
        <f t="shared" si="37"/>
        <v/>
      </c>
      <c r="CZ149" s="99" t="str">
        <f>IF($CY149="","",IF($CY149&lt;'Technical Premium'!$C$19,"BEYOND AUTHORITY",IF($CY149&gt;0.005,"Above technical",IF($CY149&lt;-0.005,"BELOW technical","At technical"))))</f>
        <v/>
      </c>
      <c r="DA149" s="99"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4"/>
      <c r="DC149" s="94"/>
      <c r="DD149" s="95"/>
      <c r="DE149" s="94"/>
      <c r="DF149" s="94"/>
      <c r="DG149" s="99" t="str">
        <f t="shared" si="38"/>
        <v/>
      </c>
      <c r="DH149" s="99" t="str">
        <f>IF($A149="","",IF(OR($CX149="REFER",$CX149="DECLINE"),COUNTIF($CX$5:$CX149,"REFER")+COUNTIF($CX$5:$CX149,"DECLINE"),""))</f>
        <v/>
      </c>
      <c r="DI149" s="94"/>
    </row>
    <row r="150" spans="1:113" x14ac:dyDescent="0.35">
      <c r="A150" s="94"/>
      <c r="B150" s="94"/>
      <c r="C150" s="95"/>
      <c r="D150" s="95"/>
      <c r="E150" s="96"/>
      <c r="F150" s="94"/>
      <c r="G150" s="94"/>
      <c r="H150" s="94"/>
      <c r="I150" s="94"/>
      <c r="J150" s="97"/>
      <c r="K150" s="94"/>
      <c r="L150" s="94"/>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8"/>
      <c r="AR150" s="99" t="str">
        <f t="shared" si="26"/>
        <v/>
      </c>
      <c r="AS150" s="99" t="str">
        <f>IF($A150="","",IF($AP150&lt;&gt;"",$AP150,IFERROR(INDEX('Cat Zone by ZIP'!$D$6:$D$856,MATCH($AR150,'Cat Zone by ZIP'!$B$6:$B$856,0)),IFERROR(INDEX('Cat Zone by ZIP'!$C$860:$C$910,MATCH($K150,'Cat Zone by ZIP'!$B$860:$B$910,0)),"NOT FOUND"))))</f>
        <v/>
      </c>
      <c r="AT150" s="99" t="str">
        <f>IF($A150="","",IF($AP150&lt;&gt;"","Override",IF(ISNUMBER(MATCH($AR150,'Cat Zone by ZIP'!$B$6:$B$856,0)),"ZIP-3","State default")))</f>
        <v/>
      </c>
      <c r="AU150" s="100" t="str">
        <f>IF($A150="","",IFERROR(INDEX('Natural Catastrophe'!$D$6:$D$17,MATCH($AS150,'Natural Catastrophe'!$B$6:$B$17,0)),"?"))</f>
        <v/>
      </c>
      <c r="AV150" s="100" t="str">
        <f>IF($A150="","",IFERROR(INDEX('Natural Catastrophe'!$C$21:$C$26,MATCH($AA150,'Natural Catastrophe'!$B$21:$B$26,0)),"?"))</f>
        <v/>
      </c>
      <c r="AW150" s="99" t="str">
        <f>IF($A150="","",IFERROR(INDEX('Base Rates'!$C$4:$I$4,MATCH(MAX($J150,'Technical Premium'!$C$18),'Base Rates'!$C$3:$I$3,1)),"?"))</f>
        <v/>
      </c>
      <c r="AX150" s="101" t="str">
        <f>IF($A150="","",IFERROR(INDEX('Base Rates'!$C$5:$I$16,MATCH($I150,'Base Rates'!$B$5:$B$16,0),MATCH(MAX($J150,'Technical Premium'!$C$18),'Base Rates'!$C$3:$I$3,1)),"?"))</f>
        <v/>
      </c>
      <c r="AY150" s="102" t="str">
        <f t="shared" si="27"/>
        <v/>
      </c>
      <c r="AZ150" s="99" t="str">
        <f>IF($A150="","",IFERROR(INDEX('Make Factors'!$G$5:$G$69,MATCH($F150,'Make Factors'!$B$5:$B$69,0)),"?"))</f>
        <v/>
      </c>
      <c r="BA150" s="99" t="str">
        <f>IF($A150="","",IFERROR(INDEX('Driver Factors'!$C$6:$C$15,MATCH($R150,'Driver Factors'!$B$6:$B$15,0)),"?"))</f>
        <v/>
      </c>
      <c r="BB150" s="99" t="str">
        <f>IF($A150="","",IFERROR(INDEX('Driver Factors'!$C$19:$C$24,MATCH($S150,'Driver Factors'!$B$19:$B$24,0)),"?"))</f>
        <v/>
      </c>
      <c r="BC150" s="99" t="str">
        <f>IF($A150="","",IFERROR(INDEX('Driver Factors'!$C$28:$C$36,MATCH($T150,'Driver Factors'!$B$28:$B$36,0)),"?"))</f>
        <v/>
      </c>
      <c r="BD150" s="99" t="str">
        <f>IF($A150="","",IFERROR(INDEX('Claims History'!$C$6:$C$15,MATCH($U150,'Claims History'!$B$6:$B$15,0)),"?"))</f>
        <v/>
      </c>
      <c r="BE150" s="99" t="str">
        <f>IF($A150="","",IFERROR(INDEX('Territory Factors'!$E$6:$E$56,MATCH($K150,'Territory Factors'!$B$6:$B$56,0)),"?"))</f>
        <v/>
      </c>
      <c r="BF150" s="99" t="str">
        <f>IF($A150="","",IFERROR(INDEX('City Accident Ratings'!$G$6:$G$54,MATCH($Z150,'City Accident Ratings'!$B$6:$B$54,0)),"?"))</f>
        <v/>
      </c>
      <c r="BG150" s="99" t="str">
        <f>IF($A150="","",IFERROR(INDEX('Usage and Coverage'!$D$6:$D$20,MATCH($N150,'Usage and Coverage'!$C$6:$C$20,0)),"?"))</f>
        <v/>
      </c>
      <c r="BH150" s="99" t="str">
        <f>IF($A150="","",IFERROR(INDEX('Usage and Coverage'!$C$24:$C$30,MATCH($O150,'Usage and Coverage'!$B$24:$B$30,0)),"?"))</f>
        <v/>
      </c>
      <c r="BI150" s="99" t="str">
        <f>IF($A150="","",IFERROR(INDEX('Usage and Coverage'!$C$34:$C$40,MATCH($P150,'Usage and Coverage'!$B$34:$B$40,0)),"?"))</f>
        <v/>
      </c>
      <c r="BJ150" s="99" t="str">
        <f>IF($A150="","",IFERROR(INDEX('Usage and Coverage'!$C$44:$C$49,MATCH($Q150,'Usage and Coverage'!$B$44:$B$49,0)),"?"))</f>
        <v/>
      </c>
      <c r="BK150" s="99" t="str">
        <f>IF($A150="","",IFERROR(INDEX(Deductibles!$C$6:$I$15,MATCH($W150,Deductibles!$B$6:$B$15,0),MATCH(MAX($J150,'Technical Premium'!$C$18),'Base Rates'!$C$3:$I$3,1)),"?"))</f>
        <v/>
      </c>
      <c r="BL150" s="99" t="str">
        <f>IF($A150="","",IFERROR(INDEX('Usage and Coverage'!$C$63:$C$66,MATCH($X150,'Usage and Coverage'!$B$63:$B$66,0)),"?"))</f>
        <v/>
      </c>
      <c r="BM150" s="99" t="str">
        <f>IF($A150="","",IFERROR(INDEX('Usage and Coverage'!$C$70:$C$75,MATCH($V150,'Usage and Coverage'!$B$70:$B$75,0)),"?"))</f>
        <v/>
      </c>
      <c r="BN150" s="99" t="str">
        <f>IF($A150="","",IF($AB150="",1,IFERROR(INDEX(Deductibles!$C$48:$C$51,MATCH($AB150,Deductibles!$B$48:$B$51,0)),"?")))</f>
        <v/>
      </c>
      <c r="BO150" s="99" t="str">
        <f>IF($A150="","",IF($AC150="",1,IFERROR(INDEX(Deductibles!$C$55:$C$57,MATCH($AC150,Deductibles!$B$55:$B$57,0)),"?")))</f>
        <v/>
      </c>
      <c r="BP150" s="99" t="str">
        <f>IF($A150="","",IF($AD150="",1,IFERROR(INDEX(Deductibles!$C$61:$C$63,MATCH($AD150,Deductibles!$B$61:$B$63,0)),"?")))</f>
        <v/>
      </c>
      <c r="BQ150" s="99" t="str">
        <f>IF($A150="","",IF($AE150="",1,IFERROR(INDEX(Deductibles!$C$67:$C$69,MATCH($AE150,Deductibles!$B$67:$B$69,0)),"?")))</f>
        <v/>
      </c>
      <c r="BR150" s="99" t="str">
        <f>IF($A150="","",IF($AF150="",1,IFERROR(INDEX(Deductibles!$C$73:$C$74,MATCH($AF150,Deductibles!$B$73:$B$74,0)),"?")))</f>
        <v/>
      </c>
      <c r="BS150" s="99" t="str">
        <f>IF($A150="","",IF($AG150="",1,IFERROR(INDEX('Sublimits and Parts'!$C$49:$C$52,MATCH($AG150,'Sublimits and Parts'!$B$49:$B$52,0)),"?")))</f>
        <v/>
      </c>
      <c r="BT150" s="99" t="str">
        <f>IF($A150="","",IF($AH150="",1,IFERROR(INDEX('Sublimits and Parts'!$C$56:$C$60,MATCH($AH150,'Sublimits and Parts'!$B$56:$B$60,0)),"?")))</f>
        <v/>
      </c>
      <c r="BU150" s="99" t="str">
        <f>IF($A150="","",IF($AI150="",1,IFERROR(INDEX('Sublimits and Parts'!$C$64:$C$67,MATCH($AI150,'Sublimits and Parts'!$B$64:$B$67,0)),"?")))</f>
        <v/>
      </c>
      <c r="BV150" s="99" t="str">
        <f>IF($A150="","",IF($AJ150="",1,IFERROR(INDEX('Sublimits and Parts'!$C$71:$C$74,MATCH($AJ150,'Sublimits and Parts'!$B$71:$B$74,0)),"?")))</f>
        <v/>
      </c>
      <c r="BW150" s="99" t="str">
        <f>IF($A150="","",IF($AK150="",1,IFERROR(INDEX('Sublimits and Parts'!$C$78:$C$80,MATCH($AK150,'Sublimits and Parts'!$B$78:$B$80,0)),"?")))</f>
        <v/>
      </c>
      <c r="BX150" s="99" t="str">
        <f>IF($A150="","",IF($AL150="",1,IFERROR(INDEX('Sublimits and Parts'!$C$84:$C$87,MATCH($AL150,'Sublimits and Parts'!$B$84:$B$87,0)),"?")))</f>
        <v/>
      </c>
      <c r="BY150" s="99" t="str">
        <f>IF($A150="","",IF($AM150="",1,IFERROR(INDEX('Sublimits and Parts'!$C$91:$C$94,MATCH($AM150,'Sublimits and Parts'!$B$91:$B$94,0)),"?")))</f>
        <v/>
      </c>
      <c r="BZ150" s="99" t="str">
        <f>IF($A150="","",IF($AN150="",1,IFERROR(INDEX('Sublimits and Parts'!$C$98:$C$101,MATCH($AN150,'Sublimits and Parts'!$B$98:$B$101,0)),"?")))</f>
        <v/>
      </c>
      <c r="CA150" s="99" t="str">
        <f>IF($A150="","",IF($AO150="",1,IFERROR(INDEX('Sublimits and Parts'!$C$105:$C$109,MATCH($AO150,'Sublimits and Parts'!$B$105:$B$109,0)),"?")))</f>
        <v/>
      </c>
      <c r="CB150" s="100" t="str">
        <f t="shared" si="28"/>
        <v/>
      </c>
      <c r="CC150" s="100" t="str">
        <f t="shared" si="29"/>
        <v/>
      </c>
      <c r="CD150" s="103" t="str">
        <f>IF($A150="","",IF(OR($CB150="?",$CC150="?"),"?",MIN($CB150*$CC150,'Technical Premium'!$C$17)))</f>
        <v/>
      </c>
      <c r="CE150" s="102" t="str">
        <f t="shared" si="30"/>
        <v/>
      </c>
      <c r="CF150" s="102" t="str">
        <f>IF($A150="","",IFERROR(INDEX('Territory Factors'!$F$6:$F$56,MATCH($K150,'Territory Factors'!$B$6:$B$56,0)),"?"))</f>
        <v/>
      </c>
      <c r="CG150" s="100" t="str">
        <f>IF($A150="","",IFERROR(INDEX('Usage and Coverage'!$C$79:$C$84,MATCH($Y150,'Usage and Coverage'!$B$79:$B$84,0)),"?"))</f>
        <v/>
      </c>
      <c r="CH150" s="102" t="str">
        <f>IFERROR(IF(ISNUMBER($CD150),$CF150*$CG150*MIN($BG150*$BA150*$BC150*$BD150*$BH150*$BF150,'Technical Premium'!$C$17),""),"")</f>
        <v/>
      </c>
      <c r="CI150" s="102" t="str">
        <f t="shared" si="31"/>
        <v/>
      </c>
      <c r="CJ150" s="102" t="str">
        <f>IFERROR($CI150*(1+'Technical Premium'!$C$5)*(1+'Technical Premium'!$C$6),"")</f>
        <v/>
      </c>
      <c r="CK150" s="102" t="str">
        <f>IFERROR($CE150*INDEX('Territory Factors'!$G$6:$G$56,MATCH($K150,'Territory Factors'!$B$6:$B$56,0))*$AU150*$AV150,"")</f>
        <v/>
      </c>
      <c r="CL150" s="102" t="str">
        <f>IFERROR(($CJ150+$CK150)*(1+'Technical Premium'!$C$7),"")</f>
        <v/>
      </c>
      <c r="CM150" s="104" t="str">
        <f>IFERROR($CL150/'Technical Premium'!$C$13,"")</f>
        <v/>
      </c>
      <c r="CN150" s="105" t="str">
        <f t="shared" si="32"/>
        <v/>
      </c>
      <c r="CO150" s="104" t="str">
        <f t="shared" si="33"/>
        <v/>
      </c>
      <c r="CP150" s="105" t="str">
        <f t="shared" si="34"/>
        <v/>
      </c>
      <c r="CQ150" s="106" t="str">
        <f t="shared" si="35"/>
        <v/>
      </c>
      <c r="CR150" s="102" t="str">
        <f>IF(ISNUMBER($CM150),'Technical Premium'!$C$14+IF($J150&gt;=1000000,'Technical Premium'!$C$15,0),"")</f>
        <v/>
      </c>
      <c r="CS150" s="102" t="str">
        <f>IFERROR(($CO150+$CR150)*(INDEX('Territory Factors'!$K$6:$K$56,MATCH($K150,'Territory Factors'!$B$6:$B$56,0))+'Commission Structure'!$C$21),"")</f>
        <v/>
      </c>
      <c r="CT150" s="104" t="str">
        <f t="shared" si="36"/>
        <v/>
      </c>
      <c r="CU150" s="102" t="str">
        <f>IFERROR($CO150*('Commission Structure'!$C$6+'Commission Structure'!$C$7),"")</f>
        <v/>
      </c>
      <c r="CV150" s="102" t="str">
        <f>IFERROR($CO150*'Commission Structure'!$C$5-$CU150,"")</f>
        <v/>
      </c>
      <c r="CW150" s="102" t="str">
        <f>IFERROR($CO150*(1-'Commission Structure'!$C$5),"")</f>
        <v/>
      </c>
      <c r="CX150" s="107"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8" t="str">
        <f t="shared" si="37"/>
        <v/>
      </c>
      <c r="CZ150" s="99" t="str">
        <f>IF($CY150="","",IF($CY150&lt;'Technical Premium'!$C$19,"BEYOND AUTHORITY",IF($CY150&gt;0.005,"Above technical",IF($CY150&lt;-0.005,"BELOW technical","At technical"))))</f>
        <v/>
      </c>
      <c r="DA150" s="99"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4"/>
      <c r="DC150" s="94"/>
      <c r="DD150" s="95"/>
      <c r="DE150" s="94"/>
      <c r="DF150" s="94"/>
      <c r="DG150" s="99" t="str">
        <f t="shared" si="38"/>
        <v/>
      </c>
      <c r="DH150" s="99" t="str">
        <f>IF($A150="","",IF(OR($CX150="REFER",$CX150="DECLINE"),COUNTIF($CX$5:$CX150,"REFER")+COUNTIF($CX$5:$CX150,"DECLINE"),""))</f>
        <v/>
      </c>
      <c r="DI150" s="94"/>
    </row>
    <row r="151" spans="1:113" x14ac:dyDescent="0.35">
      <c r="A151" s="94"/>
      <c r="B151" s="94"/>
      <c r="C151" s="95"/>
      <c r="D151" s="95"/>
      <c r="E151" s="96"/>
      <c r="F151" s="94"/>
      <c r="G151" s="94"/>
      <c r="H151" s="94"/>
      <c r="I151" s="94"/>
      <c r="J151" s="97"/>
      <c r="K151" s="94"/>
      <c r="L151" s="94"/>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8"/>
      <c r="AR151" s="99" t="str">
        <f t="shared" si="26"/>
        <v/>
      </c>
      <c r="AS151" s="99" t="str">
        <f>IF($A151="","",IF($AP151&lt;&gt;"",$AP151,IFERROR(INDEX('Cat Zone by ZIP'!$D$6:$D$856,MATCH($AR151,'Cat Zone by ZIP'!$B$6:$B$856,0)),IFERROR(INDEX('Cat Zone by ZIP'!$C$860:$C$910,MATCH($K151,'Cat Zone by ZIP'!$B$860:$B$910,0)),"NOT FOUND"))))</f>
        <v/>
      </c>
      <c r="AT151" s="99" t="str">
        <f>IF($A151="","",IF($AP151&lt;&gt;"","Override",IF(ISNUMBER(MATCH($AR151,'Cat Zone by ZIP'!$B$6:$B$856,0)),"ZIP-3","State default")))</f>
        <v/>
      </c>
      <c r="AU151" s="100" t="str">
        <f>IF($A151="","",IFERROR(INDEX('Natural Catastrophe'!$D$6:$D$17,MATCH($AS151,'Natural Catastrophe'!$B$6:$B$17,0)),"?"))</f>
        <v/>
      </c>
      <c r="AV151" s="100" t="str">
        <f>IF($A151="","",IFERROR(INDEX('Natural Catastrophe'!$C$21:$C$26,MATCH($AA151,'Natural Catastrophe'!$B$21:$B$26,0)),"?"))</f>
        <v/>
      </c>
      <c r="AW151" s="99" t="str">
        <f>IF($A151="","",IFERROR(INDEX('Base Rates'!$C$4:$I$4,MATCH(MAX($J151,'Technical Premium'!$C$18),'Base Rates'!$C$3:$I$3,1)),"?"))</f>
        <v/>
      </c>
      <c r="AX151" s="101" t="str">
        <f>IF($A151="","",IFERROR(INDEX('Base Rates'!$C$5:$I$16,MATCH($I151,'Base Rates'!$B$5:$B$16,0),MATCH(MAX($J151,'Technical Premium'!$C$18),'Base Rates'!$C$3:$I$3,1)),"?"))</f>
        <v/>
      </c>
      <c r="AY151" s="102" t="str">
        <f t="shared" si="27"/>
        <v/>
      </c>
      <c r="AZ151" s="99" t="str">
        <f>IF($A151="","",IFERROR(INDEX('Make Factors'!$G$5:$G$69,MATCH($F151,'Make Factors'!$B$5:$B$69,0)),"?"))</f>
        <v/>
      </c>
      <c r="BA151" s="99" t="str">
        <f>IF($A151="","",IFERROR(INDEX('Driver Factors'!$C$6:$C$15,MATCH($R151,'Driver Factors'!$B$6:$B$15,0)),"?"))</f>
        <v/>
      </c>
      <c r="BB151" s="99" t="str">
        <f>IF($A151="","",IFERROR(INDEX('Driver Factors'!$C$19:$C$24,MATCH($S151,'Driver Factors'!$B$19:$B$24,0)),"?"))</f>
        <v/>
      </c>
      <c r="BC151" s="99" t="str">
        <f>IF($A151="","",IFERROR(INDEX('Driver Factors'!$C$28:$C$36,MATCH($T151,'Driver Factors'!$B$28:$B$36,0)),"?"))</f>
        <v/>
      </c>
      <c r="BD151" s="99" t="str">
        <f>IF($A151="","",IFERROR(INDEX('Claims History'!$C$6:$C$15,MATCH($U151,'Claims History'!$B$6:$B$15,0)),"?"))</f>
        <v/>
      </c>
      <c r="BE151" s="99" t="str">
        <f>IF($A151="","",IFERROR(INDEX('Territory Factors'!$E$6:$E$56,MATCH($K151,'Territory Factors'!$B$6:$B$56,0)),"?"))</f>
        <v/>
      </c>
      <c r="BF151" s="99" t="str">
        <f>IF($A151="","",IFERROR(INDEX('City Accident Ratings'!$G$6:$G$54,MATCH($Z151,'City Accident Ratings'!$B$6:$B$54,0)),"?"))</f>
        <v/>
      </c>
      <c r="BG151" s="99" t="str">
        <f>IF($A151="","",IFERROR(INDEX('Usage and Coverage'!$D$6:$D$20,MATCH($N151,'Usage and Coverage'!$C$6:$C$20,0)),"?"))</f>
        <v/>
      </c>
      <c r="BH151" s="99" t="str">
        <f>IF($A151="","",IFERROR(INDEX('Usage and Coverage'!$C$24:$C$30,MATCH($O151,'Usage and Coverage'!$B$24:$B$30,0)),"?"))</f>
        <v/>
      </c>
      <c r="BI151" s="99" t="str">
        <f>IF($A151="","",IFERROR(INDEX('Usage and Coverage'!$C$34:$C$40,MATCH($P151,'Usage and Coverage'!$B$34:$B$40,0)),"?"))</f>
        <v/>
      </c>
      <c r="BJ151" s="99" t="str">
        <f>IF($A151="","",IFERROR(INDEX('Usage and Coverage'!$C$44:$C$49,MATCH($Q151,'Usage and Coverage'!$B$44:$B$49,0)),"?"))</f>
        <v/>
      </c>
      <c r="BK151" s="99" t="str">
        <f>IF($A151="","",IFERROR(INDEX(Deductibles!$C$6:$I$15,MATCH($W151,Deductibles!$B$6:$B$15,0),MATCH(MAX($J151,'Technical Premium'!$C$18),'Base Rates'!$C$3:$I$3,1)),"?"))</f>
        <v/>
      </c>
      <c r="BL151" s="99" t="str">
        <f>IF($A151="","",IFERROR(INDEX('Usage and Coverage'!$C$63:$C$66,MATCH($X151,'Usage and Coverage'!$B$63:$B$66,0)),"?"))</f>
        <v/>
      </c>
      <c r="BM151" s="99" t="str">
        <f>IF($A151="","",IFERROR(INDEX('Usage and Coverage'!$C$70:$C$75,MATCH($V151,'Usage and Coverage'!$B$70:$B$75,0)),"?"))</f>
        <v/>
      </c>
      <c r="BN151" s="99" t="str">
        <f>IF($A151="","",IF($AB151="",1,IFERROR(INDEX(Deductibles!$C$48:$C$51,MATCH($AB151,Deductibles!$B$48:$B$51,0)),"?")))</f>
        <v/>
      </c>
      <c r="BO151" s="99" t="str">
        <f>IF($A151="","",IF($AC151="",1,IFERROR(INDEX(Deductibles!$C$55:$C$57,MATCH($AC151,Deductibles!$B$55:$B$57,0)),"?")))</f>
        <v/>
      </c>
      <c r="BP151" s="99" t="str">
        <f>IF($A151="","",IF($AD151="",1,IFERROR(INDEX(Deductibles!$C$61:$C$63,MATCH($AD151,Deductibles!$B$61:$B$63,0)),"?")))</f>
        <v/>
      </c>
      <c r="BQ151" s="99" t="str">
        <f>IF($A151="","",IF($AE151="",1,IFERROR(INDEX(Deductibles!$C$67:$C$69,MATCH($AE151,Deductibles!$B$67:$B$69,0)),"?")))</f>
        <v/>
      </c>
      <c r="BR151" s="99" t="str">
        <f>IF($A151="","",IF($AF151="",1,IFERROR(INDEX(Deductibles!$C$73:$C$74,MATCH($AF151,Deductibles!$B$73:$B$74,0)),"?")))</f>
        <v/>
      </c>
      <c r="BS151" s="99" t="str">
        <f>IF($A151="","",IF($AG151="",1,IFERROR(INDEX('Sublimits and Parts'!$C$49:$C$52,MATCH($AG151,'Sublimits and Parts'!$B$49:$B$52,0)),"?")))</f>
        <v/>
      </c>
      <c r="BT151" s="99" t="str">
        <f>IF($A151="","",IF($AH151="",1,IFERROR(INDEX('Sublimits and Parts'!$C$56:$C$60,MATCH($AH151,'Sublimits and Parts'!$B$56:$B$60,0)),"?")))</f>
        <v/>
      </c>
      <c r="BU151" s="99" t="str">
        <f>IF($A151="","",IF($AI151="",1,IFERROR(INDEX('Sublimits and Parts'!$C$64:$C$67,MATCH($AI151,'Sublimits and Parts'!$B$64:$B$67,0)),"?")))</f>
        <v/>
      </c>
      <c r="BV151" s="99" t="str">
        <f>IF($A151="","",IF($AJ151="",1,IFERROR(INDEX('Sublimits and Parts'!$C$71:$C$74,MATCH($AJ151,'Sublimits and Parts'!$B$71:$B$74,0)),"?")))</f>
        <v/>
      </c>
      <c r="BW151" s="99" t="str">
        <f>IF($A151="","",IF($AK151="",1,IFERROR(INDEX('Sublimits and Parts'!$C$78:$C$80,MATCH($AK151,'Sublimits and Parts'!$B$78:$B$80,0)),"?")))</f>
        <v/>
      </c>
      <c r="BX151" s="99" t="str">
        <f>IF($A151="","",IF($AL151="",1,IFERROR(INDEX('Sublimits and Parts'!$C$84:$C$87,MATCH($AL151,'Sublimits and Parts'!$B$84:$B$87,0)),"?")))</f>
        <v/>
      </c>
      <c r="BY151" s="99" t="str">
        <f>IF($A151="","",IF($AM151="",1,IFERROR(INDEX('Sublimits and Parts'!$C$91:$C$94,MATCH($AM151,'Sublimits and Parts'!$B$91:$B$94,0)),"?")))</f>
        <v/>
      </c>
      <c r="BZ151" s="99" t="str">
        <f>IF($A151="","",IF($AN151="",1,IFERROR(INDEX('Sublimits and Parts'!$C$98:$C$101,MATCH($AN151,'Sublimits and Parts'!$B$98:$B$101,0)),"?")))</f>
        <v/>
      </c>
      <c r="CA151" s="99" t="str">
        <f>IF($A151="","",IF($AO151="",1,IFERROR(INDEX('Sublimits and Parts'!$C$105:$C$109,MATCH($AO151,'Sublimits and Parts'!$B$105:$B$109,0)),"?")))</f>
        <v/>
      </c>
      <c r="CB151" s="100" t="str">
        <f t="shared" si="28"/>
        <v/>
      </c>
      <c r="CC151" s="100" t="str">
        <f t="shared" si="29"/>
        <v/>
      </c>
      <c r="CD151" s="103" t="str">
        <f>IF($A151="","",IF(OR($CB151="?",$CC151="?"),"?",MIN($CB151*$CC151,'Technical Premium'!$C$17)))</f>
        <v/>
      </c>
      <c r="CE151" s="102" t="str">
        <f t="shared" si="30"/>
        <v/>
      </c>
      <c r="CF151" s="102" t="str">
        <f>IF($A151="","",IFERROR(INDEX('Territory Factors'!$F$6:$F$56,MATCH($K151,'Territory Factors'!$B$6:$B$56,0)),"?"))</f>
        <v/>
      </c>
      <c r="CG151" s="100" t="str">
        <f>IF($A151="","",IFERROR(INDEX('Usage and Coverage'!$C$79:$C$84,MATCH($Y151,'Usage and Coverage'!$B$79:$B$84,0)),"?"))</f>
        <v/>
      </c>
      <c r="CH151" s="102" t="str">
        <f>IFERROR(IF(ISNUMBER($CD151),$CF151*$CG151*MIN($BG151*$BA151*$BC151*$BD151*$BH151*$BF151,'Technical Premium'!$C$17),""),"")</f>
        <v/>
      </c>
      <c r="CI151" s="102" t="str">
        <f t="shared" si="31"/>
        <v/>
      </c>
      <c r="CJ151" s="102" t="str">
        <f>IFERROR($CI151*(1+'Technical Premium'!$C$5)*(1+'Technical Premium'!$C$6),"")</f>
        <v/>
      </c>
      <c r="CK151" s="102" t="str">
        <f>IFERROR($CE151*INDEX('Territory Factors'!$G$6:$G$56,MATCH($K151,'Territory Factors'!$B$6:$B$56,0))*$AU151*$AV151,"")</f>
        <v/>
      </c>
      <c r="CL151" s="102" t="str">
        <f>IFERROR(($CJ151+$CK151)*(1+'Technical Premium'!$C$7),"")</f>
        <v/>
      </c>
      <c r="CM151" s="104" t="str">
        <f>IFERROR($CL151/'Technical Premium'!$C$13,"")</f>
        <v/>
      </c>
      <c r="CN151" s="105" t="str">
        <f t="shared" si="32"/>
        <v/>
      </c>
      <c r="CO151" s="104" t="str">
        <f t="shared" si="33"/>
        <v/>
      </c>
      <c r="CP151" s="105" t="str">
        <f t="shared" si="34"/>
        <v/>
      </c>
      <c r="CQ151" s="106" t="str">
        <f t="shared" si="35"/>
        <v/>
      </c>
      <c r="CR151" s="102" t="str">
        <f>IF(ISNUMBER($CM151),'Technical Premium'!$C$14+IF($J151&gt;=1000000,'Technical Premium'!$C$15,0),"")</f>
        <v/>
      </c>
      <c r="CS151" s="102" t="str">
        <f>IFERROR(($CO151+$CR151)*(INDEX('Territory Factors'!$K$6:$K$56,MATCH($K151,'Territory Factors'!$B$6:$B$56,0))+'Commission Structure'!$C$21),"")</f>
        <v/>
      </c>
      <c r="CT151" s="104" t="str">
        <f t="shared" si="36"/>
        <v/>
      </c>
      <c r="CU151" s="102" t="str">
        <f>IFERROR($CO151*('Commission Structure'!$C$6+'Commission Structure'!$C$7),"")</f>
        <v/>
      </c>
      <c r="CV151" s="102" t="str">
        <f>IFERROR($CO151*'Commission Structure'!$C$5-$CU151,"")</f>
        <v/>
      </c>
      <c r="CW151" s="102" t="str">
        <f>IFERROR($CO151*(1-'Commission Structure'!$C$5),"")</f>
        <v/>
      </c>
      <c r="CX151" s="107"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8" t="str">
        <f t="shared" si="37"/>
        <v/>
      </c>
      <c r="CZ151" s="99" t="str">
        <f>IF($CY151="","",IF($CY151&lt;'Technical Premium'!$C$19,"BEYOND AUTHORITY",IF($CY151&gt;0.005,"Above technical",IF($CY151&lt;-0.005,"BELOW technical","At technical"))))</f>
        <v/>
      </c>
      <c r="DA151" s="99"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4"/>
      <c r="DC151" s="94"/>
      <c r="DD151" s="95"/>
      <c r="DE151" s="94"/>
      <c r="DF151" s="94"/>
      <c r="DG151" s="99" t="str">
        <f t="shared" si="38"/>
        <v/>
      </c>
      <c r="DH151" s="99" t="str">
        <f>IF($A151="","",IF(OR($CX151="REFER",$CX151="DECLINE"),COUNTIF($CX$5:$CX151,"REFER")+COUNTIF($CX$5:$CX151,"DECLINE"),""))</f>
        <v/>
      </c>
      <c r="DI151" s="94"/>
    </row>
    <row r="152" spans="1:113" x14ac:dyDescent="0.35">
      <c r="A152" s="94"/>
      <c r="B152" s="94"/>
      <c r="C152" s="95"/>
      <c r="D152" s="95"/>
      <c r="E152" s="96"/>
      <c r="F152" s="94"/>
      <c r="G152" s="94"/>
      <c r="H152" s="94"/>
      <c r="I152" s="94"/>
      <c r="J152" s="97"/>
      <c r="K152" s="94"/>
      <c r="L152" s="94"/>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8"/>
      <c r="AR152" s="99" t="str">
        <f t="shared" si="26"/>
        <v/>
      </c>
      <c r="AS152" s="99" t="str">
        <f>IF($A152="","",IF($AP152&lt;&gt;"",$AP152,IFERROR(INDEX('Cat Zone by ZIP'!$D$6:$D$856,MATCH($AR152,'Cat Zone by ZIP'!$B$6:$B$856,0)),IFERROR(INDEX('Cat Zone by ZIP'!$C$860:$C$910,MATCH($K152,'Cat Zone by ZIP'!$B$860:$B$910,0)),"NOT FOUND"))))</f>
        <v/>
      </c>
      <c r="AT152" s="99" t="str">
        <f>IF($A152="","",IF($AP152&lt;&gt;"","Override",IF(ISNUMBER(MATCH($AR152,'Cat Zone by ZIP'!$B$6:$B$856,0)),"ZIP-3","State default")))</f>
        <v/>
      </c>
      <c r="AU152" s="100" t="str">
        <f>IF($A152="","",IFERROR(INDEX('Natural Catastrophe'!$D$6:$D$17,MATCH($AS152,'Natural Catastrophe'!$B$6:$B$17,0)),"?"))</f>
        <v/>
      </c>
      <c r="AV152" s="100" t="str">
        <f>IF($A152="","",IFERROR(INDEX('Natural Catastrophe'!$C$21:$C$26,MATCH($AA152,'Natural Catastrophe'!$B$21:$B$26,0)),"?"))</f>
        <v/>
      </c>
      <c r="AW152" s="99" t="str">
        <f>IF($A152="","",IFERROR(INDEX('Base Rates'!$C$4:$I$4,MATCH(MAX($J152,'Technical Premium'!$C$18),'Base Rates'!$C$3:$I$3,1)),"?"))</f>
        <v/>
      </c>
      <c r="AX152" s="101" t="str">
        <f>IF($A152="","",IFERROR(INDEX('Base Rates'!$C$5:$I$16,MATCH($I152,'Base Rates'!$B$5:$B$16,0),MATCH(MAX($J152,'Technical Premium'!$C$18),'Base Rates'!$C$3:$I$3,1)),"?"))</f>
        <v/>
      </c>
      <c r="AY152" s="102" t="str">
        <f t="shared" si="27"/>
        <v/>
      </c>
      <c r="AZ152" s="99" t="str">
        <f>IF($A152="","",IFERROR(INDEX('Make Factors'!$G$5:$G$69,MATCH($F152,'Make Factors'!$B$5:$B$69,0)),"?"))</f>
        <v/>
      </c>
      <c r="BA152" s="99" t="str">
        <f>IF($A152="","",IFERROR(INDEX('Driver Factors'!$C$6:$C$15,MATCH($R152,'Driver Factors'!$B$6:$B$15,0)),"?"))</f>
        <v/>
      </c>
      <c r="BB152" s="99" t="str">
        <f>IF($A152="","",IFERROR(INDEX('Driver Factors'!$C$19:$C$24,MATCH($S152,'Driver Factors'!$B$19:$B$24,0)),"?"))</f>
        <v/>
      </c>
      <c r="BC152" s="99" t="str">
        <f>IF($A152="","",IFERROR(INDEX('Driver Factors'!$C$28:$C$36,MATCH($T152,'Driver Factors'!$B$28:$B$36,0)),"?"))</f>
        <v/>
      </c>
      <c r="BD152" s="99" t="str">
        <f>IF($A152="","",IFERROR(INDEX('Claims History'!$C$6:$C$15,MATCH($U152,'Claims History'!$B$6:$B$15,0)),"?"))</f>
        <v/>
      </c>
      <c r="BE152" s="99" t="str">
        <f>IF($A152="","",IFERROR(INDEX('Territory Factors'!$E$6:$E$56,MATCH($K152,'Territory Factors'!$B$6:$B$56,0)),"?"))</f>
        <v/>
      </c>
      <c r="BF152" s="99" t="str">
        <f>IF($A152="","",IFERROR(INDEX('City Accident Ratings'!$G$6:$G$54,MATCH($Z152,'City Accident Ratings'!$B$6:$B$54,0)),"?"))</f>
        <v/>
      </c>
      <c r="BG152" s="99" t="str">
        <f>IF($A152="","",IFERROR(INDEX('Usage and Coverage'!$D$6:$D$20,MATCH($N152,'Usage and Coverage'!$C$6:$C$20,0)),"?"))</f>
        <v/>
      </c>
      <c r="BH152" s="99" t="str">
        <f>IF($A152="","",IFERROR(INDEX('Usage and Coverage'!$C$24:$C$30,MATCH($O152,'Usage and Coverage'!$B$24:$B$30,0)),"?"))</f>
        <v/>
      </c>
      <c r="BI152" s="99" t="str">
        <f>IF($A152="","",IFERROR(INDEX('Usage and Coverage'!$C$34:$C$40,MATCH($P152,'Usage and Coverage'!$B$34:$B$40,0)),"?"))</f>
        <v/>
      </c>
      <c r="BJ152" s="99" t="str">
        <f>IF($A152="","",IFERROR(INDEX('Usage and Coverage'!$C$44:$C$49,MATCH($Q152,'Usage and Coverage'!$B$44:$B$49,0)),"?"))</f>
        <v/>
      </c>
      <c r="BK152" s="99" t="str">
        <f>IF($A152="","",IFERROR(INDEX(Deductibles!$C$6:$I$15,MATCH($W152,Deductibles!$B$6:$B$15,0),MATCH(MAX($J152,'Technical Premium'!$C$18),'Base Rates'!$C$3:$I$3,1)),"?"))</f>
        <v/>
      </c>
      <c r="BL152" s="99" t="str">
        <f>IF($A152="","",IFERROR(INDEX('Usage and Coverage'!$C$63:$C$66,MATCH($X152,'Usage and Coverage'!$B$63:$B$66,0)),"?"))</f>
        <v/>
      </c>
      <c r="BM152" s="99" t="str">
        <f>IF($A152="","",IFERROR(INDEX('Usage and Coverage'!$C$70:$C$75,MATCH($V152,'Usage and Coverage'!$B$70:$B$75,0)),"?"))</f>
        <v/>
      </c>
      <c r="BN152" s="99" t="str">
        <f>IF($A152="","",IF($AB152="",1,IFERROR(INDEX(Deductibles!$C$48:$C$51,MATCH($AB152,Deductibles!$B$48:$B$51,0)),"?")))</f>
        <v/>
      </c>
      <c r="BO152" s="99" t="str">
        <f>IF($A152="","",IF($AC152="",1,IFERROR(INDEX(Deductibles!$C$55:$C$57,MATCH($AC152,Deductibles!$B$55:$B$57,0)),"?")))</f>
        <v/>
      </c>
      <c r="BP152" s="99" t="str">
        <f>IF($A152="","",IF($AD152="",1,IFERROR(INDEX(Deductibles!$C$61:$C$63,MATCH($AD152,Deductibles!$B$61:$B$63,0)),"?")))</f>
        <v/>
      </c>
      <c r="BQ152" s="99" t="str">
        <f>IF($A152="","",IF($AE152="",1,IFERROR(INDEX(Deductibles!$C$67:$C$69,MATCH($AE152,Deductibles!$B$67:$B$69,0)),"?")))</f>
        <v/>
      </c>
      <c r="BR152" s="99" t="str">
        <f>IF($A152="","",IF($AF152="",1,IFERROR(INDEX(Deductibles!$C$73:$C$74,MATCH($AF152,Deductibles!$B$73:$B$74,0)),"?")))</f>
        <v/>
      </c>
      <c r="BS152" s="99" t="str">
        <f>IF($A152="","",IF($AG152="",1,IFERROR(INDEX('Sublimits and Parts'!$C$49:$C$52,MATCH($AG152,'Sublimits and Parts'!$B$49:$B$52,0)),"?")))</f>
        <v/>
      </c>
      <c r="BT152" s="99" t="str">
        <f>IF($A152="","",IF($AH152="",1,IFERROR(INDEX('Sublimits and Parts'!$C$56:$C$60,MATCH($AH152,'Sublimits and Parts'!$B$56:$B$60,0)),"?")))</f>
        <v/>
      </c>
      <c r="BU152" s="99" t="str">
        <f>IF($A152="","",IF($AI152="",1,IFERROR(INDEX('Sublimits and Parts'!$C$64:$C$67,MATCH($AI152,'Sublimits and Parts'!$B$64:$B$67,0)),"?")))</f>
        <v/>
      </c>
      <c r="BV152" s="99" t="str">
        <f>IF($A152="","",IF($AJ152="",1,IFERROR(INDEX('Sublimits and Parts'!$C$71:$C$74,MATCH($AJ152,'Sublimits and Parts'!$B$71:$B$74,0)),"?")))</f>
        <v/>
      </c>
      <c r="BW152" s="99" t="str">
        <f>IF($A152="","",IF($AK152="",1,IFERROR(INDEX('Sublimits and Parts'!$C$78:$C$80,MATCH($AK152,'Sublimits and Parts'!$B$78:$B$80,0)),"?")))</f>
        <v/>
      </c>
      <c r="BX152" s="99" t="str">
        <f>IF($A152="","",IF($AL152="",1,IFERROR(INDEX('Sublimits and Parts'!$C$84:$C$87,MATCH($AL152,'Sublimits and Parts'!$B$84:$B$87,0)),"?")))</f>
        <v/>
      </c>
      <c r="BY152" s="99" t="str">
        <f>IF($A152="","",IF($AM152="",1,IFERROR(INDEX('Sublimits and Parts'!$C$91:$C$94,MATCH($AM152,'Sublimits and Parts'!$B$91:$B$94,0)),"?")))</f>
        <v/>
      </c>
      <c r="BZ152" s="99" t="str">
        <f>IF($A152="","",IF($AN152="",1,IFERROR(INDEX('Sublimits and Parts'!$C$98:$C$101,MATCH($AN152,'Sublimits and Parts'!$B$98:$B$101,0)),"?")))</f>
        <v/>
      </c>
      <c r="CA152" s="99" t="str">
        <f>IF($A152="","",IF($AO152="",1,IFERROR(INDEX('Sublimits and Parts'!$C$105:$C$109,MATCH($AO152,'Sublimits and Parts'!$B$105:$B$109,0)),"?")))</f>
        <v/>
      </c>
      <c r="CB152" s="100" t="str">
        <f t="shared" si="28"/>
        <v/>
      </c>
      <c r="CC152" s="100" t="str">
        <f t="shared" si="29"/>
        <v/>
      </c>
      <c r="CD152" s="103" t="str">
        <f>IF($A152="","",IF(OR($CB152="?",$CC152="?"),"?",MIN($CB152*$CC152,'Technical Premium'!$C$17)))</f>
        <v/>
      </c>
      <c r="CE152" s="102" t="str">
        <f t="shared" si="30"/>
        <v/>
      </c>
      <c r="CF152" s="102" t="str">
        <f>IF($A152="","",IFERROR(INDEX('Territory Factors'!$F$6:$F$56,MATCH($K152,'Territory Factors'!$B$6:$B$56,0)),"?"))</f>
        <v/>
      </c>
      <c r="CG152" s="100" t="str">
        <f>IF($A152="","",IFERROR(INDEX('Usage and Coverage'!$C$79:$C$84,MATCH($Y152,'Usage and Coverage'!$B$79:$B$84,0)),"?"))</f>
        <v/>
      </c>
      <c r="CH152" s="102" t="str">
        <f>IFERROR(IF(ISNUMBER($CD152),$CF152*$CG152*MIN($BG152*$BA152*$BC152*$BD152*$BH152*$BF152,'Technical Premium'!$C$17),""),"")</f>
        <v/>
      </c>
      <c r="CI152" s="102" t="str">
        <f t="shared" si="31"/>
        <v/>
      </c>
      <c r="CJ152" s="102" t="str">
        <f>IFERROR($CI152*(1+'Technical Premium'!$C$5)*(1+'Technical Premium'!$C$6),"")</f>
        <v/>
      </c>
      <c r="CK152" s="102" t="str">
        <f>IFERROR($CE152*INDEX('Territory Factors'!$G$6:$G$56,MATCH($K152,'Territory Factors'!$B$6:$B$56,0))*$AU152*$AV152,"")</f>
        <v/>
      </c>
      <c r="CL152" s="102" t="str">
        <f>IFERROR(($CJ152+$CK152)*(1+'Technical Premium'!$C$7),"")</f>
        <v/>
      </c>
      <c r="CM152" s="104" t="str">
        <f>IFERROR($CL152/'Technical Premium'!$C$13,"")</f>
        <v/>
      </c>
      <c r="CN152" s="105" t="str">
        <f t="shared" si="32"/>
        <v/>
      </c>
      <c r="CO152" s="104" t="str">
        <f t="shared" si="33"/>
        <v/>
      </c>
      <c r="CP152" s="105" t="str">
        <f t="shared" si="34"/>
        <v/>
      </c>
      <c r="CQ152" s="106" t="str">
        <f t="shared" si="35"/>
        <v/>
      </c>
      <c r="CR152" s="102" t="str">
        <f>IF(ISNUMBER($CM152),'Technical Premium'!$C$14+IF($J152&gt;=1000000,'Technical Premium'!$C$15,0),"")</f>
        <v/>
      </c>
      <c r="CS152" s="102" t="str">
        <f>IFERROR(($CO152+$CR152)*(INDEX('Territory Factors'!$K$6:$K$56,MATCH($K152,'Territory Factors'!$B$6:$B$56,0))+'Commission Structure'!$C$21),"")</f>
        <v/>
      </c>
      <c r="CT152" s="104" t="str">
        <f t="shared" si="36"/>
        <v/>
      </c>
      <c r="CU152" s="102" t="str">
        <f>IFERROR($CO152*('Commission Structure'!$C$6+'Commission Structure'!$C$7),"")</f>
        <v/>
      </c>
      <c r="CV152" s="102" t="str">
        <f>IFERROR($CO152*'Commission Structure'!$C$5-$CU152,"")</f>
        <v/>
      </c>
      <c r="CW152" s="102" t="str">
        <f>IFERROR($CO152*(1-'Commission Structure'!$C$5),"")</f>
        <v/>
      </c>
      <c r="CX152" s="107"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8" t="str">
        <f t="shared" si="37"/>
        <v/>
      </c>
      <c r="CZ152" s="99" t="str">
        <f>IF($CY152="","",IF($CY152&lt;'Technical Premium'!$C$19,"BEYOND AUTHORITY",IF($CY152&gt;0.005,"Above technical",IF($CY152&lt;-0.005,"BELOW technical","At technical"))))</f>
        <v/>
      </c>
      <c r="DA152" s="99"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4"/>
      <c r="DC152" s="94"/>
      <c r="DD152" s="95"/>
      <c r="DE152" s="94"/>
      <c r="DF152" s="94"/>
      <c r="DG152" s="99" t="str">
        <f t="shared" si="38"/>
        <v/>
      </c>
      <c r="DH152" s="99" t="str">
        <f>IF($A152="","",IF(OR($CX152="REFER",$CX152="DECLINE"),COUNTIF($CX$5:$CX152,"REFER")+COUNTIF($CX$5:$CX152,"DECLINE"),""))</f>
        <v/>
      </c>
      <c r="DI152" s="94"/>
    </row>
    <row r="153" spans="1:113" x14ac:dyDescent="0.35">
      <c r="A153" s="94"/>
      <c r="B153" s="94"/>
      <c r="C153" s="95"/>
      <c r="D153" s="95"/>
      <c r="E153" s="96"/>
      <c r="F153" s="94"/>
      <c r="G153" s="94"/>
      <c r="H153" s="94"/>
      <c r="I153" s="94"/>
      <c r="J153" s="97"/>
      <c r="K153" s="94"/>
      <c r="L153" s="94"/>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8"/>
      <c r="AR153" s="99" t="str">
        <f t="shared" si="26"/>
        <v/>
      </c>
      <c r="AS153" s="99" t="str">
        <f>IF($A153="","",IF($AP153&lt;&gt;"",$AP153,IFERROR(INDEX('Cat Zone by ZIP'!$D$6:$D$856,MATCH($AR153,'Cat Zone by ZIP'!$B$6:$B$856,0)),IFERROR(INDEX('Cat Zone by ZIP'!$C$860:$C$910,MATCH($K153,'Cat Zone by ZIP'!$B$860:$B$910,0)),"NOT FOUND"))))</f>
        <v/>
      </c>
      <c r="AT153" s="99" t="str">
        <f>IF($A153="","",IF($AP153&lt;&gt;"","Override",IF(ISNUMBER(MATCH($AR153,'Cat Zone by ZIP'!$B$6:$B$856,0)),"ZIP-3","State default")))</f>
        <v/>
      </c>
      <c r="AU153" s="100" t="str">
        <f>IF($A153="","",IFERROR(INDEX('Natural Catastrophe'!$D$6:$D$17,MATCH($AS153,'Natural Catastrophe'!$B$6:$B$17,0)),"?"))</f>
        <v/>
      </c>
      <c r="AV153" s="100" t="str">
        <f>IF($A153="","",IFERROR(INDEX('Natural Catastrophe'!$C$21:$C$26,MATCH($AA153,'Natural Catastrophe'!$B$21:$B$26,0)),"?"))</f>
        <v/>
      </c>
      <c r="AW153" s="99" t="str">
        <f>IF($A153="","",IFERROR(INDEX('Base Rates'!$C$4:$I$4,MATCH(MAX($J153,'Technical Premium'!$C$18),'Base Rates'!$C$3:$I$3,1)),"?"))</f>
        <v/>
      </c>
      <c r="AX153" s="101" t="str">
        <f>IF($A153="","",IFERROR(INDEX('Base Rates'!$C$5:$I$16,MATCH($I153,'Base Rates'!$B$5:$B$16,0),MATCH(MAX($J153,'Technical Premium'!$C$18),'Base Rates'!$C$3:$I$3,1)),"?"))</f>
        <v/>
      </c>
      <c r="AY153" s="102" t="str">
        <f t="shared" si="27"/>
        <v/>
      </c>
      <c r="AZ153" s="99" t="str">
        <f>IF($A153="","",IFERROR(INDEX('Make Factors'!$G$5:$G$69,MATCH($F153,'Make Factors'!$B$5:$B$69,0)),"?"))</f>
        <v/>
      </c>
      <c r="BA153" s="99" t="str">
        <f>IF($A153="","",IFERROR(INDEX('Driver Factors'!$C$6:$C$15,MATCH($R153,'Driver Factors'!$B$6:$B$15,0)),"?"))</f>
        <v/>
      </c>
      <c r="BB153" s="99" t="str">
        <f>IF($A153="","",IFERROR(INDEX('Driver Factors'!$C$19:$C$24,MATCH($S153,'Driver Factors'!$B$19:$B$24,0)),"?"))</f>
        <v/>
      </c>
      <c r="BC153" s="99" t="str">
        <f>IF($A153="","",IFERROR(INDEX('Driver Factors'!$C$28:$C$36,MATCH($T153,'Driver Factors'!$B$28:$B$36,0)),"?"))</f>
        <v/>
      </c>
      <c r="BD153" s="99" t="str">
        <f>IF($A153="","",IFERROR(INDEX('Claims History'!$C$6:$C$15,MATCH($U153,'Claims History'!$B$6:$B$15,0)),"?"))</f>
        <v/>
      </c>
      <c r="BE153" s="99" t="str">
        <f>IF($A153="","",IFERROR(INDEX('Territory Factors'!$E$6:$E$56,MATCH($K153,'Territory Factors'!$B$6:$B$56,0)),"?"))</f>
        <v/>
      </c>
      <c r="BF153" s="99" t="str">
        <f>IF($A153="","",IFERROR(INDEX('City Accident Ratings'!$G$6:$G$54,MATCH($Z153,'City Accident Ratings'!$B$6:$B$54,0)),"?"))</f>
        <v/>
      </c>
      <c r="BG153" s="99" t="str">
        <f>IF($A153="","",IFERROR(INDEX('Usage and Coverage'!$D$6:$D$20,MATCH($N153,'Usage and Coverage'!$C$6:$C$20,0)),"?"))</f>
        <v/>
      </c>
      <c r="BH153" s="99" t="str">
        <f>IF($A153="","",IFERROR(INDEX('Usage and Coverage'!$C$24:$C$30,MATCH($O153,'Usage and Coverage'!$B$24:$B$30,0)),"?"))</f>
        <v/>
      </c>
      <c r="BI153" s="99" t="str">
        <f>IF($A153="","",IFERROR(INDEX('Usage and Coverage'!$C$34:$C$40,MATCH($P153,'Usage and Coverage'!$B$34:$B$40,0)),"?"))</f>
        <v/>
      </c>
      <c r="BJ153" s="99" t="str">
        <f>IF($A153="","",IFERROR(INDEX('Usage and Coverage'!$C$44:$C$49,MATCH($Q153,'Usage and Coverage'!$B$44:$B$49,0)),"?"))</f>
        <v/>
      </c>
      <c r="BK153" s="99" t="str">
        <f>IF($A153="","",IFERROR(INDEX(Deductibles!$C$6:$I$15,MATCH($W153,Deductibles!$B$6:$B$15,0),MATCH(MAX($J153,'Technical Premium'!$C$18),'Base Rates'!$C$3:$I$3,1)),"?"))</f>
        <v/>
      </c>
      <c r="BL153" s="99" t="str">
        <f>IF($A153="","",IFERROR(INDEX('Usage and Coverage'!$C$63:$C$66,MATCH($X153,'Usage and Coverage'!$B$63:$B$66,0)),"?"))</f>
        <v/>
      </c>
      <c r="BM153" s="99" t="str">
        <f>IF($A153="","",IFERROR(INDEX('Usage and Coverage'!$C$70:$C$75,MATCH($V153,'Usage and Coverage'!$B$70:$B$75,0)),"?"))</f>
        <v/>
      </c>
      <c r="BN153" s="99" t="str">
        <f>IF($A153="","",IF($AB153="",1,IFERROR(INDEX(Deductibles!$C$48:$C$51,MATCH($AB153,Deductibles!$B$48:$B$51,0)),"?")))</f>
        <v/>
      </c>
      <c r="BO153" s="99" t="str">
        <f>IF($A153="","",IF($AC153="",1,IFERROR(INDEX(Deductibles!$C$55:$C$57,MATCH($AC153,Deductibles!$B$55:$B$57,0)),"?")))</f>
        <v/>
      </c>
      <c r="BP153" s="99" t="str">
        <f>IF($A153="","",IF($AD153="",1,IFERROR(INDEX(Deductibles!$C$61:$C$63,MATCH($AD153,Deductibles!$B$61:$B$63,0)),"?")))</f>
        <v/>
      </c>
      <c r="BQ153" s="99" t="str">
        <f>IF($A153="","",IF($AE153="",1,IFERROR(INDEX(Deductibles!$C$67:$C$69,MATCH($AE153,Deductibles!$B$67:$B$69,0)),"?")))</f>
        <v/>
      </c>
      <c r="BR153" s="99" t="str">
        <f>IF($A153="","",IF($AF153="",1,IFERROR(INDEX(Deductibles!$C$73:$C$74,MATCH($AF153,Deductibles!$B$73:$B$74,0)),"?")))</f>
        <v/>
      </c>
      <c r="BS153" s="99" t="str">
        <f>IF($A153="","",IF($AG153="",1,IFERROR(INDEX('Sublimits and Parts'!$C$49:$C$52,MATCH($AG153,'Sublimits and Parts'!$B$49:$B$52,0)),"?")))</f>
        <v/>
      </c>
      <c r="BT153" s="99" t="str">
        <f>IF($A153="","",IF($AH153="",1,IFERROR(INDEX('Sublimits and Parts'!$C$56:$C$60,MATCH($AH153,'Sublimits and Parts'!$B$56:$B$60,0)),"?")))</f>
        <v/>
      </c>
      <c r="BU153" s="99" t="str">
        <f>IF($A153="","",IF($AI153="",1,IFERROR(INDEX('Sublimits and Parts'!$C$64:$C$67,MATCH($AI153,'Sublimits and Parts'!$B$64:$B$67,0)),"?")))</f>
        <v/>
      </c>
      <c r="BV153" s="99" t="str">
        <f>IF($A153="","",IF($AJ153="",1,IFERROR(INDEX('Sublimits and Parts'!$C$71:$C$74,MATCH($AJ153,'Sublimits and Parts'!$B$71:$B$74,0)),"?")))</f>
        <v/>
      </c>
      <c r="BW153" s="99" t="str">
        <f>IF($A153="","",IF($AK153="",1,IFERROR(INDEX('Sublimits and Parts'!$C$78:$C$80,MATCH($AK153,'Sublimits and Parts'!$B$78:$B$80,0)),"?")))</f>
        <v/>
      </c>
      <c r="BX153" s="99" t="str">
        <f>IF($A153="","",IF($AL153="",1,IFERROR(INDEX('Sublimits and Parts'!$C$84:$C$87,MATCH($AL153,'Sublimits and Parts'!$B$84:$B$87,0)),"?")))</f>
        <v/>
      </c>
      <c r="BY153" s="99" t="str">
        <f>IF($A153="","",IF($AM153="",1,IFERROR(INDEX('Sublimits and Parts'!$C$91:$C$94,MATCH($AM153,'Sublimits and Parts'!$B$91:$B$94,0)),"?")))</f>
        <v/>
      </c>
      <c r="BZ153" s="99" t="str">
        <f>IF($A153="","",IF($AN153="",1,IFERROR(INDEX('Sublimits and Parts'!$C$98:$C$101,MATCH($AN153,'Sublimits and Parts'!$B$98:$B$101,0)),"?")))</f>
        <v/>
      </c>
      <c r="CA153" s="99" t="str">
        <f>IF($A153="","",IF($AO153="",1,IFERROR(INDEX('Sublimits and Parts'!$C$105:$C$109,MATCH($AO153,'Sublimits and Parts'!$B$105:$B$109,0)),"?")))</f>
        <v/>
      </c>
      <c r="CB153" s="100" t="str">
        <f t="shared" si="28"/>
        <v/>
      </c>
      <c r="CC153" s="100" t="str">
        <f t="shared" si="29"/>
        <v/>
      </c>
      <c r="CD153" s="103" t="str">
        <f>IF($A153="","",IF(OR($CB153="?",$CC153="?"),"?",MIN($CB153*$CC153,'Technical Premium'!$C$17)))</f>
        <v/>
      </c>
      <c r="CE153" s="102" t="str">
        <f t="shared" si="30"/>
        <v/>
      </c>
      <c r="CF153" s="102" t="str">
        <f>IF($A153="","",IFERROR(INDEX('Territory Factors'!$F$6:$F$56,MATCH($K153,'Territory Factors'!$B$6:$B$56,0)),"?"))</f>
        <v/>
      </c>
      <c r="CG153" s="100" t="str">
        <f>IF($A153="","",IFERROR(INDEX('Usage and Coverage'!$C$79:$C$84,MATCH($Y153,'Usage and Coverage'!$B$79:$B$84,0)),"?"))</f>
        <v/>
      </c>
      <c r="CH153" s="102" t="str">
        <f>IFERROR(IF(ISNUMBER($CD153),$CF153*$CG153*MIN($BG153*$BA153*$BC153*$BD153*$BH153*$BF153,'Technical Premium'!$C$17),""),"")</f>
        <v/>
      </c>
      <c r="CI153" s="102" t="str">
        <f t="shared" si="31"/>
        <v/>
      </c>
      <c r="CJ153" s="102" t="str">
        <f>IFERROR($CI153*(1+'Technical Premium'!$C$5)*(1+'Technical Premium'!$C$6),"")</f>
        <v/>
      </c>
      <c r="CK153" s="102" t="str">
        <f>IFERROR($CE153*INDEX('Territory Factors'!$G$6:$G$56,MATCH($K153,'Territory Factors'!$B$6:$B$56,0))*$AU153*$AV153,"")</f>
        <v/>
      </c>
      <c r="CL153" s="102" t="str">
        <f>IFERROR(($CJ153+$CK153)*(1+'Technical Premium'!$C$7),"")</f>
        <v/>
      </c>
      <c r="CM153" s="104" t="str">
        <f>IFERROR($CL153/'Technical Premium'!$C$13,"")</f>
        <v/>
      </c>
      <c r="CN153" s="105" t="str">
        <f t="shared" si="32"/>
        <v/>
      </c>
      <c r="CO153" s="104" t="str">
        <f t="shared" si="33"/>
        <v/>
      </c>
      <c r="CP153" s="105" t="str">
        <f t="shared" si="34"/>
        <v/>
      </c>
      <c r="CQ153" s="106" t="str">
        <f t="shared" si="35"/>
        <v/>
      </c>
      <c r="CR153" s="102" t="str">
        <f>IF(ISNUMBER($CM153),'Technical Premium'!$C$14+IF($J153&gt;=1000000,'Technical Premium'!$C$15,0),"")</f>
        <v/>
      </c>
      <c r="CS153" s="102" t="str">
        <f>IFERROR(($CO153+$CR153)*(INDEX('Territory Factors'!$K$6:$K$56,MATCH($K153,'Territory Factors'!$B$6:$B$56,0))+'Commission Structure'!$C$21),"")</f>
        <v/>
      </c>
      <c r="CT153" s="104" t="str">
        <f t="shared" si="36"/>
        <v/>
      </c>
      <c r="CU153" s="102" t="str">
        <f>IFERROR($CO153*('Commission Structure'!$C$6+'Commission Structure'!$C$7),"")</f>
        <v/>
      </c>
      <c r="CV153" s="102" t="str">
        <f>IFERROR($CO153*'Commission Structure'!$C$5-$CU153,"")</f>
        <v/>
      </c>
      <c r="CW153" s="102" t="str">
        <f>IFERROR($CO153*(1-'Commission Structure'!$C$5),"")</f>
        <v/>
      </c>
      <c r="CX153" s="107"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8" t="str">
        <f t="shared" si="37"/>
        <v/>
      </c>
      <c r="CZ153" s="99" t="str">
        <f>IF($CY153="","",IF($CY153&lt;'Technical Premium'!$C$19,"BEYOND AUTHORITY",IF($CY153&gt;0.005,"Above technical",IF($CY153&lt;-0.005,"BELOW technical","At technical"))))</f>
        <v/>
      </c>
      <c r="DA153" s="99"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4"/>
      <c r="DC153" s="94"/>
      <c r="DD153" s="95"/>
      <c r="DE153" s="94"/>
      <c r="DF153" s="94"/>
      <c r="DG153" s="99" t="str">
        <f t="shared" si="38"/>
        <v/>
      </c>
      <c r="DH153" s="99" t="str">
        <f>IF($A153="","",IF(OR($CX153="REFER",$CX153="DECLINE"),COUNTIF($CX$5:$CX153,"REFER")+COUNTIF($CX$5:$CX153,"DECLINE"),""))</f>
        <v/>
      </c>
      <c r="DI153" s="94"/>
    </row>
    <row r="154" spans="1:113" x14ac:dyDescent="0.35">
      <c r="A154" s="94"/>
      <c r="B154" s="94"/>
      <c r="C154" s="95"/>
      <c r="D154" s="95"/>
      <c r="E154" s="96"/>
      <c r="F154" s="94"/>
      <c r="G154" s="94"/>
      <c r="H154" s="94"/>
      <c r="I154" s="94"/>
      <c r="J154" s="97"/>
      <c r="K154" s="94"/>
      <c r="L154" s="94"/>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8"/>
      <c r="AR154" s="99" t="str">
        <f t="shared" si="26"/>
        <v/>
      </c>
      <c r="AS154" s="99" t="str">
        <f>IF($A154="","",IF($AP154&lt;&gt;"",$AP154,IFERROR(INDEX('Cat Zone by ZIP'!$D$6:$D$856,MATCH($AR154,'Cat Zone by ZIP'!$B$6:$B$856,0)),IFERROR(INDEX('Cat Zone by ZIP'!$C$860:$C$910,MATCH($K154,'Cat Zone by ZIP'!$B$860:$B$910,0)),"NOT FOUND"))))</f>
        <v/>
      </c>
      <c r="AT154" s="99" t="str">
        <f>IF($A154="","",IF($AP154&lt;&gt;"","Override",IF(ISNUMBER(MATCH($AR154,'Cat Zone by ZIP'!$B$6:$B$856,0)),"ZIP-3","State default")))</f>
        <v/>
      </c>
      <c r="AU154" s="100" t="str">
        <f>IF($A154="","",IFERROR(INDEX('Natural Catastrophe'!$D$6:$D$17,MATCH($AS154,'Natural Catastrophe'!$B$6:$B$17,0)),"?"))</f>
        <v/>
      </c>
      <c r="AV154" s="100" t="str">
        <f>IF($A154="","",IFERROR(INDEX('Natural Catastrophe'!$C$21:$C$26,MATCH($AA154,'Natural Catastrophe'!$B$21:$B$26,0)),"?"))</f>
        <v/>
      </c>
      <c r="AW154" s="99" t="str">
        <f>IF($A154="","",IFERROR(INDEX('Base Rates'!$C$4:$I$4,MATCH(MAX($J154,'Technical Premium'!$C$18),'Base Rates'!$C$3:$I$3,1)),"?"))</f>
        <v/>
      </c>
      <c r="AX154" s="101" t="str">
        <f>IF($A154="","",IFERROR(INDEX('Base Rates'!$C$5:$I$16,MATCH($I154,'Base Rates'!$B$5:$B$16,0),MATCH(MAX($J154,'Technical Premium'!$C$18),'Base Rates'!$C$3:$I$3,1)),"?"))</f>
        <v/>
      </c>
      <c r="AY154" s="102" t="str">
        <f t="shared" si="27"/>
        <v/>
      </c>
      <c r="AZ154" s="99" t="str">
        <f>IF($A154="","",IFERROR(INDEX('Make Factors'!$G$5:$G$69,MATCH($F154,'Make Factors'!$B$5:$B$69,0)),"?"))</f>
        <v/>
      </c>
      <c r="BA154" s="99" t="str">
        <f>IF($A154="","",IFERROR(INDEX('Driver Factors'!$C$6:$C$15,MATCH($R154,'Driver Factors'!$B$6:$B$15,0)),"?"))</f>
        <v/>
      </c>
      <c r="BB154" s="99" t="str">
        <f>IF($A154="","",IFERROR(INDEX('Driver Factors'!$C$19:$C$24,MATCH($S154,'Driver Factors'!$B$19:$B$24,0)),"?"))</f>
        <v/>
      </c>
      <c r="BC154" s="99" t="str">
        <f>IF($A154="","",IFERROR(INDEX('Driver Factors'!$C$28:$C$36,MATCH($T154,'Driver Factors'!$B$28:$B$36,0)),"?"))</f>
        <v/>
      </c>
      <c r="BD154" s="99" t="str">
        <f>IF($A154="","",IFERROR(INDEX('Claims History'!$C$6:$C$15,MATCH($U154,'Claims History'!$B$6:$B$15,0)),"?"))</f>
        <v/>
      </c>
      <c r="BE154" s="99" t="str">
        <f>IF($A154="","",IFERROR(INDEX('Territory Factors'!$E$6:$E$56,MATCH($K154,'Territory Factors'!$B$6:$B$56,0)),"?"))</f>
        <v/>
      </c>
      <c r="BF154" s="99" t="str">
        <f>IF($A154="","",IFERROR(INDEX('City Accident Ratings'!$G$6:$G$54,MATCH($Z154,'City Accident Ratings'!$B$6:$B$54,0)),"?"))</f>
        <v/>
      </c>
      <c r="BG154" s="99" t="str">
        <f>IF($A154="","",IFERROR(INDEX('Usage and Coverage'!$D$6:$D$20,MATCH($N154,'Usage and Coverage'!$C$6:$C$20,0)),"?"))</f>
        <v/>
      </c>
      <c r="BH154" s="99" t="str">
        <f>IF($A154="","",IFERROR(INDEX('Usage and Coverage'!$C$24:$C$30,MATCH($O154,'Usage and Coverage'!$B$24:$B$30,0)),"?"))</f>
        <v/>
      </c>
      <c r="BI154" s="99" t="str">
        <f>IF($A154="","",IFERROR(INDEX('Usage and Coverage'!$C$34:$C$40,MATCH($P154,'Usage and Coverage'!$B$34:$B$40,0)),"?"))</f>
        <v/>
      </c>
      <c r="BJ154" s="99" t="str">
        <f>IF($A154="","",IFERROR(INDEX('Usage and Coverage'!$C$44:$C$49,MATCH($Q154,'Usage and Coverage'!$B$44:$B$49,0)),"?"))</f>
        <v/>
      </c>
      <c r="BK154" s="99" t="str">
        <f>IF($A154="","",IFERROR(INDEX(Deductibles!$C$6:$I$15,MATCH($W154,Deductibles!$B$6:$B$15,0),MATCH(MAX($J154,'Technical Premium'!$C$18),'Base Rates'!$C$3:$I$3,1)),"?"))</f>
        <v/>
      </c>
      <c r="BL154" s="99" t="str">
        <f>IF($A154="","",IFERROR(INDEX('Usage and Coverage'!$C$63:$C$66,MATCH($X154,'Usage and Coverage'!$B$63:$B$66,0)),"?"))</f>
        <v/>
      </c>
      <c r="BM154" s="99" t="str">
        <f>IF($A154="","",IFERROR(INDEX('Usage and Coverage'!$C$70:$C$75,MATCH($V154,'Usage and Coverage'!$B$70:$B$75,0)),"?"))</f>
        <v/>
      </c>
      <c r="BN154" s="99" t="str">
        <f>IF($A154="","",IF($AB154="",1,IFERROR(INDEX(Deductibles!$C$48:$C$51,MATCH($AB154,Deductibles!$B$48:$B$51,0)),"?")))</f>
        <v/>
      </c>
      <c r="BO154" s="99" t="str">
        <f>IF($A154="","",IF($AC154="",1,IFERROR(INDEX(Deductibles!$C$55:$C$57,MATCH($AC154,Deductibles!$B$55:$B$57,0)),"?")))</f>
        <v/>
      </c>
      <c r="BP154" s="99" t="str">
        <f>IF($A154="","",IF($AD154="",1,IFERROR(INDEX(Deductibles!$C$61:$C$63,MATCH($AD154,Deductibles!$B$61:$B$63,0)),"?")))</f>
        <v/>
      </c>
      <c r="BQ154" s="99" t="str">
        <f>IF($A154="","",IF($AE154="",1,IFERROR(INDEX(Deductibles!$C$67:$C$69,MATCH($AE154,Deductibles!$B$67:$B$69,0)),"?")))</f>
        <v/>
      </c>
      <c r="BR154" s="99" t="str">
        <f>IF($A154="","",IF($AF154="",1,IFERROR(INDEX(Deductibles!$C$73:$C$74,MATCH($AF154,Deductibles!$B$73:$B$74,0)),"?")))</f>
        <v/>
      </c>
      <c r="BS154" s="99" t="str">
        <f>IF($A154="","",IF($AG154="",1,IFERROR(INDEX('Sublimits and Parts'!$C$49:$C$52,MATCH($AG154,'Sublimits and Parts'!$B$49:$B$52,0)),"?")))</f>
        <v/>
      </c>
      <c r="BT154" s="99" t="str">
        <f>IF($A154="","",IF($AH154="",1,IFERROR(INDEX('Sublimits and Parts'!$C$56:$C$60,MATCH($AH154,'Sublimits and Parts'!$B$56:$B$60,0)),"?")))</f>
        <v/>
      </c>
      <c r="BU154" s="99" t="str">
        <f>IF($A154="","",IF($AI154="",1,IFERROR(INDEX('Sublimits and Parts'!$C$64:$C$67,MATCH($AI154,'Sublimits and Parts'!$B$64:$B$67,0)),"?")))</f>
        <v/>
      </c>
      <c r="BV154" s="99" t="str">
        <f>IF($A154="","",IF($AJ154="",1,IFERROR(INDEX('Sublimits and Parts'!$C$71:$C$74,MATCH($AJ154,'Sublimits and Parts'!$B$71:$B$74,0)),"?")))</f>
        <v/>
      </c>
      <c r="BW154" s="99" t="str">
        <f>IF($A154="","",IF($AK154="",1,IFERROR(INDEX('Sublimits and Parts'!$C$78:$C$80,MATCH($AK154,'Sublimits and Parts'!$B$78:$B$80,0)),"?")))</f>
        <v/>
      </c>
      <c r="BX154" s="99" t="str">
        <f>IF($A154="","",IF($AL154="",1,IFERROR(INDEX('Sublimits and Parts'!$C$84:$C$87,MATCH($AL154,'Sublimits and Parts'!$B$84:$B$87,0)),"?")))</f>
        <v/>
      </c>
      <c r="BY154" s="99" t="str">
        <f>IF($A154="","",IF($AM154="",1,IFERROR(INDEX('Sublimits and Parts'!$C$91:$C$94,MATCH($AM154,'Sublimits and Parts'!$B$91:$B$94,0)),"?")))</f>
        <v/>
      </c>
      <c r="BZ154" s="99" t="str">
        <f>IF($A154="","",IF($AN154="",1,IFERROR(INDEX('Sublimits and Parts'!$C$98:$C$101,MATCH($AN154,'Sublimits and Parts'!$B$98:$B$101,0)),"?")))</f>
        <v/>
      </c>
      <c r="CA154" s="99" t="str">
        <f>IF($A154="","",IF($AO154="",1,IFERROR(INDEX('Sublimits and Parts'!$C$105:$C$109,MATCH($AO154,'Sublimits and Parts'!$B$105:$B$109,0)),"?")))</f>
        <v/>
      </c>
      <c r="CB154" s="100" t="str">
        <f t="shared" si="28"/>
        <v/>
      </c>
      <c r="CC154" s="100" t="str">
        <f t="shared" si="29"/>
        <v/>
      </c>
      <c r="CD154" s="103" t="str">
        <f>IF($A154="","",IF(OR($CB154="?",$CC154="?"),"?",MIN($CB154*$CC154,'Technical Premium'!$C$17)))</f>
        <v/>
      </c>
      <c r="CE154" s="102" t="str">
        <f t="shared" si="30"/>
        <v/>
      </c>
      <c r="CF154" s="102" t="str">
        <f>IF($A154="","",IFERROR(INDEX('Territory Factors'!$F$6:$F$56,MATCH($K154,'Territory Factors'!$B$6:$B$56,0)),"?"))</f>
        <v/>
      </c>
      <c r="CG154" s="100" t="str">
        <f>IF($A154="","",IFERROR(INDEX('Usage and Coverage'!$C$79:$C$84,MATCH($Y154,'Usage and Coverage'!$B$79:$B$84,0)),"?"))</f>
        <v/>
      </c>
      <c r="CH154" s="102" t="str">
        <f>IFERROR(IF(ISNUMBER($CD154),$CF154*$CG154*MIN($BG154*$BA154*$BC154*$BD154*$BH154*$BF154,'Technical Premium'!$C$17),""),"")</f>
        <v/>
      </c>
      <c r="CI154" s="102" t="str">
        <f t="shared" si="31"/>
        <v/>
      </c>
      <c r="CJ154" s="102" t="str">
        <f>IFERROR($CI154*(1+'Technical Premium'!$C$5)*(1+'Technical Premium'!$C$6),"")</f>
        <v/>
      </c>
      <c r="CK154" s="102" t="str">
        <f>IFERROR($CE154*INDEX('Territory Factors'!$G$6:$G$56,MATCH($K154,'Territory Factors'!$B$6:$B$56,0))*$AU154*$AV154,"")</f>
        <v/>
      </c>
      <c r="CL154" s="102" t="str">
        <f>IFERROR(($CJ154+$CK154)*(1+'Technical Premium'!$C$7),"")</f>
        <v/>
      </c>
      <c r="CM154" s="104" t="str">
        <f>IFERROR($CL154/'Technical Premium'!$C$13,"")</f>
        <v/>
      </c>
      <c r="CN154" s="105" t="str">
        <f t="shared" si="32"/>
        <v/>
      </c>
      <c r="CO154" s="104" t="str">
        <f t="shared" si="33"/>
        <v/>
      </c>
      <c r="CP154" s="105" t="str">
        <f t="shared" si="34"/>
        <v/>
      </c>
      <c r="CQ154" s="106" t="str">
        <f t="shared" si="35"/>
        <v/>
      </c>
      <c r="CR154" s="102" t="str">
        <f>IF(ISNUMBER($CM154),'Technical Premium'!$C$14+IF($J154&gt;=1000000,'Technical Premium'!$C$15,0),"")</f>
        <v/>
      </c>
      <c r="CS154" s="102" t="str">
        <f>IFERROR(($CO154+$CR154)*(INDEX('Territory Factors'!$K$6:$K$56,MATCH($K154,'Territory Factors'!$B$6:$B$56,0))+'Commission Structure'!$C$21),"")</f>
        <v/>
      </c>
      <c r="CT154" s="104" t="str">
        <f t="shared" si="36"/>
        <v/>
      </c>
      <c r="CU154" s="102" t="str">
        <f>IFERROR($CO154*('Commission Structure'!$C$6+'Commission Structure'!$C$7),"")</f>
        <v/>
      </c>
      <c r="CV154" s="102" t="str">
        <f>IFERROR($CO154*'Commission Structure'!$C$5-$CU154,"")</f>
        <v/>
      </c>
      <c r="CW154" s="102" t="str">
        <f>IFERROR($CO154*(1-'Commission Structure'!$C$5),"")</f>
        <v/>
      </c>
      <c r="CX154" s="107"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8" t="str">
        <f t="shared" si="37"/>
        <v/>
      </c>
      <c r="CZ154" s="99" t="str">
        <f>IF($CY154="","",IF($CY154&lt;'Technical Premium'!$C$19,"BEYOND AUTHORITY",IF($CY154&gt;0.005,"Above technical",IF($CY154&lt;-0.005,"BELOW technical","At technical"))))</f>
        <v/>
      </c>
      <c r="DA154" s="99"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4"/>
      <c r="DC154" s="94"/>
      <c r="DD154" s="95"/>
      <c r="DE154" s="94"/>
      <c r="DF154" s="94"/>
      <c r="DG154" s="99" t="str">
        <f t="shared" si="38"/>
        <v/>
      </c>
      <c r="DH154" s="99" t="str">
        <f>IF($A154="","",IF(OR($CX154="REFER",$CX154="DECLINE"),COUNTIF($CX$5:$CX154,"REFER")+COUNTIF($CX$5:$CX154,"DECLINE"),""))</f>
        <v/>
      </c>
      <c r="DI154" s="94"/>
    </row>
    <row r="155" spans="1:113" x14ac:dyDescent="0.35">
      <c r="A155" s="94"/>
      <c r="B155" s="94"/>
      <c r="C155" s="95"/>
      <c r="D155" s="95"/>
      <c r="E155" s="96"/>
      <c r="F155" s="94"/>
      <c r="G155" s="94"/>
      <c r="H155" s="94"/>
      <c r="I155" s="94"/>
      <c r="J155" s="97"/>
      <c r="K155" s="94"/>
      <c r="L155" s="94"/>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8"/>
      <c r="AR155" s="99" t="str">
        <f t="shared" si="26"/>
        <v/>
      </c>
      <c r="AS155" s="99" t="str">
        <f>IF($A155="","",IF($AP155&lt;&gt;"",$AP155,IFERROR(INDEX('Cat Zone by ZIP'!$D$6:$D$856,MATCH($AR155,'Cat Zone by ZIP'!$B$6:$B$856,0)),IFERROR(INDEX('Cat Zone by ZIP'!$C$860:$C$910,MATCH($K155,'Cat Zone by ZIP'!$B$860:$B$910,0)),"NOT FOUND"))))</f>
        <v/>
      </c>
      <c r="AT155" s="99" t="str">
        <f>IF($A155="","",IF($AP155&lt;&gt;"","Override",IF(ISNUMBER(MATCH($AR155,'Cat Zone by ZIP'!$B$6:$B$856,0)),"ZIP-3","State default")))</f>
        <v/>
      </c>
      <c r="AU155" s="100" t="str">
        <f>IF($A155="","",IFERROR(INDEX('Natural Catastrophe'!$D$6:$D$17,MATCH($AS155,'Natural Catastrophe'!$B$6:$B$17,0)),"?"))</f>
        <v/>
      </c>
      <c r="AV155" s="100" t="str">
        <f>IF($A155="","",IFERROR(INDEX('Natural Catastrophe'!$C$21:$C$26,MATCH($AA155,'Natural Catastrophe'!$B$21:$B$26,0)),"?"))</f>
        <v/>
      </c>
      <c r="AW155" s="99" t="str">
        <f>IF($A155="","",IFERROR(INDEX('Base Rates'!$C$4:$I$4,MATCH(MAX($J155,'Technical Premium'!$C$18),'Base Rates'!$C$3:$I$3,1)),"?"))</f>
        <v/>
      </c>
      <c r="AX155" s="101" t="str">
        <f>IF($A155="","",IFERROR(INDEX('Base Rates'!$C$5:$I$16,MATCH($I155,'Base Rates'!$B$5:$B$16,0),MATCH(MAX($J155,'Technical Premium'!$C$18),'Base Rates'!$C$3:$I$3,1)),"?"))</f>
        <v/>
      </c>
      <c r="AY155" s="102" t="str">
        <f t="shared" si="27"/>
        <v/>
      </c>
      <c r="AZ155" s="99" t="str">
        <f>IF($A155="","",IFERROR(INDEX('Make Factors'!$G$5:$G$69,MATCH($F155,'Make Factors'!$B$5:$B$69,0)),"?"))</f>
        <v/>
      </c>
      <c r="BA155" s="99" t="str">
        <f>IF($A155="","",IFERROR(INDEX('Driver Factors'!$C$6:$C$15,MATCH($R155,'Driver Factors'!$B$6:$B$15,0)),"?"))</f>
        <v/>
      </c>
      <c r="BB155" s="99" t="str">
        <f>IF($A155="","",IFERROR(INDEX('Driver Factors'!$C$19:$C$24,MATCH($S155,'Driver Factors'!$B$19:$B$24,0)),"?"))</f>
        <v/>
      </c>
      <c r="BC155" s="99" t="str">
        <f>IF($A155="","",IFERROR(INDEX('Driver Factors'!$C$28:$C$36,MATCH($T155,'Driver Factors'!$B$28:$B$36,0)),"?"))</f>
        <v/>
      </c>
      <c r="BD155" s="99" t="str">
        <f>IF($A155="","",IFERROR(INDEX('Claims History'!$C$6:$C$15,MATCH($U155,'Claims History'!$B$6:$B$15,0)),"?"))</f>
        <v/>
      </c>
      <c r="BE155" s="99" t="str">
        <f>IF($A155="","",IFERROR(INDEX('Territory Factors'!$E$6:$E$56,MATCH($K155,'Territory Factors'!$B$6:$B$56,0)),"?"))</f>
        <v/>
      </c>
      <c r="BF155" s="99" t="str">
        <f>IF($A155="","",IFERROR(INDEX('City Accident Ratings'!$G$6:$G$54,MATCH($Z155,'City Accident Ratings'!$B$6:$B$54,0)),"?"))</f>
        <v/>
      </c>
      <c r="BG155" s="99" t="str">
        <f>IF($A155="","",IFERROR(INDEX('Usage and Coverage'!$D$6:$D$20,MATCH($N155,'Usage and Coverage'!$C$6:$C$20,0)),"?"))</f>
        <v/>
      </c>
      <c r="BH155" s="99" t="str">
        <f>IF($A155="","",IFERROR(INDEX('Usage and Coverage'!$C$24:$C$30,MATCH($O155,'Usage and Coverage'!$B$24:$B$30,0)),"?"))</f>
        <v/>
      </c>
      <c r="BI155" s="99" t="str">
        <f>IF($A155="","",IFERROR(INDEX('Usage and Coverage'!$C$34:$C$40,MATCH($P155,'Usage and Coverage'!$B$34:$B$40,0)),"?"))</f>
        <v/>
      </c>
      <c r="BJ155" s="99" t="str">
        <f>IF($A155="","",IFERROR(INDEX('Usage and Coverage'!$C$44:$C$49,MATCH($Q155,'Usage and Coverage'!$B$44:$B$49,0)),"?"))</f>
        <v/>
      </c>
      <c r="BK155" s="99" t="str">
        <f>IF($A155="","",IFERROR(INDEX(Deductibles!$C$6:$I$15,MATCH($W155,Deductibles!$B$6:$B$15,0),MATCH(MAX($J155,'Technical Premium'!$C$18),'Base Rates'!$C$3:$I$3,1)),"?"))</f>
        <v/>
      </c>
      <c r="BL155" s="99" t="str">
        <f>IF($A155="","",IFERROR(INDEX('Usage and Coverage'!$C$63:$C$66,MATCH($X155,'Usage and Coverage'!$B$63:$B$66,0)),"?"))</f>
        <v/>
      </c>
      <c r="BM155" s="99" t="str">
        <f>IF($A155="","",IFERROR(INDEX('Usage and Coverage'!$C$70:$C$75,MATCH($V155,'Usage and Coverage'!$B$70:$B$75,0)),"?"))</f>
        <v/>
      </c>
      <c r="BN155" s="99" t="str">
        <f>IF($A155="","",IF($AB155="",1,IFERROR(INDEX(Deductibles!$C$48:$C$51,MATCH($AB155,Deductibles!$B$48:$B$51,0)),"?")))</f>
        <v/>
      </c>
      <c r="BO155" s="99" t="str">
        <f>IF($A155="","",IF($AC155="",1,IFERROR(INDEX(Deductibles!$C$55:$C$57,MATCH($AC155,Deductibles!$B$55:$B$57,0)),"?")))</f>
        <v/>
      </c>
      <c r="BP155" s="99" t="str">
        <f>IF($A155="","",IF($AD155="",1,IFERROR(INDEX(Deductibles!$C$61:$C$63,MATCH($AD155,Deductibles!$B$61:$B$63,0)),"?")))</f>
        <v/>
      </c>
      <c r="BQ155" s="99" t="str">
        <f>IF($A155="","",IF($AE155="",1,IFERROR(INDEX(Deductibles!$C$67:$C$69,MATCH($AE155,Deductibles!$B$67:$B$69,0)),"?")))</f>
        <v/>
      </c>
      <c r="BR155" s="99" t="str">
        <f>IF($A155="","",IF($AF155="",1,IFERROR(INDEX(Deductibles!$C$73:$C$74,MATCH($AF155,Deductibles!$B$73:$B$74,0)),"?")))</f>
        <v/>
      </c>
      <c r="BS155" s="99" t="str">
        <f>IF($A155="","",IF($AG155="",1,IFERROR(INDEX('Sublimits and Parts'!$C$49:$C$52,MATCH($AG155,'Sublimits and Parts'!$B$49:$B$52,0)),"?")))</f>
        <v/>
      </c>
      <c r="BT155" s="99" t="str">
        <f>IF($A155="","",IF($AH155="",1,IFERROR(INDEX('Sublimits and Parts'!$C$56:$C$60,MATCH($AH155,'Sublimits and Parts'!$B$56:$B$60,0)),"?")))</f>
        <v/>
      </c>
      <c r="BU155" s="99" t="str">
        <f>IF($A155="","",IF($AI155="",1,IFERROR(INDEX('Sublimits and Parts'!$C$64:$C$67,MATCH($AI155,'Sublimits and Parts'!$B$64:$B$67,0)),"?")))</f>
        <v/>
      </c>
      <c r="BV155" s="99" t="str">
        <f>IF($A155="","",IF($AJ155="",1,IFERROR(INDEX('Sublimits and Parts'!$C$71:$C$74,MATCH($AJ155,'Sublimits and Parts'!$B$71:$B$74,0)),"?")))</f>
        <v/>
      </c>
      <c r="BW155" s="99" t="str">
        <f>IF($A155="","",IF($AK155="",1,IFERROR(INDEX('Sublimits and Parts'!$C$78:$C$80,MATCH($AK155,'Sublimits and Parts'!$B$78:$B$80,0)),"?")))</f>
        <v/>
      </c>
      <c r="BX155" s="99" t="str">
        <f>IF($A155="","",IF($AL155="",1,IFERROR(INDEX('Sublimits and Parts'!$C$84:$C$87,MATCH($AL155,'Sublimits and Parts'!$B$84:$B$87,0)),"?")))</f>
        <v/>
      </c>
      <c r="BY155" s="99" t="str">
        <f>IF($A155="","",IF($AM155="",1,IFERROR(INDEX('Sublimits and Parts'!$C$91:$C$94,MATCH($AM155,'Sublimits and Parts'!$B$91:$B$94,0)),"?")))</f>
        <v/>
      </c>
      <c r="BZ155" s="99" t="str">
        <f>IF($A155="","",IF($AN155="",1,IFERROR(INDEX('Sublimits and Parts'!$C$98:$C$101,MATCH($AN155,'Sublimits and Parts'!$B$98:$B$101,0)),"?")))</f>
        <v/>
      </c>
      <c r="CA155" s="99" t="str">
        <f>IF($A155="","",IF($AO155="",1,IFERROR(INDEX('Sublimits and Parts'!$C$105:$C$109,MATCH($AO155,'Sublimits and Parts'!$B$105:$B$109,0)),"?")))</f>
        <v/>
      </c>
      <c r="CB155" s="100" t="str">
        <f t="shared" si="28"/>
        <v/>
      </c>
      <c r="CC155" s="100" t="str">
        <f t="shared" si="29"/>
        <v/>
      </c>
      <c r="CD155" s="103" t="str">
        <f>IF($A155="","",IF(OR($CB155="?",$CC155="?"),"?",MIN($CB155*$CC155,'Technical Premium'!$C$17)))</f>
        <v/>
      </c>
      <c r="CE155" s="102" t="str">
        <f t="shared" si="30"/>
        <v/>
      </c>
      <c r="CF155" s="102" t="str">
        <f>IF($A155="","",IFERROR(INDEX('Territory Factors'!$F$6:$F$56,MATCH($K155,'Territory Factors'!$B$6:$B$56,0)),"?"))</f>
        <v/>
      </c>
      <c r="CG155" s="100" t="str">
        <f>IF($A155="","",IFERROR(INDEX('Usage and Coverage'!$C$79:$C$84,MATCH($Y155,'Usage and Coverage'!$B$79:$B$84,0)),"?"))</f>
        <v/>
      </c>
      <c r="CH155" s="102" t="str">
        <f>IFERROR(IF(ISNUMBER($CD155),$CF155*$CG155*MIN($BG155*$BA155*$BC155*$BD155*$BH155*$BF155,'Technical Premium'!$C$17),""),"")</f>
        <v/>
      </c>
      <c r="CI155" s="102" t="str">
        <f t="shared" si="31"/>
        <v/>
      </c>
      <c r="CJ155" s="102" t="str">
        <f>IFERROR($CI155*(1+'Technical Premium'!$C$5)*(1+'Technical Premium'!$C$6),"")</f>
        <v/>
      </c>
      <c r="CK155" s="102" t="str">
        <f>IFERROR($CE155*INDEX('Territory Factors'!$G$6:$G$56,MATCH($K155,'Territory Factors'!$B$6:$B$56,0))*$AU155*$AV155,"")</f>
        <v/>
      </c>
      <c r="CL155" s="102" t="str">
        <f>IFERROR(($CJ155+$CK155)*(1+'Technical Premium'!$C$7),"")</f>
        <v/>
      </c>
      <c r="CM155" s="104" t="str">
        <f>IFERROR($CL155/'Technical Premium'!$C$13,"")</f>
        <v/>
      </c>
      <c r="CN155" s="105" t="str">
        <f t="shared" si="32"/>
        <v/>
      </c>
      <c r="CO155" s="104" t="str">
        <f t="shared" si="33"/>
        <v/>
      </c>
      <c r="CP155" s="105" t="str">
        <f t="shared" si="34"/>
        <v/>
      </c>
      <c r="CQ155" s="106" t="str">
        <f t="shared" si="35"/>
        <v/>
      </c>
      <c r="CR155" s="102" t="str">
        <f>IF(ISNUMBER($CM155),'Technical Premium'!$C$14+IF($J155&gt;=1000000,'Technical Premium'!$C$15,0),"")</f>
        <v/>
      </c>
      <c r="CS155" s="102" t="str">
        <f>IFERROR(($CO155+$CR155)*(INDEX('Territory Factors'!$K$6:$K$56,MATCH($K155,'Territory Factors'!$B$6:$B$56,0))+'Commission Structure'!$C$21),"")</f>
        <v/>
      </c>
      <c r="CT155" s="104" t="str">
        <f t="shared" si="36"/>
        <v/>
      </c>
      <c r="CU155" s="102" t="str">
        <f>IFERROR($CO155*('Commission Structure'!$C$6+'Commission Structure'!$C$7),"")</f>
        <v/>
      </c>
      <c r="CV155" s="102" t="str">
        <f>IFERROR($CO155*'Commission Structure'!$C$5-$CU155,"")</f>
        <v/>
      </c>
      <c r="CW155" s="102" t="str">
        <f>IFERROR($CO155*(1-'Commission Structure'!$C$5),"")</f>
        <v/>
      </c>
      <c r="CX155" s="107"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8" t="str">
        <f t="shared" si="37"/>
        <v/>
      </c>
      <c r="CZ155" s="99" t="str">
        <f>IF($CY155="","",IF($CY155&lt;'Technical Premium'!$C$19,"BEYOND AUTHORITY",IF($CY155&gt;0.005,"Above technical",IF($CY155&lt;-0.005,"BELOW technical","At technical"))))</f>
        <v/>
      </c>
      <c r="DA155" s="99"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4"/>
      <c r="DC155" s="94"/>
      <c r="DD155" s="95"/>
      <c r="DE155" s="94"/>
      <c r="DF155" s="94"/>
      <c r="DG155" s="99" t="str">
        <f t="shared" si="38"/>
        <v/>
      </c>
      <c r="DH155" s="99" t="str">
        <f>IF($A155="","",IF(OR($CX155="REFER",$CX155="DECLINE"),COUNTIF($CX$5:$CX155,"REFER")+COUNTIF($CX$5:$CX155,"DECLINE"),""))</f>
        <v/>
      </c>
      <c r="DI155" s="94"/>
    </row>
    <row r="156" spans="1:113" x14ac:dyDescent="0.35">
      <c r="A156" s="94"/>
      <c r="B156" s="94"/>
      <c r="C156" s="95"/>
      <c r="D156" s="95"/>
      <c r="E156" s="96"/>
      <c r="F156" s="94"/>
      <c r="G156" s="94"/>
      <c r="H156" s="94"/>
      <c r="I156" s="94"/>
      <c r="J156" s="97"/>
      <c r="K156" s="94"/>
      <c r="L156" s="94"/>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8"/>
      <c r="AR156" s="99" t="str">
        <f t="shared" si="26"/>
        <v/>
      </c>
      <c r="AS156" s="99" t="str">
        <f>IF($A156="","",IF($AP156&lt;&gt;"",$AP156,IFERROR(INDEX('Cat Zone by ZIP'!$D$6:$D$856,MATCH($AR156,'Cat Zone by ZIP'!$B$6:$B$856,0)),IFERROR(INDEX('Cat Zone by ZIP'!$C$860:$C$910,MATCH($K156,'Cat Zone by ZIP'!$B$860:$B$910,0)),"NOT FOUND"))))</f>
        <v/>
      </c>
      <c r="AT156" s="99" t="str">
        <f>IF($A156="","",IF($AP156&lt;&gt;"","Override",IF(ISNUMBER(MATCH($AR156,'Cat Zone by ZIP'!$B$6:$B$856,0)),"ZIP-3","State default")))</f>
        <v/>
      </c>
      <c r="AU156" s="100" t="str">
        <f>IF($A156="","",IFERROR(INDEX('Natural Catastrophe'!$D$6:$D$17,MATCH($AS156,'Natural Catastrophe'!$B$6:$B$17,0)),"?"))</f>
        <v/>
      </c>
      <c r="AV156" s="100" t="str">
        <f>IF($A156="","",IFERROR(INDEX('Natural Catastrophe'!$C$21:$C$26,MATCH($AA156,'Natural Catastrophe'!$B$21:$B$26,0)),"?"))</f>
        <v/>
      </c>
      <c r="AW156" s="99" t="str">
        <f>IF($A156="","",IFERROR(INDEX('Base Rates'!$C$4:$I$4,MATCH(MAX($J156,'Technical Premium'!$C$18),'Base Rates'!$C$3:$I$3,1)),"?"))</f>
        <v/>
      </c>
      <c r="AX156" s="101" t="str">
        <f>IF($A156="","",IFERROR(INDEX('Base Rates'!$C$5:$I$16,MATCH($I156,'Base Rates'!$B$5:$B$16,0),MATCH(MAX($J156,'Technical Premium'!$C$18),'Base Rates'!$C$3:$I$3,1)),"?"))</f>
        <v/>
      </c>
      <c r="AY156" s="102" t="str">
        <f t="shared" si="27"/>
        <v/>
      </c>
      <c r="AZ156" s="99" t="str">
        <f>IF($A156="","",IFERROR(INDEX('Make Factors'!$G$5:$G$69,MATCH($F156,'Make Factors'!$B$5:$B$69,0)),"?"))</f>
        <v/>
      </c>
      <c r="BA156" s="99" t="str">
        <f>IF($A156="","",IFERROR(INDEX('Driver Factors'!$C$6:$C$15,MATCH($R156,'Driver Factors'!$B$6:$B$15,0)),"?"))</f>
        <v/>
      </c>
      <c r="BB156" s="99" t="str">
        <f>IF($A156="","",IFERROR(INDEX('Driver Factors'!$C$19:$C$24,MATCH($S156,'Driver Factors'!$B$19:$B$24,0)),"?"))</f>
        <v/>
      </c>
      <c r="BC156" s="99" t="str">
        <f>IF($A156="","",IFERROR(INDEX('Driver Factors'!$C$28:$C$36,MATCH($T156,'Driver Factors'!$B$28:$B$36,0)),"?"))</f>
        <v/>
      </c>
      <c r="BD156" s="99" t="str">
        <f>IF($A156="","",IFERROR(INDEX('Claims History'!$C$6:$C$15,MATCH($U156,'Claims History'!$B$6:$B$15,0)),"?"))</f>
        <v/>
      </c>
      <c r="BE156" s="99" t="str">
        <f>IF($A156="","",IFERROR(INDEX('Territory Factors'!$E$6:$E$56,MATCH($K156,'Territory Factors'!$B$6:$B$56,0)),"?"))</f>
        <v/>
      </c>
      <c r="BF156" s="99" t="str">
        <f>IF($A156="","",IFERROR(INDEX('City Accident Ratings'!$G$6:$G$54,MATCH($Z156,'City Accident Ratings'!$B$6:$B$54,0)),"?"))</f>
        <v/>
      </c>
      <c r="BG156" s="99" t="str">
        <f>IF($A156="","",IFERROR(INDEX('Usage and Coverage'!$D$6:$D$20,MATCH($N156,'Usage and Coverage'!$C$6:$C$20,0)),"?"))</f>
        <v/>
      </c>
      <c r="BH156" s="99" t="str">
        <f>IF($A156="","",IFERROR(INDEX('Usage and Coverage'!$C$24:$C$30,MATCH($O156,'Usage and Coverage'!$B$24:$B$30,0)),"?"))</f>
        <v/>
      </c>
      <c r="BI156" s="99" t="str">
        <f>IF($A156="","",IFERROR(INDEX('Usage and Coverage'!$C$34:$C$40,MATCH($P156,'Usage and Coverage'!$B$34:$B$40,0)),"?"))</f>
        <v/>
      </c>
      <c r="BJ156" s="99" t="str">
        <f>IF($A156="","",IFERROR(INDEX('Usage and Coverage'!$C$44:$C$49,MATCH($Q156,'Usage and Coverage'!$B$44:$B$49,0)),"?"))</f>
        <v/>
      </c>
      <c r="BK156" s="99" t="str">
        <f>IF($A156="","",IFERROR(INDEX(Deductibles!$C$6:$I$15,MATCH($W156,Deductibles!$B$6:$B$15,0),MATCH(MAX($J156,'Technical Premium'!$C$18),'Base Rates'!$C$3:$I$3,1)),"?"))</f>
        <v/>
      </c>
      <c r="BL156" s="99" t="str">
        <f>IF($A156="","",IFERROR(INDEX('Usage and Coverage'!$C$63:$C$66,MATCH($X156,'Usage and Coverage'!$B$63:$B$66,0)),"?"))</f>
        <v/>
      </c>
      <c r="BM156" s="99" t="str">
        <f>IF($A156="","",IFERROR(INDEX('Usage and Coverage'!$C$70:$C$75,MATCH($V156,'Usage and Coverage'!$B$70:$B$75,0)),"?"))</f>
        <v/>
      </c>
      <c r="BN156" s="99" t="str">
        <f>IF($A156="","",IF($AB156="",1,IFERROR(INDEX(Deductibles!$C$48:$C$51,MATCH($AB156,Deductibles!$B$48:$B$51,0)),"?")))</f>
        <v/>
      </c>
      <c r="BO156" s="99" t="str">
        <f>IF($A156="","",IF($AC156="",1,IFERROR(INDEX(Deductibles!$C$55:$C$57,MATCH($AC156,Deductibles!$B$55:$B$57,0)),"?")))</f>
        <v/>
      </c>
      <c r="BP156" s="99" t="str">
        <f>IF($A156="","",IF($AD156="",1,IFERROR(INDEX(Deductibles!$C$61:$C$63,MATCH($AD156,Deductibles!$B$61:$B$63,0)),"?")))</f>
        <v/>
      </c>
      <c r="BQ156" s="99" t="str">
        <f>IF($A156="","",IF($AE156="",1,IFERROR(INDEX(Deductibles!$C$67:$C$69,MATCH($AE156,Deductibles!$B$67:$B$69,0)),"?")))</f>
        <v/>
      </c>
      <c r="BR156" s="99" t="str">
        <f>IF($A156="","",IF($AF156="",1,IFERROR(INDEX(Deductibles!$C$73:$C$74,MATCH($AF156,Deductibles!$B$73:$B$74,0)),"?")))</f>
        <v/>
      </c>
      <c r="BS156" s="99" t="str">
        <f>IF($A156="","",IF($AG156="",1,IFERROR(INDEX('Sublimits and Parts'!$C$49:$C$52,MATCH($AG156,'Sublimits and Parts'!$B$49:$B$52,0)),"?")))</f>
        <v/>
      </c>
      <c r="BT156" s="99" t="str">
        <f>IF($A156="","",IF($AH156="",1,IFERROR(INDEX('Sublimits and Parts'!$C$56:$C$60,MATCH($AH156,'Sublimits and Parts'!$B$56:$B$60,0)),"?")))</f>
        <v/>
      </c>
      <c r="BU156" s="99" t="str">
        <f>IF($A156="","",IF($AI156="",1,IFERROR(INDEX('Sublimits and Parts'!$C$64:$C$67,MATCH($AI156,'Sublimits and Parts'!$B$64:$B$67,0)),"?")))</f>
        <v/>
      </c>
      <c r="BV156" s="99" t="str">
        <f>IF($A156="","",IF($AJ156="",1,IFERROR(INDEX('Sublimits and Parts'!$C$71:$C$74,MATCH($AJ156,'Sublimits and Parts'!$B$71:$B$74,0)),"?")))</f>
        <v/>
      </c>
      <c r="BW156" s="99" t="str">
        <f>IF($A156="","",IF($AK156="",1,IFERROR(INDEX('Sublimits and Parts'!$C$78:$C$80,MATCH($AK156,'Sublimits and Parts'!$B$78:$B$80,0)),"?")))</f>
        <v/>
      </c>
      <c r="BX156" s="99" t="str">
        <f>IF($A156="","",IF($AL156="",1,IFERROR(INDEX('Sublimits and Parts'!$C$84:$C$87,MATCH($AL156,'Sublimits and Parts'!$B$84:$B$87,0)),"?")))</f>
        <v/>
      </c>
      <c r="BY156" s="99" t="str">
        <f>IF($A156="","",IF($AM156="",1,IFERROR(INDEX('Sublimits and Parts'!$C$91:$C$94,MATCH($AM156,'Sublimits and Parts'!$B$91:$B$94,0)),"?")))</f>
        <v/>
      </c>
      <c r="BZ156" s="99" t="str">
        <f>IF($A156="","",IF($AN156="",1,IFERROR(INDEX('Sublimits and Parts'!$C$98:$C$101,MATCH($AN156,'Sublimits and Parts'!$B$98:$B$101,0)),"?")))</f>
        <v/>
      </c>
      <c r="CA156" s="99" t="str">
        <f>IF($A156="","",IF($AO156="",1,IFERROR(INDEX('Sublimits and Parts'!$C$105:$C$109,MATCH($AO156,'Sublimits and Parts'!$B$105:$B$109,0)),"?")))</f>
        <v/>
      </c>
      <c r="CB156" s="100" t="str">
        <f t="shared" si="28"/>
        <v/>
      </c>
      <c r="CC156" s="100" t="str">
        <f t="shared" si="29"/>
        <v/>
      </c>
      <c r="CD156" s="103" t="str">
        <f>IF($A156="","",IF(OR($CB156="?",$CC156="?"),"?",MIN($CB156*$CC156,'Technical Premium'!$C$17)))</f>
        <v/>
      </c>
      <c r="CE156" s="102" t="str">
        <f t="shared" si="30"/>
        <v/>
      </c>
      <c r="CF156" s="102" t="str">
        <f>IF($A156="","",IFERROR(INDEX('Territory Factors'!$F$6:$F$56,MATCH($K156,'Territory Factors'!$B$6:$B$56,0)),"?"))</f>
        <v/>
      </c>
      <c r="CG156" s="100" t="str">
        <f>IF($A156="","",IFERROR(INDEX('Usage and Coverage'!$C$79:$C$84,MATCH($Y156,'Usage and Coverage'!$B$79:$B$84,0)),"?"))</f>
        <v/>
      </c>
      <c r="CH156" s="102" t="str">
        <f>IFERROR(IF(ISNUMBER($CD156),$CF156*$CG156*MIN($BG156*$BA156*$BC156*$BD156*$BH156*$BF156,'Technical Premium'!$C$17),""),"")</f>
        <v/>
      </c>
      <c r="CI156" s="102" t="str">
        <f t="shared" si="31"/>
        <v/>
      </c>
      <c r="CJ156" s="102" t="str">
        <f>IFERROR($CI156*(1+'Technical Premium'!$C$5)*(1+'Technical Premium'!$C$6),"")</f>
        <v/>
      </c>
      <c r="CK156" s="102" t="str">
        <f>IFERROR($CE156*INDEX('Territory Factors'!$G$6:$G$56,MATCH($K156,'Territory Factors'!$B$6:$B$56,0))*$AU156*$AV156,"")</f>
        <v/>
      </c>
      <c r="CL156" s="102" t="str">
        <f>IFERROR(($CJ156+$CK156)*(1+'Technical Premium'!$C$7),"")</f>
        <v/>
      </c>
      <c r="CM156" s="104" t="str">
        <f>IFERROR($CL156/'Technical Premium'!$C$13,"")</f>
        <v/>
      </c>
      <c r="CN156" s="105" t="str">
        <f t="shared" si="32"/>
        <v/>
      </c>
      <c r="CO156" s="104" t="str">
        <f t="shared" si="33"/>
        <v/>
      </c>
      <c r="CP156" s="105" t="str">
        <f t="shared" si="34"/>
        <v/>
      </c>
      <c r="CQ156" s="106" t="str">
        <f t="shared" si="35"/>
        <v/>
      </c>
      <c r="CR156" s="102" t="str">
        <f>IF(ISNUMBER($CM156),'Technical Premium'!$C$14+IF($J156&gt;=1000000,'Technical Premium'!$C$15,0),"")</f>
        <v/>
      </c>
      <c r="CS156" s="102" t="str">
        <f>IFERROR(($CO156+$CR156)*(INDEX('Territory Factors'!$K$6:$K$56,MATCH($K156,'Territory Factors'!$B$6:$B$56,0))+'Commission Structure'!$C$21),"")</f>
        <v/>
      </c>
      <c r="CT156" s="104" t="str">
        <f t="shared" si="36"/>
        <v/>
      </c>
      <c r="CU156" s="102" t="str">
        <f>IFERROR($CO156*('Commission Structure'!$C$6+'Commission Structure'!$C$7),"")</f>
        <v/>
      </c>
      <c r="CV156" s="102" t="str">
        <f>IFERROR($CO156*'Commission Structure'!$C$5-$CU156,"")</f>
        <v/>
      </c>
      <c r="CW156" s="102" t="str">
        <f>IFERROR($CO156*(1-'Commission Structure'!$C$5),"")</f>
        <v/>
      </c>
      <c r="CX156" s="107"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8" t="str">
        <f t="shared" si="37"/>
        <v/>
      </c>
      <c r="CZ156" s="99" t="str">
        <f>IF($CY156="","",IF($CY156&lt;'Technical Premium'!$C$19,"BEYOND AUTHORITY",IF($CY156&gt;0.005,"Above technical",IF($CY156&lt;-0.005,"BELOW technical","At technical"))))</f>
        <v/>
      </c>
      <c r="DA156" s="99"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4"/>
      <c r="DC156" s="94"/>
      <c r="DD156" s="95"/>
      <c r="DE156" s="94"/>
      <c r="DF156" s="94"/>
      <c r="DG156" s="99" t="str">
        <f t="shared" si="38"/>
        <v/>
      </c>
      <c r="DH156" s="99" t="str">
        <f>IF($A156="","",IF(OR($CX156="REFER",$CX156="DECLINE"),COUNTIF($CX$5:$CX156,"REFER")+COUNTIF($CX$5:$CX156,"DECLINE"),""))</f>
        <v/>
      </c>
      <c r="DI156" s="94"/>
    </row>
    <row r="157" spans="1:113" x14ac:dyDescent="0.35">
      <c r="A157" s="94"/>
      <c r="B157" s="94"/>
      <c r="C157" s="95"/>
      <c r="D157" s="95"/>
      <c r="E157" s="96"/>
      <c r="F157" s="94"/>
      <c r="G157" s="94"/>
      <c r="H157" s="94"/>
      <c r="I157" s="94"/>
      <c r="J157" s="97"/>
      <c r="K157" s="94"/>
      <c r="L157" s="94"/>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8"/>
      <c r="AR157" s="99" t="str">
        <f t="shared" si="26"/>
        <v/>
      </c>
      <c r="AS157" s="99" t="str">
        <f>IF($A157="","",IF($AP157&lt;&gt;"",$AP157,IFERROR(INDEX('Cat Zone by ZIP'!$D$6:$D$856,MATCH($AR157,'Cat Zone by ZIP'!$B$6:$B$856,0)),IFERROR(INDEX('Cat Zone by ZIP'!$C$860:$C$910,MATCH($K157,'Cat Zone by ZIP'!$B$860:$B$910,0)),"NOT FOUND"))))</f>
        <v/>
      </c>
      <c r="AT157" s="99" t="str">
        <f>IF($A157="","",IF($AP157&lt;&gt;"","Override",IF(ISNUMBER(MATCH($AR157,'Cat Zone by ZIP'!$B$6:$B$856,0)),"ZIP-3","State default")))</f>
        <v/>
      </c>
      <c r="AU157" s="100" t="str">
        <f>IF($A157="","",IFERROR(INDEX('Natural Catastrophe'!$D$6:$D$17,MATCH($AS157,'Natural Catastrophe'!$B$6:$B$17,0)),"?"))</f>
        <v/>
      </c>
      <c r="AV157" s="100" t="str">
        <f>IF($A157="","",IFERROR(INDEX('Natural Catastrophe'!$C$21:$C$26,MATCH($AA157,'Natural Catastrophe'!$B$21:$B$26,0)),"?"))</f>
        <v/>
      </c>
      <c r="AW157" s="99" t="str">
        <f>IF($A157="","",IFERROR(INDEX('Base Rates'!$C$4:$I$4,MATCH(MAX($J157,'Technical Premium'!$C$18),'Base Rates'!$C$3:$I$3,1)),"?"))</f>
        <v/>
      </c>
      <c r="AX157" s="101" t="str">
        <f>IF($A157="","",IFERROR(INDEX('Base Rates'!$C$5:$I$16,MATCH($I157,'Base Rates'!$B$5:$B$16,0),MATCH(MAX($J157,'Technical Premium'!$C$18),'Base Rates'!$C$3:$I$3,1)),"?"))</f>
        <v/>
      </c>
      <c r="AY157" s="102" t="str">
        <f t="shared" si="27"/>
        <v/>
      </c>
      <c r="AZ157" s="99" t="str">
        <f>IF($A157="","",IFERROR(INDEX('Make Factors'!$G$5:$G$69,MATCH($F157,'Make Factors'!$B$5:$B$69,0)),"?"))</f>
        <v/>
      </c>
      <c r="BA157" s="99" t="str">
        <f>IF($A157="","",IFERROR(INDEX('Driver Factors'!$C$6:$C$15,MATCH($R157,'Driver Factors'!$B$6:$B$15,0)),"?"))</f>
        <v/>
      </c>
      <c r="BB157" s="99" t="str">
        <f>IF($A157="","",IFERROR(INDEX('Driver Factors'!$C$19:$C$24,MATCH($S157,'Driver Factors'!$B$19:$B$24,0)),"?"))</f>
        <v/>
      </c>
      <c r="BC157" s="99" t="str">
        <f>IF($A157="","",IFERROR(INDEX('Driver Factors'!$C$28:$C$36,MATCH($T157,'Driver Factors'!$B$28:$B$36,0)),"?"))</f>
        <v/>
      </c>
      <c r="BD157" s="99" t="str">
        <f>IF($A157="","",IFERROR(INDEX('Claims History'!$C$6:$C$15,MATCH($U157,'Claims History'!$B$6:$B$15,0)),"?"))</f>
        <v/>
      </c>
      <c r="BE157" s="99" t="str">
        <f>IF($A157="","",IFERROR(INDEX('Territory Factors'!$E$6:$E$56,MATCH($K157,'Territory Factors'!$B$6:$B$56,0)),"?"))</f>
        <v/>
      </c>
      <c r="BF157" s="99" t="str">
        <f>IF($A157="","",IFERROR(INDEX('City Accident Ratings'!$G$6:$G$54,MATCH($Z157,'City Accident Ratings'!$B$6:$B$54,0)),"?"))</f>
        <v/>
      </c>
      <c r="BG157" s="99" t="str">
        <f>IF($A157="","",IFERROR(INDEX('Usage and Coverage'!$D$6:$D$20,MATCH($N157,'Usage and Coverage'!$C$6:$C$20,0)),"?"))</f>
        <v/>
      </c>
      <c r="BH157" s="99" t="str">
        <f>IF($A157="","",IFERROR(INDEX('Usage and Coverage'!$C$24:$C$30,MATCH($O157,'Usage and Coverage'!$B$24:$B$30,0)),"?"))</f>
        <v/>
      </c>
      <c r="BI157" s="99" t="str">
        <f>IF($A157="","",IFERROR(INDEX('Usage and Coverage'!$C$34:$C$40,MATCH($P157,'Usage and Coverage'!$B$34:$B$40,0)),"?"))</f>
        <v/>
      </c>
      <c r="BJ157" s="99" t="str">
        <f>IF($A157="","",IFERROR(INDEX('Usage and Coverage'!$C$44:$C$49,MATCH($Q157,'Usage and Coverage'!$B$44:$B$49,0)),"?"))</f>
        <v/>
      </c>
      <c r="BK157" s="99" t="str">
        <f>IF($A157="","",IFERROR(INDEX(Deductibles!$C$6:$I$15,MATCH($W157,Deductibles!$B$6:$B$15,0),MATCH(MAX($J157,'Technical Premium'!$C$18),'Base Rates'!$C$3:$I$3,1)),"?"))</f>
        <v/>
      </c>
      <c r="BL157" s="99" t="str">
        <f>IF($A157="","",IFERROR(INDEX('Usage and Coverage'!$C$63:$C$66,MATCH($X157,'Usage and Coverage'!$B$63:$B$66,0)),"?"))</f>
        <v/>
      </c>
      <c r="BM157" s="99" t="str">
        <f>IF($A157="","",IFERROR(INDEX('Usage and Coverage'!$C$70:$C$75,MATCH($V157,'Usage and Coverage'!$B$70:$B$75,0)),"?"))</f>
        <v/>
      </c>
      <c r="BN157" s="99" t="str">
        <f>IF($A157="","",IF($AB157="",1,IFERROR(INDEX(Deductibles!$C$48:$C$51,MATCH($AB157,Deductibles!$B$48:$B$51,0)),"?")))</f>
        <v/>
      </c>
      <c r="BO157" s="99" t="str">
        <f>IF($A157="","",IF($AC157="",1,IFERROR(INDEX(Deductibles!$C$55:$C$57,MATCH($AC157,Deductibles!$B$55:$B$57,0)),"?")))</f>
        <v/>
      </c>
      <c r="BP157" s="99" t="str">
        <f>IF($A157="","",IF($AD157="",1,IFERROR(INDEX(Deductibles!$C$61:$C$63,MATCH($AD157,Deductibles!$B$61:$B$63,0)),"?")))</f>
        <v/>
      </c>
      <c r="BQ157" s="99" t="str">
        <f>IF($A157="","",IF($AE157="",1,IFERROR(INDEX(Deductibles!$C$67:$C$69,MATCH($AE157,Deductibles!$B$67:$B$69,0)),"?")))</f>
        <v/>
      </c>
      <c r="BR157" s="99" t="str">
        <f>IF($A157="","",IF($AF157="",1,IFERROR(INDEX(Deductibles!$C$73:$C$74,MATCH($AF157,Deductibles!$B$73:$B$74,0)),"?")))</f>
        <v/>
      </c>
      <c r="BS157" s="99" t="str">
        <f>IF($A157="","",IF($AG157="",1,IFERROR(INDEX('Sublimits and Parts'!$C$49:$C$52,MATCH($AG157,'Sublimits and Parts'!$B$49:$B$52,0)),"?")))</f>
        <v/>
      </c>
      <c r="BT157" s="99" t="str">
        <f>IF($A157="","",IF($AH157="",1,IFERROR(INDEX('Sublimits and Parts'!$C$56:$C$60,MATCH($AH157,'Sublimits and Parts'!$B$56:$B$60,0)),"?")))</f>
        <v/>
      </c>
      <c r="BU157" s="99" t="str">
        <f>IF($A157="","",IF($AI157="",1,IFERROR(INDEX('Sublimits and Parts'!$C$64:$C$67,MATCH($AI157,'Sublimits and Parts'!$B$64:$B$67,0)),"?")))</f>
        <v/>
      </c>
      <c r="BV157" s="99" t="str">
        <f>IF($A157="","",IF($AJ157="",1,IFERROR(INDEX('Sublimits and Parts'!$C$71:$C$74,MATCH($AJ157,'Sublimits and Parts'!$B$71:$B$74,0)),"?")))</f>
        <v/>
      </c>
      <c r="BW157" s="99" t="str">
        <f>IF($A157="","",IF($AK157="",1,IFERROR(INDEX('Sublimits and Parts'!$C$78:$C$80,MATCH($AK157,'Sublimits and Parts'!$B$78:$B$80,0)),"?")))</f>
        <v/>
      </c>
      <c r="BX157" s="99" t="str">
        <f>IF($A157="","",IF($AL157="",1,IFERROR(INDEX('Sublimits and Parts'!$C$84:$C$87,MATCH($AL157,'Sublimits and Parts'!$B$84:$B$87,0)),"?")))</f>
        <v/>
      </c>
      <c r="BY157" s="99" t="str">
        <f>IF($A157="","",IF($AM157="",1,IFERROR(INDEX('Sublimits and Parts'!$C$91:$C$94,MATCH($AM157,'Sublimits and Parts'!$B$91:$B$94,0)),"?")))</f>
        <v/>
      </c>
      <c r="BZ157" s="99" t="str">
        <f>IF($A157="","",IF($AN157="",1,IFERROR(INDEX('Sublimits and Parts'!$C$98:$C$101,MATCH($AN157,'Sublimits and Parts'!$B$98:$B$101,0)),"?")))</f>
        <v/>
      </c>
      <c r="CA157" s="99" t="str">
        <f>IF($A157="","",IF($AO157="",1,IFERROR(INDEX('Sublimits and Parts'!$C$105:$C$109,MATCH($AO157,'Sublimits and Parts'!$B$105:$B$109,0)),"?")))</f>
        <v/>
      </c>
      <c r="CB157" s="100" t="str">
        <f t="shared" si="28"/>
        <v/>
      </c>
      <c r="CC157" s="100" t="str">
        <f t="shared" si="29"/>
        <v/>
      </c>
      <c r="CD157" s="103" t="str">
        <f>IF($A157="","",IF(OR($CB157="?",$CC157="?"),"?",MIN($CB157*$CC157,'Technical Premium'!$C$17)))</f>
        <v/>
      </c>
      <c r="CE157" s="102" t="str">
        <f t="shared" si="30"/>
        <v/>
      </c>
      <c r="CF157" s="102" t="str">
        <f>IF($A157="","",IFERROR(INDEX('Territory Factors'!$F$6:$F$56,MATCH($K157,'Territory Factors'!$B$6:$B$56,0)),"?"))</f>
        <v/>
      </c>
      <c r="CG157" s="100" t="str">
        <f>IF($A157="","",IFERROR(INDEX('Usage and Coverage'!$C$79:$C$84,MATCH($Y157,'Usage and Coverage'!$B$79:$B$84,0)),"?"))</f>
        <v/>
      </c>
      <c r="CH157" s="102" t="str">
        <f>IFERROR(IF(ISNUMBER($CD157),$CF157*$CG157*MIN($BG157*$BA157*$BC157*$BD157*$BH157*$BF157,'Technical Premium'!$C$17),""),"")</f>
        <v/>
      </c>
      <c r="CI157" s="102" t="str">
        <f t="shared" si="31"/>
        <v/>
      </c>
      <c r="CJ157" s="102" t="str">
        <f>IFERROR($CI157*(1+'Technical Premium'!$C$5)*(1+'Technical Premium'!$C$6),"")</f>
        <v/>
      </c>
      <c r="CK157" s="102" t="str">
        <f>IFERROR($CE157*INDEX('Territory Factors'!$G$6:$G$56,MATCH($K157,'Territory Factors'!$B$6:$B$56,0))*$AU157*$AV157,"")</f>
        <v/>
      </c>
      <c r="CL157" s="102" t="str">
        <f>IFERROR(($CJ157+$CK157)*(1+'Technical Premium'!$C$7),"")</f>
        <v/>
      </c>
      <c r="CM157" s="104" t="str">
        <f>IFERROR($CL157/'Technical Premium'!$C$13,"")</f>
        <v/>
      </c>
      <c r="CN157" s="105" t="str">
        <f t="shared" si="32"/>
        <v/>
      </c>
      <c r="CO157" s="104" t="str">
        <f t="shared" si="33"/>
        <v/>
      </c>
      <c r="CP157" s="105" t="str">
        <f t="shared" si="34"/>
        <v/>
      </c>
      <c r="CQ157" s="106" t="str">
        <f t="shared" si="35"/>
        <v/>
      </c>
      <c r="CR157" s="102" t="str">
        <f>IF(ISNUMBER($CM157),'Technical Premium'!$C$14+IF($J157&gt;=1000000,'Technical Premium'!$C$15,0),"")</f>
        <v/>
      </c>
      <c r="CS157" s="102" t="str">
        <f>IFERROR(($CO157+$CR157)*(INDEX('Territory Factors'!$K$6:$K$56,MATCH($K157,'Territory Factors'!$B$6:$B$56,0))+'Commission Structure'!$C$21),"")</f>
        <v/>
      </c>
      <c r="CT157" s="104" t="str">
        <f t="shared" si="36"/>
        <v/>
      </c>
      <c r="CU157" s="102" t="str">
        <f>IFERROR($CO157*('Commission Structure'!$C$6+'Commission Structure'!$C$7),"")</f>
        <v/>
      </c>
      <c r="CV157" s="102" t="str">
        <f>IFERROR($CO157*'Commission Structure'!$C$5-$CU157,"")</f>
        <v/>
      </c>
      <c r="CW157" s="102" t="str">
        <f>IFERROR($CO157*(1-'Commission Structure'!$C$5),"")</f>
        <v/>
      </c>
      <c r="CX157" s="107"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8" t="str">
        <f t="shared" si="37"/>
        <v/>
      </c>
      <c r="CZ157" s="99" t="str">
        <f>IF($CY157="","",IF($CY157&lt;'Technical Premium'!$C$19,"BEYOND AUTHORITY",IF($CY157&gt;0.005,"Above technical",IF($CY157&lt;-0.005,"BELOW technical","At technical"))))</f>
        <v/>
      </c>
      <c r="DA157" s="99"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4"/>
      <c r="DC157" s="94"/>
      <c r="DD157" s="95"/>
      <c r="DE157" s="94"/>
      <c r="DF157" s="94"/>
      <c r="DG157" s="99" t="str">
        <f t="shared" si="38"/>
        <v/>
      </c>
      <c r="DH157" s="99" t="str">
        <f>IF($A157="","",IF(OR($CX157="REFER",$CX157="DECLINE"),COUNTIF($CX$5:$CX157,"REFER")+COUNTIF($CX$5:$CX157,"DECLINE"),""))</f>
        <v/>
      </c>
      <c r="DI157" s="94"/>
    </row>
    <row r="158" spans="1:113" x14ac:dyDescent="0.35">
      <c r="A158" s="94"/>
      <c r="B158" s="94"/>
      <c r="C158" s="95"/>
      <c r="D158" s="95"/>
      <c r="E158" s="96"/>
      <c r="F158" s="94"/>
      <c r="G158" s="94"/>
      <c r="H158" s="94"/>
      <c r="I158" s="94"/>
      <c r="J158" s="97"/>
      <c r="K158" s="94"/>
      <c r="L158" s="94"/>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8"/>
      <c r="AR158" s="99" t="str">
        <f t="shared" si="26"/>
        <v/>
      </c>
      <c r="AS158" s="99" t="str">
        <f>IF($A158="","",IF($AP158&lt;&gt;"",$AP158,IFERROR(INDEX('Cat Zone by ZIP'!$D$6:$D$856,MATCH($AR158,'Cat Zone by ZIP'!$B$6:$B$856,0)),IFERROR(INDEX('Cat Zone by ZIP'!$C$860:$C$910,MATCH($K158,'Cat Zone by ZIP'!$B$860:$B$910,0)),"NOT FOUND"))))</f>
        <v/>
      </c>
      <c r="AT158" s="99" t="str">
        <f>IF($A158="","",IF($AP158&lt;&gt;"","Override",IF(ISNUMBER(MATCH($AR158,'Cat Zone by ZIP'!$B$6:$B$856,0)),"ZIP-3","State default")))</f>
        <v/>
      </c>
      <c r="AU158" s="100" t="str">
        <f>IF($A158="","",IFERROR(INDEX('Natural Catastrophe'!$D$6:$D$17,MATCH($AS158,'Natural Catastrophe'!$B$6:$B$17,0)),"?"))</f>
        <v/>
      </c>
      <c r="AV158" s="100" t="str">
        <f>IF($A158="","",IFERROR(INDEX('Natural Catastrophe'!$C$21:$C$26,MATCH($AA158,'Natural Catastrophe'!$B$21:$B$26,0)),"?"))</f>
        <v/>
      </c>
      <c r="AW158" s="99" t="str">
        <f>IF($A158="","",IFERROR(INDEX('Base Rates'!$C$4:$I$4,MATCH(MAX($J158,'Technical Premium'!$C$18),'Base Rates'!$C$3:$I$3,1)),"?"))</f>
        <v/>
      </c>
      <c r="AX158" s="101" t="str">
        <f>IF($A158="","",IFERROR(INDEX('Base Rates'!$C$5:$I$16,MATCH($I158,'Base Rates'!$B$5:$B$16,0),MATCH(MAX($J158,'Technical Premium'!$C$18),'Base Rates'!$C$3:$I$3,1)),"?"))</f>
        <v/>
      </c>
      <c r="AY158" s="102" t="str">
        <f t="shared" si="27"/>
        <v/>
      </c>
      <c r="AZ158" s="99" t="str">
        <f>IF($A158="","",IFERROR(INDEX('Make Factors'!$G$5:$G$69,MATCH($F158,'Make Factors'!$B$5:$B$69,0)),"?"))</f>
        <v/>
      </c>
      <c r="BA158" s="99" t="str">
        <f>IF($A158="","",IFERROR(INDEX('Driver Factors'!$C$6:$C$15,MATCH($R158,'Driver Factors'!$B$6:$B$15,0)),"?"))</f>
        <v/>
      </c>
      <c r="BB158" s="99" t="str">
        <f>IF($A158="","",IFERROR(INDEX('Driver Factors'!$C$19:$C$24,MATCH($S158,'Driver Factors'!$B$19:$B$24,0)),"?"))</f>
        <v/>
      </c>
      <c r="BC158" s="99" t="str">
        <f>IF($A158="","",IFERROR(INDEX('Driver Factors'!$C$28:$C$36,MATCH($T158,'Driver Factors'!$B$28:$B$36,0)),"?"))</f>
        <v/>
      </c>
      <c r="BD158" s="99" t="str">
        <f>IF($A158="","",IFERROR(INDEX('Claims History'!$C$6:$C$15,MATCH($U158,'Claims History'!$B$6:$B$15,0)),"?"))</f>
        <v/>
      </c>
      <c r="BE158" s="99" t="str">
        <f>IF($A158="","",IFERROR(INDEX('Territory Factors'!$E$6:$E$56,MATCH($K158,'Territory Factors'!$B$6:$B$56,0)),"?"))</f>
        <v/>
      </c>
      <c r="BF158" s="99" t="str">
        <f>IF($A158="","",IFERROR(INDEX('City Accident Ratings'!$G$6:$G$54,MATCH($Z158,'City Accident Ratings'!$B$6:$B$54,0)),"?"))</f>
        <v/>
      </c>
      <c r="BG158" s="99" t="str">
        <f>IF($A158="","",IFERROR(INDEX('Usage and Coverage'!$D$6:$D$20,MATCH($N158,'Usage and Coverage'!$C$6:$C$20,0)),"?"))</f>
        <v/>
      </c>
      <c r="BH158" s="99" t="str">
        <f>IF($A158="","",IFERROR(INDEX('Usage and Coverage'!$C$24:$C$30,MATCH($O158,'Usage and Coverage'!$B$24:$B$30,0)),"?"))</f>
        <v/>
      </c>
      <c r="BI158" s="99" t="str">
        <f>IF($A158="","",IFERROR(INDEX('Usage and Coverage'!$C$34:$C$40,MATCH($P158,'Usage and Coverage'!$B$34:$B$40,0)),"?"))</f>
        <v/>
      </c>
      <c r="BJ158" s="99" t="str">
        <f>IF($A158="","",IFERROR(INDEX('Usage and Coverage'!$C$44:$C$49,MATCH($Q158,'Usage and Coverage'!$B$44:$B$49,0)),"?"))</f>
        <v/>
      </c>
      <c r="BK158" s="99" t="str">
        <f>IF($A158="","",IFERROR(INDEX(Deductibles!$C$6:$I$15,MATCH($W158,Deductibles!$B$6:$B$15,0),MATCH(MAX($J158,'Technical Premium'!$C$18),'Base Rates'!$C$3:$I$3,1)),"?"))</f>
        <v/>
      </c>
      <c r="BL158" s="99" t="str">
        <f>IF($A158="","",IFERROR(INDEX('Usage and Coverage'!$C$63:$C$66,MATCH($X158,'Usage and Coverage'!$B$63:$B$66,0)),"?"))</f>
        <v/>
      </c>
      <c r="BM158" s="99" t="str">
        <f>IF($A158="","",IFERROR(INDEX('Usage and Coverage'!$C$70:$C$75,MATCH($V158,'Usage and Coverage'!$B$70:$B$75,0)),"?"))</f>
        <v/>
      </c>
      <c r="BN158" s="99" t="str">
        <f>IF($A158="","",IF($AB158="",1,IFERROR(INDEX(Deductibles!$C$48:$C$51,MATCH($AB158,Deductibles!$B$48:$B$51,0)),"?")))</f>
        <v/>
      </c>
      <c r="BO158" s="99" t="str">
        <f>IF($A158="","",IF($AC158="",1,IFERROR(INDEX(Deductibles!$C$55:$C$57,MATCH($AC158,Deductibles!$B$55:$B$57,0)),"?")))</f>
        <v/>
      </c>
      <c r="BP158" s="99" t="str">
        <f>IF($A158="","",IF($AD158="",1,IFERROR(INDEX(Deductibles!$C$61:$C$63,MATCH($AD158,Deductibles!$B$61:$B$63,0)),"?")))</f>
        <v/>
      </c>
      <c r="BQ158" s="99" t="str">
        <f>IF($A158="","",IF($AE158="",1,IFERROR(INDEX(Deductibles!$C$67:$C$69,MATCH($AE158,Deductibles!$B$67:$B$69,0)),"?")))</f>
        <v/>
      </c>
      <c r="BR158" s="99" t="str">
        <f>IF($A158="","",IF($AF158="",1,IFERROR(INDEX(Deductibles!$C$73:$C$74,MATCH($AF158,Deductibles!$B$73:$B$74,0)),"?")))</f>
        <v/>
      </c>
      <c r="BS158" s="99" t="str">
        <f>IF($A158="","",IF($AG158="",1,IFERROR(INDEX('Sublimits and Parts'!$C$49:$C$52,MATCH($AG158,'Sublimits and Parts'!$B$49:$B$52,0)),"?")))</f>
        <v/>
      </c>
      <c r="BT158" s="99" t="str">
        <f>IF($A158="","",IF($AH158="",1,IFERROR(INDEX('Sublimits and Parts'!$C$56:$C$60,MATCH($AH158,'Sublimits and Parts'!$B$56:$B$60,0)),"?")))</f>
        <v/>
      </c>
      <c r="BU158" s="99" t="str">
        <f>IF($A158="","",IF($AI158="",1,IFERROR(INDEX('Sublimits and Parts'!$C$64:$C$67,MATCH($AI158,'Sublimits and Parts'!$B$64:$B$67,0)),"?")))</f>
        <v/>
      </c>
      <c r="BV158" s="99" t="str">
        <f>IF($A158="","",IF($AJ158="",1,IFERROR(INDEX('Sublimits and Parts'!$C$71:$C$74,MATCH($AJ158,'Sublimits and Parts'!$B$71:$B$74,0)),"?")))</f>
        <v/>
      </c>
      <c r="BW158" s="99" t="str">
        <f>IF($A158="","",IF($AK158="",1,IFERROR(INDEX('Sublimits and Parts'!$C$78:$C$80,MATCH($AK158,'Sublimits and Parts'!$B$78:$B$80,0)),"?")))</f>
        <v/>
      </c>
      <c r="BX158" s="99" t="str">
        <f>IF($A158="","",IF($AL158="",1,IFERROR(INDEX('Sublimits and Parts'!$C$84:$C$87,MATCH($AL158,'Sublimits and Parts'!$B$84:$B$87,0)),"?")))</f>
        <v/>
      </c>
      <c r="BY158" s="99" t="str">
        <f>IF($A158="","",IF($AM158="",1,IFERROR(INDEX('Sublimits and Parts'!$C$91:$C$94,MATCH($AM158,'Sublimits and Parts'!$B$91:$B$94,0)),"?")))</f>
        <v/>
      </c>
      <c r="BZ158" s="99" t="str">
        <f>IF($A158="","",IF($AN158="",1,IFERROR(INDEX('Sublimits and Parts'!$C$98:$C$101,MATCH($AN158,'Sublimits and Parts'!$B$98:$B$101,0)),"?")))</f>
        <v/>
      </c>
      <c r="CA158" s="99" t="str">
        <f>IF($A158="","",IF($AO158="",1,IFERROR(INDEX('Sublimits and Parts'!$C$105:$C$109,MATCH($AO158,'Sublimits and Parts'!$B$105:$B$109,0)),"?")))</f>
        <v/>
      </c>
      <c r="CB158" s="100" t="str">
        <f t="shared" si="28"/>
        <v/>
      </c>
      <c r="CC158" s="100" t="str">
        <f t="shared" si="29"/>
        <v/>
      </c>
      <c r="CD158" s="103" t="str">
        <f>IF($A158="","",IF(OR($CB158="?",$CC158="?"),"?",MIN($CB158*$CC158,'Technical Premium'!$C$17)))</f>
        <v/>
      </c>
      <c r="CE158" s="102" t="str">
        <f t="shared" si="30"/>
        <v/>
      </c>
      <c r="CF158" s="102" t="str">
        <f>IF($A158="","",IFERROR(INDEX('Territory Factors'!$F$6:$F$56,MATCH($K158,'Territory Factors'!$B$6:$B$56,0)),"?"))</f>
        <v/>
      </c>
      <c r="CG158" s="100" t="str">
        <f>IF($A158="","",IFERROR(INDEX('Usage and Coverage'!$C$79:$C$84,MATCH($Y158,'Usage and Coverage'!$B$79:$B$84,0)),"?"))</f>
        <v/>
      </c>
      <c r="CH158" s="102" t="str">
        <f>IFERROR(IF(ISNUMBER($CD158),$CF158*$CG158*MIN($BG158*$BA158*$BC158*$BD158*$BH158*$BF158,'Technical Premium'!$C$17),""),"")</f>
        <v/>
      </c>
      <c r="CI158" s="102" t="str">
        <f t="shared" si="31"/>
        <v/>
      </c>
      <c r="CJ158" s="102" t="str">
        <f>IFERROR($CI158*(1+'Technical Premium'!$C$5)*(1+'Technical Premium'!$C$6),"")</f>
        <v/>
      </c>
      <c r="CK158" s="102" t="str">
        <f>IFERROR($CE158*INDEX('Territory Factors'!$G$6:$G$56,MATCH($K158,'Territory Factors'!$B$6:$B$56,0))*$AU158*$AV158,"")</f>
        <v/>
      </c>
      <c r="CL158" s="102" t="str">
        <f>IFERROR(($CJ158+$CK158)*(1+'Technical Premium'!$C$7),"")</f>
        <v/>
      </c>
      <c r="CM158" s="104" t="str">
        <f>IFERROR($CL158/'Technical Premium'!$C$13,"")</f>
        <v/>
      </c>
      <c r="CN158" s="105" t="str">
        <f t="shared" si="32"/>
        <v/>
      </c>
      <c r="CO158" s="104" t="str">
        <f t="shared" si="33"/>
        <v/>
      </c>
      <c r="CP158" s="105" t="str">
        <f t="shared" si="34"/>
        <v/>
      </c>
      <c r="CQ158" s="106" t="str">
        <f t="shared" si="35"/>
        <v/>
      </c>
      <c r="CR158" s="102" t="str">
        <f>IF(ISNUMBER($CM158),'Technical Premium'!$C$14+IF($J158&gt;=1000000,'Technical Premium'!$C$15,0),"")</f>
        <v/>
      </c>
      <c r="CS158" s="102" t="str">
        <f>IFERROR(($CO158+$CR158)*(INDEX('Territory Factors'!$K$6:$K$56,MATCH($K158,'Territory Factors'!$B$6:$B$56,0))+'Commission Structure'!$C$21),"")</f>
        <v/>
      </c>
      <c r="CT158" s="104" t="str">
        <f t="shared" si="36"/>
        <v/>
      </c>
      <c r="CU158" s="102" t="str">
        <f>IFERROR($CO158*('Commission Structure'!$C$6+'Commission Structure'!$C$7),"")</f>
        <v/>
      </c>
      <c r="CV158" s="102" t="str">
        <f>IFERROR($CO158*'Commission Structure'!$C$5-$CU158,"")</f>
        <v/>
      </c>
      <c r="CW158" s="102" t="str">
        <f>IFERROR($CO158*(1-'Commission Structure'!$C$5),"")</f>
        <v/>
      </c>
      <c r="CX158" s="107"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8" t="str">
        <f t="shared" si="37"/>
        <v/>
      </c>
      <c r="CZ158" s="99" t="str">
        <f>IF($CY158="","",IF($CY158&lt;'Technical Premium'!$C$19,"BEYOND AUTHORITY",IF($CY158&gt;0.005,"Above technical",IF($CY158&lt;-0.005,"BELOW technical","At technical"))))</f>
        <v/>
      </c>
      <c r="DA158" s="99"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4"/>
      <c r="DC158" s="94"/>
      <c r="DD158" s="95"/>
      <c r="DE158" s="94"/>
      <c r="DF158" s="94"/>
      <c r="DG158" s="99" t="str">
        <f t="shared" si="38"/>
        <v/>
      </c>
      <c r="DH158" s="99" t="str">
        <f>IF($A158="","",IF(OR($CX158="REFER",$CX158="DECLINE"),COUNTIF($CX$5:$CX158,"REFER")+COUNTIF($CX$5:$CX158,"DECLINE"),""))</f>
        <v/>
      </c>
      <c r="DI158" s="94"/>
    </row>
    <row r="159" spans="1:113" x14ac:dyDescent="0.35">
      <c r="A159" s="94"/>
      <c r="B159" s="94"/>
      <c r="C159" s="95"/>
      <c r="D159" s="95"/>
      <c r="E159" s="96"/>
      <c r="F159" s="94"/>
      <c r="G159" s="94"/>
      <c r="H159" s="94"/>
      <c r="I159" s="94"/>
      <c r="J159" s="97"/>
      <c r="K159" s="94"/>
      <c r="L159" s="94"/>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8"/>
      <c r="AR159" s="99" t="str">
        <f t="shared" si="26"/>
        <v/>
      </c>
      <c r="AS159" s="99" t="str">
        <f>IF($A159="","",IF($AP159&lt;&gt;"",$AP159,IFERROR(INDEX('Cat Zone by ZIP'!$D$6:$D$856,MATCH($AR159,'Cat Zone by ZIP'!$B$6:$B$856,0)),IFERROR(INDEX('Cat Zone by ZIP'!$C$860:$C$910,MATCH($K159,'Cat Zone by ZIP'!$B$860:$B$910,0)),"NOT FOUND"))))</f>
        <v/>
      </c>
      <c r="AT159" s="99" t="str">
        <f>IF($A159="","",IF($AP159&lt;&gt;"","Override",IF(ISNUMBER(MATCH($AR159,'Cat Zone by ZIP'!$B$6:$B$856,0)),"ZIP-3","State default")))</f>
        <v/>
      </c>
      <c r="AU159" s="100" t="str">
        <f>IF($A159="","",IFERROR(INDEX('Natural Catastrophe'!$D$6:$D$17,MATCH($AS159,'Natural Catastrophe'!$B$6:$B$17,0)),"?"))</f>
        <v/>
      </c>
      <c r="AV159" s="100" t="str">
        <f>IF($A159="","",IFERROR(INDEX('Natural Catastrophe'!$C$21:$C$26,MATCH($AA159,'Natural Catastrophe'!$B$21:$B$26,0)),"?"))</f>
        <v/>
      </c>
      <c r="AW159" s="99" t="str">
        <f>IF($A159="","",IFERROR(INDEX('Base Rates'!$C$4:$I$4,MATCH(MAX($J159,'Technical Premium'!$C$18),'Base Rates'!$C$3:$I$3,1)),"?"))</f>
        <v/>
      </c>
      <c r="AX159" s="101" t="str">
        <f>IF($A159="","",IFERROR(INDEX('Base Rates'!$C$5:$I$16,MATCH($I159,'Base Rates'!$B$5:$B$16,0),MATCH(MAX($J159,'Technical Premium'!$C$18),'Base Rates'!$C$3:$I$3,1)),"?"))</f>
        <v/>
      </c>
      <c r="AY159" s="102" t="str">
        <f t="shared" si="27"/>
        <v/>
      </c>
      <c r="AZ159" s="99" t="str">
        <f>IF($A159="","",IFERROR(INDEX('Make Factors'!$G$5:$G$69,MATCH($F159,'Make Factors'!$B$5:$B$69,0)),"?"))</f>
        <v/>
      </c>
      <c r="BA159" s="99" t="str">
        <f>IF($A159="","",IFERROR(INDEX('Driver Factors'!$C$6:$C$15,MATCH($R159,'Driver Factors'!$B$6:$B$15,0)),"?"))</f>
        <v/>
      </c>
      <c r="BB159" s="99" t="str">
        <f>IF($A159="","",IFERROR(INDEX('Driver Factors'!$C$19:$C$24,MATCH($S159,'Driver Factors'!$B$19:$B$24,0)),"?"))</f>
        <v/>
      </c>
      <c r="BC159" s="99" t="str">
        <f>IF($A159="","",IFERROR(INDEX('Driver Factors'!$C$28:$C$36,MATCH($T159,'Driver Factors'!$B$28:$B$36,0)),"?"))</f>
        <v/>
      </c>
      <c r="BD159" s="99" t="str">
        <f>IF($A159="","",IFERROR(INDEX('Claims History'!$C$6:$C$15,MATCH($U159,'Claims History'!$B$6:$B$15,0)),"?"))</f>
        <v/>
      </c>
      <c r="BE159" s="99" t="str">
        <f>IF($A159="","",IFERROR(INDEX('Territory Factors'!$E$6:$E$56,MATCH($K159,'Territory Factors'!$B$6:$B$56,0)),"?"))</f>
        <v/>
      </c>
      <c r="BF159" s="99" t="str">
        <f>IF($A159="","",IFERROR(INDEX('City Accident Ratings'!$G$6:$G$54,MATCH($Z159,'City Accident Ratings'!$B$6:$B$54,0)),"?"))</f>
        <v/>
      </c>
      <c r="BG159" s="99" t="str">
        <f>IF($A159="","",IFERROR(INDEX('Usage and Coverage'!$D$6:$D$20,MATCH($N159,'Usage and Coverage'!$C$6:$C$20,0)),"?"))</f>
        <v/>
      </c>
      <c r="BH159" s="99" t="str">
        <f>IF($A159="","",IFERROR(INDEX('Usage and Coverage'!$C$24:$C$30,MATCH($O159,'Usage and Coverage'!$B$24:$B$30,0)),"?"))</f>
        <v/>
      </c>
      <c r="BI159" s="99" t="str">
        <f>IF($A159="","",IFERROR(INDEX('Usage and Coverage'!$C$34:$C$40,MATCH($P159,'Usage and Coverage'!$B$34:$B$40,0)),"?"))</f>
        <v/>
      </c>
      <c r="BJ159" s="99" t="str">
        <f>IF($A159="","",IFERROR(INDEX('Usage and Coverage'!$C$44:$C$49,MATCH($Q159,'Usage and Coverage'!$B$44:$B$49,0)),"?"))</f>
        <v/>
      </c>
      <c r="BK159" s="99" t="str">
        <f>IF($A159="","",IFERROR(INDEX(Deductibles!$C$6:$I$15,MATCH($W159,Deductibles!$B$6:$B$15,0),MATCH(MAX($J159,'Technical Premium'!$C$18),'Base Rates'!$C$3:$I$3,1)),"?"))</f>
        <v/>
      </c>
      <c r="BL159" s="99" t="str">
        <f>IF($A159="","",IFERROR(INDEX('Usage and Coverage'!$C$63:$C$66,MATCH($X159,'Usage and Coverage'!$B$63:$B$66,0)),"?"))</f>
        <v/>
      </c>
      <c r="BM159" s="99" t="str">
        <f>IF($A159="","",IFERROR(INDEX('Usage and Coverage'!$C$70:$C$75,MATCH($V159,'Usage and Coverage'!$B$70:$B$75,0)),"?"))</f>
        <v/>
      </c>
      <c r="BN159" s="99" t="str">
        <f>IF($A159="","",IF($AB159="",1,IFERROR(INDEX(Deductibles!$C$48:$C$51,MATCH($AB159,Deductibles!$B$48:$B$51,0)),"?")))</f>
        <v/>
      </c>
      <c r="BO159" s="99" t="str">
        <f>IF($A159="","",IF($AC159="",1,IFERROR(INDEX(Deductibles!$C$55:$C$57,MATCH($AC159,Deductibles!$B$55:$B$57,0)),"?")))</f>
        <v/>
      </c>
      <c r="BP159" s="99" t="str">
        <f>IF($A159="","",IF($AD159="",1,IFERROR(INDEX(Deductibles!$C$61:$C$63,MATCH($AD159,Deductibles!$B$61:$B$63,0)),"?")))</f>
        <v/>
      </c>
      <c r="BQ159" s="99" t="str">
        <f>IF($A159="","",IF($AE159="",1,IFERROR(INDEX(Deductibles!$C$67:$C$69,MATCH($AE159,Deductibles!$B$67:$B$69,0)),"?")))</f>
        <v/>
      </c>
      <c r="BR159" s="99" t="str">
        <f>IF($A159="","",IF($AF159="",1,IFERROR(INDEX(Deductibles!$C$73:$C$74,MATCH($AF159,Deductibles!$B$73:$B$74,0)),"?")))</f>
        <v/>
      </c>
      <c r="BS159" s="99" t="str">
        <f>IF($A159="","",IF($AG159="",1,IFERROR(INDEX('Sublimits and Parts'!$C$49:$C$52,MATCH($AG159,'Sublimits and Parts'!$B$49:$B$52,0)),"?")))</f>
        <v/>
      </c>
      <c r="BT159" s="99" t="str">
        <f>IF($A159="","",IF($AH159="",1,IFERROR(INDEX('Sublimits and Parts'!$C$56:$C$60,MATCH($AH159,'Sublimits and Parts'!$B$56:$B$60,0)),"?")))</f>
        <v/>
      </c>
      <c r="BU159" s="99" t="str">
        <f>IF($A159="","",IF($AI159="",1,IFERROR(INDEX('Sublimits and Parts'!$C$64:$C$67,MATCH($AI159,'Sublimits and Parts'!$B$64:$B$67,0)),"?")))</f>
        <v/>
      </c>
      <c r="BV159" s="99" t="str">
        <f>IF($A159="","",IF($AJ159="",1,IFERROR(INDEX('Sublimits and Parts'!$C$71:$C$74,MATCH($AJ159,'Sublimits and Parts'!$B$71:$B$74,0)),"?")))</f>
        <v/>
      </c>
      <c r="BW159" s="99" t="str">
        <f>IF($A159="","",IF($AK159="",1,IFERROR(INDEX('Sublimits and Parts'!$C$78:$C$80,MATCH($AK159,'Sublimits and Parts'!$B$78:$B$80,0)),"?")))</f>
        <v/>
      </c>
      <c r="BX159" s="99" t="str">
        <f>IF($A159="","",IF($AL159="",1,IFERROR(INDEX('Sublimits and Parts'!$C$84:$C$87,MATCH($AL159,'Sublimits and Parts'!$B$84:$B$87,0)),"?")))</f>
        <v/>
      </c>
      <c r="BY159" s="99" t="str">
        <f>IF($A159="","",IF($AM159="",1,IFERROR(INDEX('Sublimits and Parts'!$C$91:$C$94,MATCH($AM159,'Sublimits and Parts'!$B$91:$B$94,0)),"?")))</f>
        <v/>
      </c>
      <c r="BZ159" s="99" t="str">
        <f>IF($A159="","",IF($AN159="",1,IFERROR(INDEX('Sublimits and Parts'!$C$98:$C$101,MATCH($AN159,'Sublimits and Parts'!$B$98:$B$101,0)),"?")))</f>
        <v/>
      </c>
      <c r="CA159" s="99" t="str">
        <f>IF($A159="","",IF($AO159="",1,IFERROR(INDEX('Sublimits and Parts'!$C$105:$C$109,MATCH($AO159,'Sublimits and Parts'!$B$105:$B$109,0)),"?")))</f>
        <v/>
      </c>
      <c r="CB159" s="100" t="str">
        <f t="shared" si="28"/>
        <v/>
      </c>
      <c r="CC159" s="100" t="str">
        <f t="shared" si="29"/>
        <v/>
      </c>
      <c r="CD159" s="103" t="str">
        <f>IF($A159="","",IF(OR($CB159="?",$CC159="?"),"?",MIN($CB159*$CC159,'Technical Premium'!$C$17)))</f>
        <v/>
      </c>
      <c r="CE159" s="102" t="str">
        <f t="shared" si="30"/>
        <v/>
      </c>
      <c r="CF159" s="102" t="str">
        <f>IF($A159="","",IFERROR(INDEX('Territory Factors'!$F$6:$F$56,MATCH($K159,'Territory Factors'!$B$6:$B$56,0)),"?"))</f>
        <v/>
      </c>
      <c r="CG159" s="100" t="str">
        <f>IF($A159="","",IFERROR(INDEX('Usage and Coverage'!$C$79:$C$84,MATCH($Y159,'Usage and Coverage'!$B$79:$B$84,0)),"?"))</f>
        <v/>
      </c>
      <c r="CH159" s="102" t="str">
        <f>IFERROR(IF(ISNUMBER($CD159),$CF159*$CG159*MIN($BG159*$BA159*$BC159*$BD159*$BH159*$BF159,'Technical Premium'!$C$17),""),"")</f>
        <v/>
      </c>
      <c r="CI159" s="102" t="str">
        <f t="shared" si="31"/>
        <v/>
      </c>
      <c r="CJ159" s="102" t="str">
        <f>IFERROR($CI159*(1+'Technical Premium'!$C$5)*(1+'Technical Premium'!$C$6),"")</f>
        <v/>
      </c>
      <c r="CK159" s="102" t="str">
        <f>IFERROR($CE159*INDEX('Territory Factors'!$G$6:$G$56,MATCH($K159,'Territory Factors'!$B$6:$B$56,0))*$AU159*$AV159,"")</f>
        <v/>
      </c>
      <c r="CL159" s="102" t="str">
        <f>IFERROR(($CJ159+$CK159)*(1+'Technical Premium'!$C$7),"")</f>
        <v/>
      </c>
      <c r="CM159" s="104" t="str">
        <f>IFERROR($CL159/'Technical Premium'!$C$13,"")</f>
        <v/>
      </c>
      <c r="CN159" s="105" t="str">
        <f t="shared" si="32"/>
        <v/>
      </c>
      <c r="CO159" s="104" t="str">
        <f t="shared" si="33"/>
        <v/>
      </c>
      <c r="CP159" s="105" t="str">
        <f t="shared" si="34"/>
        <v/>
      </c>
      <c r="CQ159" s="106" t="str">
        <f t="shared" si="35"/>
        <v/>
      </c>
      <c r="CR159" s="102" t="str">
        <f>IF(ISNUMBER($CM159),'Technical Premium'!$C$14+IF($J159&gt;=1000000,'Technical Premium'!$C$15,0),"")</f>
        <v/>
      </c>
      <c r="CS159" s="102" t="str">
        <f>IFERROR(($CO159+$CR159)*(INDEX('Territory Factors'!$K$6:$K$56,MATCH($K159,'Territory Factors'!$B$6:$B$56,0))+'Commission Structure'!$C$21),"")</f>
        <v/>
      </c>
      <c r="CT159" s="104" t="str">
        <f t="shared" si="36"/>
        <v/>
      </c>
      <c r="CU159" s="102" t="str">
        <f>IFERROR($CO159*('Commission Structure'!$C$6+'Commission Structure'!$C$7),"")</f>
        <v/>
      </c>
      <c r="CV159" s="102" t="str">
        <f>IFERROR($CO159*'Commission Structure'!$C$5-$CU159,"")</f>
        <v/>
      </c>
      <c r="CW159" s="102" t="str">
        <f>IFERROR($CO159*(1-'Commission Structure'!$C$5),"")</f>
        <v/>
      </c>
      <c r="CX159" s="107"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8" t="str">
        <f t="shared" si="37"/>
        <v/>
      </c>
      <c r="CZ159" s="99" t="str">
        <f>IF($CY159="","",IF($CY159&lt;'Technical Premium'!$C$19,"BEYOND AUTHORITY",IF($CY159&gt;0.005,"Above technical",IF($CY159&lt;-0.005,"BELOW technical","At technical"))))</f>
        <v/>
      </c>
      <c r="DA159" s="99"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4"/>
      <c r="DC159" s="94"/>
      <c r="DD159" s="95"/>
      <c r="DE159" s="94"/>
      <c r="DF159" s="94"/>
      <c r="DG159" s="99" t="str">
        <f t="shared" si="38"/>
        <v/>
      </c>
      <c r="DH159" s="99" t="str">
        <f>IF($A159="","",IF(OR($CX159="REFER",$CX159="DECLINE"),COUNTIF($CX$5:$CX159,"REFER")+COUNTIF($CX$5:$CX159,"DECLINE"),""))</f>
        <v/>
      </c>
      <c r="DI159" s="94"/>
    </row>
    <row r="160" spans="1:113" x14ac:dyDescent="0.35">
      <c r="A160" s="94"/>
      <c r="B160" s="94"/>
      <c r="C160" s="95"/>
      <c r="D160" s="95"/>
      <c r="E160" s="96"/>
      <c r="F160" s="94"/>
      <c r="G160" s="94"/>
      <c r="H160" s="94"/>
      <c r="I160" s="94"/>
      <c r="J160" s="97"/>
      <c r="K160" s="94"/>
      <c r="L160" s="94"/>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8"/>
      <c r="AR160" s="99" t="str">
        <f t="shared" si="26"/>
        <v/>
      </c>
      <c r="AS160" s="99" t="str">
        <f>IF($A160="","",IF($AP160&lt;&gt;"",$AP160,IFERROR(INDEX('Cat Zone by ZIP'!$D$6:$D$856,MATCH($AR160,'Cat Zone by ZIP'!$B$6:$B$856,0)),IFERROR(INDEX('Cat Zone by ZIP'!$C$860:$C$910,MATCH($K160,'Cat Zone by ZIP'!$B$860:$B$910,0)),"NOT FOUND"))))</f>
        <v/>
      </c>
      <c r="AT160" s="99" t="str">
        <f>IF($A160="","",IF($AP160&lt;&gt;"","Override",IF(ISNUMBER(MATCH($AR160,'Cat Zone by ZIP'!$B$6:$B$856,0)),"ZIP-3","State default")))</f>
        <v/>
      </c>
      <c r="AU160" s="100" t="str">
        <f>IF($A160="","",IFERROR(INDEX('Natural Catastrophe'!$D$6:$D$17,MATCH($AS160,'Natural Catastrophe'!$B$6:$B$17,0)),"?"))</f>
        <v/>
      </c>
      <c r="AV160" s="100" t="str">
        <f>IF($A160="","",IFERROR(INDEX('Natural Catastrophe'!$C$21:$C$26,MATCH($AA160,'Natural Catastrophe'!$B$21:$B$26,0)),"?"))</f>
        <v/>
      </c>
      <c r="AW160" s="99" t="str">
        <f>IF($A160="","",IFERROR(INDEX('Base Rates'!$C$4:$I$4,MATCH(MAX($J160,'Technical Premium'!$C$18),'Base Rates'!$C$3:$I$3,1)),"?"))</f>
        <v/>
      </c>
      <c r="AX160" s="101" t="str">
        <f>IF($A160="","",IFERROR(INDEX('Base Rates'!$C$5:$I$16,MATCH($I160,'Base Rates'!$B$5:$B$16,0),MATCH(MAX($J160,'Technical Premium'!$C$18),'Base Rates'!$C$3:$I$3,1)),"?"))</f>
        <v/>
      </c>
      <c r="AY160" s="102" t="str">
        <f t="shared" si="27"/>
        <v/>
      </c>
      <c r="AZ160" s="99" t="str">
        <f>IF($A160="","",IFERROR(INDEX('Make Factors'!$G$5:$G$69,MATCH($F160,'Make Factors'!$B$5:$B$69,0)),"?"))</f>
        <v/>
      </c>
      <c r="BA160" s="99" t="str">
        <f>IF($A160="","",IFERROR(INDEX('Driver Factors'!$C$6:$C$15,MATCH($R160,'Driver Factors'!$B$6:$B$15,0)),"?"))</f>
        <v/>
      </c>
      <c r="BB160" s="99" t="str">
        <f>IF($A160="","",IFERROR(INDEX('Driver Factors'!$C$19:$C$24,MATCH($S160,'Driver Factors'!$B$19:$B$24,0)),"?"))</f>
        <v/>
      </c>
      <c r="BC160" s="99" t="str">
        <f>IF($A160="","",IFERROR(INDEX('Driver Factors'!$C$28:$C$36,MATCH($T160,'Driver Factors'!$B$28:$B$36,0)),"?"))</f>
        <v/>
      </c>
      <c r="BD160" s="99" t="str">
        <f>IF($A160="","",IFERROR(INDEX('Claims History'!$C$6:$C$15,MATCH($U160,'Claims History'!$B$6:$B$15,0)),"?"))</f>
        <v/>
      </c>
      <c r="BE160" s="99" t="str">
        <f>IF($A160="","",IFERROR(INDEX('Territory Factors'!$E$6:$E$56,MATCH($K160,'Territory Factors'!$B$6:$B$56,0)),"?"))</f>
        <v/>
      </c>
      <c r="BF160" s="99" t="str">
        <f>IF($A160="","",IFERROR(INDEX('City Accident Ratings'!$G$6:$G$54,MATCH($Z160,'City Accident Ratings'!$B$6:$B$54,0)),"?"))</f>
        <v/>
      </c>
      <c r="BG160" s="99" t="str">
        <f>IF($A160="","",IFERROR(INDEX('Usage and Coverage'!$D$6:$D$20,MATCH($N160,'Usage and Coverage'!$C$6:$C$20,0)),"?"))</f>
        <v/>
      </c>
      <c r="BH160" s="99" t="str">
        <f>IF($A160="","",IFERROR(INDEX('Usage and Coverage'!$C$24:$C$30,MATCH($O160,'Usage and Coverage'!$B$24:$B$30,0)),"?"))</f>
        <v/>
      </c>
      <c r="BI160" s="99" t="str">
        <f>IF($A160="","",IFERROR(INDEX('Usage and Coverage'!$C$34:$C$40,MATCH($P160,'Usage and Coverage'!$B$34:$B$40,0)),"?"))</f>
        <v/>
      </c>
      <c r="BJ160" s="99" t="str">
        <f>IF($A160="","",IFERROR(INDEX('Usage and Coverage'!$C$44:$C$49,MATCH($Q160,'Usage and Coverage'!$B$44:$B$49,0)),"?"))</f>
        <v/>
      </c>
      <c r="BK160" s="99" t="str">
        <f>IF($A160="","",IFERROR(INDEX(Deductibles!$C$6:$I$15,MATCH($W160,Deductibles!$B$6:$B$15,0),MATCH(MAX($J160,'Technical Premium'!$C$18),'Base Rates'!$C$3:$I$3,1)),"?"))</f>
        <v/>
      </c>
      <c r="BL160" s="99" t="str">
        <f>IF($A160="","",IFERROR(INDEX('Usage and Coverage'!$C$63:$C$66,MATCH($X160,'Usage and Coverage'!$B$63:$B$66,0)),"?"))</f>
        <v/>
      </c>
      <c r="BM160" s="99" t="str">
        <f>IF($A160="","",IFERROR(INDEX('Usage and Coverage'!$C$70:$C$75,MATCH($V160,'Usage and Coverage'!$B$70:$B$75,0)),"?"))</f>
        <v/>
      </c>
      <c r="BN160" s="99" t="str">
        <f>IF($A160="","",IF($AB160="",1,IFERROR(INDEX(Deductibles!$C$48:$C$51,MATCH($AB160,Deductibles!$B$48:$B$51,0)),"?")))</f>
        <v/>
      </c>
      <c r="BO160" s="99" t="str">
        <f>IF($A160="","",IF($AC160="",1,IFERROR(INDEX(Deductibles!$C$55:$C$57,MATCH($AC160,Deductibles!$B$55:$B$57,0)),"?")))</f>
        <v/>
      </c>
      <c r="BP160" s="99" t="str">
        <f>IF($A160="","",IF($AD160="",1,IFERROR(INDEX(Deductibles!$C$61:$C$63,MATCH($AD160,Deductibles!$B$61:$B$63,0)),"?")))</f>
        <v/>
      </c>
      <c r="BQ160" s="99" t="str">
        <f>IF($A160="","",IF($AE160="",1,IFERROR(INDEX(Deductibles!$C$67:$C$69,MATCH($AE160,Deductibles!$B$67:$B$69,0)),"?")))</f>
        <v/>
      </c>
      <c r="BR160" s="99" t="str">
        <f>IF($A160="","",IF($AF160="",1,IFERROR(INDEX(Deductibles!$C$73:$C$74,MATCH($AF160,Deductibles!$B$73:$B$74,0)),"?")))</f>
        <v/>
      </c>
      <c r="BS160" s="99" t="str">
        <f>IF($A160="","",IF($AG160="",1,IFERROR(INDEX('Sublimits and Parts'!$C$49:$C$52,MATCH($AG160,'Sublimits and Parts'!$B$49:$B$52,0)),"?")))</f>
        <v/>
      </c>
      <c r="BT160" s="99" t="str">
        <f>IF($A160="","",IF($AH160="",1,IFERROR(INDEX('Sublimits and Parts'!$C$56:$C$60,MATCH($AH160,'Sublimits and Parts'!$B$56:$B$60,0)),"?")))</f>
        <v/>
      </c>
      <c r="BU160" s="99" t="str">
        <f>IF($A160="","",IF($AI160="",1,IFERROR(INDEX('Sublimits and Parts'!$C$64:$C$67,MATCH($AI160,'Sublimits and Parts'!$B$64:$B$67,0)),"?")))</f>
        <v/>
      </c>
      <c r="BV160" s="99" t="str">
        <f>IF($A160="","",IF($AJ160="",1,IFERROR(INDEX('Sublimits and Parts'!$C$71:$C$74,MATCH($AJ160,'Sublimits and Parts'!$B$71:$B$74,0)),"?")))</f>
        <v/>
      </c>
      <c r="BW160" s="99" t="str">
        <f>IF($A160="","",IF($AK160="",1,IFERROR(INDEX('Sublimits and Parts'!$C$78:$C$80,MATCH($AK160,'Sublimits and Parts'!$B$78:$B$80,0)),"?")))</f>
        <v/>
      </c>
      <c r="BX160" s="99" t="str">
        <f>IF($A160="","",IF($AL160="",1,IFERROR(INDEX('Sublimits and Parts'!$C$84:$C$87,MATCH($AL160,'Sublimits and Parts'!$B$84:$B$87,0)),"?")))</f>
        <v/>
      </c>
      <c r="BY160" s="99" t="str">
        <f>IF($A160="","",IF($AM160="",1,IFERROR(INDEX('Sublimits and Parts'!$C$91:$C$94,MATCH($AM160,'Sublimits and Parts'!$B$91:$B$94,0)),"?")))</f>
        <v/>
      </c>
      <c r="BZ160" s="99" t="str">
        <f>IF($A160="","",IF($AN160="",1,IFERROR(INDEX('Sublimits and Parts'!$C$98:$C$101,MATCH($AN160,'Sublimits and Parts'!$B$98:$B$101,0)),"?")))</f>
        <v/>
      </c>
      <c r="CA160" s="99" t="str">
        <f>IF($A160="","",IF($AO160="",1,IFERROR(INDEX('Sublimits and Parts'!$C$105:$C$109,MATCH($AO160,'Sublimits and Parts'!$B$105:$B$109,0)),"?")))</f>
        <v/>
      </c>
      <c r="CB160" s="100" t="str">
        <f t="shared" si="28"/>
        <v/>
      </c>
      <c r="CC160" s="100" t="str">
        <f t="shared" si="29"/>
        <v/>
      </c>
      <c r="CD160" s="103" t="str">
        <f>IF($A160="","",IF(OR($CB160="?",$CC160="?"),"?",MIN($CB160*$CC160,'Technical Premium'!$C$17)))</f>
        <v/>
      </c>
      <c r="CE160" s="102" t="str">
        <f t="shared" si="30"/>
        <v/>
      </c>
      <c r="CF160" s="102" t="str">
        <f>IF($A160="","",IFERROR(INDEX('Territory Factors'!$F$6:$F$56,MATCH($K160,'Territory Factors'!$B$6:$B$56,0)),"?"))</f>
        <v/>
      </c>
      <c r="CG160" s="100" t="str">
        <f>IF($A160="","",IFERROR(INDEX('Usage and Coverage'!$C$79:$C$84,MATCH($Y160,'Usage and Coverage'!$B$79:$B$84,0)),"?"))</f>
        <v/>
      </c>
      <c r="CH160" s="102" t="str">
        <f>IFERROR(IF(ISNUMBER($CD160),$CF160*$CG160*MIN($BG160*$BA160*$BC160*$BD160*$BH160*$BF160,'Technical Premium'!$C$17),""),"")</f>
        <v/>
      </c>
      <c r="CI160" s="102" t="str">
        <f t="shared" si="31"/>
        <v/>
      </c>
      <c r="CJ160" s="102" t="str">
        <f>IFERROR($CI160*(1+'Technical Premium'!$C$5)*(1+'Technical Premium'!$C$6),"")</f>
        <v/>
      </c>
      <c r="CK160" s="102" t="str">
        <f>IFERROR($CE160*INDEX('Territory Factors'!$G$6:$G$56,MATCH($K160,'Territory Factors'!$B$6:$B$56,0))*$AU160*$AV160,"")</f>
        <v/>
      </c>
      <c r="CL160" s="102" t="str">
        <f>IFERROR(($CJ160+$CK160)*(1+'Technical Premium'!$C$7),"")</f>
        <v/>
      </c>
      <c r="CM160" s="104" t="str">
        <f>IFERROR($CL160/'Technical Premium'!$C$13,"")</f>
        <v/>
      </c>
      <c r="CN160" s="105" t="str">
        <f t="shared" si="32"/>
        <v/>
      </c>
      <c r="CO160" s="104" t="str">
        <f t="shared" si="33"/>
        <v/>
      </c>
      <c r="CP160" s="105" t="str">
        <f t="shared" si="34"/>
        <v/>
      </c>
      <c r="CQ160" s="106" t="str">
        <f t="shared" si="35"/>
        <v/>
      </c>
      <c r="CR160" s="102" t="str">
        <f>IF(ISNUMBER($CM160),'Technical Premium'!$C$14+IF($J160&gt;=1000000,'Technical Premium'!$C$15,0),"")</f>
        <v/>
      </c>
      <c r="CS160" s="102" t="str">
        <f>IFERROR(($CO160+$CR160)*(INDEX('Territory Factors'!$K$6:$K$56,MATCH($K160,'Territory Factors'!$B$6:$B$56,0))+'Commission Structure'!$C$21),"")</f>
        <v/>
      </c>
      <c r="CT160" s="104" t="str">
        <f t="shared" si="36"/>
        <v/>
      </c>
      <c r="CU160" s="102" t="str">
        <f>IFERROR($CO160*('Commission Structure'!$C$6+'Commission Structure'!$C$7),"")</f>
        <v/>
      </c>
      <c r="CV160" s="102" t="str">
        <f>IFERROR($CO160*'Commission Structure'!$C$5-$CU160,"")</f>
        <v/>
      </c>
      <c r="CW160" s="102" t="str">
        <f>IFERROR($CO160*(1-'Commission Structure'!$C$5),"")</f>
        <v/>
      </c>
      <c r="CX160" s="107"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8" t="str">
        <f t="shared" si="37"/>
        <v/>
      </c>
      <c r="CZ160" s="99" t="str">
        <f>IF($CY160="","",IF($CY160&lt;'Technical Premium'!$C$19,"BEYOND AUTHORITY",IF($CY160&gt;0.005,"Above technical",IF($CY160&lt;-0.005,"BELOW technical","At technical"))))</f>
        <v/>
      </c>
      <c r="DA160" s="99"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4"/>
      <c r="DC160" s="94"/>
      <c r="DD160" s="95"/>
      <c r="DE160" s="94"/>
      <c r="DF160" s="94"/>
      <c r="DG160" s="99" t="str">
        <f t="shared" si="38"/>
        <v/>
      </c>
      <c r="DH160" s="99" t="str">
        <f>IF($A160="","",IF(OR($CX160="REFER",$CX160="DECLINE"),COUNTIF($CX$5:$CX160,"REFER")+COUNTIF($CX$5:$CX160,"DECLINE"),""))</f>
        <v/>
      </c>
      <c r="DI160" s="94"/>
    </row>
    <row r="161" spans="1:113" x14ac:dyDescent="0.35">
      <c r="A161" s="94"/>
      <c r="B161" s="94"/>
      <c r="C161" s="95"/>
      <c r="D161" s="95"/>
      <c r="E161" s="96"/>
      <c r="F161" s="94"/>
      <c r="G161" s="94"/>
      <c r="H161" s="94"/>
      <c r="I161" s="94"/>
      <c r="J161" s="97"/>
      <c r="K161" s="94"/>
      <c r="L161" s="94"/>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8"/>
      <c r="AR161" s="99" t="str">
        <f t="shared" si="26"/>
        <v/>
      </c>
      <c r="AS161" s="99" t="str">
        <f>IF($A161="","",IF($AP161&lt;&gt;"",$AP161,IFERROR(INDEX('Cat Zone by ZIP'!$D$6:$D$856,MATCH($AR161,'Cat Zone by ZIP'!$B$6:$B$856,0)),IFERROR(INDEX('Cat Zone by ZIP'!$C$860:$C$910,MATCH($K161,'Cat Zone by ZIP'!$B$860:$B$910,0)),"NOT FOUND"))))</f>
        <v/>
      </c>
      <c r="AT161" s="99" t="str">
        <f>IF($A161="","",IF($AP161&lt;&gt;"","Override",IF(ISNUMBER(MATCH($AR161,'Cat Zone by ZIP'!$B$6:$B$856,0)),"ZIP-3","State default")))</f>
        <v/>
      </c>
      <c r="AU161" s="100" t="str">
        <f>IF($A161="","",IFERROR(INDEX('Natural Catastrophe'!$D$6:$D$17,MATCH($AS161,'Natural Catastrophe'!$B$6:$B$17,0)),"?"))</f>
        <v/>
      </c>
      <c r="AV161" s="100" t="str">
        <f>IF($A161="","",IFERROR(INDEX('Natural Catastrophe'!$C$21:$C$26,MATCH($AA161,'Natural Catastrophe'!$B$21:$B$26,0)),"?"))</f>
        <v/>
      </c>
      <c r="AW161" s="99" t="str">
        <f>IF($A161="","",IFERROR(INDEX('Base Rates'!$C$4:$I$4,MATCH(MAX($J161,'Technical Premium'!$C$18),'Base Rates'!$C$3:$I$3,1)),"?"))</f>
        <v/>
      </c>
      <c r="AX161" s="101" t="str">
        <f>IF($A161="","",IFERROR(INDEX('Base Rates'!$C$5:$I$16,MATCH($I161,'Base Rates'!$B$5:$B$16,0),MATCH(MAX($J161,'Technical Premium'!$C$18),'Base Rates'!$C$3:$I$3,1)),"?"))</f>
        <v/>
      </c>
      <c r="AY161" s="102" t="str">
        <f t="shared" si="27"/>
        <v/>
      </c>
      <c r="AZ161" s="99" t="str">
        <f>IF($A161="","",IFERROR(INDEX('Make Factors'!$G$5:$G$69,MATCH($F161,'Make Factors'!$B$5:$B$69,0)),"?"))</f>
        <v/>
      </c>
      <c r="BA161" s="99" t="str">
        <f>IF($A161="","",IFERROR(INDEX('Driver Factors'!$C$6:$C$15,MATCH($R161,'Driver Factors'!$B$6:$B$15,0)),"?"))</f>
        <v/>
      </c>
      <c r="BB161" s="99" t="str">
        <f>IF($A161="","",IFERROR(INDEX('Driver Factors'!$C$19:$C$24,MATCH($S161,'Driver Factors'!$B$19:$B$24,0)),"?"))</f>
        <v/>
      </c>
      <c r="BC161" s="99" t="str">
        <f>IF($A161="","",IFERROR(INDEX('Driver Factors'!$C$28:$C$36,MATCH($T161,'Driver Factors'!$B$28:$B$36,0)),"?"))</f>
        <v/>
      </c>
      <c r="BD161" s="99" t="str">
        <f>IF($A161="","",IFERROR(INDEX('Claims History'!$C$6:$C$15,MATCH($U161,'Claims History'!$B$6:$B$15,0)),"?"))</f>
        <v/>
      </c>
      <c r="BE161" s="99" t="str">
        <f>IF($A161="","",IFERROR(INDEX('Territory Factors'!$E$6:$E$56,MATCH($K161,'Territory Factors'!$B$6:$B$56,0)),"?"))</f>
        <v/>
      </c>
      <c r="BF161" s="99" t="str">
        <f>IF($A161="","",IFERROR(INDEX('City Accident Ratings'!$G$6:$G$54,MATCH($Z161,'City Accident Ratings'!$B$6:$B$54,0)),"?"))</f>
        <v/>
      </c>
      <c r="BG161" s="99" t="str">
        <f>IF($A161="","",IFERROR(INDEX('Usage and Coverage'!$D$6:$D$20,MATCH($N161,'Usage and Coverage'!$C$6:$C$20,0)),"?"))</f>
        <v/>
      </c>
      <c r="BH161" s="99" t="str">
        <f>IF($A161="","",IFERROR(INDEX('Usage and Coverage'!$C$24:$C$30,MATCH($O161,'Usage and Coverage'!$B$24:$B$30,0)),"?"))</f>
        <v/>
      </c>
      <c r="BI161" s="99" t="str">
        <f>IF($A161="","",IFERROR(INDEX('Usage and Coverage'!$C$34:$C$40,MATCH($P161,'Usage and Coverage'!$B$34:$B$40,0)),"?"))</f>
        <v/>
      </c>
      <c r="BJ161" s="99" t="str">
        <f>IF($A161="","",IFERROR(INDEX('Usage and Coverage'!$C$44:$C$49,MATCH($Q161,'Usage and Coverage'!$B$44:$B$49,0)),"?"))</f>
        <v/>
      </c>
      <c r="BK161" s="99" t="str">
        <f>IF($A161="","",IFERROR(INDEX(Deductibles!$C$6:$I$15,MATCH($W161,Deductibles!$B$6:$B$15,0),MATCH(MAX($J161,'Technical Premium'!$C$18),'Base Rates'!$C$3:$I$3,1)),"?"))</f>
        <v/>
      </c>
      <c r="BL161" s="99" t="str">
        <f>IF($A161="","",IFERROR(INDEX('Usage and Coverage'!$C$63:$C$66,MATCH($X161,'Usage and Coverage'!$B$63:$B$66,0)),"?"))</f>
        <v/>
      </c>
      <c r="BM161" s="99" t="str">
        <f>IF($A161="","",IFERROR(INDEX('Usage and Coverage'!$C$70:$C$75,MATCH($V161,'Usage and Coverage'!$B$70:$B$75,0)),"?"))</f>
        <v/>
      </c>
      <c r="BN161" s="99" t="str">
        <f>IF($A161="","",IF($AB161="",1,IFERROR(INDEX(Deductibles!$C$48:$C$51,MATCH($AB161,Deductibles!$B$48:$B$51,0)),"?")))</f>
        <v/>
      </c>
      <c r="BO161" s="99" t="str">
        <f>IF($A161="","",IF($AC161="",1,IFERROR(INDEX(Deductibles!$C$55:$C$57,MATCH($AC161,Deductibles!$B$55:$B$57,0)),"?")))</f>
        <v/>
      </c>
      <c r="BP161" s="99" t="str">
        <f>IF($A161="","",IF($AD161="",1,IFERROR(INDEX(Deductibles!$C$61:$C$63,MATCH($AD161,Deductibles!$B$61:$B$63,0)),"?")))</f>
        <v/>
      </c>
      <c r="BQ161" s="99" t="str">
        <f>IF($A161="","",IF($AE161="",1,IFERROR(INDEX(Deductibles!$C$67:$C$69,MATCH($AE161,Deductibles!$B$67:$B$69,0)),"?")))</f>
        <v/>
      </c>
      <c r="BR161" s="99" t="str">
        <f>IF($A161="","",IF($AF161="",1,IFERROR(INDEX(Deductibles!$C$73:$C$74,MATCH($AF161,Deductibles!$B$73:$B$74,0)),"?")))</f>
        <v/>
      </c>
      <c r="BS161" s="99" t="str">
        <f>IF($A161="","",IF($AG161="",1,IFERROR(INDEX('Sublimits and Parts'!$C$49:$C$52,MATCH($AG161,'Sublimits and Parts'!$B$49:$B$52,0)),"?")))</f>
        <v/>
      </c>
      <c r="BT161" s="99" t="str">
        <f>IF($A161="","",IF($AH161="",1,IFERROR(INDEX('Sublimits and Parts'!$C$56:$C$60,MATCH($AH161,'Sublimits and Parts'!$B$56:$B$60,0)),"?")))</f>
        <v/>
      </c>
      <c r="BU161" s="99" t="str">
        <f>IF($A161="","",IF($AI161="",1,IFERROR(INDEX('Sublimits and Parts'!$C$64:$C$67,MATCH($AI161,'Sublimits and Parts'!$B$64:$B$67,0)),"?")))</f>
        <v/>
      </c>
      <c r="BV161" s="99" t="str">
        <f>IF($A161="","",IF($AJ161="",1,IFERROR(INDEX('Sublimits and Parts'!$C$71:$C$74,MATCH($AJ161,'Sublimits and Parts'!$B$71:$B$74,0)),"?")))</f>
        <v/>
      </c>
      <c r="BW161" s="99" t="str">
        <f>IF($A161="","",IF($AK161="",1,IFERROR(INDEX('Sublimits and Parts'!$C$78:$C$80,MATCH($AK161,'Sublimits and Parts'!$B$78:$B$80,0)),"?")))</f>
        <v/>
      </c>
      <c r="BX161" s="99" t="str">
        <f>IF($A161="","",IF($AL161="",1,IFERROR(INDEX('Sublimits and Parts'!$C$84:$C$87,MATCH($AL161,'Sublimits and Parts'!$B$84:$B$87,0)),"?")))</f>
        <v/>
      </c>
      <c r="BY161" s="99" t="str">
        <f>IF($A161="","",IF($AM161="",1,IFERROR(INDEX('Sublimits and Parts'!$C$91:$C$94,MATCH($AM161,'Sublimits and Parts'!$B$91:$B$94,0)),"?")))</f>
        <v/>
      </c>
      <c r="BZ161" s="99" t="str">
        <f>IF($A161="","",IF($AN161="",1,IFERROR(INDEX('Sublimits and Parts'!$C$98:$C$101,MATCH($AN161,'Sublimits and Parts'!$B$98:$B$101,0)),"?")))</f>
        <v/>
      </c>
      <c r="CA161" s="99" t="str">
        <f>IF($A161="","",IF($AO161="",1,IFERROR(INDEX('Sublimits and Parts'!$C$105:$C$109,MATCH($AO161,'Sublimits and Parts'!$B$105:$B$109,0)),"?")))</f>
        <v/>
      </c>
      <c r="CB161" s="100" t="str">
        <f t="shared" si="28"/>
        <v/>
      </c>
      <c r="CC161" s="100" t="str">
        <f t="shared" si="29"/>
        <v/>
      </c>
      <c r="CD161" s="103" t="str">
        <f>IF($A161="","",IF(OR($CB161="?",$CC161="?"),"?",MIN($CB161*$CC161,'Technical Premium'!$C$17)))</f>
        <v/>
      </c>
      <c r="CE161" s="102" t="str">
        <f t="shared" si="30"/>
        <v/>
      </c>
      <c r="CF161" s="102" t="str">
        <f>IF($A161="","",IFERROR(INDEX('Territory Factors'!$F$6:$F$56,MATCH($K161,'Territory Factors'!$B$6:$B$56,0)),"?"))</f>
        <v/>
      </c>
      <c r="CG161" s="100" t="str">
        <f>IF($A161="","",IFERROR(INDEX('Usage and Coverage'!$C$79:$C$84,MATCH($Y161,'Usage and Coverage'!$B$79:$B$84,0)),"?"))</f>
        <v/>
      </c>
      <c r="CH161" s="102" t="str">
        <f>IFERROR(IF(ISNUMBER($CD161),$CF161*$CG161*MIN($BG161*$BA161*$BC161*$BD161*$BH161*$BF161,'Technical Premium'!$C$17),""),"")</f>
        <v/>
      </c>
      <c r="CI161" s="102" t="str">
        <f t="shared" si="31"/>
        <v/>
      </c>
      <c r="CJ161" s="102" t="str">
        <f>IFERROR($CI161*(1+'Technical Premium'!$C$5)*(1+'Technical Premium'!$C$6),"")</f>
        <v/>
      </c>
      <c r="CK161" s="102" t="str">
        <f>IFERROR($CE161*INDEX('Territory Factors'!$G$6:$G$56,MATCH($K161,'Territory Factors'!$B$6:$B$56,0))*$AU161*$AV161,"")</f>
        <v/>
      </c>
      <c r="CL161" s="102" t="str">
        <f>IFERROR(($CJ161+$CK161)*(1+'Technical Premium'!$C$7),"")</f>
        <v/>
      </c>
      <c r="CM161" s="104" t="str">
        <f>IFERROR($CL161/'Technical Premium'!$C$13,"")</f>
        <v/>
      </c>
      <c r="CN161" s="105" t="str">
        <f t="shared" si="32"/>
        <v/>
      </c>
      <c r="CO161" s="104" t="str">
        <f t="shared" si="33"/>
        <v/>
      </c>
      <c r="CP161" s="105" t="str">
        <f t="shared" si="34"/>
        <v/>
      </c>
      <c r="CQ161" s="106" t="str">
        <f t="shared" si="35"/>
        <v/>
      </c>
      <c r="CR161" s="102" t="str">
        <f>IF(ISNUMBER($CM161),'Technical Premium'!$C$14+IF($J161&gt;=1000000,'Technical Premium'!$C$15,0),"")</f>
        <v/>
      </c>
      <c r="CS161" s="102" t="str">
        <f>IFERROR(($CO161+$CR161)*(INDEX('Territory Factors'!$K$6:$K$56,MATCH($K161,'Territory Factors'!$B$6:$B$56,0))+'Commission Structure'!$C$21),"")</f>
        <v/>
      </c>
      <c r="CT161" s="104" t="str">
        <f t="shared" si="36"/>
        <v/>
      </c>
      <c r="CU161" s="102" t="str">
        <f>IFERROR($CO161*('Commission Structure'!$C$6+'Commission Structure'!$C$7),"")</f>
        <v/>
      </c>
      <c r="CV161" s="102" t="str">
        <f>IFERROR($CO161*'Commission Structure'!$C$5-$CU161,"")</f>
        <v/>
      </c>
      <c r="CW161" s="102" t="str">
        <f>IFERROR($CO161*(1-'Commission Structure'!$C$5),"")</f>
        <v/>
      </c>
      <c r="CX161" s="107"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8" t="str">
        <f t="shared" si="37"/>
        <v/>
      </c>
      <c r="CZ161" s="99" t="str">
        <f>IF($CY161="","",IF($CY161&lt;'Technical Premium'!$C$19,"BEYOND AUTHORITY",IF($CY161&gt;0.005,"Above technical",IF($CY161&lt;-0.005,"BELOW technical","At technical"))))</f>
        <v/>
      </c>
      <c r="DA161" s="99"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4"/>
      <c r="DC161" s="94"/>
      <c r="DD161" s="95"/>
      <c r="DE161" s="94"/>
      <c r="DF161" s="94"/>
      <c r="DG161" s="99" t="str">
        <f t="shared" si="38"/>
        <v/>
      </c>
      <c r="DH161" s="99" t="str">
        <f>IF($A161="","",IF(OR($CX161="REFER",$CX161="DECLINE"),COUNTIF($CX$5:$CX161,"REFER")+COUNTIF($CX$5:$CX161,"DECLINE"),""))</f>
        <v/>
      </c>
      <c r="DI161" s="94"/>
    </row>
    <row r="162" spans="1:113" x14ac:dyDescent="0.35">
      <c r="A162" s="94"/>
      <c r="B162" s="94"/>
      <c r="C162" s="95"/>
      <c r="D162" s="95"/>
      <c r="E162" s="96"/>
      <c r="F162" s="94"/>
      <c r="G162" s="94"/>
      <c r="H162" s="94"/>
      <c r="I162" s="94"/>
      <c r="J162" s="97"/>
      <c r="K162" s="94"/>
      <c r="L162" s="94"/>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8"/>
      <c r="AR162" s="99" t="str">
        <f t="shared" si="26"/>
        <v/>
      </c>
      <c r="AS162" s="99" t="str">
        <f>IF($A162="","",IF($AP162&lt;&gt;"",$AP162,IFERROR(INDEX('Cat Zone by ZIP'!$D$6:$D$856,MATCH($AR162,'Cat Zone by ZIP'!$B$6:$B$856,0)),IFERROR(INDEX('Cat Zone by ZIP'!$C$860:$C$910,MATCH($K162,'Cat Zone by ZIP'!$B$860:$B$910,0)),"NOT FOUND"))))</f>
        <v/>
      </c>
      <c r="AT162" s="99" t="str">
        <f>IF($A162="","",IF($AP162&lt;&gt;"","Override",IF(ISNUMBER(MATCH($AR162,'Cat Zone by ZIP'!$B$6:$B$856,0)),"ZIP-3","State default")))</f>
        <v/>
      </c>
      <c r="AU162" s="100" t="str">
        <f>IF($A162="","",IFERROR(INDEX('Natural Catastrophe'!$D$6:$D$17,MATCH($AS162,'Natural Catastrophe'!$B$6:$B$17,0)),"?"))</f>
        <v/>
      </c>
      <c r="AV162" s="100" t="str">
        <f>IF($A162="","",IFERROR(INDEX('Natural Catastrophe'!$C$21:$C$26,MATCH($AA162,'Natural Catastrophe'!$B$21:$B$26,0)),"?"))</f>
        <v/>
      </c>
      <c r="AW162" s="99" t="str">
        <f>IF($A162="","",IFERROR(INDEX('Base Rates'!$C$4:$I$4,MATCH(MAX($J162,'Technical Premium'!$C$18),'Base Rates'!$C$3:$I$3,1)),"?"))</f>
        <v/>
      </c>
      <c r="AX162" s="101" t="str">
        <f>IF($A162="","",IFERROR(INDEX('Base Rates'!$C$5:$I$16,MATCH($I162,'Base Rates'!$B$5:$B$16,0),MATCH(MAX($J162,'Technical Premium'!$C$18),'Base Rates'!$C$3:$I$3,1)),"?"))</f>
        <v/>
      </c>
      <c r="AY162" s="102" t="str">
        <f t="shared" si="27"/>
        <v/>
      </c>
      <c r="AZ162" s="99" t="str">
        <f>IF($A162="","",IFERROR(INDEX('Make Factors'!$G$5:$G$69,MATCH($F162,'Make Factors'!$B$5:$B$69,0)),"?"))</f>
        <v/>
      </c>
      <c r="BA162" s="99" t="str">
        <f>IF($A162="","",IFERROR(INDEX('Driver Factors'!$C$6:$C$15,MATCH($R162,'Driver Factors'!$B$6:$B$15,0)),"?"))</f>
        <v/>
      </c>
      <c r="BB162" s="99" t="str">
        <f>IF($A162="","",IFERROR(INDEX('Driver Factors'!$C$19:$C$24,MATCH($S162,'Driver Factors'!$B$19:$B$24,0)),"?"))</f>
        <v/>
      </c>
      <c r="BC162" s="99" t="str">
        <f>IF($A162="","",IFERROR(INDEX('Driver Factors'!$C$28:$C$36,MATCH($T162,'Driver Factors'!$B$28:$B$36,0)),"?"))</f>
        <v/>
      </c>
      <c r="BD162" s="99" t="str">
        <f>IF($A162="","",IFERROR(INDEX('Claims History'!$C$6:$C$15,MATCH($U162,'Claims History'!$B$6:$B$15,0)),"?"))</f>
        <v/>
      </c>
      <c r="BE162" s="99" t="str">
        <f>IF($A162="","",IFERROR(INDEX('Territory Factors'!$E$6:$E$56,MATCH($K162,'Territory Factors'!$B$6:$B$56,0)),"?"))</f>
        <v/>
      </c>
      <c r="BF162" s="99" t="str">
        <f>IF($A162="","",IFERROR(INDEX('City Accident Ratings'!$G$6:$G$54,MATCH($Z162,'City Accident Ratings'!$B$6:$B$54,0)),"?"))</f>
        <v/>
      </c>
      <c r="BG162" s="99" t="str">
        <f>IF($A162="","",IFERROR(INDEX('Usage and Coverage'!$D$6:$D$20,MATCH($N162,'Usage and Coverage'!$C$6:$C$20,0)),"?"))</f>
        <v/>
      </c>
      <c r="BH162" s="99" t="str">
        <f>IF($A162="","",IFERROR(INDEX('Usage and Coverage'!$C$24:$C$30,MATCH($O162,'Usage and Coverage'!$B$24:$B$30,0)),"?"))</f>
        <v/>
      </c>
      <c r="BI162" s="99" t="str">
        <f>IF($A162="","",IFERROR(INDEX('Usage and Coverage'!$C$34:$C$40,MATCH($P162,'Usage and Coverage'!$B$34:$B$40,0)),"?"))</f>
        <v/>
      </c>
      <c r="BJ162" s="99" t="str">
        <f>IF($A162="","",IFERROR(INDEX('Usage and Coverage'!$C$44:$C$49,MATCH($Q162,'Usage and Coverage'!$B$44:$B$49,0)),"?"))</f>
        <v/>
      </c>
      <c r="BK162" s="99" t="str">
        <f>IF($A162="","",IFERROR(INDEX(Deductibles!$C$6:$I$15,MATCH($W162,Deductibles!$B$6:$B$15,0),MATCH(MAX($J162,'Technical Premium'!$C$18),'Base Rates'!$C$3:$I$3,1)),"?"))</f>
        <v/>
      </c>
      <c r="BL162" s="99" t="str">
        <f>IF($A162="","",IFERROR(INDEX('Usage and Coverage'!$C$63:$C$66,MATCH($X162,'Usage and Coverage'!$B$63:$B$66,0)),"?"))</f>
        <v/>
      </c>
      <c r="BM162" s="99" t="str">
        <f>IF($A162="","",IFERROR(INDEX('Usage and Coverage'!$C$70:$C$75,MATCH($V162,'Usage and Coverage'!$B$70:$B$75,0)),"?"))</f>
        <v/>
      </c>
      <c r="BN162" s="99" t="str">
        <f>IF($A162="","",IF($AB162="",1,IFERROR(INDEX(Deductibles!$C$48:$C$51,MATCH($AB162,Deductibles!$B$48:$B$51,0)),"?")))</f>
        <v/>
      </c>
      <c r="BO162" s="99" t="str">
        <f>IF($A162="","",IF($AC162="",1,IFERROR(INDEX(Deductibles!$C$55:$C$57,MATCH($AC162,Deductibles!$B$55:$B$57,0)),"?")))</f>
        <v/>
      </c>
      <c r="BP162" s="99" t="str">
        <f>IF($A162="","",IF($AD162="",1,IFERROR(INDEX(Deductibles!$C$61:$C$63,MATCH($AD162,Deductibles!$B$61:$B$63,0)),"?")))</f>
        <v/>
      </c>
      <c r="BQ162" s="99" t="str">
        <f>IF($A162="","",IF($AE162="",1,IFERROR(INDEX(Deductibles!$C$67:$C$69,MATCH($AE162,Deductibles!$B$67:$B$69,0)),"?")))</f>
        <v/>
      </c>
      <c r="BR162" s="99" t="str">
        <f>IF($A162="","",IF($AF162="",1,IFERROR(INDEX(Deductibles!$C$73:$C$74,MATCH($AF162,Deductibles!$B$73:$B$74,0)),"?")))</f>
        <v/>
      </c>
      <c r="BS162" s="99" t="str">
        <f>IF($A162="","",IF($AG162="",1,IFERROR(INDEX('Sublimits and Parts'!$C$49:$C$52,MATCH($AG162,'Sublimits and Parts'!$B$49:$B$52,0)),"?")))</f>
        <v/>
      </c>
      <c r="BT162" s="99" t="str">
        <f>IF($A162="","",IF($AH162="",1,IFERROR(INDEX('Sublimits and Parts'!$C$56:$C$60,MATCH($AH162,'Sublimits and Parts'!$B$56:$B$60,0)),"?")))</f>
        <v/>
      </c>
      <c r="BU162" s="99" t="str">
        <f>IF($A162="","",IF($AI162="",1,IFERROR(INDEX('Sublimits and Parts'!$C$64:$C$67,MATCH($AI162,'Sublimits and Parts'!$B$64:$B$67,0)),"?")))</f>
        <v/>
      </c>
      <c r="BV162" s="99" t="str">
        <f>IF($A162="","",IF($AJ162="",1,IFERROR(INDEX('Sublimits and Parts'!$C$71:$C$74,MATCH($AJ162,'Sublimits and Parts'!$B$71:$B$74,0)),"?")))</f>
        <v/>
      </c>
      <c r="BW162" s="99" t="str">
        <f>IF($A162="","",IF($AK162="",1,IFERROR(INDEX('Sublimits and Parts'!$C$78:$C$80,MATCH($AK162,'Sublimits and Parts'!$B$78:$B$80,0)),"?")))</f>
        <v/>
      </c>
      <c r="BX162" s="99" t="str">
        <f>IF($A162="","",IF($AL162="",1,IFERROR(INDEX('Sublimits and Parts'!$C$84:$C$87,MATCH($AL162,'Sublimits and Parts'!$B$84:$B$87,0)),"?")))</f>
        <v/>
      </c>
      <c r="BY162" s="99" t="str">
        <f>IF($A162="","",IF($AM162="",1,IFERROR(INDEX('Sublimits and Parts'!$C$91:$C$94,MATCH($AM162,'Sublimits and Parts'!$B$91:$B$94,0)),"?")))</f>
        <v/>
      </c>
      <c r="BZ162" s="99" t="str">
        <f>IF($A162="","",IF($AN162="",1,IFERROR(INDEX('Sublimits and Parts'!$C$98:$C$101,MATCH($AN162,'Sublimits and Parts'!$B$98:$B$101,0)),"?")))</f>
        <v/>
      </c>
      <c r="CA162" s="99" t="str">
        <f>IF($A162="","",IF($AO162="",1,IFERROR(INDEX('Sublimits and Parts'!$C$105:$C$109,MATCH($AO162,'Sublimits and Parts'!$B$105:$B$109,0)),"?")))</f>
        <v/>
      </c>
      <c r="CB162" s="100" t="str">
        <f t="shared" si="28"/>
        <v/>
      </c>
      <c r="CC162" s="100" t="str">
        <f t="shared" si="29"/>
        <v/>
      </c>
      <c r="CD162" s="103" t="str">
        <f>IF($A162="","",IF(OR($CB162="?",$CC162="?"),"?",MIN($CB162*$CC162,'Technical Premium'!$C$17)))</f>
        <v/>
      </c>
      <c r="CE162" s="102" t="str">
        <f t="shared" si="30"/>
        <v/>
      </c>
      <c r="CF162" s="102" t="str">
        <f>IF($A162="","",IFERROR(INDEX('Territory Factors'!$F$6:$F$56,MATCH($K162,'Territory Factors'!$B$6:$B$56,0)),"?"))</f>
        <v/>
      </c>
      <c r="CG162" s="100" t="str">
        <f>IF($A162="","",IFERROR(INDEX('Usage and Coverage'!$C$79:$C$84,MATCH($Y162,'Usage and Coverage'!$B$79:$B$84,0)),"?"))</f>
        <v/>
      </c>
      <c r="CH162" s="102" t="str">
        <f>IFERROR(IF(ISNUMBER($CD162),$CF162*$CG162*MIN($BG162*$BA162*$BC162*$BD162*$BH162*$BF162,'Technical Premium'!$C$17),""),"")</f>
        <v/>
      </c>
      <c r="CI162" s="102" t="str">
        <f t="shared" si="31"/>
        <v/>
      </c>
      <c r="CJ162" s="102" t="str">
        <f>IFERROR($CI162*(1+'Technical Premium'!$C$5)*(1+'Technical Premium'!$C$6),"")</f>
        <v/>
      </c>
      <c r="CK162" s="102" t="str">
        <f>IFERROR($CE162*INDEX('Territory Factors'!$G$6:$G$56,MATCH($K162,'Territory Factors'!$B$6:$B$56,0))*$AU162*$AV162,"")</f>
        <v/>
      </c>
      <c r="CL162" s="102" t="str">
        <f>IFERROR(($CJ162+$CK162)*(1+'Technical Premium'!$C$7),"")</f>
        <v/>
      </c>
      <c r="CM162" s="104" t="str">
        <f>IFERROR($CL162/'Technical Premium'!$C$13,"")</f>
        <v/>
      </c>
      <c r="CN162" s="105" t="str">
        <f t="shared" si="32"/>
        <v/>
      </c>
      <c r="CO162" s="104" t="str">
        <f t="shared" si="33"/>
        <v/>
      </c>
      <c r="CP162" s="105" t="str">
        <f t="shared" si="34"/>
        <v/>
      </c>
      <c r="CQ162" s="106" t="str">
        <f t="shared" si="35"/>
        <v/>
      </c>
      <c r="CR162" s="102" t="str">
        <f>IF(ISNUMBER($CM162),'Technical Premium'!$C$14+IF($J162&gt;=1000000,'Technical Premium'!$C$15,0),"")</f>
        <v/>
      </c>
      <c r="CS162" s="102" t="str">
        <f>IFERROR(($CO162+$CR162)*(INDEX('Territory Factors'!$K$6:$K$56,MATCH($K162,'Territory Factors'!$B$6:$B$56,0))+'Commission Structure'!$C$21),"")</f>
        <v/>
      </c>
      <c r="CT162" s="104" t="str">
        <f t="shared" si="36"/>
        <v/>
      </c>
      <c r="CU162" s="102" t="str">
        <f>IFERROR($CO162*('Commission Structure'!$C$6+'Commission Structure'!$C$7),"")</f>
        <v/>
      </c>
      <c r="CV162" s="102" t="str">
        <f>IFERROR($CO162*'Commission Structure'!$C$5-$CU162,"")</f>
        <v/>
      </c>
      <c r="CW162" s="102" t="str">
        <f>IFERROR($CO162*(1-'Commission Structure'!$C$5),"")</f>
        <v/>
      </c>
      <c r="CX162" s="107"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8" t="str">
        <f t="shared" si="37"/>
        <v/>
      </c>
      <c r="CZ162" s="99" t="str">
        <f>IF($CY162="","",IF($CY162&lt;'Technical Premium'!$C$19,"BEYOND AUTHORITY",IF($CY162&gt;0.005,"Above technical",IF($CY162&lt;-0.005,"BELOW technical","At technical"))))</f>
        <v/>
      </c>
      <c r="DA162" s="99"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4"/>
      <c r="DC162" s="94"/>
      <c r="DD162" s="95"/>
      <c r="DE162" s="94"/>
      <c r="DF162" s="94"/>
      <c r="DG162" s="99" t="str">
        <f t="shared" si="38"/>
        <v/>
      </c>
      <c r="DH162" s="99" t="str">
        <f>IF($A162="","",IF(OR($CX162="REFER",$CX162="DECLINE"),COUNTIF($CX$5:$CX162,"REFER")+COUNTIF($CX$5:$CX162,"DECLINE"),""))</f>
        <v/>
      </c>
      <c r="DI162" s="94"/>
    </row>
    <row r="163" spans="1:113" x14ac:dyDescent="0.35">
      <c r="A163" s="94"/>
      <c r="B163" s="94"/>
      <c r="C163" s="95"/>
      <c r="D163" s="95"/>
      <c r="E163" s="96"/>
      <c r="F163" s="94"/>
      <c r="G163" s="94"/>
      <c r="H163" s="94"/>
      <c r="I163" s="94"/>
      <c r="J163" s="97"/>
      <c r="K163" s="94"/>
      <c r="L163" s="94"/>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8"/>
      <c r="AR163" s="99" t="str">
        <f t="shared" si="26"/>
        <v/>
      </c>
      <c r="AS163" s="99" t="str">
        <f>IF($A163="","",IF($AP163&lt;&gt;"",$AP163,IFERROR(INDEX('Cat Zone by ZIP'!$D$6:$D$856,MATCH($AR163,'Cat Zone by ZIP'!$B$6:$B$856,0)),IFERROR(INDEX('Cat Zone by ZIP'!$C$860:$C$910,MATCH($K163,'Cat Zone by ZIP'!$B$860:$B$910,0)),"NOT FOUND"))))</f>
        <v/>
      </c>
      <c r="AT163" s="99" t="str">
        <f>IF($A163="","",IF($AP163&lt;&gt;"","Override",IF(ISNUMBER(MATCH($AR163,'Cat Zone by ZIP'!$B$6:$B$856,0)),"ZIP-3","State default")))</f>
        <v/>
      </c>
      <c r="AU163" s="100" t="str">
        <f>IF($A163="","",IFERROR(INDEX('Natural Catastrophe'!$D$6:$D$17,MATCH($AS163,'Natural Catastrophe'!$B$6:$B$17,0)),"?"))</f>
        <v/>
      </c>
      <c r="AV163" s="100" t="str">
        <f>IF($A163="","",IFERROR(INDEX('Natural Catastrophe'!$C$21:$C$26,MATCH($AA163,'Natural Catastrophe'!$B$21:$B$26,0)),"?"))</f>
        <v/>
      </c>
      <c r="AW163" s="99" t="str">
        <f>IF($A163="","",IFERROR(INDEX('Base Rates'!$C$4:$I$4,MATCH(MAX($J163,'Technical Premium'!$C$18),'Base Rates'!$C$3:$I$3,1)),"?"))</f>
        <v/>
      </c>
      <c r="AX163" s="101" t="str">
        <f>IF($A163="","",IFERROR(INDEX('Base Rates'!$C$5:$I$16,MATCH($I163,'Base Rates'!$B$5:$B$16,0),MATCH(MAX($J163,'Technical Premium'!$C$18),'Base Rates'!$C$3:$I$3,1)),"?"))</f>
        <v/>
      </c>
      <c r="AY163" s="102" t="str">
        <f t="shared" si="27"/>
        <v/>
      </c>
      <c r="AZ163" s="99" t="str">
        <f>IF($A163="","",IFERROR(INDEX('Make Factors'!$G$5:$G$69,MATCH($F163,'Make Factors'!$B$5:$B$69,0)),"?"))</f>
        <v/>
      </c>
      <c r="BA163" s="99" t="str">
        <f>IF($A163="","",IFERROR(INDEX('Driver Factors'!$C$6:$C$15,MATCH($R163,'Driver Factors'!$B$6:$B$15,0)),"?"))</f>
        <v/>
      </c>
      <c r="BB163" s="99" t="str">
        <f>IF($A163="","",IFERROR(INDEX('Driver Factors'!$C$19:$C$24,MATCH($S163,'Driver Factors'!$B$19:$B$24,0)),"?"))</f>
        <v/>
      </c>
      <c r="BC163" s="99" t="str">
        <f>IF($A163="","",IFERROR(INDEX('Driver Factors'!$C$28:$C$36,MATCH($T163,'Driver Factors'!$B$28:$B$36,0)),"?"))</f>
        <v/>
      </c>
      <c r="BD163" s="99" t="str">
        <f>IF($A163="","",IFERROR(INDEX('Claims History'!$C$6:$C$15,MATCH($U163,'Claims History'!$B$6:$B$15,0)),"?"))</f>
        <v/>
      </c>
      <c r="BE163" s="99" t="str">
        <f>IF($A163="","",IFERROR(INDEX('Territory Factors'!$E$6:$E$56,MATCH($K163,'Territory Factors'!$B$6:$B$56,0)),"?"))</f>
        <v/>
      </c>
      <c r="BF163" s="99" t="str">
        <f>IF($A163="","",IFERROR(INDEX('City Accident Ratings'!$G$6:$G$54,MATCH($Z163,'City Accident Ratings'!$B$6:$B$54,0)),"?"))</f>
        <v/>
      </c>
      <c r="BG163" s="99" t="str">
        <f>IF($A163="","",IFERROR(INDEX('Usage and Coverage'!$D$6:$D$20,MATCH($N163,'Usage and Coverage'!$C$6:$C$20,0)),"?"))</f>
        <v/>
      </c>
      <c r="BH163" s="99" t="str">
        <f>IF($A163="","",IFERROR(INDEX('Usage and Coverage'!$C$24:$C$30,MATCH($O163,'Usage and Coverage'!$B$24:$B$30,0)),"?"))</f>
        <v/>
      </c>
      <c r="BI163" s="99" t="str">
        <f>IF($A163="","",IFERROR(INDEX('Usage and Coverage'!$C$34:$C$40,MATCH($P163,'Usage and Coverage'!$B$34:$B$40,0)),"?"))</f>
        <v/>
      </c>
      <c r="BJ163" s="99" t="str">
        <f>IF($A163="","",IFERROR(INDEX('Usage and Coverage'!$C$44:$C$49,MATCH($Q163,'Usage and Coverage'!$B$44:$B$49,0)),"?"))</f>
        <v/>
      </c>
      <c r="BK163" s="99" t="str">
        <f>IF($A163="","",IFERROR(INDEX(Deductibles!$C$6:$I$15,MATCH($W163,Deductibles!$B$6:$B$15,0),MATCH(MAX($J163,'Technical Premium'!$C$18),'Base Rates'!$C$3:$I$3,1)),"?"))</f>
        <v/>
      </c>
      <c r="BL163" s="99" t="str">
        <f>IF($A163="","",IFERROR(INDEX('Usage and Coverage'!$C$63:$C$66,MATCH($X163,'Usage and Coverage'!$B$63:$B$66,0)),"?"))</f>
        <v/>
      </c>
      <c r="BM163" s="99" t="str">
        <f>IF($A163="","",IFERROR(INDEX('Usage and Coverage'!$C$70:$C$75,MATCH($V163,'Usage and Coverage'!$B$70:$B$75,0)),"?"))</f>
        <v/>
      </c>
      <c r="BN163" s="99" t="str">
        <f>IF($A163="","",IF($AB163="",1,IFERROR(INDEX(Deductibles!$C$48:$C$51,MATCH($AB163,Deductibles!$B$48:$B$51,0)),"?")))</f>
        <v/>
      </c>
      <c r="BO163" s="99" t="str">
        <f>IF($A163="","",IF($AC163="",1,IFERROR(INDEX(Deductibles!$C$55:$C$57,MATCH($AC163,Deductibles!$B$55:$B$57,0)),"?")))</f>
        <v/>
      </c>
      <c r="BP163" s="99" t="str">
        <f>IF($A163="","",IF($AD163="",1,IFERROR(INDEX(Deductibles!$C$61:$C$63,MATCH($AD163,Deductibles!$B$61:$B$63,0)),"?")))</f>
        <v/>
      </c>
      <c r="BQ163" s="99" t="str">
        <f>IF($A163="","",IF($AE163="",1,IFERROR(INDEX(Deductibles!$C$67:$C$69,MATCH($AE163,Deductibles!$B$67:$B$69,0)),"?")))</f>
        <v/>
      </c>
      <c r="BR163" s="99" t="str">
        <f>IF($A163="","",IF($AF163="",1,IFERROR(INDEX(Deductibles!$C$73:$C$74,MATCH($AF163,Deductibles!$B$73:$B$74,0)),"?")))</f>
        <v/>
      </c>
      <c r="BS163" s="99" t="str">
        <f>IF($A163="","",IF($AG163="",1,IFERROR(INDEX('Sublimits and Parts'!$C$49:$C$52,MATCH($AG163,'Sublimits and Parts'!$B$49:$B$52,0)),"?")))</f>
        <v/>
      </c>
      <c r="BT163" s="99" t="str">
        <f>IF($A163="","",IF($AH163="",1,IFERROR(INDEX('Sublimits and Parts'!$C$56:$C$60,MATCH($AH163,'Sublimits and Parts'!$B$56:$B$60,0)),"?")))</f>
        <v/>
      </c>
      <c r="BU163" s="99" t="str">
        <f>IF($A163="","",IF($AI163="",1,IFERROR(INDEX('Sublimits and Parts'!$C$64:$C$67,MATCH($AI163,'Sublimits and Parts'!$B$64:$B$67,0)),"?")))</f>
        <v/>
      </c>
      <c r="BV163" s="99" t="str">
        <f>IF($A163="","",IF($AJ163="",1,IFERROR(INDEX('Sublimits and Parts'!$C$71:$C$74,MATCH($AJ163,'Sublimits and Parts'!$B$71:$B$74,0)),"?")))</f>
        <v/>
      </c>
      <c r="BW163" s="99" t="str">
        <f>IF($A163="","",IF($AK163="",1,IFERROR(INDEX('Sublimits and Parts'!$C$78:$C$80,MATCH($AK163,'Sublimits and Parts'!$B$78:$B$80,0)),"?")))</f>
        <v/>
      </c>
      <c r="BX163" s="99" t="str">
        <f>IF($A163="","",IF($AL163="",1,IFERROR(INDEX('Sublimits and Parts'!$C$84:$C$87,MATCH($AL163,'Sublimits and Parts'!$B$84:$B$87,0)),"?")))</f>
        <v/>
      </c>
      <c r="BY163" s="99" t="str">
        <f>IF($A163="","",IF($AM163="",1,IFERROR(INDEX('Sublimits and Parts'!$C$91:$C$94,MATCH($AM163,'Sublimits and Parts'!$B$91:$B$94,0)),"?")))</f>
        <v/>
      </c>
      <c r="BZ163" s="99" t="str">
        <f>IF($A163="","",IF($AN163="",1,IFERROR(INDEX('Sublimits and Parts'!$C$98:$C$101,MATCH($AN163,'Sublimits and Parts'!$B$98:$B$101,0)),"?")))</f>
        <v/>
      </c>
      <c r="CA163" s="99" t="str">
        <f>IF($A163="","",IF($AO163="",1,IFERROR(INDEX('Sublimits and Parts'!$C$105:$C$109,MATCH($AO163,'Sublimits and Parts'!$B$105:$B$109,0)),"?")))</f>
        <v/>
      </c>
      <c r="CB163" s="100" t="str">
        <f t="shared" si="28"/>
        <v/>
      </c>
      <c r="CC163" s="100" t="str">
        <f t="shared" si="29"/>
        <v/>
      </c>
      <c r="CD163" s="103" t="str">
        <f>IF($A163="","",IF(OR($CB163="?",$CC163="?"),"?",MIN($CB163*$CC163,'Technical Premium'!$C$17)))</f>
        <v/>
      </c>
      <c r="CE163" s="102" t="str">
        <f t="shared" si="30"/>
        <v/>
      </c>
      <c r="CF163" s="102" t="str">
        <f>IF($A163="","",IFERROR(INDEX('Territory Factors'!$F$6:$F$56,MATCH($K163,'Territory Factors'!$B$6:$B$56,0)),"?"))</f>
        <v/>
      </c>
      <c r="CG163" s="100" t="str">
        <f>IF($A163="","",IFERROR(INDEX('Usage and Coverage'!$C$79:$C$84,MATCH($Y163,'Usage and Coverage'!$B$79:$B$84,0)),"?"))</f>
        <v/>
      </c>
      <c r="CH163" s="102" t="str">
        <f>IFERROR(IF(ISNUMBER($CD163),$CF163*$CG163*MIN($BG163*$BA163*$BC163*$BD163*$BH163*$BF163,'Technical Premium'!$C$17),""),"")</f>
        <v/>
      </c>
      <c r="CI163" s="102" t="str">
        <f t="shared" si="31"/>
        <v/>
      </c>
      <c r="CJ163" s="102" t="str">
        <f>IFERROR($CI163*(1+'Technical Premium'!$C$5)*(1+'Technical Premium'!$C$6),"")</f>
        <v/>
      </c>
      <c r="CK163" s="102" t="str">
        <f>IFERROR($CE163*INDEX('Territory Factors'!$G$6:$G$56,MATCH($K163,'Territory Factors'!$B$6:$B$56,0))*$AU163*$AV163,"")</f>
        <v/>
      </c>
      <c r="CL163" s="102" t="str">
        <f>IFERROR(($CJ163+$CK163)*(1+'Technical Premium'!$C$7),"")</f>
        <v/>
      </c>
      <c r="CM163" s="104" t="str">
        <f>IFERROR($CL163/'Technical Premium'!$C$13,"")</f>
        <v/>
      </c>
      <c r="CN163" s="105" t="str">
        <f t="shared" si="32"/>
        <v/>
      </c>
      <c r="CO163" s="104" t="str">
        <f t="shared" si="33"/>
        <v/>
      </c>
      <c r="CP163" s="105" t="str">
        <f t="shared" si="34"/>
        <v/>
      </c>
      <c r="CQ163" s="106" t="str">
        <f t="shared" si="35"/>
        <v/>
      </c>
      <c r="CR163" s="102" t="str">
        <f>IF(ISNUMBER($CM163),'Technical Premium'!$C$14+IF($J163&gt;=1000000,'Technical Premium'!$C$15,0),"")</f>
        <v/>
      </c>
      <c r="CS163" s="102" t="str">
        <f>IFERROR(($CO163+$CR163)*(INDEX('Territory Factors'!$K$6:$K$56,MATCH($K163,'Territory Factors'!$B$6:$B$56,0))+'Commission Structure'!$C$21),"")</f>
        <v/>
      </c>
      <c r="CT163" s="104" t="str">
        <f t="shared" si="36"/>
        <v/>
      </c>
      <c r="CU163" s="102" t="str">
        <f>IFERROR($CO163*('Commission Structure'!$C$6+'Commission Structure'!$C$7),"")</f>
        <v/>
      </c>
      <c r="CV163" s="102" t="str">
        <f>IFERROR($CO163*'Commission Structure'!$C$5-$CU163,"")</f>
        <v/>
      </c>
      <c r="CW163" s="102" t="str">
        <f>IFERROR($CO163*(1-'Commission Structure'!$C$5),"")</f>
        <v/>
      </c>
      <c r="CX163" s="107"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8" t="str">
        <f t="shared" si="37"/>
        <v/>
      </c>
      <c r="CZ163" s="99" t="str">
        <f>IF($CY163="","",IF($CY163&lt;'Technical Premium'!$C$19,"BEYOND AUTHORITY",IF($CY163&gt;0.005,"Above technical",IF($CY163&lt;-0.005,"BELOW technical","At technical"))))</f>
        <v/>
      </c>
      <c r="DA163" s="99"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4"/>
      <c r="DC163" s="94"/>
      <c r="DD163" s="95"/>
      <c r="DE163" s="94"/>
      <c r="DF163" s="94"/>
      <c r="DG163" s="99" t="str">
        <f t="shared" si="38"/>
        <v/>
      </c>
      <c r="DH163" s="99" t="str">
        <f>IF($A163="","",IF(OR($CX163="REFER",$CX163="DECLINE"),COUNTIF($CX$5:$CX163,"REFER")+COUNTIF($CX$5:$CX163,"DECLINE"),""))</f>
        <v/>
      </c>
      <c r="DI163" s="94"/>
    </row>
    <row r="164" spans="1:113" x14ac:dyDescent="0.35">
      <c r="A164" s="94"/>
      <c r="B164" s="94"/>
      <c r="C164" s="95"/>
      <c r="D164" s="95"/>
      <c r="E164" s="96"/>
      <c r="F164" s="94"/>
      <c r="G164" s="94"/>
      <c r="H164" s="94"/>
      <c r="I164" s="94"/>
      <c r="J164" s="97"/>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8"/>
      <c r="AR164" s="99" t="str">
        <f t="shared" si="26"/>
        <v/>
      </c>
      <c r="AS164" s="99" t="str">
        <f>IF($A164="","",IF($AP164&lt;&gt;"",$AP164,IFERROR(INDEX('Cat Zone by ZIP'!$D$6:$D$856,MATCH($AR164,'Cat Zone by ZIP'!$B$6:$B$856,0)),IFERROR(INDEX('Cat Zone by ZIP'!$C$860:$C$910,MATCH($K164,'Cat Zone by ZIP'!$B$860:$B$910,0)),"NOT FOUND"))))</f>
        <v/>
      </c>
      <c r="AT164" s="99" t="str">
        <f>IF($A164="","",IF($AP164&lt;&gt;"","Override",IF(ISNUMBER(MATCH($AR164,'Cat Zone by ZIP'!$B$6:$B$856,0)),"ZIP-3","State default")))</f>
        <v/>
      </c>
      <c r="AU164" s="100" t="str">
        <f>IF($A164="","",IFERROR(INDEX('Natural Catastrophe'!$D$6:$D$17,MATCH($AS164,'Natural Catastrophe'!$B$6:$B$17,0)),"?"))</f>
        <v/>
      </c>
      <c r="AV164" s="100" t="str">
        <f>IF($A164="","",IFERROR(INDEX('Natural Catastrophe'!$C$21:$C$26,MATCH($AA164,'Natural Catastrophe'!$B$21:$B$26,0)),"?"))</f>
        <v/>
      </c>
      <c r="AW164" s="99" t="str">
        <f>IF($A164="","",IFERROR(INDEX('Base Rates'!$C$4:$I$4,MATCH(MAX($J164,'Technical Premium'!$C$18),'Base Rates'!$C$3:$I$3,1)),"?"))</f>
        <v/>
      </c>
      <c r="AX164" s="101" t="str">
        <f>IF($A164="","",IFERROR(INDEX('Base Rates'!$C$5:$I$16,MATCH($I164,'Base Rates'!$B$5:$B$16,0),MATCH(MAX($J164,'Technical Premium'!$C$18),'Base Rates'!$C$3:$I$3,1)),"?"))</f>
        <v/>
      </c>
      <c r="AY164" s="102" t="str">
        <f t="shared" si="27"/>
        <v/>
      </c>
      <c r="AZ164" s="99" t="str">
        <f>IF($A164="","",IFERROR(INDEX('Make Factors'!$G$5:$G$69,MATCH($F164,'Make Factors'!$B$5:$B$69,0)),"?"))</f>
        <v/>
      </c>
      <c r="BA164" s="99" t="str">
        <f>IF($A164="","",IFERROR(INDEX('Driver Factors'!$C$6:$C$15,MATCH($R164,'Driver Factors'!$B$6:$B$15,0)),"?"))</f>
        <v/>
      </c>
      <c r="BB164" s="99" t="str">
        <f>IF($A164="","",IFERROR(INDEX('Driver Factors'!$C$19:$C$24,MATCH($S164,'Driver Factors'!$B$19:$B$24,0)),"?"))</f>
        <v/>
      </c>
      <c r="BC164" s="99" t="str">
        <f>IF($A164="","",IFERROR(INDEX('Driver Factors'!$C$28:$C$36,MATCH($T164,'Driver Factors'!$B$28:$B$36,0)),"?"))</f>
        <v/>
      </c>
      <c r="BD164" s="99" t="str">
        <f>IF($A164="","",IFERROR(INDEX('Claims History'!$C$6:$C$15,MATCH($U164,'Claims History'!$B$6:$B$15,0)),"?"))</f>
        <v/>
      </c>
      <c r="BE164" s="99" t="str">
        <f>IF($A164="","",IFERROR(INDEX('Territory Factors'!$E$6:$E$56,MATCH($K164,'Territory Factors'!$B$6:$B$56,0)),"?"))</f>
        <v/>
      </c>
      <c r="BF164" s="99" t="str">
        <f>IF($A164="","",IFERROR(INDEX('City Accident Ratings'!$G$6:$G$54,MATCH($Z164,'City Accident Ratings'!$B$6:$B$54,0)),"?"))</f>
        <v/>
      </c>
      <c r="BG164" s="99" t="str">
        <f>IF($A164="","",IFERROR(INDEX('Usage and Coverage'!$D$6:$D$20,MATCH($N164,'Usage and Coverage'!$C$6:$C$20,0)),"?"))</f>
        <v/>
      </c>
      <c r="BH164" s="99" t="str">
        <f>IF($A164="","",IFERROR(INDEX('Usage and Coverage'!$C$24:$C$30,MATCH($O164,'Usage and Coverage'!$B$24:$B$30,0)),"?"))</f>
        <v/>
      </c>
      <c r="BI164" s="99" t="str">
        <f>IF($A164="","",IFERROR(INDEX('Usage and Coverage'!$C$34:$C$40,MATCH($P164,'Usage and Coverage'!$B$34:$B$40,0)),"?"))</f>
        <v/>
      </c>
      <c r="BJ164" s="99" t="str">
        <f>IF($A164="","",IFERROR(INDEX('Usage and Coverage'!$C$44:$C$49,MATCH($Q164,'Usage and Coverage'!$B$44:$B$49,0)),"?"))</f>
        <v/>
      </c>
      <c r="BK164" s="99" t="str">
        <f>IF($A164="","",IFERROR(INDEX(Deductibles!$C$6:$I$15,MATCH($W164,Deductibles!$B$6:$B$15,0),MATCH(MAX($J164,'Technical Premium'!$C$18),'Base Rates'!$C$3:$I$3,1)),"?"))</f>
        <v/>
      </c>
      <c r="BL164" s="99" t="str">
        <f>IF($A164="","",IFERROR(INDEX('Usage and Coverage'!$C$63:$C$66,MATCH($X164,'Usage and Coverage'!$B$63:$B$66,0)),"?"))</f>
        <v/>
      </c>
      <c r="BM164" s="99" t="str">
        <f>IF($A164="","",IFERROR(INDEX('Usage and Coverage'!$C$70:$C$75,MATCH($V164,'Usage and Coverage'!$B$70:$B$75,0)),"?"))</f>
        <v/>
      </c>
      <c r="BN164" s="99" t="str">
        <f>IF($A164="","",IF($AB164="",1,IFERROR(INDEX(Deductibles!$C$48:$C$51,MATCH($AB164,Deductibles!$B$48:$B$51,0)),"?")))</f>
        <v/>
      </c>
      <c r="BO164" s="99" t="str">
        <f>IF($A164="","",IF($AC164="",1,IFERROR(INDEX(Deductibles!$C$55:$C$57,MATCH($AC164,Deductibles!$B$55:$B$57,0)),"?")))</f>
        <v/>
      </c>
      <c r="BP164" s="99" t="str">
        <f>IF($A164="","",IF($AD164="",1,IFERROR(INDEX(Deductibles!$C$61:$C$63,MATCH($AD164,Deductibles!$B$61:$B$63,0)),"?")))</f>
        <v/>
      </c>
      <c r="BQ164" s="99" t="str">
        <f>IF($A164="","",IF($AE164="",1,IFERROR(INDEX(Deductibles!$C$67:$C$69,MATCH($AE164,Deductibles!$B$67:$B$69,0)),"?")))</f>
        <v/>
      </c>
      <c r="BR164" s="99" t="str">
        <f>IF($A164="","",IF($AF164="",1,IFERROR(INDEX(Deductibles!$C$73:$C$74,MATCH($AF164,Deductibles!$B$73:$B$74,0)),"?")))</f>
        <v/>
      </c>
      <c r="BS164" s="99" t="str">
        <f>IF($A164="","",IF($AG164="",1,IFERROR(INDEX('Sublimits and Parts'!$C$49:$C$52,MATCH($AG164,'Sublimits and Parts'!$B$49:$B$52,0)),"?")))</f>
        <v/>
      </c>
      <c r="BT164" s="99" t="str">
        <f>IF($A164="","",IF($AH164="",1,IFERROR(INDEX('Sublimits and Parts'!$C$56:$C$60,MATCH($AH164,'Sublimits and Parts'!$B$56:$B$60,0)),"?")))</f>
        <v/>
      </c>
      <c r="BU164" s="99" t="str">
        <f>IF($A164="","",IF($AI164="",1,IFERROR(INDEX('Sublimits and Parts'!$C$64:$C$67,MATCH($AI164,'Sublimits and Parts'!$B$64:$B$67,0)),"?")))</f>
        <v/>
      </c>
      <c r="BV164" s="99" t="str">
        <f>IF($A164="","",IF($AJ164="",1,IFERROR(INDEX('Sublimits and Parts'!$C$71:$C$74,MATCH($AJ164,'Sublimits and Parts'!$B$71:$B$74,0)),"?")))</f>
        <v/>
      </c>
      <c r="BW164" s="99" t="str">
        <f>IF($A164="","",IF($AK164="",1,IFERROR(INDEX('Sublimits and Parts'!$C$78:$C$80,MATCH($AK164,'Sublimits and Parts'!$B$78:$B$80,0)),"?")))</f>
        <v/>
      </c>
      <c r="BX164" s="99" t="str">
        <f>IF($A164="","",IF($AL164="",1,IFERROR(INDEX('Sublimits and Parts'!$C$84:$C$87,MATCH($AL164,'Sublimits and Parts'!$B$84:$B$87,0)),"?")))</f>
        <v/>
      </c>
      <c r="BY164" s="99" t="str">
        <f>IF($A164="","",IF($AM164="",1,IFERROR(INDEX('Sublimits and Parts'!$C$91:$C$94,MATCH($AM164,'Sublimits and Parts'!$B$91:$B$94,0)),"?")))</f>
        <v/>
      </c>
      <c r="BZ164" s="99" t="str">
        <f>IF($A164="","",IF($AN164="",1,IFERROR(INDEX('Sublimits and Parts'!$C$98:$C$101,MATCH($AN164,'Sublimits and Parts'!$B$98:$B$101,0)),"?")))</f>
        <v/>
      </c>
      <c r="CA164" s="99" t="str">
        <f>IF($A164="","",IF($AO164="",1,IFERROR(INDEX('Sublimits and Parts'!$C$105:$C$109,MATCH($AO164,'Sublimits and Parts'!$B$105:$B$109,0)),"?")))</f>
        <v/>
      </c>
      <c r="CB164" s="100" t="str">
        <f t="shared" si="28"/>
        <v/>
      </c>
      <c r="CC164" s="100" t="str">
        <f t="shared" si="29"/>
        <v/>
      </c>
      <c r="CD164" s="103" t="str">
        <f>IF($A164="","",IF(OR($CB164="?",$CC164="?"),"?",MIN($CB164*$CC164,'Technical Premium'!$C$17)))</f>
        <v/>
      </c>
      <c r="CE164" s="102" t="str">
        <f t="shared" si="30"/>
        <v/>
      </c>
      <c r="CF164" s="102" t="str">
        <f>IF($A164="","",IFERROR(INDEX('Territory Factors'!$F$6:$F$56,MATCH($K164,'Territory Factors'!$B$6:$B$56,0)),"?"))</f>
        <v/>
      </c>
      <c r="CG164" s="100" t="str">
        <f>IF($A164="","",IFERROR(INDEX('Usage and Coverage'!$C$79:$C$84,MATCH($Y164,'Usage and Coverage'!$B$79:$B$84,0)),"?"))</f>
        <v/>
      </c>
      <c r="CH164" s="102" t="str">
        <f>IFERROR(IF(ISNUMBER($CD164),$CF164*$CG164*MIN($BG164*$BA164*$BC164*$BD164*$BH164*$BF164,'Technical Premium'!$C$17),""),"")</f>
        <v/>
      </c>
      <c r="CI164" s="102" t="str">
        <f t="shared" si="31"/>
        <v/>
      </c>
      <c r="CJ164" s="102" t="str">
        <f>IFERROR($CI164*(1+'Technical Premium'!$C$5)*(1+'Technical Premium'!$C$6),"")</f>
        <v/>
      </c>
      <c r="CK164" s="102" t="str">
        <f>IFERROR($CE164*INDEX('Territory Factors'!$G$6:$G$56,MATCH($K164,'Territory Factors'!$B$6:$B$56,0))*$AU164*$AV164,"")</f>
        <v/>
      </c>
      <c r="CL164" s="102" t="str">
        <f>IFERROR(($CJ164+$CK164)*(1+'Technical Premium'!$C$7),"")</f>
        <v/>
      </c>
      <c r="CM164" s="104" t="str">
        <f>IFERROR($CL164/'Technical Premium'!$C$13,"")</f>
        <v/>
      </c>
      <c r="CN164" s="105" t="str">
        <f t="shared" si="32"/>
        <v/>
      </c>
      <c r="CO164" s="104" t="str">
        <f t="shared" si="33"/>
        <v/>
      </c>
      <c r="CP164" s="105" t="str">
        <f t="shared" si="34"/>
        <v/>
      </c>
      <c r="CQ164" s="106" t="str">
        <f t="shared" si="35"/>
        <v/>
      </c>
      <c r="CR164" s="102" t="str">
        <f>IF(ISNUMBER($CM164),'Technical Premium'!$C$14+IF($J164&gt;=1000000,'Technical Premium'!$C$15,0),"")</f>
        <v/>
      </c>
      <c r="CS164" s="102" t="str">
        <f>IFERROR(($CO164+$CR164)*(INDEX('Territory Factors'!$K$6:$K$56,MATCH($K164,'Territory Factors'!$B$6:$B$56,0))+'Commission Structure'!$C$21),"")</f>
        <v/>
      </c>
      <c r="CT164" s="104" t="str">
        <f t="shared" si="36"/>
        <v/>
      </c>
      <c r="CU164" s="102" t="str">
        <f>IFERROR($CO164*('Commission Structure'!$C$6+'Commission Structure'!$C$7),"")</f>
        <v/>
      </c>
      <c r="CV164" s="102" t="str">
        <f>IFERROR($CO164*'Commission Structure'!$C$5-$CU164,"")</f>
        <v/>
      </c>
      <c r="CW164" s="102" t="str">
        <f>IFERROR($CO164*(1-'Commission Structure'!$C$5),"")</f>
        <v/>
      </c>
      <c r="CX164" s="107"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8" t="str">
        <f t="shared" si="37"/>
        <v/>
      </c>
      <c r="CZ164" s="99" t="str">
        <f>IF($CY164="","",IF($CY164&lt;'Technical Premium'!$C$19,"BEYOND AUTHORITY",IF($CY164&gt;0.005,"Above technical",IF($CY164&lt;-0.005,"BELOW technical","At technical"))))</f>
        <v/>
      </c>
      <c r="DA164" s="99"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4"/>
      <c r="DC164" s="94"/>
      <c r="DD164" s="95"/>
      <c r="DE164" s="94"/>
      <c r="DF164" s="94"/>
      <c r="DG164" s="99" t="str">
        <f t="shared" si="38"/>
        <v/>
      </c>
      <c r="DH164" s="99" t="str">
        <f>IF($A164="","",IF(OR($CX164="REFER",$CX164="DECLINE"),COUNTIF($CX$5:$CX164,"REFER")+COUNTIF($CX$5:$CX164,"DECLINE"),""))</f>
        <v/>
      </c>
      <c r="DI164" s="94"/>
    </row>
    <row r="165" spans="1:113" x14ac:dyDescent="0.35">
      <c r="A165" s="94"/>
      <c r="B165" s="94"/>
      <c r="C165" s="95"/>
      <c r="D165" s="95"/>
      <c r="E165" s="96"/>
      <c r="F165" s="94"/>
      <c r="G165" s="94"/>
      <c r="H165" s="94"/>
      <c r="I165" s="94"/>
      <c r="J165" s="97"/>
      <c r="K165" s="94"/>
      <c r="L165" s="94"/>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8"/>
      <c r="AR165" s="99" t="str">
        <f t="shared" si="26"/>
        <v/>
      </c>
      <c r="AS165" s="99" t="str">
        <f>IF($A165="","",IF($AP165&lt;&gt;"",$AP165,IFERROR(INDEX('Cat Zone by ZIP'!$D$6:$D$856,MATCH($AR165,'Cat Zone by ZIP'!$B$6:$B$856,0)),IFERROR(INDEX('Cat Zone by ZIP'!$C$860:$C$910,MATCH($K165,'Cat Zone by ZIP'!$B$860:$B$910,0)),"NOT FOUND"))))</f>
        <v/>
      </c>
      <c r="AT165" s="99" t="str">
        <f>IF($A165="","",IF($AP165&lt;&gt;"","Override",IF(ISNUMBER(MATCH($AR165,'Cat Zone by ZIP'!$B$6:$B$856,0)),"ZIP-3","State default")))</f>
        <v/>
      </c>
      <c r="AU165" s="100" t="str">
        <f>IF($A165="","",IFERROR(INDEX('Natural Catastrophe'!$D$6:$D$17,MATCH($AS165,'Natural Catastrophe'!$B$6:$B$17,0)),"?"))</f>
        <v/>
      </c>
      <c r="AV165" s="100" t="str">
        <f>IF($A165="","",IFERROR(INDEX('Natural Catastrophe'!$C$21:$C$26,MATCH($AA165,'Natural Catastrophe'!$B$21:$B$26,0)),"?"))</f>
        <v/>
      </c>
      <c r="AW165" s="99" t="str">
        <f>IF($A165="","",IFERROR(INDEX('Base Rates'!$C$4:$I$4,MATCH(MAX($J165,'Technical Premium'!$C$18),'Base Rates'!$C$3:$I$3,1)),"?"))</f>
        <v/>
      </c>
      <c r="AX165" s="101" t="str">
        <f>IF($A165="","",IFERROR(INDEX('Base Rates'!$C$5:$I$16,MATCH($I165,'Base Rates'!$B$5:$B$16,0),MATCH(MAX($J165,'Technical Premium'!$C$18),'Base Rates'!$C$3:$I$3,1)),"?"))</f>
        <v/>
      </c>
      <c r="AY165" s="102" t="str">
        <f t="shared" si="27"/>
        <v/>
      </c>
      <c r="AZ165" s="99" t="str">
        <f>IF($A165="","",IFERROR(INDEX('Make Factors'!$G$5:$G$69,MATCH($F165,'Make Factors'!$B$5:$B$69,0)),"?"))</f>
        <v/>
      </c>
      <c r="BA165" s="99" t="str">
        <f>IF($A165="","",IFERROR(INDEX('Driver Factors'!$C$6:$C$15,MATCH($R165,'Driver Factors'!$B$6:$B$15,0)),"?"))</f>
        <v/>
      </c>
      <c r="BB165" s="99" t="str">
        <f>IF($A165="","",IFERROR(INDEX('Driver Factors'!$C$19:$C$24,MATCH($S165,'Driver Factors'!$B$19:$B$24,0)),"?"))</f>
        <v/>
      </c>
      <c r="BC165" s="99" t="str">
        <f>IF($A165="","",IFERROR(INDEX('Driver Factors'!$C$28:$C$36,MATCH($T165,'Driver Factors'!$B$28:$B$36,0)),"?"))</f>
        <v/>
      </c>
      <c r="BD165" s="99" t="str">
        <f>IF($A165="","",IFERROR(INDEX('Claims History'!$C$6:$C$15,MATCH($U165,'Claims History'!$B$6:$B$15,0)),"?"))</f>
        <v/>
      </c>
      <c r="BE165" s="99" t="str">
        <f>IF($A165="","",IFERROR(INDEX('Territory Factors'!$E$6:$E$56,MATCH($K165,'Territory Factors'!$B$6:$B$56,0)),"?"))</f>
        <v/>
      </c>
      <c r="BF165" s="99" t="str">
        <f>IF($A165="","",IFERROR(INDEX('City Accident Ratings'!$G$6:$G$54,MATCH($Z165,'City Accident Ratings'!$B$6:$B$54,0)),"?"))</f>
        <v/>
      </c>
      <c r="BG165" s="99" t="str">
        <f>IF($A165="","",IFERROR(INDEX('Usage and Coverage'!$D$6:$D$20,MATCH($N165,'Usage and Coverage'!$C$6:$C$20,0)),"?"))</f>
        <v/>
      </c>
      <c r="BH165" s="99" t="str">
        <f>IF($A165="","",IFERROR(INDEX('Usage and Coverage'!$C$24:$C$30,MATCH($O165,'Usage and Coverage'!$B$24:$B$30,0)),"?"))</f>
        <v/>
      </c>
      <c r="BI165" s="99" t="str">
        <f>IF($A165="","",IFERROR(INDEX('Usage and Coverage'!$C$34:$C$40,MATCH($P165,'Usage and Coverage'!$B$34:$B$40,0)),"?"))</f>
        <v/>
      </c>
      <c r="BJ165" s="99" t="str">
        <f>IF($A165="","",IFERROR(INDEX('Usage and Coverage'!$C$44:$C$49,MATCH($Q165,'Usage and Coverage'!$B$44:$B$49,0)),"?"))</f>
        <v/>
      </c>
      <c r="BK165" s="99" t="str">
        <f>IF($A165="","",IFERROR(INDEX(Deductibles!$C$6:$I$15,MATCH($W165,Deductibles!$B$6:$B$15,0),MATCH(MAX($J165,'Technical Premium'!$C$18),'Base Rates'!$C$3:$I$3,1)),"?"))</f>
        <v/>
      </c>
      <c r="BL165" s="99" t="str">
        <f>IF($A165="","",IFERROR(INDEX('Usage and Coverage'!$C$63:$C$66,MATCH($X165,'Usage and Coverage'!$B$63:$B$66,0)),"?"))</f>
        <v/>
      </c>
      <c r="BM165" s="99" t="str">
        <f>IF($A165="","",IFERROR(INDEX('Usage and Coverage'!$C$70:$C$75,MATCH($V165,'Usage and Coverage'!$B$70:$B$75,0)),"?"))</f>
        <v/>
      </c>
      <c r="BN165" s="99" t="str">
        <f>IF($A165="","",IF($AB165="",1,IFERROR(INDEX(Deductibles!$C$48:$C$51,MATCH($AB165,Deductibles!$B$48:$B$51,0)),"?")))</f>
        <v/>
      </c>
      <c r="BO165" s="99" t="str">
        <f>IF($A165="","",IF($AC165="",1,IFERROR(INDEX(Deductibles!$C$55:$C$57,MATCH($AC165,Deductibles!$B$55:$B$57,0)),"?")))</f>
        <v/>
      </c>
      <c r="BP165" s="99" t="str">
        <f>IF($A165="","",IF($AD165="",1,IFERROR(INDEX(Deductibles!$C$61:$C$63,MATCH($AD165,Deductibles!$B$61:$B$63,0)),"?")))</f>
        <v/>
      </c>
      <c r="BQ165" s="99" t="str">
        <f>IF($A165="","",IF($AE165="",1,IFERROR(INDEX(Deductibles!$C$67:$C$69,MATCH($AE165,Deductibles!$B$67:$B$69,0)),"?")))</f>
        <v/>
      </c>
      <c r="BR165" s="99" t="str">
        <f>IF($A165="","",IF($AF165="",1,IFERROR(INDEX(Deductibles!$C$73:$C$74,MATCH($AF165,Deductibles!$B$73:$B$74,0)),"?")))</f>
        <v/>
      </c>
      <c r="BS165" s="99" t="str">
        <f>IF($A165="","",IF($AG165="",1,IFERROR(INDEX('Sublimits and Parts'!$C$49:$C$52,MATCH($AG165,'Sublimits and Parts'!$B$49:$B$52,0)),"?")))</f>
        <v/>
      </c>
      <c r="BT165" s="99" t="str">
        <f>IF($A165="","",IF($AH165="",1,IFERROR(INDEX('Sublimits and Parts'!$C$56:$C$60,MATCH($AH165,'Sublimits and Parts'!$B$56:$B$60,0)),"?")))</f>
        <v/>
      </c>
      <c r="BU165" s="99" t="str">
        <f>IF($A165="","",IF($AI165="",1,IFERROR(INDEX('Sublimits and Parts'!$C$64:$C$67,MATCH($AI165,'Sublimits and Parts'!$B$64:$B$67,0)),"?")))</f>
        <v/>
      </c>
      <c r="BV165" s="99" t="str">
        <f>IF($A165="","",IF($AJ165="",1,IFERROR(INDEX('Sublimits and Parts'!$C$71:$C$74,MATCH($AJ165,'Sublimits and Parts'!$B$71:$B$74,0)),"?")))</f>
        <v/>
      </c>
      <c r="BW165" s="99" t="str">
        <f>IF($A165="","",IF($AK165="",1,IFERROR(INDEX('Sublimits and Parts'!$C$78:$C$80,MATCH($AK165,'Sublimits and Parts'!$B$78:$B$80,0)),"?")))</f>
        <v/>
      </c>
      <c r="BX165" s="99" t="str">
        <f>IF($A165="","",IF($AL165="",1,IFERROR(INDEX('Sublimits and Parts'!$C$84:$C$87,MATCH($AL165,'Sublimits and Parts'!$B$84:$B$87,0)),"?")))</f>
        <v/>
      </c>
      <c r="BY165" s="99" t="str">
        <f>IF($A165="","",IF($AM165="",1,IFERROR(INDEX('Sublimits and Parts'!$C$91:$C$94,MATCH($AM165,'Sublimits and Parts'!$B$91:$B$94,0)),"?")))</f>
        <v/>
      </c>
      <c r="BZ165" s="99" t="str">
        <f>IF($A165="","",IF($AN165="",1,IFERROR(INDEX('Sublimits and Parts'!$C$98:$C$101,MATCH($AN165,'Sublimits and Parts'!$B$98:$B$101,0)),"?")))</f>
        <v/>
      </c>
      <c r="CA165" s="99" t="str">
        <f>IF($A165="","",IF($AO165="",1,IFERROR(INDEX('Sublimits and Parts'!$C$105:$C$109,MATCH($AO165,'Sublimits and Parts'!$B$105:$B$109,0)),"?")))</f>
        <v/>
      </c>
      <c r="CB165" s="100" t="str">
        <f t="shared" si="28"/>
        <v/>
      </c>
      <c r="CC165" s="100" t="str">
        <f t="shared" si="29"/>
        <v/>
      </c>
      <c r="CD165" s="103" t="str">
        <f>IF($A165="","",IF(OR($CB165="?",$CC165="?"),"?",MIN($CB165*$CC165,'Technical Premium'!$C$17)))</f>
        <v/>
      </c>
      <c r="CE165" s="102" t="str">
        <f t="shared" si="30"/>
        <v/>
      </c>
      <c r="CF165" s="102" t="str">
        <f>IF($A165="","",IFERROR(INDEX('Territory Factors'!$F$6:$F$56,MATCH($K165,'Territory Factors'!$B$6:$B$56,0)),"?"))</f>
        <v/>
      </c>
      <c r="CG165" s="100" t="str">
        <f>IF($A165="","",IFERROR(INDEX('Usage and Coverage'!$C$79:$C$84,MATCH($Y165,'Usage and Coverage'!$B$79:$B$84,0)),"?"))</f>
        <v/>
      </c>
      <c r="CH165" s="102" t="str">
        <f>IFERROR(IF(ISNUMBER($CD165),$CF165*$CG165*MIN($BG165*$BA165*$BC165*$BD165*$BH165*$BF165,'Technical Premium'!$C$17),""),"")</f>
        <v/>
      </c>
      <c r="CI165" s="102" t="str">
        <f t="shared" si="31"/>
        <v/>
      </c>
      <c r="CJ165" s="102" t="str">
        <f>IFERROR($CI165*(1+'Technical Premium'!$C$5)*(1+'Technical Premium'!$C$6),"")</f>
        <v/>
      </c>
      <c r="CK165" s="102" t="str">
        <f>IFERROR($CE165*INDEX('Territory Factors'!$G$6:$G$56,MATCH($K165,'Territory Factors'!$B$6:$B$56,0))*$AU165*$AV165,"")</f>
        <v/>
      </c>
      <c r="CL165" s="102" t="str">
        <f>IFERROR(($CJ165+$CK165)*(1+'Technical Premium'!$C$7),"")</f>
        <v/>
      </c>
      <c r="CM165" s="104" t="str">
        <f>IFERROR($CL165/'Technical Premium'!$C$13,"")</f>
        <v/>
      </c>
      <c r="CN165" s="105" t="str">
        <f t="shared" si="32"/>
        <v/>
      </c>
      <c r="CO165" s="104" t="str">
        <f t="shared" si="33"/>
        <v/>
      </c>
      <c r="CP165" s="105" t="str">
        <f t="shared" si="34"/>
        <v/>
      </c>
      <c r="CQ165" s="106" t="str">
        <f t="shared" si="35"/>
        <v/>
      </c>
      <c r="CR165" s="102" t="str">
        <f>IF(ISNUMBER($CM165),'Technical Premium'!$C$14+IF($J165&gt;=1000000,'Technical Premium'!$C$15,0),"")</f>
        <v/>
      </c>
      <c r="CS165" s="102" t="str">
        <f>IFERROR(($CO165+$CR165)*(INDEX('Territory Factors'!$K$6:$K$56,MATCH($K165,'Territory Factors'!$B$6:$B$56,0))+'Commission Structure'!$C$21),"")</f>
        <v/>
      </c>
      <c r="CT165" s="104" t="str">
        <f t="shared" si="36"/>
        <v/>
      </c>
      <c r="CU165" s="102" t="str">
        <f>IFERROR($CO165*('Commission Structure'!$C$6+'Commission Structure'!$C$7),"")</f>
        <v/>
      </c>
      <c r="CV165" s="102" t="str">
        <f>IFERROR($CO165*'Commission Structure'!$C$5-$CU165,"")</f>
        <v/>
      </c>
      <c r="CW165" s="102" t="str">
        <f>IFERROR($CO165*(1-'Commission Structure'!$C$5),"")</f>
        <v/>
      </c>
      <c r="CX165" s="107"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8" t="str">
        <f t="shared" si="37"/>
        <v/>
      </c>
      <c r="CZ165" s="99" t="str">
        <f>IF($CY165="","",IF($CY165&lt;'Technical Premium'!$C$19,"BEYOND AUTHORITY",IF($CY165&gt;0.005,"Above technical",IF($CY165&lt;-0.005,"BELOW technical","At technical"))))</f>
        <v/>
      </c>
      <c r="DA165" s="99"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4"/>
      <c r="DC165" s="94"/>
      <c r="DD165" s="95"/>
      <c r="DE165" s="94"/>
      <c r="DF165" s="94"/>
      <c r="DG165" s="99" t="str">
        <f t="shared" si="38"/>
        <v/>
      </c>
      <c r="DH165" s="99" t="str">
        <f>IF($A165="","",IF(OR($CX165="REFER",$CX165="DECLINE"),COUNTIF($CX$5:$CX165,"REFER")+COUNTIF($CX$5:$CX165,"DECLINE"),""))</f>
        <v/>
      </c>
      <c r="DI165" s="94"/>
    </row>
    <row r="166" spans="1:113" x14ac:dyDescent="0.35">
      <c r="A166" s="94"/>
      <c r="B166" s="94"/>
      <c r="C166" s="95"/>
      <c r="D166" s="95"/>
      <c r="E166" s="96"/>
      <c r="F166" s="94"/>
      <c r="G166" s="94"/>
      <c r="H166" s="94"/>
      <c r="I166" s="94"/>
      <c r="J166" s="97"/>
      <c r="K166" s="94"/>
      <c r="L166" s="94"/>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8"/>
      <c r="AR166" s="99" t="str">
        <f t="shared" si="26"/>
        <v/>
      </c>
      <c r="AS166" s="99" t="str">
        <f>IF($A166="","",IF($AP166&lt;&gt;"",$AP166,IFERROR(INDEX('Cat Zone by ZIP'!$D$6:$D$856,MATCH($AR166,'Cat Zone by ZIP'!$B$6:$B$856,0)),IFERROR(INDEX('Cat Zone by ZIP'!$C$860:$C$910,MATCH($K166,'Cat Zone by ZIP'!$B$860:$B$910,0)),"NOT FOUND"))))</f>
        <v/>
      </c>
      <c r="AT166" s="99" t="str">
        <f>IF($A166="","",IF($AP166&lt;&gt;"","Override",IF(ISNUMBER(MATCH($AR166,'Cat Zone by ZIP'!$B$6:$B$856,0)),"ZIP-3","State default")))</f>
        <v/>
      </c>
      <c r="AU166" s="100" t="str">
        <f>IF($A166="","",IFERROR(INDEX('Natural Catastrophe'!$D$6:$D$17,MATCH($AS166,'Natural Catastrophe'!$B$6:$B$17,0)),"?"))</f>
        <v/>
      </c>
      <c r="AV166" s="100" t="str">
        <f>IF($A166="","",IFERROR(INDEX('Natural Catastrophe'!$C$21:$C$26,MATCH($AA166,'Natural Catastrophe'!$B$21:$B$26,0)),"?"))</f>
        <v/>
      </c>
      <c r="AW166" s="99" t="str">
        <f>IF($A166="","",IFERROR(INDEX('Base Rates'!$C$4:$I$4,MATCH(MAX($J166,'Technical Premium'!$C$18),'Base Rates'!$C$3:$I$3,1)),"?"))</f>
        <v/>
      </c>
      <c r="AX166" s="101" t="str">
        <f>IF($A166="","",IFERROR(INDEX('Base Rates'!$C$5:$I$16,MATCH($I166,'Base Rates'!$B$5:$B$16,0),MATCH(MAX($J166,'Technical Premium'!$C$18),'Base Rates'!$C$3:$I$3,1)),"?"))</f>
        <v/>
      </c>
      <c r="AY166" s="102" t="str">
        <f t="shared" si="27"/>
        <v/>
      </c>
      <c r="AZ166" s="99" t="str">
        <f>IF($A166="","",IFERROR(INDEX('Make Factors'!$G$5:$G$69,MATCH($F166,'Make Factors'!$B$5:$B$69,0)),"?"))</f>
        <v/>
      </c>
      <c r="BA166" s="99" t="str">
        <f>IF($A166="","",IFERROR(INDEX('Driver Factors'!$C$6:$C$15,MATCH($R166,'Driver Factors'!$B$6:$B$15,0)),"?"))</f>
        <v/>
      </c>
      <c r="BB166" s="99" t="str">
        <f>IF($A166="","",IFERROR(INDEX('Driver Factors'!$C$19:$C$24,MATCH($S166,'Driver Factors'!$B$19:$B$24,0)),"?"))</f>
        <v/>
      </c>
      <c r="BC166" s="99" t="str">
        <f>IF($A166="","",IFERROR(INDEX('Driver Factors'!$C$28:$C$36,MATCH($T166,'Driver Factors'!$B$28:$B$36,0)),"?"))</f>
        <v/>
      </c>
      <c r="BD166" s="99" t="str">
        <f>IF($A166="","",IFERROR(INDEX('Claims History'!$C$6:$C$15,MATCH($U166,'Claims History'!$B$6:$B$15,0)),"?"))</f>
        <v/>
      </c>
      <c r="BE166" s="99" t="str">
        <f>IF($A166="","",IFERROR(INDEX('Territory Factors'!$E$6:$E$56,MATCH($K166,'Territory Factors'!$B$6:$B$56,0)),"?"))</f>
        <v/>
      </c>
      <c r="BF166" s="99" t="str">
        <f>IF($A166="","",IFERROR(INDEX('City Accident Ratings'!$G$6:$G$54,MATCH($Z166,'City Accident Ratings'!$B$6:$B$54,0)),"?"))</f>
        <v/>
      </c>
      <c r="BG166" s="99" t="str">
        <f>IF($A166="","",IFERROR(INDEX('Usage and Coverage'!$D$6:$D$20,MATCH($N166,'Usage and Coverage'!$C$6:$C$20,0)),"?"))</f>
        <v/>
      </c>
      <c r="BH166" s="99" t="str">
        <f>IF($A166="","",IFERROR(INDEX('Usage and Coverage'!$C$24:$C$30,MATCH($O166,'Usage and Coverage'!$B$24:$B$30,0)),"?"))</f>
        <v/>
      </c>
      <c r="BI166" s="99" t="str">
        <f>IF($A166="","",IFERROR(INDEX('Usage and Coverage'!$C$34:$C$40,MATCH($P166,'Usage and Coverage'!$B$34:$B$40,0)),"?"))</f>
        <v/>
      </c>
      <c r="BJ166" s="99" t="str">
        <f>IF($A166="","",IFERROR(INDEX('Usage and Coverage'!$C$44:$C$49,MATCH($Q166,'Usage and Coverage'!$B$44:$B$49,0)),"?"))</f>
        <v/>
      </c>
      <c r="BK166" s="99" t="str">
        <f>IF($A166="","",IFERROR(INDEX(Deductibles!$C$6:$I$15,MATCH($W166,Deductibles!$B$6:$B$15,0),MATCH(MAX($J166,'Technical Premium'!$C$18),'Base Rates'!$C$3:$I$3,1)),"?"))</f>
        <v/>
      </c>
      <c r="BL166" s="99" t="str">
        <f>IF($A166="","",IFERROR(INDEX('Usage and Coverage'!$C$63:$C$66,MATCH($X166,'Usage and Coverage'!$B$63:$B$66,0)),"?"))</f>
        <v/>
      </c>
      <c r="BM166" s="99" t="str">
        <f>IF($A166="","",IFERROR(INDEX('Usage and Coverage'!$C$70:$C$75,MATCH($V166,'Usage and Coverage'!$B$70:$B$75,0)),"?"))</f>
        <v/>
      </c>
      <c r="BN166" s="99" t="str">
        <f>IF($A166="","",IF($AB166="",1,IFERROR(INDEX(Deductibles!$C$48:$C$51,MATCH($AB166,Deductibles!$B$48:$B$51,0)),"?")))</f>
        <v/>
      </c>
      <c r="BO166" s="99" t="str">
        <f>IF($A166="","",IF($AC166="",1,IFERROR(INDEX(Deductibles!$C$55:$C$57,MATCH($AC166,Deductibles!$B$55:$B$57,0)),"?")))</f>
        <v/>
      </c>
      <c r="BP166" s="99" t="str">
        <f>IF($A166="","",IF($AD166="",1,IFERROR(INDEX(Deductibles!$C$61:$C$63,MATCH($AD166,Deductibles!$B$61:$B$63,0)),"?")))</f>
        <v/>
      </c>
      <c r="BQ166" s="99" t="str">
        <f>IF($A166="","",IF($AE166="",1,IFERROR(INDEX(Deductibles!$C$67:$C$69,MATCH($AE166,Deductibles!$B$67:$B$69,0)),"?")))</f>
        <v/>
      </c>
      <c r="BR166" s="99" t="str">
        <f>IF($A166="","",IF($AF166="",1,IFERROR(INDEX(Deductibles!$C$73:$C$74,MATCH($AF166,Deductibles!$B$73:$B$74,0)),"?")))</f>
        <v/>
      </c>
      <c r="BS166" s="99" t="str">
        <f>IF($A166="","",IF($AG166="",1,IFERROR(INDEX('Sublimits and Parts'!$C$49:$C$52,MATCH($AG166,'Sublimits and Parts'!$B$49:$B$52,0)),"?")))</f>
        <v/>
      </c>
      <c r="BT166" s="99" t="str">
        <f>IF($A166="","",IF($AH166="",1,IFERROR(INDEX('Sublimits and Parts'!$C$56:$C$60,MATCH($AH166,'Sublimits and Parts'!$B$56:$B$60,0)),"?")))</f>
        <v/>
      </c>
      <c r="BU166" s="99" t="str">
        <f>IF($A166="","",IF($AI166="",1,IFERROR(INDEX('Sublimits and Parts'!$C$64:$C$67,MATCH($AI166,'Sublimits and Parts'!$B$64:$B$67,0)),"?")))</f>
        <v/>
      </c>
      <c r="BV166" s="99" t="str">
        <f>IF($A166="","",IF($AJ166="",1,IFERROR(INDEX('Sublimits and Parts'!$C$71:$C$74,MATCH($AJ166,'Sublimits and Parts'!$B$71:$B$74,0)),"?")))</f>
        <v/>
      </c>
      <c r="BW166" s="99" t="str">
        <f>IF($A166="","",IF($AK166="",1,IFERROR(INDEX('Sublimits and Parts'!$C$78:$C$80,MATCH($AK166,'Sublimits and Parts'!$B$78:$B$80,0)),"?")))</f>
        <v/>
      </c>
      <c r="BX166" s="99" t="str">
        <f>IF($A166="","",IF($AL166="",1,IFERROR(INDEX('Sublimits and Parts'!$C$84:$C$87,MATCH($AL166,'Sublimits and Parts'!$B$84:$B$87,0)),"?")))</f>
        <v/>
      </c>
      <c r="BY166" s="99" t="str">
        <f>IF($A166="","",IF($AM166="",1,IFERROR(INDEX('Sublimits and Parts'!$C$91:$C$94,MATCH($AM166,'Sublimits and Parts'!$B$91:$B$94,0)),"?")))</f>
        <v/>
      </c>
      <c r="BZ166" s="99" t="str">
        <f>IF($A166="","",IF($AN166="",1,IFERROR(INDEX('Sublimits and Parts'!$C$98:$C$101,MATCH($AN166,'Sublimits and Parts'!$B$98:$B$101,0)),"?")))</f>
        <v/>
      </c>
      <c r="CA166" s="99" t="str">
        <f>IF($A166="","",IF($AO166="",1,IFERROR(INDEX('Sublimits and Parts'!$C$105:$C$109,MATCH($AO166,'Sublimits and Parts'!$B$105:$B$109,0)),"?")))</f>
        <v/>
      </c>
      <c r="CB166" s="100" t="str">
        <f t="shared" si="28"/>
        <v/>
      </c>
      <c r="CC166" s="100" t="str">
        <f t="shared" si="29"/>
        <v/>
      </c>
      <c r="CD166" s="103" t="str">
        <f>IF($A166="","",IF(OR($CB166="?",$CC166="?"),"?",MIN($CB166*$CC166,'Technical Premium'!$C$17)))</f>
        <v/>
      </c>
      <c r="CE166" s="102" t="str">
        <f t="shared" si="30"/>
        <v/>
      </c>
      <c r="CF166" s="102" t="str">
        <f>IF($A166="","",IFERROR(INDEX('Territory Factors'!$F$6:$F$56,MATCH($K166,'Territory Factors'!$B$6:$B$56,0)),"?"))</f>
        <v/>
      </c>
      <c r="CG166" s="100" t="str">
        <f>IF($A166="","",IFERROR(INDEX('Usage and Coverage'!$C$79:$C$84,MATCH($Y166,'Usage and Coverage'!$B$79:$B$84,0)),"?"))</f>
        <v/>
      </c>
      <c r="CH166" s="102" t="str">
        <f>IFERROR(IF(ISNUMBER($CD166),$CF166*$CG166*MIN($BG166*$BA166*$BC166*$BD166*$BH166*$BF166,'Technical Premium'!$C$17),""),"")</f>
        <v/>
      </c>
      <c r="CI166" s="102" t="str">
        <f t="shared" si="31"/>
        <v/>
      </c>
      <c r="CJ166" s="102" t="str">
        <f>IFERROR($CI166*(1+'Technical Premium'!$C$5)*(1+'Technical Premium'!$C$6),"")</f>
        <v/>
      </c>
      <c r="CK166" s="102" t="str">
        <f>IFERROR($CE166*INDEX('Territory Factors'!$G$6:$G$56,MATCH($K166,'Territory Factors'!$B$6:$B$56,0))*$AU166*$AV166,"")</f>
        <v/>
      </c>
      <c r="CL166" s="102" t="str">
        <f>IFERROR(($CJ166+$CK166)*(1+'Technical Premium'!$C$7),"")</f>
        <v/>
      </c>
      <c r="CM166" s="104" t="str">
        <f>IFERROR($CL166/'Technical Premium'!$C$13,"")</f>
        <v/>
      </c>
      <c r="CN166" s="105" t="str">
        <f t="shared" si="32"/>
        <v/>
      </c>
      <c r="CO166" s="104" t="str">
        <f t="shared" si="33"/>
        <v/>
      </c>
      <c r="CP166" s="105" t="str">
        <f t="shared" si="34"/>
        <v/>
      </c>
      <c r="CQ166" s="106" t="str">
        <f t="shared" si="35"/>
        <v/>
      </c>
      <c r="CR166" s="102" t="str">
        <f>IF(ISNUMBER($CM166),'Technical Premium'!$C$14+IF($J166&gt;=1000000,'Technical Premium'!$C$15,0),"")</f>
        <v/>
      </c>
      <c r="CS166" s="102" t="str">
        <f>IFERROR(($CO166+$CR166)*(INDEX('Territory Factors'!$K$6:$K$56,MATCH($K166,'Territory Factors'!$B$6:$B$56,0))+'Commission Structure'!$C$21),"")</f>
        <v/>
      </c>
      <c r="CT166" s="104" t="str">
        <f t="shared" si="36"/>
        <v/>
      </c>
      <c r="CU166" s="102" t="str">
        <f>IFERROR($CO166*('Commission Structure'!$C$6+'Commission Structure'!$C$7),"")</f>
        <v/>
      </c>
      <c r="CV166" s="102" t="str">
        <f>IFERROR($CO166*'Commission Structure'!$C$5-$CU166,"")</f>
        <v/>
      </c>
      <c r="CW166" s="102" t="str">
        <f>IFERROR($CO166*(1-'Commission Structure'!$C$5),"")</f>
        <v/>
      </c>
      <c r="CX166" s="107"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8" t="str">
        <f t="shared" si="37"/>
        <v/>
      </c>
      <c r="CZ166" s="99" t="str">
        <f>IF($CY166="","",IF($CY166&lt;'Technical Premium'!$C$19,"BEYOND AUTHORITY",IF($CY166&gt;0.005,"Above technical",IF($CY166&lt;-0.005,"BELOW technical","At technical"))))</f>
        <v/>
      </c>
      <c r="DA166" s="99"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4"/>
      <c r="DC166" s="94"/>
      <c r="DD166" s="95"/>
      <c r="DE166" s="94"/>
      <c r="DF166" s="94"/>
      <c r="DG166" s="99" t="str">
        <f t="shared" si="38"/>
        <v/>
      </c>
      <c r="DH166" s="99" t="str">
        <f>IF($A166="","",IF(OR($CX166="REFER",$CX166="DECLINE"),COUNTIF($CX$5:$CX166,"REFER")+COUNTIF($CX$5:$CX166,"DECLINE"),""))</f>
        <v/>
      </c>
      <c r="DI166" s="94"/>
    </row>
    <row r="167" spans="1:113" x14ac:dyDescent="0.35">
      <c r="A167" s="94"/>
      <c r="B167" s="94"/>
      <c r="C167" s="95"/>
      <c r="D167" s="95"/>
      <c r="E167" s="96"/>
      <c r="F167" s="94"/>
      <c r="G167" s="94"/>
      <c r="H167" s="94"/>
      <c r="I167" s="94"/>
      <c r="J167" s="97"/>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8"/>
      <c r="AR167" s="99" t="str">
        <f t="shared" si="26"/>
        <v/>
      </c>
      <c r="AS167" s="99" t="str">
        <f>IF($A167="","",IF($AP167&lt;&gt;"",$AP167,IFERROR(INDEX('Cat Zone by ZIP'!$D$6:$D$856,MATCH($AR167,'Cat Zone by ZIP'!$B$6:$B$856,0)),IFERROR(INDEX('Cat Zone by ZIP'!$C$860:$C$910,MATCH($K167,'Cat Zone by ZIP'!$B$860:$B$910,0)),"NOT FOUND"))))</f>
        <v/>
      </c>
      <c r="AT167" s="99" t="str">
        <f>IF($A167="","",IF($AP167&lt;&gt;"","Override",IF(ISNUMBER(MATCH($AR167,'Cat Zone by ZIP'!$B$6:$B$856,0)),"ZIP-3","State default")))</f>
        <v/>
      </c>
      <c r="AU167" s="100" t="str">
        <f>IF($A167="","",IFERROR(INDEX('Natural Catastrophe'!$D$6:$D$17,MATCH($AS167,'Natural Catastrophe'!$B$6:$B$17,0)),"?"))</f>
        <v/>
      </c>
      <c r="AV167" s="100" t="str">
        <f>IF($A167="","",IFERROR(INDEX('Natural Catastrophe'!$C$21:$C$26,MATCH($AA167,'Natural Catastrophe'!$B$21:$B$26,0)),"?"))</f>
        <v/>
      </c>
      <c r="AW167" s="99" t="str">
        <f>IF($A167="","",IFERROR(INDEX('Base Rates'!$C$4:$I$4,MATCH(MAX($J167,'Technical Premium'!$C$18),'Base Rates'!$C$3:$I$3,1)),"?"))</f>
        <v/>
      </c>
      <c r="AX167" s="101" t="str">
        <f>IF($A167="","",IFERROR(INDEX('Base Rates'!$C$5:$I$16,MATCH($I167,'Base Rates'!$B$5:$B$16,0),MATCH(MAX($J167,'Technical Premium'!$C$18),'Base Rates'!$C$3:$I$3,1)),"?"))</f>
        <v/>
      </c>
      <c r="AY167" s="102" t="str">
        <f t="shared" si="27"/>
        <v/>
      </c>
      <c r="AZ167" s="99" t="str">
        <f>IF($A167="","",IFERROR(INDEX('Make Factors'!$G$5:$G$69,MATCH($F167,'Make Factors'!$B$5:$B$69,0)),"?"))</f>
        <v/>
      </c>
      <c r="BA167" s="99" t="str">
        <f>IF($A167="","",IFERROR(INDEX('Driver Factors'!$C$6:$C$15,MATCH($R167,'Driver Factors'!$B$6:$B$15,0)),"?"))</f>
        <v/>
      </c>
      <c r="BB167" s="99" t="str">
        <f>IF($A167="","",IFERROR(INDEX('Driver Factors'!$C$19:$C$24,MATCH($S167,'Driver Factors'!$B$19:$B$24,0)),"?"))</f>
        <v/>
      </c>
      <c r="BC167" s="99" t="str">
        <f>IF($A167="","",IFERROR(INDEX('Driver Factors'!$C$28:$C$36,MATCH($T167,'Driver Factors'!$B$28:$B$36,0)),"?"))</f>
        <v/>
      </c>
      <c r="BD167" s="99" t="str">
        <f>IF($A167="","",IFERROR(INDEX('Claims History'!$C$6:$C$15,MATCH($U167,'Claims History'!$B$6:$B$15,0)),"?"))</f>
        <v/>
      </c>
      <c r="BE167" s="99" t="str">
        <f>IF($A167="","",IFERROR(INDEX('Territory Factors'!$E$6:$E$56,MATCH($K167,'Territory Factors'!$B$6:$B$56,0)),"?"))</f>
        <v/>
      </c>
      <c r="BF167" s="99" t="str">
        <f>IF($A167="","",IFERROR(INDEX('City Accident Ratings'!$G$6:$G$54,MATCH($Z167,'City Accident Ratings'!$B$6:$B$54,0)),"?"))</f>
        <v/>
      </c>
      <c r="BG167" s="99" t="str">
        <f>IF($A167="","",IFERROR(INDEX('Usage and Coverage'!$D$6:$D$20,MATCH($N167,'Usage and Coverage'!$C$6:$C$20,0)),"?"))</f>
        <v/>
      </c>
      <c r="BH167" s="99" t="str">
        <f>IF($A167="","",IFERROR(INDEX('Usage and Coverage'!$C$24:$C$30,MATCH($O167,'Usage and Coverage'!$B$24:$B$30,0)),"?"))</f>
        <v/>
      </c>
      <c r="BI167" s="99" t="str">
        <f>IF($A167="","",IFERROR(INDEX('Usage and Coverage'!$C$34:$C$40,MATCH($P167,'Usage and Coverage'!$B$34:$B$40,0)),"?"))</f>
        <v/>
      </c>
      <c r="BJ167" s="99" t="str">
        <f>IF($A167="","",IFERROR(INDEX('Usage and Coverage'!$C$44:$C$49,MATCH($Q167,'Usage and Coverage'!$B$44:$B$49,0)),"?"))</f>
        <v/>
      </c>
      <c r="BK167" s="99" t="str">
        <f>IF($A167="","",IFERROR(INDEX(Deductibles!$C$6:$I$15,MATCH($W167,Deductibles!$B$6:$B$15,0),MATCH(MAX($J167,'Technical Premium'!$C$18),'Base Rates'!$C$3:$I$3,1)),"?"))</f>
        <v/>
      </c>
      <c r="BL167" s="99" t="str">
        <f>IF($A167="","",IFERROR(INDEX('Usage and Coverage'!$C$63:$C$66,MATCH($X167,'Usage and Coverage'!$B$63:$B$66,0)),"?"))</f>
        <v/>
      </c>
      <c r="BM167" s="99" t="str">
        <f>IF($A167="","",IFERROR(INDEX('Usage and Coverage'!$C$70:$C$75,MATCH($V167,'Usage and Coverage'!$B$70:$B$75,0)),"?"))</f>
        <v/>
      </c>
      <c r="BN167" s="99" t="str">
        <f>IF($A167="","",IF($AB167="",1,IFERROR(INDEX(Deductibles!$C$48:$C$51,MATCH($AB167,Deductibles!$B$48:$B$51,0)),"?")))</f>
        <v/>
      </c>
      <c r="BO167" s="99" t="str">
        <f>IF($A167="","",IF($AC167="",1,IFERROR(INDEX(Deductibles!$C$55:$C$57,MATCH($AC167,Deductibles!$B$55:$B$57,0)),"?")))</f>
        <v/>
      </c>
      <c r="BP167" s="99" t="str">
        <f>IF($A167="","",IF($AD167="",1,IFERROR(INDEX(Deductibles!$C$61:$C$63,MATCH($AD167,Deductibles!$B$61:$B$63,0)),"?")))</f>
        <v/>
      </c>
      <c r="BQ167" s="99" t="str">
        <f>IF($A167="","",IF($AE167="",1,IFERROR(INDEX(Deductibles!$C$67:$C$69,MATCH($AE167,Deductibles!$B$67:$B$69,0)),"?")))</f>
        <v/>
      </c>
      <c r="BR167" s="99" t="str">
        <f>IF($A167="","",IF($AF167="",1,IFERROR(INDEX(Deductibles!$C$73:$C$74,MATCH($AF167,Deductibles!$B$73:$B$74,0)),"?")))</f>
        <v/>
      </c>
      <c r="BS167" s="99" t="str">
        <f>IF($A167="","",IF($AG167="",1,IFERROR(INDEX('Sublimits and Parts'!$C$49:$C$52,MATCH($AG167,'Sublimits and Parts'!$B$49:$B$52,0)),"?")))</f>
        <v/>
      </c>
      <c r="BT167" s="99" t="str">
        <f>IF($A167="","",IF($AH167="",1,IFERROR(INDEX('Sublimits and Parts'!$C$56:$C$60,MATCH($AH167,'Sublimits and Parts'!$B$56:$B$60,0)),"?")))</f>
        <v/>
      </c>
      <c r="BU167" s="99" t="str">
        <f>IF($A167="","",IF($AI167="",1,IFERROR(INDEX('Sublimits and Parts'!$C$64:$C$67,MATCH($AI167,'Sublimits and Parts'!$B$64:$B$67,0)),"?")))</f>
        <v/>
      </c>
      <c r="BV167" s="99" t="str">
        <f>IF($A167="","",IF($AJ167="",1,IFERROR(INDEX('Sublimits and Parts'!$C$71:$C$74,MATCH($AJ167,'Sublimits and Parts'!$B$71:$B$74,0)),"?")))</f>
        <v/>
      </c>
      <c r="BW167" s="99" t="str">
        <f>IF($A167="","",IF($AK167="",1,IFERROR(INDEX('Sublimits and Parts'!$C$78:$C$80,MATCH($AK167,'Sublimits and Parts'!$B$78:$B$80,0)),"?")))</f>
        <v/>
      </c>
      <c r="BX167" s="99" t="str">
        <f>IF($A167="","",IF($AL167="",1,IFERROR(INDEX('Sublimits and Parts'!$C$84:$C$87,MATCH($AL167,'Sublimits and Parts'!$B$84:$B$87,0)),"?")))</f>
        <v/>
      </c>
      <c r="BY167" s="99" t="str">
        <f>IF($A167="","",IF($AM167="",1,IFERROR(INDEX('Sublimits and Parts'!$C$91:$C$94,MATCH($AM167,'Sublimits and Parts'!$B$91:$B$94,0)),"?")))</f>
        <v/>
      </c>
      <c r="BZ167" s="99" t="str">
        <f>IF($A167="","",IF($AN167="",1,IFERROR(INDEX('Sublimits and Parts'!$C$98:$C$101,MATCH($AN167,'Sublimits and Parts'!$B$98:$B$101,0)),"?")))</f>
        <v/>
      </c>
      <c r="CA167" s="99" t="str">
        <f>IF($A167="","",IF($AO167="",1,IFERROR(INDEX('Sublimits and Parts'!$C$105:$C$109,MATCH($AO167,'Sublimits and Parts'!$B$105:$B$109,0)),"?")))</f>
        <v/>
      </c>
      <c r="CB167" s="100" t="str">
        <f t="shared" si="28"/>
        <v/>
      </c>
      <c r="CC167" s="100" t="str">
        <f t="shared" si="29"/>
        <v/>
      </c>
      <c r="CD167" s="103" t="str">
        <f>IF($A167="","",IF(OR($CB167="?",$CC167="?"),"?",MIN($CB167*$CC167,'Technical Premium'!$C$17)))</f>
        <v/>
      </c>
      <c r="CE167" s="102" t="str">
        <f t="shared" si="30"/>
        <v/>
      </c>
      <c r="CF167" s="102" t="str">
        <f>IF($A167="","",IFERROR(INDEX('Territory Factors'!$F$6:$F$56,MATCH($K167,'Territory Factors'!$B$6:$B$56,0)),"?"))</f>
        <v/>
      </c>
      <c r="CG167" s="100" t="str">
        <f>IF($A167="","",IFERROR(INDEX('Usage and Coverage'!$C$79:$C$84,MATCH($Y167,'Usage and Coverage'!$B$79:$B$84,0)),"?"))</f>
        <v/>
      </c>
      <c r="CH167" s="102" t="str">
        <f>IFERROR(IF(ISNUMBER($CD167),$CF167*$CG167*MIN($BG167*$BA167*$BC167*$BD167*$BH167*$BF167,'Technical Premium'!$C$17),""),"")</f>
        <v/>
      </c>
      <c r="CI167" s="102" t="str">
        <f t="shared" si="31"/>
        <v/>
      </c>
      <c r="CJ167" s="102" t="str">
        <f>IFERROR($CI167*(1+'Technical Premium'!$C$5)*(1+'Technical Premium'!$C$6),"")</f>
        <v/>
      </c>
      <c r="CK167" s="102" t="str">
        <f>IFERROR($CE167*INDEX('Territory Factors'!$G$6:$G$56,MATCH($K167,'Territory Factors'!$B$6:$B$56,0))*$AU167*$AV167,"")</f>
        <v/>
      </c>
      <c r="CL167" s="102" t="str">
        <f>IFERROR(($CJ167+$CK167)*(1+'Technical Premium'!$C$7),"")</f>
        <v/>
      </c>
      <c r="CM167" s="104" t="str">
        <f>IFERROR($CL167/'Technical Premium'!$C$13,"")</f>
        <v/>
      </c>
      <c r="CN167" s="105" t="str">
        <f t="shared" si="32"/>
        <v/>
      </c>
      <c r="CO167" s="104" t="str">
        <f t="shared" si="33"/>
        <v/>
      </c>
      <c r="CP167" s="105" t="str">
        <f t="shared" si="34"/>
        <v/>
      </c>
      <c r="CQ167" s="106" t="str">
        <f t="shared" si="35"/>
        <v/>
      </c>
      <c r="CR167" s="102" t="str">
        <f>IF(ISNUMBER($CM167),'Technical Premium'!$C$14+IF($J167&gt;=1000000,'Technical Premium'!$C$15,0),"")</f>
        <v/>
      </c>
      <c r="CS167" s="102" t="str">
        <f>IFERROR(($CO167+$CR167)*(INDEX('Territory Factors'!$K$6:$K$56,MATCH($K167,'Territory Factors'!$B$6:$B$56,0))+'Commission Structure'!$C$21),"")</f>
        <v/>
      </c>
      <c r="CT167" s="104" t="str">
        <f t="shared" si="36"/>
        <v/>
      </c>
      <c r="CU167" s="102" t="str">
        <f>IFERROR($CO167*('Commission Structure'!$C$6+'Commission Structure'!$C$7),"")</f>
        <v/>
      </c>
      <c r="CV167" s="102" t="str">
        <f>IFERROR($CO167*'Commission Structure'!$C$5-$CU167,"")</f>
        <v/>
      </c>
      <c r="CW167" s="102" t="str">
        <f>IFERROR($CO167*(1-'Commission Structure'!$C$5),"")</f>
        <v/>
      </c>
      <c r="CX167" s="107"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8" t="str">
        <f t="shared" si="37"/>
        <v/>
      </c>
      <c r="CZ167" s="99" t="str">
        <f>IF($CY167="","",IF($CY167&lt;'Technical Premium'!$C$19,"BEYOND AUTHORITY",IF($CY167&gt;0.005,"Above technical",IF($CY167&lt;-0.005,"BELOW technical","At technical"))))</f>
        <v/>
      </c>
      <c r="DA167" s="99"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4"/>
      <c r="DC167" s="94"/>
      <c r="DD167" s="95"/>
      <c r="DE167" s="94"/>
      <c r="DF167" s="94"/>
      <c r="DG167" s="99" t="str">
        <f t="shared" si="38"/>
        <v/>
      </c>
      <c r="DH167" s="99" t="str">
        <f>IF($A167="","",IF(OR($CX167="REFER",$CX167="DECLINE"),COUNTIF($CX$5:$CX167,"REFER")+COUNTIF($CX$5:$CX167,"DECLINE"),""))</f>
        <v/>
      </c>
      <c r="DI167" s="94"/>
    </row>
    <row r="168" spans="1:113" x14ac:dyDescent="0.35">
      <c r="A168" s="94"/>
      <c r="B168" s="94"/>
      <c r="C168" s="95"/>
      <c r="D168" s="95"/>
      <c r="E168" s="96"/>
      <c r="F168" s="94"/>
      <c r="G168" s="94"/>
      <c r="H168" s="94"/>
      <c r="I168" s="94"/>
      <c r="J168" s="97"/>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8"/>
      <c r="AR168" s="99" t="str">
        <f t="shared" si="26"/>
        <v/>
      </c>
      <c r="AS168" s="99" t="str">
        <f>IF($A168="","",IF($AP168&lt;&gt;"",$AP168,IFERROR(INDEX('Cat Zone by ZIP'!$D$6:$D$856,MATCH($AR168,'Cat Zone by ZIP'!$B$6:$B$856,0)),IFERROR(INDEX('Cat Zone by ZIP'!$C$860:$C$910,MATCH($K168,'Cat Zone by ZIP'!$B$860:$B$910,0)),"NOT FOUND"))))</f>
        <v/>
      </c>
      <c r="AT168" s="99" t="str">
        <f>IF($A168="","",IF($AP168&lt;&gt;"","Override",IF(ISNUMBER(MATCH($AR168,'Cat Zone by ZIP'!$B$6:$B$856,0)),"ZIP-3","State default")))</f>
        <v/>
      </c>
      <c r="AU168" s="100" t="str">
        <f>IF($A168="","",IFERROR(INDEX('Natural Catastrophe'!$D$6:$D$17,MATCH($AS168,'Natural Catastrophe'!$B$6:$B$17,0)),"?"))</f>
        <v/>
      </c>
      <c r="AV168" s="100" t="str">
        <f>IF($A168="","",IFERROR(INDEX('Natural Catastrophe'!$C$21:$C$26,MATCH($AA168,'Natural Catastrophe'!$B$21:$B$26,0)),"?"))</f>
        <v/>
      </c>
      <c r="AW168" s="99" t="str">
        <f>IF($A168="","",IFERROR(INDEX('Base Rates'!$C$4:$I$4,MATCH(MAX($J168,'Technical Premium'!$C$18),'Base Rates'!$C$3:$I$3,1)),"?"))</f>
        <v/>
      </c>
      <c r="AX168" s="101" t="str">
        <f>IF($A168="","",IFERROR(INDEX('Base Rates'!$C$5:$I$16,MATCH($I168,'Base Rates'!$B$5:$B$16,0),MATCH(MAX($J168,'Technical Premium'!$C$18),'Base Rates'!$C$3:$I$3,1)),"?"))</f>
        <v/>
      </c>
      <c r="AY168" s="102" t="str">
        <f t="shared" si="27"/>
        <v/>
      </c>
      <c r="AZ168" s="99" t="str">
        <f>IF($A168="","",IFERROR(INDEX('Make Factors'!$G$5:$G$69,MATCH($F168,'Make Factors'!$B$5:$B$69,0)),"?"))</f>
        <v/>
      </c>
      <c r="BA168" s="99" t="str">
        <f>IF($A168="","",IFERROR(INDEX('Driver Factors'!$C$6:$C$15,MATCH($R168,'Driver Factors'!$B$6:$B$15,0)),"?"))</f>
        <v/>
      </c>
      <c r="BB168" s="99" t="str">
        <f>IF($A168="","",IFERROR(INDEX('Driver Factors'!$C$19:$C$24,MATCH($S168,'Driver Factors'!$B$19:$B$24,0)),"?"))</f>
        <v/>
      </c>
      <c r="BC168" s="99" t="str">
        <f>IF($A168="","",IFERROR(INDEX('Driver Factors'!$C$28:$C$36,MATCH($T168,'Driver Factors'!$B$28:$B$36,0)),"?"))</f>
        <v/>
      </c>
      <c r="BD168" s="99" t="str">
        <f>IF($A168="","",IFERROR(INDEX('Claims History'!$C$6:$C$15,MATCH($U168,'Claims History'!$B$6:$B$15,0)),"?"))</f>
        <v/>
      </c>
      <c r="BE168" s="99" t="str">
        <f>IF($A168="","",IFERROR(INDEX('Territory Factors'!$E$6:$E$56,MATCH($K168,'Territory Factors'!$B$6:$B$56,0)),"?"))</f>
        <v/>
      </c>
      <c r="BF168" s="99" t="str">
        <f>IF($A168="","",IFERROR(INDEX('City Accident Ratings'!$G$6:$G$54,MATCH($Z168,'City Accident Ratings'!$B$6:$B$54,0)),"?"))</f>
        <v/>
      </c>
      <c r="BG168" s="99" t="str">
        <f>IF($A168="","",IFERROR(INDEX('Usage and Coverage'!$D$6:$D$20,MATCH($N168,'Usage and Coverage'!$C$6:$C$20,0)),"?"))</f>
        <v/>
      </c>
      <c r="BH168" s="99" t="str">
        <f>IF($A168="","",IFERROR(INDEX('Usage and Coverage'!$C$24:$C$30,MATCH($O168,'Usage and Coverage'!$B$24:$B$30,0)),"?"))</f>
        <v/>
      </c>
      <c r="BI168" s="99" t="str">
        <f>IF($A168="","",IFERROR(INDEX('Usage and Coverage'!$C$34:$C$40,MATCH($P168,'Usage and Coverage'!$B$34:$B$40,0)),"?"))</f>
        <v/>
      </c>
      <c r="BJ168" s="99" t="str">
        <f>IF($A168="","",IFERROR(INDEX('Usage and Coverage'!$C$44:$C$49,MATCH($Q168,'Usage and Coverage'!$B$44:$B$49,0)),"?"))</f>
        <v/>
      </c>
      <c r="BK168" s="99" t="str">
        <f>IF($A168="","",IFERROR(INDEX(Deductibles!$C$6:$I$15,MATCH($W168,Deductibles!$B$6:$B$15,0),MATCH(MAX($J168,'Technical Premium'!$C$18),'Base Rates'!$C$3:$I$3,1)),"?"))</f>
        <v/>
      </c>
      <c r="BL168" s="99" t="str">
        <f>IF($A168="","",IFERROR(INDEX('Usage and Coverage'!$C$63:$C$66,MATCH($X168,'Usage and Coverage'!$B$63:$B$66,0)),"?"))</f>
        <v/>
      </c>
      <c r="BM168" s="99" t="str">
        <f>IF($A168="","",IFERROR(INDEX('Usage and Coverage'!$C$70:$C$75,MATCH($V168,'Usage and Coverage'!$B$70:$B$75,0)),"?"))</f>
        <v/>
      </c>
      <c r="BN168" s="99" t="str">
        <f>IF($A168="","",IF($AB168="",1,IFERROR(INDEX(Deductibles!$C$48:$C$51,MATCH($AB168,Deductibles!$B$48:$B$51,0)),"?")))</f>
        <v/>
      </c>
      <c r="BO168" s="99" t="str">
        <f>IF($A168="","",IF($AC168="",1,IFERROR(INDEX(Deductibles!$C$55:$C$57,MATCH($AC168,Deductibles!$B$55:$B$57,0)),"?")))</f>
        <v/>
      </c>
      <c r="BP168" s="99" t="str">
        <f>IF($A168="","",IF($AD168="",1,IFERROR(INDEX(Deductibles!$C$61:$C$63,MATCH($AD168,Deductibles!$B$61:$B$63,0)),"?")))</f>
        <v/>
      </c>
      <c r="BQ168" s="99" t="str">
        <f>IF($A168="","",IF($AE168="",1,IFERROR(INDEX(Deductibles!$C$67:$C$69,MATCH($AE168,Deductibles!$B$67:$B$69,0)),"?")))</f>
        <v/>
      </c>
      <c r="BR168" s="99" t="str">
        <f>IF($A168="","",IF($AF168="",1,IFERROR(INDEX(Deductibles!$C$73:$C$74,MATCH($AF168,Deductibles!$B$73:$B$74,0)),"?")))</f>
        <v/>
      </c>
      <c r="BS168" s="99" t="str">
        <f>IF($A168="","",IF($AG168="",1,IFERROR(INDEX('Sublimits and Parts'!$C$49:$C$52,MATCH($AG168,'Sublimits and Parts'!$B$49:$B$52,0)),"?")))</f>
        <v/>
      </c>
      <c r="BT168" s="99" t="str">
        <f>IF($A168="","",IF($AH168="",1,IFERROR(INDEX('Sublimits and Parts'!$C$56:$C$60,MATCH($AH168,'Sublimits and Parts'!$B$56:$B$60,0)),"?")))</f>
        <v/>
      </c>
      <c r="BU168" s="99" t="str">
        <f>IF($A168="","",IF($AI168="",1,IFERROR(INDEX('Sublimits and Parts'!$C$64:$C$67,MATCH($AI168,'Sublimits and Parts'!$B$64:$B$67,0)),"?")))</f>
        <v/>
      </c>
      <c r="BV168" s="99" t="str">
        <f>IF($A168="","",IF($AJ168="",1,IFERROR(INDEX('Sublimits and Parts'!$C$71:$C$74,MATCH($AJ168,'Sublimits and Parts'!$B$71:$B$74,0)),"?")))</f>
        <v/>
      </c>
      <c r="BW168" s="99" t="str">
        <f>IF($A168="","",IF($AK168="",1,IFERROR(INDEX('Sublimits and Parts'!$C$78:$C$80,MATCH($AK168,'Sublimits and Parts'!$B$78:$B$80,0)),"?")))</f>
        <v/>
      </c>
      <c r="BX168" s="99" t="str">
        <f>IF($A168="","",IF($AL168="",1,IFERROR(INDEX('Sublimits and Parts'!$C$84:$C$87,MATCH($AL168,'Sublimits and Parts'!$B$84:$B$87,0)),"?")))</f>
        <v/>
      </c>
      <c r="BY168" s="99" t="str">
        <f>IF($A168="","",IF($AM168="",1,IFERROR(INDEX('Sublimits and Parts'!$C$91:$C$94,MATCH($AM168,'Sublimits and Parts'!$B$91:$B$94,0)),"?")))</f>
        <v/>
      </c>
      <c r="BZ168" s="99" t="str">
        <f>IF($A168="","",IF($AN168="",1,IFERROR(INDEX('Sublimits and Parts'!$C$98:$C$101,MATCH($AN168,'Sublimits and Parts'!$B$98:$B$101,0)),"?")))</f>
        <v/>
      </c>
      <c r="CA168" s="99" t="str">
        <f>IF($A168="","",IF($AO168="",1,IFERROR(INDEX('Sublimits and Parts'!$C$105:$C$109,MATCH($AO168,'Sublimits and Parts'!$B$105:$B$109,0)),"?")))</f>
        <v/>
      </c>
      <c r="CB168" s="100" t="str">
        <f t="shared" si="28"/>
        <v/>
      </c>
      <c r="CC168" s="100" t="str">
        <f t="shared" si="29"/>
        <v/>
      </c>
      <c r="CD168" s="103" t="str">
        <f>IF($A168="","",IF(OR($CB168="?",$CC168="?"),"?",MIN($CB168*$CC168,'Technical Premium'!$C$17)))</f>
        <v/>
      </c>
      <c r="CE168" s="102" t="str">
        <f t="shared" si="30"/>
        <v/>
      </c>
      <c r="CF168" s="102" t="str">
        <f>IF($A168="","",IFERROR(INDEX('Territory Factors'!$F$6:$F$56,MATCH($K168,'Territory Factors'!$B$6:$B$56,0)),"?"))</f>
        <v/>
      </c>
      <c r="CG168" s="100" t="str">
        <f>IF($A168="","",IFERROR(INDEX('Usage and Coverage'!$C$79:$C$84,MATCH($Y168,'Usage and Coverage'!$B$79:$B$84,0)),"?"))</f>
        <v/>
      </c>
      <c r="CH168" s="102" t="str">
        <f>IFERROR(IF(ISNUMBER($CD168),$CF168*$CG168*MIN($BG168*$BA168*$BC168*$BD168*$BH168*$BF168,'Technical Premium'!$C$17),""),"")</f>
        <v/>
      </c>
      <c r="CI168" s="102" t="str">
        <f t="shared" si="31"/>
        <v/>
      </c>
      <c r="CJ168" s="102" t="str">
        <f>IFERROR($CI168*(1+'Technical Premium'!$C$5)*(1+'Technical Premium'!$C$6),"")</f>
        <v/>
      </c>
      <c r="CK168" s="102" t="str">
        <f>IFERROR($CE168*INDEX('Territory Factors'!$G$6:$G$56,MATCH($K168,'Territory Factors'!$B$6:$B$56,0))*$AU168*$AV168,"")</f>
        <v/>
      </c>
      <c r="CL168" s="102" t="str">
        <f>IFERROR(($CJ168+$CK168)*(1+'Technical Premium'!$C$7),"")</f>
        <v/>
      </c>
      <c r="CM168" s="104" t="str">
        <f>IFERROR($CL168/'Technical Premium'!$C$13,"")</f>
        <v/>
      </c>
      <c r="CN168" s="105" t="str">
        <f t="shared" si="32"/>
        <v/>
      </c>
      <c r="CO168" s="104" t="str">
        <f t="shared" si="33"/>
        <v/>
      </c>
      <c r="CP168" s="105" t="str">
        <f t="shared" si="34"/>
        <v/>
      </c>
      <c r="CQ168" s="106" t="str">
        <f t="shared" si="35"/>
        <v/>
      </c>
      <c r="CR168" s="102" t="str">
        <f>IF(ISNUMBER($CM168),'Technical Premium'!$C$14+IF($J168&gt;=1000000,'Technical Premium'!$C$15,0),"")</f>
        <v/>
      </c>
      <c r="CS168" s="102" t="str">
        <f>IFERROR(($CO168+$CR168)*(INDEX('Territory Factors'!$K$6:$K$56,MATCH($K168,'Territory Factors'!$B$6:$B$56,0))+'Commission Structure'!$C$21),"")</f>
        <v/>
      </c>
      <c r="CT168" s="104" t="str">
        <f t="shared" si="36"/>
        <v/>
      </c>
      <c r="CU168" s="102" t="str">
        <f>IFERROR($CO168*('Commission Structure'!$C$6+'Commission Structure'!$C$7),"")</f>
        <v/>
      </c>
      <c r="CV168" s="102" t="str">
        <f>IFERROR($CO168*'Commission Structure'!$C$5-$CU168,"")</f>
        <v/>
      </c>
      <c r="CW168" s="102" t="str">
        <f>IFERROR($CO168*(1-'Commission Structure'!$C$5),"")</f>
        <v/>
      </c>
      <c r="CX168" s="107"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8" t="str">
        <f t="shared" si="37"/>
        <v/>
      </c>
      <c r="CZ168" s="99" t="str">
        <f>IF($CY168="","",IF($CY168&lt;'Technical Premium'!$C$19,"BEYOND AUTHORITY",IF($CY168&gt;0.005,"Above technical",IF($CY168&lt;-0.005,"BELOW technical","At technical"))))</f>
        <v/>
      </c>
      <c r="DA168" s="99"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4"/>
      <c r="DC168" s="94"/>
      <c r="DD168" s="95"/>
      <c r="DE168" s="94"/>
      <c r="DF168" s="94"/>
      <c r="DG168" s="99" t="str">
        <f t="shared" si="38"/>
        <v/>
      </c>
      <c r="DH168" s="99" t="str">
        <f>IF($A168="","",IF(OR($CX168="REFER",$CX168="DECLINE"),COUNTIF($CX$5:$CX168,"REFER")+COUNTIF($CX$5:$CX168,"DECLINE"),""))</f>
        <v/>
      </c>
      <c r="DI168" s="94"/>
    </row>
    <row r="169" spans="1:113" x14ac:dyDescent="0.35">
      <c r="A169" s="94"/>
      <c r="B169" s="94"/>
      <c r="C169" s="95"/>
      <c r="D169" s="95"/>
      <c r="E169" s="96"/>
      <c r="F169" s="94"/>
      <c r="G169" s="94"/>
      <c r="H169" s="94"/>
      <c r="I169" s="94"/>
      <c r="J169" s="97"/>
      <c r="K169" s="94"/>
      <c r="L169" s="94"/>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8"/>
      <c r="AR169" s="99" t="str">
        <f t="shared" si="26"/>
        <v/>
      </c>
      <c r="AS169" s="99" t="str">
        <f>IF($A169="","",IF($AP169&lt;&gt;"",$AP169,IFERROR(INDEX('Cat Zone by ZIP'!$D$6:$D$856,MATCH($AR169,'Cat Zone by ZIP'!$B$6:$B$856,0)),IFERROR(INDEX('Cat Zone by ZIP'!$C$860:$C$910,MATCH($K169,'Cat Zone by ZIP'!$B$860:$B$910,0)),"NOT FOUND"))))</f>
        <v/>
      </c>
      <c r="AT169" s="99" t="str">
        <f>IF($A169="","",IF($AP169&lt;&gt;"","Override",IF(ISNUMBER(MATCH($AR169,'Cat Zone by ZIP'!$B$6:$B$856,0)),"ZIP-3","State default")))</f>
        <v/>
      </c>
      <c r="AU169" s="100" t="str">
        <f>IF($A169="","",IFERROR(INDEX('Natural Catastrophe'!$D$6:$D$17,MATCH($AS169,'Natural Catastrophe'!$B$6:$B$17,0)),"?"))</f>
        <v/>
      </c>
      <c r="AV169" s="100" t="str">
        <f>IF($A169="","",IFERROR(INDEX('Natural Catastrophe'!$C$21:$C$26,MATCH($AA169,'Natural Catastrophe'!$B$21:$B$26,0)),"?"))</f>
        <v/>
      </c>
      <c r="AW169" s="99" t="str">
        <f>IF($A169="","",IFERROR(INDEX('Base Rates'!$C$4:$I$4,MATCH(MAX($J169,'Technical Premium'!$C$18),'Base Rates'!$C$3:$I$3,1)),"?"))</f>
        <v/>
      </c>
      <c r="AX169" s="101" t="str">
        <f>IF($A169="","",IFERROR(INDEX('Base Rates'!$C$5:$I$16,MATCH($I169,'Base Rates'!$B$5:$B$16,0),MATCH(MAX($J169,'Technical Premium'!$C$18),'Base Rates'!$C$3:$I$3,1)),"?"))</f>
        <v/>
      </c>
      <c r="AY169" s="102" t="str">
        <f t="shared" si="27"/>
        <v/>
      </c>
      <c r="AZ169" s="99" t="str">
        <f>IF($A169="","",IFERROR(INDEX('Make Factors'!$G$5:$G$69,MATCH($F169,'Make Factors'!$B$5:$B$69,0)),"?"))</f>
        <v/>
      </c>
      <c r="BA169" s="99" t="str">
        <f>IF($A169="","",IFERROR(INDEX('Driver Factors'!$C$6:$C$15,MATCH($R169,'Driver Factors'!$B$6:$B$15,0)),"?"))</f>
        <v/>
      </c>
      <c r="BB169" s="99" t="str">
        <f>IF($A169="","",IFERROR(INDEX('Driver Factors'!$C$19:$C$24,MATCH($S169,'Driver Factors'!$B$19:$B$24,0)),"?"))</f>
        <v/>
      </c>
      <c r="BC169" s="99" t="str">
        <f>IF($A169="","",IFERROR(INDEX('Driver Factors'!$C$28:$C$36,MATCH($T169,'Driver Factors'!$B$28:$B$36,0)),"?"))</f>
        <v/>
      </c>
      <c r="BD169" s="99" t="str">
        <f>IF($A169="","",IFERROR(INDEX('Claims History'!$C$6:$C$15,MATCH($U169,'Claims History'!$B$6:$B$15,0)),"?"))</f>
        <v/>
      </c>
      <c r="BE169" s="99" t="str">
        <f>IF($A169="","",IFERROR(INDEX('Territory Factors'!$E$6:$E$56,MATCH($K169,'Territory Factors'!$B$6:$B$56,0)),"?"))</f>
        <v/>
      </c>
      <c r="BF169" s="99" t="str">
        <f>IF($A169="","",IFERROR(INDEX('City Accident Ratings'!$G$6:$G$54,MATCH($Z169,'City Accident Ratings'!$B$6:$B$54,0)),"?"))</f>
        <v/>
      </c>
      <c r="BG169" s="99" t="str">
        <f>IF($A169="","",IFERROR(INDEX('Usage and Coverage'!$D$6:$D$20,MATCH($N169,'Usage and Coverage'!$C$6:$C$20,0)),"?"))</f>
        <v/>
      </c>
      <c r="BH169" s="99" t="str">
        <f>IF($A169="","",IFERROR(INDEX('Usage and Coverage'!$C$24:$C$30,MATCH($O169,'Usage and Coverage'!$B$24:$B$30,0)),"?"))</f>
        <v/>
      </c>
      <c r="BI169" s="99" t="str">
        <f>IF($A169="","",IFERROR(INDEX('Usage and Coverage'!$C$34:$C$40,MATCH($P169,'Usage and Coverage'!$B$34:$B$40,0)),"?"))</f>
        <v/>
      </c>
      <c r="BJ169" s="99" t="str">
        <f>IF($A169="","",IFERROR(INDEX('Usage and Coverage'!$C$44:$C$49,MATCH($Q169,'Usage and Coverage'!$B$44:$B$49,0)),"?"))</f>
        <v/>
      </c>
      <c r="BK169" s="99" t="str">
        <f>IF($A169="","",IFERROR(INDEX(Deductibles!$C$6:$I$15,MATCH($W169,Deductibles!$B$6:$B$15,0),MATCH(MAX($J169,'Technical Premium'!$C$18),'Base Rates'!$C$3:$I$3,1)),"?"))</f>
        <v/>
      </c>
      <c r="BL169" s="99" t="str">
        <f>IF($A169="","",IFERROR(INDEX('Usage and Coverage'!$C$63:$C$66,MATCH($X169,'Usage and Coverage'!$B$63:$B$66,0)),"?"))</f>
        <v/>
      </c>
      <c r="BM169" s="99" t="str">
        <f>IF($A169="","",IFERROR(INDEX('Usage and Coverage'!$C$70:$C$75,MATCH($V169,'Usage and Coverage'!$B$70:$B$75,0)),"?"))</f>
        <v/>
      </c>
      <c r="BN169" s="99" t="str">
        <f>IF($A169="","",IF($AB169="",1,IFERROR(INDEX(Deductibles!$C$48:$C$51,MATCH($AB169,Deductibles!$B$48:$B$51,0)),"?")))</f>
        <v/>
      </c>
      <c r="BO169" s="99" t="str">
        <f>IF($A169="","",IF($AC169="",1,IFERROR(INDEX(Deductibles!$C$55:$C$57,MATCH($AC169,Deductibles!$B$55:$B$57,0)),"?")))</f>
        <v/>
      </c>
      <c r="BP169" s="99" t="str">
        <f>IF($A169="","",IF($AD169="",1,IFERROR(INDEX(Deductibles!$C$61:$C$63,MATCH($AD169,Deductibles!$B$61:$B$63,0)),"?")))</f>
        <v/>
      </c>
      <c r="BQ169" s="99" t="str">
        <f>IF($A169="","",IF($AE169="",1,IFERROR(INDEX(Deductibles!$C$67:$C$69,MATCH($AE169,Deductibles!$B$67:$B$69,0)),"?")))</f>
        <v/>
      </c>
      <c r="BR169" s="99" t="str">
        <f>IF($A169="","",IF($AF169="",1,IFERROR(INDEX(Deductibles!$C$73:$C$74,MATCH($AF169,Deductibles!$B$73:$B$74,0)),"?")))</f>
        <v/>
      </c>
      <c r="BS169" s="99" t="str">
        <f>IF($A169="","",IF($AG169="",1,IFERROR(INDEX('Sublimits and Parts'!$C$49:$C$52,MATCH($AG169,'Sublimits and Parts'!$B$49:$B$52,0)),"?")))</f>
        <v/>
      </c>
      <c r="BT169" s="99" t="str">
        <f>IF($A169="","",IF($AH169="",1,IFERROR(INDEX('Sublimits and Parts'!$C$56:$C$60,MATCH($AH169,'Sublimits and Parts'!$B$56:$B$60,0)),"?")))</f>
        <v/>
      </c>
      <c r="BU169" s="99" t="str">
        <f>IF($A169="","",IF($AI169="",1,IFERROR(INDEX('Sublimits and Parts'!$C$64:$C$67,MATCH($AI169,'Sublimits and Parts'!$B$64:$B$67,0)),"?")))</f>
        <v/>
      </c>
      <c r="BV169" s="99" t="str">
        <f>IF($A169="","",IF($AJ169="",1,IFERROR(INDEX('Sublimits and Parts'!$C$71:$C$74,MATCH($AJ169,'Sublimits and Parts'!$B$71:$B$74,0)),"?")))</f>
        <v/>
      </c>
      <c r="BW169" s="99" t="str">
        <f>IF($A169="","",IF($AK169="",1,IFERROR(INDEX('Sublimits and Parts'!$C$78:$C$80,MATCH($AK169,'Sublimits and Parts'!$B$78:$B$80,0)),"?")))</f>
        <v/>
      </c>
      <c r="BX169" s="99" t="str">
        <f>IF($A169="","",IF($AL169="",1,IFERROR(INDEX('Sublimits and Parts'!$C$84:$C$87,MATCH($AL169,'Sublimits and Parts'!$B$84:$B$87,0)),"?")))</f>
        <v/>
      </c>
      <c r="BY169" s="99" t="str">
        <f>IF($A169="","",IF($AM169="",1,IFERROR(INDEX('Sublimits and Parts'!$C$91:$C$94,MATCH($AM169,'Sublimits and Parts'!$B$91:$B$94,0)),"?")))</f>
        <v/>
      </c>
      <c r="BZ169" s="99" t="str">
        <f>IF($A169="","",IF($AN169="",1,IFERROR(INDEX('Sublimits and Parts'!$C$98:$C$101,MATCH($AN169,'Sublimits and Parts'!$B$98:$B$101,0)),"?")))</f>
        <v/>
      </c>
      <c r="CA169" s="99" t="str">
        <f>IF($A169="","",IF($AO169="",1,IFERROR(INDEX('Sublimits and Parts'!$C$105:$C$109,MATCH($AO169,'Sublimits and Parts'!$B$105:$B$109,0)),"?")))</f>
        <v/>
      </c>
      <c r="CB169" s="100" t="str">
        <f t="shared" si="28"/>
        <v/>
      </c>
      <c r="CC169" s="100" t="str">
        <f t="shared" si="29"/>
        <v/>
      </c>
      <c r="CD169" s="103" t="str">
        <f>IF($A169="","",IF(OR($CB169="?",$CC169="?"),"?",MIN($CB169*$CC169,'Technical Premium'!$C$17)))</f>
        <v/>
      </c>
      <c r="CE169" s="102" t="str">
        <f t="shared" si="30"/>
        <v/>
      </c>
      <c r="CF169" s="102" t="str">
        <f>IF($A169="","",IFERROR(INDEX('Territory Factors'!$F$6:$F$56,MATCH($K169,'Territory Factors'!$B$6:$B$56,0)),"?"))</f>
        <v/>
      </c>
      <c r="CG169" s="100" t="str">
        <f>IF($A169="","",IFERROR(INDEX('Usage and Coverage'!$C$79:$C$84,MATCH($Y169,'Usage and Coverage'!$B$79:$B$84,0)),"?"))</f>
        <v/>
      </c>
      <c r="CH169" s="102" t="str">
        <f>IFERROR(IF(ISNUMBER($CD169),$CF169*$CG169*MIN($BG169*$BA169*$BC169*$BD169*$BH169*$BF169,'Technical Premium'!$C$17),""),"")</f>
        <v/>
      </c>
      <c r="CI169" s="102" t="str">
        <f t="shared" si="31"/>
        <v/>
      </c>
      <c r="CJ169" s="102" t="str">
        <f>IFERROR($CI169*(1+'Technical Premium'!$C$5)*(1+'Technical Premium'!$C$6),"")</f>
        <v/>
      </c>
      <c r="CK169" s="102" t="str">
        <f>IFERROR($CE169*INDEX('Territory Factors'!$G$6:$G$56,MATCH($K169,'Territory Factors'!$B$6:$B$56,0))*$AU169*$AV169,"")</f>
        <v/>
      </c>
      <c r="CL169" s="102" t="str">
        <f>IFERROR(($CJ169+$CK169)*(1+'Technical Premium'!$C$7),"")</f>
        <v/>
      </c>
      <c r="CM169" s="104" t="str">
        <f>IFERROR($CL169/'Technical Premium'!$C$13,"")</f>
        <v/>
      </c>
      <c r="CN169" s="105" t="str">
        <f t="shared" si="32"/>
        <v/>
      </c>
      <c r="CO169" s="104" t="str">
        <f t="shared" si="33"/>
        <v/>
      </c>
      <c r="CP169" s="105" t="str">
        <f t="shared" si="34"/>
        <v/>
      </c>
      <c r="CQ169" s="106" t="str">
        <f t="shared" si="35"/>
        <v/>
      </c>
      <c r="CR169" s="102" t="str">
        <f>IF(ISNUMBER($CM169),'Technical Premium'!$C$14+IF($J169&gt;=1000000,'Technical Premium'!$C$15,0),"")</f>
        <v/>
      </c>
      <c r="CS169" s="102" t="str">
        <f>IFERROR(($CO169+$CR169)*(INDEX('Territory Factors'!$K$6:$K$56,MATCH($K169,'Territory Factors'!$B$6:$B$56,0))+'Commission Structure'!$C$21),"")</f>
        <v/>
      </c>
      <c r="CT169" s="104" t="str">
        <f t="shared" si="36"/>
        <v/>
      </c>
      <c r="CU169" s="102" t="str">
        <f>IFERROR($CO169*('Commission Structure'!$C$6+'Commission Structure'!$C$7),"")</f>
        <v/>
      </c>
      <c r="CV169" s="102" t="str">
        <f>IFERROR($CO169*'Commission Structure'!$C$5-$CU169,"")</f>
        <v/>
      </c>
      <c r="CW169" s="102" t="str">
        <f>IFERROR($CO169*(1-'Commission Structure'!$C$5),"")</f>
        <v/>
      </c>
      <c r="CX169" s="107"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8" t="str">
        <f t="shared" si="37"/>
        <v/>
      </c>
      <c r="CZ169" s="99" t="str">
        <f>IF($CY169="","",IF($CY169&lt;'Technical Premium'!$C$19,"BEYOND AUTHORITY",IF($CY169&gt;0.005,"Above technical",IF($CY169&lt;-0.005,"BELOW technical","At technical"))))</f>
        <v/>
      </c>
      <c r="DA169" s="99"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4"/>
      <c r="DC169" s="94"/>
      <c r="DD169" s="95"/>
      <c r="DE169" s="94"/>
      <c r="DF169" s="94"/>
      <c r="DG169" s="99" t="str">
        <f t="shared" si="38"/>
        <v/>
      </c>
      <c r="DH169" s="99" t="str">
        <f>IF($A169="","",IF(OR($CX169="REFER",$CX169="DECLINE"),COUNTIF($CX$5:$CX169,"REFER")+COUNTIF($CX$5:$CX169,"DECLINE"),""))</f>
        <v/>
      </c>
      <c r="DI169" s="94"/>
    </row>
    <row r="170" spans="1:113" x14ac:dyDescent="0.35">
      <c r="A170" s="94"/>
      <c r="B170" s="94"/>
      <c r="C170" s="95"/>
      <c r="D170" s="95"/>
      <c r="E170" s="96"/>
      <c r="F170" s="94"/>
      <c r="G170" s="94"/>
      <c r="H170" s="94"/>
      <c r="I170" s="94"/>
      <c r="J170" s="97"/>
      <c r="K170" s="94"/>
      <c r="L170" s="94"/>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8"/>
      <c r="AR170" s="99" t="str">
        <f t="shared" si="26"/>
        <v/>
      </c>
      <c r="AS170" s="99" t="str">
        <f>IF($A170="","",IF($AP170&lt;&gt;"",$AP170,IFERROR(INDEX('Cat Zone by ZIP'!$D$6:$D$856,MATCH($AR170,'Cat Zone by ZIP'!$B$6:$B$856,0)),IFERROR(INDEX('Cat Zone by ZIP'!$C$860:$C$910,MATCH($K170,'Cat Zone by ZIP'!$B$860:$B$910,0)),"NOT FOUND"))))</f>
        <v/>
      </c>
      <c r="AT170" s="99" t="str">
        <f>IF($A170="","",IF($AP170&lt;&gt;"","Override",IF(ISNUMBER(MATCH($AR170,'Cat Zone by ZIP'!$B$6:$B$856,0)),"ZIP-3","State default")))</f>
        <v/>
      </c>
      <c r="AU170" s="100" t="str">
        <f>IF($A170="","",IFERROR(INDEX('Natural Catastrophe'!$D$6:$D$17,MATCH($AS170,'Natural Catastrophe'!$B$6:$B$17,0)),"?"))</f>
        <v/>
      </c>
      <c r="AV170" s="100" t="str">
        <f>IF($A170="","",IFERROR(INDEX('Natural Catastrophe'!$C$21:$C$26,MATCH($AA170,'Natural Catastrophe'!$B$21:$B$26,0)),"?"))</f>
        <v/>
      </c>
      <c r="AW170" s="99" t="str">
        <f>IF($A170="","",IFERROR(INDEX('Base Rates'!$C$4:$I$4,MATCH(MAX($J170,'Technical Premium'!$C$18),'Base Rates'!$C$3:$I$3,1)),"?"))</f>
        <v/>
      </c>
      <c r="AX170" s="101" t="str">
        <f>IF($A170="","",IFERROR(INDEX('Base Rates'!$C$5:$I$16,MATCH($I170,'Base Rates'!$B$5:$B$16,0),MATCH(MAX($J170,'Technical Premium'!$C$18),'Base Rates'!$C$3:$I$3,1)),"?"))</f>
        <v/>
      </c>
      <c r="AY170" s="102" t="str">
        <f t="shared" si="27"/>
        <v/>
      </c>
      <c r="AZ170" s="99" t="str">
        <f>IF($A170="","",IFERROR(INDEX('Make Factors'!$G$5:$G$69,MATCH($F170,'Make Factors'!$B$5:$B$69,0)),"?"))</f>
        <v/>
      </c>
      <c r="BA170" s="99" t="str">
        <f>IF($A170="","",IFERROR(INDEX('Driver Factors'!$C$6:$C$15,MATCH($R170,'Driver Factors'!$B$6:$B$15,0)),"?"))</f>
        <v/>
      </c>
      <c r="BB170" s="99" t="str">
        <f>IF($A170="","",IFERROR(INDEX('Driver Factors'!$C$19:$C$24,MATCH($S170,'Driver Factors'!$B$19:$B$24,0)),"?"))</f>
        <v/>
      </c>
      <c r="BC170" s="99" t="str">
        <f>IF($A170="","",IFERROR(INDEX('Driver Factors'!$C$28:$C$36,MATCH($T170,'Driver Factors'!$B$28:$B$36,0)),"?"))</f>
        <v/>
      </c>
      <c r="BD170" s="99" t="str">
        <f>IF($A170="","",IFERROR(INDEX('Claims History'!$C$6:$C$15,MATCH($U170,'Claims History'!$B$6:$B$15,0)),"?"))</f>
        <v/>
      </c>
      <c r="BE170" s="99" t="str">
        <f>IF($A170="","",IFERROR(INDEX('Territory Factors'!$E$6:$E$56,MATCH($K170,'Territory Factors'!$B$6:$B$56,0)),"?"))</f>
        <v/>
      </c>
      <c r="BF170" s="99" t="str">
        <f>IF($A170="","",IFERROR(INDEX('City Accident Ratings'!$G$6:$G$54,MATCH($Z170,'City Accident Ratings'!$B$6:$B$54,0)),"?"))</f>
        <v/>
      </c>
      <c r="BG170" s="99" t="str">
        <f>IF($A170="","",IFERROR(INDEX('Usage and Coverage'!$D$6:$D$20,MATCH($N170,'Usage and Coverage'!$C$6:$C$20,0)),"?"))</f>
        <v/>
      </c>
      <c r="BH170" s="99" t="str">
        <f>IF($A170="","",IFERROR(INDEX('Usage and Coverage'!$C$24:$C$30,MATCH($O170,'Usage and Coverage'!$B$24:$B$30,0)),"?"))</f>
        <v/>
      </c>
      <c r="BI170" s="99" t="str">
        <f>IF($A170="","",IFERROR(INDEX('Usage and Coverage'!$C$34:$C$40,MATCH($P170,'Usage and Coverage'!$B$34:$B$40,0)),"?"))</f>
        <v/>
      </c>
      <c r="BJ170" s="99" t="str">
        <f>IF($A170="","",IFERROR(INDEX('Usage and Coverage'!$C$44:$C$49,MATCH($Q170,'Usage and Coverage'!$B$44:$B$49,0)),"?"))</f>
        <v/>
      </c>
      <c r="BK170" s="99" t="str">
        <f>IF($A170="","",IFERROR(INDEX(Deductibles!$C$6:$I$15,MATCH($W170,Deductibles!$B$6:$B$15,0),MATCH(MAX($J170,'Technical Premium'!$C$18),'Base Rates'!$C$3:$I$3,1)),"?"))</f>
        <v/>
      </c>
      <c r="BL170" s="99" t="str">
        <f>IF($A170="","",IFERROR(INDEX('Usage and Coverage'!$C$63:$C$66,MATCH($X170,'Usage and Coverage'!$B$63:$B$66,0)),"?"))</f>
        <v/>
      </c>
      <c r="BM170" s="99" t="str">
        <f>IF($A170="","",IFERROR(INDEX('Usage and Coverage'!$C$70:$C$75,MATCH($V170,'Usage and Coverage'!$B$70:$B$75,0)),"?"))</f>
        <v/>
      </c>
      <c r="BN170" s="99" t="str">
        <f>IF($A170="","",IF($AB170="",1,IFERROR(INDEX(Deductibles!$C$48:$C$51,MATCH($AB170,Deductibles!$B$48:$B$51,0)),"?")))</f>
        <v/>
      </c>
      <c r="BO170" s="99" t="str">
        <f>IF($A170="","",IF($AC170="",1,IFERROR(INDEX(Deductibles!$C$55:$C$57,MATCH($AC170,Deductibles!$B$55:$B$57,0)),"?")))</f>
        <v/>
      </c>
      <c r="BP170" s="99" t="str">
        <f>IF($A170="","",IF($AD170="",1,IFERROR(INDEX(Deductibles!$C$61:$C$63,MATCH($AD170,Deductibles!$B$61:$B$63,0)),"?")))</f>
        <v/>
      </c>
      <c r="BQ170" s="99" t="str">
        <f>IF($A170="","",IF($AE170="",1,IFERROR(INDEX(Deductibles!$C$67:$C$69,MATCH($AE170,Deductibles!$B$67:$B$69,0)),"?")))</f>
        <v/>
      </c>
      <c r="BR170" s="99" t="str">
        <f>IF($A170="","",IF($AF170="",1,IFERROR(INDEX(Deductibles!$C$73:$C$74,MATCH($AF170,Deductibles!$B$73:$B$74,0)),"?")))</f>
        <v/>
      </c>
      <c r="BS170" s="99" t="str">
        <f>IF($A170="","",IF($AG170="",1,IFERROR(INDEX('Sublimits and Parts'!$C$49:$C$52,MATCH($AG170,'Sublimits and Parts'!$B$49:$B$52,0)),"?")))</f>
        <v/>
      </c>
      <c r="BT170" s="99" t="str">
        <f>IF($A170="","",IF($AH170="",1,IFERROR(INDEX('Sublimits and Parts'!$C$56:$C$60,MATCH($AH170,'Sublimits and Parts'!$B$56:$B$60,0)),"?")))</f>
        <v/>
      </c>
      <c r="BU170" s="99" t="str">
        <f>IF($A170="","",IF($AI170="",1,IFERROR(INDEX('Sublimits and Parts'!$C$64:$C$67,MATCH($AI170,'Sublimits and Parts'!$B$64:$B$67,0)),"?")))</f>
        <v/>
      </c>
      <c r="BV170" s="99" t="str">
        <f>IF($A170="","",IF($AJ170="",1,IFERROR(INDEX('Sublimits and Parts'!$C$71:$C$74,MATCH($AJ170,'Sublimits and Parts'!$B$71:$B$74,0)),"?")))</f>
        <v/>
      </c>
      <c r="BW170" s="99" t="str">
        <f>IF($A170="","",IF($AK170="",1,IFERROR(INDEX('Sublimits and Parts'!$C$78:$C$80,MATCH($AK170,'Sublimits and Parts'!$B$78:$B$80,0)),"?")))</f>
        <v/>
      </c>
      <c r="BX170" s="99" t="str">
        <f>IF($A170="","",IF($AL170="",1,IFERROR(INDEX('Sublimits and Parts'!$C$84:$C$87,MATCH($AL170,'Sublimits and Parts'!$B$84:$B$87,0)),"?")))</f>
        <v/>
      </c>
      <c r="BY170" s="99" t="str">
        <f>IF($A170="","",IF($AM170="",1,IFERROR(INDEX('Sublimits and Parts'!$C$91:$C$94,MATCH($AM170,'Sublimits and Parts'!$B$91:$B$94,0)),"?")))</f>
        <v/>
      </c>
      <c r="BZ170" s="99" t="str">
        <f>IF($A170="","",IF($AN170="",1,IFERROR(INDEX('Sublimits and Parts'!$C$98:$C$101,MATCH($AN170,'Sublimits and Parts'!$B$98:$B$101,0)),"?")))</f>
        <v/>
      </c>
      <c r="CA170" s="99" t="str">
        <f>IF($A170="","",IF($AO170="",1,IFERROR(INDEX('Sublimits and Parts'!$C$105:$C$109,MATCH($AO170,'Sublimits and Parts'!$B$105:$B$109,0)),"?")))</f>
        <v/>
      </c>
      <c r="CB170" s="100" t="str">
        <f t="shared" si="28"/>
        <v/>
      </c>
      <c r="CC170" s="100" t="str">
        <f t="shared" si="29"/>
        <v/>
      </c>
      <c r="CD170" s="103" t="str">
        <f>IF($A170="","",IF(OR($CB170="?",$CC170="?"),"?",MIN($CB170*$CC170,'Technical Premium'!$C$17)))</f>
        <v/>
      </c>
      <c r="CE170" s="102" t="str">
        <f t="shared" si="30"/>
        <v/>
      </c>
      <c r="CF170" s="102" t="str">
        <f>IF($A170="","",IFERROR(INDEX('Territory Factors'!$F$6:$F$56,MATCH($K170,'Territory Factors'!$B$6:$B$56,0)),"?"))</f>
        <v/>
      </c>
      <c r="CG170" s="100" t="str">
        <f>IF($A170="","",IFERROR(INDEX('Usage and Coverage'!$C$79:$C$84,MATCH($Y170,'Usage and Coverage'!$B$79:$B$84,0)),"?"))</f>
        <v/>
      </c>
      <c r="CH170" s="102" t="str">
        <f>IFERROR(IF(ISNUMBER($CD170),$CF170*$CG170*MIN($BG170*$BA170*$BC170*$BD170*$BH170*$BF170,'Technical Premium'!$C$17),""),"")</f>
        <v/>
      </c>
      <c r="CI170" s="102" t="str">
        <f t="shared" si="31"/>
        <v/>
      </c>
      <c r="CJ170" s="102" t="str">
        <f>IFERROR($CI170*(1+'Technical Premium'!$C$5)*(1+'Technical Premium'!$C$6),"")</f>
        <v/>
      </c>
      <c r="CK170" s="102" t="str">
        <f>IFERROR($CE170*INDEX('Territory Factors'!$G$6:$G$56,MATCH($K170,'Territory Factors'!$B$6:$B$56,0))*$AU170*$AV170,"")</f>
        <v/>
      </c>
      <c r="CL170" s="102" t="str">
        <f>IFERROR(($CJ170+$CK170)*(1+'Technical Premium'!$C$7),"")</f>
        <v/>
      </c>
      <c r="CM170" s="104" t="str">
        <f>IFERROR($CL170/'Technical Premium'!$C$13,"")</f>
        <v/>
      </c>
      <c r="CN170" s="105" t="str">
        <f t="shared" si="32"/>
        <v/>
      </c>
      <c r="CO170" s="104" t="str">
        <f t="shared" si="33"/>
        <v/>
      </c>
      <c r="CP170" s="105" t="str">
        <f t="shared" si="34"/>
        <v/>
      </c>
      <c r="CQ170" s="106" t="str">
        <f t="shared" si="35"/>
        <v/>
      </c>
      <c r="CR170" s="102" t="str">
        <f>IF(ISNUMBER($CM170),'Technical Premium'!$C$14+IF($J170&gt;=1000000,'Technical Premium'!$C$15,0),"")</f>
        <v/>
      </c>
      <c r="CS170" s="102" t="str">
        <f>IFERROR(($CO170+$CR170)*(INDEX('Territory Factors'!$K$6:$K$56,MATCH($K170,'Territory Factors'!$B$6:$B$56,0))+'Commission Structure'!$C$21),"")</f>
        <v/>
      </c>
      <c r="CT170" s="104" t="str">
        <f t="shared" si="36"/>
        <v/>
      </c>
      <c r="CU170" s="102" t="str">
        <f>IFERROR($CO170*('Commission Structure'!$C$6+'Commission Structure'!$C$7),"")</f>
        <v/>
      </c>
      <c r="CV170" s="102" t="str">
        <f>IFERROR($CO170*'Commission Structure'!$C$5-$CU170,"")</f>
        <v/>
      </c>
      <c r="CW170" s="102" t="str">
        <f>IFERROR($CO170*(1-'Commission Structure'!$C$5),"")</f>
        <v/>
      </c>
      <c r="CX170" s="107"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8" t="str">
        <f t="shared" si="37"/>
        <v/>
      </c>
      <c r="CZ170" s="99" t="str">
        <f>IF($CY170="","",IF($CY170&lt;'Technical Premium'!$C$19,"BEYOND AUTHORITY",IF($CY170&gt;0.005,"Above technical",IF($CY170&lt;-0.005,"BELOW technical","At technical"))))</f>
        <v/>
      </c>
      <c r="DA170" s="99"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4"/>
      <c r="DC170" s="94"/>
      <c r="DD170" s="95"/>
      <c r="DE170" s="94"/>
      <c r="DF170" s="94"/>
      <c r="DG170" s="99" t="str">
        <f t="shared" si="38"/>
        <v/>
      </c>
      <c r="DH170" s="99" t="str">
        <f>IF($A170="","",IF(OR($CX170="REFER",$CX170="DECLINE"),COUNTIF($CX$5:$CX170,"REFER")+COUNTIF($CX$5:$CX170,"DECLINE"),""))</f>
        <v/>
      </c>
      <c r="DI170" s="94"/>
    </row>
    <row r="171" spans="1:113" x14ac:dyDescent="0.35">
      <c r="A171" s="94"/>
      <c r="B171" s="94"/>
      <c r="C171" s="95"/>
      <c r="D171" s="95"/>
      <c r="E171" s="96"/>
      <c r="F171" s="94"/>
      <c r="G171" s="94"/>
      <c r="H171" s="94"/>
      <c r="I171" s="94"/>
      <c r="J171" s="97"/>
      <c r="K171" s="94"/>
      <c r="L171" s="94"/>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8"/>
      <c r="AR171" s="99" t="str">
        <f t="shared" si="26"/>
        <v/>
      </c>
      <c r="AS171" s="99" t="str">
        <f>IF($A171="","",IF($AP171&lt;&gt;"",$AP171,IFERROR(INDEX('Cat Zone by ZIP'!$D$6:$D$856,MATCH($AR171,'Cat Zone by ZIP'!$B$6:$B$856,0)),IFERROR(INDEX('Cat Zone by ZIP'!$C$860:$C$910,MATCH($K171,'Cat Zone by ZIP'!$B$860:$B$910,0)),"NOT FOUND"))))</f>
        <v/>
      </c>
      <c r="AT171" s="99" t="str">
        <f>IF($A171="","",IF($AP171&lt;&gt;"","Override",IF(ISNUMBER(MATCH($AR171,'Cat Zone by ZIP'!$B$6:$B$856,0)),"ZIP-3","State default")))</f>
        <v/>
      </c>
      <c r="AU171" s="100" t="str">
        <f>IF($A171="","",IFERROR(INDEX('Natural Catastrophe'!$D$6:$D$17,MATCH($AS171,'Natural Catastrophe'!$B$6:$B$17,0)),"?"))</f>
        <v/>
      </c>
      <c r="AV171" s="100" t="str">
        <f>IF($A171="","",IFERROR(INDEX('Natural Catastrophe'!$C$21:$C$26,MATCH($AA171,'Natural Catastrophe'!$B$21:$B$26,0)),"?"))</f>
        <v/>
      </c>
      <c r="AW171" s="99" t="str">
        <f>IF($A171="","",IFERROR(INDEX('Base Rates'!$C$4:$I$4,MATCH(MAX($J171,'Technical Premium'!$C$18),'Base Rates'!$C$3:$I$3,1)),"?"))</f>
        <v/>
      </c>
      <c r="AX171" s="101" t="str">
        <f>IF($A171="","",IFERROR(INDEX('Base Rates'!$C$5:$I$16,MATCH($I171,'Base Rates'!$B$5:$B$16,0),MATCH(MAX($J171,'Technical Premium'!$C$18),'Base Rates'!$C$3:$I$3,1)),"?"))</f>
        <v/>
      </c>
      <c r="AY171" s="102" t="str">
        <f t="shared" si="27"/>
        <v/>
      </c>
      <c r="AZ171" s="99" t="str">
        <f>IF($A171="","",IFERROR(INDEX('Make Factors'!$G$5:$G$69,MATCH($F171,'Make Factors'!$B$5:$B$69,0)),"?"))</f>
        <v/>
      </c>
      <c r="BA171" s="99" t="str">
        <f>IF($A171="","",IFERROR(INDEX('Driver Factors'!$C$6:$C$15,MATCH($R171,'Driver Factors'!$B$6:$B$15,0)),"?"))</f>
        <v/>
      </c>
      <c r="BB171" s="99" t="str">
        <f>IF($A171="","",IFERROR(INDEX('Driver Factors'!$C$19:$C$24,MATCH($S171,'Driver Factors'!$B$19:$B$24,0)),"?"))</f>
        <v/>
      </c>
      <c r="BC171" s="99" t="str">
        <f>IF($A171="","",IFERROR(INDEX('Driver Factors'!$C$28:$C$36,MATCH($T171,'Driver Factors'!$B$28:$B$36,0)),"?"))</f>
        <v/>
      </c>
      <c r="BD171" s="99" t="str">
        <f>IF($A171="","",IFERROR(INDEX('Claims History'!$C$6:$C$15,MATCH($U171,'Claims History'!$B$6:$B$15,0)),"?"))</f>
        <v/>
      </c>
      <c r="BE171" s="99" t="str">
        <f>IF($A171="","",IFERROR(INDEX('Territory Factors'!$E$6:$E$56,MATCH($K171,'Territory Factors'!$B$6:$B$56,0)),"?"))</f>
        <v/>
      </c>
      <c r="BF171" s="99" t="str">
        <f>IF($A171="","",IFERROR(INDEX('City Accident Ratings'!$G$6:$G$54,MATCH($Z171,'City Accident Ratings'!$B$6:$B$54,0)),"?"))</f>
        <v/>
      </c>
      <c r="BG171" s="99" t="str">
        <f>IF($A171="","",IFERROR(INDEX('Usage and Coverage'!$D$6:$D$20,MATCH($N171,'Usage and Coverage'!$C$6:$C$20,0)),"?"))</f>
        <v/>
      </c>
      <c r="BH171" s="99" t="str">
        <f>IF($A171="","",IFERROR(INDEX('Usage and Coverage'!$C$24:$C$30,MATCH($O171,'Usage and Coverage'!$B$24:$B$30,0)),"?"))</f>
        <v/>
      </c>
      <c r="BI171" s="99" t="str">
        <f>IF($A171="","",IFERROR(INDEX('Usage and Coverage'!$C$34:$C$40,MATCH($P171,'Usage and Coverage'!$B$34:$B$40,0)),"?"))</f>
        <v/>
      </c>
      <c r="BJ171" s="99" t="str">
        <f>IF($A171="","",IFERROR(INDEX('Usage and Coverage'!$C$44:$C$49,MATCH($Q171,'Usage and Coverage'!$B$44:$B$49,0)),"?"))</f>
        <v/>
      </c>
      <c r="BK171" s="99" t="str">
        <f>IF($A171="","",IFERROR(INDEX(Deductibles!$C$6:$I$15,MATCH($W171,Deductibles!$B$6:$B$15,0),MATCH(MAX($J171,'Technical Premium'!$C$18),'Base Rates'!$C$3:$I$3,1)),"?"))</f>
        <v/>
      </c>
      <c r="BL171" s="99" t="str">
        <f>IF($A171="","",IFERROR(INDEX('Usage and Coverage'!$C$63:$C$66,MATCH($X171,'Usage and Coverage'!$B$63:$B$66,0)),"?"))</f>
        <v/>
      </c>
      <c r="BM171" s="99" t="str">
        <f>IF($A171="","",IFERROR(INDEX('Usage and Coverage'!$C$70:$C$75,MATCH($V171,'Usage and Coverage'!$B$70:$B$75,0)),"?"))</f>
        <v/>
      </c>
      <c r="BN171" s="99" t="str">
        <f>IF($A171="","",IF($AB171="",1,IFERROR(INDEX(Deductibles!$C$48:$C$51,MATCH($AB171,Deductibles!$B$48:$B$51,0)),"?")))</f>
        <v/>
      </c>
      <c r="BO171" s="99" t="str">
        <f>IF($A171="","",IF($AC171="",1,IFERROR(INDEX(Deductibles!$C$55:$C$57,MATCH($AC171,Deductibles!$B$55:$B$57,0)),"?")))</f>
        <v/>
      </c>
      <c r="BP171" s="99" t="str">
        <f>IF($A171="","",IF($AD171="",1,IFERROR(INDEX(Deductibles!$C$61:$C$63,MATCH($AD171,Deductibles!$B$61:$B$63,0)),"?")))</f>
        <v/>
      </c>
      <c r="BQ171" s="99" t="str">
        <f>IF($A171="","",IF($AE171="",1,IFERROR(INDEX(Deductibles!$C$67:$C$69,MATCH($AE171,Deductibles!$B$67:$B$69,0)),"?")))</f>
        <v/>
      </c>
      <c r="BR171" s="99" t="str">
        <f>IF($A171="","",IF($AF171="",1,IFERROR(INDEX(Deductibles!$C$73:$C$74,MATCH($AF171,Deductibles!$B$73:$B$74,0)),"?")))</f>
        <v/>
      </c>
      <c r="BS171" s="99" t="str">
        <f>IF($A171="","",IF($AG171="",1,IFERROR(INDEX('Sublimits and Parts'!$C$49:$C$52,MATCH($AG171,'Sublimits and Parts'!$B$49:$B$52,0)),"?")))</f>
        <v/>
      </c>
      <c r="BT171" s="99" t="str">
        <f>IF($A171="","",IF($AH171="",1,IFERROR(INDEX('Sublimits and Parts'!$C$56:$C$60,MATCH($AH171,'Sublimits and Parts'!$B$56:$B$60,0)),"?")))</f>
        <v/>
      </c>
      <c r="BU171" s="99" t="str">
        <f>IF($A171="","",IF($AI171="",1,IFERROR(INDEX('Sublimits and Parts'!$C$64:$C$67,MATCH($AI171,'Sublimits and Parts'!$B$64:$B$67,0)),"?")))</f>
        <v/>
      </c>
      <c r="BV171" s="99" t="str">
        <f>IF($A171="","",IF($AJ171="",1,IFERROR(INDEX('Sublimits and Parts'!$C$71:$C$74,MATCH($AJ171,'Sublimits and Parts'!$B$71:$B$74,0)),"?")))</f>
        <v/>
      </c>
      <c r="BW171" s="99" t="str">
        <f>IF($A171="","",IF($AK171="",1,IFERROR(INDEX('Sublimits and Parts'!$C$78:$C$80,MATCH($AK171,'Sublimits and Parts'!$B$78:$B$80,0)),"?")))</f>
        <v/>
      </c>
      <c r="BX171" s="99" t="str">
        <f>IF($A171="","",IF($AL171="",1,IFERROR(INDEX('Sublimits and Parts'!$C$84:$C$87,MATCH($AL171,'Sublimits and Parts'!$B$84:$B$87,0)),"?")))</f>
        <v/>
      </c>
      <c r="BY171" s="99" t="str">
        <f>IF($A171="","",IF($AM171="",1,IFERROR(INDEX('Sublimits and Parts'!$C$91:$C$94,MATCH($AM171,'Sublimits and Parts'!$B$91:$B$94,0)),"?")))</f>
        <v/>
      </c>
      <c r="BZ171" s="99" t="str">
        <f>IF($A171="","",IF($AN171="",1,IFERROR(INDEX('Sublimits and Parts'!$C$98:$C$101,MATCH($AN171,'Sublimits and Parts'!$B$98:$B$101,0)),"?")))</f>
        <v/>
      </c>
      <c r="CA171" s="99" t="str">
        <f>IF($A171="","",IF($AO171="",1,IFERROR(INDEX('Sublimits and Parts'!$C$105:$C$109,MATCH($AO171,'Sublimits and Parts'!$B$105:$B$109,0)),"?")))</f>
        <v/>
      </c>
      <c r="CB171" s="100" t="str">
        <f t="shared" si="28"/>
        <v/>
      </c>
      <c r="CC171" s="100" t="str">
        <f t="shared" si="29"/>
        <v/>
      </c>
      <c r="CD171" s="103" t="str">
        <f>IF($A171="","",IF(OR($CB171="?",$CC171="?"),"?",MIN($CB171*$CC171,'Technical Premium'!$C$17)))</f>
        <v/>
      </c>
      <c r="CE171" s="102" t="str">
        <f t="shared" si="30"/>
        <v/>
      </c>
      <c r="CF171" s="102" t="str">
        <f>IF($A171="","",IFERROR(INDEX('Territory Factors'!$F$6:$F$56,MATCH($K171,'Territory Factors'!$B$6:$B$56,0)),"?"))</f>
        <v/>
      </c>
      <c r="CG171" s="100" t="str">
        <f>IF($A171="","",IFERROR(INDEX('Usage and Coverage'!$C$79:$C$84,MATCH($Y171,'Usage and Coverage'!$B$79:$B$84,0)),"?"))</f>
        <v/>
      </c>
      <c r="CH171" s="102" t="str">
        <f>IFERROR(IF(ISNUMBER($CD171),$CF171*$CG171*MIN($BG171*$BA171*$BC171*$BD171*$BH171*$BF171,'Technical Premium'!$C$17),""),"")</f>
        <v/>
      </c>
      <c r="CI171" s="102" t="str">
        <f t="shared" si="31"/>
        <v/>
      </c>
      <c r="CJ171" s="102" t="str">
        <f>IFERROR($CI171*(1+'Technical Premium'!$C$5)*(1+'Technical Premium'!$C$6),"")</f>
        <v/>
      </c>
      <c r="CK171" s="102" t="str">
        <f>IFERROR($CE171*INDEX('Territory Factors'!$G$6:$G$56,MATCH($K171,'Territory Factors'!$B$6:$B$56,0))*$AU171*$AV171,"")</f>
        <v/>
      </c>
      <c r="CL171" s="102" t="str">
        <f>IFERROR(($CJ171+$CK171)*(1+'Technical Premium'!$C$7),"")</f>
        <v/>
      </c>
      <c r="CM171" s="104" t="str">
        <f>IFERROR($CL171/'Technical Premium'!$C$13,"")</f>
        <v/>
      </c>
      <c r="CN171" s="105" t="str">
        <f t="shared" si="32"/>
        <v/>
      </c>
      <c r="CO171" s="104" t="str">
        <f t="shared" si="33"/>
        <v/>
      </c>
      <c r="CP171" s="105" t="str">
        <f t="shared" si="34"/>
        <v/>
      </c>
      <c r="CQ171" s="106" t="str">
        <f t="shared" si="35"/>
        <v/>
      </c>
      <c r="CR171" s="102" t="str">
        <f>IF(ISNUMBER($CM171),'Technical Premium'!$C$14+IF($J171&gt;=1000000,'Technical Premium'!$C$15,0),"")</f>
        <v/>
      </c>
      <c r="CS171" s="102" t="str">
        <f>IFERROR(($CO171+$CR171)*(INDEX('Territory Factors'!$K$6:$K$56,MATCH($K171,'Territory Factors'!$B$6:$B$56,0))+'Commission Structure'!$C$21),"")</f>
        <v/>
      </c>
      <c r="CT171" s="104" t="str">
        <f t="shared" si="36"/>
        <v/>
      </c>
      <c r="CU171" s="102" t="str">
        <f>IFERROR($CO171*('Commission Structure'!$C$6+'Commission Structure'!$C$7),"")</f>
        <v/>
      </c>
      <c r="CV171" s="102" t="str">
        <f>IFERROR($CO171*'Commission Structure'!$C$5-$CU171,"")</f>
        <v/>
      </c>
      <c r="CW171" s="102" t="str">
        <f>IFERROR($CO171*(1-'Commission Structure'!$C$5),"")</f>
        <v/>
      </c>
      <c r="CX171" s="107"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8" t="str">
        <f t="shared" si="37"/>
        <v/>
      </c>
      <c r="CZ171" s="99" t="str">
        <f>IF($CY171="","",IF($CY171&lt;'Technical Premium'!$C$19,"BEYOND AUTHORITY",IF($CY171&gt;0.005,"Above technical",IF($CY171&lt;-0.005,"BELOW technical","At technical"))))</f>
        <v/>
      </c>
      <c r="DA171" s="99"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4"/>
      <c r="DC171" s="94"/>
      <c r="DD171" s="95"/>
      <c r="DE171" s="94"/>
      <c r="DF171" s="94"/>
      <c r="DG171" s="99" t="str">
        <f t="shared" si="38"/>
        <v/>
      </c>
      <c r="DH171" s="99" t="str">
        <f>IF($A171="","",IF(OR($CX171="REFER",$CX171="DECLINE"),COUNTIF($CX$5:$CX171,"REFER")+COUNTIF($CX$5:$CX171,"DECLINE"),""))</f>
        <v/>
      </c>
      <c r="DI171" s="94"/>
    </row>
    <row r="172" spans="1:113" x14ac:dyDescent="0.35">
      <c r="A172" s="94"/>
      <c r="B172" s="94"/>
      <c r="C172" s="95"/>
      <c r="D172" s="95"/>
      <c r="E172" s="96"/>
      <c r="F172" s="94"/>
      <c r="G172" s="94"/>
      <c r="H172" s="94"/>
      <c r="I172" s="94"/>
      <c r="J172" s="97"/>
      <c r="K172" s="94"/>
      <c r="L172" s="94"/>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8"/>
      <c r="AR172" s="99" t="str">
        <f t="shared" si="26"/>
        <v/>
      </c>
      <c r="AS172" s="99" t="str">
        <f>IF($A172="","",IF($AP172&lt;&gt;"",$AP172,IFERROR(INDEX('Cat Zone by ZIP'!$D$6:$D$856,MATCH($AR172,'Cat Zone by ZIP'!$B$6:$B$856,0)),IFERROR(INDEX('Cat Zone by ZIP'!$C$860:$C$910,MATCH($K172,'Cat Zone by ZIP'!$B$860:$B$910,0)),"NOT FOUND"))))</f>
        <v/>
      </c>
      <c r="AT172" s="99" t="str">
        <f>IF($A172="","",IF($AP172&lt;&gt;"","Override",IF(ISNUMBER(MATCH($AR172,'Cat Zone by ZIP'!$B$6:$B$856,0)),"ZIP-3","State default")))</f>
        <v/>
      </c>
      <c r="AU172" s="100" t="str">
        <f>IF($A172="","",IFERROR(INDEX('Natural Catastrophe'!$D$6:$D$17,MATCH($AS172,'Natural Catastrophe'!$B$6:$B$17,0)),"?"))</f>
        <v/>
      </c>
      <c r="AV172" s="100" t="str">
        <f>IF($A172="","",IFERROR(INDEX('Natural Catastrophe'!$C$21:$C$26,MATCH($AA172,'Natural Catastrophe'!$B$21:$B$26,0)),"?"))</f>
        <v/>
      </c>
      <c r="AW172" s="99" t="str">
        <f>IF($A172="","",IFERROR(INDEX('Base Rates'!$C$4:$I$4,MATCH(MAX($J172,'Technical Premium'!$C$18),'Base Rates'!$C$3:$I$3,1)),"?"))</f>
        <v/>
      </c>
      <c r="AX172" s="101" t="str">
        <f>IF($A172="","",IFERROR(INDEX('Base Rates'!$C$5:$I$16,MATCH($I172,'Base Rates'!$B$5:$B$16,0),MATCH(MAX($J172,'Technical Premium'!$C$18),'Base Rates'!$C$3:$I$3,1)),"?"))</f>
        <v/>
      </c>
      <c r="AY172" s="102" t="str">
        <f t="shared" si="27"/>
        <v/>
      </c>
      <c r="AZ172" s="99" t="str">
        <f>IF($A172="","",IFERROR(INDEX('Make Factors'!$G$5:$G$69,MATCH($F172,'Make Factors'!$B$5:$B$69,0)),"?"))</f>
        <v/>
      </c>
      <c r="BA172" s="99" t="str">
        <f>IF($A172="","",IFERROR(INDEX('Driver Factors'!$C$6:$C$15,MATCH($R172,'Driver Factors'!$B$6:$B$15,0)),"?"))</f>
        <v/>
      </c>
      <c r="BB172" s="99" t="str">
        <f>IF($A172="","",IFERROR(INDEX('Driver Factors'!$C$19:$C$24,MATCH($S172,'Driver Factors'!$B$19:$B$24,0)),"?"))</f>
        <v/>
      </c>
      <c r="BC172" s="99" t="str">
        <f>IF($A172="","",IFERROR(INDEX('Driver Factors'!$C$28:$C$36,MATCH($T172,'Driver Factors'!$B$28:$B$36,0)),"?"))</f>
        <v/>
      </c>
      <c r="BD172" s="99" t="str">
        <f>IF($A172="","",IFERROR(INDEX('Claims History'!$C$6:$C$15,MATCH($U172,'Claims History'!$B$6:$B$15,0)),"?"))</f>
        <v/>
      </c>
      <c r="BE172" s="99" t="str">
        <f>IF($A172="","",IFERROR(INDEX('Territory Factors'!$E$6:$E$56,MATCH($K172,'Territory Factors'!$B$6:$B$56,0)),"?"))</f>
        <v/>
      </c>
      <c r="BF172" s="99" t="str">
        <f>IF($A172="","",IFERROR(INDEX('City Accident Ratings'!$G$6:$G$54,MATCH($Z172,'City Accident Ratings'!$B$6:$B$54,0)),"?"))</f>
        <v/>
      </c>
      <c r="BG172" s="99" t="str">
        <f>IF($A172="","",IFERROR(INDEX('Usage and Coverage'!$D$6:$D$20,MATCH($N172,'Usage and Coverage'!$C$6:$C$20,0)),"?"))</f>
        <v/>
      </c>
      <c r="BH172" s="99" t="str">
        <f>IF($A172="","",IFERROR(INDEX('Usage and Coverage'!$C$24:$C$30,MATCH($O172,'Usage and Coverage'!$B$24:$B$30,0)),"?"))</f>
        <v/>
      </c>
      <c r="BI172" s="99" t="str">
        <f>IF($A172="","",IFERROR(INDEX('Usage and Coverage'!$C$34:$C$40,MATCH($P172,'Usage and Coverage'!$B$34:$B$40,0)),"?"))</f>
        <v/>
      </c>
      <c r="BJ172" s="99" t="str">
        <f>IF($A172="","",IFERROR(INDEX('Usage and Coverage'!$C$44:$C$49,MATCH($Q172,'Usage and Coverage'!$B$44:$B$49,0)),"?"))</f>
        <v/>
      </c>
      <c r="BK172" s="99" t="str">
        <f>IF($A172="","",IFERROR(INDEX(Deductibles!$C$6:$I$15,MATCH($W172,Deductibles!$B$6:$B$15,0),MATCH(MAX($J172,'Technical Premium'!$C$18),'Base Rates'!$C$3:$I$3,1)),"?"))</f>
        <v/>
      </c>
      <c r="BL172" s="99" t="str">
        <f>IF($A172="","",IFERROR(INDEX('Usage and Coverage'!$C$63:$C$66,MATCH($X172,'Usage and Coverage'!$B$63:$B$66,0)),"?"))</f>
        <v/>
      </c>
      <c r="BM172" s="99" t="str">
        <f>IF($A172="","",IFERROR(INDEX('Usage and Coverage'!$C$70:$C$75,MATCH($V172,'Usage and Coverage'!$B$70:$B$75,0)),"?"))</f>
        <v/>
      </c>
      <c r="BN172" s="99" t="str">
        <f>IF($A172="","",IF($AB172="",1,IFERROR(INDEX(Deductibles!$C$48:$C$51,MATCH($AB172,Deductibles!$B$48:$B$51,0)),"?")))</f>
        <v/>
      </c>
      <c r="BO172" s="99" t="str">
        <f>IF($A172="","",IF($AC172="",1,IFERROR(INDEX(Deductibles!$C$55:$C$57,MATCH($AC172,Deductibles!$B$55:$B$57,0)),"?")))</f>
        <v/>
      </c>
      <c r="BP172" s="99" t="str">
        <f>IF($A172="","",IF($AD172="",1,IFERROR(INDEX(Deductibles!$C$61:$C$63,MATCH($AD172,Deductibles!$B$61:$B$63,0)),"?")))</f>
        <v/>
      </c>
      <c r="BQ172" s="99" t="str">
        <f>IF($A172="","",IF($AE172="",1,IFERROR(INDEX(Deductibles!$C$67:$C$69,MATCH($AE172,Deductibles!$B$67:$B$69,0)),"?")))</f>
        <v/>
      </c>
      <c r="BR172" s="99" t="str">
        <f>IF($A172="","",IF($AF172="",1,IFERROR(INDEX(Deductibles!$C$73:$C$74,MATCH($AF172,Deductibles!$B$73:$B$74,0)),"?")))</f>
        <v/>
      </c>
      <c r="BS172" s="99" t="str">
        <f>IF($A172="","",IF($AG172="",1,IFERROR(INDEX('Sublimits and Parts'!$C$49:$C$52,MATCH($AG172,'Sublimits and Parts'!$B$49:$B$52,0)),"?")))</f>
        <v/>
      </c>
      <c r="BT172" s="99" t="str">
        <f>IF($A172="","",IF($AH172="",1,IFERROR(INDEX('Sublimits and Parts'!$C$56:$C$60,MATCH($AH172,'Sublimits and Parts'!$B$56:$B$60,0)),"?")))</f>
        <v/>
      </c>
      <c r="BU172" s="99" t="str">
        <f>IF($A172="","",IF($AI172="",1,IFERROR(INDEX('Sublimits and Parts'!$C$64:$C$67,MATCH($AI172,'Sublimits and Parts'!$B$64:$B$67,0)),"?")))</f>
        <v/>
      </c>
      <c r="BV172" s="99" t="str">
        <f>IF($A172="","",IF($AJ172="",1,IFERROR(INDEX('Sublimits and Parts'!$C$71:$C$74,MATCH($AJ172,'Sublimits and Parts'!$B$71:$B$74,0)),"?")))</f>
        <v/>
      </c>
      <c r="BW172" s="99" t="str">
        <f>IF($A172="","",IF($AK172="",1,IFERROR(INDEX('Sublimits and Parts'!$C$78:$C$80,MATCH($AK172,'Sublimits and Parts'!$B$78:$B$80,0)),"?")))</f>
        <v/>
      </c>
      <c r="BX172" s="99" t="str">
        <f>IF($A172="","",IF($AL172="",1,IFERROR(INDEX('Sublimits and Parts'!$C$84:$C$87,MATCH($AL172,'Sublimits and Parts'!$B$84:$B$87,0)),"?")))</f>
        <v/>
      </c>
      <c r="BY172" s="99" t="str">
        <f>IF($A172="","",IF($AM172="",1,IFERROR(INDEX('Sublimits and Parts'!$C$91:$C$94,MATCH($AM172,'Sublimits and Parts'!$B$91:$B$94,0)),"?")))</f>
        <v/>
      </c>
      <c r="BZ172" s="99" t="str">
        <f>IF($A172="","",IF($AN172="",1,IFERROR(INDEX('Sublimits and Parts'!$C$98:$C$101,MATCH($AN172,'Sublimits and Parts'!$B$98:$B$101,0)),"?")))</f>
        <v/>
      </c>
      <c r="CA172" s="99" t="str">
        <f>IF($A172="","",IF($AO172="",1,IFERROR(INDEX('Sublimits and Parts'!$C$105:$C$109,MATCH($AO172,'Sublimits and Parts'!$B$105:$B$109,0)),"?")))</f>
        <v/>
      </c>
      <c r="CB172" s="100" t="str">
        <f t="shared" si="28"/>
        <v/>
      </c>
      <c r="CC172" s="100" t="str">
        <f t="shared" si="29"/>
        <v/>
      </c>
      <c r="CD172" s="103" t="str">
        <f>IF($A172="","",IF(OR($CB172="?",$CC172="?"),"?",MIN($CB172*$CC172,'Technical Premium'!$C$17)))</f>
        <v/>
      </c>
      <c r="CE172" s="102" t="str">
        <f t="shared" si="30"/>
        <v/>
      </c>
      <c r="CF172" s="102" t="str">
        <f>IF($A172="","",IFERROR(INDEX('Territory Factors'!$F$6:$F$56,MATCH($K172,'Territory Factors'!$B$6:$B$56,0)),"?"))</f>
        <v/>
      </c>
      <c r="CG172" s="100" t="str">
        <f>IF($A172="","",IFERROR(INDEX('Usage and Coverage'!$C$79:$C$84,MATCH($Y172,'Usage and Coverage'!$B$79:$B$84,0)),"?"))</f>
        <v/>
      </c>
      <c r="CH172" s="102" t="str">
        <f>IFERROR(IF(ISNUMBER($CD172),$CF172*$CG172*MIN($BG172*$BA172*$BC172*$BD172*$BH172*$BF172,'Technical Premium'!$C$17),""),"")</f>
        <v/>
      </c>
      <c r="CI172" s="102" t="str">
        <f t="shared" si="31"/>
        <v/>
      </c>
      <c r="CJ172" s="102" t="str">
        <f>IFERROR($CI172*(1+'Technical Premium'!$C$5)*(1+'Technical Premium'!$C$6),"")</f>
        <v/>
      </c>
      <c r="CK172" s="102" t="str">
        <f>IFERROR($CE172*INDEX('Territory Factors'!$G$6:$G$56,MATCH($K172,'Territory Factors'!$B$6:$B$56,0))*$AU172*$AV172,"")</f>
        <v/>
      </c>
      <c r="CL172" s="102" t="str">
        <f>IFERROR(($CJ172+$CK172)*(1+'Technical Premium'!$C$7),"")</f>
        <v/>
      </c>
      <c r="CM172" s="104" t="str">
        <f>IFERROR($CL172/'Technical Premium'!$C$13,"")</f>
        <v/>
      </c>
      <c r="CN172" s="105" t="str">
        <f t="shared" si="32"/>
        <v/>
      </c>
      <c r="CO172" s="104" t="str">
        <f t="shared" si="33"/>
        <v/>
      </c>
      <c r="CP172" s="105" t="str">
        <f t="shared" si="34"/>
        <v/>
      </c>
      <c r="CQ172" s="106" t="str">
        <f t="shared" si="35"/>
        <v/>
      </c>
      <c r="CR172" s="102" t="str">
        <f>IF(ISNUMBER($CM172),'Technical Premium'!$C$14+IF($J172&gt;=1000000,'Technical Premium'!$C$15,0),"")</f>
        <v/>
      </c>
      <c r="CS172" s="102" t="str">
        <f>IFERROR(($CO172+$CR172)*(INDEX('Territory Factors'!$K$6:$K$56,MATCH($K172,'Territory Factors'!$B$6:$B$56,0))+'Commission Structure'!$C$21),"")</f>
        <v/>
      </c>
      <c r="CT172" s="104" t="str">
        <f t="shared" si="36"/>
        <v/>
      </c>
      <c r="CU172" s="102" t="str">
        <f>IFERROR($CO172*('Commission Structure'!$C$6+'Commission Structure'!$C$7),"")</f>
        <v/>
      </c>
      <c r="CV172" s="102" t="str">
        <f>IFERROR($CO172*'Commission Structure'!$C$5-$CU172,"")</f>
        <v/>
      </c>
      <c r="CW172" s="102" t="str">
        <f>IFERROR($CO172*(1-'Commission Structure'!$C$5),"")</f>
        <v/>
      </c>
      <c r="CX172" s="107"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8" t="str">
        <f t="shared" si="37"/>
        <v/>
      </c>
      <c r="CZ172" s="99" t="str">
        <f>IF($CY172="","",IF($CY172&lt;'Technical Premium'!$C$19,"BEYOND AUTHORITY",IF($CY172&gt;0.005,"Above technical",IF($CY172&lt;-0.005,"BELOW technical","At technical"))))</f>
        <v/>
      </c>
      <c r="DA172" s="99"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4"/>
      <c r="DC172" s="94"/>
      <c r="DD172" s="95"/>
      <c r="DE172" s="94"/>
      <c r="DF172" s="94"/>
      <c r="DG172" s="99" t="str">
        <f t="shared" si="38"/>
        <v/>
      </c>
      <c r="DH172" s="99" t="str">
        <f>IF($A172="","",IF(OR($CX172="REFER",$CX172="DECLINE"),COUNTIF($CX$5:$CX172,"REFER")+COUNTIF($CX$5:$CX172,"DECLINE"),""))</f>
        <v/>
      </c>
      <c r="DI172" s="94"/>
    </row>
    <row r="173" spans="1:113" x14ac:dyDescent="0.35">
      <c r="A173" s="94"/>
      <c r="B173" s="94"/>
      <c r="C173" s="95"/>
      <c r="D173" s="95"/>
      <c r="E173" s="96"/>
      <c r="F173" s="94"/>
      <c r="G173" s="94"/>
      <c r="H173" s="94"/>
      <c r="I173" s="94"/>
      <c r="J173" s="97"/>
      <c r="K173" s="94"/>
      <c r="L173" s="94"/>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8"/>
      <c r="AR173" s="99" t="str">
        <f t="shared" si="26"/>
        <v/>
      </c>
      <c r="AS173" s="99" t="str">
        <f>IF($A173="","",IF($AP173&lt;&gt;"",$AP173,IFERROR(INDEX('Cat Zone by ZIP'!$D$6:$D$856,MATCH($AR173,'Cat Zone by ZIP'!$B$6:$B$856,0)),IFERROR(INDEX('Cat Zone by ZIP'!$C$860:$C$910,MATCH($K173,'Cat Zone by ZIP'!$B$860:$B$910,0)),"NOT FOUND"))))</f>
        <v/>
      </c>
      <c r="AT173" s="99" t="str">
        <f>IF($A173="","",IF($AP173&lt;&gt;"","Override",IF(ISNUMBER(MATCH($AR173,'Cat Zone by ZIP'!$B$6:$B$856,0)),"ZIP-3","State default")))</f>
        <v/>
      </c>
      <c r="AU173" s="100" t="str">
        <f>IF($A173="","",IFERROR(INDEX('Natural Catastrophe'!$D$6:$D$17,MATCH($AS173,'Natural Catastrophe'!$B$6:$B$17,0)),"?"))</f>
        <v/>
      </c>
      <c r="AV173" s="100" t="str">
        <f>IF($A173="","",IFERROR(INDEX('Natural Catastrophe'!$C$21:$C$26,MATCH($AA173,'Natural Catastrophe'!$B$21:$B$26,0)),"?"))</f>
        <v/>
      </c>
      <c r="AW173" s="99" t="str">
        <f>IF($A173="","",IFERROR(INDEX('Base Rates'!$C$4:$I$4,MATCH(MAX($J173,'Technical Premium'!$C$18),'Base Rates'!$C$3:$I$3,1)),"?"))</f>
        <v/>
      </c>
      <c r="AX173" s="101" t="str">
        <f>IF($A173="","",IFERROR(INDEX('Base Rates'!$C$5:$I$16,MATCH($I173,'Base Rates'!$B$5:$B$16,0),MATCH(MAX($J173,'Technical Premium'!$C$18),'Base Rates'!$C$3:$I$3,1)),"?"))</f>
        <v/>
      </c>
      <c r="AY173" s="102" t="str">
        <f t="shared" si="27"/>
        <v/>
      </c>
      <c r="AZ173" s="99" t="str">
        <f>IF($A173="","",IFERROR(INDEX('Make Factors'!$G$5:$G$69,MATCH($F173,'Make Factors'!$B$5:$B$69,0)),"?"))</f>
        <v/>
      </c>
      <c r="BA173" s="99" t="str">
        <f>IF($A173="","",IFERROR(INDEX('Driver Factors'!$C$6:$C$15,MATCH($R173,'Driver Factors'!$B$6:$B$15,0)),"?"))</f>
        <v/>
      </c>
      <c r="BB173" s="99" t="str">
        <f>IF($A173="","",IFERROR(INDEX('Driver Factors'!$C$19:$C$24,MATCH($S173,'Driver Factors'!$B$19:$B$24,0)),"?"))</f>
        <v/>
      </c>
      <c r="BC173" s="99" t="str">
        <f>IF($A173="","",IFERROR(INDEX('Driver Factors'!$C$28:$C$36,MATCH($T173,'Driver Factors'!$B$28:$B$36,0)),"?"))</f>
        <v/>
      </c>
      <c r="BD173" s="99" t="str">
        <f>IF($A173="","",IFERROR(INDEX('Claims History'!$C$6:$C$15,MATCH($U173,'Claims History'!$B$6:$B$15,0)),"?"))</f>
        <v/>
      </c>
      <c r="BE173" s="99" t="str">
        <f>IF($A173="","",IFERROR(INDEX('Territory Factors'!$E$6:$E$56,MATCH($K173,'Territory Factors'!$B$6:$B$56,0)),"?"))</f>
        <v/>
      </c>
      <c r="BF173" s="99" t="str">
        <f>IF($A173="","",IFERROR(INDEX('City Accident Ratings'!$G$6:$G$54,MATCH($Z173,'City Accident Ratings'!$B$6:$B$54,0)),"?"))</f>
        <v/>
      </c>
      <c r="BG173" s="99" t="str">
        <f>IF($A173="","",IFERROR(INDEX('Usage and Coverage'!$D$6:$D$20,MATCH($N173,'Usage and Coverage'!$C$6:$C$20,0)),"?"))</f>
        <v/>
      </c>
      <c r="BH173" s="99" t="str">
        <f>IF($A173="","",IFERROR(INDEX('Usage and Coverage'!$C$24:$C$30,MATCH($O173,'Usage and Coverage'!$B$24:$B$30,0)),"?"))</f>
        <v/>
      </c>
      <c r="BI173" s="99" t="str">
        <f>IF($A173="","",IFERROR(INDEX('Usage and Coverage'!$C$34:$C$40,MATCH($P173,'Usage and Coverage'!$B$34:$B$40,0)),"?"))</f>
        <v/>
      </c>
      <c r="BJ173" s="99" t="str">
        <f>IF($A173="","",IFERROR(INDEX('Usage and Coverage'!$C$44:$C$49,MATCH($Q173,'Usage and Coverage'!$B$44:$B$49,0)),"?"))</f>
        <v/>
      </c>
      <c r="BK173" s="99" t="str">
        <f>IF($A173="","",IFERROR(INDEX(Deductibles!$C$6:$I$15,MATCH($W173,Deductibles!$B$6:$B$15,0),MATCH(MAX($J173,'Technical Premium'!$C$18),'Base Rates'!$C$3:$I$3,1)),"?"))</f>
        <v/>
      </c>
      <c r="BL173" s="99" t="str">
        <f>IF($A173="","",IFERROR(INDEX('Usage and Coverage'!$C$63:$C$66,MATCH($X173,'Usage and Coverage'!$B$63:$B$66,0)),"?"))</f>
        <v/>
      </c>
      <c r="BM173" s="99" t="str">
        <f>IF($A173="","",IFERROR(INDEX('Usage and Coverage'!$C$70:$C$75,MATCH($V173,'Usage and Coverage'!$B$70:$B$75,0)),"?"))</f>
        <v/>
      </c>
      <c r="BN173" s="99" t="str">
        <f>IF($A173="","",IF($AB173="",1,IFERROR(INDEX(Deductibles!$C$48:$C$51,MATCH($AB173,Deductibles!$B$48:$B$51,0)),"?")))</f>
        <v/>
      </c>
      <c r="BO173" s="99" t="str">
        <f>IF($A173="","",IF($AC173="",1,IFERROR(INDEX(Deductibles!$C$55:$C$57,MATCH($AC173,Deductibles!$B$55:$B$57,0)),"?")))</f>
        <v/>
      </c>
      <c r="BP173" s="99" t="str">
        <f>IF($A173="","",IF($AD173="",1,IFERROR(INDEX(Deductibles!$C$61:$C$63,MATCH($AD173,Deductibles!$B$61:$B$63,0)),"?")))</f>
        <v/>
      </c>
      <c r="BQ173" s="99" t="str">
        <f>IF($A173="","",IF($AE173="",1,IFERROR(INDEX(Deductibles!$C$67:$C$69,MATCH($AE173,Deductibles!$B$67:$B$69,0)),"?")))</f>
        <v/>
      </c>
      <c r="BR173" s="99" t="str">
        <f>IF($A173="","",IF($AF173="",1,IFERROR(INDEX(Deductibles!$C$73:$C$74,MATCH($AF173,Deductibles!$B$73:$B$74,0)),"?")))</f>
        <v/>
      </c>
      <c r="BS173" s="99" t="str">
        <f>IF($A173="","",IF($AG173="",1,IFERROR(INDEX('Sublimits and Parts'!$C$49:$C$52,MATCH($AG173,'Sublimits and Parts'!$B$49:$B$52,0)),"?")))</f>
        <v/>
      </c>
      <c r="BT173" s="99" t="str">
        <f>IF($A173="","",IF($AH173="",1,IFERROR(INDEX('Sublimits and Parts'!$C$56:$C$60,MATCH($AH173,'Sublimits and Parts'!$B$56:$B$60,0)),"?")))</f>
        <v/>
      </c>
      <c r="BU173" s="99" t="str">
        <f>IF($A173="","",IF($AI173="",1,IFERROR(INDEX('Sublimits and Parts'!$C$64:$C$67,MATCH($AI173,'Sublimits and Parts'!$B$64:$B$67,0)),"?")))</f>
        <v/>
      </c>
      <c r="BV173" s="99" t="str">
        <f>IF($A173="","",IF($AJ173="",1,IFERROR(INDEX('Sublimits and Parts'!$C$71:$C$74,MATCH($AJ173,'Sublimits and Parts'!$B$71:$B$74,0)),"?")))</f>
        <v/>
      </c>
      <c r="BW173" s="99" t="str">
        <f>IF($A173="","",IF($AK173="",1,IFERROR(INDEX('Sublimits and Parts'!$C$78:$C$80,MATCH($AK173,'Sublimits and Parts'!$B$78:$B$80,0)),"?")))</f>
        <v/>
      </c>
      <c r="BX173" s="99" t="str">
        <f>IF($A173="","",IF($AL173="",1,IFERROR(INDEX('Sublimits and Parts'!$C$84:$C$87,MATCH($AL173,'Sublimits and Parts'!$B$84:$B$87,0)),"?")))</f>
        <v/>
      </c>
      <c r="BY173" s="99" t="str">
        <f>IF($A173="","",IF($AM173="",1,IFERROR(INDEX('Sublimits and Parts'!$C$91:$C$94,MATCH($AM173,'Sublimits and Parts'!$B$91:$B$94,0)),"?")))</f>
        <v/>
      </c>
      <c r="BZ173" s="99" t="str">
        <f>IF($A173="","",IF($AN173="",1,IFERROR(INDEX('Sublimits and Parts'!$C$98:$C$101,MATCH($AN173,'Sublimits and Parts'!$B$98:$B$101,0)),"?")))</f>
        <v/>
      </c>
      <c r="CA173" s="99" t="str">
        <f>IF($A173="","",IF($AO173="",1,IFERROR(INDEX('Sublimits and Parts'!$C$105:$C$109,MATCH($AO173,'Sublimits and Parts'!$B$105:$B$109,0)),"?")))</f>
        <v/>
      </c>
      <c r="CB173" s="100" t="str">
        <f t="shared" si="28"/>
        <v/>
      </c>
      <c r="CC173" s="100" t="str">
        <f t="shared" si="29"/>
        <v/>
      </c>
      <c r="CD173" s="103" t="str">
        <f>IF($A173="","",IF(OR($CB173="?",$CC173="?"),"?",MIN($CB173*$CC173,'Technical Premium'!$C$17)))</f>
        <v/>
      </c>
      <c r="CE173" s="102" t="str">
        <f t="shared" si="30"/>
        <v/>
      </c>
      <c r="CF173" s="102" t="str">
        <f>IF($A173="","",IFERROR(INDEX('Territory Factors'!$F$6:$F$56,MATCH($K173,'Territory Factors'!$B$6:$B$56,0)),"?"))</f>
        <v/>
      </c>
      <c r="CG173" s="100" t="str">
        <f>IF($A173="","",IFERROR(INDEX('Usage and Coverage'!$C$79:$C$84,MATCH($Y173,'Usage and Coverage'!$B$79:$B$84,0)),"?"))</f>
        <v/>
      </c>
      <c r="CH173" s="102" t="str">
        <f>IFERROR(IF(ISNUMBER($CD173),$CF173*$CG173*MIN($BG173*$BA173*$BC173*$BD173*$BH173*$BF173,'Technical Premium'!$C$17),""),"")</f>
        <v/>
      </c>
      <c r="CI173" s="102" t="str">
        <f t="shared" si="31"/>
        <v/>
      </c>
      <c r="CJ173" s="102" t="str">
        <f>IFERROR($CI173*(1+'Technical Premium'!$C$5)*(1+'Technical Premium'!$C$6),"")</f>
        <v/>
      </c>
      <c r="CK173" s="102" t="str">
        <f>IFERROR($CE173*INDEX('Territory Factors'!$G$6:$G$56,MATCH($K173,'Territory Factors'!$B$6:$B$56,0))*$AU173*$AV173,"")</f>
        <v/>
      </c>
      <c r="CL173" s="102" t="str">
        <f>IFERROR(($CJ173+$CK173)*(1+'Technical Premium'!$C$7),"")</f>
        <v/>
      </c>
      <c r="CM173" s="104" t="str">
        <f>IFERROR($CL173/'Technical Premium'!$C$13,"")</f>
        <v/>
      </c>
      <c r="CN173" s="105" t="str">
        <f t="shared" si="32"/>
        <v/>
      </c>
      <c r="CO173" s="104" t="str">
        <f t="shared" si="33"/>
        <v/>
      </c>
      <c r="CP173" s="105" t="str">
        <f t="shared" si="34"/>
        <v/>
      </c>
      <c r="CQ173" s="106" t="str">
        <f t="shared" si="35"/>
        <v/>
      </c>
      <c r="CR173" s="102" t="str">
        <f>IF(ISNUMBER($CM173),'Technical Premium'!$C$14+IF($J173&gt;=1000000,'Technical Premium'!$C$15,0),"")</f>
        <v/>
      </c>
      <c r="CS173" s="102" t="str">
        <f>IFERROR(($CO173+$CR173)*(INDEX('Territory Factors'!$K$6:$K$56,MATCH($K173,'Territory Factors'!$B$6:$B$56,0))+'Commission Structure'!$C$21),"")</f>
        <v/>
      </c>
      <c r="CT173" s="104" t="str">
        <f t="shared" si="36"/>
        <v/>
      </c>
      <c r="CU173" s="102" t="str">
        <f>IFERROR($CO173*('Commission Structure'!$C$6+'Commission Structure'!$C$7),"")</f>
        <v/>
      </c>
      <c r="CV173" s="102" t="str">
        <f>IFERROR($CO173*'Commission Structure'!$C$5-$CU173,"")</f>
        <v/>
      </c>
      <c r="CW173" s="102" t="str">
        <f>IFERROR($CO173*(1-'Commission Structure'!$C$5),"")</f>
        <v/>
      </c>
      <c r="CX173" s="107"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8" t="str">
        <f t="shared" si="37"/>
        <v/>
      </c>
      <c r="CZ173" s="99" t="str">
        <f>IF($CY173="","",IF($CY173&lt;'Technical Premium'!$C$19,"BEYOND AUTHORITY",IF($CY173&gt;0.005,"Above technical",IF($CY173&lt;-0.005,"BELOW technical","At technical"))))</f>
        <v/>
      </c>
      <c r="DA173" s="99"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4"/>
      <c r="DC173" s="94"/>
      <c r="DD173" s="95"/>
      <c r="DE173" s="94"/>
      <c r="DF173" s="94"/>
      <c r="DG173" s="99" t="str">
        <f t="shared" si="38"/>
        <v/>
      </c>
      <c r="DH173" s="99" t="str">
        <f>IF($A173="","",IF(OR($CX173="REFER",$CX173="DECLINE"),COUNTIF($CX$5:$CX173,"REFER")+COUNTIF($CX$5:$CX173,"DECLINE"),""))</f>
        <v/>
      </c>
      <c r="DI173" s="94"/>
    </row>
    <row r="174" spans="1:113" x14ac:dyDescent="0.35">
      <c r="A174" s="94"/>
      <c r="B174" s="94"/>
      <c r="C174" s="95"/>
      <c r="D174" s="95"/>
      <c r="E174" s="96"/>
      <c r="F174" s="94"/>
      <c r="G174" s="94"/>
      <c r="H174" s="94"/>
      <c r="I174" s="94"/>
      <c r="J174" s="97"/>
      <c r="K174" s="94"/>
      <c r="L174" s="94"/>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8"/>
      <c r="AR174" s="99" t="str">
        <f t="shared" si="26"/>
        <v/>
      </c>
      <c r="AS174" s="99" t="str">
        <f>IF($A174="","",IF($AP174&lt;&gt;"",$AP174,IFERROR(INDEX('Cat Zone by ZIP'!$D$6:$D$856,MATCH($AR174,'Cat Zone by ZIP'!$B$6:$B$856,0)),IFERROR(INDEX('Cat Zone by ZIP'!$C$860:$C$910,MATCH($K174,'Cat Zone by ZIP'!$B$860:$B$910,0)),"NOT FOUND"))))</f>
        <v/>
      </c>
      <c r="AT174" s="99" t="str">
        <f>IF($A174="","",IF($AP174&lt;&gt;"","Override",IF(ISNUMBER(MATCH($AR174,'Cat Zone by ZIP'!$B$6:$B$856,0)),"ZIP-3","State default")))</f>
        <v/>
      </c>
      <c r="AU174" s="100" t="str">
        <f>IF($A174="","",IFERROR(INDEX('Natural Catastrophe'!$D$6:$D$17,MATCH($AS174,'Natural Catastrophe'!$B$6:$B$17,0)),"?"))</f>
        <v/>
      </c>
      <c r="AV174" s="100" t="str">
        <f>IF($A174="","",IFERROR(INDEX('Natural Catastrophe'!$C$21:$C$26,MATCH($AA174,'Natural Catastrophe'!$B$21:$B$26,0)),"?"))</f>
        <v/>
      </c>
      <c r="AW174" s="99" t="str">
        <f>IF($A174="","",IFERROR(INDEX('Base Rates'!$C$4:$I$4,MATCH(MAX($J174,'Technical Premium'!$C$18),'Base Rates'!$C$3:$I$3,1)),"?"))</f>
        <v/>
      </c>
      <c r="AX174" s="101" t="str">
        <f>IF($A174="","",IFERROR(INDEX('Base Rates'!$C$5:$I$16,MATCH($I174,'Base Rates'!$B$5:$B$16,0),MATCH(MAX($J174,'Technical Premium'!$C$18),'Base Rates'!$C$3:$I$3,1)),"?"))</f>
        <v/>
      </c>
      <c r="AY174" s="102" t="str">
        <f t="shared" si="27"/>
        <v/>
      </c>
      <c r="AZ174" s="99" t="str">
        <f>IF($A174="","",IFERROR(INDEX('Make Factors'!$G$5:$G$69,MATCH($F174,'Make Factors'!$B$5:$B$69,0)),"?"))</f>
        <v/>
      </c>
      <c r="BA174" s="99" t="str">
        <f>IF($A174="","",IFERROR(INDEX('Driver Factors'!$C$6:$C$15,MATCH($R174,'Driver Factors'!$B$6:$B$15,0)),"?"))</f>
        <v/>
      </c>
      <c r="BB174" s="99" t="str">
        <f>IF($A174="","",IFERROR(INDEX('Driver Factors'!$C$19:$C$24,MATCH($S174,'Driver Factors'!$B$19:$B$24,0)),"?"))</f>
        <v/>
      </c>
      <c r="BC174" s="99" t="str">
        <f>IF($A174="","",IFERROR(INDEX('Driver Factors'!$C$28:$C$36,MATCH($T174,'Driver Factors'!$B$28:$B$36,0)),"?"))</f>
        <v/>
      </c>
      <c r="BD174" s="99" t="str">
        <f>IF($A174="","",IFERROR(INDEX('Claims History'!$C$6:$C$15,MATCH($U174,'Claims History'!$B$6:$B$15,0)),"?"))</f>
        <v/>
      </c>
      <c r="BE174" s="99" t="str">
        <f>IF($A174="","",IFERROR(INDEX('Territory Factors'!$E$6:$E$56,MATCH($K174,'Territory Factors'!$B$6:$B$56,0)),"?"))</f>
        <v/>
      </c>
      <c r="BF174" s="99" t="str">
        <f>IF($A174="","",IFERROR(INDEX('City Accident Ratings'!$G$6:$G$54,MATCH($Z174,'City Accident Ratings'!$B$6:$B$54,0)),"?"))</f>
        <v/>
      </c>
      <c r="BG174" s="99" t="str">
        <f>IF($A174="","",IFERROR(INDEX('Usage and Coverage'!$D$6:$D$20,MATCH($N174,'Usage and Coverage'!$C$6:$C$20,0)),"?"))</f>
        <v/>
      </c>
      <c r="BH174" s="99" t="str">
        <f>IF($A174="","",IFERROR(INDEX('Usage and Coverage'!$C$24:$C$30,MATCH($O174,'Usage and Coverage'!$B$24:$B$30,0)),"?"))</f>
        <v/>
      </c>
      <c r="BI174" s="99" t="str">
        <f>IF($A174="","",IFERROR(INDEX('Usage and Coverage'!$C$34:$C$40,MATCH($P174,'Usage and Coverage'!$B$34:$B$40,0)),"?"))</f>
        <v/>
      </c>
      <c r="BJ174" s="99" t="str">
        <f>IF($A174="","",IFERROR(INDEX('Usage and Coverage'!$C$44:$C$49,MATCH($Q174,'Usage and Coverage'!$B$44:$B$49,0)),"?"))</f>
        <v/>
      </c>
      <c r="BK174" s="99" t="str">
        <f>IF($A174="","",IFERROR(INDEX(Deductibles!$C$6:$I$15,MATCH($W174,Deductibles!$B$6:$B$15,0),MATCH(MAX($J174,'Technical Premium'!$C$18),'Base Rates'!$C$3:$I$3,1)),"?"))</f>
        <v/>
      </c>
      <c r="BL174" s="99" t="str">
        <f>IF($A174="","",IFERROR(INDEX('Usage and Coverage'!$C$63:$C$66,MATCH($X174,'Usage and Coverage'!$B$63:$B$66,0)),"?"))</f>
        <v/>
      </c>
      <c r="BM174" s="99" t="str">
        <f>IF($A174="","",IFERROR(INDEX('Usage and Coverage'!$C$70:$C$75,MATCH($V174,'Usage and Coverage'!$B$70:$B$75,0)),"?"))</f>
        <v/>
      </c>
      <c r="BN174" s="99" t="str">
        <f>IF($A174="","",IF($AB174="",1,IFERROR(INDEX(Deductibles!$C$48:$C$51,MATCH($AB174,Deductibles!$B$48:$B$51,0)),"?")))</f>
        <v/>
      </c>
      <c r="BO174" s="99" t="str">
        <f>IF($A174="","",IF($AC174="",1,IFERROR(INDEX(Deductibles!$C$55:$C$57,MATCH($AC174,Deductibles!$B$55:$B$57,0)),"?")))</f>
        <v/>
      </c>
      <c r="BP174" s="99" t="str">
        <f>IF($A174="","",IF($AD174="",1,IFERROR(INDEX(Deductibles!$C$61:$C$63,MATCH($AD174,Deductibles!$B$61:$B$63,0)),"?")))</f>
        <v/>
      </c>
      <c r="BQ174" s="99" t="str">
        <f>IF($A174="","",IF($AE174="",1,IFERROR(INDEX(Deductibles!$C$67:$C$69,MATCH($AE174,Deductibles!$B$67:$B$69,0)),"?")))</f>
        <v/>
      </c>
      <c r="BR174" s="99" t="str">
        <f>IF($A174="","",IF($AF174="",1,IFERROR(INDEX(Deductibles!$C$73:$C$74,MATCH($AF174,Deductibles!$B$73:$B$74,0)),"?")))</f>
        <v/>
      </c>
      <c r="BS174" s="99" t="str">
        <f>IF($A174="","",IF($AG174="",1,IFERROR(INDEX('Sublimits and Parts'!$C$49:$C$52,MATCH($AG174,'Sublimits and Parts'!$B$49:$B$52,0)),"?")))</f>
        <v/>
      </c>
      <c r="BT174" s="99" t="str">
        <f>IF($A174="","",IF($AH174="",1,IFERROR(INDEX('Sublimits and Parts'!$C$56:$C$60,MATCH($AH174,'Sublimits and Parts'!$B$56:$B$60,0)),"?")))</f>
        <v/>
      </c>
      <c r="BU174" s="99" t="str">
        <f>IF($A174="","",IF($AI174="",1,IFERROR(INDEX('Sublimits and Parts'!$C$64:$C$67,MATCH($AI174,'Sublimits and Parts'!$B$64:$B$67,0)),"?")))</f>
        <v/>
      </c>
      <c r="BV174" s="99" t="str">
        <f>IF($A174="","",IF($AJ174="",1,IFERROR(INDEX('Sublimits and Parts'!$C$71:$C$74,MATCH($AJ174,'Sublimits and Parts'!$B$71:$B$74,0)),"?")))</f>
        <v/>
      </c>
      <c r="BW174" s="99" t="str">
        <f>IF($A174="","",IF($AK174="",1,IFERROR(INDEX('Sublimits and Parts'!$C$78:$C$80,MATCH($AK174,'Sublimits and Parts'!$B$78:$B$80,0)),"?")))</f>
        <v/>
      </c>
      <c r="BX174" s="99" t="str">
        <f>IF($A174="","",IF($AL174="",1,IFERROR(INDEX('Sublimits and Parts'!$C$84:$C$87,MATCH($AL174,'Sublimits and Parts'!$B$84:$B$87,0)),"?")))</f>
        <v/>
      </c>
      <c r="BY174" s="99" t="str">
        <f>IF($A174="","",IF($AM174="",1,IFERROR(INDEX('Sublimits and Parts'!$C$91:$C$94,MATCH($AM174,'Sublimits and Parts'!$B$91:$B$94,0)),"?")))</f>
        <v/>
      </c>
      <c r="BZ174" s="99" t="str">
        <f>IF($A174="","",IF($AN174="",1,IFERROR(INDEX('Sublimits and Parts'!$C$98:$C$101,MATCH($AN174,'Sublimits and Parts'!$B$98:$B$101,0)),"?")))</f>
        <v/>
      </c>
      <c r="CA174" s="99" t="str">
        <f>IF($A174="","",IF($AO174="",1,IFERROR(INDEX('Sublimits and Parts'!$C$105:$C$109,MATCH($AO174,'Sublimits and Parts'!$B$105:$B$109,0)),"?")))</f>
        <v/>
      </c>
      <c r="CB174" s="100" t="str">
        <f t="shared" si="28"/>
        <v/>
      </c>
      <c r="CC174" s="100" t="str">
        <f t="shared" si="29"/>
        <v/>
      </c>
      <c r="CD174" s="103" t="str">
        <f>IF($A174="","",IF(OR($CB174="?",$CC174="?"),"?",MIN($CB174*$CC174,'Technical Premium'!$C$17)))</f>
        <v/>
      </c>
      <c r="CE174" s="102" t="str">
        <f t="shared" si="30"/>
        <v/>
      </c>
      <c r="CF174" s="102" t="str">
        <f>IF($A174="","",IFERROR(INDEX('Territory Factors'!$F$6:$F$56,MATCH($K174,'Territory Factors'!$B$6:$B$56,0)),"?"))</f>
        <v/>
      </c>
      <c r="CG174" s="100" t="str">
        <f>IF($A174="","",IFERROR(INDEX('Usage and Coverage'!$C$79:$C$84,MATCH($Y174,'Usage and Coverage'!$B$79:$B$84,0)),"?"))</f>
        <v/>
      </c>
      <c r="CH174" s="102" t="str">
        <f>IFERROR(IF(ISNUMBER($CD174),$CF174*$CG174*MIN($BG174*$BA174*$BC174*$BD174*$BH174*$BF174,'Technical Premium'!$C$17),""),"")</f>
        <v/>
      </c>
      <c r="CI174" s="102" t="str">
        <f t="shared" si="31"/>
        <v/>
      </c>
      <c r="CJ174" s="102" t="str">
        <f>IFERROR($CI174*(1+'Technical Premium'!$C$5)*(1+'Technical Premium'!$C$6),"")</f>
        <v/>
      </c>
      <c r="CK174" s="102" t="str">
        <f>IFERROR($CE174*INDEX('Territory Factors'!$G$6:$G$56,MATCH($K174,'Territory Factors'!$B$6:$B$56,0))*$AU174*$AV174,"")</f>
        <v/>
      </c>
      <c r="CL174" s="102" t="str">
        <f>IFERROR(($CJ174+$CK174)*(1+'Technical Premium'!$C$7),"")</f>
        <v/>
      </c>
      <c r="CM174" s="104" t="str">
        <f>IFERROR($CL174/'Technical Premium'!$C$13,"")</f>
        <v/>
      </c>
      <c r="CN174" s="105" t="str">
        <f t="shared" si="32"/>
        <v/>
      </c>
      <c r="CO174" s="104" t="str">
        <f t="shared" si="33"/>
        <v/>
      </c>
      <c r="CP174" s="105" t="str">
        <f t="shared" si="34"/>
        <v/>
      </c>
      <c r="CQ174" s="106" t="str">
        <f t="shared" si="35"/>
        <v/>
      </c>
      <c r="CR174" s="102" t="str">
        <f>IF(ISNUMBER($CM174),'Technical Premium'!$C$14+IF($J174&gt;=1000000,'Technical Premium'!$C$15,0),"")</f>
        <v/>
      </c>
      <c r="CS174" s="102" t="str">
        <f>IFERROR(($CO174+$CR174)*(INDEX('Territory Factors'!$K$6:$K$56,MATCH($K174,'Territory Factors'!$B$6:$B$56,0))+'Commission Structure'!$C$21),"")</f>
        <v/>
      </c>
      <c r="CT174" s="104" t="str">
        <f t="shared" si="36"/>
        <v/>
      </c>
      <c r="CU174" s="102" t="str">
        <f>IFERROR($CO174*('Commission Structure'!$C$6+'Commission Structure'!$C$7),"")</f>
        <v/>
      </c>
      <c r="CV174" s="102" t="str">
        <f>IFERROR($CO174*'Commission Structure'!$C$5-$CU174,"")</f>
        <v/>
      </c>
      <c r="CW174" s="102" t="str">
        <f>IFERROR($CO174*(1-'Commission Structure'!$C$5),"")</f>
        <v/>
      </c>
      <c r="CX174" s="107"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8" t="str">
        <f t="shared" si="37"/>
        <v/>
      </c>
      <c r="CZ174" s="99" t="str">
        <f>IF($CY174="","",IF($CY174&lt;'Technical Premium'!$C$19,"BEYOND AUTHORITY",IF($CY174&gt;0.005,"Above technical",IF($CY174&lt;-0.005,"BELOW technical","At technical"))))</f>
        <v/>
      </c>
      <c r="DA174" s="99"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4"/>
      <c r="DC174" s="94"/>
      <c r="DD174" s="95"/>
      <c r="DE174" s="94"/>
      <c r="DF174" s="94"/>
      <c r="DG174" s="99" t="str">
        <f t="shared" si="38"/>
        <v/>
      </c>
      <c r="DH174" s="99" t="str">
        <f>IF($A174="","",IF(OR($CX174="REFER",$CX174="DECLINE"),COUNTIF($CX$5:$CX174,"REFER")+COUNTIF($CX$5:$CX174,"DECLINE"),""))</f>
        <v/>
      </c>
      <c r="DI174" s="94"/>
    </row>
    <row r="175" spans="1:113" x14ac:dyDescent="0.35">
      <c r="A175" s="94"/>
      <c r="B175" s="94"/>
      <c r="C175" s="95"/>
      <c r="D175" s="95"/>
      <c r="E175" s="96"/>
      <c r="F175" s="94"/>
      <c r="G175" s="94"/>
      <c r="H175" s="94"/>
      <c r="I175" s="94"/>
      <c r="J175" s="97"/>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8"/>
      <c r="AR175" s="99" t="str">
        <f t="shared" si="26"/>
        <v/>
      </c>
      <c r="AS175" s="99" t="str">
        <f>IF($A175="","",IF($AP175&lt;&gt;"",$AP175,IFERROR(INDEX('Cat Zone by ZIP'!$D$6:$D$856,MATCH($AR175,'Cat Zone by ZIP'!$B$6:$B$856,0)),IFERROR(INDEX('Cat Zone by ZIP'!$C$860:$C$910,MATCH($K175,'Cat Zone by ZIP'!$B$860:$B$910,0)),"NOT FOUND"))))</f>
        <v/>
      </c>
      <c r="AT175" s="99" t="str">
        <f>IF($A175="","",IF($AP175&lt;&gt;"","Override",IF(ISNUMBER(MATCH($AR175,'Cat Zone by ZIP'!$B$6:$B$856,0)),"ZIP-3","State default")))</f>
        <v/>
      </c>
      <c r="AU175" s="100" t="str">
        <f>IF($A175="","",IFERROR(INDEX('Natural Catastrophe'!$D$6:$D$17,MATCH($AS175,'Natural Catastrophe'!$B$6:$B$17,0)),"?"))</f>
        <v/>
      </c>
      <c r="AV175" s="100" t="str">
        <f>IF($A175="","",IFERROR(INDEX('Natural Catastrophe'!$C$21:$C$26,MATCH($AA175,'Natural Catastrophe'!$B$21:$B$26,0)),"?"))</f>
        <v/>
      </c>
      <c r="AW175" s="99" t="str">
        <f>IF($A175="","",IFERROR(INDEX('Base Rates'!$C$4:$I$4,MATCH(MAX($J175,'Technical Premium'!$C$18),'Base Rates'!$C$3:$I$3,1)),"?"))</f>
        <v/>
      </c>
      <c r="AX175" s="101" t="str">
        <f>IF($A175="","",IFERROR(INDEX('Base Rates'!$C$5:$I$16,MATCH($I175,'Base Rates'!$B$5:$B$16,0),MATCH(MAX($J175,'Technical Premium'!$C$18),'Base Rates'!$C$3:$I$3,1)),"?"))</f>
        <v/>
      </c>
      <c r="AY175" s="102" t="str">
        <f t="shared" si="27"/>
        <v/>
      </c>
      <c r="AZ175" s="99" t="str">
        <f>IF($A175="","",IFERROR(INDEX('Make Factors'!$G$5:$G$69,MATCH($F175,'Make Factors'!$B$5:$B$69,0)),"?"))</f>
        <v/>
      </c>
      <c r="BA175" s="99" t="str">
        <f>IF($A175="","",IFERROR(INDEX('Driver Factors'!$C$6:$C$15,MATCH($R175,'Driver Factors'!$B$6:$B$15,0)),"?"))</f>
        <v/>
      </c>
      <c r="BB175" s="99" t="str">
        <f>IF($A175="","",IFERROR(INDEX('Driver Factors'!$C$19:$C$24,MATCH($S175,'Driver Factors'!$B$19:$B$24,0)),"?"))</f>
        <v/>
      </c>
      <c r="BC175" s="99" t="str">
        <f>IF($A175="","",IFERROR(INDEX('Driver Factors'!$C$28:$C$36,MATCH($T175,'Driver Factors'!$B$28:$B$36,0)),"?"))</f>
        <v/>
      </c>
      <c r="BD175" s="99" t="str">
        <f>IF($A175="","",IFERROR(INDEX('Claims History'!$C$6:$C$15,MATCH($U175,'Claims History'!$B$6:$B$15,0)),"?"))</f>
        <v/>
      </c>
      <c r="BE175" s="99" t="str">
        <f>IF($A175="","",IFERROR(INDEX('Territory Factors'!$E$6:$E$56,MATCH($K175,'Territory Factors'!$B$6:$B$56,0)),"?"))</f>
        <v/>
      </c>
      <c r="BF175" s="99" t="str">
        <f>IF($A175="","",IFERROR(INDEX('City Accident Ratings'!$G$6:$G$54,MATCH($Z175,'City Accident Ratings'!$B$6:$B$54,0)),"?"))</f>
        <v/>
      </c>
      <c r="BG175" s="99" t="str">
        <f>IF($A175="","",IFERROR(INDEX('Usage and Coverage'!$D$6:$D$20,MATCH($N175,'Usage and Coverage'!$C$6:$C$20,0)),"?"))</f>
        <v/>
      </c>
      <c r="BH175" s="99" t="str">
        <f>IF($A175="","",IFERROR(INDEX('Usage and Coverage'!$C$24:$C$30,MATCH($O175,'Usage and Coverage'!$B$24:$B$30,0)),"?"))</f>
        <v/>
      </c>
      <c r="BI175" s="99" t="str">
        <f>IF($A175="","",IFERROR(INDEX('Usage and Coverage'!$C$34:$C$40,MATCH($P175,'Usage and Coverage'!$B$34:$B$40,0)),"?"))</f>
        <v/>
      </c>
      <c r="BJ175" s="99" t="str">
        <f>IF($A175="","",IFERROR(INDEX('Usage and Coverage'!$C$44:$C$49,MATCH($Q175,'Usage and Coverage'!$B$44:$B$49,0)),"?"))</f>
        <v/>
      </c>
      <c r="BK175" s="99" t="str">
        <f>IF($A175="","",IFERROR(INDEX(Deductibles!$C$6:$I$15,MATCH($W175,Deductibles!$B$6:$B$15,0),MATCH(MAX($J175,'Technical Premium'!$C$18),'Base Rates'!$C$3:$I$3,1)),"?"))</f>
        <v/>
      </c>
      <c r="BL175" s="99" t="str">
        <f>IF($A175="","",IFERROR(INDEX('Usage and Coverage'!$C$63:$C$66,MATCH($X175,'Usage and Coverage'!$B$63:$B$66,0)),"?"))</f>
        <v/>
      </c>
      <c r="BM175" s="99" t="str">
        <f>IF($A175="","",IFERROR(INDEX('Usage and Coverage'!$C$70:$C$75,MATCH($V175,'Usage and Coverage'!$B$70:$B$75,0)),"?"))</f>
        <v/>
      </c>
      <c r="BN175" s="99" t="str">
        <f>IF($A175="","",IF($AB175="",1,IFERROR(INDEX(Deductibles!$C$48:$C$51,MATCH($AB175,Deductibles!$B$48:$B$51,0)),"?")))</f>
        <v/>
      </c>
      <c r="BO175" s="99" t="str">
        <f>IF($A175="","",IF($AC175="",1,IFERROR(INDEX(Deductibles!$C$55:$C$57,MATCH($AC175,Deductibles!$B$55:$B$57,0)),"?")))</f>
        <v/>
      </c>
      <c r="BP175" s="99" t="str">
        <f>IF($A175="","",IF($AD175="",1,IFERROR(INDEX(Deductibles!$C$61:$C$63,MATCH($AD175,Deductibles!$B$61:$B$63,0)),"?")))</f>
        <v/>
      </c>
      <c r="BQ175" s="99" t="str">
        <f>IF($A175="","",IF($AE175="",1,IFERROR(INDEX(Deductibles!$C$67:$C$69,MATCH($AE175,Deductibles!$B$67:$B$69,0)),"?")))</f>
        <v/>
      </c>
      <c r="BR175" s="99" t="str">
        <f>IF($A175="","",IF($AF175="",1,IFERROR(INDEX(Deductibles!$C$73:$C$74,MATCH($AF175,Deductibles!$B$73:$B$74,0)),"?")))</f>
        <v/>
      </c>
      <c r="BS175" s="99" t="str">
        <f>IF($A175="","",IF($AG175="",1,IFERROR(INDEX('Sublimits and Parts'!$C$49:$C$52,MATCH($AG175,'Sublimits and Parts'!$B$49:$B$52,0)),"?")))</f>
        <v/>
      </c>
      <c r="BT175" s="99" t="str">
        <f>IF($A175="","",IF($AH175="",1,IFERROR(INDEX('Sublimits and Parts'!$C$56:$C$60,MATCH($AH175,'Sublimits and Parts'!$B$56:$B$60,0)),"?")))</f>
        <v/>
      </c>
      <c r="BU175" s="99" t="str">
        <f>IF($A175="","",IF($AI175="",1,IFERROR(INDEX('Sublimits and Parts'!$C$64:$C$67,MATCH($AI175,'Sublimits and Parts'!$B$64:$B$67,0)),"?")))</f>
        <v/>
      </c>
      <c r="BV175" s="99" t="str">
        <f>IF($A175="","",IF($AJ175="",1,IFERROR(INDEX('Sublimits and Parts'!$C$71:$C$74,MATCH($AJ175,'Sublimits and Parts'!$B$71:$B$74,0)),"?")))</f>
        <v/>
      </c>
      <c r="BW175" s="99" t="str">
        <f>IF($A175="","",IF($AK175="",1,IFERROR(INDEX('Sublimits and Parts'!$C$78:$C$80,MATCH($AK175,'Sublimits and Parts'!$B$78:$B$80,0)),"?")))</f>
        <v/>
      </c>
      <c r="BX175" s="99" t="str">
        <f>IF($A175="","",IF($AL175="",1,IFERROR(INDEX('Sublimits and Parts'!$C$84:$C$87,MATCH($AL175,'Sublimits and Parts'!$B$84:$B$87,0)),"?")))</f>
        <v/>
      </c>
      <c r="BY175" s="99" t="str">
        <f>IF($A175="","",IF($AM175="",1,IFERROR(INDEX('Sublimits and Parts'!$C$91:$C$94,MATCH($AM175,'Sublimits and Parts'!$B$91:$B$94,0)),"?")))</f>
        <v/>
      </c>
      <c r="BZ175" s="99" t="str">
        <f>IF($A175="","",IF($AN175="",1,IFERROR(INDEX('Sublimits and Parts'!$C$98:$C$101,MATCH($AN175,'Sublimits and Parts'!$B$98:$B$101,0)),"?")))</f>
        <v/>
      </c>
      <c r="CA175" s="99" t="str">
        <f>IF($A175="","",IF($AO175="",1,IFERROR(INDEX('Sublimits and Parts'!$C$105:$C$109,MATCH($AO175,'Sublimits and Parts'!$B$105:$B$109,0)),"?")))</f>
        <v/>
      </c>
      <c r="CB175" s="100" t="str">
        <f t="shared" si="28"/>
        <v/>
      </c>
      <c r="CC175" s="100" t="str">
        <f t="shared" si="29"/>
        <v/>
      </c>
      <c r="CD175" s="103" t="str">
        <f>IF($A175="","",IF(OR($CB175="?",$CC175="?"),"?",MIN($CB175*$CC175,'Technical Premium'!$C$17)))</f>
        <v/>
      </c>
      <c r="CE175" s="102" t="str">
        <f t="shared" si="30"/>
        <v/>
      </c>
      <c r="CF175" s="102" t="str">
        <f>IF($A175="","",IFERROR(INDEX('Territory Factors'!$F$6:$F$56,MATCH($K175,'Territory Factors'!$B$6:$B$56,0)),"?"))</f>
        <v/>
      </c>
      <c r="CG175" s="100" t="str">
        <f>IF($A175="","",IFERROR(INDEX('Usage and Coverage'!$C$79:$C$84,MATCH($Y175,'Usage and Coverage'!$B$79:$B$84,0)),"?"))</f>
        <v/>
      </c>
      <c r="CH175" s="102" t="str">
        <f>IFERROR(IF(ISNUMBER($CD175),$CF175*$CG175*MIN($BG175*$BA175*$BC175*$BD175*$BH175*$BF175,'Technical Premium'!$C$17),""),"")</f>
        <v/>
      </c>
      <c r="CI175" s="102" t="str">
        <f t="shared" si="31"/>
        <v/>
      </c>
      <c r="CJ175" s="102" t="str">
        <f>IFERROR($CI175*(1+'Technical Premium'!$C$5)*(1+'Technical Premium'!$C$6),"")</f>
        <v/>
      </c>
      <c r="CK175" s="102" t="str">
        <f>IFERROR($CE175*INDEX('Territory Factors'!$G$6:$G$56,MATCH($K175,'Territory Factors'!$B$6:$B$56,0))*$AU175*$AV175,"")</f>
        <v/>
      </c>
      <c r="CL175" s="102" t="str">
        <f>IFERROR(($CJ175+$CK175)*(1+'Technical Premium'!$C$7),"")</f>
        <v/>
      </c>
      <c r="CM175" s="104" t="str">
        <f>IFERROR($CL175/'Technical Premium'!$C$13,"")</f>
        <v/>
      </c>
      <c r="CN175" s="105" t="str">
        <f t="shared" si="32"/>
        <v/>
      </c>
      <c r="CO175" s="104" t="str">
        <f t="shared" si="33"/>
        <v/>
      </c>
      <c r="CP175" s="105" t="str">
        <f t="shared" si="34"/>
        <v/>
      </c>
      <c r="CQ175" s="106" t="str">
        <f t="shared" si="35"/>
        <v/>
      </c>
      <c r="CR175" s="102" t="str">
        <f>IF(ISNUMBER($CM175),'Technical Premium'!$C$14+IF($J175&gt;=1000000,'Technical Premium'!$C$15,0),"")</f>
        <v/>
      </c>
      <c r="CS175" s="102" t="str">
        <f>IFERROR(($CO175+$CR175)*(INDEX('Territory Factors'!$K$6:$K$56,MATCH($K175,'Territory Factors'!$B$6:$B$56,0))+'Commission Structure'!$C$21),"")</f>
        <v/>
      </c>
      <c r="CT175" s="104" t="str">
        <f t="shared" si="36"/>
        <v/>
      </c>
      <c r="CU175" s="102" t="str">
        <f>IFERROR($CO175*('Commission Structure'!$C$6+'Commission Structure'!$C$7),"")</f>
        <v/>
      </c>
      <c r="CV175" s="102" t="str">
        <f>IFERROR($CO175*'Commission Structure'!$C$5-$CU175,"")</f>
        <v/>
      </c>
      <c r="CW175" s="102" t="str">
        <f>IFERROR($CO175*(1-'Commission Structure'!$C$5),"")</f>
        <v/>
      </c>
      <c r="CX175" s="107"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8" t="str">
        <f t="shared" si="37"/>
        <v/>
      </c>
      <c r="CZ175" s="99" t="str">
        <f>IF($CY175="","",IF($CY175&lt;'Technical Premium'!$C$19,"BEYOND AUTHORITY",IF($CY175&gt;0.005,"Above technical",IF($CY175&lt;-0.005,"BELOW technical","At technical"))))</f>
        <v/>
      </c>
      <c r="DA175" s="99"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4"/>
      <c r="DC175" s="94"/>
      <c r="DD175" s="95"/>
      <c r="DE175" s="94"/>
      <c r="DF175" s="94"/>
      <c r="DG175" s="99" t="str">
        <f t="shared" si="38"/>
        <v/>
      </c>
      <c r="DH175" s="99" t="str">
        <f>IF($A175="","",IF(OR($CX175="REFER",$CX175="DECLINE"),COUNTIF($CX$5:$CX175,"REFER")+COUNTIF($CX$5:$CX175,"DECLINE"),""))</f>
        <v/>
      </c>
      <c r="DI175" s="94"/>
    </row>
    <row r="176" spans="1:113" x14ac:dyDescent="0.35">
      <c r="A176" s="94"/>
      <c r="B176" s="94"/>
      <c r="C176" s="95"/>
      <c r="D176" s="95"/>
      <c r="E176" s="96"/>
      <c r="F176" s="94"/>
      <c r="G176" s="94"/>
      <c r="H176" s="94"/>
      <c r="I176" s="94"/>
      <c r="J176" s="97"/>
      <c r="K176" s="94"/>
      <c r="L176" s="94"/>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8"/>
      <c r="AR176" s="99" t="str">
        <f t="shared" si="26"/>
        <v/>
      </c>
      <c r="AS176" s="99" t="str">
        <f>IF($A176="","",IF($AP176&lt;&gt;"",$AP176,IFERROR(INDEX('Cat Zone by ZIP'!$D$6:$D$856,MATCH($AR176,'Cat Zone by ZIP'!$B$6:$B$856,0)),IFERROR(INDEX('Cat Zone by ZIP'!$C$860:$C$910,MATCH($K176,'Cat Zone by ZIP'!$B$860:$B$910,0)),"NOT FOUND"))))</f>
        <v/>
      </c>
      <c r="AT176" s="99" t="str">
        <f>IF($A176="","",IF($AP176&lt;&gt;"","Override",IF(ISNUMBER(MATCH($AR176,'Cat Zone by ZIP'!$B$6:$B$856,0)),"ZIP-3","State default")))</f>
        <v/>
      </c>
      <c r="AU176" s="100" t="str">
        <f>IF($A176="","",IFERROR(INDEX('Natural Catastrophe'!$D$6:$D$17,MATCH($AS176,'Natural Catastrophe'!$B$6:$B$17,0)),"?"))</f>
        <v/>
      </c>
      <c r="AV176" s="100" t="str">
        <f>IF($A176="","",IFERROR(INDEX('Natural Catastrophe'!$C$21:$C$26,MATCH($AA176,'Natural Catastrophe'!$B$21:$B$26,0)),"?"))</f>
        <v/>
      </c>
      <c r="AW176" s="99" t="str">
        <f>IF($A176="","",IFERROR(INDEX('Base Rates'!$C$4:$I$4,MATCH(MAX($J176,'Technical Premium'!$C$18),'Base Rates'!$C$3:$I$3,1)),"?"))</f>
        <v/>
      </c>
      <c r="AX176" s="101" t="str">
        <f>IF($A176="","",IFERROR(INDEX('Base Rates'!$C$5:$I$16,MATCH($I176,'Base Rates'!$B$5:$B$16,0),MATCH(MAX($J176,'Technical Premium'!$C$18),'Base Rates'!$C$3:$I$3,1)),"?"))</f>
        <v/>
      </c>
      <c r="AY176" s="102" t="str">
        <f t="shared" si="27"/>
        <v/>
      </c>
      <c r="AZ176" s="99" t="str">
        <f>IF($A176="","",IFERROR(INDEX('Make Factors'!$G$5:$G$69,MATCH($F176,'Make Factors'!$B$5:$B$69,0)),"?"))</f>
        <v/>
      </c>
      <c r="BA176" s="99" t="str">
        <f>IF($A176="","",IFERROR(INDEX('Driver Factors'!$C$6:$C$15,MATCH($R176,'Driver Factors'!$B$6:$B$15,0)),"?"))</f>
        <v/>
      </c>
      <c r="BB176" s="99" t="str">
        <f>IF($A176="","",IFERROR(INDEX('Driver Factors'!$C$19:$C$24,MATCH($S176,'Driver Factors'!$B$19:$B$24,0)),"?"))</f>
        <v/>
      </c>
      <c r="BC176" s="99" t="str">
        <f>IF($A176="","",IFERROR(INDEX('Driver Factors'!$C$28:$C$36,MATCH($T176,'Driver Factors'!$B$28:$B$36,0)),"?"))</f>
        <v/>
      </c>
      <c r="BD176" s="99" t="str">
        <f>IF($A176="","",IFERROR(INDEX('Claims History'!$C$6:$C$15,MATCH($U176,'Claims History'!$B$6:$B$15,0)),"?"))</f>
        <v/>
      </c>
      <c r="BE176" s="99" t="str">
        <f>IF($A176="","",IFERROR(INDEX('Territory Factors'!$E$6:$E$56,MATCH($K176,'Territory Factors'!$B$6:$B$56,0)),"?"))</f>
        <v/>
      </c>
      <c r="BF176" s="99" t="str">
        <f>IF($A176="","",IFERROR(INDEX('City Accident Ratings'!$G$6:$G$54,MATCH($Z176,'City Accident Ratings'!$B$6:$B$54,0)),"?"))</f>
        <v/>
      </c>
      <c r="BG176" s="99" t="str">
        <f>IF($A176="","",IFERROR(INDEX('Usage and Coverage'!$D$6:$D$20,MATCH($N176,'Usage and Coverage'!$C$6:$C$20,0)),"?"))</f>
        <v/>
      </c>
      <c r="BH176" s="99" t="str">
        <f>IF($A176="","",IFERROR(INDEX('Usage and Coverage'!$C$24:$C$30,MATCH($O176,'Usage and Coverage'!$B$24:$B$30,0)),"?"))</f>
        <v/>
      </c>
      <c r="BI176" s="99" t="str">
        <f>IF($A176="","",IFERROR(INDEX('Usage and Coverage'!$C$34:$C$40,MATCH($P176,'Usage and Coverage'!$B$34:$B$40,0)),"?"))</f>
        <v/>
      </c>
      <c r="BJ176" s="99" t="str">
        <f>IF($A176="","",IFERROR(INDEX('Usage and Coverage'!$C$44:$C$49,MATCH($Q176,'Usage and Coverage'!$B$44:$B$49,0)),"?"))</f>
        <v/>
      </c>
      <c r="BK176" s="99" t="str">
        <f>IF($A176="","",IFERROR(INDEX(Deductibles!$C$6:$I$15,MATCH($W176,Deductibles!$B$6:$B$15,0),MATCH(MAX($J176,'Technical Premium'!$C$18),'Base Rates'!$C$3:$I$3,1)),"?"))</f>
        <v/>
      </c>
      <c r="BL176" s="99" t="str">
        <f>IF($A176="","",IFERROR(INDEX('Usage and Coverage'!$C$63:$C$66,MATCH($X176,'Usage and Coverage'!$B$63:$B$66,0)),"?"))</f>
        <v/>
      </c>
      <c r="BM176" s="99" t="str">
        <f>IF($A176="","",IFERROR(INDEX('Usage and Coverage'!$C$70:$C$75,MATCH($V176,'Usage and Coverage'!$B$70:$B$75,0)),"?"))</f>
        <v/>
      </c>
      <c r="BN176" s="99" t="str">
        <f>IF($A176="","",IF($AB176="",1,IFERROR(INDEX(Deductibles!$C$48:$C$51,MATCH($AB176,Deductibles!$B$48:$B$51,0)),"?")))</f>
        <v/>
      </c>
      <c r="BO176" s="99" t="str">
        <f>IF($A176="","",IF($AC176="",1,IFERROR(INDEX(Deductibles!$C$55:$C$57,MATCH($AC176,Deductibles!$B$55:$B$57,0)),"?")))</f>
        <v/>
      </c>
      <c r="BP176" s="99" t="str">
        <f>IF($A176="","",IF($AD176="",1,IFERROR(INDEX(Deductibles!$C$61:$C$63,MATCH($AD176,Deductibles!$B$61:$B$63,0)),"?")))</f>
        <v/>
      </c>
      <c r="BQ176" s="99" t="str">
        <f>IF($A176="","",IF($AE176="",1,IFERROR(INDEX(Deductibles!$C$67:$C$69,MATCH($AE176,Deductibles!$B$67:$B$69,0)),"?")))</f>
        <v/>
      </c>
      <c r="BR176" s="99" t="str">
        <f>IF($A176="","",IF($AF176="",1,IFERROR(INDEX(Deductibles!$C$73:$C$74,MATCH($AF176,Deductibles!$B$73:$B$74,0)),"?")))</f>
        <v/>
      </c>
      <c r="BS176" s="99" t="str">
        <f>IF($A176="","",IF($AG176="",1,IFERROR(INDEX('Sublimits and Parts'!$C$49:$C$52,MATCH($AG176,'Sublimits and Parts'!$B$49:$B$52,0)),"?")))</f>
        <v/>
      </c>
      <c r="BT176" s="99" t="str">
        <f>IF($A176="","",IF($AH176="",1,IFERROR(INDEX('Sublimits and Parts'!$C$56:$C$60,MATCH($AH176,'Sublimits and Parts'!$B$56:$B$60,0)),"?")))</f>
        <v/>
      </c>
      <c r="BU176" s="99" t="str">
        <f>IF($A176="","",IF($AI176="",1,IFERROR(INDEX('Sublimits and Parts'!$C$64:$C$67,MATCH($AI176,'Sublimits and Parts'!$B$64:$B$67,0)),"?")))</f>
        <v/>
      </c>
      <c r="BV176" s="99" t="str">
        <f>IF($A176="","",IF($AJ176="",1,IFERROR(INDEX('Sublimits and Parts'!$C$71:$C$74,MATCH($AJ176,'Sublimits and Parts'!$B$71:$B$74,0)),"?")))</f>
        <v/>
      </c>
      <c r="BW176" s="99" t="str">
        <f>IF($A176="","",IF($AK176="",1,IFERROR(INDEX('Sublimits and Parts'!$C$78:$C$80,MATCH($AK176,'Sublimits and Parts'!$B$78:$B$80,0)),"?")))</f>
        <v/>
      </c>
      <c r="BX176" s="99" t="str">
        <f>IF($A176="","",IF($AL176="",1,IFERROR(INDEX('Sublimits and Parts'!$C$84:$C$87,MATCH($AL176,'Sublimits and Parts'!$B$84:$B$87,0)),"?")))</f>
        <v/>
      </c>
      <c r="BY176" s="99" t="str">
        <f>IF($A176="","",IF($AM176="",1,IFERROR(INDEX('Sublimits and Parts'!$C$91:$C$94,MATCH($AM176,'Sublimits and Parts'!$B$91:$B$94,0)),"?")))</f>
        <v/>
      </c>
      <c r="BZ176" s="99" t="str">
        <f>IF($A176="","",IF($AN176="",1,IFERROR(INDEX('Sublimits and Parts'!$C$98:$C$101,MATCH($AN176,'Sublimits and Parts'!$B$98:$B$101,0)),"?")))</f>
        <v/>
      </c>
      <c r="CA176" s="99" t="str">
        <f>IF($A176="","",IF($AO176="",1,IFERROR(INDEX('Sublimits and Parts'!$C$105:$C$109,MATCH($AO176,'Sublimits and Parts'!$B$105:$B$109,0)),"?")))</f>
        <v/>
      </c>
      <c r="CB176" s="100" t="str">
        <f t="shared" si="28"/>
        <v/>
      </c>
      <c r="CC176" s="100" t="str">
        <f t="shared" si="29"/>
        <v/>
      </c>
      <c r="CD176" s="103" t="str">
        <f>IF($A176="","",IF(OR($CB176="?",$CC176="?"),"?",MIN($CB176*$CC176,'Technical Premium'!$C$17)))</f>
        <v/>
      </c>
      <c r="CE176" s="102" t="str">
        <f t="shared" si="30"/>
        <v/>
      </c>
      <c r="CF176" s="102" t="str">
        <f>IF($A176="","",IFERROR(INDEX('Territory Factors'!$F$6:$F$56,MATCH($K176,'Territory Factors'!$B$6:$B$56,0)),"?"))</f>
        <v/>
      </c>
      <c r="CG176" s="100" t="str">
        <f>IF($A176="","",IFERROR(INDEX('Usage and Coverage'!$C$79:$C$84,MATCH($Y176,'Usage and Coverage'!$B$79:$B$84,0)),"?"))</f>
        <v/>
      </c>
      <c r="CH176" s="102" t="str">
        <f>IFERROR(IF(ISNUMBER($CD176),$CF176*$CG176*MIN($BG176*$BA176*$BC176*$BD176*$BH176*$BF176,'Technical Premium'!$C$17),""),"")</f>
        <v/>
      </c>
      <c r="CI176" s="102" t="str">
        <f t="shared" si="31"/>
        <v/>
      </c>
      <c r="CJ176" s="102" t="str">
        <f>IFERROR($CI176*(1+'Technical Premium'!$C$5)*(1+'Technical Premium'!$C$6),"")</f>
        <v/>
      </c>
      <c r="CK176" s="102" t="str">
        <f>IFERROR($CE176*INDEX('Territory Factors'!$G$6:$G$56,MATCH($K176,'Territory Factors'!$B$6:$B$56,0))*$AU176*$AV176,"")</f>
        <v/>
      </c>
      <c r="CL176" s="102" t="str">
        <f>IFERROR(($CJ176+$CK176)*(1+'Technical Premium'!$C$7),"")</f>
        <v/>
      </c>
      <c r="CM176" s="104" t="str">
        <f>IFERROR($CL176/'Technical Premium'!$C$13,"")</f>
        <v/>
      </c>
      <c r="CN176" s="105" t="str">
        <f t="shared" si="32"/>
        <v/>
      </c>
      <c r="CO176" s="104" t="str">
        <f t="shared" si="33"/>
        <v/>
      </c>
      <c r="CP176" s="105" t="str">
        <f t="shared" si="34"/>
        <v/>
      </c>
      <c r="CQ176" s="106" t="str">
        <f t="shared" si="35"/>
        <v/>
      </c>
      <c r="CR176" s="102" t="str">
        <f>IF(ISNUMBER($CM176),'Technical Premium'!$C$14+IF($J176&gt;=1000000,'Technical Premium'!$C$15,0),"")</f>
        <v/>
      </c>
      <c r="CS176" s="102" t="str">
        <f>IFERROR(($CO176+$CR176)*(INDEX('Territory Factors'!$K$6:$K$56,MATCH($K176,'Territory Factors'!$B$6:$B$56,0))+'Commission Structure'!$C$21),"")</f>
        <v/>
      </c>
      <c r="CT176" s="104" t="str">
        <f t="shared" si="36"/>
        <v/>
      </c>
      <c r="CU176" s="102" t="str">
        <f>IFERROR($CO176*('Commission Structure'!$C$6+'Commission Structure'!$C$7),"")</f>
        <v/>
      </c>
      <c r="CV176" s="102" t="str">
        <f>IFERROR($CO176*'Commission Structure'!$C$5-$CU176,"")</f>
        <v/>
      </c>
      <c r="CW176" s="102" t="str">
        <f>IFERROR($CO176*(1-'Commission Structure'!$C$5),"")</f>
        <v/>
      </c>
      <c r="CX176" s="107"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8" t="str">
        <f t="shared" si="37"/>
        <v/>
      </c>
      <c r="CZ176" s="99" t="str">
        <f>IF($CY176="","",IF($CY176&lt;'Technical Premium'!$C$19,"BEYOND AUTHORITY",IF($CY176&gt;0.005,"Above technical",IF($CY176&lt;-0.005,"BELOW technical","At technical"))))</f>
        <v/>
      </c>
      <c r="DA176" s="99"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4"/>
      <c r="DC176" s="94"/>
      <c r="DD176" s="95"/>
      <c r="DE176" s="94"/>
      <c r="DF176" s="94"/>
      <c r="DG176" s="99" t="str">
        <f t="shared" si="38"/>
        <v/>
      </c>
      <c r="DH176" s="99" t="str">
        <f>IF($A176="","",IF(OR($CX176="REFER",$CX176="DECLINE"),COUNTIF($CX$5:$CX176,"REFER")+COUNTIF($CX$5:$CX176,"DECLINE"),""))</f>
        <v/>
      </c>
      <c r="DI176" s="94"/>
    </row>
    <row r="177" spans="1:113" x14ac:dyDescent="0.35">
      <c r="A177" s="94"/>
      <c r="B177" s="94"/>
      <c r="C177" s="95"/>
      <c r="D177" s="95"/>
      <c r="E177" s="96"/>
      <c r="F177" s="94"/>
      <c r="G177" s="94"/>
      <c r="H177" s="94"/>
      <c r="I177" s="94"/>
      <c r="J177" s="97"/>
      <c r="K177" s="94"/>
      <c r="L177" s="94"/>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8"/>
      <c r="AR177" s="99" t="str">
        <f t="shared" si="26"/>
        <v/>
      </c>
      <c r="AS177" s="99" t="str">
        <f>IF($A177="","",IF($AP177&lt;&gt;"",$AP177,IFERROR(INDEX('Cat Zone by ZIP'!$D$6:$D$856,MATCH($AR177,'Cat Zone by ZIP'!$B$6:$B$856,0)),IFERROR(INDEX('Cat Zone by ZIP'!$C$860:$C$910,MATCH($K177,'Cat Zone by ZIP'!$B$860:$B$910,0)),"NOT FOUND"))))</f>
        <v/>
      </c>
      <c r="AT177" s="99" t="str">
        <f>IF($A177="","",IF($AP177&lt;&gt;"","Override",IF(ISNUMBER(MATCH($AR177,'Cat Zone by ZIP'!$B$6:$B$856,0)),"ZIP-3","State default")))</f>
        <v/>
      </c>
      <c r="AU177" s="100" t="str">
        <f>IF($A177="","",IFERROR(INDEX('Natural Catastrophe'!$D$6:$D$17,MATCH($AS177,'Natural Catastrophe'!$B$6:$B$17,0)),"?"))</f>
        <v/>
      </c>
      <c r="AV177" s="100" t="str">
        <f>IF($A177="","",IFERROR(INDEX('Natural Catastrophe'!$C$21:$C$26,MATCH($AA177,'Natural Catastrophe'!$B$21:$B$26,0)),"?"))</f>
        <v/>
      </c>
      <c r="AW177" s="99" t="str">
        <f>IF($A177="","",IFERROR(INDEX('Base Rates'!$C$4:$I$4,MATCH(MAX($J177,'Technical Premium'!$C$18),'Base Rates'!$C$3:$I$3,1)),"?"))</f>
        <v/>
      </c>
      <c r="AX177" s="101" t="str">
        <f>IF($A177="","",IFERROR(INDEX('Base Rates'!$C$5:$I$16,MATCH($I177,'Base Rates'!$B$5:$B$16,0),MATCH(MAX($J177,'Technical Premium'!$C$18),'Base Rates'!$C$3:$I$3,1)),"?"))</f>
        <v/>
      </c>
      <c r="AY177" s="102" t="str">
        <f t="shared" si="27"/>
        <v/>
      </c>
      <c r="AZ177" s="99" t="str">
        <f>IF($A177="","",IFERROR(INDEX('Make Factors'!$G$5:$G$69,MATCH($F177,'Make Factors'!$B$5:$B$69,0)),"?"))</f>
        <v/>
      </c>
      <c r="BA177" s="99" t="str">
        <f>IF($A177="","",IFERROR(INDEX('Driver Factors'!$C$6:$C$15,MATCH($R177,'Driver Factors'!$B$6:$B$15,0)),"?"))</f>
        <v/>
      </c>
      <c r="BB177" s="99" t="str">
        <f>IF($A177="","",IFERROR(INDEX('Driver Factors'!$C$19:$C$24,MATCH($S177,'Driver Factors'!$B$19:$B$24,0)),"?"))</f>
        <v/>
      </c>
      <c r="BC177" s="99" t="str">
        <f>IF($A177="","",IFERROR(INDEX('Driver Factors'!$C$28:$C$36,MATCH($T177,'Driver Factors'!$B$28:$B$36,0)),"?"))</f>
        <v/>
      </c>
      <c r="BD177" s="99" t="str">
        <f>IF($A177="","",IFERROR(INDEX('Claims History'!$C$6:$C$15,MATCH($U177,'Claims History'!$B$6:$B$15,0)),"?"))</f>
        <v/>
      </c>
      <c r="BE177" s="99" t="str">
        <f>IF($A177="","",IFERROR(INDEX('Territory Factors'!$E$6:$E$56,MATCH($K177,'Territory Factors'!$B$6:$B$56,0)),"?"))</f>
        <v/>
      </c>
      <c r="BF177" s="99" t="str">
        <f>IF($A177="","",IFERROR(INDEX('City Accident Ratings'!$G$6:$G$54,MATCH($Z177,'City Accident Ratings'!$B$6:$B$54,0)),"?"))</f>
        <v/>
      </c>
      <c r="BG177" s="99" t="str">
        <f>IF($A177="","",IFERROR(INDEX('Usage and Coverage'!$D$6:$D$20,MATCH($N177,'Usage and Coverage'!$C$6:$C$20,0)),"?"))</f>
        <v/>
      </c>
      <c r="BH177" s="99" t="str">
        <f>IF($A177="","",IFERROR(INDEX('Usage and Coverage'!$C$24:$C$30,MATCH($O177,'Usage and Coverage'!$B$24:$B$30,0)),"?"))</f>
        <v/>
      </c>
      <c r="BI177" s="99" t="str">
        <f>IF($A177="","",IFERROR(INDEX('Usage and Coverage'!$C$34:$C$40,MATCH($P177,'Usage and Coverage'!$B$34:$B$40,0)),"?"))</f>
        <v/>
      </c>
      <c r="BJ177" s="99" t="str">
        <f>IF($A177="","",IFERROR(INDEX('Usage and Coverage'!$C$44:$C$49,MATCH($Q177,'Usage and Coverage'!$B$44:$B$49,0)),"?"))</f>
        <v/>
      </c>
      <c r="BK177" s="99" t="str">
        <f>IF($A177="","",IFERROR(INDEX(Deductibles!$C$6:$I$15,MATCH($W177,Deductibles!$B$6:$B$15,0),MATCH(MAX($J177,'Technical Premium'!$C$18),'Base Rates'!$C$3:$I$3,1)),"?"))</f>
        <v/>
      </c>
      <c r="BL177" s="99" t="str">
        <f>IF($A177="","",IFERROR(INDEX('Usage and Coverage'!$C$63:$C$66,MATCH($X177,'Usage and Coverage'!$B$63:$B$66,0)),"?"))</f>
        <v/>
      </c>
      <c r="BM177" s="99" t="str">
        <f>IF($A177="","",IFERROR(INDEX('Usage and Coverage'!$C$70:$C$75,MATCH($V177,'Usage and Coverage'!$B$70:$B$75,0)),"?"))</f>
        <v/>
      </c>
      <c r="BN177" s="99" t="str">
        <f>IF($A177="","",IF($AB177="",1,IFERROR(INDEX(Deductibles!$C$48:$C$51,MATCH($AB177,Deductibles!$B$48:$B$51,0)),"?")))</f>
        <v/>
      </c>
      <c r="BO177" s="99" t="str">
        <f>IF($A177="","",IF($AC177="",1,IFERROR(INDEX(Deductibles!$C$55:$C$57,MATCH($AC177,Deductibles!$B$55:$B$57,0)),"?")))</f>
        <v/>
      </c>
      <c r="BP177" s="99" t="str">
        <f>IF($A177="","",IF($AD177="",1,IFERROR(INDEX(Deductibles!$C$61:$C$63,MATCH($AD177,Deductibles!$B$61:$B$63,0)),"?")))</f>
        <v/>
      </c>
      <c r="BQ177" s="99" t="str">
        <f>IF($A177="","",IF($AE177="",1,IFERROR(INDEX(Deductibles!$C$67:$C$69,MATCH($AE177,Deductibles!$B$67:$B$69,0)),"?")))</f>
        <v/>
      </c>
      <c r="BR177" s="99" t="str">
        <f>IF($A177="","",IF($AF177="",1,IFERROR(INDEX(Deductibles!$C$73:$C$74,MATCH($AF177,Deductibles!$B$73:$B$74,0)),"?")))</f>
        <v/>
      </c>
      <c r="BS177" s="99" t="str">
        <f>IF($A177="","",IF($AG177="",1,IFERROR(INDEX('Sublimits and Parts'!$C$49:$C$52,MATCH($AG177,'Sublimits and Parts'!$B$49:$B$52,0)),"?")))</f>
        <v/>
      </c>
      <c r="BT177" s="99" t="str">
        <f>IF($A177="","",IF($AH177="",1,IFERROR(INDEX('Sublimits and Parts'!$C$56:$C$60,MATCH($AH177,'Sublimits and Parts'!$B$56:$B$60,0)),"?")))</f>
        <v/>
      </c>
      <c r="BU177" s="99" t="str">
        <f>IF($A177="","",IF($AI177="",1,IFERROR(INDEX('Sublimits and Parts'!$C$64:$C$67,MATCH($AI177,'Sublimits and Parts'!$B$64:$B$67,0)),"?")))</f>
        <v/>
      </c>
      <c r="BV177" s="99" t="str">
        <f>IF($A177="","",IF($AJ177="",1,IFERROR(INDEX('Sublimits and Parts'!$C$71:$C$74,MATCH($AJ177,'Sublimits and Parts'!$B$71:$B$74,0)),"?")))</f>
        <v/>
      </c>
      <c r="BW177" s="99" t="str">
        <f>IF($A177="","",IF($AK177="",1,IFERROR(INDEX('Sublimits and Parts'!$C$78:$C$80,MATCH($AK177,'Sublimits and Parts'!$B$78:$B$80,0)),"?")))</f>
        <v/>
      </c>
      <c r="BX177" s="99" t="str">
        <f>IF($A177="","",IF($AL177="",1,IFERROR(INDEX('Sublimits and Parts'!$C$84:$C$87,MATCH($AL177,'Sublimits and Parts'!$B$84:$B$87,0)),"?")))</f>
        <v/>
      </c>
      <c r="BY177" s="99" t="str">
        <f>IF($A177="","",IF($AM177="",1,IFERROR(INDEX('Sublimits and Parts'!$C$91:$C$94,MATCH($AM177,'Sublimits and Parts'!$B$91:$B$94,0)),"?")))</f>
        <v/>
      </c>
      <c r="BZ177" s="99" t="str">
        <f>IF($A177="","",IF($AN177="",1,IFERROR(INDEX('Sublimits and Parts'!$C$98:$C$101,MATCH($AN177,'Sublimits and Parts'!$B$98:$B$101,0)),"?")))</f>
        <v/>
      </c>
      <c r="CA177" s="99" t="str">
        <f>IF($A177="","",IF($AO177="",1,IFERROR(INDEX('Sublimits and Parts'!$C$105:$C$109,MATCH($AO177,'Sublimits and Parts'!$B$105:$B$109,0)),"?")))</f>
        <v/>
      </c>
      <c r="CB177" s="100" t="str">
        <f t="shared" si="28"/>
        <v/>
      </c>
      <c r="CC177" s="100" t="str">
        <f t="shared" si="29"/>
        <v/>
      </c>
      <c r="CD177" s="103" t="str">
        <f>IF($A177="","",IF(OR($CB177="?",$CC177="?"),"?",MIN($CB177*$CC177,'Technical Premium'!$C$17)))</f>
        <v/>
      </c>
      <c r="CE177" s="102" t="str">
        <f t="shared" si="30"/>
        <v/>
      </c>
      <c r="CF177" s="102" t="str">
        <f>IF($A177="","",IFERROR(INDEX('Territory Factors'!$F$6:$F$56,MATCH($K177,'Territory Factors'!$B$6:$B$56,0)),"?"))</f>
        <v/>
      </c>
      <c r="CG177" s="100" t="str">
        <f>IF($A177="","",IFERROR(INDEX('Usage and Coverage'!$C$79:$C$84,MATCH($Y177,'Usage and Coverage'!$B$79:$B$84,0)),"?"))</f>
        <v/>
      </c>
      <c r="CH177" s="102" t="str">
        <f>IFERROR(IF(ISNUMBER($CD177),$CF177*$CG177*MIN($BG177*$BA177*$BC177*$BD177*$BH177*$BF177,'Technical Premium'!$C$17),""),"")</f>
        <v/>
      </c>
      <c r="CI177" s="102" t="str">
        <f t="shared" si="31"/>
        <v/>
      </c>
      <c r="CJ177" s="102" t="str">
        <f>IFERROR($CI177*(1+'Technical Premium'!$C$5)*(1+'Technical Premium'!$C$6),"")</f>
        <v/>
      </c>
      <c r="CK177" s="102" t="str">
        <f>IFERROR($CE177*INDEX('Territory Factors'!$G$6:$G$56,MATCH($K177,'Territory Factors'!$B$6:$B$56,0))*$AU177*$AV177,"")</f>
        <v/>
      </c>
      <c r="CL177" s="102" t="str">
        <f>IFERROR(($CJ177+$CK177)*(1+'Technical Premium'!$C$7),"")</f>
        <v/>
      </c>
      <c r="CM177" s="104" t="str">
        <f>IFERROR($CL177/'Technical Premium'!$C$13,"")</f>
        <v/>
      </c>
      <c r="CN177" s="105" t="str">
        <f t="shared" si="32"/>
        <v/>
      </c>
      <c r="CO177" s="104" t="str">
        <f t="shared" si="33"/>
        <v/>
      </c>
      <c r="CP177" s="105" t="str">
        <f t="shared" si="34"/>
        <v/>
      </c>
      <c r="CQ177" s="106" t="str">
        <f t="shared" si="35"/>
        <v/>
      </c>
      <c r="CR177" s="102" t="str">
        <f>IF(ISNUMBER($CM177),'Technical Premium'!$C$14+IF($J177&gt;=1000000,'Technical Premium'!$C$15,0),"")</f>
        <v/>
      </c>
      <c r="CS177" s="102" t="str">
        <f>IFERROR(($CO177+$CR177)*(INDEX('Territory Factors'!$K$6:$K$56,MATCH($K177,'Territory Factors'!$B$6:$B$56,0))+'Commission Structure'!$C$21),"")</f>
        <v/>
      </c>
      <c r="CT177" s="104" t="str">
        <f t="shared" si="36"/>
        <v/>
      </c>
      <c r="CU177" s="102" t="str">
        <f>IFERROR($CO177*('Commission Structure'!$C$6+'Commission Structure'!$C$7),"")</f>
        <v/>
      </c>
      <c r="CV177" s="102" t="str">
        <f>IFERROR($CO177*'Commission Structure'!$C$5-$CU177,"")</f>
        <v/>
      </c>
      <c r="CW177" s="102" t="str">
        <f>IFERROR($CO177*(1-'Commission Structure'!$C$5),"")</f>
        <v/>
      </c>
      <c r="CX177" s="107"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8" t="str">
        <f t="shared" si="37"/>
        <v/>
      </c>
      <c r="CZ177" s="99" t="str">
        <f>IF($CY177="","",IF($CY177&lt;'Technical Premium'!$C$19,"BEYOND AUTHORITY",IF($CY177&gt;0.005,"Above technical",IF($CY177&lt;-0.005,"BELOW technical","At technical"))))</f>
        <v/>
      </c>
      <c r="DA177" s="99"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4"/>
      <c r="DC177" s="94"/>
      <c r="DD177" s="95"/>
      <c r="DE177" s="94"/>
      <c r="DF177" s="94"/>
      <c r="DG177" s="99" t="str">
        <f t="shared" si="38"/>
        <v/>
      </c>
      <c r="DH177" s="99" t="str">
        <f>IF($A177="","",IF(OR($CX177="REFER",$CX177="DECLINE"),COUNTIF($CX$5:$CX177,"REFER")+COUNTIF($CX$5:$CX177,"DECLINE"),""))</f>
        <v/>
      </c>
      <c r="DI177" s="94"/>
    </row>
    <row r="178" spans="1:113" x14ac:dyDescent="0.35">
      <c r="A178" s="94"/>
      <c r="B178" s="94"/>
      <c r="C178" s="95"/>
      <c r="D178" s="95"/>
      <c r="E178" s="96"/>
      <c r="F178" s="94"/>
      <c r="G178" s="94"/>
      <c r="H178" s="94"/>
      <c r="I178" s="94"/>
      <c r="J178" s="97"/>
      <c r="K178" s="94"/>
      <c r="L178" s="94"/>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8"/>
      <c r="AR178" s="99" t="str">
        <f t="shared" si="26"/>
        <v/>
      </c>
      <c r="AS178" s="99" t="str">
        <f>IF($A178="","",IF($AP178&lt;&gt;"",$AP178,IFERROR(INDEX('Cat Zone by ZIP'!$D$6:$D$856,MATCH($AR178,'Cat Zone by ZIP'!$B$6:$B$856,0)),IFERROR(INDEX('Cat Zone by ZIP'!$C$860:$C$910,MATCH($K178,'Cat Zone by ZIP'!$B$860:$B$910,0)),"NOT FOUND"))))</f>
        <v/>
      </c>
      <c r="AT178" s="99" t="str">
        <f>IF($A178="","",IF($AP178&lt;&gt;"","Override",IF(ISNUMBER(MATCH($AR178,'Cat Zone by ZIP'!$B$6:$B$856,0)),"ZIP-3","State default")))</f>
        <v/>
      </c>
      <c r="AU178" s="100" t="str">
        <f>IF($A178="","",IFERROR(INDEX('Natural Catastrophe'!$D$6:$D$17,MATCH($AS178,'Natural Catastrophe'!$B$6:$B$17,0)),"?"))</f>
        <v/>
      </c>
      <c r="AV178" s="100" t="str">
        <f>IF($A178="","",IFERROR(INDEX('Natural Catastrophe'!$C$21:$C$26,MATCH($AA178,'Natural Catastrophe'!$B$21:$B$26,0)),"?"))</f>
        <v/>
      </c>
      <c r="AW178" s="99" t="str">
        <f>IF($A178="","",IFERROR(INDEX('Base Rates'!$C$4:$I$4,MATCH(MAX($J178,'Technical Premium'!$C$18),'Base Rates'!$C$3:$I$3,1)),"?"))</f>
        <v/>
      </c>
      <c r="AX178" s="101" t="str">
        <f>IF($A178="","",IFERROR(INDEX('Base Rates'!$C$5:$I$16,MATCH($I178,'Base Rates'!$B$5:$B$16,0),MATCH(MAX($J178,'Technical Premium'!$C$18),'Base Rates'!$C$3:$I$3,1)),"?"))</f>
        <v/>
      </c>
      <c r="AY178" s="102" t="str">
        <f t="shared" si="27"/>
        <v/>
      </c>
      <c r="AZ178" s="99" t="str">
        <f>IF($A178="","",IFERROR(INDEX('Make Factors'!$G$5:$G$69,MATCH($F178,'Make Factors'!$B$5:$B$69,0)),"?"))</f>
        <v/>
      </c>
      <c r="BA178" s="99" t="str">
        <f>IF($A178="","",IFERROR(INDEX('Driver Factors'!$C$6:$C$15,MATCH($R178,'Driver Factors'!$B$6:$B$15,0)),"?"))</f>
        <v/>
      </c>
      <c r="BB178" s="99" t="str">
        <f>IF($A178="","",IFERROR(INDEX('Driver Factors'!$C$19:$C$24,MATCH($S178,'Driver Factors'!$B$19:$B$24,0)),"?"))</f>
        <v/>
      </c>
      <c r="BC178" s="99" t="str">
        <f>IF($A178="","",IFERROR(INDEX('Driver Factors'!$C$28:$C$36,MATCH($T178,'Driver Factors'!$B$28:$B$36,0)),"?"))</f>
        <v/>
      </c>
      <c r="BD178" s="99" t="str">
        <f>IF($A178="","",IFERROR(INDEX('Claims History'!$C$6:$C$15,MATCH($U178,'Claims History'!$B$6:$B$15,0)),"?"))</f>
        <v/>
      </c>
      <c r="BE178" s="99" t="str">
        <f>IF($A178="","",IFERROR(INDEX('Territory Factors'!$E$6:$E$56,MATCH($K178,'Territory Factors'!$B$6:$B$56,0)),"?"))</f>
        <v/>
      </c>
      <c r="BF178" s="99" t="str">
        <f>IF($A178="","",IFERROR(INDEX('City Accident Ratings'!$G$6:$G$54,MATCH($Z178,'City Accident Ratings'!$B$6:$B$54,0)),"?"))</f>
        <v/>
      </c>
      <c r="BG178" s="99" t="str">
        <f>IF($A178="","",IFERROR(INDEX('Usage and Coverage'!$D$6:$D$20,MATCH($N178,'Usage and Coverage'!$C$6:$C$20,0)),"?"))</f>
        <v/>
      </c>
      <c r="BH178" s="99" t="str">
        <f>IF($A178="","",IFERROR(INDEX('Usage and Coverage'!$C$24:$C$30,MATCH($O178,'Usage and Coverage'!$B$24:$B$30,0)),"?"))</f>
        <v/>
      </c>
      <c r="BI178" s="99" t="str">
        <f>IF($A178="","",IFERROR(INDEX('Usage and Coverage'!$C$34:$C$40,MATCH($P178,'Usage and Coverage'!$B$34:$B$40,0)),"?"))</f>
        <v/>
      </c>
      <c r="BJ178" s="99" t="str">
        <f>IF($A178="","",IFERROR(INDEX('Usage and Coverage'!$C$44:$C$49,MATCH($Q178,'Usage and Coverage'!$B$44:$B$49,0)),"?"))</f>
        <v/>
      </c>
      <c r="BK178" s="99" t="str">
        <f>IF($A178="","",IFERROR(INDEX(Deductibles!$C$6:$I$15,MATCH($W178,Deductibles!$B$6:$B$15,0),MATCH(MAX($J178,'Technical Premium'!$C$18),'Base Rates'!$C$3:$I$3,1)),"?"))</f>
        <v/>
      </c>
      <c r="BL178" s="99" t="str">
        <f>IF($A178="","",IFERROR(INDEX('Usage and Coverage'!$C$63:$C$66,MATCH($X178,'Usage and Coverage'!$B$63:$B$66,0)),"?"))</f>
        <v/>
      </c>
      <c r="BM178" s="99" t="str">
        <f>IF($A178="","",IFERROR(INDEX('Usage and Coverage'!$C$70:$C$75,MATCH($V178,'Usage and Coverage'!$B$70:$B$75,0)),"?"))</f>
        <v/>
      </c>
      <c r="BN178" s="99" t="str">
        <f>IF($A178="","",IF($AB178="",1,IFERROR(INDEX(Deductibles!$C$48:$C$51,MATCH($AB178,Deductibles!$B$48:$B$51,0)),"?")))</f>
        <v/>
      </c>
      <c r="BO178" s="99" t="str">
        <f>IF($A178="","",IF($AC178="",1,IFERROR(INDEX(Deductibles!$C$55:$C$57,MATCH($AC178,Deductibles!$B$55:$B$57,0)),"?")))</f>
        <v/>
      </c>
      <c r="BP178" s="99" t="str">
        <f>IF($A178="","",IF($AD178="",1,IFERROR(INDEX(Deductibles!$C$61:$C$63,MATCH($AD178,Deductibles!$B$61:$B$63,0)),"?")))</f>
        <v/>
      </c>
      <c r="BQ178" s="99" t="str">
        <f>IF($A178="","",IF($AE178="",1,IFERROR(INDEX(Deductibles!$C$67:$C$69,MATCH($AE178,Deductibles!$B$67:$B$69,0)),"?")))</f>
        <v/>
      </c>
      <c r="BR178" s="99" t="str">
        <f>IF($A178="","",IF($AF178="",1,IFERROR(INDEX(Deductibles!$C$73:$C$74,MATCH($AF178,Deductibles!$B$73:$B$74,0)),"?")))</f>
        <v/>
      </c>
      <c r="BS178" s="99" t="str">
        <f>IF($A178="","",IF($AG178="",1,IFERROR(INDEX('Sublimits and Parts'!$C$49:$C$52,MATCH($AG178,'Sublimits and Parts'!$B$49:$B$52,0)),"?")))</f>
        <v/>
      </c>
      <c r="BT178" s="99" t="str">
        <f>IF($A178="","",IF($AH178="",1,IFERROR(INDEX('Sublimits and Parts'!$C$56:$C$60,MATCH($AH178,'Sublimits and Parts'!$B$56:$B$60,0)),"?")))</f>
        <v/>
      </c>
      <c r="BU178" s="99" t="str">
        <f>IF($A178="","",IF($AI178="",1,IFERROR(INDEX('Sublimits and Parts'!$C$64:$C$67,MATCH($AI178,'Sublimits and Parts'!$B$64:$B$67,0)),"?")))</f>
        <v/>
      </c>
      <c r="BV178" s="99" t="str">
        <f>IF($A178="","",IF($AJ178="",1,IFERROR(INDEX('Sublimits and Parts'!$C$71:$C$74,MATCH($AJ178,'Sublimits and Parts'!$B$71:$B$74,0)),"?")))</f>
        <v/>
      </c>
      <c r="BW178" s="99" t="str">
        <f>IF($A178="","",IF($AK178="",1,IFERROR(INDEX('Sublimits and Parts'!$C$78:$C$80,MATCH($AK178,'Sublimits and Parts'!$B$78:$B$80,0)),"?")))</f>
        <v/>
      </c>
      <c r="BX178" s="99" t="str">
        <f>IF($A178="","",IF($AL178="",1,IFERROR(INDEX('Sublimits and Parts'!$C$84:$C$87,MATCH($AL178,'Sublimits and Parts'!$B$84:$B$87,0)),"?")))</f>
        <v/>
      </c>
      <c r="BY178" s="99" t="str">
        <f>IF($A178="","",IF($AM178="",1,IFERROR(INDEX('Sublimits and Parts'!$C$91:$C$94,MATCH($AM178,'Sublimits and Parts'!$B$91:$B$94,0)),"?")))</f>
        <v/>
      </c>
      <c r="BZ178" s="99" t="str">
        <f>IF($A178="","",IF($AN178="",1,IFERROR(INDEX('Sublimits and Parts'!$C$98:$C$101,MATCH($AN178,'Sublimits and Parts'!$B$98:$B$101,0)),"?")))</f>
        <v/>
      </c>
      <c r="CA178" s="99" t="str">
        <f>IF($A178="","",IF($AO178="",1,IFERROR(INDEX('Sublimits and Parts'!$C$105:$C$109,MATCH($AO178,'Sublimits and Parts'!$B$105:$B$109,0)),"?")))</f>
        <v/>
      </c>
      <c r="CB178" s="100" t="str">
        <f t="shared" si="28"/>
        <v/>
      </c>
      <c r="CC178" s="100" t="str">
        <f t="shared" si="29"/>
        <v/>
      </c>
      <c r="CD178" s="103" t="str">
        <f>IF($A178="","",IF(OR($CB178="?",$CC178="?"),"?",MIN($CB178*$CC178,'Technical Premium'!$C$17)))</f>
        <v/>
      </c>
      <c r="CE178" s="102" t="str">
        <f t="shared" si="30"/>
        <v/>
      </c>
      <c r="CF178" s="102" t="str">
        <f>IF($A178="","",IFERROR(INDEX('Territory Factors'!$F$6:$F$56,MATCH($K178,'Territory Factors'!$B$6:$B$56,0)),"?"))</f>
        <v/>
      </c>
      <c r="CG178" s="100" t="str">
        <f>IF($A178="","",IFERROR(INDEX('Usage and Coverage'!$C$79:$C$84,MATCH($Y178,'Usage and Coverage'!$B$79:$B$84,0)),"?"))</f>
        <v/>
      </c>
      <c r="CH178" s="102" t="str">
        <f>IFERROR(IF(ISNUMBER($CD178),$CF178*$CG178*MIN($BG178*$BA178*$BC178*$BD178*$BH178*$BF178,'Technical Premium'!$C$17),""),"")</f>
        <v/>
      </c>
      <c r="CI178" s="102" t="str">
        <f t="shared" si="31"/>
        <v/>
      </c>
      <c r="CJ178" s="102" t="str">
        <f>IFERROR($CI178*(1+'Technical Premium'!$C$5)*(1+'Technical Premium'!$C$6),"")</f>
        <v/>
      </c>
      <c r="CK178" s="102" t="str">
        <f>IFERROR($CE178*INDEX('Territory Factors'!$G$6:$G$56,MATCH($K178,'Territory Factors'!$B$6:$B$56,0))*$AU178*$AV178,"")</f>
        <v/>
      </c>
      <c r="CL178" s="102" t="str">
        <f>IFERROR(($CJ178+$CK178)*(1+'Technical Premium'!$C$7),"")</f>
        <v/>
      </c>
      <c r="CM178" s="104" t="str">
        <f>IFERROR($CL178/'Technical Premium'!$C$13,"")</f>
        <v/>
      </c>
      <c r="CN178" s="105" t="str">
        <f t="shared" si="32"/>
        <v/>
      </c>
      <c r="CO178" s="104" t="str">
        <f t="shared" si="33"/>
        <v/>
      </c>
      <c r="CP178" s="105" t="str">
        <f t="shared" si="34"/>
        <v/>
      </c>
      <c r="CQ178" s="106" t="str">
        <f t="shared" si="35"/>
        <v/>
      </c>
      <c r="CR178" s="102" t="str">
        <f>IF(ISNUMBER($CM178),'Technical Premium'!$C$14+IF($J178&gt;=1000000,'Technical Premium'!$C$15,0),"")</f>
        <v/>
      </c>
      <c r="CS178" s="102" t="str">
        <f>IFERROR(($CO178+$CR178)*(INDEX('Territory Factors'!$K$6:$K$56,MATCH($K178,'Territory Factors'!$B$6:$B$56,0))+'Commission Structure'!$C$21),"")</f>
        <v/>
      </c>
      <c r="CT178" s="104" t="str">
        <f t="shared" si="36"/>
        <v/>
      </c>
      <c r="CU178" s="102" t="str">
        <f>IFERROR($CO178*('Commission Structure'!$C$6+'Commission Structure'!$C$7),"")</f>
        <v/>
      </c>
      <c r="CV178" s="102" t="str">
        <f>IFERROR($CO178*'Commission Structure'!$C$5-$CU178,"")</f>
        <v/>
      </c>
      <c r="CW178" s="102" t="str">
        <f>IFERROR($CO178*(1-'Commission Structure'!$C$5),"")</f>
        <v/>
      </c>
      <c r="CX178" s="107"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8" t="str">
        <f t="shared" si="37"/>
        <v/>
      </c>
      <c r="CZ178" s="99" t="str">
        <f>IF($CY178="","",IF($CY178&lt;'Technical Premium'!$C$19,"BEYOND AUTHORITY",IF($CY178&gt;0.005,"Above technical",IF($CY178&lt;-0.005,"BELOW technical","At technical"))))</f>
        <v/>
      </c>
      <c r="DA178" s="99"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4"/>
      <c r="DC178" s="94"/>
      <c r="DD178" s="95"/>
      <c r="DE178" s="94"/>
      <c r="DF178" s="94"/>
      <c r="DG178" s="99" t="str">
        <f t="shared" si="38"/>
        <v/>
      </c>
      <c r="DH178" s="99" t="str">
        <f>IF($A178="","",IF(OR($CX178="REFER",$CX178="DECLINE"),COUNTIF($CX$5:$CX178,"REFER")+COUNTIF($CX$5:$CX178,"DECLINE"),""))</f>
        <v/>
      </c>
      <c r="DI178" s="94"/>
    </row>
    <row r="179" spans="1:113" x14ac:dyDescent="0.35">
      <c r="A179" s="94"/>
      <c r="B179" s="94"/>
      <c r="C179" s="95"/>
      <c r="D179" s="95"/>
      <c r="E179" s="96"/>
      <c r="F179" s="94"/>
      <c r="G179" s="94"/>
      <c r="H179" s="94"/>
      <c r="I179" s="94"/>
      <c r="J179" s="97"/>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8"/>
      <c r="AR179" s="99" t="str">
        <f t="shared" si="26"/>
        <v/>
      </c>
      <c r="AS179" s="99" t="str">
        <f>IF($A179="","",IF($AP179&lt;&gt;"",$AP179,IFERROR(INDEX('Cat Zone by ZIP'!$D$6:$D$856,MATCH($AR179,'Cat Zone by ZIP'!$B$6:$B$856,0)),IFERROR(INDEX('Cat Zone by ZIP'!$C$860:$C$910,MATCH($K179,'Cat Zone by ZIP'!$B$860:$B$910,0)),"NOT FOUND"))))</f>
        <v/>
      </c>
      <c r="AT179" s="99" t="str">
        <f>IF($A179="","",IF($AP179&lt;&gt;"","Override",IF(ISNUMBER(MATCH($AR179,'Cat Zone by ZIP'!$B$6:$B$856,0)),"ZIP-3","State default")))</f>
        <v/>
      </c>
      <c r="AU179" s="100" t="str">
        <f>IF($A179="","",IFERROR(INDEX('Natural Catastrophe'!$D$6:$D$17,MATCH($AS179,'Natural Catastrophe'!$B$6:$B$17,0)),"?"))</f>
        <v/>
      </c>
      <c r="AV179" s="100" t="str">
        <f>IF($A179="","",IFERROR(INDEX('Natural Catastrophe'!$C$21:$C$26,MATCH($AA179,'Natural Catastrophe'!$B$21:$B$26,0)),"?"))</f>
        <v/>
      </c>
      <c r="AW179" s="99" t="str">
        <f>IF($A179="","",IFERROR(INDEX('Base Rates'!$C$4:$I$4,MATCH(MAX($J179,'Technical Premium'!$C$18),'Base Rates'!$C$3:$I$3,1)),"?"))</f>
        <v/>
      </c>
      <c r="AX179" s="101" t="str">
        <f>IF($A179="","",IFERROR(INDEX('Base Rates'!$C$5:$I$16,MATCH($I179,'Base Rates'!$B$5:$B$16,0),MATCH(MAX($J179,'Technical Premium'!$C$18),'Base Rates'!$C$3:$I$3,1)),"?"))</f>
        <v/>
      </c>
      <c r="AY179" s="102" t="str">
        <f t="shared" si="27"/>
        <v/>
      </c>
      <c r="AZ179" s="99" t="str">
        <f>IF($A179="","",IFERROR(INDEX('Make Factors'!$G$5:$G$69,MATCH($F179,'Make Factors'!$B$5:$B$69,0)),"?"))</f>
        <v/>
      </c>
      <c r="BA179" s="99" t="str">
        <f>IF($A179="","",IFERROR(INDEX('Driver Factors'!$C$6:$C$15,MATCH($R179,'Driver Factors'!$B$6:$B$15,0)),"?"))</f>
        <v/>
      </c>
      <c r="BB179" s="99" t="str">
        <f>IF($A179="","",IFERROR(INDEX('Driver Factors'!$C$19:$C$24,MATCH($S179,'Driver Factors'!$B$19:$B$24,0)),"?"))</f>
        <v/>
      </c>
      <c r="BC179" s="99" t="str">
        <f>IF($A179="","",IFERROR(INDEX('Driver Factors'!$C$28:$C$36,MATCH($T179,'Driver Factors'!$B$28:$B$36,0)),"?"))</f>
        <v/>
      </c>
      <c r="BD179" s="99" t="str">
        <f>IF($A179="","",IFERROR(INDEX('Claims History'!$C$6:$C$15,MATCH($U179,'Claims History'!$B$6:$B$15,0)),"?"))</f>
        <v/>
      </c>
      <c r="BE179" s="99" t="str">
        <f>IF($A179="","",IFERROR(INDEX('Territory Factors'!$E$6:$E$56,MATCH($K179,'Territory Factors'!$B$6:$B$56,0)),"?"))</f>
        <v/>
      </c>
      <c r="BF179" s="99" t="str">
        <f>IF($A179="","",IFERROR(INDEX('City Accident Ratings'!$G$6:$G$54,MATCH($Z179,'City Accident Ratings'!$B$6:$B$54,0)),"?"))</f>
        <v/>
      </c>
      <c r="BG179" s="99" t="str">
        <f>IF($A179="","",IFERROR(INDEX('Usage and Coverage'!$D$6:$D$20,MATCH($N179,'Usage and Coverage'!$C$6:$C$20,0)),"?"))</f>
        <v/>
      </c>
      <c r="BH179" s="99" t="str">
        <f>IF($A179="","",IFERROR(INDEX('Usage and Coverage'!$C$24:$C$30,MATCH($O179,'Usage and Coverage'!$B$24:$B$30,0)),"?"))</f>
        <v/>
      </c>
      <c r="BI179" s="99" t="str">
        <f>IF($A179="","",IFERROR(INDEX('Usage and Coverage'!$C$34:$C$40,MATCH($P179,'Usage and Coverage'!$B$34:$B$40,0)),"?"))</f>
        <v/>
      </c>
      <c r="BJ179" s="99" t="str">
        <f>IF($A179="","",IFERROR(INDEX('Usage and Coverage'!$C$44:$C$49,MATCH($Q179,'Usage and Coverage'!$B$44:$B$49,0)),"?"))</f>
        <v/>
      </c>
      <c r="BK179" s="99" t="str">
        <f>IF($A179="","",IFERROR(INDEX(Deductibles!$C$6:$I$15,MATCH($W179,Deductibles!$B$6:$B$15,0),MATCH(MAX($J179,'Technical Premium'!$C$18),'Base Rates'!$C$3:$I$3,1)),"?"))</f>
        <v/>
      </c>
      <c r="BL179" s="99" t="str">
        <f>IF($A179="","",IFERROR(INDEX('Usage and Coverage'!$C$63:$C$66,MATCH($X179,'Usage and Coverage'!$B$63:$B$66,0)),"?"))</f>
        <v/>
      </c>
      <c r="BM179" s="99" t="str">
        <f>IF($A179="","",IFERROR(INDEX('Usage and Coverage'!$C$70:$C$75,MATCH($V179,'Usage and Coverage'!$B$70:$B$75,0)),"?"))</f>
        <v/>
      </c>
      <c r="BN179" s="99" t="str">
        <f>IF($A179="","",IF($AB179="",1,IFERROR(INDEX(Deductibles!$C$48:$C$51,MATCH($AB179,Deductibles!$B$48:$B$51,0)),"?")))</f>
        <v/>
      </c>
      <c r="BO179" s="99" t="str">
        <f>IF($A179="","",IF($AC179="",1,IFERROR(INDEX(Deductibles!$C$55:$C$57,MATCH($AC179,Deductibles!$B$55:$B$57,0)),"?")))</f>
        <v/>
      </c>
      <c r="BP179" s="99" t="str">
        <f>IF($A179="","",IF($AD179="",1,IFERROR(INDEX(Deductibles!$C$61:$C$63,MATCH($AD179,Deductibles!$B$61:$B$63,0)),"?")))</f>
        <v/>
      </c>
      <c r="BQ179" s="99" t="str">
        <f>IF($A179="","",IF($AE179="",1,IFERROR(INDEX(Deductibles!$C$67:$C$69,MATCH($AE179,Deductibles!$B$67:$B$69,0)),"?")))</f>
        <v/>
      </c>
      <c r="BR179" s="99" t="str">
        <f>IF($A179="","",IF($AF179="",1,IFERROR(INDEX(Deductibles!$C$73:$C$74,MATCH($AF179,Deductibles!$B$73:$B$74,0)),"?")))</f>
        <v/>
      </c>
      <c r="BS179" s="99" t="str">
        <f>IF($A179="","",IF($AG179="",1,IFERROR(INDEX('Sublimits and Parts'!$C$49:$C$52,MATCH($AG179,'Sublimits and Parts'!$B$49:$B$52,0)),"?")))</f>
        <v/>
      </c>
      <c r="BT179" s="99" t="str">
        <f>IF($A179="","",IF($AH179="",1,IFERROR(INDEX('Sublimits and Parts'!$C$56:$C$60,MATCH($AH179,'Sublimits and Parts'!$B$56:$B$60,0)),"?")))</f>
        <v/>
      </c>
      <c r="BU179" s="99" t="str">
        <f>IF($A179="","",IF($AI179="",1,IFERROR(INDEX('Sublimits and Parts'!$C$64:$C$67,MATCH($AI179,'Sublimits and Parts'!$B$64:$B$67,0)),"?")))</f>
        <v/>
      </c>
      <c r="BV179" s="99" t="str">
        <f>IF($A179="","",IF($AJ179="",1,IFERROR(INDEX('Sublimits and Parts'!$C$71:$C$74,MATCH($AJ179,'Sublimits and Parts'!$B$71:$B$74,0)),"?")))</f>
        <v/>
      </c>
      <c r="BW179" s="99" t="str">
        <f>IF($A179="","",IF($AK179="",1,IFERROR(INDEX('Sublimits and Parts'!$C$78:$C$80,MATCH($AK179,'Sublimits and Parts'!$B$78:$B$80,0)),"?")))</f>
        <v/>
      </c>
      <c r="BX179" s="99" t="str">
        <f>IF($A179="","",IF($AL179="",1,IFERROR(INDEX('Sublimits and Parts'!$C$84:$C$87,MATCH($AL179,'Sublimits and Parts'!$B$84:$B$87,0)),"?")))</f>
        <v/>
      </c>
      <c r="BY179" s="99" t="str">
        <f>IF($A179="","",IF($AM179="",1,IFERROR(INDEX('Sublimits and Parts'!$C$91:$C$94,MATCH($AM179,'Sublimits and Parts'!$B$91:$B$94,0)),"?")))</f>
        <v/>
      </c>
      <c r="BZ179" s="99" t="str">
        <f>IF($A179="","",IF($AN179="",1,IFERROR(INDEX('Sublimits and Parts'!$C$98:$C$101,MATCH($AN179,'Sublimits and Parts'!$B$98:$B$101,0)),"?")))</f>
        <v/>
      </c>
      <c r="CA179" s="99" t="str">
        <f>IF($A179="","",IF($AO179="",1,IFERROR(INDEX('Sublimits and Parts'!$C$105:$C$109,MATCH($AO179,'Sublimits and Parts'!$B$105:$B$109,0)),"?")))</f>
        <v/>
      </c>
      <c r="CB179" s="100" t="str">
        <f t="shared" si="28"/>
        <v/>
      </c>
      <c r="CC179" s="100" t="str">
        <f t="shared" si="29"/>
        <v/>
      </c>
      <c r="CD179" s="103" t="str">
        <f>IF($A179="","",IF(OR($CB179="?",$CC179="?"),"?",MIN($CB179*$CC179,'Technical Premium'!$C$17)))</f>
        <v/>
      </c>
      <c r="CE179" s="102" t="str">
        <f t="shared" si="30"/>
        <v/>
      </c>
      <c r="CF179" s="102" t="str">
        <f>IF($A179="","",IFERROR(INDEX('Territory Factors'!$F$6:$F$56,MATCH($K179,'Territory Factors'!$B$6:$B$56,0)),"?"))</f>
        <v/>
      </c>
      <c r="CG179" s="100" t="str">
        <f>IF($A179="","",IFERROR(INDEX('Usage and Coverage'!$C$79:$C$84,MATCH($Y179,'Usage and Coverage'!$B$79:$B$84,0)),"?"))</f>
        <v/>
      </c>
      <c r="CH179" s="102" t="str">
        <f>IFERROR(IF(ISNUMBER($CD179),$CF179*$CG179*MIN($BG179*$BA179*$BC179*$BD179*$BH179*$BF179,'Technical Premium'!$C$17),""),"")</f>
        <v/>
      </c>
      <c r="CI179" s="102" t="str">
        <f t="shared" si="31"/>
        <v/>
      </c>
      <c r="CJ179" s="102" t="str">
        <f>IFERROR($CI179*(1+'Technical Premium'!$C$5)*(1+'Technical Premium'!$C$6),"")</f>
        <v/>
      </c>
      <c r="CK179" s="102" t="str">
        <f>IFERROR($CE179*INDEX('Territory Factors'!$G$6:$G$56,MATCH($K179,'Territory Factors'!$B$6:$B$56,0))*$AU179*$AV179,"")</f>
        <v/>
      </c>
      <c r="CL179" s="102" t="str">
        <f>IFERROR(($CJ179+$CK179)*(1+'Technical Premium'!$C$7),"")</f>
        <v/>
      </c>
      <c r="CM179" s="104" t="str">
        <f>IFERROR($CL179/'Technical Premium'!$C$13,"")</f>
        <v/>
      </c>
      <c r="CN179" s="105" t="str">
        <f t="shared" si="32"/>
        <v/>
      </c>
      <c r="CO179" s="104" t="str">
        <f t="shared" si="33"/>
        <v/>
      </c>
      <c r="CP179" s="105" t="str">
        <f t="shared" si="34"/>
        <v/>
      </c>
      <c r="CQ179" s="106" t="str">
        <f t="shared" si="35"/>
        <v/>
      </c>
      <c r="CR179" s="102" t="str">
        <f>IF(ISNUMBER($CM179),'Technical Premium'!$C$14+IF($J179&gt;=1000000,'Technical Premium'!$C$15,0),"")</f>
        <v/>
      </c>
      <c r="CS179" s="102" t="str">
        <f>IFERROR(($CO179+$CR179)*(INDEX('Territory Factors'!$K$6:$K$56,MATCH($K179,'Territory Factors'!$B$6:$B$56,0))+'Commission Structure'!$C$21),"")</f>
        <v/>
      </c>
      <c r="CT179" s="104" t="str">
        <f t="shared" si="36"/>
        <v/>
      </c>
      <c r="CU179" s="102" t="str">
        <f>IFERROR($CO179*('Commission Structure'!$C$6+'Commission Structure'!$C$7),"")</f>
        <v/>
      </c>
      <c r="CV179" s="102" t="str">
        <f>IFERROR($CO179*'Commission Structure'!$C$5-$CU179,"")</f>
        <v/>
      </c>
      <c r="CW179" s="102" t="str">
        <f>IFERROR($CO179*(1-'Commission Structure'!$C$5),"")</f>
        <v/>
      </c>
      <c r="CX179" s="107"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8" t="str">
        <f t="shared" si="37"/>
        <v/>
      </c>
      <c r="CZ179" s="99" t="str">
        <f>IF($CY179="","",IF($CY179&lt;'Technical Premium'!$C$19,"BEYOND AUTHORITY",IF($CY179&gt;0.005,"Above technical",IF($CY179&lt;-0.005,"BELOW technical","At technical"))))</f>
        <v/>
      </c>
      <c r="DA179" s="99"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4"/>
      <c r="DC179" s="94"/>
      <c r="DD179" s="95"/>
      <c r="DE179" s="94"/>
      <c r="DF179" s="94"/>
      <c r="DG179" s="99" t="str">
        <f t="shared" si="38"/>
        <v/>
      </c>
      <c r="DH179" s="99" t="str">
        <f>IF($A179="","",IF(OR($CX179="REFER",$CX179="DECLINE"),COUNTIF($CX$5:$CX179,"REFER")+COUNTIF($CX$5:$CX179,"DECLINE"),""))</f>
        <v/>
      </c>
      <c r="DI179" s="94"/>
    </row>
    <row r="180" spans="1:113" x14ac:dyDescent="0.35">
      <c r="A180" s="94"/>
      <c r="B180" s="94"/>
      <c r="C180" s="95"/>
      <c r="D180" s="95"/>
      <c r="E180" s="96"/>
      <c r="F180" s="94"/>
      <c r="G180" s="94"/>
      <c r="H180" s="94"/>
      <c r="I180" s="94"/>
      <c r="J180" s="97"/>
      <c r="K180" s="94"/>
      <c r="L180" s="94"/>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8"/>
      <c r="AR180" s="99" t="str">
        <f t="shared" si="26"/>
        <v/>
      </c>
      <c r="AS180" s="99" t="str">
        <f>IF($A180="","",IF($AP180&lt;&gt;"",$AP180,IFERROR(INDEX('Cat Zone by ZIP'!$D$6:$D$856,MATCH($AR180,'Cat Zone by ZIP'!$B$6:$B$856,0)),IFERROR(INDEX('Cat Zone by ZIP'!$C$860:$C$910,MATCH($K180,'Cat Zone by ZIP'!$B$860:$B$910,0)),"NOT FOUND"))))</f>
        <v/>
      </c>
      <c r="AT180" s="99" t="str">
        <f>IF($A180="","",IF($AP180&lt;&gt;"","Override",IF(ISNUMBER(MATCH($AR180,'Cat Zone by ZIP'!$B$6:$B$856,0)),"ZIP-3","State default")))</f>
        <v/>
      </c>
      <c r="AU180" s="100" t="str">
        <f>IF($A180="","",IFERROR(INDEX('Natural Catastrophe'!$D$6:$D$17,MATCH($AS180,'Natural Catastrophe'!$B$6:$B$17,0)),"?"))</f>
        <v/>
      </c>
      <c r="AV180" s="100" t="str">
        <f>IF($A180="","",IFERROR(INDEX('Natural Catastrophe'!$C$21:$C$26,MATCH($AA180,'Natural Catastrophe'!$B$21:$B$26,0)),"?"))</f>
        <v/>
      </c>
      <c r="AW180" s="99" t="str">
        <f>IF($A180="","",IFERROR(INDEX('Base Rates'!$C$4:$I$4,MATCH(MAX($J180,'Technical Premium'!$C$18),'Base Rates'!$C$3:$I$3,1)),"?"))</f>
        <v/>
      </c>
      <c r="AX180" s="101" t="str">
        <f>IF($A180="","",IFERROR(INDEX('Base Rates'!$C$5:$I$16,MATCH($I180,'Base Rates'!$B$5:$B$16,0),MATCH(MAX($J180,'Technical Premium'!$C$18),'Base Rates'!$C$3:$I$3,1)),"?"))</f>
        <v/>
      </c>
      <c r="AY180" s="102" t="str">
        <f t="shared" si="27"/>
        <v/>
      </c>
      <c r="AZ180" s="99" t="str">
        <f>IF($A180="","",IFERROR(INDEX('Make Factors'!$G$5:$G$69,MATCH($F180,'Make Factors'!$B$5:$B$69,0)),"?"))</f>
        <v/>
      </c>
      <c r="BA180" s="99" t="str">
        <f>IF($A180="","",IFERROR(INDEX('Driver Factors'!$C$6:$C$15,MATCH($R180,'Driver Factors'!$B$6:$B$15,0)),"?"))</f>
        <v/>
      </c>
      <c r="BB180" s="99" t="str">
        <f>IF($A180="","",IFERROR(INDEX('Driver Factors'!$C$19:$C$24,MATCH($S180,'Driver Factors'!$B$19:$B$24,0)),"?"))</f>
        <v/>
      </c>
      <c r="BC180" s="99" t="str">
        <f>IF($A180="","",IFERROR(INDEX('Driver Factors'!$C$28:$C$36,MATCH($T180,'Driver Factors'!$B$28:$B$36,0)),"?"))</f>
        <v/>
      </c>
      <c r="BD180" s="99" t="str">
        <f>IF($A180="","",IFERROR(INDEX('Claims History'!$C$6:$C$15,MATCH($U180,'Claims History'!$B$6:$B$15,0)),"?"))</f>
        <v/>
      </c>
      <c r="BE180" s="99" t="str">
        <f>IF($A180="","",IFERROR(INDEX('Territory Factors'!$E$6:$E$56,MATCH($K180,'Territory Factors'!$B$6:$B$56,0)),"?"))</f>
        <v/>
      </c>
      <c r="BF180" s="99" t="str">
        <f>IF($A180="","",IFERROR(INDEX('City Accident Ratings'!$G$6:$G$54,MATCH($Z180,'City Accident Ratings'!$B$6:$B$54,0)),"?"))</f>
        <v/>
      </c>
      <c r="BG180" s="99" t="str">
        <f>IF($A180="","",IFERROR(INDEX('Usage and Coverage'!$D$6:$D$20,MATCH($N180,'Usage and Coverage'!$C$6:$C$20,0)),"?"))</f>
        <v/>
      </c>
      <c r="BH180" s="99" t="str">
        <f>IF($A180="","",IFERROR(INDEX('Usage and Coverage'!$C$24:$C$30,MATCH($O180,'Usage and Coverage'!$B$24:$B$30,0)),"?"))</f>
        <v/>
      </c>
      <c r="BI180" s="99" t="str">
        <f>IF($A180="","",IFERROR(INDEX('Usage and Coverage'!$C$34:$C$40,MATCH($P180,'Usage and Coverage'!$B$34:$B$40,0)),"?"))</f>
        <v/>
      </c>
      <c r="BJ180" s="99" t="str">
        <f>IF($A180="","",IFERROR(INDEX('Usage and Coverage'!$C$44:$C$49,MATCH($Q180,'Usage and Coverage'!$B$44:$B$49,0)),"?"))</f>
        <v/>
      </c>
      <c r="BK180" s="99" t="str">
        <f>IF($A180="","",IFERROR(INDEX(Deductibles!$C$6:$I$15,MATCH($W180,Deductibles!$B$6:$B$15,0),MATCH(MAX($J180,'Technical Premium'!$C$18),'Base Rates'!$C$3:$I$3,1)),"?"))</f>
        <v/>
      </c>
      <c r="BL180" s="99" t="str">
        <f>IF($A180="","",IFERROR(INDEX('Usage and Coverage'!$C$63:$C$66,MATCH($X180,'Usage and Coverage'!$B$63:$B$66,0)),"?"))</f>
        <v/>
      </c>
      <c r="BM180" s="99" t="str">
        <f>IF($A180="","",IFERROR(INDEX('Usage and Coverage'!$C$70:$C$75,MATCH($V180,'Usage and Coverage'!$B$70:$B$75,0)),"?"))</f>
        <v/>
      </c>
      <c r="BN180" s="99" t="str">
        <f>IF($A180="","",IF($AB180="",1,IFERROR(INDEX(Deductibles!$C$48:$C$51,MATCH($AB180,Deductibles!$B$48:$B$51,0)),"?")))</f>
        <v/>
      </c>
      <c r="BO180" s="99" t="str">
        <f>IF($A180="","",IF($AC180="",1,IFERROR(INDEX(Deductibles!$C$55:$C$57,MATCH($AC180,Deductibles!$B$55:$B$57,0)),"?")))</f>
        <v/>
      </c>
      <c r="BP180" s="99" t="str">
        <f>IF($A180="","",IF($AD180="",1,IFERROR(INDEX(Deductibles!$C$61:$C$63,MATCH($AD180,Deductibles!$B$61:$B$63,0)),"?")))</f>
        <v/>
      </c>
      <c r="BQ180" s="99" t="str">
        <f>IF($A180="","",IF($AE180="",1,IFERROR(INDEX(Deductibles!$C$67:$C$69,MATCH($AE180,Deductibles!$B$67:$B$69,0)),"?")))</f>
        <v/>
      </c>
      <c r="BR180" s="99" t="str">
        <f>IF($A180="","",IF($AF180="",1,IFERROR(INDEX(Deductibles!$C$73:$C$74,MATCH($AF180,Deductibles!$B$73:$B$74,0)),"?")))</f>
        <v/>
      </c>
      <c r="BS180" s="99" t="str">
        <f>IF($A180="","",IF($AG180="",1,IFERROR(INDEX('Sublimits and Parts'!$C$49:$C$52,MATCH($AG180,'Sublimits and Parts'!$B$49:$B$52,0)),"?")))</f>
        <v/>
      </c>
      <c r="BT180" s="99" t="str">
        <f>IF($A180="","",IF($AH180="",1,IFERROR(INDEX('Sublimits and Parts'!$C$56:$C$60,MATCH($AH180,'Sublimits and Parts'!$B$56:$B$60,0)),"?")))</f>
        <v/>
      </c>
      <c r="BU180" s="99" t="str">
        <f>IF($A180="","",IF($AI180="",1,IFERROR(INDEX('Sublimits and Parts'!$C$64:$C$67,MATCH($AI180,'Sublimits and Parts'!$B$64:$B$67,0)),"?")))</f>
        <v/>
      </c>
      <c r="BV180" s="99" t="str">
        <f>IF($A180="","",IF($AJ180="",1,IFERROR(INDEX('Sublimits and Parts'!$C$71:$C$74,MATCH($AJ180,'Sublimits and Parts'!$B$71:$B$74,0)),"?")))</f>
        <v/>
      </c>
      <c r="BW180" s="99" t="str">
        <f>IF($A180="","",IF($AK180="",1,IFERROR(INDEX('Sublimits and Parts'!$C$78:$C$80,MATCH($AK180,'Sublimits and Parts'!$B$78:$B$80,0)),"?")))</f>
        <v/>
      </c>
      <c r="BX180" s="99" t="str">
        <f>IF($A180="","",IF($AL180="",1,IFERROR(INDEX('Sublimits and Parts'!$C$84:$C$87,MATCH($AL180,'Sublimits and Parts'!$B$84:$B$87,0)),"?")))</f>
        <v/>
      </c>
      <c r="BY180" s="99" t="str">
        <f>IF($A180="","",IF($AM180="",1,IFERROR(INDEX('Sublimits and Parts'!$C$91:$C$94,MATCH($AM180,'Sublimits and Parts'!$B$91:$B$94,0)),"?")))</f>
        <v/>
      </c>
      <c r="BZ180" s="99" t="str">
        <f>IF($A180="","",IF($AN180="",1,IFERROR(INDEX('Sublimits and Parts'!$C$98:$C$101,MATCH($AN180,'Sublimits and Parts'!$B$98:$B$101,0)),"?")))</f>
        <v/>
      </c>
      <c r="CA180" s="99" t="str">
        <f>IF($A180="","",IF($AO180="",1,IFERROR(INDEX('Sublimits and Parts'!$C$105:$C$109,MATCH($AO180,'Sublimits and Parts'!$B$105:$B$109,0)),"?")))</f>
        <v/>
      </c>
      <c r="CB180" s="100" t="str">
        <f t="shared" si="28"/>
        <v/>
      </c>
      <c r="CC180" s="100" t="str">
        <f t="shared" si="29"/>
        <v/>
      </c>
      <c r="CD180" s="103" t="str">
        <f>IF($A180="","",IF(OR($CB180="?",$CC180="?"),"?",MIN($CB180*$CC180,'Technical Premium'!$C$17)))</f>
        <v/>
      </c>
      <c r="CE180" s="102" t="str">
        <f t="shared" si="30"/>
        <v/>
      </c>
      <c r="CF180" s="102" t="str">
        <f>IF($A180="","",IFERROR(INDEX('Territory Factors'!$F$6:$F$56,MATCH($K180,'Territory Factors'!$B$6:$B$56,0)),"?"))</f>
        <v/>
      </c>
      <c r="CG180" s="100" t="str">
        <f>IF($A180="","",IFERROR(INDEX('Usage and Coverage'!$C$79:$C$84,MATCH($Y180,'Usage and Coverage'!$B$79:$B$84,0)),"?"))</f>
        <v/>
      </c>
      <c r="CH180" s="102" t="str">
        <f>IFERROR(IF(ISNUMBER($CD180),$CF180*$CG180*MIN($BG180*$BA180*$BC180*$BD180*$BH180*$BF180,'Technical Premium'!$C$17),""),"")</f>
        <v/>
      </c>
      <c r="CI180" s="102" t="str">
        <f t="shared" si="31"/>
        <v/>
      </c>
      <c r="CJ180" s="102" t="str">
        <f>IFERROR($CI180*(1+'Technical Premium'!$C$5)*(1+'Technical Premium'!$C$6),"")</f>
        <v/>
      </c>
      <c r="CK180" s="102" t="str">
        <f>IFERROR($CE180*INDEX('Territory Factors'!$G$6:$G$56,MATCH($K180,'Territory Factors'!$B$6:$B$56,0))*$AU180*$AV180,"")</f>
        <v/>
      </c>
      <c r="CL180" s="102" t="str">
        <f>IFERROR(($CJ180+$CK180)*(1+'Technical Premium'!$C$7),"")</f>
        <v/>
      </c>
      <c r="CM180" s="104" t="str">
        <f>IFERROR($CL180/'Technical Premium'!$C$13,"")</f>
        <v/>
      </c>
      <c r="CN180" s="105" t="str">
        <f t="shared" si="32"/>
        <v/>
      </c>
      <c r="CO180" s="104" t="str">
        <f t="shared" si="33"/>
        <v/>
      </c>
      <c r="CP180" s="105" t="str">
        <f t="shared" si="34"/>
        <v/>
      </c>
      <c r="CQ180" s="106" t="str">
        <f t="shared" si="35"/>
        <v/>
      </c>
      <c r="CR180" s="102" t="str">
        <f>IF(ISNUMBER($CM180),'Technical Premium'!$C$14+IF($J180&gt;=1000000,'Technical Premium'!$C$15,0),"")</f>
        <v/>
      </c>
      <c r="CS180" s="102" t="str">
        <f>IFERROR(($CO180+$CR180)*(INDEX('Territory Factors'!$K$6:$K$56,MATCH($K180,'Territory Factors'!$B$6:$B$56,0))+'Commission Structure'!$C$21),"")</f>
        <v/>
      </c>
      <c r="CT180" s="104" t="str">
        <f t="shared" si="36"/>
        <v/>
      </c>
      <c r="CU180" s="102" t="str">
        <f>IFERROR($CO180*('Commission Structure'!$C$6+'Commission Structure'!$C$7),"")</f>
        <v/>
      </c>
      <c r="CV180" s="102" t="str">
        <f>IFERROR($CO180*'Commission Structure'!$C$5-$CU180,"")</f>
        <v/>
      </c>
      <c r="CW180" s="102" t="str">
        <f>IFERROR($CO180*(1-'Commission Structure'!$C$5),"")</f>
        <v/>
      </c>
      <c r="CX180" s="107"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8" t="str">
        <f t="shared" si="37"/>
        <v/>
      </c>
      <c r="CZ180" s="99" t="str">
        <f>IF($CY180="","",IF($CY180&lt;'Technical Premium'!$C$19,"BEYOND AUTHORITY",IF($CY180&gt;0.005,"Above technical",IF($CY180&lt;-0.005,"BELOW technical","At technical"))))</f>
        <v/>
      </c>
      <c r="DA180" s="99"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4"/>
      <c r="DC180" s="94"/>
      <c r="DD180" s="95"/>
      <c r="DE180" s="94"/>
      <c r="DF180" s="94"/>
      <c r="DG180" s="99" t="str">
        <f t="shared" si="38"/>
        <v/>
      </c>
      <c r="DH180" s="99" t="str">
        <f>IF($A180="","",IF(OR($CX180="REFER",$CX180="DECLINE"),COUNTIF($CX$5:$CX180,"REFER")+COUNTIF($CX$5:$CX180,"DECLINE"),""))</f>
        <v/>
      </c>
      <c r="DI180" s="94"/>
    </row>
    <row r="181" spans="1:113" x14ac:dyDescent="0.35">
      <c r="A181" s="94"/>
      <c r="B181" s="94"/>
      <c r="C181" s="95"/>
      <c r="D181" s="95"/>
      <c r="E181" s="96"/>
      <c r="F181" s="94"/>
      <c r="G181" s="94"/>
      <c r="H181" s="94"/>
      <c r="I181" s="94"/>
      <c r="J181" s="97"/>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8"/>
      <c r="AR181" s="99" t="str">
        <f t="shared" si="26"/>
        <v/>
      </c>
      <c r="AS181" s="99" t="str">
        <f>IF($A181="","",IF($AP181&lt;&gt;"",$AP181,IFERROR(INDEX('Cat Zone by ZIP'!$D$6:$D$856,MATCH($AR181,'Cat Zone by ZIP'!$B$6:$B$856,0)),IFERROR(INDEX('Cat Zone by ZIP'!$C$860:$C$910,MATCH($K181,'Cat Zone by ZIP'!$B$860:$B$910,0)),"NOT FOUND"))))</f>
        <v/>
      </c>
      <c r="AT181" s="99" t="str">
        <f>IF($A181="","",IF($AP181&lt;&gt;"","Override",IF(ISNUMBER(MATCH($AR181,'Cat Zone by ZIP'!$B$6:$B$856,0)),"ZIP-3","State default")))</f>
        <v/>
      </c>
      <c r="AU181" s="100" t="str">
        <f>IF($A181="","",IFERROR(INDEX('Natural Catastrophe'!$D$6:$D$17,MATCH($AS181,'Natural Catastrophe'!$B$6:$B$17,0)),"?"))</f>
        <v/>
      </c>
      <c r="AV181" s="100" t="str">
        <f>IF($A181="","",IFERROR(INDEX('Natural Catastrophe'!$C$21:$C$26,MATCH($AA181,'Natural Catastrophe'!$B$21:$B$26,0)),"?"))</f>
        <v/>
      </c>
      <c r="AW181" s="99" t="str">
        <f>IF($A181="","",IFERROR(INDEX('Base Rates'!$C$4:$I$4,MATCH(MAX($J181,'Technical Premium'!$C$18),'Base Rates'!$C$3:$I$3,1)),"?"))</f>
        <v/>
      </c>
      <c r="AX181" s="101" t="str">
        <f>IF($A181="","",IFERROR(INDEX('Base Rates'!$C$5:$I$16,MATCH($I181,'Base Rates'!$B$5:$B$16,0),MATCH(MAX($J181,'Technical Premium'!$C$18),'Base Rates'!$C$3:$I$3,1)),"?"))</f>
        <v/>
      </c>
      <c r="AY181" s="102" t="str">
        <f t="shared" si="27"/>
        <v/>
      </c>
      <c r="AZ181" s="99" t="str">
        <f>IF($A181="","",IFERROR(INDEX('Make Factors'!$G$5:$G$69,MATCH($F181,'Make Factors'!$B$5:$B$69,0)),"?"))</f>
        <v/>
      </c>
      <c r="BA181" s="99" t="str">
        <f>IF($A181="","",IFERROR(INDEX('Driver Factors'!$C$6:$C$15,MATCH($R181,'Driver Factors'!$B$6:$B$15,0)),"?"))</f>
        <v/>
      </c>
      <c r="BB181" s="99" t="str">
        <f>IF($A181="","",IFERROR(INDEX('Driver Factors'!$C$19:$C$24,MATCH($S181,'Driver Factors'!$B$19:$B$24,0)),"?"))</f>
        <v/>
      </c>
      <c r="BC181" s="99" t="str">
        <f>IF($A181="","",IFERROR(INDEX('Driver Factors'!$C$28:$C$36,MATCH($T181,'Driver Factors'!$B$28:$B$36,0)),"?"))</f>
        <v/>
      </c>
      <c r="BD181" s="99" t="str">
        <f>IF($A181="","",IFERROR(INDEX('Claims History'!$C$6:$C$15,MATCH($U181,'Claims History'!$B$6:$B$15,0)),"?"))</f>
        <v/>
      </c>
      <c r="BE181" s="99" t="str">
        <f>IF($A181="","",IFERROR(INDEX('Territory Factors'!$E$6:$E$56,MATCH($K181,'Territory Factors'!$B$6:$B$56,0)),"?"))</f>
        <v/>
      </c>
      <c r="BF181" s="99" t="str">
        <f>IF($A181="","",IFERROR(INDEX('City Accident Ratings'!$G$6:$G$54,MATCH($Z181,'City Accident Ratings'!$B$6:$B$54,0)),"?"))</f>
        <v/>
      </c>
      <c r="BG181" s="99" t="str">
        <f>IF($A181="","",IFERROR(INDEX('Usage and Coverage'!$D$6:$D$20,MATCH($N181,'Usage and Coverage'!$C$6:$C$20,0)),"?"))</f>
        <v/>
      </c>
      <c r="BH181" s="99" t="str">
        <f>IF($A181="","",IFERROR(INDEX('Usage and Coverage'!$C$24:$C$30,MATCH($O181,'Usage and Coverage'!$B$24:$B$30,0)),"?"))</f>
        <v/>
      </c>
      <c r="BI181" s="99" t="str">
        <f>IF($A181="","",IFERROR(INDEX('Usage and Coverage'!$C$34:$C$40,MATCH($P181,'Usage and Coverage'!$B$34:$B$40,0)),"?"))</f>
        <v/>
      </c>
      <c r="BJ181" s="99" t="str">
        <f>IF($A181="","",IFERROR(INDEX('Usage and Coverage'!$C$44:$C$49,MATCH($Q181,'Usage and Coverage'!$B$44:$B$49,0)),"?"))</f>
        <v/>
      </c>
      <c r="BK181" s="99" t="str">
        <f>IF($A181="","",IFERROR(INDEX(Deductibles!$C$6:$I$15,MATCH($W181,Deductibles!$B$6:$B$15,0),MATCH(MAX($J181,'Technical Premium'!$C$18),'Base Rates'!$C$3:$I$3,1)),"?"))</f>
        <v/>
      </c>
      <c r="BL181" s="99" t="str">
        <f>IF($A181="","",IFERROR(INDEX('Usage and Coverage'!$C$63:$C$66,MATCH($X181,'Usage and Coverage'!$B$63:$B$66,0)),"?"))</f>
        <v/>
      </c>
      <c r="BM181" s="99" t="str">
        <f>IF($A181="","",IFERROR(INDEX('Usage and Coverage'!$C$70:$C$75,MATCH($V181,'Usage and Coverage'!$B$70:$B$75,0)),"?"))</f>
        <v/>
      </c>
      <c r="BN181" s="99" t="str">
        <f>IF($A181="","",IF($AB181="",1,IFERROR(INDEX(Deductibles!$C$48:$C$51,MATCH($AB181,Deductibles!$B$48:$B$51,0)),"?")))</f>
        <v/>
      </c>
      <c r="BO181" s="99" t="str">
        <f>IF($A181="","",IF($AC181="",1,IFERROR(INDEX(Deductibles!$C$55:$C$57,MATCH($AC181,Deductibles!$B$55:$B$57,0)),"?")))</f>
        <v/>
      </c>
      <c r="BP181" s="99" t="str">
        <f>IF($A181="","",IF($AD181="",1,IFERROR(INDEX(Deductibles!$C$61:$C$63,MATCH($AD181,Deductibles!$B$61:$B$63,0)),"?")))</f>
        <v/>
      </c>
      <c r="BQ181" s="99" t="str">
        <f>IF($A181="","",IF($AE181="",1,IFERROR(INDEX(Deductibles!$C$67:$C$69,MATCH($AE181,Deductibles!$B$67:$B$69,0)),"?")))</f>
        <v/>
      </c>
      <c r="BR181" s="99" t="str">
        <f>IF($A181="","",IF($AF181="",1,IFERROR(INDEX(Deductibles!$C$73:$C$74,MATCH($AF181,Deductibles!$B$73:$B$74,0)),"?")))</f>
        <v/>
      </c>
      <c r="BS181" s="99" t="str">
        <f>IF($A181="","",IF($AG181="",1,IFERROR(INDEX('Sublimits and Parts'!$C$49:$C$52,MATCH($AG181,'Sublimits and Parts'!$B$49:$B$52,0)),"?")))</f>
        <v/>
      </c>
      <c r="BT181" s="99" t="str">
        <f>IF($A181="","",IF($AH181="",1,IFERROR(INDEX('Sublimits and Parts'!$C$56:$C$60,MATCH($AH181,'Sublimits and Parts'!$B$56:$B$60,0)),"?")))</f>
        <v/>
      </c>
      <c r="BU181" s="99" t="str">
        <f>IF($A181="","",IF($AI181="",1,IFERROR(INDEX('Sublimits and Parts'!$C$64:$C$67,MATCH($AI181,'Sublimits and Parts'!$B$64:$B$67,0)),"?")))</f>
        <v/>
      </c>
      <c r="BV181" s="99" t="str">
        <f>IF($A181="","",IF($AJ181="",1,IFERROR(INDEX('Sublimits and Parts'!$C$71:$C$74,MATCH($AJ181,'Sublimits and Parts'!$B$71:$B$74,0)),"?")))</f>
        <v/>
      </c>
      <c r="BW181" s="99" t="str">
        <f>IF($A181="","",IF($AK181="",1,IFERROR(INDEX('Sublimits and Parts'!$C$78:$C$80,MATCH($AK181,'Sublimits and Parts'!$B$78:$B$80,0)),"?")))</f>
        <v/>
      </c>
      <c r="BX181" s="99" t="str">
        <f>IF($A181="","",IF($AL181="",1,IFERROR(INDEX('Sublimits and Parts'!$C$84:$C$87,MATCH($AL181,'Sublimits and Parts'!$B$84:$B$87,0)),"?")))</f>
        <v/>
      </c>
      <c r="BY181" s="99" t="str">
        <f>IF($A181="","",IF($AM181="",1,IFERROR(INDEX('Sublimits and Parts'!$C$91:$C$94,MATCH($AM181,'Sublimits and Parts'!$B$91:$B$94,0)),"?")))</f>
        <v/>
      </c>
      <c r="BZ181" s="99" t="str">
        <f>IF($A181="","",IF($AN181="",1,IFERROR(INDEX('Sublimits and Parts'!$C$98:$C$101,MATCH($AN181,'Sublimits and Parts'!$B$98:$B$101,0)),"?")))</f>
        <v/>
      </c>
      <c r="CA181" s="99" t="str">
        <f>IF($A181="","",IF($AO181="",1,IFERROR(INDEX('Sublimits and Parts'!$C$105:$C$109,MATCH($AO181,'Sublimits and Parts'!$B$105:$B$109,0)),"?")))</f>
        <v/>
      </c>
      <c r="CB181" s="100" t="str">
        <f t="shared" si="28"/>
        <v/>
      </c>
      <c r="CC181" s="100" t="str">
        <f t="shared" si="29"/>
        <v/>
      </c>
      <c r="CD181" s="103" t="str">
        <f>IF($A181="","",IF(OR($CB181="?",$CC181="?"),"?",MIN($CB181*$CC181,'Technical Premium'!$C$17)))</f>
        <v/>
      </c>
      <c r="CE181" s="102" t="str">
        <f t="shared" si="30"/>
        <v/>
      </c>
      <c r="CF181" s="102" t="str">
        <f>IF($A181="","",IFERROR(INDEX('Territory Factors'!$F$6:$F$56,MATCH($K181,'Territory Factors'!$B$6:$B$56,0)),"?"))</f>
        <v/>
      </c>
      <c r="CG181" s="100" t="str">
        <f>IF($A181="","",IFERROR(INDEX('Usage and Coverage'!$C$79:$C$84,MATCH($Y181,'Usage and Coverage'!$B$79:$B$84,0)),"?"))</f>
        <v/>
      </c>
      <c r="CH181" s="102" t="str">
        <f>IFERROR(IF(ISNUMBER($CD181),$CF181*$CG181*MIN($BG181*$BA181*$BC181*$BD181*$BH181*$BF181,'Technical Premium'!$C$17),""),"")</f>
        <v/>
      </c>
      <c r="CI181" s="102" t="str">
        <f t="shared" si="31"/>
        <v/>
      </c>
      <c r="CJ181" s="102" t="str">
        <f>IFERROR($CI181*(1+'Technical Premium'!$C$5)*(1+'Technical Premium'!$C$6),"")</f>
        <v/>
      </c>
      <c r="CK181" s="102" t="str">
        <f>IFERROR($CE181*INDEX('Territory Factors'!$G$6:$G$56,MATCH($K181,'Territory Factors'!$B$6:$B$56,0))*$AU181*$AV181,"")</f>
        <v/>
      </c>
      <c r="CL181" s="102" t="str">
        <f>IFERROR(($CJ181+$CK181)*(1+'Technical Premium'!$C$7),"")</f>
        <v/>
      </c>
      <c r="CM181" s="104" t="str">
        <f>IFERROR($CL181/'Technical Premium'!$C$13,"")</f>
        <v/>
      </c>
      <c r="CN181" s="105" t="str">
        <f t="shared" si="32"/>
        <v/>
      </c>
      <c r="CO181" s="104" t="str">
        <f t="shared" si="33"/>
        <v/>
      </c>
      <c r="CP181" s="105" t="str">
        <f t="shared" si="34"/>
        <v/>
      </c>
      <c r="CQ181" s="106" t="str">
        <f t="shared" si="35"/>
        <v/>
      </c>
      <c r="CR181" s="102" t="str">
        <f>IF(ISNUMBER($CM181),'Technical Premium'!$C$14+IF($J181&gt;=1000000,'Technical Premium'!$C$15,0),"")</f>
        <v/>
      </c>
      <c r="CS181" s="102" t="str">
        <f>IFERROR(($CO181+$CR181)*(INDEX('Territory Factors'!$K$6:$K$56,MATCH($K181,'Territory Factors'!$B$6:$B$56,0))+'Commission Structure'!$C$21),"")</f>
        <v/>
      </c>
      <c r="CT181" s="104" t="str">
        <f t="shared" si="36"/>
        <v/>
      </c>
      <c r="CU181" s="102" t="str">
        <f>IFERROR($CO181*('Commission Structure'!$C$6+'Commission Structure'!$C$7),"")</f>
        <v/>
      </c>
      <c r="CV181" s="102" t="str">
        <f>IFERROR($CO181*'Commission Structure'!$C$5-$CU181,"")</f>
        <v/>
      </c>
      <c r="CW181" s="102" t="str">
        <f>IFERROR($CO181*(1-'Commission Structure'!$C$5),"")</f>
        <v/>
      </c>
      <c r="CX181" s="107"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8" t="str">
        <f t="shared" si="37"/>
        <v/>
      </c>
      <c r="CZ181" s="99" t="str">
        <f>IF($CY181="","",IF($CY181&lt;'Technical Premium'!$C$19,"BEYOND AUTHORITY",IF($CY181&gt;0.005,"Above technical",IF($CY181&lt;-0.005,"BELOW technical","At technical"))))</f>
        <v/>
      </c>
      <c r="DA181" s="99"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4"/>
      <c r="DC181" s="94"/>
      <c r="DD181" s="95"/>
      <c r="DE181" s="94"/>
      <c r="DF181" s="94"/>
      <c r="DG181" s="99" t="str">
        <f t="shared" si="38"/>
        <v/>
      </c>
      <c r="DH181" s="99" t="str">
        <f>IF($A181="","",IF(OR($CX181="REFER",$CX181="DECLINE"),COUNTIF($CX$5:$CX181,"REFER")+COUNTIF($CX$5:$CX181,"DECLINE"),""))</f>
        <v/>
      </c>
      <c r="DI181" s="94"/>
    </row>
    <row r="182" spans="1:113" x14ac:dyDescent="0.35">
      <c r="A182" s="94"/>
      <c r="B182" s="94"/>
      <c r="C182" s="95"/>
      <c r="D182" s="95"/>
      <c r="E182" s="96"/>
      <c r="F182" s="94"/>
      <c r="G182" s="94"/>
      <c r="H182" s="94"/>
      <c r="I182" s="94"/>
      <c r="J182" s="97"/>
      <c r="K182" s="94"/>
      <c r="L182" s="94"/>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8"/>
      <c r="AR182" s="99" t="str">
        <f t="shared" si="26"/>
        <v/>
      </c>
      <c r="AS182" s="99" t="str">
        <f>IF($A182="","",IF($AP182&lt;&gt;"",$AP182,IFERROR(INDEX('Cat Zone by ZIP'!$D$6:$D$856,MATCH($AR182,'Cat Zone by ZIP'!$B$6:$B$856,0)),IFERROR(INDEX('Cat Zone by ZIP'!$C$860:$C$910,MATCH($K182,'Cat Zone by ZIP'!$B$860:$B$910,0)),"NOT FOUND"))))</f>
        <v/>
      </c>
      <c r="AT182" s="99" t="str">
        <f>IF($A182="","",IF($AP182&lt;&gt;"","Override",IF(ISNUMBER(MATCH($AR182,'Cat Zone by ZIP'!$B$6:$B$856,0)),"ZIP-3","State default")))</f>
        <v/>
      </c>
      <c r="AU182" s="100" t="str">
        <f>IF($A182="","",IFERROR(INDEX('Natural Catastrophe'!$D$6:$D$17,MATCH($AS182,'Natural Catastrophe'!$B$6:$B$17,0)),"?"))</f>
        <v/>
      </c>
      <c r="AV182" s="100" t="str">
        <f>IF($A182="","",IFERROR(INDEX('Natural Catastrophe'!$C$21:$C$26,MATCH($AA182,'Natural Catastrophe'!$B$21:$B$26,0)),"?"))</f>
        <v/>
      </c>
      <c r="AW182" s="99" t="str">
        <f>IF($A182="","",IFERROR(INDEX('Base Rates'!$C$4:$I$4,MATCH(MAX($J182,'Technical Premium'!$C$18),'Base Rates'!$C$3:$I$3,1)),"?"))</f>
        <v/>
      </c>
      <c r="AX182" s="101" t="str">
        <f>IF($A182="","",IFERROR(INDEX('Base Rates'!$C$5:$I$16,MATCH($I182,'Base Rates'!$B$5:$B$16,0),MATCH(MAX($J182,'Technical Premium'!$C$18),'Base Rates'!$C$3:$I$3,1)),"?"))</f>
        <v/>
      </c>
      <c r="AY182" s="102" t="str">
        <f t="shared" si="27"/>
        <v/>
      </c>
      <c r="AZ182" s="99" t="str">
        <f>IF($A182="","",IFERROR(INDEX('Make Factors'!$G$5:$G$69,MATCH($F182,'Make Factors'!$B$5:$B$69,0)),"?"))</f>
        <v/>
      </c>
      <c r="BA182" s="99" t="str">
        <f>IF($A182="","",IFERROR(INDEX('Driver Factors'!$C$6:$C$15,MATCH($R182,'Driver Factors'!$B$6:$B$15,0)),"?"))</f>
        <v/>
      </c>
      <c r="BB182" s="99" t="str">
        <f>IF($A182="","",IFERROR(INDEX('Driver Factors'!$C$19:$C$24,MATCH($S182,'Driver Factors'!$B$19:$B$24,0)),"?"))</f>
        <v/>
      </c>
      <c r="BC182" s="99" t="str">
        <f>IF($A182="","",IFERROR(INDEX('Driver Factors'!$C$28:$C$36,MATCH($T182,'Driver Factors'!$B$28:$B$36,0)),"?"))</f>
        <v/>
      </c>
      <c r="BD182" s="99" t="str">
        <f>IF($A182="","",IFERROR(INDEX('Claims History'!$C$6:$C$15,MATCH($U182,'Claims History'!$B$6:$B$15,0)),"?"))</f>
        <v/>
      </c>
      <c r="BE182" s="99" t="str">
        <f>IF($A182="","",IFERROR(INDEX('Territory Factors'!$E$6:$E$56,MATCH($K182,'Territory Factors'!$B$6:$B$56,0)),"?"))</f>
        <v/>
      </c>
      <c r="BF182" s="99" t="str">
        <f>IF($A182="","",IFERROR(INDEX('City Accident Ratings'!$G$6:$G$54,MATCH($Z182,'City Accident Ratings'!$B$6:$B$54,0)),"?"))</f>
        <v/>
      </c>
      <c r="BG182" s="99" t="str">
        <f>IF($A182="","",IFERROR(INDEX('Usage and Coverage'!$D$6:$D$20,MATCH($N182,'Usage and Coverage'!$C$6:$C$20,0)),"?"))</f>
        <v/>
      </c>
      <c r="BH182" s="99" t="str">
        <f>IF($A182="","",IFERROR(INDEX('Usage and Coverage'!$C$24:$C$30,MATCH($O182,'Usage and Coverage'!$B$24:$B$30,0)),"?"))</f>
        <v/>
      </c>
      <c r="BI182" s="99" t="str">
        <f>IF($A182="","",IFERROR(INDEX('Usage and Coverage'!$C$34:$C$40,MATCH($P182,'Usage and Coverage'!$B$34:$B$40,0)),"?"))</f>
        <v/>
      </c>
      <c r="BJ182" s="99" t="str">
        <f>IF($A182="","",IFERROR(INDEX('Usage and Coverage'!$C$44:$C$49,MATCH($Q182,'Usage and Coverage'!$B$44:$B$49,0)),"?"))</f>
        <v/>
      </c>
      <c r="BK182" s="99" t="str">
        <f>IF($A182="","",IFERROR(INDEX(Deductibles!$C$6:$I$15,MATCH($W182,Deductibles!$B$6:$B$15,0),MATCH(MAX($J182,'Technical Premium'!$C$18),'Base Rates'!$C$3:$I$3,1)),"?"))</f>
        <v/>
      </c>
      <c r="BL182" s="99" t="str">
        <f>IF($A182="","",IFERROR(INDEX('Usage and Coverage'!$C$63:$C$66,MATCH($X182,'Usage and Coverage'!$B$63:$B$66,0)),"?"))</f>
        <v/>
      </c>
      <c r="BM182" s="99" t="str">
        <f>IF($A182="","",IFERROR(INDEX('Usage and Coverage'!$C$70:$C$75,MATCH($V182,'Usage and Coverage'!$B$70:$B$75,0)),"?"))</f>
        <v/>
      </c>
      <c r="BN182" s="99" t="str">
        <f>IF($A182="","",IF($AB182="",1,IFERROR(INDEX(Deductibles!$C$48:$C$51,MATCH($AB182,Deductibles!$B$48:$B$51,0)),"?")))</f>
        <v/>
      </c>
      <c r="BO182" s="99" t="str">
        <f>IF($A182="","",IF($AC182="",1,IFERROR(INDEX(Deductibles!$C$55:$C$57,MATCH($AC182,Deductibles!$B$55:$B$57,0)),"?")))</f>
        <v/>
      </c>
      <c r="BP182" s="99" t="str">
        <f>IF($A182="","",IF($AD182="",1,IFERROR(INDEX(Deductibles!$C$61:$C$63,MATCH($AD182,Deductibles!$B$61:$B$63,0)),"?")))</f>
        <v/>
      </c>
      <c r="BQ182" s="99" t="str">
        <f>IF($A182="","",IF($AE182="",1,IFERROR(INDEX(Deductibles!$C$67:$C$69,MATCH($AE182,Deductibles!$B$67:$B$69,0)),"?")))</f>
        <v/>
      </c>
      <c r="BR182" s="99" t="str">
        <f>IF($A182="","",IF($AF182="",1,IFERROR(INDEX(Deductibles!$C$73:$C$74,MATCH($AF182,Deductibles!$B$73:$B$74,0)),"?")))</f>
        <v/>
      </c>
      <c r="BS182" s="99" t="str">
        <f>IF($A182="","",IF($AG182="",1,IFERROR(INDEX('Sublimits and Parts'!$C$49:$C$52,MATCH($AG182,'Sublimits and Parts'!$B$49:$B$52,0)),"?")))</f>
        <v/>
      </c>
      <c r="BT182" s="99" t="str">
        <f>IF($A182="","",IF($AH182="",1,IFERROR(INDEX('Sublimits and Parts'!$C$56:$C$60,MATCH($AH182,'Sublimits and Parts'!$B$56:$B$60,0)),"?")))</f>
        <v/>
      </c>
      <c r="BU182" s="99" t="str">
        <f>IF($A182="","",IF($AI182="",1,IFERROR(INDEX('Sublimits and Parts'!$C$64:$C$67,MATCH($AI182,'Sublimits and Parts'!$B$64:$B$67,0)),"?")))</f>
        <v/>
      </c>
      <c r="BV182" s="99" t="str">
        <f>IF($A182="","",IF($AJ182="",1,IFERROR(INDEX('Sublimits and Parts'!$C$71:$C$74,MATCH($AJ182,'Sublimits and Parts'!$B$71:$B$74,0)),"?")))</f>
        <v/>
      </c>
      <c r="BW182" s="99" t="str">
        <f>IF($A182="","",IF($AK182="",1,IFERROR(INDEX('Sublimits and Parts'!$C$78:$C$80,MATCH($AK182,'Sublimits and Parts'!$B$78:$B$80,0)),"?")))</f>
        <v/>
      </c>
      <c r="BX182" s="99" t="str">
        <f>IF($A182="","",IF($AL182="",1,IFERROR(INDEX('Sublimits and Parts'!$C$84:$C$87,MATCH($AL182,'Sublimits and Parts'!$B$84:$B$87,0)),"?")))</f>
        <v/>
      </c>
      <c r="BY182" s="99" t="str">
        <f>IF($A182="","",IF($AM182="",1,IFERROR(INDEX('Sublimits and Parts'!$C$91:$C$94,MATCH($AM182,'Sublimits and Parts'!$B$91:$B$94,0)),"?")))</f>
        <v/>
      </c>
      <c r="BZ182" s="99" t="str">
        <f>IF($A182="","",IF($AN182="",1,IFERROR(INDEX('Sublimits and Parts'!$C$98:$C$101,MATCH($AN182,'Sublimits and Parts'!$B$98:$B$101,0)),"?")))</f>
        <v/>
      </c>
      <c r="CA182" s="99" t="str">
        <f>IF($A182="","",IF($AO182="",1,IFERROR(INDEX('Sublimits and Parts'!$C$105:$C$109,MATCH($AO182,'Sublimits and Parts'!$B$105:$B$109,0)),"?")))</f>
        <v/>
      </c>
      <c r="CB182" s="100" t="str">
        <f t="shared" si="28"/>
        <v/>
      </c>
      <c r="CC182" s="100" t="str">
        <f t="shared" si="29"/>
        <v/>
      </c>
      <c r="CD182" s="103" t="str">
        <f>IF($A182="","",IF(OR($CB182="?",$CC182="?"),"?",MIN($CB182*$CC182,'Technical Premium'!$C$17)))</f>
        <v/>
      </c>
      <c r="CE182" s="102" t="str">
        <f t="shared" si="30"/>
        <v/>
      </c>
      <c r="CF182" s="102" t="str">
        <f>IF($A182="","",IFERROR(INDEX('Territory Factors'!$F$6:$F$56,MATCH($K182,'Territory Factors'!$B$6:$B$56,0)),"?"))</f>
        <v/>
      </c>
      <c r="CG182" s="100" t="str">
        <f>IF($A182="","",IFERROR(INDEX('Usage and Coverage'!$C$79:$C$84,MATCH($Y182,'Usage and Coverage'!$B$79:$B$84,0)),"?"))</f>
        <v/>
      </c>
      <c r="CH182" s="102" t="str">
        <f>IFERROR(IF(ISNUMBER($CD182),$CF182*$CG182*MIN($BG182*$BA182*$BC182*$BD182*$BH182*$BF182,'Technical Premium'!$C$17),""),"")</f>
        <v/>
      </c>
      <c r="CI182" s="102" t="str">
        <f t="shared" si="31"/>
        <v/>
      </c>
      <c r="CJ182" s="102" t="str">
        <f>IFERROR($CI182*(1+'Technical Premium'!$C$5)*(1+'Technical Premium'!$C$6),"")</f>
        <v/>
      </c>
      <c r="CK182" s="102" t="str">
        <f>IFERROR($CE182*INDEX('Territory Factors'!$G$6:$G$56,MATCH($K182,'Territory Factors'!$B$6:$B$56,0))*$AU182*$AV182,"")</f>
        <v/>
      </c>
      <c r="CL182" s="102" t="str">
        <f>IFERROR(($CJ182+$CK182)*(1+'Technical Premium'!$C$7),"")</f>
        <v/>
      </c>
      <c r="CM182" s="104" t="str">
        <f>IFERROR($CL182/'Technical Premium'!$C$13,"")</f>
        <v/>
      </c>
      <c r="CN182" s="105" t="str">
        <f t="shared" si="32"/>
        <v/>
      </c>
      <c r="CO182" s="104" t="str">
        <f t="shared" si="33"/>
        <v/>
      </c>
      <c r="CP182" s="105" t="str">
        <f t="shared" si="34"/>
        <v/>
      </c>
      <c r="CQ182" s="106" t="str">
        <f t="shared" si="35"/>
        <v/>
      </c>
      <c r="CR182" s="102" t="str">
        <f>IF(ISNUMBER($CM182),'Technical Premium'!$C$14+IF($J182&gt;=1000000,'Technical Premium'!$C$15,0),"")</f>
        <v/>
      </c>
      <c r="CS182" s="102" t="str">
        <f>IFERROR(($CO182+$CR182)*(INDEX('Territory Factors'!$K$6:$K$56,MATCH($K182,'Territory Factors'!$B$6:$B$56,0))+'Commission Structure'!$C$21),"")</f>
        <v/>
      </c>
      <c r="CT182" s="104" t="str">
        <f t="shared" si="36"/>
        <v/>
      </c>
      <c r="CU182" s="102" t="str">
        <f>IFERROR($CO182*('Commission Structure'!$C$6+'Commission Structure'!$C$7),"")</f>
        <v/>
      </c>
      <c r="CV182" s="102" t="str">
        <f>IFERROR($CO182*'Commission Structure'!$C$5-$CU182,"")</f>
        <v/>
      </c>
      <c r="CW182" s="102" t="str">
        <f>IFERROR($CO182*(1-'Commission Structure'!$C$5),"")</f>
        <v/>
      </c>
      <c r="CX182" s="107"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8" t="str">
        <f t="shared" si="37"/>
        <v/>
      </c>
      <c r="CZ182" s="99" t="str">
        <f>IF($CY182="","",IF($CY182&lt;'Technical Premium'!$C$19,"BEYOND AUTHORITY",IF($CY182&gt;0.005,"Above technical",IF($CY182&lt;-0.005,"BELOW technical","At technical"))))</f>
        <v/>
      </c>
      <c r="DA182" s="99"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4"/>
      <c r="DC182" s="94"/>
      <c r="DD182" s="95"/>
      <c r="DE182" s="94"/>
      <c r="DF182" s="94"/>
      <c r="DG182" s="99" t="str">
        <f t="shared" si="38"/>
        <v/>
      </c>
      <c r="DH182" s="99" t="str">
        <f>IF($A182="","",IF(OR($CX182="REFER",$CX182="DECLINE"),COUNTIF($CX$5:$CX182,"REFER")+COUNTIF($CX$5:$CX182,"DECLINE"),""))</f>
        <v/>
      </c>
      <c r="DI182" s="94"/>
    </row>
    <row r="183" spans="1:113" x14ac:dyDescent="0.35">
      <c r="A183" s="94"/>
      <c r="B183" s="94"/>
      <c r="C183" s="95"/>
      <c r="D183" s="95"/>
      <c r="E183" s="96"/>
      <c r="F183" s="94"/>
      <c r="G183" s="94"/>
      <c r="H183" s="94"/>
      <c r="I183" s="94"/>
      <c r="J183" s="97"/>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8"/>
      <c r="AR183" s="99" t="str">
        <f t="shared" si="26"/>
        <v/>
      </c>
      <c r="AS183" s="99" t="str">
        <f>IF($A183="","",IF($AP183&lt;&gt;"",$AP183,IFERROR(INDEX('Cat Zone by ZIP'!$D$6:$D$856,MATCH($AR183,'Cat Zone by ZIP'!$B$6:$B$856,0)),IFERROR(INDEX('Cat Zone by ZIP'!$C$860:$C$910,MATCH($K183,'Cat Zone by ZIP'!$B$860:$B$910,0)),"NOT FOUND"))))</f>
        <v/>
      </c>
      <c r="AT183" s="99" t="str">
        <f>IF($A183="","",IF($AP183&lt;&gt;"","Override",IF(ISNUMBER(MATCH($AR183,'Cat Zone by ZIP'!$B$6:$B$856,0)),"ZIP-3","State default")))</f>
        <v/>
      </c>
      <c r="AU183" s="100" t="str">
        <f>IF($A183="","",IFERROR(INDEX('Natural Catastrophe'!$D$6:$D$17,MATCH($AS183,'Natural Catastrophe'!$B$6:$B$17,0)),"?"))</f>
        <v/>
      </c>
      <c r="AV183" s="100" t="str">
        <f>IF($A183="","",IFERROR(INDEX('Natural Catastrophe'!$C$21:$C$26,MATCH($AA183,'Natural Catastrophe'!$B$21:$B$26,0)),"?"))</f>
        <v/>
      </c>
      <c r="AW183" s="99" t="str">
        <f>IF($A183="","",IFERROR(INDEX('Base Rates'!$C$4:$I$4,MATCH(MAX($J183,'Technical Premium'!$C$18),'Base Rates'!$C$3:$I$3,1)),"?"))</f>
        <v/>
      </c>
      <c r="AX183" s="101" t="str">
        <f>IF($A183="","",IFERROR(INDEX('Base Rates'!$C$5:$I$16,MATCH($I183,'Base Rates'!$B$5:$B$16,0),MATCH(MAX($J183,'Technical Premium'!$C$18),'Base Rates'!$C$3:$I$3,1)),"?"))</f>
        <v/>
      </c>
      <c r="AY183" s="102" t="str">
        <f t="shared" si="27"/>
        <v/>
      </c>
      <c r="AZ183" s="99" t="str">
        <f>IF($A183="","",IFERROR(INDEX('Make Factors'!$G$5:$G$69,MATCH($F183,'Make Factors'!$B$5:$B$69,0)),"?"))</f>
        <v/>
      </c>
      <c r="BA183" s="99" t="str">
        <f>IF($A183="","",IFERROR(INDEX('Driver Factors'!$C$6:$C$15,MATCH($R183,'Driver Factors'!$B$6:$B$15,0)),"?"))</f>
        <v/>
      </c>
      <c r="BB183" s="99" t="str">
        <f>IF($A183="","",IFERROR(INDEX('Driver Factors'!$C$19:$C$24,MATCH($S183,'Driver Factors'!$B$19:$B$24,0)),"?"))</f>
        <v/>
      </c>
      <c r="BC183" s="99" t="str">
        <f>IF($A183="","",IFERROR(INDEX('Driver Factors'!$C$28:$C$36,MATCH($T183,'Driver Factors'!$B$28:$B$36,0)),"?"))</f>
        <v/>
      </c>
      <c r="BD183" s="99" t="str">
        <f>IF($A183="","",IFERROR(INDEX('Claims History'!$C$6:$C$15,MATCH($U183,'Claims History'!$B$6:$B$15,0)),"?"))</f>
        <v/>
      </c>
      <c r="BE183" s="99" t="str">
        <f>IF($A183="","",IFERROR(INDEX('Territory Factors'!$E$6:$E$56,MATCH($K183,'Territory Factors'!$B$6:$B$56,0)),"?"))</f>
        <v/>
      </c>
      <c r="BF183" s="99" t="str">
        <f>IF($A183="","",IFERROR(INDEX('City Accident Ratings'!$G$6:$G$54,MATCH($Z183,'City Accident Ratings'!$B$6:$B$54,0)),"?"))</f>
        <v/>
      </c>
      <c r="BG183" s="99" t="str">
        <f>IF($A183="","",IFERROR(INDEX('Usage and Coverage'!$D$6:$D$20,MATCH($N183,'Usage and Coverage'!$C$6:$C$20,0)),"?"))</f>
        <v/>
      </c>
      <c r="BH183" s="99" t="str">
        <f>IF($A183="","",IFERROR(INDEX('Usage and Coverage'!$C$24:$C$30,MATCH($O183,'Usage and Coverage'!$B$24:$B$30,0)),"?"))</f>
        <v/>
      </c>
      <c r="BI183" s="99" t="str">
        <f>IF($A183="","",IFERROR(INDEX('Usage and Coverage'!$C$34:$C$40,MATCH($P183,'Usage and Coverage'!$B$34:$B$40,0)),"?"))</f>
        <v/>
      </c>
      <c r="BJ183" s="99" t="str">
        <f>IF($A183="","",IFERROR(INDEX('Usage and Coverage'!$C$44:$C$49,MATCH($Q183,'Usage and Coverage'!$B$44:$B$49,0)),"?"))</f>
        <v/>
      </c>
      <c r="BK183" s="99" t="str">
        <f>IF($A183="","",IFERROR(INDEX(Deductibles!$C$6:$I$15,MATCH($W183,Deductibles!$B$6:$B$15,0),MATCH(MAX($J183,'Technical Premium'!$C$18),'Base Rates'!$C$3:$I$3,1)),"?"))</f>
        <v/>
      </c>
      <c r="BL183" s="99" t="str">
        <f>IF($A183="","",IFERROR(INDEX('Usage and Coverage'!$C$63:$C$66,MATCH($X183,'Usage and Coverage'!$B$63:$B$66,0)),"?"))</f>
        <v/>
      </c>
      <c r="BM183" s="99" t="str">
        <f>IF($A183="","",IFERROR(INDEX('Usage and Coverage'!$C$70:$C$75,MATCH($V183,'Usage and Coverage'!$B$70:$B$75,0)),"?"))</f>
        <v/>
      </c>
      <c r="BN183" s="99" t="str">
        <f>IF($A183="","",IF($AB183="",1,IFERROR(INDEX(Deductibles!$C$48:$C$51,MATCH($AB183,Deductibles!$B$48:$B$51,0)),"?")))</f>
        <v/>
      </c>
      <c r="BO183" s="99" t="str">
        <f>IF($A183="","",IF($AC183="",1,IFERROR(INDEX(Deductibles!$C$55:$C$57,MATCH($AC183,Deductibles!$B$55:$B$57,0)),"?")))</f>
        <v/>
      </c>
      <c r="BP183" s="99" t="str">
        <f>IF($A183="","",IF($AD183="",1,IFERROR(INDEX(Deductibles!$C$61:$C$63,MATCH($AD183,Deductibles!$B$61:$B$63,0)),"?")))</f>
        <v/>
      </c>
      <c r="BQ183" s="99" t="str">
        <f>IF($A183="","",IF($AE183="",1,IFERROR(INDEX(Deductibles!$C$67:$C$69,MATCH($AE183,Deductibles!$B$67:$B$69,0)),"?")))</f>
        <v/>
      </c>
      <c r="BR183" s="99" t="str">
        <f>IF($A183="","",IF($AF183="",1,IFERROR(INDEX(Deductibles!$C$73:$C$74,MATCH($AF183,Deductibles!$B$73:$B$74,0)),"?")))</f>
        <v/>
      </c>
      <c r="BS183" s="99" t="str">
        <f>IF($A183="","",IF($AG183="",1,IFERROR(INDEX('Sublimits and Parts'!$C$49:$C$52,MATCH($AG183,'Sublimits and Parts'!$B$49:$B$52,0)),"?")))</f>
        <v/>
      </c>
      <c r="BT183" s="99" t="str">
        <f>IF($A183="","",IF($AH183="",1,IFERROR(INDEX('Sublimits and Parts'!$C$56:$C$60,MATCH($AH183,'Sublimits and Parts'!$B$56:$B$60,0)),"?")))</f>
        <v/>
      </c>
      <c r="BU183" s="99" t="str">
        <f>IF($A183="","",IF($AI183="",1,IFERROR(INDEX('Sublimits and Parts'!$C$64:$C$67,MATCH($AI183,'Sublimits and Parts'!$B$64:$B$67,0)),"?")))</f>
        <v/>
      </c>
      <c r="BV183" s="99" t="str">
        <f>IF($A183="","",IF($AJ183="",1,IFERROR(INDEX('Sublimits and Parts'!$C$71:$C$74,MATCH($AJ183,'Sublimits and Parts'!$B$71:$B$74,0)),"?")))</f>
        <v/>
      </c>
      <c r="BW183" s="99" t="str">
        <f>IF($A183="","",IF($AK183="",1,IFERROR(INDEX('Sublimits and Parts'!$C$78:$C$80,MATCH($AK183,'Sublimits and Parts'!$B$78:$B$80,0)),"?")))</f>
        <v/>
      </c>
      <c r="BX183" s="99" t="str">
        <f>IF($A183="","",IF($AL183="",1,IFERROR(INDEX('Sublimits and Parts'!$C$84:$C$87,MATCH($AL183,'Sublimits and Parts'!$B$84:$B$87,0)),"?")))</f>
        <v/>
      </c>
      <c r="BY183" s="99" t="str">
        <f>IF($A183="","",IF($AM183="",1,IFERROR(INDEX('Sublimits and Parts'!$C$91:$C$94,MATCH($AM183,'Sublimits and Parts'!$B$91:$B$94,0)),"?")))</f>
        <v/>
      </c>
      <c r="BZ183" s="99" t="str">
        <f>IF($A183="","",IF($AN183="",1,IFERROR(INDEX('Sublimits and Parts'!$C$98:$C$101,MATCH($AN183,'Sublimits and Parts'!$B$98:$B$101,0)),"?")))</f>
        <v/>
      </c>
      <c r="CA183" s="99" t="str">
        <f>IF($A183="","",IF($AO183="",1,IFERROR(INDEX('Sublimits and Parts'!$C$105:$C$109,MATCH($AO183,'Sublimits and Parts'!$B$105:$B$109,0)),"?")))</f>
        <v/>
      </c>
      <c r="CB183" s="100" t="str">
        <f t="shared" si="28"/>
        <v/>
      </c>
      <c r="CC183" s="100" t="str">
        <f t="shared" si="29"/>
        <v/>
      </c>
      <c r="CD183" s="103" t="str">
        <f>IF($A183="","",IF(OR($CB183="?",$CC183="?"),"?",MIN($CB183*$CC183,'Technical Premium'!$C$17)))</f>
        <v/>
      </c>
      <c r="CE183" s="102" t="str">
        <f t="shared" si="30"/>
        <v/>
      </c>
      <c r="CF183" s="102" t="str">
        <f>IF($A183="","",IFERROR(INDEX('Territory Factors'!$F$6:$F$56,MATCH($K183,'Territory Factors'!$B$6:$B$56,0)),"?"))</f>
        <v/>
      </c>
      <c r="CG183" s="100" t="str">
        <f>IF($A183="","",IFERROR(INDEX('Usage and Coverage'!$C$79:$C$84,MATCH($Y183,'Usage and Coverage'!$B$79:$B$84,0)),"?"))</f>
        <v/>
      </c>
      <c r="CH183" s="102" t="str">
        <f>IFERROR(IF(ISNUMBER($CD183),$CF183*$CG183*MIN($BG183*$BA183*$BC183*$BD183*$BH183*$BF183,'Technical Premium'!$C$17),""),"")</f>
        <v/>
      </c>
      <c r="CI183" s="102" t="str">
        <f t="shared" si="31"/>
        <v/>
      </c>
      <c r="CJ183" s="102" t="str">
        <f>IFERROR($CI183*(1+'Technical Premium'!$C$5)*(1+'Technical Premium'!$C$6),"")</f>
        <v/>
      </c>
      <c r="CK183" s="102" t="str">
        <f>IFERROR($CE183*INDEX('Territory Factors'!$G$6:$G$56,MATCH($K183,'Territory Factors'!$B$6:$B$56,0))*$AU183*$AV183,"")</f>
        <v/>
      </c>
      <c r="CL183" s="102" t="str">
        <f>IFERROR(($CJ183+$CK183)*(1+'Technical Premium'!$C$7),"")</f>
        <v/>
      </c>
      <c r="CM183" s="104" t="str">
        <f>IFERROR($CL183/'Technical Premium'!$C$13,"")</f>
        <v/>
      </c>
      <c r="CN183" s="105" t="str">
        <f t="shared" si="32"/>
        <v/>
      </c>
      <c r="CO183" s="104" t="str">
        <f t="shared" si="33"/>
        <v/>
      </c>
      <c r="CP183" s="105" t="str">
        <f t="shared" si="34"/>
        <v/>
      </c>
      <c r="CQ183" s="106" t="str">
        <f t="shared" si="35"/>
        <v/>
      </c>
      <c r="CR183" s="102" t="str">
        <f>IF(ISNUMBER($CM183),'Technical Premium'!$C$14+IF($J183&gt;=1000000,'Technical Premium'!$C$15,0),"")</f>
        <v/>
      </c>
      <c r="CS183" s="102" t="str">
        <f>IFERROR(($CO183+$CR183)*(INDEX('Territory Factors'!$K$6:$K$56,MATCH($K183,'Territory Factors'!$B$6:$B$56,0))+'Commission Structure'!$C$21),"")</f>
        <v/>
      </c>
      <c r="CT183" s="104" t="str">
        <f t="shared" si="36"/>
        <v/>
      </c>
      <c r="CU183" s="102" t="str">
        <f>IFERROR($CO183*('Commission Structure'!$C$6+'Commission Structure'!$C$7),"")</f>
        <v/>
      </c>
      <c r="CV183" s="102" t="str">
        <f>IFERROR($CO183*'Commission Structure'!$C$5-$CU183,"")</f>
        <v/>
      </c>
      <c r="CW183" s="102" t="str">
        <f>IFERROR($CO183*(1-'Commission Structure'!$C$5),"")</f>
        <v/>
      </c>
      <c r="CX183" s="107"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8" t="str">
        <f t="shared" si="37"/>
        <v/>
      </c>
      <c r="CZ183" s="99" t="str">
        <f>IF($CY183="","",IF($CY183&lt;'Technical Premium'!$C$19,"BEYOND AUTHORITY",IF($CY183&gt;0.005,"Above technical",IF($CY183&lt;-0.005,"BELOW technical","At technical"))))</f>
        <v/>
      </c>
      <c r="DA183" s="99"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4"/>
      <c r="DC183" s="94"/>
      <c r="DD183" s="95"/>
      <c r="DE183" s="94"/>
      <c r="DF183" s="94"/>
      <c r="DG183" s="99" t="str">
        <f t="shared" si="38"/>
        <v/>
      </c>
      <c r="DH183" s="99" t="str">
        <f>IF($A183="","",IF(OR($CX183="REFER",$CX183="DECLINE"),COUNTIF($CX$5:$CX183,"REFER")+COUNTIF($CX$5:$CX183,"DECLINE"),""))</f>
        <v/>
      </c>
      <c r="DI183" s="94"/>
    </row>
    <row r="184" spans="1:113" x14ac:dyDescent="0.35">
      <c r="A184" s="94"/>
      <c r="B184" s="94"/>
      <c r="C184" s="95"/>
      <c r="D184" s="95"/>
      <c r="E184" s="96"/>
      <c r="F184" s="94"/>
      <c r="G184" s="94"/>
      <c r="H184" s="94"/>
      <c r="I184" s="94"/>
      <c r="J184" s="97"/>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8"/>
      <c r="AR184" s="99" t="str">
        <f t="shared" si="26"/>
        <v/>
      </c>
      <c r="AS184" s="99" t="str">
        <f>IF($A184="","",IF($AP184&lt;&gt;"",$AP184,IFERROR(INDEX('Cat Zone by ZIP'!$D$6:$D$856,MATCH($AR184,'Cat Zone by ZIP'!$B$6:$B$856,0)),IFERROR(INDEX('Cat Zone by ZIP'!$C$860:$C$910,MATCH($K184,'Cat Zone by ZIP'!$B$860:$B$910,0)),"NOT FOUND"))))</f>
        <v/>
      </c>
      <c r="AT184" s="99" t="str">
        <f>IF($A184="","",IF($AP184&lt;&gt;"","Override",IF(ISNUMBER(MATCH($AR184,'Cat Zone by ZIP'!$B$6:$B$856,0)),"ZIP-3","State default")))</f>
        <v/>
      </c>
      <c r="AU184" s="100" t="str">
        <f>IF($A184="","",IFERROR(INDEX('Natural Catastrophe'!$D$6:$D$17,MATCH($AS184,'Natural Catastrophe'!$B$6:$B$17,0)),"?"))</f>
        <v/>
      </c>
      <c r="AV184" s="100" t="str">
        <f>IF($A184="","",IFERROR(INDEX('Natural Catastrophe'!$C$21:$C$26,MATCH($AA184,'Natural Catastrophe'!$B$21:$B$26,0)),"?"))</f>
        <v/>
      </c>
      <c r="AW184" s="99" t="str">
        <f>IF($A184="","",IFERROR(INDEX('Base Rates'!$C$4:$I$4,MATCH(MAX($J184,'Technical Premium'!$C$18),'Base Rates'!$C$3:$I$3,1)),"?"))</f>
        <v/>
      </c>
      <c r="AX184" s="101" t="str">
        <f>IF($A184="","",IFERROR(INDEX('Base Rates'!$C$5:$I$16,MATCH($I184,'Base Rates'!$B$5:$B$16,0),MATCH(MAX($J184,'Technical Premium'!$C$18),'Base Rates'!$C$3:$I$3,1)),"?"))</f>
        <v/>
      </c>
      <c r="AY184" s="102" t="str">
        <f t="shared" si="27"/>
        <v/>
      </c>
      <c r="AZ184" s="99" t="str">
        <f>IF($A184="","",IFERROR(INDEX('Make Factors'!$G$5:$G$69,MATCH($F184,'Make Factors'!$B$5:$B$69,0)),"?"))</f>
        <v/>
      </c>
      <c r="BA184" s="99" t="str">
        <f>IF($A184="","",IFERROR(INDEX('Driver Factors'!$C$6:$C$15,MATCH($R184,'Driver Factors'!$B$6:$B$15,0)),"?"))</f>
        <v/>
      </c>
      <c r="BB184" s="99" t="str">
        <f>IF($A184="","",IFERROR(INDEX('Driver Factors'!$C$19:$C$24,MATCH($S184,'Driver Factors'!$B$19:$B$24,0)),"?"))</f>
        <v/>
      </c>
      <c r="BC184" s="99" t="str">
        <f>IF($A184="","",IFERROR(INDEX('Driver Factors'!$C$28:$C$36,MATCH($T184,'Driver Factors'!$B$28:$B$36,0)),"?"))</f>
        <v/>
      </c>
      <c r="BD184" s="99" t="str">
        <f>IF($A184="","",IFERROR(INDEX('Claims History'!$C$6:$C$15,MATCH($U184,'Claims History'!$B$6:$B$15,0)),"?"))</f>
        <v/>
      </c>
      <c r="BE184" s="99" t="str">
        <f>IF($A184="","",IFERROR(INDEX('Territory Factors'!$E$6:$E$56,MATCH($K184,'Territory Factors'!$B$6:$B$56,0)),"?"))</f>
        <v/>
      </c>
      <c r="BF184" s="99" t="str">
        <f>IF($A184="","",IFERROR(INDEX('City Accident Ratings'!$G$6:$G$54,MATCH($Z184,'City Accident Ratings'!$B$6:$B$54,0)),"?"))</f>
        <v/>
      </c>
      <c r="BG184" s="99" t="str">
        <f>IF($A184="","",IFERROR(INDEX('Usage and Coverage'!$D$6:$D$20,MATCH($N184,'Usage and Coverage'!$C$6:$C$20,0)),"?"))</f>
        <v/>
      </c>
      <c r="BH184" s="99" t="str">
        <f>IF($A184="","",IFERROR(INDEX('Usage and Coverage'!$C$24:$C$30,MATCH($O184,'Usage and Coverage'!$B$24:$B$30,0)),"?"))</f>
        <v/>
      </c>
      <c r="BI184" s="99" t="str">
        <f>IF($A184="","",IFERROR(INDEX('Usage and Coverage'!$C$34:$C$40,MATCH($P184,'Usage and Coverage'!$B$34:$B$40,0)),"?"))</f>
        <v/>
      </c>
      <c r="BJ184" s="99" t="str">
        <f>IF($A184="","",IFERROR(INDEX('Usage and Coverage'!$C$44:$C$49,MATCH($Q184,'Usage and Coverage'!$B$44:$B$49,0)),"?"))</f>
        <v/>
      </c>
      <c r="BK184" s="99" t="str">
        <f>IF($A184="","",IFERROR(INDEX(Deductibles!$C$6:$I$15,MATCH($W184,Deductibles!$B$6:$B$15,0),MATCH(MAX($J184,'Technical Premium'!$C$18),'Base Rates'!$C$3:$I$3,1)),"?"))</f>
        <v/>
      </c>
      <c r="BL184" s="99" t="str">
        <f>IF($A184="","",IFERROR(INDEX('Usage and Coverage'!$C$63:$C$66,MATCH($X184,'Usage and Coverage'!$B$63:$B$66,0)),"?"))</f>
        <v/>
      </c>
      <c r="BM184" s="99" t="str">
        <f>IF($A184="","",IFERROR(INDEX('Usage and Coverage'!$C$70:$C$75,MATCH($V184,'Usage and Coverage'!$B$70:$B$75,0)),"?"))</f>
        <v/>
      </c>
      <c r="BN184" s="99" t="str">
        <f>IF($A184="","",IF($AB184="",1,IFERROR(INDEX(Deductibles!$C$48:$C$51,MATCH($AB184,Deductibles!$B$48:$B$51,0)),"?")))</f>
        <v/>
      </c>
      <c r="BO184" s="99" t="str">
        <f>IF($A184="","",IF($AC184="",1,IFERROR(INDEX(Deductibles!$C$55:$C$57,MATCH($AC184,Deductibles!$B$55:$B$57,0)),"?")))</f>
        <v/>
      </c>
      <c r="BP184" s="99" t="str">
        <f>IF($A184="","",IF($AD184="",1,IFERROR(INDEX(Deductibles!$C$61:$C$63,MATCH($AD184,Deductibles!$B$61:$B$63,0)),"?")))</f>
        <v/>
      </c>
      <c r="BQ184" s="99" t="str">
        <f>IF($A184="","",IF($AE184="",1,IFERROR(INDEX(Deductibles!$C$67:$C$69,MATCH($AE184,Deductibles!$B$67:$B$69,0)),"?")))</f>
        <v/>
      </c>
      <c r="BR184" s="99" t="str">
        <f>IF($A184="","",IF($AF184="",1,IFERROR(INDEX(Deductibles!$C$73:$C$74,MATCH($AF184,Deductibles!$B$73:$B$74,0)),"?")))</f>
        <v/>
      </c>
      <c r="BS184" s="99" t="str">
        <f>IF($A184="","",IF($AG184="",1,IFERROR(INDEX('Sublimits and Parts'!$C$49:$C$52,MATCH($AG184,'Sublimits and Parts'!$B$49:$B$52,0)),"?")))</f>
        <v/>
      </c>
      <c r="BT184" s="99" t="str">
        <f>IF($A184="","",IF($AH184="",1,IFERROR(INDEX('Sublimits and Parts'!$C$56:$C$60,MATCH($AH184,'Sublimits and Parts'!$B$56:$B$60,0)),"?")))</f>
        <v/>
      </c>
      <c r="BU184" s="99" t="str">
        <f>IF($A184="","",IF($AI184="",1,IFERROR(INDEX('Sublimits and Parts'!$C$64:$C$67,MATCH($AI184,'Sublimits and Parts'!$B$64:$B$67,0)),"?")))</f>
        <v/>
      </c>
      <c r="BV184" s="99" t="str">
        <f>IF($A184="","",IF($AJ184="",1,IFERROR(INDEX('Sublimits and Parts'!$C$71:$C$74,MATCH($AJ184,'Sublimits and Parts'!$B$71:$B$74,0)),"?")))</f>
        <v/>
      </c>
      <c r="BW184" s="99" t="str">
        <f>IF($A184="","",IF($AK184="",1,IFERROR(INDEX('Sublimits and Parts'!$C$78:$C$80,MATCH($AK184,'Sublimits and Parts'!$B$78:$B$80,0)),"?")))</f>
        <v/>
      </c>
      <c r="BX184" s="99" t="str">
        <f>IF($A184="","",IF($AL184="",1,IFERROR(INDEX('Sublimits and Parts'!$C$84:$C$87,MATCH($AL184,'Sublimits and Parts'!$B$84:$B$87,0)),"?")))</f>
        <v/>
      </c>
      <c r="BY184" s="99" t="str">
        <f>IF($A184="","",IF($AM184="",1,IFERROR(INDEX('Sublimits and Parts'!$C$91:$C$94,MATCH($AM184,'Sublimits and Parts'!$B$91:$B$94,0)),"?")))</f>
        <v/>
      </c>
      <c r="BZ184" s="99" t="str">
        <f>IF($A184="","",IF($AN184="",1,IFERROR(INDEX('Sublimits and Parts'!$C$98:$C$101,MATCH($AN184,'Sublimits and Parts'!$B$98:$B$101,0)),"?")))</f>
        <v/>
      </c>
      <c r="CA184" s="99" t="str">
        <f>IF($A184="","",IF($AO184="",1,IFERROR(INDEX('Sublimits and Parts'!$C$105:$C$109,MATCH($AO184,'Sublimits and Parts'!$B$105:$B$109,0)),"?")))</f>
        <v/>
      </c>
      <c r="CB184" s="100" t="str">
        <f t="shared" si="28"/>
        <v/>
      </c>
      <c r="CC184" s="100" t="str">
        <f t="shared" si="29"/>
        <v/>
      </c>
      <c r="CD184" s="103" t="str">
        <f>IF($A184="","",IF(OR($CB184="?",$CC184="?"),"?",MIN($CB184*$CC184,'Technical Premium'!$C$17)))</f>
        <v/>
      </c>
      <c r="CE184" s="102" t="str">
        <f t="shared" si="30"/>
        <v/>
      </c>
      <c r="CF184" s="102" t="str">
        <f>IF($A184="","",IFERROR(INDEX('Territory Factors'!$F$6:$F$56,MATCH($K184,'Territory Factors'!$B$6:$B$56,0)),"?"))</f>
        <v/>
      </c>
      <c r="CG184" s="100" t="str">
        <f>IF($A184="","",IFERROR(INDEX('Usage and Coverage'!$C$79:$C$84,MATCH($Y184,'Usage and Coverage'!$B$79:$B$84,0)),"?"))</f>
        <v/>
      </c>
      <c r="CH184" s="102" t="str">
        <f>IFERROR(IF(ISNUMBER($CD184),$CF184*$CG184*MIN($BG184*$BA184*$BC184*$BD184*$BH184*$BF184,'Technical Premium'!$C$17),""),"")</f>
        <v/>
      </c>
      <c r="CI184" s="102" t="str">
        <f t="shared" si="31"/>
        <v/>
      </c>
      <c r="CJ184" s="102" t="str">
        <f>IFERROR($CI184*(1+'Technical Premium'!$C$5)*(1+'Technical Premium'!$C$6),"")</f>
        <v/>
      </c>
      <c r="CK184" s="102" t="str">
        <f>IFERROR($CE184*INDEX('Territory Factors'!$G$6:$G$56,MATCH($K184,'Territory Factors'!$B$6:$B$56,0))*$AU184*$AV184,"")</f>
        <v/>
      </c>
      <c r="CL184" s="102" t="str">
        <f>IFERROR(($CJ184+$CK184)*(1+'Technical Premium'!$C$7),"")</f>
        <v/>
      </c>
      <c r="CM184" s="104" t="str">
        <f>IFERROR($CL184/'Technical Premium'!$C$13,"")</f>
        <v/>
      </c>
      <c r="CN184" s="105" t="str">
        <f t="shared" si="32"/>
        <v/>
      </c>
      <c r="CO184" s="104" t="str">
        <f t="shared" si="33"/>
        <v/>
      </c>
      <c r="CP184" s="105" t="str">
        <f t="shared" si="34"/>
        <v/>
      </c>
      <c r="CQ184" s="106" t="str">
        <f t="shared" si="35"/>
        <v/>
      </c>
      <c r="CR184" s="102" t="str">
        <f>IF(ISNUMBER($CM184),'Technical Premium'!$C$14+IF($J184&gt;=1000000,'Technical Premium'!$C$15,0),"")</f>
        <v/>
      </c>
      <c r="CS184" s="102" t="str">
        <f>IFERROR(($CO184+$CR184)*(INDEX('Territory Factors'!$K$6:$K$56,MATCH($K184,'Territory Factors'!$B$6:$B$56,0))+'Commission Structure'!$C$21),"")</f>
        <v/>
      </c>
      <c r="CT184" s="104" t="str">
        <f t="shared" si="36"/>
        <v/>
      </c>
      <c r="CU184" s="102" t="str">
        <f>IFERROR($CO184*('Commission Structure'!$C$6+'Commission Structure'!$C$7),"")</f>
        <v/>
      </c>
      <c r="CV184" s="102" t="str">
        <f>IFERROR($CO184*'Commission Structure'!$C$5-$CU184,"")</f>
        <v/>
      </c>
      <c r="CW184" s="102" t="str">
        <f>IFERROR($CO184*(1-'Commission Structure'!$C$5),"")</f>
        <v/>
      </c>
      <c r="CX184" s="107"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8" t="str">
        <f t="shared" si="37"/>
        <v/>
      </c>
      <c r="CZ184" s="99" t="str">
        <f>IF($CY184="","",IF($CY184&lt;'Technical Premium'!$C$19,"BEYOND AUTHORITY",IF($CY184&gt;0.005,"Above technical",IF($CY184&lt;-0.005,"BELOW technical","At technical"))))</f>
        <v/>
      </c>
      <c r="DA184" s="99"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4"/>
      <c r="DC184" s="94"/>
      <c r="DD184" s="95"/>
      <c r="DE184" s="94"/>
      <c r="DF184" s="94"/>
      <c r="DG184" s="99" t="str">
        <f t="shared" si="38"/>
        <v/>
      </c>
      <c r="DH184" s="99" t="str">
        <f>IF($A184="","",IF(OR($CX184="REFER",$CX184="DECLINE"),COUNTIF($CX$5:$CX184,"REFER")+COUNTIF($CX$5:$CX184,"DECLINE"),""))</f>
        <v/>
      </c>
      <c r="DI184" s="94"/>
    </row>
    <row r="185" spans="1:113" x14ac:dyDescent="0.35">
      <c r="A185" s="94"/>
      <c r="B185" s="94"/>
      <c r="C185" s="95"/>
      <c r="D185" s="95"/>
      <c r="E185" s="96"/>
      <c r="F185" s="94"/>
      <c r="G185" s="94"/>
      <c r="H185" s="94"/>
      <c r="I185" s="94"/>
      <c r="J185" s="97"/>
      <c r="K185" s="94"/>
      <c r="L185" s="94"/>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8"/>
      <c r="AR185" s="99" t="str">
        <f t="shared" si="26"/>
        <v/>
      </c>
      <c r="AS185" s="99" t="str">
        <f>IF($A185="","",IF($AP185&lt;&gt;"",$AP185,IFERROR(INDEX('Cat Zone by ZIP'!$D$6:$D$856,MATCH($AR185,'Cat Zone by ZIP'!$B$6:$B$856,0)),IFERROR(INDEX('Cat Zone by ZIP'!$C$860:$C$910,MATCH($K185,'Cat Zone by ZIP'!$B$860:$B$910,0)),"NOT FOUND"))))</f>
        <v/>
      </c>
      <c r="AT185" s="99" t="str">
        <f>IF($A185="","",IF($AP185&lt;&gt;"","Override",IF(ISNUMBER(MATCH($AR185,'Cat Zone by ZIP'!$B$6:$B$856,0)),"ZIP-3","State default")))</f>
        <v/>
      </c>
      <c r="AU185" s="100" t="str">
        <f>IF($A185="","",IFERROR(INDEX('Natural Catastrophe'!$D$6:$D$17,MATCH($AS185,'Natural Catastrophe'!$B$6:$B$17,0)),"?"))</f>
        <v/>
      </c>
      <c r="AV185" s="100" t="str">
        <f>IF($A185="","",IFERROR(INDEX('Natural Catastrophe'!$C$21:$C$26,MATCH($AA185,'Natural Catastrophe'!$B$21:$B$26,0)),"?"))</f>
        <v/>
      </c>
      <c r="AW185" s="99" t="str">
        <f>IF($A185="","",IFERROR(INDEX('Base Rates'!$C$4:$I$4,MATCH(MAX($J185,'Technical Premium'!$C$18),'Base Rates'!$C$3:$I$3,1)),"?"))</f>
        <v/>
      </c>
      <c r="AX185" s="101" t="str">
        <f>IF($A185="","",IFERROR(INDEX('Base Rates'!$C$5:$I$16,MATCH($I185,'Base Rates'!$B$5:$B$16,0),MATCH(MAX($J185,'Technical Premium'!$C$18),'Base Rates'!$C$3:$I$3,1)),"?"))</f>
        <v/>
      </c>
      <c r="AY185" s="102" t="str">
        <f t="shared" si="27"/>
        <v/>
      </c>
      <c r="AZ185" s="99" t="str">
        <f>IF($A185="","",IFERROR(INDEX('Make Factors'!$G$5:$G$69,MATCH($F185,'Make Factors'!$B$5:$B$69,0)),"?"))</f>
        <v/>
      </c>
      <c r="BA185" s="99" t="str">
        <f>IF($A185="","",IFERROR(INDEX('Driver Factors'!$C$6:$C$15,MATCH($R185,'Driver Factors'!$B$6:$B$15,0)),"?"))</f>
        <v/>
      </c>
      <c r="BB185" s="99" t="str">
        <f>IF($A185="","",IFERROR(INDEX('Driver Factors'!$C$19:$C$24,MATCH($S185,'Driver Factors'!$B$19:$B$24,0)),"?"))</f>
        <v/>
      </c>
      <c r="BC185" s="99" t="str">
        <f>IF($A185="","",IFERROR(INDEX('Driver Factors'!$C$28:$C$36,MATCH($T185,'Driver Factors'!$B$28:$B$36,0)),"?"))</f>
        <v/>
      </c>
      <c r="BD185" s="99" t="str">
        <f>IF($A185="","",IFERROR(INDEX('Claims History'!$C$6:$C$15,MATCH($U185,'Claims History'!$B$6:$B$15,0)),"?"))</f>
        <v/>
      </c>
      <c r="BE185" s="99" t="str">
        <f>IF($A185="","",IFERROR(INDEX('Territory Factors'!$E$6:$E$56,MATCH($K185,'Territory Factors'!$B$6:$B$56,0)),"?"))</f>
        <v/>
      </c>
      <c r="BF185" s="99" t="str">
        <f>IF($A185="","",IFERROR(INDEX('City Accident Ratings'!$G$6:$G$54,MATCH($Z185,'City Accident Ratings'!$B$6:$B$54,0)),"?"))</f>
        <v/>
      </c>
      <c r="BG185" s="99" t="str">
        <f>IF($A185="","",IFERROR(INDEX('Usage and Coverage'!$D$6:$D$20,MATCH($N185,'Usage and Coverage'!$C$6:$C$20,0)),"?"))</f>
        <v/>
      </c>
      <c r="BH185" s="99" t="str">
        <f>IF($A185="","",IFERROR(INDEX('Usage and Coverage'!$C$24:$C$30,MATCH($O185,'Usage and Coverage'!$B$24:$B$30,0)),"?"))</f>
        <v/>
      </c>
      <c r="BI185" s="99" t="str">
        <f>IF($A185="","",IFERROR(INDEX('Usage and Coverage'!$C$34:$C$40,MATCH($P185,'Usage and Coverage'!$B$34:$B$40,0)),"?"))</f>
        <v/>
      </c>
      <c r="BJ185" s="99" t="str">
        <f>IF($A185="","",IFERROR(INDEX('Usage and Coverage'!$C$44:$C$49,MATCH($Q185,'Usage and Coverage'!$B$44:$B$49,0)),"?"))</f>
        <v/>
      </c>
      <c r="BK185" s="99" t="str">
        <f>IF($A185="","",IFERROR(INDEX(Deductibles!$C$6:$I$15,MATCH($W185,Deductibles!$B$6:$B$15,0),MATCH(MAX($J185,'Technical Premium'!$C$18),'Base Rates'!$C$3:$I$3,1)),"?"))</f>
        <v/>
      </c>
      <c r="BL185" s="99" t="str">
        <f>IF($A185="","",IFERROR(INDEX('Usage and Coverage'!$C$63:$C$66,MATCH($X185,'Usage and Coverage'!$B$63:$B$66,0)),"?"))</f>
        <v/>
      </c>
      <c r="BM185" s="99" t="str">
        <f>IF($A185="","",IFERROR(INDEX('Usage and Coverage'!$C$70:$C$75,MATCH($V185,'Usage and Coverage'!$B$70:$B$75,0)),"?"))</f>
        <v/>
      </c>
      <c r="BN185" s="99" t="str">
        <f>IF($A185="","",IF($AB185="",1,IFERROR(INDEX(Deductibles!$C$48:$C$51,MATCH($AB185,Deductibles!$B$48:$B$51,0)),"?")))</f>
        <v/>
      </c>
      <c r="BO185" s="99" t="str">
        <f>IF($A185="","",IF($AC185="",1,IFERROR(INDEX(Deductibles!$C$55:$C$57,MATCH($AC185,Deductibles!$B$55:$B$57,0)),"?")))</f>
        <v/>
      </c>
      <c r="BP185" s="99" t="str">
        <f>IF($A185="","",IF($AD185="",1,IFERROR(INDEX(Deductibles!$C$61:$C$63,MATCH($AD185,Deductibles!$B$61:$B$63,0)),"?")))</f>
        <v/>
      </c>
      <c r="BQ185" s="99" t="str">
        <f>IF($A185="","",IF($AE185="",1,IFERROR(INDEX(Deductibles!$C$67:$C$69,MATCH($AE185,Deductibles!$B$67:$B$69,0)),"?")))</f>
        <v/>
      </c>
      <c r="BR185" s="99" t="str">
        <f>IF($A185="","",IF($AF185="",1,IFERROR(INDEX(Deductibles!$C$73:$C$74,MATCH($AF185,Deductibles!$B$73:$B$74,0)),"?")))</f>
        <v/>
      </c>
      <c r="BS185" s="99" t="str">
        <f>IF($A185="","",IF($AG185="",1,IFERROR(INDEX('Sublimits and Parts'!$C$49:$C$52,MATCH($AG185,'Sublimits and Parts'!$B$49:$B$52,0)),"?")))</f>
        <v/>
      </c>
      <c r="BT185" s="99" t="str">
        <f>IF($A185="","",IF($AH185="",1,IFERROR(INDEX('Sublimits and Parts'!$C$56:$C$60,MATCH($AH185,'Sublimits and Parts'!$B$56:$B$60,0)),"?")))</f>
        <v/>
      </c>
      <c r="BU185" s="99" t="str">
        <f>IF($A185="","",IF($AI185="",1,IFERROR(INDEX('Sublimits and Parts'!$C$64:$C$67,MATCH($AI185,'Sublimits and Parts'!$B$64:$B$67,0)),"?")))</f>
        <v/>
      </c>
      <c r="BV185" s="99" t="str">
        <f>IF($A185="","",IF($AJ185="",1,IFERROR(INDEX('Sublimits and Parts'!$C$71:$C$74,MATCH($AJ185,'Sublimits and Parts'!$B$71:$B$74,0)),"?")))</f>
        <v/>
      </c>
      <c r="BW185" s="99" t="str">
        <f>IF($A185="","",IF($AK185="",1,IFERROR(INDEX('Sublimits and Parts'!$C$78:$C$80,MATCH($AK185,'Sublimits and Parts'!$B$78:$B$80,0)),"?")))</f>
        <v/>
      </c>
      <c r="BX185" s="99" t="str">
        <f>IF($A185="","",IF($AL185="",1,IFERROR(INDEX('Sublimits and Parts'!$C$84:$C$87,MATCH($AL185,'Sublimits and Parts'!$B$84:$B$87,0)),"?")))</f>
        <v/>
      </c>
      <c r="BY185" s="99" t="str">
        <f>IF($A185="","",IF($AM185="",1,IFERROR(INDEX('Sublimits and Parts'!$C$91:$C$94,MATCH($AM185,'Sublimits and Parts'!$B$91:$B$94,0)),"?")))</f>
        <v/>
      </c>
      <c r="BZ185" s="99" t="str">
        <f>IF($A185="","",IF($AN185="",1,IFERROR(INDEX('Sublimits and Parts'!$C$98:$C$101,MATCH($AN185,'Sublimits and Parts'!$B$98:$B$101,0)),"?")))</f>
        <v/>
      </c>
      <c r="CA185" s="99" t="str">
        <f>IF($A185="","",IF($AO185="",1,IFERROR(INDEX('Sublimits and Parts'!$C$105:$C$109,MATCH($AO185,'Sublimits and Parts'!$B$105:$B$109,0)),"?")))</f>
        <v/>
      </c>
      <c r="CB185" s="100" t="str">
        <f t="shared" si="28"/>
        <v/>
      </c>
      <c r="CC185" s="100" t="str">
        <f t="shared" si="29"/>
        <v/>
      </c>
      <c r="CD185" s="103" t="str">
        <f>IF($A185="","",IF(OR($CB185="?",$CC185="?"),"?",MIN($CB185*$CC185,'Technical Premium'!$C$17)))</f>
        <v/>
      </c>
      <c r="CE185" s="102" t="str">
        <f t="shared" si="30"/>
        <v/>
      </c>
      <c r="CF185" s="102" t="str">
        <f>IF($A185="","",IFERROR(INDEX('Territory Factors'!$F$6:$F$56,MATCH($K185,'Territory Factors'!$B$6:$B$56,0)),"?"))</f>
        <v/>
      </c>
      <c r="CG185" s="100" t="str">
        <f>IF($A185="","",IFERROR(INDEX('Usage and Coverage'!$C$79:$C$84,MATCH($Y185,'Usage and Coverage'!$B$79:$B$84,0)),"?"))</f>
        <v/>
      </c>
      <c r="CH185" s="102" t="str">
        <f>IFERROR(IF(ISNUMBER($CD185),$CF185*$CG185*MIN($BG185*$BA185*$BC185*$BD185*$BH185*$BF185,'Technical Premium'!$C$17),""),"")</f>
        <v/>
      </c>
      <c r="CI185" s="102" t="str">
        <f t="shared" si="31"/>
        <v/>
      </c>
      <c r="CJ185" s="102" t="str">
        <f>IFERROR($CI185*(1+'Technical Premium'!$C$5)*(1+'Technical Premium'!$C$6),"")</f>
        <v/>
      </c>
      <c r="CK185" s="102" t="str">
        <f>IFERROR($CE185*INDEX('Territory Factors'!$G$6:$G$56,MATCH($K185,'Territory Factors'!$B$6:$B$56,0))*$AU185*$AV185,"")</f>
        <v/>
      </c>
      <c r="CL185" s="102" t="str">
        <f>IFERROR(($CJ185+$CK185)*(1+'Technical Premium'!$C$7),"")</f>
        <v/>
      </c>
      <c r="CM185" s="104" t="str">
        <f>IFERROR($CL185/'Technical Premium'!$C$13,"")</f>
        <v/>
      </c>
      <c r="CN185" s="105" t="str">
        <f t="shared" si="32"/>
        <v/>
      </c>
      <c r="CO185" s="104" t="str">
        <f t="shared" si="33"/>
        <v/>
      </c>
      <c r="CP185" s="105" t="str">
        <f t="shared" si="34"/>
        <v/>
      </c>
      <c r="CQ185" s="106" t="str">
        <f t="shared" si="35"/>
        <v/>
      </c>
      <c r="CR185" s="102" t="str">
        <f>IF(ISNUMBER($CM185),'Technical Premium'!$C$14+IF($J185&gt;=1000000,'Technical Premium'!$C$15,0),"")</f>
        <v/>
      </c>
      <c r="CS185" s="102" t="str">
        <f>IFERROR(($CO185+$CR185)*(INDEX('Territory Factors'!$K$6:$K$56,MATCH($K185,'Territory Factors'!$B$6:$B$56,0))+'Commission Structure'!$C$21),"")</f>
        <v/>
      </c>
      <c r="CT185" s="104" t="str">
        <f t="shared" si="36"/>
        <v/>
      </c>
      <c r="CU185" s="102" t="str">
        <f>IFERROR($CO185*('Commission Structure'!$C$6+'Commission Structure'!$C$7),"")</f>
        <v/>
      </c>
      <c r="CV185" s="102" t="str">
        <f>IFERROR($CO185*'Commission Structure'!$C$5-$CU185,"")</f>
        <v/>
      </c>
      <c r="CW185" s="102" t="str">
        <f>IFERROR($CO185*(1-'Commission Structure'!$C$5),"")</f>
        <v/>
      </c>
      <c r="CX185" s="107"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8" t="str">
        <f t="shared" si="37"/>
        <v/>
      </c>
      <c r="CZ185" s="99" t="str">
        <f>IF($CY185="","",IF($CY185&lt;'Technical Premium'!$C$19,"BEYOND AUTHORITY",IF($CY185&gt;0.005,"Above technical",IF($CY185&lt;-0.005,"BELOW technical","At technical"))))</f>
        <v/>
      </c>
      <c r="DA185" s="99"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4"/>
      <c r="DC185" s="94"/>
      <c r="DD185" s="95"/>
      <c r="DE185" s="94"/>
      <c r="DF185" s="94"/>
      <c r="DG185" s="99" t="str">
        <f t="shared" si="38"/>
        <v/>
      </c>
      <c r="DH185" s="99" t="str">
        <f>IF($A185="","",IF(OR($CX185="REFER",$CX185="DECLINE"),COUNTIF($CX$5:$CX185,"REFER")+COUNTIF($CX$5:$CX185,"DECLINE"),""))</f>
        <v/>
      </c>
      <c r="DI185" s="94"/>
    </row>
    <row r="186" spans="1:113" x14ac:dyDescent="0.35">
      <c r="A186" s="94"/>
      <c r="B186" s="94"/>
      <c r="C186" s="95"/>
      <c r="D186" s="95"/>
      <c r="E186" s="96"/>
      <c r="F186" s="94"/>
      <c r="G186" s="94"/>
      <c r="H186" s="94"/>
      <c r="I186" s="94"/>
      <c r="J186" s="97"/>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8"/>
      <c r="AR186" s="99" t="str">
        <f t="shared" si="26"/>
        <v/>
      </c>
      <c r="AS186" s="99" t="str">
        <f>IF($A186="","",IF($AP186&lt;&gt;"",$AP186,IFERROR(INDEX('Cat Zone by ZIP'!$D$6:$D$856,MATCH($AR186,'Cat Zone by ZIP'!$B$6:$B$856,0)),IFERROR(INDEX('Cat Zone by ZIP'!$C$860:$C$910,MATCH($K186,'Cat Zone by ZIP'!$B$860:$B$910,0)),"NOT FOUND"))))</f>
        <v/>
      </c>
      <c r="AT186" s="99" t="str">
        <f>IF($A186="","",IF($AP186&lt;&gt;"","Override",IF(ISNUMBER(MATCH($AR186,'Cat Zone by ZIP'!$B$6:$B$856,0)),"ZIP-3","State default")))</f>
        <v/>
      </c>
      <c r="AU186" s="100" t="str">
        <f>IF($A186="","",IFERROR(INDEX('Natural Catastrophe'!$D$6:$D$17,MATCH($AS186,'Natural Catastrophe'!$B$6:$B$17,0)),"?"))</f>
        <v/>
      </c>
      <c r="AV186" s="100" t="str">
        <f>IF($A186="","",IFERROR(INDEX('Natural Catastrophe'!$C$21:$C$26,MATCH($AA186,'Natural Catastrophe'!$B$21:$B$26,0)),"?"))</f>
        <v/>
      </c>
      <c r="AW186" s="99" t="str">
        <f>IF($A186="","",IFERROR(INDEX('Base Rates'!$C$4:$I$4,MATCH(MAX($J186,'Technical Premium'!$C$18),'Base Rates'!$C$3:$I$3,1)),"?"))</f>
        <v/>
      </c>
      <c r="AX186" s="101" t="str">
        <f>IF($A186="","",IFERROR(INDEX('Base Rates'!$C$5:$I$16,MATCH($I186,'Base Rates'!$B$5:$B$16,0),MATCH(MAX($J186,'Technical Premium'!$C$18),'Base Rates'!$C$3:$I$3,1)),"?"))</f>
        <v/>
      </c>
      <c r="AY186" s="102" t="str">
        <f t="shared" si="27"/>
        <v/>
      </c>
      <c r="AZ186" s="99" t="str">
        <f>IF($A186="","",IFERROR(INDEX('Make Factors'!$G$5:$G$69,MATCH($F186,'Make Factors'!$B$5:$B$69,0)),"?"))</f>
        <v/>
      </c>
      <c r="BA186" s="99" t="str">
        <f>IF($A186="","",IFERROR(INDEX('Driver Factors'!$C$6:$C$15,MATCH($R186,'Driver Factors'!$B$6:$B$15,0)),"?"))</f>
        <v/>
      </c>
      <c r="BB186" s="99" t="str">
        <f>IF($A186="","",IFERROR(INDEX('Driver Factors'!$C$19:$C$24,MATCH($S186,'Driver Factors'!$B$19:$B$24,0)),"?"))</f>
        <v/>
      </c>
      <c r="BC186" s="99" t="str">
        <f>IF($A186="","",IFERROR(INDEX('Driver Factors'!$C$28:$C$36,MATCH($T186,'Driver Factors'!$B$28:$B$36,0)),"?"))</f>
        <v/>
      </c>
      <c r="BD186" s="99" t="str">
        <f>IF($A186="","",IFERROR(INDEX('Claims History'!$C$6:$C$15,MATCH($U186,'Claims History'!$B$6:$B$15,0)),"?"))</f>
        <v/>
      </c>
      <c r="BE186" s="99" t="str">
        <f>IF($A186="","",IFERROR(INDEX('Territory Factors'!$E$6:$E$56,MATCH($K186,'Territory Factors'!$B$6:$B$56,0)),"?"))</f>
        <v/>
      </c>
      <c r="BF186" s="99" t="str">
        <f>IF($A186="","",IFERROR(INDEX('City Accident Ratings'!$G$6:$G$54,MATCH($Z186,'City Accident Ratings'!$B$6:$B$54,0)),"?"))</f>
        <v/>
      </c>
      <c r="BG186" s="99" t="str">
        <f>IF($A186="","",IFERROR(INDEX('Usage and Coverage'!$D$6:$D$20,MATCH($N186,'Usage and Coverage'!$C$6:$C$20,0)),"?"))</f>
        <v/>
      </c>
      <c r="BH186" s="99" t="str">
        <f>IF($A186="","",IFERROR(INDEX('Usage and Coverage'!$C$24:$C$30,MATCH($O186,'Usage and Coverage'!$B$24:$B$30,0)),"?"))</f>
        <v/>
      </c>
      <c r="BI186" s="99" t="str">
        <f>IF($A186="","",IFERROR(INDEX('Usage and Coverage'!$C$34:$C$40,MATCH($P186,'Usage and Coverage'!$B$34:$B$40,0)),"?"))</f>
        <v/>
      </c>
      <c r="BJ186" s="99" t="str">
        <f>IF($A186="","",IFERROR(INDEX('Usage and Coverage'!$C$44:$C$49,MATCH($Q186,'Usage and Coverage'!$B$44:$B$49,0)),"?"))</f>
        <v/>
      </c>
      <c r="BK186" s="99" t="str">
        <f>IF($A186="","",IFERROR(INDEX(Deductibles!$C$6:$I$15,MATCH($W186,Deductibles!$B$6:$B$15,0),MATCH(MAX($J186,'Technical Premium'!$C$18),'Base Rates'!$C$3:$I$3,1)),"?"))</f>
        <v/>
      </c>
      <c r="BL186" s="99" t="str">
        <f>IF($A186="","",IFERROR(INDEX('Usage and Coverage'!$C$63:$C$66,MATCH($X186,'Usage and Coverage'!$B$63:$B$66,0)),"?"))</f>
        <v/>
      </c>
      <c r="BM186" s="99" t="str">
        <f>IF($A186="","",IFERROR(INDEX('Usage and Coverage'!$C$70:$C$75,MATCH($V186,'Usage and Coverage'!$B$70:$B$75,0)),"?"))</f>
        <v/>
      </c>
      <c r="BN186" s="99" t="str">
        <f>IF($A186="","",IF($AB186="",1,IFERROR(INDEX(Deductibles!$C$48:$C$51,MATCH($AB186,Deductibles!$B$48:$B$51,0)),"?")))</f>
        <v/>
      </c>
      <c r="BO186" s="99" t="str">
        <f>IF($A186="","",IF($AC186="",1,IFERROR(INDEX(Deductibles!$C$55:$C$57,MATCH($AC186,Deductibles!$B$55:$B$57,0)),"?")))</f>
        <v/>
      </c>
      <c r="BP186" s="99" t="str">
        <f>IF($A186="","",IF($AD186="",1,IFERROR(INDEX(Deductibles!$C$61:$C$63,MATCH($AD186,Deductibles!$B$61:$B$63,0)),"?")))</f>
        <v/>
      </c>
      <c r="BQ186" s="99" t="str">
        <f>IF($A186="","",IF($AE186="",1,IFERROR(INDEX(Deductibles!$C$67:$C$69,MATCH($AE186,Deductibles!$B$67:$B$69,0)),"?")))</f>
        <v/>
      </c>
      <c r="BR186" s="99" t="str">
        <f>IF($A186="","",IF($AF186="",1,IFERROR(INDEX(Deductibles!$C$73:$C$74,MATCH($AF186,Deductibles!$B$73:$B$74,0)),"?")))</f>
        <v/>
      </c>
      <c r="BS186" s="99" t="str">
        <f>IF($A186="","",IF($AG186="",1,IFERROR(INDEX('Sublimits and Parts'!$C$49:$C$52,MATCH($AG186,'Sublimits and Parts'!$B$49:$B$52,0)),"?")))</f>
        <v/>
      </c>
      <c r="BT186" s="99" t="str">
        <f>IF($A186="","",IF($AH186="",1,IFERROR(INDEX('Sublimits and Parts'!$C$56:$C$60,MATCH($AH186,'Sublimits and Parts'!$B$56:$B$60,0)),"?")))</f>
        <v/>
      </c>
      <c r="BU186" s="99" t="str">
        <f>IF($A186="","",IF($AI186="",1,IFERROR(INDEX('Sublimits and Parts'!$C$64:$C$67,MATCH($AI186,'Sublimits and Parts'!$B$64:$B$67,0)),"?")))</f>
        <v/>
      </c>
      <c r="BV186" s="99" t="str">
        <f>IF($A186="","",IF($AJ186="",1,IFERROR(INDEX('Sublimits and Parts'!$C$71:$C$74,MATCH($AJ186,'Sublimits and Parts'!$B$71:$B$74,0)),"?")))</f>
        <v/>
      </c>
      <c r="BW186" s="99" t="str">
        <f>IF($A186="","",IF($AK186="",1,IFERROR(INDEX('Sublimits and Parts'!$C$78:$C$80,MATCH($AK186,'Sublimits and Parts'!$B$78:$B$80,0)),"?")))</f>
        <v/>
      </c>
      <c r="BX186" s="99" t="str">
        <f>IF($A186="","",IF($AL186="",1,IFERROR(INDEX('Sublimits and Parts'!$C$84:$C$87,MATCH($AL186,'Sublimits and Parts'!$B$84:$B$87,0)),"?")))</f>
        <v/>
      </c>
      <c r="BY186" s="99" t="str">
        <f>IF($A186="","",IF($AM186="",1,IFERROR(INDEX('Sublimits and Parts'!$C$91:$C$94,MATCH($AM186,'Sublimits and Parts'!$B$91:$B$94,0)),"?")))</f>
        <v/>
      </c>
      <c r="BZ186" s="99" t="str">
        <f>IF($A186="","",IF($AN186="",1,IFERROR(INDEX('Sublimits and Parts'!$C$98:$C$101,MATCH($AN186,'Sublimits and Parts'!$B$98:$B$101,0)),"?")))</f>
        <v/>
      </c>
      <c r="CA186" s="99" t="str">
        <f>IF($A186="","",IF($AO186="",1,IFERROR(INDEX('Sublimits and Parts'!$C$105:$C$109,MATCH($AO186,'Sublimits and Parts'!$B$105:$B$109,0)),"?")))</f>
        <v/>
      </c>
      <c r="CB186" s="100" t="str">
        <f t="shared" si="28"/>
        <v/>
      </c>
      <c r="CC186" s="100" t="str">
        <f t="shared" si="29"/>
        <v/>
      </c>
      <c r="CD186" s="103" t="str">
        <f>IF($A186="","",IF(OR($CB186="?",$CC186="?"),"?",MIN($CB186*$CC186,'Technical Premium'!$C$17)))</f>
        <v/>
      </c>
      <c r="CE186" s="102" t="str">
        <f t="shared" si="30"/>
        <v/>
      </c>
      <c r="CF186" s="102" t="str">
        <f>IF($A186="","",IFERROR(INDEX('Territory Factors'!$F$6:$F$56,MATCH($K186,'Territory Factors'!$B$6:$B$56,0)),"?"))</f>
        <v/>
      </c>
      <c r="CG186" s="100" t="str">
        <f>IF($A186="","",IFERROR(INDEX('Usage and Coverage'!$C$79:$C$84,MATCH($Y186,'Usage and Coverage'!$B$79:$B$84,0)),"?"))</f>
        <v/>
      </c>
      <c r="CH186" s="102" t="str">
        <f>IFERROR(IF(ISNUMBER($CD186),$CF186*$CG186*MIN($BG186*$BA186*$BC186*$BD186*$BH186*$BF186,'Technical Premium'!$C$17),""),"")</f>
        <v/>
      </c>
      <c r="CI186" s="102" t="str">
        <f t="shared" si="31"/>
        <v/>
      </c>
      <c r="CJ186" s="102" t="str">
        <f>IFERROR($CI186*(1+'Technical Premium'!$C$5)*(1+'Technical Premium'!$C$6),"")</f>
        <v/>
      </c>
      <c r="CK186" s="102" t="str">
        <f>IFERROR($CE186*INDEX('Territory Factors'!$G$6:$G$56,MATCH($K186,'Territory Factors'!$B$6:$B$56,0))*$AU186*$AV186,"")</f>
        <v/>
      </c>
      <c r="CL186" s="102" t="str">
        <f>IFERROR(($CJ186+$CK186)*(1+'Technical Premium'!$C$7),"")</f>
        <v/>
      </c>
      <c r="CM186" s="104" t="str">
        <f>IFERROR($CL186/'Technical Premium'!$C$13,"")</f>
        <v/>
      </c>
      <c r="CN186" s="105" t="str">
        <f t="shared" si="32"/>
        <v/>
      </c>
      <c r="CO186" s="104" t="str">
        <f t="shared" si="33"/>
        <v/>
      </c>
      <c r="CP186" s="105" t="str">
        <f t="shared" si="34"/>
        <v/>
      </c>
      <c r="CQ186" s="106" t="str">
        <f t="shared" si="35"/>
        <v/>
      </c>
      <c r="CR186" s="102" t="str">
        <f>IF(ISNUMBER($CM186),'Technical Premium'!$C$14+IF($J186&gt;=1000000,'Technical Premium'!$C$15,0),"")</f>
        <v/>
      </c>
      <c r="CS186" s="102" t="str">
        <f>IFERROR(($CO186+$CR186)*(INDEX('Territory Factors'!$K$6:$K$56,MATCH($K186,'Territory Factors'!$B$6:$B$56,0))+'Commission Structure'!$C$21),"")</f>
        <v/>
      </c>
      <c r="CT186" s="104" t="str">
        <f t="shared" si="36"/>
        <v/>
      </c>
      <c r="CU186" s="102" t="str">
        <f>IFERROR($CO186*('Commission Structure'!$C$6+'Commission Structure'!$C$7),"")</f>
        <v/>
      </c>
      <c r="CV186" s="102" t="str">
        <f>IFERROR($CO186*'Commission Structure'!$C$5-$CU186,"")</f>
        <v/>
      </c>
      <c r="CW186" s="102" t="str">
        <f>IFERROR($CO186*(1-'Commission Structure'!$C$5),"")</f>
        <v/>
      </c>
      <c r="CX186" s="107"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8" t="str">
        <f t="shared" si="37"/>
        <v/>
      </c>
      <c r="CZ186" s="99" t="str">
        <f>IF($CY186="","",IF($CY186&lt;'Technical Premium'!$C$19,"BEYOND AUTHORITY",IF($CY186&gt;0.005,"Above technical",IF($CY186&lt;-0.005,"BELOW technical","At technical"))))</f>
        <v/>
      </c>
      <c r="DA186" s="99"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4"/>
      <c r="DC186" s="94"/>
      <c r="DD186" s="95"/>
      <c r="DE186" s="94"/>
      <c r="DF186" s="94"/>
      <c r="DG186" s="99" t="str">
        <f t="shared" si="38"/>
        <v/>
      </c>
      <c r="DH186" s="99" t="str">
        <f>IF($A186="","",IF(OR($CX186="REFER",$CX186="DECLINE"),COUNTIF($CX$5:$CX186,"REFER")+COUNTIF($CX$5:$CX186,"DECLINE"),""))</f>
        <v/>
      </c>
      <c r="DI186" s="94"/>
    </row>
    <row r="187" spans="1:113" x14ac:dyDescent="0.35">
      <c r="A187" s="94"/>
      <c r="B187" s="94"/>
      <c r="C187" s="95"/>
      <c r="D187" s="95"/>
      <c r="E187" s="96"/>
      <c r="F187" s="94"/>
      <c r="G187" s="94"/>
      <c r="H187" s="94"/>
      <c r="I187" s="94"/>
      <c r="J187" s="97"/>
      <c r="K187" s="94"/>
      <c r="L187" s="94"/>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8"/>
      <c r="AR187" s="99" t="str">
        <f t="shared" si="26"/>
        <v/>
      </c>
      <c r="AS187" s="99" t="str">
        <f>IF($A187="","",IF($AP187&lt;&gt;"",$AP187,IFERROR(INDEX('Cat Zone by ZIP'!$D$6:$D$856,MATCH($AR187,'Cat Zone by ZIP'!$B$6:$B$856,0)),IFERROR(INDEX('Cat Zone by ZIP'!$C$860:$C$910,MATCH($K187,'Cat Zone by ZIP'!$B$860:$B$910,0)),"NOT FOUND"))))</f>
        <v/>
      </c>
      <c r="AT187" s="99" t="str">
        <f>IF($A187="","",IF($AP187&lt;&gt;"","Override",IF(ISNUMBER(MATCH($AR187,'Cat Zone by ZIP'!$B$6:$B$856,0)),"ZIP-3","State default")))</f>
        <v/>
      </c>
      <c r="AU187" s="100" t="str">
        <f>IF($A187="","",IFERROR(INDEX('Natural Catastrophe'!$D$6:$D$17,MATCH($AS187,'Natural Catastrophe'!$B$6:$B$17,0)),"?"))</f>
        <v/>
      </c>
      <c r="AV187" s="100" t="str">
        <f>IF($A187="","",IFERROR(INDEX('Natural Catastrophe'!$C$21:$C$26,MATCH($AA187,'Natural Catastrophe'!$B$21:$B$26,0)),"?"))</f>
        <v/>
      </c>
      <c r="AW187" s="99" t="str">
        <f>IF($A187="","",IFERROR(INDEX('Base Rates'!$C$4:$I$4,MATCH(MAX($J187,'Technical Premium'!$C$18),'Base Rates'!$C$3:$I$3,1)),"?"))</f>
        <v/>
      </c>
      <c r="AX187" s="101" t="str">
        <f>IF($A187="","",IFERROR(INDEX('Base Rates'!$C$5:$I$16,MATCH($I187,'Base Rates'!$B$5:$B$16,0),MATCH(MAX($J187,'Technical Premium'!$C$18),'Base Rates'!$C$3:$I$3,1)),"?"))</f>
        <v/>
      </c>
      <c r="AY187" s="102" t="str">
        <f t="shared" si="27"/>
        <v/>
      </c>
      <c r="AZ187" s="99" t="str">
        <f>IF($A187="","",IFERROR(INDEX('Make Factors'!$G$5:$G$69,MATCH($F187,'Make Factors'!$B$5:$B$69,0)),"?"))</f>
        <v/>
      </c>
      <c r="BA187" s="99" t="str">
        <f>IF($A187="","",IFERROR(INDEX('Driver Factors'!$C$6:$C$15,MATCH($R187,'Driver Factors'!$B$6:$B$15,0)),"?"))</f>
        <v/>
      </c>
      <c r="BB187" s="99" t="str">
        <f>IF($A187="","",IFERROR(INDEX('Driver Factors'!$C$19:$C$24,MATCH($S187,'Driver Factors'!$B$19:$B$24,0)),"?"))</f>
        <v/>
      </c>
      <c r="BC187" s="99" t="str">
        <f>IF($A187="","",IFERROR(INDEX('Driver Factors'!$C$28:$C$36,MATCH($T187,'Driver Factors'!$B$28:$B$36,0)),"?"))</f>
        <v/>
      </c>
      <c r="BD187" s="99" t="str">
        <f>IF($A187="","",IFERROR(INDEX('Claims History'!$C$6:$C$15,MATCH($U187,'Claims History'!$B$6:$B$15,0)),"?"))</f>
        <v/>
      </c>
      <c r="BE187" s="99" t="str">
        <f>IF($A187="","",IFERROR(INDEX('Territory Factors'!$E$6:$E$56,MATCH($K187,'Territory Factors'!$B$6:$B$56,0)),"?"))</f>
        <v/>
      </c>
      <c r="BF187" s="99" t="str">
        <f>IF($A187="","",IFERROR(INDEX('City Accident Ratings'!$G$6:$G$54,MATCH($Z187,'City Accident Ratings'!$B$6:$B$54,0)),"?"))</f>
        <v/>
      </c>
      <c r="BG187" s="99" t="str">
        <f>IF($A187="","",IFERROR(INDEX('Usage and Coverage'!$D$6:$D$20,MATCH($N187,'Usage and Coverage'!$C$6:$C$20,0)),"?"))</f>
        <v/>
      </c>
      <c r="BH187" s="99" t="str">
        <f>IF($A187="","",IFERROR(INDEX('Usage and Coverage'!$C$24:$C$30,MATCH($O187,'Usage and Coverage'!$B$24:$B$30,0)),"?"))</f>
        <v/>
      </c>
      <c r="BI187" s="99" t="str">
        <f>IF($A187="","",IFERROR(INDEX('Usage and Coverage'!$C$34:$C$40,MATCH($P187,'Usage and Coverage'!$B$34:$B$40,0)),"?"))</f>
        <v/>
      </c>
      <c r="BJ187" s="99" t="str">
        <f>IF($A187="","",IFERROR(INDEX('Usage and Coverage'!$C$44:$C$49,MATCH($Q187,'Usage and Coverage'!$B$44:$B$49,0)),"?"))</f>
        <v/>
      </c>
      <c r="BK187" s="99" t="str">
        <f>IF($A187="","",IFERROR(INDEX(Deductibles!$C$6:$I$15,MATCH($W187,Deductibles!$B$6:$B$15,0),MATCH(MAX($J187,'Technical Premium'!$C$18),'Base Rates'!$C$3:$I$3,1)),"?"))</f>
        <v/>
      </c>
      <c r="BL187" s="99" t="str">
        <f>IF($A187="","",IFERROR(INDEX('Usage and Coverage'!$C$63:$C$66,MATCH($X187,'Usage and Coverage'!$B$63:$B$66,0)),"?"))</f>
        <v/>
      </c>
      <c r="BM187" s="99" t="str">
        <f>IF($A187="","",IFERROR(INDEX('Usage and Coverage'!$C$70:$C$75,MATCH($V187,'Usage and Coverage'!$B$70:$B$75,0)),"?"))</f>
        <v/>
      </c>
      <c r="BN187" s="99" t="str">
        <f>IF($A187="","",IF($AB187="",1,IFERROR(INDEX(Deductibles!$C$48:$C$51,MATCH($AB187,Deductibles!$B$48:$B$51,0)),"?")))</f>
        <v/>
      </c>
      <c r="BO187" s="99" t="str">
        <f>IF($A187="","",IF($AC187="",1,IFERROR(INDEX(Deductibles!$C$55:$C$57,MATCH($AC187,Deductibles!$B$55:$B$57,0)),"?")))</f>
        <v/>
      </c>
      <c r="BP187" s="99" t="str">
        <f>IF($A187="","",IF($AD187="",1,IFERROR(INDEX(Deductibles!$C$61:$C$63,MATCH($AD187,Deductibles!$B$61:$B$63,0)),"?")))</f>
        <v/>
      </c>
      <c r="BQ187" s="99" t="str">
        <f>IF($A187="","",IF($AE187="",1,IFERROR(INDEX(Deductibles!$C$67:$C$69,MATCH($AE187,Deductibles!$B$67:$B$69,0)),"?")))</f>
        <v/>
      </c>
      <c r="BR187" s="99" t="str">
        <f>IF($A187="","",IF($AF187="",1,IFERROR(INDEX(Deductibles!$C$73:$C$74,MATCH($AF187,Deductibles!$B$73:$B$74,0)),"?")))</f>
        <v/>
      </c>
      <c r="BS187" s="99" t="str">
        <f>IF($A187="","",IF($AG187="",1,IFERROR(INDEX('Sublimits and Parts'!$C$49:$C$52,MATCH($AG187,'Sublimits and Parts'!$B$49:$B$52,0)),"?")))</f>
        <v/>
      </c>
      <c r="BT187" s="99" t="str">
        <f>IF($A187="","",IF($AH187="",1,IFERROR(INDEX('Sublimits and Parts'!$C$56:$C$60,MATCH($AH187,'Sublimits and Parts'!$B$56:$B$60,0)),"?")))</f>
        <v/>
      </c>
      <c r="BU187" s="99" t="str">
        <f>IF($A187="","",IF($AI187="",1,IFERROR(INDEX('Sublimits and Parts'!$C$64:$C$67,MATCH($AI187,'Sublimits and Parts'!$B$64:$B$67,0)),"?")))</f>
        <v/>
      </c>
      <c r="BV187" s="99" t="str">
        <f>IF($A187="","",IF($AJ187="",1,IFERROR(INDEX('Sublimits and Parts'!$C$71:$C$74,MATCH($AJ187,'Sublimits and Parts'!$B$71:$B$74,0)),"?")))</f>
        <v/>
      </c>
      <c r="BW187" s="99" t="str">
        <f>IF($A187="","",IF($AK187="",1,IFERROR(INDEX('Sublimits and Parts'!$C$78:$C$80,MATCH($AK187,'Sublimits and Parts'!$B$78:$B$80,0)),"?")))</f>
        <v/>
      </c>
      <c r="BX187" s="99" t="str">
        <f>IF($A187="","",IF($AL187="",1,IFERROR(INDEX('Sublimits and Parts'!$C$84:$C$87,MATCH($AL187,'Sublimits and Parts'!$B$84:$B$87,0)),"?")))</f>
        <v/>
      </c>
      <c r="BY187" s="99" t="str">
        <f>IF($A187="","",IF($AM187="",1,IFERROR(INDEX('Sublimits and Parts'!$C$91:$C$94,MATCH($AM187,'Sublimits and Parts'!$B$91:$B$94,0)),"?")))</f>
        <v/>
      </c>
      <c r="BZ187" s="99" t="str">
        <f>IF($A187="","",IF($AN187="",1,IFERROR(INDEX('Sublimits and Parts'!$C$98:$C$101,MATCH($AN187,'Sublimits and Parts'!$B$98:$B$101,0)),"?")))</f>
        <v/>
      </c>
      <c r="CA187" s="99" t="str">
        <f>IF($A187="","",IF($AO187="",1,IFERROR(INDEX('Sublimits and Parts'!$C$105:$C$109,MATCH($AO187,'Sublimits and Parts'!$B$105:$B$109,0)),"?")))</f>
        <v/>
      </c>
      <c r="CB187" s="100" t="str">
        <f t="shared" si="28"/>
        <v/>
      </c>
      <c r="CC187" s="100" t="str">
        <f t="shared" si="29"/>
        <v/>
      </c>
      <c r="CD187" s="103" t="str">
        <f>IF($A187="","",IF(OR($CB187="?",$CC187="?"),"?",MIN($CB187*$CC187,'Technical Premium'!$C$17)))</f>
        <v/>
      </c>
      <c r="CE187" s="102" t="str">
        <f t="shared" si="30"/>
        <v/>
      </c>
      <c r="CF187" s="102" t="str">
        <f>IF($A187="","",IFERROR(INDEX('Territory Factors'!$F$6:$F$56,MATCH($K187,'Territory Factors'!$B$6:$B$56,0)),"?"))</f>
        <v/>
      </c>
      <c r="CG187" s="100" t="str">
        <f>IF($A187="","",IFERROR(INDEX('Usage and Coverage'!$C$79:$C$84,MATCH($Y187,'Usage and Coverage'!$B$79:$B$84,0)),"?"))</f>
        <v/>
      </c>
      <c r="CH187" s="102" t="str">
        <f>IFERROR(IF(ISNUMBER($CD187),$CF187*$CG187*MIN($BG187*$BA187*$BC187*$BD187*$BH187*$BF187,'Technical Premium'!$C$17),""),"")</f>
        <v/>
      </c>
      <c r="CI187" s="102" t="str">
        <f t="shared" si="31"/>
        <v/>
      </c>
      <c r="CJ187" s="102" t="str">
        <f>IFERROR($CI187*(1+'Technical Premium'!$C$5)*(1+'Technical Premium'!$C$6),"")</f>
        <v/>
      </c>
      <c r="CK187" s="102" t="str">
        <f>IFERROR($CE187*INDEX('Territory Factors'!$G$6:$G$56,MATCH($K187,'Territory Factors'!$B$6:$B$56,0))*$AU187*$AV187,"")</f>
        <v/>
      </c>
      <c r="CL187" s="102" t="str">
        <f>IFERROR(($CJ187+$CK187)*(1+'Technical Premium'!$C$7),"")</f>
        <v/>
      </c>
      <c r="CM187" s="104" t="str">
        <f>IFERROR($CL187/'Technical Premium'!$C$13,"")</f>
        <v/>
      </c>
      <c r="CN187" s="105" t="str">
        <f t="shared" si="32"/>
        <v/>
      </c>
      <c r="CO187" s="104" t="str">
        <f t="shared" si="33"/>
        <v/>
      </c>
      <c r="CP187" s="105" t="str">
        <f t="shared" si="34"/>
        <v/>
      </c>
      <c r="CQ187" s="106" t="str">
        <f t="shared" si="35"/>
        <v/>
      </c>
      <c r="CR187" s="102" t="str">
        <f>IF(ISNUMBER($CM187),'Technical Premium'!$C$14+IF($J187&gt;=1000000,'Technical Premium'!$C$15,0),"")</f>
        <v/>
      </c>
      <c r="CS187" s="102" t="str">
        <f>IFERROR(($CO187+$CR187)*(INDEX('Territory Factors'!$K$6:$K$56,MATCH($K187,'Territory Factors'!$B$6:$B$56,0))+'Commission Structure'!$C$21),"")</f>
        <v/>
      </c>
      <c r="CT187" s="104" t="str">
        <f t="shared" si="36"/>
        <v/>
      </c>
      <c r="CU187" s="102" t="str">
        <f>IFERROR($CO187*('Commission Structure'!$C$6+'Commission Structure'!$C$7),"")</f>
        <v/>
      </c>
      <c r="CV187" s="102" t="str">
        <f>IFERROR($CO187*'Commission Structure'!$C$5-$CU187,"")</f>
        <v/>
      </c>
      <c r="CW187" s="102" t="str">
        <f>IFERROR($CO187*(1-'Commission Structure'!$C$5),"")</f>
        <v/>
      </c>
      <c r="CX187" s="107"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8" t="str">
        <f t="shared" si="37"/>
        <v/>
      </c>
      <c r="CZ187" s="99" t="str">
        <f>IF($CY187="","",IF($CY187&lt;'Technical Premium'!$C$19,"BEYOND AUTHORITY",IF($CY187&gt;0.005,"Above technical",IF($CY187&lt;-0.005,"BELOW technical","At technical"))))</f>
        <v/>
      </c>
      <c r="DA187" s="99"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4"/>
      <c r="DC187" s="94"/>
      <c r="DD187" s="95"/>
      <c r="DE187" s="94"/>
      <c r="DF187" s="94"/>
      <c r="DG187" s="99" t="str">
        <f t="shared" si="38"/>
        <v/>
      </c>
      <c r="DH187" s="99" t="str">
        <f>IF($A187="","",IF(OR($CX187="REFER",$CX187="DECLINE"),COUNTIF($CX$5:$CX187,"REFER")+COUNTIF($CX$5:$CX187,"DECLINE"),""))</f>
        <v/>
      </c>
      <c r="DI187" s="94"/>
    </row>
    <row r="188" spans="1:113" x14ac:dyDescent="0.35">
      <c r="A188" s="94"/>
      <c r="B188" s="94"/>
      <c r="C188" s="95"/>
      <c r="D188" s="95"/>
      <c r="E188" s="96"/>
      <c r="F188" s="94"/>
      <c r="G188" s="94"/>
      <c r="H188" s="94"/>
      <c r="I188" s="94"/>
      <c r="J188" s="97"/>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8"/>
      <c r="AR188" s="99" t="str">
        <f t="shared" si="26"/>
        <v/>
      </c>
      <c r="AS188" s="99" t="str">
        <f>IF($A188="","",IF($AP188&lt;&gt;"",$AP188,IFERROR(INDEX('Cat Zone by ZIP'!$D$6:$D$856,MATCH($AR188,'Cat Zone by ZIP'!$B$6:$B$856,0)),IFERROR(INDEX('Cat Zone by ZIP'!$C$860:$C$910,MATCH($K188,'Cat Zone by ZIP'!$B$860:$B$910,0)),"NOT FOUND"))))</f>
        <v/>
      </c>
      <c r="AT188" s="99" t="str">
        <f>IF($A188="","",IF($AP188&lt;&gt;"","Override",IF(ISNUMBER(MATCH($AR188,'Cat Zone by ZIP'!$B$6:$B$856,0)),"ZIP-3","State default")))</f>
        <v/>
      </c>
      <c r="AU188" s="100" t="str">
        <f>IF($A188="","",IFERROR(INDEX('Natural Catastrophe'!$D$6:$D$17,MATCH($AS188,'Natural Catastrophe'!$B$6:$B$17,0)),"?"))</f>
        <v/>
      </c>
      <c r="AV188" s="100" t="str">
        <f>IF($A188="","",IFERROR(INDEX('Natural Catastrophe'!$C$21:$C$26,MATCH($AA188,'Natural Catastrophe'!$B$21:$B$26,0)),"?"))</f>
        <v/>
      </c>
      <c r="AW188" s="99" t="str">
        <f>IF($A188="","",IFERROR(INDEX('Base Rates'!$C$4:$I$4,MATCH(MAX($J188,'Technical Premium'!$C$18),'Base Rates'!$C$3:$I$3,1)),"?"))</f>
        <v/>
      </c>
      <c r="AX188" s="101" t="str">
        <f>IF($A188="","",IFERROR(INDEX('Base Rates'!$C$5:$I$16,MATCH($I188,'Base Rates'!$B$5:$B$16,0),MATCH(MAX($J188,'Technical Premium'!$C$18),'Base Rates'!$C$3:$I$3,1)),"?"))</f>
        <v/>
      </c>
      <c r="AY188" s="102" t="str">
        <f t="shared" si="27"/>
        <v/>
      </c>
      <c r="AZ188" s="99" t="str">
        <f>IF($A188="","",IFERROR(INDEX('Make Factors'!$G$5:$G$69,MATCH($F188,'Make Factors'!$B$5:$B$69,0)),"?"))</f>
        <v/>
      </c>
      <c r="BA188" s="99" t="str">
        <f>IF($A188="","",IFERROR(INDEX('Driver Factors'!$C$6:$C$15,MATCH($R188,'Driver Factors'!$B$6:$B$15,0)),"?"))</f>
        <v/>
      </c>
      <c r="BB188" s="99" t="str">
        <f>IF($A188="","",IFERROR(INDEX('Driver Factors'!$C$19:$C$24,MATCH($S188,'Driver Factors'!$B$19:$B$24,0)),"?"))</f>
        <v/>
      </c>
      <c r="BC188" s="99" t="str">
        <f>IF($A188="","",IFERROR(INDEX('Driver Factors'!$C$28:$C$36,MATCH($T188,'Driver Factors'!$B$28:$B$36,0)),"?"))</f>
        <v/>
      </c>
      <c r="BD188" s="99" t="str">
        <f>IF($A188="","",IFERROR(INDEX('Claims History'!$C$6:$C$15,MATCH($U188,'Claims History'!$B$6:$B$15,0)),"?"))</f>
        <v/>
      </c>
      <c r="BE188" s="99" t="str">
        <f>IF($A188="","",IFERROR(INDEX('Territory Factors'!$E$6:$E$56,MATCH($K188,'Territory Factors'!$B$6:$B$56,0)),"?"))</f>
        <v/>
      </c>
      <c r="BF188" s="99" t="str">
        <f>IF($A188="","",IFERROR(INDEX('City Accident Ratings'!$G$6:$G$54,MATCH($Z188,'City Accident Ratings'!$B$6:$B$54,0)),"?"))</f>
        <v/>
      </c>
      <c r="BG188" s="99" t="str">
        <f>IF($A188="","",IFERROR(INDEX('Usage and Coverage'!$D$6:$D$20,MATCH($N188,'Usage and Coverage'!$C$6:$C$20,0)),"?"))</f>
        <v/>
      </c>
      <c r="BH188" s="99" t="str">
        <f>IF($A188="","",IFERROR(INDEX('Usage and Coverage'!$C$24:$C$30,MATCH($O188,'Usage and Coverage'!$B$24:$B$30,0)),"?"))</f>
        <v/>
      </c>
      <c r="BI188" s="99" t="str">
        <f>IF($A188="","",IFERROR(INDEX('Usage and Coverage'!$C$34:$C$40,MATCH($P188,'Usage and Coverage'!$B$34:$B$40,0)),"?"))</f>
        <v/>
      </c>
      <c r="BJ188" s="99" t="str">
        <f>IF($A188="","",IFERROR(INDEX('Usage and Coverage'!$C$44:$C$49,MATCH($Q188,'Usage and Coverage'!$B$44:$B$49,0)),"?"))</f>
        <v/>
      </c>
      <c r="BK188" s="99" t="str">
        <f>IF($A188="","",IFERROR(INDEX(Deductibles!$C$6:$I$15,MATCH($W188,Deductibles!$B$6:$B$15,0),MATCH(MAX($J188,'Technical Premium'!$C$18),'Base Rates'!$C$3:$I$3,1)),"?"))</f>
        <v/>
      </c>
      <c r="BL188" s="99" t="str">
        <f>IF($A188="","",IFERROR(INDEX('Usage and Coverage'!$C$63:$C$66,MATCH($X188,'Usage and Coverage'!$B$63:$B$66,0)),"?"))</f>
        <v/>
      </c>
      <c r="BM188" s="99" t="str">
        <f>IF($A188="","",IFERROR(INDEX('Usage and Coverage'!$C$70:$C$75,MATCH($V188,'Usage and Coverage'!$B$70:$B$75,0)),"?"))</f>
        <v/>
      </c>
      <c r="BN188" s="99" t="str">
        <f>IF($A188="","",IF($AB188="",1,IFERROR(INDEX(Deductibles!$C$48:$C$51,MATCH($AB188,Deductibles!$B$48:$B$51,0)),"?")))</f>
        <v/>
      </c>
      <c r="BO188" s="99" t="str">
        <f>IF($A188="","",IF($AC188="",1,IFERROR(INDEX(Deductibles!$C$55:$C$57,MATCH($AC188,Deductibles!$B$55:$B$57,0)),"?")))</f>
        <v/>
      </c>
      <c r="BP188" s="99" t="str">
        <f>IF($A188="","",IF($AD188="",1,IFERROR(INDEX(Deductibles!$C$61:$C$63,MATCH($AD188,Deductibles!$B$61:$B$63,0)),"?")))</f>
        <v/>
      </c>
      <c r="BQ188" s="99" t="str">
        <f>IF($A188="","",IF($AE188="",1,IFERROR(INDEX(Deductibles!$C$67:$C$69,MATCH($AE188,Deductibles!$B$67:$B$69,0)),"?")))</f>
        <v/>
      </c>
      <c r="BR188" s="99" t="str">
        <f>IF($A188="","",IF($AF188="",1,IFERROR(INDEX(Deductibles!$C$73:$C$74,MATCH($AF188,Deductibles!$B$73:$B$74,0)),"?")))</f>
        <v/>
      </c>
      <c r="BS188" s="99" t="str">
        <f>IF($A188="","",IF($AG188="",1,IFERROR(INDEX('Sublimits and Parts'!$C$49:$C$52,MATCH($AG188,'Sublimits and Parts'!$B$49:$B$52,0)),"?")))</f>
        <v/>
      </c>
      <c r="BT188" s="99" t="str">
        <f>IF($A188="","",IF($AH188="",1,IFERROR(INDEX('Sublimits and Parts'!$C$56:$C$60,MATCH($AH188,'Sublimits and Parts'!$B$56:$B$60,0)),"?")))</f>
        <v/>
      </c>
      <c r="BU188" s="99" t="str">
        <f>IF($A188="","",IF($AI188="",1,IFERROR(INDEX('Sublimits and Parts'!$C$64:$C$67,MATCH($AI188,'Sublimits and Parts'!$B$64:$B$67,0)),"?")))</f>
        <v/>
      </c>
      <c r="BV188" s="99" t="str">
        <f>IF($A188="","",IF($AJ188="",1,IFERROR(INDEX('Sublimits and Parts'!$C$71:$C$74,MATCH($AJ188,'Sublimits and Parts'!$B$71:$B$74,0)),"?")))</f>
        <v/>
      </c>
      <c r="BW188" s="99" t="str">
        <f>IF($A188="","",IF($AK188="",1,IFERROR(INDEX('Sublimits and Parts'!$C$78:$C$80,MATCH($AK188,'Sublimits and Parts'!$B$78:$B$80,0)),"?")))</f>
        <v/>
      </c>
      <c r="BX188" s="99" t="str">
        <f>IF($A188="","",IF($AL188="",1,IFERROR(INDEX('Sublimits and Parts'!$C$84:$C$87,MATCH($AL188,'Sublimits and Parts'!$B$84:$B$87,0)),"?")))</f>
        <v/>
      </c>
      <c r="BY188" s="99" t="str">
        <f>IF($A188="","",IF($AM188="",1,IFERROR(INDEX('Sublimits and Parts'!$C$91:$C$94,MATCH($AM188,'Sublimits and Parts'!$B$91:$B$94,0)),"?")))</f>
        <v/>
      </c>
      <c r="BZ188" s="99" t="str">
        <f>IF($A188="","",IF($AN188="",1,IFERROR(INDEX('Sublimits and Parts'!$C$98:$C$101,MATCH($AN188,'Sublimits and Parts'!$B$98:$B$101,0)),"?")))</f>
        <v/>
      </c>
      <c r="CA188" s="99" t="str">
        <f>IF($A188="","",IF($AO188="",1,IFERROR(INDEX('Sublimits and Parts'!$C$105:$C$109,MATCH($AO188,'Sublimits and Parts'!$B$105:$B$109,0)),"?")))</f>
        <v/>
      </c>
      <c r="CB188" s="100" t="str">
        <f t="shared" si="28"/>
        <v/>
      </c>
      <c r="CC188" s="100" t="str">
        <f t="shared" si="29"/>
        <v/>
      </c>
      <c r="CD188" s="103" t="str">
        <f>IF($A188="","",IF(OR($CB188="?",$CC188="?"),"?",MIN($CB188*$CC188,'Technical Premium'!$C$17)))</f>
        <v/>
      </c>
      <c r="CE188" s="102" t="str">
        <f t="shared" si="30"/>
        <v/>
      </c>
      <c r="CF188" s="102" t="str">
        <f>IF($A188="","",IFERROR(INDEX('Territory Factors'!$F$6:$F$56,MATCH($K188,'Territory Factors'!$B$6:$B$56,0)),"?"))</f>
        <v/>
      </c>
      <c r="CG188" s="100" t="str">
        <f>IF($A188="","",IFERROR(INDEX('Usage and Coverage'!$C$79:$C$84,MATCH($Y188,'Usage and Coverage'!$B$79:$B$84,0)),"?"))</f>
        <v/>
      </c>
      <c r="CH188" s="102" t="str">
        <f>IFERROR(IF(ISNUMBER($CD188),$CF188*$CG188*MIN($BG188*$BA188*$BC188*$BD188*$BH188*$BF188,'Technical Premium'!$C$17),""),"")</f>
        <v/>
      </c>
      <c r="CI188" s="102" t="str">
        <f t="shared" si="31"/>
        <v/>
      </c>
      <c r="CJ188" s="102" t="str">
        <f>IFERROR($CI188*(1+'Technical Premium'!$C$5)*(1+'Technical Premium'!$C$6),"")</f>
        <v/>
      </c>
      <c r="CK188" s="102" t="str">
        <f>IFERROR($CE188*INDEX('Territory Factors'!$G$6:$G$56,MATCH($K188,'Territory Factors'!$B$6:$B$56,0))*$AU188*$AV188,"")</f>
        <v/>
      </c>
      <c r="CL188" s="102" t="str">
        <f>IFERROR(($CJ188+$CK188)*(1+'Technical Premium'!$C$7),"")</f>
        <v/>
      </c>
      <c r="CM188" s="104" t="str">
        <f>IFERROR($CL188/'Technical Premium'!$C$13,"")</f>
        <v/>
      </c>
      <c r="CN188" s="105" t="str">
        <f t="shared" si="32"/>
        <v/>
      </c>
      <c r="CO188" s="104" t="str">
        <f t="shared" si="33"/>
        <v/>
      </c>
      <c r="CP188" s="105" t="str">
        <f t="shared" si="34"/>
        <v/>
      </c>
      <c r="CQ188" s="106" t="str">
        <f t="shared" si="35"/>
        <v/>
      </c>
      <c r="CR188" s="102" t="str">
        <f>IF(ISNUMBER($CM188),'Technical Premium'!$C$14+IF($J188&gt;=1000000,'Technical Premium'!$C$15,0),"")</f>
        <v/>
      </c>
      <c r="CS188" s="102" t="str">
        <f>IFERROR(($CO188+$CR188)*(INDEX('Territory Factors'!$K$6:$K$56,MATCH($K188,'Territory Factors'!$B$6:$B$56,0))+'Commission Structure'!$C$21),"")</f>
        <v/>
      </c>
      <c r="CT188" s="104" t="str">
        <f t="shared" si="36"/>
        <v/>
      </c>
      <c r="CU188" s="102" t="str">
        <f>IFERROR($CO188*('Commission Structure'!$C$6+'Commission Structure'!$C$7),"")</f>
        <v/>
      </c>
      <c r="CV188" s="102" t="str">
        <f>IFERROR($CO188*'Commission Structure'!$C$5-$CU188,"")</f>
        <v/>
      </c>
      <c r="CW188" s="102" t="str">
        <f>IFERROR($CO188*(1-'Commission Structure'!$C$5),"")</f>
        <v/>
      </c>
      <c r="CX188" s="107"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8" t="str">
        <f t="shared" si="37"/>
        <v/>
      </c>
      <c r="CZ188" s="99" t="str">
        <f>IF($CY188="","",IF($CY188&lt;'Technical Premium'!$C$19,"BEYOND AUTHORITY",IF($CY188&gt;0.005,"Above technical",IF($CY188&lt;-0.005,"BELOW technical","At technical"))))</f>
        <v/>
      </c>
      <c r="DA188" s="99"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4"/>
      <c r="DC188" s="94"/>
      <c r="DD188" s="95"/>
      <c r="DE188" s="94"/>
      <c r="DF188" s="94"/>
      <c r="DG188" s="99" t="str">
        <f t="shared" si="38"/>
        <v/>
      </c>
      <c r="DH188" s="99" t="str">
        <f>IF($A188="","",IF(OR($CX188="REFER",$CX188="DECLINE"),COUNTIF($CX$5:$CX188,"REFER")+COUNTIF($CX$5:$CX188,"DECLINE"),""))</f>
        <v/>
      </c>
      <c r="DI188" s="94"/>
    </row>
    <row r="189" spans="1:113" x14ac:dyDescent="0.35">
      <c r="A189" s="94"/>
      <c r="B189" s="94"/>
      <c r="C189" s="95"/>
      <c r="D189" s="95"/>
      <c r="E189" s="96"/>
      <c r="F189" s="94"/>
      <c r="G189" s="94"/>
      <c r="H189" s="94"/>
      <c r="I189" s="94"/>
      <c r="J189" s="97"/>
      <c r="K189" s="94"/>
      <c r="L189" s="94"/>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8"/>
      <c r="AR189" s="99" t="str">
        <f t="shared" si="26"/>
        <v/>
      </c>
      <c r="AS189" s="99" t="str">
        <f>IF($A189="","",IF($AP189&lt;&gt;"",$AP189,IFERROR(INDEX('Cat Zone by ZIP'!$D$6:$D$856,MATCH($AR189,'Cat Zone by ZIP'!$B$6:$B$856,0)),IFERROR(INDEX('Cat Zone by ZIP'!$C$860:$C$910,MATCH($K189,'Cat Zone by ZIP'!$B$860:$B$910,0)),"NOT FOUND"))))</f>
        <v/>
      </c>
      <c r="AT189" s="99" t="str">
        <f>IF($A189="","",IF($AP189&lt;&gt;"","Override",IF(ISNUMBER(MATCH($AR189,'Cat Zone by ZIP'!$B$6:$B$856,0)),"ZIP-3","State default")))</f>
        <v/>
      </c>
      <c r="AU189" s="100" t="str">
        <f>IF($A189="","",IFERROR(INDEX('Natural Catastrophe'!$D$6:$D$17,MATCH($AS189,'Natural Catastrophe'!$B$6:$B$17,0)),"?"))</f>
        <v/>
      </c>
      <c r="AV189" s="100" t="str">
        <f>IF($A189="","",IFERROR(INDEX('Natural Catastrophe'!$C$21:$C$26,MATCH($AA189,'Natural Catastrophe'!$B$21:$B$26,0)),"?"))</f>
        <v/>
      </c>
      <c r="AW189" s="99" t="str">
        <f>IF($A189="","",IFERROR(INDEX('Base Rates'!$C$4:$I$4,MATCH(MAX($J189,'Technical Premium'!$C$18),'Base Rates'!$C$3:$I$3,1)),"?"))</f>
        <v/>
      </c>
      <c r="AX189" s="101" t="str">
        <f>IF($A189="","",IFERROR(INDEX('Base Rates'!$C$5:$I$16,MATCH($I189,'Base Rates'!$B$5:$B$16,0),MATCH(MAX($J189,'Technical Premium'!$C$18),'Base Rates'!$C$3:$I$3,1)),"?"))</f>
        <v/>
      </c>
      <c r="AY189" s="102" t="str">
        <f t="shared" si="27"/>
        <v/>
      </c>
      <c r="AZ189" s="99" t="str">
        <f>IF($A189="","",IFERROR(INDEX('Make Factors'!$G$5:$G$69,MATCH($F189,'Make Factors'!$B$5:$B$69,0)),"?"))</f>
        <v/>
      </c>
      <c r="BA189" s="99" t="str">
        <f>IF($A189="","",IFERROR(INDEX('Driver Factors'!$C$6:$C$15,MATCH($R189,'Driver Factors'!$B$6:$B$15,0)),"?"))</f>
        <v/>
      </c>
      <c r="BB189" s="99" t="str">
        <f>IF($A189="","",IFERROR(INDEX('Driver Factors'!$C$19:$C$24,MATCH($S189,'Driver Factors'!$B$19:$B$24,0)),"?"))</f>
        <v/>
      </c>
      <c r="BC189" s="99" t="str">
        <f>IF($A189="","",IFERROR(INDEX('Driver Factors'!$C$28:$C$36,MATCH($T189,'Driver Factors'!$B$28:$B$36,0)),"?"))</f>
        <v/>
      </c>
      <c r="BD189" s="99" t="str">
        <f>IF($A189="","",IFERROR(INDEX('Claims History'!$C$6:$C$15,MATCH($U189,'Claims History'!$B$6:$B$15,0)),"?"))</f>
        <v/>
      </c>
      <c r="BE189" s="99" t="str">
        <f>IF($A189="","",IFERROR(INDEX('Territory Factors'!$E$6:$E$56,MATCH($K189,'Territory Factors'!$B$6:$B$56,0)),"?"))</f>
        <v/>
      </c>
      <c r="BF189" s="99" t="str">
        <f>IF($A189="","",IFERROR(INDEX('City Accident Ratings'!$G$6:$G$54,MATCH($Z189,'City Accident Ratings'!$B$6:$B$54,0)),"?"))</f>
        <v/>
      </c>
      <c r="BG189" s="99" t="str">
        <f>IF($A189="","",IFERROR(INDEX('Usage and Coverage'!$D$6:$D$20,MATCH($N189,'Usage and Coverage'!$C$6:$C$20,0)),"?"))</f>
        <v/>
      </c>
      <c r="BH189" s="99" t="str">
        <f>IF($A189="","",IFERROR(INDEX('Usage and Coverage'!$C$24:$C$30,MATCH($O189,'Usage and Coverage'!$B$24:$B$30,0)),"?"))</f>
        <v/>
      </c>
      <c r="BI189" s="99" t="str">
        <f>IF($A189="","",IFERROR(INDEX('Usage and Coverage'!$C$34:$C$40,MATCH($P189,'Usage and Coverage'!$B$34:$B$40,0)),"?"))</f>
        <v/>
      </c>
      <c r="BJ189" s="99" t="str">
        <f>IF($A189="","",IFERROR(INDEX('Usage and Coverage'!$C$44:$C$49,MATCH($Q189,'Usage and Coverage'!$B$44:$B$49,0)),"?"))</f>
        <v/>
      </c>
      <c r="BK189" s="99" t="str">
        <f>IF($A189="","",IFERROR(INDEX(Deductibles!$C$6:$I$15,MATCH($W189,Deductibles!$B$6:$B$15,0),MATCH(MAX($J189,'Technical Premium'!$C$18),'Base Rates'!$C$3:$I$3,1)),"?"))</f>
        <v/>
      </c>
      <c r="BL189" s="99" t="str">
        <f>IF($A189="","",IFERROR(INDEX('Usage and Coverage'!$C$63:$C$66,MATCH($X189,'Usage and Coverage'!$B$63:$B$66,0)),"?"))</f>
        <v/>
      </c>
      <c r="BM189" s="99" t="str">
        <f>IF($A189="","",IFERROR(INDEX('Usage and Coverage'!$C$70:$C$75,MATCH($V189,'Usage and Coverage'!$B$70:$B$75,0)),"?"))</f>
        <v/>
      </c>
      <c r="BN189" s="99" t="str">
        <f>IF($A189="","",IF($AB189="",1,IFERROR(INDEX(Deductibles!$C$48:$C$51,MATCH($AB189,Deductibles!$B$48:$B$51,0)),"?")))</f>
        <v/>
      </c>
      <c r="BO189" s="99" t="str">
        <f>IF($A189="","",IF($AC189="",1,IFERROR(INDEX(Deductibles!$C$55:$C$57,MATCH($AC189,Deductibles!$B$55:$B$57,0)),"?")))</f>
        <v/>
      </c>
      <c r="BP189" s="99" t="str">
        <f>IF($A189="","",IF($AD189="",1,IFERROR(INDEX(Deductibles!$C$61:$C$63,MATCH($AD189,Deductibles!$B$61:$B$63,0)),"?")))</f>
        <v/>
      </c>
      <c r="BQ189" s="99" t="str">
        <f>IF($A189="","",IF($AE189="",1,IFERROR(INDEX(Deductibles!$C$67:$C$69,MATCH($AE189,Deductibles!$B$67:$B$69,0)),"?")))</f>
        <v/>
      </c>
      <c r="BR189" s="99" t="str">
        <f>IF($A189="","",IF($AF189="",1,IFERROR(INDEX(Deductibles!$C$73:$C$74,MATCH($AF189,Deductibles!$B$73:$B$74,0)),"?")))</f>
        <v/>
      </c>
      <c r="BS189" s="99" t="str">
        <f>IF($A189="","",IF($AG189="",1,IFERROR(INDEX('Sublimits and Parts'!$C$49:$C$52,MATCH($AG189,'Sublimits and Parts'!$B$49:$B$52,0)),"?")))</f>
        <v/>
      </c>
      <c r="BT189" s="99" t="str">
        <f>IF($A189="","",IF($AH189="",1,IFERROR(INDEX('Sublimits and Parts'!$C$56:$C$60,MATCH($AH189,'Sublimits and Parts'!$B$56:$B$60,0)),"?")))</f>
        <v/>
      </c>
      <c r="BU189" s="99" t="str">
        <f>IF($A189="","",IF($AI189="",1,IFERROR(INDEX('Sublimits and Parts'!$C$64:$C$67,MATCH($AI189,'Sublimits and Parts'!$B$64:$B$67,0)),"?")))</f>
        <v/>
      </c>
      <c r="BV189" s="99" t="str">
        <f>IF($A189="","",IF($AJ189="",1,IFERROR(INDEX('Sublimits and Parts'!$C$71:$C$74,MATCH($AJ189,'Sublimits and Parts'!$B$71:$B$74,0)),"?")))</f>
        <v/>
      </c>
      <c r="BW189" s="99" t="str">
        <f>IF($A189="","",IF($AK189="",1,IFERROR(INDEX('Sublimits and Parts'!$C$78:$C$80,MATCH($AK189,'Sublimits and Parts'!$B$78:$B$80,0)),"?")))</f>
        <v/>
      </c>
      <c r="BX189" s="99" t="str">
        <f>IF($A189="","",IF($AL189="",1,IFERROR(INDEX('Sublimits and Parts'!$C$84:$C$87,MATCH($AL189,'Sublimits and Parts'!$B$84:$B$87,0)),"?")))</f>
        <v/>
      </c>
      <c r="BY189" s="99" t="str">
        <f>IF($A189="","",IF($AM189="",1,IFERROR(INDEX('Sublimits and Parts'!$C$91:$C$94,MATCH($AM189,'Sublimits and Parts'!$B$91:$B$94,0)),"?")))</f>
        <v/>
      </c>
      <c r="BZ189" s="99" t="str">
        <f>IF($A189="","",IF($AN189="",1,IFERROR(INDEX('Sublimits and Parts'!$C$98:$C$101,MATCH($AN189,'Sublimits and Parts'!$B$98:$B$101,0)),"?")))</f>
        <v/>
      </c>
      <c r="CA189" s="99" t="str">
        <f>IF($A189="","",IF($AO189="",1,IFERROR(INDEX('Sublimits and Parts'!$C$105:$C$109,MATCH($AO189,'Sublimits and Parts'!$B$105:$B$109,0)),"?")))</f>
        <v/>
      </c>
      <c r="CB189" s="100" t="str">
        <f t="shared" si="28"/>
        <v/>
      </c>
      <c r="CC189" s="100" t="str">
        <f t="shared" si="29"/>
        <v/>
      </c>
      <c r="CD189" s="103" t="str">
        <f>IF($A189="","",IF(OR($CB189="?",$CC189="?"),"?",MIN($CB189*$CC189,'Technical Premium'!$C$17)))</f>
        <v/>
      </c>
      <c r="CE189" s="102" t="str">
        <f t="shared" si="30"/>
        <v/>
      </c>
      <c r="CF189" s="102" t="str">
        <f>IF($A189="","",IFERROR(INDEX('Territory Factors'!$F$6:$F$56,MATCH($K189,'Territory Factors'!$B$6:$B$56,0)),"?"))</f>
        <v/>
      </c>
      <c r="CG189" s="100" t="str">
        <f>IF($A189="","",IFERROR(INDEX('Usage and Coverage'!$C$79:$C$84,MATCH($Y189,'Usage and Coverage'!$B$79:$B$84,0)),"?"))</f>
        <v/>
      </c>
      <c r="CH189" s="102" t="str">
        <f>IFERROR(IF(ISNUMBER($CD189),$CF189*$CG189*MIN($BG189*$BA189*$BC189*$BD189*$BH189*$BF189,'Technical Premium'!$C$17),""),"")</f>
        <v/>
      </c>
      <c r="CI189" s="102" t="str">
        <f t="shared" si="31"/>
        <v/>
      </c>
      <c r="CJ189" s="102" t="str">
        <f>IFERROR($CI189*(1+'Technical Premium'!$C$5)*(1+'Technical Premium'!$C$6),"")</f>
        <v/>
      </c>
      <c r="CK189" s="102" t="str">
        <f>IFERROR($CE189*INDEX('Territory Factors'!$G$6:$G$56,MATCH($K189,'Territory Factors'!$B$6:$B$56,0))*$AU189*$AV189,"")</f>
        <v/>
      </c>
      <c r="CL189" s="102" t="str">
        <f>IFERROR(($CJ189+$CK189)*(1+'Technical Premium'!$C$7),"")</f>
        <v/>
      </c>
      <c r="CM189" s="104" t="str">
        <f>IFERROR($CL189/'Technical Premium'!$C$13,"")</f>
        <v/>
      </c>
      <c r="CN189" s="105" t="str">
        <f t="shared" si="32"/>
        <v/>
      </c>
      <c r="CO189" s="104" t="str">
        <f t="shared" si="33"/>
        <v/>
      </c>
      <c r="CP189" s="105" t="str">
        <f t="shared" si="34"/>
        <v/>
      </c>
      <c r="CQ189" s="106" t="str">
        <f t="shared" si="35"/>
        <v/>
      </c>
      <c r="CR189" s="102" t="str">
        <f>IF(ISNUMBER($CM189),'Technical Premium'!$C$14+IF($J189&gt;=1000000,'Technical Premium'!$C$15,0),"")</f>
        <v/>
      </c>
      <c r="CS189" s="102" t="str">
        <f>IFERROR(($CO189+$CR189)*(INDEX('Territory Factors'!$K$6:$K$56,MATCH($K189,'Territory Factors'!$B$6:$B$56,0))+'Commission Structure'!$C$21),"")</f>
        <v/>
      </c>
      <c r="CT189" s="104" t="str">
        <f t="shared" si="36"/>
        <v/>
      </c>
      <c r="CU189" s="102" t="str">
        <f>IFERROR($CO189*('Commission Structure'!$C$6+'Commission Structure'!$C$7),"")</f>
        <v/>
      </c>
      <c r="CV189" s="102" t="str">
        <f>IFERROR($CO189*'Commission Structure'!$C$5-$CU189,"")</f>
        <v/>
      </c>
      <c r="CW189" s="102" t="str">
        <f>IFERROR($CO189*(1-'Commission Structure'!$C$5),"")</f>
        <v/>
      </c>
      <c r="CX189" s="107"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8" t="str">
        <f t="shared" si="37"/>
        <v/>
      </c>
      <c r="CZ189" s="99" t="str">
        <f>IF($CY189="","",IF($CY189&lt;'Technical Premium'!$C$19,"BEYOND AUTHORITY",IF($CY189&gt;0.005,"Above technical",IF($CY189&lt;-0.005,"BELOW technical","At technical"))))</f>
        <v/>
      </c>
      <c r="DA189" s="99"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4"/>
      <c r="DC189" s="94"/>
      <c r="DD189" s="95"/>
      <c r="DE189" s="94"/>
      <c r="DF189" s="94"/>
      <c r="DG189" s="99" t="str">
        <f t="shared" si="38"/>
        <v/>
      </c>
      <c r="DH189" s="99" t="str">
        <f>IF($A189="","",IF(OR($CX189="REFER",$CX189="DECLINE"),COUNTIF($CX$5:$CX189,"REFER")+COUNTIF($CX$5:$CX189,"DECLINE"),""))</f>
        <v/>
      </c>
      <c r="DI189" s="94"/>
    </row>
    <row r="190" spans="1:113" x14ac:dyDescent="0.35">
      <c r="A190" s="94"/>
      <c r="B190" s="94"/>
      <c r="C190" s="95"/>
      <c r="D190" s="95"/>
      <c r="E190" s="96"/>
      <c r="F190" s="94"/>
      <c r="G190" s="94"/>
      <c r="H190" s="94"/>
      <c r="I190" s="94"/>
      <c r="J190" s="97"/>
      <c r="K190" s="94"/>
      <c r="L190" s="94"/>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8"/>
      <c r="AR190" s="99" t="str">
        <f t="shared" si="26"/>
        <v/>
      </c>
      <c r="AS190" s="99" t="str">
        <f>IF($A190="","",IF($AP190&lt;&gt;"",$AP190,IFERROR(INDEX('Cat Zone by ZIP'!$D$6:$D$856,MATCH($AR190,'Cat Zone by ZIP'!$B$6:$B$856,0)),IFERROR(INDEX('Cat Zone by ZIP'!$C$860:$C$910,MATCH($K190,'Cat Zone by ZIP'!$B$860:$B$910,0)),"NOT FOUND"))))</f>
        <v/>
      </c>
      <c r="AT190" s="99" t="str">
        <f>IF($A190="","",IF($AP190&lt;&gt;"","Override",IF(ISNUMBER(MATCH($AR190,'Cat Zone by ZIP'!$B$6:$B$856,0)),"ZIP-3","State default")))</f>
        <v/>
      </c>
      <c r="AU190" s="100" t="str">
        <f>IF($A190="","",IFERROR(INDEX('Natural Catastrophe'!$D$6:$D$17,MATCH($AS190,'Natural Catastrophe'!$B$6:$B$17,0)),"?"))</f>
        <v/>
      </c>
      <c r="AV190" s="100" t="str">
        <f>IF($A190="","",IFERROR(INDEX('Natural Catastrophe'!$C$21:$C$26,MATCH($AA190,'Natural Catastrophe'!$B$21:$B$26,0)),"?"))</f>
        <v/>
      </c>
      <c r="AW190" s="99" t="str">
        <f>IF($A190="","",IFERROR(INDEX('Base Rates'!$C$4:$I$4,MATCH(MAX($J190,'Technical Premium'!$C$18),'Base Rates'!$C$3:$I$3,1)),"?"))</f>
        <v/>
      </c>
      <c r="AX190" s="101" t="str">
        <f>IF($A190="","",IFERROR(INDEX('Base Rates'!$C$5:$I$16,MATCH($I190,'Base Rates'!$B$5:$B$16,0),MATCH(MAX($J190,'Technical Premium'!$C$18),'Base Rates'!$C$3:$I$3,1)),"?"))</f>
        <v/>
      </c>
      <c r="AY190" s="102" t="str">
        <f t="shared" si="27"/>
        <v/>
      </c>
      <c r="AZ190" s="99" t="str">
        <f>IF($A190="","",IFERROR(INDEX('Make Factors'!$G$5:$G$69,MATCH($F190,'Make Factors'!$B$5:$B$69,0)),"?"))</f>
        <v/>
      </c>
      <c r="BA190" s="99" t="str">
        <f>IF($A190="","",IFERROR(INDEX('Driver Factors'!$C$6:$C$15,MATCH($R190,'Driver Factors'!$B$6:$B$15,0)),"?"))</f>
        <v/>
      </c>
      <c r="BB190" s="99" t="str">
        <f>IF($A190="","",IFERROR(INDEX('Driver Factors'!$C$19:$C$24,MATCH($S190,'Driver Factors'!$B$19:$B$24,0)),"?"))</f>
        <v/>
      </c>
      <c r="BC190" s="99" t="str">
        <f>IF($A190="","",IFERROR(INDEX('Driver Factors'!$C$28:$C$36,MATCH($T190,'Driver Factors'!$B$28:$B$36,0)),"?"))</f>
        <v/>
      </c>
      <c r="BD190" s="99" t="str">
        <f>IF($A190="","",IFERROR(INDEX('Claims History'!$C$6:$C$15,MATCH($U190,'Claims History'!$B$6:$B$15,0)),"?"))</f>
        <v/>
      </c>
      <c r="BE190" s="99" t="str">
        <f>IF($A190="","",IFERROR(INDEX('Territory Factors'!$E$6:$E$56,MATCH($K190,'Territory Factors'!$B$6:$B$56,0)),"?"))</f>
        <v/>
      </c>
      <c r="BF190" s="99" t="str">
        <f>IF($A190="","",IFERROR(INDEX('City Accident Ratings'!$G$6:$G$54,MATCH($Z190,'City Accident Ratings'!$B$6:$B$54,0)),"?"))</f>
        <v/>
      </c>
      <c r="BG190" s="99" t="str">
        <f>IF($A190="","",IFERROR(INDEX('Usage and Coverage'!$D$6:$D$20,MATCH($N190,'Usage and Coverage'!$C$6:$C$20,0)),"?"))</f>
        <v/>
      </c>
      <c r="BH190" s="99" t="str">
        <f>IF($A190="","",IFERROR(INDEX('Usage and Coverage'!$C$24:$C$30,MATCH($O190,'Usage and Coverage'!$B$24:$B$30,0)),"?"))</f>
        <v/>
      </c>
      <c r="BI190" s="99" t="str">
        <f>IF($A190="","",IFERROR(INDEX('Usage and Coverage'!$C$34:$C$40,MATCH($P190,'Usage and Coverage'!$B$34:$B$40,0)),"?"))</f>
        <v/>
      </c>
      <c r="BJ190" s="99" t="str">
        <f>IF($A190="","",IFERROR(INDEX('Usage and Coverage'!$C$44:$C$49,MATCH($Q190,'Usage and Coverage'!$B$44:$B$49,0)),"?"))</f>
        <v/>
      </c>
      <c r="BK190" s="99" t="str">
        <f>IF($A190="","",IFERROR(INDEX(Deductibles!$C$6:$I$15,MATCH($W190,Deductibles!$B$6:$B$15,0),MATCH(MAX($J190,'Technical Premium'!$C$18),'Base Rates'!$C$3:$I$3,1)),"?"))</f>
        <v/>
      </c>
      <c r="BL190" s="99" t="str">
        <f>IF($A190="","",IFERROR(INDEX('Usage and Coverage'!$C$63:$C$66,MATCH($X190,'Usage and Coverage'!$B$63:$B$66,0)),"?"))</f>
        <v/>
      </c>
      <c r="BM190" s="99" t="str">
        <f>IF($A190="","",IFERROR(INDEX('Usage and Coverage'!$C$70:$C$75,MATCH($V190,'Usage and Coverage'!$B$70:$B$75,0)),"?"))</f>
        <v/>
      </c>
      <c r="BN190" s="99" t="str">
        <f>IF($A190="","",IF($AB190="",1,IFERROR(INDEX(Deductibles!$C$48:$C$51,MATCH($AB190,Deductibles!$B$48:$B$51,0)),"?")))</f>
        <v/>
      </c>
      <c r="BO190" s="99" t="str">
        <f>IF($A190="","",IF($AC190="",1,IFERROR(INDEX(Deductibles!$C$55:$C$57,MATCH($AC190,Deductibles!$B$55:$B$57,0)),"?")))</f>
        <v/>
      </c>
      <c r="BP190" s="99" t="str">
        <f>IF($A190="","",IF($AD190="",1,IFERROR(INDEX(Deductibles!$C$61:$C$63,MATCH($AD190,Deductibles!$B$61:$B$63,0)),"?")))</f>
        <v/>
      </c>
      <c r="BQ190" s="99" t="str">
        <f>IF($A190="","",IF($AE190="",1,IFERROR(INDEX(Deductibles!$C$67:$C$69,MATCH($AE190,Deductibles!$B$67:$B$69,0)),"?")))</f>
        <v/>
      </c>
      <c r="BR190" s="99" t="str">
        <f>IF($A190="","",IF($AF190="",1,IFERROR(INDEX(Deductibles!$C$73:$C$74,MATCH($AF190,Deductibles!$B$73:$B$74,0)),"?")))</f>
        <v/>
      </c>
      <c r="BS190" s="99" t="str">
        <f>IF($A190="","",IF($AG190="",1,IFERROR(INDEX('Sublimits and Parts'!$C$49:$C$52,MATCH($AG190,'Sublimits and Parts'!$B$49:$B$52,0)),"?")))</f>
        <v/>
      </c>
      <c r="BT190" s="99" t="str">
        <f>IF($A190="","",IF($AH190="",1,IFERROR(INDEX('Sublimits and Parts'!$C$56:$C$60,MATCH($AH190,'Sublimits and Parts'!$B$56:$B$60,0)),"?")))</f>
        <v/>
      </c>
      <c r="BU190" s="99" t="str">
        <f>IF($A190="","",IF($AI190="",1,IFERROR(INDEX('Sublimits and Parts'!$C$64:$C$67,MATCH($AI190,'Sublimits and Parts'!$B$64:$B$67,0)),"?")))</f>
        <v/>
      </c>
      <c r="BV190" s="99" t="str">
        <f>IF($A190="","",IF($AJ190="",1,IFERROR(INDEX('Sublimits and Parts'!$C$71:$C$74,MATCH($AJ190,'Sublimits and Parts'!$B$71:$B$74,0)),"?")))</f>
        <v/>
      </c>
      <c r="BW190" s="99" t="str">
        <f>IF($A190="","",IF($AK190="",1,IFERROR(INDEX('Sublimits and Parts'!$C$78:$C$80,MATCH($AK190,'Sublimits and Parts'!$B$78:$B$80,0)),"?")))</f>
        <v/>
      </c>
      <c r="BX190" s="99" t="str">
        <f>IF($A190="","",IF($AL190="",1,IFERROR(INDEX('Sublimits and Parts'!$C$84:$C$87,MATCH($AL190,'Sublimits and Parts'!$B$84:$B$87,0)),"?")))</f>
        <v/>
      </c>
      <c r="BY190" s="99" t="str">
        <f>IF($A190="","",IF($AM190="",1,IFERROR(INDEX('Sublimits and Parts'!$C$91:$C$94,MATCH($AM190,'Sublimits and Parts'!$B$91:$B$94,0)),"?")))</f>
        <v/>
      </c>
      <c r="BZ190" s="99" t="str">
        <f>IF($A190="","",IF($AN190="",1,IFERROR(INDEX('Sublimits and Parts'!$C$98:$C$101,MATCH($AN190,'Sublimits and Parts'!$B$98:$B$101,0)),"?")))</f>
        <v/>
      </c>
      <c r="CA190" s="99" t="str">
        <f>IF($A190="","",IF($AO190="",1,IFERROR(INDEX('Sublimits and Parts'!$C$105:$C$109,MATCH($AO190,'Sublimits and Parts'!$B$105:$B$109,0)),"?")))</f>
        <v/>
      </c>
      <c r="CB190" s="100" t="str">
        <f t="shared" si="28"/>
        <v/>
      </c>
      <c r="CC190" s="100" t="str">
        <f t="shared" si="29"/>
        <v/>
      </c>
      <c r="CD190" s="103" t="str">
        <f>IF($A190="","",IF(OR($CB190="?",$CC190="?"),"?",MIN($CB190*$CC190,'Technical Premium'!$C$17)))</f>
        <v/>
      </c>
      <c r="CE190" s="102" t="str">
        <f t="shared" si="30"/>
        <v/>
      </c>
      <c r="CF190" s="102" t="str">
        <f>IF($A190="","",IFERROR(INDEX('Territory Factors'!$F$6:$F$56,MATCH($K190,'Territory Factors'!$B$6:$B$56,0)),"?"))</f>
        <v/>
      </c>
      <c r="CG190" s="100" t="str">
        <f>IF($A190="","",IFERROR(INDEX('Usage and Coverage'!$C$79:$C$84,MATCH($Y190,'Usage and Coverage'!$B$79:$B$84,0)),"?"))</f>
        <v/>
      </c>
      <c r="CH190" s="102" t="str">
        <f>IFERROR(IF(ISNUMBER($CD190),$CF190*$CG190*MIN($BG190*$BA190*$BC190*$BD190*$BH190*$BF190,'Technical Premium'!$C$17),""),"")</f>
        <v/>
      </c>
      <c r="CI190" s="102" t="str">
        <f t="shared" si="31"/>
        <v/>
      </c>
      <c r="CJ190" s="102" t="str">
        <f>IFERROR($CI190*(1+'Technical Premium'!$C$5)*(1+'Technical Premium'!$C$6),"")</f>
        <v/>
      </c>
      <c r="CK190" s="102" t="str">
        <f>IFERROR($CE190*INDEX('Territory Factors'!$G$6:$G$56,MATCH($K190,'Territory Factors'!$B$6:$B$56,0))*$AU190*$AV190,"")</f>
        <v/>
      </c>
      <c r="CL190" s="102" t="str">
        <f>IFERROR(($CJ190+$CK190)*(1+'Technical Premium'!$C$7),"")</f>
        <v/>
      </c>
      <c r="CM190" s="104" t="str">
        <f>IFERROR($CL190/'Technical Premium'!$C$13,"")</f>
        <v/>
      </c>
      <c r="CN190" s="105" t="str">
        <f t="shared" si="32"/>
        <v/>
      </c>
      <c r="CO190" s="104" t="str">
        <f t="shared" si="33"/>
        <v/>
      </c>
      <c r="CP190" s="105" t="str">
        <f t="shared" si="34"/>
        <v/>
      </c>
      <c r="CQ190" s="106" t="str">
        <f t="shared" si="35"/>
        <v/>
      </c>
      <c r="CR190" s="102" t="str">
        <f>IF(ISNUMBER($CM190),'Technical Premium'!$C$14+IF($J190&gt;=1000000,'Technical Premium'!$C$15,0),"")</f>
        <v/>
      </c>
      <c r="CS190" s="102" t="str">
        <f>IFERROR(($CO190+$CR190)*(INDEX('Territory Factors'!$K$6:$K$56,MATCH($K190,'Territory Factors'!$B$6:$B$56,0))+'Commission Structure'!$C$21),"")</f>
        <v/>
      </c>
      <c r="CT190" s="104" t="str">
        <f t="shared" si="36"/>
        <v/>
      </c>
      <c r="CU190" s="102" t="str">
        <f>IFERROR($CO190*('Commission Structure'!$C$6+'Commission Structure'!$C$7),"")</f>
        <v/>
      </c>
      <c r="CV190" s="102" t="str">
        <f>IFERROR($CO190*'Commission Structure'!$C$5-$CU190,"")</f>
        <v/>
      </c>
      <c r="CW190" s="102" t="str">
        <f>IFERROR($CO190*(1-'Commission Structure'!$C$5),"")</f>
        <v/>
      </c>
      <c r="CX190" s="107"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8" t="str">
        <f t="shared" si="37"/>
        <v/>
      </c>
      <c r="CZ190" s="99" t="str">
        <f>IF($CY190="","",IF($CY190&lt;'Technical Premium'!$C$19,"BEYOND AUTHORITY",IF($CY190&gt;0.005,"Above technical",IF($CY190&lt;-0.005,"BELOW technical","At technical"))))</f>
        <v/>
      </c>
      <c r="DA190" s="99"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4"/>
      <c r="DC190" s="94"/>
      <c r="DD190" s="95"/>
      <c r="DE190" s="94"/>
      <c r="DF190" s="94"/>
      <c r="DG190" s="99" t="str">
        <f t="shared" si="38"/>
        <v/>
      </c>
      <c r="DH190" s="99" t="str">
        <f>IF($A190="","",IF(OR($CX190="REFER",$CX190="DECLINE"),COUNTIF($CX$5:$CX190,"REFER")+COUNTIF($CX$5:$CX190,"DECLINE"),""))</f>
        <v/>
      </c>
      <c r="DI190" s="94"/>
    </row>
    <row r="191" spans="1:113" x14ac:dyDescent="0.35">
      <c r="A191" s="94"/>
      <c r="B191" s="94"/>
      <c r="C191" s="95"/>
      <c r="D191" s="95"/>
      <c r="E191" s="96"/>
      <c r="F191" s="94"/>
      <c r="G191" s="94"/>
      <c r="H191" s="94"/>
      <c r="I191" s="94"/>
      <c r="J191" s="97"/>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8"/>
      <c r="AR191" s="99" t="str">
        <f t="shared" si="26"/>
        <v/>
      </c>
      <c r="AS191" s="99" t="str">
        <f>IF($A191="","",IF($AP191&lt;&gt;"",$AP191,IFERROR(INDEX('Cat Zone by ZIP'!$D$6:$D$856,MATCH($AR191,'Cat Zone by ZIP'!$B$6:$B$856,0)),IFERROR(INDEX('Cat Zone by ZIP'!$C$860:$C$910,MATCH($K191,'Cat Zone by ZIP'!$B$860:$B$910,0)),"NOT FOUND"))))</f>
        <v/>
      </c>
      <c r="AT191" s="99" t="str">
        <f>IF($A191="","",IF($AP191&lt;&gt;"","Override",IF(ISNUMBER(MATCH($AR191,'Cat Zone by ZIP'!$B$6:$B$856,0)),"ZIP-3","State default")))</f>
        <v/>
      </c>
      <c r="AU191" s="100" t="str">
        <f>IF($A191="","",IFERROR(INDEX('Natural Catastrophe'!$D$6:$D$17,MATCH($AS191,'Natural Catastrophe'!$B$6:$B$17,0)),"?"))</f>
        <v/>
      </c>
      <c r="AV191" s="100" t="str">
        <f>IF($A191="","",IFERROR(INDEX('Natural Catastrophe'!$C$21:$C$26,MATCH($AA191,'Natural Catastrophe'!$B$21:$B$26,0)),"?"))</f>
        <v/>
      </c>
      <c r="AW191" s="99" t="str">
        <f>IF($A191="","",IFERROR(INDEX('Base Rates'!$C$4:$I$4,MATCH(MAX($J191,'Technical Premium'!$C$18),'Base Rates'!$C$3:$I$3,1)),"?"))</f>
        <v/>
      </c>
      <c r="AX191" s="101" t="str">
        <f>IF($A191="","",IFERROR(INDEX('Base Rates'!$C$5:$I$16,MATCH($I191,'Base Rates'!$B$5:$B$16,0),MATCH(MAX($J191,'Technical Premium'!$C$18),'Base Rates'!$C$3:$I$3,1)),"?"))</f>
        <v/>
      </c>
      <c r="AY191" s="102" t="str">
        <f t="shared" si="27"/>
        <v/>
      </c>
      <c r="AZ191" s="99" t="str">
        <f>IF($A191="","",IFERROR(INDEX('Make Factors'!$G$5:$G$69,MATCH($F191,'Make Factors'!$B$5:$B$69,0)),"?"))</f>
        <v/>
      </c>
      <c r="BA191" s="99" t="str">
        <f>IF($A191="","",IFERROR(INDEX('Driver Factors'!$C$6:$C$15,MATCH($R191,'Driver Factors'!$B$6:$B$15,0)),"?"))</f>
        <v/>
      </c>
      <c r="BB191" s="99" t="str">
        <f>IF($A191="","",IFERROR(INDEX('Driver Factors'!$C$19:$C$24,MATCH($S191,'Driver Factors'!$B$19:$B$24,0)),"?"))</f>
        <v/>
      </c>
      <c r="BC191" s="99" t="str">
        <f>IF($A191="","",IFERROR(INDEX('Driver Factors'!$C$28:$C$36,MATCH($T191,'Driver Factors'!$B$28:$B$36,0)),"?"))</f>
        <v/>
      </c>
      <c r="BD191" s="99" t="str">
        <f>IF($A191="","",IFERROR(INDEX('Claims History'!$C$6:$C$15,MATCH($U191,'Claims History'!$B$6:$B$15,0)),"?"))</f>
        <v/>
      </c>
      <c r="BE191" s="99" t="str">
        <f>IF($A191="","",IFERROR(INDEX('Territory Factors'!$E$6:$E$56,MATCH($K191,'Territory Factors'!$B$6:$B$56,0)),"?"))</f>
        <v/>
      </c>
      <c r="BF191" s="99" t="str">
        <f>IF($A191="","",IFERROR(INDEX('City Accident Ratings'!$G$6:$G$54,MATCH($Z191,'City Accident Ratings'!$B$6:$B$54,0)),"?"))</f>
        <v/>
      </c>
      <c r="BG191" s="99" t="str">
        <f>IF($A191="","",IFERROR(INDEX('Usage and Coverage'!$D$6:$D$20,MATCH($N191,'Usage and Coverage'!$C$6:$C$20,0)),"?"))</f>
        <v/>
      </c>
      <c r="BH191" s="99" t="str">
        <f>IF($A191="","",IFERROR(INDEX('Usage and Coverage'!$C$24:$C$30,MATCH($O191,'Usage and Coverage'!$B$24:$B$30,0)),"?"))</f>
        <v/>
      </c>
      <c r="BI191" s="99" t="str">
        <f>IF($A191="","",IFERROR(INDEX('Usage and Coverage'!$C$34:$C$40,MATCH($P191,'Usage and Coverage'!$B$34:$B$40,0)),"?"))</f>
        <v/>
      </c>
      <c r="BJ191" s="99" t="str">
        <f>IF($A191="","",IFERROR(INDEX('Usage and Coverage'!$C$44:$C$49,MATCH($Q191,'Usage and Coverage'!$B$44:$B$49,0)),"?"))</f>
        <v/>
      </c>
      <c r="BK191" s="99" t="str">
        <f>IF($A191="","",IFERROR(INDEX(Deductibles!$C$6:$I$15,MATCH($W191,Deductibles!$B$6:$B$15,0),MATCH(MAX($J191,'Technical Premium'!$C$18),'Base Rates'!$C$3:$I$3,1)),"?"))</f>
        <v/>
      </c>
      <c r="BL191" s="99" t="str">
        <f>IF($A191="","",IFERROR(INDEX('Usage and Coverage'!$C$63:$C$66,MATCH($X191,'Usage and Coverage'!$B$63:$B$66,0)),"?"))</f>
        <v/>
      </c>
      <c r="BM191" s="99" t="str">
        <f>IF($A191="","",IFERROR(INDEX('Usage and Coverage'!$C$70:$C$75,MATCH($V191,'Usage and Coverage'!$B$70:$B$75,0)),"?"))</f>
        <v/>
      </c>
      <c r="BN191" s="99" t="str">
        <f>IF($A191="","",IF($AB191="",1,IFERROR(INDEX(Deductibles!$C$48:$C$51,MATCH($AB191,Deductibles!$B$48:$B$51,0)),"?")))</f>
        <v/>
      </c>
      <c r="BO191" s="99" t="str">
        <f>IF($A191="","",IF($AC191="",1,IFERROR(INDEX(Deductibles!$C$55:$C$57,MATCH($AC191,Deductibles!$B$55:$B$57,0)),"?")))</f>
        <v/>
      </c>
      <c r="BP191" s="99" t="str">
        <f>IF($A191="","",IF($AD191="",1,IFERROR(INDEX(Deductibles!$C$61:$C$63,MATCH($AD191,Deductibles!$B$61:$B$63,0)),"?")))</f>
        <v/>
      </c>
      <c r="BQ191" s="99" t="str">
        <f>IF($A191="","",IF($AE191="",1,IFERROR(INDEX(Deductibles!$C$67:$C$69,MATCH($AE191,Deductibles!$B$67:$B$69,0)),"?")))</f>
        <v/>
      </c>
      <c r="BR191" s="99" t="str">
        <f>IF($A191="","",IF($AF191="",1,IFERROR(INDEX(Deductibles!$C$73:$C$74,MATCH($AF191,Deductibles!$B$73:$B$74,0)),"?")))</f>
        <v/>
      </c>
      <c r="BS191" s="99" t="str">
        <f>IF($A191="","",IF($AG191="",1,IFERROR(INDEX('Sublimits and Parts'!$C$49:$C$52,MATCH($AG191,'Sublimits and Parts'!$B$49:$B$52,0)),"?")))</f>
        <v/>
      </c>
      <c r="BT191" s="99" t="str">
        <f>IF($A191="","",IF($AH191="",1,IFERROR(INDEX('Sublimits and Parts'!$C$56:$C$60,MATCH($AH191,'Sublimits and Parts'!$B$56:$B$60,0)),"?")))</f>
        <v/>
      </c>
      <c r="BU191" s="99" t="str">
        <f>IF($A191="","",IF($AI191="",1,IFERROR(INDEX('Sublimits and Parts'!$C$64:$C$67,MATCH($AI191,'Sublimits and Parts'!$B$64:$B$67,0)),"?")))</f>
        <v/>
      </c>
      <c r="BV191" s="99" t="str">
        <f>IF($A191="","",IF($AJ191="",1,IFERROR(INDEX('Sublimits and Parts'!$C$71:$C$74,MATCH($AJ191,'Sublimits and Parts'!$B$71:$B$74,0)),"?")))</f>
        <v/>
      </c>
      <c r="BW191" s="99" t="str">
        <f>IF($A191="","",IF($AK191="",1,IFERROR(INDEX('Sublimits and Parts'!$C$78:$C$80,MATCH($AK191,'Sublimits and Parts'!$B$78:$B$80,0)),"?")))</f>
        <v/>
      </c>
      <c r="BX191" s="99" t="str">
        <f>IF($A191="","",IF($AL191="",1,IFERROR(INDEX('Sublimits and Parts'!$C$84:$C$87,MATCH($AL191,'Sublimits and Parts'!$B$84:$B$87,0)),"?")))</f>
        <v/>
      </c>
      <c r="BY191" s="99" t="str">
        <f>IF($A191="","",IF($AM191="",1,IFERROR(INDEX('Sublimits and Parts'!$C$91:$C$94,MATCH($AM191,'Sublimits and Parts'!$B$91:$B$94,0)),"?")))</f>
        <v/>
      </c>
      <c r="BZ191" s="99" t="str">
        <f>IF($A191="","",IF($AN191="",1,IFERROR(INDEX('Sublimits and Parts'!$C$98:$C$101,MATCH($AN191,'Sublimits and Parts'!$B$98:$B$101,0)),"?")))</f>
        <v/>
      </c>
      <c r="CA191" s="99" t="str">
        <f>IF($A191="","",IF($AO191="",1,IFERROR(INDEX('Sublimits and Parts'!$C$105:$C$109,MATCH($AO191,'Sublimits and Parts'!$B$105:$B$109,0)),"?")))</f>
        <v/>
      </c>
      <c r="CB191" s="100" t="str">
        <f t="shared" si="28"/>
        <v/>
      </c>
      <c r="CC191" s="100" t="str">
        <f t="shared" si="29"/>
        <v/>
      </c>
      <c r="CD191" s="103" t="str">
        <f>IF($A191="","",IF(OR($CB191="?",$CC191="?"),"?",MIN($CB191*$CC191,'Technical Premium'!$C$17)))</f>
        <v/>
      </c>
      <c r="CE191" s="102" t="str">
        <f t="shared" si="30"/>
        <v/>
      </c>
      <c r="CF191" s="102" t="str">
        <f>IF($A191="","",IFERROR(INDEX('Territory Factors'!$F$6:$F$56,MATCH($K191,'Territory Factors'!$B$6:$B$56,0)),"?"))</f>
        <v/>
      </c>
      <c r="CG191" s="100" t="str">
        <f>IF($A191="","",IFERROR(INDEX('Usage and Coverage'!$C$79:$C$84,MATCH($Y191,'Usage and Coverage'!$B$79:$B$84,0)),"?"))</f>
        <v/>
      </c>
      <c r="CH191" s="102" t="str">
        <f>IFERROR(IF(ISNUMBER($CD191),$CF191*$CG191*MIN($BG191*$BA191*$BC191*$BD191*$BH191*$BF191,'Technical Premium'!$C$17),""),"")</f>
        <v/>
      </c>
      <c r="CI191" s="102" t="str">
        <f t="shared" si="31"/>
        <v/>
      </c>
      <c r="CJ191" s="102" t="str">
        <f>IFERROR($CI191*(1+'Technical Premium'!$C$5)*(1+'Technical Premium'!$C$6),"")</f>
        <v/>
      </c>
      <c r="CK191" s="102" t="str">
        <f>IFERROR($CE191*INDEX('Territory Factors'!$G$6:$G$56,MATCH($K191,'Territory Factors'!$B$6:$B$56,0))*$AU191*$AV191,"")</f>
        <v/>
      </c>
      <c r="CL191" s="102" t="str">
        <f>IFERROR(($CJ191+$CK191)*(1+'Technical Premium'!$C$7),"")</f>
        <v/>
      </c>
      <c r="CM191" s="104" t="str">
        <f>IFERROR($CL191/'Technical Premium'!$C$13,"")</f>
        <v/>
      </c>
      <c r="CN191" s="105" t="str">
        <f t="shared" si="32"/>
        <v/>
      </c>
      <c r="CO191" s="104" t="str">
        <f t="shared" si="33"/>
        <v/>
      </c>
      <c r="CP191" s="105" t="str">
        <f t="shared" si="34"/>
        <v/>
      </c>
      <c r="CQ191" s="106" t="str">
        <f t="shared" si="35"/>
        <v/>
      </c>
      <c r="CR191" s="102" t="str">
        <f>IF(ISNUMBER($CM191),'Technical Premium'!$C$14+IF($J191&gt;=1000000,'Technical Premium'!$C$15,0),"")</f>
        <v/>
      </c>
      <c r="CS191" s="102" t="str">
        <f>IFERROR(($CO191+$CR191)*(INDEX('Territory Factors'!$K$6:$K$56,MATCH($K191,'Territory Factors'!$B$6:$B$56,0))+'Commission Structure'!$C$21),"")</f>
        <v/>
      </c>
      <c r="CT191" s="104" t="str">
        <f t="shared" si="36"/>
        <v/>
      </c>
      <c r="CU191" s="102" t="str">
        <f>IFERROR($CO191*('Commission Structure'!$C$6+'Commission Structure'!$C$7),"")</f>
        <v/>
      </c>
      <c r="CV191" s="102" t="str">
        <f>IFERROR($CO191*'Commission Structure'!$C$5-$CU191,"")</f>
        <v/>
      </c>
      <c r="CW191" s="102" t="str">
        <f>IFERROR($CO191*(1-'Commission Structure'!$C$5),"")</f>
        <v/>
      </c>
      <c r="CX191" s="107"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8" t="str">
        <f t="shared" si="37"/>
        <v/>
      </c>
      <c r="CZ191" s="99" t="str">
        <f>IF($CY191="","",IF($CY191&lt;'Technical Premium'!$C$19,"BEYOND AUTHORITY",IF($CY191&gt;0.005,"Above technical",IF($CY191&lt;-0.005,"BELOW technical","At technical"))))</f>
        <v/>
      </c>
      <c r="DA191" s="99"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4"/>
      <c r="DC191" s="94"/>
      <c r="DD191" s="95"/>
      <c r="DE191" s="94"/>
      <c r="DF191" s="94"/>
      <c r="DG191" s="99" t="str">
        <f t="shared" si="38"/>
        <v/>
      </c>
      <c r="DH191" s="99" t="str">
        <f>IF($A191="","",IF(OR($CX191="REFER",$CX191="DECLINE"),COUNTIF($CX$5:$CX191,"REFER")+COUNTIF($CX$5:$CX191,"DECLINE"),""))</f>
        <v/>
      </c>
      <c r="DI191" s="94"/>
    </row>
    <row r="192" spans="1:113" x14ac:dyDescent="0.35">
      <c r="A192" s="94"/>
      <c r="B192" s="94"/>
      <c r="C192" s="95"/>
      <c r="D192" s="95"/>
      <c r="E192" s="96"/>
      <c r="F192" s="94"/>
      <c r="G192" s="94"/>
      <c r="H192" s="94"/>
      <c r="I192" s="94"/>
      <c r="J192" s="97"/>
      <c r="K192" s="94"/>
      <c r="L192" s="94"/>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8"/>
      <c r="AR192" s="99" t="str">
        <f t="shared" si="26"/>
        <v/>
      </c>
      <c r="AS192" s="99" t="str">
        <f>IF($A192="","",IF($AP192&lt;&gt;"",$AP192,IFERROR(INDEX('Cat Zone by ZIP'!$D$6:$D$856,MATCH($AR192,'Cat Zone by ZIP'!$B$6:$B$856,0)),IFERROR(INDEX('Cat Zone by ZIP'!$C$860:$C$910,MATCH($K192,'Cat Zone by ZIP'!$B$860:$B$910,0)),"NOT FOUND"))))</f>
        <v/>
      </c>
      <c r="AT192" s="99" t="str">
        <f>IF($A192="","",IF($AP192&lt;&gt;"","Override",IF(ISNUMBER(MATCH($AR192,'Cat Zone by ZIP'!$B$6:$B$856,0)),"ZIP-3","State default")))</f>
        <v/>
      </c>
      <c r="AU192" s="100" t="str">
        <f>IF($A192="","",IFERROR(INDEX('Natural Catastrophe'!$D$6:$D$17,MATCH($AS192,'Natural Catastrophe'!$B$6:$B$17,0)),"?"))</f>
        <v/>
      </c>
      <c r="AV192" s="100" t="str">
        <f>IF($A192="","",IFERROR(INDEX('Natural Catastrophe'!$C$21:$C$26,MATCH($AA192,'Natural Catastrophe'!$B$21:$B$26,0)),"?"))</f>
        <v/>
      </c>
      <c r="AW192" s="99" t="str">
        <f>IF($A192="","",IFERROR(INDEX('Base Rates'!$C$4:$I$4,MATCH(MAX($J192,'Technical Premium'!$C$18),'Base Rates'!$C$3:$I$3,1)),"?"))</f>
        <v/>
      </c>
      <c r="AX192" s="101" t="str">
        <f>IF($A192="","",IFERROR(INDEX('Base Rates'!$C$5:$I$16,MATCH($I192,'Base Rates'!$B$5:$B$16,0),MATCH(MAX($J192,'Technical Premium'!$C$18),'Base Rates'!$C$3:$I$3,1)),"?"))</f>
        <v/>
      </c>
      <c r="AY192" s="102" t="str">
        <f t="shared" si="27"/>
        <v/>
      </c>
      <c r="AZ192" s="99" t="str">
        <f>IF($A192="","",IFERROR(INDEX('Make Factors'!$G$5:$G$69,MATCH($F192,'Make Factors'!$B$5:$B$69,0)),"?"))</f>
        <v/>
      </c>
      <c r="BA192" s="99" t="str">
        <f>IF($A192="","",IFERROR(INDEX('Driver Factors'!$C$6:$C$15,MATCH($R192,'Driver Factors'!$B$6:$B$15,0)),"?"))</f>
        <v/>
      </c>
      <c r="BB192" s="99" t="str">
        <f>IF($A192="","",IFERROR(INDEX('Driver Factors'!$C$19:$C$24,MATCH($S192,'Driver Factors'!$B$19:$B$24,0)),"?"))</f>
        <v/>
      </c>
      <c r="BC192" s="99" t="str">
        <f>IF($A192="","",IFERROR(INDEX('Driver Factors'!$C$28:$C$36,MATCH($T192,'Driver Factors'!$B$28:$B$36,0)),"?"))</f>
        <v/>
      </c>
      <c r="BD192" s="99" t="str">
        <f>IF($A192="","",IFERROR(INDEX('Claims History'!$C$6:$C$15,MATCH($U192,'Claims History'!$B$6:$B$15,0)),"?"))</f>
        <v/>
      </c>
      <c r="BE192" s="99" t="str">
        <f>IF($A192="","",IFERROR(INDEX('Territory Factors'!$E$6:$E$56,MATCH($K192,'Territory Factors'!$B$6:$B$56,0)),"?"))</f>
        <v/>
      </c>
      <c r="BF192" s="99" t="str">
        <f>IF($A192="","",IFERROR(INDEX('City Accident Ratings'!$G$6:$G$54,MATCH($Z192,'City Accident Ratings'!$B$6:$B$54,0)),"?"))</f>
        <v/>
      </c>
      <c r="BG192" s="99" t="str">
        <f>IF($A192="","",IFERROR(INDEX('Usage and Coverage'!$D$6:$D$20,MATCH($N192,'Usage and Coverage'!$C$6:$C$20,0)),"?"))</f>
        <v/>
      </c>
      <c r="BH192" s="99" t="str">
        <f>IF($A192="","",IFERROR(INDEX('Usage and Coverage'!$C$24:$C$30,MATCH($O192,'Usage and Coverage'!$B$24:$B$30,0)),"?"))</f>
        <v/>
      </c>
      <c r="BI192" s="99" t="str">
        <f>IF($A192="","",IFERROR(INDEX('Usage and Coverage'!$C$34:$C$40,MATCH($P192,'Usage and Coverage'!$B$34:$B$40,0)),"?"))</f>
        <v/>
      </c>
      <c r="BJ192" s="99" t="str">
        <f>IF($A192="","",IFERROR(INDEX('Usage and Coverage'!$C$44:$C$49,MATCH($Q192,'Usage and Coverage'!$B$44:$B$49,0)),"?"))</f>
        <v/>
      </c>
      <c r="BK192" s="99" t="str">
        <f>IF($A192="","",IFERROR(INDEX(Deductibles!$C$6:$I$15,MATCH($W192,Deductibles!$B$6:$B$15,0),MATCH(MAX($J192,'Technical Premium'!$C$18),'Base Rates'!$C$3:$I$3,1)),"?"))</f>
        <v/>
      </c>
      <c r="BL192" s="99" t="str">
        <f>IF($A192="","",IFERROR(INDEX('Usage and Coverage'!$C$63:$C$66,MATCH($X192,'Usage and Coverage'!$B$63:$B$66,0)),"?"))</f>
        <v/>
      </c>
      <c r="BM192" s="99" t="str">
        <f>IF($A192="","",IFERROR(INDEX('Usage and Coverage'!$C$70:$C$75,MATCH($V192,'Usage and Coverage'!$B$70:$B$75,0)),"?"))</f>
        <v/>
      </c>
      <c r="BN192" s="99" t="str">
        <f>IF($A192="","",IF($AB192="",1,IFERROR(INDEX(Deductibles!$C$48:$C$51,MATCH($AB192,Deductibles!$B$48:$B$51,0)),"?")))</f>
        <v/>
      </c>
      <c r="BO192" s="99" t="str">
        <f>IF($A192="","",IF($AC192="",1,IFERROR(INDEX(Deductibles!$C$55:$C$57,MATCH($AC192,Deductibles!$B$55:$B$57,0)),"?")))</f>
        <v/>
      </c>
      <c r="BP192" s="99" t="str">
        <f>IF($A192="","",IF($AD192="",1,IFERROR(INDEX(Deductibles!$C$61:$C$63,MATCH($AD192,Deductibles!$B$61:$B$63,0)),"?")))</f>
        <v/>
      </c>
      <c r="BQ192" s="99" t="str">
        <f>IF($A192="","",IF($AE192="",1,IFERROR(INDEX(Deductibles!$C$67:$C$69,MATCH($AE192,Deductibles!$B$67:$B$69,0)),"?")))</f>
        <v/>
      </c>
      <c r="BR192" s="99" t="str">
        <f>IF($A192="","",IF($AF192="",1,IFERROR(INDEX(Deductibles!$C$73:$C$74,MATCH($AF192,Deductibles!$B$73:$B$74,0)),"?")))</f>
        <v/>
      </c>
      <c r="BS192" s="99" t="str">
        <f>IF($A192="","",IF($AG192="",1,IFERROR(INDEX('Sublimits and Parts'!$C$49:$C$52,MATCH($AG192,'Sublimits and Parts'!$B$49:$B$52,0)),"?")))</f>
        <v/>
      </c>
      <c r="BT192" s="99" t="str">
        <f>IF($A192="","",IF($AH192="",1,IFERROR(INDEX('Sublimits and Parts'!$C$56:$C$60,MATCH($AH192,'Sublimits and Parts'!$B$56:$B$60,0)),"?")))</f>
        <v/>
      </c>
      <c r="BU192" s="99" t="str">
        <f>IF($A192="","",IF($AI192="",1,IFERROR(INDEX('Sublimits and Parts'!$C$64:$C$67,MATCH($AI192,'Sublimits and Parts'!$B$64:$B$67,0)),"?")))</f>
        <v/>
      </c>
      <c r="BV192" s="99" t="str">
        <f>IF($A192="","",IF($AJ192="",1,IFERROR(INDEX('Sublimits and Parts'!$C$71:$C$74,MATCH($AJ192,'Sublimits and Parts'!$B$71:$B$74,0)),"?")))</f>
        <v/>
      </c>
      <c r="BW192" s="99" t="str">
        <f>IF($A192="","",IF($AK192="",1,IFERROR(INDEX('Sublimits and Parts'!$C$78:$C$80,MATCH($AK192,'Sublimits and Parts'!$B$78:$B$80,0)),"?")))</f>
        <v/>
      </c>
      <c r="BX192" s="99" t="str">
        <f>IF($A192="","",IF($AL192="",1,IFERROR(INDEX('Sublimits and Parts'!$C$84:$C$87,MATCH($AL192,'Sublimits and Parts'!$B$84:$B$87,0)),"?")))</f>
        <v/>
      </c>
      <c r="BY192" s="99" t="str">
        <f>IF($A192="","",IF($AM192="",1,IFERROR(INDEX('Sublimits and Parts'!$C$91:$C$94,MATCH($AM192,'Sublimits and Parts'!$B$91:$B$94,0)),"?")))</f>
        <v/>
      </c>
      <c r="BZ192" s="99" t="str">
        <f>IF($A192="","",IF($AN192="",1,IFERROR(INDEX('Sublimits and Parts'!$C$98:$C$101,MATCH($AN192,'Sublimits and Parts'!$B$98:$B$101,0)),"?")))</f>
        <v/>
      </c>
      <c r="CA192" s="99" t="str">
        <f>IF($A192="","",IF($AO192="",1,IFERROR(INDEX('Sublimits and Parts'!$C$105:$C$109,MATCH($AO192,'Sublimits and Parts'!$B$105:$B$109,0)),"?")))</f>
        <v/>
      </c>
      <c r="CB192" s="100" t="str">
        <f t="shared" si="28"/>
        <v/>
      </c>
      <c r="CC192" s="100" t="str">
        <f t="shared" si="29"/>
        <v/>
      </c>
      <c r="CD192" s="103" t="str">
        <f>IF($A192="","",IF(OR($CB192="?",$CC192="?"),"?",MIN($CB192*$CC192,'Technical Premium'!$C$17)))</f>
        <v/>
      </c>
      <c r="CE192" s="102" t="str">
        <f t="shared" si="30"/>
        <v/>
      </c>
      <c r="CF192" s="102" t="str">
        <f>IF($A192="","",IFERROR(INDEX('Territory Factors'!$F$6:$F$56,MATCH($K192,'Territory Factors'!$B$6:$B$56,0)),"?"))</f>
        <v/>
      </c>
      <c r="CG192" s="100" t="str">
        <f>IF($A192="","",IFERROR(INDEX('Usage and Coverage'!$C$79:$C$84,MATCH($Y192,'Usage and Coverage'!$B$79:$B$84,0)),"?"))</f>
        <v/>
      </c>
      <c r="CH192" s="102" t="str">
        <f>IFERROR(IF(ISNUMBER($CD192),$CF192*$CG192*MIN($BG192*$BA192*$BC192*$BD192*$BH192*$BF192,'Technical Premium'!$C$17),""),"")</f>
        <v/>
      </c>
      <c r="CI192" s="102" t="str">
        <f t="shared" si="31"/>
        <v/>
      </c>
      <c r="CJ192" s="102" t="str">
        <f>IFERROR($CI192*(1+'Technical Premium'!$C$5)*(1+'Technical Premium'!$C$6),"")</f>
        <v/>
      </c>
      <c r="CK192" s="102" t="str">
        <f>IFERROR($CE192*INDEX('Territory Factors'!$G$6:$G$56,MATCH($K192,'Territory Factors'!$B$6:$B$56,0))*$AU192*$AV192,"")</f>
        <v/>
      </c>
      <c r="CL192" s="102" t="str">
        <f>IFERROR(($CJ192+$CK192)*(1+'Technical Premium'!$C$7),"")</f>
        <v/>
      </c>
      <c r="CM192" s="104" t="str">
        <f>IFERROR($CL192/'Technical Premium'!$C$13,"")</f>
        <v/>
      </c>
      <c r="CN192" s="105" t="str">
        <f t="shared" si="32"/>
        <v/>
      </c>
      <c r="CO192" s="104" t="str">
        <f t="shared" si="33"/>
        <v/>
      </c>
      <c r="CP192" s="105" t="str">
        <f t="shared" si="34"/>
        <v/>
      </c>
      <c r="CQ192" s="106" t="str">
        <f t="shared" si="35"/>
        <v/>
      </c>
      <c r="CR192" s="102" t="str">
        <f>IF(ISNUMBER($CM192),'Technical Premium'!$C$14+IF($J192&gt;=1000000,'Technical Premium'!$C$15,0),"")</f>
        <v/>
      </c>
      <c r="CS192" s="102" t="str">
        <f>IFERROR(($CO192+$CR192)*(INDEX('Territory Factors'!$K$6:$K$56,MATCH($K192,'Territory Factors'!$B$6:$B$56,0))+'Commission Structure'!$C$21),"")</f>
        <v/>
      </c>
      <c r="CT192" s="104" t="str">
        <f t="shared" si="36"/>
        <v/>
      </c>
      <c r="CU192" s="102" t="str">
        <f>IFERROR($CO192*('Commission Structure'!$C$6+'Commission Structure'!$C$7),"")</f>
        <v/>
      </c>
      <c r="CV192" s="102" t="str">
        <f>IFERROR($CO192*'Commission Structure'!$C$5-$CU192,"")</f>
        <v/>
      </c>
      <c r="CW192" s="102" t="str">
        <f>IFERROR($CO192*(1-'Commission Structure'!$C$5),"")</f>
        <v/>
      </c>
      <c r="CX192" s="107"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8" t="str">
        <f t="shared" si="37"/>
        <v/>
      </c>
      <c r="CZ192" s="99" t="str">
        <f>IF($CY192="","",IF($CY192&lt;'Technical Premium'!$C$19,"BEYOND AUTHORITY",IF($CY192&gt;0.005,"Above technical",IF($CY192&lt;-0.005,"BELOW technical","At technical"))))</f>
        <v/>
      </c>
      <c r="DA192" s="99"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4"/>
      <c r="DC192" s="94"/>
      <c r="DD192" s="95"/>
      <c r="DE192" s="94"/>
      <c r="DF192" s="94"/>
      <c r="DG192" s="99" t="str">
        <f t="shared" si="38"/>
        <v/>
      </c>
      <c r="DH192" s="99" t="str">
        <f>IF($A192="","",IF(OR($CX192="REFER",$CX192="DECLINE"),COUNTIF($CX$5:$CX192,"REFER")+COUNTIF($CX$5:$CX192,"DECLINE"),""))</f>
        <v/>
      </c>
      <c r="DI192" s="94"/>
    </row>
    <row r="193" spans="1:113" x14ac:dyDescent="0.35">
      <c r="A193" s="94"/>
      <c r="B193" s="94"/>
      <c r="C193" s="95"/>
      <c r="D193" s="95"/>
      <c r="E193" s="96"/>
      <c r="F193" s="94"/>
      <c r="G193" s="94"/>
      <c r="H193" s="94"/>
      <c r="I193" s="94"/>
      <c r="J193" s="97"/>
      <c r="K193" s="94"/>
      <c r="L193" s="94"/>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8"/>
      <c r="AR193" s="99" t="str">
        <f t="shared" si="26"/>
        <v/>
      </c>
      <c r="AS193" s="99" t="str">
        <f>IF($A193="","",IF($AP193&lt;&gt;"",$AP193,IFERROR(INDEX('Cat Zone by ZIP'!$D$6:$D$856,MATCH($AR193,'Cat Zone by ZIP'!$B$6:$B$856,0)),IFERROR(INDEX('Cat Zone by ZIP'!$C$860:$C$910,MATCH($K193,'Cat Zone by ZIP'!$B$860:$B$910,0)),"NOT FOUND"))))</f>
        <v/>
      </c>
      <c r="AT193" s="99" t="str">
        <f>IF($A193="","",IF($AP193&lt;&gt;"","Override",IF(ISNUMBER(MATCH($AR193,'Cat Zone by ZIP'!$B$6:$B$856,0)),"ZIP-3","State default")))</f>
        <v/>
      </c>
      <c r="AU193" s="100" t="str">
        <f>IF($A193="","",IFERROR(INDEX('Natural Catastrophe'!$D$6:$D$17,MATCH($AS193,'Natural Catastrophe'!$B$6:$B$17,0)),"?"))</f>
        <v/>
      </c>
      <c r="AV193" s="100" t="str">
        <f>IF($A193="","",IFERROR(INDEX('Natural Catastrophe'!$C$21:$C$26,MATCH($AA193,'Natural Catastrophe'!$B$21:$B$26,0)),"?"))</f>
        <v/>
      </c>
      <c r="AW193" s="99" t="str">
        <f>IF($A193="","",IFERROR(INDEX('Base Rates'!$C$4:$I$4,MATCH(MAX($J193,'Technical Premium'!$C$18),'Base Rates'!$C$3:$I$3,1)),"?"))</f>
        <v/>
      </c>
      <c r="AX193" s="101" t="str">
        <f>IF($A193="","",IFERROR(INDEX('Base Rates'!$C$5:$I$16,MATCH($I193,'Base Rates'!$B$5:$B$16,0),MATCH(MAX($J193,'Technical Premium'!$C$18),'Base Rates'!$C$3:$I$3,1)),"?"))</f>
        <v/>
      </c>
      <c r="AY193" s="102" t="str">
        <f t="shared" si="27"/>
        <v/>
      </c>
      <c r="AZ193" s="99" t="str">
        <f>IF($A193="","",IFERROR(INDEX('Make Factors'!$G$5:$G$69,MATCH($F193,'Make Factors'!$B$5:$B$69,0)),"?"))</f>
        <v/>
      </c>
      <c r="BA193" s="99" t="str">
        <f>IF($A193="","",IFERROR(INDEX('Driver Factors'!$C$6:$C$15,MATCH($R193,'Driver Factors'!$B$6:$B$15,0)),"?"))</f>
        <v/>
      </c>
      <c r="BB193" s="99" t="str">
        <f>IF($A193="","",IFERROR(INDEX('Driver Factors'!$C$19:$C$24,MATCH($S193,'Driver Factors'!$B$19:$B$24,0)),"?"))</f>
        <v/>
      </c>
      <c r="BC193" s="99" t="str">
        <f>IF($A193="","",IFERROR(INDEX('Driver Factors'!$C$28:$C$36,MATCH($T193,'Driver Factors'!$B$28:$B$36,0)),"?"))</f>
        <v/>
      </c>
      <c r="BD193" s="99" t="str">
        <f>IF($A193="","",IFERROR(INDEX('Claims History'!$C$6:$C$15,MATCH($U193,'Claims History'!$B$6:$B$15,0)),"?"))</f>
        <v/>
      </c>
      <c r="BE193" s="99" t="str">
        <f>IF($A193="","",IFERROR(INDEX('Territory Factors'!$E$6:$E$56,MATCH($K193,'Territory Factors'!$B$6:$B$56,0)),"?"))</f>
        <v/>
      </c>
      <c r="BF193" s="99" t="str">
        <f>IF($A193="","",IFERROR(INDEX('City Accident Ratings'!$G$6:$G$54,MATCH($Z193,'City Accident Ratings'!$B$6:$B$54,0)),"?"))</f>
        <v/>
      </c>
      <c r="BG193" s="99" t="str">
        <f>IF($A193="","",IFERROR(INDEX('Usage and Coverage'!$D$6:$D$20,MATCH($N193,'Usage and Coverage'!$C$6:$C$20,0)),"?"))</f>
        <v/>
      </c>
      <c r="BH193" s="99" t="str">
        <f>IF($A193="","",IFERROR(INDEX('Usage and Coverage'!$C$24:$C$30,MATCH($O193,'Usage and Coverage'!$B$24:$B$30,0)),"?"))</f>
        <v/>
      </c>
      <c r="BI193" s="99" t="str">
        <f>IF($A193="","",IFERROR(INDEX('Usage and Coverage'!$C$34:$C$40,MATCH($P193,'Usage and Coverage'!$B$34:$B$40,0)),"?"))</f>
        <v/>
      </c>
      <c r="BJ193" s="99" t="str">
        <f>IF($A193="","",IFERROR(INDEX('Usage and Coverage'!$C$44:$C$49,MATCH($Q193,'Usage and Coverage'!$B$44:$B$49,0)),"?"))</f>
        <v/>
      </c>
      <c r="BK193" s="99" t="str">
        <f>IF($A193="","",IFERROR(INDEX(Deductibles!$C$6:$I$15,MATCH($W193,Deductibles!$B$6:$B$15,0),MATCH(MAX($J193,'Technical Premium'!$C$18),'Base Rates'!$C$3:$I$3,1)),"?"))</f>
        <v/>
      </c>
      <c r="BL193" s="99" t="str">
        <f>IF($A193="","",IFERROR(INDEX('Usage and Coverage'!$C$63:$C$66,MATCH($X193,'Usage and Coverage'!$B$63:$B$66,0)),"?"))</f>
        <v/>
      </c>
      <c r="BM193" s="99" t="str">
        <f>IF($A193="","",IFERROR(INDEX('Usage and Coverage'!$C$70:$C$75,MATCH($V193,'Usage and Coverage'!$B$70:$B$75,0)),"?"))</f>
        <v/>
      </c>
      <c r="BN193" s="99" t="str">
        <f>IF($A193="","",IF($AB193="",1,IFERROR(INDEX(Deductibles!$C$48:$C$51,MATCH($AB193,Deductibles!$B$48:$B$51,0)),"?")))</f>
        <v/>
      </c>
      <c r="BO193" s="99" t="str">
        <f>IF($A193="","",IF($AC193="",1,IFERROR(INDEX(Deductibles!$C$55:$C$57,MATCH($AC193,Deductibles!$B$55:$B$57,0)),"?")))</f>
        <v/>
      </c>
      <c r="BP193" s="99" t="str">
        <f>IF($A193="","",IF($AD193="",1,IFERROR(INDEX(Deductibles!$C$61:$C$63,MATCH($AD193,Deductibles!$B$61:$B$63,0)),"?")))</f>
        <v/>
      </c>
      <c r="BQ193" s="99" t="str">
        <f>IF($A193="","",IF($AE193="",1,IFERROR(INDEX(Deductibles!$C$67:$C$69,MATCH($AE193,Deductibles!$B$67:$B$69,0)),"?")))</f>
        <v/>
      </c>
      <c r="BR193" s="99" t="str">
        <f>IF($A193="","",IF($AF193="",1,IFERROR(INDEX(Deductibles!$C$73:$C$74,MATCH($AF193,Deductibles!$B$73:$B$74,0)),"?")))</f>
        <v/>
      </c>
      <c r="BS193" s="99" t="str">
        <f>IF($A193="","",IF($AG193="",1,IFERROR(INDEX('Sublimits and Parts'!$C$49:$C$52,MATCH($AG193,'Sublimits and Parts'!$B$49:$B$52,0)),"?")))</f>
        <v/>
      </c>
      <c r="BT193" s="99" t="str">
        <f>IF($A193="","",IF($AH193="",1,IFERROR(INDEX('Sublimits and Parts'!$C$56:$C$60,MATCH($AH193,'Sublimits and Parts'!$B$56:$B$60,0)),"?")))</f>
        <v/>
      </c>
      <c r="BU193" s="99" t="str">
        <f>IF($A193="","",IF($AI193="",1,IFERROR(INDEX('Sublimits and Parts'!$C$64:$C$67,MATCH($AI193,'Sublimits and Parts'!$B$64:$B$67,0)),"?")))</f>
        <v/>
      </c>
      <c r="BV193" s="99" t="str">
        <f>IF($A193="","",IF($AJ193="",1,IFERROR(INDEX('Sublimits and Parts'!$C$71:$C$74,MATCH($AJ193,'Sublimits and Parts'!$B$71:$B$74,0)),"?")))</f>
        <v/>
      </c>
      <c r="BW193" s="99" t="str">
        <f>IF($A193="","",IF($AK193="",1,IFERROR(INDEX('Sublimits and Parts'!$C$78:$C$80,MATCH($AK193,'Sublimits and Parts'!$B$78:$B$80,0)),"?")))</f>
        <v/>
      </c>
      <c r="BX193" s="99" t="str">
        <f>IF($A193="","",IF($AL193="",1,IFERROR(INDEX('Sublimits and Parts'!$C$84:$C$87,MATCH($AL193,'Sublimits and Parts'!$B$84:$B$87,0)),"?")))</f>
        <v/>
      </c>
      <c r="BY193" s="99" t="str">
        <f>IF($A193="","",IF($AM193="",1,IFERROR(INDEX('Sublimits and Parts'!$C$91:$C$94,MATCH($AM193,'Sublimits and Parts'!$B$91:$B$94,0)),"?")))</f>
        <v/>
      </c>
      <c r="BZ193" s="99" t="str">
        <f>IF($A193="","",IF($AN193="",1,IFERROR(INDEX('Sublimits and Parts'!$C$98:$C$101,MATCH($AN193,'Sublimits and Parts'!$B$98:$B$101,0)),"?")))</f>
        <v/>
      </c>
      <c r="CA193" s="99" t="str">
        <f>IF($A193="","",IF($AO193="",1,IFERROR(INDEX('Sublimits and Parts'!$C$105:$C$109,MATCH($AO193,'Sublimits and Parts'!$B$105:$B$109,0)),"?")))</f>
        <v/>
      </c>
      <c r="CB193" s="100" t="str">
        <f t="shared" si="28"/>
        <v/>
      </c>
      <c r="CC193" s="100" t="str">
        <f t="shared" si="29"/>
        <v/>
      </c>
      <c r="CD193" s="103" t="str">
        <f>IF($A193="","",IF(OR($CB193="?",$CC193="?"),"?",MIN($CB193*$CC193,'Technical Premium'!$C$17)))</f>
        <v/>
      </c>
      <c r="CE193" s="102" t="str">
        <f t="shared" si="30"/>
        <v/>
      </c>
      <c r="CF193" s="102" t="str">
        <f>IF($A193="","",IFERROR(INDEX('Territory Factors'!$F$6:$F$56,MATCH($K193,'Territory Factors'!$B$6:$B$56,0)),"?"))</f>
        <v/>
      </c>
      <c r="CG193" s="100" t="str">
        <f>IF($A193="","",IFERROR(INDEX('Usage and Coverage'!$C$79:$C$84,MATCH($Y193,'Usage and Coverage'!$B$79:$B$84,0)),"?"))</f>
        <v/>
      </c>
      <c r="CH193" s="102" t="str">
        <f>IFERROR(IF(ISNUMBER($CD193),$CF193*$CG193*MIN($BG193*$BA193*$BC193*$BD193*$BH193*$BF193,'Technical Premium'!$C$17),""),"")</f>
        <v/>
      </c>
      <c r="CI193" s="102" t="str">
        <f t="shared" si="31"/>
        <v/>
      </c>
      <c r="CJ193" s="102" t="str">
        <f>IFERROR($CI193*(1+'Technical Premium'!$C$5)*(1+'Technical Premium'!$C$6),"")</f>
        <v/>
      </c>
      <c r="CK193" s="102" t="str">
        <f>IFERROR($CE193*INDEX('Territory Factors'!$G$6:$G$56,MATCH($K193,'Territory Factors'!$B$6:$B$56,0))*$AU193*$AV193,"")</f>
        <v/>
      </c>
      <c r="CL193" s="102" t="str">
        <f>IFERROR(($CJ193+$CK193)*(1+'Technical Premium'!$C$7),"")</f>
        <v/>
      </c>
      <c r="CM193" s="104" t="str">
        <f>IFERROR($CL193/'Technical Premium'!$C$13,"")</f>
        <v/>
      </c>
      <c r="CN193" s="105" t="str">
        <f t="shared" si="32"/>
        <v/>
      </c>
      <c r="CO193" s="104" t="str">
        <f t="shared" si="33"/>
        <v/>
      </c>
      <c r="CP193" s="105" t="str">
        <f t="shared" si="34"/>
        <v/>
      </c>
      <c r="CQ193" s="106" t="str">
        <f t="shared" si="35"/>
        <v/>
      </c>
      <c r="CR193" s="102" t="str">
        <f>IF(ISNUMBER($CM193),'Technical Premium'!$C$14+IF($J193&gt;=1000000,'Technical Premium'!$C$15,0),"")</f>
        <v/>
      </c>
      <c r="CS193" s="102" t="str">
        <f>IFERROR(($CO193+$CR193)*(INDEX('Territory Factors'!$K$6:$K$56,MATCH($K193,'Territory Factors'!$B$6:$B$56,0))+'Commission Structure'!$C$21),"")</f>
        <v/>
      </c>
      <c r="CT193" s="104" t="str">
        <f t="shared" si="36"/>
        <v/>
      </c>
      <c r="CU193" s="102" t="str">
        <f>IFERROR($CO193*('Commission Structure'!$C$6+'Commission Structure'!$C$7),"")</f>
        <v/>
      </c>
      <c r="CV193" s="102" t="str">
        <f>IFERROR($CO193*'Commission Structure'!$C$5-$CU193,"")</f>
        <v/>
      </c>
      <c r="CW193" s="102" t="str">
        <f>IFERROR($CO193*(1-'Commission Structure'!$C$5),"")</f>
        <v/>
      </c>
      <c r="CX193" s="107"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8" t="str">
        <f t="shared" si="37"/>
        <v/>
      </c>
      <c r="CZ193" s="99" t="str">
        <f>IF($CY193="","",IF($CY193&lt;'Technical Premium'!$C$19,"BEYOND AUTHORITY",IF($CY193&gt;0.005,"Above technical",IF($CY193&lt;-0.005,"BELOW technical","At technical"))))</f>
        <v/>
      </c>
      <c r="DA193" s="99"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4"/>
      <c r="DC193" s="94"/>
      <c r="DD193" s="95"/>
      <c r="DE193" s="94"/>
      <c r="DF193" s="94"/>
      <c r="DG193" s="99" t="str">
        <f t="shared" si="38"/>
        <v/>
      </c>
      <c r="DH193" s="99" t="str">
        <f>IF($A193="","",IF(OR($CX193="REFER",$CX193="DECLINE"),COUNTIF($CX$5:$CX193,"REFER")+COUNTIF($CX$5:$CX193,"DECLINE"),""))</f>
        <v/>
      </c>
      <c r="DI193" s="94"/>
    </row>
    <row r="194" spans="1:113" x14ac:dyDescent="0.35">
      <c r="A194" s="94"/>
      <c r="B194" s="94"/>
      <c r="C194" s="95"/>
      <c r="D194" s="95"/>
      <c r="E194" s="96"/>
      <c r="F194" s="94"/>
      <c r="G194" s="94"/>
      <c r="H194" s="94"/>
      <c r="I194" s="94"/>
      <c r="J194" s="97"/>
      <c r="K194" s="94"/>
      <c r="L194" s="94"/>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8"/>
      <c r="AR194" s="99" t="str">
        <f t="shared" si="26"/>
        <v/>
      </c>
      <c r="AS194" s="99" t="str">
        <f>IF($A194="","",IF($AP194&lt;&gt;"",$AP194,IFERROR(INDEX('Cat Zone by ZIP'!$D$6:$D$856,MATCH($AR194,'Cat Zone by ZIP'!$B$6:$B$856,0)),IFERROR(INDEX('Cat Zone by ZIP'!$C$860:$C$910,MATCH($K194,'Cat Zone by ZIP'!$B$860:$B$910,0)),"NOT FOUND"))))</f>
        <v/>
      </c>
      <c r="AT194" s="99" t="str">
        <f>IF($A194="","",IF($AP194&lt;&gt;"","Override",IF(ISNUMBER(MATCH($AR194,'Cat Zone by ZIP'!$B$6:$B$856,0)),"ZIP-3","State default")))</f>
        <v/>
      </c>
      <c r="AU194" s="100" t="str">
        <f>IF($A194="","",IFERROR(INDEX('Natural Catastrophe'!$D$6:$D$17,MATCH($AS194,'Natural Catastrophe'!$B$6:$B$17,0)),"?"))</f>
        <v/>
      </c>
      <c r="AV194" s="100" t="str">
        <f>IF($A194="","",IFERROR(INDEX('Natural Catastrophe'!$C$21:$C$26,MATCH($AA194,'Natural Catastrophe'!$B$21:$B$26,0)),"?"))</f>
        <v/>
      </c>
      <c r="AW194" s="99" t="str">
        <f>IF($A194="","",IFERROR(INDEX('Base Rates'!$C$4:$I$4,MATCH(MAX($J194,'Technical Premium'!$C$18),'Base Rates'!$C$3:$I$3,1)),"?"))</f>
        <v/>
      </c>
      <c r="AX194" s="101" t="str">
        <f>IF($A194="","",IFERROR(INDEX('Base Rates'!$C$5:$I$16,MATCH($I194,'Base Rates'!$B$5:$B$16,0),MATCH(MAX($J194,'Technical Premium'!$C$18),'Base Rates'!$C$3:$I$3,1)),"?"))</f>
        <v/>
      </c>
      <c r="AY194" s="102" t="str">
        <f t="shared" si="27"/>
        <v/>
      </c>
      <c r="AZ194" s="99" t="str">
        <f>IF($A194="","",IFERROR(INDEX('Make Factors'!$G$5:$G$69,MATCH($F194,'Make Factors'!$B$5:$B$69,0)),"?"))</f>
        <v/>
      </c>
      <c r="BA194" s="99" t="str">
        <f>IF($A194="","",IFERROR(INDEX('Driver Factors'!$C$6:$C$15,MATCH($R194,'Driver Factors'!$B$6:$B$15,0)),"?"))</f>
        <v/>
      </c>
      <c r="BB194" s="99" t="str">
        <f>IF($A194="","",IFERROR(INDEX('Driver Factors'!$C$19:$C$24,MATCH($S194,'Driver Factors'!$B$19:$B$24,0)),"?"))</f>
        <v/>
      </c>
      <c r="BC194" s="99" t="str">
        <f>IF($A194="","",IFERROR(INDEX('Driver Factors'!$C$28:$C$36,MATCH($T194,'Driver Factors'!$B$28:$B$36,0)),"?"))</f>
        <v/>
      </c>
      <c r="BD194" s="99" t="str">
        <f>IF($A194="","",IFERROR(INDEX('Claims History'!$C$6:$C$15,MATCH($U194,'Claims History'!$B$6:$B$15,0)),"?"))</f>
        <v/>
      </c>
      <c r="BE194" s="99" t="str">
        <f>IF($A194="","",IFERROR(INDEX('Territory Factors'!$E$6:$E$56,MATCH($K194,'Territory Factors'!$B$6:$B$56,0)),"?"))</f>
        <v/>
      </c>
      <c r="BF194" s="99" t="str">
        <f>IF($A194="","",IFERROR(INDEX('City Accident Ratings'!$G$6:$G$54,MATCH($Z194,'City Accident Ratings'!$B$6:$B$54,0)),"?"))</f>
        <v/>
      </c>
      <c r="BG194" s="99" t="str">
        <f>IF($A194="","",IFERROR(INDEX('Usage and Coverage'!$D$6:$D$20,MATCH($N194,'Usage and Coverage'!$C$6:$C$20,0)),"?"))</f>
        <v/>
      </c>
      <c r="BH194" s="99" t="str">
        <f>IF($A194="","",IFERROR(INDEX('Usage and Coverage'!$C$24:$C$30,MATCH($O194,'Usage and Coverage'!$B$24:$B$30,0)),"?"))</f>
        <v/>
      </c>
      <c r="BI194" s="99" t="str">
        <f>IF($A194="","",IFERROR(INDEX('Usage and Coverage'!$C$34:$C$40,MATCH($P194,'Usage and Coverage'!$B$34:$B$40,0)),"?"))</f>
        <v/>
      </c>
      <c r="BJ194" s="99" t="str">
        <f>IF($A194="","",IFERROR(INDEX('Usage and Coverage'!$C$44:$C$49,MATCH($Q194,'Usage and Coverage'!$B$44:$B$49,0)),"?"))</f>
        <v/>
      </c>
      <c r="BK194" s="99" t="str">
        <f>IF($A194="","",IFERROR(INDEX(Deductibles!$C$6:$I$15,MATCH($W194,Deductibles!$B$6:$B$15,0),MATCH(MAX($J194,'Technical Premium'!$C$18),'Base Rates'!$C$3:$I$3,1)),"?"))</f>
        <v/>
      </c>
      <c r="BL194" s="99" t="str">
        <f>IF($A194="","",IFERROR(INDEX('Usage and Coverage'!$C$63:$C$66,MATCH($X194,'Usage and Coverage'!$B$63:$B$66,0)),"?"))</f>
        <v/>
      </c>
      <c r="BM194" s="99" t="str">
        <f>IF($A194="","",IFERROR(INDEX('Usage and Coverage'!$C$70:$C$75,MATCH($V194,'Usage and Coverage'!$B$70:$B$75,0)),"?"))</f>
        <v/>
      </c>
      <c r="BN194" s="99" t="str">
        <f>IF($A194="","",IF($AB194="",1,IFERROR(INDEX(Deductibles!$C$48:$C$51,MATCH($AB194,Deductibles!$B$48:$B$51,0)),"?")))</f>
        <v/>
      </c>
      <c r="BO194" s="99" t="str">
        <f>IF($A194="","",IF($AC194="",1,IFERROR(INDEX(Deductibles!$C$55:$C$57,MATCH($AC194,Deductibles!$B$55:$B$57,0)),"?")))</f>
        <v/>
      </c>
      <c r="BP194" s="99" t="str">
        <f>IF($A194="","",IF($AD194="",1,IFERROR(INDEX(Deductibles!$C$61:$C$63,MATCH($AD194,Deductibles!$B$61:$B$63,0)),"?")))</f>
        <v/>
      </c>
      <c r="BQ194" s="99" t="str">
        <f>IF($A194="","",IF($AE194="",1,IFERROR(INDEX(Deductibles!$C$67:$C$69,MATCH($AE194,Deductibles!$B$67:$B$69,0)),"?")))</f>
        <v/>
      </c>
      <c r="BR194" s="99" t="str">
        <f>IF($A194="","",IF($AF194="",1,IFERROR(INDEX(Deductibles!$C$73:$C$74,MATCH($AF194,Deductibles!$B$73:$B$74,0)),"?")))</f>
        <v/>
      </c>
      <c r="BS194" s="99" t="str">
        <f>IF($A194="","",IF($AG194="",1,IFERROR(INDEX('Sublimits and Parts'!$C$49:$C$52,MATCH($AG194,'Sublimits and Parts'!$B$49:$B$52,0)),"?")))</f>
        <v/>
      </c>
      <c r="BT194" s="99" t="str">
        <f>IF($A194="","",IF($AH194="",1,IFERROR(INDEX('Sublimits and Parts'!$C$56:$C$60,MATCH($AH194,'Sublimits and Parts'!$B$56:$B$60,0)),"?")))</f>
        <v/>
      </c>
      <c r="BU194" s="99" t="str">
        <f>IF($A194="","",IF($AI194="",1,IFERROR(INDEX('Sublimits and Parts'!$C$64:$C$67,MATCH($AI194,'Sublimits and Parts'!$B$64:$B$67,0)),"?")))</f>
        <v/>
      </c>
      <c r="BV194" s="99" t="str">
        <f>IF($A194="","",IF($AJ194="",1,IFERROR(INDEX('Sublimits and Parts'!$C$71:$C$74,MATCH($AJ194,'Sublimits and Parts'!$B$71:$B$74,0)),"?")))</f>
        <v/>
      </c>
      <c r="BW194" s="99" t="str">
        <f>IF($A194="","",IF($AK194="",1,IFERROR(INDEX('Sublimits and Parts'!$C$78:$C$80,MATCH($AK194,'Sublimits and Parts'!$B$78:$B$80,0)),"?")))</f>
        <v/>
      </c>
      <c r="BX194" s="99" t="str">
        <f>IF($A194="","",IF($AL194="",1,IFERROR(INDEX('Sublimits and Parts'!$C$84:$C$87,MATCH($AL194,'Sublimits and Parts'!$B$84:$B$87,0)),"?")))</f>
        <v/>
      </c>
      <c r="BY194" s="99" t="str">
        <f>IF($A194="","",IF($AM194="",1,IFERROR(INDEX('Sublimits and Parts'!$C$91:$C$94,MATCH($AM194,'Sublimits and Parts'!$B$91:$B$94,0)),"?")))</f>
        <v/>
      </c>
      <c r="BZ194" s="99" t="str">
        <f>IF($A194="","",IF($AN194="",1,IFERROR(INDEX('Sublimits and Parts'!$C$98:$C$101,MATCH($AN194,'Sublimits and Parts'!$B$98:$B$101,0)),"?")))</f>
        <v/>
      </c>
      <c r="CA194" s="99" t="str">
        <f>IF($A194="","",IF($AO194="",1,IFERROR(INDEX('Sublimits and Parts'!$C$105:$C$109,MATCH($AO194,'Sublimits and Parts'!$B$105:$B$109,0)),"?")))</f>
        <v/>
      </c>
      <c r="CB194" s="100" t="str">
        <f t="shared" si="28"/>
        <v/>
      </c>
      <c r="CC194" s="100" t="str">
        <f t="shared" si="29"/>
        <v/>
      </c>
      <c r="CD194" s="103" t="str">
        <f>IF($A194="","",IF(OR($CB194="?",$CC194="?"),"?",MIN($CB194*$CC194,'Technical Premium'!$C$17)))</f>
        <v/>
      </c>
      <c r="CE194" s="102" t="str">
        <f t="shared" si="30"/>
        <v/>
      </c>
      <c r="CF194" s="102" t="str">
        <f>IF($A194="","",IFERROR(INDEX('Territory Factors'!$F$6:$F$56,MATCH($K194,'Territory Factors'!$B$6:$B$56,0)),"?"))</f>
        <v/>
      </c>
      <c r="CG194" s="100" t="str">
        <f>IF($A194="","",IFERROR(INDEX('Usage and Coverage'!$C$79:$C$84,MATCH($Y194,'Usage and Coverage'!$B$79:$B$84,0)),"?"))</f>
        <v/>
      </c>
      <c r="CH194" s="102" t="str">
        <f>IFERROR(IF(ISNUMBER($CD194),$CF194*$CG194*MIN($BG194*$BA194*$BC194*$BD194*$BH194*$BF194,'Technical Premium'!$C$17),""),"")</f>
        <v/>
      </c>
      <c r="CI194" s="102" t="str">
        <f t="shared" si="31"/>
        <v/>
      </c>
      <c r="CJ194" s="102" t="str">
        <f>IFERROR($CI194*(1+'Technical Premium'!$C$5)*(1+'Technical Premium'!$C$6),"")</f>
        <v/>
      </c>
      <c r="CK194" s="102" t="str">
        <f>IFERROR($CE194*INDEX('Territory Factors'!$G$6:$G$56,MATCH($K194,'Territory Factors'!$B$6:$B$56,0))*$AU194*$AV194,"")</f>
        <v/>
      </c>
      <c r="CL194" s="102" t="str">
        <f>IFERROR(($CJ194+$CK194)*(1+'Technical Premium'!$C$7),"")</f>
        <v/>
      </c>
      <c r="CM194" s="104" t="str">
        <f>IFERROR($CL194/'Technical Premium'!$C$13,"")</f>
        <v/>
      </c>
      <c r="CN194" s="105" t="str">
        <f t="shared" si="32"/>
        <v/>
      </c>
      <c r="CO194" s="104" t="str">
        <f t="shared" si="33"/>
        <v/>
      </c>
      <c r="CP194" s="105" t="str">
        <f t="shared" si="34"/>
        <v/>
      </c>
      <c r="CQ194" s="106" t="str">
        <f t="shared" si="35"/>
        <v/>
      </c>
      <c r="CR194" s="102" t="str">
        <f>IF(ISNUMBER($CM194),'Technical Premium'!$C$14+IF($J194&gt;=1000000,'Technical Premium'!$C$15,0),"")</f>
        <v/>
      </c>
      <c r="CS194" s="102" t="str">
        <f>IFERROR(($CO194+$CR194)*(INDEX('Territory Factors'!$K$6:$K$56,MATCH($K194,'Territory Factors'!$B$6:$B$56,0))+'Commission Structure'!$C$21),"")</f>
        <v/>
      </c>
      <c r="CT194" s="104" t="str">
        <f t="shared" si="36"/>
        <v/>
      </c>
      <c r="CU194" s="102" t="str">
        <f>IFERROR($CO194*('Commission Structure'!$C$6+'Commission Structure'!$C$7),"")</f>
        <v/>
      </c>
      <c r="CV194" s="102" t="str">
        <f>IFERROR($CO194*'Commission Structure'!$C$5-$CU194,"")</f>
        <v/>
      </c>
      <c r="CW194" s="102" t="str">
        <f>IFERROR($CO194*(1-'Commission Structure'!$C$5),"")</f>
        <v/>
      </c>
      <c r="CX194" s="107"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8" t="str">
        <f t="shared" si="37"/>
        <v/>
      </c>
      <c r="CZ194" s="99" t="str">
        <f>IF($CY194="","",IF($CY194&lt;'Technical Premium'!$C$19,"BEYOND AUTHORITY",IF($CY194&gt;0.005,"Above technical",IF($CY194&lt;-0.005,"BELOW technical","At technical"))))</f>
        <v/>
      </c>
      <c r="DA194" s="99"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4"/>
      <c r="DC194" s="94"/>
      <c r="DD194" s="95"/>
      <c r="DE194" s="94"/>
      <c r="DF194" s="94"/>
      <c r="DG194" s="99" t="str">
        <f t="shared" si="38"/>
        <v/>
      </c>
      <c r="DH194" s="99" t="str">
        <f>IF($A194="","",IF(OR($CX194="REFER",$CX194="DECLINE"),COUNTIF($CX$5:$CX194,"REFER")+COUNTIF($CX$5:$CX194,"DECLINE"),""))</f>
        <v/>
      </c>
      <c r="DI194" s="94"/>
    </row>
    <row r="195" spans="1:113" x14ac:dyDescent="0.35">
      <c r="A195" s="94"/>
      <c r="B195" s="94"/>
      <c r="C195" s="95"/>
      <c r="D195" s="95"/>
      <c r="E195" s="96"/>
      <c r="F195" s="94"/>
      <c r="G195" s="94"/>
      <c r="H195" s="94"/>
      <c r="I195" s="94"/>
      <c r="J195" s="97"/>
      <c r="K195" s="94"/>
      <c r="L195" s="94"/>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8"/>
      <c r="AR195" s="99" t="str">
        <f t="shared" si="26"/>
        <v/>
      </c>
      <c r="AS195" s="99" t="str">
        <f>IF($A195="","",IF($AP195&lt;&gt;"",$AP195,IFERROR(INDEX('Cat Zone by ZIP'!$D$6:$D$856,MATCH($AR195,'Cat Zone by ZIP'!$B$6:$B$856,0)),IFERROR(INDEX('Cat Zone by ZIP'!$C$860:$C$910,MATCH($K195,'Cat Zone by ZIP'!$B$860:$B$910,0)),"NOT FOUND"))))</f>
        <v/>
      </c>
      <c r="AT195" s="99" t="str">
        <f>IF($A195="","",IF($AP195&lt;&gt;"","Override",IF(ISNUMBER(MATCH($AR195,'Cat Zone by ZIP'!$B$6:$B$856,0)),"ZIP-3","State default")))</f>
        <v/>
      </c>
      <c r="AU195" s="100" t="str">
        <f>IF($A195="","",IFERROR(INDEX('Natural Catastrophe'!$D$6:$D$17,MATCH($AS195,'Natural Catastrophe'!$B$6:$B$17,0)),"?"))</f>
        <v/>
      </c>
      <c r="AV195" s="100" t="str">
        <f>IF($A195="","",IFERROR(INDEX('Natural Catastrophe'!$C$21:$C$26,MATCH($AA195,'Natural Catastrophe'!$B$21:$B$26,0)),"?"))</f>
        <v/>
      </c>
      <c r="AW195" s="99" t="str">
        <f>IF($A195="","",IFERROR(INDEX('Base Rates'!$C$4:$I$4,MATCH(MAX($J195,'Technical Premium'!$C$18),'Base Rates'!$C$3:$I$3,1)),"?"))</f>
        <v/>
      </c>
      <c r="AX195" s="101" t="str">
        <f>IF($A195="","",IFERROR(INDEX('Base Rates'!$C$5:$I$16,MATCH($I195,'Base Rates'!$B$5:$B$16,0),MATCH(MAX($J195,'Technical Premium'!$C$18),'Base Rates'!$C$3:$I$3,1)),"?"))</f>
        <v/>
      </c>
      <c r="AY195" s="102" t="str">
        <f t="shared" si="27"/>
        <v/>
      </c>
      <c r="AZ195" s="99" t="str">
        <f>IF($A195="","",IFERROR(INDEX('Make Factors'!$G$5:$G$69,MATCH($F195,'Make Factors'!$B$5:$B$69,0)),"?"))</f>
        <v/>
      </c>
      <c r="BA195" s="99" t="str">
        <f>IF($A195="","",IFERROR(INDEX('Driver Factors'!$C$6:$C$15,MATCH($R195,'Driver Factors'!$B$6:$B$15,0)),"?"))</f>
        <v/>
      </c>
      <c r="BB195" s="99" t="str">
        <f>IF($A195="","",IFERROR(INDEX('Driver Factors'!$C$19:$C$24,MATCH($S195,'Driver Factors'!$B$19:$B$24,0)),"?"))</f>
        <v/>
      </c>
      <c r="BC195" s="99" t="str">
        <f>IF($A195="","",IFERROR(INDEX('Driver Factors'!$C$28:$C$36,MATCH($T195,'Driver Factors'!$B$28:$B$36,0)),"?"))</f>
        <v/>
      </c>
      <c r="BD195" s="99" t="str">
        <f>IF($A195="","",IFERROR(INDEX('Claims History'!$C$6:$C$15,MATCH($U195,'Claims History'!$B$6:$B$15,0)),"?"))</f>
        <v/>
      </c>
      <c r="BE195" s="99" t="str">
        <f>IF($A195="","",IFERROR(INDEX('Territory Factors'!$E$6:$E$56,MATCH($K195,'Territory Factors'!$B$6:$B$56,0)),"?"))</f>
        <v/>
      </c>
      <c r="BF195" s="99" t="str">
        <f>IF($A195="","",IFERROR(INDEX('City Accident Ratings'!$G$6:$G$54,MATCH($Z195,'City Accident Ratings'!$B$6:$B$54,0)),"?"))</f>
        <v/>
      </c>
      <c r="BG195" s="99" t="str">
        <f>IF($A195="","",IFERROR(INDEX('Usage and Coverage'!$D$6:$D$20,MATCH($N195,'Usage and Coverage'!$C$6:$C$20,0)),"?"))</f>
        <v/>
      </c>
      <c r="BH195" s="99" t="str">
        <f>IF($A195="","",IFERROR(INDEX('Usage and Coverage'!$C$24:$C$30,MATCH($O195,'Usage and Coverage'!$B$24:$B$30,0)),"?"))</f>
        <v/>
      </c>
      <c r="BI195" s="99" t="str">
        <f>IF($A195="","",IFERROR(INDEX('Usage and Coverage'!$C$34:$C$40,MATCH($P195,'Usage and Coverage'!$B$34:$B$40,0)),"?"))</f>
        <v/>
      </c>
      <c r="BJ195" s="99" t="str">
        <f>IF($A195="","",IFERROR(INDEX('Usage and Coverage'!$C$44:$C$49,MATCH($Q195,'Usage and Coverage'!$B$44:$B$49,0)),"?"))</f>
        <v/>
      </c>
      <c r="BK195" s="99" t="str">
        <f>IF($A195="","",IFERROR(INDEX(Deductibles!$C$6:$I$15,MATCH($W195,Deductibles!$B$6:$B$15,0),MATCH(MAX($J195,'Technical Premium'!$C$18),'Base Rates'!$C$3:$I$3,1)),"?"))</f>
        <v/>
      </c>
      <c r="BL195" s="99" t="str">
        <f>IF($A195="","",IFERROR(INDEX('Usage and Coverage'!$C$63:$C$66,MATCH($X195,'Usage and Coverage'!$B$63:$B$66,0)),"?"))</f>
        <v/>
      </c>
      <c r="BM195" s="99" t="str">
        <f>IF($A195="","",IFERROR(INDEX('Usage and Coverage'!$C$70:$C$75,MATCH($V195,'Usage and Coverage'!$B$70:$B$75,0)),"?"))</f>
        <v/>
      </c>
      <c r="BN195" s="99" t="str">
        <f>IF($A195="","",IF($AB195="",1,IFERROR(INDEX(Deductibles!$C$48:$C$51,MATCH($AB195,Deductibles!$B$48:$B$51,0)),"?")))</f>
        <v/>
      </c>
      <c r="BO195" s="99" t="str">
        <f>IF($A195="","",IF($AC195="",1,IFERROR(INDEX(Deductibles!$C$55:$C$57,MATCH($AC195,Deductibles!$B$55:$B$57,0)),"?")))</f>
        <v/>
      </c>
      <c r="BP195" s="99" t="str">
        <f>IF($A195="","",IF($AD195="",1,IFERROR(INDEX(Deductibles!$C$61:$C$63,MATCH($AD195,Deductibles!$B$61:$B$63,0)),"?")))</f>
        <v/>
      </c>
      <c r="BQ195" s="99" t="str">
        <f>IF($A195="","",IF($AE195="",1,IFERROR(INDEX(Deductibles!$C$67:$C$69,MATCH($AE195,Deductibles!$B$67:$B$69,0)),"?")))</f>
        <v/>
      </c>
      <c r="BR195" s="99" t="str">
        <f>IF($A195="","",IF($AF195="",1,IFERROR(INDEX(Deductibles!$C$73:$C$74,MATCH($AF195,Deductibles!$B$73:$B$74,0)),"?")))</f>
        <v/>
      </c>
      <c r="BS195" s="99" t="str">
        <f>IF($A195="","",IF($AG195="",1,IFERROR(INDEX('Sublimits and Parts'!$C$49:$C$52,MATCH($AG195,'Sublimits and Parts'!$B$49:$B$52,0)),"?")))</f>
        <v/>
      </c>
      <c r="BT195" s="99" t="str">
        <f>IF($A195="","",IF($AH195="",1,IFERROR(INDEX('Sublimits and Parts'!$C$56:$C$60,MATCH($AH195,'Sublimits and Parts'!$B$56:$B$60,0)),"?")))</f>
        <v/>
      </c>
      <c r="BU195" s="99" t="str">
        <f>IF($A195="","",IF($AI195="",1,IFERROR(INDEX('Sublimits and Parts'!$C$64:$C$67,MATCH($AI195,'Sublimits and Parts'!$B$64:$B$67,0)),"?")))</f>
        <v/>
      </c>
      <c r="BV195" s="99" t="str">
        <f>IF($A195="","",IF($AJ195="",1,IFERROR(INDEX('Sublimits and Parts'!$C$71:$C$74,MATCH($AJ195,'Sublimits and Parts'!$B$71:$B$74,0)),"?")))</f>
        <v/>
      </c>
      <c r="BW195" s="99" t="str">
        <f>IF($A195="","",IF($AK195="",1,IFERROR(INDEX('Sublimits and Parts'!$C$78:$C$80,MATCH($AK195,'Sublimits and Parts'!$B$78:$B$80,0)),"?")))</f>
        <v/>
      </c>
      <c r="BX195" s="99" t="str">
        <f>IF($A195="","",IF($AL195="",1,IFERROR(INDEX('Sublimits and Parts'!$C$84:$C$87,MATCH($AL195,'Sublimits and Parts'!$B$84:$B$87,0)),"?")))</f>
        <v/>
      </c>
      <c r="BY195" s="99" t="str">
        <f>IF($A195="","",IF($AM195="",1,IFERROR(INDEX('Sublimits and Parts'!$C$91:$C$94,MATCH($AM195,'Sublimits and Parts'!$B$91:$B$94,0)),"?")))</f>
        <v/>
      </c>
      <c r="BZ195" s="99" t="str">
        <f>IF($A195="","",IF($AN195="",1,IFERROR(INDEX('Sublimits and Parts'!$C$98:$C$101,MATCH($AN195,'Sublimits and Parts'!$B$98:$B$101,0)),"?")))</f>
        <v/>
      </c>
      <c r="CA195" s="99" t="str">
        <f>IF($A195="","",IF($AO195="",1,IFERROR(INDEX('Sublimits and Parts'!$C$105:$C$109,MATCH($AO195,'Sublimits and Parts'!$B$105:$B$109,0)),"?")))</f>
        <v/>
      </c>
      <c r="CB195" s="100" t="str">
        <f t="shared" si="28"/>
        <v/>
      </c>
      <c r="CC195" s="100" t="str">
        <f t="shared" si="29"/>
        <v/>
      </c>
      <c r="CD195" s="103" t="str">
        <f>IF($A195="","",IF(OR($CB195="?",$CC195="?"),"?",MIN($CB195*$CC195,'Technical Premium'!$C$17)))</f>
        <v/>
      </c>
      <c r="CE195" s="102" t="str">
        <f t="shared" si="30"/>
        <v/>
      </c>
      <c r="CF195" s="102" t="str">
        <f>IF($A195="","",IFERROR(INDEX('Territory Factors'!$F$6:$F$56,MATCH($K195,'Territory Factors'!$B$6:$B$56,0)),"?"))</f>
        <v/>
      </c>
      <c r="CG195" s="100" t="str">
        <f>IF($A195="","",IFERROR(INDEX('Usage and Coverage'!$C$79:$C$84,MATCH($Y195,'Usage and Coverage'!$B$79:$B$84,0)),"?"))</f>
        <v/>
      </c>
      <c r="CH195" s="102" t="str">
        <f>IFERROR(IF(ISNUMBER($CD195),$CF195*$CG195*MIN($BG195*$BA195*$BC195*$BD195*$BH195*$BF195,'Technical Premium'!$C$17),""),"")</f>
        <v/>
      </c>
      <c r="CI195" s="102" t="str">
        <f t="shared" si="31"/>
        <v/>
      </c>
      <c r="CJ195" s="102" t="str">
        <f>IFERROR($CI195*(1+'Technical Premium'!$C$5)*(1+'Technical Premium'!$C$6),"")</f>
        <v/>
      </c>
      <c r="CK195" s="102" t="str">
        <f>IFERROR($CE195*INDEX('Territory Factors'!$G$6:$G$56,MATCH($K195,'Territory Factors'!$B$6:$B$56,0))*$AU195*$AV195,"")</f>
        <v/>
      </c>
      <c r="CL195" s="102" t="str">
        <f>IFERROR(($CJ195+$CK195)*(1+'Technical Premium'!$C$7),"")</f>
        <v/>
      </c>
      <c r="CM195" s="104" t="str">
        <f>IFERROR($CL195/'Technical Premium'!$C$13,"")</f>
        <v/>
      </c>
      <c r="CN195" s="105" t="str">
        <f t="shared" si="32"/>
        <v/>
      </c>
      <c r="CO195" s="104" t="str">
        <f t="shared" si="33"/>
        <v/>
      </c>
      <c r="CP195" s="105" t="str">
        <f t="shared" si="34"/>
        <v/>
      </c>
      <c r="CQ195" s="106" t="str">
        <f t="shared" si="35"/>
        <v/>
      </c>
      <c r="CR195" s="102" t="str">
        <f>IF(ISNUMBER($CM195),'Technical Premium'!$C$14+IF($J195&gt;=1000000,'Technical Premium'!$C$15,0),"")</f>
        <v/>
      </c>
      <c r="CS195" s="102" t="str">
        <f>IFERROR(($CO195+$CR195)*(INDEX('Territory Factors'!$K$6:$K$56,MATCH($K195,'Territory Factors'!$B$6:$B$56,0))+'Commission Structure'!$C$21),"")</f>
        <v/>
      </c>
      <c r="CT195" s="104" t="str">
        <f t="shared" si="36"/>
        <v/>
      </c>
      <c r="CU195" s="102" t="str">
        <f>IFERROR($CO195*('Commission Structure'!$C$6+'Commission Structure'!$C$7),"")</f>
        <v/>
      </c>
      <c r="CV195" s="102" t="str">
        <f>IFERROR($CO195*'Commission Structure'!$C$5-$CU195,"")</f>
        <v/>
      </c>
      <c r="CW195" s="102" t="str">
        <f>IFERROR($CO195*(1-'Commission Structure'!$C$5),"")</f>
        <v/>
      </c>
      <c r="CX195" s="107"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8" t="str">
        <f t="shared" si="37"/>
        <v/>
      </c>
      <c r="CZ195" s="99" t="str">
        <f>IF($CY195="","",IF($CY195&lt;'Technical Premium'!$C$19,"BEYOND AUTHORITY",IF($CY195&gt;0.005,"Above technical",IF($CY195&lt;-0.005,"BELOW technical","At technical"))))</f>
        <v/>
      </c>
      <c r="DA195" s="99"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4"/>
      <c r="DC195" s="94"/>
      <c r="DD195" s="95"/>
      <c r="DE195" s="94"/>
      <c r="DF195" s="94"/>
      <c r="DG195" s="99" t="str">
        <f t="shared" si="38"/>
        <v/>
      </c>
      <c r="DH195" s="99" t="str">
        <f>IF($A195="","",IF(OR($CX195="REFER",$CX195="DECLINE"),COUNTIF($CX$5:$CX195,"REFER")+COUNTIF($CX$5:$CX195,"DECLINE"),""))</f>
        <v/>
      </c>
      <c r="DI195" s="94"/>
    </row>
    <row r="196" spans="1:113" x14ac:dyDescent="0.35">
      <c r="A196" s="94"/>
      <c r="B196" s="94"/>
      <c r="C196" s="95"/>
      <c r="D196" s="95"/>
      <c r="E196" s="96"/>
      <c r="F196" s="94"/>
      <c r="G196" s="94"/>
      <c r="H196" s="94"/>
      <c r="I196" s="94"/>
      <c r="J196" s="97"/>
      <c r="K196" s="94"/>
      <c r="L196" s="94"/>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8"/>
      <c r="AR196" s="99" t="str">
        <f t="shared" si="26"/>
        <v/>
      </c>
      <c r="AS196" s="99" t="str">
        <f>IF($A196="","",IF($AP196&lt;&gt;"",$AP196,IFERROR(INDEX('Cat Zone by ZIP'!$D$6:$D$856,MATCH($AR196,'Cat Zone by ZIP'!$B$6:$B$856,0)),IFERROR(INDEX('Cat Zone by ZIP'!$C$860:$C$910,MATCH($K196,'Cat Zone by ZIP'!$B$860:$B$910,0)),"NOT FOUND"))))</f>
        <v/>
      </c>
      <c r="AT196" s="99" t="str">
        <f>IF($A196="","",IF($AP196&lt;&gt;"","Override",IF(ISNUMBER(MATCH($AR196,'Cat Zone by ZIP'!$B$6:$B$856,0)),"ZIP-3","State default")))</f>
        <v/>
      </c>
      <c r="AU196" s="100" t="str">
        <f>IF($A196="","",IFERROR(INDEX('Natural Catastrophe'!$D$6:$D$17,MATCH($AS196,'Natural Catastrophe'!$B$6:$B$17,0)),"?"))</f>
        <v/>
      </c>
      <c r="AV196" s="100" t="str">
        <f>IF($A196="","",IFERROR(INDEX('Natural Catastrophe'!$C$21:$C$26,MATCH($AA196,'Natural Catastrophe'!$B$21:$B$26,0)),"?"))</f>
        <v/>
      </c>
      <c r="AW196" s="99" t="str">
        <f>IF($A196="","",IFERROR(INDEX('Base Rates'!$C$4:$I$4,MATCH(MAX($J196,'Technical Premium'!$C$18),'Base Rates'!$C$3:$I$3,1)),"?"))</f>
        <v/>
      </c>
      <c r="AX196" s="101" t="str">
        <f>IF($A196="","",IFERROR(INDEX('Base Rates'!$C$5:$I$16,MATCH($I196,'Base Rates'!$B$5:$B$16,0),MATCH(MAX($J196,'Technical Premium'!$C$18),'Base Rates'!$C$3:$I$3,1)),"?"))</f>
        <v/>
      </c>
      <c r="AY196" s="102" t="str">
        <f t="shared" si="27"/>
        <v/>
      </c>
      <c r="AZ196" s="99" t="str">
        <f>IF($A196="","",IFERROR(INDEX('Make Factors'!$G$5:$G$69,MATCH($F196,'Make Factors'!$B$5:$B$69,0)),"?"))</f>
        <v/>
      </c>
      <c r="BA196" s="99" t="str">
        <f>IF($A196="","",IFERROR(INDEX('Driver Factors'!$C$6:$C$15,MATCH($R196,'Driver Factors'!$B$6:$B$15,0)),"?"))</f>
        <v/>
      </c>
      <c r="BB196" s="99" t="str">
        <f>IF($A196="","",IFERROR(INDEX('Driver Factors'!$C$19:$C$24,MATCH($S196,'Driver Factors'!$B$19:$B$24,0)),"?"))</f>
        <v/>
      </c>
      <c r="BC196" s="99" t="str">
        <f>IF($A196="","",IFERROR(INDEX('Driver Factors'!$C$28:$C$36,MATCH($T196,'Driver Factors'!$B$28:$B$36,0)),"?"))</f>
        <v/>
      </c>
      <c r="BD196" s="99" t="str">
        <f>IF($A196="","",IFERROR(INDEX('Claims History'!$C$6:$C$15,MATCH($U196,'Claims History'!$B$6:$B$15,0)),"?"))</f>
        <v/>
      </c>
      <c r="BE196" s="99" t="str">
        <f>IF($A196="","",IFERROR(INDEX('Territory Factors'!$E$6:$E$56,MATCH($K196,'Territory Factors'!$B$6:$B$56,0)),"?"))</f>
        <v/>
      </c>
      <c r="BF196" s="99" t="str">
        <f>IF($A196="","",IFERROR(INDEX('City Accident Ratings'!$G$6:$G$54,MATCH($Z196,'City Accident Ratings'!$B$6:$B$54,0)),"?"))</f>
        <v/>
      </c>
      <c r="BG196" s="99" t="str">
        <f>IF($A196="","",IFERROR(INDEX('Usage and Coverage'!$D$6:$D$20,MATCH($N196,'Usage and Coverage'!$C$6:$C$20,0)),"?"))</f>
        <v/>
      </c>
      <c r="BH196" s="99" t="str">
        <f>IF($A196="","",IFERROR(INDEX('Usage and Coverage'!$C$24:$C$30,MATCH($O196,'Usage and Coverage'!$B$24:$B$30,0)),"?"))</f>
        <v/>
      </c>
      <c r="BI196" s="99" t="str">
        <f>IF($A196="","",IFERROR(INDEX('Usage and Coverage'!$C$34:$C$40,MATCH($P196,'Usage and Coverage'!$B$34:$B$40,0)),"?"))</f>
        <v/>
      </c>
      <c r="BJ196" s="99" t="str">
        <f>IF($A196="","",IFERROR(INDEX('Usage and Coverage'!$C$44:$C$49,MATCH($Q196,'Usage and Coverage'!$B$44:$B$49,0)),"?"))</f>
        <v/>
      </c>
      <c r="BK196" s="99" t="str">
        <f>IF($A196="","",IFERROR(INDEX(Deductibles!$C$6:$I$15,MATCH($W196,Deductibles!$B$6:$B$15,0),MATCH(MAX($J196,'Technical Premium'!$C$18),'Base Rates'!$C$3:$I$3,1)),"?"))</f>
        <v/>
      </c>
      <c r="BL196" s="99" t="str">
        <f>IF($A196="","",IFERROR(INDEX('Usage and Coverage'!$C$63:$C$66,MATCH($X196,'Usage and Coverage'!$B$63:$B$66,0)),"?"))</f>
        <v/>
      </c>
      <c r="BM196" s="99" t="str">
        <f>IF($A196="","",IFERROR(INDEX('Usage and Coverage'!$C$70:$C$75,MATCH($V196,'Usage and Coverage'!$B$70:$B$75,0)),"?"))</f>
        <v/>
      </c>
      <c r="BN196" s="99" t="str">
        <f>IF($A196="","",IF($AB196="",1,IFERROR(INDEX(Deductibles!$C$48:$C$51,MATCH($AB196,Deductibles!$B$48:$B$51,0)),"?")))</f>
        <v/>
      </c>
      <c r="BO196" s="99" t="str">
        <f>IF($A196="","",IF($AC196="",1,IFERROR(INDEX(Deductibles!$C$55:$C$57,MATCH($AC196,Deductibles!$B$55:$B$57,0)),"?")))</f>
        <v/>
      </c>
      <c r="BP196" s="99" t="str">
        <f>IF($A196="","",IF($AD196="",1,IFERROR(INDEX(Deductibles!$C$61:$C$63,MATCH($AD196,Deductibles!$B$61:$B$63,0)),"?")))</f>
        <v/>
      </c>
      <c r="BQ196" s="99" t="str">
        <f>IF($A196="","",IF($AE196="",1,IFERROR(INDEX(Deductibles!$C$67:$C$69,MATCH($AE196,Deductibles!$B$67:$B$69,0)),"?")))</f>
        <v/>
      </c>
      <c r="BR196" s="99" t="str">
        <f>IF($A196="","",IF($AF196="",1,IFERROR(INDEX(Deductibles!$C$73:$C$74,MATCH($AF196,Deductibles!$B$73:$B$74,0)),"?")))</f>
        <v/>
      </c>
      <c r="BS196" s="99" t="str">
        <f>IF($A196="","",IF($AG196="",1,IFERROR(INDEX('Sublimits and Parts'!$C$49:$C$52,MATCH($AG196,'Sublimits and Parts'!$B$49:$B$52,0)),"?")))</f>
        <v/>
      </c>
      <c r="BT196" s="99" t="str">
        <f>IF($A196="","",IF($AH196="",1,IFERROR(INDEX('Sublimits and Parts'!$C$56:$C$60,MATCH($AH196,'Sublimits and Parts'!$B$56:$B$60,0)),"?")))</f>
        <v/>
      </c>
      <c r="BU196" s="99" t="str">
        <f>IF($A196="","",IF($AI196="",1,IFERROR(INDEX('Sublimits and Parts'!$C$64:$C$67,MATCH($AI196,'Sublimits and Parts'!$B$64:$B$67,0)),"?")))</f>
        <v/>
      </c>
      <c r="BV196" s="99" t="str">
        <f>IF($A196="","",IF($AJ196="",1,IFERROR(INDEX('Sublimits and Parts'!$C$71:$C$74,MATCH($AJ196,'Sublimits and Parts'!$B$71:$B$74,0)),"?")))</f>
        <v/>
      </c>
      <c r="BW196" s="99" t="str">
        <f>IF($A196="","",IF($AK196="",1,IFERROR(INDEX('Sublimits and Parts'!$C$78:$C$80,MATCH($AK196,'Sublimits and Parts'!$B$78:$B$80,0)),"?")))</f>
        <v/>
      </c>
      <c r="BX196" s="99" t="str">
        <f>IF($A196="","",IF($AL196="",1,IFERROR(INDEX('Sublimits and Parts'!$C$84:$C$87,MATCH($AL196,'Sublimits and Parts'!$B$84:$B$87,0)),"?")))</f>
        <v/>
      </c>
      <c r="BY196" s="99" t="str">
        <f>IF($A196="","",IF($AM196="",1,IFERROR(INDEX('Sublimits and Parts'!$C$91:$C$94,MATCH($AM196,'Sublimits and Parts'!$B$91:$B$94,0)),"?")))</f>
        <v/>
      </c>
      <c r="BZ196" s="99" t="str">
        <f>IF($A196="","",IF($AN196="",1,IFERROR(INDEX('Sublimits and Parts'!$C$98:$C$101,MATCH($AN196,'Sublimits and Parts'!$B$98:$B$101,0)),"?")))</f>
        <v/>
      </c>
      <c r="CA196" s="99" t="str">
        <f>IF($A196="","",IF($AO196="",1,IFERROR(INDEX('Sublimits and Parts'!$C$105:$C$109,MATCH($AO196,'Sublimits and Parts'!$B$105:$B$109,0)),"?")))</f>
        <v/>
      </c>
      <c r="CB196" s="100" t="str">
        <f t="shared" si="28"/>
        <v/>
      </c>
      <c r="CC196" s="100" t="str">
        <f t="shared" si="29"/>
        <v/>
      </c>
      <c r="CD196" s="103" t="str">
        <f>IF($A196="","",IF(OR($CB196="?",$CC196="?"),"?",MIN($CB196*$CC196,'Technical Premium'!$C$17)))</f>
        <v/>
      </c>
      <c r="CE196" s="102" t="str">
        <f t="shared" si="30"/>
        <v/>
      </c>
      <c r="CF196" s="102" t="str">
        <f>IF($A196="","",IFERROR(INDEX('Territory Factors'!$F$6:$F$56,MATCH($K196,'Territory Factors'!$B$6:$B$56,0)),"?"))</f>
        <v/>
      </c>
      <c r="CG196" s="100" t="str">
        <f>IF($A196="","",IFERROR(INDEX('Usage and Coverage'!$C$79:$C$84,MATCH($Y196,'Usage and Coverage'!$B$79:$B$84,0)),"?"))</f>
        <v/>
      </c>
      <c r="CH196" s="102" t="str">
        <f>IFERROR(IF(ISNUMBER($CD196),$CF196*$CG196*MIN($BG196*$BA196*$BC196*$BD196*$BH196*$BF196,'Technical Premium'!$C$17),""),"")</f>
        <v/>
      </c>
      <c r="CI196" s="102" t="str">
        <f t="shared" si="31"/>
        <v/>
      </c>
      <c r="CJ196" s="102" t="str">
        <f>IFERROR($CI196*(1+'Technical Premium'!$C$5)*(1+'Technical Premium'!$C$6),"")</f>
        <v/>
      </c>
      <c r="CK196" s="102" t="str">
        <f>IFERROR($CE196*INDEX('Territory Factors'!$G$6:$G$56,MATCH($K196,'Territory Factors'!$B$6:$B$56,0))*$AU196*$AV196,"")</f>
        <v/>
      </c>
      <c r="CL196" s="102" t="str">
        <f>IFERROR(($CJ196+$CK196)*(1+'Technical Premium'!$C$7),"")</f>
        <v/>
      </c>
      <c r="CM196" s="104" t="str">
        <f>IFERROR($CL196/'Technical Premium'!$C$13,"")</f>
        <v/>
      </c>
      <c r="CN196" s="105" t="str">
        <f t="shared" si="32"/>
        <v/>
      </c>
      <c r="CO196" s="104" t="str">
        <f t="shared" si="33"/>
        <v/>
      </c>
      <c r="CP196" s="105" t="str">
        <f t="shared" si="34"/>
        <v/>
      </c>
      <c r="CQ196" s="106" t="str">
        <f t="shared" si="35"/>
        <v/>
      </c>
      <c r="CR196" s="102" t="str">
        <f>IF(ISNUMBER($CM196),'Technical Premium'!$C$14+IF($J196&gt;=1000000,'Technical Premium'!$C$15,0),"")</f>
        <v/>
      </c>
      <c r="CS196" s="102" t="str">
        <f>IFERROR(($CO196+$CR196)*(INDEX('Territory Factors'!$K$6:$K$56,MATCH($K196,'Territory Factors'!$B$6:$B$56,0))+'Commission Structure'!$C$21),"")</f>
        <v/>
      </c>
      <c r="CT196" s="104" t="str">
        <f t="shared" si="36"/>
        <v/>
      </c>
      <c r="CU196" s="102" t="str">
        <f>IFERROR($CO196*('Commission Structure'!$C$6+'Commission Structure'!$C$7),"")</f>
        <v/>
      </c>
      <c r="CV196" s="102" t="str">
        <f>IFERROR($CO196*'Commission Structure'!$C$5-$CU196,"")</f>
        <v/>
      </c>
      <c r="CW196" s="102" t="str">
        <f>IFERROR($CO196*(1-'Commission Structure'!$C$5),"")</f>
        <v/>
      </c>
      <c r="CX196" s="107"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8" t="str">
        <f t="shared" si="37"/>
        <v/>
      </c>
      <c r="CZ196" s="99" t="str">
        <f>IF($CY196="","",IF($CY196&lt;'Technical Premium'!$C$19,"BEYOND AUTHORITY",IF($CY196&gt;0.005,"Above technical",IF($CY196&lt;-0.005,"BELOW technical","At technical"))))</f>
        <v/>
      </c>
      <c r="DA196" s="99"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4"/>
      <c r="DC196" s="94"/>
      <c r="DD196" s="95"/>
      <c r="DE196" s="94"/>
      <c r="DF196" s="94"/>
      <c r="DG196" s="99" t="str">
        <f t="shared" si="38"/>
        <v/>
      </c>
      <c r="DH196" s="99" t="str">
        <f>IF($A196="","",IF(OR($CX196="REFER",$CX196="DECLINE"),COUNTIF($CX$5:$CX196,"REFER")+COUNTIF($CX$5:$CX196,"DECLINE"),""))</f>
        <v/>
      </c>
      <c r="DI196" s="94"/>
    </row>
    <row r="197" spans="1:113" x14ac:dyDescent="0.35">
      <c r="A197" s="94"/>
      <c r="B197" s="94"/>
      <c r="C197" s="95"/>
      <c r="D197" s="95"/>
      <c r="E197" s="96"/>
      <c r="F197" s="94"/>
      <c r="G197" s="94"/>
      <c r="H197" s="94"/>
      <c r="I197" s="94"/>
      <c r="J197" s="97"/>
      <c r="K197" s="94"/>
      <c r="L197" s="94"/>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8"/>
      <c r="AR197" s="99" t="str">
        <f t="shared" ref="AR197:AR260" si="39">IF($A197="","",IFERROR(LEFT(TEXT(VALUE($L197),"00000"),3),"---"))</f>
        <v/>
      </c>
      <c r="AS197" s="99" t="str">
        <f>IF($A197="","",IF($AP197&lt;&gt;"",$AP197,IFERROR(INDEX('Cat Zone by ZIP'!$D$6:$D$856,MATCH($AR197,'Cat Zone by ZIP'!$B$6:$B$856,0)),IFERROR(INDEX('Cat Zone by ZIP'!$C$860:$C$910,MATCH($K197,'Cat Zone by ZIP'!$B$860:$B$910,0)),"NOT FOUND"))))</f>
        <v/>
      </c>
      <c r="AT197" s="99" t="str">
        <f>IF($A197="","",IF($AP197&lt;&gt;"","Override",IF(ISNUMBER(MATCH($AR197,'Cat Zone by ZIP'!$B$6:$B$856,0)),"ZIP-3","State default")))</f>
        <v/>
      </c>
      <c r="AU197" s="100" t="str">
        <f>IF($A197="","",IFERROR(INDEX('Natural Catastrophe'!$D$6:$D$17,MATCH($AS197,'Natural Catastrophe'!$B$6:$B$17,0)),"?"))</f>
        <v/>
      </c>
      <c r="AV197" s="100" t="str">
        <f>IF($A197="","",IFERROR(INDEX('Natural Catastrophe'!$C$21:$C$26,MATCH($AA197,'Natural Catastrophe'!$B$21:$B$26,0)),"?"))</f>
        <v/>
      </c>
      <c r="AW197" s="99" t="str">
        <f>IF($A197="","",IFERROR(INDEX('Base Rates'!$C$4:$I$4,MATCH(MAX($J197,'Technical Premium'!$C$18),'Base Rates'!$C$3:$I$3,1)),"?"))</f>
        <v/>
      </c>
      <c r="AX197" s="101" t="str">
        <f>IF($A197="","",IFERROR(INDEX('Base Rates'!$C$5:$I$16,MATCH($I197,'Base Rates'!$B$5:$B$16,0),MATCH(MAX($J197,'Technical Premium'!$C$18),'Base Rates'!$C$3:$I$3,1)),"?"))</f>
        <v/>
      </c>
      <c r="AY197" s="102" t="str">
        <f t="shared" ref="AY197:AY260" si="40">IF(ISNUMBER($AX197),$J197/100*$AX197,"")</f>
        <v/>
      </c>
      <c r="AZ197" s="99" t="str">
        <f>IF($A197="","",IFERROR(INDEX('Make Factors'!$G$5:$G$69,MATCH($F197,'Make Factors'!$B$5:$B$69,0)),"?"))</f>
        <v/>
      </c>
      <c r="BA197" s="99" t="str">
        <f>IF($A197="","",IFERROR(INDEX('Driver Factors'!$C$6:$C$15,MATCH($R197,'Driver Factors'!$B$6:$B$15,0)),"?"))</f>
        <v/>
      </c>
      <c r="BB197" s="99" t="str">
        <f>IF($A197="","",IFERROR(INDEX('Driver Factors'!$C$19:$C$24,MATCH($S197,'Driver Factors'!$B$19:$B$24,0)),"?"))</f>
        <v/>
      </c>
      <c r="BC197" s="99" t="str">
        <f>IF($A197="","",IFERROR(INDEX('Driver Factors'!$C$28:$C$36,MATCH($T197,'Driver Factors'!$B$28:$B$36,0)),"?"))</f>
        <v/>
      </c>
      <c r="BD197" s="99" t="str">
        <f>IF($A197="","",IFERROR(INDEX('Claims History'!$C$6:$C$15,MATCH($U197,'Claims History'!$B$6:$B$15,0)),"?"))</f>
        <v/>
      </c>
      <c r="BE197" s="99" t="str">
        <f>IF($A197="","",IFERROR(INDEX('Territory Factors'!$E$6:$E$56,MATCH($K197,'Territory Factors'!$B$6:$B$56,0)),"?"))</f>
        <v/>
      </c>
      <c r="BF197" s="99" t="str">
        <f>IF($A197="","",IFERROR(INDEX('City Accident Ratings'!$G$6:$G$54,MATCH($Z197,'City Accident Ratings'!$B$6:$B$54,0)),"?"))</f>
        <v/>
      </c>
      <c r="BG197" s="99" t="str">
        <f>IF($A197="","",IFERROR(INDEX('Usage and Coverage'!$D$6:$D$20,MATCH($N197,'Usage and Coverage'!$C$6:$C$20,0)),"?"))</f>
        <v/>
      </c>
      <c r="BH197" s="99" t="str">
        <f>IF($A197="","",IFERROR(INDEX('Usage and Coverage'!$C$24:$C$30,MATCH($O197,'Usage and Coverage'!$B$24:$B$30,0)),"?"))</f>
        <v/>
      </c>
      <c r="BI197" s="99" t="str">
        <f>IF($A197="","",IFERROR(INDEX('Usage and Coverage'!$C$34:$C$40,MATCH($P197,'Usage and Coverage'!$B$34:$B$40,0)),"?"))</f>
        <v/>
      </c>
      <c r="BJ197" s="99" t="str">
        <f>IF($A197="","",IFERROR(INDEX('Usage and Coverage'!$C$44:$C$49,MATCH($Q197,'Usage and Coverage'!$B$44:$B$49,0)),"?"))</f>
        <v/>
      </c>
      <c r="BK197" s="99" t="str">
        <f>IF($A197="","",IFERROR(INDEX(Deductibles!$C$6:$I$15,MATCH($W197,Deductibles!$B$6:$B$15,0),MATCH(MAX($J197,'Technical Premium'!$C$18),'Base Rates'!$C$3:$I$3,1)),"?"))</f>
        <v/>
      </c>
      <c r="BL197" s="99" t="str">
        <f>IF($A197="","",IFERROR(INDEX('Usage and Coverage'!$C$63:$C$66,MATCH($X197,'Usage and Coverage'!$B$63:$B$66,0)),"?"))</f>
        <v/>
      </c>
      <c r="BM197" s="99" t="str">
        <f>IF($A197="","",IFERROR(INDEX('Usage and Coverage'!$C$70:$C$75,MATCH($V197,'Usage and Coverage'!$B$70:$B$75,0)),"?"))</f>
        <v/>
      </c>
      <c r="BN197" s="99" t="str">
        <f>IF($A197="","",IF($AB197="",1,IFERROR(INDEX(Deductibles!$C$48:$C$51,MATCH($AB197,Deductibles!$B$48:$B$51,0)),"?")))</f>
        <v/>
      </c>
      <c r="BO197" s="99" t="str">
        <f>IF($A197="","",IF($AC197="",1,IFERROR(INDEX(Deductibles!$C$55:$C$57,MATCH($AC197,Deductibles!$B$55:$B$57,0)),"?")))</f>
        <v/>
      </c>
      <c r="BP197" s="99" t="str">
        <f>IF($A197="","",IF($AD197="",1,IFERROR(INDEX(Deductibles!$C$61:$C$63,MATCH($AD197,Deductibles!$B$61:$B$63,0)),"?")))</f>
        <v/>
      </c>
      <c r="BQ197" s="99" t="str">
        <f>IF($A197="","",IF($AE197="",1,IFERROR(INDEX(Deductibles!$C$67:$C$69,MATCH($AE197,Deductibles!$B$67:$B$69,0)),"?")))</f>
        <v/>
      </c>
      <c r="BR197" s="99" t="str">
        <f>IF($A197="","",IF($AF197="",1,IFERROR(INDEX(Deductibles!$C$73:$C$74,MATCH($AF197,Deductibles!$B$73:$B$74,0)),"?")))</f>
        <v/>
      </c>
      <c r="BS197" s="99" t="str">
        <f>IF($A197="","",IF($AG197="",1,IFERROR(INDEX('Sublimits and Parts'!$C$49:$C$52,MATCH($AG197,'Sublimits and Parts'!$B$49:$B$52,0)),"?")))</f>
        <v/>
      </c>
      <c r="BT197" s="99" t="str">
        <f>IF($A197="","",IF($AH197="",1,IFERROR(INDEX('Sublimits and Parts'!$C$56:$C$60,MATCH($AH197,'Sublimits and Parts'!$B$56:$B$60,0)),"?")))</f>
        <v/>
      </c>
      <c r="BU197" s="99" t="str">
        <f>IF($A197="","",IF($AI197="",1,IFERROR(INDEX('Sublimits and Parts'!$C$64:$C$67,MATCH($AI197,'Sublimits and Parts'!$B$64:$B$67,0)),"?")))</f>
        <v/>
      </c>
      <c r="BV197" s="99" t="str">
        <f>IF($A197="","",IF($AJ197="",1,IFERROR(INDEX('Sublimits and Parts'!$C$71:$C$74,MATCH($AJ197,'Sublimits and Parts'!$B$71:$B$74,0)),"?")))</f>
        <v/>
      </c>
      <c r="BW197" s="99" t="str">
        <f>IF($A197="","",IF($AK197="",1,IFERROR(INDEX('Sublimits and Parts'!$C$78:$C$80,MATCH($AK197,'Sublimits and Parts'!$B$78:$B$80,0)),"?")))</f>
        <v/>
      </c>
      <c r="BX197" s="99" t="str">
        <f>IF($A197="","",IF($AL197="",1,IFERROR(INDEX('Sublimits and Parts'!$C$84:$C$87,MATCH($AL197,'Sublimits and Parts'!$B$84:$B$87,0)),"?")))</f>
        <v/>
      </c>
      <c r="BY197" s="99" t="str">
        <f>IF($A197="","",IF($AM197="",1,IFERROR(INDEX('Sublimits and Parts'!$C$91:$C$94,MATCH($AM197,'Sublimits and Parts'!$B$91:$B$94,0)),"?")))</f>
        <v/>
      </c>
      <c r="BZ197" s="99" t="str">
        <f>IF($A197="","",IF($AN197="",1,IFERROR(INDEX('Sublimits and Parts'!$C$98:$C$101,MATCH($AN197,'Sublimits and Parts'!$B$98:$B$101,0)),"?")))</f>
        <v/>
      </c>
      <c r="CA197" s="99" t="str">
        <f>IF($A197="","",IF($AO197="",1,IFERROR(INDEX('Sublimits and Parts'!$C$105:$C$109,MATCH($AO197,'Sublimits and Parts'!$B$105:$B$109,0)),"?")))</f>
        <v/>
      </c>
      <c r="CB197" s="100" t="str">
        <f t="shared" ref="CB197:CB260" si="41">IF($A197="","",IF(SUMPRODUCT(--ISTEXT($AZ197:$BM197))&gt;0,"?",PRODUCT($AZ197:$BM197)))</f>
        <v/>
      </c>
      <c r="CC197" s="100" t="str">
        <f t="shared" ref="CC197:CC260" si="42">IF($A197="","",IF(SUMPRODUCT(--ISTEXT($BN197:$CA197))&gt;0,"?",PRODUCT($BN197:$CA197)))</f>
        <v/>
      </c>
      <c r="CD197" s="103" t="str">
        <f>IF($A197="","",IF(OR($CB197="?",$CC197="?"),"?",MIN($CB197*$CC197,'Technical Premium'!$C$17)))</f>
        <v/>
      </c>
      <c r="CE197" s="102" t="str">
        <f t="shared" ref="CE197:CE260" si="43">IF(ISNUMBER($CD197),$AY197*$CD197,"")</f>
        <v/>
      </c>
      <c r="CF197" s="102" t="str">
        <f>IF($A197="","",IFERROR(INDEX('Territory Factors'!$F$6:$F$56,MATCH($K197,'Territory Factors'!$B$6:$B$56,0)),"?"))</f>
        <v/>
      </c>
      <c r="CG197" s="100" t="str">
        <f>IF($A197="","",IFERROR(INDEX('Usage and Coverage'!$C$79:$C$84,MATCH($Y197,'Usage and Coverage'!$B$79:$B$84,0)),"?"))</f>
        <v/>
      </c>
      <c r="CH197" s="102" t="str">
        <f>IFERROR(IF(ISNUMBER($CD197),$CF197*$CG197*MIN($BG197*$BA197*$BC197*$BD197*$BH197*$BF197,'Technical Premium'!$C$17),""),"")</f>
        <v/>
      </c>
      <c r="CI197" s="102" t="str">
        <f t="shared" ref="CI197:CI260" si="44">IFERROR($CE197+$CH197,"")</f>
        <v/>
      </c>
      <c r="CJ197" s="102" t="str">
        <f>IFERROR($CI197*(1+'Technical Premium'!$C$5)*(1+'Technical Premium'!$C$6),"")</f>
        <v/>
      </c>
      <c r="CK197" s="102" t="str">
        <f>IFERROR($CE197*INDEX('Territory Factors'!$G$6:$G$56,MATCH($K197,'Territory Factors'!$B$6:$B$56,0))*$AU197*$AV197,"")</f>
        <v/>
      </c>
      <c r="CL197" s="102" t="str">
        <f>IFERROR(($CJ197+$CK197)*(1+'Technical Premium'!$C$7),"")</f>
        <v/>
      </c>
      <c r="CM197" s="104" t="str">
        <f>IFERROR($CL197/'Technical Premium'!$C$13,"")</f>
        <v/>
      </c>
      <c r="CN197" s="105" t="str">
        <f t="shared" ref="CN197:CN260" si="45">IFERROR($CM197/$J197*100,"")</f>
        <v/>
      </c>
      <c r="CO197" s="104" t="str">
        <f t="shared" ref="CO197:CO260" si="46">IFERROR($CM197*(1+N($AQ197)),"")</f>
        <v/>
      </c>
      <c r="CP197" s="105" t="str">
        <f t="shared" ref="CP197:CP260" si="47">IFERROR($CO197/$J197*100,"")</f>
        <v/>
      </c>
      <c r="CQ197" s="106" t="str">
        <f t="shared" ref="CQ197:CQ260" si="48">IFERROR($CP197/$CN197,"")</f>
        <v/>
      </c>
      <c r="CR197" s="102" t="str">
        <f>IF(ISNUMBER($CM197),'Technical Premium'!$C$14+IF($J197&gt;=1000000,'Technical Premium'!$C$15,0),"")</f>
        <v/>
      </c>
      <c r="CS197" s="102" t="str">
        <f>IFERROR(($CO197+$CR197)*(INDEX('Territory Factors'!$K$6:$K$56,MATCH($K197,'Territory Factors'!$B$6:$B$56,0))+'Commission Structure'!$C$21),"")</f>
        <v/>
      </c>
      <c r="CT197" s="104" t="str">
        <f t="shared" ref="CT197:CT260" si="49">IFERROR($CO197+$CR197+$CS197,"")</f>
        <v/>
      </c>
      <c r="CU197" s="102" t="str">
        <f>IFERROR($CO197*('Commission Structure'!$C$6+'Commission Structure'!$C$7),"")</f>
        <v/>
      </c>
      <c r="CV197" s="102" t="str">
        <f>IFERROR($CO197*'Commission Structure'!$C$5-$CU197,"")</f>
        <v/>
      </c>
      <c r="CW197" s="102" t="str">
        <f>IFERROR($CO197*(1-'Commission Structure'!$C$5),"")</f>
        <v/>
      </c>
      <c r="CX197" s="107"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8" t="str">
        <f t="shared" ref="CY197:CY260" si="50">IFERROR($CO197/$CM197-1,"")</f>
        <v/>
      </c>
      <c r="CZ197" s="99" t="str">
        <f>IF($CY197="","",IF($CY197&lt;'Technical Premium'!$C$19,"BEYOND AUTHORITY",IF($CY197&gt;0.005,"Above technical",IF($CY197&lt;-0.005,"BELOW technical","At technical"))))</f>
        <v/>
      </c>
      <c r="DA197" s="99"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4"/>
      <c r="DC197" s="94"/>
      <c r="DD197" s="95"/>
      <c r="DE197" s="94"/>
      <c r="DF197" s="94"/>
      <c r="DG197" s="99" t="str">
        <f t="shared" ref="DG197:DG260" si="51">IF($A197="","",IF($CX197="DECLINE","NO - DECLINED",IF($CX197="CHECK INPUTS","NO - INCOMPLETE INPUTS",IF($CX197="AUTO-BIND","YES - within authority",IF(AND($DB197&lt;&gt;"",$DD197&lt;&gt;""),"YES - approved "&amp;TEXT($DD197,"dd-mmm-yy"),"NO - AWAITING APPROVAL")))))</f>
        <v/>
      </c>
      <c r="DH197" s="99" t="str">
        <f>IF($A197="","",IF(OR($CX197="REFER",$CX197="DECLINE"),COUNTIF($CX$5:$CX197,"REFER")+COUNTIF($CX$5:$CX197,"DECLINE"),""))</f>
        <v/>
      </c>
      <c r="DI197" s="94"/>
    </row>
    <row r="198" spans="1:113" x14ac:dyDescent="0.35">
      <c r="A198" s="94"/>
      <c r="B198" s="94"/>
      <c r="C198" s="95"/>
      <c r="D198" s="95"/>
      <c r="E198" s="96"/>
      <c r="F198" s="94"/>
      <c r="G198" s="94"/>
      <c r="H198" s="94"/>
      <c r="I198" s="94"/>
      <c r="J198" s="97"/>
      <c r="K198" s="94"/>
      <c r="L198" s="94"/>
      <c r="M198" s="94"/>
      <c r="N198" s="94"/>
      <c r="O198" s="94"/>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8"/>
      <c r="AR198" s="99" t="str">
        <f t="shared" si="39"/>
        <v/>
      </c>
      <c r="AS198" s="99" t="str">
        <f>IF($A198="","",IF($AP198&lt;&gt;"",$AP198,IFERROR(INDEX('Cat Zone by ZIP'!$D$6:$D$856,MATCH($AR198,'Cat Zone by ZIP'!$B$6:$B$856,0)),IFERROR(INDEX('Cat Zone by ZIP'!$C$860:$C$910,MATCH($K198,'Cat Zone by ZIP'!$B$860:$B$910,0)),"NOT FOUND"))))</f>
        <v/>
      </c>
      <c r="AT198" s="99" t="str">
        <f>IF($A198="","",IF($AP198&lt;&gt;"","Override",IF(ISNUMBER(MATCH($AR198,'Cat Zone by ZIP'!$B$6:$B$856,0)),"ZIP-3","State default")))</f>
        <v/>
      </c>
      <c r="AU198" s="100" t="str">
        <f>IF($A198="","",IFERROR(INDEX('Natural Catastrophe'!$D$6:$D$17,MATCH($AS198,'Natural Catastrophe'!$B$6:$B$17,0)),"?"))</f>
        <v/>
      </c>
      <c r="AV198" s="100" t="str">
        <f>IF($A198="","",IFERROR(INDEX('Natural Catastrophe'!$C$21:$C$26,MATCH($AA198,'Natural Catastrophe'!$B$21:$B$26,0)),"?"))</f>
        <v/>
      </c>
      <c r="AW198" s="99" t="str">
        <f>IF($A198="","",IFERROR(INDEX('Base Rates'!$C$4:$I$4,MATCH(MAX($J198,'Technical Premium'!$C$18),'Base Rates'!$C$3:$I$3,1)),"?"))</f>
        <v/>
      </c>
      <c r="AX198" s="101" t="str">
        <f>IF($A198="","",IFERROR(INDEX('Base Rates'!$C$5:$I$16,MATCH($I198,'Base Rates'!$B$5:$B$16,0),MATCH(MAX($J198,'Technical Premium'!$C$18),'Base Rates'!$C$3:$I$3,1)),"?"))</f>
        <v/>
      </c>
      <c r="AY198" s="102" t="str">
        <f t="shared" si="40"/>
        <v/>
      </c>
      <c r="AZ198" s="99" t="str">
        <f>IF($A198="","",IFERROR(INDEX('Make Factors'!$G$5:$G$69,MATCH($F198,'Make Factors'!$B$5:$B$69,0)),"?"))</f>
        <v/>
      </c>
      <c r="BA198" s="99" t="str">
        <f>IF($A198="","",IFERROR(INDEX('Driver Factors'!$C$6:$C$15,MATCH($R198,'Driver Factors'!$B$6:$B$15,0)),"?"))</f>
        <v/>
      </c>
      <c r="BB198" s="99" t="str">
        <f>IF($A198="","",IFERROR(INDEX('Driver Factors'!$C$19:$C$24,MATCH($S198,'Driver Factors'!$B$19:$B$24,0)),"?"))</f>
        <v/>
      </c>
      <c r="BC198" s="99" t="str">
        <f>IF($A198="","",IFERROR(INDEX('Driver Factors'!$C$28:$C$36,MATCH($T198,'Driver Factors'!$B$28:$B$36,0)),"?"))</f>
        <v/>
      </c>
      <c r="BD198" s="99" t="str">
        <f>IF($A198="","",IFERROR(INDEX('Claims History'!$C$6:$C$15,MATCH($U198,'Claims History'!$B$6:$B$15,0)),"?"))</f>
        <v/>
      </c>
      <c r="BE198" s="99" t="str">
        <f>IF($A198="","",IFERROR(INDEX('Territory Factors'!$E$6:$E$56,MATCH($K198,'Territory Factors'!$B$6:$B$56,0)),"?"))</f>
        <v/>
      </c>
      <c r="BF198" s="99" t="str">
        <f>IF($A198="","",IFERROR(INDEX('City Accident Ratings'!$G$6:$G$54,MATCH($Z198,'City Accident Ratings'!$B$6:$B$54,0)),"?"))</f>
        <v/>
      </c>
      <c r="BG198" s="99" t="str">
        <f>IF($A198="","",IFERROR(INDEX('Usage and Coverage'!$D$6:$D$20,MATCH($N198,'Usage and Coverage'!$C$6:$C$20,0)),"?"))</f>
        <v/>
      </c>
      <c r="BH198" s="99" t="str">
        <f>IF($A198="","",IFERROR(INDEX('Usage and Coverage'!$C$24:$C$30,MATCH($O198,'Usage and Coverage'!$B$24:$B$30,0)),"?"))</f>
        <v/>
      </c>
      <c r="BI198" s="99" t="str">
        <f>IF($A198="","",IFERROR(INDEX('Usage and Coverage'!$C$34:$C$40,MATCH($P198,'Usage and Coverage'!$B$34:$B$40,0)),"?"))</f>
        <v/>
      </c>
      <c r="BJ198" s="99" t="str">
        <f>IF($A198="","",IFERROR(INDEX('Usage and Coverage'!$C$44:$C$49,MATCH($Q198,'Usage and Coverage'!$B$44:$B$49,0)),"?"))</f>
        <v/>
      </c>
      <c r="BK198" s="99" t="str">
        <f>IF($A198="","",IFERROR(INDEX(Deductibles!$C$6:$I$15,MATCH($W198,Deductibles!$B$6:$B$15,0),MATCH(MAX($J198,'Technical Premium'!$C$18),'Base Rates'!$C$3:$I$3,1)),"?"))</f>
        <v/>
      </c>
      <c r="BL198" s="99" t="str">
        <f>IF($A198="","",IFERROR(INDEX('Usage and Coverage'!$C$63:$C$66,MATCH($X198,'Usage and Coverage'!$B$63:$B$66,0)),"?"))</f>
        <v/>
      </c>
      <c r="BM198" s="99" t="str">
        <f>IF($A198="","",IFERROR(INDEX('Usage and Coverage'!$C$70:$C$75,MATCH($V198,'Usage and Coverage'!$B$70:$B$75,0)),"?"))</f>
        <v/>
      </c>
      <c r="BN198" s="99" t="str">
        <f>IF($A198="","",IF($AB198="",1,IFERROR(INDEX(Deductibles!$C$48:$C$51,MATCH($AB198,Deductibles!$B$48:$B$51,0)),"?")))</f>
        <v/>
      </c>
      <c r="BO198" s="99" t="str">
        <f>IF($A198="","",IF($AC198="",1,IFERROR(INDEX(Deductibles!$C$55:$C$57,MATCH($AC198,Deductibles!$B$55:$B$57,0)),"?")))</f>
        <v/>
      </c>
      <c r="BP198" s="99" t="str">
        <f>IF($A198="","",IF($AD198="",1,IFERROR(INDEX(Deductibles!$C$61:$C$63,MATCH($AD198,Deductibles!$B$61:$B$63,0)),"?")))</f>
        <v/>
      </c>
      <c r="BQ198" s="99" t="str">
        <f>IF($A198="","",IF($AE198="",1,IFERROR(INDEX(Deductibles!$C$67:$C$69,MATCH($AE198,Deductibles!$B$67:$B$69,0)),"?")))</f>
        <v/>
      </c>
      <c r="BR198" s="99" t="str">
        <f>IF($A198="","",IF($AF198="",1,IFERROR(INDEX(Deductibles!$C$73:$C$74,MATCH($AF198,Deductibles!$B$73:$B$74,0)),"?")))</f>
        <v/>
      </c>
      <c r="BS198" s="99" t="str">
        <f>IF($A198="","",IF($AG198="",1,IFERROR(INDEX('Sublimits and Parts'!$C$49:$C$52,MATCH($AG198,'Sublimits and Parts'!$B$49:$B$52,0)),"?")))</f>
        <v/>
      </c>
      <c r="BT198" s="99" t="str">
        <f>IF($A198="","",IF($AH198="",1,IFERROR(INDEX('Sublimits and Parts'!$C$56:$C$60,MATCH($AH198,'Sublimits and Parts'!$B$56:$B$60,0)),"?")))</f>
        <v/>
      </c>
      <c r="BU198" s="99" t="str">
        <f>IF($A198="","",IF($AI198="",1,IFERROR(INDEX('Sublimits and Parts'!$C$64:$C$67,MATCH($AI198,'Sublimits and Parts'!$B$64:$B$67,0)),"?")))</f>
        <v/>
      </c>
      <c r="BV198" s="99" t="str">
        <f>IF($A198="","",IF($AJ198="",1,IFERROR(INDEX('Sublimits and Parts'!$C$71:$C$74,MATCH($AJ198,'Sublimits and Parts'!$B$71:$B$74,0)),"?")))</f>
        <v/>
      </c>
      <c r="BW198" s="99" t="str">
        <f>IF($A198="","",IF($AK198="",1,IFERROR(INDEX('Sublimits and Parts'!$C$78:$C$80,MATCH($AK198,'Sublimits and Parts'!$B$78:$B$80,0)),"?")))</f>
        <v/>
      </c>
      <c r="BX198" s="99" t="str">
        <f>IF($A198="","",IF($AL198="",1,IFERROR(INDEX('Sublimits and Parts'!$C$84:$C$87,MATCH($AL198,'Sublimits and Parts'!$B$84:$B$87,0)),"?")))</f>
        <v/>
      </c>
      <c r="BY198" s="99" t="str">
        <f>IF($A198="","",IF($AM198="",1,IFERROR(INDEX('Sublimits and Parts'!$C$91:$C$94,MATCH($AM198,'Sublimits and Parts'!$B$91:$B$94,0)),"?")))</f>
        <v/>
      </c>
      <c r="BZ198" s="99" t="str">
        <f>IF($A198="","",IF($AN198="",1,IFERROR(INDEX('Sublimits and Parts'!$C$98:$C$101,MATCH($AN198,'Sublimits and Parts'!$B$98:$B$101,0)),"?")))</f>
        <v/>
      </c>
      <c r="CA198" s="99" t="str">
        <f>IF($A198="","",IF($AO198="",1,IFERROR(INDEX('Sublimits and Parts'!$C$105:$C$109,MATCH($AO198,'Sublimits and Parts'!$B$105:$B$109,0)),"?")))</f>
        <v/>
      </c>
      <c r="CB198" s="100" t="str">
        <f t="shared" si="41"/>
        <v/>
      </c>
      <c r="CC198" s="100" t="str">
        <f t="shared" si="42"/>
        <v/>
      </c>
      <c r="CD198" s="103" t="str">
        <f>IF($A198="","",IF(OR($CB198="?",$CC198="?"),"?",MIN($CB198*$CC198,'Technical Premium'!$C$17)))</f>
        <v/>
      </c>
      <c r="CE198" s="102" t="str">
        <f t="shared" si="43"/>
        <v/>
      </c>
      <c r="CF198" s="102" t="str">
        <f>IF($A198="","",IFERROR(INDEX('Territory Factors'!$F$6:$F$56,MATCH($K198,'Territory Factors'!$B$6:$B$56,0)),"?"))</f>
        <v/>
      </c>
      <c r="CG198" s="100" t="str">
        <f>IF($A198="","",IFERROR(INDEX('Usage and Coverage'!$C$79:$C$84,MATCH($Y198,'Usage and Coverage'!$B$79:$B$84,0)),"?"))</f>
        <v/>
      </c>
      <c r="CH198" s="102" t="str">
        <f>IFERROR(IF(ISNUMBER($CD198),$CF198*$CG198*MIN($BG198*$BA198*$BC198*$BD198*$BH198*$BF198,'Technical Premium'!$C$17),""),"")</f>
        <v/>
      </c>
      <c r="CI198" s="102" t="str">
        <f t="shared" si="44"/>
        <v/>
      </c>
      <c r="CJ198" s="102" t="str">
        <f>IFERROR($CI198*(1+'Technical Premium'!$C$5)*(1+'Technical Premium'!$C$6),"")</f>
        <v/>
      </c>
      <c r="CK198" s="102" t="str">
        <f>IFERROR($CE198*INDEX('Territory Factors'!$G$6:$G$56,MATCH($K198,'Territory Factors'!$B$6:$B$56,0))*$AU198*$AV198,"")</f>
        <v/>
      </c>
      <c r="CL198" s="102" t="str">
        <f>IFERROR(($CJ198+$CK198)*(1+'Technical Premium'!$C$7),"")</f>
        <v/>
      </c>
      <c r="CM198" s="104" t="str">
        <f>IFERROR($CL198/'Technical Premium'!$C$13,"")</f>
        <v/>
      </c>
      <c r="CN198" s="105" t="str">
        <f t="shared" si="45"/>
        <v/>
      </c>
      <c r="CO198" s="104" t="str">
        <f t="shared" si="46"/>
        <v/>
      </c>
      <c r="CP198" s="105" t="str">
        <f t="shared" si="47"/>
        <v/>
      </c>
      <c r="CQ198" s="106" t="str">
        <f t="shared" si="48"/>
        <v/>
      </c>
      <c r="CR198" s="102" t="str">
        <f>IF(ISNUMBER($CM198),'Technical Premium'!$C$14+IF($J198&gt;=1000000,'Technical Premium'!$C$15,0),"")</f>
        <v/>
      </c>
      <c r="CS198" s="102" t="str">
        <f>IFERROR(($CO198+$CR198)*(INDEX('Territory Factors'!$K$6:$K$56,MATCH($K198,'Territory Factors'!$B$6:$B$56,0))+'Commission Structure'!$C$21),"")</f>
        <v/>
      </c>
      <c r="CT198" s="104" t="str">
        <f t="shared" si="49"/>
        <v/>
      </c>
      <c r="CU198" s="102" t="str">
        <f>IFERROR($CO198*('Commission Structure'!$C$6+'Commission Structure'!$C$7),"")</f>
        <v/>
      </c>
      <c r="CV198" s="102" t="str">
        <f>IFERROR($CO198*'Commission Structure'!$C$5-$CU198,"")</f>
        <v/>
      </c>
      <c r="CW198" s="102" t="str">
        <f>IFERROR($CO198*(1-'Commission Structure'!$C$5),"")</f>
        <v/>
      </c>
      <c r="CX198" s="107"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8" t="str">
        <f t="shared" si="50"/>
        <v/>
      </c>
      <c r="CZ198" s="99" t="str">
        <f>IF($CY198="","",IF($CY198&lt;'Technical Premium'!$C$19,"BEYOND AUTHORITY",IF($CY198&gt;0.005,"Above technical",IF($CY198&lt;-0.005,"BELOW technical","At technical"))))</f>
        <v/>
      </c>
      <c r="DA198" s="99"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4"/>
      <c r="DC198" s="94"/>
      <c r="DD198" s="95"/>
      <c r="DE198" s="94"/>
      <c r="DF198" s="94"/>
      <c r="DG198" s="99" t="str">
        <f t="shared" si="51"/>
        <v/>
      </c>
      <c r="DH198" s="99" t="str">
        <f>IF($A198="","",IF(OR($CX198="REFER",$CX198="DECLINE"),COUNTIF($CX$5:$CX198,"REFER")+COUNTIF($CX$5:$CX198,"DECLINE"),""))</f>
        <v/>
      </c>
      <c r="DI198" s="94"/>
    </row>
    <row r="199" spans="1:113" x14ac:dyDescent="0.35">
      <c r="A199" s="94"/>
      <c r="B199" s="94"/>
      <c r="C199" s="95"/>
      <c r="D199" s="95"/>
      <c r="E199" s="96"/>
      <c r="F199" s="94"/>
      <c r="G199" s="94"/>
      <c r="H199" s="94"/>
      <c r="I199" s="94"/>
      <c r="J199" s="97"/>
      <c r="K199" s="94"/>
      <c r="L199" s="94"/>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8"/>
      <c r="AR199" s="99" t="str">
        <f t="shared" si="39"/>
        <v/>
      </c>
      <c r="AS199" s="99" t="str">
        <f>IF($A199="","",IF($AP199&lt;&gt;"",$AP199,IFERROR(INDEX('Cat Zone by ZIP'!$D$6:$D$856,MATCH($AR199,'Cat Zone by ZIP'!$B$6:$B$856,0)),IFERROR(INDEX('Cat Zone by ZIP'!$C$860:$C$910,MATCH($K199,'Cat Zone by ZIP'!$B$860:$B$910,0)),"NOT FOUND"))))</f>
        <v/>
      </c>
      <c r="AT199" s="99" t="str">
        <f>IF($A199="","",IF($AP199&lt;&gt;"","Override",IF(ISNUMBER(MATCH($AR199,'Cat Zone by ZIP'!$B$6:$B$856,0)),"ZIP-3","State default")))</f>
        <v/>
      </c>
      <c r="AU199" s="100" t="str">
        <f>IF($A199="","",IFERROR(INDEX('Natural Catastrophe'!$D$6:$D$17,MATCH($AS199,'Natural Catastrophe'!$B$6:$B$17,0)),"?"))</f>
        <v/>
      </c>
      <c r="AV199" s="100" t="str">
        <f>IF($A199="","",IFERROR(INDEX('Natural Catastrophe'!$C$21:$C$26,MATCH($AA199,'Natural Catastrophe'!$B$21:$B$26,0)),"?"))</f>
        <v/>
      </c>
      <c r="AW199" s="99" t="str">
        <f>IF($A199="","",IFERROR(INDEX('Base Rates'!$C$4:$I$4,MATCH(MAX($J199,'Technical Premium'!$C$18),'Base Rates'!$C$3:$I$3,1)),"?"))</f>
        <v/>
      </c>
      <c r="AX199" s="101" t="str">
        <f>IF($A199="","",IFERROR(INDEX('Base Rates'!$C$5:$I$16,MATCH($I199,'Base Rates'!$B$5:$B$16,0),MATCH(MAX($J199,'Technical Premium'!$C$18),'Base Rates'!$C$3:$I$3,1)),"?"))</f>
        <v/>
      </c>
      <c r="AY199" s="102" t="str">
        <f t="shared" si="40"/>
        <v/>
      </c>
      <c r="AZ199" s="99" t="str">
        <f>IF($A199="","",IFERROR(INDEX('Make Factors'!$G$5:$G$69,MATCH($F199,'Make Factors'!$B$5:$B$69,0)),"?"))</f>
        <v/>
      </c>
      <c r="BA199" s="99" t="str">
        <f>IF($A199="","",IFERROR(INDEX('Driver Factors'!$C$6:$C$15,MATCH($R199,'Driver Factors'!$B$6:$B$15,0)),"?"))</f>
        <v/>
      </c>
      <c r="BB199" s="99" t="str">
        <f>IF($A199="","",IFERROR(INDEX('Driver Factors'!$C$19:$C$24,MATCH($S199,'Driver Factors'!$B$19:$B$24,0)),"?"))</f>
        <v/>
      </c>
      <c r="BC199" s="99" t="str">
        <f>IF($A199="","",IFERROR(INDEX('Driver Factors'!$C$28:$C$36,MATCH($T199,'Driver Factors'!$B$28:$B$36,0)),"?"))</f>
        <v/>
      </c>
      <c r="BD199" s="99" t="str">
        <f>IF($A199="","",IFERROR(INDEX('Claims History'!$C$6:$C$15,MATCH($U199,'Claims History'!$B$6:$B$15,0)),"?"))</f>
        <v/>
      </c>
      <c r="BE199" s="99" t="str">
        <f>IF($A199="","",IFERROR(INDEX('Territory Factors'!$E$6:$E$56,MATCH($K199,'Territory Factors'!$B$6:$B$56,0)),"?"))</f>
        <v/>
      </c>
      <c r="BF199" s="99" t="str">
        <f>IF($A199="","",IFERROR(INDEX('City Accident Ratings'!$G$6:$G$54,MATCH($Z199,'City Accident Ratings'!$B$6:$B$54,0)),"?"))</f>
        <v/>
      </c>
      <c r="BG199" s="99" t="str">
        <f>IF($A199="","",IFERROR(INDEX('Usage and Coverage'!$D$6:$D$20,MATCH($N199,'Usage and Coverage'!$C$6:$C$20,0)),"?"))</f>
        <v/>
      </c>
      <c r="BH199" s="99" t="str">
        <f>IF($A199="","",IFERROR(INDEX('Usage and Coverage'!$C$24:$C$30,MATCH($O199,'Usage and Coverage'!$B$24:$B$30,0)),"?"))</f>
        <v/>
      </c>
      <c r="BI199" s="99" t="str">
        <f>IF($A199="","",IFERROR(INDEX('Usage and Coverage'!$C$34:$C$40,MATCH($P199,'Usage and Coverage'!$B$34:$B$40,0)),"?"))</f>
        <v/>
      </c>
      <c r="BJ199" s="99" t="str">
        <f>IF($A199="","",IFERROR(INDEX('Usage and Coverage'!$C$44:$C$49,MATCH($Q199,'Usage and Coverage'!$B$44:$B$49,0)),"?"))</f>
        <v/>
      </c>
      <c r="BK199" s="99" t="str">
        <f>IF($A199="","",IFERROR(INDEX(Deductibles!$C$6:$I$15,MATCH($W199,Deductibles!$B$6:$B$15,0),MATCH(MAX($J199,'Technical Premium'!$C$18),'Base Rates'!$C$3:$I$3,1)),"?"))</f>
        <v/>
      </c>
      <c r="BL199" s="99" t="str">
        <f>IF($A199="","",IFERROR(INDEX('Usage and Coverage'!$C$63:$C$66,MATCH($X199,'Usage and Coverage'!$B$63:$B$66,0)),"?"))</f>
        <v/>
      </c>
      <c r="BM199" s="99" t="str">
        <f>IF($A199="","",IFERROR(INDEX('Usage and Coverage'!$C$70:$C$75,MATCH($V199,'Usage and Coverage'!$B$70:$B$75,0)),"?"))</f>
        <v/>
      </c>
      <c r="BN199" s="99" t="str">
        <f>IF($A199="","",IF($AB199="",1,IFERROR(INDEX(Deductibles!$C$48:$C$51,MATCH($AB199,Deductibles!$B$48:$B$51,0)),"?")))</f>
        <v/>
      </c>
      <c r="BO199" s="99" t="str">
        <f>IF($A199="","",IF($AC199="",1,IFERROR(INDEX(Deductibles!$C$55:$C$57,MATCH($AC199,Deductibles!$B$55:$B$57,0)),"?")))</f>
        <v/>
      </c>
      <c r="BP199" s="99" t="str">
        <f>IF($A199="","",IF($AD199="",1,IFERROR(INDEX(Deductibles!$C$61:$C$63,MATCH($AD199,Deductibles!$B$61:$B$63,0)),"?")))</f>
        <v/>
      </c>
      <c r="BQ199" s="99" t="str">
        <f>IF($A199="","",IF($AE199="",1,IFERROR(INDEX(Deductibles!$C$67:$C$69,MATCH($AE199,Deductibles!$B$67:$B$69,0)),"?")))</f>
        <v/>
      </c>
      <c r="BR199" s="99" t="str">
        <f>IF($A199="","",IF($AF199="",1,IFERROR(INDEX(Deductibles!$C$73:$C$74,MATCH($AF199,Deductibles!$B$73:$B$74,0)),"?")))</f>
        <v/>
      </c>
      <c r="BS199" s="99" t="str">
        <f>IF($A199="","",IF($AG199="",1,IFERROR(INDEX('Sublimits and Parts'!$C$49:$C$52,MATCH($AG199,'Sublimits and Parts'!$B$49:$B$52,0)),"?")))</f>
        <v/>
      </c>
      <c r="BT199" s="99" t="str">
        <f>IF($A199="","",IF($AH199="",1,IFERROR(INDEX('Sublimits and Parts'!$C$56:$C$60,MATCH($AH199,'Sublimits and Parts'!$B$56:$B$60,0)),"?")))</f>
        <v/>
      </c>
      <c r="BU199" s="99" t="str">
        <f>IF($A199="","",IF($AI199="",1,IFERROR(INDEX('Sublimits and Parts'!$C$64:$C$67,MATCH($AI199,'Sublimits and Parts'!$B$64:$B$67,0)),"?")))</f>
        <v/>
      </c>
      <c r="BV199" s="99" t="str">
        <f>IF($A199="","",IF($AJ199="",1,IFERROR(INDEX('Sublimits and Parts'!$C$71:$C$74,MATCH($AJ199,'Sublimits and Parts'!$B$71:$B$74,0)),"?")))</f>
        <v/>
      </c>
      <c r="BW199" s="99" t="str">
        <f>IF($A199="","",IF($AK199="",1,IFERROR(INDEX('Sublimits and Parts'!$C$78:$C$80,MATCH($AK199,'Sublimits and Parts'!$B$78:$B$80,0)),"?")))</f>
        <v/>
      </c>
      <c r="BX199" s="99" t="str">
        <f>IF($A199="","",IF($AL199="",1,IFERROR(INDEX('Sublimits and Parts'!$C$84:$C$87,MATCH($AL199,'Sublimits and Parts'!$B$84:$B$87,0)),"?")))</f>
        <v/>
      </c>
      <c r="BY199" s="99" t="str">
        <f>IF($A199="","",IF($AM199="",1,IFERROR(INDEX('Sublimits and Parts'!$C$91:$C$94,MATCH($AM199,'Sublimits and Parts'!$B$91:$B$94,0)),"?")))</f>
        <v/>
      </c>
      <c r="BZ199" s="99" t="str">
        <f>IF($A199="","",IF($AN199="",1,IFERROR(INDEX('Sublimits and Parts'!$C$98:$C$101,MATCH($AN199,'Sublimits and Parts'!$B$98:$B$101,0)),"?")))</f>
        <v/>
      </c>
      <c r="CA199" s="99" t="str">
        <f>IF($A199="","",IF($AO199="",1,IFERROR(INDEX('Sublimits and Parts'!$C$105:$C$109,MATCH($AO199,'Sublimits and Parts'!$B$105:$B$109,0)),"?")))</f>
        <v/>
      </c>
      <c r="CB199" s="100" t="str">
        <f t="shared" si="41"/>
        <v/>
      </c>
      <c r="CC199" s="100" t="str">
        <f t="shared" si="42"/>
        <v/>
      </c>
      <c r="CD199" s="103" t="str">
        <f>IF($A199="","",IF(OR($CB199="?",$CC199="?"),"?",MIN($CB199*$CC199,'Technical Premium'!$C$17)))</f>
        <v/>
      </c>
      <c r="CE199" s="102" t="str">
        <f t="shared" si="43"/>
        <v/>
      </c>
      <c r="CF199" s="102" t="str">
        <f>IF($A199="","",IFERROR(INDEX('Territory Factors'!$F$6:$F$56,MATCH($K199,'Territory Factors'!$B$6:$B$56,0)),"?"))</f>
        <v/>
      </c>
      <c r="CG199" s="100" t="str">
        <f>IF($A199="","",IFERROR(INDEX('Usage and Coverage'!$C$79:$C$84,MATCH($Y199,'Usage and Coverage'!$B$79:$B$84,0)),"?"))</f>
        <v/>
      </c>
      <c r="CH199" s="102" t="str">
        <f>IFERROR(IF(ISNUMBER($CD199),$CF199*$CG199*MIN($BG199*$BA199*$BC199*$BD199*$BH199*$BF199,'Technical Premium'!$C$17),""),"")</f>
        <v/>
      </c>
      <c r="CI199" s="102" t="str">
        <f t="shared" si="44"/>
        <v/>
      </c>
      <c r="CJ199" s="102" t="str">
        <f>IFERROR($CI199*(1+'Technical Premium'!$C$5)*(1+'Technical Premium'!$C$6),"")</f>
        <v/>
      </c>
      <c r="CK199" s="102" t="str">
        <f>IFERROR($CE199*INDEX('Territory Factors'!$G$6:$G$56,MATCH($K199,'Territory Factors'!$B$6:$B$56,0))*$AU199*$AV199,"")</f>
        <v/>
      </c>
      <c r="CL199" s="102" t="str">
        <f>IFERROR(($CJ199+$CK199)*(1+'Technical Premium'!$C$7),"")</f>
        <v/>
      </c>
      <c r="CM199" s="104" t="str">
        <f>IFERROR($CL199/'Technical Premium'!$C$13,"")</f>
        <v/>
      </c>
      <c r="CN199" s="105" t="str">
        <f t="shared" si="45"/>
        <v/>
      </c>
      <c r="CO199" s="104" t="str">
        <f t="shared" si="46"/>
        <v/>
      </c>
      <c r="CP199" s="105" t="str">
        <f t="shared" si="47"/>
        <v/>
      </c>
      <c r="CQ199" s="106" t="str">
        <f t="shared" si="48"/>
        <v/>
      </c>
      <c r="CR199" s="102" t="str">
        <f>IF(ISNUMBER($CM199),'Technical Premium'!$C$14+IF($J199&gt;=1000000,'Technical Premium'!$C$15,0),"")</f>
        <v/>
      </c>
      <c r="CS199" s="102" t="str">
        <f>IFERROR(($CO199+$CR199)*(INDEX('Territory Factors'!$K$6:$K$56,MATCH($K199,'Territory Factors'!$B$6:$B$56,0))+'Commission Structure'!$C$21),"")</f>
        <v/>
      </c>
      <c r="CT199" s="104" t="str">
        <f t="shared" si="49"/>
        <v/>
      </c>
      <c r="CU199" s="102" t="str">
        <f>IFERROR($CO199*('Commission Structure'!$C$6+'Commission Structure'!$C$7),"")</f>
        <v/>
      </c>
      <c r="CV199" s="102" t="str">
        <f>IFERROR($CO199*'Commission Structure'!$C$5-$CU199,"")</f>
        <v/>
      </c>
      <c r="CW199" s="102" t="str">
        <f>IFERROR($CO199*(1-'Commission Structure'!$C$5),"")</f>
        <v/>
      </c>
      <c r="CX199" s="107"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8" t="str">
        <f t="shared" si="50"/>
        <v/>
      </c>
      <c r="CZ199" s="99" t="str">
        <f>IF($CY199="","",IF($CY199&lt;'Technical Premium'!$C$19,"BEYOND AUTHORITY",IF($CY199&gt;0.005,"Above technical",IF($CY199&lt;-0.005,"BELOW technical","At technical"))))</f>
        <v/>
      </c>
      <c r="DA199" s="99"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4"/>
      <c r="DC199" s="94"/>
      <c r="DD199" s="95"/>
      <c r="DE199" s="94"/>
      <c r="DF199" s="94"/>
      <c r="DG199" s="99" t="str">
        <f t="shared" si="51"/>
        <v/>
      </c>
      <c r="DH199" s="99" t="str">
        <f>IF($A199="","",IF(OR($CX199="REFER",$CX199="DECLINE"),COUNTIF($CX$5:$CX199,"REFER")+COUNTIF($CX$5:$CX199,"DECLINE"),""))</f>
        <v/>
      </c>
      <c r="DI199" s="94"/>
    </row>
    <row r="200" spans="1:113" x14ac:dyDescent="0.35">
      <c r="A200" s="94"/>
      <c r="B200" s="94"/>
      <c r="C200" s="95"/>
      <c r="D200" s="95"/>
      <c r="E200" s="96"/>
      <c r="F200" s="94"/>
      <c r="G200" s="94"/>
      <c r="H200" s="94"/>
      <c r="I200" s="94"/>
      <c r="J200" s="97"/>
      <c r="K200" s="94"/>
      <c r="L200" s="94"/>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8"/>
      <c r="AR200" s="99" t="str">
        <f t="shared" si="39"/>
        <v/>
      </c>
      <c r="AS200" s="99" t="str">
        <f>IF($A200="","",IF($AP200&lt;&gt;"",$AP200,IFERROR(INDEX('Cat Zone by ZIP'!$D$6:$D$856,MATCH($AR200,'Cat Zone by ZIP'!$B$6:$B$856,0)),IFERROR(INDEX('Cat Zone by ZIP'!$C$860:$C$910,MATCH($K200,'Cat Zone by ZIP'!$B$860:$B$910,0)),"NOT FOUND"))))</f>
        <v/>
      </c>
      <c r="AT200" s="99" t="str">
        <f>IF($A200="","",IF($AP200&lt;&gt;"","Override",IF(ISNUMBER(MATCH($AR200,'Cat Zone by ZIP'!$B$6:$B$856,0)),"ZIP-3","State default")))</f>
        <v/>
      </c>
      <c r="AU200" s="100" t="str">
        <f>IF($A200="","",IFERROR(INDEX('Natural Catastrophe'!$D$6:$D$17,MATCH($AS200,'Natural Catastrophe'!$B$6:$B$17,0)),"?"))</f>
        <v/>
      </c>
      <c r="AV200" s="100" t="str">
        <f>IF($A200="","",IFERROR(INDEX('Natural Catastrophe'!$C$21:$C$26,MATCH($AA200,'Natural Catastrophe'!$B$21:$B$26,0)),"?"))</f>
        <v/>
      </c>
      <c r="AW200" s="99" t="str">
        <f>IF($A200="","",IFERROR(INDEX('Base Rates'!$C$4:$I$4,MATCH(MAX($J200,'Technical Premium'!$C$18),'Base Rates'!$C$3:$I$3,1)),"?"))</f>
        <v/>
      </c>
      <c r="AX200" s="101" t="str">
        <f>IF($A200="","",IFERROR(INDEX('Base Rates'!$C$5:$I$16,MATCH($I200,'Base Rates'!$B$5:$B$16,0),MATCH(MAX($J200,'Technical Premium'!$C$18),'Base Rates'!$C$3:$I$3,1)),"?"))</f>
        <v/>
      </c>
      <c r="AY200" s="102" t="str">
        <f t="shared" si="40"/>
        <v/>
      </c>
      <c r="AZ200" s="99" t="str">
        <f>IF($A200="","",IFERROR(INDEX('Make Factors'!$G$5:$G$69,MATCH($F200,'Make Factors'!$B$5:$B$69,0)),"?"))</f>
        <v/>
      </c>
      <c r="BA200" s="99" t="str">
        <f>IF($A200="","",IFERROR(INDEX('Driver Factors'!$C$6:$C$15,MATCH($R200,'Driver Factors'!$B$6:$B$15,0)),"?"))</f>
        <v/>
      </c>
      <c r="BB200" s="99" t="str">
        <f>IF($A200="","",IFERROR(INDEX('Driver Factors'!$C$19:$C$24,MATCH($S200,'Driver Factors'!$B$19:$B$24,0)),"?"))</f>
        <v/>
      </c>
      <c r="BC200" s="99" t="str">
        <f>IF($A200="","",IFERROR(INDEX('Driver Factors'!$C$28:$C$36,MATCH($T200,'Driver Factors'!$B$28:$B$36,0)),"?"))</f>
        <v/>
      </c>
      <c r="BD200" s="99" t="str">
        <f>IF($A200="","",IFERROR(INDEX('Claims History'!$C$6:$C$15,MATCH($U200,'Claims History'!$B$6:$B$15,0)),"?"))</f>
        <v/>
      </c>
      <c r="BE200" s="99" t="str">
        <f>IF($A200="","",IFERROR(INDEX('Territory Factors'!$E$6:$E$56,MATCH($K200,'Territory Factors'!$B$6:$B$56,0)),"?"))</f>
        <v/>
      </c>
      <c r="BF200" s="99" t="str">
        <f>IF($A200="","",IFERROR(INDEX('City Accident Ratings'!$G$6:$G$54,MATCH($Z200,'City Accident Ratings'!$B$6:$B$54,0)),"?"))</f>
        <v/>
      </c>
      <c r="BG200" s="99" t="str">
        <f>IF($A200="","",IFERROR(INDEX('Usage and Coverage'!$D$6:$D$20,MATCH($N200,'Usage and Coverage'!$C$6:$C$20,0)),"?"))</f>
        <v/>
      </c>
      <c r="BH200" s="99" t="str">
        <f>IF($A200="","",IFERROR(INDEX('Usage and Coverage'!$C$24:$C$30,MATCH($O200,'Usage and Coverage'!$B$24:$B$30,0)),"?"))</f>
        <v/>
      </c>
      <c r="BI200" s="99" t="str">
        <f>IF($A200="","",IFERROR(INDEX('Usage and Coverage'!$C$34:$C$40,MATCH($P200,'Usage and Coverage'!$B$34:$B$40,0)),"?"))</f>
        <v/>
      </c>
      <c r="BJ200" s="99" t="str">
        <f>IF($A200="","",IFERROR(INDEX('Usage and Coverage'!$C$44:$C$49,MATCH($Q200,'Usage and Coverage'!$B$44:$B$49,0)),"?"))</f>
        <v/>
      </c>
      <c r="BK200" s="99" t="str">
        <f>IF($A200="","",IFERROR(INDEX(Deductibles!$C$6:$I$15,MATCH($W200,Deductibles!$B$6:$B$15,0),MATCH(MAX($J200,'Technical Premium'!$C$18),'Base Rates'!$C$3:$I$3,1)),"?"))</f>
        <v/>
      </c>
      <c r="BL200" s="99" t="str">
        <f>IF($A200="","",IFERROR(INDEX('Usage and Coverage'!$C$63:$C$66,MATCH($X200,'Usage and Coverage'!$B$63:$B$66,0)),"?"))</f>
        <v/>
      </c>
      <c r="BM200" s="99" t="str">
        <f>IF($A200="","",IFERROR(INDEX('Usage and Coverage'!$C$70:$C$75,MATCH($V200,'Usage and Coverage'!$B$70:$B$75,0)),"?"))</f>
        <v/>
      </c>
      <c r="BN200" s="99" t="str">
        <f>IF($A200="","",IF($AB200="",1,IFERROR(INDEX(Deductibles!$C$48:$C$51,MATCH($AB200,Deductibles!$B$48:$B$51,0)),"?")))</f>
        <v/>
      </c>
      <c r="BO200" s="99" t="str">
        <f>IF($A200="","",IF($AC200="",1,IFERROR(INDEX(Deductibles!$C$55:$C$57,MATCH($AC200,Deductibles!$B$55:$B$57,0)),"?")))</f>
        <v/>
      </c>
      <c r="BP200" s="99" t="str">
        <f>IF($A200="","",IF($AD200="",1,IFERROR(INDEX(Deductibles!$C$61:$C$63,MATCH($AD200,Deductibles!$B$61:$B$63,0)),"?")))</f>
        <v/>
      </c>
      <c r="BQ200" s="99" t="str">
        <f>IF($A200="","",IF($AE200="",1,IFERROR(INDEX(Deductibles!$C$67:$C$69,MATCH($AE200,Deductibles!$B$67:$B$69,0)),"?")))</f>
        <v/>
      </c>
      <c r="BR200" s="99" t="str">
        <f>IF($A200="","",IF($AF200="",1,IFERROR(INDEX(Deductibles!$C$73:$C$74,MATCH($AF200,Deductibles!$B$73:$B$74,0)),"?")))</f>
        <v/>
      </c>
      <c r="BS200" s="99" t="str">
        <f>IF($A200="","",IF($AG200="",1,IFERROR(INDEX('Sublimits and Parts'!$C$49:$C$52,MATCH($AG200,'Sublimits and Parts'!$B$49:$B$52,0)),"?")))</f>
        <v/>
      </c>
      <c r="BT200" s="99" t="str">
        <f>IF($A200="","",IF($AH200="",1,IFERROR(INDEX('Sublimits and Parts'!$C$56:$C$60,MATCH($AH200,'Sublimits and Parts'!$B$56:$B$60,0)),"?")))</f>
        <v/>
      </c>
      <c r="BU200" s="99" t="str">
        <f>IF($A200="","",IF($AI200="",1,IFERROR(INDEX('Sublimits and Parts'!$C$64:$C$67,MATCH($AI200,'Sublimits and Parts'!$B$64:$B$67,0)),"?")))</f>
        <v/>
      </c>
      <c r="BV200" s="99" t="str">
        <f>IF($A200="","",IF($AJ200="",1,IFERROR(INDEX('Sublimits and Parts'!$C$71:$C$74,MATCH($AJ200,'Sublimits and Parts'!$B$71:$B$74,0)),"?")))</f>
        <v/>
      </c>
      <c r="BW200" s="99" t="str">
        <f>IF($A200="","",IF($AK200="",1,IFERROR(INDEX('Sublimits and Parts'!$C$78:$C$80,MATCH($AK200,'Sublimits and Parts'!$B$78:$B$80,0)),"?")))</f>
        <v/>
      </c>
      <c r="BX200" s="99" t="str">
        <f>IF($A200="","",IF($AL200="",1,IFERROR(INDEX('Sublimits and Parts'!$C$84:$C$87,MATCH($AL200,'Sublimits and Parts'!$B$84:$B$87,0)),"?")))</f>
        <v/>
      </c>
      <c r="BY200" s="99" t="str">
        <f>IF($A200="","",IF($AM200="",1,IFERROR(INDEX('Sublimits and Parts'!$C$91:$C$94,MATCH($AM200,'Sublimits and Parts'!$B$91:$B$94,0)),"?")))</f>
        <v/>
      </c>
      <c r="BZ200" s="99" t="str">
        <f>IF($A200="","",IF($AN200="",1,IFERROR(INDEX('Sublimits and Parts'!$C$98:$C$101,MATCH($AN200,'Sublimits and Parts'!$B$98:$B$101,0)),"?")))</f>
        <v/>
      </c>
      <c r="CA200" s="99" t="str">
        <f>IF($A200="","",IF($AO200="",1,IFERROR(INDEX('Sublimits and Parts'!$C$105:$C$109,MATCH($AO200,'Sublimits and Parts'!$B$105:$B$109,0)),"?")))</f>
        <v/>
      </c>
      <c r="CB200" s="100" t="str">
        <f t="shared" si="41"/>
        <v/>
      </c>
      <c r="CC200" s="100" t="str">
        <f t="shared" si="42"/>
        <v/>
      </c>
      <c r="CD200" s="103" t="str">
        <f>IF($A200="","",IF(OR($CB200="?",$CC200="?"),"?",MIN($CB200*$CC200,'Technical Premium'!$C$17)))</f>
        <v/>
      </c>
      <c r="CE200" s="102" t="str">
        <f t="shared" si="43"/>
        <v/>
      </c>
      <c r="CF200" s="102" t="str">
        <f>IF($A200="","",IFERROR(INDEX('Territory Factors'!$F$6:$F$56,MATCH($K200,'Territory Factors'!$B$6:$B$56,0)),"?"))</f>
        <v/>
      </c>
      <c r="CG200" s="100" t="str">
        <f>IF($A200="","",IFERROR(INDEX('Usage and Coverage'!$C$79:$C$84,MATCH($Y200,'Usage and Coverage'!$B$79:$B$84,0)),"?"))</f>
        <v/>
      </c>
      <c r="CH200" s="102" t="str">
        <f>IFERROR(IF(ISNUMBER($CD200),$CF200*$CG200*MIN($BG200*$BA200*$BC200*$BD200*$BH200*$BF200,'Technical Premium'!$C$17),""),"")</f>
        <v/>
      </c>
      <c r="CI200" s="102" t="str">
        <f t="shared" si="44"/>
        <v/>
      </c>
      <c r="CJ200" s="102" t="str">
        <f>IFERROR($CI200*(1+'Technical Premium'!$C$5)*(1+'Technical Premium'!$C$6),"")</f>
        <v/>
      </c>
      <c r="CK200" s="102" t="str">
        <f>IFERROR($CE200*INDEX('Territory Factors'!$G$6:$G$56,MATCH($K200,'Territory Factors'!$B$6:$B$56,0))*$AU200*$AV200,"")</f>
        <v/>
      </c>
      <c r="CL200" s="102" t="str">
        <f>IFERROR(($CJ200+$CK200)*(1+'Technical Premium'!$C$7),"")</f>
        <v/>
      </c>
      <c r="CM200" s="104" t="str">
        <f>IFERROR($CL200/'Technical Premium'!$C$13,"")</f>
        <v/>
      </c>
      <c r="CN200" s="105" t="str">
        <f t="shared" si="45"/>
        <v/>
      </c>
      <c r="CO200" s="104" t="str">
        <f t="shared" si="46"/>
        <v/>
      </c>
      <c r="CP200" s="105" t="str">
        <f t="shared" si="47"/>
        <v/>
      </c>
      <c r="CQ200" s="106" t="str">
        <f t="shared" si="48"/>
        <v/>
      </c>
      <c r="CR200" s="102" t="str">
        <f>IF(ISNUMBER($CM200),'Technical Premium'!$C$14+IF($J200&gt;=1000000,'Technical Premium'!$C$15,0),"")</f>
        <v/>
      </c>
      <c r="CS200" s="102" t="str">
        <f>IFERROR(($CO200+$CR200)*(INDEX('Territory Factors'!$K$6:$K$56,MATCH($K200,'Territory Factors'!$B$6:$B$56,0))+'Commission Structure'!$C$21),"")</f>
        <v/>
      </c>
      <c r="CT200" s="104" t="str">
        <f t="shared" si="49"/>
        <v/>
      </c>
      <c r="CU200" s="102" t="str">
        <f>IFERROR($CO200*('Commission Structure'!$C$6+'Commission Structure'!$C$7),"")</f>
        <v/>
      </c>
      <c r="CV200" s="102" t="str">
        <f>IFERROR($CO200*'Commission Structure'!$C$5-$CU200,"")</f>
        <v/>
      </c>
      <c r="CW200" s="102" t="str">
        <f>IFERROR($CO200*(1-'Commission Structure'!$C$5),"")</f>
        <v/>
      </c>
      <c r="CX200" s="107"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8" t="str">
        <f t="shared" si="50"/>
        <v/>
      </c>
      <c r="CZ200" s="99" t="str">
        <f>IF($CY200="","",IF($CY200&lt;'Technical Premium'!$C$19,"BEYOND AUTHORITY",IF($CY200&gt;0.005,"Above technical",IF($CY200&lt;-0.005,"BELOW technical","At technical"))))</f>
        <v/>
      </c>
      <c r="DA200" s="99"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4"/>
      <c r="DC200" s="94"/>
      <c r="DD200" s="95"/>
      <c r="DE200" s="94"/>
      <c r="DF200" s="94"/>
      <c r="DG200" s="99" t="str">
        <f t="shared" si="51"/>
        <v/>
      </c>
      <c r="DH200" s="99" t="str">
        <f>IF($A200="","",IF(OR($CX200="REFER",$CX200="DECLINE"),COUNTIF($CX$5:$CX200,"REFER")+COUNTIF($CX$5:$CX200,"DECLINE"),""))</f>
        <v/>
      </c>
      <c r="DI200" s="94"/>
    </row>
    <row r="201" spans="1:113" x14ac:dyDescent="0.35">
      <c r="A201" s="94"/>
      <c r="B201" s="94"/>
      <c r="C201" s="95"/>
      <c r="D201" s="95"/>
      <c r="E201" s="96"/>
      <c r="F201" s="94"/>
      <c r="G201" s="94"/>
      <c r="H201" s="94"/>
      <c r="I201" s="94"/>
      <c r="J201" s="97"/>
      <c r="K201" s="94"/>
      <c r="L201" s="94"/>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8"/>
      <c r="AR201" s="99" t="str">
        <f t="shared" si="39"/>
        <v/>
      </c>
      <c r="AS201" s="99" t="str">
        <f>IF($A201="","",IF($AP201&lt;&gt;"",$AP201,IFERROR(INDEX('Cat Zone by ZIP'!$D$6:$D$856,MATCH($AR201,'Cat Zone by ZIP'!$B$6:$B$856,0)),IFERROR(INDEX('Cat Zone by ZIP'!$C$860:$C$910,MATCH($K201,'Cat Zone by ZIP'!$B$860:$B$910,0)),"NOT FOUND"))))</f>
        <v/>
      </c>
      <c r="AT201" s="99" t="str">
        <f>IF($A201="","",IF($AP201&lt;&gt;"","Override",IF(ISNUMBER(MATCH($AR201,'Cat Zone by ZIP'!$B$6:$B$856,0)),"ZIP-3","State default")))</f>
        <v/>
      </c>
      <c r="AU201" s="100" t="str">
        <f>IF($A201="","",IFERROR(INDEX('Natural Catastrophe'!$D$6:$D$17,MATCH($AS201,'Natural Catastrophe'!$B$6:$B$17,0)),"?"))</f>
        <v/>
      </c>
      <c r="AV201" s="100" t="str">
        <f>IF($A201="","",IFERROR(INDEX('Natural Catastrophe'!$C$21:$C$26,MATCH($AA201,'Natural Catastrophe'!$B$21:$B$26,0)),"?"))</f>
        <v/>
      </c>
      <c r="AW201" s="99" t="str">
        <f>IF($A201="","",IFERROR(INDEX('Base Rates'!$C$4:$I$4,MATCH(MAX($J201,'Technical Premium'!$C$18),'Base Rates'!$C$3:$I$3,1)),"?"))</f>
        <v/>
      </c>
      <c r="AX201" s="101" t="str">
        <f>IF($A201="","",IFERROR(INDEX('Base Rates'!$C$5:$I$16,MATCH($I201,'Base Rates'!$B$5:$B$16,0),MATCH(MAX($J201,'Technical Premium'!$C$18),'Base Rates'!$C$3:$I$3,1)),"?"))</f>
        <v/>
      </c>
      <c r="AY201" s="102" t="str">
        <f t="shared" si="40"/>
        <v/>
      </c>
      <c r="AZ201" s="99" t="str">
        <f>IF($A201="","",IFERROR(INDEX('Make Factors'!$G$5:$G$69,MATCH($F201,'Make Factors'!$B$5:$B$69,0)),"?"))</f>
        <v/>
      </c>
      <c r="BA201" s="99" t="str">
        <f>IF($A201="","",IFERROR(INDEX('Driver Factors'!$C$6:$C$15,MATCH($R201,'Driver Factors'!$B$6:$B$15,0)),"?"))</f>
        <v/>
      </c>
      <c r="BB201" s="99" t="str">
        <f>IF($A201="","",IFERROR(INDEX('Driver Factors'!$C$19:$C$24,MATCH($S201,'Driver Factors'!$B$19:$B$24,0)),"?"))</f>
        <v/>
      </c>
      <c r="BC201" s="99" t="str">
        <f>IF($A201="","",IFERROR(INDEX('Driver Factors'!$C$28:$C$36,MATCH($T201,'Driver Factors'!$B$28:$B$36,0)),"?"))</f>
        <v/>
      </c>
      <c r="BD201" s="99" t="str">
        <f>IF($A201="","",IFERROR(INDEX('Claims History'!$C$6:$C$15,MATCH($U201,'Claims History'!$B$6:$B$15,0)),"?"))</f>
        <v/>
      </c>
      <c r="BE201" s="99" t="str">
        <f>IF($A201="","",IFERROR(INDEX('Territory Factors'!$E$6:$E$56,MATCH($K201,'Territory Factors'!$B$6:$B$56,0)),"?"))</f>
        <v/>
      </c>
      <c r="BF201" s="99" t="str">
        <f>IF($A201="","",IFERROR(INDEX('City Accident Ratings'!$G$6:$G$54,MATCH($Z201,'City Accident Ratings'!$B$6:$B$54,0)),"?"))</f>
        <v/>
      </c>
      <c r="BG201" s="99" t="str">
        <f>IF($A201="","",IFERROR(INDEX('Usage and Coverage'!$D$6:$D$20,MATCH($N201,'Usage and Coverage'!$C$6:$C$20,0)),"?"))</f>
        <v/>
      </c>
      <c r="BH201" s="99" t="str">
        <f>IF($A201="","",IFERROR(INDEX('Usage and Coverage'!$C$24:$C$30,MATCH($O201,'Usage and Coverage'!$B$24:$B$30,0)),"?"))</f>
        <v/>
      </c>
      <c r="BI201" s="99" t="str">
        <f>IF($A201="","",IFERROR(INDEX('Usage and Coverage'!$C$34:$C$40,MATCH($P201,'Usage and Coverage'!$B$34:$B$40,0)),"?"))</f>
        <v/>
      </c>
      <c r="BJ201" s="99" t="str">
        <f>IF($A201="","",IFERROR(INDEX('Usage and Coverage'!$C$44:$C$49,MATCH($Q201,'Usage and Coverage'!$B$44:$B$49,0)),"?"))</f>
        <v/>
      </c>
      <c r="BK201" s="99" t="str">
        <f>IF($A201="","",IFERROR(INDEX(Deductibles!$C$6:$I$15,MATCH($W201,Deductibles!$B$6:$B$15,0),MATCH(MAX($J201,'Technical Premium'!$C$18),'Base Rates'!$C$3:$I$3,1)),"?"))</f>
        <v/>
      </c>
      <c r="BL201" s="99" t="str">
        <f>IF($A201="","",IFERROR(INDEX('Usage and Coverage'!$C$63:$C$66,MATCH($X201,'Usage and Coverage'!$B$63:$B$66,0)),"?"))</f>
        <v/>
      </c>
      <c r="BM201" s="99" t="str">
        <f>IF($A201="","",IFERROR(INDEX('Usage and Coverage'!$C$70:$C$75,MATCH($V201,'Usage and Coverage'!$B$70:$B$75,0)),"?"))</f>
        <v/>
      </c>
      <c r="BN201" s="99" t="str">
        <f>IF($A201="","",IF($AB201="",1,IFERROR(INDEX(Deductibles!$C$48:$C$51,MATCH($AB201,Deductibles!$B$48:$B$51,0)),"?")))</f>
        <v/>
      </c>
      <c r="BO201" s="99" t="str">
        <f>IF($A201="","",IF($AC201="",1,IFERROR(INDEX(Deductibles!$C$55:$C$57,MATCH($AC201,Deductibles!$B$55:$B$57,0)),"?")))</f>
        <v/>
      </c>
      <c r="BP201" s="99" t="str">
        <f>IF($A201="","",IF($AD201="",1,IFERROR(INDEX(Deductibles!$C$61:$C$63,MATCH($AD201,Deductibles!$B$61:$B$63,0)),"?")))</f>
        <v/>
      </c>
      <c r="BQ201" s="99" t="str">
        <f>IF($A201="","",IF($AE201="",1,IFERROR(INDEX(Deductibles!$C$67:$C$69,MATCH($AE201,Deductibles!$B$67:$B$69,0)),"?")))</f>
        <v/>
      </c>
      <c r="BR201" s="99" t="str">
        <f>IF($A201="","",IF($AF201="",1,IFERROR(INDEX(Deductibles!$C$73:$C$74,MATCH($AF201,Deductibles!$B$73:$B$74,0)),"?")))</f>
        <v/>
      </c>
      <c r="BS201" s="99" t="str">
        <f>IF($A201="","",IF($AG201="",1,IFERROR(INDEX('Sublimits and Parts'!$C$49:$C$52,MATCH($AG201,'Sublimits and Parts'!$B$49:$B$52,0)),"?")))</f>
        <v/>
      </c>
      <c r="BT201" s="99" t="str">
        <f>IF($A201="","",IF($AH201="",1,IFERROR(INDEX('Sublimits and Parts'!$C$56:$C$60,MATCH($AH201,'Sublimits and Parts'!$B$56:$B$60,0)),"?")))</f>
        <v/>
      </c>
      <c r="BU201" s="99" t="str">
        <f>IF($A201="","",IF($AI201="",1,IFERROR(INDEX('Sublimits and Parts'!$C$64:$C$67,MATCH($AI201,'Sublimits and Parts'!$B$64:$B$67,0)),"?")))</f>
        <v/>
      </c>
      <c r="BV201" s="99" t="str">
        <f>IF($A201="","",IF($AJ201="",1,IFERROR(INDEX('Sublimits and Parts'!$C$71:$C$74,MATCH($AJ201,'Sublimits and Parts'!$B$71:$B$74,0)),"?")))</f>
        <v/>
      </c>
      <c r="BW201" s="99" t="str">
        <f>IF($A201="","",IF($AK201="",1,IFERROR(INDEX('Sublimits and Parts'!$C$78:$C$80,MATCH($AK201,'Sublimits and Parts'!$B$78:$B$80,0)),"?")))</f>
        <v/>
      </c>
      <c r="BX201" s="99" t="str">
        <f>IF($A201="","",IF($AL201="",1,IFERROR(INDEX('Sublimits and Parts'!$C$84:$C$87,MATCH($AL201,'Sublimits and Parts'!$B$84:$B$87,0)),"?")))</f>
        <v/>
      </c>
      <c r="BY201" s="99" t="str">
        <f>IF($A201="","",IF($AM201="",1,IFERROR(INDEX('Sublimits and Parts'!$C$91:$C$94,MATCH($AM201,'Sublimits and Parts'!$B$91:$B$94,0)),"?")))</f>
        <v/>
      </c>
      <c r="BZ201" s="99" t="str">
        <f>IF($A201="","",IF($AN201="",1,IFERROR(INDEX('Sublimits and Parts'!$C$98:$C$101,MATCH($AN201,'Sublimits and Parts'!$B$98:$B$101,0)),"?")))</f>
        <v/>
      </c>
      <c r="CA201" s="99" t="str">
        <f>IF($A201="","",IF($AO201="",1,IFERROR(INDEX('Sublimits and Parts'!$C$105:$C$109,MATCH($AO201,'Sublimits and Parts'!$B$105:$B$109,0)),"?")))</f>
        <v/>
      </c>
      <c r="CB201" s="100" t="str">
        <f t="shared" si="41"/>
        <v/>
      </c>
      <c r="CC201" s="100" t="str">
        <f t="shared" si="42"/>
        <v/>
      </c>
      <c r="CD201" s="103" t="str">
        <f>IF($A201="","",IF(OR($CB201="?",$CC201="?"),"?",MIN($CB201*$CC201,'Technical Premium'!$C$17)))</f>
        <v/>
      </c>
      <c r="CE201" s="102" t="str">
        <f t="shared" si="43"/>
        <v/>
      </c>
      <c r="CF201" s="102" t="str">
        <f>IF($A201="","",IFERROR(INDEX('Territory Factors'!$F$6:$F$56,MATCH($K201,'Territory Factors'!$B$6:$B$56,0)),"?"))</f>
        <v/>
      </c>
      <c r="CG201" s="100" t="str">
        <f>IF($A201="","",IFERROR(INDEX('Usage and Coverage'!$C$79:$C$84,MATCH($Y201,'Usage and Coverage'!$B$79:$B$84,0)),"?"))</f>
        <v/>
      </c>
      <c r="CH201" s="102" t="str">
        <f>IFERROR(IF(ISNUMBER($CD201),$CF201*$CG201*MIN($BG201*$BA201*$BC201*$BD201*$BH201*$BF201,'Technical Premium'!$C$17),""),"")</f>
        <v/>
      </c>
      <c r="CI201" s="102" t="str">
        <f t="shared" si="44"/>
        <v/>
      </c>
      <c r="CJ201" s="102" t="str">
        <f>IFERROR($CI201*(1+'Technical Premium'!$C$5)*(1+'Technical Premium'!$C$6),"")</f>
        <v/>
      </c>
      <c r="CK201" s="102" t="str">
        <f>IFERROR($CE201*INDEX('Territory Factors'!$G$6:$G$56,MATCH($K201,'Territory Factors'!$B$6:$B$56,0))*$AU201*$AV201,"")</f>
        <v/>
      </c>
      <c r="CL201" s="102" t="str">
        <f>IFERROR(($CJ201+$CK201)*(1+'Technical Premium'!$C$7),"")</f>
        <v/>
      </c>
      <c r="CM201" s="104" t="str">
        <f>IFERROR($CL201/'Technical Premium'!$C$13,"")</f>
        <v/>
      </c>
      <c r="CN201" s="105" t="str">
        <f t="shared" si="45"/>
        <v/>
      </c>
      <c r="CO201" s="104" t="str">
        <f t="shared" si="46"/>
        <v/>
      </c>
      <c r="CP201" s="105" t="str">
        <f t="shared" si="47"/>
        <v/>
      </c>
      <c r="CQ201" s="106" t="str">
        <f t="shared" si="48"/>
        <v/>
      </c>
      <c r="CR201" s="102" t="str">
        <f>IF(ISNUMBER($CM201),'Technical Premium'!$C$14+IF($J201&gt;=1000000,'Technical Premium'!$C$15,0),"")</f>
        <v/>
      </c>
      <c r="CS201" s="102" t="str">
        <f>IFERROR(($CO201+$CR201)*(INDEX('Territory Factors'!$K$6:$K$56,MATCH($K201,'Territory Factors'!$B$6:$B$56,0))+'Commission Structure'!$C$21),"")</f>
        <v/>
      </c>
      <c r="CT201" s="104" t="str">
        <f t="shared" si="49"/>
        <v/>
      </c>
      <c r="CU201" s="102" t="str">
        <f>IFERROR($CO201*('Commission Structure'!$C$6+'Commission Structure'!$C$7),"")</f>
        <v/>
      </c>
      <c r="CV201" s="102" t="str">
        <f>IFERROR($CO201*'Commission Structure'!$C$5-$CU201,"")</f>
        <v/>
      </c>
      <c r="CW201" s="102" t="str">
        <f>IFERROR($CO201*(1-'Commission Structure'!$C$5),"")</f>
        <v/>
      </c>
      <c r="CX201" s="107"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8" t="str">
        <f t="shared" si="50"/>
        <v/>
      </c>
      <c r="CZ201" s="99" t="str">
        <f>IF($CY201="","",IF($CY201&lt;'Technical Premium'!$C$19,"BEYOND AUTHORITY",IF($CY201&gt;0.005,"Above technical",IF($CY201&lt;-0.005,"BELOW technical","At technical"))))</f>
        <v/>
      </c>
      <c r="DA201" s="99"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4"/>
      <c r="DC201" s="94"/>
      <c r="DD201" s="95"/>
      <c r="DE201" s="94"/>
      <c r="DF201" s="94"/>
      <c r="DG201" s="99" t="str">
        <f t="shared" si="51"/>
        <v/>
      </c>
      <c r="DH201" s="99" t="str">
        <f>IF($A201="","",IF(OR($CX201="REFER",$CX201="DECLINE"),COUNTIF($CX$5:$CX201,"REFER")+COUNTIF($CX$5:$CX201,"DECLINE"),""))</f>
        <v/>
      </c>
      <c r="DI201" s="94"/>
    </row>
    <row r="202" spans="1:113" x14ac:dyDescent="0.35">
      <c r="A202" s="94"/>
      <c r="B202" s="94"/>
      <c r="C202" s="95"/>
      <c r="D202" s="95"/>
      <c r="E202" s="96"/>
      <c r="F202" s="94"/>
      <c r="G202" s="94"/>
      <c r="H202" s="94"/>
      <c r="I202" s="94"/>
      <c r="J202" s="97"/>
      <c r="K202" s="94"/>
      <c r="L202" s="94"/>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8"/>
      <c r="AR202" s="99" t="str">
        <f t="shared" si="39"/>
        <v/>
      </c>
      <c r="AS202" s="99" t="str">
        <f>IF($A202="","",IF($AP202&lt;&gt;"",$AP202,IFERROR(INDEX('Cat Zone by ZIP'!$D$6:$D$856,MATCH($AR202,'Cat Zone by ZIP'!$B$6:$B$856,0)),IFERROR(INDEX('Cat Zone by ZIP'!$C$860:$C$910,MATCH($K202,'Cat Zone by ZIP'!$B$860:$B$910,0)),"NOT FOUND"))))</f>
        <v/>
      </c>
      <c r="AT202" s="99" t="str">
        <f>IF($A202="","",IF($AP202&lt;&gt;"","Override",IF(ISNUMBER(MATCH($AR202,'Cat Zone by ZIP'!$B$6:$B$856,0)),"ZIP-3","State default")))</f>
        <v/>
      </c>
      <c r="AU202" s="100" t="str">
        <f>IF($A202="","",IFERROR(INDEX('Natural Catastrophe'!$D$6:$D$17,MATCH($AS202,'Natural Catastrophe'!$B$6:$B$17,0)),"?"))</f>
        <v/>
      </c>
      <c r="AV202" s="100" t="str">
        <f>IF($A202="","",IFERROR(INDEX('Natural Catastrophe'!$C$21:$C$26,MATCH($AA202,'Natural Catastrophe'!$B$21:$B$26,0)),"?"))</f>
        <v/>
      </c>
      <c r="AW202" s="99" t="str">
        <f>IF($A202="","",IFERROR(INDEX('Base Rates'!$C$4:$I$4,MATCH(MAX($J202,'Technical Premium'!$C$18),'Base Rates'!$C$3:$I$3,1)),"?"))</f>
        <v/>
      </c>
      <c r="AX202" s="101" t="str">
        <f>IF($A202="","",IFERROR(INDEX('Base Rates'!$C$5:$I$16,MATCH($I202,'Base Rates'!$B$5:$B$16,0),MATCH(MAX($J202,'Technical Premium'!$C$18),'Base Rates'!$C$3:$I$3,1)),"?"))</f>
        <v/>
      </c>
      <c r="AY202" s="102" t="str">
        <f t="shared" si="40"/>
        <v/>
      </c>
      <c r="AZ202" s="99" t="str">
        <f>IF($A202="","",IFERROR(INDEX('Make Factors'!$G$5:$G$69,MATCH($F202,'Make Factors'!$B$5:$B$69,0)),"?"))</f>
        <v/>
      </c>
      <c r="BA202" s="99" t="str">
        <f>IF($A202="","",IFERROR(INDEX('Driver Factors'!$C$6:$C$15,MATCH($R202,'Driver Factors'!$B$6:$B$15,0)),"?"))</f>
        <v/>
      </c>
      <c r="BB202" s="99" t="str">
        <f>IF($A202="","",IFERROR(INDEX('Driver Factors'!$C$19:$C$24,MATCH($S202,'Driver Factors'!$B$19:$B$24,0)),"?"))</f>
        <v/>
      </c>
      <c r="BC202" s="99" t="str">
        <f>IF($A202="","",IFERROR(INDEX('Driver Factors'!$C$28:$C$36,MATCH($T202,'Driver Factors'!$B$28:$B$36,0)),"?"))</f>
        <v/>
      </c>
      <c r="BD202" s="99" t="str">
        <f>IF($A202="","",IFERROR(INDEX('Claims History'!$C$6:$C$15,MATCH($U202,'Claims History'!$B$6:$B$15,0)),"?"))</f>
        <v/>
      </c>
      <c r="BE202" s="99" t="str">
        <f>IF($A202="","",IFERROR(INDEX('Territory Factors'!$E$6:$E$56,MATCH($K202,'Territory Factors'!$B$6:$B$56,0)),"?"))</f>
        <v/>
      </c>
      <c r="BF202" s="99" t="str">
        <f>IF($A202="","",IFERROR(INDEX('City Accident Ratings'!$G$6:$G$54,MATCH($Z202,'City Accident Ratings'!$B$6:$B$54,0)),"?"))</f>
        <v/>
      </c>
      <c r="BG202" s="99" t="str">
        <f>IF($A202="","",IFERROR(INDEX('Usage and Coverage'!$D$6:$D$20,MATCH($N202,'Usage and Coverage'!$C$6:$C$20,0)),"?"))</f>
        <v/>
      </c>
      <c r="BH202" s="99" t="str">
        <f>IF($A202="","",IFERROR(INDEX('Usage and Coverage'!$C$24:$C$30,MATCH($O202,'Usage and Coverage'!$B$24:$B$30,0)),"?"))</f>
        <v/>
      </c>
      <c r="BI202" s="99" t="str">
        <f>IF($A202="","",IFERROR(INDEX('Usage and Coverage'!$C$34:$C$40,MATCH($P202,'Usage and Coverage'!$B$34:$B$40,0)),"?"))</f>
        <v/>
      </c>
      <c r="BJ202" s="99" t="str">
        <f>IF($A202="","",IFERROR(INDEX('Usage and Coverage'!$C$44:$C$49,MATCH($Q202,'Usage and Coverage'!$B$44:$B$49,0)),"?"))</f>
        <v/>
      </c>
      <c r="BK202" s="99" t="str">
        <f>IF($A202="","",IFERROR(INDEX(Deductibles!$C$6:$I$15,MATCH($W202,Deductibles!$B$6:$B$15,0),MATCH(MAX($J202,'Technical Premium'!$C$18),'Base Rates'!$C$3:$I$3,1)),"?"))</f>
        <v/>
      </c>
      <c r="BL202" s="99" t="str">
        <f>IF($A202="","",IFERROR(INDEX('Usage and Coverage'!$C$63:$C$66,MATCH($X202,'Usage and Coverage'!$B$63:$B$66,0)),"?"))</f>
        <v/>
      </c>
      <c r="BM202" s="99" t="str">
        <f>IF($A202="","",IFERROR(INDEX('Usage and Coverage'!$C$70:$C$75,MATCH($V202,'Usage and Coverage'!$B$70:$B$75,0)),"?"))</f>
        <v/>
      </c>
      <c r="BN202" s="99" t="str">
        <f>IF($A202="","",IF($AB202="",1,IFERROR(INDEX(Deductibles!$C$48:$C$51,MATCH($AB202,Deductibles!$B$48:$B$51,0)),"?")))</f>
        <v/>
      </c>
      <c r="BO202" s="99" t="str">
        <f>IF($A202="","",IF($AC202="",1,IFERROR(INDEX(Deductibles!$C$55:$C$57,MATCH($AC202,Deductibles!$B$55:$B$57,0)),"?")))</f>
        <v/>
      </c>
      <c r="BP202" s="99" t="str">
        <f>IF($A202="","",IF($AD202="",1,IFERROR(INDEX(Deductibles!$C$61:$C$63,MATCH($AD202,Deductibles!$B$61:$B$63,0)),"?")))</f>
        <v/>
      </c>
      <c r="BQ202" s="99" t="str">
        <f>IF($A202="","",IF($AE202="",1,IFERROR(INDEX(Deductibles!$C$67:$C$69,MATCH($AE202,Deductibles!$B$67:$B$69,0)),"?")))</f>
        <v/>
      </c>
      <c r="BR202" s="99" t="str">
        <f>IF($A202="","",IF($AF202="",1,IFERROR(INDEX(Deductibles!$C$73:$C$74,MATCH($AF202,Deductibles!$B$73:$B$74,0)),"?")))</f>
        <v/>
      </c>
      <c r="BS202" s="99" t="str">
        <f>IF($A202="","",IF($AG202="",1,IFERROR(INDEX('Sublimits and Parts'!$C$49:$C$52,MATCH($AG202,'Sublimits and Parts'!$B$49:$B$52,0)),"?")))</f>
        <v/>
      </c>
      <c r="BT202" s="99" t="str">
        <f>IF($A202="","",IF($AH202="",1,IFERROR(INDEX('Sublimits and Parts'!$C$56:$C$60,MATCH($AH202,'Sublimits and Parts'!$B$56:$B$60,0)),"?")))</f>
        <v/>
      </c>
      <c r="BU202" s="99" t="str">
        <f>IF($A202="","",IF($AI202="",1,IFERROR(INDEX('Sublimits and Parts'!$C$64:$C$67,MATCH($AI202,'Sublimits and Parts'!$B$64:$B$67,0)),"?")))</f>
        <v/>
      </c>
      <c r="BV202" s="99" t="str">
        <f>IF($A202="","",IF($AJ202="",1,IFERROR(INDEX('Sublimits and Parts'!$C$71:$C$74,MATCH($AJ202,'Sublimits and Parts'!$B$71:$B$74,0)),"?")))</f>
        <v/>
      </c>
      <c r="BW202" s="99" t="str">
        <f>IF($A202="","",IF($AK202="",1,IFERROR(INDEX('Sublimits and Parts'!$C$78:$C$80,MATCH($AK202,'Sublimits and Parts'!$B$78:$B$80,0)),"?")))</f>
        <v/>
      </c>
      <c r="BX202" s="99" t="str">
        <f>IF($A202="","",IF($AL202="",1,IFERROR(INDEX('Sublimits and Parts'!$C$84:$C$87,MATCH($AL202,'Sublimits and Parts'!$B$84:$B$87,0)),"?")))</f>
        <v/>
      </c>
      <c r="BY202" s="99" t="str">
        <f>IF($A202="","",IF($AM202="",1,IFERROR(INDEX('Sublimits and Parts'!$C$91:$C$94,MATCH($AM202,'Sublimits and Parts'!$B$91:$B$94,0)),"?")))</f>
        <v/>
      </c>
      <c r="BZ202" s="99" t="str">
        <f>IF($A202="","",IF($AN202="",1,IFERROR(INDEX('Sublimits and Parts'!$C$98:$C$101,MATCH($AN202,'Sublimits and Parts'!$B$98:$B$101,0)),"?")))</f>
        <v/>
      </c>
      <c r="CA202" s="99" t="str">
        <f>IF($A202="","",IF($AO202="",1,IFERROR(INDEX('Sublimits and Parts'!$C$105:$C$109,MATCH($AO202,'Sublimits and Parts'!$B$105:$B$109,0)),"?")))</f>
        <v/>
      </c>
      <c r="CB202" s="100" t="str">
        <f t="shared" si="41"/>
        <v/>
      </c>
      <c r="CC202" s="100" t="str">
        <f t="shared" si="42"/>
        <v/>
      </c>
      <c r="CD202" s="103" t="str">
        <f>IF($A202="","",IF(OR($CB202="?",$CC202="?"),"?",MIN($CB202*$CC202,'Technical Premium'!$C$17)))</f>
        <v/>
      </c>
      <c r="CE202" s="102" t="str">
        <f t="shared" si="43"/>
        <v/>
      </c>
      <c r="CF202" s="102" t="str">
        <f>IF($A202="","",IFERROR(INDEX('Territory Factors'!$F$6:$F$56,MATCH($K202,'Territory Factors'!$B$6:$B$56,0)),"?"))</f>
        <v/>
      </c>
      <c r="CG202" s="100" t="str">
        <f>IF($A202="","",IFERROR(INDEX('Usage and Coverage'!$C$79:$C$84,MATCH($Y202,'Usage and Coverage'!$B$79:$B$84,0)),"?"))</f>
        <v/>
      </c>
      <c r="CH202" s="102" t="str">
        <f>IFERROR(IF(ISNUMBER($CD202),$CF202*$CG202*MIN($BG202*$BA202*$BC202*$BD202*$BH202*$BF202,'Technical Premium'!$C$17),""),"")</f>
        <v/>
      </c>
      <c r="CI202" s="102" t="str">
        <f t="shared" si="44"/>
        <v/>
      </c>
      <c r="CJ202" s="102" t="str">
        <f>IFERROR($CI202*(1+'Technical Premium'!$C$5)*(1+'Technical Premium'!$C$6),"")</f>
        <v/>
      </c>
      <c r="CK202" s="102" t="str">
        <f>IFERROR($CE202*INDEX('Territory Factors'!$G$6:$G$56,MATCH($K202,'Territory Factors'!$B$6:$B$56,0))*$AU202*$AV202,"")</f>
        <v/>
      </c>
      <c r="CL202" s="102" t="str">
        <f>IFERROR(($CJ202+$CK202)*(1+'Technical Premium'!$C$7),"")</f>
        <v/>
      </c>
      <c r="CM202" s="104" t="str">
        <f>IFERROR($CL202/'Technical Premium'!$C$13,"")</f>
        <v/>
      </c>
      <c r="CN202" s="105" t="str">
        <f t="shared" si="45"/>
        <v/>
      </c>
      <c r="CO202" s="104" t="str">
        <f t="shared" si="46"/>
        <v/>
      </c>
      <c r="CP202" s="105" t="str">
        <f t="shared" si="47"/>
        <v/>
      </c>
      <c r="CQ202" s="106" t="str">
        <f t="shared" si="48"/>
        <v/>
      </c>
      <c r="CR202" s="102" t="str">
        <f>IF(ISNUMBER($CM202),'Technical Premium'!$C$14+IF($J202&gt;=1000000,'Technical Premium'!$C$15,0),"")</f>
        <v/>
      </c>
      <c r="CS202" s="102" t="str">
        <f>IFERROR(($CO202+$CR202)*(INDEX('Territory Factors'!$K$6:$K$56,MATCH($K202,'Territory Factors'!$B$6:$B$56,0))+'Commission Structure'!$C$21),"")</f>
        <v/>
      </c>
      <c r="CT202" s="104" t="str">
        <f t="shared" si="49"/>
        <v/>
      </c>
      <c r="CU202" s="102" t="str">
        <f>IFERROR($CO202*('Commission Structure'!$C$6+'Commission Structure'!$C$7),"")</f>
        <v/>
      </c>
      <c r="CV202" s="102" t="str">
        <f>IFERROR($CO202*'Commission Structure'!$C$5-$CU202,"")</f>
        <v/>
      </c>
      <c r="CW202" s="102" t="str">
        <f>IFERROR($CO202*(1-'Commission Structure'!$C$5),"")</f>
        <v/>
      </c>
      <c r="CX202" s="107"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8" t="str">
        <f t="shared" si="50"/>
        <v/>
      </c>
      <c r="CZ202" s="99" t="str">
        <f>IF($CY202="","",IF($CY202&lt;'Technical Premium'!$C$19,"BEYOND AUTHORITY",IF($CY202&gt;0.005,"Above technical",IF($CY202&lt;-0.005,"BELOW technical","At technical"))))</f>
        <v/>
      </c>
      <c r="DA202" s="99"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4"/>
      <c r="DC202" s="94"/>
      <c r="DD202" s="95"/>
      <c r="DE202" s="94"/>
      <c r="DF202" s="94"/>
      <c r="DG202" s="99" t="str">
        <f t="shared" si="51"/>
        <v/>
      </c>
      <c r="DH202" s="99" t="str">
        <f>IF($A202="","",IF(OR($CX202="REFER",$CX202="DECLINE"),COUNTIF($CX$5:$CX202,"REFER")+COUNTIF($CX$5:$CX202,"DECLINE"),""))</f>
        <v/>
      </c>
      <c r="DI202" s="94"/>
    </row>
    <row r="203" spans="1:113" x14ac:dyDescent="0.35">
      <c r="A203" s="94"/>
      <c r="B203" s="94"/>
      <c r="C203" s="95"/>
      <c r="D203" s="95"/>
      <c r="E203" s="96"/>
      <c r="F203" s="94"/>
      <c r="G203" s="94"/>
      <c r="H203" s="94"/>
      <c r="I203" s="94"/>
      <c r="J203" s="97"/>
      <c r="K203" s="94"/>
      <c r="L203" s="94"/>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8"/>
      <c r="AR203" s="99" t="str">
        <f t="shared" si="39"/>
        <v/>
      </c>
      <c r="AS203" s="99" t="str">
        <f>IF($A203="","",IF($AP203&lt;&gt;"",$AP203,IFERROR(INDEX('Cat Zone by ZIP'!$D$6:$D$856,MATCH($AR203,'Cat Zone by ZIP'!$B$6:$B$856,0)),IFERROR(INDEX('Cat Zone by ZIP'!$C$860:$C$910,MATCH($K203,'Cat Zone by ZIP'!$B$860:$B$910,0)),"NOT FOUND"))))</f>
        <v/>
      </c>
      <c r="AT203" s="99" t="str">
        <f>IF($A203="","",IF($AP203&lt;&gt;"","Override",IF(ISNUMBER(MATCH($AR203,'Cat Zone by ZIP'!$B$6:$B$856,0)),"ZIP-3","State default")))</f>
        <v/>
      </c>
      <c r="AU203" s="100" t="str">
        <f>IF($A203="","",IFERROR(INDEX('Natural Catastrophe'!$D$6:$D$17,MATCH($AS203,'Natural Catastrophe'!$B$6:$B$17,0)),"?"))</f>
        <v/>
      </c>
      <c r="AV203" s="100" t="str">
        <f>IF($A203="","",IFERROR(INDEX('Natural Catastrophe'!$C$21:$C$26,MATCH($AA203,'Natural Catastrophe'!$B$21:$B$26,0)),"?"))</f>
        <v/>
      </c>
      <c r="AW203" s="99" t="str">
        <f>IF($A203="","",IFERROR(INDEX('Base Rates'!$C$4:$I$4,MATCH(MAX($J203,'Technical Premium'!$C$18),'Base Rates'!$C$3:$I$3,1)),"?"))</f>
        <v/>
      </c>
      <c r="AX203" s="101" t="str">
        <f>IF($A203="","",IFERROR(INDEX('Base Rates'!$C$5:$I$16,MATCH($I203,'Base Rates'!$B$5:$B$16,0),MATCH(MAX($J203,'Technical Premium'!$C$18),'Base Rates'!$C$3:$I$3,1)),"?"))</f>
        <v/>
      </c>
      <c r="AY203" s="102" t="str">
        <f t="shared" si="40"/>
        <v/>
      </c>
      <c r="AZ203" s="99" t="str">
        <f>IF($A203="","",IFERROR(INDEX('Make Factors'!$G$5:$G$69,MATCH($F203,'Make Factors'!$B$5:$B$69,0)),"?"))</f>
        <v/>
      </c>
      <c r="BA203" s="99" t="str">
        <f>IF($A203="","",IFERROR(INDEX('Driver Factors'!$C$6:$C$15,MATCH($R203,'Driver Factors'!$B$6:$B$15,0)),"?"))</f>
        <v/>
      </c>
      <c r="BB203" s="99" t="str">
        <f>IF($A203="","",IFERROR(INDEX('Driver Factors'!$C$19:$C$24,MATCH($S203,'Driver Factors'!$B$19:$B$24,0)),"?"))</f>
        <v/>
      </c>
      <c r="BC203" s="99" t="str">
        <f>IF($A203="","",IFERROR(INDEX('Driver Factors'!$C$28:$C$36,MATCH($T203,'Driver Factors'!$B$28:$B$36,0)),"?"))</f>
        <v/>
      </c>
      <c r="BD203" s="99" t="str">
        <f>IF($A203="","",IFERROR(INDEX('Claims History'!$C$6:$C$15,MATCH($U203,'Claims History'!$B$6:$B$15,0)),"?"))</f>
        <v/>
      </c>
      <c r="BE203" s="99" t="str">
        <f>IF($A203="","",IFERROR(INDEX('Territory Factors'!$E$6:$E$56,MATCH($K203,'Territory Factors'!$B$6:$B$56,0)),"?"))</f>
        <v/>
      </c>
      <c r="BF203" s="99" t="str">
        <f>IF($A203="","",IFERROR(INDEX('City Accident Ratings'!$G$6:$G$54,MATCH($Z203,'City Accident Ratings'!$B$6:$B$54,0)),"?"))</f>
        <v/>
      </c>
      <c r="BG203" s="99" t="str">
        <f>IF($A203="","",IFERROR(INDEX('Usage and Coverage'!$D$6:$D$20,MATCH($N203,'Usage and Coverage'!$C$6:$C$20,0)),"?"))</f>
        <v/>
      </c>
      <c r="BH203" s="99" t="str">
        <f>IF($A203="","",IFERROR(INDEX('Usage and Coverage'!$C$24:$C$30,MATCH($O203,'Usage and Coverage'!$B$24:$B$30,0)),"?"))</f>
        <v/>
      </c>
      <c r="BI203" s="99" t="str">
        <f>IF($A203="","",IFERROR(INDEX('Usage and Coverage'!$C$34:$C$40,MATCH($P203,'Usage and Coverage'!$B$34:$B$40,0)),"?"))</f>
        <v/>
      </c>
      <c r="BJ203" s="99" t="str">
        <f>IF($A203="","",IFERROR(INDEX('Usage and Coverage'!$C$44:$C$49,MATCH($Q203,'Usage and Coverage'!$B$44:$B$49,0)),"?"))</f>
        <v/>
      </c>
      <c r="BK203" s="99" t="str">
        <f>IF($A203="","",IFERROR(INDEX(Deductibles!$C$6:$I$15,MATCH($W203,Deductibles!$B$6:$B$15,0),MATCH(MAX($J203,'Technical Premium'!$C$18),'Base Rates'!$C$3:$I$3,1)),"?"))</f>
        <v/>
      </c>
      <c r="BL203" s="99" t="str">
        <f>IF($A203="","",IFERROR(INDEX('Usage and Coverage'!$C$63:$C$66,MATCH($X203,'Usage and Coverage'!$B$63:$B$66,0)),"?"))</f>
        <v/>
      </c>
      <c r="BM203" s="99" t="str">
        <f>IF($A203="","",IFERROR(INDEX('Usage and Coverage'!$C$70:$C$75,MATCH($V203,'Usage and Coverage'!$B$70:$B$75,0)),"?"))</f>
        <v/>
      </c>
      <c r="BN203" s="99" t="str">
        <f>IF($A203="","",IF($AB203="",1,IFERROR(INDEX(Deductibles!$C$48:$C$51,MATCH($AB203,Deductibles!$B$48:$B$51,0)),"?")))</f>
        <v/>
      </c>
      <c r="BO203" s="99" t="str">
        <f>IF($A203="","",IF($AC203="",1,IFERROR(INDEX(Deductibles!$C$55:$C$57,MATCH($AC203,Deductibles!$B$55:$B$57,0)),"?")))</f>
        <v/>
      </c>
      <c r="BP203" s="99" t="str">
        <f>IF($A203="","",IF($AD203="",1,IFERROR(INDEX(Deductibles!$C$61:$C$63,MATCH($AD203,Deductibles!$B$61:$B$63,0)),"?")))</f>
        <v/>
      </c>
      <c r="BQ203" s="99" t="str">
        <f>IF($A203="","",IF($AE203="",1,IFERROR(INDEX(Deductibles!$C$67:$C$69,MATCH($AE203,Deductibles!$B$67:$B$69,0)),"?")))</f>
        <v/>
      </c>
      <c r="BR203" s="99" t="str">
        <f>IF($A203="","",IF($AF203="",1,IFERROR(INDEX(Deductibles!$C$73:$C$74,MATCH($AF203,Deductibles!$B$73:$B$74,0)),"?")))</f>
        <v/>
      </c>
      <c r="BS203" s="99" t="str">
        <f>IF($A203="","",IF($AG203="",1,IFERROR(INDEX('Sublimits and Parts'!$C$49:$C$52,MATCH($AG203,'Sublimits and Parts'!$B$49:$B$52,0)),"?")))</f>
        <v/>
      </c>
      <c r="BT203" s="99" t="str">
        <f>IF($A203="","",IF($AH203="",1,IFERROR(INDEX('Sublimits and Parts'!$C$56:$C$60,MATCH($AH203,'Sublimits and Parts'!$B$56:$B$60,0)),"?")))</f>
        <v/>
      </c>
      <c r="BU203" s="99" t="str">
        <f>IF($A203="","",IF($AI203="",1,IFERROR(INDEX('Sublimits and Parts'!$C$64:$C$67,MATCH($AI203,'Sublimits and Parts'!$B$64:$B$67,0)),"?")))</f>
        <v/>
      </c>
      <c r="BV203" s="99" t="str">
        <f>IF($A203="","",IF($AJ203="",1,IFERROR(INDEX('Sublimits and Parts'!$C$71:$C$74,MATCH($AJ203,'Sublimits and Parts'!$B$71:$B$74,0)),"?")))</f>
        <v/>
      </c>
      <c r="BW203" s="99" t="str">
        <f>IF($A203="","",IF($AK203="",1,IFERROR(INDEX('Sublimits and Parts'!$C$78:$C$80,MATCH($AK203,'Sublimits and Parts'!$B$78:$B$80,0)),"?")))</f>
        <v/>
      </c>
      <c r="BX203" s="99" t="str">
        <f>IF($A203="","",IF($AL203="",1,IFERROR(INDEX('Sublimits and Parts'!$C$84:$C$87,MATCH($AL203,'Sublimits and Parts'!$B$84:$B$87,0)),"?")))</f>
        <v/>
      </c>
      <c r="BY203" s="99" t="str">
        <f>IF($A203="","",IF($AM203="",1,IFERROR(INDEX('Sublimits and Parts'!$C$91:$C$94,MATCH($AM203,'Sublimits and Parts'!$B$91:$B$94,0)),"?")))</f>
        <v/>
      </c>
      <c r="BZ203" s="99" t="str">
        <f>IF($A203="","",IF($AN203="",1,IFERROR(INDEX('Sublimits and Parts'!$C$98:$C$101,MATCH($AN203,'Sublimits and Parts'!$B$98:$B$101,0)),"?")))</f>
        <v/>
      </c>
      <c r="CA203" s="99" t="str">
        <f>IF($A203="","",IF($AO203="",1,IFERROR(INDEX('Sublimits and Parts'!$C$105:$C$109,MATCH($AO203,'Sublimits and Parts'!$B$105:$B$109,0)),"?")))</f>
        <v/>
      </c>
      <c r="CB203" s="100" t="str">
        <f t="shared" si="41"/>
        <v/>
      </c>
      <c r="CC203" s="100" t="str">
        <f t="shared" si="42"/>
        <v/>
      </c>
      <c r="CD203" s="103" t="str">
        <f>IF($A203="","",IF(OR($CB203="?",$CC203="?"),"?",MIN($CB203*$CC203,'Technical Premium'!$C$17)))</f>
        <v/>
      </c>
      <c r="CE203" s="102" t="str">
        <f t="shared" si="43"/>
        <v/>
      </c>
      <c r="CF203" s="102" t="str">
        <f>IF($A203="","",IFERROR(INDEX('Territory Factors'!$F$6:$F$56,MATCH($K203,'Territory Factors'!$B$6:$B$56,0)),"?"))</f>
        <v/>
      </c>
      <c r="CG203" s="100" t="str">
        <f>IF($A203="","",IFERROR(INDEX('Usage and Coverage'!$C$79:$C$84,MATCH($Y203,'Usage and Coverage'!$B$79:$B$84,0)),"?"))</f>
        <v/>
      </c>
      <c r="CH203" s="102" t="str">
        <f>IFERROR(IF(ISNUMBER($CD203),$CF203*$CG203*MIN($BG203*$BA203*$BC203*$BD203*$BH203*$BF203,'Technical Premium'!$C$17),""),"")</f>
        <v/>
      </c>
      <c r="CI203" s="102" t="str">
        <f t="shared" si="44"/>
        <v/>
      </c>
      <c r="CJ203" s="102" t="str">
        <f>IFERROR($CI203*(1+'Technical Premium'!$C$5)*(1+'Technical Premium'!$C$6),"")</f>
        <v/>
      </c>
      <c r="CK203" s="102" t="str">
        <f>IFERROR($CE203*INDEX('Territory Factors'!$G$6:$G$56,MATCH($K203,'Territory Factors'!$B$6:$B$56,0))*$AU203*$AV203,"")</f>
        <v/>
      </c>
      <c r="CL203" s="102" t="str">
        <f>IFERROR(($CJ203+$CK203)*(1+'Technical Premium'!$C$7),"")</f>
        <v/>
      </c>
      <c r="CM203" s="104" t="str">
        <f>IFERROR($CL203/'Technical Premium'!$C$13,"")</f>
        <v/>
      </c>
      <c r="CN203" s="105" t="str">
        <f t="shared" si="45"/>
        <v/>
      </c>
      <c r="CO203" s="104" t="str">
        <f t="shared" si="46"/>
        <v/>
      </c>
      <c r="CP203" s="105" t="str">
        <f t="shared" si="47"/>
        <v/>
      </c>
      <c r="CQ203" s="106" t="str">
        <f t="shared" si="48"/>
        <v/>
      </c>
      <c r="CR203" s="102" t="str">
        <f>IF(ISNUMBER($CM203),'Technical Premium'!$C$14+IF($J203&gt;=1000000,'Technical Premium'!$C$15,0),"")</f>
        <v/>
      </c>
      <c r="CS203" s="102" t="str">
        <f>IFERROR(($CO203+$CR203)*(INDEX('Territory Factors'!$K$6:$K$56,MATCH($K203,'Territory Factors'!$B$6:$B$56,0))+'Commission Structure'!$C$21),"")</f>
        <v/>
      </c>
      <c r="CT203" s="104" t="str">
        <f t="shared" si="49"/>
        <v/>
      </c>
      <c r="CU203" s="102" t="str">
        <f>IFERROR($CO203*('Commission Structure'!$C$6+'Commission Structure'!$C$7),"")</f>
        <v/>
      </c>
      <c r="CV203" s="102" t="str">
        <f>IFERROR($CO203*'Commission Structure'!$C$5-$CU203,"")</f>
        <v/>
      </c>
      <c r="CW203" s="102" t="str">
        <f>IFERROR($CO203*(1-'Commission Structure'!$C$5),"")</f>
        <v/>
      </c>
      <c r="CX203" s="107"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8" t="str">
        <f t="shared" si="50"/>
        <v/>
      </c>
      <c r="CZ203" s="99" t="str">
        <f>IF($CY203="","",IF($CY203&lt;'Technical Premium'!$C$19,"BEYOND AUTHORITY",IF($CY203&gt;0.005,"Above technical",IF($CY203&lt;-0.005,"BELOW technical","At technical"))))</f>
        <v/>
      </c>
      <c r="DA203" s="99"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4"/>
      <c r="DC203" s="94"/>
      <c r="DD203" s="95"/>
      <c r="DE203" s="94"/>
      <c r="DF203" s="94"/>
      <c r="DG203" s="99" t="str">
        <f t="shared" si="51"/>
        <v/>
      </c>
      <c r="DH203" s="99" t="str">
        <f>IF($A203="","",IF(OR($CX203="REFER",$CX203="DECLINE"),COUNTIF($CX$5:$CX203,"REFER")+COUNTIF($CX$5:$CX203,"DECLINE"),""))</f>
        <v/>
      </c>
      <c r="DI203" s="94"/>
    </row>
    <row r="204" spans="1:113" x14ac:dyDescent="0.35">
      <c r="A204" s="94"/>
      <c r="B204" s="94"/>
      <c r="C204" s="95"/>
      <c r="D204" s="95"/>
      <c r="E204" s="96"/>
      <c r="F204" s="94"/>
      <c r="G204" s="94"/>
      <c r="H204" s="94"/>
      <c r="I204" s="94"/>
      <c r="J204" s="97"/>
      <c r="K204" s="94"/>
      <c r="L204" s="94"/>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8"/>
      <c r="AR204" s="99" t="str">
        <f t="shared" si="39"/>
        <v/>
      </c>
      <c r="AS204" s="99" t="str">
        <f>IF($A204="","",IF($AP204&lt;&gt;"",$AP204,IFERROR(INDEX('Cat Zone by ZIP'!$D$6:$D$856,MATCH($AR204,'Cat Zone by ZIP'!$B$6:$B$856,0)),IFERROR(INDEX('Cat Zone by ZIP'!$C$860:$C$910,MATCH($K204,'Cat Zone by ZIP'!$B$860:$B$910,0)),"NOT FOUND"))))</f>
        <v/>
      </c>
      <c r="AT204" s="99" t="str">
        <f>IF($A204="","",IF($AP204&lt;&gt;"","Override",IF(ISNUMBER(MATCH($AR204,'Cat Zone by ZIP'!$B$6:$B$856,0)),"ZIP-3","State default")))</f>
        <v/>
      </c>
      <c r="AU204" s="100" t="str">
        <f>IF($A204="","",IFERROR(INDEX('Natural Catastrophe'!$D$6:$D$17,MATCH($AS204,'Natural Catastrophe'!$B$6:$B$17,0)),"?"))</f>
        <v/>
      </c>
      <c r="AV204" s="100" t="str">
        <f>IF($A204="","",IFERROR(INDEX('Natural Catastrophe'!$C$21:$C$26,MATCH($AA204,'Natural Catastrophe'!$B$21:$B$26,0)),"?"))</f>
        <v/>
      </c>
      <c r="AW204" s="99" t="str">
        <f>IF($A204="","",IFERROR(INDEX('Base Rates'!$C$4:$I$4,MATCH(MAX($J204,'Technical Premium'!$C$18),'Base Rates'!$C$3:$I$3,1)),"?"))</f>
        <v/>
      </c>
      <c r="AX204" s="101" t="str">
        <f>IF($A204="","",IFERROR(INDEX('Base Rates'!$C$5:$I$16,MATCH($I204,'Base Rates'!$B$5:$B$16,0),MATCH(MAX($J204,'Technical Premium'!$C$18),'Base Rates'!$C$3:$I$3,1)),"?"))</f>
        <v/>
      </c>
      <c r="AY204" s="102" t="str">
        <f t="shared" si="40"/>
        <v/>
      </c>
      <c r="AZ204" s="99" t="str">
        <f>IF($A204="","",IFERROR(INDEX('Make Factors'!$G$5:$G$69,MATCH($F204,'Make Factors'!$B$5:$B$69,0)),"?"))</f>
        <v/>
      </c>
      <c r="BA204" s="99" t="str">
        <f>IF($A204="","",IFERROR(INDEX('Driver Factors'!$C$6:$C$15,MATCH($R204,'Driver Factors'!$B$6:$B$15,0)),"?"))</f>
        <v/>
      </c>
      <c r="BB204" s="99" t="str">
        <f>IF($A204="","",IFERROR(INDEX('Driver Factors'!$C$19:$C$24,MATCH($S204,'Driver Factors'!$B$19:$B$24,0)),"?"))</f>
        <v/>
      </c>
      <c r="BC204" s="99" t="str">
        <f>IF($A204="","",IFERROR(INDEX('Driver Factors'!$C$28:$C$36,MATCH($T204,'Driver Factors'!$B$28:$B$36,0)),"?"))</f>
        <v/>
      </c>
      <c r="BD204" s="99" t="str">
        <f>IF($A204="","",IFERROR(INDEX('Claims History'!$C$6:$C$15,MATCH($U204,'Claims History'!$B$6:$B$15,0)),"?"))</f>
        <v/>
      </c>
      <c r="BE204" s="99" t="str">
        <f>IF($A204="","",IFERROR(INDEX('Territory Factors'!$E$6:$E$56,MATCH($K204,'Territory Factors'!$B$6:$B$56,0)),"?"))</f>
        <v/>
      </c>
      <c r="BF204" s="99" t="str">
        <f>IF($A204="","",IFERROR(INDEX('City Accident Ratings'!$G$6:$G$54,MATCH($Z204,'City Accident Ratings'!$B$6:$B$54,0)),"?"))</f>
        <v/>
      </c>
      <c r="BG204" s="99" t="str">
        <f>IF($A204="","",IFERROR(INDEX('Usage and Coverage'!$D$6:$D$20,MATCH($N204,'Usage and Coverage'!$C$6:$C$20,0)),"?"))</f>
        <v/>
      </c>
      <c r="BH204" s="99" t="str">
        <f>IF($A204="","",IFERROR(INDEX('Usage and Coverage'!$C$24:$C$30,MATCH($O204,'Usage and Coverage'!$B$24:$B$30,0)),"?"))</f>
        <v/>
      </c>
      <c r="BI204" s="99" t="str">
        <f>IF($A204="","",IFERROR(INDEX('Usage and Coverage'!$C$34:$C$40,MATCH($P204,'Usage and Coverage'!$B$34:$B$40,0)),"?"))</f>
        <v/>
      </c>
      <c r="BJ204" s="99" t="str">
        <f>IF($A204="","",IFERROR(INDEX('Usage and Coverage'!$C$44:$C$49,MATCH($Q204,'Usage and Coverage'!$B$44:$B$49,0)),"?"))</f>
        <v/>
      </c>
      <c r="BK204" s="99" t="str">
        <f>IF($A204="","",IFERROR(INDEX(Deductibles!$C$6:$I$15,MATCH($W204,Deductibles!$B$6:$B$15,0),MATCH(MAX($J204,'Technical Premium'!$C$18),'Base Rates'!$C$3:$I$3,1)),"?"))</f>
        <v/>
      </c>
      <c r="BL204" s="99" t="str">
        <f>IF($A204="","",IFERROR(INDEX('Usage and Coverage'!$C$63:$C$66,MATCH($X204,'Usage and Coverage'!$B$63:$B$66,0)),"?"))</f>
        <v/>
      </c>
      <c r="BM204" s="99" t="str">
        <f>IF($A204="","",IFERROR(INDEX('Usage and Coverage'!$C$70:$C$75,MATCH($V204,'Usage and Coverage'!$B$70:$B$75,0)),"?"))</f>
        <v/>
      </c>
      <c r="BN204" s="99" t="str">
        <f>IF($A204="","",IF($AB204="",1,IFERROR(INDEX(Deductibles!$C$48:$C$51,MATCH($AB204,Deductibles!$B$48:$B$51,0)),"?")))</f>
        <v/>
      </c>
      <c r="BO204" s="99" t="str">
        <f>IF($A204="","",IF($AC204="",1,IFERROR(INDEX(Deductibles!$C$55:$C$57,MATCH($AC204,Deductibles!$B$55:$B$57,0)),"?")))</f>
        <v/>
      </c>
      <c r="BP204" s="99" t="str">
        <f>IF($A204="","",IF($AD204="",1,IFERROR(INDEX(Deductibles!$C$61:$C$63,MATCH($AD204,Deductibles!$B$61:$B$63,0)),"?")))</f>
        <v/>
      </c>
      <c r="BQ204" s="99" t="str">
        <f>IF($A204="","",IF($AE204="",1,IFERROR(INDEX(Deductibles!$C$67:$C$69,MATCH($AE204,Deductibles!$B$67:$B$69,0)),"?")))</f>
        <v/>
      </c>
      <c r="BR204" s="99" t="str">
        <f>IF($A204="","",IF($AF204="",1,IFERROR(INDEX(Deductibles!$C$73:$C$74,MATCH($AF204,Deductibles!$B$73:$B$74,0)),"?")))</f>
        <v/>
      </c>
      <c r="BS204" s="99" t="str">
        <f>IF($A204="","",IF($AG204="",1,IFERROR(INDEX('Sublimits and Parts'!$C$49:$C$52,MATCH($AG204,'Sublimits and Parts'!$B$49:$B$52,0)),"?")))</f>
        <v/>
      </c>
      <c r="BT204" s="99" t="str">
        <f>IF($A204="","",IF($AH204="",1,IFERROR(INDEX('Sublimits and Parts'!$C$56:$C$60,MATCH($AH204,'Sublimits and Parts'!$B$56:$B$60,0)),"?")))</f>
        <v/>
      </c>
      <c r="BU204" s="99" t="str">
        <f>IF($A204="","",IF($AI204="",1,IFERROR(INDEX('Sublimits and Parts'!$C$64:$C$67,MATCH($AI204,'Sublimits and Parts'!$B$64:$B$67,0)),"?")))</f>
        <v/>
      </c>
      <c r="BV204" s="99" t="str">
        <f>IF($A204="","",IF($AJ204="",1,IFERROR(INDEX('Sublimits and Parts'!$C$71:$C$74,MATCH($AJ204,'Sublimits and Parts'!$B$71:$B$74,0)),"?")))</f>
        <v/>
      </c>
      <c r="BW204" s="99" t="str">
        <f>IF($A204="","",IF($AK204="",1,IFERROR(INDEX('Sublimits and Parts'!$C$78:$C$80,MATCH($AK204,'Sublimits and Parts'!$B$78:$B$80,0)),"?")))</f>
        <v/>
      </c>
      <c r="BX204" s="99" t="str">
        <f>IF($A204="","",IF($AL204="",1,IFERROR(INDEX('Sublimits and Parts'!$C$84:$C$87,MATCH($AL204,'Sublimits and Parts'!$B$84:$B$87,0)),"?")))</f>
        <v/>
      </c>
      <c r="BY204" s="99" t="str">
        <f>IF($A204="","",IF($AM204="",1,IFERROR(INDEX('Sublimits and Parts'!$C$91:$C$94,MATCH($AM204,'Sublimits and Parts'!$B$91:$B$94,0)),"?")))</f>
        <v/>
      </c>
      <c r="BZ204" s="99" t="str">
        <f>IF($A204="","",IF($AN204="",1,IFERROR(INDEX('Sublimits and Parts'!$C$98:$C$101,MATCH($AN204,'Sublimits and Parts'!$B$98:$B$101,0)),"?")))</f>
        <v/>
      </c>
      <c r="CA204" s="99" t="str">
        <f>IF($A204="","",IF($AO204="",1,IFERROR(INDEX('Sublimits and Parts'!$C$105:$C$109,MATCH($AO204,'Sublimits and Parts'!$B$105:$B$109,0)),"?")))</f>
        <v/>
      </c>
      <c r="CB204" s="100" t="str">
        <f t="shared" si="41"/>
        <v/>
      </c>
      <c r="CC204" s="100" t="str">
        <f t="shared" si="42"/>
        <v/>
      </c>
      <c r="CD204" s="103" t="str">
        <f>IF($A204="","",IF(OR($CB204="?",$CC204="?"),"?",MIN($CB204*$CC204,'Technical Premium'!$C$17)))</f>
        <v/>
      </c>
      <c r="CE204" s="102" t="str">
        <f t="shared" si="43"/>
        <v/>
      </c>
      <c r="CF204" s="102" t="str">
        <f>IF($A204="","",IFERROR(INDEX('Territory Factors'!$F$6:$F$56,MATCH($K204,'Territory Factors'!$B$6:$B$56,0)),"?"))</f>
        <v/>
      </c>
      <c r="CG204" s="100" t="str">
        <f>IF($A204="","",IFERROR(INDEX('Usage and Coverage'!$C$79:$C$84,MATCH($Y204,'Usage and Coverage'!$B$79:$B$84,0)),"?"))</f>
        <v/>
      </c>
      <c r="CH204" s="102" t="str">
        <f>IFERROR(IF(ISNUMBER($CD204),$CF204*$CG204*MIN($BG204*$BA204*$BC204*$BD204*$BH204*$BF204,'Technical Premium'!$C$17),""),"")</f>
        <v/>
      </c>
      <c r="CI204" s="102" t="str">
        <f t="shared" si="44"/>
        <v/>
      </c>
      <c r="CJ204" s="102" t="str">
        <f>IFERROR($CI204*(1+'Technical Premium'!$C$5)*(1+'Technical Premium'!$C$6),"")</f>
        <v/>
      </c>
      <c r="CK204" s="102" t="str">
        <f>IFERROR($CE204*INDEX('Territory Factors'!$G$6:$G$56,MATCH($K204,'Territory Factors'!$B$6:$B$56,0))*$AU204*$AV204,"")</f>
        <v/>
      </c>
      <c r="CL204" s="102" t="str">
        <f>IFERROR(($CJ204+$CK204)*(1+'Technical Premium'!$C$7),"")</f>
        <v/>
      </c>
      <c r="CM204" s="104" t="str">
        <f>IFERROR($CL204/'Technical Premium'!$C$13,"")</f>
        <v/>
      </c>
      <c r="CN204" s="105" t="str">
        <f t="shared" si="45"/>
        <v/>
      </c>
      <c r="CO204" s="104" t="str">
        <f t="shared" si="46"/>
        <v/>
      </c>
      <c r="CP204" s="105" t="str">
        <f t="shared" si="47"/>
        <v/>
      </c>
      <c r="CQ204" s="106" t="str">
        <f t="shared" si="48"/>
        <v/>
      </c>
      <c r="CR204" s="102" t="str">
        <f>IF(ISNUMBER($CM204),'Technical Premium'!$C$14+IF($J204&gt;=1000000,'Technical Premium'!$C$15,0),"")</f>
        <v/>
      </c>
      <c r="CS204" s="102" t="str">
        <f>IFERROR(($CO204+$CR204)*(INDEX('Territory Factors'!$K$6:$K$56,MATCH($K204,'Territory Factors'!$B$6:$B$56,0))+'Commission Structure'!$C$21),"")</f>
        <v/>
      </c>
      <c r="CT204" s="104" t="str">
        <f t="shared" si="49"/>
        <v/>
      </c>
      <c r="CU204" s="102" t="str">
        <f>IFERROR($CO204*('Commission Structure'!$C$6+'Commission Structure'!$C$7),"")</f>
        <v/>
      </c>
      <c r="CV204" s="102" t="str">
        <f>IFERROR($CO204*'Commission Structure'!$C$5-$CU204,"")</f>
        <v/>
      </c>
      <c r="CW204" s="102" t="str">
        <f>IFERROR($CO204*(1-'Commission Structure'!$C$5),"")</f>
        <v/>
      </c>
      <c r="CX204" s="107"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8" t="str">
        <f t="shared" si="50"/>
        <v/>
      </c>
      <c r="CZ204" s="99" t="str">
        <f>IF($CY204="","",IF($CY204&lt;'Technical Premium'!$C$19,"BEYOND AUTHORITY",IF($CY204&gt;0.005,"Above technical",IF($CY204&lt;-0.005,"BELOW technical","At technical"))))</f>
        <v/>
      </c>
      <c r="DA204" s="99"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4"/>
      <c r="DC204" s="94"/>
      <c r="DD204" s="95"/>
      <c r="DE204" s="94"/>
      <c r="DF204" s="94"/>
      <c r="DG204" s="99" t="str">
        <f t="shared" si="51"/>
        <v/>
      </c>
      <c r="DH204" s="99" t="str">
        <f>IF($A204="","",IF(OR($CX204="REFER",$CX204="DECLINE"),COUNTIF($CX$5:$CX204,"REFER")+COUNTIF($CX$5:$CX204,"DECLINE"),""))</f>
        <v/>
      </c>
      <c r="DI204" s="94"/>
    </row>
    <row r="205" spans="1:113" x14ac:dyDescent="0.35">
      <c r="A205" s="94"/>
      <c r="B205" s="94"/>
      <c r="C205" s="95"/>
      <c r="D205" s="95"/>
      <c r="E205" s="96"/>
      <c r="F205" s="94"/>
      <c r="G205" s="94"/>
      <c r="H205" s="94"/>
      <c r="I205" s="94"/>
      <c r="J205" s="97"/>
      <c r="K205" s="94"/>
      <c r="L205" s="94"/>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8"/>
      <c r="AR205" s="99" t="str">
        <f t="shared" si="39"/>
        <v/>
      </c>
      <c r="AS205" s="99" t="str">
        <f>IF($A205="","",IF($AP205&lt;&gt;"",$AP205,IFERROR(INDEX('Cat Zone by ZIP'!$D$6:$D$856,MATCH($AR205,'Cat Zone by ZIP'!$B$6:$B$856,0)),IFERROR(INDEX('Cat Zone by ZIP'!$C$860:$C$910,MATCH($K205,'Cat Zone by ZIP'!$B$860:$B$910,0)),"NOT FOUND"))))</f>
        <v/>
      </c>
      <c r="AT205" s="99" t="str">
        <f>IF($A205="","",IF($AP205&lt;&gt;"","Override",IF(ISNUMBER(MATCH($AR205,'Cat Zone by ZIP'!$B$6:$B$856,0)),"ZIP-3","State default")))</f>
        <v/>
      </c>
      <c r="AU205" s="100" t="str">
        <f>IF($A205="","",IFERROR(INDEX('Natural Catastrophe'!$D$6:$D$17,MATCH($AS205,'Natural Catastrophe'!$B$6:$B$17,0)),"?"))</f>
        <v/>
      </c>
      <c r="AV205" s="100" t="str">
        <f>IF($A205="","",IFERROR(INDEX('Natural Catastrophe'!$C$21:$C$26,MATCH($AA205,'Natural Catastrophe'!$B$21:$B$26,0)),"?"))</f>
        <v/>
      </c>
      <c r="AW205" s="99" t="str">
        <f>IF($A205="","",IFERROR(INDEX('Base Rates'!$C$4:$I$4,MATCH(MAX($J205,'Technical Premium'!$C$18),'Base Rates'!$C$3:$I$3,1)),"?"))</f>
        <v/>
      </c>
      <c r="AX205" s="101" t="str">
        <f>IF($A205="","",IFERROR(INDEX('Base Rates'!$C$5:$I$16,MATCH($I205,'Base Rates'!$B$5:$B$16,0),MATCH(MAX($J205,'Technical Premium'!$C$18),'Base Rates'!$C$3:$I$3,1)),"?"))</f>
        <v/>
      </c>
      <c r="AY205" s="102" t="str">
        <f t="shared" si="40"/>
        <v/>
      </c>
      <c r="AZ205" s="99" t="str">
        <f>IF($A205="","",IFERROR(INDEX('Make Factors'!$G$5:$G$69,MATCH($F205,'Make Factors'!$B$5:$B$69,0)),"?"))</f>
        <v/>
      </c>
      <c r="BA205" s="99" t="str">
        <f>IF($A205="","",IFERROR(INDEX('Driver Factors'!$C$6:$C$15,MATCH($R205,'Driver Factors'!$B$6:$B$15,0)),"?"))</f>
        <v/>
      </c>
      <c r="BB205" s="99" t="str">
        <f>IF($A205="","",IFERROR(INDEX('Driver Factors'!$C$19:$C$24,MATCH($S205,'Driver Factors'!$B$19:$B$24,0)),"?"))</f>
        <v/>
      </c>
      <c r="BC205" s="99" t="str">
        <f>IF($A205="","",IFERROR(INDEX('Driver Factors'!$C$28:$C$36,MATCH($T205,'Driver Factors'!$B$28:$B$36,0)),"?"))</f>
        <v/>
      </c>
      <c r="BD205" s="99" t="str">
        <f>IF($A205="","",IFERROR(INDEX('Claims History'!$C$6:$C$15,MATCH($U205,'Claims History'!$B$6:$B$15,0)),"?"))</f>
        <v/>
      </c>
      <c r="BE205" s="99" t="str">
        <f>IF($A205="","",IFERROR(INDEX('Territory Factors'!$E$6:$E$56,MATCH($K205,'Territory Factors'!$B$6:$B$56,0)),"?"))</f>
        <v/>
      </c>
      <c r="BF205" s="99" t="str">
        <f>IF($A205="","",IFERROR(INDEX('City Accident Ratings'!$G$6:$G$54,MATCH($Z205,'City Accident Ratings'!$B$6:$B$54,0)),"?"))</f>
        <v/>
      </c>
      <c r="BG205" s="99" t="str">
        <f>IF($A205="","",IFERROR(INDEX('Usage and Coverage'!$D$6:$D$20,MATCH($N205,'Usage and Coverage'!$C$6:$C$20,0)),"?"))</f>
        <v/>
      </c>
      <c r="BH205" s="99" t="str">
        <f>IF($A205="","",IFERROR(INDEX('Usage and Coverage'!$C$24:$C$30,MATCH($O205,'Usage and Coverage'!$B$24:$B$30,0)),"?"))</f>
        <v/>
      </c>
      <c r="BI205" s="99" t="str">
        <f>IF($A205="","",IFERROR(INDEX('Usage and Coverage'!$C$34:$C$40,MATCH($P205,'Usage and Coverage'!$B$34:$B$40,0)),"?"))</f>
        <v/>
      </c>
      <c r="BJ205" s="99" t="str">
        <f>IF($A205="","",IFERROR(INDEX('Usage and Coverage'!$C$44:$C$49,MATCH($Q205,'Usage and Coverage'!$B$44:$B$49,0)),"?"))</f>
        <v/>
      </c>
      <c r="BK205" s="99" t="str">
        <f>IF($A205="","",IFERROR(INDEX(Deductibles!$C$6:$I$15,MATCH($W205,Deductibles!$B$6:$B$15,0),MATCH(MAX($J205,'Technical Premium'!$C$18),'Base Rates'!$C$3:$I$3,1)),"?"))</f>
        <v/>
      </c>
      <c r="BL205" s="99" t="str">
        <f>IF($A205="","",IFERROR(INDEX('Usage and Coverage'!$C$63:$C$66,MATCH($X205,'Usage and Coverage'!$B$63:$B$66,0)),"?"))</f>
        <v/>
      </c>
      <c r="BM205" s="99" t="str">
        <f>IF($A205="","",IFERROR(INDEX('Usage and Coverage'!$C$70:$C$75,MATCH($V205,'Usage and Coverage'!$B$70:$B$75,0)),"?"))</f>
        <v/>
      </c>
      <c r="BN205" s="99" t="str">
        <f>IF($A205="","",IF($AB205="",1,IFERROR(INDEX(Deductibles!$C$48:$C$51,MATCH($AB205,Deductibles!$B$48:$B$51,0)),"?")))</f>
        <v/>
      </c>
      <c r="BO205" s="99" t="str">
        <f>IF($A205="","",IF($AC205="",1,IFERROR(INDEX(Deductibles!$C$55:$C$57,MATCH($AC205,Deductibles!$B$55:$B$57,0)),"?")))</f>
        <v/>
      </c>
      <c r="BP205" s="99" t="str">
        <f>IF($A205="","",IF($AD205="",1,IFERROR(INDEX(Deductibles!$C$61:$C$63,MATCH($AD205,Deductibles!$B$61:$B$63,0)),"?")))</f>
        <v/>
      </c>
      <c r="BQ205" s="99" t="str">
        <f>IF($A205="","",IF($AE205="",1,IFERROR(INDEX(Deductibles!$C$67:$C$69,MATCH($AE205,Deductibles!$B$67:$B$69,0)),"?")))</f>
        <v/>
      </c>
      <c r="BR205" s="99" t="str">
        <f>IF($A205="","",IF($AF205="",1,IFERROR(INDEX(Deductibles!$C$73:$C$74,MATCH($AF205,Deductibles!$B$73:$B$74,0)),"?")))</f>
        <v/>
      </c>
      <c r="BS205" s="99" t="str">
        <f>IF($A205="","",IF($AG205="",1,IFERROR(INDEX('Sublimits and Parts'!$C$49:$C$52,MATCH($AG205,'Sublimits and Parts'!$B$49:$B$52,0)),"?")))</f>
        <v/>
      </c>
      <c r="BT205" s="99" t="str">
        <f>IF($A205="","",IF($AH205="",1,IFERROR(INDEX('Sublimits and Parts'!$C$56:$C$60,MATCH($AH205,'Sublimits and Parts'!$B$56:$B$60,0)),"?")))</f>
        <v/>
      </c>
      <c r="BU205" s="99" t="str">
        <f>IF($A205="","",IF($AI205="",1,IFERROR(INDEX('Sublimits and Parts'!$C$64:$C$67,MATCH($AI205,'Sublimits and Parts'!$B$64:$B$67,0)),"?")))</f>
        <v/>
      </c>
      <c r="BV205" s="99" t="str">
        <f>IF($A205="","",IF($AJ205="",1,IFERROR(INDEX('Sublimits and Parts'!$C$71:$C$74,MATCH($AJ205,'Sublimits and Parts'!$B$71:$B$74,0)),"?")))</f>
        <v/>
      </c>
      <c r="BW205" s="99" t="str">
        <f>IF($A205="","",IF($AK205="",1,IFERROR(INDEX('Sublimits and Parts'!$C$78:$C$80,MATCH($AK205,'Sublimits and Parts'!$B$78:$B$80,0)),"?")))</f>
        <v/>
      </c>
      <c r="BX205" s="99" t="str">
        <f>IF($A205="","",IF($AL205="",1,IFERROR(INDEX('Sublimits and Parts'!$C$84:$C$87,MATCH($AL205,'Sublimits and Parts'!$B$84:$B$87,0)),"?")))</f>
        <v/>
      </c>
      <c r="BY205" s="99" t="str">
        <f>IF($A205="","",IF($AM205="",1,IFERROR(INDEX('Sublimits and Parts'!$C$91:$C$94,MATCH($AM205,'Sublimits and Parts'!$B$91:$B$94,0)),"?")))</f>
        <v/>
      </c>
      <c r="BZ205" s="99" t="str">
        <f>IF($A205="","",IF($AN205="",1,IFERROR(INDEX('Sublimits and Parts'!$C$98:$C$101,MATCH($AN205,'Sublimits and Parts'!$B$98:$B$101,0)),"?")))</f>
        <v/>
      </c>
      <c r="CA205" s="99" t="str">
        <f>IF($A205="","",IF($AO205="",1,IFERROR(INDEX('Sublimits and Parts'!$C$105:$C$109,MATCH($AO205,'Sublimits and Parts'!$B$105:$B$109,0)),"?")))</f>
        <v/>
      </c>
      <c r="CB205" s="100" t="str">
        <f t="shared" si="41"/>
        <v/>
      </c>
      <c r="CC205" s="100" t="str">
        <f t="shared" si="42"/>
        <v/>
      </c>
      <c r="CD205" s="103" t="str">
        <f>IF($A205="","",IF(OR($CB205="?",$CC205="?"),"?",MIN($CB205*$CC205,'Technical Premium'!$C$17)))</f>
        <v/>
      </c>
      <c r="CE205" s="102" t="str">
        <f t="shared" si="43"/>
        <v/>
      </c>
      <c r="CF205" s="102" t="str">
        <f>IF($A205="","",IFERROR(INDEX('Territory Factors'!$F$6:$F$56,MATCH($K205,'Territory Factors'!$B$6:$B$56,0)),"?"))</f>
        <v/>
      </c>
      <c r="CG205" s="100" t="str">
        <f>IF($A205="","",IFERROR(INDEX('Usage and Coverage'!$C$79:$C$84,MATCH($Y205,'Usage and Coverage'!$B$79:$B$84,0)),"?"))</f>
        <v/>
      </c>
      <c r="CH205" s="102" t="str">
        <f>IFERROR(IF(ISNUMBER($CD205),$CF205*$CG205*MIN($BG205*$BA205*$BC205*$BD205*$BH205*$BF205,'Technical Premium'!$C$17),""),"")</f>
        <v/>
      </c>
      <c r="CI205" s="102" t="str">
        <f t="shared" si="44"/>
        <v/>
      </c>
      <c r="CJ205" s="102" t="str">
        <f>IFERROR($CI205*(1+'Technical Premium'!$C$5)*(1+'Technical Premium'!$C$6),"")</f>
        <v/>
      </c>
      <c r="CK205" s="102" t="str">
        <f>IFERROR($CE205*INDEX('Territory Factors'!$G$6:$G$56,MATCH($K205,'Territory Factors'!$B$6:$B$56,0))*$AU205*$AV205,"")</f>
        <v/>
      </c>
      <c r="CL205" s="102" t="str">
        <f>IFERROR(($CJ205+$CK205)*(1+'Technical Premium'!$C$7),"")</f>
        <v/>
      </c>
      <c r="CM205" s="104" t="str">
        <f>IFERROR($CL205/'Technical Premium'!$C$13,"")</f>
        <v/>
      </c>
      <c r="CN205" s="105" t="str">
        <f t="shared" si="45"/>
        <v/>
      </c>
      <c r="CO205" s="104" t="str">
        <f t="shared" si="46"/>
        <v/>
      </c>
      <c r="CP205" s="105" t="str">
        <f t="shared" si="47"/>
        <v/>
      </c>
      <c r="CQ205" s="106" t="str">
        <f t="shared" si="48"/>
        <v/>
      </c>
      <c r="CR205" s="102" t="str">
        <f>IF(ISNUMBER($CM205),'Technical Premium'!$C$14+IF($J205&gt;=1000000,'Technical Premium'!$C$15,0),"")</f>
        <v/>
      </c>
      <c r="CS205" s="102" t="str">
        <f>IFERROR(($CO205+$CR205)*(INDEX('Territory Factors'!$K$6:$K$56,MATCH($K205,'Territory Factors'!$B$6:$B$56,0))+'Commission Structure'!$C$21),"")</f>
        <v/>
      </c>
      <c r="CT205" s="104" t="str">
        <f t="shared" si="49"/>
        <v/>
      </c>
      <c r="CU205" s="102" t="str">
        <f>IFERROR($CO205*('Commission Structure'!$C$6+'Commission Structure'!$C$7),"")</f>
        <v/>
      </c>
      <c r="CV205" s="102" t="str">
        <f>IFERROR($CO205*'Commission Structure'!$C$5-$CU205,"")</f>
        <v/>
      </c>
      <c r="CW205" s="102" t="str">
        <f>IFERROR($CO205*(1-'Commission Structure'!$C$5),"")</f>
        <v/>
      </c>
      <c r="CX205" s="107"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8" t="str">
        <f t="shared" si="50"/>
        <v/>
      </c>
      <c r="CZ205" s="99" t="str">
        <f>IF($CY205="","",IF($CY205&lt;'Technical Premium'!$C$19,"BEYOND AUTHORITY",IF($CY205&gt;0.005,"Above technical",IF($CY205&lt;-0.005,"BELOW technical","At technical"))))</f>
        <v/>
      </c>
      <c r="DA205" s="99"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4"/>
      <c r="DC205" s="94"/>
      <c r="DD205" s="95"/>
      <c r="DE205" s="94"/>
      <c r="DF205" s="94"/>
      <c r="DG205" s="99" t="str">
        <f t="shared" si="51"/>
        <v/>
      </c>
      <c r="DH205" s="99" t="str">
        <f>IF($A205="","",IF(OR($CX205="REFER",$CX205="DECLINE"),COUNTIF($CX$5:$CX205,"REFER")+COUNTIF($CX$5:$CX205,"DECLINE"),""))</f>
        <v/>
      </c>
      <c r="DI205" s="94"/>
    </row>
    <row r="206" spans="1:113" x14ac:dyDescent="0.35">
      <c r="A206" s="94"/>
      <c r="B206" s="94"/>
      <c r="C206" s="95"/>
      <c r="D206" s="95"/>
      <c r="E206" s="96"/>
      <c r="F206" s="94"/>
      <c r="G206" s="94"/>
      <c r="H206" s="94"/>
      <c r="I206" s="94"/>
      <c r="J206" s="97"/>
      <c r="K206" s="94"/>
      <c r="L206" s="94"/>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8"/>
      <c r="AR206" s="99" t="str">
        <f t="shared" si="39"/>
        <v/>
      </c>
      <c r="AS206" s="99" t="str">
        <f>IF($A206="","",IF($AP206&lt;&gt;"",$AP206,IFERROR(INDEX('Cat Zone by ZIP'!$D$6:$D$856,MATCH($AR206,'Cat Zone by ZIP'!$B$6:$B$856,0)),IFERROR(INDEX('Cat Zone by ZIP'!$C$860:$C$910,MATCH($K206,'Cat Zone by ZIP'!$B$860:$B$910,0)),"NOT FOUND"))))</f>
        <v/>
      </c>
      <c r="AT206" s="99" t="str">
        <f>IF($A206="","",IF($AP206&lt;&gt;"","Override",IF(ISNUMBER(MATCH($AR206,'Cat Zone by ZIP'!$B$6:$B$856,0)),"ZIP-3","State default")))</f>
        <v/>
      </c>
      <c r="AU206" s="100" t="str">
        <f>IF($A206="","",IFERROR(INDEX('Natural Catastrophe'!$D$6:$D$17,MATCH($AS206,'Natural Catastrophe'!$B$6:$B$17,0)),"?"))</f>
        <v/>
      </c>
      <c r="AV206" s="100" t="str">
        <f>IF($A206="","",IFERROR(INDEX('Natural Catastrophe'!$C$21:$C$26,MATCH($AA206,'Natural Catastrophe'!$B$21:$B$26,0)),"?"))</f>
        <v/>
      </c>
      <c r="AW206" s="99" t="str">
        <f>IF($A206="","",IFERROR(INDEX('Base Rates'!$C$4:$I$4,MATCH(MAX($J206,'Technical Premium'!$C$18),'Base Rates'!$C$3:$I$3,1)),"?"))</f>
        <v/>
      </c>
      <c r="AX206" s="101" t="str">
        <f>IF($A206="","",IFERROR(INDEX('Base Rates'!$C$5:$I$16,MATCH($I206,'Base Rates'!$B$5:$B$16,0),MATCH(MAX($J206,'Technical Premium'!$C$18),'Base Rates'!$C$3:$I$3,1)),"?"))</f>
        <v/>
      </c>
      <c r="AY206" s="102" t="str">
        <f t="shared" si="40"/>
        <v/>
      </c>
      <c r="AZ206" s="99" t="str">
        <f>IF($A206="","",IFERROR(INDEX('Make Factors'!$G$5:$G$69,MATCH($F206,'Make Factors'!$B$5:$B$69,0)),"?"))</f>
        <v/>
      </c>
      <c r="BA206" s="99" t="str">
        <f>IF($A206="","",IFERROR(INDEX('Driver Factors'!$C$6:$C$15,MATCH($R206,'Driver Factors'!$B$6:$B$15,0)),"?"))</f>
        <v/>
      </c>
      <c r="BB206" s="99" t="str">
        <f>IF($A206="","",IFERROR(INDEX('Driver Factors'!$C$19:$C$24,MATCH($S206,'Driver Factors'!$B$19:$B$24,0)),"?"))</f>
        <v/>
      </c>
      <c r="BC206" s="99" t="str">
        <f>IF($A206="","",IFERROR(INDEX('Driver Factors'!$C$28:$C$36,MATCH($T206,'Driver Factors'!$B$28:$B$36,0)),"?"))</f>
        <v/>
      </c>
      <c r="BD206" s="99" t="str">
        <f>IF($A206="","",IFERROR(INDEX('Claims History'!$C$6:$C$15,MATCH($U206,'Claims History'!$B$6:$B$15,0)),"?"))</f>
        <v/>
      </c>
      <c r="BE206" s="99" t="str">
        <f>IF($A206="","",IFERROR(INDEX('Territory Factors'!$E$6:$E$56,MATCH($K206,'Territory Factors'!$B$6:$B$56,0)),"?"))</f>
        <v/>
      </c>
      <c r="BF206" s="99" t="str">
        <f>IF($A206="","",IFERROR(INDEX('City Accident Ratings'!$G$6:$G$54,MATCH($Z206,'City Accident Ratings'!$B$6:$B$54,0)),"?"))</f>
        <v/>
      </c>
      <c r="BG206" s="99" t="str">
        <f>IF($A206="","",IFERROR(INDEX('Usage and Coverage'!$D$6:$D$20,MATCH($N206,'Usage and Coverage'!$C$6:$C$20,0)),"?"))</f>
        <v/>
      </c>
      <c r="BH206" s="99" t="str">
        <f>IF($A206="","",IFERROR(INDEX('Usage and Coverage'!$C$24:$C$30,MATCH($O206,'Usage and Coverage'!$B$24:$B$30,0)),"?"))</f>
        <v/>
      </c>
      <c r="BI206" s="99" t="str">
        <f>IF($A206="","",IFERROR(INDEX('Usage and Coverage'!$C$34:$C$40,MATCH($P206,'Usage and Coverage'!$B$34:$B$40,0)),"?"))</f>
        <v/>
      </c>
      <c r="BJ206" s="99" t="str">
        <f>IF($A206="","",IFERROR(INDEX('Usage and Coverage'!$C$44:$C$49,MATCH($Q206,'Usage and Coverage'!$B$44:$B$49,0)),"?"))</f>
        <v/>
      </c>
      <c r="BK206" s="99" t="str">
        <f>IF($A206="","",IFERROR(INDEX(Deductibles!$C$6:$I$15,MATCH($W206,Deductibles!$B$6:$B$15,0),MATCH(MAX($J206,'Technical Premium'!$C$18),'Base Rates'!$C$3:$I$3,1)),"?"))</f>
        <v/>
      </c>
      <c r="BL206" s="99" t="str">
        <f>IF($A206="","",IFERROR(INDEX('Usage and Coverage'!$C$63:$C$66,MATCH($X206,'Usage and Coverage'!$B$63:$B$66,0)),"?"))</f>
        <v/>
      </c>
      <c r="BM206" s="99" t="str">
        <f>IF($A206="","",IFERROR(INDEX('Usage and Coverage'!$C$70:$C$75,MATCH($V206,'Usage and Coverage'!$B$70:$B$75,0)),"?"))</f>
        <v/>
      </c>
      <c r="BN206" s="99" t="str">
        <f>IF($A206="","",IF($AB206="",1,IFERROR(INDEX(Deductibles!$C$48:$C$51,MATCH($AB206,Deductibles!$B$48:$B$51,0)),"?")))</f>
        <v/>
      </c>
      <c r="BO206" s="99" t="str">
        <f>IF($A206="","",IF($AC206="",1,IFERROR(INDEX(Deductibles!$C$55:$C$57,MATCH($AC206,Deductibles!$B$55:$B$57,0)),"?")))</f>
        <v/>
      </c>
      <c r="BP206" s="99" t="str">
        <f>IF($A206="","",IF($AD206="",1,IFERROR(INDEX(Deductibles!$C$61:$C$63,MATCH($AD206,Deductibles!$B$61:$B$63,0)),"?")))</f>
        <v/>
      </c>
      <c r="BQ206" s="99" t="str">
        <f>IF($A206="","",IF($AE206="",1,IFERROR(INDEX(Deductibles!$C$67:$C$69,MATCH($AE206,Deductibles!$B$67:$B$69,0)),"?")))</f>
        <v/>
      </c>
      <c r="BR206" s="99" t="str">
        <f>IF($A206="","",IF($AF206="",1,IFERROR(INDEX(Deductibles!$C$73:$C$74,MATCH($AF206,Deductibles!$B$73:$B$74,0)),"?")))</f>
        <v/>
      </c>
      <c r="BS206" s="99" t="str">
        <f>IF($A206="","",IF($AG206="",1,IFERROR(INDEX('Sublimits and Parts'!$C$49:$C$52,MATCH($AG206,'Sublimits and Parts'!$B$49:$B$52,0)),"?")))</f>
        <v/>
      </c>
      <c r="BT206" s="99" t="str">
        <f>IF($A206="","",IF($AH206="",1,IFERROR(INDEX('Sublimits and Parts'!$C$56:$C$60,MATCH($AH206,'Sublimits and Parts'!$B$56:$B$60,0)),"?")))</f>
        <v/>
      </c>
      <c r="BU206" s="99" t="str">
        <f>IF($A206="","",IF($AI206="",1,IFERROR(INDEX('Sublimits and Parts'!$C$64:$C$67,MATCH($AI206,'Sublimits and Parts'!$B$64:$B$67,0)),"?")))</f>
        <v/>
      </c>
      <c r="BV206" s="99" t="str">
        <f>IF($A206="","",IF($AJ206="",1,IFERROR(INDEX('Sublimits and Parts'!$C$71:$C$74,MATCH($AJ206,'Sublimits and Parts'!$B$71:$B$74,0)),"?")))</f>
        <v/>
      </c>
      <c r="BW206" s="99" t="str">
        <f>IF($A206="","",IF($AK206="",1,IFERROR(INDEX('Sublimits and Parts'!$C$78:$C$80,MATCH($AK206,'Sublimits and Parts'!$B$78:$B$80,0)),"?")))</f>
        <v/>
      </c>
      <c r="BX206" s="99" t="str">
        <f>IF($A206="","",IF($AL206="",1,IFERROR(INDEX('Sublimits and Parts'!$C$84:$C$87,MATCH($AL206,'Sublimits and Parts'!$B$84:$B$87,0)),"?")))</f>
        <v/>
      </c>
      <c r="BY206" s="99" t="str">
        <f>IF($A206="","",IF($AM206="",1,IFERROR(INDEX('Sublimits and Parts'!$C$91:$C$94,MATCH($AM206,'Sublimits and Parts'!$B$91:$B$94,0)),"?")))</f>
        <v/>
      </c>
      <c r="BZ206" s="99" t="str">
        <f>IF($A206="","",IF($AN206="",1,IFERROR(INDEX('Sublimits and Parts'!$C$98:$C$101,MATCH($AN206,'Sublimits and Parts'!$B$98:$B$101,0)),"?")))</f>
        <v/>
      </c>
      <c r="CA206" s="99" t="str">
        <f>IF($A206="","",IF($AO206="",1,IFERROR(INDEX('Sublimits and Parts'!$C$105:$C$109,MATCH($AO206,'Sublimits and Parts'!$B$105:$B$109,0)),"?")))</f>
        <v/>
      </c>
      <c r="CB206" s="100" t="str">
        <f t="shared" si="41"/>
        <v/>
      </c>
      <c r="CC206" s="100" t="str">
        <f t="shared" si="42"/>
        <v/>
      </c>
      <c r="CD206" s="103" t="str">
        <f>IF($A206="","",IF(OR($CB206="?",$CC206="?"),"?",MIN($CB206*$CC206,'Technical Premium'!$C$17)))</f>
        <v/>
      </c>
      <c r="CE206" s="102" t="str">
        <f t="shared" si="43"/>
        <v/>
      </c>
      <c r="CF206" s="102" t="str">
        <f>IF($A206="","",IFERROR(INDEX('Territory Factors'!$F$6:$F$56,MATCH($K206,'Territory Factors'!$B$6:$B$56,0)),"?"))</f>
        <v/>
      </c>
      <c r="CG206" s="100" t="str">
        <f>IF($A206="","",IFERROR(INDEX('Usage and Coverage'!$C$79:$C$84,MATCH($Y206,'Usage and Coverage'!$B$79:$B$84,0)),"?"))</f>
        <v/>
      </c>
      <c r="CH206" s="102" t="str">
        <f>IFERROR(IF(ISNUMBER($CD206),$CF206*$CG206*MIN($BG206*$BA206*$BC206*$BD206*$BH206*$BF206,'Technical Premium'!$C$17),""),"")</f>
        <v/>
      </c>
      <c r="CI206" s="102" t="str">
        <f t="shared" si="44"/>
        <v/>
      </c>
      <c r="CJ206" s="102" t="str">
        <f>IFERROR($CI206*(1+'Technical Premium'!$C$5)*(1+'Technical Premium'!$C$6),"")</f>
        <v/>
      </c>
      <c r="CK206" s="102" t="str">
        <f>IFERROR($CE206*INDEX('Territory Factors'!$G$6:$G$56,MATCH($K206,'Territory Factors'!$B$6:$B$56,0))*$AU206*$AV206,"")</f>
        <v/>
      </c>
      <c r="CL206" s="102" t="str">
        <f>IFERROR(($CJ206+$CK206)*(1+'Technical Premium'!$C$7),"")</f>
        <v/>
      </c>
      <c r="CM206" s="104" t="str">
        <f>IFERROR($CL206/'Technical Premium'!$C$13,"")</f>
        <v/>
      </c>
      <c r="CN206" s="105" t="str">
        <f t="shared" si="45"/>
        <v/>
      </c>
      <c r="CO206" s="104" t="str">
        <f t="shared" si="46"/>
        <v/>
      </c>
      <c r="CP206" s="105" t="str">
        <f t="shared" si="47"/>
        <v/>
      </c>
      <c r="CQ206" s="106" t="str">
        <f t="shared" si="48"/>
        <v/>
      </c>
      <c r="CR206" s="102" t="str">
        <f>IF(ISNUMBER($CM206),'Technical Premium'!$C$14+IF($J206&gt;=1000000,'Technical Premium'!$C$15,0),"")</f>
        <v/>
      </c>
      <c r="CS206" s="102" t="str">
        <f>IFERROR(($CO206+$CR206)*(INDEX('Territory Factors'!$K$6:$K$56,MATCH($K206,'Territory Factors'!$B$6:$B$56,0))+'Commission Structure'!$C$21),"")</f>
        <v/>
      </c>
      <c r="CT206" s="104" t="str">
        <f t="shared" si="49"/>
        <v/>
      </c>
      <c r="CU206" s="102" t="str">
        <f>IFERROR($CO206*('Commission Structure'!$C$6+'Commission Structure'!$C$7),"")</f>
        <v/>
      </c>
      <c r="CV206" s="102" t="str">
        <f>IFERROR($CO206*'Commission Structure'!$C$5-$CU206,"")</f>
        <v/>
      </c>
      <c r="CW206" s="102" t="str">
        <f>IFERROR($CO206*(1-'Commission Structure'!$C$5),"")</f>
        <v/>
      </c>
      <c r="CX206" s="107"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8" t="str">
        <f t="shared" si="50"/>
        <v/>
      </c>
      <c r="CZ206" s="99" t="str">
        <f>IF($CY206="","",IF($CY206&lt;'Technical Premium'!$C$19,"BEYOND AUTHORITY",IF($CY206&gt;0.005,"Above technical",IF($CY206&lt;-0.005,"BELOW technical","At technical"))))</f>
        <v/>
      </c>
      <c r="DA206" s="99"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4"/>
      <c r="DC206" s="94"/>
      <c r="DD206" s="95"/>
      <c r="DE206" s="94"/>
      <c r="DF206" s="94"/>
      <c r="DG206" s="99" t="str">
        <f t="shared" si="51"/>
        <v/>
      </c>
      <c r="DH206" s="99" t="str">
        <f>IF($A206="","",IF(OR($CX206="REFER",$CX206="DECLINE"),COUNTIF($CX$5:$CX206,"REFER")+COUNTIF($CX$5:$CX206,"DECLINE"),""))</f>
        <v/>
      </c>
      <c r="DI206" s="94"/>
    </row>
    <row r="207" spans="1:113" x14ac:dyDescent="0.35">
      <c r="A207" s="94"/>
      <c r="B207" s="94"/>
      <c r="C207" s="95"/>
      <c r="D207" s="95"/>
      <c r="E207" s="96"/>
      <c r="F207" s="94"/>
      <c r="G207" s="94"/>
      <c r="H207" s="94"/>
      <c r="I207" s="94"/>
      <c r="J207" s="97"/>
      <c r="K207" s="94"/>
      <c r="L207" s="94"/>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8"/>
      <c r="AR207" s="99" t="str">
        <f t="shared" si="39"/>
        <v/>
      </c>
      <c r="AS207" s="99" t="str">
        <f>IF($A207="","",IF($AP207&lt;&gt;"",$AP207,IFERROR(INDEX('Cat Zone by ZIP'!$D$6:$D$856,MATCH($AR207,'Cat Zone by ZIP'!$B$6:$B$856,0)),IFERROR(INDEX('Cat Zone by ZIP'!$C$860:$C$910,MATCH($K207,'Cat Zone by ZIP'!$B$860:$B$910,0)),"NOT FOUND"))))</f>
        <v/>
      </c>
      <c r="AT207" s="99" t="str">
        <f>IF($A207="","",IF($AP207&lt;&gt;"","Override",IF(ISNUMBER(MATCH($AR207,'Cat Zone by ZIP'!$B$6:$B$856,0)),"ZIP-3","State default")))</f>
        <v/>
      </c>
      <c r="AU207" s="100" t="str">
        <f>IF($A207="","",IFERROR(INDEX('Natural Catastrophe'!$D$6:$D$17,MATCH($AS207,'Natural Catastrophe'!$B$6:$B$17,0)),"?"))</f>
        <v/>
      </c>
      <c r="AV207" s="100" t="str">
        <f>IF($A207="","",IFERROR(INDEX('Natural Catastrophe'!$C$21:$C$26,MATCH($AA207,'Natural Catastrophe'!$B$21:$B$26,0)),"?"))</f>
        <v/>
      </c>
      <c r="AW207" s="99" t="str">
        <f>IF($A207="","",IFERROR(INDEX('Base Rates'!$C$4:$I$4,MATCH(MAX($J207,'Technical Premium'!$C$18),'Base Rates'!$C$3:$I$3,1)),"?"))</f>
        <v/>
      </c>
      <c r="AX207" s="101" t="str">
        <f>IF($A207="","",IFERROR(INDEX('Base Rates'!$C$5:$I$16,MATCH($I207,'Base Rates'!$B$5:$B$16,0),MATCH(MAX($J207,'Technical Premium'!$C$18),'Base Rates'!$C$3:$I$3,1)),"?"))</f>
        <v/>
      </c>
      <c r="AY207" s="102" t="str">
        <f t="shared" si="40"/>
        <v/>
      </c>
      <c r="AZ207" s="99" t="str">
        <f>IF($A207="","",IFERROR(INDEX('Make Factors'!$G$5:$G$69,MATCH($F207,'Make Factors'!$B$5:$B$69,0)),"?"))</f>
        <v/>
      </c>
      <c r="BA207" s="99" t="str">
        <f>IF($A207="","",IFERROR(INDEX('Driver Factors'!$C$6:$C$15,MATCH($R207,'Driver Factors'!$B$6:$B$15,0)),"?"))</f>
        <v/>
      </c>
      <c r="BB207" s="99" t="str">
        <f>IF($A207="","",IFERROR(INDEX('Driver Factors'!$C$19:$C$24,MATCH($S207,'Driver Factors'!$B$19:$B$24,0)),"?"))</f>
        <v/>
      </c>
      <c r="BC207" s="99" t="str">
        <f>IF($A207="","",IFERROR(INDEX('Driver Factors'!$C$28:$C$36,MATCH($T207,'Driver Factors'!$B$28:$B$36,0)),"?"))</f>
        <v/>
      </c>
      <c r="BD207" s="99" t="str">
        <f>IF($A207="","",IFERROR(INDEX('Claims History'!$C$6:$C$15,MATCH($U207,'Claims History'!$B$6:$B$15,0)),"?"))</f>
        <v/>
      </c>
      <c r="BE207" s="99" t="str">
        <f>IF($A207="","",IFERROR(INDEX('Territory Factors'!$E$6:$E$56,MATCH($K207,'Territory Factors'!$B$6:$B$56,0)),"?"))</f>
        <v/>
      </c>
      <c r="BF207" s="99" t="str">
        <f>IF($A207="","",IFERROR(INDEX('City Accident Ratings'!$G$6:$G$54,MATCH($Z207,'City Accident Ratings'!$B$6:$B$54,0)),"?"))</f>
        <v/>
      </c>
      <c r="BG207" s="99" t="str">
        <f>IF($A207="","",IFERROR(INDEX('Usage and Coverage'!$D$6:$D$20,MATCH($N207,'Usage and Coverage'!$C$6:$C$20,0)),"?"))</f>
        <v/>
      </c>
      <c r="BH207" s="99" t="str">
        <f>IF($A207="","",IFERROR(INDEX('Usage and Coverage'!$C$24:$C$30,MATCH($O207,'Usage and Coverage'!$B$24:$B$30,0)),"?"))</f>
        <v/>
      </c>
      <c r="BI207" s="99" t="str">
        <f>IF($A207="","",IFERROR(INDEX('Usage and Coverage'!$C$34:$C$40,MATCH($P207,'Usage and Coverage'!$B$34:$B$40,0)),"?"))</f>
        <v/>
      </c>
      <c r="BJ207" s="99" t="str">
        <f>IF($A207="","",IFERROR(INDEX('Usage and Coverage'!$C$44:$C$49,MATCH($Q207,'Usage and Coverage'!$B$44:$B$49,0)),"?"))</f>
        <v/>
      </c>
      <c r="BK207" s="99" t="str">
        <f>IF($A207="","",IFERROR(INDEX(Deductibles!$C$6:$I$15,MATCH($W207,Deductibles!$B$6:$B$15,0),MATCH(MAX($J207,'Technical Premium'!$C$18),'Base Rates'!$C$3:$I$3,1)),"?"))</f>
        <v/>
      </c>
      <c r="BL207" s="99" t="str">
        <f>IF($A207="","",IFERROR(INDEX('Usage and Coverage'!$C$63:$C$66,MATCH($X207,'Usage and Coverage'!$B$63:$B$66,0)),"?"))</f>
        <v/>
      </c>
      <c r="BM207" s="99" t="str">
        <f>IF($A207="","",IFERROR(INDEX('Usage and Coverage'!$C$70:$C$75,MATCH($V207,'Usage and Coverage'!$B$70:$B$75,0)),"?"))</f>
        <v/>
      </c>
      <c r="BN207" s="99" t="str">
        <f>IF($A207="","",IF($AB207="",1,IFERROR(INDEX(Deductibles!$C$48:$C$51,MATCH($AB207,Deductibles!$B$48:$B$51,0)),"?")))</f>
        <v/>
      </c>
      <c r="BO207" s="99" t="str">
        <f>IF($A207="","",IF($AC207="",1,IFERROR(INDEX(Deductibles!$C$55:$C$57,MATCH($AC207,Deductibles!$B$55:$B$57,0)),"?")))</f>
        <v/>
      </c>
      <c r="BP207" s="99" t="str">
        <f>IF($A207="","",IF($AD207="",1,IFERROR(INDEX(Deductibles!$C$61:$C$63,MATCH($AD207,Deductibles!$B$61:$B$63,0)),"?")))</f>
        <v/>
      </c>
      <c r="BQ207" s="99" t="str">
        <f>IF($A207="","",IF($AE207="",1,IFERROR(INDEX(Deductibles!$C$67:$C$69,MATCH($AE207,Deductibles!$B$67:$B$69,0)),"?")))</f>
        <v/>
      </c>
      <c r="BR207" s="99" t="str">
        <f>IF($A207="","",IF($AF207="",1,IFERROR(INDEX(Deductibles!$C$73:$C$74,MATCH($AF207,Deductibles!$B$73:$B$74,0)),"?")))</f>
        <v/>
      </c>
      <c r="BS207" s="99" t="str">
        <f>IF($A207="","",IF($AG207="",1,IFERROR(INDEX('Sublimits and Parts'!$C$49:$C$52,MATCH($AG207,'Sublimits and Parts'!$B$49:$B$52,0)),"?")))</f>
        <v/>
      </c>
      <c r="BT207" s="99" t="str">
        <f>IF($A207="","",IF($AH207="",1,IFERROR(INDEX('Sublimits and Parts'!$C$56:$C$60,MATCH($AH207,'Sublimits and Parts'!$B$56:$B$60,0)),"?")))</f>
        <v/>
      </c>
      <c r="BU207" s="99" t="str">
        <f>IF($A207="","",IF($AI207="",1,IFERROR(INDEX('Sublimits and Parts'!$C$64:$C$67,MATCH($AI207,'Sublimits and Parts'!$B$64:$B$67,0)),"?")))</f>
        <v/>
      </c>
      <c r="BV207" s="99" t="str">
        <f>IF($A207="","",IF($AJ207="",1,IFERROR(INDEX('Sublimits and Parts'!$C$71:$C$74,MATCH($AJ207,'Sublimits and Parts'!$B$71:$B$74,0)),"?")))</f>
        <v/>
      </c>
      <c r="BW207" s="99" t="str">
        <f>IF($A207="","",IF($AK207="",1,IFERROR(INDEX('Sublimits and Parts'!$C$78:$C$80,MATCH($AK207,'Sublimits and Parts'!$B$78:$B$80,0)),"?")))</f>
        <v/>
      </c>
      <c r="BX207" s="99" t="str">
        <f>IF($A207="","",IF($AL207="",1,IFERROR(INDEX('Sublimits and Parts'!$C$84:$C$87,MATCH($AL207,'Sublimits and Parts'!$B$84:$B$87,0)),"?")))</f>
        <v/>
      </c>
      <c r="BY207" s="99" t="str">
        <f>IF($A207="","",IF($AM207="",1,IFERROR(INDEX('Sublimits and Parts'!$C$91:$C$94,MATCH($AM207,'Sublimits and Parts'!$B$91:$B$94,0)),"?")))</f>
        <v/>
      </c>
      <c r="BZ207" s="99" t="str">
        <f>IF($A207="","",IF($AN207="",1,IFERROR(INDEX('Sublimits and Parts'!$C$98:$C$101,MATCH($AN207,'Sublimits and Parts'!$B$98:$B$101,0)),"?")))</f>
        <v/>
      </c>
      <c r="CA207" s="99" t="str">
        <f>IF($A207="","",IF($AO207="",1,IFERROR(INDEX('Sublimits and Parts'!$C$105:$C$109,MATCH($AO207,'Sublimits and Parts'!$B$105:$B$109,0)),"?")))</f>
        <v/>
      </c>
      <c r="CB207" s="100" t="str">
        <f t="shared" si="41"/>
        <v/>
      </c>
      <c r="CC207" s="100" t="str">
        <f t="shared" si="42"/>
        <v/>
      </c>
      <c r="CD207" s="103" t="str">
        <f>IF($A207="","",IF(OR($CB207="?",$CC207="?"),"?",MIN($CB207*$CC207,'Technical Premium'!$C$17)))</f>
        <v/>
      </c>
      <c r="CE207" s="102" t="str">
        <f t="shared" si="43"/>
        <v/>
      </c>
      <c r="CF207" s="102" t="str">
        <f>IF($A207="","",IFERROR(INDEX('Territory Factors'!$F$6:$F$56,MATCH($K207,'Territory Factors'!$B$6:$B$56,0)),"?"))</f>
        <v/>
      </c>
      <c r="CG207" s="100" t="str">
        <f>IF($A207="","",IFERROR(INDEX('Usage and Coverage'!$C$79:$C$84,MATCH($Y207,'Usage and Coverage'!$B$79:$B$84,0)),"?"))</f>
        <v/>
      </c>
      <c r="CH207" s="102" t="str">
        <f>IFERROR(IF(ISNUMBER($CD207),$CF207*$CG207*MIN($BG207*$BA207*$BC207*$BD207*$BH207*$BF207,'Technical Premium'!$C$17),""),"")</f>
        <v/>
      </c>
      <c r="CI207" s="102" t="str">
        <f t="shared" si="44"/>
        <v/>
      </c>
      <c r="CJ207" s="102" t="str">
        <f>IFERROR($CI207*(1+'Technical Premium'!$C$5)*(1+'Technical Premium'!$C$6),"")</f>
        <v/>
      </c>
      <c r="CK207" s="102" t="str">
        <f>IFERROR($CE207*INDEX('Territory Factors'!$G$6:$G$56,MATCH($K207,'Territory Factors'!$B$6:$B$56,0))*$AU207*$AV207,"")</f>
        <v/>
      </c>
      <c r="CL207" s="102" t="str">
        <f>IFERROR(($CJ207+$CK207)*(1+'Technical Premium'!$C$7),"")</f>
        <v/>
      </c>
      <c r="CM207" s="104" t="str">
        <f>IFERROR($CL207/'Technical Premium'!$C$13,"")</f>
        <v/>
      </c>
      <c r="CN207" s="105" t="str">
        <f t="shared" si="45"/>
        <v/>
      </c>
      <c r="CO207" s="104" t="str">
        <f t="shared" si="46"/>
        <v/>
      </c>
      <c r="CP207" s="105" t="str">
        <f t="shared" si="47"/>
        <v/>
      </c>
      <c r="CQ207" s="106" t="str">
        <f t="shared" si="48"/>
        <v/>
      </c>
      <c r="CR207" s="102" t="str">
        <f>IF(ISNUMBER($CM207),'Technical Premium'!$C$14+IF($J207&gt;=1000000,'Technical Premium'!$C$15,0),"")</f>
        <v/>
      </c>
      <c r="CS207" s="102" t="str">
        <f>IFERROR(($CO207+$CR207)*(INDEX('Territory Factors'!$K$6:$K$56,MATCH($K207,'Territory Factors'!$B$6:$B$56,0))+'Commission Structure'!$C$21),"")</f>
        <v/>
      </c>
      <c r="CT207" s="104" t="str">
        <f t="shared" si="49"/>
        <v/>
      </c>
      <c r="CU207" s="102" t="str">
        <f>IFERROR($CO207*('Commission Structure'!$C$6+'Commission Structure'!$C$7),"")</f>
        <v/>
      </c>
      <c r="CV207" s="102" t="str">
        <f>IFERROR($CO207*'Commission Structure'!$C$5-$CU207,"")</f>
        <v/>
      </c>
      <c r="CW207" s="102" t="str">
        <f>IFERROR($CO207*(1-'Commission Structure'!$C$5),"")</f>
        <v/>
      </c>
      <c r="CX207" s="107"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8" t="str">
        <f t="shared" si="50"/>
        <v/>
      </c>
      <c r="CZ207" s="99" t="str">
        <f>IF($CY207="","",IF($CY207&lt;'Technical Premium'!$C$19,"BEYOND AUTHORITY",IF($CY207&gt;0.005,"Above technical",IF($CY207&lt;-0.005,"BELOW technical","At technical"))))</f>
        <v/>
      </c>
      <c r="DA207" s="99"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4"/>
      <c r="DC207" s="94"/>
      <c r="DD207" s="95"/>
      <c r="DE207" s="94"/>
      <c r="DF207" s="94"/>
      <c r="DG207" s="99" t="str">
        <f t="shared" si="51"/>
        <v/>
      </c>
      <c r="DH207" s="99" t="str">
        <f>IF($A207="","",IF(OR($CX207="REFER",$CX207="DECLINE"),COUNTIF($CX$5:$CX207,"REFER")+COUNTIF($CX$5:$CX207,"DECLINE"),""))</f>
        <v/>
      </c>
      <c r="DI207" s="94"/>
    </row>
    <row r="208" spans="1:113" x14ac:dyDescent="0.35">
      <c r="A208" s="94"/>
      <c r="B208" s="94"/>
      <c r="C208" s="95"/>
      <c r="D208" s="95"/>
      <c r="E208" s="96"/>
      <c r="F208" s="94"/>
      <c r="G208" s="94"/>
      <c r="H208" s="94"/>
      <c r="I208" s="94"/>
      <c r="J208" s="97"/>
      <c r="K208" s="94"/>
      <c r="L208" s="94"/>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8"/>
      <c r="AR208" s="99" t="str">
        <f t="shared" si="39"/>
        <v/>
      </c>
      <c r="AS208" s="99" t="str">
        <f>IF($A208="","",IF($AP208&lt;&gt;"",$AP208,IFERROR(INDEX('Cat Zone by ZIP'!$D$6:$D$856,MATCH($AR208,'Cat Zone by ZIP'!$B$6:$B$856,0)),IFERROR(INDEX('Cat Zone by ZIP'!$C$860:$C$910,MATCH($K208,'Cat Zone by ZIP'!$B$860:$B$910,0)),"NOT FOUND"))))</f>
        <v/>
      </c>
      <c r="AT208" s="99" t="str">
        <f>IF($A208="","",IF($AP208&lt;&gt;"","Override",IF(ISNUMBER(MATCH($AR208,'Cat Zone by ZIP'!$B$6:$B$856,0)),"ZIP-3","State default")))</f>
        <v/>
      </c>
      <c r="AU208" s="100" t="str">
        <f>IF($A208="","",IFERROR(INDEX('Natural Catastrophe'!$D$6:$D$17,MATCH($AS208,'Natural Catastrophe'!$B$6:$B$17,0)),"?"))</f>
        <v/>
      </c>
      <c r="AV208" s="100" t="str">
        <f>IF($A208="","",IFERROR(INDEX('Natural Catastrophe'!$C$21:$C$26,MATCH($AA208,'Natural Catastrophe'!$B$21:$B$26,0)),"?"))</f>
        <v/>
      </c>
      <c r="AW208" s="99" t="str">
        <f>IF($A208="","",IFERROR(INDEX('Base Rates'!$C$4:$I$4,MATCH(MAX($J208,'Technical Premium'!$C$18),'Base Rates'!$C$3:$I$3,1)),"?"))</f>
        <v/>
      </c>
      <c r="AX208" s="101" t="str">
        <f>IF($A208="","",IFERROR(INDEX('Base Rates'!$C$5:$I$16,MATCH($I208,'Base Rates'!$B$5:$B$16,0),MATCH(MAX($J208,'Technical Premium'!$C$18),'Base Rates'!$C$3:$I$3,1)),"?"))</f>
        <v/>
      </c>
      <c r="AY208" s="102" t="str">
        <f t="shared" si="40"/>
        <v/>
      </c>
      <c r="AZ208" s="99" t="str">
        <f>IF($A208="","",IFERROR(INDEX('Make Factors'!$G$5:$G$69,MATCH($F208,'Make Factors'!$B$5:$B$69,0)),"?"))</f>
        <v/>
      </c>
      <c r="BA208" s="99" t="str">
        <f>IF($A208="","",IFERROR(INDEX('Driver Factors'!$C$6:$C$15,MATCH($R208,'Driver Factors'!$B$6:$B$15,0)),"?"))</f>
        <v/>
      </c>
      <c r="BB208" s="99" t="str">
        <f>IF($A208="","",IFERROR(INDEX('Driver Factors'!$C$19:$C$24,MATCH($S208,'Driver Factors'!$B$19:$B$24,0)),"?"))</f>
        <v/>
      </c>
      <c r="BC208" s="99" t="str">
        <f>IF($A208="","",IFERROR(INDEX('Driver Factors'!$C$28:$C$36,MATCH($T208,'Driver Factors'!$B$28:$B$36,0)),"?"))</f>
        <v/>
      </c>
      <c r="BD208" s="99" t="str">
        <f>IF($A208="","",IFERROR(INDEX('Claims History'!$C$6:$C$15,MATCH($U208,'Claims History'!$B$6:$B$15,0)),"?"))</f>
        <v/>
      </c>
      <c r="BE208" s="99" t="str">
        <f>IF($A208="","",IFERROR(INDEX('Territory Factors'!$E$6:$E$56,MATCH($K208,'Territory Factors'!$B$6:$B$56,0)),"?"))</f>
        <v/>
      </c>
      <c r="BF208" s="99" t="str">
        <f>IF($A208="","",IFERROR(INDEX('City Accident Ratings'!$G$6:$G$54,MATCH($Z208,'City Accident Ratings'!$B$6:$B$54,0)),"?"))</f>
        <v/>
      </c>
      <c r="BG208" s="99" t="str">
        <f>IF($A208="","",IFERROR(INDEX('Usage and Coverage'!$D$6:$D$20,MATCH($N208,'Usage and Coverage'!$C$6:$C$20,0)),"?"))</f>
        <v/>
      </c>
      <c r="BH208" s="99" t="str">
        <f>IF($A208="","",IFERROR(INDEX('Usage and Coverage'!$C$24:$C$30,MATCH($O208,'Usage and Coverage'!$B$24:$B$30,0)),"?"))</f>
        <v/>
      </c>
      <c r="BI208" s="99" t="str">
        <f>IF($A208="","",IFERROR(INDEX('Usage and Coverage'!$C$34:$C$40,MATCH($P208,'Usage and Coverage'!$B$34:$B$40,0)),"?"))</f>
        <v/>
      </c>
      <c r="BJ208" s="99" t="str">
        <f>IF($A208="","",IFERROR(INDEX('Usage and Coverage'!$C$44:$C$49,MATCH($Q208,'Usage and Coverage'!$B$44:$B$49,0)),"?"))</f>
        <v/>
      </c>
      <c r="BK208" s="99" t="str">
        <f>IF($A208="","",IFERROR(INDEX(Deductibles!$C$6:$I$15,MATCH($W208,Deductibles!$B$6:$B$15,0),MATCH(MAX($J208,'Technical Premium'!$C$18),'Base Rates'!$C$3:$I$3,1)),"?"))</f>
        <v/>
      </c>
      <c r="BL208" s="99" t="str">
        <f>IF($A208="","",IFERROR(INDEX('Usage and Coverage'!$C$63:$C$66,MATCH($X208,'Usage and Coverage'!$B$63:$B$66,0)),"?"))</f>
        <v/>
      </c>
      <c r="BM208" s="99" t="str">
        <f>IF($A208="","",IFERROR(INDEX('Usage and Coverage'!$C$70:$C$75,MATCH($V208,'Usage and Coverage'!$B$70:$B$75,0)),"?"))</f>
        <v/>
      </c>
      <c r="BN208" s="99" t="str">
        <f>IF($A208="","",IF($AB208="",1,IFERROR(INDEX(Deductibles!$C$48:$C$51,MATCH($AB208,Deductibles!$B$48:$B$51,0)),"?")))</f>
        <v/>
      </c>
      <c r="BO208" s="99" t="str">
        <f>IF($A208="","",IF($AC208="",1,IFERROR(INDEX(Deductibles!$C$55:$C$57,MATCH($AC208,Deductibles!$B$55:$B$57,0)),"?")))</f>
        <v/>
      </c>
      <c r="BP208" s="99" t="str">
        <f>IF($A208="","",IF($AD208="",1,IFERROR(INDEX(Deductibles!$C$61:$C$63,MATCH($AD208,Deductibles!$B$61:$B$63,0)),"?")))</f>
        <v/>
      </c>
      <c r="BQ208" s="99" t="str">
        <f>IF($A208="","",IF($AE208="",1,IFERROR(INDEX(Deductibles!$C$67:$C$69,MATCH($AE208,Deductibles!$B$67:$B$69,0)),"?")))</f>
        <v/>
      </c>
      <c r="BR208" s="99" t="str">
        <f>IF($A208="","",IF($AF208="",1,IFERROR(INDEX(Deductibles!$C$73:$C$74,MATCH($AF208,Deductibles!$B$73:$B$74,0)),"?")))</f>
        <v/>
      </c>
      <c r="BS208" s="99" t="str">
        <f>IF($A208="","",IF($AG208="",1,IFERROR(INDEX('Sublimits and Parts'!$C$49:$C$52,MATCH($AG208,'Sublimits and Parts'!$B$49:$B$52,0)),"?")))</f>
        <v/>
      </c>
      <c r="BT208" s="99" t="str">
        <f>IF($A208="","",IF($AH208="",1,IFERROR(INDEX('Sublimits and Parts'!$C$56:$C$60,MATCH($AH208,'Sublimits and Parts'!$B$56:$B$60,0)),"?")))</f>
        <v/>
      </c>
      <c r="BU208" s="99" t="str">
        <f>IF($A208="","",IF($AI208="",1,IFERROR(INDEX('Sublimits and Parts'!$C$64:$C$67,MATCH($AI208,'Sublimits and Parts'!$B$64:$B$67,0)),"?")))</f>
        <v/>
      </c>
      <c r="BV208" s="99" t="str">
        <f>IF($A208="","",IF($AJ208="",1,IFERROR(INDEX('Sublimits and Parts'!$C$71:$C$74,MATCH($AJ208,'Sublimits and Parts'!$B$71:$B$74,0)),"?")))</f>
        <v/>
      </c>
      <c r="BW208" s="99" t="str">
        <f>IF($A208="","",IF($AK208="",1,IFERROR(INDEX('Sublimits and Parts'!$C$78:$C$80,MATCH($AK208,'Sublimits and Parts'!$B$78:$B$80,0)),"?")))</f>
        <v/>
      </c>
      <c r="BX208" s="99" t="str">
        <f>IF($A208="","",IF($AL208="",1,IFERROR(INDEX('Sublimits and Parts'!$C$84:$C$87,MATCH($AL208,'Sublimits and Parts'!$B$84:$B$87,0)),"?")))</f>
        <v/>
      </c>
      <c r="BY208" s="99" t="str">
        <f>IF($A208="","",IF($AM208="",1,IFERROR(INDEX('Sublimits and Parts'!$C$91:$C$94,MATCH($AM208,'Sublimits and Parts'!$B$91:$B$94,0)),"?")))</f>
        <v/>
      </c>
      <c r="BZ208" s="99" t="str">
        <f>IF($A208="","",IF($AN208="",1,IFERROR(INDEX('Sublimits and Parts'!$C$98:$C$101,MATCH($AN208,'Sublimits and Parts'!$B$98:$B$101,0)),"?")))</f>
        <v/>
      </c>
      <c r="CA208" s="99" t="str">
        <f>IF($A208="","",IF($AO208="",1,IFERROR(INDEX('Sublimits and Parts'!$C$105:$C$109,MATCH($AO208,'Sublimits and Parts'!$B$105:$B$109,0)),"?")))</f>
        <v/>
      </c>
      <c r="CB208" s="100" t="str">
        <f t="shared" si="41"/>
        <v/>
      </c>
      <c r="CC208" s="100" t="str">
        <f t="shared" si="42"/>
        <v/>
      </c>
      <c r="CD208" s="103" t="str">
        <f>IF($A208="","",IF(OR($CB208="?",$CC208="?"),"?",MIN($CB208*$CC208,'Technical Premium'!$C$17)))</f>
        <v/>
      </c>
      <c r="CE208" s="102" t="str">
        <f t="shared" si="43"/>
        <v/>
      </c>
      <c r="CF208" s="102" t="str">
        <f>IF($A208="","",IFERROR(INDEX('Territory Factors'!$F$6:$F$56,MATCH($K208,'Territory Factors'!$B$6:$B$56,0)),"?"))</f>
        <v/>
      </c>
      <c r="CG208" s="100" t="str">
        <f>IF($A208="","",IFERROR(INDEX('Usage and Coverage'!$C$79:$C$84,MATCH($Y208,'Usage and Coverage'!$B$79:$B$84,0)),"?"))</f>
        <v/>
      </c>
      <c r="CH208" s="102" t="str">
        <f>IFERROR(IF(ISNUMBER($CD208),$CF208*$CG208*MIN($BG208*$BA208*$BC208*$BD208*$BH208*$BF208,'Technical Premium'!$C$17),""),"")</f>
        <v/>
      </c>
      <c r="CI208" s="102" t="str">
        <f t="shared" si="44"/>
        <v/>
      </c>
      <c r="CJ208" s="102" t="str">
        <f>IFERROR($CI208*(1+'Technical Premium'!$C$5)*(1+'Technical Premium'!$C$6),"")</f>
        <v/>
      </c>
      <c r="CK208" s="102" t="str">
        <f>IFERROR($CE208*INDEX('Territory Factors'!$G$6:$G$56,MATCH($K208,'Territory Factors'!$B$6:$B$56,0))*$AU208*$AV208,"")</f>
        <v/>
      </c>
      <c r="CL208" s="102" t="str">
        <f>IFERROR(($CJ208+$CK208)*(1+'Technical Premium'!$C$7),"")</f>
        <v/>
      </c>
      <c r="CM208" s="104" t="str">
        <f>IFERROR($CL208/'Technical Premium'!$C$13,"")</f>
        <v/>
      </c>
      <c r="CN208" s="105" t="str">
        <f t="shared" si="45"/>
        <v/>
      </c>
      <c r="CO208" s="104" t="str">
        <f t="shared" si="46"/>
        <v/>
      </c>
      <c r="CP208" s="105" t="str">
        <f t="shared" si="47"/>
        <v/>
      </c>
      <c r="CQ208" s="106" t="str">
        <f t="shared" si="48"/>
        <v/>
      </c>
      <c r="CR208" s="102" t="str">
        <f>IF(ISNUMBER($CM208),'Technical Premium'!$C$14+IF($J208&gt;=1000000,'Technical Premium'!$C$15,0),"")</f>
        <v/>
      </c>
      <c r="CS208" s="102" t="str">
        <f>IFERROR(($CO208+$CR208)*(INDEX('Territory Factors'!$K$6:$K$56,MATCH($K208,'Territory Factors'!$B$6:$B$56,0))+'Commission Structure'!$C$21),"")</f>
        <v/>
      </c>
      <c r="CT208" s="104" t="str">
        <f t="shared" si="49"/>
        <v/>
      </c>
      <c r="CU208" s="102" t="str">
        <f>IFERROR($CO208*('Commission Structure'!$C$6+'Commission Structure'!$C$7),"")</f>
        <v/>
      </c>
      <c r="CV208" s="102" t="str">
        <f>IFERROR($CO208*'Commission Structure'!$C$5-$CU208,"")</f>
        <v/>
      </c>
      <c r="CW208" s="102" t="str">
        <f>IFERROR($CO208*(1-'Commission Structure'!$C$5),"")</f>
        <v/>
      </c>
      <c r="CX208" s="107"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8" t="str">
        <f t="shared" si="50"/>
        <v/>
      </c>
      <c r="CZ208" s="99" t="str">
        <f>IF($CY208="","",IF($CY208&lt;'Technical Premium'!$C$19,"BEYOND AUTHORITY",IF($CY208&gt;0.005,"Above technical",IF($CY208&lt;-0.005,"BELOW technical","At technical"))))</f>
        <v/>
      </c>
      <c r="DA208" s="99"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4"/>
      <c r="DC208" s="94"/>
      <c r="DD208" s="95"/>
      <c r="DE208" s="94"/>
      <c r="DF208" s="94"/>
      <c r="DG208" s="99" t="str">
        <f t="shared" si="51"/>
        <v/>
      </c>
      <c r="DH208" s="99" t="str">
        <f>IF($A208="","",IF(OR($CX208="REFER",$CX208="DECLINE"),COUNTIF($CX$5:$CX208,"REFER")+COUNTIF($CX$5:$CX208,"DECLINE"),""))</f>
        <v/>
      </c>
      <c r="DI208" s="94"/>
    </row>
    <row r="209" spans="1:113" x14ac:dyDescent="0.35">
      <c r="A209" s="94"/>
      <c r="B209" s="94"/>
      <c r="C209" s="95"/>
      <c r="D209" s="95"/>
      <c r="E209" s="96"/>
      <c r="F209" s="94"/>
      <c r="G209" s="94"/>
      <c r="H209" s="94"/>
      <c r="I209" s="94"/>
      <c r="J209" s="97"/>
      <c r="K209" s="94"/>
      <c r="L209" s="94"/>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8"/>
      <c r="AR209" s="99" t="str">
        <f t="shared" si="39"/>
        <v/>
      </c>
      <c r="AS209" s="99" t="str">
        <f>IF($A209="","",IF($AP209&lt;&gt;"",$AP209,IFERROR(INDEX('Cat Zone by ZIP'!$D$6:$D$856,MATCH($AR209,'Cat Zone by ZIP'!$B$6:$B$856,0)),IFERROR(INDEX('Cat Zone by ZIP'!$C$860:$C$910,MATCH($K209,'Cat Zone by ZIP'!$B$860:$B$910,0)),"NOT FOUND"))))</f>
        <v/>
      </c>
      <c r="AT209" s="99" t="str">
        <f>IF($A209="","",IF($AP209&lt;&gt;"","Override",IF(ISNUMBER(MATCH($AR209,'Cat Zone by ZIP'!$B$6:$B$856,0)),"ZIP-3","State default")))</f>
        <v/>
      </c>
      <c r="AU209" s="100" t="str">
        <f>IF($A209="","",IFERROR(INDEX('Natural Catastrophe'!$D$6:$D$17,MATCH($AS209,'Natural Catastrophe'!$B$6:$B$17,0)),"?"))</f>
        <v/>
      </c>
      <c r="AV209" s="100" t="str">
        <f>IF($A209="","",IFERROR(INDEX('Natural Catastrophe'!$C$21:$C$26,MATCH($AA209,'Natural Catastrophe'!$B$21:$B$26,0)),"?"))</f>
        <v/>
      </c>
      <c r="AW209" s="99" t="str">
        <f>IF($A209="","",IFERROR(INDEX('Base Rates'!$C$4:$I$4,MATCH(MAX($J209,'Technical Premium'!$C$18),'Base Rates'!$C$3:$I$3,1)),"?"))</f>
        <v/>
      </c>
      <c r="AX209" s="101" t="str">
        <f>IF($A209="","",IFERROR(INDEX('Base Rates'!$C$5:$I$16,MATCH($I209,'Base Rates'!$B$5:$B$16,0),MATCH(MAX($J209,'Technical Premium'!$C$18),'Base Rates'!$C$3:$I$3,1)),"?"))</f>
        <v/>
      </c>
      <c r="AY209" s="102" t="str">
        <f t="shared" si="40"/>
        <v/>
      </c>
      <c r="AZ209" s="99" t="str">
        <f>IF($A209="","",IFERROR(INDEX('Make Factors'!$G$5:$G$69,MATCH($F209,'Make Factors'!$B$5:$B$69,0)),"?"))</f>
        <v/>
      </c>
      <c r="BA209" s="99" t="str">
        <f>IF($A209="","",IFERROR(INDEX('Driver Factors'!$C$6:$C$15,MATCH($R209,'Driver Factors'!$B$6:$B$15,0)),"?"))</f>
        <v/>
      </c>
      <c r="BB209" s="99" t="str">
        <f>IF($A209="","",IFERROR(INDEX('Driver Factors'!$C$19:$C$24,MATCH($S209,'Driver Factors'!$B$19:$B$24,0)),"?"))</f>
        <v/>
      </c>
      <c r="BC209" s="99" t="str">
        <f>IF($A209="","",IFERROR(INDEX('Driver Factors'!$C$28:$C$36,MATCH($T209,'Driver Factors'!$B$28:$B$36,0)),"?"))</f>
        <v/>
      </c>
      <c r="BD209" s="99" t="str">
        <f>IF($A209="","",IFERROR(INDEX('Claims History'!$C$6:$C$15,MATCH($U209,'Claims History'!$B$6:$B$15,0)),"?"))</f>
        <v/>
      </c>
      <c r="BE209" s="99" t="str">
        <f>IF($A209="","",IFERROR(INDEX('Territory Factors'!$E$6:$E$56,MATCH($K209,'Territory Factors'!$B$6:$B$56,0)),"?"))</f>
        <v/>
      </c>
      <c r="BF209" s="99" t="str">
        <f>IF($A209="","",IFERROR(INDEX('City Accident Ratings'!$G$6:$G$54,MATCH($Z209,'City Accident Ratings'!$B$6:$B$54,0)),"?"))</f>
        <v/>
      </c>
      <c r="BG209" s="99" t="str">
        <f>IF($A209="","",IFERROR(INDEX('Usage and Coverage'!$D$6:$D$20,MATCH($N209,'Usage and Coverage'!$C$6:$C$20,0)),"?"))</f>
        <v/>
      </c>
      <c r="BH209" s="99" t="str">
        <f>IF($A209="","",IFERROR(INDEX('Usage and Coverage'!$C$24:$C$30,MATCH($O209,'Usage and Coverage'!$B$24:$B$30,0)),"?"))</f>
        <v/>
      </c>
      <c r="BI209" s="99" t="str">
        <f>IF($A209="","",IFERROR(INDEX('Usage and Coverage'!$C$34:$C$40,MATCH($P209,'Usage and Coverage'!$B$34:$B$40,0)),"?"))</f>
        <v/>
      </c>
      <c r="BJ209" s="99" t="str">
        <f>IF($A209="","",IFERROR(INDEX('Usage and Coverage'!$C$44:$C$49,MATCH($Q209,'Usage and Coverage'!$B$44:$B$49,0)),"?"))</f>
        <v/>
      </c>
      <c r="BK209" s="99" t="str">
        <f>IF($A209="","",IFERROR(INDEX(Deductibles!$C$6:$I$15,MATCH($W209,Deductibles!$B$6:$B$15,0),MATCH(MAX($J209,'Technical Premium'!$C$18),'Base Rates'!$C$3:$I$3,1)),"?"))</f>
        <v/>
      </c>
      <c r="BL209" s="99" t="str">
        <f>IF($A209="","",IFERROR(INDEX('Usage and Coverage'!$C$63:$C$66,MATCH($X209,'Usage and Coverage'!$B$63:$B$66,0)),"?"))</f>
        <v/>
      </c>
      <c r="BM209" s="99" t="str">
        <f>IF($A209="","",IFERROR(INDEX('Usage and Coverage'!$C$70:$C$75,MATCH($V209,'Usage and Coverage'!$B$70:$B$75,0)),"?"))</f>
        <v/>
      </c>
      <c r="BN209" s="99" t="str">
        <f>IF($A209="","",IF($AB209="",1,IFERROR(INDEX(Deductibles!$C$48:$C$51,MATCH($AB209,Deductibles!$B$48:$B$51,0)),"?")))</f>
        <v/>
      </c>
      <c r="BO209" s="99" t="str">
        <f>IF($A209="","",IF($AC209="",1,IFERROR(INDEX(Deductibles!$C$55:$C$57,MATCH($AC209,Deductibles!$B$55:$B$57,0)),"?")))</f>
        <v/>
      </c>
      <c r="BP209" s="99" t="str">
        <f>IF($A209="","",IF($AD209="",1,IFERROR(INDEX(Deductibles!$C$61:$C$63,MATCH($AD209,Deductibles!$B$61:$B$63,0)),"?")))</f>
        <v/>
      </c>
      <c r="BQ209" s="99" t="str">
        <f>IF($A209="","",IF($AE209="",1,IFERROR(INDEX(Deductibles!$C$67:$C$69,MATCH($AE209,Deductibles!$B$67:$B$69,0)),"?")))</f>
        <v/>
      </c>
      <c r="BR209" s="99" t="str">
        <f>IF($A209="","",IF($AF209="",1,IFERROR(INDEX(Deductibles!$C$73:$C$74,MATCH($AF209,Deductibles!$B$73:$B$74,0)),"?")))</f>
        <v/>
      </c>
      <c r="BS209" s="99" t="str">
        <f>IF($A209="","",IF($AG209="",1,IFERROR(INDEX('Sublimits and Parts'!$C$49:$C$52,MATCH($AG209,'Sublimits and Parts'!$B$49:$B$52,0)),"?")))</f>
        <v/>
      </c>
      <c r="BT209" s="99" t="str">
        <f>IF($A209="","",IF($AH209="",1,IFERROR(INDEX('Sublimits and Parts'!$C$56:$C$60,MATCH($AH209,'Sublimits and Parts'!$B$56:$B$60,0)),"?")))</f>
        <v/>
      </c>
      <c r="BU209" s="99" t="str">
        <f>IF($A209="","",IF($AI209="",1,IFERROR(INDEX('Sublimits and Parts'!$C$64:$C$67,MATCH($AI209,'Sublimits and Parts'!$B$64:$B$67,0)),"?")))</f>
        <v/>
      </c>
      <c r="BV209" s="99" t="str">
        <f>IF($A209="","",IF($AJ209="",1,IFERROR(INDEX('Sublimits and Parts'!$C$71:$C$74,MATCH($AJ209,'Sublimits and Parts'!$B$71:$B$74,0)),"?")))</f>
        <v/>
      </c>
      <c r="BW209" s="99" t="str">
        <f>IF($A209="","",IF($AK209="",1,IFERROR(INDEX('Sublimits and Parts'!$C$78:$C$80,MATCH($AK209,'Sublimits and Parts'!$B$78:$B$80,0)),"?")))</f>
        <v/>
      </c>
      <c r="BX209" s="99" t="str">
        <f>IF($A209="","",IF($AL209="",1,IFERROR(INDEX('Sublimits and Parts'!$C$84:$C$87,MATCH($AL209,'Sublimits and Parts'!$B$84:$B$87,0)),"?")))</f>
        <v/>
      </c>
      <c r="BY209" s="99" t="str">
        <f>IF($A209="","",IF($AM209="",1,IFERROR(INDEX('Sublimits and Parts'!$C$91:$C$94,MATCH($AM209,'Sublimits and Parts'!$B$91:$B$94,0)),"?")))</f>
        <v/>
      </c>
      <c r="BZ209" s="99" t="str">
        <f>IF($A209="","",IF($AN209="",1,IFERROR(INDEX('Sublimits and Parts'!$C$98:$C$101,MATCH($AN209,'Sublimits and Parts'!$B$98:$B$101,0)),"?")))</f>
        <v/>
      </c>
      <c r="CA209" s="99" t="str">
        <f>IF($A209="","",IF($AO209="",1,IFERROR(INDEX('Sublimits and Parts'!$C$105:$C$109,MATCH($AO209,'Sublimits and Parts'!$B$105:$B$109,0)),"?")))</f>
        <v/>
      </c>
      <c r="CB209" s="100" t="str">
        <f t="shared" si="41"/>
        <v/>
      </c>
      <c r="CC209" s="100" t="str">
        <f t="shared" si="42"/>
        <v/>
      </c>
      <c r="CD209" s="103" t="str">
        <f>IF($A209="","",IF(OR($CB209="?",$CC209="?"),"?",MIN($CB209*$CC209,'Technical Premium'!$C$17)))</f>
        <v/>
      </c>
      <c r="CE209" s="102" t="str">
        <f t="shared" si="43"/>
        <v/>
      </c>
      <c r="CF209" s="102" t="str">
        <f>IF($A209="","",IFERROR(INDEX('Territory Factors'!$F$6:$F$56,MATCH($K209,'Territory Factors'!$B$6:$B$56,0)),"?"))</f>
        <v/>
      </c>
      <c r="CG209" s="100" t="str">
        <f>IF($A209="","",IFERROR(INDEX('Usage and Coverage'!$C$79:$C$84,MATCH($Y209,'Usage and Coverage'!$B$79:$B$84,0)),"?"))</f>
        <v/>
      </c>
      <c r="CH209" s="102" t="str">
        <f>IFERROR(IF(ISNUMBER($CD209),$CF209*$CG209*MIN($BG209*$BA209*$BC209*$BD209*$BH209*$BF209,'Technical Premium'!$C$17),""),"")</f>
        <v/>
      </c>
      <c r="CI209" s="102" t="str">
        <f t="shared" si="44"/>
        <v/>
      </c>
      <c r="CJ209" s="102" t="str">
        <f>IFERROR($CI209*(1+'Technical Premium'!$C$5)*(1+'Technical Premium'!$C$6),"")</f>
        <v/>
      </c>
      <c r="CK209" s="102" t="str">
        <f>IFERROR($CE209*INDEX('Territory Factors'!$G$6:$G$56,MATCH($K209,'Territory Factors'!$B$6:$B$56,0))*$AU209*$AV209,"")</f>
        <v/>
      </c>
      <c r="CL209" s="102" t="str">
        <f>IFERROR(($CJ209+$CK209)*(1+'Technical Premium'!$C$7),"")</f>
        <v/>
      </c>
      <c r="CM209" s="104" t="str">
        <f>IFERROR($CL209/'Technical Premium'!$C$13,"")</f>
        <v/>
      </c>
      <c r="CN209" s="105" t="str">
        <f t="shared" si="45"/>
        <v/>
      </c>
      <c r="CO209" s="104" t="str">
        <f t="shared" si="46"/>
        <v/>
      </c>
      <c r="CP209" s="105" t="str">
        <f t="shared" si="47"/>
        <v/>
      </c>
      <c r="CQ209" s="106" t="str">
        <f t="shared" si="48"/>
        <v/>
      </c>
      <c r="CR209" s="102" t="str">
        <f>IF(ISNUMBER($CM209),'Technical Premium'!$C$14+IF($J209&gt;=1000000,'Technical Premium'!$C$15,0),"")</f>
        <v/>
      </c>
      <c r="CS209" s="102" t="str">
        <f>IFERROR(($CO209+$CR209)*(INDEX('Territory Factors'!$K$6:$K$56,MATCH($K209,'Territory Factors'!$B$6:$B$56,0))+'Commission Structure'!$C$21),"")</f>
        <v/>
      </c>
      <c r="CT209" s="104" t="str">
        <f t="shared" si="49"/>
        <v/>
      </c>
      <c r="CU209" s="102" t="str">
        <f>IFERROR($CO209*('Commission Structure'!$C$6+'Commission Structure'!$C$7),"")</f>
        <v/>
      </c>
      <c r="CV209" s="102" t="str">
        <f>IFERROR($CO209*'Commission Structure'!$C$5-$CU209,"")</f>
        <v/>
      </c>
      <c r="CW209" s="102" t="str">
        <f>IFERROR($CO209*(1-'Commission Structure'!$C$5),"")</f>
        <v/>
      </c>
      <c r="CX209" s="107"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8" t="str">
        <f t="shared" si="50"/>
        <v/>
      </c>
      <c r="CZ209" s="99" t="str">
        <f>IF($CY209="","",IF($CY209&lt;'Technical Premium'!$C$19,"BEYOND AUTHORITY",IF($CY209&gt;0.005,"Above technical",IF($CY209&lt;-0.005,"BELOW technical","At technical"))))</f>
        <v/>
      </c>
      <c r="DA209" s="99"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4"/>
      <c r="DC209" s="94"/>
      <c r="DD209" s="95"/>
      <c r="DE209" s="94"/>
      <c r="DF209" s="94"/>
      <c r="DG209" s="99" t="str">
        <f t="shared" si="51"/>
        <v/>
      </c>
      <c r="DH209" s="99" t="str">
        <f>IF($A209="","",IF(OR($CX209="REFER",$CX209="DECLINE"),COUNTIF($CX$5:$CX209,"REFER")+COUNTIF($CX$5:$CX209,"DECLINE"),""))</f>
        <v/>
      </c>
      <c r="DI209" s="94"/>
    </row>
    <row r="210" spans="1:113" x14ac:dyDescent="0.35">
      <c r="A210" s="94"/>
      <c r="B210" s="94"/>
      <c r="C210" s="95"/>
      <c r="D210" s="95"/>
      <c r="E210" s="96"/>
      <c r="F210" s="94"/>
      <c r="G210" s="94"/>
      <c r="H210" s="94"/>
      <c r="I210" s="94"/>
      <c r="J210" s="97"/>
      <c r="K210" s="94"/>
      <c r="L210" s="94"/>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8"/>
      <c r="AR210" s="99" t="str">
        <f t="shared" si="39"/>
        <v/>
      </c>
      <c r="AS210" s="99" t="str">
        <f>IF($A210="","",IF($AP210&lt;&gt;"",$AP210,IFERROR(INDEX('Cat Zone by ZIP'!$D$6:$D$856,MATCH($AR210,'Cat Zone by ZIP'!$B$6:$B$856,0)),IFERROR(INDEX('Cat Zone by ZIP'!$C$860:$C$910,MATCH($K210,'Cat Zone by ZIP'!$B$860:$B$910,0)),"NOT FOUND"))))</f>
        <v/>
      </c>
      <c r="AT210" s="99" t="str">
        <f>IF($A210="","",IF($AP210&lt;&gt;"","Override",IF(ISNUMBER(MATCH($AR210,'Cat Zone by ZIP'!$B$6:$B$856,0)),"ZIP-3","State default")))</f>
        <v/>
      </c>
      <c r="AU210" s="100" t="str">
        <f>IF($A210="","",IFERROR(INDEX('Natural Catastrophe'!$D$6:$D$17,MATCH($AS210,'Natural Catastrophe'!$B$6:$B$17,0)),"?"))</f>
        <v/>
      </c>
      <c r="AV210" s="100" t="str">
        <f>IF($A210="","",IFERROR(INDEX('Natural Catastrophe'!$C$21:$C$26,MATCH($AA210,'Natural Catastrophe'!$B$21:$B$26,0)),"?"))</f>
        <v/>
      </c>
      <c r="AW210" s="99" t="str">
        <f>IF($A210="","",IFERROR(INDEX('Base Rates'!$C$4:$I$4,MATCH(MAX($J210,'Technical Premium'!$C$18),'Base Rates'!$C$3:$I$3,1)),"?"))</f>
        <v/>
      </c>
      <c r="AX210" s="101" t="str">
        <f>IF($A210="","",IFERROR(INDEX('Base Rates'!$C$5:$I$16,MATCH($I210,'Base Rates'!$B$5:$B$16,0),MATCH(MAX($J210,'Technical Premium'!$C$18),'Base Rates'!$C$3:$I$3,1)),"?"))</f>
        <v/>
      </c>
      <c r="AY210" s="102" t="str">
        <f t="shared" si="40"/>
        <v/>
      </c>
      <c r="AZ210" s="99" t="str">
        <f>IF($A210="","",IFERROR(INDEX('Make Factors'!$G$5:$G$69,MATCH($F210,'Make Factors'!$B$5:$B$69,0)),"?"))</f>
        <v/>
      </c>
      <c r="BA210" s="99" t="str">
        <f>IF($A210="","",IFERROR(INDEX('Driver Factors'!$C$6:$C$15,MATCH($R210,'Driver Factors'!$B$6:$B$15,0)),"?"))</f>
        <v/>
      </c>
      <c r="BB210" s="99" t="str">
        <f>IF($A210="","",IFERROR(INDEX('Driver Factors'!$C$19:$C$24,MATCH($S210,'Driver Factors'!$B$19:$B$24,0)),"?"))</f>
        <v/>
      </c>
      <c r="BC210" s="99" t="str">
        <f>IF($A210="","",IFERROR(INDEX('Driver Factors'!$C$28:$C$36,MATCH($T210,'Driver Factors'!$B$28:$B$36,0)),"?"))</f>
        <v/>
      </c>
      <c r="BD210" s="99" t="str">
        <f>IF($A210="","",IFERROR(INDEX('Claims History'!$C$6:$C$15,MATCH($U210,'Claims History'!$B$6:$B$15,0)),"?"))</f>
        <v/>
      </c>
      <c r="BE210" s="99" t="str">
        <f>IF($A210="","",IFERROR(INDEX('Territory Factors'!$E$6:$E$56,MATCH($K210,'Territory Factors'!$B$6:$B$56,0)),"?"))</f>
        <v/>
      </c>
      <c r="BF210" s="99" t="str">
        <f>IF($A210="","",IFERROR(INDEX('City Accident Ratings'!$G$6:$G$54,MATCH($Z210,'City Accident Ratings'!$B$6:$B$54,0)),"?"))</f>
        <v/>
      </c>
      <c r="BG210" s="99" t="str">
        <f>IF($A210="","",IFERROR(INDEX('Usage and Coverage'!$D$6:$D$20,MATCH($N210,'Usage and Coverage'!$C$6:$C$20,0)),"?"))</f>
        <v/>
      </c>
      <c r="BH210" s="99" t="str">
        <f>IF($A210="","",IFERROR(INDEX('Usage and Coverage'!$C$24:$C$30,MATCH($O210,'Usage and Coverage'!$B$24:$B$30,0)),"?"))</f>
        <v/>
      </c>
      <c r="BI210" s="99" t="str">
        <f>IF($A210="","",IFERROR(INDEX('Usage and Coverage'!$C$34:$C$40,MATCH($P210,'Usage and Coverage'!$B$34:$B$40,0)),"?"))</f>
        <v/>
      </c>
      <c r="BJ210" s="99" t="str">
        <f>IF($A210="","",IFERROR(INDEX('Usage and Coverage'!$C$44:$C$49,MATCH($Q210,'Usage and Coverage'!$B$44:$B$49,0)),"?"))</f>
        <v/>
      </c>
      <c r="BK210" s="99" t="str">
        <f>IF($A210="","",IFERROR(INDEX(Deductibles!$C$6:$I$15,MATCH($W210,Deductibles!$B$6:$B$15,0),MATCH(MAX($J210,'Technical Premium'!$C$18),'Base Rates'!$C$3:$I$3,1)),"?"))</f>
        <v/>
      </c>
      <c r="BL210" s="99" t="str">
        <f>IF($A210="","",IFERROR(INDEX('Usage and Coverage'!$C$63:$C$66,MATCH($X210,'Usage and Coverage'!$B$63:$B$66,0)),"?"))</f>
        <v/>
      </c>
      <c r="BM210" s="99" t="str">
        <f>IF($A210="","",IFERROR(INDEX('Usage and Coverage'!$C$70:$C$75,MATCH($V210,'Usage and Coverage'!$B$70:$B$75,0)),"?"))</f>
        <v/>
      </c>
      <c r="BN210" s="99" t="str">
        <f>IF($A210="","",IF($AB210="",1,IFERROR(INDEX(Deductibles!$C$48:$C$51,MATCH($AB210,Deductibles!$B$48:$B$51,0)),"?")))</f>
        <v/>
      </c>
      <c r="BO210" s="99" t="str">
        <f>IF($A210="","",IF($AC210="",1,IFERROR(INDEX(Deductibles!$C$55:$C$57,MATCH($AC210,Deductibles!$B$55:$B$57,0)),"?")))</f>
        <v/>
      </c>
      <c r="BP210" s="99" t="str">
        <f>IF($A210="","",IF($AD210="",1,IFERROR(INDEX(Deductibles!$C$61:$C$63,MATCH($AD210,Deductibles!$B$61:$B$63,0)),"?")))</f>
        <v/>
      </c>
      <c r="BQ210" s="99" t="str">
        <f>IF($A210="","",IF($AE210="",1,IFERROR(INDEX(Deductibles!$C$67:$C$69,MATCH($AE210,Deductibles!$B$67:$B$69,0)),"?")))</f>
        <v/>
      </c>
      <c r="BR210" s="99" t="str">
        <f>IF($A210="","",IF($AF210="",1,IFERROR(INDEX(Deductibles!$C$73:$C$74,MATCH($AF210,Deductibles!$B$73:$B$74,0)),"?")))</f>
        <v/>
      </c>
      <c r="BS210" s="99" t="str">
        <f>IF($A210="","",IF($AG210="",1,IFERROR(INDEX('Sublimits and Parts'!$C$49:$C$52,MATCH($AG210,'Sublimits and Parts'!$B$49:$B$52,0)),"?")))</f>
        <v/>
      </c>
      <c r="BT210" s="99" t="str">
        <f>IF($A210="","",IF($AH210="",1,IFERROR(INDEX('Sublimits and Parts'!$C$56:$C$60,MATCH($AH210,'Sublimits and Parts'!$B$56:$B$60,0)),"?")))</f>
        <v/>
      </c>
      <c r="BU210" s="99" t="str">
        <f>IF($A210="","",IF($AI210="",1,IFERROR(INDEX('Sublimits and Parts'!$C$64:$C$67,MATCH($AI210,'Sublimits and Parts'!$B$64:$B$67,0)),"?")))</f>
        <v/>
      </c>
      <c r="BV210" s="99" t="str">
        <f>IF($A210="","",IF($AJ210="",1,IFERROR(INDEX('Sublimits and Parts'!$C$71:$C$74,MATCH($AJ210,'Sublimits and Parts'!$B$71:$B$74,0)),"?")))</f>
        <v/>
      </c>
      <c r="BW210" s="99" t="str">
        <f>IF($A210="","",IF($AK210="",1,IFERROR(INDEX('Sublimits and Parts'!$C$78:$C$80,MATCH($AK210,'Sublimits and Parts'!$B$78:$B$80,0)),"?")))</f>
        <v/>
      </c>
      <c r="BX210" s="99" t="str">
        <f>IF($A210="","",IF($AL210="",1,IFERROR(INDEX('Sublimits and Parts'!$C$84:$C$87,MATCH($AL210,'Sublimits and Parts'!$B$84:$B$87,0)),"?")))</f>
        <v/>
      </c>
      <c r="BY210" s="99" t="str">
        <f>IF($A210="","",IF($AM210="",1,IFERROR(INDEX('Sublimits and Parts'!$C$91:$C$94,MATCH($AM210,'Sublimits and Parts'!$B$91:$B$94,0)),"?")))</f>
        <v/>
      </c>
      <c r="BZ210" s="99" t="str">
        <f>IF($A210="","",IF($AN210="",1,IFERROR(INDEX('Sublimits and Parts'!$C$98:$C$101,MATCH($AN210,'Sublimits and Parts'!$B$98:$B$101,0)),"?")))</f>
        <v/>
      </c>
      <c r="CA210" s="99" t="str">
        <f>IF($A210="","",IF($AO210="",1,IFERROR(INDEX('Sublimits and Parts'!$C$105:$C$109,MATCH($AO210,'Sublimits and Parts'!$B$105:$B$109,0)),"?")))</f>
        <v/>
      </c>
      <c r="CB210" s="100" t="str">
        <f t="shared" si="41"/>
        <v/>
      </c>
      <c r="CC210" s="100" t="str">
        <f t="shared" si="42"/>
        <v/>
      </c>
      <c r="CD210" s="103" t="str">
        <f>IF($A210="","",IF(OR($CB210="?",$CC210="?"),"?",MIN($CB210*$CC210,'Technical Premium'!$C$17)))</f>
        <v/>
      </c>
      <c r="CE210" s="102" t="str">
        <f t="shared" si="43"/>
        <v/>
      </c>
      <c r="CF210" s="102" t="str">
        <f>IF($A210="","",IFERROR(INDEX('Territory Factors'!$F$6:$F$56,MATCH($K210,'Territory Factors'!$B$6:$B$56,0)),"?"))</f>
        <v/>
      </c>
      <c r="CG210" s="100" t="str">
        <f>IF($A210="","",IFERROR(INDEX('Usage and Coverage'!$C$79:$C$84,MATCH($Y210,'Usage and Coverage'!$B$79:$B$84,0)),"?"))</f>
        <v/>
      </c>
      <c r="CH210" s="102" t="str">
        <f>IFERROR(IF(ISNUMBER($CD210),$CF210*$CG210*MIN($BG210*$BA210*$BC210*$BD210*$BH210*$BF210,'Technical Premium'!$C$17),""),"")</f>
        <v/>
      </c>
      <c r="CI210" s="102" t="str">
        <f t="shared" si="44"/>
        <v/>
      </c>
      <c r="CJ210" s="102" t="str">
        <f>IFERROR($CI210*(1+'Technical Premium'!$C$5)*(1+'Technical Premium'!$C$6),"")</f>
        <v/>
      </c>
      <c r="CK210" s="102" t="str">
        <f>IFERROR($CE210*INDEX('Territory Factors'!$G$6:$G$56,MATCH($K210,'Territory Factors'!$B$6:$B$56,0))*$AU210*$AV210,"")</f>
        <v/>
      </c>
      <c r="CL210" s="102" t="str">
        <f>IFERROR(($CJ210+$CK210)*(1+'Technical Premium'!$C$7),"")</f>
        <v/>
      </c>
      <c r="CM210" s="104" t="str">
        <f>IFERROR($CL210/'Technical Premium'!$C$13,"")</f>
        <v/>
      </c>
      <c r="CN210" s="105" t="str">
        <f t="shared" si="45"/>
        <v/>
      </c>
      <c r="CO210" s="104" t="str">
        <f t="shared" si="46"/>
        <v/>
      </c>
      <c r="CP210" s="105" t="str">
        <f t="shared" si="47"/>
        <v/>
      </c>
      <c r="CQ210" s="106" t="str">
        <f t="shared" si="48"/>
        <v/>
      </c>
      <c r="CR210" s="102" t="str">
        <f>IF(ISNUMBER($CM210),'Technical Premium'!$C$14+IF($J210&gt;=1000000,'Technical Premium'!$C$15,0),"")</f>
        <v/>
      </c>
      <c r="CS210" s="102" t="str">
        <f>IFERROR(($CO210+$CR210)*(INDEX('Territory Factors'!$K$6:$K$56,MATCH($K210,'Territory Factors'!$B$6:$B$56,0))+'Commission Structure'!$C$21),"")</f>
        <v/>
      </c>
      <c r="CT210" s="104" t="str">
        <f t="shared" si="49"/>
        <v/>
      </c>
      <c r="CU210" s="102" t="str">
        <f>IFERROR($CO210*('Commission Structure'!$C$6+'Commission Structure'!$C$7),"")</f>
        <v/>
      </c>
      <c r="CV210" s="102" t="str">
        <f>IFERROR($CO210*'Commission Structure'!$C$5-$CU210,"")</f>
        <v/>
      </c>
      <c r="CW210" s="102" t="str">
        <f>IFERROR($CO210*(1-'Commission Structure'!$C$5),"")</f>
        <v/>
      </c>
      <c r="CX210" s="107"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8" t="str">
        <f t="shared" si="50"/>
        <v/>
      </c>
      <c r="CZ210" s="99" t="str">
        <f>IF($CY210="","",IF($CY210&lt;'Technical Premium'!$C$19,"BEYOND AUTHORITY",IF($CY210&gt;0.005,"Above technical",IF($CY210&lt;-0.005,"BELOW technical","At technical"))))</f>
        <v/>
      </c>
      <c r="DA210" s="99"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4"/>
      <c r="DC210" s="94"/>
      <c r="DD210" s="95"/>
      <c r="DE210" s="94"/>
      <c r="DF210" s="94"/>
      <c r="DG210" s="99" t="str">
        <f t="shared" si="51"/>
        <v/>
      </c>
      <c r="DH210" s="99" t="str">
        <f>IF($A210="","",IF(OR($CX210="REFER",$CX210="DECLINE"),COUNTIF($CX$5:$CX210,"REFER")+COUNTIF($CX$5:$CX210,"DECLINE"),""))</f>
        <v/>
      </c>
      <c r="DI210" s="94"/>
    </row>
    <row r="211" spans="1:113" x14ac:dyDescent="0.35">
      <c r="A211" s="94"/>
      <c r="B211" s="94"/>
      <c r="C211" s="95"/>
      <c r="D211" s="95"/>
      <c r="E211" s="96"/>
      <c r="F211" s="94"/>
      <c r="G211" s="94"/>
      <c r="H211" s="94"/>
      <c r="I211" s="94"/>
      <c r="J211" s="97"/>
      <c r="K211" s="94"/>
      <c r="L211" s="94"/>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8"/>
      <c r="AR211" s="99" t="str">
        <f t="shared" si="39"/>
        <v/>
      </c>
      <c r="AS211" s="99" t="str">
        <f>IF($A211="","",IF($AP211&lt;&gt;"",$AP211,IFERROR(INDEX('Cat Zone by ZIP'!$D$6:$D$856,MATCH($AR211,'Cat Zone by ZIP'!$B$6:$B$856,0)),IFERROR(INDEX('Cat Zone by ZIP'!$C$860:$C$910,MATCH($K211,'Cat Zone by ZIP'!$B$860:$B$910,0)),"NOT FOUND"))))</f>
        <v/>
      </c>
      <c r="AT211" s="99" t="str">
        <f>IF($A211="","",IF($AP211&lt;&gt;"","Override",IF(ISNUMBER(MATCH($AR211,'Cat Zone by ZIP'!$B$6:$B$856,0)),"ZIP-3","State default")))</f>
        <v/>
      </c>
      <c r="AU211" s="100" t="str">
        <f>IF($A211="","",IFERROR(INDEX('Natural Catastrophe'!$D$6:$D$17,MATCH($AS211,'Natural Catastrophe'!$B$6:$B$17,0)),"?"))</f>
        <v/>
      </c>
      <c r="AV211" s="100" t="str">
        <f>IF($A211="","",IFERROR(INDEX('Natural Catastrophe'!$C$21:$C$26,MATCH($AA211,'Natural Catastrophe'!$B$21:$B$26,0)),"?"))</f>
        <v/>
      </c>
      <c r="AW211" s="99" t="str">
        <f>IF($A211="","",IFERROR(INDEX('Base Rates'!$C$4:$I$4,MATCH(MAX($J211,'Technical Premium'!$C$18),'Base Rates'!$C$3:$I$3,1)),"?"))</f>
        <v/>
      </c>
      <c r="AX211" s="101" t="str">
        <f>IF($A211="","",IFERROR(INDEX('Base Rates'!$C$5:$I$16,MATCH($I211,'Base Rates'!$B$5:$B$16,0),MATCH(MAX($J211,'Technical Premium'!$C$18),'Base Rates'!$C$3:$I$3,1)),"?"))</f>
        <v/>
      </c>
      <c r="AY211" s="102" t="str">
        <f t="shared" si="40"/>
        <v/>
      </c>
      <c r="AZ211" s="99" t="str">
        <f>IF($A211="","",IFERROR(INDEX('Make Factors'!$G$5:$G$69,MATCH($F211,'Make Factors'!$B$5:$B$69,0)),"?"))</f>
        <v/>
      </c>
      <c r="BA211" s="99" t="str">
        <f>IF($A211="","",IFERROR(INDEX('Driver Factors'!$C$6:$C$15,MATCH($R211,'Driver Factors'!$B$6:$B$15,0)),"?"))</f>
        <v/>
      </c>
      <c r="BB211" s="99" t="str">
        <f>IF($A211="","",IFERROR(INDEX('Driver Factors'!$C$19:$C$24,MATCH($S211,'Driver Factors'!$B$19:$B$24,0)),"?"))</f>
        <v/>
      </c>
      <c r="BC211" s="99" t="str">
        <f>IF($A211="","",IFERROR(INDEX('Driver Factors'!$C$28:$C$36,MATCH($T211,'Driver Factors'!$B$28:$B$36,0)),"?"))</f>
        <v/>
      </c>
      <c r="BD211" s="99" t="str">
        <f>IF($A211="","",IFERROR(INDEX('Claims History'!$C$6:$C$15,MATCH($U211,'Claims History'!$B$6:$B$15,0)),"?"))</f>
        <v/>
      </c>
      <c r="BE211" s="99" t="str">
        <f>IF($A211="","",IFERROR(INDEX('Territory Factors'!$E$6:$E$56,MATCH($K211,'Territory Factors'!$B$6:$B$56,0)),"?"))</f>
        <v/>
      </c>
      <c r="BF211" s="99" t="str">
        <f>IF($A211="","",IFERROR(INDEX('City Accident Ratings'!$G$6:$G$54,MATCH($Z211,'City Accident Ratings'!$B$6:$B$54,0)),"?"))</f>
        <v/>
      </c>
      <c r="BG211" s="99" t="str">
        <f>IF($A211="","",IFERROR(INDEX('Usage and Coverage'!$D$6:$D$20,MATCH($N211,'Usage and Coverage'!$C$6:$C$20,0)),"?"))</f>
        <v/>
      </c>
      <c r="BH211" s="99" t="str">
        <f>IF($A211="","",IFERROR(INDEX('Usage and Coverage'!$C$24:$C$30,MATCH($O211,'Usage and Coverage'!$B$24:$B$30,0)),"?"))</f>
        <v/>
      </c>
      <c r="BI211" s="99" t="str">
        <f>IF($A211="","",IFERROR(INDEX('Usage and Coverage'!$C$34:$C$40,MATCH($P211,'Usage and Coverage'!$B$34:$B$40,0)),"?"))</f>
        <v/>
      </c>
      <c r="BJ211" s="99" t="str">
        <f>IF($A211="","",IFERROR(INDEX('Usage and Coverage'!$C$44:$C$49,MATCH($Q211,'Usage and Coverage'!$B$44:$B$49,0)),"?"))</f>
        <v/>
      </c>
      <c r="BK211" s="99" t="str">
        <f>IF($A211="","",IFERROR(INDEX(Deductibles!$C$6:$I$15,MATCH($W211,Deductibles!$B$6:$B$15,0),MATCH(MAX($J211,'Technical Premium'!$C$18),'Base Rates'!$C$3:$I$3,1)),"?"))</f>
        <v/>
      </c>
      <c r="BL211" s="99" t="str">
        <f>IF($A211="","",IFERROR(INDEX('Usage and Coverage'!$C$63:$C$66,MATCH($X211,'Usage and Coverage'!$B$63:$B$66,0)),"?"))</f>
        <v/>
      </c>
      <c r="BM211" s="99" t="str">
        <f>IF($A211="","",IFERROR(INDEX('Usage and Coverage'!$C$70:$C$75,MATCH($V211,'Usage and Coverage'!$B$70:$B$75,0)),"?"))</f>
        <v/>
      </c>
      <c r="BN211" s="99" t="str">
        <f>IF($A211="","",IF($AB211="",1,IFERROR(INDEX(Deductibles!$C$48:$C$51,MATCH($AB211,Deductibles!$B$48:$B$51,0)),"?")))</f>
        <v/>
      </c>
      <c r="BO211" s="99" t="str">
        <f>IF($A211="","",IF($AC211="",1,IFERROR(INDEX(Deductibles!$C$55:$C$57,MATCH($AC211,Deductibles!$B$55:$B$57,0)),"?")))</f>
        <v/>
      </c>
      <c r="BP211" s="99" t="str">
        <f>IF($A211="","",IF($AD211="",1,IFERROR(INDEX(Deductibles!$C$61:$C$63,MATCH($AD211,Deductibles!$B$61:$B$63,0)),"?")))</f>
        <v/>
      </c>
      <c r="BQ211" s="99" t="str">
        <f>IF($A211="","",IF($AE211="",1,IFERROR(INDEX(Deductibles!$C$67:$C$69,MATCH($AE211,Deductibles!$B$67:$B$69,0)),"?")))</f>
        <v/>
      </c>
      <c r="BR211" s="99" t="str">
        <f>IF($A211="","",IF($AF211="",1,IFERROR(INDEX(Deductibles!$C$73:$C$74,MATCH($AF211,Deductibles!$B$73:$B$74,0)),"?")))</f>
        <v/>
      </c>
      <c r="BS211" s="99" t="str">
        <f>IF($A211="","",IF($AG211="",1,IFERROR(INDEX('Sublimits and Parts'!$C$49:$C$52,MATCH($AG211,'Sublimits and Parts'!$B$49:$B$52,0)),"?")))</f>
        <v/>
      </c>
      <c r="BT211" s="99" t="str">
        <f>IF($A211="","",IF($AH211="",1,IFERROR(INDEX('Sublimits and Parts'!$C$56:$C$60,MATCH($AH211,'Sublimits and Parts'!$B$56:$B$60,0)),"?")))</f>
        <v/>
      </c>
      <c r="BU211" s="99" t="str">
        <f>IF($A211="","",IF($AI211="",1,IFERROR(INDEX('Sublimits and Parts'!$C$64:$C$67,MATCH($AI211,'Sublimits and Parts'!$B$64:$B$67,0)),"?")))</f>
        <v/>
      </c>
      <c r="BV211" s="99" t="str">
        <f>IF($A211="","",IF($AJ211="",1,IFERROR(INDEX('Sublimits and Parts'!$C$71:$C$74,MATCH($AJ211,'Sublimits and Parts'!$B$71:$B$74,0)),"?")))</f>
        <v/>
      </c>
      <c r="BW211" s="99" t="str">
        <f>IF($A211="","",IF($AK211="",1,IFERROR(INDEX('Sublimits and Parts'!$C$78:$C$80,MATCH($AK211,'Sublimits and Parts'!$B$78:$B$80,0)),"?")))</f>
        <v/>
      </c>
      <c r="BX211" s="99" t="str">
        <f>IF($A211="","",IF($AL211="",1,IFERROR(INDEX('Sublimits and Parts'!$C$84:$C$87,MATCH($AL211,'Sublimits and Parts'!$B$84:$B$87,0)),"?")))</f>
        <v/>
      </c>
      <c r="BY211" s="99" t="str">
        <f>IF($A211="","",IF($AM211="",1,IFERROR(INDEX('Sublimits and Parts'!$C$91:$C$94,MATCH($AM211,'Sublimits and Parts'!$B$91:$B$94,0)),"?")))</f>
        <v/>
      </c>
      <c r="BZ211" s="99" t="str">
        <f>IF($A211="","",IF($AN211="",1,IFERROR(INDEX('Sublimits and Parts'!$C$98:$C$101,MATCH($AN211,'Sublimits and Parts'!$B$98:$B$101,0)),"?")))</f>
        <v/>
      </c>
      <c r="CA211" s="99" t="str">
        <f>IF($A211="","",IF($AO211="",1,IFERROR(INDEX('Sublimits and Parts'!$C$105:$C$109,MATCH($AO211,'Sublimits and Parts'!$B$105:$B$109,0)),"?")))</f>
        <v/>
      </c>
      <c r="CB211" s="100" t="str">
        <f t="shared" si="41"/>
        <v/>
      </c>
      <c r="CC211" s="100" t="str">
        <f t="shared" si="42"/>
        <v/>
      </c>
      <c r="CD211" s="103" t="str">
        <f>IF($A211="","",IF(OR($CB211="?",$CC211="?"),"?",MIN($CB211*$CC211,'Technical Premium'!$C$17)))</f>
        <v/>
      </c>
      <c r="CE211" s="102" t="str">
        <f t="shared" si="43"/>
        <v/>
      </c>
      <c r="CF211" s="102" t="str">
        <f>IF($A211="","",IFERROR(INDEX('Territory Factors'!$F$6:$F$56,MATCH($K211,'Territory Factors'!$B$6:$B$56,0)),"?"))</f>
        <v/>
      </c>
      <c r="CG211" s="100" t="str">
        <f>IF($A211="","",IFERROR(INDEX('Usage and Coverage'!$C$79:$C$84,MATCH($Y211,'Usage and Coverage'!$B$79:$B$84,0)),"?"))</f>
        <v/>
      </c>
      <c r="CH211" s="102" t="str">
        <f>IFERROR(IF(ISNUMBER($CD211),$CF211*$CG211*MIN($BG211*$BA211*$BC211*$BD211*$BH211*$BF211,'Technical Premium'!$C$17),""),"")</f>
        <v/>
      </c>
      <c r="CI211" s="102" t="str">
        <f t="shared" si="44"/>
        <v/>
      </c>
      <c r="CJ211" s="102" t="str">
        <f>IFERROR($CI211*(1+'Technical Premium'!$C$5)*(1+'Technical Premium'!$C$6),"")</f>
        <v/>
      </c>
      <c r="CK211" s="102" t="str">
        <f>IFERROR($CE211*INDEX('Territory Factors'!$G$6:$G$56,MATCH($K211,'Territory Factors'!$B$6:$B$56,0))*$AU211*$AV211,"")</f>
        <v/>
      </c>
      <c r="CL211" s="102" t="str">
        <f>IFERROR(($CJ211+$CK211)*(1+'Technical Premium'!$C$7),"")</f>
        <v/>
      </c>
      <c r="CM211" s="104" t="str">
        <f>IFERROR($CL211/'Technical Premium'!$C$13,"")</f>
        <v/>
      </c>
      <c r="CN211" s="105" t="str">
        <f t="shared" si="45"/>
        <v/>
      </c>
      <c r="CO211" s="104" t="str">
        <f t="shared" si="46"/>
        <v/>
      </c>
      <c r="CP211" s="105" t="str">
        <f t="shared" si="47"/>
        <v/>
      </c>
      <c r="CQ211" s="106" t="str">
        <f t="shared" si="48"/>
        <v/>
      </c>
      <c r="CR211" s="102" t="str">
        <f>IF(ISNUMBER($CM211),'Technical Premium'!$C$14+IF($J211&gt;=1000000,'Technical Premium'!$C$15,0),"")</f>
        <v/>
      </c>
      <c r="CS211" s="102" t="str">
        <f>IFERROR(($CO211+$CR211)*(INDEX('Territory Factors'!$K$6:$K$56,MATCH($K211,'Territory Factors'!$B$6:$B$56,0))+'Commission Structure'!$C$21),"")</f>
        <v/>
      </c>
      <c r="CT211" s="104" t="str">
        <f t="shared" si="49"/>
        <v/>
      </c>
      <c r="CU211" s="102" t="str">
        <f>IFERROR($CO211*('Commission Structure'!$C$6+'Commission Structure'!$C$7),"")</f>
        <v/>
      </c>
      <c r="CV211" s="102" t="str">
        <f>IFERROR($CO211*'Commission Structure'!$C$5-$CU211,"")</f>
        <v/>
      </c>
      <c r="CW211" s="102" t="str">
        <f>IFERROR($CO211*(1-'Commission Structure'!$C$5),"")</f>
        <v/>
      </c>
      <c r="CX211" s="107"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8" t="str">
        <f t="shared" si="50"/>
        <v/>
      </c>
      <c r="CZ211" s="99" t="str">
        <f>IF($CY211="","",IF($CY211&lt;'Technical Premium'!$C$19,"BEYOND AUTHORITY",IF($CY211&gt;0.005,"Above technical",IF($CY211&lt;-0.005,"BELOW technical","At technical"))))</f>
        <v/>
      </c>
      <c r="DA211" s="99"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4"/>
      <c r="DC211" s="94"/>
      <c r="DD211" s="95"/>
      <c r="DE211" s="94"/>
      <c r="DF211" s="94"/>
      <c r="DG211" s="99" t="str">
        <f t="shared" si="51"/>
        <v/>
      </c>
      <c r="DH211" s="99" t="str">
        <f>IF($A211="","",IF(OR($CX211="REFER",$CX211="DECLINE"),COUNTIF($CX$5:$CX211,"REFER")+COUNTIF($CX$5:$CX211,"DECLINE"),""))</f>
        <v/>
      </c>
      <c r="DI211" s="94"/>
    </row>
    <row r="212" spans="1:113" x14ac:dyDescent="0.35">
      <c r="A212" s="94"/>
      <c r="B212" s="94"/>
      <c r="C212" s="95"/>
      <c r="D212" s="95"/>
      <c r="E212" s="96"/>
      <c r="F212" s="94"/>
      <c r="G212" s="94"/>
      <c r="H212" s="94"/>
      <c r="I212" s="94"/>
      <c r="J212" s="97"/>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8"/>
      <c r="AR212" s="99" t="str">
        <f t="shared" si="39"/>
        <v/>
      </c>
      <c r="AS212" s="99" t="str">
        <f>IF($A212="","",IF($AP212&lt;&gt;"",$AP212,IFERROR(INDEX('Cat Zone by ZIP'!$D$6:$D$856,MATCH($AR212,'Cat Zone by ZIP'!$B$6:$B$856,0)),IFERROR(INDEX('Cat Zone by ZIP'!$C$860:$C$910,MATCH($K212,'Cat Zone by ZIP'!$B$860:$B$910,0)),"NOT FOUND"))))</f>
        <v/>
      </c>
      <c r="AT212" s="99" t="str">
        <f>IF($A212="","",IF($AP212&lt;&gt;"","Override",IF(ISNUMBER(MATCH($AR212,'Cat Zone by ZIP'!$B$6:$B$856,0)),"ZIP-3","State default")))</f>
        <v/>
      </c>
      <c r="AU212" s="100" t="str">
        <f>IF($A212="","",IFERROR(INDEX('Natural Catastrophe'!$D$6:$D$17,MATCH($AS212,'Natural Catastrophe'!$B$6:$B$17,0)),"?"))</f>
        <v/>
      </c>
      <c r="AV212" s="100" t="str">
        <f>IF($A212="","",IFERROR(INDEX('Natural Catastrophe'!$C$21:$C$26,MATCH($AA212,'Natural Catastrophe'!$B$21:$B$26,0)),"?"))</f>
        <v/>
      </c>
      <c r="AW212" s="99" t="str">
        <f>IF($A212="","",IFERROR(INDEX('Base Rates'!$C$4:$I$4,MATCH(MAX($J212,'Technical Premium'!$C$18),'Base Rates'!$C$3:$I$3,1)),"?"))</f>
        <v/>
      </c>
      <c r="AX212" s="101" t="str">
        <f>IF($A212="","",IFERROR(INDEX('Base Rates'!$C$5:$I$16,MATCH($I212,'Base Rates'!$B$5:$B$16,0),MATCH(MAX($J212,'Technical Premium'!$C$18),'Base Rates'!$C$3:$I$3,1)),"?"))</f>
        <v/>
      </c>
      <c r="AY212" s="102" t="str">
        <f t="shared" si="40"/>
        <v/>
      </c>
      <c r="AZ212" s="99" t="str">
        <f>IF($A212="","",IFERROR(INDEX('Make Factors'!$G$5:$G$69,MATCH($F212,'Make Factors'!$B$5:$B$69,0)),"?"))</f>
        <v/>
      </c>
      <c r="BA212" s="99" t="str">
        <f>IF($A212="","",IFERROR(INDEX('Driver Factors'!$C$6:$C$15,MATCH($R212,'Driver Factors'!$B$6:$B$15,0)),"?"))</f>
        <v/>
      </c>
      <c r="BB212" s="99" t="str">
        <f>IF($A212="","",IFERROR(INDEX('Driver Factors'!$C$19:$C$24,MATCH($S212,'Driver Factors'!$B$19:$B$24,0)),"?"))</f>
        <v/>
      </c>
      <c r="BC212" s="99" t="str">
        <f>IF($A212="","",IFERROR(INDEX('Driver Factors'!$C$28:$C$36,MATCH($T212,'Driver Factors'!$B$28:$B$36,0)),"?"))</f>
        <v/>
      </c>
      <c r="BD212" s="99" t="str">
        <f>IF($A212="","",IFERROR(INDEX('Claims History'!$C$6:$C$15,MATCH($U212,'Claims History'!$B$6:$B$15,0)),"?"))</f>
        <v/>
      </c>
      <c r="BE212" s="99" t="str">
        <f>IF($A212="","",IFERROR(INDEX('Territory Factors'!$E$6:$E$56,MATCH($K212,'Territory Factors'!$B$6:$B$56,0)),"?"))</f>
        <v/>
      </c>
      <c r="BF212" s="99" t="str">
        <f>IF($A212="","",IFERROR(INDEX('City Accident Ratings'!$G$6:$G$54,MATCH($Z212,'City Accident Ratings'!$B$6:$B$54,0)),"?"))</f>
        <v/>
      </c>
      <c r="BG212" s="99" t="str">
        <f>IF($A212="","",IFERROR(INDEX('Usage and Coverage'!$D$6:$D$20,MATCH($N212,'Usage and Coverage'!$C$6:$C$20,0)),"?"))</f>
        <v/>
      </c>
      <c r="BH212" s="99" t="str">
        <f>IF($A212="","",IFERROR(INDEX('Usage and Coverage'!$C$24:$C$30,MATCH($O212,'Usage and Coverage'!$B$24:$B$30,0)),"?"))</f>
        <v/>
      </c>
      <c r="BI212" s="99" t="str">
        <f>IF($A212="","",IFERROR(INDEX('Usage and Coverage'!$C$34:$C$40,MATCH($P212,'Usage and Coverage'!$B$34:$B$40,0)),"?"))</f>
        <v/>
      </c>
      <c r="BJ212" s="99" t="str">
        <f>IF($A212="","",IFERROR(INDEX('Usage and Coverage'!$C$44:$C$49,MATCH($Q212,'Usage and Coverage'!$B$44:$B$49,0)),"?"))</f>
        <v/>
      </c>
      <c r="BK212" s="99" t="str">
        <f>IF($A212="","",IFERROR(INDEX(Deductibles!$C$6:$I$15,MATCH($W212,Deductibles!$B$6:$B$15,0),MATCH(MAX($J212,'Technical Premium'!$C$18),'Base Rates'!$C$3:$I$3,1)),"?"))</f>
        <v/>
      </c>
      <c r="BL212" s="99" t="str">
        <f>IF($A212="","",IFERROR(INDEX('Usage and Coverage'!$C$63:$C$66,MATCH($X212,'Usage and Coverage'!$B$63:$B$66,0)),"?"))</f>
        <v/>
      </c>
      <c r="BM212" s="99" t="str">
        <f>IF($A212="","",IFERROR(INDEX('Usage and Coverage'!$C$70:$C$75,MATCH($V212,'Usage and Coverage'!$B$70:$B$75,0)),"?"))</f>
        <v/>
      </c>
      <c r="BN212" s="99" t="str">
        <f>IF($A212="","",IF($AB212="",1,IFERROR(INDEX(Deductibles!$C$48:$C$51,MATCH($AB212,Deductibles!$B$48:$B$51,0)),"?")))</f>
        <v/>
      </c>
      <c r="BO212" s="99" t="str">
        <f>IF($A212="","",IF($AC212="",1,IFERROR(INDEX(Deductibles!$C$55:$C$57,MATCH($AC212,Deductibles!$B$55:$B$57,0)),"?")))</f>
        <v/>
      </c>
      <c r="BP212" s="99" t="str">
        <f>IF($A212="","",IF($AD212="",1,IFERROR(INDEX(Deductibles!$C$61:$C$63,MATCH($AD212,Deductibles!$B$61:$B$63,0)),"?")))</f>
        <v/>
      </c>
      <c r="BQ212" s="99" t="str">
        <f>IF($A212="","",IF($AE212="",1,IFERROR(INDEX(Deductibles!$C$67:$C$69,MATCH($AE212,Deductibles!$B$67:$B$69,0)),"?")))</f>
        <v/>
      </c>
      <c r="BR212" s="99" t="str">
        <f>IF($A212="","",IF($AF212="",1,IFERROR(INDEX(Deductibles!$C$73:$C$74,MATCH($AF212,Deductibles!$B$73:$B$74,0)),"?")))</f>
        <v/>
      </c>
      <c r="BS212" s="99" t="str">
        <f>IF($A212="","",IF($AG212="",1,IFERROR(INDEX('Sublimits and Parts'!$C$49:$C$52,MATCH($AG212,'Sublimits and Parts'!$B$49:$B$52,0)),"?")))</f>
        <v/>
      </c>
      <c r="BT212" s="99" t="str">
        <f>IF($A212="","",IF($AH212="",1,IFERROR(INDEX('Sublimits and Parts'!$C$56:$C$60,MATCH($AH212,'Sublimits and Parts'!$B$56:$B$60,0)),"?")))</f>
        <v/>
      </c>
      <c r="BU212" s="99" t="str">
        <f>IF($A212="","",IF($AI212="",1,IFERROR(INDEX('Sublimits and Parts'!$C$64:$C$67,MATCH($AI212,'Sublimits and Parts'!$B$64:$B$67,0)),"?")))</f>
        <v/>
      </c>
      <c r="BV212" s="99" t="str">
        <f>IF($A212="","",IF($AJ212="",1,IFERROR(INDEX('Sublimits and Parts'!$C$71:$C$74,MATCH($AJ212,'Sublimits and Parts'!$B$71:$B$74,0)),"?")))</f>
        <v/>
      </c>
      <c r="BW212" s="99" t="str">
        <f>IF($A212="","",IF($AK212="",1,IFERROR(INDEX('Sublimits and Parts'!$C$78:$C$80,MATCH($AK212,'Sublimits and Parts'!$B$78:$B$80,0)),"?")))</f>
        <v/>
      </c>
      <c r="BX212" s="99" t="str">
        <f>IF($A212="","",IF($AL212="",1,IFERROR(INDEX('Sublimits and Parts'!$C$84:$C$87,MATCH($AL212,'Sublimits and Parts'!$B$84:$B$87,0)),"?")))</f>
        <v/>
      </c>
      <c r="BY212" s="99" t="str">
        <f>IF($A212="","",IF($AM212="",1,IFERROR(INDEX('Sublimits and Parts'!$C$91:$C$94,MATCH($AM212,'Sublimits and Parts'!$B$91:$B$94,0)),"?")))</f>
        <v/>
      </c>
      <c r="BZ212" s="99" t="str">
        <f>IF($A212="","",IF($AN212="",1,IFERROR(INDEX('Sublimits and Parts'!$C$98:$C$101,MATCH($AN212,'Sublimits and Parts'!$B$98:$B$101,0)),"?")))</f>
        <v/>
      </c>
      <c r="CA212" s="99" t="str">
        <f>IF($A212="","",IF($AO212="",1,IFERROR(INDEX('Sublimits and Parts'!$C$105:$C$109,MATCH($AO212,'Sublimits and Parts'!$B$105:$B$109,0)),"?")))</f>
        <v/>
      </c>
      <c r="CB212" s="100" t="str">
        <f t="shared" si="41"/>
        <v/>
      </c>
      <c r="CC212" s="100" t="str">
        <f t="shared" si="42"/>
        <v/>
      </c>
      <c r="CD212" s="103" t="str">
        <f>IF($A212="","",IF(OR($CB212="?",$CC212="?"),"?",MIN($CB212*$CC212,'Technical Premium'!$C$17)))</f>
        <v/>
      </c>
      <c r="CE212" s="102" t="str">
        <f t="shared" si="43"/>
        <v/>
      </c>
      <c r="CF212" s="102" t="str">
        <f>IF($A212="","",IFERROR(INDEX('Territory Factors'!$F$6:$F$56,MATCH($K212,'Territory Factors'!$B$6:$B$56,0)),"?"))</f>
        <v/>
      </c>
      <c r="CG212" s="100" t="str">
        <f>IF($A212="","",IFERROR(INDEX('Usage and Coverage'!$C$79:$C$84,MATCH($Y212,'Usage and Coverage'!$B$79:$B$84,0)),"?"))</f>
        <v/>
      </c>
      <c r="CH212" s="102" t="str">
        <f>IFERROR(IF(ISNUMBER($CD212),$CF212*$CG212*MIN($BG212*$BA212*$BC212*$BD212*$BH212*$BF212,'Technical Premium'!$C$17),""),"")</f>
        <v/>
      </c>
      <c r="CI212" s="102" t="str">
        <f t="shared" si="44"/>
        <v/>
      </c>
      <c r="CJ212" s="102" t="str">
        <f>IFERROR($CI212*(1+'Technical Premium'!$C$5)*(1+'Technical Premium'!$C$6),"")</f>
        <v/>
      </c>
      <c r="CK212" s="102" t="str">
        <f>IFERROR($CE212*INDEX('Territory Factors'!$G$6:$G$56,MATCH($K212,'Territory Factors'!$B$6:$B$56,0))*$AU212*$AV212,"")</f>
        <v/>
      </c>
      <c r="CL212" s="102" t="str">
        <f>IFERROR(($CJ212+$CK212)*(1+'Technical Premium'!$C$7),"")</f>
        <v/>
      </c>
      <c r="CM212" s="104" t="str">
        <f>IFERROR($CL212/'Technical Premium'!$C$13,"")</f>
        <v/>
      </c>
      <c r="CN212" s="105" t="str">
        <f t="shared" si="45"/>
        <v/>
      </c>
      <c r="CO212" s="104" t="str">
        <f t="shared" si="46"/>
        <v/>
      </c>
      <c r="CP212" s="105" t="str">
        <f t="shared" si="47"/>
        <v/>
      </c>
      <c r="CQ212" s="106" t="str">
        <f t="shared" si="48"/>
        <v/>
      </c>
      <c r="CR212" s="102" t="str">
        <f>IF(ISNUMBER($CM212),'Technical Premium'!$C$14+IF($J212&gt;=1000000,'Technical Premium'!$C$15,0),"")</f>
        <v/>
      </c>
      <c r="CS212" s="102" t="str">
        <f>IFERROR(($CO212+$CR212)*(INDEX('Territory Factors'!$K$6:$K$56,MATCH($K212,'Territory Factors'!$B$6:$B$56,0))+'Commission Structure'!$C$21),"")</f>
        <v/>
      </c>
      <c r="CT212" s="104" t="str">
        <f t="shared" si="49"/>
        <v/>
      </c>
      <c r="CU212" s="102" t="str">
        <f>IFERROR($CO212*('Commission Structure'!$C$6+'Commission Structure'!$C$7),"")</f>
        <v/>
      </c>
      <c r="CV212" s="102" t="str">
        <f>IFERROR($CO212*'Commission Structure'!$C$5-$CU212,"")</f>
        <v/>
      </c>
      <c r="CW212" s="102" t="str">
        <f>IFERROR($CO212*(1-'Commission Structure'!$C$5),"")</f>
        <v/>
      </c>
      <c r="CX212" s="107"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8" t="str">
        <f t="shared" si="50"/>
        <v/>
      </c>
      <c r="CZ212" s="99" t="str">
        <f>IF($CY212="","",IF($CY212&lt;'Technical Premium'!$C$19,"BEYOND AUTHORITY",IF($CY212&gt;0.005,"Above technical",IF($CY212&lt;-0.005,"BELOW technical","At technical"))))</f>
        <v/>
      </c>
      <c r="DA212" s="99"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4"/>
      <c r="DC212" s="94"/>
      <c r="DD212" s="95"/>
      <c r="DE212" s="94"/>
      <c r="DF212" s="94"/>
      <c r="DG212" s="99" t="str">
        <f t="shared" si="51"/>
        <v/>
      </c>
      <c r="DH212" s="99" t="str">
        <f>IF($A212="","",IF(OR($CX212="REFER",$CX212="DECLINE"),COUNTIF($CX$5:$CX212,"REFER")+COUNTIF($CX$5:$CX212,"DECLINE"),""))</f>
        <v/>
      </c>
      <c r="DI212" s="94"/>
    </row>
    <row r="213" spans="1:113" x14ac:dyDescent="0.35">
      <c r="A213" s="94"/>
      <c r="B213" s="94"/>
      <c r="C213" s="95"/>
      <c r="D213" s="95"/>
      <c r="E213" s="96"/>
      <c r="F213" s="94"/>
      <c r="G213" s="94"/>
      <c r="H213" s="94"/>
      <c r="I213" s="94"/>
      <c r="J213" s="97"/>
      <c r="K213" s="94"/>
      <c r="L213" s="94"/>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8"/>
      <c r="AR213" s="99" t="str">
        <f t="shared" si="39"/>
        <v/>
      </c>
      <c r="AS213" s="99" t="str">
        <f>IF($A213="","",IF($AP213&lt;&gt;"",$AP213,IFERROR(INDEX('Cat Zone by ZIP'!$D$6:$D$856,MATCH($AR213,'Cat Zone by ZIP'!$B$6:$B$856,0)),IFERROR(INDEX('Cat Zone by ZIP'!$C$860:$C$910,MATCH($K213,'Cat Zone by ZIP'!$B$860:$B$910,0)),"NOT FOUND"))))</f>
        <v/>
      </c>
      <c r="AT213" s="99" t="str">
        <f>IF($A213="","",IF($AP213&lt;&gt;"","Override",IF(ISNUMBER(MATCH($AR213,'Cat Zone by ZIP'!$B$6:$B$856,0)),"ZIP-3","State default")))</f>
        <v/>
      </c>
      <c r="AU213" s="100" t="str">
        <f>IF($A213="","",IFERROR(INDEX('Natural Catastrophe'!$D$6:$D$17,MATCH($AS213,'Natural Catastrophe'!$B$6:$B$17,0)),"?"))</f>
        <v/>
      </c>
      <c r="AV213" s="100" t="str">
        <f>IF($A213="","",IFERROR(INDEX('Natural Catastrophe'!$C$21:$C$26,MATCH($AA213,'Natural Catastrophe'!$B$21:$B$26,0)),"?"))</f>
        <v/>
      </c>
      <c r="AW213" s="99" t="str">
        <f>IF($A213="","",IFERROR(INDEX('Base Rates'!$C$4:$I$4,MATCH(MAX($J213,'Technical Premium'!$C$18),'Base Rates'!$C$3:$I$3,1)),"?"))</f>
        <v/>
      </c>
      <c r="AX213" s="101" t="str">
        <f>IF($A213="","",IFERROR(INDEX('Base Rates'!$C$5:$I$16,MATCH($I213,'Base Rates'!$B$5:$B$16,0),MATCH(MAX($J213,'Technical Premium'!$C$18),'Base Rates'!$C$3:$I$3,1)),"?"))</f>
        <v/>
      </c>
      <c r="AY213" s="102" t="str">
        <f t="shared" si="40"/>
        <v/>
      </c>
      <c r="AZ213" s="99" t="str">
        <f>IF($A213="","",IFERROR(INDEX('Make Factors'!$G$5:$G$69,MATCH($F213,'Make Factors'!$B$5:$B$69,0)),"?"))</f>
        <v/>
      </c>
      <c r="BA213" s="99" t="str">
        <f>IF($A213="","",IFERROR(INDEX('Driver Factors'!$C$6:$C$15,MATCH($R213,'Driver Factors'!$B$6:$B$15,0)),"?"))</f>
        <v/>
      </c>
      <c r="BB213" s="99" t="str">
        <f>IF($A213="","",IFERROR(INDEX('Driver Factors'!$C$19:$C$24,MATCH($S213,'Driver Factors'!$B$19:$B$24,0)),"?"))</f>
        <v/>
      </c>
      <c r="BC213" s="99" t="str">
        <f>IF($A213="","",IFERROR(INDEX('Driver Factors'!$C$28:$C$36,MATCH($T213,'Driver Factors'!$B$28:$B$36,0)),"?"))</f>
        <v/>
      </c>
      <c r="BD213" s="99" t="str">
        <f>IF($A213="","",IFERROR(INDEX('Claims History'!$C$6:$C$15,MATCH($U213,'Claims History'!$B$6:$B$15,0)),"?"))</f>
        <v/>
      </c>
      <c r="BE213" s="99" t="str">
        <f>IF($A213="","",IFERROR(INDEX('Territory Factors'!$E$6:$E$56,MATCH($K213,'Territory Factors'!$B$6:$B$56,0)),"?"))</f>
        <v/>
      </c>
      <c r="BF213" s="99" t="str">
        <f>IF($A213="","",IFERROR(INDEX('City Accident Ratings'!$G$6:$G$54,MATCH($Z213,'City Accident Ratings'!$B$6:$B$54,0)),"?"))</f>
        <v/>
      </c>
      <c r="BG213" s="99" t="str">
        <f>IF($A213="","",IFERROR(INDEX('Usage and Coverage'!$D$6:$D$20,MATCH($N213,'Usage and Coverage'!$C$6:$C$20,0)),"?"))</f>
        <v/>
      </c>
      <c r="BH213" s="99" t="str">
        <f>IF($A213="","",IFERROR(INDEX('Usage and Coverage'!$C$24:$C$30,MATCH($O213,'Usage and Coverage'!$B$24:$B$30,0)),"?"))</f>
        <v/>
      </c>
      <c r="BI213" s="99" t="str">
        <f>IF($A213="","",IFERROR(INDEX('Usage and Coverage'!$C$34:$C$40,MATCH($P213,'Usage and Coverage'!$B$34:$B$40,0)),"?"))</f>
        <v/>
      </c>
      <c r="BJ213" s="99" t="str">
        <f>IF($A213="","",IFERROR(INDEX('Usage and Coverage'!$C$44:$C$49,MATCH($Q213,'Usage and Coverage'!$B$44:$B$49,0)),"?"))</f>
        <v/>
      </c>
      <c r="BK213" s="99" t="str">
        <f>IF($A213="","",IFERROR(INDEX(Deductibles!$C$6:$I$15,MATCH($W213,Deductibles!$B$6:$B$15,0),MATCH(MAX($J213,'Technical Premium'!$C$18),'Base Rates'!$C$3:$I$3,1)),"?"))</f>
        <v/>
      </c>
      <c r="BL213" s="99" t="str">
        <f>IF($A213="","",IFERROR(INDEX('Usage and Coverage'!$C$63:$C$66,MATCH($X213,'Usage and Coverage'!$B$63:$B$66,0)),"?"))</f>
        <v/>
      </c>
      <c r="BM213" s="99" t="str">
        <f>IF($A213="","",IFERROR(INDEX('Usage and Coverage'!$C$70:$C$75,MATCH($V213,'Usage and Coverage'!$B$70:$B$75,0)),"?"))</f>
        <v/>
      </c>
      <c r="BN213" s="99" t="str">
        <f>IF($A213="","",IF($AB213="",1,IFERROR(INDEX(Deductibles!$C$48:$C$51,MATCH($AB213,Deductibles!$B$48:$B$51,0)),"?")))</f>
        <v/>
      </c>
      <c r="BO213" s="99" t="str">
        <f>IF($A213="","",IF($AC213="",1,IFERROR(INDEX(Deductibles!$C$55:$C$57,MATCH($AC213,Deductibles!$B$55:$B$57,0)),"?")))</f>
        <v/>
      </c>
      <c r="BP213" s="99" t="str">
        <f>IF($A213="","",IF($AD213="",1,IFERROR(INDEX(Deductibles!$C$61:$C$63,MATCH($AD213,Deductibles!$B$61:$B$63,0)),"?")))</f>
        <v/>
      </c>
      <c r="BQ213" s="99" t="str">
        <f>IF($A213="","",IF($AE213="",1,IFERROR(INDEX(Deductibles!$C$67:$C$69,MATCH($AE213,Deductibles!$B$67:$B$69,0)),"?")))</f>
        <v/>
      </c>
      <c r="BR213" s="99" t="str">
        <f>IF($A213="","",IF($AF213="",1,IFERROR(INDEX(Deductibles!$C$73:$C$74,MATCH($AF213,Deductibles!$B$73:$B$74,0)),"?")))</f>
        <v/>
      </c>
      <c r="BS213" s="99" t="str">
        <f>IF($A213="","",IF($AG213="",1,IFERROR(INDEX('Sublimits and Parts'!$C$49:$C$52,MATCH($AG213,'Sublimits and Parts'!$B$49:$B$52,0)),"?")))</f>
        <v/>
      </c>
      <c r="BT213" s="99" t="str">
        <f>IF($A213="","",IF($AH213="",1,IFERROR(INDEX('Sublimits and Parts'!$C$56:$C$60,MATCH($AH213,'Sublimits and Parts'!$B$56:$B$60,0)),"?")))</f>
        <v/>
      </c>
      <c r="BU213" s="99" t="str">
        <f>IF($A213="","",IF($AI213="",1,IFERROR(INDEX('Sublimits and Parts'!$C$64:$C$67,MATCH($AI213,'Sublimits and Parts'!$B$64:$B$67,0)),"?")))</f>
        <v/>
      </c>
      <c r="BV213" s="99" t="str">
        <f>IF($A213="","",IF($AJ213="",1,IFERROR(INDEX('Sublimits and Parts'!$C$71:$C$74,MATCH($AJ213,'Sublimits and Parts'!$B$71:$B$74,0)),"?")))</f>
        <v/>
      </c>
      <c r="BW213" s="99" t="str">
        <f>IF($A213="","",IF($AK213="",1,IFERROR(INDEX('Sublimits and Parts'!$C$78:$C$80,MATCH($AK213,'Sublimits and Parts'!$B$78:$B$80,0)),"?")))</f>
        <v/>
      </c>
      <c r="BX213" s="99" t="str">
        <f>IF($A213="","",IF($AL213="",1,IFERROR(INDEX('Sublimits and Parts'!$C$84:$C$87,MATCH($AL213,'Sublimits and Parts'!$B$84:$B$87,0)),"?")))</f>
        <v/>
      </c>
      <c r="BY213" s="99" t="str">
        <f>IF($A213="","",IF($AM213="",1,IFERROR(INDEX('Sublimits and Parts'!$C$91:$C$94,MATCH($AM213,'Sublimits and Parts'!$B$91:$B$94,0)),"?")))</f>
        <v/>
      </c>
      <c r="BZ213" s="99" t="str">
        <f>IF($A213="","",IF($AN213="",1,IFERROR(INDEX('Sublimits and Parts'!$C$98:$C$101,MATCH($AN213,'Sublimits and Parts'!$B$98:$B$101,0)),"?")))</f>
        <v/>
      </c>
      <c r="CA213" s="99" t="str">
        <f>IF($A213="","",IF($AO213="",1,IFERROR(INDEX('Sublimits and Parts'!$C$105:$C$109,MATCH($AO213,'Sublimits and Parts'!$B$105:$B$109,0)),"?")))</f>
        <v/>
      </c>
      <c r="CB213" s="100" t="str">
        <f t="shared" si="41"/>
        <v/>
      </c>
      <c r="CC213" s="100" t="str">
        <f t="shared" si="42"/>
        <v/>
      </c>
      <c r="CD213" s="103" t="str">
        <f>IF($A213="","",IF(OR($CB213="?",$CC213="?"),"?",MIN($CB213*$CC213,'Technical Premium'!$C$17)))</f>
        <v/>
      </c>
      <c r="CE213" s="102" t="str">
        <f t="shared" si="43"/>
        <v/>
      </c>
      <c r="CF213" s="102" t="str">
        <f>IF($A213="","",IFERROR(INDEX('Territory Factors'!$F$6:$F$56,MATCH($K213,'Territory Factors'!$B$6:$B$56,0)),"?"))</f>
        <v/>
      </c>
      <c r="CG213" s="100" t="str">
        <f>IF($A213="","",IFERROR(INDEX('Usage and Coverage'!$C$79:$C$84,MATCH($Y213,'Usage and Coverage'!$B$79:$B$84,0)),"?"))</f>
        <v/>
      </c>
      <c r="CH213" s="102" t="str">
        <f>IFERROR(IF(ISNUMBER($CD213),$CF213*$CG213*MIN($BG213*$BA213*$BC213*$BD213*$BH213*$BF213,'Technical Premium'!$C$17),""),"")</f>
        <v/>
      </c>
      <c r="CI213" s="102" t="str">
        <f t="shared" si="44"/>
        <v/>
      </c>
      <c r="CJ213" s="102" t="str">
        <f>IFERROR($CI213*(1+'Technical Premium'!$C$5)*(1+'Technical Premium'!$C$6),"")</f>
        <v/>
      </c>
      <c r="CK213" s="102" t="str">
        <f>IFERROR($CE213*INDEX('Territory Factors'!$G$6:$G$56,MATCH($K213,'Territory Factors'!$B$6:$B$56,0))*$AU213*$AV213,"")</f>
        <v/>
      </c>
      <c r="CL213" s="102" t="str">
        <f>IFERROR(($CJ213+$CK213)*(1+'Technical Premium'!$C$7),"")</f>
        <v/>
      </c>
      <c r="CM213" s="104" t="str">
        <f>IFERROR($CL213/'Technical Premium'!$C$13,"")</f>
        <v/>
      </c>
      <c r="CN213" s="105" t="str">
        <f t="shared" si="45"/>
        <v/>
      </c>
      <c r="CO213" s="104" t="str">
        <f t="shared" si="46"/>
        <v/>
      </c>
      <c r="CP213" s="105" t="str">
        <f t="shared" si="47"/>
        <v/>
      </c>
      <c r="CQ213" s="106" t="str">
        <f t="shared" si="48"/>
        <v/>
      </c>
      <c r="CR213" s="102" t="str">
        <f>IF(ISNUMBER($CM213),'Technical Premium'!$C$14+IF($J213&gt;=1000000,'Technical Premium'!$C$15,0),"")</f>
        <v/>
      </c>
      <c r="CS213" s="102" t="str">
        <f>IFERROR(($CO213+$CR213)*(INDEX('Territory Factors'!$K$6:$K$56,MATCH($K213,'Territory Factors'!$B$6:$B$56,0))+'Commission Structure'!$C$21),"")</f>
        <v/>
      </c>
      <c r="CT213" s="104" t="str">
        <f t="shared" si="49"/>
        <v/>
      </c>
      <c r="CU213" s="102" t="str">
        <f>IFERROR($CO213*('Commission Structure'!$C$6+'Commission Structure'!$C$7),"")</f>
        <v/>
      </c>
      <c r="CV213" s="102" t="str">
        <f>IFERROR($CO213*'Commission Structure'!$C$5-$CU213,"")</f>
        <v/>
      </c>
      <c r="CW213" s="102" t="str">
        <f>IFERROR($CO213*(1-'Commission Structure'!$C$5),"")</f>
        <v/>
      </c>
      <c r="CX213" s="107"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8" t="str">
        <f t="shared" si="50"/>
        <v/>
      </c>
      <c r="CZ213" s="99" t="str">
        <f>IF($CY213="","",IF($CY213&lt;'Technical Premium'!$C$19,"BEYOND AUTHORITY",IF($CY213&gt;0.005,"Above technical",IF($CY213&lt;-0.005,"BELOW technical","At technical"))))</f>
        <v/>
      </c>
      <c r="DA213" s="99"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4"/>
      <c r="DC213" s="94"/>
      <c r="DD213" s="95"/>
      <c r="DE213" s="94"/>
      <c r="DF213" s="94"/>
      <c r="DG213" s="99" t="str">
        <f t="shared" si="51"/>
        <v/>
      </c>
      <c r="DH213" s="99" t="str">
        <f>IF($A213="","",IF(OR($CX213="REFER",$CX213="DECLINE"),COUNTIF($CX$5:$CX213,"REFER")+COUNTIF($CX$5:$CX213,"DECLINE"),""))</f>
        <v/>
      </c>
      <c r="DI213" s="94"/>
    </row>
    <row r="214" spans="1:113" x14ac:dyDescent="0.35">
      <c r="A214" s="94"/>
      <c r="B214" s="94"/>
      <c r="C214" s="95"/>
      <c r="D214" s="95"/>
      <c r="E214" s="96"/>
      <c r="F214" s="94"/>
      <c r="G214" s="94"/>
      <c r="H214" s="94"/>
      <c r="I214" s="94"/>
      <c r="J214" s="97"/>
      <c r="K214" s="94"/>
      <c r="L214" s="94"/>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8"/>
      <c r="AR214" s="99" t="str">
        <f t="shared" si="39"/>
        <v/>
      </c>
      <c r="AS214" s="99" t="str">
        <f>IF($A214="","",IF($AP214&lt;&gt;"",$AP214,IFERROR(INDEX('Cat Zone by ZIP'!$D$6:$D$856,MATCH($AR214,'Cat Zone by ZIP'!$B$6:$B$856,0)),IFERROR(INDEX('Cat Zone by ZIP'!$C$860:$C$910,MATCH($K214,'Cat Zone by ZIP'!$B$860:$B$910,0)),"NOT FOUND"))))</f>
        <v/>
      </c>
      <c r="AT214" s="99" t="str">
        <f>IF($A214="","",IF($AP214&lt;&gt;"","Override",IF(ISNUMBER(MATCH($AR214,'Cat Zone by ZIP'!$B$6:$B$856,0)),"ZIP-3","State default")))</f>
        <v/>
      </c>
      <c r="AU214" s="100" t="str">
        <f>IF($A214="","",IFERROR(INDEX('Natural Catastrophe'!$D$6:$D$17,MATCH($AS214,'Natural Catastrophe'!$B$6:$B$17,0)),"?"))</f>
        <v/>
      </c>
      <c r="AV214" s="100" t="str">
        <f>IF($A214="","",IFERROR(INDEX('Natural Catastrophe'!$C$21:$C$26,MATCH($AA214,'Natural Catastrophe'!$B$21:$B$26,0)),"?"))</f>
        <v/>
      </c>
      <c r="AW214" s="99" t="str">
        <f>IF($A214="","",IFERROR(INDEX('Base Rates'!$C$4:$I$4,MATCH(MAX($J214,'Technical Premium'!$C$18),'Base Rates'!$C$3:$I$3,1)),"?"))</f>
        <v/>
      </c>
      <c r="AX214" s="101" t="str">
        <f>IF($A214="","",IFERROR(INDEX('Base Rates'!$C$5:$I$16,MATCH($I214,'Base Rates'!$B$5:$B$16,0),MATCH(MAX($J214,'Technical Premium'!$C$18),'Base Rates'!$C$3:$I$3,1)),"?"))</f>
        <v/>
      </c>
      <c r="AY214" s="102" t="str">
        <f t="shared" si="40"/>
        <v/>
      </c>
      <c r="AZ214" s="99" t="str">
        <f>IF($A214="","",IFERROR(INDEX('Make Factors'!$G$5:$G$69,MATCH($F214,'Make Factors'!$B$5:$B$69,0)),"?"))</f>
        <v/>
      </c>
      <c r="BA214" s="99" t="str">
        <f>IF($A214="","",IFERROR(INDEX('Driver Factors'!$C$6:$C$15,MATCH($R214,'Driver Factors'!$B$6:$B$15,0)),"?"))</f>
        <v/>
      </c>
      <c r="BB214" s="99" t="str">
        <f>IF($A214="","",IFERROR(INDEX('Driver Factors'!$C$19:$C$24,MATCH($S214,'Driver Factors'!$B$19:$B$24,0)),"?"))</f>
        <v/>
      </c>
      <c r="BC214" s="99" t="str">
        <f>IF($A214="","",IFERROR(INDEX('Driver Factors'!$C$28:$C$36,MATCH($T214,'Driver Factors'!$B$28:$B$36,0)),"?"))</f>
        <v/>
      </c>
      <c r="BD214" s="99" t="str">
        <f>IF($A214="","",IFERROR(INDEX('Claims History'!$C$6:$C$15,MATCH($U214,'Claims History'!$B$6:$B$15,0)),"?"))</f>
        <v/>
      </c>
      <c r="BE214" s="99" t="str">
        <f>IF($A214="","",IFERROR(INDEX('Territory Factors'!$E$6:$E$56,MATCH($K214,'Territory Factors'!$B$6:$B$56,0)),"?"))</f>
        <v/>
      </c>
      <c r="BF214" s="99" t="str">
        <f>IF($A214="","",IFERROR(INDEX('City Accident Ratings'!$G$6:$G$54,MATCH($Z214,'City Accident Ratings'!$B$6:$B$54,0)),"?"))</f>
        <v/>
      </c>
      <c r="BG214" s="99" t="str">
        <f>IF($A214="","",IFERROR(INDEX('Usage and Coverage'!$D$6:$D$20,MATCH($N214,'Usage and Coverage'!$C$6:$C$20,0)),"?"))</f>
        <v/>
      </c>
      <c r="BH214" s="99" t="str">
        <f>IF($A214="","",IFERROR(INDEX('Usage and Coverage'!$C$24:$C$30,MATCH($O214,'Usage and Coverage'!$B$24:$B$30,0)),"?"))</f>
        <v/>
      </c>
      <c r="BI214" s="99" t="str">
        <f>IF($A214="","",IFERROR(INDEX('Usage and Coverage'!$C$34:$C$40,MATCH($P214,'Usage and Coverage'!$B$34:$B$40,0)),"?"))</f>
        <v/>
      </c>
      <c r="BJ214" s="99" t="str">
        <f>IF($A214="","",IFERROR(INDEX('Usage and Coverage'!$C$44:$C$49,MATCH($Q214,'Usage and Coverage'!$B$44:$B$49,0)),"?"))</f>
        <v/>
      </c>
      <c r="BK214" s="99" t="str">
        <f>IF($A214="","",IFERROR(INDEX(Deductibles!$C$6:$I$15,MATCH($W214,Deductibles!$B$6:$B$15,0),MATCH(MAX($J214,'Technical Premium'!$C$18),'Base Rates'!$C$3:$I$3,1)),"?"))</f>
        <v/>
      </c>
      <c r="BL214" s="99" t="str">
        <f>IF($A214="","",IFERROR(INDEX('Usage and Coverage'!$C$63:$C$66,MATCH($X214,'Usage and Coverage'!$B$63:$B$66,0)),"?"))</f>
        <v/>
      </c>
      <c r="BM214" s="99" t="str">
        <f>IF($A214="","",IFERROR(INDEX('Usage and Coverage'!$C$70:$C$75,MATCH($V214,'Usage and Coverage'!$B$70:$B$75,0)),"?"))</f>
        <v/>
      </c>
      <c r="BN214" s="99" t="str">
        <f>IF($A214="","",IF($AB214="",1,IFERROR(INDEX(Deductibles!$C$48:$C$51,MATCH($AB214,Deductibles!$B$48:$B$51,0)),"?")))</f>
        <v/>
      </c>
      <c r="BO214" s="99" t="str">
        <f>IF($A214="","",IF($AC214="",1,IFERROR(INDEX(Deductibles!$C$55:$C$57,MATCH($AC214,Deductibles!$B$55:$B$57,0)),"?")))</f>
        <v/>
      </c>
      <c r="BP214" s="99" t="str">
        <f>IF($A214="","",IF($AD214="",1,IFERROR(INDEX(Deductibles!$C$61:$C$63,MATCH($AD214,Deductibles!$B$61:$B$63,0)),"?")))</f>
        <v/>
      </c>
      <c r="BQ214" s="99" t="str">
        <f>IF($A214="","",IF($AE214="",1,IFERROR(INDEX(Deductibles!$C$67:$C$69,MATCH($AE214,Deductibles!$B$67:$B$69,0)),"?")))</f>
        <v/>
      </c>
      <c r="BR214" s="99" t="str">
        <f>IF($A214="","",IF($AF214="",1,IFERROR(INDEX(Deductibles!$C$73:$C$74,MATCH($AF214,Deductibles!$B$73:$B$74,0)),"?")))</f>
        <v/>
      </c>
      <c r="BS214" s="99" t="str">
        <f>IF($A214="","",IF($AG214="",1,IFERROR(INDEX('Sublimits and Parts'!$C$49:$C$52,MATCH($AG214,'Sublimits and Parts'!$B$49:$B$52,0)),"?")))</f>
        <v/>
      </c>
      <c r="BT214" s="99" t="str">
        <f>IF($A214="","",IF($AH214="",1,IFERROR(INDEX('Sublimits and Parts'!$C$56:$C$60,MATCH($AH214,'Sublimits and Parts'!$B$56:$B$60,0)),"?")))</f>
        <v/>
      </c>
      <c r="BU214" s="99" t="str">
        <f>IF($A214="","",IF($AI214="",1,IFERROR(INDEX('Sublimits and Parts'!$C$64:$C$67,MATCH($AI214,'Sublimits and Parts'!$B$64:$B$67,0)),"?")))</f>
        <v/>
      </c>
      <c r="BV214" s="99" t="str">
        <f>IF($A214="","",IF($AJ214="",1,IFERROR(INDEX('Sublimits and Parts'!$C$71:$C$74,MATCH($AJ214,'Sublimits and Parts'!$B$71:$B$74,0)),"?")))</f>
        <v/>
      </c>
      <c r="BW214" s="99" t="str">
        <f>IF($A214="","",IF($AK214="",1,IFERROR(INDEX('Sublimits and Parts'!$C$78:$C$80,MATCH($AK214,'Sublimits and Parts'!$B$78:$B$80,0)),"?")))</f>
        <v/>
      </c>
      <c r="BX214" s="99" t="str">
        <f>IF($A214="","",IF($AL214="",1,IFERROR(INDEX('Sublimits and Parts'!$C$84:$C$87,MATCH($AL214,'Sublimits and Parts'!$B$84:$B$87,0)),"?")))</f>
        <v/>
      </c>
      <c r="BY214" s="99" t="str">
        <f>IF($A214="","",IF($AM214="",1,IFERROR(INDEX('Sublimits and Parts'!$C$91:$C$94,MATCH($AM214,'Sublimits and Parts'!$B$91:$B$94,0)),"?")))</f>
        <v/>
      </c>
      <c r="BZ214" s="99" t="str">
        <f>IF($A214="","",IF($AN214="",1,IFERROR(INDEX('Sublimits and Parts'!$C$98:$C$101,MATCH($AN214,'Sublimits and Parts'!$B$98:$B$101,0)),"?")))</f>
        <v/>
      </c>
      <c r="CA214" s="99" t="str">
        <f>IF($A214="","",IF($AO214="",1,IFERROR(INDEX('Sublimits and Parts'!$C$105:$C$109,MATCH($AO214,'Sublimits and Parts'!$B$105:$B$109,0)),"?")))</f>
        <v/>
      </c>
      <c r="CB214" s="100" t="str">
        <f t="shared" si="41"/>
        <v/>
      </c>
      <c r="CC214" s="100" t="str">
        <f t="shared" si="42"/>
        <v/>
      </c>
      <c r="CD214" s="103" t="str">
        <f>IF($A214="","",IF(OR($CB214="?",$CC214="?"),"?",MIN($CB214*$CC214,'Technical Premium'!$C$17)))</f>
        <v/>
      </c>
      <c r="CE214" s="102" t="str">
        <f t="shared" si="43"/>
        <v/>
      </c>
      <c r="CF214" s="102" t="str">
        <f>IF($A214="","",IFERROR(INDEX('Territory Factors'!$F$6:$F$56,MATCH($K214,'Territory Factors'!$B$6:$B$56,0)),"?"))</f>
        <v/>
      </c>
      <c r="CG214" s="100" t="str">
        <f>IF($A214="","",IFERROR(INDEX('Usage and Coverage'!$C$79:$C$84,MATCH($Y214,'Usage and Coverage'!$B$79:$B$84,0)),"?"))</f>
        <v/>
      </c>
      <c r="CH214" s="102" t="str">
        <f>IFERROR(IF(ISNUMBER($CD214),$CF214*$CG214*MIN($BG214*$BA214*$BC214*$BD214*$BH214*$BF214,'Technical Premium'!$C$17),""),"")</f>
        <v/>
      </c>
      <c r="CI214" s="102" t="str">
        <f t="shared" si="44"/>
        <v/>
      </c>
      <c r="CJ214" s="102" t="str">
        <f>IFERROR($CI214*(1+'Technical Premium'!$C$5)*(1+'Technical Premium'!$C$6),"")</f>
        <v/>
      </c>
      <c r="CK214" s="102" t="str">
        <f>IFERROR($CE214*INDEX('Territory Factors'!$G$6:$G$56,MATCH($K214,'Territory Factors'!$B$6:$B$56,0))*$AU214*$AV214,"")</f>
        <v/>
      </c>
      <c r="CL214" s="102" t="str">
        <f>IFERROR(($CJ214+$CK214)*(1+'Technical Premium'!$C$7),"")</f>
        <v/>
      </c>
      <c r="CM214" s="104" t="str">
        <f>IFERROR($CL214/'Technical Premium'!$C$13,"")</f>
        <v/>
      </c>
      <c r="CN214" s="105" t="str">
        <f t="shared" si="45"/>
        <v/>
      </c>
      <c r="CO214" s="104" t="str">
        <f t="shared" si="46"/>
        <v/>
      </c>
      <c r="CP214" s="105" t="str">
        <f t="shared" si="47"/>
        <v/>
      </c>
      <c r="CQ214" s="106" t="str">
        <f t="shared" si="48"/>
        <v/>
      </c>
      <c r="CR214" s="102" t="str">
        <f>IF(ISNUMBER($CM214),'Technical Premium'!$C$14+IF($J214&gt;=1000000,'Technical Premium'!$C$15,0),"")</f>
        <v/>
      </c>
      <c r="CS214" s="102" t="str">
        <f>IFERROR(($CO214+$CR214)*(INDEX('Territory Factors'!$K$6:$K$56,MATCH($K214,'Territory Factors'!$B$6:$B$56,0))+'Commission Structure'!$C$21),"")</f>
        <v/>
      </c>
      <c r="CT214" s="104" t="str">
        <f t="shared" si="49"/>
        <v/>
      </c>
      <c r="CU214" s="102" t="str">
        <f>IFERROR($CO214*('Commission Structure'!$C$6+'Commission Structure'!$C$7),"")</f>
        <v/>
      </c>
      <c r="CV214" s="102" t="str">
        <f>IFERROR($CO214*'Commission Structure'!$C$5-$CU214,"")</f>
        <v/>
      </c>
      <c r="CW214" s="102" t="str">
        <f>IFERROR($CO214*(1-'Commission Structure'!$C$5),"")</f>
        <v/>
      </c>
      <c r="CX214" s="107"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8" t="str">
        <f t="shared" si="50"/>
        <v/>
      </c>
      <c r="CZ214" s="99" t="str">
        <f>IF($CY214="","",IF($CY214&lt;'Technical Premium'!$C$19,"BEYOND AUTHORITY",IF($CY214&gt;0.005,"Above technical",IF($CY214&lt;-0.005,"BELOW technical","At technical"))))</f>
        <v/>
      </c>
      <c r="DA214" s="99"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4"/>
      <c r="DC214" s="94"/>
      <c r="DD214" s="95"/>
      <c r="DE214" s="94"/>
      <c r="DF214" s="94"/>
      <c r="DG214" s="99" t="str">
        <f t="shared" si="51"/>
        <v/>
      </c>
      <c r="DH214" s="99" t="str">
        <f>IF($A214="","",IF(OR($CX214="REFER",$CX214="DECLINE"),COUNTIF($CX$5:$CX214,"REFER")+COUNTIF($CX$5:$CX214,"DECLINE"),""))</f>
        <v/>
      </c>
      <c r="DI214" s="94"/>
    </row>
    <row r="215" spans="1:113" x14ac:dyDescent="0.35">
      <c r="A215" s="94"/>
      <c r="B215" s="94"/>
      <c r="C215" s="95"/>
      <c r="D215" s="95"/>
      <c r="E215" s="96"/>
      <c r="F215" s="94"/>
      <c r="G215" s="94"/>
      <c r="H215" s="94"/>
      <c r="I215" s="94"/>
      <c r="J215" s="97"/>
      <c r="K215" s="94"/>
      <c r="L215" s="94"/>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8"/>
      <c r="AR215" s="99" t="str">
        <f t="shared" si="39"/>
        <v/>
      </c>
      <c r="AS215" s="99" t="str">
        <f>IF($A215="","",IF($AP215&lt;&gt;"",$AP215,IFERROR(INDEX('Cat Zone by ZIP'!$D$6:$D$856,MATCH($AR215,'Cat Zone by ZIP'!$B$6:$B$856,0)),IFERROR(INDEX('Cat Zone by ZIP'!$C$860:$C$910,MATCH($K215,'Cat Zone by ZIP'!$B$860:$B$910,0)),"NOT FOUND"))))</f>
        <v/>
      </c>
      <c r="AT215" s="99" t="str">
        <f>IF($A215="","",IF($AP215&lt;&gt;"","Override",IF(ISNUMBER(MATCH($AR215,'Cat Zone by ZIP'!$B$6:$B$856,0)),"ZIP-3","State default")))</f>
        <v/>
      </c>
      <c r="AU215" s="100" t="str">
        <f>IF($A215="","",IFERROR(INDEX('Natural Catastrophe'!$D$6:$D$17,MATCH($AS215,'Natural Catastrophe'!$B$6:$B$17,0)),"?"))</f>
        <v/>
      </c>
      <c r="AV215" s="100" t="str">
        <f>IF($A215="","",IFERROR(INDEX('Natural Catastrophe'!$C$21:$C$26,MATCH($AA215,'Natural Catastrophe'!$B$21:$B$26,0)),"?"))</f>
        <v/>
      </c>
      <c r="AW215" s="99" t="str">
        <f>IF($A215="","",IFERROR(INDEX('Base Rates'!$C$4:$I$4,MATCH(MAX($J215,'Technical Premium'!$C$18),'Base Rates'!$C$3:$I$3,1)),"?"))</f>
        <v/>
      </c>
      <c r="AX215" s="101" t="str">
        <f>IF($A215="","",IFERROR(INDEX('Base Rates'!$C$5:$I$16,MATCH($I215,'Base Rates'!$B$5:$B$16,0),MATCH(MAX($J215,'Technical Premium'!$C$18),'Base Rates'!$C$3:$I$3,1)),"?"))</f>
        <v/>
      </c>
      <c r="AY215" s="102" t="str">
        <f t="shared" si="40"/>
        <v/>
      </c>
      <c r="AZ215" s="99" t="str">
        <f>IF($A215="","",IFERROR(INDEX('Make Factors'!$G$5:$G$69,MATCH($F215,'Make Factors'!$B$5:$B$69,0)),"?"))</f>
        <v/>
      </c>
      <c r="BA215" s="99" t="str">
        <f>IF($A215="","",IFERROR(INDEX('Driver Factors'!$C$6:$C$15,MATCH($R215,'Driver Factors'!$B$6:$B$15,0)),"?"))</f>
        <v/>
      </c>
      <c r="BB215" s="99" t="str">
        <f>IF($A215="","",IFERROR(INDEX('Driver Factors'!$C$19:$C$24,MATCH($S215,'Driver Factors'!$B$19:$B$24,0)),"?"))</f>
        <v/>
      </c>
      <c r="BC215" s="99" t="str">
        <f>IF($A215="","",IFERROR(INDEX('Driver Factors'!$C$28:$C$36,MATCH($T215,'Driver Factors'!$B$28:$B$36,0)),"?"))</f>
        <v/>
      </c>
      <c r="BD215" s="99" t="str">
        <f>IF($A215="","",IFERROR(INDEX('Claims History'!$C$6:$C$15,MATCH($U215,'Claims History'!$B$6:$B$15,0)),"?"))</f>
        <v/>
      </c>
      <c r="BE215" s="99" t="str">
        <f>IF($A215="","",IFERROR(INDEX('Territory Factors'!$E$6:$E$56,MATCH($K215,'Territory Factors'!$B$6:$B$56,0)),"?"))</f>
        <v/>
      </c>
      <c r="BF215" s="99" t="str">
        <f>IF($A215="","",IFERROR(INDEX('City Accident Ratings'!$G$6:$G$54,MATCH($Z215,'City Accident Ratings'!$B$6:$B$54,0)),"?"))</f>
        <v/>
      </c>
      <c r="BG215" s="99" t="str">
        <f>IF($A215="","",IFERROR(INDEX('Usage and Coverage'!$D$6:$D$20,MATCH($N215,'Usage and Coverage'!$C$6:$C$20,0)),"?"))</f>
        <v/>
      </c>
      <c r="BH215" s="99" t="str">
        <f>IF($A215="","",IFERROR(INDEX('Usage and Coverage'!$C$24:$C$30,MATCH($O215,'Usage and Coverage'!$B$24:$B$30,0)),"?"))</f>
        <v/>
      </c>
      <c r="BI215" s="99" t="str">
        <f>IF($A215="","",IFERROR(INDEX('Usage and Coverage'!$C$34:$C$40,MATCH($P215,'Usage and Coverage'!$B$34:$B$40,0)),"?"))</f>
        <v/>
      </c>
      <c r="BJ215" s="99" t="str">
        <f>IF($A215="","",IFERROR(INDEX('Usage and Coverage'!$C$44:$C$49,MATCH($Q215,'Usage and Coverage'!$B$44:$B$49,0)),"?"))</f>
        <v/>
      </c>
      <c r="BK215" s="99" t="str">
        <f>IF($A215="","",IFERROR(INDEX(Deductibles!$C$6:$I$15,MATCH($W215,Deductibles!$B$6:$B$15,0),MATCH(MAX($J215,'Technical Premium'!$C$18),'Base Rates'!$C$3:$I$3,1)),"?"))</f>
        <v/>
      </c>
      <c r="BL215" s="99" t="str">
        <f>IF($A215="","",IFERROR(INDEX('Usage and Coverage'!$C$63:$C$66,MATCH($X215,'Usage and Coverage'!$B$63:$B$66,0)),"?"))</f>
        <v/>
      </c>
      <c r="BM215" s="99" t="str">
        <f>IF($A215="","",IFERROR(INDEX('Usage and Coverage'!$C$70:$C$75,MATCH($V215,'Usage and Coverage'!$B$70:$B$75,0)),"?"))</f>
        <v/>
      </c>
      <c r="BN215" s="99" t="str">
        <f>IF($A215="","",IF($AB215="",1,IFERROR(INDEX(Deductibles!$C$48:$C$51,MATCH($AB215,Deductibles!$B$48:$B$51,0)),"?")))</f>
        <v/>
      </c>
      <c r="BO215" s="99" t="str">
        <f>IF($A215="","",IF($AC215="",1,IFERROR(INDEX(Deductibles!$C$55:$C$57,MATCH($AC215,Deductibles!$B$55:$B$57,0)),"?")))</f>
        <v/>
      </c>
      <c r="BP215" s="99" t="str">
        <f>IF($A215="","",IF($AD215="",1,IFERROR(INDEX(Deductibles!$C$61:$C$63,MATCH($AD215,Deductibles!$B$61:$B$63,0)),"?")))</f>
        <v/>
      </c>
      <c r="BQ215" s="99" t="str">
        <f>IF($A215="","",IF($AE215="",1,IFERROR(INDEX(Deductibles!$C$67:$C$69,MATCH($AE215,Deductibles!$B$67:$B$69,0)),"?")))</f>
        <v/>
      </c>
      <c r="BR215" s="99" t="str">
        <f>IF($A215="","",IF($AF215="",1,IFERROR(INDEX(Deductibles!$C$73:$C$74,MATCH($AF215,Deductibles!$B$73:$B$74,0)),"?")))</f>
        <v/>
      </c>
      <c r="BS215" s="99" t="str">
        <f>IF($A215="","",IF($AG215="",1,IFERROR(INDEX('Sublimits and Parts'!$C$49:$C$52,MATCH($AG215,'Sublimits and Parts'!$B$49:$B$52,0)),"?")))</f>
        <v/>
      </c>
      <c r="BT215" s="99" t="str">
        <f>IF($A215="","",IF($AH215="",1,IFERROR(INDEX('Sublimits and Parts'!$C$56:$C$60,MATCH($AH215,'Sublimits and Parts'!$B$56:$B$60,0)),"?")))</f>
        <v/>
      </c>
      <c r="BU215" s="99" t="str">
        <f>IF($A215="","",IF($AI215="",1,IFERROR(INDEX('Sublimits and Parts'!$C$64:$C$67,MATCH($AI215,'Sublimits and Parts'!$B$64:$B$67,0)),"?")))</f>
        <v/>
      </c>
      <c r="BV215" s="99" t="str">
        <f>IF($A215="","",IF($AJ215="",1,IFERROR(INDEX('Sublimits and Parts'!$C$71:$C$74,MATCH($AJ215,'Sublimits and Parts'!$B$71:$B$74,0)),"?")))</f>
        <v/>
      </c>
      <c r="BW215" s="99" t="str">
        <f>IF($A215="","",IF($AK215="",1,IFERROR(INDEX('Sublimits and Parts'!$C$78:$C$80,MATCH($AK215,'Sublimits and Parts'!$B$78:$B$80,0)),"?")))</f>
        <v/>
      </c>
      <c r="BX215" s="99" t="str">
        <f>IF($A215="","",IF($AL215="",1,IFERROR(INDEX('Sublimits and Parts'!$C$84:$C$87,MATCH($AL215,'Sublimits and Parts'!$B$84:$B$87,0)),"?")))</f>
        <v/>
      </c>
      <c r="BY215" s="99" t="str">
        <f>IF($A215="","",IF($AM215="",1,IFERROR(INDEX('Sublimits and Parts'!$C$91:$C$94,MATCH($AM215,'Sublimits and Parts'!$B$91:$B$94,0)),"?")))</f>
        <v/>
      </c>
      <c r="BZ215" s="99" t="str">
        <f>IF($A215="","",IF($AN215="",1,IFERROR(INDEX('Sublimits and Parts'!$C$98:$C$101,MATCH($AN215,'Sublimits and Parts'!$B$98:$B$101,0)),"?")))</f>
        <v/>
      </c>
      <c r="CA215" s="99" t="str">
        <f>IF($A215="","",IF($AO215="",1,IFERROR(INDEX('Sublimits and Parts'!$C$105:$C$109,MATCH($AO215,'Sublimits and Parts'!$B$105:$B$109,0)),"?")))</f>
        <v/>
      </c>
      <c r="CB215" s="100" t="str">
        <f t="shared" si="41"/>
        <v/>
      </c>
      <c r="CC215" s="100" t="str">
        <f t="shared" si="42"/>
        <v/>
      </c>
      <c r="CD215" s="103" t="str">
        <f>IF($A215="","",IF(OR($CB215="?",$CC215="?"),"?",MIN($CB215*$CC215,'Technical Premium'!$C$17)))</f>
        <v/>
      </c>
      <c r="CE215" s="102" t="str">
        <f t="shared" si="43"/>
        <v/>
      </c>
      <c r="CF215" s="102" t="str">
        <f>IF($A215="","",IFERROR(INDEX('Territory Factors'!$F$6:$F$56,MATCH($K215,'Territory Factors'!$B$6:$B$56,0)),"?"))</f>
        <v/>
      </c>
      <c r="CG215" s="100" t="str">
        <f>IF($A215="","",IFERROR(INDEX('Usage and Coverage'!$C$79:$C$84,MATCH($Y215,'Usage and Coverage'!$B$79:$B$84,0)),"?"))</f>
        <v/>
      </c>
      <c r="CH215" s="102" t="str">
        <f>IFERROR(IF(ISNUMBER($CD215),$CF215*$CG215*MIN($BG215*$BA215*$BC215*$BD215*$BH215*$BF215,'Technical Premium'!$C$17),""),"")</f>
        <v/>
      </c>
      <c r="CI215" s="102" t="str">
        <f t="shared" si="44"/>
        <v/>
      </c>
      <c r="CJ215" s="102" t="str">
        <f>IFERROR($CI215*(1+'Technical Premium'!$C$5)*(1+'Technical Premium'!$C$6),"")</f>
        <v/>
      </c>
      <c r="CK215" s="102" t="str">
        <f>IFERROR($CE215*INDEX('Territory Factors'!$G$6:$G$56,MATCH($K215,'Territory Factors'!$B$6:$B$56,0))*$AU215*$AV215,"")</f>
        <v/>
      </c>
      <c r="CL215" s="102" t="str">
        <f>IFERROR(($CJ215+$CK215)*(1+'Technical Premium'!$C$7),"")</f>
        <v/>
      </c>
      <c r="CM215" s="104" t="str">
        <f>IFERROR($CL215/'Technical Premium'!$C$13,"")</f>
        <v/>
      </c>
      <c r="CN215" s="105" t="str">
        <f t="shared" si="45"/>
        <v/>
      </c>
      <c r="CO215" s="104" t="str">
        <f t="shared" si="46"/>
        <v/>
      </c>
      <c r="CP215" s="105" t="str">
        <f t="shared" si="47"/>
        <v/>
      </c>
      <c r="CQ215" s="106" t="str">
        <f t="shared" si="48"/>
        <v/>
      </c>
      <c r="CR215" s="102" t="str">
        <f>IF(ISNUMBER($CM215),'Technical Premium'!$C$14+IF($J215&gt;=1000000,'Technical Premium'!$C$15,0),"")</f>
        <v/>
      </c>
      <c r="CS215" s="102" t="str">
        <f>IFERROR(($CO215+$CR215)*(INDEX('Territory Factors'!$K$6:$K$56,MATCH($K215,'Territory Factors'!$B$6:$B$56,0))+'Commission Structure'!$C$21),"")</f>
        <v/>
      </c>
      <c r="CT215" s="104" t="str">
        <f t="shared" si="49"/>
        <v/>
      </c>
      <c r="CU215" s="102" t="str">
        <f>IFERROR($CO215*('Commission Structure'!$C$6+'Commission Structure'!$C$7),"")</f>
        <v/>
      </c>
      <c r="CV215" s="102" t="str">
        <f>IFERROR($CO215*'Commission Structure'!$C$5-$CU215,"")</f>
        <v/>
      </c>
      <c r="CW215" s="102" t="str">
        <f>IFERROR($CO215*(1-'Commission Structure'!$C$5),"")</f>
        <v/>
      </c>
      <c r="CX215" s="107"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8" t="str">
        <f t="shared" si="50"/>
        <v/>
      </c>
      <c r="CZ215" s="99" t="str">
        <f>IF($CY215="","",IF($CY215&lt;'Technical Premium'!$C$19,"BEYOND AUTHORITY",IF($CY215&gt;0.005,"Above technical",IF($CY215&lt;-0.005,"BELOW technical","At technical"))))</f>
        <v/>
      </c>
      <c r="DA215" s="99"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4"/>
      <c r="DC215" s="94"/>
      <c r="DD215" s="95"/>
      <c r="DE215" s="94"/>
      <c r="DF215" s="94"/>
      <c r="DG215" s="99" t="str">
        <f t="shared" si="51"/>
        <v/>
      </c>
      <c r="DH215" s="99" t="str">
        <f>IF($A215="","",IF(OR($CX215="REFER",$CX215="DECLINE"),COUNTIF($CX$5:$CX215,"REFER")+COUNTIF($CX$5:$CX215,"DECLINE"),""))</f>
        <v/>
      </c>
      <c r="DI215" s="94"/>
    </row>
    <row r="216" spans="1:113" x14ac:dyDescent="0.35">
      <c r="A216" s="94"/>
      <c r="B216" s="94"/>
      <c r="C216" s="95"/>
      <c r="D216" s="95"/>
      <c r="E216" s="96"/>
      <c r="F216" s="94"/>
      <c r="G216" s="94"/>
      <c r="H216" s="94"/>
      <c r="I216" s="94"/>
      <c r="J216" s="97"/>
      <c r="K216" s="94"/>
      <c r="L216" s="94"/>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8"/>
      <c r="AR216" s="99" t="str">
        <f t="shared" si="39"/>
        <v/>
      </c>
      <c r="AS216" s="99" t="str">
        <f>IF($A216="","",IF($AP216&lt;&gt;"",$AP216,IFERROR(INDEX('Cat Zone by ZIP'!$D$6:$D$856,MATCH($AR216,'Cat Zone by ZIP'!$B$6:$B$856,0)),IFERROR(INDEX('Cat Zone by ZIP'!$C$860:$C$910,MATCH($K216,'Cat Zone by ZIP'!$B$860:$B$910,0)),"NOT FOUND"))))</f>
        <v/>
      </c>
      <c r="AT216" s="99" t="str">
        <f>IF($A216="","",IF($AP216&lt;&gt;"","Override",IF(ISNUMBER(MATCH($AR216,'Cat Zone by ZIP'!$B$6:$B$856,0)),"ZIP-3","State default")))</f>
        <v/>
      </c>
      <c r="AU216" s="100" t="str">
        <f>IF($A216="","",IFERROR(INDEX('Natural Catastrophe'!$D$6:$D$17,MATCH($AS216,'Natural Catastrophe'!$B$6:$B$17,0)),"?"))</f>
        <v/>
      </c>
      <c r="AV216" s="100" t="str">
        <f>IF($A216="","",IFERROR(INDEX('Natural Catastrophe'!$C$21:$C$26,MATCH($AA216,'Natural Catastrophe'!$B$21:$B$26,0)),"?"))</f>
        <v/>
      </c>
      <c r="AW216" s="99" t="str">
        <f>IF($A216="","",IFERROR(INDEX('Base Rates'!$C$4:$I$4,MATCH(MAX($J216,'Technical Premium'!$C$18),'Base Rates'!$C$3:$I$3,1)),"?"))</f>
        <v/>
      </c>
      <c r="AX216" s="101" t="str">
        <f>IF($A216="","",IFERROR(INDEX('Base Rates'!$C$5:$I$16,MATCH($I216,'Base Rates'!$B$5:$B$16,0),MATCH(MAX($J216,'Technical Premium'!$C$18),'Base Rates'!$C$3:$I$3,1)),"?"))</f>
        <v/>
      </c>
      <c r="AY216" s="102" t="str">
        <f t="shared" si="40"/>
        <v/>
      </c>
      <c r="AZ216" s="99" t="str">
        <f>IF($A216="","",IFERROR(INDEX('Make Factors'!$G$5:$G$69,MATCH($F216,'Make Factors'!$B$5:$B$69,0)),"?"))</f>
        <v/>
      </c>
      <c r="BA216" s="99" t="str">
        <f>IF($A216="","",IFERROR(INDEX('Driver Factors'!$C$6:$C$15,MATCH($R216,'Driver Factors'!$B$6:$B$15,0)),"?"))</f>
        <v/>
      </c>
      <c r="BB216" s="99" t="str">
        <f>IF($A216="","",IFERROR(INDEX('Driver Factors'!$C$19:$C$24,MATCH($S216,'Driver Factors'!$B$19:$B$24,0)),"?"))</f>
        <v/>
      </c>
      <c r="BC216" s="99" t="str">
        <f>IF($A216="","",IFERROR(INDEX('Driver Factors'!$C$28:$C$36,MATCH($T216,'Driver Factors'!$B$28:$B$36,0)),"?"))</f>
        <v/>
      </c>
      <c r="BD216" s="99" t="str">
        <f>IF($A216="","",IFERROR(INDEX('Claims History'!$C$6:$C$15,MATCH($U216,'Claims History'!$B$6:$B$15,0)),"?"))</f>
        <v/>
      </c>
      <c r="BE216" s="99" t="str">
        <f>IF($A216="","",IFERROR(INDEX('Territory Factors'!$E$6:$E$56,MATCH($K216,'Territory Factors'!$B$6:$B$56,0)),"?"))</f>
        <v/>
      </c>
      <c r="BF216" s="99" t="str">
        <f>IF($A216="","",IFERROR(INDEX('City Accident Ratings'!$G$6:$G$54,MATCH($Z216,'City Accident Ratings'!$B$6:$B$54,0)),"?"))</f>
        <v/>
      </c>
      <c r="BG216" s="99" t="str">
        <f>IF($A216="","",IFERROR(INDEX('Usage and Coverage'!$D$6:$D$20,MATCH($N216,'Usage and Coverage'!$C$6:$C$20,0)),"?"))</f>
        <v/>
      </c>
      <c r="BH216" s="99" t="str">
        <f>IF($A216="","",IFERROR(INDEX('Usage and Coverage'!$C$24:$C$30,MATCH($O216,'Usage and Coverage'!$B$24:$B$30,0)),"?"))</f>
        <v/>
      </c>
      <c r="BI216" s="99" t="str">
        <f>IF($A216="","",IFERROR(INDEX('Usage and Coverage'!$C$34:$C$40,MATCH($P216,'Usage and Coverage'!$B$34:$B$40,0)),"?"))</f>
        <v/>
      </c>
      <c r="BJ216" s="99" t="str">
        <f>IF($A216="","",IFERROR(INDEX('Usage and Coverage'!$C$44:$C$49,MATCH($Q216,'Usage and Coverage'!$B$44:$B$49,0)),"?"))</f>
        <v/>
      </c>
      <c r="BK216" s="99" t="str">
        <f>IF($A216="","",IFERROR(INDEX(Deductibles!$C$6:$I$15,MATCH($W216,Deductibles!$B$6:$B$15,0),MATCH(MAX($J216,'Technical Premium'!$C$18),'Base Rates'!$C$3:$I$3,1)),"?"))</f>
        <v/>
      </c>
      <c r="BL216" s="99" t="str">
        <f>IF($A216="","",IFERROR(INDEX('Usage and Coverage'!$C$63:$C$66,MATCH($X216,'Usage and Coverage'!$B$63:$B$66,0)),"?"))</f>
        <v/>
      </c>
      <c r="BM216" s="99" t="str">
        <f>IF($A216="","",IFERROR(INDEX('Usage and Coverage'!$C$70:$C$75,MATCH($V216,'Usage and Coverage'!$B$70:$B$75,0)),"?"))</f>
        <v/>
      </c>
      <c r="BN216" s="99" t="str">
        <f>IF($A216="","",IF($AB216="",1,IFERROR(INDEX(Deductibles!$C$48:$C$51,MATCH($AB216,Deductibles!$B$48:$B$51,0)),"?")))</f>
        <v/>
      </c>
      <c r="BO216" s="99" t="str">
        <f>IF($A216="","",IF($AC216="",1,IFERROR(INDEX(Deductibles!$C$55:$C$57,MATCH($AC216,Deductibles!$B$55:$B$57,0)),"?")))</f>
        <v/>
      </c>
      <c r="BP216" s="99" t="str">
        <f>IF($A216="","",IF($AD216="",1,IFERROR(INDEX(Deductibles!$C$61:$C$63,MATCH($AD216,Deductibles!$B$61:$B$63,0)),"?")))</f>
        <v/>
      </c>
      <c r="BQ216" s="99" t="str">
        <f>IF($A216="","",IF($AE216="",1,IFERROR(INDEX(Deductibles!$C$67:$C$69,MATCH($AE216,Deductibles!$B$67:$B$69,0)),"?")))</f>
        <v/>
      </c>
      <c r="BR216" s="99" t="str">
        <f>IF($A216="","",IF($AF216="",1,IFERROR(INDEX(Deductibles!$C$73:$C$74,MATCH($AF216,Deductibles!$B$73:$B$74,0)),"?")))</f>
        <v/>
      </c>
      <c r="BS216" s="99" t="str">
        <f>IF($A216="","",IF($AG216="",1,IFERROR(INDEX('Sublimits and Parts'!$C$49:$C$52,MATCH($AG216,'Sublimits and Parts'!$B$49:$B$52,0)),"?")))</f>
        <v/>
      </c>
      <c r="BT216" s="99" t="str">
        <f>IF($A216="","",IF($AH216="",1,IFERROR(INDEX('Sublimits and Parts'!$C$56:$C$60,MATCH($AH216,'Sublimits and Parts'!$B$56:$B$60,0)),"?")))</f>
        <v/>
      </c>
      <c r="BU216" s="99" t="str">
        <f>IF($A216="","",IF($AI216="",1,IFERROR(INDEX('Sublimits and Parts'!$C$64:$C$67,MATCH($AI216,'Sublimits and Parts'!$B$64:$B$67,0)),"?")))</f>
        <v/>
      </c>
      <c r="BV216" s="99" t="str">
        <f>IF($A216="","",IF($AJ216="",1,IFERROR(INDEX('Sublimits and Parts'!$C$71:$C$74,MATCH($AJ216,'Sublimits and Parts'!$B$71:$B$74,0)),"?")))</f>
        <v/>
      </c>
      <c r="BW216" s="99" t="str">
        <f>IF($A216="","",IF($AK216="",1,IFERROR(INDEX('Sublimits and Parts'!$C$78:$C$80,MATCH($AK216,'Sublimits and Parts'!$B$78:$B$80,0)),"?")))</f>
        <v/>
      </c>
      <c r="BX216" s="99" t="str">
        <f>IF($A216="","",IF($AL216="",1,IFERROR(INDEX('Sublimits and Parts'!$C$84:$C$87,MATCH($AL216,'Sublimits and Parts'!$B$84:$B$87,0)),"?")))</f>
        <v/>
      </c>
      <c r="BY216" s="99" t="str">
        <f>IF($A216="","",IF($AM216="",1,IFERROR(INDEX('Sublimits and Parts'!$C$91:$C$94,MATCH($AM216,'Sublimits and Parts'!$B$91:$B$94,0)),"?")))</f>
        <v/>
      </c>
      <c r="BZ216" s="99" t="str">
        <f>IF($A216="","",IF($AN216="",1,IFERROR(INDEX('Sublimits and Parts'!$C$98:$C$101,MATCH($AN216,'Sublimits and Parts'!$B$98:$B$101,0)),"?")))</f>
        <v/>
      </c>
      <c r="CA216" s="99" t="str">
        <f>IF($A216="","",IF($AO216="",1,IFERROR(INDEX('Sublimits and Parts'!$C$105:$C$109,MATCH($AO216,'Sublimits and Parts'!$B$105:$B$109,0)),"?")))</f>
        <v/>
      </c>
      <c r="CB216" s="100" t="str">
        <f t="shared" si="41"/>
        <v/>
      </c>
      <c r="CC216" s="100" t="str">
        <f t="shared" si="42"/>
        <v/>
      </c>
      <c r="CD216" s="103" t="str">
        <f>IF($A216="","",IF(OR($CB216="?",$CC216="?"),"?",MIN($CB216*$CC216,'Technical Premium'!$C$17)))</f>
        <v/>
      </c>
      <c r="CE216" s="102" t="str">
        <f t="shared" si="43"/>
        <v/>
      </c>
      <c r="CF216" s="102" t="str">
        <f>IF($A216="","",IFERROR(INDEX('Territory Factors'!$F$6:$F$56,MATCH($K216,'Territory Factors'!$B$6:$B$56,0)),"?"))</f>
        <v/>
      </c>
      <c r="CG216" s="100" t="str">
        <f>IF($A216="","",IFERROR(INDEX('Usage and Coverage'!$C$79:$C$84,MATCH($Y216,'Usage and Coverage'!$B$79:$B$84,0)),"?"))</f>
        <v/>
      </c>
      <c r="CH216" s="102" t="str">
        <f>IFERROR(IF(ISNUMBER($CD216),$CF216*$CG216*MIN($BG216*$BA216*$BC216*$BD216*$BH216*$BF216,'Technical Premium'!$C$17),""),"")</f>
        <v/>
      </c>
      <c r="CI216" s="102" t="str">
        <f t="shared" si="44"/>
        <v/>
      </c>
      <c r="CJ216" s="102" t="str">
        <f>IFERROR($CI216*(1+'Technical Premium'!$C$5)*(1+'Technical Premium'!$C$6),"")</f>
        <v/>
      </c>
      <c r="CK216" s="102" t="str">
        <f>IFERROR($CE216*INDEX('Territory Factors'!$G$6:$G$56,MATCH($K216,'Territory Factors'!$B$6:$B$56,0))*$AU216*$AV216,"")</f>
        <v/>
      </c>
      <c r="CL216" s="102" t="str">
        <f>IFERROR(($CJ216+$CK216)*(1+'Technical Premium'!$C$7),"")</f>
        <v/>
      </c>
      <c r="CM216" s="104" t="str">
        <f>IFERROR($CL216/'Technical Premium'!$C$13,"")</f>
        <v/>
      </c>
      <c r="CN216" s="105" t="str">
        <f t="shared" si="45"/>
        <v/>
      </c>
      <c r="CO216" s="104" t="str">
        <f t="shared" si="46"/>
        <v/>
      </c>
      <c r="CP216" s="105" t="str">
        <f t="shared" si="47"/>
        <v/>
      </c>
      <c r="CQ216" s="106" t="str">
        <f t="shared" si="48"/>
        <v/>
      </c>
      <c r="CR216" s="102" t="str">
        <f>IF(ISNUMBER($CM216),'Technical Premium'!$C$14+IF($J216&gt;=1000000,'Technical Premium'!$C$15,0),"")</f>
        <v/>
      </c>
      <c r="CS216" s="102" t="str">
        <f>IFERROR(($CO216+$CR216)*(INDEX('Territory Factors'!$K$6:$K$56,MATCH($K216,'Territory Factors'!$B$6:$B$56,0))+'Commission Structure'!$C$21),"")</f>
        <v/>
      </c>
      <c r="CT216" s="104" t="str">
        <f t="shared" si="49"/>
        <v/>
      </c>
      <c r="CU216" s="102" t="str">
        <f>IFERROR($CO216*('Commission Structure'!$C$6+'Commission Structure'!$C$7),"")</f>
        <v/>
      </c>
      <c r="CV216" s="102" t="str">
        <f>IFERROR($CO216*'Commission Structure'!$C$5-$CU216,"")</f>
        <v/>
      </c>
      <c r="CW216" s="102" t="str">
        <f>IFERROR($CO216*(1-'Commission Structure'!$C$5),"")</f>
        <v/>
      </c>
      <c r="CX216" s="107"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8" t="str">
        <f t="shared" si="50"/>
        <v/>
      </c>
      <c r="CZ216" s="99" t="str">
        <f>IF($CY216="","",IF($CY216&lt;'Technical Premium'!$C$19,"BEYOND AUTHORITY",IF($CY216&gt;0.005,"Above technical",IF($CY216&lt;-0.005,"BELOW technical","At technical"))))</f>
        <v/>
      </c>
      <c r="DA216" s="99"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4"/>
      <c r="DC216" s="94"/>
      <c r="DD216" s="95"/>
      <c r="DE216" s="94"/>
      <c r="DF216" s="94"/>
      <c r="DG216" s="99" t="str">
        <f t="shared" si="51"/>
        <v/>
      </c>
      <c r="DH216" s="99" t="str">
        <f>IF($A216="","",IF(OR($CX216="REFER",$CX216="DECLINE"),COUNTIF($CX$5:$CX216,"REFER")+COUNTIF($CX$5:$CX216,"DECLINE"),""))</f>
        <v/>
      </c>
      <c r="DI216" s="94"/>
    </row>
    <row r="217" spans="1:113" x14ac:dyDescent="0.35">
      <c r="A217" s="94"/>
      <c r="B217" s="94"/>
      <c r="C217" s="95"/>
      <c r="D217" s="95"/>
      <c r="E217" s="96"/>
      <c r="F217" s="94"/>
      <c r="G217" s="94"/>
      <c r="H217" s="94"/>
      <c r="I217" s="94"/>
      <c r="J217" s="97"/>
      <c r="K217" s="94"/>
      <c r="L217" s="94"/>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8"/>
      <c r="AR217" s="99" t="str">
        <f t="shared" si="39"/>
        <v/>
      </c>
      <c r="AS217" s="99" t="str">
        <f>IF($A217="","",IF($AP217&lt;&gt;"",$AP217,IFERROR(INDEX('Cat Zone by ZIP'!$D$6:$D$856,MATCH($AR217,'Cat Zone by ZIP'!$B$6:$B$856,0)),IFERROR(INDEX('Cat Zone by ZIP'!$C$860:$C$910,MATCH($K217,'Cat Zone by ZIP'!$B$860:$B$910,0)),"NOT FOUND"))))</f>
        <v/>
      </c>
      <c r="AT217" s="99" t="str">
        <f>IF($A217="","",IF($AP217&lt;&gt;"","Override",IF(ISNUMBER(MATCH($AR217,'Cat Zone by ZIP'!$B$6:$B$856,0)),"ZIP-3","State default")))</f>
        <v/>
      </c>
      <c r="AU217" s="100" t="str">
        <f>IF($A217="","",IFERROR(INDEX('Natural Catastrophe'!$D$6:$D$17,MATCH($AS217,'Natural Catastrophe'!$B$6:$B$17,0)),"?"))</f>
        <v/>
      </c>
      <c r="AV217" s="100" t="str">
        <f>IF($A217="","",IFERROR(INDEX('Natural Catastrophe'!$C$21:$C$26,MATCH($AA217,'Natural Catastrophe'!$B$21:$B$26,0)),"?"))</f>
        <v/>
      </c>
      <c r="AW217" s="99" t="str">
        <f>IF($A217="","",IFERROR(INDEX('Base Rates'!$C$4:$I$4,MATCH(MAX($J217,'Technical Premium'!$C$18),'Base Rates'!$C$3:$I$3,1)),"?"))</f>
        <v/>
      </c>
      <c r="AX217" s="101" t="str">
        <f>IF($A217="","",IFERROR(INDEX('Base Rates'!$C$5:$I$16,MATCH($I217,'Base Rates'!$B$5:$B$16,0),MATCH(MAX($J217,'Technical Premium'!$C$18),'Base Rates'!$C$3:$I$3,1)),"?"))</f>
        <v/>
      </c>
      <c r="AY217" s="102" t="str">
        <f t="shared" si="40"/>
        <v/>
      </c>
      <c r="AZ217" s="99" t="str">
        <f>IF($A217="","",IFERROR(INDEX('Make Factors'!$G$5:$G$69,MATCH($F217,'Make Factors'!$B$5:$B$69,0)),"?"))</f>
        <v/>
      </c>
      <c r="BA217" s="99" t="str">
        <f>IF($A217="","",IFERROR(INDEX('Driver Factors'!$C$6:$C$15,MATCH($R217,'Driver Factors'!$B$6:$B$15,0)),"?"))</f>
        <v/>
      </c>
      <c r="BB217" s="99" t="str">
        <f>IF($A217="","",IFERROR(INDEX('Driver Factors'!$C$19:$C$24,MATCH($S217,'Driver Factors'!$B$19:$B$24,0)),"?"))</f>
        <v/>
      </c>
      <c r="BC217" s="99" t="str">
        <f>IF($A217="","",IFERROR(INDEX('Driver Factors'!$C$28:$C$36,MATCH($T217,'Driver Factors'!$B$28:$B$36,0)),"?"))</f>
        <v/>
      </c>
      <c r="BD217" s="99" t="str">
        <f>IF($A217="","",IFERROR(INDEX('Claims History'!$C$6:$C$15,MATCH($U217,'Claims History'!$B$6:$B$15,0)),"?"))</f>
        <v/>
      </c>
      <c r="BE217" s="99" t="str">
        <f>IF($A217="","",IFERROR(INDEX('Territory Factors'!$E$6:$E$56,MATCH($K217,'Territory Factors'!$B$6:$B$56,0)),"?"))</f>
        <v/>
      </c>
      <c r="BF217" s="99" t="str">
        <f>IF($A217="","",IFERROR(INDEX('City Accident Ratings'!$G$6:$G$54,MATCH($Z217,'City Accident Ratings'!$B$6:$B$54,0)),"?"))</f>
        <v/>
      </c>
      <c r="BG217" s="99" t="str">
        <f>IF($A217="","",IFERROR(INDEX('Usage and Coverage'!$D$6:$D$20,MATCH($N217,'Usage and Coverage'!$C$6:$C$20,0)),"?"))</f>
        <v/>
      </c>
      <c r="BH217" s="99" t="str">
        <f>IF($A217="","",IFERROR(INDEX('Usage and Coverage'!$C$24:$C$30,MATCH($O217,'Usage and Coverage'!$B$24:$B$30,0)),"?"))</f>
        <v/>
      </c>
      <c r="BI217" s="99" t="str">
        <f>IF($A217="","",IFERROR(INDEX('Usage and Coverage'!$C$34:$C$40,MATCH($P217,'Usage and Coverage'!$B$34:$B$40,0)),"?"))</f>
        <v/>
      </c>
      <c r="BJ217" s="99" t="str">
        <f>IF($A217="","",IFERROR(INDEX('Usage and Coverage'!$C$44:$C$49,MATCH($Q217,'Usage and Coverage'!$B$44:$B$49,0)),"?"))</f>
        <v/>
      </c>
      <c r="BK217" s="99" t="str">
        <f>IF($A217="","",IFERROR(INDEX(Deductibles!$C$6:$I$15,MATCH($W217,Deductibles!$B$6:$B$15,0),MATCH(MAX($J217,'Technical Premium'!$C$18),'Base Rates'!$C$3:$I$3,1)),"?"))</f>
        <v/>
      </c>
      <c r="BL217" s="99" t="str">
        <f>IF($A217="","",IFERROR(INDEX('Usage and Coverage'!$C$63:$C$66,MATCH($X217,'Usage and Coverage'!$B$63:$B$66,0)),"?"))</f>
        <v/>
      </c>
      <c r="BM217" s="99" t="str">
        <f>IF($A217="","",IFERROR(INDEX('Usage and Coverage'!$C$70:$C$75,MATCH($V217,'Usage and Coverage'!$B$70:$B$75,0)),"?"))</f>
        <v/>
      </c>
      <c r="BN217" s="99" t="str">
        <f>IF($A217="","",IF($AB217="",1,IFERROR(INDEX(Deductibles!$C$48:$C$51,MATCH($AB217,Deductibles!$B$48:$B$51,0)),"?")))</f>
        <v/>
      </c>
      <c r="BO217" s="99" t="str">
        <f>IF($A217="","",IF($AC217="",1,IFERROR(INDEX(Deductibles!$C$55:$C$57,MATCH($AC217,Deductibles!$B$55:$B$57,0)),"?")))</f>
        <v/>
      </c>
      <c r="BP217" s="99" t="str">
        <f>IF($A217="","",IF($AD217="",1,IFERROR(INDEX(Deductibles!$C$61:$C$63,MATCH($AD217,Deductibles!$B$61:$B$63,0)),"?")))</f>
        <v/>
      </c>
      <c r="BQ217" s="99" t="str">
        <f>IF($A217="","",IF($AE217="",1,IFERROR(INDEX(Deductibles!$C$67:$C$69,MATCH($AE217,Deductibles!$B$67:$B$69,0)),"?")))</f>
        <v/>
      </c>
      <c r="BR217" s="99" t="str">
        <f>IF($A217="","",IF($AF217="",1,IFERROR(INDEX(Deductibles!$C$73:$C$74,MATCH($AF217,Deductibles!$B$73:$B$74,0)),"?")))</f>
        <v/>
      </c>
      <c r="BS217" s="99" t="str">
        <f>IF($A217="","",IF($AG217="",1,IFERROR(INDEX('Sublimits and Parts'!$C$49:$C$52,MATCH($AG217,'Sublimits and Parts'!$B$49:$B$52,0)),"?")))</f>
        <v/>
      </c>
      <c r="BT217" s="99" t="str">
        <f>IF($A217="","",IF($AH217="",1,IFERROR(INDEX('Sublimits and Parts'!$C$56:$C$60,MATCH($AH217,'Sublimits and Parts'!$B$56:$B$60,0)),"?")))</f>
        <v/>
      </c>
      <c r="BU217" s="99" t="str">
        <f>IF($A217="","",IF($AI217="",1,IFERROR(INDEX('Sublimits and Parts'!$C$64:$C$67,MATCH($AI217,'Sublimits and Parts'!$B$64:$B$67,0)),"?")))</f>
        <v/>
      </c>
      <c r="BV217" s="99" t="str">
        <f>IF($A217="","",IF($AJ217="",1,IFERROR(INDEX('Sublimits and Parts'!$C$71:$C$74,MATCH($AJ217,'Sublimits and Parts'!$B$71:$B$74,0)),"?")))</f>
        <v/>
      </c>
      <c r="BW217" s="99" t="str">
        <f>IF($A217="","",IF($AK217="",1,IFERROR(INDEX('Sublimits and Parts'!$C$78:$C$80,MATCH($AK217,'Sublimits and Parts'!$B$78:$B$80,0)),"?")))</f>
        <v/>
      </c>
      <c r="BX217" s="99" t="str">
        <f>IF($A217="","",IF($AL217="",1,IFERROR(INDEX('Sublimits and Parts'!$C$84:$C$87,MATCH($AL217,'Sublimits and Parts'!$B$84:$B$87,0)),"?")))</f>
        <v/>
      </c>
      <c r="BY217" s="99" t="str">
        <f>IF($A217="","",IF($AM217="",1,IFERROR(INDEX('Sublimits and Parts'!$C$91:$C$94,MATCH($AM217,'Sublimits and Parts'!$B$91:$B$94,0)),"?")))</f>
        <v/>
      </c>
      <c r="BZ217" s="99" t="str">
        <f>IF($A217="","",IF($AN217="",1,IFERROR(INDEX('Sublimits and Parts'!$C$98:$C$101,MATCH($AN217,'Sublimits and Parts'!$B$98:$B$101,0)),"?")))</f>
        <v/>
      </c>
      <c r="CA217" s="99" t="str">
        <f>IF($A217="","",IF($AO217="",1,IFERROR(INDEX('Sublimits and Parts'!$C$105:$C$109,MATCH($AO217,'Sublimits and Parts'!$B$105:$B$109,0)),"?")))</f>
        <v/>
      </c>
      <c r="CB217" s="100" t="str">
        <f t="shared" si="41"/>
        <v/>
      </c>
      <c r="CC217" s="100" t="str">
        <f t="shared" si="42"/>
        <v/>
      </c>
      <c r="CD217" s="103" t="str">
        <f>IF($A217="","",IF(OR($CB217="?",$CC217="?"),"?",MIN($CB217*$CC217,'Technical Premium'!$C$17)))</f>
        <v/>
      </c>
      <c r="CE217" s="102" t="str">
        <f t="shared" si="43"/>
        <v/>
      </c>
      <c r="CF217" s="102" t="str">
        <f>IF($A217="","",IFERROR(INDEX('Territory Factors'!$F$6:$F$56,MATCH($K217,'Territory Factors'!$B$6:$B$56,0)),"?"))</f>
        <v/>
      </c>
      <c r="CG217" s="100" t="str">
        <f>IF($A217="","",IFERROR(INDEX('Usage and Coverage'!$C$79:$C$84,MATCH($Y217,'Usage and Coverage'!$B$79:$B$84,0)),"?"))</f>
        <v/>
      </c>
      <c r="CH217" s="102" t="str">
        <f>IFERROR(IF(ISNUMBER($CD217),$CF217*$CG217*MIN($BG217*$BA217*$BC217*$BD217*$BH217*$BF217,'Technical Premium'!$C$17),""),"")</f>
        <v/>
      </c>
      <c r="CI217" s="102" t="str">
        <f t="shared" si="44"/>
        <v/>
      </c>
      <c r="CJ217" s="102" t="str">
        <f>IFERROR($CI217*(1+'Technical Premium'!$C$5)*(1+'Technical Premium'!$C$6),"")</f>
        <v/>
      </c>
      <c r="CK217" s="102" t="str">
        <f>IFERROR($CE217*INDEX('Territory Factors'!$G$6:$G$56,MATCH($K217,'Territory Factors'!$B$6:$B$56,0))*$AU217*$AV217,"")</f>
        <v/>
      </c>
      <c r="CL217" s="102" t="str">
        <f>IFERROR(($CJ217+$CK217)*(1+'Technical Premium'!$C$7),"")</f>
        <v/>
      </c>
      <c r="CM217" s="104" t="str">
        <f>IFERROR($CL217/'Technical Premium'!$C$13,"")</f>
        <v/>
      </c>
      <c r="CN217" s="105" t="str">
        <f t="shared" si="45"/>
        <v/>
      </c>
      <c r="CO217" s="104" t="str">
        <f t="shared" si="46"/>
        <v/>
      </c>
      <c r="CP217" s="105" t="str">
        <f t="shared" si="47"/>
        <v/>
      </c>
      <c r="CQ217" s="106" t="str">
        <f t="shared" si="48"/>
        <v/>
      </c>
      <c r="CR217" s="102" t="str">
        <f>IF(ISNUMBER($CM217),'Technical Premium'!$C$14+IF($J217&gt;=1000000,'Technical Premium'!$C$15,0),"")</f>
        <v/>
      </c>
      <c r="CS217" s="102" t="str">
        <f>IFERROR(($CO217+$CR217)*(INDEX('Territory Factors'!$K$6:$K$56,MATCH($K217,'Territory Factors'!$B$6:$B$56,0))+'Commission Structure'!$C$21),"")</f>
        <v/>
      </c>
      <c r="CT217" s="104" t="str">
        <f t="shared" si="49"/>
        <v/>
      </c>
      <c r="CU217" s="102" t="str">
        <f>IFERROR($CO217*('Commission Structure'!$C$6+'Commission Structure'!$C$7),"")</f>
        <v/>
      </c>
      <c r="CV217" s="102" t="str">
        <f>IFERROR($CO217*'Commission Structure'!$C$5-$CU217,"")</f>
        <v/>
      </c>
      <c r="CW217" s="102" t="str">
        <f>IFERROR($CO217*(1-'Commission Structure'!$C$5),"")</f>
        <v/>
      </c>
      <c r="CX217" s="107"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8" t="str">
        <f t="shared" si="50"/>
        <v/>
      </c>
      <c r="CZ217" s="99" t="str">
        <f>IF($CY217="","",IF($CY217&lt;'Technical Premium'!$C$19,"BEYOND AUTHORITY",IF($CY217&gt;0.005,"Above technical",IF($CY217&lt;-0.005,"BELOW technical","At technical"))))</f>
        <v/>
      </c>
      <c r="DA217" s="99"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4"/>
      <c r="DC217" s="94"/>
      <c r="DD217" s="95"/>
      <c r="DE217" s="94"/>
      <c r="DF217" s="94"/>
      <c r="DG217" s="99" t="str">
        <f t="shared" si="51"/>
        <v/>
      </c>
      <c r="DH217" s="99" t="str">
        <f>IF($A217="","",IF(OR($CX217="REFER",$CX217="DECLINE"),COUNTIF($CX$5:$CX217,"REFER")+COUNTIF($CX$5:$CX217,"DECLINE"),""))</f>
        <v/>
      </c>
      <c r="DI217" s="94"/>
    </row>
    <row r="218" spans="1:113" x14ac:dyDescent="0.35">
      <c r="A218" s="94"/>
      <c r="B218" s="94"/>
      <c r="C218" s="95"/>
      <c r="D218" s="95"/>
      <c r="E218" s="96"/>
      <c r="F218" s="94"/>
      <c r="G218" s="94"/>
      <c r="H218" s="94"/>
      <c r="I218" s="94"/>
      <c r="J218" s="97"/>
      <c r="K218" s="94"/>
      <c r="L218" s="94"/>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8"/>
      <c r="AR218" s="99" t="str">
        <f t="shared" si="39"/>
        <v/>
      </c>
      <c r="AS218" s="99" t="str">
        <f>IF($A218="","",IF($AP218&lt;&gt;"",$AP218,IFERROR(INDEX('Cat Zone by ZIP'!$D$6:$D$856,MATCH($AR218,'Cat Zone by ZIP'!$B$6:$B$856,0)),IFERROR(INDEX('Cat Zone by ZIP'!$C$860:$C$910,MATCH($K218,'Cat Zone by ZIP'!$B$860:$B$910,0)),"NOT FOUND"))))</f>
        <v/>
      </c>
      <c r="AT218" s="99" t="str">
        <f>IF($A218="","",IF($AP218&lt;&gt;"","Override",IF(ISNUMBER(MATCH($AR218,'Cat Zone by ZIP'!$B$6:$B$856,0)),"ZIP-3","State default")))</f>
        <v/>
      </c>
      <c r="AU218" s="100" t="str">
        <f>IF($A218="","",IFERROR(INDEX('Natural Catastrophe'!$D$6:$D$17,MATCH($AS218,'Natural Catastrophe'!$B$6:$B$17,0)),"?"))</f>
        <v/>
      </c>
      <c r="AV218" s="100" t="str">
        <f>IF($A218="","",IFERROR(INDEX('Natural Catastrophe'!$C$21:$C$26,MATCH($AA218,'Natural Catastrophe'!$B$21:$B$26,0)),"?"))</f>
        <v/>
      </c>
      <c r="AW218" s="99" t="str">
        <f>IF($A218="","",IFERROR(INDEX('Base Rates'!$C$4:$I$4,MATCH(MAX($J218,'Technical Premium'!$C$18),'Base Rates'!$C$3:$I$3,1)),"?"))</f>
        <v/>
      </c>
      <c r="AX218" s="101" t="str">
        <f>IF($A218="","",IFERROR(INDEX('Base Rates'!$C$5:$I$16,MATCH($I218,'Base Rates'!$B$5:$B$16,0),MATCH(MAX($J218,'Technical Premium'!$C$18),'Base Rates'!$C$3:$I$3,1)),"?"))</f>
        <v/>
      </c>
      <c r="AY218" s="102" t="str">
        <f t="shared" si="40"/>
        <v/>
      </c>
      <c r="AZ218" s="99" t="str">
        <f>IF($A218="","",IFERROR(INDEX('Make Factors'!$G$5:$G$69,MATCH($F218,'Make Factors'!$B$5:$B$69,0)),"?"))</f>
        <v/>
      </c>
      <c r="BA218" s="99" t="str">
        <f>IF($A218="","",IFERROR(INDEX('Driver Factors'!$C$6:$C$15,MATCH($R218,'Driver Factors'!$B$6:$B$15,0)),"?"))</f>
        <v/>
      </c>
      <c r="BB218" s="99" t="str">
        <f>IF($A218="","",IFERROR(INDEX('Driver Factors'!$C$19:$C$24,MATCH($S218,'Driver Factors'!$B$19:$B$24,0)),"?"))</f>
        <v/>
      </c>
      <c r="BC218" s="99" t="str">
        <f>IF($A218="","",IFERROR(INDEX('Driver Factors'!$C$28:$C$36,MATCH($T218,'Driver Factors'!$B$28:$B$36,0)),"?"))</f>
        <v/>
      </c>
      <c r="BD218" s="99" t="str">
        <f>IF($A218="","",IFERROR(INDEX('Claims History'!$C$6:$C$15,MATCH($U218,'Claims History'!$B$6:$B$15,0)),"?"))</f>
        <v/>
      </c>
      <c r="BE218" s="99" t="str">
        <f>IF($A218="","",IFERROR(INDEX('Territory Factors'!$E$6:$E$56,MATCH($K218,'Territory Factors'!$B$6:$B$56,0)),"?"))</f>
        <v/>
      </c>
      <c r="BF218" s="99" t="str">
        <f>IF($A218="","",IFERROR(INDEX('City Accident Ratings'!$G$6:$G$54,MATCH($Z218,'City Accident Ratings'!$B$6:$B$54,0)),"?"))</f>
        <v/>
      </c>
      <c r="BG218" s="99" t="str">
        <f>IF($A218="","",IFERROR(INDEX('Usage and Coverage'!$D$6:$D$20,MATCH($N218,'Usage and Coverage'!$C$6:$C$20,0)),"?"))</f>
        <v/>
      </c>
      <c r="BH218" s="99" t="str">
        <f>IF($A218="","",IFERROR(INDEX('Usage and Coverage'!$C$24:$C$30,MATCH($O218,'Usage and Coverage'!$B$24:$B$30,0)),"?"))</f>
        <v/>
      </c>
      <c r="BI218" s="99" t="str">
        <f>IF($A218="","",IFERROR(INDEX('Usage and Coverage'!$C$34:$C$40,MATCH($P218,'Usage and Coverage'!$B$34:$B$40,0)),"?"))</f>
        <v/>
      </c>
      <c r="BJ218" s="99" t="str">
        <f>IF($A218="","",IFERROR(INDEX('Usage and Coverage'!$C$44:$C$49,MATCH($Q218,'Usage and Coverage'!$B$44:$B$49,0)),"?"))</f>
        <v/>
      </c>
      <c r="BK218" s="99" t="str">
        <f>IF($A218="","",IFERROR(INDEX(Deductibles!$C$6:$I$15,MATCH($W218,Deductibles!$B$6:$B$15,0),MATCH(MAX($J218,'Technical Premium'!$C$18),'Base Rates'!$C$3:$I$3,1)),"?"))</f>
        <v/>
      </c>
      <c r="BL218" s="99" t="str">
        <f>IF($A218="","",IFERROR(INDEX('Usage and Coverage'!$C$63:$C$66,MATCH($X218,'Usage and Coverage'!$B$63:$B$66,0)),"?"))</f>
        <v/>
      </c>
      <c r="BM218" s="99" t="str">
        <f>IF($A218="","",IFERROR(INDEX('Usage and Coverage'!$C$70:$C$75,MATCH($V218,'Usage and Coverage'!$B$70:$B$75,0)),"?"))</f>
        <v/>
      </c>
      <c r="BN218" s="99" t="str">
        <f>IF($A218="","",IF($AB218="",1,IFERROR(INDEX(Deductibles!$C$48:$C$51,MATCH($AB218,Deductibles!$B$48:$B$51,0)),"?")))</f>
        <v/>
      </c>
      <c r="BO218" s="99" t="str">
        <f>IF($A218="","",IF($AC218="",1,IFERROR(INDEX(Deductibles!$C$55:$C$57,MATCH($AC218,Deductibles!$B$55:$B$57,0)),"?")))</f>
        <v/>
      </c>
      <c r="BP218" s="99" t="str">
        <f>IF($A218="","",IF($AD218="",1,IFERROR(INDEX(Deductibles!$C$61:$C$63,MATCH($AD218,Deductibles!$B$61:$B$63,0)),"?")))</f>
        <v/>
      </c>
      <c r="BQ218" s="99" t="str">
        <f>IF($A218="","",IF($AE218="",1,IFERROR(INDEX(Deductibles!$C$67:$C$69,MATCH($AE218,Deductibles!$B$67:$B$69,0)),"?")))</f>
        <v/>
      </c>
      <c r="BR218" s="99" t="str">
        <f>IF($A218="","",IF($AF218="",1,IFERROR(INDEX(Deductibles!$C$73:$C$74,MATCH($AF218,Deductibles!$B$73:$B$74,0)),"?")))</f>
        <v/>
      </c>
      <c r="BS218" s="99" t="str">
        <f>IF($A218="","",IF($AG218="",1,IFERROR(INDEX('Sublimits and Parts'!$C$49:$C$52,MATCH($AG218,'Sublimits and Parts'!$B$49:$B$52,0)),"?")))</f>
        <v/>
      </c>
      <c r="BT218" s="99" t="str">
        <f>IF($A218="","",IF($AH218="",1,IFERROR(INDEX('Sublimits and Parts'!$C$56:$C$60,MATCH($AH218,'Sublimits and Parts'!$B$56:$B$60,0)),"?")))</f>
        <v/>
      </c>
      <c r="BU218" s="99" t="str">
        <f>IF($A218="","",IF($AI218="",1,IFERROR(INDEX('Sublimits and Parts'!$C$64:$C$67,MATCH($AI218,'Sublimits and Parts'!$B$64:$B$67,0)),"?")))</f>
        <v/>
      </c>
      <c r="BV218" s="99" t="str">
        <f>IF($A218="","",IF($AJ218="",1,IFERROR(INDEX('Sublimits and Parts'!$C$71:$C$74,MATCH($AJ218,'Sublimits and Parts'!$B$71:$B$74,0)),"?")))</f>
        <v/>
      </c>
      <c r="BW218" s="99" t="str">
        <f>IF($A218="","",IF($AK218="",1,IFERROR(INDEX('Sublimits and Parts'!$C$78:$C$80,MATCH($AK218,'Sublimits and Parts'!$B$78:$B$80,0)),"?")))</f>
        <v/>
      </c>
      <c r="BX218" s="99" t="str">
        <f>IF($A218="","",IF($AL218="",1,IFERROR(INDEX('Sublimits and Parts'!$C$84:$C$87,MATCH($AL218,'Sublimits and Parts'!$B$84:$B$87,0)),"?")))</f>
        <v/>
      </c>
      <c r="BY218" s="99" t="str">
        <f>IF($A218="","",IF($AM218="",1,IFERROR(INDEX('Sublimits and Parts'!$C$91:$C$94,MATCH($AM218,'Sublimits and Parts'!$B$91:$B$94,0)),"?")))</f>
        <v/>
      </c>
      <c r="BZ218" s="99" t="str">
        <f>IF($A218="","",IF($AN218="",1,IFERROR(INDEX('Sublimits and Parts'!$C$98:$C$101,MATCH($AN218,'Sublimits and Parts'!$B$98:$B$101,0)),"?")))</f>
        <v/>
      </c>
      <c r="CA218" s="99" t="str">
        <f>IF($A218="","",IF($AO218="",1,IFERROR(INDEX('Sublimits and Parts'!$C$105:$C$109,MATCH($AO218,'Sublimits and Parts'!$B$105:$B$109,0)),"?")))</f>
        <v/>
      </c>
      <c r="CB218" s="100" t="str">
        <f t="shared" si="41"/>
        <v/>
      </c>
      <c r="CC218" s="100" t="str">
        <f t="shared" si="42"/>
        <v/>
      </c>
      <c r="CD218" s="103" t="str">
        <f>IF($A218="","",IF(OR($CB218="?",$CC218="?"),"?",MIN($CB218*$CC218,'Technical Premium'!$C$17)))</f>
        <v/>
      </c>
      <c r="CE218" s="102" t="str">
        <f t="shared" si="43"/>
        <v/>
      </c>
      <c r="CF218" s="102" t="str">
        <f>IF($A218="","",IFERROR(INDEX('Territory Factors'!$F$6:$F$56,MATCH($K218,'Territory Factors'!$B$6:$B$56,0)),"?"))</f>
        <v/>
      </c>
      <c r="CG218" s="100" t="str">
        <f>IF($A218="","",IFERROR(INDEX('Usage and Coverage'!$C$79:$C$84,MATCH($Y218,'Usage and Coverage'!$B$79:$B$84,0)),"?"))</f>
        <v/>
      </c>
      <c r="CH218" s="102" t="str">
        <f>IFERROR(IF(ISNUMBER($CD218),$CF218*$CG218*MIN($BG218*$BA218*$BC218*$BD218*$BH218*$BF218,'Technical Premium'!$C$17),""),"")</f>
        <v/>
      </c>
      <c r="CI218" s="102" t="str">
        <f t="shared" si="44"/>
        <v/>
      </c>
      <c r="CJ218" s="102" t="str">
        <f>IFERROR($CI218*(1+'Technical Premium'!$C$5)*(1+'Technical Premium'!$C$6),"")</f>
        <v/>
      </c>
      <c r="CK218" s="102" t="str">
        <f>IFERROR($CE218*INDEX('Territory Factors'!$G$6:$G$56,MATCH($K218,'Territory Factors'!$B$6:$B$56,0))*$AU218*$AV218,"")</f>
        <v/>
      </c>
      <c r="CL218" s="102" t="str">
        <f>IFERROR(($CJ218+$CK218)*(1+'Technical Premium'!$C$7),"")</f>
        <v/>
      </c>
      <c r="CM218" s="104" t="str">
        <f>IFERROR($CL218/'Technical Premium'!$C$13,"")</f>
        <v/>
      </c>
      <c r="CN218" s="105" t="str">
        <f t="shared" si="45"/>
        <v/>
      </c>
      <c r="CO218" s="104" t="str">
        <f t="shared" si="46"/>
        <v/>
      </c>
      <c r="CP218" s="105" t="str">
        <f t="shared" si="47"/>
        <v/>
      </c>
      <c r="CQ218" s="106" t="str">
        <f t="shared" si="48"/>
        <v/>
      </c>
      <c r="CR218" s="102" t="str">
        <f>IF(ISNUMBER($CM218),'Technical Premium'!$C$14+IF($J218&gt;=1000000,'Technical Premium'!$C$15,0),"")</f>
        <v/>
      </c>
      <c r="CS218" s="102" t="str">
        <f>IFERROR(($CO218+$CR218)*(INDEX('Territory Factors'!$K$6:$K$56,MATCH($K218,'Territory Factors'!$B$6:$B$56,0))+'Commission Structure'!$C$21),"")</f>
        <v/>
      </c>
      <c r="CT218" s="104" t="str">
        <f t="shared" si="49"/>
        <v/>
      </c>
      <c r="CU218" s="102" t="str">
        <f>IFERROR($CO218*('Commission Structure'!$C$6+'Commission Structure'!$C$7),"")</f>
        <v/>
      </c>
      <c r="CV218" s="102" t="str">
        <f>IFERROR($CO218*'Commission Structure'!$C$5-$CU218,"")</f>
        <v/>
      </c>
      <c r="CW218" s="102" t="str">
        <f>IFERROR($CO218*(1-'Commission Structure'!$C$5),"")</f>
        <v/>
      </c>
      <c r="CX218" s="107"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8" t="str">
        <f t="shared" si="50"/>
        <v/>
      </c>
      <c r="CZ218" s="99" t="str">
        <f>IF($CY218="","",IF($CY218&lt;'Technical Premium'!$C$19,"BEYOND AUTHORITY",IF($CY218&gt;0.005,"Above technical",IF($CY218&lt;-0.005,"BELOW technical","At technical"))))</f>
        <v/>
      </c>
      <c r="DA218" s="99"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4"/>
      <c r="DC218" s="94"/>
      <c r="DD218" s="95"/>
      <c r="DE218" s="94"/>
      <c r="DF218" s="94"/>
      <c r="DG218" s="99" t="str">
        <f t="shared" si="51"/>
        <v/>
      </c>
      <c r="DH218" s="99" t="str">
        <f>IF($A218="","",IF(OR($CX218="REFER",$CX218="DECLINE"),COUNTIF($CX$5:$CX218,"REFER")+COUNTIF($CX$5:$CX218,"DECLINE"),""))</f>
        <v/>
      </c>
      <c r="DI218" s="94"/>
    </row>
    <row r="219" spans="1:113" x14ac:dyDescent="0.35">
      <c r="A219" s="94"/>
      <c r="B219" s="94"/>
      <c r="C219" s="95"/>
      <c r="D219" s="95"/>
      <c r="E219" s="96"/>
      <c r="F219" s="94"/>
      <c r="G219" s="94"/>
      <c r="H219" s="94"/>
      <c r="I219" s="94"/>
      <c r="J219" s="97"/>
      <c r="K219" s="94"/>
      <c r="L219" s="94"/>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8"/>
      <c r="AR219" s="99" t="str">
        <f t="shared" si="39"/>
        <v/>
      </c>
      <c r="AS219" s="99" t="str">
        <f>IF($A219="","",IF($AP219&lt;&gt;"",$AP219,IFERROR(INDEX('Cat Zone by ZIP'!$D$6:$D$856,MATCH($AR219,'Cat Zone by ZIP'!$B$6:$B$856,0)),IFERROR(INDEX('Cat Zone by ZIP'!$C$860:$C$910,MATCH($K219,'Cat Zone by ZIP'!$B$860:$B$910,0)),"NOT FOUND"))))</f>
        <v/>
      </c>
      <c r="AT219" s="99" t="str">
        <f>IF($A219="","",IF($AP219&lt;&gt;"","Override",IF(ISNUMBER(MATCH($AR219,'Cat Zone by ZIP'!$B$6:$B$856,0)),"ZIP-3","State default")))</f>
        <v/>
      </c>
      <c r="AU219" s="100" t="str">
        <f>IF($A219="","",IFERROR(INDEX('Natural Catastrophe'!$D$6:$D$17,MATCH($AS219,'Natural Catastrophe'!$B$6:$B$17,0)),"?"))</f>
        <v/>
      </c>
      <c r="AV219" s="100" t="str">
        <f>IF($A219="","",IFERROR(INDEX('Natural Catastrophe'!$C$21:$C$26,MATCH($AA219,'Natural Catastrophe'!$B$21:$B$26,0)),"?"))</f>
        <v/>
      </c>
      <c r="AW219" s="99" t="str">
        <f>IF($A219="","",IFERROR(INDEX('Base Rates'!$C$4:$I$4,MATCH(MAX($J219,'Technical Premium'!$C$18),'Base Rates'!$C$3:$I$3,1)),"?"))</f>
        <v/>
      </c>
      <c r="AX219" s="101" t="str">
        <f>IF($A219="","",IFERROR(INDEX('Base Rates'!$C$5:$I$16,MATCH($I219,'Base Rates'!$B$5:$B$16,0),MATCH(MAX($J219,'Technical Premium'!$C$18),'Base Rates'!$C$3:$I$3,1)),"?"))</f>
        <v/>
      </c>
      <c r="AY219" s="102" t="str">
        <f t="shared" si="40"/>
        <v/>
      </c>
      <c r="AZ219" s="99" t="str">
        <f>IF($A219="","",IFERROR(INDEX('Make Factors'!$G$5:$G$69,MATCH($F219,'Make Factors'!$B$5:$B$69,0)),"?"))</f>
        <v/>
      </c>
      <c r="BA219" s="99" t="str">
        <f>IF($A219="","",IFERROR(INDEX('Driver Factors'!$C$6:$C$15,MATCH($R219,'Driver Factors'!$B$6:$B$15,0)),"?"))</f>
        <v/>
      </c>
      <c r="BB219" s="99" t="str">
        <f>IF($A219="","",IFERROR(INDEX('Driver Factors'!$C$19:$C$24,MATCH($S219,'Driver Factors'!$B$19:$B$24,0)),"?"))</f>
        <v/>
      </c>
      <c r="BC219" s="99" t="str">
        <f>IF($A219="","",IFERROR(INDEX('Driver Factors'!$C$28:$C$36,MATCH($T219,'Driver Factors'!$B$28:$B$36,0)),"?"))</f>
        <v/>
      </c>
      <c r="BD219" s="99" t="str">
        <f>IF($A219="","",IFERROR(INDEX('Claims History'!$C$6:$C$15,MATCH($U219,'Claims History'!$B$6:$B$15,0)),"?"))</f>
        <v/>
      </c>
      <c r="BE219" s="99" t="str">
        <f>IF($A219="","",IFERROR(INDEX('Territory Factors'!$E$6:$E$56,MATCH($K219,'Territory Factors'!$B$6:$B$56,0)),"?"))</f>
        <v/>
      </c>
      <c r="BF219" s="99" t="str">
        <f>IF($A219="","",IFERROR(INDEX('City Accident Ratings'!$G$6:$G$54,MATCH($Z219,'City Accident Ratings'!$B$6:$B$54,0)),"?"))</f>
        <v/>
      </c>
      <c r="BG219" s="99" t="str">
        <f>IF($A219="","",IFERROR(INDEX('Usage and Coverage'!$D$6:$D$20,MATCH($N219,'Usage and Coverage'!$C$6:$C$20,0)),"?"))</f>
        <v/>
      </c>
      <c r="BH219" s="99" t="str">
        <f>IF($A219="","",IFERROR(INDEX('Usage and Coverage'!$C$24:$C$30,MATCH($O219,'Usage and Coverage'!$B$24:$B$30,0)),"?"))</f>
        <v/>
      </c>
      <c r="BI219" s="99" t="str">
        <f>IF($A219="","",IFERROR(INDEX('Usage and Coverage'!$C$34:$C$40,MATCH($P219,'Usage and Coverage'!$B$34:$B$40,0)),"?"))</f>
        <v/>
      </c>
      <c r="BJ219" s="99" t="str">
        <f>IF($A219="","",IFERROR(INDEX('Usage and Coverage'!$C$44:$C$49,MATCH($Q219,'Usage and Coverage'!$B$44:$B$49,0)),"?"))</f>
        <v/>
      </c>
      <c r="BK219" s="99" t="str">
        <f>IF($A219="","",IFERROR(INDEX(Deductibles!$C$6:$I$15,MATCH($W219,Deductibles!$B$6:$B$15,0),MATCH(MAX($J219,'Technical Premium'!$C$18),'Base Rates'!$C$3:$I$3,1)),"?"))</f>
        <v/>
      </c>
      <c r="BL219" s="99" t="str">
        <f>IF($A219="","",IFERROR(INDEX('Usage and Coverage'!$C$63:$C$66,MATCH($X219,'Usage and Coverage'!$B$63:$B$66,0)),"?"))</f>
        <v/>
      </c>
      <c r="BM219" s="99" t="str">
        <f>IF($A219="","",IFERROR(INDEX('Usage and Coverage'!$C$70:$C$75,MATCH($V219,'Usage and Coverage'!$B$70:$B$75,0)),"?"))</f>
        <v/>
      </c>
      <c r="BN219" s="99" t="str">
        <f>IF($A219="","",IF($AB219="",1,IFERROR(INDEX(Deductibles!$C$48:$C$51,MATCH($AB219,Deductibles!$B$48:$B$51,0)),"?")))</f>
        <v/>
      </c>
      <c r="BO219" s="99" t="str">
        <f>IF($A219="","",IF($AC219="",1,IFERROR(INDEX(Deductibles!$C$55:$C$57,MATCH($AC219,Deductibles!$B$55:$B$57,0)),"?")))</f>
        <v/>
      </c>
      <c r="BP219" s="99" t="str">
        <f>IF($A219="","",IF($AD219="",1,IFERROR(INDEX(Deductibles!$C$61:$C$63,MATCH($AD219,Deductibles!$B$61:$B$63,0)),"?")))</f>
        <v/>
      </c>
      <c r="BQ219" s="99" t="str">
        <f>IF($A219="","",IF($AE219="",1,IFERROR(INDEX(Deductibles!$C$67:$C$69,MATCH($AE219,Deductibles!$B$67:$B$69,0)),"?")))</f>
        <v/>
      </c>
      <c r="BR219" s="99" t="str">
        <f>IF($A219="","",IF($AF219="",1,IFERROR(INDEX(Deductibles!$C$73:$C$74,MATCH($AF219,Deductibles!$B$73:$B$74,0)),"?")))</f>
        <v/>
      </c>
      <c r="BS219" s="99" t="str">
        <f>IF($A219="","",IF($AG219="",1,IFERROR(INDEX('Sublimits and Parts'!$C$49:$C$52,MATCH($AG219,'Sublimits and Parts'!$B$49:$B$52,0)),"?")))</f>
        <v/>
      </c>
      <c r="BT219" s="99" t="str">
        <f>IF($A219="","",IF($AH219="",1,IFERROR(INDEX('Sublimits and Parts'!$C$56:$C$60,MATCH($AH219,'Sublimits and Parts'!$B$56:$B$60,0)),"?")))</f>
        <v/>
      </c>
      <c r="BU219" s="99" t="str">
        <f>IF($A219="","",IF($AI219="",1,IFERROR(INDEX('Sublimits and Parts'!$C$64:$C$67,MATCH($AI219,'Sublimits and Parts'!$B$64:$B$67,0)),"?")))</f>
        <v/>
      </c>
      <c r="BV219" s="99" t="str">
        <f>IF($A219="","",IF($AJ219="",1,IFERROR(INDEX('Sublimits and Parts'!$C$71:$C$74,MATCH($AJ219,'Sublimits and Parts'!$B$71:$B$74,0)),"?")))</f>
        <v/>
      </c>
      <c r="BW219" s="99" t="str">
        <f>IF($A219="","",IF($AK219="",1,IFERROR(INDEX('Sublimits and Parts'!$C$78:$C$80,MATCH($AK219,'Sublimits and Parts'!$B$78:$B$80,0)),"?")))</f>
        <v/>
      </c>
      <c r="BX219" s="99" t="str">
        <f>IF($A219="","",IF($AL219="",1,IFERROR(INDEX('Sublimits and Parts'!$C$84:$C$87,MATCH($AL219,'Sublimits and Parts'!$B$84:$B$87,0)),"?")))</f>
        <v/>
      </c>
      <c r="BY219" s="99" t="str">
        <f>IF($A219="","",IF($AM219="",1,IFERROR(INDEX('Sublimits and Parts'!$C$91:$C$94,MATCH($AM219,'Sublimits and Parts'!$B$91:$B$94,0)),"?")))</f>
        <v/>
      </c>
      <c r="BZ219" s="99" t="str">
        <f>IF($A219="","",IF($AN219="",1,IFERROR(INDEX('Sublimits and Parts'!$C$98:$C$101,MATCH($AN219,'Sublimits and Parts'!$B$98:$B$101,0)),"?")))</f>
        <v/>
      </c>
      <c r="CA219" s="99" t="str">
        <f>IF($A219="","",IF($AO219="",1,IFERROR(INDEX('Sublimits and Parts'!$C$105:$C$109,MATCH($AO219,'Sublimits and Parts'!$B$105:$B$109,0)),"?")))</f>
        <v/>
      </c>
      <c r="CB219" s="100" t="str">
        <f t="shared" si="41"/>
        <v/>
      </c>
      <c r="CC219" s="100" t="str">
        <f t="shared" si="42"/>
        <v/>
      </c>
      <c r="CD219" s="103" t="str">
        <f>IF($A219="","",IF(OR($CB219="?",$CC219="?"),"?",MIN($CB219*$CC219,'Technical Premium'!$C$17)))</f>
        <v/>
      </c>
      <c r="CE219" s="102" t="str">
        <f t="shared" si="43"/>
        <v/>
      </c>
      <c r="CF219" s="102" t="str">
        <f>IF($A219="","",IFERROR(INDEX('Territory Factors'!$F$6:$F$56,MATCH($K219,'Territory Factors'!$B$6:$B$56,0)),"?"))</f>
        <v/>
      </c>
      <c r="CG219" s="100" t="str">
        <f>IF($A219="","",IFERROR(INDEX('Usage and Coverage'!$C$79:$C$84,MATCH($Y219,'Usage and Coverage'!$B$79:$B$84,0)),"?"))</f>
        <v/>
      </c>
      <c r="CH219" s="102" t="str">
        <f>IFERROR(IF(ISNUMBER($CD219),$CF219*$CG219*MIN($BG219*$BA219*$BC219*$BD219*$BH219*$BF219,'Technical Premium'!$C$17),""),"")</f>
        <v/>
      </c>
      <c r="CI219" s="102" t="str">
        <f t="shared" si="44"/>
        <v/>
      </c>
      <c r="CJ219" s="102" t="str">
        <f>IFERROR($CI219*(1+'Technical Premium'!$C$5)*(1+'Technical Premium'!$C$6),"")</f>
        <v/>
      </c>
      <c r="CK219" s="102" t="str">
        <f>IFERROR($CE219*INDEX('Territory Factors'!$G$6:$G$56,MATCH($K219,'Territory Factors'!$B$6:$B$56,0))*$AU219*$AV219,"")</f>
        <v/>
      </c>
      <c r="CL219" s="102" t="str">
        <f>IFERROR(($CJ219+$CK219)*(1+'Technical Premium'!$C$7),"")</f>
        <v/>
      </c>
      <c r="CM219" s="104" t="str">
        <f>IFERROR($CL219/'Technical Premium'!$C$13,"")</f>
        <v/>
      </c>
      <c r="CN219" s="105" t="str">
        <f t="shared" si="45"/>
        <v/>
      </c>
      <c r="CO219" s="104" t="str">
        <f t="shared" si="46"/>
        <v/>
      </c>
      <c r="CP219" s="105" t="str">
        <f t="shared" si="47"/>
        <v/>
      </c>
      <c r="CQ219" s="106" t="str">
        <f t="shared" si="48"/>
        <v/>
      </c>
      <c r="CR219" s="102" t="str">
        <f>IF(ISNUMBER($CM219),'Technical Premium'!$C$14+IF($J219&gt;=1000000,'Technical Premium'!$C$15,0),"")</f>
        <v/>
      </c>
      <c r="CS219" s="102" t="str">
        <f>IFERROR(($CO219+$CR219)*(INDEX('Territory Factors'!$K$6:$K$56,MATCH($K219,'Territory Factors'!$B$6:$B$56,0))+'Commission Structure'!$C$21),"")</f>
        <v/>
      </c>
      <c r="CT219" s="104" t="str">
        <f t="shared" si="49"/>
        <v/>
      </c>
      <c r="CU219" s="102" t="str">
        <f>IFERROR($CO219*('Commission Structure'!$C$6+'Commission Structure'!$C$7),"")</f>
        <v/>
      </c>
      <c r="CV219" s="102" t="str">
        <f>IFERROR($CO219*'Commission Structure'!$C$5-$CU219,"")</f>
        <v/>
      </c>
      <c r="CW219" s="102" t="str">
        <f>IFERROR($CO219*(1-'Commission Structure'!$C$5),"")</f>
        <v/>
      </c>
      <c r="CX219" s="107"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8" t="str">
        <f t="shared" si="50"/>
        <v/>
      </c>
      <c r="CZ219" s="99" t="str">
        <f>IF($CY219="","",IF($CY219&lt;'Technical Premium'!$C$19,"BEYOND AUTHORITY",IF($CY219&gt;0.005,"Above technical",IF($CY219&lt;-0.005,"BELOW technical","At technical"))))</f>
        <v/>
      </c>
      <c r="DA219" s="99"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4"/>
      <c r="DC219" s="94"/>
      <c r="DD219" s="95"/>
      <c r="DE219" s="94"/>
      <c r="DF219" s="94"/>
      <c r="DG219" s="99" t="str">
        <f t="shared" si="51"/>
        <v/>
      </c>
      <c r="DH219" s="99" t="str">
        <f>IF($A219="","",IF(OR($CX219="REFER",$CX219="DECLINE"),COUNTIF($CX$5:$CX219,"REFER")+COUNTIF($CX$5:$CX219,"DECLINE"),""))</f>
        <v/>
      </c>
      <c r="DI219" s="94"/>
    </row>
    <row r="220" spans="1:113" x14ac:dyDescent="0.35">
      <c r="A220" s="94"/>
      <c r="B220" s="94"/>
      <c r="C220" s="95"/>
      <c r="D220" s="95"/>
      <c r="E220" s="96"/>
      <c r="F220" s="94"/>
      <c r="G220" s="94"/>
      <c r="H220" s="94"/>
      <c r="I220" s="94"/>
      <c r="J220" s="97"/>
      <c r="K220" s="94"/>
      <c r="L220" s="94"/>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8"/>
      <c r="AR220" s="99" t="str">
        <f t="shared" si="39"/>
        <v/>
      </c>
      <c r="AS220" s="99" t="str">
        <f>IF($A220="","",IF($AP220&lt;&gt;"",$AP220,IFERROR(INDEX('Cat Zone by ZIP'!$D$6:$D$856,MATCH($AR220,'Cat Zone by ZIP'!$B$6:$B$856,0)),IFERROR(INDEX('Cat Zone by ZIP'!$C$860:$C$910,MATCH($K220,'Cat Zone by ZIP'!$B$860:$B$910,0)),"NOT FOUND"))))</f>
        <v/>
      </c>
      <c r="AT220" s="99" t="str">
        <f>IF($A220="","",IF($AP220&lt;&gt;"","Override",IF(ISNUMBER(MATCH($AR220,'Cat Zone by ZIP'!$B$6:$B$856,0)),"ZIP-3","State default")))</f>
        <v/>
      </c>
      <c r="AU220" s="100" t="str">
        <f>IF($A220="","",IFERROR(INDEX('Natural Catastrophe'!$D$6:$D$17,MATCH($AS220,'Natural Catastrophe'!$B$6:$B$17,0)),"?"))</f>
        <v/>
      </c>
      <c r="AV220" s="100" t="str">
        <f>IF($A220="","",IFERROR(INDEX('Natural Catastrophe'!$C$21:$C$26,MATCH($AA220,'Natural Catastrophe'!$B$21:$B$26,0)),"?"))</f>
        <v/>
      </c>
      <c r="AW220" s="99" t="str">
        <f>IF($A220="","",IFERROR(INDEX('Base Rates'!$C$4:$I$4,MATCH(MAX($J220,'Technical Premium'!$C$18),'Base Rates'!$C$3:$I$3,1)),"?"))</f>
        <v/>
      </c>
      <c r="AX220" s="101" t="str">
        <f>IF($A220="","",IFERROR(INDEX('Base Rates'!$C$5:$I$16,MATCH($I220,'Base Rates'!$B$5:$B$16,0),MATCH(MAX($J220,'Technical Premium'!$C$18),'Base Rates'!$C$3:$I$3,1)),"?"))</f>
        <v/>
      </c>
      <c r="AY220" s="102" t="str">
        <f t="shared" si="40"/>
        <v/>
      </c>
      <c r="AZ220" s="99" t="str">
        <f>IF($A220="","",IFERROR(INDEX('Make Factors'!$G$5:$G$69,MATCH($F220,'Make Factors'!$B$5:$B$69,0)),"?"))</f>
        <v/>
      </c>
      <c r="BA220" s="99" t="str">
        <f>IF($A220="","",IFERROR(INDEX('Driver Factors'!$C$6:$C$15,MATCH($R220,'Driver Factors'!$B$6:$B$15,0)),"?"))</f>
        <v/>
      </c>
      <c r="BB220" s="99" t="str">
        <f>IF($A220="","",IFERROR(INDEX('Driver Factors'!$C$19:$C$24,MATCH($S220,'Driver Factors'!$B$19:$B$24,0)),"?"))</f>
        <v/>
      </c>
      <c r="BC220" s="99" t="str">
        <f>IF($A220="","",IFERROR(INDEX('Driver Factors'!$C$28:$C$36,MATCH($T220,'Driver Factors'!$B$28:$B$36,0)),"?"))</f>
        <v/>
      </c>
      <c r="BD220" s="99" t="str">
        <f>IF($A220="","",IFERROR(INDEX('Claims History'!$C$6:$C$15,MATCH($U220,'Claims History'!$B$6:$B$15,0)),"?"))</f>
        <v/>
      </c>
      <c r="BE220" s="99" t="str">
        <f>IF($A220="","",IFERROR(INDEX('Territory Factors'!$E$6:$E$56,MATCH($K220,'Territory Factors'!$B$6:$B$56,0)),"?"))</f>
        <v/>
      </c>
      <c r="BF220" s="99" t="str">
        <f>IF($A220="","",IFERROR(INDEX('City Accident Ratings'!$G$6:$G$54,MATCH($Z220,'City Accident Ratings'!$B$6:$B$54,0)),"?"))</f>
        <v/>
      </c>
      <c r="BG220" s="99" t="str">
        <f>IF($A220="","",IFERROR(INDEX('Usage and Coverage'!$D$6:$D$20,MATCH($N220,'Usage and Coverage'!$C$6:$C$20,0)),"?"))</f>
        <v/>
      </c>
      <c r="BH220" s="99" t="str">
        <f>IF($A220="","",IFERROR(INDEX('Usage and Coverage'!$C$24:$C$30,MATCH($O220,'Usage and Coverage'!$B$24:$B$30,0)),"?"))</f>
        <v/>
      </c>
      <c r="BI220" s="99" t="str">
        <f>IF($A220="","",IFERROR(INDEX('Usage and Coverage'!$C$34:$C$40,MATCH($P220,'Usage and Coverage'!$B$34:$B$40,0)),"?"))</f>
        <v/>
      </c>
      <c r="BJ220" s="99" t="str">
        <f>IF($A220="","",IFERROR(INDEX('Usage and Coverage'!$C$44:$C$49,MATCH($Q220,'Usage and Coverage'!$B$44:$B$49,0)),"?"))</f>
        <v/>
      </c>
      <c r="BK220" s="99" t="str">
        <f>IF($A220="","",IFERROR(INDEX(Deductibles!$C$6:$I$15,MATCH($W220,Deductibles!$B$6:$B$15,0),MATCH(MAX($J220,'Technical Premium'!$C$18),'Base Rates'!$C$3:$I$3,1)),"?"))</f>
        <v/>
      </c>
      <c r="BL220" s="99" t="str">
        <f>IF($A220="","",IFERROR(INDEX('Usage and Coverage'!$C$63:$C$66,MATCH($X220,'Usage and Coverage'!$B$63:$B$66,0)),"?"))</f>
        <v/>
      </c>
      <c r="BM220" s="99" t="str">
        <f>IF($A220="","",IFERROR(INDEX('Usage and Coverage'!$C$70:$C$75,MATCH($V220,'Usage and Coverage'!$B$70:$B$75,0)),"?"))</f>
        <v/>
      </c>
      <c r="BN220" s="99" t="str">
        <f>IF($A220="","",IF($AB220="",1,IFERROR(INDEX(Deductibles!$C$48:$C$51,MATCH($AB220,Deductibles!$B$48:$B$51,0)),"?")))</f>
        <v/>
      </c>
      <c r="BO220" s="99" t="str">
        <f>IF($A220="","",IF($AC220="",1,IFERROR(INDEX(Deductibles!$C$55:$C$57,MATCH($AC220,Deductibles!$B$55:$B$57,0)),"?")))</f>
        <v/>
      </c>
      <c r="BP220" s="99" t="str">
        <f>IF($A220="","",IF($AD220="",1,IFERROR(INDEX(Deductibles!$C$61:$C$63,MATCH($AD220,Deductibles!$B$61:$B$63,0)),"?")))</f>
        <v/>
      </c>
      <c r="BQ220" s="99" t="str">
        <f>IF($A220="","",IF($AE220="",1,IFERROR(INDEX(Deductibles!$C$67:$C$69,MATCH($AE220,Deductibles!$B$67:$B$69,0)),"?")))</f>
        <v/>
      </c>
      <c r="BR220" s="99" t="str">
        <f>IF($A220="","",IF($AF220="",1,IFERROR(INDEX(Deductibles!$C$73:$C$74,MATCH($AF220,Deductibles!$B$73:$B$74,0)),"?")))</f>
        <v/>
      </c>
      <c r="BS220" s="99" t="str">
        <f>IF($A220="","",IF($AG220="",1,IFERROR(INDEX('Sublimits and Parts'!$C$49:$C$52,MATCH($AG220,'Sublimits and Parts'!$B$49:$B$52,0)),"?")))</f>
        <v/>
      </c>
      <c r="BT220" s="99" t="str">
        <f>IF($A220="","",IF($AH220="",1,IFERROR(INDEX('Sublimits and Parts'!$C$56:$C$60,MATCH($AH220,'Sublimits and Parts'!$B$56:$B$60,0)),"?")))</f>
        <v/>
      </c>
      <c r="BU220" s="99" t="str">
        <f>IF($A220="","",IF($AI220="",1,IFERROR(INDEX('Sublimits and Parts'!$C$64:$C$67,MATCH($AI220,'Sublimits and Parts'!$B$64:$B$67,0)),"?")))</f>
        <v/>
      </c>
      <c r="BV220" s="99" t="str">
        <f>IF($A220="","",IF($AJ220="",1,IFERROR(INDEX('Sublimits and Parts'!$C$71:$C$74,MATCH($AJ220,'Sublimits and Parts'!$B$71:$B$74,0)),"?")))</f>
        <v/>
      </c>
      <c r="BW220" s="99" t="str">
        <f>IF($A220="","",IF($AK220="",1,IFERROR(INDEX('Sublimits and Parts'!$C$78:$C$80,MATCH($AK220,'Sublimits and Parts'!$B$78:$B$80,0)),"?")))</f>
        <v/>
      </c>
      <c r="BX220" s="99" t="str">
        <f>IF($A220="","",IF($AL220="",1,IFERROR(INDEX('Sublimits and Parts'!$C$84:$C$87,MATCH($AL220,'Sublimits and Parts'!$B$84:$B$87,0)),"?")))</f>
        <v/>
      </c>
      <c r="BY220" s="99" t="str">
        <f>IF($A220="","",IF($AM220="",1,IFERROR(INDEX('Sublimits and Parts'!$C$91:$C$94,MATCH($AM220,'Sublimits and Parts'!$B$91:$B$94,0)),"?")))</f>
        <v/>
      </c>
      <c r="BZ220" s="99" t="str">
        <f>IF($A220="","",IF($AN220="",1,IFERROR(INDEX('Sublimits and Parts'!$C$98:$C$101,MATCH($AN220,'Sublimits and Parts'!$B$98:$B$101,0)),"?")))</f>
        <v/>
      </c>
      <c r="CA220" s="99" t="str">
        <f>IF($A220="","",IF($AO220="",1,IFERROR(INDEX('Sublimits and Parts'!$C$105:$C$109,MATCH($AO220,'Sublimits and Parts'!$B$105:$B$109,0)),"?")))</f>
        <v/>
      </c>
      <c r="CB220" s="100" t="str">
        <f t="shared" si="41"/>
        <v/>
      </c>
      <c r="CC220" s="100" t="str">
        <f t="shared" si="42"/>
        <v/>
      </c>
      <c r="CD220" s="103" t="str">
        <f>IF($A220="","",IF(OR($CB220="?",$CC220="?"),"?",MIN($CB220*$CC220,'Technical Premium'!$C$17)))</f>
        <v/>
      </c>
      <c r="CE220" s="102" t="str">
        <f t="shared" si="43"/>
        <v/>
      </c>
      <c r="CF220" s="102" t="str">
        <f>IF($A220="","",IFERROR(INDEX('Territory Factors'!$F$6:$F$56,MATCH($K220,'Territory Factors'!$B$6:$B$56,0)),"?"))</f>
        <v/>
      </c>
      <c r="CG220" s="100" t="str">
        <f>IF($A220="","",IFERROR(INDEX('Usage and Coverage'!$C$79:$C$84,MATCH($Y220,'Usage and Coverage'!$B$79:$B$84,0)),"?"))</f>
        <v/>
      </c>
      <c r="CH220" s="102" t="str">
        <f>IFERROR(IF(ISNUMBER($CD220),$CF220*$CG220*MIN($BG220*$BA220*$BC220*$BD220*$BH220*$BF220,'Technical Premium'!$C$17),""),"")</f>
        <v/>
      </c>
      <c r="CI220" s="102" t="str">
        <f t="shared" si="44"/>
        <v/>
      </c>
      <c r="CJ220" s="102" t="str">
        <f>IFERROR($CI220*(1+'Technical Premium'!$C$5)*(1+'Technical Premium'!$C$6),"")</f>
        <v/>
      </c>
      <c r="CK220" s="102" t="str">
        <f>IFERROR($CE220*INDEX('Territory Factors'!$G$6:$G$56,MATCH($K220,'Territory Factors'!$B$6:$B$56,0))*$AU220*$AV220,"")</f>
        <v/>
      </c>
      <c r="CL220" s="102" t="str">
        <f>IFERROR(($CJ220+$CK220)*(1+'Technical Premium'!$C$7),"")</f>
        <v/>
      </c>
      <c r="CM220" s="104" t="str">
        <f>IFERROR($CL220/'Technical Premium'!$C$13,"")</f>
        <v/>
      </c>
      <c r="CN220" s="105" t="str">
        <f t="shared" si="45"/>
        <v/>
      </c>
      <c r="CO220" s="104" t="str">
        <f t="shared" si="46"/>
        <v/>
      </c>
      <c r="CP220" s="105" t="str">
        <f t="shared" si="47"/>
        <v/>
      </c>
      <c r="CQ220" s="106" t="str">
        <f t="shared" si="48"/>
        <v/>
      </c>
      <c r="CR220" s="102" t="str">
        <f>IF(ISNUMBER($CM220),'Technical Premium'!$C$14+IF($J220&gt;=1000000,'Technical Premium'!$C$15,0),"")</f>
        <v/>
      </c>
      <c r="CS220" s="102" t="str">
        <f>IFERROR(($CO220+$CR220)*(INDEX('Territory Factors'!$K$6:$K$56,MATCH($K220,'Territory Factors'!$B$6:$B$56,0))+'Commission Structure'!$C$21),"")</f>
        <v/>
      </c>
      <c r="CT220" s="104" t="str">
        <f t="shared" si="49"/>
        <v/>
      </c>
      <c r="CU220" s="102" t="str">
        <f>IFERROR($CO220*('Commission Structure'!$C$6+'Commission Structure'!$C$7),"")</f>
        <v/>
      </c>
      <c r="CV220" s="102" t="str">
        <f>IFERROR($CO220*'Commission Structure'!$C$5-$CU220,"")</f>
        <v/>
      </c>
      <c r="CW220" s="102" t="str">
        <f>IFERROR($CO220*(1-'Commission Structure'!$C$5),"")</f>
        <v/>
      </c>
      <c r="CX220" s="107"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8" t="str">
        <f t="shared" si="50"/>
        <v/>
      </c>
      <c r="CZ220" s="99" t="str">
        <f>IF($CY220="","",IF($CY220&lt;'Technical Premium'!$C$19,"BEYOND AUTHORITY",IF($CY220&gt;0.005,"Above technical",IF($CY220&lt;-0.005,"BELOW technical","At technical"))))</f>
        <v/>
      </c>
      <c r="DA220" s="99"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4"/>
      <c r="DC220" s="94"/>
      <c r="DD220" s="95"/>
      <c r="DE220" s="94"/>
      <c r="DF220" s="94"/>
      <c r="DG220" s="99" t="str">
        <f t="shared" si="51"/>
        <v/>
      </c>
      <c r="DH220" s="99" t="str">
        <f>IF($A220="","",IF(OR($CX220="REFER",$CX220="DECLINE"),COUNTIF($CX$5:$CX220,"REFER")+COUNTIF($CX$5:$CX220,"DECLINE"),""))</f>
        <v/>
      </c>
      <c r="DI220" s="94"/>
    </row>
    <row r="221" spans="1:113" x14ac:dyDescent="0.35">
      <c r="A221" s="94"/>
      <c r="B221" s="94"/>
      <c r="C221" s="95"/>
      <c r="D221" s="95"/>
      <c r="E221" s="96"/>
      <c r="F221" s="94"/>
      <c r="G221" s="94"/>
      <c r="H221" s="94"/>
      <c r="I221" s="94"/>
      <c r="J221" s="97"/>
      <c r="K221" s="94"/>
      <c r="L221" s="94"/>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8"/>
      <c r="AR221" s="99" t="str">
        <f t="shared" si="39"/>
        <v/>
      </c>
      <c r="AS221" s="99" t="str">
        <f>IF($A221="","",IF($AP221&lt;&gt;"",$AP221,IFERROR(INDEX('Cat Zone by ZIP'!$D$6:$D$856,MATCH($AR221,'Cat Zone by ZIP'!$B$6:$B$856,0)),IFERROR(INDEX('Cat Zone by ZIP'!$C$860:$C$910,MATCH($K221,'Cat Zone by ZIP'!$B$860:$B$910,0)),"NOT FOUND"))))</f>
        <v/>
      </c>
      <c r="AT221" s="99" t="str">
        <f>IF($A221="","",IF($AP221&lt;&gt;"","Override",IF(ISNUMBER(MATCH($AR221,'Cat Zone by ZIP'!$B$6:$B$856,0)),"ZIP-3","State default")))</f>
        <v/>
      </c>
      <c r="AU221" s="100" t="str">
        <f>IF($A221="","",IFERROR(INDEX('Natural Catastrophe'!$D$6:$D$17,MATCH($AS221,'Natural Catastrophe'!$B$6:$B$17,0)),"?"))</f>
        <v/>
      </c>
      <c r="AV221" s="100" t="str">
        <f>IF($A221="","",IFERROR(INDEX('Natural Catastrophe'!$C$21:$C$26,MATCH($AA221,'Natural Catastrophe'!$B$21:$B$26,0)),"?"))</f>
        <v/>
      </c>
      <c r="AW221" s="99" t="str">
        <f>IF($A221="","",IFERROR(INDEX('Base Rates'!$C$4:$I$4,MATCH(MAX($J221,'Technical Premium'!$C$18),'Base Rates'!$C$3:$I$3,1)),"?"))</f>
        <v/>
      </c>
      <c r="AX221" s="101" t="str">
        <f>IF($A221="","",IFERROR(INDEX('Base Rates'!$C$5:$I$16,MATCH($I221,'Base Rates'!$B$5:$B$16,0),MATCH(MAX($J221,'Technical Premium'!$C$18),'Base Rates'!$C$3:$I$3,1)),"?"))</f>
        <v/>
      </c>
      <c r="AY221" s="102" t="str">
        <f t="shared" si="40"/>
        <v/>
      </c>
      <c r="AZ221" s="99" t="str">
        <f>IF($A221="","",IFERROR(INDEX('Make Factors'!$G$5:$G$69,MATCH($F221,'Make Factors'!$B$5:$B$69,0)),"?"))</f>
        <v/>
      </c>
      <c r="BA221" s="99" t="str">
        <f>IF($A221="","",IFERROR(INDEX('Driver Factors'!$C$6:$C$15,MATCH($R221,'Driver Factors'!$B$6:$B$15,0)),"?"))</f>
        <v/>
      </c>
      <c r="BB221" s="99" t="str">
        <f>IF($A221="","",IFERROR(INDEX('Driver Factors'!$C$19:$C$24,MATCH($S221,'Driver Factors'!$B$19:$B$24,0)),"?"))</f>
        <v/>
      </c>
      <c r="BC221" s="99" t="str">
        <f>IF($A221="","",IFERROR(INDEX('Driver Factors'!$C$28:$C$36,MATCH($T221,'Driver Factors'!$B$28:$B$36,0)),"?"))</f>
        <v/>
      </c>
      <c r="BD221" s="99" t="str">
        <f>IF($A221="","",IFERROR(INDEX('Claims History'!$C$6:$C$15,MATCH($U221,'Claims History'!$B$6:$B$15,0)),"?"))</f>
        <v/>
      </c>
      <c r="BE221" s="99" t="str">
        <f>IF($A221="","",IFERROR(INDEX('Territory Factors'!$E$6:$E$56,MATCH($K221,'Territory Factors'!$B$6:$B$56,0)),"?"))</f>
        <v/>
      </c>
      <c r="BF221" s="99" t="str">
        <f>IF($A221="","",IFERROR(INDEX('City Accident Ratings'!$G$6:$G$54,MATCH($Z221,'City Accident Ratings'!$B$6:$B$54,0)),"?"))</f>
        <v/>
      </c>
      <c r="BG221" s="99" t="str">
        <f>IF($A221="","",IFERROR(INDEX('Usage and Coverage'!$D$6:$D$20,MATCH($N221,'Usage and Coverage'!$C$6:$C$20,0)),"?"))</f>
        <v/>
      </c>
      <c r="BH221" s="99" t="str">
        <f>IF($A221="","",IFERROR(INDEX('Usage and Coverage'!$C$24:$C$30,MATCH($O221,'Usage and Coverage'!$B$24:$B$30,0)),"?"))</f>
        <v/>
      </c>
      <c r="BI221" s="99" t="str">
        <f>IF($A221="","",IFERROR(INDEX('Usage and Coverage'!$C$34:$C$40,MATCH($P221,'Usage and Coverage'!$B$34:$B$40,0)),"?"))</f>
        <v/>
      </c>
      <c r="BJ221" s="99" t="str">
        <f>IF($A221="","",IFERROR(INDEX('Usage and Coverage'!$C$44:$C$49,MATCH($Q221,'Usage and Coverage'!$B$44:$B$49,0)),"?"))</f>
        <v/>
      </c>
      <c r="BK221" s="99" t="str">
        <f>IF($A221="","",IFERROR(INDEX(Deductibles!$C$6:$I$15,MATCH($W221,Deductibles!$B$6:$B$15,0),MATCH(MAX($J221,'Technical Premium'!$C$18),'Base Rates'!$C$3:$I$3,1)),"?"))</f>
        <v/>
      </c>
      <c r="BL221" s="99" t="str">
        <f>IF($A221="","",IFERROR(INDEX('Usage and Coverage'!$C$63:$C$66,MATCH($X221,'Usage and Coverage'!$B$63:$B$66,0)),"?"))</f>
        <v/>
      </c>
      <c r="BM221" s="99" t="str">
        <f>IF($A221="","",IFERROR(INDEX('Usage and Coverage'!$C$70:$C$75,MATCH($V221,'Usage and Coverage'!$B$70:$B$75,0)),"?"))</f>
        <v/>
      </c>
      <c r="BN221" s="99" t="str">
        <f>IF($A221="","",IF($AB221="",1,IFERROR(INDEX(Deductibles!$C$48:$C$51,MATCH($AB221,Deductibles!$B$48:$B$51,0)),"?")))</f>
        <v/>
      </c>
      <c r="BO221" s="99" t="str">
        <f>IF($A221="","",IF($AC221="",1,IFERROR(INDEX(Deductibles!$C$55:$C$57,MATCH($AC221,Deductibles!$B$55:$B$57,0)),"?")))</f>
        <v/>
      </c>
      <c r="BP221" s="99" t="str">
        <f>IF($A221="","",IF($AD221="",1,IFERROR(INDEX(Deductibles!$C$61:$C$63,MATCH($AD221,Deductibles!$B$61:$B$63,0)),"?")))</f>
        <v/>
      </c>
      <c r="BQ221" s="99" t="str">
        <f>IF($A221="","",IF($AE221="",1,IFERROR(INDEX(Deductibles!$C$67:$C$69,MATCH($AE221,Deductibles!$B$67:$B$69,0)),"?")))</f>
        <v/>
      </c>
      <c r="BR221" s="99" t="str">
        <f>IF($A221="","",IF($AF221="",1,IFERROR(INDEX(Deductibles!$C$73:$C$74,MATCH($AF221,Deductibles!$B$73:$B$74,0)),"?")))</f>
        <v/>
      </c>
      <c r="BS221" s="99" t="str">
        <f>IF($A221="","",IF($AG221="",1,IFERROR(INDEX('Sublimits and Parts'!$C$49:$C$52,MATCH($AG221,'Sublimits and Parts'!$B$49:$B$52,0)),"?")))</f>
        <v/>
      </c>
      <c r="BT221" s="99" t="str">
        <f>IF($A221="","",IF($AH221="",1,IFERROR(INDEX('Sublimits and Parts'!$C$56:$C$60,MATCH($AH221,'Sublimits and Parts'!$B$56:$B$60,0)),"?")))</f>
        <v/>
      </c>
      <c r="BU221" s="99" t="str">
        <f>IF($A221="","",IF($AI221="",1,IFERROR(INDEX('Sublimits and Parts'!$C$64:$C$67,MATCH($AI221,'Sublimits and Parts'!$B$64:$B$67,0)),"?")))</f>
        <v/>
      </c>
      <c r="BV221" s="99" t="str">
        <f>IF($A221="","",IF($AJ221="",1,IFERROR(INDEX('Sublimits and Parts'!$C$71:$C$74,MATCH($AJ221,'Sublimits and Parts'!$B$71:$B$74,0)),"?")))</f>
        <v/>
      </c>
      <c r="BW221" s="99" t="str">
        <f>IF($A221="","",IF($AK221="",1,IFERROR(INDEX('Sublimits and Parts'!$C$78:$C$80,MATCH($AK221,'Sublimits and Parts'!$B$78:$B$80,0)),"?")))</f>
        <v/>
      </c>
      <c r="BX221" s="99" t="str">
        <f>IF($A221="","",IF($AL221="",1,IFERROR(INDEX('Sublimits and Parts'!$C$84:$C$87,MATCH($AL221,'Sublimits and Parts'!$B$84:$B$87,0)),"?")))</f>
        <v/>
      </c>
      <c r="BY221" s="99" t="str">
        <f>IF($A221="","",IF($AM221="",1,IFERROR(INDEX('Sublimits and Parts'!$C$91:$C$94,MATCH($AM221,'Sublimits and Parts'!$B$91:$B$94,0)),"?")))</f>
        <v/>
      </c>
      <c r="BZ221" s="99" t="str">
        <f>IF($A221="","",IF($AN221="",1,IFERROR(INDEX('Sublimits and Parts'!$C$98:$C$101,MATCH($AN221,'Sublimits and Parts'!$B$98:$B$101,0)),"?")))</f>
        <v/>
      </c>
      <c r="CA221" s="99" t="str">
        <f>IF($A221="","",IF($AO221="",1,IFERROR(INDEX('Sublimits and Parts'!$C$105:$C$109,MATCH($AO221,'Sublimits and Parts'!$B$105:$B$109,0)),"?")))</f>
        <v/>
      </c>
      <c r="CB221" s="100" t="str">
        <f t="shared" si="41"/>
        <v/>
      </c>
      <c r="CC221" s="100" t="str">
        <f t="shared" si="42"/>
        <v/>
      </c>
      <c r="CD221" s="103" t="str">
        <f>IF($A221="","",IF(OR($CB221="?",$CC221="?"),"?",MIN($CB221*$CC221,'Technical Premium'!$C$17)))</f>
        <v/>
      </c>
      <c r="CE221" s="102" t="str">
        <f t="shared" si="43"/>
        <v/>
      </c>
      <c r="CF221" s="102" t="str">
        <f>IF($A221="","",IFERROR(INDEX('Territory Factors'!$F$6:$F$56,MATCH($K221,'Territory Factors'!$B$6:$B$56,0)),"?"))</f>
        <v/>
      </c>
      <c r="CG221" s="100" t="str">
        <f>IF($A221="","",IFERROR(INDEX('Usage and Coverage'!$C$79:$C$84,MATCH($Y221,'Usage and Coverage'!$B$79:$B$84,0)),"?"))</f>
        <v/>
      </c>
      <c r="CH221" s="102" t="str">
        <f>IFERROR(IF(ISNUMBER($CD221),$CF221*$CG221*MIN($BG221*$BA221*$BC221*$BD221*$BH221*$BF221,'Technical Premium'!$C$17),""),"")</f>
        <v/>
      </c>
      <c r="CI221" s="102" t="str">
        <f t="shared" si="44"/>
        <v/>
      </c>
      <c r="CJ221" s="102" t="str">
        <f>IFERROR($CI221*(1+'Technical Premium'!$C$5)*(1+'Technical Premium'!$C$6),"")</f>
        <v/>
      </c>
      <c r="CK221" s="102" t="str">
        <f>IFERROR($CE221*INDEX('Territory Factors'!$G$6:$G$56,MATCH($K221,'Territory Factors'!$B$6:$B$56,0))*$AU221*$AV221,"")</f>
        <v/>
      </c>
      <c r="CL221" s="102" t="str">
        <f>IFERROR(($CJ221+$CK221)*(1+'Technical Premium'!$C$7),"")</f>
        <v/>
      </c>
      <c r="CM221" s="104" t="str">
        <f>IFERROR($CL221/'Technical Premium'!$C$13,"")</f>
        <v/>
      </c>
      <c r="CN221" s="105" t="str">
        <f t="shared" si="45"/>
        <v/>
      </c>
      <c r="CO221" s="104" t="str">
        <f t="shared" si="46"/>
        <v/>
      </c>
      <c r="CP221" s="105" t="str">
        <f t="shared" si="47"/>
        <v/>
      </c>
      <c r="CQ221" s="106" t="str">
        <f t="shared" si="48"/>
        <v/>
      </c>
      <c r="CR221" s="102" t="str">
        <f>IF(ISNUMBER($CM221),'Technical Premium'!$C$14+IF($J221&gt;=1000000,'Technical Premium'!$C$15,0),"")</f>
        <v/>
      </c>
      <c r="CS221" s="102" t="str">
        <f>IFERROR(($CO221+$CR221)*(INDEX('Territory Factors'!$K$6:$K$56,MATCH($K221,'Territory Factors'!$B$6:$B$56,0))+'Commission Structure'!$C$21),"")</f>
        <v/>
      </c>
      <c r="CT221" s="104" t="str">
        <f t="shared" si="49"/>
        <v/>
      </c>
      <c r="CU221" s="102" t="str">
        <f>IFERROR($CO221*('Commission Structure'!$C$6+'Commission Structure'!$C$7),"")</f>
        <v/>
      </c>
      <c r="CV221" s="102" t="str">
        <f>IFERROR($CO221*'Commission Structure'!$C$5-$CU221,"")</f>
        <v/>
      </c>
      <c r="CW221" s="102" t="str">
        <f>IFERROR($CO221*(1-'Commission Structure'!$C$5),"")</f>
        <v/>
      </c>
      <c r="CX221" s="107"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8" t="str">
        <f t="shared" si="50"/>
        <v/>
      </c>
      <c r="CZ221" s="99" t="str">
        <f>IF($CY221="","",IF($CY221&lt;'Technical Premium'!$C$19,"BEYOND AUTHORITY",IF($CY221&gt;0.005,"Above technical",IF($CY221&lt;-0.005,"BELOW technical","At technical"))))</f>
        <v/>
      </c>
      <c r="DA221" s="99"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4"/>
      <c r="DC221" s="94"/>
      <c r="DD221" s="95"/>
      <c r="DE221" s="94"/>
      <c r="DF221" s="94"/>
      <c r="DG221" s="99" t="str">
        <f t="shared" si="51"/>
        <v/>
      </c>
      <c r="DH221" s="99" t="str">
        <f>IF($A221="","",IF(OR($CX221="REFER",$CX221="DECLINE"),COUNTIF($CX$5:$CX221,"REFER")+COUNTIF($CX$5:$CX221,"DECLINE"),""))</f>
        <v/>
      </c>
      <c r="DI221" s="94"/>
    </row>
    <row r="222" spans="1:113" x14ac:dyDescent="0.35">
      <c r="A222" s="94"/>
      <c r="B222" s="94"/>
      <c r="C222" s="95"/>
      <c r="D222" s="95"/>
      <c r="E222" s="96"/>
      <c r="F222" s="94"/>
      <c r="G222" s="94"/>
      <c r="H222" s="94"/>
      <c r="I222" s="94"/>
      <c r="J222" s="97"/>
      <c r="K222" s="94"/>
      <c r="L222" s="94"/>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8"/>
      <c r="AR222" s="99" t="str">
        <f t="shared" si="39"/>
        <v/>
      </c>
      <c r="AS222" s="99" t="str">
        <f>IF($A222="","",IF($AP222&lt;&gt;"",$AP222,IFERROR(INDEX('Cat Zone by ZIP'!$D$6:$D$856,MATCH($AR222,'Cat Zone by ZIP'!$B$6:$B$856,0)),IFERROR(INDEX('Cat Zone by ZIP'!$C$860:$C$910,MATCH($K222,'Cat Zone by ZIP'!$B$860:$B$910,0)),"NOT FOUND"))))</f>
        <v/>
      </c>
      <c r="AT222" s="99" t="str">
        <f>IF($A222="","",IF($AP222&lt;&gt;"","Override",IF(ISNUMBER(MATCH($AR222,'Cat Zone by ZIP'!$B$6:$B$856,0)),"ZIP-3","State default")))</f>
        <v/>
      </c>
      <c r="AU222" s="100" t="str">
        <f>IF($A222="","",IFERROR(INDEX('Natural Catastrophe'!$D$6:$D$17,MATCH($AS222,'Natural Catastrophe'!$B$6:$B$17,0)),"?"))</f>
        <v/>
      </c>
      <c r="AV222" s="100" t="str">
        <f>IF($A222="","",IFERROR(INDEX('Natural Catastrophe'!$C$21:$C$26,MATCH($AA222,'Natural Catastrophe'!$B$21:$B$26,0)),"?"))</f>
        <v/>
      </c>
      <c r="AW222" s="99" t="str">
        <f>IF($A222="","",IFERROR(INDEX('Base Rates'!$C$4:$I$4,MATCH(MAX($J222,'Technical Premium'!$C$18),'Base Rates'!$C$3:$I$3,1)),"?"))</f>
        <v/>
      </c>
      <c r="AX222" s="101" t="str">
        <f>IF($A222="","",IFERROR(INDEX('Base Rates'!$C$5:$I$16,MATCH($I222,'Base Rates'!$B$5:$B$16,0),MATCH(MAX($J222,'Technical Premium'!$C$18),'Base Rates'!$C$3:$I$3,1)),"?"))</f>
        <v/>
      </c>
      <c r="AY222" s="102" t="str">
        <f t="shared" si="40"/>
        <v/>
      </c>
      <c r="AZ222" s="99" t="str">
        <f>IF($A222="","",IFERROR(INDEX('Make Factors'!$G$5:$G$69,MATCH($F222,'Make Factors'!$B$5:$B$69,0)),"?"))</f>
        <v/>
      </c>
      <c r="BA222" s="99" t="str">
        <f>IF($A222="","",IFERROR(INDEX('Driver Factors'!$C$6:$C$15,MATCH($R222,'Driver Factors'!$B$6:$B$15,0)),"?"))</f>
        <v/>
      </c>
      <c r="BB222" s="99" t="str">
        <f>IF($A222="","",IFERROR(INDEX('Driver Factors'!$C$19:$C$24,MATCH($S222,'Driver Factors'!$B$19:$B$24,0)),"?"))</f>
        <v/>
      </c>
      <c r="BC222" s="99" t="str">
        <f>IF($A222="","",IFERROR(INDEX('Driver Factors'!$C$28:$C$36,MATCH($T222,'Driver Factors'!$B$28:$B$36,0)),"?"))</f>
        <v/>
      </c>
      <c r="BD222" s="99" t="str">
        <f>IF($A222="","",IFERROR(INDEX('Claims History'!$C$6:$C$15,MATCH($U222,'Claims History'!$B$6:$B$15,0)),"?"))</f>
        <v/>
      </c>
      <c r="BE222" s="99" t="str">
        <f>IF($A222="","",IFERROR(INDEX('Territory Factors'!$E$6:$E$56,MATCH($K222,'Territory Factors'!$B$6:$B$56,0)),"?"))</f>
        <v/>
      </c>
      <c r="BF222" s="99" t="str">
        <f>IF($A222="","",IFERROR(INDEX('City Accident Ratings'!$G$6:$G$54,MATCH($Z222,'City Accident Ratings'!$B$6:$B$54,0)),"?"))</f>
        <v/>
      </c>
      <c r="BG222" s="99" t="str">
        <f>IF($A222="","",IFERROR(INDEX('Usage and Coverage'!$D$6:$D$20,MATCH($N222,'Usage and Coverage'!$C$6:$C$20,0)),"?"))</f>
        <v/>
      </c>
      <c r="BH222" s="99" t="str">
        <f>IF($A222="","",IFERROR(INDEX('Usage and Coverage'!$C$24:$C$30,MATCH($O222,'Usage and Coverage'!$B$24:$B$30,0)),"?"))</f>
        <v/>
      </c>
      <c r="BI222" s="99" t="str">
        <f>IF($A222="","",IFERROR(INDEX('Usage and Coverage'!$C$34:$C$40,MATCH($P222,'Usage and Coverage'!$B$34:$B$40,0)),"?"))</f>
        <v/>
      </c>
      <c r="BJ222" s="99" t="str">
        <f>IF($A222="","",IFERROR(INDEX('Usage and Coverage'!$C$44:$C$49,MATCH($Q222,'Usage and Coverage'!$B$44:$B$49,0)),"?"))</f>
        <v/>
      </c>
      <c r="BK222" s="99" t="str">
        <f>IF($A222="","",IFERROR(INDEX(Deductibles!$C$6:$I$15,MATCH($W222,Deductibles!$B$6:$B$15,0),MATCH(MAX($J222,'Technical Premium'!$C$18),'Base Rates'!$C$3:$I$3,1)),"?"))</f>
        <v/>
      </c>
      <c r="BL222" s="99" t="str">
        <f>IF($A222="","",IFERROR(INDEX('Usage and Coverage'!$C$63:$C$66,MATCH($X222,'Usage and Coverage'!$B$63:$B$66,0)),"?"))</f>
        <v/>
      </c>
      <c r="BM222" s="99" t="str">
        <f>IF($A222="","",IFERROR(INDEX('Usage and Coverage'!$C$70:$C$75,MATCH($V222,'Usage and Coverage'!$B$70:$B$75,0)),"?"))</f>
        <v/>
      </c>
      <c r="BN222" s="99" t="str">
        <f>IF($A222="","",IF($AB222="",1,IFERROR(INDEX(Deductibles!$C$48:$C$51,MATCH($AB222,Deductibles!$B$48:$B$51,0)),"?")))</f>
        <v/>
      </c>
      <c r="BO222" s="99" t="str">
        <f>IF($A222="","",IF($AC222="",1,IFERROR(INDEX(Deductibles!$C$55:$C$57,MATCH($AC222,Deductibles!$B$55:$B$57,0)),"?")))</f>
        <v/>
      </c>
      <c r="BP222" s="99" t="str">
        <f>IF($A222="","",IF($AD222="",1,IFERROR(INDEX(Deductibles!$C$61:$C$63,MATCH($AD222,Deductibles!$B$61:$B$63,0)),"?")))</f>
        <v/>
      </c>
      <c r="BQ222" s="99" t="str">
        <f>IF($A222="","",IF($AE222="",1,IFERROR(INDEX(Deductibles!$C$67:$C$69,MATCH($AE222,Deductibles!$B$67:$B$69,0)),"?")))</f>
        <v/>
      </c>
      <c r="BR222" s="99" t="str">
        <f>IF($A222="","",IF($AF222="",1,IFERROR(INDEX(Deductibles!$C$73:$C$74,MATCH($AF222,Deductibles!$B$73:$B$74,0)),"?")))</f>
        <v/>
      </c>
      <c r="BS222" s="99" t="str">
        <f>IF($A222="","",IF($AG222="",1,IFERROR(INDEX('Sublimits and Parts'!$C$49:$C$52,MATCH($AG222,'Sublimits and Parts'!$B$49:$B$52,0)),"?")))</f>
        <v/>
      </c>
      <c r="BT222" s="99" t="str">
        <f>IF($A222="","",IF($AH222="",1,IFERROR(INDEX('Sublimits and Parts'!$C$56:$C$60,MATCH($AH222,'Sublimits and Parts'!$B$56:$B$60,0)),"?")))</f>
        <v/>
      </c>
      <c r="BU222" s="99" t="str">
        <f>IF($A222="","",IF($AI222="",1,IFERROR(INDEX('Sublimits and Parts'!$C$64:$C$67,MATCH($AI222,'Sublimits and Parts'!$B$64:$B$67,0)),"?")))</f>
        <v/>
      </c>
      <c r="BV222" s="99" t="str">
        <f>IF($A222="","",IF($AJ222="",1,IFERROR(INDEX('Sublimits and Parts'!$C$71:$C$74,MATCH($AJ222,'Sublimits and Parts'!$B$71:$B$74,0)),"?")))</f>
        <v/>
      </c>
      <c r="BW222" s="99" t="str">
        <f>IF($A222="","",IF($AK222="",1,IFERROR(INDEX('Sublimits and Parts'!$C$78:$C$80,MATCH($AK222,'Sublimits and Parts'!$B$78:$B$80,0)),"?")))</f>
        <v/>
      </c>
      <c r="BX222" s="99" t="str">
        <f>IF($A222="","",IF($AL222="",1,IFERROR(INDEX('Sublimits and Parts'!$C$84:$C$87,MATCH($AL222,'Sublimits and Parts'!$B$84:$B$87,0)),"?")))</f>
        <v/>
      </c>
      <c r="BY222" s="99" t="str">
        <f>IF($A222="","",IF($AM222="",1,IFERROR(INDEX('Sublimits and Parts'!$C$91:$C$94,MATCH($AM222,'Sublimits and Parts'!$B$91:$B$94,0)),"?")))</f>
        <v/>
      </c>
      <c r="BZ222" s="99" t="str">
        <f>IF($A222="","",IF($AN222="",1,IFERROR(INDEX('Sublimits and Parts'!$C$98:$C$101,MATCH($AN222,'Sublimits and Parts'!$B$98:$B$101,0)),"?")))</f>
        <v/>
      </c>
      <c r="CA222" s="99" t="str">
        <f>IF($A222="","",IF($AO222="",1,IFERROR(INDEX('Sublimits and Parts'!$C$105:$C$109,MATCH($AO222,'Sublimits and Parts'!$B$105:$B$109,0)),"?")))</f>
        <v/>
      </c>
      <c r="CB222" s="100" t="str">
        <f t="shared" si="41"/>
        <v/>
      </c>
      <c r="CC222" s="100" t="str">
        <f t="shared" si="42"/>
        <v/>
      </c>
      <c r="CD222" s="103" t="str">
        <f>IF($A222="","",IF(OR($CB222="?",$CC222="?"),"?",MIN($CB222*$CC222,'Technical Premium'!$C$17)))</f>
        <v/>
      </c>
      <c r="CE222" s="102" t="str">
        <f t="shared" si="43"/>
        <v/>
      </c>
      <c r="CF222" s="102" t="str">
        <f>IF($A222="","",IFERROR(INDEX('Territory Factors'!$F$6:$F$56,MATCH($K222,'Territory Factors'!$B$6:$B$56,0)),"?"))</f>
        <v/>
      </c>
      <c r="CG222" s="100" t="str">
        <f>IF($A222="","",IFERROR(INDEX('Usage and Coverage'!$C$79:$C$84,MATCH($Y222,'Usage and Coverage'!$B$79:$B$84,0)),"?"))</f>
        <v/>
      </c>
      <c r="CH222" s="102" t="str">
        <f>IFERROR(IF(ISNUMBER($CD222),$CF222*$CG222*MIN($BG222*$BA222*$BC222*$BD222*$BH222*$BF222,'Technical Premium'!$C$17),""),"")</f>
        <v/>
      </c>
      <c r="CI222" s="102" t="str">
        <f t="shared" si="44"/>
        <v/>
      </c>
      <c r="CJ222" s="102" t="str">
        <f>IFERROR($CI222*(1+'Technical Premium'!$C$5)*(1+'Technical Premium'!$C$6),"")</f>
        <v/>
      </c>
      <c r="CK222" s="102" t="str">
        <f>IFERROR($CE222*INDEX('Territory Factors'!$G$6:$G$56,MATCH($K222,'Territory Factors'!$B$6:$B$56,0))*$AU222*$AV222,"")</f>
        <v/>
      </c>
      <c r="CL222" s="102" t="str">
        <f>IFERROR(($CJ222+$CK222)*(1+'Technical Premium'!$C$7),"")</f>
        <v/>
      </c>
      <c r="CM222" s="104" t="str">
        <f>IFERROR($CL222/'Technical Premium'!$C$13,"")</f>
        <v/>
      </c>
      <c r="CN222" s="105" t="str">
        <f t="shared" si="45"/>
        <v/>
      </c>
      <c r="CO222" s="104" t="str">
        <f t="shared" si="46"/>
        <v/>
      </c>
      <c r="CP222" s="105" t="str">
        <f t="shared" si="47"/>
        <v/>
      </c>
      <c r="CQ222" s="106" t="str">
        <f t="shared" si="48"/>
        <v/>
      </c>
      <c r="CR222" s="102" t="str">
        <f>IF(ISNUMBER($CM222),'Technical Premium'!$C$14+IF($J222&gt;=1000000,'Technical Premium'!$C$15,0),"")</f>
        <v/>
      </c>
      <c r="CS222" s="102" t="str">
        <f>IFERROR(($CO222+$CR222)*(INDEX('Territory Factors'!$K$6:$K$56,MATCH($K222,'Territory Factors'!$B$6:$B$56,0))+'Commission Structure'!$C$21),"")</f>
        <v/>
      </c>
      <c r="CT222" s="104" t="str">
        <f t="shared" si="49"/>
        <v/>
      </c>
      <c r="CU222" s="102" t="str">
        <f>IFERROR($CO222*('Commission Structure'!$C$6+'Commission Structure'!$C$7),"")</f>
        <v/>
      </c>
      <c r="CV222" s="102" t="str">
        <f>IFERROR($CO222*'Commission Structure'!$C$5-$CU222,"")</f>
        <v/>
      </c>
      <c r="CW222" s="102" t="str">
        <f>IFERROR($CO222*(1-'Commission Structure'!$C$5),"")</f>
        <v/>
      </c>
      <c r="CX222" s="107"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8" t="str">
        <f t="shared" si="50"/>
        <v/>
      </c>
      <c r="CZ222" s="99" t="str">
        <f>IF($CY222="","",IF($CY222&lt;'Technical Premium'!$C$19,"BEYOND AUTHORITY",IF($CY222&gt;0.005,"Above technical",IF($CY222&lt;-0.005,"BELOW technical","At technical"))))</f>
        <v/>
      </c>
      <c r="DA222" s="99"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4"/>
      <c r="DC222" s="94"/>
      <c r="DD222" s="95"/>
      <c r="DE222" s="94"/>
      <c r="DF222" s="94"/>
      <c r="DG222" s="99" t="str">
        <f t="shared" si="51"/>
        <v/>
      </c>
      <c r="DH222" s="99" t="str">
        <f>IF($A222="","",IF(OR($CX222="REFER",$CX222="DECLINE"),COUNTIF($CX$5:$CX222,"REFER")+COUNTIF($CX$5:$CX222,"DECLINE"),""))</f>
        <v/>
      </c>
      <c r="DI222" s="94"/>
    </row>
    <row r="223" spans="1:113" x14ac:dyDescent="0.35">
      <c r="A223" s="94"/>
      <c r="B223" s="94"/>
      <c r="C223" s="95"/>
      <c r="D223" s="95"/>
      <c r="E223" s="96"/>
      <c r="F223" s="94"/>
      <c r="G223" s="94"/>
      <c r="H223" s="94"/>
      <c r="I223" s="94"/>
      <c r="J223" s="97"/>
      <c r="K223" s="94"/>
      <c r="L223" s="94"/>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8"/>
      <c r="AR223" s="99" t="str">
        <f t="shared" si="39"/>
        <v/>
      </c>
      <c r="AS223" s="99" t="str">
        <f>IF($A223="","",IF($AP223&lt;&gt;"",$AP223,IFERROR(INDEX('Cat Zone by ZIP'!$D$6:$D$856,MATCH($AR223,'Cat Zone by ZIP'!$B$6:$B$856,0)),IFERROR(INDEX('Cat Zone by ZIP'!$C$860:$C$910,MATCH($K223,'Cat Zone by ZIP'!$B$860:$B$910,0)),"NOT FOUND"))))</f>
        <v/>
      </c>
      <c r="AT223" s="99" t="str">
        <f>IF($A223="","",IF($AP223&lt;&gt;"","Override",IF(ISNUMBER(MATCH($AR223,'Cat Zone by ZIP'!$B$6:$B$856,0)),"ZIP-3","State default")))</f>
        <v/>
      </c>
      <c r="AU223" s="100" t="str">
        <f>IF($A223="","",IFERROR(INDEX('Natural Catastrophe'!$D$6:$D$17,MATCH($AS223,'Natural Catastrophe'!$B$6:$B$17,0)),"?"))</f>
        <v/>
      </c>
      <c r="AV223" s="100" t="str">
        <f>IF($A223="","",IFERROR(INDEX('Natural Catastrophe'!$C$21:$C$26,MATCH($AA223,'Natural Catastrophe'!$B$21:$B$26,0)),"?"))</f>
        <v/>
      </c>
      <c r="AW223" s="99" t="str">
        <f>IF($A223="","",IFERROR(INDEX('Base Rates'!$C$4:$I$4,MATCH(MAX($J223,'Technical Premium'!$C$18),'Base Rates'!$C$3:$I$3,1)),"?"))</f>
        <v/>
      </c>
      <c r="AX223" s="101" t="str">
        <f>IF($A223="","",IFERROR(INDEX('Base Rates'!$C$5:$I$16,MATCH($I223,'Base Rates'!$B$5:$B$16,0),MATCH(MAX($J223,'Technical Premium'!$C$18),'Base Rates'!$C$3:$I$3,1)),"?"))</f>
        <v/>
      </c>
      <c r="AY223" s="102" t="str">
        <f t="shared" si="40"/>
        <v/>
      </c>
      <c r="AZ223" s="99" t="str">
        <f>IF($A223="","",IFERROR(INDEX('Make Factors'!$G$5:$G$69,MATCH($F223,'Make Factors'!$B$5:$B$69,0)),"?"))</f>
        <v/>
      </c>
      <c r="BA223" s="99" t="str">
        <f>IF($A223="","",IFERROR(INDEX('Driver Factors'!$C$6:$C$15,MATCH($R223,'Driver Factors'!$B$6:$B$15,0)),"?"))</f>
        <v/>
      </c>
      <c r="BB223" s="99" t="str">
        <f>IF($A223="","",IFERROR(INDEX('Driver Factors'!$C$19:$C$24,MATCH($S223,'Driver Factors'!$B$19:$B$24,0)),"?"))</f>
        <v/>
      </c>
      <c r="BC223" s="99" t="str">
        <f>IF($A223="","",IFERROR(INDEX('Driver Factors'!$C$28:$C$36,MATCH($T223,'Driver Factors'!$B$28:$B$36,0)),"?"))</f>
        <v/>
      </c>
      <c r="BD223" s="99" t="str">
        <f>IF($A223="","",IFERROR(INDEX('Claims History'!$C$6:$C$15,MATCH($U223,'Claims History'!$B$6:$B$15,0)),"?"))</f>
        <v/>
      </c>
      <c r="BE223" s="99" t="str">
        <f>IF($A223="","",IFERROR(INDEX('Territory Factors'!$E$6:$E$56,MATCH($K223,'Territory Factors'!$B$6:$B$56,0)),"?"))</f>
        <v/>
      </c>
      <c r="BF223" s="99" t="str">
        <f>IF($A223="","",IFERROR(INDEX('City Accident Ratings'!$G$6:$G$54,MATCH($Z223,'City Accident Ratings'!$B$6:$B$54,0)),"?"))</f>
        <v/>
      </c>
      <c r="BG223" s="99" t="str">
        <f>IF($A223="","",IFERROR(INDEX('Usage and Coverage'!$D$6:$D$20,MATCH($N223,'Usage and Coverage'!$C$6:$C$20,0)),"?"))</f>
        <v/>
      </c>
      <c r="BH223" s="99" t="str">
        <f>IF($A223="","",IFERROR(INDEX('Usage and Coverage'!$C$24:$C$30,MATCH($O223,'Usage and Coverage'!$B$24:$B$30,0)),"?"))</f>
        <v/>
      </c>
      <c r="BI223" s="99" t="str">
        <f>IF($A223="","",IFERROR(INDEX('Usage and Coverage'!$C$34:$C$40,MATCH($P223,'Usage and Coverage'!$B$34:$B$40,0)),"?"))</f>
        <v/>
      </c>
      <c r="BJ223" s="99" t="str">
        <f>IF($A223="","",IFERROR(INDEX('Usage and Coverage'!$C$44:$C$49,MATCH($Q223,'Usage and Coverage'!$B$44:$B$49,0)),"?"))</f>
        <v/>
      </c>
      <c r="BK223" s="99" t="str">
        <f>IF($A223="","",IFERROR(INDEX(Deductibles!$C$6:$I$15,MATCH($W223,Deductibles!$B$6:$B$15,0),MATCH(MAX($J223,'Technical Premium'!$C$18),'Base Rates'!$C$3:$I$3,1)),"?"))</f>
        <v/>
      </c>
      <c r="BL223" s="99" t="str">
        <f>IF($A223="","",IFERROR(INDEX('Usage and Coverage'!$C$63:$C$66,MATCH($X223,'Usage and Coverage'!$B$63:$B$66,0)),"?"))</f>
        <v/>
      </c>
      <c r="BM223" s="99" t="str">
        <f>IF($A223="","",IFERROR(INDEX('Usage and Coverage'!$C$70:$C$75,MATCH($V223,'Usage and Coverage'!$B$70:$B$75,0)),"?"))</f>
        <v/>
      </c>
      <c r="BN223" s="99" t="str">
        <f>IF($A223="","",IF($AB223="",1,IFERROR(INDEX(Deductibles!$C$48:$C$51,MATCH($AB223,Deductibles!$B$48:$B$51,0)),"?")))</f>
        <v/>
      </c>
      <c r="BO223" s="99" t="str">
        <f>IF($A223="","",IF($AC223="",1,IFERROR(INDEX(Deductibles!$C$55:$C$57,MATCH($AC223,Deductibles!$B$55:$B$57,0)),"?")))</f>
        <v/>
      </c>
      <c r="BP223" s="99" t="str">
        <f>IF($A223="","",IF($AD223="",1,IFERROR(INDEX(Deductibles!$C$61:$C$63,MATCH($AD223,Deductibles!$B$61:$B$63,0)),"?")))</f>
        <v/>
      </c>
      <c r="BQ223" s="99" t="str">
        <f>IF($A223="","",IF($AE223="",1,IFERROR(INDEX(Deductibles!$C$67:$C$69,MATCH($AE223,Deductibles!$B$67:$B$69,0)),"?")))</f>
        <v/>
      </c>
      <c r="BR223" s="99" t="str">
        <f>IF($A223="","",IF($AF223="",1,IFERROR(INDEX(Deductibles!$C$73:$C$74,MATCH($AF223,Deductibles!$B$73:$B$74,0)),"?")))</f>
        <v/>
      </c>
      <c r="BS223" s="99" t="str">
        <f>IF($A223="","",IF($AG223="",1,IFERROR(INDEX('Sublimits and Parts'!$C$49:$C$52,MATCH($AG223,'Sublimits and Parts'!$B$49:$B$52,0)),"?")))</f>
        <v/>
      </c>
      <c r="BT223" s="99" t="str">
        <f>IF($A223="","",IF($AH223="",1,IFERROR(INDEX('Sublimits and Parts'!$C$56:$C$60,MATCH($AH223,'Sublimits and Parts'!$B$56:$B$60,0)),"?")))</f>
        <v/>
      </c>
      <c r="BU223" s="99" t="str">
        <f>IF($A223="","",IF($AI223="",1,IFERROR(INDEX('Sublimits and Parts'!$C$64:$C$67,MATCH($AI223,'Sublimits and Parts'!$B$64:$B$67,0)),"?")))</f>
        <v/>
      </c>
      <c r="BV223" s="99" t="str">
        <f>IF($A223="","",IF($AJ223="",1,IFERROR(INDEX('Sublimits and Parts'!$C$71:$C$74,MATCH($AJ223,'Sublimits and Parts'!$B$71:$B$74,0)),"?")))</f>
        <v/>
      </c>
      <c r="BW223" s="99" t="str">
        <f>IF($A223="","",IF($AK223="",1,IFERROR(INDEX('Sublimits and Parts'!$C$78:$C$80,MATCH($AK223,'Sublimits and Parts'!$B$78:$B$80,0)),"?")))</f>
        <v/>
      </c>
      <c r="BX223" s="99" t="str">
        <f>IF($A223="","",IF($AL223="",1,IFERROR(INDEX('Sublimits and Parts'!$C$84:$C$87,MATCH($AL223,'Sublimits and Parts'!$B$84:$B$87,0)),"?")))</f>
        <v/>
      </c>
      <c r="BY223" s="99" t="str">
        <f>IF($A223="","",IF($AM223="",1,IFERROR(INDEX('Sublimits and Parts'!$C$91:$C$94,MATCH($AM223,'Sublimits and Parts'!$B$91:$B$94,0)),"?")))</f>
        <v/>
      </c>
      <c r="BZ223" s="99" t="str">
        <f>IF($A223="","",IF($AN223="",1,IFERROR(INDEX('Sublimits and Parts'!$C$98:$C$101,MATCH($AN223,'Sublimits and Parts'!$B$98:$B$101,0)),"?")))</f>
        <v/>
      </c>
      <c r="CA223" s="99" t="str">
        <f>IF($A223="","",IF($AO223="",1,IFERROR(INDEX('Sublimits and Parts'!$C$105:$C$109,MATCH($AO223,'Sublimits and Parts'!$B$105:$B$109,0)),"?")))</f>
        <v/>
      </c>
      <c r="CB223" s="100" t="str">
        <f t="shared" si="41"/>
        <v/>
      </c>
      <c r="CC223" s="100" t="str">
        <f t="shared" si="42"/>
        <v/>
      </c>
      <c r="CD223" s="103" t="str">
        <f>IF($A223="","",IF(OR($CB223="?",$CC223="?"),"?",MIN($CB223*$CC223,'Technical Premium'!$C$17)))</f>
        <v/>
      </c>
      <c r="CE223" s="102" t="str">
        <f t="shared" si="43"/>
        <v/>
      </c>
      <c r="CF223" s="102" t="str">
        <f>IF($A223="","",IFERROR(INDEX('Territory Factors'!$F$6:$F$56,MATCH($K223,'Territory Factors'!$B$6:$B$56,0)),"?"))</f>
        <v/>
      </c>
      <c r="CG223" s="100" t="str">
        <f>IF($A223="","",IFERROR(INDEX('Usage and Coverage'!$C$79:$C$84,MATCH($Y223,'Usage and Coverage'!$B$79:$B$84,0)),"?"))</f>
        <v/>
      </c>
      <c r="CH223" s="102" t="str">
        <f>IFERROR(IF(ISNUMBER($CD223),$CF223*$CG223*MIN($BG223*$BA223*$BC223*$BD223*$BH223*$BF223,'Technical Premium'!$C$17),""),"")</f>
        <v/>
      </c>
      <c r="CI223" s="102" t="str">
        <f t="shared" si="44"/>
        <v/>
      </c>
      <c r="CJ223" s="102" t="str">
        <f>IFERROR($CI223*(1+'Technical Premium'!$C$5)*(1+'Technical Premium'!$C$6),"")</f>
        <v/>
      </c>
      <c r="CK223" s="102" t="str">
        <f>IFERROR($CE223*INDEX('Territory Factors'!$G$6:$G$56,MATCH($K223,'Territory Factors'!$B$6:$B$56,0))*$AU223*$AV223,"")</f>
        <v/>
      </c>
      <c r="CL223" s="102" t="str">
        <f>IFERROR(($CJ223+$CK223)*(1+'Technical Premium'!$C$7),"")</f>
        <v/>
      </c>
      <c r="CM223" s="104" t="str">
        <f>IFERROR($CL223/'Technical Premium'!$C$13,"")</f>
        <v/>
      </c>
      <c r="CN223" s="105" t="str">
        <f t="shared" si="45"/>
        <v/>
      </c>
      <c r="CO223" s="104" t="str">
        <f t="shared" si="46"/>
        <v/>
      </c>
      <c r="CP223" s="105" t="str">
        <f t="shared" si="47"/>
        <v/>
      </c>
      <c r="CQ223" s="106" t="str">
        <f t="shared" si="48"/>
        <v/>
      </c>
      <c r="CR223" s="102" t="str">
        <f>IF(ISNUMBER($CM223),'Technical Premium'!$C$14+IF($J223&gt;=1000000,'Technical Premium'!$C$15,0),"")</f>
        <v/>
      </c>
      <c r="CS223" s="102" t="str">
        <f>IFERROR(($CO223+$CR223)*(INDEX('Territory Factors'!$K$6:$K$56,MATCH($K223,'Territory Factors'!$B$6:$B$56,0))+'Commission Structure'!$C$21),"")</f>
        <v/>
      </c>
      <c r="CT223" s="104" t="str">
        <f t="shared" si="49"/>
        <v/>
      </c>
      <c r="CU223" s="102" t="str">
        <f>IFERROR($CO223*('Commission Structure'!$C$6+'Commission Structure'!$C$7),"")</f>
        <v/>
      </c>
      <c r="CV223" s="102" t="str">
        <f>IFERROR($CO223*'Commission Structure'!$C$5-$CU223,"")</f>
        <v/>
      </c>
      <c r="CW223" s="102" t="str">
        <f>IFERROR($CO223*(1-'Commission Structure'!$C$5),"")</f>
        <v/>
      </c>
      <c r="CX223" s="107"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8" t="str">
        <f t="shared" si="50"/>
        <v/>
      </c>
      <c r="CZ223" s="99" t="str">
        <f>IF($CY223="","",IF($CY223&lt;'Technical Premium'!$C$19,"BEYOND AUTHORITY",IF($CY223&gt;0.005,"Above technical",IF($CY223&lt;-0.005,"BELOW technical","At technical"))))</f>
        <v/>
      </c>
      <c r="DA223" s="99"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4"/>
      <c r="DC223" s="94"/>
      <c r="DD223" s="95"/>
      <c r="DE223" s="94"/>
      <c r="DF223" s="94"/>
      <c r="DG223" s="99" t="str">
        <f t="shared" si="51"/>
        <v/>
      </c>
      <c r="DH223" s="99" t="str">
        <f>IF($A223="","",IF(OR($CX223="REFER",$CX223="DECLINE"),COUNTIF($CX$5:$CX223,"REFER")+COUNTIF($CX$5:$CX223,"DECLINE"),""))</f>
        <v/>
      </c>
      <c r="DI223" s="94"/>
    </row>
    <row r="224" spans="1:113" x14ac:dyDescent="0.35">
      <c r="A224" s="94"/>
      <c r="B224" s="94"/>
      <c r="C224" s="95"/>
      <c r="D224" s="95"/>
      <c r="E224" s="96"/>
      <c r="F224" s="94"/>
      <c r="G224" s="94"/>
      <c r="H224" s="94"/>
      <c r="I224" s="94"/>
      <c r="J224" s="97"/>
      <c r="K224" s="94"/>
      <c r="L224" s="94"/>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8"/>
      <c r="AR224" s="99" t="str">
        <f t="shared" si="39"/>
        <v/>
      </c>
      <c r="AS224" s="99" t="str">
        <f>IF($A224="","",IF($AP224&lt;&gt;"",$AP224,IFERROR(INDEX('Cat Zone by ZIP'!$D$6:$D$856,MATCH($AR224,'Cat Zone by ZIP'!$B$6:$B$856,0)),IFERROR(INDEX('Cat Zone by ZIP'!$C$860:$C$910,MATCH($K224,'Cat Zone by ZIP'!$B$860:$B$910,0)),"NOT FOUND"))))</f>
        <v/>
      </c>
      <c r="AT224" s="99" t="str">
        <f>IF($A224="","",IF($AP224&lt;&gt;"","Override",IF(ISNUMBER(MATCH($AR224,'Cat Zone by ZIP'!$B$6:$B$856,0)),"ZIP-3","State default")))</f>
        <v/>
      </c>
      <c r="AU224" s="100" t="str">
        <f>IF($A224="","",IFERROR(INDEX('Natural Catastrophe'!$D$6:$D$17,MATCH($AS224,'Natural Catastrophe'!$B$6:$B$17,0)),"?"))</f>
        <v/>
      </c>
      <c r="AV224" s="100" t="str">
        <f>IF($A224="","",IFERROR(INDEX('Natural Catastrophe'!$C$21:$C$26,MATCH($AA224,'Natural Catastrophe'!$B$21:$B$26,0)),"?"))</f>
        <v/>
      </c>
      <c r="AW224" s="99" t="str">
        <f>IF($A224="","",IFERROR(INDEX('Base Rates'!$C$4:$I$4,MATCH(MAX($J224,'Technical Premium'!$C$18),'Base Rates'!$C$3:$I$3,1)),"?"))</f>
        <v/>
      </c>
      <c r="AX224" s="101" t="str">
        <f>IF($A224="","",IFERROR(INDEX('Base Rates'!$C$5:$I$16,MATCH($I224,'Base Rates'!$B$5:$B$16,0),MATCH(MAX($J224,'Technical Premium'!$C$18),'Base Rates'!$C$3:$I$3,1)),"?"))</f>
        <v/>
      </c>
      <c r="AY224" s="102" t="str">
        <f t="shared" si="40"/>
        <v/>
      </c>
      <c r="AZ224" s="99" t="str">
        <f>IF($A224="","",IFERROR(INDEX('Make Factors'!$G$5:$G$69,MATCH($F224,'Make Factors'!$B$5:$B$69,0)),"?"))</f>
        <v/>
      </c>
      <c r="BA224" s="99" t="str">
        <f>IF($A224="","",IFERROR(INDEX('Driver Factors'!$C$6:$C$15,MATCH($R224,'Driver Factors'!$B$6:$B$15,0)),"?"))</f>
        <v/>
      </c>
      <c r="BB224" s="99" t="str">
        <f>IF($A224="","",IFERROR(INDEX('Driver Factors'!$C$19:$C$24,MATCH($S224,'Driver Factors'!$B$19:$B$24,0)),"?"))</f>
        <v/>
      </c>
      <c r="BC224" s="99" t="str">
        <f>IF($A224="","",IFERROR(INDEX('Driver Factors'!$C$28:$C$36,MATCH($T224,'Driver Factors'!$B$28:$B$36,0)),"?"))</f>
        <v/>
      </c>
      <c r="BD224" s="99" t="str">
        <f>IF($A224="","",IFERROR(INDEX('Claims History'!$C$6:$C$15,MATCH($U224,'Claims History'!$B$6:$B$15,0)),"?"))</f>
        <v/>
      </c>
      <c r="BE224" s="99" t="str">
        <f>IF($A224="","",IFERROR(INDEX('Territory Factors'!$E$6:$E$56,MATCH($K224,'Territory Factors'!$B$6:$B$56,0)),"?"))</f>
        <v/>
      </c>
      <c r="BF224" s="99" t="str">
        <f>IF($A224="","",IFERROR(INDEX('City Accident Ratings'!$G$6:$G$54,MATCH($Z224,'City Accident Ratings'!$B$6:$B$54,0)),"?"))</f>
        <v/>
      </c>
      <c r="BG224" s="99" t="str">
        <f>IF($A224="","",IFERROR(INDEX('Usage and Coverage'!$D$6:$D$20,MATCH($N224,'Usage and Coverage'!$C$6:$C$20,0)),"?"))</f>
        <v/>
      </c>
      <c r="BH224" s="99" t="str">
        <f>IF($A224="","",IFERROR(INDEX('Usage and Coverage'!$C$24:$C$30,MATCH($O224,'Usage and Coverage'!$B$24:$B$30,0)),"?"))</f>
        <v/>
      </c>
      <c r="BI224" s="99" t="str">
        <f>IF($A224="","",IFERROR(INDEX('Usage and Coverage'!$C$34:$C$40,MATCH($P224,'Usage and Coverage'!$B$34:$B$40,0)),"?"))</f>
        <v/>
      </c>
      <c r="BJ224" s="99" t="str">
        <f>IF($A224="","",IFERROR(INDEX('Usage and Coverage'!$C$44:$C$49,MATCH($Q224,'Usage and Coverage'!$B$44:$B$49,0)),"?"))</f>
        <v/>
      </c>
      <c r="BK224" s="99" t="str">
        <f>IF($A224="","",IFERROR(INDEX(Deductibles!$C$6:$I$15,MATCH($W224,Deductibles!$B$6:$B$15,0),MATCH(MAX($J224,'Technical Premium'!$C$18),'Base Rates'!$C$3:$I$3,1)),"?"))</f>
        <v/>
      </c>
      <c r="BL224" s="99" t="str">
        <f>IF($A224="","",IFERROR(INDEX('Usage and Coverage'!$C$63:$C$66,MATCH($X224,'Usage and Coverage'!$B$63:$B$66,0)),"?"))</f>
        <v/>
      </c>
      <c r="BM224" s="99" t="str">
        <f>IF($A224="","",IFERROR(INDEX('Usage and Coverage'!$C$70:$C$75,MATCH($V224,'Usage and Coverage'!$B$70:$B$75,0)),"?"))</f>
        <v/>
      </c>
      <c r="BN224" s="99" t="str">
        <f>IF($A224="","",IF($AB224="",1,IFERROR(INDEX(Deductibles!$C$48:$C$51,MATCH($AB224,Deductibles!$B$48:$B$51,0)),"?")))</f>
        <v/>
      </c>
      <c r="BO224" s="99" t="str">
        <f>IF($A224="","",IF($AC224="",1,IFERROR(INDEX(Deductibles!$C$55:$C$57,MATCH($AC224,Deductibles!$B$55:$B$57,0)),"?")))</f>
        <v/>
      </c>
      <c r="BP224" s="99" t="str">
        <f>IF($A224="","",IF($AD224="",1,IFERROR(INDEX(Deductibles!$C$61:$C$63,MATCH($AD224,Deductibles!$B$61:$B$63,0)),"?")))</f>
        <v/>
      </c>
      <c r="BQ224" s="99" t="str">
        <f>IF($A224="","",IF($AE224="",1,IFERROR(INDEX(Deductibles!$C$67:$C$69,MATCH($AE224,Deductibles!$B$67:$B$69,0)),"?")))</f>
        <v/>
      </c>
      <c r="BR224" s="99" t="str">
        <f>IF($A224="","",IF($AF224="",1,IFERROR(INDEX(Deductibles!$C$73:$C$74,MATCH($AF224,Deductibles!$B$73:$B$74,0)),"?")))</f>
        <v/>
      </c>
      <c r="BS224" s="99" t="str">
        <f>IF($A224="","",IF($AG224="",1,IFERROR(INDEX('Sublimits and Parts'!$C$49:$C$52,MATCH($AG224,'Sublimits and Parts'!$B$49:$B$52,0)),"?")))</f>
        <v/>
      </c>
      <c r="BT224" s="99" t="str">
        <f>IF($A224="","",IF($AH224="",1,IFERROR(INDEX('Sublimits and Parts'!$C$56:$C$60,MATCH($AH224,'Sublimits and Parts'!$B$56:$B$60,0)),"?")))</f>
        <v/>
      </c>
      <c r="BU224" s="99" t="str">
        <f>IF($A224="","",IF($AI224="",1,IFERROR(INDEX('Sublimits and Parts'!$C$64:$C$67,MATCH($AI224,'Sublimits and Parts'!$B$64:$B$67,0)),"?")))</f>
        <v/>
      </c>
      <c r="BV224" s="99" t="str">
        <f>IF($A224="","",IF($AJ224="",1,IFERROR(INDEX('Sublimits and Parts'!$C$71:$C$74,MATCH($AJ224,'Sublimits and Parts'!$B$71:$B$74,0)),"?")))</f>
        <v/>
      </c>
      <c r="BW224" s="99" t="str">
        <f>IF($A224="","",IF($AK224="",1,IFERROR(INDEX('Sublimits and Parts'!$C$78:$C$80,MATCH($AK224,'Sublimits and Parts'!$B$78:$B$80,0)),"?")))</f>
        <v/>
      </c>
      <c r="BX224" s="99" t="str">
        <f>IF($A224="","",IF($AL224="",1,IFERROR(INDEX('Sublimits and Parts'!$C$84:$C$87,MATCH($AL224,'Sublimits and Parts'!$B$84:$B$87,0)),"?")))</f>
        <v/>
      </c>
      <c r="BY224" s="99" t="str">
        <f>IF($A224="","",IF($AM224="",1,IFERROR(INDEX('Sublimits and Parts'!$C$91:$C$94,MATCH($AM224,'Sublimits and Parts'!$B$91:$B$94,0)),"?")))</f>
        <v/>
      </c>
      <c r="BZ224" s="99" t="str">
        <f>IF($A224="","",IF($AN224="",1,IFERROR(INDEX('Sublimits and Parts'!$C$98:$C$101,MATCH($AN224,'Sublimits and Parts'!$B$98:$B$101,0)),"?")))</f>
        <v/>
      </c>
      <c r="CA224" s="99" t="str">
        <f>IF($A224="","",IF($AO224="",1,IFERROR(INDEX('Sublimits and Parts'!$C$105:$C$109,MATCH($AO224,'Sublimits and Parts'!$B$105:$B$109,0)),"?")))</f>
        <v/>
      </c>
      <c r="CB224" s="100" t="str">
        <f t="shared" si="41"/>
        <v/>
      </c>
      <c r="CC224" s="100" t="str">
        <f t="shared" si="42"/>
        <v/>
      </c>
      <c r="CD224" s="103" t="str">
        <f>IF($A224="","",IF(OR($CB224="?",$CC224="?"),"?",MIN($CB224*$CC224,'Technical Premium'!$C$17)))</f>
        <v/>
      </c>
      <c r="CE224" s="102" t="str">
        <f t="shared" si="43"/>
        <v/>
      </c>
      <c r="CF224" s="102" t="str">
        <f>IF($A224="","",IFERROR(INDEX('Territory Factors'!$F$6:$F$56,MATCH($K224,'Territory Factors'!$B$6:$B$56,0)),"?"))</f>
        <v/>
      </c>
      <c r="CG224" s="100" t="str">
        <f>IF($A224="","",IFERROR(INDEX('Usage and Coverage'!$C$79:$C$84,MATCH($Y224,'Usage and Coverage'!$B$79:$B$84,0)),"?"))</f>
        <v/>
      </c>
      <c r="CH224" s="102" t="str">
        <f>IFERROR(IF(ISNUMBER($CD224),$CF224*$CG224*MIN($BG224*$BA224*$BC224*$BD224*$BH224*$BF224,'Technical Premium'!$C$17),""),"")</f>
        <v/>
      </c>
      <c r="CI224" s="102" t="str">
        <f t="shared" si="44"/>
        <v/>
      </c>
      <c r="CJ224" s="102" t="str">
        <f>IFERROR($CI224*(1+'Technical Premium'!$C$5)*(1+'Technical Premium'!$C$6),"")</f>
        <v/>
      </c>
      <c r="CK224" s="102" t="str">
        <f>IFERROR($CE224*INDEX('Territory Factors'!$G$6:$G$56,MATCH($K224,'Territory Factors'!$B$6:$B$56,0))*$AU224*$AV224,"")</f>
        <v/>
      </c>
      <c r="CL224" s="102" t="str">
        <f>IFERROR(($CJ224+$CK224)*(1+'Technical Premium'!$C$7),"")</f>
        <v/>
      </c>
      <c r="CM224" s="104" t="str">
        <f>IFERROR($CL224/'Technical Premium'!$C$13,"")</f>
        <v/>
      </c>
      <c r="CN224" s="105" t="str">
        <f t="shared" si="45"/>
        <v/>
      </c>
      <c r="CO224" s="104" t="str">
        <f t="shared" si="46"/>
        <v/>
      </c>
      <c r="CP224" s="105" t="str">
        <f t="shared" si="47"/>
        <v/>
      </c>
      <c r="CQ224" s="106" t="str">
        <f t="shared" si="48"/>
        <v/>
      </c>
      <c r="CR224" s="102" t="str">
        <f>IF(ISNUMBER($CM224),'Technical Premium'!$C$14+IF($J224&gt;=1000000,'Technical Premium'!$C$15,0),"")</f>
        <v/>
      </c>
      <c r="CS224" s="102" t="str">
        <f>IFERROR(($CO224+$CR224)*(INDEX('Territory Factors'!$K$6:$K$56,MATCH($K224,'Territory Factors'!$B$6:$B$56,0))+'Commission Structure'!$C$21),"")</f>
        <v/>
      </c>
      <c r="CT224" s="104" t="str">
        <f t="shared" si="49"/>
        <v/>
      </c>
      <c r="CU224" s="102" t="str">
        <f>IFERROR($CO224*('Commission Structure'!$C$6+'Commission Structure'!$C$7),"")</f>
        <v/>
      </c>
      <c r="CV224" s="102" t="str">
        <f>IFERROR($CO224*'Commission Structure'!$C$5-$CU224,"")</f>
        <v/>
      </c>
      <c r="CW224" s="102" t="str">
        <f>IFERROR($CO224*(1-'Commission Structure'!$C$5),"")</f>
        <v/>
      </c>
      <c r="CX224" s="107"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8" t="str">
        <f t="shared" si="50"/>
        <v/>
      </c>
      <c r="CZ224" s="99" t="str">
        <f>IF($CY224="","",IF($CY224&lt;'Technical Premium'!$C$19,"BEYOND AUTHORITY",IF($CY224&gt;0.005,"Above technical",IF($CY224&lt;-0.005,"BELOW technical","At technical"))))</f>
        <v/>
      </c>
      <c r="DA224" s="99"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4"/>
      <c r="DC224" s="94"/>
      <c r="DD224" s="95"/>
      <c r="DE224" s="94"/>
      <c r="DF224" s="94"/>
      <c r="DG224" s="99" t="str">
        <f t="shared" si="51"/>
        <v/>
      </c>
      <c r="DH224" s="99" t="str">
        <f>IF($A224="","",IF(OR($CX224="REFER",$CX224="DECLINE"),COUNTIF($CX$5:$CX224,"REFER")+COUNTIF($CX$5:$CX224,"DECLINE"),""))</f>
        <v/>
      </c>
      <c r="DI224" s="94"/>
    </row>
    <row r="225" spans="1:113" x14ac:dyDescent="0.35">
      <c r="A225" s="94"/>
      <c r="B225" s="94"/>
      <c r="C225" s="95"/>
      <c r="D225" s="95"/>
      <c r="E225" s="96"/>
      <c r="F225" s="94"/>
      <c r="G225" s="94"/>
      <c r="H225" s="94"/>
      <c r="I225" s="94"/>
      <c r="J225" s="97"/>
      <c r="K225" s="94"/>
      <c r="L225" s="94"/>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8"/>
      <c r="AR225" s="99" t="str">
        <f t="shared" si="39"/>
        <v/>
      </c>
      <c r="AS225" s="99" t="str">
        <f>IF($A225="","",IF($AP225&lt;&gt;"",$AP225,IFERROR(INDEX('Cat Zone by ZIP'!$D$6:$D$856,MATCH($AR225,'Cat Zone by ZIP'!$B$6:$B$856,0)),IFERROR(INDEX('Cat Zone by ZIP'!$C$860:$C$910,MATCH($K225,'Cat Zone by ZIP'!$B$860:$B$910,0)),"NOT FOUND"))))</f>
        <v/>
      </c>
      <c r="AT225" s="99" t="str">
        <f>IF($A225="","",IF($AP225&lt;&gt;"","Override",IF(ISNUMBER(MATCH($AR225,'Cat Zone by ZIP'!$B$6:$B$856,0)),"ZIP-3","State default")))</f>
        <v/>
      </c>
      <c r="AU225" s="100" t="str">
        <f>IF($A225="","",IFERROR(INDEX('Natural Catastrophe'!$D$6:$D$17,MATCH($AS225,'Natural Catastrophe'!$B$6:$B$17,0)),"?"))</f>
        <v/>
      </c>
      <c r="AV225" s="100" t="str">
        <f>IF($A225="","",IFERROR(INDEX('Natural Catastrophe'!$C$21:$C$26,MATCH($AA225,'Natural Catastrophe'!$B$21:$B$26,0)),"?"))</f>
        <v/>
      </c>
      <c r="AW225" s="99" t="str">
        <f>IF($A225="","",IFERROR(INDEX('Base Rates'!$C$4:$I$4,MATCH(MAX($J225,'Technical Premium'!$C$18),'Base Rates'!$C$3:$I$3,1)),"?"))</f>
        <v/>
      </c>
      <c r="AX225" s="101" t="str">
        <f>IF($A225="","",IFERROR(INDEX('Base Rates'!$C$5:$I$16,MATCH($I225,'Base Rates'!$B$5:$B$16,0),MATCH(MAX($J225,'Technical Premium'!$C$18),'Base Rates'!$C$3:$I$3,1)),"?"))</f>
        <v/>
      </c>
      <c r="AY225" s="102" t="str">
        <f t="shared" si="40"/>
        <v/>
      </c>
      <c r="AZ225" s="99" t="str">
        <f>IF($A225="","",IFERROR(INDEX('Make Factors'!$G$5:$G$69,MATCH($F225,'Make Factors'!$B$5:$B$69,0)),"?"))</f>
        <v/>
      </c>
      <c r="BA225" s="99" t="str">
        <f>IF($A225="","",IFERROR(INDEX('Driver Factors'!$C$6:$C$15,MATCH($R225,'Driver Factors'!$B$6:$B$15,0)),"?"))</f>
        <v/>
      </c>
      <c r="BB225" s="99" t="str">
        <f>IF($A225="","",IFERROR(INDEX('Driver Factors'!$C$19:$C$24,MATCH($S225,'Driver Factors'!$B$19:$B$24,0)),"?"))</f>
        <v/>
      </c>
      <c r="BC225" s="99" t="str">
        <f>IF($A225="","",IFERROR(INDEX('Driver Factors'!$C$28:$C$36,MATCH($T225,'Driver Factors'!$B$28:$B$36,0)),"?"))</f>
        <v/>
      </c>
      <c r="BD225" s="99" t="str">
        <f>IF($A225="","",IFERROR(INDEX('Claims History'!$C$6:$C$15,MATCH($U225,'Claims History'!$B$6:$B$15,0)),"?"))</f>
        <v/>
      </c>
      <c r="BE225" s="99" t="str">
        <f>IF($A225="","",IFERROR(INDEX('Territory Factors'!$E$6:$E$56,MATCH($K225,'Territory Factors'!$B$6:$B$56,0)),"?"))</f>
        <v/>
      </c>
      <c r="BF225" s="99" t="str">
        <f>IF($A225="","",IFERROR(INDEX('City Accident Ratings'!$G$6:$G$54,MATCH($Z225,'City Accident Ratings'!$B$6:$B$54,0)),"?"))</f>
        <v/>
      </c>
      <c r="BG225" s="99" t="str">
        <f>IF($A225="","",IFERROR(INDEX('Usage and Coverage'!$D$6:$D$20,MATCH($N225,'Usage and Coverage'!$C$6:$C$20,0)),"?"))</f>
        <v/>
      </c>
      <c r="BH225" s="99" t="str">
        <f>IF($A225="","",IFERROR(INDEX('Usage and Coverage'!$C$24:$C$30,MATCH($O225,'Usage and Coverage'!$B$24:$B$30,0)),"?"))</f>
        <v/>
      </c>
      <c r="BI225" s="99" t="str">
        <f>IF($A225="","",IFERROR(INDEX('Usage and Coverage'!$C$34:$C$40,MATCH($P225,'Usage and Coverage'!$B$34:$B$40,0)),"?"))</f>
        <v/>
      </c>
      <c r="BJ225" s="99" t="str">
        <f>IF($A225="","",IFERROR(INDEX('Usage and Coverage'!$C$44:$C$49,MATCH($Q225,'Usage and Coverage'!$B$44:$B$49,0)),"?"))</f>
        <v/>
      </c>
      <c r="BK225" s="99" t="str">
        <f>IF($A225="","",IFERROR(INDEX(Deductibles!$C$6:$I$15,MATCH($W225,Deductibles!$B$6:$B$15,0),MATCH(MAX($J225,'Technical Premium'!$C$18),'Base Rates'!$C$3:$I$3,1)),"?"))</f>
        <v/>
      </c>
      <c r="BL225" s="99" t="str">
        <f>IF($A225="","",IFERROR(INDEX('Usage and Coverage'!$C$63:$C$66,MATCH($X225,'Usage and Coverage'!$B$63:$B$66,0)),"?"))</f>
        <v/>
      </c>
      <c r="BM225" s="99" t="str">
        <f>IF($A225="","",IFERROR(INDEX('Usage and Coverage'!$C$70:$C$75,MATCH($V225,'Usage and Coverage'!$B$70:$B$75,0)),"?"))</f>
        <v/>
      </c>
      <c r="BN225" s="99" t="str">
        <f>IF($A225="","",IF($AB225="",1,IFERROR(INDEX(Deductibles!$C$48:$C$51,MATCH($AB225,Deductibles!$B$48:$B$51,0)),"?")))</f>
        <v/>
      </c>
      <c r="BO225" s="99" t="str">
        <f>IF($A225="","",IF($AC225="",1,IFERROR(INDEX(Deductibles!$C$55:$C$57,MATCH($AC225,Deductibles!$B$55:$B$57,0)),"?")))</f>
        <v/>
      </c>
      <c r="BP225" s="99" t="str">
        <f>IF($A225="","",IF($AD225="",1,IFERROR(INDEX(Deductibles!$C$61:$C$63,MATCH($AD225,Deductibles!$B$61:$B$63,0)),"?")))</f>
        <v/>
      </c>
      <c r="BQ225" s="99" t="str">
        <f>IF($A225="","",IF($AE225="",1,IFERROR(INDEX(Deductibles!$C$67:$C$69,MATCH($AE225,Deductibles!$B$67:$B$69,0)),"?")))</f>
        <v/>
      </c>
      <c r="BR225" s="99" t="str">
        <f>IF($A225="","",IF($AF225="",1,IFERROR(INDEX(Deductibles!$C$73:$C$74,MATCH($AF225,Deductibles!$B$73:$B$74,0)),"?")))</f>
        <v/>
      </c>
      <c r="BS225" s="99" t="str">
        <f>IF($A225="","",IF($AG225="",1,IFERROR(INDEX('Sublimits and Parts'!$C$49:$C$52,MATCH($AG225,'Sublimits and Parts'!$B$49:$B$52,0)),"?")))</f>
        <v/>
      </c>
      <c r="BT225" s="99" t="str">
        <f>IF($A225="","",IF($AH225="",1,IFERROR(INDEX('Sublimits and Parts'!$C$56:$C$60,MATCH($AH225,'Sublimits and Parts'!$B$56:$B$60,0)),"?")))</f>
        <v/>
      </c>
      <c r="BU225" s="99" t="str">
        <f>IF($A225="","",IF($AI225="",1,IFERROR(INDEX('Sublimits and Parts'!$C$64:$C$67,MATCH($AI225,'Sublimits and Parts'!$B$64:$B$67,0)),"?")))</f>
        <v/>
      </c>
      <c r="BV225" s="99" t="str">
        <f>IF($A225="","",IF($AJ225="",1,IFERROR(INDEX('Sublimits and Parts'!$C$71:$C$74,MATCH($AJ225,'Sublimits and Parts'!$B$71:$B$74,0)),"?")))</f>
        <v/>
      </c>
      <c r="BW225" s="99" t="str">
        <f>IF($A225="","",IF($AK225="",1,IFERROR(INDEX('Sublimits and Parts'!$C$78:$C$80,MATCH($AK225,'Sublimits and Parts'!$B$78:$B$80,0)),"?")))</f>
        <v/>
      </c>
      <c r="BX225" s="99" t="str">
        <f>IF($A225="","",IF($AL225="",1,IFERROR(INDEX('Sublimits and Parts'!$C$84:$C$87,MATCH($AL225,'Sublimits and Parts'!$B$84:$B$87,0)),"?")))</f>
        <v/>
      </c>
      <c r="BY225" s="99" t="str">
        <f>IF($A225="","",IF($AM225="",1,IFERROR(INDEX('Sublimits and Parts'!$C$91:$C$94,MATCH($AM225,'Sublimits and Parts'!$B$91:$B$94,0)),"?")))</f>
        <v/>
      </c>
      <c r="BZ225" s="99" t="str">
        <f>IF($A225="","",IF($AN225="",1,IFERROR(INDEX('Sublimits and Parts'!$C$98:$C$101,MATCH($AN225,'Sublimits and Parts'!$B$98:$B$101,0)),"?")))</f>
        <v/>
      </c>
      <c r="CA225" s="99" t="str">
        <f>IF($A225="","",IF($AO225="",1,IFERROR(INDEX('Sublimits and Parts'!$C$105:$C$109,MATCH($AO225,'Sublimits and Parts'!$B$105:$B$109,0)),"?")))</f>
        <v/>
      </c>
      <c r="CB225" s="100" t="str">
        <f t="shared" si="41"/>
        <v/>
      </c>
      <c r="CC225" s="100" t="str">
        <f t="shared" si="42"/>
        <v/>
      </c>
      <c r="CD225" s="103" t="str">
        <f>IF($A225="","",IF(OR($CB225="?",$CC225="?"),"?",MIN($CB225*$CC225,'Technical Premium'!$C$17)))</f>
        <v/>
      </c>
      <c r="CE225" s="102" t="str">
        <f t="shared" si="43"/>
        <v/>
      </c>
      <c r="CF225" s="102" t="str">
        <f>IF($A225="","",IFERROR(INDEX('Territory Factors'!$F$6:$F$56,MATCH($K225,'Territory Factors'!$B$6:$B$56,0)),"?"))</f>
        <v/>
      </c>
      <c r="CG225" s="100" t="str">
        <f>IF($A225="","",IFERROR(INDEX('Usage and Coverage'!$C$79:$C$84,MATCH($Y225,'Usage and Coverage'!$B$79:$B$84,0)),"?"))</f>
        <v/>
      </c>
      <c r="CH225" s="102" t="str">
        <f>IFERROR(IF(ISNUMBER($CD225),$CF225*$CG225*MIN($BG225*$BA225*$BC225*$BD225*$BH225*$BF225,'Technical Premium'!$C$17),""),"")</f>
        <v/>
      </c>
      <c r="CI225" s="102" t="str">
        <f t="shared" si="44"/>
        <v/>
      </c>
      <c r="CJ225" s="102" t="str">
        <f>IFERROR($CI225*(1+'Technical Premium'!$C$5)*(1+'Technical Premium'!$C$6),"")</f>
        <v/>
      </c>
      <c r="CK225" s="102" t="str">
        <f>IFERROR($CE225*INDEX('Territory Factors'!$G$6:$G$56,MATCH($K225,'Territory Factors'!$B$6:$B$56,0))*$AU225*$AV225,"")</f>
        <v/>
      </c>
      <c r="CL225" s="102" t="str">
        <f>IFERROR(($CJ225+$CK225)*(1+'Technical Premium'!$C$7),"")</f>
        <v/>
      </c>
      <c r="CM225" s="104" t="str">
        <f>IFERROR($CL225/'Technical Premium'!$C$13,"")</f>
        <v/>
      </c>
      <c r="CN225" s="105" t="str">
        <f t="shared" si="45"/>
        <v/>
      </c>
      <c r="CO225" s="104" t="str">
        <f t="shared" si="46"/>
        <v/>
      </c>
      <c r="CP225" s="105" t="str">
        <f t="shared" si="47"/>
        <v/>
      </c>
      <c r="CQ225" s="106" t="str">
        <f t="shared" si="48"/>
        <v/>
      </c>
      <c r="CR225" s="102" t="str">
        <f>IF(ISNUMBER($CM225),'Technical Premium'!$C$14+IF($J225&gt;=1000000,'Technical Premium'!$C$15,0),"")</f>
        <v/>
      </c>
      <c r="CS225" s="102" t="str">
        <f>IFERROR(($CO225+$CR225)*(INDEX('Territory Factors'!$K$6:$K$56,MATCH($K225,'Territory Factors'!$B$6:$B$56,0))+'Commission Structure'!$C$21),"")</f>
        <v/>
      </c>
      <c r="CT225" s="104" t="str">
        <f t="shared" si="49"/>
        <v/>
      </c>
      <c r="CU225" s="102" t="str">
        <f>IFERROR($CO225*('Commission Structure'!$C$6+'Commission Structure'!$C$7),"")</f>
        <v/>
      </c>
      <c r="CV225" s="102" t="str">
        <f>IFERROR($CO225*'Commission Structure'!$C$5-$CU225,"")</f>
        <v/>
      </c>
      <c r="CW225" s="102" t="str">
        <f>IFERROR($CO225*(1-'Commission Structure'!$C$5),"")</f>
        <v/>
      </c>
      <c r="CX225" s="107"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8" t="str">
        <f t="shared" si="50"/>
        <v/>
      </c>
      <c r="CZ225" s="99" t="str">
        <f>IF($CY225="","",IF($CY225&lt;'Technical Premium'!$C$19,"BEYOND AUTHORITY",IF($CY225&gt;0.005,"Above technical",IF($CY225&lt;-0.005,"BELOW technical","At technical"))))</f>
        <v/>
      </c>
      <c r="DA225" s="99"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4"/>
      <c r="DC225" s="94"/>
      <c r="DD225" s="95"/>
      <c r="DE225" s="94"/>
      <c r="DF225" s="94"/>
      <c r="DG225" s="99" t="str">
        <f t="shared" si="51"/>
        <v/>
      </c>
      <c r="DH225" s="99" t="str">
        <f>IF($A225="","",IF(OR($CX225="REFER",$CX225="DECLINE"),COUNTIF($CX$5:$CX225,"REFER")+COUNTIF($CX$5:$CX225,"DECLINE"),""))</f>
        <v/>
      </c>
      <c r="DI225" s="94"/>
    </row>
    <row r="226" spans="1:113" x14ac:dyDescent="0.35">
      <c r="A226" s="94"/>
      <c r="B226" s="94"/>
      <c r="C226" s="95"/>
      <c r="D226" s="95"/>
      <c r="E226" s="96"/>
      <c r="F226" s="94"/>
      <c r="G226" s="94"/>
      <c r="H226" s="94"/>
      <c r="I226" s="94"/>
      <c r="J226" s="97"/>
      <c r="K226" s="94"/>
      <c r="L226" s="94"/>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8"/>
      <c r="AR226" s="99" t="str">
        <f t="shared" si="39"/>
        <v/>
      </c>
      <c r="AS226" s="99" t="str">
        <f>IF($A226="","",IF($AP226&lt;&gt;"",$AP226,IFERROR(INDEX('Cat Zone by ZIP'!$D$6:$D$856,MATCH($AR226,'Cat Zone by ZIP'!$B$6:$B$856,0)),IFERROR(INDEX('Cat Zone by ZIP'!$C$860:$C$910,MATCH($K226,'Cat Zone by ZIP'!$B$860:$B$910,0)),"NOT FOUND"))))</f>
        <v/>
      </c>
      <c r="AT226" s="99" t="str">
        <f>IF($A226="","",IF($AP226&lt;&gt;"","Override",IF(ISNUMBER(MATCH($AR226,'Cat Zone by ZIP'!$B$6:$B$856,0)),"ZIP-3","State default")))</f>
        <v/>
      </c>
      <c r="AU226" s="100" t="str">
        <f>IF($A226="","",IFERROR(INDEX('Natural Catastrophe'!$D$6:$D$17,MATCH($AS226,'Natural Catastrophe'!$B$6:$B$17,0)),"?"))</f>
        <v/>
      </c>
      <c r="AV226" s="100" t="str">
        <f>IF($A226="","",IFERROR(INDEX('Natural Catastrophe'!$C$21:$C$26,MATCH($AA226,'Natural Catastrophe'!$B$21:$B$26,0)),"?"))</f>
        <v/>
      </c>
      <c r="AW226" s="99" t="str">
        <f>IF($A226="","",IFERROR(INDEX('Base Rates'!$C$4:$I$4,MATCH(MAX($J226,'Technical Premium'!$C$18),'Base Rates'!$C$3:$I$3,1)),"?"))</f>
        <v/>
      </c>
      <c r="AX226" s="101" t="str">
        <f>IF($A226="","",IFERROR(INDEX('Base Rates'!$C$5:$I$16,MATCH($I226,'Base Rates'!$B$5:$B$16,0),MATCH(MAX($J226,'Technical Premium'!$C$18),'Base Rates'!$C$3:$I$3,1)),"?"))</f>
        <v/>
      </c>
      <c r="AY226" s="102" t="str">
        <f t="shared" si="40"/>
        <v/>
      </c>
      <c r="AZ226" s="99" t="str">
        <f>IF($A226="","",IFERROR(INDEX('Make Factors'!$G$5:$G$69,MATCH($F226,'Make Factors'!$B$5:$B$69,0)),"?"))</f>
        <v/>
      </c>
      <c r="BA226" s="99" t="str">
        <f>IF($A226="","",IFERROR(INDEX('Driver Factors'!$C$6:$C$15,MATCH($R226,'Driver Factors'!$B$6:$B$15,0)),"?"))</f>
        <v/>
      </c>
      <c r="BB226" s="99" t="str">
        <f>IF($A226="","",IFERROR(INDEX('Driver Factors'!$C$19:$C$24,MATCH($S226,'Driver Factors'!$B$19:$B$24,0)),"?"))</f>
        <v/>
      </c>
      <c r="BC226" s="99" t="str">
        <f>IF($A226="","",IFERROR(INDEX('Driver Factors'!$C$28:$C$36,MATCH($T226,'Driver Factors'!$B$28:$B$36,0)),"?"))</f>
        <v/>
      </c>
      <c r="BD226" s="99" t="str">
        <f>IF($A226="","",IFERROR(INDEX('Claims History'!$C$6:$C$15,MATCH($U226,'Claims History'!$B$6:$B$15,0)),"?"))</f>
        <v/>
      </c>
      <c r="BE226" s="99" t="str">
        <f>IF($A226="","",IFERROR(INDEX('Territory Factors'!$E$6:$E$56,MATCH($K226,'Territory Factors'!$B$6:$B$56,0)),"?"))</f>
        <v/>
      </c>
      <c r="BF226" s="99" t="str">
        <f>IF($A226="","",IFERROR(INDEX('City Accident Ratings'!$G$6:$G$54,MATCH($Z226,'City Accident Ratings'!$B$6:$B$54,0)),"?"))</f>
        <v/>
      </c>
      <c r="BG226" s="99" t="str">
        <f>IF($A226="","",IFERROR(INDEX('Usage and Coverage'!$D$6:$D$20,MATCH($N226,'Usage and Coverage'!$C$6:$C$20,0)),"?"))</f>
        <v/>
      </c>
      <c r="BH226" s="99" t="str">
        <f>IF($A226="","",IFERROR(INDEX('Usage and Coverage'!$C$24:$C$30,MATCH($O226,'Usage and Coverage'!$B$24:$B$30,0)),"?"))</f>
        <v/>
      </c>
      <c r="BI226" s="99" t="str">
        <f>IF($A226="","",IFERROR(INDEX('Usage and Coverage'!$C$34:$C$40,MATCH($P226,'Usage and Coverage'!$B$34:$B$40,0)),"?"))</f>
        <v/>
      </c>
      <c r="BJ226" s="99" t="str">
        <f>IF($A226="","",IFERROR(INDEX('Usage and Coverage'!$C$44:$C$49,MATCH($Q226,'Usage and Coverage'!$B$44:$B$49,0)),"?"))</f>
        <v/>
      </c>
      <c r="BK226" s="99" t="str">
        <f>IF($A226="","",IFERROR(INDEX(Deductibles!$C$6:$I$15,MATCH($W226,Deductibles!$B$6:$B$15,0),MATCH(MAX($J226,'Technical Premium'!$C$18),'Base Rates'!$C$3:$I$3,1)),"?"))</f>
        <v/>
      </c>
      <c r="BL226" s="99" t="str">
        <f>IF($A226="","",IFERROR(INDEX('Usage and Coverage'!$C$63:$C$66,MATCH($X226,'Usage and Coverage'!$B$63:$B$66,0)),"?"))</f>
        <v/>
      </c>
      <c r="BM226" s="99" t="str">
        <f>IF($A226="","",IFERROR(INDEX('Usage and Coverage'!$C$70:$C$75,MATCH($V226,'Usage and Coverage'!$B$70:$B$75,0)),"?"))</f>
        <v/>
      </c>
      <c r="BN226" s="99" t="str">
        <f>IF($A226="","",IF($AB226="",1,IFERROR(INDEX(Deductibles!$C$48:$C$51,MATCH($AB226,Deductibles!$B$48:$B$51,0)),"?")))</f>
        <v/>
      </c>
      <c r="BO226" s="99" t="str">
        <f>IF($A226="","",IF($AC226="",1,IFERROR(INDEX(Deductibles!$C$55:$C$57,MATCH($AC226,Deductibles!$B$55:$B$57,0)),"?")))</f>
        <v/>
      </c>
      <c r="BP226" s="99" t="str">
        <f>IF($A226="","",IF($AD226="",1,IFERROR(INDEX(Deductibles!$C$61:$C$63,MATCH($AD226,Deductibles!$B$61:$B$63,0)),"?")))</f>
        <v/>
      </c>
      <c r="BQ226" s="99" t="str">
        <f>IF($A226="","",IF($AE226="",1,IFERROR(INDEX(Deductibles!$C$67:$C$69,MATCH($AE226,Deductibles!$B$67:$B$69,0)),"?")))</f>
        <v/>
      </c>
      <c r="BR226" s="99" t="str">
        <f>IF($A226="","",IF($AF226="",1,IFERROR(INDEX(Deductibles!$C$73:$C$74,MATCH($AF226,Deductibles!$B$73:$B$74,0)),"?")))</f>
        <v/>
      </c>
      <c r="BS226" s="99" t="str">
        <f>IF($A226="","",IF($AG226="",1,IFERROR(INDEX('Sublimits and Parts'!$C$49:$C$52,MATCH($AG226,'Sublimits and Parts'!$B$49:$B$52,0)),"?")))</f>
        <v/>
      </c>
      <c r="BT226" s="99" t="str">
        <f>IF($A226="","",IF($AH226="",1,IFERROR(INDEX('Sublimits and Parts'!$C$56:$C$60,MATCH($AH226,'Sublimits and Parts'!$B$56:$B$60,0)),"?")))</f>
        <v/>
      </c>
      <c r="BU226" s="99" t="str">
        <f>IF($A226="","",IF($AI226="",1,IFERROR(INDEX('Sublimits and Parts'!$C$64:$C$67,MATCH($AI226,'Sublimits and Parts'!$B$64:$B$67,0)),"?")))</f>
        <v/>
      </c>
      <c r="BV226" s="99" t="str">
        <f>IF($A226="","",IF($AJ226="",1,IFERROR(INDEX('Sublimits and Parts'!$C$71:$C$74,MATCH($AJ226,'Sublimits and Parts'!$B$71:$B$74,0)),"?")))</f>
        <v/>
      </c>
      <c r="BW226" s="99" t="str">
        <f>IF($A226="","",IF($AK226="",1,IFERROR(INDEX('Sublimits and Parts'!$C$78:$C$80,MATCH($AK226,'Sublimits and Parts'!$B$78:$B$80,0)),"?")))</f>
        <v/>
      </c>
      <c r="BX226" s="99" t="str">
        <f>IF($A226="","",IF($AL226="",1,IFERROR(INDEX('Sublimits and Parts'!$C$84:$C$87,MATCH($AL226,'Sublimits and Parts'!$B$84:$B$87,0)),"?")))</f>
        <v/>
      </c>
      <c r="BY226" s="99" t="str">
        <f>IF($A226="","",IF($AM226="",1,IFERROR(INDEX('Sublimits and Parts'!$C$91:$C$94,MATCH($AM226,'Sublimits and Parts'!$B$91:$B$94,0)),"?")))</f>
        <v/>
      </c>
      <c r="BZ226" s="99" t="str">
        <f>IF($A226="","",IF($AN226="",1,IFERROR(INDEX('Sublimits and Parts'!$C$98:$C$101,MATCH($AN226,'Sublimits and Parts'!$B$98:$B$101,0)),"?")))</f>
        <v/>
      </c>
      <c r="CA226" s="99" t="str">
        <f>IF($A226="","",IF($AO226="",1,IFERROR(INDEX('Sublimits and Parts'!$C$105:$C$109,MATCH($AO226,'Sublimits and Parts'!$B$105:$B$109,0)),"?")))</f>
        <v/>
      </c>
      <c r="CB226" s="100" t="str">
        <f t="shared" si="41"/>
        <v/>
      </c>
      <c r="CC226" s="100" t="str">
        <f t="shared" si="42"/>
        <v/>
      </c>
      <c r="CD226" s="103" t="str">
        <f>IF($A226="","",IF(OR($CB226="?",$CC226="?"),"?",MIN($CB226*$CC226,'Technical Premium'!$C$17)))</f>
        <v/>
      </c>
      <c r="CE226" s="102" t="str">
        <f t="shared" si="43"/>
        <v/>
      </c>
      <c r="CF226" s="102" t="str">
        <f>IF($A226="","",IFERROR(INDEX('Territory Factors'!$F$6:$F$56,MATCH($K226,'Territory Factors'!$B$6:$B$56,0)),"?"))</f>
        <v/>
      </c>
      <c r="CG226" s="100" t="str">
        <f>IF($A226="","",IFERROR(INDEX('Usage and Coverage'!$C$79:$C$84,MATCH($Y226,'Usage and Coverage'!$B$79:$B$84,0)),"?"))</f>
        <v/>
      </c>
      <c r="CH226" s="102" t="str">
        <f>IFERROR(IF(ISNUMBER($CD226),$CF226*$CG226*MIN($BG226*$BA226*$BC226*$BD226*$BH226*$BF226,'Technical Premium'!$C$17),""),"")</f>
        <v/>
      </c>
      <c r="CI226" s="102" t="str">
        <f t="shared" si="44"/>
        <v/>
      </c>
      <c r="CJ226" s="102" t="str">
        <f>IFERROR($CI226*(1+'Technical Premium'!$C$5)*(1+'Technical Premium'!$C$6),"")</f>
        <v/>
      </c>
      <c r="CK226" s="102" t="str">
        <f>IFERROR($CE226*INDEX('Territory Factors'!$G$6:$G$56,MATCH($K226,'Territory Factors'!$B$6:$B$56,0))*$AU226*$AV226,"")</f>
        <v/>
      </c>
      <c r="CL226" s="102" t="str">
        <f>IFERROR(($CJ226+$CK226)*(1+'Technical Premium'!$C$7),"")</f>
        <v/>
      </c>
      <c r="CM226" s="104" t="str">
        <f>IFERROR($CL226/'Technical Premium'!$C$13,"")</f>
        <v/>
      </c>
      <c r="CN226" s="105" t="str">
        <f t="shared" si="45"/>
        <v/>
      </c>
      <c r="CO226" s="104" t="str">
        <f t="shared" si="46"/>
        <v/>
      </c>
      <c r="CP226" s="105" t="str">
        <f t="shared" si="47"/>
        <v/>
      </c>
      <c r="CQ226" s="106" t="str">
        <f t="shared" si="48"/>
        <v/>
      </c>
      <c r="CR226" s="102" t="str">
        <f>IF(ISNUMBER($CM226),'Technical Premium'!$C$14+IF($J226&gt;=1000000,'Technical Premium'!$C$15,0),"")</f>
        <v/>
      </c>
      <c r="CS226" s="102" t="str">
        <f>IFERROR(($CO226+$CR226)*(INDEX('Territory Factors'!$K$6:$K$56,MATCH($K226,'Territory Factors'!$B$6:$B$56,0))+'Commission Structure'!$C$21),"")</f>
        <v/>
      </c>
      <c r="CT226" s="104" t="str">
        <f t="shared" si="49"/>
        <v/>
      </c>
      <c r="CU226" s="102" t="str">
        <f>IFERROR($CO226*('Commission Structure'!$C$6+'Commission Structure'!$C$7),"")</f>
        <v/>
      </c>
      <c r="CV226" s="102" t="str">
        <f>IFERROR($CO226*'Commission Structure'!$C$5-$CU226,"")</f>
        <v/>
      </c>
      <c r="CW226" s="102" t="str">
        <f>IFERROR($CO226*(1-'Commission Structure'!$C$5),"")</f>
        <v/>
      </c>
      <c r="CX226" s="107"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8" t="str">
        <f t="shared" si="50"/>
        <v/>
      </c>
      <c r="CZ226" s="99" t="str">
        <f>IF($CY226="","",IF($CY226&lt;'Technical Premium'!$C$19,"BEYOND AUTHORITY",IF($CY226&gt;0.005,"Above technical",IF($CY226&lt;-0.005,"BELOW technical","At technical"))))</f>
        <v/>
      </c>
      <c r="DA226" s="99"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4"/>
      <c r="DC226" s="94"/>
      <c r="DD226" s="95"/>
      <c r="DE226" s="94"/>
      <c r="DF226" s="94"/>
      <c r="DG226" s="99" t="str">
        <f t="shared" si="51"/>
        <v/>
      </c>
      <c r="DH226" s="99" t="str">
        <f>IF($A226="","",IF(OR($CX226="REFER",$CX226="DECLINE"),COUNTIF($CX$5:$CX226,"REFER")+COUNTIF($CX$5:$CX226,"DECLINE"),""))</f>
        <v/>
      </c>
      <c r="DI226" s="94"/>
    </row>
    <row r="227" spans="1:113" x14ac:dyDescent="0.35">
      <c r="A227" s="94"/>
      <c r="B227" s="94"/>
      <c r="C227" s="95"/>
      <c r="D227" s="95"/>
      <c r="E227" s="96"/>
      <c r="F227" s="94"/>
      <c r="G227" s="94"/>
      <c r="H227" s="94"/>
      <c r="I227" s="94"/>
      <c r="J227" s="97"/>
      <c r="K227" s="94"/>
      <c r="L227" s="94"/>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8"/>
      <c r="AR227" s="99" t="str">
        <f t="shared" si="39"/>
        <v/>
      </c>
      <c r="AS227" s="99" t="str">
        <f>IF($A227="","",IF($AP227&lt;&gt;"",$AP227,IFERROR(INDEX('Cat Zone by ZIP'!$D$6:$D$856,MATCH($AR227,'Cat Zone by ZIP'!$B$6:$B$856,0)),IFERROR(INDEX('Cat Zone by ZIP'!$C$860:$C$910,MATCH($K227,'Cat Zone by ZIP'!$B$860:$B$910,0)),"NOT FOUND"))))</f>
        <v/>
      </c>
      <c r="AT227" s="99" t="str">
        <f>IF($A227="","",IF($AP227&lt;&gt;"","Override",IF(ISNUMBER(MATCH($AR227,'Cat Zone by ZIP'!$B$6:$B$856,0)),"ZIP-3","State default")))</f>
        <v/>
      </c>
      <c r="AU227" s="100" t="str">
        <f>IF($A227="","",IFERROR(INDEX('Natural Catastrophe'!$D$6:$D$17,MATCH($AS227,'Natural Catastrophe'!$B$6:$B$17,0)),"?"))</f>
        <v/>
      </c>
      <c r="AV227" s="100" t="str">
        <f>IF($A227="","",IFERROR(INDEX('Natural Catastrophe'!$C$21:$C$26,MATCH($AA227,'Natural Catastrophe'!$B$21:$B$26,0)),"?"))</f>
        <v/>
      </c>
      <c r="AW227" s="99" t="str">
        <f>IF($A227="","",IFERROR(INDEX('Base Rates'!$C$4:$I$4,MATCH(MAX($J227,'Technical Premium'!$C$18),'Base Rates'!$C$3:$I$3,1)),"?"))</f>
        <v/>
      </c>
      <c r="AX227" s="101" t="str">
        <f>IF($A227="","",IFERROR(INDEX('Base Rates'!$C$5:$I$16,MATCH($I227,'Base Rates'!$B$5:$B$16,0),MATCH(MAX($J227,'Technical Premium'!$C$18),'Base Rates'!$C$3:$I$3,1)),"?"))</f>
        <v/>
      </c>
      <c r="AY227" s="102" t="str">
        <f t="shared" si="40"/>
        <v/>
      </c>
      <c r="AZ227" s="99" t="str">
        <f>IF($A227="","",IFERROR(INDEX('Make Factors'!$G$5:$G$69,MATCH($F227,'Make Factors'!$B$5:$B$69,0)),"?"))</f>
        <v/>
      </c>
      <c r="BA227" s="99" t="str">
        <f>IF($A227="","",IFERROR(INDEX('Driver Factors'!$C$6:$C$15,MATCH($R227,'Driver Factors'!$B$6:$B$15,0)),"?"))</f>
        <v/>
      </c>
      <c r="BB227" s="99" t="str">
        <f>IF($A227="","",IFERROR(INDEX('Driver Factors'!$C$19:$C$24,MATCH($S227,'Driver Factors'!$B$19:$B$24,0)),"?"))</f>
        <v/>
      </c>
      <c r="BC227" s="99" t="str">
        <f>IF($A227="","",IFERROR(INDEX('Driver Factors'!$C$28:$C$36,MATCH($T227,'Driver Factors'!$B$28:$B$36,0)),"?"))</f>
        <v/>
      </c>
      <c r="BD227" s="99" t="str">
        <f>IF($A227="","",IFERROR(INDEX('Claims History'!$C$6:$C$15,MATCH($U227,'Claims History'!$B$6:$B$15,0)),"?"))</f>
        <v/>
      </c>
      <c r="BE227" s="99" t="str">
        <f>IF($A227="","",IFERROR(INDEX('Territory Factors'!$E$6:$E$56,MATCH($K227,'Territory Factors'!$B$6:$B$56,0)),"?"))</f>
        <v/>
      </c>
      <c r="BF227" s="99" t="str">
        <f>IF($A227="","",IFERROR(INDEX('City Accident Ratings'!$G$6:$G$54,MATCH($Z227,'City Accident Ratings'!$B$6:$B$54,0)),"?"))</f>
        <v/>
      </c>
      <c r="BG227" s="99" t="str">
        <f>IF($A227="","",IFERROR(INDEX('Usage and Coverage'!$D$6:$D$20,MATCH($N227,'Usage and Coverage'!$C$6:$C$20,0)),"?"))</f>
        <v/>
      </c>
      <c r="BH227" s="99" t="str">
        <f>IF($A227="","",IFERROR(INDEX('Usage and Coverage'!$C$24:$C$30,MATCH($O227,'Usage and Coverage'!$B$24:$B$30,0)),"?"))</f>
        <v/>
      </c>
      <c r="BI227" s="99" t="str">
        <f>IF($A227="","",IFERROR(INDEX('Usage and Coverage'!$C$34:$C$40,MATCH($P227,'Usage and Coverage'!$B$34:$B$40,0)),"?"))</f>
        <v/>
      </c>
      <c r="BJ227" s="99" t="str">
        <f>IF($A227="","",IFERROR(INDEX('Usage and Coverage'!$C$44:$C$49,MATCH($Q227,'Usage and Coverage'!$B$44:$B$49,0)),"?"))</f>
        <v/>
      </c>
      <c r="BK227" s="99" t="str">
        <f>IF($A227="","",IFERROR(INDEX(Deductibles!$C$6:$I$15,MATCH($W227,Deductibles!$B$6:$B$15,0),MATCH(MAX($J227,'Technical Premium'!$C$18),'Base Rates'!$C$3:$I$3,1)),"?"))</f>
        <v/>
      </c>
      <c r="BL227" s="99" t="str">
        <f>IF($A227="","",IFERROR(INDEX('Usage and Coverage'!$C$63:$C$66,MATCH($X227,'Usage and Coverage'!$B$63:$B$66,0)),"?"))</f>
        <v/>
      </c>
      <c r="BM227" s="99" t="str">
        <f>IF($A227="","",IFERROR(INDEX('Usage and Coverage'!$C$70:$C$75,MATCH($V227,'Usage and Coverage'!$B$70:$B$75,0)),"?"))</f>
        <v/>
      </c>
      <c r="BN227" s="99" t="str">
        <f>IF($A227="","",IF($AB227="",1,IFERROR(INDEX(Deductibles!$C$48:$C$51,MATCH($AB227,Deductibles!$B$48:$B$51,0)),"?")))</f>
        <v/>
      </c>
      <c r="BO227" s="99" t="str">
        <f>IF($A227="","",IF($AC227="",1,IFERROR(INDEX(Deductibles!$C$55:$C$57,MATCH($AC227,Deductibles!$B$55:$B$57,0)),"?")))</f>
        <v/>
      </c>
      <c r="BP227" s="99" t="str">
        <f>IF($A227="","",IF($AD227="",1,IFERROR(INDEX(Deductibles!$C$61:$C$63,MATCH($AD227,Deductibles!$B$61:$B$63,0)),"?")))</f>
        <v/>
      </c>
      <c r="BQ227" s="99" t="str">
        <f>IF($A227="","",IF($AE227="",1,IFERROR(INDEX(Deductibles!$C$67:$C$69,MATCH($AE227,Deductibles!$B$67:$B$69,0)),"?")))</f>
        <v/>
      </c>
      <c r="BR227" s="99" t="str">
        <f>IF($A227="","",IF($AF227="",1,IFERROR(INDEX(Deductibles!$C$73:$C$74,MATCH($AF227,Deductibles!$B$73:$B$74,0)),"?")))</f>
        <v/>
      </c>
      <c r="BS227" s="99" t="str">
        <f>IF($A227="","",IF($AG227="",1,IFERROR(INDEX('Sublimits and Parts'!$C$49:$C$52,MATCH($AG227,'Sublimits and Parts'!$B$49:$B$52,0)),"?")))</f>
        <v/>
      </c>
      <c r="BT227" s="99" t="str">
        <f>IF($A227="","",IF($AH227="",1,IFERROR(INDEX('Sublimits and Parts'!$C$56:$C$60,MATCH($AH227,'Sublimits and Parts'!$B$56:$B$60,0)),"?")))</f>
        <v/>
      </c>
      <c r="BU227" s="99" t="str">
        <f>IF($A227="","",IF($AI227="",1,IFERROR(INDEX('Sublimits and Parts'!$C$64:$C$67,MATCH($AI227,'Sublimits and Parts'!$B$64:$B$67,0)),"?")))</f>
        <v/>
      </c>
      <c r="BV227" s="99" t="str">
        <f>IF($A227="","",IF($AJ227="",1,IFERROR(INDEX('Sublimits and Parts'!$C$71:$C$74,MATCH($AJ227,'Sublimits and Parts'!$B$71:$B$74,0)),"?")))</f>
        <v/>
      </c>
      <c r="BW227" s="99" t="str">
        <f>IF($A227="","",IF($AK227="",1,IFERROR(INDEX('Sublimits and Parts'!$C$78:$C$80,MATCH($AK227,'Sublimits and Parts'!$B$78:$B$80,0)),"?")))</f>
        <v/>
      </c>
      <c r="BX227" s="99" t="str">
        <f>IF($A227="","",IF($AL227="",1,IFERROR(INDEX('Sublimits and Parts'!$C$84:$C$87,MATCH($AL227,'Sublimits and Parts'!$B$84:$B$87,0)),"?")))</f>
        <v/>
      </c>
      <c r="BY227" s="99" t="str">
        <f>IF($A227="","",IF($AM227="",1,IFERROR(INDEX('Sublimits and Parts'!$C$91:$C$94,MATCH($AM227,'Sublimits and Parts'!$B$91:$B$94,0)),"?")))</f>
        <v/>
      </c>
      <c r="BZ227" s="99" t="str">
        <f>IF($A227="","",IF($AN227="",1,IFERROR(INDEX('Sublimits and Parts'!$C$98:$C$101,MATCH($AN227,'Sublimits and Parts'!$B$98:$B$101,0)),"?")))</f>
        <v/>
      </c>
      <c r="CA227" s="99" t="str">
        <f>IF($A227="","",IF($AO227="",1,IFERROR(INDEX('Sublimits and Parts'!$C$105:$C$109,MATCH($AO227,'Sublimits and Parts'!$B$105:$B$109,0)),"?")))</f>
        <v/>
      </c>
      <c r="CB227" s="100" t="str">
        <f t="shared" si="41"/>
        <v/>
      </c>
      <c r="CC227" s="100" t="str">
        <f t="shared" si="42"/>
        <v/>
      </c>
      <c r="CD227" s="103" t="str">
        <f>IF($A227="","",IF(OR($CB227="?",$CC227="?"),"?",MIN($CB227*$CC227,'Technical Premium'!$C$17)))</f>
        <v/>
      </c>
      <c r="CE227" s="102" t="str">
        <f t="shared" si="43"/>
        <v/>
      </c>
      <c r="CF227" s="102" t="str">
        <f>IF($A227="","",IFERROR(INDEX('Territory Factors'!$F$6:$F$56,MATCH($K227,'Territory Factors'!$B$6:$B$56,0)),"?"))</f>
        <v/>
      </c>
      <c r="CG227" s="100" t="str">
        <f>IF($A227="","",IFERROR(INDEX('Usage and Coverage'!$C$79:$C$84,MATCH($Y227,'Usage and Coverage'!$B$79:$B$84,0)),"?"))</f>
        <v/>
      </c>
      <c r="CH227" s="102" t="str">
        <f>IFERROR(IF(ISNUMBER($CD227),$CF227*$CG227*MIN($BG227*$BA227*$BC227*$BD227*$BH227*$BF227,'Technical Premium'!$C$17),""),"")</f>
        <v/>
      </c>
      <c r="CI227" s="102" t="str">
        <f t="shared" si="44"/>
        <v/>
      </c>
      <c r="CJ227" s="102" t="str">
        <f>IFERROR($CI227*(1+'Technical Premium'!$C$5)*(1+'Technical Premium'!$C$6),"")</f>
        <v/>
      </c>
      <c r="CK227" s="102" t="str">
        <f>IFERROR($CE227*INDEX('Territory Factors'!$G$6:$G$56,MATCH($K227,'Territory Factors'!$B$6:$B$56,0))*$AU227*$AV227,"")</f>
        <v/>
      </c>
      <c r="CL227" s="102" t="str">
        <f>IFERROR(($CJ227+$CK227)*(1+'Technical Premium'!$C$7),"")</f>
        <v/>
      </c>
      <c r="CM227" s="104" t="str">
        <f>IFERROR($CL227/'Technical Premium'!$C$13,"")</f>
        <v/>
      </c>
      <c r="CN227" s="105" t="str">
        <f t="shared" si="45"/>
        <v/>
      </c>
      <c r="CO227" s="104" t="str">
        <f t="shared" si="46"/>
        <v/>
      </c>
      <c r="CP227" s="105" t="str">
        <f t="shared" si="47"/>
        <v/>
      </c>
      <c r="CQ227" s="106" t="str">
        <f t="shared" si="48"/>
        <v/>
      </c>
      <c r="CR227" s="102" t="str">
        <f>IF(ISNUMBER($CM227),'Technical Premium'!$C$14+IF($J227&gt;=1000000,'Technical Premium'!$C$15,0),"")</f>
        <v/>
      </c>
      <c r="CS227" s="102" t="str">
        <f>IFERROR(($CO227+$CR227)*(INDEX('Territory Factors'!$K$6:$K$56,MATCH($K227,'Territory Factors'!$B$6:$B$56,0))+'Commission Structure'!$C$21),"")</f>
        <v/>
      </c>
      <c r="CT227" s="104" t="str">
        <f t="shared" si="49"/>
        <v/>
      </c>
      <c r="CU227" s="102" t="str">
        <f>IFERROR($CO227*('Commission Structure'!$C$6+'Commission Structure'!$C$7),"")</f>
        <v/>
      </c>
      <c r="CV227" s="102" t="str">
        <f>IFERROR($CO227*'Commission Structure'!$C$5-$CU227,"")</f>
        <v/>
      </c>
      <c r="CW227" s="102" t="str">
        <f>IFERROR($CO227*(1-'Commission Structure'!$C$5),"")</f>
        <v/>
      </c>
      <c r="CX227" s="107"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8" t="str">
        <f t="shared" si="50"/>
        <v/>
      </c>
      <c r="CZ227" s="99" t="str">
        <f>IF($CY227="","",IF($CY227&lt;'Technical Premium'!$C$19,"BEYOND AUTHORITY",IF($CY227&gt;0.005,"Above technical",IF($CY227&lt;-0.005,"BELOW technical","At technical"))))</f>
        <v/>
      </c>
      <c r="DA227" s="99"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4"/>
      <c r="DC227" s="94"/>
      <c r="DD227" s="95"/>
      <c r="DE227" s="94"/>
      <c r="DF227" s="94"/>
      <c r="DG227" s="99" t="str">
        <f t="shared" si="51"/>
        <v/>
      </c>
      <c r="DH227" s="99" t="str">
        <f>IF($A227="","",IF(OR($CX227="REFER",$CX227="DECLINE"),COUNTIF($CX$5:$CX227,"REFER")+COUNTIF($CX$5:$CX227,"DECLINE"),""))</f>
        <v/>
      </c>
      <c r="DI227" s="94"/>
    </row>
    <row r="228" spans="1:113" x14ac:dyDescent="0.35">
      <c r="A228" s="94"/>
      <c r="B228" s="94"/>
      <c r="C228" s="95"/>
      <c r="D228" s="95"/>
      <c r="E228" s="96"/>
      <c r="F228" s="94"/>
      <c r="G228" s="94"/>
      <c r="H228" s="94"/>
      <c r="I228" s="94"/>
      <c r="J228" s="97"/>
      <c r="K228" s="94"/>
      <c r="L228" s="94"/>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8"/>
      <c r="AR228" s="99" t="str">
        <f t="shared" si="39"/>
        <v/>
      </c>
      <c r="AS228" s="99" t="str">
        <f>IF($A228="","",IF($AP228&lt;&gt;"",$AP228,IFERROR(INDEX('Cat Zone by ZIP'!$D$6:$D$856,MATCH($AR228,'Cat Zone by ZIP'!$B$6:$B$856,0)),IFERROR(INDEX('Cat Zone by ZIP'!$C$860:$C$910,MATCH($K228,'Cat Zone by ZIP'!$B$860:$B$910,0)),"NOT FOUND"))))</f>
        <v/>
      </c>
      <c r="AT228" s="99" t="str">
        <f>IF($A228="","",IF($AP228&lt;&gt;"","Override",IF(ISNUMBER(MATCH($AR228,'Cat Zone by ZIP'!$B$6:$B$856,0)),"ZIP-3","State default")))</f>
        <v/>
      </c>
      <c r="AU228" s="100" t="str">
        <f>IF($A228="","",IFERROR(INDEX('Natural Catastrophe'!$D$6:$D$17,MATCH($AS228,'Natural Catastrophe'!$B$6:$B$17,0)),"?"))</f>
        <v/>
      </c>
      <c r="AV228" s="100" t="str">
        <f>IF($A228="","",IFERROR(INDEX('Natural Catastrophe'!$C$21:$C$26,MATCH($AA228,'Natural Catastrophe'!$B$21:$B$26,0)),"?"))</f>
        <v/>
      </c>
      <c r="AW228" s="99" t="str">
        <f>IF($A228="","",IFERROR(INDEX('Base Rates'!$C$4:$I$4,MATCH(MAX($J228,'Technical Premium'!$C$18),'Base Rates'!$C$3:$I$3,1)),"?"))</f>
        <v/>
      </c>
      <c r="AX228" s="101" t="str">
        <f>IF($A228="","",IFERROR(INDEX('Base Rates'!$C$5:$I$16,MATCH($I228,'Base Rates'!$B$5:$B$16,0),MATCH(MAX($J228,'Technical Premium'!$C$18),'Base Rates'!$C$3:$I$3,1)),"?"))</f>
        <v/>
      </c>
      <c r="AY228" s="102" t="str">
        <f t="shared" si="40"/>
        <v/>
      </c>
      <c r="AZ228" s="99" t="str">
        <f>IF($A228="","",IFERROR(INDEX('Make Factors'!$G$5:$G$69,MATCH($F228,'Make Factors'!$B$5:$B$69,0)),"?"))</f>
        <v/>
      </c>
      <c r="BA228" s="99" t="str">
        <f>IF($A228="","",IFERROR(INDEX('Driver Factors'!$C$6:$C$15,MATCH($R228,'Driver Factors'!$B$6:$B$15,0)),"?"))</f>
        <v/>
      </c>
      <c r="BB228" s="99" t="str">
        <f>IF($A228="","",IFERROR(INDEX('Driver Factors'!$C$19:$C$24,MATCH($S228,'Driver Factors'!$B$19:$B$24,0)),"?"))</f>
        <v/>
      </c>
      <c r="BC228" s="99" t="str">
        <f>IF($A228="","",IFERROR(INDEX('Driver Factors'!$C$28:$C$36,MATCH($T228,'Driver Factors'!$B$28:$B$36,0)),"?"))</f>
        <v/>
      </c>
      <c r="BD228" s="99" t="str">
        <f>IF($A228="","",IFERROR(INDEX('Claims History'!$C$6:$C$15,MATCH($U228,'Claims History'!$B$6:$B$15,0)),"?"))</f>
        <v/>
      </c>
      <c r="BE228" s="99" t="str">
        <f>IF($A228="","",IFERROR(INDEX('Territory Factors'!$E$6:$E$56,MATCH($K228,'Territory Factors'!$B$6:$B$56,0)),"?"))</f>
        <v/>
      </c>
      <c r="BF228" s="99" t="str">
        <f>IF($A228="","",IFERROR(INDEX('City Accident Ratings'!$G$6:$G$54,MATCH($Z228,'City Accident Ratings'!$B$6:$B$54,0)),"?"))</f>
        <v/>
      </c>
      <c r="BG228" s="99" t="str">
        <f>IF($A228="","",IFERROR(INDEX('Usage and Coverage'!$D$6:$D$20,MATCH($N228,'Usage and Coverage'!$C$6:$C$20,0)),"?"))</f>
        <v/>
      </c>
      <c r="BH228" s="99" t="str">
        <f>IF($A228="","",IFERROR(INDEX('Usage and Coverage'!$C$24:$C$30,MATCH($O228,'Usage and Coverage'!$B$24:$B$30,0)),"?"))</f>
        <v/>
      </c>
      <c r="BI228" s="99" t="str">
        <f>IF($A228="","",IFERROR(INDEX('Usage and Coverage'!$C$34:$C$40,MATCH($P228,'Usage and Coverage'!$B$34:$B$40,0)),"?"))</f>
        <v/>
      </c>
      <c r="BJ228" s="99" t="str">
        <f>IF($A228="","",IFERROR(INDEX('Usage and Coverage'!$C$44:$C$49,MATCH($Q228,'Usage and Coverage'!$B$44:$B$49,0)),"?"))</f>
        <v/>
      </c>
      <c r="BK228" s="99" t="str">
        <f>IF($A228="","",IFERROR(INDEX(Deductibles!$C$6:$I$15,MATCH($W228,Deductibles!$B$6:$B$15,0),MATCH(MAX($J228,'Technical Premium'!$C$18),'Base Rates'!$C$3:$I$3,1)),"?"))</f>
        <v/>
      </c>
      <c r="BL228" s="99" t="str">
        <f>IF($A228="","",IFERROR(INDEX('Usage and Coverage'!$C$63:$C$66,MATCH($X228,'Usage and Coverage'!$B$63:$B$66,0)),"?"))</f>
        <v/>
      </c>
      <c r="BM228" s="99" t="str">
        <f>IF($A228="","",IFERROR(INDEX('Usage and Coverage'!$C$70:$C$75,MATCH($V228,'Usage and Coverage'!$B$70:$B$75,0)),"?"))</f>
        <v/>
      </c>
      <c r="BN228" s="99" t="str">
        <f>IF($A228="","",IF($AB228="",1,IFERROR(INDEX(Deductibles!$C$48:$C$51,MATCH($AB228,Deductibles!$B$48:$B$51,0)),"?")))</f>
        <v/>
      </c>
      <c r="BO228" s="99" t="str">
        <f>IF($A228="","",IF($AC228="",1,IFERROR(INDEX(Deductibles!$C$55:$C$57,MATCH($AC228,Deductibles!$B$55:$B$57,0)),"?")))</f>
        <v/>
      </c>
      <c r="BP228" s="99" t="str">
        <f>IF($A228="","",IF($AD228="",1,IFERROR(INDEX(Deductibles!$C$61:$C$63,MATCH($AD228,Deductibles!$B$61:$B$63,0)),"?")))</f>
        <v/>
      </c>
      <c r="BQ228" s="99" t="str">
        <f>IF($A228="","",IF($AE228="",1,IFERROR(INDEX(Deductibles!$C$67:$C$69,MATCH($AE228,Deductibles!$B$67:$B$69,0)),"?")))</f>
        <v/>
      </c>
      <c r="BR228" s="99" t="str">
        <f>IF($A228="","",IF($AF228="",1,IFERROR(INDEX(Deductibles!$C$73:$C$74,MATCH($AF228,Deductibles!$B$73:$B$74,0)),"?")))</f>
        <v/>
      </c>
      <c r="BS228" s="99" t="str">
        <f>IF($A228="","",IF($AG228="",1,IFERROR(INDEX('Sublimits and Parts'!$C$49:$C$52,MATCH($AG228,'Sublimits and Parts'!$B$49:$B$52,0)),"?")))</f>
        <v/>
      </c>
      <c r="BT228" s="99" t="str">
        <f>IF($A228="","",IF($AH228="",1,IFERROR(INDEX('Sublimits and Parts'!$C$56:$C$60,MATCH($AH228,'Sublimits and Parts'!$B$56:$B$60,0)),"?")))</f>
        <v/>
      </c>
      <c r="BU228" s="99" t="str">
        <f>IF($A228="","",IF($AI228="",1,IFERROR(INDEX('Sublimits and Parts'!$C$64:$C$67,MATCH($AI228,'Sublimits and Parts'!$B$64:$B$67,0)),"?")))</f>
        <v/>
      </c>
      <c r="BV228" s="99" t="str">
        <f>IF($A228="","",IF($AJ228="",1,IFERROR(INDEX('Sublimits and Parts'!$C$71:$C$74,MATCH($AJ228,'Sublimits and Parts'!$B$71:$B$74,0)),"?")))</f>
        <v/>
      </c>
      <c r="BW228" s="99" t="str">
        <f>IF($A228="","",IF($AK228="",1,IFERROR(INDEX('Sublimits and Parts'!$C$78:$C$80,MATCH($AK228,'Sublimits and Parts'!$B$78:$B$80,0)),"?")))</f>
        <v/>
      </c>
      <c r="BX228" s="99" t="str">
        <f>IF($A228="","",IF($AL228="",1,IFERROR(INDEX('Sublimits and Parts'!$C$84:$C$87,MATCH($AL228,'Sublimits and Parts'!$B$84:$B$87,0)),"?")))</f>
        <v/>
      </c>
      <c r="BY228" s="99" t="str">
        <f>IF($A228="","",IF($AM228="",1,IFERROR(INDEX('Sublimits and Parts'!$C$91:$C$94,MATCH($AM228,'Sublimits and Parts'!$B$91:$B$94,0)),"?")))</f>
        <v/>
      </c>
      <c r="BZ228" s="99" t="str">
        <f>IF($A228="","",IF($AN228="",1,IFERROR(INDEX('Sublimits and Parts'!$C$98:$C$101,MATCH($AN228,'Sublimits and Parts'!$B$98:$B$101,0)),"?")))</f>
        <v/>
      </c>
      <c r="CA228" s="99" t="str">
        <f>IF($A228="","",IF($AO228="",1,IFERROR(INDEX('Sublimits and Parts'!$C$105:$C$109,MATCH($AO228,'Sublimits and Parts'!$B$105:$B$109,0)),"?")))</f>
        <v/>
      </c>
      <c r="CB228" s="100" t="str">
        <f t="shared" si="41"/>
        <v/>
      </c>
      <c r="CC228" s="100" t="str">
        <f t="shared" si="42"/>
        <v/>
      </c>
      <c r="CD228" s="103" t="str">
        <f>IF($A228="","",IF(OR($CB228="?",$CC228="?"),"?",MIN($CB228*$CC228,'Technical Premium'!$C$17)))</f>
        <v/>
      </c>
      <c r="CE228" s="102" t="str">
        <f t="shared" si="43"/>
        <v/>
      </c>
      <c r="CF228" s="102" t="str">
        <f>IF($A228="","",IFERROR(INDEX('Territory Factors'!$F$6:$F$56,MATCH($K228,'Territory Factors'!$B$6:$B$56,0)),"?"))</f>
        <v/>
      </c>
      <c r="CG228" s="100" t="str">
        <f>IF($A228="","",IFERROR(INDEX('Usage and Coverage'!$C$79:$C$84,MATCH($Y228,'Usage and Coverage'!$B$79:$B$84,0)),"?"))</f>
        <v/>
      </c>
      <c r="CH228" s="102" t="str">
        <f>IFERROR(IF(ISNUMBER($CD228),$CF228*$CG228*MIN($BG228*$BA228*$BC228*$BD228*$BH228*$BF228,'Technical Premium'!$C$17),""),"")</f>
        <v/>
      </c>
      <c r="CI228" s="102" t="str">
        <f t="shared" si="44"/>
        <v/>
      </c>
      <c r="CJ228" s="102" t="str">
        <f>IFERROR($CI228*(1+'Technical Premium'!$C$5)*(1+'Technical Premium'!$C$6),"")</f>
        <v/>
      </c>
      <c r="CK228" s="102" t="str">
        <f>IFERROR($CE228*INDEX('Territory Factors'!$G$6:$G$56,MATCH($K228,'Territory Factors'!$B$6:$B$56,0))*$AU228*$AV228,"")</f>
        <v/>
      </c>
      <c r="CL228" s="102" t="str">
        <f>IFERROR(($CJ228+$CK228)*(1+'Technical Premium'!$C$7),"")</f>
        <v/>
      </c>
      <c r="CM228" s="104" t="str">
        <f>IFERROR($CL228/'Technical Premium'!$C$13,"")</f>
        <v/>
      </c>
      <c r="CN228" s="105" t="str">
        <f t="shared" si="45"/>
        <v/>
      </c>
      <c r="CO228" s="104" t="str">
        <f t="shared" si="46"/>
        <v/>
      </c>
      <c r="CP228" s="105" t="str">
        <f t="shared" si="47"/>
        <v/>
      </c>
      <c r="CQ228" s="106" t="str">
        <f t="shared" si="48"/>
        <v/>
      </c>
      <c r="CR228" s="102" t="str">
        <f>IF(ISNUMBER($CM228),'Technical Premium'!$C$14+IF($J228&gt;=1000000,'Technical Premium'!$C$15,0),"")</f>
        <v/>
      </c>
      <c r="CS228" s="102" t="str">
        <f>IFERROR(($CO228+$CR228)*(INDEX('Territory Factors'!$K$6:$K$56,MATCH($K228,'Territory Factors'!$B$6:$B$56,0))+'Commission Structure'!$C$21),"")</f>
        <v/>
      </c>
      <c r="CT228" s="104" t="str">
        <f t="shared" si="49"/>
        <v/>
      </c>
      <c r="CU228" s="102" t="str">
        <f>IFERROR($CO228*('Commission Structure'!$C$6+'Commission Structure'!$C$7),"")</f>
        <v/>
      </c>
      <c r="CV228" s="102" t="str">
        <f>IFERROR($CO228*'Commission Structure'!$C$5-$CU228,"")</f>
        <v/>
      </c>
      <c r="CW228" s="102" t="str">
        <f>IFERROR($CO228*(1-'Commission Structure'!$C$5),"")</f>
        <v/>
      </c>
      <c r="CX228" s="107"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8" t="str">
        <f t="shared" si="50"/>
        <v/>
      </c>
      <c r="CZ228" s="99" t="str">
        <f>IF($CY228="","",IF($CY228&lt;'Technical Premium'!$C$19,"BEYOND AUTHORITY",IF($CY228&gt;0.005,"Above technical",IF($CY228&lt;-0.005,"BELOW technical","At technical"))))</f>
        <v/>
      </c>
      <c r="DA228" s="99"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4"/>
      <c r="DC228" s="94"/>
      <c r="DD228" s="95"/>
      <c r="DE228" s="94"/>
      <c r="DF228" s="94"/>
      <c r="DG228" s="99" t="str">
        <f t="shared" si="51"/>
        <v/>
      </c>
      <c r="DH228" s="99" t="str">
        <f>IF($A228="","",IF(OR($CX228="REFER",$CX228="DECLINE"),COUNTIF($CX$5:$CX228,"REFER")+COUNTIF($CX$5:$CX228,"DECLINE"),""))</f>
        <v/>
      </c>
      <c r="DI228" s="94"/>
    </row>
    <row r="229" spans="1:113" x14ac:dyDescent="0.35">
      <c r="A229" s="94"/>
      <c r="B229" s="94"/>
      <c r="C229" s="95"/>
      <c r="D229" s="95"/>
      <c r="E229" s="96"/>
      <c r="F229" s="94"/>
      <c r="G229" s="94"/>
      <c r="H229" s="94"/>
      <c r="I229" s="94"/>
      <c r="J229" s="97"/>
      <c r="K229" s="94"/>
      <c r="L229" s="94"/>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8"/>
      <c r="AR229" s="99" t="str">
        <f t="shared" si="39"/>
        <v/>
      </c>
      <c r="AS229" s="99" t="str">
        <f>IF($A229="","",IF($AP229&lt;&gt;"",$AP229,IFERROR(INDEX('Cat Zone by ZIP'!$D$6:$D$856,MATCH($AR229,'Cat Zone by ZIP'!$B$6:$B$856,0)),IFERROR(INDEX('Cat Zone by ZIP'!$C$860:$C$910,MATCH($K229,'Cat Zone by ZIP'!$B$860:$B$910,0)),"NOT FOUND"))))</f>
        <v/>
      </c>
      <c r="AT229" s="99" t="str">
        <f>IF($A229="","",IF($AP229&lt;&gt;"","Override",IF(ISNUMBER(MATCH($AR229,'Cat Zone by ZIP'!$B$6:$B$856,0)),"ZIP-3","State default")))</f>
        <v/>
      </c>
      <c r="AU229" s="100" t="str">
        <f>IF($A229="","",IFERROR(INDEX('Natural Catastrophe'!$D$6:$D$17,MATCH($AS229,'Natural Catastrophe'!$B$6:$B$17,0)),"?"))</f>
        <v/>
      </c>
      <c r="AV229" s="100" t="str">
        <f>IF($A229="","",IFERROR(INDEX('Natural Catastrophe'!$C$21:$C$26,MATCH($AA229,'Natural Catastrophe'!$B$21:$B$26,0)),"?"))</f>
        <v/>
      </c>
      <c r="AW229" s="99" t="str">
        <f>IF($A229="","",IFERROR(INDEX('Base Rates'!$C$4:$I$4,MATCH(MAX($J229,'Technical Premium'!$C$18),'Base Rates'!$C$3:$I$3,1)),"?"))</f>
        <v/>
      </c>
      <c r="AX229" s="101" t="str">
        <f>IF($A229="","",IFERROR(INDEX('Base Rates'!$C$5:$I$16,MATCH($I229,'Base Rates'!$B$5:$B$16,0),MATCH(MAX($J229,'Technical Premium'!$C$18),'Base Rates'!$C$3:$I$3,1)),"?"))</f>
        <v/>
      </c>
      <c r="AY229" s="102" t="str">
        <f t="shared" si="40"/>
        <v/>
      </c>
      <c r="AZ229" s="99" t="str">
        <f>IF($A229="","",IFERROR(INDEX('Make Factors'!$G$5:$G$69,MATCH($F229,'Make Factors'!$B$5:$B$69,0)),"?"))</f>
        <v/>
      </c>
      <c r="BA229" s="99" t="str">
        <f>IF($A229="","",IFERROR(INDEX('Driver Factors'!$C$6:$C$15,MATCH($R229,'Driver Factors'!$B$6:$B$15,0)),"?"))</f>
        <v/>
      </c>
      <c r="BB229" s="99" t="str">
        <f>IF($A229="","",IFERROR(INDEX('Driver Factors'!$C$19:$C$24,MATCH($S229,'Driver Factors'!$B$19:$B$24,0)),"?"))</f>
        <v/>
      </c>
      <c r="BC229" s="99" t="str">
        <f>IF($A229="","",IFERROR(INDEX('Driver Factors'!$C$28:$C$36,MATCH($T229,'Driver Factors'!$B$28:$B$36,0)),"?"))</f>
        <v/>
      </c>
      <c r="BD229" s="99" t="str">
        <f>IF($A229="","",IFERROR(INDEX('Claims History'!$C$6:$C$15,MATCH($U229,'Claims History'!$B$6:$B$15,0)),"?"))</f>
        <v/>
      </c>
      <c r="BE229" s="99" t="str">
        <f>IF($A229="","",IFERROR(INDEX('Territory Factors'!$E$6:$E$56,MATCH($K229,'Territory Factors'!$B$6:$B$56,0)),"?"))</f>
        <v/>
      </c>
      <c r="BF229" s="99" t="str">
        <f>IF($A229="","",IFERROR(INDEX('City Accident Ratings'!$G$6:$G$54,MATCH($Z229,'City Accident Ratings'!$B$6:$B$54,0)),"?"))</f>
        <v/>
      </c>
      <c r="BG229" s="99" t="str">
        <f>IF($A229="","",IFERROR(INDEX('Usage and Coverage'!$D$6:$D$20,MATCH($N229,'Usage and Coverage'!$C$6:$C$20,0)),"?"))</f>
        <v/>
      </c>
      <c r="BH229" s="99" t="str">
        <f>IF($A229="","",IFERROR(INDEX('Usage and Coverage'!$C$24:$C$30,MATCH($O229,'Usage and Coverage'!$B$24:$B$30,0)),"?"))</f>
        <v/>
      </c>
      <c r="BI229" s="99" t="str">
        <f>IF($A229="","",IFERROR(INDEX('Usage and Coverage'!$C$34:$C$40,MATCH($P229,'Usage and Coverage'!$B$34:$B$40,0)),"?"))</f>
        <v/>
      </c>
      <c r="BJ229" s="99" t="str">
        <f>IF($A229="","",IFERROR(INDEX('Usage and Coverage'!$C$44:$C$49,MATCH($Q229,'Usage and Coverage'!$B$44:$B$49,0)),"?"))</f>
        <v/>
      </c>
      <c r="BK229" s="99" t="str">
        <f>IF($A229="","",IFERROR(INDEX(Deductibles!$C$6:$I$15,MATCH($W229,Deductibles!$B$6:$B$15,0),MATCH(MAX($J229,'Technical Premium'!$C$18),'Base Rates'!$C$3:$I$3,1)),"?"))</f>
        <v/>
      </c>
      <c r="BL229" s="99" t="str">
        <f>IF($A229="","",IFERROR(INDEX('Usage and Coverage'!$C$63:$C$66,MATCH($X229,'Usage and Coverage'!$B$63:$B$66,0)),"?"))</f>
        <v/>
      </c>
      <c r="BM229" s="99" t="str">
        <f>IF($A229="","",IFERROR(INDEX('Usage and Coverage'!$C$70:$C$75,MATCH($V229,'Usage and Coverage'!$B$70:$B$75,0)),"?"))</f>
        <v/>
      </c>
      <c r="BN229" s="99" t="str">
        <f>IF($A229="","",IF($AB229="",1,IFERROR(INDEX(Deductibles!$C$48:$C$51,MATCH($AB229,Deductibles!$B$48:$B$51,0)),"?")))</f>
        <v/>
      </c>
      <c r="BO229" s="99" t="str">
        <f>IF($A229="","",IF($AC229="",1,IFERROR(INDEX(Deductibles!$C$55:$C$57,MATCH($AC229,Deductibles!$B$55:$B$57,0)),"?")))</f>
        <v/>
      </c>
      <c r="BP229" s="99" t="str">
        <f>IF($A229="","",IF($AD229="",1,IFERROR(INDEX(Deductibles!$C$61:$C$63,MATCH($AD229,Deductibles!$B$61:$B$63,0)),"?")))</f>
        <v/>
      </c>
      <c r="BQ229" s="99" t="str">
        <f>IF($A229="","",IF($AE229="",1,IFERROR(INDEX(Deductibles!$C$67:$C$69,MATCH($AE229,Deductibles!$B$67:$B$69,0)),"?")))</f>
        <v/>
      </c>
      <c r="BR229" s="99" t="str">
        <f>IF($A229="","",IF($AF229="",1,IFERROR(INDEX(Deductibles!$C$73:$C$74,MATCH($AF229,Deductibles!$B$73:$B$74,0)),"?")))</f>
        <v/>
      </c>
      <c r="BS229" s="99" t="str">
        <f>IF($A229="","",IF($AG229="",1,IFERROR(INDEX('Sublimits and Parts'!$C$49:$C$52,MATCH($AG229,'Sublimits and Parts'!$B$49:$B$52,0)),"?")))</f>
        <v/>
      </c>
      <c r="BT229" s="99" t="str">
        <f>IF($A229="","",IF($AH229="",1,IFERROR(INDEX('Sublimits and Parts'!$C$56:$C$60,MATCH($AH229,'Sublimits and Parts'!$B$56:$B$60,0)),"?")))</f>
        <v/>
      </c>
      <c r="BU229" s="99" t="str">
        <f>IF($A229="","",IF($AI229="",1,IFERROR(INDEX('Sublimits and Parts'!$C$64:$C$67,MATCH($AI229,'Sublimits and Parts'!$B$64:$B$67,0)),"?")))</f>
        <v/>
      </c>
      <c r="BV229" s="99" t="str">
        <f>IF($A229="","",IF($AJ229="",1,IFERROR(INDEX('Sublimits and Parts'!$C$71:$C$74,MATCH($AJ229,'Sublimits and Parts'!$B$71:$B$74,0)),"?")))</f>
        <v/>
      </c>
      <c r="BW229" s="99" t="str">
        <f>IF($A229="","",IF($AK229="",1,IFERROR(INDEX('Sublimits and Parts'!$C$78:$C$80,MATCH($AK229,'Sublimits and Parts'!$B$78:$B$80,0)),"?")))</f>
        <v/>
      </c>
      <c r="BX229" s="99" t="str">
        <f>IF($A229="","",IF($AL229="",1,IFERROR(INDEX('Sublimits and Parts'!$C$84:$C$87,MATCH($AL229,'Sublimits and Parts'!$B$84:$B$87,0)),"?")))</f>
        <v/>
      </c>
      <c r="BY229" s="99" t="str">
        <f>IF($A229="","",IF($AM229="",1,IFERROR(INDEX('Sublimits and Parts'!$C$91:$C$94,MATCH($AM229,'Sublimits and Parts'!$B$91:$B$94,0)),"?")))</f>
        <v/>
      </c>
      <c r="BZ229" s="99" t="str">
        <f>IF($A229="","",IF($AN229="",1,IFERROR(INDEX('Sublimits and Parts'!$C$98:$C$101,MATCH($AN229,'Sublimits and Parts'!$B$98:$B$101,0)),"?")))</f>
        <v/>
      </c>
      <c r="CA229" s="99" t="str">
        <f>IF($A229="","",IF($AO229="",1,IFERROR(INDEX('Sublimits and Parts'!$C$105:$C$109,MATCH($AO229,'Sublimits and Parts'!$B$105:$B$109,0)),"?")))</f>
        <v/>
      </c>
      <c r="CB229" s="100" t="str">
        <f t="shared" si="41"/>
        <v/>
      </c>
      <c r="CC229" s="100" t="str">
        <f t="shared" si="42"/>
        <v/>
      </c>
      <c r="CD229" s="103" t="str">
        <f>IF($A229="","",IF(OR($CB229="?",$CC229="?"),"?",MIN($CB229*$CC229,'Technical Premium'!$C$17)))</f>
        <v/>
      </c>
      <c r="CE229" s="102" t="str">
        <f t="shared" si="43"/>
        <v/>
      </c>
      <c r="CF229" s="102" t="str">
        <f>IF($A229="","",IFERROR(INDEX('Territory Factors'!$F$6:$F$56,MATCH($K229,'Territory Factors'!$B$6:$B$56,0)),"?"))</f>
        <v/>
      </c>
      <c r="CG229" s="100" t="str">
        <f>IF($A229="","",IFERROR(INDEX('Usage and Coverage'!$C$79:$C$84,MATCH($Y229,'Usage and Coverage'!$B$79:$B$84,0)),"?"))</f>
        <v/>
      </c>
      <c r="CH229" s="102" t="str">
        <f>IFERROR(IF(ISNUMBER($CD229),$CF229*$CG229*MIN($BG229*$BA229*$BC229*$BD229*$BH229*$BF229,'Technical Premium'!$C$17),""),"")</f>
        <v/>
      </c>
      <c r="CI229" s="102" t="str">
        <f t="shared" si="44"/>
        <v/>
      </c>
      <c r="CJ229" s="102" t="str">
        <f>IFERROR($CI229*(1+'Technical Premium'!$C$5)*(1+'Technical Premium'!$C$6),"")</f>
        <v/>
      </c>
      <c r="CK229" s="102" t="str">
        <f>IFERROR($CE229*INDEX('Territory Factors'!$G$6:$G$56,MATCH($K229,'Territory Factors'!$B$6:$B$56,0))*$AU229*$AV229,"")</f>
        <v/>
      </c>
      <c r="CL229" s="102" t="str">
        <f>IFERROR(($CJ229+$CK229)*(1+'Technical Premium'!$C$7),"")</f>
        <v/>
      </c>
      <c r="CM229" s="104" t="str">
        <f>IFERROR($CL229/'Technical Premium'!$C$13,"")</f>
        <v/>
      </c>
      <c r="CN229" s="105" t="str">
        <f t="shared" si="45"/>
        <v/>
      </c>
      <c r="CO229" s="104" t="str">
        <f t="shared" si="46"/>
        <v/>
      </c>
      <c r="CP229" s="105" t="str">
        <f t="shared" si="47"/>
        <v/>
      </c>
      <c r="CQ229" s="106" t="str">
        <f t="shared" si="48"/>
        <v/>
      </c>
      <c r="CR229" s="102" t="str">
        <f>IF(ISNUMBER($CM229),'Technical Premium'!$C$14+IF($J229&gt;=1000000,'Technical Premium'!$C$15,0),"")</f>
        <v/>
      </c>
      <c r="CS229" s="102" t="str">
        <f>IFERROR(($CO229+$CR229)*(INDEX('Territory Factors'!$K$6:$K$56,MATCH($K229,'Territory Factors'!$B$6:$B$56,0))+'Commission Structure'!$C$21),"")</f>
        <v/>
      </c>
      <c r="CT229" s="104" t="str">
        <f t="shared" si="49"/>
        <v/>
      </c>
      <c r="CU229" s="102" t="str">
        <f>IFERROR($CO229*('Commission Structure'!$C$6+'Commission Structure'!$C$7),"")</f>
        <v/>
      </c>
      <c r="CV229" s="102" t="str">
        <f>IFERROR($CO229*'Commission Structure'!$C$5-$CU229,"")</f>
        <v/>
      </c>
      <c r="CW229" s="102" t="str">
        <f>IFERROR($CO229*(1-'Commission Structure'!$C$5),"")</f>
        <v/>
      </c>
      <c r="CX229" s="107"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8" t="str">
        <f t="shared" si="50"/>
        <v/>
      </c>
      <c r="CZ229" s="99" t="str">
        <f>IF($CY229="","",IF($CY229&lt;'Technical Premium'!$C$19,"BEYOND AUTHORITY",IF($CY229&gt;0.005,"Above technical",IF($CY229&lt;-0.005,"BELOW technical","At technical"))))</f>
        <v/>
      </c>
      <c r="DA229" s="99"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4"/>
      <c r="DC229" s="94"/>
      <c r="DD229" s="95"/>
      <c r="DE229" s="94"/>
      <c r="DF229" s="94"/>
      <c r="DG229" s="99" t="str">
        <f t="shared" si="51"/>
        <v/>
      </c>
      <c r="DH229" s="99" t="str">
        <f>IF($A229="","",IF(OR($CX229="REFER",$CX229="DECLINE"),COUNTIF($CX$5:$CX229,"REFER")+COUNTIF($CX$5:$CX229,"DECLINE"),""))</f>
        <v/>
      </c>
      <c r="DI229" s="94"/>
    </row>
    <row r="230" spans="1:113" x14ac:dyDescent="0.35">
      <c r="A230" s="94"/>
      <c r="B230" s="94"/>
      <c r="C230" s="95"/>
      <c r="D230" s="95"/>
      <c r="E230" s="96"/>
      <c r="F230" s="94"/>
      <c r="G230" s="94"/>
      <c r="H230" s="94"/>
      <c r="I230" s="94"/>
      <c r="J230" s="97"/>
      <c r="K230" s="94"/>
      <c r="L230" s="94"/>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8"/>
      <c r="AR230" s="99" t="str">
        <f t="shared" si="39"/>
        <v/>
      </c>
      <c r="AS230" s="99" t="str">
        <f>IF($A230="","",IF($AP230&lt;&gt;"",$AP230,IFERROR(INDEX('Cat Zone by ZIP'!$D$6:$D$856,MATCH($AR230,'Cat Zone by ZIP'!$B$6:$B$856,0)),IFERROR(INDEX('Cat Zone by ZIP'!$C$860:$C$910,MATCH($K230,'Cat Zone by ZIP'!$B$860:$B$910,0)),"NOT FOUND"))))</f>
        <v/>
      </c>
      <c r="AT230" s="99" t="str">
        <f>IF($A230="","",IF($AP230&lt;&gt;"","Override",IF(ISNUMBER(MATCH($AR230,'Cat Zone by ZIP'!$B$6:$B$856,0)),"ZIP-3","State default")))</f>
        <v/>
      </c>
      <c r="AU230" s="100" t="str">
        <f>IF($A230="","",IFERROR(INDEX('Natural Catastrophe'!$D$6:$D$17,MATCH($AS230,'Natural Catastrophe'!$B$6:$B$17,0)),"?"))</f>
        <v/>
      </c>
      <c r="AV230" s="100" t="str">
        <f>IF($A230="","",IFERROR(INDEX('Natural Catastrophe'!$C$21:$C$26,MATCH($AA230,'Natural Catastrophe'!$B$21:$B$26,0)),"?"))</f>
        <v/>
      </c>
      <c r="AW230" s="99" t="str">
        <f>IF($A230="","",IFERROR(INDEX('Base Rates'!$C$4:$I$4,MATCH(MAX($J230,'Technical Premium'!$C$18),'Base Rates'!$C$3:$I$3,1)),"?"))</f>
        <v/>
      </c>
      <c r="AX230" s="101" t="str">
        <f>IF($A230="","",IFERROR(INDEX('Base Rates'!$C$5:$I$16,MATCH($I230,'Base Rates'!$B$5:$B$16,0),MATCH(MAX($J230,'Technical Premium'!$C$18),'Base Rates'!$C$3:$I$3,1)),"?"))</f>
        <v/>
      </c>
      <c r="AY230" s="102" t="str">
        <f t="shared" si="40"/>
        <v/>
      </c>
      <c r="AZ230" s="99" t="str">
        <f>IF($A230="","",IFERROR(INDEX('Make Factors'!$G$5:$G$69,MATCH($F230,'Make Factors'!$B$5:$B$69,0)),"?"))</f>
        <v/>
      </c>
      <c r="BA230" s="99" t="str">
        <f>IF($A230="","",IFERROR(INDEX('Driver Factors'!$C$6:$C$15,MATCH($R230,'Driver Factors'!$B$6:$B$15,0)),"?"))</f>
        <v/>
      </c>
      <c r="BB230" s="99" t="str">
        <f>IF($A230="","",IFERROR(INDEX('Driver Factors'!$C$19:$C$24,MATCH($S230,'Driver Factors'!$B$19:$B$24,0)),"?"))</f>
        <v/>
      </c>
      <c r="BC230" s="99" t="str">
        <f>IF($A230="","",IFERROR(INDEX('Driver Factors'!$C$28:$C$36,MATCH($T230,'Driver Factors'!$B$28:$B$36,0)),"?"))</f>
        <v/>
      </c>
      <c r="BD230" s="99" t="str">
        <f>IF($A230="","",IFERROR(INDEX('Claims History'!$C$6:$C$15,MATCH($U230,'Claims History'!$B$6:$B$15,0)),"?"))</f>
        <v/>
      </c>
      <c r="BE230" s="99" t="str">
        <f>IF($A230="","",IFERROR(INDEX('Territory Factors'!$E$6:$E$56,MATCH($K230,'Territory Factors'!$B$6:$B$56,0)),"?"))</f>
        <v/>
      </c>
      <c r="BF230" s="99" t="str">
        <f>IF($A230="","",IFERROR(INDEX('City Accident Ratings'!$G$6:$G$54,MATCH($Z230,'City Accident Ratings'!$B$6:$B$54,0)),"?"))</f>
        <v/>
      </c>
      <c r="BG230" s="99" t="str">
        <f>IF($A230="","",IFERROR(INDEX('Usage and Coverage'!$D$6:$D$20,MATCH($N230,'Usage and Coverage'!$C$6:$C$20,0)),"?"))</f>
        <v/>
      </c>
      <c r="BH230" s="99" t="str">
        <f>IF($A230="","",IFERROR(INDEX('Usage and Coverage'!$C$24:$C$30,MATCH($O230,'Usage and Coverage'!$B$24:$B$30,0)),"?"))</f>
        <v/>
      </c>
      <c r="BI230" s="99" t="str">
        <f>IF($A230="","",IFERROR(INDEX('Usage and Coverage'!$C$34:$C$40,MATCH($P230,'Usage and Coverage'!$B$34:$B$40,0)),"?"))</f>
        <v/>
      </c>
      <c r="BJ230" s="99" t="str">
        <f>IF($A230="","",IFERROR(INDEX('Usage and Coverage'!$C$44:$C$49,MATCH($Q230,'Usage and Coverage'!$B$44:$B$49,0)),"?"))</f>
        <v/>
      </c>
      <c r="BK230" s="99" t="str">
        <f>IF($A230="","",IFERROR(INDEX(Deductibles!$C$6:$I$15,MATCH($W230,Deductibles!$B$6:$B$15,0),MATCH(MAX($J230,'Technical Premium'!$C$18),'Base Rates'!$C$3:$I$3,1)),"?"))</f>
        <v/>
      </c>
      <c r="BL230" s="99" t="str">
        <f>IF($A230="","",IFERROR(INDEX('Usage and Coverage'!$C$63:$C$66,MATCH($X230,'Usage and Coverage'!$B$63:$B$66,0)),"?"))</f>
        <v/>
      </c>
      <c r="BM230" s="99" t="str">
        <f>IF($A230="","",IFERROR(INDEX('Usage and Coverage'!$C$70:$C$75,MATCH($V230,'Usage and Coverage'!$B$70:$B$75,0)),"?"))</f>
        <v/>
      </c>
      <c r="BN230" s="99" t="str">
        <f>IF($A230="","",IF($AB230="",1,IFERROR(INDEX(Deductibles!$C$48:$C$51,MATCH($AB230,Deductibles!$B$48:$B$51,0)),"?")))</f>
        <v/>
      </c>
      <c r="BO230" s="99" t="str">
        <f>IF($A230="","",IF($AC230="",1,IFERROR(INDEX(Deductibles!$C$55:$C$57,MATCH($AC230,Deductibles!$B$55:$B$57,0)),"?")))</f>
        <v/>
      </c>
      <c r="BP230" s="99" t="str">
        <f>IF($A230="","",IF($AD230="",1,IFERROR(INDEX(Deductibles!$C$61:$C$63,MATCH($AD230,Deductibles!$B$61:$B$63,0)),"?")))</f>
        <v/>
      </c>
      <c r="BQ230" s="99" t="str">
        <f>IF($A230="","",IF($AE230="",1,IFERROR(INDEX(Deductibles!$C$67:$C$69,MATCH($AE230,Deductibles!$B$67:$B$69,0)),"?")))</f>
        <v/>
      </c>
      <c r="BR230" s="99" t="str">
        <f>IF($A230="","",IF($AF230="",1,IFERROR(INDEX(Deductibles!$C$73:$C$74,MATCH($AF230,Deductibles!$B$73:$B$74,0)),"?")))</f>
        <v/>
      </c>
      <c r="BS230" s="99" t="str">
        <f>IF($A230="","",IF($AG230="",1,IFERROR(INDEX('Sublimits and Parts'!$C$49:$C$52,MATCH($AG230,'Sublimits and Parts'!$B$49:$B$52,0)),"?")))</f>
        <v/>
      </c>
      <c r="BT230" s="99" t="str">
        <f>IF($A230="","",IF($AH230="",1,IFERROR(INDEX('Sublimits and Parts'!$C$56:$C$60,MATCH($AH230,'Sublimits and Parts'!$B$56:$B$60,0)),"?")))</f>
        <v/>
      </c>
      <c r="BU230" s="99" t="str">
        <f>IF($A230="","",IF($AI230="",1,IFERROR(INDEX('Sublimits and Parts'!$C$64:$C$67,MATCH($AI230,'Sublimits and Parts'!$B$64:$B$67,0)),"?")))</f>
        <v/>
      </c>
      <c r="BV230" s="99" t="str">
        <f>IF($A230="","",IF($AJ230="",1,IFERROR(INDEX('Sublimits and Parts'!$C$71:$C$74,MATCH($AJ230,'Sublimits and Parts'!$B$71:$B$74,0)),"?")))</f>
        <v/>
      </c>
      <c r="BW230" s="99" t="str">
        <f>IF($A230="","",IF($AK230="",1,IFERROR(INDEX('Sublimits and Parts'!$C$78:$C$80,MATCH($AK230,'Sublimits and Parts'!$B$78:$B$80,0)),"?")))</f>
        <v/>
      </c>
      <c r="BX230" s="99" t="str">
        <f>IF($A230="","",IF($AL230="",1,IFERROR(INDEX('Sublimits and Parts'!$C$84:$C$87,MATCH($AL230,'Sublimits and Parts'!$B$84:$B$87,0)),"?")))</f>
        <v/>
      </c>
      <c r="BY230" s="99" t="str">
        <f>IF($A230="","",IF($AM230="",1,IFERROR(INDEX('Sublimits and Parts'!$C$91:$C$94,MATCH($AM230,'Sublimits and Parts'!$B$91:$B$94,0)),"?")))</f>
        <v/>
      </c>
      <c r="BZ230" s="99" t="str">
        <f>IF($A230="","",IF($AN230="",1,IFERROR(INDEX('Sublimits and Parts'!$C$98:$C$101,MATCH($AN230,'Sublimits and Parts'!$B$98:$B$101,0)),"?")))</f>
        <v/>
      </c>
      <c r="CA230" s="99" t="str">
        <f>IF($A230="","",IF($AO230="",1,IFERROR(INDEX('Sublimits and Parts'!$C$105:$C$109,MATCH($AO230,'Sublimits and Parts'!$B$105:$B$109,0)),"?")))</f>
        <v/>
      </c>
      <c r="CB230" s="100" t="str">
        <f t="shared" si="41"/>
        <v/>
      </c>
      <c r="CC230" s="100" t="str">
        <f t="shared" si="42"/>
        <v/>
      </c>
      <c r="CD230" s="103" t="str">
        <f>IF($A230="","",IF(OR($CB230="?",$CC230="?"),"?",MIN($CB230*$CC230,'Technical Premium'!$C$17)))</f>
        <v/>
      </c>
      <c r="CE230" s="102" t="str">
        <f t="shared" si="43"/>
        <v/>
      </c>
      <c r="CF230" s="102" t="str">
        <f>IF($A230="","",IFERROR(INDEX('Territory Factors'!$F$6:$F$56,MATCH($K230,'Territory Factors'!$B$6:$B$56,0)),"?"))</f>
        <v/>
      </c>
      <c r="CG230" s="100" t="str">
        <f>IF($A230="","",IFERROR(INDEX('Usage and Coverage'!$C$79:$C$84,MATCH($Y230,'Usage and Coverage'!$B$79:$B$84,0)),"?"))</f>
        <v/>
      </c>
      <c r="CH230" s="102" t="str">
        <f>IFERROR(IF(ISNUMBER($CD230),$CF230*$CG230*MIN($BG230*$BA230*$BC230*$BD230*$BH230*$BF230,'Technical Premium'!$C$17),""),"")</f>
        <v/>
      </c>
      <c r="CI230" s="102" t="str">
        <f t="shared" si="44"/>
        <v/>
      </c>
      <c r="CJ230" s="102" t="str">
        <f>IFERROR($CI230*(1+'Technical Premium'!$C$5)*(1+'Technical Premium'!$C$6),"")</f>
        <v/>
      </c>
      <c r="CK230" s="102" t="str">
        <f>IFERROR($CE230*INDEX('Territory Factors'!$G$6:$G$56,MATCH($K230,'Territory Factors'!$B$6:$B$56,0))*$AU230*$AV230,"")</f>
        <v/>
      </c>
      <c r="CL230" s="102" t="str">
        <f>IFERROR(($CJ230+$CK230)*(1+'Technical Premium'!$C$7),"")</f>
        <v/>
      </c>
      <c r="CM230" s="104" t="str">
        <f>IFERROR($CL230/'Technical Premium'!$C$13,"")</f>
        <v/>
      </c>
      <c r="CN230" s="105" t="str">
        <f t="shared" si="45"/>
        <v/>
      </c>
      <c r="CO230" s="104" t="str">
        <f t="shared" si="46"/>
        <v/>
      </c>
      <c r="CP230" s="105" t="str">
        <f t="shared" si="47"/>
        <v/>
      </c>
      <c r="CQ230" s="106" t="str">
        <f t="shared" si="48"/>
        <v/>
      </c>
      <c r="CR230" s="102" t="str">
        <f>IF(ISNUMBER($CM230),'Technical Premium'!$C$14+IF($J230&gt;=1000000,'Technical Premium'!$C$15,0),"")</f>
        <v/>
      </c>
      <c r="CS230" s="102" t="str">
        <f>IFERROR(($CO230+$CR230)*(INDEX('Territory Factors'!$K$6:$K$56,MATCH($K230,'Territory Factors'!$B$6:$B$56,0))+'Commission Structure'!$C$21),"")</f>
        <v/>
      </c>
      <c r="CT230" s="104" t="str">
        <f t="shared" si="49"/>
        <v/>
      </c>
      <c r="CU230" s="102" t="str">
        <f>IFERROR($CO230*('Commission Structure'!$C$6+'Commission Structure'!$C$7),"")</f>
        <v/>
      </c>
      <c r="CV230" s="102" t="str">
        <f>IFERROR($CO230*'Commission Structure'!$C$5-$CU230,"")</f>
        <v/>
      </c>
      <c r="CW230" s="102" t="str">
        <f>IFERROR($CO230*(1-'Commission Structure'!$C$5),"")</f>
        <v/>
      </c>
      <c r="CX230" s="107"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8" t="str">
        <f t="shared" si="50"/>
        <v/>
      </c>
      <c r="CZ230" s="99" t="str">
        <f>IF($CY230="","",IF($CY230&lt;'Technical Premium'!$C$19,"BEYOND AUTHORITY",IF($CY230&gt;0.005,"Above technical",IF($CY230&lt;-0.005,"BELOW technical","At technical"))))</f>
        <v/>
      </c>
      <c r="DA230" s="99"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4"/>
      <c r="DC230" s="94"/>
      <c r="DD230" s="95"/>
      <c r="DE230" s="94"/>
      <c r="DF230" s="94"/>
      <c r="DG230" s="99" t="str">
        <f t="shared" si="51"/>
        <v/>
      </c>
      <c r="DH230" s="99" t="str">
        <f>IF($A230="","",IF(OR($CX230="REFER",$CX230="DECLINE"),COUNTIF($CX$5:$CX230,"REFER")+COUNTIF($CX$5:$CX230,"DECLINE"),""))</f>
        <v/>
      </c>
      <c r="DI230" s="94"/>
    </row>
    <row r="231" spans="1:113" x14ac:dyDescent="0.35">
      <c r="A231" s="94"/>
      <c r="B231" s="94"/>
      <c r="C231" s="95"/>
      <c r="D231" s="95"/>
      <c r="E231" s="96"/>
      <c r="F231" s="94"/>
      <c r="G231" s="94"/>
      <c r="H231" s="94"/>
      <c r="I231" s="94"/>
      <c r="J231" s="97"/>
      <c r="K231" s="94"/>
      <c r="L231" s="94"/>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8"/>
      <c r="AR231" s="99" t="str">
        <f t="shared" si="39"/>
        <v/>
      </c>
      <c r="AS231" s="99" t="str">
        <f>IF($A231="","",IF($AP231&lt;&gt;"",$AP231,IFERROR(INDEX('Cat Zone by ZIP'!$D$6:$D$856,MATCH($AR231,'Cat Zone by ZIP'!$B$6:$B$856,0)),IFERROR(INDEX('Cat Zone by ZIP'!$C$860:$C$910,MATCH($K231,'Cat Zone by ZIP'!$B$860:$B$910,0)),"NOT FOUND"))))</f>
        <v/>
      </c>
      <c r="AT231" s="99" t="str">
        <f>IF($A231="","",IF($AP231&lt;&gt;"","Override",IF(ISNUMBER(MATCH($AR231,'Cat Zone by ZIP'!$B$6:$B$856,0)),"ZIP-3","State default")))</f>
        <v/>
      </c>
      <c r="AU231" s="100" t="str">
        <f>IF($A231="","",IFERROR(INDEX('Natural Catastrophe'!$D$6:$D$17,MATCH($AS231,'Natural Catastrophe'!$B$6:$B$17,0)),"?"))</f>
        <v/>
      </c>
      <c r="AV231" s="100" t="str">
        <f>IF($A231="","",IFERROR(INDEX('Natural Catastrophe'!$C$21:$C$26,MATCH($AA231,'Natural Catastrophe'!$B$21:$B$26,0)),"?"))</f>
        <v/>
      </c>
      <c r="AW231" s="99" t="str">
        <f>IF($A231="","",IFERROR(INDEX('Base Rates'!$C$4:$I$4,MATCH(MAX($J231,'Technical Premium'!$C$18),'Base Rates'!$C$3:$I$3,1)),"?"))</f>
        <v/>
      </c>
      <c r="AX231" s="101" t="str">
        <f>IF($A231="","",IFERROR(INDEX('Base Rates'!$C$5:$I$16,MATCH($I231,'Base Rates'!$B$5:$B$16,0),MATCH(MAX($J231,'Technical Premium'!$C$18),'Base Rates'!$C$3:$I$3,1)),"?"))</f>
        <v/>
      </c>
      <c r="AY231" s="102" t="str">
        <f t="shared" si="40"/>
        <v/>
      </c>
      <c r="AZ231" s="99" t="str">
        <f>IF($A231="","",IFERROR(INDEX('Make Factors'!$G$5:$G$69,MATCH($F231,'Make Factors'!$B$5:$B$69,0)),"?"))</f>
        <v/>
      </c>
      <c r="BA231" s="99" t="str">
        <f>IF($A231="","",IFERROR(INDEX('Driver Factors'!$C$6:$C$15,MATCH($R231,'Driver Factors'!$B$6:$B$15,0)),"?"))</f>
        <v/>
      </c>
      <c r="BB231" s="99" t="str">
        <f>IF($A231="","",IFERROR(INDEX('Driver Factors'!$C$19:$C$24,MATCH($S231,'Driver Factors'!$B$19:$B$24,0)),"?"))</f>
        <v/>
      </c>
      <c r="BC231" s="99" t="str">
        <f>IF($A231="","",IFERROR(INDEX('Driver Factors'!$C$28:$C$36,MATCH($T231,'Driver Factors'!$B$28:$B$36,0)),"?"))</f>
        <v/>
      </c>
      <c r="BD231" s="99" t="str">
        <f>IF($A231="","",IFERROR(INDEX('Claims History'!$C$6:$C$15,MATCH($U231,'Claims History'!$B$6:$B$15,0)),"?"))</f>
        <v/>
      </c>
      <c r="BE231" s="99" t="str">
        <f>IF($A231="","",IFERROR(INDEX('Territory Factors'!$E$6:$E$56,MATCH($K231,'Territory Factors'!$B$6:$B$56,0)),"?"))</f>
        <v/>
      </c>
      <c r="BF231" s="99" t="str">
        <f>IF($A231="","",IFERROR(INDEX('City Accident Ratings'!$G$6:$G$54,MATCH($Z231,'City Accident Ratings'!$B$6:$B$54,0)),"?"))</f>
        <v/>
      </c>
      <c r="BG231" s="99" t="str">
        <f>IF($A231="","",IFERROR(INDEX('Usage and Coverage'!$D$6:$D$20,MATCH($N231,'Usage and Coverage'!$C$6:$C$20,0)),"?"))</f>
        <v/>
      </c>
      <c r="BH231" s="99" t="str">
        <f>IF($A231="","",IFERROR(INDEX('Usage and Coverage'!$C$24:$C$30,MATCH($O231,'Usage and Coverage'!$B$24:$B$30,0)),"?"))</f>
        <v/>
      </c>
      <c r="BI231" s="99" t="str">
        <f>IF($A231="","",IFERROR(INDEX('Usage and Coverage'!$C$34:$C$40,MATCH($P231,'Usage and Coverage'!$B$34:$B$40,0)),"?"))</f>
        <v/>
      </c>
      <c r="BJ231" s="99" t="str">
        <f>IF($A231="","",IFERROR(INDEX('Usage and Coverage'!$C$44:$C$49,MATCH($Q231,'Usage and Coverage'!$B$44:$B$49,0)),"?"))</f>
        <v/>
      </c>
      <c r="BK231" s="99" t="str">
        <f>IF($A231="","",IFERROR(INDEX(Deductibles!$C$6:$I$15,MATCH($W231,Deductibles!$B$6:$B$15,0),MATCH(MAX($J231,'Technical Premium'!$C$18),'Base Rates'!$C$3:$I$3,1)),"?"))</f>
        <v/>
      </c>
      <c r="BL231" s="99" t="str">
        <f>IF($A231="","",IFERROR(INDEX('Usage and Coverage'!$C$63:$C$66,MATCH($X231,'Usage and Coverage'!$B$63:$B$66,0)),"?"))</f>
        <v/>
      </c>
      <c r="BM231" s="99" t="str">
        <f>IF($A231="","",IFERROR(INDEX('Usage and Coverage'!$C$70:$C$75,MATCH($V231,'Usage and Coverage'!$B$70:$B$75,0)),"?"))</f>
        <v/>
      </c>
      <c r="BN231" s="99" t="str">
        <f>IF($A231="","",IF($AB231="",1,IFERROR(INDEX(Deductibles!$C$48:$C$51,MATCH($AB231,Deductibles!$B$48:$B$51,0)),"?")))</f>
        <v/>
      </c>
      <c r="BO231" s="99" t="str">
        <f>IF($A231="","",IF($AC231="",1,IFERROR(INDEX(Deductibles!$C$55:$C$57,MATCH($AC231,Deductibles!$B$55:$B$57,0)),"?")))</f>
        <v/>
      </c>
      <c r="BP231" s="99" t="str">
        <f>IF($A231="","",IF($AD231="",1,IFERROR(INDEX(Deductibles!$C$61:$C$63,MATCH($AD231,Deductibles!$B$61:$B$63,0)),"?")))</f>
        <v/>
      </c>
      <c r="BQ231" s="99" t="str">
        <f>IF($A231="","",IF($AE231="",1,IFERROR(INDEX(Deductibles!$C$67:$C$69,MATCH($AE231,Deductibles!$B$67:$B$69,0)),"?")))</f>
        <v/>
      </c>
      <c r="BR231" s="99" t="str">
        <f>IF($A231="","",IF($AF231="",1,IFERROR(INDEX(Deductibles!$C$73:$C$74,MATCH($AF231,Deductibles!$B$73:$B$74,0)),"?")))</f>
        <v/>
      </c>
      <c r="BS231" s="99" t="str">
        <f>IF($A231="","",IF($AG231="",1,IFERROR(INDEX('Sublimits and Parts'!$C$49:$C$52,MATCH($AG231,'Sublimits and Parts'!$B$49:$B$52,0)),"?")))</f>
        <v/>
      </c>
      <c r="BT231" s="99" t="str">
        <f>IF($A231="","",IF($AH231="",1,IFERROR(INDEX('Sublimits and Parts'!$C$56:$C$60,MATCH($AH231,'Sublimits and Parts'!$B$56:$B$60,0)),"?")))</f>
        <v/>
      </c>
      <c r="BU231" s="99" t="str">
        <f>IF($A231="","",IF($AI231="",1,IFERROR(INDEX('Sublimits and Parts'!$C$64:$C$67,MATCH($AI231,'Sublimits and Parts'!$B$64:$B$67,0)),"?")))</f>
        <v/>
      </c>
      <c r="BV231" s="99" t="str">
        <f>IF($A231="","",IF($AJ231="",1,IFERROR(INDEX('Sublimits and Parts'!$C$71:$C$74,MATCH($AJ231,'Sublimits and Parts'!$B$71:$B$74,0)),"?")))</f>
        <v/>
      </c>
      <c r="BW231" s="99" t="str">
        <f>IF($A231="","",IF($AK231="",1,IFERROR(INDEX('Sublimits and Parts'!$C$78:$C$80,MATCH($AK231,'Sublimits and Parts'!$B$78:$B$80,0)),"?")))</f>
        <v/>
      </c>
      <c r="BX231" s="99" t="str">
        <f>IF($A231="","",IF($AL231="",1,IFERROR(INDEX('Sublimits and Parts'!$C$84:$C$87,MATCH($AL231,'Sublimits and Parts'!$B$84:$B$87,0)),"?")))</f>
        <v/>
      </c>
      <c r="BY231" s="99" t="str">
        <f>IF($A231="","",IF($AM231="",1,IFERROR(INDEX('Sublimits and Parts'!$C$91:$C$94,MATCH($AM231,'Sublimits and Parts'!$B$91:$B$94,0)),"?")))</f>
        <v/>
      </c>
      <c r="BZ231" s="99" t="str">
        <f>IF($A231="","",IF($AN231="",1,IFERROR(INDEX('Sublimits and Parts'!$C$98:$C$101,MATCH($AN231,'Sublimits and Parts'!$B$98:$B$101,0)),"?")))</f>
        <v/>
      </c>
      <c r="CA231" s="99" t="str">
        <f>IF($A231="","",IF($AO231="",1,IFERROR(INDEX('Sublimits and Parts'!$C$105:$C$109,MATCH($AO231,'Sublimits and Parts'!$B$105:$B$109,0)),"?")))</f>
        <v/>
      </c>
      <c r="CB231" s="100" t="str">
        <f t="shared" si="41"/>
        <v/>
      </c>
      <c r="CC231" s="100" t="str">
        <f t="shared" si="42"/>
        <v/>
      </c>
      <c r="CD231" s="103" t="str">
        <f>IF($A231="","",IF(OR($CB231="?",$CC231="?"),"?",MIN($CB231*$CC231,'Technical Premium'!$C$17)))</f>
        <v/>
      </c>
      <c r="CE231" s="102" t="str">
        <f t="shared" si="43"/>
        <v/>
      </c>
      <c r="CF231" s="102" t="str">
        <f>IF($A231="","",IFERROR(INDEX('Territory Factors'!$F$6:$F$56,MATCH($K231,'Territory Factors'!$B$6:$B$56,0)),"?"))</f>
        <v/>
      </c>
      <c r="CG231" s="100" t="str">
        <f>IF($A231="","",IFERROR(INDEX('Usage and Coverage'!$C$79:$C$84,MATCH($Y231,'Usage and Coverage'!$B$79:$B$84,0)),"?"))</f>
        <v/>
      </c>
      <c r="CH231" s="102" t="str">
        <f>IFERROR(IF(ISNUMBER($CD231),$CF231*$CG231*MIN($BG231*$BA231*$BC231*$BD231*$BH231*$BF231,'Technical Premium'!$C$17),""),"")</f>
        <v/>
      </c>
      <c r="CI231" s="102" t="str">
        <f t="shared" si="44"/>
        <v/>
      </c>
      <c r="CJ231" s="102" t="str">
        <f>IFERROR($CI231*(1+'Technical Premium'!$C$5)*(1+'Technical Premium'!$C$6),"")</f>
        <v/>
      </c>
      <c r="CK231" s="102" t="str">
        <f>IFERROR($CE231*INDEX('Territory Factors'!$G$6:$G$56,MATCH($K231,'Territory Factors'!$B$6:$B$56,0))*$AU231*$AV231,"")</f>
        <v/>
      </c>
      <c r="CL231" s="102" t="str">
        <f>IFERROR(($CJ231+$CK231)*(1+'Technical Premium'!$C$7),"")</f>
        <v/>
      </c>
      <c r="CM231" s="104" t="str">
        <f>IFERROR($CL231/'Technical Premium'!$C$13,"")</f>
        <v/>
      </c>
      <c r="CN231" s="105" t="str">
        <f t="shared" si="45"/>
        <v/>
      </c>
      <c r="CO231" s="104" t="str">
        <f t="shared" si="46"/>
        <v/>
      </c>
      <c r="CP231" s="105" t="str">
        <f t="shared" si="47"/>
        <v/>
      </c>
      <c r="CQ231" s="106" t="str">
        <f t="shared" si="48"/>
        <v/>
      </c>
      <c r="CR231" s="102" t="str">
        <f>IF(ISNUMBER($CM231),'Technical Premium'!$C$14+IF($J231&gt;=1000000,'Technical Premium'!$C$15,0),"")</f>
        <v/>
      </c>
      <c r="CS231" s="102" t="str">
        <f>IFERROR(($CO231+$CR231)*(INDEX('Territory Factors'!$K$6:$K$56,MATCH($K231,'Territory Factors'!$B$6:$B$56,0))+'Commission Structure'!$C$21),"")</f>
        <v/>
      </c>
      <c r="CT231" s="104" t="str">
        <f t="shared" si="49"/>
        <v/>
      </c>
      <c r="CU231" s="102" t="str">
        <f>IFERROR($CO231*('Commission Structure'!$C$6+'Commission Structure'!$C$7),"")</f>
        <v/>
      </c>
      <c r="CV231" s="102" t="str">
        <f>IFERROR($CO231*'Commission Structure'!$C$5-$CU231,"")</f>
        <v/>
      </c>
      <c r="CW231" s="102" t="str">
        <f>IFERROR($CO231*(1-'Commission Structure'!$C$5),"")</f>
        <v/>
      </c>
      <c r="CX231" s="107"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8" t="str">
        <f t="shared" si="50"/>
        <v/>
      </c>
      <c r="CZ231" s="99" t="str">
        <f>IF($CY231="","",IF($CY231&lt;'Technical Premium'!$C$19,"BEYOND AUTHORITY",IF($CY231&gt;0.005,"Above technical",IF($CY231&lt;-0.005,"BELOW technical","At technical"))))</f>
        <v/>
      </c>
      <c r="DA231" s="99"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4"/>
      <c r="DC231" s="94"/>
      <c r="DD231" s="95"/>
      <c r="DE231" s="94"/>
      <c r="DF231" s="94"/>
      <c r="DG231" s="99" t="str">
        <f t="shared" si="51"/>
        <v/>
      </c>
      <c r="DH231" s="99" t="str">
        <f>IF($A231="","",IF(OR($CX231="REFER",$CX231="DECLINE"),COUNTIF($CX$5:$CX231,"REFER")+COUNTIF($CX$5:$CX231,"DECLINE"),""))</f>
        <v/>
      </c>
      <c r="DI231" s="94"/>
    </row>
    <row r="232" spans="1:113" x14ac:dyDescent="0.35">
      <c r="A232" s="94"/>
      <c r="B232" s="94"/>
      <c r="C232" s="95"/>
      <c r="D232" s="95"/>
      <c r="E232" s="96"/>
      <c r="F232" s="94"/>
      <c r="G232" s="94"/>
      <c r="H232" s="94"/>
      <c r="I232" s="94"/>
      <c r="J232" s="97"/>
      <c r="K232" s="94"/>
      <c r="L232" s="94"/>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8"/>
      <c r="AR232" s="99" t="str">
        <f t="shared" si="39"/>
        <v/>
      </c>
      <c r="AS232" s="99" t="str">
        <f>IF($A232="","",IF($AP232&lt;&gt;"",$AP232,IFERROR(INDEX('Cat Zone by ZIP'!$D$6:$D$856,MATCH($AR232,'Cat Zone by ZIP'!$B$6:$B$856,0)),IFERROR(INDEX('Cat Zone by ZIP'!$C$860:$C$910,MATCH($K232,'Cat Zone by ZIP'!$B$860:$B$910,0)),"NOT FOUND"))))</f>
        <v/>
      </c>
      <c r="AT232" s="99" t="str">
        <f>IF($A232="","",IF($AP232&lt;&gt;"","Override",IF(ISNUMBER(MATCH($AR232,'Cat Zone by ZIP'!$B$6:$B$856,0)),"ZIP-3","State default")))</f>
        <v/>
      </c>
      <c r="AU232" s="100" t="str">
        <f>IF($A232="","",IFERROR(INDEX('Natural Catastrophe'!$D$6:$D$17,MATCH($AS232,'Natural Catastrophe'!$B$6:$B$17,0)),"?"))</f>
        <v/>
      </c>
      <c r="AV232" s="100" t="str">
        <f>IF($A232="","",IFERROR(INDEX('Natural Catastrophe'!$C$21:$C$26,MATCH($AA232,'Natural Catastrophe'!$B$21:$B$26,0)),"?"))</f>
        <v/>
      </c>
      <c r="AW232" s="99" t="str">
        <f>IF($A232="","",IFERROR(INDEX('Base Rates'!$C$4:$I$4,MATCH(MAX($J232,'Technical Premium'!$C$18),'Base Rates'!$C$3:$I$3,1)),"?"))</f>
        <v/>
      </c>
      <c r="AX232" s="101" t="str">
        <f>IF($A232="","",IFERROR(INDEX('Base Rates'!$C$5:$I$16,MATCH($I232,'Base Rates'!$B$5:$B$16,0),MATCH(MAX($J232,'Technical Premium'!$C$18),'Base Rates'!$C$3:$I$3,1)),"?"))</f>
        <v/>
      </c>
      <c r="AY232" s="102" t="str">
        <f t="shared" si="40"/>
        <v/>
      </c>
      <c r="AZ232" s="99" t="str">
        <f>IF($A232="","",IFERROR(INDEX('Make Factors'!$G$5:$G$69,MATCH($F232,'Make Factors'!$B$5:$B$69,0)),"?"))</f>
        <v/>
      </c>
      <c r="BA232" s="99" t="str">
        <f>IF($A232="","",IFERROR(INDEX('Driver Factors'!$C$6:$C$15,MATCH($R232,'Driver Factors'!$B$6:$B$15,0)),"?"))</f>
        <v/>
      </c>
      <c r="BB232" s="99" t="str">
        <f>IF($A232="","",IFERROR(INDEX('Driver Factors'!$C$19:$C$24,MATCH($S232,'Driver Factors'!$B$19:$B$24,0)),"?"))</f>
        <v/>
      </c>
      <c r="BC232" s="99" t="str">
        <f>IF($A232="","",IFERROR(INDEX('Driver Factors'!$C$28:$C$36,MATCH($T232,'Driver Factors'!$B$28:$B$36,0)),"?"))</f>
        <v/>
      </c>
      <c r="BD232" s="99" t="str">
        <f>IF($A232="","",IFERROR(INDEX('Claims History'!$C$6:$C$15,MATCH($U232,'Claims History'!$B$6:$B$15,0)),"?"))</f>
        <v/>
      </c>
      <c r="BE232" s="99" t="str">
        <f>IF($A232="","",IFERROR(INDEX('Territory Factors'!$E$6:$E$56,MATCH($K232,'Territory Factors'!$B$6:$B$56,0)),"?"))</f>
        <v/>
      </c>
      <c r="BF232" s="99" t="str">
        <f>IF($A232="","",IFERROR(INDEX('City Accident Ratings'!$G$6:$G$54,MATCH($Z232,'City Accident Ratings'!$B$6:$B$54,0)),"?"))</f>
        <v/>
      </c>
      <c r="BG232" s="99" t="str">
        <f>IF($A232="","",IFERROR(INDEX('Usage and Coverage'!$D$6:$D$20,MATCH($N232,'Usage and Coverage'!$C$6:$C$20,0)),"?"))</f>
        <v/>
      </c>
      <c r="BH232" s="99" t="str">
        <f>IF($A232="","",IFERROR(INDEX('Usage and Coverage'!$C$24:$C$30,MATCH($O232,'Usage and Coverage'!$B$24:$B$30,0)),"?"))</f>
        <v/>
      </c>
      <c r="BI232" s="99" t="str">
        <f>IF($A232="","",IFERROR(INDEX('Usage and Coverage'!$C$34:$C$40,MATCH($P232,'Usage and Coverage'!$B$34:$B$40,0)),"?"))</f>
        <v/>
      </c>
      <c r="BJ232" s="99" t="str">
        <f>IF($A232="","",IFERROR(INDEX('Usage and Coverage'!$C$44:$C$49,MATCH($Q232,'Usage and Coverage'!$B$44:$B$49,0)),"?"))</f>
        <v/>
      </c>
      <c r="BK232" s="99" t="str">
        <f>IF($A232="","",IFERROR(INDEX(Deductibles!$C$6:$I$15,MATCH($W232,Deductibles!$B$6:$B$15,0),MATCH(MAX($J232,'Technical Premium'!$C$18),'Base Rates'!$C$3:$I$3,1)),"?"))</f>
        <v/>
      </c>
      <c r="BL232" s="99" t="str">
        <f>IF($A232="","",IFERROR(INDEX('Usage and Coverage'!$C$63:$C$66,MATCH($X232,'Usage and Coverage'!$B$63:$B$66,0)),"?"))</f>
        <v/>
      </c>
      <c r="BM232" s="99" t="str">
        <f>IF($A232="","",IFERROR(INDEX('Usage and Coverage'!$C$70:$C$75,MATCH($V232,'Usage and Coverage'!$B$70:$B$75,0)),"?"))</f>
        <v/>
      </c>
      <c r="BN232" s="99" t="str">
        <f>IF($A232="","",IF($AB232="",1,IFERROR(INDEX(Deductibles!$C$48:$C$51,MATCH($AB232,Deductibles!$B$48:$B$51,0)),"?")))</f>
        <v/>
      </c>
      <c r="BO232" s="99" t="str">
        <f>IF($A232="","",IF($AC232="",1,IFERROR(INDEX(Deductibles!$C$55:$C$57,MATCH($AC232,Deductibles!$B$55:$B$57,0)),"?")))</f>
        <v/>
      </c>
      <c r="BP232" s="99" t="str">
        <f>IF($A232="","",IF($AD232="",1,IFERROR(INDEX(Deductibles!$C$61:$C$63,MATCH($AD232,Deductibles!$B$61:$B$63,0)),"?")))</f>
        <v/>
      </c>
      <c r="BQ232" s="99" t="str">
        <f>IF($A232="","",IF($AE232="",1,IFERROR(INDEX(Deductibles!$C$67:$C$69,MATCH($AE232,Deductibles!$B$67:$B$69,0)),"?")))</f>
        <v/>
      </c>
      <c r="BR232" s="99" t="str">
        <f>IF($A232="","",IF($AF232="",1,IFERROR(INDEX(Deductibles!$C$73:$C$74,MATCH($AF232,Deductibles!$B$73:$B$74,0)),"?")))</f>
        <v/>
      </c>
      <c r="BS232" s="99" t="str">
        <f>IF($A232="","",IF($AG232="",1,IFERROR(INDEX('Sublimits and Parts'!$C$49:$C$52,MATCH($AG232,'Sublimits and Parts'!$B$49:$B$52,0)),"?")))</f>
        <v/>
      </c>
      <c r="BT232" s="99" t="str">
        <f>IF($A232="","",IF($AH232="",1,IFERROR(INDEX('Sublimits and Parts'!$C$56:$C$60,MATCH($AH232,'Sublimits and Parts'!$B$56:$B$60,0)),"?")))</f>
        <v/>
      </c>
      <c r="BU232" s="99" t="str">
        <f>IF($A232="","",IF($AI232="",1,IFERROR(INDEX('Sublimits and Parts'!$C$64:$C$67,MATCH($AI232,'Sublimits and Parts'!$B$64:$B$67,0)),"?")))</f>
        <v/>
      </c>
      <c r="BV232" s="99" t="str">
        <f>IF($A232="","",IF($AJ232="",1,IFERROR(INDEX('Sublimits and Parts'!$C$71:$C$74,MATCH($AJ232,'Sublimits and Parts'!$B$71:$B$74,0)),"?")))</f>
        <v/>
      </c>
      <c r="BW232" s="99" t="str">
        <f>IF($A232="","",IF($AK232="",1,IFERROR(INDEX('Sublimits and Parts'!$C$78:$C$80,MATCH($AK232,'Sublimits and Parts'!$B$78:$B$80,0)),"?")))</f>
        <v/>
      </c>
      <c r="BX232" s="99" t="str">
        <f>IF($A232="","",IF($AL232="",1,IFERROR(INDEX('Sublimits and Parts'!$C$84:$C$87,MATCH($AL232,'Sublimits and Parts'!$B$84:$B$87,0)),"?")))</f>
        <v/>
      </c>
      <c r="BY232" s="99" t="str">
        <f>IF($A232="","",IF($AM232="",1,IFERROR(INDEX('Sublimits and Parts'!$C$91:$C$94,MATCH($AM232,'Sublimits and Parts'!$B$91:$B$94,0)),"?")))</f>
        <v/>
      </c>
      <c r="BZ232" s="99" t="str">
        <f>IF($A232="","",IF($AN232="",1,IFERROR(INDEX('Sublimits and Parts'!$C$98:$C$101,MATCH($AN232,'Sublimits and Parts'!$B$98:$B$101,0)),"?")))</f>
        <v/>
      </c>
      <c r="CA232" s="99" t="str">
        <f>IF($A232="","",IF($AO232="",1,IFERROR(INDEX('Sublimits and Parts'!$C$105:$C$109,MATCH($AO232,'Sublimits and Parts'!$B$105:$B$109,0)),"?")))</f>
        <v/>
      </c>
      <c r="CB232" s="100" t="str">
        <f t="shared" si="41"/>
        <v/>
      </c>
      <c r="CC232" s="100" t="str">
        <f t="shared" si="42"/>
        <v/>
      </c>
      <c r="CD232" s="103" t="str">
        <f>IF($A232="","",IF(OR($CB232="?",$CC232="?"),"?",MIN($CB232*$CC232,'Technical Premium'!$C$17)))</f>
        <v/>
      </c>
      <c r="CE232" s="102" t="str">
        <f t="shared" si="43"/>
        <v/>
      </c>
      <c r="CF232" s="102" t="str">
        <f>IF($A232="","",IFERROR(INDEX('Territory Factors'!$F$6:$F$56,MATCH($K232,'Territory Factors'!$B$6:$B$56,0)),"?"))</f>
        <v/>
      </c>
      <c r="CG232" s="100" t="str">
        <f>IF($A232="","",IFERROR(INDEX('Usage and Coverage'!$C$79:$C$84,MATCH($Y232,'Usage and Coverage'!$B$79:$B$84,0)),"?"))</f>
        <v/>
      </c>
      <c r="CH232" s="102" t="str">
        <f>IFERROR(IF(ISNUMBER($CD232),$CF232*$CG232*MIN($BG232*$BA232*$BC232*$BD232*$BH232*$BF232,'Technical Premium'!$C$17),""),"")</f>
        <v/>
      </c>
      <c r="CI232" s="102" t="str">
        <f t="shared" si="44"/>
        <v/>
      </c>
      <c r="CJ232" s="102" t="str">
        <f>IFERROR($CI232*(1+'Technical Premium'!$C$5)*(1+'Technical Premium'!$C$6),"")</f>
        <v/>
      </c>
      <c r="CK232" s="102" t="str">
        <f>IFERROR($CE232*INDEX('Territory Factors'!$G$6:$G$56,MATCH($K232,'Territory Factors'!$B$6:$B$56,0))*$AU232*$AV232,"")</f>
        <v/>
      </c>
      <c r="CL232" s="102" t="str">
        <f>IFERROR(($CJ232+$CK232)*(1+'Technical Premium'!$C$7),"")</f>
        <v/>
      </c>
      <c r="CM232" s="104" t="str">
        <f>IFERROR($CL232/'Technical Premium'!$C$13,"")</f>
        <v/>
      </c>
      <c r="CN232" s="105" t="str">
        <f t="shared" si="45"/>
        <v/>
      </c>
      <c r="CO232" s="104" t="str">
        <f t="shared" si="46"/>
        <v/>
      </c>
      <c r="CP232" s="105" t="str">
        <f t="shared" si="47"/>
        <v/>
      </c>
      <c r="CQ232" s="106" t="str">
        <f t="shared" si="48"/>
        <v/>
      </c>
      <c r="CR232" s="102" t="str">
        <f>IF(ISNUMBER($CM232),'Technical Premium'!$C$14+IF($J232&gt;=1000000,'Technical Premium'!$C$15,0),"")</f>
        <v/>
      </c>
      <c r="CS232" s="102" t="str">
        <f>IFERROR(($CO232+$CR232)*(INDEX('Territory Factors'!$K$6:$K$56,MATCH($K232,'Territory Factors'!$B$6:$B$56,0))+'Commission Structure'!$C$21),"")</f>
        <v/>
      </c>
      <c r="CT232" s="104" t="str">
        <f t="shared" si="49"/>
        <v/>
      </c>
      <c r="CU232" s="102" t="str">
        <f>IFERROR($CO232*('Commission Structure'!$C$6+'Commission Structure'!$C$7),"")</f>
        <v/>
      </c>
      <c r="CV232" s="102" t="str">
        <f>IFERROR($CO232*'Commission Structure'!$C$5-$CU232,"")</f>
        <v/>
      </c>
      <c r="CW232" s="102" t="str">
        <f>IFERROR($CO232*(1-'Commission Structure'!$C$5),"")</f>
        <v/>
      </c>
      <c r="CX232" s="107"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8" t="str">
        <f t="shared" si="50"/>
        <v/>
      </c>
      <c r="CZ232" s="99" t="str">
        <f>IF($CY232="","",IF($CY232&lt;'Technical Premium'!$C$19,"BEYOND AUTHORITY",IF($CY232&gt;0.005,"Above technical",IF($CY232&lt;-0.005,"BELOW technical","At technical"))))</f>
        <v/>
      </c>
      <c r="DA232" s="99"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4"/>
      <c r="DC232" s="94"/>
      <c r="DD232" s="95"/>
      <c r="DE232" s="94"/>
      <c r="DF232" s="94"/>
      <c r="DG232" s="99" t="str">
        <f t="shared" si="51"/>
        <v/>
      </c>
      <c r="DH232" s="99" t="str">
        <f>IF($A232="","",IF(OR($CX232="REFER",$CX232="DECLINE"),COUNTIF($CX$5:$CX232,"REFER")+COUNTIF($CX$5:$CX232,"DECLINE"),""))</f>
        <v/>
      </c>
      <c r="DI232" s="94"/>
    </row>
    <row r="233" spans="1:113" x14ac:dyDescent="0.35">
      <c r="A233" s="94"/>
      <c r="B233" s="94"/>
      <c r="C233" s="95"/>
      <c r="D233" s="95"/>
      <c r="E233" s="96"/>
      <c r="F233" s="94"/>
      <c r="G233" s="94"/>
      <c r="H233" s="94"/>
      <c r="I233" s="94"/>
      <c r="J233" s="97"/>
      <c r="K233" s="94"/>
      <c r="L233" s="94"/>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8"/>
      <c r="AR233" s="99" t="str">
        <f t="shared" si="39"/>
        <v/>
      </c>
      <c r="AS233" s="99" t="str">
        <f>IF($A233="","",IF($AP233&lt;&gt;"",$AP233,IFERROR(INDEX('Cat Zone by ZIP'!$D$6:$D$856,MATCH($AR233,'Cat Zone by ZIP'!$B$6:$B$856,0)),IFERROR(INDEX('Cat Zone by ZIP'!$C$860:$C$910,MATCH($K233,'Cat Zone by ZIP'!$B$860:$B$910,0)),"NOT FOUND"))))</f>
        <v/>
      </c>
      <c r="AT233" s="99" t="str">
        <f>IF($A233="","",IF($AP233&lt;&gt;"","Override",IF(ISNUMBER(MATCH($AR233,'Cat Zone by ZIP'!$B$6:$B$856,0)),"ZIP-3","State default")))</f>
        <v/>
      </c>
      <c r="AU233" s="100" t="str">
        <f>IF($A233="","",IFERROR(INDEX('Natural Catastrophe'!$D$6:$D$17,MATCH($AS233,'Natural Catastrophe'!$B$6:$B$17,0)),"?"))</f>
        <v/>
      </c>
      <c r="AV233" s="100" t="str">
        <f>IF($A233="","",IFERROR(INDEX('Natural Catastrophe'!$C$21:$C$26,MATCH($AA233,'Natural Catastrophe'!$B$21:$B$26,0)),"?"))</f>
        <v/>
      </c>
      <c r="AW233" s="99" t="str">
        <f>IF($A233="","",IFERROR(INDEX('Base Rates'!$C$4:$I$4,MATCH(MAX($J233,'Technical Premium'!$C$18),'Base Rates'!$C$3:$I$3,1)),"?"))</f>
        <v/>
      </c>
      <c r="AX233" s="101" t="str">
        <f>IF($A233="","",IFERROR(INDEX('Base Rates'!$C$5:$I$16,MATCH($I233,'Base Rates'!$B$5:$B$16,0),MATCH(MAX($J233,'Technical Premium'!$C$18),'Base Rates'!$C$3:$I$3,1)),"?"))</f>
        <v/>
      </c>
      <c r="AY233" s="102" t="str">
        <f t="shared" si="40"/>
        <v/>
      </c>
      <c r="AZ233" s="99" t="str">
        <f>IF($A233="","",IFERROR(INDEX('Make Factors'!$G$5:$G$69,MATCH($F233,'Make Factors'!$B$5:$B$69,0)),"?"))</f>
        <v/>
      </c>
      <c r="BA233" s="99" t="str">
        <f>IF($A233="","",IFERROR(INDEX('Driver Factors'!$C$6:$C$15,MATCH($R233,'Driver Factors'!$B$6:$B$15,0)),"?"))</f>
        <v/>
      </c>
      <c r="BB233" s="99" t="str">
        <f>IF($A233="","",IFERROR(INDEX('Driver Factors'!$C$19:$C$24,MATCH($S233,'Driver Factors'!$B$19:$B$24,0)),"?"))</f>
        <v/>
      </c>
      <c r="BC233" s="99" t="str">
        <f>IF($A233="","",IFERROR(INDEX('Driver Factors'!$C$28:$C$36,MATCH($T233,'Driver Factors'!$B$28:$B$36,0)),"?"))</f>
        <v/>
      </c>
      <c r="BD233" s="99" t="str">
        <f>IF($A233="","",IFERROR(INDEX('Claims History'!$C$6:$C$15,MATCH($U233,'Claims History'!$B$6:$B$15,0)),"?"))</f>
        <v/>
      </c>
      <c r="BE233" s="99" t="str">
        <f>IF($A233="","",IFERROR(INDEX('Territory Factors'!$E$6:$E$56,MATCH($K233,'Territory Factors'!$B$6:$B$56,0)),"?"))</f>
        <v/>
      </c>
      <c r="BF233" s="99" t="str">
        <f>IF($A233="","",IFERROR(INDEX('City Accident Ratings'!$G$6:$G$54,MATCH($Z233,'City Accident Ratings'!$B$6:$B$54,0)),"?"))</f>
        <v/>
      </c>
      <c r="BG233" s="99" t="str">
        <f>IF($A233="","",IFERROR(INDEX('Usage and Coverage'!$D$6:$D$20,MATCH($N233,'Usage and Coverage'!$C$6:$C$20,0)),"?"))</f>
        <v/>
      </c>
      <c r="BH233" s="99" t="str">
        <f>IF($A233="","",IFERROR(INDEX('Usage and Coverage'!$C$24:$C$30,MATCH($O233,'Usage and Coverage'!$B$24:$B$30,0)),"?"))</f>
        <v/>
      </c>
      <c r="BI233" s="99" t="str">
        <f>IF($A233="","",IFERROR(INDEX('Usage and Coverage'!$C$34:$C$40,MATCH($P233,'Usage and Coverage'!$B$34:$B$40,0)),"?"))</f>
        <v/>
      </c>
      <c r="BJ233" s="99" t="str">
        <f>IF($A233="","",IFERROR(INDEX('Usage and Coverage'!$C$44:$C$49,MATCH($Q233,'Usage and Coverage'!$B$44:$B$49,0)),"?"))</f>
        <v/>
      </c>
      <c r="BK233" s="99" t="str">
        <f>IF($A233="","",IFERROR(INDEX(Deductibles!$C$6:$I$15,MATCH($W233,Deductibles!$B$6:$B$15,0),MATCH(MAX($J233,'Technical Premium'!$C$18),'Base Rates'!$C$3:$I$3,1)),"?"))</f>
        <v/>
      </c>
      <c r="BL233" s="99" t="str">
        <f>IF($A233="","",IFERROR(INDEX('Usage and Coverage'!$C$63:$C$66,MATCH($X233,'Usage and Coverage'!$B$63:$B$66,0)),"?"))</f>
        <v/>
      </c>
      <c r="BM233" s="99" t="str">
        <f>IF($A233="","",IFERROR(INDEX('Usage and Coverage'!$C$70:$C$75,MATCH($V233,'Usage and Coverage'!$B$70:$B$75,0)),"?"))</f>
        <v/>
      </c>
      <c r="BN233" s="99" t="str">
        <f>IF($A233="","",IF($AB233="",1,IFERROR(INDEX(Deductibles!$C$48:$C$51,MATCH($AB233,Deductibles!$B$48:$B$51,0)),"?")))</f>
        <v/>
      </c>
      <c r="BO233" s="99" t="str">
        <f>IF($A233="","",IF($AC233="",1,IFERROR(INDEX(Deductibles!$C$55:$C$57,MATCH($AC233,Deductibles!$B$55:$B$57,0)),"?")))</f>
        <v/>
      </c>
      <c r="BP233" s="99" t="str">
        <f>IF($A233="","",IF($AD233="",1,IFERROR(INDEX(Deductibles!$C$61:$C$63,MATCH($AD233,Deductibles!$B$61:$B$63,0)),"?")))</f>
        <v/>
      </c>
      <c r="BQ233" s="99" t="str">
        <f>IF($A233="","",IF($AE233="",1,IFERROR(INDEX(Deductibles!$C$67:$C$69,MATCH($AE233,Deductibles!$B$67:$B$69,0)),"?")))</f>
        <v/>
      </c>
      <c r="BR233" s="99" t="str">
        <f>IF($A233="","",IF($AF233="",1,IFERROR(INDEX(Deductibles!$C$73:$C$74,MATCH($AF233,Deductibles!$B$73:$B$74,0)),"?")))</f>
        <v/>
      </c>
      <c r="BS233" s="99" t="str">
        <f>IF($A233="","",IF($AG233="",1,IFERROR(INDEX('Sublimits and Parts'!$C$49:$C$52,MATCH($AG233,'Sublimits and Parts'!$B$49:$B$52,0)),"?")))</f>
        <v/>
      </c>
      <c r="BT233" s="99" t="str">
        <f>IF($A233="","",IF($AH233="",1,IFERROR(INDEX('Sublimits and Parts'!$C$56:$C$60,MATCH($AH233,'Sublimits and Parts'!$B$56:$B$60,0)),"?")))</f>
        <v/>
      </c>
      <c r="BU233" s="99" t="str">
        <f>IF($A233="","",IF($AI233="",1,IFERROR(INDEX('Sublimits and Parts'!$C$64:$C$67,MATCH($AI233,'Sublimits and Parts'!$B$64:$B$67,0)),"?")))</f>
        <v/>
      </c>
      <c r="BV233" s="99" t="str">
        <f>IF($A233="","",IF($AJ233="",1,IFERROR(INDEX('Sublimits and Parts'!$C$71:$C$74,MATCH($AJ233,'Sublimits and Parts'!$B$71:$B$74,0)),"?")))</f>
        <v/>
      </c>
      <c r="BW233" s="99" t="str">
        <f>IF($A233="","",IF($AK233="",1,IFERROR(INDEX('Sublimits and Parts'!$C$78:$C$80,MATCH($AK233,'Sublimits and Parts'!$B$78:$B$80,0)),"?")))</f>
        <v/>
      </c>
      <c r="BX233" s="99" t="str">
        <f>IF($A233="","",IF($AL233="",1,IFERROR(INDEX('Sublimits and Parts'!$C$84:$C$87,MATCH($AL233,'Sublimits and Parts'!$B$84:$B$87,0)),"?")))</f>
        <v/>
      </c>
      <c r="BY233" s="99" t="str">
        <f>IF($A233="","",IF($AM233="",1,IFERROR(INDEX('Sublimits and Parts'!$C$91:$C$94,MATCH($AM233,'Sublimits and Parts'!$B$91:$B$94,0)),"?")))</f>
        <v/>
      </c>
      <c r="BZ233" s="99" t="str">
        <f>IF($A233="","",IF($AN233="",1,IFERROR(INDEX('Sublimits and Parts'!$C$98:$C$101,MATCH($AN233,'Sublimits and Parts'!$B$98:$B$101,0)),"?")))</f>
        <v/>
      </c>
      <c r="CA233" s="99" t="str">
        <f>IF($A233="","",IF($AO233="",1,IFERROR(INDEX('Sublimits and Parts'!$C$105:$C$109,MATCH($AO233,'Sublimits and Parts'!$B$105:$B$109,0)),"?")))</f>
        <v/>
      </c>
      <c r="CB233" s="100" t="str">
        <f t="shared" si="41"/>
        <v/>
      </c>
      <c r="CC233" s="100" t="str">
        <f t="shared" si="42"/>
        <v/>
      </c>
      <c r="CD233" s="103" t="str">
        <f>IF($A233="","",IF(OR($CB233="?",$CC233="?"),"?",MIN($CB233*$CC233,'Technical Premium'!$C$17)))</f>
        <v/>
      </c>
      <c r="CE233" s="102" t="str">
        <f t="shared" si="43"/>
        <v/>
      </c>
      <c r="CF233" s="102" t="str">
        <f>IF($A233="","",IFERROR(INDEX('Territory Factors'!$F$6:$F$56,MATCH($K233,'Territory Factors'!$B$6:$B$56,0)),"?"))</f>
        <v/>
      </c>
      <c r="CG233" s="100" t="str">
        <f>IF($A233="","",IFERROR(INDEX('Usage and Coverage'!$C$79:$C$84,MATCH($Y233,'Usage and Coverage'!$B$79:$B$84,0)),"?"))</f>
        <v/>
      </c>
      <c r="CH233" s="102" t="str">
        <f>IFERROR(IF(ISNUMBER($CD233),$CF233*$CG233*MIN($BG233*$BA233*$BC233*$BD233*$BH233*$BF233,'Technical Premium'!$C$17),""),"")</f>
        <v/>
      </c>
      <c r="CI233" s="102" t="str">
        <f t="shared" si="44"/>
        <v/>
      </c>
      <c r="CJ233" s="102" t="str">
        <f>IFERROR($CI233*(1+'Technical Premium'!$C$5)*(1+'Technical Premium'!$C$6),"")</f>
        <v/>
      </c>
      <c r="CK233" s="102" t="str">
        <f>IFERROR($CE233*INDEX('Territory Factors'!$G$6:$G$56,MATCH($K233,'Territory Factors'!$B$6:$B$56,0))*$AU233*$AV233,"")</f>
        <v/>
      </c>
      <c r="CL233" s="102" t="str">
        <f>IFERROR(($CJ233+$CK233)*(1+'Technical Premium'!$C$7),"")</f>
        <v/>
      </c>
      <c r="CM233" s="104" t="str">
        <f>IFERROR($CL233/'Technical Premium'!$C$13,"")</f>
        <v/>
      </c>
      <c r="CN233" s="105" t="str">
        <f t="shared" si="45"/>
        <v/>
      </c>
      <c r="CO233" s="104" t="str">
        <f t="shared" si="46"/>
        <v/>
      </c>
      <c r="CP233" s="105" t="str">
        <f t="shared" si="47"/>
        <v/>
      </c>
      <c r="CQ233" s="106" t="str">
        <f t="shared" si="48"/>
        <v/>
      </c>
      <c r="CR233" s="102" t="str">
        <f>IF(ISNUMBER($CM233),'Technical Premium'!$C$14+IF($J233&gt;=1000000,'Technical Premium'!$C$15,0),"")</f>
        <v/>
      </c>
      <c r="CS233" s="102" t="str">
        <f>IFERROR(($CO233+$CR233)*(INDEX('Territory Factors'!$K$6:$K$56,MATCH($K233,'Territory Factors'!$B$6:$B$56,0))+'Commission Structure'!$C$21),"")</f>
        <v/>
      </c>
      <c r="CT233" s="104" t="str">
        <f t="shared" si="49"/>
        <v/>
      </c>
      <c r="CU233" s="102" t="str">
        <f>IFERROR($CO233*('Commission Structure'!$C$6+'Commission Structure'!$C$7),"")</f>
        <v/>
      </c>
      <c r="CV233" s="102" t="str">
        <f>IFERROR($CO233*'Commission Structure'!$C$5-$CU233,"")</f>
        <v/>
      </c>
      <c r="CW233" s="102" t="str">
        <f>IFERROR($CO233*(1-'Commission Structure'!$C$5),"")</f>
        <v/>
      </c>
      <c r="CX233" s="107"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8" t="str">
        <f t="shared" si="50"/>
        <v/>
      </c>
      <c r="CZ233" s="99" t="str">
        <f>IF($CY233="","",IF($CY233&lt;'Technical Premium'!$C$19,"BEYOND AUTHORITY",IF($CY233&gt;0.005,"Above technical",IF($CY233&lt;-0.005,"BELOW technical","At technical"))))</f>
        <v/>
      </c>
      <c r="DA233" s="99"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4"/>
      <c r="DC233" s="94"/>
      <c r="DD233" s="95"/>
      <c r="DE233" s="94"/>
      <c r="DF233" s="94"/>
      <c r="DG233" s="99" t="str">
        <f t="shared" si="51"/>
        <v/>
      </c>
      <c r="DH233" s="99" t="str">
        <f>IF($A233="","",IF(OR($CX233="REFER",$CX233="DECLINE"),COUNTIF($CX$5:$CX233,"REFER")+COUNTIF($CX$5:$CX233,"DECLINE"),""))</f>
        <v/>
      </c>
      <c r="DI233" s="94"/>
    </row>
    <row r="234" spans="1:113" x14ac:dyDescent="0.35">
      <c r="A234" s="94"/>
      <c r="B234" s="94"/>
      <c r="C234" s="95"/>
      <c r="D234" s="95"/>
      <c r="E234" s="96"/>
      <c r="F234" s="94"/>
      <c r="G234" s="94"/>
      <c r="H234" s="94"/>
      <c r="I234" s="94"/>
      <c r="J234" s="97"/>
      <c r="K234" s="94"/>
      <c r="L234" s="94"/>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8"/>
      <c r="AR234" s="99" t="str">
        <f t="shared" si="39"/>
        <v/>
      </c>
      <c r="AS234" s="99" t="str">
        <f>IF($A234="","",IF($AP234&lt;&gt;"",$AP234,IFERROR(INDEX('Cat Zone by ZIP'!$D$6:$D$856,MATCH($AR234,'Cat Zone by ZIP'!$B$6:$B$856,0)),IFERROR(INDEX('Cat Zone by ZIP'!$C$860:$C$910,MATCH($K234,'Cat Zone by ZIP'!$B$860:$B$910,0)),"NOT FOUND"))))</f>
        <v/>
      </c>
      <c r="AT234" s="99" t="str">
        <f>IF($A234="","",IF($AP234&lt;&gt;"","Override",IF(ISNUMBER(MATCH($AR234,'Cat Zone by ZIP'!$B$6:$B$856,0)),"ZIP-3","State default")))</f>
        <v/>
      </c>
      <c r="AU234" s="100" t="str">
        <f>IF($A234="","",IFERROR(INDEX('Natural Catastrophe'!$D$6:$D$17,MATCH($AS234,'Natural Catastrophe'!$B$6:$B$17,0)),"?"))</f>
        <v/>
      </c>
      <c r="AV234" s="100" t="str">
        <f>IF($A234="","",IFERROR(INDEX('Natural Catastrophe'!$C$21:$C$26,MATCH($AA234,'Natural Catastrophe'!$B$21:$B$26,0)),"?"))</f>
        <v/>
      </c>
      <c r="AW234" s="99" t="str">
        <f>IF($A234="","",IFERROR(INDEX('Base Rates'!$C$4:$I$4,MATCH(MAX($J234,'Technical Premium'!$C$18),'Base Rates'!$C$3:$I$3,1)),"?"))</f>
        <v/>
      </c>
      <c r="AX234" s="101" t="str">
        <f>IF($A234="","",IFERROR(INDEX('Base Rates'!$C$5:$I$16,MATCH($I234,'Base Rates'!$B$5:$B$16,0),MATCH(MAX($J234,'Technical Premium'!$C$18),'Base Rates'!$C$3:$I$3,1)),"?"))</f>
        <v/>
      </c>
      <c r="AY234" s="102" t="str">
        <f t="shared" si="40"/>
        <v/>
      </c>
      <c r="AZ234" s="99" t="str">
        <f>IF($A234="","",IFERROR(INDEX('Make Factors'!$G$5:$G$69,MATCH($F234,'Make Factors'!$B$5:$B$69,0)),"?"))</f>
        <v/>
      </c>
      <c r="BA234" s="99" t="str">
        <f>IF($A234="","",IFERROR(INDEX('Driver Factors'!$C$6:$C$15,MATCH($R234,'Driver Factors'!$B$6:$B$15,0)),"?"))</f>
        <v/>
      </c>
      <c r="BB234" s="99" t="str">
        <f>IF($A234="","",IFERROR(INDEX('Driver Factors'!$C$19:$C$24,MATCH($S234,'Driver Factors'!$B$19:$B$24,0)),"?"))</f>
        <v/>
      </c>
      <c r="BC234" s="99" t="str">
        <f>IF($A234="","",IFERROR(INDEX('Driver Factors'!$C$28:$C$36,MATCH($T234,'Driver Factors'!$B$28:$B$36,0)),"?"))</f>
        <v/>
      </c>
      <c r="BD234" s="99" t="str">
        <f>IF($A234="","",IFERROR(INDEX('Claims History'!$C$6:$C$15,MATCH($U234,'Claims History'!$B$6:$B$15,0)),"?"))</f>
        <v/>
      </c>
      <c r="BE234" s="99" t="str">
        <f>IF($A234="","",IFERROR(INDEX('Territory Factors'!$E$6:$E$56,MATCH($K234,'Territory Factors'!$B$6:$B$56,0)),"?"))</f>
        <v/>
      </c>
      <c r="BF234" s="99" t="str">
        <f>IF($A234="","",IFERROR(INDEX('City Accident Ratings'!$G$6:$G$54,MATCH($Z234,'City Accident Ratings'!$B$6:$B$54,0)),"?"))</f>
        <v/>
      </c>
      <c r="BG234" s="99" t="str">
        <f>IF($A234="","",IFERROR(INDEX('Usage and Coverage'!$D$6:$D$20,MATCH($N234,'Usage and Coverage'!$C$6:$C$20,0)),"?"))</f>
        <v/>
      </c>
      <c r="BH234" s="99" t="str">
        <f>IF($A234="","",IFERROR(INDEX('Usage and Coverage'!$C$24:$C$30,MATCH($O234,'Usage and Coverage'!$B$24:$B$30,0)),"?"))</f>
        <v/>
      </c>
      <c r="BI234" s="99" t="str">
        <f>IF($A234="","",IFERROR(INDEX('Usage and Coverage'!$C$34:$C$40,MATCH($P234,'Usage and Coverage'!$B$34:$B$40,0)),"?"))</f>
        <v/>
      </c>
      <c r="BJ234" s="99" t="str">
        <f>IF($A234="","",IFERROR(INDEX('Usage and Coverage'!$C$44:$C$49,MATCH($Q234,'Usage and Coverage'!$B$44:$B$49,0)),"?"))</f>
        <v/>
      </c>
      <c r="BK234" s="99" t="str">
        <f>IF($A234="","",IFERROR(INDEX(Deductibles!$C$6:$I$15,MATCH($W234,Deductibles!$B$6:$B$15,0),MATCH(MAX($J234,'Technical Premium'!$C$18),'Base Rates'!$C$3:$I$3,1)),"?"))</f>
        <v/>
      </c>
      <c r="BL234" s="99" t="str">
        <f>IF($A234="","",IFERROR(INDEX('Usage and Coverage'!$C$63:$C$66,MATCH($X234,'Usage and Coverage'!$B$63:$B$66,0)),"?"))</f>
        <v/>
      </c>
      <c r="BM234" s="99" t="str">
        <f>IF($A234="","",IFERROR(INDEX('Usage and Coverage'!$C$70:$C$75,MATCH($V234,'Usage and Coverage'!$B$70:$B$75,0)),"?"))</f>
        <v/>
      </c>
      <c r="BN234" s="99" t="str">
        <f>IF($A234="","",IF($AB234="",1,IFERROR(INDEX(Deductibles!$C$48:$C$51,MATCH($AB234,Deductibles!$B$48:$B$51,0)),"?")))</f>
        <v/>
      </c>
      <c r="BO234" s="99" t="str">
        <f>IF($A234="","",IF($AC234="",1,IFERROR(INDEX(Deductibles!$C$55:$C$57,MATCH($AC234,Deductibles!$B$55:$B$57,0)),"?")))</f>
        <v/>
      </c>
      <c r="BP234" s="99" t="str">
        <f>IF($A234="","",IF($AD234="",1,IFERROR(INDEX(Deductibles!$C$61:$C$63,MATCH($AD234,Deductibles!$B$61:$B$63,0)),"?")))</f>
        <v/>
      </c>
      <c r="BQ234" s="99" t="str">
        <f>IF($A234="","",IF($AE234="",1,IFERROR(INDEX(Deductibles!$C$67:$C$69,MATCH($AE234,Deductibles!$B$67:$B$69,0)),"?")))</f>
        <v/>
      </c>
      <c r="BR234" s="99" t="str">
        <f>IF($A234="","",IF($AF234="",1,IFERROR(INDEX(Deductibles!$C$73:$C$74,MATCH($AF234,Deductibles!$B$73:$B$74,0)),"?")))</f>
        <v/>
      </c>
      <c r="BS234" s="99" t="str">
        <f>IF($A234="","",IF($AG234="",1,IFERROR(INDEX('Sublimits and Parts'!$C$49:$C$52,MATCH($AG234,'Sublimits and Parts'!$B$49:$B$52,0)),"?")))</f>
        <v/>
      </c>
      <c r="BT234" s="99" t="str">
        <f>IF($A234="","",IF($AH234="",1,IFERROR(INDEX('Sublimits and Parts'!$C$56:$C$60,MATCH($AH234,'Sublimits and Parts'!$B$56:$B$60,0)),"?")))</f>
        <v/>
      </c>
      <c r="BU234" s="99" t="str">
        <f>IF($A234="","",IF($AI234="",1,IFERROR(INDEX('Sublimits and Parts'!$C$64:$C$67,MATCH($AI234,'Sublimits and Parts'!$B$64:$B$67,0)),"?")))</f>
        <v/>
      </c>
      <c r="BV234" s="99" t="str">
        <f>IF($A234="","",IF($AJ234="",1,IFERROR(INDEX('Sublimits and Parts'!$C$71:$C$74,MATCH($AJ234,'Sublimits and Parts'!$B$71:$B$74,0)),"?")))</f>
        <v/>
      </c>
      <c r="BW234" s="99" t="str">
        <f>IF($A234="","",IF($AK234="",1,IFERROR(INDEX('Sublimits and Parts'!$C$78:$C$80,MATCH($AK234,'Sublimits and Parts'!$B$78:$B$80,0)),"?")))</f>
        <v/>
      </c>
      <c r="BX234" s="99" t="str">
        <f>IF($A234="","",IF($AL234="",1,IFERROR(INDEX('Sublimits and Parts'!$C$84:$C$87,MATCH($AL234,'Sublimits and Parts'!$B$84:$B$87,0)),"?")))</f>
        <v/>
      </c>
      <c r="BY234" s="99" t="str">
        <f>IF($A234="","",IF($AM234="",1,IFERROR(INDEX('Sublimits and Parts'!$C$91:$C$94,MATCH($AM234,'Sublimits and Parts'!$B$91:$B$94,0)),"?")))</f>
        <v/>
      </c>
      <c r="BZ234" s="99" t="str">
        <f>IF($A234="","",IF($AN234="",1,IFERROR(INDEX('Sublimits and Parts'!$C$98:$C$101,MATCH($AN234,'Sublimits and Parts'!$B$98:$B$101,0)),"?")))</f>
        <v/>
      </c>
      <c r="CA234" s="99" t="str">
        <f>IF($A234="","",IF($AO234="",1,IFERROR(INDEX('Sublimits and Parts'!$C$105:$C$109,MATCH($AO234,'Sublimits and Parts'!$B$105:$B$109,0)),"?")))</f>
        <v/>
      </c>
      <c r="CB234" s="100" t="str">
        <f t="shared" si="41"/>
        <v/>
      </c>
      <c r="CC234" s="100" t="str">
        <f t="shared" si="42"/>
        <v/>
      </c>
      <c r="CD234" s="103" t="str">
        <f>IF($A234="","",IF(OR($CB234="?",$CC234="?"),"?",MIN($CB234*$CC234,'Technical Premium'!$C$17)))</f>
        <v/>
      </c>
      <c r="CE234" s="102" t="str">
        <f t="shared" si="43"/>
        <v/>
      </c>
      <c r="CF234" s="102" t="str">
        <f>IF($A234="","",IFERROR(INDEX('Territory Factors'!$F$6:$F$56,MATCH($K234,'Territory Factors'!$B$6:$B$56,0)),"?"))</f>
        <v/>
      </c>
      <c r="CG234" s="100" t="str">
        <f>IF($A234="","",IFERROR(INDEX('Usage and Coverage'!$C$79:$C$84,MATCH($Y234,'Usage and Coverage'!$B$79:$B$84,0)),"?"))</f>
        <v/>
      </c>
      <c r="CH234" s="102" t="str">
        <f>IFERROR(IF(ISNUMBER($CD234),$CF234*$CG234*MIN($BG234*$BA234*$BC234*$BD234*$BH234*$BF234,'Technical Premium'!$C$17),""),"")</f>
        <v/>
      </c>
      <c r="CI234" s="102" t="str">
        <f t="shared" si="44"/>
        <v/>
      </c>
      <c r="CJ234" s="102" t="str">
        <f>IFERROR($CI234*(1+'Technical Premium'!$C$5)*(1+'Technical Premium'!$C$6),"")</f>
        <v/>
      </c>
      <c r="CK234" s="102" t="str">
        <f>IFERROR($CE234*INDEX('Territory Factors'!$G$6:$G$56,MATCH($K234,'Territory Factors'!$B$6:$B$56,0))*$AU234*$AV234,"")</f>
        <v/>
      </c>
      <c r="CL234" s="102" t="str">
        <f>IFERROR(($CJ234+$CK234)*(1+'Technical Premium'!$C$7),"")</f>
        <v/>
      </c>
      <c r="CM234" s="104" t="str">
        <f>IFERROR($CL234/'Technical Premium'!$C$13,"")</f>
        <v/>
      </c>
      <c r="CN234" s="105" t="str">
        <f t="shared" si="45"/>
        <v/>
      </c>
      <c r="CO234" s="104" t="str">
        <f t="shared" si="46"/>
        <v/>
      </c>
      <c r="CP234" s="105" t="str">
        <f t="shared" si="47"/>
        <v/>
      </c>
      <c r="CQ234" s="106" t="str">
        <f t="shared" si="48"/>
        <v/>
      </c>
      <c r="CR234" s="102" t="str">
        <f>IF(ISNUMBER($CM234),'Technical Premium'!$C$14+IF($J234&gt;=1000000,'Technical Premium'!$C$15,0),"")</f>
        <v/>
      </c>
      <c r="CS234" s="102" t="str">
        <f>IFERROR(($CO234+$CR234)*(INDEX('Territory Factors'!$K$6:$K$56,MATCH($K234,'Territory Factors'!$B$6:$B$56,0))+'Commission Structure'!$C$21),"")</f>
        <v/>
      </c>
      <c r="CT234" s="104" t="str">
        <f t="shared" si="49"/>
        <v/>
      </c>
      <c r="CU234" s="102" t="str">
        <f>IFERROR($CO234*('Commission Structure'!$C$6+'Commission Structure'!$C$7),"")</f>
        <v/>
      </c>
      <c r="CV234" s="102" t="str">
        <f>IFERROR($CO234*'Commission Structure'!$C$5-$CU234,"")</f>
        <v/>
      </c>
      <c r="CW234" s="102" t="str">
        <f>IFERROR($CO234*(1-'Commission Structure'!$C$5),"")</f>
        <v/>
      </c>
      <c r="CX234" s="107"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8" t="str">
        <f t="shared" si="50"/>
        <v/>
      </c>
      <c r="CZ234" s="99" t="str">
        <f>IF($CY234="","",IF($CY234&lt;'Technical Premium'!$C$19,"BEYOND AUTHORITY",IF($CY234&gt;0.005,"Above technical",IF($CY234&lt;-0.005,"BELOW technical","At technical"))))</f>
        <v/>
      </c>
      <c r="DA234" s="99"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4"/>
      <c r="DC234" s="94"/>
      <c r="DD234" s="95"/>
      <c r="DE234" s="94"/>
      <c r="DF234" s="94"/>
      <c r="DG234" s="99" t="str">
        <f t="shared" si="51"/>
        <v/>
      </c>
      <c r="DH234" s="99" t="str">
        <f>IF($A234="","",IF(OR($CX234="REFER",$CX234="DECLINE"),COUNTIF($CX$5:$CX234,"REFER")+COUNTIF($CX$5:$CX234,"DECLINE"),""))</f>
        <v/>
      </c>
      <c r="DI234" s="94"/>
    </row>
    <row r="235" spans="1:113" x14ac:dyDescent="0.35">
      <c r="A235" s="94"/>
      <c r="B235" s="94"/>
      <c r="C235" s="95"/>
      <c r="D235" s="95"/>
      <c r="E235" s="96"/>
      <c r="F235" s="94"/>
      <c r="G235" s="94"/>
      <c r="H235" s="94"/>
      <c r="I235" s="94"/>
      <c r="J235" s="97"/>
      <c r="K235" s="94"/>
      <c r="L235" s="94"/>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8"/>
      <c r="AR235" s="99" t="str">
        <f t="shared" si="39"/>
        <v/>
      </c>
      <c r="AS235" s="99" t="str">
        <f>IF($A235="","",IF($AP235&lt;&gt;"",$AP235,IFERROR(INDEX('Cat Zone by ZIP'!$D$6:$D$856,MATCH($AR235,'Cat Zone by ZIP'!$B$6:$B$856,0)),IFERROR(INDEX('Cat Zone by ZIP'!$C$860:$C$910,MATCH($K235,'Cat Zone by ZIP'!$B$860:$B$910,0)),"NOT FOUND"))))</f>
        <v/>
      </c>
      <c r="AT235" s="99" t="str">
        <f>IF($A235="","",IF($AP235&lt;&gt;"","Override",IF(ISNUMBER(MATCH($AR235,'Cat Zone by ZIP'!$B$6:$B$856,0)),"ZIP-3","State default")))</f>
        <v/>
      </c>
      <c r="AU235" s="100" t="str">
        <f>IF($A235="","",IFERROR(INDEX('Natural Catastrophe'!$D$6:$D$17,MATCH($AS235,'Natural Catastrophe'!$B$6:$B$17,0)),"?"))</f>
        <v/>
      </c>
      <c r="AV235" s="100" t="str">
        <f>IF($A235="","",IFERROR(INDEX('Natural Catastrophe'!$C$21:$C$26,MATCH($AA235,'Natural Catastrophe'!$B$21:$B$26,0)),"?"))</f>
        <v/>
      </c>
      <c r="AW235" s="99" t="str">
        <f>IF($A235="","",IFERROR(INDEX('Base Rates'!$C$4:$I$4,MATCH(MAX($J235,'Technical Premium'!$C$18),'Base Rates'!$C$3:$I$3,1)),"?"))</f>
        <v/>
      </c>
      <c r="AX235" s="101" t="str">
        <f>IF($A235="","",IFERROR(INDEX('Base Rates'!$C$5:$I$16,MATCH($I235,'Base Rates'!$B$5:$B$16,0),MATCH(MAX($J235,'Technical Premium'!$C$18),'Base Rates'!$C$3:$I$3,1)),"?"))</f>
        <v/>
      </c>
      <c r="AY235" s="102" t="str">
        <f t="shared" si="40"/>
        <v/>
      </c>
      <c r="AZ235" s="99" t="str">
        <f>IF($A235="","",IFERROR(INDEX('Make Factors'!$G$5:$G$69,MATCH($F235,'Make Factors'!$B$5:$B$69,0)),"?"))</f>
        <v/>
      </c>
      <c r="BA235" s="99" t="str">
        <f>IF($A235="","",IFERROR(INDEX('Driver Factors'!$C$6:$C$15,MATCH($R235,'Driver Factors'!$B$6:$B$15,0)),"?"))</f>
        <v/>
      </c>
      <c r="BB235" s="99" t="str">
        <f>IF($A235="","",IFERROR(INDEX('Driver Factors'!$C$19:$C$24,MATCH($S235,'Driver Factors'!$B$19:$B$24,0)),"?"))</f>
        <v/>
      </c>
      <c r="BC235" s="99" t="str">
        <f>IF($A235="","",IFERROR(INDEX('Driver Factors'!$C$28:$C$36,MATCH($T235,'Driver Factors'!$B$28:$B$36,0)),"?"))</f>
        <v/>
      </c>
      <c r="BD235" s="99" t="str">
        <f>IF($A235="","",IFERROR(INDEX('Claims History'!$C$6:$C$15,MATCH($U235,'Claims History'!$B$6:$B$15,0)),"?"))</f>
        <v/>
      </c>
      <c r="BE235" s="99" t="str">
        <f>IF($A235="","",IFERROR(INDEX('Territory Factors'!$E$6:$E$56,MATCH($K235,'Territory Factors'!$B$6:$B$56,0)),"?"))</f>
        <v/>
      </c>
      <c r="BF235" s="99" t="str">
        <f>IF($A235="","",IFERROR(INDEX('City Accident Ratings'!$G$6:$G$54,MATCH($Z235,'City Accident Ratings'!$B$6:$B$54,0)),"?"))</f>
        <v/>
      </c>
      <c r="BG235" s="99" t="str">
        <f>IF($A235="","",IFERROR(INDEX('Usage and Coverage'!$D$6:$D$20,MATCH($N235,'Usage and Coverage'!$C$6:$C$20,0)),"?"))</f>
        <v/>
      </c>
      <c r="BH235" s="99" t="str">
        <f>IF($A235="","",IFERROR(INDEX('Usage and Coverage'!$C$24:$C$30,MATCH($O235,'Usage and Coverage'!$B$24:$B$30,0)),"?"))</f>
        <v/>
      </c>
      <c r="BI235" s="99" t="str">
        <f>IF($A235="","",IFERROR(INDEX('Usage and Coverage'!$C$34:$C$40,MATCH($P235,'Usage and Coverage'!$B$34:$B$40,0)),"?"))</f>
        <v/>
      </c>
      <c r="BJ235" s="99" t="str">
        <f>IF($A235="","",IFERROR(INDEX('Usage and Coverage'!$C$44:$C$49,MATCH($Q235,'Usage and Coverage'!$B$44:$B$49,0)),"?"))</f>
        <v/>
      </c>
      <c r="BK235" s="99" t="str">
        <f>IF($A235="","",IFERROR(INDEX(Deductibles!$C$6:$I$15,MATCH($W235,Deductibles!$B$6:$B$15,0),MATCH(MAX($J235,'Technical Premium'!$C$18),'Base Rates'!$C$3:$I$3,1)),"?"))</f>
        <v/>
      </c>
      <c r="BL235" s="99" t="str">
        <f>IF($A235="","",IFERROR(INDEX('Usage and Coverage'!$C$63:$C$66,MATCH($X235,'Usage and Coverage'!$B$63:$B$66,0)),"?"))</f>
        <v/>
      </c>
      <c r="BM235" s="99" t="str">
        <f>IF($A235="","",IFERROR(INDEX('Usage and Coverage'!$C$70:$C$75,MATCH($V235,'Usage and Coverage'!$B$70:$B$75,0)),"?"))</f>
        <v/>
      </c>
      <c r="BN235" s="99" t="str">
        <f>IF($A235="","",IF($AB235="",1,IFERROR(INDEX(Deductibles!$C$48:$C$51,MATCH($AB235,Deductibles!$B$48:$B$51,0)),"?")))</f>
        <v/>
      </c>
      <c r="BO235" s="99" t="str">
        <f>IF($A235="","",IF($AC235="",1,IFERROR(INDEX(Deductibles!$C$55:$C$57,MATCH($AC235,Deductibles!$B$55:$B$57,0)),"?")))</f>
        <v/>
      </c>
      <c r="BP235" s="99" t="str">
        <f>IF($A235="","",IF($AD235="",1,IFERROR(INDEX(Deductibles!$C$61:$C$63,MATCH($AD235,Deductibles!$B$61:$B$63,0)),"?")))</f>
        <v/>
      </c>
      <c r="BQ235" s="99" t="str">
        <f>IF($A235="","",IF($AE235="",1,IFERROR(INDEX(Deductibles!$C$67:$C$69,MATCH($AE235,Deductibles!$B$67:$B$69,0)),"?")))</f>
        <v/>
      </c>
      <c r="BR235" s="99" t="str">
        <f>IF($A235="","",IF($AF235="",1,IFERROR(INDEX(Deductibles!$C$73:$C$74,MATCH($AF235,Deductibles!$B$73:$B$74,0)),"?")))</f>
        <v/>
      </c>
      <c r="BS235" s="99" t="str">
        <f>IF($A235="","",IF($AG235="",1,IFERROR(INDEX('Sublimits and Parts'!$C$49:$C$52,MATCH($AG235,'Sublimits and Parts'!$B$49:$B$52,0)),"?")))</f>
        <v/>
      </c>
      <c r="BT235" s="99" t="str">
        <f>IF($A235="","",IF($AH235="",1,IFERROR(INDEX('Sublimits and Parts'!$C$56:$C$60,MATCH($AH235,'Sublimits and Parts'!$B$56:$B$60,0)),"?")))</f>
        <v/>
      </c>
      <c r="BU235" s="99" t="str">
        <f>IF($A235="","",IF($AI235="",1,IFERROR(INDEX('Sublimits and Parts'!$C$64:$C$67,MATCH($AI235,'Sublimits and Parts'!$B$64:$B$67,0)),"?")))</f>
        <v/>
      </c>
      <c r="BV235" s="99" t="str">
        <f>IF($A235="","",IF($AJ235="",1,IFERROR(INDEX('Sublimits and Parts'!$C$71:$C$74,MATCH($AJ235,'Sublimits and Parts'!$B$71:$B$74,0)),"?")))</f>
        <v/>
      </c>
      <c r="BW235" s="99" t="str">
        <f>IF($A235="","",IF($AK235="",1,IFERROR(INDEX('Sublimits and Parts'!$C$78:$C$80,MATCH($AK235,'Sublimits and Parts'!$B$78:$B$80,0)),"?")))</f>
        <v/>
      </c>
      <c r="BX235" s="99" t="str">
        <f>IF($A235="","",IF($AL235="",1,IFERROR(INDEX('Sublimits and Parts'!$C$84:$C$87,MATCH($AL235,'Sublimits and Parts'!$B$84:$B$87,0)),"?")))</f>
        <v/>
      </c>
      <c r="BY235" s="99" t="str">
        <f>IF($A235="","",IF($AM235="",1,IFERROR(INDEX('Sublimits and Parts'!$C$91:$C$94,MATCH($AM235,'Sublimits and Parts'!$B$91:$B$94,0)),"?")))</f>
        <v/>
      </c>
      <c r="BZ235" s="99" t="str">
        <f>IF($A235="","",IF($AN235="",1,IFERROR(INDEX('Sublimits and Parts'!$C$98:$C$101,MATCH($AN235,'Sublimits and Parts'!$B$98:$B$101,0)),"?")))</f>
        <v/>
      </c>
      <c r="CA235" s="99" t="str">
        <f>IF($A235="","",IF($AO235="",1,IFERROR(INDEX('Sublimits and Parts'!$C$105:$C$109,MATCH($AO235,'Sublimits and Parts'!$B$105:$B$109,0)),"?")))</f>
        <v/>
      </c>
      <c r="CB235" s="100" t="str">
        <f t="shared" si="41"/>
        <v/>
      </c>
      <c r="CC235" s="100" t="str">
        <f t="shared" si="42"/>
        <v/>
      </c>
      <c r="CD235" s="103" t="str">
        <f>IF($A235="","",IF(OR($CB235="?",$CC235="?"),"?",MIN($CB235*$CC235,'Technical Premium'!$C$17)))</f>
        <v/>
      </c>
      <c r="CE235" s="102" t="str">
        <f t="shared" si="43"/>
        <v/>
      </c>
      <c r="CF235" s="102" t="str">
        <f>IF($A235="","",IFERROR(INDEX('Territory Factors'!$F$6:$F$56,MATCH($K235,'Territory Factors'!$B$6:$B$56,0)),"?"))</f>
        <v/>
      </c>
      <c r="CG235" s="100" t="str">
        <f>IF($A235="","",IFERROR(INDEX('Usage and Coverage'!$C$79:$C$84,MATCH($Y235,'Usage and Coverage'!$B$79:$B$84,0)),"?"))</f>
        <v/>
      </c>
      <c r="CH235" s="102" t="str">
        <f>IFERROR(IF(ISNUMBER($CD235),$CF235*$CG235*MIN($BG235*$BA235*$BC235*$BD235*$BH235*$BF235,'Technical Premium'!$C$17),""),"")</f>
        <v/>
      </c>
      <c r="CI235" s="102" t="str">
        <f t="shared" si="44"/>
        <v/>
      </c>
      <c r="CJ235" s="102" t="str">
        <f>IFERROR($CI235*(1+'Technical Premium'!$C$5)*(1+'Technical Premium'!$C$6),"")</f>
        <v/>
      </c>
      <c r="CK235" s="102" t="str">
        <f>IFERROR($CE235*INDEX('Territory Factors'!$G$6:$G$56,MATCH($K235,'Territory Factors'!$B$6:$B$56,0))*$AU235*$AV235,"")</f>
        <v/>
      </c>
      <c r="CL235" s="102" t="str">
        <f>IFERROR(($CJ235+$CK235)*(1+'Technical Premium'!$C$7),"")</f>
        <v/>
      </c>
      <c r="CM235" s="104" t="str">
        <f>IFERROR($CL235/'Technical Premium'!$C$13,"")</f>
        <v/>
      </c>
      <c r="CN235" s="105" t="str">
        <f t="shared" si="45"/>
        <v/>
      </c>
      <c r="CO235" s="104" t="str">
        <f t="shared" si="46"/>
        <v/>
      </c>
      <c r="CP235" s="105" t="str">
        <f t="shared" si="47"/>
        <v/>
      </c>
      <c r="CQ235" s="106" t="str">
        <f t="shared" si="48"/>
        <v/>
      </c>
      <c r="CR235" s="102" t="str">
        <f>IF(ISNUMBER($CM235),'Technical Premium'!$C$14+IF($J235&gt;=1000000,'Technical Premium'!$C$15,0),"")</f>
        <v/>
      </c>
      <c r="CS235" s="102" t="str">
        <f>IFERROR(($CO235+$CR235)*(INDEX('Territory Factors'!$K$6:$K$56,MATCH($K235,'Territory Factors'!$B$6:$B$56,0))+'Commission Structure'!$C$21),"")</f>
        <v/>
      </c>
      <c r="CT235" s="104" t="str">
        <f t="shared" si="49"/>
        <v/>
      </c>
      <c r="CU235" s="102" t="str">
        <f>IFERROR($CO235*('Commission Structure'!$C$6+'Commission Structure'!$C$7),"")</f>
        <v/>
      </c>
      <c r="CV235" s="102" t="str">
        <f>IFERROR($CO235*'Commission Structure'!$C$5-$CU235,"")</f>
        <v/>
      </c>
      <c r="CW235" s="102" t="str">
        <f>IFERROR($CO235*(1-'Commission Structure'!$C$5),"")</f>
        <v/>
      </c>
      <c r="CX235" s="107"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8" t="str">
        <f t="shared" si="50"/>
        <v/>
      </c>
      <c r="CZ235" s="99" t="str">
        <f>IF($CY235="","",IF($CY235&lt;'Technical Premium'!$C$19,"BEYOND AUTHORITY",IF($CY235&gt;0.005,"Above technical",IF($CY235&lt;-0.005,"BELOW technical","At technical"))))</f>
        <v/>
      </c>
      <c r="DA235" s="99"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4"/>
      <c r="DC235" s="94"/>
      <c r="DD235" s="95"/>
      <c r="DE235" s="94"/>
      <c r="DF235" s="94"/>
      <c r="DG235" s="99" t="str">
        <f t="shared" si="51"/>
        <v/>
      </c>
      <c r="DH235" s="99" t="str">
        <f>IF($A235="","",IF(OR($CX235="REFER",$CX235="DECLINE"),COUNTIF($CX$5:$CX235,"REFER")+COUNTIF($CX$5:$CX235,"DECLINE"),""))</f>
        <v/>
      </c>
      <c r="DI235" s="94"/>
    </row>
    <row r="236" spans="1:113" x14ac:dyDescent="0.35">
      <c r="A236" s="94"/>
      <c r="B236" s="94"/>
      <c r="C236" s="95"/>
      <c r="D236" s="95"/>
      <c r="E236" s="96"/>
      <c r="F236" s="94"/>
      <c r="G236" s="94"/>
      <c r="H236" s="94"/>
      <c r="I236" s="94"/>
      <c r="J236" s="97"/>
      <c r="K236" s="94"/>
      <c r="L236" s="94"/>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8"/>
      <c r="AR236" s="99" t="str">
        <f t="shared" si="39"/>
        <v/>
      </c>
      <c r="AS236" s="99" t="str">
        <f>IF($A236="","",IF($AP236&lt;&gt;"",$AP236,IFERROR(INDEX('Cat Zone by ZIP'!$D$6:$D$856,MATCH($AR236,'Cat Zone by ZIP'!$B$6:$B$856,0)),IFERROR(INDEX('Cat Zone by ZIP'!$C$860:$C$910,MATCH($K236,'Cat Zone by ZIP'!$B$860:$B$910,0)),"NOT FOUND"))))</f>
        <v/>
      </c>
      <c r="AT236" s="99" t="str">
        <f>IF($A236="","",IF($AP236&lt;&gt;"","Override",IF(ISNUMBER(MATCH($AR236,'Cat Zone by ZIP'!$B$6:$B$856,0)),"ZIP-3","State default")))</f>
        <v/>
      </c>
      <c r="AU236" s="100" t="str">
        <f>IF($A236="","",IFERROR(INDEX('Natural Catastrophe'!$D$6:$D$17,MATCH($AS236,'Natural Catastrophe'!$B$6:$B$17,0)),"?"))</f>
        <v/>
      </c>
      <c r="AV236" s="100" t="str">
        <f>IF($A236="","",IFERROR(INDEX('Natural Catastrophe'!$C$21:$C$26,MATCH($AA236,'Natural Catastrophe'!$B$21:$B$26,0)),"?"))</f>
        <v/>
      </c>
      <c r="AW236" s="99" t="str">
        <f>IF($A236="","",IFERROR(INDEX('Base Rates'!$C$4:$I$4,MATCH(MAX($J236,'Technical Premium'!$C$18),'Base Rates'!$C$3:$I$3,1)),"?"))</f>
        <v/>
      </c>
      <c r="AX236" s="101" t="str">
        <f>IF($A236="","",IFERROR(INDEX('Base Rates'!$C$5:$I$16,MATCH($I236,'Base Rates'!$B$5:$B$16,0),MATCH(MAX($J236,'Technical Premium'!$C$18),'Base Rates'!$C$3:$I$3,1)),"?"))</f>
        <v/>
      </c>
      <c r="AY236" s="102" t="str">
        <f t="shared" si="40"/>
        <v/>
      </c>
      <c r="AZ236" s="99" t="str">
        <f>IF($A236="","",IFERROR(INDEX('Make Factors'!$G$5:$G$69,MATCH($F236,'Make Factors'!$B$5:$B$69,0)),"?"))</f>
        <v/>
      </c>
      <c r="BA236" s="99" t="str">
        <f>IF($A236="","",IFERROR(INDEX('Driver Factors'!$C$6:$C$15,MATCH($R236,'Driver Factors'!$B$6:$B$15,0)),"?"))</f>
        <v/>
      </c>
      <c r="BB236" s="99" t="str">
        <f>IF($A236="","",IFERROR(INDEX('Driver Factors'!$C$19:$C$24,MATCH($S236,'Driver Factors'!$B$19:$B$24,0)),"?"))</f>
        <v/>
      </c>
      <c r="BC236" s="99" t="str">
        <f>IF($A236="","",IFERROR(INDEX('Driver Factors'!$C$28:$C$36,MATCH($T236,'Driver Factors'!$B$28:$B$36,0)),"?"))</f>
        <v/>
      </c>
      <c r="BD236" s="99" t="str">
        <f>IF($A236="","",IFERROR(INDEX('Claims History'!$C$6:$C$15,MATCH($U236,'Claims History'!$B$6:$B$15,0)),"?"))</f>
        <v/>
      </c>
      <c r="BE236" s="99" t="str">
        <f>IF($A236="","",IFERROR(INDEX('Territory Factors'!$E$6:$E$56,MATCH($K236,'Territory Factors'!$B$6:$B$56,0)),"?"))</f>
        <v/>
      </c>
      <c r="BF236" s="99" t="str">
        <f>IF($A236="","",IFERROR(INDEX('City Accident Ratings'!$G$6:$G$54,MATCH($Z236,'City Accident Ratings'!$B$6:$B$54,0)),"?"))</f>
        <v/>
      </c>
      <c r="BG236" s="99" t="str">
        <f>IF($A236="","",IFERROR(INDEX('Usage and Coverage'!$D$6:$D$20,MATCH($N236,'Usage and Coverage'!$C$6:$C$20,0)),"?"))</f>
        <v/>
      </c>
      <c r="BH236" s="99" t="str">
        <f>IF($A236="","",IFERROR(INDEX('Usage and Coverage'!$C$24:$C$30,MATCH($O236,'Usage and Coverage'!$B$24:$B$30,0)),"?"))</f>
        <v/>
      </c>
      <c r="BI236" s="99" t="str">
        <f>IF($A236="","",IFERROR(INDEX('Usage and Coverage'!$C$34:$C$40,MATCH($P236,'Usage and Coverage'!$B$34:$B$40,0)),"?"))</f>
        <v/>
      </c>
      <c r="BJ236" s="99" t="str">
        <f>IF($A236="","",IFERROR(INDEX('Usage and Coverage'!$C$44:$C$49,MATCH($Q236,'Usage and Coverage'!$B$44:$B$49,0)),"?"))</f>
        <v/>
      </c>
      <c r="BK236" s="99" t="str">
        <f>IF($A236="","",IFERROR(INDEX(Deductibles!$C$6:$I$15,MATCH($W236,Deductibles!$B$6:$B$15,0),MATCH(MAX($J236,'Technical Premium'!$C$18),'Base Rates'!$C$3:$I$3,1)),"?"))</f>
        <v/>
      </c>
      <c r="BL236" s="99" t="str">
        <f>IF($A236="","",IFERROR(INDEX('Usage and Coverage'!$C$63:$C$66,MATCH($X236,'Usage and Coverage'!$B$63:$B$66,0)),"?"))</f>
        <v/>
      </c>
      <c r="BM236" s="99" t="str">
        <f>IF($A236="","",IFERROR(INDEX('Usage and Coverage'!$C$70:$C$75,MATCH($V236,'Usage and Coverage'!$B$70:$B$75,0)),"?"))</f>
        <v/>
      </c>
      <c r="BN236" s="99" t="str">
        <f>IF($A236="","",IF($AB236="",1,IFERROR(INDEX(Deductibles!$C$48:$C$51,MATCH($AB236,Deductibles!$B$48:$B$51,0)),"?")))</f>
        <v/>
      </c>
      <c r="BO236" s="99" t="str">
        <f>IF($A236="","",IF($AC236="",1,IFERROR(INDEX(Deductibles!$C$55:$C$57,MATCH($AC236,Deductibles!$B$55:$B$57,0)),"?")))</f>
        <v/>
      </c>
      <c r="BP236" s="99" t="str">
        <f>IF($A236="","",IF($AD236="",1,IFERROR(INDEX(Deductibles!$C$61:$C$63,MATCH($AD236,Deductibles!$B$61:$B$63,0)),"?")))</f>
        <v/>
      </c>
      <c r="BQ236" s="99" t="str">
        <f>IF($A236="","",IF($AE236="",1,IFERROR(INDEX(Deductibles!$C$67:$C$69,MATCH($AE236,Deductibles!$B$67:$B$69,0)),"?")))</f>
        <v/>
      </c>
      <c r="BR236" s="99" t="str">
        <f>IF($A236="","",IF($AF236="",1,IFERROR(INDEX(Deductibles!$C$73:$C$74,MATCH($AF236,Deductibles!$B$73:$B$74,0)),"?")))</f>
        <v/>
      </c>
      <c r="BS236" s="99" t="str">
        <f>IF($A236="","",IF($AG236="",1,IFERROR(INDEX('Sublimits and Parts'!$C$49:$C$52,MATCH($AG236,'Sublimits and Parts'!$B$49:$B$52,0)),"?")))</f>
        <v/>
      </c>
      <c r="BT236" s="99" t="str">
        <f>IF($A236="","",IF($AH236="",1,IFERROR(INDEX('Sublimits and Parts'!$C$56:$C$60,MATCH($AH236,'Sublimits and Parts'!$B$56:$B$60,0)),"?")))</f>
        <v/>
      </c>
      <c r="BU236" s="99" t="str">
        <f>IF($A236="","",IF($AI236="",1,IFERROR(INDEX('Sublimits and Parts'!$C$64:$C$67,MATCH($AI236,'Sublimits and Parts'!$B$64:$B$67,0)),"?")))</f>
        <v/>
      </c>
      <c r="BV236" s="99" t="str">
        <f>IF($A236="","",IF($AJ236="",1,IFERROR(INDEX('Sublimits and Parts'!$C$71:$C$74,MATCH($AJ236,'Sublimits and Parts'!$B$71:$B$74,0)),"?")))</f>
        <v/>
      </c>
      <c r="BW236" s="99" t="str">
        <f>IF($A236="","",IF($AK236="",1,IFERROR(INDEX('Sublimits and Parts'!$C$78:$C$80,MATCH($AK236,'Sublimits and Parts'!$B$78:$B$80,0)),"?")))</f>
        <v/>
      </c>
      <c r="BX236" s="99" t="str">
        <f>IF($A236="","",IF($AL236="",1,IFERROR(INDEX('Sublimits and Parts'!$C$84:$C$87,MATCH($AL236,'Sublimits and Parts'!$B$84:$B$87,0)),"?")))</f>
        <v/>
      </c>
      <c r="BY236" s="99" t="str">
        <f>IF($A236="","",IF($AM236="",1,IFERROR(INDEX('Sublimits and Parts'!$C$91:$C$94,MATCH($AM236,'Sublimits and Parts'!$B$91:$B$94,0)),"?")))</f>
        <v/>
      </c>
      <c r="BZ236" s="99" t="str">
        <f>IF($A236="","",IF($AN236="",1,IFERROR(INDEX('Sublimits and Parts'!$C$98:$C$101,MATCH($AN236,'Sublimits and Parts'!$B$98:$B$101,0)),"?")))</f>
        <v/>
      </c>
      <c r="CA236" s="99" t="str">
        <f>IF($A236="","",IF($AO236="",1,IFERROR(INDEX('Sublimits and Parts'!$C$105:$C$109,MATCH($AO236,'Sublimits and Parts'!$B$105:$B$109,0)),"?")))</f>
        <v/>
      </c>
      <c r="CB236" s="100" t="str">
        <f t="shared" si="41"/>
        <v/>
      </c>
      <c r="CC236" s="100" t="str">
        <f t="shared" si="42"/>
        <v/>
      </c>
      <c r="CD236" s="103" t="str">
        <f>IF($A236="","",IF(OR($CB236="?",$CC236="?"),"?",MIN($CB236*$CC236,'Technical Premium'!$C$17)))</f>
        <v/>
      </c>
      <c r="CE236" s="102" t="str">
        <f t="shared" si="43"/>
        <v/>
      </c>
      <c r="CF236" s="102" t="str">
        <f>IF($A236="","",IFERROR(INDEX('Territory Factors'!$F$6:$F$56,MATCH($K236,'Territory Factors'!$B$6:$B$56,0)),"?"))</f>
        <v/>
      </c>
      <c r="CG236" s="100" t="str">
        <f>IF($A236="","",IFERROR(INDEX('Usage and Coverage'!$C$79:$C$84,MATCH($Y236,'Usage and Coverage'!$B$79:$B$84,0)),"?"))</f>
        <v/>
      </c>
      <c r="CH236" s="102" t="str">
        <f>IFERROR(IF(ISNUMBER($CD236),$CF236*$CG236*MIN($BG236*$BA236*$BC236*$BD236*$BH236*$BF236,'Technical Premium'!$C$17),""),"")</f>
        <v/>
      </c>
      <c r="CI236" s="102" t="str">
        <f t="shared" si="44"/>
        <v/>
      </c>
      <c r="CJ236" s="102" t="str">
        <f>IFERROR($CI236*(1+'Technical Premium'!$C$5)*(1+'Technical Premium'!$C$6),"")</f>
        <v/>
      </c>
      <c r="CK236" s="102" t="str">
        <f>IFERROR($CE236*INDEX('Territory Factors'!$G$6:$G$56,MATCH($K236,'Territory Factors'!$B$6:$B$56,0))*$AU236*$AV236,"")</f>
        <v/>
      </c>
      <c r="CL236" s="102" t="str">
        <f>IFERROR(($CJ236+$CK236)*(1+'Technical Premium'!$C$7),"")</f>
        <v/>
      </c>
      <c r="CM236" s="104" t="str">
        <f>IFERROR($CL236/'Technical Premium'!$C$13,"")</f>
        <v/>
      </c>
      <c r="CN236" s="105" t="str">
        <f t="shared" si="45"/>
        <v/>
      </c>
      <c r="CO236" s="104" t="str">
        <f t="shared" si="46"/>
        <v/>
      </c>
      <c r="CP236" s="105" t="str">
        <f t="shared" si="47"/>
        <v/>
      </c>
      <c r="CQ236" s="106" t="str">
        <f t="shared" si="48"/>
        <v/>
      </c>
      <c r="CR236" s="102" t="str">
        <f>IF(ISNUMBER($CM236),'Technical Premium'!$C$14+IF($J236&gt;=1000000,'Technical Premium'!$C$15,0),"")</f>
        <v/>
      </c>
      <c r="CS236" s="102" t="str">
        <f>IFERROR(($CO236+$CR236)*(INDEX('Territory Factors'!$K$6:$K$56,MATCH($K236,'Territory Factors'!$B$6:$B$56,0))+'Commission Structure'!$C$21),"")</f>
        <v/>
      </c>
      <c r="CT236" s="104" t="str">
        <f t="shared" si="49"/>
        <v/>
      </c>
      <c r="CU236" s="102" t="str">
        <f>IFERROR($CO236*('Commission Structure'!$C$6+'Commission Structure'!$C$7),"")</f>
        <v/>
      </c>
      <c r="CV236" s="102" t="str">
        <f>IFERROR($CO236*'Commission Structure'!$C$5-$CU236,"")</f>
        <v/>
      </c>
      <c r="CW236" s="102" t="str">
        <f>IFERROR($CO236*(1-'Commission Structure'!$C$5),"")</f>
        <v/>
      </c>
      <c r="CX236" s="107"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8" t="str">
        <f t="shared" si="50"/>
        <v/>
      </c>
      <c r="CZ236" s="99" t="str">
        <f>IF($CY236="","",IF($CY236&lt;'Technical Premium'!$C$19,"BEYOND AUTHORITY",IF($CY236&gt;0.005,"Above technical",IF($CY236&lt;-0.005,"BELOW technical","At technical"))))</f>
        <v/>
      </c>
      <c r="DA236" s="99"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4"/>
      <c r="DC236" s="94"/>
      <c r="DD236" s="95"/>
      <c r="DE236" s="94"/>
      <c r="DF236" s="94"/>
      <c r="DG236" s="99" t="str">
        <f t="shared" si="51"/>
        <v/>
      </c>
      <c r="DH236" s="99" t="str">
        <f>IF($A236="","",IF(OR($CX236="REFER",$CX236="DECLINE"),COUNTIF($CX$5:$CX236,"REFER")+COUNTIF($CX$5:$CX236,"DECLINE"),""))</f>
        <v/>
      </c>
      <c r="DI236" s="94"/>
    </row>
    <row r="237" spans="1:113" x14ac:dyDescent="0.35">
      <c r="A237" s="94"/>
      <c r="B237" s="94"/>
      <c r="C237" s="95"/>
      <c r="D237" s="95"/>
      <c r="E237" s="96"/>
      <c r="F237" s="94"/>
      <c r="G237" s="94"/>
      <c r="H237" s="94"/>
      <c r="I237" s="94"/>
      <c r="J237" s="97"/>
      <c r="K237" s="94"/>
      <c r="L237" s="94"/>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8"/>
      <c r="AR237" s="99" t="str">
        <f t="shared" si="39"/>
        <v/>
      </c>
      <c r="AS237" s="99" t="str">
        <f>IF($A237="","",IF($AP237&lt;&gt;"",$AP237,IFERROR(INDEX('Cat Zone by ZIP'!$D$6:$D$856,MATCH($AR237,'Cat Zone by ZIP'!$B$6:$B$856,0)),IFERROR(INDEX('Cat Zone by ZIP'!$C$860:$C$910,MATCH($K237,'Cat Zone by ZIP'!$B$860:$B$910,0)),"NOT FOUND"))))</f>
        <v/>
      </c>
      <c r="AT237" s="99" t="str">
        <f>IF($A237="","",IF($AP237&lt;&gt;"","Override",IF(ISNUMBER(MATCH($AR237,'Cat Zone by ZIP'!$B$6:$B$856,0)),"ZIP-3","State default")))</f>
        <v/>
      </c>
      <c r="AU237" s="100" t="str">
        <f>IF($A237="","",IFERROR(INDEX('Natural Catastrophe'!$D$6:$D$17,MATCH($AS237,'Natural Catastrophe'!$B$6:$B$17,0)),"?"))</f>
        <v/>
      </c>
      <c r="AV237" s="100" t="str">
        <f>IF($A237="","",IFERROR(INDEX('Natural Catastrophe'!$C$21:$C$26,MATCH($AA237,'Natural Catastrophe'!$B$21:$B$26,0)),"?"))</f>
        <v/>
      </c>
      <c r="AW237" s="99" t="str">
        <f>IF($A237="","",IFERROR(INDEX('Base Rates'!$C$4:$I$4,MATCH(MAX($J237,'Technical Premium'!$C$18),'Base Rates'!$C$3:$I$3,1)),"?"))</f>
        <v/>
      </c>
      <c r="AX237" s="101" t="str">
        <f>IF($A237="","",IFERROR(INDEX('Base Rates'!$C$5:$I$16,MATCH($I237,'Base Rates'!$B$5:$B$16,0),MATCH(MAX($J237,'Technical Premium'!$C$18),'Base Rates'!$C$3:$I$3,1)),"?"))</f>
        <v/>
      </c>
      <c r="AY237" s="102" t="str">
        <f t="shared" si="40"/>
        <v/>
      </c>
      <c r="AZ237" s="99" t="str">
        <f>IF($A237="","",IFERROR(INDEX('Make Factors'!$G$5:$G$69,MATCH($F237,'Make Factors'!$B$5:$B$69,0)),"?"))</f>
        <v/>
      </c>
      <c r="BA237" s="99" t="str">
        <f>IF($A237="","",IFERROR(INDEX('Driver Factors'!$C$6:$C$15,MATCH($R237,'Driver Factors'!$B$6:$B$15,0)),"?"))</f>
        <v/>
      </c>
      <c r="BB237" s="99" t="str">
        <f>IF($A237="","",IFERROR(INDEX('Driver Factors'!$C$19:$C$24,MATCH($S237,'Driver Factors'!$B$19:$B$24,0)),"?"))</f>
        <v/>
      </c>
      <c r="BC237" s="99" t="str">
        <f>IF($A237="","",IFERROR(INDEX('Driver Factors'!$C$28:$C$36,MATCH($T237,'Driver Factors'!$B$28:$B$36,0)),"?"))</f>
        <v/>
      </c>
      <c r="BD237" s="99" t="str">
        <f>IF($A237="","",IFERROR(INDEX('Claims History'!$C$6:$C$15,MATCH($U237,'Claims History'!$B$6:$B$15,0)),"?"))</f>
        <v/>
      </c>
      <c r="BE237" s="99" t="str">
        <f>IF($A237="","",IFERROR(INDEX('Territory Factors'!$E$6:$E$56,MATCH($K237,'Territory Factors'!$B$6:$B$56,0)),"?"))</f>
        <v/>
      </c>
      <c r="BF237" s="99" t="str">
        <f>IF($A237="","",IFERROR(INDEX('City Accident Ratings'!$G$6:$G$54,MATCH($Z237,'City Accident Ratings'!$B$6:$B$54,0)),"?"))</f>
        <v/>
      </c>
      <c r="BG237" s="99" t="str">
        <f>IF($A237="","",IFERROR(INDEX('Usage and Coverage'!$D$6:$D$20,MATCH($N237,'Usage and Coverage'!$C$6:$C$20,0)),"?"))</f>
        <v/>
      </c>
      <c r="BH237" s="99" t="str">
        <f>IF($A237="","",IFERROR(INDEX('Usage and Coverage'!$C$24:$C$30,MATCH($O237,'Usage and Coverage'!$B$24:$B$30,0)),"?"))</f>
        <v/>
      </c>
      <c r="BI237" s="99" t="str">
        <f>IF($A237="","",IFERROR(INDEX('Usage and Coverage'!$C$34:$C$40,MATCH($P237,'Usage and Coverage'!$B$34:$B$40,0)),"?"))</f>
        <v/>
      </c>
      <c r="BJ237" s="99" t="str">
        <f>IF($A237="","",IFERROR(INDEX('Usage and Coverage'!$C$44:$C$49,MATCH($Q237,'Usage and Coverage'!$B$44:$B$49,0)),"?"))</f>
        <v/>
      </c>
      <c r="BK237" s="99" t="str">
        <f>IF($A237="","",IFERROR(INDEX(Deductibles!$C$6:$I$15,MATCH($W237,Deductibles!$B$6:$B$15,0),MATCH(MAX($J237,'Technical Premium'!$C$18),'Base Rates'!$C$3:$I$3,1)),"?"))</f>
        <v/>
      </c>
      <c r="BL237" s="99" t="str">
        <f>IF($A237="","",IFERROR(INDEX('Usage and Coverage'!$C$63:$C$66,MATCH($X237,'Usage and Coverage'!$B$63:$B$66,0)),"?"))</f>
        <v/>
      </c>
      <c r="BM237" s="99" t="str">
        <f>IF($A237="","",IFERROR(INDEX('Usage and Coverage'!$C$70:$C$75,MATCH($V237,'Usage and Coverage'!$B$70:$B$75,0)),"?"))</f>
        <v/>
      </c>
      <c r="BN237" s="99" t="str">
        <f>IF($A237="","",IF($AB237="",1,IFERROR(INDEX(Deductibles!$C$48:$C$51,MATCH($AB237,Deductibles!$B$48:$B$51,0)),"?")))</f>
        <v/>
      </c>
      <c r="BO237" s="99" t="str">
        <f>IF($A237="","",IF($AC237="",1,IFERROR(INDEX(Deductibles!$C$55:$C$57,MATCH($AC237,Deductibles!$B$55:$B$57,0)),"?")))</f>
        <v/>
      </c>
      <c r="BP237" s="99" t="str">
        <f>IF($A237="","",IF($AD237="",1,IFERROR(INDEX(Deductibles!$C$61:$C$63,MATCH($AD237,Deductibles!$B$61:$B$63,0)),"?")))</f>
        <v/>
      </c>
      <c r="BQ237" s="99" t="str">
        <f>IF($A237="","",IF($AE237="",1,IFERROR(INDEX(Deductibles!$C$67:$C$69,MATCH($AE237,Deductibles!$B$67:$B$69,0)),"?")))</f>
        <v/>
      </c>
      <c r="BR237" s="99" t="str">
        <f>IF($A237="","",IF($AF237="",1,IFERROR(INDEX(Deductibles!$C$73:$C$74,MATCH($AF237,Deductibles!$B$73:$B$74,0)),"?")))</f>
        <v/>
      </c>
      <c r="BS237" s="99" t="str">
        <f>IF($A237="","",IF($AG237="",1,IFERROR(INDEX('Sublimits and Parts'!$C$49:$C$52,MATCH($AG237,'Sublimits and Parts'!$B$49:$B$52,0)),"?")))</f>
        <v/>
      </c>
      <c r="BT237" s="99" t="str">
        <f>IF($A237="","",IF($AH237="",1,IFERROR(INDEX('Sublimits and Parts'!$C$56:$C$60,MATCH($AH237,'Sublimits and Parts'!$B$56:$B$60,0)),"?")))</f>
        <v/>
      </c>
      <c r="BU237" s="99" t="str">
        <f>IF($A237="","",IF($AI237="",1,IFERROR(INDEX('Sublimits and Parts'!$C$64:$C$67,MATCH($AI237,'Sublimits and Parts'!$B$64:$B$67,0)),"?")))</f>
        <v/>
      </c>
      <c r="BV237" s="99" t="str">
        <f>IF($A237="","",IF($AJ237="",1,IFERROR(INDEX('Sublimits and Parts'!$C$71:$C$74,MATCH($AJ237,'Sublimits and Parts'!$B$71:$B$74,0)),"?")))</f>
        <v/>
      </c>
      <c r="BW237" s="99" t="str">
        <f>IF($A237="","",IF($AK237="",1,IFERROR(INDEX('Sublimits and Parts'!$C$78:$C$80,MATCH($AK237,'Sublimits and Parts'!$B$78:$B$80,0)),"?")))</f>
        <v/>
      </c>
      <c r="BX237" s="99" t="str">
        <f>IF($A237="","",IF($AL237="",1,IFERROR(INDEX('Sublimits and Parts'!$C$84:$C$87,MATCH($AL237,'Sublimits and Parts'!$B$84:$B$87,0)),"?")))</f>
        <v/>
      </c>
      <c r="BY237" s="99" t="str">
        <f>IF($A237="","",IF($AM237="",1,IFERROR(INDEX('Sublimits and Parts'!$C$91:$C$94,MATCH($AM237,'Sublimits and Parts'!$B$91:$B$94,0)),"?")))</f>
        <v/>
      </c>
      <c r="BZ237" s="99" t="str">
        <f>IF($A237="","",IF($AN237="",1,IFERROR(INDEX('Sublimits and Parts'!$C$98:$C$101,MATCH($AN237,'Sublimits and Parts'!$B$98:$B$101,0)),"?")))</f>
        <v/>
      </c>
      <c r="CA237" s="99" t="str">
        <f>IF($A237="","",IF($AO237="",1,IFERROR(INDEX('Sublimits and Parts'!$C$105:$C$109,MATCH($AO237,'Sublimits and Parts'!$B$105:$B$109,0)),"?")))</f>
        <v/>
      </c>
      <c r="CB237" s="100" t="str">
        <f t="shared" si="41"/>
        <v/>
      </c>
      <c r="CC237" s="100" t="str">
        <f t="shared" si="42"/>
        <v/>
      </c>
      <c r="CD237" s="103" t="str">
        <f>IF($A237="","",IF(OR($CB237="?",$CC237="?"),"?",MIN($CB237*$CC237,'Technical Premium'!$C$17)))</f>
        <v/>
      </c>
      <c r="CE237" s="102" t="str">
        <f t="shared" si="43"/>
        <v/>
      </c>
      <c r="CF237" s="102" t="str">
        <f>IF($A237="","",IFERROR(INDEX('Territory Factors'!$F$6:$F$56,MATCH($K237,'Territory Factors'!$B$6:$B$56,0)),"?"))</f>
        <v/>
      </c>
      <c r="CG237" s="100" t="str">
        <f>IF($A237="","",IFERROR(INDEX('Usage and Coverage'!$C$79:$C$84,MATCH($Y237,'Usage and Coverage'!$B$79:$B$84,0)),"?"))</f>
        <v/>
      </c>
      <c r="CH237" s="102" t="str">
        <f>IFERROR(IF(ISNUMBER($CD237),$CF237*$CG237*MIN($BG237*$BA237*$BC237*$BD237*$BH237*$BF237,'Technical Premium'!$C$17),""),"")</f>
        <v/>
      </c>
      <c r="CI237" s="102" t="str">
        <f t="shared" si="44"/>
        <v/>
      </c>
      <c r="CJ237" s="102" t="str">
        <f>IFERROR($CI237*(1+'Technical Premium'!$C$5)*(1+'Technical Premium'!$C$6),"")</f>
        <v/>
      </c>
      <c r="CK237" s="102" t="str">
        <f>IFERROR($CE237*INDEX('Territory Factors'!$G$6:$G$56,MATCH($K237,'Territory Factors'!$B$6:$B$56,0))*$AU237*$AV237,"")</f>
        <v/>
      </c>
      <c r="CL237" s="102" t="str">
        <f>IFERROR(($CJ237+$CK237)*(1+'Technical Premium'!$C$7),"")</f>
        <v/>
      </c>
      <c r="CM237" s="104" t="str">
        <f>IFERROR($CL237/'Technical Premium'!$C$13,"")</f>
        <v/>
      </c>
      <c r="CN237" s="105" t="str">
        <f t="shared" si="45"/>
        <v/>
      </c>
      <c r="CO237" s="104" t="str">
        <f t="shared" si="46"/>
        <v/>
      </c>
      <c r="CP237" s="105" t="str">
        <f t="shared" si="47"/>
        <v/>
      </c>
      <c r="CQ237" s="106" t="str">
        <f t="shared" si="48"/>
        <v/>
      </c>
      <c r="CR237" s="102" t="str">
        <f>IF(ISNUMBER($CM237),'Technical Premium'!$C$14+IF($J237&gt;=1000000,'Technical Premium'!$C$15,0),"")</f>
        <v/>
      </c>
      <c r="CS237" s="102" t="str">
        <f>IFERROR(($CO237+$CR237)*(INDEX('Territory Factors'!$K$6:$K$56,MATCH($K237,'Territory Factors'!$B$6:$B$56,0))+'Commission Structure'!$C$21),"")</f>
        <v/>
      </c>
      <c r="CT237" s="104" t="str">
        <f t="shared" si="49"/>
        <v/>
      </c>
      <c r="CU237" s="102" t="str">
        <f>IFERROR($CO237*('Commission Structure'!$C$6+'Commission Structure'!$C$7),"")</f>
        <v/>
      </c>
      <c r="CV237" s="102" t="str">
        <f>IFERROR($CO237*'Commission Structure'!$C$5-$CU237,"")</f>
        <v/>
      </c>
      <c r="CW237" s="102" t="str">
        <f>IFERROR($CO237*(1-'Commission Structure'!$C$5),"")</f>
        <v/>
      </c>
      <c r="CX237" s="107"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8" t="str">
        <f t="shared" si="50"/>
        <v/>
      </c>
      <c r="CZ237" s="99" t="str">
        <f>IF($CY237="","",IF($CY237&lt;'Technical Premium'!$C$19,"BEYOND AUTHORITY",IF($CY237&gt;0.005,"Above technical",IF($CY237&lt;-0.005,"BELOW technical","At technical"))))</f>
        <v/>
      </c>
      <c r="DA237" s="99"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4"/>
      <c r="DC237" s="94"/>
      <c r="DD237" s="95"/>
      <c r="DE237" s="94"/>
      <c r="DF237" s="94"/>
      <c r="DG237" s="99" t="str">
        <f t="shared" si="51"/>
        <v/>
      </c>
      <c r="DH237" s="99" t="str">
        <f>IF($A237="","",IF(OR($CX237="REFER",$CX237="DECLINE"),COUNTIF($CX$5:$CX237,"REFER")+COUNTIF($CX$5:$CX237,"DECLINE"),""))</f>
        <v/>
      </c>
      <c r="DI237" s="94"/>
    </row>
    <row r="238" spans="1:113" x14ac:dyDescent="0.35">
      <c r="A238" s="94"/>
      <c r="B238" s="94"/>
      <c r="C238" s="95"/>
      <c r="D238" s="95"/>
      <c r="E238" s="96"/>
      <c r="F238" s="94"/>
      <c r="G238" s="94"/>
      <c r="H238" s="94"/>
      <c r="I238" s="94"/>
      <c r="J238" s="97"/>
      <c r="K238" s="94"/>
      <c r="L238" s="94"/>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8"/>
      <c r="AR238" s="99" t="str">
        <f t="shared" si="39"/>
        <v/>
      </c>
      <c r="AS238" s="99" t="str">
        <f>IF($A238="","",IF($AP238&lt;&gt;"",$AP238,IFERROR(INDEX('Cat Zone by ZIP'!$D$6:$D$856,MATCH($AR238,'Cat Zone by ZIP'!$B$6:$B$856,0)),IFERROR(INDEX('Cat Zone by ZIP'!$C$860:$C$910,MATCH($K238,'Cat Zone by ZIP'!$B$860:$B$910,0)),"NOT FOUND"))))</f>
        <v/>
      </c>
      <c r="AT238" s="99" t="str">
        <f>IF($A238="","",IF($AP238&lt;&gt;"","Override",IF(ISNUMBER(MATCH($AR238,'Cat Zone by ZIP'!$B$6:$B$856,0)),"ZIP-3","State default")))</f>
        <v/>
      </c>
      <c r="AU238" s="100" t="str">
        <f>IF($A238="","",IFERROR(INDEX('Natural Catastrophe'!$D$6:$D$17,MATCH($AS238,'Natural Catastrophe'!$B$6:$B$17,0)),"?"))</f>
        <v/>
      </c>
      <c r="AV238" s="100" t="str">
        <f>IF($A238="","",IFERROR(INDEX('Natural Catastrophe'!$C$21:$C$26,MATCH($AA238,'Natural Catastrophe'!$B$21:$B$26,0)),"?"))</f>
        <v/>
      </c>
      <c r="AW238" s="99" t="str">
        <f>IF($A238="","",IFERROR(INDEX('Base Rates'!$C$4:$I$4,MATCH(MAX($J238,'Technical Premium'!$C$18),'Base Rates'!$C$3:$I$3,1)),"?"))</f>
        <v/>
      </c>
      <c r="AX238" s="101" t="str">
        <f>IF($A238="","",IFERROR(INDEX('Base Rates'!$C$5:$I$16,MATCH($I238,'Base Rates'!$B$5:$B$16,0),MATCH(MAX($J238,'Technical Premium'!$C$18),'Base Rates'!$C$3:$I$3,1)),"?"))</f>
        <v/>
      </c>
      <c r="AY238" s="102" t="str">
        <f t="shared" si="40"/>
        <v/>
      </c>
      <c r="AZ238" s="99" t="str">
        <f>IF($A238="","",IFERROR(INDEX('Make Factors'!$G$5:$G$69,MATCH($F238,'Make Factors'!$B$5:$B$69,0)),"?"))</f>
        <v/>
      </c>
      <c r="BA238" s="99" t="str">
        <f>IF($A238="","",IFERROR(INDEX('Driver Factors'!$C$6:$C$15,MATCH($R238,'Driver Factors'!$B$6:$B$15,0)),"?"))</f>
        <v/>
      </c>
      <c r="BB238" s="99" t="str">
        <f>IF($A238="","",IFERROR(INDEX('Driver Factors'!$C$19:$C$24,MATCH($S238,'Driver Factors'!$B$19:$B$24,0)),"?"))</f>
        <v/>
      </c>
      <c r="BC238" s="99" t="str">
        <f>IF($A238="","",IFERROR(INDEX('Driver Factors'!$C$28:$C$36,MATCH($T238,'Driver Factors'!$B$28:$B$36,0)),"?"))</f>
        <v/>
      </c>
      <c r="BD238" s="99" t="str">
        <f>IF($A238="","",IFERROR(INDEX('Claims History'!$C$6:$C$15,MATCH($U238,'Claims History'!$B$6:$B$15,0)),"?"))</f>
        <v/>
      </c>
      <c r="BE238" s="99" t="str">
        <f>IF($A238="","",IFERROR(INDEX('Territory Factors'!$E$6:$E$56,MATCH($K238,'Territory Factors'!$B$6:$B$56,0)),"?"))</f>
        <v/>
      </c>
      <c r="BF238" s="99" t="str">
        <f>IF($A238="","",IFERROR(INDEX('City Accident Ratings'!$G$6:$G$54,MATCH($Z238,'City Accident Ratings'!$B$6:$B$54,0)),"?"))</f>
        <v/>
      </c>
      <c r="BG238" s="99" t="str">
        <f>IF($A238="","",IFERROR(INDEX('Usage and Coverage'!$D$6:$D$20,MATCH($N238,'Usage and Coverage'!$C$6:$C$20,0)),"?"))</f>
        <v/>
      </c>
      <c r="BH238" s="99" t="str">
        <f>IF($A238="","",IFERROR(INDEX('Usage and Coverage'!$C$24:$C$30,MATCH($O238,'Usage and Coverage'!$B$24:$B$30,0)),"?"))</f>
        <v/>
      </c>
      <c r="BI238" s="99" t="str">
        <f>IF($A238="","",IFERROR(INDEX('Usage and Coverage'!$C$34:$C$40,MATCH($P238,'Usage and Coverage'!$B$34:$B$40,0)),"?"))</f>
        <v/>
      </c>
      <c r="BJ238" s="99" t="str">
        <f>IF($A238="","",IFERROR(INDEX('Usage and Coverage'!$C$44:$C$49,MATCH($Q238,'Usage and Coverage'!$B$44:$B$49,0)),"?"))</f>
        <v/>
      </c>
      <c r="BK238" s="99" t="str">
        <f>IF($A238="","",IFERROR(INDEX(Deductibles!$C$6:$I$15,MATCH($W238,Deductibles!$B$6:$B$15,0),MATCH(MAX($J238,'Technical Premium'!$C$18),'Base Rates'!$C$3:$I$3,1)),"?"))</f>
        <v/>
      </c>
      <c r="BL238" s="99" t="str">
        <f>IF($A238="","",IFERROR(INDEX('Usage and Coverage'!$C$63:$C$66,MATCH($X238,'Usage and Coverage'!$B$63:$B$66,0)),"?"))</f>
        <v/>
      </c>
      <c r="BM238" s="99" t="str">
        <f>IF($A238="","",IFERROR(INDEX('Usage and Coverage'!$C$70:$C$75,MATCH($V238,'Usage and Coverage'!$B$70:$B$75,0)),"?"))</f>
        <v/>
      </c>
      <c r="BN238" s="99" t="str">
        <f>IF($A238="","",IF($AB238="",1,IFERROR(INDEX(Deductibles!$C$48:$C$51,MATCH($AB238,Deductibles!$B$48:$B$51,0)),"?")))</f>
        <v/>
      </c>
      <c r="BO238" s="99" t="str">
        <f>IF($A238="","",IF($AC238="",1,IFERROR(INDEX(Deductibles!$C$55:$C$57,MATCH($AC238,Deductibles!$B$55:$B$57,0)),"?")))</f>
        <v/>
      </c>
      <c r="BP238" s="99" t="str">
        <f>IF($A238="","",IF($AD238="",1,IFERROR(INDEX(Deductibles!$C$61:$C$63,MATCH($AD238,Deductibles!$B$61:$B$63,0)),"?")))</f>
        <v/>
      </c>
      <c r="BQ238" s="99" t="str">
        <f>IF($A238="","",IF($AE238="",1,IFERROR(INDEX(Deductibles!$C$67:$C$69,MATCH($AE238,Deductibles!$B$67:$B$69,0)),"?")))</f>
        <v/>
      </c>
      <c r="BR238" s="99" t="str">
        <f>IF($A238="","",IF($AF238="",1,IFERROR(INDEX(Deductibles!$C$73:$C$74,MATCH($AF238,Deductibles!$B$73:$B$74,0)),"?")))</f>
        <v/>
      </c>
      <c r="BS238" s="99" t="str">
        <f>IF($A238="","",IF($AG238="",1,IFERROR(INDEX('Sublimits and Parts'!$C$49:$C$52,MATCH($AG238,'Sublimits and Parts'!$B$49:$B$52,0)),"?")))</f>
        <v/>
      </c>
      <c r="BT238" s="99" t="str">
        <f>IF($A238="","",IF($AH238="",1,IFERROR(INDEX('Sublimits and Parts'!$C$56:$C$60,MATCH($AH238,'Sublimits and Parts'!$B$56:$B$60,0)),"?")))</f>
        <v/>
      </c>
      <c r="BU238" s="99" t="str">
        <f>IF($A238="","",IF($AI238="",1,IFERROR(INDEX('Sublimits and Parts'!$C$64:$C$67,MATCH($AI238,'Sublimits and Parts'!$B$64:$B$67,0)),"?")))</f>
        <v/>
      </c>
      <c r="BV238" s="99" t="str">
        <f>IF($A238="","",IF($AJ238="",1,IFERROR(INDEX('Sublimits and Parts'!$C$71:$C$74,MATCH($AJ238,'Sublimits and Parts'!$B$71:$B$74,0)),"?")))</f>
        <v/>
      </c>
      <c r="BW238" s="99" t="str">
        <f>IF($A238="","",IF($AK238="",1,IFERROR(INDEX('Sublimits and Parts'!$C$78:$C$80,MATCH($AK238,'Sublimits and Parts'!$B$78:$B$80,0)),"?")))</f>
        <v/>
      </c>
      <c r="BX238" s="99" t="str">
        <f>IF($A238="","",IF($AL238="",1,IFERROR(INDEX('Sublimits and Parts'!$C$84:$C$87,MATCH($AL238,'Sublimits and Parts'!$B$84:$B$87,0)),"?")))</f>
        <v/>
      </c>
      <c r="BY238" s="99" t="str">
        <f>IF($A238="","",IF($AM238="",1,IFERROR(INDEX('Sublimits and Parts'!$C$91:$C$94,MATCH($AM238,'Sublimits and Parts'!$B$91:$B$94,0)),"?")))</f>
        <v/>
      </c>
      <c r="BZ238" s="99" t="str">
        <f>IF($A238="","",IF($AN238="",1,IFERROR(INDEX('Sublimits and Parts'!$C$98:$C$101,MATCH($AN238,'Sublimits and Parts'!$B$98:$B$101,0)),"?")))</f>
        <v/>
      </c>
      <c r="CA238" s="99" t="str">
        <f>IF($A238="","",IF($AO238="",1,IFERROR(INDEX('Sublimits and Parts'!$C$105:$C$109,MATCH($AO238,'Sublimits and Parts'!$B$105:$B$109,0)),"?")))</f>
        <v/>
      </c>
      <c r="CB238" s="100" t="str">
        <f t="shared" si="41"/>
        <v/>
      </c>
      <c r="CC238" s="100" t="str">
        <f t="shared" si="42"/>
        <v/>
      </c>
      <c r="CD238" s="103" t="str">
        <f>IF($A238="","",IF(OR($CB238="?",$CC238="?"),"?",MIN($CB238*$CC238,'Technical Premium'!$C$17)))</f>
        <v/>
      </c>
      <c r="CE238" s="102" t="str">
        <f t="shared" si="43"/>
        <v/>
      </c>
      <c r="CF238" s="102" t="str">
        <f>IF($A238="","",IFERROR(INDEX('Territory Factors'!$F$6:$F$56,MATCH($K238,'Territory Factors'!$B$6:$B$56,0)),"?"))</f>
        <v/>
      </c>
      <c r="CG238" s="100" t="str">
        <f>IF($A238="","",IFERROR(INDEX('Usage and Coverage'!$C$79:$C$84,MATCH($Y238,'Usage and Coverage'!$B$79:$B$84,0)),"?"))</f>
        <v/>
      </c>
      <c r="CH238" s="102" t="str">
        <f>IFERROR(IF(ISNUMBER($CD238),$CF238*$CG238*MIN($BG238*$BA238*$BC238*$BD238*$BH238*$BF238,'Technical Premium'!$C$17),""),"")</f>
        <v/>
      </c>
      <c r="CI238" s="102" t="str">
        <f t="shared" si="44"/>
        <v/>
      </c>
      <c r="CJ238" s="102" t="str">
        <f>IFERROR($CI238*(1+'Technical Premium'!$C$5)*(1+'Technical Premium'!$C$6),"")</f>
        <v/>
      </c>
      <c r="CK238" s="102" t="str">
        <f>IFERROR($CE238*INDEX('Territory Factors'!$G$6:$G$56,MATCH($K238,'Territory Factors'!$B$6:$B$56,0))*$AU238*$AV238,"")</f>
        <v/>
      </c>
      <c r="CL238" s="102" t="str">
        <f>IFERROR(($CJ238+$CK238)*(1+'Technical Premium'!$C$7),"")</f>
        <v/>
      </c>
      <c r="CM238" s="104" t="str">
        <f>IFERROR($CL238/'Technical Premium'!$C$13,"")</f>
        <v/>
      </c>
      <c r="CN238" s="105" t="str">
        <f t="shared" si="45"/>
        <v/>
      </c>
      <c r="CO238" s="104" t="str">
        <f t="shared" si="46"/>
        <v/>
      </c>
      <c r="CP238" s="105" t="str">
        <f t="shared" si="47"/>
        <v/>
      </c>
      <c r="CQ238" s="106" t="str">
        <f t="shared" si="48"/>
        <v/>
      </c>
      <c r="CR238" s="102" t="str">
        <f>IF(ISNUMBER($CM238),'Technical Premium'!$C$14+IF($J238&gt;=1000000,'Technical Premium'!$C$15,0),"")</f>
        <v/>
      </c>
      <c r="CS238" s="102" t="str">
        <f>IFERROR(($CO238+$CR238)*(INDEX('Territory Factors'!$K$6:$K$56,MATCH($K238,'Territory Factors'!$B$6:$B$56,0))+'Commission Structure'!$C$21),"")</f>
        <v/>
      </c>
      <c r="CT238" s="104" t="str">
        <f t="shared" si="49"/>
        <v/>
      </c>
      <c r="CU238" s="102" t="str">
        <f>IFERROR($CO238*('Commission Structure'!$C$6+'Commission Structure'!$C$7),"")</f>
        <v/>
      </c>
      <c r="CV238" s="102" t="str">
        <f>IFERROR($CO238*'Commission Structure'!$C$5-$CU238,"")</f>
        <v/>
      </c>
      <c r="CW238" s="102" t="str">
        <f>IFERROR($CO238*(1-'Commission Structure'!$C$5),"")</f>
        <v/>
      </c>
      <c r="CX238" s="107"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8" t="str">
        <f t="shared" si="50"/>
        <v/>
      </c>
      <c r="CZ238" s="99" t="str">
        <f>IF($CY238="","",IF($CY238&lt;'Technical Premium'!$C$19,"BEYOND AUTHORITY",IF($CY238&gt;0.005,"Above technical",IF($CY238&lt;-0.005,"BELOW technical","At technical"))))</f>
        <v/>
      </c>
      <c r="DA238" s="99"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4"/>
      <c r="DC238" s="94"/>
      <c r="DD238" s="95"/>
      <c r="DE238" s="94"/>
      <c r="DF238" s="94"/>
      <c r="DG238" s="99" t="str">
        <f t="shared" si="51"/>
        <v/>
      </c>
      <c r="DH238" s="99" t="str">
        <f>IF($A238="","",IF(OR($CX238="REFER",$CX238="DECLINE"),COUNTIF($CX$5:$CX238,"REFER")+COUNTIF($CX$5:$CX238,"DECLINE"),""))</f>
        <v/>
      </c>
      <c r="DI238" s="94"/>
    </row>
    <row r="239" spans="1:113" x14ac:dyDescent="0.35">
      <c r="A239" s="94"/>
      <c r="B239" s="94"/>
      <c r="C239" s="95"/>
      <c r="D239" s="95"/>
      <c r="E239" s="96"/>
      <c r="F239" s="94"/>
      <c r="G239" s="94"/>
      <c r="H239" s="94"/>
      <c r="I239" s="94"/>
      <c r="J239" s="97"/>
      <c r="K239" s="94"/>
      <c r="L239" s="94"/>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8"/>
      <c r="AR239" s="99" t="str">
        <f t="shared" si="39"/>
        <v/>
      </c>
      <c r="AS239" s="99" t="str">
        <f>IF($A239="","",IF($AP239&lt;&gt;"",$AP239,IFERROR(INDEX('Cat Zone by ZIP'!$D$6:$D$856,MATCH($AR239,'Cat Zone by ZIP'!$B$6:$B$856,0)),IFERROR(INDEX('Cat Zone by ZIP'!$C$860:$C$910,MATCH($K239,'Cat Zone by ZIP'!$B$860:$B$910,0)),"NOT FOUND"))))</f>
        <v/>
      </c>
      <c r="AT239" s="99" t="str">
        <f>IF($A239="","",IF($AP239&lt;&gt;"","Override",IF(ISNUMBER(MATCH($AR239,'Cat Zone by ZIP'!$B$6:$B$856,0)),"ZIP-3","State default")))</f>
        <v/>
      </c>
      <c r="AU239" s="100" t="str">
        <f>IF($A239="","",IFERROR(INDEX('Natural Catastrophe'!$D$6:$D$17,MATCH($AS239,'Natural Catastrophe'!$B$6:$B$17,0)),"?"))</f>
        <v/>
      </c>
      <c r="AV239" s="100" t="str">
        <f>IF($A239="","",IFERROR(INDEX('Natural Catastrophe'!$C$21:$C$26,MATCH($AA239,'Natural Catastrophe'!$B$21:$B$26,0)),"?"))</f>
        <v/>
      </c>
      <c r="AW239" s="99" t="str">
        <f>IF($A239="","",IFERROR(INDEX('Base Rates'!$C$4:$I$4,MATCH(MAX($J239,'Technical Premium'!$C$18),'Base Rates'!$C$3:$I$3,1)),"?"))</f>
        <v/>
      </c>
      <c r="AX239" s="101" t="str">
        <f>IF($A239="","",IFERROR(INDEX('Base Rates'!$C$5:$I$16,MATCH($I239,'Base Rates'!$B$5:$B$16,0),MATCH(MAX($J239,'Technical Premium'!$C$18),'Base Rates'!$C$3:$I$3,1)),"?"))</f>
        <v/>
      </c>
      <c r="AY239" s="102" t="str">
        <f t="shared" si="40"/>
        <v/>
      </c>
      <c r="AZ239" s="99" t="str">
        <f>IF($A239="","",IFERROR(INDEX('Make Factors'!$G$5:$G$69,MATCH($F239,'Make Factors'!$B$5:$B$69,0)),"?"))</f>
        <v/>
      </c>
      <c r="BA239" s="99" t="str">
        <f>IF($A239="","",IFERROR(INDEX('Driver Factors'!$C$6:$C$15,MATCH($R239,'Driver Factors'!$B$6:$B$15,0)),"?"))</f>
        <v/>
      </c>
      <c r="BB239" s="99" t="str">
        <f>IF($A239="","",IFERROR(INDEX('Driver Factors'!$C$19:$C$24,MATCH($S239,'Driver Factors'!$B$19:$B$24,0)),"?"))</f>
        <v/>
      </c>
      <c r="BC239" s="99" t="str">
        <f>IF($A239="","",IFERROR(INDEX('Driver Factors'!$C$28:$C$36,MATCH($T239,'Driver Factors'!$B$28:$B$36,0)),"?"))</f>
        <v/>
      </c>
      <c r="BD239" s="99" t="str">
        <f>IF($A239="","",IFERROR(INDEX('Claims History'!$C$6:$C$15,MATCH($U239,'Claims History'!$B$6:$B$15,0)),"?"))</f>
        <v/>
      </c>
      <c r="BE239" s="99" t="str">
        <f>IF($A239="","",IFERROR(INDEX('Territory Factors'!$E$6:$E$56,MATCH($K239,'Territory Factors'!$B$6:$B$56,0)),"?"))</f>
        <v/>
      </c>
      <c r="BF239" s="99" t="str">
        <f>IF($A239="","",IFERROR(INDEX('City Accident Ratings'!$G$6:$G$54,MATCH($Z239,'City Accident Ratings'!$B$6:$B$54,0)),"?"))</f>
        <v/>
      </c>
      <c r="BG239" s="99" t="str">
        <f>IF($A239="","",IFERROR(INDEX('Usage and Coverage'!$D$6:$D$20,MATCH($N239,'Usage and Coverage'!$C$6:$C$20,0)),"?"))</f>
        <v/>
      </c>
      <c r="BH239" s="99" t="str">
        <f>IF($A239="","",IFERROR(INDEX('Usage and Coverage'!$C$24:$C$30,MATCH($O239,'Usage and Coverage'!$B$24:$B$30,0)),"?"))</f>
        <v/>
      </c>
      <c r="BI239" s="99" t="str">
        <f>IF($A239="","",IFERROR(INDEX('Usage and Coverage'!$C$34:$C$40,MATCH($P239,'Usage and Coverage'!$B$34:$B$40,0)),"?"))</f>
        <v/>
      </c>
      <c r="BJ239" s="99" t="str">
        <f>IF($A239="","",IFERROR(INDEX('Usage and Coverage'!$C$44:$C$49,MATCH($Q239,'Usage and Coverage'!$B$44:$B$49,0)),"?"))</f>
        <v/>
      </c>
      <c r="BK239" s="99" t="str">
        <f>IF($A239="","",IFERROR(INDEX(Deductibles!$C$6:$I$15,MATCH($W239,Deductibles!$B$6:$B$15,0),MATCH(MAX($J239,'Technical Premium'!$C$18),'Base Rates'!$C$3:$I$3,1)),"?"))</f>
        <v/>
      </c>
      <c r="BL239" s="99" t="str">
        <f>IF($A239="","",IFERROR(INDEX('Usage and Coverage'!$C$63:$C$66,MATCH($X239,'Usage and Coverage'!$B$63:$B$66,0)),"?"))</f>
        <v/>
      </c>
      <c r="BM239" s="99" t="str">
        <f>IF($A239="","",IFERROR(INDEX('Usage and Coverage'!$C$70:$C$75,MATCH($V239,'Usage and Coverage'!$B$70:$B$75,0)),"?"))</f>
        <v/>
      </c>
      <c r="BN239" s="99" t="str">
        <f>IF($A239="","",IF($AB239="",1,IFERROR(INDEX(Deductibles!$C$48:$C$51,MATCH($AB239,Deductibles!$B$48:$B$51,0)),"?")))</f>
        <v/>
      </c>
      <c r="BO239" s="99" t="str">
        <f>IF($A239="","",IF($AC239="",1,IFERROR(INDEX(Deductibles!$C$55:$C$57,MATCH($AC239,Deductibles!$B$55:$B$57,0)),"?")))</f>
        <v/>
      </c>
      <c r="BP239" s="99" t="str">
        <f>IF($A239="","",IF($AD239="",1,IFERROR(INDEX(Deductibles!$C$61:$C$63,MATCH($AD239,Deductibles!$B$61:$B$63,0)),"?")))</f>
        <v/>
      </c>
      <c r="BQ239" s="99" t="str">
        <f>IF($A239="","",IF($AE239="",1,IFERROR(INDEX(Deductibles!$C$67:$C$69,MATCH($AE239,Deductibles!$B$67:$B$69,0)),"?")))</f>
        <v/>
      </c>
      <c r="BR239" s="99" t="str">
        <f>IF($A239="","",IF($AF239="",1,IFERROR(INDEX(Deductibles!$C$73:$C$74,MATCH($AF239,Deductibles!$B$73:$B$74,0)),"?")))</f>
        <v/>
      </c>
      <c r="BS239" s="99" t="str">
        <f>IF($A239="","",IF($AG239="",1,IFERROR(INDEX('Sublimits and Parts'!$C$49:$C$52,MATCH($AG239,'Sublimits and Parts'!$B$49:$B$52,0)),"?")))</f>
        <v/>
      </c>
      <c r="BT239" s="99" t="str">
        <f>IF($A239="","",IF($AH239="",1,IFERROR(INDEX('Sublimits and Parts'!$C$56:$C$60,MATCH($AH239,'Sublimits and Parts'!$B$56:$B$60,0)),"?")))</f>
        <v/>
      </c>
      <c r="BU239" s="99" t="str">
        <f>IF($A239="","",IF($AI239="",1,IFERROR(INDEX('Sublimits and Parts'!$C$64:$C$67,MATCH($AI239,'Sublimits and Parts'!$B$64:$B$67,0)),"?")))</f>
        <v/>
      </c>
      <c r="BV239" s="99" t="str">
        <f>IF($A239="","",IF($AJ239="",1,IFERROR(INDEX('Sublimits and Parts'!$C$71:$C$74,MATCH($AJ239,'Sublimits and Parts'!$B$71:$B$74,0)),"?")))</f>
        <v/>
      </c>
      <c r="BW239" s="99" t="str">
        <f>IF($A239="","",IF($AK239="",1,IFERROR(INDEX('Sublimits and Parts'!$C$78:$C$80,MATCH($AK239,'Sublimits and Parts'!$B$78:$B$80,0)),"?")))</f>
        <v/>
      </c>
      <c r="BX239" s="99" t="str">
        <f>IF($A239="","",IF($AL239="",1,IFERROR(INDEX('Sublimits and Parts'!$C$84:$C$87,MATCH($AL239,'Sublimits and Parts'!$B$84:$B$87,0)),"?")))</f>
        <v/>
      </c>
      <c r="BY239" s="99" t="str">
        <f>IF($A239="","",IF($AM239="",1,IFERROR(INDEX('Sublimits and Parts'!$C$91:$C$94,MATCH($AM239,'Sublimits and Parts'!$B$91:$B$94,0)),"?")))</f>
        <v/>
      </c>
      <c r="BZ239" s="99" t="str">
        <f>IF($A239="","",IF($AN239="",1,IFERROR(INDEX('Sublimits and Parts'!$C$98:$C$101,MATCH($AN239,'Sublimits and Parts'!$B$98:$B$101,0)),"?")))</f>
        <v/>
      </c>
      <c r="CA239" s="99" t="str">
        <f>IF($A239="","",IF($AO239="",1,IFERROR(INDEX('Sublimits and Parts'!$C$105:$C$109,MATCH($AO239,'Sublimits and Parts'!$B$105:$B$109,0)),"?")))</f>
        <v/>
      </c>
      <c r="CB239" s="100" t="str">
        <f t="shared" si="41"/>
        <v/>
      </c>
      <c r="CC239" s="100" t="str">
        <f t="shared" si="42"/>
        <v/>
      </c>
      <c r="CD239" s="103" t="str">
        <f>IF($A239="","",IF(OR($CB239="?",$CC239="?"),"?",MIN($CB239*$CC239,'Technical Premium'!$C$17)))</f>
        <v/>
      </c>
      <c r="CE239" s="102" t="str">
        <f t="shared" si="43"/>
        <v/>
      </c>
      <c r="CF239" s="102" t="str">
        <f>IF($A239="","",IFERROR(INDEX('Territory Factors'!$F$6:$F$56,MATCH($K239,'Territory Factors'!$B$6:$B$56,0)),"?"))</f>
        <v/>
      </c>
      <c r="CG239" s="100" t="str">
        <f>IF($A239="","",IFERROR(INDEX('Usage and Coverage'!$C$79:$C$84,MATCH($Y239,'Usage and Coverage'!$B$79:$B$84,0)),"?"))</f>
        <v/>
      </c>
      <c r="CH239" s="102" t="str">
        <f>IFERROR(IF(ISNUMBER($CD239),$CF239*$CG239*MIN($BG239*$BA239*$BC239*$BD239*$BH239*$BF239,'Technical Premium'!$C$17),""),"")</f>
        <v/>
      </c>
      <c r="CI239" s="102" t="str">
        <f t="shared" si="44"/>
        <v/>
      </c>
      <c r="CJ239" s="102" t="str">
        <f>IFERROR($CI239*(1+'Technical Premium'!$C$5)*(1+'Technical Premium'!$C$6),"")</f>
        <v/>
      </c>
      <c r="CK239" s="102" t="str">
        <f>IFERROR($CE239*INDEX('Territory Factors'!$G$6:$G$56,MATCH($K239,'Territory Factors'!$B$6:$B$56,0))*$AU239*$AV239,"")</f>
        <v/>
      </c>
      <c r="CL239" s="102" t="str">
        <f>IFERROR(($CJ239+$CK239)*(1+'Technical Premium'!$C$7),"")</f>
        <v/>
      </c>
      <c r="CM239" s="104" t="str">
        <f>IFERROR($CL239/'Technical Premium'!$C$13,"")</f>
        <v/>
      </c>
      <c r="CN239" s="105" t="str">
        <f t="shared" si="45"/>
        <v/>
      </c>
      <c r="CO239" s="104" t="str">
        <f t="shared" si="46"/>
        <v/>
      </c>
      <c r="CP239" s="105" t="str">
        <f t="shared" si="47"/>
        <v/>
      </c>
      <c r="CQ239" s="106" t="str">
        <f t="shared" si="48"/>
        <v/>
      </c>
      <c r="CR239" s="102" t="str">
        <f>IF(ISNUMBER($CM239),'Technical Premium'!$C$14+IF($J239&gt;=1000000,'Technical Premium'!$C$15,0),"")</f>
        <v/>
      </c>
      <c r="CS239" s="102" t="str">
        <f>IFERROR(($CO239+$CR239)*(INDEX('Territory Factors'!$K$6:$K$56,MATCH($K239,'Territory Factors'!$B$6:$B$56,0))+'Commission Structure'!$C$21),"")</f>
        <v/>
      </c>
      <c r="CT239" s="104" t="str">
        <f t="shared" si="49"/>
        <v/>
      </c>
      <c r="CU239" s="102" t="str">
        <f>IFERROR($CO239*('Commission Structure'!$C$6+'Commission Structure'!$C$7),"")</f>
        <v/>
      </c>
      <c r="CV239" s="102" t="str">
        <f>IFERROR($CO239*'Commission Structure'!$C$5-$CU239,"")</f>
        <v/>
      </c>
      <c r="CW239" s="102" t="str">
        <f>IFERROR($CO239*(1-'Commission Structure'!$C$5),"")</f>
        <v/>
      </c>
      <c r="CX239" s="107"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8" t="str">
        <f t="shared" si="50"/>
        <v/>
      </c>
      <c r="CZ239" s="99" t="str">
        <f>IF($CY239="","",IF($CY239&lt;'Technical Premium'!$C$19,"BEYOND AUTHORITY",IF($CY239&gt;0.005,"Above technical",IF($CY239&lt;-0.005,"BELOW technical","At technical"))))</f>
        <v/>
      </c>
      <c r="DA239" s="99"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4"/>
      <c r="DC239" s="94"/>
      <c r="DD239" s="95"/>
      <c r="DE239" s="94"/>
      <c r="DF239" s="94"/>
      <c r="DG239" s="99" t="str">
        <f t="shared" si="51"/>
        <v/>
      </c>
      <c r="DH239" s="99" t="str">
        <f>IF($A239="","",IF(OR($CX239="REFER",$CX239="DECLINE"),COUNTIF($CX$5:$CX239,"REFER")+COUNTIF($CX$5:$CX239,"DECLINE"),""))</f>
        <v/>
      </c>
      <c r="DI239" s="94"/>
    </row>
    <row r="240" spans="1:113" x14ac:dyDescent="0.35">
      <c r="A240" s="94"/>
      <c r="B240" s="94"/>
      <c r="C240" s="95"/>
      <c r="D240" s="95"/>
      <c r="E240" s="96"/>
      <c r="F240" s="94"/>
      <c r="G240" s="94"/>
      <c r="H240" s="94"/>
      <c r="I240" s="94"/>
      <c r="J240" s="97"/>
      <c r="K240" s="94"/>
      <c r="L240" s="94"/>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8"/>
      <c r="AR240" s="99" t="str">
        <f t="shared" si="39"/>
        <v/>
      </c>
      <c r="AS240" s="99" t="str">
        <f>IF($A240="","",IF($AP240&lt;&gt;"",$AP240,IFERROR(INDEX('Cat Zone by ZIP'!$D$6:$D$856,MATCH($AR240,'Cat Zone by ZIP'!$B$6:$B$856,0)),IFERROR(INDEX('Cat Zone by ZIP'!$C$860:$C$910,MATCH($K240,'Cat Zone by ZIP'!$B$860:$B$910,0)),"NOT FOUND"))))</f>
        <v/>
      </c>
      <c r="AT240" s="99" t="str">
        <f>IF($A240="","",IF($AP240&lt;&gt;"","Override",IF(ISNUMBER(MATCH($AR240,'Cat Zone by ZIP'!$B$6:$B$856,0)),"ZIP-3","State default")))</f>
        <v/>
      </c>
      <c r="AU240" s="100" t="str">
        <f>IF($A240="","",IFERROR(INDEX('Natural Catastrophe'!$D$6:$D$17,MATCH($AS240,'Natural Catastrophe'!$B$6:$B$17,0)),"?"))</f>
        <v/>
      </c>
      <c r="AV240" s="100" t="str">
        <f>IF($A240="","",IFERROR(INDEX('Natural Catastrophe'!$C$21:$C$26,MATCH($AA240,'Natural Catastrophe'!$B$21:$B$26,0)),"?"))</f>
        <v/>
      </c>
      <c r="AW240" s="99" t="str">
        <f>IF($A240="","",IFERROR(INDEX('Base Rates'!$C$4:$I$4,MATCH(MAX($J240,'Technical Premium'!$C$18),'Base Rates'!$C$3:$I$3,1)),"?"))</f>
        <v/>
      </c>
      <c r="AX240" s="101" t="str">
        <f>IF($A240="","",IFERROR(INDEX('Base Rates'!$C$5:$I$16,MATCH($I240,'Base Rates'!$B$5:$B$16,0),MATCH(MAX($J240,'Technical Premium'!$C$18),'Base Rates'!$C$3:$I$3,1)),"?"))</f>
        <v/>
      </c>
      <c r="AY240" s="102" t="str">
        <f t="shared" si="40"/>
        <v/>
      </c>
      <c r="AZ240" s="99" t="str">
        <f>IF($A240="","",IFERROR(INDEX('Make Factors'!$G$5:$G$69,MATCH($F240,'Make Factors'!$B$5:$B$69,0)),"?"))</f>
        <v/>
      </c>
      <c r="BA240" s="99" t="str">
        <f>IF($A240="","",IFERROR(INDEX('Driver Factors'!$C$6:$C$15,MATCH($R240,'Driver Factors'!$B$6:$B$15,0)),"?"))</f>
        <v/>
      </c>
      <c r="BB240" s="99" t="str">
        <f>IF($A240="","",IFERROR(INDEX('Driver Factors'!$C$19:$C$24,MATCH($S240,'Driver Factors'!$B$19:$B$24,0)),"?"))</f>
        <v/>
      </c>
      <c r="BC240" s="99" t="str">
        <f>IF($A240="","",IFERROR(INDEX('Driver Factors'!$C$28:$C$36,MATCH($T240,'Driver Factors'!$B$28:$B$36,0)),"?"))</f>
        <v/>
      </c>
      <c r="BD240" s="99" t="str">
        <f>IF($A240="","",IFERROR(INDEX('Claims History'!$C$6:$C$15,MATCH($U240,'Claims History'!$B$6:$B$15,0)),"?"))</f>
        <v/>
      </c>
      <c r="BE240" s="99" t="str">
        <f>IF($A240="","",IFERROR(INDEX('Territory Factors'!$E$6:$E$56,MATCH($K240,'Territory Factors'!$B$6:$B$56,0)),"?"))</f>
        <v/>
      </c>
      <c r="BF240" s="99" t="str">
        <f>IF($A240="","",IFERROR(INDEX('City Accident Ratings'!$G$6:$G$54,MATCH($Z240,'City Accident Ratings'!$B$6:$B$54,0)),"?"))</f>
        <v/>
      </c>
      <c r="BG240" s="99" t="str">
        <f>IF($A240="","",IFERROR(INDEX('Usage and Coverage'!$D$6:$D$20,MATCH($N240,'Usage and Coverage'!$C$6:$C$20,0)),"?"))</f>
        <v/>
      </c>
      <c r="BH240" s="99" t="str">
        <f>IF($A240="","",IFERROR(INDEX('Usage and Coverage'!$C$24:$C$30,MATCH($O240,'Usage and Coverage'!$B$24:$B$30,0)),"?"))</f>
        <v/>
      </c>
      <c r="BI240" s="99" t="str">
        <f>IF($A240="","",IFERROR(INDEX('Usage and Coverage'!$C$34:$C$40,MATCH($P240,'Usage and Coverage'!$B$34:$B$40,0)),"?"))</f>
        <v/>
      </c>
      <c r="BJ240" s="99" t="str">
        <f>IF($A240="","",IFERROR(INDEX('Usage and Coverage'!$C$44:$C$49,MATCH($Q240,'Usage and Coverage'!$B$44:$B$49,0)),"?"))</f>
        <v/>
      </c>
      <c r="BK240" s="99" t="str">
        <f>IF($A240="","",IFERROR(INDEX(Deductibles!$C$6:$I$15,MATCH($W240,Deductibles!$B$6:$B$15,0),MATCH(MAX($J240,'Technical Premium'!$C$18),'Base Rates'!$C$3:$I$3,1)),"?"))</f>
        <v/>
      </c>
      <c r="BL240" s="99" t="str">
        <f>IF($A240="","",IFERROR(INDEX('Usage and Coverage'!$C$63:$C$66,MATCH($X240,'Usage and Coverage'!$B$63:$B$66,0)),"?"))</f>
        <v/>
      </c>
      <c r="BM240" s="99" t="str">
        <f>IF($A240="","",IFERROR(INDEX('Usage and Coverage'!$C$70:$C$75,MATCH($V240,'Usage and Coverage'!$B$70:$B$75,0)),"?"))</f>
        <v/>
      </c>
      <c r="BN240" s="99" t="str">
        <f>IF($A240="","",IF($AB240="",1,IFERROR(INDEX(Deductibles!$C$48:$C$51,MATCH($AB240,Deductibles!$B$48:$B$51,0)),"?")))</f>
        <v/>
      </c>
      <c r="BO240" s="99" t="str">
        <f>IF($A240="","",IF($AC240="",1,IFERROR(INDEX(Deductibles!$C$55:$C$57,MATCH($AC240,Deductibles!$B$55:$B$57,0)),"?")))</f>
        <v/>
      </c>
      <c r="BP240" s="99" t="str">
        <f>IF($A240="","",IF($AD240="",1,IFERROR(INDEX(Deductibles!$C$61:$C$63,MATCH($AD240,Deductibles!$B$61:$B$63,0)),"?")))</f>
        <v/>
      </c>
      <c r="BQ240" s="99" t="str">
        <f>IF($A240="","",IF($AE240="",1,IFERROR(INDEX(Deductibles!$C$67:$C$69,MATCH($AE240,Deductibles!$B$67:$B$69,0)),"?")))</f>
        <v/>
      </c>
      <c r="BR240" s="99" t="str">
        <f>IF($A240="","",IF($AF240="",1,IFERROR(INDEX(Deductibles!$C$73:$C$74,MATCH($AF240,Deductibles!$B$73:$B$74,0)),"?")))</f>
        <v/>
      </c>
      <c r="BS240" s="99" t="str">
        <f>IF($A240="","",IF($AG240="",1,IFERROR(INDEX('Sublimits and Parts'!$C$49:$C$52,MATCH($AG240,'Sublimits and Parts'!$B$49:$B$52,0)),"?")))</f>
        <v/>
      </c>
      <c r="BT240" s="99" t="str">
        <f>IF($A240="","",IF($AH240="",1,IFERROR(INDEX('Sublimits and Parts'!$C$56:$C$60,MATCH($AH240,'Sublimits and Parts'!$B$56:$B$60,0)),"?")))</f>
        <v/>
      </c>
      <c r="BU240" s="99" t="str">
        <f>IF($A240="","",IF($AI240="",1,IFERROR(INDEX('Sublimits and Parts'!$C$64:$C$67,MATCH($AI240,'Sublimits and Parts'!$B$64:$B$67,0)),"?")))</f>
        <v/>
      </c>
      <c r="BV240" s="99" t="str">
        <f>IF($A240="","",IF($AJ240="",1,IFERROR(INDEX('Sublimits and Parts'!$C$71:$C$74,MATCH($AJ240,'Sublimits and Parts'!$B$71:$B$74,0)),"?")))</f>
        <v/>
      </c>
      <c r="BW240" s="99" t="str">
        <f>IF($A240="","",IF($AK240="",1,IFERROR(INDEX('Sublimits and Parts'!$C$78:$C$80,MATCH($AK240,'Sublimits and Parts'!$B$78:$B$80,0)),"?")))</f>
        <v/>
      </c>
      <c r="BX240" s="99" t="str">
        <f>IF($A240="","",IF($AL240="",1,IFERROR(INDEX('Sublimits and Parts'!$C$84:$C$87,MATCH($AL240,'Sublimits and Parts'!$B$84:$B$87,0)),"?")))</f>
        <v/>
      </c>
      <c r="BY240" s="99" t="str">
        <f>IF($A240="","",IF($AM240="",1,IFERROR(INDEX('Sublimits and Parts'!$C$91:$C$94,MATCH($AM240,'Sublimits and Parts'!$B$91:$B$94,0)),"?")))</f>
        <v/>
      </c>
      <c r="BZ240" s="99" t="str">
        <f>IF($A240="","",IF($AN240="",1,IFERROR(INDEX('Sublimits and Parts'!$C$98:$C$101,MATCH($AN240,'Sublimits and Parts'!$B$98:$B$101,0)),"?")))</f>
        <v/>
      </c>
      <c r="CA240" s="99" t="str">
        <f>IF($A240="","",IF($AO240="",1,IFERROR(INDEX('Sublimits and Parts'!$C$105:$C$109,MATCH($AO240,'Sublimits and Parts'!$B$105:$B$109,0)),"?")))</f>
        <v/>
      </c>
      <c r="CB240" s="100" t="str">
        <f t="shared" si="41"/>
        <v/>
      </c>
      <c r="CC240" s="100" t="str">
        <f t="shared" si="42"/>
        <v/>
      </c>
      <c r="CD240" s="103" t="str">
        <f>IF($A240="","",IF(OR($CB240="?",$CC240="?"),"?",MIN($CB240*$CC240,'Technical Premium'!$C$17)))</f>
        <v/>
      </c>
      <c r="CE240" s="102" t="str">
        <f t="shared" si="43"/>
        <v/>
      </c>
      <c r="CF240" s="102" t="str">
        <f>IF($A240="","",IFERROR(INDEX('Territory Factors'!$F$6:$F$56,MATCH($K240,'Territory Factors'!$B$6:$B$56,0)),"?"))</f>
        <v/>
      </c>
      <c r="CG240" s="100" t="str">
        <f>IF($A240="","",IFERROR(INDEX('Usage and Coverage'!$C$79:$C$84,MATCH($Y240,'Usage and Coverage'!$B$79:$B$84,0)),"?"))</f>
        <v/>
      </c>
      <c r="CH240" s="102" t="str">
        <f>IFERROR(IF(ISNUMBER($CD240),$CF240*$CG240*MIN($BG240*$BA240*$BC240*$BD240*$BH240*$BF240,'Technical Premium'!$C$17),""),"")</f>
        <v/>
      </c>
      <c r="CI240" s="102" t="str">
        <f t="shared" si="44"/>
        <v/>
      </c>
      <c r="CJ240" s="102" t="str">
        <f>IFERROR($CI240*(1+'Technical Premium'!$C$5)*(1+'Technical Premium'!$C$6),"")</f>
        <v/>
      </c>
      <c r="CK240" s="102" t="str">
        <f>IFERROR($CE240*INDEX('Territory Factors'!$G$6:$G$56,MATCH($K240,'Territory Factors'!$B$6:$B$56,0))*$AU240*$AV240,"")</f>
        <v/>
      </c>
      <c r="CL240" s="102" t="str">
        <f>IFERROR(($CJ240+$CK240)*(1+'Technical Premium'!$C$7),"")</f>
        <v/>
      </c>
      <c r="CM240" s="104" t="str">
        <f>IFERROR($CL240/'Technical Premium'!$C$13,"")</f>
        <v/>
      </c>
      <c r="CN240" s="105" t="str">
        <f t="shared" si="45"/>
        <v/>
      </c>
      <c r="CO240" s="104" t="str">
        <f t="shared" si="46"/>
        <v/>
      </c>
      <c r="CP240" s="105" t="str">
        <f t="shared" si="47"/>
        <v/>
      </c>
      <c r="CQ240" s="106" t="str">
        <f t="shared" si="48"/>
        <v/>
      </c>
      <c r="CR240" s="102" t="str">
        <f>IF(ISNUMBER($CM240),'Technical Premium'!$C$14+IF($J240&gt;=1000000,'Technical Premium'!$C$15,0),"")</f>
        <v/>
      </c>
      <c r="CS240" s="102" t="str">
        <f>IFERROR(($CO240+$CR240)*(INDEX('Territory Factors'!$K$6:$K$56,MATCH($K240,'Territory Factors'!$B$6:$B$56,0))+'Commission Structure'!$C$21),"")</f>
        <v/>
      </c>
      <c r="CT240" s="104" t="str">
        <f t="shared" si="49"/>
        <v/>
      </c>
      <c r="CU240" s="102" t="str">
        <f>IFERROR($CO240*('Commission Structure'!$C$6+'Commission Structure'!$C$7),"")</f>
        <v/>
      </c>
      <c r="CV240" s="102" t="str">
        <f>IFERROR($CO240*'Commission Structure'!$C$5-$CU240,"")</f>
        <v/>
      </c>
      <c r="CW240" s="102" t="str">
        <f>IFERROR($CO240*(1-'Commission Structure'!$C$5),"")</f>
        <v/>
      </c>
      <c r="CX240" s="107"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8" t="str">
        <f t="shared" si="50"/>
        <v/>
      </c>
      <c r="CZ240" s="99" t="str">
        <f>IF($CY240="","",IF($CY240&lt;'Technical Premium'!$C$19,"BEYOND AUTHORITY",IF($CY240&gt;0.005,"Above technical",IF($CY240&lt;-0.005,"BELOW technical","At technical"))))</f>
        <v/>
      </c>
      <c r="DA240" s="99"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4"/>
      <c r="DC240" s="94"/>
      <c r="DD240" s="95"/>
      <c r="DE240" s="94"/>
      <c r="DF240" s="94"/>
      <c r="DG240" s="99" t="str">
        <f t="shared" si="51"/>
        <v/>
      </c>
      <c r="DH240" s="99" t="str">
        <f>IF($A240="","",IF(OR($CX240="REFER",$CX240="DECLINE"),COUNTIF($CX$5:$CX240,"REFER")+COUNTIF($CX$5:$CX240,"DECLINE"),""))</f>
        <v/>
      </c>
      <c r="DI240" s="94"/>
    </row>
    <row r="241" spans="1:113" x14ac:dyDescent="0.35">
      <c r="A241" s="94"/>
      <c r="B241" s="94"/>
      <c r="C241" s="95"/>
      <c r="D241" s="95"/>
      <c r="E241" s="96"/>
      <c r="F241" s="94"/>
      <c r="G241" s="94"/>
      <c r="H241" s="94"/>
      <c r="I241" s="94"/>
      <c r="J241" s="97"/>
      <c r="K241" s="94"/>
      <c r="L241" s="94"/>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8"/>
      <c r="AR241" s="99" t="str">
        <f t="shared" si="39"/>
        <v/>
      </c>
      <c r="AS241" s="99" t="str">
        <f>IF($A241="","",IF($AP241&lt;&gt;"",$AP241,IFERROR(INDEX('Cat Zone by ZIP'!$D$6:$D$856,MATCH($AR241,'Cat Zone by ZIP'!$B$6:$B$856,0)),IFERROR(INDEX('Cat Zone by ZIP'!$C$860:$C$910,MATCH($K241,'Cat Zone by ZIP'!$B$860:$B$910,0)),"NOT FOUND"))))</f>
        <v/>
      </c>
      <c r="AT241" s="99" t="str">
        <f>IF($A241="","",IF($AP241&lt;&gt;"","Override",IF(ISNUMBER(MATCH($AR241,'Cat Zone by ZIP'!$B$6:$B$856,0)),"ZIP-3","State default")))</f>
        <v/>
      </c>
      <c r="AU241" s="100" t="str">
        <f>IF($A241="","",IFERROR(INDEX('Natural Catastrophe'!$D$6:$D$17,MATCH($AS241,'Natural Catastrophe'!$B$6:$B$17,0)),"?"))</f>
        <v/>
      </c>
      <c r="AV241" s="100" t="str">
        <f>IF($A241="","",IFERROR(INDEX('Natural Catastrophe'!$C$21:$C$26,MATCH($AA241,'Natural Catastrophe'!$B$21:$B$26,0)),"?"))</f>
        <v/>
      </c>
      <c r="AW241" s="99" t="str">
        <f>IF($A241="","",IFERROR(INDEX('Base Rates'!$C$4:$I$4,MATCH(MAX($J241,'Technical Premium'!$C$18),'Base Rates'!$C$3:$I$3,1)),"?"))</f>
        <v/>
      </c>
      <c r="AX241" s="101" t="str">
        <f>IF($A241="","",IFERROR(INDEX('Base Rates'!$C$5:$I$16,MATCH($I241,'Base Rates'!$B$5:$B$16,0),MATCH(MAX($J241,'Technical Premium'!$C$18),'Base Rates'!$C$3:$I$3,1)),"?"))</f>
        <v/>
      </c>
      <c r="AY241" s="102" t="str">
        <f t="shared" si="40"/>
        <v/>
      </c>
      <c r="AZ241" s="99" t="str">
        <f>IF($A241="","",IFERROR(INDEX('Make Factors'!$G$5:$G$69,MATCH($F241,'Make Factors'!$B$5:$B$69,0)),"?"))</f>
        <v/>
      </c>
      <c r="BA241" s="99" t="str">
        <f>IF($A241="","",IFERROR(INDEX('Driver Factors'!$C$6:$C$15,MATCH($R241,'Driver Factors'!$B$6:$B$15,0)),"?"))</f>
        <v/>
      </c>
      <c r="BB241" s="99" t="str">
        <f>IF($A241="","",IFERROR(INDEX('Driver Factors'!$C$19:$C$24,MATCH($S241,'Driver Factors'!$B$19:$B$24,0)),"?"))</f>
        <v/>
      </c>
      <c r="BC241" s="99" t="str">
        <f>IF($A241="","",IFERROR(INDEX('Driver Factors'!$C$28:$C$36,MATCH($T241,'Driver Factors'!$B$28:$B$36,0)),"?"))</f>
        <v/>
      </c>
      <c r="BD241" s="99" t="str">
        <f>IF($A241="","",IFERROR(INDEX('Claims History'!$C$6:$C$15,MATCH($U241,'Claims History'!$B$6:$B$15,0)),"?"))</f>
        <v/>
      </c>
      <c r="BE241" s="99" t="str">
        <f>IF($A241="","",IFERROR(INDEX('Territory Factors'!$E$6:$E$56,MATCH($K241,'Territory Factors'!$B$6:$B$56,0)),"?"))</f>
        <v/>
      </c>
      <c r="BF241" s="99" t="str">
        <f>IF($A241="","",IFERROR(INDEX('City Accident Ratings'!$G$6:$G$54,MATCH($Z241,'City Accident Ratings'!$B$6:$B$54,0)),"?"))</f>
        <v/>
      </c>
      <c r="BG241" s="99" t="str">
        <f>IF($A241="","",IFERROR(INDEX('Usage and Coverage'!$D$6:$D$20,MATCH($N241,'Usage and Coverage'!$C$6:$C$20,0)),"?"))</f>
        <v/>
      </c>
      <c r="BH241" s="99" t="str">
        <f>IF($A241="","",IFERROR(INDEX('Usage and Coverage'!$C$24:$C$30,MATCH($O241,'Usage and Coverage'!$B$24:$B$30,0)),"?"))</f>
        <v/>
      </c>
      <c r="BI241" s="99" t="str">
        <f>IF($A241="","",IFERROR(INDEX('Usage and Coverage'!$C$34:$C$40,MATCH($P241,'Usage and Coverage'!$B$34:$B$40,0)),"?"))</f>
        <v/>
      </c>
      <c r="BJ241" s="99" t="str">
        <f>IF($A241="","",IFERROR(INDEX('Usage and Coverage'!$C$44:$C$49,MATCH($Q241,'Usage and Coverage'!$B$44:$B$49,0)),"?"))</f>
        <v/>
      </c>
      <c r="BK241" s="99" t="str">
        <f>IF($A241="","",IFERROR(INDEX(Deductibles!$C$6:$I$15,MATCH($W241,Deductibles!$B$6:$B$15,0),MATCH(MAX($J241,'Technical Premium'!$C$18),'Base Rates'!$C$3:$I$3,1)),"?"))</f>
        <v/>
      </c>
      <c r="BL241" s="99" t="str">
        <f>IF($A241="","",IFERROR(INDEX('Usage and Coverage'!$C$63:$C$66,MATCH($X241,'Usage and Coverage'!$B$63:$B$66,0)),"?"))</f>
        <v/>
      </c>
      <c r="BM241" s="99" t="str">
        <f>IF($A241="","",IFERROR(INDEX('Usage and Coverage'!$C$70:$C$75,MATCH($V241,'Usage and Coverage'!$B$70:$B$75,0)),"?"))</f>
        <v/>
      </c>
      <c r="BN241" s="99" t="str">
        <f>IF($A241="","",IF($AB241="",1,IFERROR(INDEX(Deductibles!$C$48:$C$51,MATCH($AB241,Deductibles!$B$48:$B$51,0)),"?")))</f>
        <v/>
      </c>
      <c r="BO241" s="99" t="str">
        <f>IF($A241="","",IF($AC241="",1,IFERROR(INDEX(Deductibles!$C$55:$C$57,MATCH($AC241,Deductibles!$B$55:$B$57,0)),"?")))</f>
        <v/>
      </c>
      <c r="BP241" s="99" t="str">
        <f>IF($A241="","",IF($AD241="",1,IFERROR(INDEX(Deductibles!$C$61:$C$63,MATCH($AD241,Deductibles!$B$61:$B$63,0)),"?")))</f>
        <v/>
      </c>
      <c r="BQ241" s="99" t="str">
        <f>IF($A241="","",IF($AE241="",1,IFERROR(INDEX(Deductibles!$C$67:$C$69,MATCH($AE241,Deductibles!$B$67:$B$69,0)),"?")))</f>
        <v/>
      </c>
      <c r="BR241" s="99" t="str">
        <f>IF($A241="","",IF($AF241="",1,IFERROR(INDEX(Deductibles!$C$73:$C$74,MATCH($AF241,Deductibles!$B$73:$B$74,0)),"?")))</f>
        <v/>
      </c>
      <c r="BS241" s="99" t="str">
        <f>IF($A241="","",IF($AG241="",1,IFERROR(INDEX('Sublimits and Parts'!$C$49:$C$52,MATCH($AG241,'Sublimits and Parts'!$B$49:$B$52,0)),"?")))</f>
        <v/>
      </c>
      <c r="BT241" s="99" t="str">
        <f>IF($A241="","",IF($AH241="",1,IFERROR(INDEX('Sublimits and Parts'!$C$56:$C$60,MATCH($AH241,'Sublimits and Parts'!$B$56:$B$60,0)),"?")))</f>
        <v/>
      </c>
      <c r="BU241" s="99" t="str">
        <f>IF($A241="","",IF($AI241="",1,IFERROR(INDEX('Sublimits and Parts'!$C$64:$C$67,MATCH($AI241,'Sublimits and Parts'!$B$64:$B$67,0)),"?")))</f>
        <v/>
      </c>
      <c r="BV241" s="99" t="str">
        <f>IF($A241="","",IF($AJ241="",1,IFERROR(INDEX('Sublimits and Parts'!$C$71:$C$74,MATCH($AJ241,'Sublimits and Parts'!$B$71:$B$74,0)),"?")))</f>
        <v/>
      </c>
      <c r="BW241" s="99" t="str">
        <f>IF($A241="","",IF($AK241="",1,IFERROR(INDEX('Sublimits and Parts'!$C$78:$C$80,MATCH($AK241,'Sublimits and Parts'!$B$78:$B$80,0)),"?")))</f>
        <v/>
      </c>
      <c r="BX241" s="99" t="str">
        <f>IF($A241="","",IF($AL241="",1,IFERROR(INDEX('Sublimits and Parts'!$C$84:$C$87,MATCH($AL241,'Sublimits and Parts'!$B$84:$B$87,0)),"?")))</f>
        <v/>
      </c>
      <c r="BY241" s="99" t="str">
        <f>IF($A241="","",IF($AM241="",1,IFERROR(INDEX('Sublimits and Parts'!$C$91:$C$94,MATCH($AM241,'Sublimits and Parts'!$B$91:$B$94,0)),"?")))</f>
        <v/>
      </c>
      <c r="BZ241" s="99" t="str">
        <f>IF($A241="","",IF($AN241="",1,IFERROR(INDEX('Sublimits and Parts'!$C$98:$C$101,MATCH($AN241,'Sublimits and Parts'!$B$98:$B$101,0)),"?")))</f>
        <v/>
      </c>
      <c r="CA241" s="99" t="str">
        <f>IF($A241="","",IF($AO241="",1,IFERROR(INDEX('Sublimits and Parts'!$C$105:$C$109,MATCH($AO241,'Sublimits and Parts'!$B$105:$B$109,0)),"?")))</f>
        <v/>
      </c>
      <c r="CB241" s="100" t="str">
        <f t="shared" si="41"/>
        <v/>
      </c>
      <c r="CC241" s="100" t="str">
        <f t="shared" si="42"/>
        <v/>
      </c>
      <c r="CD241" s="103" t="str">
        <f>IF($A241="","",IF(OR($CB241="?",$CC241="?"),"?",MIN($CB241*$CC241,'Technical Premium'!$C$17)))</f>
        <v/>
      </c>
      <c r="CE241" s="102" t="str">
        <f t="shared" si="43"/>
        <v/>
      </c>
      <c r="CF241" s="102" t="str">
        <f>IF($A241="","",IFERROR(INDEX('Territory Factors'!$F$6:$F$56,MATCH($K241,'Territory Factors'!$B$6:$B$56,0)),"?"))</f>
        <v/>
      </c>
      <c r="CG241" s="100" t="str">
        <f>IF($A241="","",IFERROR(INDEX('Usage and Coverage'!$C$79:$C$84,MATCH($Y241,'Usage and Coverage'!$B$79:$B$84,0)),"?"))</f>
        <v/>
      </c>
      <c r="CH241" s="102" t="str">
        <f>IFERROR(IF(ISNUMBER($CD241),$CF241*$CG241*MIN($BG241*$BA241*$BC241*$BD241*$BH241*$BF241,'Technical Premium'!$C$17),""),"")</f>
        <v/>
      </c>
      <c r="CI241" s="102" t="str">
        <f t="shared" si="44"/>
        <v/>
      </c>
      <c r="CJ241" s="102" t="str">
        <f>IFERROR($CI241*(1+'Technical Premium'!$C$5)*(1+'Technical Premium'!$C$6),"")</f>
        <v/>
      </c>
      <c r="CK241" s="102" t="str">
        <f>IFERROR($CE241*INDEX('Territory Factors'!$G$6:$G$56,MATCH($K241,'Territory Factors'!$B$6:$B$56,0))*$AU241*$AV241,"")</f>
        <v/>
      </c>
      <c r="CL241" s="102" t="str">
        <f>IFERROR(($CJ241+$CK241)*(1+'Technical Premium'!$C$7),"")</f>
        <v/>
      </c>
      <c r="CM241" s="104" t="str">
        <f>IFERROR($CL241/'Technical Premium'!$C$13,"")</f>
        <v/>
      </c>
      <c r="CN241" s="105" t="str">
        <f t="shared" si="45"/>
        <v/>
      </c>
      <c r="CO241" s="104" t="str">
        <f t="shared" si="46"/>
        <v/>
      </c>
      <c r="CP241" s="105" t="str">
        <f t="shared" si="47"/>
        <v/>
      </c>
      <c r="CQ241" s="106" t="str">
        <f t="shared" si="48"/>
        <v/>
      </c>
      <c r="CR241" s="102" t="str">
        <f>IF(ISNUMBER($CM241),'Technical Premium'!$C$14+IF($J241&gt;=1000000,'Technical Premium'!$C$15,0),"")</f>
        <v/>
      </c>
      <c r="CS241" s="102" t="str">
        <f>IFERROR(($CO241+$CR241)*(INDEX('Territory Factors'!$K$6:$K$56,MATCH($K241,'Territory Factors'!$B$6:$B$56,0))+'Commission Structure'!$C$21),"")</f>
        <v/>
      </c>
      <c r="CT241" s="104" t="str">
        <f t="shared" si="49"/>
        <v/>
      </c>
      <c r="CU241" s="102" t="str">
        <f>IFERROR($CO241*('Commission Structure'!$C$6+'Commission Structure'!$C$7),"")</f>
        <v/>
      </c>
      <c r="CV241" s="102" t="str">
        <f>IFERROR($CO241*'Commission Structure'!$C$5-$CU241,"")</f>
        <v/>
      </c>
      <c r="CW241" s="102" t="str">
        <f>IFERROR($CO241*(1-'Commission Structure'!$C$5),"")</f>
        <v/>
      </c>
      <c r="CX241" s="107"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8" t="str">
        <f t="shared" si="50"/>
        <v/>
      </c>
      <c r="CZ241" s="99" t="str">
        <f>IF($CY241="","",IF($CY241&lt;'Technical Premium'!$C$19,"BEYOND AUTHORITY",IF($CY241&gt;0.005,"Above technical",IF($CY241&lt;-0.005,"BELOW technical","At technical"))))</f>
        <v/>
      </c>
      <c r="DA241" s="99"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4"/>
      <c r="DC241" s="94"/>
      <c r="DD241" s="95"/>
      <c r="DE241" s="94"/>
      <c r="DF241" s="94"/>
      <c r="DG241" s="99" t="str">
        <f t="shared" si="51"/>
        <v/>
      </c>
      <c r="DH241" s="99" t="str">
        <f>IF($A241="","",IF(OR($CX241="REFER",$CX241="DECLINE"),COUNTIF($CX$5:$CX241,"REFER")+COUNTIF($CX$5:$CX241,"DECLINE"),""))</f>
        <v/>
      </c>
      <c r="DI241" s="94"/>
    </row>
    <row r="242" spans="1:113" x14ac:dyDescent="0.35">
      <c r="A242" s="94"/>
      <c r="B242" s="94"/>
      <c r="C242" s="95"/>
      <c r="D242" s="95"/>
      <c r="E242" s="96"/>
      <c r="F242" s="94"/>
      <c r="G242" s="94"/>
      <c r="H242" s="94"/>
      <c r="I242" s="94"/>
      <c r="J242" s="97"/>
      <c r="K242" s="94"/>
      <c r="L242" s="94"/>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8"/>
      <c r="AR242" s="99" t="str">
        <f t="shared" si="39"/>
        <v/>
      </c>
      <c r="AS242" s="99" t="str">
        <f>IF($A242="","",IF($AP242&lt;&gt;"",$AP242,IFERROR(INDEX('Cat Zone by ZIP'!$D$6:$D$856,MATCH($AR242,'Cat Zone by ZIP'!$B$6:$B$856,0)),IFERROR(INDEX('Cat Zone by ZIP'!$C$860:$C$910,MATCH($K242,'Cat Zone by ZIP'!$B$860:$B$910,0)),"NOT FOUND"))))</f>
        <v/>
      </c>
      <c r="AT242" s="99" t="str">
        <f>IF($A242="","",IF($AP242&lt;&gt;"","Override",IF(ISNUMBER(MATCH($AR242,'Cat Zone by ZIP'!$B$6:$B$856,0)),"ZIP-3","State default")))</f>
        <v/>
      </c>
      <c r="AU242" s="100" t="str">
        <f>IF($A242="","",IFERROR(INDEX('Natural Catastrophe'!$D$6:$D$17,MATCH($AS242,'Natural Catastrophe'!$B$6:$B$17,0)),"?"))</f>
        <v/>
      </c>
      <c r="AV242" s="100" t="str">
        <f>IF($A242="","",IFERROR(INDEX('Natural Catastrophe'!$C$21:$C$26,MATCH($AA242,'Natural Catastrophe'!$B$21:$B$26,0)),"?"))</f>
        <v/>
      </c>
      <c r="AW242" s="99" t="str">
        <f>IF($A242="","",IFERROR(INDEX('Base Rates'!$C$4:$I$4,MATCH(MAX($J242,'Technical Premium'!$C$18),'Base Rates'!$C$3:$I$3,1)),"?"))</f>
        <v/>
      </c>
      <c r="AX242" s="101" t="str">
        <f>IF($A242="","",IFERROR(INDEX('Base Rates'!$C$5:$I$16,MATCH($I242,'Base Rates'!$B$5:$B$16,0),MATCH(MAX($J242,'Technical Premium'!$C$18),'Base Rates'!$C$3:$I$3,1)),"?"))</f>
        <v/>
      </c>
      <c r="AY242" s="102" t="str">
        <f t="shared" si="40"/>
        <v/>
      </c>
      <c r="AZ242" s="99" t="str">
        <f>IF($A242="","",IFERROR(INDEX('Make Factors'!$G$5:$G$69,MATCH($F242,'Make Factors'!$B$5:$B$69,0)),"?"))</f>
        <v/>
      </c>
      <c r="BA242" s="99" t="str">
        <f>IF($A242="","",IFERROR(INDEX('Driver Factors'!$C$6:$C$15,MATCH($R242,'Driver Factors'!$B$6:$B$15,0)),"?"))</f>
        <v/>
      </c>
      <c r="BB242" s="99" t="str">
        <f>IF($A242="","",IFERROR(INDEX('Driver Factors'!$C$19:$C$24,MATCH($S242,'Driver Factors'!$B$19:$B$24,0)),"?"))</f>
        <v/>
      </c>
      <c r="BC242" s="99" t="str">
        <f>IF($A242="","",IFERROR(INDEX('Driver Factors'!$C$28:$C$36,MATCH($T242,'Driver Factors'!$B$28:$B$36,0)),"?"))</f>
        <v/>
      </c>
      <c r="BD242" s="99" t="str">
        <f>IF($A242="","",IFERROR(INDEX('Claims History'!$C$6:$C$15,MATCH($U242,'Claims History'!$B$6:$B$15,0)),"?"))</f>
        <v/>
      </c>
      <c r="BE242" s="99" t="str">
        <f>IF($A242="","",IFERROR(INDEX('Territory Factors'!$E$6:$E$56,MATCH($K242,'Territory Factors'!$B$6:$B$56,0)),"?"))</f>
        <v/>
      </c>
      <c r="BF242" s="99" t="str">
        <f>IF($A242="","",IFERROR(INDEX('City Accident Ratings'!$G$6:$G$54,MATCH($Z242,'City Accident Ratings'!$B$6:$B$54,0)),"?"))</f>
        <v/>
      </c>
      <c r="BG242" s="99" t="str">
        <f>IF($A242="","",IFERROR(INDEX('Usage and Coverage'!$D$6:$D$20,MATCH($N242,'Usage and Coverage'!$C$6:$C$20,0)),"?"))</f>
        <v/>
      </c>
      <c r="BH242" s="99" t="str">
        <f>IF($A242="","",IFERROR(INDEX('Usage and Coverage'!$C$24:$C$30,MATCH($O242,'Usage and Coverage'!$B$24:$B$30,0)),"?"))</f>
        <v/>
      </c>
      <c r="BI242" s="99" t="str">
        <f>IF($A242="","",IFERROR(INDEX('Usage and Coverage'!$C$34:$C$40,MATCH($P242,'Usage and Coverage'!$B$34:$B$40,0)),"?"))</f>
        <v/>
      </c>
      <c r="BJ242" s="99" t="str">
        <f>IF($A242="","",IFERROR(INDEX('Usage and Coverage'!$C$44:$C$49,MATCH($Q242,'Usage and Coverage'!$B$44:$B$49,0)),"?"))</f>
        <v/>
      </c>
      <c r="BK242" s="99" t="str">
        <f>IF($A242="","",IFERROR(INDEX(Deductibles!$C$6:$I$15,MATCH($W242,Deductibles!$B$6:$B$15,0),MATCH(MAX($J242,'Technical Premium'!$C$18),'Base Rates'!$C$3:$I$3,1)),"?"))</f>
        <v/>
      </c>
      <c r="BL242" s="99" t="str">
        <f>IF($A242="","",IFERROR(INDEX('Usage and Coverage'!$C$63:$C$66,MATCH($X242,'Usage and Coverage'!$B$63:$B$66,0)),"?"))</f>
        <v/>
      </c>
      <c r="BM242" s="99" t="str">
        <f>IF($A242="","",IFERROR(INDEX('Usage and Coverage'!$C$70:$C$75,MATCH($V242,'Usage and Coverage'!$B$70:$B$75,0)),"?"))</f>
        <v/>
      </c>
      <c r="BN242" s="99" t="str">
        <f>IF($A242="","",IF($AB242="",1,IFERROR(INDEX(Deductibles!$C$48:$C$51,MATCH($AB242,Deductibles!$B$48:$B$51,0)),"?")))</f>
        <v/>
      </c>
      <c r="BO242" s="99" t="str">
        <f>IF($A242="","",IF($AC242="",1,IFERROR(INDEX(Deductibles!$C$55:$C$57,MATCH($AC242,Deductibles!$B$55:$B$57,0)),"?")))</f>
        <v/>
      </c>
      <c r="BP242" s="99" t="str">
        <f>IF($A242="","",IF($AD242="",1,IFERROR(INDEX(Deductibles!$C$61:$C$63,MATCH($AD242,Deductibles!$B$61:$B$63,0)),"?")))</f>
        <v/>
      </c>
      <c r="BQ242" s="99" t="str">
        <f>IF($A242="","",IF($AE242="",1,IFERROR(INDEX(Deductibles!$C$67:$C$69,MATCH($AE242,Deductibles!$B$67:$B$69,0)),"?")))</f>
        <v/>
      </c>
      <c r="BR242" s="99" t="str">
        <f>IF($A242="","",IF($AF242="",1,IFERROR(INDEX(Deductibles!$C$73:$C$74,MATCH($AF242,Deductibles!$B$73:$B$74,0)),"?")))</f>
        <v/>
      </c>
      <c r="BS242" s="99" t="str">
        <f>IF($A242="","",IF($AG242="",1,IFERROR(INDEX('Sublimits and Parts'!$C$49:$C$52,MATCH($AG242,'Sublimits and Parts'!$B$49:$B$52,0)),"?")))</f>
        <v/>
      </c>
      <c r="BT242" s="99" t="str">
        <f>IF($A242="","",IF($AH242="",1,IFERROR(INDEX('Sublimits and Parts'!$C$56:$C$60,MATCH($AH242,'Sublimits and Parts'!$B$56:$B$60,0)),"?")))</f>
        <v/>
      </c>
      <c r="BU242" s="99" t="str">
        <f>IF($A242="","",IF($AI242="",1,IFERROR(INDEX('Sublimits and Parts'!$C$64:$C$67,MATCH($AI242,'Sublimits and Parts'!$B$64:$B$67,0)),"?")))</f>
        <v/>
      </c>
      <c r="BV242" s="99" t="str">
        <f>IF($A242="","",IF($AJ242="",1,IFERROR(INDEX('Sublimits and Parts'!$C$71:$C$74,MATCH($AJ242,'Sublimits and Parts'!$B$71:$B$74,0)),"?")))</f>
        <v/>
      </c>
      <c r="BW242" s="99" t="str">
        <f>IF($A242="","",IF($AK242="",1,IFERROR(INDEX('Sublimits and Parts'!$C$78:$C$80,MATCH($AK242,'Sublimits and Parts'!$B$78:$B$80,0)),"?")))</f>
        <v/>
      </c>
      <c r="BX242" s="99" t="str">
        <f>IF($A242="","",IF($AL242="",1,IFERROR(INDEX('Sublimits and Parts'!$C$84:$C$87,MATCH($AL242,'Sublimits and Parts'!$B$84:$B$87,0)),"?")))</f>
        <v/>
      </c>
      <c r="BY242" s="99" t="str">
        <f>IF($A242="","",IF($AM242="",1,IFERROR(INDEX('Sublimits and Parts'!$C$91:$C$94,MATCH($AM242,'Sublimits and Parts'!$B$91:$B$94,0)),"?")))</f>
        <v/>
      </c>
      <c r="BZ242" s="99" t="str">
        <f>IF($A242="","",IF($AN242="",1,IFERROR(INDEX('Sublimits and Parts'!$C$98:$C$101,MATCH($AN242,'Sublimits and Parts'!$B$98:$B$101,0)),"?")))</f>
        <v/>
      </c>
      <c r="CA242" s="99" t="str">
        <f>IF($A242="","",IF($AO242="",1,IFERROR(INDEX('Sublimits and Parts'!$C$105:$C$109,MATCH($AO242,'Sublimits and Parts'!$B$105:$B$109,0)),"?")))</f>
        <v/>
      </c>
      <c r="CB242" s="100" t="str">
        <f t="shared" si="41"/>
        <v/>
      </c>
      <c r="CC242" s="100" t="str">
        <f t="shared" si="42"/>
        <v/>
      </c>
      <c r="CD242" s="103" t="str">
        <f>IF($A242="","",IF(OR($CB242="?",$CC242="?"),"?",MIN($CB242*$CC242,'Technical Premium'!$C$17)))</f>
        <v/>
      </c>
      <c r="CE242" s="102" t="str">
        <f t="shared" si="43"/>
        <v/>
      </c>
      <c r="CF242" s="102" t="str">
        <f>IF($A242="","",IFERROR(INDEX('Territory Factors'!$F$6:$F$56,MATCH($K242,'Territory Factors'!$B$6:$B$56,0)),"?"))</f>
        <v/>
      </c>
      <c r="CG242" s="100" t="str">
        <f>IF($A242="","",IFERROR(INDEX('Usage and Coverage'!$C$79:$C$84,MATCH($Y242,'Usage and Coverage'!$B$79:$B$84,0)),"?"))</f>
        <v/>
      </c>
      <c r="CH242" s="102" t="str">
        <f>IFERROR(IF(ISNUMBER($CD242),$CF242*$CG242*MIN($BG242*$BA242*$BC242*$BD242*$BH242*$BF242,'Technical Premium'!$C$17),""),"")</f>
        <v/>
      </c>
      <c r="CI242" s="102" t="str">
        <f t="shared" si="44"/>
        <v/>
      </c>
      <c r="CJ242" s="102" t="str">
        <f>IFERROR($CI242*(1+'Technical Premium'!$C$5)*(1+'Technical Premium'!$C$6),"")</f>
        <v/>
      </c>
      <c r="CK242" s="102" t="str">
        <f>IFERROR($CE242*INDEX('Territory Factors'!$G$6:$G$56,MATCH($K242,'Territory Factors'!$B$6:$B$56,0))*$AU242*$AV242,"")</f>
        <v/>
      </c>
      <c r="CL242" s="102" t="str">
        <f>IFERROR(($CJ242+$CK242)*(1+'Technical Premium'!$C$7),"")</f>
        <v/>
      </c>
      <c r="CM242" s="104" t="str">
        <f>IFERROR($CL242/'Technical Premium'!$C$13,"")</f>
        <v/>
      </c>
      <c r="CN242" s="105" t="str">
        <f t="shared" si="45"/>
        <v/>
      </c>
      <c r="CO242" s="104" t="str">
        <f t="shared" si="46"/>
        <v/>
      </c>
      <c r="CP242" s="105" t="str">
        <f t="shared" si="47"/>
        <v/>
      </c>
      <c r="CQ242" s="106" t="str">
        <f t="shared" si="48"/>
        <v/>
      </c>
      <c r="CR242" s="102" t="str">
        <f>IF(ISNUMBER($CM242),'Technical Premium'!$C$14+IF($J242&gt;=1000000,'Technical Premium'!$C$15,0),"")</f>
        <v/>
      </c>
      <c r="CS242" s="102" t="str">
        <f>IFERROR(($CO242+$CR242)*(INDEX('Territory Factors'!$K$6:$K$56,MATCH($K242,'Territory Factors'!$B$6:$B$56,0))+'Commission Structure'!$C$21),"")</f>
        <v/>
      </c>
      <c r="CT242" s="104" t="str">
        <f t="shared" si="49"/>
        <v/>
      </c>
      <c r="CU242" s="102" t="str">
        <f>IFERROR($CO242*('Commission Structure'!$C$6+'Commission Structure'!$C$7),"")</f>
        <v/>
      </c>
      <c r="CV242" s="102" t="str">
        <f>IFERROR($CO242*'Commission Structure'!$C$5-$CU242,"")</f>
        <v/>
      </c>
      <c r="CW242" s="102" t="str">
        <f>IFERROR($CO242*(1-'Commission Structure'!$C$5),"")</f>
        <v/>
      </c>
      <c r="CX242" s="107"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8" t="str">
        <f t="shared" si="50"/>
        <v/>
      </c>
      <c r="CZ242" s="99" t="str">
        <f>IF($CY242="","",IF($CY242&lt;'Technical Premium'!$C$19,"BEYOND AUTHORITY",IF($CY242&gt;0.005,"Above technical",IF($CY242&lt;-0.005,"BELOW technical","At technical"))))</f>
        <v/>
      </c>
      <c r="DA242" s="99"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4"/>
      <c r="DC242" s="94"/>
      <c r="DD242" s="95"/>
      <c r="DE242" s="94"/>
      <c r="DF242" s="94"/>
      <c r="DG242" s="99" t="str">
        <f t="shared" si="51"/>
        <v/>
      </c>
      <c r="DH242" s="99" t="str">
        <f>IF($A242="","",IF(OR($CX242="REFER",$CX242="DECLINE"),COUNTIF($CX$5:$CX242,"REFER")+COUNTIF($CX$5:$CX242,"DECLINE"),""))</f>
        <v/>
      </c>
      <c r="DI242" s="94"/>
    </row>
    <row r="243" spans="1:113" x14ac:dyDescent="0.35">
      <c r="A243" s="94"/>
      <c r="B243" s="94"/>
      <c r="C243" s="95"/>
      <c r="D243" s="95"/>
      <c r="E243" s="96"/>
      <c r="F243" s="94"/>
      <c r="G243" s="94"/>
      <c r="H243" s="94"/>
      <c r="I243" s="94"/>
      <c r="J243" s="97"/>
      <c r="K243" s="94"/>
      <c r="L243" s="94"/>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8"/>
      <c r="AR243" s="99" t="str">
        <f t="shared" si="39"/>
        <v/>
      </c>
      <c r="AS243" s="99" t="str">
        <f>IF($A243="","",IF($AP243&lt;&gt;"",$AP243,IFERROR(INDEX('Cat Zone by ZIP'!$D$6:$D$856,MATCH($AR243,'Cat Zone by ZIP'!$B$6:$B$856,0)),IFERROR(INDEX('Cat Zone by ZIP'!$C$860:$C$910,MATCH($K243,'Cat Zone by ZIP'!$B$860:$B$910,0)),"NOT FOUND"))))</f>
        <v/>
      </c>
      <c r="AT243" s="99" t="str">
        <f>IF($A243="","",IF($AP243&lt;&gt;"","Override",IF(ISNUMBER(MATCH($AR243,'Cat Zone by ZIP'!$B$6:$B$856,0)),"ZIP-3","State default")))</f>
        <v/>
      </c>
      <c r="AU243" s="100" t="str">
        <f>IF($A243="","",IFERROR(INDEX('Natural Catastrophe'!$D$6:$D$17,MATCH($AS243,'Natural Catastrophe'!$B$6:$B$17,0)),"?"))</f>
        <v/>
      </c>
      <c r="AV243" s="100" t="str">
        <f>IF($A243="","",IFERROR(INDEX('Natural Catastrophe'!$C$21:$C$26,MATCH($AA243,'Natural Catastrophe'!$B$21:$B$26,0)),"?"))</f>
        <v/>
      </c>
      <c r="AW243" s="99" t="str">
        <f>IF($A243="","",IFERROR(INDEX('Base Rates'!$C$4:$I$4,MATCH(MAX($J243,'Technical Premium'!$C$18),'Base Rates'!$C$3:$I$3,1)),"?"))</f>
        <v/>
      </c>
      <c r="AX243" s="101" t="str">
        <f>IF($A243="","",IFERROR(INDEX('Base Rates'!$C$5:$I$16,MATCH($I243,'Base Rates'!$B$5:$B$16,0),MATCH(MAX($J243,'Technical Premium'!$C$18),'Base Rates'!$C$3:$I$3,1)),"?"))</f>
        <v/>
      </c>
      <c r="AY243" s="102" t="str">
        <f t="shared" si="40"/>
        <v/>
      </c>
      <c r="AZ243" s="99" t="str">
        <f>IF($A243="","",IFERROR(INDEX('Make Factors'!$G$5:$G$69,MATCH($F243,'Make Factors'!$B$5:$B$69,0)),"?"))</f>
        <v/>
      </c>
      <c r="BA243" s="99" t="str">
        <f>IF($A243="","",IFERROR(INDEX('Driver Factors'!$C$6:$C$15,MATCH($R243,'Driver Factors'!$B$6:$B$15,0)),"?"))</f>
        <v/>
      </c>
      <c r="BB243" s="99" t="str">
        <f>IF($A243="","",IFERROR(INDEX('Driver Factors'!$C$19:$C$24,MATCH($S243,'Driver Factors'!$B$19:$B$24,0)),"?"))</f>
        <v/>
      </c>
      <c r="BC243" s="99" t="str">
        <f>IF($A243="","",IFERROR(INDEX('Driver Factors'!$C$28:$C$36,MATCH($T243,'Driver Factors'!$B$28:$B$36,0)),"?"))</f>
        <v/>
      </c>
      <c r="BD243" s="99" t="str">
        <f>IF($A243="","",IFERROR(INDEX('Claims History'!$C$6:$C$15,MATCH($U243,'Claims History'!$B$6:$B$15,0)),"?"))</f>
        <v/>
      </c>
      <c r="BE243" s="99" t="str">
        <f>IF($A243="","",IFERROR(INDEX('Territory Factors'!$E$6:$E$56,MATCH($K243,'Territory Factors'!$B$6:$B$56,0)),"?"))</f>
        <v/>
      </c>
      <c r="BF243" s="99" t="str">
        <f>IF($A243="","",IFERROR(INDEX('City Accident Ratings'!$G$6:$G$54,MATCH($Z243,'City Accident Ratings'!$B$6:$B$54,0)),"?"))</f>
        <v/>
      </c>
      <c r="BG243" s="99" t="str">
        <f>IF($A243="","",IFERROR(INDEX('Usage and Coverage'!$D$6:$D$20,MATCH($N243,'Usage and Coverage'!$C$6:$C$20,0)),"?"))</f>
        <v/>
      </c>
      <c r="BH243" s="99" t="str">
        <f>IF($A243="","",IFERROR(INDEX('Usage and Coverage'!$C$24:$C$30,MATCH($O243,'Usage and Coverage'!$B$24:$B$30,0)),"?"))</f>
        <v/>
      </c>
      <c r="BI243" s="99" t="str">
        <f>IF($A243="","",IFERROR(INDEX('Usage and Coverage'!$C$34:$C$40,MATCH($P243,'Usage and Coverage'!$B$34:$B$40,0)),"?"))</f>
        <v/>
      </c>
      <c r="BJ243" s="99" t="str">
        <f>IF($A243="","",IFERROR(INDEX('Usage and Coverage'!$C$44:$C$49,MATCH($Q243,'Usage and Coverage'!$B$44:$B$49,0)),"?"))</f>
        <v/>
      </c>
      <c r="BK243" s="99" t="str">
        <f>IF($A243="","",IFERROR(INDEX(Deductibles!$C$6:$I$15,MATCH($W243,Deductibles!$B$6:$B$15,0),MATCH(MAX($J243,'Technical Premium'!$C$18),'Base Rates'!$C$3:$I$3,1)),"?"))</f>
        <v/>
      </c>
      <c r="BL243" s="99" t="str">
        <f>IF($A243="","",IFERROR(INDEX('Usage and Coverage'!$C$63:$C$66,MATCH($X243,'Usage and Coverage'!$B$63:$B$66,0)),"?"))</f>
        <v/>
      </c>
      <c r="BM243" s="99" t="str">
        <f>IF($A243="","",IFERROR(INDEX('Usage and Coverage'!$C$70:$C$75,MATCH($V243,'Usage and Coverage'!$B$70:$B$75,0)),"?"))</f>
        <v/>
      </c>
      <c r="BN243" s="99" t="str">
        <f>IF($A243="","",IF($AB243="",1,IFERROR(INDEX(Deductibles!$C$48:$C$51,MATCH($AB243,Deductibles!$B$48:$B$51,0)),"?")))</f>
        <v/>
      </c>
      <c r="BO243" s="99" t="str">
        <f>IF($A243="","",IF($AC243="",1,IFERROR(INDEX(Deductibles!$C$55:$C$57,MATCH($AC243,Deductibles!$B$55:$B$57,0)),"?")))</f>
        <v/>
      </c>
      <c r="BP243" s="99" t="str">
        <f>IF($A243="","",IF($AD243="",1,IFERROR(INDEX(Deductibles!$C$61:$C$63,MATCH($AD243,Deductibles!$B$61:$B$63,0)),"?")))</f>
        <v/>
      </c>
      <c r="BQ243" s="99" t="str">
        <f>IF($A243="","",IF($AE243="",1,IFERROR(INDEX(Deductibles!$C$67:$C$69,MATCH($AE243,Deductibles!$B$67:$B$69,0)),"?")))</f>
        <v/>
      </c>
      <c r="BR243" s="99" t="str">
        <f>IF($A243="","",IF($AF243="",1,IFERROR(INDEX(Deductibles!$C$73:$C$74,MATCH($AF243,Deductibles!$B$73:$B$74,0)),"?")))</f>
        <v/>
      </c>
      <c r="BS243" s="99" t="str">
        <f>IF($A243="","",IF($AG243="",1,IFERROR(INDEX('Sublimits and Parts'!$C$49:$C$52,MATCH($AG243,'Sublimits and Parts'!$B$49:$B$52,0)),"?")))</f>
        <v/>
      </c>
      <c r="BT243" s="99" t="str">
        <f>IF($A243="","",IF($AH243="",1,IFERROR(INDEX('Sublimits and Parts'!$C$56:$C$60,MATCH($AH243,'Sublimits and Parts'!$B$56:$B$60,0)),"?")))</f>
        <v/>
      </c>
      <c r="BU243" s="99" t="str">
        <f>IF($A243="","",IF($AI243="",1,IFERROR(INDEX('Sublimits and Parts'!$C$64:$C$67,MATCH($AI243,'Sublimits and Parts'!$B$64:$B$67,0)),"?")))</f>
        <v/>
      </c>
      <c r="BV243" s="99" t="str">
        <f>IF($A243="","",IF($AJ243="",1,IFERROR(INDEX('Sublimits and Parts'!$C$71:$C$74,MATCH($AJ243,'Sublimits and Parts'!$B$71:$B$74,0)),"?")))</f>
        <v/>
      </c>
      <c r="BW243" s="99" t="str">
        <f>IF($A243="","",IF($AK243="",1,IFERROR(INDEX('Sublimits and Parts'!$C$78:$C$80,MATCH($AK243,'Sublimits and Parts'!$B$78:$B$80,0)),"?")))</f>
        <v/>
      </c>
      <c r="BX243" s="99" t="str">
        <f>IF($A243="","",IF($AL243="",1,IFERROR(INDEX('Sublimits and Parts'!$C$84:$C$87,MATCH($AL243,'Sublimits and Parts'!$B$84:$B$87,0)),"?")))</f>
        <v/>
      </c>
      <c r="BY243" s="99" t="str">
        <f>IF($A243="","",IF($AM243="",1,IFERROR(INDEX('Sublimits and Parts'!$C$91:$C$94,MATCH($AM243,'Sublimits and Parts'!$B$91:$B$94,0)),"?")))</f>
        <v/>
      </c>
      <c r="BZ243" s="99" t="str">
        <f>IF($A243="","",IF($AN243="",1,IFERROR(INDEX('Sublimits and Parts'!$C$98:$C$101,MATCH($AN243,'Sublimits and Parts'!$B$98:$B$101,0)),"?")))</f>
        <v/>
      </c>
      <c r="CA243" s="99" t="str">
        <f>IF($A243="","",IF($AO243="",1,IFERROR(INDEX('Sublimits and Parts'!$C$105:$C$109,MATCH($AO243,'Sublimits and Parts'!$B$105:$B$109,0)),"?")))</f>
        <v/>
      </c>
      <c r="CB243" s="100" t="str">
        <f t="shared" si="41"/>
        <v/>
      </c>
      <c r="CC243" s="100" t="str">
        <f t="shared" si="42"/>
        <v/>
      </c>
      <c r="CD243" s="103" t="str">
        <f>IF($A243="","",IF(OR($CB243="?",$CC243="?"),"?",MIN($CB243*$CC243,'Technical Premium'!$C$17)))</f>
        <v/>
      </c>
      <c r="CE243" s="102" t="str">
        <f t="shared" si="43"/>
        <v/>
      </c>
      <c r="CF243" s="102" t="str">
        <f>IF($A243="","",IFERROR(INDEX('Territory Factors'!$F$6:$F$56,MATCH($K243,'Territory Factors'!$B$6:$B$56,0)),"?"))</f>
        <v/>
      </c>
      <c r="CG243" s="100" t="str">
        <f>IF($A243="","",IFERROR(INDEX('Usage and Coverage'!$C$79:$C$84,MATCH($Y243,'Usage and Coverage'!$B$79:$B$84,0)),"?"))</f>
        <v/>
      </c>
      <c r="CH243" s="102" t="str">
        <f>IFERROR(IF(ISNUMBER($CD243),$CF243*$CG243*MIN($BG243*$BA243*$BC243*$BD243*$BH243*$BF243,'Technical Premium'!$C$17),""),"")</f>
        <v/>
      </c>
      <c r="CI243" s="102" t="str">
        <f t="shared" si="44"/>
        <v/>
      </c>
      <c r="CJ243" s="102" t="str">
        <f>IFERROR($CI243*(1+'Technical Premium'!$C$5)*(1+'Technical Premium'!$C$6),"")</f>
        <v/>
      </c>
      <c r="CK243" s="102" t="str">
        <f>IFERROR($CE243*INDEX('Territory Factors'!$G$6:$G$56,MATCH($K243,'Territory Factors'!$B$6:$B$56,0))*$AU243*$AV243,"")</f>
        <v/>
      </c>
      <c r="CL243" s="102" t="str">
        <f>IFERROR(($CJ243+$CK243)*(1+'Technical Premium'!$C$7),"")</f>
        <v/>
      </c>
      <c r="CM243" s="104" t="str">
        <f>IFERROR($CL243/'Technical Premium'!$C$13,"")</f>
        <v/>
      </c>
      <c r="CN243" s="105" t="str">
        <f t="shared" si="45"/>
        <v/>
      </c>
      <c r="CO243" s="104" t="str">
        <f t="shared" si="46"/>
        <v/>
      </c>
      <c r="CP243" s="105" t="str">
        <f t="shared" si="47"/>
        <v/>
      </c>
      <c r="CQ243" s="106" t="str">
        <f t="shared" si="48"/>
        <v/>
      </c>
      <c r="CR243" s="102" t="str">
        <f>IF(ISNUMBER($CM243),'Technical Premium'!$C$14+IF($J243&gt;=1000000,'Technical Premium'!$C$15,0),"")</f>
        <v/>
      </c>
      <c r="CS243" s="102" t="str">
        <f>IFERROR(($CO243+$CR243)*(INDEX('Territory Factors'!$K$6:$K$56,MATCH($K243,'Territory Factors'!$B$6:$B$56,0))+'Commission Structure'!$C$21),"")</f>
        <v/>
      </c>
      <c r="CT243" s="104" t="str">
        <f t="shared" si="49"/>
        <v/>
      </c>
      <c r="CU243" s="102" t="str">
        <f>IFERROR($CO243*('Commission Structure'!$C$6+'Commission Structure'!$C$7),"")</f>
        <v/>
      </c>
      <c r="CV243" s="102" t="str">
        <f>IFERROR($CO243*'Commission Structure'!$C$5-$CU243,"")</f>
        <v/>
      </c>
      <c r="CW243" s="102" t="str">
        <f>IFERROR($CO243*(1-'Commission Structure'!$C$5),"")</f>
        <v/>
      </c>
      <c r="CX243" s="107"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8" t="str">
        <f t="shared" si="50"/>
        <v/>
      </c>
      <c r="CZ243" s="99" t="str">
        <f>IF($CY243="","",IF($CY243&lt;'Technical Premium'!$C$19,"BEYOND AUTHORITY",IF($CY243&gt;0.005,"Above technical",IF($CY243&lt;-0.005,"BELOW technical","At technical"))))</f>
        <v/>
      </c>
      <c r="DA243" s="99"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4"/>
      <c r="DC243" s="94"/>
      <c r="DD243" s="95"/>
      <c r="DE243" s="94"/>
      <c r="DF243" s="94"/>
      <c r="DG243" s="99" t="str">
        <f t="shared" si="51"/>
        <v/>
      </c>
      <c r="DH243" s="99" t="str">
        <f>IF($A243="","",IF(OR($CX243="REFER",$CX243="DECLINE"),COUNTIF($CX$5:$CX243,"REFER")+COUNTIF($CX$5:$CX243,"DECLINE"),""))</f>
        <v/>
      </c>
      <c r="DI243" s="94"/>
    </row>
    <row r="244" spans="1:113" x14ac:dyDescent="0.35">
      <c r="A244" s="94"/>
      <c r="B244" s="94"/>
      <c r="C244" s="95"/>
      <c r="D244" s="95"/>
      <c r="E244" s="96"/>
      <c r="F244" s="94"/>
      <c r="G244" s="94"/>
      <c r="H244" s="94"/>
      <c r="I244" s="94"/>
      <c r="J244" s="97"/>
      <c r="K244" s="94"/>
      <c r="L244" s="94"/>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8"/>
      <c r="AR244" s="99" t="str">
        <f t="shared" si="39"/>
        <v/>
      </c>
      <c r="AS244" s="99" t="str">
        <f>IF($A244="","",IF($AP244&lt;&gt;"",$AP244,IFERROR(INDEX('Cat Zone by ZIP'!$D$6:$D$856,MATCH($AR244,'Cat Zone by ZIP'!$B$6:$B$856,0)),IFERROR(INDEX('Cat Zone by ZIP'!$C$860:$C$910,MATCH($K244,'Cat Zone by ZIP'!$B$860:$B$910,0)),"NOT FOUND"))))</f>
        <v/>
      </c>
      <c r="AT244" s="99" t="str">
        <f>IF($A244="","",IF($AP244&lt;&gt;"","Override",IF(ISNUMBER(MATCH($AR244,'Cat Zone by ZIP'!$B$6:$B$856,0)),"ZIP-3","State default")))</f>
        <v/>
      </c>
      <c r="AU244" s="100" t="str">
        <f>IF($A244="","",IFERROR(INDEX('Natural Catastrophe'!$D$6:$D$17,MATCH($AS244,'Natural Catastrophe'!$B$6:$B$17,0)),"?"))</f>
        <v/>
      </c>
      <c r="AV244" s="100" t="str">
        <f>IF($A244="","",IFERROR(INDEX('Natural Catastrophe'!$C$21:$C$26,MATCH($AA244,'Natural Catastrophe'!$B$21:$B$26,0)),"?"))</f>
        <v/>
      </c>
      <c r="AW244" s="99" t="str">
        <f>IF($A244="","",IFERROR(INDEX('Base Rates'!$C$4:$I$4,MATCH(MAX($J244,'Technical Premium'!$C$18),'Base Rates'!$C$3:$I$3,1)),"?"))</f>
        <v/>
      </c>
      <c r="AX244" s="101" t="str">
        <f>IF($A244="","",IFERROR(INDEX('Base Rates'!$C$5:$I$16,MATCH($I244,'Base Rates'!$B$5:$B$16,0),MATCH(MAX($J244,'Technical Premium'!$C$18),'Base Rates'!$C$3:$I$3,1)),"?"))</f>
        <v/>
      </c>
      <c r="AY244" s="102" t="str">
        <f t="shared" si="40"/>
        <v/>
      </c>
      <c r="AZ244" s="99" t="str">
        <f>IF($A244="","",IFERROR(INDEX('Make Factors'!$G$5:$G$69,MATCH($F244,'Make Factors'!$B$5:$B$69,0)),"?"))</f>
        <v/>
      </c>
      <c r="BA244" s="99" t="str">
        <f>IF($A244="","",IFERROR(INDEX('Driver Factors'!$C$6:$C$15,MATCH($R244,'Driver Factors'!$B$6:$B$15,0)),"?"))</f>
        <v/>
      </c>
      <c r="BB244" s="99" t="str">
        <f>IF($A244="","",IFERROR(INDEX('Driver Factors'!$C$19:$C$24,MATCH($S244,'Driver Factors'!$B$19:$B$24,0)),"?"))</f>
        <v/>
      </c>
      <c r="BC244" s="99" t="str">
        <f>IF($A244="","",IFERROR(INDEX('Driver Factors'!$C$28:$C$36,MATCH($T244,'Driver Factors'!$B$28:$B$36,0)),"?"))</f>
        <v/>
      </c>
      <c r="BD244" s="99" t="str">
        <f>IF($A244="","",IFERROR(INDEX('Claims History'!$C$6:$C$15,MATCH($U244,'Claims History'!$B$6:$B$15,0)),"?"))</f>
        <v/>
      </c>
      <c r="BE244" s="99" t="str">
        <f>IF($A244="","",IFERROR(INDEX('Territory Factors'!$E$6:$E$56,MATCH($K244,'Territory Factors'!$B$6:$B$56,0)),"?"))</f>
        <v/>
      </c>
      <c r="BF244" s="99" t="str">
        <f>IF($A244="","",IFERROR(INDEX('City Accident Ratings'!$G$6:$G$54,MATCH($Z244,'City Accident Ratings'!$B$6:$B$54,0)),"?"))</f>
        <v/>
      </c>
      <c r="BG244" s="99" t="str">
        <f>IF($A244="","",IFERROR(INDEX('Usage and Coverage'!$D$6:$D$20,MATCH($N244,'Usage and Coverage'!$C$6:$C$20,0)),"?"))</f>
        <v/>
      </c>
      <c r="BH244" s="99" t="str">
        <f>IF($A244="","",IFERROR(INDEX('Usage and Coverage'!$C$24:$C$30,MATCH($O244,'Usage and Coverage'!$B$24:$B$30,0)),"?"))</f>
        <v/>
      </c>
      <c r="BI244" s="99" t="str">
        <f>IF($A244="","",IFERROR(INDEX('Usage and Coverage'!$C$34:$C$40,MATCH($P244,'Usage and Coverage'!$B$34:$B$40,0)),"?"))</f>
        <v/>
      </c>
      <c r="BJ244" s="99" t="str">
        <f>IF($A244="","",IFERROR(INDEX('Usage and Coverage'!$C$44:$C$49,MATCH($Q244,'Usage and Coverage'!$B$44:$B$49,0)),"?"))</f>
        <v/>
      </c>
      <c r="BK244" s="99" t="str">
        <f>IF($A244="","",IFERROR(INDEX(Deductibles!$C$6:$I$15,MATCH($W244,Deductibles!$B$6:$B$15,0),MATCH(MAX($J244,'Technical Premium'!$C$18),'Base Rates'!$C$3:$I$3,1)),"?"))</f>
        <v/>
      </c>
      <c r="BL244" s="99" t="str">
        <f>IF($A244="","",IFERROR(INDEX('Usage and Coverage'!$C$63:$C$66,MATCH($X244,'Usage and Coverage'!$B$63:$B$66,0)),"?"))</f>
        <v/>
      </c>
      <c r="BM244" s="99" t="str">
        <f>IF($A244="","",IFERROR(INDEX('Usage and Coverage'!$C$70:$C$75,MATCH($V244,'Usage and Coverage'!$B$70:$B$75,0)),"?"))</f>
        <v/>
      </c>
      <c r="BN244" s="99" t="str">
        <f>IF($A244="","",IF($AB244="",1,IFERROR(INDEX(Deductibles!$C$48:$C$51,MATCH($AB244,Deductibles!$B$48:$B$51,0)),"?")))</f>
        <v/>
      </c>
      <c r="BO244" s="99" t="str">
        <f>IF($A244="","",IF($AC244="",1,IFERROR(INDEX(Deductibles!$C$55:$C$57,MATCH($AC244,Deductibles!$B$55:$B$57,0)),"?")))</f>
        <v/>
      </c>
      <c r="BP244" s="99" t="str">
        <f>IF($A244="","",IF($AD244="",1,IFERROR(INDEX(Deductibles!$C$61:$C$63,MATCH($AD244,Deductibles!$B$61:$B$63,0)),"?")))</f>
        <v/>
      </c>
      <c r="BQ244" s="99" t="str">
        <f>IF($A244="","",IF($AE244="",1,IFERROR(INDEX(Deductibles!$C$67:$C$69,MATCH($AE244,Deductibles!$B$67:$B$69,0)),"?")))</f>
        <v/>
      </c>
      <c r="BR244" s="99" t="str">
        <f>IF($A244="","",IF($AF244="",1,IFERROR(INDEX(Deductibles!$C$73:$C$74,MATCH($AF244,Deductibles!$B$73:$B$74,0)),"?")))</f>
        <v/>
      </c>
      <c r="BS244" s="99" t="str">
        <f>IF($A244="","",IF($AG244="",1,IFERROR(INDEX('Sublimits and Parts'!$C$49:$C$52,MATCH($AG244,'Sublimits and Parts'!$B$49:$B$52,0)),"?")))</f>
        <v/>
      </c>
      <c r="BT244" s="99" t="str">
        <f>IF($A244="","",IF($AH244="",1,IFERROR(INDEX('Sublimits and Parts'!$C$56:$C$60,MATCH($AH244,'Sublimits and Parts'!$B$56:$B$60,0)),"?")))</f>
        <v/>
      </c>
      <c r="BU244" s="99" t="str">
        <f>IF($A244="","",IF($AI244="",1,IFERROR(INDEX('Sublimits and Parts'!$C$64:$C$67,MATCH($AI244,'Sublimits and Parts'!$B$64:$B$67,0)),"?")))</f>
        <v/>
      </c>
      <c r="BV244" s="99" t="str">
        <f>IF($A244="","",IF($AJ244="",1,IFERROR(INDEX('Sublimits and Parts'!$C$71:$C$74,MATCH($AJ244,'Sublimits and Parts'!$B$71:$B$74,0)),"?")))</f>
        <v/>
      </c>
      <c r="BW244" s="99" t="str">
        <f>IF($A244="","",IF($AK244="",1,IFERROR(INDEX('Sublimits and Parts'!$C$78:$C$80,MATCH($AK244,'Sublimits and Parts'!$B$78:$B$80,0)),"?")))</f>
        <v/>
      </c>
      <c r="BX244" s="99" t="str">
        <f>IF($A244="","",IF($AL244="",1,IFERROR(INDEX('Sublimits and Parts'!$C$84:$C$87,MATCH($AL244,'Sublimits and Parts'!$B$84:$B$87,0)),"?")))</f>
        <v/>
      </c>
      <c r="BY244" s="99" t="str">
        <f>IF($A244="","",IF($AM244="",1,IFERROR(INDEX('Sublimits and Parts'!$C$91:$C$94,MATCH($AM244,'Sublimits and Parts'!$B$91:$B$94,0)),"?")))</f>
        <v/>
      </c>
      <c r="BZ244" s="99" t="str">
        <f>IF($A244="","",IF($AN244="",1,IFERROR(INDEX('Sublimits and Parts'!$C$98:$C$101,MATCH($AN244,'Sublimits and Parts'!$B$98:$B$101,0)),"?")))</f>
        <v/>
      </c>
      <c r="CA244" s="99" t="str">
        <f>IF($A244="","",IF($AO244="",1,IFERROR(INDEX('Sublimits and Parts'!$C$105:$C$109,MATCH($AO244,'Sublimits and Parts'!$B$105:$B$109,0)),"?")))</f>
        <v/>
      </c>
      <c r="CB244" s="100" t="str">
        <f t="shared" si="41"/>
        <v/>
      </c>
      <c r="CC244" s="100" t="str">
        <f t="shared" si="42"/>
        <v/>
      </c>
      <c r="CD244" s="103" t="str">
        <f>IF($A244="","",IF(OR($CB244="?",$CC244="?"),"?",MIN($CB244*$CC244,'Technical Premium'!$C$17)))</f>
        <v/>
      </c>
      <c r="CE244" s="102" t="str">
        <f t="shared" si="43"/>
        <v/>
      </c>
      <c r="CF244" s="102" t="str">
        <f>IF($A244="","",IFERROR(INDEX('Territory Factors'!$F$6:$F$56,MATCH($K244,'Territory Factors'!$B$6:$B$56,0)),"?"))</f>
        <v/>
      </c>
      <c r="CG244" s="100" t="str">
        <f>IF($A244="","",IFERROR(INDEX('Usage and Coverage'!$C$79:$C$84,MATCH($Y244,'Usage and Coverage'!$B$79:$B$84,0)),"?"))</f>
        <v/>
      </c>
      <c r="CH244" s="102" t="str">
        <f>IFERROR(IF(ISNUMBER($CD244),$CF244*$CG244*MIN($BG244*$BA244*$BC244*$BD244*$BH244*$BF244,'Technical Premium'!$C$17),""),"")</f>
        <v/>
      </c>
      <c r="CI244" s="102" t="str">
        <f t="shared" si="44"/>
        <v/>
      </c>
      <c r="CJ244" s="102" t="str">
        <f>IFERROR($CI244*(1+'Technical Premium'!$C$5)*(1+'Technical Premium'!$C$6),"")</f>
        <v/>
      </c>
      <c r="CK244" s="102" t="str">
        <f>IFERROR($CE244*INDEX('Territory Factors'!$G$6:$G$56,MATCH($K244,'Territory Factors'!$B$6:$B$56,0))*$AU244*$AV244,"")</f>
        <v/>
      </c>
      <c r="CL244" s="102" t="str">
        <f>IFERROR(($CJ244+$CK244)*(1+'Technical Premium'!$C$7),"")</f>
        <v/>
      </c>
      <c r="CM244" s="104" t="str">
        <f>IFERROR($CL244/'Technical Premium'!$C$13,"")</f>
        <v/>
      </c>
      <c r="CN244" s="105" t="str">
        <f t="shared" si="45"/>
        <v/>
      </c>
      <c r="CO244" s="104" t="str">
        <f t="shared" si="46"/>
        <v/>
      </c>
      <c r="CP244" s="105" t="str">
        <f t="shared" si="47"/>
        <v/>
      </c>
      <c r="CQ244" s="106" t="str">
        <f t="shared" si="48"/>
        <v/>
      </c>
      <c r="CR244" s="102" t="str">
        <f>IF(ISNUMBER($CM244),'Technical Premium'!$C$14+IF($J244&gt;=1000000,'Technical Premium'!$C$15,0),"")</f>
        <v/>
      </c>
      <c r="CS244" s="102" t="str">
        <f>IFERROR(($CO244+$CR244)*(INDEX('Territory Factors'!$K$6:$K$56,MATCH($K244,'Territory Factors'!$B$6:$B$56,0))+'Commission Structure'!$C$21),"")</f>
        <v/>
      </c>
      <c r="CT244" s="104" t="str">
        <f t="shared" si="49"/>
        <v/>
      </c>
      <c r="CU244" s="102" t="str">
        <f>IFERROR($CO244*('Commission Structure'!$C$6+'Commission Structure'!$C$7),"")</f>
        <v/>
      </c>
      <c r="CV244" s="102" t="str">
        <f>IFERROR($CO244*'Commission Structure'!$C$5-$CU244,"")</f>
        <v/>
      </c>
      <c r="CW244" s="102" t="str">
        <f>IFERROR($CO244*(1-'Commission Structure'!$C$5),"")</f>
        <v/>
      </c>
      <c r="CX244" s="107"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8" t="str">
        <f t="shared" si="50"/>
        <v/>
      </c>
      <c r="CZ244" s="99" t="str">
        <f>IF($CY244="","",IF($CY244&lt;'Technical Premium'!$C$19,"BEYOND AUTHORITY",IF($CY244&gt;0.005,"Above technical",IF($CY244&lt;-0.005,"BELOW technical","At technical"))))</f>
        <v/>
      </c>
      <c r="DA244" s="99"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4"/>
      <c r="DC244" s="94"/>
      <c r="DD244" s="95"/>
      <c r="DE244" s="94"/>
      <c r="DF244" s="94"/>
      <c r="DG244" s="99" t="str">
        <f t="shared" si="51"/>
        <v/>
      </c>
      <c r="DH244" s="99" t="str">
        <f>IF($A244="","",IF(OR($CX244="REFER",$CX244="DECLINE"),COUNTIF($CX$5:$CX244,"REFER")+COUNTIF($CX$5:$CX244,"DECLINE"),""))</f>
        <v/>
      </c>
      <c r="DI244" s="94"/>
    </row>
    <row r="245" spans="1:113" x14ac:dyDescent="0.35">
      <c r="A245" s="94"/>
      <c r="B245" s="94"/>
      <c r="C245" s="95"/>
      <c r="D245" s="95"/>
      <c r="E245" s="96"/>
      <c r="F245" s="94"/>
      <c r="G245" s="94"/>
      <c r="H245" s="94"/>
      <c r="I245" s="94"/>
      <c r="J245" s="97"/>
      <c r="K245" s="94"/>
      <c r="L245" s="94"/>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8"/>
      <c r="AR245" s="99" t="str">
        <f t="shared" si="39"/>
        <v/>
      </c>
      <c r="AS245" s="99" t="str">
        <f>IF($A245="","",IF($AP245&lt;&gt;"",$AP245,IFERROR(INDEX('Cat Zone by ZIP'!$D$6:$D$856,MATCH($AR245,'Cat Zone by ZIP'!$B$6:$B$856,0)),IFERROR(INDEX('Cat Zone by ZIP'!$C$860:$C$910,MATCH($K245,'Cat Zone by ZIP'!$B$860:$B$910,0)),"NOT FOUND"))))</f>
        <v/>
      </c>
      <c r="AT245" s="99" t="str">
        <f>IF($A245="","",IF($AP245&lt;&gt;"","Override",IF(ISNUMBER(MATCH($AR245,'Cat Zone by ZIP'!$B$6:$B$856,0)),"ZIP-3","State default")))</f>
        <v/>
      </c>
      <c r="AU245" s="100" t="str">
        <f>IF($A245="","",IFERROR(INDEX('Natural Catastrophe'!$D$6:$D$17,MATCH($AS245,'Natural Catastrophe'!$B$6:$B$17,0)),"?"))</f>
        <v/>
      </c>
      <c r="AV245" s="100" t="str">
        <f>IF($A245="","",IFERROR(INDEX('Natural Catastrophe'!$C$21:$C$26,MATCH($AA245,'Natural Catastrophe'!$B$21:$B$26,0)),"?"))</f>
        <v/>
      </c>
      <c r="AW245" s="99" t="str">
        <f>IF($A245="","",IFERROR(INDEX('Base Rates'!$C$4:$I$4,MATCH(MAX($J245,'Technical Premium'!$C$18),'Base Rates'!$C$3:$I$3,1)),"?"))</f>
        <v/>
      </c>
      <c r="AX245" s="101" t="str">
        <f>IF($A245="","",IFERROR(INDEX('Base Rates'!$C$5:$I$16,MATCH($I245,'Base Rates'!$B$5:$B$16,0),MATCH(MAX($J245,'Technical Premium'!$C$18),'Base Rates'!$C$3:$I$3,1)),"?"))</f>
        <v/>
      </c>
      <c r="AY245" s="102" t="str">
        <f t="shared" si="40"/>
        <v/>
      </c>
      <c r="AZ245" s="99" t="str">
        <f>IF($A245="","",IFERROR(INDEX('Make Factors'!$G$5:$G$69,MATCH($F245,'Make Factors'!$B$5:$B$69,0)),"?"))</f>
        <v/>
      </c>
      <c r="BA245" s="99" t="str">
        <f>IF($A245="","",IFERROR(INDEX('Driver Factors'!$C$6:$C$15,MATCH($R245,'Driver Factors'!$B$6:$B$15,0)),"?"))</f>
        <v/>
      </c>
      <c r="BB245" s="99" t="str">
        <f>IF($A245="","",IFERROR(INDEX('Driver Factors'!$C$19:$C$24,MATCH($S245,'Driver Factors'!$B$19:$B$24,0)),"?"))</f>
        <v/>
      </c>
      <c r="BC245" s="99" t="str">
        <f>IF($A245="","",IFERROR(INDEX('Driver Factors'!$C$28:$C$36,MATCH($T245,'Driver Factors'!$B$28:$B$36,0)),"?"))</f>
        <v/>
      </c>
      <c r="BD245" s="99" t="str">
        <f>IF($A245="","",IFERROR(INDEX('Claims History'!$C$6:$C$15,MATCH($U245,'Claims History'!$B$6:$B$15,0)),"?"))</f>
        <v/>
      </c>
      <c r="BE245" s="99" t="str">
        <f>IF($A245="","",IFERROR(INDEX('Territory Factors'!$E$6:$E$56,MATCH($K245,'Territory Factors'!$B$6:$B$56,0)),"?"))</f>
        <v/>
      </c>
      <c r="BF245" s="99" t="str">
        <f>IF($A245="","",IFERROR(INDEX('City Accident Ratings'!$G$6:$G$54,MATCH($Z245,'City Accident Ratings'!$B$6:$B$54,0)),"?"))</f>
        <v/>
      </c>
      <c r="BG245" s="99" t="str">
        <f>IF($A245="","",IFERROR(INDEX('Usage and Coverage'!$D$6:$D$20,MATCH($N245,'Usage and Coverage'!$C$6:$C$20,0)),"?"))</f>
        <v/>
      </c>
      <c r="BH245" s="99" t="str">
        <f>IF($A245="","",IFERROR(INDEX('Usage and Coverage'!$C$24:$C$30,MATCH($O245,'Usage and Coverage'!$B$24:$B$30,0)),"?"))</f>
        <v/>
      </c>
      <c r="BI245" s="99" t="str">
        <f>IF($A245="","",IFERROR(INDEX('Usage and Coverage'!$C$34:$C$40,MATCH($P245,'Usage and Coverage'!$B$34:$B$40,0)),"?"))</f>
        <v/>
      </c>
      <c r="BJ245" s="99" t="str">
        <f>IF($A245="","",IFERROR(INDEX('Usage and Coverage'!$C$44:$C$49,MATCH($Q245,'Usage and Coverage'!$B$44:$B$49,0)),"?"))</f>
        <v/>
      </c>
      <c r="BK245" s="99" t="str">
        <f>IF($A245="","",IFERROR(INDEX(Deductibles!$C$6:$I$15,MATCH($W245,Deductibles!$B$6:$B$15,0),MATCH(MAX($J245,'Technical Premium'!$C$18),'Base Rates'!$C$3:$I$3,1)),"?"))</f>
        <v/>
      </c>
      <c r="BL245" s="99" t="str">
        <f>IF($A245="","",IFERROR(INDEX('Usage and Coverage'!$C$63:$C$66,MATCH($X245,'Usage and Coverage'!$B$63:$B$66,0)),"?"))</f>
        <v/>
      </c>
      <c r="BM245" s="99" t="str">
        <f>IF($A245="","",IFERROR(INDEX('Usage and Coverage'!$C$70:$C$75,MATCH($V245,'Usage and Coverage'!$B$70:$B$75,0)),"?"))</f>
        <v/>
      </c>
      <c r="BN245" s="99" t="str">
        <f>IF($A245="","",IF($AB245="",1,IFERROR(INDEX(Deductibles!$C$48:$C$51,MATCH($AB245,Deductibles!$B$48:$B$51,0)),"?")))</f>
        <v/>
      </c>
      <c r="BO245" s="99" t="str">
        <f>IF($A245="","",IF($AC245="",1,IFERROR(INDEX(Deductibles!$C$55:$C$57,MATCH($AC245,Deductibles!$B$55:$B$57,0)),"?")))</f>
        <v/>
      </c>
      <c r="BP245" s="99" t="str">
        <f>IF($A245="","",IF($AD245="",1,IFERROR(INDEX(Deductibles!$C$61:$C$63,MATCH($AD245,Deductibles!$B$61:$B$63,0)),"?")))</f>
        <v/>
      </c>
      <c r="BQ245" s="99" t="str">
        <f>IF($A245="","",IF($AE245="",1,IFERROR(INDEX(Deductibles!$C$67:$C$69,MATCH($AE245,Deductibles!$B$67:$B$69,0)),"?")))</f>
        <v/>
      </c>
      <c r="BR245" s="99" t="str">
        <f>IF($A245="","",IF($AF245="",1,IFERROR(INDEX(Deductibles!$C$73:$C$74,MATCH($AF245,Deductibles!$B$73:$B$74,0)),"?")))</f>
        <v/>
      </c>
      <c r="BS245" s="99" t="str">
        <f>IF($A245="","",IF($AG245="",1,IFERROR(INDEX('Sublimits and Parts'!$C$49:$C$52,MATCH($AG245,'Sublimits and Parts'!$B$49:$B$52,0)),"?")))</f>
        <v/>
      </c>
      <c r="BT245" s="99" t="str">
        <f>IF($A245="","",IF($AH245="",1,IFERROR(INDEX('Sublimits and Parts'!$C$56:$C$60,MATCH($AH245,'Sublimits and Parts'!$B$56:$B$60,0)),"?")))</f>
        <v/>
      </c>
      <c r="BU245" s="99" t="str">
        <f>IF($A245="","",IF($AI245="",1,IFERROR(INDEX('Sublimits and Parts'!$C$64:$C$67,MATCH($AI245,'Sublimits and Parts'!$B$64:$B$67,0)),"?")))</f>
        <v/>
      </c>
      <c r="BV245" s="99" t="str">
        <f>IF($A245="","",IF($AJ245="",1,IFERROR(INDEX('Sublimits and Parts'!$C$71:$C$74,MATCH($AJ245,'Sublimits and Parts'!$B$71:$B$74,0)),"?")))</f>
        <v/>
      </c>
      <c r="BW245" s="99" t="str">
        <f>IF($A245="","",IF($AK245="",1,IFERROR(INDEX('Sublimits and Parts'!$C$78:$C$80,MATCH($AK245,'Sublimits and Parts'!$B$78:$B$80,0)),"?")))</f>
        <v/>
      </c>
      <c r="BX245" s="99" t="str">
        <f>IF($A245="","",IF($AL245="",1,IFERROR(INDEX('Sublimits and Parts'!$C$84:$C$87,MATCH($AL245,'Sublimits and Parts'!$B$84:$B$87,0)),"?")))</f>
        <v/>
      </c>
      <c r="BY245" s="99" t="str">
        <f>IF($A245="","",IF($AM245="",1,IFERROR(INDEX('Sublimits and Parts'!$C$91:$C$94,MATCH($AM245,'Sublimits and Parts'!$B$91:$B$94,0)),"?")))</f>
        <v/>
      </c>
      <c r="BZ245" s="99" t="str">
        <f>IF($A245="","",IF($AN245="",1,IFERROR(INDEX('Sublimits and Parts'!$C$98:$C$101,MATCH($AN245,'Sublimits and Parts'!$B$98:$B$101,0)),"?")))</f>
        <v/>
      </c>
      <c r="CA245" s="99" t="str">
        <f>IF($A245="","",IF($AO245="",1,IFERROR(INDEX('Sublimits and Parts'!$C$105:$C$109,MATCH($AO245,'Sublimits and Parts'!$B$105:$B$109,0)),"?")))</f>
        <v/>
      </c>
      <c r="CB245" s="100" t="str">
        <f t="shared" si="41"/>
        <v/>
      </c>
      <c r="CC245" s="100" t="str">
        <f t="shared" si="42"/>
        <v/>
      </c>
      <c r="CD245" s="103" t="str">
        <f>IF($A245="","",IF(OR($CB245="?",$CC245="?"),"?",MIN($CB245*$CC245,'Technical Premium'!$C$17)))</f>
        <v/>
      </c>
      <c r="CE245" s="102" t="str">
        <f t="shared" si="43"/>
        <v/>
      </c>
      <c r="CF245" s="102" t="str">
        <f>IF($A245="","",IFERROR(INDEX('Territory Factors'!$F$6:$F$56,MATCH($K245,'Territory Factors'!$B$6:$B$56,0)),"?"))</f>
        <v/>
      </c>
      <c r="CG245" s="100" t="str">
        <f>IF($A245="","",IFERROR(INDEX('Usage and Coverage'!$C$79:$C$84,MATCH($Y245,'Usage and Coverage'!$B$79:$B$84,0)),"?"))</f>
        <v/>
      </c>
      <c r="CH245" s="102" t="str">
        <f>IFERROR(IF(ISNUMBER($CD245),$CF245*$CG245*MIN($BG245*$BA245*$BC245*$BD245*$BH245*$BF245,'Technical Premium'!$C$17),""),"")</f>
        <v/>
      </c>
      <c r="CI245" s="102" t="str">
        <f t="shared" si="44"/>
        <v/>
      </c>
      <c r="CJ245" s="102" t="str">
        <f>IFERROR($CI245*(1+'Technical Premium'!$C$5)*(1+'Technical Premium'!$C$6),"")</f>
        <v/>
      </c>
      <c r="CK245" s="102" t="str">
        <f>IFERROR($CE245*INDEX('Territory Factors'!$G$6:$G$56,MATCH($K245,'Territory Factors'!$B$6:$B$56,0))*$AU245*$AV245,"")</f>
        <v/>
      </c>
      <c r="CL245" s="102" t="str">
        <f>IFERROR(($CJ245+$CK245)*(1+'Technical Premium'!$C$7),"")</f>
        <v/>
      </c>
      <c r="CM245" s="104" t="str">
        <f>IFERROR($CL245/'Technical Premium'!$C$13,"")</f>
        <v/>
      </c>
      <c r="CN245" s="105" t="str">
        <f t="shared" si="45"/>
        <v/>
      </c>
      <c r="CO245" s="104" t="str">
        <f t="shared" si="46"/>
        <v/>
      </c>
      <c r="CP245" s="105" t="str">
        <f t="shared" si="47"/>
        <v/>
      </c>
      <c r="CQ245" s="106" t="str">
        <f t="shared" si="48"/>
        <v/>
      </c>
      <c r="CR245" s="102" t="str">
        <f>IF(ISNUMBER($CM245),'Technical Premium'!$C$14+IF($J245&gt;=1000000,'Technical Premium'!$C$15,0),"")</f>
        <v/>
      </c>
      <c r="CS245" s="102" t="str">
        <f>IFERROR(($CO245+$CR245)*(INDEX('Territory Factors'!$K$6:$K$56,MATCH($K245,'Territory Factors'!$B$6:$B$56,0))+'Commission Structure'!$C$21),"")</f>
        <v/>
      </c>
      <c r="CT245" s="104" t="str">
        <f t="shared" si="49"/>
        <v/>
      </c>
      <c r="CU245" s="102" t="str">
        <f>IFERROR($CO245*('Commission Structure'!$C$6+'Commission Structure'!$C$7),"")</f>
        <v/>
      </c>
      <c r="CV245" s="102" t="str">
        <f>IFERROR($CO245*'Commission Structure'!$C$5-$CU245,"")</f>
        <v/>
      </c>
      <c r="CW245" s="102" t="str">
        <f>IFERROR($CO245*(1-'Commission Structure'!$C$5),"")</f>
        <v/>
      </c>
      <c r="CX245" s="107"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8" t="str">
        <f t="shared" si="50"/>
        <v/>
      </c>
      <c r="CZ245" s="99" t="str">
        <f>IF($CY245="","",IF($CY245&lt;'Technical Premium'!$C$19,"BEYOND AUTHORITY",IF($CY245&gt;0.005,"Above technical",IF($CY245&lt;-0.005,"BELOW technical","At technical"))))</f>
        <v/>
      </c>
      <c r="DA245" s="99"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4"/>
      <c r="DC245" s="94"/>
      <c r="DD245" s="95"/>
      <c r="DE245" s="94"/>
      <c r="DF245" s="94"/>
      <c r="DG245" s="99" t="str">
        <f t="shared" si="51"/>
        <v/>
      </c>
      <c r="DH245" s="99" t="str">
        <f>IF($A245="","",IF(OR($CX245="REFER",$CX245="DECLINE"),COUNTIF($CX$5:$CX245,"REFER")+COUNTIF($CX$5:$CX245,"DECLINE"),""))</f>
        <v/>
      </c>
      <c r="DI245" s="94"/>
    </row>
    <row r="246" spans="1:113" x14ac:dyDescent="0.35">
      <c r="A246" s="94"/>
      <c r="B246" s="94"/>
      <c r="C246" s="95"/>
      <c r="D246" s="95"/>
      <c r="E246" s="96"/>
      <c r="F246" s="94"/>
      <c r="G246" s="94"/>
      <c r="H246" s="94"/>
      <c r="I246" s="94"/>
      <c r="J246" s="97"/>
      <c r="K246" s="94"/>
      <c r="L246" s="94"/>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8"/>
      <c r="AR246" s="99" t="str">
        <f t="shared" si="39"/>
        <v/>
      </c>
      <c r="AS246" s="99" t="str">
        <f>IF($A246="","",IF($AP246&lt;&gt;"",$AP246,IFERROR(INDEX('Cat Zone by ZIP'!$D$6:$D$856,MATCH($AR246,'Cat Zone by ZIP'!$B$6:$B$856,0)),IFERROR(INDEX('Cat Zone by ZIP'!$C$860:$C$910,MATCH($K246,'Cat Zone by ZIP'!$B$860:$B$910,0)),"NOT FOUND"))))</f>
        <v/>
      </c>
      <c r="AT246" s="99" t="str">
        <f>IF($A246="","",IF($AP246&lt;&gt;"","Override",IF(ISNUMBER(MATCH($AR246,'Cat Zone by ZIP'!$B$6:$B$856,0)),"ZIP-3","State default")))</f>
        <v/>
      </c>
      <c r="AU246" s="100" t="str">
        <f>IF($A246="","",IFERROR(INDEX('Natural Catastrophe'!$D$6:$D$17,MATCH($AS246,'Natural Catastrophe'!$B$6:$B$17,0)),"?"))</f>
        <v/>
      </c>
      <c r="AV246" s="100" t="str">
        <f>IF($A246="","",IFERROR(INDEX('Natural Catastrophe'!$C$21:$C$26,MATCH($AA246,'Natural Catastrophe'!$B$21:$B$26,0)),"?"))</f>
        <v/>
      </c>
      <c r="AW246" s="99" t="str">
        <f>IF($A246="","",IFERROR(INDEX('Base Rates'!$C$4:$I$4,MATCH(MAX($J246,'Technical Premium'!$C$18),'Base Rates'!$C$3:$I$3,1)),"?"))</f>
        <v/>
      </c>
      <c r="AX246" s="101" t="str">
        <f>IF($A246="","",IFERROR(INDEX('Base Rates'!$C$5:$I$16,MATCH($I246,'Base Rates'!$B$5:$B$16,0),MATCH(MAX($J246,'Technical Premium'!$C$18),'Base Rates'!$C$3:$I$3,1)),"?"))</f>
        <v/>
      </c>
      <c r="AY246" s="102" t="str">
        <f t="shared" si="40"/>
        <v/>
      </c>
      <c r="AZ246" s="99" t="str">
        <f>IF($A246="","",IFERROR(INDEX('Make Factors'!$G$5:$G$69,MATCH($F246,'Make Factors'!$B$5:$B$69,0)),"?"))</f>
        <v/>
      </c>
      <c r="BA246" s="99" t="str">
        <f>IF($A246="","",IFERROR(INDEX('Driver Factors'!$C$6:$C$15,MATCH($R246,'Driver Factors'!$B$6:$B$15,0)),"?"))</f>
        <v/>
      </c>
      <c r="BB246" s="99" t="str">
        <f>IF($A246="","",IFERROR(INDEX('Driver Factors'!$C$19:$C$24,MATCH($S246,'Driver Factors'!$B$19:$B$24,0)),"?"))</f>
        <v/>
      </c>
      <c r="BC246" s="99" t="str">
        <f>IF($A246="","",IFERROR(INDEX('Driver Factors'!$C$28:$C$36,MATCH($T246,'Driver Factors'!$B$28:$B$36,0)),"?"))</f>
        <v/>
      </c>
      <c r="BD246" s="99" t="str">
        <f>IF($A246="","",IFERROR(INDEX('Claims History'!$C$6:$C$15,MATCH($U246,'Claims History'!$B$6:$B$15,0)),"?"))</f>
        <v/>
      </c>
      <c r="BE246" s="99" t="str">
        <f>IF($A246="","",IFERROR(INDEX('Territory Factors'!$E$6:$E$56,MATCH($K246,'Territory Factors'!$B$6:$B$56,0)),"?"))</f>
        <v/>
      </c>
      <c r="BF246" s="99" t="str">
        <f>IF($A246="","",IFERROR(INDEX('City Accident Ratings'!$G$6:$G$54,MATCH($Z246,'City Accident Ratings'!$B$6:$B$54,0)),"?"))</f>
        <v/>
      </c>
      <c r="BG246" s="99" t="str">
        <f>IF($A246="","",IFERROR(INDEX('Usage and Coverage'!$D$6:$D$20,MATCH($N246,'Usage and Coverage'!$C$6:$C$20,0)),"?"))</f>
        <v/>
      </c>
      <c r="BH246" s="99" t="str">
        <f>IF($A246="","",IFERROR(INDEX('Usage and Coverage'!$C$24:$C$30,MATCH($O246,'Usage and Coverage'!$B$24:$B$30,0)),"?"))</f>
        <v/>
      </c>
      <c r="BI246" s="99" t="str">
        <f>IF($A246="","",IFERROR(INDEX('Usage and Coverage'!$C$34:$C$40,MATCH($P246,'Usage and Coverage'!$B$34:$B$40,0)),"?"))</f>
        <v/>
      </c>
      <c r="BJ246" s="99" t="str">
        <f>IF($A246="","",IFERROR(INDEX('Usage and Coverage'!$C$44:$C$49,MATCH($Q246,'Usage and Coverage'!$B$44:$B$49,0)),"?"))</f>
        <v/>
      </c>
      <c r="BK246" s="99" t="str">
        <f>IF($A246="","",IFERROR(INDEX(Deductibles!$C$6:$I$15,MATCH($W246,Deductibles!$B$6:$B$15,0),MATCH(MAX($J246,'Technical Premium'!$C$18),'Base Rates'!$C$3:$I$3,1)),"?"))</f>
        <v/>
      </c>
      <c r="BL246" s="99" t="str">
        <f>IF($A246="","",IFERROR(INDEX('Usage and Coverage'!$C$63:$C$66,MATCH($X246,'Usage and Coverage'!$B$63:$B$66,0)),"?"))</f>
        <v/>
      </c>
      <c r="BM246" s="99" t="str">
        <f>IF($A246="","",IFERROR(INDEX('Usage and Coverage'!$C$70:$C$75,MATCH($V246,'Usage and Coverage'!$B$70:$B$75,0)),"?"))</f>
        <v/>
      </c>
      <c r="BN246" s="99" t="str">
        <f>IF($A246="","",IF($AB246="",1,IFERROR(INDEX(Deductibles!$C$48:$C$51,MATCH($AB246,Deductibles!$B$48:$B$51,0)),"?")))</f>
        <v/>
      </c>
      <c r="BO246" s="99" t="str">
        <f>IF($A246="","",IF($AC246="",1,IFERROR(INDEX(Deductibles!$C$55:$C$57,MATCH($AC246,Deductibles!$B$55:$B$57,0)),"?")))</f>
        <v/>
      </c>
      <c r="BP246" s="99" t="str">
        <f>IF($A246="","",IF($AD246="",1,IFERROR(INDEX(Deductibles!$C$61:$C$63,MATCH($AD246,Deductibles!$B$61:$B$63,0)),"?")))</f>
        <v/>
      </c>
      <c r="BQ246" s="99" t="str">
        <f>IF($A246="","",IF($AE246="",1,IFERROR(INDEX(Deductibles!$C$67:$C$69,MATCH($AE246,Deductibles!$B$67:$B$69,0)),"?")))</f>
        <v/>
      </c>
      <c r="BR246" s="99" t="str">
        <f>IF($A246="","",IF($AF246="",1,IFERROR(INDEX(Deductibles!$C$73:$C$74,MATCH($AF246,Deductibles!$B$73:$B$74,0)),"?")))</f>
        <v/>
      </c>
      <c r="BS246" s="99" t="str">
        <f>IF($A246="","",IF($AG246="",1,IFERROR(INDEX('Sublimits and Parts'!$C$49:$C$52,MATCH($AG246,'Sublimits and Parts'!$B$49:$B$52,0)),"?")))</f>
        <v/>
      </c>
      <c r="BT246" s="99" t="str">
        <f>IF($A246="","",IF($AH246="",1,IFERROR(INDEX('Sublimits and Parts'!$C$56:$C$60,MATCH($AH246,'Sublimits and Parts'!$B$56:$B$60,0)),"?")))</f>
        <v/>
      </c>
      <c r="BU246" s="99" t="str">
        <f>IF($A246="","",IF($AI246="",1,IFERROR(INDEX('Sublimits and Parts'!$C$64:$C$67,MATCH($AI246,'Sublimits and Parts'!$B$64:$B$67,0)),"?")))</f>
        <v/>
      </c>
      <c r="BV246" s="99" t="str">
        <f>IF($A246="","",IF($AJ246="",1,IFERROR(INDEX('Sublimits and Parts'!$C$71:$C$74,MATCH($AJ246,'Sublimits and Parts'!$B$71:$B$74,0)),"?")))</f>
        <v/>
      </c>
      <c r="BW246" s="99" t="str">
        <f>IF($A246="","",IF($AK246="",1,IFERROR(INDEX('Sublimits and Parts'!$C$78:$C$80,MATCH($AK246,'Sublimits and Parts'!$B$78:$B$80,0)),"?")))</f>
        <v/>
      </c>
      <c r="BX246" s="99" t="str">
        <f>IF($A246="","",IF($AL246="",1,IFERROR(INDEX('Sublimits and Parts'!$C$84:$C$87,MATCH($AL246,'Sublimits and Parts'!$B$84:$B$87,0)),"?")))</f>
        <v/>
      </c>
      <c r="BY246" s="99" t="str">
        <f>IF($A246="","",IF($AM246="",1,IFERROR(INDEX('Sublimits and Parts'!$C$91:$C$94,MATCH($AM246,'Sublimits and Parts'!$B$91:$B$94,0)),"?")))</f>
        <v/>
      </c>
      <c r="BZ246" s="99" t="str">
        <f>IF($A246="","",IF($AN246="",1,IFERROR(INDEX('Sublimits and Parts'!$C$98:$C$101,MATCH($AN246,'Sublimits and Parts'!$B$98:$B$101,0)),"?")))</f>
        <v/>
      </c>
      <c r="CA246" s="99" t="str">
        <f>IF($A246="","",IF($AO246="",1,IFERROR(INDEX('Sublimits and Parts'!$C$105:$C$109,MATCH($AO246,'Sublimits and Parts'!$B$105:$B$109,0)),"?")))</f>
        <v/>
      </c>
      <c r="CB246" s="100" t="str">
        <f t="shared" si="41"/>
        <v/>
      </c>
      <c r="CC246" s="100" t="str">
        <f t="shared" si="42"/>
        <v/>
      </c>
      <c r="CD246" s="103" t="str">
        <f>IF($A246="","",IF(OR($CB246="?",$CC246="?"),"?",MIN($CB246*$CC246,'Technical Premium'!$C$17)))</f>
        <v/>
      </c>
      <c r="CE246" s="102" t="str">
        <f t="shared" si="43"/>
        <v/>
      </c>
      <c r="CF246" s="102" t="str">
        <f>IF($A246="","",IFERROR(INDEX('Territory Factors'!$F$6:$F$56,MATCH($K246,'Territory Factors'!$B$6:$B$56,0)),"?"))</f>
        <v/>
      </c>
      <c r="CG246" s="100" t="str">
        <f>IF($A246="","",IFERROR(INDEX('Usage and Coverage'!$C$79:$C$84,MATCH($Y246,'Usage and Coverage'!$B$79:$B$84,0)),"?"))</f>
        <v/>
      </c>
      <c r="CH246" s="102" t="str">
        <f>IFERROR(IF(ISNUMBER($CD246),$CF246*$CG246*MIN($BG246*$BA246*$BC246*$BD246*$BH246*$BF246,'Technical Premium'!$C$17),""),"")</f>
        <v/>
      </c>
      <c r="CI246" s="102" t="str">
        <f t="shared" si="44"/>
        <v/>
      </c>
      <c r="CJ246" s="102" t="str">
        <f>IFERROR($CI246*(1+'Technical Premium'!$C$5)*(1+'Technical Premium'!$C$6),"")</f>
        <v/>
      </c>
      <c r="CK246" s="102" t="str">
        <f>IFERROR($CE246*INDEX('Territory Factors'!$G$6:$G$56,MATCH($K246,'Territory Factors'!$B$6:$B$56,0))*$AU246*$AV246,"")</f>
        <v/>
      </c>
      <c r="CL246" s="102" t="str">
        <f>IFERROR(($CJ246+$CK246)*(1+'Technical Premium'!$C$7),"")</f>
        <v/>
      </c>
      <c r="CM246" s="104" t="str">
        <f>IFERROR($CL246/'Technical Premium'!$C$13,"")</f>
        <v/>
      </c>
      <c r="CN246" s="105" t="str">
        <f t="shared" si="45"/>
        <v/>
      </c>
      <c r="CO246" s="104" t="str">
        <f t="shared" si="46"/>
        <v/>
      </c>
      <c r="CP246" s="105" t="str">
        <f t="shared" si="47"/>
        <v/>
      </c>
      <c r="CQ246" s="106" t="str">
        <f t="shared" si="48"/>
        <v/>
      </c>
      <c r="CR246" s="102" t="str">
        <f>IF(ISNUMBER($CM246),'Technical Premium'!$C$14+IF($J246&gt;=1000000,'Technical Premium'!$C$15,0),"")</f>
        <v/>
      </c>
      <c r="CS246" s="102" t="str">
        <f>IFERROR(($CO246+$CR246)*(INDEX('Territory Factors'!$K$6:$K$56,MATCH($K246,'Territory Factors'!$B$6:$B$56,0))+'Commission Structure'!$C$21),"")</f>
        <v/>
      </c>
      <c r="CT246" s="104" t="str">
        <f t="shared" si="49"/>
        <v/>
      </c>
      <c r="CU246" s="102" t="str">
        <f>IFERROR($CO246*('Commission Structure'!$C$6+'Commission Structure'!$C$7),"")</f>
        <v/>
      </c>
      <c r="CV246" s="102" t="str">
        <f>IFERROR($CO246*'Commission Structure'!$C$5-$CU246,"")</f>
        <v/>
      </c>
      <c r="CW246" s="102" t="str">
        <f>IFERROR($CO246*(1-'Commission Structure'!$C$5),"")</f>
        <v/>
      </c>
      <c r="CX246" s="107"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8" t="str">
        <f t="shared" si="50"/>
        <v/>
      </c>
      <c r="CZ246" s="99" t="str">
        <f>IF($CY246="","",IF($CY246&lt;'Technical Premium'!$C$19,"BEYOND AUTHORITY",IF($CY246&gt;0.005,"Above technical",IF($CY246&lt;-0.005,"BELOW technical","At technical"))))</f>
        <v/>
      </c>
      <c r="DA246" s="99"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4"/>
      <c r="DC246" s="94"/>
      <c r="DD246" s="95"/>
      <c r="DE246" s="94"/>
      <c r="DF246" s="94"/>
      <c r="DG246" s="99" t="str">
        <f t="shared" si="51"/>
        <v/>
      </c>
      <c r="DH246" s="99" t="str">
        <f>IF($A246="","",IF(OR($CX246="REFER",$CX246="DECLINE"),COUNTIF($CX$5:$CX246,"REFER")+COUNTIF($CX$5:$CX246,"DECLINE"),""))</f>
        <v/>
      </c>
      <c r="DI246" s="94"/>
    </row>
    <row r="247" spans="1:113" x14ac:dyDescent="0.35">
      <c r="A247" s="94"/>
      <c r="B247" s="94"/>
      <c r="C247" s="95"/>
      <c r="D247" s="95"/>
      <c r="E247" s="96"/>
      <c r="F247" s="94"/>
      <c r="G247" s="94"/>
      <c r="H247" s="94"/>
      <c r="I247" s="94"/>
      <c r="J247" s="97"/>
      <c r="K247" s="94"/>
      <c r="L247" s="94"/>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8"/>
      <c r="AR247" s="99" t="str">
        <f t="shared" si="39"/>
        <v/>
      </c>
      <c r="AS247" s="99" t="str">
        <f>IF($A247="","",IF($AP247&lt;&gt;"",$AP247,IFERROR(INDEX('Cat Zone by ZIP'!$D$6:$D$856,MATCH($AR247,'Cat Zone by ZIP'!$B$6:$B$856,0)),IFERROR(INDEX('Cat Zone by ZIP'!$C$860:$C$910,MATCH($K247,'Cat Zone by ZIP'!$B$860:$B$910,0)),"NOT FOUND"))))</f>
        <v/>
      </c>
      <c r="AT247" s="99" t="str">
        <f>IF($A247="","",IF($AP247&lt;&gt;"","Override",IF(ISNUMBER(MATCH($AR247,'Cat Zone by ZIP'!$B$6:$B$856,0)),"ZIP-3","State default")))</f>
        <v/>
      </c>
      <c r="AU247" s="100" t="str">
        <f>IF($A247="","",IFERROR(INDEX('Natural Catastrophe'!$D$6:$D$17,MATCH($AS247,'Natural Catastrophe'!$B$6:$B$17,0)),"?"))</f>
        <v/>
      </c>
      <c r="AV247" s="100" t="str">
        <f>IF($A247="","",IFERROR(INDEX('Natural Catastrophe'!$C$21:$C$26,MATCH($AA247,'Natural Catastrophe'!$B$21:$B$26,0)),"?"))</f>
        <v/>
      </c>
      <c r="AW247" s="99" t="str">
        <f>IF($A247="","",IFERROR(INDEX('Base Rates'!$C$4:$I$4,MATCH(MAX($J247,'Technical Premium'!$C$18),'Base Rates'!$C$3:$I$3,1)),"?"))</f>
        <v/>
      </c>
      <c r="AX247" s="101" t="str">
        <f>IF($A247="","",IFERROR(INDEX('Base Rates'!$C$5:$I$16,MATCH($I247,'Base Rates'!$B$5:$B$16,0),MATCH(MAX($J247,'Technical Premium'!$C$18),'Base Rates'!$C$3:$I$3,1)),"?"))</f>
        <v/>
      </c>
      <c r="AY247" s="102" t="str">
        <f t="shared" si="40"/>
        <v/>
      </c>
      <c r="AZ247" s="99" t="str">
        <f>IF($A247="","",IFERROR(INDEX('Make Factors'!$G$5:$G$69,MATCH($F247,'Make Factors'!$B$5:$B$69,0)),"?"))</f>
        <v/>
      </c>
      <c r="BA247" s="99" t="str">
        <f>IF($A247="","",IFERROR(INDEX('Driver Factors'!$C$6:$C$15,MATCH($R247,'Driver Factors'!$B$6:$B$15,0)),"?"))</f>
        <v/>
      </c>
      <c r="BB247" s="99" t="str">
        <f>IF($A247="","",IFERROR(INDEX('Driver Factors'!$C$19:$C$24,MATCH($S247,'Driver Factors'!$B$19:$B$24,0)),"?"))</f>
        <v/>
      </c>
      <c r="BC247" s="99" t="str">
        <f>IF($A247="","",IFERROR(INDEX('Driver Factors'!$C$28:$C$36,MATCH($T247,'Driver Factors'!$B$28:$B$36,0)),"?"))</f>
        <v/>
      </c>
      <c r="BD247" s="99" t="str">
        <f>IF($A247="","",IFERROR(INDEX('Claims History'!$C$6:$C$15,MATCH($U247,'Claims History'!$B$6:$B$15,0)),"?"))</f>
        <v/>
      </c>
      <c r="BE247" s="99" t="str">
        <f>IF($A247="","",IFERROR(INDEX('Territory Factors'!$E$6:$E$56,MATCH($K247,'Territory Factors'!$B$6:$B$56,0)),"?"))</f>
        <v/>
      </c>
      <c r="BF247" s="99" t="str">
        <f>IF($A247="","",IFERROR(INDEX('City Accident Ratings'!$G$6:$G$54,MATCH($Z247,'City Accident Ratings'!$B$6:$B$54,0)),"?"))</f>
        <v/>
      </c>
      <c r="BG247" s="99" t="str">
        <f>IF($A247="","",IFERROR(INDEX('Usage and Coverage'!$D$6:$D$20,MATCH($N247,'Usage and Coverage'!$C$6:$C$20,0)),"?"))</f>
        <v/>
      </c>
      <c r="BH247" s="99" t="str">
        <f>IF($A247="","",IFERROR(INDEX('Usage and Coverage'!$C$24:$C$30,MATCH($O247,'Usage and Coverage'!$B$24:$B$30,0)),"?"))</f>
        <v/>
      </c>
      <c r="BI247" s="99" t="str">
        <f>IF($A247="","",IFERROR(INDEX('Usage and Coverage'!$C$34:$C$40,MATCH($P247,'Usage and Coverage'!$B$34:$B$40,0)),"?"))</f>
        <v/>
      </c>
      <c r="BJ247" s="99" t="str">
        <f>IF($A247="","",IFERROR(INDEX('Usage and Coverage'!$C$44:$C$49,MATCH($Q247,'Usage and Coverage'!$B$44:$B$49,0)),"?"))</f>
        <v/>
      </c>
      <c r="BK247" s="99" t="str">
        <f>IF($A247="","",IFERROR(INDEX(Deductibles!$C$6:$I$15,MATCH($W247,Deductibles!$B$6:$B$15,0),MATCH(MAX($J247,'Technical Premium'!$C$18),'Base Rates'!$C$3:$I$3,1)),"?"))</f>
        <v/>
      </c>
      <c r="BL247" s="99" t="str">
        <f>IF($A247="","",IFERROR(INDEX('Usage and Coverage'!$C$63:$C$66,MATCH($X247,'Usage and Coverage'!$B$63:$B$66,0)),"?"))</f>
        <v/>
      </c>
      <c r="BM247" s="99" t="str">
        <f>IF($A247="","",IFERROR(INDEX('Usage and Coverage'!$C$70:$C$75,MATCH($V247,'Usage and Coverage'!$B$70:$B$75,0)),"?"))</f>
        <v/>
      </c>
      <c r="BN247" s="99" t="str">
        <f>IF($A247="","",IF($AB247="",1,IFERROR(INDEX(Deductibles!$C$48:$C$51,MATCH($AB247,Deductibles!$B$48:$B$51,0)),"?")))</f>
        <v/>
      </c>
      <c r="BO247" s="99" t="str">
        <f>IF($A247="","",IF($AC247="",1,IFERROR(INDEX(Deductibles!$C$55:$C$57,MATCH($AC247,Deductibles!$B$55:$B$57,0)),"?")))</f>
        <v/>
      </c>
      <c r="BP247" s="99" t="str">
        <f>IF($A247="","",IF($AD247="",1,IFERROR(INDEX(Deductibles!$C$61:$C$63,MATCH($AD247,Deductibles!$B$61:$B$63,0)),"?")))</f>
        <v/>
      </c>
      <c r="BQ247" s="99" t="str">
        <f>IF($A247="","",IF($AE247="",1,IFERROR(INDEX(Deductibles!$C$67:$C$69,MATCH($AE247,Deductibles!$B$67:$B$69,0)),"?")))</f>
        <v/>
      </c>
      <c r="BR247" s="99" t="str">
        <f>IF($A247="","",IF($AF247="",1,IFERROR(INDEX(Deductibles!$C$73:$C$74,MATCH($AF247,Deductibles!$B$73:$B$74,0)),"?")))</f>
        <v/>
      </c>
      <c r="BS247" s="99" t="str">
        <f>IF($A247="","",IF($AG247="",1,IFERROR(INDEX('Sublimits and Parts'!$C$49:$C$52,MATCH($AG247,'Sublimits and Parts'!$B$49:$B$52,0)),"?")))</f>
        <v/>
      </c>
      <c r="BT247" s="99" t="str">
        <f>IF($A247="","",IF($AH247="",1,IFERROR(INDEX('Sublimits and Parts'!$C$56:$C$60,MATCH($AH247,'Sublimits and Parts'!$B$56:$B$60,0)),"?")))</f>
        <v/>
      </c>
      <c r="BU247" s="99" t="str">
        <f>IF($A247="","",IF($AI247="",1,IFERROR(INDEX('Sublimits and Parts'!$C$64:$C$67,MATCH($AI247,'Sublimits and Parts'!$B$64:$B$67,0)),"?")))</f>
        <v/>
      </c>
      <c r="BV247" s="99" t="str">
        <f>IF($A247="","",IF($AJ247="",1,IFERROR(INDEX('Sublimits and Parts'!$C$71:$C$74,MATCH($AJ247,'Sublimits and Parts'!$B$71:$B$74,0)),"?")))</f>
        <v/>
      </c>
      <c r="BW247" s="99" t="str">
        <f>IF($A247="","",IF($AK247="",1,IFERROR(INDEX('Sublimits and Parts'!$C$78:$C$80,MATCH($AK247,'Sublimits and Parts'!$B$78:$B$80,0)),"?")))</f>
        <v/>
      </c>
      <c r="BX247" s="99" t="str">
        <f>IF($A247="","",IF($AL247="",1,IFERROR(INDEX('Sublimits and Parts'!$C$84:$C$87,MATCH($AL247,'Sublimits and Parts'!$B$84:$B$87,0)),"?")))</f>
        <v/>
      </c>
      <c r="BY247" s="99" t="str">
        <f>IF($A247="","",IF($AM247="",1,IFERROR(INDEX('Sublimits and Parts'!$C$91:$C$94,MATCH($AM247,'Sublimits and Parts'!$B$91:$B$94,0)),"?")))</f>
        <v/>
      </c>
      <c r="BZ247" s="99" t="str">
        <f>IF($A247="","",IF($AN247="",1,IFERROR(INDEX('Sublimits and Parts'!$C$98:$C$101,MATCH($AN247,'Sublimits and Parts'!$B$98:$B$101,0)),"?")))</f>
        <v/>
      </c>
      <c r="CA247" s="99" t="str">
        <f>IF($A247="","",IF($AO247="",1,IFERROR(INDEX('Sublimits and Parts'!$C$105:$C$109,MATCH($AO247,'Sublimits and Parts'!$B$105:$B$109,0)),"?")))</f>
        <v/>
      </c>
      <c r="CB247" s="100" t="str">
        <f t="shared" si="41"/>
        <v/>
      </c>
      <c r="CC247" s="100" t="str">
        <f t="shared" si="42"/>
        <v/>
      </c>
      <c r="CD247" s="103" t="str">
        <f>IF($A247="","",IF(OR($CB247="?",$CC247="?"),"?",MIN($CB247*$CC247,'Technical Premium'!$C$17)))</f>
        <v/>
      </c>
      <c r="CE247" s="102" t="str">
        <f t="shared" si="43"/>
        <v/>
      </c>
      <c r="CF247" s="102" t="str">
        <f>IF($A247="","",IFERROR(INDEX('Territory Factors'!$F$6:$F$56,MATCH($K247,'Territory Factors'!$B$6:$B$56,0)),"?"))</f>
        <v/>
      </c>
      <c r="CG247" s="100" t="str">
        <f>IF($A247="","",IFERROR(INDEX('Usage and Coverage'!$C$79:$C$84,MATCH($Y247,'Usage and Coverage'!$B$79:$B$84,0)),"?"))</f>
        <v/>
      </c>
      <c r="CH247" s="102" t="str">
        <f>IFERROR(IF(ISNUMBER($CD247),$CF247*$CG247*MIN($BG247*$BA247*$BC247*$BD247*$BH247*$BF247,'Technical Premium'!$C$17),""),"")</f>
        <v/>
      </c>
      <c r="CI247" s="102" t="str">
        <f t="shared" si="44"/>
        <v/>
      </c>
      <c r="CJ247" s="102" t="str">
        <f>IFERROR($CI247*(1+'Technical Premium'!$C$5)*(1+'Technical Premium'!$C$6),"")</f>
        <v/>
      </c>
      <c r="CK247" s="102" t="str">
        <f>IFERROR($CE247*INDEX('Territory Factors'!$G$6:$G$56,MATCH($K247,'Territory Factors'!$B$6:$B$56,0))*$AU247*$AV247,"")</f>
        <v/>
      </c>
      <c r="CL247" s="102" t="str">
        <f>IFERROR(($CJ247+$CK247)*(1+'Technical Premium'!$C$7),"")</f>
        <v/>
      </c>
      <c r="CM247" s="104" t="str">
        <f>IFERROR($CL247/'Technical Premium'!$C$13,"")</f>
        <v/>
      </c>
      <c r="CN247" s="105" t="str">
        <f t="shared" si="45"/>
        <v/>
      </c>
      <c r="CO247" s="104" t="str">
        <f t="shared" si="46"/>
        <v/>
      </c>
      <c r="CP247" s="105" t="str">
        <f t="shared" si="47"/>
        <v/>
      </c>
      <c r="CQ247" s="106" t="str">
        <f t="shared" si="48"/>
        <v/>
      </c>
      <c r="CR247" s="102" t="str">
        <f>IF(ISNUMBER($CM247),'Technical Premium'!$C$14+IF($J247&gt;=1000000,'Technical Premium'!$C$15,0),"")</f>
        <v/>
      </c>
      <c r="CS247" s="102" t="str">
        <f>IFERROR(($CO247+$CR247)*(INDEX('Territory Factors'!$K$6:$K$56,MATCH($K247,'Territory Factors'!$B$6:$B$56,0))+'Commission Structure'!$C$21),"")</f>
        <v/>
      </c>
      <c r="CT247" s="104" t="str">
        <f t="shared" si="49"/>
        <v/>
      </c>
      <c r="CU247" s="102" t="str">
        <f>IFERROR($CO247*('Commission Structure'!$C$6+'Commission Structure'!$C$7),"")</f>
        <v/>
      </c>
      <c r="CV247" s="102" t="str">
        <f>IFERROR($CO247*'Commission Structure'!$C$5-$CU247,"")</f>
        <v/>
      </c>
      <c r="CW247" s="102" t="str">
        <f>IFERROR($CO247*(1-'Commission Structure'!$C$5),"")</f>
        <v/>
      </c>
      <c r="CX247" s="107"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8" t="str">
        <f t="shared" si="50"/>
        <v/>
      </c>
      <c r="CZ247" s="99" t="str">
        <f>IF($CY247="","",IF($CY247&lt;'Technical Premium'!$C$19,"BEYOND AUTHORITY",IF($CY247&gt;0.005,"Above technical",IF($CY247&lt;-0.005,"BELOW technical","At technical"))))</f>
        <v/>
      </c>
      <c r="DA247" s="99"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4"/>
      <c r="DC247" s="94"/>
      <c r="DD247" s="95"/>
      <c r="DE247" s="94"/>
      <c r="DF247" s="94"/>
      <c r="DG247" s="99" t="str">
        <f t="shared" si="51"/>
        <v/>
      </c>
      <c r="DH247" s="99" t="str">
        <f>IF($A247="","",IF(OR($CX247="REFER",$CX247="DECLINE"),COUNTIF($CX$5:$CX247,"REFER")+COUNTIF($CX$5:$CX247,"DECLINE"),""))</f>
        <v/>
      </c>
      <c r="DI247" s="94"/>
    </row>
    <row r="248" spans="1:113" x14ac:dyDescent="0.35">
      <c r="A248" s="94"/>
      <c r="B248" s="94"/>
      <c r="C248" s="95"/>
      <c r="D248" s="95"/>
      <c r="E248" s="96"/>
      <c r="F248" s="94"/>
      <c r="G248" s="94"/>
      <c r="H248" s="94"/>
      <c r="I248" s="94"/>
      <c r="J248" s="97"/>
      <c r="K248" s="94"/>
      <c r="L248" s="94"/>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8"/>
      <c r="AR248" s="99" t="str">
        <f t="shared" si="39"/>
        <v/>
      </c>
      <c r="AS248" s="99" t="str">
        <f>IF($A248="","",IF($AP248&lt;&gt;"",$AP248,IFERROR(INDEX('Cat Zone by ZIP'!$D$6:$D$856,MATCH($AR248,'Cat Zone by ZIP'!$B$6:$B$856,0)),IFERROR(INDEX('Cat Zone by ZIP'!$C$860:$C$910,MATCH($K248,'Cat Zone by ZIP'!$B$860:$B$910,0)),"NOT FOUND"))))</f>
        <v/>
      </c>
      <c r="AT248" s="99" t="str">
        <f>IF($A248="","",IF($AP248&lt;&gt;"","Override",IF(ISNUMBER(MATCH($AR248,'Cat Zone by ZIP'!$B$6:$B$856,0)),"ZIP-3","State default")))</f>
        <v/>
      </c>
      <c r="AU248" s="100" t="str">
        <f>IF($A248="","",IFERROR(INDEX('Natural Catastrophe'!$D$6:$D$17,MATCH($AS248,'Natural Catastrophe'!$B$6:$B$17,0)),"?"))</f>
        <v/>
      </c>
      <c r="AV248" s="100" t="str">
        <f>IF($A248="","",IFERROR(INDEX('Natural Catastrophe'!$C$21:$C$26,MATCH($AA248,'Natural Catastrophe'!$B$21:$B$26,0)),"?"))</f>
        <v/>
      </c>
      <c r="AW248" s="99" t="str">
        <f>IF($A248="","",IFERROR(INDEX('Base Rates'!$C$4:$I$4,MATCH(MAX($J248,'Technical Premium'!$C$18),'Base Rates'!$C$3:$I$3,1)),"?"))</f>
        <v/>
      </c>
      <c r="AX248" s="101" t="str">
        <f>IF($A248="","",IFERROR(INDEX('Base Rates'!$C$5:$I$16,MATCH($I248,'Base Rates'!$B$5:$B$16,0),MATCH(MAX($J248,'Technical Premium'!$C$18),'Base Rates'!$C$3:$I$3,1)),"?"))</f>
        <v/>
      </c>
      <c r="AY248" s="102" t="str">
        <f t="shared" si="40"/>
        <v/>
      </c>
      <c r="AZ248" s="99" t="str">
        <f>IF($A248="","",IFERROR(INDEX('Make Factors'!$G$5:$G$69,MATCH($F248,'Make Factors'!$B$5:$B$69,0)),"?"))</f>
        <v/>
      </c>
      <c r="BA248" s="99" t="str">
        <f>IF($A248="","",IFERROR(INDEX('Driver Factors'!$C$6:$C$15,MATCH($R248,'Driver Factors'!$B$6:$B$15,0)),"?"))</f>
        <v/>
      </c>
      <c r="BB248" s="99" t="str">
        <f>IF($A248="","",IFERROR(INDEX('Driver Factors'!$C$19:$C$24,MATCH($S248,'Driver Factors'!$B$19:$B$24,0)),"?"))</f>
        <v/>
      </c>
      <c r="BC248" s="99" t="str">
        <f>IF($A248="","",IFERROR(INDEX('Driver Factors'!$C$28:$C$36,MATCH($T248,'Driver Factors'!$B$28:$B$36,0)),"?"))</f>
        <v/>
      </c>
      <c r="BD248" s="99" t="str">
        <f>IF($A248="","",IFERROR(INDEX('Claims History'!$C$6:$C$15,MATCH($U248,'Claims History'!$B$6:$B$15,0)),"?"))</f>
        <v/>
      </c>
      <c r="BE248" s="99" t="str">
        <f>IF($A248="","",IFERROR(INDEX('Territory Factors'!$E$6:$E$56,MATCH($K248,'Territory Factors'!$B$6:$B$56,0)),"?"))</f>
        <v/>
      </c>
      <c r="BF248" s="99" t="str">
        <f>IF($A248="","",IFERROR(INDEX('City Accident Ratings'!$G$6:$G$54,MATCH($Z248,'City Accident Ratings'!$B$6:$B$54,0)),"?"))</f>
        <v/>
      </c>
      <c r="BG248" s="99" t="str">
        <f>IF($A248="","",IFERROR(INDEX('Usage and Coverage'!$D$6:$D$20,MATCH($N248,'Usage and Coverage'!$C$6:$C$20,0)),"?"))</f>
        <v/>
      </c>
      <c r="BH248" s="99" t="str">
        <f>IF($A248="","",IFERROR(INDEX('Usage and Coverage'!$C$24:$C$30,MATCH($O248,'Usage and Coverage'!$B$24:$B$30,0)),"?"))</f>
        <v/>
      </c>
      <c r="BI248" s="99" t="str">
        <f>IF($A248="","",IFERROR(INDEX('Usage and Coverage'!$C$34:$C$40,MATCH($P248,'Usage and Coverage'!$B$34:$B$40,0)),"?"))</f>
        <v/>
      </c>
      <c r="BJ248" s="99" t="str">
        <f>IF($A248="","",IFERROR(INDEX('Usage and Coverage'!$C$44:$C$49,MATCH($Q248,'Usage and Coverage'!$B$44:$B$49,0)),"?"))</f>
        <v/>
      </c>
      <c r="BK248" s="99" t="str">
        <f>IF($A248="","",IFERROR(INDEX(Deductibles!$C$6:$I$15,MATCH($W248,Deductibles!$B$6:$B$15,0),MATCH(MAX($J248,'Technical Premium'!$C$18),'Base Rates'!$C$3:$I$3,1)),"?"))</f>
        <v/>
      </c>
      <c r="BL248" s="99" t="str">
        <f>IF($A248="","",IFERROR(INDEX('Usage and Coverage'!$C$63:$C$66,MATCH($X248,'Usage and Coverage'!$B$63:$B$66,0)),"?"))</f>
        <v/>
      </c>
      <c r="BM248" s="99" t="str">
        <f>IF($A248="","",IFERROR(INDEX('Usage and Coverage'!$C$70:$C$75,MATCH($V248,'Usage and Coverage'!$B$70:$B$75,0)),"?"))</f>
        <v/>
      </c>
      <c r="BN248" s="99" t="str">
        <f>IF($A248="","",IF($AB248="",1,IFERROR(INDEX(Deductibles!$C$48:$C$51,MATCH($AB248,Deductibles!$B$48:$B$51,0)),"?")))</f>
        <v/>
      </c>
      <c r="BO248" s="99" t="str">
        <f>IF($A248="","",IF($AC248="",1,IFERROR(INDEX(Deductibles!$C$55:$C$57,MATCH($AC248,Deductibles!$B$55:$B$57,0)),"?")))</f>
        <v/>
      </c>
      <c r="BP248" s="99" t="str">
        <f>IF($A248="","",IF($AD248="",1,IFERROR(INDEX(Deductibles!$C$61:$C$63,MATCH($AD248,Deductibles!$B$61:$B$63,0)),"?")))</f>
        <v/>
      </c>
      <c r="BQ248" s="99" t="str">
        <f>IF($A248="","",IF($AE248="",1,IFERROR(INDEX(Deductibles!$C$67:$C$69,MATCH($AE248,Deductibles!$B$67:$B$69,0)),"?")))</f>
        <v/>
      </c>
      <c r="BR248" s="99" t="str">
        <f>IF($A248="","",IF($AF248="",1,IFERROR(INDEX(Deductibles!$C$73:$C$74,MATCH($AF248,Deductibles!$B$73:$B$74,0)),"?")))</f>
        <v/>
      </c>
      <c r="BS248" s="99" t="str">
        <f>IF($A248="","",IF($AG248="",1,IFERROR(INDEX('Sublimits and Parts'!$C$49:$C$52,MATCH($AG248,'Sublimits and Parts'!$B$49:$B$52,0)),"?")))</f>
        <v/>
      </c>
      <c r="BT248" s="99" t="str">
        <f>IF($A248="","",IF($AH248="",1,IFERROR(INDEX('Sublimits and Parts'!$C$56:$C$60,MATCH($AH248,'Sublimits and Parts'!$B$56:$B$60,0)),"?")))</f>
        <v/>
      </c>
      <c r="BU248" s="99" t="str">
        <f>IF($A248="","",IF($AI248="",1,IFERROR(INDEX('Sublimits and Parts'!$C$64:$C$67,MATCH($AI248,'Sublimits and Parts'!$B$64:$B$67,0)),"?")))</f>
        <v/>
      </c>
      <c r="BV248" s="99" t="str">
        <f>IF($A248="","",IF($AJ248="",1,IFERROR(INDEX('Sublimits and Parts'!$C$71:$C$74,MATCH($AJ248,'Sublimits and Parts'!$B$71:$B$74,0)),"?")))</f>
        <v/>
      </c>
      <c r="BW248" s="99" t="str">
        <f>IF($A248="","",IF($AK248="",1,IFERROR(INDEX('Sublimits and Parts'!$C$78:$C$80,MATCH($AK248,'Sublimits and Parts'!$B$78:$B$80,0)),"?")))</f>
        <v/>
      </c>
      <c r="BX248" s="99" t="str">
        <f>IF($A248="","",IF($AL248="",1,IFERROR(INDEX('Sublimits and Parts'!$C$84:$C$87,MATCH($AL248,'Sublimits and Parts'!$B$84:$B$87,0)),"?")))</f>
        <v/>
      </c>
      <c r="BY248" s="99" t="str">
        <f>IF($A248="","",IF($AM248="",1,IFERROR(INDEX('Sublimits and Parts'!$C$91:$C$94,MATCH($AM248,'Sublimits and Parts'!$B$91:$B$94,0)),"?")))</f>
        <v/>
      </c>
      <c r="BZ248" s="99" t="str">
        <f>IF($A248="","",IF($AN248="",1,IFERROR(INDEX('Sublimits and Parts'!$C$98:$C$101,MATCH($AN248,'Sublimits and Parts'!$B$98:$B$101,0)),"?")))</f>
        <v/>
      </c>
      <c r="CA248" s="99" t="str">
        <f>IF($A248="","",IF($AO248="",1,IFERROR(INDEX('Sublimits and Parts'!$C$105:$C$109,MATCH($AO248,'Sublimits and Parts'!$B$105:$B$109,0)),"?")))</f>
        <v/>
      </c>
      <c r="CB248" s="100" t="str">
        <f t="shared" si="41"/>
        <v/>
      </c>
      <c r="CC248" s="100" t="str">
        <f t="shared" si="42"/>
        <v/>
      </c>
      <c r="CD248" s="103" t="str">
        <f>IF($A248="","",IF(OR($CB248="?",$CC248="?"),"?",MIN($CB248*$CC248,'Technical Premium'!$C$17)))</f>
        <v/>
      </c>
      <c r="CE248" s="102" t="str">
        <f t="shared" si="43"/>
        <v/>
      </c>
      <c r="CF248" s="102" t="str">
        <f>IF($A248="","",IFERROR(INDEX('Territory Factors'!$F$6:$F$56,MATCH($K248,'Territory Factors'!$B$6:$B$56,0)),"?"))</f>
        <v/>
      </c>
      <c r="CG248" s="100" t="str">
        <f>IF($A248="","",IFERROR(INDEX('Usage and Coverage'!$C$79:$C$84,MATCH($Y248,'Usage and Coverage'!$B$79:$B$84,0)),"?"))</f>
        <v/>
      </c>
      <c r="CH248" s="102" t="str">
        <f>IFERROR(IF(ISNUMBER($CD248),$CF248*$CG248*MIN($BG248*$BA248*$BC248*$BD248*$BH248*$BF248,'Technical Premium'!$C$17),""),"")</f>
        <v/>
      </c>
      <c r="CI248" s="102" t="str">
        <f t="shared" si="44"/>
        <v/>
      </c>
      <c r="CJ248" s="102" t="str">
        <f>IFERROR($CI248*(1+'Technical Premium'!$C$5)*(1+'Technical Premium'!$C$6),"")</f>
        <v/>
      </c>
      <c r="CK248" s="102" t="str">
        <f>IFERROR($CE248*INDEX('Territory Factors'!$G$6:$G$56,MATCH($K248,'Territory Factors'!$B$6:$B$56,0))*$AU248*$AV248,"")</f>
        <v/>
      </c>
      <c r="CL248" s="102" t="str">
        <f>IFERROR(($CJ248+$CK248)*(1+'Technical Premium'!$C$7),"")</f>
        <v/>
      </c>
      <c r="CM248" s="104" t="str">
        <f>IFERROR($CL248/'Technical Premium'!$C$13,"")</f>
        <v/>
      </c>
      <c r="CN248" s="105" t="str">
        <f t="shared" si="45"/>
        <v/>
      </c>
      <c r="CO248" s="104" t="str">
        <f t="shared" si="46"/>
        <v/>
      </c>
      <c r="CP248" s="105" t="str">
        <f t="shared" si="47"/>
        <v/>
      </c>
      <c r="CQ248" s="106" t="str">
        <f t="shared" si="48"/>
        <v/>
      </c>
      <c r="CR248" s="102" t="str">
        <f>IF(ISNUMBER($CM248),'Technical Premium'!$C$14+IF($J248&gt;=1000000,'Technical Premium'!$C$15,0),"")</f>
        <v/>
      </c>
      <c r="CS248" s="102" t="str">
        <f>IFERROR(($CO248+$CR248)*(INDEX('Territory Factors'!$K$6:$K$56,MATCH($K248,'Territory Factors'!$B$6:$B$56,0))+'Commission Structure'!$C$21),"")</f>
        <v/>
      </c>
      <c r="CT248" s="104" t="str">
        <f t="shared" si="49"/>
        <v/>
      </c>
      <c r="CU248" s="102" t="str">
        <f>IFERROR($CO248*('Commission Structure'!$C$6+'Commission Structure'!$C$7),"")</f>
        <v/>
      </c>
      <c r="CV248" s="102" t="str">
        <f>IFERROR($CO248*'Commission Structure'!$C$5-$CU248,"")</f>
        <v/>
      </c>
      <c r="CW248" s="102" t="str">
        <f>IFERROR($CO248*(1-'Commission Structure'!$C$5),"")</f>
        <v/>
      </c>
      <c r="CX248" s="107"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8" t="str">
        <f t="shared" si="50"/>
        <v/>
      </c>
      <c r="CZ248" s="99" t="str">
        <f>IF($CY248="","",IF($CY248&lt;'Technical Premium'!$C$19,"BEYOND AUTHORITY",IF($CY248&gt;0.005,"Above technical",IF($CY248&lt;-0.005,"BELOW technical","At technical"))))</f>
        <v/>
      </c>
      <c r="DA248" s="99"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4"/>
      <c r="DC248" s="94"/>
      <c r="DD248" s="95"/>
      <c r="DE248" s="94"/>
      <c r="DF248" s="94"/>
      <c r="DG248" s="99" t="str">
        <f t="shared" si="51"/>
        <v/>
      </c>
      <c r="DH248" s="99" t="str">
        <f>IF($A248="","",IF(OR($CX248="REFER",$CX248="DECLINE"),COUNTIF($CX$5:$CX248,"REFER")+COUNTIF($CX$5:$CX248,"DECLINE"),""))</f>
        <v/>
      </c>
      <c r="DI248" s="94"/>
    </row>
    <row r="249" spans="1:113" x14ac:dyDescent="0.35">
      <c r="A249" s="94"/>
      <c r="B249" s="94"/>
      <c r="C249" s="95"/>
      <c r="D249" s="95"/>
      <c r="E249" s="96"/>
      <c r="F249" s="94"/>
      <c r="G249" s="94"/>
      <c r="H249" s="94"/>
      <c r="I249" s="94"/>
      <c r="J249" s="97"/>
      <c r="K249" s="94"/>
      <c r="L249" s="94"/>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8"/>
      <c r="AR249" s="99" t="str">
        <f t="shared" si="39"/>
        <v/>
      </c>
      <c r="AS249" s="99" t="str">
        <f>IF($A249="","",IF($AP249&lt;&gt;"",$AP249,IFERROR(INDEX('Cat Zone by ZIP'!$D$6:$D$856,MATCH($AR249,'Cat Zone by ZIP'!$B$6:$B$856,0)),IFERROR(INDEX('Cat Zone by ZIP'!$C$860:$C$910,MATCH($K249,'Cat Zone by ZIP'!$B$860:$B$910,0)),"NOT FOUND"))))</f>
        <v/>
      </c>
      <c r="AT249" s="99" t="str">
        <f>IF($A249="","",IF($AP249&lt;&gt;"","Override",IF(ISNUMBER(MATCH($AR249,'Cat Zone by ZIP'!$B$6:$B$856,0)),"ZIP-3","State default")))</f>
        <v/>
      </c>
      <c r="AU249" s="100" t="str">
        <f>IF($A249="","",IFERROR(INDEX('Natural Catastrophe'!$D$6:$D$17,MATCH($AS249,'Natural Catastrophe'!$B$6:$B$17,0)),"?"))</f>
        <v/>
      </c>
      <c r="AV249" s="100" t="str">
        <f>IF($A249="","",IFERROR(INDEX('Natural Catastrophe'!$C$21:$C$26,MATCH($AA249,'Natural Catastrophe'!$B$21:$B$26,0)),"?"))</f>
        <v/>
      </c>
      <c r="AW249" s="99" t="str">
        <f>IF($A249="","",IFERROR(INDEX('Base Rates'!$C$4:$I$4,MATCH(MAX($J249,'Technical Premium'!$C$18),'Base Rates'!$C$3:$I$3,1)),"?"))</f>
        <v/>
      </c>
      <c r="AX249" s="101" t="str">
        <f>IF($A249="","",IFERROR(INDEX('Base Rates'!$C$5:$I$16,MATCH($I249,'Base Rates'!$B$5:$B$16,0),MATCH(MAX($J249,'Technical Premium'!$C$18),'Base Rates'!$C$3:$I$3,1)),"?"))</f>
        <v/>
      </c>
      <c r="AY249" s="102" t="str">
        <f t="shared" si="40"/>
        <v/>
      </c>
      <c r="AZ249" s="99" t="str">
        <f>IF($A249="","",IFERROR(INDEX('Make Factors'!$G$5:$G$69,MATCH($F249,'Make Factors'!$B$5:$B$69,0)),"?"))</f>
        <v/>
      </c>
      <c r="BA249" s="99" t="str">
        <f>IF($A249="","",IFERROR(INDEX('Driver Factors'!$C$6:$C$15,MATCH($R249,'Driver Factors'!$B$6:$B$15,0)),"?"))</f>
        <v/>
      </c>
      <c r="BB249" s="99" t="str">
        <f>IF($A249="","",IFERROR(INDEX('Driver Factors'!$C$19:$C$24,MATCH($S249,'Driver Factors'!$B$19:$B$24,0)),"?"))</f>
        <v/>
      </c>
      <c r="BC249" s="99" t="str">
        <f>IF($A249="","",IFERROR(INDEX('Driver Factors'!$C$28:$C$36,MATCH($T249,'Driver Factors'!$B$28:$B$36,0)),"?"))</f>
        <v/>
      </c>
      <c r="BD249" s="99" t="str">
        <f>IF($A249="","",IFERROR(INDEX('Claims History'!$C$6:$C$15,MATCH($U249,'Claims History'!$B$6:$B$15,0)),"?"))</f>
        <v/>
      </c>
      <c r="BE249" s="99" t="str">
        <f>IF($A249="","",IFERROR(INDEX('Territory Factors'!$E$6:$E$56,MATCH($K249,'Territory Factors'!$B$6:$B$56,0)),"?"))</f>
        <v/>
      </c>
      <c r="BF249" s="99" t="str">
        <f>IF($A249="","",IFERROR(INDEX('City Accident Ratings'!$G$6:$G$54,MATCH($Z249,'City Accident Ratings'!$B$6:$B$54,0)),"?"))</f>
        <v/>
      </c>
      <c r="BG249" s="99" t="str">
        <f>IF($A249="","",IFERROR(INDEX('Usage and Coverage'!$D$6:$D$20,MATCH($N249,'Usage and Coverage'!$C$6:$C$20,0)),"?"))</f>
        <v/>
      </c>
      <c r="BH249" s="99" t="str">
        <f>IF($A249="","",IFERROR(INDEX('Usage and Coverage'!$C$24:$C$30,MATCH($O249,'Usage and Coverage'!$B$24:$B$30,0)),"?"))</f>
        <v/>
      </c>
      <c r="BI249" s="99" t="str">
        <f>IF($A249="","",IFERROR(INDEX('Usage and Coverage'!$C$34:$C$40,MATCH($P249,'Usage and Coverage'!$B$34:$B$40,0)),"?"))</f>
        <v/>
      </c>
      <c r="BJ249" s="99" t="str">
        <f>IF($A249="","",IFERROR(INDEX('Usage and Coverage'!$C$44:$C$49,MATCH($Q249,'Usage and Coverage'!$B$44:$B$49,0)),"?"))</f>
        <v/>
      </c>
      <c r="BK249" s="99" t="str">
        <f>IF($A249="","",IFERROR(INDEX(Deductibles!$C$6:$I$15,MATCH($W249,Deductibles!$B$6:$B$15,0),MATCH(MAX($J249,'Technical Premium'!$C$18),'Base Rates'!$C$3:$I$3,1)),"?"))</f>
        <v/>
      </c>
      <c r="BL249" s="99" t="str">
        <f>IF($A249="","",IFERROR(INDEX('Usage and Coverage'!$C$63:$C$66,MATCH($X249,'Usage and Coverage'!$B$63:$B$66,0)),"?"))</f>
        <v/>
      </c>
      <c r="BM249" s="99" t="str">
        <f>IF($A249="","",IFERROR(INDEX('Usage and Coverage'!$C$70:$C$75,MATCH($V249,'Usage and Coverage'!$B$70:$B$75,0)),"?"))</f>
        <v/>
      </c>
      <c r="BN249" s="99" t="str">
        <f>IF($A249="","",IF($AB249="",1,IFERROR(INDEX(Deductibles!$C$48:$C$51,MATCH($AB249,Deductibles!$B$48:$B$51,0)),"?")))</f>
        <v/>
      </c>
      <c r="BO249" s="99" t="str">
        <f>IF($A249="","",IF($AC249="",1,IFERROR(INDEX(Deductibles!$C$55:$C$57,MATCH($AC249,Deductibles!$B$55:$B$57,0)),"?")))</f>
        <v/>
      </c>
      <c r="BP249" s="99" t="str">
        <f>IF($A249="","",IF($AD249="",1,IFERROR(INDEX(Deductibles!$C$61:$C$63,MATCH($AD249,Deductibles!$B$61:$B$63,0)),"?")))</f>
        <v/>
      </c>
      <c r="BQ249" s="99" t="str">
        <f>IF($A249="","",IF($AE249="",1,IFERROR(INDEX(Deductibles!$C$67:$C$69,MATCH($AE249,Deductibles!$B$67:$B$69,0)),"?")))</f>
        <v/>
      </c>
      <c r="BR249" s="99" t="str">
        <f>IF($A249="","",IF($AF249="",1,IFERROR(INDEX(Deductibles!$C$73:$C$74,MATCH($AF249,Deductibles!$B$73:$B$74,0)),"?")))</f>
        <v/>
      </c>
      <c r="BS249" s="99" t="str">
        <f>IF($A249="","",IF($AG249="",1,IFERROR(INDEX('Sublimits and Parts'!$C$49:$C$52,MATCH($AG249,'Sublimits and Parts'!$B$49:$B$52,0)),"?")))</f>
        <v/>
      </c>
      <c r="BT249" s="99" t="str">
        <f>IF($A249="","",IF($AH249="",1,IFERROR(INDEX('Sublimits and Parts'!$C$56:$C$60,MATCH($AH249,'Sublimits and Parts'!$B$56:$B$60,0)),"?")))</f>
        <v/>
      </c>
      <c r="BU249" s="99" t="str">
        <f>IF($A249="","",IF($AI249="",1,IFERROR(INDEX('Sublimits and Parts'!$C$64:$C$67,MATCH($AI249,'Sublimits and Parts'!$B$64:$B$67,0)),"?")))</f>
        <v/>
      </c>
      <c r="BV249" s="99" t="str">
        <f>IF($A249="","",IF($AJ249="",1,IFERROR(INDEX('Sublimits and Parts'!$C$71:$C$74,MATCH($AJ249,'Sublimits and Parts'!$B$71:$B$74,0)),"?")))</f>
        <v/>
      </c>
      <c r="BW249" s="99" t="str">
        <f>IF($A249="","",IF($AK249="",1,IFERROR(INDEX('Sublimits and Parts'!$C$78:$C$80,MATCH($AK249,'Sublimits and Parts'!$B$78:$B$80,0)),"?")))</f>
        <v/>
      </c>
      <c r="BX249" s="99" t="str">
        <f>IF($A249="","",IF($AL249="",1,IFERROR(INDEX('Sublimits and Parts'!$C$84:$C$87,MATCH($AL249,'Sublimits and Parts'!$B$84:$B$87,0)),"?")))</f>
        <v/>
      </c>
      <c r="BY249" s="99" t="str">
        <f>IF($A249="","",IF($AM249="",1,IFERROR(INDEX('Sublimits and Parts'!$C$91:$C$94,MATCH($AM249,'Sublimits and Parts'!$B$91:$B$94,0)),"?")))</f>
        <v/>
      </c>
      <c r="BZ249" s="99" t="str">
        <f>IF($A249="","",IF($AN249="",1,IFERROR(INDEX('Sublimits and Parts'!$C$98:$C$101,MATCH($AN249,'Sublimits and Parts'!$B$98:$B$101,0)),"?")))</f>
        <v/>
      </c>
      <c r="CA249" s="99" t="str">
        <f>IF($A249="","",IF($AO249="",1,IFERROR(INDEX('Sublimits and Parts'!$C$105:$C$109,MATCH($AO249,'Sublimits and Parts'!$B$105:$B$109,0)),"?")))</f>
        <v/>
      </c>
      <c r="CB249" s="100" t="str">
        <f t="shared" si="41"/>
        <v/>
      </c>
      <c r="CC249" s="100" t="str">
        <f t="shared" si="42"/>
        <v/>
      </c>
      <c r="CD249" s="103" t="str">
        <f>IF($A249="","",IF(OR($CB249="?",$CC249="?"),"?",MIN($CB249*$CC249,'Technical Premium'!$C$17)))</f>
        <v/>
      </c>
      <c r="CE249" s="102" t="str">
        <f t="shared" si="43"/>
        <v/>
      </c>
      <c r="CF249" s="102" t="str">
        <f>IF($A249="","",IFERROR(INDEX('Territory Factors'!$F$6:$F$56,MATCH($K249,'Territory Factors'!$B$6:$B$56,0)),"?"))</f>
        <v/>
      </c>
      <c r="CG249" s="100" t="str">
        <f>IF($A249="","",IFERROR(INDEX('Usage and Coverage'!$C$79:$C$84,MATCH($Y249,'Usage and Coverage'!$B$79:$B$84,0)),"?"))</f>
        <v/>
      </c>
      <c r="CH249" s="102" t="str">
        <f>IFERROR(IF(ISNUMBER($CD249),$CF249*$CG249*MIN($BG249*$BA249*$BC249*$BD249*$BH249*$BF249,'Technical Premium'!$C$17),""),"")</f>
        <v/>
      </c>
      <c r="CI249" s="102" t="str">
        <f t="shared" si="44"/>
        <v/>
      </c>
      <c r="CJ249" s="102" t="str">
        <f>IFERROR($CI249*(1+'Technical Premium'!$C$5)*(1+'Technical Premium'!$C$6),"")</f>
        <v/>
      </c>
      <c r="CK249" s="102" t="str">
        <f>IFERROR($CE249*INDEX('Territory Factors'!$G$6:$G$56,MATCH($K249,'Territory Factors'!$B$6:$B$56,0))*$AU249*$AV249,"")</f>
        <v/>
      </c>
      <c r="CL249" s="102" t="str">
        <f>IFERROR(($CJ249+$CK249)*(1+'Technical Premium'!$C$7),"")</f>
        <v/>
      </c>
      <c r="CM249" s="104" t="str">
        <f>IFERROR($CL249/'Technical Premium'!$C$13,"")</f>
        <v/>
      </c>
      <c r="CN249" s="105" t="str">
        <f t="shared" si="45"/>
        <v/>
      </c>
      <c r="CO249" s="104" t="str">
        <f t="shared" si="46"/>
        <v/>
      </c>
      <c r="CP249" s="105" t="str">
        <f t="shared" si="47"/>
        <v/>
      </c>
      <c r="CQ249" s="106" t="str">
        <f t="shared" si="48"/>
        <v/>
      </c>
      <c r="CR249" s="102" t="str">
        <f>IF(ISNUMBER($CM249),'Technical Premium'!$C$14+IF($J249&gt;=1000000,'Technical Premium'!$C$15,0),"")</f>
        <v/>
      </c>
      <c r="CS249" s="102" t="str">
        <f>IFERROR(($CO249+$CR249)*(INDEX('Territory Factors'!$K$6:$K$56,MATCH($K249,'Territory Factors'!$B$6:$B$56,0))+'Commission Structure'!$C$21),"")</f>
        <v/>
      </c>
      <c r="CT249" s="104" t="str">
        <f t="shared" si="49"/>
        <v/>
      </c>
      <c r="CU249" s="102" t="str">
        <f>IFERROR($CO249*('Commission Structure'!$C$6+'Commission Structure'!$C$7),"")</f>
        <v/>
      </c>
      <c r="CV249" s="102" t="str">
        <f>IFERROR($CO249*'Commission Structure'!$C$5-$CU249,"")</f>
        <v/>
      </c>
      <c r="CW249" s="102" t="str">
        <f>IFERROR($CO249*(1-'Commission Structure'!$C$5),"")</f>
        <v/>
      </c>
      <c r="CX249" s="107"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8" t="str">
        <f t="shared" si="50"/>
        <v/>
      </c>
      <c r="CZ249" s="99" t="str">
        <f>IF($CY249="","",IF($CY249&lt;'Technical Premium'!$C$19,"BEYOND AUTHORITY",IF($CY249&gt;0.005,"Above technical",IF($CY249&lt;-0.005,"BELOW technical","At technical"))))</f>
        <v/>
      </c>
      <c r="DA249" s="99"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4"/>
      <c r="DC249" s="94"/>
      <c r="DD249" s="95"/>
      <c r="DE249" s="94"/>
      <c r="DF249" s="94"/>
      <c r="DG249" s="99" t="str">
        <f t="shared" si="51"/>
        <v/>
      </c>
      <c r="DH249" s="99" t="str">
        <f>IF($A249="","",IF(OR($CX249="REFER",$CX249="DECLINE"),COUNTIF($CX$5:$CX249,"REFER")+COUNTIF($CX$5:$CX249,"DECLINE"),""))</f>
        <v/>
      </c>
      <c r="DI249" s="94"/>
    </row>
    <row r="250" spans="1:113" x14ac:dyDescent="0.35">
      <c r="A250" s="94"/>
      <c r="B250" s="94"/>
      <c r="C250" s="95"/>
      <c r="D250" s="95"/>
      <c r="E250" s="96"/>
      <c r="F250" s="94"/>
      <c r="G250" s="94"/>
      <c r="H250" s="94"/>
      <c r="I250" s="94"/>
      <c r="J250" s="97"/>
      <c r="K250" s="94"/>
      <c r="L250" s="94"/>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8"/>
      <c r="AR250" s="99" t="str">
        <f t="shared" si="39"/>
        <v/>
      </c>
      <c r="AS250" s="99" t="str">
        <f>IF($A250="","",IF($AP250&lt;&gt;"",$AP250,IFERROR(INDEX('Cat Zone by ZIP'!$D$6:$D$856,MATCH($AR250,'Cat Zone by ZIP'!$B$6:$B$856,0)),IFERROR(INDEX('Cat Zone by ZIP'!$C$860:$C$910,MATCH($K250,'Cat Zone by ZIP'!$B$860:$B$910,0)),"NOT FOUND"))))</f>
        <v/>
      </c>
      <c r="AT250" s="99" t="str">
        <f>IF($A250="","",IF($AP250&lt;&gt;"","Override",IF(ISNUMBER(MATCH($AR250,'Cat Zone by ZIP'!$B$6:$B$856,0)),"ZIP-3","State default")))</f>
        <v/>
      </c>
      <c r="AU250" s="100" t="str">
        <f>IF($A250="","",IFERROR(INDEX('Natural Catastrophe'!$D$6:$D$17,MATCH($AS250,'Natural Catastrophe'!$B$6:$B$17,0)),"?"))</f>
        <v/>
      </c>
      <c r="AV250" s="100" t="str">
        <f>IF($A250="","",IFERROR(INDEX('Natural Catastrophe'!$C$21:$C$26,MATCH($AA250,'Natural Catastrophe'!$B$21:$B$26,0)),"?"))</f>
        <v/>
      </c>
      <c r="AW250" s="99" t="str">
        <f>IF($A250="","",IFERROR(INDEX('Base Rates'!$C$4:$I$4,MATCH(MAX($J250,'Technical Premium'!$C$18),'Base Rates'!$C$3:$I$3,1)),"?"))</f>
        <v/>
      </c>
      <c r="AX250" s="101" t="str">
        <f>IF($A250="","",IFERROR(INDEX('Base Rates'!$C$5:$I$16,MATCH($I250,'Base Rates'!$B$5:$B$16,0),MATCH(MAX($J250,'Technical Premium'!$C$18),'Base Rates'!$C$3:$I$3,1)),"?"))</f>
        <v/>
      </c>
      <c r="AY250" s="102" t="str">
        <f t="shared" si="40"/>
        <v/>
      </c>
      <c r="AZ250" s="99" t="str">
        <f>IF($A250="","",IFERROR(INDEX('Make Factors'!$G$5:$G$69,MATCH($F250,'Make Factors'!$B$5:$B$69,0)),"?"))</f>
        <v/>
      </c>
      <c r="BA250" s="99" t="str">
        <f>IF($A250="","",IFERROR(INDEX('Driver Factors'!$C$6:$C$15,MATCH($R250,'Driver Factors'!$B$6:$B$15,0)),"?"))</f>
        <v/>
      </c>
      <c r="BB250" s="99" t="str">
        <f>IF($A250="","",IFERROR(INDEX('Driver Factors'!$C$19:$C$24,MATCH($S250,'Driver Factors'!$B$19:$B$24,0)),"?"))</f>
        <v/>
      </c>
      <c r="BC250" s="99" t="str">
        <f>IF($A250="","",IFERROR(INDEX('Driver Factors'!$C$28:$C$36,MATCH($T250,'Driver Factors'!$B$28:$B$36,0)),"?"))</f>
        <v/>
      </c>
      <c r="BD250" s="99" t="str">
        <f>IF($A250="","",IFERROR(INDEX('Claims History'!$C$6:$C$15,MATCH($U250,'Claims History'!$B$6:$B$15,0)),"?"))</f>
        <v/>
      </c>
      <c r="BE250" s="99" t="str">
        <f>IF($A250="","",IFERROR(INDEX('Territory Factors'!$E$6:$E$56,MATCH($K250,'Territory Factors'!$B$6:$B$56,0)),"?"))</f>
        <v/>
      </c>
      <c r="BF250" s="99" t="str">
        <f>IF($A250="","",IFERROR(INDEX('City Accident Ratings'!$G$6:$G$54,MATCH($Z250,'City Accident Ratings'!$B$6:$B$54,0)),"?"))</f>
        <v/>
      </c>
      <c r="BG250" s="99" t="str">
        <f>IF($A250="","",IFERROR(INDEX('Usage and Coverage'!$D$6:$D$20,MATCH($N250,'Usage and Coverage'!$C$6:$C$20,0)),"?"))</f>
        <v/>
      </c>
      <c r="BH250" s="99" t="str">
        <f>IF($A250="","",IFERROR(INDEX('Usage and Coverage'!$C$24:$C$30,MATCH($O250,'Usage and Coverage'!$B$24:$B$30,0)),"?"))</f>
        <v/>
      </c>
      <c r="BI250" s="99" t="str">
        <f>IF($A250="","",IFERROR(INDEX('Usage and Coverage'!$C$34:$C$40,MATCH($P250,'Usage and Coverage'!$B$34:$B$40,0)),"?"))</f>
        <v/>
      </c>
      <c r="BJ250" s="99" t="str">
        <f>IF($A250="","",IFERROR(INDEX('Usage and Coverage'!$C$44:$C$49,MATCH($Q250,'Usage and Coverage'!$B$44:$B$49,0)),"?"))</f>
        <v/>
      </c>
      <c r="BK250" s="99" t="str">
        <f>IF($A250="","",IFERROR(INDEX(Deductibles!$C$6:$I$15,MATCH($W250,Deductibles!$B$6:$B$15,0),MATCH(MAX($J250,'Technical Premium'!$C$18),'Base Rates'!$C$3:$I$3,1)),"?"))</f>
        <v/>
      </c>
      <c r="BL250" s="99" t="str">
        <f>IF($A250="","",IFERROR(INDEX('Usage and Coverage'!$C$63:$C$66,MATCH($X250,'Usage and Coverage'!$B$63:$B$66,0)),"?"))</f>
        <v/>
      </c>
      <c r="BM250" s="99" t="str">
        <f>IF($A250="","",IFERROR(INDEX('Usage and Coverage'!$C$70:$C$75,MATCH($V250,'Usage and Coverage'!$B$70:$B$75,0)),"?"))</f>
        <v/>
      </c>
      <c r="BN250" s="99" t="str">
        <f>IF($A250="","",IF($AB250="",1,IFERROR(INDEX(Deductibles!$C$48:$C$51,MATCH($AB250,Deductibles!$B$48:$B$51,0)),"?")))</f>
        <v/>
      </c>
      <c r="BO250" s="99" t="str">
        <f>IF($A250="","",IF($AC250="",1,IFERROR(INDEX(Deductibles!$C$55:$C$57,MATCH($AC250,Deductibles!$B$55:$B$57,0)),"?")))</f>
        <v/>
      </c>
      <c r="BP250" s="99" t="str">
        <f>IF($A250="","",IF($AD250="",1,IFERROR(INDEX(Deductibles!$C$61:$C$63,MATCH($AD250,Deductibles!$B$61:$B$63,0)),"?")))</f>
        <v/>
      </c>
      <c r="BQ250" s="99" t="str">
        <f>IF($A250="","",IF($AE250="",1,IFERROR(INDEX(Deductibles!$C$67:$C$69,MATCH($AE250,Deductibles!$B$67:$B$69,0)),"?")))</f>
        <v/>
      </c>
      <c r="BR250" s="99" t="str">
        <f>IF($A250="","",IF($AF250="",1,IFERROR(INDEX(Deductibles!$C$73:$C$74,MATCH($AF250,Deductibles!$B$73:$B$74,0)),"?")))</f>
        <v/>
      </c>
      <c r="BS250" s="99" t="str">
        <f>IF($A250="","",IF($AG250="",1,IFERROR(INDEX('Sublimits and Parts'!$C$49:$C$52,MATCH($AG250,'Sublimits and Parts'!$B$49:$B$52,0)),"?")))</f>
        <v/>
      </c>
      <c r="BT250" s="99" t="str">
        <f>IF($A250="","",IF($AH250="",1,IFERROR(INDEX('Sublimits and Parts'!$C$56:$C$60,MATCH($AH250,'Sublimits and Parts'!$B$56:$B$60,0)),"?")))</f>
        <v/>
      </c>
      <c r="BU250" s="99" t="str">
        <f>IF($A250="","",IF($AI250="",1,IFERROR(INDEX('Sublimits and Parts'!$C$64:$C$67,MATCH($AI250,'Sublimits and Parts'!$B$64:$B$67,0)),"?")))</f>
        <v/>
      </c>
      <c r="BV250" s="99" t="str">
        <f>IF($A250="","",IF($AJ250="",1,IFERROR(INDEX('Sublimits and Parts'!$C$71:$C$74,MATCH($AJ250,'Sublimits and Parts'!$B$71:$B$74,0)),"?")))</f>
        <v/>
      </c>
      <c r="BW250" s="99" t="str">
        <f>IF($A250="","",IF($AK250="",1,IFERROR(INDEX('Sublimits and Parts'!$C$78:$C$80,MATCH($AK250,'Sublimits and Parts'!$B$78:$B$80,0)),"?")))</f>
        <v/>
      </c>
      <c r="BX250" s="99" t="str">
        <f>IF($A250="","",IF($AL250="",1,IFERROR(INDEX('Sublimits and Parts'!$C$84:$C$87,MATCH($AL250,'Sublimits and Parts'!$B$84:$B$87,0)),"?")))</f>
        <v/>
      </c>
      <c r="BY250" s="99" t="str">
        <f>IF($A250="","",IF($AM250="",1,IFERROR(INDEX('Sublimits and Parts'!$C$91:$C$94,MATCH($AM250,'Sublimits and Parts'!$B$91:$B$94,0)),"?")))</f>
        <v/>
      </c>
      <c r="BZ250" s="99" t="str">
        <f>IF($A250="","",IF($AN250="",1,IFERROR(INDEX('Sublimits and Parts'!$C$98:$C$101,MATCH($AN250,'Sublimits and Parts'!$B$98:$B$101,0)),"?")))</f>
        <v/>
      </c>
      <c r="CA250" s="99" t="str">
        <f>IF($A250="","",IF($AO250="",1,IFERROR(INDEX('Sublimits and Parts'!$C$105:$C$109,MATCH($AO250,'Sublimits and Parts'!$B$105:$B$109,0)),"?")))</f>
        <v/>
      </c>
      <c r="CB250" s="100" t="str">
        <f t="shared" si="41"/>
        <v/>
      </c>
      <c r="CC250" s="100" t="str">
        <f t="shared" si="42"/>
        <v/>
      </c>
      <c r="CD250" s="103" t="str">
        <f>IF($A250="","",IF(OR($CB250="?",$CC250="?"),"?",MIN($CB250*$CC250,'Technical Premium'!$C$17)))</f>
        <v/>
      </c>
      <c r="CE250" s="102" t="str">
        <f t="shared" si="43"/>
        <v/>
      </c>
      <c r="CF250" s="102" t="str">
        <f>IF($A250="","",IFERROR(INDEX('Territory Factors'!$F$6:$F$56,MATCH($K250,'Territory Factors'!$B$6:$B$56,0)),"?"))</f>
        <v/>
      </c>
      <c r="CG250" s="100" t="str">
        <f>IF($A250="","",IFERROR(INDEX('Usage and Coverage'!$C$79:$C$84,MATCH($Y250,'Usage and Coverage'!$B$79:$B$84,0)),"?"))</f>
        <v/>
      </c>
      <c r="CH250" s="102" t="str">
        <f>IFERROR(IF(ISNUMBER($CD250),$CF250*$CG250*MIN($BG250*$BA250*$BC250*$BD250*$BH250*$BF250,'Technical Premium'!$C$17),""),"")</f>
        <v/>
      </c>
      <c r="CI250" s="102" t="str">
        <f t="shared" si="44"/>
        <v/>
      </c>
      <c r="CJ250" s="102" t="str">
        <f>IFERROR($CI250*(1+'Technical Premium'!$C$5)*(1+'Technical Premium'!$C$6),"")</f>
        <v/>
      </c>
      <c r="CK250" s="102" t="str">
        <f>IFERROR($CE250*INDEX('Territory Factors'!$G$6:$G$56,MATCH($K250,'Territory Factors'!$B$6:$B$56,0))*$AU250*$AV250,"")</f>
        <v/>
      </c>
      <c r="CL250" s="102" t="str">
        <f>IFERROR(($CJ250+$CK250)*(1+'Technical Premium'!$C$7),"")</f>
        <v/>
      </c>
      <c r="CM250" s="104" t="str">
        <f>IFERROR($CL250/'Technical Premium'!$C$13,"")</f>
        <v/>
      </c>
      <c r="CN250" s="105" t="str">
        <f t="shared" si="45"/>
        <v/>
      </c>
      <c r="CO250" s="104" t="str">
        <f t="shared" si="46"/>
        <v/>
      </c>
      <c r="CP250" s="105" t="str">
        <f t="shared" si="47"/>
        <v/>
      </c>
      <c r="CQ250" s="106" t="str">
        <f t="shared" si="48"/>
        <v/>
      </c>
      <c r="CR250" s="102" t="str">
        <f>IF(ISNUMBER($CM250),'Technical Premium'!$C$14+IF($J250&gt;=1000000,'Technical Premium'!$C$15,0),"")</f>
        <v/>
      </c>
      <c r="CS250" s="102" t="str">
        <f>IFERROR(($CO250+$CR250)*(INDEX('Territory Factors'!$K$6:$K$56,MATCH($K250,'Territory Factors'!$B$6:$B$56,0))+'Commission Structure'!$C$21),"")</f>
        <v/>
      </c>
      <c r="CT250" s="104" t="str">
        <f t="shared" si="49"/>
        <v/>
      </c>
      <c r="CU250" s="102" t="str">
        <f>IFERROR($CO250*('Commission Structure'!$C$6+'Commission Structure'!$C$7),"")</f>
        <v/>
      </c>
      <c r="CV250" s="102" t="str">
        <f>IFERROR($CO250*'Commission Structure'!$C$5-$CU250,"")</f>
        <v/>
      </c>
      <c r="CW250" s="102" t="str">
        <f>IFERROR($CO250*(1-'Commission Structure'!$C$5),"")</f>
        <v/>
      </c>
      <c r="CX250" s="107"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8" t="str">
        <f t="shared" si="50"/>
        <v/>
      </c>
      <c r="CZ250" s="99" t="str">
        <f>IF($CY250="","",IF($CY250&lt;'Technical Premium'!$C$19,"BEYOND AUTHORITY",IF($CY250&gt;0.005,"Above technical",IF($CY250&lt;-0.005,"BELOW technical","At technical"))))</f>
        <v/>
      </c>
      <c r="DA250" s="99"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4"/>
      <c r="DC250" s="94"/>
      <c r="DD250" s="95"/>
      <c r="DE250" s="94"/>
      <c r="DF250" s="94"/>
      <c r="DG250" s="99" t="str">
        <f t="shared" si="51"/>
        <v/>
      </c>
      <c r="DH250" s="99" t="str">
        <f>IF($A250="","",IF(OR($CX250="REFER",$CX250="DECLINE"),COUNTIF($CX$5:$CX250,"REFER")+COUNTIF($CX$5:$CX250,"DECLINE"),""))</f>
        <v/>
      </c>
      <c r="DI250" s="94"/>
    </row>
    <row r="251" spans="1:113" x14ac:dyDescent="0.35">
      <c r="A251" s="94"/>
      <c r="B251" s="94"/>
      <c r="C251" s="95"/>
      <c r="D251" s="95"/>
      <c r="E251" s="96"/>
      <c r="F251" s="94"/>
      <c r="G251" s="94"/>
      <c r="H251" s="94"/>
      <c r="I251" s="94"/>
      <c r="J251" s="97"/>
      <c r="K251" s="94"/>
      <c r="L251" s="94"/>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8"/>
      <c r="AR251" s="99" t="str">
        <f t="shared" si="39"/>
        <v/>
      </c>
      <c r="AS251" s="99" t="str">
        <f>IF($A251="","",IF($AP251&lt;&gt;"",$AP251,IFERROR(INDEX('Cat Zone by ZIP'!$D$6:$D$856,MATCH($AR251,'Cat Zone by ZIP'!$B$6:$B$856,0)),IFERROR(INDEX('Cat Zone by ZIP'!$C$860:$C$910,MATCH($K251,'Cat Zone by ZIP'!$B$860:$B$910,0)),"NOT FOUND"))))</f>
        <v/>
      </c>
      <c r="AT251" s="99" t="str">
        <f>IF($A251="","",IF($AP251&lt;&gt;"","Override",IF(ISNUMBER(MATCH($AR251,'Cat Zone by ZIP'!$B$6:$B$856,0)),"ZIP-3","State default")))</f>
        <v/>
      </c>
      <c r="AU251" s="100" t="str">
        <f>IF($A251="","",IFERROR(INDEX('Natural Catastrophe'!$D$6:$D$17,MATCH($AS251,'Natural Catastrophe'!$B$6:$B$17,0)),"?"))</f>
        <v/>
      </c>
      <c r="AV251" s="100" t="str">
        <f>IF($A251="","",IFERROR(INDEX('Natural Catastrophe'!$C$21:$C$26,MATCH($AA251,'Natural Catastrophe'!$B$21:$B$26,0)),"?"))</f>
        <v/>
      </c>
      <c r="AW251" s="99" t="str">
        <f>IF($A251="","",IFERROR(INDEX('Base Rates'!$C$4:$I$4,MATCH(MAX($J251,'Technical Premium'!$C$18),'Base Rates'!$C$3:$I$3,1)),"?"))</f>
        <v/>
      </c>
      <c r="AX251" s="101" t="str">
        <f>IF($A251="","",IFERROR(INDEX('Base Rates'!$C$5:$I$16,MATCH($I251,'Base Rates'!$B$5:$B$16,0),MATCH(MAX($J251,'Technical Premium'!$C$18),'Base Rates'!$C$3:$I$3,1)),"?"))</f>
        <v/>
      </c>
      <c r="AY251" s="102" t="str">
        <f t="shared" si="40"/>
        <v/>
      </c>
      <c r="AZ251" s="99" t="str">
        <f>IF($A251="","",IFERROR(INDEX('Make Factors'!$G$5:$G$69,MATCH($F251,'Make Factors'!$B$5:$B$69,0)),"?"))</f>
        <v/>
      </c>
      <c r="BA251" s="99" t="str">
        <f>IF($A251="","",IFERROR(INDEX('Driver Factors'!$C$6:$C$15,MATCH($R251,'Driver Factors'!$B$6:$B$15,0)),"?"))</f>
        <v/>
      </c>
      <c r="BB251" s="99" t="str">
        <f>IF($A251="","",IFERROR(INDEX('Driver Factors'!$C$19:$C$24,MATCH($S251,'Driver Factors'!$B$19:$B$24,0)),"?"))</f>
        <v/>
      </c>
      <c r="BC251" s="99" t="str">
        <f>IF($A251="","",IFERROR(INDEX('Driver Factors'!$C$28:$C$36,MATCH($T251,'Driver Factors'!$B$28:$B$36,0)),"?"))</f>
        <v/>
      </c>
      <c r="BD251" s="99" t="str">
        <f>IF($A251="","",IFERROR(INDEX('Claims History'!$C$6:$C$15,MATCH($U251,'Claims History'!$B$6:$B$15,0)),"?"))</f>
        <v/>
      </c>
      <c r="BE251" s="99" t="str">
        <f>IF($A251="","",IFERROR(INDEX('Territory Factors'!$E$6:$E$56,MATCH($K251,'Territory Factors'!$B$6:$B$56,0)),"?"))</f>
        <v/>
      </c>
      <c r="BF251" s="99" t="str">
        <f>IF($A251="","",IFERROR(INDEX('City Accident Ratings'!$G$6:$G$54,MATCH($Z251,'City Accident Ratings'!$B$6:$B$54,0)),"?"))</f>
        <v/>
      </c>
      <c r="BG251" s="99" t="str">
        <f>IF($A251="","",IFERROR(INDEX('Usage and Coverage'!$D$6:$D$20,MATCH($N251,'Usage and Coverage'!$C$6:$C$20,0)),"?"))</f>
        <v/>
      </c>
      <c r="BH251" s="99" t="str">
        <f>IF($A251="","",IFERROR(INDEX('Usage and Coverage'!$C$24:$C$30,MATCH($O251,'Usage and Coverage'!$B$24:$B$30,0)),"?"))</f>
        <v/>
      </c>
      <c r="BI251" s="99" t="str">
        <f>IF($A251="","",IFERROR(INDEX('Usage and Coverage'!$C$34:$C$40,MATCH($P251,'Usage and Coverage'!$B$34:$B$40,0)),"?"))</f>
        <v/>
      </c>
      <c r="BJ251" s="99" t="str">
        <f>IF($A251="","",IFERROR(INDEX('Usage and Coverage'!$C$44:$C$49,MATCH($Q251,'Usage and Coverage'!$B$44:$B$49,0)),"?"))</f>
        <v/>
      </c>
      <c r="BK251" s="99" t="str">
        <f>IF($A251="","",IFERROR(INDEX(Deductibles!$C$6:$I$15,MATCH($W251,Deductibles!$B$6:$B$15,0),MATCH(MAX($J251,'Technical Premium'!$C$18),'Base Rates'!$C$3:$I$3,1)),"?"))</f>
        <v/>
      </c>
      <c r="BL251" s="99" t="str">
        <f>IF($A251="","",IFERROR(INDEX('Usage and Coverage'!$C$63:$C$66,MATCH($X251,'Usage and Coverage'!$B$63:$B$66,0)),"?"))</f>
        <v/>
      </c>
      <c r="BM251" s="99" t="str">
        <f>IF($A251="","",IFERROR(INDEX('Usage and Coverage'!$C$70:$C$75,MATCH($V251,'Usage and Coverage'!$B$70:$B$75,0)),"?"))</f>
        <v/>
      </c>
      <c r="BN251" s="99" t="str">
        <f>IF($A251="","",IF($AB251="",1,IFERROR(INDEX(Deductibles!$C$48:$C$51,MATCH($AB251,Deductibles!$B$48:$B$51,0)),"?")))</f>
        <v/>
      </c>
      <c r="BO251" s="99" t="str">
        <f>IF($A251="","",IF($AC251="",1,IFERROR(INDEX(Deductibles!$C$55:$C$57,MATCH($AC251,Deductibles!$B$55:$B$57,0)),"?")))</f>
        <v/>
      </c>
      <c r="BP251" s="99" t="str">
        <f>IF($A251="","",IF($AD251="",1,IFERROR(INDEX(Deductibles!$C$61:$C$63,MATCH($AD251,Deductibles!$B$61:$B$63,0)),"?")))</f>
        <v/>
      </c>
      <c r="BQ251" s="99" t="str">
        <f>IF($A251="","",IF($AE251="",1,IFERROR(INDEX(Deductibles!$C$67:$C$69,MATCH($AE251,Deductibles!$B$67:$B$69,0)),"?")))</f>
        <v/>
      </c>
      <c r="BR251" s="99" t="str">
        <f>IF($A251="","",IF($AF251="",1,IFERROR(INDEX(Deductibles!$C$73:$C$74,MATCH($AF251,Deductibles!$B$73:$B$74,0)),"?")))</f>
        <v/>
      </c>
      <c r="BS251" s="99" t="str">
        <f>IF($A251="","",IF($AG251="",1,IFERROR(INDEX('Sublimits and Parts'!$C$49:$C$52,MATCH($AG251,'Sublimits and Parts'!$B$49:$B$52,0)),"?")))</f>
        <v/>
      </c>
      <c r="BT251" s="99" t="str">
        <f>IF($A251="","",IF($AH251="",1,IFERROR(INDEX('Sublimits and Parts'!$C$56:$C$60,MATCH($AH251,'Sublimits and Parts'!$B$56:$B$60,0)),"?")))</f>
        <v/>
      </c>
      <c r="BU251" s="99" t="str">
        <f>IF($A251="","",IF($AI251="",1,IFERROR(INDEX('Sublimits and Parts'!$C$64:$C$67,MATCH($AI251,'Sublimits and Parts'!$B$64:$B$67,0)),"?")))</f>
        <v/>
      </c>
      <c r="BV251" s="99" t="str">
        <f>IF($A251="","",IF($AJ251="",1,IFERROR(INDEX('Sublimits and Parts'!$C$71:$C$74,MATCH($AJ251,'Sublimits and Parts'!$B$71:$B$74,0)),"?")))</f>
        <v/>
      </c>
      <c r="BW251" s="99" t="str">
        <f>IF($A251="","",IF($AK251="",1,IFERROR(INDEX('Sublimits and Parts'!$C$78:$C$80,MATCH($AK251,'Sublimits and Parts'!$B$78:$B$80,0)),"?")))</f>
        <v/>
      </c>
      <c r="BX251" s="99" t="str">
        <f>IF($A251="","",IF($AL251="",1,IFERROR(INDEX('Sublimits and Parts'!$C$84:$C$87,MATCH($AL251,'Sublimits and Parts'!$B$84:$B$87,0)),"?")))</f>
        <v/>
      </c>
      <c r="BY251" s="99" t="str">
        <f>IF($A251="","",IF($AM251="",1,IFERROR(INDEX('Sublimits and Parts'!$C$91:$C$94,MATCH($AM251,'Sublimits and Parts'!$B$91:$B$94,0)),"?")))</f>
        <v/>
      </c>
      <c r="BZ251" s="99" t="str">
        <f>IF($A251="","",IF($AN251="",1,IFERROR(INDEX('Sublimits and Parts'!$C$98:$C$101,MATCH($AN251,'Sublimits and Parts'!$B$98:$B$101,0)),"?")))</f>
        <v/>
      </c>
      <c r="CA251" s="99" t="str">
        <f>IF($A251="","",IF($AO251="",1,IFERROR(INDEX('Sublimits and Parts'!$C$105:$C$109,MATCH($AO251,'Sublimits and Parts'!$B$105:$B$109,0)),"?")))</f>
        <v/>
      </c>
      <c r="CB251" s="100" t="str">
        <f t="shared" si="41"/>
        <v/>
      </c>
      <c r="CC251" s="100" t="str">
        <f t="shared" si="42"/>
        <v/>
      </c>
      <c r="CD251" s="103" t="str">
        <f>IF($A251="","",IF(OR($CB251="?",$CC251="?"),"?",MIN($CB251*$CC251,'Technical Premium'!$C$17)))</f>
        <v/>
      </c>
      <c r="CE251" s="102" t="str">
        <f t="shared" si="43"/>
        <v/>
      </c>
      <c r="CF251" s="102" t="str">
        <f>IF($A251="","",IFERROR(INDEX('Territory Factors'!$F$6:$F$56,MATCH($K251,'Territory Factors'!$B$6:$B$56,0)),"?"))</f>
        <v/>
      </c>
      <c r="CG251" s="100" t="str">
        <f>IF($A251="","",IFERROR(INDEX('Usage and Coverage'!$C$79:$C$84,MATCH($Y251,'Usage and Coverage'!$B$79:$B$84,0)),"?"))</f>
        <v/>
      </c>
      <c r="CH251" s="102" t="str">
        <f>IFERROR(IF(ISNUMBER($CD251),$CF251*$CG251*MIN($BG251*$BA251*$BC251*$BD251*$BH251*$BF251,'Technical Premium'!$C$17),""),"")</f>
        <v/>
      </c>
      <c r="CI251" s="102" t="str">
        <f t="shared" si="44"/>
        <v/>
      </c>
      <c r="CJ251" s="102" t="str">
        <f>IFERROR($CI251*(1+'Technical Premium'!$C$5)*(1+'Technical Premium'!$C$6),"")</f>
        <v/>
      </c>
      <c r="CK251" s="102" t="str">
        <f>IFERROR($CE251*INDEX('Territory Factors'!$G$6:$G$56,MATCH($K251,'Territory Factors'!$B$6:$B$56,0))*$AU251*$AV251,"")</f>
        <v/>
      </c>
      <c r="CL251" s="102" t="str">
        <f>IFERROR(($CJ251+$CK251)*(1+'Technical Premium'!$C$7),"")</f>
        <v/>
      </c>
      <c r="CM251" s="104" t="str">
        <f>IFERROR($CL251/'Technical Premium'!$C$13,"")</f>
        <v/>
      </c>
      <c r="CN251" s="105" t="str">
        <f t="shared" si="45"/>
        <v/>
      </c>
      <c r="CO251" s="104" t="str">
        <f t="shared" si="46"/>
        <v/>
      </c>
      <c r="CP251" s="105" t="str">
        <f t="shared" si="47"/>
        <v/>
      </c>
      <c r="CQ251" s="106" t="str">
        <f t="shared" si="48"/>
        <v/>
      </c>
      <c r="CR251" s="102" t="str">
        <f>IF(ISNUMBER($CM251),'Technical Premium'!$C$14+IF($J251&gt;=1000000,'Technical Premium'!$C$15,0),"")</f>
        <v/>
      </c>
      <c r="CS251" s="102" t="str">
        <f>IFERROR(($CO251+$CR251)*(INDEX('Territory Factors'!$K$6:$K$56,MATCH($K251,'Territory Factors'!$B$6:$B$56,0))+'Commission Structure'!$C$21),"")</f>
        <v/>
      </c>
      <c r="CT251" s="104" t="str">
        <f t="shared" si="49"/>
        <v/>
      </c>
      <c r="CU251" s="102" t="str">
        <f>IFERROR($CO251*('Commission Structure'!$C$6+'Commission Structure'!$C$7),"")</f>
        <v/>
      </c>
      <c r="CV251" s="102" t="str">
        <f>IFERROR($CO251*'Commission Structure'!$C$5-$CU251,"")</f>
        <v/>
      </c>
      <c r="CW251" s="102" t="str">
        <f>IFERROR($CO251*(1-'Commission Structure'!$C$5),"")</f>
        <v/>
      </c>
      <c r="CX251" s="107"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8" t="str">
        <f t="shared" si="50"/>
        <v/>
      </c>
      <c r="CZ251" s="99" t="str">
        <f>IF($CY251="","",IF($CY251&lt;'Technical Premium'!$C$19,"BEYOND AUTHORITY",IF($CY251&gt;0.005,"Above technical",IF($CY251&lt;-0.005,"BELOW technical","At technical"))))</f>
        <v/>
      </c>
      <c r="DA251" s="99"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4"/>
      <c r="DC251" s="94"/>
      <c r="DD251" s="95"/>
      <c r="DE251" s="94"/>
      <c r="DF251" s="94"/>
      <c r="DG251" s="99" t="str">
        <f t="shared" si="51"/>
        <v/>
      </c>
      <c r="DH251" s="99" t="str">
        <f>IF($A251="","",IF(OR($CX251="REFER",$CX251="DECLINE"),COUNTIF($CX$5:$CX251,"REFER")+COUNTIF($CX$5:$CX251,"DECLINE"),""))</f>
        <v/>
      </c>
      <c r="DI251" s="94"/>
    </row>
    <row r="252" spans="1:113" x14ac:dyDescent="0.35">
      <c r="A252" s="94"/>
      <c r="B252" s="94"/>
      <c r="C252" s="95"/>
      <c r="D252" s="95"/>
      <c r="E252" s="96"/>
      <c r="F252" s="94"/>
      <c r="G252" s="94"/>
      <c r="H252" s="94"/>
      <c r="I252" s="94"/>
      <c r="J252" s="97"/>
      <c r="K252" s="94"/>
      <c r="L252" s="94"/>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8"/>
      <c r="AR252" s="99" t="str">
        <f t="shared" si="39"/>
        <v/>
      </c>
      <c r="AS252" s="99" t="str">
        <f>IF($A252="","",IF($AP252&lt;&gt;"",$AP252,IFERROR(INDEX('Cat Zone by ZIP'!$D$6:$D$856,MATCH($AR252,'Cat Zone by ZIP'!$B$6:$B$856,0)),IFERROR(INDEX('Cat Zone by ZIP'!$C$860:$C$910,MATCH($K252,'Cat Zone by ZIP'!$B$860:$B$910,0)),"NOT FOUND"))))</f>
        <v/>
      </c>
      <c r="AT252" s="99" t="str">
        <f>IF($A252="","",IF($AP252&lt;&gt;"","Override",IF(ISNUMBER(MATCH($AR252,'Cat Zone by ZIP'!$B$6:$B$856,0)),"ZIP-3","State default")))</f>
        <v/>
      </c>
      <c r="AU252" s="100" t="str">
        <f>IF($A252="","",IFERROR(INDEX('Natural Catastrophe'!$D$6:$D$17,MATCH($AS252,'Natural Catastrophe'!$B$6:$B$17,0)),"?"))</f>
        <v/>
      </c>
      <c r="AV252" s="100" t="str">
        <f>IF($A252="","",IFERROR(INDEX('Natural Catastrophe'!$C$21:$C$26,MATCH($AA252,'Natural Catastrophe'!$B$21:$B$26,0)),"?"))</f>
        <v/>
      </c>
      <c r="AW252" s="99" t="str">
        <f>IF($A252="","",IFERROR(INDEX('Base Rates'!$C$4:$I$4,MATCH(MAX($J252,'Technical Premium'!$C$18),'Base Rates'!$C$3:$I$3,1)),"?"))</f>
        <v/>
      </c>
      <c r="AX252" s="101" t="str">
        <f>IF($A252="","",IFERROR(INDEX('Base Rates'!$C$5:$I$16,MATCH($I252,'Base Rates'!$B$5:$B$16,0),MATCH(MAX($J252,'Technical Premium'!$C$18),'Base Rates'!$C$3:$I$3,1)),"?"))</f>
        <v/>
      </c>
      <c r="AY252" s="102" t="str">
        <f t="shared" si="40"/>
        <v/>
      </c>
      <c r="AZ252" s="99" t="str">
        <f>IF($A252="","",IFERROR(INDEX('Make Factors'!$G$5:$G$69,MATCH($F252,'Make Factors'!$B$5:$B$69,0)),"?"))</f>
        <v/>
      </c>
      <c r="BA252" s="99" t="str">
        <f>IF($A252="","",IFERROR(INDEX('Driver Factors'!$C$6:$C$15,MATCH($R252,'Driver Factors'!$B$6:$B$15,0)),"?"))</f>
        <v/>
      </c>
      <c r="BB252" s="99" t="str">
        <f>IF($A252="","",IFERROR(INDEX('Driver Factors'!$C$19:$C$24,MATCH($S252,'Driver Factors'!$B$19:$B$24,0)),"?"))</f>
        <v/>
      </c>
      <c r="BC252" s="99" t="str">
        <f>IF($A252="","",IFERROR(INDEX('Driver Factors'!$C$28:$C$36,MATCH($T252,'Driver Factors'!$B$28:$B$36,0)),"?"))</f>
        <v/>
      </c>
      <c r="BD252" s="99" t="str">
        <f>IF($A252="","",IFERROR(INDEX('Claims History'!$C$6:$C$15,MATCH($U252,'Claims History'!$B$6:$B$15,0)),"?"))</f>
        <v/>
      </c>
      <c r="BE252" s="99" t="str">
        <f>IF($A252="","",IFERROR(INDEX('Territory Factors'!$E$6:$E$56,MATCH($K252,'Territory Factors'!$B$6:$B$56,0)),"?"))</f>
        <v/>
      </c>
      <c r="BF252" s="99" t="str">
        <f>IF($A252="","",IFERROR(INDEX('City Accident Ratings'!$G$6:$G$54,MATCH($Z252,'City Accident Ratings'!$B$6:$B$54,0)),"?"))</f>
        <v/>
      </c>
      <c r="BG252" s="99" t="str">
        <f>IF($A252="","",IFERROR(INDEX('Usage and Coverage'!$D$6:$D$20,MATCH($N252,'Usage and Coverage'!$C$6:$C$20,0)),"?"))</f>
        <v/>
      </c>
      <c r="BH252" s="99" t="str">
        <f>IF($A252="","",IFERROR(INDEX('Usage and Coverage'!$C$24:$C$30,MATCH($O252,'Usage and Coverage'!$B$24:$B$30,0)),"?"))</f>
        <v/>
      </c>
      <c r="BI252" s="99" t="str">
        <f>IF($A252="","",IFERROR(INDEX('Usage and Coverage'!$C$34:$C$40,MATCH($P252,'Usage and Coverage'!$B$34:$B$40,0)),"?"))</f>
        <v/>
      </c>
      <c r="BJ252" s="99" t="str">
        <f>IF($A252="","",IFERROR(INDEX('Usage and Coverage'!$C$44:$C$49,MATCH($Q252,'Usage and Coverage'!$B$44:$B$49,0)),"?"))</f>
        <v/>
      </c>
      <c r="BK252" s="99" t="str">
        <f>IF($A252="","",IFERROR(INDEX(Deductibles!$C$6:$I$15,MATCH($W252,Deductibles!$B$6:$B$15,0),MATCH(MAX($J252,'Technical Premium'!$C$18),'Base Rates'!$C$3:$I$3,1)),"?"))</f>
        <v/>
      </c>
      <c r="BL252" s="99" t="str">
        <f>IF($A252="","",IFERROR(INDEX('Usage and Coverage'!$C$63:$C$66,MATCH($X252,'Usage and Coverage'!$B$63:$B$66,0)),"?"))</f>
        <v/>
      </c>
      <c r="BM252" s="99" t="str">
        <f>IF($A252="","",IFERROR(INDEX('Usage and Coverage'!$C$70:$C$75,MATCH($V252,'Usage and Coverage'!$B$70:$B$75,0)),"?"))</f>
        <v/>
      </c>
      <c r="BN252" s="99" t="str">
        <f>IF($A252="","",IF($AB252="",1,IFERROR(INDEX(Deductibles!$C$48:$C$51,MATCH($AB252,Deductibles!$B$48:$B$51,0)),"?")))</f>
        <v/>
      </c>
      <c r="BO252" s="99" t="str">
        <f>IF($A252="","",IF($AC252="",1,IFERROR(INDEX(Deductibles!$C$55:$C$57,MATCH($AC252,Deductibles!$B$55:$B$57,0)),"?")))</f>
        <v/>
      </c>
      <c r="BP252" s="99" t="str">
        <f>IF($A252="","",IF($AD252="",1,IFERROR(INDEX(Deductibles!$C$61:$C$63,MATCH($AD252,Deductibles!$B$61:$B$63,0)),"?")))</f>
        <v/>
      </c>
      <c r="BQ252" s="99" t="str">
        <f>IF($A252="","",IF($AE252="",1,IFERROR(INDEX(Deductibles!$C$67:$C$69,MATCH($AE252,Deductibles!$B$67:$B$69,0)),"?")))</f>
        <v/>
      </c>
      <c r="BR252" s="99" t="str">
        <f>IF($A252="","",IF($AF252="",1,IFERROR(INDEX(Deductibles!$C$73:$C$74,MATCH($AF252,Deductibles!$B$73:$B$74,0)),"?")))</f>
        <v/>
      </c>
      <c r="BS252" s="99" t="str">
        <f>IF($A252="","",IF($AG252="",1,IFERROR(INDEX('Sublimits and Parts'!$C$49:$C$52,MATCH($AG252,'Sublimits and Parts'!$B$49:$B$52,0)),"?")))</f>
        <v/>
      </c>
      <c r="BT252" s="99" t="str">
        <f>IF($A252="","",IF($AH252="",1,IFERROR(INDEX('Sublimits and Parts'!$C$56:$C$60,MATCH($AH252,'Sublimits and Parts'!$B$56:$B$60,0)),"?")))</f>
        <v/>
      </c>
      <c r="BU252" s="99" t="str">
        <f>IF($A252="","",IF($AI252="",1,IFERROR(INDEX('Sublimits and Parts'!$C$64:$C$67,MATCH($AI252,'Sublimits and Parts'!$B$64:$B$67,0)),"?")))</f>
        <v/>
      </c>
      <c r="BV252" s="99" t="str">
        <f>IF($A252="","",IF($AJ252="",1,IFERROR(INDEX('Sublimits and Parts'!$C$71:$C$74,MATCH($AJ252,'Sublimits and Parts'!$B$71:$B$74,0)),"?")))</f>
        <v/>
      </c>
      <c r="BW252" s="99" t="str">
        <f>IF($A252="","",IF($AK252="",1,IFERROR(INDEX('Sublimits and Parts'!$C$78:$C$80,MATCH($AK252,'Sublimits and Parts'!$B$78:$B$80,0)),"?")))</f>
        <v/>
      </c>
      <c r="BX252" s="99" t="str">
        <f>IF($A252="","",IF($AL252="",1,IFERROR(INDEX('Sublimits and Parts'!$C$84:$C$87,MATCH($AL252,'Sublimits and Parts'!$B$84:$B$87,0)),"?")))</f>
        <v/>
      </c>
      <c r="BY252" s="99" t="str">
        <f>IF($A252="","",IF($AM252="",1,IFERROR(INDEX('Sublimits and Parts'!$C$91:$C$94,MATCH($AM252,'Sublimits and Parts'!$B$91:$B$94,0)),"?")))</f>
        <v/>
      </c>
      <c r="BZ252" s="99" t="str">
        <f>IF($A252="","",IF($AN252="",1,IFERROR(INDEX('Sublimits and Parts'!$C$98:$C$101,MATCH($AN252,'Sublimits and Parts'!$B$98:$B$101,0)),"?")))</f>
        <v/>
      </c>
      <c r="CA252" s="99" t="str">
        <f>IF($A252="","",IF($AO252="",1,IFERROR(INDEX('Sublimits and Parts'!$C$105:$C$109,MATCH($AO252,'Sublimits and Parts'!$B$105:$B$109,0)),"?")))</f>
        <v/>
      </c>
      <c r="CB252" s="100" t="str">
        <f t="shared" si="41"/>
        <v/>
      </c>
      <c r="CC252" s="100" t="str">
        <f t="shared" si="42"/>
        <v/>
      </c>
      <c r="CD252" s="103" t="str">
        <f>IF($A252="","",IF(OR($CB252="?",$CC252="?"),"?",MIN($CB252*$CC252,'Technical Premium'!$C$17)))</f>
        <v/>
      </c>
      <c r="CE252" s="102" t="str">
        <f t="shared" si="43"/>
        <v/>
      </c>
      <c r="CF252" s="102" t="str">
        <f>IF($A252="","",IFERROR(INDEX('Territory Factors'!$F$6:$F$56,MATCH($K252,'Territory Factors'!$B$6:$B$56,0)),"?"))</f>
        <v/>
      </c>
      <c r="CG252" s="100" t="str">
        <f>IF($A252="","",IFERROR(INDEX('Usage and Coverage'!$C$79:$C$84,MATCH($Y252,'Usage and Coverage'!$B$79:$B$84,0)),"?"))</f>
        <v/>
      </c>
      <c r="CH252" s="102" t="str">
        <f>IFERROR(IF(ISNUMBER($CD252),$CF252*$CG252*MIN($BG252*$BA252*$BC252*$BD252*$BH252*$BF252,'Technical Premium'!$C$17),""),"")</f>
        <v/>
      </c>
      <c r="CI252" s="102" t="str">
        <f t="shared" si="44"/>
        <v/>
      </c>
      <c r="CJ252" s="102" t="str">
        <f>IFERROR($CI252*(1+'Technical Premium'!$C$5)*(1+'Technical Premium'!$C$6),"")</f>
        <v/>
      </c>
      <c r="CK252" s="102" t="str">
        <f>IFERROR($CE252*INDEX('Territory Factors'!$G$6:$G$56,MATCH($K252,'Territory Factors'!$B$6:$B$56,0))*$AU252*$AV252,"")</f>
        <v/>
      </c>
      <c r="CL252" s="102" t="str">
        <f>IFERROR(($CJ252+$CK252)*(1+'Technical Premium'!$C$7),"")</f>
        <v/>
      </c>
      <c r="CM252" s="104" t="str">
        <f>IFERROR($CL252/'Technical Premium'!$C$13,"")</f>
        <v/>
      </c>
      <c r="CN252" s="105" t="str">
        <f t="shared" si="45"/>
        <v/>
      </c>
      <c r="CO252" s="104" t="str">
        <f t="shared" si="46"/>
        <v/>
      </c>
      <c r="CP252" s="105" t="str">
        <f t="shared" si="47"/>
        <v/>
      </c>
      <c r="CQ252" s="106" t="str">
        <f t="shared" si="48"/>
        <v/>
      </c>
      <c r="CR252" s="102" t="str">
        <f>IF(ISNUMBER($CM252),'Technical Premium'!$C$14+IF($J252&gt;=1000000,'Technical Premium'!$C$15,0),"")</f>
        <v/>
      </c>
      <c r="CS252" s="102" t="str">
        <f>IFERROR(($CO252+$CR252)*(INDEX('Territory Factors'!$K$6:$K$56,MATCH($K252,'Territory Factors'!$B$6:$B$56,0))+'Commission Structure'!$C$21),"")</f>
        <v/>
      </c>
      <c r="CT252" s="104" t="str">
        <f t="shared" si="49"/>
        <v/>
      </c>
      <c r="CU252" s="102" t="str">
        <f>IFERROR($CO252*('Commission Structure'!$C$6+'Commission Structure'!$C$7),"")</f>
        <v/>
      </c>
      <c r="CV252" s="102" t="str">
        <f>IFERROR($CO252*'Commission Structure'!$C$5-$CU252,"")</f>
        <v/>
      </c>
      <c r="CW252" s="102" t="str">
        <f>IFERROR($CO252*(1-'Commission Structure'!$C$5),"")</f>
        <v/>
      </c>
      <c r="CX252" s="107"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8" t="str">
        <f t="shared" si="50"/>
        <v/>
      </c>
      <c r="CZ252" s="99" t="str">
        <f>IF($CY252="","",IF($CY252&lt;'Technical Premium'!$C$19,"BEYOND AUTHORITY",IF($CY252&gt;0.005,"Above technical",IF($CY252&lt;-0.005,"BELOW technical","At technical"))))</f>
        <v/>
      </c>
      <c r="DA252" s="99"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4"/>
      <c r="DC252" s="94"/>
      <c r="DD252" s="95"/>
      <c r="DE252" s="94"/>
      <c r="DF252" s="94"/>
      <c r="DG252" s="99" t="str">
        <f t="shared" si="51"/>
        <v/>
      </c>
      <c r="DH252" s="99" t="str">
        <f>IF($A252="","",IF(OR($CX252="REFER",$CX252="DECLINE"),COUNTIF($CX$5:$CX252,"REFER")+COUNTIF($CX$5:$CX252,"DECLINE"),""))</f>
        <v/>
      </c>
      <c r="DI252" s="94"/>
    </row>
    <row r="253" spans="1:113" x14ac:dyDescent="0.35">
      <c r="A253" s="94"/>
      <c r="B253" s="94"/>
      <c r="C253" s="95"/>
      <c r="D253" s="95"/>
      <c r="E253" s="96"/>
      <c r="F253" s="94"/>
      <c r="G253" s="94"/>
      <c r="H253" s="94"/>
      <c r="I253" s="94"/>
      <c r="J253" s="97"/>
      <c r="K253" s="94"/>
      <c r="L253" s="94"/>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8"/>
      <c r="AR253" s="99" t="str">
        <f t="shared" si="39"/>
        <v/>
      </c>
      <c r="AS253" s="99" t="str">
        <f>IF($A253="","",IF($AP253&lt;&gt;"",$AP253,IFERROR(INDEX('Cat Zone by ZIP'!$D$6:$D$856,MATCH($AR253,'Cat Zone by ZIP'!$B$6:$B$856,0)),IFERROR(INDEX('Cat Zone by ZIP'!$C$860:$C$910,MATCH($K253,'Cat Zone by ZIP'!$B$860:$B$910,0)),"NOT FOUND"))))</f>
        <v/>
      </c>
      <c r="AT253" s="99" t="str">
        <f>IF($A253="","",IF($AP253&lt;&gt;"","Override",IF(ISNUMBER(MATCH($AR253,'Cat Zone by ZIP'!$B$6:$B$856,0)),"ZIP-3","State default")))</f>
        <v/>
      </c>
      <c r="AU253" s="100" t="str">
        <f>IF($A253="","",IFERROR(INDEX('Natural Catastrophe'!$D$6:$D$17,MATCH($AS253,'Natural Catastrophe'!$B$6:$B$17,0)),"?"))</f>
        <v/>
      </c>
      <c r="AV253" s="100" t="str">
        <f>IF($A253="","",IFERROR(INDEX('Natural Catastrophe'!$C$21:$C$26,MATCH($AA253,'Natural Catastrophe'!$B$21:$B$26,0)),"?"))</f>
        <v/>
      </c>
      <c r="AW253" s="99" t="str">
        <f>IF($A253="","",IFERROR(INDEX('Base Rates'!$C$4:$I$4,MATCH(MAX($J253,'Technical Premium'!$C$18),'Base Rates'!$C$3:$I$3,1)),"?"))</f>
        <v/>
      </c>
      <c r="AX253" s="101" t="str">
        <f>IF($A253="","",IFERROR(INDEX('Base Rates'!$C$5:$I$16,MATCH($I253,'Base Rates'!$B$5:$B$16,0),MATCH(MAX($J253,'Technical Premium'!$C$18),'Base Rates'!$C$3:$I$3,1)),"?"))</f>
        <v/>
      </c>
      <c r="AY253" s="102" t="str">
        <f t="shared" si="40"/>
        <v/>
      </c>
      <c r="AZ253" s="99" t="str">
        <f>IF($A253="","",IFERROR(INDEX('Make Factors'!$G$5:$G$69,MATCH($F253,'Make Factors'!$B$5:$B$69,0)),"?"))</f>
        <v/>
      </c>
      <c r="BA253" s="99" t="str">
        <f>IF($A253="","",IFERROR(INDEX('Driver Factors'!$C$6:$C$15,MATCH($R253,'Driver Factors'!$B$6:$B$15,0)),"?"))</f>
        <v/>
      </c>
      <c r="BB253" s="99" t="str">
        <f>IF($A253="","",IFERROR(INDEX('Driver Factors'!$C$19:$C$24,MATCH($S253,'Driver Factors'!$B$19:$B$24,0)),"?"))</f>
        <v/>
      </c>
      <c r="BC253" s="99" t="str">
        <f>IF($A253="","",IFERROR(INDEX('Driver Factors'!$C$28:$C$36,MATCH($T253,'Driver Factors'!$B$28:$B$36,0)),"?"))</f>
        <v/>
      </c>
      <c r="BD253" s="99" t="str">
        <f>IF($A253="","",IFERROR(INDEX('Claims History'!$C$6:$C$15,MATCH($U253,'Claims History'!$B$6:$B$15,0)),"?"))</f>
        <v/>
      </c>
      <c r="BE253" s="99" t="str">
        <f>IF($A253="","",IFERROR(INDEX('Territory Factors'!$E$6:$E$56,MATCH($K253,'Territory Factors'!$B$6:$B$56,0)),"?"))</f>
        <v/>
      </c>
      <c r="BF253" s="99" t="str">
        <f>IF($A253="","",IFERROR(INDEX('City Accident Ratings'!$G$6:$G$54,MATCH($Z253,'City Accident Ratings'!$B$6:$B$54,0)),"?"))</f>
        <v/>
      </c>
      <c r="BG253" s="99" t="str">
        <f>IF($A253="","",IFERROR(INDEX('Usage and Coverage'!$D$6:$D$20,MATCH($N253,'Usage and Coverage'!$C$6:$C$20,0)),"?"))</f>
        <v/>
      </c>
      <c r="BH253" s="99" t="str">
        <f>IF($A253="","",IFERROR(INDEX('Usage and Coverage'!$C$24:$C$30,MATCH($O253,'Usage and Coverage'!$B$24:$B$30,0)),"?"))</f>
        <v/>
      </c>
      <c r="BI253" s="99" t="str">
        <f>IF($A253="","",IFERROR(INDEX('Usage and Coverage'!$C$34:$C$40,MATCH($P253,'Usage and Coverage'!$B$34:$B$40,0)),"?"))</f>
        <v/>
      </c>
      <c r="BJ253" s="99" t="str">
        <f>IF($A253="","",IFERROR(INDEX('Usage and Coverage'!$C$44:$C$49,MATCH($Q253,'Usage and Coverage'!$B$44:$B$49,0)),"?"))</f>
        <v/>
      </c>
      <c r="BK253" s="99" t="str">
        <f>IF($A253="","",IFERROR(INDEX(Deductibles!$C$6:$I$15,MATCH($W253,Deductibles!$B$6:$B$15,0),MATCH(MAX($J253,'Technical Premium'!$C$18),'Base Rates'!$C$3:$I$3,1)),"?"))</f>
        <v/>
      </c>
      <c r="BL253" s="99" t="str">
        <f>IF($A253="","",IFERROR(INDEX('Usage and Coverage'!$C$63:$C$66,MATCH($X253,'Usage and Coverage'!$B$63:$B$66,0)),"?"))</f>
        <v/>
      </c>
      <c r="BM253" s="99" t="str">
        <f>IF($A253="","",IFERROR(INDEX('Usage and Coverage'!$C$70:$C$75,MATCH($V253,'Usage and Coverage'!$B$70:$B$75,0)),"?"))</f>
        <v/>
      </c>
      <c r="BN253" s="99" t="str">
        <f>IF($A253="","",IF($AB253="",1,IFERROR(INDEX(Deductibles!$C$48:$C$51,MATCH($AB253,Deductibles!$B$48:$B$51,0)),"?")))</f>
        <v/>
      </c>
      <c r="BO253" s="99" t="str">
        <f>IF($A253="","",IF($AC253="",1,IFERROR(INDEX(Deductibles!$C$55:$C$57,MATCH($AC253,Deductibles!$B$55:$B$57,0)),"?")))</f>
        <v/>
      </c>
      <c r="BP253" s="99" t="str">
        <f>IF($A253="","",IF($AD253="",1,IFERROR(INDEX(Deductibles!$C$61:$C$63,MATCH($AD253,Deductibles!$B$61:$B$63,0)),"?")))</f>
        <v/>
      </c>
      <c r="BQ253" s="99" t="str">
        <f>IF($A253="","",IF($AE253="",1,IFERROR(INDEX(Deductibles!$C$67:$C$69,MATCH($AE253,Deductibles!$B$67:$B$69,0)),"?")))</f>
        <v/>
      </c>
      <c r="BR253" s="99" t="str">
        <f>IF($A253="","",IF($AF253="",1,IFERROR(INDEX(Deductibles!$C$73:$C$74,MATCH($AF253,Deductibles!$B$73:$B$74,0)),"?")))</f>
        <v/>
      </c>
      <c r="BS253" s="99" t="str">
        <f>IF($A253="","",IF($AG253="",1,IFERROR(INDEX('Sublimits and Parts'!$C$49:$C$52,MATCH($AG253,'Sublimits and Parts'!$B$49:$B$52,0)),"?")))</f>
        <v/>
      </c>
      <c r="BT253" s="99" t="str">
        <f>IF($A253="","",IF($AH253="",1,IFERROR(INDEX('Sublimits and Parts'!$C$56:$C$60,MATCH($AH253,'Sublimits and Parts'!$B$56:$B$60,0)),"?")))</f>
        <v/>
      </c>
      <c r="BU253" s="99" t="str">
        <f>IF($A253="","",IF($AI253="",1,IFERROR(INDEX('Sublimits and Parts'!$C$64:$C$67,MATCH($AI253,'Sublimits and Parts'!$B$64:$B$67,0)),"?")))</f>
        <v/>
      </c>
      <c r="BV253" s="99" t="str">
        <f>IF($A253="","",IF($AJ253="",1,IFERROR(INDEX('Sublimits and Parts'!$C$71:$C$74,MATCH($AJ253,'Sublimits and Parts'!$B$71:$B$74,0)),"?")))</f>
        <v/>
      </c>
      <c r="BW253" s="99" t="str">
        <f>IF($A253="","",IF($AK253="",1,IFERROR(INDEX('Sublimits and Parts'!$C$78:$C$80,MATCH($AK253,'Sublimits and Parts'!$B$78:$B$80,0)),"?")))</f>
        <v/>
      </c>
      <c r="BX253" s="99" t="str">
        <f>IF($A253="","",IF($AL253="",1,IFERROR(INDEX('Sublimits and Parts'!$C$84:$C$87,MATCH($AL253,'Sublimits and Parts'!$B$84:$B$87,0)),"?")))</f>
        <v/>
      </c>
      <c r="BY253" s="99" t="str">
        <f>IF($A253="","",IF($AM253="",1,IFERROR(INDEX('Sublimits and Parts'!$C$91:$C$94,MATCH($AM253,'Sublimits and Parts'!$B$91:$B$94,0)),"?")))</f>
        <v/>
      </c>
      <c r="BZ253" s="99" t="str">
        <f>IF($A253="","",IF($AN253="",1,IFERROR(INDEX('Sublimits and Parts'!$C$98:$C$101,MATCH($AN253,'Sublimits and Parts'!$B$98:$B$101,0)),"?")))</f>
        <v/>
      </c>
      <c r="CA253" s="99" t="str">
        <f>IF($A253="","",IF($AO253="",1,IFERROR(INDEX('Sublimits and Parts'!$C$105:$C$109,MATCH($AO253,'Sublimits and Parts'!$B$105:$B$109,0)),"?")))</f>
        <v/>
      </c>
      <c r="CB253" s="100" t="str">
        <f t="shared" si="41"/>
        <v/>
      </c>
      <c r="CC253" s="100" t="str">
        <f t="shared" si="42"/>
        <v/>
      </c>
      <c r="CD253" s="103" t="str">
        <f>IF($A253="","",IF(OR($CB253="?",$CC253="?"),"?",MIN($CB253*$CC253,'Technical Premium'!$C$17)))</f>
        <v/>
      </c>
      <c r="CE253" s="102" t="str">
        <f t="shared" si="43"/>
        <v/>
      </c>
      <c r="CF253" s="102" t="str">
        <f>IF($A253="","",IFERROR(INDEX('Territory Factors'!$F$6:$F$56,MATCH($K253,'Territory Factors'!$B$6:$B$56,0)),"?"))</f>
        <v/>
      </c>
      <c r="CG253" s="100" t="str">
        <f>IF($A253="","",IFERROR(INDEX('Usage and Coverage'!$C$79:$C$84,MATCH($Y253,'Usage and Coverage'!$B$79:$B$84,0)),"?"))</f>
        <v/>
      </c>
      <c r="CH253" s="102" t="str">
        <f>IFERROR(IF(ISNUMBER($CD253),$CF253*$CG253*MIN($BG253*$BA253*$BC253*$BD253*$BH253*$BF253,'Technical Premium'!$C$17),""),"")</f>
        <v/>
      </c>
      <c r="CI253" s="102" t="str">
        <f t="shared" si="44"/>
        <v/>
      </c>
      <c r="CJ253" s="102" t="str">
        <f>IFERROR($CI253*(1+'Technical Premium'!$C$5)*(1+'Technical Premium'!$C$6),"")</f>
        <v/>
      </c>
      <c r="CK253" s="102" t="str">
        <f>IFERROR($CE253*INDEX('Territory Factors'!$G$6:$G$56,MATCH($K253,'Territory Factors'!$B$6:$B$56,0))*$AU253*$AV253,"")</f>
        <v/>
      </c>
      <c r="CL253" s="102" t="str">
        <f>IFERROR(($CJ253+$CK253)*(1+'Technical Premium'!$C$7),"")</f>
        <v/>
      </c>
      <c r="CM253" s="104" t="str">
        <f>IFERROR($CL253/'Technical Premium'!$C$13,"")</f>
        <v/>
      </c>
      <c r="CN253" s="105" t="str">
        <f t="shared" si="45"/>
        <v/>
      </c>
      <c r="CO253" s="104" t="str">
        <f t="shared" si="46"/>
        <v/>
      </c>
      <c r="CP253" s="105" t="str">
        <f t="shared" si="47"/>
        <v/>
      </c>
      <c r="CQ253" s="106" t="str">
        <f t="shared" si="48"/>
        <v/>
      </c>
      <c r="CR253" s="102" t="str">
        <f>IF(ISNUMBER($CM253),'Technical Premium'!$C$14+IF($J253&gt;=1000000,'Technical Premium'!$C$15,0),"")</f>
        <v/>
      </c>
      <c r="CS253" s="102" t="str">
        <f>IFERROR(($CO253+$CR253)*(INDEX('Territory Factors'!$K$6:$K$56,MATCH($K253,'Territory Factors'!$B$6:$B$56,0))+'Commission Structure'!$C$21),"")</f>
        <v/>
      </c>
      <c r="CT253" s="104" t="str">
        <f t="shared" si="49"/>
        <v/>
      </c>
      <c r="CU253" s="102" t="str">
        <f>IFERROR($CO253*('Commission Structure'!$C$6+'Commission Structure'!$C$7),"")</f>
        <v/>
      </c>
      <c r="CV253" s="102" t="str">
        <f>IFERROR($CO253*'Commission Structure'!$C$5-$CU253,"")</f>
        <v/>
      </c>
      <c r="CW253" s="102" t="str">
        <f>IFERROR($CO253*(1-'Commission Structure'!$C$5),"")</f>
        <v/>
      </c>
      <c r="CX253" s="107"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8" t="str">
        <f t="shared" si="50"/>
        <v/>
      </c>
      <c r="CZ253" s="99" t="str">
        <f>IF($CY253="","",IF($CY253&lt;'Technical Premium'!$C$19,"BEYOND AUTHORITY",IF($CY253&gt;0.005,"Above technical",IF($CY253&lt;-0.005,"BELOW technical","At technical"))))</f>
        <v/>
      </c>
      <c r="DA253" s="99"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4"/>
      <c r="DC253" s="94"/>
      <c r="DD253" s="95"/>
      <c r="DE253" s="94"/>
      <c r="DF253" s="94"/>
      <c r="DG253" s="99" t="str">
        <f t="shared" si="51"/>
        <v/>
      </c>
      <c r="DH253" s="99" t="str">
        <f>IF($A253="","",IF(OR($CX253="REFER",$CX253="DECLINE"),COUNTIF($CX$5:$CX253,"REFER")+COUNTIF($CX$5:$CX253,"DECLINE"),""))</f>
        <v/>
      </c>
      <c r="DI253" s="94"/>
    </row>
    <row r="254" spans="1:113" x14ac:dyDescent="0.35">
      <c r="A254" s="94"/>
      <c r="B254" s="94"/>
      <c r="C254" s="95"/>
      <c r="D254" s="95"/>
      <c r="E254" s="96"/>
      <c r="F254" s="94"/>
      <c r="G254" s="94"/>
      <c r="H254" s="94"/>
      <c r="I254" s="94"/>
      <c r="J254" s="97"/>
      <c r="K254" s="94"/>
      <c r="L254" s="94"/>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8"/>
      <c r="AR254" s="99" t="str">
        <f t="shared" si="39"/>
        <v/>
      </c>
      <c r="AS254" s="99" t="str">
        <f>IF($A254="","",IF($AP254&lt;&gt;"",$AP254,IFERROR(INDEX('Cat Zone by ZIP'!$D$6:$D$856,MATCH($AR254,'Cat Zone by ZIP'!$B$6:$B$856,0)),IFERROR(INDEX('Cat Zone by ZIP'!$C$860:$C$910,MATCH($K254,'Cat Zone by ZIP'!$B$860:$B$910,0)),"NOT FOUND"))))</f>
        <v/>
      </c>
      <c r="AT254" s="99" t="str">
        <f>IF($A254="","",IF($AP254&lt;&gt;"","Override",IF(ISNUMBER(MATCH($AR254,'Cat Zone by ZIP'!$B$6:$B$856,0)),"ZIP-3","State default")))</f>
        <v/>
      </c>
      <c r="AU254" s="100" t="str">
        <f>IF($A254="","",IFERROR(INDEX('Natural Catastrophe'!$D$6:$D$17,MATCH($AS254,'Natural Catastrophe'!$B$6:$B$17,0)),"?"))</f>
        <v/>
      </c>
      <c r="AV254" s="100" t="str">
        <f>IF($A254="","",IFERROR(INDEX('Natural Catastrophe'!$C$21:$C$26,MATCH($AA254,'Natural Catastrophe'!$B$21:$B$26,0)),"?"))</f>
        <v/>
      </c>
      <c r="AW254" s="99" t="str">
        <f>IF($A254="","",IFERROR(INDEX('Base Rates'!$C$4:$I$4,MATCH(MAX($J254,'Technical Premium'!$C$18),'Base Rates'!$C$3:$I$3,1)),"?"))</f>
        <v/>
      </c>
      <c r="AX254" s="101" t="str">
        <f>IF($A254="","",IFERROR(INDEX('Base Rates'!$C$5:$I$16,MATCH($I254,'Base Rates'!$B$5:$B$16,0),MATCH(MAX($J254,'Technical Premium'!$C$18),'Base Rates'!$C$3:$I$3,1)),"?"))</f>
        <v/>
      </c>
      <c r="AY254" s="102" t="str">
        <f t="shared" si="40"/>
        <v/>
      </c>
      <c r="AZ254" s="99" t="str">
        <f>IF($A254="","",IFERROR(INDEX('Make Factors'!$G$5:$G$69,MATCH($F254,'Make Factors'!$B$5:$B$69,0)),"?"))</f>
        <v/>
      </c>
      <c r="BA254" s="99" t="str">
        <f>IF($A254="","",IFERROR(INDEX('Driver Factors'!$C$6:$C$15,MATCH($R254,'Driver Factors'!$B$6:$B$15,0)),"?"))</f>
        <v/>
      </c>
      <c r="BB254" s="99" t="str">
        <f>IF($A254="","",IFERROR(INDEX('Driver Factors'!$C$19:$C$24,MATCH($S254,'Driver Factors'!$B$19:$B$24,0)),"?"))</f>
        <v/>
      </c>
      <c r="BC254" s="99" t="str">
        <f>IF($A254="","",IFERROR(INDEX('Driver Factors'!$C$28:$C$36,MATCH($T254,'Driver Factors'!$B$28:$B$36,0)),"?"))</f>
        <v/>
      </c>
      <c r="BD254" s="99" t="str">
        <f>IF($A254="","",IFERROR(INDEX('Claims History'!$C$6:$C$15,MATCH($U254,'Claims History'!$B$6:$B$15,0)),"?"))</f>
        <v/>
      </c>
      <c r="BE254" s="99" t="str">
        <f>IF($A254="","",IFERROR(INDEX('Territory Factors'!$E$6:$E$56,MATCH($K254,'Territory Factors'!$B$6:$B$56,0)),"?"))</f>
        <v/>
      </c>
      <c r="BF254" s="99" t="str">
        <f>IF($A254="","",IFERROR(INDEX('City Accident Ratings'!$G$6:$G$54,MATCH($Z254,'City Accident Ratings'!$B$6:$B$54,0)),"?"))</f>
        <v/>
      </c>
      <c r="BG254" s="99" t="str">
        <f>IF($A254="","",IFERROR(INDEX('Usage and Coverage'!$D$6:$D$20,MATCH($N254,'Usage and Coverage'!$C$6:$C$20,0)),"?"))</f>
        <v/>
      </c>
      <c r="BH254" s="99" t="str">
        <f>IF($A254="","",IFERROR(INDEX('Usage and Coverage'!$C$24:$C$30,MATCH($O254,'Usage and Coverage'!$B$24:$B$30,0)),"?"))</f>
        <v/>
      </c>
      <c r="BI254" s="99" t="str">
        <f>IF($A254="","",IFERROR(INDEX('Usage and Coverage'!$C$34:$C$40,MATCH($P254,'Usage and Coverage'!$B$34:$B$40,0)),"?"))</f>
        <v/>
      </c>
      <c r="BJ254" s="99" t="str">
        <f>IF($A254="","",IFERROR(INDEX('Usage and Coverage'!$C$44:$C$49,MATCH($Q254,'Usage and Coverage'!$B$44:$B$49,0)),"?"))</f>
        <v/>
      </c>
      <c r="BK254" s="99" t="str">
        <f>IF($A254="","",IFERROR(INDEX(Deductibles!$C$6:$I$15,MATCH($W254,Deductibles!$B$6:$B$15,0),MATCH(MAX($J254,'Technical Premium'!$C$18),'Base Rates'!$C$3:$I$3,1)),"?"))</f>
        <v/>
      </c>
      <c r="BL254" s="99" t="str">
        <f>IF($A254="","",IFERROR(INDEX('Usage and Coverage'!$C$63:$C$66,MATCH($X254,'Usage and Coverage'!$B$63:$B$66,0)),"?"))</f>
        <v/>
      </c>
      <c r="BM254" s="99" t="str">
        <f>IF($A254="","",IFERROR(INDEX('Usage and Coverage'!$C$70:$C$75,MATCH($V254,'Usage and Coverage'!$B$70:$B$75,0)),"?"))</f>
        <v/>
      </c>
      <c r="BN254" s="99" t="str">
        <f>IF($A254="","",IF($AB254="",1,IFERROR(INDEX(Deductibles!$C$48:$C$51,MATCH($AB254,Deductibles!$B$48:$B$51,0)),"?")))</f>
        <v/>
      </c>
      <c r="BO254" s="99" t="str">
        <f>IF($A254="","",IF($AC254="",1,IFERROR(INDEX(Deductibles!$C$55:$C$57,MATCH($AC254,Deductibles!$B$55:$B$57,0)),"?")))</f>
        <v/>
      </c>
      <c r="BP254" s="99" t="str">
        <f>IF($A254="","",IF($AD254="",1,IFERROR(INDEX(Deductibles!$C$61:$C$63,MATCH($AD254,Deductibles!$B$61:$B$63,0)),"?")))</f>
        <v/>
      </c>
      <c r="BQ254" s="99" t="str">
        <f>IF($A254="","",IF($AE254="",1,IFERROR(INDEX(Deductibles!$C$67:$C$69,MATCH($AE254,Deductibles!$B$67:$B$69,0)),"?")))</f>
        <v/>
      </c>
      <c r="BR254" s="99" t="str">
        <f>IF($A254="","",IF($AF254="",1,IFERROR(INDEX(Deductibles!$C$73:$C$74,MATCH($AF254,Deductibles!$B$73:$B$74,0)),"?")))</f>
        <v/>
      </c>
      <c r="BS254" s="99" t="str">
        <f>IF($A254="","",IF($AG254="",1,IFERROR(INDEX('Sublimits and Parts'!$C$49:$C$52,MATCH($AG254,'Sublimits and Parts'!$B$49:$B$52,0)),"?")))</f>
        <v/>
      </c>
      <c r="BT254" s="99" t="str">
        <f>IF($A254="","",IF($AH254="",1,IFERROR(INDEX('Sublimits and Parts'!$C$56:$C$60,MATCH($AH254,'Sublimits and Parts'!$B$56:$B$60,0)),"?")))</f>
        <v/>
      </c>
      <c r="BU254" s="99" t="str">
        <f>IF($A254="","",IF($AI254="",1,IFERROR(INDEX('Sublimits and Parts'!$C$64:$C$67,MATCH($AI254,'Sublimits and Parts'!$B$64:$B$67,0)),"?")))</f>
        <v/>
      </c>
      <c r="BV254" s="99" t="str">
        <f>IF($A254="","",IF($AJ254="",1,IFERROR(INDEX('Sublimits and Parts'!$C$71:$C$74,MATCH($AJ254,'Sublimits and Parts'!$B$71:$B$74,0)),"?")))</f>
        <v/>
      </c>
      <c r="BW254" s="99" t="str">
        <f>IF($A254="","",IF($AK254="",1,IFERROR(INDEX('Sublimits and Parts'!$C$78:$C$80,MATCH($AK254,'Sublimits and Parts'!$B$78:$B$80,0)),"?")))</f>
        <v/>
      </c>
      <c r="BX254" s="99" t="str">
        <f>IF($A254="","",IF($AL254="",1,IFERROR(INDEX('Sublimits and Parts'!$C$84:$C$87,MATCH($AL254,'Sublimits and Parts'!$B$84:$B$87,0)),"?")))</f>
        <v/>
      </c>
      <c r="BY254" s="99" t="str">
        <f>IF($A254="","",IF($AM254="",1,IFERROR(INDEX('Sublimits and Parts'!$C$91:$C$94,MATCH($AM254,'Sublimits and Parts'!$B$91:$B$94,0)),"?")))</f>
        <v/>
      </c>
      <c r="BZ254" s="99" t="str">
        <f>IF($A254="","",IF($AN254="",1,IFERROR(INDEX('Sublimits and Parts'!$C$98:$C$101,MATCH($AN254,'Sublimits and Parts'!$B$98:$B$101,0)),"?")))</f>
        <v/>
      </c>
      <c r="CA254" s="99" t="str">
        <f>IF($A254="","",IF($AO254="",1,IFERROR(INDEX('Sublimits and Parts'!$C$105:$C$109,MATCH($AO254,'Sublimits and Parts'!$B$105:$B$109,0)),"?")))</f>
        <v/>
      </c>
      <c r="CB254" s="100" t="str">
        <f t="shared" si="41"/>
        <v/>
      </c>
      <c r="CC254" s="100" t="str">
        <f t="shared" si="42"/>
        <v/>
      </c>
      <c r="CD254" s="103" t="str">
        <f>IF($A254="","",IF(OR($CB254="?",$CC254="?"),"?",MIN($CB254*$CC254,'Technical Premium'!$C$17)))</f>
        <v/>
      </c>
      <c r="CE254" s="102" t="str">
        <f t="shared" si="43"/>
        <v/>
      </c>
      <c r="CF254" s="102" t="str">
        <f>IF($A254="","",IFERROR(INDEX('Territory Factors'!$F$6:$F$56,MATCH($K254,'Territory Factors'!$B$6:$B$56,0)),"?"))</f>
        <v/>
      </c>
      <c r="CG254" s="100" t="str">
        <f>IF($A254="","",IFERROR(INDEX('Usage and Coverage'!$C$79:$C$84,MATCH($Y254,'Usage and Coverage'!$B$79:$B$84,0)),"?"))</f>
        <v/>
      </c>
      <c r="CH254" s="102" t="str">
        <f>IFERROR(IF(ISNUMBER($CD254),$CF254*$CG254*MIN($BG254*$BA254*$BC254*$BD254*$BH254*$BF254,'Technical Premium'!$C$17),""),"")</f>
        <v/>
      </c>
      <c r="CI254" s="102" t="str">
        <f t="shared" si="44"/>
        <v/>
      </c>
      <c r="CJ254" s="102" t="str">
        <f>IFERROR($CI254*(1+'Technical Premium'!$C$5)*(1+'Technical Premium'!$C$6),"")</f>
        <v/>
      </c>
      <c r="CK254" s="102" t="str">
        <f>IFERROR($CE254*INDEX('Territory Factors'!$G$6:$G$56,MATCH($K254,'Territory Factors'!$B$6:$B$56,0))*$AU254*$AV254,"")</f>
        <v/>
      </c>
      <c r="CL254" s="102" t="str">
        <f>IFERROR(($CJ254+$CK254)*(1+'Technical Premium'!$C$7),"")</f>
        <v/>
      </c>
      <c r="CM254" s="104" t="str">
        <f>IFERROR($CL254/'Technical Premium'!$C$13,"")</f>
        <v/>
      </c>
      <c r="CN254" s="105" t="str">
        <f t="shared" si="45"/>
        <v/>
      </c>
      <c r="CO254" s="104" t="str">
        <f t="shared" si="46"/>
        <v/>
      </c>
      <c r="CP254" s="105" t="str">
        <f t="shared" si="47"/>
        <v/>
      </c>
      <c r="CQ254" s="106" t="str">
        <f t="shared" si="48"/>
        <v/>
      </c>
      <c r="CR254" s="102" t="str">
        <f>IF(ISNUMBER($CM254),'Technical Premium'!$C$14+IF($J254&gt;=1000000,'Technical Premium'!$C$15,0),"")</f>
        <v/>
      </c>
      <c r="CS254" s="102" t="str">
        <f>IFERROR(($CO254+$CR254)*(INDEX('Territory Factors'!$K$6:$K$56,MATCH($K254,'Territory Factors'!$B$6:$B$56,0))+'Commission Structure'!$C$21),"")</f>
        <v/>
      </c>
      <c r="CT254" s="104" t="str">
        <f t="shared" si="49"/>
        <v/>
      </c>
      <c r="CU254" s="102" t="str">
        <f>IFERROR($CO254*('Commission Structure'!$C$6+'Commission Structure'!$C$7),"")</f>
        <v/>
      </c>
      <c r="CV254" s="102" t="str">
        <f>IFERROR($CO254*'Commission Structure'!$C$5-$CU254,"")</f>
        <v/>
      </c>
      <c r="CW254" s="102" t="str">
        <f>IFERROR($CO254*(1-'Commission Structure'!$C$5),"")</f>
        <v/>
      </c>
      <c r="CX254" s="107"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8" t="str">
        <f t="shared" si="50"/>
        <v/>
      </c>
      <c r="CZ254" s="99" t="str">
        <f>IF($CY254="","",IF($CY254&lt;'Technical Premium'!$C$19,"BEYOND AUTHORITY",IF($CY254&gt;0.005,"Above technical",IF($CY254&lt;-0.005,"BELOW technical","At technical"))))</f>
        <v/>
      </c>
      <c r="DA254" s="99"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4"/>
      <c r="DC254" s="94"/>
      <c r="DD254" s="95"/>
      <c r="DE254" s="94"/>
      <c r="DF254" s="94"/>
      <c r="DG254" s="99" t="str">
        <f t="shared" si="51"/>
        <v/>
      </c>
      <c r="DH254" s="99" t="str">
        <f>IF($A254="","",IF(OR($CX254="REFER",$CX254="DECLINE"),COUNTIF($CX$5:$CX254,"REFER")+COUNTIF($CX$5:$CX254,"DECLINE"),""))</f>
        <v/>
      </c>
      <c r="DI254" s="94"/>
    </row>
    <row r="255" spans="1:113" x14ac:dyDescent="0.35">
      <c r="A255" s="94"/>
      <c r="B255" s="94"/>
      <c r="C255" s="95"/>
      <c r="D255" s="95"/>
      <c r="E255" s="96"/>
      <c r="F255" s="94"/>
      <c r="G255" s="94"/>
      <c r="H255" s="94"/>
      <c r="I255" s="94"/>
      <c r="J255" s="97"/>
      <c r="K255" s="94"/>
      <c r="L255" s="94"/>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8"/>
      <c r="AR255" s="99" t="str">
        <f t="shared" si="39"/>
        <v/>
      </c>
      <c r="AS255" s="99" t="str">
        <f>IF($A255="","",IF($AP255&lt;&gt;"",$AP255,IFERROR(INDEX('Cat Zone by ZIP'!$D$6:$D$856,MATCH($AR255,'Cat Zone by ZIP'!$B$6:$B$856,0)),IFERROR(INDEX('Cat Zone by ZIP'!$C$860:$C$910,MATCH($K255,'Cat Zone by ZIP'!$B$860:$B$910,0)),"NOT FOUND"))))</f>
        <v/>
      </c>
      <c r="AT255" s="99" t="str">
        <f>IF($A255="","",IF($AP255&lt;&gt;"","Override",IF(ISNUMBER(MATCH($AR255,'Cat Zone by ZIP'!$B$6:$B$856,0)),"ZIP-3","State default")))</f>
        <v/>
      </c>
      <c r="AU255" s="100" t="str">
        <f>IF($A255="","",IFERROR(INDEX('Natural Catastrophe'!$D$6:$D$17,MATCH($AS255,'Natural Catastrophe'!$B$6:$B$17,0)),"?"))</f>
        <v/>
      </c>
      <c r="AV255" s="100" t="str">
        <f>IF($A255="","",IFERROR(INDEX('Natural Catastrophe'!$C$21:$C$26,MATCH($AA255,'Natural Catastrophe'!$B$21:$B$26,0)),"?"))</f>
        <v/>
      </c>
      <c r="AW255" s="99" t="str">
        <f>IF($A255="","",IFERROR(INDEX('Base Rates'!$C$4:$I$4,MATCH(MAX($J255,'Technical Premium'!$C$18),'Base Rates'!$C$3:$I$3,1)),"?"))</f>
        <v/>
      </c>
      <c r="AX255" s="101" t="str">
        <f>IF($A255="","",IFERROR(INDEX('Base Rates'!$C$5:$I$16,MATCH($I255,'Base Rates'!$B$5:$B$16,0),MATCH(MAX($J255,'Technical Premium'!$C$18),'Base Rates'!$C$3:$I$3,1)),"?"))</f>
        <v/>
      </c>
      <c r="AY255" s="102" t="str">
        <f t="shared" si="40"/>
        <v/>
      </c>
      <c r="AZ255" s="99" t="str">
        <f>IF($A255="","",IFERROR(INDEX('Make Factors'!$G$5:$G$69,MATCH($F255,'Make Factors'!$B$5:$B$69,0)),"?"))</f>
        <v/>
      </c>
      <c r="BA255" s="99" t="str">
        <f>IF($A255="","",IFERROR(INDEX('Driver Factors'!$C$6:$C$15,MATCH($R255,'Driver Factors'!$B$6:$B$15,0)),"?"))</f>
        <v/>
      </c>
      <c r="BB255" s="99" t="str">
        <f>IF($A255="","",IFERROR(INDEX('Driver Factors'!$C$19:$C$24,MATCH($S255,'Driver Factors'!$B$19:$B$24,0)),"?"))</f>
        <v/>
      </c>
      <c r="BC255" s="99" t="str">
        <f>IF($A255="","",IFERROR(INDEX('Driver Factors'!$C$28:$C$36,MATCH($T255,'Driver Factors'!$B$28:$B$36,0)),"?"))</f>
        <v/>
      </c>
      <c r="BD255" s="99" t="str">
        <f>IF($A255="","",IFERROR(INDEX('Claims History'!$C$6:$C$15,MATCH($U255,'Claims History'!$B$6:$B$15,0)),"?"))</f>
        <v/>
      </c>
      <c r="BE255" s="99" t="str">
        <f>IF($A255="","",IFERROR(INDEX('Territory Factors'!$E$6:$E$56,MATCH($K255,'Territory Factors'!$B$6:$B$56,0)),"?"))</f>
        <v/>
      </c>
      <c r="BF255" s="99" t="str">
        <f>IF($A255="","",IFERROR(INDEX('City Accident Ratings'!$G$6:$G$54,MATCH($Z255,'City Accident Ratings'!$B$6:$B$54,0)),"?"))</f>
        <v/>
      </c>
      <c r="BG255" s="99" t="str">
        <f>IF($A255="","",IFERROR(INDEX('Usage and Coverage'!$D$6:$D$20,MATCH($N255,'Usage and Coverage'!$C$6:$C$20,0)),"?"))</f>
        <v/>
      </c>
      <c r="BH255" s="99" t="str">
        <f>IF($A255="","",IFERROR(INDEX('Usage and Coverage'!$C$24:$C$30,MATCH($O255,'Usage and Coverage'!$B$24:$B$30,0)),"?"))</f>
        <v/>
      </c>
      <c r="BI255" s="99" t="str">
        <f>IF($A255="","",IFERROR(INDEX('Usage and Coverage'!$C$34:$C$40,MATCH($P255,'Usage and Coverage'!$B$34:$B$40,0)),"?"))</f>
        <v/>
      </c>
      <c r="BJ255" s="99" t="str">
        <f>IF($A255="","",IFERROR(INDEX('Usage and Coverage'!$C$44:$C$49,MATCH($Q255,'Usage and Coverage'!$B$44:$B$49,0)),"?"))</f>
        <v/>
      </c>
      <c r="BK255" s="99" t="str">
        <f>IF($A255="","",IFERROR(INDEX(Deductibles!$C$6:$I$15,MATCH($W255,Deductibles!$B$6:$B$15,0),MATCH(MAX($J255,'Technical Premium'!$C$18),'Base Rates'!$C$3:$I$3,1)),"?"))</f>
        <v/>
      </c>
      <c r="BL255" s="99" t="str">
        <f>IF($A255="","",IFERROR(INDEX('Usage and Coverage'!$C$63:$C$66,MATCH($X255,'Usage and Coverage'!$B$63:$B$66,0)),"?"))</f>
        <v/>
      </c>
      <c r="BM255" s="99" t="str">
        <f>IF($A255="","",IFERROR(INDEX('Usage and Coverage'!$C$70:$C$75,MATCH($V255,'Usage and Coverage'!$B$70:$B$75,0)),"?"))</f>
        <v/>
      </c>
      <c r="BN255" s="99" t="str">
        <f>IF($A255="","",IF($AB255="",1,IFERROR(INDEX(Deductibles!$C$48:$C$51,MATCH($AB255,Deductibles!$B$48:$B$51,0)),"?")))</f>
        <v/>
      </c>
      <c r="BO255" s="99" t="str">
        <f>IF($A255="","",IF($AC255="",1,IFERROR(INDEX(Deductibles!$C$55:$C$57,MATCH($AC255,Deductibles!$B$55:$B$57,0)),"?")))</f>
        <v/>
      </c>
      <c r="BP255" s="99" t="str">
        <f>IF($A255="","",IF($AD255="",1,IFERROR(INDEX(Deductibles!$C$61:$C$63,MATCH($AD255,Deductibles!$B$61:$B$63,0)),"?")))</f>
        <v/>
      </c>
      <c r="BQ255" s="99" t="str">
        <f>IF($A255="","",IF($AE255="",1,IFERROR(INDEX(Deductibles!$C$67:$C$69,MATCH($AE255,Deductibles!$B$67:$B$69,0)),"?")))</f>
        <v/>
      </c>
      <c r="BR255" s="99" t="str">
        <f>IF($A255="","",IF($AF255="",1,IFERROR(INDEX(Deductibles!$C$73:$C$74,MATCH($AF255,Deductibles!$B$73:$B$74,0)),"?")))</f>
        <v/>
      </c>
      <c r="BS255" s="99" t="str">
        <f>IF($A255="","",IF($AG255="",1,IFERROR(INDEX('Sublimits and Parts'!$C$49:$C$52,MATCH($AG255,'Sublimits and Parts'!$B$49:$B$52,0)),"?")))</f>
        <v/>
      </c>
      <c r="BT255" s="99" t="str">
        <f>IF($A255="","",IF($AH255="",1,IFERROR(INDEX('Sublimits and Parts'!$C$56:$C$60,MATCH($AH255,'Sublimits and Parts'!$B$56:$B$60,0)),"?")))</f>
        <v/>
      </c>
      <c r="BU255" s="99" t="str">
        <f>IF($A255="","",IF($AI255="",1,IFERROR(INDEX('Sublimits and Parts'!$C$64:$C$67,MATCH($AI255,'Sublimits and Parts'!$B$64:$B$67,0)),"?")))</f>
        <v/>
      </c>
      <c r="BV255" s="99" t="str">
        <f>IF($A255="","",IF($AJ255="",1,IFERROR(INDEX('Sublimits and Parts'!$C$71:$C$74,MATCH($AJ255,'Sublimits and Parts'!$B$71:$B$74,0)),"?")))</f>
        <v/>
      </c>
      <c r="BW255" s="99" t="str">
        <f>IF($A255="","",IF($AK255="",1,IFERROR(INDEX('Sublimits and Parts'!$C$78:$C$80,MATCH($AK255,'Sublimits and Parts'!$B$78:$B$80,0)),"?")))</f>
        <v/>
      </c>
      <c r="BX255" s="99" t="str">
        <f>IF($A255="","",IF($AL255="",1,IFERROR(INDEX('Sublimits and Parts'!$C$84:$C$87,MATCH($AL255,'Sublimits and Parts'!$B$84:$B$87,0)),"?")))</f>
        <v/>
      </c>
      <c r="BY255" s="99" t="str">
        <f>IF($A255="","",IF($AM255="",1,IFERROR(INDEX('Sublimits and Parts'!$C$91:$C$94,MATCH($AM255,'Sublimits and Parts'!$B$91:$B$94,0)),"?")))</f>
        <v/>
      </c>
      <c r="BZ255" s="99" t="str">
        <f>IF($A255="","",IF($AN255="",1,IFERROR(INDEX('Sublimits and Parts'!$C$98:$C$101,MATCH($AN255,'Sublimits and Parts'!$B$98:$B$101,0)),"?")))</f>
        <v/>
      </c>
      <c r="CA255" s="99" t="str">
        <f>IF($A255="","",IF($AO255="",1,IFERROR(INDEX('Sublimits and Parts'!$C$105:$C$109,MATCH($AO255,'Sublimits and Parts'!$B$105:$B$109,0)),"?")))</f>
        <v/>
      </c>
      <c r="CB255" s="100" t="str">
        <f t="shared" si="41"/>
        <v/>
      </c>
      <c r="CC255" s="100" t="str">
        <f t="shared" si="42"/>
        <v/>
      </c>
      <c r="CD255" s="103" t="str">
        <f>IF($A255="","",IF(OR($CB255="?",$CC255="?"),"?",MIN($CB255*$CC255,'Technical Premium'!$C$17)))</f>
        <v/>
      </c>
      <c r="CE255" s="102" t="str">
        <f t="shared" si="43"/>
        <v/>
      </c>
      <c r="CF255" s="102" t="str">
        <f>IF($A255="","",IFERROR(INDEX('Territory Factors'!$F$6:$F$56,MATCH($K255,'Territory Factors'!$B$6:$B$56,0)),"?"))</f>
        <v/>
      </c>
      <c r="CG255" s="100" t="str">
        <f>IF($A255="","",IFERROR(INDEX('Usage and Coverage'!$C$79:$C$84,MATCH($Y255,'Usage and Coverage'!$B$79:$B$84,0)),"?"))</f>
        <v/>
      </c>
      <c r="CH255" s="102" t="str">
        <f>IFERROR(IF(ISNUMBER($CD255),$CF255*$CG255*MIN($BG255*$BA255*$BC255*$BD255*$BH255*$BF255,'Technical Premium'!$C$17),""),"")</f>
        <v/>
      </c>
      <c r="CI255" s="102" t="str">
        <f t="shared" si="44"/>
        <v/>
      </c>
      <c r="CJ255" s="102" t="str">
        <f>IFERROR($CI255*(1+'Technical Premium'!$C$5)*(1+'Technical Premium'!$C$6),"")</f>
        <v/>
      </c>
      <c r="CK255" s="102" t="str">
        <f>IFERROR($CE255*INDEX('Territory Factors'!$G$6:$G$56,MATCH($K255,'Territory Factors'!$B$6:$B$56,0))*$AU255*$AV255,"")</f>
        <v/>
      </c>
      <c r="CL255" s="102" t="str">
        <f>IFERROR(($CJ255+$CK255)*(1+'Technical Premium'!$C$7),"")</f>
        <v/>
      </c>
      <c r="CM255" s="104" t="str">
        <f>IFERROR($CL255/'Technical Premium'!$C$13,"")</f>
        <v/>
      </c>
      <c r="CN255" s="105" t="str">
        <f t="shared" si="45"/>
        <v/>
      </c>
      <c r="CO255" s="104" t="str">
        <f t="shared" si="46"/>
        <v/>
      </c>
      <c r="CP255" s="105" t="str">
        <f t="shared" si="47"/>
        <v/>
      </c>
      <c r="CQ255" s="106" t="str">
        <f t="shared" si="48"/>
        <v/>
      </c>
      <c r="CR255" s="102" t="str">
        <f>IF(ISNUMBER($CM255),'Technical Premium'!$C$14+IF($J255&gt;=1000000,'Technical Premium'!$C$15,0),"")</f>
        <v/>
      </c>
      <c r="CS255" s="102" t="str">
        <f>IFERROR(($CO255+$CR255)*(INDEX('Territory Factors'!$K$6:$K$56,MATCH($K255,'Territory Factors'!$B$6:$B$56,0))+'Commission Structure'!$C$21),"")</f>
        <v/>
      </c>
      <c r="CT255" s="104" t="str">
        <f t="shared" si="49"/>
        <v/>
      </c>
      <c r="CU255" s="102" t="str">
        <f>IFERROR($CO255*('Commission Structure'!$C$6+'Commission Structure'!$C$7),"")</f>
        <v/>
      </c>
      <c r="CV255" s="102" t="str">
        <f>IFERROR($CO255*'Commission Structure'!$C$5-$CU255,"")</f>
        <v/>
      </c>
      <c r="CW255" s="102" t="str">
        <f>IFERROR($CO255*(1-'Commission Structure'!$C$5),"")</f>
        <v/>
      </c>
      <c r="CX255" s="107"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8" t="str">
        <f t="shared" si="50"/>
        <v/>
      </c>
      <c r="CZ255" s="99" t="str">
        <f>IF($CY255="","",IF($CY255&lt;'Technical Premium'!$C$19,"BEYOND AUTHORITY",IF($CY255&gt;0.005,"Above technical",IF($CY255&lt;-0.005,"BELOW technical","At technical"))))</f>
        <v/>
      </c>
      <c r="DA255" s="99"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4"/>
      <c r="DC255" s="94"/>
      <c r="DD255" s="95"/>
      <c r="DE255" s="94"/>
      <c r="DF255" s="94"/>
      <c r="DG255" s="99" t="str">
        <f t="shared" si="51"/>
        <v/>
      </c>
      <c r="DH255" s="99" t="str">
        <f>IF($A255="","",IF(OR($CX255="REFER",$CX255="DECLINE"),COUNTIF($CX$5:$CX255,"REFER")+COUNTIF($CX$5:$CX255,"DECLINE"),""))</f>
        <v/>
      </c>
      <c r="DI255" s="94"/>
    </row>
    <row r="256" spans="1:113" x14ac:dyDescent="0.35">
      <c r="A256" s="94"/>
      <c r="B256" s="94"/>
      <c r="C256" s="95"/>
      <c r="D256" s="95"/>
      <c r="E256" s="96"/>
      <c r="F256" s="94"/>
      <c r="G256" s="94"/>
      <c r="H256" s="94"/>
      <c r="I256" s="94"/>
      <c r="J256" s="97"/>
      <c r="K256" s="94"/>
      <c r="L256" s="94"/>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8"/>
      <c r="AR256" s="99" t="str">
        <f t="shared" si="39"/>
        <v/>
      </c>
      <c r="AS256" s="99" t="str">
        <f>IF($A256="","",IF($AP256&lt;&gt;"",$AP256,IFERROR(INDEX('Cat Zone by ZIP'!$D$6:$D$856,MATCH($AR256,'Cat Zone by ZIP'!$B$6:$B$856,0)),IFERROR(INDEX('Cat Zone by ZIP'!$C$860:$C$910,MATCH($K256,'Cat Zone by ZIP'!$B$860:$B$910,0)),"NOT FOUND"))))</f>
        <v/>
      </c>
      <c r="AT256" s="99" t="str">
        <f>IF($A256="","",IF($AP256&lt;&gt;"","Override",IF(ISNUMBER(MATCH($AR256,'Cat Zone by ZIP'!$B$6:$B$856,0)),"ZIP-3","State default")))</f>
        <v/>
      </c>
      <c r="AU256" s="100" t="str">
        <f>IF($A256="","",IFERROR(INDEX('Natural Catastrophe'!$D$6:$D$17,MATCH($AS256,'Natural Catastrophe'!$B$6:$B$17,0)),"?"))</f>
        <v/>
      </c>
      <c r="AV256" s="100" t="str">
        <f>IF($A256="","",IFERROR(INDEX('Natural Catastrophe'!$C$21:$C$26,MATCH($AA256,'Natural Catastrophe'!$B$21:$B$26,0)),"?"))</f>
        <v/>
      </c>
      <c r="AW256" s="99" t="str">
        <f>IF($A256="","",IFERROR(INDEX('Base Rates'!$C$4:$I$4,MATCH(MAX($J256,'Technical Premium'!$C$18),'Base Rates'!$C$3:$I$3,1)),"?"))</f>
        <v/>
      </c>
      <c r="AX256" s="101" t="str">
        <f>IF($A256="","",IFERROR(INDEX('Base Rates'!$C$5:$I$16,MATCH($I256,'Base Rates'!$B$5:$B$16,0),MATCH(MAX($J256,'Technical Premium'!$C$18),'Base Rates'!$C$3:$I$3,1)),"?"))</f>
        <v/>
      </c>
      <c r="AY256" s="102" t="str">
        <f t="shared" si="40"/>
        <v/>
      </c>
      <c r="AZ256" s="99" t="str">
        <f>IF($A256="","",IFERROR(INDEX('Make Factors'!$G$5:$G$69,MATCH($F256,'Make Factors'!$B$5:$B$69,0)),"?"))</f>
        <v/>
      </c>
      <c r="BA256" s="99" t="str">
        <f>IF($A256="","",IFERROR(INDEX('Driver Factors'!$C$6:$C$15,MATCH($R256,'Driver Factors'!$B$6:$B$15,0)),"?"))</f>
        <v/>
      </c>
      <c r="BB256" s="99" t="str">
        <f>IF($A256="","",IFERROR(INDEX('Driver Factors'!$C$19:$C$24,MATCH($S256,'Driver Factors'!$B$19:$B$24,0)),"?"))</f>
        <v/>
      </c>
      <c r="BC256" s="99" t="str">
        <f>IF($A256="","",IFERROR(INDEX('Driver Factors'!$C$28:$C$36,MATCH($T256,'Driver Factors'!$B$28:$B$36,0)),"?"))</f>
        <v/>
      </c>
      <c r="BD256" s="99" t="str">
        <f>IF($A256="","",IFERROR(INDEX('Claims History'!$C$6:$C$15,MATCH($U256,'Claims History'!$B$6:$B$15,0)),"?"))</f>
        <v/>
      </c>
      <c r="BE256" s="99" t="str">
        <f>IF($A256="","",IFERROR(INDEX('Territory Factors'!$E$6:$E$56,MATCH($K256,'Territory Factors'!$B$6:$B$56,0)),"?"))</f>
        <v/>
      </c>
      <c r="BF256" s="99" t="str">
        <f>IF($A256="","",IFERROR(INDEX('City Accident Ratings'!$G$6:$G$54,MATCH($Z256,'City Accident Ratings'!$B$6:$B$54,0)),"?"))</f>
        <v/>
      </c>
      <c r="BG256" s="99" t="str">
        <f>IF($A256="","",IFERROR(INDEX('Usage and Coverage'!$D$6:$D$20,MATCH($N256,'Usage and Coverage'!$C$6:$C$20,0)),"?"))</f>
        <v/>
      </c>
      <c r="BH256" s="99" t="str">
        <f>IF($A256="","",IFERROR(INDEX('Usage and Coverage'!$C$24:$C$30,MATCH($O256,'Usage and Coverage'!$B$24:$B$30,0)),"?"))</f>
        <v/>
      </c>
      <c r="BI256" s="99" t="str">
        <f>IF($A256="","",IFERROR(INDEX('Usage and Coverage'!$C$34:$C$40,MATCH($P256,'Usage and Coverage'!$B$34:$B$40,0)),"?"))</f>
        <v/>
      </c>
      <c r="BJ256" s="99" t="str">
        <f>IF($A256="","",IFERROR(INDEX('Usage and Coverage'!$C$44:$C$49,MATCH($Q256,'Usage and Coverage'!$B$44:$B$49,0)),"?"))</f>
        <v/>
      </c>
      <c r="BK256" s="99" t="str">
        <f>IF($A256="","",IFERROR(INDEX(Deductibles!$C$6:$I$15,MATCH($W256,Deductibles!$B$6:$B$15,0),MATCH(MAX($J256,'Technical Premium'!$C$18),'Base Rates'!$C$3:$I$3,1)),"?"))</f>
        <v/>
      </c>
      <c r="BL256" s="99" t="str">
        <f>IF($A256="","",IFERROR(INDEX('Usage and Coverage'!$C$63:$C$66,MATCH($X256,'Usage and Coverage'!$B$63:$B$66,0)),"?"))</f>
        <v/>
      </c>
      <c r="BM256" s="99" t="str">
        <f>IF($A256="","",IFERROR(INDEX('Usage and Coverage'!$C$70:$C$75,MATCH($V256,'Usage and Coverage'!$B$70:$B$75,0)),"?"))</f>
        <v/>
      </c>
      <c r="BN256" s="99" t="str">
        <f>IF($A256="","",IF($AB256="",1,IFERROR(INDEX(Deductibles!$C$48:$C$51,MATCH($AB256,Deductibles!$B$48:$B$51,0)),"?")))</f>
        <v/>
      </c>
      <c r="BO256" s="99" t="str">
        <f>IF($A256="","",IF($AC256="",1,IFERROR(INDEX(Deductibles!$C$55:$C$57,MATCH($AC256,Deductibles!$B$55:$B$57,0)),"?")))</f>
        <v/>
      </c>
      <c r="BP256" s="99" t="str">
        <f>IF($A256="","",IF($AD256="",1,IFERROR(INDEX(Deductibles!$C$61:$C$63,MATCH($AD256,Deductibles!$B$61:$B$63,0)),"?")))</f>
        <v/>
      </c>
      <c r="BQ256" s="99" t="str">
        <f>IF($A256="","",IF($AE256="",1,IFERROR(INDEX(Deductibles!$C$67:$C$69,MATCH($AE256,Deductibles!$B$67:$B$69,0)),"?")))</f>
        <v/>
      </c>
      <c r="BR256" s="99" t="str">
        <f>IF($A256="","",IF($AF256="",1,IFERROR(INDEX(Deductibles!$C$73:$C$74,MATCH($AF256,Deductibles!$B$73:$B$74,0)),"?")))</f>
        <v/>
      </c>
      <c r="BS256" s="99" t="str">
        <f>IF($A256="","",IF($AG256="",1,IFERROR(INDEX('Sublimits and Parts'!$C$49:$C$52,MATCH($AG256,'Sublimits and Parts'!$B$49:$B$52,0)),"?")))</f>
        <v/>
      </c>
      <c r="BT256" s="99" t="str">
        <f>IF($A256="","",IF($AH256="",1,IFERROR(INDEX('Sublimits and Parts'!$C$56:$C$60,MATCH($AH256,'Sublimits and Parts'!$B$56:$B$60,0)),"?")))</f>
        <v/>
      </c>
      <c r="BU256" s="99" t="str">
        <f>IF($A256="","",IF($AI256="",1,IFERROR(INDEX('Sublimits and Parts'!$C$64:$C$67,MATCH($AI256,'Sublimits and Parts'!$B$64:$B$67,0)),"?")))</f>
        <v/>
      </c>
      <c r="BV256" s="99" t="str">
        <f>IF($A256="","",IF($AJ256="",1,IFERROR(INDEX('Sublimits and Parts'!$C$71:$C$74,MATCH($AJ256,'Sublimits and Parts'!$B$71:$B$74,0)),"?")))</f>
        <v/>
      </c>
      <c r="BW256" s="99" t="str">
        <f>IF($A256="","",IF($AK256="",1,IFERROR(INDEX('Sublimits and Parts'!$C$78:$C$80,MATCH($AK256,'Sublimits and Parts'!$B$78:$B$80,0)),"?")))</f>
        <v/>
      </c>
      <c r="BX256" s="99" t="str">
        <f>IF($A256="","",IF($AL256="",1,IFERROR(INDEX('Sublimits and Parts'!$C$84:$C$87,MATCH($AL256,'Sublimits and Parts'!$B$84:$B$87,0)),"?")))</f>
        <v/>
      </c>
      <c r="BY256" s="99" t="str">
        <f>IF($A256="","",IF($AM256="",1,IFERROR(INDEX('Sublimits and Parts'!$C$91:$C$94,MATCH($AM256,'Sublimits and Parts'!$B$91:$B$94,0)),"?")))</f>
        <v/>
      </c>
      <c r="BZ256" s="99" t="str">
        <f>IF($A256="","",IF($AN256="",1,IFERROR(INDEX('Sublimits and Parts'!$C$98:$C$101,MATCH($AN256,'Sublimits and Parts'!$B$98:$B$101,0)),"?")))</f>
        <v/>
      </c>
      <c r="CA256" s="99" t="str">
        <f>IF($A256="","",IF($AO256="",1,IFERROR(INDEX('Sublimits and Parts'!$C$105:$C$109,MATCH($AO256,'Sublimits and Parts'!$B$105:$B$109,0)),"?")))</f>
        <v/>
      </c>
      <c r="CB256" s="100" t="str">
        <f t="shared" si="41"/>
        <v/>
      </c>
      <c r="CC256" s="100" t="str">
        <f t="shared" si="42"/>
        <v/>
      </c>
      <c r="CD256" s="103" t="str">
        <f>IF($A256="","",IF(OR($CB256="?",$CC256="?"),"?",MIN($CB256*$CC256,'Technical Premium'!$C$17)))</f>
        <v/>
      </c>
      <c r="CE256" s="102" t="str">
        <f t="shared" si="43"/>
        <v/>
      </c>
      <c r="CF256" s="102" t="str">
        <f>IF($A256="","",IFERROR(INDEX('Territory Factors'!$F$6:$F$56,MATCH($K256,'Territory Factors'!$B$6:$B$56,0)),"?"))</f>
        <v/>
      </c>
      <c r="CG256" s="100" t="str">
        <f>IF($A256="","",IFERROR(INDEX('Usage and Coverage'!$C$79:$C$84,MATCH($Y256,'Usage and Coverage'!$B$79:$B$84,0)),"?"))</f>
        <v/>
      </c>
      <c r="CH256" s="102" t="str">
        <f>IFERROR(IF(ISNUMBER($CD256),$CF256*$CG256*MIN($BG256*$BA256*$BC256*$BD256*$BH256*$BF256,'Technical Premium'!$C$17),""),"")</f>
        <v/>
      </c>
      <c r="CI256" s="102" t="str">
        <f t="shared" si="44"/>
        <v/>
      </c>
      <c r="CJ256" s="102" t="str">
        <f>IFERROR($CI256*(1+'Technical Premium'!$C$5)*(1+'Technical Premium'!$C$6),"")</f>
        <v/>
      </c>
      <c r="CK256" s="102" t="str">
        <f>IFERROR($CE256*INDEX('Territory Factors'!$G$6:$G$56,MATCH($K256,'Territory Factors'!$B$6:$B$56,0))*$AU256*$AV256,"")</f>
        <v/>
      </c>
      <c r="CL256" s="102" t="str">
        <f>IFERROR(($CJ256+$CK256)*(1+'Technical Premium'!$C$7),"")</f>
        <v/>
      </c>
      <c r="CM256" s="104" t="str">
        <f>IFERROR($CL256/'Technical Premium'!$C$13,"")</f>
        <v/>
      </c>
      <c r="CN256" s="105" t="str">
        <f t="shared" si="45"/>
        <v/>
      </c>
      <c r="CO256" s="104" t="str">
        <f t="shared" si="46"/>
        <v/>
      </c>
      <c r="CP256" s="105" t="str">
        <f t="shared" si="47"/>
        <v/>
      </c>
      <c r="CQ256" s="106" t="str">
        <f t="shared" si="48"/>
        <v/>
      </c>
      <c r="CR256" s="102" t="str">
        <f>IF(ISNUMBER($CM256),'Technical Premium'!$C$14+IF($J256&gt;=1000000,'Technical Premium'!$C$15,0),"")</f>
        <v/>
      </c>
      <c r="CS256" s="102" t="str">
        <f>IFERROR(($CO256+$CR256)*(INDEX('Territory Factors'!$K$6:$K$56,MATCH($K256,'Territory Factors'!$B$6:$B$56,0))+'Commission Structure'!$C$21),"")</f>
        <v/>
      </c>
      <c r="CT256" s="104" t="str">
        <f t="shared" si="49"/>
        <v/>
      </c>
      <c r="CU256" s="102" t="str">
        <f>IFERROR($CO256*('Commission Structure'!$C$6+'Commission Structure'!$C$7),"")</f>
        <v/>
      </c>
      <c r="CV256" s="102" t="str">
        <f>IFERROR($CO256*'Commission Structure'!$C$5-$CU256,"")</f>
        <v/>
      </c>
      <c r="CW256" s="102" t="str">
        <f>IFERROR($CO256*(1-'Commission Structure'!$C$5),"")</f>
        <v/>
      </c>
      <c r="CX256" s="107"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8" t="str">
        <f t="shared" si="50"/>
        <v/>
      </c>
      <c r="CZ256" s="99" t="str">
        <f>IF($CY256="","",IF($CY256&lt;'Technical Premium'!$C$19,"BEYOND AUTHORITY",IF($CY256&gt;0.005,"Above technical",IF($CY256&lt;-0.005,"BELOW technical","At technical"))))</f>
        <v/>
      </c>
      <c r="DA256" s="99"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4"/>
      <c r="DC256" s="94"/>
      <c r="DD256" s="95"/>
      <c r="DE256" s="94"/>
      <c r="DF256" s="94"/>
      <c r="DG256" s="99" t="str">
        <f t="shared" si="51"/>
        <v/>
      </c>
      <c r="DH256" s="99" t="str">
        <f>IF($A256="","",IF(OR($CX256="REFER",$CX256="DECLINE"),COUNTIF($CX$5:$CX256,"REFER")+COUNTIF($CX$5:$CX256,"DECLINE"),""))</f>
        <v/>
      </c>
      <c r="DI256" s="94"/>
    </row>
    <row r="257" spans="1:113" x14ac:dyDescent="0.35">
      <c r="A257" s="94"/>
      <c r="B257" s="94"/>
      <c r="C257" s="95"/>
      <c r="D257" s="95"/>
      <c r="E257" s="96"/>
      <c r="F257" s="94"/>
      <c r="G257" s="94"/>
      <c r="H257" s="94"/>
      <c r="I257" s="94"/>
      <c r="J257" s="97"/>
      <c r="K257" s="94"/>
      <c r="L257" s="94"/>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8"/>
      <c r="AR257" s="99" t="str">
        <f t="shared" si="39"/>
        <v/>
      </c>
      <c r="AS257" s="99" t="str">
        <f>IF($A257="","",IF($AP257&lt;&gt;"",$AP257,IFERROR(INDEX('Cat Zone by ZIP'!$D$6:$D$856,MATCH($AR257,'Cat Zone by ZIP'!$B$6:$B$856,0)),IFERROR(INDEX('Cat Zone by ZIP'!$C$860:$C$910,MATCH($K257,'Cat Zone by ZIP'!$B$860:$B$910,0)),"NOT FOUND"))))</f>
        <v/>
      </c>
      <c r="AT257" s="99" t="str">
        <f>IF($A257="","",IF($AP257&lt;&gt;"","Override",IF(ISNUMBER(MATCH($AR257,'Cat Zone by ZIP'!$B$6:$B$856,0)),"ZIP-3","State default")))</f>
        <v/>
      </c>
      <c r="AU257" s="100" t="str">
        <f>IF($A257="","",IFERROR(INDEX('Natural Catastrophe'!$D$6:$D$17,MATCH($AS257,'Natural Catastrophe'!$B$6:$B$17,0)),"?"))</f>
        <v/>
      </c>
      <c r="AV257" s="100" t="str">
        <f>IF($A257="","",IFERROR(INDEX('Natural Catastrophe'!$C$21:$C$26,MATCH($AA257,'Natural Catastrophe'!$B$21:$B$26,0)),"?"))</f>
        <v/>
      </c>
      <c r="AW257" s="99" t="str">
        <f>IF($A257="","",IFERROR(INDEX('Base Rates'!$C$4:$I$4,MATCH(MAX($J257,'Technical Premium'!$C$18),'Base Rates'!$C$3:$I$3,1)),"?"))</f>
        <v/>
      </c>
      <c r="AX257" s="101" t="str">
        <f>IF($A257="","",IFERROR(INDEX('Base Rates'!$C$5:$I$16,MATCH($I257,'Base Rates'!$B$5:$B$16,0),MATCH(MAX($J257,'Technical Premium'!$C$18),'Base Rates'!$C$3:$I$3,1)),"?"))</f>
        <v/>
      </c>
      <c r="AY257" s="102" t="str">
        <f t="shared" si="40"/>
        <v/>
      </c>
      <c r="AZ257" s="99" t="str">
        <f>IF($A257="","",IFERROR(INDEX('Make Factors'!$G$5:$G$69,MATCH($F257,'Make Factors'!$B$5:$B$69,0)),"?"))</f>
        <v/>
      </c>
      <c r="BA257" s="99" t="str">
        <f>IF($A257="","",IFERROR(INDEX('Driver Factors'!$C$6:$C$15,MATCH($R257,'Driver Factors'!$B$6:$B$15,0)),"?"))</f>
        <v/>
      </c>
      <c r="BB257" s="99" t="str">
        <f>IF($A257="","",IFERROR(INDEX('Driver Factors'!$C$19:$C$24,MATCH($S257,'Driver Factors'!$B$19:$B$24,0)),"?"))</f>
        <v/>
      </c>
      <c r="BC257" s="99" t="str">
        <f>IF($A257="","",IFERROR(INDEX('Driver Factors'!$C$28:$C$36,MATCH($T257,'Driver Factors'!$B$28:$B$36,0)),"?"))</f>
        <v/>
      </c>
      <c r="BD257" s="99" t="str">
        <f>IF($A257="","",IFERROR(INDEX('Claims History'!$C$6:$C$15,MATCH($U257,'Claims History'!$B$6:$B$15,0)),"?"))</f>
        <v/>
      </c>
      <c r="BE257" s="99" t="str">
        <f>IF($A257="","",IFERROR(INDEX('Territory Factors'!$E$6:$E$56,MATCH($K257,'Territory Factors'!$B$6:$B$56,0)),"?"))</f>
        <v/>
      </c>
      <c r="BF257" s="99" t="str">
        <f>IF($A257="","",IFERROR(INDEX('City Accident Ratings'!$G$6:$G$54,MATCH($Z257,'City Accident Ratings'!$B$6:$B$54,0)),"?"))</f>
        <v/>
      </c>
      <c r="BG257" s="99" t="str">
        <f>IF($A257="","",IFERROR(INDEX('Usage and Coverage'!$D$6:$D$20,MATCH($N257,'Usage and Coverage'!$C$6:$C$20,0)),"?"))</f>
        <v/>
      </c>
      <c r="BH257" s="99" t="str">
        <f>IF($A257="","",IFERROR(INDEX('Usage and Coverage'!$C$24:$C$30,MATCH($O257,'Usage and Coverage'!$B$24:$B$30,0)),"?"))</f>
        <v/>
      </c>
      <c r="BI257" s="99" t="str">
        <f>IF($A257="","",IFERROR(INDEX('Usage and Coverage'!$C$34:$C$40,MATCH($P257,'Usage and Coverage'!$B$34:$B$40,0)),"?"))</f>
        <v/>
      </c>
      <c r="BJ257" s="99" t="str">
        <f>IF($A257="","",IFERROR(INDEX('Usage and Coverage'!$C$44:$C$49,MATCH($Q257,'Usage and Coverage'!$B$44:$B$49,0)),"?"))</f>
        <v/>
      </c>
      <c r="BK257" s="99" t="str">
        <f>IF($A257="","",IFERROR(INDEX(Deductibles!$C$6:$I$15,MATCH($W257,Deductibles!$B$6:$B$15,0),MATCH(MAX($J257,'Technical Premium'!$C$18),'Base Rates'!$C$3:$I$3,1)),"?"))</f>
        <v/>
      </c>
      <c r="BL257" s="99" t="str">
        <f>IF($A257="","",IFERROR(INDEX('Usage and Coverage'!$C$63:$C$66,MATCH($X257,'Usage and Coverage'!$B$63:$B$66,0)),"?"))</f>
        <v/>
      </c>
      <c r="BM257" s="99" t="str">
        <f>IF($A257="","",IFERROR(INDEX('Usage and Coverage'!$C$70:$C$75,MATCH($V257,'Usage and Coverage'!$B$70:$B$75,0)),"?"))</f>
        <v/>
      </c>
      <c r="BN257" s="99" t="str">
        <f>IF($A257="","",IF($AB257="",1,IFERROR(INDEX(Deductibles!$C$48:$C$51,MATCH($AB257,Deductibles!$B$48:$B$51,0)),"?")))</f>
        <v/>
      </c>
      <c r="BO257" s="99" t="str">
        <f>IF($A257="","",IF($AC257="",1,IFERROR(INDEX(Deductibles!$C$55:$C$57,MATCH($AC257,Deductibles!$B$55:$B$57,0)),"?")))</f>
        <v/>
      </c>
      <c r="BP257" s="99" t="str">
        <f>IF($A257="","",IF($AD257="",1,IFERROR(INDEX(Deductibles!$C$61:$C$63,MATCH($AD257,Deductibles!$B$61:$B$63,0)),"?")))</f>
        <v/>
      </c>
      <c r="BQ257" s="99" t="str">
        <f>IF($A257="","",IF($AE257="",1,IFERROR(INDEX(Deductibles!$C$67:$C$69,MATCH($AE257,Deductibles!$B$67:$B$69,0)),"?")))</f>
        <v/>
      </c>
      <c r="BR257" s="99" t="str">
        <f>IF($A257="","",IF($AF257="",1,IFERROR(INDEX(Deductibles!$C$73:$C$74,MATCH($AF257,Deductibles!$B$73:$B$74,0)),"?")))</f>
        <v/>
      </c>
      <c r="BS257" s="99" t="str">
        <f>IF($A257="","",IF($AG257="",1,IFERROR(INDEX('Sublimits and Parts'!$C$49:$C$52,MATCH($AG257,'Sublimits and Parts'!$B$49:$B$52,0)),"?")))</f>
        <v/>
      </c>
      <c r="BT257" s="99" t="str">
        <f>IF($A257="","",IF($AH257="",1,IFERROR(INDEX('Sublimits and Parts'!$C$56:$C$60,MATCH($AH257,'Sublimits and Parts'!$B$56:$B$60,0)),"?")))</f>
        <v/>
      </c>
      <c r="BU257" s="99" t="str">
        <f>IF($A257="","",IF($AI257="",1,IFERROR(INDEX('Sublimits and Parts'!$C$64:$C$67,MATCH($AI257,'Sublimits and Parts'!$B$64:$B$67,0)),"?")))</f>
        <v/>
      </c>
      <c r="BV257" s="99" t="str">
        <f>IF($A257="","",IF($AJ257="",1,IFERROR(INDEX('Sublimits and Parts'!$C$71:$C$74,MATCH($AJ257,'Sublimits and Parts'!$B$71:$B$74,0)),"?")))</f>
        <v/>
      </c>
      <c r="BW257" s="99" t="str">
        <f>IF($A257="","",IF($AK257="",1,IFERROR(INDEX('Sublimits and Parts'!$C$78:$C$80,MATCH($AK257,'Sublimits and Parts'!$B$78:$B$80,0)),"?")))</f>
        <v/>
      </c>
      <c r="BX257" s="99" t="str">
        <f>IF($A257="","",IF($AL257="",1,IFERROR(INDEX('Sublimits and Parts'!$C$84:$C$87,MATCH($AL257,'Sublimits and Parts'!$B$84:$B$87,0)),"?")))</f>
        <v/>
      </c>
      <c r="BY257" s="99" t="str">
        <f>IF($A257="","",IF($AM257="",1,IFERROR(INDEX('Sublimits and Parts'!$C$91:$C$94,MATCH($AM257,'Sublimits and Parts'!$B$91:$B$94,0)),"?")))</f>
        <v/>
      </c>
      <c r="BZ257" s="99" t="str">
        <f>IF($A257="","",IF($AN257="",1,IFERROR(INDEX('Sublimits and Parts'!$C$98:$C$101,MATCH($AN257,'Sublimits and Parts'!$B$98:$B$101,0)),"?")))</f>
        <v/>
      </c>
      <c r="CA257" s="99" t="str">
        <f>IF($A257="","",IF($AO257="",1,IFERROR(INDEX('Sublimits and Parts'!$C$105:$C$109,MATCH($AO257,'Sublimits and Parts'!$B$105:$B$109,0)),"?")))</f>
        <v/>
      </c>
      <c r="CB257" s="100" t="str">
        <f t="shared" si="41"/>
        <v/>
      </c>
      <c r="CC257" s="100" t="str">
        <f t="shared" si="42"/>
        <v/>
      </c>
      <c r="CD257" s="103" t="str">
        <f>IF($A257="","",IF(OR($CB257="?",$CC257="?"),"?",MIN($CB257*$CC257,'Technical Premium'!$C$17)))</f>
        <v/>
      </c>
      <c r="CE257" s="102" t="str">
        <f t="shared" si="43"/>
        <v/>
      </c>
      <c r="CF257" s="102" t="str">
        <f>IF($A257="","",IFERROR(INDEX('Territory Factors'!$F$6:$F$56,MATCH($K257,'Territory Factors'!$B$6:$B$56,0)),"?"))</f>
        <v/>
      </c>
      <c r="CG257" s="100" t="str">
        <f>IF($A257="","",IFERROR(INDEX('Usage and Coverage'!$C$79:$C$84,MATCH($Y257,'Usage and Coverage'!$B$79:$B$84,0)),"?"))</f>
        <v/>
      </c>
      <c r="CH257" s="102" t="str">
        <f>IFERROR(IF(ISNUMBER($CD257),$CF257*$CG257*MIN($BG257*$BA257*$BC257*$BD257*$BH257*$BF257,'Technical Premium'!$C$17),""),"")</f>
        <v/>
      </c>
      <c r="CI257" s="102" t="str">
        <f t="shared" si="44"/>
        <v/>
      </c>
      <c r="CJ257" s="102" t="str">
        <f>IFERROR($CI257*(1+'Technical Premium'!$C$5)*(1+'Technical Premium'!$C$6),"")</f>
        <v/>
      </c>
      <c r="CK257" s="102" t="str">
        <f>IFERROR($CE257*INDEX('Territory Factors'!$G$6:$G$56,MATCH($K257,'Territory Factors'!$B$6:$B$56,0))*$AU257*$AV257,"")</f>
        <v/>
      </c>
      <c r="CL257" s="102" t="str">
        <f>IFERROR(($CJ257+$CK257)*(1+'Technical Premium'!$C$7),"")</f>
        <v/>
      </c>
      <c r="CM257" s="104" t="str">
        <f>IFERROR($CL257/'Technical Premium'!$C$13,"")</f>
        <v/>
      </c>
      <c r="CN257" s="105" t="str">
        <f t="shared" si="45"/>
        <v/>
      </c>
      <c r="CO257" s="104" t="str">
        <f t="shared" si="46"/>
        <v/>
      </c>
      <c r="CP257" s="105" t="str">
        <f t="shared" si="47"/>
        <v/>
      </c>
      <c r="CQ257" s="106" t="str">
        <f t="shared" si="48"/>
        <v/>
      </c>
      <c r="CR257" s="102" t="str">
        <f>IF(ISNUMBER($CM257),'Technical Premium'!$C$14+IF($J257&gt;=1000000,'Technical Premium'!$C$15,0),"")</f>
        <v/>
      </c>
      <c r="CS257" s="102" t="str">
        <f>IFERROR(($CO257+$CR257)*(INDEX('Territory Factors'!$K$6:$K$56,MATCH($K257,'Territory Factors'!$B$6:$B$56,0))+'Commission Structure'!$C$21),"")</f>
        <v/>
      </c>
      <c r="CT257" s="104" t="str">
        <f t="shared" si="49"/>
        <v/>
      </c>
      <c r="CU257" s="102" t="str">
        <f>IFERROR($CO257*('Commission Structure'!$C$6+'Commission Structure'!$C$7),"")</f>
        <v/>
      </c>
      <c r="CV257" s="102" t="str">
        <f>IFERROR($CO257*'Commission Structure'!$C$5-$CU257,"")</f>
        <v/>
      </c>
      <c r="CW257" s="102" t="str">
        <f>IFERROR($CO257*(1-'Commission Structure'!$C$5),"")</f>
        <v/>
      </c>
      <c r="CX257" s="107"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8" t="str">
        <f t="shared" si="50"/>
        <v/>
      </c>
      <c r="CZ257" s="99" t="str">
        <f>IF($CY257="","",IF($CY257&lt;'Technical Premium'!$C$19,"BEYOND AUTHORITY",IF($CY257&gt;0.005,"Above technical",IF($CY257&lt;-0.005,"BELOW technical","At technical"))))</f>
        <v/>
      </c>
      <c r="DA257" s="99"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4"/>
      <c r="DC257" s="94"/>
      <c r="DD257" s="95"/>
      <c r="DE257" s="94"/>
      <c r="DF257" s="94"/>
      <c r="DG257" s="99" t="str">
        <f t="shared" si="51"/>
        <v/>
      </c>
      <c r="DH257" s="99" t="str">
        <f>IF($A257="","",IF(OR($CX257="REFER",$CX257="DECLINE"),COUNTIF($CX$5:$CX257,"REFER")+COUNTIF($CX$5:$CX257,"DECLINE"),""))</f>
        <v/>
      </c>
      <c r="DI257" s="94"/>
    </row>
    <row r="258" spans="1:113" x14ac:dyDescent="0.35">
      <c r="A258" s="94"/>
      <c r="B258" s="94"/>
      <c r="C258" s="95"/>
      <c r="D258" s="95"/>
      <c r="E258" s="96"/>
      <c r="F258" s="94"/>
      <c r="G258" s="94"/>
      <c r="H258" s="94"/>
      <c r="I258" s="94"/>
      <c r="J258" s="97"/>
      <c r="K258" s="94"/>
      <c r="L258" s="94"/>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8"/>
      <c r="AR258" s="99" t="str">
        <f t="shared" si="39"/>
        <v/>
      </c>
      <c r="AS258" s="99" t="str">
        <f>IF($A258="","",IF($AP258&lt;&gt;"",$AP258,IFERROR(INDEX('Cat Zone by ZIP'!$D$6:$D$856,MATCH($AR258,'Cat Zone by ZIP'!$B$6:$B$856,0)),IFERROR(INDEX('Cat Zone by ZIP'!$C$860:$C$910,MATCH($K258,'Cat Zone by ZIP'!$B$860:$B$910,0)),"NOT FOUND"))))</f>
        <v/>
      </c>
      <c r="AT258" s="99" t="str">
        <f>IF($A258="","",IF($AP258&lt;&gt;"","Override",IF(ISNUMBER(MATCH($AR258,'Cat Zone by ZIP'!$B$6:$B$856,0)),"ZIP-3","State default")))</f>
        <v/>
      </c>
      <c r="AU258" s="100" t="str">
        <f>IF($A258="","",IFERROR(INDEX('Natural Catastrophe'!$D$6:$D$17,MATCH($AS258,'Natural Catastrophe'!$B$6:$B$17,0)),"?"))</f>
        <v/>
      </c>
      <c r="AV258" s="100" t="str">
        <f>IF($A258="","",IFERROR(INDEX('Natural Catastrophe'!$C$21:$C$26,MATCH($AA258,'Natural Catastrophe'!$B$21:$B$26,0)),"?"))</f>
        <v/>
      </c>
      <c r="AW258" s="99" t="str">
        <f>IF($A258="","",IFERROR(INDEX('Base Rates'!$C$4:$I$4,MATCH(MAX($J258,'Technical Premium'!$C$18),'Base Rates'!$C$3:$I$3,1)),"?"))</f>
        <v/>
      </c>
      <c r="AX258" s="101" t="str">
        <f>IF($A258="","",IFERROR(INDEX('Base Rates'!$C$5:$I$16,MATCH($I258,'Base Rates'!$B$5:$B$16,0),MATCH(MAX($J258,'Technical Premium'!$C$18),'Base Rates'!$C$3:$I$3,1)),"?"))</f>
        <v/>
      </c>
      <c r="AY258" s="102" t="str">
        <f t="shared" si="40"/>
        <v/>
      </c>
      <c r="AZ258" s="99" t="str">
        <f>IF($A258="","",IFERROR(INDEX('Make Factors'!$G$5:$G$69,MATCH($F258,'Make Factors'!$B$5:$B$69,0)),"?"))</f>
        <v/>
      </c>
      <c r="BA258" s="99" t="str">
        <f>IF($A258="","",IFERROR(INDEX('Driver Factors'!$C$6:$C$15,MATCH($R258,'Driver Factors'!$B$6:$B$15,0)),"?"))</f>
        <v/>
      </c>
      <c r="BB258" s="99" t="str">
        <f>IF($A258="","",IFERROR(INDEX('Driver Factors'!$C$19:$C$24,MATCH($S258,'Driver Factors'!$B$19:$B$24,0)),"?"))</f>
        <v/>
      </c>
      <c r="BC258" s="99" t="str">
        <f>IF($A258="","",IFERROR(INDEX('Driver Factors'!$C$28:$C$36,MATCH($T258,'Driver Factors'!$B$28:$B$36,0)),"?"))</f>
        <v/>
      </c>
      <c r="BD258" s="99" t="str">
        <f>IF($A258="","",IFERROR(INDEX('Claims History'!$C$6:$C$15,MATCH($U258,'Claims History'!$B$6:$B$15,0)),"?"))</f>
        <v/>
      </c>
      <c r="BE258" s="99" t="str">
        <f>IF($A258="","",IFERROR(INDEX('Territory Factors'!$E$6:$E$56,MATCH($K258,'Territory Factors'!$B$6:$B$56,0)),"?"))</f>
        <v/>
      </c>
      <c r="BF258" s="99" t="str">
        <f>IF($A258="","",IFERROR(INDEX('City Accident Ratings'!$G$6:$G$54,MATCH($Z258,'City Accident Ratings'!$B$6:$B$54,0)),"?"))</f>
        <v/>
      </c>
      <c r="BG258" s="99" t="str">
        <f>IF($A258="","",IFERROR(INDEX('Usage and Coverage'!$D$6:$D$20,MATCH($N258,'Usage and Coverage'!$C$6:$C$20,0)),"?"))</f>
        <v/>
      </c>
      <c r="BH258" s="99" t="str">
        <f>IF($A258="","",IFERROR(INDEX('Usage and Coverage'!$C$24:$C$30,MATCH($O258,'Usage and Coverage'!$B$24:$B$30,0)),"?"))</f>
        <v/>
      </c>
      <c r="BI258" s="99" t="str">
        <f>IF($A258="","",IFERROR(INDEX('Usage and Coverage'!$C$34:$C$40,MATCH($P258,'Usage and Coverage'!$B$34:$B$40,0)),"?"))</f>
        <v/>
      </c>
      <c r="BJ258" s="99" t="str">
        <f>IF($A258="","",IFERROR(INDEX('Usage and Coverage'!$C$44:$C$49,MATCH($Q258,'Usage and Coverage'!$B$44:$B$49,0)),"?"))</f>
        <v/>
      </c>
      <c r="BK258" s="99" t="str">
        <f>IF($A258="","",IFERROR(INDEX(Deductibles!$C$6:$I$15,MATCH($W258,Deductibles!$B$6:$B$15,0),MATCH(MAX($J258,'Technical Premium'!$C$18),'Base Rates'!$C$3:$I$3,1)),"?"))</f>
        <v/>
      </c>
      <c r="BL258" s="99" t="str">
        <f>IF($A258="","",IFERROR(INDEX('Usage and Coverage'!$C$63:$C$66,MATCH($X258,'Usage and Coverage'!$B$63:$B$66,0)),"?"))</f>
        <v/>
      </c>
      <c r="BM258" s="99" t="str">
        <f>IF($A258="","",IFERROR(INDEX('Usage and Coverage'!$C$70:$C$75,MATCH($V258,'Usage and Coverage'!$B$70:$B$75,0)),"?"))</f>
        <v/>
      </c>
      <c r="BN258" s="99" t="str">
        <f>IF($A258="","",IF($AB258="",1,IFERROR(INDEX(Deductibles!$C$48:$C$51,MATCH($AB258,Deductibles!$B$48:$B$51,0)),"?")))</f>
        <v/>
      </c>
      <c r="BO258" s="99" t="str">
        <f>IF($A258="","",IF($AC258="",1,IFERROR(INDEX(Deductibles!$C$55:$C$57,MATCH($AC258,Deductibles!$B$55:$B$57,0)),"?")))</f>
        <v/>
      </c>
      <c r="BP258" s="99" t="str">
        <f>IF($A258="","",IF($AD258="",1,IFERROR(INDEX(Deductibles!$C$61:$C$63,MATCH($AD258,Deductibles!$B$61:$B$63,0)),"?")))</f>
        <v/>
      </c>
      <c r="BQ258" s="99" t="str">
        <f>IF($A258="","",IF($AE258="",1,IFERROR(INDEX(Deductibles!$C$67:$C$69,MATCH($AE258,Deductibles!$B$67:$B$69,0)),"?")))</f>
        <v/>
      </c>
      <c r="BR258" s="99" t="str">
        <f>IF($A258="","",IF($AF258="",1,IFERROR(INDEX(Deductibles!$C$73:$C$74,MATCH($AF258,Deductibles!$B$73:$B$74,0)),"?")))</f>
        <v/>
      </c>
      <c r="BS258" s="99" t="str">
        <f>IF($A258="","",IF($AG258="",1,IFERROR(INDEX('Sublimits and Parts'!$C$49:$C$52,MATCH($AG258,'Sublimits and Parts'!$B$49:$B$52,0)),"?")))</f>
        <v/>
      </c>
      <c r="BT258" s="99" t="str">
        <f>IF($A258="","",IF($AH258="",1,IFERROR(INDEX('Sublimits and Parts'!$C$56:$C$60,MATCH($AH258,'Sublimits and Parts'!$B$56:$B$60,0)),"?")))</f>
        <v/>
      </c>
      <c r="BU258" s="99" t="str">
        <f>IF($A258="","",IF($AI258="",1,IFERROR(INDEX('Sublimits and Parts'!$C$64:$C$67,MATCH($AI258,'Sublimits and Parts'!$B$64:$B$67,0)),"?")))</f>
        <v/>
      </c>
      <c r="BV258" s="99" t="str">
        <f>IF($A258="","",IF($AJ258="",1,IFERROR(INDEX('Sublimits and Parts'!$C$71:$C$74,MATCH($AJ258,'Sublimits and Parts'!$B$71:$B$74,0)),"?")))</f>
        <v/>
      </c>
      <c r="BW258" s="99" t="str">
        <f>IF($A258="","",IF($AK258="",1,IFERROR(INDEX('Sublimits and Parts'!$C$78:$C$80,MATCH($AK258,'Sublimits and Parts'!$B$78:$B$80,0)),"?")))</f>
        <v/>
      </c>
      <c r="BX258" s="99" t="str">
        <f>IF($A258="","",IF($AL258="",1,IFERROR(INDEX('Sublimits and Parts'!$C$84:$C$87,MATCH($AL258,'Sublimits and Parts'!$B$84:$B$87,0)),"?")))</f>
        <v/>
      </c>
      <c r="BY258" s="99" t="str">
        <f>IF($A258="","",IF($AM258="",1,IFERROR(INDEX('Sublimits and Parts'!$C$91:$C$94,MATCH($AM258,'Sublimits and Parts'!$B$91:$B$94,0)),"?")))</f>
        <v/>
      </c>
      <c r="BZ258" s="99" t="str">
        <f>IF($A258="","",IF($AN258="",1,IFERROR(INDEX('Sublimits and Parts'!$C$98:$C$101,MATCH($AN258,'Sublimits and Parts'!$B$98:$B$101,0)),"?")))</f>
        <v/>
      </c>
      <c r="CA258" s="99" t="str">
        <f>IF($A258="","",IF($AO258="",1,IFERROR(INDEX('Sublimits and Parts'!$C$105:$C$109,MATCH($AO258,'Sublimits and Parts'!$B$105:$B$109,0)),"?")))</f>
        <v/>
      </c>
      <c r="CB258" s="100" t="str">
        <f t="shared" si="41"/>
        <v/>
      </c>
      <c r="CC258" s="100" t="str">
        <f t="shared" si="42"/>
        <v/>
      </c>
      <c r="CD258" s="103" t="str">
        <f>IF($A258="","",IF(OR($CB258="?",$CC258="?"),"?",MIN($CB258*$CC258,'Technical Premium'!$C$17)))</f>
        <v/>
      </c>
      <c r="CE258" s="102" t="str">
        <f t="shared" si="43"/>
        <v/>
      </c>
      <c r="CF258" s="102" t="str">
        <f>IF($A258="","",IFERROR(INDEX('Territory Factors'!$F$6:$F$56,MATCH($K258,'Territory Factors'!$B$6:$B$56,0)),"?"))</f>
        <v/>
      </c>
      <c r="CG258" s="100" t="str">
        <f>IF($A258="","",IFERROR(INDEX('Usage and Coverage'!$C$79:$C$84,MATCH($Y258,'Usage and Coverage'!$B$79:$B$84,0)),"?"))</f>
        <v/>
      </c>
      <c r="CH258" s="102" t="str">
        <f>IFERROR(IF(ISNUMBER($CD258),$CF258*$CG258*MIN($BG258*$BA258*$BC258*$BD258*$BH258*$BF258,'Technical Premium'!$C$17),""),"")</f>
        <v/>
      </c>
      <c r="CI258" s="102" t="str">
        <f t="shared" si="44"/>
        <v/>
      </c>
      <c r="CJ258" s="102" t="str">
        <f>IFERROR($CI258*(1+'Technical Premium'!$C$5)*(1+'Technical Premium'!$C$6),"")</f>
        <v/>
      </c>
      <c r="CK258" s="102" t="str">
        <f>IFERROR($CE258*INDEX('Territory Factors'!$G$6:$G$56,MATCH($K258,'Territory Factors'!$B$6:$B$56,0))*$AU258*$AV258,"")</f>
        <v/>
      </c>
      <c r="CL258" s="102" t="str">
        <f>IFERROR(($CJ258+$CK258)*(1+'Technical Premium'!$C$7),"")</f>
        <v/>
      </c>
      <c r="CM258" s="104" t="str">
        <f>IFERROR($CL258/'Technical Premium'!$C$13,"")</f>
        <v/>
      </c>
      <c r="CN258" s="105" t="str">
        <f t="shared" si="45"/>
        <v/>
      </c>
      <c r="CO258" s="104" t="str">
        <f t="shared" si="46"/>
        <v/>
      </c>
      <c r="CP258" s="105" t="str">
        <f t="shared" si="47"/>
        <v/>
      </c>
      <c r="CQ258" s="106" t="str">
        <f t="shared" si="48"/>
        <v/>
      </c>
      <c r="CR258" s="102" t="str">
        <f>IF(ISNUMBER($CM258),'Technical Premium'!$C$14+IF($J258&gt;=1000000,'Technical Premium'!$C$15,0),"")</f>
        <v/>
      </c>
      <c r="CS258" s="102" t="str">
        <f>IFERROR(($CO258+$CR258)*(INDEX('Territory Factors'!$K$6:$K$56,MATCH($K258,'Territory Factors'!$B$6:$B$56,0))+'Commission Structure'!$C$21),"")</f>
        <v/>
      </c>
      <c r="CT258" s="104" t="str">
        <f t="shared" si="49"/>
        <v/>
      </c>
      <c r="CU258" s="102" t="str">
        <f>IFERROR($CO258*('Commission Structure'!$C$6+'Commission Structure'!$C$7),"")</f>
        <v/>
      </c>
      <c r="CV258" s="102" t="str">
        <f>IFERROR($CO258*'Commission Structure'!$C$5-$CU258,"")</f>
        <v/>
      </c>
      <c r="CW258" s="102" t="str">
        <f>IFERROR($CO258*(1-'Commission Structure'!$C$5),"")</f>
        <v/>
      </c>
      <c r="CX258" s="107"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8" t="str">
        <f t="shared" si="50"/>
        <v/>
      </c>
      <c r="CZ258" s="99" t="str">
        <f>IF($CY258="","",IF($CY258&lt;'Technical Premium'!$C$19,"BEYOND AUTHORITY",IF($CY258&gt;0.005,"Above technical",IF($CY258&lt;-0.005,"BELOW technical","At technical"))))</f>
        <v/>
      </c>
      <c r="DA258" s="99"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4"/>
      <c r="DC258" s="94"/>
      <c r="DD258" s="95"/>
      <c r="DE258" s="94"/>
      <c r="DF258" s="94"/>
      <c r="DG258" s="99" t="str">
        <f t="shared" si="51"/>
        <v/>
      </c>
      <c r="DH258" s="99" t="str">
        <f>IF($A258="","",IF(OR($CX258="REFER",$CX258="DECLINE"),COUNTIF($CX$5:$CX258,"REFER")+COUNTIF($CX$5:$CX258,"DECLINE"),""))</f>
        <v/>
      </c>
      <c r="DI258" s="94"/>
    </row>
    <row r="259" spans="1:113" x14ac:dyDescent="0.35">
      <c r="A259" s="94"/>
      <c r="B259" s="94"/>
      <c r="C259" s="95"/>
      <c r="D259" s="95"/>
      <c r="E259" s="96"/>
      <c r="F259" s="94"/>
      <c r="G259" s="94"/>
      <c r="H259" s="94"/>
      <c r="I259" s="94"/>
      <c r="J259" s="97"/>
      <c r="K259" s="94"/>
      <c r="L259" s="94"/>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8"/>
      <c r="AR259" s="99" t="str">
        <f t="shared" si="39"/>
        <v/>
      </c>
      <c r="AS259" s="99" t="str">
        <f>IF($A259="","",IF($AP259&lt;&gt;"",$AP259,IFERROR(INDEX('Cat Zone by ZIP'!$D$6:$D$856,MATCH($AR259,'Cat Zone by ZIP'!$B$6:$B$856,0)),IFERROR(INDEX('Cat Zone by ZIP'!$C$860:$C$910,MATCH($K259,'Cat Zone by ZIP'!$B$860:$B$910,0)),"NOT FOUND"))))</f>
        <v/>
      </c>
      <c r="AT259" s="99" t="str">
        <f>IF($A259="","",IF($AP259&lt;&gt;"","Override",IF(ISNUMBER(MATCH($AR259,'Cat Zone by ZIP'!$B$6:$B$856,0)),"ZIP-3","State default")))</f>
        <v/>
      </c>
      <c r="AU259" s="100" t="str">
        <f>IF($A259="","",IFERROR(INDEX('Natural Catastrophe'!$D$6:$D$17,MATCH($AS259,'Natural Catastrophe'!$B$6:$B$17,0)),"?"))</f>
        <v/>
      </c>
      <c r="AV259" s="100" t="str">
        <f>IF($A259="","",IFERROR(INDEX('Natural Catastrophe'!$C$21:$C$26,MATCH($AA259,'Natural Catastrophe'!$B$21:$B$26,0)),"?"))</f>
        <v/>
      </c>
      <c r="AW259" s="99" t="str">
        <f>IF($A259="","",IFERROR(INDEX('Base Rates'!$C$4:$I$4,MATCH(MAX($J259,'Technical Premium'!$C$18),'Base Rates'!$C$3:$I$3,1)),"?"))</f>
        <v/>
      </c>
      <c r="AX259" s="101" t="str">
        <f>IF($A259="","",IFERROR(INDEX('Base Rates'!$C$5:$I$16,MATCH($I259,'Base Rates'!$B$5:$B$16,0),MATCH(MAX($J259,'Technical Premium'!$C$18),'Base Rates'!$C$3:$I$3,1)),"?"))</f>
        <v/>
      </c>
      <c r="AY259" s="102" t="str">
        <f t="shared" si="40"/>
        <v/>
      </c>
      <c r="AZ259" s="99" t="str">
        <f>IF($A259="","",IFERROR(INDEX('Make Factors'!$G$5:$G$69,MATCH($F259,'Make Factors'!$B$5:$B$69,0)),"?"))</f>
        <v/>
      </c>
      <c r="BA259" s="99" t="str">
        <f>IF($A259="","",IFERROR(INDEX('Driver Factors'!$C$6:$C$15,MATCH($R259,'Driver Factors'!$B$6:$B$15,0)),"?"))</f>
        <v/>
      </c>
      <c r="BB259" s="99" t="str">
        <f>IF($A259="","",IFERROR(INDEX('Driver Factors'!$C$19:$C$24,MATCH($S259,'Driver Factors'!$B$19:$B$24,0)),"?"))</f>
        <v/>
      </c>
      <c r="BC259" s="99" t="str">
        <f>IF($A259="","",IFERROR(INDEX('Driver Factors'!$C$28:$C$36,MATCH($T259,'Driver Factors'!$B$28:$B$36,0)),"?"))</f>
        <v/>
      </c>
      <c r="BD259" s="99" t="str">
        <f>IF($A259="","",IFERROR(INDEX('Claims History'!$C$6:$C$15,MATCH($U259,'Claims History'!$B$6:$B$15,0)),"?"))</f>
        <v/>
      </c>
      <c r="BE259" s="99" t="str">
        <f>IF($A259="","",IFERROR(INDEX('Territory Factors'!$E$6:$E$56,MATCH($K259,'Territory Factors'!$B$6:$B$56,0)),"?"))</f>
        <v/>
      </c>
      <c r="BF259" s="99" t="str">
        <f>IF($A259="","",IFERROR(INDEX('City Accident Ratings'!$G$6:$G$54,MATCH($Z259,'City Accident Ratings'!$B$6:$B$54,0)),"?"))</f>
        <v/>
      </c>
      <c r="BG259" s="99" t="str">
        <f>IF($A259="","",IFERROR(INDEX('Usage and Coverage'!$D$6:$D$20,MATCH($N259,'Usage and Coverage'!$C$6:$C$20,0)),"?"))</f>
        <v/>
      </c>
      <c r="BH259" s="99" t="str">
        <f>IF($A259="","",IFERROR(INDEX('Usage and Coverage'!$C$24:$C$30,MATCH($O259,'Usage and Coverage'!$B$24:$B$30,0)),"?"))</f>
        <v/>
      </c>
      <c r="BI259" s="99" t="str">
        <f>IF($A259="","",IFERROR(INDEX('Usage and Coverage'!$C$34:$C$40,MATCH($P259,'Usage and Coverage'!$B$34:$B$40,0)),"?"))</f>
        <v/>
      </c>
      <c r="BJ259" s="99" t="str">
        <f>IF($A259="","",IFERROR(INDEX('Usage and Coverage'!$C$44:$C$49,MATCH($Q259,'Usage and Coverage'!$B$44:$B$49,0)),"?"))</f>
        <v/>
      </c>
      <c r="BK259" s="99" t="str">
        <f>IF($A259="","",IFERROR(INDEX(Deductibles!$C$6:$I$15,MATCH($W259,Deductibles!$B$6:$B$15,0),MATCH(MAX($J259,'Technical Premium'!$C$18),'Base Rates'!$C$3:$I$3,1)),"?"))</f>
        <v/>
      </c>
      <c r="BL259" s="99" t="str">
        <f>IF($A259="","",IFERROR(INDEX('Usage and Coverage'!$C$63:$C$66,MATCH($X259,'Usage and Coverage'!$B$63:$B$66,0)),"?"))</f>
        <v/>
      </c>
      <c r="BM259" s="99" t="str">
        <f>IF($A259="","",IFERROR(INDEX('Usage and Coverage'!$C$70:$C$75,MATCH($V259,'Usage and Coverage'!$B$70:$B$75,0)),"?"))</f>
        <v/>
      </c>
      <c r="BN259" s="99" t="str">
        <f>IF($A259="","",IF($AB259="",1,IFERROR(INDEX(Deductibles!$C$48:$C$51,MATCH($AB259,Deductibles!$B$48:$B$51,0)),"?")))</f>
        <v/>
      </c>
      <c r="BO259" s="99" t="str">
        <f>IF($A259="","",IF($AC259="",1,IFERROR(INDEX(Deductibles!$C$55:$C$57,MATCH($AC259,Deductibles!$B$55:$B$57,0)),"?")))</f>
        <v/>
      </c>
      <c r="BP259" s="99" t="str">
        <f>IF($A259="","",IF($AD259="",1,IFERROR(INDEX(Deductibles!$C$61:$C$63,MATCH($AD259,Deductibles!$B$61:$B$63,0)),"?")))</f>
        <v/>
      </c>
      <c r="BQ259" s="99" t="str">
        <f>IF($A259="","",IF($AE259="",1,IFERROR(INDEX(Deductibles!$C$67:$C$69,MATCH($AE259,Deductibles!$B$67:$B$69,0)),"?")))</f>
        <v/>
      </c>
      <c r="BR259" s="99" t="str">
        <f>IF($A259="","",IF($AF259="",1,IFERROR(INDEX(Deductibles!$C$73:$C$74,MATCH($AF259,Deductibles!$B$73:$B$74,0)),"?")))</f>
        <v/>
      </c>
      <c r="BS259" s="99" t="str">
        <f>IF($A259="","",IF($AG259="",1,IFERROR(INDEX('Sublimits and Parts'!$C$49:$C$52,MATCH($AG259,'Sublimits and Parts'!$B$49:$B$52,0)),"?")))</f>
        <v/>
      </c>
      <c r="BT259" s="99" t="str">
        <f>IF($A259="","",IF($AH259="",1,IFERROR(INDEX('Sublimits and Parts'!$C$56:$C$60,MATCH($AH259,'Sublimits and Parts'!$B$56:$B$60,0)),"?")))</f>
        <v/>
      </c>
      <c r="BU259" s="99" t="str">
        <f>IF($A259="","",IF($AI259="",1,IFERROR(INDEX('Sublimits and Parts'!$C$64:$C$67,MATCH($AI259,'Sublimits and Parts'!$B$64:$B$67,0)),"?")))</f>
        <v/>
      </c>
      <c r="BV259" s="99" t="str">
        <f>IF($A259="","",IF($AJ259="",1,IFERROR(INDEX('Sublimits and Parts'!$C$71:$C$74,MATCH($AJ259,'Sublimits and Parts'!$B$71:$B$74,0)),"?")))</f>
        <v/>
      </c>
      <c r="BW259" s="99" t="str">
        <f>IF($A259="","",IF($AK259="",1,IFERROR(INDEX('Sublimits and Parts'!$C$78:$C$80,MATCH($AK259,'Sublimits and Parts'!$B$78:$B$80,0)),"?")))</f>
        <v/>
      </c>
      <c r="BX259" s="99" t="str">
        <f>IF($A259="","",IF($AL259="",1,IFERROR(INDEX('Sublimits and Parts'!$C$84:$C$87,MATCH($AL259,'Sublimits and Parts'!$B$84:$B$87,0)),"?")))</f>
        <v/>
      </c>
      <c r="BY259" s="99" t="str">
        <f>IF($A259="","",IF($AM259="",1,IFERROR(INDEX('Sublimits and Parts'!$C$91:$C$94,MATCH($AM259,'Sublimits and Parts'!$B$91:$B$94,0)),"?")))</f>
        <v/>
      </c>
      <c r="BZ259" s="99" t="str">
        <f>IF($A259="","",IF($AN259="",1,IFERROR(INDEX('Sublimits and Parts'!$C$98:$C$101,MATCH($AN259,'Sublimits and Parts'!$B$98:$B$101,0)),"?")))</f>
        <v/>
      </c>
      <c r="CA259" s="99" t="str">
        <f>IF($A259="","",IF($AO259="",1,IFERROR(INDEX('Sublimits and Parts'!$C$105:$C$109,MATCH($AO259,'Sublimits and Parts'!$B$105:$B$109,0)),"?")))</f>
        <v/>
      </c>
      <c r="CB259" s="100" t="str">
        <f t="shared" si="41"/>
        <v/>
      </c>
      <c r="CC259" s="100" t="str">
        <f t="shared" si="42"/>
        <v/>
      </c>
      <c r="CD259" s="103" t="str">
        <f>IF($A259="","",IF(OR($CB259="?",$CC259="?"),"?",MIN($CB259*$CC259,'Technical Premium'!$C$17)))</f>
        <v/>
      </c>
      <c r="CE259" s="102" t="str">
        <f t="shared" si="43"/>
        <v/>
      </c>
      <c r="CF259" s="102" t="str">
        <f>IF($A259="","",IFERROR(INDEX('Territory Factors'!$F$6:$F$56,MATCH($K259,'Territory Factors'!$B$6:$B$56,0)),"?"))</f>
        <v/>
      </c>
      <c r="CG259" s="100" t="str">
        <f>IF($A259="","",IFERROR(INDEX('Usage and Coverage'!$C$79:$C$84,MATCH($Y259,'Usage and Coverage'!$B$79:$B$84,0)),"?"))</f>
        <v/>
      </c>
      <c r="CH259" s="102" t="str">
        <f>IFERROR(IF(ISNUMBER($CD259),$CF259*$CG259*MIN($BG259*$BA259*$BC259*$BD259*$BH259*$BF259,'Technical Premium'!$C$17),""),"")</f>
        <v/>
      </c>
      <c r="CI259" s="102" t="str">
        <f t="shared" si="44"/>
        <v/>
      </c>
      <c r="CJ259" s="102" t="str">
        <f>IFERROR($CI259*(1+'Technical Premium'!$C$5)*(1+'Technical Premium'!$C$6),"")</f>
        <v/>
      </c>
      <c r="CK259" s="102" t="str">
        <f>IFERROR($CE259*INDEX('Territory Factors'!$G$6:$G$56,MATCH($K259,'Territory Factors'!$B$6:$B$56,0))*$AU259*$AV259,"")</f>
        <v/>
      </c>
      <c r="CL259" s="102" t="str">
        <f>IFERROR(($CJ259+$CK259)*(1+'Technical Premium'!$C$7),"")</f>
        <v/>
      </c>
      <c r="CM259" s="104" t="str">
        <f>IFERROR($CL259/'Technical Premium'!$C$13,"")</f>
        <v/>
      </c>
      <c r="CN259" s="105" t="str">
        <f t="shared" si="45"/>
        <v/>
      </c>
      <c r="CO259" s="104" t="str">
        <f t="shared" si="46"/>
        <v/>
      </c>
      <c r="CP259" s="105" t="str">
        <f t="shared" si="47"/>
        <v/>
      </c>
      <c r="CQ259" s="106" t="str">
        <f t="shared" si="48"/>
        <v/>
      </c>
      <c r="CR259" s="102" t="str">
        <f>IF(ISNUMBER($CM259),'Technical Premium'!$C$14+IF($J259&gt;=1000000,'Technical Premium'!$C$15,0),"")</f>
        <v/>
      </c>
      <c r="CS259" s="102" t="str">
        <f>IFERROR(($CO259+$CR259)*(INDEX('Territory Factors'!$K$6:$K$56,MATCH($K259,'Territory Factors'!$B$6:$B$56,0))+'Commission Structure'!$C$21),"")</f>
        <v/>
      </c>
      <c r="CT259" s="104" t="str">
        <f t="shared" si="49"/>
        <v/>
      </c>
      <c r="CU259" s="102" t="str">
        <f>IFERROR($CO259*('Commission Structure'!$C$6+'Commission Structure'!$C$7),"")</f>
        <v/>
      </c>
      <c r="CV259" s="102" t="str">
        <f>IFERROR($CO259*'Commission Structure'!$C$5-$CU259,"")</f>
        <v/>
      </c>
      <c r="CW259" s="102" t="str">
        <f>IFERROR($CO259*(1-'Commission Structure'!$C$5),"")</f>
        <v/>
      </c>
      <c r="CX259" s="107"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8" t="str">
        <f t="shared" si="50"/>
        <v/>
      </c>
      <c r="CZ259" s="99" t="str">
        <f>IF($CY259="","",IF($CY259&lt;'Technical Premium'!$C$19,"BEYOND AUTHORITY",IF($CY259&gt;0.005,"Above technical",IF($CY259&lt;-0.005,"BELOW technical","At technical"))))</f>
        <v/>
      </c>
      <c r="DA259" s="99"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4"/>
      <c r="DC259" s="94"/>
      <c r="DD259" s="95"/>
      <c r="DE259" s="94"/>
      <c r="DF259" s="94"/>
      <c r="DG259" s="99" t="str">
        <f t="shared" si="51"/>
        <v/>
      </c>
      <c r="DH259" s="99" t="str">
        <f>IF($A259="","",IF(OR($CX259="REFER",$CX259="DECLINE"),COUNTIF($CX$5:$CX259,"REFER")+COUNTIF($CX$5:$CX259,"DECLINE"),""))</f>
        <v/>
      </c>
      <c r="DI259" s="94"/>
    </row>
    <row r="260" spans="1:113" x14ac:dyDescent="0.35">
      <c r="A260" s="94"/>
      <c r="B260" s="94"/>
      <c r="C260" s="95"/>
      <c r="D260" s="95"/>
      <c r="E260" s="96"/>
      <c r="F260" s="94"/>
      <c r="G260" s="94"/>
      <c r="H260" s="94"/>
      <c r="I260" s="94"/>
      <c r="J260" s="97"/>
      <c r="K260" s="94"/>
      <c r="L260" s="94"/>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8"/>
      <c r="AR260" s="99" t="str">
        <f t="shared" si="39"/>
        <v/>
      </c>
      <c r="AS260" s="99" t="str">
        <f>IF($A260="","",IF($AP260&lt;&gt;"",$AP260,IFERROR(INDEX('Cat Zone by ZIP'!$D$6:$D$856,MATCH($AR260,'Cat Zone by ZIP'!$B$6:$B$856,0)),IFERROR(INDEX('Cat Zone by ZIP'!$C$860:$C$910,MATCH($K260,'Cat Zone by ZIP'!$B$860:$B$910,0)),"NOT FOUND"))))</f>
        <v/>
      </c>
      <c r="AT260" s="99" t="str">
        <f>IF($A260="","",IF($AP260&lt;&gt;"","Override",IF(ISNUMBER(MATCH($AR260,'Cat Zone by ZIP'!$B$6:$B$856,0)),"ZIP-3","State default")))</f>
        <v/>
      </c>
      <c r="AU260" s="100" t="str">
        <f>IF($A260="","",IFERROR(INDEX('Natural Catastrophe'!$D$6:$D$17,MATCH($AS260,'Natural Catastrophe'!$B$6:$B$17,0)),"?"))</f>
        <v/>
      </c>
      <c r="AV260" s="100" t="str">
        <f>IF($A260="","",IFERROR(INDEX('Natural Catastrophe'!$C$21:$C$26,MATCH($AA260,'Natural Catastrophe'!$B$21:$B$26,0)),"?"))</f>
        <v/>
      </c>
      <c r="AW260" s="99" t="str">
        <f>IF($A260="","",IFERROR(INDEX('Base Rates'!$C$4:$I$4,MATCH(MAX($J260,'Technical Premium'!$C$18),'Base Rates'!$C$3:$I$3,1)),"?"))</f>
        <v/>
      </c>
      <c r="AX260" s="101" t="str">
        <f>IF($A260="","",IFERROR(INDEX('Base Rates'!$C$5:$I$16,MATCH($I260,'Base Rates'!$B$5:$B$16,0),MATCH(MAX($J260,'Technical Premium'!$C$18),'Base Rates'!$C$3:$I$3,1)),"?"))</f>
        <v/>
      </c>
      <c r="AY260" s="102" t="str">
        <f t="shared" si="40"/>
        <v/>
      </c>
      <c r="AZ260" s="99" t="str">
        <f>IF($A260="","",IFERROR(INDEX('Make Factors'!$G$5:$G$69,MATCH($F260,'Make Factors'!$B$5:$B$69,0)),"?"))</f>
        <v/>
      </c>
      <c r="BA260" s="99" t="str">
        <f>IF($A260="","",IFERROR(INDEX('Driver Factors'!$C$6:$C$15,MATCH($R260,'Driver Factors'!$B$6:$B$15,0)),"?"))</f>
        <v/>
      </c>
      <c r="BB260" s="99" t="str">
        <f>IF($A260="","",IFERROR(INDEX('Driver Factors'!$C$19:$C$24,MATCH($S260,'Driver Factors'!$B$19:$B$24,0)),"?"))</f>
        <v/>
      </c>
      <c r="BC260" s="99" t="str">
        <f>IF($A260="","",IFERROR(INDEX('Driver Factors'!$C$28:$C$36,MATCH($T260,'Driver Factors'!$B$28:$B$36,0)),"?"))</f>
        <v/>
      </c>
      <c r="BD260" s="99" t="str">
        <f>IF($A260="","",IFERROR(INDEX('Claims History'!$C$6:$C$15,MATCH($U260,'Claims History'!$B$6:$B$15,0)),"?"))</f>
        <v/>
      </c>
      <c r="BE260" s="99" t="str">
        <f>IF($A260="","",IFERROR(INDEX('Territory Factors'!$E$6:$E$56,MATCH($K260,'Territory Factors'!$B$6:$B$56,0)),"?"))</f>
        <v/>
      </c>
      <c r="BF260" s="99" t="str">
        <f>IF($A260="","",IFERROR(INDEX('City Accident Ratings'!$G$6:$G$54,MATCH($Z260,'City Accident Ratings'!$B$6:$B$54,0)),"?"))</f>
        <v/>
      </c>
      <c r="BG260" s="99" t="str">
        <f>IF($A260="","",IFERROR(INDEX('Usage and Coverage'!$D$6:$D$20,MATCH($N260,'Usage and Coverage'!$C$6:$C$20,0)),"?"))</f>
        <v/>
      </c>
      <c r="BH260" s="99" t="str">
        <f>IF($A260="","",IFERROR(INDEX('Usage and Coverage'!$C$24:$C$30,MATCH($O260,'Usage and Coverage'!$B$24:$B$30,0)),"?"))</f>
        <v/>
      </c>
      <c r="BI260" s="99" t="str">
        <f>IF($A260="","",IFERROR(INDEX('Usage and Coverage'!$C$34:$C$40,MATCH($P260,'Usage and Coverage'!$B$34:$B$40,0)),"?"))</f>
        <v/>
      </c>
      <c r="BJ260" s="99" t="str">
        <f>IF($A260="","",IFERROR(INDEX('Usage and Coverage'!$C$44:$C$49,MATCH($Q260,'Usage and Coverage'!$B$44:$B$49,0)),"?"))</f>
        <v/>
      </c>
      <c r="BK260" s="99" t="str">
        <f>IF($A260="","",IFERROR(INDEX(Deductibles!$C$6:$I$15,MATCH($W260,Deductibles!$B$6:$B$15,0),MATCH(MAX($J260,'Technical Premium'!$C$18),'Base Rates'!$C$3:$I$3,1)),"?"))</f>
        <v/>
      </c>
      <c r="BL260" s="99" t="str">
        <f>IF($A260="","",IFERROR(INDEX('Usage and Coverage'!$C$63:$C$66,MATCH($X260,'Usage and Coverage'!$B$63:$B$66,0)),"?"))</f>
        <v/>
      </c>
      <c r="BM260" s="99" t="str">
        <f>IF($A260="","",IFERROR(INDEX('Usage and Coverage'!$C$70:$C$75,MATCH($V260,'Usage and Coverage'!$B$70:$B$75,0)),"?"))</f>
        <v/>
      </c>
      <c r="BN260" s="99" t="str">
        <f>IF($A260="","",IF($AB260="",1,IFERROR(INDEX(Deductibles!$C$48:$C$51,MATCH($AB260,Deductibles!$B$48:$B$51,0)),"?")))</f>
        <v/>
      </c>
      <c r="BO260" s="99" t="str">
        <f>IF($A260="","",IF($AC260="",1,IFERROR(INDEX(Deductibles!$C$55:$C$57,MATCH($AC260,Deductibles!$B$55:$B$57,0)),"?")))</f>
        <v/>
      </c>
      <c r="BP260" s="99" t="str">
        <f>IF($A260="","",IF($AD260="",1,IFERROR(INDEX(Deductibles!$C$61:$C$63,MATCH($AD260,Deductibles!$B$61:$B$63,0)),"?")))</f>
        <v/>
      </c>
      <c r="BQ260" s="99" t="str">
        <f>IF($A260="","",IF($AE260="",1,IFERROR(INDEX(Deductibles!$C$67:$C$69,MATCH($AE260,Deductibles!$B$67:$B$69,0)),"?")))</f>
        <v/>
      </c>
      <c r="BR260" s="99" t="str">
        <f>IF($A260="","",IF($AF260="",1,IFERROR(INDEX(Deductibles!$C$73:$C$74,MATCH($AF260,Deductibles!$B$73:$B$74,0)),"?")))</f>
        <v/>
      </c>
      <c r="BS260" s="99" t="str">
        <f>IF($A260="","",IF($AG260="",1,IFERROR(INDEX('Sublimits and Parts'!$C$49:$C$52,MATCH($AG260,'Sublimits and Parts'!$B$49:$B$52,0)),"?")))</f>
        <v/>
      </c>
      <c r="BT260" s="99" t="str">
        <f>IF($A260="","",IF($AH260="",1,IFERROR(INDEX('Sublimits and Parts'!$C$56:$C$60,MATCH($AH260,'Sublimits and Parts'!$B$56:$B$60,0)),"?")))</f>
        <v/>
      </c>
      <c r="BU260" s="99" t="str">
        <f>IF($A260="","",IF($AI260="",1,IFERROR(INDEX('Sublimits and Parts'!$C$64:$C$67,MATCH($AI260,'Sublimits and Parts'!$B$64:$B$67,0)),"?")))</f>
        <v/>
      </c>
      <c r="BV260" s="99" t="str">
        <f>IF($A260="","",IF($AJ260="",1,IFERROR(INDEX('Sublimits and Parts'!$C$71:$C$74,MATCH($AJ260,'Sublimits and Parts'!$B$71:$B$74,0)),"?")))</f>
        <v/>
      </c>
      <c r="BW260" s="99" t="str">
        <f>IF($A260="","",IF($AK260="",1,IFERROR(INDEX('Sublimits and Parts'!$C$78:$C$80,MATCH($AK260,'Sublimits and Parts'!$B$78:$B$80,0)),"?")))</f>
        <v/>
      </c>
      <c r="BX260" s="99" t="str">
        <f>IF($A260="","",IF($AL260="",1,IFERROR(INDEX('Sublimits and Parts'!$C$84:$C$87,MATCH($AL260,'Sublimits and Parts'!$B$84:$B$87,0)),"?")))</f>
        <v/>
      </c>
      <c r="BY260" s="99" t="str">
        <f>IF($A260="","",IF($AM260="",1,IFERROR(INDEX('Sublimits and Parts'!$C$91:$C$94,MATCH($AM260,'Sublimits and Parts'!$B$91:$B$94,0)),"?")))</f>
        <v/>
      </c>
      <c r="BZ260" s="99" t="str">
        <f>IF($A260="","",IF($AN260="",1,IFERROR(INDEX('Sublimits and Parts'!$C$98:$C$101,MATCH($AN260,'Sublimits and Parts'!$B$98:$B$101,0)),"?")))</f>
        <v/>
      </c>
      <c r="CA260" s="99" t="str">
        <f>IF($A260="","",IF($AO260="",1,IFERROR(INDEX('Sublimits and Parts'!$C$105:$C$109,MATCH($AO260,'Sublimits and Parts'!$B$105:$B$109,0)),"?")))</f>
        <v/>
      </c>
      <c r="CB260" s="100" t="str">
        <f t="shared" si="41"/>
        <v/>
      </c>
      <c r="CC260" s="100" t="str">
        <f t="shared" si="42"/>
        <v/>
      </c>
      <c r="CD260" s="103" t="str">
        <f>IF($A260="","",IF(OR($CB260="?",$CC260="?"),"?",MIN($CB260*$CC260,'Technical Premium'!$C$17)))</f>
        <v/>
      </c>
      <c r="CE260" s="102" t="str">
        <f t="shared" si="43"/>
        <v/>
      </c>
      <c r="CF260" s="102" t="str">
        <f>IF($A260="","",IFERROR(INDEX('Territory Factors'!$F$6:$F$56,MATCH($K260,'Territory Factors'!$B$6:$B$56,0)),"?"))</f>
        <v/>
      </c>
      <c r="CG260" s="100" t="str">
        <f>IF($A260="","",IFERROR(INDEX('Usage and Coverage'!$C$79:$C$84,MATCH($Y260,'Usage and Coverage'!$B$79:$B$84,0)),"?"))</f>
        <v/>
      </c>
      <c r="CH260" s="102" t="str">
        <f>IFERROR(IF(ISNUMBER($CD260),$CF260*$CG260*MIN($BG260*$BA260*$BC260*$BD260*$BH260*$BF260,'Technical Premium'!$C$17),""),"")</f>
        <v/>
      </c>
      <c r="CI260" s="102" t="str">
        <f t="shared" si="44"/>
        <v/>
      </c>
      <c r="CJ260" s="102" t="str">
        <f>IFERROR($CI260*(1+'Technical Premium'!$C$5)*(1+'Technical Premium'!$C$6),"")</f>
        <v/>
      </c>
      <c r="CK260" s="102" t="str">
        <f>IFERROR($CE260*INDEX('Territory Factors'!$G$6:$G$56,MATCH($K260,'Territory Factors'!$B$6:$B$56,0))*$AU260*$AV260,"")</f>
        <v/>
      </c>
      <c r="CL260" s="102" t="str">
        <f>IFERROR(($CJ260+$CK260)*(1+'Technical Premium'!$C$7),"")</f>
        <v/>
      </c>
      <c r="CM260" s="104" t="str">
        <f>IFERROR($CL260/'Technical Premium'!$C$13,"")</f>
        <v/>
      </c>
      <c r="CN260" s="105" t="str">
        <f t="shared" si="45"/>
        <v/>
      </c>
      <c r="CO260" s="104" t="str">
        <f t="shared" si="46"/>
        <v/>
      </c>
      <c r="CP260" s="105" t="str">
        <f t="shared" si="47"/>
        <v/>
      </c>
      <c r="CQ260" s="106" t="str">
        <f t="shared" si="48"/>
        <v/>
      </c>
      <c r="CR260" s="102" t="str">
        <f>IF(ISNUMBER($CM260),'Technical Premium'!$C$14+IF($J260&gt;=1000000,'Technical Premium'!$C$15,0),"")</f>
        <v/>
      </c>
      <c r="CS260" s="102" t="str">
        <f>IFERROR(($CO260+$CR260)*(INDEX('Territory Factors'!$K$6:$K$56,MATCH($K260,'Territory Factors'!$B$6:$B$56,0))+'Commission Structure'!$C$21),"")</f>
        <v/>
      </c>
      <c r="CT260" s="104" t="str">
        <f t="shared" si="49"/>
        <v/>
      </c>
      <c r="CU260" s="102" t="str">
        <f>IFERROR($CO260*('Commission Structure'!$C$6+'Commission Structure'!$C$7),"")</f>
        <v/>
      </c>
      <c r="CV260" s="102" t="str">
        <f>IFERROR($CO260*'Commission Structure'!$C$5-$CU260,"")</f>
        <v/>
      </c>
      <c r="CW260" s="102" t="str">
        <f>IFERROR($CO260*(1-'Commission Structure'!$C$5),"")</f>
        <v/>
      </c>
      <c r="CX260" s="107"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8" t="str">
        <f t="shared" si="50"/>
        <v/>
      </c>
      <c r="CZ260" s="99" t="str">
        <f>IF($CY260="","",IF($CY260&lt;'Technical Premium'!$C$19,"BEYOND AUTHORITY",IF($CY260&gt;0.005,"Above technical",IF($CY260&lt;-0.005,"BELOW technical","At technical"))))</f>
        <v/>
      </c>
      <c r="DA260" s="99"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4"/>
      <c r="DC260" s="94"/>
      <c r="DD260" s="95"/>
      <c r="DE260" s="94"/>
      <c r="DF260" s="94"/>
      <c r="DG260" s="99" t="str">
        <f t="shared" si="51"/>
        <v/>
      </c>
      <c r="DH260" s="99" t="str">
        <f>IF($A260="","",IF(OR($CX260="REFER",$CX260="DECLINE"),COUNTIF($CX$5:$CX260,"REFER")+COUNTIF($CX$5:$CX260,"DECLINE"),""))</f>
        <v/>
      </c>
      <c r="DI260" s="94"/>
    </row>
    <row r="261" spans="1:113" x14ac:dyDescent="0.35">
      <c r="A261" s="94"/>
      <c r="B261" s="94"/>
      <c r="C261" s="95"/>
      <c r="D261" s="95"/>
      <c r="E261" s="96"/>
      <c r="F261" s="94"/>
      <c r="G261" s="94"/>
      <c r="H261" s="94"/>
      <c r="I261" s="94"/>
      <c r="J261" s="97"/>
      <c r="K261" s="94"/>
      <c r="L261" s="94"/>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8"/>
      <c r="AR261" s="99" t="str">
        <f t="shared" ref="AR261:AR304" si="52">IF($A261="","",IFERROR(LEFT(TEXT(VALUE($L261),"00000"),3),"---"))</f>
        <v/>
      </c>
      <c r="AS261" s="99" t="str">
        <f>IF($A261="","",IF($AP261&lt;&gt;"",$AP261,IFERROR(INDEX('Cat Zone by ZIP'!$D$6:$D$856,MATCH($AR261,'Cat Zone by ZIP'!$B$6:$B$856,0)),IFERROR(INDEX('Cat Zone by ZIP'!$C$860:$C$910,MATCH($K261,'Cat Zone by ZIP'!$B$860:$B$910,0)),"NOT FOUND"))))</f>
        <v/>
      </c>
      <c r="AT261" s="99" t="str">
        <f>IF($A261="","",IF($AP261&lt;&gt;"","Override",IF(ISNUMBER(MATCH($AR261,'Cat Zone by ZIP'!$B$6:$B$856,0)),"ZIP-3","State default")))</f>
        <v/>
      </c>
      <c r="AU261" s="100" t="str">
        <f>IF($A261="","",IFERROR(INDEX('Natural Catastrophe'!$D$6:$D$17,MATCH($AS261,'Natural Catastrophe'!$B$6:$B$17,0)),"?"))</f>
        <v/>
      </c>
      <c r="AV261" s="100" t="str">
        <f>IF($A261="","",IFERROR(INDEX('Natural Catastrophe'!$C$21:$C$26,MATCH($AA261,'Natural Catastrophe'!$B$21:$B$26,0)),"?"))</f>
        <v/>
      </c>
      <c r="AW261" s="99" t="str">
        <f>IF($A261="","",IFERROR(INDEX('Base Rates'!$C$4:$I$4,MATCH(MAX($J261,'Technical Premium'!$C$18),'Base Rates'!$C$3:$I$3,1)),"?"))</f>
        <v/>
      </c>
      <c r="AX261" s="101" t="str">
        <f>IF($A261="","",IFERROR(INDEX('Base Rates'!$C$5:$I$16,MATCH($I261,'Base Rates'!$B$5:$B$16,0),MATCH(MAX($J261,'Technical Premium'!$C$18),'Base Rates'!$C$3:$I$3,1)),"?"))</f>
        <v/>
      </c>
      <c r="AY261" s="102" t="str">
        <f t="shared" ref="AY261:AY304" si="53">IF(ISNUMBER($AX261),$J261/100*$AX261,"")</f>
        <v/>
      </c>
      <c r="AZ261" s="99" t="str">
        <f>IF($A261="","",IFERROR(INDEX('Make Factors'!$G$5:$G$69,MATCH($F261,'Make Factors'!$B$5:$B$69,0)),"?"))</f>
        <v/>
      </c>
      <c r="BA261" s="99" t="str">
        <f>IF($A261="","",IFERROR(INDEX('Driver Factors'!$C$6:$C$15,MATCH($R261,'Driver Factors'!$B$6:$B$15,0)),"?"))</f>
        <v/>
      </c>
      <c r="BB261" s="99" t="str">
        <f>IF($A261="","",IFERROR(INDEX('Driver Factors'!$C$19:$C$24,MATCH($S261,'Driver Factors'!$B$19:$B$24,0)),"?"))</f>
        <v/>
      </c>
      <c r="BC261" s="99" t="str">
        <f>IF($A261="","",IFERROR(INDEX('Driver Factors'!$C$28:$C$36,MATCH($T261,'Driver Factors'!$B$28:$B$36,0)),"?"))</f>
        <v/>
      </c>
      <c r="BD261" s="99" t="str">
        <f>IF($A261="","",IFERROR(INDEX('Claims History'!$C$6:$C$15,MATCH($U261,'Claims History'!$B$6:$B$15,0)),"?"))</f>
        <v/>
      </c>
      <c r="BE261" s="99" t="str">
        <f>IF($A261="","",IFERROR(INDEX('Territory Factors'!$E$6:$E$56,MATCH($K261,'Territory Factors'!$B$6:$B$56,0)),"?"))</f>
        <v/>
      </c>
      <c r="BF261" s="99" t="str">
        <f>IF($A261="","",IFERROR(INDEX('City Accident Ratings'!$G$6:$G$54,MATCH($Z261,'City Accident Ratings'!$B$6:$B$54,0)),"?"))</f>
        <v/>
      </c>
      <c r="BG261" s="99" t="str">
        <f>IF($A261="","",IFERROR(INDEX('Usage and Coverage'!$D$6:$D$20,MATCH($N261,'Usage and Coverage'!$C$6:$C$20,0)),"?"))</f>
        <v/>
      </c>
      <c r="BH261" s="99" t="str">
        <f>IF($A261="","",IFERROR(INDEX('Usage and Coverage'!$C$24:$C$30,MATCH($O261,'Usage and Coverage'!$B$24:$B$30,0)),"?"))</f>
        <v/>
      </c>
      <c r="BI261" s="99" t="str">
        <f>IF($A261="","",IFERROR(INDEX('Usage and Coverage'!$C$34:$C$40,MATCH($P261,'Usage and Coverage'!$B$34:$B$40,0)),"?"))</f>
        <v/>
      </c>
      <c r="BJ261" s="99" t="str">
        <f>IF($A261="","",IFERROR(INDEX('Usage and Coverage'!$C$44:$C$49,MATCH($Q261,'Usage and Coverage'!$B$44:$B$49,0)),"?"))</f>
        <v/>
      </c>
      <c r="BK261" s="99" t="str">
        <f>IF($A261="","",IFERROR(INDEX(Deductibles!$C$6:$I$15,MATCH($W261,Deductibles!$B$6:$B$15,0),MATCH(MAX($J261,'Technical Premium'!$C$18),'Base Rates'!$C$3:$I$3,1)),"?"))</f>
        <v/>
      </c>
      <c r="BL261" s="99" t="str">
        <f>IF($A261="","",IFERROR(INDEX('Usage and Coverage'!$C$63:$C$66,MATCH($X261,'Usage and Coverage'!$B$63:$B$66,0)),"?"))</f>
        <v/>
      </c>
      <c r="BM261" s="99" t="str">
        <f>IF($A261="","",IFERROR(INDEX('Usage and Coverage'!$C$70:$C$75,MATCH($V261,'Usage and Coverage'!$B$70:$B$75,0)),"?"))</f>
        <v/>
      </c>
      <c r="BN261" s="99" t="str">
        <f>IF($A261="","",IF($AB261="",1,IFERROR(INDEX(Deductibles!$C$48:$C$51,MATCH($AB261,Deductibles!$B$48:$B$51,0)),"?")))</f>
        <v/>
      </c>
      <c r="BO261" s="99" t="str">
        <f>IF($A261="","",IF($AC261="",1,IFERROR(INDEX(Deductibles!$C$55:$C$57,MATCH($AC261,Deductibles!$B$55:$B$57,0)),"?")))</f>
        <v/>
      </c>
      <c r="BP261" s="99" t="str">
        <f>IF($A261="","",IF($AD261="",1,IFERROR(INDEX(Deductibles!$C$61:$C$63,MATCH($AD261,Deductibles!$B$61:$B$63,0)),"?")))</f>
        <v/>
      </c>
      <c r="BQ261" s="99" t="str">
        <f>IF($A261="","",IF($AE261="",1,IFERROR(INDEX(Deductibles!$C$67:$C$69,MATCH($AE261,Deductibles!$B$67:$B$69,0)),"?")))</f>
        <v/>
      </c>
      <c r="BR261" s="99" t="str">
        <f>IF($A261="","",IF($AF261="",1,IFERROR(INDEX(Deductibles!$C$73:$C$74,MATCH($AF261,Deductibles!$B$73:$B$74,0)),"?")))</f>
        <v/>
      </c>
      <c r="BS261" s="99" t="str">
        <f>IF($A261="","",IF($AG261="",1,IFERROR(INDEX('Sublimits and Parts'!$C$49:$C$52,MATCH($AG261,'Sublimits and Parts'!$B$49:$B$52,0)),"?")))</f>
        <v/>
      </c>
      <c r="BT261" s="99" t="str">
        <f>IF($A261="","",IF($AH261="",1,IFERROR(INDEX('Sublimits and Parts'!$C$56:$C$60,MATCH($AH261,'Sublimits and Parts'!$B$56:$B$60,0)),"?")))</f>
        <v/>
      </c>
      <c r="BU261" s="99" t="str">
        <f>IF($A261="","",IF($AI261="",1,IFERROR(INDEX('Sublimits and Parts'!$C$64:$C$67,MATCH($AI261,'Sublimits and Parts'!$B$64:$B$67,0)),"?")))</f>
        <v/>
      </c>
      <c r="BV261" s="99" t="str">
        <f>IF($A261="","",IF($AJ261="",1,IFERROR(INDEX('Sublimits and Parts'!$C$71:$C$74,MATCH($AJ261,'Sublimits and Parts'!$B$71:$B$74,0)),"?")))</f>
        <v/>
      </c>
      <c r="BW261" s="99" t="str">
        <f>IF($A261="","",IF($AK261="",1,IFERROR(INDEX('Sublimits and Parts'!$C$78:$C$80,MATCH($AK261,'Sublimits and Parts'!$B$78:$B$80,0)),"?")))</f>
        <v/>
      </c>
      <c r="BX261" s="99" t="str">
        <f>IF($A261="","",IF($AL261="",1,IFERROR(INDEX('Sublimits and Parts'!$C$84:$C$87,MATCH($AL261,'Sublimits and Parts'!$B$84:$B$87,0)),"?")))</f>
        <v/>
      </c>
      <c r="BY261" s="99" t="str">
        <f>IF($A261="","",IF($AM261="",1,IFERROR(INDEX('Sublimits and Parts'!$C$91:$C$94,MATCH($AM261,'Sublimits and Parts'!$B$91:$B$94,0)),"?")))</f>
        <v/>
      </c>
      <c r="BZ261" s="99" t="str">
        <f>IF($A261="","",IF($AN261="",1,IFERROR(INDEX('Sublimits and Parts'!$C$98:$C$101,MATCH($AN261,'Sublimits and Parts'!$B$98:$B$101,0)),"?")))</f>
        <v/>
      </c>
      <c r="CA261" s="99" t="str">
        <f>IF($A261="","",IF($AO261="",1,IFERROR(INDEX('Sublimits and Parts'!$C$105:$C$109,MATCH($AO261,'Sublimits and Parts'!$B$105:$B$109,0)),"?")))</f>
        <v/>
      </c>
      <c r="CB261" s="100" t="str">
        <f t="shared" ref="CB261:CB304" si="54">IF($A261="","",IF(SUMPRODUCT(--ISTEXT($AZ261:$BM261))&gt;0,"?",PRODUCT($AZ261:$BM261)))</f>
        <v/>
      </c>
      <c r="CC261" s="100" t="str">
        <f t="shared" ref="CC261:CC304" si="55">IF($A261="","",IF(SUMPRODUCT(--ISTEXT($BN261:$CA261))&gt;0,"?",PRODUCT($BN261:$CA261)))</f>
        <v/>
      </c>
      <c r="CD261" s="103" t="str">
        <f>IF($A261="","",IF(OR($CB261="?",$CC261="?"),"?",MIN($CB261*$CC261,'Technical Premium'!$C$17)))</f>
        <v/>
      </c>
      <c r="CE261" s="102" t="str">
        <f t="shared" ref="CE261:CE304" si="56">IF(ISNUMBER($CD261),$AY261*$CD261,"")</f>
        <v/>
      </c>
      <c r="CF261" s="102" t="str">
        <f>IF($A261="","",IFERROR(INDEX('Territory Factors'!$F$6:$F$56,MATCH($K261,'Territory Factors'!$B$6:$B$56,0)),"?"))</f>
        <v/>
      </c>
      <c r="CG261" s="100" t="str">
        <f>IF($A261="","",IFERROR(INDEX('Usage and Coverage'!$C$79:$C$84,MATCH($Y261,'Usage and Coverage'!$B$79:$B$84,0)),"?"))</f>
        <v/>
      </c>
      <c r="CH261" s="102" t="str">
        <f>IFERROR(IF(ISNUMBER($CD261),$CF261*$CG261*MIN($BG261*$BA261*$BC261*$BD261*$BH261*$BF261,'Technical Premium'!$C$17),""),"")</f>
        <v/>
      </c>
      <c r="CI261" s="102" t="str">
        <f t="shared" ref="CI261:CI304" si="57">IFERROR($CE261+$CH261,"")</f>
        <v/>
      </c>
      <c r="CJ261" s="102" t="str">
        <f>IFERROR($CI261*(1+'Technical Premium'!$C$5)*(1+'Technical Premium'!$C$6),"")</f>
        <v/>
      </c>
      <c r="CK261" s="102" t="str">
        <f>IFERROR($CE261*INDEX('Territory Factors'!$G$6:$G$56,MATCH($K261,'Territory Factors'!$B$6:$B$56,0))*$AU261*$AV261,"")</f>
        <v/>
      </c>
      <c r="CL261" s="102" t="str">
        <f>IFERROR(($CJ261+$CK261)*(1+'Technical Premium'!$C$7),"")</f>
        <v/>
      </c>
      <c r="CM261" s="104" t="str">
        <f>IFERROR($CL261/'Technical Premium'!$C$13,"")</f>
        <v/>
      </c>
      <c r="CN261" s="105" t="str">
        <f t="shared" ref="CN261:CN304" si="58">IFERROR($CM261/$J261*100,"")</f>
        <v/>
      </c>
      <c r="CO261" s="104" t="str">
        <f t="shared" ref="CO261:CO304" si="59">IFERROR($CM261*(1+N($AQ261)),"")</f>
        <v/>
      </c>
      <c r="CP261" s="105" t="str">
        <f t="shared" ref="CP261:CP304" si="60">IFERROR($CO261/$J261*100,"")</f>
        <v/>
      </c>
      <c r="CQ261" s="106" t="str">
        <f t="shared" ref="CQ261:CQ304" si="61">IFERROR($CP261/$CN261,"")</f>
        <v/>
      </c>
      <c r="CR261" s="102" t="str">
        <f>IF(ISNUMBER($CM261),'Technical Premium'!$C$14+IF($J261&gt;=1000000,'Technical Premium'!$C$15,0),"")</f>
        <v/>
      </c>
      <c r="CS261" s="102" t="str">
        <f>IFERROR(($CO261+$CR261)*(INDEX('Territory Factors'!$K$6:$K$56,MATCH($K261,'Territory Factors'!$B$6:$B$56,0))+'Commission Structure'!$C$21),"")</f>
        <v/>
      </c>
      <c r="CT261" s="104" t="str">
        <f t="shared" ref="CT261:CT304" si="62">IFERROR($CO261+$CR261+$CS261,"")</f>
        <v/>
      </c>
      <c r="CU261" s="102" t="str">
        <f>IFERROR($CO261*('Commission Structure'!$C$6+'Commission Structure'!$C$7),"")</f>
        <v/>
      </c>
      <c r="CV261" s="102" t="str">
        <f>IFERROR($CO261*'Commission Structure'!$C$5-$CU261,"")</f>
        <v/>
      </c>
      <c r="CW261" s="102" t="str">
        <f>IFERROR($CO261*(1-'Commission Structure'!$C$5),"")</f>
        <v/>
      </c>
      <c r="CX261" s="107"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8" t="str">
        <f t="shared" ref="CY261:CY304" si="63">IFERROR($CO261/$CM261-1,"")</f>
        <v/>
      </c>
      <c r="CZ261" s="99" t="str">
        <f>IF($CY261="","",IF($CY261&lt;'Technical Premium'!$C$19,"BEYOND AUTHORITY",IF($CY261&gt;0.005,"Above technical",IF($CY261&lt;-0.005,"BELOW technical","At technical"))))</f>
        <v/>
      </c>
      <c r="DA261" s="99"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4"/>
      <c r="DC261" s="94"/>
      <c r="DD261" s="95"/>
      <c r="DE261" s="94"/>
      <c r="DF261" s="94"/>
      <c r="DG261" s="99" t="str">
        <f t="shared" ref="DG261:DG304" si="64">IF($A261="","",IF($CX261="DECLINE","NO - DECLINED",IF($CX261="CHECK INPUTS","NO - INCOMPLETE INPUTS",IF($CX261="AUTO-BIND","YES - within authority",IF(AND($DB261&lt;&gt;"",$DD261&lt;&gt;""),"YES - approved "&amp;TEXT($DD261,"dd-mmm-yy"),"NO - AWAITING APPROVAL")))))</f>
        <v/>
      </c>
      <c r="DH261" s="99" t="str">
        <f>IF($A261="","",IF(OR($CX261="REFER",$CX261="DECLINE"),COUNTIF($CX$5:$CX261,"REFER")+COUNTIF($CX$5:$CX261,"DECLINE"),""))</f>
        <v/>
      </c>
      <c r="DI261" s="94"/>
    </row>
    <row r="262" spans="1:113" x14ac:dyDescent="0.35">
      <c r="A262" s="94"/>
      <c r="B262" s="94"/>
      <c r="C262" s="95"/>
      <c r="D262" s="95"/>
      <c r="E262" s="96"/>
      <c r="F262" s="94"/>
      <c r="G262" s="94"/>
      <c r="H262" s="94"/>
      <c r="I262" s="94"/>
      <c r="J262" s="97"/>
      <c r="K262" s="94"/>
      <c r="L262" s="94"/>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8"/>
      <c r="AR262" s="99" t="str">
        <f t="shared" si="52"/>
        <v/>
      </c>
      <c r="AS262" s="99" t="str">
        <f>IF($A262="","",IF($AP262&lt;&gt;"",$AP262,IFERROR(INDEX('Cat Zone by ZIP'!$D$6:$D$856,MATCH($AR262,'Cat Zone by ZIP'!$B$6:$B$856,0)),IFERROR(INDEX('Cat Zone by ZIP'!$C$860:$C$910,MATCH($K262,'Cat Zone by ZIP'!$B$860:$B$910,0)),"NOT FOUND"))))</f>
        <v/>
      </c>
      <c r="AT262" s="99" t="str">
        <f>IF($A262="","",IF($AP262&lt;&gt;"","Override",IF(ISNUMBER(MATCH($AR262,'Cat Zone by ZIP'!$B$6:$B$856,0)),"ZIP-3","State default")))</f>
        <v/>
      </c>
      <c r="AU262" s="100" t="str">
        <f>IF($A262="","",IFERROR(INDEX('Natural Catastrophe'!$D$6:$D$17,MATCH($AS262,'Natural Catastrophe'!$B$6:$B$17,0)),"?"))</f>
        <v/>
      </c>
      <c r="AV262" s="100" t="str">
        <f>IF($A262="","",IFERROR(INDEX('Natural Catastrophe'!$C$21:$C$26,MATCH($AA262,'Natural Catastrophe'!$B$21:$B$26,0)),"?"))</f>
        <v/>
      </c>
      <c r="AW262" s="99" t="str">
        <f>IF($A262="","",IFERROR(INDEX('Base Rates'!$C$4:$I$4,MATCH(MAX($J262,'Technical Premium'!$C$18),'Base Rates'!$C$3:$I$3,1)),"?"))</f>
        <v/>
      </c>
      <c r="AX262" s="101" t="str">
        <f>IF($A262="","",IFERROR(INDEX('Base Rates'!$C$5:$I$16,MATCH($I262,'Base Rates'!$B$5:$B$16,0),MATCH(MAX($J262,'Technical Premium'!$C$18),'Base Rates'!$C$3:$I$3,1)),"?"))</f>
        <v/>
      </c>
      <c r="AY262" s="102" t="str">
        <f t="shared" si="53"/>
        <v/>
      </c>
      <c r="AZ262" s="99" t="str">
        <f>IF($A262="","",IFERROR(INDEX('Make Factors'!$G$5:$G$69,MATCH($F262,'Make Factors'!$B$5:$B$69,0)),"?"))</f>
        <v/>
      </c>
      <c r="BA262" s="99" t="str">
        <f>IF($A262="","",IFERROR(INDEX('Driver Factors'!$C$6:$C$15,MATCH($R262,'Driver Factors'!$B$6:$B$15,0)),"?"))</f>
        <v/>
      </c>
      <c r="BB262" s="99" t="str">
        <f>IF($A262="","",IFERROR(INDEX('Driver Factors'!$C$19:$C$24,MATCH($S262,'Driver Factors'!$B$19:$B$24,0)),"?"))</f>
        <v/>
      </c>
      <c r="BC262" s="99" t="str">
        <f>IF($A262="","",IFERROR(INDEX('Driver Factors'!$C$28:$C$36,MATCH($T262,'Driver Factors'!$B$28:$B$36,0)),"?"))</f>
        <v/>
      </c>
      <c r="BD262" s="99" t="str">
        <f>IF($A262="","",IFERROR(INDEX('Claims History'!$C$6:$C$15,MATCH($U262,'Claims History'!$B$6:$B$15,0)),"?"))</f>
        <v/>
      </c>
      <c r="BE262" s="99" t="str">
        <f>IF($A262="","",IFERROR(INDEX('Territory Factors'!$E$6:$E$56,MATCH($K262,'Territory Factors'!$B$6:$B$56,0)),"?"))</f>
        <v/>
      </c>
      <c r="BF262" s="99" t="str">
        <f>IF($A262="","",IFERROR(INDEX('City Accident Ratings'!$G$6:$G$54,MATCH($Z262,'City Accident Ratings'!$B$6:$B$54,0)),"?"))</f>
        <v/>
      </c>
      <c r="BG262" s="99" t="str">
        <f>IF($A262="","",IFERROR(INDEX('Usage and Coverage'!$D$6:$D$20,MATCH($N262,'Usage and Coverage'!$C$6:$C$20,0)),"?"))</f>
        <v/>
      </c>
      <c r="BH262" s="99" t="str">
        <f>IF($A262="","",IFERROR(INDEX('Usage and Coverage'!$C$24:$C$30,MATCH($O262,'Usage and Coverage'!$B$24:$B$30,0)),"?"))</f>
        <v/>
      </c>
      <c r="BI262" s="99" t="str">
        <f>IF($A262="","",IFERROR(INDEX('Usage and Coverage'!$C$34:$C$40,MATCH($P262,'Usage and Coverage'!$B$34:$B$40,0)),"?"))</f>
        <v/>
      </c>
      <c r="BJ262" s="99" t="str">
        <f>IF($A262="","",IFERROR(INDEX('Usage and Coverage'!$C$44:$C$49,MATCH($Q262,'Usage and Coverage'!$B$44:$B$49,0)),"?"))</f>
        <v/>
      </c>
      <c r="BK262" s="99" t="str">
        <f>IF($A262="","",IFERROR(INDEX(Deductibles!$C$6:$I$15,MATCH($W262,Deductibles!$B$6:$B$15,0),MATCH(MAX($J262,'Technical Premium'!$C$18),'Base Rates'!$C$3:$I$3,1)),"?"))</f>
        <v/>
      </c>
      <c r="BL262" s="99" t="str">
        <f>IF($A262="","",IFERROR(INDEX('Usage and Coverage'!$C$63:$C$66,MATCH($X262,'Usage and Coverage'!$B$63:$B$66,0)),"?"))</f>
        <v/>
      </c>
      <c r="BM262" s="99" t="str">
        <f>IF($A262="","",IFERROR(INDEX('Usage and Coverage'!$C$70:$C$75,MATCH($V262,'Usage and Coverage'!$B$70:$B$75,0)),"?"))</f>
        <v/>
      </c>
      <c r="BN262" s="99" t="str">
        <f>IF($A262="","",IF($AB262="",1,IFERROR(INDEX(Deductibles!$C$48:$C$51,MATCH($AB262,Deductibles!$B$48:$B$51,0)),"?")))</f>
        <v/>
      </c>
      <c r="BO262" s="99" t="str">
        <f>IF($A262="","",IF($AC262="",1,IFERROR(INDEX(Deductibles!$C$55:$C$57,MATCH($AC262,Deductibles!$B$55:$B$57,0)),"?")))</f>
        <v/>
      </c>
      <c r="BP262" s="99" t="str">
        <f>IF($A262="","",IF($AD262="",1,IFERROR(INDEX(Deductibles!$C$61:$C$63,MATCH($AD262,Deductibles!$B$61:$B$63,0)),"?")))</f>
        <v/>
      </c>
      <c r="BQ262" s="99" t="str">
        <f>IF($A262="","",IF($AE262="",1,IFERROR(INDEX(Deductibles!$C$67:$C$69,MATCH($AE262,Deductibles!$B$67:$B$69,0)),"?")))</f>
        <v/>
      </c>
      <c r="BR262" s="99" t="str">
        <f>IF($A262="","",IF($AF262="",1,IFERROR(INDEX(Deductibles!$C$73:$C$74,MATCH($AF262,Deductibles!$B$73:$B$74,0)),"?")))</f>
        <v/>
      </c>
      <c r="BS262" s="99" t="str">
        <f>IF($A262="","",IF($AG262="",1,IFERROR(INDEX('Sublimits and Parts'!$C$49:$C$52,MATCH($AG262,'Sublimits and Parts'!$B$49:$B$52,0)),"?")))</f>
        <v/>
      </c>
      <c r="BT262" s="99" t="str">
        <f>IF($A262="","",IF($AH262="",1,IFERROR(INDEX('Sublimits and Parts'!$C$56:$C$60,MATCH($AH262,'Sublimits and Parts'!$B$56:$B$60,0)),"?")))</f>
        <v/>
      </c>
      <c r="BU262" s="99" t="str">
        <f>IF($A262="","",IF($AI262="",1,IFERROR(INDEX('Sublimits and Parts'!$C$64:$C$67,MATCH($AI262,'Sublimits and Parts'!$B$64:$B$67,0)),"?")))</f>
        <v/>
      </c>
      <c r="BV262" s="99" t="str">
        <f>IF($A262="","",IF($AJ262="",1,IFERROR(INDEX('Sublimits and Parts'!$C$71:$C$74,MATCH($AJ262,'Sublimits and Parts'!$B$71:$B$74,0)),"?")))</f>
        <v/>
      </c>
      <c r="BW262" s="99" t="str">
        <f>IF($A262="","",IF($AK262="",1,IFERROR(INDEX('Sublimits and Parts'!$C$78:$C$80,MATCH($AK262,'Sublimits and Parts'!$B$78:$B$80,0)),"?")))</f>
        <v/>
      </c>
      <c r="BX262" s="99" t="str">
        <f>IF($A262="","",IF($AL262="",1,IFERROR(INDEX('Sublimits and Parts'!$C$84:$C$87,MATCH($AL262,'Sublimits and Parts'!$B$84:$B$87,0)),"?")))</f>
        <v/>
      </c>
      <c r="BY262" s="99" t="str">
        <f>IF($A262="","",IF($AM262="",1,IFERROR(INDEX('Sublimits and Parts'!$C$91:$C$94,MATCH($AM262,'Sublimits and Parts'!$B$91:$B$94,0)),"?")))</f>
        <v/>
      </c>
      <c r="BZ262" s="99" t="str">
        <f>IF($A262="","",IF($AN262="",1,IFERROR(INDEX('Sublimits and Parts'!$C$98:$C$101,MATCH($AN262,'Sublimits and Parts'!$B$98:$B$101,0)),"?")))</f>
        <v/>
      </c>
      <c r="CA262" s="99" t="str">
        <f>IF($A262="","",IF($AO262="",1,IFERROR(INDEX('Sublimits and Parts'!$C$105:$C$109,MATCH($AO262,'Sublimits and Parts'!$B$105:$B$109,0)),"?")))</f>
        <v/>
      </c>
      <c r="CB262" s="100" t="str">
        <f t="shared" si="54"/>
        <v/>
      </c>
      <c r="CC262" s="100" t="str">
        <f t="shared" si="55"/>
        <v/>
      </c>
      <c r="CD262" s="103" t="str">
        <f>IF($A262="","",IF(OR($CB262="?",$CC262="?"),"?",MIN($CB262*$CC262,'Technical Premium'!$C$17)))</f>
        <v/>
      </c>
      <c r="CE262" s="102" t="str">
        <f t="shared" si="56"/>
        <v/>
      </c>
      <c r="CF262" s="102" t="str">
        <f>IF($A262="","",IFERROR(INDEX('Territory Factors'!$F$6:$F$56,MATCH($K262,'Territory Factors'!$B$6:$B$56,0)),"?"))</f>
        <v/>
      </c>
      <c r="CG262" s="100" t="str">
        <f>IF($A262="","",IFERROR(INDEX('Usage and Coverage'!$C$79:$C$84,MATCH($Y262,'Usage and Coverage'!$B$79:$B$84,0)),"?"))</f>
        <v/>
      </c>
      <c r="CH262" s="102" t="str">
        <f>IFERROR(IF(ISNUMBER($CD262),$CF262*$CG262*MIN($BG262*$BA262*$BC262*$BD262*$BH262*$BF262,'Technical Premium'!$C$17),""),"")</f>
        <v/>
      </c>
      <c r="CI262" s="102" t="str">
        <f t="shared" si="57"/>
        <v/>
      </c>
      <c r="CJ262" s="102" t="str">
        <f>IFERROR($CI262*(1+'Technical Premium'!$C$5)*(1+'Technical Premium'!$C$6),"")</f>
        <v/>
      </c>
      <c r="CK262" s="102" t="str">
        <f>IFERROR($CE262*INDEX('Territory Factors'!$G$6:$G$56,MATCH($K262,'Territory Factors'!$B$6:$B$56,0))*$AU262*$AV262,"")</f>
        <v/>
      </c>
      <c r="CL262" s="102" t="str">
        <f>IFERROR(($CJ262+$CK262)*(1+'Technical Premium'!$C$7),"")</f>
        <v/>
      </c>
      <c r="CM262" s="104" t="str">
        <f>IFERROR($CL262/'Technical Premium'!$C$13,"")</f>
        <v/>
      </c>
      <c r="CN262" s="105" t="str">
        <f t="shared" si="58"/>
        <v/>
      </c>
      <c r="CO262" s="104" t="str">
        <f t="shared" si="59"/>
        <v/>
      </c>
      <c r="CP262" s="105" t="str">
        <f t="shared" si="60"/>
        <v/>
      </c>
      <c r="CQ262" s="106" t="str">
        <f t="shared" si="61"/>
        <v/>
      </c>
      <c r="CR262" s="102" t="str">
        <f>IF(ISNUMBER($CM262),'Technical Premium'!$C$14+IF($J262&gt;=1000000,'Technical Premium'!$C$15,0),"")</f>
        <v/>
      </c>
      <c r="CS262" s="102" t="str">
        <f>IFERROR(($CO262+$CR262)*(INDEX('Territory Factors'!$K$6:$K$56,MATCH($K262,'Territory Factors'!$B$6:$B$56,0))+'Commission Structure'!$C$21),"")</f>
        <v/>
      </c>
      <c r="CT262" s="104" t="str">
        <f t="shared" si="62"/>
        <v/>
      </c>
      <c r="CU262" s="102" t="str">
        <f>IFERROR($CO262*('Commission Structure'!$C$6+'Commission Structure'!$C$7),"")</f>
        <v/>
      </c>
      <c r="CV262" s="102" t="str">
        <f>IFERROR($CO262*'Commission Structure'!$C$5-$CU262,"")</f>
        <v/>
      </c>
      <c r="CW262" s="102" t="str">
        <f>IFERROR($CO262*(1-'Commission Structure'!$C$5),"")</f>
        <v/>
      </c>
      <c r="CX262" s="107"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8" t="str">
        <f t="shared" si="63"/>
        <v/>
      </c>
      <c r="CZ262" s="99" t="str">
        <f>IF($CY262="","",IF($CY262&lt;'Technical Premium'!$C$19,"BEYOND AUTHORITY",IF($CY262&gt;0.005,"Above technical",IF($CY262&lt;-0.005,"BELOW technical","At technical"))))</f>
        <v/>
      </c>
      <c r="DA262" s="99"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4"/>
      <c r="DC262" s="94"/>
      <c r="DD262" s="95"/>
      <c r="DE262" s="94"/>
      <c r="DF262" s="94"/>
      <c r="DG262" s="99" t="str">
        <f t="shared" si="64"/>
        <v/>
      </c>
      <c r="DH262" s="99" t="str">
        <f>IF($A262="","",IF(OR($CX262="REFER",$CX262="DECLINE"),COUNTIF($CX$5:$CX262,"REFER")+COUNTIF($CX$5:$CX262,"DECLINE"),""))</f>
        <v/>
      </c>
      <c r="DI262" s="94"/>
    </row>
    <row r="263" spans="1:113" x14ac:dyDescent="0.35">
      <c r="A263" s="94"/>
      <c r="B263" s="94"/>
      <c r="C263" s="95"/>
      <c r="D263" s="95"/>
      <c r="E263" s="96"/>
      <c r="F263" s="94"/>
      <c r="G263" s="94"/>
      <c r="H263" s="94"/>
      <c r="I263" s="94"/>
      <c r="J263" s="97"/>
      <c r="K263" s="94"/>
      <c r="L263" s="94"/>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8"/>
      <c r="AR263" s="99" t="str">
        <f t="shared" si="52"/>
        <v/>
      </c>
      <c r="AS263" s="99" t="str">
        <f>IF($A263="","",IF($AP263&lt;&gt;"",$AP263,IFERROR(INDEX('Cat Zone by ZIP'!$D$6:$D$856,MATCH($AR263,'Cat Zone by ZIP'!$B$6:$B$856,0)),IFERROR(INDEX('Cat Zone by ZIP'!$C$860:$C$910,MATCH($K263,'Cat Zone by ZIP'!$B$860:$B$910,0)),"NOT FOUND"))))</f>
        <v/>
      </c>
      <c r="AT263" s="99" t="str">
        <f>IF($A263="","",IF($AP263&lt;&gt;"","Override",IF(ISNUMBER(MATCH($AR263,'Cat Zone by ZIP'!$B$6:$B$856,0)),"ZIP-3","State default")))</f>
        <v/>
      </c>
      <c r="AU263" s="100" t="str">
        <f>IF($A263="","",IFERROR(INDEX('Natural Catastrophe'!$D$6:$D$17,MATCH($AS263,'Natural Catastrophe'!$B$6:$B$17,0)),"?"))</f>
        <v/>
      </c>
      <c r="AV263" s="100" t="str">
        <f>IF($A263="","",IFERROR(INDEX('Natural Catastrophe'!$C$21:$C$26,MATCH($AA263,'Natural Catastrophe'!$B$21:$B$26,0)),"?"))</f>
        <v/>
      </c>
      <c r="AW263" s="99" t="str">
        <f>IF($A263="","",IFERROR(INDEX('Base Rates'!$C$4:$I$4,MATCH(MAX($J263,'Technical Premium'!$C$18),'Base Rates'!$C$3:$I$3,1)),"?"))</f>
        <v/>
      </c>
      <c r="AX263" s="101" t="str">
        <f>IF($A263="","",IFERROR(INDEX('Base Rates'!$C$5:$I$16,MATCH($I263,'Base Rates'!$B$5:$B$16,0),MATCH(MAX($J263,'Technical Premium'!$C$18),'Base Rates'!$C$3:$I$3,1)),"?"))</f>
        <v/>
      </c>
      <c r="AY263" s="102" t="str">
        <f t="shared" si="53"/>
        <v/>
      </c>
      <c r="AZ263" s="99" t="str">
        <f>IF($A263="","",IFERROR(INDEX('Make Factors'!$G$5:$G$69,MATCH($F263,'Make Factors'!$B$5:$B$69,0)),"?"))</f>
        <v/>
      </c>
      <c r="BA263" s="99" t="str">
        <f>IF($A263="","",IFERROR(INDEX('Driver Factors'!$C$6:$C$15,MATCH($R263,'Driver Factors'!$B$6:$B$15,0)),"?"))</f>
        <v/>
      </c>
      <c r="BB263" s="99" t="str">
        <f>IF($A263="","",IFERROR(INDEX('Driver Factors'!$C$19:$C$24,MATCH($S263,'Driver Factors'!$B$19:$B$24,0)),"?"))</f>
        <v/>
      </c>
      <c r="BC263" s="99" t="str">
        <f>IF($A263="","",IFERROR(INDEX('Driver Factors'!$C$28:$C$36,MATCH($T263,'Driver Factors'!$B$28:$B$36,0)),"?"))</f>
        <v/>
      </c>
      <c r="BD263" s="99" t="str">
        <f>IF($A263="","",IFERROR(INDEX('Claims History'!$C$6:$C$15,MATCH($U263,'Claims History'!$B$6:$B$15,0)),"?"))</f>
        <v/>
      </c>
      <c r="BE263" s="99" t="str">
        <f>IF($A263="","",IFERROR(INDEX('Territory Factors'!$E$6:$E$56,MATCH($K263,'Territory Factors'!$B$6:$B$56,0)),"?"))</f>
        <v/>
      </c>
      <c r="BF263" s="99" t="str">
        <f>IF($A263="","",IFERROR(INDEX('City Accident Ratings'!$G$6:$G$54,MATCH($Z263,'City Accident Ratings'!$B$6:$B$54,0)),"?"))</f>
        <v/>
      </c>
      <c r="BG263" s="99" t="str">
        <f>IF($A263="","",IFERROR(INDEX('Usage and Coverage'!$D$6:$D$20,MATCH($N263,'Usage and Coverage'!$C$6:$C$20,0)),"?"))</f>
        <v/>
      </c>
      <c r="BH263" s="99" t="str">
        <f>IF($A263="","",IFERROR(INDEX('Usage and Coverage'!$C$24:$C$30,MATCH($O263,'Usage and Coverage'!$B$24:$B$30,0)),"?"))</f>
        <v/>
      </c>
      <c r="BI263" s="99" t="str">
        <f>IF($A263="","",IFERROR(INDEX('Usage and Coverage'!$C$34:$C$40,MATCH($P263,'Usage and Coverage'!$B$34:$B$40,0)),"?"))</f>
        <v/>
      </c>
      <c r="BJ263" s="99" t="str">
        <f>IF($A263="","",IFERROR(INDEX('Usage and Coverage'!$C$44:$C$49,MATCH($Q263,'Usage and Coverage'!$B$44:$B$49,0)),"?"))</f>
        <v/>
      </c>
      <c r="BK263" s="99" t="str">
        <f>IF($A263="","",IFERROR(INDEX(Deductibles!$C$6:$I$15,MATCH($W263,Deductibles!$B$6:$B$15,0),MATCH(MAX($J263,'Technical Premium'!$C$18),'Base Rates'!$C$3:$I$3,1)),"?"))</f>
        <v/>
      </c>
      <c r="BL263" s="99" t="str">
        <f>IF($A263="","",IFERROR(INDEX('Usage and Coverage'!$C$63:$C$66,MATCH($X263,'Usage and Coverage'!$B$63:$B$66,0)),"?"))</f>
        <v/>
      </c>
      <c r="BM263" s="99" t="str">
        <f>IF($A263="","",IFERROR(INDEX('Usage and Coverage'!$C$70:$C$75,MATCH($V263,'Usage and Coverage'!$B$70:$B$75,0)),"?"))</f>
        <v/>
      </c>
      <c r="BN263" s="99" t="str">
        <f>IF($A263="","",IF($AB263="",1,IFERROR(INDEX(Deductibles!$C$48:$C$51,MATCH($AB263,Deductibles!$B$48:$B$51,0)),"?")))</f>
        <v/>
      </c>
      <c r="BO263" s="99" t="str">
        <f>IF($A263="","",IF($AC263="",1,IFERROR(INDEX(Deductibles!$C$55:$C$57,MATCH($AC263,Deductibles!$B$55:$B$57,0)),"?")))</f>
        <v/>
      </c>
      <c r="BP263" s="99" t="str">
        <f>IF($A263="","",IF($AD263="",1,IFERROR(INDEX(Deductibles!$C$61:$C$63,MATCH($AD263,Deductibles!$B$61:$B$63,0)),"?")))</f>
        <v/>
      </c>
      <c r="BQ263" s="99" t="str">
        <f>IF($A263="","",IF($AE263="",1,IFERROR(INDEX(Deductibles!$C$67:$C$69,MATCH($AE263,Deductibles!$B$67:$B$69,0)),"?")))</f>
        <v/>
      </c>
      <c r="BR263" s="99" t="str">
        <f>IF($A263="","",IF($AF263="",1,IFERROR(INDEX(Deductibles!$C$73:$C$74,MATCH($AF263,Deductibles!$B$73:$B$74,0)),"?")))</f>
        <v/>
      </c>
      <c r="BS263" s="99" t="str">
        <f>IF($A263="","",IF($AG263="",1,IFERROR(INDEX('Sublimits and Parts'!$C$49:$C$52,MATCH($AG263,'Sublimits and Parts'!$B$49:$B$52,0)),"?")))</f>
        <v/>
      </c>
      <c r="BT263" s="99" t="str">
        <f>IF($A263="","",IF($AH263="",1,IFERROR(INDEX('Sublimits and Parts'!$C$56:$C$60,MATCH($AH263,'Sublimits and Parts'!$B$56:$B$60,0)),"?")))</f>
        <v/>
      </c>
      <c r="BU263" s="99" t="str">
        <f>IF($A263="","",IF($AI263="",1,IFERROR(INDEX('Sublimits and Parts'!$C$64:$C$67,MATCH($AI263,'Sublimits and Parts'!$B$64:$B$67,0)),"?")))</f>
        <v/>
      </c>
      <c r="BV263" s="99" t="str">
        <f>IF($A263="","",IF($AJ263="",1,IFERROR(INDEX('Sublimits and Parts'!$C$71:$C$74,MATCH($AJ263,'Sublimits and Parts'!$B$71:$B$74,0)),"?")))</f>
        <v/>
      </c>
      <c r="BW263" s="99" t="str">
        <f>IF($A263="","",IF($AK263="",1,IFERROR(INDEX('Sublimits and Parts'!$C$78:$C$80,MATCH($AK263,'Sublimits and Parts'!$B$78:$B$80,0)),"?")))</f>
        <v/>
      </c>
      <c r="BX263" s="99" t="str">
        <f>IF($A263="","",IF($AL263="",1,IFERROR(INDEX('Sublimits and Parts'!$C$84:$C$87,MATCH($AL263,'Sublimits and Parts'!$B$84:$B$87,0)),"?")))</f>
        <v/>
      </c>
      <c r="BY263" s="99" t="str">
        <f>IF($A263="","",IF($AM263="",1,IFERROR(INDEX('Sublimits and Parts'!$C$91:$C$94,MATCH($AM263,'Sublimits and Parts'!$B$91:$B$94,0)),"?")))</f>
        <v/>
      </c>
      <c r="BZ263" s="99" t="str">
        <f>IF($A263="","",IF($AN263="",1,IFERROR(INDEX('Sublimits and Parts'!$C$98:$C$101,MATCH($AN263,'Sublimits and Parts'!$B$98:$B$101,0)),"?")))</f>
        <v/>
      </c>
      <c r="CA263" s="99" t="str">
        <f>IF($A263="","",IF($AO263="",1,IFERROR(INDEX('Sublimits and Parts'!$C$105:$C$109,MATCH($AO263,'Sublimits and Parts'!$B$105:$B$109,0)),"?")))</f>
        <v/>
      </c>
      <c r="CB263" s="100" t="str">
        <f t="shared" si="54"/>
        <v/>
      </c>
      <c r="CC263" s="100" t="str">
        <f t="shared" si="55"/>
        <v/>
      </c>
      <c r="CD263" s="103" t="str">
        <f>IF($A263="","",IF(OR($CB263="?",$CC263="?"),"?",MIN($CB263*$CC263,'Technical Premium'!$C$17)))</f>
        <v/>
      </c>
      <c r="CE263" s="102" t="str">
        <f t="shared" si="56"/>
        <v/>
      </c>
      <c r="CF263" s="102" t="str">
        <f>IF($A263="","",IFERROR(INDEX('Territory Factors'!$F$6:$F$56,MATCH($K263,'Territory Factors'!$B$6:$B$56,0)),"?"))</f>
        <v/>
      </c>
      <c r="CG263" s="100" t="str">
        <f>IF($A263="","",IFERROR(INDEX('Usage and Coverage'!$C$79:$C$84,MATCH($Y263,'Usage and Coverage'!$B$79:$B$84,0)),"?"))</f>
        <v/>
      </c>
      <c r="CH263" s="102" t="str">
        <f>IFERROR(IF(ISNUMBER($CD263),$CF263*$CG263*MIN($BG263*$BA263*$BC263*$BD263*$BH263*$BF263,'Technical Premium'!$C$17),""),"")</f>
        <v/>
      </c>
      <c r="CI263" s="102" t="str">
        <f t="shared" si="57"/>
        <v/>
      </c>
      <c r="CJ263" s="102" t="str">
        <f>IFERROR($CI263*(1+'Technical Premium'!$C$5)*(1+'Technical Premium'!$C$6),"")</f>
        <v/>
      </c>
      <c r="CK263" s="102" t="str">
        <f>IFERROR($CE263*INDEX('Territory Factors'!$G$6:$G$56,MATCH($K263,'Territory Factors'!$B$6:$B$56,0))*$AU263*$AV263,"")</f>
        <v/>
      </c>
      <c r="CL263" s="102" t="str">
        <f>IFERROR(($CJ263+$CK263)*(1+'Technical Premium'!$C$7),"")</f>
        <v/>
      </c>
      <c r="CM263" s="104" t="str">
        <f>IFERROR($CL263/'Technical Premium'!$C$13,"")</f>
        <v/>
      </c>
      <c r="CN263" s="105" t="str">
        <f t="shared" si="58"/>
        <v/>
      </c>
      <c r="CO263" s="104" t="str">
        <f t="shared" si="59"/>
        <v/>
      </c>
      <c r="CP263" s="105" t="str">
        <f t="shared" si="60"/>
        <v/>
      </c>
      <c r="CQ263" s="106" t="str">
        <f t="shared" si="61"/>
        <v/>
      </c>
      <c r="CR263" s="102" t="str">
        <f>IF(ISNUMBER($CM263),'Technical Premium'!$C$14+IF($J263&gt;=1000000,'Technical Premium'!$C$15,0),"")</f>
        <v/>
      </c>
      <c r="CS263" s="102" t="str">
        <f>IFERROR(($CO263+$CR263)*(INDEX('Territory Factors'!$K$6:$K$56,MATCH($K263,'Territory Factors'!$B$6:$B$56,0))+'Commission Structure'!$C$21),"")</f>
        <v/>
      </c>
      <c r="CT263" s="104" t="str">
        <f t="shared" si="62"/>
        <v/>
      </c>
      <c r="CU263" s="102" t="str">
        <f>IFERROR($CO263*('Commission Structure'!$C$6+'Commission Structure'!$C$7),"")</f>
        <v/>
      </c>
      <c r="CV263" s="102" t="str">
        <f>IFERROR($CO263*'Commission Structure'!$C$5-$CU263,"")</f>
        <v/>
      </c>
      <c r="CW263" s="102" t="str">
        <f>IFERROR($CO263*(1-'Commission Structure'!$C$5),"")</f>
        <v/>
      </c>
      <c r="CX263" s="107"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8" t="str">
        <f t="shared" si="63"/>
        <v/>
      </c>
      <c r="CZ263" s="99" t="str">
        <f>IF($CY263="","",IF($CY263&lt;'Technical Premium'!$C$19,"BEYOND AUTHORITY",IF($CY263&gt;0.005,"Above technical",IF($CY263&lt;-0.005,"BELOW technical","At technical"))))</f>
        <v/>
      </c>
      <c r="DA263" s="99"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4"/>
      <c r="DC263" s="94"/>
      <c r="DD263" s="95"/>
      <c r="DE263" s="94"/>
      <c r="DF263" s="94"/>
      <c r="DG263" s="99" t="str">
        <f t="shared" si="64"/>
        <v/>
      </c>
      <c r="DH263" s="99" t="str">
        <f>IF($A263="","",IF(OR($CX263="REFER",$CX263="DECLINE"),COUNTIF($CX$5:$CX263,"REFER")+COUNTIF($CX$5:$CX263,"DECLINE"),""))</f>
        <v/>
      </c>
      <c r="DI263" s="94"/>
    </row>
    <row r="264" spans="1:113" x14ac:dyDescent="0.35">
      <c r="A264" s="94"/>
      <c r="B264" s="94"/>
      <c r="C264" s="95"/>
      <c r="D264" s="95"/>
      <c r="E264" s="96"/>
      <c r="F264" s="94"/>
      <c r="G264" s="94"/>
      <c r="H264" s="94"/>
      <c r="I264" s="94"/>
      <c r="J264" s="97"/>
      <c r="K264" s="94"/>
      <c r="L264" s="94"/>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8"/>
      <c r="AR264" s="99" t="str">
        <f t="shared" si="52"/>
        <v/>
      </c>
      <c r="AS264" s="99" t="str">
        <f>IF($A264="","",IF($AP264&lt;&gt;"",$AP264,IFERROR(INDEX('Cat Zone by ZIP'!$D$6:$D$856,MATCH($AR264,'Cat Zone by ZIP'!$B$6:$B$856,0)),IFERROR(INDEX('Cat Zone by ZIP'!$C$860:$C$910,MATCH($K264,'Cat Zone by ZIP'!$B$860:$B$910,0)),"NOT FOUND"))))</f>
        <v/>
      </c>
      <c r="AT264" s="99" t="str">
        <f>IF($A264="","",IF($AP264&lt;&gt;"","Override",IF(ISNUMBER(MATCH($AR264,'Cat Zone by ZIP'!$B$6:$B$856,0)),"ZIP-3","State default")))</f>
        <v/>
      </c>
      <c r="AU264" s="100" t="str">
        <f>IF($A264="","",IFERROR(INDEX('Natural Catastrophe'!$D$6:$D$17,MATCH($AS264,'Natural Catastrophe'!$B$6:$B$17,0)),"?"))</f>
        <v/>
      </c>
      <c r="AV264" s="100" t="str">
        <f>IF($A264="","",IFERROR(INDEX('Natural Catastrophe'!$C$21:$C$26,MATCH($AA264,'Natural Catastrophe'!$B$21:$B$26,0)),"?"))</f>
        <v/>
      </c>
      <c r="AW264" s="99" t="str">
        <f>IF($A264="","",IFERROR(INDEX('Base Rates'!$C$4:$I$4,MATCH(MAX($J264,'Technical Premium'!$C$18),'Base Rates'!$C$3:$I$3,1)),"?"))</f>
        <v/>
      </c>
      <c r="AX264" s="101" t="str">
        <f>IF($A264="","",IFERROR(INDEX('Base Rates'!$C$5:$I$16,MATCH($I264,'Base Rates'!$B$5:$B$16,0),MATCH(MAX($J264,'Technical Premium'!$C$18),'Base Rates'!$C$3:$I$3,1)),"?"))</f>
        <v/>
      </c>
      <c r="AY264" s="102" t="str">
        <f t="shared" si="53"/>
        <v/>
      </c>
      <c r="AZ264" s="99" t="str">
        <f>IF($A264="","",IFERROR(INDEX('Make Factors'!$G$5:$G$69,MATCH($F264,'Make Factors'!$B$5:$B$69,0)),"?"))</f>
        <v/>
      </c>
      <c r="BA264" s="99" t="str">
        <f>IF($A264="","",IFERROR(INDEX('Driver Factors'!$C$6:$C$15,MATCH($R264,'Driver Factors'!$B$6:$B$15,0)),"?"))</f>
        <v/>
      </c>
      <c r="BB264" s="99" t="str">
        <f>IF($A264="","",IFERROR(INDEX('Driver Factors'!$C$19:$C$24,MATCH($S264,'Driver Factors'!$B$19:$B$24,0)),"?"))</f>
        <v/>
      </c>
      <c r="BC264" s="99" t="str">
        <f>IF($A264="","",IFERROR(INDEX('Driver Factors'!$C$28:$C$36,MATCH($T264,'Driver Factors'!$B$28:$B$36,0)),"?"))</f>
        <v/>
      </c>
      <c r="BD264" s="99" t="str">
        <f>IF($A264="","",IFERROR(INDEX('Claims History'!$C$6:$C$15,MATCH($U264,'Claims History'!$B$6:$B$15,0)),"?"))</f>
        <v/>
      </c>
      <c r="BE264" s="99" t="str">
        <f>IF($A264="","",IFERROR(INDEX('Territory Factors'!$E$6:$E$56,MATCH($K264,'Territory Factors'!$B$6:$B$56,0)),"?"))</f>
        <v/>
      </c>
      <c r="BF264" s="99" t="str">
        <f>IF($A264="","",IFERROR(INDEX('City Accident Ratings'!$G$6:$G$54,MATCH($Z264,'City Accident Ratings'!$B$6:$B$54,0)),"?"))</f>
        <v/>
      </c>
      <c r="BG264" s="99" t="str">
        <f>IF($A264="","",IFERROR(INDEX('Usage and Coverage'!$D$6:$D$20,MATCH($N264,'Usage and Coverage'!$C$6:$C$20,0)),"?"))</f>
        <v/>
      </c>
      <c r="BH264" s="99" t="str">
        <f>IF($A264="","",IFERROR(INDEX('Usage and Coverage'!$C$24:$C$30,MATCH($O264,'Usage and Coverage'!$B$24:$B$30,0)),"?"))</f>
        <v/>
      </c>
      <c r="BI264" s="99" t="str">
        <f>IF($A264="","",IFERROR(INDEX('Usage and Coverage'!$C$34:$C$40,MATCH($P264,'Usage and Coverage'!$B$34:$B$40,0)),"?"))</f>
        <v/>
      </c>
      <c r="BJ264" s="99" t="str">
        <f>IF($A264="","",IFERROR(INDEX('Usage and Coverage'!$C$44:$C$49,MATCH($Q264,'Usage and Coverage'!$B$44:$B$49,0)),"?"))</f>
        <v/>
      </c>
      <c r="BK264" s="99" t="str">
        <f>IF($A264="","",IFERROR(INDEX(Deductibles!$C$6:$I$15,MATCH($W264,Deductibles!$B$6:$B$15,0),MATCH(MAX($J264,'Technical Premium'!$C$18),'Base Rates'!$C$3:$I$3,1)),"?"))</f>
        <v/>
      </c>
      <c r="BL264" s="99" t="str">
        <f>IF($A264="","",IFERROR(INDEX('Usage and Coverage'!$C$63:$C$66,MATCH($X264,'Usage and Coverage'!$B$63:$B$66,0)),"?"))</f>
        <v/>
      </c>
      <c r="BM264" s="99" t="str">
        <f>IF($A264="","",IFERROR(INDEX('Usage and Coverage'!$C$70:$C$75,MATCH($V264,'Usage and Coverage'!$B$70:$B$75,0)),"?"))</f>
        <v/>
      </c>
      <c r="BN264" s="99" t="str">
        <f>IF($A264="","",IF($AB264="",1,IFERROR(INDEX(Deductibles!$C$48:$C$51,MATCH($AB264,Deductibles!$B$48:$B$51,0)),"?")))</f>
        <v/>
      </c>
      <c r="BO264" s="99" t="str">
        <f>IF($A264="","",IF($AC264="",1,IFERROR(INDEX(Deductibles!$C$55:$C$57,MATCH($AC264,Deductibles!$B$55:$B$57,0)),"?")))</f>
        <v/>
      </c>
      <c r="BP264" s="99" t="str">
        <f>IF($A264="","",IF($AD264="",1,IFERROR(INDEX(Deductibles!$C$61:$C$63,MATCH($AD264,Deductibles!$B$61:$B$63,0)),"?")))</f>
        <v/>
      </c>
      <c r="BQ264" s="99" t="str">
        <f>IF($A264="","",IF($AE264="",1,IFERROR(INDEX(Deductibles!$C$67:$C$69,MATCH($AE264,Deductibles!$B$67:$B$69,0)),"?")))</f>
        <v/>
      </c>
      <c r="BR264" s="99" t="str">
        <f>IF($A264="","",IF($AF264="",1,IFERROR(INDEX(Deductibles!$C$73:$C$74,MATCH($AF264,Deductibles!$B$73:$B$74,0)),"?")))</f>
        <v/>
      </c>
      <c r="BS264" s="99" t="str">
        <f>IF($A264="","",IF($AG264="",1,IFERROR(INDEX('Sublimits and Parts'!$C$49:$C$52,MATCH($AG264,'Sublimits and Parts'!$B$49:$B$52,0)),"?")))</f>
        <v/>
      </c>
      <c r="BT264" s="99" t="str">
        <f>IF($A264="","",IF($AH264="",1,IFERROR(INDEX('Sublimits and Parts'!$C$56:$C$60,MATCH($AH264,'Sublimits and Parts'!$B$56:$B$60,0)),"?")))</f>
        <v/>
      </c>
      <c r="BU264" s="99" t="str">
        <f>IF($A264="","",IF($AI264="",1,IFERROR(INDEX('Sublimits and Parts'!$C$64:$C$67,MATCH($AI264,'Sublimits and Parts'!$B$64:$B$67,0)),"?")))</f>
        <v/>
      </c>
      <c r="BV264" s="99" t="str">
        <f>IF($A264="","",IF($AJ264="",1,IFERROR(INDEX('Sublimits and Parts'!$C$71:$C$74,MATCH($AJ264,'Sublimits and Parts'!$B$71:$B$74,0)),"?")))</f>
        <v/>
      </c>
      <c r="BW264" s="99" t="str">
        <f>IF($A264="","",IF($AK264="",1,IFERROR(INDEX('Sublimits and Parts'!$C$78:$C$80,MATCH($AK264,'Sublimits and Parts'!$B$78:$B$80,0)),"?")))</f>
        <v/>
      </c>
      <c r="BX264" s="99" t="str">
        <f>IF($A264="","",IF($AL264="",1,IFERROR(INDEX('Sublimits and Parts'!$C$84:$C$87,MATCH($AL264,'Sublimits and Parts'!$B$84:$B$87,0)),"?")))</f>
        <v/>
      </c>
      <c r="BY264" s="99" t="str">
        <f>IF($A264="","",IF($AM264="",1,IFERROR(INDEX('Sublimits and Parts'!$C$91:$C$94,MATCH($AM264,'Sublimits and Parts'!$B$91:$B$94,0)),"?")))</f>
        <v/>
      </c>
      <c r="BZ264" s="99" t="str">
        <f>IF($A264="","",IF($AN264="",1,IFERROR(INDEX('Sublimits and Parts'!$C$98:$C$101,MATCH($AN264,'Sublimits and Parts'!$B$98:$B$101,0)),"?")))</f>
        <v/>
      </c>
      <c r="CA264" s="99" t="str">
        <f>IF($A264="","",IF($AO264="",1,IFERROR(INDEX('Sublimits and Parts'!$C$105:$C$109,MATCH($AO264,'Sublimits and Parts'!$B$105:$B$109,0)),"?")))</f>
        <v/>
      </c>
      <c r="CB264" s="100" t="str">
        <f t="shared" si="54"/>
        <v/>
      </c>
      <c r="CC264" s="100" t="str">
        <f t="shared" si="55"/>
        <v/>
      </c>
      <c r="CD264" s="103" t="str">
        <f>IF($A264="","",IF(OR($CB264="?",$CC264="?"),"?",MIN($CB264*$CC264,'Technical Premium'!$C$17)))</f>
        <v/>
      </c>
      <c r="CE264" s="102" t="str">
        <f t="shared" si="56"/>
        <v/>
      </c>
      <c r="CF264" s="102" t="str">
        <f>IF($A264="","",IFERROR(INDEX('Territory Factors'!$F$6:$F$56,MATCH($K264,'Territory Factors'!$B$6:$B$56,0)),"?"))</f>
        <v/>
      </c>
      <c r="CG264" s="100" t="str">
        <f>IF($A264="","",IFERROR(INDEX('Usage and Coverage'!$C$79:$C$84,MATCH($Y264,'Usage and Coverage'!$B$79:$B$84,0)),"?"))</f>
        <v/>
      </c>
      <c r="CH264" s="102" t="str">
        <f>IFERROR(IF(ISNUMBER($CD264),$CF264*$CG264*MIN($BG264*$BA264*$BC264*$BD264*$BH264*$BF264,'Technical Premium'!$C$17),""),"")</f>
        <v/>
      </c>
      <c r="CI264" s="102" t="str">
        <f t="shared" si="57"/>
        <v/>
      </c>
      <c r="CJ264" s="102" t="str">
        <f>IFERROR($CI264*(1+'Technical Premium'!$C$5)*(1+'Technical Premium'!$C$6),"")</f>
        <v/>
      </c>
      <c r="CK264" s="102" t="str">
        <f>IFERROR($CE264*INDEX('Territory Factors'!$G$6:$G$56,MATCH($K264,'Territory Factors'!$B$6:$B$56,0))*$AU264*$AV264,"")</f>
        <v/>
      </c>
      <c r="CL264" s="102" t="str">
        <f>IFERROR(($CJ264+$CK264)*(1+'Technical Premium'!$C$7),"")</f>
        <v/>
      </c>
      <c r="CM264" s="104" t="str">
        <f>IFERROR($CL264/'Technical Premium'!$C$13,"")</f>
        <v/>
      </c>
      <c r="CN264" s="105" t="str">
        <f t="shared" si="58"/>
        <v/>
      </c>
      <c r="CO264" s="104" t="str">
        <f t="shared" si="59"/>
        <v/>
      </c>
      <c r="CP264" s="105" t="str">
        <f t="shared" si="60"/>
        <v/>
      </c>
      <c r="CQ264" s="106" t="str">
        <f t="shared" si="61"/>
        <v/>
      </c>
      <c r="CR264" s="102" t="str">
        <f>IF(ISNUMBER($CM264),'Technical Premium'!$C$14+IF($J264&gt;=1000000,'Technical Premium'!$C$15,0),"")</f>
        <v/>
      </c>
      <c r="CS264" s="102" t="str">
        <f>IFERROR(($CO264+$CR264)*(INDEX('Territory Factors'!$K$6:$K$56,MATCH($K264,'Territory Factors'!$B$6:$B$56,0))+'Commission Structure'!$C$21),"")</f>
        <v/>
      </c>
      <c r="CT264" s="104" t="str">
        <f t="shared" si="62"/>
        <v/>
      </c>
      <c r="CU264" s="102" t="str">
        <f>IFERROR($CO264*('Commission Structure'!$C$6+'Commission Structure'!$C$7),"")</f>
        <v/>
      </c>
      <c r="CV264" s="102" t="str">
        <f>IFERROR($CO264*'Commission Structure'!$C$5-$CU264,"")</f>
        <v/>
      </c>
      <c r="CW264" s="102" t="str">
        <f>IFERROR($CO264*(1-'Commission Structure'!$C$5),"")</f>
        <v/>
      </c>
      <c r="CX264" s="107"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8" t="str">
        <f t="shared" si="63"/>
        <v/>
      </c>
      <c r="CZ264" s="99" t="str">
        <f>IF($CY264="","",IF($CY264&lt;'Technical Premium'!$C$19,"BEYOND AUTHORITY",IF($CY264&gt;0.005,"Above technical",IF($CY264&lt;-0.005,"BELOW technical","At technical"))))</f>
        <v/>
      </c>
      <c r="DA264" s="99"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4"/>
      <c r="DC264" s="94"/>
      <c r="DD264" s="95"/>
      <c r="DE264" s="94"/>
      <c r="DF264" s="94"/>
      <c r="DG264" s="99" t="str">
        <f t="shared" si="64"/>
        <v/>
      </c>
      <c r="DH264" s="99" t="str">
        <f>IF($A264="","",IF(OR($CX264="REFER",$CX264="DECLINE"),COUNTIF($CX$5:$CX264,"REFER")+COUNTIF($CX$5:$CX264,"DECLINE"),""))</f>
        <v/>
      </c>
      <c r="DI264" s="94"/>
    </row>
    <row r="265" spans="1:113" x14ac:dyDescent="0.35">
      <c r="A265" s="94"/>
      <c r="B265" s="94"/>
      <c r="C265" s="95"/>
      <c r="D265" s="95"/>
      <c r="E265" s="96"/>
      <c r="F265" s="94"/>
      <c r="G265" s="94"/>
      <c r="H265" s="94"/>
      <c r="I265" s="94"/>
      <c r="J265" s="97"/>
      <c r="K265" s="94"/>
      <c r="L265" s="94"/>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8"/>
      <c r="AR265" s="99" t="str">
        <f t="shared" si="52"/>
        <v/>
      </c>
      <c r="AS265" s="99" t="str">
        <f>IF($A265="","",IF($AP265&lt;&gt;"",$AP265,IFERROR(INDEX('Cat Zone by ZIP'!$D$6:$D$856,MATCH($AR265,'Cat Zone by ZIP'!$B$6:$B$856,0)),IFERROR(INDEX('Cat Zone by ZIP'!$C$860:$C$910,MATCH($K265,'Cat Zone by ZIP'!$B$860:$B$910,0)),"NOT FOUND"))))</f>
        <v/>
      </c>
      <c r="AT265" s="99" t="str">
        <f>IF($A265="","",IF($AP265&lt;&gt;"","Override",IF(ISNUMBER(MATCH($AR265,'Cat Zone by ZIP'!$B$6:$B$856,0)),"ZIP-3","State default")))</f>
        <v/>
      </c>
      <c r="AU265" s="100" t="str">
        <f>IF($A265="","",IFERROR(INDEX('Natural Catastrophe'!$D$6:$D$17,MATCH($AS265,'Natural Catastrophe'!$B$6:$B$17,0)),"?"))</f>
        <v/>
      </c>
      <c r="AV265" s="100" t="str">
        <f>IF($A265="","",IFERROR(INDEX('Natural Catastrophe'!$C$21:$C$26,MATCH($AA265,'Natural Catastrophe'!$B$21:$B$26,0)),"?"))</f>
        <v/>
      </c>
      <c r="AW265" s="99" t="str">
        <f>IF($A265="","",IFERROR(INDEX('Base Rates'!$C$4:$I$4,MATCH(MAX($J265,'Technical Premium'!$C$18),'Base Rates'!$C$3:$I$3,1)),"?"))</f>
        <v/>
      </c>
      <c r="AX265" s="101" t="str">
        <f>IF($A265="","",IFERROR(INDEX('Base Rates'!$C$5:$I$16,MATCH($I265,'Base Rates'!$B$5:$B$16,0),MATCH(MAX($J265,'Technical Premium'!$C$18),'Base Rates'!$C$3:$I$3,1)),"?"))</f>
        <v/>
      </c>
      <c r="AY265" s="102" t="str">
        <f t="shared" si="53"/>
        <v/>
      </c>
      <c r="AZ265" s="99" t="str">
        <f>IF($A265="","",IFERROR(INDEX('Make Factors'!$G$5:$G$69,MATCH($F265,'Make Factors'!$B$5:$B$69,0)),"?"))</f>
        <v/>
      </c>
      <c r="BA265" s="99" t="str">
        <f>IF($A265="","",IFERROR(INDEX('Driver Factors'!$C$6:$C$15,MATCH($R265,'Driver Factors'!$B$6:$B$15,0)),"?"))</f>
        <v/>
      </c>
      <c r="BB265" s="99" t="str">
        <f>IF($A265="","",IFERROR(INDEX('Driver Factors'!$C$19:$C$24,MATCH($S265,'Driver Factors'!$B$19:$B$24,0)),"?"))</f>
        <v/>
      </c>
      <c r="BC265" s="99" t="str">
        <f>IF($A265="","",IFERROR(INDEX('Driver Factors'!$C$28:$C$36,MATCH($T265,'Driver Factors'!$B$28:$B$36,0)),"?"))</f>
        <v/>
      </c>
      <c r="BD265" s="99" t="str">
        <f>IF($A265="","",IFERROR(INDEX('Claims History'!$C$6:$C$15,MATCH($U265,'Claims History'!$B$6:$B$15,0)),"?"))</f>
        <v/>
      </c>
      <c r="BE265" s="99" t="str">
        <f>IF($A265="","",IFERROR(INDEX('Territory Factors'!$E$6:$E$56,MATCH($K265,'Territory Factors'!$B$6:$B$56,0)),"?"))</f>
        <v/>
      </c>
      <c r="BF265" s="99" t="str">
        <f>IF($A265="","",IFERROR(INDEX('City Accident Ratings'!$G$6:$G$54,MATCH($Z265,'City Accident Ratings'!$B$6:$B$54,0)),"?"))</f>
        <v/>
      </c>
      <c r="BG265" s="99" t="str">
        <f>IF($A265="","",IFERROR(INDEX('Usage and Coverage'!$D$6:$D$20,MATCH($N265,'Usage and Coverage'!$C$6:$C$20,0)),"?"))</f>
        <v/>
      </c>
      <c r="BH265" s="99" t="str">
        <f>IF($A265="","",IFERROR(INDEX('Usage and Coverage'!$C$24:$C$30,MATCH($O265,'Usage and Coverage'!$B$24:$B$30,0)),"?"))</f>
        <v/>
      </c>
      <c r="BI265" s="99" t="str">
        <f>IF($A265="","",IFERROR(INDEX('Usage and Coverage'!$C$34:$C$40,MATCH($P265,'Usage and Coverage'!$B$34:$B$40,0)),"?"))</f>
        <v/>
      </c>
      <c r="BJ265" s="99" t="str">
        <f>IF($A265="","",IFERROR(INDEX('Usage and Coverage'!$C$44:$C$49,MATCH($Q265,'Usage and Coverage'!$B$44:$B$49,0)),"?"))</f>
        <v/>
      </c>
      <c r="BK265" s="99" t="str">
        <f>IF($A265="","",IFERROR(INDEX(Deductibles!$C$6:$I$15,MATCH($W265,Deductibles!$B$6:$B$15,0),MATCH(MAX($J265,'Technical Premium'!$C$18),'Base Rates'!$C$3:$I$3,1)),"?"))</f>
        <v/>
      </c>
      <c r="BL265" s="99" t="str">
        <f>IF($A265="","",IFERROR(INDEX('Usage and Coverage'!$C$63:$C$66,MATCH($X265,'Usage and Coverage'!$B$63:$B$66,0)),"?"))</f>
        <v/>
      </c>
      <c r="BM265" s="99" t="str">
        <f>IF($A265="","",IFERROR(INDEX('Usage and Coverage'!$C$70:$C$75,MATCH($V265,'Usage and Coverage'!$B$70:$B$75,0)),"?"))</f>
        <v/>
      </c>
      <c r="BN265" s="99" t="str">
        <f>IF($A265="","",IF($AB265="",1,IFERROR(INDEX(Deductibles!$C$48:$C$51,MATCH($AB265,Deductibles!$B$48:$B$51,0)),"?")))</f>
        <v/>
      </c>
      <c r="BO265" s="99" t="str">
        <f>IF($A265="","",IF($AC265="",1,IFERROR(INDEX(Deductibles!$C$55:$C$57,MATCH($AC265,Deductibles!$B$55:$B$57,0)),"?")))</f>
        <v/>
      </c>
      <c r="BP265" s="99" t="str">
        <f>IF($A265="","",IF($AD265="",1,IFERROR(INDEX(Deductibles!$C$61:$C$63,MATCH($AD265,Deductibles!$B$61:$B$63,0)),"?")))</f>
        <v/>
      </c>
      <c r="BQ265" s="99" t="str">
        <f>IF($A265="","",IF($AE265="",1,IFERROR(INDEX(Deductibles!$C$67:$C$69,MATCH($AE265,Deductibles!$B$67:$B$69,0)),"?")))</f>
        <v/>
      </c>
      <c r="BR265" s="99" t="str">
        <f>IF($A265="","",IF($AF265="",1,IFERROR(INDEX(Deductibles!$C$73:$C$74,MATCH($AF265,Deductibles!$B$73:$B$74,0)),"?")))</f>
        <v/>
      </c>
      <c r="BS265" s="99" t="str">
        <f>IF($A265="","",IF($AG265="",1,IFERROR(INDEX('Sublimits and Parts'!$C$49:$C$52,MATCH($AG265,'Sublimits and Parts'!$B$49:$B$52,0)),"?")))</f>
        <v/>
      </c>
      <c r="BT265" s="99" t="str">
        <f>IF($A265="","",IF($AH265="",1,IFERROR(INDEX('Sublimits and Parts'!$C$56:$C$60,MATCH($AH265,'Sublimits and Parts'!$B$56:$B$60,0)),"?")))</f>
        <v/>
      </c>
      <c r="BU265" s="99" t="str">
        <f>IF($A265="","",IF($AI265="",1,IFERROR(INDEX('Sublimits and Parts'!$C$64:$C$67,MATCH($AI265,'Sublimits and Parts'!$B$64:$B$67,0)),"?")))</f>
        <v/>
      </c>
      <c r="BV265" s="99" t="str">
        <f>IF($A265="","",IF($AJ265="",1,IFERROR(INDEX('Sublimits and Parts'!$C$71:$C$74,MATCH($AJ265,'Sublimits and Parts'!$B$71:$B$74,0)),"?")))</f>
        <v/>
      </c>
      <c r="BW265" s="99" t="str">
        <f>IF($A265="","",IF($AK265="",1,IFERROR(INDEX('Sublimits and Parts'!$C$78:$C$80,MATCH($AK265,'Sublimits and Parts'!$B$78:$B$80,0)),"?")))</f>
        <v/>
      </c>
      <c r="BX265" s="99" t="str">
        <f>IF($A265="","",IF($AL265="",1,IFERROR(INDEX('Sublimits and Parts'!$C$84:$C$87,MATCH($AL265,'Sublimits and Parts'!$B$84:$B$87,0)),"?")))</f>
        <v/>
      </c>
      <c r="BY265" s="99" t="str">
        <f>IF($A265="","",IF($AM265="",1,IFERROR(INDEX('Sublimits and Parts'!$C$91:$C$94,MATCH($AM265,'Sublimits and Parts'!$B$91:$B$94,0)),"?")))</f>
        <v/>
      </c>
      <c r="BZ265" s="99" t="str">
        <f>IF($A265="","",IF($AN265="",1,IFERROR(INDEX('Sublimits and Parts'!$C$98:$C$101,MATCH($AN265,'Sublimits and Parts'!$B$98:$B$101,0)),"?")))</f>
        <v/>
      </c>
      <c r="CA265" s="99" t="str">
        <f>IF($A265="","",IF($AO265="",1,IFERROR(INDEX('Sublimits and Parts'!$C$105:$C$109,MATCH($AO265,'Sublimits and Parts'!$B$105:$B$109,0)),"?")))</f>
        <v/>
      </c>
      <c r="CB265" s="100" t="str">
        <f t="shared" si="54"/>
        <v/>
      </c>
      <c r="CC265" s="100" t="str">
        <f t="shared" si="55"/>
        <v/>
      </c>
      <c r="CD265" s="103" t="str">
        <f>IF($A265="","",IF(OR($CB265="?",$CC265="?"),"?",MIN($CB265*$CC265,'Technical Premium'!$C$17)))</f>
        <v/>
      </c>
      <c r="CE265" s="102" t="str">
        <f t="shared" si="56"/>
        <v/>
      </c>
      <c r="CF265" s="102" t="str">
        <f>IF($A265="","",IFERROR(INDEX('Territory Factors'!$F$6:$F$56,MATCH($K265,'Territory Factors'!$B$6:$B$56,0)),"?"))</f>
        <v/>
      </c>
      <c r="CG265" s="100" t="str">
        <f>IF($A265="","",IFERROR(INDEX('Usage and Coverage'!$C$79:$C$84,MATCH($Y265,'Usage and Coverage'!$B$79:$B$84,0)),"?"))</f>
        <v/>
      </c>
      <c r="CH265" s="102" t="str">
        <f>IFERROR(IF(ISNUMBER($CD265),$CF265*$CG265*MIN($BG265*$BA265*$BC265*$BD265*$BH265*$BF265,'Technical Premium'!$C$17),""),"")</f>
        <v/>
      </c>
      <c r="CI265" s="102" t="str">
        <f t="shared" si="57"/>
        <v/>
      </c>
      <c r="CJ265" s="102" t="str">
        <f>IFERROR($CI265*(1+'Technical Premium'!$C$5)*(1+'Technical Premium'!$C$6),"")</f>
        <v/>
      </c>
      <c r="CK265" s="102" t="str">
        <f>IFERROR($CE265*INDEX('Territory Factors'!$G$6:$G$56,MATCH($K265,'Territory Factors'!$B$6:$B$56,0))*$AU265*$AV265,"")</f>
        <v/>
      </c>
      <c r="CL265" s="102" t="str">
        <f>IFERROR(($CJ265+$CK265)*(1+'Technical Premium'!$C$7),"")</f>
        <v/>
      </c>
      <c r="CM265" s="104" t="str">
        <f>IFERROR($CL265/'Technical Premium'!$C$13,"")</f>
        <v/>
      </c>
      <c r="CN265" s="105" t="str">
        <f t="shared" si="58"/>
        <v/>
      </c>
      <c r="CO265" s="104" t="str">
        <f t="shared" si="59"/>
        <v/>
      </c>
      <c r="CP265" s="105" t="str">
        <f t="shared" si="60"/>
        <v/>
      </c>
      <c r="CQ265" s="106" t="str">
        <f t="shared" si="61"/>
        <v/>
      </c>
      <c r="CR265" s="102" t="str">
        <f>IF(ISNUMBER($CM265),'Technical Premium'!$C$14+IF($J265&gt;=1000000,'Technical Premium'!$C$15,0),"")</f>
        <v/>
      </c>
      <c r="CS265" s="102" t="str">
        <f>IFERROR(($CO265+$CR265)*(INDEX('Territory Factors'!$K$6:$K$56,MATCH($K265,'Territory Factors'!$B$6:$B$56,0))+'Commission Structure'!$C$21),"")</f>
        <v/>
      </c>
      <c r="CT265" s="104" t="str">
        <f t="shared" si="62"/>
        <v/>
      </c>
      <c r="CU265" s="102" t="str">
        <f>IFERROR($CO265*('Commission Structure'!$C$6+'Commission Structure'!$C$7),"")</f>
        <v/>
      </c>
      <c r="CV265" s="102" t="str">
        <f>IFERROR($CO265*'Commission Structure'!$C$5-$CU265,"")</f>
        <v/>
      </c>
      <c r="CW265" s="102" t="str">
        <f>IFERROR($CO265*(1-'Commission Structure'!$C$5),"")</f>
        <v/>
      </c>
      <c r="CX265" s="107"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8" t="str">
        <f t="shared" si="63"/>
        <v/>
      </c>
      <c r="CZ265" s="99" t="str">
        <f>IF($CY265="","",IF($CY265&lt;'Technical Premium'!$C$19,"BEYOND AUTHORITY",IF($CY265&gt;0.005,"Above technical",IF($CY265&lt;-0.005,"BELOW technical","At technical"))))</f>
        <v/>
      </c>
      <c r="DA265" s="99"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4"/>
      <c r="DC265" s="94"/>
      <c r="DD265" s="95"/>
      <c r="DE265" s="94"/>
      <c r="DF265" s="94"/>
      <c r="DG265" s="99" t="str">
        <f t="shared" si="64"/>
        <v/>
      </c>
      <c r="DH265" s="99" t="str">
        <f>IF($A265="","",IF(OR($CX265="REFER",$CX265="DECLINE"),COUNTIF($CX$5:$CX265,"REFER")+COUNTIF($CX$5:$CX265,"DECLINE"),""))</f>
        <v/>
      </c>
      <c r="DI265" s="94"/>
    </row>
    <row r="266" spans="1:113" x14ac:dyDescent="0.35">
      <c r="A266" s="94"/>
      <c r="B266" s="94"/>
      <c r="C266" s="95"/>
      <c r="D266" s="95"/>
      <c r="E266" s="96"/>
      <c r="F266" s="94"/>
      <c r="G266" s="94"/>
      <c r="H266" s="94"/>
      <c r="I266" s="94"/>
      <c r="J266" s="97"/>
      <c r="K266" s="94"/>
      <c r="L266" s="94"/>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8"/>
      <c r="AR266" s="99" t="str">
        <f t="shared" si="52"/>
        <v/>
      </c>
      <c r="AS266" s="99" t="str">
        <f>IF($A266="","",IF($AP266&lt;&gt;"",$AP266,IFERROR(INDEX('Cat Zone by ZIP'!$D$6:$D$856,MATCH($AR266,'Cat Zone by ZIP'!$B$6:$B$856,0)),IFERROR(INDEX('Cat Zone by ZIP'!$C$860:$C$910,MATCH($K266,'Cat Zone by ZIP'!$B$860:$B$910,0)),"NOT FOUND"))))</f>
        <v/>
      </c>
      <c r="AT266" s="99" t="str">
        <f>IF($A266="","",IF($AP266&lt;&gt;"","Override",IF(ISNUMBER(MATCH($AR266,'Cat Zone by ZIP'!$B$6:$B$856,0)),"ZIP-3","State default")))</f>
        <v/>
      </c>
      <c r="AU266" s="100" t="str">
        <f>IF($A266="","",IFERROR(INDEX('Natural Catastrophe'!$D$6:$D$17,MATCH($AS266,'Natural Catastrophe'!$B$6:$B$17,0)),"?"))</f>
        <v/>
      </c>
      <c r="AV266" s="100" t="str">
        <f>IF($A266="","",IFERROR(INDEX('Natural Catastrophe'!$C$21:$C$26,MATCH($AA266,'Natural Catastrophe'!$B$21:$B$26,0)),"?"))</f>
        <v/>
      </c>
      <c r="AW266" s="99" t="str">
        <f>IF($A266="","",IFERROR(INDEX('Base Rates'!$C$4:$I$4,MATCH(MAX($J266,'Technical Premium'!$C$18),'Base Rates'!$C$3:$I$3,1)),"?"))</f>
        <v/>
      </c>
      <c r="AX266" s="101" t="str">
        <f>IF($A266="","",IFERROR(INDEX('Base Rates'!$C$5:$I$16,MATCH($I266,'Base Rates'!$B$5:$B$16,0),MATCH(MAX($J266,'Technical Premium'!$C$18),'Base Rates'!$C$3:$I$3,1)),"?"))</f>
        <v/>
      </c>
      <c r="AY266" s="102" t="str">
        <f t="shared" si="53"/>
        <v/>
      </c>
      <c r="AZ266" s="99" t="str">
        <f>IF($A266="","",IFERROR(INDEX('Make Factors'!$G$5:$G$69,MATCH($F266,'Make Factors'!$B$5:$B$69,0)),"?"))</f>
        <v/>
      </c>
      <c r="BA266" s="99" t="str">
        <f>IF($A266="","",IFERROR(INDEX('Driver Factors'!$C$6:$C$15,MATCH($R266,'Driver Factors'!$B$6:$B$15,0)),"?"))</f>
        <v/>
      </c>
      <c r="BB266" s="99" t="str">
        <f>IF($A266="","",IFERROR(INDEX('Driver Factors'!$C$19:$C$24,MATCH($S266,'Driver Factors'!$B$19:$B$24,0)),"?"))</f>
        <v/>
      </c>
      <c r="BC266" s="99" t="str">
        <f>IF($A266="","",IFERROR(INDEX('Driver Factors'!$C$28:$C$36,MATCH($T266,'Driver Factors'!$B$28:$B$36,0)),"?"))</f>
        <v/>
      </c>
      <c r="BD266" s="99" t="str">
        <f>IF($A266="","",IFERROR(INDEX('Claims History'!$C$6:$C$15,MATCH($U266,'Claims History'!$B$6:$B$15,0)),"?"))</f>
        <v/>
      </c>
      <c r="BE266" s="99" t="str">
        <f>IF($A266="","",IFERROR(INDEX('Territory Factors'!$E$6:$E$56,MATCH($K266,'Territory Factors'!$B$6:$B$56,0)),"?"))</f>
        <v/>
      </c>
      <c r="BF266" s="99" t="str">
        <f>IF($A266="","",IFERROR(INDEX('City Accident Ratings'!$G$6:$G$54,MATCH($Z266,'City Accident Ratings'!$B$6:$B$54,0)),"?"))</f>
        <v/>
      </c>
      <c r="BG266" s="99" t="str">
        <f>IF($A266="","",IFERROR(INDEX('Usage and Coverage'!$D$6:$D$20,MATCH($N266,'Usage and Coverage'!$C$6:$C$20,0)),"?"))</f>
        <v/>
      </c>
      <c r="BH266" s="99" t="str">
        <f>IF($A266="","",IFERROR(INDEX('Usage and Coverage'!$C$24:$C$30,MATCH($O266,'Usage and Coverage'!$B$24:$B$30,0)),"?"))</f>
        <v/>
      </c>
      <c r="BI266" s="99" t="str">
        <f>IF($A266="","",IFERROR(INDEX('Usage and Coverage'!$C$34:$C$40,MATCH($P266,'Usage and Coverage'!$B$34:$B$40,0)),"?"))</f>
        <v/>
      </c>
      <c r="BJ266" s="99" t="str">
        <f>IF($A266="","",IFERROR(INDEX('Usage and Coverage'!$C$44:$C$49,MATCH($Q266,'Usage and Coverage'!$B$44:$B$49,0)),"?"))</f>
        <v/>
      </c>
      <c r="BK266" s="99" t="str">
        <f>IF($A266="","",IFERROR(INDEX(Deductibles!$C$6:$I$15,MATCH($W266,Deductibles!$B$6:$B$15,0),MATCH(MAX($J266,'Technical Premium'!$C$18),'Base Rates'!$C$3:$I$3,1)),"?"))</f>
        <v/>
      </c>
      <c r="BL266" s="99" t="str">
        <f>IF($A266="","",IFERROR(INDEX('Usage and Coverage'!$C$63:$C$66,MATCH($X266,'Usage and Coverage'!$B$63:$B$66,0)),"?"))</f>
        <v/>
      </c>
      <c r="BM266" s="99" t="str">
        <f>IF($A266="","",IFERROR(INDEX('Usage and Coverage'!$C$70:$C$75,MATCH($V266,'Usage and Coverage'!$B$70:$B$75,0)),"?"))</f>
        <v/>
      </c>
      <c r="BN266" s="99" t="str">
        <f>IF($A266="","",IF($AB266="",1,IFERROR(INDEX(Deductibles!$C$48:$C$51,MATCH($AB266,Deductibles!$B$48:$B$51,0)),"?")))</f>
        <v/>
      </c>
      <c r="BO266" s="99" t="str">
        <f>IF($A266="","",IF($AC266="",1,IFERROR(INDEX(Deductibles!$C$55:$C$57,MATCH($AC266,Deductibles!$B$55:$B$57,0)),"?")))</f>
        <v/>
      </c>
      <c r="BP266" s="99" t="str">
        <f>IF($A266="","",IF($AD266="",1,IFERROR(INDEX(Deductibles!$C$61:$C$63,MATCH($AD266,Deductibles!$B$61:$B$63,0)),"?")))</f>
        <v/>
      </c>
      <c r="BQ266" s="99" t="str">
        <f>IF($A266="","",IF($AE266="",1,IFERROR(INDEX(Deductibles!$C$67:$C$69,MATCH($AE266,Deductibles!$B$67:$B$69,0)),"?")))</f>
        <v/>
      </c>
      <c r="BR266" s="99" t="str">
        <f>IF($A266="","",IF($AF266="",1,IFERROR(INDEX(Deductibles!$C$73:$C$74,MATCH($AF266,Deductibles!$B$73:$B$74,0)),"?")))</f>
        <v/>
      </c>
      <c r="BS266" s="99" t="str">
        <f>IF($A266="","",IF($AG266="",1,IFERROR(INDEX('Sublimits and Parts'!$C$49:$C$52,MATCH($AG266,'Sublimits and Parts'!$B$49:$B$52,0)),"?")))</f>
        <v/>
      </c>
      <c r="BT266" s="99" t="str">
        <f>IF($A266="","",IF($AH266="",1,IFERROR(INDEX('Sublimits and Parts'!$C$56:$C$60,MATCH($AH266,'Sublimits and Parts'!$B$56:$B$60,0)),"?")))</f>
        <v/>
      </c>
      <c r="BU266" s="99" t="str">
        <f>IF($A266="","",IF($AI266="",1,IFERROR(INDEX('Sublimits and Parts'!$C$64:$C$67,MATCH($AI266,'Sublimits and Parts'!$B$64:$B$67,0)),"?")))</f>
        <v/>
      </c>
      <c r="BV266" s="99" t="str">
        <f>IF($A266="","",IF($AJ266="",1,IFERROR(INDEX('Sublimits and Parts'!$C$71:$C$74,MATCH($AJ266,'Sublimits and Parts'!$B$71:$B$74,0)),"?")))</f>
        <v/>
      </c>
      <c r="BW266" s="99" t="str">
        <f>IF($A266="","",IF($AK266="",1,IFERROR(INDEX('Sublimits and Parts'!$C$78:$C$80,MATCH($AK266,'Sublimits and Parts'!$B$78:$B$80,0)),"?")))</f>
        <v/>
      </c>
      <c r="BX266" s="99" t="str">
        <f>IF($A266="","",IF($AL266="",1,IFERROR(INDEX('Sublimits and Parts'!$C$84:$C$87,MATCH($AL266,'Sublimits and Parts'!$B$84:$B$87,0)),"?")))</f>
        <v/>
      </c>
      <c r="BY266" s="99" t="str">
        <f>IF($A266="","",IF($AM266="",1,IFERROR(INDEX('Sublimits and Parts'!$C$91:$C$94,MATCH($AM266,'Sublimits and Parts'!$B$91:$B$94,0)),"?")))</f>
        <v/>
      </c>
      <c r="BZ266" s="99" t="str">
        <f>IF($A266="","",IF($AN266="",1,IFERROR(INDEX('Sublimits and Parts'!$C$98:$C$101,MATCH($AN266,'Sublimits and Parts'!$B$98:$B$101,0)),"?")))</f>
        <v/>
      </c>
      <c r="CA266" s="99" t="str">
        <f>IF($A266="","",IF($AO266="",1,IFERROR(INDEX('Sublimits and Parts'!$C$105:$C$109,MATCH($AO266,'Sublimits and Parts'!$B$105:$B$109,0)),"?")))</f>
        <v/>
      </c>
      <c r="CB266" s="100" t="str">
        <f t="shared" si="54"/>
        <v/>
      </c>
      <c r="CC266" s="100" t="str">
        <f t="shared" si="55"/>
        <v/>
      </c>
      <c r="CD266" s="103" t="str">
        <f>IF($A266="","",IF(OR($CB266="?",$CC266="?"),"?",MIN($CB266*$CC266,'Technical Premium'!$C$17)))</f>
        <v/>
      </c>
      <c r="CE266" s="102" t="str">
        <f t="shared" si="56"/>
        <v/>
      </c>
      <c r="CF266" s="102" t="str">
        <f>IF($A266="","",IFERROR(INDEX('Territory Factors'!$F$6:$F$56,MATCH($K266,'Territory Factors'!$B$6:$B$56,0)),"?"))</f>
        <v/>
      </c>
      <c r="CG266" s="100" t="str">
        <f>IF($A266="","",IFERROR(INDEX('Usage and Coverage'!$C$79:$C$84,MATCH($Y266,'Usage and Coverage'!$B$79:$B$84,0)),"?"))</f>
        <v/>
      </c>
      <c r="CH266" s="102" t="str">
        <f>IFERROR(IF(ISNUMBER($CD266),$CF266*$CG266*MIN($BG266*$BA266*$BC266*$BD266*$BH266*$BF266,'Technical Premium'!$C$17),""),"")</f>
        <v/>
      </c>
      <c r="CI266" s="102" t="str">
        <f t="shared" si="57"/>
        <v/>
      </c>
      <c r="CJ266" s="102" t="str">
        <f>IFERROR($CI266*(1+'Technical Premium'!$C$5)*(1+'Technical Premium'!$C$6),"")</f>
        <v/>
      </c>
      <c r="CK266" s="102" t="str">
        <f>IFERROR($CE266*INDEX('Territory Factors'!$G$6:$G$56,MATCH($K266,'Territory Factors'!$B$6:$B$56,0))*$AU266*$AV266,"")</f>
        <v/>
      </c>
      <c r="CL266" s="102" t="str">
        <f>IFERROR(($CJ266+$CK266)*(1+'Technical Premium'!$C$7),"")</f>
        <v/>
      </c>
      <c r="CM266" s="104" t="str">
        <f>IFERROR($CL266/'Technical Premium'!$C$13,"")</f>
        <v/>
      </c>
      <c r="CN266" s="105" t="str">
        <f t="shared" si="58"/>
        <v/>
      </c>
      <c r="CO266" s="104" t="str">
        <f t="shared" si="59"/>
        <v/>
      </c>
      <c r="CP266" s="105" t="str">
        <f t="shared" si="60"/>
        <v/>
      </c>
      <c r="CQ266" s="106" t="str">
        <f t="shared" si="61"/>
        <v/>
      </c>
      <c r="CR266" s="102" t="str">
        <f>IF(ISNUMBER($CM266),'Technical Premium'!$C$14+IF($J266&gt;=1000000,'Technical Premium'!$C$15,0),"")</f>
        <v/>
      </c>
      <c r="CS266" s="102" t="str">
        <f>IFERROR(($CO266+$CR266)*(INDEX('Territory Factors'!$K$6:$K$56,MATCH($K266,'Territory Factors'!$B$6:$B$56,0))+'Commission Structure'!$C$21),"")</f>
        <v/>
      </c>
      <c r="CT266" s="104" t="str">
        <f t="shared" si="62"/>
        <v/>
      </c>
      <c r="CU266" s="102" t="str">
        <f>IFERROR($CO266*('Commission Structure'!$C$6+'Commission Structure'!$C$7),"")</f>
        <v/>
      </c>
      <c r="CV266" s="102" t="str">
        <f>IFERROR($CO266*'Commission Structure'!$C$5-$CU266,"")</f>
        <v/>
      </c>
      <c r="CW266" s="102" t="str">
        <f>IFERROR($CO266*(1-'Commission Structure'!$C$5),"")</f>
        <v/>
      </c>
      <c r="CX266" s="107"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8" t="str">
        <f t="shared" si="63"/>
        <v/>
      </c>
      <c r="CZ266" s="99" t="str">
        <f>IF($CY266="","",IF($CY266&lt;'Technical Premium'!$C$19,"BEYOND AUTHORITY",IF($CY266&gt;0.005,"Above technical",IF($CY266&lt;-0.005,"BELOW technical","At technical"))))</f>
        <v/>
      </c>
      <c r="DA266" s="99"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4"/>
      <c r="DC266" s="94"/>
      <c r="DD266" s="95"/>
      <c r="DE266" s="94"/>
      <c r="DF266" s="94"/>
      <c r="DG266" s="99" t="str">
        <f t="shared" si="64"/>
        <v/>
      </c>
      <c r="DH266" s="99" t="str">
        <f>IF($A266="","",IF(OR($CX266="REFER",$CX266="DECLINE"),COUNTIF($CX$5:$CX266,"REFER")+COUNTIF($CX$5:$CX266,"DECLINE"),""))</f>
        <v/>
      </c>
      <c r="DI266" s="94"/>
    </row>
    <row r="267" spans="1:113" x14ac:dyDescent="0.35">
      <c r="A267" s="94"/>
      <c r="B267" s="94"/>
      <c r="C267" s="95"/>
      <c r="D267" s="95"/>
      <c r="E267" s="96"/>
      <c r="F267" s="94"/>
      <c r="G267" s="94"/>
      <c r="H267" s="94"/>
      <c r="I267" s="94"/>
      <c r="J267" s="97"/>
      <c r="K267" s="94"/>
      <c r="L267" s="94"/>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8"/>
      <c r="AR267" s="99" t="str">
        <f t="shared" si="52"/>
        <v/>
      </c>
      <c r="AS267" s="99" t="str">
        <f>IF($A267="","",IF($AP267&lt;&gt;"",$AP267,IFERROR(INDEX('Cat Zone by ZIP'!$D$6:$D$856,MATCH($AR267,'Cat Zone by ZIP'!$B$6:$B$856,0)),IFERROR(INDEX('Cat Zone by ZIP'!$C$860:$C$910,MATCH($K267,'Cat Zone by ZIP'!$B$860:$B$910,0)),"NOT FOUND"))))</f>
        <v/>
      </c>
      <c r="AT267" s="99" t="str">
        <f>IF($A267="","",IF($AP267&lt;&gt;"","Override",IF(ISNUMBER(MATCH($AR267,'Cat Zone by ZIP'!$B$6:$B$856,0)),"ZIP-3","State default")))</f>
        <v/>
      </c>
      <c r="AU267" s="100" t="str">
        <f>IF($A267="","",IFERROR(INDEX('Natural Catastrophe'!$D$6:$D$17,MATCH($AS267,'Natural Catastrophe'!$B$6:$B$17,0)),"?"))</f>
        <v/>
      </c>
      <c r="AV267" s="100" t="str">
        <f>IF($A267="","",IFERROR(INDEX('Natural Catastrophe'!$C$21:$C$26,MATCH($AA267,'Natural Catastrophe'!$B$21:$B$26,0)),"?"))</f>
        <v/>
      </c>
      <c r="AW267" s="99" t="str">
        <f>IF($A267="","",IFERROR(INDEX('Base Rates'!$C$4:$I$4,MATCH(MAX($J267,'Technical Premium'!$C$18),'Base Rates'!$C$3:$I$3,1)),"?"))</f>
        <v/>
      </c>
      <c r="AX267" s="101" t="str">
        <f>IF($A267="","",IFERROR(INDEX('Base Rates'!$C$5:$I$16,MATCH($I267,'Base Rates'!$B$5:$B$16,0),MATCH(MAX($J267,'Technical Premium'!$C$18),'Base Rates'!$C$3:$I$3,1)),"?"))</f>
        <v/>
      </c>
      <c r="AY267" s="102" t="str">
        <f t="shared" si="53"/>
        <v/>
      </c>
      <c r="AZ267" s="99" t="str">
        <f>IF($A267="","",IFERROR(INDEX('Make Factors'!$G$5:$G$69,MATCH($F267,'Make Factors'!$B$5:$B$69,0)),"?"))</f>
        <v/>
      </c>
      <c r="BA267" s="99" t="str">
        <f>IF($A267="","",IFERROR(INDEX('Driver Factors'!$C$6:$C$15,MATCH($R267,'Driver Factors'!$B$6:$B$15,0)),"?"))</f>
        <v/>
      </c>
      <c r="BB267" s="99" t="str">
        <f>IF($A267="","",IFERROR(INDEX('Driver Factors'!$C$19:$C$24,MATCH($S267,'Driver Factors'!$B$19:$B$24,0)),"?"))</f>
        <v/>
      </c>
      <c r="BC267" s="99" t="str">
        <f>IF($A267="","",IFERROR(INDEX('Driver Factors'!$C$28:$C$36,MATCH($T267,'Driver Factors'!$B$28:$B$36,0)),"?"))</f>
        <v/>
      </c>
      <c r="BD267" s="99" t="str">
        <f>IF($A267="","",IFERROR(INDEX('Claims History'!$C$6:$C$15,MATCH($U267,'Claims History'!$B$6:$B$15,0)),"?"))</f>
        <v/>
      </c>
      <c r="BE267" s="99" t="str">
        <f>IF($A267="","",IFERROR(INDEX('Territory Factors'!$E$6:$E$56,MATCH($K267,'Territory Factors'!$B$6:$B$56,0)),"?"))</f>
        <v/>
      </c>
      <c r="BF267" s="99" t="str">
        <f>IF($A267="","",IFERROR(INDEX('City Accident Ratings'!$G$6:$G$54,MATCH($Z267,'City Accident Ratings'!$B$6:$B$54,0)),"?"))</f>
        <v/>
      </c>
      <c r="BG267" s="99" t="str">
        <f>IF($A267="","",IFERROR(INDEX('Usage and Coverage'!$D$6:$D$20,MATCH($N267,'Usage and Coverage'!$C$6:$C$20,0)),"?"))</f>
        <v/>
      </c>
      <c r="BH267" s="99" t="str">
        <f>IF($A267="","",IFERROR(INDEX('Usage and Coverage'!$C$24:$C$30,MATCH($O267,'Usage and Coverage'!$B$24:$B$30,0)),"?"))</f>
        <v/>
      </c>
      <c r="BI267" s="99" t="str">
        <f>IF($A267="","",IFERROR(INDEX('Usage and Coverage'!$C$34:$C$40,MATCH($P267,'Usage and Coverage'!$B$34:$B$40,0)),"?"))</f>
        <v/>
      </c>
      <c r="BJ267" s="99" t="str">
        <f>IF($A267="","",IFERROR(INDEX('Usage and Coverage'!$C$44:$C$49,MATCH($Q267,'Usage and Coverage'!$B$44:$B$49,0)),"?"))</f>
        <v/>
      </c>
      <c r="BK267" s="99" t="str">
        <f>IF($A267="","",IFERROR(INDEX(Deductibles!$C$6:$I$15,MATCH($W267,Deductibles!$B$6:$B$15,0),MATCH(MAX($J267,'Technical Premium'!$C$18),'Base Rates'!$C$3:$I$3,1)),"?"))</f>
        <v/>
      </c>
      <c r="BL267" s="99" t="str">
        <f>IF($A267="","",IFERROR(INDEX('Usage and Coverage'!$C$63:$C$66,MATCH($X267,'Usage and Coverage'!$B$63:$B$66,0)),"?"))</f>
        <v/>
      </c>
      <c r="BM267" s="99" t="str">
        <f>IF($A267="","",IFERROR(INDEX('Usage and Coverage'!$C$70:$C$75,MATCH($V267,'Usage and Coverage'!$B$70:$B$75,0)),"?"))</f>
        <v/>
      </c>
      <c r="BN267" s="99" t="str">
        <f>IF($A267="","",IF($AB267="",1,IFERROR(INDEX(Deductibles!$C$48:$C$51,MATCH($AB267,Deductibles!$B$48:$B$51,0)),"?")))</f>
        <v/>
      </c>
      <c r="BO267" s="99" t="str">
        <f>IF($A267="","",IF($AC267="",1,IFERROR(INDEX(Deductibles!$C$55:$C$57,MATCH($AC267,Deductibles!$B$55:$B$57,0)),"?")))</f>
        <v/>
      </c>
      <c r="BP267" s="99" t="str">
        <f>IF($A267="","",IF($AD267="",1,IFERROR(INDEX(Deductibles!$C$61:$C$63,MATCH($AD267,Deductibles!$B$61:$B$63,0)),"?")))</f>
        <v/>
      </c>
      <c r="BQ267" s="99" t="str">
        <f>IF($A267="","",IF($AE267="",1,IFERROR(INDEX(Deductibles!$C$67:$C$69,MATCH($AE267,Deductibles!$B$67:$B$69,0)),"?")))</f>
        <v/>
      </c>
      <c r="BR267" s="99" t="str">
        <f>IF($A267="","",IF($AF267="",1,IFERROR(INDEX(Deductibles!$C$73:$C$74,MATCH($AF267,Deductibles!$B$73:$B$74,0)),"?")))</f>
        <v/>
      </c>
      <c r="BS267" s="99" t="str">
        <f>IF($A267="","",IF($AG267="",1,IFERROR(INDEX('Sublimits and Parts'!$C$49:$C$52,MATCH($AG267,'Sublimits and Parts'!$B$49:$B$52,0)),"?")))</f>
        <v/>
      </c>
      <c r="BT267" s="99" t="str">
        <f>IF($A267="","",IF($AH267="",1,IFERROR(INDEX('Sublimits and Parts'!$C$56:$C$60,MATCH($AH267,'Sublimits and Parts'!$B$56:$B$60,0)),"?")))</f>
        <v/>
      </c>
      <c r="BU267" s="99" t="str">
        <f>IF($A267="","",IF($AI267="",1,IFERROR(INDEX('Sublimits and Parts'!$C$64:$C$67,MATCH($AI267,'Sublimits and Parts'!$B$64:$B$67,0)),"?")))</f>
        <v/>
      </c>
      <c r="BV267" s="99" t="str">
        <f>IF($A267="","",IF($AJ267="",1,IFERROR(INDEX('Sublimits and Parts'!$C$71:$C$74,MATCH($AJ267,'Sublimits and Parts'!$B$71:$B$74,0)),"?")))</f>
        <v/>
      </c>
      <c r="BW267" s="99" t="str">
        <f>IF($A267="","",IF($AK267="",1,IFERROR(INDEX('Sublimits and Parts'!$C$78:$C$80,MATCH($AK267,'Sublimits and Parts'!$B$78:$B$80,0)),"?")))</f>
        <v/>
      </c>
      <c r="BX267" s="99" t="str">
        <f>IF($A267="","",IF($AL267="",1,IFERROR(INDEX('Sublimits and Parts'!$C$84:$C$87,MATCH($AL267,'Sublimits and Parts'!$B$84:$B$87,0)),"?")))</f>
        <v/>
      </c>
      <c r="BY267" s="99" t="str">
        <f>IF($A267="","",IF($AM267="",1,IFERROR(INDEX('Sublimits and Parts'!$C$91:$C$94,MATCH($AM267,'Sublimits and Parts'!$B$91:$B$94,0)),"?")))</f>
        <v/>
      </c>
      <c r="BZ267" s="99" t="str">
        <f>IF($A267="","",IF($AN267="",1,IFERROR(INDEX('Sublimits and Parts'!$C$98:$C$101,MATCH($AN267,'Sublimits and Parts'!$B$98:$B$101,0)),"?")))</f>
        <v/>
      </c>
      <c r="CA267" s="99" t="str">
        <f>IF($A267="","",IF($AO267="",1,IFERROR(INDEX('Sublimits and Parts'!$C$105:$C$109,MATCH($AO267,'Sublimits and Parts'!$B$105:$B$109,0)),"?")))</f>
        <v/>
      </c>
      <c r="CB267" s="100" t="str">
        <f t="shared" si="54"/>
        <v/>
      </c>
      <c r="CC267" s="100" t="str">
        <f t="shared" si="55"/>
        <v/>
      </c>
      <c r="CD267" s="103" t="str">
        <f>IF($A267="","",IF(OR($CB267="?",$CC267="?"),"?",MIN($CB267*$CC267,'Technical Premium'!$C$17)))</f>
        <v/>
      </c>
      <c r="CE267" s="102" t="str">
        <f t="shared" si="56"/>
        <v/>
      </c>
      <c r="CF267" s="102" t="str">
        <f>IF($A267="","",IFERROR(INDEX('Territory Factors'!$F$6:$F$56,MATCH($K267,'Territory Factors'!$B$6:$B$56,0)),"?"))</f>
        <v/>
      </c>
      <c r="CG267" s="100" t="str">
        <f>IF($A267="","",IFERROR(INDEX('Usage and Coverage'!$C$79:$C$84,MATCH($Y267,'Usage and Coverage'!$B$79:$B$84,0)),"?"))</f>
        <v/>
      </c>
      <c r="CH267" s="102" t="str">
        <f>IFERROR(IF(ISNUMBER($CD267),$CF267*$CG267*MIN($BG267*$BA267*$BC267*$BD267*$BH267*$BF267,'Technical Premium'!$C$17),""),"")</f>
        <v/>
      </c>
      <c r="CI267" s="102" t="str">
        <f t="shared" si="57"/>
        <v/>
      </c>
      <c r="CJ267" s="102" t="str">
        <f>IFERROR($CI267*(1+'Technical Premium'!$C$5)*(1+'Technical Premium'!$C$6),"")</f>
        <v/>
      </c>
      <c r="CK267" s="102" t="str">
        <f>IFERROR($CE267*INDEX('Territory Factors'!$G$6:$G$56,MATCH($K267,'Territory Factors'!$B$6:$B$56,0))*$AU267*$AV267,"")</f>
        <v/>
      </c>
      <c r="CL267" s="102" t="str">
        <f>IFERROR(($CJ267+$CK267)*(1+'Technical Premium'!$C$7),"")</f>
        <v/>
      </c>
      <c r="CM267" s="104" t="str">
        <f>IFERROR($CL267/'Technical Premium'!$C$13,"")</f>
        <v/>
      </c>
      <c r="CN267" s="105" t="str">
        <f t="shared" si="58"/>
        <v/>
      </c>
      <c r="CO267" s="104" t="str">
        <f t="shared" si="59"/>
        <v/>
      </c>
      <c r="CP267" s="105" t="str">
        <f t="shared" si="60"/>
        <v/>
      </c>
      <c r="CQ267" s="106" t="str">
        <f t="shared" si="61"/>
        <v/>
      </c>
      <c r="CR267" s="102" t="str">
        <f>IF(ISNUMBER($CM267),'Technical Premium'!$C$14+IF($J267&gt;=1000000,'Technical Premium'!$C$15,0),"")</f>
        <v/>
      </c>
      <c r="CS267" s="102" t="str">
        <f>IFERROR(($CO267+$CR267)*(INDEX('Territory Factors'!$K$6:$K$56,MATCH($K267,'Territory Factors'!$B$6:$B$56,0))+'Commission Structure'!$C$21),"")</f>
        <v/>
      </c>
      <c r="CT267" s="104" t="str">
        <f t="shared" si="62"/>
        <v/>
      </c>
      <c r="CU267" s="102" t="str">
        <f>IFERROR($CO267*('Commission Structure'!$C$6+'Commission Structure'!$C$7),"")</f>
        <v/>
      </c>
      <c r="CV267" s="102" t="str">
        <f>IFERROR($CO267*'Commission Structure'!$C$5-$CU267,"")</f>
        <v/>
      </c>
      <c r="CW267" s="102" t="str">
        <f>IFERROR($CO267*(1-'Commission Structure'!$C$5),"")</f>
        <v/>
      </c>
      <c r="CX267" s="107"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8" t="str">
        <f t="shared" si="63"/>
        <v/>
      </c>
      <c r="CZ267" s="99" t="str">
        <f>IF($CY267="","",IF($CY267&lt;'Technical Premium'!$C$19,"BEYOND AUTHORITY",IF($CY267&gt;0.005,"Above technical",IF($CY267&lt;-0.005,"BELOW technical","At technical"))))</f>
        <v/>
      </c>
      <c r="DA267" s="99"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4"/>
      <c r="DC267" s="94"/>
      <c r="DD267" s="95"/>
      <c r="DE267" s="94"/>
      <c r="DF267" s="94"/>
      <c r="DG267" s="99" t="str">
        <f t="shared" si="64"/>
        <v/>
      </c>
      <c r="DH267" s="99" t="str">
        <f>IF($A267="","",IF(OR($CX267="REFER",$CX267="DECLINE"),COUNTIF($CX$5:$CX267,"REFER")+COUNTIF($CX$5:$CX267,"DECLINE"),""))</f>
        <v/>
      </c>
      <c r="DI267" s="94"/>
    </row>
    <row r="268" spans="1:113" x14ac:dyDescent="0.35">
      <c r="A268" s="94"/>
      <c r="B268" s="94"/>
      <c r="C268" s="95"/>
      <c r="D268" s="95"/>
      <c r="E268" s="96"/>
      <c r="F268" s="94"/>
      <c r="G268" s="94"/>
      <c r="H268" s="94"/>
      <c r="I268" s="94"/>
      <c r="J268" s="97"/>
      <c r="K268" s="94"/>
      <c r="L268" s="94"/>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8"/>
      <c r="AR268" s="99" t="str">
        <f t="shared" si="52"/>
        <v/>
      </c>
      <c r="AS268" s="99" t="str">
        <f>IF($A268="","",IF($AP268&lt;&gt;"",$AP268,IFERROR(INDEX('Cat Zone by ZIP'!$D$6:$D$856,MATCH($AR268,'Cat Zone by ZIP'!$B$6:$B$856,0)),IFERROR(INDEX('Cat Zone by ZIP'!$C$860:$C$910,MATCH($K268,'Cat Zone by ZIP'!$B$860:$B$910,0)),"NOT FOUND"))))</f>
        <v/>
      </c>
      <c r="AT268" s="99" t="str">
        <f>IF($A268="","",IF($AP268&lt;&gt;"","Override",IF(ISNUMBER(MATCH($AR268,'Cat Zone by ZIP'!$B$6:$B$856,0)),"ZIP-3","State default")))</f>
        <v/>
      </c>
      <c r="AU268" s="100" t="str">
        <f>IF($A268="","",IFERROR(INDEX('Natural Catastrophe'!$D$6:$D$17,MATCH($AS268,'Natural Catastrophe'!$B$6:$B$17,0)),"?"))</f>
        <v/>
      </c>
      <c r="AV268" s="100" t="str">
        <f>IF($A268="","",IFERROR(INDEX('Natural Catastrophe'!$C$21:$C$26,MATCH($AA268,'Natural Catastrophe'!$B$21:$B$26,0)),"?"))</f>
        <v/>
      </c>
      <c r="AW268" s="99" t="str">
        <f>IF($A268="","",IFERROR(INDEX('Base Rates'!$C$4:$I$4,MATCH(MAX($J268,'Technical Premium'!$C$18),'Base Rates'!$C$3:$I$3,1)),"?"))</f>
        <v/>
      </c>
      <c r="AX268" s="101" t="str">
        <f>IF($A268="","",IFERROR(INDEX('Base Rates'!$C$5:$I$16,MATCH($I268,'Base Rates'!$B$5:$B$16,0),MATCH(MAX($J268,'Technical Premium'!$C$18),'Base Rates'!$C$3:$I$3,1)),"?"))</f>
        <v/>
      </c>
      <c r="AY268" s="102" t="str">
        <f t="shared" si="53"/>
        <v/>
      </c>
      <c r="AZ268" s="99" t="str">
        <f>IF($A268="","",IFERROR(INDEX('Make Factors'!$G$5:$G$69,MATCH($F268,'Make Factors'!$B$5:$B$69,0)),"?"))</f>
        <v/>
      </c>
      <c r="BA268" s="99" t="str">
        <f>IF($A268="","",IFERROR(INDEX('Driver Factors'!$C$6:$C$15,MATCH($R268,'Driver Factors'!$B$6:$B$15,0)),"?"))</f>
        <v/>
      </c>
      <c r="BB268" s="99" t="str">
        <f>IF($A268="","",IFERROR(INDEX('Driver Factors'!$C$19:$C$24,MATCH($S268,'Driver Factors'!$B$19:$B$24,0)),"?"))</f>
        <v/>
      </c>
      <c r="BC268" s="99" t="str">
        <f>IF($A268="","",IFERROR(INDEX('Driver Factors'!$C$28:$C$36,MATCH($T268,'Driver Factors'!$B$28:$B$36,0)),"?"))</f>
        <v/>
      </c>
      <c r="BD268" s="99" t="str">
        <f>IF($A268="","",IFERROR(INDEX('Claims History'!$C$6:$C$15,MATCH($U268,'Claims History'!$B$6:$B$15,0)),"?"))</f>
        <v/>
      </c>
      <c r="BE268" s="99" t="str">
        <f>IF($A268="","",IFERROR(INDEX('Territory Factors'!$E$6:$E$56,MATCH($K268,'Territory Factors'!$B$6:$B$56,0)),"?"))</f>
        <v/>
      </c>
      <c r="BF268" s="99" t="str">
        <f>IF($A268="","",IFERROR(INDEX('City Accident Ratings'!$G$6:$G$54,MATCH($Z268,'City Accident Ratings'!$B$6:$B$54,0)),"?"))</f>
        <v/>
      </c>
      <c r="BG268" s="99" t="str">
        <f>IF($A268="","",IFERROR(INDEX('Usage and Coverage'!$D$6:$D$20,MATCH($N268,'Usage and Coverage'!$C$6:$C$20,0)),"?"))</f>
        <v/>
      </c>
      <c r="BH268" s="99" t="str">
        <f>IF($A268="","",IFERROR(INDEX('Usage and Coverage'!$C$24:$C$30,MATCH($O268,'Usage and Coverage'!$B$24:$B$30,0)),"?"))</f>
        <v/>
      </c>
      <c r="BI268" s="99" t="str">
        <f>IF($A268="","",IFERROR(INDEX('Usage and Coverage'!$C$34:$C$40,MATCH($P268,'Usage and Coverage'!$B$34:$B$40,0)),"?"))</f>
        <v/>
      </c>
      <c r="BJ268" s="99" t="str">
        <f>IF($A268="","",IFERROR(INDEX('Usage and Coverage'!$C$44:$C$49,MATCH($Q268,'Usage and Coverage'!$B$44:$B$49,0)),"?"))</f>
        <v/>
      </c>
      <c r="BK268" s="99" t="str">
        <f>IF($A268="","",IFERROR(INDEX(Deductibles!$C$6:$I$15,MATCH($W268,Deductibles!$B$6:$B$15,0),MATCH(MAX($J268,'Technical Premium'!$C$18),'Base Rates'!$C$3:$I$3,1)),"?"))</f>
        <v/>
      </c>
      <c r="BL268" s="99" t="str">
        <f>IF($A268="","",IFERROR(INDEX('Usage and Coverage'!$C$63:$C$66,MATCH($X268,'Usage and Coverage'!$B$63:$B$66,0)),"?"))</f>
        <v/>
      </c>
      <c r="BM268" s="99" t="str">
        <f>IF($A268="","",IFERROR(INDEX('Usage and Coverage'!$C$70:$C$75,MATCH($V268,'Usage and Coverage'!$B$70:$B$75,0)),"?"))</f>
        <v/>
      </c>
      <c r="BN268" s="99" t="str">
        <f>IF($A268="","",IF($AB268="",1,IFERROR(INDEX(Deductibles!$C$48:$C$51,MATCH($AB268,Deductibles!$B$48:$B$51,0)),"?")))</f>
        <v/>
      </c>
      <c r="BO268" s="99" t="str">
        <f>IF($A268="","",IF($AC268="",1,IFERROR(INDEX(Deductibles!$C$55:$C$57,MATCH($AC268,Deductibles!$B$55:$B$57,0)),"?")))</f>
        <v/>
      </c>
      <c r="BP268" s="99" t="str">
        <f>IF($A268="","",IF($AD268="",1,IFERROR(INDEX(Deductibles!$C$61:$C$63,MATCH($AD268,Deductibles!$B$61:$B$63,0)),"?")))</f>
        <v/>
      </c>
      <c r="BQ268" s="99" t="str">
        <f>IF($A268="","",IF($AE268="",1,IFERROR(INDEX(Deductibles!$C$67:$C$69,MATCH($AE268,Deductibles!$B$67:$B$69,0)),"?")))</f>
        <v/>
      </c>
      <c r="BR268" s="99" t="str">
        <f>IF($A268="","",IF($AF268="",1,IFERROR(INDEX(Deductibles!$C$73:$C$74,MATCH($AF268,Deductibles!$B$73:$B$74,0)),"?")))</f>
        <v/>
      </c>
      <c r="BS268" s="99" t="str">
        <f>IF($A268="","",IF($AG268="",1,IFERROR(INDEX('Sublimits and Parts'!$C$49:$C$52,MATCH($AG268,'Sublimits and Parts'!$B$49:$B$52,0)),"?")))</f>
        <v/>
      </c>
      <c r="BT268" s="99" t="str">
        <f>IF($A268="","",IF($AH268="",1,IFERROR(INDEX('Sublimits and Parts'!$C$56:$C$60,MATCH($AH268,'Sublimits and Parts'!$B$56:$B$60,0)),"?")))</f>
        <v/>
      </c>
      <c r="BU268" s="99" t="str">
        <f>IF($A268="","",IF($AI268="",1,IFERROR(INDEX('Sublimits and Parts'!$C$64:$C$67,MATCH($AI268,'Sublimits and Parts'!$B$64:$B$67,0)),"?")))</f>
        <v/>
      </c>
      <c r="BV268" s="99" t="str">
        <f>IF($A268="","",IF($AJ268="",1,IFERROR(INDEX('Sublimits and Parts'!$C$71:$C$74,MATCH($AJ268,'Sublimits and Parts'!$B$71:$B$74,0)),"?")))</f>
        <v/>
      </c>
      <c r="BW268" s="99" t="str">
        <f>IF($A268="","",IF($AK268="",1,IFERROR(INDEX('Sublimits and Parts'!$C$78:$C$80,MATCH($AK268,'Sublimits and Parts'!$B$78:$B$80,0)),"?")))</f>
        <v/>
      </c>
      <c r="BX268" s="99" t="str">
        <f>IF($A268="","",IF($AL268="",1,IFERROR(INDEX('Sublimits and Parts'!$C$84:$C$87,MATCH($AL268,'Sublimits and Parts'!$B$84:$B$87,0)),"?")))</f>
        <v/>
      </c>
      <c r="BY268" s="99" t="str">
        <f>IF($A268="","",IF($AM268="",1,IFERROR(INDEX('Sublimits and Parts'!$C$91:$C$94,MATCH($AM268,'Sublimits and Parts'!$B$91:$B$94,0)),"?")))</f>
        <v/>
      </c>
      <c r="BZ268" s="99" t="str">
        <f>IF($A268="","",IF($AN268="",1,IFERROR(INDEX('Sublimits and Parts'!$C$98:$C$101,MATCH($AN268,'Sublimits and Parts'!$B$98:$B$101,0)),"?")))</f>
        <v/>
      </c>
      <c r="CA268" s="99" t="str">
        <f>IF($A268="","",IF($AO268="",1,IFERROR(INDEX('Sublimits and Parts'!$C$105:$C$109,MATCH($AO268,'Sublimits and Parts'!$B$105:$B$109,0)),"?")))</f>
        <v/>
      </c>
      <c r="CB268" s="100" t="str">
        <f t="shared" si="54"/>
        <v/>
      </c>
      <c r="CC268" s="100" t="str">
        <f t="shared" si="55"/>
        <v/>
      </c>
      <c r="CD268" s="103" t="str">
        <f>IF($A268="","",IF(OR($CB268="?",$CC268="?"),"?",MIN($CB268*$CC268,'Technical Premium'!$C$17)))</f>
        <v/>
      </c>
      <c r="CE268" s="102" t="str">
        <f t="shared" si="56"/>
        <v/>
      </c>
      <c r="CF268" s="102" t="str">
        <f>IF($A268="","",IFERROR(INDEX('Territory Factors'!$F$6:$F$56,MATCH($K268,'Territory Factors'!$B$6:$B$56,0)),"?"))</f>
        <v/>
      </c>
      <c r="CG268" s="100" t="str">
        <f>IF($A268="","",IFERROR(INDEX('Usage and Coverage'!$C$79:$C$84,MATCH($Y268,'Usage and Coverage'!$B$79:$B$84,0)),"?"))</f>
        <v/>
      </c>
      <c r="CH268" s="102" t="str">
        <f>IFERROR(IF(ISNUMBER($CD268),$CF268*$CG268*MIN($BG268*$BA268*$BC268*$BD268*$BH268*$BF268,'Technical Premium'!$C$17),""),"")</f>
        <v/>
      </c>
      <c r="CI268" s="102" t="str">
        <f t="shared" si="57"/>
        <v/>
      </c>
      <c r="CJ268" s="102" t="str">
        <f>IFERROR($CI268*(1+'Technical Premium'!$C$5)*(1+'Technical Premium'!$C$6),"")</f>
        <v/>
      </c>
      <c r="CK268" s="102" t="str">
        <f>IFERROR($CE268*INDEX('Territory Factors'!$G$6:$G$56,MATCH($K268,'Territory Factors'!$B$6:$B$56,0))*$AU268*$AV268,"")</f>
        <v/>
      </c>
      <c r="CL268" s="102" t="str">
        <f>IFERROR(($CJ268+$CK268)*(1+'Technical Premium'!$C$7),"")</f>
        <v/>
      </c>
      <c r="CM268" s="104" t="str">
        <f>IFERROR($CL268/'Technical Premium'!$C$13,"")</f>
        <v/>
      </c>
      <c r="CN268" s="105" t="str">
        <f t="shared" si="58"/>
        <v/>
      </c>
      <c r="CO268" s="104" t="str">
        <f t="shared" si="59"/>
        <v/>
      </c>
      <c r="CP268" s="105" t="str">
        <f t="shared" si="60"/>
        <v/>
      </c>
      <c r="CQ268" s="106" t="str">
        <f t="shared" si="61"/>
        <v/>
      </c>
      <c r="CR268" s="102" t="str">
        <f>IF(ISNUMBER($CM268),'Technical Premium'!$C$14+IF($J268&gt;=1000000,'Technical Premium'!$C$15,0),"")</f>
        <v/>
      </c>
      <c r="CS268" s="102" t="str">
        <f>IFERROR(($CO268+$CR268)*(INDEX('Territory Factors'!$K$6:$K$56,MATCH($K268,'Territory Factors'!$B$6:$B$56,0))+'Commission Structure'!$C$21),"")</f>
        <v/>
      </c>
      <c r="CT268" s="104" t="str">
        <f t="shared" si="62"/>
        <v/>
      </c>
      <c r="CU268" s="102" t="str">
        <f>IFERROR($CO268*('Commission Structure'!$C$6+'Commission Structure'!$C$7),"")</f>
        <v/>
      </c>
      <c r="CV268" s="102" t="str">
        <f>IFERROR($CO268*'Commission Structure'!$C$5-$CU268,"")</f>
        <v/>
      </c>
      <c r="CW268" s="102" t="str">
        <f>IFERROR($CO268*(1-'Commission Structure'!$C$5),"")</f>
        <v/>
      </c>
      <c r="CX268" s="107"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8" t="str">
        <f t="shared" si="63"/>
        <v/>
      </c>
      <c r="CZ268" s="99" t="str">
        <f>IF($CY268="","",IF($CY268&lt;'Technical Premium'!$C$19,"BEYOND AUTHORITY",IF($CY268&gt;0.005,"Above technical",IF($CY268&lt;-0.005,"BELOW technical","At technical"))))</f>
        <v/>
      </c>
      <c r="DA268" s="99"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4"/>
      <c r="DC268" s="94"/>
      <c r="DD268" s="95"/>
      <c r="DE268" s="94"/>
      <c r="DF268" s="94"/>
      <c r="DG268" s="99" t="str">
        <f t="shared" si="64"/>
        <v/>
      </c>
      <c r="DH268" s="99" t="str">
        <f>IF($A268="","",IF(OR($CX268="REFER",$CX268="DECLINE"),COUNTIF($CX$5:$CX268,"REFER")+COUNTIF($CX$5:$CX268,"DECLINE"),""))</f>
        <v/>
      </c>
      <c r="DI268" s="94"/>
    </row>
    <row r="269" spans="1:113" x14ac:dyDescent="0.35">
      <c r="A269" s="94"/>
      <c r="B269" s="94"/>
      <c r="C269" s="95"/>
      <c r="D269" s="95"/>
      <c r="E269" s="96"/>
      <c r="F269" s="94"/>
      <c r="G269" s="94"/>
      <c r="H269" s="94"/>
      <c r="I269" s="94"/>
      <c r="J269" s="97"/>
      <c r="K269" s="94"/>
      <c r="L269" s="94"/>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8"/>
      <c r="AR269" s="99" t="str">
        <f t="shared" si="52"/>
        <v/>
      </c>
      <c r="AS269" s="99" t="str">
        <f>IF($A269="","",IF($AP269&lt;&gt;"",$AP269,IFERROR(INDEX('Cat Zone by ZIP'!$D$6:$D$856,MATCH($AR269,'Cat Zone by ZIP'!$B$6:$B$856,0)),IFERROR(INDEX('Cat Zone by ZIP'!$C$860:$C$910,MATCH($K269,'Cat Zone by ZIP'!$B$860:$B$910,0)),"NOT FOUND"))))</f>
        <v/>
      </c>
      <c r="AT269" s="99" t="str">
        <f>IF($A269="","",IF($AP269&lt;&gt;"","Override",IF(ISNUMBER(MATCH($AR269,'Cat Zone by ZIP'!$B$6:$B$856,0)),"ZIP-3","State default")))</f>
        <v/>
      </c>
      <c r="AU269" s="100" t="str">
        <f>IF($A269="","",IFERROR(INDEX('Natural Catastrophe'!$D$6:$D$17,MATCH($AS269,'Natural Catastrophe'!$B$6:$B$17,0)),"?"))</f>
        <v/>
      </c>
      <c r="AV269" s="100" t="str">
        <f>IF($A269="","",IFERROR(INDEX('Natural Catastrophe'!$C$21:$C$26,MATCH($AA269,'Natural Catastrophe'!$B$21:$B$26,0)),"?"))</f>
        <v/>
      </c>
      <c r="AW269" s="99" t="str">
        <f>IF($A269="","",IFERROR(INDEX('Base Rates'!$C$4:$I$4,MATCH(MAX($J269,'Technical Premium'!$C$18),'Base Rates'!$C$3:$I$3,1)),"?"))</f>
        <v/>
      </c>
      <c r="AX269" s="101" t="str">
        <f>IF($A269="","",IFERROR(INDEX('Base Rates'!$C$5:$I$16,MATCH($I269,'Base Rates'!$B$5:$B$16,0),MATCH(MAX($J269,'Technical Premium'!$C$18),'Base Rates'!$C$3:$I$3,1)),"?"))</f>
        <v/>
      </c>
      <c r="AY269" s="102" t="str">
        <f t="shared" si="53"/>
        <v/>
      </c>
      <c r="AZ269" s="99" t="str">
        <f>IF($A269="","",IFERROR(INDEX('Make Factors'!$G$5:$G$69,MATCH($F269,'Make Factors'!$B$5:$B$69,0)),"?"))</f>
        <v/>
      </c>
      <c r="BA269" s="99" t="str">
        <f>IF($A269="","",IFERROR(INDEX('Driver Factors'!$C$6:$C$15,MATCH($R269,'Driver Factors'!$B$6:$B$15,0)),"?"))</f>
        <v/>
      </c>
      <c r="BB269" s="99" t="str">
        <f>IF($A269="","",IFERROR(INDEX('Driver Factors'!$C$19:$C$24,MATCH($S269,'Driver Factors'!$B$19:$B$24,0)),"?"))</f>
        <v/>
      </c>
      <c r="BC269" s="99" t="str">
        <f>IF($A269="","",IFERROR(INDEX('Driver Factors'!$C$28:$C$36,MATCH($T269,'Driver Factors'!$B$28:$B$36,0)),"?"))</f>
        <v/>
      </c>
      <c r="BD269" s="99" t="str">
        <f>IF($A269="","",IFERROR(INDEX('Claims History'!$C$6:$C$15,MATCH($U269,'Claims History'!$B$6:$B$15,0)),"?"))</f>
        <v/>
      </c>
      <c r="BE269" s="99" t="str">
        <f>IF($A269="","",IFERROR(INDEX('Territory Factors'!$E$6:$E$56,MATCH($K269,'Territory Factors'!$B$6:$B$56,0)),"?"))</f>
        <v/>
      </c>
      <c r="BF269" s="99" t="str">
        <f>IF($A269="","",IFERROR(INDEX('City Accident Ratings'!$G$6:$G$54,MATCH($Z269,'City Accident Ratings'!$B$6:$B$54,0)),"?"))</f>
        <v/>
      </c>
      <c r="BG269" s="99" t="str">
        <f>IF($A269="","",IFERROR(INDEX('Usage and Coverage'!$D$6:$D$20,MATCH($N269,'Usage and Coverage'!$C$6:$C$20,0)),"?"))</f>
        <v/>
      </c>
      <c r="BH269" s="99" t="str">
        <f>IF($A269="","",IFERROR(INDEX('Usage and Coverage'!$C$24:$C$30,MATCH($O269,'Usage and Coverage'!$B$24:$B$30,0)),"?"))</f>
        <v/>
      </c>
      <c r="BI269" s="99" t="str">
        <f>IF($A269="","",IFERROR(INDEX('Usage and Coverage'!$C$34:$C$40,MATCH($P269,'Usage and Coverage'!$B$34:$B$40,0)),"?"))</f>
        <v/>
      </c>
      <c r="BJ269" s="99" t="str">
        <f>IF($A269="","",IFERROR(INDEX('Usage and Coverage'!$C$44:$C$49,MATCH($Q269,'Usage and Coverage'!$B$44:$B$49,0)),"?"))</f>
        <v/>
      </c>
      <c r="BK269" s="99" t="str">
        <f>IF($A269="","",IFERROR(INDEX(Deductibles!$C$6:$I$15,MATCH($W269,Deductibles!$B$6:$B$15,0),MATCH(MAX($J269,'Technical Premium'!$C$18),'Base Rates'!$C$3:$I$3,1)),"?"))</f>
        <v/>
      </c>
      <c r="BL269" s="99" t="str">
        <f>IF($A269="","",IFERROR(INDEX('Usage and Coverage'!$C$63:$C$66,MATCH($X269,'Usage and Coverage'!$B$63:$B$66,0)),"?"))</f>
        <v/>
      </c>
      <c r="BM269" s="99" t="str">
        <f>IF($A269="","",IFERROR(INDEX('Usage and Coverage'!$C$70:$C$75,MATCH($V269,'Usage and Coverage'!$B$70:$B$75,0)),"?"))</f>
        <v/>
      </c>
      <c r="BN269" s="99" t="str">
        <f>IF($A269="","",IF($AB269="",1,IFERROR(INDEX(Deductibles!$C$48:$C$51,MATCH($AB269,Deductibles!$B$48:$B$51,0)),"?")))</f>
        <v/>
      </c>
      <c r="BO269" s="99" t="str">
        <f>IF($A269="","",IF($AC269="",1,IFERROR(INDEX(Deductibles!$C$55:$C$57,MATCH($AC269,Deductibles!$B$55:$B$57,0)),"?")))</f>
        <v/>
      </c>
      <c r="BP269" s="99" t="str">
        <f>IF($A269="","",IF($AD269="",1,IFERROR(INDEX(Deductibles!$C$61:$C$63,MATCH($AD269,Deductibles!$B$61:$B$63,0)),"?")))</f>
        <v/>
      </c>
      <c r="BQ269" s="99" t="str">
        <f>IF($A269="","",IF($AE269="",1,IFERROR(INDEX(Deductibles!$C$67:$C$69,MATCH($AE269,Deductibles!$B$67:$B$69,0)),"?")))</f>
        <v/>
      </c>
      <c r="BR269" s="99" t="str">
        <f>IF($A269="","",IF($AF269="",1,IFERROR(INDEX(Deductibles!$C$73:$C$74,MATCH($AF269,Deductibles!$B$73:$B$74,0)),"?")))</f>
        <v/>
      </c>
      <c r="BS269" s="99" t="str">
        <f>IF($A269="","",IF($AG269="",1,IFERROR(INDEX('Sublimits and Parts'!$C$49:$C$52,MATCH($AG269,'Sublimits and Parts'!$B$49:$B$52,0)),"?")))</f>
        <v/>
      </c>
      <c r="BT269" s="99" t="str">
        <f>IF($A269="","",IF($AH269="",1,IFERROR(INDEX('Sublimits and Parts'!$C$56:$C$60,MATCH($AH269,'Sublimits and Parts'!$B$56:$B$60,0)),"?")))</f>
        <v/>
      </c>
      <c r="BU269" s="99" t="str">
        <f>IF($A269="","",IF($AI269="",1,IFERROR(INDEX('Sublimits and Parts'!$C$64:$C$67,MATCH($AI269,'Sublimits and Parts'!$B$64:$B$67,0)),"?")))</f>
        <v/>
      </c>
      <c r="BV269" s="99" t="str">
        <f>IF($A269="","",IF($AJ269="",1,IFERROR(INDEX('Sublimits and Parts'!$C$71:$C$74,MATCH($AJ269,'Sublimits and Parts'!$B$71:$B$74,0)),"?")))</f>
        <v/>
      </c>
      <c r="BW269" s="99" t="str">
        <f>IF($A269="","",IF($AK269="",1,IFERROR(INDEX('Sublimits and Parts'!$C$78:$C$80,MATCH($AK269,'Sublimits and Parts'!$B$78:$B$80,0)),"?")))</f>
        <v/>
      </c>
      <c r="BX269" s="99" t="str">
        <f>IF($A269="","",IF($AL269="",1,IFERROR(INDEX('Sublimits and Parts'!$C$84:$C$87,MATCH($AL269,'Sublimits and Parts'!$B$84:$B$87,0)),"?")))</f>
        <v/>
      </c>
      <c r="BY269" s="99" t="str">
        <f>IF($A269="","",IF($AM269="",1,IFERROR(INDEX('Sublimits and Parts'!$C$91:$C$94,MATCH($AM269,'Sublimits and Parts'!$B$91:$B$94,0)),"?")))</f>
        <v/>
      </c>
      <c r="BZ269" s="99" t="str">
        <f>IF($A269="","",IF($AN269="",1,IFERROR(INDEX('Sublimits and Parts'!$C$98:$C$101,MATCH($AN269,'Sublimits and Parts'!$B$98:$B$101,0)),"?")))</f>
        <v/>
      </c>
      <c r="CA269" s="99" t="str">
        <f>IF($A269="","",IF($AO269="",1,IFERROR(INDEX('Sublimits and Parts'!$C$105:$C$109,MATCH($AO269,'Sublimits and Parts'!$B$105:$B$109,0)),"?")))</f>
        <v/>
      </c>
      <c r="CB269" s="100" t="str">
        <f t="shared" si="54"/>
        <v/>
      </c>
      <c r="CC269" s="100" t="str">
        <f t="shared" si="55"/>
        <v/>
      </c>
      <c r="CD269" s="103" t="str">
        <f>IF($A269="","",IF(OR($CB269="?",$CC269="?"),"?",MIN($CB269*$CC269,'Technical Premium'!$C$17)))</f>
        <v/>
      </c>
      <c r="CE269" s="102" t="str">
        <f t="shared" si="56"/>
        <v/>
      </c>
      <c r="CF269" s="102" t="str">
        <f>IF($A269="","",IFERROR(INDEX('Territory Factors'!$F$6:$F$56,MATCH($K269,'Territory Factors'!$B$6:$B$56,0)),"?"))</f>
        <v/>
      </c>
      <c r="CG269" s="100" t="str">
        <f>IF($A269="","",IFERROR(INDEX('Usage and Coverage'!$C$79:$C$84,MATCH($Y269,'Usage and Coverage'!$B$79:$B$84,0)),"?"))</f>
        <v/>
      </c>
      <c r="CH269" s="102" t="str">
        <f>IFERROR(IF(ISNUMBER($CD269),$CF269*$CG269*MIN($BG269*$BA269*$BC269*$BD269*$BH269*$BF269,'Technical Premium'!$C$17),""),"")</f>
        <v/>
      </c>
      <c r="CI269" s="102" t="str">
        <f t="shared" si="57"/>
        <v/>
      </c>
      <c r="CJ269" s="102" t="str">
        <f>IFERROR($CI269*(1+'Technical Premium'!$C$5)*(1+'Technical Premium'!$C$6),"")</f>
        <v/>
      </c>
      <c r="CK269" s="102" t="str">
        <f>IFERROR($CE269*INDEX('Territory Factors'!$G$6:$G$56,MATCH($K269,'Territory Factors'!$B$6:$B$56,0))*$AU269*$AV269,"")</f>
        <v/>
      </c>
      <c r="CL269" s="102" t="str">
        <f>IFERROR(($CJ269+$CK269)*(1+'Technical Premium'!$C$7),"")</f>
        <v/>
      </c>
      <c r="CM269" s="104" t="str">
        <f>IFERROR($CL269/'Technical Premium'!$C$13,"")</f>
        <v/>
      </c>
      <c r="CN269" s="105" t="str">
        <f t="shared" si="58"/>
        <v/>
      </c>
      <c r="CO269" s="104" t="str">
        <f t="shared" si="59"/>
        <v/>
      </c>
      <c r="CP269" s="105" t="str">
        <f t="shared" si="60"/>
        <v/>
      </c>
      <c r="CQ269" s="106" t="str">
        <f t="shared" si="61"/>
        <v/>
      </c>
      <c r="CR269" s="102" t="str">
        <f>IF(ISNUMBER($CM269),'Technical Premium'!$C$14+IF($J269&gt;=1000000,'Technical Premium'!$C$15,0),"")</f>
        <v/>
      </c>
      <c r="CS269" s="102" t="str">
        <f>IFERROR(($CO269+$CR269)*(INDEX('Territory Factors'!$K$6:$K$56,MATCH($K269,'Territory Factors'!$B$6:$B$56,0))+'Commission Structure'!$C$21),"")</f>
        <v/>
      </c>
      <c r="CT269" s="104" t="str">
        <f t="shared" si="62"/>
        <v/>
      </c>
      <c r="CU269" s="102" t="str">
        <f>IFERROR($CO269*('Commission Structure'!$C$6+'Commission Structure'!$C$7),"")</f>
        <v/>
      </c>
      <c r="CV269" s="102" t="str">
        <f>IFERROR($CO269*'Commission Structure'!$C$5-$CU269,"")</f>
        <v/>
      </c>
      <c r="CW269" s="102" t="str">
        <f>IFERROR($CO269*(1-'Commission Structure'!$C$5),"")</f>
        <v/>
      </c>
      <c r="CX269" s="107"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8" t="str">
        <f t="shared" si="63"/>
        <v/>
      </c>
      <c r="CZ269" s="99" t="str">
        <f>IF($CY269="","",IF($CY269&lt;'Technical Premium'!$C$19,"BEYOND AUTHORITY",IF($CY269&gt;0.005,"Above technical",IF($CY269&lt;-0.005,"BELOW technical","At technical"))))</f>
        <v/>
      </c>
      <c r="DA269" s="99"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4"/>
      <c r="DC269" s="94"/>
      <c r="DD269" s="95"/>
      <c r="DE269" s="94"/>
      <c r="DF269" s="94"/>
      <c r="DG269" s="99" t="str">
        <f t="shared" si="64"/>
        <v/>
      </c>
      <c r="DH269" s="99" t="str">
        <f>IF($A269="","",IF(OR($CX269="REFER",$CX269="DECLINE"),COUNTIF($CX$5:$CX269,"REFER")+COUNTIF($CX$5:$CX269,"DECLINE"),""))</f>
        <v/>
      </c>
      <c r="DI269" s="94"/>
    </row>
    <row r="270" spans="1:113" x14ac:dyDescent="0.35">
      <c r="A270" s="94"/>
      <c r="B270" s="94"/>
      <c r="C270" s="95"/>
      <c r="D270" s="95"/>
      <c r="E270" s="96"/>
      <c r="F270" s="94"/>
      <c r="G270" s="94"/>
      <c r="H270" s="94"/>
      <c r="I270" s="94"/>
      <c r="J270" s="97"/>
      <c r="K270" s="94"/>
      <c r="L270" s="94"/>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8"/>
      <c r="AR270" s="99" t="str">
        <f t="shared" si="52"/>
        <v/>
      </c>
      <c r="AS270" s="99" t="str">
        <f>IF($A270="","",IF($AP270&lt;&gt;"",$AP270,IFERROR(INDEX('Cat Zone by ZIP'!$D$6:$D$856,MATCH($AR270,'Cat Zone by ZIP'!$B$6:$B$856,0)),IFERROR(INDEX('Cat Zone by ZIP'!$C$860:$C$910,MATCH($K270,'Cat Zone by ZIP'!$B$860:$B$910,0)),"NOT FOUND"))))</f>
        <v/>
      </c>
      <c r="AT270" s="99" t="str">
        <f>IF($A270="","",IF($AP270&lt;&gt;"","Override",IF(ISNUMBER(MATCH($AR270,'Cat Zone by ZIP'!$B$6:$B$856,0)),"ZIP-3","State default")))</f>
        <v/>
      </c>
      <c r="AU270" s="100" t="str">
        <f>IF($A270="","",IFERROR(INDEX('Natural Catastrophe'!$D$6:$D$17,MATCH($AS270,'Natural Catastrophe'!$B$6:$B$17,0)),"?"))</f>
        <v/>
      </c>
      <c r="AV270" s="100" t="str">
        <f>IF($A270="","",IFERROR(INDEX('Natural Catastrophe'!$C$21:$C$26,MATCH($AA270,'Natural Catastrophe'!$B$21:$B$26,0)),"?"))</f>
        <v/>
      </c>
      <c r="AW270" s="99" t="str">
        <f>IF($A270="","",IFERROR(INDEX('Base Rates'!$C$4:$I$4,MATCH(MAX($J270,'Technical Premium'!$C$18),'Base Rates'!$C$3:$I$3,1)),"?"))</f>
        <v/>
      </c>
      <c r="AX270" s="101" t="str">
        <f>IF($A270="","",IFERROR(INDEX('Base Rates'!$C$5:$I$16,MATCH($I270,'Base Rates'!$B$5:$B$16,0),MATCH(MAX($J270,'Technical Premium'!$C$18),'Base Rates'!$C$3:$I$3,1)),"?"))</f>
        <v/>
      </c>
      <c r="AY270" s="102" t="str">
        <f t="shared" si="53"/>
        <v/>
      </c>
      <c r="AZ270" s="99" t="str">
        <f>IF($A270="","",IFERROR(INDEX('Make Factors'!$G$5:$G$69,MATCH($F270,'Make Factors'!$B$5:$B$69,0)),"?"))</f>
        <v/>
      </c>
      <c r="BA270" s="99" t="str">
        <f>IF($A270="","",IFERROR(INDEX('Driver Factors'!$C$6:$C$15,MATCH($R270,'Driver Factors'!$B$6:$B$15,0)),"?"))</f>
        <v/>
      </c>
      <c r="BB270" s="99" t="str">
        <f>IF($A270="","",IFERROR(INDEX('Driver Factors'!$C$19:$C$24,MATCH($S270,'Driver Factors'!$B$19:$B$24,0)),"?"))</f>
        <v/>
      </c>
      <c r="BC270" s="99" t="str">
        <f>IF($A270="","",IFERROR(INDEX('Driver Factors'!$C$28:$C$36,MATCH($T270,'Driver Factors'!$B$28:$B$36,0)),"?"))</f>
        <v/>
      </c>
      <c r="BD270" s="99" t="str">
        <f>IF($A270="","",IFERROR(INDEX('Claims History'!$C$6:$C$15,MATCH($U270,'Claims History'!$B$6:$B$15,0)),"?"))</f>
        <v/>
      </c>
      <c r="BE270" s="99" t="str">
        <f>IF($A270="","",IFERROR(INDEX('Territory Factors'!$E$6:$E$56,MATCH($K270,'Territory Factors'!$B$6:$B$56,0)),"?"))</f>
        <v/>
      </c>
      <c r="BF270" s="99" t="str">
        <f>IF($A270="","",IFERROR(INDEX('City Accident Ratings'!$G$6:$G$54,MATCH($Z270,'City Accident Ratings'!$B$6:$B$54,0)),"?"))</f>
        <v/>
      </c>
      <c r="BG270" s="99" t="str">
        <f>IF($A270="","",IFERROR(INDEX('Usage and Coverage'!$D$6:$D$20,MATCH($N270,'Usage and Coverage'!$C$6:$C$20,0)),"?"))</f>
        <v/>
      </c>
      <c r="BH270" s="99" t="str">
        <f>IF($A270="","",IFERROR(INDEX('Usage and Coverage'!$C$24:$C$30,MATCH($O270,'Usage and Coverage'!$B$24:$B$30,0)),"?"))</f>
        <v/>
      </c>
      <c r="BI270" s="99" t="str">
        <f>IF($A270="","",IFERROR(INDEX('Usage and Coverage'!$C$34:$C$40,MATCH($P270,'Usage and Coverage'!$B$34:$B$40,0)),"?"))</f>
        <v/>
      </c>
      <c r="BJ270" s="99" t="str">
        <f>IF($A270="","",IFERROR(INDEX('Usage and Coverage'!$C$44:$C$49,MATCH($Q270,'Usage and Coverage'!$B$44:$B$49,0)),"?"))</f>
        <v/>
      </c>
      <c r="BK270" s="99" t="str">
        <f>IF($A270="","",IFERROR(INDEX(Deductibles!$C$6:$I$15,MATCH($W270,Deductibles!$B$6:$B$15,0),MATCH(MAX($J270,'Technical Premium'!$C$18),'Base Rates'!$C$3:$I$3,1)),"?"))</f>
        <v/>
      </c>
      <c r="BL270" s="99" t="str">
        <f>IF($A270="","",IFERROR(INDEX('Usage and Coverage'!$C$63:$C$66,MATCH($X270,'Usage and Coverage'!$B$63:$B$66,0)),"?"))</f>
        <v/>
      </c>
      <c r="BM270" s="99" t="str">
        <f>IF($A270="","",IFERROR(INDEX('Usage and Coverage'!$C$70:$C$75,MATCH($V270,'Usage and Coverage'!$B$70:$B$75,0)),"?"))</f>
        <v/>
      </c>
      <c r="BN270" s="99" t="str">
        <f>IF($A270="","",IF($AB270="",1,IFERROR(INDEX(Deductibles!$C$48:$C$51,MATCH($AB270,Deductibles!$B$48:$B$51,0)),"?")))</f>
        <v/>
      </c>
      <c r="BO270" s="99" t="str">
        <f>IF($A270="","",IF($AC270="",1,IFERROR(INDEX(Deductibles!$C$55:$C$57,MATCH($AC270,Deductibles!$B$55:$B$57,0)),"?")))</f>
        <v/>
      </c>
      <c r="BP270" s="99" t="str">
        <f>IF($A270="","",IF($AD270="",1,IFERROR(INDEX(Deductibles!$C$61:$C$63,MATCH($AD270,Deductibles!$B$61:$B$63,0)),"?")))</f>
        <v/>
      </c>
      <c r="BQ270" s="99" t="str">
        <f>IF($A270="","",IF($AE270="",1,IFERROR(INDEX(Deductibles!$C$67:$C$69,MATCH($AE270,Deductibles!$B$67:$B$69,0)),"?")))</f>
        <v/>
      </c>
      <c r="BR270" s="99" t="str">
        <f>IF($A270="","",IF($AF270="",1,IFERROR(INDEX(Deductibles!$C$73:$C$74,MATCH($AF270,Deductibles!$B$73:$B$74,0)),"?")))</f>
        <v/>
      </c>
      <c r="BS270" s="99" t="str">
        <f>IF($A270="","",IF($AG270="",1,IFERROR(INDEX('Sublimits and Parts'!$C$49:$C$52,MATCH($AG270,'Sublimits and Parts'!$B$49:$B$52,0)),"?")))</f>
        <v/>
      </c>
      <c r="BT270" s="99" t="str">
        <f>IF($A270="","",IF($AH270="",1,IFERROR(INDEX('Sublimits and Parts'!$C$56:$C$60,MATCH($AH270,'Sublimits and Parts'!$B$56:$B$60,0)),"?")))</f>
        <v/>
      </c>
      <c r="BU270" s="99" t="str">
        <f>IF($A270="","",IF($AI270="",1,IFERROR(INDEX('Sublimits and Parts'!$C$64:$C$67,MATCH($AI270,'Sublimits and Parts'!$B$64:$B$67,0)),"?")))</f>
        <v/>
      </c>
      <c r="BV270" s="99" t="str">
        <f>IF($A270="","",IF($AJ270="",1,IFERROR(INDEX('Sublimits and Parts'!$C$71:$C$74,MATCH($AJ270,'Sublimits and Parts'!$B$71:$B$74,0)),"?")))</f>
        <v/>
      </c>
      <c r="BW270" s="99" t="str">
        <f>IF($A270="","",IF($AK270="",1,IFERROR(INDEX('Sublimits and Parts'!$C$78:$C$80,MATCH($AK270,'Sublimits and Parts'!$B$78:$B$80,0)),"?")))</f>
        <v/>
      </c>
      <c r="BX270" s="99" t="str">
        <f>IF($A270="","",IF($AL270="",1,IFERROR(INDEX('Sublimits and Parts'!$C$84:$C$87,MATCH($AL270,'Sublimits and Parts'!$B$84:$B$87,0)),"?")))</f>
        <v/>
      </c>
      <c r="BY270" s="99" t="str">
        <f>IF($A270="","",IF($AM270="",1,IFERROR(INDEX('Sublimits and Parts'!$C$91:$C$94,MATCH($AM270,'Sublimits and Parts'!$B$91:$B$94,0)),"?")))</f>
        <v/>
      </c>
      <c r="BZ270" s="99" t="str">
        <f>IF($A270="","",IF($AN270="",1,IFERROR(INDEX('Sublimits and Parts'!$C$98:$C$101,MATCH($AN270,'Sublimits and Parts'!$B$98:$B$101,0)),"?")))</f>
        <v/>
      </c>
      <c r="CA270" s="99" t="str">
        <f>IF($A270="","",IF($AO270="",1,IFERROR(INDEX('Sublimits and Parts'!$C$105:$C$109,MATCH($AO270,'Sublimits and Parts'!$B$105:$B$109,0)),"?")))</f>
        <v/>
      </c>
      <c r="CB270" s="100" t="str">
        <f t="shared" si="54"/>
        <v/>
      </c>
      <c r="CC270" s="100" t="str">
        <f t="shared" si="55"/>
        <v/>
      </c>
      <c r="CD270" s="103" t="str">
        <f>IF($A270="","",IF(OR($CB270="?",$CC270="?"),"?",MIN($CB270*$CC270,'Technical Premium'!$C$17)))</f>
        <v/>
      </c>
      <c r="CE270" s="102" t="str">
        <f t="shared" si="56"/>
        <v/>
      </c>
      <c r="CF270" s="102" t="str">
        <f>IF($A270="","",IFERROR(INDEX('Territory Factors'!$F$6:$F$56,MATCH($K270,'Territory Factors'!$B$6:$B$56,0)),"?"))</f>
        <v/>
      </c>
      <c r="CG270" s="100" t="str">
        <f>IF($A270="","",IFERROR(INDEX('Usage and Coverage'!$C$79:$C$84,MATCH($Y270,'Usage and Coverage'!$B$79:$B$84,0)),"?"))</f>
        <v/>
      </c>
      <c r="CH270" s="102" t="str">
        <f>IFERROR(IF(ISNUMBER($CD270),$CF270*$CG270*MIN($BG270*$BA270*$BC270*$BD270*$BH270*$BF270,'Technical Premium'!$C$17),""),"")</f>
        <v/>
      </c>
      <c r="CI270" s="102" t="str">
        <f t="shared" si="57"/>
        <v/>
      </c>
      <c r="CJ270" s="102" t="str">
        <f>IFERROR($CI270*(1+'Technical Premium'!$C$5)*(1+'Technical Premium'!$C$6),"")</f>
        <v/>
      </c>
      <c r="CK270" s="102" t="str">
        <f>IFERROR($CE270*INDEX('Territory Factors'!$G$6:$G$56,MATCH($K270,'Territory Factors'!$B$6:$B$56,0))*$AU270*$AV270,"")</f>
        <v/>
      </c>
      <c r="CL270" s="102" t="str">
        <f>IFERROR(($CJ270+$CK270)*(1+'Technical Premium'!$C$7),"")</f>
        <v/>
      </c>
      <c r="CM270" s="104" t="str">
        <f>IFERROR($CL270/'Technical Premium'!$C$13,"")</f>
        <v/>
      </c>
      <c r="CN270" s="105" t="str">
        <f t="shared" si="58"/>
        <v/>
      </c>
      <c r="CO270" s="104" t="str">
        <f t="shared" si="59"/>
        <v/>
      </c>
      <c r="CP270" s="105" t="str">
        <f t="shared" si="60"/>
        <v/>
      </c>
      <c r="CQ270" s="106" t="str">
        <f t="shared" si="61"/>
        <v/>
      </c>
      <c r="CR270" s="102" t="str">
        <f>IF(ISNUMBER($CM270),'Technical Premium'!$C$14+IF($J270&gt;=1000000,'Technical Premium'!$C$15,0),"")</f>
        <v/>
      </c>
      <c r="CS270" s="102" t="str">
        <f>IFERROR(($CO270+$CR270)*(INDEX('Territory Factors'!$K$6:$K$56,MATCH($K270,'Territory Factors'!$B$6:$B$56,0))+'Commission Structure'!$C$21),"")</f>
        <v/>
      </c>
      <c r="CT270" s="104" t="str">
        <f t="shared" si="62"/>
        <v/>
      </c>
      <c r="CU270" s="102" t="str">
        <f>IFERROR($CO270*('Commission Structure'!$C$6+'Commission Structure'!$C$7),"")</f>
        <v/>
      </c>
      <c r="CV270" s="102" t="str">
        <f>IFERROR($CO270*'Commission Structure'!$C$5-$CU270,"")</f>
        <v/>
      </c>
      <c r="CW270" s="102" t="str">
        <f>IFERROR($CO270*(1-'Commission Structure'!$C$5),"")</f>
        <v/>
      </c>
      <c r="CX270" s="107"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8" t="str">
        <f t="shared" si="63"/>
        <v/>
      </c>
      <c r="CZ270" s="99" t="str">
        <f>IF($CY270="","",IF($CY270&lt;'Technical Premium'!$C$19,"BEYOND AUTHORITY",IF($CY270&gt;0.005,"Above technical",IF($CY270&lt;-0.005,"BELOW technical","At technical"))))</f>
        <v/>
      </c>
      <c r="DA270" s="99"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4"/>
      <c r="DC270" s="94"/>
      <c r="DD270" s="95"/>
      <c r="DE270" s="94"/>
      <c r="DF270" s="94"/>
      <c r="DG270" s="99" t="str">
        <f t="shared" si="64"/>
        <v/>
      </c>
      <c r="DH270" s="99" t="str">
        <f>IF($A270="","",IF(OR($CX270="REFER",$CX270="DECLINE"),COUNTIF($CX$5:$CX270,"REFER")+COUNTIF($CX$5:$CX270,"DECLINE"),""))</f>
        <v/>
      </c>
      <c r="DI270" s="94"/>
    </row>
    <row r="271" spans="1:113" x14ac:dyDescent="0.35">
      <c r="A271" s="94"/>
      <c r="B271" s="94"/>
      <c r="C271" s="95"/>
      <c r="D271" s="95"/>
      <c r="E271" s="96"/>
      <c r="F271" s="94"/>
      <c r="G271" s="94"/>
      <c r="H271" s="94"/>
      <c r="I271" s="94"/>
      <c r="J271" s="97"/>
      <c r="K271" s="94"/>
      <c r="L271" s="94"/>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8"/>
      <c r="AR271" s="99" t="str">
        <f t="shared" si="52"/>
        <v/>
      </c>
      <c r="AS271" s="99" t="str">
        <f>IF($A271="","",IF($AP271&lt;&gt;"",$AP271,IFERROR(INDEX('Cat Zone by ZIP'!$D$6:$D$856,MATCH($AR271,'Cat Zone by ZIP'!$B$6:$B$856,0)),IFERROR(INDEX('Cat Zone by ZIP'!$C$860:$C$910,MATCH($K271,'Cat Zone by ZIP'!$B$860:$B$910,0)),"NOT FOUND"))))</f>
        <v/>
      </c>
      <c r="AT271" s="99" t="str">
        <f>IF($A271="","",IF($AP271&lt;&gt;"","Override",IF(ISNUMBER(MATCH($AR271,'Cat Zone by ZIP'!$B$6:$B$856,0)),"ZIP-3","State default")))</f>
        <v/>
      </c>
      <c r="AU271" s="100" t="str">
        <f>IF($A271="","",IFERROR(INDEX('Natural Catastrophe'!$D$6:$D$17,MATCH($AS271,'Natural Catastrophe'!$B$6:$B$17,0)),"?"))</f>
        <v/>
      </c>
      <c r="AV271" s="100" t="str">
        <f>IF($A271="","",IFERROR(INDEX('Natural Catastrophe'!$C$21:$C$26,MATCH($AA271,'Natural Catastrophe'!$B$21:$B$26,0)),"?"))</f>
        <v/>
      </c>
      <c r="AW271" s="99" t="str">
        <f>IF($A271="","",IFERROR(INDEX('Base Rates'!$C$4:$I$4,MATCH(MAX($J271,'Technical Premium'!$C$18),'Base Rates'!$C$3:$I$3,1)),"?"))</f>
        <v/>
      </c>
      <c r="AX271" s="101" t="str">
        <f>IF($A271="","",IFERROR(INDEX('Base Rates'!$C$5:$I$16,MATCH($I271,'Base Rates'!$B$5:$B$16,0),MATCH(MAX($J271,'Technical Premium'!$C$18),'Base Rates'!$C$3:$I$3,1)),"?"))</f>
        <v/>
      </c>
      <c r="AY271" s="102" t="str">
        <f t="shared" si="53"/>
        <v/>
      </c>
      <c r="AZ271" s="99" t="str">
        <f>IF($A271="","",IFERROR(INDEX('Make Factors'!$G$5:$G$69,MATCH($F271,'Make Factors'!$B$5:$B$69,0)),"?"))</f>
        <v/>
      </c>
      <c r="BA271" s="99" t="str">
        <f>IF($A271="","",IFERROR(INDEX('Driver Factors'!$C$6:$C$15,MATCH($R271,'Driver Factors'!$B$6:$B$15,0)),"?"))</f>
        <v/>
      </c>
      <c r="BB271" s="99" t="str">
        <f>IF($A271="","",IFERROR(INDEX('Driver Factors'!$C$19:$C$24,MATCH($S271,'Driver Factors'!$B$19:$B$24,0)),"?"))</f>
        <v/>
      </c>
      <c r="BC271" s="99" t="str">
        <f>IF($A271="","",IFERROR(INDEX('Driver Factors'!$C$28:$C$36,MATCH($T271,'Driver Factors'!$B$28:$B$36,0)),"?"))</f>
        <v/>
      </c>
      <c r="BD271" s="99" t="str">
        <f>IF($A271="","",IFERROR(INDEX('Claims History'!$C$6:$C$15,MATCH($U271,'Claims History'!$B$6:$B$15,0)),"?"))</f>
        <v/>
      </c>
      <c r="BE271" s="99" t="str">
        <f>IF($A271="","",IFERROR(INDEX('Territory Factors'!$E$6:$E$56,MATCH($K271,'Territory Factors'!$B$6:$B$56,0)),"?"))</f>
        <v/>
      </c>
      <c r="BF271" s="99" t="str">
        <f>IF($A271="","",IFERROR(INDEX('City Accident Ratings'!$G$6:$G$54,MATCH($Z271,'City Accident Ratings'!$B$6:$B$54,0)),"?"))</f>
        <v/>
      </c>
      <c r="BG271" s="99" t="str">
        <f>IF($A271="","",IFERROR(INDEX('Usage and Coverage'!$D$6:$D$20,MATCH($N271,'Usage and Coverage'!$C$6:$C$20,0)),"?"))</f>
        <v/>
      </c>
      <c r="BH271" s="99" t="str">
        <f>IF($A271="","",IFERROR(INDEX('Usage and Coverage'!$C$24:$C$30,MATCH($O271,'Usage and Coverage'!$B$24:$B$30,0)),"?"))</f>
        <v/>
      </c>
      <c r="BI271" s="99" t="str">
        <f>IF($A271="","",IFERROR(INDEX('Usage and Coverage'!$C$34:$C$40,MATCH($P271,'Usage and Coverage'!$B$34:$B$40,0)),"?"))</f>
        <v/>
      </c>
      <c r="BJ271" s="99" t="str">
        <f>IF($A271="","",IFERROR(INDEX('Usage and Coverage'!$C$44:$C$49,MATCH($Q271,'Usage and Coverage'!$B$44:$B$49,0)),"?"))</f>
        <v/>
      </c>
      <c r="BK271" s="99" t="str">
        <f>IF($A271="","",IFERROR(INDEX(Deductibles!$C$6:$I$15,MATCH($W271,Deductibles!$B$6:$B$15,0),MATCH(MAX($J271,'Technical Premium'!$C$18),'Base Rates'!$C$3:$I$3,1)),"?"))</f>
        <v/>
      </c>
      <c r="BL271" s="99" t="str">
        <f>IF($A271="","",IFERROR(INDEX('Usage and Coverage'!$C$63:$C$66,MATCH($X271,'Usage and Coverage'!$B$63:$B$66,0)),"?"))</f>
        <v/>
      </c>
      <c r="BM271" s="99" t="str">
        <f>IF($A271="","",IFERROR(INDEX('Usage and Coverage'!$C$70:$C$75,MATCH($V271,'Usage and Coverage'!$B$70:$B$75,0)),"?"))</f>
        <v/>
      </c>
      <c r="BN271" s="99" t="str">
        <f>IF($A271="","",IF($AB271="",1,IFERROR(INDEX(Deductibles!$C$48:$C$51,MATCH($AB271,Deductibles!$B$48:$B$51,0)),"?")))</f>
        <v/>
      </c>
      <c r="BO271" s="99" t="str">
        <f>IF($A271="","",IF($AC271="",1,IFERROR(INDEX(Deductibles!$C$55:$C$57,MATCH($AC271,Deductibles!$B$55:$B$57,0)),"?")))</f>
        <v/>
      </c>
      <c r="BP271" s="99" t="str">
        <f>IF($A271="","",IF($AD271="",1,IFERROR(INDEX(Deductibles!$C$61:$C$63,MATCH($AD271,Deductibles!$B$61:$B$63,0)),"?")))</f>
        <v/>
      </c>
      <c r="BQ271" s="99" t="str">
        <f>IF($A271="","",IF($AE271="",1,IFERROR(INDEX(Deductibles!$C$67:$C$69,MATCH($AE271,Deductibles!$B$67:$B$69,0)),"?")))</f>
        <v/>
      </c>
      <c r="BR271" s="99" t="str">
        <f>IF($A271="","",IF($AF271="",1,IFERROR(INDEX(Deductibles!$C$73:$C$74,MATCH($AF271,Deductibles!$B$73:$B$74,0)),"?")))</f>
        <v/>
      </c>
      <c r="BS271" s="99" t="str">
        <f>IF($A271="","",IF($AG271="",1,IFERROR(INDEX('Sublimits and Parts'!$C$49:$C$52,MATCH($AG271,'Sublimits and Parts'!$B$49:$B$52,0)),"?")))</f>
        <v/>
      </c>
      <c r="BT271" s="99" t="str">
        <f>IF($A271="","",IF($AH271="",1,IFERROR(INDEX('Sublimits and Parts'!$C$56:$C$60,MATCH($AH271,'Sublimits and Parts'!$B$56:$B$60,0)),"?")))</f>
        <v/>
      </c>
      <c r="BU271" s="99" t="str">
        <f>IF($A271="","",IF($AI271="",1,IFERROR(INDEX('Sublimits and Parts'!$C$64:$C$67,MATCH($AI271,'Sublimits and Parts'!$B$64:$B$67,0)),"?")))</f>
        <v/>
      </c>
      <c r="BV271" s="99" t="str">
        <f>IF($A271="","",IF($AJ271="",1,IFERROR(INDEX('Sublimits and Parts'!$C$71:$C$74,MATCH($AJ271,'Sublimits and Parts'!$B$71:$B$74,0)),"?")))</f>
        <v/>
      </c>
      <c r="BW271" s="99" t="str">
        <f>IF($A271="","",IF($AK271="",1,IFERROR(INDEX('Sublimits and Parts'!$C$78:$C$80,MATCH($AK271,'Sublimits and Parts'!$B$78:$B$80,0)),"?")))</f>
        <v/>
      </c>
      <c r="BX271" s="99" t="str">
        <f>IF($A271="","",IF($AL271="",1,IFERROR(INDEX('Sublimits and Parts'!$C$84:$C$87,MATCH($AL271,'Sublimits and Parts'!$B$84:$B$87,0)),"?")))</f>
        <v/>
      </c>
      <c r="BY271" s="99" t="str">
        <f>IF($A271="","",IF($AM271="",1,IFERROR(INDEX('Sublimits and Parts'!$C$91:$C$94,MATCH($AM271,'Sublimits and Parts'!$B$91:$B$94,0)),"?")))</f>
        <v/>
      </c>
      <c r="BZ271" s="99" t="str">
        <f>IF($A271="","",IF($AN271="",1,IFERROR(INDEX('Sublimits and Parts'!$C$98:$C$101,MATCH($AN271,'Sublimits and Parts'!$B$98:$B$101,0)),"?")))</f>
        <v/>
      </c>
      <c r="CA271" s="99" t="str">
        <f>IF($A271="","",IF($AO271="",1,IFERROR(INDEX('Sublimits and Parts'!$C$105:$C$109,MATCH($AO271,'Sublimits and Parts'!$B$105:$B$109,0)),"?")))</f>
        <v/>
      </c>
      <c r="CB271" s="100" t="str">
        <f t="shared" si="54"/>
        <v/>
      </c>
      <c r="CC271" s="100" t="str">
        <f t="shared" si="55"/>
        <v/>
      </c>
      <c r="CD271" s="103" t="str">
        <f>IF($A271="","",IF(OR($CB271="?",$CC271="?"),"?",MIN($CB271*$CC271,'Technical Premium'!$C$17)))</f>
        <v/>
      </c>
      <c r="CE271" s="102" t="str">
        <f t="shared" si="56"/>
        <v/>
      </c>
      <c r="CF271" s="102" t="str">
        <f>IF($A271="","",IFERROR(INDEX('Territory Factors'!$F$6:$F$56,MATCH($K271,'Territory Factors'!$B$6:$B$56,0)),"?"))</f>
        <v/>
      </c>
      <c r="CG271" s="100" t="str">
        <f>IF($A271="","",IFERROR(INDEX('Usage and Coverage'!$C$79:$C$84,MATCH($Y271,'Usage and Coverage'!$B$79:$B$84,0)),"?"))</f>
        <v/>
      </c>
      <c r="CH271" s="102" t="str">
        <f>IFERROR(IF(ISNUMBER($CD271),$CF271*$CG271*MIN($BG271*$BA271*$BC271*$BD271*$BH271*$BF271,'Technical Premium'!$C$17),""),"")</f>
        <v/>
      </c>
      <c r="CI271" s="102" t="str">
        <f t="shared" si="57"/>
        <v/>
      </c>
      <c r="CJ271" s="102" t="str">
        <f>IFERROR($CI271*(1+'Technical Premium'!$C$5)*(1+'Technical Premium'!$C$6),"")</f>
        <v/>
      </c>
      <c r="CK271" s="102" t="str">
        <f>IFERROR($CE271*INDEX('Territory Factors'!$G$6:$G$56,MATCH($K271,'Territory Factors'!$B$6:$B$56,0))*$AU271*$AV271,"")</f>
        <v/>
      </c>
      <c r="CL271" s="102" t="str">
        <f>IFERROR(($CJ271+$CK271)*(1+'Technical Premium'!$C$7),"")</f>
        <v/>
      </c>
      <c r="CM271" s="104" t="str">
        <f>IFERROR($CL271/'Technical Premium'!$C$13,"")</f>
        <v/>
      </c>
      <c r="CN271" s="105" t="str">
        <f t="shared" si="58"/>
        <v/>
      </c>
      <c r="CO271" s="104" t="str">
        <f t="shared" si="59"/>
        <v/>
      </c>
      <c r="CP271" s="105" t="str">
        <f t="shared" si="60"/>
        <v/>
      </c>
      <c r="CQ271" s="106" t="str">
        <f t="shared" si="61"/>
        <v/>
      </c>
      <c r="CR271" s="102" t="str">
        <f>IF(ISNUMBER($CM271),'Technical Premium'!$C$14+IF($J271&gt;=1000000,'Technical Premium'!$C$15,0),"")</f>
        <v/>
      </c>
      <c r="CS271" s="102" t="str">
        <f>IFERROR(($CO271+$CR271)*(INDEX('Territory Factors'!$K$6:$K$56,MATCH($K271,'Territory Factors'!$B$6:$B$56,0))+'Commission Structure'!$C$21),"")</f>
        <v/>
      </c>
      <c r="CT271" s="104" t="str">
        <f t="shared" si="62"/>
        <v/>
      </c>
      <c r="CU271" s="102" t="str">
        <f>IFERROR($CO271*('Commission Structure'!$C$6+'Commission Structure'!$C$7),"")</f>
        <v/>
      </c>
      <c r="CV271" s="102" t="str">
        <f>IFERROR($CO271*'Commission Structure'!$C$5-$CU271,"")</f>
        <v/>
      </c>
      <c r="CW271" s="102" t="str">
        <f>IFERROR($CO271*(1-'Commission Structure'!$C$5),"")</f>
        <v/>
      </c>
      <c r="CX271" s="107"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8" t="str">
        <f t="shared" si="63"/>
        <v/>
      </c>
      <c r="CZ271" s="99" t="str">
        <f>IF($CY271="","",IF($CY271&lt;'Technical Premium'!$C$19,"BEYOND AUTHORITY",IF($CY271&gt;0.005,"Above technical",IF($CY271&lt;-0.005,"BELOW technical","At technical"))))</f>
        <v/>
      </c>
      <c r="DA271" s="99"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4"/>
      <c r="DC271" s="94"/>
      <c r="DD271" s="95"/>
      <c r="DE271" s="94"/>
      <c r="DF271" s="94"/>
      <c r="DG271" s="99" t="str">
        <f t="shared" si="64"/>
        <v/>
      </c>
      <c r="DH271" s="99" t="str">
        <f>IF($A271="","",IF(OR($CX271="REFER",$CX271="DECLINE"),COUNTIF($CX$5:$CX271,"REFER")+COUNTIF($CX$5:$CX271,"DECLINE"),""))</f>
        <v/>
      </c>
      <c r="DI271" s="94"/>
    </row>
    <row r="272" spans="1:113" x14ac:dyDescent="0.35">
      <c r="A272" s="94"/>
      <c r="B272" s="94"/>
      <c r="C272" s="95"/>
      <c r="D272" s="95"/>
      <c r="E272" s="96"/>
      <c r="F272" s="94"/>
      <c r="G272" s="94"/>
      <c r="H272" s="94"/>
      <c r="I272" s="94"/>
      <c r="J272" s="97"/>
      <c r="K272" s="94"/>
      <c r="L272" s="94"/>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8"/>
      <c r="AR272" s="99" t="str">
        <f t="shared" si="52"/>
        <v/>
      </c>
      <c r="AS272" s="99" t="str">
        <f>IF($A272="","",IF($AP272&lt;&gt;"",$AP272,IFERROR(INDEX('Cat Zone by ZIP'!$D$6:$D$856,MATCH($AR272,'Cat Zone by ZIP'!$B$6:$B$856,0)),IFERROR(INDEX('Cat Zone by ZIP'!$C$860:$C$910,MATCH($K272,'Cat Zone by ZIP'!$B$860:$B$910,0)),"NOT FOUND"))))</f>
        <v/>
      </c>
      <c r="AT272" s="99" t="str">
        <f>IF($A272="","",IF($AP272&lt;&gt;"","Override",IF(ISNUMBER(MATCH($AR272,'Cat Zone by ZIP'!$B$6:$B$856,0)),"ZIP-3","State default")))</f>
        <v/>
      </c>
      <c r="AU272" s="100" t="str">
        <f>IF($A272="","",IFERROR(INDEX('Natural Catastrophe'!$D$6:$D$17,MATCH($AS272,'Natural Catastrophe'!$B$6:$B$17,0)),"?"))</f>
        <v/>
      </c>
      <c r="AV272" s="100" t="str">
        <f>IF($A272="","",IFERROR(INDEX('Natural Catastrophe'!$C$21:$C$26,MATCH($AA272,'Natural Catastrophe'!$B$21:$B$26,0)),"?"))</f>
        <v/>
      </c>
      <c r="AW272" s="99" t="str">
        <f>IF($A272="","",IFERROR(INDEX('Base Rates'!$C$4:$I$4,MATCH(MAX($J272,'Technical Premium'!$C$18),'Base Rates'!$C$3:$I$3,1)),"?"))</f>
        <v/>
      </c>
      <c r="AX272" s="101" t="str">
        <f>IF($A272="","",IFERROR(INDEX('Base Rates'!$C$5:$I$16,MATCH($I272,'Base Rates'!$B$5:$B$16,0),MATCH(MAX($J272,'Technical Premium'!$C$18),'Base Rates'!$C$3:$I$3,1)),"?"))</f>
        <v/>
      </c>
      <c r="AY272" s="102" t="str">
        <f t="shared" si="53"/>
        <v/>
      </c>
      <c r="AZ272" s="99" t="str">
        <f>IF($A272="","",IFERROR(INDEX('Make Factors'!$G$5:$G$69,MATCH($F272,'Make Factors'!$B$5:$B$69,0)),"?"))</f>
        <v/>
      </c>
      <c r="BA272" s="99" t="str">
        <f>IF($A272="","",IFERROR(INDEX('Driver Factors'!$C$6:$C$15,MATCH($R272,'Driver Factors'!$B$6:$B$15,0)),"?"))</f>
        <v/>
      </c>
      <c r="BB272" s="99" t="str">
        <f>IF($A272="","",IFERROR(INDEX('Driver Factors'!$C$19:$C$24,MATCH($S272,'Driver Factors'!$B$19:$B$24,0)),"?"))</f>
        <v/>
      </c>
      <c r="BC272" s="99" t="str">
        <f>IF($A272="","",IFERROR(INDEX('Driver Factors'!$C$28:$C$36,MATCH($T272,'Driver Factors'!$B$28:$B$36,0)),"?"))</f>
        <v/>
      </c>
      <c r="BD272" s="99" t="str">
        <f>IF($A272="","",IFERROR(INDEX('Claims History'!$C$6:$C$15,MATCH($U272,'Claims History'!$B$6:$B$15,0)),"?"))</f>
        <v/>
      </c>
      <c r="BE272" s="99" t="str">
        <f>IF($A272="","",IFERROR(INDEX('Territory Factors'!$E$6:$E$56,MATCH($K272,'Territory Factors'!$B$6:$B$56,0)),"?"))</f>
        <v/>
      </c>
      <c r="BF272" s="99" t="str">
        <f>IF($A272="","",IFERROR(INDEX('City Accident Ratings'!$G$6:$G$54,MATCH($Z272,'City Accident Ratings'!$B$6:$B$54,0)),"?"))</f>
        <v/>
      </c>
      <c r="BG272" s="99" t="str">
        <f>IF($A272="","",IFERROR(INDEX('Usage and Coverage'!$D$6:$D$20,MATCH($N272,'Usage and Coverage'!$C$6:$C$20,0)),"?"))</f>
        <v/>
      </c>
      <c r="BH272" s="99" t="str">
        <f>IF($A272="","",IFERROR(INDEX('Usage and Coverage'!$C$24:$C$30,MATCH($O272,'Usage and Coverage'!$B$24:$B$30,0)),"?"))</f>
        <v/>
      </c>
      <c r="BI272" s="99" t="str">
        <f>IF($A272="","",IFERROR(INDEX('Usage and Coverage'!$C$34:$C$40,MATCH($P272,'Usage and Coverage'!$B$34:$B$40,0)),"?"))</f>
        <v/>
      </c>
      <c r="BJ272" s="99" t="str">
        <f>IF($A272="","",IFERROR(INDEX('Usage and Coverage'!$C$44:$C$49,MATCH($Q272,'Usage and Coverage'!$B$44:$B$49,0)),"?"))</f>
        <v/>
      </c>
      <c r="BK272" s="99" t="str">
        <f>IF($A272="","",IFERROR(INDEX(Deductibles!$C$6:$I$15,MATCH($W272,Deductibles!$B$6:$B$15,0),MATCH(MAX($J272,'Technical Premium'!$C$18),'Base Rates'!$C$3:$I$3,1)),"?"))</f>
        <v/>
      </c>
      <c r="BL272" s="99" t="str">
        <f>IF($A272="","",IFERROR(INDEX('Usage and Coverage'!$C$63:$C$66,MATCH($X272,'Usage and Coverage'!$B$63:$B$66,0)),"?"))</f>
        <v/>
      </c>
      <c r="BM272" s="99" t="str">
        <f>IF($A272="","",IFERROR(INDEX('Usage and Coverage'!$C$70:$C$75,MATCH($V272,'Usage and Coverage'!$B$70:$B$75,0)),"?"))</f>
        <v/>
      </c>
      <c r="BN272" s="99" t="str">
        <f>IF($A272="","",IF($AB272="",1,IFERROR(INDEX(Deductibles!$C$48:$C$51,MATCH($AB272,Deductibles!$B$48:$B$51,0)),"?")))</f>
        <v/>
      </c>
      <c r="BO272" s="99" t="str">
        <f>IF($A272="","",IF($AC272="",1,IFERROR(INDEX(Deductibles!$C$55:$C$57,MATCH($AC272,Deductibles!$B$55:$B$57,0)),"?")))</f>
        <v/>
      </c>
      <c r="BP272" s="99" t="str">
        <f>IF($A272="","",IF($AD272="",1,IFERROR(INDEX(Deductibles!$C$61:$C$63,MATCH($AD272,Deductibles!$B$61:$B$63,0)),"?")))</f>
        <v/>
      </c>
      <c r="BQ272" s="99" t="str">
        <f>IF($A272="","",IF($AE272="",1,IFERROR(INDEX(Deductibles!$C$67:$C$69,MATCH($AE272,Deductibles!$B$67:$B$69,0)),"?")))</f>
        <v/>
      </c>
      <c r="BR272" s="99" t="str">
        <f>IF($A272="","",IF($AF272="",1,IFERROR(INDEX(Deductibles!$C$73:$C$74,MATCH($AF272,Deductibles!$B$73:$B$74,0)),"?")))</f>
        <v/>
      </c>
      <c r="BS272" s="99" t="str">
        <f>IF($A272="","",IF($AG272="",1,IFERROR(INDEX('Sublimits and Parts'!$C$49:$C$52,MATCH($AG272,'Sublimits and Parts'!$B$49:$B$52,0)),"?")))</f>
        <v/>
      </c>
      <c r="BT272" s="99" t="str">
        <f>IF($A272="","",IF($AH272="",1,IFERROR(INDEX('Sublimits and Parts'!$C$56:$C$60,MATCH($AH272,'Sublimits and Parts'!$B$56:$B$60,0)),"?")))</f>
        <v/>
      </c>
      <c r="BU272" s="99" t="str">
        <f>IF($A272="","",IF($AI272="",1,IFERROR(INDEX('Sublimits and Parts'!$C$64:$C$67,MATCH($AI272,'Sublimits and Parts'!$B$64:$B$67,0)),"?")))</f>
        <v/>
      </c>
      <c r="BV272" s="99" t="str">
        <f>IF($A272="","",IF($AJ272="",1,IFERROR(INDEX('Sublimits and Parts'!$C$71:$C$74,MATCH($AJ272,'Sublimits and Parts'!$B$71:$B$74,0)),"?")))</f>
        <v/>
      </c>
      <c r="BW272" s="99" t="str">
        <f>IF($A272="","",IF($AK272="",1,IFERROR(INDEX('Sublimits and Parts'!$C$78:$C$80,MATCH($AK272,'Sublimits and Parts'!$B$78:$B$80,0)),"?")))</f>
        <v/>
      </c>
      <c r="BX272" s="99" t="str">
        <f>IF($A272="","",IF($AL272="",1,IFERROR(INDEX('Sublimits and Parts'!$C$84:$C$87,MATCH($AL272,'Sublimits and Parts'!$B$84:$B$87,0)),"?")))</f>
        <v/>
      </c>
      <c r="BY272" s="99" t="str">
        <f>IF($A272="","",IF($AM272="",1,IFERROR(INDEX('Sublimits and Parts'!$C$91:$C$94,MATCH($AM272,'Sublimits and Parts'!$B$91:$B$94,0)),"?")))</f>
        <v/>
      </c>
      <c r="BZ272" s="99" t="str">
        <f>IF($A272="","",IF($AN272="",1,IFERROR(INDEX('Sublimits and Parts'!$C$98:$C$101,MATCH($AN272,'Sublimits and Parts'!$B$98:$B$101,0)),"?")))</f>
        <v/>
      </c>
      <c r="CA272" s="99" t="str">
        <f>IF($A272="","",IF($AO272="",1,IFERROR(INDEX('Sublimits and Parts'!$C$105:$C$109,MATCH($AO272,'Sublimits and Parts'!$B$105:$B$109,0)),"?")))</f>
        <v/>
      </c>
      <c r="CB272" s="100" t="str">
        <f t="shared" si="54"/>
        <v/>
      </c>
      <c r="CC272" s="100" t="str">
        <f t="shared" si="55"/>
        <v/>
      </c>
      <c r="CD272" s="103" t="str">
        <f>IF($A272="","",IF(OR($CB272="?",$CC272="?"),"?",MIN($CB272*$CC272,'Technical Premium'!$C$17)))</f>
        <v/>
      </c>
      <c r="CE272" s="102" t="str">
        <f t="shared" si="56"/>
        <v/>
      </c>
      <c r="CF272" s="102" t="str">
        <f>IF($A272="","",IFERROR(INDEX('Territory Factors'!$F$6:$F$56,MATCH($K272,'Territory Factors'!$B$6:$B$56,0)),"?"))</f>
        <v/>
      </c>
      <c r="CG272" s="100" t="str">
        <f>IF($A272="","",IFERROR(INDEX('Usage and Coverage'!$C$79:$C$84,MATCH($Y272,'Usage and Coverage'!$B$79:$B$84,0)),"?"))</f>
        <v/>
      </c>
      <c r="CH272" s="102" t="str">
        <f>IFERROR(IF(ISNUMBER($CD272),$CF272*$CG272*MIN($BG272*$BA272*$BC272*$BD272*$BH272*$BF272,'Technical Premium'!$C$17),""),"")</f>
        <v/>
      </c>
      <c r="CI272" s="102" t="str">
        <f t="shared" si="57"/>
        <v/>
      </c>
      <c r="CJ272" s="102" t="str">
        <f>IFERROR($CI272*(1+'Technical Premium'!$C$5)*(1+'Technical Premium'!$C$6),"")</f>
        <v/>
      </c>
      <c r="CK272" s="102" t="str">
        <f>IFERROR($CE272*INDEX('Territory Factors'!$G$6:$G$56,MATCH($K272,'Territory Factors'!$B$6:$B$56,0))*$AU272*$AV272,"")</f>
        <v/>
      </c>
      <c r="CL272" s="102" t="str">
        <f>IFERROR(($CJ272+$CK272)*(1+'Technical Premium'!$C$7),"")</f>
        <v/>
      </c>
      <c r="CM272" s="104" t="str">
        <f>IFERROR($CL272/'Technical Premium'!$C$13,"")</f>
        <v/>
      </c>
      <c r="CN272" s="105" t="str">
        <f t="shared" si="58"/>
        <v/>
      </c>
      <c r="CO272" s="104" t="str">
        <f t="shared" si="59"/>
        <v/>
      </c>
      <c r="CP272" s="105" t="str">
        <f t="shared" si="60"/>
        <v/>
      </c>
      <c r="CQ272" s="106" t="str">
        <f t="shared" si="61"/>
        <v/>
      </c>
      <c r="CR272" s="102" t="str">
        <f>IF(ISNUMBER($CM272),'Technical Premium'!$C$14+IF($J272&gt;=1000000,'Technical Premium'!$C$15,0),"")</f>
        <v/>
      </c>
      <c r="CS272" s="102" t="str">
        <f>IFERROR(($CO272+$CR272)*(INDEX('Territory Factors'!$K$6:$K$56,MATCH($K272,'Territory Factors'!$B$6:$B$56,0))+'Commission Structure'!$C$21),"")</f>
        <v/>
      </c>
      <c r="CT272" s="104" t="str">
        <f t="shared" si="62"/>
        <v/>
      </c>
      <c r="CU272" s="102" t="str">
        <f>IFERROR($CO272*('Commission Structure'!$C$6+'Commission Structure'!$C$7),"")</f>
        <v/>
      </c>
      <c r="CV272" s="102" t="str">
        <f>IFERROR($CO272*'Commission Structure'!$C$5-$CU272,"")</f>
        <v/>
      </c>
      <c r="CW272" s="102" t="str">
        <f>IFERROR($CO272*(1-'Commission Structure'!$C$5),"")</f>
        <v/>
      </c>
      <c r="CX272" s="107"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8" t="str">
        <f t="shared" si="63"/>
        <v/>
      </c>
      <c r="CZ272" s="99" t="str">
        <f>IF($CY272="","",IF($CY272&lt;'Technical Premium'!$C$19,"BEYOND AUTHORITY",IF($CY272&gt;0.005,"Above technical",IF($CY272&lt;-0.005,"BELOW technical","At technical"))))</f>
        <v/>
      </c>
      <c r="DA272" s="99"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4"/>
      <c r="DC272" s="94"/>
      <c r="DD272" s="95"/>
      <c r="DE272" s="94"/>
      <c r="DF272" s="94"/>
      <c r="DG272" s="99" t="str">
        <f t="shared" si="64"/>
        <v/>
      </c>
      <c r="DH272" s="99" t="str">
        <f>IF($A272="","",IF(OR($CX272="REFER",$CX272="DECLINE"),COUNTIF($CX$5:$CX272,"REFER")+COUNTIF($CX$5:$CX272,"DECLINE"),""))</f>
        <v/>
      </c>
      <c r="DI272" s="94"/>
    </row>
    <row r="273" spans="1:113" x14ac:dyDescent="0.35">
      <c r="A273" s="94"/>
      <c r="B273" s="94"/>
      <c r="C273" s="95"/>
      <c r="D273" s="95"/>
      <c r="E273" s="96"/>
      <c r="F273" s="94"/>
      <c r="G273" s="94"/>
      <c r="H273" s="94"/>
      <c r="I273" s="94"/>
      <c r="J273" s="97"/>
      <c r="K273" s="94"/>
      <c r="L273" s="94"/>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8"/>
      <c r="AR273" s="99" t="str">
        <f t="shared" si="52"/>
        <v/>
      </c>
      <c r="AS273" s="99" t="str">
        <f>IF($A273="","",IF($AP273&lt;&gt;"",$AP273,IFERROR(INDEX('Cat Zone by ZIP'!$D$6:$D$856,MATCH($AR273,'Cat Zone by ZIP'!$B$6:$B$856,0)),IFERROR(INDEX('Cat Zone by ZIP'!$C$860:$C$910,MATCH($K273,'Cat Zone by ZIP'!$B$860:$B$910,0)),"NOT FOUND"))))</f>
        <v/>
      </c>
      <c r="AT273" s="99" t="str">
        <f>IF($A273="","",IF($AP273&lt;&gt;"","Override",IF(ISNUMBER(MATCH($AR273,'Cat Zone by ZIP'!$B$6:$B$856,0)),"ZIP-3","State default")))</f>
        <v/>
      </c>
      <c r="AU273" s="100" t="str">
        <f>IF($A273="","",IFERROR(INDEX('Natural Catastrophe'!$D$6:$D$17,MATCH($AS273,'Natural Catastrophe'!$B$6:$B$17,0)),"?"))</f>
        <v/>
      </c>
      <c r="AV273" s="100" t="str">
        <f>IF($A273="","",IFERROR(INDEX('Natural Catastrophe'!$C$21:$C$26,MATCH($AA273,'Natural Catastrophe'!$B$21:$B$26,0)),"?"))</f>
        <v/>
      </c>
      <c r="AW273" s="99" t="str">
        <f>IF($A273="","",IFERROR(INDEX('Base Rates'!$C$4:$I$4,MATCH(MAX($J273,'Technical Premium'!$C$18),'Base Rates'!$C$3:$I$3,1)),"?"))</f>
        <v/>
      </c>
      <c r="AX273" s="101" t="str">
        <f>IF($A273="","",IFERROR(INDEX('Base Rates'!$C$5:$I$16,MATCH($I273,'Base Rates'!$B$5:$B$16,0),MATCH(MAX($J273,'Technical Premium'!$C$18),'Base Rates'!$C$3:$I$3,1)),"?"))</f>
        <v/>
      </c>
      <c r="AY273" s="102" t="str">
        <f t="shared" si="53"/>
        <v/>
      </c>
      <c r="AZ273" s="99" t="str">
        <f>IF($A273="","",IFERROR(INDEX('Make Factors'!$G$5:$G$69,MATCH($F273,'Make Factors'!$B$5:$B$69,0)),"?"))</f>
        <v/>
      </c>
      <c r="BA273" s="99" t="str">
        <f>IF($A273="","",IFERROR(INDEX('Driver Factors'!$C$6:$C$15,MATCH($R273,'Driver Factors'!$B$6:$B$15,0)),"?"))</f>
        <v/>
      </c>
      <c r="BB273" s="99" t="str">
        <f>IF($A273="","",IFERROR(INDEX('Driver Factors'!$C$19:$C$24,MATCH($S273,'Driver Factors'!$B$19:$B$24,0)),"?"))</f>
        <v/>
      </c>
      <c r="BC273" s="99" t="str">
        <f>IF($A273="","",IFERROR(INDEX('Driver Factors'!$C$28:$C$36,MATCH($T273,'Driver Factors'!$B$28:$B$36,0)),"?"))</f>
        <v/>
      </c>
      <c r="BD273" s="99" t="str">
        <f>IF($A273="","",IFERROR(INDEX('Claims History'!$C$6:$C$15,MATCH($U273,'Claims History'!$B$6:$B$15,0)),"?"))</f>
        <v/>
      </c>
      <c r="BE273" s="99" t="str">
        <f>IF($A273="","",IFERROR(INDEX('Territory Factors'!$E$6:$E$56,MATCH($K273,'Territory Factors'!$B$6:$B$56,0)),"?"))</f>
        <v/>
      </c>
      <c r="BF273" s="99" t="str">
        <f>IF($A273="","",IFERROR(INDEX('City Accident Ratings'!$G$6:$G$54,MATCH($Z273,'City Accident Ratings'!$B$6:$B$54,0)),"?"))</f>
        <v/>
      </c>
      <c r="BG273" s="99" t="str">
        <f>IF($A273="","",IFERROR(INDEX('Usage and Coverage'!$D$6:$D$20,MATCH($N273,'Usage and Coverage'!$C$6:$C$20,0)),"?"))</f>
        <v/>
      </c>
      <c r="BH273" s="99" t="str">
        <f>IF($A273="","",IFERROR(INDEX('Usage and Coverage'!$C$24:$C$30,MATCH($O273,'Usage and Coverage'!$B$24:$B$30,0)),"?"))</f>
        <v/>
      </c>
      <c r="BI273" s="99" t="str">
        <f>IF($A273="","",IFERROR(INDEX('Usage and Coverage'!$C$34:$C$40,MATCH($P273,'Usage and Coverage'!$B$34:$B$40,0)),"?"))</f>
        <v/>
      </c>
      <c r="BJ273" s="99" t="str">
        <f>IF($A273="","",IFERROR(INDEX('Usage and Coverage'!$C$44:$C$49,MATCH($Q273,'Usage and Coverage'!$B$44:$B$49,0)),"?"))</f>
        <v/>
      </c>
      <c r="BK273" s="99" t="str">
        <f>IF($A273="","",IFERROR(INDEX(Deductibles!$C$6:$I$15,MATCH($W273,Deductibles!$B$6:$B$15,0),MATCH(MAX($J273,'Technical Premium'!$C$18),'Base Rates'!$C$3:$I$3,1)),"?"))</f>
        <v/>
      </c>
      <c r="BL273" s="99" t="str">
        <f>IF($A273="","",IFERROR(INDEX('Usage and Coverage'!$C$63:$C$66,MATCH($X273,'Usage and Coverage'!$B$63:$B$66,0)),"?"))</f>
        <v/>
      </c>
      <c r="BM273" s="99" t="str">
        <f>IF($A273="","",IFERROR(INDEX('Usage and Coverage'!$C$70:$C$75,MATCH($V273,'Usage and Coverage'!$B$70:$B$75,0)),"?"))</f>
        <v/>
      </c>
      <c r="BN273" s="99" t="str">
        <f>IF($A273="","",IF($AB273="",1,IFERROR(INDEX(Deductibles!$C$48:$C$51,MATCH($AB273,Deductibles!$B$48:$B$51,0)),"?")))</f>
        <v/>
      </c>
      <c r="BO273" s="99" t="str">
        <f>IF($A273="","",IF($AC273="",1,IFERROR(INDEX(Deductibles!$C$55:$C$57,MATCH($AC273,Deductibles!$B$55:$B$57,0)),"?")))</f>
        <v/>
      </c>
      <c r="BP273" s="99" t="str">
        <f>IF($A273="","",IF($AD273="",1,IFERROR(INDEX(Deductibles!$C$61:$C$63,MATCH($AD273,Deductibles!$B$61:$B$63,0)),"?")))</f>
        <v/>
      </c>
      <c r="BQ273" s="99" t="str">
        <f>IF($A273="","",IF($AE273="",1,IFERROR(INDEX(Deductibles!$C$67:$C$69,MATCH($AE273,Deductibles!$B$67:$B$69,0)),"?")))</f>
        <v/>
      </c>
      <c r="BR273" s="99" t="str">
        <f>IF($A273="","",IF($AF273="",1,IFERROR(INDEX(Deductibles!$C$73:$C$74,MATCH($AF273,Deductibles!$B$73:$B$74,0)),"?")))</f>
        <v/>
      </c>
      <c r="BS273" s="99" t="str">
        <f>IF($A273="","",IF($AG273="",1,IFERROR(INDEX('Sublimits and Parts'!$C$49:$C$52,MATCH($AG273,'Sublimits and Parts'!$B$49:$B$52,0)),"?")))</f>
        <v/>
      </c>
      <c r="BT273" s="99" t="str">
        <f>IF($A273="","",IF($AH273="",1,IFERROR(INDEX('Sublimits and Parts'!$C$56:$C$60,MATCH($AH273,'Sublimits and Parts'!$B$56:$B$60,0)),"?")))</f>
        <v/>
      </c>
      <c r="BU273" s="99" t="str">
        <f>IF($A273="","",IF($AI273="",1,IFERROR(INDEX('Sublimits and Parts'!$C$64:$C$67,MATCH($AI273,'Sublimits and Parts'!$B$64:$B$67,0)),"?")))</f>
        <v/>
      </c>
      <c r="BV273" s="99" t="str">
        <f>IF($A273="","",IF($AJ273="",1,IFERROR(INDEX('Sublimits and Parts'!$C$71:$C$74,MATCH($AJ273,'Sublimits and Parts'!$B$71:$B$74,0)),"?")))</f>
        <v/>
      </c>
      <c r="BW273" s="99" t="str">
        <f>IF($A273="","",IF($AK273="",1,IFERROR(INDEX('Sublimits and Parts'!$C$78:$C$80,MATCH($AK273,'Sublimits and Parts'!$B$78:$B$80,0)),"?")))</f>
        <v/>
      </c>
      <c r="BX273" s="99" t="str">
        <f>IF($A273="","",IF($AL273="",1,IFERROR(INDEX('Sublimits and Parts'!$C$84:$C$87,MATCH($AL273,'Sublimits and Parts'!$B$84:$B$87,0)),"?")))</f>
        <v/>
      </c>
      <c r="BY273" s="99" t="str">
        <f>IF($A273="","",IF($AM273="",1,IFERROR(INDEX('Sublimits and Parts'!$C$91:$C$94,MATCH($AM273,'Sublimits and Parts'!$B$91:$B$94,0)),"?")))</f>
        <v/>
      </c>
      <c r="BZ273" s="99" t="str">
        <f>IF($A273="","",IF($AN273="",1,IFERROR(INDEX('Sublimits and Parts'!$C$98:$C$101,MATCH($AN273,'Sublimits and Parts'!$B$98:$B$101,0)),"?")))</f>
        <v/>
      </c>
      <c r="CA273" s="99" t="str">
        <f>IF($A273="","",IF($AO273="",1,IFERROR(INDEX('Sublimits and Parts'!$C$105:$C$109,MATCH($AO273,'Sublimits and Parts'!$B$105:$B$109,0)),"?")))</f>
        <v/>
      </c>
      <c r="CB273" s="100" t="str">
        <f t="shared" si="54"/>
        <v/>
      </c>
      <c r="CC273" s="100" t="str">
        <f t="shared" si="55"/>
        <v/>
      </c>
      <c r="CD273" s="103" t="str">
        <f>IF($A273="","",IF(OR($CB273="?",$CC273="?"),"?",MIN($CB273*$CC273,'Technical Premium'!$C$17)))</f>
        <v/>
      </c>
      <c r="CE273" s="102" t="str">
        <f t="shared" si="56"/>
        <v/>
      </c>
      <c r="CF273" s="102" t="str">
        <f>IF($A273="","",IFERROR(INDEX('Territory Factors'!$F$6:$F$56,MATCH($K273,'Territory Factors'!$B$6:$B$56,0)),"?"))</f>
        <v/>
      </c>
      <c r="CG273" s="100" t="str">
        <f>IF($A273="","",IFERROR(INDEX('Usage and Coverage'!$C$79:$C$84,MATCH($Y273,'Usage and Coverage'!$B$79:$B$84,0)),"?"))</f>
        <v/>
      </c>
      <c r="CH273" s="102" t="str">
        <f>IFERROR(IF(ISNUMBER($CD273),$CF273*$CG273*MIN($BG273*$BA273*$BC273*$BD273*$BH273*$BF273,'Technical Premium'!$C$17),""),"")</f>
        <v/>
      </c>
      <c r="CI273" s="102" t="str">
        <f t="shared" si="57"/>
        <v/>
      </c>
      <c r="CJ273" s="102" t="str">
        <f>IFERROR($CI273*(1+'Technical Premium'!$C$5)*(1+'Technical Premium'!$C$6),"")</f>
        <v/>
      </c>
      <c r="CK273" s="102" t="str">
        <f>IFERROR($CE273*INDEX('Territory Factors'!$G$6:$G$56,MATCH($K273,'Territory Factors'!$B$6:$B$56,0))*$AU273*$AV273,"")</f>
        <v/>
      </c>
      <c r="CL273" s="102" t="str">
        <f>IFERROR(($CJ273+$CK273)*(1+'Technical Premium'!$C$7),"")</f>
        <v/>
      </c>
      <c r="CM273" s="104" t="str">
        <f>IFERROR($CL273/'Technical Premium'!$C$13,"")</f>
        <v/>
      </c>
      <c r="CN273" s="105" t="str">
        <f t="shared" si="58"/>
        <v/>
      </c>
      <c r="CO273" s="104" t="str">
        <f t="shared" si="59"/>
        <v/>
      </c>
      <c r="CP273" s="105" t="str">
        <f t="shared" si="60"/>
        <v/>
      </c>
      <c r="CQ273" s="106" t="str">
        <f t="shared" si="61"/>
        <v/>
      </c>
      <c r="CR273" s="102" t="str">
        <f>IF(ISNUMBER($CM273),'Technical Premium'!$C$14+IF($J273&gt;=1000000,'Technical Premium'!$C$15,0),"")</f>
        <v/>
      </c>
      <c r="CS273" s="102" t="str">
        <f>IFERROR(($CO273+$CR273)*(INDEX('Territory Factors'!$K$6:$K$56,MATCH($K273,'Territory Factors'!$B$6:$B$56,0))+'Commission Structure'!$C$21),"")</f>
        <v/>
      </c>
      <c r="CT273" s="104" t="str">
        <f t="shared" si="62"/>
        <v/>
      </c>
      <c r="CU273" s="102" t="str">
        <f>IFERROR($CO273*('Commission Structure'!$C$6+'Commission Structure'!$C$7),"")</f>
        <v/>
      </c>
      <c r="CV273" s="102" t="str">
        <f>IFERROR($CO273*'Commission Structure'!$C$5-$CU273,"")</f>
        <v/>
      </c>
      <c r="CW273" s="102" t="str">
        <f>IFERROR($CO273*(1-'Commission Structure'!$C$5),"")</f>
        <v/>
      </c>
      <c r="CX273" s="107"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8" t="str">
        <f t="shared" si="63"/>
        <v/>
      </c>
      <c r="CZ273" s="99" t="str">
        <f>IF($CY273="","",IF($CY273&lt;'Technical Premium'!$C$19,"BEYOND AUTHORITY",IF($CY273&gt;0.005,"Above technical",IF($CY273&lt;-0.005,"BELOW technical","At technical"))))</f>
        <v/>
      </c>
      <c r="DA273" s="99"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4"/>
      <c r="DC273" s="94"/>
      <c r="DD273" s="95"/>
      <c r="DE273" s="94"/>
      <c r="DF273" s="94"/>
      <c r="DG273" s="99" t="str">
        <f t="shared" si="64"/>
        <v/>
      </c>
      <c r="DH273" s="99" t="str">
        <f>IF($A273="","",IF(OR($CX273="REFER",$CX273="DECLINE"),COUNTIF($CX$5:$CX273,"REFER")+COUNTIF($CX$5:$CX273,"DECLINE"),""))</f>
        <v/>
      </c>
      <c r="DI273" s="94"/>
    </row>
    <row r="274" spans="1:113" x14ac:dyDescent="0.35">
      <c r="A274" s="94"/>
      <c r="B274" s="94"/>
      <c r="C274" s="95"/>
      <c r="D274" s="95"/>
      <c r="E274" s="96"/>
      <c r="F274" s="94"/>
      <c r="G274" s="94"/>
      <c r="H274" s="94"/>
      <c r="I274" s="94"/>
      <c r="J274" s="97"/>
      <c r="K274" s="94"/>
      <c r="L274" s="94"/>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8"/>
      <c r="AR274" s="99" t="str">
        <f t="shared" si="52"/>
        <v/>
      </c>
      <c r="AS274" s="99" t="str">
        <f>IF($A274="","",IF($AP274&lt;&gt;"",$AP274,IFERROR(INDEX('Cat Zone by ZIP'!$D$6:$D$856,MATCH($AR274,'Cat Zone by ZIP'!$B$6:$B$856,0)),IFERROR(INDEX('Cat Zone by ZIP'!$C$860:$C$910,MATCH($K274,'Cat Zone by ZIP'!$B$860:$B$910,0)),"NOT FOUND"))))</f>
        <v/>
      </c>
      <c r="AT274" s="99" t="str">
        <f>IF($A274="","",IF($AP274&lt;&gt;"","Override",IF(ISNUMBER(MATCH($AR274,'Cat Zone by ZIP'!$B$6:$B$856,0)),"ZIP-3","State default")))</f>
        <v/>
      </c>
      <c r="AU274" s="100" t="str">
        <f>IF($A274="","",IFERROR(INDEX('Natural Catastrophe'!$D$6:$D$17,MATCH($AS274,'Natural Catastrophe'!$B$6:$B$17,0)),"?"))</f>
        <v/>
      </c>
      <c r="AV274" s="100" t="str">
        <f>IF($A274="","",IFERROR(INDEX('Natural Catastrophe'!$C$21:$C$26,MATCH($AA274,'Natural Catastrophe'!$B$21:$B$26,0)),"?"))</f>
        <v/>
      </c>
      <c r="AW274" s="99" t="str">
        <f>IF($A274="","",IFERROR(INDEX('Base Rates'!$C$4:$I$4,MATCH(MAX($J274,'Technical Premium'!$C$18),'Base Rates'!$C$3:$I$3,1)),"?"))</f>
        <v/>
      </c>
      <c r="AX274" s="101" t="str">
        <f>IF($A274="","",IFERROR(INDEX('Base Rates'!$C$5:$I$16,MATCH($I274,'Base Rates'!$B$5:$B$16,0),MATCH(MAX($J274,'Technical Premium'!$C$18),'Base Rates'!$C$3:$I$3,1)),"?"))</f>
        <v/>
      </c>
      <c r="AY274" s="102" t="str">
        <f t="shared" si="53"/>
        <v/>
      </c>
      <c r="AZ274" s="99" t="str">
        <f>IF($A274="","",IFERROR(INDEX('Make Factors'!$G$5:$G$69,MATCH($F274,'Make Factors'!$B$5:$B$69,0)),"?"))</f>
        <v/>
      </c>
      <c r="BA274" s="99" t="str">
        <f>IF($A274="","",IFERROR(INDEX('Driver Factors'!$C$6:$C$15,MATCH($R274,'Driver Factors'!$B$6:$B$15,0)),"?"))</f>
        <v/>
      </c>
      <c r="BB274" s="99" t="str">
        <f>IF($A274="","",IFERROR(INDEX('Driver Factors'!$C$19:$C$24,MATCH($S274,'Driver Factors'!$B$19:$B$24,0)),"?"))</f>
        <v/>
      </c>
      <c r="BC274" s="99" t="str">
        <f>IF($A274="","",IFERROR(INDEX('Driver Factors'!$C$28:$C$36,MATCH($T274,'Driver Factors'!$B$28:$B$36,0)),"?"))</f>
        <v/>
      </c>
      <c r="BD274" s="99" t="str">
        <f>IF($A274="","",IFERROR(INDEX('Claims History'!$C$6:$C$15,MATCH($U274,'Claims History'!$B$6:$B$15,0)),"?"))</f>
        <v/>
      </c>
      <c r="BE274" s="99" t="str">
        <f>IF($A274="","",IFERROR(INDEX('Territory Factors'!$E$6:$E$56,MATCH($K274,'Territory Factors'!$B$6:$B$56,0)),"?"))</f>
        <v/>
      </c>
      <c r="BF274" s="99" t="str">
        <f>IF($A274="","",IFERROR(INDEX('City Accident Ratings'!$G$6:$G$54,MATCH($Z274,'City Accident Ratings'!$B$6:$B$54,0)),"?"))</f>
        <v/>
      </c>
      <c r="BG274" s="99" t="str">
        <f>IF($A274="","",IFERROR(INDEX('Usage and Coverage'!$D$6:$D$20,MATCH($N274,'Usage and Coverage'!$C$6:$C$20,0)),"?"))</f>
        <v/>
      </c>
      <c r="BH274" s="99" t="str">
        <f>IF($A274="","",IFERROR(INDEX('Usage and Coverage'!$C$24:$C$30,MATCH($O274,'Usage and Coverage'!$B$24:$B$30,0)),"?"))</f>
        <v/>
      </c>
      <c r="BI274" s="99" t="str">
        <f>IF($A274="","",IFERROR(INDEX('Usage and Coverage'!$C$34:$C$40,MATCH($P274,'Usage and Coverage'!$B$34:$B$40,0)),"?"))</f>
        <v/>
      </c>
      <c r="BJ274" s="99" t="str">
        <f>IF($A274="","",IFERROR(INDEX('Usage and Coverage'!$C$44:$C$49,MATCH($Q274,'Usage and Coverage'!$B$44:$B$49,0)),"?"))</f>
        <v/>
      </c>
      <c r="BK274" s="99" t="str">
        <f>IF($A274="","",IFERROR(INDEX(Deductibles!$C$6:$I$15,MATCH($W274,Deductibles!$B$6:$B$15,0),MATCH(MAX($J274,'Technical Premium'!$C$18),'Base Rates'!$C$3:$I$3,1)),"?"))</f>
        <v/>
      </c>
      <c r="BL274" s="99" t="str">
        <f>IF($A274="","",IFERROR(INDEX('Usage and Coverage'!$C$63:$C$66,MATCH($X274,'Usage and Coverage'!$B$63:$B$66,0)),"?"))</f>
        <v/>
      </c>
      <c r="BM274" s="99" t="str">
        <f>IF($A274="","",IFERROR(INDEX('Usage and Coverage'!$C$70:$C$75,MATCH($V274,'Usage and Coverage'!$B$70:$B$75,0)),"?"))</f>
        <v/>
      </c>
      <c r="BN274" s="99" t="str">
        <f>IF($A274="","",IF($AB274="",1,IFERROR(INDEX(Deductibles!$C$48:$C$51,MATCH($AB274,Deductibles!$B$48:$B$51,0)),"?")))</f>
        <v/>
      </c>
      <c r="BO274" s="99" t="str">
        <f>IF($A274="","",IF($AC274="",1,IFERROR(INDEX(Deductibles!$C$55:$C$57,MATCH($AC274,Deductibles!$B$55:$B$57,0)),"?")))</f>
        <v/>
      </c>
      <c r="BP274" s="99" t="str">
        <f>IF($A274="","",IF($AD274="",1,IFERROR(INDEX(Deductibles!$C$61:$C$63,MATCH($AD274,Deductibles!$B$61:$B$63,0)),"?")))</f>
        <v/>
      </c>
      <c r="BQ274" s="99" t="str">
        <f>IF($A274="","",IF($AE274="",1,IFERROR(INDEX(Deductibles!$C$67:$C$69,MATCH($AE274,Deductibles!$B$67:$B$69,0)),"?")))</f>
        <v/>
      </c>
      <c r="BR274" s="99" t="str">
        <f>IF($A274="","",IF($AF274="",1,IFERROR(INDEX(Deductibles!$C$73:$C$74,MATCH($AF274,Deductibles!$B$73:$B$74,0)),"?")))</f>
        <v/>
      </c>
      <c r="BS274" s="99" t="str">
        <f>IF($A274="","",IF($AG274="",1,IFERROR(INDEX('Sublimits and Parts'!$C$49:$C$52,MATCH($AG274,'Sublimits and Parts'!$B$49:$B$52,0)),"?")))</f>
        <v/>
      </c>
      <c r="BT274" s="99" t="str">
        <f>IF($A274="","",IF($AH274="",1,IFERROR(INDEX('Sublimits and Parts'!$C$56:$C$60,MATCH($AH274,'Sublimits and Parts'!$B$56:$B$60,0)),"?")))</f>
        <v/>
      </c>
      <c r="BU274" s="99" t="str">
        <f>IF($A274="","",IF($AI274="",1,IFERROR(INDEX('Sublimits and Parts'!$C$64:$C$67,MATCH($AI274,'Sublimits and Parts'!$B$64:$B$67,0)),"?")))</f>
        <v/>
      </c>
      <c r="BV274" s="99" t="str">
        <f>IF($A274="","",IF($AJ274="",1,IFERROR(INDEX('Sublimits and Parts'!$C$71:$C$74,MATCH($AJ274,'Sublimits and Parts'!$B$71:$B$74,0)),"?")))</f>
        <v/>
      </c>
      <c r="BW274" s="99" t="str">
        <f>IF($A274="","",IF($AK274="",1,IFERROR(INDEX('Sublimits and Parts'!$C$78:$C$80,MATCH($AK274,'Sublimits and Parts'!$B$78:$B$80,0)),"?")))</f>
        <v/>
      </c>
      <c r="BX274" s="99" t="str">
        <f>IF($A274="","",IF($AL274="",1,IFERROR(INDEX('Sublimits and Parts'!$C$84:$C$87,MATCH($AL274,'Sublimits and Parts'!$B$84:$B$87,0)),"?")))</f>
        <v/>
      </c>
      <c r="BY274" s="99" t="str">
        <f>IF($A274="","",IF($AM274="",1,IFERROR(INDEX('Sublimits and Parts'!$C$91:$C$94,MATCH($AM274,'Sublimits and Parts'!$B$91:$B$94,0)),"?")))</f>
        <v/>
      </c>
      <c r="BZ274" s="99" t="str">
        <f>IF($A274="","",IF($AN274="",1,IFERROR(INDEX('Sublimits and Parts'!$C$98:$C$101,MATCH($AN274,'Sublimits and Parts'!$B$98:$B$101,0)),"?")))</f>
        <v/>
      </c>
      <c r="CA274" s="99" t="str">
        <f>IF($A274="","",IF($AO274="",1,IFERROR(INDEX('Sublimits and Parts'!$C$105:$C$109,MATCH($AO274,'Sublimits and Parts'!$B$105:$B$109,0)),"?")))</f>
        <v/>
      </c>
      <c r="CB274" s="100" t="str">
        <f t="shared" si="54"/>
        <v/>
      </c>
      <c r="CC274" s="100" t="str">
        <f t="shared" si="55"/>
        <v/>
      </c>
      <c r="CD274" s="103" t="str">
        <f>IF($A274="","",IF(OR($CB274="?",$CC274="?"),"?",MIN($CB274*$CC274,'Technical Premium'!$C$17)))</f>
        <v/>
      </c>
      <c r="CE274" s="102" t="str">
        <f t="shared" si="56"/>
        <v/>
      </c>
      <c r="CF274" s="102" t="str">
        <f>IF($A274="","",IFERROR(INDEX('Territory Factors'!$F$6:$F$56,MATCH($K274,'Territory Factors'!$B$6:$B$56,0)),"?"))</f>
        <v/>
      </c>
      <c r="CG274" s="100" t="str">
        <f>IF($A274="","",IFERROR(INDEX('Usage and Coverage'!$C$79:$C$84,MATCH($Y274,'Usage and Coverage'!$B$79:$B$84,0)),"?"))</f>
        <v/>
      </c>
      <c r="CH274" s="102" t="str">
        <f>IFERROR(IF(ISNUMBER($CD274),$CF274*$CG274*MIN($BG274*$BA274*$BC274*$BD274*$BH274*$BF274,'Technical Premium'!$C$17),""),"")</f>
        <v/>
      </c>
      <c r="CI274" s="102" t="str">
        <f t="shared" si="57"/>
        <v/>
      </c>
      <c r="CJ274" s="102" t="str">
        <f>IFERROR($CI274*(1+'Technical Premium'!$C$5)*(1+'Technical Premium'!$C$6),"")</f>
        <v/>
      </c>
      <c r="CK274" s="102" t="str">
        <f>IFERROR($CE274*INDEX('Territory Factors'!$G$6:$G$56,MATCH($K274,'Territory Factors'!$B$6:$B$56,0))*$AU274*$AV274,"")</f>
        <v/>
      </c>
      <c r="CL274" s="102" t="str">
        <f>IFERROR(($CJ274+$CK274)*(1+'Technical Premium'!$C$7),"")</f>
        <v/>
      </c>
      <c r="CM274" s="104" t="str">
        <f>IFERROR($CL274/'Technical Premium'!$C$13,"")</f>
        <v/>
      </c>
      <c r="CN274" s="105" t="str">
        <f t="shared" si="58"/>
        <v/>
      </c>
      <c r="CO274" s="104" t="str">
        <f t="shared" si="59"/>
        <v/>
      </c>
      <c r="CP274" s="105" t="str">
        <f t="shared" si="60"/>
        <v/>
      </c>
      <c r="CQ274" s="106" t="str">
        <f t="shared" si="61"/>
        <v/>
      </c>
      <c r="CR274" s="102" t="str">
        <f>IF(ISNUMBER($CM274),'Technical Premium'!$C$14+IF($J274&gt;=1000000,'Technical Premium'!$C$15,0),"")</f>
        <v/>
      </c>
      <c r="CS274" s="102" t="str">
        <f>IFERROR(($CO274+$CR274)*(INDEX('Territory Factors'!$K$6:$K$56,MATCH($K274,'Territory Factors'!$B$6:$B$56,0))+'Commission Structure'!$C$21),"")</f>
        <v/>
      </c>
      <c r="CT274" s="104" t="str">
        <f t="shared" si="62"/>
        <v/>
      </c>
      <c r="CU274" s="102" t="str">
        <f>IFERROR($CO274*('Commission Structure'!$C$6+'Commission Structure'!$C$7),"")</f>
        <v/>
      </c>
      <c r="CV274" s="102" t="str">
        <f>IFERROR($CO274*'Commission Structure'!$C$5-$CU274,"")</f>
        <v/>
      </c>
      <c r="CW274" s="102" t="str">
        <f>IFERROR($CO274*(1-'Commission Structure'!$C$5),"")</f>
        <v/>
      </c>
      <c r="CX274" s="107"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8" t="str">
        <f t="shared" si="63"/>
        <v/>
      </c>
      <c r="CZ274" s="99" t="str">
        <f>IF($CY274="","",IF($CY274&lt;'Technical Premium'!$C$19,"BEYOND AUTHORITY",IF($CY274&gt;0.005,"Above technical",IF($CY274&lt;-0.005,"BELOW technical","At technical"))))</f>
        <v/>
      </c>
      <c r="DA274" s="99"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4"/>
      <c r="DC274" s="94"/>
      <c r="DD274" s="95"/>
      <c r="DE274" s="94"/>
      <c r="DF274" s="94"/>
      <c r="DG274" s="99" t="str">
        <f t="shared" si="64"/>
        <v/>
      </c>
      <c r="DH274" s="99" t="str">
        <f>IF($A274="","",IF(OR($CX274="REFER",$CX274="DECLINE"),COUNTIF($CX$5:$CX274,"REFER")+COUNTIF($CX$5:$CX274,"DECLINE"),""))</f>
        <v/>
      </c>
      <c r="DI274" s="94"/>
    </row>
    <row r="275" spans="1:113" x14ac:dyDescent="0.35">
      <c r="A275" s="94"/>
      <c r="B275" s="94"/>
      <c r="C275" s="95"/>
      <c r="D275" s="95"/>
      <c r="E275" s="96"/>
      <c r="F275" s="94"/>
      <c r="G275" s="94"/>
      <c r="H275" s="94"/>
      <c r="I275" s="94"/>
      <c r="J275" s="97"/>
      <c r="K275" s="94"/>
      <c r="L275" s="94"/>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8"/>
      <c r="AR275" s="99" t="str">
        <f t="shared" si="52"/>
        <v/>
      </c>
      <c r="AS275" s="99" t="str">
        <f>IF($A275="","",IF($AP275&lt;&gt;"",$AP275,IFERROR(INDEX('Cat Zone by ZIP'!$D$6:$D$856,MATCH($AR275,'Cat Zone by ZIP'!$B$6:$B$856,0)),IFERROR(INDEX('Cat Zone by ZIP'!$C$860:$C$910,MATCH($K275,'Cat Zone by ZIP'!$B$860:$B$910,0)),"NOT FOUND"))))</f>
        <v/>
      </c>
      <c r="AT275" s="99" t="str">
        <f>IF($A275="","",IF($AP275&lt;&gt;"","Override",IF(ISNUMBER(MATCH($AR275,'Cat Zone by ZIP'!$B$6:$B$856,0)),"ZIP-3","State default")))</f>
        <v/>
      </c>
      <c r="AU275" s="100" t="str">
        <f>IF($A275="","",IFERROR(INDEX('Natural Catastrophe'!$D$6:$D$17,MATCH($AS275,'Natural Catastrophe'!$B$6:$B$17,0)),"?"))</f>
        <v/>
      </c>
      <c r="AV275" s="100" t="str">
        <f>IF($A275="","",IFERROR(INDEX('Natural Catastrophe'!$C$21:$C$26,MATCH($AA275,'Natural Catastrophe'!$B$21:$B$26,0)),"?"))</f>
        <v/>
      </c>
      <c r="AW275" s="99" t="str">
        <f>IF($A275="","",IFERROR(INDEX('Base Rates'!$C$4:$I$4,MATCH(MAX($J275,'Technical Premium'!$C$18),'Base Rates'!$C$3:$I$3,1)),"?"))</f>
        <v/>
      </c>
      <c r="AX275" s="101" t="str">
        <f>IF($A275="","",IFERROR(INDEX('Base Rates'!$C$5:$I$16,MATCH($I275,'Base Rates'!$B$5:$B$16,0),MATCH(MAX($J275,'Technical Premium'!$C$18),'Base Rates'!$C$3:$I$3,1)),"?"))</f>
        <v/>
      </c>
      <c r="AY275" s="102" t="str">
        <f t="shared" si="53"/>
        <v/>
      </c>
      <c r="AZ275" s="99" t="str">
        <f>IF($A275="","",IFERROR(INDEX('Make Factors'!$G$5:$G$69,MATCH($F275,'Make Factors'!$B$5:$B$69,0)),"?"))</f>
        <v/>
      </c>
      <c r="BA275" s="99" t="str">
        <f>IF($A275="","",IFERROR(INDEX('Driver Factors'!$C$6:$C$15,MATCH($R275,'Driver Factors'!$B$6:$B$15,0)),"?"))</f>
        <v/>
      </c>
      <c r="BB275" s="99" t="str">
        <f>IF($A275="","",IFERROR(INDEX('Driver Factors'!$C$19:$C$24,MATCH($S275,'Driver Factors'!$B$19:$B$24,0)),"?"))</f>
        <v/>
      </c>
      <c r="BC275" s="99" t="str">
        <f>IF($A275="","",IFERROR(INDEX('Driver Factors'!$C$28:$C$36,MATCH($T275,'Driver Factors'!$B$28:$B$36,0)),"?"))</f>
        <v/>
      </c>
      <c r="BD275" s="99" t="str">
        <f>IF($A275="","",IFERROR(INDEX('Claims History'!$C$6:$C$15,MATCH($U275,'Claims History'!$B$6:$B$15,0)),"?"))</f>
        <v/>
      </c>
      <c r="BE275" s="99" t="str">
        <f>IF($A275="","",IFERROR(INDEX('Territory Factors'!$E$6:$E$56,MATCH($K275,'Territory Factors'!$B$6:$B$56,0)),"?"))</f>
        <v/>
      </c>
      <c r="BF275" s="99" t="str">
        <f>IF($A275="","",IFERROR(INDEX('City Accident Ratings'!$G$6:$G$54,MATCH($Z275,'City Accident Ratings'!$B$6:$B$54,0)),"?"))</f>
        <v/>
      </c>
      <c r="BG275" s="99" t="str">
        <f>IF($A275="","",IFERROR(INDEX('Usage and Coverage'!$D$6:$D$20,MATCH($N275,'Usage and Coverage'!$C$6:$C$20,0)),"?"))</f>
        <v/>
      </c>
      <c r="BH275" s="99" t="str">
        <f>IF($A275="","",IFERROR(INDEX('Usage and Coverage'!$C$24:$C$30,MATCH($O275,'Usage and Coverage'!$B$24:$B$30,0)),"?"))</f>
        <v/>
      </c>
      <c r="BI275" s="99" t="str">
        <f>IF($A275="","",IFERROR(INDEX('Usage and Coverage'!$C$34:$C$40,MATCH($P275,'Usage and Coverage'!$B$34:$B$40,0)),"?"))</f>
        <v/>
      </c>
      <c r="BJ275" s="99" t="str">
        <f>IF($A275="","",IFERROR(INDEX('Usage and Coverage'!$C$44:$C$49,MATCH($Q275,'Usage and Coverage'!$B$44:$B$49,0)),"?"))</f>
        <v/>
      </c>
      <c r="BK275" s="99" t="str">
        <f>IF($A275="","",IFERROR(INDEX(Deductibles!$C$6:$I$15,MATCH($W275,Deductibles!$B$6:$B$15,0),MATCH(MAX($J275,'Technical Premium'!$C$18),'Base Rates'!$C$3:$I$3,1)),"?"))</f>
        <v/>
      </c>
      <c r="BL275" s="99" t="str">
        <f>IF($A275="","",IFERROR(INDEX('Usage and Coverage'!$C$63:$C$66,MATCH($X275,'Usage and Coverage'!$B$63:$B$66,0)),"?"))</f>
        <v/>
      </c>
      <c r="BM275" s="99" t="str">
        <f>IF($A275="","",IFERROR(INDEX('Usage and Coverage'!$C$70:$C$75,MATCH($V275,'Usage and Coverage'!$B$70:$B$75,0)),"?"))</f>
        <v/>
      </c>
      <c r="BN275" s="99" t="str">
        <f>IF($A275="","",IF($AB275="",1,IFERROR(INDEX(Deductibles!$C$48:$C$51,MATCH($AB275,Deductibles!$B$48:$B$51,0)),"?")))</f>
        <v/>
      </c>
      <c r="BO275" s="99" t="str">
        <f>IF($A275="","",IF($AC275="",1,IFERROR(INDEX(Deductibles!$C$55:$C$57,MATCH($AC275,Deductibles!$B$55:$B$57,0)),"?")))</f>
        <v/>
      </c>
      <c r="BP275" s="99" t="str">
        <f>IF($A275="","",IF($AD275="",1,IFERROR(INDEX(Deductibles!$C$61:$C$63,MATCH($AD275,Deductibles!$B$61:$B$63,0)),"?")))</f>
        <v/>
      </c>
      <c r="BQ275" s="99" t="str">
        <f>IF($A275="","",IF($AE275="",1,IFERROR(INDEX(Deductibles!$C$67:$C$69,MATCH($AE275,Deductibles!$B$67:$B$69,0)),"?")))</f>
        <v/>
      </c>
      <c r="BR275" s="99" t="str">
        <f>IF($A275="","",IF($AF275="",1,IFERROR(INDEX(Deductibles!$C$73:$C$74,MATCH($AF275,Deductibles!$B$73:$B$74,0)),"?")))</f>
        <v/>
      </c>
      <c r="BS275" s="99" t="str">
        <f>IF($A275="","",IF($AG275="",1,IFERROR(INDEX('Sublimits and Parts'!$C$49:$C$52,MATCH($AG275,'Sublimits and Parts'!$B$49:$B$52,0)),"?")))</f>
        <v/>
      </c>
      <c r="BT275" s="99" t="str">
        <f>IF($A275="","",IF($AH275="",1,IFERROR(INDEX('Sublimits and Parts'!$C$56:$C$60,MATCH($AH275,'Sublimits and Parts'!$B$56:$B$60,0)),"?")))</f>
        <v/>
      </c>
      <c r="BU275" s="99" t="str">
        <f>IF($A275="","",IF($AI275="",1,IFERROR(INDEX('Sublimits and Parts'!$C$64:$C$67,MATCH($AI275,'Sublimits and Parts'!$B$64:$B$67,0)),"?")))</f>
        <v/>
      </c>
      <c r="BV275" s="99" t="str">
        <f>IF($A275="","",IF($AJ275="",1,IFERROR(INDEX('Sublimits and Parts'!$C$71:$C$74,MATCH($AJ275,'Sublimits and Parts'!$B$71:$B$74,0)),"?")))</f>
        <v/>
      </c>
      <c r="BW275" s="99" t="str">
        <f>IF($A275="","",IF($AK275="",1,IFERROR(INDEX('Sublimits and Parts'!$C$78:$C$80,MATCH($AK275,'Sublimits and Parts'!$B$78:$B$80,0)),"?")))</f>
        <v/>
      </c>
      <c r="BX275" s="99" t="str">
        <f>IF($A275="","",IF($AL275="",1,IFERROR(INDEX('Sublimits and Parts'!$C$84:$C$87,MATCH($AL275,'Sublimits and Parts'!$B$84:$B$87,0)),"?")))</f>
        <v/>
      </c>
      <c r="BY275" s="99" t="str">
        <f>IF($A275="","",IF($AM275="",1,IFERROR(INDEX('Sublimits and Parts'!$C$91:$C$94,MATCH($AM275,'Sublimits and Parts'!$B$91:$B$94,0)),"?")))</f>
        <v/>
      </c>
      <c r="BZ275" s="99" t="str">
        <f>IF($A275="","",IF($AN275="",1,IFERROR(INDEX('Sublimits and Parts'!$C$98:$C$101,MATCH($AN275,'Sublimits and Parts'!$B$98:$B$101,0)),"?")))</f>
        <v/>
      </c>
      <c r="CA275" s="99" t="str">
        <f>IF($A275="","",IF($AO275="",1,IFERROR(INDEX('Sublimits and Parts'!$C$105:$C$109,MATCH($AO275,'Sublimits and Parts'!$B$105:$B$109,0)),"?")))</f>
        <v/>
      </c>
      <c r="CB275" s="100" t="str">
        <f t="shared" si="54"/>
        <v/>
      </c>
      <c r="CC275" s="100" t="str">
        <f t="shared" si="55"/>
        <v/>
      </c>
      <c r="CD275" s="103" t="str">
        <f>IF($A275="","",IF(OR($CB275="?",$CC275="?"),"?",MIN($CB275*$CC275,'Technical Premium'!$C$17)))</f>
        <v/>
      </c>
      <c r="CE275" s="102" t="str">
        <f t="shared" si="56"/>
        <v/>
      </c>
      <c r="CF275" s="102" t="str">
        <f>IF($A275="","",IFERROR(INDEX('Territory Factors'!$F$6:$F$56,MATCH($K275,'Territory Factors'!$B$6:$B$56,0)),"?"))</f>
        <v/>
      </c>
      <c r="CG275" s="100" t="str">
        <f>IF($A275="","",IFERROR(INDEX('Usage and Coverage'!$C$79:$C$84,MATCH($Y275,'Usage and Coverage'!$B$79:$B$84,0)),"?"))</f>
        <v/>
      </c>
      <c r="CH275" s="102" t="str">
        <f>IFERROR(IF(ISNUMBER($CD275),$CF275*$CG275*MIN($BG275*$BA275*$BC275*$BD275*$BH275*$BF275,'Technical Premium'!$C$17),""),"")</f>
        <v/>
      </c>
      <c r="CI275" s="102" t="str">
        <f t="shared" si="57"/>
        <v/>
      </c>
      <c r="CJ275" s="102" t="str">
        <f>IFERROR($CI275*(1+'Technical Premium'!$C$5)*(1+'Technical Premium'!$C$6),"")</f>
        <v/>
      </c>
      <c r="CK275" s="102" t="str">
        <f>IFERROR($CE275*INDEX('Territory Factors'!$G$6:$G$56,MATCH($K275,'Territory Factors'!$B$6:$B$56,0))*$AU275*$AV275,"")</f>
        <v/>
      </c>
      <c r="CL275" s="102" t="str">
        <f>IFERROR(($CJ275+$CK275)*(1+'Technical Premium'!$C$7),"")</f>
        <v/>
      </c>
      <c r="CM275" s="104" t="str">
        <f>IFERROR($CL275/'Technical Premium'!$C$13,"")</f>
        <v/>
      </c>
      <c r="CN275" s="105" t="str">
        <f t="shared" si="58"/>
        <v/>
      </c>
      <c r="CO275" s="104" t="str">
        <f t="shared" si="59"/>
        <v/>
      </c>
      <c r="CP275" s="105" t="str">
        <f t="shared" si="60"/>
        <v/>
      </c>
      <c r="CQ275" s="106" t="str">
        <f t="shared" si="61"/>
        <v/>
      </c>
      <c r="CR275" s="102" t="str">
        <f>IF(ISNUMBER($CM275),'Technical Premium'!$C$14+IF($J275&gt;=1000000,'Technical Premium'!$C$15,0),"")</f>
        <v/>
      </c>
      <c r="CS275" s="102" t="str">
        <f>IFERROR(($CO275+$CR275)*(INDEX('Territory Factors'!$K$6:$K$56,MATCH($K275,'Territory Factors'!$B$6:$B$56,0))+'Commission Structure'!$C$21),"")</f>
        <v/>
      </c>
      <c r="CT275" s="104" t="str">
        <f t="shared" si="62"/>
        <v/>
      </c>
      <c r="CU275" s="102" t="str">
        <f>IFERROR($CO275*('Commission Structure'!$C$6+'Commission Structure'!$C$7),"")</f>
        <v/>
      </c>
      <c r="CV275" s="102" t="str">
        <f>IFERROR($CO275*'Commission Structure'!$C$5-$CU275,"")</f>
        <v/>
      </c>
      <c r="CW275" s="102" t="str">
        <f>IFERROR($CO275*(1-'Commission Structure'!$C$5),"")</f>
        <v/>
      </c>
      <c r="CX275" s="107"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8" t="str">
        <f t="shared" si="63"/>
        <v/>
      </c>
      <c r="CZ275" s="99" t="str">
        <f>IF($CY275="","",IF($CY275&lt;'Technical Premium'!$C$19,"BEYOND AUTHORITY",IF($CY275&gt;0.005,"Above technical",IF($CY275&lt;-0.005,"BELOW technical","At technical"))))</f>
        <v/>
      </c>
      <c r="DA275" s="99"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4"/>
      <c r="DC275" s="94"/>
      <c r="DD275" s="95"/>
      <c r="DE275" s="94"/>
      <c r="DF275" s="94"/>
      <c r="DG275" s="99" t="str">
        <f t="shared" si="64"/>
        <v/>
      </c>
      <c r="DH275" s="99" t="str">
        <f>IF($A275="","",IF(OR($CX275="REFER",$CX275="DECLINE"),COUNTIF($CX$5:$CX275,"REFER")+COUNTIF($CX$5:$CX275,"DECLINE"),""))</f>
        <v/>
      </c>
      <c r="DI275" s="94"/>
    </row>
    <row r="276" spans="1:113" x14ac:dyDescent="0.35">
      <c r="A276" s="94"/>
      <c r="B276" s="94"/>
      <c r="C276" s="95"/>
      <c r="D276" s="95"/>
      <c r="E276" s="96"/>
      <c r="F276" s="94"/>
      <c r="G276" s="94"/>
      <c r="H276" s="94"/>
      <c r="I276" s="94"/>
      <c r="J276" s="97"/>
      <c r="K276" s="94"/>
      <c r="L276" s="94"/>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8"/>
      <c r="AR276" s="99" t="str">
        <f t="shared" si="52"/>
        <v/>
      </c>
      <c r="AS276" s="99" t="str">
        <f>IF($A276="","",IF($AP276&lt;&gt;"",$AP276,IFERROR(INDEX('Cat Zone by ZIP'!$D$6:$D$856,MATCH($AR276,'Cat Zone by ZIP'!$B$6:$B$856,0)),IFERROR(INDEX('Cat Zone by ZIP'!$C$860:$C$910,MATCH($K276,'Cat Zone by ZIP'!$B$860:$B$910,0)),"NOT FOUND"))))</f>
        <v/>
      </c>
      <c r="AT276" s="99" t="str">
        <f>IF($A276="","",IF($AP276&lt;&gt;"","Override",IF(ISNUMBER(MATCH($AR276,'Cat Zone by ZIP'!$B$6:$B$856,0)),"ZIP-3","State default")))</f>
        <v/>
      </c>
      <c r="AU276" s="100" t="str">
        <f>IF($A276="","",IFERROR(INDEX('Natural Catastrophe'!$D$6:$D$17,MATCH($AS276,'Natural Catastrophe'!$B$6:$B$17,0)),"?"))</f>
        <v/>
      </c>
      <c r="AV276" s="100" t="str">
        <f>IF($A276="","",IFERROR(INDEX('Natural Catastrophe'!$C$21:$C$26,MATCH($AA276,'Natural Catastrophe'!$B$21:$B$26,0)),"?"))</f>
        <v/>
      </c>
      <c r="AW276" s="99" t="str">
        <f>IF($A276="","",IFERROR(INDEX('Base Rates'!$C$4:$I$4,MATCH(MAX($J276,'Technical Premium'!$C$18),'Base Rates'!$C$3:$I$3,1)),"?"))</f>
        <v/>
      </c>
      <c r="AX276" s="101" t="str">
        <f>IF($A276="","",IFERROR(INDEX('Base Rates'!$C$5:$I$16,MATCH($I276,'Base Rates'!$B$5:$B$16,0),MATCH(MAX($J276,'Technical Premium'!$C$18),'Base Rates'!$C$3:$I$3,1)),"?"))</f>
        <v/>
      </c>
      <c r="AY276" s="102" t="str">
        <f t="shared" si="53"/>
        <v/>
      </c>
      <c r="AZ276" s="99" t="str">
        <f>IF($A276="","",IFERROR(INDEX('Make Factors'!$G$5:$G$69,MATCH($F276,'Make Factors'!$B$5:$B$69,0)),"?"))</f>
        <v/>
      </c>
      <c r="BA276" s="99" t="str">
        <f>IF($A276="","",IFERROR(INDEX('Driver Factors'!$C$6:$C$15,MATCH($R276,'Driver Factors'!$B$6:$B$15,0)),"?"))</f>
        <v/>
      </c>
      <c r="BB276" s="99" t="str">
        <f>IF($A276="","",IFERROR(INDEX('Driver Factors'!$C$19:$C$24,MATCH($S276,'Driver Factors'!$B$19:$B$24,0)),"?"))</f>
        <v/>
      </c>
      <c r="BC276" s="99" t="str">
        <f>IF($A276="","",IFERROR(INDEX('Driver Factors'!$C$28:$C$36,MATCH($T276,'Driver Factors'!$B$28:$B$36,0)),"?"))</f>
        <v/>
      </c>
      <c r="BD276" s="99" t="str">
        <f>IF($A276="","",IFERROR(INDEX('Claims History'!$C$6:$C$15,MATCH($U276,'Claims History'!$B$6:$B$15,0)),"?"))</f>
        <v/>
      </c>
      <c r="BE276" s="99" t="str">
        <f>IF($A276="","",IFERROR(INDEX('Territory Factors'!$E$6:$E$56,MATCH($K276,'Territory Factors'!$B$6:$B$56,0)),"?"))</f>
        <v/>
      </c>
      <c r="BF276" s="99" t="str">
        <f>IF($A276="","",IFERROR(INDEX('City Accident Ratings'!$G$6:$G$54,MATCH($Z276,'City Accident Ratings'!$B$6:$B$54,0)),"?"))</f>
        <v/>
      </c>
      <c r="BG276" s="99" t="str">
        <f>IF($A276="","",IFERROR(INDEX('Usage and Coverage'!$D$6:$D$20,MATCH($N276,'Usage and Coverage'!$C$6:$C$20,0)),"?"))</f>
        <v/>
      </c>
      <c r="BH276" s="99" t="str">
        <f>IF($A276="","",IFERROR(INDEX('Usage and Coverage'!$C$24:$C$30,MATCH($O276,'Usage and Coverage'!$B$24:$B$30,0)),"?"))</f>
        <v/>
      </c>
      <c r="BI276" s="99" t="str">
        <f>IF($A276="","",IFERROR(INDEX('Usage and Coverage'!$C$34:$C$40,MATCH($P276,'Usage and Coverage'!$B$34:$B$40,0)),"?"))</f>
        <v/>
      </c>
      <c r="BJ276" s="99" t="str">
        <f>IF($A276="","",IFERROR(INDEX('Usage and Coverage'!$C$44:$C$49,MATCH($Q276,'Usage and Coverage'!$B$44:$B$49,0)),"?"))</f>
        <v/>
      </c>
      <c r="BK276" s="99" t="str">
        <f>IF($A276="","",IFERROR(INDEX(Deductibles!$C$6:$I$15,MATCH($W276,Deductibles!$B$6:$B$15,0),MATCH(MAX($J276,'Technical Premium'!$C$18),'Base Rates'!$C$3:$I$3,1)),"?"))</f>
        <v/>
      </c>
      <c r="BL276" s="99" t="str">
        <f>IF($A276="","",IFERROR(INDEX('Usage and Coverage'!$C$63:$C$66,MATCH($X276,'Usage and Coverage'!$B$63:$B$66,0)),"?"))</f>
        <v/>
      </c>
      <c r="BM276" s="99" t="str">
        <f>IF($A276="","",IFERROR(INDEX('Usage and Coverage'!$C$70:$C$75,MATCH($V276,'Usage and Coverage'!$B$70:$B$75,0)),"?"))</f>
        <v/>
      </c>
      <c r="BN276" s="99" t="str">
        <f>IF($A276="","",IF($AB276="",1,IFERROR(INDEX(Deductibles!$C$48:$C$51,MATCH($AB276,Deductibles!$B$48:$B$51,0)),"?")))</f>
        <v/>
      </c>
      <c r="BO276" s="99" t="str">
        <f>IF($A276="","",IF($AC276="",1,IFERROR(INDEX(Deductibles!$C$55:$C$57,MATCH($AC276,Deductibles!$B$55:$B$57,0)),"?")))</f>
        <v/>
      </c>
      <c r="BP276" s="99" t="str">
        <f>IF($A276="","",IF($AD276="",1,IFERROR(INDEX(Deductibles!$C$61:$C$63,MATCH($AD276,Deductibles!$B$61:$B$63,0)),"?")))</f>
        <v/>
      </c>
      <c r="BQ276" s="99" t="str">
        <f>IF($A276="","",IF($AE276="",1,IFERROR(INDEX(Deductibles!$C$67:$C$69,MATCH($AE276,Deductibles!$B$67:$B$69,0)),"?")))</f>
        <v/>
      </c>
      <c r="BR276" s="99" t="str">
        <f>IF($A276="","",IF($AF276="",1,IFERROR(INDEX(Deductibles!$C$73:$C$74,MATCH($AF276,Deductibles!$B$73:$B$74,0)),"?")))</f>
        <v/>
      </c>
      <c r="BS276" s="99" t="str">
        <f>IF($A276="","",IF($AG276="",1,IFERROR(INDEX('Sublimits and Parts'!$C$49:$C$52,MATCH($AG276,'Sublimits and Parts'!$B$49:$B$52,0)),"?")))</f>
        <v/>
      </c>
      <c r="BT276" s="99" t="str">
        <f>IF($A276="","",IF($AH276="",1,IFERROR(INDEX('Sublimits and Parts'!$C$56:$C$60,MATCH($AH276,'Sublimits and Parts'!$B$56:$B$60,0)),"?")))</f>
        <v/>
      </c>
      <c r="BU276" s="99" t="str">
        <f>IF($A276="","",IF($AI276="",1,IFERROR(INDEX('Sublimits and Parts'!$C$64:$C$67,MATCH($AI276,'Sublimits and Parts'!$B$64:$B$67,0)),"?")))</f>
        <v/>
      </c>
      <c r="BV276" s="99" t="str">
        <f>IF($A276="","",IF($AJ276="",1,IFERROR(INDEX('Sublimits and Parts'!$C$71:$C$74,MATCH($AJ276,'Sublimits and Parts'!$B$71:$B$74,0)),"?")))</f>
        <v/>
      </c>
      <c r="BW276" s="99" t="str">
        <f>IF($A276="","",IF($AK276="",1,IFERROR(INDEX('Sublimits and Parts'!$C$78:$C$80,MATCH($AK276,'Sublimits and Parts'!$B$78:$B$80,0)),"?")))</f>
        <v/>
      </c>
      <c r="BX276" s="99" t="str">
        <f>IF($A276="","",IF($AL276="",1,IFERROR(INDEX('Sublimits and Parts'!$C$84:$C$87,MATCH($AL276,'Sublimits and Parts'!$B$84:$B$87,0)),"?")))</f>
        <v/>
      </c>
      <c r="BY276" s="99" t="str">
        <f>IF($A276="","",IF($AM276="",1,IFERROR(INDEX('Sublimits and Parts'!$C$91:$C$94,MATCH($AM276,'Sublimits and Parts'!$B$91:$B$94,0)),"?")))</f>
        <v/>
      </c>
      <c r="BZ276" s="99" t="str">
        <f>IF($A276="","",IF($AN276="",1,IFERROR(INDEX('Sublimits and Parts'!$C$98:$C$101,MATCH($AN276,'Sublimits and Parts'!$B$98:$B$101,0)),"?")))</f>
        <v/>
      </c>
      <c r="CA276" s="99" t="str">
        <f>IF($A276="","",IF($AO276="",1,IFERROR(INDEX('Sublimits and Parts'!$C$105:$C$109,MATCH($AO276,'Sublimits and Parts'!$B$105:$B$109,0)),"?")))</f>
        <v/>
      </c>
      <c r="CB276" s="100" t="str">
        <f t="shared" si="54"/>
        <v/>
      </c>
      <c r="CC276" s="100" t="str">
        <f t="shared" si="55"/>
        <v/>
      </c>
      <c r="CD276" s="103" t="str">
        <f>IF($A276="","",IF(OR($CB276="?",$CC276="?"),"?",MIN($CB276*$CC276,'Technical Premium'!$C$17)))</f>
        <v/>
      </c>
      <c r="CE276" s="102" t="str">
        <f t="shared" si="56"/>
        <v/>
      </c>
      <c r="CF276" s="102" t="str">
        <f>IF($A276="","",IFERROR(INDEX('Territory Factors'!$F$6:$F$56,MATCH($K276,'Territory Factors'!$B$6:$B$56,0)),"?"))</f>
        <v/>
      </c>
      <c r="CG276" s="100" t="str">
        <f>IF($A276="","",IFERROR(INDEX('Usage and Coverage'!$C$79:$C$84,MATCH($Y276,'Usage and Coverage'!$B$79:$B$84,0)),"?"))</f>
        <v/>
      </c>
      <c r="CH276" s="102" t="str">
        <f>IFERROR(IF(ISNUMBER($CD276),$CF276*$CG276*MIN($BG276*$BA276*$BC276*$BD276*$BH276*$BF276,'Technical Premium'!$C$17),""),"")</f>
        <v/>
      </c>
      <c r="CI276" s="102" t="str">
        <f t="shared" si="57"/>
        <v/>
      </c>
      <c r="CJ276" s="102" t="str">
        <f>IFERROR($CI276*(1+'Technical Premium'!$C$5)*(1+'Technical Premium'!$C$6),"")</f>
        <v/>
      </c>
      <c r="CK276" s="102" t="str">
        <f>IFERROR($CE276*INDEX('Territory Factors'!$G$6:$G$56,MATCH($K276,'Territory Factors'!$B$6:$B$56,0))*$AU276*$AV276,"")</f>
        <v/>
      </c>
      <c r="CL276" s="102" t="str">
        <f>IFERROR(($CJ276+$CK276)*(1+'Technical Premium'!$C$7),"")</f>
        <v/>
      </c>
      <c r="CM276" s="104" t="str">
        <f>IFERROR($CL276/'Technical Premium'!$C$13,"")</f>
        <v/>
      </c>
      <c r="CN276" s="105" t="str">
        <f t="shared" si="58"/>
        <v/>
      </c>
      <c r="CO276" s="104" t="str">
        <f t="shared" si="59"/>
        <v/>
      </c>
      <c r="CP276" s="105" t="str">
        <f t="shared" si="60"/>
        <v/>
      </c>
      <c r="CQ276" s="106" t="str">
        <f t="shared" si="61"/>
        <v/>
      </c>
      <c r="CR276" s="102" t="str">
        <f>IF(ISNUMBER($CM276),'Technical Premium'!$C$14+IF($J276&gt;=1000000,'Technical Premium'!$C$15,0),"")</f>
        <v/>
      </c>
      <c r="CS276" s="102" t="str">
        <f>IFERROR(($CO276+$CR276)*(INDEX('Territory Factors'!$K$6:$K$56,MATCH($K276,'Territory Factors'!$B$6:$B$56,0))+'Commission Structure'!$C$21),"")</f>
        <v/>
      </c>
      <c r="CT276" s="104" t="str">
        <f t="shared" si="62"/>
        <v/>
      </c>
      <c r="CU276" s="102" t="str">
        <f>IFERROR($CO276*('Commission Structure'!$C$6+'Commission Structure'!$C$7),"")</f>
        <v/>
      </c>
      <c r="CV276" s="102" t="str">
        <f>IFERROR($CO276*'Commission Structure'!$C$5-$CU276,"")</f>
        <v/>
      </c>
      <c r="CW276" s="102" t="str">
        <f>IFERROR($CO276*(1-'Commission Structure'!$C$5),"")</f>
        <v/>
      </c>
      <c r="CX276" s="107"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8" t="str">
        <f t="shared" si="63"/>
        <v/>
      </c>
      <c r="CZ276" s="99" t="str">
        <f>IF($CY276="","",IF($CY276&lt;'Technical Premium'!$C$19,"BEYOND AUTHORITY",IF($CY276&gt;0.005,"Above technical",IF($CY276&lt;-0.005,"BELOW technical","At technical"))))</f>
        <v/>
      </c>
      <c r="DA276" s="99"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4"/>
      <c r="DC276" s="94"/>
      <c r="DD276" s="95"/>
      <c r="DE276" s="94"/>
      <c r="DF276" s="94"/>
      <c r="DG276" s="99" t="str">
        <f t="shared" si="64"/>
        <v/>
      </c>
      <c r="DH276" s="99" t="str">
        <f>IF($A276="","",IF(OR($CX276="REFER",$CX276="DECLINE"),COUNTIF($CX$5:$CX276,"REFER")+COUNTIF($CX$5:$CX276,"DECLINE"),""))</f>
        <v/>
      </c>
      <c r="DI276" s="94"/>
    </row>
    <row r="277" spans="1:113" x14ac:dyDescent="0.35">
      <c r="A277" s="94"/>
      <c r="B277" s="94"/>
      <c r="C277" s="95"/>
      <c r="D277" s="95"/>
      <c r="E277" s="96"/>
      <c r="F277" s="94"/>
      <c r="G277" s="94"/>
      <c r="H277" s="94"/>
      <c r="I277" s="94"/>
      <c r="J277" s="97"/>
      <c r="K277" s="94"/>
      <c r="L277" s="94"/>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8"/>
      <c r="AR277" s="99" t="str">
        <f t="shared" si="52"/>
        <v/>
      </c>
      <c r="AS277" s="99" t="str">
        <f>IF($A277="","",IF($AP277&lt;&gt;"",$AP277,IFERROR(INDEX('Cat Zone by ZIP'!$D$6:$D$856,MATCH($AR277,'Cat Zone by ZIP'!$B$6:$B$856,0)),IFERROR(INDEX('Cat Zone by ZIP'!$C$860:$C$910,MATCH($K277,'Cat Zone by ZIP'!$B$860:$B$910,0)),"NOT FOUND"))))</f>
        <v/>
      </c>
      <c r="AT277" s="99" t="str">
        <f>IF($A277="","",IF($AP277&lt;&gt;"","Override",IF(ISNUMBER(MATCH($AR277,'Cat Zone by ZIP'!$B$6:$B$856,0)),"ZIP-3","State default")))</f>
        <v/>
      </c>
      <c r="AU277" s="100" t="str">
        <f>IF($A277="","",IFERROR(INDEX('Natural Catastrophe'!$D$6:$D$17,MATCH($AS277,'Natural Catastrophe'!$B$6:$B$17,0)),"?"))</f>
        <v/>
      </c>
      <c r="AV277" s="100" t="str">
        <f>IF($A277="","",IFERROR(INDEX('Natural Catastrophe'!$C$21:$C$26,MATCH($AA277,'Natural Catastrophe'!$B$21:$B$26,0)),"?"))</f>
        <v/>
      </c>
      <c r="AW277" s="99" t="str">
        <f>IF($A277="","",IFERROR(INDEX('Base Rates'!$C$4:$I$4,MATCH(MAX($J277,'Technical Premium'!$C$18),'Base Rates'!$C$3:$I$3,1)),"?"))</f>
        <v/>
      </c>
      <c r="AX277" s="101" t="str">
        <f>IF($A277="","",IFERROR(INDEX('Base Rates'!$C$5:$I$16,MATCH($I277,'Base Rates'!$B$5:$B$16,0),MATCH(MAX($J277,'Technical Premium'!$C$18),'Base Rates'!$C$3:$I$3,1)),"?"))</f>
        <v/>
      </c>
      <c r="AY277" s="102" t="str">
        <f t="shared" si="53"/>
        <v/>
      </c>
      <c r="AZ277" s="99" t="str">
        <f>IF($A277="","",IFERROR(INDEX('Make Factors'!$G$5:$G$69,MATCH($F277,'Make Factors'!$B$5:$B$69,0)),"?"))</f>
        <v/>
      </c>
      <c r="BA277" s="99" t="str">
        <f>IF($A277="","",IFERROR(INDEX('Driver Factors'!$C$6:$C$15,MATCH($R277,'Driver Factors'!$B$6:$B$15,0)),"?"))</f>
        <v/>
      </c>
      <c r="BB277" s="99" t="str">
        <f>IF($A277="","",IFERROR(INDEX('Driver Factors'!$C$19:$C$24,MATCH($S277,'Driver Factors'!$B$19:$B$24,0)),"?"))</f>
        <v/>
      </c>
      <c r="BC277" s="99" t="str">
        <f>IF($A277="","",IFERROR(INDEX('Driver Factors'!$C$28:$C$36,MATCH($T277,'Driver Factors'!$B$28:$B$36,0)),"?"))</f>
        <v/>
      </c>
      <c r="BD277" s="99" t="str">
        <f>IF($A277="","",IFERROR(INDEX('Claims History'!$C$6:$C$15,MATCH($U277,'Claims History'!$B$6:$B$15,0)),"?"))</f>
        <v/>
      </c>
      <c r="BE277" s="99" t="str">
        <f>IF($A277="","",IFERROR(INDEX('Territory Factors'!$E$6:$E$56,MATCH($K277,'Territory Factors'!$B$6:$B$56,0)),"?"))</f>
        <v/>
      </c>
      <c r="BF277" s="99" t="str">
        <f>IF($A277="","",IFERROR(INDEX('City Accident Ratings'!$G$6:$G$54,MATCH($Z277,'City Accident Ratings'!$B$6:$B$54,0)),"?"))</f>
        <v/>
      </c>
      <c r="BG277" s="99" t="str">
        <f>IF($A277="","",IFERROR(INDEX('Usage and Coverage'!$D$6:$D$20,MATCH($N277,'Usage and Coverage'!$C$6:$C$20,0)),"?"))</f>
        <v/>
      </c>
      <c r="BH277" s="99" t="str">
        <f>IF($A277="","",IFERROR(INDEX('Usage and Coverage'!$C$24:$C$30,MATCH($O277,'Usage and Coverage'!$B$24:$B$30,0)),"?"))</f>
        <v/>
      </c>
      <c r="BI277" s="99" t="str">
        <f>IF($A277="","",IFERROR(INDEX('Usage and Coverage'!$C$34:$C$40,MATCH($P277,'Usage and Coverage'!$B$34:$B$40,0)),"?"))</f>
        <v/>
      </c>
      <c r="BJ277" s="99" t="str">
        <f>IF($A277="","",IFERROR(INDEX('Usage and Coverage'!$C$44:$C$49,MATCH($Q277,'Usage and Coverage'!$B$44:$B$49,0)),"?"))</f>
        <v/>
      </c>
      <c r="BK277" s="99" t="str">
        <f>IF($A277="","",IFERROR(INDEX(Deductibles!$C$6:$I$15,MATCH($W277,Deductibles!$B$6:$B$15,0),MATCH(MAX($J277,'Technical Premium'!$C$18),'Base Rates'!$C$3:$I$3,1)),"?"))</f>
        <v/>
      </c>
      <c r="BL277" s="99" t="str">
        <f>IF($A277="","",IFERROR(INDEX('Usage and Coverage'!$C$63:$C$66,MATCH($X277,'Usage and Coverage'!$B$63:$B$66,0)),"?"))</f>
        <v/>
      </c>
      <c r="BM277" s="99" t="str">
        <f>IF($A277="","",IFERROR(INDEX('Usage and Coverage'!$C$70:$C$75,MATCH($V277,'Usage and Coverage'!$B$70:$B$75,0)),"?"))</f>
        <v/>
      </c>
      <c r="BN277" s="99" t="str">
        <f>IF($A277="","",IF($AB277="",1,IFERROR(INDEX(Deductibles!$C$48:$C$51,MATCH($AB277,Deductibles!$B$48:$B$51,0)),"?")))</f>
        <v/>
      </c>
      <c r="BO277" s="99" t="str">
        <f>IF($A277="","",IF($AC277="",1,IFERROR(INDEX(Deductibles!$C$55:$C$57,MATCH($AC277,Deductibles!$B$55:$B$57,0)),"?")))</f>
        <v/>
      </c>
      <c r="BP277" s="99" t="str">
        <f>IF($A277="","",IF($AD277="",1,IFERROR(INDEX(Deductibles!$C$61:$C$63,MATCH($AD277,Deductibles!$B$61:$B$63,0)),"?")))</f>
        <v/>
      </c>
      <c r="BQ277" s="99" t="str">
        <f>IF($A277="","",IF($AE277="",1,IFERROR(INDEX(Deductibles!$C$67:$C$69,MATCH($AE277,Deductibles!$B$67:$B$69,0)),"?")))</f>
        <v/>
      </c>
      <c r="BR277" s="99" t="str">
        <f>IF($A277="","",IF($AF277="",1,IFERROR(INDEX(Deductibles!$C$73:$C$74,MATCH($AF277,Deductibles!$B$73:$B$74,0)),"?")))</f>
        <v/>
      </c>
      <c r="BS277" s="99" t="str">
        <f>IF($A277="","",IF($AG277="",1,IFERROR(INDEX('Sublimits and Parts'!$C$49:$C$52,MATCH($AG277,'Sublimits and Parts'!$B$49:$B$52,0)),"?")))</f>
        <v/>
      </c>
      <c r="BT277" s="99" t="str">
        <f>IF($A277="","",IF($AH277="",1,IFERROR(INDEX('Sublimits and Parts'!$C$56:$C$60,MATCH($AH277,'Sublimits and Parts'!$B$56:$B$60,0)),"?")))</f>
        <v/>
      </c>
      <c r="BU277" s="99" t="str">
        <f>IF($A277="","",IF($AI277="",1,IFERROR(INDEX('Sublimits and Parts'!$C$64:$C$67,MATCH($AI277,'Sublimits and Parts'!$B$64:$B$67,0)),"?")))</f>
        <v/>
      </c>
      <c r="BV277" s="99" t="str">
        <f>IF($A277="","",IF($AJ277="",1,IFERROR(INDEX('Sublimits and Parts'!$C$71:$C$74,MATCH($AJ277,'Sublimits and Parts'!$B$71:$B$74,0)),"?")))</f>
        <v/>
      </c>
      <c r="BW277" s="99" t="str">
        <f>IF($A277="","",IF($AK277="",1,IFERROR(INDEX('Sublimits and Parts'!$C$78:$C$80,MATCH($AK277,'Sublimits and Parts'!$B$78:$B$80,0)),"?")))</f>
        <v/>
      </c>
      <c r="BX277" s="99" t="str">
        <f>IF($A277="","",IF($AL277="",1,IFERROR(INDEX('Sublimits and Parts'!$C$84:$C$87,MATCH($AL277,'Sublimits and Parts'!$B$84:$B$87,0)),"?")))</f>
        <v/>
      </c>
      <c r="BY277" s="99" t="str">
        <f>IF($A277="","",IF($AM277="",1,IFERROR(INDEX('Sublimits and Parts'!$C$91:$C$94,MATCH($AM277,'Sublimits and Parts'!$B$91:$B$94,0)),"?")))</f>
        <v/>
      </c>
      <c r="BZ277" s="99" t="str">
        <f>IF($A277="","",IF($AN277="",1,IFERROR(INDEX('Sublimits and Parts'!$C$98:$C$101,MATCH($AN277,'Sublimits and Parts'!$B$98:$B$101,0)),"?")))</f>
        <v/>
      </c>
      <c r="CA277" s="99" t="str">
        <f>IF($A277="","",IF($AO277="",1,IFERROR(INDEX('Sublimits and Parts'!$C$105:$C$109,MATCH($AO277,'Sublimits and Parts'!$B$105:$B$109,0)),"?")))</f>
        <v/>
      </c>
      <c r="CB277" s="100" t="str">
        <f t="shared" si="54"/>
        <v/>
      </c>
      <c r="CC277" s="100" t="str">
        <f t="shared" si="55"/>
        <v/>
      </c>
      <c r="CD277" s="103" t="str">
        <f>IF($A277="","",IF(OR($CB277="?",$CC277="?"),"?",MIN($CB277*$CC277,'Technical Premium'!$C$17)))</f>
        <v/>
      </c>
      <c r="CE277" s="102" t="str">
        <f t="shared" si="56"/>
        <v/>
      </c>
      <c r="CF277" s="102" t="str">
        <f>IF($A277="","",IFERROR(INDEX('Territory Factors'!$F$6:$F$56,MATCH($K277,'Territory Factors'!$B$6:$B$56,0)),"?"))</f>
        <v/>
      </c>
      <c r="CG277" s="100" t="str">
        <f>IF($A277="","",IFERROR(INDEX('Usage and Coverage'!$C$79:$C$84,MATCH($Y277,'Usage and Coverage'!$B$79:$B$84,0)),"?"))</f>
        <v/>
      </c>
      <c r="CH277" s="102" t="str">
        <f>IFERROR(IF(ISNUMBER($CD277),$CF277*$CG277*MIN($BG277*$BA277*$BC277*$BD277*$BH277*$BF277,'Technical Premium'!$C$17),""),"")</f>
        <v/>
      </c>
      <c r="CI277" s="102" t="str">
        <f t="shared" si="57"/>
        <v/>
      </c>
      <c r="CJ277" s="102" t="str">
        <f>IFERROR($CI277*(1+'Technical Premium'!$C$5)*(1+'Technical Premium'!$C$6),"")</f>
        <v/>
      </c>
      <c r="CK277" s="102" t="str">
        <f>IFERROR($CE277*INDEX('Territory Factors'!$G$6:$G$56,MATCH($K277,'Territory Factors'!$B$6:$B$56,0))*$AU277*$AV277,"")</f>
        <v/>
      </c>
      <c r="CL277" s="102" t="str">
        <f>IFERROR(($CJ277+$CK277)*(1+'Technical Premium'!$C$7),"")</f>
        <v/>
      </c>
      <c r="CM277" s="104" t="str">
        <f>IFERROR($CL277/'Technical Premium'!$C$13,"")</f>
        <v/>
      </c>
      <c r="CN277" s="105" t="str">
        <f t="shared" si="58"/>
        <v/>
      </c>
      <c r="CO277" s="104" t="str">
        <f t="shared" si="59"/>
        <v/>
      </c>
      <c r="CP277" s="105" t="str">
        <f t="shared" si="60"/>
        <v/>
      </c>
      <c r="CQ277" s="106" t="str">
        <f t="shared" si="61"/>
        <v/>
      </c>
      <c r="CR277" s="102" t="str">
        <f>IF(ISNUMBER($CM277),'Technical Premium'!$C$14+IF($J277&gt;=1000000,'Technical Premium'!$C$15,0),"")</f>
        <v/>
      </c>
      <c r="CS277" s="102" t="str">
        <f>IFERROR(($CO277+$CR277)*(INDEX('Territory Factors'!$K$6:$K$56,MATCH($K277,'Territory Factors'!$B$6:$B$56,0))+'Commission Structure'!$C$21),"")</f>
        <v/>
      </c>
      <c r="CT277" s="104" t="str">
        <f t="shared" si="62"/>
        <v/>
      </c>
      <c r="CU277" s="102" t="str">
        <f>IFERROR($CO277*('Commission Structure'!$C$6+'Commission Structure'!$C$7),"")</f>
        <v/>
      </c>
      <c r="CV277" s="102" t="str">
        <f>IFERROR($CO277*'Commission Structure'!$C$5-$CU277,"")</f>
        <v/>
      </c>
      <c r="CW277" s="102" t="str">
        <f>IFERROR($CO277*(1-'Commission Structure'!$C$5),"")</f>
        <v/>
      </c>
      <c r="CX277" s="107"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8" t="str">
        <f t="shared" si="63"/>
        <v/>
      </c>
      <c r="CZ277" s="99" t="str">
        <f>IF($CY277="","",IF($CY277&lt;'Technical Premium'!$C$19,"BEYOND AUTHORITY",IF($CY277&gt;0.005,"Above technical",IF($CY277&lt;-0.005,"BELOW technical","At technical"))))</f>
        <v/>
      </c>
      <c r="DA277" s="99"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4"/>
      <c r="DC277" s="94"/>
      <c r="DD277" s="95"/>
      <c r="DE277" s="94"/>
      <c r="DF277" s="94"/>
      <c r="DG277" s="99" t="str">
        <f t="shared" si="64"/>
        <v/>
      </c>
      <c r="DH277" s="99" t="str">
        <f>IF($A277="","",IF(OR($CX277="REFER",$CX277="DECLINE"),COUNTIF($CX$5:$CX277,"REFER")+COUNTIF($CX$5:$CX277,"DECLINE"),""))</f>
        <v/>
      </c>
      <c r="DI277" s="94"/>
    </row>
    <row r="278" spans="1:113" x14ac:dyDescent="0.35">
      <c r="A278" s="94"/>
      <c r="B278" s="94"/>
      <c r="C278" s="95"/>
      <c r="D278" s="95"/>
      <c r="E278" s="96"/>
      <c r="F278" s="94"/>
      <c r="G278" s="94"/>
      <c r="H278" s="94"/>
      <c r="I278" s="94"/>
      <c r="J278" s="97"/>
      <c r="K278" s="94"/>
      <c r="L278" s="94"/>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8"/>
      <c r="AR278" s="99" t="str">
        <f t="shared" si="52"/>
        <v/>
      </c>
      <c r="AS278" s="99" t="str">
        <f>IF($A278="","",IF($AP278&lt;&gt;"",$AP278,IFERROR(INDEX('Cat Zone by ZIP'!$D$6:$D$856,MATCH($AR278,'Cat Zone by ZIP'!$B$6:$B$856,0)),IFERROR(INDEX('Cat Zone by ZIP'!$C$860:$C$910,MATCH($K278,'Cat Zone by ZIP'!$B$860:$B$910,0)),"NOT FOUND"))))</f>
        <v/>
      </c>
      <c r="AT278" s="99" t="str">
        <f>IF($A278="","",IF($AP278&lt;&gt;"","Override",IF(ISNUMBER(MATCH($AR278,'Cat Zone by ZIP'!$B$6:$B$856,0)),"ZIP-3","State default")))</f>
        <v/>
      </c>
      <c r="AU278" s="100" t="str">
        <f>IF($A278="","",IFERROR(INDEX('Natural Catastrophe'!$D$6:$D$17,MATCH($AS278,'Natural Catastrophe'!$B$6:$B$17,0)),"?"))</f>
        <v/>
      </c>
      <c r="AV278" s="100" t="str">
        <f>IF($A278="","",IFERROR(INDEX('Natural Catastrophe'!$C$21:$C$26,MATCH($AA278,'Natural Catastrophe'!$B$21:$B$26,0)),"?"))</f>
        <v/>
      </c>
      <c r="AW278" s="99" t="str">
        <f>IF($A278="","",IFERROR(INDEX('Base Rates'!$C$4:$I$4,MATCH(MAX($J278,'Technical Premium'!$C$18),'Base Rates'!$C$3:$I$3,1)),"?"))</f>
        <v/>
      </c>
      <c r="AX278" s="101" t="str">
        <f>IF($A278="","",IFERROR(INDEX('Base Rates'!$C$5:$I$16,MATCH($I278,'Base Rates'!$B$5:$B$16,0),MATCH(MAX($J278,'Technical Premium'!$C$18),'Base Rates'!$C$3:$I$3,1)),"?"))</f>
        <v/>
      </c>
      <c r="AY278" s="102" t="str">
        <f t="shared" si="53"/>
        <v/>
      </c>
      <c r="AZ278" s="99" t="str">
        <f>IF($A278="","",IFERROR(INDEX('Make Factors'!$G$5:$G$69,MATCH($F278,'Make Factors'!$B$5:$B$69,0)),"?"))</f>
        <v/>
      </c>
      <c r="BA278" s="99" t="str">
        <f>IF($A278="","",IFERROR(INDEX('Driver Factors'!$C$6:$C$15,MATCH($R278,'Driver Factors'!$B$6:$B$15,0)),"?"))</f>
        <v/>
      </c>
      <c r="BB278" s="99" t="str">
        <f>IF($A278="","",IFERROR(INDEX('Driver Factors'!$C$19:$C$24,MATCH($S278,'Driver Factors'!$B$19:$B$24,0)),"?"))</f>
        <v/>
      </c>
      <c r="BC278" s="99" t="str">
        <f>IF($A278="","",IFERROR(INDEX('Driver Factors'!$C$28:$C$36,MATCH($T278,'Driver Factors'!$B$28:$B$36,0)),"?"))</f>
        <v/>
      </c>
      <c r="BD278" s="99" t="str">
        <f>IF($A278="","",IFERROR(INDEX('Claims History'!$C$6:$C$15,MATCH($U278,'Claims History'!$B$6:$B$15,0)),"?"))</f>
        <v/>
      </c>
      <c r="BE278" s="99" t="str">
        <f>IF($A278="","",IFERROR(INDEX('Territory Factors'!$E$6:$E$56,MATCH($K278,'Territory Factors'!$B$6:$B$56,0)),"?"))</f>
        <v/>
      </c>
      <c r="BF278" s="99" t="str">
        <f>IF($A278="","",IFERROR(INDEX('City Accident Ratings'!$G$6:$G$54,MATCH($Z278,'City Accident Ratings'!$B$6:$B$54,0)),"?"))</f>
        <v/>
      </c>
      <c r="BG278" s="99" t="str">
        <f>IF($A278="","",IFERROR(INDEX('Usage and Coverage'!$D$6:$D$20,MATCH($N278,'Usage and Coverage'!$C$6:$C$20,0)),"?"))</f>
        <v/>
      </c>
      <c r="BH278" s="99" t="str">
        <f>IF($A278="","",IFERROR(INDEX('Usage and Coverage'!$C$24:$C$30,MATCH($O278,'Usage and Coverage'!$B$24:$B$30,0)),"?"))</f>
        <v/>
      </c>
      <c r="BI278" s="99" t="str">
        <f>IF($A278="","",IFERROR(INDEX('Usage and Coverage'!$C$34:$C$40,MATCH($P278,'Usage and Coverage'!$B$34:$B$40,0)),"?"))</f>
        <v/>
      </c>
      <c r="BJ278" s="99" t="str">
        <f>IF($A278="","",IFERROR(INDEX('Usage and Coverage'!$C$44:$C$49,MATCH($Q278,'Usage and Coverage'!$B$44:$B$49,0)),"?"))</f>
        <v/>
      </c>
      <c r="BK278" s="99" t="str">
        <f>IF($A278="","",IFERROR(INDEX(Deductibles!$C$6:$I$15,MATCH($W278,Deductibles!$B$6:$B$15,0),MATCH(MAX($J278,'Technical Premium'!$C$18),'Base Rates'!$C$3:$I$3,1)),"?"))</f>
        <v/>
      </c>
      <c r="BL278" s="99" t="str">
        <f>IF($A278="","",IFERROR(INDEX('Usage and Coverage'!$C$63:$C$66,MATCH($X278,'Usage and Coverage'!$B$63:$B$66,0)),"?"))</f>
        <v/>
      </c>
      <c r="BM278" s="99" t="str">
        <f>IF($A278="","",IFERROR(INDEX('Usage and Coverage'!$C$70:$C$75,MATCH($V278,'Usage and Coverage'!$B$70:$B$75,0)),"?"))</f>
        <v/>
      </c>
      <c r="BN278" s="99" t="str">
        <f>IF($A278="","",IF($AB278="",1,IFERROR(INDEX(Deductibles!$C$48:$C$51,MATCH($AB278,Deductibles!$B$48:$B$51,0)),"?")))</f>
        <v/>
      </c>
      <c r="BO278" s="99" t="str">
        <f>IF($A278="","",IF($AC278="",1,IFERROR(INDEX(Deductibles!$C$55:$C$57,MATCH($AC278,Deductibles!$B$55:$B$57,0)),"?")))</f>
        <v/>
      </c>
      <c r="BP278" s="99" t="str">
        <f>IF($A278="","",IF($AD278="",1,IFERROR(INDEX(Deductibles!$C$61:$C$63,MATCH($AD278,Deductibles!$B$61:$B$63,0)),"?")))</f>
        <v/>
      </c>
      <c r="BQ278" s="99" t="str">
        <f>IF($A278="","",IF($AE278="",1,IFERROR(INDEX(Deductibles!$C$67:$C$69,MATCH($AE278,Deductibles!$B$67:$B$69,0)),"?")))</f>
        <v/>
      </c>
      <c r="BR278" s="99" t="str">
        <f>IF($A278="","",IF($AF278="",1,IFERROR(INDEX(Deductibles!$C$73:$C$74,MATCH($AF278,Deductibles!$B$73:$B$74,0)),"?")))</f>
        <v/>
      </c>
      <c r="BS278" s="99" t="str">
        <f>IF($A278="","",IF($AG278="",1,IFERROR(INDEX('Sublimits and Parts'!$C$49:$C$52,MATCH($AG278,'Sublimits and Parts'!$B$49:$B$52,0)),"?")))</f>
        <v/>
      </c>
      <c r="BT278" s="99" t="str">
        <f>IF($A278="","",IF($AH278="",1,IFERROR(INDEX('Sublimits and Parts'!$C$56:$C$60,MATCH($AH278,'Sublimits and Parts'!$B$56:$B$60,0)),"?")))</f>
        <v/>
      </c>
      <c r="BU278" s="99" t="str">
        <f>IF($A278="","",IF($AI278="",1,IFERROR(INDEX('Sublimits and Parts'!$C$64:$C$67,MATCH($AI278,'Sublimits and Parts'!$B$64:$B$67,0)),"?")))</f>
        <v/>
      </c>
      <c r="BV278" s="99" t="str">
        <f>IF($A278="","",IF($AJ278="",1,IFERROR(INDEX('Sublimits and Parts'!$C$71:$C$74,MATCH($AJ278,'Sublimits and Parts'!$B$71:$B$74,0)),"?")))</f>
        <v/>
      </c>
      <c r="BW278" s="99" t="str">
        <f>IF($A278="","",IF($AK278="",1,IFERROR(INDEX('Sublimits and Parts'!$C$78:$C$80,MATCH($AK278,'Sublimits and Parts'!$B$78:$B$80,0)),"?")))</f>
        <v/>
      </c>
      <c r="BX278" s="99" t="str">
        <f>IF($A278="","",IF($AL278="",1,IFERROR(INDEX('Sublimits and Parts'!$C$84:$C$87,MATCH($AL278,'Sublimits and Parts'!$B$84:$B$87,0)),"?")))</f>
        <v/>
      </c>
      <c r="BY278" s="99" t="str">
        <f>IF($A278="","",IF($AM278="",1,IFERROR(INDEX('Sublimits and Parts'!$C$91:$C$94,MATCH($AM278,'Sublimits and Parts'!$B$91:$B$94,0)),"?")))</f>
        <v/>
      </c>
      <c r="BZ278" s="99" t="str">
        <f>IF($A278="","",IF($AN278="",1,IFERROR(INDEX('Sublimits and Parts'!$C$98:$C$101,MATCH($AN278,'Sublimits and Parts'!$B$98:$B$101,0)),"?")))</f>
        <v/>
      </c>
      <c r="CA278" s="99" t="str">
        <f>IF($A278="","",IF($AO278="",1,IFERROR(INDEX('Sublimits and Parts'!$C$105:$C$109,MATCH($AO278,'Sublimits and Parts'!$B$105:$B$109,0)),"?")))</f>
        <v/>
      </c>
      <c r="CB278" s="100" t="str">
        <f t="shared" si="54"/>
        <v/>
      </c>
      <c r="CC278" s="100" t="str">
        <f t="shared" si="55"/>
        <v/>
      </c>
      <c r="CD278" s="103" t="str">
        <f>IF($A278="","",IF(OR($CB278="?",$CC278="?"),"?",MIN($CB278*$CC278,'Technical Premium'!$C$17)))</f>
        <v/>
      </c>
      <c r="CE278" s="102" t="str">
        <f t="shared" si="56"/>
        <v/>
      </c>
      <c r="CF278" s="102" t="str">
        <f>IF($A278="","",IFERROR(INDEX('Territory Factors'!$F$6:$F$56,MATCH($K278,'Territory Factors'!$B$6:$B$56,0)),"?"))</f>
        <v/>
      </c>
      <c r="CG278" s="100" t="str">
        <f>IF($A278="","",IFERROR(INDEX('Usage and Coverage'!$C$79:$C$84,MATCH($Y278,'Usage and Coverage'!$B$79:$B$84,0)),"?"))</f>
        <v/>
      </c>
      <c r="CH278" s="102" t="str">
        <f>IFERROR(IF(ISNUMBER($CD278),$CF278*$CG278*MIN($BG278*$BA278*$BC278*$BD278*$BH278*$BF278,'Technical Premium'!$C$17),""),"")</f>
        <v/>
      </c>
      <c r="CI278" s="102" t="str">
        <f t="shared" si="57"/>
        <v/>
      </c>
      <c r="CJ278" s="102" t="str">
        <f>IFERROR($CI278*(1+'Technical Premium'!$C$5)*(1+'Technical Premium'!$C$6),"")</f>
        <v/>
      </c>
      <c r="CK278" s="102" t="str">
        <f>IFERROR($CE278*INDEX('Territory Factors'!$G$6:$G$56,MATCH($K278,'Territory Factors'!$B$6:$B$56,0))*$AU278*$AV278,"")</f>
        <v/>
      </c>
      <c r="CL278" s="102" t="str">
        <f>IFERROR(($CJ278+$CK278)*(1+'Technical Premium'!$C$7),"")</f>
        <v/>
      </c>
      <c r="CM278" s="104" t="str">
        <f>IFERROR($CL278/'Technical Premium'!$C$13,"")</f>
        <v/>
      </c>
      <c r="CN278" s="105" t="str">
        <f t="shared" si="58"/>
        <v/>
      </c>
      <c r="CO278" s="104" t="str">
        <f t="shared" si="59"/>
        <v/>
      </c>
      <c r="CP278" s="105" t="str">
        <f t="shared" si="60"/>
        <v/>
      </c>
      <c r="CQ278" s="106" t="str">
        <f t="shared" si="61"/>
        <v/>
      </c>
      <c r="CR278" s="102" t="str">
        <f>IF(ISNUMBER($CM278),'Technical Premium'!$C$14+IF($J278&gt;=1000000,'Technical Premium'!$C$15,0),"")</f>
        <v/>
      </c>
      <c r="CS278" s="102" t="str">
        <f>IFERROR(($CO278+$CR278)*(INDEX('Territory Factors'!$K$6:$K$56,MATCH($K278,'Territory Factors'!$B$6:$B$56,0))+'Commission Structure'!$C$21),"")</f>
        <v/>
      </c>
      <c r="CT278" s="104" t="str">
        <f t="shared" si="62"/>
        <v/>
      </c>
      <c r="CU278" s="102" t="str">
        <f>IFERROR($CO278*('Commission Structure'!$C$6+'Commission Structure'!$C$7),"")</f>
        <v/>
      </c>
      <c r="CV278" s="102" t="str">
        <f>IFERROR($CO278*'Commission Structure'!$C$5-$CU278,"")</f>
        <v/>
      </c>
      <c r="CW278" s="102" t="str">
        <f>IFERROR($CO278*(1-'Commission Structure'!$C$5),"")</f>
        <v/>
      </c>
      <c r="CX278" s="107"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8" t="str">
        <f t="shared" si="63"/>
        <v/>
      </c>
      <c r="CZ278" s="99" t="str">
        <f>IF($CY278="","",IF($CY278&lt;'Technical Premium'!$C$19,"BEYOND AUTHORITY",IF($CY278&gt;0.005,"Above technical",IF($CY278&lt;-0.005,"BELOW technical","At technical"))))</f>
        <v/>
      </c>
      <c r="DA278" s="99"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4"/>
      <c r="DC278" s="94"/>
      <c r="DD278" s="95"/>
      <c r="DE278" s="94"/>
      <c r="DF278" s="94"/>
      <c r="DG278" s="99" t="str">
        <f t="shared" si="64"/>
        <v/>
      </c>
      <c r="DH278" s="99" t="str">
        <f>IF($A278="","",IF(OR($CX278="REFER",$CX278="DECLINE"),COUNTIF($CX$5:$CX278,"REFER")+COUNTIF($CX$5:$CX278,"DECLINE"),""))</f>
        <v/>
      </c>
      <c r="DI278" s="94"/>
    </row>
    <row r="279" spans="1:113" x14ac:dyDescent="0.35">
      <c r="A279" s="94"/>
      <c r="B279" s="94"/>
      <c r="C279" s="95"/>
      <c r="D279" s="95"/>
      <c r="E279" s="96"/>
      <c r="F279" s="94"/>
      <c r="G279" s="94"/>
      <c r="H279" s="94"/>
      <c r="I279" s="94"/>
      <c r="J279" s="97"/>
      <c r="K279" s="94"/>
      <c r="L279" s="94"/>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8"/>
      <c r="AR279" s="99" t="str">
        <f t="shared" si="52"/>
        <v/>
      </c>
      <c r="AS279" s="99" t="str">
        <f>IF($A279="","",IF($AP279&lt;&gt;"",$AP279,IFERROR(INDEX('Cat Zone by ZIP'!$D$6:$D$856,MATCH($AR279,'Cat Zone by ZIP'!$B$6:$B$856,0)),IFERROR(INDEX('Cat Zone by ZIP'!$C$860:$C$910,MATCH($K279,'Cat Zone by ZIP'!$B$860:$B$910,0)),"NOT FOUND"))))</f>
        <v/>
      </c>
      <c r="AT279" s="99" t="str">
        <f>IF($A279="","",IF($AP279&lt;&gt;"","Override",IF(ISNUMBER(MATCH($AR279,'Cat Zone by ZIP'!$B$6:$B$856,0)),"ZIP-3","State default")))</f>
        <v/>
      </c>
      <c r="AU279" s="100" t="str">
        <f>IF($A279="","",IFERROR(INDEX('Natural Catastrophe'!$D$6:$D$17,MATCH($AS279,'Natural Catastrophe'!$B$6:$B$17,0)),"?"))</f>
        <v/>
      </c>
      <c r="AV279" s="100" t="str">
        <f>IF($A279="","",IFERROR(INDEX('Natural Catastrophe'!$C$21:$C$26,MATCH($AA279,'Natural Catastrophe'!$B$21:$B$26,0)),"?"))</f>
        <v/>
      </c>
      <c r="AW279" s="99" t="str">
        <f>IF($A279="","",IFERROR(INDEX('Base Rates'!$C$4:$I$4,MATCH(MAX($J279,'Technical Premium'!$C$18),'Base Rates'!$C$3:$I$3,1)),"?"))</f>
        <v/>
      </c>
      <c r="AX279" s="101" t="str">
        <f>IF($A279="","",IFERROR(INDEX('Base Rates'!$C$5:$I$16,MATCH($I279,'Base Rates'!$B$5:$B$16,0),MATCH(MAX($J279,'Technical Premium'!$C$18),'Base Rates'!$C$3:$I$3,1)),"?"))</f>
        <v/>
      </c>
      <c r="AY279" s="102" t="str">
        <f t="shared" si="53"/>
        <v/>
      </c>
      <c r="AZ279" s="99" t="str">
        <f>IF($A279="","",IFERROR(INDEX('Make Factors'!$G$5:$G$69,MATCH($F279,'Make Factors'!$B$5:$B$69,0)),"?"))</f>
        <v/>
      </c>
      <c r="BA279" s="99" t="str">
        <f>IF($A279="","",IFERROR(INDEX('Driver Factors'!$C$6:$C$15,MATCH($R279,'Driver Factors'!$B$6:$B$15,0)),"?"))</f>
        <v/>
      </c>
      <c r="BB279" s="99" t="str">
        <f>IF($A279="","",IFERROR(INDEX('Driver Factors'!$C$19:$C$24,MATCH($S279,'Driver Factors'!$B$19:$B$24,0)),"?"))</f>
        <v/>
      </c>
      <c r="BC279" s="99" t="str">
        <f>IF($A279="","",IFERROR(INDEX('Driver Factors'!$C$28:$C$36,MATCH($T279,'Driver Factors'!$B$28:$B$36,0)),"?"))</f>
        <v/>
      </c>
      <c r="BD279" s="99" t="str">
        <f>IF($A279="","",IFERROR(INDEX('Claims History'!$C$6:$C$15,MATCH($U279,'Claims History'!$B$6:$B$15,0)),"?"))</f>
        <v/>
      </c>
      <c r="BE279" s="99" t="str">
        <f>IF($A279="","",IFERROR(INDEX('Territory Factors'!$E$6:$E$56,MATCH($K279,'Territory Factors'!$B$6:$B$56,0)),"?"))</f>
        <v/>
      </c>
      <c r="BF279" s="99" t="str">
        <f>IF($A279="","",IFERROR(INDEX('City Accident Ratings'!$G$6:$G$54,MATCH($Z279,'City Accident Ratings'!$B$6:$B$54,0)),"?"))</f>
        <v/>
      </c>
      <c r="BG279" s="99" t="str">
        <f>IF($A279="","",IFERROR(INDEX('Usage and Coverage'!$D$6:$D$20,MATCH($N279,'Usage and Coverage'!$C$6:$C$20,0)),"?"))</f>
        <v/>
      </c>
      <c r="BH279" s="99" t="str">
        <f>IF($A279="","",IFERROR(INDEX('Usage and Coverage'!$C$24:$C$30,MATCH($O279,'Usage and Coverage'!$B$24:$B$30,0)),"?"))</f>
        <v/>
      </c>
      <c r="BI279" s="99" t="str">
        <f>IF($A279="","",IFERROR(INDEX('Usage and Coverage'!$C$34:$C$40,MATCH($P279,'Usage and Coverage'!$B$34:$B$40,0)),"?"))</f>
        <v/>
      </c>
      <c r="BJ279" s="99" t="str">
        <f>IF($A279="","",IFERROR(INDEX('Usage and Coverage'!$C$44:$C$49,MATCH($Q279,'Usage and Coverage'!$B$44:$B$49,0)),"?"))</f>
        <v/>
      </c>
      <c r="BK279" s="99" t="str">
        <f>IF($A279="","",IFERROR(INDEX(Deductibles!$C$6:$I$15,MATCH($W279,Deductibles!$B$6:$B$15,0),MATCH(MAX($J279,'Technical Premium'!$C$18),'Base Rates'!$C$3:$I$3,1)),"?"))</f>
        <v/>
      </c>
      <c r="BL279" s="99" t="str">
        <f>IF($A279="","",IFERROR(INDEX('Usage and Coverage'!$C$63:$C$66,MATCH($X279,'Usage and Coverage'!$B$63:$B$66,0)),"?"))</f>
        <v/>
      </c>
      <c r="BM279" s="99" t="str">
        <f>IF($A279="","",IFERROR(INDEX('Usage and Coverage'!$C$70:$C$75,MATCH($V279,'Usage and Coverage'!$B$70:$B$75,0)),"?"))</f>
        <v/>
      </c>
      <c r="BN279" s="99" t="str">
        <f>IF($A279="","",IF($AB279="",1,IFERROR(INDEX(Deductibles!$C$48:$C$51,MATCH($AB279,Deductibles!$B$48:$B$51,0)),"?")))</f>
        <v/>
      </c>
      <c r="BO279" s="99" t="str">
        <f>IF($A279="","",IF($AC279="",1,IFERROR(INDEX(Deductibles!$C$55:$C$57,MATCH($AC279,Deductibles!$B$55:$B$57,0)),"?")))</f>
        <v/>
      </c>
      <c r="BP279" s="99" t="str">
        <f>IF($A279="","",IF($AD279="",1,IFERROR(INDEX(Deductibles!$C$61:$C$63,MATCH($AD279,Deductibles!$B$61:$B$63,0)),"?")))</f>
        <v/>
      </c>
      <c r="BQ279" s="99" t="str">
        <f>IF($A279="","",IF($AE279="",1,IFERROR(INDEX(Deductibles!$C$67:$C$69,MATCH($AE279,Deductibles!$B$67:$B$69,0)),"?")))</f>
        <v/>
      </c>
      <c r="BR279" s="99" t="str">
        <f>IF($A279="","",IF($AF279="",1,IFERROR(INDEX(Deductibles!$C$73:$C$74,MATCH($AF279,Deductibles!$B$73:$B$74,0)),"?")))</f>
        <v/>
      </c>
      <c r="BS279" s="99" t="str">
        <f>IF($A279="","",IF($AG279="",1,IFERROR(INDEX('Sublimits and Parts'!$C$49:$C$52,MATCH($AG279,'Sublimits and Parts'!$B$49:$B$52,0)),"?")))</f>
        <v/>
      </c>
      <c r="BT279" s="99" t="str">
        <f>IF($A279="","",IF($AH279="",1,IFERROR(INDEX('Sublimits and Parts'!$C$56:$C$60,MATCH($AH279,'Sublimits and Parts'!$B$56:$B$60,0)),"?")))</f>
        <v/>
      </c>
      <c r="BU279" s="99" t="str">
        <f>IF($A279="","",IF($AI279="",1,IFERROR(INDEX('Sublimits and Parts'!$C$64:$C$67,MATCH($AI279,'Sublimits and Parts'!$B$64:$B$67,0)),"?")))</f>
        <v/>
      </c>
      <c r="BV279" s="99" t="str">
        <f>IF($A279="","",IF($AJ279="",1,IFERROR(INDEX('Sublimits and Parts'!$C$71:$C$74,MATCH($AJ279,'Sublimits and Parts'!$B$71:$B$74,0)),"?")))</f>
        <v/>
      </c>
      <c r="BW279" s="99" t="str">
        <f>IF($A279="","",IF($AK279="",1,IFERROR(INDEX('Sublimits and Parts'!$C$78:$C$80,MATCH($AK279,'Sublimits and Parts'!$B$78:$B$80,0)),"?")))</f>
        <v/>
      </c>
      <c r="BX279" s="99" t="str">
        <f>IF($A279="","",IF($AL279="",1,IFERROR(INDEX('Sublimits and Parts'!$C$84:$C$87,MATCH($AL279,'Sublimits and Parts'!$B$84:$B$87,0)),"?")))</f>
        <v/>
      </c>
      <c r="BY279" s="99" t="str">
        <f>IF($A279="","",IF($AM279="",1,IFERROR(INDEX('Sublimits and Parts'!$C$91:$C$94,MATCH($AM279,'Sublimits and Parts'!$B$91:$B$94,0)),"?")))</f>
        <v/>
      </c>
      <c r="BZ279" s="99" t="str">
        <f>IF($A279="","",IF($AN279="",1,IFERROR(INDEX('Sublimits and Parts'!$C$98:$C$101,MATCH($AN279,'Sublimits and Parts'!$B$98:$B$101,0)),"?")))</f>
        <v/>
      </c>
      <c r="CA279" s="99" t="str">
        <f>IF($A279="","",IF($AO279="",1,IFERROR(INDEX('Sublimits and Parts'!$C$105:$C$109,MATCH($AO279,'Sublimits and Parts'!$B$105:$B$109,0)),"?")))</f>
        <v/>
      </c>
      <c r="CB279" s="100" t="str">
        <f t="shared" si="54"/>
        <v/>
      </c>
      <c r="CC279" s="100" t="str">
        <f t="shared" si="55"/>
        <v/>
      </c>
      <c r="CD279" s="103" t="str">
        <f>IF($A279="","",IF(OR($CB279="?",$CC279="?"),"?",MIN($CB279*$CC279,'Technical Premium'!$C$17)))</f>
        <v/>
      </c>
      <c r="CE279" s="102" t="str">
        <f t="shared" si="56"/>
        <v/>
      </c>
      <c r="CF279" s="102" t="str">
        <f>IF($A279="","",IFERROR(INDEX('Territory Factors'!$F$6:$F$56,MATCH($K279,'Territory Factors'!$B$6:$B$56,0)),"?"))</f>
        <v/>
      </c>
      <c r="CG279" s="100" t="str">
        <f>IF($A279="","",IFERROR(INDEX('Usage and Coverage'!$C$79:$C$84,MATCH($Y279,'Usage and Coverage'!$B$79:$B$84,0)),"?"))</f>
        <v/>
      </c>
      <c r="CH279" s="102" t="str">
        <f>IFERROR(IF(ISNUMBER($CD279),$CF279*$CG279*MIN($BG279*$BA279*$BC279*$BD279*$BH279*$BF279,'Technical Premium'!$C$17),""),"")</f>
        <v/>
      </c>
      <c r="CI279" s="102" t="str">
        <f t="shared" si="57"/>
        <v/>
      </c>
      <c r="CJ279" s="102" t="str">
        <f>IFERROR($CI279*(1+'Technical Premium'!$C$5)*(1+'Technical Premium'!$C$6),"")</f>
        <v/>
      </c>
      <c r="CK279" s="102" t="str">
        <f>IFERROR($CE279*INDEX('Territory Factors'!$G$6:$G$56,MATCH($K279,'Territory Factors'!$B$6:$B$56,0))*$AU279*$AV279,"")</f>
        <v/>
      </c>
      <c r="CL279" s="102" t="str">
        <f>IFERROR(($CJ279+$CK279)*(1+'Technical Premium'!$C$7),"")</f>
        <v/>
      </c>
      <c r="CM279" s="104" t="str">
        <f>IFERROR($CL279/'Technical Premium'!$C$13,"")</f>
        <v/>
      </c>
      <c r="CN279" s="105" t="str">
        <f t="shared" si="58"/>
        <v/>
      </c>
      <c r="CO279" s="104" t="str">
        <f t="shared" si="59"/>
        <v/>
      </c>
      <c r="CP279" s="105" t="str">
        <f t="shared" si="60"/>
        <v/>
      </c>
      <c r="CQ279" s="106" t="str">
        <f t="shared" si="61"/>
        <v/>
      </c>
      <c r="CR279" s="102" t="str">
        <f>IF(ISNUMBER($CM279),'Technical Premium'!$C$14+IF($J279&gt;=1000000,'Technical Premium'!$C$15,0),"")</f>
        <v/>
      </c>
      <c r="CS279" s="102" t="str">
        <f>IFERROR(($CO279+$CR279)*(INDEX('Territory Factors'!$K$6:$K$56,MATCH($K279,'Territory Factors'!$B$6:$B$56,0))+'Commission Structure'!$C$21),"")</f>
        <v/>
      </c>
      <c r="CT279" s="104" t="str">
        <f t="shared" si="62"/>
        <v/>
      </c>
      <c r="CU279" s="102" t="str">
        <f>IFERROR($CO279*('Commission Structure'!$C$6+'Commission Structure'!$C$7),"")</f>
        <v/>
      </c>
      <c r="CV279" s="102" t="str">
        <f>IFERROR($CO279*'Commission Structure'!$C$5-$CU279,"")</f>
        <v/>
      </c>
      <c r="CW279" s="102" t="str">
        <f>IFERROR($CO279*(1-'Commission Structure'!$C$5),"")</f>
        <v/>
      </c>
      <c r="CX279" s="107"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8" t="str">
        <f t="shared" si="63"/>
        <v/>
      </c>
      <c r="CZ279" s="99" t="str">
        <f>IF($CY279="","",IF($CY279&lt;'Technical Premium'!$C$19,"BEYOND AUTHORITY",IF($CY279&gt;0.005,"Above technical",IF($CY279&lt;-0.005,"BELOW technical","At technical"))))</f>
        <v/>
      </c>
      <c r="DA279" s="99"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4"/>
      <c r="DC279" s="94"/>
      <c r="DD279" s="95"/>
      <c r="DE279" s="94"/>
      <c r="DF279" s="94"/>
      <c r="DG279" s="99" t="str">
        <f t="shared" si="64"/>
        <v/>
      </c>
      <c r="DH279" s="99" t="str">
        <f>IF($A279="","",IF(OR($CX279="REFER",$CX279="DECLINE"),COUNTIF($CX$5:$CX279,"REFER")+COUNTIF($CX$5:$CX279,"DECLINE"),""))</f>
        <v/>
      </c>
      <c r="DI279" s="94"/>
    </row>
    <row r="280" spans="1:113" x14ac:dyDescent="0.35">
      <c r="A280" s="94"/>
      <c r="B280" s="94"/>
      <c r="C280" s="95"/>
      <c r="D280" s="95"/>
      <c r="E280" s="96"/>
      <c r="F280" s="94"/>
      <c r="G280" s="94"/>
      <c r="H280" s="94"/>
      <c r="I280" s="94"/>
      <c r="J280" s="97"/>
      <c r="K280" s="94"/>
      <c r="L280" s="94"/>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8"/>
      <c r="AR280" s="99" t="str">
        <f t="shared" si="52"/>
        <v/>
      </c>
      <c r="AS280" s="99" t="str">
        <f>IF($A280="","",IF($AP280&lt;&gt;"",$AP280,IFERROR(INDEX('Cat Zone by ZIP'!$D$6:$D$856,MATCH($AR280,'Cat Zone by ZIP'!$B$6:$B$856,0)),IFERROR(INDEX('Cat Zone by ZIP'!$C$860:$C$910,MATCH($K280,'Cat Zone by ZIP'!$B$860:$B$910,0)),"NOT FOUND"))))</f>
        <v/>
      </c>
      <c r="AT280" s="99" t="str">
        <f>IF($A280="","",IF($AP280&lt;&gt;"","Override",IF(ISNUMBER(MATCH($AR280,'Cat Zone by ZIP'!$B$6:$B$856,0)),"ZIP-3","State default")))</f>
        <v/>
      </c>
      <c r="AU280" s="100" t="str">
        <f>IF($A280="","",IFERROR(INDEX('Natural Catastrophe'!$D$6:$D$17,MATCH($AS280,'Natural Catastrophe'!$B$6:$B$17,0)),"?"))</f>
        <v/>
      </c>
      <c r="AV280" s="100" t="str">
        <f>IF($A280="","",IFERROR(INDEX('Natural Catastrophe'!$C$21:$C$26,MATCH($AA280,'Natural Catastrophe'!$B$21:$B$26,0)),"?"))</f>
        <v/>
      </c>
      <c r="AW280" s="99" t="str">
        <f>IF($A280="","",IFERROR(INDEX('Base Rates'!$C$4:$I$4,MATCH(MAX($J280,'Technical Premium'!$C$18),'Base Rates'!$C$3:$I$3,1)),"?"))</f>
        <v/>
      </c>
      <c r="AX280" s="101" t="str">
        <f>IF($A280="","",IFERROR(INDEX('Base Rates'!$C$5:$I$16,MATCH($I280,'Base Rates'!$B$5:$B$16,0),MATCH(MAX($J280,'Technical Premium'!$C$18),'Base Rates'!$C$3:$I$3,1)),"?"))</f>
        <v/>
      </c>
      <c r="AY280" s="102" t="str">
        <f t="shared" si="53"/>
        <v/>
      </c>
      <c r="AZ280" s="99" t="str">
        <f>IF($A280="","",IFERROR(INDEX('Make Factors'!$G$5:$G$69,MATCH($F280,'Make Factors'!$B$5:$B$69,0)),"?"))</f>
        <v/>
      </c>
      <c r="BA280" s="99" t="str">
        <f>IF($A280="","",IFERROR(INDEX('Driver Factors'!$C$6:$C$15,MATCH($R280,'Driver Factors'!$B$6:$B$15,0)),"?"))</f>
        <v/>
      </c>
      <c r="BB280" s="99" t="str">
        <f>IF($A280="","",IFERROR(INDEX('Driver Factors'!$C$19:$C$24,MATCH($S280,'Driver Factors'!$B$19:$B$24,0)),"?"))</f>
        <v/>
      </c>
      <c r="BC280" s="99" t="str">
        <f>IF($A280="","",IFERROR(INDEX('Driver Factors'!$C$28:$C$36,MATCH($T280,'Driver Factors'!$B$28:$B$36,0)),"?"))</f>
        <v/>
      </c>
      <c r="BD280" s="99" t="str">
        <f>IF($A280="","",IFERROR(INDEX('Claims History'!$C$6:$C$15,MATCH($U280,'Claims History'!$B$6:$B$15,0)),"?"))</f>
        <v/>
      </c>
      <c r="BE280" s="99" t="str">
        <f>IF($A280="","",IFERROR(INDEX('Territory Factors'!$E$6:$E$56,MATCH($K280,'Territory Factors'!$B$6:$B$56,0)),"?"))</f>
        <v/>
      </c>
      <c r="BF280" s="99" t="str">
        <f>IF($A280="","",IFERROR(INDEX('City Accident Ratings'!$G$6:$G$54,MATCH($Z280,'City Accident Ratings'!$B$6:$B$54,0)),"?"))</f>
        <v/>
      </c>
      <c r="BG280" s="99" t="str">
        <f>IF($A280="","",IFERROR(INDEX('Usage and Coverage'!$D$6:$D$20,MATCH($N280,'Usage and Coverage'!$C$6:$C$20,0)),"?"))</f>
        <v/>
      </c>
      <c r="BH280" s="99" t="str">
        <f>IF($A280="","",IFERROR(INDEX('Usage and Coverage'!$C$24:$C$30,MATCH($O280,'Usage and Coverage'!$B$24:$B$30,0)),"?"))</f>
        <v/>
      </c>
      <c r="BI280" s="99" t="str">
        <f>IF($A280="","",IFERROR(INDEX('Usage and Coverage'!$C$34:$C$40,MATCH($P280,'Usage and Coverage'!$B$34:$B$40,0)),"?"))</f>
        <v/>
      </c>
      <c r="BJ280" s="99" t="str">
        <f>IF($A280="","",IFERROR(INDEX('Usage and Coverage'!$C$44:$C$49,MATCH($Q280,'Usage and Coverage'!$B$44:$B$49,0)),"?"))</f>
        <v/>
      </c>
      <c r="BK280" s="99" t="str">
        <f>IF($A280="","",IFERROR(INDEX(Deductibles!$C$6:$I$15,MATCH($W280,Deductibles!$B$6:$B$15,0),MATCH(MAX($J280,'Technical Premium'!$C$18),'Base Rates'!$C$3:$I$3,1)),"?"))</f>
        <v/>
      </c>
      <c r="BL280" s="99" t="str">
        <f>IF($A280="","",IFERROR(INDEX('Usage and Coverage'!$C$63:$C$66,MATCH($X280,'Usage and Coverage'!$B$63:$B$66,0)),"?"))</f>
        <v/>
      </c>
      <c r="BM280" s="99" t="str">
        <f>IF($A280="","",IFERROR(INDEX('Usage and Coverage'!$C$70:$C$75,MATCH($V280,'Usage and Coverage'!$B$70:$B$75,0)),"?"))</f>
        <v/>
      </c>
      <c r="BN280" s="99" t="str">
        <f>IF($A280="","",IF($AB280="",1,IFERROR(INDEX(Deductibles!$C$48:$C$51,MATCH($AB280,Deductibles!$B$48:$B$51,0)),"?")))</f>
        <v/>
      </c>
      <c r="BO280" s="99" t="str">
        <f>IF($A280="","",IF($AC280="",1,IFERROR(INDEX(Deductibles!$C$55:$C$57,MATCH($AC280,Deductibles!$B$55:$B$57,0)),"?")))</f>
        <v/>
      </c>
      <c r="BP280" s="99" t="str">
        <f>IF($A280="","",IF($AD280="",1,IFERROR(INDEX(Deductibles!$C$61:$C$63,MATCH($AD280,Deductibles!$B$61:$B$63,0)),"?")))</f>
        <v/>
      </c>
      <c r="BQ280" s="99" t="str">
        <f>IF($A280="","",IF($AE280="",1,IFERROR(INDEX(Deductibles!$C$67:$C$69,MATCH($AE280,Deductibles!$B$67:$B$69,0)),"?")))</f>
        <v/>
      </c>
      <c r="BR280" s="99" t="str">
        <f>IF($A280="","",IF($AF280="",1,IFERROR(INDEX(Deductibles!$C$73:$C$74,MATCH($AF280,Deductibles!$B$73:$B$74,0)),"?")))</f>
        <v/>
      </c>
      <c r="BS280" s="99" t="str">
        <f>IF($A280="","",IF($AG280="",1,IFERROR(INDEX('Sublimits and Parts'!$C$49:$C$52,MATCH($AG280,'Sublimits and Parts'!$B$49:$B$52,0)),"?")))</f>
        <v/>
      </c>
      <c r="BT280" s="99" t="str">
        <f>IF($A280="","",IF($AH280="",1,IFERROR(INDEX('Sublimits and Parts'!$C$56:$C$60,MATCH($AH280,'Sublimits and Parts'!$B$56:$B$60,0)),"?")))</f>
        <v/>
      </c>
      <c r="BU280" s="99" t="str">
        <f>IF($A280="","",IF($AI280="",1,IFERROR(INDEX('Sublimits and Parts'!$C$64:$C$67,MATCH($AI280,'Sublimits and Parts'!$B$64:$B$67,0)),"?")))</f>
        <v/>
      </c>
      <c r="BV280" s="99" t="str">
        <f>IF($A280="","",IF($AJ280="",1,IFERROR(INDEX('Sublimits and Parts'!$C$71:$C$74,MATCH($AJ280,'Sublimits and Parts'!$B$71:$B$74,0)),"?")))</f>
        <v/>
      </c>
      <c r="BW280" s="99" t="str">
        <f>IF($A280="","",IF($AK280="",1,IFERROR(INDEX('Sublimits and Parts'!$C$78:$C$80,MATCH($AK280,'Sublimits and Parts'!$B$78:$B$80,0)),"?")))</f>
        <v/>
      </c>
      <c r="BX280" s="99" t="str">
        <f>IF($A280="","",IF($AL280="",1,IFERROR(INDEX('Sublimits and Parts'!$C$84:$C$87,MATCH($AL280,'Sublimits and Parts'!$B$84:$B$87,0)),"?")))</f>
        <v/>
      </c>
      <c r="BY280" s="99" t="str">
        <f>IF($A280="","",IF($AM280="",1,IFERROR(INDEX('Sublimits and Parts'!$C$91:$C$94,MATCH($AM280,'Sublimits and Parts'!$B$91:$B$94,0)),"?")))</f>
        <v/>
      </c>
      <c r="BZ280" s="99" t="str">
        <f>IF($A280="","",IF($AN280="",1,IFERROR(INDEX('Sublimits and Parts'!$C$98:$C$101,MATCH($AN280,'Sublimits and Parts'!$B$98:$B$101,0)),"?")))</f>
        <v/>
      </c>
      <c r="CA280" s="99" t="str">
        <f>IF($A280="","",IF($AO280="",1,IFERROR(INDEX('Sublimits and Parts'!$C$105:$C$109,MATCH($AO280,'Sublimits and Parts'!$B$105:$B$109,0)),"?")))</f>
        <v/>
      </c>
      <c r="CB280" s="100" t="str">
        <f t="shared" si="54"/>
        <v/>
      </c>
      <c r="CC280" s="100" t="str">
        <f t="shared" si="55"/>
        <v/>
      </c>
      <c r="CD280" s="103" t="str">
        <f>IF($A280="","",IF(OR($CB280="?",$CC280="?"),"?",MIN($CB280*$CC280,'Technical Premium'!$C$17)))</f>
        <v/>
      </c>
      <c r="CE280" s="102" t="str">
        <f t="shared" si="56"/>
        <v/>
      </c>
      <c r="CF280" s="102" t="str">
        <f>IF($A280="","",IFERROR(INDEX('Territory Factors'!$F$6:$F$56,MATCH($K280,'Territory Factors'!$B$6:$B$56,0)),"?"))</f>
        <v/>
      </c>
      <c r="CG280" s="100" t="str">
        <f>IF($A280="","",IFERROR(INDEX('Usage and Coverage'!$C$79:$C$84,MATCH($Y280,'Usage and Coverage'!$B$79:$B$84,0)),"?"))</f>
        <v/>
      </c>
      <c r="CH280" s="102" t="str">
        <f>IFERROR(IF(ISNUMBER($CD280),$CF280*$CG280*MIN($BG280*$BA280*$BC280*$BD280*$BH280*$BF280,'Technical Premium'!$C$17),""),"")</f>
        <v/>
      </c>
      <c r="CI280" s="102" t="str">
        <f t="shared" si="57"/>
        <v/>
      </c>
      <c r="CJ280" s="102" t="str">
        <f>IFERROR($CI280*(1+'Technical Premium'!$C$5)*(1+'Technical Premium'!$C$6),"")</f>
        <v/>
      </c>
      <c r="CK280" s="102" t="str">
        <f>IFERROR($CE280*INDEX('Territory Factors'!$G$6:$G$56,MATCH($K280,'Territory Factors'!$B$6:$B$56,0))*$AU280*$AV280,"")</f>
        <v/>
      </c>
      <c r="CL280" s="102" t="str">
        <f>IFERROR(($CJ280+$CK280)*(1+'Technical Premium'!$C$7),"")</f>
        <v/>
      </c>
      <c r="CM280" s="104" t="str">
        <f>IFERROR($CL280/'Technical Premium'!$C$13,"")</f>
        <v/>
      </c>
      <c r="CN280" s="105" t="str">
        <f t="shared" si="58"/>
        <v/>
      </c>
      <c r="CO280" s="104" t="str">
        <f t="shared" si="59"/>
        <v/>
      </c>
      <c r="CP280" s="105" t="str">
        <f t="shared" si="60"/>
        <v/>
      </c>
      <c r="CQ280" s="106" t="str">
        <f t="shared" si="61"/>
        <v/>
      </c>
      <c r="CR280" s="102" t="str">
        <f>IF(ISNUMBER($CM280),'Technical Premium'!$C$14+IF($J280&gt;=1000000,'Technical Premium'!$C$15,0),"")</f>
        <v/>
      </c>
      <c r="CS280" s="102" t="str">
        <f>IFERROR(($CO280+$CR280)*(INDEX('Territory Factors'!$K$6:$K$56,MATCH($K280,'Territory Factors'!$B$6:$B$56,0))+'Commission Structure'!$C$21),"")</f>
        <v/>
      </c>
      <c r="CT280" s="104" t="str">
        <f t="shared" si="62"/>
        <v/>
      </c>
      <c r="CU280" s="102" t="str">
        <f>IFERROR($CO280*('Commission Structure'!$C$6+'Commission Structure'!$C$7),"")</f>
        <v/>
      </c>
      <c r="CV280" s="102" t="str">
        <f>IFERROR($CO280*'Commission Structure'!$C$5-$CU280,"")</f>
        <v/>
      </c>
      <c r="CW280" s="102" t="str">
        <f>IFERROR($CO280*(1-'Commission Structure'!$C$5),"")</f>
        <v/>
      </c>
      <c r="CX280" s="107"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8" t="str">
        <f t="shared" si="63"/>
        <v/>
      </c>
      <c r="CZ280" s="99" t="str">
        <f>IF($CY280="","",IF($CY280&lt;'Technical Premium'!$C$19,"BEYOND AUTHORITY",IF($CY280&gt;0.005,"Above technical",IF($CY280&lt;-0.005,"BELOW technical","At technical"))))</f>
        <v/>
      </c>
      <c r="DA280" s="99"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4"/>
      <c r="DC280" s="94"/>
      <c r="DD280" s="95"/>
      <c r="DE280" s="94"/>
      <c r="DF280" s="94"/>
      <c r="DG280" s="99" t="str">
        <f t="shared" si="64"/>
        <v/>
      </c>
      <c r="DH280" s="99" t="str">
        <f>IF($A280="","",IF(OR($CX280="REFER",$CX280="DECLINE"),COUNTIF($CX$5:$CX280,"REFER")+COUNTIF($CX$5:$CX280,"DECLINE"),""))</f>
        <v/>
      </c>
      <c r="DI280" s="94"/>
    </row>
    <row r="281" spans="1:113" x14ac:dyDescent="0.35">
      <c r="A281" s="94"/>
      <c r="B281" s="94"/>
      <c r="C281" s="95"/>
      <c r="D281" s="95"/>
      <c r="E281" s="96"/>
      <c r="F281" s="94"/>
      <c r="G281" s="94"/>
      <c r="H281" s="94"/>
      <c r="I281" s="94"/>
      <c r="J281" s="97"/>
      <c r="K281" s="94"/>
      <c r="L281" s="94"/>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8"/>
      <c r="AR281" s="99" t="str">
        <f t="shared" si="52"/>
        <v/>
      </c>
      <c r="AS281" s="99" t="str">
        <f>IF($A281="","",IF($AP281&lt;&gt;"",$AP281,IFERROR(INDEX('Cat Zone by ZIP'!$D$6:$D$856,MATCH($AR281,'Cat Zone by ZIP'!$B$6:$B$856,0)),IFERROR(INDEX('Cat Zone by ZIP'!$C$860:$C$910,MATCH($K281,'Cat Zone by ZIP'!$B$860:$B$910,0)),"NOT FOUND"))))</f>
        <v/>
      </c>
      <c r="AT281" s="99" t="str">
        <f>IF($A281="","",IF($AP281&lt;&gt;"","Override",IF(ISNUMBER(MATCH($AR281,'Cat Zone by ZIP'!$B$6:$B$856,0)),"ZIP-3","State default")))</f>
        <v/>
      </c>
      <c r="AU281" s="100" t="str">
        <f>IF($A281="","",IFERROR(INDEX('Natural Catastrophe'!$D$6:$D$17,MATCH($AS281,'Natural Catastrophe'!$B$6:$B$17,0)),"?"))</f>
        <v/>
      </c>
      <c r="AV281" s="100" t="str">
        <f>IF($A281="","",IFERROR(INDEX('Natural Catastrophe'!$C$21:$C$26,MATCH($AA281,'Natural Catastrophe'!$B$21:$B$26,0)),"?"))</f>
        <v/>
      </c>
      <c r="AW281" s="99" t="str">
        <f>IF($A281="","",IFERROR(INDEX('Base Rates'!$C$4:$I$4,MATCH(MAX($J281,'Technical Premium'!$C$18),'Base Rates'!$C$3:$I$3,1)),"?"))</f>
        <v/>
      </c>
      <c r="AX281" s="101" t="str">
        <f>IF($A281="","",IFERROR(INDEX('Base Rates'!$C$5:$I$16,MATCH($I281,'Base Rates'!$B$5:$B$16,0),MATCH(MAX($J281,'Technical Premium'!$C$18),'Base Rates'!$C$3:$I$3,1)),"?"))</f>
        <v/>
      </c>
      <c r="AY281" s="102" t="str">
        <f t="shared" si="53"/>
        <v/>
      </c>
      <c r="AZ281" s="99" t="str">
        <f>IF($A281="","",IFERROR(INDEX('Make Factors'!$G$5:$G$69,MATCH($F281,'Make Factors'!$B$5:$B$69,0)),"?"))</f>
        <v/>
      </c>
      <c r="BA281" s="99" t="str">
        <f>IF($A281="","",IFERROR(INDEX('Driver Factors'!$C$6:$C$15,MATCH($R281,'Driver Factors'!$B$6:$B$15,0)),"?"))</f>
        <v/>
      </c>
      <c r="BB281" s="99" t="str">
        <f>IF($A281="","",IFERROR(INDEX('Driver Factors'!$C$19:$C$24,MATCH($S281,'Driver Factors'!$B$19:$B$24,0)),"?"))</f>
        <v/>
      </c>
      <c r="BC281" s="99" t="str">
        <f>IF($A281="","",IFERROR(INDEX('Driver Factors'!$C$28:$C$36,MATCH($T281,'Driver Factors'!$B$28:$B$36,0)),"?"))</f>
        <v/>
      </c>
      <c r="BD281" s="99" t="str">
        <f>IF($A281="","",IFERROR(INDEX('Claims History'!$C$6:$C$15,MATCH($U281,'Claims History'!$B$6:$B$15,0)),"?"))</f>
        <v/>
      </c>
      <c r="BE281" s="99" t="str">
        <f>IF($A281="","",IFERROR(INDEX('Territory Factors'!$E$6:$E$56,MATCH($K281,'Territory Factors'!$B$6:$B$56,0)),"?"))</f>
        <v/>
      </c>
      <c r="BF281" s="99" t="str">
        <f>IF($A281="","",IFERROR(INDEX('City Accident Ratings'!$G$6:$G$54,MATCH($Z281,'City Accident Ratings'!$B$6:$B$54,0)),"?"))</f>
        <v/>
      </c>
      <c r="BG281" s="99" t="str">
        <f>IF($A281="","",IFERROR(INDEX('Usage and Coverage'!$D$6:$D$20,MATCH($N281,'Usage and Coverage'!$C$6:$C$20,0)),"?"))</f>
        <v/>
      </c>
      <c r="BH281" s="99" t="str">
        <f>IF($A281="","",IFERROR(INDEX('Usage and Coverage'!$C$24:$C$30,MATCH($O281,'Usage and Coverage'!$B$24:$B$30,0)),"?"))</f>
        <v/>
      </c>
      <c r="BI281" s="99" t="str">
        <f>IF($A281="","",IFERROR(INDEX('Usage and Coverage'!$C$34:$C$40,MATCH($P281,'Usage and Coverage'!$B$34:$B$40,0)),"?"))</f>
        <v/>
      </c>
      <c r="BJ281" s="99" t="str">
        <f>IF($A281="","",IFERROR(INDEX('Usage and Coverage'!$C$44:$C$49,MATCH($Q281,'Usage and Coverage'!$B$44:$B$49,0)),"?"))</f>
        <v/>
      </c>
      <c r="BK281" s="99" t="str">
        <f>IF($A281="","",IFERROR(INDEX(Deductibles!$C$6:$I$15,MATCH($W281,Deductibles!$B$6:$B$15,0),MATCH(MAX($J281,'Technical Premium'!$C$18),'Base Rates'!$C$3:$I$3,1)),"?"))</f>
        <v/>
      </c>
      <c r="BL281" s="99" t="str">
        <f>IF($A281="","",IFERROR(INDEX('Usage and Coverage'!$C$63:$C$66,MATCH($X281,'Usage and Coverage'!$B$63:$B$66,0)),"?"))</f>
        <v/>
      </c>
      <c r="BM281" s="99" t="str">
        <f>IF($A281="","",IFERROR(INDEX('Usage and Coverage'!$C$70:$C$75,MATCH($V281,'Usage and Coverage'!$B$70:$B$75,0)),"?"))</f>
        <v/>
      </c>
      <c r="BN281" s="99" t="str">
        <f>IF($A281="","",IF($AB281="",1,IFERROR(INDEX(Deductibles!$C$48:$C$51,MATCH($AB281,Deductibles!$B$48:$B$51,0)),"?")))</f>
        <v/>
      </c>
      <c r="BO281" s="99" t="str">
        <f>IF($A281="","",IF($AC281="",1,IFERROR(INDEX(Deductibles!$C$55:$C$57,MATCH($AC281,Deductibles!$B$55:$B$57,0)),"?")))</f>
        <v/>
      </c>
      <c r="BP281" s="99" t="str">
        <f>IF($A281="","",IF($AD281="",1,IFERROR(INDEX(Deductibles!$C$61:$C$63,MATCH($AD281,Deductibles!$B$61:$B$63,0)),"?")))</f>
        <v/>
      </c>
      <c r="BQ281" s="99" t="str">
        <f>IF($A281="","",IF($AE281="",1,IFERROR(INDEX(Deductibles!$C$67:$C$69,MATCH($AE281,Deductibles!$B$67:$B$69,0)),"?")))</f>
        <v/>
      </c>
      <c r="BR281" s="99" t="str">
        <f>IF($A281="","",IF($AF281="",1,IFERROR(INDEX(Deductibles!$C$73:$C$74,MATCH($AF281,Deductibles!$B$73:$B$74,0)),"?")))</f>
        <v/>
      </c>
      <c r="BS281" s="99" t="str">
        <f>IF($A281="","",IF($AG281="",1,IFERROR(INDEX('Sublimits and Parts'!$C$49:$C$52,MATCH($AG281,'Sublimits and Parts'!$B$49:$B$52,0)),"?")))</f>
        <v/>
      </c>
      <c r="BT281" s="99" t="str">
        <f>IF($A281="","",IF($AH281="",1,IFERROR(INDEX('Sublimits and Parts'!$C$56:$C$60,MATCH($AH281,'Sublimits and Parts'!$B$56:$B$60,0)),"?")))</f>
        <v/>
      </c>
      <c r="BU281" s="99" t="str">
        <f>IF($A281="","",IF($AI281="",1,IFERROR(INDEX('Sublimits and Parts'!$C$64:$C$67,MATCH($AI281,'Sublimits and Parts'!$B$64:$B$67,0)),"?")))</f>
        <v/>
      </c>
      <c r="BV281" s="99" t="str">
        <f>IF($A281="","",IF($AJ281="",1,IFERROR(INDEX('Sublimits and Parts'!$C$71:$C$74,MATCH($AJ281,'Sublimits and Parts'!$B$71:$B$74,0)),"?")))</f>
        <v/>
      </c>
      <c r="BW281" s="99" t="str">
        <f>IF($A281="","",IF($AK281="",1,IFERROR(INDEX('Sublimits and Parts'!$C$78:$C$80,MATCH($AK281,'Sublimits and Parts'!$B$78:$B$80,0)),"?")))</f>
        <v/>
      </c>
      <c r="BX281" s="99" t="str">
        <f>IF($A281="","",IF($AL281="",1,IFERROR(INDEX('Sublimits and Parts'!$C$84:$C$87,MATCH($AL281,'Sublimits and Parts'!$B$84:$B$87,0)),"?")))</f>
        <v/>
      </c>
      <c r="BY281" s="99" t="str">
        <f>IF($A281="","",IF($AM281="",1,IFERROR(INDEX('Sublimits and Parts'!$C$91:$C$94,MATCH($AM281,'Sublimits and Parts'!$B$91:$B$94,0)),"?")))</f>
        <v/>
      </c>
      <c r="BZ281" s="99" t="str">
        <f>IF($A281="","",IF($AN281="",1,IFERROR(INDEX('Sublimits and Parts'!$C$98:$C$101,MATCH($AN281,'Sublimits and Parts'!$B$98:$B$101,0)),"?")))</f>
        <v/>
      </c>
      <c r="CA281" s="99" t="str">
        <f>IF($A281="","",IF($AO281="",1,IFERROR(INDEX('Sublimits and Parts'!$C$105:$C$109,MATCH($AO281,'Sublimits and Parts'!$B$105:$B$109,0)),"?")))</f>
        <v/>
      </c>
      <c r="CB281" s="100" t="str">
        <f t="shared" si="54"/>
        <v/>
      </c>
      <c r="CC281" s="100" t="str">
        <f t="shared" si="55"/>
        <v/>
      </c>
      <c r="CD281" s="103" t="str">
        <f>IF($A281="","",IF(OR($CB281="?",$CC281="?"),"?",MIN($CB281*$CC281,'Technical Premium'!$C$17)))</f>
        <v/>
      </c>
      <c r="CE281" s="102" t="str">
        <f t="shared" si="56"/>
        <v/>
      </c>
      <c r="CF281" s="102" t="str">
        <f>IF($A281="","",IFERROR(INDEX('Territory Factors'!$F$6:$F$56,MATCH($K281,'Territory Factors'!$B$6:$B$56,0)),"?"))</f>
        <v/>
      </c>
      <c r="CG281" s="100" t="str">
        <f>IF($A281="","",IFERROR(INDEX('Usage and Coverage'!$C$79:$C$84,MATCH($Y281,'Usage and Coverage'!$B$79:$B$84,0)),"?"))</f>
        <v/>
      </c>
      <c r="CH281" s="102" t="str">
        <f>IFERROR(IF(ISNUMBER($CD281),$CF281*$CG281*MIN($BG281*$BA281*$BC281*$BD281*$BH281*$BF281,'Technical Premium'!$C$17),""),"")</f>
        <v/>
      </c>
      <c r="CI281" s="102" t="str">
        <f t="shared" si="57"/>
        <v/>
      </c>
      <c r="CJ281" s="102" t="str">
        <f>IFERROR($CI281*(1+'Technical Premium'!$C$5)*(1+'Technical Premium'!$C$6),"")</f>
        <v/>
      </c>
      <c r="CK281" s="102" t="str">
        <f>IFERROR($CE281*INDEX('Territory Factors'!$G$6:$G$56,MATCH($K281,'Territory Factors'!$B$6:$B$56,0))*$AU281*$AV281,"")</f>
        <v/>
      </c>
      <c r="CL281" s="102" t="str">
        <f>IFERROR(($CJ281+$CK281)*(1+'Technical Premium'!$C$7),"")</f>
        <v/>
      </c>
      <c r="CM281" s="104" t="str">
        <f>IFERROR($CL281/'Technical Premium'!$C$13,"")</f>
        <v/>
      </c>
      <c r="CN281" s="105" t="str">
        <f t="shared" si="58"/>
        <v/>
      </c>
      <c r="CO281" s="104" t="str">
        <f t="shared" si="59"/>
        <v/>
      </c>
      <c r="CP281" s="105" t="str">
        <f t="shared" si="60"/>
        <v/>
      </c>
      <c r="CQ281" s="106" t="str">
        <f t="shared" si="61"/>
        <v/>
      </c>
      <c r="CR281" s="102" t="str">
        <f>IF(ISNUMBER($CM281),'Technical Premium'!$C$14+IF($J281&gt;=1000000,'Technical Premium'!$C$15,0),"")</f>
        <v/>
      </c>
      <c r="CS281" s="102" t="str">
        <f>IFERROR(($CO281+$CR281)*(INDEX('Territory Factors'!$K$6:$K$56,MATCH($K281,'Territory Factors'!$B$6:$B$56,0))+'Commission Structure'!$C$21),"")</f>
        <v/>
      </c>
      <c r="CT281" s="104" t="str">
        <f t="shared" si="62"/>
        <v/>
      </c>
      <c r="CU281" s="102" t="str">
        <f>IFERROR($CO281*('Commission Structure'!$C$6+'Commission Structure'!$C$7),"")</f>
        <v/>
      </c>
      <c r="CV281" s="102" t="str">
        <f>IFERROR($CO281*'Commission Structure'!$C$5-$CU281,"")</f>
        <v/>
      </c>
      <c r="CW281" s="102" t="str">
        <f>IFERROR($CO281*(1-'Commission Structure'!$C$5),"")</f>
        <v/>
      </c>
      <c r="CX281" s="107"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8" t="str">
        <f t="shared" si="63"/>
        <v/>
      </c>
      <c r="CZ281" s="99" t="str">
        <f>IF($CY281="","",IF($CY281&lt;'Technical Premium'!$C$19,"BEYOND AUTHORITY",IF($CY281&gt;0.005,"Above technical",IF($CY281&lt;-0.005,"BELOW technical","At technical"))))</f>
        <v/>
      </c>
      <c r="DA281" s="99"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4"/>
      <c r="DC281" s="94"/>
      <c r="DD281" s="95"/>
      <c r="DE281" s="94"/>
      <c r="DF281" s="94"/>
      <c r="DG281" s="99" t="str">
        <f t="shared" si="64"/>
        <v/>
      </c>
      <c r="DH281" s="99" t="str">
        <f>IF($A281="","",IF(OR($CX281="REFER",$CX281="DECLINE"),COUNTIF($CX$5:$CX281,"REFER")+COUNTIF($CX$5:$CX281,"DECLINE"),""))</f>
        <v/>
      </c>
      <c r="DI281" s="94"/>
    </row>
    <row r="282" spans="1:113" x14ac:dyDescent="0.35">
      <c r="A282" s="94"/>
      <c r="B282" s="94"/>
      <c r="C282" s="95"/>
      <c r="D282" s="95"/>
      <c r="E282" s="96"/>
      <c r="F282" s="94"/>
      <c r="G282" s="94"/>
      <c r="H282" s="94"/>
      <c r="I282" s="94"/>
      <c r="J282" s="97"/>
      <c r="K282" s="94"/>
      <c r="L282" s="94"/>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8"/>
      <c r="AR282" s="99" t="str">
        <f t="shared" si="52"/>
        <v/>
      </c>
      <c r="AS282" s="99" t="str">
        <f>IF($A282="","",IF($AP282&lt;&gt;"",$AP282,IFERROR(INDEX('Cat Zone by ZIP'!$D$6:$D$856,MATCH($AR282,'Cat Zone by ZIP'!$B$6:$B$856,0)),IFERROR(INDEX('Cat Zone by ZIP'!$C$860:$C$910,MATCH($K282,'Cat Zone by ZIP'!$B$860:$B$910,0)),"NOT FOUND"))))</f>
        <v/>
      </c>
      <c r="AT282" s="99" t="str">
        <f>IF($A282="","",IF($AP282&lt;&gt;"","Override",IF(ISNUMBER(MATCH($AR282,'Cat Zone by ZIP'!$B$6:$B$856,0)),"ZIP-3","State default")))</f>
        <v/>
      </c>
      <c r="AU282" s="100" t="str">
        <f>IF($A282="","",IFERROR(INDEX('Natural Catastrophe'!$D$6:$D$17,MATCH($AS282,'Natural Catastrophe'!$B$6:$B$17,0)),"?"))</f>
        <v/>
      </c>
      <c r="AV282" s="100" t="str">
        <f>IF($A282="","",IFERROR(INDEX('Natural Catastrophe'!$C$21:$C$26,MATCH($AA282,'Natural Catastrophe'!$B$21:$B$26,0)),"?"))</f>
        <v/>
      </c>
      <c r="AW282" s="99" t="str">
        <f>IF($A282="","",IFERROR(INDEX('Base Rates'!$C$4:$I$4,MATCH(MAX($J282,'Technical Premium'!$C$18),'Base Rates'!$C$3:$I$3,1)),"?"))</f>
        <v/>
      </c>
      <c r="AX282" s="101" t="str">
        <f>IF($A282="","",IFERROR(INDEX('Base Rates'!$C$5:$I$16,MATCH($I282,'Base Rates'!$B$5:$B$16,0),MATCH(MAX($J282,'Technical Premium'!$C$18),'Base Rates'!$C$3:$I$3,1)),"?"))</f>
        <v/>
      </c>
      <c r="AY282" s="102" t="str">
        <f t="shared" si="53"/>
        <v/>
      </c>
      <c r="AZ282" s="99" t="str">
        <f>IF($A282="","",IFERROR(INDEX('Make Factors'!$G$5:$G$69,MATCH($F282,'Make Factors'!$B$5:$B$69,0)),"?"))</f>
        <v/>
      </c>
      <c r="BA282" s="99" t="str">
        <f>IF($A282="","",IFERROR(INDEX('Driver Factors'!$C$6:$C$15,MATCH($R282,'Driver Factors'!$B$6:$B$15,0)),"?"))</f>
        <v/>
      </c>
      <c r="BB282" s="99" t="str">
        <f>IF($A282="","",IFERROR(INDEX('Driver Factors'!$C$19:$C$24,MATCH($S282,'Driver Factors'!$B$19:$B$24,0)),"?"))</f>
        <v/>
      </c>
      <c r="BC282" s="99" t="str">
        <f>IF($A282="","",IFERROR(INDEX('Driver Factors'!$C$28:$C$36,MATCH($T282,'Driver Factors'!$B$28:$B$36,0)),"?"))</f>
        <v/>
      </c>
      <c r="BD282" s="99" t="str">
        <f>IF($A282="","",IFERROR(INDEX('Claims History'!$C$6:$C$15,MATCH($U282,'Claims History'!$B$6:$B$15,0)),"?"))</f>
        <v/>
      </c>
      <c r="BE282" s="99" t="str">
        <f>IF($A282="","",IFERROR(INDEX('Territory Factors'!$E$6:$E$56,MATCH($K282,'Territory Factors'!$B$6:$B$56,0)),"?"))</f>
        <v/>
      </c>
      <c r="BF282" s="99" t="str">
        <f>IF($A282="","",IFERROR(INDEX('City Accident Ratings'!$G$6:$G$54,MATCH($Z282,'City Accident Ratings'!$B$6:$B$54,0)),"?"))</f>
        <v/>
      </c>
      <c r="BG282" s="99" t="str">
        <f>IF($A282="","",IFERROR(INDEX('Usage and Coverage'!$D$6:$D$20,MATCH($N282,'Usage and Coverage'!$C$6:$C$20,0)),"?"))</f>
        <v/>
      </c>
      <c r="BH282" s="99" t="str">
        <f>IF($A282="","",IFERROR(INDEX('Usage and Coverage'!$C$24:$C$30,MATCH($O282,'Usage and Coverage'!$B$24:$B$30,0)),"?"))</f>
        <v/>
      </c>
      <c r="BI282" s="99" t="str">
        <f>IF($A282="","",IFERROR(INDEX('Usage and Coverage'!$C$34:$C$40,MATCH($P282,'Usage and Coverage'!$B$34:$B$40,0)),"?"))</f>
        <v/>
      </c>
      <c r="BJ282" s="99" t="str">
        <f>IF($A282="","",IFERROR(INDEX('Usage and Coverage'!$C$44:$C$49,MATCH($Q282,'Usage and Coverage'!$B$44:$B$49,0)),"?"))</f>
        <v/>
      </c>
      <c r="BK282" s="99" t="str">
        <f>IF($A282="","",IFERROR(INDEX(Deductibles!$C$6:$I$15,MATCH($W282,Deductibles!$B$6:$B$15,0),MATCH(MAX($J282,'Technical Premium'!$C$18),'Base Rates'!$C$3:$I$3,1)),"?"))</f>
        <v/>
      </c>
      <c r="BL282" s="99" t="str">
        <f>IF($A282="","",IFERROR(INDEX('Usage and Coverage'!$C$63:$C$66,MATCH($X282,'Usage and Coverage'!$B$63:$B$66,0)),"?"))</f>
        <v/>
      </c>
      <c r="BM282" s="99" t="str">
        <f>IF($A282="","",IFERROR(INDEX('Usage and Coverage'!$C$70:$C$75,MATCH($V282,'Usage and Coverage'!$B$70:$B$75,0)),"?"))</f>
        <v/>
      </c>
      <c r="BN282" s="99" t="str">
        <f>IF($A282="","",IF($AB282="",1,IFERROR(INDEX(Deductibles!$C$48:$C$51,MATCH($AB282,Deductibles!$B$48:$B$51,0)),"?")))</f>
        <v/>
      </c>
      <c r="BO282" s="99" t="str">
        <f>IF($A282="","",IF($AC282="",1,IFERROR(INDEX(Deductibles!$C$55:$C$57,MATCH($AC282,Deductibles!$B$55:$B$57,0)),"?")))</f>
        <v/>
      </c>
      <c r="BP282" s="99" t="str">
        <f>IF($A282="","",IF($AD282="",1,IFERROR(INDEX(Deductibles!$C$61:$C$63,MATCH($AD282,Deductibles!$B$61:$B$63,0)),"?")))</f>
        <v/>
      </c>
      <c r="BQ282" s="99" t="str">
        <f>IF($A282="","",IF($AE282="",1,IFERROR(INDEX(Deductibles!$C$67:$C$69,MATCH($AE282,Deductibles!$B$67:$B$69,0)),"?")))</f>
        <v/>
      </c>
      <c r="BR282" s="99" t="str">
        <f>IF($A282="","",IF($AF282="",1,IFERROR(INDEX(Deductibles!$C$73:$C$74,MATCH($AF282,Deductibles!$B$73:$B$74,0)),"?")))</f>
        <v/>
      </c>
      <c r="BS282" s="99" t="str">
        <f>IF($A282="","",IF($AG282="",1,IFERROR(INDEX('Sublimits and Parts'!$C$49:$C$52,MATCH($AG282,'Sublimits and Parts'!$B$49:$B$52,0)),"?")))</f>
        <v/>
      </c>
      <c r="BT282" s="99" t="str">
        <f>IF($A282="","",IF($AH282="",1,IFERROR(INDEX('Sublimits and Parts'!$C$56:$C$60,MATCH($AH282,'Sublimits and Parts'!$B$56:$B$60,0)),"?")))</f>
        <v/>
      </c>
      <c r="BU282" s="99" t="str">
        <f>IF($A282="","",IF($AI282="",1,IFERROR(INDEX('Sublimits and Parts'!$C$64:$C$67,MATCH($AI282,'Sublimits and Parts'!$B$64:$B$67,0)),"?")))</f>
        <v/>
      </c>
      <c r="BV282" s="99" t="str">
        <f>IF($A282="","",IF($AJ282="",1,IFERROR(INDEX('Sublimits and Parts'!$C$71:$C$74,MATCH($AJ282,'Sublimits and Parts'!$B$71:$B$74,0)),"?")))</f>
        <v/>
      </c>
      <c r="BW282" s="99" t="str">
        <f>IF($A282="","",IF($AK282="",1,IFERROR(INDEX('Sublimits and Parts'!$C$78:$C$80,MATCH($AK282,'Sublimits and Parts'!$B$78:$B$80,0)),"?")))</f>
        <v/>
      </c>
      <c r="BX282" s="99" t="str">
        <f>IF($A282="","",IF($AL282="",1,IFERROR(INDEX('Sublimits and Parts'!$C$84:$C$87,MATCH($AL282,'Sublimits and Parts'!$B$84:$B$87,0)),"?")))</f>
        <v/>
      </c>
      <c r="BY282" s="99" t="str">
        <f>IF($A282="","",IF($AM282="",1,IFERROR(INDEX('Sublimits and Parts'!$C$91:$C$94,MATCH($AM282,'Sublimits and Parts'!$B$91:$B$94,0)),"?")))</f>
        <v/>
      </c>
      <c r="BZ282" s="99" t="str">
        <f>IF($A282="","",IF($AN282="",1,IFERROR(INDEX('Sublimits and Parts'!$C$98:$C$101,MATCH($AN282,'Sublimits and Parts'!$B$98:$B$101,0)),"?")))</f>
        <v/>
      </c>
      <c r="CA282" s="99" t="str">
        <f>IF($A282="","",IF($AO282="",1,IFERROR(INDEX('Sublimits and Parts'!$C$105:$C$109,MATCH($AO282,'Sublimits and Parts'!$B$105:$B$109,0)),"?")))</f>
        <v/>
      </c>
      <c r="CB282" s="100" t="str">
        <f t="shared" si="54"/>
        <v/>
      </c>
      <c r="CC282" s="100" t="str">
        <f t="shared" si="55"/>
        <v/>
      </c>
      <c r="CD282" s="103" t="str">
        <f>IF($A282="","",IF(OR($CB282="?",$CC282="?"),"?",MIN($CB282*$CC282,'Technical Premium'!$C$17)))</f>
        <v/>
      </c>
      <c r="CE282" s="102" t="str">
        <f t="shared" si="56"/>
        <v/>
      </c>
      <c r="CF282" s="102" t="str">
        <f>IF($A282="","",IFERROR(INDEX('Territory Factors'!$F$6:$F$56,MATCH($K282,'Territory Factors'!$B$6:$B$56,0)),"?"))</f>
        <v/>
      </c>
      <c r="CG282" s="100" t="str">
        <f>IF($A282="","",IFERROR(INDEX('Usage and Coverage'!$C$79:$C$84,MATCH($Y282,'Usage and Coverage'!$B$79:$B$84,0)),"?"))</f>
        <v/>
      </c>
      <c r="CH282" s="102" t="str">
        <f>IFERROR(IF(ISNUMBER($CD282),$CF282*$CG282*MIN($BG282*$BA282*$BC282*$BD282*$BH282*$BF282,'Technical Premium'!$C$17),""),"")</f>
        <v/>
      </c>
      <c r="CI282" s="102" t="str">
        <f t="shared" si="57"/>
        <v/>
      </c>
      <c r="CJ282" s="102" t="str">
        <f>IFERROR($CI282*(1+'Technical Premium'!$C$5)*(1+'Technical Premium'!$C$6),"")</f>
        <v/>
      </c>
      <c r="CK282" s="102" t="str">
        <f>IFERROR($CE282*INDEX('Territory Factors'!$G$6:$G$56,MATCH($K282,'Territory Factors'!$B$6:$B$56,0))*$AU282*$AV282,"")</f>
        <v/>
      </c>
      <c r="CL282" s="102" t="str">
        <f>IFERROR(($CJ282+$CK282)*(1+'Technical Premium'!$C$7),"")</f>
        <v/>
      </c>
      <c r="CM282" s="104" t="str">
        <f>IFERROR($CL282/'Technical Premium'!$C$13,"")</f>
        <v/>
      </c>
      <c r="CN282" s="105" t="str">
        <f t="shared" si="58"/>
        <v/>
      </c>
      <c r="CO282" s="104" t="str">
        <f t="shared" si="59"/>
        <v/>
      </c>
      <c r="CP282" s="105" t="str">
        <f t="shared" si="60"/>
        <v/>
      </c>
      <c r="CQ282" s="106" t="str">
        <f t="shared" si="61"/>
        <v/>
      </c>
      <c r="CR282" s="102" t="str">
        <f>IF(ISNUMBER($CM282),'Technical Premium'!$C$14+IF($J282&gt;=1000000,'Technical Premium'!$C$15,0),"")</f>
        <v/>
      </c>
      <c r="CS282" s="102" t="str">
        <f>IFERROR(($CO282+$CR282)*(INDEX('Territory Factors'!$K$6:$K$56,MATCH($K282,'Territory Factors'!$B$6:$B$56,0))+'Commission Structure'!$C$21),"")</f>
        <v/>
      </c>
      <c r="CT282" s="104" t="str">
        <f t="shared" si="62"/>
        <v/>
      </c>
      <c r="CU282" s="102" t="str">
        <f>IFERROR($CO282*('Commission Structure'!$C$6+'Commission Structure'!$C$7),"")</f>
        <v/>
      </c>
      <c r="CV282" s="102" t="str">
        <f>IFERROR($CO282*'Commission Structure'!$C$5-$CU282,"")</f>
        <v/>
      </c>
      <c r="CW282" s="102" t="str">
        <f>IFERROR($CO282*(1-'Commission Structure'!$C$5),"")</f>
        <v/>
      </c>
      <c r="CX282" s="107"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8" t="str">
        <f t="shared" si="63"/>
        <v/>
      </c>
      <c r="CZ282" s="99" t="str">
        <f>IF($CY282="","",IF($CY282&lt;'Technical Premium'!$C$19,"BEYOND AUTHORITY",IF($CY282&gt;0.005,"Above technical",IF($CY282&lt;-0.005,"BELOW technical","At technical"))))</f>
        <v/>
      </c>
      <c r="DA282" s="99"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4"/>
      <c r="DC282" s="94"/>
      <c r="DD282" s="95"/>
      <c r="DE282" s="94"/>
      <c r="DF282" s="94"/>
      <c r="DG282" s="99" t="str">
        <f t="shared" si="64"/>
        <v/>
      </c>
      <c r="DH282" s="99" t="str">
        <f>IF($A282="","",IF(OR($CX282="REFER",$CX282="DECLINE"),COUNTIF($CX$5:$CX282,"REFER")+COUNTIF($CX$5:$CX282,"DECLINE"),""))</f>
        <v/>
      </c>
      <c r="DI282" s="94"/>
    </row>
    <row r="283" spans="1:113" x14ac:dyDescent="0.35">
      <c r="A283" s="94"/>
      <c r="B283" s="94"/>
      <c r="C283" s="95"/>
      <c r="D283" s="95"/>
      <c r="E283" s="96"/>
      <c r="F283" s="94"/>
      <c r="G283" s="94"/>
      <c r="H283" s="94"/>
      <c r="I283" s="94"/>
      <c r="J283" s="97"/>
      <c r="K283" s="94"/>
      <c r="L283" s="94"/>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8"/>
      <c r="AR283" s="99" t="str">
        <f t="shared" si="52"/>
        <v/>
      </c>
      <c r="AS283" s="99" t="str">
        <f>IF($A283="","",IF($AP283&lt;&gt;"",$AP283,IFERROR(INDEX('Cat Zone by ZIP'!$D$6:$D$856,MATCH($AR283,'Cat Zone by ZIP'!$B$6:$B$856,0)),IFERROR(INDEX('Cat Zone by ZIP'!$C$860:$C$910,MATCH($K283,'Cat Zone by ZIP'!$B$860:$B$910,0)),"NOT FOUND"))))</f>
        <v/>
      </c>
      <c r="AT283" s="99" t="str">
        <f>IF($A283="","",IF($AP283&lt;&gt;"","Override",IF(ISNUMBER(MATCH($AR283,'Cat Zone by ZIP'!$B$6:$B$856,0)),"ZIP-3","State default")))</f>
        <v/>
      </c>
      <c r="AU283" s="100" t="str">
        <f>IF($A283="","",IFERROR(INDEX('Natural Catastrophe'!$D$6:$D$17,MATCH($AS283,'Natural Catastrophe'!$B$6:$B$17,0)),"?"))</f>
        <v/>
      </c>
      <c r="AV283" s="100" t="str">
        <f>IF($A283="","",IFERROR(INDEX('Natural Catastrophe'!$C$21:$C$26,MATCH($AA283,'Natural Catastrophe'!$B$21:$B$26,0)),"?"))</f>
        <v/>
      </c>
      <c r="AW283" s="99" t="str">
        <f>IF($A283="","",IFERROR(INDEX('Base Rates'!$C$4:$I$4,MATCH(MAX($J283,'Technical Premium'!$C$18),'Base Rates'!$C$3:$I$3,1)),"?"))</f>
        <v/>
      </c>
      <c r="AX283" s="101" t="str">
        <f>IF($A283="","",IFERROR(INDEX('Base Rates'!$C$5:$I$16,MATCH($I283,'Base Rates'!$B$5:$B$16,0),MATCH(MAX($J283,'Technical Premium'!$C$18),'Base Rates'!$C$3:$I$3,1)),"?"))</f>
        <v/>
      </c>
      <c r="AY283" s="102" t="str">
        <f t="shared" si="53"/>
        <v/>
      </c>
      <c r="AZ283" s="99" t="str">
        <f>IF($A283="","",IFERROR(INDEX('Make Factors'!$G$5:$G$69,MATCH($F283,'Make Factors'!$B$5:$B$69,0)),"?"))</f>
        <v/>
      </c>
      <c r="BA283" s="99" t="str">
        <f>IF($A283="","",IFERROR(INDEX('Driver Factors'!$C$6:$C$15,MATCH($R283,'Driver Factors'!$B$6:$B$15,0)),"?"))</f>
        <v/>
      </c>
      <c r="BB283" s="99" t="str">
        <f>IF($A283="","",IFERROR(INDEX('Driver Factors'!$C$19:$C$24,MATCH($S283,'Driver Factors'!$B$19:$B$24,0)),"?"))</f>
        <v/>
      </c>
      <c r="BC283" s="99" t="str">
        <f>IF($A283="","",IFERROR(INDEX('Driver Factors'!$C$28:$C$36,MATCH($T283,'Driver Factors'!$B$28:$B$36,0)),"?"))</f>
        <v/>
      </c>
      <c r="BD283" s="99" t="str">
        <f>IF($A283="","",IFERROR(INDEX('Claims History'!$C$6:$C$15,MATCH($U283,'Claims History'!$B$6:$B$15,0)),"?"))</f>
        <v/>
      </c>
      <c r="BE283" s="99" t="str">
        <f>IF($A283="","",IFERROR(INDEX('Territory Factors'!$E$6:$E$56,MATCH($K283,'Territory Factors'!$B$6:$B$56,0)),"?"))</f>
        <v/>
      </c>
      <c r="BF283" s="99" t="str">
        <f>IF($A283="","",IFERROR(INDEX('City Accident Ratings'!$G$6:$G$54,MATCH($Z283,'City Accident Ratings'!$B$6:$B$54,0)),"?"))</f>
        <v/>
      </c>
      <c r="BG283" s="99" t="str">
        <f>IF($A283="","",IFERROR(INDEX('Usage and Coverage'!$D$6:$D$20,MATCH($N283,'Usage and Coverage'!$C$6:$C$20,0)),"?"))</f>
        <v/>
      </c>
      <c r="BH283" s="99" t="str">
        <f>IF($A283="","",IFERROR(INDEX('Usage and Coverage'!$C$24:$C$30,MATCH($O283,'Usage and Coverage'!$B$24:$B$30,0)),"?"))</f>
        <v/>
      </c>
      <c r="BI283" s="99" t="str">
        <f>IF($A283="","",IFERROR(INDEX('Usage and Coverage'!$C$34:$C$40,MATCH($P283,'Usage and Coverage'!$B$34:$B$40,0)),"?"))</f>
        <v/>
      </c>
      <c r="BJ283" s="99" t="str">
        <f>IF($A283="","",IFERROR(INDEX('Usage and Coverage'!$C$44:$C$49,MATCH($Q283,'Usage and Coverage'!$B$44:$B$49,0)),"?"))</f>
        <v/>
      </c>
      <c r="BK283" s="99" t="str">
        <f>IF($A283="","",IFERROR(INDEX(Deductibles!$C$6:$I$15,MATCH($W283,Deductibles!$B$6:$B$15,0),MATCH(MAX($J283,'Technical Premium'!$C$18),'Base Rates'!$C$3:$I$3,1)),"?"))</f>
        <v/>
      </c>
      <c r="BL283" s="99" t="str">
        <f>IF($A283="","",IFERROR(INDEX('Usage and Coverage'!$C$63:$C$66,MATCH($X283,'Usage and Coverage'!$B$63:$B$66,0)),"?"))</f>
        <v/>
      </c>
      <c r="BM283" s="99" t="str">
        <f>IF($A283="","",IFERROR(INDEX('Usage and Coverage'!$C$70:$C$75,MATCH($V283,'Usage and Coverage'!$B$70:$B$75,0)),"?"))</f>
        <v/>
      </c>
      <c r="BN283" s="99" t="str">
        <f>IF($A283="","",IF($AB283="",1,IFERROR(INDEX(Deductibles!$C$48:$C$51,MATCH($AB283,Deductibles!$B$48:$B$51,0)),"?")))</f>
        <v/>
      </c>
      <c r="BO283" s="99" t="str">
        <f>IF($A283="","",IF($AC283="",1,IFERROR(INDEX(Deductibles!$C$55:$C$57,MATCH($AC283,Deductibles!$B$55:$B$57,0)),"?")))</f>
        <v/>
      </c>
      <c r="BP283" s="99" t="str">
        <f>IF($A283="","",IF($AD283="",1,IFERROR(INDEX(Deductibles!$C$61:$C$63,MATCH($AD283,Deductibles!$B$61:$B$63,0)),"?")))</f>
        <v/>
      </c>
      <c r="BQ283" s="99" t="str">
        <f>IF($A283="","",IF($AE283="",1,IFERROR(INDEX(Deductibles!$C$67:$C$69,MATCH($AE283,Deductibles!$B$67:$B$69,0)),"?")))</f>
        <v/>
      </c>
      <c r="BR283" s="99" t="str">
        <f>IF($A283="","",IF($AF283="",1,IFERROR(INDEX(Deductibles!$C$73:$C$74,MATCH($AF283,Deductibles!$B$73:$B$74,0)),"?")))</f>
        <v/>
      </c>
      <c r="BS283" s="99" t="str">
        <f>IF($A283="","",IF($AG283="",1,IFERROR(INDEX('Sublimits and Parts'!$C$49:$C$52,MATCH($AG283,'Sublimits and Parts'!$B$49:$B$52,0)),"?")))</f>
        <v/>
      </c>
      <c r="BT283" s="99" t="str">
        <f>IF($A283="","",IF($AH283="",1,IFERROR(INDEX('Sublimits and Parts'!$C$56:$C$60,MATCH($AH283,'Sublimits and Parts'!$B$56:$B$60,0)),"?")))</f>
        <v/>
      </c>
      <c r="BU283" s="99" t="str">
        <f>IF($A283="","",IF($AI283="",1,IFERROR(INDEX('Sublimits and Parts'!$C$64:$C$67,MATCH($AI283,'Sublimits and Parts'!$B$64:$B$67,0)),"?")))</f>
        <v/>
      </c>
      <c r="BV283" s="99" t="str">
        <f>IF($A283="","",IF($AJ283="",1,IFERROR(INDEX('Sublimits and Parts'!$C$71:$C$74,MATCH($AJ283,'Sublimits and Parts'!$B$71:$B$74,0)),"?")))</f>
        <v/>
      </c>
      <c r="BW283" s="99" t="str">
        <f>IF($A283="","",IF($AK283="",1,IFERROR(INDEX('Sublimits and Parts'!$C$78:$C$80,MATCH($AK283,'Sublimits and Parts'!$B$78:$B$80,0)),"?")))</f>
        <v/>
      </c>
      <c r="BX283" s="99" t="str">
        <f>IF($A283="","",IF($AL283="",1,IFERROR(INDEX('Sublimits and Parts'!$C$84:$C$87,MATCH($AL283,'Sublimits and Parts'!$B$84:$B$87,0)),"?")))</f>
        <v/>
      </c>
      <c r="BY283" s="99" t="str">
        <f>IF($A283="","",IF($AM283="",1,IFERROR(INDEX('Sublimits and Parts'!$C$91:$C$94,MATCH($AM283,'Sublimits and Parts'!$B$91:$B$94,0)),"?")))</f>
        <v/>
      </c>
      <c r="BZ283" s="99" t="str">
        <f>IF($A283="","",IF($AN283="",1,IFERROR(INDEX('Sublimits and Parts'!$C$98:$C$101,MATCH($AN283,'Sublimits and Parts'!$B$98:$B$101,0)),"?")))</f>
        <v/>
      </c>
      <c r="CA283" s="99" t="str">
        <f>IF($A283="","",IF($AO283="",1,IFERROR(INDEX('Sublimits and Parts'!$C$105:$C$109,MATCH($AO283,'Sublimits and Parts'!$B$105:$B$109,0)),"?")))</f>
        <v/>
      </c>
      <c r="CB283" s="100" t="str">
        <f t="shared" si="54"/>
        <v/>
      </c>
      <c r="CC283" s="100" t="str">
        <f t="shared" si="55"/>
        <v/>
      </c>
      <c r="CD283" s="103" t="str">
        <f>IF($A283="","",IF(OR($CB283="?",$CC283="?"),"?",MIN($CB283*$CC283,'Technical Premium'!$C$17)))</f>
        <v/>
      </c>
      <c r="CE283" s="102" t="str">
        <f t="shared" si="56"/>
        <v/>
      </c>
      <c r="CF283" s="102" t="str">
        <f>IF($A283="","",IFERROR(INDEX('Territory Factors'!$F$6:$F$56,MATCH($K283,'Territory Factors'!$B$6:$B$56,0)),"?"))</f>
        <v/>
      </c>
      <c r="CG283" s="100" t="str">
        <f>IF($A283="","",IFERROR(INDEX('Usage and Coverage'!$C$79:$C$84,MATCH($Y283,'Usage and Coverage'!$B$79:$B$84,0)),"?"))</f>
        <v/>
      </c>
      <c r="CH283" s="102" t="str">
        <f>IFERROR(IF(ISNUMBER($CD283),$CF283*$CG283*MIN($BG283*$BA283*$BC283*$BD283*$BH283*$BF283,'Technical Premium'!$C$17),""),"")</f>
        <v/>
      </c>
      <c r="CI283" s="102" t="str">
        <f t="shared" si="57"/>
        <v/>
      </c>
      <c r="CJ283" s="102" t="str">
        <f>IFERROR($CI283*(1+'Technical Premium'!$C$5)*(1+'Technical Premium'!$C$6),"")</f>
        <v/>
      </c>
      <c r="CK283" s="102" t="str">
        <f>IFERROR($CE283*INDEX('Territory Factors'!$G$6:$G$56,MATCH($K283,'Territory Factors'!$B$6:$B$56,0))*$AU283*$AV283,"")</f>
        <v/>
      </c>
      <c r="CL283" s="102" t="str">
        <f>IFERROR(($CJ283+$CK283)*(1+'Technical Premium'!$C$7),"")</f>
        <v/>
      </c>
      <c r="CM283" s="104" t="str">
        <f>IFERROR($CL283/'Technical Premium'!$C$13,"")</f>
        <v/>
      </c>
      <c r="CN283" s="105" t="str">
        <f t="shared" si="58"/>
        <v/>
      </c>
      <c r="CO283" s="104" t="str">
        <f t="shared" si="59"/>
        <v/>
      </c>
      <c r="CP283" s="105" t="str">
        <f t="shared" si="60"/>
        <v/>
      </c>
      <c r="CQ283" s="106" t="str">
        <f t="shared" si="61"/>
        <v/>
      </c>
      <c r="CR283" s="102" t="str">
        <f>IF(ISNUMBER($CM283),'Technical Premium'!$C$14+IF($J283&gt;=1000000,'Technical Premium'!$C$15,0),"")</f>
        <v/>
      </c>
      <c r="CS283" s="102" t="str">
        <f>IFERROR(($CO283+$CR283)*(INDEX('Territory Factors'!$K$6:$K$56,MATCH($K283,'Territory Factors'!$B$6:$B$56,0))+'Commission Structure'!$C$21),"")</f>
        <v/>
      </c>
      <c r="CT283" s="104" t="str">
        <f t="shared" si="62"/>
        <v/>
      </c>
      <c r="CU283" s="102" t="str">
        <f>IFERROR($CO283*('Commission Structure'!$C$6+'Commission Structure'!$C$7),"")</f>
        <v/>
      </c>
      <c r="CV283" s="102" t="str">
        <f>IFERROR($CO283*'Commission Structure'!$C$5-$CU283,"")</f>
        <v/>
      </c>
      <c r="CW283" s="102" t="str">
        <f>IFERROR($CO283*(1-'Commission Structure'!$C$5),"")</f>
        <v/>
      </c>
      <c r="CX283" s="107"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8" t="str">
        <f t="shared" si="63"/>
        <v/>
      </c>
      <c r="CZ283" s="99" t="str">
        <f>IF($CY283="","",IF($CY283&lt;'Technical Premium'!$C$19,"BEYOND AUTHORITY",IF($CY283&gt;0.005,"Above technical",IF($CY283&lt;-0.005,"BELOW technical","At technical"))))</f>
        <v/>
      </c>
      <c r="DA283" s="99"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4"/>
      <c r="DC283" s="94"/>
      <c r="DD283" s="95"/>
      <c r="DE283" s="94"/>
      <c r="DF283" s="94"/>
      <c r="DG283" s="99" t="str">
        <f t="shared" si="64"/>
        <v/>
      </c>
      <c r="DH283" s="99" t="str">
        <f>IF($A283="","",IF(OR($CX283="REFER",$CX283="DECLINE"),COUNTIF($CX$5:$CX283,"REFER")+COUNTIF($CX$5:$CX283,"DECLINE"),""))</f>
        <v/>
      </c>
      <c r="DI283" s="94"/>
    </row>
    <row r="284" spans="1:113" x14ac:dyDescent="0.35">
      <c r="A284" s="94"/>
      <c r="B284" s="94"/>
      <c r="C284" s="95"/>
      <c r="D284" s="95"/>
      <c r="E284" s="96"/>
      <c r="F284" s="94"/>
      <c r="G284" s="94"/>
      <c r="H284" s="94"/>
      <c r="I284" s="94"/>
      <c r="J284" s="97"/>
      <c r="K284" s="94"/>
      <c r="L284" s="94"/>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8"/>
      <c r="AR284" s="99" t="str">
        <f t="shared" si="52"/>
        <v/>
      </c>
      <c r="AS284" s="99" t="str">
        <f>IF($A284="","",IF($AP284&lt;&gt;"",$AP284,IFERROR(INDEX('Cat Zone by ZIP'!$D$6:$D$856,MATCH($AR284,'Cat Zone by ZIP'!$B$6:$B$856,0)),IFERROR(INDEX('Cat Zone by ZIP'!$C$860:$C$910,MATCH($K284,'Cat Zone by ZIP'!$B$860:$B$910,0)),"NOT FOUND"))))</f>
        <v/>
      </c>
      <c r="AT284" s="99" t="str">
        <f>IF($A284="","",IF($AP284&lt;&gt;"","Override",IF(ISNUMBER(MATCH($AR284,'Cat Zone by ZIP'!$B$6:$B$856,0)),"ZIP-3","State default")))</f>
        <v/>
      </c>
      <c r="AU284" s="100" t="str">
        <f>IF($A284="","",IFERROR(INDEX('Natural Catastrophe'!$D$6:$D$17,MATCH($AS284,'Natural Catastrophe'!$B$6:$B$17,0)),"?"))</f>
        <v/>
      </c>
      <c r="AV284" s="100" t="str">
        <f>IF($A284="","",IFERROR(INDEX('Natural Catastrophe'!$C$21:$C$26,MATCH($AA284,'Natural Catastrophe'!$B$21:$B$26,0)),"?"))</f>
        <v/>
      </c>
      <c r="AW284" s="99" t="str">
        <f>IF($A284="","",IFERROR(INDEX('Base Rates'!$C$4:$I$4,MATCH(MAX($J284,'Technical Premium'!$C$18),'Base Rates'!$C$3:$I$3,1)),"?"))</f>
        <v/>
      </c>
      <c r="AX284" s="101" t="str">
        <f>IF($A284="","",IFERROR(INDEX('Base Rates'!$C$5:$I$16,MATCH($I284,'Base Rates'!$B$5:$B$16,0),MATCH(MAX($J284,'Technical Premium'!$C$18),'Base Rates'!$C$3:$I$3,1)),"?"))</f>
        <v/>
      </c>
      <c r="AY284" s="102" t="str">
        <f t="shared" si="53"/>
        <v/>
      </c>
      <c r="AZ284" s="99" t="str">
        <f>IF($A284="","",IFERROR(INDEX('Make Factors'!$G$5:$G$69,MATCH($F284,'Make Factors'!$B$5:$B$69,0)),"?"))</f>
        <v/>
      </c>
      <c r="BA284" s="99" t="str">
        <f>IF($A284="","",IFERROR(INDEX('Driver Factors'!$C$6:$C$15,MATCH($R284,'Driver Factors'!$B$6:$B$15,0)),"?"))</f>
        <v/>
      </c>
      <c r="BB284" s="99" t="str">
        <f>IF($A284="","",IFERROR(INDEX('Driver Factors'!$C$19:$C$24,MATCH($S284,'Driver Factors'!$B$19:$B$24,0)),"?"))</f>
        <v/>
      </c>
      <c r="BC284" s="99" t="str">
        <f>IF($A284="","",IFERROR(INDEX('Driver Factors'!$C$28:$C$36,MATCH($T284,'Driver Factors'!$B$28:$B$36,0)),"?"))</f>
        <v/>
      </c>
      <c r="BD284" s="99" t="str">
        <f>IF($A284="","",IFERROR(INDEX('Claims History'!$C$6:$C$15,MATCH($U284,'Claims History'!$B$6:$B$15,0)),"?"))</f>
        <v/>
      </c>
      <c r="BE284" s="99" t="str">
        <f>IF($A284="","",IFERROR(INDEX('Territory Factors'!$E$6:$E$56,MATCH($K284,'Territory Factors'!$B$6:$B$56,0)),"?"))</f>
        <v/>
      </c>
      <c r="BF284" s="99" t="str">
        <f>IF($A284="","",IFERROR(INDEX('City Accident Ratings'!$G$6:$G$54,MATCH($Z284,'City Accident Ratings'!$B$6:$B$54,0)),"?"))</f>
        <v/>
      </c>
      <c r="BG284" s="99" t="str">
        <f>IF($A284="","",IFERROR(INDEX('Usage and Coverage'!$D$6:$D$20,MATCH($N284,'Usage and Coverage'!$C$6:$C$20,0)),"?"))</f>
        <v/>
      </c>
      <c r="BH284" s="99" t="str">
        <f>IF($A284="","",IFERROR(INDEX('Usage and Coverage'!$C$24:$C$30,MATCH($O284,'Usage and Coverage'!$B$24:$B$30,0)),"?"))</f>
        <v/>
      </c>
      <c r="BI284" s="99" t="str">
        <f>IF($A284="","",IFERROR(INDEX('Usage and Coverage'!$C$34:$C$40,MATCH($P284,'Usage and Coverage'!$B$34:$B$40,0)),"?"))</f>
        <v/>
      </c>
      <c r="BJ284" s="99" t="str">
        <f>IF($A284="","",IFERROR(INDEX('Usage and Coverage'!$C$44:$C$49,MATCH($Q284,'Usage and Coverage'!$B$44:$B$49,0)),"?"))</f>
        <v/>
      </c>
      <c r="BK284" s="99" t="str">
        <f>IF($A284="","",IFERROR(INDEX(Deductibles!$C$6:$I$15,MATCH($W284,Deductibles!$B$6:$B$15,0),MATCH(MAX($J284,'Technical Premium'!$C$18),'Base Rates'!$C$3:$I$3,1)),"?"))</f>
        <v/>
      </c>
      <c r="BL284" s="99" t="str">
        <f>IF($A284="","",IFERROR(INDEX('Usage and Coverage'!$C$63:$C$66,MATCH($X284,'Usage and Coverage'!$B$63:$B$66,0)),"?"))</f>
        <v/>
      </c>
      <c r="BM284" s="99" t="str">
        <f>IF($A284="","",IFERROR(INDEX('Usage and Coverage'!$C$70:$C$75,MATCH($V284,'Usage and Coverage'!$B$70:$B$75,0)),"?"))</f>
        <v/>
      </c>
      <c r="BN284" s="99" t="str">
        <f>IF($A284="","",IF($AB284="",1,IFERROR(INDEX(Deductibles!$C$48:$C$51,MATCH($AB284,Deductibles!$B$48:$B$51,0)),"?")))</f>
        <v/>
      </c>
      <c r="BO284" s="99" t="str">
        <f>IF($A284="","",IF($AC284="",1,IFERROR(INDEX(Deductibles!$C$55:$C$57,MATCH($AC284,Deductibles!$B$55:$B$57,0)),"?")))</f>
        <v/>
      </c>
      <c r="BP284" s="99" t="str">
        <f>IF($A284="","",IF($AD284="",1,IFERROR(INDEX(Deductibles!$C$61:$C$63,MATCH($AD284,Deductibles!$B$61:$B$63,0)),"?")))</f>
        <v/>
      </c>
      <c r="BQ284" s="99" t="str">
        <f>IF($A284="","",IF($AE284="",1,IFERROR(INDEX(Deductibles!$C$67:$C$69,MATCH($AE284,Deductibles!$B$67:$B$69,0)),"?")))</f>
        <v/>
      </c>
      <c r="BR284" s="99" t="str">
        <f>IF($A284="","",IF($AF284="",1,IFERROR(INDEX(Deductibles!$C$73:$C$74,MATCH($AF284,Deductibles!$B$73:$B$74,0)),"?")))</f>
        <v/>
      </c>
      <c r="BS284" s="99" t="str">
        <f>IF($A284="","",IF($AG284="",1,IFERROR(INDEX('Sublimits and Parts'!$C$49:$C$52,MATCH($AG284,'Sublimits and Parts'!$B$49:$B$52,0)),"?")))</f>
        <v/>
      </c>
      <c r="BT284" s="99" t="str">
        <f>IF($A284="","",IF($AH284="",1,IFERROR(INDEX('Sublimits and Parts'!$C$56:$C$60,MATCH($AH284,'Sublimits and Parts'!$B$56:$B$60,0)),"?")))</f>
        <v/>
      </c>
      <c r="BU284" s="99" t="str">
        <f>IF($A284="","",IF($AI284="",1,IFERROR(INDEX('Sublimits and Parts'!$C$64:$C$67,MATCH($AI284,'Sublimits and Parts'!$B$64:$B$67,0)),"?")))</f>
        <v/>
      </c>
      <c r="BV284" s="99" t="str">
        <f>IF($A284="","",IF($AJ284="",1,IFERROR(INDEX('Sublimits and Parts'!$C$71:$C$74,MATCH($AJ284,'Sublimits and Parts'!$B$71:$B$74,0)),"?")))</f>
        <v/>
      </c>
      <c r="BW284" s="99" t="str">
        <f>IF($A284="","",IF($AK284="",1,IFERROR(INDEX('Sublimits and Parts'!$C$78:$C$80,MATCH($AK284,'Sublimits and Parts'!$B$78:$B$80,0)),"?")))</f>
        <v/>
      </c>
      <c r="BX284" s="99" t="str">
        <f>IF($A284="","",IF($AL284="",1,IFERROR(INDEX('Sublimits and Parts'!$C$84:$C$87,MATCH($AL284,'Sublimits and Parts'!$B$84:$B$87,0)),"?")))</f>
        <v/>
      </c>
      <c r="BY284" s="99" t="str">
        <f>IF($A284="","",IF($AM284="",1,IFERROR(INDEX('Sublimits and Parts'!$C$91:$C$94,MATCH($AM284,'Sublimits and Parts'!$B$91:$B$94,0)),"?")))</f>
        <v/>
      </c>
      <c r="BZ284" s="99" t="str">
        <f>IF($A284="","",IF($AN284="",1,IFERROR(INDEX('Sublimits and Parts'!$C$98:$C$101,MATCH($AN284,'Sublimits and Parts'!$B$98:$B$101,0)),"?")))</f>
        <v/>
      </c>
      <c r="CA284" s="99" t="str">
        <f>IF($A284="","",IF($AO284="",1,IFERROR(INDEX('Sublimits and Parts'!$C$105:$C$109,MATCH($AO284,'Sublimits and Parts'!$B$105:$B$109,0)),"?")))</f>
        <v/>
      </c>
      <c r="CB284" s="100" t="str">
        <f t="shared" si="54"/>
        <v/>
      </c>
      <c r="CC284" s="100" t="str">
        <f t="shared" si="55"/>
        <v/>
      </c>
      <c r="CD284" s="103" t="str">
        <f>IF($A284="","",IF(OR($CB284="?",$CC284="?"),"?",MIN($CB284*$CC284,'Technical Premium'!$C$17)))</f>
        <v/>
      </c>
      <c r="CE284" s="102" t="str">
        <f t="shared" si="56"/>
        <v/>
      </c>
      <c r="CF284" s="102" t="str">
        <f>IF($A284="","",IFERROR(INDEX('Territory Factors'!$F$6:$F$56,MATCH($K284,'Territory Factors'!$B$6:$B$56,0)),"?"))</f>
        <v/>
      </c>
      <c r="CG284" s="100" t="str">
        <f>IF($A284="","",IFERROR(INDEX('Usage and Coverage'!$C$79:$C$84,MATCH($Y284,'Usage and Coverage'!$B$79:$B$84,0)),"?"))</f>
        <v/>
      </c>
      <c r="CH284" s="102" t="str">
        <f>IFERROR(IF(ISNUMBER($CD284),$CF284*$CG284*MIN($BG284*$BA284*$BC284*$BD284*$BH284*$BF284,'Technical Premium'!$C$17),""),"")</f>
        <v/>
      </c>
      <c r="CI284" s="102" t="str">
        <f t="shared" si="57"/>
        <v/>
      </c>
      <c r="CJ284" s="102" t="str">
        <f>IFERROR($CI284*(1+'Technical Premium'!$C$5)*(1+'Technical Premium'!$C$6),"")</f>
        <v/>
      </c>
      <c r="CK284" s="102" t="str">
        <f>IFERROR($CE284*INDEX('Territory Factors'!$G$6:$G$56,MATCH($K284,'Territory Factors'!$B$6:$B$56,0))*$AU284*$AV284,"")</f>
        <v/>
      </c>
      <c r="CL284" s="102" t="str">
        <f>IFERROR(($CJ284+$CK284)*(1+'Technical Premium'!$C$7),"")</f>
        <v/>
      </c>
      <c r="CM284" s="104" t="str">
        <f>IFERROR($CL284/'Technical Premium'!$C$13,"")</f>
        <v/>
      </c>
      <c r="CN284" s="105" t="str">
        <f t="shared" si="58"/>
        <v/>
      </c>
      <c r="CO284" s="104" t="str">
        <f t="shared" si="59"/>
        <v/>
      </c>
      <c r="CP284" s="105" t="str">
        <f t="shared" si="60"/>
        <v/>
      </c>
      <c r="CQ284" s="106" t="str">
        <f t="shared" si="61"/>
        <v/>
      </c>
      <c r="CR284" s="102" t="str">
        <f>IF(ISNUMBER($CM284),'Technical Premium'!$C$14+IF($J284&gt;=1000000,'Technical Premium'!$C$15,0),"")</f>
        <v/>
      </c>
      <c r="CS284" s="102" t="str">
        <f>IFERROR(($CO284+$CR284)*(INDEX('Territory Factors'!$K$6:$K$56,MATCH($K284,'Territory Factors'!$B$6:$B$56,0))+'Commission Structure'!$C$21),"")</f>
        <v/>
      </c>
      <c r="CT284" s="104" t="str">
        <f t="shared" si="62"/>
        <v/>
      </c>
      <c r="CU284" s="102" t="str">
        <f>IFERROR($CO284*('Commission Structure'!$C$6+'Commission Structure'!$C$7),"")</f>
        <v/>
      </c>
      <c r="CV284" s="102" t="str">
        <f>IFERROR($CO284*'Commission Structure'!$C$5-$CU284,"")</f>
        <v/>
      </c>
      <c r="CW284" s="102" t="str">
        <f>IFERROR($CO284*(1-'Commission Structure'!$C$5),"")</f>
        <v/>
      </c>
      <c r="CX284" s="107"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8" t="str">
        <f t="shared" si="63"/>
        <v/>
      </c>
      <c r="CZ284" s="99" t="str">
        <f>IF($CY284="","",IF($CY284&lt;'Technical Premium'!$C$19,"BEYOND AUTHORITY",IF($CY284&gt;0.005,"Above technical",IF($CY284&lt;-0.005,"BELOW technical","At technical"))))</f>
        <v/>
      </c>
      <c r="DA284" s="99"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4"/>
      <c r="DC284" s="94"/>
      <c r="DD284" s="95"/>
      <c r="DE284" s="94"/>
      <c r="DF284" s="94"/>
      <c r="DG284" s="99" t="str">
        <f t="shared" si="64"/>
        <v/>
      </c>
      <c r="DH284" s="99" t="str">
        <f>IF($A284="","",IF(OR($CX284="REFER",$CX284="DECLINE"),COUNTIF($CX$5:$CX284,"REFER")+COUNTIF($CX$5:$CX284,"DECLINE"),""))</f>
        <v/>
      </c>
      <c r="DI284" s="94"/>
    </row>
    <row r="285" spans="1:113" x14ac:dyDescent="0.35">
      <c r="A285" s="94"/>
      <c r="B285" s="94"/>
      <c r="C285" s="95"/>
      <c r="D285" s="95"/>
      <c r="E285" s="96"/>
      <c r="F285" s="94"/>
      <c r="G285" s="94"/>
      <c r="H285" s="94"/>
      <c r="I285" s="94"/>
      <c r="J285" s="97"/>
      <c r="K285" s="94"/>
      <c r="L285" s="94"/>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8"/>
      <c r="AR285" s="99" t="str">
        <f t="shared" si="52"/>
        <v/>
      </c>
      <c r="AS285" s="99" t="str">
        <f>IF($A285="","",IF($AP285&lt;&gt;"",$AP285,IFERROR(INDEX('Cat Zone by ZIP'!$D$6:$D$856,MATCH($AR285,'Cat Zone by ZIP'!$B$6:$B$856,0)),IFERROR(INDEX('Cat Zone by ZIP'!$C$860:$C$910,MATCH($K285,'Cat Zone by ZIP'!$B$860:$B$910,0)),"NOT FOUND"))))</f>
        <v/>
      </c>
      <c r="AT285" s="99" t="str">
        <f>IF($A285="","",IF($AP285&lt;&gt;"","Override",IF(ISNUMBER(MATCH($AR285,'Cat Zone by ZIP'!$B$6:$B$856,0)),"ZIP-3","State default")))</f>
        <v/>
      </c>
      <c r="AU285" s="100" t="str">
        <f>IF($A285="","",IFERROR(INDEX('Natural Catastrophe'!$D$6:$D$17,MATCH($AS285,'Natural Catastrophe'!$B$6:$B$17,0)),"?"))</f>
        <v/>
      </c>
      <c r="AV285" s="100" t="str">
        <f>IF($A285="","",IFERROR(INDEX('Natural Catastrophe'!$C$21:$C$26,MATCH($AA285,'Natural Catastrophe'!$B$21:$B$26,0)),"?"))</f>
        <v/>
      </c>
      <c r="AW285" s="99" t="str">
        <f>IF($A285="","",IFERROR(INDEX('Base Rates'!$C$4:$I$4,MATCH(MAX($J285,'Technical Premium'!$C$18),'Base Rates'!$C$3:$I$3,1)),"?"))</f>
        <v/>
      </c>
      <c r="AX285" s="101" t="str">
        <f>IF($A285="","",IFERROR(INDEX('Base Rates'!$C$5:$I$16,MATCH($I285,'Base Rates'!$B$5:$B$16,0),MATCH(MAX($J285,'Technical Premium'!$C$18),'Base Rates'!$C$3:$I$3,1)),"?"))</f>
        <v/>
      </c>
      <c r="AY285" s="102" t="str">
        <f t="shared" si="53"/>
        <v/>
      </c>
      <c r="AZ285" s="99" t="str">
        <f>IF($A285="","",IFERROR(INDEX('Make Factors'!$G$5:$G$69,MATCH($F285,'Make Factors'!$B$5:$B$69,0)),"?"))</f>
        <v/>
      </c>
      <c r="BA285" s="99" t="str">
        <f>IF($A285="","",IFERROR(INDEX('Driver Factors'!$C$6:$C$15,MATCH($R285,'Driver Factors'!$B$6:$B$15,0)),"?"))</f>
        <v/>
      </c>
      <c r="BB285" s="99" t="str">
        <f>IF($A285="","",IFERROR(INDEX('Driver Factors'!$C$19:$C$24,MATCH($S285,'Driver Factors'!$B$19:$B$24,0)),"?"))</f>
        <v/>
      </c>
      <c r="BC285" s="99" t="str">
        <f>IF($A285="","",IFERROR(INDEX('Driver Factors'!$C$28:$C$36,MATCH($T285,'Driver Factors'!$B$28:$B$36,0)),"?"))</f>
        <v/>
      </c>
      <c r="BD285" s="99" t="str">
        <f>IF($A285="","",IFERROR(INDEX('Claims History'!$C$6:$C$15,MATCH($U285,'Claims History'!$B$6:$B$15,0)),"?"))</f>
        <v/>
      </c>
      <c r="BE285" s="99" t="str">
        <f>IF($A285="","",IFERROR(INDEX('Territory Factors'!$E$6:$E$56,MATCH($K285,'Territory Factors'!$B$6:$B$56,0)),"?"))</f>
        <v/>
      </c>
      <c r="BF285" s="99" t="str">
        <f>IF($A285="","",IFERROR(INDEX('City Accident Ratings'!$G$6:$G$54,MATCH($Z285,'City Accident Ratings'!$B$6:$B$54,0)),"?"))</f>
        <v/>
      </c>
      <c r="BG285" s="99" t="str">
        <f>IF($A285="","",IFERROR(INDEX('Usage and Coverage'!$D$6:$D$20,MATCH($N285,'Usage and Coverage'!$C$6:$C$20,0)),"?"))</f>
        <v/>
      </c>
      <c r="BH285" s="99" t="str">
        <f>IF($A285="","",IFERROR(INDEX('Usage and Coverage'!$C$24:$C$30,MATCH($O285,'Usage and Coverage'!$B$24:$B$30,0)),"?"))</f>
        <v/>
      </c>
      <c r="BI285" s="99" t="str">
        <f>IF($A285="","",IFERROR(INDEX('Usage and Coverage'!$C$34:$C$40,MATCH($P285,'Usage and Coverage'!$B$34:$B$40,0)),"?"))</f>
        <v/>
      </c>
      <c r="BJ285" s="99" t="str">
        <f>IF($A285="","",IFERROR(INDEX('Usage and Coverage'!$C$44:$C$49,MATCH($Q285,'Usage and Coverage'!$B$44:$B$49,0)),"?"))</f>
        <v/>
      </c>
      <c r="BK285" s="99" t="str">
        <f>IF($A285="","",IFERROR(INDEX(Deductibles!$C$6:$I$15,MATCH($W285,Deductibles!$B$6:$B$15,0),MATCH(MAX($J285,'Technical Premium'!$C$18),'Base Rates'!$C$3:$I$3,1)),"?"))</f>
        <v/>
      </c>
      <c r="BL285" s="99" t="str">
        <f>IF($A285="","",IFERROR(INDEX('Usage and Coverage'!$C$63:$C$66,MATCH($X285,'Usage and Coverage'!$B$63:$B$66,0)),"?"))</f>
        <v/>
      </c>
      <c r="BM285" s="99" t="str">
        <f>IF($A285="","",IFERROR(INDEX('Usage and Coverage'!$C$70:$C$75,MATCH($V285,'Usage and Coverage'!$B$70:$B$75,0)),"?"))</f>
        <v/>
      </c>
      <c r="BN285" s="99" t="str">
        <f>IF($A285="","",IF($AB285="",1,IFERROR(INDEX(Deductibles!$C$48:$C$51,MATCH($AB285,Deductibles!$B$48:$B$51,0)),"?")))</f>
        <v/>
      </c>
      <c r="BO285" s="99" t="str">
        <f>IF($A285="","",IF($AC285="",1,IFERROR(INDEX(Deductibles!$C$55:$C$57,MATCH($AC285,Deductibles!$B$55:$B$57,0)),"?")))</f>
        <v/>
      </c>
      <c r="BP285" s="99" t="str">
        <f>IF($A285="","",IF($AD285="",1,IFERROR(INDEX(Deductibles!$C$61:$C$63,MATCH($AD285,Deductibles!$B$61:$B$63,0)),"?")))</f>
        <v/>
      </c>
      <c r="BQ285" s="99" t="str">
        <f>IF($A285="","",IF($AE285="",1,IFERROR(INDEX(Deductibles!$C$67:$C$69,MATCH($AE285,Deductibles!$B$67:$B$69,0)),"?")))</f>
        <v/>
      </c>
      <c r="BR285" s="99" t="str">
        <f>IF($A285="","",IF($AF285="",1,IFERROR(INDEX(Deductibles!$C$73:$C$74,MATCH($AF285,Deductibles!$B$73:$B$74,0)),"?")))</f>
        <v/>
      </c>
      <c r="BS285" s="99" t="str">
        <f>IF($A285="","",IF($AG285="",1,IFERROR(INDEX('Sublimits and Parts'!$C$49:$C$52,MATCH($AG285,'Sublimits and Parts'!$B$49:$B$52,0)),"?")))</f>
        <v/>
      </c>
      <c r="BT285" s="99" t="str">
        <f>IF($A285="","",IF($AH285="",1,IFERROR(INDEX('Sublimits and Parts'!$C$56:$C$60,MATCH($AH285,'Sublimits and Parts'!$B$56:$B$60,0)),"?")))</f>
        <v/>
      </c>
      <c r="BU285" s="99" t="str">
        <f>IF($A285="","",IF($AI285="",1,IFERROR(INDEX('Sublimits and Parts'!$C$64:$C$67,MATCH($AI285,'Sublimits and Parts'!$B$64:$B$67,0)),"?")))</f>
        <v/>
      </c>
      <c r="BV285" s="99" t="str">
        <f>IF($A285="","",IF($AJ285="",1,IFERROR(INDEX('Sublimits and Parts'!$C$71:$C$74,MATCH($AJ285,'Sublimits and Parts'!$B$71:$B$74,0)),"?")))</f>
        <v/>
      </c>
      <c r="BW285" s="99" t="str">
        <f>IF($A285="","",IF($AK285="",1,IFERROR(INDEX('Sublimits and Parts'!$C$78:$C$80,MATCH($AK285,'Sublimits and Parts'!$B$78:$B$80,0)),"?")))</f>
        <v/>
      </c>
      <c r="BX285" s="99" t="str">
        <f>IF($A285="","",IF($AL285="",1,IFERROR(INDEX('Sublimits and Parts'!$C$84:$C$87,MATCH($AL285,'Sublimits and Parts'!$B$84:$B$87,0)),"?")))</f>
        <v/>
      </c>
      <c r="BY285" s="99" t="str">
        <f>IF($A285="","",IF($AM285="",1,IFERROR(INDEX('Sublimits and Parts'!$C$91:$C$94,MATCH($AM285,'Sublimits and Parts'!$B$91:$B$94,0)),"?")))</f>
        <v/>
      </c>
      <c r="BZ285" s="99" t="str">
        <f>IF($A285="","",IF($AN285="",1,IFERROR(INDEX('Sublimits and Parts'!$C$98:$C$101,MATCH($AN285,'Sublimits and Parts'!$B$98:$B$101,0)),"?")))</f>
        <v/>
      </c>
      <c r="CA285" s="99" t="str">
        <f>IF($A285="","",IF($AO285="",1,IFERROR(INDEX('Sublimits and Parts'!$C$105:$C$109,MATCH($AO285,'Sublimits and Parts'!$B$105:$B$109,0)),"?")))</f>
        <v/>
      </c>
      <c r="CB285" s="100" t="str">
        <f t="shared" si="54"/>
        <v/>
      </c>
      <c r="CC285" s="100" t="str">
        <f t="shared" si="55"/>
        <v/>
      </c>
      <c r="CD285" s="103" t="str">
        <f>IF($A285="","",IF(OR($CB285="?",$CC285="?"),"?",MIN($CB285*$CC285,'Technical Premium'!$C$17)))</f>
        <v/>
      </c>
      <c r="CE285" s="102" t="str">
        <f t="shared" si="56"/>
        <v/>
      </c>
      <c r="CF285" s="102" t="str">
        <f>IF($A285="","",IFERROR(INDEX('Territory Factors'!$F$6:$F$56,MATCH($K285,'Territory Factors'!$B$6:$B$56,0)),"?"))</f>
        <v/>
      </c>
      <c r="CG285" s="100" t="str">
        <f>IF($A285="","",IFERROR(INDEX('Usage and Coverage'!$C$79:$C$84,MATCH($Y285,'Usage and Coverage'!$B$79:$B$84,0)),"?"))</f>
        <v/>
      </c>
      <c r="CH285" s="102" t="str">
        <f>IFERROR(IF(ISNUMBER($CD285),$CF285*$CG285*MIN($BG285*$BA285*$BC285*$BD285*$BH285*$BF285,'Technical Premium'!$C$17),""),"")</f>
        <v/>
      </c>
      <c r="CI285" s="102" t="str">
        <f t="shared" si="57"/>
        <v/>
      </c>
      <c r="CJ285" s="102" t="str">
        <f>IFERROR($CI285*(1+'Technical Premium'!$C$5)*(1+'Technical Premium'!$C$6),"")</f>
        <v/>
      </c>
      <c r="CK285" s="102" t="str">
        <f>IFERROR($CE285*INDEX('Territory Factors'!$G$6:$G$56,MATCH($K285,'Territory Factors'!$B$6:$B$56,0))*$AU285*$AV285,"")</f>
        <v/>
      </c>
      <c r="CL285" s="102" t="str">
        <f>IFERROR(($CJ285+$CK285)*(1+'Technical Premium'!$C$7),"")</f>
        <v/>
      </c>
      <c r="CM285" s="104" t="str">
        <f>IFERROR($CL285/'Technical Premium'!$C$13,"")</f>
        <v/>
      </c>
      <c r="CN285" s="105" t="str">
        <f t="shared" si="58"/>
        <v/>
      </c>
      <c r="CO285" s="104" t="str">
        <f t="shared" si="59"/>
        <v/>
      </c>
      <c r="CP285" s="105" t="str">
        <f t="shared" si="60"/>
        <v/>
      </c>
      <c r="CQ285" s="106" t="str">
        <f t="shared" si="61"/>
        <v/>
      </c>
      <c r="CR285" s="102" t="str">
        <f>IF(ISNUMBER($CM285),'Technical Premium'!$C$14+IF($J285&gt;=1000000,'Technical Premium'!$C$15,0),"")</f>
        <v/>
      </c>
      <c r="CS285" s="102" t="str">
        <f>IFERROR(($CO285+$CR285)*(INDEX('Territory Factors'!$K$6:$K$56,MATCH($K285,'Territory Factors'!$B$6:$B$56,0))+'Commission Structure'!$C$21),"")</f>
        <v/>
      </c>
      <c r="CT285" s="104" t="str">
        <f t="shared" si="62"/>
        <v/>
      </c>
      <c r="CU285" s="102" t="str">
        <f>IFERROR($CO285*('Commission Structure'!$C$6+'Commission Structure'!$C$7),"")</f>
        <v/>
      </c>
      <c r="CV285" s="102" t="str">
        <f>IFERROR($CO285*'Commission Structure'!$C$5-$CU285,"")</f>
        <v/>
      </c>
      <c r="CW285" s="102" t="str">
        <f>IFERROR($CO285*(1-'Commission Structure'!$C$5),"")</f>
        <v/>
      </c>
      <c r="CX285" s="107"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8" t="str">
        <f t="shared" si="63"/>
        <v/>
      </c>
      <c r="CZ285" s="99" t="str">
        <f>IF($CY285="","",IF($CY285&lt;'Technical Premium'!$C$19,"BEYOND AUTHORITY",IF($CY285&gt;0.005,"Above technical",IF($CY285&lt;-0.005,"BELOW technical","At technical"))))</f>
        <v/>
      </c>
      <c r="DA285" s="99"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4"/>
      <c r="DC285" s="94"/>
      <c r="DD285" s="95"/>
      <c r="DE285" s="94"/>
      <c r="DF285" s="94"/>
      <c r="DG285" s="99" t="str">
        <f t="shared" si="64"/>
        <v/>
      </c>
      <c r="DH285" s="99" t="str">
        <f>IF($A285="","",IF(OR($CX285="REFER",$CX285="DECLINE"),COUNTIF($CX$5:$CX285,"REFER")+COUNTIF($CX$5:$CX285,"DECLINE"),""))</f>
        <v/>
      </c>
      <c r="DI285" s="94"/>
    </row>
    <row r="286" spans="1:113" x14ac:dyDescent="0.35">
      <c r="A286" s="94"/>
      <c r="B286" s="94"/>
      <c r="C286" s="95"/>
      <c r="D286" s="95"/>
      <c r="E286" s="96"/>
      <c r="F286" s="94"/>
      <c r="G286" s="94"/>
      <c r="H286" s="94"/>
      <c r="I286" s="94"/>
      <c r="J286" s="97"/>
      <c r="K286" s="94"/>
      <c r="L286" s="94"/>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8"/>
      <c r="AR286" s="99" t="str">
        <f t="shared" si="52"/>
        <v/>
      </c>
      <c r="AS286" s="99" t="str">
        <f>IF($A286="","",IF($AP286&lt;&gt;"",$AP286,IFERROR(INDEX('Cat Zone by ZIP'!$D$6:$D$856,MATCH($AR286,'Cat Zone by ZIP'!$B$6:$B$856,0)),IFERROR(INDEX('Cat Zone by ZIP'!$C$860:$C$910,MATCH($K286,'Cat Zone by ZIP'!$B$860:$B$910,0)),"NOT FOUND"))))</f>
        <v/>
      </c>
      <c r="AT286" s="99" t="str">
        <f>IF($A286="","",IF($AP286&lt;&gt;"","Override",IF(ISNUMBER(MATCH($AR286,'Cat Zone by ZIP'!$B$6:$B$856,0)),"ZIP-3","State default")))</f>
        <v/>
      </c>
      <c r="AU286" s="100" t="str">
        <f>IF($A286="","",IFERROR(INDEX('Natural Catastrophe'!$D$6:$D$17,MATCH($AS286,'Natural Catastrophe'!$B$6:$B$17,0)),"?"))</f>
        <v/>
      </c>
      <c r="AV286" s="100" t="str">
        <f>IF($A286="","",IFERROR(INDEX('Natural Catastrophe'!$C$21:$C$26,MATCH($AA286,'Natural Catastrophe'!$B$21:$B$26,0)),"?"))</f>
        <v/>
      </c>
      <c r="AW286" s="99" t="str">
        <f>IF($A286="","",IFERROR(INDEX('Base Rates'!$C$4:$I$4,MATCH(MAX($J286,'Technical Premium'!$C$18),'Base Rates'!$C$3:$I$3,1)),"?"))</f>
        <v/>
      </c>
      <c r="AX286" s="101" t="str">
        <f>IF($A286="","",IFERROR(INDEX('Base Rates'!$C$5:$I$16,MATCH($I286,'Base Rates'!$B$5:$B$16,0),MATCH(MAX($J286,'Technical Premium'!$C$18),'Base Rates'!$C$3:$I$3,1)),"?"))</f>
        <v/>
      </c>
      <c r="AY286" s="102" t="str">
        <f t="shared" si="53"/>
        <v/>
      </c>
      <c r="AZ286" s="99" t="str">
        <f>IF($A286="","",IFERROR(INDEX('Make Factors'!$G$5:$G$69,MATCH($F286,'Make Factors'!$B$5:$B$69,0)),"?"))</f>
        <v/>
      </c>
      <c r="BA286" s="99" t="str">
        <f>IF($A286="","",IFERROR(INDEX('Driver Factors'!$C$6:$C$15,MATCH($R286,'Driver Factors'!$B$6:$B$15,0)),"?"))</f>
        <v/>
      </c>
      <c r="BB286" s="99" t="str">
        <f>IF($A286="","",IFERROR(INDEX('Driver Factors'!$C$19:$C$24,MATCH($S286,'Driver Factors'!$B$19:$B$24,0)),"?"))</f>
        <v/>
      </c>
      <c r="BC286" s="99" t="str">
        <f>IF($A286="","",IFERROR(INDEX('Driver Factors'!$C$28:$C$36,MATCH($T286,'Driver Factors'!$B$28:$B$36,0)),"?"))</f>
        <v/>
      </c>
      <c r="BD286" s="99" t="str">
        <f>IF($A286="","",IFERROR(INDEX('Claims History'!$C$6:$C$15,MATCH($U286,'Claims History'!$B$6:$B$15,0)),"?"))</f>
        <v/>
      </c>
      <c r="BE286" s="99" t="str">
        <f>IF($A286="","",IFERROR(INDEX('Territory Factors'!$E$6:$E$56,MATCH($K286,'Territory Factors'!$B$6:$B$56,0)),"?"))</f>
        <v/>
      </c>
      <c r="BF286" s="99" t="str">
        <f>IF($A286="","",IFERROR(INDEX('City Accident Ratings'!$G$6:$G$54,MATCH($Z286,'City Accident Ratings'!$B$6:$B$54,0)),"?"))</f>
        <v/>
      </c>
      <c r="BG286" s="99" t="str">
        <f>IF($A286="","",IFERROR(INDEX('Usage and Coverage'!$D$6:$D$20,MATCH($N286,'Usage and Coverage'!$C$6:$C$20,0)),"?"))</f>
        <v/>
      </c>
      <c r="BH286" s="99" t="str">
        <f>IF($A286="","",IFERROR(INDEX('Usage and Coverage'!$C$24:$C$30,MATCH($O286,'Usage and Coverage'!$B$24:$B$30,0)),"?"))</f>
        <v/>
      </c>
      <c r="BI286" s="99" t="str">
        <f>IF($A286="","",IFERROR(INDEX('Usage and Coverage'!$C$34:$C$40,MATCH($P286,'Usage and Coverage'!$B$34:$B$40,0)),"?"))</f>
        <v/>
      </c>
      <c r="BJ286" s="99" t="str">
        <f>IF($A286="","",IFERROR(INDEX('Usage and Coverage'!$C$44:$C$49,MATCH($Q286,'Usage and Coverage'!$B$44:$B$49,0)),"?"))</f>
        <v/>
      </c>
      <c r="BK286" s="99" t="str">
        <f>IF($A286="","",IFERROR(INDEX(Deductibles!$C$6:$I$15,MATCH($W286,Deductibles!$B$6:$B$15,0),MATCH(MAX($J286,'Technical Premium'!$C$18),'Base Rates'!$C$3:$I$3,1)),"?"))</f>
        <v/>
      </c>
      <c r="BL286" s="99" t="str">
        <f>IF($A286="","",IFERROR(INDEX('Usage and Coverage'!$C$63:$C$66,MATCH($X286,'Usage and Coverage'!$B$63:$B$66,0)),"?"))</f>
        <v/>
      </c>
      <c r="BM286" s="99" t="str">
        <f>IF($A286="","",IFERROR(INDEX('Usage and Coverage'!$C$70:$C$75,MATCH($V286,'Usage and Coverage'!$B$70:$B$75,0)),"?"))</f>
        <v/>
      </c>
      <c r="BN286" s="99" t="str">
        <f>IF($A286="","",IF($AB286="",1,IFERROR(INDEX(Deductibles!$C$48:$C$51,MATCH($AB286,Deductibles!$B$48:$B$51,0)),"?")))</f>
        <v/>
      </c>
      <c r="BO286" s="99" t="str">
        <f>IF($A286="","",IF($AC286="",1,IFERROR(INDEX(Deductibles!$C$55:$C$57,MATCH($AC286,Deductibles!$B$55:$B$57,0)),"?")))</f>
        <v/>
      </c>
      <c r="BP286" s="99" t="str">
        <f>IF($A286="","",IF($AD286="",1,IFERROR(INDEX(Deductibles!$C$61:$C$63,MATCH($AD286,Deductibles!$B$61:$B$63,0)),"?")))</f>
        <v/>
      </c>
      <c r="BQ286" s="99" t="str">
        <f>IF($A286="","",IF($AE286="",1,IFERROR(INDEX(Deductibles!$C$67:$C$69,MATCH($AE286,Deductibles!$B$67:$B$69,0)),"?")))</f>
        <v/>
      </c>
      <c r="BR286" s="99" t="str">
        <f>IF($A286="","",IF($AF286="",1,IFERROR(INDEX(Deductibles!$C$73:$C$74,MATCH($AF286,Deductibles!$B$73:$B$74,0)),"?")))</f>
        <v/>
      </c>
      <c r="BS286" s="99" t="str">
        <f>IF($A286="","",IF($AG286="",1,IFERROR(INDEX('Sublimits and Parts'!$C$49:$C$52,MATCH($AG286,'Sublimits and Parts'!$B$49:$B$52,0)),"?")))</f>
        <v/>
      </c>
      <c r="BT286" s="99" t="str">
        <f>IF($A286="","",IF($AH286="",1,IFERROR(INDEX('Sublimits and Parts'!$C$56:$C$60,MATCH($AH286,'Sublimits and Parts'!$B$56:$B$60,0)),"?")))</f>
        <v/>
      </c>
      <c r="BU286" s="99" t="str">
        <f>IF($A286="","",IF($AI286="",1,IFERROR(INDEX('Sublimits and Parts'!$C$64:$C$67,MATCH($AI286,'Sublimits and Parts'!$B$64:$B$67,0)),"?")))</f>
        <v/>
      </c>
      <c r="BV286" s="99" t="str">
        <f>IF($A286="","",IF($AJ286="",1,IFERROR(INDEX('Sublimits and Parts'!$C$71:$C$74,MATCH($AJ286,'Sublimits and Parts'!$B$71:$B$74,0)),"?")))</f>
        <v/>
      </c>
      <c r="BW286" s="99" t="str">
        <f>IF($A286="","",IF($AK286="",1,IFERROR(INDEX('Sublimits and Parts'!$C$78:$C$80,MATCH($AK286,'Sublimits and Parts'!$B$78:$B$80,0)),"?")))</f>
        <v/>
      </c>
      <c r="BX286" s="99" t="str">
        <f>IF($A286="","",IF($AL286="",1,IFERROR(INDEX('Sublimits and Parts'!$C$84:$C$87,MATCH($AL286,'Sublimits and Parts'!$B$84:$B$87,0)),"?")))</f>
        <v/>
      </c>
      <c r="BY286" s="99" t="str">
        <f>IF($A286="","",IF($AM286="",1,IFERROR(INDEX('Sublimits and Parts'!$C$91:$C$94,MATCH($AM286,'Sublimits and Parts'!$B$91:$B$94,0)),"?")))</f>
        <v/>
      </c>
      <c r="BZ286" s="99" t="str">
        <f>IF($A286="","",IF($AN286="",1,IFERROR(INDEX('Sublimits and Parts'!$C$98:$C$101,MATCH($AN286,'Sublimits and Parts'!$B$98:$B$101,0)),"?")))</f>
        <v/>
      </c>
      <c r="CA286" s="99" t="str">
        <f>IF($A286="","",IF($AO286="",1,IFERROR(INDEX('Sublimits and Parts'!$C$105:$C$109,MATCH($AO286,'Sublimits and Parts'!$B$105:$B$109,0)),"?")))</f>
        <v/>
      </c>
      <c r="CB286" s="100" t="str">
        <f t="shared" si="54"/>
        <v/>
      </c>
      <c r="CC286" s="100" t="str">
        <f t="shared" si="55"/>
        <v/>
      </c>
      <c r="CD286" s="103" t="str">
        <f>IF($A286="","",IF(OR($CB286="?",$CC286="?"),"?",MIN($CB286*$CC286,'Technical Premium'!$C$17)))</f>
        <v/>
      </c>
      <c r="CE286" s="102" t="str">
        <f t="shared" si="56"/>
        <v/>
      </c>
      <c r="CF286" s="102" t="str">
        <f>IF($A286="","",IFERROR(INDEX('Territory Factors'!$F$6:$F$56,MATCH($K286,'Territory Factors'!$B$6:$B$56,0)),"?"))</f>
        <v/>
      </c>
      <c r="CG286" s="100" t="str">
        <f>IF($A286="","",IFERROR(INDEX('Usage and Coverage'!$C$79:$C$84,MATCH($Y286,'Usage and Coverage'!$B$79:$B$84,0)),"?"))</f>
        <v/>
      </c>
      <c r="CH286" s="102" t="str">
        <f>IFERROR(IF(ISNUMBER($CD286),$CF286*$CG286*MIN($BG286*$BA286*$BC286*$BD286*$BH286*$BF286,'Technical Premium'!$C$17),""),"")</f>
        <v/>
      </c>
      <c r="CI286" s="102" t="str">
        <f t="shared" si="57"/>
        <v/>
      </c>
      <c r="CJ286" s="102" t="str">
        <f>IFERROR($CI286*(1+'Technical Premium'!$C$5)*(1+'Technical Premium'!$C$6),"")</f>
        <v/>
      </c>
      <c r="CK286" s="102" t="str">
        <f>IFERROR($CE286*INDEX('Territory Factors'!$G$6:$G$56,MATCH($K286,'Territory Factors'!$B$6:$B$56,0))*$AU286*$AV286,"")</f>
        <v/>
      </c>
      <c r="CL286" s="102" t="str">
        <f>IFERROR(($CJ286+$CK286)*(1+'Technical Premium'!$C$7),"")</f>
        <v/>
      </c>
      <c r="CM286" s="104" t="str">
        <f>IFERROR($CL286/'Technical Premium'!$C$13,"")</f>
        <v/>
      </c>
      <c r="CN286" s="105" t="str">
        <f t="shared" si="58"/>
        <v/>
      </c>
      <c r="CO286" s="104" t="str">
        <f t="shared" si="59"/>
        <v/>
      </c>
      <c r="CP286" s="105" t="str">
        <f t="shared" si="60"/>
        <v/>
      </c>
      <c r="CQ286" s="106" t="str">
        <f t="shared" si="61"/>
        <v/>
      </c>
      <c r="CR286" s="102" t="str">
        <f>IF(ISNUMBER($CM286),'Technical Premium'!$C$14+IF($J286&gt;=1000000,'Technical Premium'!$C$15,0),"")</f>
        <v/>
      </c>
      <c r="CS286" s="102" t="str">
        <f>IFERROR(($CO286+$CR286)*(INDEX('Territory Factors'!$K$6:$K$56,MATCH($K286,'Territory Factors'!$B$6:$B$56,0))+'Commission Structure'!$C$21),"")</f>
        <v/>
      </c>
      <c r="CT286" s="104" t="str">
        <f t="shared" si="62"/>
        <v/>
      </c>
      <c r="CU286" s="102" t="str">
        <f>IFERROR($CO286*('Commission Structure'!$C$6+'Commission Structure'!$C$7),"")</f>
        <v/>
      </c>
      <c r="CV286" s="102" t="str">
        <f>IFERROR($CO286*'Commission Structure'!$C$5-$CU286,"")</f>
        <v/>
      </c>
      <c r="CW286" s="102" t="str">
        <f>IFERROR($CO286*(1-'Commission Structure'!$C$5),"")</f>
        <v/>
      </c>
      <c r="CX286" s="107"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8" t="str">
        <f t="shared" si="63"/>
        <v/>
      </c>
      <c r="CZ286" s="99" t="str">
        <f>IF($CY286="","",IF($CY286&lt;'Technical Premium'!$C$19,"BEYOND AUTHORITY",IF($CY286&gt;0.005,"Above technical",IF($CY286&lt;-0.005,"BELOW technical","At technical"))))</f>
        <v/>
      </c>
      <c r="DA286" s="99"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4"/>
      <c r="DC286" s="94"/>
      <c r="DD286" s="95"/>
      <c r="DE286" s="94"/>
      <c r="DF286" s="94"/>
      <c r="DG286" s="99" t="str">
        <f t="shared" si="64"/>
        <v/>
      </c>
      <c r="DH286" s="99" t="str">
        <f>IF($A286="","",IF(OR($CX286="REFER",$CX286="DECLINE"),COUNTIF($CX$5:$CX286,"REFER")+COUNTIF($CX$5:$CX286,"DECLINE"),""))</f>
        <v/>
      </c>
      <c r="DI286" s="94"/>
    </row>
    <row r="287" spans="1:113" x14ac:dyDescent="0.35">
      <c r="A287" s="94"/>
      <c r="B287" s="94"/>
      <c r="C287" s="95"/>
      <c r="D287" s="95"/>
      <c r="E287" s="96"/>
      <c r="F287" s="94"/>
      <c r="G287" s="94"/>
      <c r="H287" s="94"/>
      <c r="I287" s="94"/>
      <c r="J287" s="97"/>
      <c r="K287" s="94"/>
      <c r="L287" s="94"/>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8"/>
      <c r="AR287" s="99" t="str">
        <f t="shared" si="52"/>
        <v/>
      </c>
      <c r="AS287" s="99" t="str">
        <f>IF($A287="","",IF($AP287&lt;&gt;"",$AP287,IFERROR(INDEX('Cat Zone by ZIP'!$D$6:$D$856,MATCH($AR287,'Cat Zone by ZIP'!$B$6:$B$856,0)),IFERROR(INDEX('Cat Zone by ZIP'!$C$860:$C$910,MATCH($K287,'Cat Zone by ZIP'!$B$860:$B$910,0)),"NOT FOUND"))))</f>
        <v/>
      </c>
      <c r="AT287" s="99" t="str">
        <f>IF($A287="","",IF($AP287&lt;&gt;"","Override",IF(ISNUMBER(MATCH($AR287,'Cat Zone by ZIP'!$B$6:$B$856,0)),"ZIP-3","State default")))</f>
        <v/>
      </c>
      <c r="AU287" s="100" t="str">
        <f>IF($A287="","",IFERROR(INDEX('Natural Catastrophe'!$D$6:$D$17,MATCH($AS287,'Natural Catastrophe'!$B$6:$B$17,0)),"?"))</f>
        <v/>
      </c>
      <c r="AV287" s="100" t="str">
        <f>IF($A287="","",IFERROR(INDEX('Natural Catastrophe'!$C$21:$C$26,MATCH($AA287,'Natural Catastrophe'!$B$21:$B$26,0)),"?"))</f>
        <v/>
      </c>
      <c r="AW287" s="99" t="str">
        <f>IF($A287="","",IFERROR(INDEX('Base Rates'!$C$4:$I$4,MATCH(MAX($J287,'Technical Premium'!$C$18),'Base Rates'!$C$3:$I$3,1)),"?"))</f>
        <v/>
      </c>
      <c r="AX287" s="101" t="str">
        <f>IF($A287="","",IFERROR(INDEX('Base Rates'!$C$5:$I$16,MATCH($I287,'Base Rates'!$B$5:$B$16,0),MATCH(MAX($J287,'Technical Premium'!$C$18),'Base Rates'!$C$3:$I$3,1)),"?"))</f>
        <v/>
      </c>
      <c r="AY287" s="102" t="str">
        <f t="shared" si="53"/>
        <v/>
      </c>
      <c r="AZ287" s="99" t="str">
        <f>IF($A287="","",IFERROR(INDEX('Make Factors'!$G$5:$G$69,MATCH($F287,'Make Factors'!$B$5:$B$69,0)),"?"))</f>
        <v/>
      </c>
      <c r="BA287" s="99" t="str">
        <f>IF($A287="","",IFERROR(INDEX('Driver Factors'!$C$6:$C$15,MATCH($R287,'Driver Factors'!$B$6:$B$15,0)),"?"))</f>
        <v/>
      </c>
      <c r="BB287" s="99" t="str">
        <f>IF($A287="","",IFERROR(INDEX('Driver Factors'!$C$19:$C$24,MATCH($S287,'Driver Factors'!$B$19:$B$24,0)),"?"))</f>
        <v/>
      </c>
      <c r="BC287" s="99" t="str">
        <f>IF($A287="","",IFERROR(INDEX('Driver Factors'!$C$28:$C$36,MATCH($T287,'Driver Factors'!$B$28:$B$36,0)),"?"))</f>
        <v/>
      </c>
      <c r="BD287" s="99" t="str">
        <f>IF($A287="","",IFERROR(INDEX('Claims History'!$C$6:$C$15,MATCH($U287,'Claims History'!$B$6:$B$15,0)),"?"))</f>
        <v/>
      </c>
      <c r="BE287" s="99" t="str">
        <f>IF($A287="","",IFERROR(INDEX('Territory Factors'!$E$6:$E$56,MATCH($K287,'Territory Factors'!$B$6:$B$56,0)),"?"))</f>
        <v/>
      </c>
      <c r="BF287" s="99" t="str">
        <f>IF($A287="","",IFERROR(INDEX('City Accident Ratings'!$G$6:$G$54,MATCH($Z287,'City Accident Ratings'!$B$6:$B$54,0)),"?"))</f>
        <v/>
      </c>
      <c r="BG287" s="99" t="str">
        <f>IF($A287="","",IFERROR(INDEX('Usage and Coverage'!$D$6:$D$20,MATCH($N287,'Usage and Coverage'!$C$6:$C$20,0)),"?"))</f>
        <v/>
      </c>
      <c r="BH287" s="99" t="str">
        <f>IF($A287="","",IFERROR(INDEX('Usage and Coverage'!$C$24:$C$30,MATCH($O287,'Usage and Coverage'!$B$24:$B$30,0)),"?"))</f>
        <v/>
      </c>
      <c r="BI287" s="99" t="str">
        <f>IF($A287="","",IFERROR(INDEX('Usage and Coverage'!$C$34:$C$40,MATCH($P287,'Usage and Coverage'!$B$34:$B$40,0)),"?"))</f>
        <v/>
      </c>
      <c r="BJ287" s="99" t="str">
        <f>IF($A287="","",IFERROR(INDEX('Usage and Coverage'!$C$44:$C$49,MATCH($Q287,'Usage and Coverage'!$B$44:$B$49,0)),"?"))</f>
        <v/>
      </c>
      <c r="BK287" s="99" t="str">
        <f>IF($A287="","",IFERROR(INDEX(Deductibles!$C$6:$I$15,MATCH($W287,Deductibles!$B$6:$B$15,0),MATCH(MAX($J287,'Technical Premium'!$C$18),'Base Rates'!$C$3:$I$3,1)),"?"))</f>
        <v/>
      </c>
      <c r="BL287" s="99" t="str">
        <f>IF($A287="","",IFERROR(INDEX('Usage and Coverage'!$C$63:$C$66,MATCH($X287,'Usage and Coverage'!$B$63:$B$66,0)),"?"))</f>
        <v/>
      </c>
      <c r="BM287" s="99" t="str">
        <f>IF($A287="","",IFERROR(INDEX('Usage and Coverage'!$C$70:$C$75,MATCH($V287,'Usage and Coverage'!$B$70:$B$75,0)),"?"))</f>
        <v/>
      </c>
      <c r="BN287" s="99" t="str">
        <f>IF($A287="","",IF($AB287="",1,IFERROR(INDEX(Deductibles!$C$48:$C$51,MATCH($AB287,Deductibles!$B$48:$B$51,0)),"?")))</f>
        <v/>
      </c>
      <c r="BO287" s="99" t="str">
        <f>IF($A287="","",IF($AC287="",1,IFERROR(INDEX(Deductibles!$C$55:$C$57,MATCH($AC287,Deductibles!$B$55:$B$57,0)),"?")))</f>
        <v/>
      </c>
      <c r="BP287" s="99" t="str">
        <f>IF($A287="","",IF($AD287="",1,IFERROR(INDEX(Deductibles!$C$61:$C$63,MATCH($AD287,Deductibles!$B$61:$B$63,0)),"?")))</f>
        <v/>
      </c>
      <c r="BQ287" s="99" t="str">
        <f>IF($A287="","",IF($AE287="",1,IFERROR(INDEX(Deductibles!$C$67:$C$69,MATCH($AE287,Deductibles!$B$67:$B$69,0)),"?")))</f>
        <v/>
      </c>
      <c r="BR287" s="99" t="str">
        <f>IF($A287="","",IF($AF287="",1,IFERROR(INDEX(Deductibles!$C$73:$C$74,MATCH($AF287,Deductibles!$B$73:$B$74,0)),"?")))</f>
        <v/>
      </c>
      <c r="BS287" s="99" t="str">
        <f>IF($A287="","",IF($AG287="",1,IFERROR(INDEX('Sublimits and Parts'!$C$49:$C$52,MATCH($AG287,'Sublimits and Parts'!$B$49:$B$52,0)),"?")))</f>
        <v/>
      </c>
      <c r="BT287" s="99" t="str">
        <f>IF($A287="","",IF($AH287="",1,IFERROR(INDEX('Sublimits and Parts'!$C$56:$C$60,MATCH($AH287,'Sublimits and Parts'!$B$56:$B$60,0)),"?")))</f>
        <v/>
      </c>
      <c r="BU287" s="99" t="str">
        <f>IF($A287="","",IF($AI287="",1,IFERROR(INDEX('Sublimits and Parts'!$C$64:$C$67,MATCH($AI287,'Sublimits and Parts'!$B$64:$B$67,0)),"?")))</f>
        <v/>
      </c>
      <c r="BV287" s="99" t="str">
        <f>IF($A287="","",IF($AJ287="",1,IFERROR(INDEX('Sublimits and Parts'!$C$71:$C$74,MATCH($AJ287,'Sublimits and Parts'!$B$71:$B$74,0)),"?")))</f>
        <v/>
      </c>
      <c r="BW287" s="99" t="str">
        <f>IF($A287="","",IF($AK287="",1,IFERROR(INDEX('Sublimits and Parts'!$C$78:$C$80,MATCH($AK287,'Sublimits and Parts'!$B$78:$B$80,0)),"?")))</f>
        <v/>
      </c>
      <c r="BX287" s="99" t="str">
        <f>IF($A287="","",IF($AL287="",1,IFERROR(INDEX('Sublimits and Parts'!$C$84:$C$87,MATCH($AL287,'Sublimits and Parts'!$B$84:$B$87,0)),"?")))</f>
        <v/>
      </c>
      <c r="BY287" s="99" t="str">
        <f>IF($A287="","",IF($AM287="",1,IFERROR(INDEX('Sublimits and Parts'!$C$91:$C$94,MATCH($AM287,'Sublimits and Parts'!$B$91:$B$94,0)),"?")))</f>
        <v/>
      </c>
      <c r="BZ287" s="99" t="str">
        <f>IF($A287="","",IF($AN287="",1,IFERROR(INDEX('Sublimits and Parts'!$C$98:$C$101,MATCH($AN287,'Sublimits and Parts'!$B$98:$B$101,0)),"?")))</f>
        <v/>
      </c>
      <c r="CA287" s="99" t="str">
        <f>IF($A287="","",IF($AO287="",1,IFERROR(INDEX('Sublimits and Parts'!$C$105:$C$109,MATCH($AO287,'Sublimits and Parts'!$B$105:$B$109,0)),"?")))</f>
        <v/>
      </c>
      <c r="CB287" s="100" t="str">
        <f t="shared" si="54"/>
        <v/>
      </c>
      <c r="CC287" s="100" t="str">
        <f t="shared" si="55"/>
        <v/>
      </c>
      <c r="CD287" s="103" t="str">
        <f>IF($A287="","",IF(OR($CB287="?",$CC287="?"),"?",MIN($CB287*$CC287,'Technical Premium'!$C$17)))</f>
        <v/>
      </c>
      <c r="CE287" s="102" t="str">
        <f t="shared" si="56"/>
        <v/>
      </c>
      <c r="CF287" s="102" t="str">
        <f>IF($A287="","",IFERROR(INDEX('Territory Factors'!$F$6:$F$56,MATCH($K287,'Territory Factors'!$B$6:$B$56,0)),"?"))</f>
        <v/>
      </c>
      <c r="CG287" s="100" t="str">
        <f>IF($A287="","",IFERROR(INDEX('Usage and Coverage'!$C$79:$C$84,MATCH($Y287,'Usage and Coverage'!$B$79:$B$84,0)),"?"))</f>
        <v/>
      </c>
      <c r="CH287" s="102" t="str">
        <f>IFERROR(IF(ISNUMBER($CD287),$CF287*$CG287*MIN($BG287*$BA287*$BC287*$BD287*$BH287*$BF287,'Technical Premium'!$C$17),""),"")</f>
        <v/>
      </c>
      <c r="CI287" s="102" t="str">
        <f t="shared" si="57"/>
        <v/>
      </c>
      <c r="CJ287" s="102" t="str">
        <f>IFERROR($CI287*(1+'Technical Premium'!$C$5)*(1+'Technical Premium'!$C$6),"")</f>
        <v/>
      </c>
      <c r="CK287" s="102" t="str">
        <f>IFERROR($CE287*INDEX('Territory Factors'!$G$6:$G$56,MATCH($K287,'Territory Factors'!$B$6:$B$56,0))*$AU287*$AV287,"")</f>
        <v/>
      </c>
      <c r="CL287" s="102" t="str">
        <f>IFERROR(($CJ287+$CK287)*(1+'Technical Premium'!$C$7),"")</f>
        <v/>
      </c>
      <c r="CM287" s="104" t="str">
        <f>IFERROR($CL287/'Technical Premium'!$C$13,"")</f>
        <v/>
      </c>
      <c r="CN287" s="105" t="str">
        <f t="shared" si="58"/>
        <v/>
      </c>
      <c r="CO287" s="104" t="str">
        <f t="shared" si="59"/>
        <v/>
      </c>
      <c r="CP287" s="105" t="str">
        <f t="shared" si="60"/>
        <v/>
      </c>
      <c r="CQ287" s="106" t="str">
        <f t="shared" si="61"/>
        <v/>
      </c>
      <c r="CR287" s="102" t="str">
        <f>IF(ISNUMBER($CM287),'Technical Premium'!$C$14+IF($J287&gt;=1000000,'Technical Premium'!$C$15,0),"")</f>
        <v/>
      </c>
      <c r="CS287" s="102" t="str">
        <f>IFERROR(($CO287+$CR287)*(INDEX('Territory Factors'!$K$6:$K$56,MATCH($K287,'Territory Factors'!$B$6:$B$56,0))+'Commission Structure'!$C$21),"")</f>
        <v/>
      </c>
      <c r="CT287" s="104" t="str">
        <f t="shared" si="62"/>
        <v/>
      </c>
      <c r="CU287" s="102" t="str">
        <f>IFERROR($CO287*('Commission Structure'!$C$6+'Commission Structure'!$C$7),"")</f>
        <v/>
      </c>
      <c r="CV287" s="102" t="str">
        <f>IFERROR($CO287*'Commission Structure'!$C$5-$CU287,"")</f>
        <v/>
      </c>
      <c r="CW287" s="102" t="str">
        <f>IFERROR($CO287*(1-'Commission Structure'!$C$5),"")</f>
        <v/>
      </c>
      <c r="CX287" s="107"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8" t="str">
        <f t="shared" si="63"/>
        <v/>
      </c>
      <c r="CZ287" s="99" t="str">
        <f>IF($CY287="","",IF($CY287&lt;'Technical Premium'!$C$19,"BEYOND AUTHORITY",IF($CY287&gt;0.005,"Above technical",IF($CY287&lt;-0.005,"BELOW technical","At technical"))))</f>
        <v/>
      </c>
      <c r="DA287" s="99"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4"/>
      <c r="DC287" s="94"/>
      <c r="DD287" s="95"/>
      <c r="DE287" s="94"/>
      <c r="DF287" s="94"/>
      <c r="DG287" s="99" t="str">
        <f t="shared" si="64"/>
        <v/>
      </c>
      <c r="DH287" s="99" t="str">
        <f>IF($A287="","",IF(OR($CX287="REFER",$CX287="DECLINE"),COUNTIF($CX$5:$CX287,"REFER")+COUNTIF($CX$5:$CX287,"DECLINE"),""))</f>
        <v/>
      </c>
      <c r="DI287" s="94"/>
    </row>
    <row r="288" spans="1:113" x14ac:dyDescent="0.35">
      <c r="A288" s="94"/>
      <c r="B288" s="94"/>
      <c r="C288" s="95"/>
      <c r="D288" s="95"/>
      <c r="E288" s="96"/>
      <c r="F288" s="94"/>
      <c r="G288" s="94"/>
      <c r="H288" s="94"/>
      <c r="I288" s="94"/>
      <c r="J288" s="97"/>
      <c r="K288" s="94"/>
      <c r="L288" s="94"/>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8"/>
      <c r="AR288" s="99" t="str">
        <f t="shared" si="52"/>
        <v/>
      </c>
      <c r="AS288" s="99" t="str">
        <f>IF($A288="","",IF($AP288&lt;&gt;"",$AP288,IFERROR(INDEX('Cat Zone by ZIP'!$D$6:$D$856,MATCH($AR288,'Cat Zone by ZIP'!$B$6:$B$856,0)),IFERROR(INDEX('Cat Zone by ZIP'!$C$860:$C$910,MATCH($K288,'Cat Zone by ZIP'!$B$860:$B$910,0)),"NOT FOUND"))))</f>
        <v/>
      </c>
      <c r="AT288" s="99" t="str">
        <f>IF($A288="","",IF($AP288&lt;&gt;"","Override",IF(ISNUMBER(MATCH($AR288,'Cat Zone by ZIP'!$B$6:$B$856,0)),"ZIP-3","State default")))</f>
        <v/>
      </c>
      <c r="AU288" s="100" t="str">
        <f>IF($A288="","",IFERROR(INDEX('Natural Catastrophe'!$D$6:$D$17,MATCH($AS288,'Natural Catastrophe'!$B$6:$B$17,0)),"?"))</f>
        <v/>
      </c>
      <c r="AV288" s="100" t="str">
        <f>IF($A288="","",IFERROR(INDEX('Natural Catastrophe'!$C$21:$C$26,MATCH($AA288,'Natural Catastrophe'!$B$21:$B$26,0)),"?"))</f>
        <v/>
      </c>
      <c r="AW288" s="99" t="str">
        <f>IF($A288="","",IFERROR(INDEX('Base Rates'!$C$4:$I$4,MATCH(MAX($J288,'Technical Premium'!$C$18),'Base Rates'!$C$3:$I$3,1)),"?"))</f>
        <v/>
      </c>
      <c r="AX288" s="101" t="str">
        <f>IF($A288="","",IFERROR(INDEX('Base Rates'!$C$5:$I$16,MATCH($I288,'Base Rates'!$B$5:$B$16,0),MATCH(MAX($J288,'Technical Premium'!$C$18),'Base Rates'!$C$3:$I$3,1)),"?"))</f>
        <v/>
      </c>
      <c r="AY288" s="102" t="str">
        <f t="shared" si="53"/>
        <v/>
      </c>
      <c r="AZ288" s="99" t="str">
        <f>IF($A288="","",IFERROR(INDEX('Make Factors'!$G$5:$G$69,MATCH($F288,'Make Factors'!$B$5:$B$69,0)),"?"))</f>
        <v/>
      </c>
      <c r="BA288" s="99" t="str">
        <f>IF($A288="","",IFERROR(INDEX('Driver Factors'!$C$6:$C$15,MATCH($R288,'Driver Factors'!$B$6:$B$15,0)),"?"))</f>
        <v/>
      </c>
      <c r="BB288" s="99" t="str">
        <f>IF($A288="","",IFERROR(INDEX('Driver Factors'!$C$19:$C$24,MATCH($S288,'Driver Factors'!$B$19:$B$24,0)),"?"))</f>
        <v/>
      </c>
      <c r="BC288" s="99" t="str">
        <f>IF($A288="","",IFERROR(INDEX('Driver Factors'!$C$28:$C$36,MATCH($T288,'Driver Factors'!$B$28:$B$36,0)),"?"))</f>
        <v/>
      </c>
      <c r="BD288" s="99" t="str">
        <f>IF($A288="","",IFERROR(INDEX('Claims History'!$C$6:$C$15,MATCH($U288,'Claims History'!$B$6:$B$15,0)),"?"))</f>
        <v/>
      </c>
      <c r="BE288" s="99" t="str">
        <f>IF($A288="","",IFERROR(INDEX('Territory Factors'!$E$6:$E$56,MATCH($K288,'Territory Factors'!$B$6:$B$56,0)),"?"))</f>
        <v/>
      </c>
      <c r="BF288" s="99" t="str">
        <f>IF($A288="","",IFERROR(INDEX('City Accident Ratings'!$G$6:$G$54,MATCH($Z288,'City Accident Ratings'!$B$6:$B$54,0)),"?"))</f>
        <v/>
      </c>
      <c r="BG288" s="99" t="str">
        <f>IF($A288="","",IFERROR(INDEX('Usage and Coverage'!$D$6:$D$20,MATCH($N288,'Usage and Coverage'!$C$6:$C$20,0)),"?"))</f>
        <v/>
      </c>
      <c r="BH288" s="99" t="str">
        <f>IF($A288="","",IFERROR(INDEX('Usage and Coverage'!$C$24:$C$30,MATCH($O288,'Usage and Coverage'!$B$24:$B$30,0)),"?"))</f>
        <v/>
      </c>
      <c r="BI288" s="99" t="str">
        <f>IF($A288="","",IFERROR(INDEX('Usage and Coverage'!$C$34:$C$40,MATCH($P288,'Usage and Coverage'!$B$34:$B$40,0)),"?"))</f>
        <v/>
      </c>
      <c r="BJ288" s="99" t="str">
        <f>IF($A288="","",IFERROR(INDEX('Usage and Coverage'!$C$44:$C$49,MATCH($Q288,'Usage and Coverage'!$B$44:$B$49,0)),"?"))</f>
        <v/>
      </c>
      <c r="BK288" s="99" t="str">
        <f>IF($A288="","",IFERROR(INDEX(Deductibles!$C$6:$I$15,MATCH($W288,Deductibles!$B$6:$B$15,0),MATCH(MAX($J288,'Technical Premium'!$C$18),'Base Rates'!$C$3:$I$3,1)),"?"))</f>
        <v/>
      </c>
      <c r="BL288" s="99" t="str">
        <f>IF($A288="","",IFERROR(INDEX('Usage and Coverage'!$C$63:$C$66,MATCH($X288,'Usage and Coverage'!$B$63:$B$66,0)),"?"))</f>
        <v/>
      </c>
      <c r="BM288" s="99" t="str">
        <f>IF($A288="","",IFERROR(INDEX('Usage and Coverage'!$C$70:$C$75,MATCH($V288,'Usage and Coverage'!$B$70:$B$75,0)),"?"))</f>
        <v/>
      </c>
      <c r="BN288" s="99" t="str">
        <f>IF($A288="","",IF($AB288="",1,IFERROR(INDEX(Deductibles!$C$48:$C$51,MATCH($AB288,Deductibles!$B$48:$B$51,0)),"?")))</f>
        <v/>
      </c>
      <c r="BO288" s="99" t="str">
        <f>IF($A288="","",IF($AC288="",1,IFERROR(INDEX(Deductibles!$C$55:$C$57,MATCH($AC288,Deductibles!$B$55:$B$57,0)),"?")))</f>
        <v/>
      </c>
      <c r="BP288" s="99" t="str">
        <f>IF($A288="","",IF($AD288="",1,IFERROR(INDEX(Deductibles!$C$61:$C$63,MATCH($AD288,Deductibles!$B$61:$B$63,0)),"?")))</f>
        <v/>
      </c>
      <c r="BQ288" s="99" t="str">
        <f>IF($A288="","",IF($AE288="",1,IFERROR(INDEX(Deductibles!$C$67:$C$69,MATCH($AE288,Deductibles!$B$67:$B$69,0)),"?")))</f>
        <v/>
      </c>
      <c r="BR288" s="99" t="str">
        <f>IF($A288="","",IF($AF288="",1,IFERROR(INDEX(Deductibles!$C$73:$C$74,MATCH($AF288,Deductibles!$B$73:$B$74,0)),"?")))</f>
        <v/>
      </c>
      <c r="BS288" s="99" t="str">
        <f>IF($A288="","",IF($AG288="",1,IFERROR(INDEX('Sublimits and Parts'!$C$49:$C$52,MATCH($AG288,'Sublimits and Parts'!$B$49:$B$52,0)),"?")))</f>
        <v/>
      </c>
      <c r="BT288" s="99" t="str">
        <f>IF($A288="","",IF($AH288="",1,IFERROR(INDEX('Sublimits and Parts'!$C$56:$C$60,MATCH($AH288,'Sublimits and Parts'!$B$56:$B$60,0)),"?")))</f>
        <v/>
      </c>
      <c r="BU288" s="99" t="str">
        <f>IF($A288="","",IF($AI288="",1,IFERROR(INDEX('Sublimits and Parts'!$C$64:$C$67,MATCH($AI288,'Sublimits and Parts'!$B$64:$B$67,0)),"?")))</f>
        <v/>
      </c>
      <c r="BV288" s="99" t="str">
        <f>IF($A288="","",IF($AJ288="",1,IFERROR(INDEX('Sublimits and Parts'!$C$71:$C$74,MATCH($AJ288,'Sublimits and Parts'!$B$71:$B$74,0)),"?")))</f>
        <v/>
      </c>
      <c r="BW288" s="99" t="str">
        <f>IF($A288="","",IF($AK288="",1,IFERROR(INDEX('Sublimits and Parts'!$C$78:$C$80,MATCH($AK288,'Sublimits and Parts'!$B$78:$B$80,0)),"?")))</f>
        <v/>
      </c>
      <c r="BX288" s="99" t="str">
        <f>IF($A288="","",IF($AL288="",1,IFERROR(INDEX('Sublimits and Parts'!$C$84:$C$87,MATCH($AL288,'Sublimits and Parts'!$B$84:$B$87,0)),"?")))</f>
        <v/>
      </c>
      <c r="BY288" s="99" t="str">
        <f>IF($A288="","",IF($AM288="",1,IFERROR(INDEX('Sublimits and Parts'!$C$91:$C$94,MATCH($AM288,'Sublimits and Parts'!$B$91:$B$94,0)),"?")))</f>
        <v/>
      </c>
      <c r="BZ288" s="99" t="str">
        <f>IF($A288="","",IF($AN288="",1,IFERROR(INDEX('Sublimits and Parts'!$C$98:$C$101,MATCH($AN288,'Sublimits and Parts'!$B$98:$B$101,0)),"?")))</f>
        <v/>
      </c>
      <c r="CA288" s="99" t="str">
        <f>IF($A288="","",IF($AO288="",1,IFERROR(INDEX('Sublimits and Parts'!$C$105:$C$109,MATCH($AO288,'Sublimits and Parts'!$B$105:$B$109,0)),"?")))</f>
        <v/>
      </c>
      <c r="CB288" s="100" t="str">
        <f t="shared" si="54"/>
        <v/>
      </c>
      <c r="CC288" s="100" t="str">
        <f t="shared" si="55"/>
        <v/>
      </c>
      <c r="CD288" s="103" t="str">
        <f>IF($A288="","",IF(OR($CB288="?",$CC288="?"),"?",MIN($CB288*$CC288,'Technical Premium'!$C$17)))</f>
        <v/>
      </c>
      <c r="CE288" s="102" t="str">
        <f t="shared" si="56"/>
        <v/>
      </c>
      <c r="CF288" s="102" t="str">
        <f>IF($A288="","",IFERROR(INDEX('Territory Factors'!$F$6:$F$56,MATCH($K288,'Territory Factors'!$B$6:$B$56,0)),"?"))</f>
        <v/>
      </c>
      <c r="CG288" s="100" t="str">
        <f>IF($A288="","",IFERROR(INDEX('Usage and Coverage'!$C$79:$C$84,MATCH($Y288,'Usage and Coverage'!$B$79:$B$84,0)),"?"))</f>
        <v/>
      </c>
      <c r="CH288" s="102" t="str">
        <f>IFERROR(IF(ISNUMBER($CD288),$CF288*$CG288*MIN($BG288*$BA288*$BC288*$BD288*$BH288*$BF288,'Technical Premium'!$C$17),""),"")</f>
        <v/>
      </c>
      <c r="CI288" s="102" t="str">
        <f t="shared" si="57"/>
        <v/>
      </c>
      <c r="CJ288" s="102" t="str">
        <f>IFERROR($CI288*(1+'Technical Premium'!$C$5)*(1+'Technical Premium'!$C$6),"")</f>
        <v/>
      </c>
      <c r="CK288" s="102" t="str">
        <f>IFERROR($CE288*INDEX('Territory Factors'!$G$6:$G$56,MATCH($K288,'Territory Factors'!$B$6:$B$56,0))*$AU288*$AV288,"")</f>
        <v/>
      </c>
      <c r="CL288" s="102" t="str">
        <f>IFERROR(($CJ288+$CK288)*(1+'Technical Premium'!$C$7),"")</f>
        <v/>
      </c>
      <c r="CM288" s="104" t="str">
        <f>IFERROR($CL288/'Technical Premium'!$C$13,"")</f>
        <v/>
      </c>
      <c r="CN288" s="105" t="str">
        <f t="shared" si="58"/>
        <v/>
      </c>
      <c r="CO288" s="104" t="str">
        <f t="shared" si="59"/>
        <v/>
      </c>
      <c r="CP288" s="105" t="str">
        <f t="shared" si="60"/>
        <v/>
      </c>
      <c r="CQ288" s="106" t="str">
        <f t="shared" si="61"/>
        <v/>
      </c>
      <c r="CR288" s="102" t="str">
        <f>IF(ISNUMBER($CM288),'Technical Premium'!$C$14+IF($J288&gt;=1000000,'Technical Premium'!$C$15,0),"")</f>
        <v/>
      </c>
      <c r="CS288" s="102" t="str">
        <f>IFERROR(($CO288+$CR288)*(INDEX('Territory Factors'!$K$6:$K$56,MATCH($K288,'Territory Factors'!$B$6:$B$56,0))+'Commission Structure'!$C$21),"")</f>
        <v/>
      </c>
      <c r="CT288" s="104" t="str">
        <f t="shared" si="62"/>
        <v/>
      </c>
      <c r="CU288" s="102" t="str">
        <f>IFERROR($CO288*('Commission Structure'!$C$6+'Commission Structure'!$C$7),"")</f>
        <v/>
      </c>
      <c r="CV288" s="102" t="str">
        <f>IFERROR($CO288*'Commission Structure'!$C$5-$CU288,"")</f>
        <v/>
      </c>
      <c r="CW288" s="102" t="str">
        <f>IFERROR($CO288*(1-'Commission Structure'!$C$5),"")</f>
        <v/>
      </c>
      <c r="CX288" s="107"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8" t="str">
        <f t="shared" si="63"/>
        <v/>
      </c>
      <c r="CZ288" s="99" t="str">
        <f>IF($CY288="","",IF($CY288&lt;'Technical Premium'!$C$19,"BEYOND AUTHORITY",IF($CY288&gt;0.005,"Above technical",IF($CY288&lt;-0.005,"BELOW technical","At technical"))))</f>
        <v/>
      </c>
      <c r="DA288" s="99"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4"/>
      <c r="DC288" s="94"/>
      <c r="DD288" s="95"/>
      <c r="DE288" s="94"/>
      <c r="DF288" s="94"/>
      <c r="DG288" s="99" t="str">
        <f t="shared" si="64"/>
        <v/>
      </c>
      <c r="DH288" s="99" t="str">
        <f>IF($A288="","",IF(OR($CX288="REFER",$CX288="DECLINE"),COUNTIF($CX$5:$CX288,"REFER")+COUNTIF($CX$5:$CX288,"DECLINE"),""))</f>
        <v/>
      </c>
      <c r="DI288" s="94"/>
    </row>
    <row r="289" spans="1:113" x14ac:dyDescent="0.35">
      <c r="A289" s="94"/>
      <c r="B289" s="94"/>
      <c r="C289" s="95"/>
      <c r="D289" s="95"/>
      <c r="E289" s="96"/>
      <c r="F289" s="94"/>
      <c r="G289" s="94"/>
      <c r="H289" s="94"/>
      <c r="I289" s="94"/>
      <c r="J289" s="97"/>
      <c r="K289" s="94"/>
      <c r="L289" s="94"/>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8"/>
      <c r="AR289" s="99" t="str">
        <f t="shared" si="52"/>
        <v/>
      </c>
      <c r="AS289" s="99" t="str">
        <f>IF($A289="","",IF($AP289&lt;&gt;"",$AP289,IFERROR(INDEX('Cat Zone by ZIP'!$D$6:$D$856,MATCH($AR289,'Cat Zone by ZIP'!$B$6:$B$856,0)),IFERROR(INDEX('Cat Zone by ZIP'!$C$860:$C$910,MATCH($K289,'Cat Zone by ZIP'!$B$860:$B$910,0)),"NOT FOUND"))))</f>
        <v/>
      </c>
      <c r="AT289" s="99" t="str">
        <f>IF($A289="","",IF($AP289&lt;&gt;"","Override",IF(ISNUMBER(MATCH($AR289,'Cat Zone by ZIP'!$B$6:$B$856,0)),"ZIP-3","State default")))</f>
        <v/>
      </c>
      <c r="AU289" s="100" t="str">
        <f>IF($A289="","",IFERROR(INDEX('Natural Catastrophe'!$D$6:$D$17,MATCH($AS289,'Natural Catastrophe'!$B$6:$B$17,0)),"?"))</f>
        <v/>
      </c>
      <c r="AV289" s="100" t="str">
        <f>IF($A289="","",IFERROR(INDEX('Natural Catastrophe'!$C$21:$C$26,MATCH($AA289,'Natural Catastrophe'!$B$21:$B$26,0)),"?"))</f>
        <v/>
      </c>
      <c r="AW289" s="99" t="str">
        <f>IF($A289="","",IFERROR(INDEX('Base Rates'!$C$4:$I$4,MATCH(MAX($J289,'Technical Premium'!$C$18),'Base Rates'!$C$3:$I$3,1)),"?"))</f>
        <v/>
      </c>
      <c r="AX289" s="101" t="str">
        <f>IF($A289="","",IFERROR(INDEX('Base Rates'!$C$5:$I$16,MATCH($I289,'Base Rates'!$B$5:$B$16,0),MATCH(MAX($J289,'Technical Premium'!$C$18),'Base Rates'!$C$3:$I$3,1)),"?"))</f>
        <v/>
      </c>
      <c r="AY289" s="102" t="str">
        <f t="shared" si="53"/>
        <v/>
      </c>
      <c r="AZ289" s="99" t="str">
        <f>IF($A289="","",IFERROR(INDEX('Make Factors'!$G$5:$G$69,MATCH($F289,'Make Factors'!$B$5:$B$69,0)),"?"))</f>
        <v/>
      </c>
      <c r="BA289" s="99" t="str">
        <f>IF($A289="","",IFERROR(INDEX('Driver Factors'!$C$6:$C$15,MATCH($R289,'Driver Factors'!$B$6:$B$15,0)),"?"))</f>
        <v/>
      </c>
      <c r="BB289" s="99" t="str">
        <f>IF($A289="","",IFERROR(INDEX('Driver Factors'!$C$19:$C$24,MATCH($S289,'Driver Factors'!$B$19:$B$24,0)),"?"))</f>
        <v/>
      </c>
      <c r="BC289" s="99" t="str">
        <f>IF($A289="","",IFERROR(INDEX('Driver Factors'!$C$28:$C$36,MATCH($T289,'Driver Factors'!$B$28:$B$36,0)),"?"))</f>
        <v/>
      </c>
      <c r="BD289" s="99" t="str">
        <f>IF($A289="","",IFERROR(INDEX('Claims History'!$C$6:$C$15,MATCH($U289,'Claims History'!$B$6:$B$15,0)),"?"))</f>
        <v/>
      </c>
      <c r="BE289" s="99" t="str">
        <f>IF($A289="","",IFERROR(INDEX('Territory Factors'!$E$6:$E$56,MATCH($K289,'Territory Factors'!$B$6:$B$56,0)),"?"))</f>
        <v/>
      </c>
      <c r="BF289" s="99" t="str">
        <f>IF($A289="","",IFERROR(INDEX('City Accident Ratings'!$G$6:$G$54,MATCH($Z289,'City Accident Ratings'!$B$6:$B$54,0)),"?"))</f>
        <v/>
      </c>
      <c r="BG289" s="99" t="str">
        <f>IF($A289="","",IFERROR(INDEX('Usage and Coverage'!$D$6:$D$20,MATCH($N289,'Usage and Coverage'!$C$6:$C$20,0)),"?"))</f>
        <v/>
      </c>
      <c r="BH289" s="99" t="str">
        <f>IF($A289="","",IFERROR(INDEX('Usage and Coverage'!$C$24:$C$30,MATCH($O289,'Usage and Coverage'!$B$24:$B$30,0)),"?"))</f>
        <v/>
      </c>
      <c r="BI289" s="99" t="str">
        <f>IF($A289="","",IFERROR(INDEX('Usage and Coverage'!$C$34:$C$40,MATCH($P289,'Usage and Coverage'!$B$34:$B$40,0)),"?"))</f>
        <v/>
      </c>
      <c r="BJ289" s="99" t="str">
        <f>IF($A289="","",IFERROR(INDEX('Usage and Coverage'!$C$44:$C$49,MATCH($Q289,'Usage and Coverage'!$B$44:$B$49,0)),"?"))</f>
        <v/>
      </c>
      <c r="BK289" s="99" t="str">
        <f>IF($A289="","",IFERROR(INDEX(Deductibles!$C$6:$I$15,MATCH($W289,Deductibles!$B$6:$B$15,0),MATCH(MAX($J289,'Technical Premium'!$C$18),'Base Rates'!$C$3:$I$3,1)),"?"))</f>
        <v/>
      </c>
      <c r="BL289" s="99" t="str">
        <f>IF($A289="","",IFERROR(INDEX('Usage and Coverage'!$C$63:$C$66,MATCH($X289,'Usage and Coverage'!$B$63:$B$66,0)),"?"))</f>
        <v/>
      </c>
      <c r="BM289" s="99" t="str">
        <f>IF($A289="","",IFERROR(INDEX('Usage and Coverage'!$C$70:$C$75,MATCH($V289,'Usage and Coverage'!$B$70:$B$75,0)),"?"))</f>
        <v/>
      </c>
      <c r="BN289" s="99" t="str">
        <f>IF($A289="","",IF($AB289="",1,IFERROR(INDEX(Deductibles!$C$48:$C$51,MATCH($AB289,Deductibles!$B$48:$B$51,0)),"?")))</f>
        <v/>
      </c>
      <c r="BO289" s="99" t="str">
        <f>IF($A289="","",IF($AC289="",1,IFERROR(INDEX(Deductibles!$C$55:$C$57,MATCH($AC289,Deductibles!$B$55:$B$57,0)),"?")))</f>
        <v/>
      </c>
      <c r="BP289" s="99" t="str">
        <f>IF($A289="","",IF($AD289="",1,IFERROR(INDEX(Deductibles!$C$61:$C$63,MATCH($AD289,Deductibles!$B$61:$B$63,0)),"?")))</f>
        <v/>
      </c>
      <c r="BQ289" s="99" t="str">
        <f>IF($A289="","",IF($AE289="",1,IFERROR(INDEX(Deductibles!$C$67:$C$69,MATCH($AE289,Deductibles!$B$67:$B$69,0)),"?")))</f>
        <v/>
      </c>
      <c r="BR289" s="99" t="str">
        <f>IF($A289="","",IF($AF289="",1,IFERROR(INDEX(Deductibles!$C$73:$C$74,MATCH($AF289,Deductibles!$B$73:$B$74,0)),"?")))</f>
        <v/>
      </c>
      <c r="BS289" s="99" t="str">
        <f>IF($A289="","",IF($AG289="",1,IFERROR(INDEX('Sublimits and Parts'!$C$49:$C$52,MATCH($AG289,'Sublimits and Parts'!$B$49:$B$52,0)),"?")))</f>
        <v/>
      </c>
      <c r="BT289" s="99" t="str">
        <f>IF($A289="","",IF($AH289="",1,IFERROR(INDEX('Sublimits and Parts'!$C$56:$C$60,MATCH($AH289,'Sublimits and Parts'!$B$56:$B$60,0)),"?")))</f>
        <v/>
      </c>
      <c r="BU289" s="99" t="str">
        <f>IF($A289="","",IF($AI289="",1,IFERROR(INDEX('Sublimits and Parts'!$C$64:$C$67,MATCH($AI289,'Sublimits and Parts'!$B$64:$B$67,0)),"?")))</f>
        <v/>
      </c>
      <c r="BV289" s="99" t="str">
        <f>IF($A289="","",IF($AJ289="",1,IFERROR(INDEX('Sublimits and Parts'!$C$71:$C$74,MATCH($AJ289,'Sublimits and Parts'!$B$71:$B$74,0)),"?")))</f>
        <v/>
      </c>
      <c r="BW289" s="99" t="str">
        <f>IF($A289="","",IF($AK289="",1,IFERROR(INDEX('Sublimits and Parts'!$C$78:$C$80,MATCH($AK289,'Sublimits and Parts'!$B$78:$B$80,0)),"?")))</f>
        <v/>
      </c>
      <c r="BX289" s="99" t="str">
        <f>IF($A289="","",IF($AL289="",1,IFERROR(INDEX('Sublimits and Parts'!$C$84:$C$87,MATCH($AL289,'Sublimits and Parts'!$B$84:$B$87,0)),"?")))</f>
        <v/>
      </c>
      <c r="BY289" s="99" t="str">
        <f>IF($A289="","",IF($AM289="",1,IFERROR(INDEX('Sublimits and Parts'!$C$91:$C$94,MATCH($AM289,'Sublimits and Parts'!$B$91:$B$94,0)),"?")))</f>
        <v/>
      </c>
      <c r="BZ289" s="99" t="str">
        <f>IF($A289="","",IF($AN289="",1,IFERROR(INDEX('Sublimits and Parts'!$C$98:$C$101,MATCH($AN289,'Sublimits and Parts'!$B$98:$B$101,0)),"?")))</f>
        <v/>
      </c>
      <c r="CA289" s="99" t="str">
        <f>IF($A289="","",IF($AO289="",1,IFERROR(INDEX('Sublimits and Parts'!$C$105:$C$109,MATCH($AO289,'Sublimits and Parts'!$B$105:$B$109,0)),"?")))</f>
        <v/>
      </c>
      <c r="CB289" s="100" t="str">
        <f t="shared" si="54"/>
        <v/>
      </c>
      <c r="CC289" s="100" t="str">
        <f t="shared" si="55"/>
        <v/>
      </c>
      <c r="CD289" s="103" t="str">
        <f>IF($A289="","",IF(OR($CB289="?",$CC289="?"),"?",MIN($CB289*$CC289,'Technical Premium'!$C$17)))</f>
        <v/>
      </c>
      <c r="CE289" s="102" t="str">
        <f t="shared" si="56"/>
        <v/>
      </c>
      <c r="CF289" s="102" t="str">
        <f>IF($A289="","",IFERROR(INDEX('Territory Factors'!$F$6:$F$56,MATCH($K289,'Territory Factors'!$B$6:$B$56,0)),"?"))</f>
        <v/>
      </c>
      <c r="CG289" s="100" t="str">
        <f>IF($A289="","",IFERROR(INDEX('Usage and Coverage'!$C$79:$C$84,MATCH($Y289,'Usage and Coverage'!$B$79:$B$84,0)),"?"))</f>
        <v/>
      </c>
      <c r="CH289" s="102" t="str">
        <f>IFERROR(IF(ISNUMBER($CD289),$CF289*$CG289*MIN($BG289*$BA289*$BC289*$BD289*$BH289*$BF289,'Technical Premium'!$C$17),""),"")</f>
        <v/>
      </c>
      <c r="CI289" s="102" t="str">
        <f t="shared" si="57"/>
        <v/>
      </c>
      <c r="CJ289" s="102" t="str">
        <f>IFERROR($CI289*(1+'Technical Premium'!$C$5)*(1+'Technical Premium'!$C$6),"")</f>
        <v/>
      </c>
      <c r="CK289" s="102" t="str">
        <f>IFERROR($CE289*INDEX('Territory Factors'!$G$6:$G$56,MATCH($K289,'Territory Factors'!$B$6:$B$56,0))*$AU289*$AV289,"")</f>
        <v/>
      </c>
      <c r="CL289" s="102" t="str">
        <f>IFERROR(($CJ289+$CK289)*(1+'Technical Premium'!$C$7),"")</f>
        <v/>
      </c>
      <c r="CM289" s="104" t="str">
        <f>IFERROR($CL289/'Technical Premium'!$C$13,"")</f>
        <v/>
      </c>
      <c r="CN289" s="105" t="str">
        <f t="shared" si="58"/>
        <v/>
      </c>
      <c r="CO289" s="104" t="str">
        <f t="shared" si="59"/>
        <v/>
      </c>
      <c r="CP289" s="105" t="str">
        <f t="shared" si="60"/>
        <v/>
      </c>
      <c r="CQ289" s="106" t="str">
        <f t="shared" si="61"/>
        <v/>
      </c>
      <c r="CR289" s="102" t="str">
        <f>IF(ISNUMBER($CM289),'Technical Premium'!$C$14+IF($J289&gt;=1000000,'Technical Premium'!$C$15,0),"")</f>
        <v/>
      </c>
      <c r="CS289" s="102" t="str">
        <f>IFERROR(($CO289+$CR289)*(INDEX('Territory Factors'!$K$6:$K$56,MATCH($K289,'Territory Factors'!$B$6:$B$56,0))+'Commission Structure'!$C$21),"")</f>
        <v/>
      </c>
      <c r="CT289" s="104" t="str">
        <f t="shared" si="62"/>
        <v/>
      </c>
      <c r="CU289" s="102" t="str">
        <f>IFERROR($CO289*('Commission Structure'!$C$6+'Commission Structure'!$C$7),"")</f>
        <v/>
      </c>
      <c r="CV289" s="102" t="str">
        <f>IFERROR($CO289*'Commission Structure'!$C$5-$CU289,"")</f>
        <v/>
      </c>
      <c r="CW289" s="102" t="str">
        <f>IFERROR($CO289*(1-'Commission Structure'!$C$5),"")</f>
        <v/>
      </c>
      <c r="CX289" s="107"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8" t="str">
        <f t="shared" si="63"/>
        <v/>
      </c>
      <c r="CZ289" s="99" t="str">
        <f>IF($CY289="","",IF($CY289&lt;'Technical Premium'!$C$19,"BEYOND AUTHORITY",IF($CY289&gt;0.005,"Above technical",IF($CY289&lt;-0.005,"BELOW technical","At technical"))))</f>
        <v/>
      </c>
      <c r="DA289" s="99"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4"/>
      <c r="DC289" s="94"/>
      <c r="DD289" s="95"/>
      <c r="DE289" s="94"/>
      <c r="DF289" s="94"/>
      <c r="DG289" s="99" t="str">
        <f t="shared" si="64"/>
        <v/>
      </c>
      <c r="DH289" s="99" t="str">
        <f>IF($A289="","",IF(OR($CX289="REFER",$CX289="DECLINE"),COUNTIF($CX$5:$CX289,"REFER")+COUNTIF($CX$5:$CX289,"DECLINE"),""))</f>
        <v/>
      </c>
      <c r="DI289" s="94"/>
    </row>
    <row r="290" spans="1:113" x14ac:dyDescent="0.35">
      <c r="A290" s="94"/>
      <c r="B290" s="94"/>
      <c r="C290" s="95"/>
      <c r="D290" s="95"/>
      <c r="E290" s="96"/>
      <c r="F290" s="94"/>
      <c r="G290" s="94"/>
      <c r="H290" s="94"/>
      <c r="I290" s="94"/>
      <c r="J290" s="97"/>
      <c r="K290" s="94"/>
      <c r="L290" s="94"/>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8"/>
      <c r="AR290" s="99" t="str">
        <f t="shared" si="52"/>
        <v/>
      </c>
      <c r="AS290" s="99" t="str">
        <f>IF($A290="","",IF($AP290&lt;&gt;"",$AP290,IFERROR(INDEX('Cat Zone by ZIP'!$D$6:$D$856,MATCH($AR290,'Cat Zone by ZIP'!$B$6:$B$856,0)),IFERROR(INDEX('Cat Zone by ZIP'!$C$860:$C$910,MATCH($K290,'Cat Zone by ZIP'!$B$860:$B$910,0)),"NOT FOUND"))))</f>
        <v/>
      </c>
      <c r="AT290" s="99" t="str">
        <f>IF($A290="","",IF($AP290&lt;&gt;"","Override",IF(ISNUMBER(MATCH($AR290,'Cat Zone by ZIP'!$B$6:$B$856,0)),"ZIP-3","State default")))</f>
        <v/>
      </c>
      <c r="AU290" s="100" t="str">
        <f>IF($A290="","",IFERROR(INDEX('Natural Catastrophe'!$D$6:$D$17,MATCH($AS290,'Natural Catastrophe'!$B$6:$B$17,0)),"?"))</f>
        <v/>
      </c>
      <c r="AV290" s="100" t="str">
        <f>IF($A290="","",IFERROR(INDEX('Natural Catastrophe'!$C$21:$C$26,MATCH($AA290,'Natural Catastrophe'!$B$21:$B$26,0)),"?"))</f>
        <v/>
      </c>
      <c r="AW290" s="99" t="str">
        <f>IF($A290="","",IFERROR(INDEX('Base Rates'!$C$4:$I$4,MATCH(MAX($J290,'Technical Premium'!$C$18),'Base Rates'!$C$3:$I$3,1)),"?"))</f>
        <v/>
      </c>
      <c r="AX290" s="101" t="str">
        <f>IF($A290="","",IFERROR(INDEX('Base Rates'!$C$5:$I$16,MATCH($I290,'Base Rates'!$B$5:$B$16,0),MATCH(MAX($J290,'Technical Premium'!$C$18),'Base Rates'!$C$3:$I$3,1)),"?"))</f>
        <v/>
      </c>
      <c r="AY290" s="102" t="str">
        <f t="shared" si="53"/>
        <v/>
      </c>
      <c r="AZ290" s="99" t="str">
        <f>IF($A290="","",IFERROR(INDEX('Make Factors'!$G$5:$G$69,MATCH($F290,'Make Factors'!$B$5:$B$69,0)),"?"))</f>
        <v/>
      </c>
      <c r="BA290" s="99" t="str">
        <f>IF($A290="","",IFERROR(INDEX('Driver Factors'!$C$6:$C$15,MATCH($R290,'Driver Factors'!$B$6:$B$15,0)),"?"))</f>
        <v/>
      </c>
      <c r="BB290" s="99" t="str">
        <f>IF($A290="","",IFERROR(INDEX('Driver Factors'!$C$19:$C$24,MATCH($S290,'Driver Factors'!$B$19:$B$24,0)),"?"))</f>
        <v/>
      </c>
      <c r="BC290" s="99" t="str">
        <f>IF($A290="","",IFERROR(INDEX('Driver Factors'!$C$28:$C$36,MATCH($T290,'Driver Factors'!$B$28:$B$36,0)),"?"))</f>
        <v/>
      </c>
      <c r="BD290" s="99" t="str">
        <f>IF($A290="","",IFERROR(INDEX('Claims History'!$C$6:$C$15,MATCH($U290,'Claims History'!$B$6:$B$15,0)),"?"))</f>
        <v/>
      </c>
      <c r="BE290" s="99" t="str">
        <f>IF($A290="","",IFERROR(INDEX('Territory Factors'!$E$6:$E$56,MATCH($K290,'Territory Factors'!$B$6:$B$56,0)),"?"))</f>
        <v/>
      </c>
      <c r="BF290" s="99" t="str">
        <f>IF($A290="","",IFERROR(INDEX('City Accident Ratings'!$G$6:$G$54,MATCH($Z290,'City Accident Ratings'!$B$6:$B$54,0)),"?"))</f>
        <v/>
      </c>
      <c r="BG290" s="99" t="str">
        <f>IF($A290="","",IFERROR(INDEX('Usage and Coverage'!$D$6:$D$20,MATCH($N290,'Usage and Coverage'!$C$6:$C$20,0)),"?"))</f>
        <v/>
      </c>
      <c r="BH290" s="99" t="str">
        <f>IF($A290="","",IFERROR(INDEX('Usage and Coverage'!$C$24:$C$30,MATCH($O290,'Usage and Coverage'!$B$24:$B$30,0)),"?"))</f>
        <v/>
      </c>
      <c r="BI290" s="99" t="str">
        <f>IF($A290="","",IFERROR(INDEX('Usage and Coverage'!$C$34:$C$40,MATCH($P290,'Usage and Coverage'!$B$34:$B$40,0)),"?"))</f>
        <v/>
      </c>
      <c r="BJ290" s="99" t="str">
        <f>IF($A290="","",IFERROR(INDEX('Usage and Coverage'!$C$44:$C$49,MATCH($Q290,'Usage and Coverage'!$B$44:$B$49,0)),"?"))</f>
        <v/>
      </c>
      <c r="BK290" s="99" t="str">
        <f>IF($A290="","",IFERROR(INDEX(Deductibles!$C$6:$I$15,MATCH($W290,Deductibles!$B$6:$B$15,0),MATCH(MAX($J290,'Technical Premium'!$C$18),'Base Rates'!$C$3:$I$3,1)),"?"))</f>
        <v/>
      </c>
      <c r="BL290" s="99" t="str">
        <f>IF($A290="","",IFERROR(INDEX('Usage and Coverage'!$C$63:$C$66,MATCH($X290,'Usage and Coverage'!$B$63:$B$66,0)),"?"))</f>
        <v/>
      </c>
      <c r="BM290" s="99" t="str">
        <f>IF($A290="","",IFERROR(INDEX('Usage and Coverage'!$C$70:$C$75,MATCH($V290,'Usage and Coverage'!$B$70:$B$75,0)),"?"))</f>
        <v/>
      </c>
      <c r="BN290" s="99" t="str">
        <f>IF($A290="","",IF($AB290="",1,IFERROR(INDEX(Deductibles!$C$48:$C$51,MATCH($AB290,Deductibles!$B$48:$B$51,0)),"?")))</f>
        <v/>
      </c>
      <c r="BO290" s="99" t="str">
        <f>IF($A290="","",IF($AC290="",1,IFERROR(INDEX(Deductibles!$C$55:$C$57,MATCH($AC290,Deductibles!$B$55:$B$57,0)),"?")))</f>
        <v/>
      </c>
      <c r="BP290" s="99" t="str">
        <f>IF($A290="","",IF($AD290="",1,IFERROR(INDEX(Deductibles!$C$61:$C$63,MATCH($AD290,Deductibles!$B$61:$B$63,0)),"?")))</f>
        <v/>
      </c>
      <c r="BQ290" s="99" t="str">
        <f>IF($A290="","",IF($AE290="",1,IFERROR(INDEX(Deductibles!$C$67:$C$69,MATCH($AE290,Deductibles!$B$67:$B$69,0)),"?")))</f>
        <v/>
      </c>
      <c r="BR290" s="99" t="str">
        <f>IF($A290="","",IF($AF290="",1,IFERROR(INDEX(Deductibles!$C$73:$C$74,MATCH($AF290,Deductibles!$B$73:$B$74,0)),"?")))</f>
        <v/>
      </c>
      <c r="BS290" s="99" t="str">
        <f>IF($A290="","",IF($AG290="",1,IFERROR(INDEX('Sublimits and Parts'!$C$49:$C$52,MATCH($AG290,'Sublimits and Parts'!$B$49:$B$52,0)),"?")))</f>
        <v/>
      </c>
      <c r="BT290" s="99" t="str">
        <f>IF($A290="","",IF($AH290="",1,IFERROR(INDEX('Sublimits and Parts'!$C$56:$C$60,MATCH($AH290,'Sublimits and Parts'!$B$56:$B$60,0)),"?")))</f>
        <v/>
      </c>
      <c r="BU290" s="99" t="str">
        <f>IF($A290="","",IF($AI290="",1,IFERROR(INDEX('Sublimits and Parts'!$C$64:$C$67,MATCH($AI290,'Sublimits and Parts'!$B$64:$B$67,0)),"?")))</f>
        <v/>
      </c>
      <c r="BV290" s="99" t="str">
        <f>IF($A290="","",IF($AJ290="",1,IFERROR(INDEX('Sublimits and Parts'!$C$71:$C$74,MATCH($AJ290,'Sublimits and Parts'!$B$71:$B$74,0)),"?")))</f>
        <v/>
      </c>
      <c r="BW290" s="99" t="str">
        <f>IF($A290="","",IF($AK290="",1,IFERROR(INDEX('Sublimits and Parts'!$C$78:$C$80,MATCH($AK290,'Sublimits and Parts'!$B$78:$B$80,0)),"?")))</f>
        <v/>
      </c>
      <c r="BX290" s="99" t="str">
        <f>IF($A290="","",IF($AL290="",1,IFERROR(INDEX('Sublimits and Parts'!$C$84:$C$87,MATCH($AL290,'Sublimits and Parts'!$B$84:$B$87,0)),"?")))</f>
        <v/>
      </c>
      <c r="BY290" s="99" t="str">
        <f>IF($A290="","",IF($AM290="",1,IFERROR(INDEX('Sublimits and Parts'!$C$91:$C$94,MATCH($AM290,'Sublimits and Parts'!$B$91:$B$94,0)),"?")))</f>
        <v/>
      </c>
      <c r="BZ290" s="99" t="str">
        <f>IF($A290="","",IF($AN290="",1,IFERROR(INDEX('Sublimits and Parts'!$C$98:$C$101,MATCH($AN290,'Sublimits and Parts'!$B$98:$B$101,0)),"?")))</f>
        <v/>
      </c>
      <c r="CA290" s="99" t="str">
        <f>IF($A290="","",IF($AO290="",1,IFERROR(INDEX('Sublimits and Parts'!$C$105:$C$109,MATCH($AO290,'Sublimits and Parts'!$B$105:$B$109,0)),"?")))</f>
        <v/>
      </c>
      <c r="CB290" s="100" t="str">
        <f t="shared" si="54"/>
        <v/>
      </c>
      <c r="CC290" s="100" t="str">
        <f t="shared" si="55"/>
        <v/>
      </c>
      <c r="CD290" s="103" t="str">
        <f>IF($A290="","",IF(OR($CB290="?",$CC290="?"),"?",MIN($CB290*$CC290,'Technical Premium'!$C$17)))</f>
        <v/>
      </c>
      <c r="CE290" s="102" t="str">
        <f t="shared" si="56"/>
        <v/>
      </c>
      <c r="CF290" s="102" t="str">
        <f>IF($A290="","",IFERROR(INDEX('Territory Factors'!$F$6:$F$56,MATCH($K290,'Territory Factors'!$B$6:$B$56,0)),"?"))</f>
        <v/>
      </c>
      <c r="CG290" s="100" t="str">
        <f>IF($A290="","",IFERROR(INDEX('Usage and Coverage'!$C$79:$C$84,MATCH($Y290,'Usage and Coverage'!$B$79:$B$84,0)),"?"))</f>
        <v/>
      </c>
      <c r="CH290" s="102" t="str">
        <f>IFERROR(IF(ISNUMBER($CD290),$CF290*$CG290*MIN($BG290*$BA290*$BC290*$BD290*$BH290*$BF290,'Technical Premium'!$C$17),""),"")</f>
        <v/>
      </c>
      <c r="CI290" s="102" t="str">
        <f t="shared" si="57"/>
        <v/>
      </c>
      <c r="CJ290" s="102" t="str">
        <f>IFERROR($CI290*(1+'Technical Premium'!$C$5)*(1+'Technical Premium'!$C$6),"")</f>
        <v/>
      </c>
      <c r="CK290" s="102" t="str">
        <f>IFERROR($CE290*INDEX('Territory Factors'!$G$6:$G$56,MATCH($K290,'Territory Factors'!$B$6:$B$56,0))*$AU290*$AV290,"")</f>
        <v/>
      </c>
      <c r="CL290" s="102" t="str">
        <f>IFERROR(($CJ290+$CK290)*(1+'Technical Premium'!$C$7),"")</f>
        <v/>
      </c>
      <c r="CM290" s="104" t="str">
        <f>IFERROR($CL290/'Technical Premium'!$C$13,"")</f>
        <v/>
      </c>
      <c r="CN290" s="105" t="str">
        <f t="shared" si="58"/>
        <v/>
      </c>
      <c r="CO290" s="104" t="str">
        <f t="shared" si="59"/>
        <v/>
      </c>
      <c r="CP290" s="105" t="str">
        <f t="shared" si="60"/>
        <v/>
      </c>
      <c r="CQ290" s="106" t="str">
        <f t="shared" si="61"/>
        <v/>
      </c>
      <c r="CR290" s="102" t="str">
        <f>IF(ISNUMBER($CM290),'Technical Premium'!$C$14+IF($J290&gt;=1000000,'Technical Premium'!$C$15,0),"")</f>
        <v/>
      </c>
      <c r="CS290" s="102" t="str">
        <f>IFERROR(($CO290+$CR290)*(INDEX('Territory Factors'!$K$6:$K$56,MATCH($K290,'Territory Factors'!$B$6:$B$56,0))+'Commission Structure'!$C$21),"")</f>
        <v/>
      </c>
      <c r="CT290" s="104" t="str">
        <f t="shared" si="62"/>
        <v/>
      </c>
      <c r="CU290" s="102" t="str">
        <f>IFERROR($CO290*('Commission Structure'!$C$6+'Commission Structure'!$C$7),"")</f>
        <v/>
      </c>
      <c r="CV290" s="102" t="str">
        <f>IFERROR($CO290*'Commission Structure'!$C$5-$CU290,"")</f>
        <v/>
      </c>
      <c r="CW290" s="102" t="str">
        <f>IFERROR($CO290*(1-'Commission Structure'!$C$5),"")</f>
        <v/>
      </c>
      <c r="CX290" s="107"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8" t="str">
        <f t="shared" si="63"/>
        <v/>
      </c>
      <c r="CZ290" s="99" t="str">
        <f>IF($CY290="","",IF($CY290&lt;'Technical Premium'!$C$19,"BEYOND AUTHORITY",IF($CY290&gt;0.005,"Above technical",IF($CY290&lt;-0.005,"BELOW technical","At technical"))))</f>
        <v/>
      </c>
      <c r="DA290" s="99"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4"/>
      <c r="DC290" s="94"/>
      <c r="DD290" s="95"/>
      <c r="DE290" s="94"/>
      <c r="DF290" s="94"/>
      <c r="DG290" s="99" t="str">
        <f t="shared" si="64"/>
        <v/>
      </c>
      <c r="DH290" s="99" t="str">
        <f>IF($A290="","",IF(OR($CX290="REFER",$CX290="DECLINE"),COUNTIF($CX$5:$CX290,"REFER")+COUNTIF($CX$5:$CX290,"DECLINE"),""))</f>
        <v/>
      </c>
      <c r="DI290" s="94"/>
    </row>
    <row r="291" spans="1:113" x14ac:dyDescent="0.35">
      <c r="A291" s="94"/>
      <c r="B291" s="94"/>
      <c r="C291" s="95"/>
      <c r="D291" s="95"/>
      <c r="E291" s="96"/>
      <c r="F291" s="94"/>
      <c r="G291" s="94"/>
      <c r="H291" s="94"/>
      <c r="I291" s="94"/>
      <c r="J291" s="97"/>
      <c r="K291" s="94"/>
      <c r="L291" s="94"/>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8"/>
      <c r="AR291" s="99" t="str">
        <f t="shared" si="52"/>
        <v/>
      </c>
      <c r="AS291" s="99" t="str">
        <f>IF($A291="","",IF($AP291&lt;&gt;"",$AP291,IFERROR(INDEX('Cat Zone by ZIP'!$D$6:$D$856,MATCH($AR291,'Cat Zone by ZIP'!$B$6:$B$856,0)),IFERROR(INDEX('Cat Zone by ZIP'!$C$860:$C$910,MATCH($K291,'Cat Zone by ZIP'!$B$860:$B$910,0)),"NOT FOUND"))))</f>
        <v/>
      </c>
      <c r="AT291" s="99" t="str">
        <f>IF($A291="","",IF($AP291&lt;&gt;"","Override",IF(ISNUMBER(MATCH($AR291,'Cat Zone by ZIP'!$B$6:$B$856,0)),"ZIP-3","State default")))</f>
        <v/>
      </c>
      <c r="AU291" s="100" t="str">
        <f>IF($A291="","",IFERROR(INDEX('Natural Catastrophe'!$D$6:$D$17,MATCH($AS291,'Natural Catastrophe'!$B$6:$B$17,0)),"?"))</f>
        <v/>
      </c>
      <c r="AV291" s="100" t="str">
        <f>IF($A291="","",IFERROR(INDEX('Natural Catastrophe'!$C$21:$C$26,MATCH($AA291,'Natural Catastrophe'!$B$21:$B$26,0)),"?"))</f>
        <v/>
      </c>
      <c r="AW291" s="99" t="str">
        <f>IF($A291="","",IFERROR(INDEX('Base Rates'!$C$4:$I$4,MATCH(MAX($J291,'Technical Premium'!$C$18),'Base Rates'!$C$3:$I$3,1)),"?"))</f>
        <v/>
      </c>
      <c r="AX291" s="101" t="str">
        <f>IF($A291="","",IFERROR(INDEX('Base Rates'!$C$5:$I$16,MATCH($I291,'Base Rates'!$B$5:$B$16,0),MATCH(MAX($J291,'Technical Premium'!$C$18),'Base Rates'!$C$3:$I$3,1)),"?"))</f>
        <v/>
      </c>
      <c r="AY291" s="102" t="str">
        <f t="shared" si="53"/>
        <v/>
      </c>
      <c r="AZ291" s="99" t="str">
        <f>IF($A291="","",IFERROR(INDEX('Make Factors'!$G$5:$G$69,MATCH($F291,'Make Factors'!$B$5:$B$69,0)),"?"))</f>
        <v/>
      </c>
      <c r="BA291" s="99" t="str">
        <f>IF($A291="","",IFERROR(INDEX('Driver Factors'!$C$6:$C$15,MATCH($R291,'Driver Factors'!$B$6:$B$15,0)),"?"))</f>
        <v/>
      </c>
      <c r="BB291" s="99" t="str">
        <f>IF($A291="","",IFERROR(INDEX('Driver Factors'!$C$19:$C$24,MATCH($S291,'Driver Factors'!$B$19:$B$24,0)),"?"))</f>
        <v/>
      </c>
      <c r="BC291" s="99" t="str">
        <f>IF($A291="","",IFERROR(INDEX('Driver Factors'!$C$28:$C$36,MATCH($T291,'Driver Factors'!$B$28:$B$36,0)),"?"))</f>
        <v/>
      </c>
      <c r="BD291" s="99" t="str">
        <f>IF($A291="","",IFERROR(INDEX('Claims History'!$C$6:$C$15,MATCH($U291,'Claims History'!$B$6:$B$15,0)),"?"))</f>
        <v/>
      </c>
      <c r="BE291" s="99" t="str">
        <f>IF($A291="","",IFERROR(INDEX('Territory Factors'!$E$6:$E$56,MATCH($K291,'Territory Factors'!$B$6:$B$56,0)),"?"))</f>
        <v/>
      </c>
      <c r="BF291" s="99" t="str">
        <f>IF($A291="","",IFERROR(INDEX('City Accident Ratings'!$G$6:$G$54,MATCH($Z291,'City Accident Ratings'!$B$6:$B$54,0)),"?"))</f>
        <v/>
      </c>
      <c r="BG291" s="99" t="str">
        <f>IF($A291="","",IFERROR(INDEX('Usage and Coverage'!$D$6:$D$20,MATCH($N291,'Usage and Coverage'!$C$6:$C$20,0)),"?"))</f>
        <v/>
      </c>
      <c r="BH291" s="99" t="str">
        <f>IF($A291="","",IFERROR(INDEX('Usage and Coverage'!$C$24:$C$30,MATCH($O291,'Usage and Coverage'!$B$24:$B$30,0)),"?"))</f>
        <v/>
      </c>
      <c r="BI291" s="99" t="str">
        <f>IF($A291="","",IFERROR(INDEX('Usage and Coverage'!$C$34:$C$40,MATCH($P291,'Usage and Coverage'!$B$34:$B$40,0)),"?"))</f>
        <v/>
      </c>
      <c r="BJ291" s="99" t="str">
        <f>IF($A291="","",IFERROR(INDEX('Usage and Coverage'!$C$44:$C$49,MATCH($Q291,'Usage and Coverage'!$B$44:$B$49,0)),"?"))</f>
        <v/>
      </c>
      <c r="BK291" s="99" t="str">
        <f>IF($A291="","",IFERROR(INDEX(Deductibles!$C$6:$I$15,MATCH($W291,Deductibles!$B$6:$B$15,0),MATCH(MAX($J291,'Technical Premium'!$C$18),'Base Rates'!$C$3:$I$3,1)),"?"))</f>
        <v/>
      </c>
      <c r="BL291" s="99" t="str">
        <f>IF($A291="","",IFERROR(INDEX('Usage and Coverage'!$C$63:$C$66,MATCH($X291,'Usage and Coverage'!$B$63:$B$66,0)),"?"))</f>
        <v/>
      </c>
      <c r="BM291" s="99" t="str">
        <f>IF($A291="","",IFERROR(INDEX('Usage and Coverage'!$C$70:$C$75,MATCH($V291,'Usage and Coverage'!$B$70:$B$75,0)),"?"))</f>
        <v/>
      </c>
      <c r="BN291" s="99" t="str">
        <f>IF($A291="","",IF($AB291="",1,IFERROR(INDEX(Deductibles!$C$48:$C$51,MATCH($AB291,Deductibles!$B$48:$B$51,0)),"?")))</f>
        <v/>
      </c>
      <c r="BO291" s="99" t="str">
        <f>IF($A291="","",IF($AC291="",1,IFERROR(INDEX(Deductibles!$C$55:$C$57,MATCH($AC291,Deductibles!$B$55:$B$57,0)),"?")))</f>
        <v/>
      </c>
      <c r="BP291" s="99" t="str">
        <f>IF($A291="","",IF($AD291="",1,IFERROR(INDEX(Deductibles!$C$61:$C$63,MATCH($AD291,Deductibles!$B$61:$B$63,0)),"?")))</f>
        <v/>
      </c>
      <c r="BQ291" s="99" t="str">
        <f>IF($A291="","",IF($AE291="",1,IFERROR(INDEX(Deductibles!$C$67:$C$69,MATCH($AE291,Deductibles!$B$67:$B$69,0)),"?")))</f>
        <v/>
      </c>
      <c r="BR291" s="99" t="str">
        <f>IF($A291="","",IF($AF291="",1,IFERROR(INDEX(Deductibles!$C$73:$C$74,MATCH($AF291,Deductibles!$B$73:$B$74,0)),"?")))</f>
        <v/>
      </c>
      <c r="BS291" s="99" t="str">
        <f>IF($A291="","",IF($AG291="",1,IFERROR(INDEX('Sublimits and Parts'!$C$49:$C$52,MATCH($AG291,'Sublimits and Parts'!$B$49:$B$52,0)),"?")))</f>
        <v/>
      </c>
      <c r="BT291" s="99" t="str">
        <f>IF($A291="","",IF($AH291="",1,IFERROR(INDEX('Sublimits and Parts'!$C$56:$C$60,MATCH($AH291,'Sublimits and Parts'!$B$56:$B$60,0)),"?")))</f>
        <v/>
      </c>
      <c r="BU291" s="99" t="str">
        <f>IF($A291="","",IF($AI291="",1,IFERROR(INDEX('Sublimits and Parts'!$C$64:$C$67,MATCH($AI291,'Sublimits and Parts'!$B$64:$B$67,0)),"?")))</f>
        <v/>
      </c>
      <c r="BV291" s="99" t="str">
        <f>IF($A291="","",IF($AJ291="",1,IFERROR(INDEX('Sublimits and Parts'!$C$71:$C$74,MATCH($AJ291,'Sublimits and Parts'!$B$71:$B$74,0)),"?")))</f>
        <v/>
      </c>
      <c r="BW291" s="99" t="str">
        <f>IF($A291="","",IF($AK291="",1,IFERROR(INDEX('Sublimits and Parts'!$C$78:$C$80,MATCH($AK291,'Sublimits and Parts'!$B$78:$B$80,0)),"?")))</f>
        <v/>
      </c>
      <c r="BX291" s="99" t="str">
        <f>IF($A291="","",IF($AL291="",1,IFERROR(INDEX('Sublimits and Parts'!$C$84:$C$87,MATCH($AL291,'Sublimits and Parts'!$B$84:$B$87,0)),"?")))</f>
        <v/>
      </c>
      <c r="BY291" s="99" t="str">
        <f>IF($A291="","",IF($AM291="",1,IFERROR(INDEX('Sublimits and Parts'!$C$91:$C$94,MATCH($AM291,'Sublimits and Parts'!$B$91:$B$94,0)),"?")))</f>
        <v/>
      </c>
      <c r="BZ291" s="99" t="str">
        <f>IF($A291="","",IF($AN291="",1,IFERROR(INDEX('Sublimits and Parts'!$C$98:$C$101,MATCH($AN291,'Sublimits and Parts'!$B$98:$B$101,0)),"?")))</f>
        <v/>
      </c>
      <c r="CA291" s="99" t="str">
        <f>IF($A291="","",IF($AO291="",1,IFERROR(INDEX('Sublimits and Parts'!$C$105:$C$109,MATCH($AO291,'Sublimits and Parts'!$B$105:$B$109,0)),"?")))</f>
        <v/>
      </c>
      <c r="CB291" s="100" t="str">
        <f t="shared" si="54"/>
        <v/>
      </c>
      <c r="CC291" s="100" t="str">
        <f t="shared" si="55"/>
        <v/>
      </c>
      <c r="CD291" s="103" t="str">
        <f>IF($A291="","",IF(OR($CB291="?",$CC291="?"),"?",MIN($CB291*$CC291,'Technical Premium'!$C$17)))</f>
        <v/>
      </c>
      <c r="CE291" s="102" t="str">
        <f t="shared" si="56"/>
        <v/>
      </c>
      <c r="CF291" s="102" t="str">
        <f>IF($A291="","",IFERROR(INDEX('Territory Factors'!$F$6:$F$56,MATCH($K291,'Territory Factors'!$B$6:$B$56,0)),"?"))</f>
        <v/>
      </c>
      <c r="CG291" s="100" t="str">
        <f>IF($A291="","",IFERROR(INDEX('Usage and Coverage'!$C$79:$C$84,MATCH($Y291,'Usage and Coverage'!$B$79:$B$84,0)),"?"))</f>
        <v/>
      </c>
      <c r="CH291" s="102" t="str">
        <f>IFERROR(IF(ISNUMBER($CD291),$CF291*$CG291*MIN($BG291*$BA291*$BC291*$BD291*$BH291*$BF291,'Technical Premium'!$C$17),""),"")</f>
        <v/>
      </c>
      <c r="CI291" s="102" t="str">
        <f t="shared" si="57"/>
        <v/>
      </c>
      <c r="CJ291" s="102" t="str">
        <f>IFERROR($CI291*(1+'Technical Premium'!$C$5)*(1+'Technical Premium'!$C$6),"")</f>
        <v/>
      </c>
      <c r="CK291" s="102" t="str">
        <f>IFERROR($CE291*INDEX('Territory Factors'!$G$6:$G$56,MATCH($K291,'Territory Factors'!$B$6:$B$56,0))*$AU291*$AV291,"")</f>
        <v/>
      </c>
      <c r="CL291" s="102" t="str">
        <f>IFERROR(($CJ291+$CK291)*(1+'Technical Premium'!$C$7),"")</f>
        <v/>
      </c>
      <c r="CM291" s="104" t="str">
        <f>IFERROR($CL291/'Technical Premium'!$C$13,"")</f>
        <v/>
      </c>
      <c r="CN291" s="105" t="str">
        <f t="shared" si="58"/>
        <v/>
      </c>
      <c r="CO291" s="104" t="str">
        <f t="shared" si="59"/>
        <v/>
      </c>
      <c r="CP291" s="105" t="str">
        <f t="shared" si="60"/>
        <v/>
      </c>
      <c r="CQ291" s="106" t="str">
        <f t="shared" si="61"/>
        <v/>
      </c>
      <c r="CR291" s="102" t="str">
        <f>IF(ISNUMBER($CM291),'Technical Premium'!$C$14+IF($J291&gt;=1000000,'Technical Premium'!$C$15,0),"")</f>
        <v/>
      </c>
      <c r="CS291" s="102" t="str">
        <f>IFERROR(($CO291+$CR291)*(INDEX('Territory Factors'!$K$6:$K$56,MATCH($K291,'Territory Factors'!$B$6:$B$56,0))+'Commission Structure'!$C$21),"")</f>
        <v/>
      </c>
      <c r="CT291" s="104" t="str">
        <f t="shared" si="62"/>
        <v/>
      </c>
      <c r="CU291" s="102" t="str">
        <f>IFERROR($CO291*('Commission Structure'!$C$6+'Commission Structure'!$C$7),"")</f>
        <v/>
      </c>
      <c r="CV291" s="102" t="str">
        <f>IFERROR($CO291*'Commission Structure'!$C$5-$CU291,"")</f>
        <v/>
      </c>
      <c r="CW291" s="102" t="str">
        <f>IFERROR($CO291*(1-'Commission Structure'!$C$5),"")</f>
        <v/>
      </c>
      <c r="CX291" s="107"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8" t="str">
        <f t="shared" si="63"/>
        <v/>
      </c>
      <c r="CZ291" s="99" t="str">
        <f>IF($CY291="","",IF($CY291&lt;'Technical Premium'!$C$19,"BEYOND AUTHORITY",IF($CY291&gt;0.005,"Above technical",IF($CY291&lt;-0.005,"BELOW technical","At technical"))))</f>
        <v/>
      </c>
      <c r="DA291" s="99"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4"/>
      <c r="DC291" s="94"/>
      <c r="DD291" s="95"/>
      <c r="DE291" s="94"/>
      <c r="DF291" s="94"/>
      <c r="DG291" s="99" t="str">
        <f t="shared" si="64"/>
        <v/>
      </c>
      <c r="DH291" s="99" t="str">
        <f>IF($A291="","",IF(OR($CX291="REFER",$CX291="DECLINE"),COUNTIF($CX$5:$CX291,"REFER")+COUNTIF($CX$5:$CX291,"DECLINE"),""))</f>
        <v/>
      </c>
      <c r="DI291" s="94"/>
    </row>
    <row r="292" spans="1:113" x14ac:dyDescent="0.35">
      <c r="A292" s="94"/>
      <c r="B292" s="94"/>
      <c r="C292" s="95"/>
      <c r="D292" s="95"/>
      <c r="E292" s="96"/>
      <c r="F292" s="94"/>
      <c r="G292" s="94"/>
      <c r="H292" s="94"/>
      <c r="I292" s="94"/>
      <c r="J292" s="97"/>
      <c r="K292" s="94"/>
      <c r="L292" s="94"/>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8"/>
      <c r="AR292" s="99" t="str">
        <f t="shared" si="52"/>
        <v/>
      </c>
      <c r="AS292" s="99" t="str">
        <f>IF($A292="","",IF($AP292&lt;&gt;"",$AP292,IFERROR(INDEX('Cat Zone by ZIP'!$D$6:$D$856,MATCH($AR292,'Cat Zone by ZIP'!$B$6:$B$856,0)),IFERROR(INDEX('Cat Zone by ZIP'!$C$860:$C$910,MATCH($K292,'Cat Zone by ZIP'!$B$860:$B$910,0)),"NOT FOUND"))))</f>
        <v/>
      </c>
      <c r="AT292" s="99" t="str">
        <f>IF($A292="","",IF($AP292&lt;&gt;"","Override",IF(ISNUMBER(MATCH($AR292,'Cat Zone by ZIP'!$B$6:$B$856,0)),"ZIP-3","State default")))</f>
        <v/>
      </c>
      <c r="AU292" s="100" t="str">
        <f>IF($A292="","",IFERROR(INDEX('Natural Catastrophe'!$D$6:$D$17,MATCH($AS292,'Natural Catastrophe'!$B$6:$B$17,0)),"?"))</f>
        <v/>
      </c>
      <c r="AV292" s="100" t="str">
        <f>IF($A292="","",IFERROR(INDEX('Natural Catastrophe'!$C$21:$C$26,MATCH($AA292,'Natural Catastrophe'!$B$21:$B$26,0)),"?"))</f>
        <v/>
      </c>
      <c r="AW292" s="99" t="str">
        <f>IF($A292="","",IFERROR(INDEX('Base Rates'!$C$4:$I$4,MATCH(MAX($J292,'Technical Premium'!$C$18),'Base Rates'!$C$3:$I$3,1)),"?"))</f>
        <v/>
      </c>
      <c r="AX292" s="101" t="str">
        <f>IF($A292="","",IFERROR(INDEX('Base Rates'!$C$5:$I$16,MATCH($I292,'Base Rates'!$B$5:$B$16,0),MATCH(MAX($J292,'Technical Premium'!$C$18),'Base Rates'!$C$3:$I$3,1)),"?"))</f>
        <v/>
      </c>
      <c r="AY292" s="102" t="str">
        <f t="shared" si="53"/>
        <v/>
      </c>
      <c r="AZ292" s="99" t="str">
        <f>IF($A292="","",IFERROR(INDEX('Make Factors'!$G$5:$G$69,MATCH($F292,'Make Factors'!$B$5:$B$69,0)),"?"))</f>
        <v/>
      </c>
      <c r="BA292" s="99" t="str">
        <f>IF($A292="","",IFERROR(INDEX('Driver Factors'!$C$6:$C$15,MATCH($R292,'Driver Factors'!$B$6:$B$15,0)),"?"))</f>
        <v/>
      </c>
      <c r="BB292" s="99" t="str">
        <f>IF($A292="","",IFERROR(INDEX('Driver Factors'!$C$19:$C$24,MATCH($S292,'Driver Factors'!$B$19:$B$24,0)),"?"))</f>
        <v/>
      </c>
      <c r="BC292" s="99" t="str">
        <f>IF($A292="","",IFERROR(INDEX('Driver Factors'!$C$28:$C$36,MATCH($T292,'Driver Factors'!$B$28:$B$36,0)),"?"))</f>
        <v/>
      </c>
      <c r="BD292" s="99" t="str">
        <f>IF($A292="","",IFERROR(INDEX('Claims History'!$C$6:$C$15,MATCH($U292,'Claims History'!$B$6:$B$15,0)),"?"))</f>
        <v/>
      </c>
      <c r="BE292" s="99" t="str">
        <f>IF($A292="","",IFERROR(INDEX('Territory Factors'!$E$6:$E$56,MATCH($K292,'Territory Factors'!$B$6:$B$56,0)),"?"))</f>
        <v/>
      </c>
      <c r="BF292" s="99" t="str">
        <f>IF($A292="","",IFERROR(INDEX('City Accident Ratings'!$G$6:$G$54,MATCH($Z292,'City Accident Ratings'!$B$6:$B$54,0)),"?"))</f>
        <v/>
      </c>
      <c r="BG292" s="99" t="str">
        <f>IF($A292="","",IFERROR(INDEX('Usage and Coverage'!$D$6:$D$20,MATCH($N292,'Usage and Coverage'!$C$6:$C$20,0)),"?"))</f>
        <v/>
      </c>
      <c r="BH292" s="99" t="str">
        <f>IF($A292="","",IFERROR(INDEX('Usage and Coverage'!$C$24:$C$30,MATCH($O292,'Usage and Coverage'!$B$24:$B$30,0)),"?"))</f>
        <v/>
      </c>
      <c r="BI292" s="99" t="str">
        <f>IF($A292="","",IFERROR(INDEX('Usage and Coverage'!$C$34:$C$40,MATCH($P292,'Usage and Coverage'!$B$34:$B$40,0)),"?"))</f>
        <v/>
      </c>
      <c r="BJ292" s="99" t="str">
        <f>IF($A292="","",IFERROR(INDEX('Usage and Coverage'!$C$44:$C$49,MATCH($Q292,'Usage and Coverage'!$B$44:$B$49,0)),"?"))</f>
        <v/>
      </c>
      <c r="BK292" s="99" t="str">
        <f>IF($A292="","",IFERROR(INDEX(Deductibles!$C$6:$I$15,MATCH($W292,Deductibles!$B$6:$B$15,0),MATCH(MAX($J292,'Technical Premium'!$C$18),'Base Rates'!$C$3:$I$3,1)),"?"))</f>
        <v/>
      </c>
      <c r="BL292" s="99" t="str">
        <f>IF($A292="","",IFERROR(INDEX('Usage and Coverage'!$C$63:$C$66,MATCH($X292,'Usage and Coverage'!$B$63:$B$66,0)),"?"))</f>
        <v/>
      </c>
      <c r="BM292" s="99" t="str">
        <f>IF($A292="","",IFERROR(INDEX('Usage and Coverage'!$C$70:$C$75,MATCH($V292,'Usage and Coverage'!$B$70:$B$75,0)),"?"))</f>
        <v/>
      </c>
      <c r="BN292" s="99" t="str">
        <f>IF($A292="","",IF($AB292="",1,IFERROR(INDEX(Deductibles!$C$48:$C$51,MATCH($AB292,Deductibles!$B$48:$B$51,0)),"?")))</f>
        <v/>
      </c>
      <c r="BO292" s="99" t="str">
        <f>IF($A292="","",IF($AC292="",1,IFERROR(INDEX(Deductibles!$C$55:$C$57,MATCH($AC292,Deductibles!$B$55:$B$57,0)),"?")))</f>
        <v/>
      </c>
      <c r="BP292" s="99" t="str">
        <f>IF($A292="","",IF($AD292="",1,IFERROR(INDEX(Deductibles!$C$61:$C$63,MATCH($AD292,Deductibles!$B$61:$B$63,0)),"?")))</f>
        <v/>
      </c>
      <c r="BQ292" s="99" t="str">
        <f>IF($A292="","",IF($AE292="",1,IFERROR(INDEX(Deductibles!$C$67:$C$69,MATCH($AE292,Deductibles!$B$67:$B$69,0)),"?")))</f>
        <v/>
      </c>
      <c r="BR292" s="99" t="str">
        <f>IF($A292="","",IF($AF292="",1,IFERROR(INDEX(Deductibles!$C$73:$C$74,MATCH($AF292,Deductibles!$B$73:$B$74,0)),"?")))</f>
        <v/>
      </c>
      <c r="BS292" s="99" t="str">
        <f>IF($A292="","",IF($AG292="",1,IFERROR(INDEX('Sublimits and Parts'!$C$49:$C$52,MATCH($AG292,'Sublimits and Parts'!$B$49:$B$52,0)),"?")))</f>
        <v/>
      </c>
      <c r="BT292" s="99" t="str">
        <f>IF($A292="","",IF($AH292="",1,IFERROR(INDEX('Sublimits and Parts'!$C$56:$C$60,MATCH($AH292,'Sublimits and Parts'!$B$56:$B$60,0)),"?")))</f>
        <v/>
      </c>
      <c r="BU292" s="99" t="str">
        <f>IF($A292="","",IF($AI292="",1,IFERROR(INDEX('Sublimits and Parts'!$C$64:$C$67,MATCH($AI292,'Sublimits and Parts'!$B$64:$B$67,0)),"?")))</f>
        <v/>
      </c>
      <c r="BV292" s="99" t="str">
        <f>IF($A292="","",IF($AJ292="",1,IFERROR(INDEX('Sublimits and Parts'!$C$71:$C$74,MATCH($AJ292,'Sublimits and Parts'!$B$71:$B$74,0)),"?")))</f>
        <v/>
      </c>
      <c r="BW292" s="99" t="str">
        <f>IF($A292="","",IF($AK292="",1,IFERROR(INDEX('Sublimits and Parts'!$C$78:$C$80,MATCH($AK292,'Sublimits and Parts'!$B$78:$B$80,0)),"?")))</f>
        <v/>
      </c>
      <c r="BX292" s="99" t="str">
        <f>IF($A292="","",IF($AL292="",1,IFERROR(INDEX('Sublimits and Parts'!$C$84:$C$87,MATCH($AL292,'Sublimits and Parts'!$B$84:$B$87,0)),"?")))</f>
        <v/>
      </c>
      <c r="BY292" s="99" t="str">
        <f>IF($A292="","",IF($AM292="",1,IFERROR(INDEX('Sublimits and Parts'!$C$91:$C$94,MATCH($AM292,'Sublimits and Parts'!$B$91:$B$94,0)),"?")))</f>
        <v/>
      </c>
      <c r="BZ292" s="99" t="str">
        <f>IF($A292="","",IF($AN292="",1,IFERROR(INDEX('Sublimits and Parts'!$C$98:$C$101,MATCH($AN292,'Sublimits and Parts'!$B$98:$B$101,0)),"?")))</f>
        <v/>
      </c>
      <c r="CA292" s="99" t="str">
        <f>IF($A292="","",IF($AO292="",1,IFERROR(INDEX('Sublimits and Parts'!$C$105:$C$109,MATCH($AO292,'Sublimits and Parts'!$B$105:$B$109,0)),"?")))</f>
        <v/>
      </c>
      <c r="CB292" s="100" t="str">
        <f t="shared" si="54"/>
        <v/>
      </c>
      <c r="CC292" s="100" t="str">
        <f t="shared" si="55"/>
        <v/>
      </c>
      <c r="CD292" s="103" t="str">
        <f>IF($A292="","",IF(OR($CB292="?",$CC292="?"),"?",MIN($CB292*$CC292,'Technical Premium'!$C$17)))</f>
        <v/>
      </c>
      <c r="CE292" s="102" t="str">
        <f t="shared" si="56"/>
        <v/>
      </c>
      <c r="CF292" s="102" t="str">
        <f>IF($A292="","",IFERROR(INDEX('Territory Factors'!$F$6:$F$56,MATCH($K292,'Territory Factors'!$B$6:$B$56,0)),"?"))</f>
        <v/>
      </c>
      <c r="CG292" s="100" t="str">
        <f>IF($A292="","",IFERROR(INDEX('Usage and Coverage'!$C$79:$C$84,MATCH($Y292,'Usage and Coverage'!$B$79:$B$84,0)),"?"))</f>
        <v/>
      </c>
      <c r="CH292" s="102" t="str">
        <f>IFERROR(IF(ISNUMBER($CD292),$CF292*$CG292*MIN($BG292*$BA292*$BC292*$BD292*$BH292*$BF292,'Technical Premium'!$C$17),""),"")</f>
        <v/>
      </c>
      <c r="CI292" s="102" t="str">
        <f t="shared" si="57"/>
        <v/>
      </c>
      <c r="CJ292" s="102" t="str">
        <f>IFERROR($CI292*(1+'Technical Premium'!$C$5)*(1+'Technical Premium'!$C$6),"")</f>
        <v/>
      </c>
      <c r="CK292" s="102" t="str">
        <f>IFERROR($CE292*INDEX('Territory Factors'!$G$6:$G$56,MATCH($K292,'Territory Factors'!$B$6:$B$56,0))*$AU292*$AV292,"")</f>
        <v/>
      </c>
      <c r="CL292" s="102" t="str">
        <f>IFERROR(($CJ292+$CK292)*(1+'Technical Premium'!$C$7),"")</f>
        <v/>
      </c>
      <c r="CM292" s="104" t="str">
        <f>IFERROR($CL292/'Technical Premium'!$C$13,"")</f>
        <v/>
      </c>
      <c r="CN292" s="105" t="str">
        <f t="shared" si="58"/>
        <v/>
      </c>
      <c r="CO292" s="104" t="str">
        <f t="shared" si="59"/>
        <v/>
      </c>
      <c r="CP292" s="105" t="str">
        <f t="shared" si="60"/>
        <v/>
      </c>
      <c r="CQ292" s="106" t="str">
        <f t="shared" si="61"/>
        <v/>
      </c>
      <c r="CR292" s="102" t="str">
        <f>IF(ISNUMBER($CM292),'Technical Premium'!$C$14+IF($J292&gt;=1000000,'Technical Premium'!$C$15,0),"")</f>
        <v/>
      </c>
      <c r="CS292" s="102" t="str">
        <f>IFERROR(($CO292+$CR292)*(INDEX('Territory Factors'!$K$6:$K$56,MATCH($K292,'Territory Factors'!$B$6:$B$56,0))+'Commission Structure'!$C$21),"")</f>
        <v/>
      </c>
      <c r="CT292" s="104" t="str">
        <f t="shared" si="62"/>
        <v/>
      </c>
      <c r="CU292" s="102" t="str">
        <f>IFERROR($CO292*('Commission Structure'!$C$6+'Commission Structure'!$C$7),"")</f>
        <v/>
      </c>
      <c r="CV292" s="102" t="str">
        <f>IFERROR($CO292*'Commission Structure'!$C$5-$CU292,"")</f>
        <v/>
      </c>
      <c r="CW292" s="102" t="str">
        <f>IFERROR($CO292*(1-'Commission Structure'!$C$5),"")</f>
        <v/>
      </c>
      <c r="CX292" s="107"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8" t="str">
        <f t="shared" si="63"/>
        <v/>
      </c>
      <c r="CZ292" s="99" t="str">
        <f>IF($CY292="","",IF($CY292&lt;'Technical Premium'!$C$19,"BEYOND AUTHORITY",IF($CY292&gt;0.005,"Above technical",IF($CY292&lt;-0.005,"BELOW technical","At technical"))))</f>
        <v/>
      </c>
      <c r="DA292" s="99"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4"/>
      <c r="DC292" s="94"/>
      <c r="DD292" s="95"/>
      <c r="DE292" s="94"/>
      <c r="DF292" s="94"/>
      <c r="DG292" s="99" t="str">
        <f t="shared" si="64"/>
        <v/>
      </c>
      <c r="DH292" s="99" t="str">
        <f>IF($A292="","",IF(OR($CX292="REFER",$CX292="DECLINE"),COUNTIF($CX$5:$CX292,"REFER")+COUNTIF($CX$5:$CX292,"DECLINE"),""))</f>
        <v/>
      </c>
      <c r="DI292" s="94"/>
    </row>
    <row r="293" spans="1:113" x14ac:dyDescent="0.35">
      <c r="A293" s="94"/>
      <c r="B293" s="94"/>
      <c r="C293" s="95"/>
      <c r="D293" s="95"/>
      <c r="E293" s="96"/>
      <c r="F293" s="94"/>
      <c r="G293" s="94"/>
      <c r="H293" s="94"/>
      <c r="I293" s="94"/>
      <c r="J293" s="97"/>
      <c r="K293" s="94"/>
      <c r="L293" s="94"/>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8"/>
      <c r="AR293" s="99" t="str">
        <f t="shared" si="52"/>
        <v/>
      </c>
      <c r="AS293" s="99" t="str">
        <f>IF($A293="","",IF($AP293&lt;&gt;"",$AP293,IFERROR(INDEX('Cat Zone by ZIP'!$D$6:$D$856,MATCH($AR293,'Cat Zone by ZIP'!$B$6:$B$856,0)),IFERROR(INDEX('Cat Zone by ZIP'!$C$860:$C$910,MATCH($K293,'Cat Zone by ZIP'!$B$860:$B$910,0)),"NOT FOUND"))))</f>
        <v/>
      </c>
      <c r="AT293" s="99" t="str">
        <f>IF($A293="","",IF($AP293&lt;&gt;"","Override",IF(ISNUMBER(MATCH($AR293,'Cat Zone by ZIP'!$B$6:$B$856,0)),"ZIP-3","State default")))</f>
        <v/>
      </c>
      <c r="AU293" s="100" t="str">
        <f>IF($A293="","",IFERROR(INDEX('Natural Catastrophe'!$D$6:$D$17,MATCH($AS293,'Natural Catastrophe'!$B$6:$B$17,0)),"?"))</f>
        <v/>
      </c>
      <c r="AV293" s="100" t="str">
        <f>IF($A293="","",IFERROR(INDEX('Natural Catastrophe'!$C$21:$C$26,MATCH($AA293,'Natural Catastrophe'!$B$21:$B$26,0)),"?"))</f>
        <v/>
      </c>
      <c r="AW293" s="99" t="str">
        <f>IF($A293="","",IFERROR(INDEX('Base Rates'!$C$4:$I$4,MATCH(MAX($J293,'Technical Premium'!$C$18),'Base Rates'!$C$3:$I$3,1)),"?"))</f>
        <v/>
      </c>
      <c r="AX293" s="101" t="str">
        <f>IF($A293="","",IFERROR(INDEX('Base Rates'!$C$5:$I$16,MATCH($I293,'Base Rates'!$B$5:$B$16,0),MATCH(MAX($J293,'Technical Premium'!$C$18),'Base Rates'!$C$3:$I$3,1)),"?"))</f>
        <v/>
      </c>
      <c r="AY293" s="102" t="str">
        <f t="shared" si="53"/>
        <v/>
      </c>
      <c r="AZ293" s="99" t="str">
        <f>IF($A293="","",IFERROR(INDEX('Make Factors'!$G$5:$G$69,MATCH($F293,'Make Factors'!$B$5:$B$69,0)),"?"))</f>
        <v/>
      </c>
      <c r="BA293" s="99" t="str">
        <f>IF($A293="","",IFERROR(INDEX('Driver Factors'!$C$6:$C$15,MATCH($R293,'Driver Factors'!$B$6:$B$15,0)),"?"))</f>
        <v/>
      </c>
      <c r="BB293" s="99" t="str">
        <f>IF($A293="","",IFERROR(INDEX('Driver Factors'!$C$19:$C$24,MATCH($S293,'Driver Factors'!$B$19:$B$24,0)),"?"))</f>
        <v/>
      </c>
      <c r="BC293" s="99" t="str">
        <f>IF($A293="","",IFERROR(INDEX('Driver Factors'!$C$28:$C$36,MATCH($T293,'Driver Factors'!$B$28:$B$36,0)),"?"))</f>
        <v/>
      </c>
      <c r="BD293" s="99" t="str">
        <f>IF($A293="","",IFERROR(INDEX('Claims History'!$C$6:$C$15,MATCH($U293,'Claims History'!$B$6:$B$15,0)),"?"))</f>
        <v/>
      </c>
      <c r="BE293" s="99" t="str">
        <f>IF($A293="","",IFERROR(INDEX('Territory Factors'!$E$6:$E$56,MATCH($K293,'Territory Factors'!$B$6:$B$56,0)),"?"))</f>
        <v/>
      </c>
      <c r="BF293" s="99" t="str">
        <f>IF($A293="","",IFERROR(INDEX('City Accident Ratings'!$G$6:$G$54,MATCH($Z293,'City Accident Ratings'!$B$6:$B$54,0)),"?"))</f>
        <v/>
      </c>
      <c r="BG293" s="99" t="str">
        <f>IF($A293="","",IFERROR(INDEX('Usage and Coverage'!$D$6:$D$20,MATCH($N293,'Usage and Coverage'!$C$6:$C$20,0)),"?"))</f>
        <v/>
      </c>
      <c r="BH293" s="99" t="str">
        <f>IF($A293="","",IFERROR(INDEX('Usage and Coverage'!$C$24:$C$30,MATCH($O293,'Usage and Coverage'!$B$24:$B$30,0)),"?"))</f>
        <v/>
      </c>
      <c r="BI293" s="99" t="str">
        <f>IF($A293="","",IFERROR(INDEX('Usage and Coverage'!$C$34:$C$40,MATCH($P293,'Usage and Coverage'!$B$34:$B$40,0)),"?"))</f>
        <v/>
      </c>
      <c r="BJ293" s="99" t="str">
        <f>IF($A293="","",IFERROR(INDEX('Usage and Coverage'!$C$44:$C$49,MATCH($Q293,'Usage and Coverage'!$B$44:$B$49,0)),"?"))</f>
        <v/>
      </c>
      <c r="BK293" s="99" t="str">
        <f>IF($A293="","",IFERROR(INDEX(Deductibles!$C$6:$I$15,MATCH($W293,Deductibles!$B$6:$B$15,0),MATCH(MAX($J293,'Technical Premium'!$C$18),'Base Rates'!$C$3:$I$3,1)),"?"))</f>
        <v/>
      </c>
      <c r="BL293" s="99" t="str">
        <f>IF($A293="","",IFERROR(INDEX('Usage and Coverage'!$C$63:$C$66,MATCH($X293,'Usage and Coverage'!$B$63:$B$66,0)),"?"))</f>
        <v/>
      </c>
      <c r="BM293" s="99" t="str">
        <f>IF($A293="","",IFERROR(INDEX('Usage and Coverage'!$C$70:$C$75,MATCH($V293,'Usage and Coverage'!$B$70:$B$75,0)),"?"))</f>
        <v/>
      </c>
      <c r="BN293" s="99" t="str">
        <f>IF($A293="","",IF($AB293="",1,IFERROR(INDEX(Deductibles!$C$48:$C$51,MATCH($AB293,Deductibles!$B$48:$B$51,0)),"?")))</f>
        <v/>
      </c>
      <c r="BO293" s="99" t="str">
        <f>IF($A293="","",IF($AC293="",1,IFERROR(INDEX(Deductibles!$C$55:$C$57,MATCH($AC293,Deductibles!$B$55:$B$57,0)),"?")))</f>
        <v/>
      </c>
      <c r="BP293" s="99" t="str">
        <f>IF($A293="","",IF($AD293="",1,IFERROR(INDEX(Deductibles!$C$61:$C$63,MATCH($AD293,Deductibles!$B$61:$B$63,0)),"?")))</f>
        <v/>
      </c>
      <c r="BQ293" s="99" t="str">
        <f>IF($A293="","",IF($AE293="",1,IFERROR(INDEX(Deductibles!$C$67:$C$69,MATCH($AE293,Deductibles!$B$67:$B$69,0)),"?")))</f>
        <v/>
      </c>
      <c r="BR293" s="99" t="str">
        <f>IF($A293="","",IF($AF293="",1,IFERROR(INDEX(Deductibles!$C$73:$C$74,MATCH($AF293,Deductibles!$B$73:$B$74,0)),"?")))</f>
        <v/>
      </c>
      <c r="BS293" s="99" t="str">
        <f>IF($A293="","",IF($AG293="",1,IFERROR(INDEX('Sublimits and Parts'!$C$49:$C$52,MATCH($AG293,'Sublimits and Parts'!$B$49:$B$52,0)),"?")))</f>
        <v/>
      </c>
      <c r="BT293" s="99" t="str">
        <f>IF($A293="","",IF($AH293="",1,IFERROR(INDEX('Sublimits and Parts'!$C$56:$C$60,MATCH($AH293,'Sublimits and Parts'!$B$56:$B$60,0)),"?")))</f>
        <v/>
      </c>
      <c r="BU293" s="99" t="str">
        <f>IF($A293="","",IF($AI293="",1,IFERROR(INDEX('Sublimits and Parts'!$C$64:$C$67,MATCH($AI293,'Sublimits and Parts'!$B$64:$B$67,0)),"?")))</f>
        <v/>
      </c>
      <c r="BV293" s="99" t="str">
        <f>IF($A293="","",IF($AJ293="",1,IFERROR(INDEX('Sublimits and Parts'!$C$71:$C$74,MATCH($AJ293,'Sublimits and Parts'!$B$71:$B$74,0)),"?")))</f>
        <v/>
      </c>
      <c r="BW293" s="99" t="str">
        <f>IF($A293="","",IF($AK293="",1,IFERROR(INDEX('Sublimits and Parts'!$C$78:$C$80,MATCH($AK293,'Sublimits and Parts'!$B$78:$B$80,0)),"?")))</f>
        <v/>
      </c>
      <c r="BX293" s="99" t="str">
        <f>IF($A293="","",IF($AL293="",1,IFERROR(INDEX('Sublimits and Parts'!$C$84:$C$87,MATCH($AL293,'Sublimits and Parts'!$B$84:$B$87,0)),"?")))</f>
        <v/>
      </c>
      <c r="BY293" s="99" t="str">
        <f>IF($A293="","",IF($AM293="",1,IFERROR(INDEX('Sublimits and Parts'!$C$91:$C$94,MATCH($AM293,'Sublimits and Parts'!$B$91:$B$94,0)),"?")))</f>
        <v/>
      </c>
      <c r="BZ293" s="99" t="str">
        <f>IF($A293="","",IF($AN293="",1,IFERROR(INDEX('Sublimits and Parts'!$C$98:$C$101,MATCH($AN293,'Sublimits and Parts'!$B$98:$B$101,0)),"?")))</f>
        <v/>
      </c>
      <c r="CA293" s="99" t="str">
        <f>IF($A293="","",IF($AO293="",1,IFERROR(INDEX('Sublimits and Parts'!$C$105:$C$109,MATCH($AO293,'Sublimits and Parts'!$B$105:$B$109,0)),"?")))</f>
        <v/>
      </c>
      <c r="CB293" s="100" t="str">
        <f t="shared" si="54"/>
        <v/>
      </c>
      <c r="CC293" s="100" t="str">
        <f t="shared" si="55"/>
        <v/>
      </c>
      <c r="CD293" s="103" t="str">
        <f>IF($A293="","",IF(OR($CB293="?",$CC293="?"),"?",MIN($CB293*$CC293,'Technical Premium'!$C$17)))</f>
        <v/>
      </c>
      <c r="CE293" s="102" t="str">
        <f t="shared" si="56"/>
        <v/>
      </c>
      <c r="CF293" s="102" t="str">
        <f>IF($A293="","",IFERROR(INDEX('Territory Factors'!$F$6:$F$56,MATCH($K293,'Territory Factors'!$B$6:$B$56,0)),"?"))</f>
        <v/>
      </c>
      <c r="CG293" s="100" t="str">
        <f>IF($A293="","",IFERROR(INDEX('Usage and Coverage'!$C$79:$C$84,MATCH($Y293,'Usage and Coverage'!$B$79:$B$84,0)),"?"))</f>
        <v/>
      </c>
      <c r="CH293" s="102" t="str">
        <f>IFERROR(IF(ISNUMBER($CD293),$CF293*$CG293*MIN($BG293*$BA293*$BC293*$BD293*$BH293*$BF293,'Technical Premium'!$C$17),""),"")</f>
        <v/>
      </c>
      <c r="CI293" s="102" t="str">
        <f t="shared" si="57"/>
        <v/>
      </c>
      <c r="CJ293" s="102" t="str">
        <f>IFERROR($CI293*(1+'Technical Premium'!$C$5)*(1+'Technical Premium'!$C$6),"")</f>
        <v/>
      </c>
      <c r="CK293" s="102" t="str">
        <f>IFERROR($CE293*INDEX('Territory Factors'!$G$6:$G$56,MATCH($K293,'Territory Factors'!$B$6:$B$56,0))*$AU293*$AV293,"")</f>
        <v/>
      </c>
      <c r="CL293" s="102" t="str">
        <f>IFERROR(($CJ293+$CK293)*(1+'Technical Premium'!$C$7),"")</f>
        <v/>
      </c>
      <c r="CM293" s="104" t="str">
        <f>IFERROR($CL293/'Technical Premium'!$C$13,"")</f>
        <v/>
      </c>
      <c r="CN293" s="105" t="str">
        <f t="shared" si="58"/>
        <v/>
      </c>
      <c r="CO293" s="104" t="str">
        <f t="shared" si="59"/>
        <v/>
      </c>
      <c r="CP293" s="105" t="str">
        <f t="shared" si="60"/>
        <v/>
      </c>
      <c r="CQ293" s="106" t="str">
        <f t="shared" si="61"/>
        <v/>
      </c>
      <c r="CR293" s="102" t="str">
        <f>IF(ISNUMBER($CM293),'Technical Premium'!$C$14+IF($J293&gt;=1000000,'Technical Premium'!$C$15,0),"")</f>
        <v/>
      </c>
      <c r="CS293" s="102" t="str">
        <f>IFERROR(($CO293+$CR293)*(INDEX('Territory Factors'!$K$6:$K$56,MATCH($K293,'Territory Factors'!$B$6:$B$56,0))+'Commission Structure'!$C$21),"")</f>
        <v/>
      </c>
      <c r="CT293" s="104" t="str">
        <f t="shared" si="62"/>
        <v/>
      </c>
      <c r="CU293" s="102" t="str">
        <f>IFERROR($CO293*('Commission Structure'!$C$6+'Commission Structure'!$C$7),"")</f>
        <v/>
      </c>
      <c r="CV293" s="102" t="str">
        <f>IFERROR($CO293*'Commission Structure'!$C$5-$CU293,"")</f>
        <v/>
      </c>
      <c r="CW293" s="102" t="str">
        <f>IFERROR($CO293*(1-'Commission Structure'!$C$5),"")</f>
        <v/>
      </c>
      <c r="CX293" s="107"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8" t="str">
        <f t="shared" si="63"/>
        <v/>
      </c>
      <c r="CZ293" s="99" t="str">
        <f>IF($CY293="","",IF($CY293&lt;'Technical Premium'!$C$19,"BEYOND AUTHORITY",IF($CY293&gt;0.005,"Above technical",IF($CY293&lt;-0.005,"BELOW technical","At technical"))))</f>
        <v/>
      </c>
      <c r="DA293" s="99"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4"/>
      <c r="DC293" s="94"/>
      <c r="DD293" s="95"/>
      <c r="DE293" s="94"/>
      <c r="DF293" s="94"/>
      <c r="DG293" s="99" t="str">
        <f t="shared" si="64"/>
        <v/>
      </c>
      <c r="DH293" s="99" t="str">
        <f>IF($A293="","",IF(OR($CX293="REFER",$CX293="DECLINE"),COUNTIF($CX$5:$CX293,"REFER")+COUNTIF($CX$5:$CX293,"DECLINE"),""))</f>
        <v/>
      </c>
      <c r="DI293" s="94"/>
    </row>
    <row r="294" spans="1:113" x14ac:dyDescent="0.35">
      <c r="A294" s="94"/>
      <c r="B294" s="94"/>
      <c r="C294" s="95"/>
      <c r="D294" s="95"/>
      <c r="E294" s="96"/>
      <c r="F294" s="94"/>
      <c r="G294" s="94"/>
      <c r="H294" s="94"/>
      <c r="I294" s="94"/>
      <c r="J294" s="97"/>
      <c r="K294" s="94"/>
      <c r="L294" s="94"/>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8"/>
      <c r="AR294" s="99" t="str">
        <f t="shared" si="52"/>
        <v/>
      </c>
      <c r="AS294" s="99" t="str">
        <f>IF($A294="","",IF($AP294&lt;&gt;"",$AP294,IFERROR(INDEX('Cat Zone by ZIP'!$D$6:$D$856,MATCH($AR294,'Cat Zone by ZIP'!$B$6:$B$856,0)),IFERROR(INDEX('Cat Zone by ZIP'!$C$860:$C$910,MATCH($K294,'Cat Zone by ZIP'!$B$860:$B$910,0)),"NOT FOUND"))))</f>
        <v/>
      </c>
      <c r="AT294" s="99" t="str">
        <f>IF($A294="","",IF($AP294&lt;&gt;"","Override",IF(ISNUMBER(MATCH($AR294,'Cat Zone by ZIP'!$B$6:$B$856,0)),"ZIP-3","State default")))</f>
        <v/>
      </c>
      <c r="AU294" s="100" t="str">
        <f>IF($A294="","",IFERROR(INDEX('Natural Catastrophe'!$D$6:$D$17,MATCH($AS294,'Natural Catastrophe'!$B$6:$B$17,0)),"?"))</f>
        <v/>
      </c>
      <c r="AV294" s="100" t="str">
        <f>IF($A294="","",IFERROR(INDEX('Natural Catastrophe'!$C$21:$C$26,MATCH($AA294,'Natural Catastrophe'!$B$21:$B$26,0)),"?"))</f>
        <v/>
      </c>
      <c r="AW294" s="99" t="str">
        <f>IF($A294="","",IFERROR(INDEX('Base Rates'!$C$4:$I$4,MATCH(MAX($J294,'Technical Premium'!$C$18),'Base Rates'!$C$3:$I$3,1)),"?"))</f>
        <v/>
      </c>
      <c r="AX294" s="101" t="str">
        <f>IF($A294="","",IFERROR(INDEX('Base Rates'!$C$5:$I$16,MATCH($I294,'Base Rates'!$B$5:$B$16,0),MATCH(MAX($J294,'Technical Premium'!$C$18),'Base Rates'!$C$3:$I$3,1)),"?"))</f>
        <v/>
      </c>
      <c r="AY294" s="102" t="str">
        <f t="shared" si="53"/>
        <v/>
      </c>
      <c r="AZ294" s="99" t="str">
        <f>IF($A294="","",IFERROR(INDEX('Make Factors'!$G$5:$G$69,MATCH($F294,'Make Factors'!$B$5:$B$69,0)),"?"))</f>
        <v/>
      </c>
      <c r="BA294" s="99" t="str">
        <f>IF($A294="","",IFERROR(INDEX('Driver Factors'!$C$6:$C$15,MATCH($R294,'Driver Factors'!$B$6:$B$15,0)),"?"))</f>
        <v/>
      </c>
      <c r="BB294" s="99" t="str">
        <f>IF($A294="","",IFERROR(INDEX('Driver Factors'!$C$19:$C$24,MATCH($S294,'Driver Factors'!$B$19:$B$24,0)),"?"))</f>
        <v/>
      </c>
      <c r="BC294" s="99" t="str">
        <f>IF($A294="","",IFERROR(INDEX('Driver Factors'!$C$28:$C$36,MATCH($T294,'Driver Factors'!$B$28:$B$36,0)),"?"))</f>
        <v/>
      </c>
      <c r="BD294" s="99" t="str">
        <f>IF($A294="","",IFERROR(INDEX('Claims History'!$C$6:$C$15,MATCH($U294,'Claims History'!$B$6:$B$15,0)),"?"))</f>
        <v/>
      </c>
      <c r="BE294" s="99" t="str">
        <f>IF($A294="","",IFERROR(INDEX('Territory Factors'!$E$6:$E$56,MATCH($K294,'Territory Factors'!$B$6:$B$56,0)),"?"))</f>
        <v/>
      </c>
      <c r="BF294" s="99" t="str">
        <f>IF($A294="","",IFERROR(INDEX('City Accident Ratings'!$G$6:$G$54,MATCH($Z294,'City Accident Ratings'!$B$6:$B$54,0)),"?"))</f>
        <v/>
      </c>
      <c r="BG294" s="99" t="str">
        <f>IF($A294="","",IFERROR(INDEX('Usage and Coverage'!$D$6:$D$20,MATCH($N294,'Usage and Coverage'!$C$6:$C$20,0)),"?"))</f>
        <v/>
      </c>
      <c r="BH294" s="99" t="str">
        <f>IF($A294="","",IFERROR(INDEX('Usage and Coverage'!$C$24:$C$30,MATCH($O294,'Usage and Coverage'!$B$24:$B$30,0)),"?"))</f>
        <v/>
      </c>
      <c r="BI294" s="99" t="str">
        <f>IF($A294="","",IFERROR(INDEX('Usage and Coverage'!$C$34:$C$40,MATCH($P294,'Usage and Coverage'!$B$34:$B$40,0)),"?"))</f>
        <v/>
      </c>
      <c r="BJ294" s="99" t="str">
        <f>IF($A294="","",IFERROR(INDEX('Usage and Coverage'!$C$44:$C$49,MATCH($Q294,'Usage and Coverage'!$B$44:$B$49,0)),"?"))</f>
        <v/>
      </c>
      <c r="BK294" s="99" t="str">
        <f>IF($A294="","",IFERROR(INDEX(Deductibles!$C$6:$I$15,MATCH($W294,Deductibles!$B$6:$B$15,0),MATCH(MAX($J294,'Technical Premium'!$C$18),'Base Rates'!$C$3:$I$3,1)),"?"))</f>
        <v/>
      </c>
      <c r="BL294" s="99" t="str">
        <f>IF($A294="","",IFERROR(INDEX('Usage and Coverage'!$C$63:$C$66,MATCH($X294,'Usage and Coverage'!$B$63:$B$66,0)),"?"))</f>
        <v/>
      </c>
      <c r="BM294" s="99" t="str">
        <f>IF($A294="","",IFERROR(INDEX('Usage and Coverage'!$C$70:$C$75,MATCH($V294,'Usage and Coverage'!$B$70:$B$75,0)),"?"))</f>
        <v/>
      </c>
      <c r="BN294" s="99" t="str">
        <f>IF($A294="","",IF($AB294="",1,IFERROR(INDEX(Deductibles!$C$48:$C$51,MATCH($AB294,Deductibles!$B$48:$B$51,0)),"?")))</f>
        <v/>
      </c>
      <c r="BO294" s="99" t="str">
        <f>IF($A294="","",IF($AC294="",1,IFERROR(INDEX(Deductibles!$C$55:$C$57,MATCH($AC294,Deductibles!$B$55:$B$57,0)),"?")))</f>
        <v/>
      </c>
      <c r="BP294" s="99" t="str">
        <f>IF($A294="","",IF($AD294="",1,IFERROR(INDEX(Deductibles!$C$61:$C$63,MATCH($AD294,Deductibles!$B$61:$B$63,0)),"?")))</f>
        <v/>
      </c>
      <c r="BQ294" s="99" t="str">
        <f>IF($A294="","",IF($AE294="",1,IFERROR(INDEX(Deductibles!$C$67:$C$69,MATCH($AE294,Deductibles!$B$67:$B$69,0)),"?")))</f>
        <v/>
      </c>
      <c r="BR294" s="99" t="str">
        <f>IF($A294="","",IF($AF294="",1,IFERROR(INDEX(Deductibles!$C$73:$C$74,MATCH($AF294,Deductibles!$B$73:$B$74,0)),"?")))</f>
        <v/>
      </c>
      <c r="BS294" s="99" t="str">
        <f>IF($A294="","",IF($AG294="",1,IFERROR(INDEX('Sublimits and Parts'!$C$49:$C$52,MATCH($AG294,'Sublimits and Parts'!$B$49:$B$52,0)),"?")))</f>
        <v/>
      </c>
      <c r="BT294" s="99" t="str">
        <f>IF($A294="","",IF($AH294="",1,IFERROR(INDEX('Sublimits and Parts'!$C$56:$C$60,MATCH($AH294,'Sublimits and Parts'!$B$56:$B$60,0)),"?")))</f>
        <v/>
      </c>
      <c r="BU294" s="99" t="str">
        <f>IF($A294="","",IF($AI294="",1,IFERROR(INDEX('Sublimits and Parts'!$C$64:$C$67,MATCH($AI294,'Sublimits and Parts'!$B$64:$B$67,0)),"?")))</f>
        <v/>
      </c>
      <c r="BV294" s="99" t="str">
        <f>IF($A294="","",IF($AJ294="",1,IFERROR(INDEX('Sublimits and Parts'!$C$71:$C$74,MATCH($AJ294,'Sublimits and Parts'!$B$71:$B$74,0)),"?")))</f>
        <v/>
      </c>
      <c r="BW294" s="99" t="str">
        <f>IF($A294="","",IF($AK294="",1,IFERROR(INDEX('Sublimits and Parts'!$C$78:$C$80,MATCH($AK294,'Sublimits and Parts'!$B$78:$B$80,0)),"?")))</f>
        <v/>
      </c>
      <c r="BX294" s="99" t="str">
        <f>IF($A294="","",IF($AL294="",1,IFERROR(INDEX('Sublimits and Parts'!$C$84:$C$87,MATCH($AL294,'Sublimits and Parts'!$B$84:$B$87,0)),"?")))</f>
        <v/>
      </c>
      <c r="BY294" s="99" t="str">
        <f>IF($A294="","",IF($AM294="",1,IFERROR(INDEX('Sublimits and Parts'!$C$91:$C$94,MATCH($AM294,'Sublimits and Parts'!$B$91:$B$94,0)),"?")))</f>
        <v/>
      </c>
      <c r="BZ294" s="99" t="str">
        <f>IF($A294="","",IF($AN294="",1,IFERROR(INDEX('Sublimits and Parts'!$C$98:$C$101,MATCH($AN294,'Sublimits and Parts'!$B$98:$B$101,0)),"?")))</f>
        <v/>
      </c>
      <c r="CA294" s="99" t="str">
        <f>IF($A294="","",IF($AO294="",1,IFERROR(INDEX('Sublimits and Parts'!$C$105:$C$109,MATCH($AO294,'Sublimits and Parts'!$B$105:$B$109,0)),"?")))</f>
        <v/>
      </c>
      <c r="CB294" s="100" t="str">
        <f t="shared" si="54"/>
        <v/>
      </c>
      <c r="CC294" s="100" t="str">
        <f t="shared" si="55"/>
        <v/>
      </c>
      <c r="CD294" s="103" t="str">
        <f>IF($A294="","",IF(OR($CB294="?",$CC294="?"),"?",MIN($CB294*$CC294,'Technical Premium'!$C$17)))</f>
        <v/>
      </c>
      <c r="CE294" s="102" t="str">
        <f t="shared" si="56"/>
        <v/>
      </c>
      <c r="CF294" s="102" t="str">
        <f>IF($A294="","",IFERROR(INDEX('Territory Factors'!$F$6:$F$56,MATCH($K294,'Territory Factors'!$B$6:$B$56,0)),"?"))</f>
        <v/>
      </c>
      <c r="CG294" s="100" t="str">
        <f>IF($A294="","",IFERROR(INDEX('Usage and Coverage'!$C$79:$C$84,MATCH($Y294,'Usage and Coverage'!$B$79:$B$84,0)),"?"))</f>
        <v/>
      </c>
      <c r="CH294" s="102" t="str">
        <f>IFERROR(IF(ISNUMBER($CD294),$CF294*$CG294*MIN($BG294*$BA294*$BC294*$BD294*$BH294*$BF294,'Technical Premium'!$C$17),""),"")</f>
        <v/>
      </c>
      <c r="CI294" s="102" t="str">
        <f t="shared" si="57"/>
        <v/>
      </c>
      <c r="CJ294" s="102" t="str">
        <f>IFERROR($CI294*(1+'Technical Premium'!$C$5)*(1+'Technical Premium'!$C$6),"")</f>
        <v/>
      </c>
      <c r="CK294" s="102" t="str">
        <f>IFERROR($CE294*INDEX('Territory Factors'!$G$6:$G$56,MATCH($K294,'Territory Factors'!$B$6:$B$56,0))*$AU294*$AV294,"")</f>
        <v/>
      </c>
      <c r="CL294" s="102" t="str">
        <f>IFERROR(($CJ294+$CK294)*(1+'Technical Premium'!$C$7),"")</f>
        <v/>
      </c>
      <c r="CM294" s="104" t="str">
        <f>IFERROR($CL294/'Technical Premium'!$C$13,"")</f>
        <v/>
      </c>
      <c r="CN294" s="105" t="str">
        <f t="shared" si="58"/>
        <v/>
      </c>
      <c r="CO294" s="104" t="str">
        <f t="shared" si="59"/>
        <v/>
      </c>
      <c r="CP294" s="105" t="str">
        <f t="shared" si="60"/>
        <v/>
      </c>
      <c r="CQ294" s="106" t="str">
        <f t="shared" si="61"/>
        <v/>
      </c>
      <c r="CR294" s="102" t="str">
        <f>IF(ISNUMBER($CM294),'Technical Premium'!$C$14+IF($J294&gt;=1000000,'Technical Premium'!$C$15,0),"")</f>
        <v/>
      </c>
      <c r="CS294" s="102" t="str">
        <f>IFERROR(($CO294+$CR294)*(INDEX('Territory Factors'!$K$6:$K$56,MATCH($K294,'Territory Factors'!$B$6:$B$56,0))+'Commission Structure'!$C$21),"")</f>
        <v/>
      </c>
      <c r="CT294" s="104" t="str">
        <f t="shared" si="62"/>
        <v/>
      </c>
      <c r="CU294" s="102" t="str">
        <f>IFERROR($CO294*('Commission Structure'!$C$6+'Commission Structure'!$C$7),"")</f>
        <v/>
      </c>
      <c r="CV294" s="102" t="str">
        <f>IFERROR($CO294*'Commission Structure'!$C$5-$CU294,"")</f>
        <v/>
      </c>
      <c r="CW294" s="102" t="str">
        <f>IFERROR($CO294*(1-'Commission Structure'!$C$5),"")</f>
        <v/>
      </c>
      <c r="CX294" s="107"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8" t="str">
        <f t="shared" si="63"/>
        <v/>
      </c>
      <c r="CZ294" s="99" t="str">
        <f>IF($CY294="","",IF($CY294&lt;'Technical Premium'!$C$19,"BEYOND AUTHORITY",IF($CY294&gt;0.005,"Above technical",IF($CY294&lt;-0.005,"BELOW technical","At technical"))))</f>
        <v/>
      </c>
      <c r="DA294" s="99"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4"/>
      <c r="DC294" s="94"/>
      <c r="DD294" s="95"/>
      <c r="DE294" s="94"/>
      <c r="DF294" s="94"/>
      <c r="DG294" s="99" t="str">
        <f t="shared" si="64"/>
        <v/>
      </c>
      <c r="DH294" s="99" t="str">
        <f>IF($A294="","",IF(OR($CX294="REFER",$CX294="DECLINE"),COUNTIF($CX$5:$CX294,"REFER")+COUNTIF($CX$5:$CX294,"DECLINE"),""))</f>
        <v/>
      </c>
      <c r="DI294" s="94"/>
    </row>
    <row r="295" spans="1:113" x14ac:dyDescent="0.35">
      <c r="A295" s="94"/>
      <c r="B295" s="94"/>
      <c r="C295" s="95"/>
      <c r="D295" s="95"/>
      <c r="E295" s="96"/>
      <c r="F295" s="94"/>
      <c r="G295" s="94"/>
      <c r="H295" s="94"/>
      <c r="I295" s="94"/>
      <c r="J295" s="97"/>
      <c r="K295" s="94"/>
      <c r="L295" s="94"/>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8"/>
      <c r="AR295" s="99" t="str">
        <f t="shared" si="52"/>
        <v/>
      </c>
      <c r="AS295" s="99" t="str">
        <f>IF($A295="","",IF($AP295&lt;&gt;"",$AP295,IFERROR(INDEX('Cat Zone by ZIP'!$D$6:$D$856,MATCH($AR295,'Cat Zone by ZIP'!$B$6:$B$856,0)),IFERROR(INDEX('Cat Zone by ZIP'!$C$860:$C$910,MATCH($K295,'Cat Zone by ZIP'!$B$860:$B$910,0)),"NOT FOUND"))))</f>
        <v/>
      </c>
      <c r="AT295" s="99" t="str">
        <f>IF($A295="","",IF($AP295&lt;&gt;"","Override",IF(ISNUMBER(MATCH($AR295,'Cat Zone by ZIP'!$B$6:$B$856,0)),"ZIP-3","State default")))</f>
        <v/>
      </c>
      <c r="AU295" s="100" t="str">
        <f>IF($A295="","",IFERROR(INDEX('Natural Catastrophe'!$D$6:$D$17,MATCH($AS295,'Natural Catastrophe'!$B$6:$B$17,0)),"?"))</f>
        <v/>
      </c>
      <c r="AV295" s="100" t="str">
        <f>IF($A295="","",IFERROR(INDEX('Natural Catastrophe'!$C$21:$C$26,MATCH($AA295,'Natural Catastrophe'!$B$21:$B$26,0)),"?"))</f>
        <v/>
      </c>
      <c r="AW295" s="99" t="str">
        <f>IF($A295="","",IFERROR(INDEX('Base Rates'!$C$4:$I$4,MATCH(MAX($J295,'Technical Premium'!$C$18),'Base Rates'!$C$3:$I$3,1)),"?"))</f>
        <v/>
      </c>
      <c r="AX295" s="101" t="str">
        <f>IF($A295="","",IFERROR(INDEX('Base Rates'!$C$5:$I$16,MATCH($I295,'Base Rates'!$B$5:$B$16,0),MATCH(MAX($J295,'Technical Premium'!$C$18),'Base Rates'!$C$3:$I$3,1)),"?"))</f>
        <v/>
      </c>
      <c r="AY295" s="102" t="str">
        <f t="shared" si="53"/>
        <v/>
      </c>
      <c r="AZ295" s="99" t="str">
        <f>IF($A295="","",IFERROR(INDEX('Make Factors'!$G$5:$G$69,MATCH($F295,'Make Factors'!$B$5:$B$69,0)),"?"))</f>
        <v/>
      </c>
      <c r="BA295" s="99" t="str">
        <f>IF($A295="","",IFERROR(INDEX('Driver Factors'!$C$6:$C$15,MATCH($R295,'Driver Factors'!$B$6:$B$15,0)),"?"))</f>
        <v/>
      </c>
      <c r="BB295" s="99" t="str">
        <f>IF($A295="","",IFERROR(INDEX('Driver Factors'!$C$19:$C$24,MATCH($S295,'Driver Factors'!$B$19:$B$24,0)),"?"))</f>
        <v/>
      </c>
      <c r="BC295" s="99" t="str">
        <f>IF($A295="","",IFERROR(INDEX('Driver Factors'!$C$28:$C$36,MATCH($T295,'Driver Factors'!$B$28:$B$36,0)),"?"))</f>
        <v/>
      </c>
      <c r="BD295" s="99" t="str">
        <f>IF($A295="","",IFERROR(INDEX('Claims History'!$C$6:$C$15,MATCH($U295,'Claims History'!$B$6:$B$15,0)),"?"))</f>
        <v/>
      </c>
      <c r="BE295" s="99" t="str">
        <f>IF($A295="","",IFERROR(INDEX('Territory Factors'!$E$6:$E$56,MATCH($K295,'Territory Factors'!$B$6:$B$56,0)),"?"))</f>
        <v/>
      </c>
      <c r="BF295" s="99" t="str">
        <f>IF($A295="","",IFERROR(INDEX('City Accident Ratings'!$G$6:$G$54,MATCH($Z295,'City Accident Ratings'!$B$6:$B$54,0)),"?"))</f>
        <v/>
      </c>
      <c r="BG295" s="99" t="str">
        <f>IF($A295="","",IFERROR(INDEX('Usage and Coverage'!$D$6:$D$20,MATCH($N295,'Usage and Coverage'!$C$6:$C$20,0)),"?"))</f>
        <v/>
      </c>
      <c r="BH295" s="99" t="str">
        <f>IF($A295="","",IFERROR(INDEX('Usage and Coverage'!$C$24:$C$30,MATCH($O295,'Usage and Coverage'!$B$24:$B$30,0)),"?"))</f>
        <v/>
      </c>
      <c r="BI295" s="99" t="str">
        <f>IF($A295="","",IFERROR(INDEX('Usage and Coverage'!$C$34:$C$40,MATCH($P295,'Usage and Coverage'!$B$34:$B$40,0)),"?"))</f>
        <v/>
      </c>
      <c r="BJ295" s="99" t="str">
        <f>IF($A295="","",IFERROR(INDEX('Usage and Coverage'!$C$44:$C$49,MATCH($Q295,'Usage and Coverage'!$B$44:$B$49,0)),"?"))</f>
        <v/>
      </c>
      <c r="BK295" s="99" t="str">
        <f>IF($A295="","",IFERROR(INDEX(Deductibles!$C$6:$I$15,MATCH($W295,Deductibles!$B$6:$B$15,0),MATCH(MAX($J295,'Technical Premium'!$C$18),'Base Rates'!$C$3:$I$3,1)),"?"))</f>
        <v/>
      </c>
      <c r="BL295" s="99" t="str">
        <f>IF($A295="","",IFERROR(INDEX('Usage and Coverage'!$C$63:$C$66,MATCH($X295,'Usage and Coverage'!$B$63:$B$66,0)),"?"))</f>
        <v/>
      </c>
      <c r="BM295" s="99" t="str">
        <f>IF($A295="","",IFERROR(INDEX('Usage and Coverage'!$C$70:$C$75,MATCH($V295,'Usage and Coverage'!$B$70:$B$75,0)),"?"))</f>
        <v/>
      </c>
      <c r="BN295" s="99" t="str">
        <f>IF($A295="","",IF($AB295="",1,IFERROR(INDEX(Deductibles!$C$48:$C$51,MATCH($AB295,Deductibles!$B$48:$B$51,0)),"?")))</f>
        <v/>
      </c>
      <c r="BO295" s="99" t="str">
        <f>IF($A295="","",IF($AC295="",1,IFERROR(INDEX(Deductibles!$C$55:$C$57,MATCH($AC295,Deductibles!$B$55:$B$57,0)),"?")))</f>
        <v/>
      </c>
      <c r="BP295" s="99" t="str">
        <f>IF($A295="","",IF($AD295="",1,IFERROR(INDEX(Deductibles!$C$61:$C$63,MATCH($AD295,Deductibles!$B$61:$B$63,0)),"?")))</f>
        <v/>
      </c>
      <c r="BQ295" s="99" t="str">
        <f>IF($A295="","",IF($AE295="",1,IFERROR(INDEX(Deductibles!$C$67:$C$69,MATCH($AE295,Deductibles!$B$67:$B$69,0)),"?")))</f>
        <v/>
      </c>
      <c r="BR295" s="99" t="str">
        <f>IF($A295="","",IF($AF295="",1,IFERROR(INDEX(Deductibles!$C$73:$C$74,MATCH($AF295,Deductibles!$B$73:$B$74,0)),"?")))</f>
        <v/>
      </c>
      <c r="BS295" s="99" t="str">
        <f>IF($A295="","",IF($AG295="",1,IFERROR(INDEX('Sublimits and Parts'!$C$49:$C$52,MATCH($AG295,'Sublimits and Parts'!$B$49:$B$52,0)),"?")))</f>
        <v/>
      </c>
      <c r="BT295" s="99" t="str">
        <f>IF($A295="","",IF($AH295="",1,IFERROR(INDEX('Sublimits and Parts'!$C$56:$C$60,MATCH($AH295,'Sublimits and Parts'!$B$56:$B$60,0)),"?")))</f>
        <v/>
      </c>
      <c r="BU295" s="99" t="str">
        <f>IF($A295="","",IF($AI295="",1,IFERROR(INDEX('Sublimits and Parts'!$C$64:$C$67,MATCH($AI295,'Sublimits and Parts'!$B$64:$B$67,0)),"?")))</f>
        <v/>
      </c>
      <c r="BV295" s="99" t="str">
        <f>IF($A295="","",IF($AJ295="",1,IFERROR(INDEX('Sublimits and Parts'!$C$71:$C$74,MATCH($AJ295,'Sublimits and Parts'!$B$71:$B$74,0)),"?")))</f>
        <v/>
      </c>
      <c r="BW295" s="99" t="str">
        <f>IF($A295="","",IF($AK295="",1,IFERROR(INDEX('Sublimits and Parts'!$C$78:$C$80,MATCH($AK295,'Sublimits and Parts'!$B$78:$B$80,0)),"?")))</f>
        <v/>
      </c>
      <c r="BX295" s="99" t="str">
        <f>IF($A295="","",IF($AL295="",1,IFERROR(INDEX('Sublimits and Parts'!$C$84:$C$87,MATCH($AL295,'Sublimits and Parts'!$B$84:$B$87,0)),"?")))</f>
        <v/>
      </c>
      <c r="BY295" s="99" t="str">
        <f>IF($A295="","",IF($AM295="",1,IFERROR(INDEX('Sublimits and Parts'!$C$91:$C$94,MATCH($AM295,'Sublimits and Parts'!$B$91:$B$94,0)),"?")))</f>
        <v/>
      </c>
      <c r="BZ295" s="99" t="str">
        <f>IF($A295="","",IF($AN295="",1,IFERROR(INDEX('Sublimits and Parts'!$C$98:$C$101,MATCH($AN295,'Sublimits and Parts'!$B$98:$B$101,0)),"?")))</f>
        <v/>
      </c>
      <c r="CA295" s="99" t="str">
        <f>IF($A295="","",IF($AO295="",1,IFERROR(INDEX('Sublimits and Parts'!$C$105:$C$109,MATCH($AO295,'Sublimits and Parts'!$B$105:$B$109,0)),"?")))</f>
        <v/>
      </c>
      <c r="CB295" s="100" t="str">
        <f t="shared" si="54"/>
        <v/>
      </c>
      <c r="CC295" s="100" t="str">
        <f t="shared" si="55"/>
        <v/>
      </c>
      <c r="CD295" s="103" t="str">
        <f>IF($A295="","",IF(OR($CB295="?",$CC295="?"),"?",MIN($CB295*$CC295,'Technical Premium'!$C$17)))</f>
        <v/>
      </c>
      <c r="CE295" s="102" t="str">
        <f t="shared" si="56"/>
        <v/>
      </c>
      <c r="CF295" s="102" t="str">
        <f>IF($A295="","",IFERROR(INDEX('Territory Factors'!$F$6:$F$56,MATCH($K295,'Territory Factors'!$B$6:$B$56,0)),"?"))</f>
        <v/>
      </c>
      <c r="CG295" s="100" t="str">
        <f>IF($A295="","",IFERROR(INDEX('Usage and Coverage'!$C$79:$C$84,MATCH($Y295,'Usage and Coverage'!$B$79:$B$84,0)),"?"))</f>
        <v/>
      </c>
      <c r="CH295" s="102" t="str">
        <f>IFERROR(IF(ISNUMBER($CD295),$CF295*$CG295*MIN($BG295*$BA295*$BC295*$BD295*$BH295*$BF295,'Technical Premium'!$C$17),""),"")</f>
        <v/>
      </c>
      <c r="CI295" s="102" t="str">
        <f t="shared" si="57"/>
        <v/>
      </c>
      <c r="CJ295" s="102" t="str">
        <f>IFERROR($CI295*(1+'Technical Premium'!$C$5)*(1+'Technical Premium'!$C$6),"")</f>
        <v/>
      </c>
      <c r="CK295" s="102" t="str">
        <f>IFERROR($CE295*INDEX('Territory Factors'!$G$6:$G$56,MATCH($K295,'Territory Factors'!$B$6:$B$56,0))*$AU295*$AV295,"")</f>
        <v/>
      </c>
      <c r="CL295" s="102" t="str">
        <f>IFERROR(($CJ295+$CK295)*(1+'Technical Premium'!$C$7),"")</f>
        <v/>
      </c>
      <c r="CM295" s="104" t="str">
        <f>IFERROR($CL295/'Technical Premium'!$C$13,"")</f>
        <v/>
      </c>
      <c r="CN295" s="105" t="str">
        <f t="shared" si="58"/>
        <v/>
      </c>
      <c r="CO295" s="104" t="str">
        <f t="shared" si="59"/>
        <v/>
      </c>
      <c r="CP295" s="105" t="str">
        <f t="shared" si="60"/>
        <v/>
      </c>
      <c r="CQ295" s="106" t="str">
        <f t="shared" si="61"/>
        <v/>
      </c>
      <c r="CR295" s="102" t="str">
        <f>IF(ISNUMBER($CM295),'Technical Premium'!$C$14+IF($J295&gt;=1000000,'Technical Premium'!$C$15,0),"")</f>
        <v/>
      </c>
      <c r="CS295" s="102" t="str">
        <f>IFERROR(($CO295+$CR295)*(INDEX('Territory Factors'!$K$6:$K$56,MATCH($K295,'Territory Factors'!$B$6:$B$56,0))+'Commission Structure'!$C$21),"")</f>
        <v/>
      </c>
      <c r="CT295" s="104" t="str">
        <f t="shared" si="62"/>
        <v/>
      </c>
      <c r="CU295" s="102" t="str">
        <f>IFERROR($CO295*('Commission Structure'!$C$6+'Commission Structure'!$C$7),"")</f>
        <v/>
      </c>
      <c r="CV295" s="102" t="str">
        <f>IFERROR($CO295*'Commission Structure'!$C$5-$CU295,"")</f>
        <v/>
      </c>
      <c r="CW295" s="102" t="str">
        <f>IFERROR($CO295*(1-'Commission Structure'!$C$5),"")</f>
        <v/>
      </c>
      <c r="CX295" s="107"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8" t="str">
        <f t="shared" si="63"/>
        <v/>
      </c>
      <c r="CZ295" s="99" t="str">
        <f>IF($CY295="","",IF($CY295&lt;'Technical Premium'!$C$19,"BEYOND AUTHORITY",IF($CY295&gt;0.005,"Above technical",IF($CY295&lt;-0.005,"BELOW technical","At technical"))))</f>
        <v/>
      </c>
      <c r="DA295" s="99"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4"/>
      <c r="DC295" s="94"/>
      <c r="DD295" s="95"/>
      <c r="DE295" s="94"/>
      <c r="DF295" s="94"/>
      <c r="DG295" s="99" t="str">
        <f t="shared" si="64"/>
        <v/>
      </c>
      <c r="DH295" s="99" t="str">
        <f>IF($A295="","",IF(OR($CX295="REFER",$CX295="DECLINE"),COUNTIF($CX$5:$CX295,"REFER")+COUNTIF($CX$5:$CX295,"DECLINE"),""))</f>
        <v/>
      </c>
      <c r="DI295" s="94"/>
    </row>
    <row r="296" spans="1:113" x14ac:dyDescent="0.35">
      <c r="A296" s="94"/>
      <c r="B296" s="94"/>
      <c r="C296" s="95"/>
      <c r="D296" s="95"/>
      <c r="E296" s="96"/>
      <c r="F296" s="94"/>
      <c r="G296" s="94"/>
      <c r="H296" s="94"/>
      <c r="I296" s="94"/>
      <c r="J296" s="97"/>
      <c r="K296" s="94"/>
      <c r="L296" s="94"/>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8"/>
      <c r="AR296" s="99" t="str">
        <f t="shared" si="52"/>
        <v/>
      </c>
      <c r="AS296" s="99" t="str">
        <f>IF($A296="","",IF($AP296&lt;&gt;"",$AP296,IFERROR(INDEX('Cat Zone by ZIP'!$D$6:$D$856,MATCH($AR296,'Cat Zone by ZIP'!$B$6:$B$856,0)),IFERROR(INDEX('Cat Zone by ZIP'!$C$860:$C$910,MATCH($K296,'Cat Zone by ZIP'!$B$860:$B$910,0)),"NOT FOUND"))))</f>
        <v/>
      </c>
      <c r="AT296" s="99" t="str">
        <f>IF($A296="","",IF($AP296&lt;&gt;"","Override",IF(ISNUMBER(MATCH($AR296,'Cat Zone by ZIP'!$B$6:$B$856,0)),"ZIP-3","State default")))</f>
        <v/>
      </c>
      <c r="AU296" s="100" t="str">
        <f>IF($A296="","",IFERROR(INDEX('Natural Catastrophe'!$D$6:$D$17,MATCH($AS296,'Natural Catastrophe'!$B$6:$B$17,0)),"?"))</f>
        <v/>
      </c>
      <c r="AV296" s="100" t="str">
        <f>IF($A296="","",IFERROR(INDEX('Natural Catastrophe'!$C$21:$C$26,MATCH($AA296,'Natural Catastrophe'!$B$21:$B$26,0)),"?"))</f>
        <v/>
      </c>
      <c r="AW296" s="99" t="str">
        <f>IF($A296="","",IFERROR(INDEX('Base Rates'!$C$4:$I$4,MATCH(MAX($J296,'Technical Premium'!$C$18),'Base Rates'!$C$3:$I$3,1)),"?"))</f>
        <v/>
      </c>
      <c r="AX296" s="101" t="str">
        <f>IF($A296="","",IFERROR(INDEX('Base Rates'!$C$5:$I$16,MATCH($I296,'Base Rates'!$B$5:$B$16,0),MATCH(MAX($J296,'Technical Premium'!$C$18),'Base Rates'!$C$3:$I$3,1)),"?"))</f>
        <v/>
      </c>
      <c r="AY296" s="102" t="str">
        <f t="shared" si="53"/>
        <v/>
      </c>
      <c r="AZ296" s="99" t="str">
        <f>IF($A296="","",IFERROR(INDEX('Make Factors'!$G$5:$G$69,MATCH($F296,'Make Factors'!$B$5:$B$69,0)),"?"))</f>
        <v/>
      </c>
      <c r="BA296" s="99" t="str">
        <f>IF($A296="","",IFERROR(INDEX('Driver Factors'!$C$6:$C$15,MATCH($R296,'Driver Factors'!$B$6:$B$15,0)),"?"))</f>
        <v/>
      </c>
      <c r="BB296" s="99" t="str">
        <f>IF($A296="","",IFERROR(INDEX('Driver Factors'!$C$19:$C$24,MATCH($S296,'Driver Factors'!$B$19:$B$24,0)),"?"))</f>
        <v/>
      </c>
      <c r="BC296" s="99" t="str">
        <f>IF($A296="","",IFERROR(INDEX('Driver Factors'!$C$28:$C$36,MATCH($T296,'Driver Factors'!$B$28:$B$36,0)),"?"))</f>
        <v/>
      </c>
      <c r="BD296" s="99" t="str">
        <f>IF($A296="","",IFERROR(INDEX('Claims History'!$C$6:$C$15,MATCH($U296,'Claims History'!$B$6:$B$15,0)),"?"))</f>
        <v/>
      </c>
      <c r="BE296" s="99" t="str">
        <f>IF($A296="","",IFERROR(INDEX('Territory Factors'!$E$6:$E$56,MATCH($K296,'Territory Factors'!$B$6:$B$56,0)),"?"))</f>
        <v/>
      </c>
      <c r="BF296" s="99" t="str">
        <f>IF($A296="","",IFERROR(INDEX('City Accident Ratings'!$G$6:$G$54,MATCH($Z296,'City Accident Ratings'!$B$6:$B$54,0)),"?"))</f>
        <v/>
      </c>
      <c r="BG296" s="99" t="str">
        <f>IF($A296="","",IFERROR(INDEX('Usage and Coverage'!$D$6:$D$20,MATCH($N296,'Usage and Coverage'!$C$6:$C$20,0)),"?"))</f>
        <v/>
      </c>
      <c r="BH296" s="99" t="str">
        <f>IF($A296="","",IFERROR(INDEX('Usage and Coverage'!$C$24:$C$30,MATCH($O296,'Usage and Coverage'!$B$24:$B$30,0)),"?"))</f>
        <v/>
      </c>
      <c r="BI296" s="99" t="str">
        <f>IF($A296="","",IFERROR(INDEX('Usage and Coverage'!$C$34:$C$40,MATCH($P296,'Usage and Coverage'!$B$34:$B$40,0)),"?"))</f>
        <v/>
      </c>
      <c r="BJ296" s="99" t="str">
        <f>IF($A296="","",IFERROR(INDEX('Usage and Coverage'!$C$44:$C$49,MATCH($Q296,'Usage and Coverage'!$B$44:$B$49,0)),"?"))</f>
        <v/>
      </c>
      <c r="BK296" s="99" t="str">
        <f>IF($A296="","",IFERROR(INDEX(Deductibles!$C$6:$I$15,MATCH($W296,Deductibles!$B$6:$B$15,0),MATCH(MAX($J296,'Technical Premium'!$C$18),'Base Rates'!$C$3:$I$3,1)),"?"))</f>
        <v/>
      </c>
      <c r="BL296" s="99" t="str">
        <f>IF($A296="","",IFERROR(INDEX('Usage and Coverage'!$C$63:$C$66,MATCH($X296,'Usage and Coverage'!$B$63:$B$66,0)),"?"))</f>
        <v/>
      </c>
      <c r="BM296" s="99" t="str">
        <f>IF($A296="","",IFERROR(INDEX('Usage and Coverage'!$C$70:$C$75,MATCH($V296,'Usage and Coverage'!$B$70:$B$75,0)),"?"))</f>
        <v/>
      </c>
      <c r="BN296" s="99" t="str">
        <f>IF($A296="","",IF($AB296="",1,IFERROR(INDEX(Deductibles!$C$48:$C$51,MATCH($AB296,Deductibles!$B$48:$B$51,0)),"?")))</f>
        <v/>
      </c>
      <c r="BO296" s="99" t="str">
        <f>IF($A296="","",IF($AC296="",1,IFERROR(INDEX(Deductibles!$C$55:$C$57,MATCH($AC296,Deductibles!$B$55:$B$57,0)),"?")))</f>
        <v/>
      </c>
      <c r="BP296" s="99" t="str">
        <f>IF($A296="","",IF($AD296="",1,IFERROR(INDEX(Deductibles!$C$61:$C$63,MATCH($AD296,Deductibles!$B$61:$B$63,0)),"?")))</f>
        <v/>
      </c>
      <c r="BQ296" s="99" t="str">
        <f>IF($A296="","",IF($AE296="",1,IFERROR(INDEX(Deductibles!$C$67:$C$69,MATCH($AE296,Deductibles!$B$67:$B$69,0)),"?")))</f>
        <v/>
      </c>
      <c r="BR296" s="99" t="str">
        <f>IF($A296="","",IF($AF296="",1,IFERROR(INDEX(Deductibles!$C$73:$C$74,MATCH($AF296,Deductibles!$B$73:$B$74,0)),"?")))</f>
        <v/>
      </c>
      <c r="BS296" s="99" t="str">
        <f>IF($A296="","",IF($AG296="",1,IFERROR(INDEX('Sublimits and Parts'!$C$49:$C$52,MATCH($AG296,'Sublimits and Parts'!$B$49:$B$52,0)),"?")))</f>
        <v/>
      </c>
      <c r="BT296" s="99" t="str">
        <f>IF($A296="","",IF($AH296="",1,IFERROR(INDEX('Sublimits and Parts'!$C$56:$C$60,MATCH($AH296,'Sublimits and Parts'!$B$56:$B$60,0)),"?")))</f>
        <v/>
      </c>
      <c r="BU296" s="99" t="str">
        <f>IF($A296="","",IF($AI296="",1,IFERROR(INDEX('Sublimits and Parts'!$C$64:$C$67,MATCH($AI296,'Sublimits and Parts'!$B$64:$B$67,0)),"?")))</f>
        <v/>
      </c>
      <c r="BV296" s="99" t="str">
        <f>IF($A296="","",IF($AJ296="",1,IFERROR(INDEX('Sublimits and Parts'!$C$71:$C$74,MATCH($AJ296,'Sublimits and Parts'!$B$71:$B$74,0)),"?")))</f>
        <v/>
      </c>
      <c r="BW296" s="99" t="str">
        <f>IF($A296="","",IF($AK296="",1,IFERROR(INDEX('Sublimits and Parts'!$C$78:$C$80,MATCH($AK296,'Sublimits and Parts'!$B$78:$B$80,0)),"?")))</f>
        <v/>
      </c>
      <c r="BX296" s="99" t="str">
        <f>IF($A296="","",IF($AL296="",1,IFERROR(INDEX('Sublimits and Parts'!$C$84:$C$87,MATCH($AL296,'Sublimits and Parts'!$B$84:$B$87,0)),"?")))</f>
        <v/>
      </c>
      <c r="BY296" s="99" t="str">
        <f>IF($A296="","",IF($AM296="",1,IFERROR(INDEX('Sublimits and Parts'!$C$91:$C$94,MATCH($AM296,'Sublimits and Parts'!$B$91:$B$94,0)),"?")))</f>
        <v/>
      </c>
      <c r="BZ296" s="99" t="str">
        <f>IF($A296="","",IF($AN296="",1,IFERROR(INDEX('Sublimits and Parts'!$C$98:$C$101,MATCH($AN296,'Sublimits and Parts'!$B$98:$B$101,0)),"?")))</f>
        <v/>
      </c>
      <c r="CA296" s="99" t="str">
        <f>IF($A296="","",IF($AO296="",1,IFERROR(INDEX('Sublimits and Parts'!$C$105:$C$109,MATCH($AO296,'Sublimits and Parts'!$B$105:$B$109,0)),"?")))</f>
        <v/>
      </c>
      <c r="CB296" s="100" t="str">
        <f t="shared" si="54"/>
        <v/>
      </c>
      <c r="CC296" s="100" t="str">
        <f t="shared" si="55"/>
        <v/>
      </c>
      <c r="CD296" s="103" t="str">
        <f>IF($A296="","",IF(OR($CB296="?",$CC296="?"),"?",MIN($CB296*$CC296,'Technical Premium'!$C$17)))</f>
        <v/>
      </c>
      <c r="CE296" s="102" t="str">
        <f t="shared" si="56"/>
        <v/>
      </c>
      <c r="CF296" s="102" t="str">
        <f>IF($A296="","",IFERROR(INDEX('Territory Factors'!$F$6:$F$56,MATCH($K296,'Territory Factors'!$B$6:$B$56,0)),"?"))</f>
        <v/>
      </c>
      <c r="CG296" s="100" t="str">
        <f>IF($A296="","",IFERROR(INDEX('Usage and Coverage'!$C$79:$C$84,MATCH($Y296,'Usage and Coverage'!$B$79:$B$84,0)),"?"))</f>
        <v/>
      </c>
      <c r="CH296" s="102" t="str">
        <f>IFERROR(IF(ISNUMBER($CD296),$CF296*$CG296*MIN($BG296*$BA296*$BC296*$BD296*$BH296*$BF296,'Technical Premium'!$C$17),""),"")</f>
        <v/>
      </c>
      <c r="CI296" s="102" t="str">
        <f t="shared" si="57"/>
        <v/>
      </c>
      <c r="CJ296" s="102" t="str">
        <f>IFERROR($CI296*(1+'Technical Premium'!$C$5)*(1+'Technical Premium'!$C$6),"")</f>
        <v/>
      </c>
      <c r="CK296" s="102" t="str">
        <f>IFERROR($CE296*INDEX('Territory Factors'!$G$6:$G$56,MATCH($K296,'Territory Factors'!$B$6:$B$56,0))*$AU296*$AV296,"")</f>
        <v/>
      </c>
      <c r="CL296" s="102" t="str">
        <f>IFERROR(($CJ296+$CK296)*(1+'Technical Premium'!$C$7),"")</f>
        <v/>
      </c>
      <c r="CM296" s="104" t="str">
        <f>IFERROR($CL296/'Technical Premium'!$C$13,"")</f>
        <v/>
      </c>
      <c r="CN296" s="105" t="str">
        <f t="shared" si="58"/>
        <v/>
      </c>
      <c r="CO296" s="104" t="str">
        <f t="shared" si="59"/>
        <v/>
      </c>
      <c r="CP296" s="105" t="str">
        <f t="shared" si="60"/>
        <v/>
      </c>
      <c r="CQ296" s="106" t="str">
        <f t="shared" si="61"/>
        <v/>
      </c>
      <c r="CR296" s="102" t="str">
        <f>IF(ISNUMBER($CM296),'Technical Premium'!$C$14+IF($J296&gt;=1000000,'Technical Premium'!$C$15,0),"")</f>
        <v/>
      </c>
      <c r="CS296" s="102" t="str">
        <f>IFERROR(($CO296+$CR296)*(INDEX('Territory Factors'!$K$6:$K$56,MATCH($K296,'Territory Factors'!$B$6:$B$56,0))+'Commission Structure'!$C$21),"")</f>
        <v/>
      </c>
      <c r="CT296" s="104" t="str">
        <f t="shared" si="62"/>
        <v/>
      </c>
      <c r="CU296" s="102" t="str">
        <f>IFERROR($CO296*('Commission Structure'!$C$6+'Commission Structure'!$C$7),"")</f>
        <v/>
      </c>
      <c r="CV296" s="102" t="str">
        <f>IFERROR($CO296*'Commission Structure'!$C$5-$CU296,"")</f>
        <v/>
      </c>
      <c r="CW296" s="102" t="str">
        <f>IFERROR($CO296*(1-'Commission Structure'!$C$5),"")</f>
        <v/>
      </c>
      <c r="CX296" s="107"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8" t="str">
        <f t="shared" si="63"/>
        <v/>
      </c>
      <c r="CZ296" s="99" t="str">
        <f>IF($CY296="","",IF($CY296&lt;'Technical Premium'!$C$19,"BEYOND AUTHORITY",IF($CY296&gt;0.005,"Above technical",IF($CY296&lt;-0.005,"BELOW technical","At technical"))))</f>
        <v/>
      </c>
      <c r="DA296" s="99"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4"/>
      <c r="DC296" s="94"/>
      <c r="DD296" s="95"/>
      <c r="DE296" s="94"/>
      <c r="DF296" s="94"/>
      <c r="DG296" s="99" t="str">
        <f t="shared" si="64"/>
        <v/>
      </c>
      <c r="DH296" s="99" t="str">
        <f>IF($A296="","",IF(OR($CX296="REFER",$CX296="DECLINE"),COUNTIF($CX$5:$CX296,"REFER")+COUNTIF($CX$5:$CX296,"DECLINE"),""))</f>
        <v/>
      </c>
      <c r="DI296" s="94"/>
    </row>
    <row r="297" spans="1:113" x14ac:dyDescent="0.35">
      <c r="A297" s="94"/>
      <c r="B297" s="94"/>
      <c r="C297" s="95"/>
      <c r="D297" s="95"/>
      <c r="E297" s="96"/>
      <c r="F297" s="94"/>
      <c r="G297" s="94"/>
      <c r="H297" s="94"/>
      <c r="I297" s="94"/>
      <c r="J297" s="97"/>
      <c r="K297" s="94"/>
      <c r="L297" s="94"/>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8"/>
      <c r="AR297" s="99" t="str">
        <f t="shared" si="52"/>
        <v/>
      </c>
      <c r="AS297" s="99" t="str">
        <f>IF($A297="","",IF($AP297&lt;&gt;"",$AP297,IFERROR(INDEX('Cat Zone by ZIP'!$D$6:$D$856,MATCH($AR297,'Cat Zone by ZIP'!$B$6:$B$856,0)),IFERROR(INDEX('Cat Zone by ZIP'!$C$860:$C$910,MATCH($K297,'Cat Zone by ZIP'!$B$860:$B$910,0)),"NOT FOUND"))))</f>
        <v/>
      </c>
      <c r="AT297" s="99" t="str">
        <f>IF($A297="","",IF($AP297&lt;&gt;"","Override",IF(ISNUMBER(MATCH($AR297,'Cat Zone by ZIP'!$B$6:$B$856,0)),"ZIP-3","State default")))</f>
        <v/>
      </c>
      <c r="AU297" s="100" t="str">
        <f>IF($A297="","",IFERROR(INDEX('Natural Catastrophe'!$D$6:$D$17,MATCH($AS297,'Natural Catastrophe'!$B$6:$B$17,0)),"?"))</f>
        <v/>
      </c>
      <c r="AV297" s="100" t="str">
        <f>IF($A297="","",IFERROR(INDEX('Natural Catastrophe'!$C$21:$C$26,MATCH($AA297,'Natural Catastrophe'!$B$21:$B$26,0)),"?"))</f>
        <v/>
      </c>
      <c r="AW297" s="99" t="str">
        <f>IF($A297="","",IFERROR(INDEX('Base Rates'!$C$4:$I$4,MATCH(MAX($J297,'Technical Premium'!$C$18),'Base Rates'!$C$3:$I$3,1)),"?"))</f>
        <v/>
      </c>
      <c r="AX297" s="101" t="str">
        <f>IF($A297="","",IFERROR(INDEX('Base Rates'!$C$5:$I$16,MATCH($I297,'Base Rates'!$B$5:$B$16,0),MATCH(MAX($J297,'Technical Premium'!$C$18),'Base Rates'!$C$3:$I$3,1)),"?"))</f>
        <v/>
      </c>
      <c r="AY297" s="102" t="str">
        <f t="shared" si="53"/>
        <v/>
      </c>
      <c r="AZ297" s="99" t="str">
        <f>IF($A297="","",IFERROR(INDEX('Make Factors'!$G$5:$G$69,MATCH($F297,'Make Factors'!$B$5:$B$69,0)),"?"))</f>
        <v/>
      </c>
      <c r="BA297" s="99" t="str">
        <f>IF($A297="","",IFERROR(INDEX('Driver Factors'!$C$6:$C$15,MATCH($R297,'Driver Factors'!$B$6:$B$15,0)),"?"))</f>
        <v/>
      </c>
      <c r="BB297" s="99" t="str">
        <f>IF($A297="","",IFERROR(INDEX('Driver Factors'!$C$19:$C$24,MATCH($S297,'Driver Factors'!$B$19:$B$24,0)),"?"))</f>
        <v/>
      </c>
      <c r="BC297" s="99" t="str">
        <f>IF($A297="","",IFERROR(INDEX('Driver Factors'!$C$28:$C$36,MATCH($T297,'Driver Factors'!$B$28:$B$36,0)),"?"))</f>
        <v/>
      </c>
      <c r="BD297" s="99" t="str">
        <f>IF($A297="","",IFERROR(INDEX('Claims History'!$C$6:$C$15,MATCH($U297,'Claims History'!$B$6:$B$15,0)),"?"))</f>
        <v/>
      </c>
      <c r="BE297" s="99" t="str">
        <f>IF($A297="","",IFERROR(INDEX('Territory Factors'!$E$6:$E$56,MATCH($K297,'Territory Factors'!$B$6:$B$56,0)),"?"))</f>
        <v/>
      </c>
      <c r="BF297" s="99" t="str">
        <f>IF($A297="","",IFERROR(INDEX('City Accident Ratings'!$G$6:$G$54,MATCH($Z297,'City Accident Ratings'!$B$6:$B$54,0)),"?"))</f>
        <v/>
      </c>
      <c r="BG297" s="99" t="str">
        <f>IF($A297="","",IFERROR(INDEX('Usage and Coverage'!$D$6:$D$20,MATCH($N297,'Usage and Coverage'!$C$6:$C$20,0)),"?"))</f>
        <v/>
      </c>
      <c r="BH297" s="99" t="str">
        <f>IF($A297="","",IFERROR(INDEX('Usage and Coverage'!$C$24:$C$30,MATCH($O297,'Usage and Coverage'!$B$24:$B$30,0)),"?"))</f>
        <v/>
      </c>
      <c r="BI297" s="99" t="str">
        <f>IF($A297="","",IFERROR(INDEX('Usage and Coverage'!$C$34:$C$40,MATCH($P297,'Usage and Coverage'!$B$34:$B$40,0)),"?"))</f>
        <v/>
      </c>
      <c r="BJ297" s="99" t="str">
        <f>IF($A297="","",IFERROR(INDEX('Usage and Coverage'!$C$44:$C$49,MATCH($Q297,'Usage and Coverage'!$B$44:$B$49,0)),"?"))</f>
        <v/>
      </c>
      <c r="BK297" s="99" t="str">
        <f>IF($A297="","",IFERROR(INDEX(Deductibles!$C$6:$I$15,MATCH($W297,Deductibles!$B$6:$B$15,0),MATCH(MAX($J297,'Technical Premium'!$C$18),'Base Rates'!$C$3:$I$3,1)),"?"))</f>
        <v/>
      </c>
      <c r="BL297" s="99" t="str">
        <f>IF($A297="","",IFERROR(INDEX('Usage and Coverage'!$C$63:$C$66,MATCH($X297,'Usage and Coverage'!$B$63:$B$66,0)),"?"))</f>
        <v/>
      </c>
      <c r="BM297" s="99" t="str">
        <f>IF($A297="","",IFERROR(INDEX('Usage and Coverage'!$C$70:$C$75,MATCH($V297,'Usage and Coverage'!$B$70:$B$75,0)),"?"))</f>
        <v/>
      </c>
      <c r="BN297" s="99" t="str">
        <f>IF($A297="","",IF($AB297="",1,IFERROR(INDEX(Deductibles!$C$48:$C$51,MATCH($AB297,Deductibles!$B$48:$B$51,0)),"?")))</f>
        <v/>
      </c>
      <c r="BO297" s="99" t="str">
        <f>IF($A297="","",IF($AC297="",1,IFERROR(INDEX(Deductibles!$C$55:$C$57,MATCH($AC297,Deductibles!$B$55:$B$57,0)),"?")))</f>
        <v/>
      </c>
      <c r="BP297" s="99" t="str">
        <f>IF($A297="","",IF($AD297="",1,IFERROR(INDEX(Deductibles!$C$61:$C$63,MATCH($AD297,Deductibles!$B$61:$B$63,0)),"?")))</f>
        <v/>
      </c>
      <c r="BQ297" s="99" t="str">
        <f>IF($A297="","",IF($AE297="",1,IFERROR(INDEX(Deductibles!$C$67:$C$69,MATCH($AE297,Deductibles!$B$67:$B$69,0)),"?")))</f>
        <v/>
      </c>
      <c r="BR297" s="99" t="str">
        <f>IF($A297="","",IF($AF297="",1,IFERROR(INDEX(Deductibles!$C$73:$C$74,MATCH($AF297,Deductibles!$B$73:$B$74,0)),"?")))</f>
        <v/>
      </c>
      <c r="BS297" s="99" t="str">
        <f>IF($A297="","",IF($AG297="",1,IFERROR(INDEX('Sublimits and Parts'!$C$49:$C$52,MATCH($AG297,'Sublimits and Parts'!$B$49:$B$52,0)),"?")))</f>
        <v/>
      </c>
      <c r="BT297" s="99" t="str">
        <f>IF($A297="","",IF($AH297="",1,IFERROR(INDEX('Sublimits and Parts'!$C$56:$C$60,MATCH($AH297,'Sublimits and Parts'!$B$56:$B$60,0)),"?")))</f>
        <v/>
      </c>
      <c r="BU297" s="99" t="str">
        <f>IF($A297="","",IF($AI297="",1,IFERROR(INDEX('Sublimits and Parts'!$C$64:$C$67,MATCH($AI297,'Sublimits and Parts'!$B$64:$B$67,0)),"?")))</f>
        <v/>
      </c>
      <c r="BV297" s="99" t="str">
        <f>IF($A297="","",IF($AJ297="",1,IFERROR(INDEX('Sublimits and Parts'!$C$71:$C$74,MATCH($AJ297,'Sublimits and Parts'!$B$71:$B$74,0)),"?")))</f>
        <v/>
      </c>
      <c r="BW297" s="99" t="str">
        <f>IF($A297="","",IF($AK297="",1,IFERROR(INDEX('Sublimits and Parts'!$C$78:$C$80,MATCH($AK297,'Sublimits and Parts'!$B$78:$B$80,0)),"?")))</f>
        <v/>
      </c>
      <c r="BX297" s="99" t="str">
        <f>IF($A297="","",IF($AL297="",1,IFERROR(INDEX('Sublimits and Parts'!$C$84:$C$87,MATCH($AL297,'Sublimits and Parts'!$B$84:$B$87,0)),"?")))</f>
        <v/>
      </c>
      <c r="BY297" s="99" t="str">
        <f>IF($A297="","",IF($AM297="",1,IFERROR(INDEX('Sublimits and Parts'!$C$91:$C$94,MATCH($AM297,'Sublimits and Parts'!$B$91:$B$94,0)),"?")))</f>
        <v/>
      </c>
      <c r="BZ297" s="99" t="str">
        <f>IF($A297="","",IF($AN297="",1,IFERROR(INDEX('Sublimits and Parts'!$C$98:$C$101,MATCH($AN297,'Sublimits and Parts'!$B$98:$B$101,0)),"?")))</f>
        <v/>
      </c>
      <c r="CA297" s="99" t="str">
        <f>IF($A297="","",IF($AO297="",1,IFERROR(INDEX('Sublimits and Parts'!$C$105:$C$109,MATCH($AO297,'Sublimits and Parts'!$B$105:$B$109,0)),"?")))</f>
        <v/>
      </c>
      <c r="CB297" s="100" t="str">
        <f t="shared" si="54"/>
        <v/>
      </c>
      <c r="CC297" s="100" t="str">
        <f t="shared" si="55"/>
        <v/>
      </c>
      <c r="CD297" s="103" t="str">
        <f>IF($A297="","",IF(OR($CB297="?",$CC297="?"),"?",MIN($CB297*$CC297,'Technical Premium'!$C$17)))</f>
        <v/>
      </c>
      <c r="CE297" s="102" t="str">
        <f t="shared" si="56"/>
        <v/>
      </c>
      <c r="CF297" s="102" t="str">
        <f>IF($A297="","",IFERROR(INDEX('Territory Factors'!$F$6:$F$56,MATCH($K297,'Territory Factors'!$B$6:$B$56,0)),"?"))</f>
        <v/>
      </c>
      <c r="CG297" s="100" t="str">
        <f>IF($A297="","",IFERROR(INDEX('Usage and Coverage'!$C$79:$C$84,MATCH($Y297,'Usage and Coverage'!$B$79:$B$84,0)),"?"))</f>
        <v/>
      </c>
      <c r="CH297" s="102" t="str">
        <f>IFERROR(IF(ISNUMBER($CD297),$CF297*$CG297*MIN($BG297*$BA297*$BC297*$BD297*$BH297*$BF297,'Technical Premium'!$C$17),""),"")</f>
        <v/>
      </c>
      <c r="CI297" s="102" t="str">
        <f t="shared" si="57"/>
        <v/>
      </c>
      <c r="CJ297" s="102" t="str">
        <f>IFERROR($CI297*(1+'Technical Premium'!$C$5)*(1+'Technical Premium'!$C$6),"")</f>
        <v/>
      </c>
      <c r="CK297" s="102" t="str">
        <f>IFERROR($CE297*INDEX('Territory Factors'!$G$6:$G$56,MATCH($K297,'Territory Factors'!$B$6:$B$56,0))*$AU297*$AV297,"")</f>
        <v/>
      </c>
      <c r="CL297" s="102" t="str">
        <f>IFERROR(($CJ297+$CK297)*(1+'Technical Premium'!$C$7),"")</f>
        <v/>
      </c>
      <c r="CM297" s="104" t="str">
        <f>IFERROR($CL297/'Technical Premium'!$C$13,"")</f>
        <v/>
      </c>
      <c r="CN297" s="105" t="str">
        <f t="shared" si="58"/>
        <v/>
      </c>
      <c r="CO297" s="104" t="str">
        <f t="shared" si="59"/>
        <v/>
      </c>
      <c r="CP297" s="105" t="str">
        <f t="shared" si="60"/>
        <v/>
      </c>
      <c r="CQ297" s="106" t="str">
        <f t="shared" si="61"/>
        <v/>
      </c>
      <c r="CR297" s="102" t="str">
        <f>IF(ISNUMBER($CM297),'Technical Premium'!$C$14+IF($J297&gt;=1000000,'Technical Premium'!$C$15,0),"")</f>
        <v/>
      </c>
      <c r="CS297" s="102" t="str">
        <f>IFERROR(($CO297+$CR297)*(INDEX('Territory Factors'!$K$6:$K$56,MATCH($K297,'Territory Factors'!$B$6:$B$56,0))+'Commission Structure'!$C$21),"")</f>
        <v/>
      </c>
      <c r="CT297" s="104" t="str">
        <f t="shared" si="62"/>
        <v/>
      </c>
      <c r="CU297" s="102" t="str">
        <f>IFERROR($CO297*('Commission Structure'!$C$6+'Commission Structure'!$C$7),"")</f>
        <v/>
      </c>
      <c r="CV297" s="102" t="str">
        <f>IFERROR($CO297*'Commission Structure'!$C$5-$CU297,"")</f>
        <v/>
      </c>
      <c r="CW297" s="102" t="str">
        <f>IFERROR($CO297*(1-'Commission Structure'!$C$5),"")</f>
        <v/>
      </c>
      <c r="CX297" s="107"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8" t="str">
        <f t="shared" si="63"/>
        <v/>
      </c>
      <c r="CZ297" s="99" t="str">
        <f>IF($CY297="","",IF($CY297&lt;'Technical Premium'!$C$19,"BEYOND AUTHORITY",IF($CY297&gt;0.005,"Above technical",IF($CY297&lt;-0.005,"BELOW technical","At technical"))))</f>
        <v/>
      </c>
      <c r="DA297" s="99"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4"/>
      <c r="DC297" s="94"/>
      <c r="DD297" s="95"/>
      <c r="DE297" s="94"/>
      <c r="DF297" s="94"/>
      <c r="DG297" s="99" t="str">
        <f t="shared" si="64"/>
        <v/>
      </c>
      <c r="DH297" s="99" t="str">
        <f>IF($A297="","",IF(OR($CX297="REFER",$CX297="DECLINE"),COUNTIF($CX$5:$CX297,"REFER")+COUNTIF($CX$5:$CX297,"DECLINE"),""))</f>
        <v/>
      </c>
      <c r="DI297" s="94"/>
    </row>
    <row r="298" spans="1:113" x14ac:dyDescent="0.35">
      <c r="A298" s="94"/>
      <c r="B298" s="94"/>
      <c r="C298" s="95"/>
      <c r="D298" s="95"/>
      <c r="E298" s="96"/>
      <c r="F298" s="94"/>
      <c r="G298" s="94"/>
      <c r="H298" s="94"/>
      <c r="I298" s="94"/>
      <c r="J298" s="97"/>
      <c r="K298" s="94"/>
      <c r="L298" s="94"/>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8"/>
      <c r="AR298" s="99" t="str">
        <f t="shared" si="52"/>
        <v/>
      </c>
      <c r="AS298" s="99" t="str">
        <f>IF($A298="","",IF($AP298&lt;&gt;"",$AP298,IFERROR(INDEX('Cat Zone by ZIP'!$D$6:$D$856,MATCH($AR298,'Cat Zone by ZIP'!$B$6:$B$856,0)),IFERROR(INDEX('Cat Zone by ZIP'!$C$860:$C$910,MATCH($K298,'Cat Zone by ZIP'!$B$860:$B$910,0)),"NOT FOUND"))))</f>
        <v/>
      </c>
      <c r="AT298" s="99" t="str">
        <f>IF($A298="","",IF($AP298&lt;&gt;"","Override",IF(ISNUMBER(MATCH($AR298,'Cat Zone by ZIP'!$B$6:$B$856,0)),"ZIP-3","State default")))</f>
        <v/>
      </c>
      <c r="AU298" s="100" t="str">
        <f>IF($A298="","",IFERROR(INDEX('Natural Catastrophe'!$D$6:$D$17,MATCH($AS298,'Natural Catastrophe'!$B$6:$B$17,0)),"?"))</f>
        <v/>
      </c>
      <c r="AV298" s="100" t="str">
        <f>IF($A298="","",IFERROR(INDEX('Natural Catastrophe'!$C$21:$C$26,MATCH($AA298,'Natural Catastrophe'!$B$21:$B$26,0)),"?"))</f>
        <v/>
      </c>
      <c r="AW298" s="99" t="str">
        <f>IF($A298="","",IFERROR(INDEX('Base Rates'!$C$4:$I$4,MATCH(MAX($J298,'Technical Premium'!$C$18),'Base Rates'!$C$3:$I$3,1)),"?"))</f>
        <v/>
      </c>
      <c r="AX298" s="101" t="str">
        <f>IF($A298="","",IFERROR(INDEX('Base Rates'!$C$5:$I$16,MATCH($I298,'Base Rates'!$B$5:$B$16,0),MATCH(MAX($J298,'Technical Premium'!$C$18),'Base Rates'!$C$3:$I$3,1)),"?"))</f>
        <v/>
      </c>
      <c r="AY298" s="102" t="str">
        <f t="shared" si="53"/>
        <v/>
      </c>
      <c r="AZ298" s="99" t="str">
        <f>IF($A298="","",IFERROR(INDEX('Make Factors'!$G$5:$G$69,MATCH($F298,'Make Factors'!$B$5:$B$69,0)),"?"))</f>
        <v/>
      </c>
      <c r="BA298" s="99" t="str">
        <f>IF($A298="","",IFERROR(INDEX('Driver Factors'!$C$6:$C$15,MATCH($R298,'Driver Factors'!$B$6:$B$15,0)),"?"))</f>
        <v/>
      </c>
      <c r="BB298" s="99" t="str">
        <f>IF($A298="","",IFERROR(INDEX('Driver Factors'!$C$19:$C$24,MATCH($S298,'Driver Factors'!$B$19:$B$24,0)),"?"))</f>
        <v/>
      </c>
      <c r="BC298" s="99" t="str">
        <f>IF($A298="","",IFERROR(INDEX('Driver Factors'!$C$28:$C$36,MATCH($T298,'Driver Factors'!$B$28:$B$36,0)),"?"))</f>
        <v/>
      </c>
      <c r="BD298" s="99" t="str">
        <f>IF($A298="","",IFERROR(INDEX('Claims History'!$C$6:$C$15,MATCH($U298,'Claims History'!$B$6:$B$15,0)),"?"))</f>
        <v/>
      </c>
      <c r="BE298" s="99" t="str">
        <f>IF($A298="","",IFERROR(INDEX('Territory Factors'!$E$6:$E$56,MATCH($K298,'Territory Factors'!$B$6:$B$56,0)),"?"))</f>
        <v/>
      </c>
      <c r="BF298" s="99" t="str">
        <f>IF($A298="","",IFERROR(INDEX('City Accident Ratings'!$G$6:$G$54,MATCH($Z298,'City Accident Ratings'!$B$6:$B$54,0)),"?"))</f>
        <v/>
      </c>
      <c r="BG298" s="99" t="str">
        <f>IF($A298="","",IFERROR(INDEX('Usage and Coverage'!$D$6:$D$20,MATCH($N298,'Usage and Coverage'!$C$6:$C$20,0)),"?"))</f>
        <v/>
      </c>
      <c r="BH298" s="99" t="str">
        <f>IF($A298="","",IFERROR(INDEX('Usage and Coverage'!$C$24:$C$30,MATCH($O298,'Usage and Coverage'!$B$24:$B$30,0)),"?"))</f>
        <v/>
      </c>
      <c r="BI298" s="99" t="str">
        <f>IF($A298="","",IFERROR(INDEX('Usage and Coverage'!$C$34:$C$40,MATCH($P298,'Usage and Coverage'!$B$34:$B$40,0)),"?"))</f>
        <v/>
      </c>
      <c r="BJ298" s="99" t="str">
        <f>IF($A298="","",IFERROR(INDEX('Usage and Coverage'!$C$44:$C$49,MATCH($Q298,'Usage and Coverage'!$B$44:$B$49,0)),"?"))</f>
        <v/>
      </c>
      <c r="BK298" s="99" t="str">
        <f>IF($A298="","",IFERROR(INDEX(Deductibles!$C$6:$I$15,MATCH($W298,Deductibles!$B$6:$B$15,0),MATCH(MAX($J298,'Technical Premium'!$C$18),'Base Rates'!$C$3:$I$3,1)),"?"))</f>
        <v/>
      </c>
      <c r="BL298" s="99" t="str">
        <f>IF($A298="","",IFERROR(INDEX('Usage and Coverage'!$C$63:$C$66,MATCH($X298,'Usage and Coverage'!$B$63:$B$66,0)),"?"))</f>
        <v/>
      </c>
      <c r="BM298" s="99" t="str">
        <f>IF($A298="","",IFERROR(INDEX('Usage and Coverage'!$C$70:$C$75,MATCH($V298,'Usage and Coverage'!$B$70:$B$75,0)),"?"))</f>
        <v/>
      </c>
      <c r="BN298" s="99" t="str">
        <f>IF($A298="","",IF($AB298="",1,IFERROR(INDEX(Deductibles!$C$48:$C$51,MATCH($AB298,Deductibles!$B$48:$B$51,0)),"?")))</f>
        <v/>
      </c>
      <c r="BO298" s="99" t="str">
        <f>IF($A298="","",IF($AC298="",1,IFERROR(INDEX(Deductibles!$C$55:$C$57,MATCH($AC298,Deductibles!$B$55:$B$57,0)),"?")))</f>
        <v/>
      </c>
      <c r="BP298" s="99" t="str">
        <f>IF($A298="","",IF($AD298="",1,IFERROR(INDEX(Deductibles!$C$61:$C$63,MATCH($AD298,Deductibles!$B$61:$B$63,0)),"?")))</f>
        <v/>
      </c>
      <c r="BQ298" s="99" t="str">
        <f>IF($A298="","",IF($AE298="",1,IFERROR(INDEX(Deductibles!$C$67:$C$69,MATCH($AE298,Deductibles!$B$67:$B$69,0)),"?")))</f>
        <v/>
      </c>
      <c r="BR298" s="99" t="str">
        <f>IF($A298="","",IF($AF298="",1,IFERROR(INDEX(Deductibles!$C$73:$C$74,MATCH($AF298,Deductibles!$B$73:$B$74,0)),"?")))</f>
        <v/>
      </c>
      <c r="BS298" s="99" t="str">
        <f>IF($A298="","",IF($AG298="",1,IFERROR(INDEX('Sublimits and Parts'!$C$49:$C$52,MATCH($AG298,'Sublimits and Parts'!$B$49:$B$52,0)),"?")))</f>
        <v/>
      </c>
      <c r="BT298" s="99" t="str">
        <f>IF($A298="","",IF($AH298="",1,IFERROR(INDEX('Sublimits and Parts'!$C$56:$C$60,MATCH($AH298,'Sublimits and Parts'!$B$56:$B$60,0)),"?")))</f>
        <v/>
      </c>
      <c r="BU298" s="99" t="str">
        <f>IF($A298="","",IF($AI298="",1,IFERROR(INDEX('Sublimits and Parts'!$C$64:$C$67,MATCH($AI298,'Sublimits and Parts'!$B$64:$B$67,0)),"?")))</f>
        <v/>
      </c>
      <c r="BV298" s="99" t="str">
        <f>IF($A298="","",IF($AJ298="",1,IFERROR(INDEX('Sublimits and Parts'!$C$71:$C$74,MATCH($AJ298,'Sublimits and Parts'!$B$71:$B$74,0)),"?")))</f>
        <v/>
      </c>
      <c r="BW298" s="99" t="str">
        <f>IF($A298="","",IF($AK298="",1,IFERROR(INDEX('Sublimits and Parts'!$C$78:$C$80,MATCH($AK298,'Sublimits and Parts'!$B$78:$B$80,0)),"?")))</f>
        <v/>
      </c>
      <c r="BX298" s="99" t="str">
        <f>IF($A298="","",IF($AL298="",1,IFERROR(INDEX('Sublimits and Parts'!$C$84:$C$87,MATCH($AL298,'Sublimits and Parts'!$B$84:$B$87,0)),"?")))</f>
        <v/>
      </c>
      <c r="BY298" s="99" t="str">
        <f>IF($A298="","",IF($AM298="",1,IFERROR(INDEX('Sublimits and Parts'!$C$91:$C$94,MATCH($AM298,'Sublimits and Parts'!$B$91:$B$94,0)),"?")))</f>
        <v/>
      </c>
      <c r="BZ298" s="99" t="str">
        <f>IF($A298="","",IF($AN298="",1,IFERROR(INDEX('Sublimits and Parts'!$C$98:$C$101,MATCH($AN298,'Sublimits and Parts'!$B$98:$B$101,0)),"?")))</f>
        <v/>
      </c>
      <c r="CA298" s="99" t="str">
        <f>IF($A298="","",IF($AO298="",1,IFERROR(INDEX('Sublimits and Parts'!$C$105:$C$109,MATCH($AO298,'Sublimits and Parts'!$B$105:$B$109,0)),"?")))</f>
        <v/>
      </c>
      <c r="CB298" s="100" t="str">
        <f t="shared" si="54"/>
        <v/>
      </c>
      <c r="CC298" s="100" t="str">
        <f t="shared" si="55"/>
        <v/>
      </c>
      <c r="CD298" s="103" t="str">
        <f>IF($A298="","",IF(OR($CB298="?",$CC298="?"),"?",MIN($CB298*$CC298,'Technical Premium'!$C$17)))</f>
        <v/>
      </c>
      <c r="CE298" s="102" t="str">
        <f t="shared" si="56"/>
        <v/>
      </c>
      <c r="CF298" s="102" t="str">
        <f>IF($A298="","",IFERROR(INDEX('Territory Factors'!$F$6:$F$56,MATCH($K298,'Territory Factors'!$B$6:$B$56,0)),"?"))</f>
        <v/>
      </c>
      <c r="CG298" s="100" t="str">
        <f>IF($A298="","",IFERROR(INDEX('Usage and Coverage'!$C$79:$C$84,MATCH($Y298,'Usage and Coverage'!$B$79:$B$84,0)),"?"))</f>
        <v/>
      </c>
      <c r="CH298" s="102" t="str">
        <f>IFERROR(IF(ISNUMBER($CD298),$CF298*$CG298*MIN($BG298*$BA298*$BC298*$BD298*$BH298*$BF298,'Technical Premium'!$C$17),""),"")</f>
        <v/>
      </c>
      <c r="CI298" s="102" t="str">
        <f t="shared" si="57"/>
        <v/>
      </c>
      <c r="CJ298" s="102" t="str">
        <f>IFERROR($CI298*(1+'Technical Premium'!$C$5)*(1+'Technical Premium'!$C$6),"")</f>
        <v/>
      </c>
      <c r="CK298" s="102" t="str">
        <f>IFERROR($CE298*INDEX('Territory Factors'!$G$6:$G$56,MATCH($K298,'Territory Factors'!$B$6:$B$56,0))*$AU298*$AV298,"")</f>
        <v/>
      </c>
      <c r="CL298" s="102" t="str">
        <f>IFERROR(($CJ298+$CK298)*(1+'Technical Premium'!$C$7),"")</f>
        <v/>
      </c>
      <c r="CM298" s="104" t="str">
        <f>IFERROR($CL298/'Technical Premium'!$C$13,"")</f>
        <v/>
      </c>
      <c r="CN298" s="105" t="str">
        <f t="shared" si="58"/>
        <v/>
      </c>
      <c r="CO298" s="104" t="str">
        <f t="shared" si="59"/>
        <v/>
      </c>
      <c r="CP298" s="105" t="str">
        <f t="shared" si="60"/>
        <v/>
      </c>
      <c r="CQ298" s="106" t="str">
        <f t="shared" si="61"/>
        <v/>
      </c>
      <c r="CR298" s="102" t="str">
        <f>IF(ISNUMBER($CM298),'Technical Premium'!$C$14+IF($J298&gt;=1000000,'Technical Premium'!$C$15,0),"")</f>
        <v/>
      </c>
      <c r="CS298" s="102" t="str">
        <f>IFERROR(($CO298+$CR298)*(INDEX('Territory Factors'!$K$6:$K$56,MATCH($K298,'Territory Factors'!$B$6:$B$56,0))+'Commission Structure'!$C$21),"")</f>
        <v/>
      </c>
      <c r="CT298" s="104" t="str">
        <f t="shared" si="62"/>
        <v/>
      </c>
      <c r="CU298" s="102" t="str">
        <f>IFERROR($CO298*('Commission Structure'!$C$6+'Commission Structure'!$C$7),"")</f>
        <v/>
      </c>
      <c r="CV298" s="102" t="str">
        <f>IFERROR($CO298*'Commission Structure'!$C$5-$CU298,"")</f>
        <v/>
      </c>
      <c r="CW298" s="102" t="str">
        <f>IFERROR($CO298*(1-'Commission Structure'!$C$5),"")</f>
        <v/>
      </c>
      <c r="CX298" s="107"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8" t="str">
        <f t="shared" si="63"/>
        <v/>
      </c>
      <c r="CZ298" s="99" t="str">
        <f>IF($CY298="","",IF($CY298&lt;'Technical Premium'!$C$19,"BEYOND AUTHORITY",IF($CY298&gt;0.005,"Above technical",IF($CY298&lt;-0.005,"BELOW technical","At technical"))))</f>
        <v/>
      </c>
      <c r="DA298" s="99"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4"/>
      <c r="DC298" s="94"/>
      <c r="DD298" s="95"/>
      <c r="DE298" s="94"/>
      <c r="DF298" s="94"/>
      <c r="DG298" s="99" t="str">
        <f t="shared" si="64"/>
        <v/>
      </c>
      <c r="DH298" s="99" t="str">
        <f>IF($A298="","",IF(OR($CX298="REFER",$CX298="DECLINE"),COUNTIF($CX$5:$CX298,"REFER")+COUNTIF($CX$5:$CX298,"DECLINE"),""))</f>
        <v/>
      </c>
      <c r="DI298" s="94"/>
    </row>
    <row r="299" spans="1:113" x14ac:dyDescent="0.35">
      <c r="A299" s="94"/>
      <c r="B299" s="94"/>
      <c r="C299" s="95"/>
      <c r="D299" s="95"/>
      <c r="E299" s="96"/>
      <c r="F299" s="94"/>
      <c r="G299" s="94"/>
      <c r="H299" s="94"/>
      <c r="I299" s="94"/>
      <c r="J299" s="97"/>
      <c r="K299" s="94"/>
      <c r="L299" s="94"/>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8"/>
      <c r="AR299" s="99" t="str">
        <f t="shared" si="52"/>
        <v/>
      </c>
      <c r="AS299" s="99" t="str">
        <f>IF($A299="","",IF($AP299&lt;&gt;"",$AP299,IFERROR(INDEX('Cat Zone by ZIP'!$D$6:$D$856,MATCH($AR299,'Cat Zone by ZIP'!$B$6:$B$856,0)),IFERROR(INDEX('Cat Zone by ZIP'!$C$860:$C$910,MATCH($K299,'Cat Zone by ZIP'!$B$860:$B$910,0)),"NOT FOUND"))))</f>
        <v/>
      </c>
      <c r="AT299" s="99" t="str">
        <f>IF($A299="","",IF($AP299&lt;&gt;"","Override",IF(ISNUMBER(MATCH($AR299,'Cat Zone by ZIP'!$B$6:$B$856,0)),"ZIP-3","State default")))</f>
        <v/>
      </c>
      <c r="AU299" s="100" t="str">
        <f>IF($A299="","",IFERROR(INDEX('Natural Catastrophe'!$D$6:$D$17,MATCH($AS299,'Natural Catastrophe'!$B$6:$B$17,0)),"?"))</f>
        <v/>
      </c>
      <c r="AV299" s="100" t="str">
        <f>IF($A299="","",IFERROR(INDEX('Natural Catastrophe'!$C$21:$C$26,MATCH($AA299,'Natural Catastrophe'!$B$21:$B$26,0)),"?"))</f>
        <v/>
      </c>
      <c r="AW299" s="99" t="str">
        <f>IF($A299="","",IFERROR(INDEX('Base Rates'!$C$4:$I$4,MATCH(MAX($J299,'Technical Premium'!$C$18),'Base Rates'!$C$3:$I$3,1)),"?"))</f>
        <v/>
      </c>
      <c r="AX299" s="101" t="str">
        <f>IF($A299="","",IFERROR(INDEX('Base Rates'!$C$5:$I$16,MATCH($I299,'Base Rates'!$B$5:$B$16,0),MATCH(MAX($J299,'Technical Premium'!$C$18),'Base Rates'!$C$3:$I$3,1)),"?"))</f>
        <v/>
      </c>
      <c r="AY299" s="102" t="str">
        <f t="shared" si="53"/>
        <v/>
      </c>
      <c r="AZ299" s="99" t="str">
        <f>IF($A299="","",IFERROR(INDEX('Make Factors'!$G$5:$G$69,MATCH($F299,'Make Factors'!$B$5:$B$69,0)),"?"))</f>
        <v/>
      </c>
      <c r="BA299" s="99" t="str">
        <f>IF($A299="","",IFERROR(INDEX('Driver Factors'!$C$6:$C$15,MATCH($R299,'Driver Factors'!$B$6:$B$15,0)),"?"))</f>
        <v/>
      </c>
      <c r="BB299" s="99" t="str">
        <f>IF($A299="","",IFERROR(INDEX('Driver Factors'!$C$19:$C$24,MATCH($S299,'Driver Factors'!$B$19:$B$24,0)),"?"))</f>
        <v/>
      </c>
      <c r="BC299" s="99" t="str">
        <f>IF($A299="","",IFERROR(INDEX('Driver Factors'!$C$28:$C$36,MATCH($T299,'Driver Factors'!$B$28:$B$36,0)),"?"))</f>
        <v/>
      </c>
      <c r="BD299" s="99" t="str">
        <f>IF($A299="","",IFERROR(INDEX('Claims History'!$C$6:$C$15,MATCH($U299,'Claims History'!$B$6:$B$15,0)),"?"))</f>
        <v/>
      </c>
      <c r="BE299" s="99" t="str">
        <f>IF($A299="","",IFERROR(INDEX('Territory Factors'!$E$6:$E$56,MATCH($K299,'Territory Factors'!$B$6:$B$56,0)),"?"))</f>
        <v/>
      </c>
      <c r="BF299" s="99" t="str">
        <f>IF($A299="","",IFERROR(INDEX('City Accident Ratings'!$G$6:$G$54,MATCH($Z299,'City Accident Ratings'!$B$6:$B$54,0)),"?"))</f>
        <v/>
      </c>
      <c r="BG299" s="99" t="str">
        <f>IF($A299="","",IFERROR(INDEX('Usage and Coverage'!$D$6:$D$20,MATCH($N299,'Usage and Coverage'!$C$6:$C$20,0)),"?"))</f>
        <v/>
      </c>
      <c r="BH299" s="99" t="str">
        <f>IF($A299="","",IFERROR(INDEX('Usage and Coverage'!$C$24:$C$30,MATCH($O299,'Usage and Coverage'!$B$24:$B$30,0)),"?"))</f>
        <v/>
      </c>
      <c r="BI299" s="99" t="str">
        <f>IF($A299="","",IFERROR(INDEX('Usage and Coverage'!$C$34:$C$40,MATCH($P299,'Usage and Coverage'!$B$34:$B$40,0)),"?"))</f>
        <v/>
      </c>
      <c r="BJ299" s="99" t="str">
        <f>IF($A299="","",IFERROR(INDEX('Usage and Coverage'!$C$44:$C$49,MATCH($Q299,'Usage and Coverage'!$B$44:$B$49,0)),"?"))</f>
        <v/>
      </c>
      <c r="BK299" s="99" t="str">
        <f>IF($A299="","",IFERROR(INDEX(Deductibles!$C$6:$I$15,MATCH($W299,Deductibles!$B$6:$B$15,0),MATCH(MAX($J299,'Technical Premium'!$C$18),'Base Rates'!$C$3:$I$3,1)),"?"))</f>
        <v/>
      </c>
      <c r="BL299" s="99" t="str">
        <f>IF($A299="","",IFERROR(INDEX('Usage and Coverage'!$C$63:$C$66,MATCH($X299,'Usage and Coverage'!$B$63:$B$66,0)),"?"))</f>
        <v/>
      </c>
      <c r="BM299" s="99" t="str">
        <f>IF($A299="","",IFERROR(INDEX('Usage and Coverage'!$C$70:$C$75,MATCH($V299,'Usage and Coverage'!$B$70:$B$75,0)),"?"))</f>
        <v/>
      </c>
      <c r="BN299" s="99" t="str">
        <f>IF($A299="","",IF($AB299="",1,IFERROR(INDEX(Deductibles!$C$48:$C$51,MATCH($AB299,Deductibles!$B$48:$B$51,0)),"?")))</f>
        <v/>
      </c>
      <c r="BO299" s="99" t="str">
        <f>IF($A299="","",IF($AC299="",1,IFERROR(INDEX(Deductibles!$C$55:$C$57,MATCH($AC299,Deductibles!$B$55:$B$57,0)),"?")))</f>
        <v/>
      </c>
      <c r="BP299" s="99" t="str">
        <f>IF($A299="","",IF($AD299="",1,IFERROR(INDEX(Deductibles!$C$61:$C$63,MATCH($AD299,Deductibles!$B$61:$B$63,0)),"?")))</f>
        <v/>
      </c>
      <c r="BQ299" s="99" t="str">
        <f>IF($A299="","",IF($AE299="",1,IFERROR(INDEX(Deductibles!$C$67:$C$69,MATCH($AE299,Deductibles!$B$67:$B$69,0)),"?")))</f>
        <v/>
      </c>
      <c r="BR299" s="99" t="str">
        <f>IF($A299="","",IF($AF299="",1,IFERROR(INDEX(Deductibles!$C$73:$C$74,MATCH($AF299,Deductibles!$B$73:$B$74,0)),"?")))</f>
        <v/>
      </c>
      <c r="BS299" s="99" t="str">
        <f>IF($A299="","",IF($AG299="",1,IFERROR(INDEX('Sublimits and Parts'!$C$49:$C$52,MATCH($AG299,'Sublimits and Parts'!$B$49:$B$52,0)),"?")))</f>
        <v/>
      </c>
      <c r="BT299" s="99" t="str">
        <f>IF($A299="","",IF($AH299="",1,IFERROR(INDEX('Sublimits and Parts'!$C$56:$C$60,MATCH($AH299,'Sublimits and Parts'!$B$56:$B$60,0)),"?")))</f>
        <v/>
      </c>
      <c r="BU299" s="99" t="str">
        <f>IF($A299="","",IF($AI299="",1,IFERROR(INDEX('Sublimits and Parts'!$C$64:$C$67,MATCH($AI299,'Sublimits and Parts'!$B$64:$B$67,0)),"?")))</f>
        <v/>
      </c>
      <c r="BV299" s="99" t="str">
        <f>IF($A299="","",IF($AJ299="",1,IFERROR(INDEX('Sublimits and Parts'!$C$71:$C$74,MATCH($AJ299,'Sublimits and Parts'!$B$71:$B$74,0)),"?")))</f>
        <v/>
      </c>
      <c r="BW299" s="99" t="str">
        <f>IF($A299="","",IF($AK299="",1,IFERROR(INDEX('Sublimits and Parts'!$C$78:$C$80,MATCH($AK299,'Sublimits and Parts'!$B$78:$B$80,0)),"?")))</f>
        <v/>
      </c>
      <c r="BX299" s="99" t="str">
        <f>IF($A299="","",IF($AL299="",1,IFERROR(INDEX('Sublimits and Parts'!$C$84:$C$87,MATCH($AL299,'Sublimits and Parts'!$B$84:$B$87,0)),"?")))</f>
        <v/>
      </c>
      <c r="BY299" s="99" t="str">
        <f>IF($A299="","",IF($AM299="",1,IFERROR(INDEX('Sublimits and Parts'!$C$91:$C$94,MATCH($AM299,'Sublimits and Parts'!$B$91:$B$94,0)),"?")))</f>
        <v/>
      </c>
      <c r="BZ299" s="99" t="str">
        <f>IF($A299="","",IF($AN299="",1,IFERROR(INDEX('Sublimits and Parts'!$C$98:$C$101,MATCH($AN299,'Sublimits and Parts'!$B$98:$B$101,0)),"?")))</f>
        <v/>
      </c>
      <c r="CA299" s="99" t="str">
        <f>IF($A299="","",IF($AO299="",1,IFERROR(INDEX('Sublimits and Parts'!$C$105:$C$109,MATCH($AO299,'Sublimits and Parts'!$B$105:$B$109,0)),"?")))</f>
        <v/>
      </c>
      <c r="CB299" s="100" t="str">
        <f t="shared" si="54"/>
        <v/>
      </c>
      <c r="CC299" s="100" t="str">
        <f t="shared" si="55"/>
        <v/>
      </c>
      <c r="CD299" s="103" t="str">
        <f>IF($A299="","",IF(OR($CB299="?",$CC299="?"),"?",MIN($CB299*$CC299,'Technical Premium'!$C$17)))</f>
        <v/>
      </c>
      <c r="CE299" s="102" t="str">
        <f t="shared" si="56"/>
        <v/>
      </c>
      <c r="CF299" s="102" t="str">
        <f>IF($A299="","",IFERROR(INDEX('Territory Factors'!$F$6:$F$56,MATCH($K299,'Territory Factors'!$B$6:$B$56,0)),"?"))</f>
        <v/>
      </c>
      <c r="CG299" s="100" t="str">
        <f>IF($A299="","",IFERROR(INDEX('Usage and Coverage'!$C$79:$C$84,MATCH($Y299,'Usage and Coverage'!$B$79:$B$84,0)),"?"))</f>
        <v/>
      </c>
      <c r="CH299" s="102" t="str">
        <f>IFERROR(IF(ISNUMBER($CD299),$CF299*$CG299*MIN($BG299*$BA299*$BC299*$BD299*$BH299*$BF299,'Technical Premium'!$C$17),""),"")</f>
        <v/>
      </c>
      <c r="CI299" s="102" t="str">
        <f t="shared" si="57"/>
        <v/>
      </c>
      <c r="CJ299" s="102" t="str">
        <f>IFERROR($CI299*(1+'Technical Premium'!$C$5)*(1+'Technical Premium'!$C$6),"")</f>
        <v/>
      </c>
      <c r="CK299" s="102" t="str">
        <f>IFERROR($CE299*INDEX('Territory Factors'!$G$6:$G$56,MATCH($K299,'Territory Factors'!$B$6:$B$56,0))*$AU299*$AV299,"")</f>
        <v/>
      </c>
      <c r="CL299" s="102" t="str">
        <f>IFERROR(($CJ299+$CK299)*(1+'Technical Premium'!$C$7),"")</f>
        <v/>
      </c>
      <c r="CM299" s="104" t="str">
        <f>IFERROR($CL299/'Technical Premium'!$C$13,"")</f>
        <v/>
      </c>
      <c r="CN299" s="105" t="str">
        <f t="shared" si="58"/>
        <v/>
      </c>
      <c r="CO299" s="104" t="str">
        <f t="shared" si="59"/>
        <v/>
      </c>
      <c r="CP299" s="105" t="str">
        <f t="shared" si="60"/>
        <v/>
      </c>
      <c r="CQ299" s="106" t="str">
        <f t="shared" si="61"/>
        <v/>
      </c>
      <c r="CR299" s="102" t="str">
        <f>IF(ISNUMBER($CM299),'Technical Premium'!$C$14+IF($J299&gt;=1000000,'Technical Premium'!$C$15,0),"")</f>
        <v/>
      </c>
      <c r="CS299" s="102" t="str">
        <f>IFERROR(($CO299+$CR299)*(INDEX('Territory Factors'!$K$6:$K$56,MATCH($K299,'Territory Factors'!$B$6:$B$56,0))+'Commission Structure'!$C$21),"")</f>
        <v/>
      </c>
      <c r="CT299" s="104" t="str">
        <f t="shared" si="62"/>
        <v/>
      </c>
      <c r="CU299" s="102" t="str">
        <f>IFERROR($CO299*('Commission Structure'!$C$6+'Commission Structure'!$C$7),"")</f>
        <v/>
      </c>
      <c r="CV299" s="102" t="str">
        <f>IFERROR($CO299*'Commission Structure'!$C$5-$CU299,"")</f>
        <v/>
      </c>
      <c r="CW299" s="102" t="str">
        <f>IFERROR($CO299*(1-'Commission Structure'!$C$5),"")</f>
        <v/>
      </c>
      <c r="CX299" s="107"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8" t="str">
        <f t="shared" si="63"/>
        <v/>
      </c>
      <c r="CZ299" s="99" t="str">
        <f>IF($CY299="","",IF($CY299&lt;'Technical Premium'!$C$19,"BEYOND AUTHORITY",IF($CY299&gt;0.005,"Above technical",IF($CY299&lt;-0.005,"BELOW technical","At technical"))))</f>
        <v/>
      </c>
      <c r="DA299" s="99"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4"/>
      <c r="DC299" s="94"/>
      <c r="DD299" s="95"/>
      <c r="DE299" s="94"/>
      <c r="DF299" s="94"/>
      <c r="DG299" s="99" t="str">
        <f t="shared" si="64"/>
        <v/>
      </c>
      <c r="DH299" s="99" t="str">
        <f>IF($A299="","",IF(OR($CX299="REFER",$CX299="DECLINE"),COUNTIF($CX$5:$CX299,"REFER")+COUNTIF($CX$5:$CX299,"DECLINE"),""))</f>
        <v/>
      </c>
      <c r="DI299" s="94"/>
    </row>
    <row r="300" spans="1:113" x14ac:dyDescent="0.35">
      <c r="A300" s="94"/>
      <c r="B300" s="94"/>
      <c r="C300" s="95"/>
      <c r="D300" s="95"/>
      <c r="E300" s="96"/>
      <c r="F300" s="94"/>
      <c r="G300" s="94"/>
      <c r="H300" s="94"/>
      <c r="I300" s="94"/>
      <c r="J300" s="97"/>
      <c r="K300" s="94"/>
      <c r="L300" s="94"/>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8"/>
      <c r="AR300" s="99" t="str">
        <f t="shared" si="52"/>
        <v/>
      </c>
      <c r="AS300" s="99" t="str">
        <f>IF($A300="","",IF($AP300&lt;&gt;"",$AP300,IFERROR(INDEX('Cat Zone by ZIP'!$D$6:$D$856,MATCH($AR300,'Cat Zone by ZIP'!$B$6:$B$856,0)),IFERROR(INDEX('Cat Zone by ZIP'!$C$860:$C$910,MATCH($K300,'Cat Zone by ZIP'!$B$860:$B$910,0)),"NOT FOUND"))))</f>
        <v/>
      </c>
      <c r="AT300" s="99" t="str">
        <f>IF($A300="","",IF($AP300&lt;&gt;"","Override",IF(ISNUMBER(MATCH($AR300,'Cat Zone by ZIP'!$B$6:$B$856,0)),"ZIP-3","State default")))</f>
        <v/>
      </c>
      <c r="AU300" s="100" t="str">
        <f>IF($A300="","",IFERROR(INDEX('Natural Catastrophe'!$D$6:$D$17,MATCH($AS300,'Natural Catastrophe'!$B$6:$B$17,0)),"?"))</f>
        <v/>
      </c>
      <c r="AV300" s="100" t="str">
        <f>IF($A300="","",IFERROR(INDEX('Natural Catastrophe'!$C$21:$C$26,MATCH($AA300,'Natural Catastrophe'!$B$21:$B$26,0)),"?"))</f>
        <v/>
      </c>
      <c r="AW300" s="99" t="str">
        <f>IF($A300="","",IFERROR(INDEX('Base Rates'!$C$4:$I$4,MATCH(MAX($J300,'Technical Premium'!$C$18),'Base Rates'!$C$3:$I$3,1)),"?"))</f>
        <v/>
      </c>
      <c r="AX300" s="101" t="str">
        <f>IF($A300="","",IFERROR(INDEX('Base Rates'!$C$5:$I$16,MATCH($I300,'Base Rates'!$B$5:$B$16,0),MATCH(MAX($J300,'Technical Premium'!$C$18),'Base Rates'!$C$3:$I$3,1)),"?"))</f>
        <v/>
      </c>
      <c r="AY300" s="102" t="str">
        <f t="shared" si="53"/>
        <v/>
      </c>
      <c r="AZ300" s="99" t="str">
        <f>IF($A300="","",IFERROR(INDEX('Make Factors'!$G$5:$G$69,MATCH($F300,'Make Factors'!$B$5:$B$69,0)),"?"))</f>
        <v/>
      </c>
      <c r="BA300" s="99" t="str">
        <f>IF($A300="","",IFERROR(INDEX('Driver Factors'!$C$6:$C$15,MATCH($R300,'Driver Factors'!$B$6:$B$15,0)),"?"))</f>
        <v/>
      </c>
      <c r="BB300" s="99" t="str">
        <f>IF($A300="","",IFERROR(INDEX('Driver Factors'!$C$19:$C$24,MATCH($S300,'Driver Factors'!$B$19:$B$24,0)),"?"))</f>
        <v/>
      </c>
      <c r="BC300" s="99" t="str">
        <f>IF($A300="","",IFERROR(INDEX('Driver Factors'!$C$28:$C$36,MATCH($T300,'Driver Factors'!$B$28:$B$36,0)),"?"))</f>
        <v/>
      </c>
      <c r="BD300" s="99" t="str">
        <f>IF($A300="","",IFERROR(INDEX('Claims History'!$C$6:$C$15,MATCH($U300,'Claims History'!$B$6:$B$15,0)),"?"))</f>
        <v/>
      </c>
      <c r="BE300" s="99" t="str">
        <f>IF($A300="","",IFERROR(INDEX('Territory Factors'!$E$6:$E$56,MATCH($K300,'Territory Factors'!$B$6:$B$56,0)),"?"))</f>
        <v/>
      </c>
      <c r="BF300" s="99" t="str">
        <f>IF($A300="","",IFERROR(INDEX('City Accident Ratings'!$G$6:$G$54,MATCH($Z300,'City Accident Ratings'!$B$6:$B$54,0)),"?"))</f>
        <v/>
      </c>
      <c r="BG300" s="99" t="str">
        <f>IF($A300="","",IFERROR(INDEX('Usage and Coverage'!$D$6:$D$20,MATCH($N300,'Usage and Coverage'!$C$6:$C$20,0)),"?"))</f>
        <v/>
      </c>
      <c r="BH300" s="99" t="str">
        <f>IF($A300="","",IFERROR(INDEX('Usage and Coverage'!$C$24:$C$30,MATCH($O300,'Usage and Coverage'!$B$24:$B$30,0)),"?"))</f>
        <v/>
      </c>
      <c r="BI300" s="99" t="str">
        <f>IF($A300="","",IFERROR(INDEX('Usage and Coverage'!$C$34:$C$40,MATCH($P300,'Usage and Coverage'!$B$34:$B$40,0)),"?"))</f>
        <v/>
      </c>
      <c r="BJ300" s="99" t="str">
        <f>IF($A300="","",IFERROR(INDEX('Usage and Coverage'!$C$44:$C$49,MATCH($Q300,'Usage and Coverage'!$B$44:$B$49,0)),"?"))</f>
        <v/>
      </c>
      <c r="BK300" s="99" t="str">
        <f>IF($A300="","",IFERROR(INDEX(Deductibles!$C$6:$I$15,MATCH($W300,Deductibles!$B$6:$B$15,0),MATCH(MAX($J300,'Technical Premium'!$C$18),'Base Rates'!$C$3:$I$3,1)),"?"))</f>
        <v/>
      </c>
      <c r="BL300" s="99" t="str">
        <f>IF($A300="","",IFERROR(INDEX('Usage and Coverage'!$C$63:$C$66,MATCH($X300,'Usage and Coverage'!$B$63:$B$66,0)),"?"))</f>
        <v/>
      </c>
      <c r="BM300" s="99" t="str">
        <f>IF($A300="","",IFERROR(INDEX('Usage and Coverage'!$C$70:$C$75,MATCH($V300,'Usage and Coverage'!$B$70:$B$75,0)),"?"))</f>
        <v/>
      </c>
      <c r="BN300" s="99" t="str">
        <f>IF($A300="","",IF($AB300="",1,IFERROR(INDEX(Deductibles!$C$48:$C$51,MATCH($AB300,Deductibles!$B$48:$B$51,0)),"?")))</f>
        <v/>
      </c>
      <c r="BO300" s="99" t="str">
        <f>IF($A300="","",IF($AC300="",1,IFERROR(INDEX(Deductibles!$C$55:$C$57,MATCH($AC300,Deductibles!$B$55:$B$57,0)),"?")))</f>
        <v/>
      </c>
      <c r="BP300" s="99" t="str">
        <f>IF($A300="","",IF($AD300="",1,IFERROR(INDEX(Deductibles!$C$61:$C$63,MATCH($AD300,Deductibles!$B$61:$B$63,0)),"?")))</f>
        <v/>
      </c>
      <c r="BQ300" s="99" t="str">
        <f>IF($A300="","",IF($AE300="",1,IFERROR(INDEX(Deductibles!$C$67:$C$69,MATCH($AE300,Deductibles!$B$67:$B$69,0)),"?")))</f>
        <v/>
      </c>
      <c r="BR300" s="99" t="str">
        <f>IF($A300="","",IF($AF300="",1,IFERROR(INDEX(Deductibles!$C$73:$C$74,MATCH($AF300,Deductibles!$B$73:$B$74,0)),"?")))</f>
        <v/>
      </c>
      <c r="BS300" s="99" t="str">
        <f>IF($A300="","",IF($AG300="",1,IFERROR(INDEX('Sublimits and Parts'!$C$49:$C$52,MATCH($AG300,'Sublimits and Parts'!$B$49:$B$52,0)),"?")))</f>
        <v/>
      </c>
      <c r="BT300" s="99" t="str">
        <f>IF($A300="","",IF($AH300="",1,IFERROR(INDEX('Sublimits and Parts'!$C$56:$C$60,MATCH($AH300,'Sublimits and Parts'!$B$56:$B$60,0)),"?")))</f>
        <v/>
      </c>
      <c r="BU300" s="99" t="str">
        <f>IF($A300="","",IF($AI300="",1,IFERROR(INDEX('Sublimits and Parts'!$C$64:$C$67,MATCH($AI300,'Sublimits and Parts'!$B$64:$B$67,0)),"?")))</f>
        <v/>
      </c>
      <c r="BV300" s="99" t="str">
        <f>IF($A300="","",IF($AJ300="",1,IFERROR(INDEX('Sublimits and Parts'!$C$71:$C$74,MATCH($AJ300,'Sublimits and Parts'!$B$71:$B$74,0)),"?")))</f>
        <v/>
      </c>
      <c r="BW300" s="99" t="str">
        <f>IF($A300="","",IF($AK300="",1,IFERROR(INDEX('Sublimits and Parts'!$C$78:$C$80,MATCH($AK300,'Sublimits and Parts'!$B$78:$B$80,0)),"?")))</f>
        <v/>
      </c>
      <c r="BX300" s="99" t="str">
        <f>IF($A300="","",IF($AL300="",1,IFERROR(INDEX('Sublimits and Parts'!$C$84:$C$87,MATCH($AL300,'Sublimits and Parts'!$B$84:$B$87,0)),"?")))</f>
        <v/>
      </c>
      <c r="BY300" s="99" t="str">
        <f>IF($A300="","",IF($AM300="",1,IFERROR(INDEX('Sublimits and Parts'!$C$91:$C$94,MATCH($AM300,'Sublimits and Parts'!$B$91:$B$94,0)),"?")))</f>
        <v/>
      </c>
      <c r="BZ300" s="99" t="str">
        <f>IF($A300="","",IF($AN300="",1,IFERROR(INDEX('Sublimits and Parts'!$C$98:$C$101,MATCH($AN300,'Sublimits and Parts'!$B$98:$B$101,0)),"?")))</f>
        <v/>
      </c>
      <c r="CA300" s="99" t="str">
        <f>IF($A300="","",IF($AO300="",1,IFERROR(INDEX('Sublimits and Parts'!$C$105:$C$109,MATCH($AO300,'Sublimits and Parts'!$B$105:$B$109,0)),"?")))</f>
        <v/>
      </c>
      <c r="CB300" s="100" t="str">
        <f t="shared" si="54"/>
        <v/>
      </c>
      <c r="CC300" s="100" t="str">
        <f t="shared" si="55"/>
        <v/>
      </c>
      <c r="CD300" s="103" t="str">
        <f>IF($A300="","",IF(OR($CB300="?",$CC300="?"),"?",MIN($CB300*$CC300,'Technical Premium'!$C$17)))</f>
        <v/>
      </c>
      <c r="CE300" s="102" t="str">
        <f t="shared" si="56"/>
        <v/>
      </c>
      <c r="CF300" s="102" t="str">
        <f>IF($A300="","",IFERROR(INDEX('Territory Factors'!$F$6:$F$56,MATCH($K300,'Territory Factors'!$B$6:$B$56,0)),"?"))</f>
        <v/>
      </c>
      <c r="CG300" s="100" t="str">
        <f>IF($A300="","",IFERROR(INDEX('Usage and Coverage'!$C$79:$C$84,MATCH($Y300,'Usage and Coverage'!$B$79:$B$84,0)),"?"))</f>
        <v/>
      </c>
      <c r="CH300" s="102" t="str">
        <f>IFERROR(IF(ISNUMBER($CD300),$CF300*$CG300*MIN($BG300*$BA300*$BC300*$BD300*$BH300*$BF300,'Technical Premium'!$C$17),""),"")</f>
        <v/>
      </c>
      <c r="CI300" s="102" t="str">
        <f t="shared" si="57"/>
        <v/>
      </c>
      <c r="CJ300" s="102" t="str">
        <f>IFERROR($CI300*(1+'Technical Premium'!$C$5)*(1+'Technical Premium'!$C$6),"")</f>
        <v/>
      </c>
      <c r="CK300" s="102" t="str">
        <f>IFERROR($CE300*INDEX('Territory Factors'!$G$6:$G$56,MATCH($K300,'Territory Factors'!$B$6:$B$56,0))*$AU300*$AV300,"")</f>
        <v/>
      </c>
      <c r="CL300" s="102" t="str">
        <f>IFERROR(($CJ300+$CK300)*(1+'Technical Premium'!$C$7),"")</f>
        <v/>
      </c>
      <c r="CM300" s="104" t="str">
        <f>IFERROR($CL300/'Technical Premium'!$C$13,"")</f>
        <v/>
      </c>
      <c r="CN300" s="105" t="str">
        <f t="shared" si="58"/>
        <v/>
      </c>
      <c r="CO300" s="104" t="str">
        <f t="shared" si="59"/>
        <v/>
      </c>
      <c r="CP300" s="105" t="str">
        <f t="shared" si="60"/>
        <v/>
      </c>
      <c r="CQ300" s="106" t="str">
        <f t="shared" si="61"/>
        <v/>
      </c>
      <c r="CR300" s="102" t="str">
        <f>IF(ISNUMBER($CM300),'Technical Premium'!$C$14+IF($J300&gt;=1000000,'Technical Premium'!$C$15,0),"")</f>
        <v/>
      </c>
      <c r="CS300" s="102" t="str">
        <f>IFERROR(($CO300+$CR300)*(INDEX('Territory Factors'!$K$6:$K$56,MATCH($K300,'Territory Factors'!$B$6:$B$56,0))+'Commission Structure'!$C$21),"")</f>
        <v/>
      </c>
      <c r="CT300" s="104" t="str">
        <f t="shared" si="62"/>
        <v/>
      </c>
      <c r="CU300" s="102" t="str">
        <f>IFERROR($CO300*('Commission Structure'!$C$6+'Commission Structure'!$C$7),"")</f>
        <v/>
      </c>
      <c r="CV300" s="102" t="str">
        <f>IFERROR($CO300*'Commission Structure'!$C$5-$CU300,"")</f>
        <v/>
      </c>
      <c r="CW300" s="102" t="str">
        <f>IFERROR($CO300*(1-'Commission Structure'!$C$5),"")</f>
        <v/>
      </c>
      <c r="CX300" s="107"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8" t="str">
        <f t="shared" si="63"/>
        <v/>
      </c>
      <c r="CZ300" s="99" t="str">
        <f>IF($CY300="","",IF($CY300&lt;'Technical Premium'!$C$19,"BEYOND AUTHORITY",IF($CY300&gt;0.005,"Above technical",IF($CY300&lt;-0.005,"BELOW technical","At technical"))))</f>
        <v/>
      </c>
      <c r="DA300" s="99"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4"/>
      <c r="DC300" s="94"/>
      <c r="DD300" s="95"/>
      <c r="DE300" s="94"/>
      <c r="DF300" s="94"/>
      <c r="DG300" s="99" t="str">
        <f t="shared" si="64"/>
        <v/>
      </c>
      <c r="DH300" s="99" t="str">
        <f>IF($A300="","",IF(OR($CX300="REFER",$CX300="DECLINE"),COUNTIF($CX$5:$CX300,"REFER")+COUNTIF($CX$5:$CX300,"DECLINE"),""))</f>
        <v/>
      </c>
      <c r="DI300" s="94"/>
    </row>
    <row r="301" spans="1:113" x14ac:dyDescent="0.35">
      <c r="A301" s="94"/>
      <c r="B301" s="94"/>
      <c r="C301" s="95"/>
      <c r="D301" s="95"/>
      <c r="E301" s="96"/>
      <c r="F301" s="94"/>
      <c r="G301" s="94"/>
      <c r="H301" s="94"/>
      <c r="I301" s="94"/>
      <c r="J301" s="97"/>
      <c r="K301" s="94"/>
      <c r="L301" s="94"/>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8"/>
      <c r="AR301" s="99" t="str">
        <f t="shared" si="52"/>
        <v/>
      </c>
      <c r="AS301" s="99" t="str">
        <f>IF($A301="","",IF($AP301&lt;&gt;"",$AP301,IFERROR(INDEX('Cat Zone by ZIP'!$D$6:$D$856,MATCH($AR301,'Cat Zone by ZIP'!$B$6:$B$856,0)),IFERROR(INDEX('Cat Zone by ZIP'!$C$860:$C$910,MATCH($K301,'Cat Zone by ZIP'!$B$860:$B$910,0)),"NOT FOUND"))))</f>
        <v/>
      </c>
      <c r="AT301" s="99" t="str">
        <f>IF($A301="","",IF($AP301&lt;&gt;"","Override",IF(ISNUMBER(MATCH($AR301,'Cat Zone by ZIP'!$B$6:$B$856,0)),"ZIP-3","State default")))</f>
        <v/>
      </c>
      <c r="AU301" s="100" t="str">
        <f>IF($A301="","",IFERROR(INDEX('Natural Catastrophe'!$D$6:$D$17,MATCH($AS301,'Natural Catastrophe'!$B$6:$B$17,0)),"?"))</f>
        <v/>
      </c>
      <c r="AV301" s="100" t="str">
        <f>IF($A301="","",IFERROR(INDEX('Natural Catastrophe'!$C$21:$C$26,MATCH($AA301,'Natural Catastrophe'!$B$21:$B$26,0)),"?"))</f>
        <v/>
      </c>
      <c r="AW301" s="99" t="str">
        <f>IF($A301="","",IFERROR(INDEX('Base Rates'!$C$4:$I$4,MATCH(MAX($J301,'Technical Premium'!$C$18),'Base Rates'!$C$3:$I$3,1)),"?"))</f>
        <v/>
      </c>
      <c r="AX301" s="101" t="str">
        <f>IF($A301="","",IFERROR(INDEX('Base Rates'!$C$5:$I$16,MATCH($I301,'Base Rates'!$B$5:$B$16,0),MATCH(MAX($J301,'Technical Premium'!$C$18),'Base Rates'!$C$3:$I$3,1)),"?"))</f>
        <v/>
      </c>
      <c r="AY301" s="102" t="str">
        <f t="shared" si="53"/>
        <v/>
      </c>
      <c r="AZ301" s="99" t="str">
        <f>IF($A301="","",IFERROR(INDEX('Make Factors'!$G$5:$G$69,MATCH($F301,'Make Factors'!$B$5:$B$69,0)),"?"))</f>
        <v/>
      </c>
      <c r="BA301" s="99" t="str">
        <f>IF($A301="","",IFERROR(INDEX('Driver Factors'!$C$6:$C$15,MATCH($R301,'Driver Factors'!$B$6:$B$15,0)),"?"))</f>
        <v/>
      </c>
      <c r="BB301" s="99" t="str">
        <f>IF($A301="","",IFERROR(INDEX('Driver Factors'!$C$19:$C$24,MATCH($S301,'Driver Factors'!$B$19:$B$24,0)),"?"))</f>
        <v/>
      </c>
      <c r="BC301" s="99" t="str">
        <f>IF($A301="","",IFERROR(INDEX('Driver Factors'!$C$28:$C$36,MATCH($T301,'Driver Factors'!$B$28:$B$36,0)),"?"))</f>
        <v/>
      </c>
      <c r="BD301" s="99" t="str">
        <f>IF($A301="","",IFERROR(INDEX('Claims History'!$C$6:$C$15,MATCH($U301,'Claims History'!$B$6:$B$15,0)),"?"))</f>
        <v/>
      </c>
      <c r="BE301" s="99" t="str">
        <f>IF($A301="","",IFERROR(INDEX('Territory Factors'!$E$6:$E$56,MATCH($K301,'Territory Factors'!$B$6:$B$56,0)),"?"))</f>
        <v/>
      </c>
      <c r="BF301" s="99" t="str">
        <f>IF($A301="","",IFERROR(INDEX('City Accident Ratings'!$G$6:$G$54,MATCH($Z301,'City Accident Ratings'!$B$6:$B$54,0)),"?"))</f>
        <v/>
      </c>
      <c r="BG301" s="99" t="str">
        <f>IF($A301="","",IFERROR(INDEX('Usage and Coverage'!$D$6:$D$20,MATCH($N301,'Usage and Coverage'!$C$6:$C$20,0)),"?"))</f>
        <v/>
      </c>
      <c r="BH301" s="99" t="str">
        <f>IF($A301="","",IFERROR(INDEX('Usage and Coverage'!$C$24:$C$30,MATCH($O301,'Usage and Coverage'!$B$24:$B$30,0)),"?"))</f>
        <v/>
      </c>
      <c r="BI301" s="99" t="str">
        <f>IF($A301="","",IFERROR(INDEX('Usage and Coverage'!$C$34:$C$40,MATCH($P301,'Usage and Coverage'!$B$34:$B$40,0)),"?"))</f>
        <v/>
      </c>
      <c r="BJ301" s="99" t="str">
        <f>IF($A301="","",IFERROR(INDEX('Usage and Coverage'!$C$44:$C$49,MATCH($Q301,'Usage and Coverage'!$B$44:$B$49,0)),"?"))</f>
        <v/>
      </c>
      <c r="BK301" s="99" t="str">
        <f>IF($A301="","",IFERROR(INDEX(Deductibles!$C$6:$I$15,MATCH($W301,Deductibles!$B$6:$B$15,0),MATCH(MAX($J301,'Technical Premium'!$C$18),'Base Rates'!$C$3:$I$3,1)),"?"))</f>
        <v/>
      </c>
      <c r="BL301" s="99" t="str">
        <f>IF($A301="","",IFERROR(INDEX('Usage and Coverage'!$C$63:$C$66,MATCH($X301,'Usage and Coverage'!$B$63:$B$66,0)),"?"))</f>
        <v/>
      </c>
      <c r="BM301" s="99" t="str">
        <f>IF($A301="","",IFERROR(INDEX('Usage and Coverage'!$C$70:$C$75,MATCH($V301,'Usage and Coverage'!$B$70:$B$75,0)),"?"))</f>
        <v/>
      </c>
      <c r="BN301" s="99" t="str">
        <f>IF($A301="","",IF($AB301="",1,IFERROR(INDEX(Deductibles!$C$48:$C$51,MATCH($AB301,Deductibles!$B$48:$B$51,0)),"?")))</f>
        <v/>
      </c>
      <c r="BO301" s="99" t="str">
        <f>IF($A301="","",IF($AC301="",1,IFERROR(INDEX(Deductibles!$C$55:$C$57,MATCH($AC301,Deductibles!$B$55:$B$57,0)),"?")))</f>
        <v/>
      </c>
      <c r="BP301" s="99" t="str">
        <f>IF($A301="","",IF($AD301="",1,IFERROR(INDEX(Deductibles!$C$61:$C$63,MATCH($AD301,Deductibles!$B$61:$B$63,0)),"?")))</f>
        <v/>
      </c>
      <c r="BQ301" s="99" t="str">
        <f>IF($A301="","",IF($AE301="",1,IFERROR(INDEX(Deductibles!$C$67:$C$69,MATCH($AE301,Deductibles!$B$67:$B$69,0)),"?")))</f>
        <v/>
      </c>
      <c r="BR301" s="99" t="str">
        <f>IF($A301="","",IF($AF301="",1,IFERROR(INDEX(Deductibles!$C$73:$C$74,MATCH($AF301,Deductibles!$B$73:$B$74,0)),"?")))</f>
        <v/>
      </c>
      <c r="BS301" s="99" t="str">
        <f>IF($A301="","",IF($AG301="",1,IFERROR(INDEX('Sublimits and Parts'!$C$49:$C$52,MATCH($AG301,'Sublimits and Parts'!$B$49:$B$52,0)),"?")))</f>
        <v/>
      </c>
      <c r="BT301" s="99" t="str">
        <f>IF($A301="","",IF($AH301="",1,IFERROR(INDEX('Sublimits and Parts'!$C$56:$C$60,MATCH($AH301,'Sublimits and Parts'!$B$56:$B$60,0)),"?")))</f>
        <v/>
      </c>
      <c r="BU301" s="99" t="str">
        <f>IF($A301="","",IF($AI301="",1,IFERROR(INDEX('Sublimits and Parts'!$C$64:$C$67,MATCH($AI301,'Sublimits and Parts'!$B$64:$B$67,0)),"?")))</f>
        <v/>
      </c>
      <c r="BV301" s="99" t="str">
        <f>IF($A301="","",IF($AJ301="",1,IFERROR(INDEX('Sublimits and Parts'!$C$71:$C$74,MATCH($AJ301,'Sublimits and Parts'!$B$71:$B$74,0)),"?")))</f>
        <v/>
      </c>
      <c r="BW301" s="99" t="str">
        <f>IF($A301="","",IF($AK301="",1,IFERROR(INDEX('Sublimits and Parts'!$C$78:$C$80,MATCH($AK301,'Sublimits and Parts'!$B$78:$B$80,0)),"?")))</f>
        <v/>
      </c>
      <c r="BX301" s="99" t="str">
        <f>IF($A301="","",IF($AL301="",1,IFERROR(INDEX('Sublimits and Parts'!$C$84:$C$87,MATCH($AL301,'Sublimits and Parts'!$B$84:$B$87,0)),"?")))</f>
        <v/>
      </c>
      <c r="BY301" s="99" t="str">
        <f>IF($A301="","",IF($AM301="",1,IFERROR(INDEX('Sublimits and Parts'!$C$91:$C$94,MATCH($AM301,'Sublimits and Parts'!$B$91:$B$94,0)),"?")))</f>
        <v/>
      </c>
      <c r="BZ301" s="99" t="str">
        <f>IF($A301="","",IF($AN301="",1,IFERROR(INDEX('Sublimits and Parts'!$C$98:$C$101,MATCH($AN301,'Sublimits and Parts'!$B$98:$B$101,0)),"?")))</f>
        <v/>
      </c>
      <c r="CA301" s="99" t="str">
        <f>IF($A301="","",IF($AO301="",1,IFERROR(INDEX('Sublimits and Parts'!$C$105:$C$109,MATCH($AO301,'Sublimits and Parts'!$B$105:$B$109,0)),"?")))</f>
        <v/>
      </c>
      <c r="CB301" s="100" t="str">
        <f t="shared" si="54"/>
        <v/>
      </c>
      <c r="CC301" s="100" t="str">
        <f t="shared" si="55"/>
        <v/>
      </c>
      <c r="CD301" s="103" t="str">
        <f>IF($A301="","",IF(OR($CB301="?",$CC301="?"),"?",MIN($CB301*$CC301,'Technical Premium'!$C$17)))</f>
        <v/>
      </c>
      <c r="CE301" s="102" t="str">
        <f t="shared" si="56"/>
        <v/>
      </c>
      <c r="CF301" s="102" t="str">
        <f>IF($A301="","",IFERROR(INDEX('Territory Factors'!$F$6:$F$56,MATCH($K301,'Territory Factors'!$B$6:$B$56,0)),"?"))</f>
        <v/>
      </c>
      <c r="CG301" s="100" t="str">
        <f>IF($A301="","",IFERROR(INDEX('Usage and Coverage'!$C$79:$C$84,MATCH($Y301,'Usage and Coverage'!$B$79:$B$84,0)),"?"))</f>
        <v/>
      </c>
      <c r="CH301" s="102" t="str">
        <f>IFERROR(IF(ISNUMBER($CD301),$CF301*$CG301*MIN($BG301*$BA301*$BC301*$BD301*$BH301*$BF301,'Technical Premium'!$C$17),""),"")</f>
        <v/>
      </c>
      <c r="CI301" s="102" t="str">
        <f t="shared" si="57"/>
        <v/>
      </c>
      <c r="CJ301" s="102" t="str">
        <f>IFERROR($CI301*(1+'Technical Premium'!$C$5)*(1+'Technical Premium'!$C$6),"")</f>
        <v/>
      </c>
      <c r="CK301" s="102" t="str">
        <f>IFERROR($CE301*INDEX('Territory Factors'!$G$6:$G$56,MATCH($K301,'Territory Factors'!$B$6:$B$56,0))*$AU301*$AV301,"")</f>
        <v/>
      </c>
      <c r="CL301" s="102" t="str">
        <f>IFERROR(($CJ301+$CK301)*(1+'Technical Premium'!$C$7),"")</f>
        <v/>
      </c>
      <c r="CM301" s="104" t="str">
        <f>IFERROR($CL301/'Technical Premium'!$C$13,"")</f>
        <v/>
      </c>
      <c r="CN301" s="105" t="str">
        <f t="shared" si="58"/>
        <v/>
      </c>
      <c r="CO301" s="104" t="str">
        <f t="shared" si="59"/>
        <v/>
      </c>
      <c r="CP301" s="105" t="str">
        <f t="shared" si="60"/>
        <v/>
      </c>
      <c r="CQ301" s="106" t="str">
        <f t="shared" si="61"/>
        <v/>
      </c>
      <c r="CR301" s="102" t="str">
        <f>IF(ISNUMBER($CM301),'Technical Premium'!$C$14+IF($J301&gt;=1000000,'Technical Premium'!$C$15,0),"")</f>
        <v/>
      </c>
      <c r="CS301" s="102" t="str">
        <f>IFERROR(($CO301+$CR301)*(INDEX('Territory Factors'!$K$6:$K$56,MATCH($K301,'Territory Factors'!$B$6:$B$56,0))+'Commission Structure'!$C$21),"")</f>
        <v/>
      </c>
      <c r="CT301" s="104" t="str">
        <f t="shared" si="62"/>
        <v/>
      </c>
      <c r="CU301" s="102" t="str">
        <f>IFERROR($CO301*('Commission Structure'!$C$6+'Commission Structure'!$C$7),"")</f>
        <v/>
      </c>
      <c r="CV301" s="102" t="str">
        <f>IFERROR($CO301*'Commission Structure'!$C$5-$CU301,"")</f>
        <v/>
      </c>
      <c r="CW301" s="102" t="str">
        <f>IFERROR($CO301*(1-'Commission Structure'!$C$5),"")</f>
        <v/>
      </c>
      <c r="CX301" s="107"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8" t="str">
        <f t="shared" si="63"/>
        <v/>
      </c>
      <c r="CZ301" s="99" t="str">
        <f>IF($CY301="","",IF($CY301&lt;'Technical Premium'!$C$19,"BEYOND AUTHORITY",IF($CY301&gt;0.005,"Above technical",IF($CY301&lt;-0.005,"BELOW technical","At technical"))))</f>
        <v/>
      </c>
      <c r="DA301" s="99"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4"/>
      <c r="DC301" s="94"/>
      <c r="DD301" s="95"/>
      <c r="DE301" s="94"/>
      <c r="DF301" s="94"/>
      <c r="DG301" s="99" t="str">
        <f t="shared" si="64"/>
        <v/>
      </c>
      <c r="DH301" s="99" t="str">
        <f>IF($A301="","",IF(OR($CX301="REFER",$CX301="DECLINE"),COUNTIF($CX$5:$CX301,"REFER")+COUNTIF($CX$5:$CX301,"DECLINE"),""))</f>
        <v/>
      </c>
      <c r="DI301" s="94"/>
    </row>
    <row r="302" spans="1:113" x14ac:dyDescent="0.35">
      <c r="A302" s="94"/>
      <c r="B302" s="94"/>
      <c r="C302" s="95"/>
      <c r="D302" s="95"/>
      <c r="E302" s="96"/>
      <c r="F302" s="94"/>
      <c r="G302" s="94"/>
      <c r="H302" s="94"/>
      <c r="I302" s="94"/>
      <c r="J302" s="97"/>
      <c r="K302" s="94"/>
      <c r="L302" s="94"/>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8"/>
      <c r="AR302" s="99" t="str">
        <f t="shared" si="52"/>
        <v/>
      </c>
      <c r="AS302" s="99" t="str">
        <f>IF($A302="","",IF($AP302&lt;&gt;"",$AP302,IFERROR(INDEX('Cat Zone by ZIP'!$D$6:$D$856,MATCH($AR302,'Cat Zone by ZIP'!$B$6:$B$856,0)),IFERROR(INDEX('Cat Zone by ZIP'!$C$860:$C$910,MATCH($K302,'Cat Zone by ZIP'!$B$860:$B$910,0)),"NOT FOUND"))))</f>
        <v/>
      </c>
      <c r="AT302" s="99" t="str">
        <f>IF($A302="","",IF($AP302&lt;&gt;"","Override",IF(ISNUMBER(MATCH($AR302,'Cat Zone by ZIP'!$B$6:$B$856,0)),"ZIP-3","State default")))</f>
        <v/>
      </c>
      <c r="AU302" s="100" t="str">
        <f>IF($A302="","",IFERROR(INDEX('Natural Catastrophe'!$D$6:$D$17,MATCH($AS302,'Natural Catastrophe'!$B$6:$B$17,0)),"?"))</f>
        <v/>
      </c>
      <c r="AV302" s="100" t="str">
        <f>IF($A302="","",IFERROR(INDEX('Natural Catastrophe'!$C$21:$C$26,MATCH($AA302,'Natural Catastrophe'!$B$21:$B$26,0)),"?"))</f>
        <v/>
      </c>
      <c r="AW302" s="99" t="str">
        <f>IF($A302="","",IFERROR(INDEX('Base Rates'!$C$4:$I$4,MATCH(MAX($J302,'Technical Premium'!$C$18),'Base Rates'!$C$3:$I$3,1)),"?"))</f>
        <v/>
      </c>
      <c r="AX302" s="101" t="str">
        <f>IF($A302="","",IFERROR(INDEX('Base Rates'!$C$5:$I$16,MATCH($I302,'Base Rates'!$B$5:$B$16,0),MATCH(MAX($J302,'Technical Premium'!$C$18),'Base Rates'!$C$3:$I$3,1)),"?"))</f>
        <v/>
      </c>
      <c r="AY302" s="102" t="str">
        <f t="shared" si="53"/>
        <v/>
      </c>
      <c r="AZ302" s="99" t="str">
        <f>IF($A302="","",IFERROR(INDEX('Make Factors'!$G$5:$G$69,MATCH($F302,'Make Factors'!$B$5:$B$69,0)),"?"))</f>
        <v/>
      </c>
      <c r="BA302" s="99" t="str">
        <f>IF($A302="","",IFERROR(INDEX('Driver Factors'!$C$6:$C$15,MATCH($R302,'Driver Factors'!$B$6:$B$15,0)),"?"))</f>
        <v/>
      </c>
      <c r="BB302" s="99" t="str">
        <f>IF($A302="","",IFERROR(INDEX('Driver Factors'!$C$19:$C$24,MATCH($S302,'Driver Factors'!$B$19:$B$24,0)),"?"))</f>
        <v/>
      </c>
      <c r="BC302" s="99" t="str">
        <f>IF($A302="","",IFERROR(INDEX('Driver Factors'!$C$28:$C$36,MATCH($T302,'Driver Factors'!$B$28:$B$36,0)),"?"))</f>
        <v/>
      </c>
      <c r="BD302" s="99" t="str">
        <f>IF($A302="","",IFERROR(INDEX('Claims History'!$C$6:$C$15,MATCH($U302,'Claims History'!$B$6:$B$15,0)),"?"))</f>
        <v/>
      </c>
      <c r="BE302" s="99" t="str">
        <f>IF($A302="","",IFERROR(INDEX('Territory Factors'!$E$6:$E$56,MATCH($K302,'Territory Factors'!$B$6:$B$56,0)),"?"))</f>
        <v/>
      </c>
      <c r="BF302" s="99" t="str">
        <f>IF($A302="","",IFERROR(INDEX('City Accident Ratings'!$G$6:$G$54,MATCH($Z302,'City Accident Ratings'!$B$6:$B$54,0)),"?"))</f>
        <v/>
      </c>
      <c r="BG302" s="99" t="str">
        <f>IF($A302="","",IFERROR(INDEX('Usage and Coverage'!$D$6:$D$20,MATCH($N302,'Usage and Coverage'!$C$6:$C$20,0)),"?"))</f>
        <v/>
      </c>
      <c r="BH302" s="99" t="str">
        <f>IF($A302="","",IFERROR(INDEX('Usage and Coverage'!$C$24:$C$30,MATCH($O302,'Usage and Coverage'!$B$24:$B$30,0)),"?"))</f>
        <v/>
      </c>
      <c r="BI302" s="99" t="str">
        <f>IF($A302="","",IFERROR(INDEX('Usage and Coverage'!$C$34:$C$40,MATCH($P302,'Usage and Coverage'!$B$34:$B$40,0)),"?"))</f>
        <v/>
      </c>
      <c r="BJ302" s="99" t="str">
        <f>IF($A302="","",IFERROR(INDEX('Usage and Coverage'!$C$44:$C$49,MATCH($Q302,'Usage and Coverage'!$B$44:$B$49,0)),"?"))</f>
        <v/>
      </c>
      <c r="BK302" s="99" t="str">
        <f>IF($A302="","",IFERROR(INDEX(Deductibles!$C$6:$I$15,MATCH($W302,Deductibles!$B$6:$B$15,0),MATCH(MAX($J302,'Technical Premium'!$C$18),'Base Rates'!$C$3:$I$3,1)),"?"))</f>
        <v/>
      </c>
      <c r="BL302" s="99" t="str">
        <f>IF($A302="","",IFERROR(INDEX('Usage and Coverage'!$C$63:$C$66,MATCH($X302,'Usage and Coverage'!$B$63:$B$66,0)),"?"))</f>
        <v/>
      </c>
      <c r="BM302" s="99" t="str">
        <f>IF($A302="","",IFERROR(INDEX('Usage and Coverage'!$C$70:$C$75,MATCH($V302,'Usage and Coverage'!$B$70:$B$75,0)),"?"))</f>
        <v/>
      </c>
      <c r="BN302" s="99" t="str">
        <f>IF($A302="","",IF($AB302="",1,IFERROR(INDEX(Deductibles!$C$48:$C$51,MATCH($AB302,Deductibles!$B$48:$B$51,0)),"?")))</f>
        <v/>
      </c>
      <c r="BO302" s="99" t="str">
        <f>IF($A302="","",IF($AC302="",1,IFERROR(INDEX(Deductibles!$C$55:$C$57,MATCH($AC302,Deductibles!$B$55:$B$57,0)),"?")))</f>
        <v/>
      </c>
      <c r="BP302" s="99" t="str">
        <f>IF($A302="","",IF($AD302="",1,IFERROR(INDEX(Deductibles!$C$61:$C$63,MATCH($AD302,Deductibles!$B$61:$B$63,0)),"?")))</f>
        <v/>
      </c>
      <c r="BQ302" s="99" t="str">
        <f>IF($A302="","",IF($AE302="",1,IFERROR(INDEX(Deductibles!$C$67:$C$69,MATCH($AE302,Deductibles!$B$67:$B$69,0)),"?")))</f>
        <v/>
      </c>
      <c r="BR302" s="99" t="str">
        <f>IF($A302="","",IF($AF302="",1,IFERROR(INDEX(Deductibles!$C$73:$C$74,MATCH($AF302,Deductibles!$B$73:$B$74,0)),"?")))</f>
        <v/>
      </c>
      <c r="BS302" s="99" t="str">
        <f>IF($A302="","",IF($AG302="",1,IFERROR(INDEX('Sublimits and Parts'!$C$49:$C$52,MATCH($AG302,'Sublimits and Parts'!$B$49:$B$52,0)),"?")))</f>
        <v/>
      </c>
      <c r="BT302" s="99" t="str">
        <f>IF($A302="","",IF($AH302="",1,IFERROR(INDEX('Sublimits and Parts'!$C$56:$C$60,MATCH($AH302,'Sublimits and Parts'!$B$56:$B$60,0)),"?")))</f>
        <v/>
      </c>
      <c r="BU302" s="99" t="str">
        <f>IF($A302="","",IF($AI302="",1,IFERROR(INDEX('Sublimits and Parts'!$C$64:$C$67,MATCH($AI302,'Sublimits and Parts'!$B$64:$B$67,0)),"?")))</f>
        <v/>
      </c>
      <c r="BV302" s="99" t="str">
        <f>IF($A302="","",IF($AJ302="",1,IFERROR(INDEX('Sublimits and Parts'!$C$71:$C$74,MATCH($AJ302,'Sublimits and Parts'!$B$71:$B$74,0)),"?")))</f>
        <v/>
      </c>
      <c r="BW302" s="99" t="str">
        <f>IF($A302="","",IF($AK302="",1,IFERROR(INDEX('Sublimits and Parts'!$C$78:$C$80,MATCH($AK302,'Sublimits and Parts'!$B$78:$B$80,0)),"?")))</f>
        <v/>
      </c>
      <c r="BX302" s="99" t="str">
        <f>IF($A302="","",IF($AL302="",1,IFERROR(INDEX('Sublimits and Parts'!$C$84:$C$87,MATCH($AL302,'Sublimits and Parts'!$B$84:$B$87,0)),"?")))</f>
        <v/>
      </c>
      <c r="BY302" s="99" t="str">
        <f>IF($A302="","",IF($AM302="",1,IFERROR(INDEX('Sublimits and Parts'!$C$91:$C$94,MATCH($AM302,'Sublimits and Parts'!$B$91:$B$94,0)),"?")))</f>
        <v/>
      </c>
      <c r="BZ302" s="99" t="str">
        <f>IF($A302="","",IF($AN302="",1,IFERROR(INDEX('Sublimits and Parts'!$C$98:$C$101,MATCH($AN302,'Sublimits and Parts'!$B$98:$B$101,0)),"?")))</f>
        <v/>
      </c>
      <c r="CA302" s="99" t="str">
        <f>IF($A302="","",IF($AO302="",1,IFERROR(INDEX('Sublimits and Parts'!$C$105:$C$109,MATCH($AO302,'Sublimits and Parts'!$B$105:$B$109,0)),"?")))</f>
        <v/>
      </c>
      <c r="CB302" s="100" t="str">
        <f t="shared" si="54"/>
        <v/>
      </c>
      <c r="CC302" s="100" t="str">
        <f t="shared" si="55"/>
        <v/>
      </c>
      <c r="CD302" s="103" t="str">
        <f>IF($A302="","",IF(OR($CB302="?",$CC302="?"),"?",MIN($CB302*$CC302,'Technical Premium'!$C$17)))</f>
        <v/>
      </c>
      <c r="CE302" s="102" t="str">
        <f t="shared" si="56"/>
        <v/>
      </c>
      <c r="CF302" s="102" t="str">
        <f>IF($A302="","",IFERROR(INDEX('Territory Factors'!$F$6:$F$56,MATCH($K302,'Territory Factors'!$B$6:$B$56,0)),"?"))</f>
        <v/>
      </c>
      <c r="CG302" s="100" t="str">
        <f>IF($A302="","",IFERROR(INDEX('Usage and Coverage'!$C$79:$C$84,MATCH($Y302,'Usage and Coverage'!$B$79:$B$84,0)),"?"))</f>
        <v/>
      </c>
      <c r="CH302" s="102" t="str">
        <f>IFERROR(IF(ISNUMBER($CD302),$CF302*$CG302*MIN($BG302*$BA302*$BC302*$BD302*$BH302*$BF302,'Technical Premium'!$C$17),""),"")</f>
        <v/>
      </c>
      <c r="CI302" s="102" t="str">
        <f t="shared" si="57"/>
        <v/>
      </c>
      <c r="CJ302" s="102" t="str">
        <f>IFERROR($CI302*(1+'Technical Premium'!$C$5)*(1+'Technical Premium'!$C$6),"")</f>
        <v/>
      </c>
      <c r="CK302" s="102" t="str">
        <f>IFERROR($CE302*INDEX('Territory Factors'!$G$6:$G$56,MATCH($K302,'Territory Factors'!$B$6:$B$56,0))*$AU302*$AV302,"")</f>
        <v/>
      </c>
      <c r="CL302" s="102" t="str">
        <f>IFERROR(($CJ302+$CK302)*(1+'Technical Premium'!$C$7),"")</f>
        <v/>
      </c>
      <c r="CM302" s="104" t="str">
        <f>IFERROR($CL302/'Technical Premium'!$C$13,"")</f>
        <v/>
      </c>
      <c r="CN302" s="105" t="str">
        <f t="shared" si="58"/>
        <v/>
      </c>
      <c r="CO302" s="104" t="str">
        <f t="shared" si="59"/>
        <v/>
      </c>
      <c r="CP302" s="105" t="str">
        <f t="shared" si="60"/>
        <v/>
      </c>
      <c r="CQ302" s="106" t="str">
        <f t="shared" si="61"/>
        <v/>
      </c>
      <c r="CR302" s="102" t="str">
        <f>IF(ISNUMBER($CM302),'Technical Premium'!$C$14+IF($J302&gt;=1000000,'Technical Premium'!$C$15,0),"")</f>
        <v/>
      </c>
      <c r="CS302" s="102" t="str">
        <f>IFERROR(($CO302+$CR302)*(INDEX('Territory Factors'!$K$6:$K$56,MATCH($K302,'Territory Factors'!$B$6:$B$56,0))+'Commission Structure'!$C$21),"")</f>
        <v/>
      </c>
      <c r="CT302" s="104" t="str">
        <f t="shared" si="62"/>
        <v/>
      </c>
      <c r="CU302" s="102" t="str">
        <f>IFERROR($CO302*('Commission Structure'!$C$6+'Commission Structure'!$C$7),"")</f>
        <v/>
      </c>
      <c r="CV302" s="102" t="str">
        <f>IFERROR($CO302*'Commission Structure'!$C$5-$CU302,"")</f>
        <v/>
      </c>
      <c r="CW302" s="102" t="str">
        <f>IFERROR($CO302*(1-'Commission Structure'!$C$5),"")</f>
        <v/>
      </c>
      <c r="CX302" s="107"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8" t="str">
        <f t="shared" si="63"/>
        <v/>
      </c>
      <c r="CZ302" s="99" t="str">
        <f>IF($CY302="","",IF($CY302&lt;'Technical Premium'!$C$19,"BEYOND AUTHORITY",IF($CY302&gt;0.005,"Above technical",IF($CY302&lt;-0.005,"BELOW technical","At technical"))))</f>
        <v/>
      </c>
      <c r="DA302" s="99"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4"/>
      <c r="DC302" s="94"/>
      <c r="DD302" s="95"/>
      <c r="DE302" s="94"/>
      <c r="DF302" s="94"/>
      <c r="DG302" s="99" t="str">
        <f t="shared" si="64"/>
        <v/>
      </c>
      <c r="DH302" s="99" t="str">
        <f>IF($A302="","",IF(OR($CX302="REFER",$CX302="DECLINE"),COUNTIF($CX$5:$CX302,"REFER")+COUNTIF($CX$5:$CX302,"DECLINE"),""))</f>
        <v/>
      </c>
      <c r="DI302" s="94"/>
    </row>
    <row r="303" spans="1:113" x14ac:dyDescent="0.35">
      <c r="A303" s="94"/>
      <c r="B303" s="94"/>
      <c r="C303" s="95"/>
      <c r="D303" s="95"/>
      <c r="E303" s="96"/>
      <c r="F303" s="94"/>
      <c r="G303" s="94"/>
      <c r="H303" s="94"/>
      <c r="I303" s="94"/>
      <c r="J303" s="97"/>
      <c r="K303" s="94"/>
      <c r="L303" s="94"/>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8"/>
      <c r="AR303" s="99" t="str">
        <f t="shared" si="52"/>
        <v/>
      </c>
      <c r="AS303" s="99" t="str">
        <f>IF($A303="","",IF($AP303&lt;&gt;"",$AP303,IFERROR(INDEX('Cat Zone by ZIP'!$D$6:$D$856,MATCH($AR303,'Cat Zone by ZIP'!$B$6:$B$856,0)),IFERROR(INDEX('Cat Zone by ZIP'!$C$860:$C$910,MATCH($K303,'Cat Zone by ZIP'!$B$860:$B$910,0)),"NOT FOUND"))))</f>
        <v/>
      </c>
      <c r="AT303" s="99" t="str">
        <f>IF($A303="","",IF($AP303&lt;&gt;"","Override",IF(ISNUMBER(MATCH($AR303,'Cat Zone by ZIP'!$B$6:$B$856,0)),"ZIP-3","State default")))</f>
        <v/>
      </c>
      <c r="AU303" s="100" t="str">
        <f>IF($A303="","",IFERROR(INDEX('Natural Catastrophe'!$D$6:$D$17,MATCH($AS303,'Natural Catastrophe'!$B$6:$B$17,0)),"?"))</f>
        <v/>
      </c>
      <c r="AV303" s="100" t="str">
        <f>IF($A303="","",IFERROR(INDEX('Natural Catastrophe'!$C$21:$C$26,MATCH($AA303,'Natural Catastrophe'!$B$21:$B$26,0)),"?"))</f>
        <v/>
      </c>
      <c r="AW303" s="99" t="str">
        <f>IF($A303="","",IFERROR(INDEX('Base Rates'!$C$4:$I$4,MATCH(MAX($J303,'Technical Premium'!$C$18),'Base Rates'!$C$3:$I$3,1)),"?"))</f>
        <v/>
      </c>
      <c r="AX303" s="101" t="str">
        <f>IF($A303="","",IFERROR(INDEX('Base Rates'!$C$5:$I$16,MATCH($I303,'Base Rates'!$B$5:$B$16,0),MATCH(MAX($J303,'Technical Premium'!$C$18),'Base Rates'!$C$3:$I$3,1)),"?"))</f>
        <v/>
      </c>
      <c r="AY303" s="102" t="str">
        <f t="shared" si="53"/>
        <v/>
      </c>
      <c r="AZ303" s="99" t="str">
        <f>IF($A303="","",IFERROR(INDEX('Make Factors'!$G$5:$G$69,MATCH($F303,'Make Factors'!$B$5:$B$69,0)),"?"))</f>
        <v/>
      </c>
      <c r="BA303" s="99" t="str">
        <f>IF($A303="","",IFERROR(INDEX('Driver Factors'!$C$6:$C$15,MATCH($R303,'Driver Factors'!$B$6:$B$15,0)),"?"))</f>
        <v/>
      </c>
      <c r="BB303" s="99" t="str">
        <f>IF($A303="","",IFERROR(INDEX('Driver Factors'!$C$19:$C$24,MATCH($S303,'Driver Factors'!$B$19:$B$24,0)),"?"))</f>
        <v/>
      </c>
      <c r="BC303" s="99" t="str">
        <f>IF($A303="","",IFERROR(INDEX('Driver Factors'!$C$28:$C$36,MATCH($T303,'Driver Factors'!$B$28:$B$36,0)),"?"))</f>
        <v/>
      </c>
      <c r="BD303" s="99" t="str">
        <f>IF($A303="","",IFERROR(INDEX('Claims History'!$C$6:$C$15,MATCH($U303,'Claims History'!$B$6:$B$15,0)),"?"))</f>
        <v/>
      </c>
      <c r="BE303" s="99" t="str">
        <f>IF($A303="","",IFERROR(INDEX('Territory Factors'!$E$6:$E$56,MATCH($K303,'Territory Factors'!$B$6:$B$56,0)),"?"))</f>
        <v/>
      </c>
      <c r="BF303" s="99" t="str">
        <f>IF($A303="","",IFERROR(INDEX('City Accident Ratings'!$G$6:$G$54,MATCH($Z303,'City Accident Ratings'!$B$6:$B$54,0)),"?"))</f>
        <v/>
      </c>
      <c r="BG303" s="99" t="str">
        <f>IF($A303="","",IFERROR(INDEX('Usage and Coverage'!$D$6:$D$20,MATCH($N303,'Usage and Coverage'!$C$6:$C$20,0)),"?"))</f>
        <v/>
      </c>
      <c r="BH303" s="99" t="str">
        <f>IF($A303="","",IFERROR(INDEX('Usage and Coverage'!$C$24:$C$30,MATCH($O303,'Usage and Coverage'!$B$24:$B$30,0)),"?"))</f>
        <v/>
      </c>
      <c r="BI303" s="99" t="str">
        <f>IF($A303="","",IFERROR(INDEX('Usage and Coverage'!$C$34:$C$40,MATCH($P303,'Usage and Coverage'!$B$34:$B$40,0)),"?"))</f>
        <v/>
      </c>
      <c r="BJ303" s="99" t="str">
        <f>IF($A303="","",IFERROR(INDEX('Usage and Coverage'!$C$44:$C$49,MATCH($Q303,'Usage and Coverage'!$B$44:$B$49,0)),"?"))</f>
        <v/>
      </c>
      <c r="BK303" s="99" t="str">
        <f>IF($A303="","",IFERROR(INDEX(Deductibles!$C$6:$I$15,MATCH($W303,Deductibles!$B$6:$B$15,0),MATCH(MAX($J303,'Technical Premium'!$C$18),'Base Rates'!$C$3:$I$3,1)),"?"))</f>
        <v/>
      </c>
      <c r="BL303" s="99" t="str">
        <f>IF($A303="","",IFERROR(INDEX('Usage and Coverage'!$C$63:$C$66,MATCH($X303,'Usage and Coverage'!$B$63:$B$66,0)),"?"))</f>
        <v/>
      </c>
      <c r="BM303" s="99" t="str">
        <f>IF($A303="","",IFERROR(INDEX('Usage and Coverage'!$C$70:$C$75,MATCH($V303,'Usage and Coverage'!$B$70:$B$75,0)),"?"))</f>
        <v/>
      </c>
      <c r="BN303" s="99" t="str">
        <f>IF($A303="","",IF($AB303="",1,IFERROR(INDEX(Deductibles!$C$48:$C$51,MATCH($AB303,Deductibles!$B$48:$B$51,0)),"?")))</f>
        <v/>
      </c>
      <c r="BO303" s="99" t="str">
        <f>IF($A303="","",IF($AC303="",1,IFERROR(INDEX(Deductibles!$C$55:$C$57,MATCH($AC303,Deductibles!$B$55:$B$57,0)),"?")))</f>
        <v/>
      </c>
      <c r="BP303" s="99" t="str">
        <f>IF($A303="","",IF($AD303="",1,IFERROR(INDEX(Deductibles!$C$61:$C$63,MATCH($AD303,Deductibles!$B$61:$B$63,0)),"?")))</f>
        <v/>
      </c>
      <c r="BQ303" s="99" t="str">
        <f>IF($A303="","",IF($AE303="",1,IFERROR(INDEX(Deductibles!$C$67:$C$69,MATCH($AE303,Deductibles!$B$67:$B$69,0)),"?")))</f>
        <v/>
      </c>
      <c r="BR303" s="99" t="str">
        <f>IF($A303="","",IF($AF303="",1,IFERROR(INDEX(Deductibles!$C$73:$C$74,MATCH($AF303,Deductibles!$B$73:$B$74,0)),"?")))</f>
        <v/>
      </c>
      <c r="BS303" s="99" t="str">
        <f>IF($A303="","",IF($AG303="",1,IFERROR(INDEX('Sublimits and Parts'!$C$49:$C$52,MATCH($AG303,'Sublimits and Parts'!$B$49:$B$52,0)),"?")))</f>
        <v/>
      </c>
      <c r="BT303" s="99" t="str">
        <f>IF($A303="","",IF($AH303="",1,IFERROR(INDEX('Sublimits and Parts'!$C$56:$C$60,MATCH($AH303,'Sublimits and Parts'!$B$56:$B$60,0)),"?")))</f>
        <v/>
      </c>
      <c r="BU303" s="99" t="str">
        <f>IF($A303="","",IF($AI303="",1,IFERROR(INDEX('Sublimits and Parts'!$C$64:$C$67,MATCH($AI303,'Sublimits and Parts'!$B$64:$B$67,0)),"?")))</f>
        <v/>
      </c>
      <c r="BV303" s="99" t="str">
        <f>IF($A303="","",IF($AJ303="",1,IFERROR(INDEX('Sublimits and Parts'!$C$71:$C$74,MATCH($AJ303,'Sublimits and Parts'!$B$71:$B$74,0)),"?")))</f>
        <v/>
      </c>
      <c r="BW303" s="99" t="str">
        <f>IF($A303="","",IF($AK303="",1,IFERROR(INDEX('Sublimits and Parts'!$C$78:$C$80,MATCH($AK303,'Sublimits and Parts'!$B$78:$B$80,0)),"?")))</f>
        <v/>
      </c>
      <c r="BX303" s="99" t="str">
        <f>IF($A303="","",IF($AL303="",1,IFERROR(INDEX('Sublimits and Parts'!$C$84:$C$87,MATCH($AL303,'Sublimits and Parts'!$B$84:$B$87,0)),"?")))</f>
        <v/>
      </c>
      <c r="BY303" s="99" t="str">
        <f>IF($A303="","",IF($AM303="",1,IFERROR(INDEX('Sublimits and Parts'!$C$91:$C$94,MATCH($AM303,'Sublimits and Parts'!$B$91:$B$94,0)),"?")))</f>
        <v/>
      </c>
      <c r="BZ303" s="99" t="str">
        <f>IF($A303="","",IF($AN303="",1,IFERROR(INDEX('Sublimits and Parts'!$C$98:$C$101,MATCH($AN303,'Sublimits and Parts'!$B$98:$B$101,0)),"?")))</f>
        <v/>
      </c>
      <c r="CA303" s="99" t="str">
        <f>IF($A303="","",IF($AO303="",1,IFERROR(INDEX('Sublimits and Parts'!$C$105:$C$109,MATCH($AO303,'Sublimits and Parts'!$B$105:$B$109,0)),"?")))</f>
        <v/>
      </c>
      <c r="CB303" s="100" t="str">
        <f t="shared" si="54"/>
        <v/>
      </c>
      <c r="CC303" s="100" t="str">
        <f t="shared" si="55"/>
        <v/>
      </c>
      <c r="CD303" s="103" t="str">
        <f>IF($A303="","",IF(OR($CB303="?",$CC303="?"),"?",MIN($CB303*$CC303,'Technical Premium'!$C$17)))</f>
        <v/>
      </c>
      <c r="CE303" s="102" t="str">
        <f t="shared" si="56"/>
        <v/>
      </c>
      <c r="CF303" s="102" t="str">
        <f>IF($A303="","",IFERROR(INDEX('Territory Factors'!$F$6:$F$56,MATCH($K303,'Territory Factors'!$B$6:$B$56,0)),"?"))</f>
        <v/>
      </c>
      <c r="CG303" s="100" t="str">
        <f>IF($A303="","",IFERROR(INDEX('Usage and Coverage'!$C$79:$C$84,MATCH($Y303,'Usage and Coverage'!$B$79:$B$84,0)),"?"))</f>
        <v/>
      </c>
      <c r="CH303" s="102" t="str">
        <f>IFERROR(IF(ISNUMBER($CD303),$CF303*$CG303*MIN($BG303*$BA303*$BC303*$BD303*$BH303*$BF303,'Technical Premium'!$C$17),""),"")</f>
        <v/>
      </c>
      <c r="CI303" s="102" t="str">
        <f t="shared" si="57"/>
        <v/>
      </c>
      <c r="CJ303" s="102" t="str">
        <f>IFERROR($CI303*(1+'Technical Premium'!$C$5)*(1+'Technical Premium'!$C$6),"")</f>
        <v/>
      </c>
      <c r="CK303" s="102" t="str">
        <f>IFERROR($CE303*INDEX('Territory Factors'!$G$6:$G$56,MATCH($K303,'Territory Factors'!$B$6:$B$56,0))*$AU303*$AV303,"")</f>
        <v/>
      </c>
      <c r="CL303" s="102" t="str">
        <f>IFERROR(($CJ303+$CK303)*(1+'Technical Premium'!$C$7),"")</f>
        <v/>
      </c>
      <c r="CM303" s="104" t="str">
        <f>IFERROR($CL303/'Technical Premium'!$C$13,"")</f>
        <v/>
      </c>
      <c r="CN303" s="105" t="str">
        <f t="shared" si="58"/>
        <v/>
      </c>
      <c r="CO303" s="104" t="str">
        <f t="shared" si="59"/>
        <v/>
      </c>
      <c r="CP303" s="105" t="str">
        <f t="shared" si="60"/>
        <v/>
      </c>
      <c r="CQ303" s="106" t="str">
        <f t="shared" si="61"/>
        <v/>
      </c>
      <c r="CR303" s="102" t="str">
        <f>IF(ISNUMBER($CM303),'Technical Premium'!$C$14+IF($J303&gt;=1000000,'Technical Premium'!$C$15,0),"")</f>
        <v/>
      </c>
      <c r="CS303" s="102" t="str">
        <f>IFERROR(($CO303+$CR303)*(INDEX('Territory Factors'!$K$6:$K$56,MATCH($K303,'Territory Factors'!$B$6:$B$56,0))+'Commission Structure'!$C$21),"")</f>
        <v/>
      </c>
      <c r="CT303" s="104" t="str">
        <f t="shared" si="62"/>
        <v/>
      </c>
      <c r="CU303" s="102" t="str">
        <f>IFERROR($CO303*('Commission Structure'!$C$6+'Commission Structure'!$C$7),"")</f>
        <v/>
      </c>
      <c r="CV303" s="102" t="str">
        <f>IFERROR($CO303*'Commission Structure'!$C$5-$CU303,"")</f>
        <v/>
      </c>
      <c r="CW303" s="102" t="str">
        <f>IFERROR($CO303*(1-'Commission Structure'!$C$5),"")</f>
        <v/>
      </c>
      <c r="CX303" s="107"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8" t="str">
        <f t="shared" si="63"/>
        <v/>
      </c>
      <c r="CZ303" s="99" t="str">
        <f>IF($CY303="","",IF($CY303&lt;'Technical Premium'!$C$19,"BEYOND AUTHORITY",IF($CY303&gt;0.005,"Above technical",IF($CY303&lt;-0.005,"BELOW technical","At technical"))))</f>
        <v/>
      </c>
      <c r="DA303" s="99"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4"/>
      <c r="DC303" s="94"/>
      <c r="DD303" s="95"/>
      <c r="DE303" s="94"/>
      <c r="DF303" s="94"/>
      <c r="DG303" s="99" t="str">
        <f t="shared" si="64"/>
        <v/>
      </c>
      <c r="DH303" s="99" t="str">
        <f>IF($A303="","",IF(OR($CX303="REFER",$CX303="DECLINE"),COUNTIF($CX$5:$CX303,"REFER")+COUNTIF($CX$5:$CX303,"DECLINE"),""))</f>
        <v/>
      </c>
      <c r="DI303" s="94"/>
    </row>
    <row r="304" spans="1:113" x14ac:dyDescent="0.35">
      <c r="A304" s="94"/>
      <c r="B304" s="94"/>
      <c r="C304" s="95"/>
      <c r="D304" s="95"/>
      <c r="E304" s="96"/>
      <c r="F304" s="94"/>
      <c r="G304" s="94"/>
      <c r="H304" s="94"/>
      <c r="I304" s="94"/>
      <c r="J304" s="97"/>
      <c r="K304" s="94"/>
      <c r="L304" s="94"/>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8"/>
      <c r="AR304" s="99" t="str">
        <f t="shared" si="52"/>
        <v/>
      </c>
      <c r="AS304" s="99" t="str">
        <f>IF($A304="","",IF($AP304&lt;&gt;"",$AP304,IFERROR(INDEX('Cat Zone by ZIP'!$D$6:$D$856,MATCH($AR304,'Cat Zone by ZIP'!$B$6:$B$856,0)),IFERROR(INDEX('Cat Zone by ZIP'!$C$860:$C$910,MATCH($K304,'Cat Zone by ZIP'!$B$860:$B$910,0)),"NOT FOUND"))))</f>
        <v/>
      </c>
      <c r="AT304" s="99" t="str">
        <f>IF($A304="","",IF($AP304&lt;&gt;"","Override",IF(ISNUMBER(MATCH($AR304,'Cat Zone by ZIP'!$B$6:$B$856,0)),"ZIP-3","State default")))</f>
        <v/>
      </c>
      <c r="AU304" s="100" t="str">
        <f>IF($A304="","",IFERROR(INDEX('Natural Catastrophe'!$D$6:$D$17,MATCH($AS304,'Natural Catastrophe'!$B$6:$B$17,0)),"?"))</f>
        <v/>
      </c>
      <c r="AV304" s="100" t="str">
        <f>IF($A304="","",IFERROR(INDEX('Natural Catastrophe'!$C$21:$C$26,MATCH($AA304,'Natural Catastrophe'!$B$21:$B$26,0)),"?"))</f>
        <v/>
      </c>
      <c r="AW304" s="99" t="str">
        <f>IF($A304="","",IFERROR(INDEX('Base Rates'!$C$4:$I$4,MATCH(MAX($J304,'Technical Premium'!$C$18),'Base Rates'!$C$3:$I$3,1)),"?"))</f>
        <v/>
      </c>
      <c r="AX304" s="101" t="str">
        <f>IF($A304="","",IFERROR(INDEX('Base Rates'!$C$5:$I$16,MATCH($I304,'Base Rates'!$B$5:$B$16,0),MATCH(MAX($J304,'Technical Premium'!$C$18),'Base Rates'!$C$3:$I$3,1)),"?"))</f>
        <v/>
      </c>
      <c r="AY304" s="102" t="str">
        <f t="shared" si="53"/>
        <v/>
      </c>
      <c r="AZ304" s="99" t="str">
        <f>IF($A304="","",IFERROR(INDEX('Make Factors'!$G$5:$G$69,MATCH($F304,'Make Factors'!$B$5:$B$69,0)),"?"))</f>
        <v/>
      </c>
      <c r="BA304" s="99" t="str">
        <f>IF($A304="","",IFERROR(INDEX('Driver Factors'!$C$6:$C$15,MATCH($R304,'Driver Factors'!$B$6:$B$15,0)),"?"))</f>
        <v/>
      </c>
      <c r="BB304" s="99" t="str">
        <f>IF($A304="","",IFERROR(INDEX('Driver Factors'!$C$19:$C$24,MATCH($S304,'Driver Factors'!$B$19:$B$24,0)),"?"))</f>
        <v/>
      </c>
      <c r="BC304" s="99" t="str">
        <f>IF($A304="","",IFERROR(INDEX('Driver Factors'!$C$28:$C$36,MATCH($T304,'Driver Factors'!$B$28:$B$36,0)),"?"))</f>
        <v/>
      </c>
      <c r="BD304" s="99" t="str">
        <f>IF($A304="","",IFERROR(INDEX('Claims History'!$C$6:$C$15,MATCH($U304,'Claims History'!$B$6:$B$15,0)),"?"))</f>
        <v/>
      </c>
      <c r="BE304" s="99" t="str">
        <f>IF($A304="","",IFERROR(INDEX('Territory Factors'!$E$6:$E$56,MATCH($K304,'Territory Factors'!$B$6:$B$56,0)),"?"))</f>
        <v/>
      </c>
      <c r="BF304" s="99" t="str">
        <f>IF($A304="","",IFERROR(INDEX('City Accident Ratings'!$G$6:$G$54,MATCH($Z304,'City Accident Ratings'!$B$6:$B$54,0)),"?"))</f>
        <v/>
      </c>
      <c r="BG304" s="99" t="str">
        <f>IF($A304="","",IFERROR(INDEX('Usage and Coverage'!$D$6:$D$20,MATCH($N304,'Usage and Coverage'!$C$6:$C$20,0)),"?"))</f>
        <v/>
      </c>
      <c r="BH304" s="99" t="str">
        <f>IF($A304="","",IFERROR(INDEX('Usage and Coverage'!$C$24:$C$30,MATCH($O304,'Usage and Coverage'!$B$24:$B$30,0)),"?"))</f>
        <v/>
      </c>
      <c r="BI304" s="99" t="str">
        <f>IF($A304="","",IFERROR(INDEX('Usage and Coverage'!$C$34:$C$40,MATCH($P304,'Usage and Coverage'!$B$34:$B$40,0)),"?"))</f>
        <v/>
      </c>
      <c r="BJ304" s="99" t="str">
        <f>IF($A304="","",IFERROR(INDEX('Usage and Coverage'!$C$44:$C$49,MATCH($Q304,'Usage and Coverage'!$B$44:$B$49,0)),"?"))</f>
        <v/>
      </c>
      <c r="BK304" s="99" t="str">
        <f>IF($A304="","",IFERROR(INDEX(Deductibles!$C$6:$I$15,MATCH($W304,Deductibles!$B$6:$B$15,0),MATCH(MAX($J304,'Technical Premium'!$C$18),'Base Rates'!$C$3:$I$3,1)),"?"))</f>
        <v/>
      </c>
      <c r="BL304" s="99" t="str">
        <f>IF($A304="","",IFERROR(INDEX('Usage and Coverage'!$C$63:$C$66,MATCH($X304,'Usage and Coverage'!$B$63:$B$66,0)),"?"))</f>
        <v/>
      </c>
      <c r="BM304" s="99" t="str">
        <f>IF($A304="","",IFERROR(INDEX('Usage and Coverage'!$C$70:$C$75,MATCH($V304,'Usage and Coverage'!$B$70:$B$75,0)),"?"))</f>
        <v/>
      </c>
      <c r="BN304" s="99" t="str">
        <f>IF($A304="","",IF($AB304="",1,IFERROR(INDEX(Deductibles!$C$48:$C$51,MATCH($AB304,Deductibles!$B$48:$B$51,0)),"?")))</f>
        <v/>
      </c>
      <c r="BO304" s="99" t="str">
        <f>IF($A304="","",IF($AC304="",1,IFERROR(INDEX(Deductibles!$C$55:$C$57,MATCH($AC304,Deductibles!$B$55:$B$57,0)),"?")))</f>
        <v/>
      </c>
      <c r="BP304" s="99" t="str">
        <f>IF($A304="","",IF($AD304="",1,IFERROR(INDEX(Deductibles!$C$61:$C$63,MATCH($AD304,Deductibles!$B$61:$B$63,0)),"?")))</f>
        <v/>
      </c>
      <c r="BQ304" s="99" t="str">
        <f>IF($A304="","",IF($AE304="",1,IFERROR(INDEX(Deductibles!$C$67:$C$69,MATCH($AE304,Deductibles!$B$67:$B$69,0)),"?")))</f>
        <v/>
      </c>
      <c r="BR304" s="99" t="str">
        <f>IF($A304="","",IF($AF304="",1,IFERROR(INDEX(Deductibles!$C$73:$C$74,MATCH($AF304,Deductibles!$B$73:$B$74,0)),"?")))</f>
        <v/>
      </c>
      <c r="BS304" s="99" t="str">
        <f>IF($A304="","",IF($AG304="",1,IFERROR(INDEX('Sublimits and Parts'!$C$49:$C$52,MATCH($AG304,'Sublimits and Parts'!$B$49:$B$52,0)),"?")))</f>
        <v/>
      </c>
      <c r="BT304" s="99" t="str">
        <f>IF($A304="","",IF($AH304="",1,IFERROR(INDEX('Sublimits and Parts'!$C$56:$C$60,MATCH($AH304,'Sublimits and Parts'!$B$56:$B$60,0)),"?")))</f>
        <v/>
      </c>
      <c r="BU304" s="99" t="str">
        <f>IF($A304="","",IF($AI304="",1,IFERROR(INDEX('Sublimits and Parts'!$C$64:$C$67,MATCH($AI304,'Sublimits and Parts'!$B$64:$B$67,0)),"?")))</f>
        <v/>
      </c>
      <c r="BV304" s="99" t="str">
        <f>IF($A304="","",IF($AJ304="",1,IFERROR(INDEX('Sublimits and Parts'!$C$71:$C$74,MATCH($AJ304,'Sublimits and Parts'!$B$71:$B$74,0)),"?")))</f>
        <v/>
      </c>
      <c r="BW304" s="99" t="str">
        <f>IF($A304="","",IF($AK304="",1,IFERROR(INDEX('Sublimits and Parts'!$C$78:$C$80,MATCH($AK304,'Sublimits and Parts'!$B$78:$B$80,0)),"?")))</f>
        <v/>
      </c>
      <c r="BX304" s="99" t="str">
        <f>IF($A304="","",IF($AL304="",1,IFERROR(INDEX('Sublimits and Parts'!$C$84:$C$87,MATCH($AL304,'Sublimits and Parts'!$B$84:$B$87,0)),"?")))</f>
        <v/>
      </c>
      <c r="BY304" s="99" t="str">
        <f>IF($A304="","",IF($AM304="",1,IFERROR(INDEX('Sublimits and Parts'!$C$91:$C$94,MATCH($AM304,'Sublimits and Parts'!$B$91:$B$94,0)),"?")))</f>
        <v/>
      </c>
      <c r="BZ304" s="99" t="str">
        <f>IF($A304="","",IF($AN304="",1,IFERROR(INDEX('Sublimits and Parts'!$C$98:$C$101,MATCH($AN304,'Sublimits and Parts'!$B$98:$B$101,0)),"?")))</f>
        <v/>
      </c>
      <c r="CA304" s="99" t="str">
        <f>IF($A304="","",IF($AO304="",1,IFERROR(INDEX('Sublimits and Parts'!$C$105:$C$109,MATCH($AO304,'Sublimits and Parts'!$B$105:$B$109,0)),"?")))</f>
        <v/>
      </c>
      <c r="CB304" s="100" t="str">
        <f t="shared" si="54"/>
        <v/>
      </c>
      <c r="CC304" s="100" t="str">
        <f t="shared" si="55"/>
        <v/>
      </c>
      <c r="CD304" s="103" t="str">
        <f>IF($A304="","",IF(OR($CB304="?",$CC304="?"),"?",MIN($CB304*$CC304,'Technical Premium'!$C$17)))</f>
        <v/>
      </c>
      <c r="CE304" s="102" t="str">
        <f t="shared" si="56"/>
        <v/>
      </c>
      <c r="CF304" s="102" t="str">
        <f>IF($A304="","",IFERROR(INDEX('Territory Factors'!$F$6:$F$56,MATCH($K304,'Territory Factors'!$B$6:$B$56,0)),"?"))</f>
        <v/>
      </c>
      <c r="CG304" s="100" t="str">
        <f>IF($A304="","",IFERROR(INDEX('Usage and Coverage'!$C$79:$C$84,MATCH($Y304,'Usage and Coverage'!$B$79:$B$84,0)),"?"))</f>
        <v/>
      </c>
      <c r="CH304" s="102" t="str">
        <f>IFERROR(IF(ISNUMBER($CD304),$CF304*$CG304*MIN($BG304*$BA304*$BC304*$BD304*$BH304*$BF304,'Technical Premium'!$C$17),""),"")</f>
        <v/>
      </c>
      <c r="CI304" s="102" t="str">
        <f t="shared" si="57"/>
        <v/>
      </c>
      <c r="CJ304" s="102" t="str">
        <f>IFERROR($CI304*(1+'Technical Premium'!$C$5)*(1+'Technical Premium'!$C$6),"")</f>
        <v/>
      </c>
      <c r="CK304" s="102" t="str">
        <f>IFERROR($CE304*INDEX('Territory Factors'!$G$6:$G$56,MATCH($K304,'Territory Factors'!$B$6:$B$56,0))*$AU304*$AV304,"")</f>
        <v/>
      </c>
      <c r="CL304" s="102" t="str">
        <f>IFERROR(($CJ304+$CK304)*(1+'Technical Premium'!$C$7),"")</f>
        <v/>
      </c>
      <c r="CM304" s="104" t="str">
        <f>IFERROR($CL304/'Technical Premium'!$C$13,"")</f>
        <v/>
      </c>
      <c r="CN304" s="105" t="str">
        <f t="shared" si="58"/>
        <v/>
      </c>
      <c r="CO304" s="104" t="str">
        <f t="shared" si="59"/>
        <v/>
      </c>
      <c r="CP304" s="105" t="str">
        <f t="shared" si="60"/>
        <v/>
      </c>
      <c r="CQ304" s="106" t="str">
        <f t="shared" si="61"/>
        <v/>
      </c>
      <c r="CR304" s="102" t="str">
        <f>IF(ISNUMBER($CM304),'Technical Premium'!$C$14+IF($J304&gt;=1000000,'Technical Premium'!$C$15,0),"")</f>
        <v/>
      </c>
      <c r="CS304" s="102" t="str">
        <f>IFERROR(($CO304+$CR304)*(INDEX('Territory Factors'!$K$6:$K$56,MATCH($K304,'Territory Factors'!$B$6:$B$56,0))+'Commission Structure'!$C$21),"")</f>
        <v/>
      </c>
      <c r="CT304" s="104" t="str">
        <f t="shared" si="62"/>
        <v/>
      </c>
      <c r="CU304" s="102" t="str">
        <f>IFERROR($CO304*('Commission Structure'!$C$6+'Commission Structure'!$C$7),"")</f>
        <v/>
      </c>
      <c r="CV304" s="102" t="str">
        <f>IFERROR($CO304*'Commission Structure'!$C$5-$CU304,"")</f>
        <v/>
      </c>
      <c r="CW304" s="102" t="str">
        <f>IFERROR($CO304*(1-'Commission Structure'!$C$5),"")</f>
        <v/>
      </c>
      <c r="CX304" s="107"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8" t="str">
        <f t="shared" si="63"/>
        <v/>
      </c>
      <c r="CZ304" s="99" t="str">
        <f>IF($CY304="","",IF($CY304&lt;'Technical Premium'!$C$19,"BEYOND AUTHORITY",IF($CY304&gt;0.005,"Above technical",IF($CY304&lt;-0.005,"BELOW technical","At technical"))))</f>
        <v/>
      </c>
      <c r="DA304" s="99"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4"/>
      <c r="DC304" s="94"/>
      <c r="DD304" s="95"/>
      <c r="DE304" s="94"/>
      <c r="DF304" s="94"/>
      <c r="DG304" s="99" t="str">
        <f t="shared" si="64"/>
        <v/>
      </c>
      <c r="DH304" s="99" t="str">
        <f>IF($A304="","",IF(OR($CX304="REFER",$CX304="DECLINE"),COUNTIF($CX$5:$CX304,"REFER")+COUNTIF($CX$5:$CX304,"DECLINE"),""))</f>
        <v/>
      </c>
      <c r="DI304" s="94"/>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0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1000000}">
          <x14:formula1>
            <xm:f>'Make Factors'!$B$5:$B$69</xm:f>
          </x14:formula1>
          <x14:formula2>
            <xm:f>0</xm:f>
          </x14:formula2>
          <xm:sqref>F5:F304</xm:sqref>
        </x14:dataValidation>
        <x14:dataValidation type="list" allowBlank="1" xr:uid="{00000000-0002-0000-0400-000002000000}">
          <x14:formula1>
            <xm:f>'Base Rates'!$B$5:$B$16</xm:f>
          </x14:formula1>
          <x14:formula2>
            <xm:f>0</xm:f>
          </x14:formula2>
          <xm:sqref>I5:I304</xm:sqref>
        </x14:dataValidation>
        <x14:dataValidation type="list" allowBlank="1" xr:uid="{00000000-0002-0000-0400-000003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topLeftCell="A148" zoomScaleNormal="100" workbookViewId="0">
      <selection activeCell="D136" sqref="D136"/>
    </sheetView>
  </sheetViews>
  <sheetFormatPr defaultColWidth="8.6328125" defaultRowHeight="14.5" x14ac:dyDescent="0.3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35">
      <c r="B1" s="14" t="s">
        <v>579</v>
      </c>
      <c r="C1" s="14"/>
      <c r="D1" s="14"/>
      <c r="E1" s="14"/>
      <c r="F1" s="14"/>
      <c r="G1" s="14"/>
      <c r="H1" s="14"/>
    </row>
    <row r="2" spans="2:8" ht="15" customHeight="1" x14ac:dyDescent="0.35">
      <c r="B2" s="13" t="s">
        <v>580</v>
      </c>
      <c r="C2" s="13"/>
      <c r="D2" s="13"/>
      <c r="E2" s="13"/>
      <c r="F2" s="13"/>
      <c r="G2" s="13"/>
      <c r="H2" s="13"/>
    </row>
    <row r="4" spans="2:8" ht="18" customHeight="1" x14ac:dyDescent="0.35">
      <c r="B4" s="12" t="s">
        <v>581</v>
      </c>
      <c r="C4" s="12"/>
      <c r="D4" s="12"/>
      <c r="E4" s="12"/>
      <c r="F4" s="12"/>
      <c r="G4" s="12"/>
      <c r="H4" s="12"/>
    </row>
    <row r="5" spans="2:8" x14ac:dyDescent="0.35">
      <c r="B5" s="36" t="s">
        <v>582</v>
      </c>
      <c r="C5" s="109">
        <f>COUNTA('Portfolio Register'!$A$5:$A$304)</f>
        <v>6</v>
      </c>
    </row>
    <row r="6" spans="2:8" x14ac:dyDescent="0.35">
      <c r="B6" s="36" t="s">
        <v>583</v>
      </c>
      <c r="C6" s="60">
        <f>SUM('Portfolio Register'!$J$5:$J$304)</f>
        <v>8140000</v>
      </c>
    </row>
    <row r="7" spans="2:8" x14ac:dyDescent="0.35">
      <c r="B7" s="32" t="s">
        <v>584</v>
      </c>
      <c r="C7" s="78">
        <f>SUM('Portfolio Register'!$CM$5:$CM$304)</f>
        <v>197516.71393401604</v>
      </c>
    </row>
    <row r="8" spans="2:8" x14ac:dyDescent="0.35">
      <c r="B8" s="32" t="s">
        <v>585</v>
      </c>
      <c r="C8" s="78">
        <f>SUM('Portfolio Register'!$CO$5:$CO$304)</f>
        <v>204438.007533191</v>
      </c>
    </row>
    <row r="9" spans="2:8" x14ac:dyDescent="0.35">
      <c r="B9" s="36" t="s">
        <v>586</v>
      </c>
      <c r="C9" s="60">
        <f>SUM('Portfolio Register'!$CR$5:$CR$304)+SUM('Portfolio Register'!$CS$5:$CS$304)</f>
        <v>10191.365256020101</v>
      </c>
    </row>
    <row r="10" spans="2:8" x14ac:dyDescent="0.35">
      <c r="B10" s="36" t="s">
        <v>587</v>
      </c>
      <c r="C10" s="60">
        <f>SUM('Portfolio Register'!$CT$5:$CT$304)</f>
        <v>214629.37278921111</v>
      </c>
    </row>
    <row r="11" spans="2:8" x14ac:dyDescent="0.35">
      <c r="B11" s="36" t="s">
        <v>588</v>
      </c>
      <c r="C11" s="60">
        <f>SUM('Portfolio Register'!$CU$5:$CU$304)</f>
        <v>25554.750941648876</v>
      </c>
    </row>
    <row r="12" spans="2:8" x14ac:dyDescent="0.35">
      <c r="B12" s="32" t="s">
        <v>589</v>
      </c>
      <c r="C12" s="78">
        <f>SUM('Portfolio Register'!$CV$5:$CV$304)</f>
        <v>25554.750941648876</v>
      </c>
    </row>
    <row r="13" spans="2:8" x14ac:dyDescent="0.35">
      <c r="B13" s="36" t="s">
        <v>348</v>
      </c>
      <c r="C13" s="60">
        <f>SUM('Portfolio Register'!$CW$5:$CW$304)</f>
        <v>153328.50564989322</v>
      </c>
    </row>
    <row r="14" spans="2:8" x14ac:dyDescent="0.35">
      <c r="B14" s="36" t="s">
        <v>590</v>
      </c>
      <c r="C14" s="110">
        <f>IFERROR(SUM('Portfolio Register'!$CM$5:$CM$304)/SUM('Portfolio Register'!$J$5:$J$304)*100,0)</f>
        <v>2.4264952571746443</v>
      </c>
    </row>
    <row r="15" spans="2:8" x14ac:dyDescent="0.35">
      <c r="B15" s="36" t="s">
        <v>591</v>
      </c>
      <c r="C15" s="110">
        <f>IFERROR(SUM('Portfolio Register'!$CO$5:$CO$304)/SUM('Portfolio Register'!$J$5:$J$304)*100,0)</f>
        <v>2.5115234340686854</v>
      </c>
    </row>
    <row r="16" spans="2:8" x14ac:dyDescent="0.35">
      <c r="B16" s="32" t="s">
        <v>592</v>
      </c>
      <c r="C16" s="111">
        <f>IFERROR(SUM('Portfolio Register'!$CO$5:$CO$304)/SUM('Portfolio Register'!$CM$5:$CM$304),0)</f>
        <v>1.0350415590727535</v>
      </c>
    </row>
    <row r="17" spans="2:8" x14ac:dyDescent="0.35">
      <c r="B17" s="36" t="s">
        <v>593</v>
      </c>
      <c r="C17" s="60">
        <f>IFERROR(C8/C5,0)</f>
        <v>34073.001255531832</v>
      </c>
    </row>
    <row r="18" spans="2:8" x14ac:dyDescent="0.35">
      <c r="B18" s="36" t="s">
        <v>594</v>
      </c>
      <c r="C18" s="60">
        <f>IFERROR(MAX('Portfolio Register'!$J$5:$J$304),0)</f>
        <v>3600000</v>
      </c>
    </row>
    <row r="19" spans="2:8" x14ac:dyDescent="0.35">
      <c r="B19" s="36" t="s">
        <v>595</v>
      </c>
      <c r="C19" s="109">
        <f>COUNTIF('Portfolio Register'!$CX$5:$CX$304,"AUTO-BIND")</f>
        <v>3</v>
      </c>
    </row>
    <row r="20" spans="2:8" x14ac:dyDescent="0.35">
      <c r="B20" s="36" t="s">
        <v>596</v>
      </c>
      <c r="C20" s="109">
        <f>COUNTIF('Portfolio Register'!$CX$5:$CX$304,"REFER")</f>
        <v>3</v>
      </c>
    </row>
    <row r="21" spans="2:8" x14ac:dyDescent="0.35">
      <c r="B21" s="36" t="s">
        <v>597</v>
      </c>
      <c r="C21" s="109">
        <f>COUNTIF('Portfolio Register'!$CX$5:$CX$304,"DECLINE")</f>
        <v>0</v>
      </c>
    </row>
    <row r="22" spans="2:8" x14ac:dyDescent="0.35">
      <c r="B22" s="36" t="s">
        <v>598</v>
      </c>
      <c r="C22" s="109">
        <f>COUNTIF('Portfolio Register'!$CX$5:$CX$304,"CHECK INPUTS")</f>
        <v>0</v>
      </c>
    </row>
    <row r="24" spans="2:8" ht="18" customHeight="1" x14ac:dyDescent="0.35">
      <c r="B24" s="12" t="s">
        <v>599</v>
      </c>
      <c r="C24" s="12"/>
      <c r="D24" s="12"/>
      <c r="E24" s="12"/>
      <c r="F24" s="12"/>
      <c r="G24" s="12"/>
      <c r="H24" s="12"/>
    </row>
    <row r="25" spans="2:8" ht="27.75" customHeight="1" x14ac:dyDescent="0.35">
      <c r="B25" s="112" t="s">
        <v>167</v>
      </c>
      <c r="C25" s="112" t="s">
        <v>600</v>
      </c>
      <c r="D25" s="112" t="s">
        <v>601</v>
      </c>
      <c r="E25" s="112" t="s">
        <v>602</v>
      </c>
      <c r="F25" s="112" t="s">
        <v>603</v>
      </c>
      <c r="G25" s="112" t="s">
        <v>604</v>
      </c>
    </row>
    <row r="26" spans="2:8" x14ac:dyDescent="0.35">
      <c r="B26" s="27" t="str">
        <f>'Base Rates'!B5</f>
        <v>01 - Luxury Sedan / SUV</v>
      </c>
      <c r="C26" s="113">
        <f>COUNTIFS('Portfolio Register'!$I$5:$I$304,$B26)</f>
        <v>0</v>
      </c>
      <c r="D26" s="114">
        <f>SUMIFS('Portfolio Register'!$J$5:$J$304,'Portfolio Register'!$I$5:$I$304,$B26)</f>
        <v>0</v>
      </c>
      <c r="E26" s="114">
        <f>SUMIFS('Portfolio Register'!$CM$5:$CM$304,'Portfolio Register'!$I$5:$I$304,$B26)</f>
        <v>0</v>
      </c>
      <c r="F26" s="114">
        <f>SUMIFS('Portfolio Register'!$CO$5:$CO$304,'Portfolio Register'!$I$5:$I$304,$B26)</f>
        <v>0</v>
      </c>
      <c r="G26" s="115" t="str">
        <f t="shared" ref="G26:G37" si="0">IFERROR(E26/D26*100,"")</f>
        <v/>
      </c>
    </row>
    <row r="27" spans="2:8" x14ac:dyDescent="0.35">
      <c r="B27" s="116" t="str">
        <f>'Base Rates'!B6</f>
        <v>02 - Sports / GT</v>
      </c>
      <c r="C27" s="117">
        <f>COUNTIFS('Portfolio Register'!$I$5:$I$304,$B27)</f>
        <v>1</v>
      </c>
      <c r="D27" s="118">
        <f>SUMIFS('Portfolio Register'!$J$5:$J$304,'Portfolio Register'!$I$5:$I$304,$B27)</f>
        <v>185000</v>
      </c>
      <c r="E27" s="118">
        <f>SUMIFS('Portfolio Register'!$CM$5:$CM$304,'Portfolio Register'!$I$5:$I$304,$B27)</f>
        <v>3332.3650404219679</v>
      </c>
      <c r="F27" s="118">
        <f>SUMIFS('Portfolio Register'!$CO$5:$CO$304,'Portfolio Register'!$I$5:$I$304,$B27)</f>
        <v>2932.4812355713316</v>
      </c>
      <c r="G27" s="119">
        <f t="shared" si="0"/>
        <v>1.8012784002280908</v>
      </c>
    </row>
    <row r="28" spans="2:8" x14ac:dyDescent="0.35">
      <c r="B28" s="27" t="str">
        <f>'Base Rates'!B7</f>
        <v>03 - Supercar</v>
      </c>
      <c r="C28" s="113">
        <f>COUNTIFS('Portfolio Register'!$I$5:$I$304,$B28)</f>
        <v>2</v>
      </c>
      <c r="D28" s="114">
        <f>SUMIFS('Portfolio Register'!$J$5:$J$304,'Portfolio Register'!$I$5:$I$304,$B28)</f>
        <v>705000</v>
      </c>
      <c r="E28" s="114">
        <f>SUMIFS('Portfolio Register'!$CM$5:$CM$304,'Portfolio Register'!$I$5:$I$304,$B28)</f>
        <v>68173.551901943691</v>
      </c>
      <c r="F28" s="114">
        <f>SUMIFS('Portfolio Register'!$CO$5:$CO$304,'Portfolio Register'!$I$5:$I$304,$B28)</f>
        <v>72593.156957978179</v>
      </c>
      <c r="G28" s="115">
        <f t="shared" si="0"/>
        <v>9.6700073619778273</v>
      </c>
    </row>
    <row r="29" spans="2:8" x14ac:dyDescent="0.35">
      <c r="B29" s="116" t="str">
        <f>'Base Rates'!B8</f>
        <v>04 - Hypercar</v>
      </c>
      <c r="C29" s="117">
        <f>COUNTIFS('Portfolio Register'!$I$5:$I$304,$B29)</f>
        <v>1</v>
      </c>
      <c r="D29" s="118">
        <f>SUMIFS('Portfolio Register'!$J$5:$J$304,'Portfolio Register'!$I$5:$I$304,$B29)</f>
        <v>3600000</v>
      </c>
      <c r="E29" s="118">
        <f>SUMIFS('Portfolio Register'!$CM$5:$CM$304,'Portfolio Register'!$I$5:$I$304,$B29)</f>
        <v>43327.919987477027</v>
      </c>
      <c r="F29" s="118">
        <f>SUMIFS('Portfolio Register'!$CO$5:$CO$304,'Portfolio Register'!$I$5:$I$304,$B29)</f>
        <v>43327.919987477027</v>
      </c>
      <c r="G29" s="119">
        <f t="shared" si="0"/>
        <v>1.2035533329854731</v>
      </c>
    </row>
    <row r="30" spans="2:8" x14ac:dyDescent="0.35">
      <c r="B30" s="27" t="str">
        <f>'Base Rates'!B9</f>
        <v>05 - Limited Edition / Track-Focused</v>
      </c>
      <c r="C30" s="113">
        <f>COUNTIFS('Portfolio Register'!$I$5:$I$304,$B30)</f>
        <v>0</v>
      </c>
      <c r="D30" s="114">
        <f>SUMIFS('Portfolio Register'!$J$5:$J$304,'Portfolio Register'!$I$5:$I$304,$B30)</f>
        <v>0</v>
      </c>
      <c r="E30" s="114">
        <f>SUMIFS('Portfolio Register'!$CM$5:$CM$304,'Portfolio Register'!$I$5:$I$304,$B30)</f>
        <v>0</v>
      </c>
      <c r="F30" s="114">
        <f>SUMIFS('Portfolio Register'!$CO$5:$CO$304,'Portfolio Register'!$I$5:$I$304,$B30)</f>
        <v>0</v>
      </c>
      <c r="G30" s="115" t="str">
        <f t="shared" si="0"/>
        <v/>
      </c>
    </row>
    <row r="31" spans="2:8" x14ac:dyDescent="0.35">
      <c r="B31" s="116" t="str">
        <f>'Base Rates'!B10</f>
        <v>06 - Vintage Pre-War (pre-1946)</v>
      </c>
      <c r="C31" s="117">
        <f>COUNTIFS('Portfolio Register'!$I$5:$I$304,$B31)</f>
        <v>0</v>
      </c>
      <c r="D31" s="118">
        <f>SUMIFS('Portfolio Register'!$J$5:$J$304,'Portfolio Register'!$I$5:$I$304,$B31)</f>
        <v>0</v>
      </c>
      <c r="E31" s="118">
        <f>SUMIFS('Portfolio Register'!$CM$5:$CM$304,'Portfolio Register'!$I$5:$I$304,$B31)</f>
        <v>0</v>
      </c>
      <c r="F31" s="118">
        <f>SUMIFS('Portfolio Register'!$CO$5:$CO$304,'Portfolio Register'!$I$5:$I$304,$B31)</f>
        <v>0</v>
      </c>
      <c r="G31" s="119" t="str">
        <f t="shared" si="0"/>
        <v/>
      </c>
    </row>
    <row r="32" spans="2:8" x14ac:dyDescent="0.35">
      <c r="B32" s="27" t="str">
        <f>'Base Rates'!B11</f>
        <v>07 - Post-War Classic (1946-1972)</v>
      </c>
      <c r="C32" s="113">
        <f>COUNTIFS('Portfolio Register'!$I$5:$I$304,$B32)</f>
        <v>1</v>
      </c>
      <c r="D32" s="114">
        <f>SUMIFS('Portfolio Register'!$J$5:$J$304,'Portfolio Register'!$I$5:$I$304,$B32)</f>
        <v>1450000</v>
      </c>
      <c r="E32" s="114">
        <f>SUMIFS('Portfolio Register'!$CM$5:$CM$304,'Portfolio Register'!$I$5:$I$304,$B32)</f>
        <v>9481.3192478274432</v>
      </c>
      <c r="F32" s="114">
        <f>SUMIFS('Portfolio Register'!$CO$5:$CO$304,'Portfolio Register'!$I$5:$I$304,$B32)</f>
        <v>8722.8137080012475</v>
      </c>
      <c r="G32" s="115">
        <f t="shared" si="0"/>
        <v>0.65388408605706505</v>
      </c>
    </row>
    <row r="33" spans="2:8" x14ac:dyDescent="0.35">
      <c r="B33" s="116" t="str">
        <f>'Base Rates'!B12</f>
        <v>08 - Modern Classic (1973-1999)</v>
      </c>
      <c r="C33" s="117">
        <f>COUNTIFS('Portfolio Register'!$I$5:$I$304,$B33)</f>
        <v>0</v>
      </c>
      <c r="D33" s="118">
        <f>SUMIFS('Portfolio Register'!$J$5:$J$304,'Portfolio Register'!$I$5:$I$304,$B33)</f>
        <v>0</v>
      </c>
      <c r="E33" s="118">
        <f>SUMIFS('Portfolio Register'!$CM$5:$CM$304,'Portfolio Register'!$I$5:$I$304,$B33)</f>
        <v>0</v>
      </c>
      <c r="F33" s="118">
        <f>SUMIFS('Portfolio Register'!$CO$5:$CO$304,'Portfolio Register'!$I$5:$I$304,$B33)</f>
        <v>0</v>
      </c>
      <c r="G33" s="119" t="str">
        <f t="shared" si="0"/>
        <v/>
      </c>
    </row>
    <row r="34" spans="2:8" x14ac:dyDescent="0.35">
      <c r="B34" s="27" t="str">
        <f>'Base Rates'!B13</f>
        <v>09 - Youngtimer / Collectible (2000-2010)</v>
      </c>
      <c r="C34" s="113">
        <f>COUNTIFS('Portfolio Register'!$I$5:$I$304,$B34)</f>
        <v>0</v>
      </c>
      <c r="D34" s="114">
        <f>SUMIFS('Portfolio Register'!$J$5:$J$304,'Portfolio Register'!$I$5:$I$304,$B34)</f>
        <v>0</v>
      </c>
      <c r="E34" s="114">
        <f>SUMIFS('Portfolio Register'!$CM$5:$CM$304,'Portfolio Register'!$I$5:$I$304,$B34)</f>
        <v>0</v>
      </c>
      <c r="F34" s="114">
        <f>SUMIFS('Portfolio Register'!$CO$5:$CO$304,'Portfolio Register'!$I$5:$I$304,$B34)</f>
        <v>0</v>
      </c>
      <c r="G34" s="115" t="str">
        <f t="shared" si="0"/>
        <v/>
      </c>
    </row>
    <row r="35" spans="2:8" x14ac:dyDescent="0.35">
      <c r="B35" s="116" t="str">
        <f>'Base Rates'!B14</f>
        <v>10 - Competition / Race Car (non-competitive use)</v>
      </c>
      <c r="C35" s="117">
        <f>COUNTIFS('Portfolio Register'!$I$5:$I$304,$B35)</f>
        <v>0</v>
      </c>
      <c r="D35" s="118">
        <f>SUMIFS('Portfolio Register'!$J$5:$J$304,'Portfolio Register'!$I$5:$I$304,$B35)</f>
        <v>0</v>
      </c>
      <c r="E35" s="118">
        <f>SUMIFS('Portfolio Register'!$CM$5:$CM$304,'Portfolio Register'!$I$5:$I$304,$B35)</f>
        <v>0</v>
      </c>
      <c r="F35" s="118">
        <f>SUMIFS('Portfolio Register'!$CO$5:$CO$304,'Portfolio Register'!$I$5:$I$304,$B35)</f>
        <v>0</v>
      </c>
      <c r="G35" s="119" t="str">
        <f t="shared" si="0"/>
        <v/>
      </c>
    </row>
    <row r="36" spans="2:8" x14ac:dyDescent="0.35">
      <c r="B36" s="27" t="str">
        <f>'Base Rates'!B15</f>
        <v>11 - Restomod / Coachbuilt / Bespoke</v>
      </c>
      <c r="C36" s="113">
        <f>COUNTIFS('Portfolio Register'!$I$5:$I$304,$B36)</f>
        <v>1</v>
      </c>
      <c r="D36" s="114">
        <f>SUMIFS('Portfolio Register'!$J$5:$J$304,'Portfolio Register'!$I$5:$I$304,$B36)</f>
        <v>2200000</v>
      </c>
      <c r="E36" s="114">
        <f>SUMIFS('Portfolio Register'!$CM$5:$CM$304,'Portfolio Register'!$I$5:$I$304,$B36)</f>
        <v>73201.557756345908</v>
      </c>
      <c r="F36" s="114">
        <f>SUMIFS('Portfolio Register'!$CO$5:$CO$304,'Portfolio Register'!$I$5:$I$304,$B36)</f>
        <v>76861.635644163209</v>
      </c>
      <c r="G36" s="115">
        <f t="shared" si="0"/>
        <v>3.3273435343793594</v>
      </c>
    </row>
    <row r="37" spans="2:8" x14ac:dyDescent="0.35">
      <c r="B37" s="116" t="str">
        <f>'Base Rates'!B16</f>
        <v>12 - Performance EV / Electric Hyper</v>
      </c>
      <c r="C37" s="117">
        <f>COUNTIFS('Portfolio Register'!$I$5:$I$304,$B37)</f>
        <v>0</v>
      </c>
      <c r="D37" s="118">
        <f>SUMIFS('Portfolio Register'!$J$5:$J$304,'Portfolio Register'!$I$5:$I$304,$B37)</f>
        <v>0</v>
      </c>
      <c r="E37" s="118">
        <f>SUMIFS('Portfolio Register'!$CM$5:$CM$304,'Portfolio Register'!$I$5:$I$304,$B37)</f>
        <v>0</v>
      </c>
      <c r="F37" s="118">
        <f>SUMIFS('Portfolio Register'!$CO$5:$CO$304,'Portfolio Register'!$I$5:$I$304,$B37)</f>
        <v>0</v>
      </c>
      <c r="G37" s="119" t="str">
        <f t="shared" si="0"/>
        <v/>
      </c>
    </row>
    <row r="39" spans="2:8" ht="18" customHeight="1" x14ac:dyDescent="0.35">
      <c r="B39" s="12" t="s">
        <v>605</v>
      </c>
      <c r="C39" s="12"/>
      <c r="D39" s="12"/>
      <c r="E39" s="12"/>
      <c r="F39" s="12"/>
      <c r="G39" s="12"/>
      <c r="H39" s="12"/>
    </row>
    <row r="40" spans="2:8" ht="27.75" customHeight="1" x14ac:dyDescent="0.35">
      <c r="B40" s="112" t="s">
        <v>606</v>
      </c>
      <c r="C40" s="112" t="s">
        <v>600</v>
      </c>
      <c r="D40" s="112" t="s">
        <v>601</v>
      </c>
      <c r="E40" s="112" t="s">
        <v>603</v>
      </c>
      <c r="F40" s="112" t="s">
        <v>607</v>
      </c>
    </row>
    <row r="41" spans="2:8" x14ac:dyDescent="0.35">
      <c r="B41" s="27" t="str">
        <f>'Territory Factors'!B6</f>
        <v>Alabama</v>
      </c>
      <c r="C41" s="113">
        <f>COUNTIFS('Portfolio Register'!$K$5:$K$304,$B41)</f>
        <v>0</v>
      </c>
      <c r="D41" s="114">
        <f>SUMIFS('Portfolio Register'!$J$5:$J$304,'Portfolio Register'!$K$5:$K$304,$B41)</f>
        <v>0</v>
      </c>
      <c r="E41" s="114">
        <f>SUMIFS('Portfolio Register'!$CO$5:$CO$304,'Portfolio Register'!$K$5:$K$304,$B41)</f>
        <v>0</v>
      </c>
      <c r="F41" s="115" t="str">
        <f t="shared" ref="F41:F72" si="1">IFERROR(E41/D41*100,"")</f>
        <v/>
      </c>
    </row>
    <row r="42" spans="2:8" x14ac:dyDescent="0.35">
      <c r="B42" s="116" t="str">
        <f>'Territory Factors'!B7</f>
        <v>Alaska</v>
      </c>
      <c r="C42" s="117">
        <f>COUNTIFS('Portfolio Register'!$K$5:$K$304,$B42)</f>
        <v>0</v>
      </c>
      <c r="D42" s="118">
        <f>SUMIFS('Portfolio Register'!$J$5:$J$304,'Portfolio Register'!$K$5:$K$304,$B42)</f>
        <v>0</v>
      </c>
      <c r="E42" s="118">
        <f>SUMIFS('Portfolio Register'!$CO$5:$CO$304,'Portfolio Register'!$K$5:$K$304,$B42)</f>
        <v>0</v>
      </c>
      <c r="F42" s="119" t="str">
        <f t="shared" si="1"/>
        <v/>
      </c>
    </row>
    <row r="43" spans="2:8" x14ac:dyDescent="0.35">
      <c r="B43" s="27" t="str">
        <f>'Territory Factors'!B8</f>
        <v>Arizona</v>
      </c>
      <c r="C43" s="113">
        <f>COUNTIFS('Portfolio Register'!$K$5:$K$304,$B43)</f>
        <v>2</v>
      </c>
      <c r="D43" s="114">
        <f>SUMIFS('Portfolio Register'!$J$5:$J$304,'Portfolio Register'!$K$5:$K$304,$B43)</f>
        <v>5050000</v>
      </c>
      <c r="E43" s="114">
        <f>SUMIFS('Portfolio Register'!$CO$5:$CO$304,'Portfolio Register'!$K$5:$K$304,$B43)</f>
        <v>52050.733695478273</v>
      </c>
      <c r="F43" s="115">
        <f t="shared" si="1"/>
        <v>1.0307075979302629</v>
      </c>
    </row>
    <row r="44" spans="2:8" x14ac:dyDescent="0.35">
      <c r="B44" s="116" t="str">
        <f>'Territory Factors'!B9</f>
        <v>Arkansas</v>
      </c>
      <c r="C44" s="117">
        <f>COUNTIFS('Portfolio Register'!$K$5:$K$304,$B44)</f>
        <v>0</v>
      </c>
      <c r="D44" s="118">
        <f>SUMIFS('Portfolio Register'!$J$5:$J$304,'Portfolio Register'!$K$5:$K$304,$B44)</f>
        <v>0</v>
      </c>
      <c r="E44" s="118">
        <f>SUMIFS('Portfolio Register'!$CO$5:$CO$304,'Portfolio Register'!$K$5:$K$304,$B44)</f>
        <v>0</v>
      </c>
      <c r="F44" s="119" t="str">
        <f t="shared" si="1"/>
        <v/>
      </c>
    </row>
    <row r="45" spans="2:8" x14ac:dyDescent="0.35">
      <c r="B45" s="27" t="str">
        <f>'Territory Factors'!B10</f>
        <v>California</v>
      </c>
      <c r="C45" s="113">
        <f>COUNTIFS('Portfolio Register'!$K$5:$K$304,$B45)</f>
        <v>1</v>
      </c>
      <c r="D45" s="114">
        <f>SUMIFS('Portfolio Register'!$J$5:$J$304,'Portfolio Register'!$K$5:$K$304,$B45)</f>
        <v>2200000</v>
      </c>
      <c r="E45" s="114">
        <f>SUMIFS('Portfolio Register'!$CO$5:$CO$304,'Portfolio Register'!$K$5:$K$304,$B45)</f>
        <v>76861.635644163209</v>
      </c>
      <c r="F45" s="115">
        <f t="shared" si="1"/>
        <v>3.4937107110983279</v>
      </c>
    </row>
    <row r="46" spans="2:8" x14ac:dyDescent="0.35">
      <c r="B46" s="116" t="str">
        <f>'Territory Factors'!B11</f>
        <v>Colorado</v>
      </c>
      <c r="C46" s="117">
        <f>COUNTIFS('Portfolio Register'!$K$5:$K$304,$B46)</f>
        <v>0</v>
      </c>
      <c r="D46" s="118">
        <f>SUMIFS('Portfolio Register'!$J$5:$J$304,'Portfolio Register'!$K$5:$K$304,$B46)</f>
        <v>0</v>
      </c>
      <c r="E46" s="118">
        <f>SUMIFS('Portfolio Register'!$CO$5:$CO$304,'Portfolio Register'!$K$5:$K$304,$B46)</f>
        <v>0</v>
      </c>
      <c r="F46" s="119" t="str">
        <f t="shared" si="1"/>
        <v/>
      </c>
    </row>
    <row r="47" spans="2:8" x14ac:dyDescent="0.35">
      <c r="B47" s="27" t="str">
        <f>'Territory Factors'!B12</f>
        <v>Connecticut</v>
      </c>
      <c r="C47" s="113">
        <f>COUNTIFS('Portfolio Register'!$K$5:$K$304,$B47)</f>
        <v>0</v>
      </c>
      <c r="D47" s="114">
        <f>SUMIFS('Portfolio Register'!$J$5:$J$304,'Portfolio Register'!$K$5:$K$304,$B47)</f>
        <v>0</v>
      </c>
      <c r="E47" s="114">
        <f>SUMIFS('Portfolio Register'!$CO$5:$CO$304,'Portfolio Register'!$K$5:$K$304,$B47)</f>
        <v>0</v>
      </c>
      <c r="F47" s="115" t="str">
        <f t="shared" si="1"/>
        <v/>
      </c>
    </row>
    <row r="48" spans="2:8" x14ac:dyDescent="0.35">
      <c r="B48" s="116" t="str">
        <f>'Territory Factors'!B13</f>
        <v>Delaware</v>
      </c>
      <c r="C48" s="117">
        <f>COUNTIFS('Portfolio Register'!$K$5:$K$304,$B48)</f>
        <v>0</v>
      </c>
      <c r="D48" s="118">
        <f>SUMIFS('Portfolio Register'!$J$5:$J$304,'Portfolio Register'!$K$5:$K$304,$B48)</f>
        <v>0</v>
      </c>
      <c r="E48" s="118">
        <f>SUMIFS('Portfolio Register'!$CO$5:$CO$304,'Portfolio Register'!$K$5:$K$304,$B48)</f>
        <v>0</v>
      </c>
      <c r="F48" s="119" t="str">
        <f t="shared" si="1"/>
        <v/>
      </c>
    </row>
    <row r="49" spans="2:6" x14ac:dyDescent="0.35">
      <c r="B49" s="27" t="str">
        <f>'Territory Factors'!B14</f>
        <v>District of Columbia</v>
      </c>
      <c r="C49" s="113">
        <f>COUNTIFS('Portfolio Register'!$K$5:$K$304,$B49)</f>
        <v>0</v>
      </c>
      <c r="D49" s="114">
        <f>SUMIFS('Portfolio Register'!$J$5:$J$304,'Portfolio Register'!$K$5:$K$304,$B49)</f>
        <v>0</v>
      </c>
      <c r="E49" s="114">
        <f>SUMIFS('Portfolio Register'!$CO$5:$CO$304,'Portfolio Register'!$K$5:$K$304,$B49)</f>
        <v>0</v>
      </c>
      <c r="F49" s="115" t="str">
        <f t="shared" si="1"/>
        <v/>
      </c>
    </row>
    <row r="50" spans="2:6" x14ac:dyDescent="0.35">
      <c r="B50" s="116" t="str">
        <f>'Territory Factors'!B15</f>
        <v>Florida</v>
      </c>
      <c r="C50" s="117">
        <f>COUNTIFS('Portfolio Register'!$K$5:$K$304,$B50)</f>
        <v>1</v>
      </c>
      <c r="D50" s="118">
        <f>SUMIFS('Portfolio Register'!$J$5:$J$304,'Portfolio Register'!$K$5:$K$304,$B50)</f>
        <v>425000</v>
      </c>
      <c r="E50" s="118">
        <f>SUMIFS('Portfolio Register'!$CO$5:$CO$304,'Portfolio Register'!$K$5:$K$304,$B50)</f>
        <v>23977.501341598858</v>
      </c>
      <c r="F50" s="119">
        <f t="shared" si="1"/>
        <v>5.641765021552672</v>
      </c>
    </row>
    <row r="51" spans="2:6" x14ac:dyDescent="0.35">
      <c r="B51" s="27" t="str">
        <f>'Territory Factors'!B16</f>
        <v>Georgia</v>
      </c>
      <c r="C51" s="113">
        <f>COUNTIFS('Portfolio Register'!$K$5:$K$304,$B51)</f>
        <v>0</v>
      </c>
      <c r="D51" s="114">
        <f>SUMIFS('Portfolio Register'!$J$5:$J$304,'Portfolio Register'!$K$5:$K$304,$B51)</f>
        <v>0</v>
      </c>
      <c r="E51" s="114">
        <f>SUMIFS('Portfolio Register'!$CO$5:$CO$304,'Portfolio Register'!$K$5:$K$304,$B51)</f>
        <v>0</v>
      </c>
      <c r="F51" s="115" t="str">
        <f t="shared" si="1"/>
        <v/>
      </c>
    </row>
    <row r="52" spans="2:6" x14ac:dyDescent="0.35">
      <c r="B52" s="116" t="str">
        <f>'Territory Factors'!B17</f>
        <v>Hawaii</v>
      </c>
      <c r="C52" s="117">
        <f>COUNTIFS('Portfolio Register'!$K$5:$K$304,$B52)</f>
        <v>0</v>
      </c>
      <c r="D52" s="118">
        <f>SUMIFS('Portfolio Register'!$J$5:$J$304,'Portfolio Register'!$K$5:$K$304,$B52)</f>
        <v>0</v>
      </c>
      <c r="E52" s="118">
        <f>SUMIFS('Portfolio Register'!$CO$5:$CO$304,'Portfolio Register'!$K$5:$K$304,$B52)</f>
        <v>0</v>
      </c>
      <c r="F52" s="119" t="str">
        <f t="shared" si="1"/>
        <v/>
      </c>
    </row>
    <row r="53" spans="2:6" x14ac:dyDescent="0.35">
      <c r="B53" s="27" t="str">
        <f>'Territory Factors'!B18</f>
        <v>Idaho</v>
      </c>
      <c r="C53" s="113">
        <f>COUNTIFS('Portfolio Register'!$K$5:$K$304,$B53)</f>
        <v>0</v>
      </c>
      <c r="D53" s="114">
        <f>SUMIFS('Portfolio Register'!$J$5:$J$304,'Portfolio Register'!$K$5:$K$304,$B53)</f>
        <v>0</v>
      </c>
      <c r="E53" s="114">
        <f>SUMIFS('Portfolio Register'!$CO$5:$CO$304,'Portfolio Register'!$K$5:$K$304,$B53)</f>
        <v>0</v>
      </c>
      <c r="F53" s="115" t="str">
        <f t="shared" si="1"/>
        <v/>
      </c>
    </row>
    <row r="54" spans="2:6" x14ac:dyDescent="0.35">
      <c r="B54" s="116" t="str">
        <f>'Territory Factors'!B19</f>
        <v>Illinois</v>
      </c>
      <c r="C54" s="117">
        <f>COUNTIFS('Portfolio Register'!$K$5:$K$304,$B54)</f>
        <v>0</v>
      </c>
      <c r="D54" s="118">
        <f>SUMIFS('Portfolio Register'!$J$5:$J$304,'Portfolio Register'!$K$5:$K$304,$B54)</f>
        <v>0</v>
      </c>
      <c r="E54" s="118">
        <f>SUMIFS('Portfolio Register'!$CO$5:$CO$304,'Portfolio Register'!$K$5:$K$304,$B54)</f>
        <v>0</v>
      </c>
      <c r="F54" s="119" t="str">
        <f t="shared" si="1"/>
        <v/>
      </c>
    </row>
    <row r="55" spans="2:6" x14ac:dyDescent="0.35">
      <c r="B55" s="27" t="str">
        <f>'Territory Factors'!B20</f>
        <v>Indiana</v>
      </c>
      <c r="C55" s="113">
        <f>COUNTIFS('Portfolio Register'!$K$5:$K$304,$B55)</f>
        <v>0</v>
      </c>
      <c r="D55" s="114">
        <f>SUMIFS('Portfolio Register'!$J$5:$J$304,'Portfolio Register'!$K$5:$K$304,$B55)</f>
        <v>0</v>
      </c>
      <c r="E55" s="114">
        <f>SUMIFS('Portfolio Register'!$CO$5:$CO$304,'Portfolio Register'!$K$5:$K$304,$B55)</f>
        <v>0</v>
      </c>
      <c r="F55" s="115" t="str">
        <f t="shared" si="1"/>
        <v/>
      </c>
    </row>
    <row r="56" spans="2:6" x14ac:dyDescent="0.35">
      <c r="B56" s="116" t="str">
        <f>'Territory Factors'!B21</f>
        <v>Iowa</v>
      </c>
      <c r="C56" s="117">
        <f>COUNTIFS('Portfolio Register'!$K$5:$K$304,$B56)</f>
        <v>0</v>
      </c>
      <c r="D56" s="118">
        <f>SUMIFS('Portfolio Register'!$J$5:$J$304,'Portfolio Register'!$K$5:$K$304,$B56)</f>
        <v>0</v>
      </c>
      <c r="E56" s="118">
        <f>SUMIFS('Portfolio Register'!$CO$5:$CO$304,'Portfolio Register'!$K$5:$K$304,$B56)</f>
        <v>0</v>
      </c>
      <c r="F56" s="119" t="str">
        <f t="shared" si="1"/>
        <v/>
      </c>
    </row>
    <row r="57" spans="2:6" x14ac:dyDescent="0.35">
      <c r="B57" s="27" t="str">
        <f>'Territory Factors'!B22</f>
        <v>Kansas</v>
      </c>
      <c r="C57" s="113">
        <f>COUNTIFS('Portfolio Register'!$K$5:$K$304,$B57)</f>
        <v>0</v>
      </c>
      <c r="D57" s="114">
        <f>SUMIFS('Portfolio Register'!$J$5:$J$304,'Portfolio Register'!$K$5:$K$304,$B57)</f>
        <v>0</v>
      </c>
      <c r="E57" s="114">
        <f>SUMIFS('Portfolio Register'!$CO$5:$CO$304,'Portfolio Register'!$K$5:$K$304,$B57)</f>
        <v>0</v>
      </c>
      <c r="F57" s="115" t="str">
        <f t="shared" si="1"/>
        <v/>
      </c>
    </row>
    <row r="58" spans="2:6" x14ac:dyDescent="0.35">
      <c r="B58" s="116" t="str">
        <f>'Territory Factors'!B23</f>
        <v>Kentucky</v>
      </c>
      <c r="C58" s="117">
        <f>COUNTIFS('Portfolio Register'!$K$5:$K$304,$B58)</f>
        <v>0</v>
      </c>
      <c r="D58" s="118">
        <f>SUMIFS('Portfolio Register'!$J$5:$J$304,'Portfolio Register'!$K$5:$K$304,$B58)</f>
        <v>0</v>
      </c>
      <c r="E58" s="118">
        <f>SUMIFS('Portfolio Register'!$CO$5:$CO$304,'Portfolio Register'!$K$5:$K$304,$B58)</f>
        <v>0</v>
      </c>
      <c r="F58" s="119" t="str">
        <f t="shared" si="1"/>
        <v/>
      </c>
    </row>
    <row r="59" spans="2:6" x14ac:dyDescent="0.35">
      <c r="B59" s="27" t="str">
        <f>'Territory Factors'!B24</f>
        <v>Louisiana</v>
      </c>
      <c r="C59" s="113">
        <f>COUNTIFS('Portfolio Register'!$K$5:$K$304,$B59)</f>
        <v>0</v>
      </c>
      <c r="D59" s="114">
        <f>SUMIFS('Portfolio Register'!$J$5:$J$304,'Portfolio Register'!$K$5:$K$304,$B59)</f>
        <v>0</v>
      </c>
      <c r="E59" s="114">
        <f>SUMIFS('Portfolio Register'!$CO$5:$CO$304,'Portfolio Register'!$K$5:$K$304,$B59)</f>
        <v>0</v>
      </c>
      <c r="F59" s="115" t="str">
        <f t="shared" si="1"/>
        <v/>
      </c>
    </row>
    <row r="60" spans="2:6" x14ac:dyDescent="0.35">
      <c r="B60" s="116" t="str">
        <f>'Territory Factors'!B25</f>
        <v>Maine</v>
      </c>
      <c r="C60" s="117">
        <f>COUNTIFS('Portfolio Register'!$K$5:$K$304,$B60)</f>
        <v>0</v>
      </c>
      <c r="D60" s="118">
        <f>SUMIFS('Portfolio Register'!$J$5:$J$304,'Portfolio Register'!$K$5:$K$304,$B60)</f>
        <v>0</v>
      </c>
      <c r="E60" s="118">
        <f>SUMIFS('Portfolio Register'!$CO$5:$CO$304,'Portfolio Register'!$K$5:$K$304,$B60)</f>
        <v>0</v>
      </c>
      <c r="F60" s="119" t="str">
        <f t="shared" si="1"/>
        <v/>
      </c>
    </row>
    <row r="61" spans="2:6" x14ac:dyDescent="0.35">
      <c r="B61" s="27" t="str">
        <f>'Territory Factors'!B26</f>
        <v>Maryland</v>
      </c>
      <c r="C61" s="113">
        <f>COUNTIFS('Portfolio Register'!$K$5:$K$304,$B61)</f>
        <v>0</v>
      </c>
      <c r="D61" s="114">
        <f>SUMIFS('Portfolio Register'!$J$5:$J$304,'Portfolio Register'!$K$5:$K$304,$B61)</f>
        <v>0</v>
      </c>
      <c r="E61" s="114">
        <f>SUMIFS('Portfolio Register'!$CO$5:$CO$304,'Portfolio Register'!$K$5:$K$304,$B61)</f>
        <v>0</v>
      </c>
      <c r="F61" s="115" t="str">
        <f t="shared" si="1"/>
        <v/>
      </c>
    </row>
    <row r="62" spans="2:6" x14ac:dyDescent="0.35">
      <c r="B62" s="116" t="str">
        <f>'Territory Factors'!B27</f>
        <v>Massachusetts</v>
      </c>
      <c r="C62" s="117">
        <f>COUNTIFS('Portfolio Register'!$K$5:$K$304,$B62)</f>
        <v>0</v>
      </c>
      <c r="D62" s="118">
        <f>SUMIFS('Portfolio Register'!$J$5:$J$304,'Portfolio Register'!$K$5:$K$304,$B62)</f>
        <v>0</v>
      </c>
      <c r="E62" s="118">
        <f>SUMIFS('Portfolio Register'!$CO$5:$CO$304,'Portfolio Register'!$K$5:$K$304,$B62)</f>
        <v>0</v>
      </c>
      <c r="F62" s="119" t="str">
        <f t="shared" si="1"/>
        <v/>
      </c>
    </row>
    <row r="63" spans="2:6" x14ac:dyDescent="0.35">
      <c r="B63" s="27" t="str">
        <f>'Territory Factors'!B28</f>
        <v>Michigan</v>
      </c>
      <c r="C63" s="113">
        <f>COUNTIFS('Portfolio Register'!$K$5:$K$304,$B63)</f>
        <v>0</v>
      </c>
      <c r="D63" s="114">
        <f>SUMIFS('Portfolio Register'!$J$5:$J$304,'Portfolio Register'!$K$5:$K$304,$B63)</f>
        <v>0</v>
      </c>
      <c r="E63" s="114">
        <f>SUMIFS('Portfolio Register'!$CO$5:$CO$304,'Portfolio Register'!$K$5:$K$304,$B63)</f>
        <v>0</v>
      </c>
      <c r="F63" s="115" t="str">
        <f t="shared" si="1"/>
        <v/>
      </c>
    </row>
    <row r="64" spans="2:6" x14ac:dyDescent="0.35">
      <c r="B64" s="116" t="str">
        <f>'Territory Factors'!B29</f>
        <v>Minnesota</v>
      </c>
      <c r="C64" s="117">
        <f>COUNTIFS('Portfolio Register'!$K$5:$K$304,$B64)</f>
        <v>0</v>
      </c>
      <c r="D64" s="118">
        <f>SUMIFS('Portfolio Register'!$J$5:$J$304,'Portfolio Register'!$K$5:$K$304,$B64)</f>
        <v>0</v>
      </c>
      <c r="E64" s="118">
        <f>SUMIFS('Portfolio Register'!$CO$5:$CO$304,'Portfolio Register'!$K$5:$K$304,$B64)</f>
        <v>0</v>
      </c>
      <c r="F64" s="119" t="str">
        <f t="shared" si="1"/>
        <v/>
      </c>
    </row>
    <row r="65" spans="2:6" x14ac:dyDescent="0.35">
      <c r="B65" s="27" t="str">
        <f>'Territory Factors'!B30</f>
        <v>Mississippi</v>
      </c>
      <c r="C65" s="113">
        <f>COUNTIFS('Portfolio Register'!$K$5:$K$304,$B65)</f>
        <v>0</v>
      </c>
      <c r="D65" s="114">
        <f>SUMIFS('Portfolio Register'!$J$5:$J$304,'Portfolio Register'!$K$5:$K$304,$B65)</f>
        <v>0</v>
      </c>
      <c r="E65" s="114">
        <f>SUMIFS('Portfolio Register'!$CO$5:$CO$304,'Portfolio Register'!$K$5:$K$304,$B65)</f>
        <v>0</v>
      </c>
      <c r="F65" s="115" t="str">
        <f t="shared" si="1"/>
        <v/>
      </c>
    </row>
    <row r="66" spans="2:6" x14ac:dyDescent="0.35">
      <c r="B66" s="116" t="str">
        <f>'Territory Factors'!B31</f>
        <v>Missouri</v>
      </c>
      <c r="C66" s="117">
        <f>COUNTIFS('Portfolio Register'!$K$5:$K$304,$B66)</f>
        <v>0</v>
      </c>
      <c r="D66" s="118">
        <f>SUMIFS('Portfolio Register'!$J$5:$J$304,'Portfolio Register'!$K$5:$K$304,$B66)</f>
        <v>0</v>
      </c>
      <c r="E66" s="118">
        <f>SUMIFS('Portfolio Register'!$CO$5:$CO$304,'Portfolio Register'!$K$5:$K$304,$B66)</f>
        <v>0</v>
      </c>
      <c r="F66" s="119" t="str">
        <f t="shared" si="1"/>
        <v/>
      </c>
    </row>
    <row r="67" spans="2:6" x14ac:dyDescent="0.35">
      <c r="B67" s="27" t="str">
        <f>'Territory Factors'!B32</f>
        <v>Montana</v>
      </c>
      <c r="C67" s="113">
        <f>COUNTIFS('Portfolio Register'!$K$5:$K$304,$B67)</f>
        <v>0</v>
      </c>
      <c r="D67" s="114">
        <f>SUMIFS('Portfolio Register'!$J$5:$J$304,'Portfolio Register'!$K$5:$K$304,$B67)</f>
        <v>0</v>
      </c>
      <c r="E67" s="114">
        <f>SUMIFS('Portfolio Register'!$CO$5:$CO$304,'Portfolio Register'!$K$5:$K$304,$B67)</f>
        <v>0</v>
      </c>
      <c r="F67" s="115" t="str">
        <f t="shared" si="1"/>
        <v/>
      </c>
    </row>
    <row r="68" spans="2:6" x14ac:dyDescent="0.35">
      <c r="B68" s="116" t="str">
        <f>'Territory Factors'!B33</f>
        <v>Nebraska</v>
      </c>
      <c r="C68" s="117">
        <f>COUNTIFS('Portfolio Register'!$K$5:$K$304,$B68)</f>
        <v>0</v>
      </c>
      <c r="D68" s="118">
        <f>SUMIFS('Portfolio Register'!$J$5:$J$304,'Portfolio Register'!$K$5:$K$304,$B68)</f>
        <v>0</v>
      </c>
      <c r="E68" s="118">
        <f>SUMIFS('Portfolio Register'!$CO$5:$CO$304,'Portfolio Register'!$K$5:$K$304,$B68)</f>
        <v>0</v>
      </c>
      <c r="F68" s="119" t="str">
        <f t="shared" si="1"/>
        <v/>
      </c>
    </row>
    <row r="69" spans="2:6" x14ac:dyDescent="0.35">
      <c r="B69" s="27" t="str">
        <f>'Territory Factors'!B34</f>
        <v>Nevada</v>
      </c>
      <c r="C69" s="113">
        <f>COUNTIFS('Portfolio Register'!$K$5:$K$304,$B69)</f>
        <v>1</v>
      </c>
      <c r="D69" s="114">
        <f>SUMIFS('Portfolio Register'!$J$5:$J$304,'Portfolio Register'!$K$5:$K$304,$B69)</f>
        <v>280000</v>
      </c>
      <c r="E69" s="114">
        <f>SUMIFS('Portfolio Register'!$CO$5:$CO$304,'Portfolio Register'!$K$5:$K$304,$B69)</f>
        <v>48615.655616379321</v>
      </c>
      <c r="F69" s="115">
        <f t="shared" si="1"/>
        <v>17.362734148706902</v>
      </c>
    </row>
    <row r="70" spans="2:6" x14ac:dyDescent="0.35">
      <c r="B70" s="116" t="str">
        <f>'Territory Factors'!B35</f>
        <v>New Hampshire</v>
      </c>
      <c r="C70" s="117">
        <f>COUNTIFS('Portfolio Register'!$K$5:$K$304,$B70)</f>
        <v>0</v>
      </c>
      <c r="D70" s="118">
        <f>SUMIFS('Portfolio Register'!$J$5:$J$304,'Portfolio Register'!$K$5:$K$304,$B70)</f>
        <v>0</v>
      </c>
      <c r="E70" s="118">
        <f>SUMIFS('Portfolio Register'!$CO$5:$CO$304,'Portfolio Register'!$K$5:$K$304,$B70)</f>
        <v>0</v>
      </c>
      <c r="F70" s="119" t="str">
        <f t="shared" si="1"/>
        <v/>
      </c>
    </row>
    <row r="71" spans="2:6" x14ac:dyDescent="0.35">
      <c r="B71" s="27" t="str">
        <f>'Territory Factors'!B36</f>
        <v>New Jersey</v>
      </c>
      <c r="C71" s="113">
        <f>COUNTIFS('Portfolio Register'!$K$5:$K$304,$B71)</f>
        <v>0</v>
      </c>
      <c r="D71" s="114">
        <f>SUMIFS('Portfolio Register'!$J$5:$J$304,'Portfolio Register'!$K$5:$K$304,$B71)</f>
        <v>0</v>
      </c>
      <c r="E71" s="114">
        <f>SUMIFS('Portfolio Register'!$CO$5:$CO$304,'Portfolio Register'!$K$5:$K$304,$B71)</f>
        <v>0</v>
      </c>
      <c r="F71" s="115" t="str">
        <f t="shared" si="1"/>
        <v/>
      </c>
    </row>
    <row r="72" spans="2:6" x14ac:dyDescent="0.35">
      <c r="B72" s="116" t="str">
        <f>'Territory Factors'!B37</f>
        <v>New Mexico</v>
      </c>
      <c r="C72" s="117">
        <f>COUNTIFS('Portfolio Register'!$K$5:$K$304,$B72)</f>
        <v>0</v>
      </c>
      <c r="D72" s="118">
        <f>SUMIFS('Portfolio Register'!$J$5:$J$304,'Portfolio Register'!$K$5:$K$304,$B72)</f>
        <v>0</v>
      </c>
      <c r="E72" s="118">
        <f>SUMIFS('Portfolio Register'!$CO$5:$CO$304,'Portfolio Register'!$K$5:$K$304,$B72)</f>
        <v>0</v>
      </c>
      <c r="F72" s="119" t="str">
        <f t="shared" si="1"/>
        <v/>
      </c>
    </row>
    <row r="73" spans="2:6" x14ac:dyDescent="0.35">
      <c r="B73" s="27" t="str">
        <f>'Territory Factors'!B38</f>
        <v>New York</v>
      </c>
      <c r="C73" s="113">
        <f>COUNTIFS('Portfolio Register'!$K$5:$K$304,$B73)</f>
        <v>0</v>
      </c>
      <c r="D73" s="114">
        <f>SUMIFS('Portfolio Register'!$J$5:$J$304,'Portfolio Register'!$K$5:$K$304,$B73)</f>
        <v>0</v>
      </c>
      <c r="E73" s="114">
        <f>SUMIFS('Portfolio Register'!$CO$5:$CO$304,'Portfolio Register'!$K$5:$K$304,$B73)</f>
        <v>0</v>
      </c>
      <c r="F73" s="115" t="str">
        <f t="shared" ref="F73:F104" si="2">IFERROR(E73/D73*100,"")</f>
        <v/>
      </c>
    </row>
    <row r="74" spans="2:6" x14ac:dyDescent="0.35">
      <c r="B74" s="116" t="str">
        <f>'Territory Factors'!B39</f>
        <v>North Carolina</v>
      </c>
      <c r="C74" s="117">
        <f>COUNTIFS('Portfolio Register'!$K$5:$K$304,$B74)</f>
        <v>0</v>
      </c>
      <c r="D74" s="118">
        <f>SUMIFS('Portfolio Register'!$J$5:$J$304,'Portfolio Register'!$K$5:$K$304,$B74)</f>
        <v>0</v>
      </c>
      <c r="E74" s="118">
        <f>SUMIFS('Portfolio Register'!$CO$5:$CO$304,'Portfolio Register'!$K$5:$K$304,$B74)</f>
        <v>0</v>
      </c>
      <c r="F74" s="119" t="str">
        <f t="shared" si="2"/>
        <v/>
      </c>
    </row>
    <row r="75" spans="2:6" x14ac:dyDescent="0.35">
      <c r="B75" s="27" t="str">
        <f>'Territory Factors'!B40</f>
        <v>North Dakota</v>
      </c>
      <c r="C75" s="113">
        <f>COUNTIFS('Portfolio Register'!$K$5:$K$304,$B75)</f>
        <v>0</v>
      </c>
      <c r="D75" s="114">
        <f>SUMIFS('Portfolio Register'!$J$5:$J$304,'Portfolio Register'!$K$5:$K$304,$B75)</f>
        <v>0</v>
      </c>
      <c r="E75" s="114">
        <f>SUMIFS('Portfolio Register'!$CO$5:$CO$304,'Portfolio Register'!$K$5:$K$304,$B75)</f>
        <v>0</v>
      </c>
      <c r="F75" s="115" t="str">
        <f t="shared" si="2"/>
        <v/>
      </c>
    </row>
    <row r="76" spans="2:6" x14ac:dyDescent="0.35">
      <c r="B76" s="116" t="str">
        <f>'Territory Factors'!B41</f>
        <v>Ohio</v>
      </c>
      <c r="C76" s="117">
        <f>COUNTIFS('Portfolio Register'!$K$5:$K$304,$B76)</f>
        <v>0</v>
      </c>
      <c r="D76" s="118">
        <f>SUMIFS('Portfolio Register'!$J$5:$J$304,'Portfolio Register'!$K$5:$K$304,$B76)</f>
        <v>0</v>
      </c>
      <c r="E76" s="118">
        <f>SUMIFS('Portfolio Register'!$CO$5:$CO$304,'Portfolio Register'!$K$5:$K$304,$B76)</f>
        <v>0</v>
      </c>
      <c r="F76" s="119" t="str">
        <f t="shared" si="2"/>
        <v/>
      </c>
    </row>
    <row r="77" spans="2:6" x14ac:dyDescent="0.35">
      <c r="B77" s="27" t="str">
        <f>'Territory Factors'!B42</f>
        <v>Oklahoma</v>
      </c>
      <c r="C77" s="113">
        <f>COUNTIFS('Portfolio Register'!$K$5:$K$304,$B77)</f>
        <v>0</v>
      </c>
      <c r="D77" s="114">
        <f>SUMIFS('Portfolio Register'!$J$5:$J$304,'Portfolio Register'!$K$5:$K$304,$B77)</f>
        <v>0</v>
      </c>
      <c r="E77" s="114">
        <f>SUMIFS('Portfolio Register'!$CO$5:$CO$304,'Portfolio Register'!$K$5:$K$304,$B77)</f>
        <v>0</v>
      </c>
      <c r="F77" s="115" t="str">
        <f t="shared" si="2"/>
        <v/>
      </c>
    </row>
    <row r="78" spans="2:6" x14ac:dyDescent="0.35">
      <c r="B78" s="116" t="str">
        <f>'Territory Factors'!B43</f>
        <v>Oregon</v>
      </c>
      <c r="C78" s="117">
        <f>COUNTIFS('Portfolio Register'!$K$5:$K$304,$B78)</f>
        <v>0</v>
      </c>
      <c r="D78" s="118">
        <f>SUMIFS('Portfolio Register'!$J$5:$J$304,'Portfolio Register'!$K$5:$K$304,$B78)</f>
        <v>0</v>
      </c>
      <c r="E78" s="118">
        <f>SUMIFS('Portfolio Register'!$CO$5:$CO$304,'Portfolio Register'!$K$5:$K$304,$B78)</f>
        <v>0</v>
      </c>
      <c r="F78" s="119" t="str">
        <f t="shared" si="2"/>
        <v/>
      </c>
    </row>
    <row r="79" spans="2:6" x14ac:dyDescent="0.35">
      <c r="B79" s="27" t="str">
        <f>'Territory Factors'!B44</f>
        <v>Pennsylvania</v>
      </c>
      <c r="C79" s="113">
        <f>COUNTIFS('Portfolio Register'!$K$5:$K$304,$B79)</f>
        <v>0</v>
      </c>
      <c r="D79" s="114">
        <f>SUMIFS('Portfolio Register'!$J$5:$J$304,'Portfolio Register'!$K$5:$K$304,$B79)</f>
        <v>0</v>
      </c>
      <c r="E79" s="114">
        <f>SUMIFS('Portfolio Register'!$CO$5:$CO$304,'Portfolio Register'!$K$5:$K$304,$B79)</f>
        <v>0</v>
      </c>
      <c r="F79" s="115" t="str">
        <f t="shared" si="2"/>
        <v/>
      </c>
    </row>
    <row r="80" spans="2:6" x14ac:dyDescent="0.35">
      <c r="B80" s="116" t="str">
        <f>'Territory Factors'!B45</f>
        <v>Rhode Island</v>
      </c>
      <c r="C80" s="117">
        <f>COUNTIFS('Portfolio Register'!$K$5:$K$304,$B80)</f>
        <v>1</v>
      </c>
      <c r="D80" s="118">
        <f>SUMIFS('Portfolio Register'!$J$5:$J$304,'Portfolio Register'!$K$5:$K$304,$B80)</f>
        <v>185000</v>
      </c>
      <c r="E80" s="118">
        <f>SUMIFS('Portfolio Register'!$CO$5:$CO$304,'Portfolio Register'!$K$5:$K$304,$B80)</f>
        <v>2932.4812355713316</v>
      </c>
      <c r="F80" s="119">
        <f t="shared" si="2"/>
        <v>1.5851249922007198</v>
      </c>
    </row>
    <row r="81" spans="2:8" x14ac:dyDescent="0.35">
      <c r="B81" s="27" t="str">
        <f>'Territory Factors'!B46</f>
        <v>South Carolina</v>
      </c>
      <c r="C81" s="113">
        <f>COUNTIFS('Portfolio Register'!$K$5:$K$304,$B81)</f>
        <v>0</v>
      </c>
      <c r="D81" s="114">
        <f>SUMIFS('Portfolio Register'!$J$5:$J$304,'Portfolio Register'!$K$5:$K$304,$B81)</f>
        <v>0</v>
      </c>
      <c r="E81" s="114">
        <f>SUMIFS('Portfolio Register'!$CO$5:$CO$304,'Portfolio Register'!$K$5:$K$304,$B81)</f>
        <v>0</v>
      </c>
      <c r="F81" s="115" t="str">
        <f t="shared" si="2"/>
        <v/>
      </c>
    </row>
    <row r="82" spans="2:8" x14ac:dyDescent="0.35">
      <c r="B82" s="116" t="str">
        <f>'Territory Factors'!B47</f>
        <v>South Dakota</v>
      </c>
      <c r="C82" s="117">
        <f>COUNTIFS('Portfolio Register'!$K$5:$K$304,$B82)</f>
        <v>0</v>
      </c>
      <c r="D82" s="118">
        <f>SUMIFS('Portfolio Register'!$J$5:$J$304,'Portfolio Register'!$K$5:$K$304,$B82)</f>
        <v>0</v>
      </c>
      <c r="E82" s="118">
        <f>SUMIFS('Portfolio Register'!$CO$5:$CO$304,'Portfolio Register'!$K$5:$K$304,$B82)</f>
        <v>0</v>
      </c>
      <c r="F82" s="119" t="str">
        <f t="shared" si="2"/>
        <v/>
      </c>
    </row>
    <row r="83" spans="2:8" x14ac:dyDescent="0.35">
      <c r="B83" s="27" t="str">
        <f>'Territory Factors'!B48</f>
        <v>Tennessee</v>
      </c>
      <c r="C83" s="113">
        <f>COUNTIFS('Portfolio Register'!$K$5:$K$304,$B83)</f>
        <v>0</v>
      </c>
      <c r="D83" s="114">
        <f>SUMIFS('Portfolio Register'!$J$5:$J$304,'Portfolio Register'!$K$5:$K$304,$B83)</f>
        <v>0</v>
      </c>
      <c r="E83" s="114">
        <f>SUMIFS('Portfolio Register'!$CO$5:$CO$304,'Portfolio Register'!$K$5:$K$304,$B83)</f>
        <v>0</v>
      </c>
      <c r="F83" s="115" t="str">
        <f t="shared" si="2"/>
        <v/>
      </c>
    </row>
    <row r="84" spans="2:8" x14ac:dyDescent="0.35">
      <c r="B84" s="116" t="str">
        <f>'Territory Factors'!B49</f>
        <v>Texas</v>
      </c>
      <c r="C84" s="117">
        <f>COUNTIFS('Portfolio Register'!$K$5:$K$304,$B84)</f>
        <v>0</v>
      </c>
      <c r="D84" s="118">
        <f>SUMIFS('Portfolio Register'!$J$5:$J$304,'Portfolio Register'!$K$5:$K$304,$B84)</f>
        <v>0</v>
      </c>
      <c r="E84" s="118">
        <f>SUMIFS('Portfolio Register'!$CO$5:$CO$304,'Portfolio Register'!$K$5:$K$304,$B84)</f>
        <v>0</v>
      </c>
      <c r="F84" s="119" t="str">
        <f t="shared" si="2"/>
        <v/>
      </c>
    </row>
    <row r="85" spans="2:8" x14ac:dyDescent="0.35">
      <c r="B85" s="27" t="str">
        <f>'Territory Factors'!B50</f>
        <v>Utah</v>
      </c>
      <c r="C85" s="113">
        <f>COUNTIFS('Portfolio Register'!$K$5:$K$304,$B85)</f>
        <v>0</v>
      </c>
      <c r="D85" s="114">
        <f>SUMIFS('Portfolio Register'!$J$5:$J$304,'Portfolio Register'!$K$5:$K$304,$B85)</f>
        <v>0</v>
      </c>
      <c r="E85" s="114">
        <f>SUMIFS('Portfolio Register'!$CO$5:$CO$304,'Portfolio Register'!$K$5:$K$304,$B85)</f>
        <v>0</v>
      </c>
      <c r="F85" s="115" t="str">
        <f t="shared" si="2"/>
        <v/>
      </c>
    </row>
    <row r="86" spans="2:8" x14ac:dyDescent="0.35">
      <c r="B86" s="116" t="str">
        <f>'Territory Factors'!B51</f>
        <v>Vermont</v>
      </c>
      <c r="C86" s="117">
        <f>COUNTIFS('Portfolio Register'!$K$5:$K$304,$B86)</f>
        <v>0</v>
      </c>
      <c r="D86" s="118">
        <f>SUMIFS('Portfolio Register'!$J$5:$J$304,'Portfolio Register'!$K$5:$K$304,$B86)</f>
        <v>0</v>
      </c>
      <c r="E86" s="118">
        <f>SUMIFS('Portfolio Register'!$CO$5:$CO$304,'Portfolio Register'!$K$5:$K$304,$B86)</f>
        <v>0</v>
      </c>
      <c r="F86" s="119" t="str">
        <f t="shared" si="2"/>
        <v/>
      </c>
    </row>
    <row r="87" spans="2:8" x14ac:dyDescent="0.35">
      <c r="B87" s="27" t="str">
        <f>'Territory Factors'!B52</f>
        <v>Virginia</v>
      </c>
      <c r="C87" s="113">
        <f>COUNTIFS('Portfolio Register'!$K$5:$K$304,$B87)</f>
        <v>0</v>
      </c>
      <c r="D87" s="114">
        <f>SUMIFS('Portfolio Register'!$J$5:$J$304,'Portfolio Register'!$K$5:$K$304,$B87)</f>
        <v>0</v>
      </c>
      <c r="E87" s="114">
        <f>SUMIFS('Portfolio Register'!$CO$5:$CO$304,'Portfolio Register'!$K$5:$K$304,$B87)</f>
        <v>0</v>
      </c>
      <c r="F87" s="115" t="str">
        <f t="shared" si="2"/>
        <v/>
      </c>
    </row>
    <row r="88" spans="2:8" x14ac:dyDescent="0.35">
      <c r="B88" s="116" t="str">
        <f>'Territory Factors'!B53</f>
        <v>Washington</v>
      </c>
      <c r="C88" s="117">
        <f>COUNTIFS('Portfolio Register'!$K$5:$K$304,$B88)</f>
        <v>0</v>
      </c>
      <c r="D88" s="118">
        <f>SUMIFS('Portfolio Register'!$J$5:$J$304,'Portfolio Register'!$K$5:$K$304,$B88)</f>
        <v>0</v>
      </c>
      <c r="E88" s="118">
        <f>SUMIFS('Portfolio Register'!$CO$5:$CO$304,'Portfolio Register'!$K$5:$K$304,$B88)</f>
        <v>0</v>
      </c>
      <c r="F88" s="119" t="str">
        <f t="shared" si="2"/>
        <v/>
      </c>
    </row>
    <row r="89" spans="2:8" x14ac:dyDescent="0.35">
      <c r="B89" s="27" t="str">
        <f>'Territory Factors'!B54</f>
        <v>West Virginia</v>
      </c>
      <c r="C89" s="113">
        <f>COUNTIFS('Portfolio Register'!$K$5:$K$304,$B89)</f>
        <v>0</v>
      </c>
      <c r="D89" s="114">
        <f>SUMIFS('Portfolio Register'!$J$5:$J$304,'Portfolio Register'!$K$5:$K$304,$B89)</f>
        <v>0</v>
      </c>
      <c r="E89" s="114">
        <f>SUMIFS('Portfolio Register'!$CO$5:$CO$304,'Portfolio Register'!$K$5:$K$304,$B89)</f>
        <v>0</v>
      </c>
      <c r="F89" s="115" t="str">
        <f t="shared" si="2"/>
        <v/>
      </c>
    </row>
    <row r="90" spans="2:8" x14ac:dyDescent="0.35">
      <c r="B90" s="116" t="str">
        <f>'Territory Factors'!B55</f>
        <v>Wisconsin</v>
      </c>
      <c r="C90" s="117">
        <f>COUNTIFS('Portfolio Register'!$K$5:$K$304,$B90)</f>
        <v>0</v>
      </c>
      <c r="D90" s="118">
        <f>SUMIFS('Portfolio Register'!$J$5:$J$304,'Portfolio Register'!$K$5:$K$304,$B90)</f>
        <v>0</v>
      </c>
      <c r="E90" s="118">
        <f>SUMIFS('Portfolio Register'!$CO$5:$CO$304,'Portfolio Register'!$K$5:$K$304,$B90)</f>
        <v>0</v>
      </c>
      <c r="F90" s="119" t="str">
        <f t="shared" si="2"/>
        <v/>
      </c>
    </row>
    <row r="91" spans="2:8" x14ac:dyDescent="0.35">
      <c r="B91" s="27" t="str">
        <f>'Territory Factors'!B56</f>
        <v>Wyoming</v>
      </c>
      <c r="C91" s="113">
        <f>COUNTIFS('Portfolio Register'!$K$5:$K$304,$B91)</f>
        <v>0</v>
      </c>
      <c r="D91" s="114">
        <f>SUMIFS('Portfolio Register'!$J$5:$J$304,'Portfolio Register'!$K$5:$K$304,$B91)</f>
        <v>0</v>
      </c>
      <c r="E91" s="114">
        <f>SUMIFS('Portfolio Register'!$CO$5:$CO$304,'Portfolio Register'!$K$5:$K$304,$B91)</f>
        <v>0</v>
      </c>
      <c r="F91" s="115" t="str">
        <f t="shared" si="2"/>
        <v/>
      </c>
    </row>
    <row r="94" spans="2:8" ht="18" customHeight="1" x14ac:dyDescent="0.35">
      <c r="B94" s="12" t="s">
        <v>608</v>
      </c>
      <c r="C94" s="12"/>
      <c r="D94" s="12"/>
      <c r="E94" s="12"/>
      <c r="F94" s="12"/>
      <c r="G94" s="12"/>
      <c r="H94" s="12"/>
    </row>
    <row r="95" spans="2:8" ht="27.75" customHeight="1" x14ac:dyDescent="0.35">
      <c r="B95" s="112" t="s">
        <v>609</v>
      </c>
      <c r="C95" s="112" t="s">
        <v>610</v>
      </c>
      <c r="D95" s="112" t="s">
        <v>611</v>
      </c>
      <c r="E95" s="112" t="s">
        <v>612</v>
      </c>
    </row>
    <row r="96" spans="2:8" x14ac:dyDescent="0.35">
      <c r="B96" s="27" t="str">
        <f>'Natural Catastrophe'!B6</f>
        <v>Tier 1 - Coastal wind / surge (0-1 mile, FEMA V or Coastal A)</v>
      </c>
      <c r="C96" s="113">
        <f>COUNTIFS('Portfolio Register'!$AS$5:$AS$304,$B96)</f>
        <v>1</v>
      </c>
      <c r="D96" s="114">
        <f>SUMIFS('Portfolio Register'!$J$5:$J$304,'Portfolio Register'!$AS$5:$AS$304,$B96)</f>
        <v>425000</v>
      </c>
      <c r="E96" s="114">
        <f>SUMIFS('Portfolio Register'!$CO$5:$CO$304,'Portfolio Register'!$AS$5:$AS$304,$B96)</f>
        <v>23977.501341598858</v>
      </c>
    </row>
    <row r="97" spans="2:8" x14ac:dyDescent="0.35">
      <c r="B97" s="116" t="str">
        <f>'Natural Catastrophe'!B7</f>
        <v>Tier 2 - Coastal wind (1-25 miles)</v>
      </c>
      <c r="C97" s="117">
        <f>COUNTIFS('Portfolio Register'!$AS$5:$AS$304,$B97)</f>
        <v>1</v>
      </c>
      <c r="D97" s="118">
        <f>SUMIFS('Portfolio Register'!$J$5:$J$304,'Portfolio Register'!$AS$5:$AS$304,$B97)</f>
        <v>185000</v>
      </c>
      <c r="E97" s="118">
        <f>SUMIFS('Portfolio Register'!$CO$5:$CO$304,'Portfolio Register'!$AS$5:$AS$304,$B97)</f>
        <v>2932.4812355713316</v>
      </c>
    </row>
    <row r="98" spans="2:8" x14ac:dyDescent="0.35">
      <c r="B98" s="27" t="str">
        <f>'Natural Catastrophe'!B8</f>
        <v>Tier 3 - Coastal wind (25-100 miles)</v>
      </c>
      <c r="C98" s="113">
        <f>COUNTIFS('Portfolio Register'!$AS$5:$AS$304,$B98)</f>
        <v>0</v>
      </c>
      <c r="D98" s="114">
        <f>SUMIFS('Portfolio Register'!$J$5:$J$304,'Portfolio Register'!$AS$5:$AS$304,$B98)</f>
        <v>0</v>
      </c>
      <c r="E98" s="114">
        <f>SUMIFS('Portfolio Register'!$CO$5:$CO$304,'Portfolio Register'!$AS$5:$AS$304,$B98)</f>
        <v>0</v>
      </c>
    </row>
    <row r="99" spans="2:8" x14ac:dyDescent="0.35">
      <c r="B99" s="116" t="str">
        <f>'Natural Catastrophe'!B9</f>
        <v>Inland - hurricane remnant only (100+ miles)</v>
      </c>
      <c r="C99" s="117">
        <f>COUNTIFS('Portfolio Register'!$AS$5:$AS$304,$B99)</f>
        <v>0</v>
      </c>
      <c r="D99" s="118">
        <f>SUMIFS('Portfolio Register'!$J$5:$J$304,'Portfolio Register'!$AS$5:$AS$304,$B99)</f>
        <v>0</v>
      </c>
      <c r="E99" s="118">
        <f>SUMIFS('Portfolio Register'!$CO$5:$CO$304,'Portfolio Register'!$AS$5:$AS$304,$B99)</f>
        <v>0</v>
      </c>
    </row>
    <row r="100" spans="2:8" x14ac:dyDescent="0.35">
      <c r="B100" s="27" t="str">
        <f>'Natural Catastrophe'!B10</f>
        <v>Severe convective - hail alley (high)</v>
      </c>
      <c r="C100" s="113">
        <f>COUNTIFS('Portfolio Register'!$AS$5:$AS$304,$B100)</f>
        <v>0</v>
      </c>
      <c r="D100" s="114">
        <f>SUMIFS('Portfolio Register'!$J$5:$J$304,'Portfolio Register'!$AS$5:$AS$304,$B100)</f>
        <v>0</v>
      </c>
      <c r="E100" s="114">
        <f>SUMIFS('Portfolio Register'!$CO$5:$CO$304,'Portfolio Register'!$AS$5:$AS$304,$B100)</f>
        <v>0</v>
      </c>
    </row>
    <row r="101" spans="2:8" x14ac:dyDescent="0.35">
      <c r="B101" s="116" t="str">
        <f>'Natural Catastrophe'!B11</f>
        <v>Severe convective - hail / tornado (moderate)</v>
      </c>
      <c r="C101" s="117">
        <f>COUNTIFS('Portfolio Register'!$AS$5:$AS$304,$B101)</f>
        <v>2</v>
      </c>
      <c r="D101" s="118">
        <f>SUMIFS('Portfolio Register'!$J$5:$J$304,'Portfolio Register'!$AS$5:$AS$304,$B101)</f>
        <v>5050000</v>
      </c>
      <c r="E101" s="118">
        <f>SUMIFS('Portfolio Register'!$CO$5:$CO$304,'Portfolio Register'!$AS$5:$AS$304,$B101)</f>
        <v>52050.733695478273</v>
      </c>
    </row>
    <row r="102" spans="2:8" x14ac:dyDescent="0.35">
      <c r="B102" s="27" t="str">
        <f>'Natural Catastrophe'!B12</f>
        <v>Wildfire - WUI high hazard</v>
      </c>
      <c r="C102" s="113">
        <f>COUNTIFS('Portfolio Register'!$AS$5:$AS$304,$B102)</f>
        <v>1</v>
      </c>
      <c r="D102" s="114">
        <f>SUMIFS('Portfolio Register'!$J$5:$J$304,'Portfolio Register'!$AS$5:$AS$304,$B102)</f>
        <v>2200000</v>
      </c>
      <c r="E102" s="114">
        <f>SUMIFS('Portfolio Register'!$CO$5:$CO$304,'Portfolio Register'!$AS$5:$AS$304,$B102)</f>
        <v>76861.635644163209</v>
      </c>
    </row>
    <row r="103" spans="2:8" x14ac:dyDescent="0.35">
      <c r="B103" s="116" t="str">
        <f>'Natural Catastrophe'!B13</f>
        <v>Wildfire - moderate hazard</v>
      </c>
      <c r="C103" s="117">
        <f>COUNTIFS('Portfolio Register'!$AS$5:$AS$304,$B103)</f>
        <v>0</v>
      </c>
      <c r="D103" s="118">
        <f>SUMIFS('Portfolio Register'!$J$5:$J$304,'Portfolio Register'!$AS$5:$AS$304,$B103)</f>
        <v>0</v>
      </c>
      <c r="E103" s="118">
        <f>SUMIFS('Portfolio Register'!$CO$5:$CO$304,'Portfolio Register'!$AS$5:$AS$304,$B103)</f>
        <v>0</v>
      </c>
    </row>
    <row r="104" spans="2:8" x14ac:dyDescent="0.35">
      <c r="B104" s="27" t="str">
        <f>'Natural Catastrophe'!B14</f>
        <v>Earthquake - high (CA, Cascadia, New Madrid)</v>
      </c>
      <c r="C104" s="113">
        <f>COUNTIFS('Portfolio Register'!$AS$5:$AS$304,$B104)</f>
        <v>0</v>
      </c>
      <c r="D104" s="114">
        <f>SUMIFS('Portfolio Register'!$J$5:$J$304,'Portfolio Register'!$AS$5:$AS$304,$B104)</f>
        <v>0</v>
      </c>
      <c r="E104" s="114">
        <f>SUMIFS('Portfolio Register'!$CO$5:$CO$304,'Portfolio Register'!$AS$5:$AS$304,$B104)</f>
        <v>0</v>
      </c>
    </row>
    <row r="105" spans="2:8" x14ac:dyDescent="0.35">
      <c r="B105" s="116" t="str">
        <f>'Natural Catastrophe'!B15</f>
        <v>Flood - FEMA SFHA (zone A / AE / V)</v>
      </c>
      <c r="C105" s="117">
        <f>COUNTIFS('Portfolio Register'!$AS$5:$AS$304,$B105)</f>
        <v>0</v>
      </c>
      <c r="D105" s="118">
        <f>SUMIFS('Portfolio Register'!$J$5:$J$304,'Portfolio Register'!$AS$5:$AS$304,$B105)</f>
        <v>0</v>
      </c>
      <c r="E105" s="118">
        <f>SUMIFS('Portfolio Register'!$CO$5:$CO$304,'Portfolio Register'!$AS$5:$AS$304,$B105)</f>
        <v>0</v>
      </c>
    </row>
    <row r="106" spans="2:8" x14ac:dyDescent="0.35">
      <c r="B106" s="27" t="str">
        <f>'Natural Catastrophe'!B16</f>
        <v>Winter freeze / ice / severe road salt</v>
      </c>
      <c r="C106" s="113">
        <f>COUNTIFS('Portfolio Register'!$AS$5:$AS$304,$B106)</f>
        <v>0</v>
      </c>
      <c r="D106" s="114">
        <f>SUMIFS('Portfolio Register'!$J$5:$J$304,'Portfolio Register'!$AS$5:$AS$304,$B106)</f>
        <v>0</v>
      </c>
      <c r="E106" s="114">
        <f>SUMIFS('Portfolio Register'!$CO$5:$CO$304,'Portfolio Register'!$AS$5:$AS$304,$B106)</f>
        <v>0</v>
      </c>
    </row>
    <row r="107" spans="2:8" x14ac:dyDescent="0.35">
      <c r="B107" s="116" t="str">
        <f>'Natural Catastrophe'!B17</f>
        <v>Low hazard - inland benign</v>
      </c>
      <c r="C107" s="117">
        <f>COUNTIFS('Portfolio Register'!$AS$5:$AS$304,$B107)</f>
        <v>1</v>
      </c>
      <c r="D107" s="118">
        <f>SUMIFS('Portfolio Register'!$J$5:$J$304,'Portfolio Register'!$AS$5:$AS$304,$B107)</f>
        <v>280000</v>
      </c>
      <c r="E107" s="118">
        <f>SUMIFS('Portfolio Register'!$CO$5:$CO$304,'Portfolio Register'!$AS$5:$AS$304,$B107)</f>
        <v>48615.655616379321</v>
      </c>
    </row>
    <row r="109" spans="2:8" ht="15" customHeight="1" x14ac:dyDescent="0.35">
      <c r="B109" s="7" t="s">
        <v>613</v>
      </c>
      <c r="C109" s="7"/>
      <c r="D109" s="7"/>
      <c r="E109" s="7"/>
      <c r="F109" s="7"/>
      <c r="G109" s="7"/>
      <c r="H109" s="7"/>
    </row>
    <row r="110" spans="2:8" x14ac:dyDescent="0.35">
      <c r="B110" s="7"/>
      <c r="C110" s="7"/>
      <c r="D110" s="7"/>
      <c r="E110" s="7"/>
      <c r="F110" s="7"/>
      <c r="G110" s="7"/>
      <c r="H110" s="7"/>
    </row>
    <row r="111" spans="2:8" x14ac:dyDescent="0.35">
      <c r="B111" s="7"/>
      <c r="C111" s="7"/>
      <c r="D111" s="7"/>
      <c r="E111" s="7"/>
      <c r="F111" s="7"/>
      <c r="G111" s="7"/>
      <c r="H111" s="7"/>
    </row>
    <row r="112" spans="2:8" ht="18" customHeight="1" x14ac:dyDescent="0.35">
      <c r="B112" s="12" t="s">
        <v>614</v>
      </c>
      <c r="C112" s="12"/>
      <c r="D112" s="12"/>
      <c r="E112" s="12"/>
      <c r="F112" s="12"/>
      <c r="G112" s="12"/>
      <c r="H112" s="12"/>
    </row>
    <row r="113" spans="2:8" ht="27.75" customHeight="1" x14ac:dyDescent="0.35">
      <c r="B113" s="112" t="s">
        <v>488</v>
      </c>
      <c r="C113" s="112" t="s">
        <v>610</v>
      </c>
      <c r="D113" s="112" t="s">
        <v>615</v>
      </c>
      <c r="E113" s="112" t="s">
        <v>616</v>
      </c>
      <c r="F113" s="112" t="s">
        <v>617</v>
      </c>
      <c r="G113" s="112" t="s">
        <v>602</v>
      </c>
      <c r="H113" s="112" t="s">
        <v>618</v>
      </c>
    </row>
    <row r="114" spans="2:8" x14ac:dyDescent="0.35">
      <c r="B114" s="20" t="s">
        <v>619</v>
      </c>
      <c r="C114" s="113">
        <f>COUNTIFS('Portfolio Register'!$CZ$5:$CZ$304,$B114)</f>
        <v>2</v>
      </c>
      <c r="D114" s="120">
        <f>IFERROR(C114/$C$5,0)</f>
        <v>0.33333333333333331</v>
      </c>
      <c r="E114" s="114">
        <f>SUMIFS('Portfolio Register'!$CO$5:$CO$304,'Portfolio Register'!$CZ$5:$CZ$304,$B114)</f>
        <v>125477.29126054252</v>
      </c>
      <c r="F114" s="120">
        <f>IFERROR(E114/$C$8,0)</f>
        <v>0.61376694468209869</v>
      </c>
      <c r="G114" s="114">
        <f>SUMIFS('Portfolio Register'!$CM$5:$CM$304,'Portfolio Register'!$CZ$5:$CZ$304,$B114)</f>
        <v>117397.60831669075</v>
      </c>
      <c r="H114" s="114">
        <f>E114-G114</f>
        <v>8079.6829438517743</v>
      </c>
    </row>
    <row r="115" spans="2:8" x14ac:dyDescent="0.35">
      <c r="B115" s="121" t="s">
        <v>620</v>
      </c>
      <c r="C115" s="117">
        <f>COUNTIFS('Portfolio Register'!$CZ$5:$CZ$304,$B115)</f>
        <v>2</v>
      </c>
      <c r="D115" s="122">
        <f>IFERROR(C115/$C$5,0)</f>
        <v>0.33333333333333331</v>
      </c>
      <c r="E115" s="118">
        <f>SUMIFS('Portfolio Register'!$CO$5:$CO$304,'Portfolio Register'!$CZ$5:$CZ$304,$B115)</f>
        <v>67305.421329075878</v>
      </c>
      <c r="F115" s="122">
        <f>IFERROR(E115/$C$8,0)</f>
        <v>0.32922166548775761</v>
      </c>
      <c r="G115" s="118">
        <f>SUMIFS('Portfolio Register'!$CM$5:$CM$304,'Portfolio Register'!$CZ$5:$CZ$304,$B115)</f>
        <v>67305.421329075878</v>
      </c>
      <c r="H115" s="118">
        <f>E115-G115</f>
        <v>0</v>
      </c>
    </row>
    <row r="116" spans="2:8" x14ac:dyDescent="0.35">
      <c r="B116" s="123" t="s">
        <v>621</v>
      </c>
      <c r="C116" s="113">
        <f>COUNTIFS('Portfolio Register'!$CZ$5:$CZ$304,$B116)</f>
        <v>2</v>
      </c>
      <c r="D116" s="120">
        <f>IFERROR(C116/$C$5,0)</f>
        <v>0.33333333333333331</v>
      </c>
      <c r="E116" s="114">
        <f>SUMIFS('Portfolio Register'!$CO$5:$CO$304,'Portfolio Register'!$CZ$5:$CZ$304,$B116)</f>
        <v>11655.294943572579</v>
      </c>
      <c r="F116" s="120">
        <f>IFERROR(E116/$C$8,0)</f>
        <v>5.7011389830143561E-2</v>
      </c>
      <c r="G116" s="114">
        <f>SUMIFS('Portfolio Register'!$CM$5:$CM$304,'Portfolio Register'!$CZ$5:$CZ$304,$B116)</f>
        <v>12813.684288249411</v>
      </c>
      <c r="H116" s="114">
        <f>E116-G116</f>
        <v>-1158.3893446768325</v>
      </c>
    </row>
    <row r="117" spans="2:8" x14ac:dyDescent="0.35">
      <c r="B117" s="121" t="s">
        <v>622</v>
      </c>
      <c r="C117" s="117">
        <f>COUNTIFS('Portfolio Register'!$CZ$5:$CZ$304,$B117)</f>
        <v>0</v>
      </c>
      <c r="D117" s="122">
        <f>IFERROR(C117/$C$5,0)</f>
        <v>0</v>
      </c>
      <c r="E117" s="118">
        <f>SUMIFS('Portfolio Register'!$CO$5:$CO$304,'Portfolio Register'!$CZ$5:$CZ$304,$B117)</f>
        <v>0</v>
      </c>
      <c r="F117" s="122">
        <f>IFERROR(E117/$C$8,0)</f>
        <v>0</v>
      </c>
      <c r="G117" s="118">
        <f>SUMIFS('Portfolio Register'!$CM$5:$CM$304,'Portfolio Register'!$CZ$5:$CZ$304,$B117)</f>
        <v>0</v>
      </c>
      <c r="H117" s="118">
        <f>E117-G117</f>
        <v>0</v>
      </c>
    </row>
    <row r="119" spans="2:8" x14ac:dyDescent="0.35">
      <c r="B119" s="32" t="s">
        <v>623</v>
      </c>
      <c r="C119" s="124">
        <f>IFERROR($C$8/$C$7-1,0)</f>
        <v>3.5041559072753525E-2</v>
      </c>
    </row>
    <row r="120" spans="2:8" x14ac:dyDescent="0.35">
      <c r="B120" s="36" t="s">
        <v>624</v>
      </c>
      <c r="C120" s="60">
        <f>SUMIF('Portfolio Register'!$CZ$5:$CZ$304,"Above technical",'Portfolio Register'!$CO$5:$CO$304)-SUMIF('Portfolio Register'!$CZ$5:$CZ$304,"Above technical",'Portfolio Register'!$CM$5:$CM$304)</f>
        <v>8079.6829438517743</v>
      </c>
    </row>
    <row r="121" spans="2:8" x14ac:dyDescent="0.35">
      <c r="B121" s="36" t="s">
        <v>625</v>
      </c>
      <c r="C121" s="60">
        <f>SUMIF('Portfolio Register'!$CZ$5:$CZ$304,"BELOW technical",'Portfolio Register'!$CO$5:$CO$304)-SUMIF('Portfolio Register'!$CZ$5:$CZ$304,"BELOW technical",'Portfolio Register'!$CM$5:$CM$304)</f>
        <v>-1158.3893446768325</v>
      </c>
    </row>
    <row r="122" spans="2:8" x14ac:dyDescent="0.35">
      <c r="B122" s="32" t="s">
        <v>626</v>
      </c>
      <c r="C122" s="78">
        <f>$C$8-$C$7</f>
        <v>6921.2935991749691</v>
      </c>
    </row>
    <row r="123" spans="2:8" x14ac:dyDescent="0.35">
      <c r="B123" s="36" t="s">
        <v>627</v>
      </c>
      <c r="C123" s="125">
        <f>IFERROR(MIN('Portfolio Register'!$CY$5:$CY$304),0)</f>
        <v>-0.12000000000000011</v>
      </c>
    </row>
    <row r="124" spans="2:8" x14ac:dyDescent="0.35">
      <c r="B124" s="36" t="s">
        <v>628</v>
      </c>
      <c r="C124" s="125">
        <f>IFERROR(MAX('Portfolio Register'!$CY$5:$CY$304),0)</f>
        <v>0.10000000000000009</v>
      </c>
    </row>
    <row r="125" spans="2:8" x14ac:dyDescent="0.35">
      <c r="B125" s="36" t="s">
        <v>629</v>
      </c>
      <c r="C125" s="125">
        <f>'Technical Premium'!$C$19</f>
        <v>-0.15</v>
      </c>
    </row>
    <row r="126" spans="2:8" x14ac:dyDescent="0.35">
      <c r="B126" s="32" t="s">
        <v>630</v>
      </c>
      <c r="C126" s="126">
        <f>COUNTIF('Portfolio Register'!$CY$5:$CY$304,"&lt;"&amp;'Technical Premium'!$C$19)</f>
        <v>0</v>
      </c>
    </row>
    <row r="127" spans="2:8" x14ac:dyDescent="0.35">
      <c r="B127" s="36" t="s">
        <v>631</v>
      </c>
      <c r="C127" s="60">
        <f>SUMIF('Portfolio Register'!$CZ$5:$CZ$304,"BEYOND AUTHORITY",'Portfolio Register'!$CO$5:$CO$304)</f>
        <v>0</v>
      </c>
    </row>
    <row r="130" spans="2:9" ht="18" customHeight="1" x14ac:dyDescent="0.35">
      <c r="B130" s="12" t="s">
        <v>632</v>
      </c>
      <c r="C130" s="12"/>
      <c r="D130" s="12"/>
      <c r="E130" s="12"/>
      <c r="F130" s="12"/>
      <c r="G130" s="12"/>
      <c r="H130" s="12"/>
    </row>
    <row r="131" spans="2:9" x14ac:dyDescent="0.35">
      <c r="B131" s="127" t="s">
        <v>633</v>
      </c>
      <c r="C131" s="128">
        <v>46023</v>
      </c>
      <c r="E131" s="129" t="s">
        <v>634</v>
      </c>
    </row>
    <row r="133" spans="2:9" ht="30" customHeight="1" x14ac:dyDescent="0.35">
      <c r="B133" s="112" t="s">
        <v>635</v>
      </c>
      <c r="C133" s="112" t="s">
        <v>610</v>
      </c>
      <c r="D133" s="112" t="s">
        <v>601</v>
      </c>
      <c r="E133" s="112" t="s">
        <v>602</v>
      </c>
      <c r="F133" s="112" t="s">
        <v>616</v>
      </c>
      <c r="G133" s="112" t="s">
        <v>477</v>
      </c>
      <c r="H133" s="112" t="s">
        <v>479</v>
      </c>
      <c r="I133" s="112" t="s">
        <v>126</v>
      </c>
    </row>
    <row r="134" spans="2:9" x14ac:dyDescent="0.35">
      <c r="B134" s="130">
        <f>EDATE($C$131,0)</f>
        <v>46023</v>
      </c>
      <c r="C134" s="113">
        <f>COUNTIFS('Portfolio Register'!$C$5:$C$304,"&gt;="&amp;$B134,'Portfolio Register'!$C$5:$C$304,"&lt;"&amp;EDATE($B134,1))</f>
        <v>0</v>
      </c>
      <c r="D134" s="114">
        <f>SUMIFS('Portfolio Register'!$J$5:$J$304,'Portfolio Register'!$C$5:$C$304,"&gt;="&amp;$B134,'Portfolio Register'!$C$5:$C$304,"&lt;"&amp;EDATE($B134,1))</f>
        <v>0</v>
      </c>
      <c r="E134" s="114">
        <f>SUMIFS('Portfolio Register'!$CM$5:$CM$304,'Portfolio Register'!$C$5:$C$304,"&gt;="&amp;$B134,'Portfolio Register'!$C$5:$C$304,"&lt;"&amp;EDATE($B134,1))</f>
        <v>0</v>
      </c>
      <c r="F134" s="114">
        <f>SUMIFS('Portfolio Register'!$CO$5:$CO$304,'Portfolio Register'!$C$5:$C$304,"&gt;="&amp;$B134,'Portfolio Register'!$C$5:$C$304,"&lt;"&amp;EDATE($B134,1))</f>
        <v>0</v>
      </c>
      <c r="G134" s="115" t="str">
        <f t="shared" ref="G134:G157" si="3">IF($D134=0,"",$E134/$D134*100)</f>
        <v/>
      </c>
      <c r="H134" s="115" t="str">
        <f t="shared" ref="H134:H157" si="4">IF($D134=0,"",$F134/$D134*100)</f>
        <v/>
      </c>
      <c r="I134" s="131" t="str">
        <f t="shared" ref="I134:I157" si="5">IF($E134=0,"",$F134/$E134)</f>
        <v/>
      </c>
    </row>
    <row r="135" spans="2:9" x14ac:dyDescent="0.35">
      <c r="B135" s="132">
        <f>EDATE($C$131,1)</f>
        <v>46054</v>
      </c>
      <c r="C135" s="117">
        <f>COUNTIFS('Portfolio Register'!$C$5:$C$304,"&gt;="&amp;$B135,'Portfolio Register'!$C$5:$C$304,"&lt;"&amp;EDATE($B135,1))</f>
        <v>0</v>
      </c>
      <c r="D135" s="118">
        <f>SUMIFS('Portfolio Register'!$J$5:$J$304,'Portfolio Register'!$C$5:$C$304,"&gt;="&amp;$B135,'Portfolio Register'!$C$5:$C$304,"&lt;"&amp;EDATE($B135,1))</f>
        <v>0</v>
      </c>
      <c r="E135" s="118">
        <f>SUMIFS('Portfolio Register'!$CM$5:$CM$304,'Portfolio Register'!$C$5:$C$304,"&gt;="&amp;$B135,'Portfolio Register'!$C$5:$C$304,"&lt;"&amp;EDATE($B135,1))</f>
        <v>0</v>
      </c>
      <c r="F135" s="118">
        <f>SUMIFS('Portfolio Register'!$CO$5:$CO$304,'Portfolio Register'!$C$5:$C$304,"&gt;="&amp;$B135,'Portfolio Register'!$C$5:$C$304,"&lt;"&amp;EDATE($B135,1))</f>
        <v>0</v>
      </c>
      <c r="G135" s="119" t="str">
        <f t="shared" si="3"/>
        <v/>
      </c>
      <c r="H135" s="119" t="str">
        <f t="shared" si="4"/>
        <v/>
      </c>
      <c r="I135" s="133" t="str">
        <f t="shared" si="5"/>
        <v/>
      </c>
    </row>
    <row r="136" spans="2:9" x14ac:dyDescent="0.35">
      <c r="B136" s="130">
        <f>EDATE($C$131,2)</f>
        <v>46082</v>
      </c>
      <c r="C136" s="113">
        <f>COUNTIFS('Portfolio Register'!$C$5:$C$304,"&gt;="&amp;$B136,'Portfolio Register'!$C$5:$C$304,"&lt;"&amp;EDATE($B136,1))</f>
        <v>1</v>
      </c>
      <c r="D136" s="114">
        <f>SUMIFS('Portfolio Register'!$J$5:$J$304,'Portfolio Register'!$C$5:$C$304,"&gt;="&amp;$B136,'Portfolio Register'!$C$5:$C$304,"&lt;"&amp;EDATE($B136,1))</f>
        <v>425000</v>
      </c>
      <c r="E136" s="114">
        <f>SUMIFS('Portfolio Register'!$CM$5:$CM$304,'Portfolio Register'!$C$5:$C$304,"&gt;="&amp;$B136,'Portfolio Register'!$C$5:$C$304,"&lt;"&amp;EDATE($B136,1))</f>
        <v>23977.501341598858</v>
      </c>
      <c r="F136" s="114">
        <f>SUMIFS('Portfolio Register'!$CO$5:$CO$304,'Portfolio Register'!$C$5:$C$304,"&gt;="&amp;$B136,'Portfolio Register'!$C$5:$C$304,"&lt;"&amp;EDATE($B136,1))</f>
        <v>23977.501341598858</v>
      </c>
      <c r="G136" s="115">
        <f t="shared" si="3"/>
        <v>5.641765021552672</v>
      </c>
      <c r="H136" s="115">
        <f t="shared" si="4"/>
        <v>5.641765021552672</v>
      </c>
      <c r="I136" s="131">
        <f t="shared" si="5"/>
        <v>1</v>
      </c>
    </row>
    <row r="137" spans="2:9" x14ac:dyDescent="0.35">
      <c r="B137" s="132">
        <f>EDATE($C$131,3)</f>
        <v>46113</v>
      </c>
      <c r="C137" s="117">
        <f>COUNTIFS('Portfolio Register'!$C$5:$C$304,"&gt;="&amp;$B137,'Portfolio Register'!$C$5:$C$304,"&lt;"&amp;EDATE($B137,1))</f>
        <v>1</v>
      </c>
      <c r="D137" s="118">
        <f>SUMIFS('Portfolio Register'!$J$5:$J$304,'Portfolio Register'!$C$5:$C$304,"&gt;="&amp;$B137,'Portfolio Register'!$C$5:$C$304,"&lt;"&amp;EDATE($B137,1))</f>
        <v>3600000</v>
      </c>
      <c r="E137" s="118">
        <f>SUMIFS('Portfolio Register'!$CM$5:$CM$304,'Portfolio Register'!$C$5:$C$304,"&gt;="&amp;$B137,'Portfolio Register'!$C$5:$C$304,"&lt;"&amp;EDATE($B137,1))</f>
        <v>43327.919987477027</v>
      </c>
      <c r="F137" s="118">
        <f>SUMIFS('Portfolio Register'!$CO$5:$CO$304,'Portfolio Register'!$C$5:$C$304,"&gt;="&amp;$B137,'Portfolio Register'!$C$5:$C$304,"&lt;"&amp;EDATE($B137,1))</f>
        <v>43327.919987477027</v>
      </c>
      <c r="G137" s="119">
        <f t="shared" si="3"/>
        <v>1.2035533329854731</v>
      </c>
      <c r="H137" s="119">
        <f t="shared" si="4"/>
        <v>1.2035533329854731</v>
      </c>
      <c r="I137" s="133">
        <f t="shared" si="5"/>
        <v>1</v>
      </c>
    </row>
    <row r="138" spans="2:9" x14ac:dyDescent="0.35">
      <c r="B138" s="130">
        <f>EDATE($C$131,4)</f>
        <v>46143</v>
      </c>
      <c r="C138" s="113">
        <f>COUNTIFS('Portfolio Register'!$C$5:$C$304,"&gt;="&amp;$B138,'Portfolio Register'!$C$5:$C$304,"&lt;"&amp;EDATE($B138,1))</f>
        <v>1</v>
      </c>
      <c r="D138" s="114">
        <f>SUMIFS('Portfolio Register'!$J$5:$J$304,'Portfolio Register'!$C$5:$C$304,"&gt;="&amp;$B138,'Portfolio Register'!$C$5:$C$304,"&lt;"&amp;EDATE($B138,1))</f>
        <v>1450000</v>
      </c>
      <c r="E138" s="114">
        <f>SUMIFS('Portfolio Register'!$CM$5:$CM$304,'Portfolio Register'!$C$5:$C$304,"&gt;="&amp;$B138,'Portfolio Register'!$C$5:$C$304,"&lt;"&amp;EDATE($B138,1))</f>
        <v>9481.3192478274432</v>
      </c>
      <c r="F138" s="114">
        <f>SUMIFS('Portfolio Register'!$CO$5:$CO$304,'Portfolio Register'!$C$5:$C$304,"&gt;="&amp;$B138,'Portfolio Register'!$C$5:$C$304,"&lt;"&amp;EDATE($B138,1))</f>
        <v>8722.8137080012475</v>
      </c>
      <c r="G138" s="115">
        <f t="shared" si="3"/>
        <v>0.65388408605706505</v>
      </c>
      <c r="H138" s="115">
        <f t="shared" si="4"/>
        <v>0.60157335917249988</v>
      </c>
      <c r="I138" s="131">
        <f t="shared" si="5"/>
        <v>0.91999999999999993</v>
      </c>
    </row>
    <row r="139" spans="2:9" x14ac:dyDescent="0.35">
      <c r="B139" s="132">
        <f>EDATE($C$131,5)</f>
        <v>46174</v>
      </c>
      <c r="C139" s="117">
        <f>COUNTIFS('Portfolio Register'!$C$5:$C$304,"&gt;="&amp;$B139,'Portfolio Register'!$C$5:$C$304,"&lt;"&amp;EDATE($B139,1))</f>
        <v>1</v>
      </c>
      <c r="D139" s="118">
        <f>SUMIFS('Portfolio Register'!$J$5:$J$304,'Portfolio Register'!$C$5:$C$304,"&gt;="&amp;$B139,'Portfolio Register'!$C$5:$C$304,"&lt;"&amp;EDATE($B139,1))</f>
        <v>280000</v>
      </c>
      <c r="E139" s="118">
        <f>SUMIFS('Portfolio Register'!$CM$5:$CM$304,'Portfolio Register'!$C$5:$C$304,"&gt;="&amp;$B139,'Portfolio Register'!$C$5:$C$304,"&lt;"&amp;EDATE($B139,1))</f>
        <v>44196.050560344833</v>
      </c>
      <c r="F139" s="118">
        <f>SUMIFS('Portfolio Register'!$CO$5:$CO$304,'Portfolio Register'!$C$5:$C$304,"&gt;="&amp;$B139,'Portfolio Register'!$C$5:$C$304,"&lt;"&amp;EDATE($B139,1))</f>
        <v>48615.655616379321</v>
      </c>
      <c r="G139" s="119">
        <f t="shared" si="3"/>
        <v>15.784303771551725</v>
      </c>
      <c r="H139" s="119">
        <f t="shared" si="4"/>
        <v>17.362734148706902</v>
      </c>
      <c r="I139" s="133">
        <f t="shared" si="5"/>
        <v>1.1000000000000001</v>
      </c>
    </row>
    <row r="140" spans="2:9" x14ac:dyDescent="0.35">
      <c r="B140" s="130">
        <f>EDATE($C$131,6)</f>
        <v>46204</v>
      </c>
      <c r="C140" s="113">
        <f>COUNTIFS('Portfolio Register'!$C$5:$C$304,"&gt;="&amp;$B140,'Portfolio Register'!$C$5:$C$304,"&lt;"&amp;EDATE($B140,1))</f>
        <v>1</v>
      </c>
      <c r="D140" s="114">
        <f>SUMIFS('Portfolio Register'!$J$5:$J$304,'Portfolio Register'!$C$5:$C$304,"&gt;="&amp;$B140,'Portfolio Register'!$C$5:$C$304,"&lt;"&amp;EDATE($B140,1))</f>
        <v>185000</v>
      </c>
      <c r="E140" s="114">
        <f>SUMIFS('Portfolio Register'!$CM$5:$CM$304,'Portfolio Register'!$C$5:$C$304,"&gt;="&amp;$B140,'Portfolio Register'!$C$5:$C$304,"&lt;"&amp;EDATE($B140,1))</f>
        <v>3332.3650404219679</v>
      </c>
      <c r="F140" s="114">
        <f>SUMIFS('Portfolio Register'!$CO$5:$CO$304,'Portfolio Register'!$C$5:$C$304,"&gt;="&amp;$B140,'Portfolio Register'!$C$5:$C$304,"&lt;"&amp;EDATE($B140,1))</f>
        <v>2932.4812355713316</v>
      </c>
      <c r="G140" s="115">
        <f t="shared" si="3"/>
        <v>1.8012784002280908</v>
      </c>
      <c r="H140" s="115">
        <f t="shared" si="4"/>
        <v>1.5851249922007198</v>
      </c>
      <c r="I140" s="131">
        <f t="shared" si="5"/>
        <v>0.87999999999999989</v>
      </c>
    </row>
    <row r="141" spans="2:9" x14ac:dyDescent="0.35">
      <c r="B141" s="132">
        <f>EDATE($C$131,7)</f>
        <v>46235</v>
      </c>
      <c r="C141" s="117">
        <f>COUNTIFS('Portfolio Register'!$C$5:$C$304,"&gt;="&amp;$B141,'Portfolio Register'!$C$5:$C$304,"&lt;"&amp;EDATE($B141,1))</f>
        <v>1</v>
      </c>
      <c r="D141" s="118">
        <f>SUMIFS('Portfolio Register'!$J$5:$J$304,'Portfolio Register'!$C$5:$C$304,"&gt;="&amp;$B141,'Portfolio Register'!$C$5:$C$304,"&lt;"&amp;EDATE($B141,1))</f>
        <v>2200000</v>
      </c>
      <c r="E141" s="118">
        <f>SUMIFS('Portfolio Register'!$CM$5:$CM$304,'Portfolio Register'!$C$5:$C$304,"&gt;="&amp;$B141,'Portfolio Register'!$C$5:$C$304,"&lt;"&amp;EDATE($B141,1))</f>
        <v>73201.557756345908</v>
      </c>
      <c r="F141" s="118">
        <f>SUMIFS('Portfolio Register'!$CO$5:$CO$304,'Portfolio Register'!$C$5:$C$304,"&gt;="&amp;$B141,'Portfolio Register'!$C$5:$C$304,"&lt;"&amp;EDATE($B141,1))</f>
        <v>76861.635644163209</v>
      </c>
      <c r="G141" s="119">
        <f t="shared" si="3"/>
        <v>3.3273435343793594</v>
      </c>
      <c r="H141" s="119">
        <f t="shared" si="4"/>
        <v>3.4937107110983279</v>
      </c>
      <c r="I141" s="133">
        <f t="shared" si="5"/>
        <v>1.05</v>
      </c>
    </row>
    <row r="142" spans="2:9" x14ac:dyDescent="0.35">
      <c r="B142" s="130">
        <f>EDATE($C$131,8)</f>
        <v>46266</v>
      </c>
      <c r="C142" s="113">
        <f>COUNTIFS('Portfolio Register'!$C$5:$C$304,"&gt;="&amp;$B142,'Portfolio Register'!$C$5:$C$304,"&lt;"&amp;EDATE($B142,1))</f>
        <v>0</v>
      </c>
      <c r="D142" s="114">
        <f>SUMIFS('Portfolio Register'!$J$5:$J$304,'Portfolio Register'!$C$5:$C$304,"&gt;="&amp;$B142,'Portfolio Register'!$C$5:$C$304,"&lt;"&amp;EDATE($B142,1))</f>
        <v>0</v>
      </c>
      <c r="E142" s="114">
        <f>SUMIFS('Portfolio Register'!$CM$5:$CM$304,'Portfolio Register'!$C$5:$C$304,"&gt;="&amp;$B142,'Portfolio Register'!$C$5:$C$304,"&lt;"&amp;EDATE($B142,1))</f>
        <v>0</v>
      </c>
      <c r="F142" s="114">
        <f>SUMIFS('Portfolio Register'!$CO$5:$CO$304,'Portfolio Register'!$C$5:$C$304,"&gt;="&amp;$B142,'Portfolio Register'!$C$5:$C$304,"&lt;"&amp;EDATE($B142,1))</f>
        <v>0</v>
      </c>
      <c r="G142" s="115" t="str">
        <f t="shared" si="3"/>
        <v/>
      </c>
      <c r="H142" s="115" t="str">
        <f t="shared" si="4"/>
        <v/>
      </c>
      <c r="I142" s="131" t="str">
        <f t="shared" si="5"/>
        <v/>
      </c>
    </row>
    <row r="143" spans="2:9" x14ac:dyDescent="0.35">
      <c r="B143" s="132">
        <f>EDATE($C$131,9)</f>
        <v>46296</v>
      </c>
      <c r="C143" s="117">
        <f>COUNTIFS('Portfolio Register'!$C$5:$C$304,"&gt;="&amp;$B143,'Portfolio Register'!$C$5:$C$304,"&lt;"&amp;EDATE($B143,1))</f>
        <v>0</v>
      </c>
      <c r="D143" s="118">
        <f>SUMIFS('Portfolio Register'!$J$5:$J$304,'Portfolio Register'!$C$5:$C$304,"&gt;="&amp;$B143,'Portfolio Register'!$C$5:$C$304,"&lt;"&amp;EDATE($B143,1))</f>
        <v>0</v>
      </c>
      <c r="E143" s="118">
        <f>SUMIFS('Portfolio Register'!$CM$5:$CM$304,'Portfolio Register'!$C$5:$C$304,"&gt;="&amp;$B143,'Portfolio Register'!$C$5:$C$304,"&lt;"&amp;EDATE($B143,1))</f>
        <v>0</v>
      </c>
      <c r="F143" s="118">
        <f>SUMIFS('Portfolio Register'!$CO$5:$CO$304,'Portfolio Register'!$C$5:$C$304,"&gt;="&amp;$B143,'Portfolio Register'!$C$5:$C$304,"&lt;"&amp;EDATE($B143,1))</f>
        <v>0</v>
      </c>
      <c r="G143" s="119" t="str">
        <f t="shared" si="3"/>
        <v/>
      </c>
      <c r="H143" s="119" t="str">
        <f t="shared" si="4"/>
        <v/>
      </c>
      <c r="I143" s="133" t="str">
        <f t="shared" si="5"/>
        <v/>
      </c>
    </row>
    <row r="144" spans="2:9" x14ac:dyDescent="0.35">
      <c r="B144" s="130">
        <f>EDATE($C$131,10)</f>
        <v>46327</v>
      </c>
      <c r="C144" s="113">
        <f>COUNTIFS('Portfolio Register'!$C$5:$C$304,"&gt;="&amp;$B144,'Portfolio Register'!$C$5:$C$304,"&lt;"&amp;EDATE($B144,1))</f>
        <v>0</v>
      </c>
      <c r="D144" s="114">
        <f>SUMIFS('Portfolio Register'!$J$5:$J$304,'Portfolio Register'!$C$5:$C$304,"&gt;="&amp;$B144,'Portfolio Register'!$C$5:$C$304,"&lt;"&amp;EDATE($B144,1))</f>
        <v>0</v>
      </c>
      <c r="E144" s="114">
        <f>SUMIFS('Portfolio Register'!$CM$5:$CM$304,'Portfolio Register'!$C$5:$C$304,"&gt;="&amp;$B144,'Portfolio Register'!$C$5:$C$304,"&lt;"&amp;EDATE($B144,1))</f>
        <v>0</v>
      </c>
      <c r="F144" s="114">
        <f>SUMIFS('Portfolio Register'!$CO$5:$CO$304,'Portfolio Register'!$C$5:$C$304,"&gt;="&amp;$B144,'Portfolio Register'!$C$5:$C$304,"&lt;"&amp;EDATE($B144,1))</f>
        <v>0</v>
      </c>
      <c r="G144" s="115" t="str">
        <f t="shared" si="3"/>
        <v/>
      </c>
      <c r="H144" s="115" t="str">
        <f t="shared" si="4"/>
        <v/>
      </c>
      <c r="I144" s="131" t="str">
        <f t="shared" si="5"/>
        <v/>
      </c>
    </row>
    <row r="145" spans="2:9" x14ac:dyDescent="0.35">
      <c r="B145" s="132">
        <f>EDATE($C$131,11)</f>
        <v>46357</v>
      </c>
      <c r="C145" s="117">
        <f>COUNTIFS('Portfolio Register'!$C$5:$C$304,"&gt;="&amp;$B145,'Portfolio Register'!$C$5:$C$304,"&lt;"&amp;EDATE($B145,1))</f>
        <v>0</v>
      </c>
      <c r="D145" s="118">
        <f>SUMIFS('Portfolio Register'!$J$5:$J$304,'Portfolio Register'!$C$5:$C$304,"&gt;="&amp;$B145,'Portfolio Register'!$C$5:$C$304,"&lt;"&amp;EDATE($B145,1))</f>
        <v>0</v>
      </c>
      <c r="E145" s="118">
        <f>SUMIFS('Portfolio Register'!$CM$5:$CM$304,'Portfolio Register'!$C$5:$C$304,"&gt;="&amp;$B145,'Portfolio Register'!$C$5:$C$304,"&lt;"&amp;EDATE($B145,1))</f>
        <v>0</v>
      </c>
      <c r="F145" s="118">
        <f>SUMIFS('Portfolio Register'!$CO$5:$CO$304,'Portfolio Register'!$C$5:$C$304,"&gt;="&amp;$B145,'Portfolio Register'!$C$5:$C$304,"&lt;"&amp;EDATE($B145,1))</f>
        <v>0</v>
      </c>
      <c r="G145" s="119" t="str">
        <f t="shared" si="3"/>
        <v/>
      </c>
      <c r="H145" s="119" t="str">
        <f t="shared" si="4"/>
        <v/>
      </c>
      <c r="I145" s="133" t="str">
        <f t="shared" si="5"/>
        <v/>
      </c>
    </row>
    <row r="146" spans="2:9" x14ac:dyDescent="0.35">
      <c r="B146" s="130">
        <f>EDATE($C$131,12)</f>
        <v>46388</v>
      </c>
      <c r="C146" s="113">
        <f>COUNTIFS('Portfolio Register'!$C$5:$C$304,"&gt;="&amp;$B146,'Portfolio Register'!$C$5:$C$304,"&lt;"&amp;EDATE($B146,1))</f>
        <v>0</v>
      </c>
      <c r="D146" s="114">
        <f>SUMIFS('Portfolio Register'!$J$5:$J$304,'Portfolio Register'!$C$5:$C$304,"&gt;="&amp;$B146,'Portfolio Register'!$C$5:$C$304,"&lt;"&amp;EDATE($B146,1))</f>
        <v>0</v>
      </c>
      <c r="E146" s="114">
        <f>SUMIFS('Portfolio Register'!$CM$5:$CM$304,'Portfolio Register'!$C$5:$C$304,"&gt;="&amp;$B146,'Portfolio Register'!$C$5:$C$304,"&lt;"&amp;EDATE($B146,1))</f>
        <v>0</v>
      </c>
      <c r="F146" s="114">
        <f>SUMIFS('Portfolio Register'!$CO$5:$CO$304,'Portfolio Register'!$C$5:$C$304,"&gt;="&amp;$B146,'Portfolio Register'!$C$5:$C$304,"&lt;"&amp;EDATE($B146,1))</f>
        <v>0</v>
      </c>
      <c r="G146" s="115" t="str">
        <f t="shared" si="3"/>
        <v/>
      </c>
      <c r="H146" s="115" t="str">
        <f t="shared" si="4"/>
        <v/>
      </c>
      <c r="I146" s="131" t="str">
        <f t="shared" si="5"/>
        <v/>
      </c>
    </row>
    <row r="147" spans="2:9" x14ac:dyDescent="0.35">
      <c r="B147" s="132">
        <f>EDATE($C$131,13)</f>
        <v>46419</v>
      </c>
      <c r="C147" s="117">
        <f>COUNTIFS('Portfolio Register'!$C$5:$C$304,"&gt;="&amp;$B147,'Portfolio Register'!$C$5:$C$304,"&lt;"&amp;EDATE($B147,1))</f>
        <v>0</v>
      </c>
      <c r="D147" s="118">
        <f>SUMIFS('Portfolio Register'!$J$5:$J$304,'Portfolio Register'!$C$5:$C$304,"&gt;="&amp;$B147,'Portfolio Register'!$C$5:$C$304,"&lt;"&amp;EDATE($B147,1))</f>
        <v>0</v>
      </c>
      <c r="E147" s="118">
        <f>SUMIFS('Portfolio Register'!$CM$5:$CM$304,'Portfolio Register'!$C$5:$C$304,"&gt;="&amp;$B147,'Portfolio Register'!$C$5:$C$304,"&lt;"&amp;EDATE($B147,1))</f>
        <v>0</v>
      </c>
      <c r="F147" s="118">
        <f>SUMIFS('Portfolio Register'!$CO$5:$CO$304,'Portfolio Register'!$C$5:$C$304,"&gt;="&amp;$B147,'Portfolio Register'!$C$5:$C$304,"&lt;"&amp;EDATE($B147,1))</f>
        <v>0</v>
      </c>
      <c r="G147" s="119" t="str">
        <f t="shared" si="3"/>
        <v/>
      </c>
      <c r="H147" s="119" t="str">
        <f t="shared" si="4"/>
        <v/>
      </c>
      <c r="I147" s="133" t="str">
        <f t="shared" si="5"/>
        <v/>
      </c>
    </row>
    <row r="148" spans="2:9" x14ac:dyDescent="0.35">
      <c r="B148" s="130">
        <f>EDATE($C$131,14)</f>
        <v>46447</v>
      </c>
      <c r="C148" s="113">
        <f>COUNTIFS('Portfolio Register'!$C$5:$C$304,"&gt;="&amp;$B148,'Portfolio Register'!$C$5:$C$304,"&lt;"&amp;EDATE($B148,1))</f>
        <v>0</v>
      </c>
      <c r="D148" s="114">
        <f>SUMIFS('Portfolio Register'!$J$5:$J$304,'Portfolio Register'!$C$5:$C$304,"&gt;="&amp;$B148,'Portfolio Register'!$C$5:$C$304,"&lt;"&amp;EDATE($B148,1))</f>
        <v>0</v>
      </c>
      <c r="E148" s="114">
        <f>SUMIFS('Portfolio Register'!$CM$5:$CM$304,'Portfolio Register'!$C$5:$C$304,"&gt;="&amp;$B148,'Portfolio Register'!$C$5:$C$304,"&lt;"&amp;EDATE($B148,1))</f>
        <v>0</v>
      </c>
      <c r="F148" s="114">
        <f>SUMIFS('Portfolio Register'!$CO$5:$CO$304,'Portfolio Register'!$C$5:$C$304,"&gt;="&amp;$B148,'Portfolio Register'!$C$5:$C$304,"&lt;"&amp;EDATE($B148,1))</f>
        <v>0</v>
      </c>
      <c r="G148" s="115" t="str">
        <f t="shared" si="3"/>
        <v/>
      </c>
      <c r="H148" s="115" t="str">
        <f t="shared" si="4"/>
        <v/>
      </c>
      <c r="I148" s="131" t="str">
        <f t="shared" si="5"/>
        <v/>
      </c>
    </row>
    <row r="149" spans="2:9" x14ac:dyDescent="0.35">
      <c r="B149" s="132">
        <f>EDATE($C$131,15)</f>
        <v>46478</v>
      </c>
      <c r="C149" s="117">
        <f>COUNTIFS('Portfolio Register'!$C$5:$C$304,"&gt;="&amp;$B149,'Portfolio Register'!$C$5:$C$304,"&lt;"&amp;EDATE($B149,1))</f>
        <v>0</v>
      </c>
      <c r="D149" s="118">
        <f>SUMIFS('Portfolio Register'!$J$5:$J$304,'Portfolio Register'!$C$5:$C$304,"&gt;="&amp;$B149,'Portfolio Register'!$C$5:$C$304,"&lt;"&amp;EDATE($B149,1))</f>
        <v>0</v>
      </c>
      <c r="E149" s="118">
        <f>SUMIFS('Portfolio Register'!$CM$5:$CM$304,'Portfolio Register'!$C$5:$C$304,"&gt;="&amp;$B149,'Portfolio Register'!$C$5:$C$304,"&lt;"&amp;EDATE($B149,1))</f>
        <v>0</v>
      </c>
      <c r="F149" s="118">
        <f>SUMIFS('Portfolio Register'!$CO$5:$CO$304,'Portfolio Register'!$C$5:$C$304,"&gt;="&amp;$B149,'Portfolio Register'!$C$5:$C$304,"&lt;"&amp;EDATE($B149,1))</f>
        <v>0</v>
      </c>
      <c r="G149" s="119" t="str">
        <f t="shared" si="3"/>
        <v/>
      </c>
      <c r="H149" s="119" t="str">
        <f t="shared" si="4"/>
        <v/>
      </c>
      <c r="I149" s="133" t="str">
        <f t="shared" si="5"/>
        <v/>
      </c>
    </row>
    <row r="150" spans="2:9" x14ac:dyDescent="0.35">
      <c r="B150" s="130">
        <f>EDATE($C$131,16)</f>
        <v>46508</v>
      </c>
      <c r="C150" s="113">
        <f>COUNTIFS('Portfolio Register'!$C$5:$C$304,"&gt;="&amp;$B150,'Portfolio Register'!$C$5:$C$304,"&lt;"&amp;EDATE($B150,1))</f>
        <v>0</v>
      </c>
      <c r="D150" s="114">
        <f>SUMIFS('Portfolio Register'!$J$5:$J$304,'Portfolio Register'!$C$5:$C$304,"&gt;="&amp;$B150,'Portfolio Register'!$C$5:$C$304,"&lt;"&amp;EDATE($B150,1))</f>
        <v>0</v>
      </c>
      <c r="E150" s="114">
        <f>SUMIFS('Portfolio Register'!$CM$5:$CM$304,'Portfolio Register'!$C$5:$C$304,"&gt;="&amp;$B150,'Portfolio Register'!$C$5:$C$304,"&lt;"&amp;EDATE($B150,1))</f>
        <v>0</v>
      </c>
      <c r="F150" s="114">
        <f>SUMIFS('Portfolio Register'!$CO$5:$CO$304,'Portfolio Register'!$C$5:$C$304,"&gt;="&amp;$B150,'Portfolio Register'!$C$5:$C$304,"&lt;"&amp;EDATE($B150,1))</f>
        <v>0</v>
      </c>
      <c r="G150" s="115" t="str">
        <f t="shared" si="3"/>
        <v/>
      </c>
      <c r="H150" s="115" t="str">
        <f t="shared" si="4"/>
        <v/>
      </c>
      <c r="I150" s="131" t="str">
        <f t="shared" si="5"/>
        <v/>
      </c>
    </row>
    <row r="151" spans="2:9" x14ac:dyDescent="0.35">
      <c r="B151" s="132">
        <f>EDATE($C$131,17)</f>
        <v>46539</v>
      </c>
      <c r="C151" s="117">
        <f>COUNTIFS('Portfolio Register'!$C$5:$C$304,"&gt;="&amp;$B151,'Portfolio Register'!$C$5:$C$304,"&lt;"&amp;EDATE($B151,1))</f>
        <v>0</v>
      </c>
      <c r="D151" s="118">
        <f>SUMIFS('Portfolio Register'!$J$5:$J$304,'Portfolio Register'!$C$5:$C$304,"&gt;="&amp;$B151,'Portfolio Register'!$C$5:$C$304,"&lt;"&amp;EDATE($B151,1))</f>
        <v>0</v>
      </c>
      <c r="E151" s="118">
        <f>SUMIFS('Portfolio Register'!$CM$5:$CM$304,'Portfolio Register'!$C$5:$C$304,"&gt;="&amp;$B151,'Portfolio Register'!$C$5:$C$304,"&lt;"&amp;EDATE($B151,1))</f>
        <v>0</v>
      </c>
      <c r="F151" s="118">
        <f>SUMIFS('Portfolio Register'!$CO$5:$CO$304,'Portfolio Register'!$C$5:$C$304,"&gt;="&amp;$B151,'Portfolio Register'!$C$5:$C$304,"&lt;"&amp;EDATE($B151,1))</f>
        <v>0</v>
      </c>
      <c r="G151" s="119" t="str">
        <f t="shared" si="3"/>
        <v/>
      </c>
      <c r="H151" s="119" t="str">
        <f t="shared" si="4"/>
        <v/>
      </c>
      <c r="I151" s="133" t="str">
        <f t="shared" si="5"/>
        <v/>
      </c>
    </row>
    <row r="152" spans="2:9" x14ac:dyDescent="0.35">
      <c r="B152" s="130">
        <f>EDATE($C$131,18)</f>
        <v>46569</v>
      </c>
      <c r="C152" s="113">
        <f>COUNTIFS('Portfolio Register'!$C$5:$C$304,"&gt;="&amp;$B152,'Portfolio Register'!$C$5:$C$304,"&lt;"&amp;EDATE($B152,1))</f>
        <v>0</v>
      </c>
      <c r="D152" s="114">
        <f>SUMIFS('Portfolio Register'!$J$5:$J$304,'Portfolio Register'!$C$5:$C$304,"&gt;="&amp;$B152,'Portfolio Register'!$C$5:$C$304,"&lt;"&amp;EDATE($B152,1))</f>
        <v>0</v>
      </c>
      <c r="E152" s="114">
        <f>SUMIFS('Portfolio Register'!$CM$5:$CM$304,'Portfolio Register'!$C$5:$C$304,"&gt;="&amp;$B152,'Portfolio Register'!$C$5:$C$304,"&lt;"&amp;EDATE($B152,1))</f>
        <v>0</v>
      </c>
      <c r="F152" s="114">
        <f>SUMIFS('Portfolio Register'!$CO$5:$CO$304,'Portfolio Register'!$C$5:$C$304,"&gt;="&amp;$B152,'Portfolio Register'!$C$5:$C$304,"&lt;"&amp;EDATE($B152,1))</f>
        <v>0</v>
      </c>
      <c r="G152" s="115" t="str">
        <f t="shared" si="3"/>
        <v/>
      </c>
      <c r="H152" s="115" t="str">
        <f t="shared" si="4"/>
        <v/>
      </c>
      <c r="I152" s="131" t="str">
        <f t="shared" si="5"/>
        <v/>
      </c>
    </row>
    <row r="153" spans="2:9" x14ac:dyDescent="0.35">
      <c r="B153" s="132">
        <f>EDATE($C$131,19)</f>
        <v>46600</v>
      </c>
      <c r="C153" s="117">
        <f>COUNTIFS('Portfolio Register'!$C$5:$C$304,"&gt;="&amp;$B153,'Portfolio Register'!$C$5:$C$304,"&lt;"&amp;EDATE($B153,1))</f>
        <v>0</v>
      </c>
      <c r="D153" s="118">
        <f>SUMIFS('Portfolio Register'!$J$5:$J$304,'Portfolio Register'!$C$5:$C$304,"&gt;="&amp;$B153,'Portfolio Register'!$C$5:$C$304,"&lt;"&amp;EDATE($B153,1))</f>
        <v>0</v>
      </c>
      <c r="E153" s="118">
        <f>SUMIFS('Portfolio Register'!$CM$5:$CM$304,'Portfolio Register'!$C$5:$C$304,"&gt;="&amp;$B153,'Portfolio Register'!$C$5:$C$304,"&lt;"&amp;EDATE($B153,1))</f>
        <v>0</v>
      </c>
      <c r="F153" s="118">
        <f>SUMIFS('Portfolio Register'!$CO$5:$CO$304,'Portfolio Register'!$C$5:$C$304,"&gt;="&amp;$B153,'Portfolio Register'!$C$5:$C$304,"&lt;"&amp;EDATE($B153,1))</f>
        <v>0</v>
      </c>
      <c r="G153" s="119" t="str">
        <f t="shared" si="3"/>
        <v/>
      </c>
      <c r="H153" s="119" t="str">
        <f t="shared" si="4"/>
        <v/>
      </c>
      <c r="I153" s="133" t="str">
        <f t="shared" si="5"/>
        <v/>
      </c>
    </row>
    <row r="154" spans="2:9" x14ac:dyDescent="0.35">
      <c r="B154" s="130">
        <f>EDATE($C$131,20)</f>
        <v>46631</v>
      </c>
      <c r="C154" s="113">
        <f>COUNTIFS('Portfolio Register'!$C$5:$C$304,"&gt;="&amp;$B154,'Portfolio Register'!$C$5:$C$304,"&lt;"&amp;EDATE($B154,1))</f>
        <v>0</v>
      </c>
      <c r="D154" s="114">
        <f>SUMIFS('Portfolio Register'!$J$5:$J$304,'Portfolio Register'!$C$5:$C$304,"&gt;="&amp;$B154,'Portfolio Register'!$C$5:$C$304,"&lt;"&amp;EDATE($B154,1))</f>
        <v>0</v>
      </c>
      <c r="E154" s="114">
        <f>SUMIFS('Portfolio Register'!$CM$5:$CM$304,'Portfolio Register'!$C$5:$C$304,"&gt;="&amp;$B154,'Portfolio Register'!$C$5:$C$304,"&lt;"&amp;EDATE($B154,1))</f>
        <v>0</v>
      </c>
      <c r="F154" s="114">
        <f>SUMIFS('Portfolio Register'!$CO$5:$CO$304,'Portfolio Register'!$C$5:$C$304,"&gt;="&amp;$B154,'Portfolio Register'!$C$5:$C$304,"&lt;"&amp;EDATE($B154,1))</f>
        <v>0</v>
      </c>
      <c r="G154" s="115" t="str">
        <f t="shared" si="3"/>
        <v/>
      </c>
      <c r="H154" s="115" t="str">
        <f t="shared" si="4"/>
        <v/>
      </c>
      <c r="I154" s="131" t="str">
        <f t="shared" si="5"/>
        <v/>
      </c>
    </row>
    <row r="155" spans="2:9" x14ac:dyDescent="0.35">
      <c r="B155" s="132">
        <f>EDATE($C$131,21)</f>
        <v>46661</v>
      </c>
      <c r="C155" s="117">
        <f>COUNTIFS('Portfolio Register'!$C$5:$C$304,"&gt;="&amp;$B155,'Portfolio Register'!$C$5:$C$304,"&lt;"&amp;EDATE($B155,1))</f>
        <v>0</v>
      </c>
      <c r="D155" s="118">
        <f>SUMIFS('Portfolio Register'!$J$5:$J$304,'Portfolio Register'!$C$5:$C$304,"&gt;="&amp;$B155,'Portfolio Register'!$C$5:$C$304,"&lt;"&amp;EDATE($B155,1))</f>
        <v>0</v>
      </c>
      <c r="E155" s="118">
        <f>SUMIFS('Portfolio Register'!$CM$5:$CM$304,'Portfolio Register'!$C$5:$C$304,"&gt;="&amp;$B155,'Portfolio Register'!$C$5:$C$304,"&lt;"&amp;EDATE($B155,1))</f>
        <v>0</v>
      </c>
      <c r="F155" s="118">
        <f>SUMIFS('Portfolio Register'!$CO$5:$CO$304,'Portfolio Register'!$C$5:$C$304,"&gt;="&amp;$B155,'Portfolio Register'!$C$5:$C$304,"&lt;"&amp;EDATE($B155,1))</f>
        <v>0</v>
      </c>
      <c r="G155" s="119" t="str">
        <f t="shared" si="3"/>
        <v/>
      </c>
      <c r="H155" s="119" t="str">
        <f t="shared" si="4"/>
        <v/>
      </c>
      <c r="I155" s="133" t="str">
        <f t="shared" si="5"/>
        <v/>
      </c>
    </row>
    <row r="156" spans="2:9" x14ac:dyDescent="0.35">
      <c r="B156" s="130">
        <f>EDATE($C$131,22)</f>
        <v>46692</v>
      </c>
      <c r="C156" s="113">
        <f>COUNTIFS('Portfolio Register'!$C$5:$C$304,"&gt;="&amp;$B156,'Portfolio Register'!$C$5:$C$304,"&lt;"&amp;EDATE($B156,1))</f>
        <v>0</v>
      </c>
      <c r="D156" s="114">
        <f>SUMIFS('Portfolio Register'!$J$5:$J$304,'Portfolio Register'!$C$5:$C$304,"&gt;="&amp;$B156,'Portfolio Register'!$C$5:$C$304,"&lt;"&amp;EDATE($B156,1))</f>
        <v>0</v>
      </c>
      <c r="E156" s="114">
        <f>SUMIFS('Portfolio Register'!$CM$5:$CM$304,'Portfolio Register'!$C$5:$C$304,"&gt;="&amp;$B156,'Portfolio Register'!$C$5:$C$304,"&lt;"&amp;EDATE($B156,1))</f>
        <v>0</v>
      </c>
      <c r="F156" s="114">
        <f>SUMIFS('Portfolio Register'!$CO$5:$CO$304,'Portfolio Register'!$C$5:$C$304,"&gt;="&amp;$B156,'Portfolio Register'!$C$5:$C$304,"&lt;"&amp;EDATE($B156,1))</f>
        <v>0</v>
      </c>
      <c r="G156" s="115" t="str">
        <f t="shared" si="3"/>
        <v/>
      </c>
      <c r="H156" s="115" t="str">
        <f t="shared" si="4"/>
        <v/>
      </c>
      <c r="I156" s="131" t="str">
        <f t="shared" si="5"/>
        <v/>
      </c>
    </row>
    <row r="157" spans="2:9" x14ac:dyDescent="0.35">
      <c r="B157" s="132">
        <f>EDATE($C$131,23)</f>
        <v>46722</v>
      </c>
      <c r="C157" s="117">
        <f>COUNTIFS('Portfolio Register'!$C$5:$C$304,"&gt;="&amp;$B157,'Portfolio Register'!$C$5:$C$304,"&lt;"&amp;EDATE($B157,1))</f>
        <v>0</v>
      </c>
      <c r="D157" s="118">
        <f>SUMIFS('Portfolio Register'!$J$5:$J$304,'Portfolio Register'!$C$5:$C$304,"&gt;="&amp;$B157,'Portfolio Register'!$C$5:$C$304,"&lt;"&amp;EDATE($B157,1))</f>
        <v>0</v>
      </c>
      <c r="E157" s="118">
        <f>SUMIFS('Portfolio Register'!$CM$5:$CM$304,'Portfolio Register'!$C$5:$C$304,"&gt;="&amp;$B157,'Portfolio Register'!$C$5:$C$304,"&lt;"&amp;EDATE($B157,1))</f>
        <v>0</v>
      </c>
      <c r="F157" s="118">
        <f>SUMIFS('Portfolio Register'!$CO$5:$CO$304,'Portfolio Register'!$C$5:$C$304,"&gt;="&amp;$B157,'Portfolio Register'!$C$5:$C$304,"&lt;"&amp;EDATE($B157,1))</f>
        <v>0</v>
      </c>
      <c r="G157" s="119" t="str">
        <f t="shared" si="3"/>
        <v/>
      </c>
      <c r="H157" s="119" t="str">
        <f t="shared" si="4"/>
        <v/>
      </c>
      <c r="I157" s="133" t="str">
        <f t="shared" si="5"/>
        <v/>
      </c>
    </row>
    <row r="159" spans="2:9" ht="15" customHeight="1" x14ac:dyDescent="0.35">
      <c r="B159" s="7" t="s">
        <v>636</v>
      </c>
      <c r="C159" s="7"/>
      <c r="D159" s="7"/>
      <c r="E159" s="7"/>
      <c r="F159" s="7"/>
      <c r="G159" s="7"/>
      <c r="H159" s="7"/>
    </row>
    <row r="160" spans="2:9" x14ac:dyDescent="0.35">
      <c r="B160" s="7"/>
      <c r="C160" s="7"/>
      <c r="D160" s="7"/>
      <c r="E160" s="7"/>
      <c r="F160" s="7"/>
      <c r="G160" s="7"/>
      <c r="H160" s="7"/>
    </row>
    <row r="161" spans="2:8" x14ac:dyDescent="0.35">
      <c r="B161" s="7"/>
      <c r="C161" s="7"/>
      <c r="D161" s="7"/>
      <c r="E161" s="7"/>
      <c r="F161" s="7"/>
      <c r="G161" s="7"/>
      <c r="H161" s="7"/>
    </row>
    <row r="162" spans="2:8" x14ac:dyDescent="0.35">
      <c r="B162" s="7"/>
      <c r="C162" s="7"/>
      <c r="D162" s="7"/>
      <c r="E162" s="7"/>
      <c r="F162" s="7"/>
      <c r="G162" s="7"/>
      <c r="H162" s="7"/>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sheetViews>
  <sheetFormatPr defaultColWidth="8.6328125" defaultRowHeight="14.5" x14ac:dyDescent="0.3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35">
      <c r="B1" s="14" t="s">
        <v>637</v>
      </c>
      <c r="C1" s="14"/>
      <c r="D1" s="14"/>
      <c r="E1" s="14"/>
      <c r="F1" s="14"/>
      <c r="G1" s="14"/>
      <c r="H1" s="14"/>
      <c r="I1" s="14"/>
      <c r="J1" s="14"/>
      <c r="K1" s="14"/>
      <c r="L1" s="14"/>
      <c r="M1" s="14"/>
      <c r="N1" s="14"/>
      <c r="O1" s="14"/>
      <c r="P1" s="14"/>
      <c r="Q1" s="14"/>
    </row>
    <row r="2" spans="2:17" ht="15" customHeight="1" x14ac:dyDescent="0.35">
      <c r="B2" s="13" t="s">
        <v>638</v>
      </c>
      <c r="C2" s="13"/>
      <c r="D2" s="13"/>
      <c r="E2" s="13"/>
      <c r="F2" s="13"/>
      <c r="G2" s="13"/>
      <c r="H2" s="13"/>
      <c r="I2" s="13"/>
      <c r="J2" s="13"/>
      <c r="K2" s="13"/>
      <c r="L2" s="13"/>
      <c r="M2" s="13"/>
      <c r="N2" s="13"/>
      <c r="O2" s="13"/>
      <c r="P2" s="13"/>
      <c r="Q2" s="13"/>
    </row>
    <row r="4" spans="2:17" ht="18" customHeight="1" x14ac:dyDescent="0.35">
      <c r="B4" s="12" t="s">
        <v>639</v>
      </c>
      <c r="C4" s="12"/>
      <c r="D4" s="12"/>
      <c r="E4" s="12"/>
      <c r="F4" s="12"/>
      <c r="G4" s="12"/>
      <c r="H4" s="12"/>
      <c r="I4" s="12"/>
      <c r="J4" s="12"/>
      <c r="K4" s="12"/>
      <c r="L4" s="12"/>
      <c r="M4" s="12"/>
      <c r="N4" s="12"/>
      <c r="O4" s="12"/>
      <c r="P4" s="12"/>
      <c r="Q4" s="12"/>
    </row>
    <row r="5" spans="2:17" ht="30" customHeight="1" x14ac:dyDescent="0.35">
      <c r="B5" s="22" t="s">
        <v>640</v>
      </c>
      <c r="C5" s="22" t="s">
        <v>641</v>
      </c>
      <c r="D5" s="22" t="s">
        <v>642</v>
      </c>
      <c r="E5" s="22" t="s">
        <v>643</v>
      </c>
      <c r="F5" s="22" t="s">
        <v>644</v>
      </c>
    </row>
    <row r="6" spans="2:17" x14ac:dyDescent="0.35">
      <c r="B6" s="20" t="s">
        <v>645</v>
      </c>
      <c r="C6" s="134">
        <v>-0.15</v>
      </c>
      <c r="D6" s="135">
        <v>2000000</v>
      </c>
      <c r="E6" s="58" t="s">
        <v>646</v>
      </c>
      <c r="F6" s="27" t="s">
        <v>646</v>
      </c>
    </row>
    <row r="7" spans="2:17" x14ac:dyDescent="0.35">
      <c r="B7" s="121" t="s">
        <v>647</v>
      </c>
      <c r="C7" s="136">
        <v>-0.2</v>
      </c>
      <c r="D7" s="137">
        <v>5000000</v>
      </c>
      <c r="E7" s="65" t="s">
        <v>648</v>
      </c>
      <c r="F7" s="116" t="s">
        <v>646</v>
      </c>
    </row>
    <row r="8" spans="2:17" x14ac:dyDescent="0.35">
      <c r="B8" s="20" t="s">
        <v>649</v>
      </c>
      <c r="C8" s="134">
        <v>-0.25</v>
      </c>
      <c r="D8" s="135">
        <v>10000000</v>
      </c>
      <c r="E8" s="58" t="s">
        <v>648</v>
      </c>
      <c r="F8" s="27" t="s">
        <v>646</v>
      </c>
    </row>
    <row r="9" spans="2:17" x14ac:dyDescent="0.35">
      <c r="B9" s="121" t="s">
        <v>650</v>
      </c>
      <c r="C9" s="134">
        <v>-0.25</v>
      </c>
      <c r="D9" s="138" t="s">
        <v>651</v>
      </c>
      <c r="E9" s="65" t="s">
        <v>648</v>
      </c>
      <c r="F9" s="116" t="s">
        <v>652</v>
      </c>
    </row>
    <row r="10" spans="2:17" x14ac:dyDescent="0.35">
      <c r="B10" s="20" t="s">
        <v>653</v>
      </c>
      <c r="C10" s="134">
        <v>-0.25</v>
      </c>
      <c r="D10" s="139" t="s">
        <v>651</v>
      </c>
      <c r="E10" s="58" t="s">
        <v>648</v>
      </c>
      <c r="F10" s="27" t="s">
        <v>648</v>
      </c>
    </row>
    <row r="11" spans="2:17" x14ac:dyDescent="0.35">
      <c r="B11" s="1" t="s">
        <v>654</v>
      </c>
      <c r="C11" s="1"/>
      <c r="D11" s="1"/>
      <c r="E11" s="1"/>
      <c r="F11" s="1"/>
      <c r="G11" s="1"/>
      <c r="H11" s="1"/>
      <c r="I11" s="1"/>
      <c r="J11" s="1"/>
      <c r="K11" s="1"/>
      <c r="L11" s="1"/>
      <c r="M11" s="1"/>
      <c r="N11" s="1"/>
      <c r="O11" s="1"/>
      <c r="P11" s="1"/>
      <c r="Q11" s="1"/>
    </row>
    <row r="13" spans="2:17" ht="18" customHeight="1" x14ac:dyDescent="0.35">
      <c r="B13" s="12" t="s">
        <v>655</v>
      </c>
      <c r="C13" s="12"/>
      <c r="D13" s="12"/>
      <c r="E13" s="12"/>
      <c r="F13" s="12"/>
      <c r="G13" s="12"/>
      <c r="H13" s="12"/>
      <c r="I13" s="12"/>
      <c r="J13" s="12"/>
      <c r="K13" s="12"/>
      <c r="L13" s="12"/>
      <c r="M13" s="12"/>
      <c r="N13" s="12"/>
      <c r="O13" s="12"/>
      <c r="P13" s="12"/>
      <c r="Q13" s="12"/>
    </row>
    <row r="14" spans="2:17" x14ac:dyDescent="0.35">
      <c r="B14" s="32" t="s">
        <v>656</v>
      </c>
      <c r="C14" s="126">
        <f>COUNTIF('Portfolio Register'!$CX$5:$CX$304,"REFER")+COUNTIF('Portfolio Register'!$CX$5:$CX$304,"DECLINE")</f>
        <v>3</v>
      </c>
    </row>
    <row r="15" spans="2:17" x14ac:dyDescent="0.35">
      <c r="B15" s="36" t="s">
        <v>657</v>
      </c>
      <c r="C15" s="109">
        <f>COUNTIF('Portfolio Register'!$DG$5:$DG$304,"YES - approved*")</f>
        <v>0</v>
      </c>
    </row>
    <row r="16" spans="2:17" x14ac:dyDescent="0.35">
      <c r="B16" s="140" t="s">
        <v>658</v>
      </c>
      <c r="C16" s="126">
        <f>COUNTIF('Portfolio Register'!$DG$5:$DG$304,"NO - AWAITING APPROVAL")</f>
        <v>3</v>
      </c>
    </row>
    <row r="17" spans="2:17" x14ac:dyDescent="0.35">
      <c r="B17" s="36" t="s">
        <v>659</v>
      </c>
      <c r="C17" s="109">
        <f>COUNTIF('Portfolio Register'!$DG$5:$DG$304,"NO - DECLINED")</f>
        <v>0</v>
      </c>
    </row>
    <row r="18" spans="2:17" x14ac:dyDescent="0.35">
      <c r="B18" s="36" t="s">
        <v>598</v>
      </c>
      <c r="C18" s="109">
        <f>COUNTIF('Portfolio Register'!$DG$5:$DG$304,"NO - INCOMPLETE INPUTS")</f>
        <v>0</v>
      </c>
    </row>
    <row r="19" spans="2:17" x14ac:dyDescent="0.35">
      <c r="B19" s="140" t="s">
        <v>660</v>
      </c>
      <c r="C19" s="126">
        <f>COUNTIF('Portfolio Register'!$CY$5:$CY$304,"&lt;"&amp;'Technical Premium'!$C$19)</f>
        <v>0</v>
      </c>
    </row>
    <row r="20" spans="2:17" x14ac:dyDescent="0.35">
      <c r="B20" s="140" t="s">
        <v>661</v>
      </c>
      <c r="C20" s="126">
        <f>SUMPRODUCT(('Portfolio Register'!$CY$5:$CY$304&lt;'Technical Premium'!$C$19)*('Portfolio Register'!$CY$5:$CY$304&lt;&gt;"")*('Portfolio Register'!$DG$5:$DG$304="NO - AWAITING APPROVAL"))</f>
        <v>0</v>
      </c>
    </row>
    <row r="21" spans="2:17" x14ac:dyDescent="0.35">
      <c r="B21" s="36" t="s">
        <v>662</v>
      </c>
      <c r="C21" s="60">
        <f>SUMIF('Portfolio Register'!$DG$5:$DG$304,"NO - AWAITING APPROVAL",'Portfolio Register'!$CO$5:$CO$304)</f>
        <v>168805.21124801956</v>
      </c>
    </row>
    <row r="22" spans="2:17" x14ac:dyDescent="0.35">
      <c r="B22" s="36" t="s">
        <v>663</v>
      </c>
      <c r="C22" s="60">
        <f>SUMIFS('Portfolio Register'!$CO$5:$CO$304,'Portfolio Register'!$CZ$5:$CZ$304,"BEYOND AUTHORITY",'Portfolio Register'!$DG$5:$DG$304,"YES - approved*")</f>
        <v>0</v>
      </c>
    </row>
    <row r="23" spans="2:17" x14ac:dyDescent="0.35">
      <c r="B23" s="36" t="s">
        <v>664</v>
      </c>
      <c r="C23" s="109">
        <f>SUMPRODUCT(('Portfolio Register'!$CX$5:$CX$304="REFER")*('Portfolio Register'!$DB$5:$DB$304="")*('Portfolio Register'!$DD$5:$DD$304&lt;&gt;""))</f>
        <v>0</v>
      </c>
    </row>
    <row r="24" spans="2:17" x14ac:dyDescent="0.35">
      <c r="B24" s="36" t="s">
        <v>665</v>
      </c>
      <c r="C24" s="141" t="str">
        <f>IF(C14&gt;150,"OVERFLOW - increase log rows","OK - "&amp;C14&amp;" of 150 rows used")</f>
        <v>OK - 3 of 150 rows used</v>
      </c>
    </row>
    <row r="26" spans="2:17" ht="18" customHeight="1" x14ac:dyDescent="0.35">
      <c r="B26" s="12" t="s">
        <v>666</v>
      </c>
      <c r="C26" s="12"/>
      <c r="D26" s="12"/>
      <c r="E26" s="12"/>
      <c r="F26" s="12"/>
      <c r="G26" s="12"/>
      <c r="H26" s="12"/>
      <c r="I26" s="12"/>
      <c r="J26" s="12"/>
      <c r="K26" s="12"/>
      <c r="L26" s="12"/>
      <c r="M26" s="12"/>
      <c r="N26" s="12"/>
      <c r="O26" s="12"/>
      <c r="P26" s="12"/>
      <c r="Q26" s="12"/>
    </row>
    <row r="27" spans="2:17" ht="33.75" customHeight="1" x14ac:dyDescent="0.35">
      <c r="B27" s="22" t="s">
        <v>667</v>
      </c>
      <c r="C27" s="22" t="s">
        <v>668</v>
      </c>
      <c r="D27" s="22" t="s">
        <v>669</v>
      </c>
      <c r="E27" s="22" t="s">
        <v>167</v>
      </c>
      <c r="F27" s="22" t="s">
        <v>670</v>
      </c>
      <c r="G27" s="22" t="s">
        <v>671</v>
      </c>
      <c r="H27" s="22" t="s">
        <v>487</v>
      </c>
      <c r="I27" s="22" t="s">
        <v>488</v>
      </c>
      <c r="J27" s="22" t="s">
        <v>672</v>
      </c>
      <c r="K27" s="22" t="s">
        <v>673</v>
      </c>
      <c r="L27" s="22" t="s">
        <v>491</v>
      </c>
      <c r="M27" s="22" t="s">
        <v>492</v>
      </c>
      <c r="N27" s="22" t="s">
        <v>674</v>
      </c>
      <c r="O27" s="22" t="s">
        <v>675</v>
      </c>
      <c r="P27" s="22" t="s">
        <v>676</v>
      </c>
      <c r="Q27" s="22" t="s">
        <v>494</v>
      </c>
    </row>
    <row r="28" spans="2:17" x14ac:dyDescent="0.35">
      <c r="B28" s="58">
        <v>1</v>
      </c>
      <c r="C28" s="142" t="str">
        <f>IFERROR(IF(INDEX('Portfolio Register'!$A$5:$A$304,MATCH($B28,'Portfolio Register'!$DH$5:$DH$304,0))="","",INDEX('Portfolio Register'!$A$5:$A$304,MATCH($B28,'Portfolio Register'!$DH$5:$DH$304,0))),"")</f>
        <v>V-0002</v>
      </c>
      <c r="D28" s="142" t="str">
        <f>IFERROR(IF(INDEX('Portfolio Register'!$B$5:$B$304,MATCH($B28,'Portfolio Register'!$DH$5:$DH$304,0))="","",INDEX('Portfolio Register'!$B$5:$B$304,MATCH($B28,'Portfolio Register'!$DH$5:$DH$304,0))),"")</f>
        <v>Sonoran Collection Trust</v>
      </c>
      <c r="E28" s="142" t="str">
        <f>IFERROR(IF(INDEX('Portfolio Register'!$I$5:$I$304,MATCH($B28,'Portfolio Register'!$DH$5:$DH$304,0))="","",INDEX('Portfolio Register'!$I$5:$I$304,MATCH($B28,'Portfolio Register'!$DH$5:$DH$304,0))),"")</f>
        <v>04 - Hypercar</v>
      </c>
      <c r="F28" s="143">
        <f>IFERROR(IF(INDEX('Portfolio Register'!$J$5:$J$304,MATCH($B28,'Portfolio Register'!$DH$5:$DH$304,0))="","",INDEX('Portfolio Register'!$J$5:$J$304,MATCH($B28,'Portfolio Register'!$DH$5:$DH$304,0))),"")</f>
        <v>3600000</v>
      </c>
      <c r="G28" s="142" t="str">
        <f>IFERROR(IF(INDEX('Portfolio Register'!$CX$5:$CX$304,MATCH($B28,'Portfolio Register'!$DH$5:$DH$304,0))="","",INDEX('Portfolio Register'!$CX$5:$CX$304,MATCH($B28,'Portfolio Register'!$DH$5:$DH$304,0))),"")</f>
        <v>REFER</v>
      </c>
      <c r="H28" s="144">
        <f>IFERROR(IF(INDEX('Portfolio Register'!$CY$5:$CY$304,MATCH($B28,'Portfolio Register'!$DH$5:$DH$304,0))="","",INDEX('Portfolio Register'!$CY$5:$CY$304,MATCH($B28,'Portfolio Register'!$DH$5:$DH$304,0))),"")</f>
        <v>0</v>
      </c>
      <c r="I28" s="142" t="str">
        <f>IFERROR(IF(INDEX('Portfolio Register'!$CZ$5:$CZ$304,MATCH($B28,'Portfolio Register'!$DH$5:$DH$304,0))="","",INDEX('Portfolio Register'!$CZ$5:$CZ$304,MATCH($B28,'Portfolio Register'!$DH$5:$DH$304,0))),"")</f>
        <v>At technical</v>
      </c>
      <c r="J28" s="142" t="str">
        <f>IFERROR(IF(INDEX('Portfolio Register'!$DA$5:$DA$304,MATCH($B28,'Portfolio Register'!$DH$5:$DH$304,0))="","",INDEX('Portfolio Register'!$DA$5:$DA$304,MATCH($B28,'Portfolio Register'!$DH$5:$DH$304,0))),"")</f>
        <v>Agreed value at or above auto-bind limit.</v>
      </c>
      <c r="K28" s="142" t="str">
        <f>IFERROR(IF(INDEX('Portfolio Register'!$DB$5:$DB$304,MATCH($B28,'Portfolio Register'!$DH$5:$DH$304,0))="","",INDEX('Portfolio Register'!$DB$5:$DB$304,MATCH($B28,'Portfolio Register'!$DH$5:$DH$304,0))),"")</f>
        <v/>
      </c>
      <c r="L28" s="142" t="str">
        <f>IFERROR(IF(INDEX('Portfolio Register'!$DC$5:$DC$304,MATCH($B28,'Portfolio Register'!$DH$5:$DH$304,0))="","",INDEX('Portfolio Register'!$DC$5:$DC$304,MATCH($B28,'Portfolio Register'!$DH$5:$DH$304,0))),"")</f>
        <v/>
      </c>
      <c r="M28" s="145" t="str">
        <f>IFERROR(IF(INDEX('Portfolio Register'!$DD$5:$DD$304,MATCH($B28,'Portfolio Register'!$DH$5:$DH$304,0))="","",INDEX('Portfolio Register'!$DD$5:$DD$304,MATCH($B28,'Portfolio Register'!$DH$5:$DH$304,0))),"")</f>
        <v/>
      </c>
      <c r="N28" s="146">
        <f ca="1">IF($C28="","",IF($M28&lt;&gt;"",$M28-IFERROR(INDEX('Portfolio Register'!$C$5:$C$304,MATCH($B28,'Portfolio Register'!$DH$5:$DH$304,0)),$M28),TODAY()-IFERROR(INDEX('Portfolio Register'!$C$5:$C$304,MATCH($B28,'Portfolio Register'!$DH$5:$DH$304,0)),TODAY())))</f>
        <v>149</v>
      </c>
      <c r="O28" s="147" t="str">
        <f t="shared" ref="O28:O59" si="0">IF($C28="","",IF($L28="","NO ROLE RECORDED",IF($H28&lt;IFERROR(INDEX($C$6:$C$10,MATCH($L28,$B$6:$B$10,0)),-99),"INSUFFICIENT AUTHORITY - escalate","OK")))</f>
        <v>NO ROLE RECORDED</v>
      </c>
      <c r="P28" s="142" t="str">
        <f>IFERROR(IF(INDEX('Portfolio Register'!$DG$5:$DG$304,MATCH($B28,'Portfolio Register'!$DH$5:$DH$304,0))="","",INDEX('Portfolio Register'!$DG$5:$DG$304,MATCH($B28,'Portfolio Register'!$DH$5:$DH$304,0))),"")</f>
        <v>NO - AWAITING APPROVAL</v>
      </c>
      <c r="Q28" s="142" t="str">
        <f>IFERROR(IF(INDEX('Portfolio Register'!$DF$5:$DF$304,MATCH($B28,'Portfolio Register'!$DH$5:$DH$304,0))="","",INDEX('Portfolio Register'!$DF$5:$DF$304,MATCH($B28,'Portfolio Register'!$DH$5:$DH$304,0))),"")</f>
        <v/>
      </c>
    </row>
    <row r="29" spans="2:17" ht="19.5" customHeight="1" x14ac:dyDescent="0.35">
      <c r="B29" s="65">
        <v>2</v>
      </c>
      <c r="C29" s="148" t="str">
        <f>IFERROR(IF(INDEX('Portfolio Register'!$A$5:$A$304,MATCH($B29,'Portfolio Register'!$DH$5:$DH$304,0))="","",INDEX('Portfolio Register'!$A$5:$A$304,MATCH($B29,'Portfolio Register'!$DH$5:$DH$304,0))),"")</f>
        <v>V-0004</v>
      </c>
      <c r="D29" s="148" t="str">
        <f>IFERROR(IF(INDEX('Portfolio Register'!$B$5:$B$304,MATCH($B29,'Portfolio Register'!$DH$5:$DH$304,0))="","",INDEX('Portfolio Register'!$B$5:$B$304,MATCH($B29,'Portfolio Register'!$DH$5:$DH$304,0))),"")</f>
        <v>Meridian Motorcars LLC</v>
      </c>
      <c r="E29" s="148" t="str">
        <f>IFERROR(IF(INDEX('Portfolio Register'!$I$5:$I$304,MATCH($B29,'Portfolio Register'!$DH$5:$DH$304,0))="","",INDEX('Portfolio Register'!$I$5:$I$304,MATCH($B29,'Portfolio Register'!$DH$5:$DH$304,0))),"")</f>
        <v>03 - Supercar</v>
      </c>
      <c r="F29" s="149">
        <f>IFERROR(IF(INDEX('Portfolio Register'!$J$5:$J$304,MATCH($B29,'Portfolio Register'!$DH$5:$DH$304,0))="","",INDEX('Portfolio Register'!$J$5:$J$304,MATCH($B29,'Portfolio Register'!$DH$5:$DH$304,0))),"")</f>
        <v>280000</v>
      </c>
      <c r="G29" s="148" t="str">
        <f>IFERROR(IF(INDEX('Portfolio Register'!$CX$5:$CX$304,MATCH($B29,'Portfolio Register'!$DH$5:$DH$304,0))="","",INDEX('Portfolio Register'!$CX$5:$CX$304,MATCH($B29,'Portfolio Register'!$DH$5:$DH$304,0))),"")</f>
        <v>REFER</v>
      </c>
      <c r="H29" s="150">
        <f>IFERROR(IF(INDEX('Portfolio Register'!$CY$5:$CY$304,MATCH($B29,'Portfolio Register'!$DH$5:$DH$304,0))="","",INDEX('Portfolio Register'!$CY$5:$CY$304,MATCH($B29,'Portfolio Register'!$DH$5:$DH$304,0))),"")</f>
        <v>0.10000000000000009</v>
      </c>
      <c r="I29" s="148" t="str">
        <f>IFERROR(IF(INDEX('Portfolio Register'!$CZ$5:$CZ$304,MATCH($B29,'Portfolio Register'!$DH$5:$DH$304,0))="","",INDEX('Portfolio Register'!$CZ$5:$CZ$304,MATCH($B29,'Portfolio Register'!$DH$5:$DH$304,0))),"")</f>
        <v>Above technical</v>
      </c>
      <c r="J29" s="148" t="str">
        <f>IFERROR(IF(INDEX('Portfolio Register'!$DA$5:$DA$304,MATCH($B29,'Portfolio Register'!$DH$5:$DH$304,0))="","",INDEX('Portfolio Register'!$DA$5:$DA$304,MATCH($B29,'Portfolio Register'!$DH$5:$DH$304,0))),"")</f>
        <v>Composite factor at cap. Composite factor above 2.50. Usage class.</v>
      </c>
      <c r="K29" s="148" t="str">
        <f>IFERROR(IF(INDEX('Portfolio Register'!$DB$5:$DB$304,MATCH($B29,'Portfolio Register'!$DH$5:$DH$304,0))="","",INDEX('Portfolio Register'!$DB$5:$DB$304,MATCH($B29,'Portfolio Register'!$DH$5:$DH$304,0))),"")</f>
        <v/>
      </c>
      <c r="L29" s="148" t="str">
        <f>IFERROR(IF(INDEX('Portfolio Register'!$DC$5:$DC$304,MATCH($B29,'Portfolio Register'!$DH$5:$DH$304,0))="","",INDEX('Portfolio Register'!$DC$5:$DC$304,MATCH($B29,'Portfolio Register'!$DH$5:$DH$304,0))),"")</f>
        <v/>
      </c>
      <c r="M29" s="151" t="str">
        <f>IFERROR(IF(INDEX('Portfolio Register'!$DD$5:$DD$304,MATCH($B29,'Portfolio Register'!$DH$5:$DH$304,0))="","",INDEX('Portfolio Register'!$DD$5:$DD$304,MATCH($B29,'Portfolio Register'!$DH$5:$DH$304,0))),"")</f>
        <v/>
      </c>
      <c r="N29" s="152">
        <f ca="1">IF($C29="","",IF($M29&lt;&gt;"",$M29-IFERROR(INDEX('Portfolio Register'!$C$5:$C$304,MATCH($B29,'Portfolio Register'!$DH$5:$DH$304,0)),$M29),TODAY()-IFERROR(INDEX('Portfolio Register'!$C$5:$C$304,MATCH($B29,'Portfolio Register'!$DH$5:$DH$304,0)),TODAY())))</f>
        <v>88</v>
      </c>
      <c r="O29" s="153" t="str">
        <f t="shared" si="0"/>
        <v>NO ROLE RECORDED</v>
      </c>
      <c r="P29" s="148" t="str">
        <f>IFERROR(IF(INDEX('Portfolio Register'!$DG$5:$DG$304,MATCH($B29,'Portfolio Register'!$DH$5:$DH$304,0))="","",INDEX('Portfolio Register'!$DG$5:$DG$304,MATCH($B29,'Portfolio Register'!$DH$5:$DH$304,0))),"")</f>
        <v>NO - AWAITING APPROVAL</v>
      </c>
      <c r="Q29" s="148" t="str">
        <f>IFERROR(IF(INDEX('Portfolio Register'!$DF$5:$DF$304,MATCH($B29,'Portfolio Register'!$DH$5:$DH$304,0))="","",INDEX('Portfolio Register'!$DF$5:$DF$304,MATCH($B29,'Portfolio Register'!$DH$5:$DH$304,0))),"")</f>
        <v/>
      </c>
    </row>
    <row r="30" spans="2:17" ht="19.5" customHeight="1" x14ac:dyDescent="0.35">
      <c r="B30" s="58">
        <v>3</v>
      </c>
      <c r="C30" s="142" t="str">
        <f>IFERROR(IF(INDEX('Portfolio Register'!$A$5:$A$304,MATCH($B30,'Portfolio Register'!$DH$5:$DH$304,0))="","",INDEX('Portfolio Register'!$A$5:$A$304,MATCH($B30,'Portfolio Register'!$DH$5:$DH$304,0))),"")</f>
        <v>V-0006</v>
      </c>
      <c r="D30" s="142" t="str">
        <f>IFERROR(IF(INDEX('Portfolio Register'!$B$5:$B$304,MATCH($B30,'Portfolio Register'!$DH$5:$DH$304,0))="","",INDEX('Portfolio Register'!$B$5:$B$304,MATCH($B30,'Portfolio Register'!$DH$5:$DH$304,0))),"")</f>
        <v>Pacific Crest Garage LLC</v>
      </c>
      <c r="E30" s="142" t="str">
        <f>IFERROR(IF(INDEX('Portfolio Register'!$I$5:$I$304,MATCH($B30,'Portfolio Register'!$DH$5:$DH$304,0))="","",INDEX('Portfolio Register'!$I$5:$I$304,MATCH($B30,'Portfolio Register'!$DH$5:$DH$304,0))),"")</f>
        <v>11 - Restomod / Coachbuilt / Bespoke</v>
      </c>
      <c r="F30" s="143">
        <f>IFERROR(IF(INDEX('Portfolio Register'!$J$5:$J$304,MATCH($B30,'Portfolio Register'!$DH$5:$DH$304,0))="","",INDEX('Portfolio Register'!$J$5:$J$304,MATCH($B30,'Portfolio Register'!$DH$5:$DH$304,0))),"")</f>
        <v>2200000</v>
      </c>
      <c r="G30" s="142" t="str">
        <f>IFERROR(IF(INDEX('Portfolio Register'!$CX$5:$CX$304,MATCH($B30,'Portfolio Register'!$DH$5:$DH$304,0))="","",INDEX('Portfolio Register'!$CX$5:$CX$304,MATCH($B30,'Portfolio Register'!$DH$5:$DH$304,0))),"")</f>
        <v>REFER</v>
      </c>
      <c r="H30" s="144">
        <f>IFERROR(IF(INDEX('Portfolio Register'!$CY$5:$CY$304,MATCH($B30,'Portfolio Register'!$DH$5:$DH$304,0))="","",INDEX('Portfolio Register'!$CY$5:$CY$304,MATCH($B30,'Portfolio Register'!$DH$5:$DH$304,0))),"")</f>
        <v>5.0000000000000044E-2</v>
      </c>
      <c r="I30" s="142" t="str">
        <f>IFERROR(IF(INDEX('Portfolio Register'!$CZ$5:$CZ$304,MATCH($B30,'Portfolio Register'!$DH$5:$DH$304,0))="","",INDEX('Portfolio Register'!$CZ$5:$CZ$304,MATCH($B30,'Portfolio Register'!$DH$5:$DH$304,0))),"")</f>
        <v>Above technical</v>
      </c>
      <c r="J30" s="142" t="str">
        <f>IFERROR(IF(INDEX('Portfolio Register'!$DA$5:$DA$304,MATCH($B30,'Portfolio Register'!$DH$5:$DH$304,0))="","",INDEX('Portfolio Register'!$DA$5:$DA$304,MATCH($B30,'Portfolio Register'!$DH$5:$DH$304,0))),"")</f>
        <v>Agreed value at or above auto-bind limit.</v>
      </c>
      <c r="K30" s="142" t="str">
        <f>IFERROR(IF(INDEX('Portfolio Register'!$DB$5:$DB$304,MATCH($B30,'Portfolio Register'!$DH$5:$DH$304,0))="","",INDEX('Portfolio Register'!$DB$5:$DB$304,MATCH($B30,'Portfolio Register'!$DH$5:$DH$304,0))),"")</f>
        <v/>
      </c>
      <c r="L30" s="142" t="str">
        <f>IFERROR(IF(INDEX('Portfolio Register'!$DC$5:$DC$304,MATCH($B30,'Portfolio Register'!$DH$5:$DH$304,0))="","",INDEX('Portfolio Register'!$DC$5:$DC$304,MATCH($B30,'Portfolio Register'!$DH$5:$DH$304,0))),"")</f>
        <v/>
      </c>
      <c r="M30" s="145" t="str">
        <f>IFERROR(IF(INDEX('Portfolio Register'!$DD$5:$DD$304,MATCH($B30,'Portfolio Register'!$DH$5:$DH$304,0))="","",INDEX('Portfolio Register'!$DD$5:$DD$304,MATCH($B30,'Portfolio Register'!$DH$5:$DH$304,0))),"")</f>
        <v/>
      </c>
      <c r="N30" s="146">
        <f ca="1">IF($C30="","",IF($M30&lt;&gt;"",$M30-IFERROR(INDEX('Portfolio Register'!$C$5:$C$304,MATCH($B30,'Portfolio Register'!$DH$5:$DH$304,0)),$M30),TODAY()-IFERROR(INDEX('Portfolio Register'!$C$5:$C$304,MATCH($B30,'Portfolio Register'!$DH$5:$DH$304,0)),TODAY())))</f>
        <v>27</v>
      </c>
      <c r="O30" s="147" t="str">
        <f t="shared" si="0"/>
        <v>NO ROLE RECORDED</v>
      </c>
      <c r="P30" s="142" t="str">
        <f>IFERROR(IF(INDEX('Portfolio Register'!$DG$5:$DG$304,MATCH($B30,'Portfolio Register'!$DH$5:$DH$304,0))="","",INDEX('Portfolio Register'!$DG$5:$DG$304,MATCH($B30,'Portfolio Register'!$DH$5:$DH$304,0))),"")</f>
        <v>NO - AWAITING APPROVAL</v>
      </c>
      <c r="Q30" s="142" t="str">
        <f>IFERROR(IF(INDEX('Portfolio Register'!$DF$5:$DF$304,MATCH($B30,'Portfolio Register'!$DH$5:$DH$304,0))="","",INDEX('Portfolio Register'!$DF$5:$DF$304,MATCH($B30,'Portfolio Register'!$DH$5:$DH$304,0))),"")</f>
        <v/>
      </c>
    </row>
    <row r="31" spans="2:17" x14ac:dyDescent="0.35">
      <c r="B31" s="65">
        <v>4</v>
      </c>
      <c r="C31" s="148" t="str">
        <f>IFERROR(IF(INDEX('Portfolio Register'!$A$5:$A$304,MATCH($B31,'Portfolio Register'!$DH$5:$DH$304,0))="","",INDEX('Portfolio Register'!$A$5:$A$304,MATCH($B31,'Portfolio Register'!$DH$5:$DH$304,0))),"")</f>
        <v/>
      </c>
      <c r="D31" s="148" t="str">
        <f>IFERROR(IF(INDEX('Portfolio Register'!$B$5:$B$304,MATCH($B31,'Portfolio Register'!$DH$5:$DH$304,0))="","",INDEX('Portfolio Register'!$B$5:$B$304,MATCH($B31,'Portfolio Register'!$DH$5:$DH$304,0))),"")</f>
        <v/>
      </c>
      <c r="E31" s="148" t="str">
        <f>IFERROR(IF(INDEX('Portfolio Register'!$I$5:$I$304,MATCH($B31,'Portfolio Register'!$DH$5:$DH$304,0))="","",INDEX('Portfolio Register'!$I$5:$I$304,MATCH($B31,'Portfolio Register'!$DH$5:$DH$304,0))),"")</f>
        <v/>
      </c>
      <c r="F31" s="149" t="str">
        <f>IFERROR(IF(INDEX('Portfolio Register'!$J$5:$J$304,MATCH($B31,'Portfolio Register'!$DH$5:$DH$304,0))="","",INDEX('Portfolio Register'!$J$5:$J$304,MATCH($B31,'Portfolio Register'!$DH$5:$DH$304,0))),"")</f>
        <v/>
      </c>
      <c r="G31" s="148" t="str">
        <f>IFERROR(IF(INDEX('Portfolio Register'!$CX$5:$CX$304,MATCH($B31,'Portfolio Register'!$DH$5:$DH$304,0))="","",INDEX('Portfolio Register'!$CX$5:$CX$304,MATCH($B31,'Portfolio Register'!$DH$5:$DH$304,0))),"")</f>
        <v/>
      </c>
      <c r="H31" s="150" t="str">
        <f>IFERROR(IF(INDEX('Portfolio Register'!$CY$5:$CY$304,MATCH($B31,'Portfolio Register'!$DH$5:$DH$304,0))="","",INDEX('Portfolio Register'!$CY$5:$CY$304,MATCH($B31,'Portfolio Register'!$DH$5:$DH$304,0))),"")</f>
        <v/>
      </c>
      <c r="I31" s="148" t="str">
        <f>IFERROR(IF(INDEX('Portfolio Register'!$CZ$5:$CZ$304,MATCH($B31,'Portfolio Register'!$DH$5:$DH$304,0))="","",INDEX('Portfolio Register'!$CZ$5:$CZ$304,MATCH($B31,'Portfolio Register'!$DH$5:$DH$304,0))),"")</f>
        <v/>
      </c>
      <c r="J31" s="148" t="str">
        <f>IFERROR(IF(INDEX('Portfolio Register'!$DA$5:$DA$304,MATCH($B31,'Portfolio Register'!$DH$5:$DH$304,0))="","",INDEX('Portfolio Register'!$DA$5:$DA$304,MATCH($B31,'Portfolio Register'!$DH$5:$DH$304,0))),"")</f>
        <v/>
      </c>
      <c r="K31" s="148" t="str">
        <f>IFERROR(IF(INDEX('Portfolio Register'!$DB$5:$DB$304,MATCH($B31,'Portfolio Register'!$DH$5:$DH$304,0))="","",INDEX('Portfolio Register'!$DB$5:$DB$304,MATCH($B31,'Portfolio Register'!$DH$5:$DH$304,0))),"")</f>
        <v/>
      </c>
      <c r="L31" s="148" t="str">
        <f>IFERROR(IF(INDEX('Portfolio Register'!$DC$5:$DC$304,MATCH($B31,'Portfolio Register'!$DH$5:$DH$304,0))="","",INDEX('Portfolio Register'!$DC$5:$DC$304,MATCH($B31,'Portfolio Register'!$DH$5:$DH$304,0))),"")</f>
        <v/>
      </c>
      <c r="M31" s="151" t="str">
        <f>IFERROR(IF(INDEX('Portfolio Register'!$DD$5:$DD$304,MATCH($B31,'Portfolio Register'!$DH$5:$DH$304,0))="","",INDEX('Portfolio Register'!$DD$5:$DD$304,MATCH($B31,'Portfolio Register'!$DH$5:$DH$304,0))),"")</f>
        <v/>
      </c>
      <c r="N31" s="152" t="str">
        <f ca="1">IF($C31="","",IF($M31&lt;&gt;"",$M31-IFERROR(INDEX('Portfolio Register'!$C$5:$C$304,MATCH($B31,'Portfolio Register'!$DH$5:$DH$304,0)),$M31),TODAY()-IFERROR(INDEX('Portfolio Register'!$C$5:$C$304,MATCH($B31,'Portfolio Register'!$DH$5:$DH$304,0)),TODAY())))</f>
        <v/>
      </c>
      <c r="O31" s="153" t="str">
        <f t="shared" si="0"/>
        <v/>
      </c>
      <c r="P31" s="148" t="str">
        <f>IFERROR(IF(INDEX('Portfolio Register'!$DG$5:$DG$304,MATCH($B31,'Portfolio Register'!$DH$5:$DH$304,0))="","",INDEX('Portfolio Register'!$DG$5:$DG$304,MATCH($B31,'Portfolio Register'!$DH$5:$DH$304,0))),"")</f>
        <v/>
      </c>
      <c r="Q31" s="148" t="str">
        <f>IFERROR(IF(INDEX('Portfolio Register'!$DF$5:$DF$304,MATCH($B31,'Portfolio Register'!$DH$5:$DH$304,0))="","",INDEX('Portfolio Register'!$DF$5:$DF$304,MATCH($B31,'Portfolio Register'!$DH$5:$DH$304,0))),"")</f>
        <v/>
      </c>
    </row>
    <row r="32" spans="2:17" x14ac:dyDescent="0.35">
      <c r="B32" s="58">
        <v>5</v>
      </c>
      <c r="C32" s="142" t="str">
        <f>IFERROR(IF(INDEX('Portfolio Register'!$A$5:$A$304,MATCH($B32,'Portfolio Register'!$DH$5:$DH$304,0))="","",INDEX('Portfolio Register'!$A$5:$A$304,MATCH($B32,'Portfolio Register'!$DH$5:$DH$304,0))),"")</f>
        <v/>
      </c>
      <c r="D32" s="142" t="str">
        <f>IFERROR(IF(INDEX('Portfolio Register'!$B$5:$B$304,MATCH($B32,'Portfolio Register'!$DH$5:$DH$304,0))="","",INDEX('Portfolio Register'!$B$5:$B$304,MATCH($B32,'Portfolio Register'!$DH$5:$DH$304,0))),"")</f>
        <v/>
      </c>
      <c r="E32" s="142" t="str">
        <f>IFERROR(IF(INDEX('Portfolio Register'!$I$5:$I$304,MATCH($B32,'Portfolio Register'!$DH$5:$DH$304,0))="","",INDEX('Portfolio Register'!$I$5:$I$304,MATCH($B32,'Portfolio Register'!$DH$5:$DH$304,0))),"")</f>
        <v/>
      </c>
      <c r="F32" s="143" t="str">
        <f>IFERROR(IF(INDEX('Portfolio Register'!$J$5:$J$304,MATCH($B32,'Portfolio Register'!$DH$5:$DH$304,0))="","",INDEX('Portfolio Register'!$J$5:$J$304,MATCH($B32,'Portfolio Register'!$DH$5:$DH$304,0))),"")</f>
        <v/>
      </c>
      <c r="G32" s="142" t="str">
        <f>IFERROR(IF(INDEX('Portfolio Register'!$CX$5:$CX$304,MATCH($B32,'Portfolio Register'!$DH$5:$DH$304,0))="","",INDEX('Portfolio Register'!$CX$5:$CX$304,MATCH($B32,'Portfolio Register'!$DH$5:$DH$304,0))),"")</f>
        <v/>
      </c>
      <c r="H32" s="144" t="str">
        <f>IFERROR(IF(INDEX('Portfolio Register'!$CY$5:$CY$304,MATCH($B32,'Portfolio Register'!$DH$5:$DH$304,0))="","",INDEX('Portfolio Register'!$CY$5:$CY$304,MATCH($B32,'Portfolio Register'!$DH$5:$DH$304,0))),"")</f>
        <v/>
      </c>
      <c r="I32" s="142" t="str">
        <f>IFERROR(IF(INDEX('Portfolio Register'!$CZ$5:$CZ$304,MATCH($B32,'Portfolio Register'!$DH$5:$DH$304,0))="","",INDEX('Portfolio Register'!$CZ$5:$CZ$304,MATCH($B32,'Portfolio Register'!$DH$5:$DH$304,0))),"")</f>
        <v/>
      </c>
      <c r="J32" s="142" t="str">
        <f>IFERROR(IF(INDEX('Portfolio Register'!$DA$5:$DA$304,MATCH($B32,'Portfolio Register'!$DH$5:$DH$304,0))="","",INDEX('Portfolio Register'!$DA$5:$DA$304,MATCH($B32,'Portfolio Register'!$DH$5:$DH$304,0))),"")</f>
        <v/>
      </c>
      <c r="K32" s="142" t="str">
        <f>IFERROR(IF(INDEX('Portfolio Register'!$DB$5:$DB$304,MATCH($B32,'Portfolio Register'!$DH$5:$DH$304,0))="","",INDEX('Portfolio Register'!$DB$5:$DB$304,MATCH($B32,'Portfolio Register'!$DH$5:$DH$304,0))),"")</f>
        <v/>
      </c>
      <c r="L32" s="142" t="str">
        <f>IFERROR(IF(INDEX('Portfolio Register'!$DC$5:$DC$304,MATCH($B32,'Portfolio Register'!$DH$5:$DH$304,0))="","",INDEX('Portfolio Register'!$DC$5:$DC$304,MATCH($B32,'Portfolio Register'!$DH$5:$DH$304,0))),"")</f>
        <v/>
      </c>
      <c r="M32" s="145" t="str">
        <f>IFERROR(IF(INDEX('Portfolio Register'!$DD$5:$DD$304,MATCH($B32,'Portfolio Register'!$DH$5:$DH$304,0))="","",INDEX('Portfolio Register'!$DD$5:$DD$304,MATCH($B32,'Portfolio Register'!$DH$5:$DH$304,0))),"")</f>
        <v/>
      </c>
      <c r="N32" s="146" t="str">
        <f ca="1">IF($C32="","",IF($M32&lt;&gt;"",$M32-IFERROR(INDEX('Portfolio Register'!$C$5:$C$304,MATCH($B32,'Portfolio Register'!$DH$5:$DH$304,0)),$M32),TODAY()-IFERROR(INDEX('Portfolio Register'!$C$5:$C$304,MATCH($B32,'Portfolio Register'!$DH$5:$DH$304,0)),TODAY())))</f>
        <v/>
      </c>
      <c r="O32" s="147" t="str">
        <f t="shared" si="0"/>
        <v/>
      </c>
      <c r="P32" s="142" t="str">
        <f>IFERROR(IF(INDEX('Portfolio Register'!$DG$5:$DG$304,MATCH($B32,'Portfolio Register'!$DH$5:$DH$304,0))="","",INDEX('Portfolio Register'!$DG$5:$DG$304,MATCH($B32,'Portfolio Register'!$DH$5:$DH$304,0))),"")</f>
        <v/>
      </c>
      <c r="Q32" s="142" t="str">
        <f>IFERROR(IF(INDEX('Portfolio Register'!$DF$5:$DF$304,MATCH($B32,'Portfolio Register'!$DH$5:$DH$304,0))="","",INDEX('Portfolio Register'!$DF$5:$DF$304,MATCH($B32,'Portfolio Register'!$DH$5:$DH$304,0))),"")</f>
        <v/>
      </c>
    </row>
    <row r="33" spans="2:17" x14ac:dyDescent="0.35">
      <c r="B33" s="65">
        <v>6</v>
      </c>
      <c r="C33" s="148" t="str">
        <f>IFERROR(IF(INDEX('Portfolio Register'!$A$5:$A$304,MATCH($B33,'Portfolio Register'!$DH$5:$DH$304,0))="","",INDEX('Portfolio Register'!$A$5:$A$304,MATCH($B33,'Portfolio Register'!$DH$5:$DH$304,0))),"")</f>
        <v/>
      </c>
      <c r="D33" s="148" t="str">
        <f>IFERROR(IF(INDEX('Portfolio Register'!$B$5:$B$304,MATCH($B33,'Portfolio Register'!$DH$5:$DH$304,0))="","",INDEX('Portfolio Register'!$B$5:$B$304,MATCH($B33,'Portfolio Register'!$DH$5:$DH$304,0))),"")</f>
        <v/>
      </c>
      <c r="E33" s="148" t="str">
        <f>IFERROR(IF(INDEX('Portfolio Register'!$I$5:$I$304,MATCH($B33,'Portfolio Register'!$DH$5:$DH$304,0))="","",INDEX('Portfolio Register'!$I$5:$I$304,MATCH($B33,'Portfolio Register'!$DH$5:$DH$304,0))),"")</f>
        <v/>
      </c>
      <c r="F33" s="149" t="str">
        <f>IFERROR(IF(INDEX('Portfolio Register'!$J$5:$J$304,MATCH($B33,'Portfolio Register'!$DH$5:$DH$304,0))="","",INDEX('Portfolio Register'!$J$5:$J$304,MATCH($B33,'Portfolio Register'!$DH$5:$DH$304,0))),"")</f>
        <v/>
      </c>
      <c r="G33" s="148" t="str">
        <f>IFERROR(IF(INDEX('Portfolio Register'!$CX$5:$CX$304,MATCH($B33,'Portfolio Register'!$DH$5:$DH$304,0))="","",INDEX('Portfolio Register'!$CX$5:$CX$304,MATCH($B33,'Portfolio Register'!$DH$5:$DH$304,0))),"")</f>
        <v/>
      </c>
      <c r="H33" s="150" t="str">
        <f>IFERROR(IF(INDEX('Portfolio Register'!$CY$5:$CY$304,MATCH($B33,'Portfolio Register'!$DH$5:$DH$304,0))="","",INDEX('Portfolio Register'!$CY$5:$CY$304,MATCH($B33,'Portfolio Register'!$DH$5:$DH$304,0))),"")</f>
        <v/>
      </c>
      <c r="I33" s="148" t="str">
        <f>IFERROR(IF(INDEX('Portfolio Register'!$CZ$5:$CZ$304,MATCH($B33,'Portfolio Register'!$DH$5:$DH$304,0))="","",INDEX('Portfolio Register'!$CZ$5:$CZ$304,MATCH($B33,'Portfolio Register'!$DH$5:$DH$304,0))),"")</f>
        <v/>
      </c>
      <c r="J33" s="148" t="str">
        <f>IFERROR(IF(INDEX('Portfolio Register'!$DA$5:$DA$304,MATCH($B33,'Portfolio Register'!$DH$5:$DH$304,0))="","",INDEX('Portfolio Register'!$DA$5:$DA$304,MATCH($B33,'Portfolio Register'!$DH$5:$DH$304,0))),"")</f>
        <v/>
      </c>
      <c r="K33" s="148" t="str">
        <f>IFERROR(IF(INDEX('Portfolio Register'!$DB$5:$DB$304,MATCH($B33,'Portfolio Register'!$DH$5:$DH$304,0))="","",INDEX('Portfolio Register'!$DB$5:$DB$304,MATCH($B33,'Portfolio Register'!$DH$5:$DH$304,0))),"")</f>
        <v/>
      </c>
      <c r="L33" s="148" t="str">
        <f>IFERROR(IF(INDEX('Portfolio Register'!$DC$5:$DC$304,MATCH($B33,'Portfolio Register'!$DH$5:$DH$304,0))="","",INDEX('Portfolio Register'!$DC$5:$DC$304,MATCH($B33,'Portfolio Register'!$DH$5:$DH$304,0))),"")</f>
        <v/>
      </c>
      <c r="M33" s="151" t="str">
        <f>IFERROR(IF(INDEX('Portfolio Register'!$DD$5:$DD$304,MATCH($B33,'Portfolio Register'!$DH$5:$DH$304,0))="","",INDEX('Portfolio Register'!$DD$5:$DD$304,MATCH($B33,'Portfolio Register'!$DH$5:$DH$304,0))),"")</f>
        <v/>
      </c>
      <c r="N33" s="152" t="str">
        <f ca="1">IF($C33="","",IF($M33&lt;&gt;"",$M33-IFERROR(INDEX('Portfolio Register'!$C$5:$C$304,MATCH($B33,'Portfolio Register'!$DH$5:$DH$304,0)),$M33),TODAY()-IFERROR(INDEX('Portfolio Register'!$C$5:$C$304,MATCH($B33,'Portfolio Register'!$DH$5:$DH$304,0)),TODAY())))</f>
        <v/>
      </c>
      <c r="O33" s="153" t="str">
        <f t="shared" si="0"/>
        <v/>
      </c>
      <c r="P33" s="148" t="str">
        <f>IFERROR(IF(INDEX('Portfolio Register'!$DG$5:$DG$304,MATCH($B33,'Portfolio Register'!$DH$5:$DH$304,0))="","",INDEX('Portfolio Register'!$DG$5:$DG$304,MATCH($B33,'Portfolio Register'!$DH$5:$DH$304,0))),"")</f>
        <v/>
      </c>
      <c r="Q33" s="148" t="str">
        <f>IFERROR(IF(INDEX('Portfolio Register'!$DF$5:$DF$304,MATCH($B33,'Portfolio Register'!$DH$5:$DH$304,0))="","",INDEX('Portfolio Register'!$DF$5:$DF$304,MATCH($B33,'Portfolio Register'!$DH$5:$DH$304,0))),"")</f>
        <v/>
      </c>
    </row>
    <row r="34" spans="2:17" x14ac:dyDescent="0.35">
      <c r="B34" s="58">
        <v>7</v>
      </c>
      <c r="C34" s="142" t="str">
        <f>IFERROR(IF(INDEX('Portfolio Register'!$A$5:$A$304,MATCH($B34,'Portfolio Register'!$DH$5:$DH$304,0))="","",INDEX('Portfolio Register'!$A$5:$A$304,MATCH($B34,'Portfolio Register'!$DH$5:$DH$304,0))),"")</f>
        <v/>
      </c>
      <c r="D34" s="142" t="str">
        <f>IFERROR(IF(INDEX('Portfolio Register'!$B$5:$B$304,MATCH($B34,'Portfolio Register'!$DH$5:$DH$304,0))="","",INDEX('Portfolio Register'!$B$5:$B$304,MATCH($B34,'Portfolio Register'!$DH$5:$DH$304,0))),"")</f>
        <v/>
      </c>
      <c r="E34" s="142" t="str">
        <f>IFERROR(IF(INDEX('Portfolio Register'!$I$5:$I$304,MATCH($B34,'Portfolio Register'!$DH$5:$DH$304,0))="","",INDEX('Portfolio Register'!$I$5:$I$304,MATCH($B34,'Portfolio Register'!$DH$5:$DH$304,0))),"")</f>
        <v/>
      </c>
      <c r="F34" s="143" t="str">
        <f>IFERROR(IF(INDEX('Portfolio Register'!$J$5:$J$304,MATCH($B34,'Portfolio Register'!$DH$5:$DH$304,0))="","",INDEX('Portfolio Register'!$J$5:$J$304,MATCH($B34,'Portfolio Register'!$DH$5:$DH$304,0))),"")</f>
        <v/>
      </c>
      <c r="G34" s="142" t="str">
        <f>IFERROR(IF(INDEX('Portfolio Register'!$CX$5:$CX$304,MATCH($B34,'Portfolio Register'!$DH$5:$DH$304,0))="","",INDEX('Portfolio Register'!$CX$5:$CX$304,MATCH($B34,'Portfolio Register'!$DH$5:$DH$304,0))),"")</f>
        <v/>
      </c>
      <c r="H34" s="144" t="str">
        <f>IFERROR(IF(INDEX('Portfolio Register'!$CY$5:$CY$304,MATCH($B34,'Portfolio Register'!$DH$5:$DH$304,0))="","",INDEX('Portfolio Register'!$CY$5:$CY$304,MATCH($B34,'Portfolio Register'!$DH$5:$DH$304,0))),"")</f>
        <v/>
      </c>
      <c r="I34" s="142" t="str">
        <f>IFERROR(IF(INDEX('Portfolio Register'!$CZ$5:$CZ$304,MATCH($B34,'Portfolio Register'!$DH$5:$DH$304,0))="","",INDEX('Portfolio Register'!$CZ$5:$CZ$304,MATCH($B34,'Portfolio Register'!$DH$5:$DH$304,0))),"")</f>
        <v/>
      </c>
      <c r="J34" s="142" t="str">
        <f>IFERROR(IF(INDEX('Portfolio Register'!$DA$5:$DA$304,MATCH($B34,'Portfolio Register'!$DH$5:$DH$304,0))="","",INDEX('Portfolio Register'!$DA$5:$DA$304,MATCH($B34,'Portfolio Register'!$DH$5:$DH$304,0))),"")</f>
        <v/>
      </c>
      <c r="K34" s="142" t="str">
        <f>IFERROR(IF(INDEX('Portfolio Register'!$DB$5:$DB$304,MATCH($B34,'Portfolio Register'!$DH$5:$DH$304,0))="","",INDEX('Portfolio Register'!$DB$5:$DB$304,MATCH($B34,'Portfolio Register'!$DH$5:$DH$304,0))),"")</f>
        <v/>
      </c>
      <c r="L34" s="142" t="str">
        <f>IFERROR(IF(INDEX('Portfolio Register'!$DC$5:$DC$304,MATCH($B34,'Portfolio Register'!$DH$5:$DH$304,0))="","",INDEX('Portfolio Register'!$DC$5:$DC$304,MATCH($B34,'Portfolio Register'!$DH$5:$DH$304,0))),"")</f>
        <v/>
      </c>
      <c r="M34" s="145" t="str">
        <f>IFERROR(IF(INDEX('Portfolio Register'!$DD$5:$DD$304,MATCH($B34,'Portfolio Register'!$DH$5:$DH$304,0))="","",INDEX('Portfolio Register'!$DD$5:$DD$304,MATCH($B34,'Portfolio Register'!$DH$5:$DH$304,0))),"")</f>
        <v/>
      </c>
      <c r="N34" s="146" t="str">
        <f ca="1">IF($C34="","",IF($M34&lt;&gt;"",$M34-IFERROR(INDEX('Portfolio Register'!$C$5:$C$304,MATCH($B34,'Portfolio Register'!$DH$5:$DH$304,0)),$M34),TODAY()-IFERROR(INDEX('Portfolio Register'!$C$5:$C$304,MATCH($B34,'Portfolio Register'!$DH$5:$DH$304,0)),TODAY())))</f>
        <v/>
      </c>
      <c r="O34" s="147" t="str">
        <f t="shared" si="0"/>
        <v/>
      </c>
      <c r="P34" s="142" t="str">
        <f>IFERROR(IF(INDEX('Portfolio Register'!$DG$5:$DG$304,MATCH($B34,'Portfolio Register'!$DH$5:$DH$304,0))="","",INDEX('Portfolio Register'!$DG$5:$DG$304,MATCH($B34,'Portfolio Register'!$DH$5:$DH$304,0))),"")</f>
        <v/>
      </c>
      <c r="Q34" s="142" t="str">
        <f>IFERROR(IF(INDEX('Portfolio Register'!$DF$5:$DF$304,MATCH($B34,'Portfolio Register'!$DH$5:$DH$304,0))="","",INDEX('Portfolio Register'!$DF$5:$DF$304,MATCH($B34,'Portfolio Register'!$DH$5:$DH$304,0))),"")</f>
        <v/>
      </c>
    </row>
    <row r="35" spans="2:17" x14ac:dyDescent="0.35">
      <c r="B35" s="65">
        <v>8</v>
      </c>
      <c r="C35" s="148" t="str">
        <f>IFERROR(IF(INDEX('Portfolio Register'!$A$5:$A$304,MATCH($B35,'Portfolio Register'!$DH$5:$DH$304,0))="","",INDEX('Portfolio Register'!$A$5:$A$304,MATCH($B35,'Portfolio Register'!$DH$5:$DH$304,0))),"")</f>
        <v/>
      </c>
      <c r="D35" s="148" t="str">
        <f>IFERROR(IF(INDEX('Portfolio Register'!$B$5:$B$304,MATCH($B35,'Portfolio Register'!$DH$5:$DH$304,0))="","",INDEX('Portfolio Register'!$B$5:$B$304,MATCH($B35,'Portfolio Register'!$DH$5:$DH$304,0))),"")</f>
        <v/>
      </c>
      <c r="E35" s="148" t="str">
        <f>IFERROR(IF(INDEX('Portfolio Register'!$I$5:$I$304,MATCH($B35,'Portfolio Register'!$DH$5:$DH$304,0))="","",INDEX('Portfolio Register'!$I$5:$I$304,MATCH($B35,'Portfolio Register'!$DH$5:$DH$304,0))),"")</f>
        <v/>
      </c>
      <c r="F35" s="149" t="str">
        <f>IFERROR(IF(INDEX('Portfolio Register'!$J$5:$J$304,MATCH($B35,'Portfolio Register'!$DH$5:$DH$304,0))="","",INDEX('Portfolio Register'!$J$5:$J$304,MATCH($B35,'Portfolio Register'!$DH$5:$DH$304,0))),"")</f>
        <v/>
      </c>
      <c r="G35" s="148" t="str">
        <f>IFERROR(IF(INDEX('Portfolio Register'!$CX$5:$CX$304,MATCH($B35,'Portfolio Register'!$DH$5:$DH$304,0))="","",INDEX('Portfolio Register'!$CX$5:$CX$304,MATCH($B35,'Portfolio Register'!$DH$5:$DH$304,0))),"")</f>
        <v/>
      </c>
      <c r="H35" s="150" t="str">
        <f>IFERROR(IF(INDEX('Portfolio Register'!$CY$5:$CY$304,MATCH($B35,'Portfolio Register'!$DH$5:$DH$304,0))="","",INDEX('Portfolio Register'!$CY$5:$CY$304,MATCH($B35,'Portfolio Register'!$DH$5:$DH$304,0))),"")</f>
        <v/>
      </c>
      <c r="I35" s="148" t="str">
        <f>IFERROR(IF(INDEX('Portfolio Register'!$CZ$5:$CZ$304,MATCH($B35,'Portfolio Register'!$DH$5:$DH$304,0))="","",INDEX('Portfolio Register'!$CZ$5:$CZ$304,MATCH($B35,'Portfolio Register'!$DH$5:$DH$304,0))),"")</f>
        <v/>
      </c>
      <c r="J35" s="148" t="str">
        <f>IFERROR(IF(INDEX('Portfolio Register'!$DA$5:$DA$304,MATCH($B35,'Portfolio Register'!$DH$5:$DH$304,0))="","",INDEX('Portfolio Register'!$DA$5:$DA$304,MATCH($B35,'Portfolio Register'!$DH$5:$DH$304,0))),"")</f>
        <v/>
      </c>
      <c r="K35" s="148" t="str">
        <f>IFERROR(IF(INDEX('Portfolio Register'!$DB$5:$DB$304,MATCH($B35,'Portfolio Register'!$DH$5:$DH$304,0))="","",INDEX('Portfolio Register'!$DB$5:$DB$304,MATCH($B35,'Portfolio Register'!$DH$5:$DH$304,0))),"")</f>
        <v/>
      </c>
      <c r="L35" s="148" t="str">
        <f>IFERROR(IF(INDEX('Portfolio Register'!$DC$5:$DC$304,MATCH($B35,'Portfolio Register'!$DH$5:$DH$304,0))="","",INDEX('Portfolio Register'!$DC$5:$DC$304,MATCH($B35,'Portfolio Register'!$DH$5:$DH$304,0))),"")</f>
        <v/>
      </c>
      <c r="M35" s="151" t="str">
        <f>IFERROR(IF(INDEX('Portfolio Register'!$DD$5:$DD$304,MATCH($B35,'Portfolio Register'!$DH$5:$DH$304,0))="","",INDEX('Portfolio Register'!$DD$5:$DD$304,MATCH($B35,'Portfolio Register'!$DH$5:$DH$304,0))),"")</f>
        <v/>
      </c>
      <c r="N35" s="152" t="str">
        <f ca="1">IF($C35="","",IF($M35&lt;&gt;"",$M35-IFERROR(INDEX('Portfolio Register'!$C$5:$C$304,MATCH($B35,'Portfolio Register'!$DH$5:$DH$304,0)),$M35),TODAY()-IFERROR(INDEX('Portfolio Register'!$C$5:$C$304,MATCH($B35,'Portfolio Register'!$DH$5:$DH$304,0)),TODAY())))</f>
        <v/>
      </c>
      <c r="O35" s="153" t="str">
        <f t="shared" si="0"/>
        <v/>
      </c>
      <c r="P35" s="148" t="str">
        <f>IFERROR(IF(INDEX('Portfolio Register'!$DG$5:$DG$304,MATCH($B35,'Portfolio Register'!$DH$5:$DH$304,0))="","",INDEX('Portfolio Register'!$DG$5:$DG$304,MATCH($B35,'Portfolio Register'!$DH$5:$DH$304,0))),"")</f>
        <v/>
      </c>
      <c r="Q35" s="148" t="str">
        <f>IFERROR(IF(INDEX('Portfolio Register'!$DF$5:$DF$304,MATCH($B35,'Portfolio Register'!$DH$5:$DH$304,0))="","",INDEX('Portfolio Register'!$DF$5:$DF$304,MATCH($B35,'Portfolio Register'!$DH$5:$DH$304,0))),"")</f>
        <v/>
      </c>
    </row>
    <row r="36" spans="2:17" x14ac:dyDescent="0.35">
      <c r="B36" s="58">
        <v>9</v>
      </c>
      <c r="C36" s="142" t="str">
        <f>IFERROR(IF(INDEX('Portfolio Register'!$A$5:$A$304,MATCH($B36,'Portfolio Register'!$DH$5:$DH$304,0))="","",INDEX('Portfolio Register'!$A$5:$A$304,MATCH($B36,'Portfolio Register'!$DH$5:$DH$304,0))),"")</f>
        <v/>
      </c>
      <c r="D36" s="142" t="str">
        <f>IFERROR(IF(INDEX('Portfolio Register'!$B$5:$B$304,MATCH($B36,'Portfolio Register'!$DH$5:$DH$304,0))="","",INDEX('Portfolio Register'!$B$5:$B$304,MATCH($B36,'Portfolio Register'!$DH$5:$DH$304,0))),"")</f>
        <v/>
      </c>
      <c r="E36" s="142" t="str">
        <f>IFERROR(IF(INDEX('Portfolio Register'!$I$5:$I$304,MATCH($B36,'Portfolio Register'!$DH$5:$DH$304,0))="","",INDEX('Portfolio Register'!$I$5:$I$304,MATCH($B36,'Portfolio Register'!$DH$5:$DH$304,0))),"")</f>
        <v/>
      </c>
      <c r="F36" s="143" t="str">
        <f>IFERROR(IF(INDEX('Portfolio Register'!$J$5:$J$304,MATCH($B36,'Portfolio Register'!$DH$5:$DH$304,0))="","",INDEX('Portfolio Register'!$J$5:$J$304,MATCH($B36,'Portfolio Register'!$DH$5:$DH$304,0))),"")</f>
        <v/>
      </c>
      <c r="G36" s="142" t="str">
        <f>IFERROR(IF(INDEX('Portfolio Register'!$CX$5:$CX$304,MATCH($B36,'Portfolio Register'!$DH$5:$DH$304,0))="","",INDEX('Portfolio Register'!$CX$5:$CX$304,MATCH($B36,'Portfolio Register'!$DH$5:$DH$304,0))),"")</f>
        <v/>
      </c>
      <c r="H36" s="144" t="str">
        <f>IFERROR(IF(INDEX('Portfolio Register'!$CY$5:$CY$304,MATCH($B36,'Portfolio Register'!$DH$5:$DH$304,0))="","",INDEX('Portfolio Register'!$CY$5:$CY$304,MATCH($B36,'Portfolio Register'!$DH$5:$DH$304,0))),"")</f>
        <v/>
      </c>
      <c r="I36" s="142" t="str">
        <f>IFERROR(IF(INDEX('Portfolio Register'!$CZ$5:$CZ$304,MATCH($B36,'Portfolio Register'!$DH$5:$DH$304,0))="","",INDEX('Portfolio Register'!$CZ$5:$CZ$304,MATCH($B36,'Portfolio Register'!$DH$5:$DH$304,0))),"")</f>
        <v/>
      </c>
      <c r="J36" s="142" t="str">
        <f>IFERROR(IF(INDEX('Portfolio Register'!$DA$5:$DA$304,MATCH($B36,'Portfolio Register'!$DH$5:$DH$304,0))="","",INDEX('Portfolio Register'!$DA$5:$DA$304,MATCH($B36,'Portfolio Register'!$DH$5:$DH$304,0))),"")</f>
        <v/>
      </c>
      <c r="K36" s="142" t="str">
        <f>IFERROR(IF(INDEX('Portfolio Register'!$DB$5:$DB$304,MATCH($B36,'Portfolio Register'!$DH$5:$DH$304,0))="","",INDEX('Portfolio Register'!$DB$5:$DB$304,MATCH($B36,'Portfolio Register'!$DH$5:$DH$304,0))),"")</f>
        <v/>
      </c>
      <c r="L36" s="142" t="str">
        <f>IFERROR(IF(INDEX('Portfolio Register'!$DC$5:$DC$304,MATCH($B36,'Portfolio Register'!$DH$5:$DH$304,0))="","",INDEX('Portfolio Register'!$DC$5:$DC$304,MATCH($B36,'Portfolio Register'!$DH$5:$DH$304,0))),"")</f>
        <v/>
      </c>
      <c r="M36" s="145" t="str">
        <f>IFERROR(IF(INDEX('Portfolio Register'!$DD$5:$DD$304,MATCH($B36,'Portfolio Register'!$DH$5:$DH$304,0))="","",INDEX('Portfolio Register'!$DD$5:$DD$304,MATCH($B36,'Portfolio Register'!$DH$5:$DH$304,0))),"")</f>
        <v/>
      </c>
      <c r="N36" s="146" t="str">
        <f ca="1">IF($C36="","",IF($M36&lt;&gt;"",$M36-IFERROR(INDEX('Portfolio Register'!$C$5:$C$304,MATCH($B36,'Portfolio Register'!$DH$5:$DH$304,0)),$M36),TODAY()-IFERROR(INDEX('Portfolio Register'!$C$5:$C$304,MATCH($B36,'Portfolio Register'!$DH$5:$DH$304,0)),TODAY())))</f>
        <v/>
      </c>
      <c r="O36" s="147" t="str">
        <f t="shared" si="0"/>
        <v/>
      </c>
      <c r="P36" s="142" t="str">
        <f>IFERROR(IF(INDEX('Portfolio Register'!$DG$5:$DG$304,MATCH($B36,'Portfolio Register'!$DH$5:$DH$304,0))="","",INDEX('Portfolio Register'!$DG$5:$DG$304,MATCH($B36,'Portfolio Register'!$DH$5:$DH$304,0))),"")</f>
        <v/>
      </c>
      <c r="Q36" s="142" t="str">
        <f>IFERROR(IF(INDEX('Portfolio Register'!$DF$5:$DF$304,MATCH($B36,'Portfolio Register'!$DH$5:$DH$304,0))="","",INDEX('Portfolio Register'!$DF$5:$DF$304,MATCH($B36,'Portfolio Register'!$DH$5:$DH$304,0))),"")</f>
        <v/>
      </c>
    </row>
    <row r="37" spans="2:17" x14ac:dyDescent="0.35">
      <c r="B37" s="65">
        <v>10</v>
      </c>
      <c r="C37" s="148" t="str">
        <f>IFERROR(IF(INDEX('Portfolio Register'!$A$5:$A$304,MATCH($B37,'Portfolio Register'!$DH$5:$DH$304,0))="","",INDEX('Portfolio Register'!$A$5:$A$304,MATCH($B37,'Portfolio Register'!$DH$5:$DH$304,0))),"")</f>
        <v/>
      </c>
      <c r="D37" s="148" t="str">
        <f>IFERROR(IF(INDEX('Portfolio Register'!$B$5:$B$304,MATCH($B37,'Portfolio Register'!$DH$5:$DH$304,0))="","",INDEX('Portfolio Register'!$B$5:$B$304,MATCH($B37,'Portfolio Register'!$DH$5:$DH$304,0))),"")</f>
        <v/>
      </c>
      <c r="E37" s="148" t="str">
        <f>IFERROR(IF(INDEX('Portfolio Register'!$I$5:$I$304,MATCH($B37,'Portfolio Register'!$DH$5:$DH$304,0))="","",INDEX('Portfolio Register'!$I$5:$I$304,MATCH($B37,'Portfolio Register'!$DH$5:$DH$304,0))),"")</f>
        <v/>
      </c>
      <c r="F37" s="149" t="str">
        <f>IFERROR(IF(INDEX('Portfolio Register'!$J$5:$J$304,MATCH($B37,'Portfolio Register'!$DH$5:$DH$304,0))="","",INDEX('Portfolio Register'!$J$5:$J$304,MATCH($B37,'Portfolio Register'!$DH$5:$DH$304,0))),"")</f>
        <v/>
      </c>
      <c r="G37" s="148" t="str">
        <f>IFERROR(IF(INDEX('Portfolio Register'!$CX$5:$CX$304,MATCH($B37,'Portfolio Register'!$DH$5:$DH$304,0))="","",INDEX('Portfolio Register'!$CX$5:$CX$304,MATCH($B37,'Portfolio Register'!$DH$5:$DH$304,0))),"")</f>
        <v/>
      </c>
      <c r="H37" s="150" t="str">
        <f>IFERROR(IF(INDEX('Portfolio Register'!$CY$5:$CY$304,MATCH($B37,'Portfolio Register'!$DH$5:$DH$304,0))="","",INDEX('Portfolio Register'!$CY$5:$CY$304,MATCH($B37,'Portfolio Register'!$DH$5:$DH$304,0))),"")</f>
        <v/>
      </c>
      <c r="I37" s="148" t="str">
        <f>IFERROR(IF(INDEX('Portfolio Register'!$CZ$5:$CZ$304,MATCH($B37,'Portfolio Register'!$DH$5:$DH$304,0))="","",INDEX('Portfolio Register'!$CZ$5:$CZ$304,MATCH($B37,'Portfolio Register'!$DH$5:$DH$304,0))),"")</f>
        <v/>
      </c>
      <c r="J37" s="148" t="str">
        <f>IFERROR(IF(INDEX('Portfolio Register'!$DA$5:$DA$304,MATCH($B37,'Portfolio Register'!$DH$5:$DH$304,0))="","",INDEX('Portfolio Register'!$DA$5:$DA$304,MATCH($B37,'Portfolio Register'!$DH$5:$DH$304,0))),"")</f>
        <v/>
      </c>
      <c r="K37" s="148" t="str">
        <f>IFERROR(IF(INDEX('Portfolio Register'!$DB$5:$DB$304,MATCH($B37,'Portfolio Register'!$DH$5:$DH$304,0))="","",INDEX('Portfolio Register'!$DB$5:$DB$304,MATCH($B37,'Portfolio Register'!$DH$5:$DH$304,0))),"")</f>
        <v/>
      </c>
      <c r="L37" s="148" t="str">
        <f>IFERROR(IF(INDEX('Portfolio Register'!$DC$5:$DC$304,MATCH($B37,'Portfolio Register'!$DH$5:$DH$304,0))="","",INDEX('Portfolio Register'!$DC$5:$DC$304,MATCH($B37,'Portfolio Register'!$DH$5:$DH$304,0))),"")</f>
        <v/>
      </c>
      <c r="M37" s="151" t="str">
        <f>IFERROR(IF(INDEX('Portfolio Register'!$DD$5:$DD$304,MATCH($B37,'Portfolio Register'!$DH$5:$DH$304,0))="","",INDEX('Portfolio Register'!$DD$5:$DD$304,MATCH($B37,'Portfolio Register'!$DH$5:$DH$304,0))),"")</f>
        <v/>
      </c>
      <c r="N37" s="152" t="str">
        <f ca="1">IF($C37="","",IF($M37&lt;&gt;"",$M37-IFERROR(INDEX('Portfolio Register'!$C$5:$C$304,MATCH($B37,'Portfolio Register'!$DH$5:$DH$304,0)),$M37),TODAY()-IFERROR(INDEX('Portfolio Register'!$C$5:$C$304,MATCH($B37,'Portfolio Register'!$DH$5:$DH$304,0)),TODAY())))</f>
        <v/>
      </c>
      <c r="O37" s="153" t="str">
        <f t="shared" si="0"/>
        <v/>
      </c>
      <c r="P37" s="148" t="str">
        <f>IFERROR(IF(INDEX('Portfolio Register'!$DG$5:$DG$304,MATCH($B37,'Portfolio Register'!$DH$5:$DH$304,0))="","",INDEX('Portfolio Register'!$DG$5:$DG$304,MATCH($B37,'Portfolio Register'!$DH$5:$DH$304,0))),"")</f>
        <v/>
      </c>
      <c r="Q37" s="148" t="str">
        <f>IFERROR(IF(INDEX('Portfolio Register'!$DF$5:$DF$304,MATCH($B37,'Portfolio Register'!$DH$5:$DH$304,0))="","",INDEX('Portfolio Register'!$DF$5:$DF$304,MATCH($B37,'Portfolio Register'!$DH$5:$DH$304,0))),"")</f>
        <v/>
      </c>
    </row>
    <row r="38" spans="2:17" x14ac:dyDescent="0.35">
      <c r="B38" s="58">
        <v>11</v>
      </c>
      <c r="C38" s="142" t="str">
        <f>IFERROR(IF(INDEX('Portfolio Register'!$A$5:$A$304,MATCH($B38,'Portfolio Register'!$DH$5:$DH$304,0))="","",INDEX('Portfolio Register'!$A$5:$A$304,MATCH($B38,'Portfolio Register'!$DH$5:$DH$304,0))),"")</f>
        <v/>
      </c>
      <c r="D38" s="142" t="str">
        <f>IFERROR(IF(INDEX('Portfolio Register'!$B$5:$B$304,MATCH($B38,'Portfolio Register'!$DH$5:$DH$304,0))="","",INDEX('Portfolio Register'!$B$5:$B$304,MATCH($B38,'Portfolio Register'!$DH$5:$DH$304,0))),"")</f>
        <v/>
      </c>
      <c r="E38" s="142" t="str">
        <f>IFERROR(IF(INDEX('Portfolio Register'!$I$5:$I$304,MATCH($B38,'Portfolio Register'!$DH$5:$DH$304,0))="","",INDEX('Portfolio Register'!$I$5:$I$304,MATCH($B38,'Portfolio Register'!$DH$5:$DH$304,0))),"")</f>
        <v/>
      </c>
      <c r="F38" s="143" t="str">
        <f>IFERROR(IF(INDEX('Portfolio Register'!$J$5:$J$304,MATCH($B38,'Portfolio Register'!$DH$5:$DH$304,0))="","",INDEX('Portfolio Register'!$J$5:$J$304,MATCH($B38,'Portfolio Register'!$DH$5:$DH$304,0))),"")</f>
        <v/>
      </c>
      <c r="G38" s="142" t="str">
        <f>IFERROR(IF(INDEX('Portfolio Register'!$CX$5:$CX$304,MATCH($B38,'Portfolio Register'!$DH$5:$DH$304,0))="","",INDEX('Portfolio Register'!$CX$5:$CX$304,MATCH($B38,'Portfolio Register'!$DH$5:$DH$304,0))),"")</f>
        <v/>
      </c>
      <c r="H38" s="144" t="str">
        <f>IFERROR(IF(INDEX('Portfolio Register'!$CY$5:$CY$304,MATCH($B38,'Portfolio Register'!$DH$5:$DH$304,0))="","",INDEX('Portfolio Register'!$CY$5:$CY$304,MATCH($B38,'Portfolio Register'!$DH$5:$DH$304,0))),"")</f>
        <v/>
      </c>
      <c r="I38" s="142" t="str">
        <f>IFERROR(IF(INDEX('Portfolio Register'!$CZ$5:$CZ$304,MATCH($B38,'Portfolio Register'!$DH$5:$DH$304,0))="","",INDEX('Portfolio Register'!$CZ$5:$CZ$304,MATCH($B38,'Portfolio Register'!$DH$5:$DH$304,0))),"")</f>
        <v/>
      </c>
      <c r="J38" s="142" t="str">
        <f>IFERROR(IF(INDEX('Portfolio Register'!$DA$5:$DA$304,MATCH($B38,'Portfolio Register'!$DH$5:$DH$304,0))="","",INDEX('Portfolio Register'!$DA$5:$DA$304,MATCH($B38,'Portfolio Register'!$DH$5:$DH$304,0))),"")</f>
        <v/>
      </c>
      <c r="K38" s="142" t="str">
        <f>IFERROR(IF(INDEX('Portfolio Register'!$DB$5:$DB$304,MATCH($B38,'Portfolio Register'!$DH$5:$DH$304,0))="","",INDEX('Portfolio Register'!$DB$5:$DB$304,MATCH($B38,'Portfolio Register'!$DH$5:$DH$304,0))),"")</f>
        <v/>
      </c>
      <c r="L38" s="142" t="str">
        <f>IFERROR(IF(INDEX('Portfolio Register'!$DC$5:$DC$304,MATCH($B38,'Portfolio Register'!$DH$5:$DH$304,0))="","",INDEX('Portfolio Register'!$DC$5:$DC$304,MATCH($B38,'Portfolio Register'!$DH$5:$DH$304,0))),"")</f>
        <v/>
      </c>
      <c r="M38" s="145" t="str">
        <f>IFERROR(IF(INDEX('Portfolio Register'!$DD$5:$DD$304,MATCH($B38,'Portfolio Register'!$DH$5:$DH$304,0))="","",INDEX('Portfolio Register'!$DD$5:$DD$304,MATCH($B38,'Portfolio Register'!$DH$5:$DH$304,0))),"")</f>
        <v/>
      </c>
      <c r="N38" s="146" t="str">
        <f ca="1">IF($C38="","",IF($M38&lt;&gt;"",$M38-IFERROR(INDEX('Portfolio Register'!$C$5:$C$304,MATCH($B38,'Portfolio Register'!$DH$5:$DH$304,0)),$M38),TODAY()-IFERROR(INDEX('Portfolio Register'!$C$5:$C$304,MATCH($B38,'Portfolio Register'!$DH$5:$DH$304,0)),TODAY())))</f>
        <v/>
      </c>
      <c r="O38" s="147" t="str">
        <f t="shared" si="0"/>
        <v/>
      </c>
      <c r="P38" s="142" t="str">
        <f>IFERROR(IF(INDEX('Portfolio Register'!$DG$5:$DG$304,MATCH($B38,'Portfolio Register'!$DH$5:$DH$304,0))="","",INDEX('Portfolio Register'!$DG$5:$DG$304,MATCH($B38,'Portfolio Register'!$DH$5:$DH$304,0))),"")</f>
        <v/>
      </c>
      <c r="Q38" s="142" t="str">
        <f>IFERROR(IF(INDEX('Portfolio Register'!$DF$5:$DF$304,MATCH($B38,'Portfolio Register'!$DH$5:$DH$304,0))="","",INDEX('Portfolio Register'!$DF$5:$DF$304,MATCH($B38,'Portfolio Register'!$DH$5:$DH$304,0))),"")</f>
        <v/>
      </c>
    </row>
    <row r="39" spans="2:17" x14ac:dyDescent="0.35">
      <c r="B39" s="65">
        <v>12</v>
      </c>
      <c r="C39" s="148" t="str">
        <f>IFERROR(IF(INDEX('Portfolio Register'!$A$5:$A$304,MATCH($B39,'Portfolio Register'!$DH$5:$DH$304,0))="","",INDEX('Portfolio Register'!$A$5:$A$304,MATCH($B39,'Portfolio Register'!$DH$5:$DH$304,0))),"")</f>
        <v/>
      </c>
      <c r="D39" s="148" t="str">
        <f>IFERROR(IF(INDEX('Portfolio Register'!$B$5:$B$304,MATCH($B39,'Portfolio Register'!$DH$5:$DH$304,0))="","",INDEX('Portfolio Register'!$B$5:$B$304,MATCH($B39,'Portfolio Register'!$DH$5:$DH$304,0))),"")</f>
        <v/>
      </c>
      <c r="E39" s="148" t="str">
        <f>IFERROR(IF(INDEX('Portfolio Register'!$I$5:$I$304,MATCH($B39,'Portfolio Register'!$DH$5:$DH$304,0))="","",INDEX('Portfolio Register'!$I$5:$I$304,MATCH($B39,'Portfolio Register'!$DH$5:$DH$304,0))),"")</f>
        <v/>
      </c>
      <c r="F39" s="149" t="str">
        <f>IFERROR(IF(INDEX('Portfolio Register'!$J$5:$J$304,MATCH($B39,'Portfolio Register'!$DH$5:$DH$304,0))="","",INDEX('Portfolio Register'!$J$5:$J$304,MATCH($B39,'Portfolio Register'!$DH$5:$DH$304,0))),"")</f>
        <v/>
      </c>
      <c r="G39" s="148" t="str">
        <f>IFERROR(IF(INDEX('Portfolio Register'!$CX$5:$CX$304,MATCH($B39,'Portfolio Register'!$DH$5:$DH$304,0))="","",INDEX('Portfolio Register'!$CX$5:$CX$304,MATCH($B39,'Portfolio Register'!$DH$5:$DH$304,0))),"")</f>
        <v/>
      </c>
      <c r="H39" s="150" t="str">
        <f>IFERROR(IF(INDEX('Portfolio Register'!$CY$5:$CY$304,MATCH($B39,'Portfolio Register'!$DH$5:$DH$304,0))="","",INDEX('Portfolio Register'!$CY$5:$CY$304,MATCH($B39,'Portfolio Register'!$DH$5:$DH$304,0))),"")</f>
        <v/>
      </c>
      <c r="I39" s="148" t="str">
        <f>IFERROR(IF(INDEX('Portfolio Register'!$CZ$5:$CZ$304,MATCH($B39,'Portfolio Register'!$DH$5:$DH$304,0))="","",INDEX('Portfolio Register'!$CZ$5:$CZ$304,MATCH($B39,'Portfolio Register'!$DH$5:$DH$304,0))),"")</f>
        <v/>
      </c>
      <c r="J39" s="148" t="str">
        <f>IFERROR(IF(INDEX('Portfolio Register'!$DA$5:$DA$304,MATCH($B39,'Portfolio Register'!$DH$5:$DH$304,0))="","",INDEX('Portfolio Register'!$DA$5:$DA$304,MATCH($B39,'Portfolio Register'!$DH$5:$DH$304,0))),"")</f>
        <v/>
      </c>
      <c r="K39" s="148" t="str">
        <f>IFERROR(IF(INDEX('Portfolio Register'!$DB$5:$DB$304,MATCH($B39,'Portfolio Register'!$DH$5:$DH$304,0))="","",INDEX('Portfolio Register'!$DB$5:$DB$304,MATCH($B39,'Portfolio Register'!$DH$5:$DH$304,0))),"")</f>
        <v/>
      </c>
      <c r="L39" s="148" t="str">
        <f>IFERROR(IF(INDEX('Portfolio Register'!$DC$5:$DC$304,MATCH($B39,'Portfolio Register'!$DH$5:$DH$304,0))="","",INDEX('Portfolio Register'!$DC$5:$DC$304,MATCH($B39,'Portfolio Register'!$DH$5:$DH$304,0))),"")</f>
        <v/>
      </c>
      <c r="M39" s="151" t="str">
        <f>IFERROR(IF(INDEX('Portfolio Register'!$DD$5:$DD$304,MATCH($B39,'Portfolio Register'!$DH$5:$DH$304,0))="","",INDEX('Portfolio Register'!$DD$5:$DD$304,MATCH($B39,'Portfolio Register'!$DH$5:$DH$304,0))),"")</f>
        <v/>
      </c>
      <c r="N39" s="152" t="str">
        <f ca="1">IF($C39="","",IF($M39&lt;&gt;"",$M39-IFERROR(INDEX('Portfolio Register'!$C$5:$C$304,MATCH($B39,'Portfolio Register'!$DH$5:$DH$304,0)),$M39),TODAY()-IFERROR(INDEX('Portfolio Register'!$C$5:$C$304,MATCH($B39,'Portfolio Register'!$DH$5:$DH$304,0)),TODAY())))</f>
        <v/>
      </c>
      <c r="O39" s="153" t="str">
        <f t="shared" si="0"/>
        <v/>
      </c>
      <c r="P39" s="148" t="str">
        <f>IFERROR(IF(INDEX('Portfolio Register'!$DG$5:$DG$304,MATCH($B39,'Portfolio Register'!$DH$5:$DH$304,0))="","",INDEX('Portfolio Register'!$DG$5:$DG$304,MATCH($B39,'Portfolio Register'!$DH$5:$DH$304,0))),"")</f>
        <v/>
      </c>
      <c r="Q39" s="148" t="str">
        <f>IFERROR(IF(INDEX('Portfolio Register'!$DF$5:$DF$304,MATCH($B39,'Portfolio Register'!$DH$5:$DH$304,0))="","",INDEX('Portfolio Register'!$DF$5:$DF$304,MATCH($B39,'Portfolio Register'!$DH$5:$DH$304,0))),"")</f>
        <v/>
      </c>
    </row>
    <row r="40" spans="2:17" x14ac:dyDescent="0.35">
      <c r="B40" s="58">
        <v>13</v>
      </c>
      <c r="C40" s="142" t="str">
        <f>IFERROR(IF(INDEX('Portfolio Register'!$A$5:$A$304,MATCH($B40,'Portfolio Register'!$DH$5:$DH$304,0))="","",INDEX('Portfolio Register'!$A$5:$A$304,MATCH($B40,'Portfolio Register'!$DH$5:$DH$304,0))),"")</f>
        <v/>
      </c>
      <c r="D40" s="142" t="str">
        <f>IFERROR(IF(INDEX('Portfolio Register'!$B$5:$B$304,MATCH($B40,'Portfolio Register'!$DH$5:$DH$304,0))="","",INDEX('Portfolio Register'!$B$5:$B$304,MATCH($B40,'Portfolio Register'!$DH$5:$DH$304,0))),"")</f>
        <v/>
      </c>
      <c r="E40" s="142" t="str">
        <f>IFERROR(IF(INDEX('Portfolio Register'!$I$5:$I$304,MATCH($B40,'Portfolio Register'!$DH$5:$DH$304,0))="","",INDEX('Portfolio Register'!$I$5:$I$304,MATCH($B40,'Portfolio Register'!$DH$5:$DH$304,0))),"")</f>
        <v/>
      </c>
      <c r="F40" s="143" t="str">
        <f>IFERROR(IF(INDEX('Portfolio Register'!$J$5:$J$304,MATCH($B40,'Portfolio Register'!$DH$5:$DH$304,0))="","",INDEX('Portfolio Register'!$J$5:$J$304,MATCH($B40,'Portfolio Register'!$DH$5:$DH$304,0))),"")</f>
        <v/>
      </c>
      <c r="G40" s="142" t="str">
        <f>IFERROR(IF(INDEX('Portfolio Register'!$CX$5:$CX$304,MATCH($B40,'Portfolio Register'!$DH$5:$DH$304,0))="","",INDEX('Portfolio Register'!$CX$5:$CX$304,MATCH($B40,'Portfolio Register'!$DH$5:$DH$304,0))),"")</f>
        <v/>
      </c>
      <c r="H40" s="144" t="str">
        <f>IFERROR(IF(INDEX('Portfolio Register'!$CY$5:$CY$304,MATCH($B40,'Portfolio Register'!$DH$5:$DH$304,0))="","",INDEX('Portfolio Register'!$CY$5:$CY$304,MATCH($B40,'Portfolio Register'!$DH$5:$DH$304,0))),"")</f>
        <v/>
      </c>
      <c r="I40" s="142" t="str">
        <f>IFERROR(IF(INDEX('Portfolio Register'!$CZ$5:$CZ$304,MATCH($B40,'Portfolio Register'!$DH$5:$DH$304,0))="","",INDEX('Portfolio Register'!$CZ$5:$CZ$304,MATCH($B40,'Portfolio Register'!$DH$5:$DH$304,0))),"")</f>
        <v/>
      </c>
      <c r="J40" s="142" t="str">
        <f>IFERROR(IF(INDEX('Portfolio Register'!$DA$5:$DA$304,MATCH($B40,'Portfolio Register'!$DH$5:$DH$304,0))="","",INDEX('Portfolio Register'!$DA$5:$DA$304,MATCH($B40,'Portfolio Register'!$DH$5:$DH$304,0))),"")</f>
        <v/>
      </c>
      <c r="K40" s="142" t="str">
        <f>IFERROR(IF(INDEX('Portfolio Register'!$DB$5:$DB$304,MATCH($B40,'Portfolio Register'!$DH$5:$DH$304,0))="","",INDEX('Portfolio Register'!$DB$5:$DB$304,MATCH($B40,'Portfolio Register'!$DH$5:$DH$304,0))),"")</f>
        <v/>
      </c>
      <c r="L40" s="142" t="str">
        <f>IFERROR(IF(INDEX('Portfolio Register'!$DC$5:$DC$304,MATCH($B40,'Portfolio Register'!$DH$5:$DH$304,0))="","",INDEX('Portfolio Register'!$DC$5:$DC$304,MATCH($B40,'Portfolio Register'!$DH$5:$DH$304,0))),"")</f>
        <v/>
      </c>
      <c r="M40" s="145" t="str">
        <f>IFERROR(IF(INDEX('Portfolio Register'!$DD$5:$DD$304,MATCH($B40,'Portfolio Register'!$DH$5:$DH$304,0))="","",INDEX('Portfolio Register'!$DD$5:$DD$304,MATCH($B40,'Portfolio Register'!$DH$5:$DH$304,0))),"")</f>
        <v/>
      </c>
      <c r="N40" s="146" t="str">
        <f ca="1">IF($C40="","",IF($M40&lt;&gt;"",$M40-IFERROR(INDEX('Portfolio Register'!$C$5:$C$304,MATCH($B40,'Portfolio Register'!$DH$5:$DH$304,0)),$M40),TODAY()-IFERROR(INDEX('Portfolio Register'!$C$5:$C$304,MATCH($B40,'Portfolio Register'!$DH$5:$DH$304,0)),TODAY())))</f>
        <v/>
      </c>
      <c r="O40" s="147" t="str">
        <f t="shared" si="0"/>
        <v/>
      </c>
      <c r="P40" s="142" t="str">
        <f>IFERROR(IF(INDEX('Portfolio Register'!$DG$5:$DG$304,MATCH($B40,'Portfolio Register'!$DH$5:$DH$304,0))="","",INDEX('Portfolio Register'!$DG$5:$DG$304,MATCH($B40,'Portfolio Register'!$DH$5:$DH$304,0))),"")</f>
        <v/>
      </c>
      <c r="Q40" s="142" t="str">
        <f>IFERROR(IF(INDEX('Portfolio Register'!$DF$5:$DF$304,MATCH($B40,'Portfolio Register'!$DH$5:$DH$304,0))="","",INDEX('Portfolio Register'!$DF$5:$DF$304,MATCH($B40,'Portfolio Register'!$DH$5:$DH$304,0))),"")</f>
        <v/>
      </c>
    </row>
    <row r="41" spans="2:17" x14ac:dyDescent="0.35">
      <c r="B41" s="65">
        <v>14</v>
      </c>
      <c r="C41" s="148" t="str">
        <f>IFERROR(IF(INDEX('Portfolio Register'!$A$5:$A$304,MATCH($B41,'Portfolio Register'!$DH$5:$DH$304,0))="","",INDEX('Portfolio Register'!$A$5:$A$304,MATCH($B41,'Portfolio Register'!$DH$5:$DH$304,0))),"")</f>
        <v/>
      </c>
      <c r="D41" s="148" t="str">
        <f>IFERROR(IF(INDEX('Portfolio Register'!$B$5:$B$304,MATCH($B41,'Portfolio Register'!$DH$5:$DH$304,0))="","",INDEX('Portfolio Register'!$B$5:$B$304,MATCH($B41,'Portfolio Register'!$DH$5:$DH$304,0))),"")</f>
        <v/>
      </c>
      <c r="E41" s="148" t="str">
        <f>IFERROR(IF(INDEX('Portfolio Register'!$I$5:$I$304,MATCH($B41,'Portfolio Register'!$DH$5:$DH$304,0))="","",INDEX('Portfolio Register'!$I$5:$I$304,MATCH($B41,'Portfolio Register'!$DH$5:$DH$304,0))),"")</f>
        <v/>
      </c>
      <c r="F41" s="149" t="str">
        <f>IFERROR(IF(INDEX('Portfolio Register'!$J$5:$J$304,MATCH($B41,'Portfolio Register'!$DH$5:$DH$304,0))="","",INDEX('Portfolio Register'!$J$5:$J$304,MATCH($B41,'Portfolio Register'!$DH$5:$DH$304,0))),"")</f>
        <v/>
      </c>
      <c r="G41" s="148" t="str">
        <f>IFERROR(IF(INDEX('Portfolio Register'!$CX$5:$CX$304,MATCH($B41,'Portfolio Register'!$DH$5:$DH$304,0))="","",INDEX('Portfolio Register'!$CX$5:$CX$304,MATCH($B41,'Portfolio Register'!$DH$5:$DH$304,0))),"")</f>
        <v/>
      </c>
      <c r="H41" s="150" t="str">
        <f>IFERROR(IF(INDEX('Portfolio Register'!$CY$5:$CY$304,MATCH($B41,'Portfolio Register'!$DH$5:$DH$304,0))="","",INDEX('Portfolio Register'!$CY$5:$CY$304,MATCH($B41,'Portfolio Register'!$DH$5:$DH$304,0))),"")</f>
        <v/>
      </c>
      <c r="I41" s="148" t="str">
        <f>IFERROR(IF(INDEX('Portfolio Register'!$CZ$5:$CZ$304,MATCH($B41,'Portfolio Register'!$DH$5:$DH$304,0))="","",INDEX('Portfolio Register'!$CZ$5:$CZ$304,MATCH($B41,'Portfolio Register'!$DH$5:$DH$304,0))),"")</f>
        <v/>
      </c>
      <c r="J41" s="148" t="str">
        <f>IFERROR(IF(INDEX('Portfolio Register'!$DA$5:$DA$304,MATCH($B41,'Portfolio Register'!$DH$5:$DH$304,0))="","",INDEX('Portfolio Register'!$DA$5:$DA$304,MATCH($B41,'Portfolio Register'!$DH$5:$DH$304,0))),"")</f>
        <v/>
      </c>
      <c r="K41" s="148" t="str">
        <f>IFERROR(IF(INDEX('Portfolio Register'!$DB$5:$DB$304,MATCH($B41,'Portfolio Register'!$DH$5:$DH$304,0))="","",INDEX('Portfolio Register'!$DB$5:$DB$304,MATCH($B41,'Portfolio Register'!$DH$5:$DH$304,0))),"")</f>
        <v/>
      </c>
      <c r="L41" s="148" t="str">
        <f>IFERROR(IF(INDEX('Portfolio Register'!$DC$5:$DC$304,MATCH($B41,'Portfolio Register'!$DH$5:$DH$304,0))="","",INDEX('Portfolio Register'!$DC$5:$DC$304,MATCH($B41,'Portfolio Register'!$DH$5:$DH$304,0))),"")</f>
        <v/>
      </c>
      <c r="M41" s="151" t="str">
        <f>IFERROR(IF(INDEX('Portfolio Register'!$DD$5:$DD$304,MATCH($B41,'Portfolio Register'!$DH$5:$DH$304,0))="","",INDEX('Portfolio Register'!$DD$5:$DD$304,MATCH($B41,'Portfolio Register'!$DH$5:$DH$304,0))),"")</f>
        <v/>
      </c>
      <c r="N41" s="152" t="str">
        <f ca="1">IF($C41="","",IF($M41&lt;&gt;"",$M41-IFERROR(INDEX('Portfolio Register'!$C$5:$C$304,MATCH($B41,'Portfolio Register'!$DH$5:$DH$304,0)),$M41),TODAY()-IFERROR(INDEX('Portfolio Register'!$C$5:$C$304,MATCH($B41,'Portfolio Register'!$DH$5:$DH$304,0)),TODAY())))</f>
        <v/>
      </c>
      <c r="O41" s="153" t="str">
        <f t="shared" si="0"/>
        <v/>
      </c>
      <c r="P41" s="148" t="str">
        <f>IFERROR(IF(INDEX('Portfolio Register'!$DG$5:$DG$304,MATCH($B41,'Portfolio Register'!$DH$5:$DH$304,0))="","",INDEX('Portfolio Register'!$DG$5:$DG$304,MATCH($B41,'Portfolio Register'!$DH$5:$DH$304,0))),"")</f>
        <v/>
      </c>
      <c r="Q41" s="148" t="str">
        <f>IFERROR(IF(INDEX('Portfolio Register'!$DF$5:$DF$304,MATCH($B41,'Portfolio Register'!$DH$5:$DH$304,0))="","",INDEX('Portfolio Register'!$DF$5:$DF$304,MATCH($B41,'Portfolio Register'!$DH$5:$DH$304,0))),"")</f>
        <v/>
      </c>
    </row>
    <row r="42" spans="2:17" x14ac:dyDescent="0.35">
      <c r="B42" s="58">
        <v>15</v>
      </c>
      <c r="C42" s="142" t="str">
        <f>IFERROR(IF(INDEX('Portfolio Register'!$A$5:$A$304,MATCH($B42,'Portfolio Register'!$DH$5:$DH$304,0))="","",INDEX('Portfolio Register'!$A$5:$A$304,MATCH($B42,'Portfolio Register'!$DH$5:$DH$304,0))),"")</f>
        <v/>
      </c>
      <c r="D42" s="142" t="str">
        <f>IFERROR(IF(INDEX('Portfolio Register'!$B$5:$B$304,MATCH($B42,'Portfolio Register'!$DH$5:$DH$304,0))="","",INDEX('Portfolio Register'!$B$5:$B$304,MATCH($B42,'Portfolio Register'!$DH$5:$DH$304,0))),"")</f>
        <v/>
      </c>
      <c r="E42" s="142" t="str">
        <f>IFERROR(IF(INDEX('Portfolio Register'!$I$5:$I$304,MATCH($B42,'Portfolio Register'!$DH$5:$DH$304,0))="","",INDEX('Portfolio Register'!$I$5:$I$304,MATCH($B42,'Portfolio Register'!$DH$5:$DH$304,0))),"")</f>
        <v/>
      </c>
      <c r="F42" s="143" t="str">
        <f>IFERROR(IF(INDEX('Portfolio Register'!$J$5:$J$304,MATCH($B42,'Portfolio Register'!$DH$5:$DH$304,0))="","",INDEX('Portfolio Register'!$J$5:$J$304,MATCH($B42,'Portfolio Register'!$DH$5:$DH$304,0))),"")</f>
        <v/>
      </c>
      <c r="G42" s="142" t="str">
        <f>IFERROR(IF(INDEX('Portfolio Register'!$CX$5:$CX$304,MATCH($B42,'Portfolio Register'!$DH$5:$DH$304,0))="","",INDEX('Portfolio Register'!$CX$5:$CX$304,MATCH($B42,'Portfolio Register'!$DH$5:$DH$304,0))),"")</f>
        <v/>
      </c>
      <c r="H42" s="144" t="str">
        <f>IFERROR(IF(INDEX('Portfolio Register'!$CY$5:$CY$304,MATCH($B42,'Portfolio Register'!$DH$5:$DH$304,0))="","",INDEX('Portfolio Register'!$CY$5:$CY$304,MATCH($B42,'Portfolio Register'!$DH$5:$DH$304,0))),"")</f>
        <v/>
      </c>
      <c r="I42" s="142" t="str">
        <f>IFERROR(IF(INDEX('Portfolio Register'!$CZ$5:$CZ$304,MATCH($B42,'Portfolio Register'!$DH$5:$DH$304,0))="","",INDEX('Portfolio Register'!$CZ$5:$CZ$304,MATCH($B42,'Portfolio Register'!$DH$5:$DH$304,0))),"")</f>
        <v/>
      </c>
      <c r="J42" s="142" t="str">
        <f>IFERROR(IF(INDEX('Portfolio Register'!$DA$5:$DA$304,MATCH($B42,'Portfolio Register'!$DH$5:$DH$304,0))="","",INDEX('Portfolio Register'!$DA$5:$DA$304,MATCH($B42,'Portfolio Register'!$DH$5:$DH$304,0))),"")</f>
        <v/>
      </c>
      <c r="K42" s="142" t="str">
        <f>IFERROR(IF(INDEX('Portfolio Register'!$DB$5:$DB$304,MATCH($B42,'Portfolio Register'!$DH$5:$DH$304,0))="","",INDEX('Portfolio Register'!$DB$5:$DB$304,MATCH($B42,'Portfolio Register'!$DH$5:$DH$304,0))),"")</f>
        <v/>
      </c>
      <c r="L42" s="142" t="str">
        <f>IFERROR(IF(INDEX('Portfolio Register'!$DC$5:$DC$304,MATCH($B42,'Portfolio Register'!$DH$5:$DH$304,0))="","",INDEX('Portfolio Register'!$DC$5:$DC$304,MATCH($B42,'Portfolio Register'!$DH$5:$DH$304,0))),"")</f>
        <v/>
      </c>
      <c r="M42" s="145" t="str">
        <f>IFERROR(IF(INDEX('Portfolio Register'!$DD$5:$DD$304,MATCH($B42,'Portfolio Register'!$DH$5:$DH$304,0))="","",INDEX('Portfolio Register'!$DD$5:$DD$304,MATCH($B42,'Portfolio Register'!$DH$5:$DH$304,0))),"")</f>
        <v/>
      </c>
      <c r="N42" s="146" t="str">
        <f ca="1">IF($C42="","",IF($M42&lt;&gt;"",$M42-IFERROR(INDEX('Portfolio Register'!$C$5:$C$304,MATCH($B42,'Portfolio Register'!$DH$5:$DH$304,0)),$M42),TODAY()-IFERROR(INDEX('Portfolio Register'!$C$5:$C$304,MATCH($B42,'Portfolio Register'!$DH$5:$DH$304,0)),TODAY())))</f>
        <v/>
      </c>
      <c r="O42" s="147" t="str">
        <f t="shared" si="0"/>
        <v/>
      </c>
      <c r="P42" s="142" t="str">
        <f>IFERROR(IF(INDEX('Portfolio Register'!$DG$5:$DG$304,MATCH($B42,'Portfolio Register'!$DH$5:$DH$304,0))="","",INDEX('Portfolio Register'!$DG$5:$DG$304,MATCH($B42,'Portfolio Register'!$DH$5:$DH$304,0))),"")</f>
        <v/>
      </c>
      <c r="Q42" s="142" t="str">
        <f>IFERROR(IF(INDEX('Portfolio Register'!$DF$5:$DF$304,MATCH($B42,'Portfolio Register'!$DH$5:$DH$304,0))="","",INDEX('Portfolio Register'!$DF$5:$DF$304,MATCH($B42,'Portfolio Register'!$DH$5:$DH$304,0))),"")</f>
        <v/>
      </c>
    </row>
    <row r="43" spans="2:17" x14ac:dyDescent="0.35">
      <c r="B43" s="65">
        <v>16</v>
      </c>
      <c r="C43" s="148" t="str">
        <f>IFERROR(IF(INDEX('Portfolio Register'!$A$5:$A$304,MATCH($B43,'Portfolio Register'!$DH$5:$DH$304,0))="","",INDEX('Portfolio Register'!$A$5:$A$304,MATCH($B43,'Portfolio Register'!$DH$5:$DH$304,0))),"")</f>
        <v/>
      </c>
      <c r="D43" s="148" t="str">
        <f>IFERROR(IF(INDEX('Portfolio Register'!$B$5:$B$304,MATCH($B43,'Portfolio Register'!$DH$5:$DH$304,0))="","",INDEX('Portfolio Register'!$B$5:$B$304,MATCH($B43,'Portfolio Register'!$DH$5:$DH$304,0))),"")</f>
        <v/>
      </c>
      <c r="E43" s="148" t="str">
        <f>IFERROR(IF(INDEX('Portfolio Register'!$I$5:$I$304,MATCH($B43,'Portfolio Register'!$DH$5:$DH$304,0))="","",INDEX('Portfolio Register'!$I$5:$I$304,MATCH($B43,'Portfolio Register'!$DH$5:$DH$304,0))),"")</f>
        <v/>
      </c>
      <c r="F43" s="149" t="str">
        <f>IFERROR(IF(INDEX('Portfolio Register'!$J$5:$J$304,MATCH($B43,'Portfolio Register'!$DH$5:$DH$304,0))="","",INDEX('Portfolio Register'!$J$5:$J$304,MATCH($B43,'Portfolio Register'!$DH$5:$DH$304,0))),"")</f>
        <v/>
      </c>
      <c r="G43" s="148" t="str">
        <f>IFERROR(IF(INDEX('Portfolio Register'!$CX$5:$CX$304,MATCH($B43,'Portfolio Register'!$DH$5:$DH$304,0))="","",INDEX('Portfolio Register'!$CX$5:$CX$304,MATCH($B43,'Portfolio Register'!$DH$5:$DH$304,0))),"")</f>
        <v/>
      </c>
      <c r="H43" s="150" t="str">
        <f>IFERROR(IF(INDEX('Portfolio Register'!$CY$5:$CY$304,MATCH($B43,'Portfolio Register'!$DH$5:$DH$304,0))="","",INDEX('Portfolio Register'!$CY$5:$CY$304,MATCH($B43,'Portfolio Register'!$DH$5:$DH$304,0))),"")</f>
        <v/>
      </c>
      <c r="I43" s="148" t="str">
        <f>IFERROR(IF(INDEX('Portfolio Register'!$CZ$5:$CZ$304,MATCH($B43,'Portfolio Register'!$DH$5:$DH$304,0))="","",INDEX('Portfolio Register'!$CZ$5:$CZ$304,MATCH($B43,'Portfolio Register'!$DH$5:$DH$304,0))),"")</f>
        <v/>
      </c>
      <c r="J43" s="148" t="str">
        <f>IFERROR(IF(INDEX('Portfolio Register'!$DA$5:$DA$304,MATCH($B43,'Portfolio Register'!$DH$5:$DH$304,0))="","",INDEX('Portfolio Register'!$DA$5:$DA$304,MATCH($B43,'Portfolio Register'!$DH$5:$DH$304,0))),"")</f>
        <v/>
      </c>
      <c r="K43" s="148" t="str">
        <f>IFERROR(IF(INDEX('Portfolio Register'!$DB$5:$DB$304,MATCH($B43,'Portfolio Register'!$DH$5:$DH$304,0))="","",INDEX('Portfolio Register'!$DB$5:$DB$304,MATCH($B43,'Portfolio Register'!$DH$5:$DH$304,0))),"")</f>
        <v/>
      </c>
      <c r="L43" s="148" t="str">
        <f>IFERROR(IF(INDEX('Portfolio Register'!$DC$5:$DC$304,MATCH($B43,'Portfolio Register'!$DH$5:$DH$304,0))="","",INDEX('Portfolio Register'!$DC$5:$DC$304,MATCH($B43,'Portfolio Register'!$DH$5:$DH$304,0))),"")</f>
        <v/>
      </c>
      <c r="M43" s="151" t="str">
        <f>IFERROR(IF(INDEX('Portfolio Register'!$DD$5:$DD$304,MATCH($B43,'Portfolio Register'!$DH$5:$DH$304,0))="","",INDEX('Portfolio Register'!$DD$5:$DD$304,MATCH($B43,'Portfolio Register'!$DH$5:$DH$304,0))),"")</f>
        <v/>
      </c>
      <c r="N43" s="152" t="str">
        <f ca="1">IF($C43="","",IF($M43&lt;&gt;"",$M43-IFERROR(INDEX('Portfolio Register'!$C$5:$C$304,MATCH($B43,'Portfolio Register'!$DH$5:$DH$304,0)),$M43),TODAY()-IFERROR(INDEX('Portfolio Register'!$C$5:$C$304,MATCH($B43,'Portfolio Register'!$DH$5:$DH$304,0)),TODAY())))</f>
        <v/>
      </c>
      <c r="O43" s="153" t="str">
        <f t="shared" si="0"/>
        <v/>
      </c>
      <c r="P43" s="148" t="str">
        <f>IFERROR(IF(INDEX('Portfolio Register'!$DG$5:$DG$304,MATCH($B43,'Portfolio Register'!$DH$5:$DH$304,0))="","",INDEX('Portfolio Register'!$DG$5:$DG$304,MATCH($B43,'Portfolio Register'!$DH$5:$DH$304,0))),"")</f>
        <v/>
      </c>
      <c r="Q43" s="148" t="str">
        <f>IFERROR(IF(INDEX('Portfolio Register'!$DF$5:$DF$304,MATCH($B43,'Portfolio Register'!$DH$5:$DH$304,0))="","",INDEX('Portfolio Register'!$DF$5:$DF$304,MATCH($B43,'Portfolio Register'!$DH$5:$DH$304,0))),"")</f>
        <v/>
      </c>
    </row>
    <row r="44" spans="2:17" x14ac:dyDescent="0.35">
      <c r="B44" s="58">
        <v>17</v>
      </c>
      <c r="C44" s="142" t="str">
        <f>IFERROR(IF(INDEX('Portfolio Register'!$A$5:$A$304,MATCH($B44,'Portfolio Register'!$DH$5:$DH$304,0))="","",INDEX('Portfolio Register'!$A$5:$A$304,MATCH($B44,'Portfolio Register'!$DH$5:$DH$304,0))),"")</f>
        <v/>
      </c>
      <c r="D44" s="142" t="str">
        <f>IFERROR(IF(INDEX('Portfolio Register'!$B$5:$B$304,MATCH($B44,'Portfolio Register'!$DH$5:$DH$304,0))="","",INDEX('Portfolio Register'!$B$5:$B$304,MATCH($B44,'Portfolio Register'!$DH$5:$DH$304,0))),"")</f>
        <v/>
      </c>
      <c r="E44" s="142" t="str">
        <f>IFERROR(IF(INDEX('Portfolio Register'!$I$5:$I$304,MATCH($B44,'Portfolio Register'!$DH$5:$DH$304,0))="","",INDEX('Portfolio Register'!$I$5:$I$304,MATCH($B44,'Portfolio Register'!$DH$5:$DH$304,0))),"")</f>
        <v/>
      </c>
      <c r="F44" s="143" t="str">
        <f>IFERROR(IF(INDEX('Portfolio Register'!$J$5:$J$304,MATCH($B44,'Portfolio Register'!$DH$5:$DH$304,0))="","",INDEX('Portfolio Register'!$J$5:$J$304,MATCH($B44,'Portfolio Register'!$DH$5:$DH$304,0))),"")</f>
        <v/>
      </c>
      <c r="G44" s="142" t="str">
        <f>IFERROR(IF(INDEX('Portfolio Register'!$CX$5:$CX$304,MATCH($B44,'Portfolio Register'!$DH$5:$DH$304,0))="","",INDEX('Portfolio Register'!$CX$5:$CX$304,MATCH($B44,'Portfolio Register'!$DH$5:$DH$304,0))),"")</f>
        <v/>
      </c>
      <c r="H44" s="144" t="str">
        <f>IFERROR(IF(INDEX('Portfolio Register'!$CY$5:$CY$304,MATCH($B44,'Portfolio Register'!$DH$5:$DH$304,0))="","",INDEX('Portfolio Register'!$CY$5:$CY$304,MATCH($B44,'Portfolio Register'!$DH$5:$DH$304,0))),"")</f>
        <v/>
      </c>
      <c r="I44" s="142" t="str">
        <f>IFERROR(IF(INDEX('Portfolio Register'!$CZ$5:$CZ$304,MATCH($B44,'Portfolio Register'!$DH$5:$DH$304,0))="","",INDEX('Portfolio Register'!$CZ$5:$CZ$304,MATCH($B44,'Portfolio Register'!$DH$5:$DH$304,0))),"")</f>
        <v/>
      </c>
      <c r="J44" s="142" t="str">
        <f>IFERROR(IF(INDEX('Portfolio Register'!$DA$5:$DA$304,MATCH($B44,'Portfolio Register'!$DH$5:$DH$304,0))="","",INDEX('Portfolio Register'!$DA$5:$DA$304,MATCH($B44,'Portfolio Register'!$DH$5:$DH$304,0))),"")</f>
        <v/>
      </c>
      <c r="K44" s="142" t="str">
        <f>IFERROR(IF(INDEX('Portfolio Register'!$DB$5:$DB$304,MATCH($B44,'Portfolio Register'!$DH$5:$DH$304,0))="","",INDEX('Portfolio Register'!$DB$5:$DB$304,MATCH($B44,'Portfolio Register'!$DH$5:$DH$304,0))),"")</f>
        <v/>
      </c>
      <c r="L44" s="142" t="str">
        <f>IFERROR(IF(INDEX('Portfolio Register'!$DC$5:$DC$304,MATCH($B44,'Portfolio Register'!$DH$5:$DH$304,0))="","",INDEX('Portfolio Register'!$DC$5:$DC$304,MATCH($B44,'Portfolio Register'!$DH$5:$DH$304,0))),"")</f>
        <v/>
      </c>
      <c r="M44" s="145" t="str">
        <f>IFERROR(IF(INDEX('Portfolio Register'!$DD$5:$DD$304,MATCH($B44,'Portfolio Register'!$DH$5:$DH$304,0))="","",INDEX('Portfolio Register'!$DD$5:$DD$304,MATCH($B44,'Portfolio Register'!$DH$5:$DH$304,0))),"")</f>
        <v/>
      </c>
      <c r="N44" s="146" t="str">
        <f ca="1">IF($C44="","",IF($M44&lt;&gt;"",$M44-IFERROR(INDEX('Portfolio Register'!$C$5:$C$304,MATCH($B44,'Portfolio Register'!$DH$5:$DH$304,0)),$M44),TODAY()-IFERROR(INDEX('Portfolio Register'!$C$5:$C$304,MATCH($B44,'Portfolio Register'!$DH$5:$DH$304,0)),TODAY())))</f>
        <v/>
      </c>
      <c r="O44" s="147" t="str">
        <f t="shared" si="0"/>
        <v/>
      </c>
      <c r="P44" s="142" t="str">
        <f>IFERROR(IF(INDEX('Portfolio Register'!$DG$5:$DG$304,MATCH($B44,'Portfolio Register'!$DH$5:$DH$304,0))="","",INDEX('Portfolio Register'!$DG$5:$DG$304,MATCH($B44,'Portfolio Register'!$DH$5:$DH$304,0))),"")</f>
        <v/>
      </c>
      <c r="Q44" s="142" t="str">
        <f>IFERROR(IF(INDEX('Portfolio Register'!$DF$5:$DF$304,MATCH($B44,'Portfolio Register'!$DH$5:$DH$304,0))="","",INDEX('Portfolio Register'!$DF$5:$DF$304,MATCH($B44,'Portfolio Register'!$DH$5:$DH$304,0))),"")</f>
        <v/>
      </c>
    </row>
    <row r="45" spans="2:17" x14ac:dyDescent="0.35">
      <c r="B45" s="65">
        <v>18</v>
      </c>
      <c r="C45" s="148" t="str">
        <f>IFERROR(IF(INDEX('Portfolio Register'!$A$5:$A$304,MATCH($B45,'Portfolio Register'!$DH$5:$DH$304,0))="","",INDEX('Portfolio Register'!$A$5:$A$304,MATCH($B45,'Portfolio Register'!$DH$5:$DH$304,0))),"")</f>
        <v/>
      </c>
      <c r="D45" s="148" t="str">
        <f>IFERROR(IF(INDEX('Portfolio Register'!$B$5:$B$304,MATCH($B45,'Portfolio Register'!$DH$5:$DH$304,0))="","",INDEX('Portfolio Register'!$B$5:$B$304,MATCH($B45,'Portfolio Register'!$DH$5:$DH$304,0))),"")</f>
        <v/>
      </c>
      <c r="E45" s="148" t="str">
        <f>IFERROR(IF(INDEX('Portfolio Register'!$I$5:$I$304,MATCH($B45,'Portfolio Register'!$DH$5:$DH$304,0))="","",INDEX('Portfolio Register'!$I$5:$I$304,MATCH($B45,'Portfolio Register'!$DH$5:$DH$304,0))),"")</f>
        <v/>
      </c>
      <c r="F45" s="149" t="str">
        <f>IFERROR(IF(INDEX('Portfolio Register'!$J$5:$J$304,MATCH($B45,'Portfolio Register'!$DH$5:$DH$304,0))="","",INDEX('Portfolio Register'!$J$5:$J$304,MATCH($B45,'Portfolio Register'!$DH$5:$DH$304,0))),"")</f>
        <v/>
      </c>
      <c r="G45" s="148" t="str">
        <f>IFERROR(IF(INDEX('Portfolio Register'!$CX$5:$CX$304,MATCH($B45,'Portfolio Register'!$DH$5:$DH$304,0))="","",INDEX('Portfolio Register'!$CX$5:$CX$304,MATCH($B45,'Portfolio Register'!$DH$5:$DH$304,0))),"")</f>
        <v/>
      </c>
      <c r="H45" s="150" t="str">
        <f>IFERROR(IF(INDEX('Portfolio Register'!$CY$5:$CY$304,MATCH($B45,'Portfolio Register'!$DH$5:$DH$304,0))="","",INDEX('Portfolio Register'!$CY$5:$CY$304,MATCH($B45,'Portfolio Register'!$DH$5:$DH$304,0))),"")</f>
        <v/>
      </c>
      <c r="I45" s="148" t="str">
        <f>IFERROR(IF(INDEX('Portfolio Register'!$CZ$5:$CZ$304,MATCH($B45,'Portfolio Register'!$DH$5:$DH$304,0))="","",INDEX('Portfolio Register'!$CZ$5:$CZ$304,MATCH($B45,'Portfolio Register'!$DH$5:$DH$304,0))),"")</f>
        <v/>
      </c>
      <c r="J45" s="148" t="str">
        <f>IFERROR(IF(INDEX('Portfolio Register'!$DA$5:$DA$304,MATCH($B45,'Portfolio Register'!$DH$5:$DH$304,0))="","",INDEX('Portfolio Register'!$DA$5:$DA$304,MATCH($B45,'Portfolio Register'!$DH$5:$DH$304,0))),"")</f>
        <v/>
      </c>
      <c r="K45" s="148" t="str">
        <f>IFERROR(IF(INDEX('Portfolio Register'!$DB$5:$DB$304,MATCH($B45,'Portfolio Register'!$DH$5:$DH$304,0))="","",INDEX('Portfolio Register'!$DB$5:$DB$304,MATCH($B45,'Portfolio Register'!$DH$5:$DH$304,0))),"")</f>
        <v/>
      </c>
      <c r="L45" s="148" t="str">
        <f>IFERROR(IF(INDEX('Portfolio Register'!$DC$5:$DC$304,MATCH($B45,'Portfolio Register'!$DH$5:$DH$304,0))="","",INDEX('Portfolio Register'!$DC$5:$DC$304,MATCH($B45,'Portfolio Register'!$DH$5:$DH$304,0))),"")</f>
        <v/>
      </c>
      <c r="M45" s="151" t="str">
        <f>IFERROR(IF(INDEX('Portfolio Register'!$DD$5:$DD$304,MATCH($B45,'Portfolio Register'!$DH$5:$DH$304,0))="","",INDEX('Portfolio Register'!$DD$5:$DD$304,MATCH($B45,'Portfolio Register'!$DH$5:$DH$304,0))),"")</f>
        <v/>
      </c>
      <c r="N45" s="152" t="str">
        <f ca="1">IF($C45="","",IF($M45&lt;&gt;"",$M45-IFERROR(INDEX('Portfolio Register'!$C$5:$C$304,MATCH($B45,'Portfolio Register'!$DH$5:$DH$304,0)),$M45),TODAY()-IFERROR(INDEX('Portfolio Register'!$C$5:$C$304,MATCH($B45,'Portfolio Register'!$DH$5:$DH$304,0)),TODAY())))</f>
        <v/>
      </c>
      <c r="O45" s="153" t="str">
        <f t="shared" si="0"/>
        <v/>
      </c>
      <c r="P45" s="148" t="str">
        <f>IFERROR(IF(INDEX('Portfolio Register'!$DG$5:$DG$304,MATCH($B45,'Portfolio Register'!$DH$5:$DH$304,0))="","",INDEX('Portfolio Register'!$DG$5:$DG$304,MATCH($B45,'Portfolio Register'!$DH$5:$DH$304,0))),"")</f>
        <v/>
      </c>
      <c r="Q45" s="148" t="str">
        <f>IFERROR(IF(INDEX('Portfolio Register'!$DF$5:$DF$304,MATCH($B45,'Portfolio Register'!$DH$5:$DH$304,0))="","",INDEX('Portfolio Register'!$DF$5:$DF$304,MATCH($B45,'Portfolio Register'!$DH$5:$DH$304,0))),"")</f>
        <v/>
      </c>
    </row>
    <row r="46" spans="2:17" x14ac:dyDescent="0.35">
      <c r="B46" s="58">
        <v>19</v>
      </c>
      <c r="C46" s="142" t="str">
        <f>IFERROR(IF(INDEX('Portfolio Register'!$A$5:$A$304,MATCH($B46,'Portfolio Register'!$DH$5:$DH$304,0))="","",INDEX('Portfolio Register'!$A$5:$A$304,MATCH($B46,'Portfolio Register'!$DH$5:$DH$304,0))),"")</f>
        <v/>
      </c>
      <c r="D46" s="142" t="str">
        <f>IFERROR(IF(INDEX('Portfolio Register'!$B$5:$B$304,MATCH($B46,'Portfolio Register'!$DH$5:$DH$304,0))="","",INDEX('Portfolio Register'!$B$5:$B$304,MATCH($B46,'Portfolio Register'!$DH$5:$DH$304,0))),"")</f>
        <v/>
      </c>
      <c r="E46" s="142" t="str">
        <f>IFERROR(IF(INDEX('Portfolio Register'!$I$5:$I$304,MATCH($B46,'Portfolio Register'!$DH$5:$DH$304,0))="","",INDEX('Portfolio Register'!$I$5:$I$304,MATCH($B46,'Portfolio Register'!$DH$5:$DH$304,0))),"")</f>
        <v/>
      </c>
      <c r="F46" s="143" t="str">
        <f>IFERROR(IF(INDEX('Portfolio Register'!$J$5:$J$304,MATCH($B46,'Portfolio Register'!$DH$5:$DH$304,0))="","",INDEX('Portfolio Register'!$J$5:$J$304,MATCH($B46,'Portfolio Register'!$DH$5:$DH$304,0))),"")</f>
        <v/>
      </c>
      <c r="G46" s="142" t="str">
        <f>IFERROR(IF(INDEX('Portfolio Register'!$CX$5:$CX$304,MATCH($B46,'Portfolio Register'!$DH$5:$DH$304,0))="","",INDEX('Portfolio Register'!$CX$5:$CX$304,MATCH($B46,'Portfolio Register'!$DH$5:$DH$304,0))),"")</f>
        <v/>
      </c>
      <c r="H46" s="144" t="str">
        <f>IFERROR(IF(INDEX('Portfolio Register'!$CY$5:$CY$304,MATCH($B46,'Portfolio Register'!$DH$5:$DH$304,0))="","",INDEX('Portfolio Register'!$CY$5:$CY$304,MATCH($B46,'Portfolio Register'!$DH$5:$DH$304,0))),"")</f>
        <v/>
      </c>
      <c r="I46" s="142" t="str">
        <f>IFERROR(IF(INDEX('Portfolio Register'!$CZ$5:$CZ$304,MATCH($B46,'Portfolio Register'!$DH$5:$DH$304,0))="","",INDEX('Portfolio Register'!$CZ$5:$CZ$304,MATCH($B46,'Portfolio Register'!$DH$5:$DH$304,0))),"")</f>
        <v/>
      </c>
      <c r="J46" s="142" t="str">
        <f>IFERROR(IF(INDEX('Portfolio Register'!$DA$5:$DA$304,MATCH($B46,'Portfolio Register'!$DH$5:$DH$304,0))="","",INDEX('Portfolio Register'!$DA$5:$DA$304,MATCH($B46,'Portfolio Register'!$DH$5:$DH$304,0))),"")</f>
        <v/>
      </c>
      <c r="K46" s="142" t="str">
        <f>IFERROR(IF(INDEX('Portfolio Register'!$DB$5:$DB$304,MATCH($B46,'Portfolio Register'!$DH$5:$DH$304,0))="","",INDEX('Portfolio Register'!$DB$5:$DB$304,MATCH($B46,'Portfolio Register'!$DH$5:$DH$304,0))),"")</f>
        <v/>
      </c>
      <c r="L46" s="142" t="str">
        <f>IFERROR(IF(INDEX('Portfolio Register'!$DC$5:$DC$304,MATCH($B46,'Portfolio Register'!$DH$5:$DH$304,0))="","",INDEX('Portfolio Register'!$DC$5:$DC$304,MATCH($B46,'Portfolio Register'!$DH$5:$DH$304,0))),"")</f>
        <v/>
      </c>
      <c r="M46" s="145" t="str">
        <f>IFERROR(IF(INDEX('Portfolio Register'!$DD$5:$DD$304,MATCH($B46,'Portfolio Register'!$DH$5:$DH$304,0))="","",INDEX('Portfolio Register'!$DD$5:$DD$304,MATCH($B46,'Portfolio Register'!$DH$5:$DH$304,0))),"")</f>
        <v/>
      </c>
      <c r="N46" s="146" t="str">
        <f ca="1">IF($C46="","",IF($M46&lt;&gt;"",$M46-IFERROR(INDEX('Portfolio Register'!$C$5:$C$304,MATCH($B46,'Portfolio Register'!$DH$5:$DH$304,0)),$M46),TODAY()-IFERROR(INDEX('Portfolio Register'!$C$5:$C$304,MATCH($B46,'Portfolio Register'!$DH$5:$DH$304,0)),TODAY())))</f>
        <v/>
      </c>
      <c r="O46" s="147" t="str">
        <f t="shared" si="0"/>
        <v/>
      </c>
      <c r="P46" s="142" t="str">
        <f>IFERROR(IF(INDEX('Portfolio Register'!$DG$5:$DG$304,MATCH($B46,'Portfolio Register'!$DH$5:$DH$304,0))="","",INDEX('Portfolio Register'!$DG$5:$DG$304,MATCH($B46,'Portfolio Register'!$DH$5:$DH$304,0))),"")</f>
        <v/>
      </c>
      <c r="Q46" s="142" t="str">
        <f>IFERROR(IF(INDEX('Portfolio Register'!$DF$5:$DF$304,MATCH($B46,'Portfolio Register'!$DH$5:$DH$304,0))="","",INDEX('Portfolio Register'!$DF$5:$DF$304,MATCH($B46,'Portfolio Register'!$DH$5:$DH$304,0))),"")</f>
        <v/>
      </c>
    </row>
    <row r="47" spans="2:17" x14ac:dyDescent="0.35">
      <c r="B47" s="65">
        <v>20</v>
      </c>
      <c r="C47" s="148" t="str">
        <f>IFERROR(IF(INDEX('Portfolio Register'!$A$5:$A$304,MATCH($B47,'Portfolio Register'!$DH$5:$DH$304,0))="","",INDEX('Portfolio Register'!$A$5:$A$304,MATCH($B47,'Portfolio Register'!$DH$5:$DH$304,0))),"")</f>
        <v/>
      </c>
      <c r="D47" s="148" t="str">
        <f>IFERROR(IF(INDEX('Portfolio Register'!$B$5:$B$304,MATCH($B47,'Portfolio Register'!$DH$5:$DH$304,0))="","",INDEX('Portfolio Register'!$B$5:$B$304,MATCH($B47,'Portfolio Register'!$DH$5:$DH$304,0))),"")</f>
        <v/>
      </c>
      <c r="E47" s="148" t="str">
        <f>IFERROR(IF(INDEX('Portfolio Register'!$I$5:$I$304,MATCH($B47,'Portfolio Register'!$DH$5:$DH$304,0))="","",INDEX('Portfolio Register'!$I$5:$I$304,MATCH($B47,'Portfolio Register'!$DH$5:$DH$304,0))),"")</f>
        <v/>
      </c>
      <c r="F47" s="149" t="str">
        <f>IFERROR(IF(INDEX('Portfolio Register'!$J$5:$J$304,MATCH($B47,'Portfolio Register'!$DH$5:$DH$304,0))="","",INDEX('Portfolio Register'!$J$5:$J$304,MATCH($B47,'Portfolio Register'!$DH$5:$DH$304,0))),"")</f>
        <v/>
      </c>
      <c r="G47" s="148" t="str">
        <f>IFERROR(IF(INDEX('Portfolio Register'!$CX$5:$CX$304,MATCH($B47,'Portfolio Register'!$DH$5:$DH$304,0))="","",INDEX('Portfolio Register'!$CX$5:$CX$304,MATCH($B47,'Portfolio Register'!$DH$5:$DH$304,0))),"")</f>
        <v/>
      </c>
      <c r="H47" s="150" t="str">
        <f>IFERROR(IF(INDEX('Portfolio Register'!$CY$5:$CY$304,MATCH($B47,'Portfolio Register'!$DH$5:$DH$304,0))="","",INDEX('Portfolio Register'!$CY$5:$CY$304,MATCH($B47,'Portfolio Register'!$DH$5:$DH$304,0))),"")</f>
        <v/>
      </c>
      <c r="I47" s="148" t="str">
        <f>IFERROR(IF(INDEX('Portfolio Register'!$CZ$5:$CZ$304,MATCH($B47,'Portfolio Register'!$DH$5:$DH$304,0))="","",INDEX('Portfolio Register'!$CZ$5:$CZ$304,MATCH($B47,'Portfolio Register'!$DH$5:$DH$304,0))),"")</f>
        <v/>
      </c>
      <c r="J47" s="148" t="str">
        <f>IFERROR(IF(INDEX('Portfolio Register'!$DA$5:$DA$304,MATCH($B47,'Portfolio Register'!$DH$5:$DH$304,0))="","",INDEX('Portfolio Register'!$DA$5:$DA$304,MATCH($B47,'Portfolio Register'!$DH$5:$DH$304,0))),"")</f>
        <v/>
      </c>
      <c r="K47" s="148" t="str">
        <f>IFERROR(IF(INDEX('Portfolio Register'!$DB$5:$DB$304,MATCH($B47,'Portfolio Register'!$DH$5:$DH$304,0))="","",INDEX('Portfolio Register'!$DB$5:$DB$304,MATCH($B47,'Portfolio Register'!$DH$5:$DH$304,0))),"")</f>
        <v/>
      </c>
      <c r="L47" s="148" t="str">
        <f>IFERROR(IF(INDEX('Portfolio Register'!$DC$5:$DC$304,MATCH($B47,'Portfolio Register'!$DH$5:$DH$304,0))="","",INDEX('Portfolio Register'!$DC$5:$DC$304,MATCH($B47,'Portfolio Register'!$DH$5:$DH$304,0))),"")</f>
        <v/>
      </c>
      <c r="M47" s="151" t="str">
        <f>IFERROR(IF(INDEX('Portfolio Register'!$DD$5:$DD$304,MATCH($B47,'Portfolio Register'!$DH$5:$DH$304,0))="","",INDEX('Portfolio Register'!$DD$5:$DD$304,MATCH($B47,'Portfolio Register'!$DH$5:$DH$304,0))),"")</f>
        <v/>
      </c>
      <c r="N47" s="152" t="str">
        <f ca="1">IF($C47="","",IF($M47&lt;&gt;"",$M47-IFERROR(INDEX('Portfolio Register'!$C$5:$C$304,MATCH($B47,'Portfolio Register'!$DH$5:$DH$304,0)),$M47),TODAY()-IFERROR(INDEX('Portfolio Register'!$C$5:$C$304,MATCH($B47,'Portfolio Register'!$DH$5:$DH$304,0)),TODAY())))</f>
        <v/>
      </c>
      <c r="O47" s="153" t="str">
        <f t="shared" si="0"/>
        <v/>
      </c>
      <c r="P47" s="148" t="str">
        <f>IFERROR(IF(INDEX('Portfolio Register'!$DG$5:$DG$304,MATCH($B47,'Portfolio Register'!$DH$5:$DH$304,0))="","",INDEX('Portfolio Register'!$DG$5:$DG$304,MATCH($B47,'Portfolio Register'!$DH$5:$DH$304,0))),"")</f>
        <v/>
      </c>
      <c r="Q47" s="148" t="str">
        <f>IFERROR(IF(INDEX('Portfolio Register'!$DF$5:$DF$304,MATCH($B47,'Portfolio Register'!$DH$5:$DH$304,0))="","",INDEX('Portfolio Register'!$DF$5:$DF$304,MATCH($B47,'Portfolio Register'!$DH$5:$DH$304,0))),"")</f>
        <v/>
      </c>
    </row>
    <row r="48" spans="2:17" x14ac:dyDescent="0.35">
      <c r="B48" s="58">
        <v>21</v>
      </c>
      <c r="C48" s="142" t="str">
        <f>IFERROR(IF(INDEX('Portfolio Register'!$A$5:$A$304,MATCH($B48,'Portfolio Register'!$DH$5:$DH$304,0))="","",INDEX('Portfolio Register'!$A$5:$A$304,MATCH($B48,'Portfolio Register'!$DH$5:$DH$304,0))),"")</f>
        <v/>
      </c>
      <c r="D48" s="142" t="str">
        <f>IFERROR(IF(INDEX('Portfolio Register'!$B$5:$B$304,MATCH($B48,'Portfolio Register'!$DH$5:$DH$304,0))="","",INDEX('Portfolio Register'!$B$5:$B$304,MATCH($B48,'Portfolio Register'!$DH$5:$DH$304,0))),"")</f>
        <v/>
      </c>
      <c r="E48" s="142" t="str">
        <f>IFERROR(IF(INDEX('Portfolio Register'!$I$5:$I$304,MATCH($B48,'Portfolio Register'!$DH$5:$DH$304,0))="","",INDEX('Portfolio Register'!$I$5:$I$304,MATCH($B48,'Portfolio Register'!$DH$5:$DH$304,0))),"")</f>
        <v/>
      </c>
      <c r="F48" s="143" t="str">
        <f>IFERROR(IF(INDEX('Portfolio Register'!$J$5:$J$304,MATCH($B48,'Portfolio Register'!$DH$5:$DH$304,0))="","",INDEX('Portfolio Register'!$J$5:$J$304,MATCH($B48,'Portfolio Register'!$DH$5:$DH$304,0))),"")</f>
        <v/>
      </c>
      <c r="G48" s="142" t="str">
        <f>IFERROR(IF(INDEX('Portfolio Register'!$CX$5:$CX$304,MATCH($B48,'Portfolio Register'!$DH$5:$DH$304,0))="","",INDEX('Portfolio Register'!$CX$5:$CX$304,MATCH($B48,'Portfolio Register'!$DH$5:$DH$304,0))),"")</f>
        <v/>
      </c>
      <c r="H48" s="144" t="str">
        <f>IFERROR(IF(INDEX('Portfolio Register'!$CY$5:$CY$304,MATCH($B48,'Portfolio Register'!$DH$5:$DH$304,0))="","",INDEX('Portfolio Register'!$CY$5:$CY$304,MATCH($B48,'Portfolio Register'!$DH$5:$DH$304,0))),"")</f>
        <v/>
      </c>
      <c r="I48" s="142" t="str">
        <f>IFERROR(IF(INDEX('Portfolio Register'!$CZ$5:$CZ$304,MATCH($B48,'Portfolio Register'!$DH$5:$DH$304,0))="","",INDEX('Portfolio Register'!$CZ$5:$CZ$304,MATCH($B48,'Portfolio Register'!$DH$5:$DH$304,0))),"")</f>
        <v/>
      </c>
      <c r="J48" s="142" t="str">
        <f>IFERROR(IF(INDEX('Portfolio Register'!$DA$5:$DA$304,MATCH($B48,'Portfolio Register'!$DH$5:$DH$304,0))="","",INDEX('Portfolio Register'!$DA$5:$DA$304,MATCH($B48,'Portfolio Register'!$DH$5:$DH$304,0))),"")</f>
        <v/>
      </c>
      <c r="K48" s="142" t="str">
        <f>IFERROR(IF(INDEX('Portfolio Register'!$DB$5:$DB$304,MATCH($B48,'Portfolio Register'!$DH$5:$DH$304,0))="","",INDEX('Portfolio Register'!$DB$5:$DB$304,MATCH($B48,'Portfolio Register'!$DH$5:$DH$304,0))),"")</f>
        <v/>
      </c>
      <c r="L48" s="142" t="str">
        <f>IFERROR(IF(INDEX('Portfolio Register'!$DC$5:$DC$304,MATCH($B48,'Portfolio Register'!$DH$5:$DH$304,0))="","",INDEX('Portfolio Register'!$DC$5:$DC$304,MATCH($B48,'Portfolio Register'!$DH$5:$DH$304,0))),"")</f>
        <v/>
      </c>
      <c r="M48" s="145" t="str">
        <f>IFERROR(IF(INDEX('Portfolio Register'!$DD$5:$DD$304,MATCH($B48,'Portfolio Register'!$DH$5:$DH$304,0))="","",INDEX('Portfolio Register'!$DD$5:$DD$304,MATCH($B48,'Portfolio Register'!$DH$5:$DH$304,0))),"")</f>
        <v/>
      </c>
      <c r="N48" s="146" t="str">
        <f ca="1">IF($C48="","",IF($M48&lt;&gt;"",$M48-IFERROR(INDEX('Portfolio Register'!$C$5:$C$304,MATCH($B48,'Portfolio Register'!$DH$5:$DH$304,0)),$M48),TODAY()-IFERROR(INDEX('Portfolio Register'!$C$5:$C$304,MATCH($B48,'Portfolio Register'!$DH$5:$DH$304,0)),TODAY())))</f>
        <v/>
      </c>
      <c r="O48" s="147" t="str">
        <f t="shared" si="0"/>
        <v/>
      </c>
      <c r="P48" s="142" t="str">
        <f>IFERROR(IF(INDEX('Portfolio Register'!$DG$5:$DG$304,MATCH($B48,'Portfolio Register'!$DH$5:$DH$304,0))="","",INDEX('Portfolio Register'!$DG$5:$DG$304,MATCH($B48,'Portfolio Register'!$DH$5:$DH$304,0))),"")</f>
        <v/>
      </c>
      <c r="Q48" s="142" t="str">
        <f>IFERROR(IF(INDEX('Portfolio Register'!$DF$5:$DF$304,MATCH($B48,'Portfolio Register'!$DH$5:$DH$304,0))="","",INDEX('Portfolio Register'!$DF$5:$DF$304,MATCH($B48,'Portfolio Register'!$DH$5:$DH$304,0))),"")</f>
        <v/>
      </c>
    </row>
    <row r="49" spans="2:17" x14ac:dyDescent="0.35">
      <c r="B49" s="65">
        <v>22</v>
      </c>
      <c r="C49" s="148" t="str">
        <f>IFERROR(IF(INDEX('Portfolio Register'!$A$5:$A$304,MATCH($B49,'Portfolio Register'!$DH$5:$DH$304,0))="","",INDEX('Portfolio Register'!$A$5:$A$304,MATCH($B49,'Portfolio Register'!$DH$5:$DH$304,0))),"")</f>
        <v/>
      </c>
      <c r="D49" s="148" t="str">
        <f>IFERROR(IF(INDEX('Portfolio Register'!$B$5:$B$304,MATCH($B49,'Portfolio Register'!$DH$5:$DH$304,0))="","",INDEX('Portfolio Register'!$B$5:$B$304,MATCH($B49,'Portfolio Register'!$DH$5:$DH$304,0))),"")</f>
        <v/>
      </c>
      <c r="E49" s="148" t="str">
        <f>IFERROR(IF(INDEX('Portfolio Register'!$I$5:$I$304,MATCH($B49,'Portfolio Register'!$DH$5:$DH$304,0))="","",INDEX('Portfolio Register'!$I$5:$I$304,MATCH($B49,'Portfolio Register'!$DH$5:$DH$304,0))),"")</f>
        <v/>
      </c>
      <c r="F49" s="149" t="str">
        <f>IFERROR(IF(INDEX('Portfolio Register'!$J$5:$J$304,MATCH($B49,'Portfolio Register'!$DH$5:$DH$304,0))="","",INDEX('Portfolio Register'!$J$5:$J$304,MATCH($B49,'Portfolio Register'!$DH$5:$DH$304,0))),"")</f>
        <v/>
      </c>
      <c r="G49" s="148" t="str">
        <f>IFERROR(IF(INDEX('Portfolio Register'!$CX$5:$CX$304,MATCH($B49,'Portfolio Register'!$DH$5:$DH$304,0))="","",INDEX('Portfolio Register'!$CX$5:$CX$304,MATCH($B49,'Portfolio Register'!$DH$5:$DH$304,0))),"")</f>
        <v/>
      </c>
      <c r="H49" s="150" t="str">
        <f>IFERROR(IF(INDEX('Portfolio Register'!$CY$5:$CY$304,MATCH($B49,'Portfolio Register'!$DH$5:$DH$304,0))="","",INDEX('Portfolio Register'!$CY$5:$CY$304,MATCH($B49,'Portfolio Register'!$DH$5:$DH$304,0))),"")</f>
        <v/>
      </c>
      <c r="I49" s="148" t="str">
        <f>IFERROR(IF(INDEX('Portfolio Register'!$CZ$5:$CZ$304,MATCH($B49,'Portfolio Register'!$DH$5:$DH$304,0))="","",INDEX('Portfolio Register'!$CZ$5:$CZ$304,MATCH($B49,'Portfolio Register'!$DH$5:$DH$304,0))),"")</f>
        <v/>
      </c>
      <c r="J49" s="148" t="str">
        <f>IFERROR(IF(INDEX('Portfolio Register'!$DA$5:$DA$304,MATCH($B49,'Portfolio Register'!$DH$5:$DH$304,0))="","",INDEX('Portfolio Register'!$DA$5:$DA$304,MATCH($B49,'Portfolio Register'!$DH$5:$DH$304,0))),"")</f>
        <v/>
      </c>
      <c r="K49" s="148" t="str">
        <f>IFERROR(IF(INDEX('Portfolio Register'!$DB$5:$DB$304,MATCH($B49,'Portfolio Register'!$DH$5:$DH$304,0))="","",INDEX('Portfolio Register'!$DB$5:$DB$304,MATCH($B49,'Portfolio Register'!$DH$5:$DH$304,0))),"")</f>
        <v/>
      </c>
      <c r="L49" s="148" t="str">
        <f>IFERROR(IF(INDEX('Portfolio Register'!$DC$5:$DC$304,MATCH($B49,'Portfolio Register'!$DH$5:$DH$304,0))="","",INDEX('Portfolio Register'!$DC$5:$DC$304,MATCH($B49,'Portfolio Register'!$DH$5:$DH$304,0))),"")</f>
        <v/>
      </c>
      <c r="M49" s="151" t="str">
        <f>IFERROR(IF(INDEX('Portfolio Register'!$DD$5:$DD$304,MATCH($B49,'Portfolio Register'!$DH$5:$DH$304,0))="","",INDEX('Portfolio Register'!$DD$5:$DD$304,MATCH($B49,'Portfolio Register'!$DH$5:$DH$304,0))),"")</f>
        <v/>
      </c>
      <c r="N49" s="152" t="str">
        <f ca="1">IF($C49="","",IF($M49&lt;&gt;"",$M49-IFERROR(INDEX('Portfolio Register'!$C$5:$C$304,MATCH($B49,'Portfolio Register'!$DH$5:$DH$304,0)),$M49),TODAY()-IFERROR(INDEX('Portfolio Register'!$C$5:$C$304,MATCH($B49,'Portfolio Register'!$DH$5:$DH$304,0)),TODAY())))</f>
        <v/>
      </c>
      <c r="O49" s="153" t="str">
        <f t="shared" si="0"/>
        <v/>
      </c>
      <c r="P49" s="148" t="str">
        <f>IFERROR(IF(INDEX('Portfolio Register'!$DG$5:$DG$304,MATCH($B49,'Portfolio Register'!$DH$5:$DH$304,0))="","",INDEX('Portfolio Register'!$DG$5:$DG$304,MATCH($B49,'Portfolio Register'!$DH$5:$DH$304,0))),"")</f>
        <v/>
      </c>
      <c r="Q49" s="148" t="str">
        <f>IFERROR(IF(INDEX('Portfolio Register'!$DF$5:$DF$304,MATCH($B49,'Portfolio Register'!$DH$5:$DH$304,0))="","",INDEX('Portfolio Register'!$DF$5:$DF$304,MATCH($B49,'Portfolio Register'!$DH$5:$DH$304,0))),"")</f>
        <v/>
      </c>
    </row>
    <row r="50" spans="2:17" x14ac:dyDescent="0.35">
      <c r="B50" s="58">
        <v>23</v>
      </c>
      <c r="C50" s="142" t="str">
        <f>IFERROR(IF(INDEX('Portfolio Register'!$A$5:$A$304,MATCH($B50,'Portfolio Register'!$DH$5:$DH$304,0))="","",INDEX('Portfolio Register'!$A$5:$A$304,MATCH($B50,'Portfolio Register'!$DH$5:$DH$304,0))),"")</f>
        <v/>
      </c>
      <c r="D50" s="142" t="str">
        <f>IFERROR(IF(INDEX('Portfolio Register'!$B$5:$B$304,MATCH($B50,'Portfolio Register'!$DH$5:$DH$304,0))="","",INDEX('Portfolio Register'!$B$5:$B$304,MATCH($B50,'Portfolio Register'!$DH$5:$DH$304,0))),"")</f>
        <v/>
      </c>
      <c r="E50" s="142" t="str">
        <f>IFERROR(IF(INDEX('Portfolio Register'!$I$5:$I$304,MATCH($B50,'Portfolio Register'!$DH$5:$DH$304,0))="","",INDEX('Portfolio Register'!$I$5:$I$304,MATCH($B50,'Portfolio Register'!$DH$5:$DH$304,0))),"")</f>
        <v/>
      </c>
      <c r="F50" s="143" t="str">
        <f>IFERROR(IF(INDEX('Portfolio Register'!$J$5:$J$304,MATCH($B50,'Portfolio Register'!$DH$5:$DH$304,0))="","",INDEX('Portfolio Register'!$J$5:$J$304,MATCH($B50,'Portfolio Register'!$DH$5:$DH$304,0))),"")</f>
        <v/>
      </c>
      <c r="G50" s="142" t="str">
        <f>IFERROR(IF(INDEX('Portfolio Register'!$CX$5:$CX$304,MATCH($B50,'Portfolio Register'!$DH$5:$DH$304,0))="","",INDEX('Portfolio Register'!$CX$5:$CX$304,MATCH($B50,'Portfolio Register'!$DH$5:$DH$304,0))),"")</f>
        <v/>
      </c>
      <c r="H50" s="144" t="str">
        <f>IFERROR(IF(INDEX('Portfolio Register'!$CY$5:$CY$304,MATCH($B50,'Portfolio Register'!$DH$5:$DH$304,0))="","",INDEX('Portfolio Register'!$CY$5:$CY$304,MATCH($B50,'Portfolio Register'!$DH$5:$DH$304,0))),"")</f>
        <v/>
      </c>
      <c r="I50" s="142" t="str">
        <f>IFERROR(IF(INDEX('Portfolio Register'!$CZ$5:$CZ$304,MATCH($B50,'Portfolio Register'!$DH$5:$DH$304,0))="","",INDEX('Portfolio Register'!$CZ$5:$CZ$304,MATCH($B50,'Portfolio Register'!$DH$5:$DH$304,0))),"")</f>
        <v/>
      </c>
      <c r="J50" s="142" t="str">
        <f>IFERROR(IF(INDEX('Portfolio Register'!$DA$5:$DA$304,MATCH($B50,'Portfolio Register'!$DH$5:$DH$304,0))="","",INDEX('Portfolio Register'!$DA$5:$DA$304,MATCH($B50,'Portfolio Register'!$DH$5:$DH$304,0))),"")</f>
        <v/>
      </c>
      <c r="K50" s="142" t="str">
        <f>IFERROR(IF(INDEX('Portfolio Register'!$DB$5:$DB$304,MATCH($B50,'Portfolio Register'!$DH$5:$DH$304,0))="","",INDEX('Portfolio Register'!$DB$5:$DB$304,MATCH($B50,'Portfolio Register'!$DH$5:$DH$304,0))),"")</f>
        <v/>
      </c>
      <c r="L50" s="142" t="str">
        <f>IFERROR(IF(INDEX('Portfolio Register'!$DC$5:$DC$304,MATCH($B50,'Portfolio Register'!$DH$5:$DH$304,0))="","",INDEX('Portfolio Register'!$DC$5:$DC$304,MATCH($B50,'Portfolio Register'!$DH$5:$DH$304,0))),"")</f>
        <v/>
      </c>
      <c r="M50" s="145" t="str">
        <f>IFERROR(IF(INDEX('Portfolio Register'!$DD$5:$DD$304,MATCH($B50,'Portfolio Register'!$DH$5:$DH$304,0))="","",INDEX('Portfolio Register'!$DD$5:$DD$304,MATCH($B50,'Portfolio Register'!$DH$5:$DH$304,0))),"")</f>
        <v/>
      </c>
      <c r="N50" s="146" t="str">
        <f ca="1">IF($C50="","",IF($M50&lt;&gt;"",$M50-IFERROR(INDEX('Portfolio Register'!$C$5:$C$304,MATCH($B50,'Portfolio Register'!$DH$5:$DH$304,0)),$M50),TODAY()-IFERROR(INDEX('Portfolio Register'!$C$5:$C$304,MATCH($B50,'Portfolio Register'!$DH$5:$DH$304,0)),TODAY())))</f>
        <v/>
      </c>
      <c r="O50" s="147" t="str">
        <f t="shared" si="0"/>
        <v/>
      </c>
      <c r="P50" s="142" t="str">
        <f>IFERROR(IF(INDEX('Portfolio Register'!$DG$5:$DG$304,MATCH($B50,'Portfolio Register'!$DH$5:$DH$304,0))="","",INDEX('Portfolio Register'!$DG$5:$DG$304,MATCH($B50,'Portfolio Register'!$DH$5:$DH$304,0))),"")</f>
        <v/>
      </c>
      <c r="Q50" s="142" t="str">
        <f>IFERROR(IF(INDEX('Portfolio Register'!$DF$5:$DF$304,MATCH($B50,'Portfolio Register'!$DH$5:$DH$304,0))="","",INDEX('Portfolio Register'!$DF$5:$DF$304,MATCH($B50,'Portfolio Register'!$DH$5:$DH$304,0))),"")</f>
        <v/>
      </c>
    </row>
    <row r="51" spans="2:17" x14ac:dyDescent="0.35">
      <c r="B51" s="65">
        <v>24</v>
      </c>
      <c r="C51" s="148" t="str">
        <f>IFERROR(IF(INDEX('Portfolio Register'!$A$5:$A$304,MATCH($B51,'Portfolio Register'!$DH$5:$DH$304,0))="","",INDEX('Portfolio Register'!$A$5:$A$304,MATCH($B51,'Portfolio Register'!$DH$5:$DH$304,0))),"")</f>
        <v/>
      </c>
      <c r="D51" s="148" t="str">
        <f>IFERROR(IF(INDEX('Portfolio Register'!$B$5:$B$304,MATCH($B51,'Portfolio Register'!$DH$5:$DH$304,0))="","",INDEX('Portfolio Register'!$B$5:$B$304,MATCH($B51,'Portfolio Register'!$DH$5:$DH$304,0))),"")</f>
        <v/>
      </c>
      <c r="E51" s="148" t="str">
        <f>IFERROR(IF(INDEX('Portfolio Register'!$I$5:$I$304,MATCH($B51,'Portfolio Register'!$DH$5:$DH$304,0))="","",INDEX('Portfolio Register'!$I$5:$I$304,MATCH($B51,'Portfolio Register'!$DH$5:$DH$304,0))),"")</f>
        <v/>
      </c>
      <c r="F51" s="149" t="str">
        <f>IFERROR(IF(INDEX('Portfolio Register'!$J$5:$J$304,MATCH($B51,'Portfolio Register'!$DH$5:$DH$304,0))="","",INDEX('Portfolio Register'!$J$5:$J$304,MATCH($B51,'Portfolio Register'!$DH$5:$DH$304,0))),"")</f>
        <v/>
      </c>
      <c r="G51" s="148" t="str">
        <f>IFERROR(IF(INDEX('Portfolio Register'!$CX$5:$CX$304,MATCH($B51,'Portfolio Register'!$DH$5:$DH$304,0))="","",INDEX('Portfolio Register'!$CX$5:$CX$304,MATCH($B51,'Portfolio Register'!$DH$5:$DH$304,0))),"")</f>
        <v/>
      </c>
      <c r="H51" s="150" t="str">
        <f>IFERROR(IF(INDEX('Portfolio Register'!$CY$5:$CY$304,MATCH($B51,'Portfolio Register'!$DH$5:$DH$304,0))="","",INDEX('Portfolio Register'!$CY$5:$CY$304,MATCH($B51,'Portfolio Register'!$DH$5:$DH$304,0))),"")</f>
        <v/>
      </c>
      <c r="I51" s="148" t="str">
        <f>IFERROR(IF(INDEX('Portfolio Register'!$CZ$5:$CZ$304,MATCH($B51,'Portfolio Register'!$DH$5:$DH$304,0))="","",INDEX('Portfolio Register'!$CZ$5:$CZ$304,MATCH($B51,'Portfolio Register'!$DH$5:$DH$304,0))),"")</f>
        <v/>
      </c>
      <c r="J51" s="148" t="str">
        <f>IFERROR(IF(INDEX('Portfolio Register'!$DA$5:$DA$304,MATCH($B51,'Portfolio Register'!$DH$5:$DH$304,0))="","",INDEX('Portfolio Register'!$DA$5:$DA$304,MATCH($B51,'Portfolio Register'!$DH$5:$DH$304,0))),"")</f>
        <v/>
      </c>
      <c r="K51" s="148" t="str">
        <f>IFERROR(IF(INDEX('Portfolio Register'!$DB$5:$DB$304,MATCH($B51,'Portfolio Register'!$DH$5:$DH$304,0))="","",INDEX('Portfolio Register'!$DB$5:$DB$304,MATCH($B51,'Portfolio Register'!$DH$5:$DH$304,0))),"")</f>
        <v/>
      </c>
      <c r="L51" s="148" t="str">
        <f>IFERROR(IF(INDEX('Portfolio Register'!$DC$5:$DC$304,MATCH($B51,'Portfolio Register'!$DH$5:$DH$304,0))="","",INDEX('Portfolio Register'!$DC$5:$DC$304,MATCH($B51,'Portfolio Register'!$DH$5:$DH$304,0))),"")</f>
        <v/>
      </c>
      <c r="M51" s="151" t="str">
        <f>IFERROR(IF(INDEX('Portfolio Register'!$DD$5:$DD$304,MATCH($B51,'Portfolio Register'!$DH$5:$DH$304,0))="","",INDEX('Portfolio Register'!$DD$5:$DD$304,MATCH($B51,'Portfolio Register'!$DH$5:$DH$304,0))),"")</f>
        <v/>
      </c>
      <c r="N51" s="152" t="str">
        <f ca="1">IF($C51="","",IF($M51&lt;&gt;"",$M51-IFERROR(INDEX('Portfolio Register'!$C$5:$C$304,MATCH($B51,'Portfolio Register'!$DH$5:$DH$304,0)),$M51),TODAY()-IFERROR(INDEX('Portfolio Register'!$C$5:$C$304,MATCH($B51,'Portfolio Register'!$DH$5:$DH$304,0)),TODAY())))</f>
        <v/>
      </c>
      <c r="O51" s="153" t="str">
        <f t="shared" si="0"/>
        <v/>
      </c>
      <c r="P51" s="148" t="str">
        <f>IFERROR(IF(INDEX('Portfolio Register'!$DG$5:$DG$304,MATCH($B51,'Portfolio Register'!$DH$5:$DH$304,0))="","",INDEX('Portfolio Register'!$DG$5:$DG$304,MATCH($B51,'Portfolio Register'!$DH$5:$DH$304,0))),"")</f>
        <v/>
      </c>
      <c r="Q51" s="148" t="str">
        <f>IFERROR(IF(INDEX('Portfolio Register'!$DF$5:$DF$304,MATCH($B51,'Portfolio Register'!$DH$5:$DH$304,0))="","",INDEX('Portfolio Register'!$DF$5:$DF$304,MATCH($B51,'Portfolio Register'!$DH$5:$DH$304,0))),"")</f>
        <v/>
      </c>
    </row>
    <row r="52" spans="2:17" x14ac:dyDescent="0.35">
      <c r="B52" s="58">
        <v>25</v>
      </c>
      <c r="C52" s="142" t="str">
        <f>IFERROR(IF(INDEX('Portfolio Register'!$A$5:$A$304,MATCH($B52,'Portfolio Register'!$DH$5:$DH$304,0))="","",INDEX('Portfolio Register'!$A$5:$A$304,MATCH($B52,'Portfolio Register'!$DH$5:$DH$304,0))),"")</f>
        <v/>
      </c>
      <c r="D52" s="142" t="str">
        <f>IFERROR(IF(INDEX('Portfolio Register'!$B$5:$B$304,MATCH($B52,'Portfolio Register'!$DH$5:$DH$304,0))="","",INDEX('Portfolio Register'!$B$5:$B$304,MATCH($B52,'Portfolio Register'!$DH$5:$DH$304,0))),"")</f>
        <v/>
      </c>
      <c r="E52" s="142" t="str">
        <f>IFERROR(IF(INDEX('Portfolio Register'!$I$5:$I$304,MATCH($B52,'Portfolio Register'!$DH$5:$DH$304,0))="","",INDEX('Portfolio Register'!$I$5:$I$304,MATCH($B52,'Portfolio Register'!$DH$5:$DH$304,0))),"")</f>
        <v/>
      </c>
      <c r="F52" s="143" t="str">
        <f>IFERROR(IF(INDEX('Portfolio Register'!$J$5:$J$304,MATCH($B52,'Portfolio Register'!$DH$5:$DH$304,0))="","",INDEX('Portfolio Register'!$J$5:$J$304,MATCH($B52,'Portfolio Register'!$DH$5:$DH$304,0))),"")</f>
        <v/>
      </c>
      <c r="G52" s="142" t="str">
        <f>IFERROR(IF(INDEX('Portfolio Register'!$CX$5:$CX$304,MATCH($B52,'Portfolio Register'!$DH$5:$DH$304,0))="","",INDEX('Portfolio Register'!$CX$5:$CX$304,MATCH($B52,'Portfolio Register'!$DH$5:$DH$304,0))),"")</f>
        <v/>
      </c>
      <c r="H52" s="144" t="str">
        <f>IFERROR(IF(INDEX('Portfolio Register'!$CY$5:$CY$304,MATCH($B52,'Portfolio Register'!$DH$5:$DH$304,0))="","",INDEX('Portfolio Register'!$CY$5:$CY$304,MATCH($B52,'Portfolio Register'!$DH$5:$DH$304,0))),"")</f>
        <v/>
      </c>
      <c r="I52" s="142" t="str">
        <f>IFERROR(IF(INDEX('Portfolio Register'!$CZ$5:$CZ$304,MATCH($B52,'Portfolio Register'!$DH$5:$DH$304,0))="","",INDEX('Portfolio Register'!$CZ$5:$CZ$304,MATCH($B52,'Portfolio Register'!$DH$5:$DH$304,0))),"")</f>
        <v/>
      </c>
      <c r="J52" s="142" t="str">
        <f>IFERROR(IF(INDEX('Portfolio Register'!$DA$5:$DA$304,MATCH($B52,'Portfolio Register'!$DH$5:$DH$304,0))="","",INDEX('Portfolio Register'!$DA$5:$DA$304,MATCH($B52,'Portfolio Register'!$DH$5:$DH$304,0))),"")</f>
        <v/>
      </c>
      <c r="K52" s="142" t="str">
        <f>IFERROR(IF(INDEX('Portfolio Register'!$DB$5:$DB$304,MATCH($B52,'Portfolio Register'!$DH$5:$DH$304,0))="","",INDEX('Portfolio Register'!$DB$5:$DB$304,MATCH($B52,'Portfolio Register'!$DH$5:$DH$304,0))),"")</f>
        <v/>
      </c>
      <c r="L52" s="142" t="str">
        <f>IFERROR(IF(INDEX('Portfolio Register'!$DC$5:$DC$304,MATCH($B52,'Portfolio Register'!$DH$5:$DH$304,0))="","",INDEX('Portfolio Register'!$DC$5:$DC$304,MATCH($B52,'Portfolio Register'!$DH$5:$DH$304,0))),"")</f>
        <v/>
      </c>
      <c r="M52" s="145" t="str">
        <f>IFERROR(IF(INDEX('Portfolio Register'!$DD$5:$DD$304,MATCH($B52,'Portfolio Register'!$DH$5:$DH$304,0))="","",INDEX('Portfolio Register'!$DD$5:$DD$304,MATCH($B52,'Portfolio Register'!$DH$5:$DH$304,0))),"")</f>
        <v/>
      </c>
      <c r="N52" s="146" t="str">
        <f ca="1">IF($C52="","",IF($M52&lt;&gt;"",$M52-IFERROR(INDEX('Portfolio Register'!$C$5:$C$304,MATCH($B52,'Portfolio Register'!$DH$5:$DH$304,0)),$M52),TODAY()-IFERROR(INDEX('Portfolio Register'!$C$5:$C$304,MATCH($B52,'Portfolio Register'!$DH$5:$DH$304,0)),TODAY())))</f>
        <v/>
      </c>
      <c r="O52" s="147" t="str">
        <f t="shared" si="0"/>
        <v/>
      </c>
      <c r="P52" s="142" t="str">
        <f>IFERROR(IF(INDEX('Portfolio Register'!$DG$5:$DG$304,MATCH($B52,'Portfolio Register'!$DH$5:$DH$304,0))="","",INDEX('Portfolio Register'!$DG$5:$DG$304,MATCH($B52,'Portfolio Register'!$DH$5:$DH$304,0))),"")</f>
        <v/>
      </c>
      <c r="Q52" s="142" t="str">
        <f>IFERROR(IF(INDEX('Portfolio Register'!$DF$5:$DF$304,MATCH($B52,'Portfolio Register'!$DH$5:$DH$304,0))="","",INDEX('Portfolio Register'!$DF$5:$DF$304,MATCH($B52,'Portfolio Register'!$DH$5:$DH$304,0))),"")</f>
        <v/>
      </c>
    </row>
    <row r="53" spans="2:17" x14ac:dyDescent="0.35">
      <c r="B53" s="65">
        <v>26</v>
      </c>
      <c r="C53" s="148" t="str">
        <f>IFERROR(IF(INDEX('Portfolio Register'!$A$5:$A$304,MATCH($B53,'Portfolio Register'!$DH$5:$DH$304,0))="","",INDEX('Portfolio Register'!$A$5:$A$304,MATCH($B53,'Portfolio Register'!$DH$5:$DH$304,0))),"")</f>
        <v/>
      </c>
      <c r="D53" s="148" t="str">
        <f>IFERROR(IF(INDEX('Portfolio Register'!$B$5:$B$304,MATCH($B53,'Portfolio Register'!$DH$5:$DH$304,0))="","",INDEX('Portfolio Register'!$B$5:$B$304,MATCH($B53,'Portfolio Register'!$DH$5:$DH$304,0))),"")</f>
        <v/>
      </c>
      <c r="E53" s="148" t="str">
        <f>IFERROR(IF(INDEX('Portfolio Register'!$I$5:$I$304,MATCH($B53,'Portfolio Register'!$DH$5:$DH$304,0))="","",INDEX('Portfolio Register'!$I$5:$I$304,MATCH($B53,'Portfolio Register'!$DH$5:$DH$304,0))),"")</f>
        <v/>
      </c>
      <c r="F53" s="149" t="str">
        <f>IFERROR(IF(INDEX('Portfolio Register'!$J$5:$J$304,MATCH($B53,'Portfolio Register'!$DH$5:$DH$304,0))="","",INDEX('Portfolio Register'!$J$5:$J$304,MATCH($B53,'Portfolio Register'!$DH$5:$DH$304,0))),"")</f>
        <v/>
      </c>
      <c r="G53" s="148" t="str">
        <f>IFERROR(IF(INDEX('Portfolio Register'!$CX$5:$CX$304,MATCH($B53,'Portfolio Register'!$DH$5:$DH$304,0))="","",INDEX('Portfolio Register'!$CX$5:$CX$304,MATCH($B53,'Portfolio Register'!$DH$5:$DH$304,0))),"")</f>
        <v/>
      </c>
      <c r="H53" s="150" t="str">
        <f>IFERROR(IF(INDEX('Portfolio Register'!$CY$5:$CY$304,MATCH($B53,'Portfolio Register'!$DH$5:$DH$304,0))="","",INDEX('Portfolio Register'!$CY$5:$CY$304,MATCH($B53,'Portfolio Register'!$DH$5:$DH$304,0))),"")</f>
        <v/>
      </c>
      <c r="I53" s="148" t="str">
        <f>IFERROR(IF(INDEX('Portfolio Register'!$CZ$5:$CZ$304,MATCH($B53,'Portfolio Register'!$DH$5:$DH$304,0))="","",INDEX('Portfolio Register'!$CZ$5:$CZ$304,MATCH($B53,'Portfolio Register'!$DH$5:$DH$304,0))),"")</f>
        <v/>
      </c>
      <c r="J53" s="148" t="str">
        <f>IFERROR(IF(INDEX('Portfolio Register'!$DA$5:$DA$304,MATCH($B53,'Portfolio Register'!$DH$5:$DH$304,0))="","",INDEX('Portfolio Register'!$DA$5:$DA$304,MATCH($B53,'Portfolio Register'!$DH$5:$DH$304,0))),"")</f>
        <v/>
      </c>
      <c r="K53" s="148" t="str">
        <f>IFERROR(IF(INDEX('Portfolio Register'!$DB$5:$DB$304,MATCH($B53,'Portfolio Register'!$DH$5:$DH$304,0))="","",INDEX('Portfolio Register'!$DB$5:$DB$304,MATCH($B53,'Portfolio Register'!$DH$5:$DH$304,0))),"")</f>
        <v/>
      </c>
      <c r="L53" s="148" t="str">
        <f>IFERROR(IF(INDEX('Portfolio Register'!$DC$5:$DC$304,MATCH($B53,'Portfolio Register'!$DH$5:$DH$304,0))="","",INDEX('Portfolio Register'!$DC$5:$DC$304,MATCH($B53,'Portfolio Register'!$DH$5:$DH$304,0))),"")</f>
        <v/>
      </c>
      <c r="M53" s="151" t="str">
        <f>IFERROR(IF(INDEX('Portfolio Register'!$DD$5:$DD$304,MATCH($B53,'Portfolio Register'!$DH$5:$DH$304,0))="","",INDEX('Portfolio Register'!$DD$5:$DD$304,MATCH($B53,'Portfolio Register'!$DH$5:$DH$304,0))),"")</f>
        <v/>
      </c>
      <c r="N53" s="152" t="str">
        <f ca="1">IF($C53="","",IF($M53&lt;&gt;"",$M53-IFERROR(INDEX('Portfolio Register'!$C$5:$C$304,MATCH($B53,'Portfolio Register'!$DH$5:$DH$304,0)),$M53),TODAY()-IFERROR(INDEX('Portfolio Register'!$C$5:$C$304,MATCH($B53,'Portfolio Register'!$DH$5:$DH$304,0)),TODAY())))</f>
        <v/>
      </c>
      <c r="O53" s="153" t="str">
        <f t="shared" si="0"/>
        <v/>
      </c>
      <c r="P53" s="148" t="str">
        <f>IFERROR(IF(INDEX('Portfolio Register'!$DG$5:$DG$304,MATCH($B53,'Portfolio Register'!$DH$5:$DH$304,0))="","",INDEX('Portfolio Register'!$DG$5:$DG$304,MATCH($B53,'Portfolio Register'!$DH$5:$DH$304,0))),"")</f>
        <v/>
      </c>
      <c r="Q53" s="148" t="str">
        <f>IFERROR(IF(INDEX('Portfolio Register'!$DF$5:$DF$304,MATCH($B53,'Portfolio Register'!$DH$5:$DH$304,0))="","",INDEX('Portfolio Register'!$DF$5:$DF$304,MATCH($B53,'Portfolio Register'!$DH$5:$DH$304,0))),"")</f>
        <v/>
      </c>
    </row>
    <row r="54" spans="2:17" x14ac:dyDescent="0.35">
      <c r="B54" s="58">
        <v>27</v>
      </c>
      <c r="C54" s="142" t="str">
        <f>IFERROR(IF(INDEX('Portfolio Register'!$A$5:$A$304,MATCH($B54,'Portfolio Register'!$DH$5:$DH$304,0))="","",INDEX('Portfolio Register'!$A$5:$A$304,MATCH($B54,'Portfolio Register'!$DH$5:$DH$304,0))),"")</f>
        <v/>
      </c>
      <c r="D54" s="142" t="str">
        <f>IFERROR(IF(INDEX('Portfolio Register'!$B$5:$B$304,MATCH($B54,'Portfolio Register'!$DH$5:$DH$304,0))="","",INDEX('Portfolio Register'!$B$5:$B$304,MATCH($B54,'Portfolio Register'!$DH$5:$DH$304,0))),"")</f>
        <v/>
      </c>
      <c r="E54" s="142" t="str">
        <f>IFERROR(IF(INDEX('Portfolio Register'!$I$5:$I$304,MATCH($B54,'Portfolio Register'!$DH$5:$DH$304,0))="","",INDEX('Portfolio Register'!$I$5:$I$304,MATCH($B54,'Portfolio Register'!$DH$5:$DH$304,0))),"")</f>
        <v/>
      </c>
      <c r="F54" s="143" t="str">
        <f>IFERROR(IF(INDEX('Portfolio Register'!$J$5:$J$304,MATCH($B54,'Portfolio Register'!$DH$5:$DH$304,0))="","",INDEX('Portfolio Register'!$J$5:$J$304,MATCH($B54,'Portfolio Register'!$DH$5:$DH$304,0))),"")</f>
        <v/>
      </c>
      <c r="G54" s="142" t="str">
        <f>IFERROR(IF(INDEX('Portfolio Register'!$CX$5:$CX$304,MATCH($B54,'Portfolio Register'!$DH$5:$DH$304,0))="","",INDEX('Portfolio Register'!$CX$5:$CX$304,MATCH($B54,'Portfolio Register'!$DH$5:$DH$304,0))),"")</f>
        <v/>
      </c>
      <c r="H54" s="144" t="str">
        <f>IFERROR(IF(INDEX('Portfolio Register'!$CY$5:$CY$304,MATCH($B54,'Portfolio Register'!$DH$5:$DH$304,0))="","",INDEX('Portfolio Register'!$CY$5:$CY$304,MATCH($B54,'Portfolio Register'!$DH$5:$DH$304,0))),"")</f>
        <v/>
      </c>
      <c r="I54" s="142" t="str">
        <f>IFERROR(IF(INDEX('Portfolio Register'!$CZ$5:$CZ$304,MATCH($B54,'Portfolio Register'!$DH$5:$DH$304,0))="","",INDEX('Portfolio Register'!$CZ$5:$CZ$304,MATCH($B54,'Portfolio Register'!$DH$5:$DH$304,0))),"")</f>
        <v/>
      </c>
      <c r="J54" s="142" t="str">
        <f>IFERROR(IF(INDEX('Portfolio Register'!$DA$5:$DA$304,MATCH($B54,'Portfolio Register'!$DH$5:$DH$304,0))="","",INDEX('Portfolio Register'!$DA$5:$DA$304,MATCH($B54,'Portfolio Register'!$DH$5:$DH$304,0))),"")</f>
        <v/>
      </c>
      <c r="K54" s="142" t="str">
        <f>IFERROR(IF(INDEX('Portfolio Register'!$DB$5:$DB$304,MATCH($B54,'Portfolio Register'!$DH$5:$DH$304,0))="","",INDEX('Portfolio Register'!$DB$5:$DB$304,MATCH($B54,'Portfolio Register'!$DH$5:$DH$304,0))),"")</f>
        <v/>
      </c>
      <c r="L54" s="142" t="str">
        <f>IFERROR(IF(INDEX('Portfolio Register'!$DC$5:$DC$304,MATCH($B54,'Portfolio Register'!$DH$5:$DH$304,0))="","",INDEX('Portfolio Register'!$DC$5:$DC$304,MATCH($B54,'Portfolio Register'!$DH$5:$DH$304,0))),"")</f>
        <v/>
      </c>
      <c r="M54" s="145" t="str">
        <f>IFERROR(IF(INDEX('Portfolio Register'!$DD$5:$DD$304,MATCH($B54,'Portfolio Register'!$DH$5:$DH$304,0))="","",INDEX('Portfolio Register'!$DD$5:$DD$304,MATCH($B54,'Portfolio Register'!$DH$5:$DH$304,0))),"")</f>
        <v/>
      </c>
      <c r="N54" s="146" t="str">
        <f ca="1">IF($C54="","",IF($M54&lt;&gt;"",$M54-IFERROR(INDEX('Portfolio Register'!$C$5:$C$304,MATCH($B54,'Portfolio Register'!$DH$5:$DH$304,0)),$M54),TODAY()-IFERROR(INDEX('Portfolio Register'!$C$5:$C$304,MATCH($B54,'Portfolio Register'!$DH$5:$DH$304,0)),TODAY())))</f>
        <v/>
      </c>
      <c r="O54" s="147" t="str">
        <f t="shared" si="0"/>
        <v/>
      </c>
      <c r="P54" s="142" t="str">
        <f>IFERROR(IF(INDEX('Portfolio Register'!$DG$5:$DG$304,MATCH($B54,'Portfolio Register'!$DH$5:$DH$304,0))="","",INDEX('Portfolio Register'!$DG$5:$DG$304,MATCH($B54,'Portfolio Register'!$DH$5:$DH$304,0))),"")</f>
        <v/>
      </c>
      <c r="Q54" s="142" t="str">
        <f>IFERROR(IF(INDEX('Portfolio Register'!$DF$5:$DF$304,MATCH($B54,'Portfolio Register'!$DH$5:$DH$304,0))="","",INDEX('Portfolio Register'!$DF$5:$DF$304,MATCH($B54,'Portfolio Register'!$DH$5:$DH$304,0))),"")</f>
        <v/>
      </c>
    </row>
    <row r="55" spans="2:17" x14ac:dyDescent="0.35">
      <c r="B55" s="65">
        <v>28</v>
      </c>
      <c r="C55" s="148" t="str">
        <f>IFERROR(IF(INDEX('Portfolio Register'!$A$5:$A$304,MATCH($B55,'Portfolio Register'!$DH$5:$DH$304,0))="","",INDEX('Portfolio Register'!$A$5:$A$304,MATCH($B55,'Portfolio Register'!$DH$5:$DH$304,0))),"")</f>
        <v/>
      </c>
      <c r="D55" s="148" t="str">
        <f>IFERROR(IF(INDEX('Portfolio Register'!$B$5:$B$304,MATCH($B55,'Portfolio Register'!$DH$5:$DH$304,0))="","",INDEX('Portfolio Register'!$B$5:$B$304,MATCH($B55,'Portfolio Register'!$DH$5:$DH$304,0))),"")</f>
        <v/>
      </c>
      <c r="E55" s="148" t="str">
        <f>IFERROR(IF(INDEX('Portfolio Register'!$I$5:$I$304,MATCH($B55,'Portfolio Register'!$DH$5:$DH$304,0))="","",INDEX('Portfolio Register'!$I$5:$I$304,MATCH($B55,'Portfolio Register'!$DH$5:$DH$304,0))),"")</f>
        <v/>
      </c>
      <c r="F55" s="149" t="str">
        <f>IFERROR(IF(INDEX('Portfolio Register'!$J$5:$J$304,MATCH($B55,'Portfolio Register'!$DH$5:$DH$304,0))="","",INDEX('Portfolio Register'!$J$5:$J$304,MATCH($B55,'Portfolio Register'!$DH$5:$DH$304,0))),"")</f>
        <v/>
      </c>
      <c r="G55" s="148" t="str">
        <f>IFERROR(IF(INDEX('Portfolio Register'!$CX$5:$CX$304,MATCH($B55,'Portfolio Register'!$DH$5:$DH$304,0))="","",INDEX('Portfolio Register'!$CX$5:$CX$304,MATCH($B55,'Portfolio Register'!$DH$5:$DH$304,0))),"")</f>
        <v/>
      </c>
      <c r="H55" s="150" t="str">
        <f>IFERROR(IF(INDEX('Portfolio Register'!$CY$5:$CY$304,MATCH($B55,'Portfolio Register'!$DH$5:$DH$304,0))="","",INDEX('Portfolio Register'!$CY$5:$CY$304,MATCH($B55,'Portfolio Register'!$DH$5:$DH$304,0))),"")</f>
        <v/>
      </c>
      <c r="I55" s="148" t="str">
        <f>IFERROR(IF(INDEX('Portfolio Register'!$CZ$5:$CZ$304,MATCH($B55,'Portfolio Register'!$DH$5:$DH$304,0))="","",INDEX('Portfolio Register'!$CZ$5:$CZ$304,MATCH($B55,'Portfolio Register'!$DH$5:$DH$304,0))),"")</f>
        <v/>
      </c>
      <c r="J55" s="148" t="str">
        <f>IFERROR(IF(INDEX('Portfolio Register'!$DA$5:$DA$304,MATCH($B55,'Portfolio Register'!$DH$5:$DH$304,0))="","",INDEX('Portfolio Register'!$DA$5:$DA$304,MATCH($B55,'Portfolio Register'!$DH$5:$DH$304,0))),"")</f>
        <v/>
      </c>
      <c r="K55" s="148" t="str">
        <f>IFERROR(IF(INDEX('Portfolio Register'!$DB$5:$DB$304,MATCH($B55,'Portfolio Register'!$DH$5:$DH$304,0))="","",INDEX('Portfolio Register'!$DB$5:$DB$304,MATCH($B55,'Portfolio Register'!$DH$5:$DH$304,0))),"")</f>
        <v/>
      </c>
      <c r="L55" s="148" t="str">
        <f>IFERROR(IF(INDEX('Portfolio Register'!$DC$5:$DC$304,MATCH($B55,'Portfolio Register'!$DH$5:$DH$304,0))="","",INDEX('Portfolio Register'!$DC$5:$DC$304,MATCH($B55,'Portfolio Register'!$DH$5:$DH$304,0))),"")</f>
        <v/>
      </c>
      <c r="M55" s="151" t="str">
        <f>IFERROR(IF(INDEX('Portfolio Register'!$DD$5:$DD$304,MATCH($B55,'Portfolio Register'!$DH$5:$DH$304,0))="","",INDEX('Portfolio Register'!$DD$5:$DD$304,MATCH($B55,'Portfolio Register'!$DH$5:$DH$304,0))),"")</f>
        <v/>
      </c>
      <c r="N55" s="152" t="str">
        <f ca="1">IF($C55="","",IF($M55&lt;&gt;"",$M55-IFERROR(INDEX('Portfolio Register'!$C$5:$C$304,MATCH($B55,'Portfolio Register'!$DH$5:$DH$304,0)),$M55),TODAY()-IFERROR(INDEX('Portfolio Register'!$C$5:$C$304,MATCH($B55,'Portfolio Register'!$DH$5:$DH$304,0)),TODAY())))</f>
        <v/>
      </c>
      <c r="O55" s="153" t="str">
        <f t="shared" si="0"/>
        <v/>
      </c>
      <c r="P55" s="148" t="str">
        <f>IFERROR(IF(INDEX('Portfolio Register'!$DG$5:$DG$304,MATCH($B55,'Portfolio Register'!$DH$5:$DH$304,0))="","",INDEX('Portfolio Register'!$DG$5:$DG$304,MATCH($B55,'Portfolio Register'!$DH$5:$DH$304,0))),"")</f>
        <v/>
      </c>
      <c r="Q55" s="148" t="str">
        <f>IFERROR(IF(INDEX('Portfolio Register'!$DF$5:$DF$304,MATCH($B55,'Portfolio Register'!$DH$5:$DH$304,0))="","",INDEX('Portfolio Register'!$DF$5:$DF$304,MATCH($B55,'Portfolio Register'!$DH$5:$DH$304,0))),"")</f>
        <v/>
      </c>
    </row>
    <row r="56" spans="2:17" x14ac:dyDescent="0.35">
      <c r="B56" s="58">
        <v>29</v>
      </c>
      <c r="C56" s="142" t="str">
        <f>IFERROR(IF(INDEX('Portfolio Register'!$A$5:$A$304,MATCH($B56,'Portfolio Register'!$DH$5:$DH$304,0))="","",INDEX('Portfolio Register'!$A$5:$A$304,MATCH($B56,'Portfolio Register'!$DH$5:$DH$304,0))),"")</f>
        <v/>
      </c>
      <c r="D56" s="142" t="str">
        <f>IFERROR(IF(INDEX('Portfolio Register'!$B$5:$B$304,MATCH($B56,'Portfolio Register'!$DH$5:$DH$304,0))="","",INDEX('Portfolio Register'!$B$5:$B$304,MATCH($B56,'Portfolio Register'!$DH$5:$DH$304,0))),"")</f>
        <v/>
      </c>
      <c r="E56" s="142" t="str">
        <f>IFERROR(IF(INDEX('Portfolio Register'!$I$5:$I$304,MATCH($B56,'Portfolio Register'!$DH$5:$DH$304,0))="","",INDEX('Portfolio Register'!$I$5:$I$304,MATCH($B56,'Portfolio Register'!$DH$5:$DH$304,0))),"")</f>
        <v/>
      </c>
      <c r="F56" s="143" t="str">
        <f>IFERROR(IF(INDEX('Portfolio Register'!$J$5:$J$304,MATCH($B56,'Portfolio Register'!$DH$5:$DH$304,0))="","",INDEX('Portfolio Register'!$J$5:$J$304,MATCH($B56,'Portfolio Register'!$DH$5:$DH$304,0))),"")</f>
        <v/>
      </c>
      <c r="G56" s="142" t="str">
        <f>IFERROR(IF(INDEX('Portfolio Register'!$CX$5:$CX$304,MATCH($B56,'Portfolio Register'!$DH$5:$DH$304,0))="","",INDEX('Portfolio Register'!$CX$5:$CX$304,MATCH($B56,'Portfolio Register'!$DH$5:$DH$304,0))),"")</f>
        <v/>
      </c>
      <c r="H56" s="144" t="str">
        <f>IFERROR(IF(INDEX('Portfolio Register'!$CY$5:$CY$304,MATCH($B56,'Portfolio Register'!$DH$5:$DH$304,0))="","",INDEX('Portfolio Register'!$CY$5:$CY$304,MATCH($B56,'Portfolio Register'!$DH$5:$DH$304,0))),"")</f>
        <v/>
      </c>
      <c r="I56" s="142" t="str">
        <f>IFERROR(IF(INDEX('Portfolio Register'!$CZ$5:$CZ$304,MATCH($B56,'Portfolio Register'!$DH$5:$DH$304,0))="","",INDEX('Portfolio Register'!$CZ$5:$CZ$304,MATCH($B56,'Portfolio Register'!$DH$5:$DH$304,0))),"")</f>
        <v/>
      </c>
      <c r="J56" s="142" t="str">
        <f>IFERROR(IF(INDEX('Portfolio Register'!$DA$5:$DA$304,MATCH($B56,'Portfolio Register'!$DH$5:$DH$304,0))="","",INDEX('Portfolio Register'!$DA$5:$DA$304,MATCH($B56,'Portfolio Register'!$DH$5:$DH$304,0))),"")</f>
        <v/>
      </c>
      <c r="K56" s="142" t="str">
        <f>IFERROR(IF(INDEX('Portfolio Register'!$DB$5:$DB$304,MATCH($B56,'Portfolio Register'!$DH$5:$DH$304,0))="","",INDEX('Portfolio Register'!$DB$5:$DB$304,MATCH($B56,'Portfolio Register'!$DH$5:$DH$304,0))),"")</f>
        <v/>
      </c>
      <c r="L56" s="142" t="str">
        <f>IFERROR(IF(INDEX('Portfolio Register'!$DC$5:$DC$304,MATCH($B56,'Portfolio Register'!$DH$5:$DH$304,0))="","",INDEX('Portfolio Register'!$DC$5:$DC$304,MATCH($B56,'Portfolio Register'!$DH$5:$DH$304,0))),"")</f>
        <v/>
      </c>
      <c r="M56" s="145" t="str">
        <f>IFERROR(IF(INDEX('Portfolio Register'!$DD$5:$DD$304,MATCH($B56,'Portfolio Register'!$DH$5:$DH$304,0))="","",INDEX('Portfolio Register'!$DD$5:$DD$304,MATCH($B56,'Portfolio Register'!$DH$5:$DH$304,0))),"")</f>
        <v/>
      </c>
      <c r="N56" s="146" t="str">
        <f ca="1">IF($C56="","",IF($M56&lt;&gt;"",$M56-IFERROR(INDEX('Portfolio Register'!$C$5:$C$304,MATCH($B56,'Portfolio Register'!$DH$5:$DH$304,0)),$M56),TODAY()-IFERROR(INDEX('Portfolio Register'!$C$5:$C$304,MATCH($B56,'Portfolio Register'!$DH$5:$DH$304,0)),TODAY())))</f>
        <v/>
      </c>
      <c r="O56" s="147" t="str">
        <f t="shared" si="0"/>
        <v/>
      </c>
      <c r="P56" s="142" t="str">
        <f>IFERROR(IF(INDEX('Portfolio Register'!$DG$5:$DG$304,MATCH($B56,'Portfolio Register'!$DH$5:$DH$304,0))="","",INDEX('Portfolio Register'!$DG$5:$DG$304,MATCH($B56,'Portfolio Register'!$DH$5:$DH$304,0))),"")</f>
        <v/>
      </c>
      <c r="Q56" s="142" t="str">
        <f>IFERROR(IF(INDEX('Portfolio Register'!$DF$5:$DF$304,MATCH($B56,'Portfolio Register'!$DH$5:$DH$304,0))="","",INDEX('Portfolio Register'!$DF$5:$DF$304,MATCH($B56,'Portfolio Register'!$DH$5:$DH$304,0))),"")</f>
        <v/>
      </c>
    </row>
    <row r="57" spans="2:17" x14ac:dyDescent="0.35">
      <c r="B57" s="65">
        <v>30</v>
      </c>
      <c r="C57" s="148" t="str">
        <f>IFERROR(IF(INDEX('Portfolio Register'!$A$5:$A$304,MATCH($B57,'Portfolio Register'!$DH$5:$DH$304,0))="","",INDEX('Portfolio Register'!$A$5:$A$304,MATCH($B57,'Portfolio Register'!$DH$5:$DH$304,0))),"")</f>
        <v/>
      </c>
      <c r="D57" s="148" t="str">
        <f>IFERROR(IF(INDEX('Portfolio Register'!$B$5:$B$304,MATCH($B57,'Portfolio Register'!$DH$5:$DH$304,0))="","",INDEX('Portfolio Register'!$B$5:$B$304,MATCH($B57,'Portfolio Register'!$DH$5:$DH$304,0))),"")</f>
        <v/>
      </c>
      <c r="E57" s="148" t="str">
        <f>IFERROR(IF(INDEX('Portfolio Register'!$I$5:$I$304,MATCH($B57,'Portfolio Register'!$DH$5:$DH$304,0))="","",INDEX('Portfolio Register'!$I$5:$I$304,MATCH($B57,'Portfolio Register'!$DH$5:$DH$304,0))),"")</f>
        <v/>
      </c>
      <c r="F57" s="149" t="str">
        <f>IFERROR(IF(INDEX('Portfolio Register'!$J$5:$J$304,MATCH($B57,'Portfolio Register'!$DH$5:$DH$304,0))="","",INDEX('Portfolio Register'!$J$5:$J$304,MATCH($B57,'Portfolio Register'!$DH$5:$DH$304,0))),"")</f>
        <v/>
      </c>
      <c r="G57" s="148" t="str">
        <f>IFERROR(IF(INDEX('Portfolio Register'!$CX$5:$CX$304,MATCH($B57,'Portfolio Register'!$DH$5:$DH$304,0))="","",INDEX('Portfolio Register'!$CX$5:$CX$304,MATCH($B57,'Portfolio Register'!$DH$5:$DH$304,0))),"")</f>
        <v/>
      </c>
      <c r="H57" s="150" t="str">
        <f>IFERROR(IF(INDEX('Portfolio Register'!$CY$5:$CY$304,MATCH($B57,'Portfolio Register'!$DH$5:$DH$304,0))="","",INDEX('Portfolio Register'!$CY$5:$CY$304,MATCH($B57,'Portfolio Register'!$DH$5:$DH$304,0))),"")</f>
        <v/>
      </c>
      <c r="I57" s="148" t="str">
        <f>IFERROR(IF(INDEX('Portfolio Register'!$CZ$5:$CZ$304,MATCH($B57,'Portfolio Register'!$DH$5:$DH$304,0))="","",INDEX('Portfolio Register'!$CZ$5:$CZ$304,MATCH($B57,'Portfolio Register'!$DH$5:$DH$304,0))),"")</f>
        <v/>
      </c>
      <c r="J57" s="148" t="str">
        <f>IFERROR(IF(INDEX('Portfolio Register'!$DA$5:$DA$304,MATCH($B57,'Portfolio Register'!$DH$5:$DH$304,0))="","",INDEX('Portfolio Register'!$DA$5:$DA$304,MATCH($B57,'Portfolio Register'!$DH$5:$DH$304,0))),"")</f>
        <v/>
      </c>
      <c r="K57" s="148" t="str">
        <f>IFERROR(IF(INDEX('Portfolio Register'!$DB$5:$DB$304,MATCH($B57,'Portfolio Register'!$DH$5:$DH$304,0))="","",INDEX('Portfolio Register'!$DB$5:$DB$304,MATCH($B57,'Portfolio Register'!$DH$5:$DH$304,0))),"")</f>
        <v/>
      </c>
      <c r="L57" s="148" t="str">
        <f>IFERROR(IF(INDEX('Portfolio Register'!$DC$5:$DC$304,MATCH($B57,'Portfolio Register'!$DH$5:$DH$304,0))="","",INDEX('Portfolio Register'!$DC$5:$DC$304,MATCH($B57,'Portfolio Register'!$DH$5:$DH$304,0))),"")</f>
        <v/>
      </c>
      <c r="M57" s="151" t="str">
        <f>IFERROR(IF(INDEX('Portfolio Register'!$DD$5:$DD$304,MATCH($B57,'Portfolio Register'!$DH$5:$DH$304,0))="","",INDEX('Portfolio Register'!$DD$5:$DD$304,MATCH($B57,'Portfolio Register'!$DH$5:$DH$304,0))),"")</f>
        <v/>
      </c>
      <c r="N57" s="152" t="str">
        <f ca="1">IF($C57="","",IF($M57&lt;&gt;"",$M57-IFERROR(INDEX('Portfolio Register'!$C$5:$C$304,MATCH($B57,'Portfolio Register'!$DH$5:$DH$304,0)),$M57),TODAY()-IFERROR(INDEX('Portfolio Register'!$C$5:$C$304,MATCH($B57,'Portfolio Register'!$DH$5:$DH$304,0)),TODAY())))</f>
        <v/>
      </c>
      <c r="O57" s="153" t="str">
        <f t="shared" si="0"/>
        <v/>
      </c>
      <c r="P57" s="148" t="str">
        <f>IFERROR(IF(INDEX('Portfolio Register'!$DG$5:$DG$304,MATCH($B57,'Portfolio Register'!$DH$5:$DH$304,0))="","",INDEX('Portfolio Register'!$DG$5:$DG$304,MATCH($B57,'Portfolio Register'!$DH$5:$DH$304,0))),"")</f>
        <v/>
      </c>
      <c r="Q57" s="148" t="str">
        <f>IFERROR(IF(INDEX('Portfolio Register'!$DF$5:$DF$304,MATCH($B57,'Portfolio Register'!$DH$5:$DH$304,0))="","",INDEX('Portfolio Register'!$DF$5:$DF$304,MATCH($B57,'Portfolio Register'!$DH$5:$DH$304,0))),"")</f>
        <v/>
      </c>
    </row>
    <row r="58" spans="2:17" x14ac:dyDescent="0.35">
      <c r="B58" s="58">
        <v>31</v>
      </c>
      <c r="C58" s="142" t="str">
        <f>IFERROR(IF(INDEX('Portfolio Register'!$A$5:$A$304,MATCH($B58,'Portfolio Register'!$DH$5:$DH$304,0))="","",INDEX('Portfolio Register'!$A$5:$A$304,MATCH($B58,'Portfolio Register'!$DH$5:$DH$304,0))),"")</f>
        <v/>
      </c>
      <c r="D58" s="142" t="str">
        <f>IFERROR(IF(INDEX('Portfolio Register'!$B$5:$B$304,MATCH($B58,'Portfolio Register'!$DH$5:$DH$304,0))="","",INDEX('Portfolio Register'!$B$5:$B$304,MATCH($B58,'Portfolio Register'!$DH$5:$DH$304,0))),"")</f>
        <v/>
      </c>
      <c r="E58" s="142" t="str">
        <f>IFERROR(IF(INDEX('Portfolio Register'!$I$5:$I$304,MATCH($B58,'Portfolio Register'!$DH$5:$DH$304,0))="","",INDEX('Portfolio Register'!$I$5:$I$304,MATCH($B58,'Portfolio Register'!$DH$5:$DH$304,0))),"")</f>
        <v/>
      </c>
      <c r="F58" s="143" t="str">
        <f>IFERROR(IF(INDEX('Portfolio Register'!$J$5:$J$304,MATCH($B58,'Portfolio Register'!$DH$5:$DH$304,0))="","",INDEX('Portfolio Register'!$J$5:$J$304,MATCH($B58,'Portfolio Register'!$DH$5:$DH$304,0))),"")</f>
        <v/>
      </c>
      <c r="G58" s="142" t="str">
        <f>IFERROR(IF(INDEX('Portfolio Register'!$CX$5:$CX$304,MATCH($B58,'Portfolio Register'!$DH$5:$DH$304,0))="","",INDEX('Portfolio Register'!$CX$5:$CX$304,MATCH($B58,'Portfolio Register'!$DH$5:$DH$304,0))),"")</f>
        <v/>
      </c>
      <c r="H58" s="144" t="str">
        <f>IFERROR(IF(INDEX('Portfolio Register'!$CY$5:$CY$304,MATCH($B58,'Portfolio Register'!$DH$5:$DH$304,0))="","",INDEX('Portfolio Register'!$CY$5:$CY$304,MATCH($B58,'Portfolio Register'!$DH$5:$DH$304,0))),"")</f>
        <v/>
      </c>
      <c r="I58" s="142" t="str">
        <f>IFERROR(IF(INDEX('Portfolio Register'!$CZ$5:$CZ$304,MATCH($B58,'Portfolio Register'!$DH$5:$DH$304,0))="","",INDEX('Portfolio Register'!$CZ$5:$CZ$304,MATCH($B58,'Portfolio Register'!$DH$5:$DH$304,0))),"")</f>
        <v/>
      </c>
      <c r="J58" s="142" t="str">
        <f>IFERROR(IF(INDEX('Portfolio Register'!$DA$5:$DA$304,MATCH($B58,'Portfolio Register'!$DH$5:$DH$304,0))="","",INDEX('Portfolio Register'!$DA$5:$DA$304,MATCH($B58,'Portfolio Register'!$DH$5:$DH$304,0))),"")</f>
        <v/>
      </c>
      <c r="K58" s="142" t="str">
        <f>IFERROR(IF(INDEX('Portfolio Register'!$DB$5:$DB$304,MATCH($B58,'Portfolio Register'!$DH$5:$DH$304,0))="","",INDEX('Portfolio Register'!$DB$5:$DB$304,MATCH($B58,'Portfolio Register'!$DH$5:$DH$304,0))),"")</f>
        <v/>
      </c>
      <c r="L58" s="142" t="str">
        <f>IFERROR(IF(INDEX('Portfolio Register'!$DC$5:$DC$304,MATCH($B58,'Portfolio Register'!$DH$5:$DH$304,0))="","",INDEX('Portfolio Register'!$DC$5:$DC$304,MATCH($B58,'Portfolio Register'!$DH$5:$DH$304,0))),"")</f>
        <v/>
      </c>
      <c r="M58" s="145" t="str">
        <f>IFERROR(IF(INDEX('Portfolio Register'!$DD$5:$DD$304,MATCH($B58,'Portfolio Register'!$DH$5:$DH$304,0))="","",INDEX('Portfolio Register'!$DD$5:$DD$304,MATCH($B58,'Portfolio Register'!$DH$5:$DH$304,0))),"")</f>
        <v/>
      </c>
      <c r="N58" s="146" t="str">
        <f ca="1">IF($C58="","",IF($M58&lt;&gt;"",$M58-IFERROR(INDEX('Portfolio Register'!$C$5:$C$304,MATCH($B58,'Portfolio Register'!$DH$5:$DH$304,0)),$M58),TODAY()-IFERROR(INDEX('Portfolio Register'!$C$5:$C$304,MATCH($B58,'Portfolio Register'!$DH$5:$DH$304,0)),TODAY())))</f>
        <v/>
      </c>
      <c r="O58" s="147" t="str">
        <f t="shared" si="0"/>
        <v/>
      </c>
      <c r="P58" s="142" t="str">
        <f>IFERROR(IF(INDEX('Portfolio Register'!$DG$5:$DG$304,MATCH($B58,'Portfolio Register'!$DH$5:$DH$304,0))="","",INDEX('Portfolio Register'!$DG$5:$DG$304,MATCH($B58,'Portfolio Register'!$DH$5:$DH$304,0))),"")</f>
        <v/>
      </c>
      <c r="Q58" s="142" t="str">
        <f>IFERROR(IF(INDEX('Portfolio Register'!$DF$5:$DF$304,MATCH($B58,'Portfolio Register'!$DH$5:$DH$304,0))="","",INDEX('Portfolio Register'!$DF$5:$DF$304,MATCH($B58,'Portfolio Register'!$DH$5:$DH$304,0))),"")</f>
        <v/>
      </c>
    </row>
    <row r="59" spans="2:17" x14ac:dyDescent="0.35">
      <c r="B59" s="65">
        <v>32</v>
      </c>
      <c r="C59" s="148" t="str">
        <f>IFERROR(IF(INDEX('Portfolio Register'!$A$5:$A$304,MATCH($B59,'Portfolio Register'!$DH$5:$DH$304,0))="","",INDEX('Portfolio Register'!$A$5:$A$304,MATCH($B59,'Portfolio Register'!$DH$5:$DH$304,0))),"")</f>
        <v/>
      </c>
      <c r="D59" s="148" t="str">
        <f>IFERROR(IF(INDEX('Portfolio Register'!$B$5:$B$304,MATCH($B59,'Portfolio Register'!$DH$5:$DH$304,0))="","",INDEX('Portfolio Register'!$B$5:$B$304,MATCH($B59,'Portfolio Register'!$DH$5:$DH$304,0))),"")</f>
        <v/>
      </c>
      <c r="E59" s="148" t="str">
        <f>IFERROR(IF(INDEX('Portfolio Register'!$I$5:$I$304,MATCH($B59,'Portfolio Register'!$DH$5:$DH$304,0))="","",INDEX('Portfolio Register'!$I$5:$I$304,MATCH($B59,'Portfolio Register'!$DH$5:$DH$304,0))),"")</f>
        <v/>
      </c>
      <c r="F59" s="149" t="str">
        <f>IFERROR(IF(INDEX('Portfolio Register'!$J$5:$J$304,MATCH($B59,'Portfolio Register'!$DH$5:$DH$304,0))="","",INDEX('Portfolio Register'!$J$5:$J$304,MATCH($B59,'Portfolio Register'!$DH$5:$DH$304,0))),"")</f>
        <v/>
      </c>
      <c r="G59" s="148" t="str">
        <f>IFERROR(IF(INDEX('Portfolio Register'!$CX$5:$CX$304,MATCH($B59,'Portfolio Register'!$DH$5:$DH$304,0))="","",INDEX('Portfolio Register'!$CX$5:$CX$304,MATCH($B59,'Portfolio Register'!$DH$5:$DH$304,0))),"")</f>
        <v/>
      </c>
      <c r="H59" s="150" t="str">
        <f>IFERROR(IF(INDEX('Portfolio Register'!$CY$5:$CY$304,MATCH($B59,'Portfolio Register'!$DH$5:$DH$304,0))="","",INDEX('Portfolio Register'!$CY$5:$CY$304,MATCH($B59,'Portfolio Register'!$DH$5:$DH$304,0))),"")</f>
        <v/>
      </c>
      <c r="I59" s="148" t="str">
        <f>IFERROR(IF(INDEX('Portfolio Register'!$CZ$5:$CZ$304,MATCH($B59,'Portfolio Register'!$DH$5:$DH$304,0))="","",INDEX('Portfolio Register'!$CZ$5:$CZ$304,MATCH($B59,'Portfolio Register'!$DH$5:$DH$304,0))),"")</f>
        <v/>
      </c>
      <c r="J59" s="148" t="str">
        <f>IFERROR(IF(INDEX('Portfolio Register'!$DA$5:$DA$304,MATCH($B59,'Portfolio Register'!$DH$5:$DH$304,0))="","",INDEX('Portfolio Register'!$DA$5:$DA$304,MATCH($B59,'Portfolio Register'!$DH$5:$DH$304,0))),"")</f>
        <v/>
      </c>
      <c r="K59" s="148" t="str">
        <f>IFERROR(IF(INDEX('Portfolio Register'!$DB$5:$DB$304,MATCH($B59,'Portfolio Register'!$DH$5:$DH$304,0))="","",INDEX('Portfolio Register'!$DB$5:$DB$304,MATCH($B59,'Portfolio Register'!$DH$5:$DH$304,0))),"")</f>
        <v/>
      </c>
      <c r="L59" s="148" t="str">
        <f>IFERROR(IF(INDEX('Portfolio Register'!$DC$5:$DC$304,MATCH($B59,'Portfolio Register'!$DH$5:$DH$304,0))="","",INDEX('Portfolio Register'!$DC$5:$DC$304,MATCH($B59,'Portfolio Register'!$DH$5:$DH$304,0))),"")</f>
        <v/>
      </c>
      <c r="M59" s="151" t="str">
        <f>IFERROR(IF(INDEX('Portfolio Register'!$DD$5:$DD$304,MATCH($B59,'Portfolio Register'!$DH$5:$DH$304,0))="","",INDEX('Portfolio Register'!$DD$5:$DD$304,MATCH($B59,'Portfolio Register'!$DH$5:$DH$304,0))),"")</f>
        <v/>
      </c>
      <c r="N59" s="152" t="str">
        <f ca="1">IF($C59="","",IF($M59&lt;&gt;"",$M59-IFERROR(INDEX('Portfolio Register'!$C$5:$C$304,MATCH($B59,'Portfolio Register'!$DH$5:$DH$304,0)),$M59),TODAY()-IFERROR(INDEX('Portfolio Register'!$C$5:$C$304,MATCH($B59,'Portfolio Register'!$DH$5:$DH$304,0)),TODAY())))</f>
        <v/>
      </c>
      <c r="O59" s="153" t="str">
        <f t="shared" si="0"/>
        <v/>
      </c>
      <c r="P59" s="148" t="str">
        <f>IFERROR(IF(INDEX('Portfolio Register'!$DG$5:$DG$304,MATCH($B59,'Portfolio Register'!$DH$5:$DH$304,0))="","",INDEX('Portfolio Register'!$DG$5:$DG$304,MATCH($B59,'Portfolio Register'!$DH$5:$DH$304,0))),"")</f>
        <v/>
      </c>
      <c r="Q59" s="148" t="str">
        <f>IFERROR(IF(INDEX('Portfolio Register'!$DF$5:$DF$304,MATCH($B59,'Portfolio Register'!$DH$5:$DH$304,0))="","",INDEX('Portfolio Register'!$DF$5:$DF$304,MATCH($B59,'Portfolio Register'!$DH$5:$DH$304,0))),"")</f>
        <v/>
      </c>
    </row>
    <row r="60" spans="2:17" x14ac:dyDescent="0.35">
      <c r="B60" s="58">
        <v>33</v>
      </c>
      <c r="C60" s="142" t="str">
        <f>IFERROR(IF(INDEX('Portfolio Register'!$A$5:$A$304,MATCH($B60,'Portfolio Register'!$DH$5:$DH$304,0))="","",INDEX('Portfolio Register'!$A$5:$A$304,MATCH($B60,'Portfolio Register'!$DH$5:$DH$304,0))),"")</f>
        <v/>
      </c>
      <c r="D60" s="142" t="str">
        <f>IFERROR(IF(INDEX('Portfolio Register'!$B$5:$B$304,MATCH($B60,'Portfolio Register'!$DH$5:$DH$304,0))="","",INDEX('Portfolio Register'!$B$5:$B$304,MATCH($B60,'Portfolio Register'!$DH$5:$DH$304,0))),"")</f>
        <v/>
      </c>
      <c r="E60" s="142" t="str">
        <f>IFERROR(IF(INDEX('Portfolio Register'!$I$5:$I$304,MATCH($B60,'Portfolio Register'!$DH$5:$DH$304,0))="","",INDEX('Portfolio Register'!$I$5:$I$304,MATCH($B60,'Portfolio Register'!$DH$5:$DH$304,0))),"")</f>
        <v/>
      </c>
      <c r="F60" s="143" t="str">
        <f>IFERROR(IF(INDEX('Portfolio Register'!$J$5:$J$304,MATCH($B60,'Portfolio Register'!$DH$5:$DH$304,0))="","",INDEX('Portfolio Register'!$J$5:$J$304,MATCH($B60,'Portfolio Register'!$DH$5:$DH$304,0))),"")</f>
        <v/>
      </c>
      <c r="G60" s="142" t="str">
        <f>IFERROR(IF(INDEX('Portfolio Register'!$CX$5:$CX$304,MATCH($B60,'Portfolio Register'!$DH$5:$DH$304,0))="","",INDEX('Portfolio Register'!$CX$5:$CX$304,MATCH($B60,'Portfolio Register'!$DH$5:$DH$304,0))),"")</f>
        <v/>
      </c>
      <c r="H60" s="144" t="str">
        <f>IFERROR(IF(INDEX('Portfolio Register'!$CY$5:$CY$304,MATCH($B60,'Portfolio Register'!$DH$5:$DH$304,0))="","",INDEX('Portfolio Register'!$CY$5:$CY$304,MATCH($B60,'Portfolio Register'!$DH$5:$DH$304,0))),"")</f>
        <v/>
      </c>
      <c r="I60" s="142" t="str">
        <f>IFERROR(IF(INDEX('Portfolio Register'!$CZ$5:$CZ$304,MATCH($B60,'Portfolio Register'!$DH$5:$DH$304,0))="","",INDEX('Portfolio Register'!$CZ$5:$CZ$304,MATCH($B60,'Portfolio Register'!$DH$5:$DH$304,0))),"")</f>
        <v/>
      </c>
      <c r="J60" s="142" t="str">
        <f>IFERROR(IF(INDEX('Portfolio Register'!$DA$5:$DA$304,MATCH($B60,'Portfolio Register'!$DH$5:$DH$304,0))="","",INDEX('Portfolio Register'!$DA$5:$DA$304,MATCH($B60,'Portfolio Register'!$DH$5:$DH$304,0))),"")</f>
        <v/>
      </c>
      <c r="K60" s="142" t="str">
        <f>IFERROR(IF(INDEX('Portfolio Register'!$DB$5:$DB$304,MATCH($B60,'Portfolio Register'!$DH$5:$DH$304,0))="","",INDEX('Portfolio Register'!$DB$5:$DB$304,MATCH($B60,'Portfolio Register'!$DH$5:$DH$304,0))),"")</f>
        <v/>
      </c>
      <c r="L60" s="142" t="str">
        <f>IFERROR(IF(INDEX('Portfolio Register'!$DC$5:$DC$304,MATCH($B60,'Portfolio Register'!$DH$5:$DH$304,0))="","",INDEX('Portfolio Register'!$DC$5:$DC$304,MATCH($B60,'Portfolio Register'!$DH$5:$DH$304,0))),"")</f>
        <v/>
      </c>
      <c r="M60" s="145" t="str">
        <f>IFERROR(IF(INDEX('Portfolio Register'!$DD$5:$DD$304,MATCH($B60,'Portfolio Register'!$DH$5:$DH$304,0))="","",INDEX('Portfolio Register'!$DD$5:$DD$304,MATCH($B60,'Portfolio Register'!$DH$5:$DH$304,0))),"")</f>
        <v/>
      </c>
      <c r="N60" s="146" t="str">
        <f ca="1">IF($C60="","",IF($M60&lt;&gt;"",$M60-IFERROR(INDEX('Portfolio Register'!$C$5:$C$304,MATCH($B60,'Portfolio Register'!$DH$5:$DH$304,0)),$M60),TODAY()-IFERROR(INDEX('Portfolio Register'!$C$5:$C$304,MATCH($B60,'Portfolio Register'!$DH$5:$DH$304,0)),TODAY())))</f>
        <v/>
      </c>
      <c r="O60" s="147" t="str">
        <f t="shared" ref="O60:O91" si="1">IF($C60="","",IF($L60="","NO ROLE RECORDED",IF($H60&lt;IFERROR(INDEX($C$6:$C$10,MATCH($L60,$B$6:$B$10,0)),-99),"INSUFFICIENT AUTHORITY - escalate","OK")))</f>
        <v/>
      </c>
      <c r="P60" s="142" t="str">
        <f>IFERROR(IF(INDEX('Portfolio Register'!$DG$5:$DG$304,MATCH($B60,'Portfolio Register'!$DH$5:$DH$304,0))="","",INDEX('Portfolio Register'!$DG$5:$DG$304,MATCH($B60,'Portfolio Register'!$DH$5:$DH$304,0))),"")</f>
        <v/>
      </c>
      <c r="Q60" s="142" t="str">
        <f>IFERROR(IF(INDEX('Portfolio Register'!$DF$5:$DF$304,MATCH($B60,'Portfolio Register'!$DH$5:$DH$304,0))="","",INDEX('Portfolio Register'!$DF$5:$DF$304,MATCH($B60,'Portfolio Register'!$DH$5:$DH$304,0))),"")</f>
        <v/>
      </c>
    </row>
    <row r="61" spans="2:17" x14ac:dyDescent="0.35">
      <c r="B61" s="65">
        <v>34</v>
      </c>
      <c r="C61" s="148" t="str">
        <f>IFERROR(IF(INDEX('Portfolio Register'!$A$5:$A$304,MATCH($B61,'Portfolio Register'!$DH$5:$DH$304,0))="","",INDEX('Portfolio Register'!$A$5:$A$304,MATCH($B61,'Portfolio Register'!$DH$5:$DH$304,0))),"")</f>
        <v/>
      </c>
      <c r="D61" s="148" t="str">
        <f>IFERROR(IF(INDEX('Portfolio Register'!$B$5:$B$304,MATCH($B61,'Portfolio Register'!$DH$5:$DH$304,0))="","",INDEX('Portfolio Register'!$B$5:$B$304,MATCH($B61,'Portfolio Register'!$DH$5:$DH$304,0))),"")</f>
        <v/>
      </c>
      <c r="E61" s="148" t="str">
        <f>IFERROR(IF(INDEX('Portfolio Register'!$I$5:$I$304,MATCH($B61,'Portfolio Register'!$DH$5:$DH$304,0))="","",INDEX('Portfolio Register'!$I$5:$I$304,MATCH($B61,'Portfolio Register'!$DH$5:$DH$304,0))),"")</f>
        <v/>
      </c>
      <c r="F61" s="149" t="str">
        <f>IFERROR(IF(INDEX('Portfolio Register'!$J$5:$J$304,MATCH($B61,'Portfolio Register'!$DH$5:$DH$304,0))="","",INDEX('Portfolio Register'!$J$5:$J$304,MATCH($B61,'Portfolio Register'!$DH$5:$DH$304,0))),"")</f>
        <v/>
      </c>
      <c r="G61" s="148" t="str">
        <f>IFERROR(IF(INDEX('Portfolio Register'!$CX$5:$CX$304,MATCH($B61,'Portfolio Register'!$DH$5:$DH$304,0))="","",INDEX('Portfolio Register'!$CX$5:$CX$304,MATCH($B61,'Portfolio Register'!$DH$5:$DH$304,0))),"")</f>
        <v/>
      </c>
      <c r="H61" s="150" t="str">
        <f>IFERROR(IF(INDEX('Portfolio Register'!$CY$5:$CY$304,MATCH($B61,'Portfolio Register'!$DH$5:$DH$304,0))="","",INDEX('Portfolio Register'!$CY$5:$CY$304,MATCH($B61,'Portfolio Register'!$DH$5:$DH$304,0))),"")</f>
        <v/>
      </c>
      <c r="I61" s="148" t="str">
        <f>IFERROR(IF(INDEX('Portfolio Register'!$CZ$5:$CZ$304,MATCH($B61,'Portfolio Register'!$DH$5:$DH$304,0))="","",INDEX('Portfolio Register'!$CZ$5:$CZ$304,MATCH($B61,'Portfolio Register'!$DH$5:$DH$304,0))),"")</f>
        <v/>
      </c>
      <c r="J61" s="148" t="str">
        <f>IFERROR(IF(INDEX('Portfolio Register'!$DA$5:$DA$304,MATCH($B61,'Portfolio Register'!$DH$5:$DH$304,0))="","",INDEX('Portfolio Register'!$DA$5:$DA$304,MATCH($B61,'Portfolio Register'!$DH$5:$DH$304,0))),"")</f>
        <v/>
      </c>
      <c r="K61" s="148" t="str">
        <f>IFERROR(IF(INDEX('Portfolio Register'!$DB$5:$DB$304,MATCH($B61,'Portfolio Register'!$DH$5:$DH$304,0))="","",INDEX('Portfolio Register'!$DB$5:$DB$304,MATCH($B61,'Portfolio Register'!$DH$5:$DH$304,0))),"")</f>
        <v/>
      </c>
      <c r="L61" s="148" t="str">
        <f>IFERROR(IF(INDEX('Portfolio Register'!$DC$5:$DC$304,MATCH($B61,'Portfolio Register'!$DH$5:$DH$304,0))="","",INDEX('Portfolio Register'!$DC$5:$DC$304,MATCH($B61,'Portfolio Register'!$DH$5:$DH$304,0))),"")</f>
        <v/>
      </c>
      <c r="M61" s="151" t="str">
        <f>IFERROR(IF(INDEX('Portfolio Register'!$DD$5:$DD$304,MATCH($B61,'Portfolio Register'!$DH$5:$DH$304,0))="","",INDEX('Portfolio Register'!$DD$5:$DD$304,MATCH($B61,'Portfolio Register'!$DH$5:$DH$304,0))),"")</f>
        <v/>
      </c>
      <c r="N61" s="152" t="str">
        <f ca="1">IF($C61="","",IF($M61&lt;&gt;"",$M61-IFERROR(INDEX('Portfolio Register'!$C$5:$C$304,MATCH($B61,'Portfolio Register'!$DH$5:$DH$304,0)),$M61),TODAY()-IFERROR(INDEX('Portfolio Register'!$C$5:$C$304,MATCH($B61,'Portfolio Register'!$DH$5:$DH$304,0)),TODAY())))</f>
        <v/>
      </c>
      <c r="O61" s="153" t="str">
        <f t="shared" si="1"/>
        <v/>
      </c>
      <c r="P61" s="148" t="str">
        <f>IFERROR(IF(INDEX('Portfolio Register'!$DG$5:$DG$304,MATCH($B61,'Portfolio Register'!$DH$5:$DH$304,0))="","",INDEX('Portfolio Register'!$DG$5:$DG$304,MATCH($B61,'Portfolio Register'!$DH$5:$DH$304,0))),"")</f>
        <v/>
      </c>
      <c r="Q61" s="148" t="str">
        <f>IFERROR(IF(INDEX('Portfolio Register'!$DF$5:$DF$304,MATCH($B61,'Portfolio Register'!$DH$5:$DH$304,0))="","",INDEX('Portfolio Register'!$DF$5:$DF$304,MATCH($B61,'Portfolio Register'!$DH$5:$DH$304,0))),"")</f>
        <v/>
      </c>
    </row>
    <row r="62" spans="2:17" x14ac:dyDescent="0.35">
      <c r="B62" s="58">
        <v>35</v>
      </c>
      <c r="C62" s="142" t="str">
        <f>IFERROR(IF(INDEX('Portfolio Register'!$A$5:$A$304,MATCH($B62,'Portfolio Register'!$DH$5:$DH$304,0))="","",INDEX('Portfolio Register'!$A$5:$A$304,MATCH($B62,'Portfolio Register'!$DH$5:$DH$304,0))),"")</f>
        <v/>
      </c>
      <c r="D62" s="142" t="str">
        <f>IFERROR(IF(INDEX('Portfolio Register'!$B$5:$B$304,MATCH($B62,'Portfolio Register'!$DH$5:$DH$304,0))="","",INDEX('Portfolio Register'!$B$5:$B$304,MATCH($B62,'Portfolio Register'!$DH$5:$DH$304,0))),"")</f>
        <v/>
      </c>
      <c r="E62" s="142" t="str">
        <f>IFERROR(IF(INDEX('Portfolio Register'!$I$5:$I$304,MATCH($B62,'Portfolio Register'!$DH$5:$DH$304,0))="","",INDEX('Portfolio Register'!$I$5:$I$304,MATCH($B62,'Portfolio Register'!$DH$5:$DH$304,0))),"")</f>
        <v/>
      </c>
      <c r="F62" s="143" t="str">
        <f>IFERROR(IF(INDEX('Portfolio Register'!$J$5:$J$304,MATCH($B62,'Portfolio Register'!$DH$5:$DH$304,0))="","",INDEX('Portfolio Register'!$J$5:$J$304,MATCH($B62,'Portfolio Register'!$DH$5:$DH$304,0))),"")</f>
        <v/>
      </c>
      <c r="G62" s="142" t="str">
        <f>IFERROR(IF(INDEX('Portfolio Register'!$CX$5:$CX$304,MATCH($B62,'Portfolio Register'!$DH$5:$DH$304,0))="","",INDEX('Portfolio Register'!$CX$5:$CX$304,MATCH($B62,'Portfolio Register'!$DH$5:$DH$304,0))),"")</f>
        <v/>
      </c>
      <c r="H62" s="144" t="str">
        <f>IFERROR(IF(INDEX('Portfolio Register'!$CY$5:$CY$304,MATCH($B62,'Portfolio Register'!$DH$5:$DH$304,0))="","",INDEX('Portfolio Register'!$CY$5:$CY$304,MATCH($B62,'Portfolio Register'!$DH$5:$DH$304,0))),"")</f>
        <v/>
      </c>
      <c r="I62" s="142" t="str">
        <f>IFERROR(IF(INDEX('Portfolio Register'!$CZ$5:$CZ$304,MATCH($B62,'Portfolio Register'!$DH$5:$DH$304,0))="","",INDEX('Portfolio Register'!$CZ$5:$CZ$304,MATCH($B62,'Portfolio Register'!$DH$5:$DH$304,0))),"")</f>
        <v/>
      </c>
      <c r="J62" s="142" t="str">
        <f>IFERROR(IF(INDEX('Portfolio Register'!$DA$5:$DA$304,MATCH($B62,'Portfolio Register'!$DH$5:$DH$304,0))="","",INDEX('Portfolio Register'!$DA$5:$DA$304,MATCH($B62,'Portfolio Register'!$DH$5:$DH$304,0))),"")</f>
        <v/>
      </c>
      <c r="K62" s="142" t="str">
        <f>IFERROR(IF(INDEX('Portfolio Register'!$DB$5:$DB$304,MATCH($B62,'Portfolio Register'!$DH$5:$DH$304,0))="","",INDEX('Portfolio Register'!$DB$5:$DB$304,MATCH($B62,'Portfolio Register'!$DH$5:$DH$304,0))),"")</f>
        <v/>
      </c>
      <c r="L62" s="142" t="str">
        <f>IFERROR(IF(INDEX('Portfolio Register'!$DC$5:$DC$304,MATCH($B62,'Portfolio Register'!$DH$5:$DH$304,0))="","",INDEX('Portfolio Register'!$DC$5:$DC$304,MATCH($B62,'Portfolio Register'!$DH$5:$DH$304,0))),"")</f>
        <v/>
      </c>
      <c r="M62" s="145" t="str">
        <f>IFERROR(IF(INDEX('Portfolio Register'!$DD$5:$DD$304,MATCH($B62,'Portfolio Register'!$DH$5:$DH$304,0))="","",INDEX('Portfolio Register'!$DD$5:$DD$304,MATCH($B62,'Portfolio Register'!$DH$5:$DH$304,0))),"")</f>
        <v/>
      </c>
      <c r="N62" s="146" t="str">
        <f ca="1">IF($C62="","",IF($M62&lt;&gt;"",$M62-IFERROR(INDEX('Portfolio Register'!$C$5:$C$304,MATCH($B62,'Portfolio Register'!$DH$5:$DH$304,0)),$M62),TODAY()-IFERROR(INDEX('Portfolio Register'!$C$5:$C$304,MATCH($B62,'Portfolio Register'!$DH$5:$DH$304,0)),TODAY())))</f>
        <v/>
      </c>
      <c r="O62" s="147" t="str">
        <f t="shared" si="1"/>
        <v/>
      </c>
      <c r="P62" s="142" t="str">
        <f>IFERROR(IF(INDEX('Portfolio Register'!$DG$5:$DG$304,MATCH($B62,'Portfolio Register'!$DH$5:$DH$304,0))="","",INDEX('Portfolio Register'!$DG$5:$DG$304,MATCH($B62,'Portfolio Register'!$DH$5:$DH$304,0))),"")</f>
        <v/>
      </c>
      <c r="Q62" s="142" t="str">
        <f>IFERROR(IF(INDEX('Portfolio Register'!$DF$5:$DF$304,MATCH($B62,'Portfolio Register'!$DH$5:$DH$304,0))="","",INDEX('Portfolio Register'!$DF$5:$DF$304,MATCH($B62,'Portfolio Register'!$DH$5:$DH$304,0))),"")</f>
        <v/>
      </c>
    </row>
    <row r="63" spans="2:17" x14ac:dyDescent="0.35">
      <c r="B63" s="65">
        <v>36</v>
      </c>
      <c r="C63" s="148" t="str">
        <f>IFERROR(IF(INDEX('Portfolio Register'!$A$5:$A$304,MATCH($B63,'Portfolio Register'!$DH$5:$DH$304,0))="","",INDEX('Portfolio Register'!$A$5:$A$304,MATCH($B63,'Portfolio Register'!$DH$5:$DH$304,0))),"")</f>
        <v/>
      </c>
      <c r="D63" s="148" t="str">
        <f>IFERROR(IF(INDEX('Portfolio Register'!$B$5:$B$304,MATCH($B63,'Portfolio Register'!$DH$5:$DH$304,0))="","",INDEX('Portfolio Register'!$B$5:$B$304,MATCH($B63,'Portfolio Register'!$DH$5:$DH$304,0))),"")</f>
        <v/>
      </c>
      <c r="E63" s="148" t="str">
        <f>IFERROR(IF(INDEX('Portfolio Register'!$I$5:$I$304,MATCH($B63,'Portfolio Register'!$DH$5:$DH$304,0))="","",INDEX('Portfolio Register'!$I$5:$I$304,MATCH($B63,'Portfolio Register'!$DH$5:$DH$304,0))),"")</f>
        <v/>
      </c>
      <c r="F63" s="149" t="str">
        <f>IFERROR(IF(INDEX('Portfolio Register'!$J$5:$J$304,MATCH($B63,'Portfolio Register'!$DH$5:$DH$304,0))="","",INDEX('Portfolio Register'!$J$5:$J$304,MATCH($B63,'Portfolio Register'!$DH$5:$DH$304,0))),"")</f>
        <v/>
      </c>
      <c r="G63" s="148" t="str">
        <f>IFERROR(IF(INDEX('Portfolio Register'!$CX$5:$CX$304,MATCH($B63,'Portfolio Register'!$DH$5:$DH$304,0))="","",INDEX('Portfolio Register'!$CX$5:$CX$304,MATCH($B63,'Portfolio Register'!$DH$5:$DH$304,0))),"")</f>
        <v/>
      </c>
      <c r="H63" s="150" t="str">
        <f>IFERROR(IF(INDEX('Portfolio Register'!$CY$5:$CY$304,MATCH($B63,'Portfolio Register'!$DH$5:$DH$304,0))="","",INDEX('Portfolio Register'!$CY$5:$CY$304,MATCH($B63,'Portfolio Register'!$DH$5:$DH$304,0))),"")</f>
        <v/>
      </c>
      <c r="I63" s="148" t="str">
        <f>IFERROR(IF(INDEX('Portfolio Register'!$CZ$5:$CZ$304,MATCH($B63,'Portfolio Register'!$DH$5:$DH$304,0))="","",INDEX('Portfolio Register'!$CZ$5:$CZ$304,MATCH($B63,'Portfolio Register'!$DH$5:$DH$304,0))),"")</f>
        <v/>
      </c>
      <c r="J63" s="148" t="str">
        <f>IFERROR(IF(INDEX('Portfolio Register'!$DA$5:$DA$304,MATCH($B63,'Portfolio Register'!$DH$5:$DH$304,0))="","",INDEX('Portfolio Register'!$DA$5:$DA$304,MATCH($B63,'Portfolio Register'!$DH$5:$DH$304,0))),"")</f>
        <v/>
      </c>
      <c r="K63" s="148" t="str">
        <f>IFERROR(IF(INDEX('Portfolio Register'!$DB$5:$DB$304,MATCH($B63,'Portfolio Register'!$DH$5:$DH$304,0))="","",INDEX('Portfolio Register'!$DB$5:$DB$304,MATCH($B63,'Portfolio Register'!$DH$5:$DH$304,0))),"")</f>
        <v/>
      </c>
      <c r="L63" s="148" t="str">
        <f>IFERROR(IF(INDEX('Portfolio Register'!$DC$5:$DC$304,MATCH($B63,'Portfolio Register'!$DH$5:$DH$304,0))="","",INDEX('Portfolio Register'!$DC$5:$DC$304,MATCH($B63,'Portfolio Register'!$DH$5:$DH$304,0))),"")</f>
        <v/>
      </c>
      <c r="M63" s="151" t="str">
        <f>IFERROR(IF(INDEX('Portfolio Register'!$DD$5:$DD$304,MATCH($B63,'Portfolio Register'!$DH$5:$DH$304,0))="","",INDEX('Portfolio Register'!$DD$5:$DD$304,MATCH($B63,'Portfolio Register'!$DH$5:$DH$304,0))),"")</f>
        <v/>
      </c>
      <c r="N63" s="152" t="str">
        <f ca="1">IF($C63="","",IF($M63&lt;&gt;"",$M63-IFERROR(INDEX('Portfolio Register'!$C$5:$C$304,MATCH($B63,'Portfolio Register'!$DH$5:$DH$304,0)),$M63),TODAY()-IFERROR(INDEX('Portfolio Register'!$C$5:$C$304,MATCH($B63,'Portfolio Register'!$DH$5:$DH$304,0)),TODAY())))</f>
        <v/>
      </c>
      <c r="O63" s="153" t="str">
        <f t="shared" si="1"/>
        <v/>
      </c>
      <c r="P63" s="148" t="str">
        <f>IFERROR(IF(INDEX('Portfolio Register'!$DG$5:$DG$304,MATCH($B63,'Portfolio Register'!$DH$5:$DH$304,0))="","",INDEX('Portfolio Register'!$DG$5:$DG$304,MATCH($B63,'Portfolio Register'!$DH$5:$DH$304,0))),"")</f>
        <v/>
      </c>
      <c r="Q63" s="148" t="str">
        <f>IFERROR(IF(INDEX('Portfolio Register'!$DF$5:$DF$304,MATCH($B63,'Portfolio Register'!$DH$5:$DH$304,0))="","",INDEX('Portfolio Register'!$DF$5:$DF$304,MATCH($B63,'Portfolio Register'!$DH$5:$DH$304,0))),"")</f>
        <v/>
      </c>
    </row>
    <row r="64" spans="2:17" x14ac:dyDescent="0.35">
      <c r="B64" s="58">
        <v>37</v>
      </c>
      <c r="C64" s="142" t="str">
        <f>IFERROR(IF(INDEX('Portfolio Register'!$A$5:$A$304,MATCH($B64,'Portfolio Register'!$DH$5:$DH$304,0))="","",INDEX('Portfolio Register'!$A$5:$A$304,MATCH($B64,'Portfolio Register'!$DH$5:$DH$304,0))),"")</f>
        <v/>
      </c>
      <c r="D64" s="142" t="str">
        <f>IFERROR(IF(INDEX('Portfolio Register'!$B$5:$B$304,MATCH($B64,'Portfolio Register'!$DH$5:$DH$304,0))="","",INDEX('Portfolio Register'!$B$5:$B$304,MATCH($B64,'Portfolio Register'!$DH$5:$DH$304,0))),"")</f>
        <v/>
      </c>
      <c r="E64" s="142" t="str">
        <f>IFERROR(IF(INDEX('Portfolio Register'!$I$5:$I$304,MATCH($B64,'Portfolio Register'!$DH$5:$DH$304,0))="","",INDEX('Portfolio Register'!$I$5:$I$304,MATCH($B64,'Portfolio Register'!$DH$5:$DH$304,0))),"")</f>
        <v/>
      </c>
      <c r="F64" s="143" t="str">
        <f>IFERROR(IF(INDEX('Portfolio Register'!$J$5:$J$304,MATCH($B64,'Portfolio Register'!$DH$5:$DH$304,0))="","",INDEX('Portfolio Register'!$J$5:$J$304,MATCH($B64,'Portfolio Register'!$DH$5:$DH$304,0))),"")</f>
        <v/>
      </c>
      <c r="G64" s="142" t="str">
        <f>IFERROR(IF(INDEX('Portfolio Register'!$CX$5:$CX$304,MATCH($B64,'Portfolio Register'!$DH$5:$DH$304,0))="","",INDEX('Portfolio Register'!$CX$5:$CX$304,MATCH($B64,'Portfolio Register'!$DH$5:$DH$304,0))),"")</f>
        <v/>
      </c>
      <c r="H64" s="144" t="str">
        <f>IFERROR(IF(INDEX('Portfolio Register'!$CY$5:$CY$304,MATCH($B64,'Portfolio Register'!$DH$5:$DH$304,0))="","",INDEX('Portfolio Register'!$CY$5:$CY$304,MATCH($B64,'Portfolio Register'!$DH$5:$DH$304,0))),"")</f>
        <v/>
      </c>
      <c r="I64" s="142" t="str">
        <f>IFERROR(IF(INDEX('Portfolio Register'!$CZ$5:$CZ$304,MATCH($B64,'Portfolio Register'!$DH$5:$DH$304,0))="","",INDEX('Portfolio Register'!$CZ$5:$CZ$304,MATCH($B64,'Portfolio Register'!$DH$5:$DH$304,0))),"")</f>
        <v/>
      </c>
      <c r="J64" s="142" t="str">
        <f>IFERROR(IF(INDEX('Portfolio Register'!$DA$5:$DA$304,MATCH($B64,'Portfolio Register'!$DH$5:$DH$304,0))="","",INDEX('Portfolio Register'!$DA$5:$DA$304,MATCH($B64,'Portfolio Register'!$DH$5:$DH$304,0))),"")</f>
        <v/>
      </c>
      <c r="K64" s="142" t="str">
        <f>IFERROR(IF(INDEX('Portfolio Register'!$DB$5:$DB$304,MATCH($B64,'Portfolio Register'!$DH$5:$DH$304,0))="","",INDEX('Portfolio Register'!$DB$5:$DB$304,MATCH($B64,'Portfolio Register'!$DH$5:$DH$304,0))),"")</f>
        <v/>
      </c>
      <c r="L64" s="142" t="str">
        <f>IFERROR(IF(INDEX('Portfolio Register'!$DC$5:$DC$304,MATCH($B64,'Portfolio Register'!$DH$5:$DH$304,0))="","",INDEX('Portfolio Register'!$DC$5:$DC$304,MATCH($B64,'Portfolio Register'!$DH$5:$DH$304,0))),"")</f>
        <v/>
      </c>
      <c r="M64" s="145" t="str">
        <f>IFERROR(IF(INDEX('Portfolio Register'!$DD$5:$DD$304,MATCH($B64,'Portfolio Register'!$DH$5:$DH$304,0))="","",INDEX('Portfolio Register'!$DD$5:$DD$304,MATCH($B64,'Portfolio Register'!$DH$5:$DH$304,0))),"")</f>
        <v/>
      </c>
      <c r="N64" s="146" t="str">
        <f ca="1">IF($C64="","",IF($M64&lt;&gt;"",$M64-IFERROR(INDEX('Portfolio Register'!$C$5:$C$304,MATCH($B64,'Portfolio Register'!$DH$5:$DH$304,0)),$M64),TODAY()-IFERROR(INDEX('Portfolio Register'!$C$5:$C$304,MATCH($B64,'Portfolio Register'!$DH$5:$DH$304,0)),TODAY())))</f>
        <v/>
      </c>
      <c r="O64" s="147" t="str">
        <f t="shared" si="1"/>
        <v/>
      </c>
      <c r="P64" s="142" t="str">
        <f>IFERROR(IF(INDEX('Portfolio Register'!$DG$5:$DG$304,MATCH($B64,'Portfolio Register'!$DH$5:$DH$304,0))="","",INDEX('Portfolio Register'!$DG$5:$DG$304,MATCH($B64,'Portfolio Register'!$DH$5:$DH$304,0))),"")</f>
        <v/>
      </c>
      <c r="Q64" s="142" t="str">
        <f>IFERROR(IF(INDEX('Portfolio Register'!$DF$5:$DF$304,MATCH($B64,'Portfolio Register'!$DH$5:$DH$304,0))="","",INDEX('Portfolio Register'!$DF$5:$DF$304,MATCH($B64,'Portfolio Register'!$DH$5:$DH$304,0))),"")</f>
        <v/>
      </c>
    </row>
    <row r="65" spans="2:17" x14ac:dyDescent="0.35">
      <c r="B65" s="65">
        <v>38</v>
      </c>
      <c r="C65" s="148" t="str">
        <f>IFERROR(IF(INDEX('Portfolio Register'!$A$5:$A$304,MATCH($B65,'Portfolio Register'!$DH$5:$DH$304,0))="","",INDEX('Portfolio Register'!$A$5:$A$304,MATCH($B65,'Portfolio Register'!$DH$5:$DH$304,0))),"")</f>
        <v/>
      </c>
      <c r="D65" s="148" t="str">
        <f>IFERROR(IF(INDEX('Portfolio Register'!$B$5:$B$304,MATCH($B65,'Portfolio Register'!$DH$5:$DH$304,0))="","",INDEX('Portfolio Register'!$B$5:$B$304,MATCH($B65,'Portfolio Register'!$DH$5:$DH$304,0))),"")</f>
        <v/>
      </c>
      <c r="E65" s="148" t="str">
        <f>IFERROR(IF(INDEX('Portfolio Register'!$I$5:$I$304,MATCH($B65,'Portfolio Register'!$DH$5:$DH$304,0))="","",INDEX('Portfolio Register'!$I$5:$I$304,MATCH($B65,'Portfolio Register'!$DH$5:$DH$304,0))),"")</f>
        <v/>
      </c>
      <c r="F65" s="149" t="str">
        <f>IFERROR(IF(INDEX('Portfolio Register'!$J$5:$J$304,MATCH($B65,'Portfolio Register'!$DH$5:$DH$304,0))="","",INDEX('Portfolio Register'!$J$5:$J$304,MATCH($B65,'Portfolio Register'!$DH$5:$DH$304,0))),"")</f>
        <v/>
      </c>
      <c r="G65" s="148" t="str">
        <f>IFERROR(IF(INDEX('Portfolio Register'!$CX$5:$CX$304,MATCH($B65,'Portfolio Register'!$DH$5:$DH$304,0))="","",INDEX('Portfolio Register'!$CX$5:$CX$304,MATCH($B65,'Portfolio Register'!$DH$5:$DH$304,0))),"")</f>
        <v/>
      </c>
      <c r="H65" s="150" t="str">
        <f>IFERROR(IF(INDEX('Portfolio Register'!$CY$5:$CY$304,MATCH($B65,'Portfolio Register'!$DH$5:$DH$304,0))="","",INDEX('Portfolio Register'!$CY$5:$CY$304,MATCH($B65,'Portfolio Register'!$DH$5:$DH$304,0))),"")</f>
        <v/>
      </c>
      <c r="I65" s="148" t="str">
        <f>IFERROR(IF(INDEX('Portfolio Register'!$CZ$5:$CZ$304,MATCH($B65,'Portfolio Register'!$DH$5:$DH$304,0))="","",INDEX('Portfolio Register'!$CZ$5:$CZ$304,MATCH($B65,'Portfolio Register'!$DH$5:$DH$304,0))),"")</f>
        <v/>
      </c>
      <c r="J65" s="148" t="str">
        <f>IFERROR(IF(INDEX('Portfolio Register'!$DA$5:$DA$304,MATCH($B65,'Portfolio Register'!$DH$5:$DH$304,0))="","",INDEX('Portfolio Register'!$DA$5:$DA$304,MATCH($B65,'Portfolio Register'!$DH$5:$DH$304,0))),"")</f>
        <v/>
      </c>
      <c r="K65" s="148" t="str">
        <f>IFERROR(IF(INDEX('Portfolio Register'!$DB$5:$DB$304,MATCH($B65,'Portfolio Register'!$DH$5:$DH$304,0))="","",INDEX('Portfolio Register'!$DB$5:$DB$304,MATCH($B65,'Portfolio Register'!$DH$5:$DH$304,0))),"")</f>
        <v/>
      </c>
      <c r="L65" s="148" t="str">
        <f>IFERROR(IF(INDEX('Portfolio Register'!$DC$5:$DC$304,MATCH($B65,'Portfolio Register'!$DH$5:$DH$304,0))="","",INDEX('Portfolio Register'!$DC$5:$DC$304,MATCH($B65,'Portfolio Register'!$DH$5:$DH$304,0))),"")</f>
        <v/>
      </c>
      <c r="M65" s="151" t="str">
        <f>IFERROR(IF(INDEX('Portfolio Register'!$DD$5:$DD$304,MATCH($B65,'Portfolio Register'!$DH$5:$DH$304,0))="","",INDEX('Portfolio Register'!$DD$5:$DD$304,MATCH($B65,'Portfolio Register'!$DH$5:$DH$304,0))),"")</f>
        <v/>
      </c>
      <c r="N65" s="152" t="str">
        <f ca="1">IF($C65="","",IF($M65&lt;&gt;"",$M65-IFERROR(INDEX('Portfolio Register'!$C$5:$C$304,MATCH($B65,'Portfolio Register'!$DH$5:$DH$304,0)),$M65),TODAY()-IFERROR(INDEX('Portfolio Register'!$C$5:$C$304,MATCH($B65,'Portfolio Register'!$DH$5:$DH$304,0)),TODAY())))</f>
        <v/>
      </c>
      <c r="O65" s="153" t="str">
        <f t="shared" si="1"/>
        <v/>
      </c>
      <c r="P65" s="148" t="str">
        <f>IFERROR(IF(INDEX('Portfolio Register'!$DG$5:$DG$304,MATCH($B65,'Portfolio Register'!$DH$5:$DH$304,0))="","",INDEX('Portfolio Register'!$DG$5:$DG$304,MATCH($B65,'Portfolio Register'!$DH$5:$DH$304,0))),"")</f>
        <v/>
      </c>
      <c r="Q65" s="148" t="str">
        <f>IFERROR(IF(INDEX('Portfolio Register'!$DF$5:$DF$304,MATCH($B65,'Portfolio Register'!$DH$5:$DH$304,0))="","",INDEX('Portfolio Register'!$DF$5:$DF$304,MATCH($B65,'Portfolio Register'!$DH$5:$DH$304,0))),"")</f>
        <v/>
      </c>
    </row>
    <row r="66" spans="2:17" x14ac:dyDescent="0.35">
      <c r="B66" s="58">
        <v>39</v>
      </c>
      <c r="C66" s="142" t="str">
        <f>IFERROR(IF(INDEX('Portfolio Register'!$A$5:$A$304,MATCH($B66,'Portfolio Register'!$DH$5:$DH$304,0))="","",INDEX('Portfolio Register'!$A$5:$A$304,MATCH($B66,'Portfolio Register'!$DH$5:$DH$304,0))),"")</f>
        <v/>
      </c>
      <c r="D66" s="142" t="str">
        <f>IFERROR(IF(INDEX('Portfolio Register'!$B$5:$B$304,MATCH($B66,'Portfolio Register'!$DH$5:$DH$304,0))="","",INDEX('Portfolio Register'!$B$5:$B$304,MATCH($B66,'Portfolio Register'!$DH$5:$DH$304,0))),"")</f>
        <v/>
      </c>
      <c r="E66" s="142" t="str">
        <f>IFERROR(IF(INDEX('Portfolio Register'!$I$5:$I$304,MATCH($B66,'Portfolio Register'!$DH$5:$DH$304,0))="","",INDEX('Portfolio Register'!$I$5:$I$304,MATCH($B66,'Portfolio Register'!$DH$5:$DH$304,0))),"")</f>
        <v/>
      </c>
      <c r="F66" s="143" t="str">
        <f>IFERROR(IF(INDEX('Portfolio Register'!$J$5:$J$304,MATCH($B66,'Portfolio Register'!$DH$5:$DH$304,0))="","",INDEX('Portfolio Register'!$J$5:$J$304,MATCH($B66,'Portfolio Register'!$DH$5:$DH$304,0))),"")</f>
        <v/>
      </c>
      <c r="G66" s="142" t="str">
        <f>IFERROR(IF(INDEX('Portfolio Register'!$CX$5:$CX$304,MATCH($B66,'Portfolio Register'!$DH$5:$DH$304,0))="","",INDEX('Portfolio Register'!$CX$5:$CX$304,MATCH($B66,'Portfolio Register'!$DH$5:$DH$304,0))),"")</f>
        <v/>
      </c>
      <c r="H66" s="144" t="str">
        <f>IFERROR(IF(INDEX('Portfolio Register'!$CY$5:$CY$304,MATCH($B66,'Portfolio Register'!$DH$5:$DH$304,0))="","",INDEX('Portfolio Register'!$CY$5:$CY$304,MATCH($B66,'Portfolio Register'!$DH$5:$DH$304,0))),"")</f>
        <v/>
      </c>
      <c r="I66" s="142" t="str">
        <f>IFERROR(IF(INDEX('Portfolio Register'!$CZ$5:$CZ$304,MATCH($B66,'Portfolio Register'!$DH$5:$DH$304,0))="","",INDEX('Portfolio Register'!$CZ$5:$CZ$304,MATCH($B66,'Portfolio Register'!$DH$5:$DH$304,0))),"")</f>
        <v/>
      </c>
      <c r="J66" s="142" t="str">
        <f>IFERROR(IF(INDEX('Portfolio Register'!$DA$5:$DA$304,MATCH($B66,'Portfolio Register'!$DH$5:$DH$304,0))="","",INDEX('Portfolio Register'!$DA$5:$DA$304,MATCH($B66,'Portfolio Register'!$DH$5:$DH$304,0))),"")</f>
        <v/>
      </c>
      <c r="K66" s="142" t="str">
        <f>IFERROR(IF(INDEX('Portfolio Register'!$DB$5:$DB$304,MATCH($B66,'Portfolio Register'!$DH$5:$DH$304,0))="","",INDEX('Portfolio Register'!$DB$5:$DB$304,MATCH($B66,'Portfolio Register'!$DH$5:$DH$304,0))),"")</f>
        <v/>
      </c>
      <c r="L66" s="142" t="str">
        <f>IFERROR(IF(INDEX('Portfolio Register'!$DC$5:$DC$304,MATCH($B66,'Portfolio Register'!$DH$5:$DH$304,0))="","",INDEX('Portfolio Register'!$DC$5:$DC$304,MATCH($B66,'Portfolio Register'!$DH$5:$DH$304,0))),"")</f>
        <v/>
      </c>
      <c r="M66" s="145" t="str">
        <f>IFERROR(IF(INDEX('Portfolio Register'!$DD$5:$DD$304,MATCH($B66,'Portfolio Register'!$DH$5:$DH$304,0))="","",INDEX('Portfolio Register'!$DD$5:$DD$304,MATCH($B66,'Portfolio Register'!$DH$5:$DH$304,0))),"")</f>
        <v/>
      </c>
      <c r="N66" s="146" t="str">
        <f ca="1">IF($C66="","",IF($M66&lt;&gt;"",$M66-IFERROR(INDEX('Portfolio Register'!$C$5:$C$304,MATCH($B66,'Portfolio Register'!$DH$5:$DH$304,0)),$M66),TODAY()-IFERROR(INDEX('Portfolio Register'!$C$5:$C$304,MATCH($B66,'Portfolio Register'!$DH$5:$DH$304,0)),TODAY())))</f>
        <v/>
      </c>
      <c r="O66" s="147" t="str">
        <f t="shared" si="1"/>
        <v/>
      </c>
      <c r="P66" s="142" t="str">
        <f>IFERROR(IF(INDEX('Portfolio Register'!$DG$5:$DG$304,MATCH($B66,'Portfolio Register'!$DH$5:$DH$304,0))="","",INDEX('Portfolio Register'!$DG$5:$DG$304,MATCH($B66,'Portfolio Register'!$DH$5:$DH$304,0))),"")</f>
        <v/>
      </c>
      <c r="Q66" s="142" t="str">
        <f>IFERROR(IF(INDEX('Portfolio Register'!$DF$5:$DF$304,MATCH($B66,'Portfolio Register'!$DH$5:$DH$304,0))="","",INDEX('Portfolio Register'!$DF$5:$DF$304,MATCH($B66,'Portfolio Register'!$DH$5:$DH$304,0))),"")</f>
        <v/>
      </c>
    </row>
    <row r="67" spans="2:17" x14ac:dyDescent="0.35">
      <c r="B67" s="65">
        <v>40</v>
      </c>
      <c r="C67" s="148" t="str">
        <f>IFERROR(IF(INDEX('Portfolio Register'!$A$5:$A$304,MATCH($B67,'Portfolio Register'!$DH$5:$DH$304,0))="","",INDEX('Portfolio Register'!$A$5:$A$304,MATCH($B67,'Portfolio Register'!$DH$5:$DH$304,0))),"")</f>
        <v/>
      </c>
      <c r="D67" s="148" t="str">
        <f>IFERROR(IF(INDEX('Portfolio Register'!$B$5:$B$304,MATCH($B67,'Portfolio Register'!$DH$5:$DH$304,0))="","",INDEX('Portfolio Register'!$B$5:$B$304,MATCH($B67,'Portfolio Register'!$DH$5:$DH$304,0))),"")</f>
        <v/>
      </c>
      <c r="E67" s="148" t="str">
        <f>IFERROR(IF(INDEX('Portfolio Register'!$I$5:$I$304,MATCH($B67,'Portfolio Register'!$DH$5:$DH$304,0))="","",INDEX('Portfolio Register'!$I$5:$I$304,MATCH($B67,'Portfolio Register'!$DH$5:$DH$304,0))),"")</f>
        <v/>
      </c>
      <c r="F67" s="149" t="str">
        <f>IFERROR(IF(INDEX('Portfolio Register'!$J$5:$J$304,MATCH($B67,'Portfolio Register'!$DH$5:$DH$304,0))="","",INDEX('Portfolio Register'!$J$5:$J$304,MATCH($B67,'Portfolio Register'!$DH$5:$DH$304,0))),"")</f>
        <v/>
      </c>
      <c r="G67" s="148" t="str">
        <f>IFERROR(IF(INDEX('Portfolio Register'!$CX$5:$CX$304,MATCH($B67,'Portfolio Register'!$DH$5:$DH$304,0))="","",INDEX('Portfolio Register'!$CX$5:$CX$304,MATCH($B67,'Portfolio Register'!$DH$5:$DH$304,0))),"")</f>
        <v/>
      </c>
      <c r="H67" s="150" t="str">
        <f>IFERROR(IF(INDEX('Portfolio Register'!$CY$5:$CY$304,MATCH($B67,'Portfolio Register'!$DH$5:$DH$304,0))="","",INDEX('Portfolio Register'!$CY$5:$CY$304,MATCH($B67,'Portfolio Register'!$DH$5:$DH$304,0))),"")</f>
        <v/>
      </c>
      <c r="I67" s="148" t="str">
        <f>IFERROR(IF(INDEX('Portfolio Register'!$CZ$5:$CZ$304,MATCH($B67,'Portfolio Register'!$DH$5:$DH$304,0))="","",INDEX('Portfolio Register'!$CZ$5:$CZ$304,MATCH($B67,'Portfolio Register'!$DH$5:$DH$304,0))),"")</f>
        <v/>
      </c>
      <c r="J67" s="148" t="str">
        <f>IFERROR(IF(INDEX('Portfolio Register'!$DA$5:$DA$304,MATCH($B67,'Portfolio Register'!$DH$5:$DH$304,0))="","",INDEX('Portfolio Register'!$DA$5:$DA$304,MATCH($B67,'Portfolio Register'!$DH$5:$DH$304,0))),"")</f>
        <v/>
      </c>
      <c r="K67" s="148" t="str">
        <f>IFERROR(IF(INDEX('Portfolio Register'!$DB$5:$DB$304,MATCH($B67,'Portfolio Register'!$DH$5:$DH$304,0))="","",INDEX('Portfolio Register'!$DB$5:$DB$304,MATCH($B67,'Portfolio Register'!$DH$5:$DH$304,0))),"")</f>
        <v/>
      </c>
      <c r="L67" s="148" t="str">
        <f>IFERROR(IF(INDEX('Portfolio Register'!$DC$5:$DC$304,MATCH($B67,'Portfolio Register'!$DH$5:$DH$304,0))="","",INDEX('Portfolio Register'!$DC$5:$DC$304,MATCH($B67,'Portfolio Register'!$DH$5:$DH$304,0))),"")</f>
        <v/>
      </c>
      <c r="M67" s="151" t="str">
        <f>IFERROR(IF(INDEX('Portfolio Register'!$DD$5:$DD$304,MATCH($B67,'Portfolio Register'!$DH$5:$DH$304,0))="","",INDEX('Portfolio Register'!$DD$5:$DD$304,MATCH($B67,'Portfolio Register'!$DH$5:$DH$304,0))),"")</f>
        <v/>
      </c>
      <c r="N67" s="152" t="str">
        <f ca="1">IF($C67="","",IF($M67&lt;&gt;"",$M67-IFERROR(INDEX('Portfolio Register'!$C$5:$C$304,MATCH($B67,'Portfolio Register'!$DH$5:$DH$304,0)),$M67),TODAY()-IFERROR(INDEX('Portfolio Register'!$C$5:$C$304,MATCH($B67,'Portfolio Register'!$DH$5:$DH$304,0)),TODAY())))</f>
        <v/>
      </c>
      <c r="O67" s="153" t="str">
        <f t="shared" si="1"/>
        <v/>
      </c>
      <c r="P67" s="148" t="str">
        <f>IFERROR(IF(INDEX('Portfolio Register'!$DG$5:$DG$304,MATCH($B67,'Portfolio Register'!$DH$5:$DH$304,0))="","",INDEX('Portfolio Register'!$DG$5:$DG$304,MATCH($B67,'Portfolio Register'!$DH$5:$DH$304,0))),"")</f>
        <v/>
      </c>
      <c r="Q67" s="148" t="str">
        <f>IFERROR(IF(INDEX('Portfolio Register'!$DF$5:$DF$304,MATCH($B67,'Portfolio Register'!$DH$5:$DH$304,0))="","",INDEX('Portfolio Register'!$DF$5:$DF$304,MATCH($B67,'Portfolio Register'!$DH$5:$DH$304,0))),"")</f>
        <v/>
      </c>
    </row>
    <row r="68" spans="2:17" x14ac:dyDescent="0.35">
      <c r="B68" s="58">
        <v>41</v>
      </c>
      <c r="C68" s="142" t="str">
        <f>IFERROR(IF(INDEX('Portfolio Register'!$A$5:$A$304,MATCH($B68,'Portfolio Register'!$DH$5:$DH$304,0))="","",INDEX('Portfolio Register'!$A$5:$A$304,MATCH($B68,'Portfolio Register'!$DH$5:$DH$304,0))),"")</f>
        <v/>
      </c>
      <c r="D68" s="142" t="str">
        <f>IFERROR(IF(INDEX('Portfolio Register'!$B$5:$B$304,MATCH($B68,'Portfolio Register'!$DH$5:$DH$304,0))="","",INDEX('Portfolio Register'!$B$5:$B$304,MATCH($B68,'Portfolio Register'!$DH$5:$DH$304,0))),"")</f>
        <v/>
      </c>
      <c r="E68" s="142" t="str">
        <f>IFERROR(IF(INDEX('Portfolio Register'!$I$5:$I$304,MATCH($B68,'Portfolio Register'!$DH$5:$DH$304,0))="","",INDEX('Portfolio Register'!$I$5:$I$304,MATCH($B68,'Portfolio Register'!$DH$5:$DH$304,0))),"")</f>
        <v/>
      </c>
      <c r="F68" s="143" t="str">
        <f>IFERROR(IF(INDEX('Portfolio Register'!$J$5:$J$304,MATCH($B68,'Portfolio Register'!$DH$5:$DH$304,0))="","",INDEX('Portfolio Register'!$J$5:$J$304,MATCH($B68,'Portfolio Register'!$DH$5:$DH$304,0))),"")</f>
        <v/>
      </c>
      <c r="G68" s="142" t="str">
        <f>IFERROR(IF(INDEX('Portfolio Register'!$CX$5:$CX$304,MATCH($B68,'Portfolio Register'!$DH$5:$DH$304,0))="","",INDEX('Portfolio Register'!$CX$5:$CX$304,MATCH($B68,'Portfolio Register'!$DH$5:$DH$304,0))),"")</f>
        <v/>
      </c>
      <c r="H68" s="144" t="str">
        <f>IFERROR(IF(INDEX('Portfolio Register'!$CY$5:$CY$304,MATCH($B68,'Portfolio Register'!$DH$5:$DH$304,0))="","",INDEX('Portfolio Register'!$CY$5:$CY$304,MATCH($B68,'Portfolio Register'!$DH$5:$DH$304,0))),"")</f>
        <v/>
      </c>
      <c r="I68" s="142" t="str">
        <f>IFERROR(IF(INDEX('Portfolio Register'!$CZ$5:$CZ$304,MATCH($B68,'Portfolio Register'!$DH$5:$DH$304,0))="","",INDEX('Portfolio Register'!$CZ$5:$CZ$304,MATCH($B68,'Portfolio Register'!$DH$5:$DH$304,0))),"")</f>
        <v/>
      </c>
      <c r="J68" s="142" t="str">
        <f>IFERROR(IF(INDEX('Portfolio Register'!$DA$5:$DA$304,MATCH($B68,'Portfolio Register'!$DH$5:$DH$304,0))="","",INDEX('Portfolio Register'!$DA$5:$DA$304,MATCH($B68,'Portfolio Register'!$DH$5:$DH$304,0))),"")</f>
        <v/>
      </c>
      <c r="K68" s="142" t="str">
        <f>IFERROR(IF(INDEX('Portfolio Register'!$DB$5:$DB$304,MATCH($B68,'Portfolio Register'!$DH$5:$DH$304,0))="","",INDEX('Portfolio Register'!$DB$5:$DB$304,MATCH($B68,'Portfolio Register'!$DH$5:$DH$304,0))),"")</f>
        <v/>
      </c>
      <c r="L68" s="142" t="str">
        <f>IFERROR(IF(INDEX('Portfolio Register'!$DC$5:$DC$304,MATCH($B68,'Portfolio Register'!$DH$5:$DH$304,0))="","",INDEX('Portfolio Register'!$DC$5:$DC$304,MATCH($B68,'Portfolio Register'!$DH$5:$DH$304,0))),"")</f>
        <v/>
      </c>
      <c r="M68" s="145" t="str">
        <f>IFERROR(IF(INDEX('Portfolio Register'!$DD$5:$DD$304,MATCH($B68,'Portfolio Register'!$DH$5:$DH$304,0))="","",INDEX('Portfolio Register'!$DD$5:$DD$304,MATCH($B68,'Portfolio Register'!$DH$5:$DH$304,0))),"")</f>
        <v/>
      </c>
      <c r="N68" s="146" t="str">
        <f ca="1">IF($C68="","",IF($M68&lt;&gt;"",$M68-IFERROR(INDEX('Portfolio Register'!$C$5:$C$304,MATCH($B68,'Portfolio Register'!$DH$5:$DH$304,0)),$M68),TODAY()-IFERROR(INDEX('Portfolio Register'!$C$5:$C$304,MATCH($B68,'Portfolio Register'!$DH$5:$DH$304,0)),TODAY())))</f>
        <v/>
      </c>
      <c r="O68" s="147" t="str">
        <f t="shared" si="1"/>
        <v/>
      </c>
      <c r="P68" s="142" t="str">
        <f>IFERROR(IF(INDEX('Portfolio Register'!$DG$5:$DG$304,MATCH($B68,'Portfolio Register'!$DH$5:$DH$304,0))="","",INDEX('Portfolio Register'!$DG$5:$DG$304,MATCH($B68,'Portfolio Register'!$DH$5:$DH$304,0))),"")</f>
        <v/>
      </c>
      <c r="Q68" s="142" t="str">
        <f>IFERROR(IF(INDEX('Portfolio Register'!$DF$5:$DF$304,MATCH($B68,'Portfolio Register'!$DH$5:$DH$304,0))="","",INDEX('Portfolio Register'!$DF$5:$DF$304,MATCH($B68,'Portfolio Register'!$DH$5:$DH$304,0))),"")</f>
        <v/>
      </c>
    </row>
    <row r="69" spans="2:17" x14ac:dyDescent="0.35">
      <c r="B69" s="65">
        <v>42</v>
      </c>
      <c r="C69" s="148" t="str">
        <f>IFERROR(IF(INDEX('Portfolio Register'!$A$5:$A$304,MATCH($B69,'Portfolio Register'!$DH$5:$DH$304,0))="","",INDEX('Portfolio Register'!$A$5:$A$304,MATCH($B69,'Portfolio Register'!$DH$5:$DH$304,0))),"")</f>
        <v/>
      </c>
      <c r="D69" s="148" t="str">
        <f>IFERROR(IF(INDEX('Portfolio Register'!$B$5:$B$304,MATCH($B69,'Portfolio Register'!$DH$5:$DH$304,0))="","",INDEX('Portfolio Register'!$B$5:$B$304,MATCH($B69,'Portfolio Register'!$DH$5:$DH$304,0))),"")</f>
        <v/>
      </c>
      <c r="E69" s="148" t="str">
        <f>IFERROR(IF(INDEX('Portfolio Register'!$I$5:$I$304,MATCH($B69,'Portfolio Register'!$DH$5:$DH$304,0))="","",INDEX('Portfolio Register'!$I$5:$I$304,MATCH($B69,'Portfolio Register'!$DH$5:$DH$304,0))),"")</f>
        <v/>
      </c>
      <c r="F69" s="149" t="str">
        <f>IFERROR(IF(INDEX('Portfolio Register'!$J$5:$J$304,MATCH($B69,'Portfolio Register'!$DH$5:$DH$304,0))="","",INDEX('Portfolio Register'!$J$5:$J$304,MATCH($B69,'Portfolio Register'!$DH$5:$DH$304,0))),"")</f>
        <v/>
      </c>
      <c r="G69" s="148" t="str">
        <f>IFERROR(IF(INDEX('Portfolio Register'!$CX$5:$CX$304,MATCH($B69,'Portfolio Register'!$DH$5:$DH$304,0))="","",INDEX('Portfolio Register'!$CX$5:$CX$304,MATCH($B69,'Portfolio Register'!$DH$5:$DH$304,0))),"")</f>
        <v/>
      </c>
      <c r="H69" s="150" t="str">
        <f>IFERROR(IF(INDEX('Portfolio Register'!$CY$5:$CY$304,MATCH($B69,'Portfolio Register'!$DH$5:$DH$304,0))="","",INDEX('Portfolio Register'!$CY$5:$CY$304,MATCH($B69,'Portfolio Register'!$DH$5:$DH$304,0))),"")</f>
        <v/>
      </c>
      <c r="I69" s="148" t="str">
        <f>IFERROR(IF(INDEX('Portfolio Register'!$CZ$5:$CZ$304,MATCH($B69,'Portfolio Register'!$DH$5:$DH$304,0))="","",INDEX('Portfolio Register'!$CZ$5:$CZ$304,MATCH($B69,'Portfolio Register'!$DH$5:$DH$304,0))),"")</f>
        <v/>
      </c>
      <c r="J69" s="148" t="str">
        <f>IFERROR(IF(INDEX('Portfolio Register'!$DA$5:$DA$304,MATCH($B69,'Portfolio Register'!$DH$5:$DH$304,0))="","",INDEX('Portfolio Register'!$DA$5:$DA$304,MATCH($B69,'Portfolio Register'!$DH$5:$DH$304,0))),"")</f>
        <v/>
      </c>
      <c r="K69" s="148" t="str">
        <f>IFERROR(IF(INDEX('Portfolio Register'!$DB$5:$DB$304,MATCH($B69,'Portfolio Register'!$DH$5:$DH$304,0))="","",INDEX('Portfolio Register'!$DB$5:$DB$304,MATCH($B69,'Portfolio Register'!$DH$5:$DH$304,0))),"")</f>
        <v/>
      </c>
      <c r="L69" s="148" t="str">
        <f>IFERROR(IF(INDEX('Portfolio Register'!$DC$5:$DC$304,MATCH($B69,'Portfolio Register'!$DH$5:$DH$304,0))="","",INDEX('Portfolio Register'!$DC$5:$DC$304,MATCH($B69,'Portfolio Register'!$DH$5:$DH$304,0))),"")</f>
        <v/>
      </c>
      <c r="M69" s="151" t="str">
        <f>IFERROR(IF(INDEX('Portfolio Register'!$DD$5:$DD$304,MATCH($B69,'Portfolio Register'!$DH$5:$DH$304,0))="","",INDEX('Portfolio Register'!$DD$5:$DD$304,MATCH($B69,'Portfolio Register'!$DH$5:$DH$304,0))),"")</f>
        <v/>
      </c>
      <c r="N69" s="152" t="str">
        <f ca="1">IF($C69="","",IF($M69&lt;&gt;"",$M69-IFERROR(INDEX('Portfolio Register'!$C$5:$C$304,MATCH($B69,'Portfolio Register'!$DH$5:$DH$304,0)),$M69),TODAY()-IFERROR(INDEX('Portfolio Register'!$C$5:$C$304,MATCH($B69,'Portfolio Register'!$DH$5:$DH$304,0)),TODAY())))</f>
        <v/>
      </c>
      <c r="O69" s="153" t="str">
        <f t="shared" si="1"/>
        <v/>
      </c>
      <c r="P69" s="148" t="str">
        <f>IFERROR(IF(INDEX('Portfolio Register'!$DG$5:$DG$304,MATCH($B69,'Portfolio Register'!$DH$5:$DH$304,0))="","",INDEX('Portfolio Register'!$DG$5:$DG$304,MATCH($B69,'Portfolio Register'!$DH$5:$DH$304,0))),"")</f>
        <v/>
      </c>
      <c r="Q69" s="148" t="str">
        <f>IFERROR(IF(INDEX('Portfolio Register'!$DF$5:$DF$304,MATCH($B69,'Portfolio Register'!$DH$5:$DH$304,0))="","",INDEX('Portfolio Register'!$DF$5:$DF$304,MATCH($B69,'Portfolio Register'!$DH$5:$DH$304,0))),"")</f>
        <v/>
      </c>
    </row>
    <row r="70" spans="2:17" x14ac:dyDescent="0.35">
      <c r="B70" s="58">
        <v>43</v>
      </c>
      <c r="C70" s="142" t="str">
        <f>IFERROR(IF(INDEX('Portfolio Register'!$A$5:$A$304,MATCH($B70,'Portfolio Register'!$DH$5:$DH$304,0))="","",INDEX('Portfolio Register'!$A$5:$A$304,MATCH($B70,'Portfolio Register'!$DH$5:$DH$304,0))),"")</f>
        <v/>
      </c>
      <c r="D70" s="142" t="str">
        <f>IFERROR(IF(INDEX('Portfolio Register'!$B$5:$B$304,MATCH($B70,'Portfolio Register'!$DH$5:$DH$304,0))="","",INDEX('Portfolio Register'!$B$5:$B$304,MATCH($B70,'Portfolio Register'!$DH$5:$DH$304,0))),"")</f>
        <v/>
      </c>
      <c r="E70" s="142" t="str">
        <f>IFERROR(IF(INDEX('Portfolio Register'!$I$5:$I$304,MATCH($B70,'Portfolio Register'!$DH$5:$DH$304,0))="","",INDEX('Portfolio Register'!$I$5:$I$304,MATCH($B70,'Portfolio Register'!$DH$5:$DH$304,0))),"")</f>
        <v/>
      </c>
      <c r="F70" s="143" t="str">
        <f>IFERROR(IF(INDEX('Portfolio Register'!$J$5:$J$304,MATCH($B70,'Portfolio Register'!$DH$5:$DH$304,0))="","",INDEX('Portfolio Register'!$J$5:$J$304,MATCH($B70,'Portfolio Register'!$DH$5:$DH$304,0))),"")</f>
        <v/>
      </c>
      <c r="G70" s="142" t="str">
        <f>IFERROR(IF(INDEX('Portfolio Register'!$CX$5:$CX$304,MATCH($B70,'Portfolio Register'!$DH$5:$DH$304,0))="","",INDEX('Portfolio Register'!$CX$5:$CX$304,MATCH($B70,'Portfolio Register'!$DH$5:$DH$304,0))),"")</f>
        <v/>
      </c>
      <c r="H70" s="144" t="str">
        <f>IFERROR(IF(INDEX('Portfolio Register'!$CY$5:$CY$304,MATCH($B70,'Portfolio Register'!$DH$5:$DH$304,0))="","",INDEX('Portfolio Register'!$CY$5:$CY$304,MATCH($B70,'Portfolio Register'!$DH$5:$DH$304,0))),"")</f>
        <v/>
      </c>
      <c r="I70" s="142" t="str">
        <f>IFERROR(IF(INDEX('Portfolio Register'!$CZ$5:$CZ$304,MATCH($B70,'Portfolio Register'!$DH$5:$DH$304,0))="","",INDEX('Portfolio Register'!$CZ$5:$CZ$304,MATCH($B70,'Portfolio Register'!$DH$5:$DH$304,0))),"")</f>
        <v/>
      </c>
      <c r="J70" s="142" t="str">
        <f>IFERROR(IF(INDEX('Portfolio Register'!$DA$5:$DA$304,MATCH($B70,'Portfolio Register'!$DH$5:$DH$304,0))="","",INDEX('Portfolio Register'!$DA$5:$DA$304,MATCH($B70,'Portfolio Register'!$DH$5:$DH$304,0))),"")</f>
        <v/>
      </c>
      <c r="K70" s="142" t="str">
        <f>IFERROR(IF(INDEX('Portfolio Register'!$DB$5:$DB$304,MATCH($B70,'Portfolio Register'!$DH$5:$DH$304,0))="","",INDEX('Portfolio Register'!$DB$5:$DB$304,MATCH($B70,'Portfolio Register'!$DH$5:$DH$304,0))),"")</f>
        <v/>
      </c>
      <c r="L70" s="142" t="str">
        <f>IFERROR(IF(INDEX('Portfolio Register'!$DC$5:$DC$304,MATCH($B70,'Portfolio Register'!$DH$5:$DH$304,0))="","",INDEX('Portfolio Register'!$DC$5:$DC$304,MATCH($B70,'Portfolio Register'!$DH$5:$DH$304,0))),"")</f>
        <v/>
      </c>
      <c r="M70" s="145" t="str">
        <f>IFERROR(IF(INDEX('Portfolio Register'!$DD$5:$DD$304,MATCH($B70,'Portfolio Register'!$DH$5:$DH$304,0))="","",INDEX('Portfolio Register'!$DD$5:$DD$304,MATCH($B70,'Portfolio Register'!$DH$5:$DH$304,0))),"")</f>
        <v/>
      </c>
      <c r="N70" s="146" t="str">
        <f ca="1">IF($C70="","",IF($M70&lt;&gt;"",$M70-IFERROR(INDEX('Portfolio Register'!$C$5:$C$304,MATCH($B70,'Portfolio Register'!$DH$5:$DH$304,0)),$M70),TODAY()-IFERROR(INDEX('Portfolio Register'!$C$5:$C$304,MATCH($B70,'Portfolio Register'!$DH$5:$DH$304,0)),TODAY())))</f>
        <v/>
      </c>
      <c r="O70" s="147" t="str">
        <f t="shared" si="1"/>
        <v/>
      </c>
      <c r="P70" s="142" t="str">
        <f>IFERROR(IF(INDEX('Portfolio Register'!$DG$5:$DG$304,MATCH($B70,'Portfolio Register'!$DH$5:$DH$304,0))="","",INDEX('Portfolio Register'!$DG$5:$DG$304,MATCH($B70,'Portfolio Register'!$DH$5:$DH$304,0))),"")</f>
        <v/>
      </c>
      <c r="Q70" s="142" t="str">
        <f>IFERROR(IF(INDEX('Portfolio Register'!$DF$5:$DF$304,MATCH($B70,'Portfolio Register'!$DH$5:$DH$304,0))="","",INDEX('Portfolio Register'!$DF$5:$DF$304,MATCH($B70,'Portfolio Register'!$DH$5:$DH$304,0))),"")</f>
        <v/>
      </c>
    </row>
    <row r="71" spans="2:17" x14ac:dyDescent="0.35">
      <c r="B71" s="65">
        <v>44</v>
      </c>
      <c r="C71" s="148" t="str">
        <f>IFERROR(IF(INDEX('Portfolio Register'!$A$5:$A$304,MATCH($B71,'Portfolio Register'!$DH$5:$DH$304,0))="","",INDEX('Portfolio Register'!$A$5:$A$304,MATCH($B71,'Portfolio Register'!$DH$5:$DH$304,0))),"")</f>
        <v/>
      </c>
      <c r="D71" s="148" t="str">
        <f>IFERROR(IF(INDEX('Portfolio Register'!$B$5:$B$304,MATCH($B71,'Portfolio Register'!$DH$5:$DH$304,0))="","",INDEX('Portfolio Register'!$B$5:$B$304,MATCH($B71,'Portfolio Register'!$DH$5:$DH$304,0))),"")</f>
        <v/>
      </c>
      <c r="E71" s="148" t="str">
        <f>IFERROR(IF(INDEX('Portfolio Register'!$I$5:$I$304,MATCH($B71,'Portfolio Register'!$DH$5:$DH$304,0))="","",INDEX('Portfolio Register'!$I$5:$I$304,MATCH($B71,'Portfolio Register'!$DH$5:$DH$304,0))),"")</f>
        <v/>
      </c>
      <c r="F71" s="149" t="str">
        <f>IFERROR(IF(INDEX('Portfolio Register'!$J$5:$J$304,MATCH($B71,'Portfolio Register'!$DH$5:$DH$304,0))="","",INDEX('Portfolio Register'!$J$5:$J$304,MATCH($B71,'Portfolio Register'!$DH$5:$DH$304,0))),"")</f>
        <v/>
      </c>
      <c r="G71" s="148" t="str">
        <f>IFERROR(IF(INDEX('Portfolio Register'!$CX$5:$CX$304,MATCH($B71,'Portfolio Register'!$DH$5:$DH$304,0))="","",INDEX('Portfolio Register'!$CX$5:$CX$304,MATCH($B71,'Portfolio Register'!$DH$5:$DH$304,0))),"")</f>
        <v/>
      </c>
      <c r="H71" s="150" t="str">
        <f>IFERROR(IF(INDEX('Portfolio Register'!$CY$5:$CY$304,MATCH($B71,'Portfolio Register'!$DH$5:$DH$304,0))="","",INDEX('Portfolio Register'!$CY$5:$CY$304,MATCH($B71,'Portfolio Register'!$DH$5:$DH$304,0))),"")</f>
        <v/>
      </c>
      <c r="I71" s="148" t="str">
        <f>IFERROR(IF(INDEX('Portfolio Register'!$CZ$5:$CZ$304,MATCH($B71,'Portfolio Register'!$DH$5:$DH$304,0))="","",INDEX('Portfolio Register'!$CZ$5:$CZ$304,MATCH($B71,'Portfolio Register'!$DH$5:$DH$304,0))),"")</f>
        <v/>
      </c>
      <c r="J71" s="148" t="str">
        <f>IFERROR(IF(INDEX('Portfolio Register'!$DA$5:$DA$304,MATCH($B71,'Portfolio Register'!$DH$5:$DH$304,0))="","",INDEX('Portfolio Register'!$DA$5:$DA$304,MATCH($B71,'Portfolio Register'!$DH$5:$DH$304,0))),"")</f>
        <v/>
      </c>
      <c r="K71" s="148" t="str">
        <f>IFERROR(IF(INDEX('Portfolio Register'!$DB$5:$DB$304,MATCH($B71,'Portfolio Register'!$DH$5:$DH$304,0))="","",INDEX('Portfolio Register'!$DB$5:$DB$304,MATCH($B71,'Portfolio Register'!$DH$5:$DH$304,0))),"")</f>
        <v/>
      </c>
      <c r="L71" s="148" t="str">
        <f>IFERROR(IF(INDEX('Portfolio Register'!$DC$5:$DC$304,MATCH($B71,'Portfolio Register'!$DH$5:$DH$304,0))="","",INDEX('Portfolio Register'!$DC$5:$DC$304,MATCH($B71,'Portfolio Register'!$DH$5:$DH$304,0))),"")</f>
        <v/>
      </c>
      <c r="M71" s="151" t="str">
        <f>IFERROR(IF(INDEX('Portfolio Register'!$DD$5:$DD$304,MATCH($B71,'Portfolio Register'!$DH$5:$DH$304,0))="","",INDEX('Portfolio Register'!$DD$5:$DD$304,MATCH($B71,'Portfolio Register'!$DH$5:$DH$304,0))),"")</f>
        <v/>
      </c>
      <c r="N71" s="152" t="str">
        <f ca="1">IF($C71="","",IF($M71&lt;&gt;"",$M71-IFERROR(INDEX('Portfolio Register'!$C$5:$C$304,MATCH($B71,'Portfolio Register'!$DH$5:$DH$304,0)),$M71),TODAY()-IFERROR(INDEX('Portfolio Register'!$C$5:$C$304,MATCH($B71,'Portfolio Register'!$DH$5:$DH$304,0)),TODAY())))</f>
        <v/>
      </c>
      <c r="O71" s="153" t="str">
        <f t="shared" si="1"/>
        <v/>
      </c>
      <c r="P71" s="148" t="str">
        <f>IFERROR(IF(INDEX('Portfolio Register'!$DG$5:$DG$304,MATCH($B71,'Portfolio Register'!$DH$5:$DH$304,0))="","",INDEX('Portfolio Register'!$DG$5:$DG$304,MATCH($B71,'Portfolio Register'!$DH$5:$DH$304,0))),"")</f>
        <v/>
      </c>
      <c r="Q71" s="148" t="str">
        <f>IFERROR(IF(INDEX('Portfolio Register'!$DF$5:$DF$304,MATCH($B71,'Portfolio Register'!$DH$5:$DH$304,0))="","",INDEX('Portfolio Register'!$DF$5:$DF$304,MATCH($B71,'Portfolio Register'!$DH$5:$DH$304,0))),"")</f>
        <v/>
      </c>
    </row>
    <row r="72" spans="2:17" x14ac:dyDescent="0.35">
      <c r="B72" s="58">
        <v>45</v>
      </c>
      <c r="C72" s="142" t="str">
        <f>IFERROR(IF(INDEX('Portfolio Register'!$A$5:$A$304,MATCH($B72,'Portfolio Register'!$DH$5:$DH$304,0))="","",INDEX('Portfolio Register'!$A$5:$A$304,MATCH($B72,'Portfolio Register'!$DH$5:$DH$304,0))),"")</f>
        <v/>
      </c>
      <c r="D72" s="142" t="str">
        <f>IFERROR(IF(INDEX('Portfolio Register'!$B$5:$B$304,MATCH($B72,'Portfolio Register'!$DH$5:$DH$304,0))="","",INDEX('Portfolio Register'!$B$5:$B$304,MATCH($B72,'Portfolio Register'!$DH$5:$DH$304,0))),"")</f>
        <v/>
      </c>
      <c r="E72" s="142" t="str">
        <f>IFERROR(IF(INDEX('Portfolio Register'!$I$5:$I$304,MATCH($B72,'Portfolio Register'!$DH$5:$DH$304,0))="","",INDEX('Portfolio Register'!$I$5:$I$304,MATCH($B72,'Portfolio Register'!$DH$5:$DH$304,0))),"")</f>
        <v/>
      </c>
      <c r="F72" s="143" t="str">
        <f>IFERROR(IF(INDEX('Portfolio Register'!$J$5:$J$304,MATCH($B72,'Portfolio Register'!$DH$5:$DH$304,0))="","",INDEX('Portfolio Register'!$J$5:$J$304,MATCH($B72,'Portfolio Register'!$DH$5:$DH$304,0))),"")</f>
        <v/>
      </c>
      <c r="G72" s="142" t="str">
        <f>IFERROR(IF(INDEX('Portfolio Register'!$CX$5:$CX$304,MATCH($B72,'Portfolio Register'!$DH$5:$DH$304,0))="","",INDEX('Portfolio Register'!$CX$5:$CX$304,MATCH($B72,'Portfolio Register'!$DH$5:$DH$304,0))),"")</f>
        <v/>
      </c>
      <c r="H72" s="144" t="str">
        <f>IFERROR(IF(INDEX('Portfolio Register'!$CY$5:$CY$304,MATCH($B72,'Portfolio Register'!$DH$5:$DH$304,0))="","",INDEX('Portfolio Register'!$CY$5:$CY$304,MATCH($B72,'Portfolio Register'!$DH$5:$DH$304,0))),"")</f>
        <v/>
      </c>
      <c r="I72" s="142" t="str">
        <f>IFERROR(IF(INDEX('Portfolio Register'!$CZ$5:$CZ$304,MATCH($B72,'Portfolio Register'!$DH$5:$DH$304,0))="","",INDEX('Portfolio Register'!$CZ$5:$CZ$304,MATCH($B72,'Portfolio Register'!$DH$5:$DH$304,0))),"")</f>
        <v/>
      </c>
      <c r="J72" s="142" t="str">
        <f>IFERROR(IF(INDEX('Portfolio Register'!$DA$5:$DA$304,MATCH($B72,'Portfolio Register'!$DH$5:$DH$304,0))="","",INDEX('Portfolio Register'!$DA$5:$DA$304,MATCH($B72,'Portfolio Register'!$DH$5:$DH$304,0))),"")</f>
        <v/>
      </c>
      <c r="K72" s="142" t="str">
        <f>IFERROR(IF(INDEX('Portfolio Register'!$DB$5:$DB$304,MATCH($B72,'Portfolio Register'!$DH$5:$DH$304,0))="","",INDEX('Portfolio Register'!$DB$5:$DB$304,MATCH($B72,'Portfolio Register'!$DH$5:$DH$304,0))),"")</f>
        <v/>
      </c>
      <c r="L72" s="142" t="str">
        <f>IFERROR(IF(INDEX('Portfolio Register'!$DC$5:$DC$304,MATCH($B72,'Portfolio Register'!$DH$5:$DH$304,0))="","",INDEX('Portfolio Register'!$DC$5:$DC$304,MATCH($B72,'Portfolio Register'!$DH$5:$DH$304,0))),"")</f>
        <v/>
      </c>
      <c r="M72" s="145" t="str">
        <f>IFERROR(IF(INDEX('Portfolio Register'!$DD$5:$DD$304,MATCH($B72,'Portfolio Register'!$DH$5:$DH$304,0))="","",INDEX('Portfolio Register'!$DD$5:$DD$304,MATCH($B72,'Portfolio Register'!$DH$5:$DH$304,0))),"")</f>
        <v/>
      </c>
      <c r="N72" s="146" t="str">
        <f ca="1">IF($C72="","",IF($M72&lt;&gt;"",$M72-IFERROR(INDEX('Portfolio Register'!$C$5:$C$304,MATCH($B72,'Portfolio Register'!$DH$5:$DH$304,0)),$M72),TODAY()-IFERROR(INDEX('Portfolio Register'!$C$5:$C$304,MATCH($B72,'Portfolio Register'!$DH$5:$DH$304,0)),TODAY())))</f>
        <v/>
      </c>
      <c r="O72" s="147" t="str">
        <f t="shared" si="1"/>
        <v/>
      </c>
      <c r="P72" s="142" t="str">
        <f>IFERROR(IF(INDEX('Portfolio Register'!$DG$5:$DG$304,MATCH($B72,'Portfolio Register'!$DH$5:$DH$304,0))="","",INDEX('Portfolio Register'!$DG$5:$DG$304,MATCH($B72,'Portfolio Register'!$DH$5:$DH$304,0))),"")</f>
        <v/>
      </c>
      <c r="Q72" s="142" t="str">
        <f>IFERROR(IF(INDEX('Portfolio Register'!$DF$5:$DF$304,MATCH($B72,'Portfolio Register'!$DH$5:$DH$304,0))="","",INDEX('Portfolio Register'!$DF$5:$DF$304,MATCH($B72,'Portfolio Register'!$DH$5:$DH$304,0))),"")</f>
        <v/>
      </c>
    </row>
    <row r="73" spans="2:17" x14ac:dyDescent="0.35">
      <c r="B73" s="65">
        <v>46</v>
      </c>
      <c r="C73" s="148" t="str">
        <f>IFERROR(IF(INDEX('Portfolio Register'!$A$5:$A$304,MATCH($B73,'Portfolio Register'!$DH$5:$DH$304,0))="","",INDEX('Portfolio Register'!$A$5:$A$304,MATCH($B73,'Portfolio Register'!$DH$5:$DH$304,0))),"")</f>
        <v/>
      </c>
      <c r="D73" s="148" t="str">
        <f>IFERROR(IF(INDEX('Portfolio Register'!$B$5:$B$304,MATCH($B73,'Portfolio Register'!$DH$5:$DH$304,0))="","",INDEX('Portfolio Register'!$B$5:$B$304,MATCH($B73,'Portfolio Register'!$DH$5:$DH$304,0))),"")</f>
        <v/>
      </c>
      <c r="E73" s="148" t="str">
        <f>IFERROR(IF(INDEX('Portfolio Register'!$I$5:$I$304,MATCH($B73,'Portfolio Register'!$DH$5:$DH$304,0))="","",INDEX('Portfolio Register'!$I$5:$I$304,MATCH($B73,'Portfolio Register'!$DH$5:$DH$304,0))),"")</f>
        <v/>
      </c>
      <c r="F73" s="149" t="str">
        <f>IFERROR(IF(INDEX('Portfolio Register'!$J$5:$J$304,MATCH($B73,'Portfolio Register'!$DH$5:$DH$304,0))="","",INDEX('Portfolio Register'!$J$5:$J$304,MATCH($B73,'Portfolio Register'!$DH$5:$DH$304,0))),"")</f>
        <v/>
      </c>
      <c r="G73" s="148" t="str">
        <f>IFERROR(IF(INDEX('Portfolio Register'!$CX$5:$CX$304,MATCH($B73,'Portfolio Register'!$DH$5:$DH$304,0))="","",INDEX('Portfolio Register'!$CX$5:$CX$304,MATCH($B73,'Portfolio Register'!$DH$5:$DH$304,0))),"")</f>
        <v/>
      </c>
      <c r="H73" s="150" t="str">
        <f>IFERROR(IF(INDEX('Portfolio Register'!$CY$5:$CY$304,MATCH($B73,'Portfolio Register'!$DH$5:$DH$304,0))="","",INDEX('Portfolio Register'!$CY$5:$CY$304,MATCH($B73,'Portfolio Register'!$DH$5:$DH$304,0))),"")</f>
        <v/>
      </c>
      <c r="I73" s="148" t="str">
        <f>IFERROR(IF(INDEX('Portfolio Register'!$CZ$5:$CZ$304,MATCH($B73,'Portfolio Register'!$DH$5:$DH$304,0))="","",INDEX('Portfolio Register'!$CZ$5:$CZ$304,MATCH($B73,'Portfolio Register'!$DH$5:$DH$304,0))),"")</f>
        <v/>
      </c>
      <c r="J73" s="148" t="str">
        <f>IFERROR(IF(INDEX('Portfolio Register'!$DA$5:$DA$304,MATCH($B73,'Portfolio Register'!$DH$5:$DH$304,0))="","",INDEX('Portfolio Register'!$DA$5:$DA$304,MATCH($B73,'Portfolio Register'!$DH$5:$DH$304,0))),"")</f>
        <v/>
      </c>
      <c r="K73" s="148" t="str">
        <f>IFERROR(IF(INDEX('Portfolio Register'!$DB$5:$DB$304,MATCH($B73,'Portfolio Register'!$DH$5:$DH$304,0))="","",INDEX('Portfolio Register'!$DB$5:$DB$304,MATCH($B73,'Portfolio Register'!$DH$5:$DH$304,0))),"")</f>
        <v/>
      </c>
      <c r="L73" s="148" t="str">
        <f>IFERROR(IF(INDEX('Portfolio Register'!$DC$5:$DC$304,MATCH($B73,'Portfolio Register'!$DH$5:$DH$304,0))="","",INDEX('Portfolio Register'!$DC$5:$DC$304,MATCH($B73,'Portfolio Register'!$DH$5:$DH$304,0))),"")</f>
        <v/>
      </c>
      <c r="M73" s="151" t="str">
        <f>IFERROR(IF(INDEX('Portfolio Register'!$DD$5:$DD$304,MATCH($B73,'Portfolio Register'!$DH$5:$DH$304,0))="","",INDEX('Portfolio Register'!$DD$5:$DD$304,MATCH($B73,'Portfolio Register'!$DH$5:$DH$304,0))),"")</f>
        <v/>
      </c>
      <c r="N73" s="152" t="str">
        <f ca="1">IF($C73="","",IF($M73&lt;&gt;"",$M73-IFERROR(INDEX('Portfolio Register'!$C$5:$C$304,MATCH($B73,'Portfolio Register'!$DH$5:$DH$304,0)),$M73),TODAY()-IFERROR(INDEX('Portfolio Register'!$C$5:$C$304,MATCH($B73,'Portfolio Register'!$DH$5:$DH$304,0)),TODAY())))</f>
        <v/>
      </c>
      <c r="O73" s="153" t="str">
        <f t="shared" si="1"/>
        <v/>
      </c>
      <c r="P73" s="148" t="str">
        <f>IFERROR(IF(INDEX('Portfolio Register'!$DG$5:$DG$304,MATCH($B73,'Portfolio Register'!$DH$5:$DH$304,0))="","",INDEX('Portfolio Register'!$DG$5:$DG$304,MATCH($B73,'Portfolio Register'!$DH$5:$DH$304,0))),"")</f>
        <v/>
      </c>
      <c r="Q73" s="148" t="str">
        <f>IFERROR(IF(INDEX('Portfolio Register'!$DF$5:$DF$304,MATCH($B73,'Portfolio Register'!$DH$5:$DH$304,0))="","",INDEX('Portfolio Register'!$DF$5:$DF$304,MATCH($B73,'Portfolio Register'!$DH$5:$DH$304,0))),"")</f>
        <v/>
      </c>
    </row>
    <row r="74" spans="2:17" x14ac:dyDescent="0.35">
      <c r="B74" s="58">
        <v>47</v>
      </c>
      <c r="C74" s="142" t="str">
        <f>IFERROR(IF(INDEX('Portfolio Register'!$A$5:$A$304,MATCH($B74,'Portfolio Register'!$DH$5:$DH$304,0))="","",INDEX('Portfolio Register'!$A$5:$A$304,MATCH($B74,'Portfolio Register'!$DH$5:$DH$304,0))),"")</f>
        <v/>
      </c>
      <c r="D74" s="142" t="str">
        <f>IFERROR(IF(INDEX('Portfolio Register'!$B$5:$B$304,MATCH($B74,'Portfolio Register'!$DH$5:$DH$304,0))="","",INDEX('Portfolio Register'!$B$5:$B$304,MATCH($B74,'Portfolio Register'!$DH$5:$DH$304,0))),"")</f>
        <v/>
      </c>
      <c r="E74" s="142" t="str">
        <f>IFERROR(IF(INDEX('Portfolio Register'!$I$5:$I$304,MATCH($B74,'Portfolio Register'!$DH$5:$DH$304,0))="","",INDEX('Portfolio Register'!$I$5:$I$304,MATCH($B74,'Portfolio Register'!$DH$5:$DH$304,0))),"")</f>
        <v/>
      </c>
      <c r="F74" s="143" t="str">
        <f>IFERROR(IF(INDEX('Portfolio Register'!$J$5:$J$304,MATCH($B74,'Portfolio Register'!$DH$5:$DH$304,0))="","",INDEX('Portfolio Register'!$J$5:$J$304,MATCH($B74,'Portfolio Register'!$DH$5:$DH$304,0))),"")</f>
        <v/>
      </c>
      <c r="G74" s="142" t="str">
        <f>IFERROR(IF(INDEX('Portfolio Register'!$CX$5:$CX$304,MATCH($B74,'Portfolio Register'!$DH$5:$DH$304,0))="","",INDEX('Portfolio Register'!$CX$5:$CX$304,MATCH($B74,'Portfolio Register'!$DH$5:$DH$304,0))),"")</f>
        <v/>
      </c>
      <c r="H74" s="144" t="str">
        <f>IFERROR(IF(INDEX('Portfolio Register'!$CY$5:$CY$304,MATCH($B74,'Portfolio Register'!$DH$5:$DH$304,0))="","",INDEX('Portfolio Register'!$CY$5:$CY$304,MATCH($B74,'Portfolio Register'!$DH$5:$DH$304,0))),"")</f>
        <v/>
      </c>
      <c r="I74" s="142" t="str">
        <f>IFERROR(IF(INDEX('Portfolio Register'!$CZ$5:$CZ$304,MATCH($B74,'Portfolio Register'!$DH$5:$DH$304,0))="","",INDEX('Portfolio Register'!$CZ$5:$CZ$304,MATCH($B74,'Portfolio Register'!$DH$5:$DH$304,0))),"")</f>
        <v/>
      </c>
      <c r="J74" s="142" t="str">
        <f>IFERROR(IF(INDEX('Portfolio Register'!$DA$5:$DA$304,MATCH($B74,'Portfolio Register'!$DH$5:$DH$304,0))="","",INDEX('Portfolio Register'!$DA$5:$DA$304,MATCH($B74,'Portfolio Register'!$DH$5:$DH$304,0))),"")</f>
        <v/>
      </c>
      <c r="K74" s="142" t="str">
        <f>IFERROR(IF(INDEX('Portfolio Register'!$DB$5:$DB$304,MATCH($B74,'Portfolio Register'!$DH$5:$DH$304,0))="","",INDEX('Portfolio Register'!$DB$5:$DB$304,MATCH($B74,'Portfolio Register'!$DH$5:$DH$304,0))),"")</f>
        <v/>
      </c>
      <c r="L74" s="142" t="str">
        <f>IFERROR(IF(INDEX('Portfolio Register'!$DC$5:$DC$304,MATCH($B74,'Portfolio Register'!$DH$5:$DH$304,0))="","",INDEX('Portfolio Register'!$DC$5:$DC$304,MATCH($B74,'Portfolio Register'!$DH$5:$DH$304,0))),"")</f>
        <v/>
      </c>
      <c r="M74" s="145" t="str">
        <f>IFERROR(IF(INDEX('Portfolio Register'!$DD$5:$DD$304,MATCH($B74,'Portfolio Register'!$DH$5:$DH$304,0))="","",INDEX('Portfolio Register'!$DD$5:$DD$304,MATCH($B74,'Portfolio Register'!$DH$5:$DH$304,0))),"")</f>
        <v/>
      </c>
      <c r="N74" s="146" t="str">
        <f ca="1">IF($C74="","",IF($M74&lt;&gt;"",$M74-IFERROR(INDEX('Portfolio Register'!$C$5:$C$304,MATCH($B74,'Portfolio Register'!$DH$5:$DH$304,0)),$M74),TODAY()-IFERROR(INDEX('Portfolio Register'!$C$5:$C$304,MATCH($B74,'Portfolio Register'!$DH$5:$DH$304,0)),TODAY())))</f>
        <v/>
      </c>
      <c r="O74" s="147" t="str">
        <f t="shared" si="1"/>
        <v/>
      </c>
      <c r="P74" s="142" t="str">
        <f>IFERROR(IF(INDEX('Portfolio Register'!$DG$5:$DG$304,MATCH($B74,'Portfolio Register'!$DH$5:$DH$304,0))="","",INDEX('Portfolio Register'!$DG$5:$DG$304,MATCH($B74,'Portfolio Register'!$DH$5:$DH$304,0))),"")</f>
        <v/>
      </c>
      <c r="Q74" s="142" t="str">
        <f>IFERROR(IF(INDEX('Portfolio Register'!$DF$5:$DF$304,MATCH($B74,'Portfolio Register'!$DH$5:$DH$304,0))="","",INDEX('Portfolio Register'!$DF$5:$DF$304,MATCH($B74,'Portfolio Register'!$DH$5:$DH$304,0))),"")</f>
        <v/>
      </c>
    </row>
    <row r="75" spans="2:17" x14ac:dyDescent="0.35">
      <c r="B75" s="65">
        <v>48</v>
      </c>
      <c r="C75" s="148" t="str">
        <f>IFERROR(IF(INDEX('Portfolio Register'!$A$5:$A$304,MATCH($B75,'Portfolio Register'!$DH$5:$DH$304,0))="","",INDEX('Portfolio Register'!$A$5:$A$304,MATCH($B75,'Portfolio Register'!$DH$5:$DH$304,0))),"")</f>
        <v/>
      </c>
      <c r="D75" s="148" t="str">
        <f>IFERROR(IF(INDEX('Portfolio Register'!$B$5:$B$304,MATCH($B75,'Portfolio Register'!$DH$5:$DH$304,0))="","",INDEX('Portfolio Register'!$B$5:$B$304,MATCH($B75,'Portfolio Register'!$DH$5:$DH$304,0))),"")</f>
        <v/>
      </c>
      <c r="E75" s="148" t="str">
        <f>IFERROR(IF(INDEX('Portfolio Register'!$I$5:$I$304,MATCH($B75,'Portfolio Register'!$DH$5:$DH$304,0))="","",INDEX('Portfolio Register'!$I$5:$I$304,MATCH($B75,'Portfolio Register'!$DH$5:$DH$304,0))),"")</f>
        <v/>
      </c>
      <c r="F75" s="149" t="str">
        <f>IFERROR(IF(INDEX('Portfolio Register'!$J$5:$J$304,MATCH($B75,'Portfolio Register'!$DH$5:$DH$304,0))="","",INDEX('Portfolio Register'!$J$5:$J$304,MATCH($B75,'Portfolio Register'!$DH$5:$DH$304,0))),"")</f>
        <v/>
      </c>
      <c r="G75" s="148" t="str">
        <f>IFERROR(IF(INDEX('Portfolio Register'!$CX$5:$CX$304,MATCH($B75,'Portfolio Register'!$DH$5:$DH$304,0))="","",INDEX('Portfolio Register'!$CX$5:$CX$304,MATCH($B75,'Portfolio Register'!$DH$5:$DH$304,0))),"")</f>
        <v/>
      </c>
      <c r="H75" s="150" t="str">
        <f>IFERROR(IF(INDEX('Portfolio Register'!$CY$5:$CY$304,MATCH($B75,'Portfolio Register'!$DH$5:$DH$304,0))="","",INDEX('Portfolio Register'!$CY$5:$CY$304,MATCH($B75,'Portfolio Register'!$DH$5:$DH$304,0))),"")</f>
        <v/>
      </c>
      <c r="I75" s="148" t="str">
        <f>IFERROR(IF(INDEX('Portfolio Register'!$CZ$5:$CZ$304,MATCH($B75,'Portfolio Register'!$DH$5:$DH$304,0))="","",INDEX('Portfolio Register'!$CZ$5:$CZ$304,MATCH($B75,'Portfolio Register'!$DH$5:$DH$304,0))),"")</f>
        <v/>
      </c>
      <c r="J75" s="148" t="str">
        <f>IFERROR(IF(INDEX('Portfolio Register'!$DA$5:$DA$304,MATCH($B75,'Portfolio Register'!$DH$5:$DH$304,0))="","",INDEX('Portfolio Register'!$DA$5:$DA$304,MATCH($B75,'Portfolio Register'!$DH$5:$DH$304,0))),"")</f>
        <v/>
      </c>
      <c r="K75" s="148" t="str">
        <f>IFERROR(IF(INDEX('Portfolio Register'!$DB$5:$DB$304,MATCH($B75,'Portfolio Register'!$DH$5:$DH$304,0))="","",INDEX('Portfolio Register'!$DB$5:$DB$304,MATCH($B75,'Portfolio Register'!$DH$5:$DH$304,0))),"")</f>
        <v/>
      </c>
      <c r="L75" s="148" t="str">
        <f>IFERROR(IF(INDEX('Portfolio Register'!$DC$5:$DC$304,MATCH($B75,'Portfolio Register'!$DH$5:$DH$304,0))="","",INDEX('Portfolio Register'!$DC$5:$DC$304,MATCH($B75,'Portfolio Register'!$DH$5:$DH$304,0))),"")</f>
        <v/>
      </c>
      <c r="M75" s="151" t="str">
        <f>IFERROR(IF(INDEX('Portfolio Register'!$DD$5:$DD$304,MATCH($B75,'Portfolio Register'!$DH$5:$DH$304,0))="","",INDEX('Portfolio Register'!$DD$5:$DD$304,MATCH($B75,'Portfolio Register'!$DH$5:$DH$304,0))),"")</f>
        <v/>
      </c>
      <c r="N75" s="152" t="str">
        <f ca="1">IF($C75="","",IF($M75&lt;&gt;"",$M75-IFERROR(INDEX('Portfolio Register'!$C$5:$C$304,MATCH($B75,'Portfolio Register'!$DH$5:$DH$304,0)),$M75),TODAY()-IFERROR(INDEX('Portfolio Register'!$C$5:$C$304,MATCH($B75,'Portfolio Register'!$DH$5:$DH$304,0)),TODAY())))</f>
        <v/>
      </c>
      <c r="O75" s="153" t="str">
        <f t="shared" si="1"/>
        <v/>
      </c>
      <c r="P75" s="148" t="str">
        <f>IFERROR(IF(INDEX('Portfolio Register'!$DG$5:$DG$304,MATCH($B75,'Portfolio Register'!$DH$5:$DH$304,0))="","",INDEX('Portfolio Register'!$DG$5:$DG$304,MATCH($B75,'Portfolio Register'!$DH$5:$DH$304,0))),"")</f>
        <v/>
      </c>
      <c r="Q75" s="148" t="str">
        <f>IFERROR(IF(INDEX('Portfolio Register'!$DF$5:$DF$304,MATCH($B75,'Portfolio Register'!$DH$5:$DH$304,0))="","",INDEX('Portfolio Register'!$DF$5:$DF$304,MATCH($B75,'Portfolio Register'!$DH$5:$DH$304,0))),"")</f>
        <v/>
      </c>
    </row>
    <row r="76" spans="2:17" x14ac:dyDescent="0.35">
      <c r="B76" s="58">
        <v>49</v>
      </c>
      <c r="C76" s="142" t="str">
        <f>IFERROR(IF(INDEX('Portfolio Register'!$A$5:$A$304,MATCH($B76,'Portfolio Register'!$DH$5:$DH$304,0))="","",INDEX('Portfolio Register'!$A$5:$A$304,MATCH($B76,'Portfolio Register'!$DH$5:$DH$304,0))),"")</f>
        <v/>
      </c>
      <c r="D76" s="142" t="str">
        <f>IFERROR(IF(INDEX('Portfolio Register'!$B$5:$B$304,MATCH($B76,'Portfolio Register'!$DH$5:$DH$304,0))="","",INDEX('Portfolio Register'!$B$5:$B$304,MATCH($B76,'Portfolio Register'!$DH$5:$DH$304,0))),"")</f>
        <v/>
      </c>
      <c r="E76" s="142" t="str">
        <f>IFERROR(IF(INDEX('Portfolio Register'!$I$5:$I$304,MATCH($B76,'Portfolio Register'!$DH$5:$DH$304,0))="","",INDEX('Portfolio Register'!$I$5:$I$304,MATCH($B76,'Portfolio Register'!$DH$5:$DH$304,0))),"")</f>
        <v/>
      </c>
      <c r="F76" s="143" t="str">
        <f>IFERROR(IF(INDEX('Portfolio Register'!$J$5:$J$304,MATCH($B76,'Portfolio Register'!$DH$5:$DH$304,0))="","",INDEX('Portfolio Register'!$J$5:$J$304,MATCH($B76,'Portfolio Register'!$DH$5:$DH$304,0))),"")</f>
        <v/>
      </c>
      <c r="G76" s="142" t="str">
        <f>IFERROR(IF(INDEX('Portfolio Register'!$CX$5:$CX$304,MATCH($B76,'Portfolio Register'!$DH$5:$DH$304,0))="","",INDEX('Portfolio Register'!$CX$5:$CX$304,MATCH($B76,'Portfolio Register'!$DH$5:$DH$304,0))),"")</f>
        <v/>
      </c>
      <c r="H76" s="144" t="str">
        <f>IFERROR(IF(INDEX('Portfolio Register'!$CY$5:$CY$304,MATCH($B76,'Portfolio Register'!$DH$5:$DH$304,0))="","",INDEX('Portfolio Register'!$CY$5:$CY$304,MATCH($B76,'Portfolio Register'!$DH$5:$DH$304,0))),"")</f>
        <v/>
      </c>
      <c r="I76" s="142" t="str">
        <f>IFERROR(IF(INDEX('Portfolio Register'!$CZ$5:$CZ$304,MATCH($B76,'Portfolio Register'!$DH$5:$DH$304,0))="","",INDEX('Portfolio Register'!$CZ$5:$CZ$304,MATCH($B76,'Portfolio Register'!$DH$5:$DH$304,0))),"")</f>
        <v/>
      </c>
      <c r="J76" s="142" t="str">
        <f>IFERROR(IF(INDEX('Portfolio Register'!$DA$5:$DA$304,MATCH($B76,'Portfolio Register'!$DH$5:$DH$304,0))="","",INDEX('Portfolio Register'!$DA$5:$DA$304,MATCH($B76,'Portfolio Register'!$DH$5:$DH$304,0))),"")</f>
        <v/>
      </c>
      <c r="K76" s="142" t="str">
        <f>IFERROR(IF(INDEX('Portfolio Register'!$DB$5:$DB$304,MATCH($B76,'Portfolio Register'!$DH$5:$DH$304,0))="","",INDEX('Portfolio Register'!$DB$5:$DB$304,MATCH($B76,'Portfolio Register'!$DH$5:$DH$304,0))),"")</f>
        <v/>
      </c>
      <c r="L76" s="142" t="str">
        <f>IFERROR(IF(INDEX('Portfolio Register'!$DC$5:$DC$304,MATCH($B76,'Portfolio Register'!$DH$5:$DH$304,0))="","",INDEX('Portfolio Register'!$DC$5:$DC$304,MATCH($B76,'Portfolio Register'!$DH$5:$DH$304,0))),"")</f>
        <v/>
      </c>
      <c r="M76" s="145" t="str">
        <f>IFERROR(IF(INDEX('Portfolio Register'!$DD$5:$DD$304,MATCH($B76,'Portfolio Register'!$DH$5:$DH$304,0))="","",INDEX('Portfolio Register'!$DD$5:$DD$304,MATCH($B76,'Portfolio Register'!$DH$5:$DH$304,0))),"")</f>
        <v/>
      </c>
      <c r="N76" s="146" t="str">
        <f ca="1">IF($C76="","",IF($M76&lt;&gt;"",$M76-IFERROR(INDEX('Portfolio Register'!$C$5:$C$304,MATCH($B76,'Portfolio Register'!$DH$5:$DH$304,0)),$M76),TODAY()-IFERROR(INDEX('Portfolio Register'!$C$5:$C$304,MATCH($B76,'Portfolio Register'!$DH$5:$DH$304,0)),TODAY())))</f>
        <v/>
      </c>
      <c r="O76" s="147" t="str">
        <f t="shared" si="1"/>
        <v/>
      </c>
      <c r="P76" s="142" t="str">
        <f>IFERROR(IF(INDEX('Portfolio Register'!$DG$5:$DG$304,MATCH($B76,'Portfolio Register'!$DH$5:$DH$304,0))="","",INDEX('Portfolio Register'!$DG$5:$DG$304,MATCH($B76,'Portfolio Register'!$DH$5:$DH$304,0))),"")</f>
        <v/>
      </c>
      <c r="Q76" s="142" t="str">
        <f>IFERROR(IF(INDEX('Portfolio Register'!$DF$5:$DF$304,MATCH($B76,'Portfolio Register'!$DH$5:$DH$304,0))="","",INDEX('Portfolio Register'!$DF$5:$DF$304,MATCH($B76,'Portfolio Register'!$DH$5:$DH$304,0))),"")</f>
        <v/>
      </c>
    </row>
    <row r="77" spans="2:17" x14ac:dyDescent="0.35">
      <c r="B77" s="65">
        <v>50</v>
      </c>
      <c r="C77" s="148" t="str">
        <f>IFERROR(IF(INDEX('Portfolio Register'!$A$5:$A$304,MATCH($B77,'Portfolio Register'!$DH$5:$DH$304,0))="","",INDEX('Portfolio Register'!$A$5:$A$304,MATCH($B77,'Portfolio Register'!$DH$5:$DH$304,0))),"")</f>
        <v/>
      </c>
      <c r="D77" s="148" t="str">
        <f>IFERROR(IF(INDEX('Portfolio Register'!$B$5:$B$304,MATCH($B77,'Portfolio Register'!$DH$5:$DH$304,0))="","",INDEX('Portfolio Register'!$B$5:$B$304,MATCH($B77,'Portfolio Register'!$DH$5:$DH$304,0))),"")</f>
        <v/>
      </c>
      <c r="E77" s="148" t="str">
        <f>IFERROR(IF(INDEX('Portfolio Register'!$I$5:$I$304,MATCH($B77,'Portfolio Register'!$DH$5:$DH$304,0))="","",INDEX('Portfolio Register'!$I$5:$I$304,MATCH($B77,'Portfolio Register'!$DH$5:$DH$304,0))),"")</f>
        <v/>
      </c>
      <c r="F77" s="149" t="str">
        <f>IFERROR(IF(INDEX('Portfolio Register'!$J$5:$J$304,MATCH($B77,'Portfolio Register'!$DH$5:$DH$304,0))="","",INDEX('Portfolio Register'!$J$5:$J$304,MATCH($B77,'Portfolio Register'!$DH$5:$DH$304,0))),"")</f>
        <v/>
      </c>
      <c r="G77" s="148" t="str">
        <f>IFERROR(IF(INDEX('Portfolio Register'!$CX$5:$CX$304,MATCH($B77,'Portfolio Register'!$DH$5:$DH$304,0))="","",INDEX('Portfolio Register'!$CX$5:$CX$304,MATCH($B77,'Portfolio Register'!$DH$5:$DH$304,0))),"")</f>
        <v/>
      </c>
      <c r="H77" s="150" t="str">
        <f>IFERROR(IF(INDEX('Portfolio Register'!$CY$5:$CY$304,MATCH($B77,'Portfolio Register'!$DH$5:$DH$304,0))="","",INDEX('Portfolio Register'!$CY$5:$CY$304,MATCH($B77,'Portfolio Register'!$DH$5:$DH$304,0))),"")</f>
        <v/>
      </c>
      <c r="I77" s="148" t="str">
        <f>IFERROR(IF(INDEX('Portfolio Register'!$CZ$5:$CZ$304,MATCH($B77,'Portfolio Register'!$DH$5:$DH$304,0))="","",INDEX('Portfolio Register'!$CZ$5:$CZ$304,MATCH($B77,'Portfolio Register'!$DH$5:$DH$304,0))),"")</f>
        <v/>
      </c>
      <c r="J77" s="148" t="str">
        <f>IFERROR(IF(INDEX('Portfolio Register'!$DA$5:$DA$304,MATCH($B77,'Portfolio Register'!$DH$5:$DH$304,0))="","",INDEX('Portfolio Register'!$DA$5:$DA$304,MATCH($B77,'Portfolio Register'!$DH$5:$DH$304,0))),"")</f>
        <v/>
      </c>
      <c r="K77" s="148" t="str">
        <f>IFERROR(IF(INDEX('Portfolio Register'!$DB$5:$DB$304,MATCH($B77,'Portfolio Register'!$DH$5:$DH$304,0))="","",INDEX('Portfolio Register'!$DB$5:$DB$304,MATCH($B77,'Portfolio Register'!$DH$5:$DH$304,0))),"")</f>
        <v/>
      </c>
      <c r="L77" s="148" t="str">
        <f>IFERROR(IF(INDEX('Portfolio Register'!$DC$5:$DC$304,MATCH($B77,'Portfolio Register'!$DH$5:$DH$304,0))="","",INDEX('Portfolio Register'!$DC$5:$DC$304,MATCH($B77,'Portfolio Register'!$DH$5:$DH$304,0))),"")</f>
        <v/>
      </c>
      <c r="M77" s="151" t="str">
        <f>IFERROR(IF(INDEX('Portfolio Register'!$DD$5:$DD$304,MATCH($B77,'Portfolio Register'!$DH$5:$DH$304,0))="","",INDEX('Portfolio Register'!$DD$5:$DD$304,MATCH($B77,'Portfolio Register'!$DH$5:$DH$304,0))),"")</f>
        <v/>
      </c>
      <c r="N77" s="152" t="str">
        <f ca="1">IF($C77="","",IF($M77&lt;&gt;"",$M77-IFERROR(INDEX('Portfolio Register'!$C$5:$C$304,MATCH($B77,'Portfolio Register'!$DH$5:$DH$304,0)),$M77),TODAY()-IFERROR(INDEX('Portfolio Register'!$C$5:$C$304,MATCH($B77,'Portfolio Register'!$DH$5:$DH$304,0)),TODAY())))</f>
        <v/>
      </c>
      <c r="O77" s="153" t="str">
        <f t="shared" si="1"/>
        <v/>
      </c>
      <c r="P77" s="148" t="str">
        <f>IFERROR(IF(INDEX('Portfolio Register'!$DG$5:$DG$304,MATCH($B77,'Portfolio Register'!$DH$5:$DH$304,0))="","",INDEX('Portfolio Register'!$DG$5:$DG$304,MATCH($B77,'Portfolio Register'!$DH$5:$DH$304,0))),"")</f>
        <v/>
      </c>
      <c r="Q77" s="148" t="str">
        <f>IFERROR(IF(INDEX('Portfolio Register'!$DF$5:$DF$304,MATCH($B77,'Portfolio Register'!$DH$5:$DH$304,0))="","",INDEX('Portfolio Register'!$DF$5:$DF$304,MATCH($B77,'Portfolio Register'!$DH$5:$DH$304,0))),"")</f>
        <v/>
      </c>
    </row>
    <row r="78" spans="2:17" x14ac:dyDescent="0.35">
      <c r="B78" s="58">
        <v>51</v>
      </c>
      <c r="C78" s="142" t="str">
        <f>IFERROR(IF(INDEX('Portfolio Register'!$A$5:$A$304,MATCH($B78,'Portfolio Register'!$DH$5:$DH$304,0))="","",INDEX('Portfolio Register'!$A$5:$A$304,MATCH($B78,'Portfolio Register'!$DH$5:$DH$304,0))),"")</f>
        <v/>
      </c>
      <c r="D78" s="142" t="str">
        <f>IFERROR(IF(INDEX('Portfolio Register'!$B$5:$B$304,MATCH($B78,'Portfolio Register'!$DH$5:$DH$304,0))="","",INDEX('Portfolio Register'!$B$5:$B$304,MATCH($B78,'Portfolio Register'!$DH$5:$DH$304,0))),"")</f>
        <v/>
      </c>
      <c r="E78" s="142" t="str">
        <f>IFERROR(IF(INDEX('Portfolio Register'!$I$5:$I$304,MATCH($B78,'Portfolio Register'!$DH$5:$DH$304,0))="","",INDEX('Portfolio Register'!$I$5:$I$304,MATCH($B78,'Portfolio Register'!$DH$5:$DH$304,0))),"")</f>
        <v/>
      </c>
      <c r="F78" s="143" t="str">
        <f>IFERROR(IF(INDEX('Portfolio Register'!$J$5:$J$304,MATCH($B78,'Portfolio Register'!$DH$5:$DH$304,0))="","",INDEX('Portfolio Register'!$J$5:$J$304,MATCH($B78,'Portfolio Register'!$DH$5:$DH$304,0))),"")</f>
        <v/>
      </c>
      <c r="G78" s="142" t="str">
        <f>IFERROR(IF(INDEX('Portfolio Register'!$CX$5:$CX$304,MATCH($B78,'Portfolio Register'!$DH$5:$DH$304,0))="","",INDEX('Portfolio Register'!$CX$5:$CX$304,MATCH($B78,'Portfolio Register'!$DH$5:$DH$304,0))),"")</f>
        <v/>
      </c>
      <c r="H78" s="144" t="str">
        <f>IFERROR(IF(INDEX('Portfolio Register'!$CY$5:$CY$304,MATCH($B78,'Portfolio Register'!$DH$5:$DH$304,0))="","",INDEX('Portfolio Register'!$CY$5:$CY$304,MATCH($B78,'Portfolio Register'!$DH$5:$DH$304,0))),"")</f>
        <v/>
      </c>
      <c r="I78" s="142" t="str">
        <f>IFERROR(IF(INDEX('Portfolio Register'!$CZ$5:$CZ$304,MATCH($B78,'Portfolio Register'!$DH$5:$DH$304,0))="","",INDEX('Portfolio Register'!$CZ$5:$CZ$304,MATCH($B78,'Portfolio Register'!$DH$5:$DH$304,0))),"")</f>
        <v/>
      </c>
      <c r="J78" s="142" t="str">
        <f>IFERROR(IF(INDEX('Portfolio Register'!$DA$5:$DA$304,MATCH($B78,'Portfolio Register'!$DH$5:$DH$304,0))="","",INDEX('Portfolio Register'!$DA$5:$DA$304,MATCH($B78,'Portfolio Register'!$DH$5:$DH$304,0))),"")</f>
        <v/>
      </c>
      <c r="K78" s="142" t="str">
        <f>IFERROR(IF(INDEX('Portfolio Register'!$DB$5:$DB$304,MATCH($B78,'Portfolio Register'!$DH$5:$DH$304,0))="","",INDEX('Portfolio Register'!$DB$5:$DB$304,MATCH($B78,'Portfolio Register'!$DH$5:$DH$304,0))),"")</f>
        <v/>
      </c>
      <c r="L78" s="142" t="str">
        <f>IFERROR(IF(INDEX('Portfolio Register'!$DC$5:$DC$304,MATCH($B78,'Portfolio Register'!$DH$5:$DH$304,0))="","",INDEX('Portfolio Register'!$DC$5:$DC$304,MATCH($B78,'Portfolio Register'!$DH$5:$DH$304,0))),"")</f>
        <v/>
      </c>
      <c r="M78" s="145" t="str">
        <f>IFERROR(IF(INDEX('Portfolio Register'!$DD$5:$DD$304,MATCH($B78,'Portfolio Register'!$DH$5:$DH$304,0))="","",INDEX('Portfolio Register'!$DD$5:$DD$304,MATCH($B78,'Portfolio Register'!$DH$5:$DH$304,0))),"")</f>
        <v/>
      </c>
      <c r="N78" s="146" t="str">
        <f ca="1">IF($C78="","",IF($M78&lt;&gt;"",$M78-IFERROR(INDEX('Portfolio Register'!$C$5:$C$304,MATCH($B78,'Portfolio Register'!$DH$5:$DH$304,0)),$M78),TODAY()-IFERROR(INDEX('Portfolio Register'!$C$5:$C$304,MATCH($B78,'Portfolio Register'!$DH$5:$DH$304,0)),TODAY())))</f>
        <v/>
      </c>
      <c r="O78" s="147" t="str">
        <f t="shared" si="1"/>
        <v/>
      </c>
      <c r="P78" s="142" t="str">
        <f>IFERROR(IF(INDEX('Portfolio Register'!$DG$5:$DG$304,MATCH($B78,'Portfolio Register'!$DH$5:$DH$304,0))="","",INDEX('Portfolio Register'!$DG$5:$DG$304,MATCH($B78,'Portfolio Register'!$DH$5:$DH$304,0))),"")</f>
        <v/>
      </c>
      <c r="Q78" s="142" t="str">
        <f>IFERROR(IF(INDEX('Portfolio Register'!$DF$5:$DF$304,MATCH($B78,'Portfolio Register'!$DH$5:$DH$304,0))="","",INDEX('Portfolio Register'!$DF$5:$DF$304,MATCH($B78,'Portfolio Register'!$DH$5:$DH$304,0))),"")</f>
        <v/>
      </c>
    </row>
    <row r="79" spans="2:17" x14ac:dyDescent="0.35">
      <c r="B79" s="65">
        <v>52</v>
      </c>
      <c r="C79" s="148" t="str">
        <f>IFERROR(IF(INDEX('Portfolio Register'!$A$5:$A$304,MATCH($B79,'Portfolio Register'!$DH$5:$DH$304,0))="","",INDEX('Portfolio Register'!$A$5:$A$304,MATCH($B79,'Portfolio Register'!$DH$5:$DH$304,0))),"")</f>
        <v/>
      </c>
      <c r="D79" s="148" t="str">
        <f>IFERROR(IF(INDEX('Portfolio Register'!$B$5:$B$304,MATCH($B79,'Portfolio Register'!$DH$5:$DH$304,0))="","",INDEX('Portfolio Register'!$B$5:$B$304,MATCH($B79,'Portfolio Register'!$DH$5:$DH$304,0))),"")</f>
        <v/>
      </c>
      <c r="E79" s="148" t="str">
        <f>IFERROR(IF(INDEX('Portfolio Register'!$I$5:$I$304,MATCH($B79,'Portfolio Register'!$DH$5:$DH$304,0))="","",INDEX('Portfolio Register'!$I$5:$I$304,MATCH($B79,'Portfolio Register'!$DH$5:$DH$304,0))),"")</f>
        <v/>
      </c>
      <c r="F79" s="149" t="str">
        <f>IFERROR(IF(INDEX('Portfolio Register'!$J$5:$J$304,MATCH($B79,'Portfolio Register'!$DH$5:$DH$304,0))="","",INDEX('Portfolio Register'!$J$5:$J$304,MATCH($B79,'Portfolio Register'!$DH$5:$DH$304,0))),"")</f>
        <v/>
      </c>
      <c r="G79" s="148" t="str">
        <f>IFERROR(IF(INDEX('Portfolio Register'!$CX$5:$CX$304,MATCH($B79,'Portfolio Register'!$DH$5:$DH$304,0))="","",INDEX('Portfolio Register'!$CX$5:$CX$304,MATCH($B79,'Portfolio Register'!$DH$5:$DH$304,0))),"")</f>
        <v/>
      </c>
      <c r="H79" s="150" t="str">
        <f>IFERROR(IF(INDEX('Portfolio Register'!$CY$5:$CY$304,MATCH($B79,'Portfolio Register'!$DH$5:$DH$304,0))="","",INDEX('Portfolio Register'!$CY$5:$CY$304,MATCH($B79,'Portfolio Register'!$DH$5:$DH$304,0))),"")</f>
        <v/>
      </c>
      <c r="I79" s="148" t="str">
        <f>IFERROR(IF(INDEX('Portfolio Register'!$CZ$5:$CZ$304,MATCH($B79,'Portfolio Register'!$DH$5:$DH$304,0))="","",INDEX('Portfolio Register'!$CZ$5:$CZ$304,MATCH($B79,'Portfolio Register'!$DH$5:$DH$304,0))),"")</f>
        <v/>
      </c>
      <c r="J79" s="148" t="str">
        <f>IFERROR(IF(INDEX('Portfolio Register'!$DA$5:$DA$304,MATCH($B79,'Portfolio Register'!$DH$5:$DH$304,0))="","",INDEX('Portfolio Register'!$DA$5:$DA$304,MATCH($B79,'Portfolio Register'!$DH$5:$DH$304,0))),"")</f>
        <v/>
      </c>
      <c r="K79" s="148" t="str">
        <f>IFERROR(IF(INDEX('Portfolio Register'!$DB$5:$DB$304,MATCH($B79,'Portfolio Register'!$DH$5:$DH$304,0))="","",INDEX('Portfolio Register'!$DB$5:$DB$304,MATCH($B79,'Portfolio Register'!$DH$5:$DH$304,0))),"")</f>
        <v/>
      </c>
      <c r="L79" s="148" t="str">
        <f>IFERROR(IF(INDEX('Portfolio Register'!$DC$5:$DC$304,MATCH($B79,'Portfolio Register'!$DH$5:$DH$304,0))="","",INDEX('Portfolio Register'!$DC$5:$DC$304,MATCH($B79,'Portfolio Register'!$DH$5:$DH$304,0))),"")</f>
        <v/>
      </c>
      <c r="M79" s="151" t="str">
        <f>IFERROR(IF(INDEX('Portfolio Register'!$DD$5:$DD$304,MATCH($B79,'Portfolio Register'!$DH$5:$DH$304,0))="","",INDEX('Portfolio Register'!$DD$5:$DD$304,MATCH($B79,'Portfolio Register'!$DH$5:$DH$304,0))),"")</f>
        <v/>
      </c>
      <c r="N79" s="152" t="str">
        <f ca="1">IF($C79="","",IF($M79&lt;&gt;"",$M79-IFERROR(INDEX('Portfolio Register'!$C$5:$C$304,MATCH($B79,'Portfolio Register'!$DH$5:$DH$304,0)),$M79),TODAY()-IFERROR(INDEX('Portfolio Register'!$C$5:$C$304,MATCH($B79,'Portfolio Register'!$DH$5:$DH$304,0)),TODAY())))</f>
        <v/>
      </c>
      <c r="O79" s="153" t="str">
        <f t="shared" si="1"/>
        <v/>
      </c>
      <c r="P79" s="148" t="str">
        <f>IFERROR(IF(INDEX('Portfolio Register'!$DG$5:$DG$304,MATCH($B79,'Portfolio Register'!$DH$5:$DH$304,0))="","",INDEX('Portfolio Register'!$DG$5:$DG$304,MATCH($B79,'Portfolio Register'!$DH$5:$DH$304,0))),"")</f>
        <v/>
      </c>
      <c r="Q79" s="148" t="str">
        <f>IFERROR(IF(INDEX('Portfolio Register'!$DF$5:$DF$304,MATCH($B79,'Portfolio Register'!$DH$5:$DH$304,0))="","",INDEX('Portfolio Register'!$DF$5:$DF$304,MATCH($B79,'Portfolio Register'!$DH$5:$DH$304,0))),"")</f>
        <v/>
      </c>
    </row>
    <row r="80" spans="2:17" x14ac:dyDescent="0.35">
      <c r="B80" s="58">
        <v>53</v>
      </c>
      <c r="C80" s="142" t="str">
        <f>IFERROR(IF(INDEX('Portfolio Register'!$A$5:$A$304,MATCH($B80,'Portfolio Register'!$DH$5:$DH$304,0))="","",INDEX('Portfolio Register'!$A$5:$A$304,MATCH($B80,'Portfolio Register'!$DH$5:$DH$304,0))),"")</f>
        <v/>
      </c>
      <c r="D80" s="142" t="str">
        <f>IFERROR(IF(INDEX('Portfolio Register'!$B$5:$B$304,MATCH($B80,'Portfolio Register'!$DH$5:$DH$304,0))="","",INDEX('Portfolio Register'!$B$5:$B$304,MATCH($B80,'Portfolio Register'!$DH$5:$DH$304,0))),"")</f>
        <v/>
      </c>
      <c r="E80" s="142" t="str">
        <f>IFERROR(IF(INDEX('Portfolio Register'!$I$5:$I$304,MATCH($B80,'Portfolio Register'!$DH$5:$DH$304,0))="","",INDEX('Portfolio Register'!$I$5:$I$304,MATCH($B80,'Portfolio Register'!$DH$5:$DH$304,0))),"")</f>
        <v/>
      </c>
      <c r="F80" s="143" t="str">
        <f>IFERROR(IF(INDEX('Portfolio Register'!$J$5:$J$304,MATCH($B80,'Portfolio Register'!$DH$5:$DH$304,0))="","",INDEX('Portfolio Register'!$J$5:$J$304,MATCH($B80,'Portfolio Register'!$DH$5:$DH$304,0))),"")</f>
        <v/>
      </c>
      <c r="G80" s="142" t="str">
        <f>IFERROR(IF(INDEX('Portfolio Register'!$CX$5:$CX$304,MATCH($B80,'Portfolio Register'!$DH$5:$DH$304,0))="","",INDEX('Portfolio Register'!$CX$5:$CX$304,MATCH($B80,'Portfolio Register'!$DH$5:$DH$304,0))),"")</f>
        <v/>
      </c>
      <c r="H80" s="144" t="str">
        <f>IFERROR(IF(INDEX('Portfolio Register'!$CY$5:$CY$304,MATCH($B80,'Portfolio Register'!$DH$5:$DH$304,0))="","",INDEX('Portfolio Register'!$CY$5:$CY$304,MATCH($B80,'Portfolio Register'!$DH$5:$DH$304,0))),"")</f>
        <v/>
      </c>
      <c r="I80" s="142" t="str">
        <f>IFERROR(IF(INDEX('Portfolio Register'!$CZ$5:$CZ$304,MATCH($B80,'Portfolio Register'!$DH$5:$DH$304,0))="","",INDEX('Portfolio Register'!$CZ$5:$CZ$304,MATCH($B80,'Portfolio Register'!$DH$5:$DH$304,0))),"")</f>
        <v/>
      </c>
      <c r="J80" s="142" t="str">
        <f>IFERROR(IF(INDEX('Portfolio Register'!$DA$5:$DA$304,MATCH($B80,'Portfolio Register'!$DH$5:$DH$304,0))="","",INDEX('Portfolio Register'!$DA$5:$DA$304,MATCH($B80,'Portfolio Register'!$DH$5:$DH$304,0))),"")</f>
        <v/>
      </c>
      <c r="K80" s="142" t="str">
        <f>IFERROR(IF(INDEX('Portfolio Register'!$DB$5:$DB$304,MATCH($B80,'Portfolio Register'!$DH$5:$DH$304,0))="","",INDEX('Portfolio Register'!$DB$5:$DB$304,MATCH($B80,'Portfolio Register'!$DH$5:$DH$304,0))),"")</f>
        <v/>
      </c>
      <c r="L80" s="142" t="str">
        <f>IFERROR(IF(INDEX('Portfolio Register'!$DC$5:$DC$304,MATCH($B80,'Portfolio Register'!$DH$5:$DH$304,0))="","",INDEX('Portfolio Register'!$DC$5:$DC$304,MATCH($B80,'Portfolio Register'!$DH$5:$DH$304,0))),"")</f>
        <v/>
      </c>
      <c r="M80" s="145" t="str">
        <f>IFERROR(IF(INDEX('Portfolio Register'!$DD$5:$DD$304,MATCH($B80,'Portfolio Register'!$DH$5:$DH$304,0))="","",INDEX('Portfolio Register'!$DD$5:$DD$304,MATCH($B80,'Portfolio Register'!$DH$5:$DH$304,0))),"")</f>
        <v/>
      </c>
      <c r="N80" s="146" t="str">
        <f ca="1">IF($C80="","",IF($M80&lt;&gt;"",$M80-IFERROR(INDEX('Portfolio Register'!$C$5:$C$304,MATCH($B80,'Portfolio Register'!$DH$5:$DH$304,0)),$M80),TODAY()-IFERROR(INDEX('Portfolio Register'!$C$5:$C$304,MATCH($B80,'Portfolio Register'!$DH$5:$DH$304,0)),TODAY())))</f>
        <v/>
      </c>
      <c r="O80" s="147" t="str">
        <f t="shared" si="1"/>
        <v/>
      </c>
      <c r="P80" s="142" t="str">
        <f>IFERROR(IF(INDEX('Portfolio Register'!$DG$5:$DG$304,MATCH($B80,'Portfolio Register'!$DH$5:$DH$304,0))="","",INDEX('Portfolio Register'!$DG$5:$DG$304,MATCH($B80,'Portfolio Register'!$DH$5:$DH$304,0))),"")</f>
        <v/>
      </c>
      <c r="Q80" s="142" t="str">
        <f>IFERROR(IF(INDEX('Portfolio Register'!$DF$5:$DF$304,MATCH($B80,'Portfolio Register'!$DH$5:$DH$304,0))="","",INDEX('Portfolio Register'!$DF$5:$DF$304,MATCH($B80,'Portfolio Register'!$DH$5:$DH$304,0))),"")</f>
        <v/>
      </c>
    </row>
    <row r="81" spans="2:17" x14ac:dyDescent="0.35">
      <c r="B81" s="65">
        <v>54</v>
      </c>
      <c r="C81" s="148" t="str">
        <f>IFERROR(IF(INDEX('Portfolio Register'!$A$5:$A$304,MATCH($B81,'Portfolio Register'!$DH$5:$DH$304,0))="","",INDEX('Portfolio Register'!$A$5:$A$304,MATCH($B81,'Portfolio Register'!$DH$5:$DH$304,0))),"")</f>
        <v/>
      </c>
      <c r="D81" s="148" t="str">
        <f>IFERROR(IF(INDEX('Portfolio Register'!$B$5:$B$304,MATCH($B81,'Portfolio Register'!$DH$5:$DH$304,0))="","",INDEX('Portfolio Register'!$B$5:$B$304,MATCH($B81,'Portfolio Register'!$DH$5:$DH$304,0))),"")</f>
        <v/>
      </c>
      <c r="E81" s="148" t="str">
        <f>IFERROR(IF(INDEX('Portfolio Register'!$I$5:$I$304,MATCH($B81,'Portfolio Register'!$DH$5:$DH$304,0))="","",INDEX('Portfolio Register'!$I$5:$I$304,MATCH($B81,'Portfolio Register'!$DH$5:$DH$304,0))),"")</f>
        <v/>
      </c>
      <c r="F81" s="149" t="str">
        <f>IFERROR(IF(INDEX('Portfolio Register'!$J$5:$J$304,MATCH($B81,'Portfolio Register'!$DH$5:$DH$304,0))="","",INDEX('Portfolio Register'!$J$5:$J$304,MATCH($B81,'Portfolio Register'!$DH$5:$DH$304,0))),"")</f>
        <v/>
      </c>
      <c r="G81" s="148" t="str">
        <f>IFERROR(IF(INDEX('Portfolio Register'!$CX$5:$CX$304,MATCH($B81,'Portfolio Register'!$DH$5:$DH$304,0))="","",INDEX('Portfolio Register'!$CX$5:$CX$304,MATCH($B81,'Portfolio Register'!$DH$5:$DH$304,0))),"")</f>
        <v/>
      </c>
      <c r="H81" s="150" t="str">
        <f>IFERROR(IF(INDEX('Portfolio Register'!$CY$5:$CY$304,MATCH($B81,'Portfolio Register'!$DH$5:$DH$304,0))="","",INDEX('Portfolio Register'!$CY$5:$CY$304,MATCH($B81,'Portfolio Register'!$DH$5:$DH$304,0))),"")</f>
        <v/>
      </c>
      <c r="I81" s="148" t="str">
        <f>IFERROR(IF(INDEX('Portfolio Register'!$CZ$5:$CZ$304,MATCH($B81,'Portfolio Register'!$DH$5:$DH$304,0))="","",INDEX('Portfolio Register'!$CZ$5:$CZ$304,MATCH($B81,'Portfolio Register'!$DH$5:$DH$304,0))),"")</f>
        <v/>
      </c>
      <c r="J81" s="148" t="str">
        <f>IFERROR(IF(INDEX('Portfolio Register'!$DA$5:$DA$304,MATCH($B81,'Portfolio Register'!$DH$5:$DH$304,0))="","",INDEX('Portfolio Register'!$DA$5:$DA$304,MATCH($B81,'Portfolio Register'!$DH$5:$DH$304,0))),"")</f>
        <v/>
      </c>
      <c r="K81" s="148" t="str">
        <f>IFERROR(IF(INDEX('Portfolio Register'!$DB$5:$DB$304,MATCH($B81,'Portfolio Register'!$DH$5:$DH$304,0))="","",INDEX('Portfolio Register'!$DB$5:$DB$304,MATCH($B81,'Portfolio Register'!$DH$5:$DH$304,0))),"")</f>
        <v/>
      </c>
      <c r="L81" s="148" t="str">
        <f>IFERROR(IF(INDEX('Portfolio Register'!$DC$5:$DC$304,MATCH($B81,'Portfolio Register'!$DH$5:$DH$304,0))="","",INDEX('Portfolio Register'!$DC$5:$DC$304,MATCH($B81,'Portfolio Register'!$DH$5:$DH$304,0))),"")</f>
        <v/>
      </c>
      <c r="M81" s="151" t="str">
        <f>IFERROR(IF(INDEX('Portfolio Register'!$DD$5:$DD$304,MATCH($B81,'Portfolio Register'!$DH$5:$DH$304,0))="","",INDEX('Portfolio Register'!$DD$5:$DD$304,MATCH($B81,'Portfolio Register'!$DH$5:$DH$304,0))),"")</f>
        <v/>
      </c>
      <c r="N81" s="152" t="str">
        <f ca="1">IF($C81="","",IF($M81&lt;&gt;"",$M81-IFERROR(INDEX('Portfolio Register'!$C$5:$C$304,MATCH($B81,'Portfolio Register'!$DH$5:$DH$304,0)),$M81),TODAY()-IFERROR(INDEX('Portfolio Register'!$C$5:$C$304,MATCH($B81,'Portfolio Register'!$DH$5:$DH$304,0)),TODAY())))</f>
        <v/>
      </c>
      <c r="O81" s="153" t="str">
        <f t="shared" si="1"/>
        <v/>
      </c>
      <c r="P81" s="148" t="str">
        <f>IFERROR(IF(INDEX('Portfolio Register'!$DG$5:$DG$304,MATCH($B81,'Portfolio Register'!$DH$5:$DH$304,0))="","",INDEX('Portfolio Register'!$DG$5:$DG$304,MATCH($B81,'Portfolio Register'!$DH$5:$DH$304,0))),"")</f>
        <v/>
      </c>
      <c r="Q81" s="148" t="str">
        <f>IFERROR(IF(INDEX('Portfolio Register'!$DF$5:$DF$304,MATCH($B81,'Portfolio Register'!$DH$5:$DH$304,0))="","",INDEX('Portfolio Register'!$DF$5:$DF$304,MATCH($B81,'Portfolio Register'!$DH$5:$DH$304,0))),"")</f>
        <v/>
      </c>
    </row>
    <row r="82" spans="2:17" x14ac:dyDescent="0.35">
      <c r="B82" s="58">
        <v>55</v>
      </c>
      <c r="C82" s="142" t="str">
        <f>IFERROR(IF(INDEX('Portfolio Register'!$A$5:$A$304,MATCH($B82,'Portfolio Register'!$DH$5:$DH$304,0))="","",INDEX('Portfolio Register'!$A$5:$A$304,MATCH($B82,'Portfolio Register'!$DH$5:$DH$304,0))),"")</f>
        <v/>
      </c>
      <c r="D82" s="142" t="str">
        <f>IFERROR(IF(INDEX('Portfolio Register'!$B$5:$B$304,MATCH($B82,'Portfolio Register'!$DH$5:$DH$304,0))="","",INDEX('Portfolio Register'!$B$5:$B$304,MATCH($B82,'Portfolio Register'!$DH$5:$DH$304,0))),"")</f>
        <v/>
      </c>
      <c r="E82" s="142" t="str">
        <f>IFERROR(IF(INDEX('Portfolio Register'!$I$5:$I$304,MATCH($B82,'Portfolio Register'!$DH$5:$DH$304,0))="","",INDEX('Portfolio Register'!$I$5:$I$304,MATCH($B82,'Portfolio Register'!$DH$5:$DH$304,0))),"")</f>
        <v/>
      </c>
      <c r="F82" s="143" t="str">
        <f>IFERROR(IF(INDEX('Portfolio Register'!$J$5:$J$304,MATCH($B82,'Portfolio Register'!$DH$5:$DH$304,0))="","",INDEX('Portfolio Register'!$J$5:$J$304,MATCH($B82,'Portfolio Register'!$DH$5:$DH$304,0))),"")</f>
        <v/>
      </c>
      <c r="G82" s="142" t="str">
        <f>IFERROR(IF(INDEX('Portfolio Register'!$CX$5:$CX$304,MATCH($B82,'Portfolio Register'!$DH$5:$DH$304,0))="","",INDEX('Portfolio Register'!$CX$5:$CX$304,MATCH($B82,'Portfolio Register'!$DH$5:$DH$304,0))),"")</f>
        <v/>
      </c>
      <c r="H82" s="144" t="str">
        <f>IFERROR(IF(INDEX('Portfolio Register'!$CY$5:$CY$304,MATCH($B82,'Portfolio Register'!$DH$5:$DH$304,0))="","",INDEX('Portfolio Register'!$CY$5:$CY$304,MATCH($B82,'Portfolio Register'!$DH$5:$DH$304,0))),"")</f>
        <v/>
      </c>
      <c r="I82" s="142" t="str">
        <f>IFERROR(IF(INDEX('Portfolio Register'!$CZ$5:$CZ$304,MATCH($B82,'Portfolio Register'!$DH$5:$DH$304,0))="","",INDEX('Portfolio Register'!$CZ$5:$CZ$304,MATCH($B82,'Portfolio Register'!$DH$5:$DH$304,0))),"")</f>
        <v/>
      </c>
      <c r="J82" s="142" t="str">
        <f>IFERROR(IF(INDEX('Portfolio Register'!$DA$5:$DA$304,MATCH($B82,'Portfolio Register'!$DH$5:$DH$304,0))="","",INDEX('Portfolio Register'!$DA$5:$DA$304,MATCH($B82,'Portfolio Register'!$DH$5:$DH$304,0))),"")</f>
        <v/>
      </c>
      <c r="K82" s="142" t="str">
        <f>IFERROR(IF(INDEX('Portfolio Register'!$DB$5:$DB$304,MATCH($B82,'Portfolio Register'!$DH$5:$DH$304,0))="","",INDEX('Portfolio Register'!$DB$5:$DB$304,MATCH($B82,'Portfolio Register'!$DH$5:$DH$304,0))),"")</f>
        <v/>
      </c>
      <c r="L82" s="142" t="str">
        <f>IFERROR(IF(INDEX('Portfolio Register'!$DC$5:$DC$304,MATCH($B82,'Portfolio Register'!$DH$5:$DH$304,0))="","",INDEX('Portfolio Register'!$DC$5:$DC$304,MATCH($B82,'Portfolio Register'!$DH$5:$DH$304,0))),"")</f>
        <v/>
      </c>
      <c r="M82" s="145" t="str">
        <f>IFERROR(IF(INDEX('Portfolio Register'!$DD$5:$DD$304,MATCH($B82,'Portfolio Register'!$DH$5:$DH$304,0))="","",INDEX('Portfolio Register'!$DD$5:$DD$304,MATCH($B82,'Portfolio Register'!$DH$5:$DH$304,0))),"")</f>
        <v/>
      </c>
      <c r="N82" s="146" t="str">
        <f ca="1">IF($C82="","",IF($M82&lt;&gt;"",$M82-IFERROR(INDEX('Portfolio Register'!$C$5:$C$304,MATCH($B82,'Portfolio Register'!$DH$5:$DH$304,0)),$M82),TODAY()-IFERROR(INDEX('Portfolio Register'!$C$5:$C$304,MATCH($B82,'Portfolio Register'!$DH$5:$DH$304,0)),TODAY())))</f>
        <v/>
      </c>
      <c r="O82" s="147" t="str">
        <f t="shared" si="1"/>
        <v/>
      </c>
      <c r="P82" s="142" t="str">
        <f>IFERROR(IF(INDEX('Portfolio Register'!$DG$5:$DG$304,MATCH($B82,'Portfolio Register'!$DH$5:$DH$304,0))="","",INDEX('Portfolio Register'!$DG$5:$DG$304,MATCH($B82,'Portfolio Register'!$DH$5:$DH$304,0))),"")</f>
        <v/>
      </c>
      <c r="Q82" s="142" t="str">
        <f>IFERROR(IF(INDEX('Portfolio Register'!$DF$5:$DF$304,MATCH($B82,'Portfolio Register'!$DH$5:$DH$304,0))="","",INDEX('Portfolio Register'!$DF$5:$DF$304,MATCH($B82,'Portfolio Register'!$DH$5:$DH$304,0))),"")</f>
        <v/>
      </c>
    </row>
    <row r="83" spans="2:17" x14ac:dyDescent="0.35">
      <c r="B83" s="65">
        <v>56</v>
      </c>
      <c r="C83" s="148" t="str">
        <f>IFERROR(IF(INDEX('Portfolio Register'!$A$5:$A$304,MATCH($B83,'Portfolio Register'!$DH$5:$DH$304,0))="","",INDEX('Portfolio Register'!$A$5:$A$304,MATCH($B83,'Portfolio Register'!$DH$5:$DH$304,0))),"")</f>
        <v/>
      </c>
      <c r="D83" s="148" t="str">
        <f>IFERROR(IF(INDEX('Portfolio Register'!$B$5:$B$304,MATCH($B83,'Portfolio Register'!$DH$5:$DH$304,0))="","",INDEX('Portfolio Register'!$B$5:$B$304,MATCH($B83,'Portfolio Register'!$DH$5:$DH$304,0))),"")</f>
        <v/>
      </c>
      <c r="E83" s="148" t="str">
        <f>IFERROR(IF(INDEX('Portfolio Register'!$I$5:$I$304,MATCH($B83,'Portfolio Register'!$DH$5:$DH$304,0))="","",INDEX('Portfolio Register'!$I$5:$I$304,MATCH($B83,'Portfolio Register'!$DH$5:$DH$304,0))),"")</f>
        <v/>
      </c>
      <c r="F83" s="149" t="str">
        <f>IFERROR(IF(INDEX('Portfolio Register'!$J$5:$J$304,MATCH($B83,'Portfolio Register'!$DH$5:$DH$304,0))="","",INDEX('Portfolio Register'!$J$5:$J$304,MATCH($B83,'Portfolio Register'!$DH$5:$DH$304,0))),"")</f>
        <v/>
      </c>
      <c r="G83" s="148" t="str">
        <f>IFERROR(IF(INDEX('Portfolio Register'!$CX$5:$CX$304,MATCH($B83,'Portfolio Register'!$DH$5:$DH$304,0))="","",INDEX('Portfolio Register'!$CX$5:$CX$304,MATCH($B83,'Portfolio Register'!$DH$5:$DH$304,0))),"")</f>
        <v/>
      </c>
      <c r="H83" s="150" t="str">
        <f>IFERROR(IF(INDEX('Portfolio Register'!$CY$5:$CY$304,MATCH($B83,'Portfolio Register'!$DH$5:$DH$304,0))="","",INDEX('Portfolio Register'!$CY$5:$CY$304,MATCH($B83,'Portfolio Register'!$DH$5:$DH$304,0))),"")</f>
        <v/>
      </c>
      <c r="I83" s="148" t="str">
        <f>IFERROR(IF(INDEX('Portfolio Register'!$CZ$5:$CZ$304,MATCH($B83,'Portfolio Register'!$DH$5:$DH$304,0))="","",INDEX('Portfolio Register'!$CZ$5:$CZ$304,MATCH($B83,'Portfolio Register'!$DH$5:$DH$304,0))),"")</f>
        <v/>
      </c>
      <c r="J83" s="148" t="str">
        <f>IFERROR(IF(INDEX('Portfolio Register'!$DA$5:$DA$304,MATCH($B83,'Portfolio Register'!$DH$5:$DH$304,0))="","",INDEX('Portfolio Register'!$DA$5:$DA$304,MATCH($B83,'Portfolio Register'!$DH$5:$DH$304,0))),"")</f>
        <v/>
      </c>
      <c r="K83" s="148" t="str">
        <f>IFERROR(IF(INDEX('Portfolio Register'!$DB$5:$DB$304,MATCH($B83,'Portfolio Register'!$DH$5:$DH$304,0))="","",INDEX('Portfolio Register'!$DB$5:$DB$304,MATCH($B83,'Portfolio Register'!$DH$5:$DH$304,0))),"")</f>
        <v/>
      </c>
      <c r="L83" s="148" t="str">
        <f>IFERROR(IF(INDEX('Portfolio Register'!$DC$5:$DC$304,MATCH($B83,'Portfolio Register'!$DH$5:$DH$304,0))="","",INDEX('Portfolio Register'!$DC$5:$DC$304,MATCH($B83,'Portfolio Register'!$DH$5:$DH$304,0))),"")</f>
        <v/>
      </c>
      <c r="M83" s="151" t="str">
        <f>IFERROR(IF(INDEX('Portfolio Register'!$DD$5:$DD$304,MATCH($B83,'Portfolio Register'!$DH$5:$DH$304,0))="","",INDEX('Portfolio Register'!$DD$5:$DD$304,MATCH($B83,'Portfolio Register'!$DH$5:$DH$304,0))),"")</f>
        <v/>
      </c>
      <c r="N83" s="152" t="str">
        <f ca="1">IF($C83="","",IF($M83&lt;&gt;"",$M83-IFERROR(INDEX('Portfolio Register'!$C$5:$C$304,MATCH($B83,'Portfolio Register'!$DH$5:$DH$304,0)),$M83),TODAY()-IFERROR(INDEX('Portfolio Register'!$C$5:$C$304,MATCH($B83,'Portfolio Register'!$DH$5:$DH$304,0)),TODAY())))</f>
        <v/>
      </c>
      <c r="O83" s="153" t="str">
        <f t="shared" si="1"/>
        <v/>
      </c>
      <c r="P83" s="148" t="str">
        <f>IFERROR(IF(INDEX('Portfolio Register'!$DG$5:$DG$304,MATCH($B83,'Portfolio Register'!$DH$5:$DH$304,0))="","",INDEX('Portfolio Register'!$DG$5:$DG$304,MATCH($B83,'Portfolio Register'!$DH$5:$DH$304,0))),"")</f>
        <v/>
      </c>
      <c r="Q83" s="148" t="str">
        <f>IFERROR(IF(INDEX('Portfolio Register'!$DF$5:$DF$304,MATCH($B83,'Portfolio Register'!$DH$5:$DH$304,0))="","",INDEX('Portfolio Register'!$DF$5:$DF$304,MATCH($B83,'Portfolio Register'!$DH$5:$DH$304,0))),"")</f>
        <v/>
      </c>
    </row>
    <row r="84" spans="2:17" x14ac:dyDescent="0.35">
      <c r="B84" s="58">
        <v>57</v>
      </c>
      <c r="C84" s="142" t="str">
        <f>IFERROR(IF(INDEX('Portfolio Register'!$A$5:$A$304,MATCH($B84,'Portfolio Register'!$DH$5:$DH$304,0))="","",INDEX('Portfolio Register'!$A$5:$A$304,MATCH($B84,'Portfolio Register'!$DH$5:$DH$304,0))),"")</f>
        <v/>
      </c>
      <c r="D84" s="142" t="str">
        <f>IFERROR(IF(INDEX('Portfolio Register'!$B$5:$B$304,MATCH($B84,'Portfolio Register'!$DH$5:$DH$304,0))="","",INDEX('Portfolio Register'!$B$5:$B$304,MATCH($B84,'Portfolio Register'!$DH$5:$DH$304,0))),"")</f>
        <v/>
      </c>
      <c r="E84" s="142" t="str">
        <f>IFERROR(IF(INDEX('Portfolio Register'!$I$5:$I$304,MATCH($B84,'Portfolio Register'!$DH$5:$DH$304,0))="","",INDEX('Portfolio Register'!$I$5:$I$304,MATCH($B84,'Portfolio Register'!$DH$5:$DH$304,0))),"")</f>
        <v/>
      </c>
      <c r="F84" s="143" t="str">
        <f>IFERROR(IF(INDEX('Portfolio Register'!$J$5:$J$304,MATCH($B84,'Portfolio Register'!$DH$5:$DH$304,0))="","",INDEX('Portfolio Register'!$J$5:$J$304,MATCH($B84,'Portfolio Register'!$DH$5:$DH$304,0))),"")</f>
        <v/>
      </c>
      <c r="G84" s="142" t="str">
        <f>IFERROR(IF(INDEX('Portfolio Register'!$CX$5:$CX$304,MATCH($B84,'Portfolio Register'!$DH$5:$DH$304,0))="","",INDEX('Portfolio Register'!$CX$5:$CX$304,MATCH($B84,'Portfolio Register'!$DH$5:$DH$304,0))),"")</f>
        <v/>
      </c>
      <c r="H84" s="144" t="str">
        <f>IFERROR(IF(INDEX('Portfolio Register'!$CY$5:$CY$304,MATCH($B84,'Portfolio Register'!$DH$5:$DH$304,0))="","",INDEX('Portfolio Register'!$CY$5:$CY$304,MATCH($B84,'Portfolio Register'!$DH$5:$DH$304,0))),"")</f>
        <v/>
      </c>
      <c r="I84" s="142" t="str">
        <f>IFERROR(IF(INDEX('Portfolio Register'!$CZ$5:$CZ$304,MATCH($B84,'Portfolio Register'!$DH$5:$DH$304,0))="","",INDEX('Portfolio Register'!$CZ$5:$CZ$304,MATCH($B84,'Portfolio Register'!$DH$5:$DH$304,0))),"")</f>
        <v/>
      </c>
      <c r="J84" s="142" t="str">
        <f>IFERROR(IF(INDEX('Portfolio Register'!$DA$5:$DA$304,MATCH($B84,'Portfolio Register'!$DH$5:$DH$304,0))="","",INDEX('Portfolio Register'!$DA$5:$DA$304,MATCH($B84,'Portfolio Register'!$DH$5:$DH$304,0))),"")</f>
        <v/>
      </c>
      <c r="K84" s="142" t="str">
        <f>IFERROR(IF(INDEX('Portfolio Register'!$DB$5:$DB$304,MATCH($B84,'Portfolio Register'!$DH$5:$DH$304,0))="","",INDEX('Portfolio Register'!$DB$5:$DB$304,MATCH($B84,'Portfolio Register'!$DH$5:$DH$304,0))),"")</f>
        <v/>
      </c>
      <c r="L84" s="142" t="str">
        <f>IFERROR(IF(INDEX('Portfolio Register'!$DC$5:$DC$304,MATCH($B84,'Portfolio Register'!$DH$5:$DH$304,0))="","",INDEX('Portfolio Register'!$DC$5:$DC$304,MATCH($B84,'Portfolio Register'!$DH$5:$DH$304,0))),"")</f>
        <v/>
      </c>
      <c r="M84" s="145" t="str">
        <f>IFERROR(IF(INDEX('Portfolio Register'!$DD$5:$DD$304,MATCH($B84,'Portfolio Register'!$DH$5:$DH$304,0))="","",INDEX('Portfolio Register'!$DD$5:$DD$304,MATCH($B84,'Portfolio Register'!$DH$5:$DH$304,0))),"")</f>
        <v/>
      </c>
      <c r="N84" s="146" t="str">
        <f ca="1">IF($C84="","",IF($M84&lt;&gt;"",$M84-IFERROR(INDEX('Portfolio Register'!$C$5:$C$304,MATCH($B84,'Portfolio Register'!$DH$5:$DH$304,0)),$M84),TODAY()-IFERROR(INDEX('Portfolio Register'!$C$5:$C$304,MATCH($B84,'Portfolio Register'!$DH$5:$DH$304,0)),TODAY())))</f>
        <v/>
      </c>
      <c r="O84" s="147" t="str">
        <f t="shared" si="1"/>
        <v/>
      </c>
      <c r="P84" s="142" t="str">
        <f>IFERROR(IF(INDEX('Portfolio Register'!$DG$5:$DG$304,MATCH($B84,'Portfolio Register'!$DH$5:$DH$304,0))="","",INDEX('Portfolio Register'!$DG$5:$DG$304,MATCH($B84,'Portfolio Register'!$DH$5:$DH$304,0))),"")</f>
        <v/>
      </c>
      <c r="Q84" s="142" t="str">
        <f>IFERROR(IF(INDEX('Portfolio Register'!$DF$5:$DF$304,MATCH($B84,'Portfolio Register'!$DH$5:$DH$304,0))="","",INDEX('Portfolio Register'!$DF$5:$DF$304,MATCH($B84,'Portfolio Register'!$DH$5:$DH$304,0))),"")</f>
        <v/>
      </c>
    </row>
    <row r="85" spans="2:17" x14ac:dyDescent="0.35">
      <c r="B85" s="65">
        <v>58</v>
      </c>
      <c r="C85" s="148" t="str">
        <f>IFERROR(IF(INDEX('Portfolio Register'!$A$5:$A$304,MATCH($B85,'Portfolio Register'!$DH$5:$DH$304,0))="","",INDEX('Portfolio Register'!$A$5:$A$304,MATCH($B85,'Portfolio Register'!$DH$5:$DH$304,0))),"")</f>
        <v/>
      </c>
      <c r="D85" s="148" t="str">
        <f>IFERROR(IF(INDEX('Portfolio Register'!$B$5:$B$304,MATCH($B85,'Portfolio Register'!$DH$5:$DH$304,0))="","",INDEX('Portfolio Register'!$B$5:$B$304,MATCH($B85,'Portfolio Register'!$DH$5:$DH$304,0))),"")</f>
        <v/>
      </c>
      <c r="E85" s="148" t="str">
        <f>IFERROR(IF(INDEX('Portfolio Register'!$I$5:$I$304,MATCH($B85,'Portfolio Register'!$DH$5:$DH$304,0))="","",INDEX('Portfolio Register'!$I$5:$I$304,MATCH($B85,'Portfolio Register'!$DH$5:$DH$304,0))),"")</f>
        <v/>
      </c>
      <c r="F85" s="149" t="str">
        <f>IFERROR(IF(INDEX('Portfolio Register'!$J$5:$J$304,MATCH($B85,'Portfolio Register'!$DH$5:$DH$304,0))="","",INDEX('Portfolio Register'!$J$5:$J$304,MATCH($B85,'Portfolio Register'!$DH$5:$DH$304,0))),"")</f>
        <v/>
      </c>
      <c r="G85" s="148" t="str">
        <f>IFERROR(IF(INDEX('Portfolio Register'!$CX$5:$CX$304,MATCH($B85,'Portfolio Register'!$DH$5:$DH$304,0))="","",INDEX('Portfolio Register'!$CX$5:$CX$304,MATCH($B85,'Portfolio Register'!$DH$5:$DH$304,0))),"")</f>
        <v/>
      </c>
      <c r="H85" s="150" t="str">
        <f>IFERROR(IF(INDEX('Portfolio Register'!$CY$5:$CY$304,MATCH($B85,'Portfolio Register'!$DH$5:$DH$304,0))="","",INDEX('Portfolio Register'!$CY$5:$CY$304,MATCH($B85,'Portfolio Register'!$DH$5:$DH$304,0))),"")</f>
        <v/>
      </c>
      <c r="I85" s="148" t="str">
        <f>IFERROR(IF(INDEX('Portfolio Register'!$CZ$5:$CZ$304,MATCH($B85,'Portfolio Register'!$DH$5:$DH$304,0))="","",INDEX('Portfolio Register'!$CZ$5:$CZ$304,MATCH($B85,'Portfolio Register'!$DH$5:$DH$304,0))),"")</f>
        <v/>
      </c>
      <c r="J85" s="148" t="str">
        <f>IFERROR(IF(INDEX('Portfolio Register'!$DA$5:$DA$304,MATCH($B85,'Portfolio Register'!$DH$5:$DH$304,0))="","",INDEX('Portfolio Register'!$DA$5:$DA$304,MATCH($B85,'Portfolio Register'!$DH$5:$DH$304,0))),"")</f>
        <v/>
      </c>
      <c r="K85" s="148" t="str">
        <f>IFERROR(IF(INDEX('Portfolio Register'!$DB$5:$DB$304,MATCH($B85,'Portfolio Register'!$DH$5:$DH$304,0))="","",INDEX('Portfolio Register'!$DB$5:$DB$304,MATCH($B85,'Portfolio Register'!$DH$5:$DH$304,0))),"")</f>
        <v/>
      </c>
      <c r="L85" s="148" t="str">
        <f>IFERROR(IF(INDEX('Portfolio Register'!$DC$5:$DC$304,MATCH($B85,'Portfolio Register'!$DH$5:$DH$304,0))="","",INDEX('Portfolio Register'!$DC$5:$DC$304,MATCH($B85,'Portfolio Register'!$DH$5:$DH$304,0))),"")</f>
        <v/>
      </c>
      <c r="M85" s="151" t="str">
        <f>IFERROR(IF(INDEX('Portfolio Register'!$DD$5:$DD$304,MATCH($B85,'Portfolio Register'!$DH$5:$DH$304,0))="","",INDEX('Portfolio Register'!$DD$5:$DD$304,MATCH($B85,'Portfolio Register'!$DH$5:$DH$304,0))),"")</f>
        <v/>
      </c>
      <c r="N85" s="152" t="str">
        <f ca="1">IF($C85="","",IF($M85&lt;&gt;"",$M85-IFERROR(INDEX('Portfolio Register'!$C$5:$C$304,MATCH($B85,'Portfolio Register'!$DH$5:$DH$304,0)),$M85),TODAY()-IFERROR(INDEX('Portfolio Register'!$C$5:$C$304,MATCH($B85,'Portfolio Register'!$DH$5:$DH$304,0)),TODAY())))</f>
        <v/>
      </c>
      <c r="O85" s="153" t="str">
        <f t="shared" si="1"/>
        <v/>
      </c>
      <c r="P85" s="148" t="str">
        <f>IFERROR(IF(INDEX('Portfolio Register'!$DG$5:$DG$304,MATCH($B85,'Portfolio Register'!$DH$5:$DH$304,0))="","",INDEX('Portfolio Register'!$DG$5:$DG$304,MATCH($B85,'Portfolio Register'!$DH$5:$DH$304,0))),"")</f>
        <v/>
      </c>
      <c r="Q85" s="148" t="str">
        <f>IFERROR(IF(INDEX('Portfolio Register'!$DF$5:$DF$304,MATCH($B85,'Portfolio Register'!$DH$5:$DH$304,0))="","",INDEX('Portfolio Register'!$DF$5:$DF$304,MATCH($B85,'Portfolio Register'!$DH$5:$DH$304,0))),"")</f>
        <v/>
      </c>
    </row>
    <row r="86" spans="2:17" x14ac:dyDescent="0.35">
      <c r="B86" s="58">
        <v>59</v>
      </c>
      <c r="C86" s="142" t="str">
        <f>IFERROR(IF(INDEX('Portfolio Register'!$A$5:$A$304,MATCH($B86,'Portfolio Register'!$DH$5:$DH$304,0))="","",INDEX('Portfolio Register'!$A$5:$A$304,MATCH($B86,'Portfolio Register'!$DH$5:$DH$304,0))),"")</f>
        <v/>
      </c>
      <c r="D86" s="142" t="str">
        <f>IFERROR(IF(INDEX('Portfolio Register'!$B$5:$B$304,MATCH($B86,'Portfolio Register'!$DH$5:$DH$304,0))="","",INDEX('Portfolio Register'!$B$5:$B$304,MATCH($B86,'Portfolio Register'!$DH$5:$DH$304,0))),"")</f>
        <v/>
      </c>
      <c r="E86" s="142" t="str">
        <f>IFERROR(IF(INDEX('Portfolio Register'!$I$5:$I$304,MATCH($B86,'Portfolio Register'!$DH$5:$DH$304,0))="","",INDEX('Portfolio Register'!$I$5:$I$304,MATCH($B86,'Portfolio Register'!$DH$5:$DH$304,0))),"")</f>
        <v/>
      </c>
      <c r="F86" s="143" t="str">
        <f>IFERROR(IF(INDEX('Portfolio Register'!$J$5:$J$304,MATCH($B86,'Portfolio Register'!$DH$5:$DH$304,0))="","",INDEX('Portfolio Register'!$J$5:$J$304,MATCH($B86,'Portfolio Register'!$DH$5:$DH$304,0))),"")</f>
        <v/>
      </c>
      <c r="G86" s="142" t="str">
        <f>IFERROR(IF(INDEX('Portfolio Register'!$CX$5:$CX$304,MATCH($B86,'Portfolio Register'!$DH$5:$DH$304,0))="","",INDEX('Portfolio Register'!$CX$5:$CX$304,MATCH($B86,'Portfolio Register'!$DH$5:$DH$304,0))),"")</f>
        <v/>
      </c>
      <c r="H86" s="144" t="str">
        <f>IFERROR(IF(INDEX('Portfolio Register'!$CY$5:$CY$304,MATCH($B86,'Portfolio Register'!$DH$5:$DH$304,0))="","",INDEX('Portfolio Register'!$CY$5:$CY$304,MATCH($B86,'Portfolio Register'!$DH$5:$DH$304,0))),"")</f>
        <v/>
      </c>
      <c r="I86" s="142" t="str">
        <f>IFERROR(IF(INDEX('Portfolio Register'!$CZ$5:$CZ$304,MATCH($B86,'Portfolio Register'!$DH$5:$DH$304,0))="","",INDEX('Portfolio Register'!$CZ$5:$CZ$304,MATCH($B86,'Portfolio Register'!$DH$5:$DH$304,0))),"")</f>
        <v/>
      </c>
      <c r="J86" s="142" t="str">
        <f>IFERROR(IF(INDEX('Portfolio Register'!$DA$5:$DA$304,MATCH($B86,'Portfolio Register'!$DH$5:$DH$304,0))="","",INDEX('Portfolio Register'!$DA$5:$DA$304,MATCH($B86,'Portfolio Register'!$DH$5:$DH$304,0))),"")</f>
        <v/>
      </c>
      <c r="K86" s="142" t="str">
        <f>IFERROR(IF(INDEX('Portfolio Register'!$DB$5:$DB$304,MATCH($B86,'Portfolio Register'!$DH$5:$DH$304,0))="","",INDEX('Portfolio Register'!$DB$5:$DB$304,MATCH($B86,'Portfolio Register'!$DH$5:$DH$304,0))),"")</f>
        <v/>
      </c>
      <c r="L86" s="142" t="str">
        <f>IFERROR(IF(INDEX('Portfolio Register'!$DC$5:$DC$304,MATCH($B86,'Portfolio Register'!$DH$5:$DH$304,0))="","",INDEX('Portfolio Register'!$DC$5:$DC$304,MATCH($B86,'Portfolio Register'!$DH$5:$DH$304,0))),"")</f>
        <v/>
      </c>
      <c r="M86" s="145" t="str">
        <f>IFERROR(IF(INDEX('Portfolio Register'!$DD$5:$DD$304,MATCH($B86,'Portfolio Register'!$DH$5:$DH$304,0))="","",INDEX('Portfolio Register'!$DD$5:$DD$304,MATCH($B86,'Portfolio Register'!$DH$5:$DH$304,0))),"")</f>
        <v/>
      </c>
      <c r="N86" s="146" t="str">
        <f ca="1">IF($C86="","",IF($M86&lt;&gt;"",$M86-IFERROR(INDEX('Portfolio Register'!$C$5:$C$304,MATCH($B86,'Portfolio Register'!$DH$5:$DH$304,0)),$M86),TODAY()-IFERROR(INDEX('Portfolio Register'!$C$5:$C$304,MATCH($B86,'Portfolio Register'!$DH$5:$DH$304,0)),TODAY())))</f>
        <v/>
      </c>
      <c r="O86" s="147" t="str">
        <f t="shared" si="1"/>
        <v/>
      </c>
      <c r="P86" s="142" t="str">
        <f>IFERROR(IF(INDEX('Portfolio Register'!$DG$5:$DG$304,MATCH($B86,'Portfolio Register'!$DH$5:$DH$304,0))="","",INDEX('Portfolio Register'!$DG$5:$DG$304,MATCH($B86,'Portfolio Register'!$DH$5:$DH$304,0))),"")</f>
        <v/>
      </c>
      <c r="Q86" s="142" t="str">
        <f>IFERROR(IF(INDEX('Portfolio Register'!$DF$5:$DF$304,MATCH($B86,'Portfolio Register'!$DH$5:$DH$304,0))="","",INDEX('Portfolio Register'!$DF$5:$DF$304,MATCH($B86,'Portfolio Register'!$DH$5:$DH$304,0))),"")</f>
        <v/>
      </c>
    </row>
    <row r="87" spans="2:17" x14ac:dyDescent="0.35">
      <c r="B87" s="65">
        <v>60</v>
      </c>
      <c r="C87" s="148" t="str">
        <f>IFERROR(IF(INDEX('Portfolio Register'!$A$5:$A$304,MATCH($B87,'Portfolio Register'!$DH$5:$DH$304,0))="","",INDEX('Portfolio Register'!$A$5:$A$304,MATCH($B87,'Portfolio Register'!$DH$5:$DH$304,0))),"")</f>
        <v/>
      </c>
      <c r="D87" s="148" t="str">
        <f>IFERROR(IF(INDEX('Portfolio Register'!$B$5:$B$304,MATCH($B87,'Portfolio Register'!$DH$5:$DH$304,0))="","",INDEX('Portfolio Register'!$B$5:$B$304,MATCH($B87,'Portfolio Register'!$DH$5:$DH$304,0))),"")</f>
        <v/>
      </c>
      <c r="E87" s="148" t="str">
        <f>IFERROR(IF(INDEX('Portfolio Register'!$I$5:$I$304,MATCH($B87,'Portfolio Register'!$DH$5:$DH$304,0))="","",INDEX('Portfolio Register'!$I$5:$I$304,MATCH($B87,'Portfolio Register'!$DH$5:$DH$304,0))),"")</f>
        <v/>
      </c>
      <c r="F87" s="149" t="str">
        <f>IFERROR(IF(INDEX('Portfolio Register'!$J$5:$J$304,MATCH($B87,'Portfolio Register'!$DH$5:$DH$304,0))="","",INDEX('Portfolio Register'!$J$5:$J$304,MATCH($B87,'Portfolio Register'!$DH$5:$DH$304,0))),"")</f>
        <v/>
      </c>
      <c r="G87" s="148" t="str">
        <f>IFERROR(IF(INDEX('Portfolio Register'!$CX$5:$CX$304,MATCH($B87,'Portfolio Register'!$DH$5:$DH$304,0))="","",INDEX('Portfolio Register'!$CX$5:$CX$304,MATCH($B87,'Portfolio Register'!$DH$5:$DH$304,0))),"")</f>
        <v/>
      </c>
      <c r="H87" s="150" t="str">
        <f>IFERROR(IF(INDEX('Portfolio Register'!$CY$5:$CY$304,MATCH($B87,'Portfolio Register'!$DH$5:$DH$304,0))="","",INDEX('Portfolio Register'!$CY$5:$CY$304,MATCH($B87,'Portfolio Register'!$DH$5:$DH$304,0))),"")</f>
        <v/>
      </c>
      <c r="I87" s="148" t="str">
        <f>IFERROR(IF(INDEX('Portfolio Register'!$CZ$5:$CZ$304,MATCH($B87,'Portfolio Register'!$DH$5:$DH$304,0))="","",INDEX('Portfolio Register'!$CZ$5:$CZ$304,MATCH($B87,'Portfolio Register'!$DH$5:$DH$304,0))),"")</f>
        <v/>
      </c>
      <c r="J87" s="148" t="str">
        <f>IFERROR(IF(INDEX('Portfolio Register'!$DA$5:$DA$304,MATCH($B87,'Portfolio Register'!$DH$5:$DH$304,0))="","",INDEX('Portfolio Register'!$DA$5:$DA$304,MATCH($B87,'Portfolio Register'!$DH$5:$DH$304,0))),"")</f>
        <v/>
      </c>
      <c r="K87" s="148" t="str">
        <f>IFERROR(IF(INDEX('Portfolio Register'!$DB$5:$DB$304,MATCH($B87,'Portfolio Register'!$DH$5:$DH$304,0))="","",INDEX('Portfolio Register'!$DB$5:$DB$304,MATCH($B87,'Portfolio Register'!$DH$5:$DH$304,0))),"")</f>
        <v/>
      </c>
      <c r="L87" s="148" t="str">
        <f>IFERROR(IF(INDEX('Portfolio Register'!$DC$5:$DC$304,MATCH($B87,'Portfolio Register'!$DH$5:$DH$304,0))="","",INDEX('Portfolio Register'!$DC$5:$DC$304,MATCH($B87,'Portfolio Register'!$DH$5:$DH$304,0))),"")</f>
        <v/>
      </c>
      <c r="M87" s="151" t="str">
        <f>IFERROR(IF(INDEX('Portfolio Register'!$DD$5:$DD$304,MATCH($B87,'Portfolio Register'!$DH$5:$DH$304,0))="","",INDEX('Portfolio Register'!$DD$5:$DD$304,MATCH($B87,'Portfolio Register'!$DH$5:$DH$304,0))),"")</f>
        <v/>
      </c>
      <c r="N87" s="152" t="str">
        <f ca="1">IF($C87="","",IF($M87&lt;&gt;"",$M87-IFERROR(INDEX('Portfolio Register'!$C$5:$C$304,MATCH($B87,'Portfolio Register'!$DH$5:$DH$304,0)),$M87),TODAY()-IFERROR(INDEX('Portfolio Register'!$C$5:$C$304,MATCH($B87,'Portfolio Register'!$DH$5:$DH$304,0)),TODAY())))</f>
        <v/>
      </c>
      <c r="O87" s="153" t="str">
        <f t="shared" si="1"/>
        <v/>
      </c>
      <c r="P87" s="148" t="str">
        <f>IFERROR(IF(INDEX('Portfolio Register'!$DG$5:$DG$304,MATCH($B87,'Portfolio Register'!$DH$5:$DH$304,0))="","",INDEX('Portfolio Register'!$DG$5:$DG$304,MATCH($B87,'Portfolio Register'!$DH$5:$DH$304,0))),"")</f>
        <v/>
      </c>
      <c r="Q87" s="148" t="str">
        <f>IFERROR(IF(INDEX('Portfolio Register'!$DF$5:$DF$304,MATCH($B87,'Portfolio Register'!$DH$5:$DH$304,0))="","",INDEX('Portfolio Register'!$DF$5:$DF$304,MATCH($B87,'Portfolio Register'!$DH$5:$DH$304,0))),"")</f>
        <v/>
      </c>
    </row>
    <row r="88" spans="2:17" x14ac:dyDescent="0.35">
      <c r="B88" s="58">
        <v>61</v>
      </c>
      <c r="C88" s="142" t="str">
        <f>IFERROR(IF(INDEX('Portfolio Register'!$A$5:$A$304,MATCH($B88,'Portfolio Register'!$DH$5:$DH$304,0))="","",INDEX('Portfolio Register'!$A$5:$A$304,MATCH($B88,'Portfolio Register'!$DH$5:$DH$304,0))),"")</f>
        <v/>
      </c>
      <c r="D88" s="142" t="str">
        <f>IFERROR(IF(INDEX('Portfolio Register'!$B$5:$B$304,MATCH($B88,'Portfolio Register'!$DH$5:$DH$304,0))="","",INDEX('Portfolio Register'!$B$5:$B$304,MATCH($B88,'Portfolio Register'!$DH$5:$DH$304,0))),"")</f>
        <v/>
      </c>
      <c r="E88" s="142" t="str">
        <f>IFERROR(IF(INDEX('Portfolio Register'!$I$5:$I$304,MATCH($B88,'Portfolio Register'!$DH$5:$DH$304,0))="","",INDEX('Portfolio Register'!$I$5:$I$304,MATCH($B88,'Portfolio Register'!$DH$5:$DH$304,0))),"")</f>
        <v/>
      </c>
      <c r="F88" s="143" t="str">
        <f>IFERROR(IF(INDEX('Portfolio Register'!$J$5:$J$304,MATCH($B88,'Portfolio Register'!$DH$5:$DH$304,0))="","",INDEX('Portfolio Register'!$J$5:$J$304,MATCH($B88,'Portfolio Register'!$DH$5:$DH$304,0))),"")</f>
        <v/>
      </c>
      <c r="G88" s="142" t="str">
        <f>IFERROR(IF(INDEX('Portfolio Register'!$CX$5:$CX$304,MATCH($B88,'Portfolio Register'!$DH$5:$DH$304,0))="","",INDEX('Portfolio Register'!$CX$5:$CX$304,MATCH($B88,'Portfolio Register'!$DH$5:$DH$304,0))),"")</f>
        <v/>
      </c>
      <c r="H88" s="144" t="str">
        <f>IFERROR(IF(INDEX('Portfolio Register'!$CY$5:$CY$304,MATCH($B88,'Portfolio Register'!$DH$5:$DH$304,0))="","",INDEX('Portfolio Register'!$CY$5:$CY$304,MATCH($B88,'Portfolio Register'!$DH$5:$DH$304,0))),"")</f>
        <v/>
      </c>
      <c r="I88" s="142" t="str">
        <f>IFERROR(IF(INDEX('Portfolio Register'!$CZ$5:$CZ$304,MATCH($B88,'Portfolio Register'!$DH$5:$DH$304,0))="","",INDEX('Portfolio Register'!$CZ$5:$CZ$304,MATCH($B88,'Portfolio Register'!$DH$5:$DH$304,0))),"")</f>
        <v/>
      </c>
      <c r="J88" s="142" t="str">
        <f>IFERROR(IF(INDEX('Portfolio Register'!$DA$5:$DA$304,MATCH($B88,'Portfolio Register'!$DH$5:$DH$304,0))="","",INDEX('Portfolio Register'!$DA$5:$DA$304,MATCH($B88,'Portfolio Register'!$DH$5:$DH$304,0))),"")</f>
        <v/>
      </c>
      <c r="K88" s="142" t="str">
        <f>IFERROR(IF(INDEX('Portfolio Register'!$DB$5:$DB$304,MATCH($B88,'Portfolio Register'!$DH$5:$DH$304,0))="","",INDEX('Portfolio Register'!$DB$5:$DB$304,MATCH($B88,'Portfolio Register'!$DH$5:$DH$304,0))),"")</f>
        <v/>
      </c>
      <c r="L88" s="142" t="str">
        <f>IFERROR(IF(INDEX('Portfolio Register'!$DC$5:$DC$304,MATCH($B88,'Portfolio Register'!$DH$5:$DH$304,0))="","",INDEX('Portfolio Register'!$DC$5:$DC$304,MATCH($B88,'Portfolio Register'!$DH$5:$DH$304,0))),"")</f>
        <v/>
      </c>
      <c r="M88" s="145" t="str">
        <f>IFERROR(IF(INDEX('Portfolio Register'!$DD$5:$DD$304,MATCH($B88,'Portfolio Register'!$DH$5:$DH$304,0))="","",INDEX('Portfolio Register'!$DD$5:$DD$304,MATCH($B88,'Portfolio Register'!$DH$5:$DH$304,0))),"")</f>
        <v/>
      </c>
      <c r="N88" s="146" t="str">
        <f ca="1">IF($C88="","",IF($M88&lt;&gt;"",$M88-IFERROR(INDEX('Portfolio Register'!$C$5:$C$304,MATCH($B88,'Portfolio Register'!$DH$5:$DH$304,0)),$M88),TODAY()-IFERROR(INDEX('Portfolio Register'!$C$5:$C$304,MATCH($B88,'Portfolio Register'!$DH$5:$DH$304,0)),TODAY())))</f>
        <v/>
      </c>
      <c r="O88" s="147" t="str">
        <f t="shared" si="1"/>
        <v/>
      </c>
      <c r="P88" s="142" t="str">
        <f>IFERROR(IF(INDEX('Portfolio Register'!$DG$5:$DG$304,MATCH($B88,'Portfolio Register'!$DH$5:$DH$304,0))="","",INDEX('Portfolio Register'!$DG$5:$DG$304,MATCH($B88,'Portfolio Register'!$DH$5:$DH$304,0))),"")</f>
        <v/>
      </c>
      <c r="Q88" s="142" t="str">
        <f>IFERROR(IF(INDEX('Portfolio Register'!$DF$5:$DF$304,MATCH($B88,'Portfolio Register'!$DH$5:$DH$304,0))="","",INDEX('Portfolio Register'!$DF$5:$DF$304,MATCH($B88,'Portfolio Register'!$DH$5:$DH$304,0))),"")</f>
        <v/>
      </c>
    </row>
    <row r="89" spans="2:17" x14ac:dyDescent="0.35">
      <c r="B89" s="65">
        <v>62</v>
      </c>
      <c r="C89" s="148" t="str">
        <f>IFERROR(IF(INDEX('Portfolio Register'!$A$5:$A$304,MATCH($B89,'Portfolio Register'!$DH$5:$DH$304,0))="","",INDEX('Portfolio Register'!$A$5:$A$304,MATCH($B89,'Portfolio Register'!$DH$5:$DH$304,0))),"")</f>
        <v/>
      </c>
      <c r="D89" s="148" t="str">
        <f>IFERROR(IF(INDEX('Portfolio Register'!$B$5:$B$304,MATCH($B89,'Portfolio Register'!$DH$5:$DH$304,0))="","",INDEX('Portfolio Register'!$B$5:$B$304,MATCH($B89,'Portfolio Register'!$DH$5:$DH$304,0))),"")</f>
        <v/>
      </c>
      <c r="E89" s="148" t="str">
        <f>IFERROR(IF(INDEX('Portfolio Register'!$I$5:$I$304,MATCH($B89,'Portfolio Register'!$DH$5:$DH$304,0))="","",INDEX('Portfolio Register'!$I$5:$I$304,MATCH($B89,'Portfolio Register'!$DH$5:$DH$304,0))),"")</f>
        <v/>
      </c>
      <c r="F89" s="149" t="str">
        <f>IFERROR(IF(INDEX('Portfolio Register'!$J$5:$J$304,MATCH($B89,'Portfolio Register'!$DH$5:$DH$304,0))="","",INDEX('Portfolio Register'!$J$5:$J$304,MATCH($B89,'Portfolio Register'!$DH$5:$DH$304,0))),"")</f>
        <v/>
      </c>
      <c r="G89" s="148" t="str">
        <f>IFERROR(IF(INDEX('Portfolio Register'!$CX$5:$CX$304,MATCH($B89,'Portfolio Register'!$DH$5:$DH$304,0))="","",INDEX('Portfolio Register'!$CX$5:$CX$304,MATCH($B89,'Portfolio Register'!$DH$5:$DH$304,0))),"")</f>
        <v/>
      </c>
      <c r="H89" s="150" t="str">
        <f>IFERROR(IF(INDEX('Portfolio Register'!$CY$5:$CY$304,MATCH($B89,'Portfolio Register'!$DH$5:$DH$304,0))="","",INDEX('Portfolio Register'!$CY$5:$CY$304,MATCH($B89,'Portfolio Register'!$DH$5:$DH$304,0))),"")</f>
        <v/>
      </c>
      <c r="I89" s="148" t="str">
        <f>IFERROR(IF(INDEX('Portfolio Register'!$CZ$5:$CZ$304,MATCH($B89,'Portfolio Register'!$DH$5:$DH$304,0))="","",INDEX('Portfolio Register'!$CZ$5:$CZ$304,MATCH($B89,'Portfolio Register'!$DH$5:$DH$304,0))),"")</f>
        <v/>
      </c>
      <c r="J89" s="148" t="str">
        <f>IFERROR(IF(INDEX('Portfolio Register'!$DA$5:$DA$304,MATCH($B89,'Portfolio Register'!$DH$5:$DH$304,0))="","",INDEX('Portfolio Register'!$DA$5:$DA$304,MATCH($B89,'Portfolio Register'!$DH$5:$DH$304,0))),"")</f>
        <v/>
      </c>
      <c r="K89" s="148" t="str">
        <f>IFERROR(IF(INDEX('Portfolio Register'!$DB$5:$DB$304,MATCH($B89,'Portfolio Register'!$DH$5:$DH$304,0))="","",INDEX('Portfolio Register'!$DB$5:$DB$304,MATCH($B89,'Portfolio Register'!$DH$5:$DH$304,0))),"")</f>
        <v/>
      </c>
      <c r="L89" s="148" t="str">
        <f>IFERROR(IF(INDEX('Portfolio Register'!$DC$5:$DC$304,MATCH($B89,'Portfolio Register'!$DH$5:$DH$304,0))="","",INDEX('Portfolio Register'!$DC$5:$DC$304,MATCH($B89,'Portfolio Register'!$DH$5:$DH$304,0))),"")</f>
        <v/>
      </c>
      <c r="M89" s="151" t="str">
        <f>IFERROR(IF(INDEX('Portfolio Register'!$DD$5:$DD$304,MATCH($B89,'Portfolio Register'!$DH$5:$DH$304,0))="","",INDEX('Portfolio Register'!$DD$5:$DD$304,MATCH($B89,'Portfolio Register'!$DH$5:$DH$304,0))),"")</f>
        <v/>
      </c>
      <c r="N89" s="152" t="str">
        <f ca="1">IF($C89="","",IF($M89&lt;&gt;"",$M89-IFERROR(INDEX('Portfolio Register'!$C$5:$C$304,MATCH($B89,'Portfolio Register'!$DH$5:$DH$304,0)),$M89),TODAY()-IFERROR(INDEX('Portfolio Register'!$C$5:$C$304,MATCH($B89,'Portfolio Register'!$DH$5:$DH$304,0)),TODAY())))</f>
        <v/>
      </c>
      <c r="O89" s="153" t="str">
        <f t="shared" si="1"/>
        <v/>
      </c>
      <c r="P89" s="148" t="str">
        <f>IFERROR(IF(INDEX('Portfolio Register'!$DG$5:$DG$304,MATCH($B89,'Portfolio Register'!$DH$5:$DH$304,0))="","",INDEX('Portfolio Register'!$DG$5:$DG$304,MATCH($B89,'Portfolio Register'!$DH$5:$DH$304,0))),"")</f>
        <v/>
      </c>
      <c r="Q89" s="148" t="str">
        <f>IFERROR(IF(INDEX('Portfolio Register'!$DF$5:$DF$304,MATCH($B89,'Portfolio Register'!$DH$5:$DH$304,0))="","",INDEX('Portfolio Register'!$DF$5:$DF$304,MATCH($B89,'Portfolio Register'!$DH$5:$DH$304,0))),"")</f>
        <v/>
      </c>
    </row>
    <row r="90" spans="2:17" x14ac:dyDescent="0.35">
      <c r="B90" s="58">
        <v>63</v>
      </c>
      <c r="C90" s="142" t="str">
        <f>IFERROR(IF(INDEX('Portfolio Register'!$A$5:$A$304,MATCH($B90,'Portfolio Register'!$DH$5:$DH$304,0))="","",INDEX('Portfolio Register'!$A$5:$A$304,MATCH($B90,'Portfolio Register'!$DH$5:$DH$304,0))),"")</f>
        <v/>
      </c>
      <c r="D90" s="142" t="str">
        <f>IFERROR(IF(INDEX('Portfolio Register'!$B$5:$B$304,MATCH($B90,'Portfolio Register'!$DH$5:$DH$304,0))="","",INDEX('Portfolio Register'!$B$5:$B$304,MATCH($B90,'Portfolio Register'!$DH$5:$DH$304,0))),"")</f>
        <v/>
      </c>
      <c r="E90" s="142" t="str">
        <f>IFERROR(IF(INDEX('Portfolio Register'!$I$5:$I$304,MATCH($B90,'Portfolio Register'!$DH$5:$DH$304,0))="","",INDEX('Portfolio Register'!$I$5:$I$304,MATCH($B90,'Portfolio Register'!$DH$5:$DH$304,0))),"")</f>
        <v/>
      </c>
      <c r="F90" s="143" t="str">
        <f>IFERROR(IF(INDEX('Portfolio Register'!$J$5:$J$304,MATCH($B90,'Portfolio Register'!$DH$5:$DH$304,0))="","",INDEX('Portfolio Register'!$J$5:$J$304,MATCH($B90,'Portfolio Register'!$DH$5:$DH$304,0))),"")</f>
        <v/>
      </c>
      <c r="G90" s="142" t="str">
        <f>IFERROR(IF(INDEX('Portfolio Register'!$CX$5:$CX$304,MATCH($B90,'Portfolio Register'!$DH$5:$DH$304,0))="","",INDEX('Portfolio Register'!$CX$5:$CX$304,MATCH($B90,'Portfolio Register'!$DH$5:$DH$304,0))),"")</f>
        <v/>
      </c>
      <c r="H90" s="144" t="str">
        <f>IFERROR(IF(INDEX('Portfolio Register'!$CY$5:$CY$304,MATCH($B90,'Portfolio Register'!$DH$5:$DH$304,0))="","",INDEX('Portfolio Register'!$CY$5:$CY$304,MATCH($B90,'Portfolio Register'!$DH$5:$DH$304,0))),"")</f>
        <v/>
      </c>
      <c r="I90" s="142" t="str">
        <f>IFERROR(IF(INDEX('Portfolio Register'!$CZ$5:$CZ$304,MATCH($B90,'Portfolio Register'!$DH$5:$DH$304,0))="","",INDEX('Portfolio Register'!$CZ$5:$CZ$304,MATCH($B90,'Portfolio Register'!$DH$5:$DH$304,0))),"")</f>
        <v/>
      </c>
      <c r="J90" s="142" t="str">
        <f>IFERROR(IF(INDEX('Portfolio Register'!$DA$5:$DA$304,MATCH($B90,'Portfolio Register'!$DH$5:$DH$304,0))="","",INDEX('Portfolio Register'!$DA$5:$DA$304,MATCH($B90,'Portfolio Register'!$DH$5:$DH$304,0))),"")</f>
        <v/>
      </c>
      <c r="K90" s="142" t="str">
        <f>IFERROR(IF(INDEX('Portfolio Register'!$DB$5:$DB$304,MATCH($B90,'Portfolio Register'!$DH$5:$DH$304,0))="","",INDEX('Portfolio Register'!$DB$5:$DB$304,MATCH($B90,'Portfolio Register'!$DH$5:$DH$304,0))),"")</f>
        <v/>
      </c>
      <c r="L90" s="142" t="str">
        <f>IFERROR(IF(INDEX('Portfolio Register'!$DC$5:$DC$304,MATCH($B90,'Portfolio Register'!$DH$5:$DH$304,0))="","",INDEX('Portfolio Register'!$DC$5:$DC$304,MATCH($B90,'Portfolio Register'!$DH$5:$DH$304,0))),"")</f>
        <v/>
      </c>
      <c r="M90" s="145" t="str">
        <f>IFERROR(IF(INDEX('Portfolio Register'!$DD$5:$DD$304,MATCH($B90,'Portfolio Register'!$DH$5:$DH$304,0))="","",INDEX('Portfolio Register'!$DD$5:$DD$304,MATCH($B90,'Portfolio Register'!$DH$5:$DH$304,0))),"")</f>
        <v/>
      </c>
      <c r="N90" s="146" t="str">
        <f ca="1">IF($C90="","",IF($M90&lt;&gt;"",$M90-IFERROR(INDEX('Portfolio Register'!$C$5:$C$304,MATCH($B90,'Portfolio Register'!$DH$5:$DH$304,0)),$M90),TODAY()-IFERROR(INDEX('Portfolio Register'!$C$5:$C$304,MATCH($B90,'Portfolio Register'!$DH$5:$DH$304,0)),TODAY())))</f>
        <v/>
      </c>
      <c r="O90" s="147" t="str">
        <f t="shared" si="1"/>
        <v/>
      </c>
      <c r="P90" s="142" t="str">
        <f>IFERROR(IF(INDEX('Portfolio Register'!$DG$5:$DG$304,MATCH($B90,'Portfolio Register'!$DH$5:$DH$304,0))="","",INDEX('Portfolio Register'!$DG$5:$DG$304,MATCH($B90,'Portfolio Register'!$DH$5:$DH$304,0))),"")</f>
        <v/>
      </c>
      <c r="Q90" s="142" t="str">
        <f>IFERROR(IF(INDEX('Portfolio Register'!$DF$5:$DF$304,MATCH($B90,'Portfolio Register'!$DH$5:$DH$304,0))="","",INDEX('Portfolio Register'!$DF$5:$DF$304,MATCH($B90,'Portfolio Register'!$DH$5:$DH$304,0))),"")</f>
        <v/>
      </c>
    </row>
    <row r="91" spans="2:17" x14ac:dyDescent="0.35">
      <c r="B91" s="65">
        <v>64</v>
      </c>
      <c r="C91" s="148" t="str">
        <f>IFERROR(IF(INDEX('Portfolio Register'!$A$5:$A$304,MATCH($B91,'Portfolio Register'!$DH$5:$DH$304,0))="","",INDEX('Portfolio Register'!$A$5:$A$304,MATCH($B91,'Portfolio Register'!$DH$5:$DH$304,0))),"")</f>
        <v/>
      </c>
      <c r="D91" s="148" t="str">
        <f>IFERROR(IF(INDEX('Portfolio Register'!$B$5:$B$304,MATCH($B91,'Portfolio Register'!$DH$5:$DH$304,0))="","",INDEX('Portfolio Register'!$B$5:$B$304,MATCH($B91,'Portfolio Register'!$DH$5:$DH$304,0))),"")</f>
        <v/>
      </c>
      <c r="E91" s="148" t="str">
        <f>IFERROR(IF(INDEX('Portfolio Register'!$I$5:$I$304,MATCH($B91,'Portfolio Register'!$DH$5:$DH$304,0))="","",INDEX('Portfolio Register'!$I$5:$I$304,MATCH($B91,'Portfolio Register'!$DH$5:$DH$304,0))),"")</f>
        <v/>
      </c>
      <c r="F91" s="149" t="str">
        <f>IFERROR(IF(INDEX('Portfolio Register'!$J$5:$J$304,MATCH($B91,'Portfolio Register'!$DH$5:$DH$304,0))="","",INDEX('Portfolio Register'!$J$5:$J$304,MATCH($B91,'Portfolio Register'!$DH$5:$DH$304,0))),"")</f>
        <v/>
      </c>
      <c r="G91" s="148" t="str">
        <f>IFERROR(IF(INDEX('Portfolio Register'!$CX$5:$CX$304,MATCH($B91,'Portfolio Register'!$DH$5:$DH$304,0))="","",INDEX('Portfolio Register'!$CX$5:$CX$304,MATCH($B91,'Portfolio Register'!$DH$5:$DH$304,0))),"")</f>
        <v/>
      </c>
      <c r="H91" s="150" t="str">
        <f>IFERROR(IF(INDEX('Portfolio Register'!$CY$5:$CY$304,MATCH($B91,'Portfolio Register'!$DH$5:$DH$304,0))="","",INDEX('Portfolio Register'!$CY$5:$CY$304,MATCH($B91,'Portfolio Register'!$DH$5:$DH$304,0))),"")</f>
        <v/>
      </c>
      <c r="I91" s="148" t="str">
        <f>IFERROR(IF(INDEX('Portfolio Register'!$CZ$5:$CZ$304,MATCH($B91,'Portfolio Register'!$DH$5:$DH$304,0))="","",INDEX('Portfolio Register'!$CZ$5:$CZ$304,MATCH($B91,'Portfolio Register'!$DH$5:$DH$304,0))),"")</f>
        <v/>
      </c>
      <c r="J91" s="148" t="str">
        <f>IFERROR(IF(INDEX('Portfolio Register'!$DA$5:$DA$304,MATCH($B91,'Portfolio Register'!$DH$5:$DH$304,0))="","",INDEX('Portfolio Register'!$DA$5:$DA$304,MATCH($B91,'Portfolio Register'!$DH$5:$DH$304,0))),"")</f>
        <v/>
      </c>
      <c r="K91" s="148" t="str">
        <f>IFERROR(IF(INDEX('Portfolio Register'!$DB$5:$DB$304,MATCH($B91,'Portfolio Register'!$DH$5:$DH$304,0))="","",INDEX('Portfolio Register'!$DB$5:$DB$304,MATCH($B91,'Portfolio Register'!$DH$5:$DH$304,0))),"")</f>
        <v/>
      </c>
      <c r="L91" s="148" t="str">
        <f>IFERROR(IF(INDEX('Portfolio Register'!$DC$5:$DC$304,MATCH($B91,'Portfolio Register'!$DH$5:$DH$304,0))="","",INDEX('Portfolio Register'!$DC$5:$DC$304,MATCH($B91,'Portfolio Register'!$DH$5:$DH$304,0))),"")</f>
        <v/>
      </c>
      <c r="M91" s="151" t="str">
        <f>IFERROR(IF(INDEX('Portfolio Register'!$DD$5:$DD$304,MATCH($B91,'Portfolio Register'!$DH$5:$DH$304,0))="","",INDEX('Portfolio Register'!$DD$5:$DD$304,MATCH($B91,'Portfolio Register'!$DH$5:$DH$304,0))),"")</f>
        <v/>
      </c>
      <c r="N91" s="152" t="str">
        <f ca="1">IF($C91="","",IF($M91&lt;&gt;"",$M91-IFERROR(INDEX('Portfolio Register'!$C$5:$C$304,MATCH($B91,'Portfolio Register'!$DH$5:$DH$304,0)),$M91),TODAY()-IFERROR(INDEX('Portfolio Register'!$C$5:$C$304,MATCH($B91,'Portfolio Register'!$DH$5:$DH$304,0)),TODAY())))</f>
        <v/>
      </c>
      <c r="O91" s="153" t="str">
        <f t="shared" si="1"/>
        <v/>
      </c>
      <c r="P91" s="148" t="str">
        <f>IFERROR(IF(INDEX('Portfolio Register'!$DG$5:$DG$304,MATCH($B91,'Portfolio Register'!$DH$5:$DH$304,0))="","",INDEX('Portfolio Register'!$DG$5:$DG$304,MATCH($B91,'Portfolio Register'!$DH$5:$DH$304,0))),"")</f>
        <v/>
      </c>
      <c r="Q91" s="148" t="str">
        <f>IFERROR(IF(INDEX('Portfolio Register'!$DF$5:$DF$304,MATCH($B91,'Portfolio Register'!$DH$5:$DH$304,0))="","",INDEX('Portfolio Register'!$DF$5:$DF$304,MATCH($B91,'Portfolio Register'!$DH$5:$DH$304,0))),"")</f>
        <v/>
      </c>
    </row>
    <row r="92" spans="2:17" x14ac:dyDescent="0.35">
      <c r="B92" s="58">
        <v>65</v>
      </c>
      <c r="C92" s="142" t="str">
        <f>IFERROR(IF(INDEX('Portfolio Register'!$A$5:$A$304,MATCH($B92,'Portfolio Register'!$DH$5:$DH$304,0))="","",INDEX('Portfolio Register'!$A$5:$A$304,MATCH($B92,'Portfolio Register'!$DH$5:$DH$304,0))),"")</f>
        <v/>
      </c>
      <c r="D92" s="142" t="str">
        <f>IFERROR(IF(INDEX('Portfolio Register'!$B$5:$B$304,MATCH($B92,'Portfolio Register'!$DH$5:$DH$304,0))="","",INDEX('Portfolio Register'!$B$5:$B$304,MATCH($B92,'Portfolio Register'!$DH$5:$DH$304,0))),"")</f>
        <v/>
      </c>
      <c r="E92" s="142" t="str">
        <f>IFERROR(IF(INDEX('Portfolio Register'!$I$5:$I$304,MATCH($B92,'Portfolio Register'!$DH$5:$DH$304,0))="","",INDEX('Portfolio Register'!$I$5:$I$304,MATCH($B92,'Portfolio Register'!$DH$5:$DH$304,0))),"")</f>
        <v/>
      </c>
      <c r="F92" s="143" t="str">
        <f>IFERROR(IF(INDEX('Portfolio Register'!$J$5:$J$304,MATCH($B92,'Portfolio Register'!$DH$5:$DH$304,0))="","",INDEX('Portfolio Register'!$J$5:$J$304,MATCH($B92,'Portfolio Register'!$DH$5:$DH$304,0))),"")</f>
        <v/>
      </c>
      <c r="G92" s="142" t="str">
        <f>IFERROR(IF(INDEX('Portfolio Register'!$CX$5:$CX$304,MATCH($B92,'Portfolio Register'!$DH$5:$DH$304,0))="","",INDEX('Portfolio Register'!$CX$5:$CX$304,MATCH($B92,'Portfolio Register'!$DH$5:$DH$304,0))),"")</f>
        <v/>
      </c>
      <c r="H92" s="144" t="str">
        <f>IFERROR(IF(INDEX('Portfolio Register'!$CY$5:$CY$304,MATCH($B92,'Portfolio Register'!$DH$5:$DH$304,0))="","",INDEX('Portfolio Register'!$CY$5:$CY$304,MATCH($B92,'Portfolio Register'!$DH$5:$DH$304,0))),"")</f>
        <v/>
      </c>
      <c r="I92" s="142" t="str">
        <f>IFERROR(IF(INDEX('Portfolio Register'!$CZ$5:$CZ$304,MATCH($B92,'Portfolio Register'!$DH$5:$DH$304,0))="","",INDEX('Portfolio Register'!$CZ$5:$CZ$304,MATCH($B92,'Portfolio Register'!$DH$5:$DH$304,0))),"")</f>
        <v/>
      </c>
      <c r="J92" s="142" t="str">
        <f>IFERROR(IF(INDEX('Portfolio Register'!$DA$5:$DA$304,MATCH($B92,'Portfolio Register'!$DH$5:$DH$304,0))="","",INDEX('Portfolio Register'!$DA$5:$DA$304,MATCH($B92,'Portfolio Register'!$DH$5:$DH$304,0))),"")</f>
        <v/>
      </c>
      <c r="K92" s="142" t="str">
        <f>IFERROR(IF(INDEX('Portfolio Register'!$DB$5:$DB$304,MATCH($B92,'Portfolio Register'!$DH$5:$DH$304,0))="","",INDEX('Portfolio Register'!$DB$5:$DB$304,MATCH($B92,'Portfolio Register'!$DH$5:$DH$304,0))),"")</f>
        <v/>
      </c>
      <c r="L92" s="142" t="str">
        <f>IFERROR(IF(INDEX('Portfolio Register'!$DC$5:$DC$304,MATCH($B92,'Portfolio Register'!$DH$5:$DH$304,0))="","",INDEX('Portfolio Register'!$DC$5:$DC$304,MATCH($B92,'Portfolio Register'!$DH$5:$DH$304,0))),"")</f>
        <v/>
      </c>
      <c r="M92" s="145" t="str">
        <f>IFERROR(IF(INDEX('Portfolio Register'!$DD$5:$DD$304,MATCH($B92,'Portfolio Register'!$DH$5:$DH$304,0))="","",INDEX('Portfolio Register'!$DD$5:$DD$304,MATCH($B92,'Portfolio Register'!$DH$5:$DH$304,0))),"")</f>
        <v/>
      </c>
      <c r="N92" s="146" t="str">
        <f ca="1">IF($C92="","",IF($M92&lt;&gt;"",$M92-IFERROR(INDEX('Portfolio Register'!$C$5:$C$304,MATCH($B92,'Portfolio Register'!$DH$5:$DH$304,0)),$M92),TODAY()-IFERROR(INDEX('Portfolio Register'!$C$5:$C$304,MATCH($B92,'Portfolio Register'!$DH$5:$DH$304,0)),TODAY())))</f>
        <v/>
      </c>
      <c r="O92" s="147" t="str">
        <f t="shared" ref="O92:O123" si="2">IF($C92="","",IF($L92="","NO ROLE RECORDED",IF($H92&lt;IFERROR(INDEX($C$6:$C$10,MATCH($L92,$B$6:$B$10,0)),-99),"INSUFFICIENT AUTHORITY - escalate","OK")))</f>
        <v/>
      </c>
      <c r="P92" s="142" t="str">
        <f>IFERROR(IF(INDEX('Portfolio Register'!$DG$5:$DG$304,MATCH($B92,'Portfolio Register'!$DH$5:$DH$304,0))="","",INDEX('Portfolio Register'!$DG$5:$DG$304,MATCH($B92,'Portfolio Register'!$DH$5:$DH$304,0))),"")</f>
        <v/>
      </c>
      <c r="Q92" s="142" t="str">
        <f>IFERROR(IF(INDEX('Portfolio Register'!$DF$5:$DF$304,MATCH($B92,'Portfolio Register'!$DH$5:$DH$304,0))="","",INDEX('Portfolio Register'!$DF$5:$DF$304,MATCH($B92,'Portfolio Register'!$DH$5:$DH$304,0))),"")</f>
        <v/>
      </c>
    </row>
    <row r="93" spans="2:17" x14ac:dyDescent="0.35">
      <c r="B93" s="65">
        <v>66</v>
      </c>
      <c r="C93" s="148" t="str">
        <f>IFERROR(IF(INDEX('Portfolio Register'!$A$5:$A$304,MATCH($B93,'Portfolio Register'!$DH$5:$DH$304,0))="","",INDEX('Portfolio Register'!$A$5:$A$304,MATCH($B93,'Portfolio Register'!$DH$5:$DH$304,0))),"")</f>
        <v/>
      </c>
      <c r="D93" s="148" t="str">
        <f>IFERROR(IF(INDEX('Portfolio Register'!$B$5:$B$304,MATCH($B93,'Portfolio Register'!$DH$5:$DH$304,0))="","",INDEX('Portfolio Register'!$B$5:$B$304,MATCH($B93,'Portfolio Register'!$DH$5:$DH$304,0))),"")</f>
        <v/>
      </c>
      <c r="E93" s="148" t="str">
        <f>IFERROR(IF(INDEX('Portfolio Register'!$I$5:$I$304,MATCH($B93,'Portfolio Register'!$DH$5:$DH$304,0))="","",INDEX('Portfolio Register'!$I$5:$I$304,MATCH($B93,'Portfolio Register'!$DH$5:$DH$304,0))),"")</f>
        <v/>
      </c>
      <c r="F93" s="149" t="str">
        <f>IFERROR(IF(INDEX('Portfolio Register'!$J$5:$J$304,MATCH($B93,'Portfolio Register'!$DH$5:$DH$304,0))="","",INDEX('Portfolio Register'!$J$5:$J$304,MATCH($B93,'Portfolio Register'!$DH$5:$DH$304,0))),"")</f>
        <v/>
      </c>
      <c r="G93" s="148" t="str">
        <f>IFERROR(IF(INDEX('Portfolio Register'!$CX$5:$CX$304,MATCH($B93,'Portfolio Register'!$DH$5:$DH$304,0))="","",INDEX('Portfolio Register'!$CX$5:$CX$304,MATCH($B93,'Portfolio Register'!$DH$5:$DH$304,0))),"")</f>
        <v/>
      </c>
      <c r="H93" s="150" t="str">
        <f>IFERROR(IF(INDEX('Portfolio Register'!$CY$5:$CY$304,MATCH($B93,'Portfolio Register'!$DH$5:$DH$304,0))="","",INDEX('Portfolio Register'!$CY$5:$CY$304,MATCH($B93,'Portfolio Register'!$DH$5:$DH$304,0))),"")</f>
        <v/>
      </c>
      <c r="I93" s="148" t="str">
        <f>IFERROR(IF(INDEX('Portfolio Register'!$CZ$5:$CZ$304,MATCH($B93,'Portfolio Register'!$DH$5:$DH$304,0))="","",INDEX('Portfolio Register'!$CZ$5:$CZ$304,MATCH($B93,'Portfolio Register'!$DH$5:$DH$304,0))),"")</f>
        <v/>
      </c>
      <c r="J93" s="148" t="str">
        <f>IFERROR(IF(INDEX('Portfolio Register'!$DA$5:$DA$304,MATCH($B93,'Portfolio Register'!$DH$5:$DH$304,0))="","",INDEX('Portfolio Register'!$DA$5:$DA$304,MATCH($B93,'Portfolio Register'!$DH$5:$DH$304,0))),"")</f>
        <v/>
      </c>
      <c r="K93" s="148" t="str">
        <f>IFERROR(IF(INDEX('Portfolio Register'!$DB$5:$DB$304,MATCH($B93,'Portfolio Register'!$DH$5:$DH$304,0))="","",INDEX('Portfolio Register'!$DB$5:$DB$304,MATCH($B93,'Portfolio Register'!$DH$5:$DH$304,0))),"")</f>
        <v/>
      </c>
      <c r="L93" s="148" t="str">
        <f>IFERROR(IF(INDEX('Portfolio Register'!$DC$5:$DC$304,MATCH($B93,'Portfolio Register'!$DH$5:$DH$304,0))="","",INDEX('Portfolio Register'!$DC$5:$DC$304,MATCH($B93,'Portfolio Register'!$DH$5:$DH$304,0))),"")</f>
        <v/>
      </c>
      <c r="M93" s="151" t="str">
        <f>IFERROR(IF(INDEX('Portfolio Register'!$DD$5:$DD$304,MATCH($B93,'Portfolio Register'!$DH$5:$DH$304,0))="","",INDEX('Portfolio Register'!$DD$5:$DD$304,MATCH($B93,'Portfolio Register'!$DH$5:$DH$304,0))),"")</f>
        <v/>
      </c>
      <c r="N93" s="152" t="str">
        <f ca="1">IF($C93="","",IF($M93&lt;&gt;"",$M93-IFERROR(INDEX('Portfolio Register'!$C$5:$C$304,MATCH($B93,'Portfolio Register'!$DH$5:$DH$304,0)),$M93),TODAY()-IFERROR(INDEX('Portfolio Register'!$C$5:$C$304,MATCH($B93,'Portfolio Register'!$DH$5:$DH$304,0)),TODAY())))</f>
        <v/>
      </c>
      <c r="O93" s="153" t="str">
        <f t="shared" si="2"/>
        <v/>
      </c>
      <c r="P93" s="148" t="str">
        <f>IFERROR(IF(INDEX('Portfolio Register'!$DG$5:$DG$304,MATCH($B93,'Portfolio Register'!$DH$5:$DH$304,0))="","",INDEX('Portfolio Register'!$DG$5:$DG$304,MATCH($B93,'Portfolio Register'!$DH$5:$DH$304,0))),"")</f>
        <v/>
      </c>
      <c r="Q93" s="148" t="str">
        <f>IFERROR(IF(INDEX('Portfolio Register'!$DF$5:$DF$304,MATCH($B93,'Portfolio Register'!$DH$5:$DH$304,0))="","",INDEX('Portfolio Register'!$DF$5:$DF$304,MATCH($B93,'Portfolio Register'!$DH$5:$DH$304,0))),"")</f>
        <v/>
      </c>
    </row>
    <row r="94" spans="2:17" x14ac:dyDescent="0.35">
      <c r="B94" s="58">
        <v>67</v>
      </c>
      <c r="C94" s="142" t="str">
        <f>IFERROR(IF(INDEX('Portfolio Register'!$A$5:$A$304,MATCH($B94,'Portfolio Register'!$DH$5:$DH$304,0))="","",INDEX('Portfolio Register'!$A$5:$A$304,MATCH($B94,'Portfolio Register'!$DH$5:$DH$304,0))),"")</f>
        <v/>
      </c>
      <c r="D94" s="142" t="str">
        <f>IFERROR(IF(INDEX('Portfolio Register'!$B$5:$B$304,MATCH($B94,'Portfolio Register'!$DH$5:$DH$304,0))="","",INDEX('Portfolio Register'!$B$5:$B$304,MATCH($B94,'Portfolio Register'!$DH$5:$DH$304,0))),"")</f>
        <v/>
      </c>
      <c r="E94" s="142" t="str">
        <f>IFERROR(IF(INDEX('Portfolio Register'!$I$5:$I$304,MATCH($B94,'Portfolio Register'!$DH$5:$DH$304,0))="","",INDEX('Portfolio Register'!$I$5:$I$304,MATCH($B94,'Portfolio Register'!$DH$5:$DH$304,0))),"")</f>
        <v/>
      </c>
      <c r="F94" s="143" t="str">
        <f>IFERROR(IF(INDEX('Portfolio Register'!$J$5:$J$304,MATCH($B94,'Portfolio Register'!$DH$5:$DH$304,0))="","",INDEX('Portfolio Register'!$J$5:$J$304,MATCH($B94,'Portfolio Register'!$DH$5:$DH$304,0))),"")</f>
        <v/>
      </c>
      <c r="G94" s="142" t="str">
        <f>IFERROR(IF(INDEX('Portfolio Register'!$CX$5:$CX$304,MATCH($B94,'Portfolio Register'!$DH$5:$DH$304,0))="","",INDEX('Portfolio Register'!$CX$5:$CX$304,MATCH($B94,'Portfolio Register'!$DH$5:$DH$304,0))),"")</f>
        <v/>
      </c>
      <c r="H94" s="144" t="str">
        <f>IFERROR(IF(INDEX('Portfolio Register'!$CY$5:$CY$304,MATCH($B94,'Portfolio Register'!$DH$5:$DH$304,0))="","",INDEX('Portfolio Register'!$CY$5:$CY$304,MATCH($B94,'Portfolio Register'!$DH$5:$DH$304,0))),"")</f>
        <v/>
      </c>
      <c r="I94" s="142" t="str">
        <f>IFERROR(IF(INDEX('Portfolio Register'!$CZ$5:$CZ$304,MATCH($B94,'Portfolio Register'!$DH$5:$DH$304,0))="","",INDEX('Portfolio Register'!$CZ$5:$CZ$304,MATCH($B94,'Portfolio Register'!$DH$5:$DH$304,0))),"")</f>
        <v/>
      </c>
      <c r="J94" s="142" t="str">
        <f>IFERROR(IF(INDEX('Portfolio Register'!$DA$5:$DA$304,MATCH($B94,'Portfolio Register'!$DH$5:$DH$304,0))="","",INDEX('Portfolio Register'!$DA$5:$DA$304,MATCH($B94,'Portfolio Register'!$DH$5:$DH$304,0))),"")</f>
        <v/>
      </c>
      <c r="K94" s="142" t="str">
        <f>IFERROR(IF(INDEX('Portfolio Register'!$DB$5:$DB$304,MATCH($B94,'Portfolio Register'!$DH$5:$DH$304,0))="","",INDEX('Portfolio Register'!$DB$5:$DB$304,MATCH($B94,'Portfolio Register'!$DH$5:$DH$304,0))),"")</f>
        <v/>
      </c>
      <c r="L94" s="142" t="str">
        <f>IFERROR(IF(INDEX('Portfolio Register'!$DC$5:$DC$304,MATCH($B94,'Portfolio Register'!$DH$5:$DH$304,0))="","",INDEX('Portfolio Register'!$DC$5:$DC$304,MATCH($B94,'Portfolio Register'!$DH$5:$DH$304,0))),"")</f>
        <v/>
      </c>
      <c r="M94" s="145" t="str">
        <f>IFERROR(IF(INDEX('Portfolio Register'!$DD$5:$DD$304,MATCH($B94,'Portfolio Register'!$DH$5:$DH$304,0))="","",INDEX('Portfolio Register'!$DD$5:$DD$304,MATCH($B94,'Portfolio Register'!$DH$5:$DH$304,0))),"")</f>
        <v/>
      </c>
      <c r="N94" s="146" t="str">
        <f ca="1">IF($C94="","",IF($M94&lt;&gt;"",$M94-IFERROR(INDEX('Portfolio Register'!$C$5:$C$304,MATCH($B94,'Portfolio Register'!$DH$5:$DH$304,0)),$M94),TODAY()-IFERROR(INDEX('Portfolio Register'!$C$5:$C$304,MATCH($B94,'Portfolio Register'!$DH$5:$DH$304,0)),TODAY())))</f>
        <v/>
      </c>
      <c r="O94" s="147" t="str">
        <f t="shared" si="2"/>
        <v/>
      </c>
      <c r="P94" s="142" t="str">
        <f>IFERROR(IF(INDEX('Portfolio Register'!$DG$5:$DG$304,MATCH($B94,'Portfolio Register'!$DH$5:$DH$304,0))="","",INDEX('Portfolio Register'!$DG$5:$DG$304,MATCH($B94,'Portfolio Register'!$DH$5:$DH$304,0))),"")</f>
        <v/>
      </c>
      <c r="Q94" s="142" t="str">
        <f>IFERROR(IF(INDEX('Portfolio Register'!$DF$5:$DF$304,MATCH($B94,'Portfolio Register'!$DH$5:$DH$304,0))="","",INDEX('Portfolio Register'!$DF$5:$DF$304,MATCH($B94,'Portfolio Register'!$DH$5:$DH$304,0))),"")</f>
        <v/>
      </c>
    </row>
    <row r="95" spans="2:17" x14ac:dyDescent="0.35">
      <c r="B95" s="65">
        <v>68</v>
      </c>
      <c r="C95" s="148" t="str">
        <f>IFERROR(IF(INDEX('Portfolio Register'!$A$5:$A$304,MATCH($B95,'Portfolio Register'!$DH$5:$DH$304,0))="","",INDEX('Portfolio Register'!$A$5:$A$304,MATCH($B95,'Portfolio Register'!$DH$5:$DH$304,0))),"")</f>
        <v/>
      </c>
      <c r="D95" s="148" t="str">
        <f>IFERROR(IF(INDEX('Portfolio Register'!$B$5:$B$304,MATCH($B95,'Portfolio Register'!$DH$5:$DH$304,0))="","",INDEX('Portfolio Register'!$B$5:$B$304,MATCH($B95,'Portfolio Register'!$DH$5:$DH$304,0))),"")</f>
        <v/>
      </c>
      <c r="E95" s="148" t="str">
        <f>IFERROR(IF(INDEX('Portfolio Register'!$I$5:$I$304,MATCH($B95,'Portfolio Register'!$DH$5:$DH$304,0))="","",INDEX('Portfolio Register'!$I$5:$I$304,MATCH($B95,'Portfolio Register'!$DH$5:$DH$304,0))),"")</f>
        <v/>
      </c>
      <c r="F95" s="149" t="str">
        <f>IFERROR(IF(INDEX('Portfolio Register'!$J$5:$J$304,MATCH($B95,'Portfolio Register'!$DH$5:$DH$304,0))="","",INDEX('Portfolio Register'!$J$5:$J$304,MATCH($B95,'Portfolio Register'!$DH$5:$DH$304,0))),"")</f>
        <v/>
      </c>
      <c r="G95" s="148" t="str">
        <f>IFERROR(IF(INDEX('Portfolio Register'!$CX$5:$CX$304,MATCH($B95,'Portfolio Register'!$DH$5:$DH$304,0))="","",INDEX('Portfolio Register'!$CX$5:$CX$304,MATCH($B95,'Portfolio Register'!$DH$5:$DH$304,0))),"")</f>
        <v/>
      </c>
      <c r="H95" s="150" t="str">
        <f>IFERROR(IF(INDEX('Portfolio Register'!$CY$5:$CY$304,MATCH($B95,'Portfolio Register'!$DH$5:$DH$304,0))="","",INDEX('Portfolio Register'!$CY$5:$CY$304,MATCH($B95,'Portfolio Register'!$DH$5:$DH$304,0))),"")</f>
        <v/>
      </c>
      <c r="I95" s="148" t="str">
        <f>IFERROR(IF(INDEX('Portfolio Register'!$CZ$5:$CZ$304,MATCH($B95,'Portfolio Register'!$DH$5:$DH$304,0))="","",INDEX('Portfolio Register'!$CZ$5:$CZ$304,MATCH($B95,'Portfolio Register'!$DH$5:$DH$304,0))),"")</f>
        <v/>
      </c>
      <c r="J95" s="148" t="str">
        <f>IFERROR(IF(INDEX('Portfolio Register'!$DA$5:$DA$304,MATCH($B95,'Portfolio Register'!$DH$5:$DH$304,0))="","",INDEX('Portfolio Register'!$DA$5:$DA$304,MATCH($B95,'Portfolio Register'!$DH$5:$DH$304,0))),"")</f>
        <v/>
      </c>
      <c r="K95" s="148" t="str">
        <f>IFERROR(IF(INDEX('Portfolio Register'!$DB$5:$DB$304,MATCH($B95,'Portfolio Register'!$DH$5:$DH$304,0))="","",INDEX('Portfolio Register'!$DB$5:$DB$304,MATCH($B95,'Portfolio Register'!$DH$5:$DH$304,0))),"")</f>
        <v/>
      </c>
      <c r="L95" s="148" t="str">
        <f>IFERROR(IF(INDEX('Portfolio Register'!$DC$5:$DC$304,MATCH($B95,'Portfolio Register'!$DH$5:$DH$304,0))="","",INDEX('Portfolio Register'!$DC$5:$DC$304,MATCH($B95,'Portfolio Register'!$DH$5:$DH$304,0))),"")</f>
        <v/>
      </c>
      <c r="M95" s="151" t="str">
        <f>IFERROR(IF(INDEX('Portfolio Register'!$DD$5:$DD$304,MATCH($B95,'Portfolio Register'!$DH$5:$DH$304,0))="","",INDEX('Portfolio Register'!$DD$5:$DD$304,MATCH($B95,'Portfolio Register'!$DH$5:$DH$304,0))),"")</f>
        <v/>
      </c>
      <c r="N95" s="152" t="str">
        <f ca="1">IF($C95="","",IF($M95&lt;&gt;"",$M95-IFERROR(INDEX('Portfolio Register'!$C$5:$C$304,MATCH($B95,'Portfolio Register'!$DH$5:$DH$304,0)),$M95),TODAY()-IFERROR(INDEX('Portfolio Register'!$C$5:$C$304,MATCH($B95,'Portfolio Register'!$DH$5:$DH$304,0)),TODAY())))</f>
        <v/>
      </c>
      <c r="O95" s="153" t="str">
        <f t="shared" si="2"/>
        <v/>
      </c>
      <c r="P95" s="148" t="str">
        <f>IFERROR(IF(INDEX('Portfolio Register'!$DG$5:$DG$304,MATCH($B95,'Portfolio Register'!$DH$5:$DH$304,0))="","",INDEX('Portfolio Register'!$DG$5:$DG$304,MATCH($B95,'Portfolio Register'!$DH$5:$DH$304,0))),"")</f>
        <v/>
      </c>
      <c r="Q95" s="148" t="str">
        <f>IFERROR(IF(INDEX('Portfolio Register'!$DF$5:$DF$304,MATCH($B95,'Portfolio Register'!$DH$5:$DH$304,0))="","",INDEX('Portfolio Register'!$DF$5:$DF$304,MATCH($B95,'Portfolio Register'!$DH$5:$DH$304,0))),"")</f>
        <v/>
      </c>
    </row>
    <row r="96" spans="2:17" x14ac:dyDescent="0.35">
      <c r="B96" s="58">
        <v>69</v>
      </c>
      <c r="C96" s="142" t="str">
        <f>IFERROR(IF(INDEX('Portfolio Register'!$A$5:$A$304,MATCH($B96,'Portfolio Register'!$DH$5:$DH$304,0))="","",INDEX('Portfolio Register'!$A$5:$A$304,MATCH($B96,'Portfolio Register'!$DH$5:$DH$304,0))),"")</f>
        <v/>
      </c>
      <c r="D96" s="142" t="str">
        <f>IFERROR(IF(INDEX('Portfolio Register'!$B$5:$B$304,MATCH($B96,'Portfolio Register'!$DH$5:$DH$304,0))="","",INDEX('Portfolio Register'!$B$5:$B$304,MATCH($B96,'Portfolio Register'!$DH$5:$DH$304,0))),"")</f>
        <v/>
      </c>
      <c r="E96" s="142" t="str">
        <f>IFERROR(IF(INDEX('Portfolio Register'!$I$5:$I$304,MATCH($B96,'Portfolio Register'!$DH$5:$DH$304,0))="","",INDEX('Portfolio Register'!$I$5:$I$304,MATCH($B96,'Portfolio Register'!$DH$5:$DH$304,0))),"")</f>
        <v/>
      </c>
      <c r="F96" s="143" t="str">
        <f>IFERROR(IF(INDEX('Portfolio Register'!$J$5:$J$304,MATCH($B96,'Portfolio Register'!$DH$5:$DH$304,0))="","",INDEX('Portfolio Register'!$J$5:$J$304,MATCH($B96,'Portfolio Register'!$DH$5:$DH$304,0))),"")</f>
        <v/>
      </c>
      <c r="G96" s="142" t="str">
        <f>IFERROR(IF(INDEX('Portfolio Register'!$CX$5:$CX$304,MATCH($B96,'Portfolio Register'!$DH$5:$DH$304,0))="","",INDEX('Portfolio Register'!$CX$5:$CX$304,MATCH($B96,'Portfolio Register'!$DH$5:$DH$304,0))),"")</f>
        <v/>
      </c>
      <c r="H96" s="144" t="str">
        <f>IFERROR(IF(INDEX('Portfolio Register'!$CY$5:$CY$304,MATCH($B96,'Portfolio Register'!$DH$5:$DH$304,0))="","",INDEX('Portfolio Register'!$CY$5:$CY$304,MATCH($B96,'Portfolio Register'!$DH$5:$DH$304,0))),"")</f>
        <v/>
      </c>
      <c r="I96" s="142" t="str">
        <f>IFERROR(IF(INDEX('Portfolio Register'!$CZ$5:$CZ$304,MATCH($B96,'Portfolio Register'!$DH$5:$DH$304,0))="","",INDEX('Portfolio Register'!$CZ$5:$CZ$304,MATCH($B96,'Portfolio Register'!$DH$5:$DH$304,0))),"")</f>
        <v/>
      </c>
      <c r="J96" s="142" t="str">
        <f>IFERROR(IF(INDEX('Portfolio Register'!$DA$5:$DA$304,MATCH($B96,'Portfolio Register'!$DH$5:$DH$304,0))="","",INDEX('Portfolio Register'!$DA$5:$DA$304,MATCH($B96,'Portfolio Register'!$DH$5:$DH$304,0))),"")</f>
        <v/>
      </c>
      <c r="K96" s="142" t="str">
        <f>IFERROR(IF(INDEX('Portfolio Register'!$DB$5:$DB$304,MATCH($B96,'Portfolio Register'!$DH$5:$DH$304,0))="","",INDEX('Portfolio Register'!$DB$5:$DB$304,MATCH($B96,'Portfolio Register'!$DH$5:$DH$304,0))),"")</f>
        <v/>
      </c>
      <c r="L96" s="142" t="str">
        <f>IFERROR(IF(INDEX('Portfolio Register'!$DC$5:$DC$304,MATCH($B96,'Portfolio Register'!$DH$5:$DH$304,0))="","",INDEX('Portfolio Register'!$DC$5:$DC$304,MATCH($B96,'Portfolio Register'!$DH$5:$DH$304,0))),"")</f>
        <v/>
      </c>
      <c r="M96" s="145" t="str">
        <f>IFERROR(IF(INDEX('Portfolio Register'!$DD$5:$DD$304,MATCH($B96,'Portfolio Register'!$DH$5:$DH$304,0))="","",INDEX('Portfolio Register'!$DD$5:$DD$304,MATCH($B96,'Portfolio Register'!$DH$5:$DH$304,0))),"")</f>
        <v/>
      </c>
      <c r="N96" s="146" t="str">
        <f ca="1">IF($C96="","",IF($M96&lt;&gt;"",$M96-IFERROR(INDEX('Portfolio Register'!$C$5:$C$304,MATCH($B96,'Portfolio Register'!$DH$5:$DH$304,0)),$M96),TODAY()-IFERROR(INDEX('Portfolio Register'!$C$5:$C$304,MATCH($B96,'Portfolio Register'!$DH$5:$DH$304,0)),TODAY())))</f>
        <v/>
      </c>
      <c r="O96" s="147" t="str">
        <f t="shared" si="2"/>
        <v/>
      </c>
      <c r="P96" s="142" t="str">
        <f>IFERROR(IF(INDEX('Portfolio Register'!$DG$5:$DG$304,MATCH($B96,'Portfolio Register'!$DH$5:$DH$304,0))="","",INDEX('Portfolio Register'!$DG$5:$DG$304,MATCH($B96,'Portfolio Register'!$DH$5:$DH$304,0))),"")</f>
        <v/>
      </c>
      <c r="Q96" s="142" t="str">
        <f>IFERROR(IF(INDEX('Portfolio Register'!$DF$5:$DF$304,MATCH($B96,'Portfolio Register'!$DH$5:$DH$304,0))="","",INDEX('Portfolio Register'!$DF$5:$DF$304,MATCH($B96,'Portfolio Register'!$DH$5:$DH$304,0))),"")</f>
        <v/>
      </c>
    </row>
    <row r="97" spans="2:17" x14ac:dyDescent="0.35">
      <c r="B97" s="65">
        <v>70</v>
      </c>
      <c r="C97" s="148" t="str">
        <f>IFERROR(IF(INDEX('Portfolio Register'!$A$5:$A$304,MATCH($B97,'Portfolio Register'!$DH$5:$DH$304,0))="","",INDEX('Portfolio Register'!$A$5:$A$304,MATCH($B97,'Portfolio Register'!$DH$5:$DH$304,0))),"")</f>
        <v/>
      </c>
      <c r="D97" s="148" t="str">
        <f>IFERROR(IF(INDEX('Portfolio Register'!$B$5:$B$304,MATCH($B97,'Portfolio Register'!$DH$5:$DH$304,0))="","",INDEX('Portfolio Register'!$B$5:$B$304,MATCH($B97,'Portfolio Register'!$DH$5:$DH$304,0))),"")</f>
        <v/>
      </c>
      <c r="E97" s="148" t="str">
        <f>IFERROR(IF(INDEX('Portfolio Register'!$I$5:$I$304,MATCH($B97,'Portfolio Register'!$DH$5:$DH$304,0))="","",INDEX('Portfolio Register'!$I$5:$I$304,MATCH($B97,'Portfolio Register'!$DH$5:$DH$304,0))),"")</f>
        <v/>
      </c>
      <c r="F97" s="149" t="str">
        <f>IFERROR(IF(INDEX('Portfolio Register'!$J$5:$J$304,MATCH($B97,'Portfolio Register'!$DH$5:$DH$304,0))="","",INDEX('Portfolio Register'!$J$5:$J$304,MATCH($B97,'Portfolio Register'!$DH$5:$DH$304,0))),"")</f>
        <v/>
      </c>
      <c r="G97" s="148" t="str">
        <f>IFERROR(IF(INDEX('Portfolio Register'!$CX$5:$CX$304,MATCH($B97,'Portfolio Register'!$DH$5:$DH$304,0))="","",INDEX('Portfolio Register'!$CX$5:$CX$304,MATCH($B97,'Portfolio Register'!$DH$5:$DH$304,0))),"")</f>
        <v/>
      </c>
      <c r="H97" s="150" t="str">
        <f>IFERROR(IF(INDEX('Portfolio Register'!$CY$5:$CY$304,MATCH($B97,'Portfolio Register'!$DH$5:$DH$304,0))="","",INDEX('Portfolio Register'!$CY$5:$CY$304,MATCH($B97,'Portfolio Register'!$DH$5:$DH$304,0))),"")</f>
        <v/>
      </c>
      <c r="I97" s="148" t="str">
        <f>IFERROR(IF(INDEX('Portfolio Register'!$CZ$5:$CZ$304,MATCH($B97,'Portfolio Register'!$DH$5:$DH$304,0))="","",INDEX('Portfolio Register'!$CZ$5:$CZ$304,MATCH($B97,'Portfolio Register'!$DH$5:$DH$304,0))),"")</f>
        <v/>
      </c>
      <c r="J97" s="148" t="str">
        <f>IFERROR(IF(INDEX('Portfolio Register'!$DA$5:$DA$304,MATCH($B97,'Portfolio Register'!$DH$5:$DH$304,0))="","",INDEX('Portfolio Register'!$DA$5:$DA$304,MATCH($B97,'Portfolio Register'!$DH$5:$DH$304,0))),"")</f>
        <v/>
      </c>
      <c r="K97" s="148" t="str">
        <f>IFERROR(IF(INDEX('Portfolio Register'!$DB$5:$DB$304,MATCH($B97,'Portfolio Register'!$DH$5:$DH$304,0))="","",INDEX('Portfolio Register'!$DB$5:$DB$304,MATCH($B97,'Portfolio Register'!$DH$5:$DH$304,0))),"")</f>
        <v/>
      </c>
      <c r="L97" s="148" t="str">
        <f>IFERROR(IF(INDEX('Portfolio Register'!$DC$5:$DC$304,MATCH($B97,'Portfolio Register'!$DH$5:$DH$304,0))="","",INDEX('Portfolio Register'!$DC$5:$DC$304,MATCH($B97,'Portfolio Register'!$DH$5:$DH$304,0))),"")</f>
        <v/>
      </c>
      <c r="M97" s="151" t="str">
        <f>IFERROR(IF(INDEX('Portfolio Register'!$DD$5:$DD$304,MATCH($B97,'Portfolio Register'!$DH$5:$DH$304,0))="","",INDEX('Portfolio Register'!$DD$5:$DD$304,MATCH($B97,'Portfolio Register'!$DH$5:$DH$304,0))),"")</f>
        <v/>
      </c>
      <c r="N97" s="152" t="str">
        <f ca="1">IF($C97="","",IF($M97&lt;&gt;"",$M97-IFERROR(INDEX('Portfolio Register'!$C$5:$C$304,MATCH($B97,'Portfolio Register'!$DH$5:$DH$304,0)),$M97),TODAY()-IFERROR(INDEX('Portfolio Register'!$C$5:$C$304,MATCH($B97,'Portfolio Register'!$DH$5:$DH$304,0)),TODAY())))</f>
        <v/>
      </c>
      <c r="O97" s="153" t="str">
        <f t="shared" si="2"/>
        <v/>
      </c>
      <c r="P97" s="148" t="str">
        <f>IFERROR(IF(INDEX('Portfolio Register'!$DG$5:$DG$304,MATCH($B97,'Portfolio Register'!$DH$5:$DH$304,0))="","",INDEX('Portfolio Register'!$DG$5:$DG$304,MATCH($B97,'Portfolio Register'!$DH$5:$DH$304,0))),"")</f>
        <v/>
      </c>
      <c r="Q97" s="148" t="str">
        <f>IFERROR(IF(INDEX('Portfolio Register'!$DF$5:$DF$304,MATCH($B97,'Portfolio Register'!$DH$5:$DH$304,0))="","",INDEX('Portfolio Register'!$DF$5:$DF$304,MATCH($B97,'Portfolio Register'!$DH$5:$DH$304,0))),"")</f>
        <v/>
      </c>
    </row>
    <row r="98" spans="2:17" x14ac:dyDescent="0.35">
      <c r="B98" s="58">
        <v>71</v>
      </c>
      <c r="C98" s="142" t="str">
        <f>IFERROR(IF(INDEX('Portfolio Register'!$A$5:$A$304,MATCH($B98,'Portfolio Register'!$DH$5:$DH$304,0))="","",INDEX('Portfolio Register'!$A$5:$A$304,MATCH($B98,'Portfolio Register'!$DH$5:$DH$304,0))),"")</f>
        <v/>
      </c>
      <c r="D98" s="142" t="str">
        <f>IFERROR(IF(INDEX('Portfolio Register'!$B$5:$B$304,MATCH($B98,'Portfolio Register'!$DH$5:$DH$304,0))="","",INDEX('Portfolio Register'!$B$5:$B$304,MATCH($B98,'Portfolio Register'!$DH$5:$DH$304,0))),"")</f>
        <v/>
      </c>
      <c r="E98" s="142" t="str">
        <f>IFERROR(IF(INDEX('Portfolio Register'!$I$5:$I$304,MATCH($B98,'Portfolio Register'!$DH$5:$DH$304,0))="","",INDEX('Portfolio Register'!$I$5:$I$304,MATCH($B98,'Portfolio Register'!$DH$5:$DH$304,0))),"")</f>
        <v/>
      </c>
      <c r="F98" s="143" t="str">
        <f>IFERROR(IF(INDEX('Portfolio Register'!$J$5:$J$304,MATCH($B98,'Portfolio Register'!$DH$5:$DH$304,0))="","",INDEX('Portfolio Register'!$J$5:$J$304,MATCH($B98,'Portfolio Register'!$DH$5:$DH$304,0))),"")</f>
        <v/>
      </c>
      <c r="G98" s="142" t="str">
        <f>IFERROR(IF(INDEX('Portfolio Register'!$CX$5:$CX$304,MATCH($B98,'Portfolio Register'!$DH$5:$DH$304,0))="","",INDEX('Portfolio Register'!$CX$5:$CX$304,MATCH($B98,'Portfolio Register'!$DH$5:$DH$304,0))),"")</f>
        <v/>
      </c>
      <c r="H98" s="144" t="str">
        <f>IFERROR(IF(INDEX('Portfolio Register'!$CY$5:$CY$304,MATCH($B98,'Portfolio Register'!$DH$5:$DH$304,0))="","",INDEX('Portfolio Register'!$CY$5:$CY$304,MATCH($B98,'Portfolio Register'!$DH$5:$DH$304,0))),"")</f>
        <v/>
      </c>
      <c r="I98" s="142" t="str">
        <f>IFERROR(IF(INDEX('Portfolio Register'!$CZ$5:$CZ$304,MATCH($B98,'Portfolio Register'!$DH$5:$DH$304,0))="","",INDEX('Portfolio Register'!$CZ$5:$CZ$304,MATCH($B98,'Portfolio Register'!$DH$5:$DH$304,0))),"")</f>
        <v/>
      </c>
      <c r="J98" s="142" t="str">
        <f>IFERROR(IF(INDEX('Portfolio Register'!$DA$5:$DA$304,MATCH($B98,'Portfolio Register'!$DH$5:$DH$304,0))="","",INDEX('Portfolio Register'!$DA$5:$DA$304,MATCH($B98,'Portfolio Register'!$DH$5:$DH$304,0))),"")</f>
        <v/>
      </c>
      <c r="K98" s="142" t="str">
        <f>IFERROR(IF(INDEX('Portfolio Register'!$DB$5:$DB$304,MATCH($B98,'Portfolio Register'!$DH$5:$DH$304,0))="","",INDEX('Portfolio Register'!$DB$5:$DB$304,MATCH($B98,'Portfolio Register'!$DH$5:$DH$304,0))),"")</f>
        <v/>
      </c>
      <c r="L98" s="142" t="str">
        <f>IFERROR(IF(INDEX('Portfolio Register'!$DC$5:$DC$304,MATCH($B98,'Portfolio Register'!$DH$5:$DH$304,0))="","",INDEX('Portfolio Register'!$DC$5:$DC$304,MATCH($B98,'Portfolio Register'!$DH$5:$DH$304,0))),"")</f>
        <v/>
      </c>
      <c r="M98" s="145" t="str">
        <f>IFERROR(IF(INDEX('Portfolio Register'!$DD$5:$DD$304,MATCH($B98,'Portfolio Register'!$DH$5:$DH$304,0))="","",INDEX('Portfolio Register'!$DD$5:$DD$304,MATCH($B98,'Portfolio Register'!$DH$5:$DH$304,0))),"")</f>
        <v/>
      </c>
      <c r="N98" s="146" t="str">
        <f ca="1">IF($C98="","",IF($M98&lt;&gt;"",$M98-IFERROR(INDEX('Portfolio Register'!$C$5:$C$304,MATCH($B98,'Portfolio Register'!$DH$5:$DH$304,0)),$M98),TODAY()-IFERROR(INDEX('Portfolio Register'!$C$5:$C$304,MATCH($B98,'Portfolio Register'!$DH$5:$DH$304,0)),TODAY())))</f>
        <v/>
      </c>
      <c r="O98" s="147" t="str">
        <f t="shared" si="2"/>
        <v/>
      </c>
      <c r="P98" s="142" t="str">
        <f>IFERROR(IF(INDEX('Portfolio Register'!$DG$5:$DG$304,MATCH($B98,'Portfolio Register'!$DH$5:$DH$304,0))="","",INDEX('Portfolio Register'!$DG$5:$DG$304,MATCH($B98,'Portfolio Register'!$DH$5:$DH$304,0))),"")</f>
        <v/>
      </c>
      <c r="Q98" s="142" t="str">
        <f>IFERROR(IF(INDEX('Portfolio Register'!$DF$5:$DF$304,MATCH($B98,'Portfolio Register'!$DH$5:$DH$304,0))="","",INDEX('Portfolio Register'!$DF$5:$DF$304,MATCH($B98,'Portfolio Register'!$DH$5:$DH$304,0))),"")</f>
        <v/>
      </c>
    </row>
    <row r="99" spans="2:17" x14ac:dyDescent="0.35">
      <c r="B99" s="65">
        <v>72</v>
      </c>
      <c r="C99" s="148" t="str">
        <f>IFERROR(IF(INDEX('Portfolio Register'!$A$5:$A$304,MATCH($B99,'Portfolio Register'!$DH$5:$DH$304,0))="","",INDEX('Portfolio Register'!$A$5:$A$304,MATCH($B99,'Portfolio Register'!$DH$5:$DH$304,0))),"")</f>
        <v/>
      </c>
      <c r="D99" s="148" t="str">
        <f>IFERROR(IF(INDEX('Portfolio Register'!$B$5:$B$304,MATCH($B99,'Portfolio Register'!$DH$5:$DH$304,0))="","",INDEX('Portfolio Register'!$B$5:$B$304,MATCH($B99,'Portfolio Register'!$DH$5:$DH$304,0))),"")</f>
        <v/>
      </c>
      <c r="E99" s="148" t="str">
        <f>IFERROR(IF(INDEX('Portfolio Register'!$I$5:$I$304,MATCH($B99,'Portfolio Register'!$DH$5:$DH$304,0))="","",INDEX('Portfolio Register'!$I$5:$I$304,MATCH($B99,'Portfolio Register'!$DH$5:$DH$304,0))),"")</f>
        <v/>
      </c>
      <c r="F99" s="149" t="str">
        <f>IFERROR(IF(INDEX('Portfolio Register'!$J$5:$J$304,MATCH($B99,'Portfolio Register'!$DH$5:$DH$304,0))="","",INDEX('Portfolio Register'!$J$5:$J$304,MATCH($B99,'Portfolio Register'!$DH$5:$DH$304,0))),"")</f>
        <v/>
      </c>
      <c r="G99" s="148" t="str">
        <f>IFERROR(IF(INDEX('Portfolio Register'!$CX$5:$CX$304,MATCH($B99,'Portfolio Register'!$DH$5:$DH$304,0))="","",INDEX('Portfolio Register'!$CX$5:$CX$304,MATCH($B99,'Portfolio Register'!$DH$5:$DH$304,0))),"")</f>
        <v/>
      </c>
      <c r="H99" s="150" t="str">
        <f>IFERROR(IF(INDEX('Portfolio Register'!$CY$5:$CY$304,MATCH($B99,'Portfolio Register'!$DH$5:$DH$304,0))="","",INDEX('Portfolio Register'!$CY$5:$CY$304,MATCH($B99,'Portfolio Register'!$DH$5:$DH$304,0))),"")</f>
        <v/>
      </c>
      <c r="I99" s="148" t="str">
        <f>IFERROR(IF(INDEX('Portfolio Register'!$CZ$5:$CZ$304,MATCH($B99,'Portfolio Register'!$DH$5:$DH$304,0))="","",INDEX('Portfolio Register'!$CZ$5:$CZ$304,MATCH($B99,'Portfolio Register'!$DH$5:$DH$304,0))),"")</f>
        <v/>
      </c>
      <c r="J99" s="148" t="str">
        <f>IFERROR(IF(INDEX('Portfolio Register'!$DA$5:$DA$304,MATCH($B99,'Portfolio Register'!$DH$5:$DH$304,0))="","",INDEX('Portfolio Register'!$DA$5:$DA$304,MATCH($B99,'Portfolio Register'!$DH$5:$DH$304,0))),"")</f>
        <v/>
      </c>
      <c r="K99" s="148" t="str">
        <f>IFERROR(IF(INDEX('Portfolio Register'!$DB$5:$DB$304,MATCH($B99,'Portfolio Register'!$DH$5:$DH$304,0))="","",INDEX('Portfolio Register'!$DB$5:$DB$304,MATCH($B99,'Portfolio Register'!$DH$5:$DH$304,0))),"")</f>
        <v/>
      </c>
      <c r="L99" s="148" t="str">
        <f>IFERROR(IF(INDEX('Portfolio Register'!$DC$5:$DC$304,MATCH($B99,'Portfolio Register'!$DH$5:$DH$304,0))="","",INDEX('Portfolio Register'!$DC$5:$DC$304,MATCH($B99,'Portfolio Register'!$DH$5:$DH$304,0))),"")</f>
        <v/>
      </c>
      <c r="M99" s="151" t="str">
        <f>IFERROR(IF(INDEX('Portfolio Register'!$DD$5:$DD$304,MATCH($B99,'Portfolio Register'!$DH$5:$DH$304,0))="","",INDEX('Portfolio Register'!$DD$5:$DD$304,MATCH($B99,'Portfolio Register'!$DH$5:$DH$304,0))),"")</f>
        <v/>
      </c>
      <c r="N99" s="152" t="str">
        <f ca="1">IF($C99="","",IF($M99&lt;&gt;"",$M99-IFERROR(INDEX('Portfolio Register'!$C$5:$C$304,MATCH($B99,'Portfolio Register'!$DH$5:$DH$304,0)),$M99),TODAY()-IFERROR(INDEX('Portfolio Register'!$C$5:$C$304,MATCH($B99,'Portfolio Register'!$DH$5:$DH$304,0)),TODAY())))</f>
        <v/>
      </c>
      <c r="O99" s="153" t="str">
        <f t="shared" si="2"/>
        <v/>
      </c>
      <c r="P99" s="148" t="str">
        <f>IFERROR(IF(INDEX('Portfolio Register'!$DG$5:$DG$304,MATCH($B99,'Portfolio Register'!$DH$5:$DH$304,0))="","",INDEX('Portfolio Register'!$DG$5:$DG$304,MATCH($B99,'Portfolio Register'!$DH$5:$DH$304,0))),"")</f>
        <v/>
      </c>
      <c r="Q99" s="148" t="str">
        <f>IFERROR(IF(INDEX('Portfolio Register'!$DF$5:$DF$304,MATCH($B99,'Portfolio Register'!$DH$5:$DH$304,0))="","",INDEX('Portfolio Register'!$DF$5:$DF$304,MATCH($B99,'Portfolio Register'!$DH$5:$DH$304,0))),"")</f>
        <v/>
      </c>
    </row>
    <row r="100" spans="2:17" x14ac:dyDescent="0.35">
      <c r="B100" s="58">
        <v>73</v>
      </c>
      <c r="C100" s="142" t="str">
        <f>IFERROR(IF(INDEX('Portfolio Register'!$A$5:$A$304,MATCH($B100,'Portfolio Register'!$DH$5:$DH$304,0))="","",INDEX('Portfolio Register'!$A$5:$A$304,MATCH($B100,'Portfolio Register'!$DH$5:$DH$304,0))),"")</f>
        <v/>
      </c>
      <c r="D100" s="142" t="str">
        <f>IFERROR(IF(INDEX('Portfolio Register'!$B$5:$B$304,MATCH($B100,'Portfolio Register'!$DH$5:$DH$304,0))="","",INDEX('Portfolio Register'!$B$5:$B$304,MATCH($B100,'Portfolio Register'!$DH$5:$DH$304,0))),"")</f>
        <v/>
      </c>
      <c r="E100" s="142" t="str">
        <f>IFERROR(IF(INDEX('Portfolio Register'!$I$5:$I$304,MATCH($B100,'Portfolio Register'!$DH$5:$DH$304,0))="","",INDEX('Portfolio Register'!$I$5:$I$304,MATCH($B100,'Portfolio Register'!$DH$5:$DH$304,0))),"")</f>
        <v/>
      </c>
      <c r="F100" s="143" t="str">
        <f>IFERROR(IF(INDEX('Portfolio Register'!$J$5:$J$304,MATCH($B100,'Portfolio Register'!$DH$5:$DH$304,0))="","",INDEX('Portfolio Register'!$J$5:$J$304,MATCH($B100,'Portfolio Register'!$DH$5:$DH$304,0))),"")</f>
        <v/>
      </c>
      <c r="G100" s="142" t="str">
        <f>IFERROR(IF(INDEX('Portfolio Register'!$CX$5:$CX$304,MATCH($B100,'Portfolio Register'!$DH$5:$DH$304,0))="","",INDEX('Portfolio Register'!$CX$5:$CX$304,MATCH($B100,'Portfolio Register'!$DH$5:$DH$304,0))),"")</f>
        <v/>
      </c>
      <c r="H100" s="144" t="str">
        <f>IFERROR(IF(INDEX('Portfolio Register'!$CY$5:$CY$304,MATCH($B100,'Portfolio Register'!$DH$5:$DH$304,0))="","",INDEX('Portfolio Register'!$CY$5:$CY$304,MATCH($B100,'Portfolio Register'!$DH$5:$DH$304,0))),"")</f>
        <v/>
      </c>
      <c r="I100" s="142" t="str">
        <f>IFERROR(IF(INDEX('Portfolio Register'!$CZ$5:$CZ$304,MATCH($B100,'Portfolio Register'!$DH$5:$DH$304,0))="","",INDEX('Portfolio Register'!$CZ$5:$CZ$304,MATCH($B100,'Portfolio Register'!$DH$5:$DH$304,0))),"")</f>
        <v/>
      </c>
      <c r="J100" s="142" t="str">
        <f>IFERROR(IF(INDEX('Portfolio Register'!$DA$5:$DA$304,MATCH($B100,'Portfolio Register'!$DH$5:$DH$304,0))="","",INDEX('Portfolio Register'!$DA$5:$DA$304,MATCH($B100,'Portfolio Register'!$DH$5:$DH$304,0))),"")</f>
        <v/>
      </c>
      <c r="K100" s="142" t="str">
        <f>IFERROR(IF(INDEX('Portfolio Register'!$DB$5:$DB$304,MATCH($B100,'Portfolio Register'!$DH$5:$DH$304,0))="","",INDEX('Portfolio Register'!$DB$5:$DB$304,MATCH($B100,'Portfolio Register'!$DH$5:$DH$304,0))),"")</f>
        <v/>
      </c>
      <c r="L100" s="142" t="str">
        <f>IFERROR(IF(INDEX('Portfolio Register'!$DC$5:$DC$304,MATCH($B100,'Portfolio Register'!$DH$5:$DH$304,0))="","",INDEX('Portfolio Register'!$DC$5:$DC$304,MATCH($B100,'Portfolio Register'!$DH$5:$DH$304,0))),"")</f>
        <v/>
      </c>
      <c r="M100" s="145" t="str">
        <f>IFERROR(IF(INDEX('Portfolio Register'!$DD$5:$DD$304,MATCH($B100,'Portfolio Register'!$DH$5:$DH$304,0))="","",INDEX('Portfolio Register'!$DD$5:$DD$304,MATCH($B100,'Portfolio Register'!$DH$5:$DH$304,0))),"")</f>
        <v/>
      </c>
      <c r="N100" s="146" t="str">
        <f ca="1">IF($C100="","",IF($M100&lt;&gt;"",$M100-IFERROR(INDEX('Portfolio Register'!$C$5:$C$304,MATCH($B100,'Portfolio Register'!$DH$5:$DH$304,0)),$M100),TODAY()-IFERROR(INDEX('Portfolio Register'!$C$5:$C$304,MATCH($B100,'Portfolio Register'!$DH$5:$DH$304,0)),TODAY())))</f>
        <v/>
      </c>
      <c r="O100" s="147" t="str">
        <f t="shared" si="2"/>
        <v/>
      </c>
      <c r="P100" s="142" t="str">
        <f>IFERROR(IF(INDEX('Portfolio Register'!$DG$5:$DG$304,MATCH($B100,'Portfolio Register'!$DH$5:$DH$304,0))="","",INDEX('Portfolio Register'!$DG$5:$DG$304,MATCH($B100,'Portfolio Register'!$DH$5:$DH$304,0))),"")</f>
        <v/>
      </c>
      <c r="Q100" s="142" t="str">
        <f>IFERROR(IF(INDEX('Portfolio Register'!$DF$5:$DF$304,MATCH($B100,'Portfolio Register'!$DH$5:$DH$304,0))="","",INDEX('Portfolio Register'!$DF$5:$DF$304,MATCH($B100,'Portfolio Register'!$DH$5:$DH$304,0))),"")</f>
        <v/>
      </c>
    </row>
    <row r="101" spans="2:17" x14ac:dyDescent="0.35">
      <c r="B101" s="65">
        <v>74</v>
      </c>
      <c r="C101" s="148" t="str">
        <f>IFERROR(IF(INDEX('Portfolio Register'!$A$5:$A$304,MATCH($B101,'Portfolio Register'!$DH$5:$DH$304,0))="","",INDEX('Portfolio Register'!$A$5:$A$304,MATCH($B101,'Portfolio Register'!$DH$5:$DH$304,0))),"")</f>
        <v/>
      </c>
      <c r="D101" s="148" t="str">
        <f>IFERROR(IF(INDEX('Portfolio Register'!$B$5:$B$304,MATCH($B101,'Portfolio Register'!$DH$5:$DH$304,0))="","",INDEX('Portfolio Register'!$B$5:$B$304,MATCH($B101,'Portfolio Register'!$DH$5:$DH$304,0))),"")</f>
        <v/>
      </c>
      <c r="E101" s="148" t="str">
        <f>IFERROR(IF(INDEX('Portfolio Register'!$I$5:$I$304,MATCH($B101,'Portfolio Register'!$DH$5:$DH$304,0))="","",INDEX('Portfolio Register'!$I$5:$I$304,MATCH($B101,'Portfolio Register'!$DH$5:$DH$304,0))),"")</f>
        <v/>
      </c>
      <c r="F101" s="149" t="str">
        <f>IFERROR(IF(INDEX('Portfolio Register'!$J$5:$J$304,MATCH($B101,'Portfolio Register'!$DH$5:$DH$304,0))="","",INDEX('Portfolio Register'!$J$5:$J$304,MATCH($B101,'Portfolio Register'!$DH$5:$DH$304,0))),"")</f>
        <v/>
      </c>
      <c r="G101" s="148" t="str">
        <f>IFERROR(IF(INDEX('Portfolio Register'!$CX$5:$CX$304,MATCH($B101,'Portfolio Register'!$DH$5:$DH$304,0))="","",INDEX('Portfolio Register'!$CX$5:$CX$304,MATCH($B101,'Portfolio Register'!$DH$5:$DH$304,0))),"")</f>
        <v/>
      </c>
      <c r="H101" s="150" t="str">
        <f>IFERROR(IF(INDEX('Portfolio Register'!$CY$5:$CY$304,MATCH($B101,'Portfolio Register'!$DH$5:$DH$304,0))="","",INDEX('Portfolio Register'!$CY$5:$CY$304,MATCH($B101,'Portfolio Register'!$DH$5:$DH$304,0))),"")</f>
        <v/>
      </c>
      <c r="I101" s="148" t="str">
        <f>IFERROR(IF(INDEX('Portfolio Register'!$CZ$5:$CZ$304,MATCH($B101,'Portfolio Register'!$DH$5:$DH$304,0))="","",INDEX('Portfolio Register'!$CZ$5:$CZ$304,MATCH($B101,'Portfolio Register'!$DH$5:$DH$304,0))),"")</f>
        <v/>
      </c>
      <c r="J101" s="148" t="str">
        <f>IFERROR(IF(INDEX('Portfolio Register'!$DA$5:$DA$304,MATCH($B101,'Portfolio Register'!$DH$5:$DH$304,0))="","",INDEX('Portfolio Register'!$DA$5:$DA$304,MATCH($B101,'Portfolio Register'!$DH$5:$DH$304,0))),"")</f>
        <v/>
      </c>
      <c r="K101" s="148" t="str">
        <f>IFERROR(IF(INDEX('Portfolio Register'!$DB$5:$DB$304,MATCH($B101,'Portfolio Register'!$DH$5:$DH$304,0))="","",INDEX('Portfolio Register'!$DB$5:$DB$304,MATCH($B101,'Portfolio Register'!$DH$5:$DH$304,0))),"")</f>
        <v/>
      </c>
      <c r="L101" s="148" t="str">
        <f>IFERROR(IF(INDEX('Portfolio Register'!$DC$5:$DC$304,MATCH($B101,'Portfolio Register'!$DH$5:$DH$304,0))="","",INDEX('Portfolio Register'!$DC$5:$DC$304,MATCH($B101,'Portfolio Register'!$DH$5:$DH$304,0))),"")</f>
        <v/>
      </c>
      <c r="M101" s="151" t="str">
        <f>IFERROR(IF(INDEX('Portfolio Register'!$DD$5:$DD$304,MATCH($B101,'Portfolio Register'!$DH$5:$DH$304,0))="","",INDEX('Portfolio Register'!$DD$5:$DD$304,MATCH($B101,'Portfolio Register'!$DH$5:$DH$304,0))),"")</f>
        <v/>
      </c>
      <c r="N101" s="152" t="str">
        <f ca="1">IF($C101="","",IF($M101&lt;&gt;"",$M101-IFERROR(INDEX('Portfolio Register'!$C$5:$C$304,MATCH($B101,'Portfolio Register'!$DH$5:$DH$304,0)),$M101),TODAY()-IFERROR(INDEX('Portfolio Register'!$C$5:$C$304,MATCH($B101,'Portfolio Register'!$DH$5:$DH$304,0)),TODAY())))</f>
        <v/>
      </c>
      <c r="O101" s="153" t="str">
        <f t="shared" si="2"/>
        <v/>
      </c>
      <c r="P101" s="148" t="str">
        <f>IFERROR(IF(INDEX('Portfolio Register'!$DG$5:$DG$304,MATCH($B101,'Portfolio Register'!$DH$5:$DH$304,0))="","",INDEX('Portfolio Register'!$DG$5:$DG$304,MATCH($B101,'Portfolio Register'!$DH$5:$DH$304,0))),"")</f>
        <v/>
      </c>
      <c r="Q101" s="148" t="str">
        <f>IFERROR(IF(INDEX('Portfolio Register'!$DF$5:$DF$304,MATCH($B101,'Portfolio Register'!$DH$5:$DH$304,0))="","",INDEX('Portfolio Register'!$DF$5:$DF$304,MATCH($B101,'Portfolio Register'!$DH$5:$DH$304,0))),"")</f>
        <v/>
      </c>
    </row>
    <row r="102" spans="2:17" x14ac:dyDescent="0.35">
      <c r="B102" s="58">
        <v>75</v>
      </c>
      <c r="C102" s="142" t="str">
        <f>IFERROR(IF(INDEX('Portfolio Register'!$A$5:$A$304,MATCH($B102,'Portfolio Register'!$DH$5:$DH$304,0))="","",INDEX('Portfolio Register'!$A$5:$A$304,MATCH($B102,'Portfolio Register'!$DH$5:$DH$304,0))),"")</f>
        <v/>
      </c>
      <c r="D102" s="142" t="str">
        <f>IFERROR(IF(INDEX('Portfolio Register'!$B$5:$B$304,MATCH($B102,'Portfolio Register'!$DH$5:$DH$304,0))="","",INDEX('Portfolio Register'!$B$5:$B$304,MATCH($B102,'Portfolio Register'!$DH$5:$DH$304,0))),"")</f>
        <v/>
      </c>
      <c r="E102" s="142" t="str">
        <f>IFERROR(IF(INDEX('Portfolio Register'!$I$5:$I$304,MATCH($B102,'Portfolio Register'!$DH$5:$DH$304,0))="","",INDEX('Portfolio Register'!$I$5:$I$304,MATCH($B102,'Portfolio Register'!$DH$5:$DH$304,0))),"")</f>
        <v/>
      </c>
      <c r="F102" s="143" t="str">
        <f>IFERROR(IF(INDEX('Portfolio Register'!$J$5:$J$304,MATCH($B102,'Portfolio Register'!$DH$5:$DH$304,0))="","",INDEX('Portfolio Register'!$J$5:$J$304,MATCH($B102,'Portfolio Register'!$DH$5:$DH$304,0))),"")</f>
        <v/>
      </c>
      <c r="G102" s="142" t="str">
        <f>IFERROR(IF(INDEX('Portfolio Register'!$CX$5:$CX$304,MATCH($B102,'Portfolio Register'!$DH$5:$DH$304,0))="","",INDEX('Portfolio Register'!$CX$5:$CX$304,MATCH($B102,'Portfolio Register'!$DH$5:$DH$304,0))),"")</f>
        <v/>
      </c>
      <c r="H102" s="144" t="str">
        <f>IFERROR(IF(INDEX('Portfolio Register'!$CY$5:$CY$304,MATCH($B102,'Portfolio Register'!$DH$5:$DH$304,0))="","",INDEX('Portfolio Register'!$CY$5:$CY$304,MATCH($B102,'Portfolio Register'!$DH$5:$DH$304,0))),"")</f>
        <v/>
      </c>
      <c r="I102" s="142" t="str">
        <f>IFERROR(IF(INDEX('Portfolio Register'!$CZ$5:$CZ$304,MATCH($B102,'Portfolio Register'!$DH$5:$DH$304,0))="","",INDEX('Portfolio Register'!$CZ$5:$CZ$304,MATCH($B102,'Portfolio Register'!$DH$5:$DH$304,0))),"")</f>
        <v/>
      </c>
      <c r="J102" s="142" t="str">
        <f>IFERROR(IF(INDEX('Portfolio Register'!$DA$5:$DA$304,MATCH($B102,'Portfolio Register'!$DH$5:$DH$304,0))="","",INDEX('Portfolio Register'!$DA$5:$DA$304,MATCH($B102,'Portfolio Register'!$DH$5:$DH$304,0))),"")</f>
        <v/>
      </c>
      <c r="K102" s="142" t="str">
        <f>IFERROR(IF(INDEX('Portfolio Register'!$DB$5:$DB$304,MATCH($B102,'Portfolio Register'!$DH$5:$DH$304,0))="","",INDEX('Portfolio Register'!$DB$5:$DB$304,MATCH($B102,'Portfolio Register'!$DH$5:$DH$304,0))),"")</f>
        <v/>
      </c>
      <c r="L102" s="142" t="str">
        <f>IFERROR(IF(INDEX('Portfolio Register'!$DC$5:$DC$304,MATCH($B102,'Portfolio Register'!$DH$5:$DH$304,0))="","",INDEX('Portfolio Register'!$DC$5:$DC$304,MATCH($B102,'Portfolio Register'!$DH$5:$DH$304,0))),"")</f>
        <v/>
      </c>
      <c r="M102" s="145" t="str">
        <f>IFERROR(IF(INDEX('Portfolio Register'!$DD$5:$DD$304,MATCH($B102,'Portfolio Register'!$DH$5:$DH$304,0))="","",INDEX('Portfolio Register'!$DD$5:$DD$304,MATCH($B102,'Portfolio Register'!$DH$5:$DH$304,0))),"")</f>
        <v/>
      </c>
      <c r="N102" s="146" t="str">
        <f ca="1">IF($C102="","",IF($M102&lt;&gt;"",$M102-IFERROR(INDEX('Portfolio Register'!$C$5:$C$304,MATCH($B102,'Portfolio Register'!$DH$5:$DH$304,0)),$M102),TODAY()-IFERROR(INDEX('Portfolio Register'!$C$5:$C$304,MATCH($B102,'Portfolio Register'!$DH$5:$DH$304,0)),TODAY())))</f>
        <v/>
      </c>
      <c r="O102" s="147" t="str">
        <f t="shared" si="2"/>
        <v/>
      </c>
      <c r="P102" s="142" t="str">
        <f>IFERROR(IF(INDEX('Portfolio Register'!$DG$5:$DG$304,MATCH($B102,'Portfolio Register'!$DH$5:$DH$304,0))="","",INDEX('Portfolio Register'!$DG$5:$DG$304,MATCH($B102,'Portfolio Register'!$DH$5:$DH$304,0))),"")</f>
        <v/>
      </c>
      <c r="Q102" s="142" t="str">
        <f>IFERROR(IF(INDEX('Portfolio Register'!$DF$5:$DF$304,MATCH($B102,'Portfolio Register'!$DH$5:$DH$304,0))="","",INDEX('Portfolio Register'!$DF$5:$DF$304,MATCH($B102,'Portfolio Register'!$DH$5:$DH$304,0))),"")</f>
        <v/>
      </c>
    </row>
    <row r="103" spans="2:17" x14ac:dyDescent="0.35">
      <c r="B103" s="65">
        <v>76</v>
      </c>
      <c r="C103" s="148" t="str">
        <f>IFERROR(IF(INDEX('Portfolio Register'!$A$5:$A$304,MATCH($B103,'Portfolio Register'!$DH$5:$DH$304,0))="","",INDEX('Portfolio Register'!$A$5:$A$304,MATCH($B103,'Portfolio Register'!$DH$5:$DH$304,0))),"")</f>
        <v/>
      </c>
      <c r="D103" s="148" t="str">
        <f>IFERROR(IF(INDEX('Portfolio Register'!$B$5:$B$304,MATCH($B103,'Portfolio Register'!$DH$5:$DH$304,0))="","",INDEX('Portfolio Register'!$B$5:$B$304,MATCH($B103,'Portfolio Register'!$DH$5:$DH$304,0))),"")</f>
        <v/>
      </c>
      <c r="E103" s="148" t="str">
        <f>IFERROR(IF(INDEX('Portfolio Register'!$I$5:$I$304,MATCH($B103,'Portfolio Register'!$DH$5:$DH$304,0))="","",INDEX('Portfolio Register'!$I$5:$I$304,MATCH($B103,'Portfolio Register'!$DH$5:$DH$304,0))),"")</f>
        <v/>
      </c>
      <c r="F103" s="149" t="str">
        <f>IFERROR(IF(INDEX('Portfolio Register'!$J$5:$J$304,MATCH($B103,'Portfolio Register'!$DH$5:$DH$304,0))="","",INDEX('Portfolio Register'!$J$5:$J$304,MATCH($B103,'Portfolio Register'!$DH$5:$DH$304,0))),"")</f>
        <v/>
      </c>
      <c r="G103" s="148" t="str">
        <f>IFERROR(IF(INDEX('Portfolio Register'!$CX$5:$CX$304,MATCH($B103,'Portfolio Register'!$DH$5:$DH$304,0))="","",INDEX('Portfolio Register'!$CX$5:$CX$304,MATCH($B103,'Portfolio Register'!$DH$5:$DH$304,0))),"")</f>
        <v/>
      </c>
      <c r="H103" s="150" t="str">
        <f>IFERROR(IF(INDEX('Portfolio Register'!$CY$5:$CY$304,MATCH($B103,'Portfolio Register'!$DH$5:$DH$304,0))="","",INDEX('Portfolio Register'!$CY$5:$CY$304,MATCH($B103,'Portfolio Register'!$DH$5:$DH$304,0))),"")</f>
        <v/>
      </c>
      <c r="I103" s="148" t="str">
        <f>IFERROR(IF(INDEX('Portfolio Register'!$CZ$5:$CZ$304,MATCH($B103,'Portfolio Register'!$DH$5:$DH$304,0))="","",INDEX('Portfolio Register'!$CZ$5:$CZ$304,MATCH($B103,'Portfolio Register'!$DH$5:$DH$304,0))),"")</f>
        <v/>
      </c>
      <c r="J103" s="148" t="str">
        <f>IFERROR(IF(INDEX('Portfolio Register'!$DA$5:$DA$304,MATCH($B103,'Portfolio Register'!$DH$5:$DH$304,0))="","",INDEX('Portfolio Register'!$DA$5:$DA$304,MATCH($B103,'Portfolio Register'!$DH$5:$DH$304,0))),"")</f>
        <v/>
      </c>
      <c r="K103" s="148" t="str">
        <f>IFERROR(IF(INDEX('Portfolio Register'!$DB$5:$DB$304,MATCH($B103,'Portfolio Register'!$DH$5:$DH$304,0))="","",INDEX('Portfolio Register'!$DB$5:$DB$304,MATCH($B103,'Portfolio Register'!$DH$5:$DH$304,0))),"")</f>
        <v/>
      </c>
      <c r="L103" s="148" t="str">
        <f>IFERROR(IF(INDEX('Portfolio Register'!$DC$5:$DC$304,MATCH($B103,'Portfolio Register'!$DH$5:$DH$304,0))="","",INDEX('Portfolio Register'!$DC$5:$DC$304,MATCH($B103,'Portfolio Register'!$DH$5:$DH$304,0))),"")</f>
        <v/>
      </c>
      <c r="M103" s="151" t="str">
        <f>IFERROR(IF(INDEX('Portfolio Register'!$DD$5:$DD$304,MATCH($B103,'Portfolio Register'!$DH$5:$DH$304,0))="","",INDEX('Portfolio Register'!$DD$5:$DD$304,MATCH($B103,'Portfolio Register'!$DH$5:$DH$304,0))),"")</f>
        <v/>
      </c>
      <c r="N103" s="152" t="str">
        <f ca="1">IF($C103="","",IF($M103&lt;&gt;"",$M103-IFERROR(INDEX('Portfolio Register'!$C$5:$C$304,MATCH($B103,'Portfolio Register'!$DH$5:$DH$304,0)),$M103),TODAY()-IFERROR(INDEX('Portfolio Register'!$C$5:$C$304,MATCH($B103,'Portfolio Register'!$DH$5:$DH$304,0)),TODAY())))</f>
        <v/>
      </c>
      <c r="O103" s="153" t="str">
        <f t="shared" si="2"/>
        <v/>
      </c>
      <c r="P103" s="148" t="str">
        <f>IFERROR(IF(INDEX('Portfolio Register'!$DG$5:$DG$304,MATCH($B103,'Portfolio Register'!$DH$5:$DH$304,0))="","",INDEX('Portfolio Register'!$DG$5:$DG$304,MATCH($B103,'Portfolio Register'!$DH$5:$DH$304,0))),"")</f>
        <v/>
      </c>
      <c r="Q103" s="148" t="str">
        <f>IFERROR(IF(INDEX('Portfolio Register'!$DF$5:$DF$304,MATCH($B103,'Portfolio Register'!$DH$5:$DH$304,0))="","",INDEX('Portfolio Register'!$DF$5:$DF$304,MATCH($B103,'Portfolio Register'!$DH$5:$DH$304,0))),"")</f>
        <v/>
      </c>
    </row>
    <row r="104" spans="2:17" x14ac:dyDescent="0.35">
      <c r="B104" s="58">
        <v>77</v>
      </c>
      <c r="C104" s="142" t="str">
        <f>IFERROR(IF(INDEX('Portfolio Register'!$A$5:$A$304,MATCH($B104,'Portfolio Register'!$DH$5:$DH$304,0))="","",INDEX('Portfolio Register'!$A$5:$A$304,MATCH($B104,'Portfolio Register'!$DH$5:$DH$304,0))),"")</f>
        <v/>
      </c>
      <c r="D104" s="142" t="str">
        <f>IFERROR(IF(INDEX('Portfolio Register'!$B$5:$B$304,MATCH($B104,'Portfolio Register'!$DH$5:$DH$304,0))="","",INDEX('Portfolio Register'!$B$5:$B$304,MATCH($B104,'Portfolio Register'!$DH$5:$DH$304,0))),"")</f>
        <v/>
      </c>
      <c r="E104" s="142" t="str">
        <f>IFERROR(IF(INDEX('Portfolio Register'!$I$5:$I$304,MATCH($B104,'Portfolio Register'!$DH$5:$DH$304,0))="","",INDEX('Portfolio Register'!$I$5:$I$304,MATCH($B104,'Portfolio Register'!$DH$5:$DH$304,0))),"")</f>
        <v/>
      </c>
      <c r="F104" s="143" t="str">
        <f>IFERROR(IF(INDEX('Portfolio Register'!$J$5:$J$304,MATCH($B104,'Portfolio Register'!$DH$5:$DH$304,0))="","",INDEX('Portfolio Register'!$J$5:$J$304,MATCH($B104,'Portfolio Register'!$DH$5:$DH$304,0))),"")</f>
        <v/>
      </c>
      <c r="G104" s="142" t="str">
        <f>IFERROR(IF(INDEX('Portfolio Register'!$CX$5:$CX$304,MATCH($B104,'Portfolio Register'!$DH$5:$DH$304,0))="","",INDEX('Portfolio Register'!$CX$5:$CX$304,MATCH($B104,'Portfolio Register'!$DH$5:$DH$304,0))),"")</f>
        <v/>
      </c>
      <c r="H104" s="144" t="str">
        <f>IFERROR(IF(INDEX('Portfolio Register'!$CY$5:$CY$304,MATCH($B104,'Portfolio Register'!$DH$5:$DH$304,0))="","",INDEX('Portfolio Register'!$CY$5:$CY$304,MATCH($B104,'Portfolio Register'!$DH$5:$DH$304,0))),"")</f>
        <v/>
      </c>
      <c r="I104" s="142" t="str">
        <f>IFERROR(IF(INDEX('Portfolio Register'!$CZ$5:$CZ$304,MATCH($B104,'Portfolio Register'!$DH$5:$DH$304,0))="","",INDEX('Portfolio Register'!$CZ$5:$CZ$304,MATCH($B104,'Portfolio Register'!$DH$5:$DH$304,0))),"")</f>
        <v/>
      </c>
      <c r="J104" s="142" t="str">
        <f>IFERROR(IF(INDEX('Portfolio Register'!$DA$5:$DA$304,MATCH($B104,'Portfolio Register'!$DH$5:$DH$304,0))="","",INDEX('Portfolio Register'!$DA$5:$DA$304,MATCH($B104,'Portfolio Register'!$DH$5:$DH$304,0))),"")</f>
        <v/>
      </c>
      <c r="K104" s="142" t="str">
        <f>IFERROR(IF(INDEX('Portfolio Register'!$DB$5:$DB$304,MATCH($B104,'Portfolio Register'!$DH$5:$DH$304,0))="","",INDEX('Portfolio Register'!$DB$5:$DB$304,MATCH($B104,'Portfolio Register'!$DH$5:$DH$304,0))),"")</f>
        <v/>
      </c>
      <c r="L104" s="142" t="str">
        <f>IFERROR(IF(INDEX('Portfolio Register'!$DC$5:$DC$304,MATCH($B104,'Portfolio Register'!$DH$5:$DH$304,0))="","",INDEX('Portfolio Register'!$DC$5:$DC$304,MATCH($B104,'Portfolio Register'!$DH$5:$DH$304,0))),"")</f>
        <v/>
      </c>
      <c r="M104" s="145" t="str">
        <f>IFERROR(IF(INDEX('Portfolio Register'!$DD$5:$DD$304,MATCH($B104,'Portfolio Register'!$DH$5:$DH$304,0))="","",INDEX('Portfolio Register'!$DD$5:$DD$304,MATCH($B104,'Portfolio Register'!$DH$5:$DH$304,0))),"")</f>
        <v/>
      </c>
      <c r="N104" s="146" t="str">
        <f ca="1">IF($C104="","",IF($M104&lt;&gt;"",$M104-IFERROR(INDEX('Portfolio Register'!$C$5:$C$304,MATCH($B104,'Portfolio Register'!$DH$5:$DH$304,0)),$M104),TODAY()-IFERROR(INDEX('Portfolio Register'!$C$5:$C$304,MATCH($B104,'Portfolio Register'!$DH$5:$DH$304,0)),TODAY())))</f>
        <v/>
      </c>
      <c r="O104" s="147" t="str">
        <f t="shared" si="2"/>
        <v/>
      </c>
      <c r="P104" s="142" t="str">
        <f>IFERROR(IF(INDEX('Portfolio Register'!$DG$5:$DG$304,MATCH($B104,'Portfolio Register'!$DH$5:$DH$304,0))="","",INDEX('Portfolio Register'!$DG$5:$DG$304,MATCH($B104,'Portfolio Register'!$DH$5:$DH$304,0))),"")</f>
        <v/>
      </c>
      <c r="Q104" s="142" t="str">
        <f>IFERROR(IF(INDEX('Portfolio Register'!$DF$5:$DF$304,MATCH($B104,'Portfolio Register'!$DH$5:$DH$304,0))="","",INDEX('Portfolio Register'!$DF$5:$DF$304,MATCH($B104,'Portfolio Register'!$DH$5:$DH$304,0))),"")</f>
        <v/>
      </c>
    </row>
    <row r="105" spans="2:17" x14ac:dyDescent="0.35">
      <c r="B105" s="65">
        <v>78</v>
      </c>
      <c r="C105" s="148" t="str">
        <f>IFERROR(IF(INDEX('Portfolio Register'!$A$5:$A$304,MATCH($B105,'Portfolio Register'!$DH$5:$DH$304,0))="","",INDEX('Portfolio Register'!$A$5:$A$304,MATCH($B105,'Portfolio Register'!$DH$5:$DH$304,0))),"")</f>
        <v/>
      </c>
      <c r="D105" s="148" t="str">
        <f>IFERROR(IF(INDEX('Portfolio Register'!$B$5:$B$304,MATCH($B105,'Portfolio Register'!$DH$5:$DH$304,0))="","",INDEX('Portfolio Register'!$B$5:$B$304,MATCH($B105,'Portfolio Register'!$DH$5:$DH$304,0))),"")</f>
        <v/>
      </c>
      <c r="E105" s="148" t="str">
        <f>IFERROR(IF(INDEX('Portfolio Register'!$I$5:$I$304,MATCH($B105,'Portfolio Register'!$DH$5:$DH$304,0))="","",INDEX('Portfolio Register'!$I$5:$I$304,MATCH($B105,'Portfolio Register'!$DH$5:$DH$304,0))),"")</f>
        <v/>
      </c>
      <c r="F105" s="149" t="str">
        <f>IFERROR(IF(INDEX('Portfolio Register'!$J$5:$J$304,MATCH($B105,'Portfolio Register'!$DH$5:$DH$304,0))="","",INDEX('Portfolio Register'!$J$5:$J$304,MATCH($B105,'Portfolio Register'!$DH$5:$DH$304,0))),"")</f>
        <v/>
      </c>
      <c r="G105" s="148" t="str">
        <f>IFERROR(IF(INDEX('Portfolio Register'!$CX$5:$CX$304,MATCH($B105,'Portfolio Register'!$DH$5:$DH$304,0))="","",INDEX('Portfolio Register'!$CX$5:$CX$304,MATCH($B105,'Portfolio Register'!$DH$5:$DH$304,0))),"")</f>
        <v/>
      </c>
      <c r="H105" s="150" t="str">
        <f>IFERROR(IF(INDEX('Portfolio Register'!$CY$5:$CY$304,MATCH($B105,'Portfolio Register'!$DH$5:$DH$304,0))="","",INDEX('Portfolio Register'!$CY$5:$CY$304,MATCH($B105,'Portfolio Register'!$DH$5:$DH$304,0))),"")</f>
        <v/>
      </c>
      <c r="I105" s="148" t="str">
        <f>IFERROR(IF(INDEX('Portfolio Register'!$CZ$5:$CZ$304,MATCH($B105,'Portfolio Register'!$DH$5:$DH$304,0))="","",INDEX('Portfolio Register'!$CZ$5:$CZ$304,MATCH($B105,'Portfolio Register'!$DH$5:$DH$304,0))),"")</f>
        <v/>
      </c>
      <c r="J105" s="148" t="str">
        <f>IFERROR(IF(INDEX('Portfolio Register'!$DA$5:$DA$304,MATCH($B105,'Portfolio Register'!$DH$5:$DH$304,0))="","",INDEX('Portfolio Register'!$DA$5:$DA$304,MATCH($B105,'Portfolio Register'!$DH$5:$DH$304,0))),"")</f>
        <v/>
      </c>
      <c r="K105" s="148" t="str">
        <f>IFERROR(IF(INDEX('Portfolio Register'!$DB$5:$DB$304,MATCH($B105,'Portfolio Register'!$DH$5:$DH$304,0))="","",INDEX('Portfolio Register'!$DB$5:$DB$304,MATCH($B105,'Portfolio Register'!$DH$5:$DH$304,0))),"")</f>
        <v/>
      </c>
      <c r="L105" s="148" t="str">
        <f>IFERROR(IF(INDEX('Portfolio Register'!$DC$5:$DC$304,MATCH($B105,'Portfolio Register'!$DH$5:$DH$304,0))="","",INDEX('Portfolio Register'!$DC$5:$DC$304,MATCH($B105,'Portfolio Register'!$DH$5:$DH$304,0))),"")</f>
        <v/>
      </c>
      <c r="M105" s="151" t="str">
        <f>IFERROR(IF(INDEX('Portfolio Register'!$DD$5:$DD$304,MATCH($B105,'Portfolio Register'!$DH$5:$DH$304,0))="","",INDEX('Portfolio Register'!$DD$5:$DD$304,MATCH($B105,'Portfolio Register'!$DH$5:$DH$304,0))),"")</f>
        <v/>
      </c>
      <c r="N105" s="152" t="str">
        <f ca="1">IF($C105="","",IF($M105&lt;&gt;"",$M105-IFERROR(INDEX('Portfolio Register'!$C$5:$C$304,MATCH($B105,'Portfolio Register'!$DH$5:$DH$304,0)),$M105),TODAY()-IFERROR(INDEX('Portfolio Register'!$C$5:$C$304,MATCH($B105,'Portfolio Register'!$DH$5:$DH$304,0)),TODAY())))</f>
        <v/>
      </c>
      <c r="O105" s="153" t="str">
        <f t="shared" si="2"/>
        <v/>
      </c>
      <c r="P105" s="148" t="str">
        <f>IFERROR(IF(INDEX('Portfolio Register'!$DG$5:$DG$304,MATCH($B105,'Portfolio Register'!$DH$5:$DH$304,0))="","",INDEX('Portfolio Register'!$DG$5:$DG$304,MATCH($B105,'Portfolio Register'!$DH$5:$DH$304,0))),"")</f>
        <v/>
      </c>
      <c r="Q105" s="148" t="str">
        <f>IFERROR(IF(INDEX('Portfolio Register'!$DF$5:$DF$304,MATCH($B105,'Portfolio Register'!$DH$5:$DH$304,0))="","",INDEX('Portfolio Register'!$DF$5:$DF$304,MATCH($B105,'Portfolio Register'!$DH$5:$DH$304,0))),"")</f>
        <v/>
      </c>
    </row>
    <row r="106" spans="2:17" x14ac:dyDescent="0.35">
      <c r="B106" s="58">
        <v>79</v>
      </c>
      <c r="C106" s="142" t="str">
        <f>IFERROR(IF(INDEX('Portfolio Register'!$A$5:$A$304,MATCH($B106,'Portfolio Register'!$DH$5:$DH$304,0))="","",INDEX('Portfolio Register'!$A$5:$A$304,MATCH($B106,'Portfolio Register'!$DH$5:$DH$304,0))),"")</f>
        <v/>
      </c>
      <c r="D106" s="142" t="str">
        <f>IFERROR(IF(INDEX('Portfolio Register'!$B$5:$B$304,MATCH($B106,'Portfolio Register'!$DH$5:$DH$304,0))="","",INDEX('Portfolio Register'!$B$5:$B$304,MATCH($B106,'Portfolio Register'!$DH$5:$DH$304,0))),"")</f>
        <v/>
      </c>
      <c r="E106" s="142" t="str">
        <f>IFERROR(IF(INDEX('Portfolio Register'!$I$5:$I$304,MATCH($B106,'Portfolio Register'!$DH$5:$DH$304,0))="","",INDEX('Portfolio Register'!$I$5:$I$304,MATCH($B106,'Portfolio Register'!$DH$5:$DH$304,0))),"")</f>
        <v/>
      </c>
      <c r="F106" s="143" t="str">
        <f>IFERROR(IF(INDEX('Portfolio Register'!$J$5:$J$304,MATCH($B106,'Portfolio Register'!$DH$5:$DH$304,0))="","",INDEX('Portfolio Register'!$J$5:$J$304,MATCH($B106,'Portfolio Register'!$DH$5:$DH$304,0))),"")</f>
        <v/>
      </c>
      <c r="G106" s="142" t="str">
        <f>IFERROR(IF(INDEX('Portfolio Register'!$CX$5:$CX$304,MATCH($B106,'Portfolio Register'!$DH$5:$DH$304,0))="","",INDEX('Portfolio Register'!$CX$5:$CX$304,MATCH($B106,'Portfolio Register'!$DH$5:$DH$304,0))),"")</f>
        <v/>
      </c>
      <c r="H106" s="144" t="str">
        <f>IFERROR(IF(INDEX('Portfolio Register'!$CY$5:$CY$304,MATCH($B106,'Portfolio Register'!$DH$5:$DH$304,0))="","",INDEX('Portfolio Register'!$CY$5:$CY$304,MATCH($B106,'Portfolio Register'!$DH$5:$DH$304,0))),"")</f>
        <v/>
      </c>
      <c r="I106" s="142" t="str">
        <f>IFERROR(IF(INDEX('Portfolio Register'!$CZ$5:$CZ$304,MATCH($B106,'Portfolio Register'!$DH$5:$DH$304,0))="","",INDEX('Portfolio Register'!$CZ$5:$CZ$304,MATCH($B106,'Portfolio Register'!$DH$5:$DH$304,0))),"")</f>
        <v/>
      </c>
      <c r="J106" s="142" t="str">
        <f>IFERROR(IF(INDEX('Portfolio Register'!$DA$5:$DA$304,MATCH($B106,'Portfolio Register'!$DH$5:$DH$304,0))="","",INDEX('Portfolio Register'!$DA$5:$DA$304,MATCH($B106,'Portfolio Register'!$DH$5:$DH$304,0))),"")</f>
        <v/>
      </c>
      <c r="K106" s="142" t="str">
        <f>IFERROR(IF(INDEX('Portfolio Register'!$DB$5:$DB$304,MATCH($B106,'Portfolio Register'!$DH$5:$DH$304,0))="","",INDEX('Portfolio Register'!$DB$5:$DB$304,MATCH($B106,'Portfolio Register'!$DH$5:$DH$304,0))),"")</f>
        <v/>
      </c>
      <c r="L106" s="142" t="str">
        <f>IFERROR(IF(INDEX('Portfolio Register'!$DC$5:$DC$304,MATCH($B106,'Portfolio Register'!$DH$5:$DH$304,0))="","",INDEX('Portfolio Register'!$DC$5:$DC$304,MATCH($B106,'Portfolio Register'!$DH$5:$DH$304,0))),"")</f>
        <v/>
      </c>
      <c r="M106" s="145" t="str">
        <f>IFERROR(IF(INDEX('Portfolio Register'!$DD$5:$DD$304,MATCH($B106,'Portfolio Register'!$DH$5:$DH$304,0))="","",INDEX('Portfolio Register'!$DD$5:$DD$304,MATCH($B106,'Portfolio Register'!$DH$5:$DH$304,0))),"")</f>
        <v/>
      </c>
      <c r="N106" s="146" t="str">
        <f ca="1">IF($C106="","",IF($M106&lt;&gt;"",$M106-IFERROR(INDEX('Portfolio Register'!$C$5:$C$304,MATCH($B106,'Portfolio Register'!$DH$5:$DH$304,0)),$M106),TODAY()-IFERROR(INDEX('Portfolio Register'!$C$5:$C$304,MATCH($B106,'Portfolio Register'!$DH$5:$DH$304,0)),TODAY())))</f>
        <v/>
      </c>
      <c r="O106" s="147" t="str">
        <f t="shared" si="2"/>
        <v/>
      </c>
      <c r="P106" s="142" t="str">
        <f>IFERROR(IF(INDEX('Portfolio Register'!$DG$5:$DG$304,MATCH($B106,'Portfolio Register'!$DH$5:$DH$304,0))="","",INDEX('Portfolio Register'!$DG$5:$DG$304,MATCH($B106,'Portfolio Register'!$DH$5:$DH$304,0))),"")</f>
        <v/>
      </c>
      <c r="Q106" s="142" t="str">
        <f>IFERROR(IF(INDEX('Portfolio Register'!$DF$5:$DF$304,MATCH($B106,'Portfolio Register'!$DH$5:$DH$304,0))="","",INDEX('Portfolio Register'!$DF$5:$DF$304,MATCH($B106,'Portfolio Register'!$DH$5:$DH$304,0))),"")</f>
        <v/>
      </c>
    </row>
    <row r="107" spans="2:17" x14ac:dyDescent="0.35">
      <c r="B107" s="65">
        <v>80</v>
      </c>
      <c r="C107" s="148" t="str">
        <f>IFERROR(IF(INDEX('Portfolio Register'!$A$5:$A$304,MATCH($B107,'Portfolio Register'!$DH$5:$DH$304,0))="","",INDEX('Portfolio Register'!$A$5:$A$304,MATCH($B107,'Portfolio Register'!$DH$5:$DH$304,0))),"")</f>
        <v/>
      </c>
      <c r="D107" s="148" t="str">
        <f>IFERROR(IF(INDEX('Portfolio Register'!$B$5:$B$304,MATCH($B107,'Portfolio Register'!$DH$5:$DH$304,0))="","",INDEX('Portfolio Register'!$B$5:$B$304,MATCH($B107,'Portfolio Register'!$DH$5:$DH$304,0))),"")</f>
        <v/>
      </c>
      <c r="E107" s="148" t="str">
        <f>IFERROR(IF(INDEX('Portfolio Register'!$I$5:$I$304,MATCH($B107,'Portfolio Register'!$DH$5:$DH$304,0))="","",INDEX('Portfolio Register'!$I$5:$I$304,MATCH($B107,'Portfolio Register'!$DH$5:$DH$304,0))),"")</f>
        <v/>
      </c>
      <c r="F107" s="149" t="str">
        <f>IFERROR(IF(INDEX('Portfolio Register'!$J$5:$J$304,MATCH($B107,'Portfolio Register'!$DH$5:$DH$304,0))="","",INDEX('Portfolio Register'!$J$5:$J$304,MATCH($B107,'Portfolio Register'!$DH$5:$DH$304,0))),"")</f>
        <v/>
      </c>
      <c r="G107" s="148" t="str">
        <f>IFERROR(IF(INDEX('Portfolio Register'!$CX$5:$CX$304,MATCH($B107,'Portfolio Register'!$DH$5:$DH$304,0))="","",INDEX('Portfolio Register'!$CX$5:$CX$304,MATCH($B107,'Portfolio Register'!$DH$5:$DH$304,0))),"")</f>
        <v/>
      </c>
      <c r="H107" s="150" t="str">
        <f>IFERROR(IF(INDEX('Portfolio Register'!$CY$5:$CY$304,MATCH($B107,'Portfolio Register'!$DH$5:$DH$304,0))="","",INDEX('Portfolio Register'!$CY$5:$CY$304,MATCH($B107,'Portfolio Register'!$DH$5:$DH$304,0))),"")</f>
        <v/>
      </c>
      <c r="I107" s="148" t="str">
        <f>IFERROR(IF(INDEX('Portfolio Register'!$CZ$5:$CZ$304,MATCH($B107,'Portfolio Register'!$DH$5:$DH$304,0))="","",INDEX('Portfolio Register'!$CZ$5:$CZ$304,MATCH($B107,'Portfolio Register'!$DH$5:$DH$304,0))),"")</f>
        <v/>
      </c>
      <c r="J107" s="148" t="str">
        <f>IFERROR(IF(INDEX('Portfolio Register'!$DA$5:$DA$304,MATCH($B107,'Portfolio Register'!$DH$5:$DH$304,0))="","",INDEX('Portfolio Register'!$DA$5:$DA$304,MATCH($B107,'Portfolio Register'!$DH$5:$DH$304,0))),"")</f>
        <v/>
      </c>
      <c r="K107" s="148" t="str">
        <f>IFERROR(IF(INDEX('Portfolio Register'!$DB$5:$DB$304,MATCH($B107,'Portfolio Register'!$DH$5:$DH$304,0))="","",INDEX('Portfolio Register'!$DB$5:$DB$304,MATCH($B107,'Portfolio Register'!$DH$5:$DH$304,0))),"")</f>
        <v/>
      </c>
      <c r="L107" s="148" t="str">
        <f>IFERROR(IF(INDEX('Portfolio Register'!$DC$5:$DC$304,MATCH($B107,'Portfolio Register'!$DH$5:$DH$304,0))="","",INDEX('Portfolio Register'!$DC$5:$DC$304,MATCH($B107,'Portfolio Register'!$DH$5:$DH$304,0))),"")</f>
        <v/>
      </c>
      <c r="M107" s="151" t="str">
        <f>IFERROR(IF(INDEX('Portfolio Register'!$DD$5:$DD$304,MATCH($B107,'Portfolio Register'!$DH$5:$DH$304,0))="","",INDEX('Portfolio Register'!$DD$5:$DD$304,MATCH($B107,'Portfolio Register'!$DH$5:$DH$304,0))),"")</f>
        <v/>
      </c>
      <c r="N107" s="152" t="str">
        <f ca="1">IF($C107="","",IF($M107&lt;&gt;"",$M107-IFERROR(INDEX('Portfolio Register'!$C$5:$C$304,MATCH($B107,'Portfolio Register'!$DH$5:$DH$304,0)),$M107),TODAY()-IFERROR(INDEX('Portfolio Register'!$C$5:$C$304,MATCH($B107,'Portfolio Register'!$DH$5:$DH$304,0)),TODAY())))</f>
        <v/>
      </c>
      <c r="O107" s="153" t="str">
        <f t="shared" si="2"/>
        <v/>
      </c>
      <c r="P107" s="148" t="str">
        <f>IFERROR(IF(INDEX('Portfolio Register'!$DG$5:$DG$304,MATCH($B107,'Portfolio Register'!$DH$5:$DH$304,0))="","",INDEX('Portfolio Register'!$DG$5:$DG$304,MATCH($B107,'Portfolio Register'!$DH$5:$DH$304,0))),"")</f>
        <v/>
      </c>
      <c r="Q107" s="148" t="str">
        <f>IFERROR(IF(INDEX('Portfolio Register'!$DF$5:$DF$304,MATCH($B107,'Portfolio Register'!$DH$5:$DH$304,0))="","",INDEX('Portfolio Register'!$DF$5:$DF$304,MATCH($B107,'Portfolio Register'!$DH$5:$DH$304,0))),"")</f>
        <v/>
      </c>
    </row>
    <row r="108" spans="2:17" x14ac:dyDescent="0.35">
      <c r="B108" s="58">
        <v>81</v>
      </c>
      <c r="C108" s="142" t="str">
        <f>IFERROR(IF(INDEX('Portfolio Register'!$A$5:$A$304,MATCH($B108,'Portfolio Register'!$DH$5:$DH$304,0))="","",INDEX('Portfolio Register'!$A$5:$A$304,MATCH($B108,'Portfolio Register'!$DH$5:$DH$304,0))),"")</f>
        <v/>
      </c>
      <c r="D108" s="142" t="str">
        <f>IFERROR(IF(INDEX('Portfolio Register'!$B$5:$B$304,MATCH($B108,'Portfolio Register'!$DH$5:$DH$304,0))="","",INDEX('Portfolio Register'!$B$5:$B$304,MATCH($B108,'Portfolio Register'!$DH$5:$DH$304,0))),"")</f>
        <v/>
      </c>
      <c r="E108" s="142" t="str">
        <f>IFERROR(IF(INDEX('Portfolio Register'!$I$5:$I$304,MATCH($B108,'Portfolio Register'!$DH$5:$DH$304,0))="","",INDEX('Portfolio Register'!$I$5:$I$304,MATCH($B108,'Portfolio Register'!$DH$5:$DH$304,0))),"")</f>
        <v/>
      </c>
      <c r="F108" s="143" t="str">
        <f>IFERROR(IF(INDEX('Portfolio Register'!$J$5:$J$304,MATCH($B108,'Portfolio Register'!$DH$5:$DH$304,0))="","",INDEX('Portfolio Register'!$J$5:$J$304,MATCH($B108,'Portfolio Register'!$DH$5:$DH$304,0))),"")</f>
        <v/>
      </c>
      <c r="G108" s="142" t="str">
        <f>IFERROR(IF(INDEX('Portfolio Register'!$CX$5:$CX$304,MATCH($B108,'Portfolio Register'!$DH$5:$DH$304,0))="","",INDEX('Portfolio Register'!$CX$5:$CX$304,MATCH($B108,'Portfolio Register'!$DH$5:$DH$304,0))),"")</f>
        <v/>
      </c>
      <c r="H108" s="144" t="str">
        <f>IFERROR(IF(INDEX('Portfolio Register'!$CY$5:$CY$304,MATCH($B108,'Portfolio Register'!$DH$5:$DH$304,0))="","",INDEX('Portfolio Register'!$CY$5:$CY$304,MATCH($B108,'Portfolio Register'!$DH$5:$DH$304,0))),"")</f>
        <v/>
      </c>
      <c r="I108" s="142" t="str">
        <f>IFERROR(IF(INDEX('Portfolio Register'!$CZ$5:$CZ$304,MATCH($B108,'Portfolio Register'!$DH$5:$DH$304,0))="","",INDEX('Portfolio Register'!$CZ$5:$CZ$304,MATCH($B108,'Portfolio Register'!$DH$5:$DH$304,0))),"")</f>
        <v/>
      </c>
      <c r="J108" s="142" t="str">
        <f>IFERROR(IF(INDEX('Portfolio Register'!$DA$5:$DA$304,MATCH($B108,'Portfolio Register'!$DH$5:$DH$304,0))="","",INDEX('Portfolio Register'!$DA$5:$DA$304,MATCH($B108,'Portfolio Register'!$DH$5:$DH$304,0))),"")</f>
        <v/>
      </c>
      <c r="K108" s="142" t="str">
        <f>IFERROR(IF(INDEX('Portfolio Register'!$DB$5:$DB$304,MATCH($B108,'Portfolio Register'!$DH$5:$DH$304,0))="","",INDEX('Portfolio Register'!$DB$5:$DB$304,MATCH($B108,'Portfolio Register'!$DH$5:$DH$304,0))),"")</f>
        <v/>
      </c>
      <c r="L108" s="142" t="str">
        <f>IFERROR(IF(INDEX('Portfolio Register'!$DC$5:$DC$304,MATCH($B108,'Portfolio Register'!$DH$5:$DH$304,0))="","",INDEX('Portfolio Register'!$DC$5:$DC$304,MATCH($B108,'Portfolio Register'!$DH$5:$DH$304,0))),"")</f>
        <v/>
      </c>
      <c r="M108" s="145" t="str">
        <f>IFERROR(IF(INDEX('Portfolio Register'!$DD$5:$DD$304,MATCH($B108,'Portfolio Register'!$DH$5:$DH$304,0))="","",INDEX('Portfolio Register'!$DD$5:$DD$304,MATCH($B108,'Portfolio Register'!$DH$5:$DH$304,0))),"")</f>
        <v/>
      </c>
      <c r="N108" s="146" t="str">
        <f ca="1">IF($C108="","",IF($M108&lt;&gt;"",$M108-IFERROR(INDEX('Portfolio Register'!$C$5:$C$304,MATCH($B108,'Portfolio Register'!$DH$5:$DH$304,0)),$M108),TODAY()-IFERROR(INDEX('Portfolio Register'!$C$5:$C$304,MATCH($B108,'Portfolio Register'!$DH$5:$DH$304,0)),TODAY())))</f>
        <v/>
      </c>
      <c r="O108" s="147" t="str">
        <f t="shared" si="2"/>
        <v/>
      </c>
      <c r="P108" s="142" t="str">
        <f>IFERROR(IF(INDEX('Portfolio Register'!$DG$5:$DG$304,MATCH($B108,'Portfolio Register'!$DH$5:$DH$304,0))="","",INDEX('Portfolio Register'!$DG$5:$DG$304,MATCH($B108,'Portfolio Register'!$DH$5:$DH$304,0))),"")</f>
        <v/>
      </c>
      <c r="Q108" s="142" t="str">
        <f>IFERROR(IF(INDEX('Portfolio Register'!$DF$5:$DF$304,MATCH($B108,'Portfolio Register'!$DH$5:$DH$304,0))="","",INDEX('Portfolio Register'!$DF$5:$DF$304,MATCH($B108,'Portfolio Register'!$DH$5:$DH$304,0))),"")</f>
        <v/>
      </c>
    </row>
    <row r="109" spans="2:17" x14ac:dyDescent="0.35">
      <c r="B109" s="65">
        <v>82</v>
      </c>
      <c r="C109" s="148" t="str">
        <f>IFERROR(IF(INDEX('Portfolio Register'!$A$5:$A$304,MATCH($B109,'Portfolio Register'!$DH$5:$DH$304,0))="","",INDEX('Portfolio Register'!$A$5:$A$304,MATCH($B109,'Portfolio Register'!$DH$5:$DH$304,0))),"")</f>
        <v/>
      </c>
      <c r="D109" s="148" t="str">
        <f>IFERROR(IF(INDEX('Portfolio Register'!$B$5:$B$304,MATCH($B109,'Portfolio Register'!$DH$5:$DH$304,0))="","",INDEX('Portfolio Register'!$B$5:$B$304,MATCH($B109,'Portfolio Register'!$DH$5:$DH$304,0))),"")</f>
        <v/>
      </c>
      <c r="E109" s="148" t="str">
        <f>IFERROR(IF(INDEX('Portfolio Register'!$I$5:$I$304,MATCH($B109,'Portfolio Register'!$DH$5:$DH$304,0))="","",INDEX('Portfolio Register'!$I$5:$I$304,MATCH($B109,'Portfolio Register'!$DH$5:$DH$304,0))),"")</f>
        <v/>
      </c>
      <c r="F109" s="149" t="str">
        <f>IFERROR(IF(INDEX('Portfolio Register'!$J$5:$J$304,MATCH($B109,'Portfolio Register'!$DH$5:$DH$304,0))="","",INDEX('Portfolio Register'!$J$5:$J$304,MATCH($B109,'Portfolio Register'!$DH$5:$DH$304,0))),"")</f>
        <v/>
      </c>
      <c r="G109" s="148" t="str">
        <f>IFERROR(IF(INDEX('Portfolio Register'!$CX$5:$CX$304,MATCH($B109,'Portfolio Register'!$DH$5:$DH$304,0))="","",INDEX('Portfolio Register'!$CX$5:$CX$304,MATCH($B109,'Portfolio Register'!$DH$5:$DH$304,0))),"")</f>
        <v/>
      </c>
      <c r="H109" s="150" t="str">
        <f>IFERROR(IF(INDEX('Portfolio Register'!$CY$5:$CY$304,MATCH($B109,'Portfolio Register'!$DH$5:$DH$304,0))="","",INDEX('Portfolio Register'!$CY$5:$CY$304,MATCH($B109,'Portfolio Register'!$DH$5:$DH$304,0))),"")</f>
        <v/>
      </c>
      <c r="I109" s="148" t="str">
        <f>IFERROR(IF(INDEX('Portfolio Register'!$CZ$5:$CZ$304,MATCH($B109,'Portfolio Register'!$DH$5:$DH$304,0))="","",INDEX('Portfolio Register'!$CZ$5:$CZ$304,MATCH($B109,'Portfolio Register'!$DH$5:$DH$304,0))),"")</f>
        <v/>
      </c>
      <c r="J109" s="148" t="str">
        <f>IFERROR(IF(INDEX('Portfolio Register'!$DA$5:$DA$304,MATCH($B109,'Portfolio Register'!$DH$5:$DH$304,0))="","",INDEX('Portfolio Register'!$DA$5:$DA$304,MATCH($B109,'Portfolio Register'!$DH$5:$DH$304,0))),"")</f>
        <v/>
      </c>
      <c r="K109" s="148" t="str">
        <f>IFERROR(IF(INDEX('Portfolio Register'!$DB$5:$DB$304,MATCH($B109,'Portfolio Register'!$DH$5:$DH$304,0))="","",INDEX('Portfolio Register'!$DB$5:$DB$304,MATCH($B109,'Portfolio Register'!$DH$5:$DH$304,0))),"")</f>
        <v/>
      </c>
      <c r="L109" s="148" t="str">
        <f>IFERROR(IF(INDEX('Portfolio Register'!$DC$5:$DC$304,MATCH($B109,'Portfolio Register'!$DH$5:$DH$304,0))="","",INDEX('Portfolio Register'!$DC$5:$DC$304,MATCH($B109,'Portfolio Register'!$DH$5:$DH$304,0))),"")</f>
        <v/>
      </c>
      <c r="M109" s="151" t="str">
        <f>IFERROR(IF(INDEX('Portfolio Register'!$DD$5:$DD$304,MATCH($B109,'Portfolio Register'!$DH$5:$DH$304,0))="","",INDEX('Portfolio Register'!$DD$5:$DD$304,MATCH($B109,'Portfolio Register'!$DH$5:$DH$304,0))),"")</f>
        <v/>
      </c>
      <c r="N109" s="152" t="str">
        <f ca="1">IF($C109="","",IF($M109&lt;&gt;"",$M109-IFERROR(INDEX('Portfolio Register'!$C$5:$C$304,MATCH($B109,'Portfolio Register'!$DH$5:$DH$304,0)),$M109),TODAY()-IFERROR(INDEX('Portfolio Register'!$C$5:$C$304,MATCH($B109,'Portfolio Register'!$DH$5:$DH$304,0)),TODAY())))</f>
        <v/>
      </c>
      <c r="O109" s="153" t="str">
        <f t="shared" si="2"/>
        <v/>
      </c>
      <c r="P109" s="148" t="str">
        <f>IFERROR(IF(INDEX('Portfolio Register'!$DG$5:$DG$304,MATCH($B109,'Portfolio Register'!$DH$5:$DH$304,0))="","",INDEX('Portfolio Register'!$DG$5:$DG$304,MATCH($B109,'Portfolio Register'!$DH$5:$DH$304,0))),"")</f>
        <v/>
      </c>
      <c r="Q109" s="148" t="str">
        <f>IFERROR(IF(INDEX('Portfolio Register'!$DF$5:$DF$304,MATCH($B109,'Portfolio Register'!$DH$5:$DH$304,0))="","",INDEX('Portfolio Register'!$DF$5:$DF$304,MATCH($B109,'Portfolio Register'!$DH$5:$DH$304,0))),"")</f>
        <v/>
      </c>
    </row>
    <row r="110" spans="2:17" x14ac:dyDescent="0.35">
      <c r="B110" s="58">
        <v>83</v>
      </c>
      <c r="C110" s="142" t="str">
        <f>IFERROR(IF(INDEX('Portfolio Register'!$A$5:$A$304,MATCH($B110,'Portfolio Register'!$DH$5:$DH$304,0))="","",INDEX('Portfolio Register'!$A$5:$A$304,MATCH($B110,'Portfolio Register'!$DH$5:$DH$304,0))),"")</f>
        <v/>
      </c>
      <c r="D110" s="142" t="str">
        <f>IFERROR(IF(INDEX('Portfolio Register'!$B$5:$B$304,MATCH($B110,'Portfolio Register'!$DH$5:$DH$304,0))="","",INDEX('Portfolio Register'!$B$5:$B$304,MATCH($B110,'Portfolio Register'!$DH$5:$DH$304,0))),"")</f>
        <v/>
      </c>
      <c r="E110" s="142" t="str">
        <f>IFERROR(IF(INDEX('Portfolio Register'!$I$5:$I$304,MATCH($B110,'Portfolio Register'!$DH$5:$DH$304,0))="","",INDEX('Portfolio Register'!$I$5:$I$304,MATCH($B110,'Portfolio Register'!$DH$5:$DH$304,0))),"")</f>
        <v/>
      </c>
      <c r="F110" s="143" t="str">
        <f>IFERROR(IF(INDEX('Portfolio Register'!$J$5:$J$304,MATCH($B110,'Portfolio Register'!$DH$5:$DH$304,0))="","",INDEX('Portfolio Register'!$J$5:$J$304,MATCH($B110,'Portfolio Register'!$DH$5:$DH$304,0))),"")</f>
        <v/>
      </c>
      <c r="G110" s="142" t="str">
        <f>IFERROR(IF(INDEX('Portfolio Register'!$CX$5:$CX$304,MATCH($B110,'Portfolio Register'!$DH$5:$DH$304,0))="","",INDEX('Portfolio Register'!$CX$5:$CX$304,MATCH($B110,'Portfolio Register'!$DH$5:$DH$304,0))),"")</f>
        <v/>
      </c>
      <c r="H110" s="144" t="str">
        <f>IFERROR(IF(INDEX('Portfolio Register'!$CY$5:$CY$304,MATCH($B110,'Portfolio Register'!$DH$5:$DH$304,0))="","",INDEX('Portfolio Register'!$CY$5:$CY$304,MATCH($B110,'Portfolio Register'!$DH$5:$DH$304,0))),"")</f>
        <v/>
      </c>
      <c r="I110" s="142" t="str">
        <f>IFERROR(IF(INDEX('Portfolio Register'!$CZ$5:$CZ$304,MATCH($B110,'Portfolio Register'!$DH$5:$DH$304,0))="","",INDEX('Portfolio Register'!$CZ$5:$CZ$304,MATCH($B110,'Portfolio Register'!$DH$5:$DH$304,0))),"")</f>
        <v/>
      </c>
      <c r="J110" s="142" t="str">
        <f>IFERROR(IF(INDEX('Portfolio Register'!$DA$5:$DA$304,MATCH($B110,'Portfolio Register'!$DH$5:$DH$304,0))="","",INDEX('Portfolio Register'!$DA$5:$DA$304,MATCH($B110,'Portfolio Register'!$DH$5:$DH$304,0))),"")</f>
        <v/>
      </c>
      <c r="K110" s="142" t="str">
        <f>IFERROR(IF(INDEX('Portfolio Register'!$DB$5:$DB$304,MATCH($B110,'Portfolio Register'!$DH$5:$DH$304,0))="","",INDEX('Portfolio Register'!$DB$5:$DB$304,MATCH($B110,'Portfolio Register'!$DH$5:$DH$304,0))),"")</f>
        <v/>
      </c>
      <c r="L110" s="142" t="str">
        <f>IFERROR(IF(INDEX('Portfolio Register'!$DC$5:$DC$304,MATCH($B110,'Portfolio Register'!$DH$5:$DH$304,0))="","",INDEX('Portfolio Register'!$DC$5:$DC$304,MATCH($B110,'Portfolio Register'!$DH$5:$DH$304,0))),"")</f>
        <v/>
      </c>
      <c r="M110" s="145" t="str">
        <f>IFERROR(IF(INDEX('Portfolio Register'!$DD$5:$DD$304,MATCH($B110,'Portfolio Register'!$DH$5:$DH$304,0))="","",INDEX('Portfolio Register'!$DD$5:$DD$304,MATCH($B110,'Portfolio Register'!$DH$5:$DH$304,0))),"")</f>
        <v/>
      </c>
      <c r="N110" s="146" t="str">
        <f ca="1">IF($C110="","",IF($M110&lt;&gt;"",$M110-IFERROR(INDEX('Portfolio Register'!$C$5:$C$304,MATCH($B110,'Portfolio Register'!$DH$5:$DH$304,0)),$M110),TODAY()-IFERROR(INDEX('Portfolio Register'!$C$5:$C$304,MATCH($B110,'Portfolio Register'!$DH$5:$DH$304,0)),TODAY())))</f>
        <v/>
      </c>
      <c r="O110" s="147" t="str">
        <f t="shared" si="2"/>
        <v/>
      </c>
      <c r="P110" s="142" t="str">
        <f>IFERROR(IF(INDEX('Portfolio Register'!$DG$5:$DG$304,MATCH($B110,'Portfolio Register'!$DH$5:$DH$304,0))="","",INDEX('Portfolio Register'!$DG$5:$DG$304,MATCH($B110,'Portfolio Register'!$DH$5:$DH$304,0))),"")</f>
        <v/>
      </c>
      <c r="Q110" s="142" t="str">
        <f>IFERROR(IF(INDEX('Portfolio Register'!$DF$5:$DF$304,MATCH($B110,'Portfolio Register'!$DH$5:$DH$304,0))="","",INDEX('Portfolio Register'!$DF$5:$DF$304,MATCH($B110,'Portfolio Register'!$DH$5:$DH$304,0))),"")</f>
        <v/>
      </c>
    </row>
    <row r="111" spans="2:17" x14ac:dyDescent="0.35">
      <c r="B111" s="65">
        <v>84</v>
      </c>
      <c r="C111" s="148" t="str">
        <f>IFERROR(IF(INDEX('Portfolio Register'!$A$5:$A$304,MATCH($B111,'Portfolio Register'!$DH$5:$DH$304,0))="","",INDEX('Portfolio Register'!$A$5:$A$304,MATCH($B111,'Portfolio Register'!$DH$5:$DH$304,0))),"")</f>
        <v/>
      </c>
      <c r="D111" s="148" t="str">
        <f>IFERROR(IF(INDEX('Portfolio Register'!$B$5:$B$304,MATCH($B111,'Portfolio Register'!$DH$5:$DH$304,0))="","",INDEX('Portfolio Register'!$B$5:$B$304,MATCH($B111,'Portfolio Register'!$DH$5:$DH$304,0))),"")</f>
        <v/>
      </c>
      <c r="E111" s="148" t="str">
        <f>IFERROR(IF(INDEX('Portfolio Register'!$I$5:$I$304,MATCH($B111,'Portfolio Register'!$DH$5:$DH$304,0))="","",INDEX('Portfolio Register'!$I$5:$I$304,MATCH($B111,'Portfolio Register'!$DH$5:$DH$304,0))),"")</f>
        <v/>
      </c>
      <c r="F111" s="149" t="str">
        <f>IFERROR(IF(INDEX('Portfolio Register'!$J$5:$J$304,MATCH($B111,'Portfolio Register'!$DH$5:$DH$304,0))="","",INDEX('Portfolio Register'!$J$5:$J$304,MATCH($B111,'Portfolio Register'!$DH$5:$DH$304,0))),"")</f>
        <v/>
      </c>
      <c r="G111" s="148" t="str">
        <f>IFERROR(IF(INDEX('Portfolio Register'!$CX$5:$CX$304,MATCH($B111,'Portfolio Register'!$DH$5:$DH$304,0))="","",INDEX('Portfolio Register'!$CX$5:$CX$304,MATCH($B111,'Portfolio Register'!$DH$5:$DH$304,0))),"")</f>
        <v/>
      </c>
      <c r="H111" s="150" t="str">
        <f>IFERROR(IF(INDEX('Portfolio Register'!$CY$5:$CY$304,MATCH($B111,'Portfolio Register'!$DH$5:$DH$304,0))="","",INDEX('Portfolio Register'!$CY$5:$CY$304,MATCH($B111,'Portfolio Register'!$DH$5:$DH$304,0))),"")</f>
        <v/>
      </c>
      <c r="I111" s="148" t="str">
        <f>IFERROR(IF(INDEX('Portfolio Register'!$CZ$5:$CZ$304,MATCH($B111,'Portfolio Register'!$DH$5:$DH$304,0))="","",INDEX('Portfolio Register'!$CZ$5:$CZ$304,MATCH($B111,'Portfolio Register'!$DH$5:$DH$304,0))),"")</f>
        <v/>
      </c>
      <c r="J111" s="148" t="str">
        <f>IFERROR(IF(INDEX('Portfolio Register'!$DA$5:$DA$304,MATCH($B111,'Portfolio Register'!$DH$5:$DH$304,0))="","",INDEX('Portfolio Register'!$DA$5:$DA$304,MATCH($B111,'Portfolio Register'!$DH$5:$DH$304,0))),"")</f>
        <v/>
      </c>
      <c r="K111" s="148" t="str">
        <f>IFERROR(IF(INDEX('Portfolio Register'!$DB$5:$DB$304,MATCH($B111,'Portfolio Register'!$DH$5:$DH$304,0))="","",INDEX('Portfolio Register'!$DB$5:$DB$304,MATCH($B111,'Portfolio Register'!$DH$5:$DH$304,0))),"")</f>
        <v/>
      </c>
      <c r="L111" s="148" t="str">
        <f>IFERROR(IF(INDEX('Portfolio Register'!$DC$5:$DC$304,MATCH($B111,'Portfolio Register'!$DH$5:$DH$304,0))="","",INDEX('Portfolio Register'!$DC$5:$DC$304,MATCH($B111,'Portfolio Register'!$DH$5:$DH$304,0))),"")</f>
        <v/>
      </c>
      <c r="M111" s="151" t="str">
        <f>IFERROR(IF(INDEX('Portfolio Register'!$DD$5:$DD$304,MATCH($B111,'Portfolio Register'!$DH$5:$DH$304,0))="","",INDEX('Portfolio Register'!$DD$5:$DD$304,MATCH($B111,'Portfolio Register'!$DH$5:$DH$304,0))),"")</f>
        <v/>
      </c>
      <c r="N111" s="152" t="str">
        <f ca="1">IF($C111="","",IF($M111&lt;&gt;"",$M111-IFERROR(INDEX('Portfolio Register'!$C$5:$C$304,MATCH($B111,'Portfolio Register'!$DH$5:$DH$304,0)),$M111),TODAY()-IFERROR(INDEX('Portfolio Register'!$C$5:$C$304,MATCH($B111,'Portfolio Register'!$DH$5:$DH$304,0)),TODAY())))</f>
        <v/>
      </c>
      <c r="O111" s="153" t="str">
        <f t="shared" si="2"/>
        <v/>
      </c>
      <c r="P111" s="148" t="str">
        <f>IFERROR(IF(INDEX('Portfolio Register'!$DG$5:$DG$304,MATCH($B111,'Portfolio Register'!$DH$5:$DH$304,0))="","",INDEX('Portfolio Register'!$DG$5:$DG$304,MATCH($B111,'Portfolio Register'!$DH$5:$DH$304,0))),"")</f>
        <v/>
      </c>
      <c r="Q111" s="148" t="str">
        <f>IFERROR(IF(INDEX('Portfolio Register'!$DF$5:$DF$304,MATCH($B111,'Portfolio Register'!$DH$5:$DH$304,0))="","",INDEX('Portfolio Register'!$DF$5:$DF$304,MATCH($B111,'Portfolio Register'!$DH$5:$DH$304,0))),"")</f>
        <v/>
      </c>
    </row>
    <row r="112" spans="2:17" x14ac:dyDescent="0.35">
      <c r="B112" s="58">
        <v>85</v>
      </c>
      <c r="C112" s="142" t="str">
        <f>IFERROR(IF(INDEX('Portfolio Register'!$A$5:$A$304,MATCH($B112,'Portfolio Register'!$DH$5:$DH$304,0))="","",INDEX('Portfolio Register'!$A$5:$A$304,MATCH($B112,'Portfolio Register'!$DH$5:$DH$304,0))),"")</f>
        <v/>
      </c>
      <c r="D112" s="142" t="str">
        <f>IFERROR(IF(INDEX('Portfolio Register'!$B$5:$B$304,MATCH($B112,'Portfolio Register'!$DH$5:$DH$304,0))="","",INDEX('Portfolio Register'!$B$5:$B$304,MATCH($B112,'Portfolio Register'!$DH$5:$DH$304,0))),"")</f>
        <v/>
      </c>
      <c r="E112" s="142" t="str">
        <f>IFERROR(IF(INDEX('Portfolio Register'!$I$5:$I$304,MATCH($B112,'Portfolio Register'!$DH$5:$DH$304,0))="","",INDEX('Portfolio Register'!$I$5:$I$304,MATCH($B112,'Portfolio Register'!$DH$5:$DH$304,0))),"")</f>
        <v/>
      </c>
      <c r="F112" s="143" t="str">
        <f>IFERROR(IF(INDEX('Portfolio Register'!$J$5:$J$304,MATCH($B112,'Portfolio Register'!$DH$5:$DH$304,0))="","",INDEX('Portfolio Register'!$J$5:$J$304,MATCH($B112,'Portfolio Register'!$DH$5:$DH$304,0))),"")</f>
        <v/>
      </c>
      <c r="G112" s="142" t="str">
        <f>IFERROR(IF(INDEX('Portfolio Register'!$CX$5:$CX$304,MATCH($B112,'Portfolio Register'!$DH$5:$DH$304,0))="","",INDEX('Portfolio Register'!$CX$5:$CX$304,MATCH($B112,'Portfolio Register'!$DH$5:$DH$304,0))),"")</f>
        <v/>
      </c>
      <c r="H112" s="144" t="str">
        <f>IFERROR(IF(INDEX('Portfolio Register'!$CY$5:$CY$304,MATCH($B112,'Portfolio Register'!$DH$5:$DH$304,0))="","",INDEX('Portfolio Register'!$CY$5:$CY$304,MATCH($B112,'Portfolio Register'!$DH$5:$DH$304,0))),"")</f>
        <v/>
      </c>
      <c r="I112" s="142" t="str">
        <f>IFERROR(IF(INDEX('Portfolio Register'!$CZ$5:$CZ$304,MATCH($B112,'Portfolio Register'!$DH$5:$DH$304,0))="","",INDEX('Portfolio Register'!$CZ$5:$CZ$304,MATCH($B112,'Portfolio Register'!$DH$5:$DH$304,0))),"")</f>
        <v/>
      </c>
      <c r="J112" s="142" t="str">
        <f>IFERROR(IF(INDEX('Portfolio Register'!$DA$5:$DA$304,MATCH($B112,'Portfolio Register'!$DH$5:$DH$304,0))="","",INDEX('Portfolio Register'!$DA$5:$DA$304,MATCH($B112,'Portfolio Register'!$DH$5:$DH$304,0))),"")</f>
        <v/>
      </c>
      <c r="K112" s="142" t="str">
        <f>IFERROR(IF(INDEX('Portfolio Register'!$DB$5:$DB$304,MATCH($B112,'Portfolio Register'!$DH$5:$DH$304,0))="","",INDEX('Portfolio Register'!$DB$5:$DB$304,MATCH($B112,'Portfolio Register'!$DH$5:$DH$304,0))),"")</f>
        <v/>
      </c>
      <c r="L112" s="142" t="str">
        <f>IFERROR(IF(INDEX('Portfolio Register'!$DC$5:$DC$304,MATCH($B112,'Portfolio Register'!$DH$5:$DH$304,0))="","",INDEX('Portfolio Register'!$DC$5:$DC$304,MATCH($B112,'Portfolio Register'!$DH$5:$DH$304,0))),"")</f>
        <v/>
      </c>
      <c r="M112" s="145" t="str">
        <f>IFERROR(IF(INDEX('Portfolio Register'!$DD$5:$DD$304,MATCH($B112,'Portfolio Register'!$DH$5:$DH$304,0))="","",INDEX('Portfolio Register'!$DD$5:$DD$304,MATCH($B112,'Portfolio Register'!$DH$5:$DH$304,0))),"")</f>
        <v/>
      </c>
      <c r="N112" s="146" t="str">
        <f ca="1">IF($C112="","",IF($M112&lt;&gt;"",$M112-IFERROR(INDEX('Portfolio Register'!$C$5:$C$304,MATCH($B112,'Portfolio Register'!$DH$5:$DH$304,0)),$M112),TODAY()-IFERROR(INDEX('Portfolio Register'!$C$5:$C$304,MATCH($B112,'Portfolio Register'!$DH$5:$DH$304,0)),TODAY())))</f>
        <v/>
      </c>
      <c r="O112" s="147" t="str">
        <f t="shared" si="2"/>
        <v/>
      </c>
      <c r="P112" s="142" t="str">
        <f>IFERROR(IF(INDEX('Portfolio Register'!$DG$5:$DG$304,MATCH($B112,'Portfolio Register'!$DH$5:$DH$304,0))="","",INDEX('Portfolio Register'!$DG$5:$DG$304,MATCH($B112,'Portfolio Register'!$DH$5:$DH$304,0))),"")</f>
        <v/>
      </c>
      <c r="Q112" s="142" t="str">
        <f>IFERROR(IF(INDEX('Portfolio Register'!$DF$5:$DF$304,MATCH($B112,'Portfolio Register'!$DH$5:$DH$304,0))="","",INDEX('Portfolio Register'!$DF$5:$DF$304,MATCH($B112,'Portfolio Register'!$DH$5:$DH$304,0))),"")</f>
        <v/>
      </c>
    </row>
    <row r="113" spans="2:17" x14ac:dyDescent="0.35">
      <c r="B113" s="65">
        <v>86</v>
      </c>
      <c r="C113" s="148" t="str">
        <f>IFERROR(IF(INDEX('Portfolio Register'!$A$5:$A$304,MATCH($B113,'Portfolio Register'!$DH$5:$DH$304,0))="","",INDEX('Portfolio Register'!$A$5:$A$304,MATCH($B113,'Portfolio Register'!$DH$5:$DH$304,0))),"")</f>
        <v/>
      </c>
      <c r="D113" s="148" t="str">
        <f>IFERROR(IF(INDEX('Portfolio Register'!$B$5:$B$304,MATCH($B113,'Portfolio Register'!$DH$5:$DH$304,0))="","",INDEX('Portfolio Register'!$B$5:$B$304,MATCH($B113,'Portfolio Register'!$DH$5:$DH$304,0))),"")</f>
        <v/>
      </c>
      <c r="E113" s="148" t="str">
        <f>IFERROR(IF(INDEX('Portfolio Register'!$I$5:$I$304,MATCH($B113,'Portfolio Register'!$DH$5:$DH$304,0))="","",INDEX('Portfolio Register'!$I$5:$I$304,MATCH($B113,'Portfolio Register'!$DH$5:$DH$304,0))),"")</f>
        <v/>
      </c>
      <c r="F113" s="149" t="str">
        <f>IFERROR(IF(INDEX('Portfolio Register'!$J$5:$J$304,MATCH($B113,'Portfolio Register'!$DH$5:$DH$304,0))="","",INDEX('Portfolio Register'!$J$5:$J$304,MATCH($B113,'Portfolio Register'!$DH$5:$DH$304,0))),"")</f>
        <v/>
      </c>
      <c r="G113" s="148" t="str">
        <f>IFERROR(IF(INDEX('Portfolio Register'!$CX$5:$CX$304,MATCH($B113,'Portfolio Register'!$DH$5:$DH$304,0))="","",INDEX('Portfolio Register'!$CX$5:$CX$304,MATCH($B113,'Portfolio Register'!$DH$5:$DH$304,0))),"")</f>
        <v/>
      </c>
      <c r="H113" s="150" t="str">
        <f>IFERROR(IF(INDEX('Portfolio Register'!$CY$5:$CY$304,MATCH($B113,'Portfolio Register'!$DH$5:$DH$304,0))="","",INDEX('Portfolio Register'!$CY$5:$CY$304,MATCH($B113,'Portfolio Register'!$DH$5:$DH$304,0))),"")</f>
        <v/>
      </c>
      <c r="I113" s="148" t="str">
        <f>IFERROR(IF(INDEX('Portfolio Register'!$CZ$5:$CZ$304,MATCH($B113,'Portfolio Register'!$DH$5:$DH$304,0))="","",INDEX('Portfolio Register'!$CZ$5:$CZ$304,MATCH($B113,'Portfolio Register'!$DH$5:$DH$304,0))),"")</f>
        <v/>
      </c>
      <c r="J113" s="148" t="str">
        <f>IFERROR(IF(INDEX('Portfolio Register'!$DA$5:$DA$304,MATCH($B113,'Portfolio Register'!$DH$5:$DH$304,0))="","",INDEX('Portfolio Register'!$DA$5:$DA$304,MATCH($B113,'Portfolio Register'!$DH$5:$DH$304,0))),"")</f>
        <v/>
      </c>
      <c r="K113" s="148" t="str">
        <f>IFERROR(IF(INDEX('Portfolio Register'!$DB$5:$DB$304,MATCH($B113,'Portfolio Register'!$DH$5:$DH$304,0))="","",INDEX('Portfolio Register'!$DB$5:$DB$304,MATCH($B113,'Portfolio Register'!$DH$5:$DH$304,0))),"")</f>
        <v/>
      </c>
      <c r="L113" s="148" t="str">
        <f>IFERROR(IF(INDEX('Portfolio Register'!$DC$5:$DC$304,MATCH($B113,'Portfolio Register'!$DH$5:$DH$304,0))="","",INDEX('Portfolio Register'!$DC$5:$DC$304,MATCH($B113,'Portfolio Register'!$DH$5:$DH$304,0))),"")</f>
        <v/>
      </c>
      <c r="M113" s="151" t="str">
        <f>IFERROR(IF(INDEX('Portfolio Register'!$DD$5:$DD$304,MATCH($B113,'Portfolio Register'!$DH$5:$DH$304,0))="","",INDEX('Portfolio Register'!$DD$5:$DD$304,MATCH($B113,'Portfolio Register'!$DH$5:$DH$304,0))),"")</f>
        <v/>
      </c>
      <c r="N113" s="152" t="str">
        <f ca="1">IF($C113="","",IF($M113&lt;&gt;"",$M113-IFERROR(INDEX('Portfolio Register'!$C$5:$C$304,MATCH($B113,'Portfolio Register'!$DH$5:$DH$304,0)),$M113),TODAY()-IFERROR(INDEX('Portfolio Register'!$C$5:$C$304,MATCH($B113,'Portfolio Register'!$DH$5:$DH$304,0)),TODAY())))</f>
        <v/>
      </c>
      <c r="O113" s="153" t="str">
        <f t="shared" si="2"/>
        <v/>
      </c>
      <c r="P113" s="148" t="str">
        <f>IFERROR(IF(INDEX('Portfolio Register'!$DG$5:$DG$304,MATCH($B113,'Portfolio Register'!$DH$5:$DH$304,0))="","",INDEX('Portfolio Register'!$DG$5:$DG$304,MATCH($B113,'Portfolio Register'!$DH$5:$DH$304,0))),"")</f>
        <v/>
      </c>
      <c r="Q113" s="148" t="str">
        <f>IFERROR(IF(INDEX('Portfolio Register'!$DF$5:$DF$304,MATCH($B113,'Portfolio Register'!$DH$5:$DH$304,0))="","",INDEX('Portfolio Register'!$DF$5:$DF$304,MATCH($B113,'Portfolio Register'!$DH$5:$DH$304,0))),"")</f>
        <v/>
      </c>
    </row>
    <row r="114" spans="2:17" x14ac:dyDescent="0.35">
      <c r="B114" s="58">
        <v>87</v>
      </c>
      <c r="C114" s="142" t="str">
        <f>IFERROR(IF(INDEX('Portfolio Register'!$A$5:$A$304,MATCH($B114,'Portfolio Register'!$DH$5:$DH$304,0))="","",INDEX('Portfolio Register'!$A$5:$A$304,MATCH($B114,'Portfolio Register'!$DH$5:$DH$304,0))),"")</f>
        <v/>
      </c>
      <c r="D114" s="142" t="str">
        <f>IFERROR(IF(INDEX('Portfolio Register'!$B$5:$B$304,MATCH($B114,'Portfolio Register'!$DH$5:$DH$304,0))="","",INDEX('Portfolio Register'!$B$5:$B$304,MATCH($B114,'Portfolio Register'!$DH$5:$DH$304,0))),"")</f>
        <v/>
      </c>
      <c r="E114" s="142" t="str">
        <f>IFERROR(IF(INDEX('Portfolio Register'!$I$5:$I$304,MATCH($B114,'Portfolio Register'!$DH$5:$DH$304,0))="","",INDEX('Portfolio Register'!$I$5:$I$304,MATCH($B114,'Portfolio Register'!$DH$5:$DH$304,0))),"")</f>
        <v/>
      </c>
      <c r="F114" s="143" t="str">
        <f>IFERROR(IF(INDEX('Portfolio Register'!$J$5:$J$304,MATCH($B114,'Portfolio Register'!$DH$5:$DH$304,0))="","",INDEX('Portfolio Register'!$J$5:$J$304,MATCH($B114,'Portfolio Register'!$DH$5:$DH$304,0))),"")</f>
        <v/>
      </c>
      <c r="G114" s="142" t="str">
        <f>IFERROR(IF(INDEX('Portfolio Register'!$CX$5:$CX$304,MATCH($B114,'Portfolio Register'!$DH$5:$DH$304,0))="","",INDEX('Portfolio Register'!$CX$5:$CX$304,MATCH($B114,'Portfolio Register'!$DH$5:$DH$304,0))),"")</f>
        <v/>
      </c>
      <c r="H114" s="144" t="str">
        <f>IFERROR(IF(INDEX('Portfolio Register'!$CY$5:$CY$304,MATCH($B114,'Portfolio Register'!$DH$5:$DH$304,0))="","",INDEX('Portfolio Register'!$CY$5:$CY$304,MATCH($B114,'Portfolio Register'!$DH$5:$DH$304,0))),"")</f>
        <v/>
      </c>
      <c r="I114" s="142" t="str">
        <f>IFERROR(IF(INDEX('Portfolio Register'!$CZ$5:$CZ$304,MATCH($B114,'Portfolio Register'!$DH$5:$DH$304,0))="","",INDEX('Portfolio Register'!$CZ$5:$CZ$304,MATCH($B114,'Portfolio Register'!$DH$5:$DH$304,0))),"")</f>
        <v/>
      </c>
      <c r="J114" s="142" t="str">
        <f>IFERROR(IF(INDEX('Portfolio Register'!$DA$5:$DA$304,MATCH($B114,'Portfolio Register'!$DH$5:$DH$304,0))="","",INDEX('Portfolio Register'!$DA$5:$DA$304,MATCH($B114,'Portfolio Register'!$DH$5:$DH$304,0))),"")</f>
        <v/>
      </c>
      <c r="K114" s="142" t="str">
        <f>IFERROR(IF(INDEX('Portfolio Register'!$DB$5:$DB$304,MATCH($B114,'Portfolio Register'!$DH$5:$DH$304,0))="","",INDEX('Portfolio Register'!$DB$5:$DB$304,MATCH($B114,'Portfolio Register'!$DH$5:$DH$304,0))),"")</f>
        <v/>
      </c>
      <c r="L114" s="142" t="str">
        <f>IFERROR(IF(INDEX('Portfolio Register'!$DC$5:$DC$304,MATCH($B114,'Portfolio Register'!$DH$5:$DH$304,0))="","",INDEX('Portfolio Register'!$DC$5:$DC$304,MATCH($B114,'Portfolio Register'!$DH$5:$DH$304,0))),"")</f>
        <v/>
      </c>
      <c r="M114" s="145" t="str">
        <f>IFERROR(IF(INDEX('Portfolio Register'!$DD$5:$DD$304,MATCH($B114,'Portfolio Register'!$DH$5:$DH$304,0))="","",INDEX('Portfolio Register'!$DD$5:$DD$304,MATCH($B114,'Portfolio Register'!$DH$5:$DH$304,0))),"")</f>
        <v/>
      </c>
      <c r="N114" s="146" t="str">
        <f ca="1">IF($C114="","",IF($M114&lt;&gt;"",$M114-IFERROR(INDEX('Portfolio Register'!$C$5:$C$304,MATCH($B114,'Portfolio Register'!$DH$5:$DH$304,0)),$M114),TODAY()-IFERROR(INDEX('Portfolio Register'!$C$5:$C$304,MATCH($B114,'Portfolio Register'!$DH$5:$DH$304,0)),TODAY())))</f>
        <v/>
      </c>
      <c r="O114" s="147" t="str">
        <f t="shared" si="2"/>
        <v/>
      </c>
      <c r="P114" s="142" t="str">
        <f>IFERROR(IF(INDEX('Portfolio Register'!$DG$5:$DG$304,MATCH($B114,'Portfolio Register'!$DH$5:$DH$304,0))="","",INDEX('Portfolio Register'!$DG$5:$DG$304,MATCH($B114,'Portfolio Register'!$DH$5:$DH$304,0))),"")</f>
        <v/>
      </c>
      <c r="Q114" s="142" t="str">
        <f>IFERROR(IF(INDEX('Portfolio Register'!$DF$5:$DF$304,MATCH($B114,'Portfolio Register'!$DH$5:$DH$304,0))="","",INDEX('Portfolio Register'!$DF$5:$DF$304,MATCH($B114,'Portfolio Register'!$DH$5:$DH$304,0))),"")</f>
        <v/>
      </c>
    </row>
    <row r="115" spans="2:17" x14ac:dyDescent="0.35">
      <c r="B115" s="65">
        <v>88</v>
      </c>
      <c r="C115" s="148" t="str">
        <f>IFERROR(IF(INDEX('Portfolio Register'!$A$5:$A$304,MATCH($B115,'Portfolio Register'!$DH$5:$DH$304,0))="","",INDEX('Portfolio Register'!$A$5:$A$304,MATCH($B115,'Portfolio Register'!$DH$5:$DH$304,0))),"")</f>
        <v/>
      </c>
      <c r="D115" s="148" t="str">
        <f>IFERROR(IF(INDEX('Portfolio Register'!$B$5:$B$304,MATCH($B115,'Portfolio Register'!$DH$5:$DH$304,0))="","",INDEX('Portfolio Register'!$B$5:$B$304,MATCH($B115,'Portfolio Register'!$DH$5:$DH$304,0))),"")</f>
        <v/>
      </c>
      <c r="E115" s="148" t="str">
        <f>IFERROR(IF(INDEX('Portfolio Register'!$I$5:$I$304,MATCH($B115,'Portfolio Register'!$DH$5:$DH$304,0))="","",INDEX('Portfolio Register'!$I$5:$I$304,MATCH($B115,'Portfolio Register'!$DH$5:$DH$304,0))),"")</f>
        <v/>
      </c>
      <c r="F115" s="149" t="str">
        <f>IFERROR(IF(INDEX('Portfolio Register'!$J$5:$J$304,MATCH($B115,'Portfolio Register'!$DH$5:$DH$304,0))="","",INDEX('Portfolio Register'!$J$5:$J$304,MATCH($B115,'Portfolio Register'!$DH$5:$DH$304,0))),"")</f>
        <v/>
      </c>
      <c r="G115" s="148" t="str">
        <f>IFERROR(IF(INDEX('Portfolio Register'!$CX$5:$CX$304,MATCH($B115,'Portfolio Register'!$DH$5:$DH$304,0))="","",INDEX('Portfolio Register'!$CX$5:$CX$304,MATCH($B115,'Portfolio Register'!$DH$5:$DH$304,0))),"")</f>
        <v/>
      </c>
      <c r="H115" s="150" t="str">
        <f>IFERROR(IF(INDEX('Portfolio Register'!$CY$5:$CY$304,MATCH($B115,'Portfolio Register'!$DH$5:$DH$304,0))="","",INDEX('Portfolio Register'!$CY$5:$CY$304,MATCH($B115,'Portfolio Register'!$DH$5:$DH$304,0))),"")</f>
        <v/>
      </c>
      <c r="I115" s="148" t="str">
        <f>IFERROR(IF(INDEX('Portfolio Register'!$CZ$5:$CZ$304,MATCH($B115,'Portfolio Register'!$DH$5:$DH$304,0))="","",INDEX('Portfolio Register'!$CZ$5:$CZ$304,MATCH($B115,'Portfolio Register'!$DH$5:$DH$304,0))),"")</f>
        <v/>
      </c>
      <c r="J115" s="148" t="str">
        <f>IFERROR(IF(INDEX('Portfolio Register'!$DA$5:$DA$304,MATCH($B115,'Portfolio Register'!$DH$5:$DH$304,0))="","",INDEX('Portfolio Register'!$DA$5:$DA$304,MATCH($B115,'Portfolio Register'!$DH$5:$DH$304,0))),"")</f>
        <v/>
      </c>
      <c r="K115" s="148" t="str">
        <f>IFERROR(IF(INDEX('Portfolio Register'!$DB$5:$DB$304,MATCH($B115,'Portfolio Register'!$DH$5:$DH$304,0))="","",INDEX('Portfolio Register'!$DB$5:$DB$304,MATCH($B115,'Portfolio Register'!$DH$5:$DH$304,0))),"")</f>
        <v/>
      </c>
      <c r="L115" s="148" t="str">
        <f>IFERROR(IF(INDEX('Portfolio Register'!$DC$5:$DC$304,MATCH($B115,'Portfolio Register'!$DH$5:$DH$304,0))="","",INDEX('Portfolio Register'!$DC$5:$DC$304,MATCH($B115,'Portfolio Register'!$DH$5:$DH$304,0))),"")</f>
        <v/>
      </c>
      <c r="M115" s="151" t="str">
        <f>IFERROR(IF(INDEX('Portfolio Register'!$DD$5:$DD$304,MATCH($B115,'Portfolio Register'!$DH$5:$DH$304,0))="","",INDEX('Portfolio Register'!$DD$5:$DD$304,MATCH($B115,'Portfolio Register'!$DH$5:$DH$304,0))),"")</f>
        <v/>
      </c>
      <c r="N115" s="152" t="str">
        <f ca="1">IF($C115="","",IF($M115&lt;&gt;"",$M115-IFERROR(INDEX('Portfolio Register'!$C$5:$C$304,MATCH($B115,'Portfolio Register'!$DH$5:$DH$304,0)),$M115),TODAY()-IFERROR(INDEX('Portfolio Register'!$C$5:$C$304,MATCH($B115,'Portfolio Register'!$DH$5:$DH$304,0)),TODAY())))</f>
        <v/>
      </c>
      <c r="O115" s="153" t="str">
        <f t="shared" si="2"/>
        <v/>
      </c>
      <c r="P115" s="148" t="str">
        <f>IFERROR(IF(INDEX('Portfolio Register'!$DG$5:$DG$304,MATCH($B115,'Portfolio Register'!$DH$5:$DH$304,0))="","",INDEX('Portfolio Register'!$DG$5:$DG$304,MATCH($B115,'Portfolio Register'!$DH$5:$DH$304,0))),"")</f>
        <v/>
      </c>
      <c r="Q115" s="148" t="str">
        <f>IFERROR(IF(INDEX('Portfolio Register'!$DF$5:$DF$304,MATCH($B115,'Portfolio Register'!$DH$5:$DH$304,0))="","",INDEX('Portfolio Register'!$DF$5:$DF$304,MATCH($B115,'Portfolio Register'!$DH$5:$DH$304,0))),"")</f>
        <v/>
      </c>
    </row>
    <row r="116" spans="2:17" x14ac:dyDescent="0.35">
      <c r="B116" s="58">
        <v>89</v>
      </c>
      <c r="C116" s="142" t="str">
        <f>IFERROR(IF(INDEX('Portfolio Register'!$A$5:$A$304,MATCH($B116,'Portfolio Register'!$DH$5:$DH$304,0))="","",INDEX('Portfolio Register'!$A$5:$A$304,MATCH($B116,'Portfolio Register'!$DH$5:$DH$304,0))),"")</f>
        <v/>
      </c>
      <c r="D116" s="142" t="str">
        <f>IFERROR(IF(INDEX('Portfolio Register'!$B$5:$B$304,MATCH($B116,'Portfolio Register'!$DH$5:$DH$304,0))="","",INDEX('Portfolio Register'!$B$5:$B$304,MATCH($B116,'Portfolio Register'!$DH$5:$DH$304,0))),"")</f>
        <v/>
      </c>
      <c r="E116" s="142" t="str">
        <f>IFERROR(IF(INDEX('Portfolio Register'!$I$5:$I$304,MATCH($B116,'Portfolio Register'!$DH$5:$DH$304,0))="","",INDEX('Portfolio Register'!$I$5:$I$304,MATCH($B116,'Portfolio Register'!$DH$5:$DH$304,0))),"")</f>
        <v/>
      </c>
      <c r="F116" s="143" t="str">
        <f>IFERROR(IF(INDEX('Portfolio Register'!$J$5:$J$304,MATCH($B116,'Portfolio Register'!$DH$5:$DH$304,0))="","",INDEX('Portfolio Register'!$J$5:$J$304,MATCH($B116,'Portfolio Register'!$DH$5:$DH$304,0))),"")</f>
        <v/>
      </c>
      <c r="G116" s="142" t="str">
        <f>IFERROR(IF(INDEX('Portfolio Register'!$CX$5:$CX$304,MATCH($B116,'Portfolio Register'!$DH$5:$DH$304,0))="","",INDEX('Portfolio Register'!$CX$5:$CX$304,MATCH($B116,'Portfolio Register'!$DH$5:$DH$304,0))),"")</f>
        <v/>
      </c>
      <c r="H116" s="144" t="str">
        <f>IFERROR(IF(INDEX('Portfolio Register'!$CY$5:$CY$304,MATCH($B116,'Portfolio Register'!$DH$5:$DH$304,0))="","",INDEX('Portfolio Register'!$CY$5:$CY$304,MATCH($B116,'Portfolio Register'!$DH$5:$DH$304,0))),"")</f>
        <v/>
      </c>
      <c r="I116" s="142" t="str">
        <f>IFERROR(IF(INDEX('Portfolio Register'!$CZ$5:$CZ$304,MATCH($B116,'Portfolio Register'!$DH$5:$DH$304,0))="","",INDEX('Portfolio Register'!$CZ$5:$CZ$304,MATCH($B116,'Portfolio Register'!$DH$5:$DH$304,0))),"")</f>
        <v/>
      </c>
      <c r="J116" s="142" t="str">
        <f>IFERROR(IF(INDEX('Portfolio Register'!$DA$5:$DA$304,MATCH($B116,'Portfolio Register'!$DH$5:$DH$304,0))="","",INDEX('Portfolio Register'!$DA$5:$DA$304,MATCH($B116,'Portfolio Register'!$DH$5:$DH$304,0))),"")</f>
        <v/>
      </c>
      <c r="K116" s="142" t="str">
        <f>IFERROR(IF(INDEX('Portfolio Register'!$DB$5:$DB$304,MATCH($B116,'Portfolio Register'!$DH$5:$DH$304,0))="","",INDEX('Portfolio Register'!$DB$5:$DB$304,MATCH($B116,'Portfolio Register'!$DH$5:$DH$304,0))),"")</f>
        <v/>
      </c>
      <c r="L116" s="142" t="str">
        <f>IFERROR(IF(INDEX('Portfolio Register'!$DC$5:$DC$304,MATCH($B116,'Portfolio Register'!$DH$5:$DH$304,0))="","",INDEX('Portfolio Register'!$DC$5:$DC$304,MATCH($B116,'Portfolio Register'!$DH$5:$DH$304,0))),"")</f>
        <v/>
      </c>
      <c r="M116" s="145" t="str">
        <f>IFERROR(IF(INDEX('Portfolio Register'!$DD$5:$DD$304,MATCH($B116,'Portfolio Register'!$DH$5:$DH$304,0))="","",INDEX('Portfolio Register'!$DD$5:$DD$304,MATCH($B116,'Portfolio Register'!$DH$5:$DH$304,0))),"")</f>
        <v/>
      </c>
      <c r="N116" s="146" t="str">
        <f ca="1">IF($C116="","",IF($M116&lt;&gt;"",$M116-IFERROR(INDEX('Portfolio Register'!$C$5:$C$304,MATCH($B116,'Portfolio Register'!$DH$5:$DH$304,0)),$M116),TODAY()-IFERROR(INDEX('Portfolio Register'!$C$5:$C$304,MATCH($B116,'Portfolio Register'!$DH$5:$DH$304,0)),TODAY())))</f>
        <v/>
      </c>
      <c r="O116" s="147" t="str">
        <f t="shared" si="2"/>
        <v/>
      </c>
      <c r="P116" s="142" t="str">
        <f>IFERROR(IF(INDEX('Portfolio Register'!$DG$5:$DG$304,MATCH($B116,'Portfolio Register'!$DH$5:$DH$304,0))="","",INDEX('Portfolio Register'!$DG$5:$DG$304,MATCH($B116,'Portfolio Register'!$DH$5:$DH$304,0))),"")</f>
        <v/>
      </c>
      <c r="Q116" s="142" t="str">
        <f>IFERROR(IF(INDEX('Portfolio Register'!$DF$5:$DF$304,MATCH($B116,'Portfolio Register'!$DH$5:$DH$304,0))="","",INDEX('Portfolio Register'!$DF$5:$DF$304,MATCH($B116,'Portfolio Register'!$DH$5:$DH$304,0))),"")</f>
        <v/>
      </c>
    </row>
    <row r="117" spans="2:17" x14ac:dyDescent="0.35">
      <c r="B117" s="65">
        <v>90</v>
      </c>
      <c r="C117" s="148" t="str">
        <f>IFERROR(IF(INDEX('Portfolio Register'!$A$5:$A$304,MATCH($B117,'Portfolio Register'!$DH$5:$DH$304,0))="","",INDEX('Portfolio Register'!$A$5:$A$304,MATCH($B117,'Portfolio Register'!$DH$5:$DH$304,0))),"")</f>
        <v/>
      </c>
      <c r="D117" s="148" t="str">
        <f>IFERROR(IF(INDEX('Portfolio Register'!$B$5:$B$304,MATCH($B117,'Portfolio Register'!$DH$5:$DH$304,0))="","",INDEX('Portfolio Register'!$B$5:$B$304,MATCH($B117,'Portfolio Register'!$DH$5:$DH$304,0))),"")</f>
        <v/>
      </c>
      <c r="E117" s="148" t="str">
        <f>IFERROR(IF(INDEX('Portfolio Register'!$I$5:$I$304,MATCH($B117,'Portfolio Register'!$DH$5:$DH$304,0))="","",INDEX('Portfolio Register'!$I$5:$I$304,MATCH($B117,'Portfolio Register'!$DH$5:$DH$304,0))),"")</f>
        <v/>
      </c>
      <c r="F117" s="149" t="str">
        <f>IFERROR(IF(INDEX('Portfolio Register'!$J$5:$J$304,MATCH($B117,'Portfolio Register'!$DH$5:$DH$304,0))="","",INDEX('Portfolio Register'!$J$5:$J$304,MATCH($B117,'Portfolio Register'!$DH$5:$DH$304,0))),"")</f>
        <v/>
      </c>
      <c r="G117" s="148" t="str">
        <f>IFERROR(IF(INDEX('Portfolio Register'!$CX$5:$CX$304,MATCH($B117,'Portfolio Register'!$DH$5:$DH$304,0))="","",INDEX('Portfolio Register'!$CX$5:$CX$304,MATCH($B117,'Portfolio Register'!$DH$5:$DH$304,0))),"")</f>
        <v/>
      </c>
      <c r="H117" s="150" t="str">
        <f>IFERROR(IF(INDEX('Portfolio Register'!$CY$5:$CY$304,MATCH($B117,'Portfolio Register'!$DH$5:$DH$304,0))="","",INDEX('Portfolio Register'!$CY$5:$CY$304,MATCH($B117,'Portfolio Register'!$DH$5:$DH$304,0))),"")</f>
        <v/>
      </c>
      <c r="I117" s="148" t="str">
        <f>IFERROR(IF(INDEX('Portfolio Register'!$CZ$5:$CZ$304,MATCH($B117,'Portfolio Register'!$DH$5:$DH$304,0))="","",INDEX('Portfolio Register'!$CZ$5:$CZ$304,MATCH($B117,'Portfolio Register'!$DH$5:$DH$304,0))),"")</f>
        <v/>
      </c>
      <c r="J117" s="148" t="str">
        <f>IFERROR(IF(INDEX('Portfolio Register'!$DA$5:$DA$304,MATCH($B117,'Portfolio Register'!$DH$5:$DH$304,0))="","",INDEX('Portfolio Register'!$DA$5:$DA$304,MATCH($B117,'Portfolio Register'!$DH$5:$DH$304,0))),"")</f>
        <v/>
      </c>
      <c r="K117" s="148" t="str">
        <f>IFERROR(IF(INDEX('Portfolio Register'!$DB$5:$DB$304,MATCH($B117,'Portfolio Register'!$DH$5:$DH$304,0))="","",INDEX('Portfolio Register'!$DB$5:$DB$304,MATCH($B117,'Portfolio Register'!$DH$5:$DH$304,0))),"")</f>
        <v/>
      </c>
      <c r="L117" s="148" t="str">
        <f>IFERROR(IF(INDEX('Portfolio Register'!$DC$5:$DC$304,MATCH($B117,'Portfolio Register'!$DH$5:$DH$304,0))="","",INDEX('Portfolio Register'!$DC$5:$DC$304,MATCH($B117,'Portfolio Register'!$DH$5:$DH$304,0))),"")</f>
        <v/>
      </c>
      <c r="M117" s="151" t="str">
        <f>IFERROR(IF(INDEX('Portfolio Register'!$DD$5:$DD$304,MATCH($B117,'Portfolio Register'!$DH$5:$DH$304,0))="","",INDEX('Portfolio Register'!$DD$5:$DD$304,MATCH($B117,'Portfolio Register'!$DH$5:$DH$304,0))),"")</f>
        <v/>
      </c>
      <c r="N117" s="152" t="str">
        <f ca="1">IF($C117="","",IF($M117&lt;&gt;"",$M117-IFERROR(INDEX('Portfolio Register'!$C$5:$C$304,MATCH($B117,'Portfolio Register'!$DH$5:$DH$304,0)),$M117),TODAY()-IFERROR(INDEX('Portfolio Register'!$C$5:$C$304,MATCH($B117,'Portfolio Register'!$DH$5:$DH$304,0)),TODAY())))</f>
        <v/>
      </c>
      <c r="O117" s="153" t="str">
        <f t="shared" si="2"/>
        <v/>
      </c>
      <c r="P117" s="148" t="str">
        <f>IFERROR(IF(INDEX('Portfolio Register'!$DG$5:$DG$304,MATCH($B117,'Portfolio Register'!$DH$5:$DH$304,0))="","",INDEX('Portfolio Register'!$DG$5:$DG$304,MATCH($B117,'Portfolio Register'!$DH$5:$DH$304,0))),"")</f>
        <v/>
      </c>
      <c r="Q117" s="148" t="str">
        <f>IFERROR(IF(INDEX('Portfolio Register'!$DF$5:$DF$304,MATCH($B117,'Portfolio Register'!$DH$5:$DH$304,0))="","",INDEX('Portfolio Register'!$DF$5:$DF$304,MATCH($B117,'Portfolio Register'!$DH$5:$DH$304,0))),"")</f>
        <v/>
      </c>
    </row>
    <row r="118" spans="2:17" x14ac:dyDescent="0.35">
      <c r="B118" s="58">
        <v>91</v>
      </c>
      <c r="C118" s="142" t="str">
        <f>IFERROR(IF(INDEX('Portfolio Register'!$A$5:$A$304,MATCH($B118,'Portfolio Register'!$DH$5:$DH$304,0))="","",INDEX('Portfolio Register'!$A$5:$A$304,MATCH($B118,'Portfolio Register'!$DH$5:$DH$304,0))),"")</f>
        <v/>
      </c>
      <c r="D118" s="142" t="str">
        <f>IFERROR(IF(INDEX('Portfolio Register'!$B$5:$B$304,MATCH($B118,'Portfolio Register'!$DH$5:$DH$304,0))="","",INDEX('Portfolio Register'!$B$5:$B$304,MATCH($B118,'Portfolio Register'!$DH$5:$DH$304,0))),"")</f>
        <v/>
      </c>
      <c r="E118" s="142" t="str">
        <f>IFERROR(IF(INDEX('Portfolio Register'!$I$5:$I$304,MATCH($B118,'Portfolio Register'!$DH$5:$DH$304,0))="","",INDEX('Portfolio Register'!$I$5:$I$304,MATCH($B118,'Portfolio Register'!$DH$5:$DH$304,0))),"")</f>
        <v/>
      </c>
      <c r="F118" s="143" t="str">
        <f>IFERROR(IF(INDEX('Portfolio Register'!$J$5:$J$304,MATCH($B118,'Portfolio Register'!$DH$5:$DH$304,0))="","",INDEX('Portfolio Register'!$J$5:$J$304,MATCH($B118,'Portfolio Register'!$DH$5:$DH$304,0))),"")</f>
        <v/>
      </c>
      <c r="G118" s="142" t="str">
        <f>IFERROR(IF(INDEX('Portfolio Register'!$CX$5:$CX$304,MATCH($B118,'Portfolio Register'!$DH$5:$DH$304,0))="","",INDEX('Portfolio Register'!$CX$5:$CX$304,MATCH($B118,'Portfolio Register'!$DH$5:$DH$304,0))),"")</f>
        <v/>
      </c>
      <c r="H118" s="144" t="str">
        <f>IFERROR(IF(INDEX('Portfolio Register'!$CY$5:$CY$304,MATCH($B118,'Portfolio Register'!$DH$5:$DH$304,0))="","",INDEX('Portfolio Register'!$CY$5:$CY$304,MATCH($B118,'Portfolio Register'!$DH$5:$DH$304,0))),"")</f>
        <v/>
      </c>
      <c r="I118" s="142" t="str">
        <f>IFERROR(IF(INDEX('Portfolio Register'!$CZ$5:$CZ$304,MATCH($B118,'Portfolio Register'!$DH$5:$DH$304,0))="","",INDEX('Portfolio Register'!$CZ$5:$CZ$304,MATCH($B118,'Portfolio Register'!$DH$5:$DH$304,0))),"")</f>
        <v/>
      </c>
      <c r="J118" s="142" t="str">
        <f>IFERROR(IF(INDEX('Portfolio Register'!$DA$5:$DA$304,MATCH($B118,'Portfolio Register'!$DH$5:$DH$304,0))="","",INDEX('Portfolio Register'!$DA$5:$DA$304,MATCH($B118,'Portfolio Register'!$DH$5:$DH$304,0))),"")</f>
        <v/>
      </c>
      <c r="K118" s="142" t="str">
        <f>IFERROR(IF(INDEX('Portfolio Register'!$DB$5:$DB$304,MATCH($B118,'Portfolio Register'!$DH$5:$DH$304,0))="","",INDEX('Portfolio Register'!$DB$5:$DB$304,MATCH($B118,'Portfolio Register'!$DH$5:$DH$304,0))),"")</f>
        <v/>
      </c>
      <c r="L118" s="142" t="str">
        <f>IFERROR(IF(INDEX('Portfolio Register'!$DC$5:$DC$304,MATCH($B118,'Portfolio Register'!$DH$5:$DH$304,0))="","",INDEX('Portfolio Register'!$DC$5:$DC$304,MATCH($B118,'Portfolio Register'!$DH$5:$DH$304,0))),"")</f>
        <v/>
      </c>
      <c r="M118" s="145" t="str">
        <f>IFERROR(IF(INDEX('Portfolio Register'!$DD$5:$DD$304,MATCH($B118,'Portfolio Register'!$DH$5:$DH$304,0))="","",INDEX('Portfolio Register'!$DD$5:$DD$304,MATCH($B118,'Portfolio Register'!$DH$5:$DH$304,0))),"")</f>
        <v/>
      </c>
      <c r="N118" s="146" t="str">
        <f ca="1">IF($C118="","",IF($M118&lt;&gt;"",$M118-IFERROR(INDEX('Portfolio Register'!$C$5:$C$304,MATCH($B118,'Portfolio Register'!$DH$5:$DH$304,0)),$M118),TODAY()-IFERROR(INDEX('Portfolio Register'!$C$5:$C$304,MATCH($B118,'Portfolio Register'!$DH$5:$DH$304,0)),TODAY())))</f>
        <v/>
      </c>
      <c r="O118" s="147" t="str">
        <f t="shared" si="2"/>
        <v/>
      </c>
      <c r="P118" s="142" t="str">
        <f>IFERROR(IF(INDEX('Portfolio Register'!$DG$5:$DG$304,MATCH($B118,'Portfolio Register'!$DH$5:$DH$304,0))="","",INDEX('Portfolio Register'!$DG$5:$DG$304,MATCH($B118,'Portfolio Register'!$DH$5:$DH$304,0))),"")</f>
        <v/>
      </c>
      <c r="Q118" s="142" t="str">
        <f>IFERROR(IF(INDEX('Portfolio Register'!$DF$5:$DF$304,MATCH($B118,'Portfolio Register'!$DH$5:$DH$304,0))="","",INDEX('Portfolio Register'!$DF$5:$DF$304,MATCH($B118,'Portfolio Register'!$DH$5:$DH$304,0))),"")</f>
        <v/>
      </c>
    </row>
    <row r="119" spans="2:17" x14ac:dyDescent="0.35">
      <c r="B119" s="65">
        <v>92</v>
      </c>
      <c r="C119" s="148" t="str">
        <f>IFERROR(IF(INDEX('Portfolio Register'!$A$5:$A$304,MATCH($B119,'Portfolio Register'!$DH$5:$DH$304,0))="","",INDEX('Portfolio Register'!$A$5:$A$304,MATCH($B119,'Portfolio Register'!$DH$5:$DH$304,0))),"")</f>
        <v/>
      </c>
      <c r="D119" s="148" t="str">
        <f>IFERROR(IF(INDEX('Portfolio Register'!$B$5:$B$304,MATCH($B119,'Portfolio Register'!$DH$5:$DH$304,0))="","",INDEX('Portfolio Register'!$B$5:$B$304,MATCH($B119,'Portfolio Register'!$DH$5:$DH$304,0))),"")</f>
        <v/>
      </c>
      <c r="E119" s="148" t="str">
        <f>IFERROR(IF(INDEX('Portfolio Register'!$I$5:$I$304,MATCH($B119,'Portfolio Register'!$DH$5:$DH$304,0))="","",INDEX('Portfolio Register'!$I$5:$I$304,MATCH($B119,'Portfolio Register'!$DH$5:$DH$304,0))),"")</f>
        <v/>
      </c>
      <c r="F119" s="149" t="str">
        <f>IFERROR(IF(INDEX('Portfolio Register'!$J$5:$J$304,MATCH($B119,'Portfolio Register'!$DH$5:$DH$304,0))="","",INDEX('Portfolio Register'!$J$5:$J$304,MATCH($B119,'Portfolio Register'!$DH$5:$DH$304,0))),"")</f>
        <v/>
      </c>
      <c r="G119" s="148" t="str">
        <f>IFERROR(IF(INDEX('Portfolio Register'!$CX$5:$CX$304,MATCH($B119,'Portfolio Register'!$DH$5:$DH$304,0))="","",INDEX('Portfolio Register'!$CX$5:$CX$304,MATCH($B119,'Portfolio Register'!$DH$5:$DH$304,0))),"")</f>
        <v/>
      </c>
      <c r="H119" s="150" t="str">
        <f>IFERROR(IF(INDEX('Portfolio Register'!$CY$5:$CY$304,MATCH($B119,'Portfolio Register'!$DH$5:$DH$304,0))="","",INDEX('Portfolio Register'!$CY$5:$CY$304,MATCH($B119,'Portfolio Register'!$DH$5:$DH$304,0))),"")</f>
        <v/>
      </c>
      <c r="I119" s="148" t="str">
        <f>IFERROR(IF(INDEX('Portfolio Register'!$CZ$5:$CZ$304,MATCH($B119,'Portfolio Register'!$DH$5:$DH$304,0))="","",INDEX('Portfolio Register'!$CZ$5:$CZ$304,MATCH($B119,'Portfolio Register'!$DH$5:$DH$304,0))),"")</f>
        <v/>
      </c>
      <c r="J119" s="148" t="str">
        <f>IFERROR(IF(INDEX('Portfolio Register'!$DA$5:$DA$304,MATCH($B119,'Portfolio Register'!$DH$5:$DH$304,0))="","",INDEX('Portfolio Register'!$DA$5:$DA$304,MATCH($B119,'Portfolio Register'!$DH$5:$DH$304,0))),"")</f>
        <v/>
      </c>
      <c r="K119" s="148" t="str">
        <f>IFERROR(IF(INDEX('Portfolio Register'!$DB$5:$DB$304,MATCH($B119,'Portfolio Register'!$DH$5:$DH$304,0))="","",INDEX('Portfolio Register'!$DB$5:$DB$304,MATCH($B119,'Portfolio Register'!$DH$5:$DH$304,0))),"")</f>
        <v/>
      </c>
      <c r="L119" s="148" t="str">
        <f>IFERROR(IF(INDEX('Portfolio Register'!$DC$5:$DC$304,MATCH($B119,'Portfolio Register'!$DH$5:$DH$304,0))="","",INDEX('Portfolio Register'!$DC$5:$DC$304,MATCH($B119,'Portfolio Register'!$DH$5:$DH$304,0))),"")</f>
        <v/>
      </c>
      <c r="M119" s="151" t="str">
        <f>IFERROR(IF(INDEX('Portfolio Register'!$DD$5:$DD$304,MATCH($B119,'Portfolio Register'!$DH$5:$DH$304,0))="","",INDEX('Portfolio Register'!$DD$5:$DD$304,MATCH($B119,'Portfolio Register'!$DH$5:$DH$304,0))),"")</f>
        <v/>
      </c>
      <c r="N119" s="152" t="str">
        <f ca="1">IF($C119="","",IF($M119&lt;&gt;"",$M119-IFERROR(INDEX('Portfolio Register'!$C$5:$C$304,MATCH($B119,'Portfolio Register'!$DH$5:$DH$304,0)),$M119),TODAY()-IFERROR(INDEX('Portfolio Register'!$C$5:$C$304,MATCH($B119,'Portfolio Register'!$DH$5:$DH$304,0)),TODAY())))</f>
        <v/>
      </c>
      <c r="O119" s="153" t="str">
        <f t="shared" si="2"/>
        <v/>
      </c>
      <c r="P119" s="148" t="str">
        <f>IFERROR(IF(INDEX('Portfolio Register'!$DG$5:$DG$304,MATCH($B119,'Portfolio Register'!$DH$5:$DH$304,0))="","",INDEX('Portfolio Register'!$DG$5:$DG$304,MATCH($B119,'Portfolio Register'!$DH$5:$DH$304,0))),"")</f>
        <v/>
      </c>
      <c r="Q119" s="148" t="str">
        <f>IFERROR(IF(INDEX('Portfolio Register'!$DF$5:$DF$304,MATCH($B119,'Portfolio Register'!$DH$5:$DH$304,0))="","",INDEX('Portfolio Register'!$DF$5:$DF$304,MATCH($B119,'Portfolio Register'!$DH$5:$DH$304,0))),"")</f>
        <v/>
      </c>
    </row>
    <row r="120" spans="2:17" x14ac:dyDescent="0.35">
      <c r="B120" s="58">
        <v>93</v>
      </c>
      <c r="C120" s="142" t="str">
        <f>IFERROR(IF(INDEX('Portfolio Register'!$A$5:$A$304,MATCH($B120,'Portfolio Register'!$DH$5:$DH$304,0))="","",INDEX('Portfolio Register'!$A$5:$A$304,MATCH($B120,'Portfolio Register'!$DH$5:$DH$304,0))),"")</f>
        <v/>
      </c>
      <c r="D120" s="142" t="str">
        <f>IFERROR(IF(INDEX('Portfolio Register'!$B$5:$B$304,MATCH($B120,'Portfolio Register'!$DH$5:$DH$304,0))="","",INDEX('Portfolio Register'!$B$5:$B$304,MATCH($B120,'Portfolio Register'!$DH$5:$DH$304,0))),"")</f>
        <v/>
      </c>
      <c r="E120" s="142" t="str">
        <f>IFERROR(IF(INDEX('Portfolio Register'!$I$5:$I$304,MATCH($B120,'Portfolio Register'!$DH$5:$DH$304,0))="","",INDEX('Portfolio Register'!$I$5:$I$304,MATCH($B120,'Portfolio Register'!$DH$5:$DH$304,0))),"")</f>
        <v/>
      </c>
      <c r="F120" s="143" t="str">
        <f>IFERROR(IF(INDEX('Portfolio Register'!$J$5:$J$304,MATCH($B120,'Portfolio Register'!$DH$5:$DH$304,0))="","",INDEX('Portfolio Register'!$J$5:$J$304,MATCH($B120,'Portfolio Register'!$DH$5:$DH$304,0))),"")</f>
        <v/>
      </c>
      <c r="G120" s="142" t="str">
        <f>IFERROR(IF(INDEX('Portfolio Register'!$CX$5:$CX$304,MATCH($B120,'Portfolio Register'!$DH$5:$DH$304,0))="","",INDEX('Portfolio Register'!$CX$5:$CX$304,MATCH($B120,'Portfolio Register'!$DH$5:$DH$304,0))),"")</f>
        <v/>
      </c>
      <c r="H120" s="144" t="str">
        <f>IFERROR(IF(INDEX('Portfolio Register'!$CY$5:$CY$304,MATCH($B120,'Portfolio Register'!$DH$5:$DH$304,0))="","",INDEX('Portfolio Register'!$CY$5:$CY$304,MATCH($B120,'Portfolio Register'!$DH$5:$DH$304,0))),"")</f>
        <v/>
      </c>
      <c r="I120" s="142" t="str">
        <f>IFERROR(IF(INDEX('Portfolio Register'!$CZ$5:$CZ$304,MATCH($B120,'Portfolio Register'!$DH$5:$DH$304,0))="","",INDEX('Portfolio Register'!$CZ$5:$CZ$304,MATCH($B120,'Portfolio Register'!$DH$5:$DH$304,0))),"")</f>
        <v/>
      </c>
      <c r="J120" s="142" t="str">
        <f>IFERROR(IF(INDEX('Portfolio Register'!$DA$5:$DA$304,MATCH($B120,'Portfolio Register'!$DH$5:$DH$304,0))="","",INDEX('Portfolio Register'!$DA$5:$DA$304,MATCH($B120,'Portfolio Register'!$DH$5:$DH$304,0))),"")</f>
        <v/>
      </c>
      <c r="K120" s="142" t="str">
        <f>IFERROR(IF(INDEX('Portfolio Register'!$DB$5:$DB$304,MATCH($B120,'Portfolio Register'!$DH$5:$DH$304,0))="","",INDEX('Portfolio Register'!$DB$5:$DB$304,MATCH($B120,'Portfolio Register'!$DH$5:$DH$304,0))),"")</f>
        <v/>
      </c>
      <c r="L120" s="142" t="str">
        <f>IFERROR(IF(INDEX('Portfolio Register'!$DC$5:$DC$304,MATCH($B120,'Portfolio Register'!$DH$5:$DH$304,0))="","",INDEX('Portfolio Register'!$DC$5:$DC$304,MATCH($B120,'Portfolio Register'!$DH$5:$DH$304,0))),"")</f>
        <v/>
      </c>
      <c r="M120" s="145" t="str">
        <f>IFERROR(IF(INDEX('Portfolio Register'!$DD$5:$DD$304,MATCH($B120,'Portfolio Register'!$DH$5:$DH$304,0))="","",INDEX('Portfolio Register'!$DD$5:$DD$304,MATCH($B120,'Portfolio Register'!$DH$5:$DH$304,0))),"")</f>
        <v/>
      </c>
      <c r="N120" s="146" t="str">
        <f ca="1">IF($C120="","",IF($M120&lt;&gt;"",$M120-IFERROR(INDEX('Portfolio Register'!$C$5:$C$304,MATCH($B120,'Portfolio Register'!$DH$5:$DH$304,0)),$M120),TODAY()-IFERROR(INDEX('Portfolio Register'!$C$5:$C$304,MATCH($B120,'Portfolio Register'!$DH$5:$DH$304,0)),TODAY())))</f>
        <v/>
      </c>
      <c r="O120" s="147" t="str">
        <f t="shared" si="2"/>
        <v/>
      </c>
      <c r="P120" s="142" t="str">
        <f>IFERROR(IF(INDEX('Portfolio Register'!$DG$5:$DG$304,MATCH($B120,'Portfolio Register'!$DH$5:$DH$304,0))="","",INDEX('Portfolio Register'!$DG$5:$DG$304,MATCH($B120,'Portfolio Register'!$DH$5:$DH$304,0))),"")</f>
        <v/>
      </c>
      <c r="Q120" s="142" t="str">
        <f>IFERROR(IF(INDEX('Portfolio Register'!$DF$5:$DF$304,MATCH($B120,'Portfolio Register'!$DH$5:$DH$304,0))="","",INDEX('Portfolio Register'!$DF$5:$DF$304,MATCH($B120,'Portfolio Register'!$DH$5:$DH$304,0))),"")</f>
        <v/>
      </c>
    </row>
    <row r="121" spans="2:17" x14ac:dyDescent="0.35">
      <c r="B121" s="65">
        <v>94</v>
      </c>
      <c r="C121" s="148" t="str">
        <f>IFERROR(IF(INDEX('Portfolio Register'!$A$5:$A$304,MATCH($B121,'Portfolio Register'!$DH$5:$DH$304,0))="","",INDEX('Portfolio Register'!$A$5:$A$304,MATCH($B121,'Portfolio Register'!$DH$5:$DH$304,0))),"")</f>
        <v/>
      </c>
      <c r="D121" s="148" t="str">
        <f>IFERROR(IF(INDEX('Portfolio Register'!$B$5:$B$304,MATCH($B121,'Portfolio Register'!$DH$5:$DH$304,0))="","",INDEX('Portfolio Register'!$B$5:$B$304,MATCH($B121,'Portfolio Register'!$DH$5:$DH$304,0))),"")</f>
        <v/>
      </c>
      <c r="E121" s="148" t="str">
        <f>IFERROR(IF(INDEX('Portfolio Register'!$I$5:$I$304,MATCH($B121,'Portfolio Register'!$DH$5:$DH$304,0))="","",INDEX('Portfolio Register'!$I$5:$I$304,MATCH($B121,'Portfolio Register'!$DH$5:$DH$304,0))),"")</f>
        <v/>
      </c>
      <c r="F121" s="149" t="str">
        <f>IFERROR(IF(INDEX('Portfolio Register'!$J$5:$J$304,MATCH($B121,'Portfolio Register'!$DH$5:$DH$304,0))="","",INDEX('Portfolio Register'!$J$5:$J$304,MATCH($B121,'Portfolio Register'!$DH$5:$DH$304,0))),"")</f>
        <v/>
      </c>
      <c r="G121" s="148" t="str">
        <f>IFERROR(IF(INDEX('Portfolio Register'!$CX$5:$CX$304,MATCH($B121,'Portfolio Register'!$DH$5:$DH$304,0))="","",INDEX('Portfolio Register'!$CX$5:$CX$304,MATCH($B121,'Portfolio Register'!$DH$5:$DH$304,0))),"")</f>
        <v/>
      </c>
      <c r="H121" s="150" t="str">
        <f>IFERROR(IF(INDEX('Portfolio Register'!$CY$5:$CY$304,MATCH($B121,'Portfolio Register'!$DH$5:$DH$304,0))="","",INDEX('Portfolio Register'!$CY$5:$CY$304,MATCH($B121,'Portfolio Register'!$DH$5:$DH$304,0))),"")</f>
        <v/>
      </c>
      <c r="I121" s="148" t="str">
        <f>IFERROR(IF(INDEX('Portfolio Register'!$CZ$5:$CZ$304,MATCH($B121,'Portfolio Register'!$DH$5:$DH$304,0))="","",INDEX('Portfolio Register'!$CZ$5:$CZ$304,MATCH($B121,'Portfolio Register'!$DH$5:$DH$304,0))),"")</f>
        <v/>
      </c>
      <c r="J121" s="148" t="str">
        <f>IFERROR(IF(INDEX('Portfolio Register'!$DA$5:$DA$304,MATCH($B121,'Portfolio Register'!$DH$5:$DH$304,0))="","",INDEX('Portfolio Register'!$DA$5:$DA$304,MATCH($B121,'Portfolio Register'!$DH$5:$DH$304,0))),"")</f>
        <v/>
      </c>
      <c r="K121" s="148" t="str">
        <f>IFERROR(IF(INDEX('Portfolio Register'!$DB$5:$DB$304,MATCH($B121,'Portfolio Register'!$DH$5:$DH$304,0))="","",INDEX('Portfolio Register'!$DB$5:$DB$304,MATCH($B121,'Portfolio Register'!$DH$5:$DH$304,0))),"")</f>
        <v/>
      </c>
      <c r="L121" s="148" t="str">
        <f>IFERROR(IF(INDEX('Portfolio Register'!$DC$5:$DC$304,MATCH($B121,'Portfolio Register'!$DH$5:$DH$304,0))="","",INDEX('Portfolio Register'!$DC$5:$DC$304,MATCH($B121,'Portfolio Register'!$DH$5:$DH$304,0))),"")</f>
        <v/>
      </c>
      <c r="M121" s="151" t="str">
        <f>IFERROR(IF(INDEX('Portfolio Register'!$DD$5:$DD$304,MATCH($B121,'Portfolio Register'!$DH$5:$DH$304,0))="","",INDEX('Portfolio Register'!$DD$5:$DD$304,MATCH($B121,'Portfolio Register'!$DH$5:$DH$304,0))),"")</f>
        <v/>
      </c>
      <c r="N121" s="152" t="str">
        <f ca="1">IF($C121="","",IF($M121&lt;&gt;"",$M121-IFERROR(INDEX('Portfolio Register'!$C$5:$C$304,MATCH($B121,'Portfolio Register'!$DH$5:$DH$304,0)),$M121),TODAY()-IFERROR(INDEX('Portfolio Register'!$C$5:$C$304,MATCH($B121,'Portfolio Register'!$DH$5:$DH$304,0)),TODAY())))</f>
        <v/>
      </c>
      <c r="O121" s="153" t="str">
        <f t="shared" si="2"/>
        <v/>
      </c>
      <c r="P121" s="148" t="str">
        <f>IFERROR(IF(INDEX('Portfolio Register'!$DG$5:$DG$304,MATCH($B121,'Portfolio Register'!$DH$5:$DH$304,0))="","",INDEX('Portfolio Register'!$DG$5:$DG$304,MATCH($B121,'Portfolio Register'!$DH$5:$DH$304,0))),"")</f>
        <v/>
      </c>
      <c r="Q121" s="148" t="str">
        <f>IFERROR(IF(INDEX('Portfolio Register'!$DF$5:$DF$304,MATCH($B121,'Portfolio Register'!$DH$5:$DH$304,0))="","",INDEX('Portfolio Register'!$DF$5:$DF$304,MATCH($B121,'Portfolio Register'!$DH$5:$DH$304,0))),"")</f>
        <v/>
      </c>
    </row>
    <row r="122" spans="2:17" x14ac:dyDescent="0.35">
      <c r="B122" s="58">
        <v>95</v>
      </c>
      <c r="C122" s="142" t="str">
        <f>IFERROR(IF(INDEX('Portfolio Register'!$A$5:$A$304,MATCH($B122,'Portfolio Register'!$DH$5:$DH$304,0))="","",INDEX('Portfolio Register'!$A$5:$A$304,MATCH($B122,'Portfolio Register'!$DH$5:$DH$304,0))),"")</f>
        <v/>
      </c>
      <c r="D122" s="142" t="str">
        <f>IFERROR(IF(INDEX('Portfolio Register'!$B$5:$B$304,MATCH($B122,'Portfolio Register'!$DH$5:$DH$304,0))="","",INDEX('Portfolio Register'!$B$5:$B$304,MATCH($B122,'Portfolio Register'!$DH$5:$DH$304,0))),"")</f>
        <v/>
      </c>
      <c r="E122" s="142" t="str">
        <f>IFERROR(IF(INDEX('Portfolio Register'!$I$5:$I$304,MATCH($B122,'Portfolio Register'!$DH$5:$DH$304,0))="","",INDEX('Portfolio Register'!$I$5:$I$304,MATCH($B122,'Portfolio Register'!$DH$5:$DH$304,0))),"")</f>
        <v/>
      </c>
      <c r="F122" s="143" t="str">
        <f>IFERROR(IF(INDEX('Portfolio Register'!$J$5:$J$304,MATCH($B122,'Portfolio Register'!$DH$5:$DH$304,0))="","",INDEX('Portfolio Register'!$J$5:$J$304,MATCH($B122,'Portfolio Register'!$DH$5:$DH$304,0))),"")</f>
        <v/>
      </c>
      <c r="G122" s="142" t="str">
        <f>IFERROR(IF(INDEX('Portfolio Register'!$CX$5:$CX$304,MATCH($B122,'Portfolio Register'!$DH$5:$DH$304,0))="","",INDEX('Portfolio Register'!$CX$5:$CX$304,MATCH($B122,'Portfolio Register'!$DH$5:$DH$304,0))),"")</f>
        <v/>
      </c>
      <c r="H122" s="144" t="str">
        <f>IFERROR(IF(INDEX('Portfolio Register'!$CY$5:$CY$304,MATCH($B122,'Portfolio Register'!$DH$5:$DH$304,0))="","",INDEX('Portfolio Register'!$CY$5:$CY$304,MATCH($B122,'Portfolio Register'!$DH$5:$DH$304,0))),"")</f>
        <v/>
      </c>
      <c r="I122" s="142" t="str">
        <f>IFERROR(IF(INDEX('Portfolio Register'!$CZ$5:$CZ$304,MATCH($B122,'Portfolio Register'!$DH$5:$DH$304,0))="","",INDEX('Portfolio Register'!$CZ$5:$CZ$304,MATCH($B122,'Portfolio Register'!$DH$5:$DH$304,0))),"")</f>
        <v/>
      </c>
      <c r="J122" s="142" t="str">
        <f>IFERROR(IF(INDEX('Portfolio Register'!$DA$5:$DA$304,MATCH($B122,'Portfolio Register'!$DH$5:$DH$304,0))="","",INDEX('Portfolio Register'!$DA$5:$DA$304,MATCH($B122,'Portfolio Register'!$DH$5:$DH$304,0))),"")</f>
        <v/>
      </c>
      <c r="K122" s="142" t="str">
        <f>IFERROR(IF(INDEX('Portfolio Register'!$DB$5:$DB$304,MATCH($B122,'Portfolio Register'!$DH$5:$DH$304,0))="","",INDEX('Portfolio Register'!$DB$5:$DB$304,MATCH($B122,'Portfolio Register'!$DH$5:$DH$304,0))),"")</f>
        <v/>
      </c>
      <c r="L122" s="142" t="str">
        <f>IFERROR(IF(INDEX('Portfolio Register'!$DC$5:$DC$304,MATCH($B122,'Portfolio Register'!$DH$5:$DH$304,0))="","",INDEX('Portfolio Register'!$DC$5:$DC$304,MATCH($B122,'Portfolio Register'!$DH$5:$DH$304,0))),"")</f>
        <v/>
      </c>
      <c r="M122" s="145" t="str">
        <f>IFERROR(IF(INDEX('Portfolio Register'!$DD$5:$DD$304,MATCH($B122,'Portfolio Register'!$DH$5:$DH$304,0))="","",INDEX('Portfolio Register'!$DD$5:$DD$304,MATCH($B122,'Portfolio Register'!$DH$5:$DH$304,0))),"")</f>
        <v/>
      </c>
      <c r="N122" s="146" t="str">
        <f ca="1">IF($C122="","",IF($M122&lt;&gt;"",$M122-IFERROR(INDEX('Portfolio Register'!$C$5:$C$304,MATCH($B122,'Portfolio Register'!$DH$5:$DH$304,0)),$M122),TODAY()-IFERROR(INDEX('Portfolio Register'!$C$5:$C$304,MATCH($B122,'Portfolio Register'!$DH$5:$DH$304,0)),TODAY())))</f>
        <v/>
      </c>
      <c r="O122" s="147" t="str">
        <f t="shared" si="2"/>
        <v/>
      </c>
      <c r="P122" s="142" t="str">
        <f>IFERROR(IF(INDEX('Portfolio Register'!$DG$5:$DG$304,MATCH($B122,'Portfolio Register'!$DH$5:$DH$304,0))="","",INDEX('Portfolio Register'!$DG$5:$DG$304,MATCH($B122,'Portfolio Register'!$DH$5:$DH$304,0))),"")</f>
        <v/>
      </c>
      <c r="Q122" s="142" t="str">
        <f>IFERROR(IF(INDEX('Portfolio Register'!$DF$5:$DF$304,MATCH($B122,'Portfolio Register'!$DH$5:$DH$304,0))="","",INDEX('Portfolio Register'!$DF$5:$DF$304,MATCH($B122,'Portfolio Register'!$DH$5:$DH$304,0))),"")</f>
        <v/>
      </c>
    </row>
    <row r="123" spans="2:17" x14ac:dyDescent="0.35">
      <c r="B123" s="65">
        <v>96</v>
      </c>
      <c r="C123" s="148" t="str">
        <f>IFERROR(IF(INDEX('Portfolio Register'!$A$5:$A$304,MATCH($B123,'Portfolio Register'!$DH$5:$DH$304,0))="","",INDEX('Portfolio Register'!$A$5:$A$304,MATCH($B123,'Portfolio Register'!$DH$5:$DH$304,0))),"")</f>
        <v/>
      </c>
      <c r="D123" s="148" t="str">
        <f>IFERROR(IF(INDEX('Portfolio Register'!$B$5:$B$304,MATCH($B123,'Portfolio Register'!$DH$5:$DH$304,0))="","",INDEX('Portfolio Register'!$B$5:$B$304,MATCH($B123,'Portfolio Register'!$DH$5:$DH$304,0))),"")</f>
        <v/>
      </c>
      <c r="E123" s="148" t="str">
        <f>IFERROR(IF(INDEX('Portfolio Register'!$I$5:$I$304,MATCH($B123,'Portfolio Register'!$DH$5:$DH$304,0))="","",INDEX('Portfolio Register'!$I$5:$I$304,MATCH($B123,'Portfolio Register'!$DH$5:$DH$304,0))),"")</f>
        <v/>
      </c>
      <c r="F123" s="149" t="str">
        <f>IFERROR(IF(INDEX('Portfolio Register'!$J$5:$J$304,MATCH($B123,'Portfolio Register'!$DH$5:$DH$304,0))="","",INDEX('Portfolio Register'!$J$5:$J$304,MATCH($B123,'Portfolio Register'!$DH$5:$DH$304,0))),"")</f>
        <v/>
      </c>
      <c r="G123" s="148" t="str">
        <f>IFERROR(IF(INDEX('Portfolio Register'!$CX$5:$CX$304,MATCH($B123,'Portfolio Register'!$DH$5:$DH$304,0))="","",INDEX('Portfolio Register'!$CX$5:$CX$304,MATCH($B123,'Portfolio Register'!$DH$5:$DH$304,0))),"")</f>
        <v/>
      </c>
      <c r="H123" s="150" t="str">
        <f>IFERROR(IF(INDEX('Portfolio Register'!$CY$5:$CY$304,MATCH($B123,'Portfolio Register'!$DH$5:$DH$304,0))="","",INDEX('Portfolio Register'!$CY$5:$CY$304,MATCH($B123,'Portfolio Register'!$DH$5:$DH$304,0))),"")</f>
        <v/>
      </c>
      <c r="I123" s="148" t="str">
        <f>IFERROR(IF(INDEX('Portfolio Register'!$CZ$5:$CZ$304,MATCH($B123,'Portfolio Register'!$DH$5:$DH$304,0))="","",INDEX('Portfolio Register'!$CZ$5:$CZ$304,MATCH($B123,'Portfolio Register'!$DH$5:$DH$304,0))),"")</f>
        <v/>
      </c>
      <c r="J123" s="148" t="str">
        <f>IFERROR(IF(INDEX('Portfolio Register'!$DA$5:$DA$304,MATCH($B123,'Portfolio Register'!$DH$5:$DH$304,0))="","",INDEX('Portfolio Register'!$DA$5:$DA$304,MATCH($B123,'Portfolio Register'!$DH$5:$DH$304,0))),"")</f>
        <v/>
      </c>
      <c r="K123" s="148" t="str">
        <f>IFERROR(IF(INDEX('Portfolio Register'!$DB$5:$DB$304,MATCH($B123,'Portfolio Register'!$DH$5:$DH$304,0))="","",INDEX('Portfolio Register'!$DB$5:$DB$304,MATCH($B123,'Portfolio Register'!$DH$5:$DH$304,0))),"")</f>
        <v/>
      </c>
      <c r="L123" s="148" t="str">
        <f>IFERROR(IF(INDEX('Portfolio Register'!$DC$5:$DC$304,MATCH($B123,'Portfolio Register'!$DH$5:$DH$304,0))="","",INDEX('Portfolio Register'!$DC$5:$DC$304,MATCH($B123,'Portfolio Register'!$DH$5:$DH$304,0))),"")</f>
        <v/>
      </c>
      <c r="M123" s="151" t="str">
        <f>IFERROR(IF(INDEX('Portfolio Register'!$DD$5:$DD$304,MATCH($B123,'Portfolio Register'!$DH$5:$DH$304,0))="","",INDEX('Portfolio Register'!$DD$5:$DD$304,MATCH($B123,'Portfolio Register'!$DH$5:$DH$304,0))),"")</f>
        <v/>
      </c>
      <c r="N123" s="152" t="str">
        <f ca="1">IF($C123="","",IF($M123&lt;&gt;"",$M123-IFERROR(INDEX('Portfolio Register'!$C$5:$C$304,MATCH($B123,'Portfolio Register'!$DH$5:$DH$304,0)),$M123),TODAY()-IFERROR(INDEX('Portfolio Register'!$C$5:$C$304,MATCH($B123,'Portfolio Register'!$DH$5:$DH$304,0)),TODAY())))</f>
        <v/>
      </c>
      <c r="O123" s="153" t="str">
        <f t="shared" si="2"/>
        <v/>
      </c>
      <c r="P123" s="148" t="str">
        <f>IFERROR(IF(INDEX('Portfolio Register'!$DG$5:$DG$304,MATCH($B123,'Portfolio Register'!$DH$5:$DH$304,0))="","",INDEX('Portfolio Register'!$DG$5:$DG$304,MATCH($B123,'Portfolio Register'!$DH$5:$DH$304,0))),"")</f>
        <v/>
      </c>
      <c r="Q123" s="148" t="str">
        <f>IFERROR(IF(INDEX('Portfolio Register'!$DF$5:$DF$304,MATCH($B123,'Portfolio Register'!$DH$5:$DH$304,0))="","",INDEX('Portfolio Register'!$DF$5:$DF$304,MATCH($B123,'Portfolio Register'!$DH$5:$DH$304,0))),"")</f>
        <v/>
      </c>
    </row>
    <row r="124" spans="2:17" x14ac:dyDescent="0.35">
      <c r="B124" s="58">
        <v>97</v>
      </c>
      <c r="C124" s="142" t="str">
        <f>IFERROR(IF(INDEX('Portfolio Register'!$A$5:$A$304,MATCH($B124,'Portfolio Register'!$DH$5:$DH$304,0))="","",INDEX('Portfolio Register'!$A$5:$A$304,MATCH($B124,'Portfolio Register'!$DH$5:$DH$304,0))),"")</f>
        <v/>
      </c>
      <c r="D124" s="142" t="str">
        <f>IFERROR(IF(INDEX('Portfolio Register'!$B$5:$B$304,MATCH($B124,'Portfolio Register'!$DH$5:$DH$304,0))="","",INDEX('Portfolio Register'!$B$5:$B$304,MATCH($B124,'Portfolio Register'!$DH$5:$DH$304,0))),"")</f>
        <v/>
      </c>
      <c r="E124" s="142" t="str">
        <f>IFERROR(IF(INDEX('Portfolio Register'!$I$5:$I$304,MATCH($B124,'Portfolio Register'!$DH$5:$DH$304,0))="","",INDEX('Portfolio Register'!$I$5:$I$304,MATCH($B124,'Portfolio Register'!$DH$5:$DH$304,0))),"")</f>
        <v/>
      </c>
      <c r="F124" s="143" t="str">
        <f>IFERROR(IF(INDEX('Portfolio Register'!$J$5:$J$304,MATCH($B124,'Portfolio Register'!$DH$5:$DH$304,0))="","",INDEX('Portfolio Register'!$J$5:$J$304,MATCH($B124,'Portfolio Register'!$DH$5:$DH$304,0))),"")</f>
        <v/>
      </c>
      <c r="G124" s="142" t="str">
        <f>IFERROR(IF(INDEX('Portfolio Register'!$CX$5:$CX$304,MATCH($B124,'Portfolio Register'!$DH$5:$DH$304,0))="","",INDEX('Portfolio Register'!$CX$5:$CX$304,MATCH($B124,'Portfolio Register'!$DH$5:$DH$304,0))),"")</f>
        <v/>
      </c>
      <c r="H124" s="144" t="str">
        <f>IFERROR(IF(INDEX('Portfolio Register'!$CY$5:$CY$304,MATCH($B124,'Portfolio Register'!$DH$5:$DH$304,0))="","",INDEX('Portfolio Register'!$CY$5:$CY$304,MATCH($B124,'Portfolio Register'!$DH$5:$DH$304,0))),"")</f>
        <v/>
      </c>
      <c r="I124" s="142" t="str">
        <f>IFERROR(IF(INDEX('Portfolio Register'!$CZ$5:$CZ$304,MATCH($B124,'Portfolio Register'!$DH$5:$DH$304,0))="","",INDEX('Portfolio Register'!$CZ$5:$CZ$304,MATCH($B124,'Portfolio Register'!$DH$5:$DH$304,0))),"")</f>
        <v/>
      </c>
      <c r="J124" s="142" t="str">
        <f>IFERROR(IF(INDEX('Portfolio Register'!$DA$5:$DA$304,MATCH($B124,'Portfolio Register'!$DH$5:$DH$304,0))="","",INDEX('Portfolio Register'!$DA$5:$DA$304,MATCH($B124,'Portfolio Register'!$DH$5:$DH$304,0))),"")</f>
        <v/>
      </c>
      <c r="K124" s="142" t="str">
        <f>IFERROR(IF(INDEX('Portfolio Register'!$DB$5:$DB$304,MATCH($B124,'Portfolio Register'!$DH$5:$DH$304,0))="","",INDEX('Portfolio Register'!$DB$5:$DB$304,MATCH($B124,'Portfolio Register'!$DH$5:$DH$304,0))),"")</f>
        <v/>
      </c>
      <c r="L124" s="142" t="str">
        <f>IFERROR(IF(INDEX('Portfolio Register'!$DC$5:$DC$304,MATCH($B124,'Portfolio Register'!$DH$5:$DH$304,0))="","",INDEX('Portfolio Register'!$DC$5:$DC$304,MATCH($B124,'Portfolio Register'!$DH$5:$DH$304,0))),"")</f>
        <v/>
      </c>
      <c r="M124" s="145" t="str">
        <f>IFERROR(IF(INDEX('Portfolio Register'!$DD$5:$DD$304,MATCH($B124,'Portfolio Register'!$DH$5:$DH$304,0))="","",INDEX('Portfolio Register'!$DD$5:$DD$304,MATCH($B124,'Portfolio Register'!$DH$5:$DH$304,0))),"")</f>
        <v/>
      </c>
      <c r="N124" s="146" t="str">
        <f ca="1">IF($C124="","",IF($M124&lt;&gt;"",$M124-IFERROR(INDEX('Portfolio Register'!$C$5:$C$304,MATCH($B124,'Portfolio Register'!$DH$5:$DH$304,0)),$M124),TODAY()-IFERROR(INDEX('Portfolio Register'!$C$5:$C$304,MATCH($B124,'Portfolio Register'!$DH$5:$DH$304,0)),TODAY())))</f>
        <v/>
      </c>
      <c r="O124" s="147" t="str">
        <f t="shared" ref="O124:O155" si="3">IF($C124="","",IF($L124="","NO ROLE RECORDED",IF($H124&lt;IFERROR(INDEX($C$6:$C$10,MATCH($L124,$B$6:$B$10,0)),-99),"INSUFFICIENT AUTHORITY - escalate","OK")))</f>
        <v/>
      </c>
      <c r="P124" s="142" t="str">
        <f>IFERROR(IF(INDEX('Portfolio Register'!$DG$5:$DG$304,MATCH($B124,'Portfolio Register'!$DH$5:$DH$304,0))="","",INDEX('Portfolio Register'!$DG$5:$DG$304,MATCH($B124,'Portfolio Register'!$DH$5:$DH$304,0))),"")</f>
        <v/>
      </c>
      <c r="Q124" s="142" t="str">
        <f>IFERROR(IF(INDEX('Portfolio Register'!$DF$5:$DF$304,MATCH($B124,'Portfolio Register'!$DH$5:$DH$304,0))="","",INDEX('Portfolio Register'!$DF$5:$DF$304,MATCH($B124,'Portfolio Register'!$DH$5:$DH$304,0))),"")</f>
        <v/>
      </c>
    </row>
    <row r="125" spans="2:17" x14ac:dyDescent="0.35">
      <c r="B125" s="65">
        <v>98</v>
      </c>
      <c r="C125" s="148" t="str">
        <f>IFERROR(IF(INDEX('Portfolio Register'!$A$5:$A$304,MATCH($B125,'Portfolio Register'!$DH$5:$DH$304,0))="","",INDEX('Portfolio Register'!$A$5:$A$304,MATCH($B125,'Portfolio Register'!$DH$5:$DH$304,0))),"")</f>
        <v/>
      </c>
      <c r="D125" s="148" t="str">
        <f>IFERROR(IF(INDEX('Portfolio Register'!$B$5:$B$304,MATCH($B125,'Portfolio Register'!$DH$5:$DH$304,0))="","",INDEX('Portfolio Register'!$B$5:$B$304,MATCH($B125,'Portfolio Register'!$DH$5:$DH$304,0))),"")</f>
        <v/>
      </c>
      <c r="E125" s="148" t="str">
        <f>IFERROR(IF(INDEX('Portfolio Register'!$I$5:$I$304,MATCH($B125,'Portfolio Register'!$DH$5:$DH$304,0))="","",INDEX('Portfolio Register'!$I$5:$I$304,MATCH($B125,'Portfolio Register'!$DH$5:$DH$304,0))),"")</f>
        <v/>
      </c>
      <c r="F125" s="149" t="str">
        <f>IFERROR(IF(INDEX('Portfolio Register'!$J$5:$J$304,MATCH($B125,'Portfolio Register'!$DH$5:$DH$304,0))="","",INDEX('Portfolio Register'!$J$5:$J$304,MATCH($B125,'Portfolio Register'!$DH$5:$DH$304,0))),"")</f>
        <v/>
      </c>
      <c r="G125" s="148" t="str">
        <f>IFERROR(IF(INDEX('Portfolio Register'!$CX$5:$CX$304,MATCH($B125,'Portfolio Register'!$DH$5:$DH$304,0))="","",INDEX('Portfolio Register'!$CX$5:$CX$304,MATCH($B125,'Portfolio Register'!$DH$5:$DH$304,0))),"")</f>
        <v/>
      </c>
      <c r="H125" s="150" t="str">
        <f>IFERROR(IF(INDEX('Portfolio Register'!$CY$5:$CY$304,MATCH($B125,'Portfolio Register'!$DH$5:$DH$304,0))="","",INDEX('Portfolio Register'!$CY$5:$CY$304,MATCH($B125,'Portfolio Register'!$DH$5:$DH$304,0))),"")</f>
        <v/>
      </c>
      <c r="I125" s="148" t="str">
        <f>IFERROR(IF(INDEX('Portfolio Register'!$CZ$5:$CZ$304,MATCH($B125,'Portfolio Register'!$DH$5:$DH$304,0))="","",INDEX('Portfolio Register'!$CZ$5:$CZ$304,MATCH($B125,'Portfolio Register'!$DH$5:$DH$304,0))),"")</f>
        <v/>
      </c>
      <c r="J125" s="148" t="str">
        <f>IFERROR(IF(INDEX('Portfolio Register'!$DA$5:$DA$304,MATCH($B125,'Portfolio Register'!$DH$5:$DH$304,0))="","",INDEX('Portfolio Register'!$DA$5:$DA$304,MATCH($B125,'Portfolio Register'!$DH$5:$DH$304,0))),"")</f>
        <v/>
      </c>
      <c r="K125" s="148" t="str">
        <f>IFERROR(IF(INDEX('Portfolio Register'!$DB$5:$DB$304,MATCH($B125,'Portfolio Register'!$DH$5:$DH$304,0))="","",INDEX('Portfolio Register'!$DB$5:$DB$304,MATCH($B125,'Portfolio Register'!$DH$5:$DH$304,0))),"")</f>
        <v/>
      </c>
      <c r="L125" s="148" t="str">
        <f>IFERROR(IF(INDEX('Portfolio Register'!$DC$5:$DC$304,MATCH($B125,'Portfolio Register'!$DH$5:$DH$304,0))="","",INDEX('Portfolio Register'!$DC$5:$DC$304,MATCH($B125,'Portfolio Register'!$DH$5:$DH$304,0))),"")</f>
        <v/>
      </c>
      <c r="M125" s="151" t="str">
        <f>IFERROR(IF(INDEX('Portfolio Register'!$DD$5:$DD$304,MATCH($B125,'Portfolio Register'!$DH$5:$DH$304,0))="","",INDEX('Portfolio Register'!$DD$5:$DD$304,MATCH($B125,'Portfolio Register'!$DH$5:$DH$304,0))),"")</f>
        <v/>
      </c>
      <c r="N125" s="152" t="str">
        <f ca="1">IF($C125="","",IF($M125&lt;&gt;"",$M125-IFERROR(INDEX('Portfolio Register'!$C$5:$C$304,MATCH($B125,'Portfolio Register'!$DH$5:$DH$304,0)),$M125),TODAY()-IFERROR(INDEX('Portfolio Register'!$C$5:$C$304,MATCH($B125,'Portfolio Register'!$DH$5:$DH$304,0)),TODAY())))</f>
        <v/>
      </c>
      <c r="O125" s="153" t="str">
        <f t="shared" si="3"/>
        <v/>
      </c>
      <c r="P125" s="148" t="str">
        <f>IFERROR(IF(INDEX('Portfolio Register'!$DG$5:$DG$304,MATCH($B125,'Portfolio Register'!$DH$5:$DH$304,0))="","",INDEX('Portfolio Register'!$DG$5:$DG$304,MATCH($B125,'Portfolio Register'!$DH$5:$DH$304,0))),"")</f>
        <v/>
      </c>
      <c r="Q125" s="148" t="str">
        <f>IFERROR(IF(INDEX('Portfolio Register'!$DF$5:$DF$304,MATCH($B125,'Portfolio Register'!$DH$5:$DH$304,0))="","",INDEX('Portfolio Register'!$DF$5:$DF$304,MATCH($B125,'Portfolio Register'!$DH$5:$DH$304,0))),"")</f>
        <v/>
      </c>
    </row>
    <row r="126" spans="2:17" x14ac:dyDescent="0.35">
      <c r="B126" s="58">
        <v>99</v>
      </c>
      <c r="C126" s="142" t="str">
        <f>IFERROR(IF(INDEX('Portfolio Register'!$A$5:$A$304,MATCH($B126,'Portfolio Register'!$DH$5:$DH$304,0))="","",INDEX('Portfolio Register'!$A$5:$A$304,MATCH($B126,'Portfolio Register'!$DH$5:$DH$304,0))),"")</f>
        <v/>
      </c>
      <c r="D126" s="142" t="str">
        <f>IFERROR(IF(INDEX('Portfolio Register'!$B$5:$B$304,MATCH($B126,'Portfolio Register'!$DH$5:$DH$304,0))="","",INDEX('Portfolio Register'!$B$5:$B$304,MATCH($B126,'Portfolio Register'!$DH$5:$DH$304,0))),"")</f>
        <v/>
      </c>
      <c r="E126" s="142" t="str">
        <f>IFERROR(IF(INDEX('Portfolio Register'!$I$5:$I$304,MATCH($B126,'Portfolio Register'!$DH$5:$DH$304,0))="","",INDEX('Portfolio Register'!$I$5:$I$304,MATCH($B126,'Portfolio Register'!$DH$5:$DH$304,0))),"")</f>
        <v/>
      </c>
      <c r="F126" s="143" t="str">
        <f>IFERROR(IF(INDEX('Portfolio Register'!$J$5:$J$304,MATCH($B126,'Portfolio Register'!$DH$5:$DH$304,0))="","",INDEX('Portfolio Register'!$J$5:$J$304,MATCH($B126,'Portfolio Register'!$DH$5:$DH$304,0))),"")</f>
        <v/>
      </c>
      <c r="G126" s="142" t="str">
        <f>IFERROR(IF(INDEX('Portfolio Register'!$CX$5:$CX$304,MATCH($B126,'Portfolio Register'!$DH$5:$DH$304,0))="","",INDEX('Portfolio Register'!$CX$5:$CX$304,MATCH($B126,'Portfolio Register'!$DH$5:$DH$304,0))),"")</f>
        <v/>
      </c>
      <c r="H126" s="144" t="str">
        <f>IFERROR(IF(INDEX('Portfolio Register'!$CY$5:$CY$304,MATCH($B126,'Portfolio Register'!$DH$5:$DH$304,0))="","",INDEX('Portfolio Register'!$CY$5:$CY$304,MATCH($B126,'Portfolio Register'!$DH$5:$DH$304,0))),"")</f>
        <v/>
      </c>
      <c r="I126" s="142" t="str">
        <f>IFERROR(IF(INDEX('Portfolio Register'!$CZ$5:$CZ$304,MATCH($B126,'Portfolio Register'!$DH$5:$DH$304,0))="","",INDEX('Portfolio Register'!$CZ$5:$CZ$304,MATCH($B126,'Portfolio Register'!$DH$5:$DH$304,0))),"")</f>
        <v/>
      </c>
      <c r="J126" s="142" t="str">
        <f>IFERROR(IF(INDEX('Portfolio Register'!$DA$5:$DA$304,MATCH($B126,'Portfolio Register'!$DH$5:$DH$304,0))="","",INDEX('Portfolio Register'!$DA$5:$DA$304,MATCH($B126,'Portfolio Register'!$DH$5:$DH$304,0))),"")</f>
        <v/>
      </c>
      <c r="K126" s="142" t="str">
        <f>IFERROR(IF(INDEX('Portfolio Register'!$DB$5:$DB$304,MATCH($B126,'Portfolio Register'!$DH$5:$DH$304,0))="","",INDEX('Portfolio Register'!$DB$5:$DB$304,MATCH($B126,'Portfolio Register'!$DH$5:$DH$304,0))),"")</f>
        <v/>
      </c>
      <c r="L126" s="142" t="str">
        <f>IFERROR(IF(INDEX('Portfolio Register'!$DC$5:$DC$304,MATCH($B126,'Portfolio Register'!$DH$5:$DH$304,0))="","",INDEX('Portfolio Register'!$DC$5:$DC$304,MATCH($B126,'Portfolio Register'!$DH$5:$DH$304,0))),"")</f>
        <v/>
      </c>
      <c r="M126" s="145" t="str">
        <f>IFERROR(IF(INDEX('Portfolio Register'!$DD$5:$DD$304,MATCH($B126,'Portfolio Register'!$DH$5:$DH$304,0))="","",INDEX('Portfolio Register'!$DD$5:$DD$304,MATCH($B126,'Portfolio Register'!$DH$5:$DH$304,0))),"")</f>
        <v/>
      </c>
      <c r="N126" s="146" t="str">
        <f ca="1">IF($C126="","",IF($M126&lt;&gt;"",$M126-IFERROR(INDEX('Portfolio Register'!$C$5:$C$304,MATCH($B126,'Portfolio Register'!$DH$5:$DH$304,0)),$M126),TODAY()-IFERROR(INDEX('Portfolio Register'!$C$5:$C$304,MATCH($B126,'Portfolio Register'!$DH$5:$DH$304,0)),TODAY())))</f>
        <v/>
      </c>
      <c r="O126" s="147" t="str">
        <f t="shared" si="3"/>
        <v/>
      </c>
      <c r="P126" s="142" t="str">
        <f>IFERROR(IF(INDEX('Portfolio Register'!$DG$5:$DG$304,MATCH($B126,'Portfolio Register'!$DH$5:$DH$304,0))="","",INDEX('Portfolio Register'!$DG$5:$DG$304,MATCH($B126,'Portfolio Register'!$DH$5:$DH$304,0))),"")</f>
        <v/>
      </c>
      <c r="Q126" s="142" t="str">
        <f>IFERROR(IF(INDEX('Portfolio Register'!$DF$5:$DF$304,MATCH($B126,'Portfolio Register'!$DH$5:$DH$304,0))="","",INDEX('Portfolio Register'!$DF$5:$DF$304,MATCH($B126,'Portfolio Register'!$DH$5:$DH$304,0))),"")</f>
        <v/>
      </c>
    </row>
    <row r="127" spans="2:17" x14ac:dyDescent="0.35">
      <c r="B127" s="65">
        <v>100</v>
      </c>
      <c r="C127" s="148" t="str">
        <f>IFERROR(IF(INDEX('Portfolio Register'!$A$5:$A$304,MATCH($B127,'Portfolio Register'!$DH$5:$DH$304,0))="","",INDEX('Portfolio Register'!$A$5:$A$304,MATCH($B127,'Portfolio Register'!$DH$5:$DH$304,0))),"")</f>
        <v/>
      </c>
      <c r="D127" s="148" t="str">
        <f>IFERROR(IF(INDEX('Portfolio Register'!$B$5:$B$304,MATCH($B127,'Portfolio Register'!$DH$5:$DH$304,0))="","",INDEX('Portfolio Register'!$B$5:$B$304,MATCH($B127,'Portfolio Register'!$DH$5:$DH$304,0))),"")</f>
        <v/>
      </c>
      <c r="E127" s="148" t="str">
        <f>IFERROR(IF(INDEX('Portfolio Register'!$I$5:$I$304,MATCH($B127,'Portfolio Register'!$DH$5:$DH$304,0))="","",INDEX('Portfolio Register'!$I$5:$I$304,MATCH($B127,'Portfolio Register'!$DH$5:$DH$304,0))),"")</f>
        <v/>
      </c>
      <c r="F127" s="149" t="str">
        <f>IFERROR(IF(INDEX('Portfolio Register'!$J$5:$J$304,MATCH($B127,'Portfolio Register'!$DH$5:$DH$304,0))="","",INDEX('Portfolio Register'!$J$5:$J$304,MATCH($B127,'Portfolio Register'!$DH$5:$DH$304,0))),"")</f>
        <v/>
      </c>
      <c r="G127" s="148" t="str">
        <f>IFERROR(IF(INDEX('Portfolio Register'!$CX$5:$CX$304,MATCH($B127,'Portfolio Register'!$DH$5:$DH$304,0))="","",INDEX('Portfolio Register'!$CX$5:$CX$304,MATCH($B127,'Portfolio Register'!$DH$5:$DH$304,0))),"")</f>
        <v/>
      </c>
      <c r="H127" s="150" t="str">
        <f>IFERROR(IF(INDEX('Portfolio Register'!$CY$5:$CY$304,MATCH($B127,'Portfolio Register'!$DH$5:$DH$304,0))="","",INDEX('Portfolio Register'!$CY$5:$CY$304,MATCH($B127,'Portfolio Register'!$DH$5:$DH$304,0))),"")</f>
        <v/>
      </c>
      <c r="I127" s="148" t="str">
        <f>IFERROR(IF(INDEX('Portfolio Register'!$CZ$5:$CZ$304,MATCH($B127,'Portfolio Register'!$DH$5:$DH$304,0))="","",INDEX('Portfolio Register'!$CZ$5:$CZ$304,MATCH($B127,'Portfolio Register'!$DH$5:$DH$304,0))),"")</f>
        <v/>
      </c>
      <c r="J127" s="148" t="str">
        <f>IFERROR(IF(INDEX('Portfolio Register'!$DA$5:$DA$304,MATCH($B127,'Portfolio Register'!$DH$5:$DH$304,0))="","",INDEX('Portfolio Register'!$DA$5:$DA$304,MATCH($B127,'Portfolio Register'!$DH$5:$DH$304,0))),"")</f>
        <v/>
      </c>
      <c r="K127" s="148" t="str">
        <f>IFERROR(IF(INDEX('Portfolio Register'!$DB$5:$DB$304,MATCH($B127,'Portfolio Register'!$DH$5:$DH$304,0))="","",INDEX('Portfolio Register'!$DB$5:$DB$304,MATCH($B127,'Portfolio Register'!$DH$5:$DH$304,0))),"")</f>
        <v/>
      </c>
      <c r="L127" s="148" t="str">
        <f>IFERROR(IF(INDEX('Portfolio Register'!$DC$5:$DC$304,MATCH($B127,'Portfolio Register'!$DH$5:$DH$304,0))="","",INDEX('Portfolio Register'!$DC$5:$DC$304,MATCH($B127,'Portfolio Register'!$DH$5:$DH$304,0))),"")</f>
        <v/>
      </c>
      <c r="M127" s="151" t="str">
        <f>IFERROR(IF(INDEX('Portfolio Register'!$DD$5:$DD$304,MATCH($B127,'Portfolio Register'!$DH$5:$DH$304,0))="","",INDEX('Portfolio Register'!$DD$5:$DD$304,MATCH($B127,'Portfolio Register'!$DH$5:$DH$304,0))),"")</f>
        <v/>
      </c>
      <c r="N127" s="152" t="str">
        <f ca="1">IF($C127="","",IF($M127&lt;&gt;"",$M127-IFERROR(INDEX('Portfolio Register'!$C$5:$C$304,MATCH($B127,'Portfolio Register'!$DH$5:$DH$304,0)),$M127),TODAY()-IFERROR(INDEX('Portfolio Register'!$C$5:$C$304,MATCH($B127,'Portfolio Register'!$DH$5:$DH$304,0)),TODAY())))</f>
        <v/>
      </c>
      <c r="O127" s="153" t="str">
        <f t="shared" si="3"/>
        <v/>
      </c>
      <c r="P127" s="148" t="str">
        <f>IFERROR(IF(INDEX('Portfolio Register'!$DG$5:$DG$304,MATCH($B127,'Portfolio Register'!$DH$5:$DH$304,0))="","",INDEX('Portfolio Register'!$DG$5:$DG$304,MATCH($B127,'Portfolio Register'!$DH$5:$DH$304,0))),"")</f>
        <v/>
      </c>
      <c r="Q127" s="148" t="str">
        <f>IFERROR(IF(INDEX('Portfolio Register'!$DF$5:$DF$304,MATCH($B127,'Portfolio Register'!$DH$5:$DH$304,0))="","",INDEX('Portfolio Register'!$DF$5:$DF$304,MATCH($B127,'Portfolio Register'!$DH$5:$DH$304,0))),"")</f>
        <v/>
      </c>
    </row>
    <row r="128" spans="2:17" x14ac:dyDescent="0.35">
      <c r="B128" s="58">
        <v>101</v>
      </c>
      <c r="C128" s="142" t="str">
        <f>IFERROR(IF(INDEX('Portfolio Register'!$A$5:$A$304,MATCH($B128,'Portfolio Register'!$DH$5:$DH$304,0))="","",INDEX('Portfolio Register'!$A$5:$A$304,MATCH($B128,'Portfolio Register'!$DH$5:$DH$304,0))),"")</f>
        <v/>
      </c>
      <c r="D128" s="142" t="str">
        <f>IFERROR(IF(INDEX('Portfolio Register'!$B$5:$B$304,MATCH($B128,'Portfolio Register'!$DH$5:$DH$304,0))="","",INDEX('Portfolio Register'!$B$5:$B$304,MATCH($B128,'Portfolio Register'!$DH$5:$DH$304,0))),"")</f>
        <v/>
      </c>
      <c r="E128" s="142" t="str">
        <f>IFERROR(IF(INDEX('Portfolio Register'!$I$5:$I$304,MATCH($B128,'Portfolio Register'!$DH$5:$DH$304,0))="","",INDEX('Portfolio Register'!$I$5:$I$304,MATCH($B128,'Portfolio Register'!$DH$5:$DH$304,0))),"")</f>
        <v/>
      </c>
      <c r="F128" s="143" t="str">
        <f>IFERROR(IF(INDEX('Portfolio Register'!$J$5:$J$304,MATCH($B128,'Portfolio Register'!$DH$5:$DH$304,0))="","",INDEX('Portfolio Register'!$J$5:$J$304,MATCH($B128,'Portfolio Register'!$DH$5:$DH$304,0))),"")</f>
        <v/>
      </c>
      <c r="G128" s="142" t="str">
        <f>IFERROR(IF(INDEX('Portfolio Register'!$CX$5:$CX$304,MATCH($B128,'Portfolio Register'!$DH$5:$DH$304,0))="","",INDEX('Portfolio Register'!$CX$5:$CX$304,MATCH($B128,'Portfolio Register'!$DH$5:$DH$304,0))),"")</f>
        <v/>
      </c>
      <c r="H128" s="144" t="str">
        <f>IFERROR(IF(INDEX('Portfolio Register'!$CY$5:$CY$304,MATCH($B128,'Portfolio Register'!$DH$5:$DH$304,0))="","",INDEX('Portfolio Register'!$CY$5:$CY$304,MATCH($B128,'Portfolio Register'!$DH$5:$DH$304,0))),"")</f>
        <v/>
      </c>
      <c r="I128" s="142" t="str">
        <f>IFERROR(IF(INDEX('Portfolio Register'!$CZ$5:$CZ$304,MATCH($B128,'Portfolio Register'!$DH$5:$DH$304,0))="","",INDEX('Portfolio Register'!$CZ$5:$CZ$304,MATCH($B128,'Portfolio Register'!$DH$5:$DH$304,0))),"")</f>
        <v/>
      </c>
      <c r="J128" s="142" t="str">
        <f>IFERROR(IF(INDEX('Portfolio Register'!$DA$5:$DA$304,MATCH($B128,'Portfolio Register'!$DH$5:$DH$304,0))="","",INDEX('Portfolio Register'!$DA$5:$DA$304,MATCH($B128,'Portfolio Register'!$DH$5:$DH$304,0))),"")</f>
        <v/>
      </c>
      <c r="K128" s="142" t="str">
        <f>IFERROR(IF(INDEX('Portfolio Register'!$DB$5:$DB$304,MATCH($B128,'Portfolio Register'!$DH$5:$DH$304,0))="","",INDEX('Portfolio Register'!$DB$5:$DB$304,MATCH($B128,'Portfolio Register'!$DH$5:$DH$304,0))),"")</f>
        <v/>
      </c>
      <c r="L128" s="142" t="str">
        <f>IFERROR(IF(INDEX('Portfolio Register'!$DC$5:$DC$304,MATCH($B128,'Portfolio Register'!$DH$5:$DH$304,0))="","",INDEX('Portfolio Register'!$DC$5:$DC$304,MATCH($B128,'Portfolio Register'!$DH$5:$DH$304,0))),"")</f>
        <v/>
      </c>
      <c r="M128" s="145" t="str">
        <f>IFERROR(IF(INDEX('Portfolio Register'!$DD$5:$DD$304,MATCH($B128,'Portfolio Register'!$DH$5:$DH$304,0))="","",INDEX('Portfolio Register'!$DD$5:$DD$304,MATCH($B128,'Portfolio Register'!$DH$5:$DH$304,0))),"")</f>
        <v/>
      </c>
      <c r="N128" s="146" t="str">
        <f ca="1">IF($C128="","",IF($M128&lt;&gt;"",$M128-IFERROR(INDEX('Portfolio Register'!$C$5:$C$304,MATCH($B128,'Portfolio Register'!$DH$5:$DH$304,0)),$M128),TODAY()-IFERROR(INDEX('Portfolio Register'!$C$5:$C$304,MATCH($B128,'Portfolio Register'!$DH$5:$DH$304,0)),TODAY())))</f>
        <v/>
      </c>
      <c r="O128" s="147" t="str">
        <f t="shared" si="3"/>
        <v/>
      </c>
      <c r="P128" s="142" t="str">
        <f>IFERROR(IF(INDEX('Portfolio Register'!$DG$5:$DG$304,MATCH($B128,'Portfolio Register'!$DH$5:$DH$304,0))="","",INDEX('Portfolio Register'!$DG$5:$DG$304,MATCH($B128,'Portfolio Register'!$DH$5:$DH$304,0))),"")</f>
        <v/>
      </c>
      <c r="Q128" s="142" t="str">
        <f>IFERROR(IF(INDEX('Portfolio Register'!$DF$5:$DF$304,MATCH($B128,'Portfolio Register'!$DH$5:$DH$304,0))="","",INDEX('Portfolio Register'!$DF$5:$DF$304,MATCH($B128,'Portfolio Register'!$DH$5:$DH$304,0))),"")</f>
        <v/>
      </c>
    </row>
    <row r="129" spans="2:17" x14ac:dyDescent="0.35">
      <c r="B129" s="65">
        <v>102</v>
      </c>
      <c r="C129" s="148" t="str">
        <f>IFERROR(IF(INDEX('Portfolio Register'!$A$5:$A$304,MATCH($B129,'Portfolio Register'!$DH$5:$DH$304,0))="","",INDEX('Portfolio Register'!$A$5:$A$304,MATCH($B129,'Portfolio Register'!$DH$5:$DH$304,0))),"")</f>
        <v/>
      </c>
      <c r="D129" s="148" t="str">
        <f>IFERROR(IF(INDEX('Portfolio Register'!$B$5:$B$304,MATCH($B129,'Portfolio Register'!$DH$5:$DH$304,0))="","",INDEX('Portfolio Register'!$B$5:$B$304,MATCH($B129,'Portfolio Register'!$DH$5:$DH$304,0))),"")</f>
        <v/>
      </c>
      <c r="E129" s="148" t="str">
        <f>IFERROR(IF(INDEX('Portfolio Register'!$I$5:$I$304,MATCH($B129,'Portfolio Register'!$DH$5:$DH$304,0))="","",INDEX('Portfolio Register'!$I$5:$I$304,MATCH($B129,'Portfolio Register'!$DH$5:$DH$304,0))),"")</f>
        <v/>
      </c>
      <c r="F129" s="149" t="str">
        <f>IFERROR(IF(INDEX('Portfolio Register'!$J$5:$J$304,MATCH($B129,'Portfolio Register'!$DH$5:$DH$304,0))="","",INDEX('Portfolio Register'!$J$5:$J$304,MATCH($B129,'Portfolio Register'!$DH$5:$DH$304,0))),"")</f>
        <v/>
      </c>
      <c r="G129" s="148" t="str">
        <f>IFERROR(IF(INDEX('Portfolio Register'!$CX$5:$CX$304,MATCH($B129,'Portfolio Register'!$DH$5:$DH$304,0))="","",INDEX('Portfolio Register'!$CX$5:$CX$304,MATCH($B129,'Portfolio Register'!$DH$5:$DH$304,0))),"")</f>
        <v/>
      </c>
      <c r="H129" s="150" t="str">
        <f>IFERROR(IF(INDEX('Portfolio Register'!$CY$5:$CY$304,MATCH($B129,'Portfolio Register'!$DH$5:$DH$304,0))="","",INDEX('Portfolio Register'!$CY$5:$CY$304,MATCH($B129,'Portfolio Register'!$DH$5:$DH$304,0))),"")</f>
        <v/>
      </c>
      <c r="I129" s="148" t="str">
        <f>IFERROR(IF(INDEX('Portfolio Register'!$CZ$5:$CZ$304,MATCH($B129,'Portfolio Register'!$DH$5:$DH$304,0))="","",INDEX('Portfolio Register'!$CZ$5:$CZ$304,MATCH($B129,'Portfolio Register'!$DH$5:$DH$304,0))),"")</f>
        <v/>
      </c>
      <c r="J129" s="148" t="str">
        <f>IFERROR(IF(INDEX('Portfolio Register'!$DA$5:$DA$304,MATCH($B129,'Portfolio Register'!$DH$5:$DH$304,0))="","",INDEX('Portfolio Register'!$DA$5:$DA$304,MATCH($B129,'Portfolio Register'!$DH$5:$DH$304,0))),"")</f>
        <v/>
      </c>
      <c r="K129" s="148" t="str">
        <f>IFERROR(IF(INDEX('Portfolio Register'!$DB$5:$DB$304,MATCH($B129,'Portfolio Register'!$DH$5:$DH$304,0))="","",INDEX('Portfolio Register'!$DB$5:$DB$304,MATCH($B129,'Portfolio Register'!$DH$5:$DH$304,0))),"")</f>
        <v/>
      </c>
      <c r="L129" s="148" t="str">
        <f>IFERROR(IF(INDEX('Portfolio Register'!$DC$5:$DC$304,MATCH($B129,'Portfolio Register'!$DH$5:$DH$304,0))="","",INDEX('Portfolio Register'!$DC$5:$DC$304,MATCH($B129,'Portfolio Register'!$DH$5:$DH$304,0))),"")</f>
        <v/>
      </c>
      <c r="M129" s="151" t="str">
        <f>IFERROR(IF(INDEX('Portfolio Register'!$DD$5:$DD$304,MATCH($B129,'Portfolio Register'!$DH$5:$DH$304,0))="","",INDEX('Portfolio Register'!$DD$5:$DD$304,MATCH($B129,'Portfolio Register'!$DH$5:$DH$304,0))),"")</f>
        <v/>
      </c>
      <c r="N129" s="152" t="str">
        <f ca="1">IF($C129="","",IF($M129&lt;&gt;"",$M129-IFERROR(INDEX('Portfolio Register'!$C$5:$C$304,MATCH($B129,'Portfolio Register'!$DH$5:$DH$304,0)),$M129),TODAY()-IFERROR(INDEX('Portfolio Register'!$C$5:$C$304,MATCH($B129,'Portfolio Register'!$DH$5:$DH$304,0)),TODAY())))</f>
        <v/>
      </c>
      <c r="O129" s="153" t="str">
        <f t="shared" si="3"/>
        <v/>
      </c>
      <c r="P129" s="148" t="str">
        <f>IFERROR(IF(INDEX('Portfolio Register'!$DG$5:$DG$304,MATCH($B129,'Portfolio Register'!$DH$5:$DH$304,0))="","",INDEX('Portfolio Register'!$DG$5:$DG$304,MATCH($B129,'Portfolio Register'!$DH$5:$DH$304,0))),"")</f>
        <v/>
      </c>
      <c r="Q129" s="148" t="str">
        <f>IFERROR(IF(INDEX('Portfolio Register'!$DF$5:$DF$304,MATCH($B129,'Portfolio Register'!$DH$5:$DH$304,0))="","",INDEX('Portfolio Register'!$DF$5:$DF$304,MATCH($B129,'Portfolio Register'!$DH$5:$DH$304,0))),"")</f>
        <v/>
      </c>
    </row>
    <row r="130" spans="2:17" x14ac:dyDescent="0.35">
      <c r="B130" s="58">
        <v>103</v>
      </c>
      <c r="C130" s="142" t="str">
        <f>IFERROR(IF(INDEX('Portfolio Register'!$A$5:$A$304,MATCH($B130,'Portfolio Register'!$DH$5:$DH$304,0))="","",INDEX('Portfolio Register'!$A$5:$A$304,MATCH($B130,'Portfolio Register'!$DH$5:$DH$304,0))),"")</f>
        <v/>
      </c>
      <c r="D130" s="142" t="str">
        <f>IFERROR(IF(INDEX('Portfolio Register'!$B$5:$B$304,MATCH($B130,'Portfolio Register'!$DH$5:$DH$304,0))="","",INDEX('Portfolio Register'!$B$5:$B$304,MATCH($B130,'Portfolio Register'!$DH$5:$DH$304,0))),"")</f>
        <v/>
      </c>
      <c r="E130" s="142" t="str">
        <f>IFERROR(IF(INDEX('Portfolio Register'!$I$5:$I$304,MATCH($B130,'Portfolio Register'!$DH$5:$DH$304,0))="","",INDEX('Portfolio Register'!$I$5:$I$304,MATCH($B130,'Portfolio Register'!$DH$5:$DH$304,0))),"")</f>
        <v/>
      </c>
      <c r="F130" s="143" t="str">
        <f>IFERROR(IF(INDEX('Portfolio Register'!$J$5:$J$304,MATCH($B130,'Portfolio Register'!$DH$5:$DH$304,0))="","",INDEX('Portfolio Register'!$J$5:$J$304,MATCH($B130,'Portfolio Register'!$DH$5:$DH$304,0))),"")</f>
        <v/>
      </c>
      <c r="G130" s="142" t="str">
        <f>IFERROR(IF(INDEX('Portfolio Register'!$CX$5:$CX$304,MATCH($B130,'Portfolio Register'!$DH$5:$DH$304,0))="","",INDEX('Portfolio Register'!$CX$5:$CX$304,MATCH($B130,'Portfolio Register'!$DH$5:$DH$304,0))),"")</f>
        <v/>
      </c>
      <c r="H130" s="144" t="str">
        <f>IFERROR(IF(INDEX('Portfolio Register'!$CY$5:$CY$304,MATCH($B130,'Portfolio Register'!$DH$5:$DH$304,0))="","",INDEX('Portfolio Register'!$CY$5:$CY$304,MATCH($B130,'Portfolio Register'!$DH$5:$DH$304,0))),"")</f>
        <v/>
      </c>
      <c r="I130" s="142" t="str">
        <f>IFERROR(IF(INDEX('Portfolio Register'!$CZ$5:$CZ$304,MATCH($B130,'Portfolio Register'!$DH$5:$DH$304,0))="","",INDEX('Portfolio Register'!$CZ$5:$CZ$304,MATCH($B130,'Portfolio Register'!$DH$5:$DH$304,0))),"")</f>
        <v/>
      </c>
      <c r="J130" s="142" t="str">
        <f>IFERROR(IF(INDEX('Portfolio Register'!$DA$5:$DA$304,MATCH($B130,'Portfolio Register'!$DH$5:$DH$304,0))="","",INDEX('Portfolio Register'!$DA$5:$DA$304,MATCH($B130,'Portfolio Register'!$DH$5:$DH$304,0))),"")</f>
        <v/>
      </c>
      <c r="K130" s="142" t="str">
        <f>IFERROR(IF(INDEX('Portfolio Register'!$DB$5:$DB$304,MATCH($B130,'Portfolio Register'!$DH$5:$DH$304,0))="","",INDEX('Portfolio Register'!$DB$5:$DB$304,MATCH($B130,'Portfolio Register'!$DH$5:$DH$304,0))),"")</f>
        <v/>
      </c>
      <c r="L130" s="142" t="str">
        <f>IFERROR(IF(INDEX('Portfolio Register'!$DC$5:$DC$304,MATCH($B130,'Portfolio Register'!$DH$5:$DH$304,0))="","",INDEX('Portfolio Register'!$DC$5:$DC$304,MATCH($B130,'Portfolio Register'!$DH$5:$DH$304,0))),"")</f>
        <v/>
      </c>
      <c r="M130" s="145" t="str">
        <f>IFERROR(IF(INDEX('Portfolio Register'!$DD$5:$DD$304,MATCH($B130,'Portfolio Register'!$DH$5:$DH$304,0))="","",INDEX('Portfolio Register'!$DD$5:$DD$304,MATCH($B130,'Portfolio Register'!$DH$5:$DH$304,0))),"")</f>
        <v/>
      </c>
      <c r="N130" s="146" t="str">
        <f ca="1">IF($C130="","",IF($M130&lt;&gt;"",$M130-IFERROR(INDEX('Portfolio Register'!$C$5:$C$304,MATCH($B130,'Portfolio Register'!$DH$5:$DH$304,0)),$M130),TODAY()-IFERROR(INDEX('Portfolio Register'!$C$5:$C$304,MATCH($B130,'Portfolio Register'!$DH$5:$DH$304,0)),TODAY())))</f>
        <v/>
      </c>
      <c r="O130" s="147" t="str">
        <f t="shared" si="3"/>
        <v/>
      </c>
      <c r="P130" s="142" t="str">
        <f>IFERROR(IF(INDEX('Portfolio Register'!$DG$5:$DG$304,MATCH($B130,'Portfolio Register'!$DH$5:$DH$304,0))="","",INDEX('Portfolio Register'!$DG$5:$DG$304,MATCH($B130,'Portfolio Register'!$DH$5:$DH$304,0))),"")</f>
        <v/>
      </c>
      <c r="Q130" s="142" t="str">
        <f>IFERROR(IF(INDEX('Portfolio Register'!$DF$5:$DF$304,MATCH($B130,'Portfolio Register'!$DH$5:$DH$304,0))="","",INDEX('Portfolio Register'!$DF$5:$DF$304,MATCH($B130,'Portfolio Register'!$DH$5:$DH$304,0))),"")</f>
        <v/>
      </c>
    </row>
    <row r="131" spans="2:17" x14ac:dyDescent="0.35">
      <c r="B131" s="65">
        <v>104</v>
      </c>
      <c r="C131" s="148" t="str">
        <f>IFERROR(IF(INDEX('Portfolio Register'!$A$5:$A$304,MATCH($B131,'Portfolio Register'!$DH$5:$DH$304,0))="","",INDEX('Portfolio Register'!$A$5:$A$304,MATCH($B131,'Portfolio Register'!$DH$5:$DH$304,0))),"")</f>
        <v/>
      </c>
      <c r="D131" s="148" t="str">
        <f>IFERROR(IF(INDEX('Portfolio Register'!$B$5:$B$304,MATCH($B131,'Portfolio Register'!$DH$5:$DH$304,0))="","",INDEX('Portfolio Register'!$B$5:$B$304,MATCH($B131,'Portfolio Register'!$DH$5:$DH$304,0))),"")</f>
        <v/>
      </c>
      <c r="E131" s="148" t="str">
        <f>IFERROR(IF(INDEX('Portfolio Register'!$I$5:$I$304,MATCH($B131,'Portfolio Register'!$DH$5:$DH$304,0))="","",INDEX('Portfolio Register'!$I$5:$I$304,MATCH($B131,'Portfolio Register'!$DH$5:$DH$304,0))),"")</f>
        <v/>
      </c>
      <c r="F131" s="149" t="str">
        <f>IFERROR(IF(INDEX('Portfolio Register'!$J$5:$J$304,MATCH($B131,'Portfolio Register'!$DH$5:$DH$304,0))="","",INDEX('Portfolio Register'!$J$5:$J$304,MATCH($B131,'Portfolio Register'!$DH$5:$DH$304,0))),"")</f>
        <v/>
      </c>
      <c r="G131" s="148" t="str">
        <f>IFERROR(IF(INDEX('Portfolio Register'!$CX$5:$CX$304,MATCH($B131,'Portfolio Register'!$DH$5:$DH$304,0))="","",INDEX('Portfolio Register'!$CX$5:$CX$304,MATCH($B131,'Portfolio Register'!$DH$5:$DH$304,0))),"")</f>
        <v/>
      </c>
      <c r="H131" s="150" t="str">
        <f>IFERROR(IF(INDEX('Portfolio Register'!$CY$5:$CY$304,MATCH($B131,'Portfolio Register'!$DH$5:$DH$304,0))="","",INDEX('Portfolio Register'!$CY$5:$CY$304,MATCH($B131,'Portfolio Register'!$DH$5:$DH$304,0))),"")</f>
        <v/>
      </c>
      <c r="I131" s="148" t="str">
        <f>IFERROR(IF(INDEX('Portfolio Register'!$CZ$5:$CZ$304,MATCH($B131,'Portfolio Register'!$DH$5:$DH$304,0))="","",INDEX('Portfolio Register'!$CZ$5:$CZ$304,MATCH($B131,'Portfolio Register'!$DH$5:$DH$304,0))),"")</f>
        <v/>
      </c>
      <c r="J131" s="148" t="str">
        <f>IFERROR(IF(INDEX('Portfolio Register'!$DA$5:$DA$304,MATCH($B131,'Portfolio Register'!$DH$5:$DH$304,0))="","",INDEX('Portfolio Register'!$DA$5:$DA$304,MATCH($B131,'Portfolio Register'!$DH$5:$DH$304,0))),"")</f>
        <v/>
      </c>
      <c r="K131" s="148" t="str">
        <f>IFERROR(IF(INDEX('Portfolio Register'!$DB$5:$DB$304,MATCH($B131,'Portfolio Register'!$DH$5:$DH$304,0))="","",INDEX('Portfolio Register'!$DB$5:$DB$304,MATCH($B131,'Portfolio Register'!$DH$5:$DH$304,0))),"")</f>
        <v/>
      </c>
      <c r="L131" s="148" t="str">
        <f>IFERROR(IF(INDEX('Portfolio Register'!$DC$5:$DC$304,MATCH($B131,'Portfolio Register'!$DH$5:$DH$304,0))="","",INDEX('Portfolio Register'!$DC$5:$DC$304,MATCH($B131,'Portfolio Register'!$DH$5:$DH$304,0))),"")</f>
        <v/>
      </c>
      <c r="M131" s="151" t="str">
        <f>IFERROR(IF(INDEX('Portfolio Register'!$DD$5:$DD$304,MATCH($B131,'Portfolio Register'!$DH$5:$DH$304,0))="","",INDEX('Portfolio Register'!$DD$5:$DD$304,MATCH($B131,'Portfolio Register'!$DH$5:$DH$304,0))),"")</f>
        <v/>
      </c>
      <c r="N131" s="152" t="str">
        <f ca="1">IF($C131="","",IF($M131&lt;&gt;"",$M131-IFERROR(INDEX('Portfolio Register'!$C$5:$C$304,MATCH($B131,'Portfolio Register'!$DH$5:$DH$304,0)),$M131),TODAY()-IFERROR(INDEX('Portfolio Register'!$C$5:$C$304,MATCH($B131,'Portfolio Register'!$DH$5:$DH$304,0)),TODAY())))</f>
        <v/>
      </c>
      <c r="O131" s="153" t="str">
        <f t="shared" si="3"/>
        <v/>
      </c>
      <c r="P131" s="148" t="str">
        <f>IFERROR(IF(INDEX('Portfolio Register'!$DG$5:$DG$304,MATCH($B131,'Portfolio Register'!$DH$5:$DH$304,0))="","",INDEX('Portfolio Register'!$DG$5:$DG$304,MATCH($B131,'Portfolio Register'!$DH$5:$DH$304,0))),"")</f>
        <v/>
      </c>
      <c r="Q131" s="148" t="str">
        <f>IFERROR(IF(INDEX('Portfolio Register'!$DF$5:$DF$304,MATCH($B131,'Portfolio Register'!$DH$5:$DH$304,0))="","",INDEX('Portfolio Register'!$DF$5:$DF$304,MATCH($B131,'Portfolio Register'!$DH$5:$DH$304,0))),"")</f>
        <v/>
      </c>
    </row>
    <row r="132" spans="2:17" x14ac:dyDescent="0.35">
      <c r="B132" s="58">
        <v>105</v>
      </c>
      <c r="C132" s="142" t="str">
        <f>IFERROR(IF(INDEX('Portfolio Register'!$A$5:$A$304,MATCH($B132,'Portfolio Register'!$DH$5:$DH$304,0))="","",INDEX('Portfolio Register'!$A$5:$A$304,MATCH($B132,'Portfolio Register'!$DH$5:$DH$304,0))),"")</f>
        <v/>
      </c>
      <c r="D132" s="142" t="str">
        <f>IFERROR(IF(INDEX('Portfolio Register'!$B$5:$B$304,MATCH($B132,'Portfolio Register'!$DH$5:$DH$304,0))="","",INDEX('Portfolio Register'!$B$5:$B$304,MATCH($B132,'Portfolio Register'!$DH$5:$DH$304,0))),"")</f>
        <v/>
      </c>
      <c r="E132" s="142" t="str">
        <f>IFERROR(IF(INDEX('Portfolio Register'!$I$5:$I$304,MATCH($B132,'Portfolio Register'!$DH$5:$DH$304,0))="","",INDEX('Portfolio Register'!$I$5:$I$304,MATCH($B132,'Portfolio Register'!$DH$5:$DH$304,0))),"")</f>
        <v/>
      </c>
      <c r="F132" s="143" t="str">
        <f>IFERROR(IF(INDEX('Portfolio Register'!$J$5:$J$304,MATCH($B132,'Portfolio Register'!$DH$5:$DH$304,0))="","",INDEX('Portfolio Register'!$J$5:$J$304,MATCH($B132,'Portfolio Register'!$DH$5:$DH$304,0))),"")</f>
        <v/>
      </c>
      <c r="G132" s="142" t="str">
        <f>IFERROR(IF(INDEX('Portfolio Register'!$CX$5:$CX$304,MATCH($B132,'Portfolio Register'!$DH$5:$DH$304,0))="","",INDEX('Portfolio Register'!$CX$5:$CX$304,MATCH($B132,'Portfolio Register'!$DH$5:$DH$304,0))),"")</f>
        <v/>
      </c>
      <c r="H132" s="144" t="str">
        <f>IFERROR(IF(INDEX('Portfolio Register'!$CY$5:$CY$304,MATCH($B132,'Portfolio Register'!$DH$5:$DH$304,0))="","",INDEX('Portfolio Register'!$CY$5:$CY$304,MATCH($B132,'Portfolio Register'!$DH$5:$DH$304,0))),"")</f>
        <v/>
      </c>
      <c r="I132" s="142" t="str">
        <f>IFERROR(IF(INDEX('Portfolio Register'!$CZ$5:$CZ$304,MATCH($B132,'Portfolio Register'!$DH$5:$DH$304,0))="","",INDEX('Portfolio Register'!$CZ$5:$CZ$304,MATCH($B132,'Portfolio Register'!$DH$5:$DH$304,0))),"")</f>
        <v/>
      </c>
      <c r="J132" s="142" t="str">
        <f>IFERROR(IF(INDEX('Portfolio Register'!$DA$5:$DA$304,MATCH($B132,'Portfolio Register'!$DH$5:$DH$304,0))="","",INDEX('Portfolio Register'!$DA$5:$DA$304,MATCH($B132,'Portfolio Register'!$DH$5:$DH$304,0))),"")</f>
        <v/>
      </c>
      <c r="K132" s="142" t="str">
        <f>IFERROR(IF(INDEX('Portfolio Register'!$DB$5:$DB$304,MATCH($B132,'Portfolio Register'!$DH$5:$DH$304,0))="","",INDEX('Portfolio Register'!$DB$5:$DB$304,MATCH($B132,'Portfolio Register'!$DH$5:$DH$304,0))),"")</f>
        <v/>
      </c>
      <c r="L132" s="142" t="str">
        <f>IFERROR(IF(INDEX('Portfolio Register'!$DC$5:$DC$304,MATCH($B132,'Portfolio Register'!$DH$5:$DH$304,0))="","",INDEX('Portfolio Register'!$DC$5:$DC$304,MATCH($B132,'Portfolio Register'!$DH$5:$DH$304,0))),"")</f>
        <v/>
      </c>
      <c r="M132" s="145" t="str">
        <f>IFERROR(IF(INDEX('Portfolio Register'!$DD$5:$DD$304,MATCH($B132,'Portfolio Register'!$DH$5:$DH$304,0))="","",INDEX('Portfolio Register'!$DD$5:$DD$304,MATCH($B132,'Portfolio Register'!$DH$5:$DH$304,0))),"")</f>
        <v/>
      </c>
      <c r="N132" s="146" t="str">
        <f ca="1">IF($C132="","",IF($M132&lt;&gt;"",$M132-IFERROR(INDEX('Portfolio Register'!$C$5:$C$304,MATCH($B132,'Portfolio Register'!$DH$5:$DH$304,0)),$M132),TODAY()-IFERROR(INDEX('Portfolio Register'!$C$5:$C$304,MATCH($B132,'Portfolio Register'!$DH$5:$DH$304,0)),TODAY())))</f>
        <v/>
      </c>
      <c r="O132" s="147" t="str">
        <f t="shared" si="3"/>
        <v/>
      </c>
      <c r="P132" s="142" t="str">
        <f>IFERROR(IF(INDEX('Portfolio Register'!$DG$5:$DG$304,MATCH($B132,'Portfolio Register'!$DH$5:$DH$304,0))="","",INDEX('Portfolio Register'!$DG$5:$DG$304,MATCH($B132,'Portfolio Register'!$DH$5:$DH$304,0))),"")</f>
        <v/>
      </c>
      <c r="Q132" s="142" t="str">
        <f>IFERROR(IF(INDEX('Portfolio Register'!$DF$5:$DF$304,MATCH($B132,'Portfolio Register'!$DH$5:$DH$304,0))="","",INDEX('Portfolio Register'!$DF$5:$DF$304,MATCH($B132,'Portfolio Register'!$DH$5:$DH$304,0))),"")</f>
        <v/>
      </c>
    </row>
    <row r="133" spans="2:17" x14ac:dyDescent="0.35">
      <c r="B133" s="65">
        <v>106</v>
      </c>
      <c r="C133" s="148" t="str">
        <f>IFERROR(IF(INDEX('Portfolio Register'!$A$5:$A$304,MATCH($B133,'Portfolio Register'!$DH$5:$DH$304,0))="","",INDEX('Portfolio Register'!$A$5:$A$304,MATCH($B133,'Portfolio Register'!$DH$5:$DH$304,0))),"")</f>
        <v/>
      </c>
      <c r="D133" s="148" t="str">
        <f>IFERROR(IF(INDEX('Portfolio Register'!$B$5:$B$304,MATCH($B133,'Portfolio Register'!$DH$5:$DH$304,0))="","",INDEX('Portfolio Register'!$B$5:$B$304,MATCH($B133,'Portfolio Register'!$DH$5:$DH$304,0))),"")</f>
        <v/>
      </c>
      <c r="E133" s="148" t="str">
        <f>IFERROR(IF(INDEX('Portfolio Register'!$I$5:$I$304,MATCH($B133,'Portfolio Register'!$DH$5:$DH$304,0))="","",INDEX('Portfolio Register'!$I$5:$I$304,MATCH($B133,'Portfolio Register'!$DH$5:$DH$304,0))),"")</f>
        <v/>
      </c>
      <c r="F133" s="149" t="str">
        <f>IFERROR(IF(INDEX('Portfolio Register'!$J$5:$J$304,MATCH($B133,'Portfolio Register'!$DH$5:$DH$304,0))="","",INDEX('Portfolio Register'!$J$5:$J$304,MATCH($B133,'Portfolio Register'!$DH$5:$DH$304,0))),"")</f>
        <v/>
      </c>
      <c r="G133" s="148" t="str">
        <f>IFERROR(IF(INDEX('Portfolio Register'!$CX$5:$CX$304,MATCH($B133,'Portfolio Register'!$DH$5:$DH$304,0))="","",INDEX('Portfolio Register'!$CX$5:$CX$304,MATCH($B133,'Portfolio Register'!$DH$5:$DH$304,0))),"")</f>
        <v/>
      </c>
      <c r="H133" s="150" t="str">
        <f>IFERROR(IF(INDEX('Portfolio Register'!$CY$5:$CY$304,MATCH($B133,'Portfolio Register'!$DH$5:$DH$304,0))="","",INDEX('Portfolio Register'!$CY$5:$CY$304,MATCH($B133,'Portfolio Register'!$DH$5:$DH$304,0))),"")</f>
        <v/>
      </c>
      <c r="I133" s="148" t="str">
        <f>IFERROR(IF(INDEX('Portfolio Register'!$CZ$5:$CZ$304,MATCH($B133,'Portfolio Register'!$DH$5:$DH$304,0))="","",INDEX('Portfolio Register'!$CZ$5:$CZ$304,MATCH($B133,'Portfolio Register'!$DH$5:$DH$304,0))),"")</f>
        <v/>
      </c>
      <c r="J133" s="148" t="str">
        <f>IFERROR(IF(INDEX('Portfolio Register'!$DA$5:$DA$304,MATCH($B133,'Portfolio Register'!$DH$5:$DH$304,0))="","",INDEX('Portfolio Register'!$DA$5:$DA$304,MATCH($B133,'Portfolio Register'!$DH$5:$DH$304,0))),"")</f>
        <v/>
      </c>
      <c r="K133" s="148" t="str">
        <f>IFERROR(IF(INDEX('Portfolio Register'!$DB$5:$DB$304,MATCH($B133,'Portfolio Register'!$DH$5:$DH$304,0))="","",INDEX('Portfolio Register'!$DB$5:$DB$304,MATCH($B133,'Portfolio Register'!$DH$5:$DH$304,0))),"")</f>
        <v/>
      </c>
      <c r="L133" s="148" t="str">
        <f>IFERROR(IF(INDEX('Portfolio Register'!$DC$5:$DC$304,MATCH($B133,'Portfolio Register'!$DH$5:$DH$304,0))="","",INDEX('Portfolio Register'!$DC$5:$DC$304,MATCH($B133,'Portfolio Register'!$DH$5:$DH$304,0))),"")</f>
        <v/>
      </c>
      <c r="M133" s="151" t="str">
        <f>IFERROR(IF(INDEX('Portfolio Register'!$DD$5:$DD$304,MATCH($B133,'Portfolio Register'!$DH$5:$DH$304,0))="","",INDEX('Portfolio Register'!$DD$5:$DD$304,MATCH($B133,'Portfolio Register'!$DH$5:$DH$304,0))),"")</f>
        <v/>
      </c>
      <c r="N133" s="152" t="str">
        <f ca="1">IF($C133="","",IF($M133&lt;&gt;"",$M133-IFERROR(INDEX('Portfolio Register'!$C$5:$C$304,MATCH($B133,'Portfolio Register'!$DH$5:$DH$304,0)),$M133),TODAY()-IFERROR(INDEX('Portfolio Register'!$C$5:$C$304,MATCH($B133,'Portfolio Register'!$DH$5:$DH$304,0)),TODAY())))</f>
        <v/>
      </c>
      <c r="O133" s="153" t="str">
        <f t="shared" si="3"/>
        <v/>
      </c>
      <c r="P133" s="148" t="str">
        <f>IFERROR(IF(INDEX('Portfolio Register'!$DG$5:$DG$304,MATCH($B133,'Portfolio Register'!$DH$5:$DH$304,0))="","",INDEX('Portfolio Register'!$DG$5:$DG$304,MATCH($B133,'Portfolio Register'!$DH$5:$DH$304,0))),"")</f>
        <v/>
      </c>
      <c r="Q133" s="148" t="str">
        <f>IFERROR(IF(INDEX('Portfolio Register'!$DF$5:$DF$304,MATCH($B133,'Portfolio Register'!$DH$5:$DH$304,0))="","",INDEX('Portfolio Register'!$DF$5:$DF$304,MATCH($B133,'Portfolio Register'!$DH$5:$DH$304,0))),"")</f>
        <v/>
      </c>
    </row>
    <row r="134" spans="2:17" x14ac:dyDescent="0.35">
      <c r="B134" s="58">
        <v>107</v>
      </c>
      <c r="C134" s="142" t="str">
        <f>IFERROR(IF(INDEX('Portfolio Register'!$A$5:$A$304,MATCH($B134,'Portfolio Register'!$DH$5:$DH$304,0))="","",INDEX('Portfolio Register'!$A$5:$A$304,MATCH($B134,'Portfolio Register'!$DH$5:$DH$304,0))),"")</f>
        <v/>
      </c>
      <c r="D134" s="142" t="str">
        <f>IFERROR(IF(INDEX('Portfolio Register'!$B$5:$B$304,MATCH($B134,'Portfolio Register'!$DH$5:$DH$304,0))="","",INDEX('Portfolio Register'!$B$5:$B$304,MATCH($B134,'Portfolio Register'!$DH$5:$DH$304,0))),"")</f>
        <v/>
      </c>
      <c r="E134" s="142" t="str">
        <f>IFERROR(IF(INDEX('Portfolio Register'!$I$5:$I$304,MATCH($B134,'Portfolio Register'!$DH$5:$DH$304,0))="","",INDEX('Portfolio Register'!$I$5:$I$304,MATCH($B134,'Portfolio Register'!$DH$5:$DH$304,0))),"")</f>
        <v/>
      </c>
      <c r="F134" s="143" t="str">
        <f>IFERROR(IF(INDEX('Portfolio Register'!$J$5:$J$304,MATCH($B134,'Portfolio Register'!$DH$5:$DH$304,0))="","",INDEX('Portfolio Register'!$J$5:$J$304,MATCH($B134,'Portfolio Register'!$DH$5:$DH$304,0))),"")</f>
        <v/>
      </c>
      <c r="G134" s="142" t="str">
        <f>IFERROR(IF(INDEX('Portfolio Register'!$CX$5:$CX$304,MATCH($B134,'Portfolio Register'!$DH$5:$DH$304,0))="","",INDEX('Portfolio Register'!$CX$5:$CX$304,MATCH($B134,'Portfolio Register'!$DH$5:$DH$304,0))),"")</f>
        <v/>
      </c>
      <c r="H134" s="144" t="str">
        <f>IFERROR(IF(INDEX('Portfolio Register'!$CY$5:$CY$304,MATCH($B134,'Portfolio Register'!$DH$5:$DH$304,0))="","",INDEX('Portfolio Register'!$CY$5:$CY$304,MATCH($B134,'Portfolio Register'!$DH$5:$DH$304,0))),"")</f>
        <v/>
      </c>
      <c r="I134" s="142" t="str">
        <f>IFERROR(IF(INDEX('Portfolio Register'!$CZ$5:$CZ$304,MATCH($B134,'Portfolio Register'!$DH$5:$DH$304,0))="","",INDEX('Portfolio Register'!$CZ$5:$CZ$304,MATCH($B134,'Portfolio Register'!$DH$5:$DH$304,0))),"")</f>
        <v/>
      </c>
      <c r="J134" s="142" t="str">
        <f>IFERROR(IF(INDEX('Portfolio Register'!$DA$5:$DA$304,MATCH($B134,'Portfolio Register'!$DH$5:$DH$304,0))="","",INDEX('Portfolio Register'!$DA$5:$DA$304,MATCH($B134,'Portfolio Register'!$DH$5:$DH$304,0))),"")</f>
        <v/>
      </c>
      <c r="K134" s="142" t="str">
        <f>IFERROR(IF(INDEX('Portfolio Register'!$DB$5:$DB$304,MATCH($B134,'Portfolio Register'!$DH$5:$DH$304,0))="","",INDEX('Portfolio Register'!$DB$5:$DB$304,MATCH($B134,'Portfolio Register'!$DH$5:$DH$304,0))),"")</f>
        <v/>
      </c>
      <c r="L134" s="142" t="str">
        <f>IFERROR(IF(INDEX('Portfolio Register'!$DC$5:$DC$304,MATCH($B134,'Portfolio Register'!$DH$5:$DH$304,0))="","",INDEX('Portfolio Register'!$DC$5:$DC$304,MATCH($B134,'Portfolio Register'!$DH$5:$DH$304,0))),"")</f>
        <v/>
      </c>
      <c r="M134" s="145" t="str">
        <f>IFERROR(IF(INDEX('Portfolio Register'!$DD$5:$DD$304,MATCH($B134,'Portfolio Register'!$DH$5:$DH$304,0))="","",INDEX('Portfolio Register'!$DD$5:$DD$304,MATCH($B134,'Portfolio Register'!$DH$5:$DH$304,0))),"")</f>
        <v/>
      </c>
      <c r="N134" s="146" t="str">
        <f ca="1">IF($C134="","",IF($M134&lt;&gt;"",$M134-IFERROR(INDEX('Portfolio Register'!$C$5:$C$304,MATCH($B134,'Portfolio Register'!$DH$5:$DH$304,0)),$M134),TODAY()-IFERROR(INDEX('Portfolio Register'!$C$5:$C$304,MATCH($B134,'Portfolio Register'!$DH$5:$DH$304,0)),TODAY())))</f>
        <v/>
      </c>
      <c r="O134" s="147" t="str">
        <f t="shared" si="3"/>
        <v/>
      </c>
      <c r="P134" s="142" t="str">
        <f>IFERROR(IF(INDEX('Portfolio Register'!$DG$5:$DG$304,MATCH($B134,'Portfolio Register'!$DH$5:$DH$304,0))="","",INDEX('Portfolio Register'!$DG$5:$DG$304,MATCH($B134,'Portfolio Register'!$DH$5:$DH$304,0))),"")</f>
        <v/>
      </c>
      <c r="Q134" s="142" t="str">
        <f>IFERROR(IF(INDEX('Portfolio Register'!$DF$5:$DF$304,MATCH($B134,'Portfolio Register'!$DH$5:$DH$304,0))="","",INDEX('Portfolio Register'!$DF$5:$DF$304,MATCH($B134,'Portfolio Register'!$DH$5:$DH$304,0))),"")</f>
        <v/>
      </c>
    </row>
    <row r="135" spans="2:17" x14ac:dyDescent="0.35">
      <c r="B135" s="65">
        <v>108</v>
      </c>
      <c r="C135" s="148" t="str">
        <f>IFERROR(IF(INDEX('Portfolio Register'!$A$5:$A$304,MATCH($B135,'Portfolio Register'!$DH$5:$DH$304,0))="","",INDEX('Portfolio Register'!$A$5:$A$304,MATCH($B135,'Portfolio Register'!$DH$5:$DH$304,0))),"")</f>
        <v/>
      </c>
      <c r="D135" s="148" t="str">
        <f>IFERROR(IF(INDEX('Portfolio Register'!$B$5:$B$304,MATCH($B135,'Portfolio Register'!$DH$5:$DH$304,0))="","",INDEX('Portfolio Register'!$B$5:$B$304,MATCH($B135,'Portfolio Register'!$DH$5:$DH$304,0))),"")</f>
        <v/>
      </c>
      <c r="E135" s="148" t="str">
        <f>IFERROR(IF(INDEX('Portfolio Register'!$I$5:$I$304,MATCH($B135,'Portfolio Register'!$DH$5:$DH$304,0))="","",INDEX('Portfolio Register'!$I$5:$I$304,MATCH($B135,'Portfolio Register'!$DH$5:$DH$304,0))),"")</f>
        <v/>
      </c>
      <c r="F135" s="149" t="str">
        <f>IFERROR(IF(INDEX('Portfolio Register'!$J$5:$J$304,MATCH($B135,'Portfolio Register'!$DH$5:$DH$304,0))="","",INDEX('Portfolio Register'!$J$5:$J$304,MATCH($B135,'Portfolio Register'!$DH$5:$DH$304,0))),"")</f>
        <v/>
      </c>
      <c r="G135" s="148" t="str">
        <f>IFERROR(IF(INDEX('Portfolio Register'!$CX$5:$CX$304,MATCH($B135,'Portfolio Register'!$DH$5:$DH$304,0))="","",INDEX('Portfolio Register'!$CX$5:$CX$304,MATCH($B135,'Portfolio Register'!$DH$5:$DH$304,0))),"")</f>
        <v/>
      </c>
      <c r="H135" s="150" t="str">
        <f>IFERROR(IF(INDEX('Portfolio Register'!$CY$5:$CY$304,MATCH($B135,'Portfolio Register'!$DH$5:$DH$304,0))="","",INDEX('Portfolio Register'!$CY$5:$CY$304,MATCH($B135,'Portfolio Register'!$DH$5:$DH$304,0))),"")</f>
        <v/>
      </c>
      <c r="I135" s="148" t="str">
        <f>IFERROR(IF(INDEX('Portfolio Register'!$CZ$5:$CZ$304,MATCH($B135,'Portfolio Register'!$DH$5:$DH$304,0))="","",INDEX('Portfolio Register'!$CZ$5:$CZ$304,MATCH($B135,'Portfolio Register'!$DH$5:$DH$304,0))),"")</f>
        <v/>
      </c>
      <c r="J135" s="148" t="str">
        <f>IFERROR(IF(INDEX('Portfolio Register'!$DA$5:$DA$304,MATCH($B135,'Portfolio Register'!$DH$5:$DH$304,0))="","",INDEX('Portfolio Register'!$DA$5:$DA$304,MATCH($B135,'Portfolio Register'!$DH$5:$DH$304,0))),"")</f>
        <v/>
      </c>
      <c r="K135" s="148" t="str">
        <f>IFERROR(IF(INDEX('Portfolio Register'!$DB$5:$DB$304,MATCH($B135,'Portfolio Register'!$DH$5:$DH$304,0))="","",INDEX('Portfolio Register'!$DB$5:$DB$304,MATCH($B135,'Portfolio Register'!$DH$5:$DH$304,0))),"")</f>
        <v/>
      </c>
      <c r="L135" s="148" t="str">
        <f>IFERROR(IF(INDEX('Portfolio Register'!$DC$5:$DC$304,MATCH($B135,'Portfolio Register'!$DH$5:$DH$304,0))="","",INDEX('Portfolio Register'!$DC$5:$DC$304,MATCH($B135,'Portfolio Register'!$DH$5:$DH$304,0))),"")</f>
        <v/>
      </c>
      <c r="M135" s="151" t="str">
        <f>IFERROR(IF(INDEX('Portfolio Register'!$DD$5:$DD$304,MATCH($B135,'Portfolio Register'!$DH$5:$DH$304,0))="","",INDEX('Portfolio Register'!$DD$5:$DD$304,MATCH($B135,'Portfolio Register'!$DH$5:$DH$304,0))),"")</f>
        <v/>
      </c>
      <c r="N135" s="152" t="str">
        <f ca="1">IF($C135="","",IF($M135&lt;&gt;"",$M135-IFERROR(INDEX('Portfolio Register'!$C$5:$C$304,MATCH($B135,'Portfolio Register'!$DH$5:$DH$304,0)),$M135),TODAY()-IFERROR(INDEX('Portfolio Register'!$C$5:$C$304,MATCH($B135,'Portfolio Register'!$DH$5:$DH$304,0)),TODAY())))</f>
        <v/>
      </c>
      <c r="O135" s="153" t="str">
        <f t="shared" si="3"/>
        <v/>
      </c>
      <c r="P135" s="148" t="str">
        <f>IFERROR(IF(INDEX('Portfolio Register'!$DG$5:$DG$304,MATCH($B135,'Portfolio Register'!$DH$5:$DH$304,0))="","",INDEX('Portfolio Register'!$DG$5:$DG$304,MATCH($B135,'Portfolio Register'!$DH$5:$DH$304,0))),"")</f>
        <v/>
      </c>
      <c r="Q135" s="148" t="str">
        <f>IFERROR(IF(INDEX('Portfolio Register'!$DF$5:$DF$304,MATCH($B135,'Portfolio Register'!$DH$5:$DH$304,0))="","",INDEX('Portfolio Register'!$DF$5:$DF$304,MATCH($B135,'Portfolio Register'!$DH$5:$DH$304,0))),"")</f>
        <v/>
      </c>
    </row>
    <row r="136" spans="2:17" x14ac:dyDescent="0.35">
      <c r="B136" s="58">
        <v>109</v>
      </c>
      <c r="C136" s="142" t="str">
        <f>IFERROR(IF(INDEX('Portfolio Register'!$A$5:$A$304,MATCH($B136,'Portfolio Register'!$DH$5:$DH$304,0))="","",INDEX('Portfolio Register'!$A$5:$A$304,MATCH($B136,'Portfolio Register'!$DH$5:$DH$304,0))),"")</f>
        <v/>
      </c>
      <c r="D136" s="142" t="str">
        <f>IFERROR(IF(INDEX('Portfolio Register'!$B$5:$B$304,MATCH($B136,'Portfolio Register'!$DH$5:$DH$304,0))="","",INDEX('Portfolio Register'!$B$5:$B$304,MATCH($B136,'Portfolio Register'!$DH$5:$DH$304,0))),"")</f>
        <v/>
      </c>
      <c r="E136" s="142" t="str">
        <f>IFERROR(IF(INDEX('Portfolio Register'!$I$5:$I$304,MATCH($B136,'Portfolio Register'!$DH$5:$DH$304,0))="","",INDEX('Portfolio Register'!$I$5:$I$304,MATCH($B136,'Portfolio Register'!$DH$5:$DH$304,0))),"")</f>
        <v/>
      </c>
      <c r="F136" s="143" t="str">
        <f>IFERROR(IF(INDEX('Portfolio Register'!$J$5:$J$304,MATCH($B136,'Portfolio Register'!$DH$5:$DH$304,0))="","",INDEX('Portfolio Register'!$J$5:$J$304,MATCH($B136,'Portfolio Register'!$DH$5:$DH$304,0))),"")</f>
        <v/>
      </c>
      <c r="G136" s="142" t="str">
        <f>IFERROR(IF(INDEX('Portfolio Register'!$CX$5:$CX$304,MATCH($B136,'Portfolio Register'!$DH$5:$DH$304,0))="","",INDEX('Portfolio Register'!$CX$5:$CX$304,MATCH($B136,'Portfolio Register'!$DH$5:$DH$304,0))),"")</f>
        <v/>
      </c>
      <c r="H136" s="144" t="str">
        <f>IFERROR(IF(INDEX('Portfolio Register'!$CY$5:$CY$304,MATCH($B136,'Portfolio Register'!$DH$5:$DH$304,0))="","",INDEX('Portfolio Register'!$CY$5:$CY$304,MATCH($B136,'Portfolio Register'!$DH$5:$DH$304,0))),"")</f>
        <v/>
      </c>
      <c r="I136" s="142" t="str">
        <f>IFERROR(IF(INDEX('Portfolio Register'!$CZ$5:$CZ$304,MATCH($B136,'Portfolio Register'!$DH$5:$DH$304,0))="","",INDEX('Portfolio Register'!$CZ$5:$CZ$304,MATCH($B136,'Portfolio Register'!$DH$5:$DH$304,0))),"")</f>
        <v/>
      </c>
      <c r="J136" s="142" t="str">
        <f>IFERROR(IF(INDEX('Portfolio Register'!$DA$5:$DA$304,MATCH($B136,'Portfolio Register'!$DH$5:$DH$304,0))="","",INDEX('Portfolio Register'!$DA$5:$DA$304,MATCH($B136,'Portfolio Register'!$DH$5:$DH$304,0))),"")</f>
        <v/>
      </c>
      <c r="K136" s="142" t="str">
        <f>IFERROR(IF(INDEX('Portfolio Register'!$DB$5:$DB$304,MATCH($B136,'Portfolio Register'!$DH$5:$DH$304,0))="","",INDEX('Portfolio Register'!$DB$5:$DB$304,MATCH($B136,'Portfolio Register'!$DH$5:$DH$304,0))),"")</f>
        <v/>
      </c>
      <c r="L136" s="142" t="str">
        <f>IFERROR(IF(INDEX('Portfolio Register'!$DC$5:$DC$304,MATCH($B136,'Portfolio Register'!$DH$5:$DH$304,0))="","",INDEX('Portfolio Register'!$DC$5:$DC$304,MATCH($B136,'Portfolio Register'!$DH$5:$DH$304,0))),"")</f>
        <v/>
      </c>
      <c r="M136" s="145" t="str">
        <f>IFERROR(IF(INDEX('Portfolio Register'!$DD$5:$DD$304,MATCH($B136,'Portfolio Register'!$DH$5:$DH$304,0))="","",INDEX('Portfolio Register'!$DD$5:$DD$304,MATCH($B136,'Portfolio Register'!$DH$5:$DH$304,0))),"")</f>
        <v/>
      </c>
      <c r="N136" s="146" t="str">
        <f ca="1">IF($C136="","",IF($M136&lt;&gt;"",$M136-IFERROR(INDEX('Portfolio Register'!$C$5:$C$304,MATCH($B136,'Portfolio Register'!$DH$5:$DH$304,0)),$M136),TODAY()-IFERROR(INDEX('Portfolio Register'!$C$5:$C$304,MATCH($B136,'Portfolio Register'!$DH$5:$DH$304,0)),TODAY())))</f>
        <v/>
      </c>
      <c r="O136" s="147" t="str">
        <f t="shared" si="3"/>
        <v/>
      </c>
      <c r="P136" s="142" t="str">
        <f>IFERROR(IF(INDEX('Portfolio Register'!$DG$5:$DG$304,MATCH($B136,'Portfolio Register'!$DH$5:$DH$304,0))="","",INDEX('Portfolio Register'!$DG$5:$DG$304,MATCH($B136,'Portfolio Register'!$DH$5:$DH$304,0))),"")</f>
        <v/>
      </c>
      <c r="Q136" s="142" t="str">
        <f>IFERROR(IF(INDEX('Portfolio Register'!$DF$5:$DF$304,MATCH($B136,'Portfolio Register'!$DH$5:$DH$304,0))="","",INDEX('Portfolio Register'!$DF$5:$DF$304,MATCH($B136,'Portfolio Register'!$DH$5:$DH$304,0))),"")</f>
        <v/>
      </c>
    </row>
    <row r="137" spans="2:17" x14ac:dyDescent="0.35">
      <c r="B137" s="65">
        <v>110</v>
      </c>
      <c r="C137" s="148" t="str">
        <f>IFERROR(IF(INDEX('Portfolio Register'!$A$5:$A$304,MATCH($B137,'Portfolio Register'!$DH$5:$DH$304,0))="","",INDEX('Portfolio Register'!$A$5:$A$304,MATCH($B137,'Portfolio Register'!$DH$5:$DH$304,0))),"")</f>
        <v/>
      </c>
      <c r="D137" s="148" t="str">
        <f>IFERROR(IF(INDEX('Portfolio Register'!$B$5:$B$304,MATCH($B137,'Portfolio Register'!$DH$5:$DH$304,0))="","",INDEX('Portfolio Register'!$B$5:$B$304,MATCH($B137,'Portfolio Register'!$DH$5:$DH$304,0))),"")</f>
        <v/>
      </c>
      <c r="E137" s="148" t="str">
        <f>IFERROR(IF(INDEX('Portfolio Register'!$I$5:$I$304,MATCH($B137,'Portfolio Register'!$DH$5:$DH$304,0))="","",INDEX('Portfolio Register'!$I$5:$I$304,MATCH($B137,'Portfolio Register'!$DH$5:$DH$304,0))),"")</f>
        <v/>
      </c>
      <c r="F137" s="149" t="str">
        <f>IFERROR(IF(INDEX('Portfolio Register'!$J$5:$J$304,MATCH($B137,'Portfolio Register'!$DH$5:$DH$304,0))="","",INDEX('Portfolio Register'!$J$5:$J$304,MATCH($B137,'Portfolio Register'!$DH$5:$DH$304,0))),"")</f>
        <v/>
      </c>
      <c r="G137" s="148" t="str">
        <f>IFERROR(IF(INDEX('Portfolio Register'!$CX$5:$CX$304,MATCH($B137,'Portfolio Register'!$DH$5:$DH$304,0))="","",INDEX('Portfolio Register'!$CX$5:$CX$304,MATCH($B137,'Portfolio Register'!$DH$5:$DH$304,0))),"")</f>
        <v/>
      </c>
      <c r="H137" s="150" t="str">
        <f>IFERROR(IF(INDEX('Portfolio Register'!$CY$5:$CY$304,MATCH($B137,'Portfolio Register'!$DH$5:$DH$304,0))="","",INDEX('Portfolio Register'!$CY$5:$CY$304,MATCH($B137,'Portfolio Register'!$DH$5:$DH$304,0))),"")</f>
        <v/>
      </c>
      <c r="I137" s="148" t="str">
        <f>IFERROR(IF(INDEX('Portfolio Register'!$CZ$5:$CZ$304,MATCH($B137,'Portfolio Register'!$DH$5:$DH$304,0))="","",INDEX('Portfolio Register'!$CZ$5:$CZ$304,MATCH($B137,'Portfolio Register'!$DH$5:$DH$304,0))),"")</f>
        <v/>
      </c>
      <c r="J137" s="148" t="str">
        <f>IFERROR(IF(INDEX('Portfolio Register'!$DA$5:$DA$304,MATCH($B137,'Portfolio Register'!$DH$5:$DH$304,0))="","",INDEX('Portfolio Register'!$DA$5:$DA$304,MATCH($B137,'Portfolio Register'!$DH$5:$DH$304,0))),"")</f>
        <v/>
      </c>
      <c r="K137" s="148" t="str">
        <f>IFERROR(IF(INDEX('Portfolio Register'!$DB$5:$DB$304,MATCH($B137,'Portfolio Register'!$DH$5:$DH$304,0))="","",INDEX('Portfolio Register'!$DB$5:$DB$304,MATCH($B137,'Portfolio Register'!$DH$5:$DH$304,0))),"")</f>
        <v/>
      </c>
      <c r="L137" s="148" t="str">
        <f>IFERROR(IF(INDEX('Portfolio Register'!$DC$5:$DC$304,MATCH($B137,'Portfolio Register'!$DH$5:$DH$304,0))="","",INDEX('Portfolio Register'!$DC$5:$DC$304,MATCH($B137,'Portfolio Register'!$DH$5:$DH$304,0))),"")</f>
        <v/>
      </c>
      <c r="M137" s="151" t="str">
        <f>IFERROR(IF(INDEX('Portfolio Register'!$DD$5:$DD$304,MATCH($B137,'Portfolio Register'!$DH$5:$DH$304,0))="","",INDEX('Portfolio Register'!$DD$5:$DD$304,MATCH($B137,'Portfolio Register'!$DH$5:$DH$304,0))),"")</f>
        <v/>
      </c>
      <c r="N137" s="152" t="str">
        <f ca="1">IF($C137="","",IF($M137&lt;&gt;"",$M137-IFERROR(INDEX('Portfolio Register'!$C$5:$C$304,MATCH($B137,'Portfolio Register'!$DH$5:$DH$304,0)),$M137),TODAY()-IFERROR(INDEX('Portfolio Register'!$C$5:$C$304,MATCH($B137,'Portfolio Register'!$DH$5:$DH$304,0)),TODAY())))</f>
        <v/>
      </c>
      <c r="O137" s="153" t="str">
        <f t="shared" si="3"/>
        <v/>
      </c>
      <c r="P137" s="148" t="str">
        <f>IFERROR(IF(INDEX('Portfolio Register'!$DG$5:$DG$304,MATCH($B137,'Portfolio Register'!$DH$5:$DH$304,0))="","",INDEX('Portfolio Register'!$DG$5:$DG$304,MATCH($B137,'Portfolio Register'!$DH$5:$DH$304,0))),"")</f>
        <v/>
      </c>
      <c r="Q137" s="148" t="str">
        <f>IFERROR(IF(INDEX('Portfolio Register'!$DF$5:$DF$304,MATCH($B137,'Portfolio Register'!$DH$5:$DH$304,0))="","",INDEX('Portfolio Register'!$DF$5:$DF$304,MATCH($B137,'Portfolio Register'!$DH$5:$DH$304,0))),"")</f>
        <v/>
      </c>
    </row>
    <row r="138" spans="2:17" x14ac:dyDescent="0.35">
      <c r="B138" s="58">
        <v>111</v>
      </c>
      <c r="C138" s="142" t="str">
        <f>IFERROR(IF(INDEX('Portfolio Register'!$A$5:$A$304,MATCH($B138,'Portfolio Register'!$DH$5:$DH$304,0))="","",INDEX('Portfolio Register'!$A$5:$A$304,MATCH($B138,'Portfolio Register'!$DH$5:$DH$304,0))),"")</f>
        <v/>
      </c>
      <c r="D138" s="142" t="str">
        <f>IFERROR(IF(INDEX('Portfolio Register'!$B$5:$B$304,MATCH($B138,'Portfolio Register'!$DH$5:$DH$304,0))="","",INDEX('Portfolio Register'!$B$5:$B$304,MATCH($B138,'Portfolio Register'!$DH$5:$DH$304,0))),"")</f>
        <v/>
      </c>
      <c r="E138" s="142" t="str">
        <f>IFERROR(IF(INDEX('Portfolio Register'!$I$5:$I$304,MATCH($B138,'Portfolio Register'!$DH$5:$DH$304,0))="","",INDEX('Portfolio Register'!$I$5:$I$304,MATCH($B138,'Portfolio Register'!$DH$5:$DH$304,0))),"")</f>
        <v/>
      </c>
      <c r="F138" s="143" t="str">
        <f>IFERROR(IF(INDEX('Portfolio Register'!$J$5:$J$304,MATCH($B138,'Portfolio Register'!$DH$5:$DH$304,0))="","",INDEX('Portfolio Register'!$J$5:$J$304,MATCH($B138,'Portfolio Register'!$DH$5:$DH$304,0))),"")</f>
        <v/>
      </c>
      <c r="G138" s="142" t="str">
        <f>IFERROR(IF(INDEX('Portfolio Register'!$CX$5:$CX$304,MATCH($B138,'Portfolio Register'!$DH$5:$DH$304,0))="","",INDEX('Portfolio Register'!$CX$5:$CX$304,MATCH($B138,'Portfolio Register'!$DH$5:$DH$304,0))),"")</f>
        <v/>
      </c>
      <c r="H138" s="144" t="str">
        <f>IFERROR(IF(INDEX('Portfolio Register'!$CY$5:$CY$304,MATCH($B138,'Portfolio Register'!$DH$5:$DH$304,0))="","",INDEX('Portfolio Register'!$CY$5:$CY$304,MATCH($B138,'Portfolio Register'!$DH$5:$DH$304,0))),"")</f>
        <v/>
      </c>
      <c r="I138" s="142" t="str">
        <f>IFERROR(IF(INDEX('Portfolio Register'!$CZ$5:$CZ$304,MATCH($B138,'Portfolio Register'!$DH$5:$DH$304,0))="","",INDEX('Portfolio Register'!$CZ$5:$CZ$304,MATCH($B138,'Portfolio Register'!$DH$5:$DH$304,0))),"")</f>
        <v/>
      </c>
      <c r="J138" s="142" t="str">
        <f>IFERROR(IF(INDEX('Portfolio Register'!$DA$5:$DA$304,MATCH($B138,'Portfolio Register'!$DH$5:$DH$304,0))="","",INDEX('Portfolio Register'!$DA$5:$DA$304,MATCH($B138,'Portfolio Register'!$DH$5:$DH$304,0))),"")</f>
        <v/>
      </c>
      <c r="K138" s="142" t="str">
        <f>IFERROR(IF(INDEX('Portfolio Register'!$DB$5:$DB$304,MATCH($B138,'Portfolio Register'!$DH$5:$DH$304,0))="","",INDEX('Portfolio Register'!$DB$5:$DB$304,MATCH($B138,'Portfolio Register'!$DH$5:$DH$304,0))),"")</f>
        <v/>
      </c>
      <c r="L138" s="142" t="str">
        <f>IFERROR(IF(INDEX('Portfolio Register'!$DC$5:$DC$304,MATCH($B138,'Portfolio Register'!$DH$5:$DH$304,0))="","",INDEX('Portfolio Register'!$DC$5:$DC$304,MATCH($B138,'Portfolio Register'!$DH$5:$DH$304,0))),"")</f>
        <v/>
      </c>
      <c r="M138" s="145" t="str">
        <f>IFERROR(IF(INDEX('Portfolio Register'!$DD$5:$DD$304,MATCH($B138,'Portfolio Register'!$DH$5:$DH$304,0))="","",INDEX('Portfolio Register'!$DD$5:$DD$304,MATCH($B138,'Portfolio Register'!$DH$5:$DH$304,0))),"")</f>
        <v/>
      </c>
      <c r="N138" s="146" t="str">
        <f ca="1">IF($C138="","",IF($M138&lt;&gt;"",$M138-IFERROR(INDEX('Portfolio Register'!$C$5:$C$304,MATCH($B138,'Portfolio Register'!$DH$5:$DH$304,0)),$M138),TODAY()-IFERROR(INDEX('Portfolio Register'!$C$5:$C$304,MATCH($B138,'Portfolio Register'!$DH$5:$DH$304,0)),TODAY())))</f>
        <v/>
      </c>
      <c r="O138" s="147" t="str">
        <f t="shared" si="3"/>
        <v/>
      </c>
      <c r="P138" s="142" t="str">
        <f>IFERROR(IF(INDEX('Portfolio Register'!$DG$5:$DG$304,MATCH($B138,'Portfolio Register'!$DH$5:$DH$304,0))="","",INDEX('Portfolio Register'!$DG$5:$DG$304,MATCH($B138,'Portfolio Register'!$DH$5:$DH$304,0))),"")</f>
        <v/>
      </c>
      <c r="Q138" s="142" t="str">
        <f>IFERROR(IF(INDEX('Portfolio Register'!$DF$5:$DF$304,MATCH($B138,'Portfolio Register'!$DH$5:$DH$304,0))="","",INDEX('Portfolio Register'!$DF$5:$DF$304,MATCH($B138,'Portfolio Register'!$DH$5:$DH$304,0))),"")</f>
        <v/>
      </c>
    </row>
    <row r="139" spans="2:17" x14ac:dyDescent="0.35">
      <c r="B139" s="65">
        <v>112</v>
      </c>
      <c r="C139" s="148" t="str">
        <f>IFERROR(IF(INDEX('Portfolio Register'!$A$5:$A$304,MATCH($B139,'Portfolio Register'!$DH$5:$DH$304,0))="","",INDEX('Portfolio Register'!$A$5:$A$304,MATCH($B139,'Portfolio Register'!$DH$5:$DH$304,0))),"")</f>
        <v/>
      </c>
      <c r="D139" s="148" t="str">
        <f>IFERROR(IF(INDEX('Portfolio Register'!$B$5:$B$304,MATCH($B139,'Portfolio Register'!$DH$5:$DH$304,0))="","",INDEX('Portfolio Register'!$B$5:$B$304,MATCH($B139,'Portfolio Register'!$DH$5:$DH$304,0))),"")</f>
        <v/>
      </c>
      <c r="E139" s="148" t="str">
        <f>IFERROR(IF(INDEX('Portfolio Register'!$I$5:$I$304,MATCH($B139,'Portfolio Register'!$DH$5:$DH$304,0))="","",INDEX('Portfolio Register'!$I$5:$I$304,MATCH($B139,'Portfolio Register'!$DH$5:$DH$304,0))),"")</f>
        <v/>
      </c>
      <c r="F139" s="149" t="str">
        <f>IFERROR(IF(INDEX('Portfolio Register'!$J$5:$J$304,MATCH($B139,'Portfolio Register'!$DH$5:$DH$304,0))="","",INDEX('Portfolio Register'!$J$5:$J$304,MATCH($B139,'Portfolio Register'!$DH$5:$DH$304,0))),"")</f>
        <v/>
      </c>
      <c r="G139" s="148" t="str">
        <f>IFERROR(IF(INDEX('Portfolio Register'!$CX$5:$CX$304,MATCH($B139,'Portfolio Register'!$DH$5:$DH$304,0))="","",INDEX('Portfolio Register'!$CX$5:$CX$304,MATCH($B139,'Portfolio Register'!$DH$5:$DH$304,0))),"")</f>
        <v/>
      </c>
      <c r="H139" s="150" t="str">
        <f>IFERROR(IF(INDEX('Portfolio Register'!$CY$5:$CY$304,MATCH($B139,'Portfolio Register'!$DH$5:$DH$304,0))="","",INDEX('Portfolio Register'!$CY$5:$CY$304,MATCH($B139,'Portfolio Register'!$DH$5:$DH$304,0))),"")</f>
        <v/>
      </c>
      <c r="I139" s="148" t="str">
        <f>IFERROR(IF(INDEX('Portfolio Register'!$CZ$5:$CZ$304,MATCH($B139,'Portfolio Register'!$DH$5:$DH$304,0))="","",INDEX('Portfolio Register'!$CZ$5:$CZ$304,MATCH($B139,'Portfolio Register'!$DH$5:$DH$304,0))),"")</f>
        <v/>
      </c>
      <c r="J139" s="148" t="str">
        <f>IFERROR(IF(INDEX('Portfolio Register'!$DA$5:$DA$304,MATCH($B139,'Portfolio Register'!$DH$5:$DH$304,0))="","",INDEX('Portfolio Register'!$DA$5:$DA$304,MATCH($B139,'Portfolio Register'!$DH$5:$DH$304,0))),"")</f>
        <v/>
      </c>
      <c r="K139" s="148" t="str">
        <f>IFERROR(IF(INDEX('Portfolio Register'!$DB$5:$DB$304,MATCH($B139,'Portfolio Register'!$DH$5:$DH$304,0))="","",INDEX('Portfolio Register'!$DB$5:$DB$304,MATCH($B139,'Portfolio Register'!$DH$5:$DH$304,0))),"")</f>
        <v/>
      </c>
      <c r="L139" s="148" t="str">
        <f>IFERROR(IF(INDEX('Portfolio Register'!$DC$5:$DC$304,MATCH($B139,'Portfolio Register'!$DH$5:$DH$304,0))="","",INDEX('Portfolio Register'!$DC$5:$DC$304,MATCH($B139,'Portfolio Register'!$DH$5:$DH$304,0))),"")</f>
        <v/>
      </c>
      <c r="M139" s="151" t="str">
        <f>IFERROR(IF(INDEX('Portfolio Register'!$DD$5:$DD$304,MATCH($B139,'Portfolio Register'!$DH$5:$DH$304,0))="","",INDEX('Portfolio Register'!$DD$5:$DD$304,MATCH($B139,'Portfolio Register'!$DH$5:$DH$304,0))),"")</f>
        <v/>
      </c>
      <c r="N139" s="152" t="str">
        <f ca="1">IF($C139="","",IF($M139&lt;&gt;"",$M139-IFERROR(INDEX('Portfolio Register'!$C$5:$C$304,MATCH($B139,'Portfolio Register'!$DH$5:$DH$304,0)),$M139),TODAY()-IFERROR(INDEX('Portfolio Register'!$C$5:$C$304,MATCH($B139,'Portfolio Register'!$DH$5:$DH$304,0)),TODAY())))</f>
        <v/>
      </c>
      <c r="O139" s="153" t="str">
        <f t="shared" si="3"/>
        <v/>
      </c>
      <c r="P139" s="148" t="str">
        <f>IFERROR(IF(INDEX('Portfolio Register'!$DG$5:$DG$304,MATCH($B139,'Portfolio Register'!$DH$5:$DH$304,0))="","",INDEX('Portfolio Register'!$DG$5:$DG$304,MATCH($B139,'Portfolio Register'!$DH$5:$DH$304,0))),"")</f>
        <v/>
      </c>
      <c r="Q139" s="148" t="str">
        <f>IFERROR(IF(INDEX('Portfolio Register'!$DF$5:$DF$304,MATCH($B139,'Portfolio Register'!$DH$5:$DH$304,0))="","",INDEX('Portfolio Register'!$DF$5:$DF$304,MATCH($B139,'Portfolio Register'!$DH$5:$DH$304,0))),"")</f>
        <v/>
      </c>
    </row>
    <row r="140" spans="2:17" x14ac:dyDescent="0.35">
      <c r="B140" s="58">
        <v>113</v>
      </c>
      <c r="C140" s="142" t="str">
        <f>IFERROR(IF(INDEX('Portfolio Register'!$A$5:$A$304,MATCH($B140,'Portfolio Register'!$DH$5:$DH$304,0))="","",INDEX('Portfolio Register'!$A$5:$A$304,MATCH($B140,'Portfolio Register'!$DH$5:$DH$304,0))),"")</f>
        <v/>
      </c>
      <c r="D140" s="142" t="str">
        <f>IFERROR(IF(INDEX('Portfolio Register'!$B$5:$B$304,MATCH($B140,'Portfolio Register'!$DH$5:$DH$304,0))="","",INDEX('Portfolio Register'!$B$5:$B$304,MATCH($B140,'Portfolio Register'!$DH$5:$DH$304,0))),"")</f>
        <v/>
      </c>
      <c r="E140" s="142" t="str">
        <f>IFERROR(IF(INDEX('Portfolio Register'!$I$5:$I$304,MATCH($B140,'Portfolio Register'!$DH$5:$DH$304,0))="","",INDEX('Portfolio Register'!$I$5:$I$304,MATCH($B140,'Portfolio Register'!$DH$5:$DH$304,0))),"")</f>
        <v/>
      </c>
      <c r="F140" s="143" t="str">
        <f>IFERROR(IF(INDEX('Portfolio Register'!$J$5:$J$304,MATCH($B140,'Portfolio Register'!$DH$5:$DH$304,0))="","",INDEX('Portfolio Register'!$J$5:$J$304,MATCH($B140,'Portfolio Register'!$DH$5:$DH$304,0))),"")</f>
        <v/>
      </c>
      <c r="G140" s="142" t="str">
        <f>IFERROR(IF(INDEX('Portfolio Register'!$CX$5:$CX$304,MATCH($B140,'Portfolio Register'!$DH$5:$DH$304,0))="","",INDEX('Portfolio Register'!$CX$5:$CX$304,MATCH($B140,'Portfolio Register'!$DH$5:$DH$304,0))),"")</f>
        <v/>
      </c>
      <c r="H140" s="144" t="str">
        <f>IFERROR(IF(INDEX('Portfolio Register'!$CY$5:$CY$304,MATCH($B140,'Portfolio Register'!$DH$5:$DH$304,0))="","",INDEX('Portfolio Register'!$CY$5:$CY$304,MATCH($B140,'Portfolio Register'!$DH$5:$DH$304,0))),"")</f>
        <v/>
      </c>
      <c r="I140" s="142" t="str">
        <f>IFERROR(IF(INDEX('Portfolio Register'!$CZ$5:$CZ$304,MATCH($B140,'Portfolio Register'!$DH$5:$DH$304,0))="","",INDEX('Portfolio Register'!$CZ$5:$CZ$304,MATCH($B140,'Portfolio Register'!$DH$5:$DH$304,0))),"")</f>
        <v/>
      </c>
      <c r="J140" s="142" t="str">
        <f>IFERROR(IF(INDEX('Portfolio Register'!$DA$5:$DA$304,MATCH($B140,'Portfolio Register'!$DH$5:$DH$304,0))="","",INDEX('Portfolio Register'!$DA$5:$DA$304,MATCH($B140,'Portfolio Register'!$DH$5:$DH$304,0))),"")</f>
        <v/>
      </c>
      <c r="K140" s="142" t="str">
        <f>IFERROR(IF(INDEX('Portfolio Register'!$DB$5:$DB$304,MATCH($B140,'Portfolio Register'!$DH$5:$DH$304,0))="","",INDEX('Portfolio Register'!$DB$5:$DB$304,MATCH($B140,'Portfolio Register'!$DH$5:$DH$304,0))),"")</f>
        <v/>
      </c>
      <c r="L140" s="142" t="str">
        <f>IFERROR(IF(INDEX('Portfolio Register'!$DC$5:$DC$304,MATCH($B140,'Portfolio Register'!$DH$5:$DH$304,0))="","",INDEX('Portfolio Register'!$DC$5:$DC$304,MATCH($B140,'Portfolio Register'!$DH$5:$DH$304,0))),"")</f>
        <v/>
      </c>
      <c r="M140" s="145" t="str">
        <f>IFERROR(IF(INDEX('Portfolio Register'!$DD$5:$DD$304,MATCH($B140,'Portfolio Register'!$DH$5:$DH$304,0))="","",INDEX('Portfolio Register'!$DD$5:$DD$304,MATCH($B140,'Portfolio Register'!$DH$5:$DH$304,0))),"")</f>
        <v/>
      </c>
      <c r="N140" s="146" t="str">
        <f ca="1">IF($C140="","",IF($M140&lt;&gt;"",$M140-IFERROR(INDEX('Portfolio Register'!$C$5:$C$304,MATCH($B140,'Portfolio Register'!$DH$5:$DH$304,0)),$M140),TODAY()-IFERROR(INDEX('Portfolio Register'!$C$5:$C$304,MATCH($B140,'Portfolio Register'!$DH$5:$DH$304,0)),TODAY())))</f>
        <v/>
      </c>
      <c r="O140" s="147" t="str">
        <f t="shared" si="3"/>
        <v/>
      </c>
      <c r="P140" s="142" t="str">
        <f>IFERROR(IF(INDEX('Portfolio Register'!$DG$5:$DG$304,MATCH($B140,'Portfolio Register'!$DH$5:$DH$304,0))="","",INDEX('Portfolio Register'!$DG$5:$DG$304,MATCH($B140,'Portfolio Register'!$DH$5:$DH$304,0))),"")</f>
        <v/>
      </c>
      <c r="Q140" s="142" t="str">
        <f>IFERROR(IF(INDEX('Portfolio Register'!$DF$5:$DF$304,MATCH($B140,'Portfolio Register'!$DH$5:$DH$304,0))="","",INDEX('Portfolio Register'!$DF$5:$DF$304,MATCH($B140,'Portfolio Register'!$DH$5:$DH$304,0))),"")</f>
        <v/>
      </c>
    </row>
    <row r="141" spans="2:17" x14ac:dyDescent="0.35">
      <c r="B141" s="65">
        <v>114</v>
      </c>
      <c r="C141" s="148" t="str">
        <f>IFERROR(IF(INDEX('Portfolio Register'!$A$5:$A$304,MATCH($B141,'Portfolio Register'!$DH$5:$DH$304,0))="","",INDEX('Portfolio Register'!$A$5:$A$304,MATCH($B141,'Portfolio Register'!$DH$5:$DH$304,0))),"")</f>
        <v/>
      </c>
      <c r="D141" s="148" t="str">
        <f>IFERROR(IF(INDEX('Portfolio Register'!$B$5:$B$304,MATCH($B141,'Portfolio Register'!$DH$5:$DH$304,0))="","",INDEX('Portfolio Register'!$B$5:$B$304,MATCH($B141,'Portfolio Register'!$DH$5:$DH$304,0))),"")</f>
        <v/>
      </c>
      <c r="E141" s="148" t="str">
        <f>IFERROR(IF(INDEX('Portfolio Register'!$I$5:$I$304,MATCH($B141,'Portfolio Register'!$DH$5:$DH$304,0))="","",INDEX('Portfolio Register'!$I$5:$I$304,MATCH($B141,'Portfolio Register'!$DH$5:$DH$304,0))),"")</f>
        <v/>
      </c>
      <c r="F141" s="149" t="str">
        <f>IFERROR(IF(INDEX('Portfolio Register'!$J$5:$J$304,MATCH($B141,'Portfolio Register'!$DH$5:$DH$304,0))="","",INDEX('Portfolio Register'!$J$5:$J$304,MATCH($B141,'Portfolio Register'!$DH$5:$DH$304,0))),"")</f>
        <v/>
      </c>
      <c r="G141" s="148" t="str">
        <f>IFERROR(IF(INDEX('Portfolio Register'!$CX$5:$CX$304,MATCH($B141,'Portfolio Register'!$DH$5:$DH$304,0))="","",INDEX('Portfolio Register'!$CX$5:$CX$304,MATCH($B141,'Portfolio Register'!$DH$5:$DH$304,0))),"")</f>
        <v/>
      </c>
      <c r="H141" s="150" t="str">
        <f>IFERROR(IF(INDEX('Portfolio Register'!$CY$5:$CY$304,MATCH($B141,'Portfolio Register'!$DH$5:$DH$304,0))="","",INDEX('Portfolio Register'!$CY$5:$CY$304,MATCH($B141,'Portfolio Register'!$DH$5:$DH$304,0))),"")</f>
        <v/>
      </c>
      <c r="I141" s="148" t="str">
        <f>IFERROR(IF(INDEX('Portfolio Register'!$CZ$5:$CZ$304,MATCH($B141,'Portfolio Register'!$DH$5:$DH$304,0))="","",INDEX('Portfolio Register'!$CZ$5:$CZ$304,MATCH($B141,'Portfolio Register'!$DH$5:$DH$304,0))),"")</f>
        <v/>
      </c>
      <c r="J141" s="148" t="str">
        <f>IFERROR(IF(INDEX('Portfolio Register'!$DA$5:$DA$304,MATCH($B141,'Portfolio Register'!$DH$5:$DH$304,0))="","",INDEX('Portfolio Register'!$DA$5:$DA$304,MATCH($B141,'Portfolio Register'!$DH$5:$DH$304,0))),"")</f>
        <v/>
      </c>
      <c r="K141" s="148" t="str">
        <f>IFERROR(IF(INDEX('Portfolio Register'!$DB$5:$DB$304,MATCH($B141,'Portfolio Register'!$DH$5:$DH$304,0))="","",INDEX('Portfolio Register'!$DB$5:$DB$304,MATCH($B141,'Portfolio Register'!$DH$5:$DH$304,0))),"")</f>
        <v/>
      </c>
      <c r="L141" s="148" t="str">
        <f>IFERROR(IF(INDEX('Portfolio Register'!$DC$5:$DC$304,MATCH($B141,'Portfolio Register'!$DH$5:$DH$304,0))="","",INDEX('Portfolio Register'!$DC$5:$DC$304,MATCH($B141,'Portfolio Register'!$DH$5:$DH$304,0))),"")</f>
        <v/>
      </c>
      <c r="M141" s="151" t="str">
        <f>IFERROR(IF(INDEX('Portfolio Register'!$DD$5:$DD$304,MATCH($B141,'Portfolio Register'!$DH$5:$DH$304,0))="","",INDEX('Portfolio Register'!$DD$5:$DD$304,MATCH($B141,'Portfolio Register'!$DH$5:$DH$304,0))),"")</f>
        <v/>
      </c>
      <c r="N141" s="152" t="str">
        <f ca="1">IF($C141="","",IF($M141&lt;&gt;"",$M141-IFERROR(INDEX('Portfolio Register'!$C$5:$C$304,MATCH($B141,'Portfolio Register'!$DH$5:$DH$304,0)),$M141),TODAY()-IFERROR(INDEX('Portfolio Register'!$C$5:$C$304,MATCH($B141,'Portfolio Register'!$DH$5:$DH$304,0)),TODAY())))</f>
        <v/>
      </c>
      <c r="O141" s="153" t="str">
        <f t="shared" si="3"/>
        <v/>
      </c>
      <c r="P141" s="148" t="str">
        <f>IFERROR(IF(INDEX('Portfolio Register'!$DG$5:$DG$304,MATCH($B141,'Portfolio Register'!$DH$5:$DH$304,0))="","",INDEX('Portfolio Register'!$DG$5:$DG$304,MATCH($B141,'Portfolio Register'!$DH$5:$DH$304,0))),"")</f>
        <v/>
      </c>
      <c r="Q141" s="148" t="str">
        <f>IFERROR(IF(INDEX('Portfolio Register'!$DF$5:$DF$304,MATCH($B141,'Portfolio Register'!$DH$5:$DH$304,0))="","",INDEX('Portfolio Register'!$DF$5:$DF$304,MATCH($B141,'Portfolio Register'!$DH$5:$DH$304,0))),"")</f>
        <v/>
      </c>
    </row>
    <row r="142" spans="2:17" x14ac:dyDescent="0.35">
      <c r="B142" s="58">
        <v>115</v>
      </c>
      <c r="C142" s="142" t="str">
        <f>IFERROR(IF(INDEX('Portfolio Register'!$A$5:$A$304,MATCH($B142,'Portfolio Register'!$DH$5:$DH$304,0))="","",INDEX('Portfolio Register'!$A$5:$A$304,MATCH($B142,'Portfolio Register'!$DH$5:$DH$304,0))),"")</f>
        <v/>
      </c>
      <c r="D142" s="142" t="str">
        <f>IFERROR(IF(INDEX('Portfolio Register'!$B$5:$B$304,MATCH($B142,'Portfolio Register'!$DH$5:$DH$304,0))="","",INDEX('Portfolio Register'!$B$5:$B$304,MATCH($B142,'Portfolio Register'!$DH$5:$DH$304,0))),"")</f>
        <v/>
      </c>
      <c r="E142" s="142" t="str">
        <f>IFERROR(IF(INDEX('Portfolio Register'!$I$5:$I$304,MATCH($B142,'Portfolio Register'!$DH$5:$DH$304,0))="","",INDEX('Portfolio Register'!$I$5:$I$304,MATCH($B142,'Portfolio Register'!$DH$5:$DH$304,0))),"")</f>
        <v/>
      </c>
      <c r="F142" s="143" t="str">
        <f>IFERROR(IF(INDEX('Portfolio Register'!$J$5:$J$304,MATCH($B142,'Portfolio Register'!$DH$5:$DH$304,0))="","",INDEX('Portfolio Register'!$J$5:$J$304,MATCH($B142,'Portfolio Register'!$DH$5:$DH$304,0))),"")</f>
        <v/>
      </c>
      <c r="G142" s="142" t="str">
        <f>IFERROR(IF(INDEX('Portfolio Register'!$CX$5:$CX$304,MATCH($B142,'Portfolio Register'!$DH$5:$DH$304,0))="","",INDEX('Portfolio Register'!$CX$5:$CX$304,MATCH($B142,'Portfolio Register'!$DH$5:$DH$304,0))),"")</f>
        <v/>
      </c>
      <c r="H142" s="144" t="str">
        <f>IFERROR(IF(INDEX('Portfolio Register'!$CY$5:$CY$304,MATCH($B142,'Portfolio Register'!$DH$5:$DH$304,0))="","",INDEX('Portfolio Register'!$CY$5:$CY$304,MATCH($B142,'Portfolio Register'!$DH$5:$DH$304,0))),"")</f>
        <v/>
      </c>
      <c r="I142" s="142" t="str">
        <f>IFERROR(IF(INDEX('Portfolio Register'!$CZ$5:$CZ$304,MATCH($B142,'Portfolio Register'!$DH$5:$DH$304,0))="","",INDEX('Portfolio Register'!$CZ$5:$CZ$304,MATCH($B142,'Portfolio Register'!$DH$5:$DH$304,0))),"")</f>
        <v/>
      </c>
      <c r="J142" s="142" t="str">
        <f>IFERROR(IF(INDEX('Portfolio Register'!$DA$5:$DA$304,MATCH($B142,'Portfolio Register'!$DH$5:$DH$304,0))="","",INDEX('Portfolio Register'!$DA$5:$DA$304,MATCH($B142,'Portfolio Register'!$DH$5:$DH$304,0))),"")</f>
        <v/>
      </c>
      <c r="K142" s="142" t="str">
        <f>IFERROR(IF(INDEX('Portfolio Register'!$DB$5:$DB$304,MATCH($B142,'Portfolio Register'!$DH$5:$DH$304,0))="","",INDEX('Portfolio Register'!$DB$5:$DB$304,MATCH($B142,'Portfolio Register'!$DH$5:$DH$304,0))),"")</f>
        <v/>
      </c>
      <c r="L142" s="142" t="str">
        <f>IFERROR(IF(INDEX('Portfolio Register'!$DC$5:$DC$304,MATCH($B142,'Portfolio Register'!$DH$5:$DH$304,0))="","",INDEX('Portfolio Register'!$DC$5:$DC$304,MATCH($B142,'Portfolio Register'!$DH$5:$DH$304,0))),"")</f>
        <v/>
      </c>
      <c r="M142" s="145" t="str">
        <f>IFERROR(IF(INDEX('Portfolio Register'!$DD$5:$DD$304,MATCH($B142,'Portfolio Register'!$DH$5:$DH$304,0))="","",INDEX('Portfolio Register'!$DD$5:$DD$304,MATCH($B142,'Portfolio Register'!$DH$5:$DH$304,0))),"")</f>
        <v/>
      </c>
      <c r="N142" s="146" t="str">
        <f ca="1">IF($C142="","",IF($M142&lt;&gt;"",$M142-IFERROR(INDEX('Portfolio Register'!$C$5:$C$304,MATCH($B142,'Portfolio Register'!$DH$5:$DH$304,0)),$M142),TODAY()-IFERROR(INDEX('Portfolio Register'!$C$5:$C$304,MATCH($B142,'Portfolio Register'!$DH$5:$DH$304,0)),TODAY())))</f>
        <v/>
      </c>
      <c r="O142" s="147" t="str">
        <f t="shared" si="3"/>
        <v/>
      </c>
      <c r="P142" s="142" t="str">
        <f>IFERROR(IF(INDEX('Portfolio Register'!$DG$5:$DG$304,MATCH($B142,'Portfolio Register'!$DH$5:$DH$304,0))="","",INDEX('Portfolio Register'!$DG$5:$DG$304,MATCH($B142,'Portfolio Register'!$DH$5:$DH$304,0))),"")</f>
        <v/>
      </c>
      <c r="Q142" s="142" t="str">
        <f>IFERROR(IF(INDEX('Portfolio Register'!$DF$5:$DF$304,MATCH($B142,'Portfolio Register'!$DH$5:$DH$304,0))="","",INDEX('Portfolio Register'!$DF$5:$DF$304,MATCH($B142,'Portfolio Register'!$DH$5:$DH$304,0))),"")</f>
        <v/>
      </c>
    </row>
    <row r="143" spans="2:17" x14ac:dyDescent="0.35">
      <c r="B143" s="65">
        <v>116</v>
      </c>
      <c r="C143" s="148" t="str">
        <f>IFERROR(IF(INDEX('Portfolio Register'!$A$5:$A$304,MATCH($B143,'Portfolio Register'!$DH$5:$DH$304,0))="","",INDEX('Portfolio Register'!$A$5:$A$304,MATCH($B143,'Portfolio Register'!$DH$5:$DH$304,0))),"")</f>
        <v/>
      </c>
      <c r="D143" s="148" t="str">
        <f>IFERROR(IF(INDEX('Portfolio Register'!$B$5:$B$304,MATCH($B143,'Portfolio Register'!$DH$5:$DH$304,0))="","",INDEX('Portfolio Register'!$B$5:$B$304,MATCH($B143,'Portfolio Register'!$DH$5:$DH$304,0))),"")</f>
        <v/>
      </c>
      <c r="E143" s="148" t="str">
        <f>IFERROR(IF(INDEX('Portfolio Register'!$I$5:$I$304,MATCH($B143,'Portfolio Register'!$DH$5:$DH$304,0))="","",INDEX('Portfolio Register'!$I$5:$I$304,MATCH($B143,'Portfolio Register'!$DH$5:$DH$304,0))),"")</f>
        <v/>
      </c>
      <c r="F143" s="149" t="str">
        <f>IFERROR(IF(INDEX('Portfolio Register'!$J$5:$J$304,MATCH($B143,'Portfolio Register'!$DH$5:$DH$304,0))="","",INDEX('Portfolio Register'!$J$5:$J$304,MATCH($B143,'Portfolio Register'!$DH$5:$DH$304,0))),"")</f>
        <v/>
      </c>
      <c r="G143" s="148" t="str">
        <f>IFERROR(IF(INDEX('Portfolio Register'!$CX$5:$CX$304,MATCH($B143,'Portfolio Register'!$DH$5:$DH$304,0))="","",INDEX('Portfolio Register'!$CX$5:$CX$304,MATCH($B143,'Portfolio Register'!$DH$5:$DH$304,0))),"")</f>
        <v/>
      </c>
      <c r="H143" s="150" t="str">
        <f>IFERROR(IF(INDEX('Portfolio Register'!$CY$5:$CY$304,MATCH($B143,'Portfolio Register'!$DH$5:$DH$304,0))="","",INDEX('Portfolio Register'!$CY$5:$CY$304,MATCH($B143,'Portfolio Register'!$DH$5:$DH$304,0))),"")</f>
        <v/>
      </c>
      <c r="I143" s="148" t="str">
        <f>IFERROR(IF(INDEX('Portfolio Register'!$CZ$5:$CZ$304,MATCH($B143,'Portfolio Register'!$DH$5:$DH$304,0))="","",INDEX('Portfolio Register'!$CZ$5:$CZ$304,MATCH($B143,'Portfolio Register'!$DH$5:$DH$304,0))),"")</f>
        <v/>
      </c>
      <c r="J143" s="148" t="str">
        <f>IFERROR(IF(INDEX('Portfolio Register'!$DA$5:$DA$304,MATCH($B143,'Portfolio Register'!$DH$5:$DH$304,0))="","",INDEX('Portfolio Register'!$DA$5:$DA$304,MATCH($B143,'Portfolio Register'!$DH$5:$DH$304,0))),"")</f>
        <v/>
      </c>
      <c r="K143" s="148" t="str">
        <f>IFERROR(IF(INDEX('Portfolio Register'!$DB$5:$DB$304,MATCH($B143,'Portfolio Register'!$DH$5:$DH$304,0))="","",INDEX('Portfolio Register'!$DB$5:$DB$304,MATCH($B143,'Portfolio Register'!$DH$5:$DH$304,0))),"")</f>
        <v/>
      </c>
      <c r="L143" s="148" t="str">
        <f>IFERROR(IF(INDEX('Portfolio Register'!$DC$5:$DC$304,MATCH($B143,'Portfolio Register'!$DH$5:$DH$304,0))="","",INDEX('Portfolio Register'!$DC$5:$DC$304,MATCH($B143,'Portfolio Register'!$DH$5:$DH$304,0))),"")</f>
        <v/>
      </c>
      <c r="M143" s="151" t="str">
        <f>IFERROR(IF(INDEX('Portfolio Register'!$DD$5:$DD$304,MATCH($B143,'Portfolio Register'!$DH$5:$DH$304,0))="","",INDEX('Portfolio Register'!$DD$5:$DD$304,MATCH($B143,'Portfolio Register'!$DH$5:$DH$304,0))),"")</f>
        <v/>
      </c>
      <c r="N143" s="152" t="str">
        <f ca="1">IF($C143="","",IF($M143&lt;&gt;"",$M143-IFERROR(INDEX('Portfolio Register'!$C$5:$C$304,MATCH($B143,'Portfolio Register'!$DH$5:$DH$304,0)),$M143),TODAY()-IFERROR(INDEX('Portfolio Register'!$C$5:$C$304,MATCH($B143,'Portfolio Register'!$DH$5:$DH$304,0)),TODAY())))</f>
        <v/>
      </c>
      <c r="O143" s="153" t="str">
        <f t="shared" si="3"/>
        <v/>
      </c>
      <c r="P143" s="148" t="str">
        <f>IFERROR(IF(INDEX('Portfolio Register'!$DG$5:$DG$304,MATCH($B143,'Portfolio Register'!$DH$5:$DH$304,0))="","",INDEX('Portfolio Register'!$DG$5:$DG$304,MATCH($B143,'Portfolio Register'!$DH$5:$DH$304,0))),"")</f>
        <v/>
      </c>
      <c r="Q143" s="148" t="str">
        <f>IFERROR(IF(INDEX('Portfolio Register'!$DF$5:$DF$304,MATCH($B143,'Portfolio Register'!$DH$5:$DH$304,0))="","",INDEX('Portfolio Register'!$DF$5:$DF$304,MATCH($B143,'Portfolio Register'!$DH$5:$DH$304,0))),"")</f>
        <v/>
      </c>
    </row>
    <row r="144" spans="2:17" x14ac:dyDescent="0.35">
      <c r="B144" s="58">
        <v>117</v>
      </c>
      <c r="C144" s="142" t="str">
        <f>IFERROR(IF(INDEX('Portfolio Register'!$A$5:$A$304,MATCH($B144,'Portfolio Register'!$DH$5:$DH$304,0))="","",INDEX('Portfolio Register'!$A$5:$A$304,MATCH($B144,'Portfolio Register'!$DH$5:$DH$304,0))),"")</f>
        <v/>
      </c>
      <c r="D144" s="142" t="str">
        <f>IFERROR(IF(INDEX('Portfolio Register'!$B$5:$B$304,MATCH($B144,'Portfolio Register'!$DH$5:$DH$304,0))="","",INDEX('Portfolio Register'!$B$5:$B$304,MATCH($B144,'Portfolio Register'!$DH$5:$DH$304,0))),"")</f>
        <v/>
      </c>
      <c r="E144" s="142" t="str">
        <f>IFERROR(IF(INDEX('Portfolio Register'!$I$5:$I$304,MATCH($B144,'Portfolio Register'!$DH$5:$DH$304,0))="","",INDEX('Portfolio Register'!$I$5:$I$304,MATCH($B144,'Portfolio Register'!$DH$5:$DH$304,0))),"")</f>
        <v/>
      </c>
      <c r="F144" s="143" t="str">
        <f>IFERROR(IF(INDEX('Portfolio Register'!$J$5:$J$304,MATCH($B144,'Portfolio Register'!$DH$5:$DH$304,0))="","",INDEX('Portfolio Register'!$J$5:$J$304,MATCH($B144,'Portfolio Register'!$DH$5:$DH$304,0))),"")</f>
        <v/>
      </c>
      <c r="G144" s="142" t="str">
        <f>IFERROR(IF(INDEX('Portfolio Register'!$CX$5:$CX$304,MATCH($B144,'Portfolio Register'!$DH$5:$DH$304,0))="","",INDEX('Portfolio Register'!$CX$5:$CX$304,MATCH($B144,'Portfolio Register'!$DH$5:$DH$304,0))),"")</f>
        <v/>
      </c>
      <c r="H144" s="144" t="str">
        <f>IFERROR(IF(INDEX('Portfolio Register'!$CY$5:$CY$304,MATCH($B144,'Portfolio Register'!$DH$5:$DH$304,0))="","",INDEX('Portfolio Register'!$CY$5:$CY$304,MATCH($B144,'Portfolio Register'!$DH$5:$DH$304,0))),"")</f>
        <v/>
      </c>
      <c r="I144" s="142" t="str">
        <f>IFERROR(IF(INDEX('Portfolio Register'!$CZ$5:$CZ$304,MATCH($B144,'Portfolio Register'!$DH$5:$DH$304,0))="","",INDEX('Portfolio Register'!$CZ$5:$CZ$304,MATCH($B144,'Portfolio Register'!$DH$5:$DH$304,0))),"")</f>
        <v/>
      </c>
      <c r="J144" s="142" t="str">
        <f>IFERROR(IF(INDEX('Portfolio Register'!$DA$5:$DA$304,MATCH($B144,'Portfolio Register'!$DH$5:$DH$304,0))="","",INDEX('Portfolio Register'!$DA$5:$DA$304,MATCH($B144,'Portfolio Register'!$DH$5:$DH$304,0))),"")</f>
        <v/>
      </c>
      <c r="K144" s="142" t="str">
        <f>IFERROR(IF(INDEX('Portfolio Register'!$DB$5:$DB$304,MATCH($B144,'Portfolio Register'!$DH$5:$DH$304,0))="","",INDEX('Portfolio Register'!$DB$5:$DB$304,MATCH($B144,'Portfolio Register'!$DH$5:$DH$304,0))),"")</f>
        <v/>
      </c>
      <c r="L144" s="142" t="str">
        <f>IFERROR(IF(INDEX('Portfolio Register'!$DC$5:$DC$304,MATCH($B144,'Portfolio Register'!$DH$5:$DH$304,0))="","",INDEX('Portfolio Register'!$DC$5:$DC$304,MATCH($B144,'Portfolio Register'!$DH$5:$DH$304,0))),"")</f>
        <v/>
      </c>
      <c r="M144" s="145" t="str">
        <f>IFERROR(IF(INDEX('Portfolio Register'!$DD$5:$DD$304,MATCH($B144,'Portfolio Register'!$DH$5:$DH$304,0))="","",INDEX('Portfolio Register'!$DD$5:$DD$304,MATCH($B144,'Portfolio Register'!$DH$5:$DH$304,0))),"")</f>
        <v/>
      </c>
      <c r="N144" s="146" t="str">
        <f ca="1">IF($C144="","",IF($M144&lt;&gt;"",$M144-IFERROR(INDEX('Portfolio Register'!$C$5:$C$304,MATCH($B144,'Portfolio Register'!$DH$5:$DH$304,0)),$M144),TODAY()-IFERROR(INDEX('Portfolio Register'!$C$5:$C$304,MATCH($B144,'Portfolio Register'!$DH$5:$DH$304,0)),TODAY())))</f>
        <v/>
      </c>
      <c r="O144" s="147" t="str">
        <f t="shared" si="3"/>
        <v/>
      </c>
      <c r="P144" s="142" t="str">
        <f>IFERROR(IF(INDEX('Portfolio Register'!$DG$5:$DG$304,MATCH($B144,'Portfolio Register'!$DH$5:$DH$304,0))="","",INDEX('Portfolio Register'!$DG$5:$DG$304,MATCH($B144,'Portfolio Register'!$DH$5:$DH$304,0))),"")</f>
        <v/>
      </c>
      <c r="Q144" s="142" t="str">
        <f>IFERROR(IF(INDEX('Portfolio Register'!$DF$5:$DF$304,MATCH($B144,'Portfolio Register'!$DH$5:$DH$304,0))="","",INDEX('Portfolio Register'!$DF$5:$DF$304,MATCH($B144,'Portfolio Register'!$DH$5:$DH$304,0))),"")</f>
        <v/>
      </c>
    </row>
    <row r="145" spans="2:17" x14ac:dyDescent="0.35">
      <c r="B145" s="65">
        <v>118</v>
      </c>
      <c r="C145" s="148" t="str">
        <f>IFERROR(IF(INDEX('Portfolio Register'!$A$5:$A$304,MATCH($B145,'Portfolio Register'!$DH$5:$DH$304,0))="","",INDEX('Portfolio Register'!$A$5:$A$304,MATCH($B145,'Portfolio Register'!$DH$5:$DH$304,0))),"")</f>
        <v/>
      </c>
      <c r="D145" s="148" t="str">
        <f>IFERROR(IF(INDEX('Portfolio Register'!$B$5:$B$304,MATCH($B145,'Portfolio Register'!$DH$5:$DH$304,0))="","",INDEX('Portfolio Register'!$B$5:$B$304,MATCH($B145,'Portfolio Register'!$DH$5:$DH$304,0))),"")</f>
        <v/>
      </c>
      <c r="E145" s="148" t="str">
        <f>IFERROR(IF(INDEX('Portfolio Register'!$I$5:$I$304,MATCH($B145,'Portfolio Register'!$DH$5:$DH$304,0))="","",INDEX('Portfolio Register'!$I$5:$I$304,MATCH($B145,'Portfolio Register'!$DH$5:$DH$304,0))),"")</f>
        <v/>
      </c>
      <c r="F145" s="149" t="str">
        <f>IFERROR(IF(INDEX('Portfolio Register'!$J$5:$J$304,MATCH($B145,'Portfolio Register'!$DH$5:$DH$304,0))="","",INDEX('Portfolio Register'!$J$5:$J$304,MATCH($B145,'Portfolio Register'!$DH$5:$DH$304,0))),"")</f>
        <v/>
      </c>
      <c r="G145" s="148" t="str">
        <f>IFERROR(IF(INDEX('Portfolio Register'!$CX$5:$CX$304,MATCH($B145,'Portfolio Register'!$DH$5:$DH$304,0))="","",INDEX('Portfolio Register'!$CX$5:$CX$304,MATCH($B145,'Portfolio Register'!$DH$5:$DH$304,0))),"")</f>
        <v/>
      </c>
      <c r="H145" s="150" t="str">
        <f>IFERROR(IF(INDEX('Portfolio Register'!$CY$5:$CY$304,MATCH($B145,'Portfolio Register'!$DH$5:$DH$304,0))="","",INDEX('Portfolio Register'!$CY$5:$CY$304,MATCH($B145,'Portfolio Register'!$DH$5:$DH$304,0))),"")</f>
        <v/>
      </c>
      <c r="I145" s="148" t="str">
        <f>IFERROR(IF(INDEX('Portfolio Register'!$CZ$5:$CZ$304,MATCH($B145,'Portfolio Register'!$DH$5:$DH$304,0))="","",INDEX('Portfolio Register'!$CZ$5:$CZ$304,MATCH($B145,'Portfolio Register'!$DH$5:$DH$304,0))),"")</f>
        <v/>
      </c>
      <c r="J145" s="148" t="str">
        <f>IFERROR(IF(INDEX('Portfolio Register'!$DA$5:$DA$304,MATCH($B145,'Portfolio Register'!$DH$5:$DH$304,0))="","",INDEX('Portfolio Register'!$DA$5:$DA$304,MATCH($B145,'Portfolio Register'!$DH$5:$DH$304,0))),"")</f>
        <v/>
      </c>
      <c r="K145" s="148" t="str">
        <f>IFERROR(IF(INDEX('Portfolio Register'!$DB$5:$DB$304,MATCH($B145,'Portfolio Register'!$DH$5:$DH$304,0))="","",INDEX('Portfolio Register'!$DB$5:$DB$304,MATCH($B145,'Portfolio Register'!$DH$5:$DH$304,0))),"")</f>
        <v/>
      </c>
      <c r="L145" s="148" t="str">
        <f>IFERROR(IF(INDEX('Portfolio Register'!$DC$5:$DC$304,MATCH($B145,'Portfolio Register'!$DH$5:$DH$304,0))="","",INDEX('Portfolio Register'!$DC$5:$DC$304,MATCH($B145,'Portfolio Register'!$DH$5:$DH$304,0))),"")</f>
        <v/>
      </c>
      <c r="M145" s="151" t="str">
        <f>IFERROR(IF(INDEX('Portfolio Register'!$DD$5:$DD$304,MATCH($B145,'Portfolio Register'!$DH$5:$DH$304,0))="","",INDEX('Portfolio Register'!$DD$5:$DD$304,MATCH($B145,'Portfolio Register'!$DH$5:$DH$304,0))),"")</f>
        <v/>
      </c>
      <c r="N145" s="152" t="str">
        <f ca="1">IF($C145="","",IF($M145&lt;&gt;"",$M145-IFERROR(INDEX('Portfolio Register'!$C$5:$C$304,MATCH($B145,'Portfolio Register'!$DH$5:$DH$304,0)),$M145),TODAY()-IFERROR(INDEX('Portfolio Register'!$C$5:$C$304,MATCH($B145,'Portfolio Register'!$DH$5:$DH$304,0)),TODAY())))</f>
        <v/>
      </c>
      <c r="O145" s="153" t="str">
        <f t="shared" si="3"/>
        <v/>
      </c>
      <c r="P145" s="148" t="str">
        <f>IFERROR(IF(INDEX('Portfolio Register'!$DG$5:$DG$304,MATCH($B145,'Portfolio Register'!$DH$5:$DH$304,0))="","",INDEX('Portfolio Register'!$DG$5:$DG$304,MATCH($B145,'Portfolio Register'!$DH$5:$DH$304,0))),"")</f>
        <v/>
      </c>
      <c r="Q145" s="148" t="str">
        <f>IFERROR(IF(INDEX('Portfolio Register'!$DF$5:$DF$304,MATCH($B145,'Portfolio Register'!$DH$5:$DH$304,0))="","",INDEX('Portfolio Register'!$DF$5:$DF$304,MATCH($B145,'Portfolio Register'!$DH$5:$DH$304,0))),"")</f>
        <v/>
      </c>
    </row>
    <row r="146" spans="2:17" x14ac:dyDescent="0.35">
      <c r="B146" s="58">
        <v>119</v>
      </c>
      <c r="C146" s="142" t="str">
        <f>IFERROR(IF(INDEX('Portfolio Register'!$A$5:$A$304,MATCH($B146,'Portfolio Register'!$DH$5:$DH$304,0))="","",INDEX('Portfolio Register'!$A$5:$A$304,MATCH($B146,'Portfolio Register'!$DH$5:$DH$304,0))),"")</f>
        <v/>
      </c>
      <c r="D146" s="142" t="str">
        <f>IFERROR(IF(INDEX('Portfolio Register'!$B$5:$B$304,MATCH($B146,'Portfolio Register'!$DH$5:$DH$304,0))="","",INDEX('Portfolio Register'!$B$5:$B$304,MATCH($B146,'Portfolio Register'!$DH$5:$DH$304,0))),"")</f>
        <v/>
      </c>
      <c r="E146" s="142" t="str">
        <f>IFERROR(IF(INDEX('Portfolio Register'!$I$5:$I$304,MATCH($B146,'Portfolio Register'!$DH$5:$DH$304,0))="","",INDEX('Portfolio Register'!$I$5:$I$304,MATCH($B146,'Portfolio Register'!$DH$5:$DH$304,0))),"")</f>
        <v/>
      </c>
      <c r="F146" s="143" t="str">
        <f>IFERROR(IF(INDEX('Portfolio Register'!$J$5:$J$304,MATCH($B146,'Portfolio Register'!$DH$5:$DH$304,0))="","",INDEX('Portfolio Register'!$J$5:$J$304,MATCH($B146,'Portfolio Register'!$DH$5:$DH$304,0))),"")</f>
        <v/>
      </c>
      <c r="G146" s="142" t="str">
        <f>IFERROR(IF(INDEX('Portfolio Register'!$CX$5:$CX$304,MATCH($B146,'Portfolio Register'!$DH$5:$DH$304,0))="","",INDEX('Portfolio Register'!$CX$5:$CX$304,MATCH($B146,'Portfolio Register'!$DH$5:$DH$304,0))),"")</f>
        <v/>
      </c>
      <c r="H146" s="144" t="str">
        <f>IFERROR(IF(INDEX('Portfolio Register'!$CY$5:$CY$304,MATCH($B146,'Portfolio Register'!$DH$5:$DH$304,0))="","",INDEX('Portfolio Register'!$CY$5:$CY$304,MATCH($B146,'Portfolio Register'!$DH$5:$DH$304,0))),"")</f>
        <v/>
      </c>
      <c r="I146" s="142" t="str">
        <f>IFERROR(IF(INDEX('Portfolio Register'!$CZ$5:$CZ$304,MATCH($B146,'Portfolio Register'!$DH$5:$DH$304,0))="","",INDEX('Portfolio Register'!$CZ$5:$CZ$304,MATCH($B146,'Portfolio Register'!$DH$5:$DH$304,0))),"")</f>
        <v/>
      </c>
      <c r="J146" s="142" t="str">
        <f>IFERROR(IF(INDEX('Portfolio Register'!$DA$5:$DA$304,MATCH($B146,'Portfolio Register'!$DH$5:$DH$304,0))="","",INDEX('Portfolio Register'!$DA$5:$DA$304,MATCH($B146,'Portfolio Register'!$DH$5:$DH$304,0))),"")</f>
        <v/>
      </c>
      <c r="K146" s="142" t="str">
        <f>IFERROR(IF(INDEX('Portfolio Register'!$DB$5:$DB$304,MATCH($B146,'Portfolio Register'!$DH$5:$DH$304,0))="","",INDEX('Portfolio Register'!$DB$5:$DB$304,MATCH($B146,'Portfolio Register'!$DH$5:$DH$304,0))),"")</f>
        <v/>
      </c>
      <c r="L146" s="142" t="str">
        <f>IFERROR(IF(INDEX('Portfolio Register'!$DC$5:$DC$304,MATCH($B146,'Portfolio Register'!$DH$5:$DH$304,0))="","",INDEX('Portfolio Register'!$DC$5:$DC$304,MATCH($B146,'Portfolio Register'!$DH$5:$DH$304,0))),"")</f>
        <v/>
      </c>
      <c r="M146" s="145" t="str">
        <f>IFERROR(IF(INDEX('Portfolio Register'!$DD$5:$DD$304,MATCH($B146,'Portfolio Register'!$DH$5:$DH$304,0))="","",INDEX('Portfolio Register'!$DD$5:$DD$304,MATCH($B146,'Portfolio Register'!$DH$5:$DH$304,0))),"")</f>
        <v/>
      </c>
      <c r="N146" s="146" t="str">
        <f ca="1">IF($C146="","",IF($M146&lt;&gt;"",$M146-IFERROR(INDEX('Portfolio Register'!$C$5:$C$304,MATCH($B146,'Portfolio Register'!$DH$5:$DH$304,0)),$M146),TODAY()-IFERROR(INDEX('Portfolio Register'!$C$5:$C$304,MATCH($B146,'Portfolio Register'!$DH$5:$DH$304,0)),TODAY())))</f>
        <v/>
      </c>
      <c r="O146" s="147" t="str">
        <f t="shared" si="3"/>
        <v/>
      </c>
      <c r="P146" s="142" t="str">
        <f>IFERROR(IF(INDEX('Portfolio Register'!$DG$5:$DG$304,MATCH($B146,'Portfolio Register'!$DH$5:$DH$304,0))="","",INDEX('Portfolio Register'!$DG$5:$DG$304,MATCH($B146,'Portfolio Register'!$DH$5:$DH$304,0))),"")</f>
        <v/>
      </c>
      <c r="Q146" s="142" t="str">
        <f>IFERROR(IF(INDEX('Portfolio Register'!$DF$5:$DF$304,MATCH($B146,'Portfolio Register'!$DH$5:$DH$304,0))="","",INDEX('Portfolio Register'!$DF$5:$DF$304,MATCH($B146,'Portfolio Register'!$DH$5:$DH$304,0))),"")</f>
        <v/>
      </c>
    </row>
    <row r="147" spans="2:17" x14ac:dyDescent="0.35">
      <c r="B147" s="65">
        <v>120</v>
      </c>
      <c r="C147" s="148" t="str">
        <f>IFERROR(IF(INDEX('Portfolio Register'!$A$5:$A$304,MATCH($B147,'Portfolio Register'!$DH$5:$DH$304,0))="","",INDEX('Portfolio Register'!$A$5:$A$304,MATCH($B147,'Portfolio Register'!$DH$5:$DH$304,0))),"")</f>
        <v/>
      </c>
      <c r="D147" s="148" t="str">
        <f>IFERROR(IF(INDEX('Portfolio Register'!$B$5:$B$304,MATCH($B147,'Portfolio Register'!$DH$5:$DH$304,0))="","",INDEX('Portfolio Register'!$B$5:$B$304,MATCH($B147,'Portfolio Register'!$DH$5:$DH$304,0))),"")</f>
        <v/>
      </c>
      <c r="E147" s="148" t="str">
        <f>IFERROR(IF(INDEX('Portfolio Register'!$I$5:$I$304,MATCH($B147,'Portfolio Register'!$DH$5:$DH$304,0))="","",INDEX('Portfolio Register'!$I$5:$I$304,MATCH($B147,'Portfolio Register'!$DH$5:$DH$304,0))),"")</f>
        <v/>
      </c>
      <c r="F147" s="149" t="str">
        <f>IFERROR(IF(INDEX('Portfolio Register'!$J$5:$J$304,MATCH($B147,'Portfolio Register'!$DH$5:$DH$304,0))="","",INDEX('Portfolio Register'!$J$5:$J$304,MATCH($B147,'Portfolio Register'!$DH$5:$DH$304,0))),"")</f>
        <v/>
      </c>
      <c r="G147" s="148" t="str">
        <f>IFERROR(IF(INDEX('Portfolio Register'!$CX$5:$CX$304,MATCH($B147,'Portfolio Register'!$DH$5:$DH$304,0))="","",INDEX('Portfolio Register'!$CX$5:$CX$304,MATCH($B147,'Portfolio Register'!$DH$5:$DH$304,0))),"")</f>
        <v/>
      </c>
      <c r="H147" s="150" t="str">
        <f>IFERROR(IF(INDEX('Portfolio Register'!$CY$5:$CY$304,MATCH($B147,'Portfolio Register'!$DH$5:$DH$304,0))="","",INDEX('Portfolio Register'!$CY$5:$CY$304,MATCH($B147,'Portfolio Register'!$DH$5:$DH$304,0))),"")</f>
        <v/>
      </c>
      <c r="I147" s="148" t="str">
        <f>IFERROR(IF(INDEX('Portfolio Register'!$CZ$5:$CZ$304,MATCH($B147,'Portfolio Register'!$DH$5:$DH$304,0))="","",INDEX('Portfolio Register'!$CZ$5:$CZ$304,MATCH($B147,'Portfolio Register'!$DH$5:$DH$304,0))),"")</f>
        <v/>
      </c>
      <c r="J147" s="148" t="str">
        <f>IFERROR(IF(INDEX('Portfolio Register'!$DA$5:$DA$304,MATCH($B147,'Portfolio Register'!$DH$5:$DH$304,0))="","",INDEX('Portfolio Register'!$DA$5:$DA$304,MATCH($B147,'Portfolio Register'!$DH$5:$DH$304,0))),"")</f>
        <v/>
      </c>
      <c r="K147" s="148" t="str">
        <f>IFERROR(IF(INDEX('Portfolio Register'!$DB$5:$DB$304,MATCH($B147,'Portfolio Register'!$DH$5:$DH$304,0))="","",INDEX('Portfolio Register'!$DB$5:$DB$304,MATCH($B147,'Portfolio Register'!$DH$5:$DH$304,0))),"")</f>
        <v/>
      </c>
      <c r="L147" s="148" t="str">
        <f>IFERROR(IF(INDEX('Portfolio Register'!$DC$5:$DC$304,MATCH($B147,'Portfolio Register'!$DH$5:$DH$304,0))="","",INDEX('Portfolio Register'!$DC$5:$DC$304,MATCH($B147,'Portfolio Register'!$DH$5:$DH$304,0))),"")</f>
        <v/>
      </c>
      <c r="M147" s="151" t="str">
        <f>IFERROR(IF(INDEX('Portfolio Register'!$DD$5:$DD$304,MATCH($B147,'Portfolio Register'!$DH$5:$DH$304,0))="","",INDEX('Portfolio Register'!$DD$5:$DD$304,MATCH($B147,'Portfolio Register'!$DH$5:$DH$304,0))),"")</f>
        <v/>
      </c>
      <c r="N147" s="152" t="str">
        <f ca="1">IF($C147="","",IF($M147&lt;&gt;"",$M147-IFERROR(INDEX('Portfolio Register'!$C$5:$C$304,MATCH($B147,'Portfolio Register'!$DH$5:$DH$304,0)),$M147),TODAY()-IFERROR(INDEX('Portfolio Register'!$C$5:$C$304,MATCH($B147,'Portfolio Register'!$DH$5:$DH$304,0)),TODAY())))</f>
        <v/>
      </c>
      <c r="O147" s="153" t="str">
        <f t="shared" si="3"/>
        <v/>
      </c>
      <c r="P147" s="148" t="str">
        <f>IFERROR(IF(INDEX('Portfolio Register'!$DG$5:$DG$304,MATCH($B147,'Portfolio Register'!$DH$5:$DH$304,0))="","",INDEX('Portfolio Register'!$DG$5:$DG$304,MATCH($B147,'Portfolio Register'!$DH$5:$DH$304,0))),"")</f>
        <v/>
      </c>
      <c r="Q147" s="148" t="str">
        <f>IFERROR(IF(INDEX('Portfolio Register'!$DF$5:$DF$304,MATCH($B147,'Portfolio Register'!$DH$5:$DH$304,0))="","",INDEX('Portfolio Register'!$DF$5:$DF$304,MATCH($B147,'Portfolio Register'!$DH$5:$DH$304,0))),"")</f>
        <v/>
      </c>
    </row>
    <row r="148" spans="2:17" x14ac:dyDescent="0.35">
      <c r="B148" s="58">
        <v>121</v>
      </c>
      <c r="C148" s="142" t="str">
        <f>IFERROR(IF(INDEX('Portfolio Register'!$A$5:$A$304,MATCH($B148,'Portfolio Register'!$DH$5:$DH$304,0))="","",INDEX('Portfolio Register'!$A$5:$A$304,MATCH($B148,'Portfolio Register'!$DH$5:$DH$304,0))),"")</f>
        <v/>
      </c>
      <c r="D148" s="142" t="str">
        <f>IFERROR(IF(INDEX('Portfolio Register'!$B$5:$B$304,MATCH($B148,'Portfolio Register'!$DH$5:$DH$304,0))="","",INDEX('Portfolio Register'!$B$5:$B$304,MATCH($B148,'Portfolio Register'!$DH$5:$DH$304,0))),"")</f>
        <v/>
      </c>
      <c r="E148" s="142" t="str">
        <f>IFERROR(IF(INDEX('Portfolio Register'!$I$5:$I$304,MATCH($B148,'Portfolio Register'!$DH$5:$DH$304,0))="","",INDEX('Portfolio Register'!$I$5:$I$304,MATCH($B148,'Portfolio Register'!$DH$5:$DH$304,0))),"")</f>
        <v/>
      </c>
      <c r="F148" s="143" t="str">
        <f>IFERROR(IF(INDEX('Portfolio Register'!$J$5:$J$304,MATCH($B148,'Portfolio Register'!$DH$5:$DH$304,0))="","",INDEX('Portfolio Register'!$J$5:$J$304,MATCH($B148,'Portfolio Register'!$DH$5:$DH$304,0))),"")</f>
        <v/>
      </c>
      <c r="G148" s="142" t="str">
        <f>IFERROR(IF(INDEX('Portfolio Register'!$CX$5:$CX$304,MATCH($B148,'Portfolio Register'!$DH$5:$DH$304,0))="","",INDEX('Portfolio Register'!$CX$5:$CX$304,MATCH($B148,'Portfolio Register'!$DH$5:$DH$304,0))),"")</f>
        <v/>
      </c>
      <c r="H148" s="144" t="str">
        <f>IFERROR(IF(INDEX('Portfolio Register'!$CY$5:$CY$304,MATCH($B148,'Portfolio Register'!$DH$5:$DH$304,0))="","",INDEX('Portfolio Register'!$CY$5:$CY$304,MATCH($B148,'Portfolio Register'!$DH$5:$DH$304,0))),"")</f>
        <v/>
      </c>
      <c r="I148" s="142" t="str">
        <f>IFERROR(IF(INDEX('Portfolio Register'!$CZ$5:$CZ$304,MATCH($B148,'Portfolio Register'!$DH$5:$DH$304,0))="","",INDEX('Portfolio Register'!$CZ$5:$CZ$304,MATCH($B148,'Portfolio Register'!$DH$5:$DH$304,0))),"")</f>
        <v/>
      </c>
      <c r="J148" s="142" t="str">
        <f>IFERROR(IF(INDEX('Portfolio Register'!$DA$5:$DA$304,MATCH($B148,'Portfolio Register'!$DH$5:$DH$304,0))="","",INDEX('Portfolio Register'!$DA$5:$DA$304,MATCH($B148,'Portfolio Register'!$DH$5:$DH$304,0))),"")</f>
        <v/>
      </c>
      <c r="K148" s="142" t="str">
        <f>IFERROR(IF(INDEX('Portfolio Register'!$DB$5:$DB$304,MATCH($B148,'Portfolio Register'!$DH$5:$DH$304,0))="","",INDEX('Portfolio Register'!$DB$5:$DB$304,MATCH($B148,'Portfolio Register'!$DH$5:$DH$304,0))),"")</f>
        <v/>
      </c>
      <c r="L148" s="142" t="str">
        <f>IFERROR(IF(INDEX('Portfolio Register'!$DC$5:$DC$304,MATCH($B148,'Portfolio Register'!$DH$5:$DH$304,0))="","",INDEX('Portfolio Register'!$DC$5:$DC$304,MATCH($B148,'Portfolio Register'!$DH$5:$DH$304,0))),"")</f>
        <v/>
      </c>
      <c r="M148" s="145" t="str">
        <f>IFERROR(IF(INDEX('Portfolio Register'!$DD$5:$DD$304,MATCH($B148,'Portfolio Register'!$DH$5:$DH$304,0))="","",INDEX('Portfolio Register'!$DD$5:$DD$304,MATCH($B148,'Portfolio Register'!$DH$5:$DH$304,0))),"")</f>
        <v/>
      </c>
      <c r="N148" s="146" t="str">
        <f ca="1">IF($C148="","",IF($M148&lt;&gt;"",$M148-IFERROR(INDEX('Portfolio Register'!$C$5:$C$304,MATCH($B148,'Portfolio Register'!$DH$5:$DH$304,0)),$M148),TODAY()-IFERROR(INDEX('Portfolio Register'!$C$5:$C$304,MATCH($B148,'Portfolio Register'!$DH$5:$DH$304,0)),TODAY())))</f>
        <v/>
      </c>
      <c r="O148" s="147" t="str">
        <f t="shared" si="3"/>
        <v/>
      </c>
      <c r="P148" s="142" t="str">
        <f>IFERROR(IF(INDEX('Portfolio Register'!$DG$5:$DG$304,MATCH($B148,'Portfolio Register'!$DH$5:$DH$304,0))="","",INDEX('Portfolio Register'!$DG$5:$DG$304,MATCH($B148,'Portfolio Register'!$DH$5:$DH$304,0))),"")</f>
        <v/>
      </c>
      <c r="Q148" s="142" t="str">
        <f>IFERROR(IF(INDEX('Portfolio Register'!$DF$5:$DF$304,MATCH($B148,'Portfolio Register'!$DH$5:$DH$304,0))="","",INDEX('Portfolio Register'!$DF$5:$DF$304,MATCH($B148,'Portfolio Register'!$DH$5:$DH$304,0))),"")</f>
        <v/>
      </c>
    </row>
    <row r="149" spans="2:17" x14ac:dyDescent="0.35">
      <c r="B149" s="65">
        <v>122</v>
      </c>
      <c r="C149" s="148" t="str">
        <f>IFERROR(IF(INDEX('Portfolio Register'!$A$5:$A$304,MATCH($B149,'Portfolio Register'!$DH$5:$DH$304,0))="","",INDEX('Portfolio Register'!$A$5:$A$304,MATCH($B149,'Portfolio Register'!$DH$5:$DH$304,0))),"")</f>
        <v/>
      </c>
      <c r="D149" s="148" t="str">
        <f>IFERROR(IF(INDEX('Portfolio Register'!$B$5:$B$304,MATCH($B149,'Portfolio Register'!$DH$5:$DH$304,0))="","",INDEX('Portfolio Register'!$B$5:$B$304,MATCH($B149,'Portfolio Register'!$DH$5:$DH$304,0))),"")</f>
        <v/>
      </c>
      <c r="E149" s="148" t="str">
        <f>IFERROR(IF(INDEX('Portfolio Register'!$I$5:$I$304,MATCH($B149,'Portfolio Register'!$DH$5:$DH$304,0))="","",INDEX('Portfolio Register'!$I$5:$I$304,MATCH($B149,'Portfolio Register'!$DH$5:$DH$304,0))),"")</f>
        <v/>
      </c>
      <c r="F149" s="149" t="str">
        <f>IFERROR(IF(INDEX('Portfolio Register'!$J$5:$J$304,MATCH($B149,'Portfolio Register'!$DH$5:$DH$304,0))="","",INDEX('Portfolio Register'!$J$5:$J$304,MATCH($B149,'Portfolio Register'!$DH$5:$DH$304,0))),"")</f>
        <v/>
      </c>
      <c r="G149" s="148" t="str">
        <f>IFERROR(IF(INDEX('Portfolio Register'!$CX$5:$CX$304,MATCH($B149,'Portfolio Register'!$DH$5:$DH$304,0))="","",INDEX('Portfolio Register'!$CX$5:$CX$304,MATCH($B149,'Portfolio Register'!$DH$5:$DH$304,0))),"")</f>
        <v/>
      </c>
      <c r="H149" s="150" t="str">
        <f>IFERROR(IF(INDEX('Portfolio Register'!$CY$5:$CY$304,MATCH($B149,'Portfolio Register'!$DH$5:$DH$304,0))="","",INDEX('Portfolio Register'!$CY$5:$CY$304,MATCH($B149,'Portfolio Register'!$DH$5:$DH$304,0))),"")</f>
        <v/>
      </c>
      <c r="I149" s="148" t="str">
        <f>IFERROR(IF(INDEX('Portfolio Register'!$CZ$5:$CZ$304,MATCH($B149,'Portfolio Register'!$DH$5:$DH$304,0))="","",INDEX('Portfolio Register'!$CZ$5:$CZ$304,MATCH($B149,'Portfolio Register'!$DH$5:$DH$304,0))),"")</f>
        <v/>
      </c>
      <c r="J149" s="148" t="str">
        <f>IFERROR(IF(INDEX('Portfolio Register'!$DA$5:$DA$304,MATCH($B149,'Portfolio Register'!$DH$5:$DH$304,0))="","",INDEX('Portfolio Register'!$DA$5:$DA$304,MATCH($B149,'Portfolio Register'!$DH$5:$DH$304,0))),"")</f>
        <v/>
      </c>
      <c r="K149" s="148" t="str">
        <f>IFERROR(IF(INDEX('Portfolio Register'!$DB$5:$DB$304,MATCH($B149,'Portfolio Register'!$DH$5:$DH$304,0))="","",INDEX('Portfolio Register'!$DB$5:$DB$304,MATCH($B149,'Portfolio Register'!$DH$5:$DH$304,0))),"")</f>
        <v/>
      </c>
      <c r="L149" s="148" t="str">
        <f>IFERROR(IF(INDEX('Portfolio Register'!$DC$5:$DC$304,MATCH($B149,'Portfolio Register'!$DH$5:$DH$304,0))="","",INDEX('Portfolio Register'!$DC$5:$DC$304,MATCH($B149,'Portfolio Register'!$DH$5:$DH$304,0))),"")</f>
        <v/>
      </c>
      <c r="M149" s="151" t="str">
        <f>IFERROR(IF(INDEX('Portfolio Register'!$DD$5:$DD$304,MATCH($B149,'Portfolio Register'!$DH$5:$DH$304,0))="","",INDEX('Portfolio Register'!$DD$5:$DD$304,MATCH($B149,'Portfolio Register'!$DH$5:$DH$304,0))),"")</f>
        <v/>
      </c>
      <c r="N149" s="152" t="str">
        <f ca="1">IF($C149="","",IF($M149&lt;&gt;"",$M149-IFERROR(INDEX('Portfolio Register'!$C$5:$C$304,MATCH($B149,'Portfolio Register'!$DH$5:$DH$304,0)),$M149),TODAY()-IFERROR(INDEX('Portfolio Register'!$C$5:$C$304,MATCH($B149,'Portfolio Register'!$DH$5:$DH$304,0)),TODAY())))</f>
        <v/>
      </c>
      <c r="O149" s="153" t="str">
        <f t="shared" si="3"/>
        <v/>
      </c>
      <c r="P149" s="148" t="str">
        <f>IFERROR(IF(INDEX('Portfolio Register'!$DG$5:$DG$304,MATCH($B149,'Portfolio Register'!$DH$5:$DH$304,0))="","",INDEX('Portfolio Register'!$DG$5:$DG$304,MATCH($B149,'Portfolio Register'!$DH$5:$DH$304,0))),"")</f>
        <v/>
      </c>
      <c r="Q149" s="148" t="str">
        <f>IFERROR(IF(INDEX('Portfolio Register'!$DF$5:$DF$304,MATCH($B149,'Portfolio Register'!$DH$5:$DH$304,0))="","",INDEX('Portfolio Register'!$DF$5:$DF$304,MATCH($B149,'Portfolio Register'!$DH$5:$DH$304,0))),"")</f>
        <v/>
      </c>
    </row>
    <row r="150" spans="2:17" x14ac:dyDescent="0.35">
      <c r="B150" s="58">
        <v>123</v>
      </c>
      <c r="C150" s="142" t="str">
        <f>IFERROR(IF(INDEX('Portfolio Register'!$A$5:$A$304,MATCH($B150,'Portfolio Register'!$DH$5:$DH$304,0))="","",INDEX('Portfolio Register'!$A$5:$A$304,MATCH($B150,'Portfolio Register'!$DH$5:$DH$304,0))),"")</f>
        <v/>
      </c>
      <c r="D150" s="142" t="str">
        <f>IFERROR(IF(INDEX('Portfolio Register'!$B$5:$B$304,MATCH($B150,'Portfolio Register'!$DH$5:$DH$304,0))="","",INDEX('Portfolio Register'!$B$5:$B$304,MATCH($B150,'Portfolio Register'!$DH$5:$DH$304,0))),"")</f>
        <v/>
      </c>
      <c r="E150" s="142" t="str">
        <f>IFERROR(IF(INDEX('Portfolio Register'!$I$5:$I$304,MATCH($B150,'Portfolio Register'!$DH$5:$DH$304,0))="","",INDEX('Portfolio Register'!$I$5:$I$304,MATCH($B150,'Portfolio Register'!$DH$5:$DH$304,0))),"")</f>
        <v/>
      </c>
      <c r="F150" s="143" t="str">
        <f>IFERROR(IF(INDEX('Portfolio Register'!$J$5:$J$304,MATCH($B150,'Portfolio Register'!$DH$5:$DH$304,0))="","",INDEX('Portfolio Register'!$J$5:$J$304,MATCH($B150,'Portfolio Register'!$DH$5:$DH$304,0))),"")</f>
        <v/>
      </c>
      <c r="G150" s="142" t="str">
        <f>IFERROR(IF(INDEX('Portfolio Register'!$CX$5:$CX$304,MATCH($B150,'Portfolio Register'!$DH$5:$DH$304,0))="","",INDEX('Portfolio Register'!$CX$5:$CX$304,MATCH($B150,'Portfolio Register'!$DH$5:$DH$304,0))),"")</f>
        <v/>
      </c>
      <c r="H150" s="144" t="str">
        <f>IFERROR(IF(INDEX('Portfolio Register'!$CY$5:$CY$304,MATCH($B150,'Portfolio Register'!$DH$5:$DH$304,0))="","",INDEX('Portfolio Register'!$CY$5:$CY$304,MATCH($B150,'Portfolio Register'!$DH$5:$DH$304,0))),"")</f>
        <v/>
      </c>
      <c r="I150" s="142" t="str">
        <f>IFERROR(IF(INDEX('Portfolio Register'!$CZ$5:$CZ$304,MATCH($B150,'Portfolio Register'!$DH$5:$DH$304,0))="","",INDEX('Portfolio Register'!$CZ$5:$CZ$304,MATCH($B150,'Portfolio Register'!$DH$5:$DH$304,0))),"")</f>
        <v/>
      </c>
      <c r="J150" s="142" t="str">
        <f>IFERROR(IF(INDEX('Portfolio Register'!$DA$5:$DA$304,MATCH($B150,'Portfolio Register'!$DH$5:$DH$304,0))="","",INDEX('Portfolio Register'!$DA$5:$DA$304,MATCH($B150,'Portfolio Register'!$DH$5:$DH$304,0))),"")</f>
        <v/>
      </c>
      <c r="K150" s="142" t="str">
        <f>IFERROR(IF(INDEX('Portfolio Register'!$DB$5:$DB$304,MATCH($B150,'Portfolio Register'!$DH$5:$DH$304,0))="","",INDEX('Portfolio Register'!$DB$5:$DB$304,MATCH($B150,'Portfolio Register'!$DH$5:$DH$304,0))),"")</f>
        <v/>
      </c>
      <c r="L150" s="142" t="str">
        <f>IFERROR(IF(INDEX('Portfolio Register'!$DC$5:$DC$304,MATCH($B150,'Portfolio Register'!$DH$5:$DH$304,0))="","",INDEX('Portfolio Register'!$DC$5:$DC$304,MATCH($B150,'Portfolio Register'!$DH$5:$DH$304,0))),"")</f>
        <v/>
      </c>
      <c r="M150" s="145" t="str">
        <f>IFERROR(IF(INDEX('Portfolio Register'!$DD$5:$DD$304,MATCH($B150,'Portfolio Register'!$DH$5:$DH$304,0))="","",INDEX('Portfolio Register'!$DD$5:$DD$304,MATCH($B150,'Portfolio Register'!$DH$5:$DH$304,0))),"")</f>
        <v/>
      </c>
      <c r="N150" s="146" t="str">
        <f ca="1">IF($C150="","",IF($M150&lt;&gt;"",$M150-IFERROR(INDEX('Portfolio Register'!$C$5:$C$304,MATCH($B150,'Portfolio Register'!$DH$5:$DH$304,0)),$M150),TODAY()-IFERROR(INDEX('Portfolio Register'!$C$5:$C$304,MATCH($B150,'Portfolio Register'!$DH$5:$DH$304,0)),TODAY())))</f>
        <v/>
      </c>
      <c r="O150" s="147" t="str">
        <f t="shared" si="3"/>
        <v/>
      </c>
      <c r="P150" s="142" t="str">
        <f>IFERROR(IF(INDEX('Portfolio Register'!$DG$5:$DG$304,MATCH($B150,'Portfolio Register'!$DH$5:$DH$304,0))="","",INDEX('Portfolio Register'!$DG$5:$DG$304,MATCH($B150,'Portfolio Register'!$DH$5:$DH$304,0))),"")</f>
        <v/>
      </c>
      <c r="Q150" s="142" t="str">
        <f>IFERROR(IF(INDEX('Portfolio Register'!$DF$5:$DF$304,MATCH($B150,'Portfolio Register'!$DH$5:$DH$304,0))="","",INDEX('Portfolio Register'!$DF$5:$DF$304,MATCH($B150,'Portfolio Register'!$DH$5:$DH$304,0))),"")</f>
        <v/>
      </c>
    </row>
    <row r="151" spans="2:17" x14ac:dyDescent="0.35">
      <c r="B151" s="65">
        <v>124</v>
      </c>
      <c r="C151" s="148" t="str">
        <f>IFERROR(IF(INDEX('Portfolio Register'!$A$5:$A$304,MATCH($B151,'Portfolio Register'!$DH$5:$DH$304,0))="","",INDEX('Portfolio Register'!$A$5:$A$304,MATCH($B151,'Portfolio Register'!$DH$5:$DH$304,0))),"")</f>
        <v/>
      </c>
      <c r="D151" s="148" t="str">
        <f>IFERROR(IF(INDEX('Portfolio Register'!$B$5:$B$304,MATCH($B151,'Portfolio Register'!$DH$5:$DH$304,0))="","",INDEX('Portfolio Register'!$B$5:$B$304,MATCH($B151,'Portfolio Register'!$DH$5:$DH$304,0))),"")</f>
        <v/>
      </c>
      <c r="E151" s="148" t="str">
        <f>IFERROR(IF(INDEX('Portfolio Register'!$I$5:$I$304,MATCH($B151,'Portfolio Register'!$DH$5:$DH$304,0))="","",INDEX('Portfolio Register'!$I$5:$I$304,MATCH($B151,'Portfolio Register'!$DH$5:$DH$304,0))),"")</f>
        <v/>
      </c>
      <c r="F151" s="149" t="str">
        <f>IFERROR(IF(INDEX('Portfolio Register'!$J$5:$J$304,MATCH($B151,'Portfolio Register'!$DH$5:$DH$304,0))="","",INDEX('Portfolio Register'!$J$5:$J$304,MATCH($B151,'Portfolio Register'!$DH$5:$DH$304,0))),"")</f>
        <v/>
      </c>
      <c r="G151" s="148" t="str">
        <f>IFERROR(IF(INDEX('Portfolio Register'!$CX$5:$CX$304,MATCH($B151,'Portfolio Register'!$DH$5:$DH$304,0))="","",INDEX('Portfolio Register'!$CX$5:$CX$304,MATCH($B151,'Portfolio Register'!$DH$5:$DH$304,0))),"")</f>
        <v/>
      </c>
      <c r="H151" s="150" t="str">
        <f>IFERROR(IF(INDEX('Portfolio Register'!$CY$5:$CY$304,MATCH($B151,'Portfolio Register'!$DH$5:$DH$304,0))="","",INDEX('Portfolio Register'!$CY$5:$CY$304,MATCH($B151,'Portfolio Register'!$DH$5:$DH$304,0))),"")</f>
        <v/>
      </c>
      <c r="I151" s="148" t="str">
        <f>IFERROR(IF(INDEX('Portfolio Register'!$CZ$5:$CZ$304,MATCH($B151,'Portfolio Register'!$DH$5:$DH$304,0))="","",INDEX('Portfolio Register'!$CZ$5:$CZ$304,MATCH($B151,'Portfolio Register'!$DH$5:$DH$304,0))),"")</f>
        <v/>
      </c>
      <c r="J151" s="148" t="str">
        <f>IFERROR(IF(INDEX('Portfolio Register'!$DA$5:$DA$304,MATCH($B151,'Portfolio Register'!$DH$5:$DH$304,0))="","",INDEX('Portfolio Register'!$DA$5:$DA$304,MATCH($B151,'Portfolio Register'!$DH$5:$DH$304,0))),"")</f>
        <v/>
      </c>
      <c r="K151" s="148" t="str">
        <f>IFERROR(IF(INDEX('Portfolio Register'!$DB$5:$DB$304,MATCH($B151,'Portfolio Register'!$DH$5:$DH$304,0))="","",INDEX('Portfolio Register'!$DB$5:$DB$304,MATCH($B151,'Portfolio Register'!$DH$5:$DH$304,0))),"")</f>
        <v/>
      </c>
      <c r="L151" s="148" t="str">
        <f>IFERROR(IF(INDEX('Portfolio Register'!$DC$5:$DC$304,MATCH($B151,'Portfolio Register'!$DH$5:$DH$304,0))="","",INDEX('Portfolio Register'!$DC$5:$DC$304,MATCH($B151,'Portfolio Register'!$DH$5:$DH$304,0))),"")</f>
        <v/>
      </c>
      <c r="M151" s="151" t="str">
        <f>IFERROR(IF(INDEX('Portfolio Register'!$DD$5:$DD$304,MATCH($B151,'Portfolio Register'!$DH$5:$DH$304,0))="","",INDEX('Portfolio Register'!$DD$5:$DD$304,MATCH($B151,'Portfolio Register'!$DH$5:$DH$304,0))),"")</f>
        <v/>
      </c>
      <c r="N151" s="152" t="str">
        <f ca="1">IF($C151="","",IF($M151&lt;&gt;"",$M151-IFERROR(INDEX('Portfolio Register'!$C$5:$C$304,MATCH($B151,'Portfolio Register'!$DH$5:$DH$304,0)),$M151),TODAY()-IFERROR(INDEX('Portfolio Register'!$C$5:$C$304,MATCH($B151,'Portfolio Register'!$DH$5:$DH$304,0)),TODAY())))</f>
        <v/>
      </c>
      <c r="O151" s="153" t="str">
        <f t="shared" si="3"/>
        <v/>
      </c>
      <c r="P151" s="148" t="str">
        <f>IFERROR(IF(INDEX('Portfolio Register'!$DG$5:$DG$304,MATCH($B151,'Portfolio Register'!$DH$5:$DH$304,0))="","",INDEX('Portfolio Register'!$DG$5:$DG$304,MATCH($B151,'Portfolio Register'!$DH$5:$DH$304,0))),"")</f>
        <v/>
      </c>
      <c r="Q151" s="148" t="str">
        <f>IFERROR(IF(INDEX('Portfolio Register'!$DF$5:$DF$304,MATCH($B151,'Portfolio Register'!$DH$5:$DH$304,0))="","",INDEX('Portfolio Register'!$DF$5:$DF$304,MATCH($B151,'Portfolio Register'!$DH$5:$DH$304,0))),"")</f>
        <v/>
      </c>
    </row>
    <row r="152" spans="2:17" x14ac:dyDescent="0.35">
      <c r="B152" s="58">
        <v>125</v>
      </c>
      <c r="C152" s="142" t="str">
        <f>IFERROR(IF(INDEX('Portfolio Register'!$A$5:$A$304,MATCH($B152,'Portfolio Register'!$DH$5:$DH$304,0))="","",INDEX('Portfolio Register'!$A$5:$A$304,MATCH($B152,'Portfolio Register'!$DH$5:$DH$304,0))),"")</f>
        <v/>
      </c>
      <c r="D152" s="142" t="str">
        <f>IFERROR(IF(INDEX('Portfolio Register'!$B$5:$B$304,MATCH($B152,'Portfolio Register'!$DH$5:$DH$304,0))="","",INDEX('Portfolio Register'!$B$5:$B$304,MATCH($B152,'Portfolio Register'!$DH$5:$DH$304,0))),"")</f>
        <v/>
      </c>
      <c r="E152" s="142" t="str">
        <f>IFERROR(IF(INDEX('Portfolio Register'!$I$5:$I$304,MATCH($B152,'Portfolio Register'!$DH$5:$DH$304,0))="","",INDEX('Portfolio Register'!$I$5:$I$304,MATCH($B152,'Portfolio Register'!$DH$5:$DH$304,0))),"")</f>
        <v/>
      </c>
      <c r="F152" s="143" t="str">
        <f>IFERROR(IF(INDEX('Portfolio Register'!$J$5:$J$304,MATCH($B152,'Portfolio Register'!$DH$5:$DH$304,0))="","",INDEX('Portfolio Register'!$J$5:$J$304,MATCH($B152,'Portfolio Register'!$DH$5:$DH$304,0))),"")</f>
        <v/>
      </c>
      <c r="G152" s="142" t="str">
        <f>IFERROR(IF(INDEX('Portfolio Register'!$CX$5:$CX$304,MATCH($B152,'Portfolio Register'!$DH$5:$DH$304,0))="","",INDEX('Portfolio Register'!$CX$5:$CX$304,MATCH($B152,'Portfolio Register'!$DH$5:$DH$304,0))),"")</f>
        <v/>
      </c>
      <c r="H152" s="144" t="str">
        <f>IFERROR(IF(INDEX('Portfolio Register'!$CY$5:$CY$304,MATCH($B152,'Portfolio Register'!$DH$5:$DH$304,0))="","",INDEX('Portfolio Register'!$CY$5:$CY$304,MATCH($B152,'Portfolio Register'!$DH$5:$DH$304,0))),"")</f>
        <v/>
      </c>
      <c r="I152" s="142" t="str">
        <f>IFERROR(IF(INDEX('Portfolio Register'!$CZ$5:$CZ$304,MATCH($B152,'Portfolio Register'!$DH$5:$DH$304,0))="","",INDEX('Portfolio Register'!$CZ$5:$CZ$304,MATCH($B152,'Portfolio Register'!$DH$5:$DH$304,0))),"")</f>
        <v/>
      </c>
      <c r="J152" s="142" t="str">
        <f>IFERROR(IF(INDEX('Portfolio Register'!$DA$5:$DA$304,MATCH($B152,'Portfolio Register'!$DH$5:$DH$304,0))="","",INDEX('Portfolio Register'!$DA$5:$DA$304,MATCH($B152,'Portfolio Register'!$DH$5:$DH$304,0))),"")</f>
        <v/>
      </c>
      <c r="K152" s="142" t="str">
        <f>IFERROR(IF(INDEX('Portfolio Register'!$DB$5:$DB$304,MATCH($B152,'Portfolio Register'!$DH$5:$DH$304,0))="","",INDEX('Portfolio Register'!$DB$5:$DB$304,MATCH($B152,'Portfolio Register'!$DH$5:$DH$304,0))),"")</f>
        <v/>
      </c>
      <c r="L152" s="142" t="str">
        <f>IFERROR(IF(INDEX('Portfolio Register'!$DC$5:$DC$304,MATCH($B152,'Portfolio Register'!$DH$5:$DH$304,0))="","",INDEX('Portfolio Register'!$DC$5:$DC$304,MATCH($B152,'Portfolio Register'!$DH$5:$DH$304,0))),"")</f>
        <v/>
      </c>
      <c r="M152" s="145" t="str">
        <f>IFERROR(IF(INDEX('Portfolio Register'!$DD$5:$DD$304,MATCH($B152,'Portfolio Register'!$DH$5:$DH$304,0))="","",INDEX('Portfolio Register'!$DD$5:$DD$304,MATCH($B152,'Portfolio Register'!$DH$5:$DH$304,0))),"")</f>
        <v/>
      </c>
      <c r="N152" s="146" t="str">
        <f ca="1">IF($C152="","",IF($M152&lt;&gt;"",$M152-IFERROR(INDEX('Portfolio Register'!$C$5:$C$304,MATCH($B152,'Portfolio Register'!$DH$5:$DH$304,0)),$M152),TODAY()-IFERROR(INDEX('Portfolio Register'!$C$5:$C$304,MATCH($B152,'Portfolio Register'!$DH$5:$DH$304,0)),TODAY())))</f>
        <v/>
      </c>
      <c r="O152" s="147" t="str">
        <f t="shared" si="3"/>
        <v/>
      </c>
      <c r="P152" s="142" t="str">
        <f>IFERROR(IF(INDEX('Portfolio Register'!$DG$5:$DG$304,MATCH($B152,'Portfolio Register'!$DH$5:$DH$304,0))="","",INDEX('Portfolio Register'!$DG$5:$DG$304,MATCH($B152,'Portfolio Register'!$DH$5:$DH$304,0))),"")</f>
        <v/>
      </c>
      <c r="Q152" s="142" t="str">
        <f>IFERROR(IF(INDEX('Portfolio Register'!$DF$5:$DF$304,MATCH($B152,'Portfolio Register'!$DH$5:$DH$304,0))="","",INDEX('Portfolio Register'!$DF$5:$DF$304,MATCH($B152,'Portfolio Register'!$DH$5:$DH$304,0))),"")</f>
        <v/>
      </c>
    </row>
    <row r="153" spans="2:17" x14ac:dyDescent="0.35">
      <c r="B153" s="65">
        <v>126</v>
      </c>
      <c r="C153" s="148" t="str">
        <f>IFERROR(IF(INDEX('Portfolio Register'!$A$5:$A$304,MATCH($B153,'Portfolio Register'!$DH$5:$DH$304,0))="","",INDEX('Portfolio Register'!$A$5:$A$304,MATCH($B153,'Portfolio Register'!$DH$5:$DH$304,0))),"")</f>
        <v/>
      </c>
      <c r="D153" s="148" t="str">
        <f>IFERROR(IF(INDEX('Portfolio Register'!$B$5:$B$304,MATCH($B153,'Portfolio Register'!$DH$5:$DH$304,0))="","",INDEX('Portfolio Register'!$B$5:$B$304,MATCH($B153,'Portfolio Register'!$DH$5:$DH$304,0))),"")</f>
        <v/>
      </c>
      <c r="E153" s="148" t="str">
        <f>IFERROR(IF(INDEX('Portfolio Register'!$I$5:$I$304,MATCH($B153,'Portfolio Register'!$DH$5:$DH$304,0))="","",INDEX('Portfolio Register'!$I$5:$I$304,MATCH($B153,'Portfolio Register'!$DH$5:$DH$304,0))),"")</f>
        <v/>
      </c>
      <c r="F153" s="149" t="str">
        <f>IFERROR(IF(INDEX('Portfolio Register'!$J$5:$J$304,MATCH($B153,'Portfolio Register'!$DH$5:$DH$304,0))="","",INDEX('Portfolio Register'!$J$5:$J$304,MATCH($B153,'Portfolio Register'!$DH$5:$DH$304,0))),"")</f>
        <v/>
      </c>
      <c r="G153" s="148" t="str">
        <f>IFERROR(IF(INDEX('Portfolio Register'!$CX$5:$CX$304,MATCH($B153,'Portfolio Register'!$DH$5:$DH$304,0))="","",INDEX('Portfolio Register'!$CX$5:$CX$304,MATCH($B153,'Portfolio Register'!$DH$5:$DH$304,0))),"")</f>
        <v/>
      </c>
      <c r="H153" s="150" t="str">
        <f>IFERROR(IF(INDEX('Portfolio Register'!$CY$5:$CY$304,MATCH($B153,'Portfolio Register'!$DH$5:$DH$304,0))="","",INDEX('Portfolio Register'!$CY$5:$CY$304,MATCH($B153,'Portfolio Register'!$DH$5:$DH$304,0))),"")</f>
        <v/>
      </c>
      <c r="I153" s="148" t="str">
        <f>IFERROR(IF(INDEX('Portfolio Register'!$CZ$5:$CZ$304,MATCH($B153,'Portfolio Register'!$DH$5:$DH$304,0))="","",INDEX('Portfolio Register'!$CZ$5:$CZ$304,MATCH($B153,'Portfolio Register'!$DH$5:$DH$304,0))),"")</f>
        <v/>
      </c>
      <c r="J153" s="148" t="str">
        <f>IFERROR(IF(INDEX('Portfolio Register'!$DA$5:$DA$304,MATCH($B153,'Portfolio Register'!$DH$5:$DH$304,0))="","",INDEX('Portfolio Register'!$DA$5:$DA$304,MATCH($B153,'Portfolio Register'!$DH$5:$DH$304,0))),"")</f>
        <v/>
      </c>
      <c r="K153" s="148" t="str">
        <f>IFERROR(IF(INDEX('Portfolio Register'!$DB$5:$DB$304,MATCH($B153,'Portfolio Register'!$DH$5:$DH$304,0))="","",INDEX('Portfolio Register'!$DB$5:$DB$304,MATCH($B153,'Portfolio Register'!$DH$5:$DH$304,0))),"")</f>
        <v/>
      </c>
      <c r="L153" s="148" t="str">
        <f>IFERROR(IF(INDEX('Portfolio Register'!$DC$5:$DC$304,MATCH($B153,'Portfolio Register'!$DH$5:$DH$304,0))="","",INDEX('Portfolio Register'!$DC$5:$DC$304,MATCH($B153,'Portfolio Register'!$DH$5:$DH$304,0))),"")</f>
        <v/>
      </c>
      <c r="M153" s="151" t="str">
        <f>IFERROR(IF(INDEX('Portfolio Register'!$DD$5:$DD$304,MATCH($B153,'Portfolio Register'!$DH$5:$DH$304,0))="","",INDEX('Portfolio Register'!$DD$5:$DD$304,MATCH($B153,'Portfolio Register'!$DH$5:$DH$304,0))),"")</f>
        <v/>
      </c>
      <c r="N153" s="152" t="str">
        <f ca="1">IF($C153="","",IF($M153&lt;&gt;"",$M153-IFERROR(INDEX('Portfolio Register'!$C$5:$C$304,MATCH($B153,'Portfolio Register'!$DH$5:$DH$304,0)),$M153),TODAY()-IFERROR(INDEX('Portfolio Register'!$C$5:$C$304,MATCH($B153,'Portfolio Register'!$DH$5:$DH$304,0)),TODAY())))</f>
        <v/>
      </c>
      <c r="O153" s="153" t="str">
        <f t="shared" si="3"/>
        <v/>
      </c>
      <c r="P153" s="148" t="str">
        <f>IFERROR(IF(INDEX('Portfolio Register'!$DG$5:$DG$304,MATCH($B153,'Portfolio Register'!$DH$5:$DH$304,0))="","",INDEX('Portfolio Register'!$DG$5:$DG$304,MATCH($B153,'Portfolio Register'!$DH$5:$DH$304,0))),"")</f>
        <v/>
      </c>
      <c r="Q153" s="148" t="str">
        <f>IFERROR(IF(INDEX('Portfolio Register'!$DF$5:$DF$304,MATCH($B153,'Portfolio Register'!$DH$5:$DH$304,0))="","",INDEX('Portfolio Register'!$DF$5:$DF$304,MATCH($B153,'Portfolio Register'!$DH$5:$DH$304,0))),"")</f>
        <v/>
      </c>
    </row>
    <row r="154" spans="2:17" x14ac:dyDescent="0.35">
      <c r="B154" s="58">
        <v>127</v>
      </c>
      <c r="C154" s="142" t="str">
        <f>IFERROR(IF(INDEX('Portfolio Register'!$A$5:$A$304,MATCH($B154,'Portfolio Register'!$DH$5:$DH$304,0))="","",INDEX('Portfolio Register'!$A$5:$A$304,MATCH($B154,'Portfolio Register'!$DH$5:$DH$304,0))),"")</f>
        <v/>
      </c>
      <c r="D154" s="142" t="str">
        <f>IFERROR(IF(INDEX('Portfolio Register'!$B$5:$B$304,MATCH($B154,'Portfolio Register'!$DH$5:$DH$304,0))="","",INDEX('Portfolio Register'!$B$5:$B$304,MATCH($B154,'Portfolio Register'!$DH$5:$DH$304,0))),"")</f>
        <v/>
      </c>
      <c r="E154" s="142" t="str">
        <f>IFERROR(IF(INDEX('Portfolio Register'!$I$5:$I$304,MATCH($B154,'Portfolio Register'!$DH$5:$DH$304,0))="","",INDEX('Portfolio Register'!$I$5:$I$304,MATCH($B154,'Portfolio Register'!$DH$5:$DH$304,0))),"")</f>
        <v/>
      </c>
      <c r="F154" s="143" t="str">
        <f>IFERROR(IF(INDEX('Portfolio Register'!$J$5:$J$304,MATCH($B154,'Portfolio Register'!$DH$5:$DH$304,0))="","",INDEX('Portfolio Register'!$J$5:$J$304,MATCH($B154,'Portfolio Register'!$DH$5:$DH$304,0))),"")</f>
        <v/>
      </c>
      <c r="G154" s="142" t="str">
        <f>IFERROR(IF(INDEX('Portfolio Register'!$CX$5:$CX$304,MATCH($B154,'Portfolio Register'!$DH$5:$DH$304,0))="","",INDEX('Portfolio Register'!$CX$5:$CX$304,MATCH($B154,'Portfolio Register'!$DH$5:$DH$304,0))),"")</f>
        <v/>
      </c>
      <c r="H154" s="144" t="str">
        <f>IFERROR(IF(INDEX('Portfolio Register'!$CY$5:$CY$304,MATCH($B154,'Portfolio Register'!$DH$5:$DH$304,0))="","",INDEX('Portfolio Register'!$CY$5:$CY$304,MATCH($B154,'Portfolio Register'!$DH$5:$DH$304,0))),"")</f>
        <v/>
      </c>
      <c r="I154" s="142" t="str">
        <f>IFERROR(IF(INDEX('Portfolio Register'!$CZ$5:$CZ$304,MATCH($B154,'Portfolio Register'!$DH$5:$DH$304,0))="","",INDEX('Portfolio Register'!$CZ$5:$CZ$304,MATCH($B154,'Portfolio Register'!$DH$5:$DH$304,0))),"")</f>
        <v/>
      </c>
      <c r="J154" s="142" t="str">
        <f>IFERROR(IF(INDEX('Portfolio Register'!$DA$5:$DA$304,MATCH($B154,'Portfolio Register'!$DH$5:$DH$304,0))="","",INDEX('Portfolio Register'!$DA$5:$DA$304,MATCH($B154,'Portfolio Register'!$DH$5:$DH$304,0))),"")</f>
        <v/>
      </c>
      <c r="K154" s="142" t="str">
        <f>IFERROR(IF(INDEX('Portfolio Register'!$DB$5:$DB$304,MATCH($B154,'Portfolio Register'!$DH$5:$DH$304,0))="","",INDEX('Portfolio Register'!$DB$5:$DB$304,MATCH($B154,'Portfolio Register'!$DH$5:$DH$304,0))),"")</f>
        <v/>
      </c>
      <c r="L154" s="142" t="str">
        <f>IFERROR(IF(INDEX('Portfolio Register'!$DC$5:$DC$304,MATCH($B154,'Portfolio Register'!$DH$5:$DH$304,0))="","",INDEX('Portfolio Register'!$DC$5:$DC$304,MATCH($B154,'Portfolio Register'!$DH$5:$DH$304,0))),"")</f>
        <v/>
      </c>
      <c r="M154" s="145" t="str">
        <f>IFERROR(IF(INDEX('Portfolio Register'!$DD$5:$DD$304,MATCH($B154,'Portfolio Register'!$DH$5:$DH$304,0))="","",INDEX('Portfolio Register'!$DD$5:$DD$304,MATCH($B154,'Portfolio Register'!$DH$5:$DH$304,0))),"")</f>
        <v/>
      </c>
      <c r="N154" s="146" t="str">
        <f ca="1">IF($C154="","",IF($M154&lt;&gt;"",$M154-IFERROR(INDEX('Portfolio Register'!$C$5:$C$304,MATCH($B154,'Portfolio Register'!$DH$5:$DH$304,0)),$M154),TODAY()-IFERROR(INDEX('Portfolio Register'!$C$5:$C$304,MATCH($B154,'Portfolio Register'!$DH$5:$DH$304,0)),TODAY())))</f>
        <v/>
      </c>
      <c r="O154" s="147" t="str">
        <f t="shared" si="3"/>
        <v/>
      </c>
      <c r="P154" s="142" t="str">
        <f>IFERROR(IF(INDEX('Portfolio Register'!$DG$5:$DG$304,MATCH($B154,'Portfolio Register'!$DH$5:$DH$304,0))="","",INDEX('Portfolio Register'!$DG$5:$DG$304,MATCH($B154,'Portfolio Register'!$DH$5:$DH$304,0))),"")</f>
        <v/>
      </c>
      <c r="Q154" s="142" t="str">
        <f>IFERROR(IF(INDEX('Portfolio Register'!$DF$5:$DF$304,MATCH($B154,'Portfolio Register'!$DH$5:$DH$304,0))="","",INDEX('Portfolio Register'!$DF$5:$DF$304,MATCH($B154,'Portfolio Register'!$DH$5:$DH$304,0))),"")</f>
        <v/>
      </c>
    </row>
    <row r="155" spans="2:17" x14ac:dyDescent="0.35">
      <c r="B155" s="65">
        <v>128</v>
      </c>
      <c r="C155" s="148" t="str">
        <f>IFERROR(IF(INDEX('Portfolio Register'!$A$5:$A$304,MATCH($B155,'Portfolio Register'!$DH$5:$DH$304,0))="","",INDEX('Portfolio Register'!$A$5:$A$304,MATCH($B155,'Portfolio Register'!$DH$5:$DH$304,0))),"")</f>
        <v/>
      </c>
      <c r="D155" s="148" t="str">
        <f>IFERROR(IF(INDEX('Portfolio Register'!$B$5:$B$304,MATCH($B155,'Portfolio Register'!$DH$5:$DH$304,0))="","",INDEX('Portfolio Register'!$B$5:$B$304,MATCH($B155,'Portfolio Register'!$DH$5:$DH$304,0))),"")</f>
        <v/>
      </c>
      <c r="E155" s="148" t="str">
        <f>IFERROR(IF(INDEX('Portfolio Register'!$I$5:$I$304,MATCH($B155,'Portfolio Register'!$DH$5:$DH$304,0))="","",INDEX('Portfolio Register'!$I$5:$I$304,MATCH($B155,'Portfolio Register'!$DH$5:$DH$304,0))),"")</f>
        <v/>
      </c>
      <c r="F155" s="149" t="str">
        <f>IFERROR(IF(INDEX('Portfolio Register'!$J$5:$J$304,MATCH($B155,'Portfolio Register'!$DH$5:$DH$304,0))="","",INDEX('Portfolio Register'!$J$5:$J$304,MATCH($B155,'Portfolio Register'!$DH$5:$DH$304,0))),"")</f>
        <v/>
      </c>
      <c r="G155" s="148" t="str">
        <f>IFERROR(IF(INDEX('Portfolio Register'!$CX$5:$CX$304,MATCH($B155,'Portfolio Register'!$DH$5:$DH$304,0))="","",INDEX('Portfolio Register'!$CX$5:$CX$304,MATCH($B155,'Portfolio Register'!$DH$5:$DH$304,0))),"")</f>
        <v/>
      </c>
      <c r="H155" s="150" t="str">
        <f>IFERROR(IF(INDEX('Portfolio Register'!$CY$5:$CY$304,MATCH($B155,'Portfolio Register'!$DH$5:$DH$304,0))="","",INDEX('Portfolio Register'!$CY$5:$CY$304,MATCH($B155,'Portfolio Register'!$DH$5:$DH$304,0))),"")</f>
        <v/>
      </c>
      <c r="I155" s="148" t="str">
        <f>IFERROR(IF(INDEX('Portfolio Register'!$CZ$5:$CZ$304,MATCH($B155,'Portfolio Register'!$DH$5:$DH$304,0))="","",INDEX('Portfolio Register'!$CZ$5:$CZ$304,MATCH($B155,'Portfolio Register'!$DH$5:$DH$304,0))),"")</f>
        <v/>
      </c>
      <c r="J155" s="148" t="str">
        <f>IFERROR(IF(INDEX('Portfolio Register'!$DA$5:$DA$304,MATCH($B155,'Portfolio Register'!$DH$5:$DH$304,0))="","",INDEX('Portfolio Register'!$DA$5:$DA$304,MATCH($B155,'Portfolio Register'!$DH$5:$DH$304,0))),"")</f>
        <v/>
      </c>
      <c r="K155" s="148" t="str">
        <f>IFERROR(IF(INDEX('Portfolio Register'!$DB$5:$DB$304,MATCH($B155,'Portfolio Register'!$DH$5:$DH$304,0))="","",INDEX('Portfolio Register'!$DB$5:$DB$304,MATCH($B155,'Portfolio Register'!$DH$5:$DH$304,0))),"")</f>
        <v/>
      </c>
      <c r="L155" s="148" t="str">
        <f>IFERROR(IF(INDEX('Portfolio Register'!$DC$5:$DC$304,MATCH($B155,'Portfolio Register'!$DH$5:$DH$304,0))="","",INDEX('Portfolio Register'!$DC$5:$DC$304,MATCH($B155,'Portfolio Register'!$DH$5:$DH$304,0))),"")</f>
        <v/>
      </c>
      <c r="M155" s="151" t="str">
        <f>IFERROR(IF(INDEX('Portfolio Register'!$DD$5:$DD$304,MATCH($B155,'Portfolio Register'!$DH$5:$DH$304,0))="","",INDEX('Portfolio Register'!$DD$5:$DD$304,MATCH($B155,'Portfolio Register'!$DH$5:$DH$304,0))),"")</f>
        <v/>
      </c>
      <c r="N155" s="152" t="str">
        <f ca="1">IF($C155="","",IF($M155&lt;&gt;"",$M155-IFERROR(INDEX('Portfolio Register'!$C$5:$C$304,MATCH($B155,'Portfolio Register'!$DH$5:$DH$304,0)),$M155),TODAY()-IFERROR(INDEX('Portfolio Register'!$C$5:$C$304,MATCH($B155,'Portfolio Register'!$DH$5:$DH$304,0)),TODAY())))</f>
        <v/>
      </c>
      <c r="O155" s="153" t="str">
        <f t="shared" si="3"/>
        <v/>
      </c>
      <c r="P155" s="148" t="str">
        <f>IFERROR(IF(INDEX('Portfolio Register'!$DG$5:$DG$304,MATCH($B155,'Portfolio Register'!$DH$5:$DH$304,0))="","",INDEX('Portfolio Register'!$DG$5:$DG$304,MATCH($B155,'Portfolio Register'!$DH$5:$DH$304,0))),"")</f>
        <v/>
      </c>
      <c r="Q155" s="148" t="str">
        <f>IFERROR(IF(INDEX('Portfolio Register'!$DF$5:$DF$304,MATCH($B155,'Portfolio Register'!$DH$5:$DH$304,0))="","",INDEX('Portfolio Register'!$DF$5:$DF$304,MATCH($B155,'Portfolio Register'!$DH$5:$DH$304,0))),"")</f>
        <v/>
      </c>
    </row>
    <row r="156" spans="2:17" x14ac:dyDescent="0.35">
      <c r="B156" s="58">
        <v>129</v>
      </c>
      <c r="C156" s="142" t="str">
        <f>IFERROR(IF(INDEX('Portfolio Register'!$A$5:$A$304,MATCH($B156,'Portfolio Register'!$DH$5:$DH$304,0))="","",INDEX('Portfolio Register'!$A$5:$A$304,MATCH($B156,'Portfolio Register'!$DH$5:$DH$304,0))),"")</f>
        <v/>
      </c>
      <c r="D156" s="142" t="str">
        <f>IFERROR(IF(INDEX('Portfolio Register'!$B$5:$B$304,MATCH($B156,'Portfolio Register'!$DH$5:$DH$304,0))="","",INDEX('Portfolio Register'!$B$5:$B$304,MATCH($B156,'Portfolio Register'!$DH$5:$DH$304,0))),"")</f>
        <v/>
      </c>
      <c r="E156" s="142" t="str">
        <f>IFERROR(IF(INDEX('Portfolio Register'!$I$5:$I$304,MATCH($B156,'Portfolio Register'!$DH$5:$DH$304,0))="","",INDEX('Portfolio Register'!$I$5:$I$304,MATCH($B156,'Portfolio Register'!$DH$5:$DH$304,0))),"")</f>
        <v/>
      </c>
      <c r="F156" s="143" t="str">
        <f>IFERROR(IF(INDEX('Portfolio Register'!$J$5:$J$304,MATCH($B156,'Portfolio Register'!$DH$5:$DH$304,0))="","",INDEX('Portfolio Register'!$J$5:$J$304,MATCH($B156,'Portfolio Register'!$DH$5:$DH$304,0))),"")</f>
        <v/>
      </c>
      <c r="G156" s="142" t="str">
        <f>IFERROR(IF(INDEX('Portfolio Register'!$CX$5:$CX$304,MATCH($B156,'Portfolio Register'!$DH$5:$DH$304,0))="","",INDEX('Portfolio Register'!$CX$5:$CX$304,MATCH($B156,'Portfolio Register'!$DH$5:$DH$304,0))),"")</f>
        <v/>
      </c>
      <c r="H156" s="144" t="str">
        <f>IFERROR(IF(INDEX('Portfolio Register'!$CY$5:$CY$304,MATCH($B156,'Portfolio Register'!$DH$5:$DH$304,0))="","",INDEX('Portfolio Register'!$CY$5:$CY$304,MATCH($B156,'Portfolio Register'!$DH$5:$DH$304,0))),"")</f>
        <v/>
      </c>
      <c r="I156" s="142" t="str">
        <f>IFERROR(IF(INDEX('Portfolio Register'!$CZ$5:$CZ$304,MATCH($B156,'Portfolio Register'!$DH$5:$DH$304,0))="","",INDEX('Portfolio Register'!$CZ$5:$CZ$304,MATCH($B156,'Portfolio Register'!$DH$5:$DH$304,0))),"")</f>
        <v/>
      </c>
      <c r="J156" s="142" t="str">
        <f>IFERROR(IF(INDEX('Portfolio Register'!$DA$5:$DA$304,MATCH($B156,'Portfolio Register'!$DH$5:$DH$304,0))="","",INDEX('Portfolio Register'!$DA$5:$DA$304,MATCH($B156,'Portfolio Register'!$DH$5:$DH$304,0))),"")</f>
        <v/>
      </c>
      <c r="K156" s="142" t="str">
        <f>IFERROR(IF(INDEX('Portfolio Register'!$DB$5:$DB$304,MATCH($B156,'Portfolio Register'!$DH$5:$DH$304,0))="","",INDEX('Portfolio Register'!$DB$5:$DB$304,MATCH($B156,'Portfolio Register'!$DH$5:$DH$304,0))),"")</f>
        <v/>
      </c>
      <c r="L156" s="142" t="str">
        <f>IFERROR(IF(INDEX('Portfolio Register'!$DC$5:$DC$304,MATCH($B156,'Portfolio Register'!$DH$5:$DH$304,0))="","",INDEX('Portfolio Register'!$DC$5:$DC$304,MATCH($B156,'Portfolio Register'!$DH$5:$DH$304,0))),"")</f>
        <v/>
      </c>
      <c r="M156" s="145" t="str">
        <f>IFERROR(IF(INDEX('Portfolio Register'!$DD$5:$DD$304,MATCH($B156,'Portfolio Register'!$DH$5:$DH$304,0))="","",INDEX('Portfolio Register'!$DD$5:$DD$304,MATCH($B156,'Portfolio Register'!$DH$5:$DH$304,0))),"")</f>
        <v/>
      </c>
      <c r="N156" s="146" t="str">
        <f ca="1">IF($C156="","",IF($M156&lt;&gt;"",$M156-IFERROR(INDEX('Portfolio Register'!$C$5:$C$304,MATCH($B156,'Portfolio Register'!$DH$5:$DH$304,0)),$M156),TODAY()-IFERROR(INDEX('Portfolio Register'!$C$5:$C$304,MATCH($B156,'Portfolio Register'!$DH$5:$DH$304,0)),TODAY())))</f>
        <v/>
      </c>
      <c r="O156" s="147" t="str">
        <f t="shared" ref="O156:O177" si="4">IF($C156="","",IF($L156="","NO ROLE RECORDED",IF($H156&lt;IFERROR(INDEX($C$6:$C$10,MATCH($L156,$B$6:$B$10,0)),-99),"INSUFFICIENT AUTHORITY - escalate","OK")))</f>
        <v/>
      </c>
      <c r="P156" s="142" t="str">
        <f>IFERROR(IF(INDEX('Portfolio Register'!$DG$5:$DG$304,MATCH($B156,'Portfolio Register'!$DH$5:$DH$304,0))="","",INDEX('Portfolio Register'!$DG$5:$DG$304,MATCH($B156,'Portfolio Register'!$DH$5:$DH$304,0))),"")</f>
        <v/>
      </c>
      <c r="Q156" s="142" t="str">
        <f>IFERROR(IF(INDEX('Portfolio Register'!$DF$5:$DF$304,MATCH($B156,'Portfolio Register'!$DH$5:$DH$304,0))="","",INDEX('Portfolio Register'!$DF$5:$DF$304,MATCH($B156,'Portfolio Register'!$DH$5:$DH$304,0))),"")</f>
        <v/>
      </c>
    </row>
    <row r="157" spans="2:17" x14ac:dyDescent="0.35">
      <c r="B157" s="65">
        <v>130</v>
      </c>
      <c r="C157" s="148" t="str">
        <f>IFERROR(IF(INDEX('Portfolio Register'!$A$5:$A$304,MATCH($B157,'Portfolio Register'!$DH$5:$DH$304,0))="","",INDEX('Portfolio Register'!$A$5:$A$304,MATCH($B157,'Portfolio Register'!$DH$5:$DH$304,0))),"")</f>
        <v/>
      </c>
      <c r="D157" s="148" t="str">
        <f>IFERROR(IF(INDEX('Portfolio Register'!$B$5:$B$304,MATCH($B157,'Portfolio Register'!$DH$5:$DH$304,0))="","",INDEX('Portfolio Register'!$B$5:$B$304,MATCH($B157,'Portfolio Register'!$DH$5:$DH$304,0))),"")</f>
        <v/>
      </c>
      <c r="E157" s="148" t="str">
        <f>IFERROR(IF(INDEX('Portfolio Register'!$I$5:$I$304,MATCH($B157,'Portfolio Register'!$DH$5:$DH$304,0))="","",INDEX('Portfolio Register'!$I$5:$I$304,MATCH($B157,'Portfolio Register'!$DH$5:$DH$304,0))),"")</f>
        <v/>
      </c>
      <c r="F157" s="149" t="str">
        <f>IFERROR(IF(INDEX('Portfolio Register'!$J$5:$J$304,MATCH($B157,'Portfolio Register'!$DH$5:$DH$304,0))="","",INDEX('Portfolio Register'!$J$5:$J$304,MATCH($B157,'Portfolio Register'!$DH$5:$DH$304,0))),"")</f>
        <v/>
      </c>
      <c r="G157" s="148" t="str">
        <f>IFERROR(IF(INDEX('Portfolio Register'!$CX$5:$CX$304,MATCH($B157,'Portfolio Register'!$DH$5:$DH$304,0))="","",INDEX('Portfolio Register'!$CX$5:$CX$304,MATCH($B157,'Portfolio Register'!$DH$5:$DH$304,0))),"")</f>
        <v/>
      </c>
      <c r="H157" s="150" t="str">
        <f>IFERROR(IF(INDEX('Portfolio Register'!$CY$5:$CY$304,MATCH($B157,'Portfolio Register'!$DH$5:$DH$304,0))="","",INDEX('Portfolio Register'!$CY$5:$CY$304,MATCH($B157,'Portfolio Register'!$DH$5:$DH$304,0))),"")</f>
        <v/>
      </c>
      <c r="I157" s="148" t="str">
        <f>IFERROR(IF(INDEX('Portfolio Register'!$CZ$5:$CZ$304,MATCH($B157,'Portfolio Register'!$DH$5:$DH$304,0))="","",INDEX('Portfolio Register'!$CZ$5:$CZ$304,MATCH($B157,'Portfolio Register'!$DH$5:$DH$304,0))),"")</f>
        <v/>
      </c>
      <c r="J157" s="148" t="str">
        <f>IFERROR(IF(INDEX('Portfolio Register'!$DA$5:$DA$304,MATCH($B157,'Portfolio Register'!$DH$5:$DH$304,0))="","",INDEX('Portfolio Register'!$DA$5:$DA$304,MATCH($B157,'Portfolio Register'!$DH$5:$DH$304,0))),"")</f>
        <v/>
      </c>
      <c r="K157" s="148" t="str">
        <f>IFERROR(IF(INDEX('Portfolio Register'!$DB$5:$DB$304,MATCH($B157,'Portfolio Register'!$DH$5:$DH$304,0))="","",INDEX('Portfolio Register'!$DB$5:$DB$304,MATCH($B157,'Portfolio Register'!$DH$5:$DH$304,0))),"")</f>
        <v/>
      </c>
      <c r="L157" s="148" t="str">
        <f>IFERROR(IF(INDEX('Portfolio Register'!$DC$5:$DC$304,MATCH($B157,'Portfolio Register'!$DH$5:$DH$304,0))="","",INDEX('Portfolio Register'!$DC$5:$DC$304,MATCH($B157,'Portfolio Register'!$DH$5:$DH$304,0))),"")</f>
        <v/>
      </c>
      <c r="M157" s="151" t="str">
        <f>IFERROR(IF(INDEX('Portfolio Register'!$DD$5:$DD$304,MATCH($B157,'Portfolio Register'!$DH$5:$DH$304,0))="","",INDEX('Portfolio Register'!$DD$5:$DD$304,MATCH($B157,'Portfolio Register'!$DH$5:$DH$304,0))),"")</f>
        <v/>
      </c>
      <c r="N157" s="152" t="str">
        <f ca="1">IF($C157="","",IF($M157&lt;&gt;"",$M157-IFERROR(INDEX('Portfolio Register'!$C$5:$C$304,MATCH($B157,'Portfolio Register'!$DH$5:$DH$304,0)),$M157),TODAY()-IFERROR(INDEX('Portfolio Register'!$C$5:$C$304,MATCH($B157,'Portfolio Register'!$DH$5:$DH$304,0)),TODAY())))</f>
        <v/>
      </c>
      <c r="O157" s="153" t="str">
        <f t="shared" si="4"/>
        <v/>
      </c>
      <c r="P157" s="148" t="str">
        <f>IFERROR(IF(INDEX('Portfolio Register'!$DG$5:$DG$304,MATCH($B157,'Portfolio Register'!$DH$5:$DH$304,0))="","",INDEX('Portfolio Register'!$DG$5:$DG$304,MATCH($B157,'Portfolio Register'!$DH$5:$DH$304,0))),"")</f>
        <v/>
      </c>
      <c r="Q157" s="148" t="str">
        <f>IFERROR(IF(INDEX('Portfolio Register'!$DF$5:$DF$304,MATCH($B157,'Portfolio Register'!$DH$5:$DH$304,0))="","",INDEX('Portfolio Register'!$DF$5:$DF$304,MATCH($B157,'Portfolio Register'!$DH$5:$DH$304,0))),"")</f>
        <v/>
      </c>
    </row>
    <row r="158" spans="2:17" x14ac:dyDescent="0.35">
      <c r="B158" s="58">
        <v>131</v>
      </c>
      <c r="C158" s="142" t="str">
        <f>IFERROR(IF(INDEX('Portfolio Register'!$A$5:$A$304,MATCH($B158,'Portfolio Register'!$DH$5:$DH$304,0))="","",INDEX('Portfolio Register'!$A$5:$A$304,MATCH($B158,'Portfolio Register'!$DH$5:$DH$304,0))),"")</f>
        <v/>
      </c>
      <c r="D158" s="142" t="str">
        <f>IFERROR(IF(INDEX('Portfolio Register'!$B$5:$B$304,MATCH($B158,'Portfolio Register'!$DH$5:$DH$304,0))="","",INDEX('Portfolio Register'!$B$5:$B$304,MATCH($B158,'Portfolio Register'!$DH$5:$DH$304,0))),"")</f>
        <v/>
      </c>
      <c r="E158" s="142" t="str">
        <f>IFERROR(IF(INDEX('Portfolio Register'!$I$5:$I$304,MATCH($B158,'Portfolio Register'!$DH$5:$DH$304,0))="","",INDEX('Portfolio Register'!$I$5:$I$304,MATCH($B158,'Portfolio Register'!$DH$5:$DH$304,0))),"")</f>
        <v/>
      </c>
      <c r="F158" s="143" t="str">
        <f>IFERROR(IF(INDEX('Portfolio Register'!$J$5:$J$304,MATCH($B158,'Portfolio Register'!$DH$5:$DH$304,0))="","",INDEX('Portfolio Register'!$J$5:$J$304,MATCH($B158,'Portfolio Register'!$DH$5:$DH$304,0))),"")</f>
        <v/>
      </c>
      <c r="G158" s="142" t="str">
        <f>IFERROR(IF(INDEX('Portfolio Register'!$CX$5:$CX$304,MATCH($B158,'Portfolio Register'!$DH$5:$DH$304,0))="","",INDEX('Portfolio Register'!$CX$5:$CX$304,MATCH($B158,'Portfolio Register'!$DH$5:$DH$304,0))),"")</f>
        <v/>
      </c>
      <c r="H158" s="144" t="str">
        <f>IFERROR(IF(INDEX('Portfolio Register'!$CY$5:$CY$304,MATCH($B158,'Portfolio Register'!$DH$5:$DH$304,0))="","",INDEX('Portfolio Register'!$CY$5:$CY$304,MATCH($B158,'Portfolio Register'!$DH$5:$DH$304,0))),"")</f>
        <v/>
      </c>
      <c r="I158" s="142" t="str">
        <f>IFERROR(IF(INDEX('Portfolio Register'!$CZ$5:$CZ$304,MATCH($B158,'Portfolio Register'!$DH$5:$DH$304,0))="","",INDEX('Portfolio Register'!$CZ$5:$CZ$304,MATCH($B158,'Portfolio Register'!$DH$5:$DH$304,0))),"")</f>
        <v/>
      </c>
      <c r="J158" s="142" t="str">
        <f>IFERROR(IF(INDEX('Portfolio Register'!$DA$5:$DA$304,MATCH($B158,'Portfolio Register'!$DH$5:$DH$304,0))="","",INDEX('Portfolio Register'!$DA$5:$DA$304,MATCH($B158,'Portfolio Register'!$DH$5:$DH$304,0))),"")</f>
        <v/>
      </c>
      <c r="K158" s="142" t="str">
        <f>IFERROR(IF(INDEX('Portfolio Register'!$DB$5:$DB$304,MATCH($B158,'Portfolio Register'!$DH$5:$DH$304,0))="","",INDEX('Portfolio Register'!$DB$5:$DB$304,MATCH($B158,'Portfolio Register'!$DH$5:$DH$304,0))),"")</f>
        <v/>
      </c>
      <c r="L158" s="142" t="str">
        <f>IFERROR(IF(INDEX('Portfolio Register'!$DC$5:$DC$304,MATCH($B158,'Portfolio Register'!$DH$5:$DH$304,0))="","",INDEX('Portfolio Register'!$DC$5:$DC$304,MATCH($B158,'Portfolio Register'!$DH$5:$DH$304,0))),"")</f>
        <v/>
      </c>
      <c r="M158" s="145" t="str">
        <f>IFERROR(IF(INDEX('Portfolio Register'!$DD$5:$DD$304,MATCH($B158,'Portfolio Register'!$DH$5:$DH$304,0))="","",INDEX('Portfolio Register'!$DD$5:$DD$304,MATCH($B158,'Portfolio Register'!$DH$5:$DH$304,0))),"")</f>
        <v/>
      </c>
      <c r="N158" s="146" t="str">
        <f ca="1">IF($C158="","",IF($M158&lt;&gt;"",$M158-IFERROR(INDEX('Portfolio Register'!$C$5:$C$304,MATCH($B158,'Portfolio Register'!$DH$5:$DH$304,0)),$M158),TODAY()-IFERROR(INDEX('Portfolio Register'!$C$5:$C$304,MATCH($B158,'Portfolio Register'!$DH$5:$DH$304,0)),TODAY())))</f>
        <v/>
      </c>
      <c r="O158" s="147" t="str">
        <f t="shared" si="4"/>
        <v/>
      </c>
      <c r="P158" s="142" t="str">
        <f>IFERROR(IF(INDEX('Portfolio Register'!$DG$5:$DG$304,MATCH($B158,'Portfolio Register'!$DH$5:$DH$304,0))="","",INDEX('Portfolio Register'!$DG$5:$DG$304,MATCH($B158,'Portfolio Register'!$DH$5:$DH$304,0))),"")</f>
        <v/>
      </c>
      <c r="Q158" s="142" t="str">
        <f>IFERROR(IF(INDEX('Portfolio Register'!$DF$5:$DF$304,MATCH($B158,'Portfolio Register'!$DH$5:$DH$304,0))="","",INDEX('Portfolio Register'!$DF$5:$DF$304,MATCH($B158,'Portfolio Register'!$DH$5:$DH$304,0))),"")</f>
        <v/>
      </c>
    </row>
    <row r="159" spans="2:17" x14ac:dyDescent="0.35">
      <c r="B159" s="65">
        <v>132</v>
      </c>
      <c r="C159" s="148" t="str">
        <f>IFERROR(IF(INDEX('Portfolio Register'!$A$5:$A$304,MATCH($B159,'Portfolio Register'!$DH$5:$DH$304,0))="","",INDEX('Portfolio Register'!$A$5:$A$304,MATCH($B159,'Portfolio Register'!$DH$5:$DH$304,0))),"")</f>
        <v/>
      </c>
      <c r="D159" s="148" t="str">
        <f>IFERROR(IF(INDEX('Portfolio Register'!$B$5:$B$304,MATCH($B159,'Portfolio Register'!$DH$5:$DH$304,0))="","",INDEX('Portfolio Register'!$B$5:$B$304,MATCH($B159,'Portfolio Register'!$DH$5:$DH$304,0))),"")</f>
        <v/>
      </c>
      <c r="E159" s="148" t="str">
        <f>IFERROR(IF(INDEX('Portfolio Register'!$I$5:$I$304,MATCH($B159,'Portfolio Register'!$DH$5:$DH$304,0))="","",INDEX('Portfolio Register'!$I$5:$I$304,MATCH($B159,'Portfolio Register'!$DH$5:$DH$304,0))),"")</f>
        <v/>
      </c>
      <c r="F159" s="149" t="str">
        <f>IFERROR(IF(INDEX('Portfolio Register'!$J$5:$J$304,MATCH($B159,'Portfolio Register'!$DH$5:$DH$304,0))="","",INDEX('Portfolio Register'!$J$5:$J$304,MATCH($B159,'Portfolio Register'!$DH$5:$DH$304,0))),"")</f>
        <v/>
      </c>
      <c r="G159" s="148" t="str">
        <f>IFERROR(IF(INDEX('Portfolio Register'!$CX$5:$CX$304,MATCH($B159,'Portfolio Register'!$DH$5:$DH$304,0))="","",INDEX('Portfolio Register'!$CX$5:$CX$304,MATCH($B159,'Portfolio Register'!$DH$5:$DH$304,0))),"")</f>
        <v/>
      </c>
      <c r="H159" s="150" t="str">
        <f>IFERROR(IF(INDEX('Portfolio Register'!$CY$5:$CY$304,MATCH($B159,'Portfolio Register'!$DH$5:$DH$304,0))="","",INDEX('Portfolio Register'!$CY$5:$CY$304,MATCH($B159,'Portfolio Register'!$DH$5:$DH$304,0))),"")</f>
        <v/>
      </c>
      <c r="I159" s="148" t="str">
        <f>IFERROR(IF(INDEX('Portfolio Register'!$CZ$5:$CZ$304,MATCH($B159,'Portfolio Register'!$DH$5:$DH$304,0))="","",INDEX('Portfolio Register'!$CZ$5:$CZ$304,MATCH($B159,'Portfolio Register'!$DH$5:$DH$304,0))),"")</f>
        <v/>
      </c>
      <c r="J159" s="148" t="str">
        <f>IFERROR(IF(INDEX('Portfolio Register'!$DA$5:$DA$304,MATCH($B159,'Portfolio Register'!$DH$5:$DH$304,0))="","",INDEX('Portfolio Register'!$DA$5:$DA$304,MATCH($B159,'Portfolio Register'!$DH$5:$DH$304,0))),"")</f>
        <v/>
      </c>
      <c r="K159" s="148" t="str">
        <f>IFERROR(IF(INDEX('Portfolio Register'!$DB$5:$DB$304,MATCH($B159,'Portfolio Register'!$DH$5:$DH$304,0))="","",INDEX('Portfolio Register'!$DB$5:$DB$304,MATCH($B159,'Portfolio Register'!$DH$5:$DH$304,0))),"")</f>
        <v/>
      </c>
      <c r="L159" s="148" t="str">
        <f>IFERROR(IF(INDEX('Portfolio Register'!$DC$5:$DC$304,MATCH($B159,'Portfolio Register'!$DH$5:$DH$304,0))="","",INDEX('Portfolio Register'!$DC$5:$DC$304,MATCH($B159,'Portfolio Register'!$DH$5:$DH$304,0))),"")</f>
        <v/>
      </c>
      <c r="M159" s="151" t="str">
        <f>IFERROR(IF(INDEX('Portfolio Register'!$DD$5:$DD$304,MATCH($B159,'Portfolio Register'!$DH$5:$DH$304,0))="","",INDEX('Portfolio Register'!$DD$5:$DD$304,MATCH($B159,'Portfolio Register'!$DH$5:$DH$304,0))),"")</f>
        <v/>
      </c>
      <c r="N159" s="152" t="str">
        <f ca="1">IF($C159="","",IF($M159&lt;&gt;"",$M159-IFERROR(INDEX('Portfolio Register'!$C$5:$C$304,MATCH($B159,'Portfolio Register'!$DH$5:$DH$304,0)),$M159),TODAY()-IFERROR(INDEX('Portfolio Register'!$C$5:$C$304,MATCH($B159,'Portfolio Register'!$DH$5:$DH$304,0)),TODAY())))</f>
        <v/>
      </c>
      <c r="O159" s="153" t="str">
        <f t="shared" si="4"/>
        <v/>
      </c>
      <c r="P159" s="148" t="str">
        <f>IFERROR(IF(INDEX('Portfolio Register'!$DG$5:$DG$304,MATCH($B159,'Portfolio Register'!$DH$5:$DH$304,0))="","",INDEX('Portfolio Register'!$DG$5:$DG$304,MATCH($B159,'Portfolio Register'!$DH$5:$DH$304,0))),"")</f>
        <v/>
      </c>
      <c r="Q159" s="148" t="str">
        <f>IFERROR(IF(INDEX('Portfolio Register'!$DF$5:$DF$304,MATCH($B159,'Portfolio Register'!$DH$5:$DH$304,0))="","",INDEX('Portfolio Register'!$DF$5:$DF$304,MATCH($B159,'Portfolio Register'!$DH$5:$DH$304,0))),"")</f>
        <v/>
      </c>
    </row>
    <row r="160" spans="2:17" x14ac:dyDescent="0.35">
      <c r="B160" s="58">
        <v>133</v>
      </c>
      <c r="C160" s="142" t="str">
        <f>IFERROR(IF(INDEX('Portfolio Register'!$A$5:$A$304,MATCH($B160,'Portfolio Register'!$DH$5:$DH$304,0))="","",INDEX('Portfolio Register'!$A$5:$A$304,MATCH($B160,'Portfolio Register'!$DH$5:$DH$304,0))),"")</f>
        <v/>
      </c>
      <c r="D160" s="142" t="str">
        <f>IFERROR(IF(INDEX('Portfolio Register'!$B$5:$B$304,MATCH($B160,'Portfolio Register'!$DH$5:$DH$304,0))="","",INDEX('Portfolio Register'!$B$5:$B$304,MATCH($B160,'Portfolio Register'!$DH$5:$DH$304,0))),"")</f>
        <v/>
      </c>
      <c r="E160" s="142" t="str">
        <f>IFERROR(IF(INDEX('Portfolio Register'!$I$5:$I$304,MATCH($B160,'Portfolio Register'!$DH$5:$DH$304,0))="","",INDEX('Portfolio Register'!$I$5:$I$304,MATCH($B160,'Portfolio Register'!$DH$5:$DH$304,0))),"")</f>
        <v/>
      </c>
      <c r="F160" s="143" t="str">
        <f>IFERROR(IF(INDEX('Portfolio Register'!$J$5:$J$304,MATCH($B160,'Portfolio Register'!$DH$5:$DH$304,0))="","",INDEX('Portfolio Register'!$J$5:$J$304,MATCH($B160,'Portfolio Register'!$DH$5:$DH$304,0))),"")</f>
        <v/>
      </c>
      <c r="G160" s="142" t="str">
        <f>IFERROR(IF(INDEX('Portfolio Register'!$CX$5:$CX$304,MATCH($B160,'Portfolio Register'!$DH$5:$DH$304,0))="","",INDEX('Portfolio Register'!$CX$5:$CX$304,MATCH($B160,'Portfolio Register'!$DH$5:$DH$304,0))),"")</f>
        <v/>
      </c>
      <c r="H160" s="144" t="str">
        <f>IFERROR(IF(INDEX('Portfolio Register'!$CY$5:$CY$304,MATCH($B160,'Portfolio Register'!$DH$5:$DH$304,0))="","",INDEX('Portfolio Register'!$CY$5:$CY$304,MATCH($B160,'Portfolio Register'!$DH$5:$DH$304,0))),"")</f>
        <v/>
      </c>
      <c r="I160" s="142" t="str">
        <f>IFERROR(IF(INDEX('Portfolio Register'!$CZ$5:$CZ$304,MATCH($B160,'Portfolio Register'!$DH$5:$DH$304,0))="","",INDEX('Portfolio Register'!$CZ$5:$CZ$304,MATCH($B160,'Portfolio Register'!$DH$5:$DH$304,0))),"")</f>
        <v/>
      </c>
      <c r="J160" s="142" t="str">
        <f>IFERROR(IF(INDEX('Portfolio Register'!$DA$5:$DA$304,MATCH($B160,'Portfolio Register'!$DH$5:$DH$304,0))="","",INDEX('Portfolio Register'!$DA$5:$DA$304,MATCH($B160,'Portfolio Register'!$DH$5:$DH$304,0))),"")</f>
        <v/>
      </c>
      <c r="K160" s="142" t="str">
        <f>IFERROR(IF(INDEX('Portfolio Register'!$DB$5:$DB$304,MATCH($B160,'Portfolio Register'!$DH$5:$DH$304,0))="","",INDEX('Portfolio Register'!$DB$5:$DB$304,MATCH($B160,'Portfolio Register'!$DH$5:$DH$304,0))),"")</f>
        <v/>
      </c>
      <c r="L160" s="142" t="str">
        <f>IFERROR(IF(INDEX('Portfolio Register'!$DC$5:$DC$304,MATCH($B160,'Portfolio Register'!$DH$5:$DH$304,0))="","",INDEX('Portfolio Register'!$DC$5:$DC$304,MATCH($B160,'Portfolio Register'!$DH$5:$DH$304,0))),"")</f>
        <v/>
      </c>
      <c r="M160" s="145" t="str">
        <f>IFERROR(IF(INDEX('Portfolio Register'!$DD$5:$DD$304,MATCH($B160,'Portfolio Register'!$DH$5:$DH$304,0))="","",INDEX('Portfolio Register'!$DD$5:$DD$304,MATCH($B160,'Portfolio Register'!$DH$5:$DH$304,0))),"")</f>
        <v/>
      </c>
      <c r="N160" s="146" t="str">
        <f ca="1">IF($C160="","",IF($M160&lt;&gt;"",$M160-IFERROR(INDEX('Portfolio Register'!$C$5:$C$304,MATCH($B160,'Portfolio Register'!$DH$5:$DH$304,0)),$M160),TODAY()-IFERROR(INDEX('Portfolio Register'!$C$5:$C$304,MATCH($B160,'Portfolio Register'!$DH$5:$DH$304,0)),TODAY())))</f>
        <v/>
      </c>
      <c r="O160" s="147" t="str">
        <f t="shared" si="4"/>
        <v/>
      </c>
      <c r="P160" s="142" t="str">
        <f>IFERROR(IF(INDEX('Portfolio Register'!$DG$5:$DG$304,MATCH($B160,'Portfolio Register'!$DH$5:$DH$304,0))="","",INDEX('Portfolio Register'!$DG$5:$DG$304,MATCH($B160,'Portfolio Register'!$DH$5:$DH$304,0))),"")</f>
        <v/>
      </c>
      <c r="Q160" s="142" t="str">
        <f>IFERROR(IF(INDEX('Portfolio Register'!$DF$5:$DF$304,MATCH($B160,'Portfolio Register'!$DH$5:$DH$304,0))="","",INDEX('Portfolio Register'!$DF$5:$DF$304,MATCH($B160,'Portfolio Register'!$DH$5:$DH$304,0))),"")</f>
        <v/>
      </c>
    </row>
    <row r="161" spans="2:17" x14ac:dyDescent="0.35">
      <c r="B161" s="65">
        <v>134</v>
      </c>
      <c r="C161" s="148" t="str">
        <f>IFERROR(IF(INDEX('Portfolio Register'!$A$5:$A$304,MATCH($B161,'Portfolio Register'!$DH$5:$DH$304,0))="","",INDEX('Portfolio Register'!$A$5:$A$304,MATCH($B161,'Portfolio Register'!$DH$5:$DH$304,0))),"")</f>
        <v/>
      </c>
      <c r="D161" s="148" t="str">
        <f>IFERROR(IF(INDEX('Portfolio Register'!$B$5:$B$304,MATCH($B161,'Portfolio Register'!$DH$5:$DH$304,0))="","",INDEX('Portfolio Register'!$B$5:$B$304,MATCH($B161,'Portfolio Register'!$DH$5:$DH$304,0))),"")</f>
        <v/>
      </c>
      <c r="E161" s="148" t="str">
        <f>IFERROR(IF(INDEX('Portfolio Register'!$I$5:$I$304,MATCH($B161,'Portfolio Register'!$DH$5:$DH$304,0))="","",INDEX('Portfolio Register'!$I$5:$I$304,MATCH($B161,'Portfolio Register'!$DH$5:$DH$304,0))),"")</f>
        <v/>
      </c>
      <c r="F161" s="149" t="str">
        <f>IFERROR(IF(INDEX('Portfolio Register'!$J$5:$J$304,MATCH($B161,'Portfolio Register'!$DH$5:$DH$304,0))="","",INDEX('Portfolio Register'!$J$5:$J$304,MATCH($B161,'Portfolio Register'!$DH$5:$DH$304,0))),"")</f>
        <v/>
      </c>
      <c r="G161" s="148" t="str">
        <f>IFERROR(IF(INDEX('Portfolio Register'!$CX$5:$CX$304,MATCH($B161,'Portfolio Register'!$DH$5:$DH$304,0))="","",INDEX('Portfolio Register'!$CX$5:$CX$304,MATCH($B161,'Portfolio Register'!$DH$5:$DH$304,0))),"")</f>
        <v/>
      </c>
      <c r="H161" s="150" t="str">
        <f>IFERROR(IF(INDEX('Portfolio Register'!$CY$5:$CY$304,MATCH($B161,'Portfolio Register'!$DH$5:$DH$304,0))="","",INDEX('Portfolio Register'!$CY$5:$CY$304,MATCH($B161,'Portfolio Register'!$DH$5:$DH$304,0))),"")</f>
        <v/>
      </c>
      <c r="I161" s="148" t="str">
        <f>IFERROR(IF(INDEX('Portfolio Register'!$CZ$5:$CZ$304,MATCH($B161,'Portfolio Register'!$DH$5:$DH$304,0))="","",INDEX('Portfolio Register'!$CZ$5:$CZ$304,MATCH($B161,'Portfolio Register'!$DH$5:$DH$304,0))),"")</f>
        <v/>
      </c>
      <c r="J161" s="148" t="str">
        <f>IFERROR(IF(INDEX('Portfolio Register'!$DA$5:$DA$304,MATCH($B161,'Portfolio Register'!$DH$5:$DH$304,0))="","",INDEX('Portfolio Register'!$DA$5:$DA$304,MATCH($B161,'Portfolio Register'!$DH$5:$DH$304,0))),"")</f>
        <v/>
      </c>
      <c r="K161" s="148" t="str">
        <f>IFERROR(IF(INDEX('Portfolio Register'!$DB$5:$DB$304,MATCH($B161,'Portfolio Register'!$DH$5:$DH$304,0))="","",INDEX('Portfolio Register'!$DB$5:$DB$304,MATCH($B161,'Portfolio Register'!$DH$5:$DH$304,0))),"")</f>
        <v/>
      </c>
      <c r="L161" s="148" t="str">
        <f>IFERROR(IF(INDEX('Portfolio Register'!$DC$5:$DC$304,MATCH($B161,'Portfolio Register'!$DH$5:$DH$304,0))="","",INDEX('Portfolio Register'!$DC$5:$DC$304,MATCH($B161,'Portfolio Register'!$DH$5:$DH$304,0))),"")</f>
        <v/>
      </c>
      <c r="M161" s="151" t="str">
        <f>IFERROR(IF(INDEX('Portfolio Register'!$DD$5:$DD$304,MATCH($B161,'Portfolio Register'!$DH$5:$DH$304,0))="","",INDEX('Portfolio Register'!$DD$5:$DD$304,MATCH($B161,'Portfolio Register'!$DH$5:$DH$304,0))),"")</f>
        <v/>
      </c>
      <c r="N161" s="152" t="str">
        <f ca="1">IF($C161="","",IF($M161&lt;&gt;"",$M161-IFERROR(INDEX('Portfolio Register'!$C$5:$C$304,MATCH($B161,'Portfolio Register'!$DH$5:$DH$304,0)),$M161),TODAY()-IFERROR(INDEX('Portfolio Register'!$C$5:$C$304,MATCH($B161,'Portfolio Register'!$DH$5:$DH$304,0)),TODAY())))</f>
        <v/>
      </c>
      <c r="O161" s="153" t="str">
        <f t="shared" si="4"/>
        <v/>
      </c>
      <c r="P161" s="148" t="str">
        <f>IFERROR(IF(INDEX('Portfolio Register'!$DG$5:$DG$304,MATCH($B161,'Portfolio Register'!$DH$5:$DH$304,0))="","",INDEX('Portfolio Register'!$DG$5:$DG$304,MATCH($B161,'Portfolio Register'!$DH$5:$DH$304,0))),"")</f>
        <v/>
      </c>
      <c r="Q161" s="148" t="str">
        <f>IFERROR(IF(INDEX('Portfolio Register'!$DF$5:$DF$304,MATCH($B161,'Portfolio Register'!$DH$5:$DH$304,0))="","",INDEX('Portfolio Register'!$DF$5:$DF$304,MATCH($B161,'Portfolio Register'!$DH$5:$DH$304,0))),"")</f>
        <v/>
      </c>
    </row>
    <row r="162" spans="2:17" x14ac:dyDescent="0.35">
      <c r="B162" s="58">
        <v>135</v>
      </c>
      <c r="C162" s="142" t="str">
        <f>IFERROR(IF(INDEX('Portfolio Register'!$A$5:$A$304,MATCH($B162,'Portfolio Register'!$DH$5:$DH$304,0))="","",INDEX('Portfolio Register'!$A$5:$A$304,MATCH($B162,'Portfolio Register'!$DH$5:$DH$304,0))),"")</f>
        <v/>
      </c>
      <c r="D162" s="142" t="str">
        <f>IFERROR(IF(INDEX('Portfolio Register'!$B$5:$B$304,MATCH($B162,'Portfolio Register'!$DH$5:$DH$304,0))="","",INDEX('Portfolio Register'!$B$5:$B$304,MATCH($B162,'Portfolio Register'!$DH$5:$DH$304,0))),"")</f>
        <v/>
      </c>
      <c r="E162" s="142" t="str">
        <f>IFERROR(IF(INDEX('Portfolio Register'!$I$5:$I$304,MATCH($B162,'Portfolio Register'!$DH$5:$DH$304,0))="","",INDEX('Portfolio Register'!$I$5:$I$304,MATCH($B162,'Portfolio Register'!$DH$5:$DH$304,0))),"")</f>
        <v/>
      </c>
      <c r="F162" s="143" t="str">
        <f>IFERROR(IF(INDEX('Portfolio Register'!$J$5:$J$304,MATCH($B162,'Portfolio Register'!$DH$5:$DH$304,0))="","",INDEX('Portfolio Register'!$J$5:$J$304,MATCH($B162,'Portfolio Register'!$DH$5:$DH$304,0))),"")</f>
        <v/>
      </c>
      <c r="G162" s="142" t="str">
        <f>IFERROR(IF(INDEX('Portfolio Register'!$CX$5:$CX$304,MATCH($B162,'Portfolio Register'!$DH$5:$DH$304,0))="","",INDEX('Portfolio Register'!$CX$5:$CX$304,MATCH($B162,'Portfolio Register'!$DH$5:$DH$304,0))),"")</f>
        <v/>
      </c>
      <c r="H162" s="144" t="str">
        <f>IFERROR(IF(INDEX('Portfolio Register'!$CY$5:$CY$304,MATCH($B162,'Portfolio Register'!$DH$5:$DH$304,0))="","",INDEX('Portfolio Register'!$CY$5:$CY$304,MATCH($B162,'Portfolio Register'!$DH$5:$DH$304,0))),"")</f>
        <v/>
      </c>
      <c r="I162" s="142" t="str">
        <f>IFERROR(IF(INDEX('Portfolio Register'!$CZ$5:$CZ$304,MATCH($B162,'Portfolio Register'!$DH$5:$DH$304,0))="","",INDEX('Portfolio Register'!$CZ$5:$CZ$304,MATCH($B162,'Portfolio Register'!$DH$5:$DH$304,0))),"")</f>
        <v/>
      </c>
      <c r="J162" s="142" t="str">
        <f>IFERROR(IF(INDEX('Portfolio Register'!$DA$5:$DA$304,MATCH($B162,'Portfolio Register'!$DH$5:$DH$304,0))="","",INDEX('Portfolio Register'!$DA$5:$DA$304,MATCH($B162,'Portfolio Register'!$DH$5:$DH$304,0))),"")</f>
        <v/>
      </c>
      <c r="K162" s="142" t="str">
        <f>IFERROR(IF(INDEX('Portfolio Register'!$DB$5:$DB$304,MATCH($B162,'Portfolio Register'!$DH$5:$DH$304,0))="","",INDEX('Portfolio Register'!$DB$5:$DB$304,MATCH($B162,'Portfolio Register'!$DH$5:$DH$304,0))),"")</f>
        <v/>
      </c>
      <c r="L162" s="142" t="str">
        <f>IFERROR(IF(INDEX('Portfolio Register'!$DC$5:$DC$304,MATCH($B162,'Portfolio Register'!$DH$5:$DH$304,0))="","",INDEX('Portfolio Register'!$DC$5:$DC$304,MATCH($B162,'Portfolio Register'!$DH$5:$DH$304,0))),"")</f>
        <v/>
      </c>
      <c r="M162" s="145" t="str">
        <f>IFERROR(IF(INDEX('Portfolio Register'!$DD$5:$DD$304,MATCH($B162,'Portfolio Register'!$DH$5:$DH$304,0))="","",INDEX('Portfolio Register'!$DD$5:$DD$304,MATCH($B162,'Portfolio Register'!$DH$5:$DH$304,0))),"")</f>
        <v/>
      </c>
      <c r="N162" s="146" t="str">
        <f ca="1">IF($C162="","",IF($M162&lt;&gt;"",$M162-IFERROR(INDEX('Portfolio Register'!$C$5:$C$304,MATCH($B162,'Portfolio Register'!$DH$5:$DH$304,0)),$M162),TODAY()-IFERROR(INDEX('Portfolio Register'!$C$5:$C$304,MATCH($B162,'Portfolio Register'!$DH$5:$DH$304,0)),TODAY())))</f>
        <v/>
      </c>
      <c r="O162" s="147" t="str">
        <f t="shared" si="4"/>
        <v/>
      </c>
      <c r="P162" s="142" t="str">
        <f>IFERROR(IF(INDEX('Portfolio Register'!$DG$5:$DG$304,MATCH($B162,'Portfolio Register'!$DH$5:$DH$304,0))="","",INDEX('Portfolio Register'!$DG$5:$DG$304,MATCH($B162,'Portfolio Register'!$DH$5:$DH$304,0))),"")</f>
        <v/>
      </c>
      <c r="Q162" s="142" t="str">
        <f>IFERROR(IF(INDEX('Portfolio Register'!$DF$5:$DF$304,MATCH($B162,'Portfolio Register'!$DH$5:$DH$304,0))="","",INDEX('Portfolio Register'!$DF$5:$DF$304,MATCH($B162,'Portfolio Register'!$DH$5:$DH$304,0))),"")</f>
        <v/>
      </c>
    </row>
    <row r="163" spans="2:17" x14ac:dyDescent="0.35">
      <c r="B163" s="65">
        <v>136</v>
      </c>
      <c r="C163" s="148" t="str">
        <f>IFERROR(IF(INDEX('Portfolio Register'!$A$5:$A$304,MATCH($B163,'Portfolio Register'!$DH$5:$DH$304,0))="","",INDEX('Portfolio Register'!$A$5:$A$304,MATCH($B163,'Portfolio Register'!$DH$5:$DH$304,0))),"")</f>
        <v/>
      </c>
      <c r="D163" s="148" t="str">
        <f>IFERROR(IF(INDEX('Portfolio Register'!$B$5:$B$304,MATCH($B163,'Portfolio Register'!$DH$5:$DH$304,0))="","",INDEX('Portfolio Register'!$B$5:$B$304,MATCH($B163,'Portfolio Register'!$DH$5:$DH$304,0))),"")</f>
        <v/>
      </c>
      <c r="E163" s="148" t="str">
        <f>IFERROR(IF(INDEX('Portfolio Register'!$I$5:$I$304,MATCH($B163,'Portfolio Register'!$DH$5:$DH$304,0))="","",INDEX('Portfolio Register'!$I$5:$I$304,MATCH($B163,'Portfolio Register'!$DH$5:$DH$304,0))),"")</f>
        <v/>
      </c>
      <c r="F163" s="149" t="str">
        <f>IFERROR(IF(INDEX('Portfolio Register'!$J$5:$J$304,MATCH($B163,'Portfolio Register'!$DH$5:$DH$304,0))="","",INDEX('Portfolio Register'!$J$5:$J$304,MATCH($B163,'Portfolio Register'!$DH$5:$DH$304,0))),"")</f>
        <v/>
      </c>
      <c r="G163" s="148" t="str">
        <f>IFERROR(IF(INDEX('Portfolio Register'!$CX$5:$CX$304,MATCH($B163,'Portfolio Register'!$DH$5:$DH$304,0))="","",INDEX('Portfolio Register'!$CX$5:$CX$304,MATCH($B163,'Portfolio Register'!$DH$5:$DH$304,0))),"")</f>
        <v/>
      </c>
      <c r="H163" s="150" t="str">
        <f>IFERROR(IF(INDEX('Portfolio Register'!$CY$5:$CY$304,MATCH($B163,'Portfolio Register'!$DH$5:$DH$304,0))="","",INDEX('Portfolio Register'!$CY$5:$CY$304,MATCH($B163,'Portfolio Register'!$DH$5:$DH$304,0))),"")</f>
        <v/>
      </c>
      <c r="I163" s="148" t="str">
        <f>IFERROR(IF(INDEX('Portfolio Register'!$CZ$5:$CZ$304,MATCH($B163,'Portfolio Register'!$DH$5:$DH$304,0))="","",INDEX('Portfolio Register'!$CZ$5:$CZ$304,MATCH($B163,'Portfolio Register'!$DH$5:$DH$304,0))),"")</f>
        <v/>
      </c>
      <c r="J163" s="148" t="str">
        <f>IFERROR(IF(INDEX('Portfolio Register'!$DA$5:$DA$304,MATCH($B163,'Portfolio Register'!$DH$5:$DH$304,0))="","",INDEX('Portfolio Register'!$DA$5:$DA$304,MATCH($B163,'Portfolio Register'!$DH$5:$DH$304,0))),"")</f>
        <v/>
      </c>
      <c r="K163" s="148" t="str">
        <f>IFERROR(IF(INDEX('Portfolio Register'!$DB$5:$DB$304,MATCH($B163,'Portfolio Register'!$DH$5:$DH$304,0))="","",INDEX('Portfolio Register'!$DB$5:$DB$304,MATCH($B163,'Portfolio Register'!$DH$5:$DH$304,0))),"")</f>
        <v/>
      </c>
      <c r="L163" s="148" t="str">
        <f>IFERROR(IF(INDEX('Portfolio Register'!$DC$5:$DC$304,MATCH($B163,'Portfolio Register'!$DH$5:$DH$304,0))="","",INDEX('Portfolio Register'!$DC$5:$DC$304,MATCH($B163,'Portfolio Register'!$DH$5:$DH$304,0))),"")</f>
        <v/>
      </c>
      <c r="M163" s="151" t="str">
        <f>IFERROR(IF(INDEX('Portfolio Register'!$DD$5:$DD$304,MATCH($B163,'Portfolio Register'!$DH$5:$DH$304,0))="","",INDEX('Portfolio Register'!$DD$5:$DD$304,MATCH($B163,'Portfolio Register'!$DH$5:$DH$304,0))),"")</f>
        <v/>
      </c>
      <c r="N163" s="152" t="str">
        <f ca="1">IF($C163="","",IF($M163&lt;&gt;"",$M163-IFERROR(INDEX('Portfolio Register'!$C$5:$C$304,MATCH($B163,'Portfolio Register'!$DH$5:$DH$304,0)),$M163),TODAY()-IFERROR(INDEX('Portfolio Register'!$C$5:$C$304,MATCH($B163,'Portfolio Register'!$DH$5:$DH$304,0)),TODAY())))</f>
        <v/>
      </c>
      <c r="O163" s="153" t="str">
        <f t="shared" si="4"/>
        <v/>
      </c>
      <c r="P163" s="148" t="str">
        <f>IFERROR(IF(INDEX('Portfolio Register'!$DG$5:$DG$304,MATCH($B163,'Portfolio Register'!$DH$5:$DH$304,0))="","",INDEX('Portfolio Register'!$DG$5:$DG$304,MATCH($B163,'Portfolio Register'!$DH$5:$DH$304,0))),"")</f>
        <v/>
      </c>
      <c r="Q163" s="148" t="str">
        <f>IFERROR(IF(INDEX('Portfolio Register'!$DF$5:$DF$304,MATCH($B163,'Portfolio Register'!$DH$5:$DH$304,0))="","",INDEX('Portfolio Register'!$DF$5:$DF$304,MATCH($B163,'Portfolio Register'!$DH$5:$DH$304,0))),"")</f>
        <v/>
      </c>
    </row>
    <row r="164" spans="2:17" x14ac:dyDescent="0.35">
      <c r="B164" s="58">
        <v>137</v>
      </c>
      <c r="C164" s="142" t="str">
        <f>IFERROR(IF(INDEX('Portfolio Register'!$A$5:$A$304,MATCH($B164,'Portfolio Register'!$DH$5:$DH$304,0))="","",INDEX('Portfolio Register'!$A$5:$A$304,MATCH($B164,'Portfolio Register'!$DH$5:$DH$304,0))),"")</f>
        <v/>
      </c>
      <c r="D164" s="142" t="str">
        <f>IFERROR(IF(INDEX('Portfolio Register'!$B$5:$B$304,MATCH($B164,'Portfolio Register'!$DH$5:$DH$304,0))="","",INDEX('Portfolio Register'!$B$5:$B$304,MATCH($B164,'Portfolio Register'!$DH$5:$DH$304,0))),"")</f>
        <v/>
      </c>
      <c r="E164" s="142" t="str">
        <f>IFERROR(IF(INDEX('Portfolio Register'!$I$5:$I$304,MATCH($B164,'Portfolio Register'!$DH$5:$DH$304,0))="","",INDEX('Portfolio Register'!$I$5:$I$304,MATCH($B164,'Portfolio Register'!$DH$5:$DH$304,0))),"")</f>
        <v/>
      </c>
      <c r="F164" s="143" t="str">
        <f>IFERROR(IF(INDEX('Portfolio Register'!$J$5:$J$304,MATCH($B164,'Portfolio Register'!$DH$5:$DH$304,0))="","",INDEX('Portfolio Register'!$J$5:$J$304,MATCH($B164,'Portfolio Register'!$DH$5:$DH$304,0))),"")</f>
        <v/>
      </c>
      <c r="G164" s="142" t="str">
        <f>IFERROR(IF(INDEX('Portfolio Register'!$CX$5:$CX$304,MATCH($B164,'Portfolio Register'!$DH$5:$DH$304,0))="","",INDEX('Portfolio Register'!$CX$5:$CX$304,MATCH($B164,'Portfolio Register'!$DH$5:$DH$304,0))),"")</f>
        <v/>
      </c>
      <c r="H164" s="144" t="str">
        <f>IFERROR(IF(INDEX('Portfolio Register'!$CY$5:$CY$304,MATCH($B164,'Portfolio Register'!$DH$5:$DH$304,0))="","",INDEX('Portfolio Register'!$CY$5:$CY$304,MATCH($B164,'Portfolio Register'!$DH$5:$DH$304,0))),"")</f>
        <v/>
      </c>
      <c r="I164" s="142" t="str">
        <f>IFERROR(IF(INDEX('Portfolio Register'!$CZ$5:$CZ$304,MATCH($B164,'Portfolio Register'!$DH$5:$DH$304,0))="","",INDEX('Portfolio Register'!$CZ$5:$CZ$304,MATCH($B164,'Portfolio Register'!$DH$5:$DH$304,0))),"")</f>
        <v/>
      </c>
      <c r="J164" s="142" t="str">
        <f>IFERROR(IF(INDEX('Portfolio Register'!$DA$5:$DA$304,MATCH($B164,'Portfolio Register'!$DH$5:$DH$304,0))="","",INDEX('Portfolio Register'!$DA$5:$DA$304,MATCH($B164,'Portfolio Register'!$DH$5:$DH$304,0))),"")</f>
        <v/>
      </c>
      <c r="K164" s="142" t="str">
        <f>IFERROR(IF(INDEX('Portfolio Register'!$DB$5:$DB$304,MATCH($B164,'Portfolio Register'!$DH$5:$DH$304,0))="","",INDEX('Portfolio Register'!$DB$5:$DB$304,MATCH($B164,'Portfolio Register'!$DH$5:$DH$304,0))),"")</f>
        <v/>
      </c>
      <c r="L164" s="142" t="str">
        <f>IFERROR(IF(INDEX('Portfolio Register'!$DC$5:$DC$304,MATCH($B164,'Portfolio Register'!$DH$5:$DH$304,0))="","",INDEX('Portfolio Register'!$DC$5:$DC$304,MATCH($B164,'Portfolio Register'!$DH$5:$DH$304,0))),"")</f>
        <v/>
      </c>
      <c r="M164" s="145" t="str">
        <f>IFERROR(IF(INDEX('Portfolio Register'!$DD$5:$DD$304,MATCH($B164,'Portfolio Register'!$DH$5:$DH$304,0))="","",INDEX('Portfolio Register'!$DD$5:$DD$304,MATCH($B164,'Portfolio Register'!$DH$5:$DH$304,0))),"")</f>
        <v/>
      </c>
      <c r="N164" s="146" t="str">
        <f ca="1">IF($C164="","",IF($M164&lt;&gt;"",$M164-IFERROR(INDEX('Portfolio Register'!$C$5:$C$304,MATCH($B164,'Portfolio Register'!$DH$5:$DH$304,0)),$M164),TODAY()-IFERROR(INDEX('Portfolio Register'!$C$5:$C$304,MATCH($B164,'Portfolio Register'!$DH$5:$DH$304,0)),TODAY())))</f>
        <v/>
      </c>
      <c r="O164" s="147" t="str">
        <f t="shared" si="4"/>
        <v/>
      </c>
      <c r="P164" s="142" t="str">
        <f>IFERROR(IF(INDEX('Portfolio Register'!$DG$5:$DG$304,MATCH($B164,'Portfolio Register'!$DH$5:$DH$304,0))="","",INDEX('Portfolio Register'!$DG$5:$DG$304,MATCH($B164,'Portfolio Register'!$DH$5:$DH$304,0))),"")</f>
        <v/>
      </c>
      <c r="Q164" s="142" t="str">
        <f>IFERROR(IF(INDEX('Portfolio Register'!$DF$5:$DF$304,MATCH($B164,'Portfolio Register'!$DH$5:$DH$304,0))="","",INDEX('Portfolio Register'!$DF$5:$DF$304,MATCH($B164,'Portfolio Register'!$DH$5:$DH$304,0))),"")</f>
        <v/>
      </c>
    </row>
    <row r="165" spans="2:17" x14ac:dyDescent="0.35">
      <c r="B165" s="65">
        <v>138</v>
      </c>
      <c r="C165" s="148" t="str">
        <f>IFERROR(IF(INDEX('Portfolio Register'!$A$5:$A$304,MATCH($B165,'Portfolio Register'!$DH$5:$DH$304,0))="","",INDEX('Portfolio Register'!$A$5:$A$304,MATCH($B165,'Portfolio Register'!$DH$5:$DH$304,0))),"")</f>
        <v/>
      </c>
      <c r="D165" s="148" t="str">
        <f>IFERROR(IF(INDEX('Portfolio Register'!$B$5:$B$304,MATCH($B165,'Portfolio Register'!$DH$5:$DH$304,0))="","",INDEX('Portfolio Register'!$B$5:$B$304,MATCH($B165,'Portfolio Register'!$DH$5:$DH$304,0))),"")</f>
        <v/>
      </c>
      <c r="E165" s="148" t="str">
        <f>IFERROR(IF(INDEX('Portfolio Register'!$I$5:$I$304,MATCH($B165,'Portfolio Register'!$DH$5:$DH$304,0))="","",INDEX('Portfolio Register'!$I$5:$I$304,MATCH($B165,'Portfolio Register'!$DH$5:$DH$304,0))),"")</f>
        <v/>
      </c>
      <c r="F165" s="149" t="str">
        <f>IFERROR(IF(INDEX('Portfolio Register'!$J$5:$J$304,MATCH($B165,'Portfolio Register'!$DH$5:$DH$304,0))="","",INDEX('Portfolio Register'!$J$5:$J$304,MATCH($B165,'Portfolio Register'!$DH$5:$DH$304,0))),"")</f>
        <v/>
      </c>
      <c r="G165" s="148" t="str">
        <f>IFERROR(IF(INDEX('Portfolio Register'!$CX$5:$CX$304,MATCH($B165,'Portfolio Register'!$DH$5:$DH$304,0))="","",INDEX('Portfolio Register'!$CX$5:$CX$304,MATCH($B165,'Portfolio Register'!$DH$5:$DH$304,0))),"")</f>
        <v/>
      </c>
      <c r="H165" s="150" t="str">
        <f>IFERROR(IF(INDEX('Portfolio Register'!$CY$5:$CY$304,MATCH($B165,'Portfolio Register'!$DH$5:$DH$304,0))="","",INDEX('Portfolio Register'!$CY$5:$CY$304,MATCH($B165,'Portfolio Register'!$DH$5:$DH$304,0))),"")</f>
        <v/>
      </c>
      <c r="I165" s="148" t="str">
        <f>IFERROR(IF(INDEX('Portfolio Register'!$CZ$5:$CZ$304,MATCH($B165,'Portfolio Register'!$DH$5:$DH$304,0))="","",INDEX('Portfolio Register'!$CZ$5:$CZ$304,MATCH($B165,'Portfolio Register'!$DH$5:$DH$304,0))),"")</f>
        <v/>
      </c>
      <c r="J165" s="148" t="str">
        <f>IFERROR(IF(INDEX('Portfolio Register'!$DA$5:$DA$304,MATCH($B165,'Portfolio Register'!$DH$5:$DH$304,0))="","",INDEX('Portfolio Register'!$DA$5:$DA$304,MATCH($B165,'Portfolio Register'!$DH$5:$DH$304,0))),"")</f>
        <v/>
      </c>
      <c r="K165" s="148" t="str">
        <f>IFERROR(IF(INDEX('Portfolio Register'!$DB$5:$DB$304,MATCH($B165,'Portfolio Register'!$DH$5:$DH$304,0))="","",INDEX('Portfolio Register'!$DB$5:$DB$304,MATCH($B165,'Portfolio Register'!$DH$5:$DH$304,0))),"")</f>
        <v/>
      </c>
      <c r="L165" s="148" t="str">
        <f>IFERROR(IF(INDEX('Portfolio Register'!$DC$5:$DC$304,MATCH($B165,'Portfolio Register'!$DH$5:$DH$304,0))="","",INDEX('Portfolio Register'!$DC$5:$DC$304,MATCH($B165,'Portfolio Register'!$DH$5:$DH$304,0))),"")</f>
        <v/>
      </c>
      <c r="M165" s="151" t="str">
        <f>IFERROR(IF(INDEX('Portfolio Register'!$DD$5:$DD$304,MATCH($B165,'Portfolio Register'!$DH$5:$DH$304,0))="","",INDEX('Portfolio Register'!$DD$5:$DD$304,MATCH($B165,'Portfolio Register'!$DH$5:$DH$304,0))),"")</f>
        <v/>
      </c>
      <c r="N165" s="152" t="str">
        <f ca="1">IF($C165="","",IF($M165&lt;&gt;"",$M165-IFERROR(INDEX('Portfolio Register'!$C$5:$C$304,MATCH($B165,'Portfolio Register'!$DH$5:$DH$304,0)),$M165),TODAY()-IFERROR(INDEX('Portfolio Register'!$C$5:$C$304,MATCH($B165,'Portfolio Register'!$DH$5:$DH$304,0)),TODAY())))</f>
        <v/>
      </c>
      <c r="O165" s="153" t="str">
        <f t="shared" si="4"/>
        <v/>
      </c>
      <c r="P165" s="148" t="str">
        <f>IFERROR(IF(INDEX('Portfolio Register'!$DG$5:$DG$304,MATCH($B165,'Portfolio Register'!$DH$5:$DH$304,0))="","",INDEX('Portfolio Register'!$DG$5:$DG$304,MATCH($B165,'Portfolio Register'!$DH$5:$DH$304,0))),"")</f>
        <v/>
      </c>
      <c r="Q165" s="148" t="str">
        <f>IFERROR(IF(INDEX('Portfolio Register'!$DF$5:$DF$304,MATCH($B165,'Portfolio Register'!$DH$5:$DH$304,0))="","",INDEX('Portfolio Register'!$DF$5:$DF$304,MATCH($B165,'Portfolio Register'!$DH$5:$DH$304,0))),"")</f>
        <v/>
      </c>
    </row>
    <row r="166" spans="2:17" x14ac:dyDescent="0.35">
      <c r="B166" s="58">
        <v>139</v>
      </c>
      <c r="C166" s="142" t="str">
        <f>IFERROR(IF(INDEX('Portfolio Register'!$A$5:$A$304,MATCH($B166,'Portfolio Register'!$DH$5:$DH$304,0))="","",INDEX('Portfolio Register'!$A$5:$A$304,MATCH($B166,'Portfolio Register'!$DH$5:$DH$304,0))),"")</f>
        <v/>
      </c>
      <c r="D166" s="142" t="str">
        <f>IFERROR(IF(INDEX('Portfolio Register'!$B$5:$B$304,MATCH($B166,'Portfolio Register'!$DH$5:$DH$304,0))="","",INDEX('Portfolio Register'!$B$5:$B$304,MATCH($B166,'Portfolio Register'!$DH$5:$DH$304,0))),"")</f>
        <v/>
      </c>
      <c r="E166" s="142" t="str">
        <f>IFERROR(IF(INDEX('Portfolio Register'!$I$5:$I$304,MATCH($B166,'Portfolio Register'!$DH$5:$DH$304,0))="","",INDEX('Portfolio Register'!$I$5:$I$304,MATCH($B166,'Portfolio Register'!$DH$5:$DH$304,0))),"")</f>
        <v/>
      </c>
      <c r="F166" s="143" t="str">
        <f>IFERROR(IF(INDEX('Portfolio Register'!$J$5:$J$304,MATCH($B166,'Portfolio Register'!$DH$5:$DH$304,0))="","",INDEX('Portfolio Register'!$J$5:$J$304,MATCH($B166,'Portfolio Register'!$DH$5:$DH$304,0))),"")</f>
        <v/>
      </c>
      <c r="G166" s="142" t="str">
        <f>IFERROR(IF(INDEX('Portfolio Register'!$CX$5:$CX$304,MATCH($B166,'Portfolio Register'!$DH$5:$DH$304,0))="","",INDEX('Portfolio Register'!$CX$5:$CX$304,MATCH($B166,'Portfolio Register'!$DH$5:$DH$304,0))),"")</f>
        <v/>
      </c>
      <c r="H166" s="144" t="str">
        <f>IFERROR(IF(INDEX('Portfolio Register'!$CY$5:$CY$304,MATCH($B166,'Portfolio Register'!$DH$5:$DH$304,0))="","",INDEX('Portfolio Register'!$CY$5:$CY$304,MATCH($B166,'Portfolio Register'!$DH$5:$DH$304,0))),"")</f>
        <v/>
      </c>
      <c r="I166" s="142" t="str">
        <f>IFERROR(IF(INDEX('Portfolio Register'!$CZ$5:$CZ$304,MATCH($B166,'Portfolio Register'!$DH$5:$DH$304,0))="","",INDEX('Portfolio Register'!$CZ$5:$CZ$304,MATCH($B166,'Portfolio Register'!$DH$5:$DH$304,0))),"")</f>
        <v/>
      </c>
      <c r="J166" s="142" t="str">
        <f>IFERROR(IF(INDEX('Portfolio Register'!$DA$5:$DA$304,MATCH($B166,'Portfolio Register'!$DH$5:$DH$304,0))="","",INDEX('Portfolio Register'!$DA$5:$DA$304,MATCH($B166,'Portfolio Register'!$DH$5:$DH$304,0))),"")</f>
        <v/>
      </c>
      <c r="K166" s="142" t="str">
        <f>IFERROR(IF(INDEX('Portfolio Register'!$DB$5:$DB$304,MATCH($B166,'Portfolio Register'!$DH$5:$DH$304,0))="","",INDEX('Portfolio Register'!$DB$5:$DB$304,MATCH($B166,'Portfolio Register'!$DH$5:$DH$304,0))),"")</f>
        <v/>
      </c>
      <c r="L166" s="142" t="str">
        <f>IFERROR(IF(INDEX('Portfolio Register'!$DC$5:$DC$304,MATCH($B166,'Portfolio Register'!$DH$5:$DH$304,0))="","",INDEX('Portfolio Register'!$DC$5:$DC$304,MATCH($B166,'Portfolio Register'!$DH$5:$DH$304,0))),"")</f>
        <v/>
      </c>
      <c r="M166" s="145" t="str">
        <f>IFERROR(IF(INDEX('Portfolio Register'!$DD$5:$DD$304,MATCH($B166,'Portfolio Register'!$DH$5:$DH$304,0))="","",INDEX('Portfolio Register'!$DD$5:$DD$304,MATCH($B166,'Portfolio Register'!$DH$5:$DH$304,0))),"")</f>
        <v/>
      </c>
      <c r="N166" s="146" t="str">
        <f ca="1">IF($C166="","",IF($M166&lt;&gt;"",$M166-IFERROR(INDEX('Portfolio Register'!$C$5:$C$304,MATCH($B166,'Portfolio Register'!$DH$5:$DH$304,0)),$M166),TODAY()-IFERROR(INDEX('Portfolio Register'!$C$5:$C$304,MATCH($B166,'Portfolio Register'!$DH$5:$DH$304,0)),TODAY())))</f>
        <v/>
      </c>
      <c r="O166" s="147" t="str">
        <f t="shared" si="4"/>
        <v/>
      </c>
      <c r="P166" s="142" t="str">
        <f>IFERROR(IF(INDEX('Portfolio Register'!$DG$5:$DG$304,MATCH($B166,'Portfolio Register'!$DH$5:$DH$304,0))="","",INDEX('Portfolio Register'!$DG$5:$DG$304,MATCH($B166,'Portfolio Register'!$DH$5:$DH$304,0))),"")</f>
        <v/>
      </c>
      <c r="Q166" s="142" t="str">
        <f>IFERROR(IF(INDEX('Portfolio Register'!$DF$5:$DF$304,MATCH($B166,'Portfolio Register'!$DH$5:$DH$304,0))="","",INDEX('Portfolio Register'!$DF$5:$DF$304,MATCH($B166,'Portfolio Register'!$DH$5:$DH$304,0))),"")</f>
        <v/>
      </c>
    </row>
    <row r="167" spans="2:17" x14ac:dyDescent="0.35">
      <c r="B167" s="65">
        <v>140</v>
      </c>
      <c r="C167" s="148" t="str">
        <f>IFERROR(IF(INDEX('Portfolio Register'!$A$5:$A$304,MATCH($B167,'Portfolio Register'!$DH$5:$DH$304,0))="","",INDEX('Portfolio Register'!$A$5:$A$304,MATCH($B167,'Portfolio Register'!$DH$5:$DH$304,0))),"")</f>
        <v/>
      </c>
      <c r="D167" s="148" t="str">
        <f>IFERROR(IF(INDEX('Portfolio Register'!$B$5:$B$304,MATCH($B167,'Portfolio Register'!$DH$5:$DH$304,0))="","",INDEX('Portfolio Register'!$B$5:$B$304,MATCH($B167,'Portfolio Register'!$DH$5:$DH$304,0))),"")</f>
        <v/>
      </c>
      <c r="E167" s="148" t="str">
        <f>IFERROR(IF(INDEX('Portfolio Register'!$I$5:$I$304,MATCH($B167,'Portfolio Register'!$DH$5:$DH$304,0))="","",INDEX('Portfolio Register'!$I$5:$I$304,MATCH($B167,'Portfolio Register'!$DH$5:$DH$304,0))),"")</f>
        <v/>
      </c>
      <c r="F167" s="149" t="str">
        <f>IFERROR(IF(INDEX('Portfolio Register'!$J$5:$J$304,MATCH($B167,'Portfolio Register'!$DH$5:$DH$304,0))="","",INDEX('Portfolio Register'!$J$5:$J$304,MATCH($B167,'Portfolio Register'!$DH$5:$DH$304,0))),"")</f>
        <v/>
      </c>
      <c r="G167" s="148" t="str">
        <f>IFERROR(IF(INDEX('Portfolio Register'!$CX$5:$CX$304,MATCH($B167,'Portfolio Register'!$DH$5:$DH$304,0))="","",INDEX('Portfolio Register'!$CX$5:$CX$304,MATCH($B167,'Portfolio Register'!$DH$5:$DH$304,0))),"")</f>
        <v/>
      </c>
      <c r="H167" s="150" t="str">
        <f>IFERROR(IF(INDEX('Portfolio Register'!$CY$5:$CY$304,MATCH($B167,'Portfolio Register'!$DH$5:$DH$304,0))="","",INDEX('Portfolio Register'!$CY$5:$CY$304,MATCH($B167,'Portfolio Register'!$DH$5:$DH$304,0))),"")</f>
        <v/>
      </c>
      <c r="I167" s="148" t="str">
        <f>IFERROR(IF(INDEX('Portfolio Register'!$CZ$5:$CZ$304,MATCH($B167,'Portfolio Register'!$DH$5:$DH$304,0))="","",INDEX('Portfolio Register'!$CZ$5:$CZ$304,MATCH($B167,'Portfolio Register'!$DH$5:$DH$304,0))),"")</f>
        <v/>
      </c>
      <c r="J167" s="148" t="str">
        <f>IFERROR(IF(INDEX('Portfolio Register'!$DA$5:$DA$304,MATCH($B167,'Portfolio Register'!$DH$5:$DH$304,0))="","",INDEX('Portfolio Register'!$DA$5:$DA$304,MATCH($B167,'Portfolio Register'!$DH$5:$DH$304,0))),"")</f>
        <v/>
      </c>
      <c r="K167" s="148" t="str">
        <f>IFERROR(IF(INDEX('Portfolio Register'!$DB$5:$DB$304,MATCH($B167,'Portfolio Register'!$DH$5:$DH$304,0))="","",INDEX('Portfolio Register'!$DB$5:$DB$304,MATCH($B167,'Portfolio Register'!$DH$5:$DH$304,0))),"")</f>
        <v/>
      </c>
      <c r="L167" s="148" t="str">
        <f>IFERROR(IF(INDEX('Portfolio Register'!$DC$5:$DC$304,MATCH($B167,'Portfolio Register'!$DH$5:$DH$304,0))="","",INDEX('Portfolio Register'!$DC$5:$DC$304,MATCH($B167,'Portfolio Register'!$DH$5:$DH$304,0))),"")</f>
        <v/>
      </c>
      <c r="M167" s="151" t="str">
        <f>IFERROR(IF(INDEX('Portfolio Register'!$DD$5:$DD$304,MATCH($B167,'Portfolio Register'!$DH$5:$DH$304,0))="","",INDEX('Portfolio Register'!$DD$5:$DD$304,MATCH($B167,'Portfolio Register'!$DH$5:$DH$304,0))),"")</f>
        <v/>
      </c>
      <c r="N167" s="152" t="str">
        <f ca="1">IF($C167="","",IF($M167&lt;&gt;"",$M167-IFERROR(INDEX('Portfolio Register'!$C$5:$C$304,MATCH($B167,'Portfolio Register'!$DH$5:$DH$304,0)),$M167),TODAY()-IFERROR(INDEX('Portfolio Register'!$C$5:$C$304,MATCH($B167,'Portfolio Register'!$DH$5:$DH$304,0)),TODAY())))</f>
        <v/>
      </c>
      <c r="O167" s="153" t="str">
        <f t="shared" si="4"/>
        <v/>
      </c>
      <c r="P167" s="148" t="str">
        <f>IFERROR(IF(INDEX('Portfolio Register'!$DG$5:$DG$304,MATCH($B167,'Portfolio Register'!$DH$5:$DH$304,0))="","",INDEX('Portfolio Register'!$DG$5:$DG$304,MATCH($B167,'Portfolio Register'!$DH$5:$DH$304,0))),"")</f>
        <v/>
      </c>
      <c r="Q167" s="148" t="str">
        <f>IFERROR(IF(INDEX('Portfolio Register'!$DF$5:$DF$304,MATCH($B167,'Portfolio Register'!$DH$5:$DH$304,0))="","",INDEX('Portfolio Register'!$DF$5:$DF$304,MATCH($B167,'Portfolio Register'!$DH$5:$DH$304,0))),"")</f>
        <v/>
      </c>
    </row>
    <row r="168" spans="2:17" x14ac:dyDescent="0.35">
      <c r="B168" s="58">
        <v>141</v>
      </c>
      <c r="C168" s="142" t="str">
        <f>IFERROR(IF(INDEX('Portfolio Register'!$A$5:$A$304,MATCH($B168,'Portfolio Register'!$DH$5:$DH$304,0))="","",INDEX('Portfolio Register'!$A$5:$A$304,MATCH($B168,'Portfolio Register'!$DH$5:$DH$304,0))),"")</f>
        <v/>
      </c>
      <c r="D168" s="142" t="str">
        <f>IFERROR(IF(INDEX('Portfolio Register'!$B$5:$B$304,MATCH($B168,'Portfolio Register'!$DH$5:$DH$304,0))="","",INDEX('Portfolio Register'!$B$5:$B$304,MATCH($B168,'Portfolio Register'!$DH$5:$DH$304,0))),"")</f>
        <v/>
      </c>
      <c r="E168" s="142" t="str">
        <f>IFERROR(IF(INDEX('Portfolio Register'!$I$5:$I$304,MATCH($B168,'Portfolio Register'!$DH$5:$DH$304,0))="","",INDEX('Portfolio Register'!$I$5:$I$304,MATCH($B168,'Portfolio Register'!$DH$5:$DH$304,0))),"")</f>
        <v/>
      </c>
      <c r="F168" s="143" t="str">
        <f>IFERROR(IF(INDEX('Portfolio Register'!$J$5:$J$304,MATCH($B168,'Portfolio Register'!$DH$5:$DH$304,0))="","",INDEX('Portfolio Register'!$J$5:$J$304,MATCH($B168,'Portfolio Register'!$DH$5:$DH$304,0))),"")</f>
        <v/>
      </c>
      <c r="G168" s="142" t="str">
        <f>IFERROR(IF(INDEX('Portfolio Register'!$CX$5:$CX$304,MATCH($B168,'Portfolio Register'!$DH$5:$DH$304,0))="","",INDEX('Portfolio Register'!$CX$5:$CX$304,MATCH($B168,'Portfolio Register'!$DH$5:$DH$304,0))),"")</f>
        <v/>
      </c>
      <c r="H168" s="144" t="str">
        <f>IFERROR(IF(INDEX('Portfolio Register'!$CY$5:$CY$304,MATCH($B168,'Portfolio Register'!$DH$5:$DH$304,0))="","",INDEX('Portfolio Register'!$CY$5:$CY$304,MATCH($B168,'Portfolio Register'!$DH$5:$DH$304,0))),"")</f>
        <v/>
      </c>
      <c r="I168" s="142" t="str">
        <f>IFERROR(IF(INDEX('Portfolio Register'!$CZ$5:$CZ$304,MATCH($B168,'Portfolio Register'!$DH$5:$DH$304,0))="","",INDEX('Portfolio Register'!$CZ$5:$CZ$304,MATCH($B168,'Portfolio Register'!$DH$5:$DH$304,0))),"")</f>
        <v/>
      </c>
      <c r="J168" s="142" t="str">
        <f>IFERROR(IF(INDEX('Portfolio Register'!$DA$5:$DA$304,MATCH($B168,'Portfolio Register'!$DH$5:$DH$304,0))="","",INDEX('Portfolio Register'!$DA$5:$DA$304,MATCH($B168,'Portfolio Register'!$DH$5:$DH$304,0))),"")</f>
        <v/>
      </c>
      <c r="K168" s="142" t="str">
        <f>IFERROR(IF(INDEX('Portfolio Register'!$DB$5:$DB$304,MATCH($B168,'Portfolio Register'!$DH$5:$DH$304,0))="","",INDEX('Portfolio Register'!$DB$5:$DB$304,MATCH($B168,'Portfolio Register'!$DH$5:$DH$304,0))),"")</f>
        <v/>
      </c>
      <c r="L168" s="142" t="str">
        <f>IFERROR(IF(INDEX('Portfolio Register'!$DC$5:$DC$304,MATCH($B168,'Portfolio Register'!$DH$5:$DH$304,0))="","",INDEX('Portfolio Register'!$DC$5:$DC$304,MATCH($B168,'Portfolio Register'!$DH$5:$DH$304,0))),"")</f>
        <v/>
      </c>
      <c r="M168" s="145" t="str">
        <f>IFERROR(IF(INDEX('Portfolio Register'!$DD$5:$DD$304,MATCH($B168,'Portfolio Register'!$DH$5:$DH$304,0))="","",INDEX('Portfolio Register'!$DD$5:$DD$304,MATCH($B168,'Portfolio Register'!$DH$5:$DH$304,0))),"")</f>
        <v/>
      </c>
      <c r="N168" s="146" t="str">
        <f ca="1">IF($C168="","",IF($M168&lt;&gt;"",$M168-IFERROR(INDEX('Portfolio Register'!$C$5:$C$304,MATCH($B168,'Portfolio Register'!$DH$5:$DH$304,0)),$M168),TODAY()-IFERROR(INDEX('Portfolio Register'!$C$5:$C$304,MATCH($B168,'Portfolio Register'!$DH$5:$DH$304,0)),TODAY())))</f>
        <v/>
      </c>
      <c r="O168" s="147" t="str">
        <f t="shared" si="4"/>
        <v/>
      </c>
      <c r="P168" s="142" t="str">
        <f>IFERROR(IF(INDEX('Portfolio Register'!$DG$5:$DG$304,MATCH($B168,'Portfolio Register'!$DH$5:$DH$304,0))="","",INDEX('Portfolio Register'!$DG$5:$DG$304,MATCH($B168,'Portfolio Register'!$DH$5:$DH$304,0))),"")</f>
        <v/>
      </c>
      <c r="Q168" s="142" t="str">
        <f>IFERROR(IF(INDEX('Portfolio Register'!$DF$5:$DF$304,MATCH($B168,'Portfolio Register'!$DH$5:$DH$304,0))="","",INDEX('Portfolio Register'!$DF$5:$DF$304,MATCH($B168,'Portfolio Register'!$DH$5:$DH$304,0))),"")</f>
        <v/>
      </c>
    </row>
    <row r="169" spans="2:17" x14ac:dyDescent="0.35">
      <c r="B169" s="65">
        <v>142</v>
      </c>
      <c r="C169" s="148" t="str">
        <f>IFERROR(IF(INDEX('Portfolio Register'!$A$5:$A$304,MATCH($B169,'Portfolio Register'!$DH$5:$DH$304,0))="","",INDEX('Portfolio Register'!$A$5:$A$304,MATCH($B169,'Portfolio Register'!$DH$5:$DH$304,0))),"")</f>
        <v/>
      </c>
      <c r="D169" s="148" t="str">
        <f>IFERROR(IF(INDEX('Portfolio Register'!$B$5:$B$304,MATCH($B169,'Portfolio Register'!$DH$5:$DH$304,0))="","",INDEX('Portfolio Register'!$B$5:$B$304,MATCH($B169,'Portfolio Register'!$DH$5:$DH$304,0))),"")</f>
        <v/>
      </c>
      <c r="E169" s="148" t="str">
        <f>IFERROR(IF(INDEX('Portfolio Register'!$I$5:$I$304,MATCH($B169,'Portfolio Register'!$DH$5:$DH$304,0))="","",INDEX('Portfolio Register'!$I$5:$I$304,MATCH($B169,'Portfolio Register'!$DH$5:$DH$304,0))),"")</f>
        <v/>
      </c>
      <c r="F169" s="149" t="str">
        <f>IFERROR(IF(INDEX('Portfolio Register'!$J$5:$J$304,MATCH($B169,'Portfolio Register'!$DH$5:$DH$304,0))="","",INDEX('Portfolio Register'!$J$5:$J$304,MATCH($B169,'Portfolio Register'!$DH$5:$DH$304,0))),"")</f>
        <v/>
      </c>
      <c r="G169" s="148" t="str">
        <f>IFERROR(IF(INDEX('Portfolio Register'!$CX$5:$CX$304,MATCH($B169,'Portfolio Register'!$DH$5:$DH$304,0))="","",INDEX('Portfolio Register'!$CX$5:$CX$304,MATCH($B169,'Portfolio Register'!$DH$5:$DH$304,0))),"")</f>
        <v/>
      </c>
      <c r="H169" s="150" t="str">
        <f>IFERROR(IF(INDEX('Portfolio Register'!$CY$5:$CY$304,MATCH($B169,'Portfolio Register'!$DH$5:$DH$304,0))="","",INDEX('Portfolio Register'!$CY$5:$CY$304,MATCH($B169,'Portfolio Register'!$DH$5:$DH$304,0))),"")</f>
        <v/>
      </c>
      <c r="I169" s="148" t="str">
        <f>IFERROR(IF(INDEX('Portfolio Register'!$CZ$5:$CZ$304,MATCH($B169,'Portfolio Register'!$DH$5:$DH$304,0))="","",INDEX('Portfolio Register'!$CZ$5:$CZ$304,MATCH($B169,'Portfolio Register'!$DH$5:$DH$304,0))),"")</f>
        <v/>
      </c>
      <c r="J169" s="148" t="str">
        <f>IFERROR(IF(INDEX('Portfolio Register'!$DA$5:$DA$304,MATCH($B169,'Portfolio Register'!$DH$5:$DH$304,0))="","",INDEX('Portfolio Register'!$DA$5:$DA$304,MATCH($B169,'Portfolio Register'!$DH$5:$DH$304,0))),"")</f>
        <v/>
      </c>
      <c r="K169" s="148" t="str">
        <f>IFERROR(IF(INDEX('Portfolio Register'!$DB$5:$DB$304,MATCH($B169,'Portfolio Register'!$DH$5:$DH$304,0))="","",INDEX('Portfolio Register'!$DB$5:$DB$304,MATCH($B169,'Portfolio Register'!$DH$5:$DH$304,0))),"")</f>
        <v/>
      </c>
      <c r="L169" s="148" t="str">
        <f>IFERROR(IF(INDEX('Portfolio Register'!$DC$5:$DC$304,MATCH($B169,'Portfolio Register'!$DH$5:$DH$304,0))="","",INDEX('Portfolio Register'!$DC$5:$DC$304,MATCH($B169,'Portfolio Register'!$DH$5:$DH$304,0))),"")</f>
        <v/>
      </c>
      <c r="M169" s="151" t="str">
        <f>IFERROR(IF(INDEX('Portfolio Register'!$DD$5:$DD$304,MATCH($B169,'Portfolio Register'!$DH$5:$DH$304,0))="","",INDEX('Portfolio Register'!$DD$5:$DD$304,MATCH($B169,'Portfolio Register'!$DH$5:$DH$304,0))),"")</f>
        <v/>
      </c>
      <c r="N169" s="152" t="str">
        <f ca="1">IF($C169="","",IF($M169&lt;&gt;"",$M169-IFERROR(INDEX('Portfolio Register'!$C$5:$C$304,MATCH($B169,'Portfolio Register'!$DH$5:$DH$304,0)),$M169),TODAY()-IFERROR(INDEX('Portfolio Register'!$C$5:$C$304,MATCH($B169,'Portfolio Register'!$DH$5:$DH$304,0)),TODAY())))</f>
        <v/>
      </c>
      <c r="O169" s="153" t="str">
        <f t="shared" si="4"/>
        <v/>
      </c>
      <c r="P169" s="148" t="str">
        <f>IFERROR(IF(INDEX('Portfolio Register'!$DG$5:$DG$304,MATCH($B169,'Portfolio Register'!$DH$5:$DH$304,0))="","",INDEX('Portfolio Register'!$DG$5:$DG$304,MATCH($B169,'Portfolio Register'!$DH$5:$DH$304,0))),"")</f>
        <v/>
      </c>
      <c r="Q169" s="148" t="str">
        <f>IFERROR(IF(INDEX('Portfolio Register'!$DF$5:$DF$304,MATCH($B169,'Portfolio Register'!$DH$5:$DH$304,0))="","",INDEX('Portfolio Register'!$DF$5:$DF$304,MATCH($B169,'Portfolio Register'!$DH$5:$DH$304,0))),"")</f>
        <v/>
      </c>
    </row>
    <row r="170" spans="2:17" x14ac:dyDescent="0.35">
      <c r="B170" s="58">
        <v>143</v>
      </c>
      <c r="C170" s="142" t="str">
        <f>IFERROR(IF(INDEX('Portfolio Register'!$A$5:$A$304,MATCH($B170,'Portfolio Register'!$DH$5:$DH$304,0))="","",INDEX('Portfolio Register'!$A$5:$A$304,MATCH($B170,'Portfolio Register'!$DH$5:$DH$304,0))),"")</f>
        <v/>
      </c>
      <c r="D170" s="142" t="str">
        <f>IFERROR(IF(INDEX('Portfolio Register'!$B$5:$B$304,MATCH($B170,'Portfolio Register'!$DH$5:$DH$304,0))="","",INDEX('Portfolio Register'!$B$5:$B$304,MATCH($B170,'Portfolio Register'!$DH$5:$DH$304,0))),"")</f>
        <v/>
      </c>
      <c r="E170" s="142" t="str">
        <f>IFERROR(IF(INDEX('Portfolio Register'!$I$5:$I$304,MATCH($B170,'Portfolio Register'!$DH$5:$DH$304,0))="","",INDEX('Portfolio Register'!$I$5:$I$304,MATCH($B170,'Portfolio Register'!$DH$5:$DH$304,0))),"")</f>
        <v/>
      </c>
      <c r="F170" s="143" t="str">
        <f>IFERROR(IF(INDEX('Portfolio Register'!$J$5:$J$304,MATCH($B170,'Portfolio Register'!$DH$5:$DH$304,0))="","",INDEX('Portfolio Register'!$J$5:$J$304,MATCH($B170,'Portfolio Register'!$DH$5:$DH$304,0))),"")</f>
        <v/>
      </c>
      <c r="G170" s="142" t="str">
        <f>IFERROR(IF(INDEX('Portfolio Register'!$CX$5:$CX$304,MATCH($B170,'Portfolio Register'!$DH$5:$DH$304,0))="","",INDEX('Portfolio Register'!$CX$5:$CX$304,MATCH($B170,'Portfolio Register'!$DH$5:$DH$304,0))),"")</f>
        <v/>
      </c>
      <c r="H170" s="144" t="str">
        <f>IFERROR(IF(INDEX('Portfolio Register'!$CY$5:$CY$304,MATCH($B170,'Portfolio Register'!$DH$5:$DH$304,0))="","",INDEX('Portfolio Register'!$CY$5:$CY$304,MATCH($B170,'Portfolio Register'!$DH$5:$DH$304,0))),"")</f>
        <v/>
      </c>
      <c r="I170" s="142" t="str">
        <f>IFERROR(IF(INDEX('Portfolio Register'!$CZ$5:$CZ$304,MATCH($B170,'Portfolio Register'!$DH$5:$DH$304,0))="","",INDEX('Portfolio Register'!$CZ$5:$CZ$304,MATCH($B170,'Portfolio Register'!$DH$5:$DH$304,0))),"")</f>
        <v/>
      </c>
      <c r="J170" s="142" t="str">
        <f>IFERROR(IF(INDEX('Portfolio Register'!$DA$5:$DA$304,MATCH($B170,'Portfolio Register'!$DH$5:$DH$304,0))="","",INDEX('Portfolio Register'!$DA$5:$DA$304,MATCH($B170,'Portfolio Register'!$DH$5:$DH$304,0))),"")</f>
        <v/>
      </c>
      <c r="K170" s="142" t="str">
        <f>IFERROR(IF(INDEX('Portfolio Register'!$DB$5:$DB$304,MATCH($B170,'Portfolio Register'!$DH$5:$DH$304,0))="","",INDEX('Portfolio Register'!$DB$5:$DB$304,MATCH($B170,'Portfolio Register'!$DH$5:$DH$304,0))),"")</f>
        <v/>
      </c>
      <c r="L170" s="142" t="str">
        <f>IFERROR(IF(INDEX('Portfolio Register'!$DC$5:$DC$304,MATCH($B170,'Portfolio Register'!$DH$5:$DH$304,0))="","",INDEX('Portfolio Register'!$DC$5:$DC$304,MATCH($B170,'Portfolio Register'!$DH$5:$DH$304,0))),"")</f>
        <v/>
      </c>
      <c r="M170" s="145" t="str">
        <f>IFERROR(IF(INDEX('Portfolio Register'!$DD$5:$DD$304,MATCH($B170,'Portfolio Register'!$DH$5:$DH$304,0))="","",INDEX('Portfolio Register'!$DD$5:$DD$304,MATCH($B170,'Portfolio Register'!$DH$5:$DH$304,0))),"")</f>
        <v/>
      </c>
      <c r="N170" s="146" t="str">
        <f ca="1">IF($C170="","",IF($M170&lt;&gt;"",$M170-IFERROR(INDEX('Portfolio Register'!$C$5:$C$304,MATCH($B170,'Portfolio Register'!$DH$5:$DH$304,0)),$M170),TODAY()-IFERROR(INDEX('Portfolio Register'!$C$5:$C$304,MATCH($B170,'Portfolio Register'!$DH$5:$DH$304,0)),TODAY())))</f>
        <v/>
      </c>
      <c r="O170" s="147" t="str">
        <f t="shared" si="4"/>
        <v/>
      </c>
      <c r="P170" s="142" t="str">
        <f>IFERROR(IF(INDEX('Portfolio Register'!$DG$5:$DG$304,MATCH($B170,'Portfolio Register'!$DH$5:$DH$304,0))="","",INDEX('Portfolio Register'!$DG$5:$DG$304,MATCH($B170,'Portfolio Register'!$DH$5:$DH$304,0))),"")</f>
        <v/>
      </c>
      <c r="Q170" s="142" t="str">
        <f>IFERROR(IF(INDEX('Portfolio Register'!$DF$5:$DF$304,MATCH($B170,'Portfolio Register'!$DH$5:$DH$304,0))="","",INDEX('Portfolio Register'!$DF$5:$DF$304,MATCH($B170,'Portfolio Register'!$DH$5:$DH$304,0))),"")</f>
        <v/>
      </c>
    </row>
    <row r="171" spans="2:17" x14ac:dyDescent="0.35">
      <c r="B171" s="65">
        <v>144</v>
      </c>
      <c r="C171" s="148" t="str">
        <f>IFERROR(IF(INDEX('Portfolio Register'!$A$5:$A$304,MATCH($B171,'Portfolio Register'!$DH$5:$DH$304,0))="","",INDEX('Portfolio Register'!$A$5:$A$304,MATCH($B171,'Portfolio Register'!$DH$5:$DH$304,0))),"")</f>
        <v/>
      </c>
      <c r="D171" s="148" t="str">
        <f>IFERROR(IF(INDEX('Portfolio Register'!$B$5:$B$304,MATCH($B171,'Portfolio Register'!$DH$5:$DH$304,0))="","",INDEX('Portfolio Register'!$B$5:$B$304,MATCH($B171,'Portfolio Register'!$DH$5:$DH$304,0))),"")</f>
        <v/>
      </c>
      <c r="E171" s="148" t="str">
        <f>IFERROR(IF(INDEX('Portfolio Register'!$I$5:$I$304,MATCH($B171,'Portfolio Register'!$DH$5:$DH$304,0))="","",INDEX('Portfolio Register'!$I$5:$I$304,MATCH($B171,'Portfolio Register'!$DH$5:$DH$304,0))),"")</f>
        <v/>
      </c>
      <c r="F171" s="149" t="str">
        <f>IFERROR(IF(INDEX('Portfolio Register'!$J$5:$J$304,MATCH($B171,'Portfolio Register'!$DH$5:$DH$304,0))="","",INDEX('Portfolio Register'!$J$5:$J$304,MATCH($B171,'Portfolio Register'!$DH$5:$DH$304,0))),"")</f>
        <v/>
      </c>
      <c r="G171" s="148" t="str">
        <f>IFERROR(IF(INDEX('Portfolio Register'!$CX$5:$CX$304,MATCH($B171,'Portfolio Register'!$DH$5:$DH$304,0))="","",INDEX('Portfolio Register'!$CX$5:$CX$304,MATCH($B171,'Portfolio Register'!$DH$5:$DH$304,0))),"")</f>
        <v/>
      </c>
      <c r="H171" s="150" t="str">
        <f>IFERROR(IF(INDEX('Portfolio Register'!$CY$5:$CY$304,MATCH($B171,'Portfolio Register'!$DH$5:$DH$304,0))="","",INDEX('Portfolio Register'!$CY$5:$CY$304,MATCH($B171,'Portfolio Register'!$DH$5:$DH$304,0))),"")</f>
        <v/>
      </c>
      <c r="I171" s="148" t="str">
        <f>IFERROR(IF(INDEX('Portfolio Register'!$CZ$5:$CZ$304,MATCH($B171,'Portfolio Register'!$DH$5:$DH$304,0))="","",INDEX('Portfolio Register'!$CZ$5:$CZ$304,MATCH($B171,'Portfolio Register'!$DH$5:$DH$304,0))),"")</f>
        <v/>
      </c>
      <c r="J171" s="148" t="str">
        <f>IFERROR(IF(INDEX('Portfolio Register'!$DA$5:$DA$304,MATCH($B171,'Portfolio Register'!$DH$5:$DH$304,0))="","",INDEX('Portfolio Register'!$DA$5:$DA$304,MATCH($B171,'Portfolio Register'!$DH$5:$DH$304,0))),"")</f>
        <v/>
      </c>
      <c r="K171" s="148" t="str">
        <f>IFERROR(IF(INDEX('Portfolio Register'!$DB$5:$DB$304,MATCH($B171,'Portfolio Register'!$DH$5:$DH$304,0))="","",INDEX('Portfolio Register'!$DB$5:$DB$304,MATCH($B171,'Portfolio Register'!$DH$5:$DH$304,0))),"")</f>
        <v/>
      </c>
      <c r="L171" s="148" t="str">
        <f>IFERROR(IF(INDEX('Portfolio Register'!$DC$5:$DC$304,MATCH($B171,'Portfolio Register'!$DH$5:$DH$304,0))="","",INDEX('Portfolio Register'!$DC$5:$DC$304,MATCH($B171,'Portfolio Register'!$DH$5:$DH$304,0))),"")</f>
        <v/>
      </c>
      <c r="M171" s="151" t="str">
        <f>IFERROR(IF(INDEX('Portfolio Register'!$DD$5:$DD$304,MATCH($B171,'Portfolio Register'!$DH$5:$DH$304,0))="","",INDEX('Portfolio Register'!$DD$5:$DD$304,MATCH($B171,'Portfolio Register'!$DH$5:$DH$304,0))),"")</f>
        <v/>
      </c>
      <c r="N171" s="152" t="str">
        <f ca="1">IF($C171="","",IF($M171&lt;&gt;"",$M171-IFERROR(INDEX('Portfolio Register'!$C$5:$C$304,MATCH($B171,'Portfolio Register'!$DH$5:$DH$304,0)),$M171),TODAY()-IFERROR(INDEX('Portfolio Register'!$C$5:$C$304,MATCH($B171,'Portfolio Register'!$DH$5:$DH$304,0)),TODAY())))</f>
        <v/>
      </c>
      <c r="O171" s="153" t="str">
        <f t="shared" si="4"/>
        <v/>
      </c>
      <c r="P171" s="148" t="str">
        <f>IFERROR(IF(INDEX('Portfolio Register'!$DG$5:$DG$304,MATCH($B171,'Portfolio Register'!$DH$5:$DH$304,0))="","",INDEX('Portfolio Register'!$DG$5:$DG$304,MATCH($B171,'Portfolio Register'!$DH$5:$DH$304,0))),"")</f>
        <v/>
      </c>
      <c r="Q171" s="148" t="str">
        <f>IFERROR(IF(INDEX('Portfolio Register'!$DF$5:$DF$304,MATCH($B171,'Portfolio Register'!$DH$5:$DH$304,0))="","",INDEX('Portfolio Register'!$DF$5:$DF$304,MATCH($B171,'Portfolio Register'!$DH$5:$DH$304,0))),"")</f>
        <v/>
      </c>
    </row>
    <row r="172" spans="2:17" x14ac:dyDescent="0.35">
      <c r="B172" s="58">
        <v>145</v>
      </c>
      <c r="C172" s="142" t="str">
        <f>IFERROR(IF(INDEX('Portfolio Register'!$A$5:$A$304,MATCH($B172,'Portfolio Register'!$DH$5:$DH$304,0))="","",INDEX('Portfolio Register'!$A$5:$A$304,MATCH($B172,'Portfolio Register'!$DH$5:$DH$304,0))),"")</f>
        <v/>
      </c>
      <c r="D172" s="142" t="str">
        <f>IFERROR(IF(INDEX('Portfolio Register'!$B$5:$B$304,MATCH($B172,'Portfolio Register'!$DH$5:$DH$304,0))="","",INDEX('Portfolio Register'!$B$5:$B$304,MATCH($B172,'Portfolio Register'!$DH$5:$DH$304,0))),"")</f>
        <v/>
      </c>
      <c r="E172" s="142" t="str">
        <f>IFERROR(IF(INDEX('Portfolio Register'!$I$5:$I$304,MATCH($B172,'Portfolio Register'!$DH$5:$DH$304,0))="","",INDEX('Portfolio Register'!$I$5:$I$304,MATCH($B172,'Portfolio Register'!$DH$5:$DH$304,0))),"")</f>
        <v/>
      </c>
      <c r="F172" s="143" t="str">
        <f>IFERROR(IF(INDEX('Portfolio Register'!$J$5:$J$304,MATCH($B172,'Portfolio Register'!$DH$5:$DH$304,0))="","",INDEX('Portfolio Register'!$J$5:$J$304,MATCH($B172,'Portfolio Register'!$DH$5:$DH$304,0))),"")</f>
        <v/>
      </c>
      <c r="G172" s="142" t="str">
        <f>IFERROR(IF(INDEX('Portfolio Register'!$CX$5:$CX$304,MATCH($B172,'Portfolio Register'!$DH$5:$DH$304,0))="","",INDEX('Portfolio Register'!$CX$5:$CX$304,MATCH($B172,'Portfolio Register'!$DH$5:$DH$304,0))),"")</f>
        <v/>
      </c>
      <c r="H172" s="144" t="str">
        <f>IFERROR(IF(INDEX('Portfolio Register'!$CY$5:$CY$304,MATCH($B172,'Portfolio Register'!$DH$5:$DH$304,0))="","",INDEX('Portfolio Register'!$CY$5:$CY$304,MATCH($B172,'Portfolio Register'!$DH$5:$DH$304,0))),"")</f>
        <v/>
      </c>
      <c r="I172" s="142" t="str">
        <f>IFERROR(IF(INDEX('Portfolio Register'!$CZ$5:$CZ$304,MATCH($B172,'Portfolio Register'!$DH$5:$DH$304,0))="","",INDEX('Portfolio Register'!$CZ$5:$CZ$304,MATCH($B172,'Portfolio Register'!$DH$5:$DH$304,0))),"")</f>
        <v/>
      </c>
      <c r="J172" s="142" t="str">
        <f>IFERROR(IF(INDEX('Portfolio Register'!$DA$5:$DA$304,MATCH($B172,'Portfolio Register'!$DH$5:$DH$304,0))="","",INDEX('Portfolio Register'!$DA$5:$DA$304,MATCH($B172,'Portfolio Register'!$DH$5:$DH$304,0))),"")</f>
        <v/>
      </c>
      <c r="K172" s="142" t="str">
        <f>IFERROR(IF(INDEX('Portfolio Register'!$DB$5:$DB$304,MATCH($B172,'Portfolio Register'!$DH$5:$DH$304,0))="","",INDEX('Portfolio Register'!$DB$5:$DB$304,MATCH($B172,'Portfolio Register'!$DH$5:$DH$304,0))),"")</f>
        <v/>
      </c>
      <c r="L172" s="142" t="str">
        <f>IFERROR(IF(INDEX('Portfolio Register'!$DC$5:$DC$304,MATCH($B172,'Portfolio Register'!$DH$5:$DH$304,0))="","",INDEX('Portfolio Register'!$DC$5:$DC$304,MATCH($B172,'Portfolio Register'!$DH$5:$DH$304,0))),"")</f>
        <v/>
      </c>
      <c r="M172" s="145" t="str">
        <f>IFERROR(IF(INDEX('Portfolio Register'!$DD$5:$DD$304,MATCH($B172,'Portfolio Register'!$DH$5:$DH$304,0))="","",INDEX('Portfolio Register'!$DD$5:$DD$304,MATCH($B172,'Portfolio Register'!$DH$5:$DH$304,0))),"")</f>
        <v/>
      </c>
      <c r="N172" s="146" t="str">
        <f ca="1">IF($C172="","",IF($M172&lt;&gt;"",$M172-IFERROR(INDEX('Portfolio Register'!$C$5:$C$304,MATCH($B172,'Portfolio Register'!$DH$5:$DH$304,0)),$M172),TODAY()-IFERROR(INDEX('Portfolio Register'!$C$5:$C$304,MATCH($B172,'Portfolio Register'!$DH$5:$DH$304,0)),TODAY())))</f>
        <v/>
      </c>
      <c r="O172" s="147" t="str">
        <f t="shared" si="4"/>
        <v/>
      </c>
      <c r="P172" s="142" t="str">
        <f>IFERROR(IF(INDEX('Portfolio Register'!$DG$5:$DG$304,MATCH($B172,'Portfolio Register'!$DH$5:$DH$304,0))="","",INDEX('Portfolio Register'!$DG$5:$DG$304,MATCH($B172,'Portfolio Register'!$DH$5:$DH$304,0))),"")</f>
        <v/>
      </c>
      <c r="Q172" s="142" t="str">
        <f>IFERROR(IF(INDEX('Portfolio Register'!$DF$5:$DF$304,MATCH($B172,'Portfolio Register'!$DH$5:$DH$304,0))="","",INDEX('Portfolio Register'!$DF$5:$DF$304,MATCH($B172,'Portfolio Register'!$DH$5:$DH$304,0))),"")</f>
        <v/>
      </c>
    </row>
    <row r="173" spans="2:17" x14ac:dyDescent="0.35">
      <c r="B173" s="65">
        <v>146</v>
      </c>
      <c r="C173" s="148" t="str">
        <f>IFERROR(IF(INDEX('Portfolio Register'!$A$5:$A$304,MATCH($B173,'Portfolio Register'!$DH$5:$DH$304,0))="","",INDEX('Portfolio Register'!$A$5:$A$304,MATCH($B173,'Portfolio Register'!$DH$5:$DH$304,0))),"")</f>
        <v/>
      </c>
      <c r="D173" s="148" t="str">
        <f>IFERROR(IF(INDEX('Portfolio Register'!$B$5:$B$304,MATCH($B173,'Portfolio Register'!$DH$5:$DH$304,0))="","",INDEX('Portfolio Register'!$B$5:$B$304,MATCH($B173,'Portfolio Register'!$DH$5:$DH$304,0))),"")</f>
        <v/>
      </c>
      <c r="E173" s="148" t="str">
        <f>IFERROR(IF(INDEX('Portfolio Register'!$I$5:$I$304,MATCH($B173,'Portfolio Register'!$DH$5:$DH$304,0))="","",INDEX('Portfolio Register'!$I$5:$I$304,MATCH($B173,'Portfolio Register'!$DH$5:$DH$304,0))),"")</f>
        <v/>
      </c>
      <c r="F173" s="149" t="str">
        <f>IFERROR(IF(INDEX('Portfolio Register'!$J$5:$J$304,MATCH($B173,'Portfolio Register'!$DH$5:$DH$304,0))="","",INDEX('Portfolio Register'!$J$5:$J$304,MATCH($B173,'Portfolio Register'!$DH$5:$DH$304,0))),"")</f>
        <v/>
      </c>
      <c r="G173" s="148" t="str">
        <f>IFERROR(IF(INDEX('Portfolio Register'!$CX$5:$CX$304,MATCH($B173,'Portfolio Register'!$DH$5:$DH$304,0))="","",INDEX('Portfolio Register'!$CX$5:$CX$304,MATCH($B173,'Portfolio Register'!$DH$5:$DH$304,0))),"")</f>
        <v/>
      </c>
      <c r="H173" s="150" t="str">
        <f>IFERROR(IF(INDEX('Portfolio Register'!$CY$5:$CY$304,MATCH($B173,'Portfolio Register'!$DH$5:$DH$304,0))="","",INDEX('Portfolio Register'!$CY$5:$CY$304,MATCH($B173,'Portfolio Register'!$DH$5:$DH$304,0))),"")</f>
        <v/>
      </c>
      <c r="I173" s="148" t="str">
        <f>IFERROR(IF(INDEX('Portfolio Register'!$CZ$5:$CZ$304,MATCH($B173,'Portfolio Register'!$DH$5:$DH$304,0))="","",INDEX('Portfolio Register'!$CZ$5:$CZ$304,MATCH($B173,'Portfolio Register'!$DH$5:$DH$304,0))),"")</f>
        <v/>
      </c>
      <c r="J173" s="148" t="str">
        <f>IFERROR(IF(INDEX('Portfolio Register'!$DA$5:$DA$304,MATCH($B173,'Portfolio Register'!$DH$5:$DH$304,0))="","",INDEX('Portfolio Register'!$DA$5:$DA$304,MATCH($B173,'Portfolio Register'!$DH$5:$DH$304,0))),"")</f>
        <v/>
      </c>
      <c r="K173" s="148" t="str">
        <f>IFERROR(IF(INDEX('Portfolio Register'!$DB$5:$DB$304,MATCH($B173,'Portfolio Register'!$DH$5:$DH$304,0))="","",INDEX('Portfolio Register'!$DB$5:$DB$304,MATCH($B173,'Portfolio Register'!$DH$5:$DH$304,0))),"")</f>
        <v/>
      </c>
      <c r="L173" s="148" t="str">
        <f>IFERROR(IF(INDEX('Portfolio Register'!$DC$5:$DC$304,MATCH($B173,'Portfolio Register'!$DH$5:$DH$304,0))="","",INDEX('Portfolio Register'!$DC$5:$DC$304,MATCH($B173,'Portfolio Register'!$DH$5:$DH$304,0))),"")</f>
        <v/>
      </c>
      <c r="M173" s="151" t="str">
        <f>IFERROR(IF(INDEX('Portfolio Register'!$DD$5:$DD$304,MATCH($B173,'Portfolio Register'!$DH$5:$DH$304,0))="","",INDEX('Portfolio Register'!$DD$5:$DD$304,MATCH($B173,'Portfolio Register'!$DH$5:$DH$304,0))),"")</f>
        <v/>
      </c>
      <c r="N173" s="152" t="str">
        <f ca="1">IF($C173="","",IF($M173&lt;&gt;"",$M173-IFERROR(INDEX('Portfolio Register'!$C$5:$C$304,MATCH($B173,'Portfolio Register'!$DH$5:$DH$304,0)),$M173),TODAY()-IFERROR(INDEX('Portfolio Register'!$C$5:$C$304,MATCH($B173,'Portfolio Register'!$DH$5:$DH$304,0)),TODAY())))</f>
        <v/>
      </c>
      <c r="O173" s="153" t="str">
        <f t="shared" si="4"/>
        <v/>
      </c>
      <c r="P173" s="148" t="str">
        <f>IFERROR(IF(INDEX('Portfolio Register'!$DG$5:$DG$304,MATCH($B173,'Portfolio Register'!$DH$5:$DH$304,0))="","",INDEX('Portfolio Register'!$DG$5:$DG$304,MATCH($B173,'Portfolio Register'!$DH$5:$DH$304,0))),"")</f>
        <v/>
      </c>
      <c r="Q173" s="148" t="str">
        <f>IFERROR(IF(INDEX('Portfolio Register'!$DF$5:$DF$304,MATCH($B173,'Portfolio Register'!$DH$5:$DH$304,0))="","",INDEX('Portfolio Register'!$DF$5:$DF$304,MATCH($B173,'Portfolio Register'!$DH$5:$DH$304,0))),"")</f>
        <v/>
      </c>
    </row>
    <row r="174" spans="2:17" x14ac:dyDescent="0.35">
      <c r="B174" s="58">
        <v>147</v>
      </c>
      <c r="C174" s="142" t="str">
        <f>IFERROR(IF(INDEX('Portfolio Register'!$A$5:$A$304,MATCH($B174,'Portfolio Register'!$DH$5:$DH$304,0))="","",INDEX('Portfolio Register'!$A$5:$A$304,MATCH($B174,'Portfolio Register'!$DH$5:$DH$304,0))),"")</f>
        <v/>
      </c>
      <c r="D174" s="142" t="str">
        <f>IFERROR(IF(INDEX('Portfolio Register'!$B$5:$B$304,MATCH($B174,'Portfolio Register'!$DH$5:$DH$304,0))="","",INDEX('Portfolio Register'!$B$5:$B$304,MATCH($B174,'Portfolio Register'!$DH$5:$DH$304,0))),"")</f>
        <v/>
      </c>
      <c r="E174" s="142" t="str">
        <f>IFERROR(IF(INDEX('Portfolio Register'!$I$5:$I$304,MATCH($B174,'Portfolio Register'!$DH$5:$DH$304,0))="","",INDEX('Portfolio Register'!$I$5:$I$304,MATCH($B174,'Portfolio Register'!$DH$5:$DH$304,0))),"")</f>
        <v/>
      </c>
      <c r="F174" s="143" t="str">
        <f>IFERROR(IF(INDEX('Portfolio Register'!$J$5:$J$304,MATCH($B174,'Portfolio Register'!$DH$5:$DH$304,0))="","",INDEX('Portfolio Register'!$J$5:$J$304,MATCH($B174,'Portfolio Register'!$DH$5:$DH$304,0))),"")</f>
        <v/>
      </c>
      <c r="G174" s="142" t="str">
        <f>IFERROR(IF(INDEX('Portfolio Register'!$CX$5:$CX$304,MATCH($B174,'Portfolio Register'!$DH$5:$DH$304,0))="","",INDEX('Portfolio Register'!$CX$5:$CX$304,MATCH($B174,'Portfolio Register'!$DH$5:$DH$304,0))),"")</f>
        <v/>
      </c>
      <c r="H174" s="144" t="str">
        <f>IFERROR(IF(INDEX('Portfolio Register'!$CY$5:$CY$304,MATCH($B174,'Portfolio Register'!$DH$5:$DH$304,0))="","",INDEX('Portfolio Register'!$CY$5:$CY$304,MATCH($B174,'Portfolio Register'!$DH$5:$DH$304,0))),"")</f>
        <v/>
      </c>
      <c r="I174" s="142" t="str">
        <f>IFERROR(IF(INDEX('Portfolio Register'!$CZ$5:$CZ$304,MATCH($B174,'Portfolio Register'!$DH$5:$DH$304,0))="","",INDEX('Portfolio Register'!$CZ$5:$CZ$304,MATCH($B174,'Portfolio Register'!$DH$5:$DH$304,0))),"")</f>
        <v/>
      </c>
      <c r="J174" s="142" t="str">
        <f>IFERROR(IF(INDEX('Portfolio Register'!$DA$5:$DA$304,MATCH($B174,'Portfolio Register'!$DH$5:$DH$304,0))="","",INDEX('Portfolio Register'!$DA$5:$DA$304,MATCH($B174,'Portfolio Register'!$DH$5:$DH$304,0))),"")</f>
        <v/>
      </c>
      <c r="K174" s="142" t="str">
        <f>IFERROR(IF(INDEX('Portfolio Register'!$DB$5:$DB$304,MATCH($B174,'Portfolio Register'!$DH$5:$DH$304,0))="","",INDEX('Portfolio Register'!$DB$5:$DB$304,MATCH($B174,'Portfolio Register'!$DH$5:$DH$304,0))),"")</f>
        <v/>
      </c>
      <c r="L174" s="142" t="str">
        <f>IFERROR(IF(INDEX('Portfolio Register'!$DC$5:$DC$304,MATCH($B174,'Portfolio Register'!$DH$5:$DH$304,0))="","",INDEX('Portfolio Register'!$DC$5:$DC$304,MATCH($B174,'Portfolio Register'!$DH$5:$DH$304,0))),"")</f>
        <v/>
      </c>
      <c r="M174" s="145" t="str">
        <f>IFERROR(IF(INDEX('Portfolio Register'!$DD$5:$DD$304,MATCH($B174,'Portfolio Register'!$DH$5:$DH$304,0))="","",INDEX('Portfolio Register'!$DD$5:$DD$304,MATCH($B174,'Portfolio Register'!$DH$5:$DH$304,0))),"")</f>
        <v/>
      </c>
      <c r="N174" s="146" t="str">
        <f ca="1">IF($C174="","",IF($M174&lt;&gt;"",$M174-IFERROR(INDEX('Portfolio Register'!$C$5:$C$304,MATCH($B174,'Portfolio Register'!$DH$5:$DH$304,0)),$M174),TODAY()-IFERROR(INDEX('Portfolio Register'!$C$5:$C$304,MATCH($B174,'Portfolio Register'!$DH$5:$DH$304,0)),TODAY())))</f>
        <v/>
      </c>
      <c r="O174" s="147" t="str">
        <f t="shared" si="4"/>
        <v/>
      </c>
      <c r="P174" s="142" t="str">
        <f>IFERROR(IF(INDEX('Portfolio Register'!$DG$5:$DG$304,MATCH($B174,'Portfolio Register'!$DH$5:$DH$304,0))="","",INDEX('Portfolio Register'!$DG$5:$DG$304,MATCH($B174,'Portfolio Register'!$DH$5:$DH$304,0))),"")</f>
        <v/>
      </c>
      <c r="Q174" s="142" t="str">
        <f>IFERROR(IF(INDEX('Portfolio Register'!$DF$5:$DF$304,MATCH($B174,'Portfolio Register'!$DH$5:$DH$304,0))="","",INDEX('Portfolio Register'!$DF$5:$DF$304,MATCH($B174,'Portfolio Register'!$DH$5:$DH$304,0))),"")</f>
        <v/>
      </c>
    </row>
    <row r="175" spans="2:17" x14ac:dyDescent="0.35">
      <c r="B175" s="65">
        <v>148</v>
      </c>
      <c r="C175" s="148" t="str">
        <f>IFERROR(IF(INDEX('Portfolio Register'!$A$5:$A$304,MATCH($B175,'Portfolio Register'!$DH$5:$DH$304,0))="","",INDEX('Portfolio Register'!$A$5:$A$304,MATCH($B175,'Portfolio Register'!$DH$5:$DH$304,0))),"")</f>
        <v/>
      </c>
      <c r="D175" s="148" t="str">
        <f>IFERROR(IF(INDEX('Portfolio Register'!$B$5:$B$304,MATCH($B175,'Portfolio Register'!$DH$5:$DH$304,0))="","",INDEX('Portfolio Register'!$B$5:$B$304,MATCH($B175,'Portfolio Register'!$DH$5:$DH$304,0))),"")</f>
        <v/>
      </c>
      <c r="E175" s="148" t="str">
        <f>IFERROR(IF(INDEX('Portfolio Register'!$I$5:$I$304,MATCH($B175,'Portfolio Register'!$DH$5:$DH$304,0))="","",INDEX('Portfolio Register'!$I$5:$I$304,MATCH($B175,'Portfolio Register'!$DH$5:$DH$304,0))),"")</f>
        <v/>
      </c>
      <c r="F175" s="149" t="str">
        <f>IFERROR(IF(INDEX('Portfolio Register'!$J$5:$J$304,MATCH($B175,'Portfolio Register'!$DH$5:$DH$304,0))="","",INDEX('Portfolio Register'!$J$5:$J$304,MATCH($B175,'Portfolio Register'!$DH$5:$DH$304,0))),"")</f>
        <v/>
      </c>
      <c r="G175" s="148" t="str">
        <f>IFERROR(IF(INDEX('Portfolio Register'!$CX$5:$CX$304,MATCH($B175,'Portfolio Register'!$DH$5:$DH$304,0))="","",INDEX('Portfolio Register'!$CX$5:$CX$304,MATCH($B175,'Portfolio Register'!$DH$5:$DH$304,0))),"")</f>
        <v/>
      </c>
      <c r="H175" s="150" t="str">
        <f>IFERROR(IF(INDEX('Portfolio Register'!$CY$5:$CY$304,MATCH($B175,'Portfolio Register'!$DH$5:$DH$304,0))="","",INDEX('Portfolio Register'!$CY$5:$CY$304,MATCH($B175,'Portfolio Register'!$DH$5:$DH$304,0))),"")</f>
        <v/>
      </c>
      <c r="I175" s="148" t="str">
        <f>IFERROR(IF(INDEX('Portfolio Register'!$CZ$5:$CZ$304,MATCH($B175,'Portfolio Register'!$DH$5:$DH$304,0))="","",INDEX('Portfolio Register'!$CZ$5:$CZ$304,MATCH($B175,'Portfolio Register'!$DH$5:$DH$304,0))),"")</f>
        <v/>
      </c>
      <c r="J175" s="148" t="str">
        <f>IFERROR(IF(INDEX('Portfolio Register'!$DA$5:$DA$304,MATCH($B175,'Portfolio Register'!$DH$5:$DH$304,0))="","",INDEX('Portfolio Register'!$DA$5:$DA$304,MATCH($B175,'Portfolio Register'!$DH$5:$DH$304,0))),"")</f>
        <v/>
      </c>
      <c r="K175" s="148" t="str">
        <f>IFERROR(IF(INDEX('Portfolio Register'!$DB$5:$DB$304,MATCH($B175,'Portfolio Register'!$DH$5:$DH$304,0))="","",INDEX('Portfolio Register'!$DB$5:$DB$304,MATCH($B175,'Portfolio Register'!$DH$5:$DH$304,0))),"")</f>
        <v/>
      </c>
      <c r="L175" s="148" t="str">
        <f>IFERROR(IF(INDEX('Portfolio Register'!$DC$5:$DC$304,MATCH($B175,'Portfolio Register'!$DH$5:$DH$304,0))="","",INDEX('Portfolio Register'!$DC$5:$DC$304,MATCH($B175,'Portfolio Register'!$DH$5:$DH$304,0))),"")</f>
        <v/>
      </c>
      <c r="M175" s="151" t="str">
        <f>IFERROR(IF(INDEX('Portfolio Register'!$DD$5:$DD$304,MATCH($B175,'Portfolio Register'!$DH$5:$DH$304,0))="","",INDEX('Portfolio Register'!$DD$5:$DD$304,MATCH($B175,'Portfolio Register'!$DH$5:$DH$304,0))),"")</f>
        <v/>
      </c>
      <c r="N175" s="152" t="str">
        <f ca="1">IF($C175="","",IF($M175&lt;&gt;"",$M175-IFERROR(INDEX('Portfolio Register'!$C$5:$C$304,MATCH($B175,'Portfolio Register'!$DH$5:$DH$304,0)),$M175),TODAY()-IFERROR(INDEX('Portfolio Register'!$C$5:$C$304,MATCH($B175,'Portfolio Register'!$DH$5:$DH$304,0)),TODAY())))</f>
        <v/>
      </c>
      <c r="O175" s="153" t="str">
        <f t="shared" si="4"/>
        <v/>
      </c>
      <c r="P175" s="148" t="str">
        <f>IFERROR(IF(INDEX('Portfolio Register'!$DG$5:$DG$304,MATCH($B175,'Portfolio Register'!$DH$5:$DH$304,0))="","",INDEX('Portfolio Register'!$DG$5:$DG$304,MATCH($B175,'Portfolio Register'!$DH$5:$DH$304,0))),"")</f>
        <v/>
      </c>
      <c r="Q175" s="148" t="str">
        <f>IFERROR(IF(INDEX('Portfolio Register'!$DF$5:$DF$304,MATCH($B175,'Portfolio Register'!$DH$5:$DH$304,0))="","",INDEX('Portfolio Register'!$DF$5:$DF$304,MATCH($B175,'Portfolio Register'!$DH$5:$DH$304,0))),"")</f>
        <v/>
      </c>
    </row>
    <row r="176" spans="2:17" x14ac:dyDescent="0.35">
      <c r="B176" s="58">
        <v>149</v>
      </c>
      <c r="C176" s="142" t="str">
        <f>IFERROR(IF(INDEX('Portfolio Register'!$A$5:$A$304,MATCH($B176,'Portfolio Register'!$DH$5:$DH$304,0))="","",INDEX('Portfolio Register'!$A$5:$A$304,MATCH($B176,'Portfolio Register'!$DH$5:$DH$304,0))),"")</f>
        <v/>
      </c>
      <c r="D176" s="142" t="str">
        <f>IFERROR(IF(INDEX('Portfolio Register'!$B$5:$B$304,MATCH($B176,'Portfolio Register'!$DH$5:$DH$304,0))="","",INDEX('Portfolio Register'!$B$5:$B$304,MATCH($B176,'Portfolio Register'!$DH$5:$DH$304,0))),"")</f>
        <v/>
      </c>
      <c r="E176" s="142" t="str">
        <f>IFERROR(IF(INDEX('Portfolio Register'!$I$5:$I$304,MATCH($B176,'Portfolio Register'!$DH$5:$DH$304,0))="","",INDEX('Portfolio Register'!$I$5:$I$304,MATCH($B176,'Portfolio Register'!$DH$5:$DH$304,0))),"")</f>
        <v/>
      </c>
      <c r="F176" s="143" t="str">
        <f>IFERROR(IF(INDEX('Portfolio Register'!$J$5:$J$304,MATCH($B176,'Portfolio Register'!$DH$5:$DH$304,0))="","",INDEX('Portfolio Register'!$J$5:$J$304,MATCH($B176,'Portfolio Register'!$DH$5:$DH$304,0))),"")</f>
        <v/>
      </c>
      <c r="G176" s="142" t="str">
        <f>IFERROR(IF(INDEX('Portfolio Register'!$CX$5:$CX$304,MATCH($B176,'Portfolio Register'!$DH$5:$DH$304,0))="","",INDEX('Portfolio Register'!$CX$5:$CX$304,MATCH($B176,'Portfolio Register'!$DH$5:$DH$304,0))),"")</f>
        <v/>
      </c>
      <c r="H176" s="144" t="str">
        <f>IFERROR(IF(INDEX('Portfolio Register'!$CY$5:$CY$304,MATCH($B176,'Portfolio Register'!$DH$5:$DH$304,0))="","",INDEX('Portfolio Register'!$CY$5:$CY$304,MATCH($B176,'Portfolio Register'!$DH$5:$DH$304,0))),"")</f>
        <v/>
      </c>
      <c r="I176" s="142" t="str">
        <f>IFERROR(IF(INDEX('Portfolio Register'!$CZ$5:$CZ$304,MATCH($B176,'Portfolio Register'!$DH$5:$DH$304,0))="","",INDEX('Portfolio Register'!$CZ$5:$CZ$304,MATCH($B176,'Portfolio Register'!$DH$5:$DH$304,0))),"")</f>
        <v/>
      </c>
      <c r="J176" s="142" t="str">
        <f>IFERROR(IF(INDEX('Portfolio Register'!$DA$5:$DA$304,MATCH($B176,'Portfolio Register'!$DH$5:$DH$304,0))="","",INDEX('Portfolio Register'!$DA$5:$DA$304,MATCH($B176,'Portfolio Register'!$DH$5:$DH$304,0))),"")</f>
        <v/>
      </c>
      <c r="K176" s="142" t="str">
        <f>IFERROR(IF(INDEX('Portfolio Register'!$DB$5:$DB$304,MATCH($B176,'Portfolio Register'!$DH$5:$DH$304,0))="","",INDEX('Portfolio Register'!$DB$5:$DB$304,MATCH($B176,'Portfolio Register'!$DH$5:$DH$304,0))),"")</f>
        <v/>
      </c>
      <c r="L176" s="142" t="str">
        <f>IFERROR(IF(INDEX('Portfolio Register'!$DC$5:$DC$304,MATCH($B176,'Portfolio Register'!$DH$5:$DH$304,0))="","",INDEX('Portfolio Register'!$DC$5:$DC$304,MATCH($B176,'Portfolio Register'!$DH$5:$DH$304,0))),"")</f>
        <v/>
      </c>
      <c r="M176" s="145" t="str">
        <f>IFERROR(IF(INDEX('Portfolio Register'!$DD$5:$DD$304,MATCH($B176,'Portfolio Register'!$DH$5:$DH$304,0))="","",INDEX('Portfolio Register'!$DD$5:$DD$304,MATCH($B176,'Portfolio Register'!$DH$5:$DH$304,0))),"")</f>
        <v/>
      </c>
      <c r="N176" s="146" t="str">
        <f ca="1">IF($C176="","",IF($M176&lt;&gt;"",$M176-IFERROR(INDEX('Portfolio Register'!$C$5:$C$304,MATCH($B176,'Portfolio Register'!$DH$5:$DH$304,0)),$M176),TODAY()-IFERROR(INDEX('Portfolio Register'!$C$5:$C$304,MATCH($B176,'Portfolio Register'!$DH$5:$DH$304,0)),TODAY())))</f>
        <v/>
      </c>
      <c r="O176" s="147" t="str">
        <f t="shared" si="4"/>
        <v/>
      </c>
      <c r="P176" s="142" t="str">
        <f>IFERROR(IF(INDEX('Portfolio Register'!$DG$5:$DG$304,MATCH($B176,'Portfolio Register'!$DH$5:$DH$304,0))="","",INDEX('Portfolio Register'!$DG$5:$DG$304,MATCH($B176,'Portfolio Register'!$DH$5:$DH$304,0))),"")</f>
        <v/>
      </c>
      <c r="Q176" s="142" t="str">
        <f>IFERROR(IF(INDEX('Portfolio Register'!$DF$5:$DF$304,MATCH($B176,'Portfolio Register'!$DH$5:$DH$304,0))="","",INDEX('Portfolio Register'!$DF$5:$DF$304,MATCH($B176,'Portfolio Register'!$DH$5:$DH$304,0))),"")</f>
        <v/>
      </c>
    </row>
    <row r="177" spans="2:17" x14ac:dyDescent="0.35">
      <c r="B177" s="65">
        <v>150</v>
      </c>
      <c r="C177" s="148" t="str">
        <f>IFERROR(IF(INDEX('Portfolio Register'!$A$5:$A$304,MATCH($B177,'Portfolio Register'!$DH$5:$DH$304,0))="","",INDEX('Portfolio Register'!$A$5:$A$304,MATCH($B177,'Portfolio Register'!$DH$5:$DH$304,0))),"")</f>
        <v/>
      </c>
      <c r="D177" s="148" t="str">
        <f>IFERROR(IF(INDEX('Portfolio Register'!$B$5:$B$304,MATCH($B177,'Portfolio Register'!$DH$5:$DH$304,0))="","",INDEX('Portfolio Register'!$B$5:$B$304,MATCH($B177,'Portfolio Register'!$DH$5:$DH$304,0))),"")</f>
        <v/>
      </c>
      <c r="E177" s="148" t="str">
        <f>IFERROR(IF(INDEX('Portfolio Register'!$I$5:$I$304,MATCH($B177,'Portfolio Register'!$DH$5:$DH$304,0))="","",INDEX('Portfolio Register'!$I$5:$I$304,MATCH($B177,'Portfolio Register'!$DH$5:$DH$304,0))),"")</f>
        <v/>
      </c>
      <c r="F177" s="149" t="str">
        <f>IFERROR(IF(INDEX('Portfolio Register'!$J$5:$J$304,MATCH($B177,'Portfolio Register'!$DH$5:$DH$304,0))="","",INDEX('Portfolio Register'!$J$5:$J$304,MATCH($B177,'Portfolio Register'!$DH$5:$DH$304,0))),"")</f>
        <v/>
      </c>
      <c r="G177" s="148" t="str">
        <f>IFERROR(IF(INDEX('Portfolio Register'!$CX$5:$CX$304,MATCH($B177,'Portfolio Register'!$DH$5:$DH$304,0))="","",INDEX('Portfolio Register'!$CX$5:$CX$304,MATCH($B177,'Portfolio Register'!$DH$5:$DH$304,0))),"")</f>
        <v/>
      </c>
      <c r="H177" s="150" t="str">
        <f>IFERROR(IF(INDEX('Portfolio Register'!$CY$5:$CY$304,MATCH($B177,'Portfolio Register'!$DH$5:$DH$304,0))="","",INDEX('Portfolio Register'!$CY$5:$CY$304,MATCH($B177,'Portfolio Register'!$DH$5:$DH$304,0))),"")</f>
        <v/>
      </c>
      <c r="I177" s="148" t="str">
        <f>IFERROR(IF(INDEX('Portfolio Register'!$CZ$5:$CZ$304,MATCH($B177,'Portfolio Register'!$DH$5:$DH$304,0))="","",INDEX('Portfolio Register'!$CZ$5:$CZ$304,MATCH($B177,'Portfolio Register'!$DH$5:$DH$304,0))),"")</f>
        <v/>
      </c>
      <c r="J177" s="148" t="str">
        <f>IFERROR(IF(INDEX('Portfolio Register'!$DA$5:$DA$304,MATCH($B177,'Portfolio Register'!$DH$5:$DH$304,0))="","",INDEX('Portfolio Register'!$DA$5:$DA$304,MATCH($B177,'Portfolio Register'!$DH$5:$DH$304,0))),"")</f>
        <v/>
      </c>
      <c r="K177" s="148" t="str">
        <f>IFERROR(IF(INDEX('Portfolio Register'!$DB$5:$DB$304,MATCH($B177,'Portfolio Register'!$DH$5:$DH$304,0))="","",INDEX('Portfolio Register'!$DB$5:$DB$304,MATCH($B177,'Portfolio Register'!$DH$5:$DH$304,0))),"")</f>
        <v/>
      </c>
      <c r="L177" s="148" t="str">
        <f>IFERROR(IF(INDEX('Portfolio Register'!$DC$5:$DC$304,MATCH($B177,'Portfolio Register'!$DH$5:$DH$304,0))="","",INDEX('Portfolio Register'!$DC$5:$DC$304,MATCH($B177,'Portfolio Register'!$DH$5:$DH$304,0))),"")</f>
        <v/>
      </c>
      <c r="M177" s="151" t="str">
        <f>IFERROR(IF(INDEX('Portfolio Register'!$DD$5:$DD$304,MATCH($B177,'Portfolio Register'!$DH$5:$DH$304,0))="","",INDEX('Portfolio Register'!$DD$5:$DD$304,MATCH($B177,'Portfolio Register'!$DH$5:$DH$304,0))),"")</f>
        <v/>
      </c>
      <c r="N177" s="152" t="str">
        <f ca="1">IF($C177="","",IF($M177&lt;&gt;"",$M177-IFERROR(INDEX('Portfolio Register'!$C$5:$C$304,MATCH($B177,'Portfolio Register'!$DH$5:$DH$304,0)),$M177),TODAY()-IFERROR(INDEX('Portfolio Register'!$C$5:$C$304,MATCH($B177,'Portfolio Register'!$DH$5:$DH$304,0)),TODAY())))</f>
        <v/>
      </c>
      <c r="O177" s="153" t="str">
        <f t="shared" si="4"/>
        <v/>
      </c>
      <c r="P177" s="148" t="str">
        <f>IFERROR(IF(INDEX('Portfolio Register'!$DG$5:$DG$304,MATCH($B177,'Portfolio Register'!$DH$5:$DH$304,0))="","",INDEX('Portfolio Register'!$DG$5:$DG$304,MATCH($B177,'Portfolio Register'!$DH$5:$DH$304,0))),"")</f>
        <v/>
      </c>
      <c r="Q177" s="148" t="str">
        <f>IFERROR(IF(INDEX('Portfolio Register'!$DF$5:$DF$304,MATCH($B177,'Portfolio Register'!$DH$5:$DH$304,0))="","",INDEX('Portfolio Register'!$DF$5:$DF$304,MATCH($B177,'Portfolio Register'!$DH$5:$DH$304,0))),"")</f>
        <v/>
      </c>
    </row>
    <row r="179" spans="2:17" x14ac:dyDescent="0.35">
      <c r="B179" s="15" t="s">
        <v>677</v>
      </c>
    </row>
    <row r="180" spans="2:17" ht="25.5" customHeight="1" x14ac:dyDescent="0.35">
      <c r="B180" s="7" t="s">
        <v>678</v>
      </c>
      <c r="C180" s="7"/>
      <c r="D180" s="7"/>
      <c r="E180" s="7"/>
      <c r="F180" s="7"/>
      <c r="G180" s="7"/>
      <c r="H180" s="7"/>
      <c r="I180" s="7"/>
      <c r="J180" s="7"/>
      <c r="K180" s="7"/>
      <c r="L180" s="7"/>
      <c r="M180" s="7"/>
      <c r="N180" s="7"/>
      <c r="O180" s="7"/>
      <c r="P180" s="7"/>
      <c r="Q180" s="7"/>
    </row>
    <row r="181" spans="2:17" ht="25.5" customHeight="1" x14ac:dyDescent="0.35">
      <c r="B181" s="7" t="s">
        <v>679</v>
      </c>
      <c r="C181" s="7"/>
      <c r="D181" s="7"/>
      <c r="E181" s="7"/>
      <c r="F181" s="7"/>
      <c r="G181" s="7"/>
      <c r="H181" s="7"/>
      <c r="I181" s="7"/>
      <c r="J181" s="7"/>
      <c r="K181" s="7"/>
      <c r="L181" s="7"/>
      <c r="M181" s="7"/>
      <c r="N181" s="7"/>
      <c r="O181" s="7"/>
      <c r="P181" s="7"/>
      <c r="Q181" s="7"/>
    </row>
    <row r="182" spans="2:17" ht="25.5" customHeight="1" x14ac:dyDescent="0.35">
      <c r="B182" s="7" t="s">
        <v>680</v>
      </c>
      <c r="C182" s="7"/>
      <c r="D182" s="7"/>
      <c r="E182" s="7"/>
      <c r="F182" s="7"/>
      <c r="G182" s="7"/>
      <c r="H182" s="7"/>
      <c r="I182" s="7"/>
      <c r="J182" s="7"/>
      <c r="K182" s="7"/>
      <c r="L182" s="7"/>
      <c r="M182" s="7"/>
      <c r="N182" s="7"/>
      <c r="O182" s="7"/>
      <c r="P182" s="7"/>
      <c r="Q182" s="7"/>
    </row>
    <row r="183" spans="2:17" ht="25.5" customHeight="1" x14ac:dyDescent="0.35">
      <c r="B183" s="7" t="s">
        <v>681</v>
      </c>
      <c r="C183" s="7"/>
      <c r="D183" s="7"/>
      <c r="E183" s="7"/>
      <c r="F183" s="7"/>
      <c r="G183" s="7"/>
      <c r="H183" s="7"/>
      <c r="I183" s="7"/>
      <c r="J183" s="7"/>
      <c r="K183" s="7"/>
      <c r="L183" s="7"/>
      <c r="M183" s="7"/>
      <c r="N183" s="7"/>
      <c r="O183" s="7"/>
      <c r="P183" s="7"/>
      <c r="Q183" s="7"/>
    </row>
    <row r="184" spans="2:17" ht="25.5" customHeight="1" x14ac:dyDescent="0.35">
      <c r="B184" s="7" t="s">
        <v>682</v>
      </c>
      <c r="C184" s="7"/>
      <c r="D184" s="7"/>
      <c r="E184" s="7"/>
      <c r="F184" s="7"/>
      <c r="G184" s="7"/>
      <c r="H184" s="7"/>
      <c r="I184" s="7"/>
      <c r="J184" s="7"/>
      <c r="K184" s="7"/>
      <c r="L184" s="7"/>
      <c r="M184" s="7"/>
      <c r="N184" s="7"/>
      <c r="O184" s="7"/>
      <c r="P184" s="7"/>
      <c r="Q184" s="7"/>
    </row>
    <row r="185" spans="2:17" ht="25.5" customHeight="1" x14ac:dyDescent="0.35">
      <c r="B185" s="7" t="s">
        <v>683</v>
      </c>
      <c r="C185" s="7"/>
      <c r="D185" s="7"/>
      <c r="E185" s="7"/>
      <c r="F185" s="7"/>
      <c r="G185" s="7"/>
      <c r="H185" s="7"/>
      <c r="I185" s="7"/>
      <c r="J185" s="7"/>
      <c r="K185" s="7"/>
      <c r="L185" s="7"/>
      <c r="M185" s="7"/>
      <c r="N185" s="7"/>
      <c r="O185" s="7"/>
      <c r="P185" s="7"/>
      <c r="Q185" s="7"/>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topLeftCell="B1" zoomScaleNormal="100" workbookViewId="0">
      <selection activeCell="B126" sqref="B126"/>
    </sheetView>
  </sheetViews>
  <sheetFormatPr defaultColWidth="8.6328125" defaultRowHeight="14.5" x14ac:dyDescent="0.35"/>
  <cols>
    <col min="1" max="1" width="2" customWidth="1"/>
    <col min="2" max="2" width="44" customWidth="1"/>
    <col min="3" max="8" width="26" customWidth="1"/>
  </cols>
  <sheetData>
    <row r="1" spans="2:8" ht="25.5" customHeight="1" x14ac:dyDescent="0.35">
      <c r="B1" s="14" t="s">
        <v>684</v>
      </c>
      <c r="C1" s="14"/>
      <c r="D1" s="14"/>
      <c r="E1" s="14"/>
      <c r="F1" s="14"/>
      <c r="G1" s="14"/>
      <c r="H1" s="14"/>
    </row>
    <row r="2" spans="2:8" ht="15" customHeight="1" x14ac:dyDescent="0.35">
      <c r="B2" s="13" t="s">
        <v>685</v>
      </c>
      <c r="C2" s="13"/>
      <c r="D2" s="13"/>
      <c r="E2" s="13"/>
      <c r="F2" s="13"/>
      <c r="G2" s="13"/>
      <c r="H2" s="13"/>
    </row>
    <row r="4" spans="2:8" ht="18" customHeight="1" x14ac:dyDescent="0.35">
      <c r="B4" s="12" t="s">
        <v>153</v>
      </c>
      <c r="C4" s="12"/>
      <c r="D4" s="12"/>
      <c r="E4" s="12"/>
      <c r="F4" s="12"/>
      <c r="G4" s="12"/>
      <c r="H4" s="12"/>
    </row>
    <row r="5" spans="2:8" ht="25.5" customHeight="1" x14ac:dyDescent="0.35">
      <c r="B5" s="36" t="s">
        <v>154</v>
      </c>
      <c r="C5" s="37" t="s">
        <v>686</v>
      </c>
      <c r="D5" s="37" t="s">
        <v>687</v>
      </c>
      <c r="E5" s="37" t="s">
        <v>688</v>
      </c>
      <c r="F5" s="37" t="s">
        <v>689</v>
      </c>
      <c r="G5" s="37" t="s">
        <v>690</v>
      </c>
      <c r="H5" s="37" t="s">
        <v>691</v>
      </c>
    </row>
    <row r="6" spans="2:8" x14ac:dyDescent="0.35">
      <c r="B6" s="36" t="s">
        <v>157</v>
      </c>
      <c r="C6" s="39">
        <v>46266</v>
      </c>
      <c r="D6" s="39">
        <v>46266</v>
      </c>
      <c r="E6" s="39">
        <v>46266</v>
      </c>
      <c r="F6" s="39">
        <v>46266</v>
      </c>
      <c r="G6" s="39">
        <v>46266</v>
      </c>
      <c r="H6" s="39">
        <v>46266</v>
      </c>
    </row>
    <row r="7" spans="2:8" x14ac:dyDescent="0.35">
      <c r="B7" s="36" t="s">
        <v>159</v>
      </c>
      <c r="C7" s="37">
        <v>2024</v>
      </c>
      <c r="D7" s="37">
        <v>2021</v>
      </c>
      <c r="E7" s="37">
        <v>1967</v>
      </c>
      <c r="F7" s="37">
        <v>2023</v>
      </c>
      <c r="G7" s="37">
        <v>2025</v>
      </c>
      <c r="H7" s="37">
        <v>2022</v>
      </c>
    </row>
    <row r="8" spans="2:8" x14ac:dyDescent="0.35">
      <c r="B8" s="36" t="s">
        <v>161</v>
      </c>
      <c r="C8" s="37" t="s">
        <v>162</v>
      </c>
      <c r="D8" s="37" t="s">
        <v>504</v>
      </c>
      <c r="E8" s="37" t="s">
        <v>162</v>
      </c>
      <c r="F8" s="37" t="s">
        <v>536</v>
      </c>
      <c r="G8" s="37" t="s">
        <v>692</v>
      </c>
      <c r="H8" s="37" t="s">
        <v>569</v>
      </c>
    </row>
    <row r="9" spans="2:8" x14ac:dyDescent="0.35">
      <c r="B9" s="36" t="s">
        <v>164</v>
      </c>
      <c r="C9" s="37" t="s">
        <v>165</v>
      </c>
      <c r="D9" s="37" t="s">
        <v>505</v>
      </c>
      <c r="E9" s="37" t="s">
        <v>693</v>
      </c>
      <c r="F9" s="37" t="s">
        <v>537</v>
      </c>
      <c r="G9" s="37" t="s">
        <v>694</v>
      </c>
      <c r="H9" s="37" t="s">
        <v>570</v>
      </c>
    </row>
    <row r="10" spans="2:8" ht="25.5" customHeight="1" x14ac:dyDescent="0.35">
      <c r="B10" s="36" t="s">
        <v>167</v>
      </c>
      <c r="C10" s="37" t="s">
        <v>168</v>
      </c>
      <c r="D10" s="37" t="s">
        <v>507</v>
      </c>
      <c r="E10" s="37" t="s">
        <v>529</v>
      </c>
      <c r="F10" s="37" t="s">
        <v>168</v>
      </c>
      <c r="G10" s="37" t="s">
        <v>168</v>
      </c>
      <c r="H10" s="37" t="s">
        <v>572</v>
      </c>
    </row>
    <row r="11" spans="2:8" x14ac:dyDescent="0.35">
      <c r="B11" s="36" t="s">
        <v>170</v>
      </c>
      <c r="C11" s="40">
        <v>425000</v>
      </c>
      <c r="D11" s="40">
        <v>3600000</v>
      </c>
      <c r="E11" s="40">
        <v>2800000</v>
      </c>
      <c r="F11" s="40">
        <v>280000</v>
      </c>
      <c r="G11" s="40">
        <v>340000</v>
      </c>
      <c r="H11" s="40">
        <v>2200000</v>
      </c>
    </row>
    <row r="12" spans="2:8" x14ac:dyDescent="0.35">
      <c r="B12" s="36" t="s">
        <v>172</v>
      </c>
      <c r="C12" s="37" t="s">
        <v>173</v>
      </c>
      <c r="D12" s="37" t="s">
        <v>508</v>
      </c>
      <c r="E12" s="37" t="s">
        <v>695</v>
      </c>
      <c r="F12" s="37" t="s">
        <v>539</v>
      </c>
      <c r="G12" s="37" t="s">
        <v>696</v>
      </c>
      <c r="H12" s="37" t="s">
        <v>573</v>
      </c>
    </row>
    <row r="13" spans="2:8" x14ac:dyDescent="0.35">
      <c r="B13" s="36" t="s">
        <v>175</v>
      </c>
      <c r="C13" s="37" t="s">
        <v>501</v>
      </c>
      <c r="D13" s="37" t="s">
        <v>509</v>
      </c>
      <c r="E13" s="37" t="s">
        <v>697</v>
      </c>
      <c r="F13" s="37" t="s">
        <v>540</v>
      </c>
      <c r="G13" s="37" t="s">
        <v>698</v>
      </c>
      <c r="H13" s="37" t="s">
        <v>574</v>
      </c>
    </row>
    <row r="14" spans="2:8" x14ac:dyDescent="0.35">
      <c r="B14" s="36" t="s">
        <v>178</v>
      </c>
      <c r="C14" s="37" t="s">
        <v>179</v>
      </c>
      <c r="D14" s="37" t="s">
        <v>179</v>
      </c>
      <c r="E14" s="37" t="s">
        <v>179</v>
      </c>
      <c r="F14" s="37" t="s">
        <v>541</v>
      </c>
      <c r="G14" s="37" t="s">
        <v>541</v>
      </c>
      <c r="H14" s="37" t="s">
        <v>179</v>
      </c>
    </row>
    <row r="15" spans="2:8" ht="25.5" customHeight="1" x14ac:dyDescent="0.35">
      <c r="B15" s="36" t="s">
        <v>181</v>
      </c>
      <c r="C15" s="37" t="s">
        <v>182</v>
      </c>
      <c r="D15" s="37" t="s">
        <v>510</v>
      </c>
      <c r="E15" s="37" t="s">
        <v>699</v>
      </c>
      <c r="F15" s="37" t="s">
        <v>542</v>
      </c>
      <c r="G15" s="37" t="s">
        <v>700</v>
      </c>
      <c r="H15" s="37" t="s">
        <v>530</v>
      </c>
    </row>
    <row r="16" spans="2:8" x14ac:dyDescent="0.35">
      <c r="B16" s="36" t="s">
        <v>184</v>
      </c>
      <c r="C16" s="37" t="s">
        <v>185</v>
      </c>
      <c r="D16" s="37" t="s">
        <v>511</v>
      </c>
      <c r="E16" s="37" t="s">
        <v>511</v>
      </c>
      <c r="F16" s="37" t="s">
        <v>543</v>
      </c>
      <c r="G16" s="37" t="s">
        <v>531</v>
      </c>
      <c r="H16" s="37" t="s">
        <v>185</v>
      </c>
    </row>
    <row r="17" spans="2:8" ht="25.5" customHeight="1" x14ac:dyDescent="0.35">
      <c r="B17" s="36" t="s">
        <v>187</v>
      </c>
      <c r="C17" s="37" t="s">
        <v>188</v>
      </c>
      <c r="D17" s="37" t="s">
        <v>512</v>
      </c>
      <c r="E17" s="37" t="s">
        <v>512</v>
      </c>
      <c r="F17" s="37" t="s">
        <v>544</v>
      </c>
      <c r="G17" s="37" t="s">
        <v>544</v>
      </c>
      <c r="H17" s="37" t="s">
        <v>188</v>
      </c>
    </row>
    <row r="18" spans="2:8" ht="25.5" customHeight="1" x14ac:dyDescent="0.35">
      <c r="B18" s="36" t="s">
        <v>190</v>
      </c>
      <c r="C18" s="37" t="s">
        <v>191</v>
      </c>
      <c r="D18" s="37" t="s">
        <v>513</v>
      </c>
      <c r="E18" s="37" t="s">
        <v>701</v>
      </c>
      <c r="F18" s="37" t="s">
        <v>513</v>
      </c>
      <c r="G18" s="37" t="s">
        <v>702</v>
      </c>
      <c r="H18" s="37" t="s">
        <v>191</v>
      </c>
    </row>
    <row r="19" spans="2:8" x14ac:dyDescent="0.35">
      <c r="B19" s="36" t="s">
        <v>193</v>
      </c>
      <c r="C19" s="37" t="s">
        <v>194</v>
      </c>
      <c r="D19" s="37" t="s">
        <v>514</v>
      </c>
      <c r="E19" s="37" t="s">
        <v>703</v>
      </c>
      <c r="F19" s="37" t="s">
        <v>545</v>
      </c>
      <c r="G19" s="37" t="s">
        <v>564</v>
      </c>
      <c r="H19" s="37" t="s">
        <v>564</v>
      </c>
    </row>
    <row r="20" spans="2:8" ht="25.5" customHeight="1" x14ac:dyDescent="0.35">
      <c r="B20" s="36" t="s">
        <v>196</v>
      </c>
      <c r="C20" s="37" t="s">
        <v>197</v>
      </c>
      <c r="D20" s="37" t="s">
        <v>515</v>
      </c>
      <c r="E20" s="37" t="s">
        <v>515</v>
      </c>
      <c r="F20" s="37" t="s">
        <v>546</v>
      </c>
      <c r="G20" s="37" t="s">
        <v>197</v>
      </c>
      <c r="H20" s="37" t="s">
        <v>565</v>
      </c>
    </row>
    <row r="21" spans="2:8" x14ac:dyDescent="0.35">
      <c r="B21" s="36" t="s">
        <v>199</v>
      </c>
      <c r="C21" s="37" t="s">
        <v>200</v>
      </c>
      <c r="D21" s="37" t="s">
        <v>200</v>
      </c>
      <c r="E21" s="37" t="s">
        <v>200</v>
      </c>
      <c r="F21" s="37" t="s">
        <v>547</v>
      </c>
      <c r="G21" s="37" t="s">
        <v>200</v>
      </c>
      <c r="H21" s="37" t="s">
        <v>547</v>
      </c>
    </row>
    <row r="22" spans="2:8" ht="25.5" customHeight="1" x14ac:dyDescent="0.35">
      <c r="B22" s="36" t="s">
        <v>202</v>
      </c>
      <c r="C22" s="37" t="s">
        <v>203</v>
      </c>
      <c r="D22" s="37" t="s">
        <v>516</v>
      </c>
      <c r="E22" s="37" t="s">
        <v>203</v>
      </c>
      <c r="F22" s="37" t="s">
        <v>548</v>
      </c>
      <c r="G22" s="37" t="s">
        <v>704</v>
      </c>
      <c r="H22" s="37" t="s">
        <v>203</v>
      </c>
    </row>
    <row r="23" spans="2:8" x14ac:dyDescent="0.35">
      <c r="B23" s="36" t="s">
        <v>205</v>
      </c>
      <c r="C23" s="37" t="s">
        <v>206</v>
      </c>
      <c r="D23" s="37" t="s">
        <v>517</v>
      </c>
      <c r="E23" s="37" t="s">
        <v>705</v>
      </c>
      <c r="F23" s="37" t="s">
        <v>549</v>
      </c>
      <c r="G23" s="37" t="s">
        <v>705</v>
      </c>
      <c r="H23" s="37" t="s">
        <v>575</v>
      </c>
    </row>
    <row r="24" spans="2:8" x14ac:dyDescent="0.35">
      <c r="B24" s="36" t="s">
        <v>208</v>
      </c>
      <c r="C24" s="37" t="s">
        <v>209</v>
      </c>
      <c r="D24" s="37" t="s">
        <v>246</v>
      </c>
      <c r="E24" s="37" t="s">
        <v>237</v>
      </c>
      <c r="F24" s="37" t="s">
        <v>240</v>
      </c>
      <c r="G24" s="37" t="s">
        <v>237</v>
      </c>
      <c r="H24" s="37" t="s">
        <v>576</v>
      </c>
    </row>
    <row r="25" spans="2:8" ht="25.5" customHeight="1" x14ac:dyDescent="0.35">
      <c r="B25" s="36" t="s">
        <v>211</v>
      </c>
      <c r="C25" s="37" t="s">
        <v>212</v>
      </c>
      <c r="D25" s="37" t="s">
        <v>518</v>
      </c>
      <c r="E25" s="37" t="s">
        <v>212</v>
      </c>
      <c r="F25" s="37" t="s">
        <v>550</v>
      </c>
      <c r="G25" s="37" t="s">
        <v>212</v>
      </c>
      <c r="H25" s="37" t="s">
        <v>518</v>
      </c>
    </row>
    <row r="26" spans="2:8" x14ac:dyDescent="0.35">
      <c r="B26" s="36" t="s">
        <v>213</v>
      </c>
      <c r="C26" s="37" t="s">
        <v>214</v>
      </c>
      <c r="D26" s="37" t="s">
        <v>519</v>
      </c>
      <c r="E26" s="37" t="s">
        <v>214</v>
      </c>
      <c r="F26" s="37" t="s">
        <v>532</v>
      </c>
      <c r="G26" s="37" t="s">
        <v>214</v>
      </c>
      <c r="H26" s="37" t="s">
        <v>532</v>
      </c>
    </row>
    <row r="27" spans="2:8" x14ac:dyDescent="0.35">
      <c r="B27" s="36" t="s">
        <v>216</v>
      </c>
      <c r="C27" s="37" t="s">
        <v>217</v>
      </c>
      <c r="D27" s="37" t="s">
        <v>520</v>
      </c>
      <c r="E27" s="37" t="s">
        <v>566</v>
      </c>
      <c r="F27" s="37" t="s">
        <v>551</v>
      </c>
      <c r="G27" s="37" t="s">
        <v>706</v>
      </c>
      <c r="H27" s="37" t="s">
        <v>577</v>
      </c>
    </row>
    <row r="28" spans="2:8" ht="25.5" customHeight="1" x14ac:dyDescent="0.35">
      <c r="B28" s="36" t="s">
        <v>219</v>
      </c>
      <c r="C28" s="37" t="s">
        <v>220</v>
      </c>
      <c r="D28" s="37" t="s">
        <v>220</v>
      </c>
      <c r="E28" s="37" t="s">
        <v>552</v>
      </c>
      <c r="F28" s="37" t="s">
        <v>552</v>
      </c>
      <c r="G28" s="37" t="s">
        <v>707</v>
      </c>
      <c r="H28" s="37" t="s">
        <v>220</v>
      </c>
    </row>
    <row r="29" spans="2:8" ht="25.5" customHeight="1" x14ac:dyDescent="0.35">
      <c r="B29" s="42" t="s">
        <v>222</v>
      </c>
      <c r="C29" s="37" t="s">
        <v>223</v>
      </c>
      <c r="D29" s="37" t="s">
        <v>223</v>
      </c>
      <c r="E29" s="37" t="s">
        <v>223</v>
      </c>
      <c r="F29" s="37" t="s">
        <v>553</v>
      </c>
      <c r="G29" s="37" t="s">
        <v>553</v>
      </c>
      <c r="H29" s="37" t="s">
        <v>223</v>
      </c>
    </row>
    <row r="30" spans="2:8" ht="25.5" customHeight="1" x14ac:dyDescent="0.35">
      <c r="B30" s="36" t="s">
        <v>225</v>
      </c>
      <c r="C30" s="37" t="s">
        <v>226</v>
      </c>
      <c r="D30" s="37" t="s">
        <v>226</v>
      </c>
      <c r="E30" s="37" t="s">
        <v>226</v>
      </c>
      <c r="F30" s="37" t="s">
        <v>226</v>
      </c>
      <c r="G30" s="37" t="s">
        <v>226</v>
      </c>
      <c r="H30" s="37" t="s">
        <v>578</v>
      </c>
    </row>
    <row r="31" spans="2:8" x14ac:dyDescent="0.35">
      <c r="B31" s="36" t="s">
        <v>227</v>
      </c>
      <c r="C31" s="37" t="s">
        <v>228</v>
      </c>
      <c r="D31" s="37" t="s">
        <v>228</v>
      </c>
      <c r="E31" s="37" t="s">
        <v>228</v>
      </c>
      <c r="F31" s="37" t="s">
        <v>554</v>
      </c>
      <c r="G31" s="37" t="s">
        <v>228</v>
      </c>
      <c r="H31" s="37" t="s">
        <v>228</v>
      </c>
    </row>
    <row r="32" spans="2:8" ht="25.5" customHeight="1" x14ac:dyDescent="0.35">
      <c r="B32" s="36" t="s">
        <v>229</v>
      </c>
      <c r="C32" s="37" t="s">
        <v>230</v>
      </c>
      <c r="D32" s="37" t="s">
        <v>708</v>
      </c>
      <c r="E32" s="37" t="s">
        <v>230</v>
      </c>
      <c r="F32" s="37" t="s">
        <v>230</v>
      </c>
      <c r="G32" s="37" t="s">
        <v>709</v>
      </c>
      <c r="H32" s="37" t="s">
        <v>230</v>
      </c>
    </row>
    <row r="33" spans="2:8" x14ac:dyDescent="0.35">
      <c r="B33" s="36" t="s">
        <v>231</v>
      </c>
      <c r="C33" s="37" t="s">
        <v>232</v>
      </c>
      <c r="D33" s="37" t="s">
        <v>710</v>
      </c>
      <c r="E33" s="37" t="s">
        <v>232</v>
      </c>
      <c r="F33" s="37" t="s">
        <v>232</v>
      </c>
      <c r="G33" s="37" t="s">
        <v>232</v>
      </c>
      <c r="H33" s="37" t="s">
        <v>232</v>
      </c>
    </row>
    <row r="34" spans="2:8" x14ac:dyDescent="0.35">
      <c r="B34" s="42" t="s">
        <v>233</v>
      </c>
      <c r="C34" s="37" t="s">
        <v>234</v>
      </c>
      <c r="D34" s="37" t="s">
        <v>234</v>
      </c>
      <c r="E34" s="37" t="s">
        <v>234</v>
      </c>
      <c r="F34" s="37" t="s">
        <v>234</v>
      </c>
      <c r="G34" s="37" t="s">
        <v>234</v>
      </c>
      <c r="H34" s="37" t="s">
        <v>234</v>
      </c>
    </row>
    <row r="35" spans="2:8" x14ac:dyDescent="0.35">
      <c r="B35" s="36" t="s">
        <v>236</v>
      </c>
      <c r="C35" s="37" t="s">
        <v>237</v>
      </c>
      <c r="D35" s="37" t="s">
        <v>521</v>
      </c>
      <c r="E35" s="37" t="s">
        <v>237</v>
      </c>
      <c r="F35" s="37" t="s">
        <v>237</v>
      </c>
      <c r="G35" s="37" t="s">
        <v>237</v>
      </c>
      <c r="H35" s="37" t="s">
        <v>246</v>
      </c>
    </row>
    <row r="36" spans="2:8" x14ac:dyDescent="0.35">
      <c r="B36" s="36" t="s">
        <v>238</v>
      </c>
      <c r="C36" s="37" t="s">
        <v>209</v>
      </c>
      <c r="D36" s="37" t="s">
        <v>209</v>
      </c>
      <c r="E36" s="37" t="s">
        <v>209</v>
      </c>
      <c r="F36" s="37" t="s">
        <v>555</v>
      </c>
      <c r="G36" s="37" t="s">
        <v>209</v>
      </c>
      <c r="H36" s="37" t="s">
        <v>209</v>
      </c>
    </row>
    <row r="37" spans="2:8" x14ac:dyDescent="0.35">
      <c r="B37" s="36" t="s">
        <v>239</v>
      </c>
      <c r="C37" s="37" t="s">
        <v>240</v>
      </c>
      <c r="D37" s="37" t="s">
        <v>240</v>
      </c>
      <c r="E37" s="37" t="s">
        <v>555</v>
      </c>
      <c r="F37" s="37" t="s">
        <v>555</v>
      </c>
      <c r="G37" s="37" t="s">
        <v>555</v>
      </c>
      <c r="H37" s="37" t="s">
        <v>240</v>
      </c>
    </row>
    <row r="38" spans="2:8" ht="25.5" customHeight="1" x14ac:dyDescent="0.35">
      <c r="B38" s="36" t="s">
        <v>241</v>
      </c>
      <c r="C38" s="37" t="s">
        <v>242</v>
      </c>
      <c r="D38" s="37" t="s">
        <v>242</v>
      </c>
      <c r="E38" s="37" t="s">
        <v>242</v>
      </c>
      <c r="F38" s="37" t="s">
        <v>242</v>
      </c>
      <c r="G38" s="37" t="s">
        <v>711</v>
      </c>
      <c r="H38" s="37" t="s">
        <v>242</v>
      </c>
    </row>
    <row r="39" spans="2:8" ht="25.5" customHeight="1" x14ac:dyDescent="0.35">
      <c r="B39" s="36" t="s">
        <v>243</v>
      </c>
      <c r="C39" s="37" t="s">
        <v>244</v>
      </c>
      <c r="D39" s="37" t="s">
        <v>522</v>
      </c>
      <c r="E39" s="37" t="s">
        <v>244</v>
      </c>
      <c r="F39" s="37" t="s">
        <v>244</v>
      </c>
      <c r="G39" s="37" t="s">
        <v>244</v>
      </c>
      <c r="H39" s="37" t="s">
        <v>244</v>
      </c>
    </row>
    <row r="40" spans="2:8" x14ac:dyDescent="0.35">
      <c r="B40" s="36" t="s">
        <v>245</v>
      </c>
      <c r="C40" s="37" t="s">
        <v>246</v>
      </c>
      <c r="D40" s="37" t="s">
        <v>246</v>
      </c>
      <c r="E40" s="37" t="s">
        <v>521</v>
      </c>
      <c r="F40" s="37" t="s">
        <v>246</v>
      </c>
      <c r="G40" s="37" t="s">
        <v>246</v>
      </c>
      <c r="H40" s="37" t="s">
        <v>521</v>
      </c>
    </row>
    <row r="41" spans="2:8" x14ac:dyDescent="0.35">
      <c r="B41" s="36" t="s">
        <v>247</v>
      </c>
      <c r="C41" s="37" t="s">
        <v>248</v>
      </c>
      <c r="D41" s="37" t="s">
        <v>523</v>
      </c>
      <c r="E41" s="37" t="s">
        <v>248</v>
      </c>
      <c r="F41" s="37" t="s">
        <v>555</v>
      </c>
      <c r="G41" s="37" t="s">
        <v>248</v>
      </c>
      <c r="H41" s="37" t="s">
        <v>523</v>
      </c>
    </row>
    <row r="42" spans="2:8" x14ac:dyDescent="0.35">
      <c r="B42" s="36" t="s">
        <v>249</v>
      </c>
      <c r="C42" s="37" t="s">
        <v>250</v>
      </c>
      <c r="D42" s="37" t="s">
        <v>524</v>
      </c>
      <c r="E42" s="37" t="s">
        <v>712</v>
      </c>
      <c r="F42" s="37" t="s">
        <v>250</v>
      </c>
      <c r="G42" s="37" t="s">
        <v>524</v>
      </c>
      <c r="H42" s="37" t="s">
        <v>250</v>
      </c>
    </row>
    <row r="43" spans="2:8" x14ac:dyDescent="0.35">
      <c r="B43" s="36" t="s">
        <v>251</v>
      </c>
      <c r="C43" s="37"/>
      <c r="D43" s="37"/>
      <c r="E43" s="37"/>
      <c r="F43" s="37"/>
      <c r="G43" s="37"/>
      <c r="H43" s="37"/>
    </row>
    <row r="44" spans="2:8" x14ac:dyDescent="0.35">
      <c r="B44" s="36" t="s">
        <v>120</v>
      </c>
      <c r="C44" s="43">
        <v>0</v>
      </c>
      <c r="D44" s="43">
        <v>0</v>
      </c>
      <c r="E44" s="43">
        <v>0</v>
      </c>
      <c r="F44" s="43">
        <v>0.1</v>
      </c>
      <c r="G44" s="43">
        <v>0</v>
      </c>
      <c r="H44" s="43">
        <v>0.05</v>
      </c>
    </row>
    <row r="46" spans="2:8" ht="18" customHeight="1" x14ac:dyDescent="0.35">
      <c r="B46" s="12" t="s">
        <v>254</v>
      </c>
      <c r="C46" s="12"/>
      <c r="D46" s="12"/>
      <c r="E46" s="12"/>
      <c r="F46" s="12"/>
      <c r="G46" s="12"/>
      <c r="H46" s="12"/>
    </row>
    <row r="47" spans="2:8" x14ac:dyDescent="0.35">
      <c r="B47" s="36" t="s">
        <v>255</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customHeight="1" x14ac:dyDescent="0.35">
      <c r="B48" s="32" t="s">
        <v>257</v>
      </c>
      <c r="C48" s="154" t="str">
        <f>IF(C43&lt;&gt;"",C43,IFERROR(INDEX('Cat Zone by ZIP'!$D$6:$D$856,MATCH(C47,'Cat Zone by ZIP'!$B$6:$B$856,0)),IFERROR(INDEX('Cat Zone by ZIP'!$C$860:$C$910,MATCH(C12,'Cat Zone by ZIP'!$B$860:$B$910,0)),"NOT FOUND - select an override")))</f>
        <v>Tier 1 - Coastal wind / surge (0-1 mile, FEMA V or Coastal A)</v>
      </c>
      <c r="D48" s="154" t="str">
        <f>IF(D43&lt;&gt;"",D43,IFERROR(INDEX('Cat Zone by ZIP'!$D$6:$D$856,MATCH(D47,'Cat Zone by ZIP'!$B$6:$B$856,0)),IFERROR(INDEX('Cat Zone by ZIP'!$C$860:$C$910,MATCH(D12,'Cat Zone by ZIP'!$B$860:$B$910,0)),"NOT FOUND - select an override")))</f>
        <v>Severe convective - hail / tornado (moderate)</v>
      </c>
      <c r="E48" s="154" t="str">
        <f>IF(E43&lt;&gt;"",E43,IFERROR(INDEX('Cat Zone by ZIP'!$D$6:$D$856,MATCH(E47,'Cat Zone by ZIP'!$B$6:$B$856,0)),IFERROR(INDEX('Cat Zone by ZIP'!$C$860:$C$910,MATCH(E12,'Cat Zone by ZIP'!$B$860:$B$910,0)),"NOT FOUND - select an override")))</f>
        <v>Tier 3 - Coastal wind (25-100 miles)</v>
      </c>
      <c r="F48" s="154" t="str">
        <f>IF(F43&lt;&gt;"",F43,IFERROR(INDEX('Cat Zone by ZIP'!$D$6:$D$856,MATCH(F47,'Cat Zone by ZIP'!$B$6:$B$856,0)),IFERROR(INDEX('Cat Zone by ZIP'!$C$860:$C$910,MATCH(F12,'Cat Zone by ZIP'!$B$860:$B$910,0)),"NOT FOUND - select an override")))</f>
        <v>Low hazard - inland benign</v>
      </c>
      <c r="G48" s="154" t="str">
        <f>IF(G43&lt;&gt;"",G43,IFERROR(INDEX('Cat Zone by ZIP'!$D$6:$D$856,MATCH(G47,'Cat Zone by ZIP'!$B$6:$B$856,0)),IFERROR(INDEX('Cat Zone by ZIP'!$C$860:$C$910,MATCH(G12,'Cat Zone by ZIP'!$B$860:$B$910,0)),"NOT FOUND - select an override")))</f>
        <v>Severe convective - hail alley (high)</v>
      </c>
      <c r="H48" s="154" t="str">
        <f>IF(H43&lt;&gt;"",H43,IFERROR(INDEX('Cat Zone by ZIP'!$D$6:$D$856,MATCH(H47,'Cat Zone by ZIP'!$B$6:$B$856,0)),IFERROR(INDEX('Cat Zone by ZIP'!$C$860:$C$910,MATCH(H12,'Cat Zone by ZIP'!$B$860:$B$910,0)),"NOT FOUND - select an override")))</f>
        <v>Wildfire - WUI high hazard</v>
      </c>
    </row>
    <row r="49" spans="2:8" x14ac:dyDescent="0.35">
      <c r="B49" s="36" t="s">
        <v>259</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38.25" customHeight="1" x14ac:dyDescent="0.35">
      <c r="B50" s="36" t="s">
        <v>261</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35">
      <c r="B51" s="36" t="s">
        <v>263</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35">
      <c r="B52" s="36" t="s">
        <v>265</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35">
      <c r="B54" s="12" t="s">
        <v>267</v>
      </c>
      <c r="C54" s="12"/>
      <c r="D54" s="12"/>
      <c r="E54" s="12"/>
      <c r="F54" s="12"/>
      <c r="G54" s="12"/>
      <c r="H54" s="12"/>
    </row>
    <row r="55" spans="2:8" x14ac:dyDescent="0.35">
      <c r="B55" s="36" t="s">
        <v>268</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35">
      <c r="B56" s="36" t="s">
        <v>270</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35">
      <c r="B57" s="36" t="s">
        <v>272</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35">
      <c r="B58" s="36" t="s">
        <v>274</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35">
      <c r="B59" s="36" t="s">
        <v>275</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35">
      <c r="B60" s="36" t="s">
        <v>276</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35">
      <c r="B61" s="36" t="s">
        <v>277</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35">
      <c r="B62" s="36" t="s">
        <v>278</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35">
      <c r="B63" s="36" t="s">
        <v>279</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35">
      <c r="B64" s="36" t="s">
        <v>280</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35">
      <c r="B65" s="36" t="s">
        <v>281</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35">
      <c r="B66" s="36" t="s">
        <v>282</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35">
      <c r="B67" s="36" t="s">
        <v>283</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35">
      <c r="B68" s="36" t="s">
        <v>284</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35">
      <c r="B69" s="36" t="s">
        <v>285</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35">
      <c r="B70" s="36" t="s">
        <v>286</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35">
      <c r="B71" s="36" t="s">
        <v>287</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35">
      <c r="B72" s="36" t="s">
        <v>288</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35">
      <c r="B73" s="36" t="s">
        <v>289</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35">
      <c r="B74" s="36" t="s">
        <v>290</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35">
      <c r="B75" s="36" t="s">
        <v>291</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35">
      <c r="B76" s="36" t="s">
        <v>292</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35">
      <c r="B77" s="36" t="s">
        <v>293</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35">
      <c r="B78" s="36" t="s">
        <v>294</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35">
      <c r="B79" s="36" t="s">
        <v>295</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35">
      <c r="B80" s="36" t="s">
        <v>296</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35">
      <c r="B81" s="36" t="s">
        <v>297</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35">
      <c r="B82" s="36" t="s">
        <v>298</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35">
      <c r="B83" s="36" t="s">
        <v>299</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35">
      <c r="B84" s="36" t="s">
        <v>300</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35">
      <c r="B85" s="36" t="s">
        <v>301</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35">
      <c r="B86" s="32" t="s">
        <v>302</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35">
      <c r="B87" s="32" t="s">
        <v>304</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35">
      <c r="B88" s="32" t="s">
        <v>306</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35">
      <c r="B90" s="12" t="s">
        <v>308</v>
      </c>
      <c r="C90" s="12"/>
      <c r="D90" s="12"/>
      <c r="E90" s="12"/>
      <c r="F90" s="12"/>
      <c r="G90" s="12"/>
      <c r="H90" s="12"/>
    </row>
    <row r="91" spans="2:8" x14ac:dyDescent="0.35">
      <c r="B91" s="36" t="s">
        <v>309</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35">
      <c r="B92" s="36" t="s">
        <v>311</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35">
      <c r="B93" s="36" t="s">
        <v>312</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35">
      <c r="B94" s="36" t="s">
        <v>313</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35">
      <c r="B95" s="36" t="s">
        <v>315</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35">
      <c r="B96" s="36" t="s">
        <v>316</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35">
      <c r="B97" s="36" t="s">
        <v>317</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35">
      <c r="B98" s="36" t="s">
        <v>318</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35">
      <c r="B99" s="36" t="s">
        <v>319</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35">
      <c r="B100" s="36" t="s">
        <v>321</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35">
      <c r="B101" s="36" t="s">
        <v>323</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35">
      <c r="B102" s="36" t="s">
        <v>324</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35">
      <c r="B103" s="32" t="s">
        <v>325</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35">
      <c r="B104" s="36" t="s">
        <v>111</v>
      </c>
      <c r="C104" s="46">
        <f>'Technical Premium'!$C$13</f>
        <v>0.57999999999999996</v>
      </c>
      <c r="D104" s="46">
        <f>'Technical Premium'!$C$13</f>
        <v>0.57999999999999996</v>
      </c>
      <c r="E104" s="46">
        <f>'Technical Premium'!$C$13</f>
        <v>0.57999999999999996</v>
      </c>
      <c r="F104" s="46">
        <f>'Technical Premium'!$C$13</f>
        <v>0.57999999999999996</v>
      </c>
      <c r="G104" s="46">
        <f>'Technical Premium'!$C$13</f>
        <v>0.57999999999999996</v>
      </c>
      <c r="H104" s="46">
        <f>'Technical Premium'!$C$13</f>
        <v>0.57999999999999996</v>
      </c>
    </row>
    <row r="105" spans="2:8" x14ac:dyDescent="0.35">
      <c r="B105" s="32" t="s">
        <v>114</v>
      </c>
      <c r="C105" s="155">
        <f t="shared" ref="C105:H105" si="10">C103/C104</f>
        <v>23977.501341598858</v>
      </c>
      <c r="D105" s="155">
        <f t="shared" si="10"/>
        <v>42242.831789761454</v>
      </c>
      <c r="E105" s="155">
        <f t="shared" si="10"/>
        <v>9100.3470178536227</v>
      </c>
      <c r="F105" s="155">
        <f t="shared" si="10"/>
        <v>44196.05056034484</v>
      </c>
      <c r="G105" s="155">
        <f t="shared" si="10"/>
        <v>17558.511510589531</v>
      </c>
      <c r="H105" s="155">
        <f t="shared" si="10"/>
        <v>73201.557756345894</v>
      </c>
    </row>
    <row r="106" spans="2:8" x14ac:dyDescent="0.35">
      <c r="B106" s="32" t="s">
        <v>329</v>
      </c>
      <c r="C106" s="156">
        <f t="shared" ref="C106:H106" si="11">C105/C11*100</f>
        <v>5.641765021552672</v>
      </c>
      <c r="D106" s="156">
        <f t="shared" si="11"/>
        <v>1.1734119941600405</v>
      </c>
      <c r="E106" s="156">
        <f t="shared" si="11"/>
        <v>0.32501239349477223</v>
      </c>
      <c r="F106" s="156">
        <f t="shared" si="11"/>
        <v>15.784303771551727</v>
      </c>
      <c r="G106" s="156">
        <f t="shared" si="11"/>
        <v>5.1642680913498618</v>
      </c>
      <c r="H106" s="156">
        <f t="shared" si="11"/>
        <v>3.3273435343793589</v>
      </c>
    </row>
    <row r="107" spans="2:8" x14ac:dyDescent="0.35">
      <c r="B107" s="36" t="s">
        <v>120</v>
      </c>
      <c r="C107" s="48">
        <f t="shared" ref="C107:H107" si="12">C105*C44</f>
        <v>0</v>
      </c>
      <c r="D107" s="48">
        <f t="shared" si="12"/>
        <v>0</v>
      </c>
      <c r="E107" s="48">
        <f t="shared" si="12"/>
        <v>0</v>
      </c>
      <c r="F107" s="48">
        <f t="shared" si="12"/>
        <v>4419.6050560344838</v>
      </c>
      <c r="G107" s="48">
        <f t="shared" si="12"/>
        <v>0</v>
      </c>
      <c r="H107" s="48">
        <f t="shared" si="12"/>
        <v>3660.077887817295</v>
      </c>
    </row>
    <row r="108" spans="2:8" x14ac:dyDescent="0.35">
      <c r="B108" s="32" t="s">
        <v>331</v>
      </c>
      <c r="C108" s="155">
        <f t="shared" ref="C108:H108" si="13">C105+C107</f>
        <v>23977.501341598858</v>
      </c>
      <c r="D108" s="155">
        <f t="shared" si="13"/>
        <v>42242.831789761454</v>
      </c>
      <c r="E108" s="155">
        <f t="shared" si="13"/>
        <v>9100.3470178536227</v>
      </c>
      <c r="F108" s="155">
        <f t="shared" si="13"/>
        <v>48615.655616379321</v>
      </c>
      <c r="G108" s="155">
        <f t="shared" si="13"/>
        <v>17558.511510589531</v>
      </c>
      <c r="H108" s="155">
        <f t="shared" si="13"/>
        <v>76861.635644163194</v>
      </c>
    </row>
    <row r="109" spans="2:8" x14ac:dyDescent="0.35">
      <c r="B109" s="36" t="s">
        <v>333</v>
      </c>
      <c r="C109" s="54">
        <f t="shared" ref="C109:H109" si="14">C108/C11*100</f>
        <v>5.641765021552672</v>
      </c>
      <c r="D109" s="54">
        <f t="shared" si="14"/>
        <v>1.1734119941600405</v>
      </c>
      <c r="E109" s="54">
        <f t="shared" si="14"/>
        <v>0.32501239349477223</v>
      </c>
      <c r="F109" s="54">
        <f t="shared" si="14"/>
        <v>17.362734148706902</v>
      </c>
      <c r="G109" s="54">
        <f t="shared" si="14"/>
        <v>5.1642680913498618</v>
      </c>
      <c r="H109" s="54">
        <f t="shared" si="14"/>
        <v>3.4937107110983274</v>
      </c>
    </row>
    <row r="110" spans="2:8" x14ac:dyDescent="0.35">
      <c r="B110" s="36" t="s">
        <v>335</v>
      </c>
      <c r="C110" s="55">
        <f t="shared" ref="C110:H110" si="15">C109/C106</f>
        <v>1</v>
      </c>
      <c r="D110" s="55">
        <f t="shared" si="15"/>
        <v>1</v>
      </c>
      <c r="E110" s="55">
        <f t="shared" si="15"/>
        <v>1</v>
      </c>
      <c r="F110" s="55">
        <f t="shared" si="15"/>
        <v>1.1000000000000001</v>
      </c>
      <c r="G110" s="55">
        <f t="shared" si="15"/>
        <v>1</v>
      </c>
      <c r="H110" s="55">
        <f t="shared" si="15"/>
        <v>1.0500000000000003</v>
      </c>
    </row>
    <row r="111" spans="2:8" x14ac:dyDescent="0.35">
      <c r="B111" s="36" t="s">
        <v>337</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35">
      <c r="B112" s="36" t="s">
        <v>338</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35">
      <c r="B113" s="36" t="s">
        <v>339</v>
      </c>
      <c r="C113" s="48">
        <f>(C108+C111+C112)*(INDEX('Territory Factors'!$K$6:$K$56,MATCH(C12,'Territory Factors'!$B$6:$B$56,0))+'Commission Structure'!$C$21)</f>
        <v>1245.5680686898615</v>
      </c>
      <c r="D113" s="48">
        <f>(D108+D111+D112)*(INDEX('Territory Factors'!$K$6:$K$56,MATCH(D12,'Territory Factors'!$B$6:$B$56,0))+'Commission Structure'!$C$21)</f>
        <v>1362.4020509144143</v>
      </c>
      <c r="E113" s="48">
        <f>(E108+E111+E112)*(INDEX('Territory Factors'!$K$6:$K$56,MATCH(E12,'Territory Factors'!$B$6:$B$56,0))+'Commission Structure'!$C$21)</f>
        <v>405.47450534628149</v>
      </c>
      <c r="F113" s="48">
        <f>(F108+F111+F112)*(INDEX('Territory Factors'!$K$6:$K$56,MATCH(F12,'Territory Factors'!$B$6:$B$56,0))+'Commission Structure'!$C$21)</f>
        <v>1801.9361266827593</v>
      </c>
      <c r="G113" s="48">
        <f>(G108+G111+G112)*(INDEX('Territory Factors'!$K$6:$K$56,MATCH(G12,'Territory Factors'!$B$6:$B$56,0))+'Commission Structure'!$C$21)</f>
        <v>900.79812898265345</v>
      </c>
      <c r="H113" s="48">
        <f>(H108+H111+H112)*(INDEX('Territory Factors'!$K$6:$K$56,MATCH(H12,'Territory Factors'!$B$6:$B$56,0))+'Commission Structure'!$C$21)</f>
        <v>2463.2800134843897</v>
      </c>
    </row>
    <row r="114" spans="2:8" x14ac:dyDescent="0.35">
      <c r="B114" s="32" t="s">
        <v>341</v>
      </c>
      <c r="C114" s="155">
        <f t="shared" ref="C114:H114" si="16">C108+C111+C112+C113</f>
        <v>25573.069410288721</v>
      </c>
      <c r="D114" s="155">
        <f t="shared" si="16"/>
        <v>44205.233840675872</v>
      </c>
      <c r="E114" s="155">
        <f t="shared" si="16"/>
        <v>10105.821523199904</v>
      </c>
      <c r="F114" s="155">
        <f t="shared" si="16"/>
        <v>50767.591743062083</v>
      </c>
      <c r="G114" s="155">
        <f t="shared" si="16"/>
        <v>18809.309639572184</v>
      </c>
      <c r="H114" s="155">
        <f t="shared" si="16"/>
        <v>79924.91565764758</v>
      </c>
    </row>
    <row r="116" spans="2:8" ht="18" customHeight="1" x14ac:dyDescent="0.35">
      <c r="B116" s="12" t="s">
        <v>343</v>
      </c>
      <c r="C116" s="12"/>
      <c r="D116" s="12"/>
      <c r="E116" s="12"/>
      <c r="F116" s="12"/>
      <c r="G116" s="12"/>
      <c r="H116" s="12"/>
    </row>
    <row r="117" spans="2:8" x14ac:dyDescent="0.35">
      <c r="B117" s="36" t="s">
        <v>344</v>
      </c>
      <c r="C117" s="48">
        <f>C108*'Commission Structure'!$C$5</f>
        <v>5994.3753353997145</v>
      </c>
      <c r="D117" s="48">
        <f>D108*'Commission Structure'!$C$5</f>
        <v>10560.707947440364</v>
      </c>
      <c r="E117" s="48">
        <f>E108*'Commission Structure'!$C$5</f>
        <v>2275.0867544634057</v>
      </c>
      <c r="F117" s="48">
        <f>F108*'Commission Structure'!$C$5</f>
        <v>12153.91390409483</v>
      </c>
      <c r="G117" s="48">
        <f>G108*'Commission Structure'!$C$5</f>
        <v>4389.6278776473828</v>
      </c>
      <c r="H117" s="48">
        <f>H108*'Commission Structure'!$C$5</f>
        <v>19215.408911040799</v>
      </c>
    </row>
    <row r="118" spans="2:8" x14ac:dyDescent="0.35">
      <c r="B118" s="36" t="s">
        <v>345</v>
      </c>
      <c r="C118" s="48">
        <f>C108*'Commission Structure'!$C$6</f>
        <v>2997.1876676998572</v>
      </c>
      <c r="D118" s="48">
        <f>D108*'Commission Structure'!$C$6</f>
        <v>5280.3539737201818</v>
      </c>
      <c r="E118" s="48">
        <f>E108*'Commission Structure'!$C$6</f>
        <v>1137.5433772317028</v>
      </c>
      <c r="F118" s="48">
        <f>F108*'Commission Structure'!$C$6</f>
        <v>6076.9569520474151</v>
      </c>
      <c r="G118" s="48">
        <f>G108*'Commission Structure'!$C$6</f>
        <v>2194.8139388236914</v>
      </c>
      <c r="H118" s="48">
        <f>H108*'Commission Structure'!$C$6</f>
        <v>9607.7044555203993</v>
      </c>
    </row>
    <row r="119" spans="2:8" x14ac:dyDescent="0.35">
      <c r="B119" s="36" t="s">
        <v>346</v>
      </c>
      <c r="C119" s="48">
        <f>C108*'Commission Structure'!$C$7</f>
        <v>0</v>
      </c>
      <c r="D119" s="48">
        <f>D108*'Commission Structure'!$C$7</f>
        <v>0</v>
      </c>
      <c r="E119" s="48">
        <f>E108*'Commission Structure'!$C$7</f>
        <v>0</v>
      </c>
      <c r="F119" s="48">
        <f>F108*'Commission Structure'!$C$7</f>
        <v>0</v>
      </c>
      <c r="G119" s="48">
        <f>G108*'Commission Structure'!$C$7</f>
        <v>0</v>
      </c>
      <c r="H119" s="48">
        <f>H108*'Commission Structure'!$C$7</f>
        <v>0</v>
      </c>
    </row>
    <row r="120" spans="2:8" x14ac:dyDescent="0.35">
      <c r="B120" s="32" t="s">
        <v>347</v>
      </c>
      <c r="C120" s="51">
        <f t="shared" ref="C120:H120" si="17">C117-C118-C119</f>
        <v>2997.1876676998572</v>
      </c>
      <c r="D120" s="51">
        <f t="shared" si="17"/>
        <v>5280.3539737201818</v>
      </c>
      <c r="E120" s="51">
        <f t="shared" si="17"/>
        <v>1137.5433772317028</v>
      </c>
      <c r="F120" s="51">
        <f t="shared" si="17"/>
        <v>6076.9569520474151</v>
      </c>
      <c r="G120" s="51">
        <f t="shared" si="17"/>
        <v>2194.8139388236914</v>
      </c>
      <c r="H120" s="51">
        <f t="shared" si="17"/>
        <v>9607.7044555203993</v>
      </c>
    </row>
    <row r="121" spans="2:8" x14ac:dyDescent="0.35">
      <c r="B121" s="36" t="s">
        <v>348</v>
      </c>
      <c r="C121" s="48">
        <f t="shared" ref="C121:H121" si="18">C108-C117</f>
        <v>17983.126006199142</v>
      </c>
      <c r="D121" s="48">
        <f t="shared" si="18"/>
        <v>31682.123842321089</v>
      </c>
      <c r="E121" s="48">
        <f t="shared" si="18"/>
        <v>6825.260263390217</v>
      </c>
      <c r="F121" s="48">
        <f t="shared" si="18"/>
        <v>36461.741712284493</v>
      </c>
      <c r="G121" s="48">
        <f t="shared" si="18"/>
        <v>13168.883632942148</v>
      </c>
      <c r="H121" s="48">
        <f t="shared" si="18"/>
        <v>57646.226733122399</v>
      </c>
    </row>
    <row r="122" spans="2:8" x14ac:dyDescent="0.35">
      <c r="B122" s="32" t="s">
        <v>349</v>
      </c>
      <c r="C122" s="154"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4"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4"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4"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4"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4"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3" spans="2:8" ht="91.5" customHeight="1" x14ac:dyDescent="0.35">
      <c r="B123" s="56" t="s">
        <v>351</v>
      </c>
      <c r="C123" s="57" t="str">
        <f>IF(C122="AUTO-BIND","None - every referral trigger is clear; the risk sits inside automatic binding authority.",TRIM(IF(C11&lt;'Technical Premium'!$C$18,"DECLINE - agreed value "&amp;TEXT(C11,"$#,##0")&amp;" is below the programme minimum of "&amp;TEXT('Technical Premium'!$C$18,"$#,##0")&amp;". ","")&amp;IF(C44&lt;'Technical Premium'!$C$19,"DISCOUNT AUTHORITY BREACH - underwriter adjustment "&amp;TEXT(C44,"0%")&amp;" is below the "&amp;TEXT('Technical Premium'!$C$19,"0%")&amp;" limit. ","")&amp;IF(C44&gt;'Technical Premium'!$C$20,"Load authority breach - underwriter adjustment "&amp;TEXT(C44,"0%")&amp;" exceeds the "&amp;TEXT('Technical Premium'!$C$20,"0%")&amp;" limit. ","")&amp;IF(C11&gt;='Technical Premium'!$C$16,"Agreed value "&amp;TEXT(C11,"$#,##0")&amp;" is at or above the "&amp;TEXT('Technical Premium'!$C$16,"$#,##0")&amp;" automatic bind limit. ","")&amp;IF(C88&gt;='Technical Premium'!$C$17,"Composite factor "&amp;TEXT(C88,"0.00")&amp;" has hit the "&amp;TEXT('Technical Premium'!$C$17,"0.00")&amp;" cap. ","")&amp;IF(C88&gt;2.5,"Composite factor "&amp;TEXT(C88,"0.00")&amp;" exceeds the 2.50 referral threshold. ","")&amp;IF(LEFT(IFERROR(INDEX('Driver Factors'!$D$6:$D$15,MATCH(C19,'Driver Factors'!$B$6:$B$15,0)),""),7)="DECLINE","DECLINE - driver age band '"&amp;C19&amp;"': "&amp;IFERROR(INDEX('Driver Factors'!$D$6:$D$15,MATCH(C19,'Driver Factors'!$B$6:$B$15,0)),"")&amp;". ",IF(LEFT(IFERROR(INDEX('Driver Factors'!$D$6:$D$15,MATCH(C19,'Driver Factors'!$B$6:$B$15,0)),""),5)="Refer","Driver age band '"&amp;C19&amp;"': "&amp;IFERROR(INDEX('Driver Factors'!$D$6:$D$15,MATCH(C19,'Driver Factors'!$B$6:$B$15,0)),"")&amp;". ",""))&amp;IF(LEFT(IFERROR(INDEX('Driver Factors'!$D$28:$D$36,MATCH(C21,'Driver Factors'!$B$28:$B$36,0)),""),7)="DECLINE","DECLINE - MVR '"&amp;C21&amp;"': "&amp;IFERROR(INDEX('Driver Factors'!$D$28:$D$36,MATCH(C21,'Driver Factors'!$B$28:$B$36,0)),"")&amp;". ",IF(LEFT(IFERROR(INDEX('Driver Factors'!$D$28:$D$36,MATCH(C21,'Driver Factors'!$B$28:$B$36,0)),""),5)="Refer","MVR '"&amp;C21&amp;"': "&amp;IFERROR(INDEX('Driver Factors'!$D$28:$D$36,MATCH(C21,'Driver Factors'!$B$28:$B$36,0)),"")&amp;". ",""))&amp;IF(LEFT(IFERROR(INDEX('Claims History'!$D$6:$D$15,MATCH(C22,'Claims History'!$B$6:$B$15,0)),""),7)="DECLINE","DECLINE - claims history '"&amp;C22&amp;"': "&amp;IFERROR(INDEX('Claims History'!$D$6:$D$15,MATCH(C22,'Claims History'!$B$6:$B$15,0)),"")&amp;". ",IF(LEFT(IFERROR(INDEX('Claims History'!$D$6:$D$15,MATCH(C22,'Claims History'!$B$6:$B$15,0)),""),5)="Refer","Claims history '"&amp;C22&amp;"': "&amp;IFERROR(INDEX('Claims History'!$D$6:$D$15,MATCH(C22,'Claims History'!$B$6:$B$15,0)),"")&amp;". ",""))&amp;IF(LEFT(IFERROR(INDEX('Usage and Coverage'!$E$6:$E$20,MATCH(C15,'Usage and Coverage'!$C$6:$D$20,0)),""),7)="DECLINE","DECLINE - usage '"&amp;C15&amp;"': "&amp;IFERROR(INDEX('Usage and Coverage'!$E$6:$E$20,MATCH(C15,'Usage and Coverage'!$C$6:$D$20,0)),"")&amp;". ",IF(LEFT(IFERROR(INDEX('Usage and Coverage'!$E$6:$E$20,MATCH(C15,'Usage and Coverage'!$C$6:$D$20,0)),""),5)="Refer","Usage '"&amp;C15&amp;"': "&amp;IFERROR(INDEX('Usage and Coverage'!$E$6:$E$20,MATCH(C15,'Usage and Coverage'!$C$6:$D$20,0)),"")&amp;". ",""))))</f>
        <v>None - every referral trigger is clear; the risk sits inside automatic binding authority.</v>
      </c>
      <c r="D123" s="57" t="str">
        <f>IF(D122="AUTO-BIND","None - every referral trigger is clear; the risk sits inside automatic binding authority.",TRIM(IF(D11&lt;'Technical Premium'!$C$18,"DECLINE - agreed value "&amp;TEXT(D11,"$#,##0")&amp;" is below the programme minimum of "&amp;TEXT('Technical Premium'!$C$18,"$#,##0")&amp;". ","")&amp;IF(D44&lt;'Technical Premium'!$C$19,"DISCOUNT AUTHORITY BREACH - underwriter adjustment "&amp;TEXT(D44,"0%")&amp;" is below the "&amp;TEXT('Technical Premium'!$C$19,"0%")&amp;" limit. ","")&amp;IF(D44&gt;'Technical Premium'!$C$20,"Load authority breach - underwriter adjustment "&amp;TEXT(D44,"0%")&amp;" exceeds the "&amp;TEXT('Technical Premium'!$C$20,"0%")&amp;" limit. ","")&amp;IF(D11&gt;='Technical Premium'!$C$16,"Agreed value "&amp;TEXT(D11,"$#,##0")&amp;" is at or above the "&amp;TEXT('Technical Premium'!$C$16,"$#,##0")&amp;" automatic bind limit. ","")&amp;IF(D88&gt;='Technical Premium'!$C$17,"Composite factor "&amp;TEXT(D88,"0.00")&amp;" has hit the "&amp;TEXT('Technical Premium'!$C$17,"0.00")&amp;" cap. ","")&amp;IF(D88&gt;2.5,"Composite factor "&amp;TEXT(D88,"0.00")&amp;" exceeds the 2.50 referral threshold. ","")&amp;IF(LEFT(IFERROR(INDEX('Driver Factors'!$D$6:$D$15,MATCH(D19,'Driver Factors'!$B$6:$B$15,0)),""),7)="DECLINE","DECLINE - driver age band '"&amp;D19&amp;"': "&amp;IFERROR(INDEX('Driver Factors'!$D$6:$D$15,MATCH(D19,'Driver Factors'!$B$6:$B$15,0)),"")&amp;". ",IF(LEFT(IFERROR(INDEX('Driver Factors'!$D$6:$D$15,MATCH(D19,'Driver Factors'!$B$6:$B$15,0)),""),5)="Refer","Driver age band '"&amp;D19&amp;"': "&amp;IFERROR(INDEX('Driver Factors'!$D$6:$D$15,MATCH(D19,'Driver Factors'!$B$6:$B$15,0)),"")&amp;". ",""))&amp;IF(LEFT(IFERROR(INDEX('Driver Factors'!$D$28:$D$36,MATCH(D21,'Driver Factors'!$B$28:$B$36,0)),""),7)="DECLINE","DECLINE - MVR '"&amp;D21&amp;"': "&amp;IFERROR(INDEX('Driver Factors'!$D$28:$D$36,MATCH(D21,'Driver Factors'!$B$28:$B$36,0)),"")&amp;". ",IF(LEFT(IFERROR(INDEX('Driver Factors'!$D$28:$D$36,MATCH(D21,'Driver Factors'!$B$28:$B$36,0)),""),5)="Refer","MVR '"&amp;D21&amp;"': "&amp;IFERROR(INDEX('Driver Factors'!$D$28:$D$36,MATCH(D21,'Driver Factors'!$B$28:$B$36,0)),"")&amp;". ",""))&amp;IF(LEFT(IFERROR(INDEX('Claims History'!$D$6:$D$15,MATCH(D22,'Claims History'!$B$6:$B$15,0)),""),7)="DECLINE","DECLINE - claims history '"&amp;D22&amp;"': "&amp;IFERROR(INDEX('Claims History'!$D$6:$D$15,MATCH(D22,'Claims History'!$B$6:$B$15,0)),"")&amp;". ",IF(LEFT(IFERROR(INDEX('Claims History'!$D$6:$D$15,MATCH(D22,'Claims History'!$B$6:$B$15,0)),""),5)="Refer","Claims history '"&amp;D22&amp;"': "&amp;IFERROR(INDEX('Claims History'!$D$6:$D$15,MATCH(D22,'Claims History'!$B$6:$B$15,0)),"")&amp;". ",""))&amp;IF(LEFT(IFERROR(INDEX('Usage and Coverage'!$E$6:$E$20,MATCH(D15,'Usage and Coverage'!$C$6:$D$20,0)),""),7)="DECLINE","DECLINE - usage '"&amp;D15&amp;"': "&amp;IFERROR(INDEX('Usage and Coverage'!$E$6:$E$20,MATCH(D15,'Usage and Coverage'!$C$6:$D$20,0)),"")&amp;". ",IF(LEFT(IFERROR(INDEX('Usage and Coverage'!$E$6:$E$20,MATCH(D15,'Usage and Coverage'!$C$6:$D$20,0)),""),5)="Refer","Usage '"&amp;D15&amp;"': "&amp;IFERROR(INDEX('Usage and Coverage'!$E$6:$E$20,MATCH(D15,'Usage and Coverage'!$C$6:$D$20,0)),"")&amp;". ",""))))</f>
        <v>Agreed value $3,600,000 is at or above the $2,000,000 automatic bind limit.</v>
      </c>
      <c r="E123" s="57" t="str">
        <f>IF(E122="AUTO-BIND","None - every referral trigger is clear; the risk sits inside automatic binding authority.",TRIM(IF(E11&lt;'Technical Premium'!$C$18,"DECLINE - agreed value "&amp;TEXT(E11,"$#,##0")&amp;" is below the programme minimum of "&amp;TEXT('Technical Premium'!$C$18,"$#,##0")&amp;". ","")&amp;IF(E44&lt;'Technical Premium'!$C$19,"DISCOUNT AUTHORITY BREACH - underwriter adjustment "&amp;TEXT(E44,"0%")&amp;" is below the "&amp;TEXT('Technical Premium'!$C$19,"0%")&amp;" limit. ","")&amp;IF(E44&gt;'Technical Premium'!$C$20,"Load authority breach - underwriter adjustment "&amp;TEXT(E44,"0%")&amp;" exceeds the "&amp;TEXT('Technical Premium'!$C$20,"0%")&amp;" limit. ","")&amp;IF(E11&gt;='Technical Premium'!$C$16,"Agreed value "&amp;TEXT(E11,"$#,##0")&amp;" is at or above the "&amp;TEXT('Technical Premium'!$C$16,"$#,##0")&amp;" automatic bind limit. ","")&amp;IF(E88&gt;='Technical Premium'!$C$17,"Composite factor "&amp;TEXT(E88,"0.00")&amp;" has hit the "&amp;TEXT('Technical Premium'!$C$17,"0.00")&amp;" cap. ","")&amp;IF(E88&gt;2.5,"Composite factor "&amp;TEXT(E88,"0.00")&amp;" exceeds the 2.50 referral threshold. ","")&amp;IF(LEFT(IFERROR(INDEX('Driver Factors'!$D$6:$D$15,MATCH(E19,'Driver Factors'!$B$6:$B$15,0)),""),7)="DECLINE","DECLINE - driver age band '"&amp;E19&amp;"': "&amp;IFERROR(INDEX('Driver Factors'!$D$6:$D$15,MATCH(E19,'Driver Factors'!$B$6:$B$15,0)),"")&amp;". ",IF(LEFT(IFERROR(INDEX('Driver Factors'!$D$6:$D$15,MATCH(E19,'Driver Factors'!$B$6:$B$15,0)),""),5)="Refer","Driver age band '"&amp;E19&amp;"': "&amp;IFERROR(INDEX('Driver Factors'!$D$6:$D$15,MATCH(E19,'Driver Factors'!$B$6:$B$15,0)),"")&amp;". ",""))&amp;IF(LEFT(IFERROR(INDEX('Driver Factors'!$D$28:$D$36,MATCH(E21,'Driver Factors'!$B$28:$B$36,0)),""),7)="DECLINE","DECLINE - MVR '"&amp;E21&amp;"': "&amp;IFERROR(INDEX('Driver Factors'!$D$28:$D$36,MATCH(E21,'Driver Factors'!$B$28:$B$36,0)),"")&amp;". ",IF(LEFT(IFERROR(INDEX('Driver Factors'!$D$28:$D$36,MATCH(E21,'Driver Factors'!$B$28:$B$36,0)),""),5)="Refer","MVR '"&amp;E21&amp;"': "&amp;IFERROR(INDEX('Driver Factors'!$D$28:$D$36,MATCH(E21,'Driver Factors'!$B$28:$B$36,0)),"")&amp;". ",""))&amp;IF(LEFT(IFERROR(INDEX('Claims History'!$D$6:$D$15,MATCH(E22,'Claims History'!$B$6:$B$15,0)),""),7)="DECLINE","DECLINE - claims history '"&amp;E22&amp;"': "&amp;IFERROR(INDEX('Claims History'!$D$6:$D$15,MATCH(E22,'Claims History'!$B$6:$B$15,0)),"")&amp;". ",IF(LEFT(IFERROR(INDEX('Claims History'!$D$6:$D$15,MATCH(E22,'Claims History'!$B$6:$B$15,0)),""),5)="Refer","Claims history '"&amp;E22&amp;"': "&amp;IFERROR(INDEX('Claims History'!$D$6:$D$15,MATCH(E22,'Claims History'!$B$6:$B$15,0)),"")&amp;". ",""))&amp;IF(LEFT(IFERROR(INDEX('Usage and Coverage'!$E$6:$E$20,MATCH(E15,'Usage and Coverage'!$C$6:$D$20,0)),""),7)="DECLINE","DECLINE - usage '"&amp;E15&amp;"': "&amp;IFERROR(INDEX('Usage and Coverage'!$E$6:$E$20,MATCH(E15,'Usage and Coverage'!$C$6:$D$20,0)),"")&amp;". ",IF(LEFT(IFERROR(INDEX('Usage and Coverage'!$E$6:$E$20,MATCH(E15,'Usage and Coverage'!$C$6:$D$20,0)),""),5)="Refer","Usage '"&amp;E15&amp;"': "&amp;IFERROR(INDEX('Usage and Coverage'!$E$6:$E$20,MATCH(E15,'Usage and Coverage'!$C$6:$D$20,0)),"")&amp;". ",""))))</f>
        <v>Agreed value $2,800,000 is at or above the $2,000,000 automatic bind limit.</v>
      </c>
      <c r="F123" s="57" t="str">
        <f>IF(F122="AUTO-BIND","None - every referral trigger is clear; the risk sits inside automatic binding authority.",TRIM(IF(F11&lt;'Technical Premium'!$C$18,"DECLINE - agreed value "&amp;TEXT(F11,"$#,##0")&amp;" is below the programme minimum of "&amp;TEXT('Technical Premium'!$C$18,"$#,##0")&amp;". ","")&amp;IF(F44&lt;'Technical Premium'!$C$19,"DISCOUNT AUTHORITY BREACH - underwriter adjustment "&amp;TEXT(F44,"0%")&amp;" is below the "&amp;TEXT('Technical Premium'!$C$19,"0%")&amp;" limit. ","")&amp;IF(F44&gt;'Technical Premium'!$C$20,"Load authority breach - underwriter adjustment "&amp;TEXT(F44,"0%")&amp;" exceeds the "&amp;TEXT('Technical Premium'!$C$20,"0%")&amp;" limit. ","")&amp;IF(F11&gt;='Technical Premium'!$C$16,"Agreed value "&amp;TEXT(F11,"$#,##0")&amp;" is at or above the "&amp;TEXT('Technical Premium'!$C$16,"$#,##0")&amp;" automatic bind limit. ","")&amp;IF(F88&gt;='Technical Premium'!$C$17,"Composite factor "&amp;TEXT(F88,"0.00")&amp;" has hit the "&amp;TEXT('Technical Premium'!$C$17,"0.00")&amp;" cap. ","")&amp;IF(F88&gt;2.5,"Composite factor "&amp;TEXT(F88,"0.00")&amp;" exceeds the 2.50 referral threshold. ","")&amp;IF(LEFT(IFERROR(INDEX('Driver Factors'!$D$6:$D$15,MATCH(F19,'Driver Factors'!$B$6:$B$15,0)),""),7)="DECLINE","DECLINE - driver age band '"&amp;F19&amp;"': "&amp;IFERROR(INDEX('Driver Factors'!$D$6:$D$15,MATCH(F19,'Driver Factors'!$B$6:$B$15,0)),"")&amp;". ",IF(LEFT(IFERROR(INDEX('Driver Factors'!$D$6:$D$15,MATCH(F19,'Driver Factors'!$B$6:$B$15,0)),""),5)="Refer","Driver age band '"&amp;F19&amp;"': "&amp;IFERROR(INDEX('Driver Factors'!$D$6:$D$15,MATCH(F19,'Driver Factors'!$B$6:$B$15,0)),"")&amp;". ",""))&amp;IF(LEFT(IFERROR(INDEX('Driver Factors'!$D$28:$D$36,MATCH(F21,'Driver Factors'!$B$28:$B$36,0)),""),7)="DECLINE","DECLINE - MVR '"&amp;F21&amp;"': "&amp;IFERROR(INDEX('Driver Factors'!$D$28:$D$36,MATCH(F21,'Driver Factors'!$B$28:$B$36,0)),"")&amp;". ",IF(LEFT(IFERROR(INDEX('Driver Factors'!$D$28:$D$36,MATCH(F21,'Driver Factors'!$B$28:$B$36,0)),""),5)="Refer","MVR '"&amp;F21&amp;"': "&amp;IFERROR(INDEX('Driver Factors'!$D$28:$D$36,MATCH(F21,'Driver Factors'!$B$28:$B$36,0)),"")&amp;". ",""))&amp;IF(LEFT(IFERROR(INDEX('Claims History'!$D$6:$D$15,MATCH(F22,'Claims History'!$B$6:$B$15,0)),""),7)="DECLINE","DECLINE - claims history '"&amp;F22&amp;"': "&amp;IFERROR(INDEX('Claims History'!$D$6:$D$15,MATCH(F22,'Claims History'!$B$6:$B$15,0)),"")&amp;". ",IF(LEFT(IFERROR(INDEX('Claims History'!$D$6:$D$15,MATCH(F22,'Claims History'!$B$6:$B$15,0)),""),5)="Refer","Claims history '"&amp;F22&amp;"': "&amp;IFERROR(INDEX('Claims History'!$D$6:$D$15,MATCH(F22,'Claims History'!$B$6:$B$15,0)),"")&amp;". ",""))&amp;IF(LEFT(IFERROR(INDEX('Usage and Coverage'!$E$6:$E$20,MATCH(F15,'Usage and Coverage'!$C$6:$D$20,0)),""),7)="DECLINE","DECLINE - usage '"&amp;F15&amp;"': "&amp;IFERROR(INDEX('Usage and Coverage'!$E$6:$E$20,MATCH(F15,'Usage and Coverage'!$C$6:$D$20,0)),"")&amp;". ",IF(LEFT(IFERROR(INDEX('Usage and Coverage'!$E$6:$E$20,MATCH(F15,'Usage and Coverage'!$C$6:$D$20,0)),""),5)="Refer","Usage '"&amp;F15&amp;"': "&amp;IFERROR(INDEX('Usage and Coverage'!$E$6:$E$20,MATCH(F15,'Usage and Coverage'!$C$6:$D$20,0)),"")&amp;". ",""))))</f>
        <v>Composite factor 5.00 has hit the 5.00 cap. Composite factor 5.00 exceeds the 2.50 referral threshold.</v>
      </c>
      <c r="G123" s="57" t="str">
        <f>IF(G122="AUTO-BIND","None - every referral trigger is clear; the risk sits inside automatic binding authority.",TRIM(IF(G11&lt;'Technical Premium'!$C$18,"DECLINE - agreed value "&amp;TEXT(G11,"$#,##0")&amp;" is below the programme minimum of "&amp;TEXT('Technical Premium'!$C$18,"$#,##0")&amp;". ","")&amp;IF(G44&lt;'Technical Premium'!$C$19,"DISCOUNT AUTHORITY BREACH - underwriter adjustment "&amp;TEXT(G44,"0%")&amp;" is below the "&amp;TEXT('Technical Premium'!$C$19,"0%")&amp;" limit. ","")&amp;IF(G44&gt;'Technical Premium'!$C$20,"Load authority breach - underwriter adjustment "&amp;TEXT(G44,"0%")&amp;" exceeds the "&amp;TEXT('Technical Premium'!$C$20,"0%")&amp;" limit. ","")&amp;IF(G11&gt;='Technical Premium'!$C$16,"Agreed value "&amp;TEXT(G11,"$#,##0")&amp;" is at or above the "&amp;TEXT('Technical Premium'!$C$16,"$#,##0")&amp;" automatic bind limit. ","")&amp;IF(G88&gt;='Technical Premium'!$C$17,"Composite factor "&amp;TEXT(G88,"0.00")&amp;" has hit the "&amp;TEXT('Technical Premium'!$C$17,"0.00")&amp;" cap. ","")&amp;IF(G88&gt;2.5,"Composite factor "&amp;TEXT(G88,"0.00")&amp;" exceeds the 2.50 referral threshold. ","")&amp;IF(LEFT(IFERROR(INDEX('Driver Factors'!$D$6:$D$15,MATCH(G19,'Driver Factors'!$B$6:$B$15,0)),""),7)="DECLINE","DECLINE - driver age band '"&amp;G19&amp;"': "&amp;IFERROR(INDEX('Driver Factors'!$D$6:$D$15,MATCH(G19,'Driver Factors'!$B$6:$B$15,0)),"")&amp;". ",IF(LEFT(IFERROR(INDEX('Driver Factors'!$D$6:$D$15,MATCH(G19,'Driver Factors'!$B$6:$B$15,0)),""),5)="Refer","Driver age band '"&amp;G19&amp;"': "&amp;IFERROR(INDEX('Driver Factors'!$D$6:$D$15,MATCH(G19,'Driver Factors'!$B$6:$B$15,0)),"")&amp;". ",""))&amp;IF(LEFT(IFERROR(INDEX('Driver Factors'!$D$28:$D$36,MATCH(G21,'Driver Factors'!$B$28:$B$36,0)),""),7)="DECLINE","DECLINE - MVR '"&amp;G21&amp;"': "&amp;IFERROR(INDEX('Driver Factors'!$D$28:$D$36,MATCH(G21,'Driver Factors'!$B$28:$B$36,0)),"")&amp;". ",IF(LEFT(IFERROR(INDEX('Driver Factors'!$D$28:$D$36,MATCH(G21,'Driver Factors'!$B$28:$B$36,0)),""),5)="Refer","MVR '"&amp;G21&amp;"': "&amp;IFERROR(INDEX('Driver Factors'!$D$28:$D$36,MATCH(G21,'Driver Factors'!$B$28:$B$36,0)),"")&amp;". ",""))&amp;IF(LEFT(IFERROR(INDEX('Claims History'!$D$6:$D$15,MATCH(G22,'Claims History'!$B$6:$B$15,0)),""),7)="DECLINE","DECLINE - claims history '"&amp;G22&amp;"': "&amp;IFERROR(INDEX('Claims History'!$D$6:$D$15,MATCH(G22,'Claims History'!$B$6:$B$15,0)),"")&amp;". ",IF(LEFT(IFERROR(INDEX('Claims History'!$D$6:$D$15,MATCH(G22,'Claims History'!$B$6:$B$15,0)),""),5)="Refer","Claims history '"&amp;G22&amp;"': "&amp;IFERROR(INDEX('Claims History'!$D$6:$D$15,MATCH(G22,'Claims History'!$B$6:$B$15,0)),"")&amp;". ",""))&amp;IF(LEFT(IFERROR(INDEX('Usage and Coverage'!$E$6:$E$20,MATCH(G15,'Usage and Coverage'!$C$6:$D$20,0)),""),7)="DECLINE","DECLINE - usage '"&amp;G15&amp;"': "&amp;IFERROR(INDEX('Usage and Coverage'!$E$6:$E$20,MATCH(G15,'Usage and Coverage'!$C$6:$D$20,0)),"")&amp;". ",IF(LEFT(IFERROR(INDEX('Usage and Coverage'!$E$6:$E$20,MATCH(G15,'Usage and Coverage'!$C$6:$D$20,0)),""),5)="Refer","Usage '"&amp;G15&amp;"': "&amp;IFERROR(INDEX('Usage and Coverage'!$E$6:$E$20,MATCH(G15,'Usage and Coverage'!$C$6:$D$20,0)),"")&amp;". ",""))))</f>
        <v>None - every referral trigger is clear; the risk sits inside automatic binding authority.</v>
      </c>
      <c r="H123" s="57" t="str">
        <f>IF(H122="AUTO-BIND","None - every referral trigger is clear; the risk sits inside automatic binding authority.",TRIM(IF(H11&lt;'Technical Premium'!$C$18,"DECLINE - agreed value "&amp;TEXT(H11,"$#,##0")&amp;" is below the programme minimum of "&amp;TEXT('Technical Premium'!$C$18,"$#,##0")&amp;". ","")&amp;IF(H44&lt;'Technical Premium'!$C$19,"DISCOUNT AUTHORITY BREACH - underwriter adjustment "&amp;TEXT(H44,"0%")&amp;" is below the "&amp;TEXT('Technical Premium'!$C$19,"0%")&amp;" limit. ","")&amp;IF(H44&gt;'Technical Premium'!$C$20,"Load authority breach - underwriter adjustment "&amp;TEXT(H44,"0%")&amp;" exceeds the "&amp;TEXT('Technical Premium'!$C$20,"0%")&amp;" limit. ","")&amp;IF(H11&gt;='Technical Premium'!$C$16,"Agreed value "&amp;TEXT(H11,"$#,##0")&amp;" is at or above the "&amp;TEXT('Technical Premium'!$C$16,"$#,##0")&amp;" automatic bind limit. ","")&amp;IF(H88&gt;='Technical Premium'!$C$17,"Composite factor "&amp;TEXT(H88,"0.00")&amp;" has hit the "&amp;TEXT('Technical Premium'!$C$17,"0.00")&amp;" cap. ","")&amp;IF(H88&gt;2.5,"Composite factor "&amp;TEXT(H88,"0.00")&amp;" exceeds the 2.50 referral threshold. ","")&amp;IF(LEFT(IFERROR(INDEX('Driver Factors'!$D$6:$D$15,MATCH(H19,'Driver Factors'!$B$6:$B$15,0)),""),7)="DECLINE","DECLINE - driver age band '"&amp;H19&amp;"': "&amp;IFERROR(INDEX('Driver Factors'!$D$6:$D$15,MATCH(H19,'Driver Factors'!$B$6:$B$15,0)),"")&amp;". ",IF(LEFT(IFERROR(INDEX('Driver Factors'!$D$6:$D$15,MATCH(H19,'Driver Factors'!$B$6:$B$15,0)),""),5)="Refer","Driver age band '"&amp;H19&amp;"': "&amp;IFERROR(INDEX('Driver Factors'!$D$6:$D$15,MATCH(H19,'Driver Factors'!$B$6:$B$15,0)),"")&amp;". ",""))&amp;IF(LEFT(IFERROR(INDEX('Driver Factors'!$D$28:$D$36,MATCH(H21,'Driver Factors'!$B$28:$B$36,0)),""),7)="DECLINE","DECLINE - MVR '"&amp;H21&amp;"': "&amp;IFERROR(INDEX('Driver Factors'!$D$28:$D$36,MATCH(H21,'Driver Factors'!$B$28:$B$36,0)),"")&amp;". ",IF(LEFT(IFERROR(INDEX('Driver Factors'!$D$28:$D$36,MATCH(H21,'Driver Factors'!$B$28:$B$36,0)),""),5)="Refer","MVR '"&amp;H21&amp;"': "&amp;IFERROR(INDEX('Driver Factors'!$D$28:$D$36,MATCH(H21,'Driver Factors'!$B$28:$B$36,0)),"")&amp;". ",""))&amp;IF(LEFT(IFERROR(INDEX('Claims History'!$D$6:$D$15,MATCH(H22,'Claims History'!$B$6:$B$15,0)),""),7)="DECLINE","DECLINE - claims history '"&amp;H22&amp;"': "&amp;IFERROR(INDEX('Claims History'!$D$6:$D$15,MATCH(H22,'Claims History'!$B$6:$B$15,0)),"")&amp;". ",IF(LEFT(IFERROR(INDEX('Claims History'!$D$6:$D$15,MATCH(H22,'Claims History'!$B$6:$B$15,0)),""),5)="Refer","Claims history '"&amp;H22&amp;"': "&amp;IFERROR(INDEX('Claims History'!$D$6:$D$15,MATCH(H22,'Claims History'!$B$6:$B$15,0)),"")&amp;". ",""))&amp;IF(LEFT(IFERROR(INDEX('Usage and Coverage'!$E$6:$E$20,MATCH(H15,'Usage and Coverage'!$C$6:$D$20,0)),""),7)="DECLINE","DECLINE - usage '"&amp;H15&amp;"': "&amp;IFERROR(INDEX('Usage and Coverage'!$E$6:$E$20,MATCH(H15,'Usage and Coverage'!$C$6:$D$20,0)),"")&amp;". ",IF(LEFT(IFERROR(INDEX('Usage and Coverage'!$E$6:$E$20,MATCH(H15,'Usage and Coverage'!$C$6:$D$20,0)),""),5)="Refer","Usage '"&amp;H15&amp;"': "&amp;IFERROR(INDEX('Usage and Coverage'!$E$6:$E$20,MATCH(H15,'Usage and Coverage'!$C$6:$D$20,0)),"")&amp;". ",""))))</f>
        <v>Agreed value $2,200,000 is at or above the $2,000,000 automatic bind limit.</v>
      </c>
    </row>
    <row r="125" spans="2:8" x14ac:dyDescent="0.35">
      <c r="B125" s="15" t="s">
        <v>713</v>
      </c>
    </row>
    <row r="126" spans="2:8" ht="15" customHeight="1" x14ac:dyDescent="0.35">
      <c r="B126" s="7" t="s">
        <v>714</v>
      </c>
      <c r="C126" s="7"/>
      <c r="D126" s="7"/>
      <c r="E126" s="7"/>
      <c r="F126" s="7"/>
      <c r="G126" s="7"/>
      <c r="H126" s="7"/>
    </row>
    <row r="127" spans="2:8" x14ac:dyDescent="0.35">
      <c r="B127" s="7"/>
      <c r="C127" s="7"/>
      <c r="D127" s="7"/>
      <c r="E127" s="7"/>
      <c r="F127" s="7"/>
      <c r="G127" s="7"/>
      <c r="H127" s="7"/>
    </row>
    <row r="128" spans="2:8" x14ac:dyDescent="0.35">
      <c r="B128" s="7"/>
      <c r="C128" s="7"/>
      <c r="D128" s="7"/>
      <c r="E128" s="7"/>
      <c r="F128" s="7"/>
      <c r="G128" s="7"/>
      <c r="H128" s="7"/>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0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1000000}">
          <x14:formula1>
            <xm:f>'Make Factors'!$B$5:$B$69</xm:f>
          </x14:formula1>
          <x14:formula2>
            <xm:f>0</xm:f>
          </x14:formula2>
          <xm:sqref>C8:H8</xm:sqref>
        </x14:dataValidation>
        <x14:dataValidation type="list" allowBlank="1" xr:uid="{00000000-0002-0000-0700-000002000000}">
          <x14:formula1>
            <xm:f>'Base Rates'!$B$5:$B$16</xm:f>
          </x14:formula1>
          <x14:formula2>
            <xm:f>0</xm:f>
          </x14:formula2>
          <xm:sqref>C10:H10</xm:sqref>
        </x14:dataValidation>
        <x14:dataValidation type="list" allowBlank="1" xr:uid="{00000000-0002-0000-0700-000003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topLeftCell="B1" zoomScaleNormal="100" workbookViewId="0">
      <selection activeCell="D32" sqref="D32"/>
    </sheetView>
  </sheetViews>
  <sheetFormatPr defaultColWidth="8.6328125" defaultRowHeight="14.5" x14ac:dyDescent="0.35"/>
  <cols>
    <col min="1" max="1" width="2" customWidth="1"/>
    <col min="2" max="2" width="42" customWidth="1"/>
    <col min="3" max="9" width="14" customWidth="1"/>
    <col min="10" max="10" width="88" customWidth="1"/>
  </cols>
  <sheetData>
    <row r="1" spans="2:10" ht="25.5" customHeight="1" x14ac:dyDescent="0.35">
      <c r="B1" s="14" t="s">
        <v>715</v>
      </c>
      <c r="C1" s="14"/>
      <c r="D1" s="14"/>
      <c r="E1" s="14"/>
      <c r="F1" s="14"/>
      <c r="G1" s="14"/>
      <c r="H1" s="14"/>
      <c r="I1" s="14"/>
      <c r="J1" s="14"/>
    </row>
    <row r="2" spans="2:10" ht="15" customHeight="1" x14ac:dyDescent="0.35">
      <c r="B2" s="13" t="s">
        <v>716</v>
      </c>
      <c r="C2" s="13"/>
      <c r="D2" s="13"/>
      <c r="E2" s="13"/>
      <c r="F2" s="13"/>
      <c r="G2" s="13"/>
      <c r="H2" s="13"/>
      <c r="I2" s="13"/>
      <c r="J2" s="13"/>
    </row>
    <row r="3" spans="2:10" x14ac:dyDescent="0.35">
      <c r="B3" s="157" t="s">
        <v>717</v>
      </c>
      <c r="C3" s="158">
        <v>100000</v>
      </c>
      <c r="D3" s="158">
        <v>250000</v>
      </c>
      <c r="E3" s="158">
        <v>500000</v>
      </c>
      <c r="F3" s="158">
        <v>1000000</v>
      </c>
      <c r="G3" s="158">
        <v>2000000</v>
      </c>
      <c r="H3" s="158">
        <v>5000000</v>
      </c>
      <c r="I3" s="158">
        <v>10000000</v>
      </c>
    </row>
    <row r="4" spans="2:10" ht="30" customHeight="1" x14ac:dyDescent="0.35">
      <c r="B4" s="22" t="s">
        <v>718</v>
      </c>
      <c r="C4" s="22" t="s">
        <v>719</v>
      </c>
      <c r="D4" s="22" t="s">
        <v>720</v>
      </c>
      <c r="E4" s="22" t="s">
        <v>721</v>
      </c>
      <c r="F4" s="22" t="s">
        <v>722</v>
      </c>
      <c r="G4" s="22" t="s">
        <v>723</v>
      </c>
      <c r="H4" s="22" t="s">
        <v>724</v>
      </c>
      <c r="I4" s="22" t="s">
        <v>725</v>
      </c>
      <c r="J4" s="22" t="s">
        <v>726</v>
      </c>
    </row>
    <row r="5" spans="2:10" ht="30" customHeight="1" x14ac:dyDescent="0.35">
      <c r="B5" s="20" t="s">
        <v>727</v>
      </c>
      <c r="C5" s="159">
        <v>0.92</v>
      </c>
      <c r="D5" s="159">
        <v>0.75</v>
      </c>
      <c r="E5" s="159">
        <v>0.65</v>
      </c>
      <c r="F5" s="159">
        <v>0.55000000000000004</v>
      </c>
      <c r="G5" s="159">
        <v>0.48</v>
      </c>
      <c r="H5" s="159">
        <v>0.42</v>
      </c>
      <c r="I5" s="159">
        <v>0.38</v>
      </c>
      <c r="J5" s="24" t="s">
        <v>728</v>
      </c>
    </row>
    <row r="6" spans="2:10" ht="30" customHeight="1" x14ac:dyDescent="0.35">
      <c r="B6" s="121" t="s">
        <v>561</v>
      </c>
      <c r="C6" s="160">
        <v>1.18</v>
      </c>
      <c r="D6" s="160">
        <v>0.95</v>
      </c>
      <c r="E6" s="160">
        <v>0.82</v>
      </c>
      <c r="F6" s="160">
        <v>0.7</v>
      </c>
      <c r="G6" s="160">
        <v>0.57999999999999996</v>
      </c>
      <c r="H6" s="160">
        <v>0.5</v>
      </c>
      <c r="I6" s="160">
        <v>0.42</v>
      </c>
      <c r="J6" s="26" t="s">
        <v>729</v>
      </c>
    </row>
    <row r="7" spans="2:10" ht="30" customHeight="1" x14ac:dyDescent="0.35">
      <c r="B7" s="20" t="s">
        <v>168</v>
      </c>
      <c r="C7" s="159">
        <v>1.42</v>
      </c>
      <c r="D7" s="159">
        <v>1.1499999999999999</v>
      </c>
      <c r="E7" s="159">
        <v>0.95</v>
      </c>
      <c r="F7" s="159">
        <v>0.8</v>
      </c>
      <c r="G7" s="159">
        <v>0.65</v>
      </c>
      <c r="H7" s="159">
        <v>0.55000000000000004</v>
      </c>
      <c r="I7" s="159">
        <v>0.45</v>
      </c>
      <c r="J7" s="24" t="s">
        <v>730</v>
      </c>
    </row>
    <row r="8" spans="2:10" ht="30" customHeight="1" x14ac:dyDescent="0.35">
      <c r="B8" s="121" t="s">
        <v>507</v>
      </c>
      <c r="C8" s="160">
        <v>1.75</v>
      </c>
      <c r="D8" s="160">
        <v>1.45</v>
      </c>
      <c r="E8" s="160">
        <v>1.2</v>
      </c>
      <c r="F8" s="160">
        <v>1</v>
      </c>
      <c r="G8" s="160">
        <v>0.82</v>
      </c>
      <c r="H8" s="160">
        <v>0.68</v>
      </c>
      <c r="I8" s="160">
        <v>0.55000000000000004</v>
      </c>
      <c r="J8" s="26" t="s">
        <v>731</v>
      </c>
    </row>
    <row r="9" spans="2:10" ht="30" customHeight="1" x14ac:dyDescent="0.35">
      <c r="B9" s="20" t="s">
        <v>732</v>
      </c>
      <c r="C9" s="159">
        <v>1.65</v>
      </c>
      <c r="D9" s="159">
        <v>1.35</v>
      </c>
      <c r="E9" s="159">
        <v>1.1000000000000001</v>
      </c>
      <c r="F9" s="159">
        <v>0.92</v>
      </c>
      <c r="G9" s="159">
        <v>0.78</v>
      </c>
      <c r="H9" s="159">
        <v>0.64</v>
      </c>
      <c r="I9" s="159">
        <v>0.52</v>
      </c>
      <c r="J9" s="24" t="s">
        <v>733</v>
      </c>
    </row>
    <row r="10" spans="2:10" ht="30" customHeight="1" x14ac:dyDescent="0.35">
      <c r="B10" s="121" t="s">
        <v>734</v>
      </c>
      <c r="C10" s="160">
        <v>0.5</v>
      </c>
      <c r="D10" s="160">
        <v>0.42</v>
      </c>
      <c r="E10" s="160">
        <v>0.38</v>
      </c>
      <c r="F10" s="160">
        <v>0.34</v>
      </c>
      <c r="G10" s="160">
        <v>0.3</v>
      </c>
      <c r="H10" s="160">
        <v>0.27</v>
      </c>
      <c r="I10" s="160">
        <v>0.24</v>
      </c>
      <c r="J10" s="26" t="s">
        <v>735</v>
      </c>
    </row>
    <row r="11" spans="2:10" ht="30" customHeight="1" x14ac:dyDescent="0.35">
      <c r="B11" s="20" t="s">
        <v>529</v>
      </c>
      <c r="C11" s="159">
        <v>0.56999999999999995</v>
      </c>
      <c r="D11" s="159">
        <v>0.48</v>
      </c>
      <c r="E11" s="159">
        <v>0.43</v>
      </c>
      <c r="F11" s="159">
        <v>0.38</v>
      </c>
      <c r="G11" s="159">
        <v>0.33</v>
      </c>
      <c r="H11" s="159">
        <v>0.28999999999999998</v>
      </c>
      <c r="I11" s="159">
        <v>0.26</v>
      </c>
      <c r="J11" s="24" t="s">
        <v>736</v>
      </c>
    </row>
    <row r="12" spans="2:10" ht="30" customHeight="1" x14ac:dyDescent="0.35">
      <c r="B12" s="121" t="s">
        <v>737</v>
      </c>
      <c r="C12" s="160">
        <v>0.74</v>
      </c>
      <c r="D12" s="160">
        <v>0.62</v>
      </c>
      <c r="E12" s="160">
        <v>0.55000000000000004</v>
      </c>
      <c r="F12" s="160">
        <v>0.48</v>
      </c>
      <c r="G12" s="160">
        <v>0.42</v>
      </c>
      <c r="H12" s="160">
        <v>0.36</v>
      </c>
      <c r="I12" s="160">
        <v>0.32</v>
      </c>
      <c r="J12" s="26" t="s">
        <v>738</v>
      </c>
    </row>
    <row r="13" spans="2:10" ht="30" customHeight="1" x14ac:dyDescent="0.35">
      <c r="B13" s="20" t="s">
        <v>739</v>
      </c>
      <c r="C13" s="159">
        <v>0.86</v>
      </c>
      <c r="D13" s="159">
        <v>0.72</v>
      </c>
      <c r="E13" s="159">
        <v>0.63</v>
      </c>
      <c r="F13" s="159">
        <v>0.55000000000000004</v>
      </c>
      <c r="G13" s="159">
        <v>0.47</v>
      </c>
      <c r="H13" s="159">
        <v>0.41</v>
      </c>
      <c r="I13" s="159">
        <v>0.35</v>
      </c>
      <c r="J13" s="24" t="s">
        <v>740</v>
      </c>
    </row>
    <row r="14" spans="2:10" ht="30" customHeight="1" x14ac:dyDescent="0.35">
      <c r="B14" s="121" t="s">
        <v>741</v>
      </c>
      <c r="C14" s="160">
        <v>1</v>
      </c>
      <c r="D14" s="160">
        <v>0.85</v>
      </c>
      <c r="E14" s="160">
        <v>0.75</v>
      </c>
      <c r="F14" s="160">
        <v>0.65</v>
      </c>
      <c r="G14" s="160">
        <v>0.56000000000000005</v>
      </c>
      <c r="H14" s="160">
        <v>0.48</v>
      </c>
      <c r="I14" s="160">
        <v>0.42</v>
      </c>
      <c r="J14" s="26" t="s">
        <v>742</v>
      </c>
    </row>
    <row r="15" spans="2:10" ht="30" customHeight="1" x14ac:dyDescent="0.35">
      <c r="B15" s="20" t="s">
        <v>572</v>
      </c>
      <c r="C15" s="159">
        <v>1.05</v>
      </c>
      <c r="D15" s="159">
        <v>0.88</v>
      </c>
      <c r="E15" s="159">
        <v>0.78</v>
      </c>
      <c r="F15" s="159">
        <v>0.68</v>
      </c>
      <c r="G15" s="159">
        <v>0.57999999999999996</v>
      </c>
      <c r="H15" s="159">
        <v>0.5</v>
      </c>
      <c r="I15" s="159">
        <v>0.43</v>
      </c>
      <c r="J15" s="24" t="s">
        <v>743</v>
      </c>
    </row>
    <row r="16" spans="2:10" ht="30" customHeight="1" x14ac:dyDescent="0.35">
      <c r="B16" s="121" t="s">
        <v>744</v>
      </c>
      <c r="C16" s="160">
        <v>1.58</v>
      </c>
      <c r="D16" s="160">
        <v>1.3</v>
      </c>
      <c r="E16" s="160">
        <v>1.1000000000000001</v>
      </c>
      <c r="F16" s="160">
        <v>0.95</v>
      </c>
      <c r="G16" s="160">
        <v>0.8</v>
      </c>
      <c r="H16" s="160">
        <v>0.66</v>
      </c>
      <c r="I16" s="160">
        <v>0.55000000000000004</v>
      </c>
      <c r="J16" s="26" t="s">
        <v>745</v>
      </c>
    </row>
    <row r="18" spans="2:10" x14ac:dyDescent="0.35">
      <c r="B18" s="15" t="s">
        <v>713</v>
      </c>
    </row>
    <row r="19" spans="2:10" ht="15" customHeight="1" x14ac:dyDescent="0.35">
      <c r="B19" s="7" t="s">
        <v>746</v>
      </c>
      <c r="C19" s="7"/>
      <c r="D19" s="7"/>
      <c r="E19" s="7"/>
      <c r="F19" s="7"/>
      <c r="G19" s="7"/>
      <c r="H19" s="7"/>
      <c r="I19" s="7"/>
      <c r="J19" s="7"/>
    </row>
    <row r="20" spans="2:10" x14ac:dyDescent="0.35">
      <c r="B20" s="7"/>
      <c r="C20" s="7"/>
      <c r="D20" s="7"/>
      <c r="E20" s="7"/>
      <c r="F20" s="7"/>
      <c r="G20" s="7"/>
      <c r="H20" s="7"/>
      <c r="I20" s="7"/>
      <c r="J20" s="7"/>
    </row>
    <row r="21" spans="2:10" x14ac:dyDescent="0.35">
      <c r="B21" s="7"/>
      <c r="C21" s="7"/>
      <c r="D21" s="7"/>
      <c r="E21" s="7"/>
      <c r="F21" s="7"/>
      <c r="G21" s="7"/>
      <c r="H21" s="7"/>
      <c r="I21" s="7"/>
      <c r="J21" s="7"/>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topLeftCell="A34" zoomScaleNormal="100" workbookViewId="0">
      <selection activeCell="H57" sqref="H57"/>
    </sheetView>
  </sheetViews>
  <sheetFormatPr defaultColWidth="8.6328125" defaultRowHeight="14.5" x14ac:dyDescent="0.35"/>
  <cols>
    <col min="1" max="1" width="2" customWidth="1"/>
    <col min="2" max="2" width="26" customWidth="1"/>
    <col min="3" max="3" width="36" customWidth="1"/>
    <col min="4" max="7" width="13" customWidth="1"/>
    <col min="8" max="8" width="52" customWidth="1"/>
  </cols>
  <sheetData>
    <row r="1" spans="2:8" ht="25.5" customHeight="1" x14ac:dyDescent="0.35">
      <c r="B1" s="14" t="s">
        <v>747</v>
      </c>
      <c r="C1" s="14"/>
      <c r="D1" s="14"/>
      <c r="E1" s="14"/>
      <c r="F1" s="14"/>
      <c r="G1" s="14"/>
      <c r="H1" s="14"/>
    </row>
    <row r="2" spans="2:8" ht="15" customHeight="1" x14ac:dyDescent="0.35">
      <c r="B2" s="13" t="s">
        <v>748</v>
      </c>
      <c r="C2" s="13"/>
      <c r="D2" s="13"/>
      <c r="E2" s="13"/>
      <c r="F2" s="13"/>
      <c r="G2" s="13"/>
      <c r="H2" s="13"/>
    </row>
    <row r="3" spans="2:8" x14ac:dyDescent="0.35">
      <c r="B3" s="161" t="s">
        <v>749</v>
      </c>
      <c r="C3" s="226">
        <v>1.2</v>
      </c>
      <c r="D3" s="226"/>
      <c r="E3" s="129" t="s">
        <v>750</v>
      </c>
    </row>
    <row r="4" spans="2:8" ht="30" customHeight="1" x14ac:dyDescent="0.35">
      <c r="B4" s="22" t="s">
        <v>408</v>
      </c>
      <c r="C4" s="22" t="s">
        <v>751</v>
      </c>
      <c r="D4" s="22" t="s">
        <v>752</v>
      </c>
      <c r="E4" s="22" t="s">
        <v>753</v>
      </c>
      <c r="F4" s="22" t="s">
        <v>754</v>
      </c>
      <c r="G4" s="22" t="s">
        <v>755</v>
      </c>
      <c r="H4" s="22" t="s">
        <v>756</v>
      </c>
    </row>
    <row r="5" spans="2:8" x14ac:dyDescent="0.35">
      <c r="B5" s="20" t="s">
        <v>162</v>
      </c>
      <c r="C5" s="27" t="s">
        <v>168</v>
      </c>
      <c r="D5" s="163">
        <v>1.1499999999999999</v>
      </c>
      <c r="E5" s="163">
        <v>1.08</v>
      </c>
      <c r="F5" s="163">
        <v>1.05</v>
      </c>
      <c r="G5" s="164">
        <f t="shared" ref="G5:G36" si="0">ROUND(D5*E5*F5/$C$3,3)</f>
        <v>1.087</v>
      </c>
      <c r="H5" s="27" t="s">
        <v>757</v>
      </c>
    </row>
    <row r="6" spans="2:8" x14ac:dyDescent="0.35">
      <c r="B6" s="121" t="s">
        <v>536</v>
      </c>
      <c r="C6" s="116" t="s">
        <v>168</v>
      </c>
      <c r="D6" s="165">
        <v>1.1200000000000001</v>
      </c>
      <c r="E6" s="165">
        <v>1.1499999999999999</v>
      </c>
      <c r="F6" s="165">
        <v>1.05</v>
      </c>
      <c r="G6" s="166">
        <f t="shared" si="0"/>
        <v>1.127</v>
      </c>
      <c r="H6" s="116" t="s">
        <v>758</v>
      </c>
    </row>
    <row r="7" spans="2:8" x14ac:dyDescent="0.35">
      <c r="B7" s="20" t="s">
        <v>692</v>
      </c>
      <c r="C7" s="27" t="s">
        <v>168</v>
      </c>
      <c r="D7" s="163">
        <v>1.18</v>
      </c>
      <c r="E7" s="163">
        <v>1.02</v>
      </c>
      <c r="F7" s="163">
        <v>1.1499999999999999</v>
      </c>
      <c r="G7" s="164">
        <f t="shared" si="0"/>
        <v>1.153</v>
      </c>
      <c r="H7" s="27" t="s">
        <v>759</v>
      </c>
    </row>
    <row r="8" spans="2:8" x14ac:dyDescent="0.35">
      <c r="B8" s="121" t="s">
        <v>558</v>
      </c>
      <c r="C8" s="116" t="s">
        <v>561</v>
      </c>
      <c r="D8" s="165">
        <v>1</v>
      </c>
      <c r="E8" s="165">
        <v>1.05</v>
      </c>
      <c r="F8" s="165">
        <v>0.92</v>
      </c>
      <c r="G8" s="166">
        <f t="shared" si="0"/>
        <v>0.80500000000000005</v>
      </c>
      <c r="H8" s="116" t="s">
        <v>760</v>
      </c>
    </row>
    <row r="9" spans="2:8" x14ac:dyDescent="0.35">
      <c r="B9" s="20" t="s">
        <v>504</v>
      </c>
      <c r="C9" s="27" t="s">
        <v>507</v>
      </c>
      <c r="D9" s="163">
        <v>1.45</v>
      </c>
      <c r="E9" s="163">
        <v>0.95</v>
      </c>
      <c r="F9" s="163">
        <v>1.4</v>
      </c>
      <c r="G9" s="164">
        <f t="shared" si="0"/>
        <v>1.607</v>
      </c>
      <c r="H9" s="27" t="s">
        <v>761</v>
      </c>
    </row>
    <row r="10" spans="2:8" x14ac:dyDescent="0.35">
      <c r="B10" s="121" t="s">
        <v>762</v>
      </c>
      <c r="C10" s="116" t="s">
        <v>507</v>
      </c>
      <c r="D10" s="165">
        <v>1.5</v>
      </c>
      <c r="E10" s="165">
        <v>0.9</v>
      </c>
      <c r="F10" s="165">
        <v>1.5</v>
      </c>
      <c r="G10" s="166">
        <f t="shared" si="0"/>
        <v>1.6879999999999999</v>
      </c>
      <c r="H10" s="116" t="s">
        <v>763</v>
      </c>
    </row>
    <row r="11" spans="2:8" x14ac:dyDescent="0.35">
      <c r="B11" s="20" t="s">
        <v>764</v>
      </c>
      <c r="C11" s="27" t="s">
        <v>507</v>
      </c>
      <c r="D11" s="163">
        <v>1.48</v>
      </c>
      <c r="E11" s="163">
        <v>0.9</v>
      </c>
      <c r="F11" s="163">
        <v>1.45</v>
      </c>
      <c r="G11" s="164">
        <f t="shared" si="0"/>
        <v>1.61</v>
      </c>
      <c r="H11" s="27" t="s">
        <v>765</v>
      </c>
    </row>
    <row r="12" spans="2:8" x14ac:dyDescent="0.35">
      <c r="B12" s="121" t="s">
        <v>766</v>
      </c>
      <c r="C12" s="116" t="s">
        <v>744</v>
      </c>
      <c r="D12" s="165">
        <v>1.42</v>
      </c>
      <c r="E12" s="165">
        <v>0.92</v>
      </c>
      <c r="F12" s="165">
        <v>1.48</v>
      </c>
      <c r="G12" s="166">
        <f t="shared" si="0"/>
        <v>1.611</v>
      </c>
      <c r="H12" s="116" t="s">
        <v>767</v>
      </c>
    </row>
    <row r="13" spans="2:8" x14ac:dyDescent="0.35">
      <c r="B13" s="20" t="s">
        <v>768</v>
      </c>
      <c r="C13" s="27" t="s">
        <v>561</v>
      </c>
      <c r="D13" s="163">
        <v>1.1000000000000001</v>
      </c>
      <c r="E13" s="163">
        <v>1</v>
      </c>
      <c r="F13" s="163">
        <v>1.1000000000000001</v>
      </c>
      <c r="G13" s="164">
        <f t="shared" si="0"/>
        <v>1.008</v>
      </c>
      <c r="H13" s="27" t="s">
        <v>769</v>
      </c>
    </row>
    <row r="14" spans="2:8" x14ac:dyDescent="0.35">
      <c r="B14" s="121" t="s">
        <v>770</v>
      </c>
      <c r="C14" s="116" t="s">
        <v>727</v>
      </c>
      <c r="D14" s="165">
        <v>1.08</v>
      </c>
      <c r="E14" s="165">
        <v>1.02</v>
      </c>
      <c r="F14" s="165">
        <v>1</v>
      </c>
      <c r="G14" s="166">
        <f t="shared" si="0"/>
        <v>0.91800000000000004</v>
      </c>
      <c r="H14" s="116" t="s">
        <v>771</v>
      </c>
    </row>
    <row r="15" spans="2:8" x14ac:dyDescent="0.35">
      <c r="B15" s="20" t="s">
        <v>772</v>
      </c>
      <c r="C15" s="27" t="s">
        <v>727</v>
      </c>
      <c r="D15" s="163">
        <v>1.1200000000000001</v>
      </c>
      <c r="E15" s="163">
        <v>0.98</v>
      </c>
      <c r="F15" s="163">
        <v>1.05</v>
      </c>
      <c r="G15" s="164">
        <f t="shared" si="0"/>
        <v>0.96</v>
      </c>
      <c r="H15" s="27" t="s">
        <v>773</v>
      </c>
    </row>
    <row r="16" spans="2:8" x14ac:dyDescent="0.35">
      <c r="B16" s="121" t="s">
        <v>774</v>
      </c>
      <c r="C16" s="116" t="s">
        <v>727</v>
      </c>
      <c r="D16" s="165">
        <v>1.05</v>
      </c>
      <c r="E16" s="165">
        <v>1.05</v>
      </c>
      <c r="F16" s="165">
        <v>0.95</v>
      </c>
      <c r="G16" s="166">
        <f t="shared" si="0"/>
        <v>0.873</v>
      </c>
      <c r="H16" s="116" t="s">
        <v>775</v>
      </c>
    </row>
    <row r="17" spans="2:8" x14ac:dyDescent="0.35">
      <c r="B17" s="20" t="s">
        <v>776</v>
      </c>
      <c r="C17" s="27" t="s">
        <v>561</v>
      </c>
      <c r="D17" s="163">
        <v>1</v>
      </c>
      <c r="E17" s="163">
        <v>1.08</v>
      </c>
      <c r="F17" s="163">
        <v>0.9</v>
      </c>
      <c r="G17" s="164">
        <f t="shared" si="0"/>
        <v>0.81</v>
      </c>
      <c r="H17" s="27" t="s">
        <v>777</v>
      </c>
    </row>
    <row r="18" spans="2:8" x14ac:dyDescent="0.35">
      <c r="B18" s="121" t="s">
        <v>778</v>
      </c>
      <c r="C18" s="116" t="s">
        <v>561</v>
      </c>
      <c r="D18" s="165">
        <v>0.95</v>
      </c>
      <c r="E18" s="165">
        <v>1.06</v>
      </c>
      <c r="F18" s="165">
        <v>0.88</v>
      </c>
      <c r="G18" s="166">
        <f t="shared" si="0"/>
        <v>0.73799999999999999</v>
      </c>
      <c r="H18" s="116" t="s">
        <v>779</v>
      </c>
    </row>
    <row r="19" spans="2:8" x14ac:dyDescent="0.35">
      <c r="B19" s="20" t="s">
        <v>780</v>
      </c>
      <c r="C19" s="27" t="s">
        <v>561</v>
      </c>
      <c r="D19" s="163">
        <v>0.95</v>
      </c>
      <c r="E19" s="163">
        <v>1.02</v>
      </c>
      <c r="F19" s="163">
        <v>0.9</v>
      </c>
      <c r="G19" s="164">
        <f t="shared" si="0"/>
        <v>0.72699999999999998</v>
      </c>
      <c r="H19" s="27" t="s">
        <v>781</v>
      </c>
    </row>
    <row r="20" spans="2:8" x14ac:dyDescent="0.35">
      <c r="B20" s="121" t="s">
        <v>782</v>
      </c>
      <c r="C20" s="116" t="s">
        <v>561</v>
      </c>
      <c r="D20" s="165">
        <v>1.08</v>
      </c>
      <c r="E20" s="165">
        <v>1</v>
      </c>
      <c r="F20" s="165">
        <v>1.08</v>
      </c>
      <c r="G20" s="166">
        <f t="shared" si="0"/>
        <v>0.97199999999999998</v>
      </c>
      <c r="H20" s="116" t="s">
        <v>783</v>
      </c>
    </row>
    <row r="21" spans="2:8" x14ac:dyDescent="0.35">
      <c r="B21" s="20" t="s">
        <v>784</v>
      </c>
      <c r="C21" s="27" t="s">
        <v>561</v>
      </c>
      <c r="D21" s="163">
        <v>1.02</v>
      </c>
      <c r="E21" s="163">
        <v>0.96</v>
      </c>
      <c r="F21" s="163">
        <v>1.1200000000000001</v>
      </c>
      <c r="G21" s="164">
        <f t="shared" si="0"/>
        <v>0.91400000000000003</v>
      </c>
      <c r="H21" s="27" t="s">
        <v>785</v>
      </c>
    </row>
    <row r="22" spans="2:8" x14ac:dyDescent="0.35">
      <c r="B22" s="121" t="s">
        <v>786</v>
      </c>
      <c r="C22" s="116" t="s">
        <v>529</v>
      </c>
      <c r="D22" s="165">
        <v>1.1000000000000001</v>
      </c>
      <c r="E22" s="165">
        <v>0.95</v>
      </c>
      <c r="F22" s="165">
        <v>1.18</v>
      </c>
      <c r="G22" s="166">
        <f t="shared" si="0"/>
        <v>1.028</v>
      </c>
      <c r="H22" s="116" t="s">
        <v>787</v>
      </c>
    </row>
    <row r="23" spans="2:8" x14ac:dyDescent="0.35">
      <c r="B23" s="20" t="s">
        <v>788</v>
      </c>
      <c r="C23" s="27" t="s">
        <v>737</v>
      </c>
      <c r="D23" s="163">
        <v>1</v>
      </c>
      <c r="E23" s="163">
        <v>0.94</v>
      </c>
      <c r="F23" s="163">
        <v>1.05</v>
      </c>
      <c r="G23" s="164">
        <f t="shared" si="0"/>
        <v>0.82299999999999995</v>
      </c>
      <c r="H23" s="27" t="s">
        <v>789</v>
      </c>
    </row>
    <row r="24" spans="2:8" x14ac:dyDescent="0.35">
      <c r="B24" s="121" t="s">
        <v>790</v>
      </c>
      <c r="C24" s="116" t="s">
        <v>727</v>
      </c>
      <c r="D24" s="165">
        <v>0.95</v>
      </c>
      <c r="E24" s="165">
        <v>1.04</v>
      </c>
      <c r="F24" s="165">
        <v>0.95</v>
      </c>
      <c r="G24" s="166">
        <f t="shared" si="0"/>
        <v>0.78200000000000003</v>
      </c>
      <c r="H24" s="116" t="s">
        <v>791</v>
      </c>
    </row>
    <row r="25" spans="2:8" x14ac:dyDescent="0.35">
      <c r="B25" s="20" t="s">
        <v>792</v>
      </c>
      <c r="C25" s="27" t="s">
        <v>732</v>
      </c>
      <c r="D25" s="163">
        <v>1.05</v>
      </c>
      <c r="E25" s="163">
        <v>1.1000000000000001</v>
      </c>
      <c r="F25" s="163">
        <v>1</v>
      </c>
      <c r="G25" s="164">
        <f t="shared" si="0"/>
        <v>0.96299999999999997</v>
      </c>
      <c r="H25" s="27" t="s">
        <v>793</v>
      </c>
    </row>
    <row r="26" spans="2:8" x14ac:dyDescent="0.35">
      <c r="B26" s="121" t="s">
        <v>794</v>
      </c>
      <c r="C26" s="116" t="s">
        <v>732</v>
      </c>
      <c r="D26" s="165">
        <v>0.92</v>
      </c>
      <c r="E26" s="165">
        <v>1.1200000000000001</v>
      </c>
      <c r="F26" s="165">
        <v>0.85</v>
      </c>
      <c r="G26" s="166">
        <f t="shared" si="0"/>
        <v>0.73</v>
      </c>
      <c r="H26" s="116" t="s">
        <v>795</v>
      </c>
    </row>
    <row r="27" spans="2:8" x14ac:dyDescent="0.35">
      <c r="B27" s="20" t="s">
        <v>796</v>
      </c>
      <c r="C27" s="27" t="s">
        <v>732</v>
      </c>
      <c r="D27" s="163">
        <v>0.9</v>
      </c>
      <c r="E27" s="163">
        <v>1.22</v>
      </c>
      <c r="F27" s="163">
        <v>0.85</v>
      </c>
      <c r="G27" s="164">
        <f t="shared" si="0"/>
        <v>0.77800000000000002</v>
      </c>
      <c r="H27" s="27" t="s">
        <v>797</v>
      </c>
    </row>
    <row r="28" spans="2:8" x14ac:dyDescent="0.35">
      <c r="B28" s="121" t="s">
        <v>526</v>
      </c>
      <c r="C28" s="116" t="s">
        <v>529</v>
      </c>
      <c r="D28" s="165">
        <v>1.1200000000000001</v>
      </c>
      <c r="E28" s="165">
        <v>1.06</v>
      </c>
      <c r="F28" s="165">
        <v>1.2</v>
      </c>
      <c r="G28" s="166">
        <f t="shared" si="0"/>
        <v>1.1870000000000001</v>
      </c>
      <c r="H28" s="116" t="s">
        <v>798</v>
      </c>
    </row>
    <row r="29" spans="2:8" x14ac:dyDescent="0.35">
      <c r="B29" s="20" t="s">
        <v>799</v>
      </c>
      <c r="C29" s="27" t="s">
        <v>727</v>
      </c>
      <c r="D29" s="163">
        <v>0.9</v>
      </c>
      <c r="E29" s="163">
        <v>1.05</v>
      </c>
      <c r="F29" s="163">
        <v>0.85</v>
      </c>
      <c r="G29" s="164">
        <f t="shared" si="0"/>
        <v>0.66900000000000004</v>
      </c>
      <c r="H29" s="27" t="s">
        <v>800</v>
      </c>
    </row>
    <row r="30" spans="2:8" x14ac:dyDescent="0.35">
      <c r="B30" s="121" t="s">
        <v>801</v>
      </c>
      <c r="C30" s="116" t="s">
        <v>561</v>
      </c>
      <c r="D30" s="165">
        <v>0.95</v>
      </c>
      <c r="E30" s="165">
        <v>0.96</v>
      </c>
      <c r="F30" s="165">
        <v>1.05</v>
      </c>
      <c r="G30" s="166">
        <f t="shared" si="0"/>
        <v>0.79800000000000004</v>
      </c>
      <c r="H30" s="116" t="s">
        <v>802</v>
      </c>
    </row>
    <row r="31" spans="2:8" x14ac:dyDescent="0.35">
      <c r="B31" s="20" t="s">
        <v>803</v>
      </c>
      <c r="C31" s="27" t="s">
        <v>561</v>
      </c>
      <c r="D31" s="163">
        <v>0.92</v>
      </c>
      <c r="E31" s="163">
        <v>1.18</v>
      </c>
      <c r="F31" s="163">
        <v>0.92</v>
      </c>
      <c r="G31" s="164">
        <f t="shared" si="0"/>
        <v>0.83199999999999996</v>
      </c>
      <c r="H31" s="27" t="s">
        <v>804</v>
      </c>
    </row>
    <row r="32" spans="2:8" x14ac:dyDescent="0.35">
      <c r="B32" s="121" t="s">
        <v>805</v>
      </c>
      <c r="C32" s="116" t="s">
        <v>561</v>
      </c>
      <c r="D32" s="165">
        <v>0.92</v>
      </c>
      <c r="E32" s="165">
        <v>1.02</v>
      </c>
      <c r="F32" s="165">
        <v>0.95</v>
      </c>
      <c r="G32" s="166">
        <f t="shared" si="0"/>
        <v>0.74299999999999999</v>
      </c>
      <c r="H32" s="116" t="s">
        <v>806</v>
      </c>
    </row>
    <row r="33" spans="2:8" x14ac:dyDescent="0.35">
      <c r="B33" s="20" t="s">
        <v>807</v>
      </c>
      <c r="C33" s="27" t="s">
        <v>739</v>
      </c>
      <c r="D33" s="163">
        <v>0.92</v>
      </c>
      <c r="E33" s="163">
        <v>1.08</v>
      </c>
      <c r="F33" s="163">
        <v>1.02</v>
      </c>
      <c r="G33" s="164">
        <f t="shared" si="0"/>
        <v>0.84499999999999997</v>
      </c>
      <c r="H33" s="27" t="s">
        <v>808</v>
      </c>
    </row>
    <row r="34" spans="2:8" x14ac:dyDescent="0.35">
      <c r="B34" s="121" t="s">
        <v>809</v>
      </c>
      <c r="C34" s="116" t="s">
        <v>529</v>
      </c>
      <c r="D34" s="165">
        <v>1.2</v>
      </c>
      <c r="E34" s="165">
        <v>0.88</v>
      </c>
      <c r="F34" s="165">
        <v>1.35</v>
      </c>
      <c r="G34" s="166">
        <f t="shared" si="0"/>
        <v>1.1879999999999999</v>
      </c>
      <c r="H34" s="116" t="s">
        <v>810</v>
      </c>
    </row>
    <row r="35" spans="2:8" x14ac:dyDescent="0.35">
      <c r="B35" s="20" t="s">
        <v>811</v>
      </c>
      <c r="C35" s="27" t="s">
        <v>737</v>
      </c>
      <c r="D35" s="163">
        <v>1.1000000000000001</v>
      </c>
      <c r="E35" s="163">
        <v>0.92</v>
      </c>
      <c r="F35" s="163">
        <v>1.25</v>
      </c>
      <c r="G35" s="164">
        <f t="shared" si="0"/>
        <v>1.054</v>
      </c>
      <c r="H35" s="27" t="s">
        <v>812</v>
      </c>
    </row>
    <row r="36" spans="2:8" x14ac:dyDescent="0.35">
      <c r="B36" s="121" t="s">
        <v>813</v>
      </c>
      <c r="C36" s="116" t="s">
        <v>529</v>
      </c>
      <c r="D36" s="165">
        <v>1.1200000000000001</v>
      </c>
      <c r="E36" s="165">
        <v>0.88</v>
      </c>
      <c r="F36" s="165">
        <v>1.3</v>
      </c>
      <c r="G36" s="166">
        <f t="shared" si="0"/>
        <v>1.0680000000000001</v>
      </c>
      <c r="H36" s="116" t="s">
        <v>814</v>
      </c>
    </row>
    <row r="37" spans="2:8" x14ac:dyDescent="0.35">
      <c r="B37" s="20" t="s">
        <v>815</v>
      </c>
      <c r="C37" s="27" t="s">
        <v>529</v>
      </c>
      <c r="D37" s="163">
        <v>1.1499999999999999</v>
      </c>
      <c r="E37" s="163">
        <v>0.86</v>
      </c>
      <c r="F37" s="163">
        <v>1.35</v>
      </c>
      <c r="G37" s="164">
        <f t="shared" ref="G37:G68" si="1">ROUND(D37*E37*F37/$C$3,3)</f>
        <v>1.113</v>
      </c>
      <c r="H37" s="27" t="s">
        <v>816</v>
      </c>
    </row>
    <row r="38" spans="2:8" x14ac:dyDescent="0.35">
      <c r="B38" s="121" t="s">
        <v>817</v>
      </c>
      <c r="C38" s="116" t="s">
        <v>734</v>
      </c>
      <c r="D38" s="165">
        <v>1.25</v>
      </c>
      <c r="E38" s="165">
        <v>0.85</v>
      </c>
      <c r="F38" s="165">
        <v>1.4</v>
      </c>
      <c r="G38" s="166">
        <f t="shared" si="1"/>
        <v>1.24</v>
      </c>
      <c r="H38" s="116" t="s">
        <v>818</v>
      </c>
    </row>
    <row r="39" spans="2:8" x14ac:dyDescent="0.35">
      <c r="B39" s="20" t="s">
        <v>819</v>
      </c>
      <c r="C39" s="27" t="s">
        <v>734</v>
      </c>
      <c r="D39" s="163">
        <v>1.1000000000000001</v>
      </c>
      <c r="E39" s="163">
        <v>0.85</v>
      </c>
      <c r="F39" s="163">
        <v>1.28</v>
      </c>
      <c r="G39" s="164">
        <f t="shared" si="1"/>
        <v>0.997</v>
      </c>
      <c r="H39" s="27" t="s">
        <v>820</v>
      </c>
    </row>
    <row r="40" spans="2:8" x14ac:dyDescent="0.35">
      <c r="B40" s="121" t="s">
        <v>821</v>
      </c>
      <c r="C40" s="116" t="s">
        <v>734</v>
      </c>
      <c r="D40" s="165">
        <v>1.1200000000000001</v>
      </c>
      <c r="E40" s="165">
        <v>0.85</v>
      </c>
      <c r="F40" s="165">
        <v>1.32</v>
      </c>
      <c r="G40" s="166">
        <f t="shared" si="1"/>
        <v>1.0469999999999999</v>
      </c>
      <c r="H40" s="116" t="s">
        <v>822</v>
      </c>
    </row>
    <row r="41" spans="2:8" x14ac:dyDescent="0.35">
      <c r="B41" s="20" t="s">
        <v>823</v>
      </c>
      <c r="C41" s="27" t="s">
        <v>734</v>
      </c>
      <c r="D41" s="163">
        <v>1.28</v>
      </c>
      <c r="E41" s="163">
        <v>0.85</v>
      </c>
      <c r="F41" s="163">
        <v>1.45</v>
      </c>
      <c r="G41" s="164">
        <f t="shared" si="1"/>
        <v>1.3149999999999999</v>
      </c>
      <c r="H41" s="27" t="s">
        <v>824</v>
      </c>
    </row>
    <row r="42" spans="2:8" x14ac:dyDescent="0.35">
      <c r="B42" s="121" t="s">
        <v>825</v>
      </c>
      <c r="C42" s="116" t="s">
        <v>734</v>
      </c>
      <c r="D42" s="165">
        <v>1.3</v>
      </c>
      <c r="E42" s="165">
        <v>0.85</v>
      </c>
      <c r="F42" s="165">
        <v>1.45</v>
      </c>
      <c r="G42" s="166">
        <f t="shared" si="1"/>
        <v>1.335</v>
      </c>
      <c r="H42" s="116" t="s">
        <v>826</v>
      </c>
    </row>
    <row r="43" spans="2:8" x14ac:dyDescent="0.35">
      <c r="B43" s="20" t="s">
        <v>827</v>
      </c>
      <c r="C43" s="27" t="s">
        <v>734</v>
      </c>
      <c r="D43" s="163">
        <v>1.3</v>
      </c>
      <c r="E43" s="163">
        <v>0.85</v>
      </c>
      <c r="F43" s="163">
        <v>1.48</v>
      </c>
      <c r="G43" s="164">
        <f t="shared" si="1"/>
        <v>1.363</v>
      </c>
      <c r="H43" s="27" t="s">
        <v>828</v>
      </c>
    </row>
    <row r="44" spans="2:8" x14ac:dyDescent="0.35">
      <c r="B44" s="121" t="s">
        <v>829</v>
      </c>
      <c r="C44" s="116" t="s">
        <v>734</v>
      </c>
      <c r="D44" s="165">
        <v>1.22</v>
      </c>
      <c r="E44" s="165">
        <v>0.85</v>
      </c>
      <c r="F44" s="165">
        <v>1.42</v>
      </c>
      <c r="G44" s="166">
        <f t="shared" si="1"/>
        <v>1.2270000000000001</v>
      </c>
      <c r="H44" s="116" t="s">
        <v>830</v>
      </c>
    </row>
    <row r="45" spans="2:8" x14ac:dyDescent="0.35">
      <c r="B45" s="20" t="s">
        <v>831</v>
      </c>
      <c r="C45" s="27" t="s">
        <v>734</v>
      </c>
      <c r="D45" s="163">
        <v>1.18</v>
      </c>
      <c r="E45" s="163">
        <v>0.85</v>
      </c>
      <c r="F45" s="163">
        <v>1.38</v>
      </c>
      <c r="G45" s="164">
        <f t="shared" si="1"/>
        <v>1.153</v>
      </c>
      <c r="H45" s="27" t="s">
        <v>832</v>
      </c>
    </row>
    <row r="46" spans="2:8" x14ac:dyDescent="0.35">
      <c r="B46" s="121" t="s">
        <v>833</v>
      </c>
      <c r="C46" s="116" t="s">
        <v>734</v>
      </c>
      <c r="D46" s="165">
        <v>1.3</v>
      </c>
      <c r="E46" s="165">
        <v>0.85</v>
      </c>
      <c r="F46" s="165">
        <v>1.45</v>
      </c>
      <c r="G46" s="166">
        <f t="shared" si="1"/>
        <v>1.335</v>
      </c>
      <c r="H46" s="116" t="s">
        <v>834</v>
      </c>
    </row>
    <row r="47" spans="2:8" x14ac:dyDescent="0.35">
      <c r="B47" s="20" t="s">
        <v>835</v>
      </c>
      <c r="C47" s="27" t="s">
        <v>529</v>
      </c>
      <c r="D47" s="163">
        <v>1.35</v>
      </c>
      <c r="E47" s="163">
        <v>0.85</v>
      </c>
      <c r="F47" s="163">
        <v>1.55</v>
      </c>
      <c r="G47" s="164">
        <f t="shared" si="1"/>
        <v>1.482</v>
      </c>
      <c r="H47" s="27" t="s">
        <v>836</v>
      </c>
    </row>
    <row r="48" spans="2:8" x14ac:dyDescent="0.35">
      <c r="B48" s="121" t="s">
        <v>837</v>
      </c>
      <c r="C48" s="116" t="s">
        <v>507</v>
      </c>
      <c r="D48" s="165">
        <v>1.42</v>
      </c>
      <c r="E48" s="165">
        <v>0.92</v>
      </c>
      <c r="F48" s="165">
        <v>1.5</v>
      </c>
      <c r="G48" s="166">
        <f t="shared" si="1"/>
        <v>1.633</v>
      </c>
      <c r="H48" s="116" t="s">
        <v>838</v>
      </c>
    </row>
    <row r="49" spans="2:8" x14ac:dyDescent="0.35">
      <c r="B49" s="20" t="s">
        <v>839</v>
      </c>
      <c r="C49" s="27" t="s">
        <v>507</v>
      </c>
      <c r="D49" s="163">
        <v>1.3</v>
      </c>
      <c r="E49" s="163">
        <v>1.05</v>
      </c>
      <c r="F49" s="163">
        <v>1.35</v>
      </c>
      <c r="G49" s="164">
        <f t="shared" si="1"/>
        <v>1.536</v>
      </c>
      <c r="H49" s="27" t="s">
        <v>840</v>
      </c>
    </row>
    <row r="50" spans="2:8" x14ac:dyDescent="0.35">
      <c r="B50" s="121" t="s">
        <v>841</v>
      </c>
      <c r="C50" s="116" t="s">
        <v>507</v>
      </c>
      <c r="D50" s="165">
        <v>1.32</v>
      </c>
      <c r="E50" s="165">
        <v>0.95</v>
      </c>
      <c r="F50" s="165">
        <v>1.4</v>
      </c>
      <c r="G50" s="166">
        <f t="shared" si="1"/>
        <v>1.4630000000000001</v>
      </c>
      <c r="H50" s="116" t="s">
        <v>842</v>
      </c>
    </row>
    <row r="51" spans="2:8" x14ac:dyDescent="0.35">
      <c r="B51" s="20" t="s">
        <v>843</v>
      </c>
      <c r="C51" s="27" t="s">
        <v>507</v>
      </c>
      <c r="D51" s="163">
        <v>1.45</v>
      </c>
      <c r="E51" s="163">
        <v>0.92</v>
      </c>
      <c r="F51" s="163">
        <v>1.5</v>
      </c>
      <c r="G51" s="164">
        <f t="shared" si="1"/>
        <v>1.6679999999999999</v>
      </c>
      <c r="H51" s="27" t="s">
        <v>844</v>
      </c>
    </row>
    <row r="52" spans="2:8" x14ac:dyDescent="0.35">
      <c r="B52" s="121" t="s">
        <v>845</v>
      </c>
      <c r="C52" s="116" t="s">
        <v>507</v>
      </c>
      <c r="D52" s="165">
        <v>1.4</v>
      </c>
      <c r="E52" s="165">
        <v>0.92</v>
      </c>
      <c r="F52" s="165">
        <v>1.48</v>
      </c>
      <c r="G52" s="166">
        <f t="shared" si="1"/>
        <v>1.589</v>
      </c>
      <c r="H52" s="116" t="s">
        <v>846</v>
      </c>
    </row>
    <row r="53" spans="2:8" x14ac:dyDescent="0.35">
      <c r="B53" s="20" t="s">
        <v>847</v>
      </c>
      <c r="C53" s="27" t="s">
        <v>507</v>
      </c>
      <c r="D53" s="163">
        <v>1.42</v>
      </c>
      <c r="E53" s="163">
        <v>0.9</v>
      </c>
      <c r="F53" s="163">
        <v>1.5</v>
      </c>
      <c r="G53" s="164">
        <f t="shared" si="1"/>
        <v>1.5980000000000001</v>
      </c>
      <c r="H53" s="27" t="s">
        <v>848</v>
      </c>
    </row>
    <row r="54" spans="2:8" x14ac:dyDescent="0.35">
      <c r="B54" s="121" t="s">
        <v>849</v>
      </c>
      <c r="C54" s="116" t="s">
        <v>507</v>
      </c>
      <c r="D54" s="165">
        <v>1.38</v>
      </c>
      <c r="E54" s="165">
        <v>0.92</v>
      </c>
      <c r="F54" s="165">
        <v>1.5</v>
      </c>
      <c r="G54" s="166">
        <f t="shared" si="1"/>
        <v>1.587</v>
      </c>
      <c r="H54" s="116" t="s">
        <v>850</v>
      </c>
    </row>
    <row r="55" spans="2:8" x14ac:dyDescent="0.35">
      <c r="B55" s="20" t="s">
        <v>851</v>
      </c>
      <c r="C55" s="27" t="s">
        <v>744</v>
      </c>
      <c r="D55" s="163">
        <v>1.05</v>
      </c>
      <c r="E55" s="163">
        <v>1.06</v>
      </c>
      <c r="F55" s="163">
        <v>0.98</v>
      </c>
      <c r="G55" s="164">
        <f t="shared" si="1"/>
        <v>0.90900000000000003</v>
      </c>
      <c r="H55" s="27" t="s">
        <v>852</v>
      </c>
    </row>
    <row r="56" spans="2:8" x14ac:dyDescent="0.35">
      <c r="B56" s="121" t="s">
        <v>853</v>
      </c>
      <c r="C56" s="116" t="s">
        <v>744</v>
      </c>
      <c r="D56" s="165">
        <v>1.1200000000000001</v>
      </c>
      <c r="E56" s="165">
        <v>1</v>
      </c>
      <c r="F56" s="165">
        <v>1.1499999999999999</v>
      </c>
      <c r="G56" s="166">
        <f t="shared" si="1"/>
        <v>1.073</v>
      </c>
      <c r="H56" s="116" t="s">
        <v>854</v>
      </c>
    </row>
    <row r="57" spans="2:8" x14ac:dyDescent="0.35">
      <c r="B57" s="20" t="s">
        <v>855</v>
      </c>
      <c r="C57" s="27" t="s">
        <v>744</v>
      </c>
      <c r="D57" s="163">
        <v>1.38</v>
      </c>
      <c r="E57" s="163">
        <v>0.92</v>
      </c>
      <c r="F57" s="163">
        <v>1.45</v>
      </c>
      <c r="G57" s="164">
        <f t="shared" si="1"/>
        <v>1.534</v>
      </c>
      <c r="H57" s="27" t="s">
        <v>856</v>
      </c>
    </row>
    <row r="58" spans="2:8" x14ac:dyDescent="0.35">
      <c r="B58" s="121" t="s">
        <v>569</v>
      </c>
      <c r="C58" s="116" t="s">
        <v>572</v>
      </c>
      <c r="D58" s="165">
        <v>1.35</v>
      </c>
      <c r="E58" s="165">
        <v>1.05</v>
      </c>
      <c r="F58" s="165">
        <v>1.4</v>
      </c>
      <c r="G58" s="166">
        <f t="shared" si="1"/>
        <v>1.6539999999999999</v>
      </c>
      <c r="H58" s="116" t="s">
        <v>857</v>
      </c>
    </row>
    <row r="59" spans="2:8" x14ac:dyDescent="0.35">
      <c r="B59" s="20" t="s">
        <v>858</v>
      </c>
      <c r="C59" s="27" t="s">
        <v>572</v>
      </c>
      <c r="D59" s="163">
        <v>1.28</v>
      </c>
      <c r="E59" s="163">
        <v>0.95</v>
      </c>
      <c r="F59" s="163">
        <v>1.38</v>
      </c>
      <c r="G59" s="164">
        <f t="shared" si="1"/>
        <v>1.3979999999999999</v>
      </c>
      <c r="H59" s="27" t="s">
        <v>859</v>
      </c>
    </row>
    <row r="60" spans="2:8" x14ac:dyDescent="0.35">
      <c r="B60" s="121" t="s">
        <v>860</v>
      </c>
      <c r="C60" s="116" t="s">
        <v>572</v>
      </c>
      <c r="D60" s="165">
        <v>1.22</v>
      </c>
      <c r="E60" s="165">
        <v>1</v>
      </c>
      <c r="F60" s="165">
        <v>1.3</v>
      </c>
      <c r="G60" s="166">
        <f t="shared" si="1"/>
        <v>1.3220000000000001</v>
      </c>
      <c r="H60" s="116" t="s">
        <v>861</v>
      </c>
    </row>
    <row r="61" spans="2:8" x14ac:dyDescent="0.35">
      <c r="B61" s="20" t="s">
        <v>862</v>
      </c>
      <c r="C61" s="27" t="s">
        <v>572</v>
      </c>
      <c r="D61" s="163">
        <v>1.25</v>
      </c>
      <c r="E61" s="163">
        <v>1.05</v>
      </c>
      <c r="F61" s="163">
        <v>1.32</v>
      </c>
      <c r="G61" s="164">
        <f t="shared" si="1"/>
        <v>1.444</v>
      </c>
      <c r="H61" s="27" t="s">
        <v>863</v>
      </c>
    </row>
    <row r="62" spans="2:8" x14ac:dyDescent="0.35">
      <c r="B62" s="121" t="s">
        <v>864</v>
      </c>
      <c r="C62" s="116" t="s">
        <v>572</v>
      </c>
      <c r="D62" s="165">
        <v>1.25</v>
      </c>
      <c r="E62" s="165">
        <v>0.92</v>
      </c>
      <c r="F62" s="165">
        <v>1.35</v>
      </c>
      <c r="G62" s="166">
        <f t="shared" si="1"/>
        <v>1.294</v>
      </c>
      <c r="H62" s="116" t="s">
        <v>865</v>
      </c>
    </row>
    <row r="63" spans="2:8" x14ac:dyDescent="0.35">
      <c r="B63" s="20" t="s">
        <v>866</v>
      </c>
      <c r="C63" s="27" t="s">
        <v>572</v>
      </c>
      <c r="D63" s="163">
        <v>1.28</v>
      </c>
      <c r="E63" s="163">
        <v>0.95</v>
      </c>
      <c r="F63" s="163">
        <v>1.38</v>
      </c>
      <c r="G63" s="164">
        <f t="shared" si="1"/>
        <v>1.3979999999999999</v>
      </c>
      <c r="H63" s="27" t="s">
        <v>867</v>
      </c>
    </row>
    <row r="64" spans="2:8" x14ac:dyDescent="0.35">
      <c r="B64" s="121" t="s">
        <v>868</v>
      </c>
      <c r="C64" s="116" t="s">
        <v>572</v>
      </c>
      <c r="D64" s="165">
        <v>1.25</v>
      </c>
      <c r="E64" s="165">
        <v>1</v>
      </c>
      <c r="F64" s="165">
        <v>1.35</v>
      </c>
      <c r="G64" s="166">
        <f t="shared" si="1"/>
        <v>1.4059999999999999</v>
      </c>
      <c r="H64" s="116" t="s">
        <v>869</v>
      </c>
    </row>
    <row r="65" spans="2:8" x14ac:dyDescent="0.35">
      <c r="B65" s="20" t="s">
        <v>870</v>
      </c>
      <c r="C65" s="27" t="s">
        <v>561</v>
      </c>
      <c r="D65" s="163">
        <v>1.05</v>
      </c>
      <c r="E65" s="163">
        <v>0.98</v>
      </c>
      <c r="F65" s="163">
        <v>1.1499999999999999</v>
      </c>
      <c r="G65" s="164">
        <f t="shared" si="1"/>
        <v>0.98599999999999999</v>
      </c>
      <c r="H65" s="27" t="s">
        <v>871</v>
      </c>
    </row>
    <row r="66" spans="2:8" x14ac:dyDescent="0.35">
      <c r="B66" s="121" t="s">
        <v>872</v>
      </c>
      <c r="C66" s="116" t="s">
        <v>727</v>
      </c>
      <c r="D66" s="165">
        <v>1.1000000000000001</v>
      </c>
      <c r="E66" s="165">
        <v>1.1000000000000001</v>
      </c>
      <c r="F66" s="165">
        <v>1.1499999999999999</v>
      </c>
      <c r="G66" s="166">
        <f t="shared" si="1"/>
        <v>1.1599999999999999</v>
      </c>
      <c r="H66" s="116" t="s">
        <v>873</v>
      </c>
    </row>
    <row r="67" spans="2:8" x14ac:dyDescent="0.35">
      <c r="B67" s="20" t="s">
        <v>874</v>
      </c>
      <c r="C67" s="27" t="s">
        <v>572</v>
      </c>
      <c r="D67" s="163">
        <v>1.3</v>
      </c>
      <c r="E67" s="163">
        <v>1.1200000000000001</v>
      </c>
      <c r="F67" s="163">
        <v>1.35</v>
      </c>
      <c r="G67" s="164">
        <f t="shared" si="1"/>
        <v>1.6379999999999999</v>
      </c>
      <c r="H67" s="27" t="s">
        <v>875</v>
      </c>
    </row>
    <row r="68" spans="2:8" x14ac:dyDescent="0.35">
      <c r="B68" s="121" t="s">
        <v>876</v>
      </c>
      <c r="C68" s="116" t="s">
        <v>572</v>
      </c>
      <c r="D68" s="165">
        <v>1.22</v>
      </c>
      <c r="E68" s="165">
        <v>1.08</v>
      </c>
      <c r="F68" s="165">
        <v>1.28</v>
      </c>
      <c r="G68" s="166">
        <f t="shared" si="1"/>
        <v>1.405</v>
      </c>
      <c r="H68" s="116" t="s">
        <v>877</v>
      </c>
    </row>
    <row r="69" spans="2:8" x14ac:dyDescent="0.35">
      <c r="B69" s="20" t="s">
        <v>878</v>
      </c>
      <c r="C69" s="27" t="s">
        <v>572</v>
      </c>
      <c r="D69" s="163">
        <v>1.2</v>
      </c>
      <c r="E69" s="163">
        <v>1</v>
      </c>
      <c r="F69" s="163">
        <v>1.25</v>
      </c>
      <c r="G69" s="164">
        <f t="shared" ref="G69:G100" si="2">ROUND(D69*E69*F69/$C$3,3)</f>
        <v>1.25</v>
      </c>
      <c r="H69" s="27" t="s">
        <v>879</v>
      </c>
    </row>
    <row r="71" spans="2:8" x14ac:dyDescent="0.35">
      <c r="B71" s="15" t="s">
        <v>713</v>
      </c>
    </row>
    <row r="72" spans="2:8" ht="15" customHeight="1" x14ac:dyDescent="0.35">
      <c r="B72" s="7" t="s">
        <v>880</v>
      </c>
      <c r="C72" s="7"/>
      <c r="D72" s="7"/>
      <c r="E72" s="7"/>
      <c r="F72" s="7"/>
      <c r="G72" s="7"/>
      <c r="H72" s="7"/>
    </row>
    <row r="73" spans="2:8" x14ac:dyDescent="0.35">
      <c r="B73" s="7"/>
      <c r="C73" s="7"/>
      <c r="D73" s="7"/>
      <c r="E73" s="7"/>
      <c r="F73" s="7"/>
      <c r="G73" s="7"/>
      <c r="H73" s="7"/>
    </row>
    <row r="74" spans="2:8" x14ac:dyDescent="0.35">
      <c r="B74" s="7"/>
      <c r="C74" s="7"/>
      <c r="D74" s="7"/>
      <c r="E74" s="7"/>
      <c r="F74" s="7"/>
      <c r="G74" s="7"/>
      <c r="H74" s="7"/>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topLeftCell="A28" zoomScaleNormal="100" workbookViewId="0">
      <selection activeCell="D46" sqref="D46"/>
    </sheetView>
  </sheetViews>
  <sheetFormatPr defaultColWidth="8.6328125" defaultRowHeight="14.5" x14ac:dyDescent="0.35"/>
  <cols>
    <col min="1" max="1" width="2" customWidth="1"/>
    <col min="2" max="2" width="44" customWidth="1"/>
    <col min="3" max="3" width="14" customWidth="1"/>
    <col min="4" max="4" width="62" customWidth="1"/>
    <col min="5" max="5" width="20" customWidth="1"/>
  </cols>
  <sheetData>
    <row r="1" spans="2:5" ht="25.5" customHeight="1" x14ac:dyDescent="0.35">
      <c r="B1" s="14" t="s">
        <v>881</v>
      </c>
      <c r="C1" s="14"/>
      <c r="D1" s="14"/>
      <c r="E1" s="14"/>
    </row>
    <row r="2" spans="2:5" ht="15" customHeight="1" x14ac:dyDescent="0.35">
      <c r="B2" s="13" t="s">
        <v>882</v>
      </c>
      <c r="C2" s="13"/>
      <c r="D2" s="13"/>
      <c r="E2" s="13"/>
    </row>
    <row r="4" spans="2:5" ht="18" customHeight="1" x14ac:dyDescent="0.35">
      <c r="B4" s="12" t="s">
        <v>883</v>
      </c>
      <c r="C4" s="12"/>
      <c r="D4" s="12"/>
      <c r="E4" s="12"/>
    </row>
    <row r="5" spans="2:5" ht="30" customHeight="1" x14ac:dyDescent="0.35">
      <c r="B5" s="22" t="s">
        <v>884</v>
      </c>
      <c r="C5" s="22" t="s">
        <v>357</v>
      </c>
      <c r="D5" s="22" t="s">
        <v>885</v>
      </c>
    </row>
    <row r="6" spans="2:5" x14ac:dyDescent="0.35">
      <c r="B6" s="20" t="s">
        <v>886</v>
      </c>
      <c r="C6" s="163">
        <v>2.95</v>
      </c>
      <c r="D6" s="27" t="s">
        <v>887</v>
      </c>
    </row>
    <row r="7" spans="2:5" x14ac:dyDescent="0.35">
      <c r="B7" s="121" t="s">
        <v>888</v>
      </c>
      <c r="C7" s="165">
        <v>2.5</v>
      </c>
      <c r="D7" s="116" t="s">
        <v>889</v>
      </c>
    </row>
    <row r="8" spans="2:5" x14ac:dyDescent="0.35">
      <c r="B8" s="20" t="s">
        <v>890</v>
      </c>
      <c r="C8" s="163">
        <v>1.75</v>
      </c>
      <c r="D8" s="27" t="s">
        <v>891</v>
      </c>
    </row>
    <row r="9" spans="2:5" x14ac:dyDescent="0.35">
      <c r="B9" s="121" t="s">
        <v>545</v>
      </c>
      <c r="C9" s="165">
        <v>1.35</v>
      </c>
      <c r="D9" s="116" t="s">
        <v>892</v>
      </c>
    </row>
    <row r="10" spans="2:5" x14ac:dyDescent="0.35">
      <c r="B10" s="20" t="s">
        <v>564</v>
      </c>
      <c r="C10" s="163">
        <v>1.1000000000000001</v>
      </c>
      <c r="D10" s="27" t="s">
        <v>892</v>
      </c>
    </row>
    <row r="11" spans="2:5" x14ac:dyDescent="0.35">
      <c r="B11" s="121" t="s">
        <v>194</v>
      </c>
      <c r="C11" s="165">
        <v>1</v>
      </c>
      <c r="D11" s="116" t="s">
        <v>893</v>
      </c>
    </row>
    <row r="12" spans="2:5" x14ac:dyDescent="0.35">
      <c r="B12" s="20" t="s">
        <v>514</v>
      </c>
      <c r="C12" s="163">
        <v>1</v>
      </c>
      <c r="D12" s="27" t="s">
        <v>893</v>
      </c>
    </row>
    <row r="13" spans="2:5" x14ac:dyDescent="0.35">
      <c r="B13" s="121" t="s">
        <v>703</v>
      </c>
      <c r="C13" s="165">
        <v>1.1499999999999999</v>
      </c>
      <c r="D13" s="116" t="s">
        <v>892</v>
      </c>
    </row>
    <row r="14" spans="2:5" x14ac:dyDescent="0.35">
      <c r="B14" s="20" t="s">
        <v>894</v>
      </c>
      <c r="C14" s="163">
        <v>1.45</v>
      </c>
      <c r="D14" s="27" t="s">
        <v>895</v>
      </c>
    </row>
    <row r="15" spans="2:5" x14ac:dyDescent="0.35">
      <c r="B15" s="121" t="s">
        <v>896</v>
      </c>
      <c r="C15" s="165">
        <v>1.8</v>
      </c>
      <c r="D15" s="116" t="s">
        <v>897</v>
      </c>
    </row>
    <row r="17" spans="2:5" ht="18" customHeight="1" x14ac:dyDescent="0.35">
      <c r="B17" s="12" t="s">
        <v>898</v>
      </c>
      <c r="C17" s="12"/>
      <c r="D17" s="12"/>
      <c r="E17" s="12"/>
    </row>
    <row r="18" spans="2:5" ht="30" customHeight="1" x14ac:dyDescent="0.35">
      <c r="B18" s="22" t="s">
        <v>899</v>
      </c>
      <c r="C18" s="22" t="s">
        <v>357</v>
      </c>
      <c r="D18" s="22" t="s">
        <v>885</v>
      </c>
    </row>
    <row r="19" spans="2:5" x14ac:dyDescent="0.35">
      <c r="B19" s="20" t="s">
        <v>900</v>
      </c>
      <c r="C19" s="163">
        <v>1.35</v>
      </c>
      <c r="D19" s="27" t="s">
        <v>901</v>
      </c>
    </row>
    <row r="20" spans="2:5" x14ac:dyDescent="0.35">
      <c r="B20" s="121" t="s">
        <v>902</v>
      </c>
      <c r="C20" s="165">
        <v>1.1499999999999999</v>
      </c>
      <c r="D20" s="116" t="s">
        <v>892</v>
      </c>
    </row>
    <row r="21" spans="2:5" x14ac:dyDescent="0.35">
      <c r="B21" s="20" t="s">
        <v>546</v>
      </c>
      <c r="C21" s="163">
        <v>1.05</v>
      </c>
      <c r="D21" s="27" t="s">
        <v>892</v>
      </c>
    </row>
    <row r="22" spans="2:5" x14ac:dyDescent="0.35">
      <c r="B22" s="121" t="s">
        <v>197</v>
      </c>
      <c r="C22" s="165">
        <v>1</v>
      </c>
      <c r="D22" s="116" t="s">
        <v>903</v>
      </c>
    </row>
    <row r="23" spans="2:5" x14ac:dyDescent="0.35">
      <c r="B23" s="20" t="s">
        <v>515</v>
      </c>
      <c r="C23" s="163">
        <v>0.95</v>
      </c>
      <c r="D23" s="27" t="s">
        <v>904</v>
      </c>
    </row>
    <row r="24" spans="2:5" x14ac:dyDescent="0.35">
      <c r="B24" s="121" t="s">
        <v>565</v>
      </c>
      <c r="C24" s="165">
        <v>0.9</v>
      </c>
      <c r="D24" s="116" t="s">
        <v>905</v>
      </c>
    </row>
    <row r="26" spans="2:5" ht="18" customHeight="1" x14ac:dyDescent="0.35">
      <c r="B26" s="12" t="s">
        <v>906</v>
      </c>
      <c r="C26" s="12"/>
      <c r="D26" s="12"/>
      <c r="E26" s="12"/>
    </row>
    <row r="27" spans="2:5" ht="30" customHeight="1" x14ac:dyDescent="0.35">
      <c r="B27" s="22" t="s">
        <v>415</v>
      </c>
      <c r="C27" s="22" t="s">
        <v>357</v>
      </c>
      <c r="D27" s="22" t="s">
        <v>885</v>
      </c>
    </row>
    <row r="28" spans="2:5" x14ac:dyDescent="0.35">
      <c r="B28" s="20" t="s">
        <v>200</v>
      </c>
      <c r="C28" s="163">
        <v>1</v>
      </c>
      <c r="D28" s="27" t="s">
        <v>903</v>
      </c>
    </row>
    <row r="29" spans="2:5" x14ac:dyDescent="0.35">
      <c r="B29" s="121" t="s">
        <v>547</v>
      </c>
      <c r="C29" s="165">
        <v>1.1499999999999999</v>
      </c>
      <c r="D29" s="116" t="s">
        <v>892</v>
      </c>
    </row>
    <row r="30" spans="2:5" x14ac:dyDescent="0.35">
      <c r="B30" s="20" t="s">
        <v>907</v>
      </c>
      <c r="C30" s="163">
        <v>1.35</v>
      </c>
      <c r="D30" s="27" t="s">
        <v>892</v>
      </c>
    </row>
    <row r="31" spans="2:5" x14ac:dyDescent="0.35">
      <c r="B31" s="121" t="s">
        <v>908</v>
      </c>
      <c r="C31" s="165">
        <v>1.65</v>
      </c>
      <c r="D31" s="116" t="s">
        <v>909</v>
      </c>
    </row>
    <row r="32" spans="2:5" x14ac:dyDescent="0.35">
      <c r="B32" s="20" t="s">
        <v>910</v>
      </c>
      <c r="C32" s="163">
        <v>1.85</v>
      </c>
      <c r="D32" s="27" t="s">
        <v>911</v>
      </c>
    </row>
    <row r="33" spans="2:5" x14ac:dyDescent="0.35">
      <c r="B33" s="121" t="s">
        <v>912</v>
      </c>
      <c r="C33" s="165">
        <v>2.6</v>
      </c>
      <c r="D33" s="116" t="s">
        <v>913</v>
      </c>
    </row>
    <row r="34" spans="2:5" x14ac:dyDescent="0.35">
      <c r="B34" s="20" t="s">
        <v>914</v>
      </c>
      <c r="C34" s="163">
        <v>2.85</v>
      </c>
      <c r="D34" s="27" t="s">
        <v>913</v>
      </c>
    </row>
    <row r="35" spans="2:5" x14ac:dyDescent="0.35">
      <c r="B35" s="121" t="s">
        <v>915</v>
      </c>
      <c r="C35" s="165">
        <v>3</v>
      </c>
      <c r="D35" s="116" t="s">
        <v>913</v>
      </c>
    </row>
    <row r="36" spans="2:5" x14ac:dyDescent="0.35">
      <c r="B36" s="20" t="s">
        <v>916</v>
      </c>
      <c r="C36" s="163">
        <v>1.4</v>
      </c>
      <c r="D36" s="27" t="s">
        <v>917</v>
      </c>
    </row>
    <row r="38" spans="2:5" x14ac:dyDescent="0.35">
      <c r="B38" s="15" t="s">
        <v>918</v>
      </c>
    </row>
    <row r="39" spans="2:5" ht="27.75" customHeight="1" x14ac:dyDescent="0.35">
      <c r="B39" s="7" t="s">
        <v>919</v>
      </c>
      <c r="C39" s="7"/>
      <c r="D39" s="7"/>
      <c r="E39" s="7"/>
    </row>
    <row r="40" spans="2:5" ht="27.75" customHeight="1" x14ac:dyDescent="0.35">
      <c r="B40" s="7" t="s">
        <v>920</v>
      </c>
      <c r="C40" s="7"/>
      <c r="D40" s="7"/>
      <c r="E40" s="7"/>
    </row>
    <row r="41" spans="2:5" ht="27.75" customHeight="1" x14ac:dyDescent="0.35">
      <c r="B41" s="7" t="s">
        <v>921</v>
      </c>
      <c r="C41" s="7"/>
      <c r="D41" s="7"/>
      <c r="E41" s="7"/>
    </row>
    <row r="42" spans="2:5" ht="27.75" customHeight="1" x14ac:dyDescent="0.35">
      <c r="B42" s="7" t="s">
        <v>922</v>
      </c>
      <c r="C42" s="7"/>
      <c r="D42" s="7"/>
      <c r="E42" s="7"/>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6328125" defaultRowHeight="14.5" x14ac:dyDescent="0.35"/>
  <cols>
    <col min="1" max="1" width="2" customWidth="1"/>
    <col min="2" max="2" width="46" customWidth="1"/>
    <col min="3" max="3" width="14" customWidth="1"/>
    <col min="4" max="4" width="62" customWidth="1"/>
    <col min="5" max="5" width="20" customWidth="1"/>
  </cols>
  <sheetData>
    <row r="1" spans="2:5" ht="25.5" customHeight="1" x14ac:dyDescent="0.35">
      <c r="B1" s="14" t="s">
        <v>923</v>
      </c>
      <c r="C1" s="14"/>
      <c r="D1" s="14"/>
      <c r="E1" s="14"/>
    </row>
    <row r="2" spans="2:5" ht="15" customHeight="1" x14ac:dyDescent="0.35">
      <c r="B2" s="13" t="s">
        <v>924</v>
      </c>
      <c r="C2" s="13"/>
      <c r="D2" s="13"/>
      <c r="E2" s="13"/>
    </row>
    <row r="4" spans="2:5" ht="18" customHeight="1" x14ac:dyDescent="0.35">
      <c r="B4" s="12" t="s">
        <v>925</v>
      </c>
      <c r="C4" s="12"/>
      <c r="D4" s="12"/>
      <c r="E4" s="12"/>
    </row>
    <row r="5" spans="2:5" ht="30" customHeight="1" x14ac:dyDescent="0.35">
      <c r="B5" s="22" t="s">
        <v>926</v>
      </c>
      <c r="C5" s="22" t="s">
        <v>357</v>
      </c>
      <c r="D5" s="22" t="s">
        <v>885</v>
      </c>
    </row>
    <row r="6" spans="2:5" x14ac:dyDescent="0.35">
      <c r="B6" s="20" t="s">
        <v>203</v>
      </c>
      <c r="C6" s="163">
        <v>0.9</v>
      </c>
      <c r="D6" s="27" t="s">
        <v>904</v>
      </c>
    </row>
    <row r="7" spans="2:5" x14ac:dyDescent="0.35">
      <c r="B7" s="121" t="s">
        <v>516</v>
      </c>
      <c r="C7" s="165">
        <v>0.85</v>
      </c>
      <c r="D7" s="116" t="s">
        <v>927</v>
      </c>
    </row>
    <row r="8" spans="2:5" x14ac:dyDescent="0.35">
      <c r="B8" s="20" t="s">
        <v>548</v>
      </c>
      <c r="C8" s="163">
        <v>1.1000000000000001</v>
      </c>
      <c r="D8" s="27" t="s">
        <v>892</v>
      </c>
    </row>
    <row r="9" spans="2:5" x14ac:dyDescent="0.35">
      <c r="B9" s="121" t="s">
        <v>928</v>
      </c>
      <c r="C9" s="165">
        <v>1.3</v>
      </c>
      <c r="D9" s="116" t="s">
        <v>892</v>
      </c>
    </row>
    <row r="10" spans="2:5" x14ac:dyDescent="0.35">
      <c r="B10" s="20" t="s">
        <v>929</v>
      </c>
      <c r="C10" s="163">
        <v>1.6</v>
      </c>
      <c r="D10" s="27" t="s">
        <v>909</v>
      </c>
    </row>
    <row r="11" spans="2:5" x14ac:dyDescent="0.35">
      <c r="B11" s="121" t="s">
        <v>930</v>
      </c>
      <c r="C11" s="165">
        <v>1.75</v>
      </c>
      <c r="D11" s="116" t="s">
        <v>931</v>
      </c>
    </row>
    <row r="12" spans="2:5" x14ac:dyDescent="0.35">
      <c r="B12" s="20" t="s">
        <v>932</v>
      </c>
      <c r="C12" s="163">
        <v>1.85</v>
      </c>
      <c r="D12" s="27" t="s">
        <v>911</v>
      </c>
    </row>
    <row r="13" spans="2:5" x14ac:dyDescent="0.35">
      <c r="B13" s="121" t="s">
        <v>933</v>
      </c>
      <c r="C13" s="165">
        <v>2.5</v>
      </c>
      <c r="D13" s="116" t="s">
        <v>913</v>
      </c>
    </row>
    <row r="14" spans="2:5" x14ac:dyDescent="0.35">
      <c r="B14" s="20" t="s">
        <v>934</v>
      </c>
      <c r="C14" s="163">
        <v>1.55</v>
      </c>
      <c r="D14" s="27" t="s">
        <v>935</v>
      </c>
    </row>
    <row r="15" spans="2:5" x14ac:dyDescent="0.35">
      <c r="B15" s="121" t="s">
        <v>704</v>
      </c>
      <c r="C15" s="165">
        <v>1.05</v>
      </c>
      <c r="D15" s="116" t="s">
        <v>892</v>
      </c>
    </row>
    <row r="18" spans="2:5" x14ac:dyDescent="0.35">
      <c r="B18" s="15" t="s">
        <v>936</v>
      </c>
    </row>
    <row r="19" spans="2:5" ht="27.75" customHeight="1" x14ac:dyDescent="0.35">
      <c r="B19" s="7" t="s">
        <v>937</v>
      </c>
      <c r="C19" s="7"/>
      <c r="D19" s="7"/>
      <c r="E19" s="7"/>
    </row>
    <row r="20" spans="2:5" ht="27.75" customHeight="1" x14ac:dyDescent="0.35">
      <c r="B20" s="7" t="s">
        <v>938</v>
      </c>
      <c r="C20" s="7"/>
      <c r="D20" s="7"/>
      <c r="E20" s="7"/>
    </row>
    <row r="21" spans="2:5" ht="27.75" customHeight="1" x14ac:dyDescent="0.35">
      <c r="B21" s="7" t="s">
        <v>939</v>
      </c>
      <c r="C21" s="7"/>
      <c r="D21" s="7"/>
      <c r="E21" s="7"/>
    </row>
    <row r="22" spans="2:5" ht="27.75" customHeight="1" x14ac:dyDescent="0.35">
      <c r="B22" s="7" t="s">
        <v>940</v>
      </c>
      <c r="C22" s="7"/>
      <c r="D22" s="7"/>
      <c r="E22" s="7"/>
    </row>
    <row r="23" spans="2:5" ht="27.75" customHeight="1" x14ac:dyDescent="0.35">
      <c r="B23" s="7" t="s">
        <v>941</v>
      </c>
      <c r="C23" s="7"/>
      <c r="D23" s="7"/>
      <c r="E23" s="7"/>
    </row>
    <row r="24" spans="2:5" ht="27.75" customHeight="1" x14ac:dyDescent="0.35">
      <c r="B24" s="7" t="s">
        <v>942</v>
      </c>
      <c r="C24" s="7"/>
      <c r="D24" s="7"/>
      <c r="E24" s="7"/>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328125" defaultRowHeight="14.5" x14ac:dyDescent="0.3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35">
      <c r="B1" s="14" t="s">
        <v>943</v>
      </c>
      <c r="C1" s="14"/>
      <c r="D1" s="14"/>
      <c r="E1" s="14"/>
      <c r="F1" s="14"/>
      <c r="G1" s="14"/>
      <c r="H1" s="14"/>
      <c r="I1" s="14"/>
      <c r="J1" s="14"/>
      <c r="K1" s="14"/>
      <c r="L1" s="14"/>
    </row>
    <row r="2" spans="2:12" ht="15" customHeight="1" x14ac:dyDescent="0.35">
      <c r="B2" s="13" t="s">
        <v>944</v>
      </c>
      <c r="C2" s="13"/>
      <c r="D2" s="13"/>
      <c r="E2" s="13"/>
      <c r="F2" s="13"/>
      <c r="G2" s="13"/>
      <c r="H2" s="13"/>
      <c r="I2" s="13"/>
      <c r="J2" s="13"/>
      <c r="K2" s="13"/>
      <c r="L2" s="13"/>
    </row>
    <row r="5" spans="2:12" ht="30" customHeight="1" x14ac:dyDescent="0.35">
      <c r="B5" s="22" t="s">
        <v>606</v>
      </c>
      <c r="C5" s="22" t="s">
        <v>945</v>
      </c>
      <c r="D5" s="22" t="s">
        <v>946</v>
      </c>
      <c r="E5" s="22" t="s">
        <v>947</v>
      </c>
      <c r="F5" s="22" t="s">
        <v>948</v>
      </c>
      <c r="G5" s="22" t="s">
        <v>949</v>
      </c>
      <c r="H5" s="22" t="s">
        <v>950</v>
      </c>
      <c r="I5" s="22" t="s">
        <v>951</v>
      </c>
      <c r="J5" s="22" t="s">
        <v>952</v>
      </c>
      <c r="K5" s="22" t="s">
        <v>953</v>
      </c>
      <c r="L5" s="22" t="s">
        <v>954</v>
      </c>
    </row>
    <row r="6" spans="2:12" ht="25.5" customHeight="1" x14ac:dyDescent="0.35">
      <c r="B6" s="20" t="s">
        <v>955</v>
      </c>
      <c r="C6" s="58" t="s">
        <v>956</v>
      </c>
      <c r="D6" s="27" t="s">
        <v>957</v>
      </c>
      <c r="E6" s="163">
        <v>1.05</v>
      </c>
      <c r="F6" s="135">
        <v>470</v>
      </c>
      <c r="G6" s="167">
        <v>0.09</v>
      </c>
      <c r="H6" s="163">
        <v>1.05</v>
      </c>
      <c r="I6" s="163">
        <v>1.1499999999999999</v>
      </c>
      <c r="J6" s="58" t="s">
        <v>646</v>
      </c>
      <c r="K6" s="167">
        <v>0.06</v>
      </c>
      <c r="L6" s="24" t="s">
        <v>958</v>
      </c>
    </row>
    <row r="7" spans="2:12" ht="25.5" customHeight="1" x14ac:dyDescent="0.35">
      <c r="B7" s="121" t="s">
        <v>959</v>
      </c>
      <c r="C7" s="65" t="s">
        <v>960</v>
      </c>
      <c r="D7" s="116" t="s">
        <v>961</v>
      </c>
      <c r="E7" s="165">
        <v>0.78</v>
      </c>
      <c r="F7" s="137">
        <v>330</v>
      </c>
      <c r="G7" s="168">
        <v>0.02</v>
      </c>
      <c r="H7" s="165">
        <v>0.85</v>
      </c>
      <c r="I7" s="165">
        <v>0.9</v>
      </c>
      <c r="J7" s="65" t="s">
        <v>646</v>
      </c>
      <c r="K7" s="168">
        <v>2.7E-2</v>
      </c>
      <c r="L7" s="26" t="s">
        <v>962</v>
      </c>
    </row>
    <row r="8" spans="2:12" ht="25.5" customHeight="1" x14ac:dyDescent="0.35">
      <c r="B8" s="20" t="s">
        <v>508</v>
      </c>
      <c r="C8" s="58" t="s">
        <v>963</v>
      </c>
      <c r="D8" s="27" t="s">
        <v>964</v>
      </c>
      <c r="E8" s="163">
        <v>1.1000000000000001</v>
      </c>
      <c r="F8" s="135">
        <v>520</v>
      </c>
      <c r="G8" s="167">
        <v>4.4999999999999998E-2</v>
      </c>
      <c r="H8" s="163">
        <v>1.2</v>
      </c>
      <c r="I8" s="163">
        <v>1.05</v>
      </c>
      <c r="J8" s="58" t="s">
        <v>646</v>
      </c>
      <c r="K8" s="167">
        <v>0.03</v>
      </c>
      <c r="L8" s="24" t="s">
        <v>965</v>
      </c>
    </row>
    <row r="9" spans="2:12" ht="25.5" customHeight="1" x14ac:dyDescent="0.35">
      <c r="B9" s="121" t="s">
        <v>966</v>
      </c>
      <c r="C9" s="65" t="s">
        <v>967</v>
      </c>
      <c r="D9" s="116" t="s">
        <v>968</v>
      </c>
      <c r="E9" s="165">
        <v>0.92</v>
      </c>
      <c r="F9" s="137">
        <v>400</v>
      </c>
      <c r="G9" s="168">
        <v>7.0000000000000007E-2</v>
      </c>
      <c r="H9" s="165">
        <v>0.95</v>
      </c>
      <c r="I9" s="165">
        <v>1.05</v>
      </c>
      <c r="J9" s="65" t="s">
        <v>646</v>
      </c>
      <c r="K9" s="168">
        <v>0.04</v>
      </c>
      <c r="L9" s="26" t="s">
        <v>969</v>
      </c>
    </row>
    <row r="10" spans="2:12" ht="25.5" customHeight="1" x14ac:dyDescent="0.35">
      <c r="B10" s="20" t="s">
        <v>573</v>
      </c>
      <c r="C10" s="58" t="s">
        <v>970</v>
      </c>
      <c r="D10" s="27" t="s">
        <v>971</v>
      </c>
      <c r="E10" s="163">
        <v>1.35</v>
      </c>
      <c r="F10" s="135">
        <v>760</v>
      </c>
      <c r="G10" s="167">
        <v>0.06</v>
      </c>
      <c r="H10" s="163">
        <v>1.3</v>
      </c>
      <c r="I10" s="163">
        <v>1.3</v>
      </c>
      <c r="J10" s="58" t="s">
        <v>646</v>
      </c>
      <c r="K10" s="167">
        <v>0.03</v>
      </c>
      <c r="L10" s="24" t="s">
        <v>972</v>
      </c>
    </row>
    <row r="11" spans="2:12" ht="25.5" customHeight="1" x14ac:dyDescent="0.35">
      <c r="B11" s="121" t="s">
        <v>973</v>
      </c>
      <c r="C11" s="65" t="s">
        <v>974</v>
      </c>
      <c r="D11" s="116" t="s">
        <v>975</v>
      </c>
      <c r="E11" s="165">
        <v>1.08</v>
      </c>
      <c r="F11" s="137">
        <v>480</v>
      </c>
      <c r="G11" s="168">
        <v>8.5000000000000006E-2</v>
      </c>
      <c r="H11" s="165">
        <v>1.05</v>
      </c>
      <c r="I11" s="165">
        <v>1.05</v>
      </c>
      <c r="J11" s="65" t="s">
        <v>646</v>
      </c>
      <c r="K11" s="168">
        <v>0.03</v>
      </c>
      <c r="L11" s="26" t="s">
        <v>976</v>
      </c>
    </row>
    <row r="12" spans="2:12" ht="25.5" customHeight="1" x14ac:dyDescent="0.35">
      <c r="B12" s="20" t="s">
        <v>695</v>
      </c>
      <c r="C12" s="58" t="s">
        <v>977</v>
      </c>
      <c r="D12" s="27" t="s">
        <v>978</v>
      </c>
      <c r="E12" s="163">
        <v>1.1200000000000001</v>
      </c>
      <c r="F12" s="135">
        <v>600</v>
      </c>
      <c r="G12" s="167">
        <v>0.03</v>
      </c>
      <c r="H12" s="163">
        <v>1.05</v>
      </c>
      <c r="I12" s="163">
        <v>1.2</v>
      </c>
      <c r="J12" s="58" t="s">
        <v>646</v>
      </c>
      <c r="K12" s="167">
        <v>0.04</v>
      </c>
      <c r="L12" s="24" t="s">
        <v>979</v>
      </c>
    </row>
    <row r="13" spans="2:12" ht="25.5" customHeight="1" x14ac:dyDescent="0.35">
      <c r="B13" s="121" t="s">
        <v>980</v>
      </c>
      <c r="C13" s="65" t="s">
        <v>981</v>
      </c>
      <c r="D13" s="116" t="s">
        <v>982</v>
      </c>
      <c r="E13" s="165">
        <v>1.05</v>
      </c>
      <c r="F13" s="137">
        <v>540</v>
      </c>
      <c r="G13" s="168">
        <v>3.5000000000000003E-2</v>
      </c>
      <c r="H13" s="165">
        <v>1</v>
      </c>
      <c r="I13" s="165">
        <v>1.1000000000000001</v>
      </c>
      <c r="J13" s="65" t="s">
        <v>646</v>
      </c>
      <c r="K13" s="168">
        <v>0.03</v>
      </c>
      <c r="L13" s="26" t="s">
        <v>983</v>
      </c>
    </row>
    <row r="14" spans="2:12" ht="25.5" customHeight="1" x14ac:dyDescent="0.35">
      <c r="B14" s="20" t="s">
        <v>984</v>
      </c>
      <c r="C14" s="58" t="s">
        <v>985</v>
      </c>
      <c r="D14" s="27" t="s">
        <v>982</v>
      </c>
      <c r="E14" s="163">
        <v>1.3</v>
      </c>
      <c r="F14" s="135">
        <v>720</v>
      </c>
      <c r="G14" s="167">
        <v>2.5000000000000001E-2</v>
      </c>
      <c r="H14" s="163">
        <v>1.25</v>
      </c>
      <c r="I14" s="163">
        <v>1.25</v>
      </c>
      <c r="J14" s="58" t="s">
        <v>648</v>
      </c>
      <c r="K14" s="167">
        <v>0.02</v>
      </c>
      <c r="L14" s="24" t="s">
        <v>986</v>
      </c>
    </row>
    <row r="15" spans="2:12" ht="25.5" customHeight="1" x14ac:dyDescent="0.35">
      <c r="B15" s="121" t="s">
        <v>173</v>
      </c>
      <c r="C15" s="65" t="s">
        <v>987</v>
      </c>
      <c r="D15" s="116" t="s">
        <v>957</v>
      </c>
      <c r="E15" s="165">
        <v>1.45</v>
      </c>
      <c r="F15" s="137">
        <v>980</v>
      </c>
      <c r="G15" s="168">
        <v>0.18</v>
      </c>
      <c r="H15" s="165">
        <v>1.35</v>
      </c>
      <c r="I15" s="165">
        <v>1.4</v>
      </c>
      <c r="J15" s="65" t="s">
        <v>648</v>
      </c>
      <c r="K15" s="168">
        <v>4.9399999999999999E-2</v>
      </c>
      <c r="L15" s="26" t="s">
        <v>988</v>
      </c>
    </row>
    <row r="16" spans="2:12" ht="25.5" customHeight="1" x14ac:dyDescent="0.35">
      <c r="B16" s="20" t="s">
        <v>989</v>
      </c>
      <c r="C16" s="58" t="s">
        <v>990</v>
      </c>
      <c r="D16" s="27" t="s">
        <v>957</v>
      </c>
      <c r="E16" s="163">
        <v>1.18</v>
      </c>
      <c r="F16" s="135">
        <v>620</v>
      </c>
      <c r="G16" s="167">
        <v>5.5E-2</v>
      </c>
      <c r="H16" s="163">
        <v>1.2</v>
      </c>
      <c r="I16" s="163">
        <v>1.2</v>
      </c>
      <c r="J16" s="58" t="s">
        <v>646</v>
      </c>
      <c r="K16" s="167">
        <v>0.04</v>
      </c>
      <c r="L16" s="24" t="s">
        <v>991</v>
      </c>
    </row>
    <row r="17" spans="2:12" ht="25.5" customHeight="1" x14ac:dyDescent="0.35">
      <c r="B17" s="121" t="s">
        <v>992</v>
      </c>
      <c r="C17" s="65" t="s">
        <v>993</v>
      </c>
      <c r="D17" s="116" t="s">
        <v>961</v>
      </c>
      <c r="E17" s="165">
        <v>0.95</v>
      </c>
      <c r="F17" s="137">
        <v>420</v>
      </c>
      <c r="G17" s="168">
        <v>7.0000000000000007E-2</v>
      </c>
      <c r="H17" s="165">
        <v>0.9</v>
      </c>
      <c r="I17" s="165">
        <v>1</v>
      </c>
      <c r="J17" s="65" t="s">
        <v>648</v>
      </c>
      <c r="K17" s="168">
        <v>4.6800000000000001E-2</v>
      </c>
      <c r="L17" s="26" t="s">
        <v>994</v>
      </c>
    </row>
    <row r="18" spans="2:12" ht="25.5" customHeight="1" x14ac:dyDescent="0.35">
      <c r="B18" s="20" t="s">
        <v>995</v>
      </c>
      <c r="C18" s="58" t="s">
        <v>996</v>
      </c>
      <c r="D18" s="27" t="s">
        <v>975</v>
      </c>
      <c r="E18" s="163">
        <v>0.75</v>
      </c>
      <c r="F18" s="135">
        <v>300</v>
      </c>
      <c r="G18" s="167">
        <v>0.03</v>
      </c>
      <c r="H18" s="163">
        <v>0.8</v>
      </c>
      <c r="I18" s="163">
        <v>0.85</v>
      </c>
      <c r="J18" s="58" t="s">
        <v>646</v>
      </c>
      <c r="K18" s="167">
        <v>1.4999999999999999E-2</v>
      </c>
      <c r="L18" s="24" t="s">
        <v>997</v>
      </c>
    </row>
    <row r="19" spans="2:12" ht="25.5" customHeight="1" x14ac:dyDescent="0.35">
      <c r="B19" s="121" t="s">
        <v>998</v>
      </c>
      <c r="C19" s="65" t="s">
        <v>999</v>
      </c>
      <c r="D19" s="116" t="s">
        <v>1000</v>
      </c>
      <c r="E19" s="165">
        <v>1.22</v>
      </c>
      <c r="F19" s="137">
        <v>640</v>
      </c>
      <c r="G19" s="168">
        <v>5.5E-2</v>
      </c>
      <c r="H19" s="165">
        <v>1.3</v>
      </c>
      <c r="I19" s="165">
        <v>1.25</v>
      </c>
      <c r="J19" s="65" t="s">
        <v>646</v>
      </c>
      <c r="K19" s="168">
        <v>3.5000000000000003E-2</v>
      </c>
      <c r="L19" s="26" t="s">
        <v>1001</v>
      </c>
    </row>
    <row r="20" spans="2:12" ht="25.5" customHeight="1" x14ac:dyDescent="0.35">
      <c r="B20" s="20" t="s">
        <v>1002</v>
      </c>
      <c r="C20" s="58" t="s">
        <v>1003</v>
      </c>
      <c r="D20" s="27" t="s">
        <v>1000</v>
      </c>
      <c r="E20" s="163">
        <v>0.95</v>
      </c>
      <c r="F20" s="135">
        <v>420</v>
      </c>
      <c r="G20" s="167">
        <v>5.5E-2</v>
      </c>
      <c r="H20" s="163">
        <v>0.95</v>
      </c>
      <c r="I20" s="163">
        <v>1</v>
      </c>
      <c r="J20" s="58" t="s">
        <v>646</v>
      </c>
      <c r="K20" s="167">
        <v>2.5000000000000001E-2</v>
      </c>
      <c r="L20" s="24" t="s">
        <v>1004</v>
      </c>
    </row>
    <row r="21" spans="2:12" ht="25.5" customHeight="1" x14ac:dyDescent="0.35">
      <c r="B21" s="121" t="s">
        <v>1005</v>
      </c>
      <c r="C21" s="65" t="s">
        <v>1006</v>
      </c>
      <c r="D21" s="116" t="s">
        <v>1000</v>
      </c>
      <c r="E21" s="165">
        <v>0.82</v>
      </c>
      <c r="F21" s="137">
        <v>350</v>
      </c>
      <c r="G21" s="168">
        <v>6.5000000000000002E-2</v>
      </c>
      <c r="H21" s="165">
        <v>0.82</v>
      </c>
      <c r="I21" s="165">
        <v>0.9</v>
      </c>
      <c r="J21" s="65" t="s">
        <v>646</v>
      </c>
      <c r="K21" s="168">
        <v>0.01</v>
      </c>
      <c r="L21" s="26" t="s">
        <v>1007</v>
      </c>
    </row>
    <row r="22" spans="2:12" ht="25.5" customHeight="1" x14ac:dyDescent="0.35">
      <c r="B22" s="20" t="s">
        <v>1008</v>
      </c>
      <c r="C22" s="58" t="s">
        <v>1009</v>
      </c>
      <c r="D22" s="27" t="s">
        <v>1000</v>
      </c>
      <c r="E22" s="163">
        <v>0.88</v>
      </c>
      <c r="F22" s="135">
        <v>380</v>
      </c>
      <c r="G22" s="167">
        <v>7.4999999999999997E-2</v>
      </c>
      <c r="H22" s="163">
        <v>0.9</v>
      </c>
      <c r="I22" s="163">
        <v>0.95</v>
      </c>
      <c r="J22" s="58" t="s">
        <v>646</v>
      </c>
      <c r="K22" s="167">
        <v>0.06</v>
      </c>
      <c r="L22" s="24" t="s">
        <v>1010</v>
      </c>
    </row>
    <row r="23" spans="2:12" ht="25.5" customHeight="1" x14ac:dyDescent="0.35">
      <c r="B23" s="121" t="s">
        <v>1011</v>
      </c>
      <c r="C23" s="65" t="s">
        <v>1012</v>
      </c>
      <c r="D23" s="116" t="s">
        <v>968</v>
      </c>
      <c r="E23" s="165">
        <v>0.95</v>
      </c>
      <c r="F23" s="137">
        <v>430</v>
      </c>
      <c r="G23" s="168">
        <v>5.5E-2</v>
      </c>
      <c r="H23" s="165">
        <v>0.95</v>
      </c>
      <c r="I23" s="165">
        <v>1.05</v>
      </c>
      <c r="J23" s="65" t="s">
        <v>648</v>
      </c>
      <c r="K23" s="168">
        <v>0.03</v>
      </c>
      <c r="L23" s="26" t="s">
        <v>1013</v>
      </c>
    </row>
    <row r="24" spans="2:12" ht="25.5" customHeight="1" x14ac:dyDescent="0.35">
      <c r="B24" s="20" t="s">
        <v>1014</v>
      </c>
      <c r="C24" s="58" t="s">
        <v>1015</v>
      </c>
      <c r="D24" s="27" t="s">
        <v>957</v>
      </c>
      <c r="E24" s="163">
        <v>1.38</v>
      </c>
      <c r="F24" s="135">
        <v>880</v>
      </c>
      <c r="G24" s="167">
        <v>0.15</v>
      </c>
      <c r="H24" s="163">
        <v>1.25</v>
      </c>
      <c r="I24" s="163">
        <v>1.45</v>
      </c>
      <c r="J24" s="58" t="s">
        <v>646</v>
      </c>
      <c r="K24" s="167">
        <v>4.8500000000000001E-2</v>
      </c>
      <c r="L24" s="24" t="s">
        <v>1016</v>
      </c>
    </row>
    <row r="25" spans="2:12" ht="25.5" customHeight="1" x14ac:dyDescent="0.35">
      <c r="B25" s="121" t="s">
        <v>1017</v>
      </c>
      <c r="C25" s="65" t="s">
        <v>1018</v>
      </c>
      <c r="D25" s="116" t="s">
        <v>978</v>
      </c>
      <c r="E25" s="165">
        <v>0.72</v>
      </c>
      <c r="F25" s="137">
        <v>310</v>
      </c>
      <c r="G25" s="168">
        <v>0.03</v>
      </c>
      <c r="H25" s="165">
        <v>0.75</v>
      </c>
      <c r="I25" s="165">
        <v>0.9</v>
      </c>
      <c r="J25" s="65" t="s">
        <v>646</v>
      </c>
      <c r="K25" s="168">
        <v>0.03</v>
      </c>
      <c r="L25" s="26" t="s">
        <v>1019</v>
      </c>
    </row>
    <row r="26" spans="2:12" ht="25.5" customHeight="1" x14ac:dyDescent="0.35">
      <c r="B26" s="20" t="s">
        <v>1020</v>
      </c>
      <c r="C26" s="58" t="s">
        <v>1021</v>
      </c>
      <c r="D26" s="27" t="s">
        <v>982</v>
      </c>
      <c r="E26" s="163">
        <v>1.18</v>
      </c>
      <c r="F26" s="135">
        <v>620</v>
      </c>
      <c r="G26" s="167">
        <v>3.5000000000000003E-2</v>
      </c>
      <c r="H26" s="163">
        <v>1.18</v>
      </c>
      <c r="I26" s="163">
        <v>1.2</v>
      </c>
      <c r="J26" s="58" t="s">
        <v>648</v>
      </c>
      <c r="K26" s="167">
        <v>0.03</v>
      </c>
      <c r="L26" s="24" t="s">
        <v>1022</v>
      </c>
    </row>
    <row r="27" spans="2:12" ht="25.5" customHeight="1" x14ac:dyDescent="0.35">
      <c r="B27" s="121" t="s">
        <v>1023</v>
      </c>
      <c r="C27" s="65" t="s">
        <v>1024</v>
      </c>
      <c r="D27" s="116" t="s">
        <v>978</v>
      </c>
      <c r="E27" s="165">
        <v>1.1499999999999999</v>
      </c>
      <c r="F27" s="137">
        <v>610</v>
      </c>
      <c r="G27" s="168">
        <v>3.5000000000000003E-2</v>
      </c>
      <c r="H27" s="165">
        <v>1.05</v>
      </c>
      <c r="I27" s="165">
        <v>1.2</v>
      </c>
      <c r="J27" s="65" t="s">
        <v>648</v>
      </c>
      <c r="K27" s="168">
        <v>0.04</v>
      </c>
      <c r="L27" s="26" t="s">
        <v>1025</v>
      </c>
    </row>
    <row r="28" spans="2:12" ht="25.5" customHeight="1" x14ac:dyDescent="0.35">
      <c r="B28" s="20" t="s">
        <v>1026</v>
      </c>
      <c r="C28" s="58" t="s">
        <v>1027</v>
      </c>
      <c r="D28" s="27" t="s">
        <v>1000</v>
      </c>
      <c r="E28" s="163">
        <v>1.2</v>
      </c>
      <c r="F28" s="135">
        <v>700</v>
      </c>
      <c r="G28" s="167">
        <v>0.04</v>
      </c>
      <c r="H28" s="163">
        <v>1.1499999999999999</v>
      </c>
      <c r="I28" s="163">
        <v>1.35</v>
      </c>
      <c r="J28" s="58" t="s">
        <v>648</v>
      </c>
      <c r="K28" s="167">
        <v>2.5000000000000001E-2</v>
      </c>
      <c r="L28" s="24" t="s">
        <v>1028</v>
      </c>
    </row>
    <row r="29" spans="2:12" ht="25.5" customHeight="1" x14ac:dyDescent="0.35">
      <c r="B29" s="121" t="s">
        <v>1029</v>
      </c>
      <c r="C29" s="65" t="s">
        <v>1030</v>
      </c>
      <c r="D29" s="116" t="s">
        <v>1000</v>
      </c>
      <c r="E29" s="165">
        <v>0.9</v>
      </c>
      <c r="F29" s="137">
        <v>400</v>
      </c>
      <c r="G29" s="168">
        <v>5.5E-2</v>
      </c>
      <c r="H29" s="165">
        <v>0.9</v>
      </c>
      <c r="I29" s="165">
        <v>0.95</v>
      </c>
      <c r="J29" s="65" t="s">
        <v>648</v>
      </c>
      <c r="K29" s="168">
        <v>0.03</v>
      </c>
      <c r="L29" s="26" t="s">
        <v>1031</v>
      </c>
    </row>
    <row r="30" spans="2:12" ht="25.5" customHeight="1" x14ac:dyDescent="0.35">
      <c r="B30" s="20" t="s">
        <v>1032</v>
      </c>
      <c r="C30" s="58" t="s">
        <v>1033</v>
      </c>
      <c r="D30" s="27" t="s">
        <v>957</v>
      </c>
      <c r="E30" s="163">
        <v>1.08</v>
      </c>
      <c r="F30" s="135">
        <v>500</v>
      </c>
      <c r="G30" s="167">
        <v>9.5000000000000001E-2</v>
      </c>
      <c r="H30" s="163">
        <v>1</v>
      </c>
      <c r="I30" s="163">
        <v>1.2</v>
      </c>
      <c r="J30" s="58" t="s">
        <v>646</v>
      </c>
      <c r="K30" s="167">
        <v>0.04</v>
      </c>
      <c r="L30" s="24" t="s">
        <v>1034</v>
      </c>
    </row>
    <row r="31" spans="2:12" ht="25.5" customHeight="1" x14ac:dyDescent="0.35">
      <c r="B31" s="121" t="s">
        <v>1035</v>
      </c>
      <c r="C31" s="65" t="s">
        <v>1036</v>
      </c>
      <c r="D31" s="116" t="s">
        <v>1000</v>
      </c>
      <c r="E31" s="165">
        <v>0.98</v>
      </c>
      <c r="F31" s="137">
        <v>450</v>
      </c>
      <c r="G31" s="168">
        <v>7.0000000000000007E-2</v>
      </c>
      <c r="H31" s="165">
        <v>1.05</v>
      </c>
      <c r="I31" s="165">
        <v>1.1000000000000001</v>
      </c>
      <c r="J31" s="65" t="s">
        <v>646</v>
      </c>
      <c r="K31" s="168">
        <v>0.05</v>
      </c>
      <c r="L31" s="26" t="s">
        <v>1037</v>
      </c>
    </row>
    <row r="32" spans="2:12" ht="25.5" customHeight="1" x14ac:dyDescent="0.35">
      <c r="B32" s="20" t="s">
        <v>1038</v>
      </c>
      <c r="C32" s="58" t="s">
        <v>1039</v>
      </c>
      <c r="D32" s="27" t="s">
        <v>975</v>
      </c>
      <c r="E32" s="163">
        <v>0.72</v>
      </c>
      <c r="F32" s="135">
        <v>290</v>
      </c>
      <c r="G32" s="167">
        <v>3.5000000000000003E-2</v>
      </c>
      <c r="H32" s="163">
        <v>0.78</v>
      </c>
      <c r="I32" s="163">
        <v>0.85</v>
      </c>
      <c r="J32" s="58" t="s">
        <v>646</v>
      </c>
      <c r="K32" s="167">
        <v>2.75E-2</v>
      </c>
      <c r="L32" s="24" t="s">
        <v>1040</v>
      </c>
    </row>
    <row r="33" spans="2:12" ht="25.5" customHeight="1" x14ac:dyDescent="0.35">
      <c r="B33" s="121" t="s">
        <v>1041</v>
      </c>
      <c r="C33" s="65" t="s">
        <v>1042</v>
      </c>
      <c r="D33" s="116" t="s">
        <v>1000</v>
      </c>
      <c r="E33" s="165">
        <v>0.85</v>
      </c>
      <c r="F33" s="137">
        <v>360</v>
      </c>
      <c r="G33" s="168">
        <v>7.4999999999999997E-2</v>
      </c>
      <c r="H33" s="165">
        <v>0.85</v>
      </c>
      <c r="I33" s="165">
        <v>0.9</v>
      </c>
      <c r="J33" s="65" t="s">
        <v>646</v>
      </c>
      <c r="K33" s="168">
        <v>0.03</v>
      </c>
      <c r="L33" s="26" t="s">
        <v>1043</v>
      </c>
    </row>
    <row r="34" spans="2:12" ht="25.5" customHeight="1" x14ac:dyDescent="0.35">
      <c r="B34" s="20" t="s">
        <v>539</v>
      </c>
      <c r="C34" s="58" t="s">
        <v>1044</v>
      </c>
      <c r="D34" s="27" t="s">
        <v>971</v>
      </c>
      <c r="E34" s="163">
        <v>1.1499999999999999</v>
      </c>
      <c r="F34" s="135">
        <v>560</v>
      </c>
      <c r="G34" s="167">
        <v>3.5000000000000003E-2</v>
      </c>
      <c r="H34" s="163">
        <v>1.22</v>
      </c>
      <c r="I34" s="163">
        <v>1.1000000000000001</v>
      </c>
      <c r="J34" s="58" t="s">
        <v>646</v>
      </c>
      <c r="K34" s="167">
        <v>3.5000000000000003E-2</v>
      </c>
      <c r="L34" s="24" t="s">
        <v>1045</v>
      </c>
    </row>
    <row r="35" spans="2:12" ht="25.5" customHeight="1" x14ac:dyDescent="0.35">
      <c r="B35" s="121" t="s">
        <v>1046</v>
      </c>
      <c r="C35" s="65" t="s">
        <v>1047</v>
      </c>
      <c r="D35" s="116" t="s">
        <v>978</v>
      </c>
      <c r="E35" s="165">
        <v>0.75</v>
      </c>
      <c r="F35" s="137">
        <v>320</v>
      </c>
      <c r="G35" s="168">
        <v>0.03</v>
      </c>
      <c r="H35" s="165">
        <v>0.78</v>
      </c>
      <c r="I35" s="165">
        <v>0.9</v>
      </c>
      <c r="J35" s="65" t="s">
        <v>646</v>
      </c>
      <c r="K35" s="168">
        <v>0.03</v>
      </c>
      <c r="L35" s="26" t="s">
        <v>1048</v>
      </c>
    </row>
    <row r="36" spans="2:12" ht="25.5" customHeight="1" x14ac:dyDescent="0.35">
      <c r="B36" s="20" t="s">
        <v>1049</v>
      </c>
      <c r="C36" s="58" t="s">
        <v>1050</v>
      </c>
      <c r="D36" s="27" t="s">
        <v>978</v>
      </c>
      <c r="E36" s="163">
        <v>1.32</v>
      </c>
      <c r="F36" s="135">
        <v>780</v>
      </c>
      <c r="G36" s="167">
        <v>4.4999999999999998E-2</v>
      </c>
      <c r="H36" s="163">
        <v>1.28</v>
      </c>
      <c r="I36" s="163">
        <v>1.35</v>
      </c>
      <c r="J36" s="58" t="s">
        <v>648</v>
      </c>
      <c r="K36" s="167">
        <v>0.05</v>
      </c>
      <c r="L36" s="24" t="s">
        <v>1051</v>
      </c>
    </row>
    <row r="37" spans="2:12" ht="25.5" customHeight="1" x14ac:dyDescent="0.35">
      <c r="B37" s="121" t="s">
        <v>1052</v>
      </c>
      <c r="C37" s="65" t="s">
        <v>1053</v>
      </c>
      <c r="D37" s="116" t="s">
        <v>964</v>
      </c>
      <c r="E37" s="165">
        <v>0.95</v>
      </c>
      <c r="F37" s="137">
        <v>430</v>
      </c>
      <c r="G37" s="168">
        <v>4.4999999999999998E-2</v>
      </c>
      <c r="H37" s="165">
        <v>1.05</v>
      </c>
      <c r="I37" s="165">
        <v>1.05</v>
      </c>
      <c r="J37" s="65" t="s">
        <v>646</v>
      </c>
      <c r="K37" s="168">
        <v>3.3000000000000002E-2</v>
      </c>
      <c r="L37" s="26" t="s">
        <v>1054</v>
      </c>
    </row>
    <row r="38" spans="2:12" ht="25.5" customHeight="1" x14ac:dyDescent="0.35">
      <c r="B38" s="20" t="s">
        <v>1055</v>
      </c>
      <c r="C38" s="58" t="s">
        <v>1056</v>
      </c>
      <c r="D38" s="27" t="s">
        <v>978</v>
      </c>
      <c r="E38" s="163">
        <v>1.4</v>
      </c>
      <c r="F38" s="135">
        <v>900</v>
      </c>
      <c r="G38" s="167">
        <v>4.4999999999999998E-2</v>
      </c>
      <c r="H38" s="163">
        <v>1.3</v>
      </c>
      <c r="I38" s="163">
        <v>1.4</v>
      </c>
      <c r="J38" s="58" t="s">
        <v>648</v>
      </c>
      <c r="K38" s="167">
        <v>3.5999999999999997E-2</v>
      </c>
      <c r="L38" s="24" t="s">
        <v>1057</v>
      </c>
    </row>
    <row r="39" spans="2:12" ht="25.5" customHeight="1" x14ac:dyDescent="0.35">
      <c r="B39" s="121" t="s">
        <v>1058</v>
      </c>
      <c r="C39" s="65" t="s">
        <v>1059</v>
      </c>
      <c r="D39" s="116" t="s">
        <v>957</v>
      </c>
      <c r="E39" s="165">
        <v>1.05</v>
      </c>
      <c r="F39" s="137">
        <v>500</v>
      </c>
      <c r="G39" s="168">
        <v>7.0000000000000007E-2</v>
      </c>
      <c r="H39" s="165">
        <v>1</v>
      </c>
      <c r="I39" s="165">
        <v>1.1000000000000001</v>
      </c>
      <c r="J39" s="65" t="s">
        <v>646</v>
      </c>
      <c r="K39" s="168">
        <v>0.05</v>
      </c>
      <c r="L39" s="26" t="s">
        <v>1060</v>
      </c>
    </row>
    <row r="40" spans="2:12" ht="25.5" customHeight="1" x14ac:dyDescent="0.35">
      <c r="B40" s="20" t="s">
        <v>1061</v>
      </c>
      <c r="C40" s="58" t="s">
        <v>1062</v>
      </c>
      <c r="D40" s="27" t="s">
        <v>1000</v>
      </c>
      <c r="E40" s="163">
        <v>0.7</v>
      </c>
      <c r="F40" s="135">
        <v>280</v>
      </c>
      <c r="G40" s="167">
        <v>5.5E-2</v>
      </c>
      <c r="H40" s="163">
        <v>0.75</v>
      </c>
      <c r="I40" s="163">
        <v>0.85</v>
      </c>
      <c r="J40" s="58" t="s">
        <v>648</v>
      </c>
      <c r="K40" s="167">
        <v>1.7500000000000002E-2</v>
      </c>
      <c r="L40" s="24" t="s">
        <v>1063</v>
      </c>
    </row>
    <row r="41" spans="2:12" ht="25.5" customHeight="1" x14ac:dyDescent="0.35">
      <c r="B41" s="121" t="s">
        <v>1064</v>
      </c>
      <c r="C41" s="65" t="s">
        <v>1065</v>
      </c>
      <c r="D41" s="116" t="s">
        <v>1000</v>
      </c>
      <c r="E41" s="165">
        <v>0.98</v>
      </c>
      <c r="F41" s="137">
        <v>450</v>
      </c>
      <c r="G41" s="168">
        <v>4.4999999999999998E-2</v>
      </c>
      <c r="H41" s="165">
        <v>1.05</v>
      </c>
      <c r="I41" s="165">
        <v>1.05</v>
      </c>
      <c r="J41" s="65" t="s">
        <v>646</v>
      </c>
      <c r="K41" s="168">
        <v>0.05</v>
      </c>
      <c r="L41" s="26" t="s">
        <v>1066</v>
      </c>
    </row>
    <row r="42" spans="2:12" ht="25.5" customHeight="1" x14ac:dyDescent="0.35">
      <c r="B42" s="20" t="s">
        <v>1067</v>
      </c>
      <c r="C42" s="58" t="s">
        <v>1068</v>
      </c>
      <c r="D42" s="27" t="s">
        <v>968</v>
      </c>
      <c r="E42" s="163">
        <v>1</v>
      </c>
      <c r="F42" s="135">
        <v>460</v>
      </c>
      <c r="G42" s="167">
        <v>0.08</v>
      </c>
      <c r="H42" s="163">
        <v>1.05</v>
      </c>
      <c r="I42" s="163">
        <v>1.05</v>
      </c>
      <c r="J42" s="58" t="s">
        <v>646</v>
      </c>
      <c r="K42" s="167">
        <v>0.06</v>
      </c>
      <c r="L42" s="24" t="s">
        <v>1069</v>
      </c>
    </row>
    <row r="43" spans="2:12" ht="25.5" customHeight="1" x14ac:dyDescent="0.35">
      <c r="B43" s="121" t="s">
        <v>1070</v>
      </c>
      <c r="C43" s="65" t="s">
        <v>1071</v>
      </c>
      <c r="D43" s="116" t="s">
        <v>1072</v>
      </c>
      <c r="E43" s="165">
        <v>0.95</v>
      </c>
      <c r="F43" s="137">
        <v>430</v>
      </c>
      <c r="G43" s="168">
        <v>3.5000000000000003E-2</v>
      </c>
      <c r="H43" s="165">
        <v>1.1000000000000001</v>
      </c>
      <c r="I43" s="165">
        <v>1.05</v>
      </c>
      <c r="J43" s="65" t="s">
        <v>648</v>
      </c>
      <c r="K43" s="168">
        <v>0.02</v>
      </c>
      <c r="L43" s="26" t="s">
        <v>1073</v>
      </c>
    </row>
    <row r="44" spans="2:12" ht="25.5" customHeight="1" x14ac:dyDescent="0.35">
      <c r="B44" s="20" t="s">
        <v>1074</v>
      </c>
      <c r="C44" s="58" t="s">
        <v>1075</v>
      </c>
      <c r="D44" s="27" t="s">
        <v>982</v>
      </c>
      <c r="E44" s="163">
        <v>1.08</v>
      </c>
      <c r="F44" s="135">
        <v>540</v>
      </c>
      <c r="G44" s="167">
        <v>3.5000000000000003E-2</v>
      </c>
      <c r="H44" s="163">
        <v>1.1000000000000001</v>
      </c>
      <c r="I44" s="163">
        <v>1.2</v>
      </c>
      <c r="J44" s="58" t="s">
        <v>648</v>
      </c>
      <c r="K44" s="167">
        <v>0.03</v>
      </c>
      <c r="L44" s="24" t="s">
        <v>1076</v>
      </c>
    </row>
    <row r="45" spans="2:12" ht="25.5" customHeight="1" x14ac:dyDescent="0.35">
      <c r="B45" s="121" t="s">
        <v>562</v>
      </c>
      <c r="C45" s="65" t="s">
        <v>1077</v>
      </c>
      <c r="D45" s="116" t="s">
        <v>978</v>
      </c>
      <c r="E45" s="165">
        <v>1.1499999999999999</v>
      </c>
      <c r="F45" s="137">
        <v>600</v>
      </c>
      <c r="G45" s="168">
        <v>4.4999999999999998E-2</v>
      </c>
      <c r="H45" s="165">
        <v>1.05</v>
      </c>
      <c r="I45" s="165">
        <v>1.2</v>
      </c>
      <c r="J45" s="65" t="s">
        <v>646</v>
      </c>
      <c r="K45" s="168">
        <v>0.04</v>
      </c>
      <c r="L45" s="26" t="s">
        <v>1078</v>
      </c>
    </row>
    <row r="46" spans="2:12" ht="25.5" customHeight="1" x14ac:dyDescent="0.35">
      <c r="B46" s="20" t="s">
        <v>1079</v>
      </c>
      <c r="C46" s="58" t="s">
        <v>1080</v>
      </c>
      <c r="D46" s="27" t="s">
        <v>957</v>
      </c>
      <c r="E46" s="163">
        <v>1.08</v>
      </c>
      <c r="F46" s="135">
        <v>520</v>
      </c>
      <c r="G46" s="167">
        <v>7.4999999999999997E-2</v>
      </c>
      <c r="H46" s="163">
        <v>1</v>
      </c>
      <c r="I46" s="163">
        <v>1.1499999999999999</v>
      </c>
      <c r="J46" s="58" t="s">
        <v>646</v>
      </c>
      <c r="K46" s="167">
        <v>0.06</v>
      </c>
      <c r="L46" s="24" t="s">
        <v>1081</v>
      </c>
    </row>
    <row r="47" spans="2:12" ht="25.5" customHeight="1" x14ac:dyDescent="0.35">
      <c r="B47" s="121" t="s">
        <v>1082</v>
      </c>
      <c r="C47" s="65" t="s">
        <v>1083</v>
      </c>
      <c r="D47" s="116" t="s">
        <v>1000</v>
      </c>
      <c r="E47" s="165">
        <v>0.72</v>
      </c>
      <c r="F47" s="137">
        <v>285</v>
      </c>
      <c r="G47" s="168">
        <v>0.06</v>
      </c>
      <c r="H47" s="165">
        <v>0.75</v>
      </c>
      <c r="I47" s="165">
        <v>0.85</v>
      </c>
      <c r="J47" s="65" t="s">
        <v>646</v>
      </c>
      <c r="K47" s="168">
        <v>2.5000000000000001E-2</v>
      </c>
      <c r="L47" s="26" t="s">
        <v>1084</v>
      </c>
    </row>
    <row r="48" spans="2:12" ht="25.5" customHeight="1" x14ac:dyDescent="0.35">
      <c r="B48" s="20" t="s">
        <v>1085</v>
      </c>
      <c r="C48" s="58" t="s">
        <v>1086</v>
      </c>
      <c r="D48" s="27" t="s">
        <v>968</v>
      </c>
      <c r="E48" s="163">
        <v>0.98</v>
      </c>
      <c r="F48" s="135">
        <v>450</v>
      </c>
      <c r="G48" s="167">
        <v>5.5E-2</v>
      </c>
      <c r="H48" s="163">
        <v>1.05</v>
      </c>
      <c r="I48" s="163">
        <v>1.05</v>
      </c>
      <c r="J48" s="58" t="s">
        <v>646</v>
      </c>
      <c r="K48" s="167">
        <v>0.05</v>
      </c>
      <c r="L48" s="24" t="s">
        <v>1087</v>
      </c>
    </row>
    <row r="49" spans="2:12" ht="25.5" customHeight="1" x14ac:dyDescent="0.35">
      <c r="B49" s="121" t="s">
        <v>696</v>
      </c>
      <c r="C49" s="65" t="s">
        <v>1088</v>
      </c>
      <c r="D49" s="116" t="s">
        <v>968</v>
      </c>
      <c r="E49" s="165">
        <v>1.25</v>
      </c>
      <c r="F49" s="137">
        <v>700</v>
      </c>
      <c r="G49" s="168">
        <v>0.1</v>
      </c>
      <c r="H49" s="165">
        <v>1.3</v>
      </c>
      <c r="I49" s="165">
        <v>1.25</v>
      </c>
      <c r="J49" s="65" t="s">
        <v>646</v>
      </c>
      <c r="K49" s="168">
        <v>4.8500000000000001E-2</v>
      </c>
      <c r="L49" s="26" t="s">
        <v>1089</v>
      </c>
    </row>
    <row r="50" spans="2:12" ht="25.5" customHeight="1" x14ac:dyDescent="0.35">
      <c r="B50" s="20" t="s">
        <v>1090</v>
      </c>
      <c r="C50" s="58" t="s">
        <v>1091</v>
      </c>
      <c r="D50" s="27" t="s">
        <v>975</v>
      </c>
      <c r="E50" s="163">
        <v>0.85</v>
      </c>
      <c r="F50" s="135">
        <v>360</v>
      </c>
      <c r="G50" s="167">
        <v>3.5000000000000003E-2</v>
      </c>
      <c r="H50" s="163">
        <v>0.92</v>
      </c>
      <c r="I50" s="163">
        <v>0.9</v>
      </c>
      <c r="J50" s="58" t="s">
        <v>646</v>
      </c>
      <c r="K50" s="167">
        <v>4.2500000000000003E-2</v>
      </c>
      <c r="L50" s="24" t="s">
        <v>1092</v>
      </c>
    </row>
    <row r="51" spans="2:12" ht="25.5" customHeight="1" x14ac:dyDescent="0.35">
      <c r="B51" s="121" t="s">
        <v>1093</v>
      </c>
      <c r="C51" s="65" t="s">
        <v>1094</v>
      </c>
      <c r="D51" s="116" t="s">
        <v>978</v>
      </c>
      <c r="E51" s="165">
        <v>0.68</v>
      </c>
      <c r="F51" s="137">
        <v>275</v>
      </c>
      <c r="G51" s="168">
        <v>2.8000000000000001E-2</v>
      </c>
      <c r="H51" s="165">
        <v>0.72</v>
      </c>
      <c r="I51" s="165">
        <v>0.9</v>
      </c>
      <c r="J51" s="65" t="s">
        <v>646</v>
      </c>
      <c r="K51" s="168">
        <v>0.03</v>
      </c>
      <c r="L51" s="26" t="s">
        <v>1095</v>
      </c>
    </row>
    <row r="52" spans="2:12" ht="25.5" customHeight="1" x14ac:dyDescent="0.35">
      <c r="B52" s="20" t="s">
        <v>1096</v>
      </c>
      <c r="C52" s="58" t="s">
        <v>1097</v>
      </c>
      <c r="D52" s="27" t="s">
        <v>982</v>
      </c>
      <c r="E52" s="163">
        <v>1.02</v>
      </c>
      <c r="F52" s="135">
        <v>490</v>
      </c>
      <c r="G52" s="167">
        <v>4.4999999999999998E-2</v>
      </c>
      <c r="H52" s="163">
        <v>1.02</v>
      </c>
      <c r="I52" s="163">
        <v>1.05</v>
      </c>
      <c r="J52" s="58" t="s">
        <v>646</v>
      </c>
      <c r="K52" s="167">
        <v>2.2499999999999999E-2</v>
      </c>
      <c r="L52" s="24" t="s">
        <v>1098</v>
      </c>
    </row>
    <row r="53" spans="2:12" ht="25.5" customHeight="1" x14ac:dyDescent="0.35">
      <c r="B53" s="121" t="s">
        <v>1099</v>
      </c>
      <c r="C53" s="65" t="s">
        <v>1100</v>
      </c>
      <c r="D53" s="116" t="s">
        <v>1072</v>
      </c>
      <c r="E53" s="165">
        <v>1</v>
      </c>
      <c r="F53" s="137">
        <v>470</v>
      </c>
      <c r="G53" s="168">
        <v>3.5000000000000003E-2</v>
      </c>
      <c r="H53" s="165">
        <v>1.1499999999999999</v>
      </c>
      <c r="I53" s="165">
        <v>1.1000000000000001</v>
      </c>
      <c r="J53" s="65" t="s">
        <v>648</v>
      </c>
      <c r="K53" s="168">
        <v>0.02</v>
      </c>
      <c r="L53" s="26" t="s">
        <v>1101</v>
      </c>
    </row>
    <row r="54" spans="2:12" ht="25.5" customHeight="1" x14ac:dyDescent="0.35">
      <c r="B54" s="20" t="s">
        <v>1102</v>
      </c>
      <c r="C54" s="58" t="s">
        <v>1103</v>
      </c>
      <c r="D54" s="27" t="s">
        <v>982</v>
      </c>
      <c r="E54" s="163">
        <v>0.85</v>
      </c>
      <c r="F54" s="135">
        <v>370</v>
      </c>
      <c r="G54" s="167">
        <v>0.04</v>
      </c>
      <c r="H54" s="163">
        <v>0.85</v>
      </c>
      <c r="I54" s="163">
        <v>1.05</v>
      </c>
      <c r="J54" s="58" t="s">
        <v>646</v>
      </c>
      <c r="K54" s="167">
        <v>4.5499999999999999E-2</v>
      </c>
      <c r="L54" s="24" t="s">
        <v>1104</v>
      </c>
    </row>
    <row r="55" spans="2:12" ht="25.5" customHeight="1" x14ac:dyDescent="0.35">
      <c r="B55" s="121" t="s">
        <v>1105</v>
      </c>
      <c r="C55" s="65" t="s">
        <v>1106</v>
      </c>
      <c r="D55" s="116" t="s">
        <v>1000</v>
      </c>
      <c r="E55" s="165">
        <v>0.88</v>
      </c>
      <c r="F55" s="137">
        <v>380</v>
      </c>
      <c r="G55" s="168">
        <v>4.4999999999999998E-2</v>
      </c>
      <c r="H55" s="165">
        <v>0.92</v>
      </c>
      <c r="I55" s="165">
        <v>0.95</v>
      </c>
      <c r="J55" s="65" t="s">
        <v>646</v>
      </c>
      <c r="K55" s="168">
        <v>0.03</v>
      </c>
      <c r="L55" s="26" t="s">
        <v>1107</v>
      </c>
    </row>
    <row r="56" spans="2:12" ht="25.5" customHeight="1" x14ac:dyDescent="0.35">
      <c r="B56" s="20" t="s">
        <v>1108</v>
      </c>
      <c r="C56" s="58" t="s">
        <v>1109</v>
      </c>
      <c r="D56" s="27" t="s">
        <v>975</v>
      </c>
      <c r="E56" s="163">
        <v>0.68</v>
      </c>
      <c r="F56" s="135">
        <v>270</v>
      </c>
      <c r="G56" s="167">
        <v>4.4999999999999998E-2</v>
      </c>
      <c r="H56" s="163">
        <v>0.72</v>
      </c>
      <c r="I56" s="163">
        <v>0.85</v>
      </c>
      <c r="J56" s="58" t="s">
        <v>646</v>
      </c>
      <c r="K56" s="167">
        <v>0.03</v>
      </c>
      <c r="L56" s="24" t="s">
        <v>1110</v>
      </c>
    </row>
    <row r="59" spans="2:12" ht="18" customHeight="1" x14ac:dyDescent="0.35">
      <c r="B59" s="12" t="s">
        <v>1111</v>
      </c>
      <c r="C59" s="12"/>
      <c r="D59" s="12"/>
      <c r="E59" s="12"/>
      <c r="F59" s="12"/>
      <c r="G59" s="12"/>
      <c r="H59" s="12"/>
      <c r="I59" s="12"/>
      <c r="J59" s="12"/>
      <c r="K59" s="12"/>
      <c r="L59" s="12"/>
    </row>
    <row r="60" spans="2:12" ht="30" customHeight="1" x14ac:dyDescent="0.35">
      <c r="B60" s="22" t="s">
        <v>946</v>
      </c>
      <c r="C60" s="22" t="s">
        <v>1112</v>
      </c>
      <c r="D60" s="22" t="s">
        <v>1113</v>
      </c>
      <c r="E60" s="22" t="s">
        <v>1114</v>
      </c>
    </row>
    <row r="61" spans="2:12" ht="55.5" customHeight="1" x14ac:dyDescent="0.35">
      <c r="B61" s="169" t="s">
        <v>1115</v>
      </c>
      <c r="C61" s="227" t="s">
        <v>1116</v>
      </c>
      <c r="D61" s="227"/>
      <c r="E61" s="227" t="s">
        <v>1117</v>
      </c>
      <c r="F61" s="227"/>
      <c r="G61" s="227"/>
      <c r="H61" s="227"/>
      <c r="I61" s="227" t="s">
        <v>1118</v>
      </c>
      <c r="J61" s="227"/>
      <c r="K61" s="227"/>
      <c r="L61" s="227"/>
    </row>
    <row r="62" spans="2:12" ht="55.5" customHeight="1" x14ac:dyDescent="0.35">
      <c r="B62" s="170" t="s">
        <v>1119</v>
      </c>
      <c r="C62" s="228" t="s">
        <v>1120</v>
      </c>
      <c r="D62" s="228"/>
      <c r="E62" s="228" t="s">
        <v>1121</v>
      </c>
      <c r="F62" s="228"/>
      <c r="G62" s="228"/>
      <c r="H62" s="228"/>
      <c r="I62" s="228" t="s">
        <v>1122</v>
      </c>
      <c r="J62" s="228"/>
      <c r="K62" s="228"/>
      <c r="L62" s="228"/>
    </row>
    <row r="63" spans="2:12" ht="55.5" customHeight="1" x14ac:dyDescent="0.35">
      <c r="B63" s="169" t="s">
        <v>1123</v>
      </c>
      <c r="C63" s="227" t="s">
        <v>1124</v>
      </c>
      <c r="D63" s="227"/>
      <c r="E63" s="227" t="s">
        <v>1125</v>
      </c>
      <c r="F63" s="227"/>
      <c r="G63" s="227"/>
      <c r="H63" s="227"/>
      <c r="I63" s="227" t="s">
        <v>1126</v>
      </c>
      <c r="J63" s="227"/>
      <c r="K63" s="227"/>
      <c r="L63" s="227"/>
    </row>
    <row r="64" spans="2:12" ht="55.5" customHeight="1" x14ac:dyDescent="0.35">
      <c r="B64" s="170" t="s">
        <v>1127</v>
      </c>
      <c r="C64" s="228" t="s">
        <v>1128</v>
      </c>
      <c r="D64" s="228"/>
      <c r="E64" s="228" t="s">
        <v>1129</v>
      </c>
      <c r="F64" s="228"/>
      <c r="G64" s="228"/>
      <c r="H64" s="228"/>
      <c r="I64" s="228" t="s">
        <v>1130</v>
      </c>
      <c r="J64" s="228"/>
      <c r="K64" s="228"/>
      <c r="L64" s="228"/>
    </row>
    <row r="65" spans="2:12" ht="55.5" customHeight="1" x14ac:dyDescent="0.35">
      <c r="B65" s="169" t="s">
        <v>1131</v>
      </c>
      <c r="C65" s="227" t="s">
        <v>1132</v>
      </c>
      <c r="D65" s="227"/>
      <c r="E65" s="227" t="s">
        <v>1133</v>
      </c>
      <c r="F65" s="227"/>
      <c r="G65" s="227"/>
      <c r="H65" s="227"/>
      <c r="I65" s="227" t="s">
        <v>1134</v>
      </c>
      <c r="J65" s="227"/>
      <c r="K65" s="227"/>
      <c r="L65" s="227"/>
    </row>
    <row r="66" spans="2:12" ht="55.5" customHeight="1" x14ac:dyDescent="0.35">
      <c r="B66" s="170" t="s">
        <v>1135</v>
      </c>
      <c r="C66" s="228" t="s">
        <v>1136</v>
      </c>
      <c r="D66" s="228"/>
      <c r="E66" s="228" t="s">
        <v>1137</v>
      </c>
      <c r="F66" s="228"/>
      <c r="G66" s="228"/>
      <c r="H66" s="228"/>
      <c r="I66" s="228" t="s">
        <v>1138</v>
      </c>
      <c r="J66" s="228"/>
      <c r="K66" s="228"/>
      <c r="L66" s="228"/>
    </row>
    <row r="67" spans="2:12" ht="55.5" customHeight="1" x14ac:dyDescent="0.35">
      <c r="B67" s="169" t="s">
        <v>1139</v>
      </c>
      <c r="C67" s="227" t="s">
        <v>1140</v>
      </c>
      <c r="D67" s="227"/>
      <c r="E67" s="227" t="s">
        <v>1141</v>
      </c>
      <c r="F67" s="227"/>
      <c r="G67" s="227"/>
      <c r="H67" s="227"/>
      <c r="I67" s="227" t="s">
        <v>1142</v>
      </c>
      <c r="J67" s="227"/>
      <c r="K67" s="227"/>
      <c r="L67" s="227"/>
    </row>
    <row r="68" spans="2:12" ht="55.5" customHeight="1" x14ac:dyDescent="0.35">
      <c r="B68" s="170" t="s">
        <v>1143</v>
      </c>
      <c r="C68" s="228" t="s">
        <v>1144</v>
      </c>
      <c r="D68" s="228"/>
      <c r="E68" s="228" t="s">
        <v>1145</v>
      </c>
      <c r="F68" s="228"/>
      <c r="G68" s="228"/>
      <c r="H68" s="228"/>
      <c r="I68" s="228" t="s">
        <v>1146</v>
      </c>
      <c r="J68" s="228"/>
      <c r="K68" s="228"/>
      <c r="L68" s="228"/>
    </row>
    <row r="69" spans="2:12" ht="55.5" customHeight="1" x14ac:dyDescent="0.35">
      <c r="B69" s="169" t="s">
        <v>1147</v>
      </c>
      <c r="C69" s="227" t="s">
        <v>1148</v>
      </c>
      <c r="D69" s="227"/>
      <c r="E69" s="227" t="s">
        <v>1149</v>
      </c>
      <c r="F69" s="227"/>
      <c r="G69" s="227"/>
      <c r="H69" s="227"/>
      <c r="I69" s="227" t="s">
        <v>1150</v>
      </c>
      <c r="J69" s="227"/>
      <c r="K69" s="227"/>
      <c r="L69" s="227"/>
    </row>
    <row r="70" spans="2:12" ht="55.5" customHeight="1" x14ac:dyDescent="0.35">
      <c r="B70" s="170" t="s">
        <v>1151</v>
      </c>
      <c r="C70" s="228" t="s">
        <v>1152</v>
      </c>
      <c r="D70" s="228"/>
      <c r="E70" s="228" t="s">
        <v>1153</v>
      </c>
      <c r="F70" s="228"/>
      <c r="G70" s="228"/>
      <c r="H70" s="228"/>
      <c r="I70" s="228" t="s">
        <v>1154</v>
      </c>
      <c r="J70" s="228"/>
      <c r="K70" s="228"/>
      <c r="L70" s="228"/>
    </row>
    <row r="72" spans="2:12" x14ac:dyDescent="0.35">
      <c r="B72" s="15" t="s">
        <v>713</v>
      </c>
    </row>
    <row r="73" spans="2:12" ht="15" customHeight="1" x14ac:dyDescent="0.35">
      <c r="B73" s="7" t="s">
        <v>1155</v>
      </c>
      <c r="C73" s="7"/>
      <c r="D73" s="7"/>
      <c r="E73" s="7"/>
      <c r="F73" s="7"/>
      <c r="G73" s="7"/>
      <c r="H73" s="7"/>
      <c r="I73" s="7"/>
      <c r="J73" s="7"/>
      <c r="K73" s="7"/>
      <c r="L73" s="7"/>
    </row>
    <row r="74" spans="2:12" x14ac:dyDescent="0.35">
      <c r="B74" s="7"/>
      <c r="C74" s="7"/>
      <c r="D74" s="7"/>
      <c r="E74" s="7"/>
      <c r="F74" s="7"/>
      <c r="G74" s="7"/>
      <c r="H74" s="7"/>
      <c r="I74" s="7"/>
      <c r="J74" s="7"/>
      <c r="K74" s="7"/>
      <c r="L74" s="7"/>
    </row>
    <row r="75" spans="2:12" x14ac:dyDescent="0.35">
      <c r="B75" s="7"/>
      <c r="C75" s="7"/>
      <c r="D75" s="7"/>
      <c r="E75" s="7"/>
      <c r="F75" s="7"/>
      <c r="G75" s="7"/>
      <c r="H75" s="7"/>
      <c r="I75" s="7"/>
      <c r="J75" s="7"/>
      <c r="K75" s="7"/>
      <c r="L75" s="7"/>
    </row>
    <row r="76" spans="2:12" x14ac:dyDescent="0.35">
      <c r="B76" s="7"/>
      <c r="C76" s="7"/>
      <c r="D76" s="7"/>
      <c r="E76" s="7"/>
      <c r="F76" s="7"/>
      <c r="G76" s="7"/>
      <c r="H76" s="7"/>
      <c r="I76" s="7"/>
      <c r="J76" s="7"/>
      <c r="K76" s="7"/>
      <c r="L76" s="7"/>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328125" defaultRowHeight="14.5" x14ac:dyDescent="0.3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35">
      <c r="B1" s="14" t="s">
        <v>1156</v>
      </c>
      <c r="C1" s="14"/>
      <c r="D1" s="14"/>
      <c r="E1" s="14"/>
      <c r="F1" s="14"/>
      <c r="G1" s="14"/>
      <c r="H1" s="14"/>
    </row>
    <row r="2" spans="2:8" ht="15" customHeight="1" x14ac:dyDescent="0.35">
      <c r="B2" s="13" t="s">
        <v>1157</v>
      </c>
      <c r="C2" s="13"/>
      <c r="D2" s="13"/>
      <c r="E2" s="13"/>
      <c r="F2" s="13"/>
      <c r="G2" s="13"/>
      <c r="H2" s="13"/>
    </row>
    <row r="4" spans="2:8" x14ac:dyDescent="0.35">
      <c r="B4" s="171" t="s">
        <v>1158</v>
      </c>
      <c r="D4" s="172">
        <v>0.5</v>
      </c>
      <c r="E4" s="172">
        <v>0.3</v>
      </c>
      <c r="F4" s="172">
        <v>0.2</v>
      </c>
      <c r="G4" s="173">
        <f>SUM(D4:F4)</f>
        <v>1</v>
      </c>
      <c r="H4" s="129" t="s">
        <v>1159</v>
      </c>
    </row>
    <row r="5" spans="2:8" ht="30" customHeight="1" x14ac:dyDescent="0.35">
      <c r="B5" s="22" t="s">
        <v>1160</v>
      </c>
      <c r="C5" s="22" t="s">
        <v>606</v>
      </c>
      <c r="D5" s="22" t="s">
        <v>1161</v>
      </c>
      <c r="E5" s="22" t="s">
        <v>950</v>
      </c>
      <c r="F5" s="22" t="s">
        <v>1162</v>
      </c>
      <c r="G5" s="22" t="s">
        <v>1163</v>
      </c>
      <c r="H5" s="22" t="s">
        <v>497</v>
      </c>
    </row>
    <row r="6" spans="2:8" x14ac:dyDescent="0.35">
      <c r="B6" s="20" t="s">
        <v>1164</v>
      </c>
      <c r="C6" s="58" t="s">
        <v>1056</v>
      </c>
      <c r="D6" s="163">
        <v>1.4</v>
      </c>
      <c r="E6" s="163">
        <v>1.3</v>
      </c>
      <c r="F6" s="163">
        <v>1.2</v>
      </c>
      <c r="G6" s="164">
        <f t="shared" ref="G6:G37" si="0">ROUND($D$4*D6+$E$4*E6+$F$4*F6,3)</f>
        <v>1.33</v>
      </c>
      <c r="H6" s="27" t="s">
        <v>1165</v>
      </c>
    </row>
    <row r="7" spans="2:8" x14ac:dyDescent="0.35">
      <c r="B7" s="121" t="s">
        <v>1166</v>
      </c>
      <c r="C7" s="65" t="s">
        <v>1056</v>
      </c>
      <c r="D7" s="165">
        <v>1.1499999999999999</v>
      </c>
      <c r="E7" s="165">
        <v>1.05</v>
      </c>
      <c r="F7" s="165">
        <v>1.05</v>
      </c>
      <c r="G7" s="166">
        <f t="shared" si="0"/>
        <v>1.1000000000000001</v>
      </c>
      <c r="H7" s="116" t="s">
        <v>1167</v>
      </c>
    </row>
    <row r="8" spans="2:8" x14ac:dyDescent="0.35">
      <c r="B8" s="20" t="s">
        <v>577</v>
      </c>
      <c r="C8" s="58" t="s">
        <v>970</v>
      </c>
      <c r="D8" s="163">
        <v>1.35</v>
      </c>
      <c r="E8" s="163">
        <v>1.45</v>
      </c>
      <c r="F8" s="163">
        <v>1.2</v>
      </c>
      <c r="G8" s="164">
        <f t="shared" si="0"/>
        <v>1.35</v>
      </c>
      <c r="H8" s="27" t="s">
        <v>1168</v>
      </c>
    </row>
    <row r="9" spans="2:8" x14ac:dyDescent="0.35">
      <c r="B9" s="121" t="s">
        <v>1169</v>
      </c>
      <c r="C9" s="65" t="s">
        <v>970</v>
      </c>
      <c r="D9" s="165">
        <v>1.2</v>
      </c>
      <c r="E9" s="165">
        <v>1.35</v>
      </c>
      <c r="F9" s="165">
        <v>1.1499999999999999</v>
      </c>
      <c r="G9" s="166">
        <f t="shared" si="0"/>
        <v>1.2350000000000001</v>
      </c>
      <c r="H9" s="116" t="s">
        <v>1170</v>
      </c>
    </row>
    <row r="10" spans="2:8" x14ac:dyDescent="0.35">
      <c r="B10" s="20" t="s">
        <v>1171</v>
      </c>
      <c r="C10" s="58" t="s">
        <v>970</v>
      </c>
      <c r="D10" s="163">
        <v>1.25</v>
      </c>
      <c r="E10" s="163">
        <v>1.4</v>
      </c>
      <c r="F10" s="163">
        <v>1.3</v>
      </c>
      <c r="G10" s="164">
        <f t="shared" si="0"/>
        <v>1.3049999999999999</v>
      </c>
      <c r="H10" s="27" t="s">
        <v>1172</v>
      </c>
    </row>
    <row r="11" spans="2:8" x14ac:dyDescent="0.35">
      <c r="B11" s="121" t="s">
        <v>1173</v>
      </c>
      <c r="C11" s="65" t="s">
        <v>970</v>
      </c>
      <c r="D11" s="165">
        <v>1.1000000000000001</v>
      </c>
      <c r="E11" s="165">
        <v>1.1499999999999999</v>
      </c>
      <c r="F11" s="165">
        <v>1.05</v>
      </c>
      <c r="G11" s="166">
        <f t="shared" si="0"/>
        <v>1.105</v>
      </c>
      <c r="H11" s="116" t="s">
        <v>1174</v>
      </c>
    </row>
    <row r="12" spans="2:8" x14ac:dyDescent="0.35">
      <c r="B12" s="20" t="s">
        <v>1175</v>
      </c>
      <c r="C12" s="58" t="s">
        <v>970</v>
      </c>
      <c r="D12" s="163">
        <v>1.1000000000000001</v>
      </c>
      <c r="E12" s="163">
        <v>1.1499999999999999</v>
      </c>
      <c r="F12" s="163">
        <v>1</v>
      </c>
      <c r="G12" s="164">
        <f t="shared" si="0"/>
        <v>1.095</v>
      </c>
      <c r="H12" s="27" t="s">
        <v>1176</v>
      </c>
    </row>
    <row r="13" spans="2:8" x14ac:dyDescent="0.35">
      <c r="B13" s="121" t="s">
        <v>1177</v>
      </c>
      <c r="C13" s="65" t="s">
        <v>970</v>
      </c>
      <c r="D13" s="165">
        <v>1.1000000000000001</v>
      </c>
      <c r="E13" s="165">
        <v>1.2</v>
      </c>
      <c r="F13" s="165">
        <v>1.05</v>
      </c>
      <c r="G13" s="166">
        <f t="shared" si="0"/>
        <v>1.1200000000000001</v>
      </c>
      <c r="H13" s="116"/>
    </row>
    <row r="14" spans="2:8" x14ac:dyDescent="0.35">
      <c r="B14" s="20" t="s">
        <v>217</v>
      </c>
      <c r="C14" s="58" t="s">
        <v>987</v>
      </c>
      <c r="D14" s="163">
        <v>1.4</v>
      </c>
      <c r="E14" s="163">
        <v>1.45</v>
      </c>
      <c r="F14" s="163">
        <v>1.3</v>
      </c>
      <c r="G14" s="164">
        <f t="shared" si="0"/>
        <v>1.395</v>
      </c>
      <c r="H14" s="27" t="s">
        <v>1178</v>
      </c>
    </row>
    <row r="15" spans="2:8" x14ac:dyDescent="0.35">
      <c r="B15" s="121" t="s">
        <v>1179</v>
      </c>
      <c r="C15" s="65" t="s">
        <v>987</v>
      </c>
      <c r="D15" s="165">
        <v>1.2</v>
      </c>
      <c r="E15" s="165">
        <v>1.2</v>
      </c>
      <c r="F15" s="165">
        <v>1.2</v>
      </c>
      <c r="G15" s="166">
        <f t="shared" si="0"/>
        <v>1.2</v>
      </c>
      <c r="H15" s="116" t="s">
        <v>1180</v>
      </c>
    </row>
    <row r="16" spans="2:8" x14ac:dyDescent="0.35">
      <c r="B16" s="20" t="s">
        <v>1181</v>
      </c>
      <c r="C16" s="58" t="s">
        <v>987</v>
      </c>
      <c r="D16" s="163">
        <v>1.25</v>
      </c>
      <c r="E16" s="163">
        <v>1.1499999999999999</v>
      </c>
      <c r="F16" s="163">
        <v>1.2</v>
      </c>
      <c r="G16" s="164">
        <f t="shared" si="0"/>
        <v>1.21</v>
      </c>
      <c r="H16" s="27" t="s">
        <v>1182</v>
      </c>
    </row>
    <row r="17" spans="2:8" x14ac:dyDescent="0.35">
      <c r="B17" s="121" t="s">
        <v>1183</v>
      </c>
      <c r="C17" s="65" t="s">
        <v>987</v>
      </c>
      <c r="D17" s="165">
        <v>1.2</v>
      </c>
      <c r="E17" s="165">
        <v>1.1499999999999999</v>
      </c>
      <c r="F17" s="165">
        <v>1.1000000000000001</v>
      </c>
      <c r="G17" s="166">
        <f t="shared" si="0"/>
        <v>1.165</v>
      </c>
      <c r="H17" s="116" t="s">
        <v>1184</v>
      </c>
    </row>
    <row r="18" spans="2:8" x14ac:dyDescent="0.35">
      <c r="B18" s="20" t="s">
        <v>1185</v>
      </c>
      <c r="C18" s="58" t="s">
        <v>987</v>
      </c>
      <c r="D18" s="163">
        <v>1.1000000000000001</v>
      </c>
      <c r="E18" s="163">
        <v>1.1000000000000001</v>
      </c>
      <c r="F18" s="163">
        <v>1.05</v>
      </c>
      <c r="G18" s="164">
        <f t="shared" si="0"/>
        <v>1.0900000000000001</v>
      </c>
      <c r="H18" s="27"/>
    </row>
    <row r="19" spans="2:8" x14ac:dyDescent="0.35">
      <c r="B19" s="121" t="s">
        <v>1186</v>
      </c>
      <c r="C19" s="65" t="s">
        <v>987</v>
      </c>
      <c r="D19" s="165">
        <v>1.05</v>
      </c>
      <c r="E19" s="165">
        <v>1</v>
      </c>
      <c r="F19" s="165">
        <v>1.1499999999999999</v>
      </c>
      <c r="G19" s="166">
        <f t="shared" si="0"/>
        <v>1.0549999999999999</v>
      </c>
      <c r="H19" s="116" t="s">
        <v>1187</v>
      </c>
    </row>
    <row r="20" spans="2:8" x14ac:dyDescent="0.35">
      <c r="B20" s="20" t="s">
        <v>1188</v>
      </c>
      <c r="C20" s="58" t="s">
        <v>999</v>
      </c>
      <c r="D20" s="163">
        <v>1.3</v>
      </c>
      <c r="E20" s="163">
        <v>1.45</v>
      </c>
      <c r="F20" s="163">
        <v>1.1499999999999999</v>
      </c>
      <c r="G20" s="164">
        <f t="shared" si="0"/>
        <v>1.3149999999999999</v>
      </c>
      <c r="H20" s="27" t="s">
        <v>1189</v>
      </c>
    </row>
    <row r="21" spans="2:8" x14ac:dyDescent="0.35">
      <c r="B21" s="121" t="s">
        <v>1190</v>
      </c>
      <c r="C21" s="65" t="s">
        <v>1088</v>
      </c>
      <c r="D21" s="165">
        <v>1.3</v>
      </c>
      <c r="E21" s="165">
        <v>1.35</v>
      </c>
      <c r="F21" s="165">
        <v>1.25</v>
      </c>
      <c r="G21" s="166">
        <f t="shared" si="0"/>
        <v>1.3049999999999999</v>
      </c>
      <c r="H21" s="116" t="s">
        <v>1191</v>
      </c>
    </row>
    <row r="22" spans="2:8" x14ac:dyDescent="0.35">
      <c r="B22" s="20" t="s">
        <v>706</v>
      </c>
      <c r="C22" s="58" t="s">
        <v>1088</v>
      </c>
      <c r="D22" s="163">
        <v>1.25</v>
      </c>
      <c r="E22" s="163">
        <v>1.3</v>
      </c>
      <c r="F22" s="163">
        <v>1.3</v>
      </c>
      <c r="G22" s="164">
        <f t="shared" si="0"/>
        <v>1.2749999999999999</v>
      </c>
      <c r="H22" s="27" t="s">
        <v>1192</v>
      </c>
    </row>
    <row r="23" spans="2:8" x14ac:dyDescent="0.35">
      <c r="B23" s="121" t="s">
        <v>1193</v>
      </c>
      <c r="C23" s="65" t="s">
        <v>1088</v>
      </c>
      <c r="D23" s="165">
        <v>1.1000000000000001</v>
      </c>
      <c r="E23" s="165">
        <v>1.05</v>
      </c>
      <c r="F23" s="165">
        <v>1.1499999999999999</v>
      </c>
      <c r="G23" s="166">
        <f t="shared" si="0"/>
        <v>1.095</v>
      </c>
      <c r="H23" s="116"/>
    </row>
    <row r="24" spans="2:8" x14ac:dyDescent="0.35">
      <c r="B24" s="20" t="s">
        <v>1194</v>
      </c>
      <c r="C24" s="58" t="s">
        <v>1088</v>
      </c>
      <c r="D24" s="163">
        <v>1.1000000000000001</v>
      </c>
      <c r="E24" s="163">
        <v>1.1000000000000001</v>
      </c>
      <c r="F24" s="163">
        <v>1.1000000000000001</v>
      </c>
      <c r="G24" s="164">
        <f t="shared" si="0"/>
        <v>1.1000000000000001</v>
      </c>
      <c r="H24" s="27"/>
    </row>
    <row r="25" spans="2:8" x14ac:dyDescent="0.35">
      <c r="B25" s="121" t="s">
        <v>1195</v>
      </c>
      <c r="C25" s="65" t="s">
        <v>990</v>
      </c>
      <c r="D25" s="165">
        <v>1.25</v>
      </c>
      <c r="E25" s="165">
        <v>1.3</v>
      </c>
      <c r="F25" s="165">
        <v>1.05</v>
      </c>
      <c r="G25" s="166">
        <f t="shared" si="0"/>
        <v>1.2250000000000001</v>
      </c>
      <c r="H25" s="116" t="s">
        <v>1196</v>
      </c>
    </row>
    <row r="26" spans="2:8" x14ac:dyDescent="0.35">
      <c r="B26" s="20" t="s">
        <v>1197</v>
      </c>
      <c r="C26" s="58" t="s">
        <v>1075</v>
      </c>
      <c r="D26" s="163">
        <v>1.25</v>
      </c>
      <c r="E26" s="163">
        <v>1.3</v>
      </c>
      <c r="F26" s="163">
        <v>1.1000000000000001</v>
      </c>
      <c r="G26" s="164">
        <f t="shared" si="0"/>
        <v>1.2350000000000001</v>
      </c>
      <c r="H26" s="27"/>
    </row>
    <row r="27" spans="2:8" x14ac:dyDescent="0.35">
      <c r="B27" s="121" t="s">
        <v>1198</v>
      </c>
      <c r="C27" s="65" t="s">
        <v>985</v>
      </c>
      <c r="D27" s="165">
        <v>1.25</v>
      </c>
      <c r="E27" s="165">
        <v>1.3</v>
      </c>
      <c r="F27" s="165">
        <v>1.05</v>
      </c>
      <c r="G27" s="166">
        <f t="shared" si="0"/>
        <v>1.2250000000000001</v>
      </c>
      <c r="H27" s="116" t="s">
        <v>1199</v>
      </c>
    </row>
    <row r="28" spans="2:8" x14ac:dyDescent="0.35">
      <c r="B28" s="20" t="s">
        <v>1200</v>
      </c>
      <c r="C28" s="58" t="s">
        <v>1021</v>
      </c>
      <c r="D28" s="163">
        <v>1.2</v>
      </c>
      <c r="E28" s="163">
        <v>1.35</v>
      </c>
      <c r="F28" s="163">
        <v>1.1000000000000001</v>
      </c>
      <c r="G28" s="164">
        <f t="shared" si="0"/>
        <v>1.2250000000000001</v>
      </c>
      <c r="H28" s="27"/>
    </row>
    <row r="29" spans="2:8" x14ac:dyDescent="0.35">
      <c r="B29" s="121" t="s">
        <v>1201</v>
      </c>
      <c r="C29" s="65" t="s">
        <v>1024</v>
      </c>
      <c r="D29" s="165">
        <v>1.2</v>
      </c>
      <c r="E29" s="165">
        <v>1.05</v>
      </c>
      <c r="F29" s="165">
        <v>1.05</v>
      </c>
      <c r="G29" s="166">
        <f t="shared" si="0"/>
        <v>1.125</v>
      </c>
      <c r="H29" s="116" t="s">
        <v>1202</v>
      </c>
    </row>
    <row r="30" spans="2:8" x14ac:dyDescent="0.35">
      <c r="B30" s="20" t="s">
        <v>520</v>
      </c>
      <c r="C30" s="58" t="s">
        <v>963</v>
      </c>
      <c r="D30" s="163">
        <v>1.1499999999999999</v>
      </c>
      <c r="E30" s="163">
        <v>1.25</v>
      </c>
      <c r="F30" s="163">
        <v>1.1499999999999999</v>
      </c>
      <c r="G30" s="164">
        <f t="shared" si="0"/>
        <v>1.18</v>
      </c>
      <c r="H30" s="27" t="s">
        <v>1203</v>
      </c>
    </row>
    <row r="31" spans="2:8" x14ac:dyDescent="0.35">
      <c r="B31" s="121" t="s">
        <v>1204</v>
      </c>
      <c r="C31" s="65" t="s">
        <v>963</v>
      </c>
      <c r="D31" s="165">
        <v>1.05</v>
      </c>
      <c r="E31" s="165">
        <v>1.1499999999999999</v>
      </c>
      <c r="F31" s="165">
        <v>1.05</v>
      </c>
      <c r="G31" s="166">
        <f t="shared" si="0"/>
        <v>1.08</v>
      </c>
      <c r="H31" s="116"/>
    </row>
    <row r="32" spans="2:8" x14ac:dyDescent="0.35">
      <c r="B32" s="20" t="s">
        <v>551</v>
      </c>
      <c r="C32" s="58" t="s">
        <v>1044</v>
      </c>
      <c r="D32" s="163">
        <v>1.25</v>
      </c>
      <c r="E32" s="163">
        <v>1.3</v>
      </c>
      <c r="F32" s="163">
        <v>1.05</v>
      </c>
      <c r="G32" s="164">
        <f t="shared" si="0"/>
        <v>1.2250000000000001</v>
      </c>
      <c r="H32" s="27" t="s">
        <v>1205</v>
      </c>
    </row>
    <row r="33" spans="2:8" x14ac:dyDescent="0.35">
      <c r="B33" s="121" t="s">
        <v>1206</v>
      </c>
      <c r="C33" s="65" t="s">
        <v>1100</v>
      </c>
      <c r="D33" s="165">
        <v>1.1499999999999999</v>
      </c>
      <c r="E33" s="165">
        <v>1.3</v>
      </c>
      <c r="F33" s="165">
        <v>1.05</v>
      </c>
      <c r="G33" s="166">
        <f t="shared" si="0"/>
        <v>1.175</v>
      </c>
      <c r="H33" s="116" t="s">
        <v>1207</v>
      </c>
    </row>
    <row r="34" spans="2:8" x14ac:dyDescent="0.35">
      <c r="B34" s="20" t="s">
        <v>1208</v>
      </c>
      <c r="C34" s="58" t="s">
        <v>1071</v>
      </c>
      <c r="D34" s="163">
        <v>1.1000000000000001</v>
      </c>
      <c r="E34" s="163">
        <v>1.3</v>
      </c>
      <c r="F34" s="163">
        <v>1.1000000000000001</v>
      </c>
      <c r="G34" s="164">
        <f t="shared" si="0"/>
        <v>1.1599999999999999</v>
      </c>
      <c r="H34" s="27"/>
    </row>
    <row r="35" spans="2:8" x14ac:dyDescent="0.35">
      <c r="B35" s="121" t="s">
        <v>1209</v>
      </c>
      <c r="C35" s="65" t="s">
        <v>974</v>
      </c>
      <c r="D35" s="165">
        <v>1.1000000000000001</v>
      </c>
      <c r="E35" s="165">
        <v>1.1499999999999999</v>
      </c>
      <c r="F35" s="165">
        <v>1.35</v>
      </c>
      <c r="G35" s="166">
        <f t="shared" si="0"/>
        <v>1.165</v>
      </c>
      <c r="H35" s="116" t="s">
        <v>1210</v>
      </c>
    </row>
    <row r="36" spans="2:8" x14ac:dyDescent="0.35">
      <c r="B36" s="20" t="s">
        <v>1211</v>
      </c>
      <c r="C36" s="58" t="s">
        <v>1027</v>
      </c>
      <c r="D36" s="163">
        <v>1.2</v>
      </c>
      <c r="E36" s="163">
        <v>1.4</v>
      </c>
      <c r="F36" s="163">
        <v>1.1000000000000001</v>
      </c>
      <c r="G36" s="164">
        <f t="shared" si="0"/>
        <v>1.24</v>
      </c>
      <c r="H36" s="27"/>
    </row>
    <row r="37" spans="2:8" x14ac:dyDescent="0.35">
      <c r="B37" s="121" t="s">
        <v>1212</v>
      </c>
      <c r="C37" s="65" t="s">
        <v>1030</v>
      </c>
      <c r="D37" s="165">
        <v>1.05</v>
      </c>
      <c r="E37" s="165">
        <v>1.1000000000000001</v>
      </c>
      <c r="F37" s="165">
        <v>1.1000000000000001</v>
      </c>
      <c r="G37" s="166">
        <f t="shared" si="0"/>
        <v>1.075</v>
      </c>
      <c r="H37" s="116"/>
    </row>
    <row r="38" spans="2:8" x14ac:dyDescent="0.35">
      <c r="B38" s="20" t="s">
        <v>1213</v>
      </c>
      <c r="C38" s="58" t="s">
        <v>1036</v>
      </c>
      <c r="D38" s="163">
        <v>1.1499999999999999</v>
      </c>
      <c r="E38" s="163">
        <v>1.3</v>
      </c>
      <c r="F38" s="163">
        <v>1.1000000000000001</v>
      </c>
      <c r="G38" s="164">
        <f t="shared" ref="G38:G69" si="1">ROUND($D$4*D38+$E$4*E38+$F$4*F38,3)</f>
        <v>1.1850000000000001</v>
      </c>
      <c r="H38" s="27"/>
    </row>
    <row r="39" spans="2:8" x14ac:dyDescent="0.35">
      <c r="B39" s="121" t="s">
        <v>1214</v>
      </c>
      <c r="C39" s="65" t="s">
        <v>1036</v>
      </c>
      <c r="D39" s="165">
        <v>1.1000000000000001</v>
      </c>
      <c r="E39" s="165">
        <v>1.25</v>
      </c>
      <c r="F39" s="165">
        <v>1.2</v>
      </c>
      <c r="G39" s="166">
        <f t="shared" si="1"/>
        <v>1.165</v>
      </c>
      <c r="H39" s="116" t="s">
        <v>1215</v>
      </c>
    </row>
    <row r="40" spans="2:8" x14ac:dyDescent="0.35">
      <c r="B40" s="20" t="s">
        <v>1216</v>
      </c>
      <c r="C40" s="58" t="s">
        <v>1086</v>
      </c>
      <c r="D40" s="163">
        <v>1.2</v>
      </c>
      <c r="E40" s="163">
        <v>1.45</v>
      </c>
      <c r="F40" s="163">
        <v>1.05</v>
      </c>
      <c r="G40" s="164">
        <f t="shared" si="1"/>
        <v>1.2450000000000001</v>
      </c>
      <c r="H40" s="27" t="s">
        <v>1217</v>
      </c>
    </row>
    <row r="41" spans="2:8" x14ac:dyDescent="0.35">
      <c r="B41" s="121" t="s">
        <v>1218</v>
      </c>
      <c r="C41" s="65" t="s">
        <v>1086</v>
      </c>
      <c r="D41" s="165">
        <v>1.1499999999999999</v>
      </c>
      <c r="E41" s="165">
        <v>1.1499999999999999</v>
      </c>
      <c r="F41" s="165">
        <v>1.05</v>
      </c>
      <c r="G41" s="166">
        <f t="shared" si="1"/>
        <v>1.1299999999999999</v>
      </c>
      <c r="H41" s="116"/>
    </row>
    <row r="42" spans="2:8" x14ac:dyDescent="0.35">
      <c r="B42" s="20" t="s">
        <v>1219</v>
      </c>
      <c r="C42" s="58" t="s">
        <v>1015</v>
      </c>
      <c r="D42" s="163">
        <v>1.3</v>
      </c>
      <c r="E42" s="163">
        <v>1.35</v>
      </c>
      <c r="F42" s="163">
        <v>1.3</v>
      </c>
      <c r="G42" s="164">
        <f t="shared" si="1"/>
        <v>1.3149999999999999</v>
      </c>
      <c r="H42" s="27" t="s">
        <v>1220</v>
      </c>
    </row>
    <row r="43" spans="2:8" x14ac:dyDescent="0.35">
      <c r="B43" s="121" t="s">
        <v>1221</v>
      </c>
      <c r="C43" s="65" t="s">
        <v>1059</v>
      </c>
      <c r="D43" s="165">
        <v>1.1000000000000001</v>
      </c>
      <c r="E43" s="165">
        <v>1.1000000000000001</v>
      </c>
      <c r="F43" s="165">
        <v>1.05</v>
      </c>
      <c r="G43" s="166">
        <f t="shared" si="1"/>
        <v>1.0900000000000001</v>
      </c>
      <c r="H43" s="116"/>
    </row>
    <row r="44" spans="2:8" x14ac:dyDescent="0.35">
      <c r="B44" s="20" t="s">
        <v>1222</v>
      </c>
      <c r="C44" s="58" t="s">
        <v>1065</v>
      </c>
      <c r="D44" s="163">
        <v>1.1000000000000001</v>
      </c>
      <c r="E44" s="163">
        <v>1.1499999999999999</v>
      </c>
      <c r="F44" s="163">
        <v>1.05</v>
      </c>
      <c r="G44" s="164">
        <f t="shared" si="1"/>
        <v>1.105</v>
      </c>
      <c r="H44" s="27"/>
    </row>
    <row r="45" spans="2:8" x14ac:dyDescent="0.35">
      <c r="B45" s="121" t="s">
        <v>1223</v>
      </c>
      <c r="C45" s="65" t="s">
        <v>1065</v>
      </c>
      <c r="D45" s="165">
        <v>1.05</v>
      </c>
      <c r="E45" s="165">
        <v>1.1000000000000001</v>
      </c>
      <c r="F45" s="165">
        <v>1.05</v>
      </c>
      <c r="G45" s="166">
        <f t="shared" si="1"/>
        <v>1.0649999999999999</v>
      </c>
      <c r="H45" s="116"/>
    </row>
    <row r="46" spans="2:8" x14ac:dyDescent="0.35">
      <c r="B46" s="20" t="s">
        <v>1224</v>
      </c>
      <c r="C46" s="58" t="s">
        <v>1065</v>
      </c>
      <c r="D46" s="163">
        <v>1.05</v>
      </c>
      <c r="E46" s="163">
        <v>1.05</v>
      </c>
      <c r="F46" s="163">
        <v>1.05</v>
      </c>
      <c r="G46" s="164">
        <f t="shared" si="1"/>
        <v>1.05</v>
      </c>
      <c r="H46" s="27"/>
    </row>
    <row r="47" spans="2:8" x14ac:dyDescent="0.35">
      <c r="B47" s="121" t="s">
        <v>1225</v>
      </c>
      <c r="C47" s="65" t="s">
        <v>1075</v>
      </c>
      <c r="D47" s="165">
        <v>1.05</v>
      </c>
      <c r="E47" s="165">
        <v>1</v>
      </c>
      <c r="F47" s="165">
        <v>1.05</v>
      </c>
      <c r="G47" s="166">
        <f t="shared" si="1"/>
        <v>1.0349999999999999</v>
      </c>
      <c r="H47" s="116"/>
    </row>
    <row r="48" spans="2:8" x14ac:dyDescent="0.35">
      <c r="B48" s="20" t="s">
        <v>1226</v>
      </c>
      <c r="C48" s="58" t="s">
        <v>1003</v>
      </c>
      <c r="D48" s="163">
        <v>1.05</v>
      </c>
      <c r="E48" s="163">
        <v>1.1499999999999999</v>
      </c>
      <c r="F48" s="163">
        <v>1.05</v>
      </c>
      <c r="G48" s="164">
        <f t="shared" si="1"/>
        <v>1.08</v>
      </c>
      <c r="H48" s="27"/>
    </row>
    <row r="49" spans="2:8" x14ac:dyDescent="0.35">
      <c r="B49" s="121" t="s">
        <v>1227</v>
      </c>
      <c r="C49" s="65" t="s">
        <v>1106</v>
      </c>
      <c r="D49" s="165">
        <v>1.1000000000000001</v>
      </c>
      <c r="E49" s="165">
        <v>1.3</v>
      </c>
      <c r="F49" s="165">
        <v>1.05</v>
      </c>
      <c r="G49" s="166">
        <f t="shared" si="1"/>
        <v>1.1499999999999999</v>
      </c>
      <c r="H49" s="116"/>
    </row>
    <row r="50" spans="2:8" x14ac:dyDescent="0.35">
      <c r="B50" s="20" t="s">
        <v>1228</v>
      </c>
      <c r="C50" s="58" t="s">
        <v>1068</v>
      </c>
      <c r="D50" s="163">
        <v>1.05</v>
      </c>
      <c r="E50" s="163">
        <v>1.1000000000000001</v>
      </c>
      <c r="F50" s="163">
        <v>1.3</v>
      </c>
      <c r="G50" s="164">
        <f t="shared" si="1"/>
        <v>1.115</v>
      </c>
      <c r="H50" s="27" t="s">
        <v>1215</v>
      </c>
    </row>
    <row r="51" spans="2:8" x14ac:dyDescent="0.35">
      <c r="B51" s="121" t="s">
        <v>1229</v>
      </c>
      <c r="C51" s="65" t="s">
        <v>1053</v>
      </c>
      <c r="D51" s="165">
        <v>1.1000000000000001</v>
      </c>
      <c r="E51" s="165">
        <v>1.3</v>
      </c>
      <c r="F51" s="165">
        <v>1.05</v>
      </c>
      <c r="G51" s="166">
        <f t="shared" si="1"/>
        <v>1.1499999999999999</v>
      </c>
      <c r="H51" s="116"/>
    </row>
    <row r="52" spans="2:8" x14ac:dyDescent="0.35">
      <c r="B52" s="20" t="s">
        <v>1230</v>
      </c>
      <c r="C52" s="58" t="s">
        <v>1091</v>
      </c>
      <c r="D52" s="163">
        <v>1.05</v>
      </c>
      <c r="E52" s="163">
        <v>1.05</v>
      </c>
      <c r="F52" s="163">
        <v>1.05</v>
      </c>
      <c r="G52" s="164">
        <f t="shared" si="1"/>
        <v>1.05</v>
      </c>
      <c r="H52" s="27"/>
    </row>
    <row r="53" spans="2:8" x14ac:dyDescent="0.35">
      <c r="B53" s="121" t="s">
        <v>1231</v>
      </c>
      <c r="C53" s="65" t="s">
        <v>993</v>
      </c>
      <c r="D53" s="165">
        <v>1.05</v>
      </c>
      <c r="E53" s="165">
        <v>1</v>
      </c>
      <c r="F53" s="165">
        <v>1.05</v>
      </c>
      <c r="G53" s="166">
        <f t="shared" si="1"/>
        <v>1.0349999999999999</v>
      </c>
      <c r="H53" s="116"/>
    </row>
    <row r="54" spans="2:8" x14ac:dyDescent="0.35">
      <c r="B54" s="20" t="s">
        <v>566</v>
      </c>
      <c r="C54" s="58" t="s">
        <v>1232</v>
      </c>
      <c r="D54" s="163">
        <v>1</v>
      </c>
      <c r="E54" s="163">
        <v>1</v>
      </c>
      <c r="F54" s="163">
        <v>1</v>
      </c>
      <c r="G54" s="164">
        <f t="shared" si="1"/>
        <v>1</v>
      </c>
      <c r="H54" s="27" t="s">
        <v>1233</v>
      </c>
    </row>
    <row r="56" spans="2:8" x14ac:dyDescent="0.35">
      <c r="B56" s="15" t="s">
        <v>713</v>
      </c>
    </row>
    <row r="57" spans="2:8" ht="15" customHeight="1" x14ac:dyDescent="0.35">
      <c r="B57" s="7" t="s">
        <v>1234</v>
      </c>
      <c r="C57" s="7"/>
      <c r="D57" s="7"/>
      <c r="E57" s="7"/>
      <c r="F57" s="7"/>
      <c r="G57" s="7"/>
      <c r="H57" s="7"/>
    </row>
    <row r="58" spans="2:8" x14ac:dyDescent="0.35">
      <c r="B58" s="7"/>
      <c r="C58" s="7"/>
      <c r="D58" s="7"/>
      <c r="E58" s="7"/>
      <c r="F58" s="7"/>
      <c r="G58" s="7"/>
      <c r="H58" s="7"/>
    </row>
    <row r="59" spans="2:8" x14ac:dyDescent="0.35">
      <c r="B59" s="7"/>
      <c r="C59" s="7"/>
      <c r="D59" s="7"/>
      <c r="E59" s="7"/>
      <c r="F59" s="7"/>
      <c r="G59" s="7"/>
      <c r="H59" s="7"/>
    </row>
    <row r="60" spans="2:8" x14ac:dyDescent="0.35">
      <c r="B60" s="7"/>
      <c r="C60" s="7"/>
      <c r="D60" s="7"/>
      <c r="E60" s="7"/>
      <c r="F60" s="7"/>
      <c r="G60" s="7"/>
      <c r="H60" s="7"/>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328125" defaultRowHeight="14.5" x14ac:dyDescent="0.35"/>
  <cols>
    <col min="1" max="1" width="2" customWidth="1"/>
    <col min="2" max="2" width="12" customWidth="1"/>
    <col min="3" max="3" width="46" customWidth="1"/>
    <col min="4" max="4" width="56" customWidth="1"/>
    <col min="5" max="6" width="30" customWidth="1"/>
  </cols>
  <sheetData>
    <row r="1" spans="2:6" ht="25.5" customHeight="1" x14ac:dyDescent="0.35">
      <c r="B1" s="14" t="s">
        <v>1235</v>
      </c>
      <c r="C1" s="14"/>
      <c r="D1" s="14"/>
      <c r="E1" s="14"/>
      <c r="F1" s="14"/>
    </row>
    <row r="2" spans="2:6" ht="15" customHeight="1" x14ac:dyDescent="0.35">
      <c r="B2" s="13" t="s">
        <v>1236</v>
      </c>
      <c r="C2" s="13"/>
      <c r="D2" s="13"/>
      <c r="E2" s="13"/>
      <c r="F2" s="13"/>
    </row>
    <row r="4" spans="2:6" ht="18" customHeight="1" x14ac:dyDescent="0.35">
      <c r="B4" s="12" t="s">
        <v>1237</v>
      </c>
      <c r="C4" s="12"/>
      <c r="D4" s="12"/>
      <c r="E4" s="12"/>
      <c r="F4" s="12"/>
    </row>
    <row r="5" spans="2:6" ht="30" customHeight="1" x14ac:dyDescent="0.35">
      <c r="B5" s="22" t="s">
        <v>433</v>
      </c>
      <c r="C5" s="22" t="s">
        <v>1238</v>
      </c>
      <c r="D5" s="22" t="s">
        <v>609</v>
      </c>
    </row>
    <row r="6" spans="2:6" x14ac:dyDescent="0.35">
      <c r="B6" s="174" t="s">
        <v>1239</v>
      </c>
      <c r="C6" s="27" t="s">
        <v>1240</v>
      </c>
      <c r="D6" s="11" t="s">
        <v>1241</v>
      </c>
      <c r="E6" s="11"/>
      <c r="F6" s="11"/>
    </row>
    <row r="7" spans="2:6" x14ac:dyDescent="0.35">
      <c r="B7" s="175" t="s">
        <v>1242</v>
      </c>
      <c r="C7" s="116" t="s">
        <v>1240</v>
      </c>
      <c r="D7" s="229" t="s">
        <v>1241</v>
      </c>
      <c r="E7" s="229"/>
      <c r="F7" s="229"/>
    </row>
    <row r="8" spans="2:6" x14ac:dyDescent="0.35">
      <c r="B8" s="174" t="s">
        <v>1243</v>
      </c>
      <c r="C8" s="27" t="s">
        <v>1240</v>
      </c>
      <c r="D8" s="11" t="s">
        <v>1241</v>
      </c>
      <c r="E8" s="11"/>
      <c r="F8" s="11"/>
    </row>
    <row r="9" spans="2:6" x14ac:dyDescent="0.35">
      <c r="B9" s="175" t="s">
        <v>1244</v>
      </c>
      <c r="C9" s="116" t="s">
        <v>1240</v>
      </c>
      <c r="D9" s="229" t="s">
        <v>1241</v>
      </c>
      <c r="E9" s="229"/>
      <c r="F9" s="229"/>
    </row>
    <row r="10" spans="2:6" x14ac:dyDescent="0.35">
      <c r="B10" s="174" t="s">
        <v>1245</v>
      </c>
      <c r="C10" s="27" t="s">
        <v>1240</v>
      </c>
      <c r="D10" s="11" t="s">
        <v>1241</v>
      </c>
      <c r="E10" s="11"/>
      <c r="F10" s="11"/>
    </row>
    <row r="11" spans="2:6" x14ac:dyDescent="0.35">
      <c r="B11" s="175" t="s">
        <v>1246</v>
      </c>
      <c r="C11" s="116" t="s">
        <v>1240</v>
      </c>
      <c r="D11" s="229" t="s">
        <v>1241</v>
      </c>
      <c r="E11" s="229"/>
      <c r="F11" s="229"/>
    </row>
    <row r="12" spans="2:6" x14ac:dyDescent="0.35">
      <c r="B12" s="174" t="s">
        <v>1247</v>
      </c>
      <c r="C12" s="27" t="s">
        <v>1240</v>
      </c>
      <c r="D12" s="11" t="s">
        <v>1241</v>
      </c>
      <c r="E12" s="11"/>
      <c r="F12" s="11"/>
    </row>
    <row r="13" spans="2:6" x14ac:dyDescent="0.35">
      <c r="B13" s="175" t="s">
        <v>1248</v>
      </c>
      <c r="C13" s="116" t="s">
        <v>1240</v>
      </c>
      <c r="D13" s="229" t="s">
        <v>1241</v>
      </c>
      <c r="E13" s="229"/>
      <c r="F13" s="229"/>
    </row>
    <row r="14" spans="2:6" x14ac:dyDescent="0.35">
      <c r="B14" s="174" t="s">
        <v>1249</v>
      </c>
      <c r="C14" s="27" t="s">
        <v>1240</v>
      </c>
      <c r="D14" s="11" t="s">
        <v>1241</v>
      </c>
      <c r="E14" s="11"/>
      <c r="F14" s="11"/>
    </row>
    <row r="15" spans="2:6" x14ac:dyDescent="0.35">
      <c r="B15" s="175" t="s">
        <v>1250</v>
      </c>
      <c r="C15" s="116" t="s">
        <v>1240</v>
      </c>
      <c r="D15" s="229" t="s">
        <v>1241</v>
      </c>
      <c r="E15" s="229"/>
      <c r="F15" s="229"/>
    </row>
    <row r="16" spans="2:6" x14ac:dyDescent="0.35">
      <c r="B16" s="174" t="s">
        <v>1251</v>
      </c>
      <c r="C16" s="27" t="s">
        <v>1252</v>
      </c>
      <c r="D16" s="11" t="s">
        <v>1253</v>
      </c>
      <c r="E16" s="11"/>
      <c r="F16" s="11"/>
    </row>
    <row r="17" spans="2:6" x14ac:dyDescent="0.35">
      <c r="B17" s="175" t="s">
        <v>1254</v>
      </c>
      <c r="C17" s="116" t="s">
        <v>1252</v>
      </c>
      <c r="D17" s="229" t="s">
        <v>1253</v>
      </c>
      <c r="E17" s="229"/>
      <c r="F17" s="229"/>
    </row>
    <row r="18" spans="2:6" x14ac:dyDescent="0.35">
      <c r="B18" s="174" t="s">
        <v>1255</v>
      </c>
      <c r="C18" s="27" t="s">
        <v>1252</v>
      </c>
      <c r="D18" s="11" t="s">
        <v>1253</v>
      </c>
      <c r="E18" s="11"/>
      <c r="F18" s="11"/>
    </row>
    <row r="19" spans="2:6" x14ac:dyDescent="0.35">
      <c r="B19" s="175" t="s">
        <v>1256</v>
      </c>
      <c r="C19" s="116" t="s">
        <v>1252</v>
      </c>
      <c r="D19" s="229" t="s">
        <v>1253</v>
      </c>
      <c r="E19" s="229"/>
      <c r="F19" s="229"/>
    </row>
    <row r="20" spans="2:6" x14ac:dyDescent="0.35">
      <c r="B20" s="174" t="s">
        <v>1257</v>
      </c>
      <c r="C20" s="27" t="s">
        <v>1252</v>
      </c>
      <c r="D20" s="11" t="s">
        <v>1253</v>
      </c>
      <c r="E20" s="11"/>
      <c r="F20" s="11"/>
    </row>
    <row r="21" spans="2:6" x14ac:dyDescent="0.35">
      <c r="B21" s="175" t="s">
        <v>1258</v>
      </c>
      <c r="C21" s="116" t="s">
        <v>1259</v>
      </c>
      <c r="D21" s="229" t="s">
        <v>1260</v>
      </c>
      <c r="E21" s="229"/>
      <c r="F21" s="229"/>
    </row>
    <row r="22" spans="2:6" x14ac:dyDescent="0.35">
      <c r="B22" s="174" t="s">
        <v>1261</v>
      </c>
      <c r="C22" s="27" t="s">
        <v>1259</v>
      </c>
      <c r="D22" s="11" t="s">
        <v>1260</v>
      </c>
      <c r="E22" s="11"/>
      <c r="F22" s="11"/>
    </row>
    <row r="23" spans="2:6" x14ac:dyDescent="0.35">
      <c r="B23" s="175" t="s">
        <v>1262</v>
      </c>
      <c r="C23" s="116" t="s">
        <v>1252</v>
      </c>
      <c r="D23" s="229" t="s">
        <v>1253</v>
      </c>
      <c r="E23" s="229"/>
      <c r="F23" s="229"/>
    </row>
    <row r="24" spans="2:6" x14ac:dyDescent="0.35">
      <c r="B24" s="174" t="s">
        <v>1263</v>
      </c>
      <c r="C24" s="27" t="s">
        <v>1264</v>
      </c>
      <c r="D24" s="11" t="s">
        <v>1265</v>
      </c>
      <c r="E24" s="11"/>
      <c r="F24" s="11"/>
    </row>
    <row r="25" spans="2:6" x14ac:dyDescent="0.35">
      <c r="B25" s="175" t="s">
        <v>1266</v>
      </c>
      <c r="C25" s="116" t="s">
        <v>1264</v>
      </c>
      <c r="D25" s="229" t="s">
        <v>1265</v>
      </c>
      <c r="E25" s="229"/>
      <c r="F25" s="229"/>
    </row>
    <row r="26" spans="2:6" x14ac:dyDescent="0.35">
      <c r="B26" s="174" t="s">
        <v>1267</v>
      </c>
      <c r="C26" s="27" t="s">
        <v>1240</v>
      </c>
      <c r="D26" s="11" t="s">
        <v>1241</v>
      </c>
      <c r="E26" s="11"/>
      <c r="F26" s="11"/>
    </row>
    <row r="27" spans="2:6" x14ac:dyDescent="0.35">
      <c r="B27" s="175" t="s">
        <v>1268</v>
      </c>
      <c r="C27" s="116" t="s">
        <v>1240</v>
      </c>
      <c r="D27" s="229" t="s">
        <v>1241</v>
      </c>
      <c r="E27" s="229"/>
      <c r="F27" s="229"/>
    </row>
    <row r="28" spans="2:6" x14ac:dyDescent="0.35">
      <c r="B28" s="174" t="s">
        <v>1269</v>
      </c>
      <c r="C28" s="27" t="s">
        <v>1240</v>
      </c>
      <c r="D28" s="11" t="s">
        <v>1241</v>
      </c>
      <c r="E28" s="11"/>
      <c r="F28" s="11"/>
    </row>
    <row r="29" spans="2:6" x14ac:dyDescent="0.35">
      <c r="B29" s="175" t="s">
        <v>1270</v>
      </c>
      <c r="C29" s="116" t="s">
        <v>1240</v>
      </c>
      <c r="D29" s="229" t="s">
        <v>1241</v>
      </c>
      <c r="E29" s="229"/>
      <c r="F29" s="229"/>
    </row>
    <row r="30" spans="2:6" x14ac:dyDescent="0.35">
      <c r="B30" s="174" t="s">
        <v>1271</v>
      </c>
      <c r="C30" s="27" t="s">
        <v>1240</v>
      </c>
      <c r="D30" s="11" t="s">
        <v>1241</v>
      </c>
      <c r="E30" s="11"/>
      <c r="F30" s="11"/>
    </row>
    <row r="31" spans="2:6" x14ac:dyDescent="0.35">
      <c r="B31" s="175" t="s">
        <v>1272</v>
      </c>
      <c r="C31" s="116" t="s">
        <v>1240</v>
      </c>
      <c r="D31" s="229" t="s">
        <v>1241</v>
      </c>
      <c r="E31" s="229"/>
      <c r="F31" s="229"/>
    </row>
    <row r="32" spans="2:6" x14ac:dyDescent="0.35">
      <c r="B32" s="174" t="s">
        <v>1273</v>
      </c>
      <c r="C32" s="27" t="s">
        <v>1240</v>
      </c>
      <c r="D32" s="11" t="s">
        <v>1241</v>
      </c>
      <c r="E32" s="11"/>
      <c r="F32" s="11"/>
    </row>
    <row r="33" spans="2:6" x14ac:dyDescent="0.35">
      <c r="B33" s="175" t="s">
        <v>1274</v>
      </c>
      <c r="C33" s="116" t="s">
        <v>1240</v>
      </c>
      <c r="D33" s="229" t="s">
        <v>1241</v>
      </c>
      <c r="E33" s="229"/>
      <c r="F33" s="229"/>
    </row>
    <row r="34" spans="2:6" x14ac:dyDescent="0.35">
      <c r="B34" s="174" t="s">
        <v>1275</v>
      </c>
      <c r="C34" s="27" t="s">
        <v>1240</v>
      </c>
      <c r="D34" s="11" t="s">
        <v>1241</v>
      </c>
      <c r="E34" s="11"/>
      <c r="F34" s="11"/>
    </row>
    <row r="35" spans="2:6" x14ac:dyDescent="0.35">
      <c r="B35" s="175" t="s">
        <v>1276</v>
      </c>
      <c r="C35" s="116" t="s">
        <v>1240</v>
      </c>
      <c r="D35" s="229" t="s">
        <v>1241</v>
      </c>
      <c r="E35" s="229"/>
      <c r="F35" s="229"/>
    </row>
    <row r="36" spans="2:6" x14ac:dyDescent="0.35">
      <c r="B36" s="174" t="s">
        <v>1277</v>
      </c>
      <c r="C36" s="27" t="s">
        <v>1240</v>
      </c>
      <c r="D36" s="11" t="s">
        <v>1241</v>
      </c>
      <c r="E36" s="11"/>
      <c r="F36" s="11"/>
    </row>
    <row r="37" spans="2:6" x14ac:dyDescent="0.35">
      <c r="B37" s="175" t="s">
        <v>1278</v>
      </c>
      <c r="C37" s="116" t="s">
        <v>1240</v>
      </c>
      <c r="D37" s="229" t="s">
        <v>1241</v>
      </c>
      <c r="E37" s="229"/>
      <c r="F37" s="229"/>
    </row>
    <row r="38" spans="2:6" x14ac:dyDescent="0.35">
      <c r="B38" s="174" t="s">
        <v>1279</v>
      </c>
      <c r="C38" s="27" t="s">
        <v>1240</v>
      </c>
      <c r="D38" s="11" t="s">
        <v>1241</v>
      </c>
      <c r="E38" s="11"/>
      <c r="F38" s="11"/>
    </row>
    <row r="39" spans="2:6" x14ac:dyDescent="0.35">
      <c r="B39" s="175" t="s">
        <v>1280</v>
      </c>
      <c r="C39" s="116" t="s">
        <v>1240</v>
      </c>
      <c r="D39" s="229" t="s">
        <v>1241</v>
      </c>
      <c r="E39" s="229"/>
      <c r="F39" s="229"/>
    </row>
    <row r="40" spans="2:6" x14ac:dyDescent="0.35">
      <c r="B40" s="174" t="s">
        <v>1281</v>
      </c>
      <c r="C40" s="27" t="s">
        <v>1240</v>
      </c>
      <c r="D40" s="11" t="s">
        <v>1241</v>
      </c>
      <c r="E40" s="11"/>
      <c r="F40" s="11"/>
    </row>
    <row r="41" spans="2:6" x14ac:dyDescent="0.35">
      <c r="B41" s="175" t="s">
        <v>1282</v>
      </c>
      <c r="C41" s="116" t="s">
        <v>1240</v>
      </c>
      <c r="D41" s="229" t="s">
        <v>1241</v>
      </c>
      <c r="E41" s="229"/>
      <c r="F41" s="229"/>
    </row>
    <row r="42" spans="2:6" x14ac:dyDescent="0.35">
      <c r="B42" s="174" t="s">
        <v>1283</v>
      </c>
      <c r="C42" s="27" t="s">
        <v>1240</v>
      </c>
      <c r="D42" s="11" t="s">
        <v>1241</v>
      </c>
      <c r="E42" s="11"/>
      <c r="F42" s="11"/>
    </row>
    <row r="43" spans="2:6" x14ac:dyDescent="0.35">
      <c r="B43" s="175" t="s">
        <v>1284</v>
      </c>
      <c r="C43" s="116" t="s">
        <v>1240</v>
      </c>
      <c r="D43" s="229" t="s">
        <v>1241</v>
      </c>
      <c r="E43" s="229"/>
      <c r="F43" s="229"/>
    </row>
    <row r="44" spans="2:6" x14ac:dyDescent="0.35">
      <c r="B44" s="174" t="s">
        <v>1285</v>
      </c>
      <c r="C44" s="27" t="s">
        <v>1240</v>
      </c>
      <c r="D44" s="11" t="s">
        <v>1241</v>
      </c>
      <c r="E44" s="11"/>
      <c r="F44" s="11"/>
    </row>
    <row r="45" spans="2:6" x14ac:dyDescent="0.35">
      <c r="B45" s="175" t="s">
        <v>1286</v>
      </c>
      <c r="C45" s="116" t="s">
        <v>1240</v>
      </c>
      <c r="D45" s="229" t="s">
        <v>1241</v>
      </c>
      <c r="E45" s="229"/>
      <c r="F45" s="229"/>
    </row>
    <row r="46" spans="2:6" x14ac:dyDescent="0.35">
      <c r="B46" s="174" t="s">
        <v>1287</v>
      </c>
      <c r="C46" s="27" t="s">
        <v>1240</v>
      </c>
      <c r="D46" s="11" t="s">
        <v>1241</v>
      </c>
      <c r="E46" s="11"/>
      <c r="F46" s="11"/>
    </row>
    <row r="47" spans="2:6" x14ac:dyDescent="0.35">
      <c r="B47" s="175" t="s">
        <v>1288</v>
      </c>
      <c r="C47" s="116" t="s">
        <v>1240</v>
      </c>
      <c r="D47" s="229" t="s">
        <v>1241</v>
      </c>
      <c r="E47" s="229"/>
      <c r="F47" s="229"/>
    </row>
    <row r="48" spans="2:6" x14ac:dyDescent="0.35">
      <c r="B48" s="174" t="s">
        <v>1289</v>
      </c>
      <c r="C48" s="27" t="s">
        <v>1240</v>
      </c>
      <c r="D48" s="11" t="s">
        <v>1241</v>
      </c>
      <c r="E48" s="11"/>
      <c r="F48" s="11"/>
    </row>
    <row r="49" spans="2:6" x14ac:dyDescent="0.35">
      <c r="B49" s="175" t="s">
        <v>1290</v>
      </c>
      <c r="C49" s="116" t="s">
        <v>1240</v>
      </c>
      <c r="D49" s="229" t="s">
        <v>1241</v>
      </c>
      <c r="E49" s="229"/>
      <c r="F49" s="229"/>
    </row>
    <row r="50" spans="2:6" x14ac:dyDescent="0.35">
      <c r="B50" s="174" t="s">
        <v>1291</v>
      </c>
      <c r="C50" s="27" t="s">
        <v>1240</v>
      </c>
      <c r="D50" s="11" t="s">
        <v>1241</v>
      </c>
      <c r="E50" s="11"/>
      <c r="F50" s="11"/>
    </row>
    <row r="51" spans="2:6" x14ac:dyDescent="0.35">
      <c r="B51" s="175" t="s">
        <v>1292</v>
      </c>
      <c r="C51" s="116" t="s">
        <v>1240</v>
      </c>
      <c r="D51" s="229" t="s">
        <v>1241</v>
      </c>
      <c r="E51" s="229"/>
      <c r="F51" s="229"/>
    </row>
    <row r="52" spans="2:6" x14ac:dyDescent="0.35">
      <c r="B52" s="174" t="s">
        <v>1293</v>
      </c>
      <c r="C52" s="27" t="s">
        <v>1240</v>
      </c>
      <c r="D52" s="11" t="s">
        <v>1241</v>
      </c>
      <c r="E52" s="11"/>
      <c r="F52" s="11"/>
    </row>
    <row r="53" spans="2:6" x14ac:dyDescent="0.35">
      <c r="B53" s="175" t="s">
        <v>1294</v>
      </c>
      <c r="C53" s="116" t="s">
        <v>1240</v>
      </c>
      <c r="D53" s="229" t="s">
        <v>1241</v>
      </c>
      <c r="E53" s="229"/>
      <c r="F53" s="229"/>
    </row>
    <row r="54" spans="2:6" x14ac:dyDescent="0.35">
      <c r="B54" s="174" t="s">
        <v>1295</v>
      </c>
      <c r="C54" s="27" t="s">
        <v>1240</v>
      </c>
      <c r="D54" s="11" t="s">
        <v>1241</v>
      </c>
      <c r="E54" s="11"/>
      <c r="F54" s="11"/>
    </row>
    <row r="55" spans="2:6" x14ac:dyDescent="0.35">
      <c r="B55" s="175" t="s">
        <v>1296</v>
      </c>
      <c r="C55" s="116" t="s">
        <v>1240</v>
      </c>
      <c r="D55" s="229" t="s">
        <v>1241</v>
      </c>
      <c r="E55" s="229"/>
      <c r="F55" s="229"/>
    </row>
    <row r="56" spans="2:6" x14ac:dyDescent="0.35">
      <c r="B56" s="174" t="s">
        <v>1297</v>
      </c>
      <c r="C56" s="27" t="s">
        <v>1240</v>
      </c>
      <c r="D56" s="11" t="s">
        <v>1241</v>
      </c>
      <c r="E56" s="11"/>
      <c r="F56" s="11"/>
    </row>
    <row r="57" spans="2:6" x14ac:dyDescent="0.35">
      <c r="B57" s="175" t="s">
        <v>1298</v>
      </c>
      <c r="C57" s="116" t="s">
        <v>1240</v>
      </c>
      <c r="D57" s="229" t="s">
        <v>1241</v>
      </c>
      <c r="E57" s="229"/>
      <c r="F57" s="229"/>
    </row>
    <row r="58" spans="2:6" x14ac:dyDescent="0.35">
      <c r="B58" s="174" t="s">
        <v>1299</v>
      </c>
      <c r="C58" s="27" t="s">
        <v>1252</v>
      </c>
      <c r="D58" s="11" t="s">
        <v>1253</v>
      </c>
      <c r="E58" s="11"/>
      <c r="F58" s="11"/>
    </row>
    <row r="59" spans="2:6" x14ac:dyDescent="0.35">
      <c r="B59" s="175" t="s">
        <v>1300</v>
      </c>
      <c r="C59" s="116" t="s">
        <v>1252</v>
      </c>
      <c r="D59" s="229" t="s">
        <v>1253</v>
      </c>
      <c r="E59" s="229"/>
      <c r="F59" s="229"/>
    </row>
    <row r="60" spans="2:6" x14ac:dyDescent="0.35">
      <c r="B60" s="174" t="s">
        <v>1301</v>
      </c>
      <c r="C60" s="27" t="s">
        <v>1252</v>
      </c>
      <c r="D60" s="11" t="s">
        <v>1253</v>
      </c>
      <c r="E60" s="11"/>
      <c r="F60" s="11"/>
    </row>
    <row r="61" spans="2:6" x14ac:dyDescent="0.35">
      <c r="B61" s="175" t="s">
        <v>1302</v>
      </c>
      <c r="C61" s="116" t="s">
        <v>1252</v>
      </c>
      <c r="D61" s="229" t="s">
        <v>1253</v>
      </c>
      <c r="E61" s="229"/>
      <c r="F61" s="229"/>
    </row>
    <row r="62" spans="2:6" x14ac:dyDescent="0.35">
      <c r="B62" s="174" t="s">
        <v>1303</v>
      </c>
      <c r="C62" s="27" t="s">
        <v>1252</v>
      </c>
      <c r="D62" s="11" t="s">
        <v>1253</v>
      </c>
      <c r="E62" s="11"/>
      <c r="F62" s="11"/>
    </row>
    <row r="63" spans="2:6" x14ac:dyDescent="0.35">
      <c r="B63" s="175" t="s">
        <v>1304</v>
      </c>
      <c r="C63" s="116" t="s">
        <v>1252</v>
      </c>
      <c r="D63" s="229" t="s">
        <v>1253</v>
      </c>
      <c r="E63" s="229"/>
      <c r="F63" s="229"/>
    </row>
    <row r="64" spans="2:6" x14ac:dyDescent="0.35">
      <c r="B64" s="174" t="s">
        <v>1305</v>
      </c>
      <c r="C64" s="27" t="s">
        <v>1252</v>
      </c>
      <c r="D64" s="11" t="s">
        <v>1253</v>
      </c>
      <c r="E64" s="11"/>
      <c r="F64" s="11"/>
    </row>
    <row r="65" spans="2:6" x14ac:dyDescent="0.35">
      <c r="B65" s="175" t="s">
        <v>1306</v>
      </c>
      <c r="C65" s="116" t="s">
        <v>1252</v>
      </c>
      <c r="D65" s="229" t="s">
        <v>1253</v>
      </c>
      <c r="E65" s="229"/>
      <c r="F65" s="229"/>
    </row>
    <row r="66" spans="2:6" x14ac:dyDescent="0.35">
      <c r="B66" s="174" t="s">
        <v>1307</v>
      </c>
      <c r="C66" s="27" t="s">
        <v>1252</v>
      </c>
      <c r="D66" s="11" t="s">
        <v>1253</v>
      </c>
      <c r="E66" s="11"/>
      <c r="F66" s="11"/>
    </row>
    <row r="67" spans="2:6" x14ac:dyDescent="0.35">
      <c r="B67" s="175" t="s">
        <v>1308</v>
      </c>
      <c r="C67" s="116" t="s">
        <v>1252</v>
      </c>
      <c r="D67" s="229" t="s">
        <v>1253</v>
      </c>
      <c r="E67" s="229"/>
      <c r="F67" s="229"/>
    </row>
    <row r="68" spans="2:6" x14ac:dyDescent="0.35">
      <c r="B68" s="174" t="s">
        <v>1309</v>
      </c>
      <c r="C68" s="27" t="s">
        <v>1252</v>
      </c>
      <c r="D68" s="11" t="s">
        <v>1253</v>
      </c>
      <c r="E68" s="11"/>
      <c r="F68" s="11"/>
    </row>
    <row r="69" spans="2:6" x14ac:dyDescent="0.35">
      <c r="B69" s="175" t="s">
        <v>1310</v>
      </c>
      <c r="C69" s="116" t="s">
        <v>1252</v>
      </c>
      <c r="D69" s="229" t="s">
        <v>1253</v>
      </c>
      <c r="E69" s="229"/>
      <c r="F69" s="229"/>
    </row>
    <row r="70" spans="2:6" x14ac:dyDescent="0.35">
      <c r="B70" s="174" t="s">
        <v>1311</v>
      </c>
      <c r="C70" s="27" t="s">
        <v>1252</v>
      </c>
      <c r="D70" s="11" t="s">
        <v>1253</v>
      </c>
      <c r="E70" s="11"/>
      <c r="F70" s="11"/>
    </row>
    <row r="71" spans="2:6" x14ac:dyDescent="0.35">
      <c r="B71" s="175" t="s">
        <v>1312</v>
      </c>
      <c r="C71" s="116" t="s">
        <v>1252</v>
      </c>
      <c r="D71" s="229" t="s">
        <v>1253</v>
      </c>
      <c r="E71" s="229"/>
      <c r="F71" s="229"/>
    </row>
    <row r="72" spans="2:6" x14ac:dyDescent="0.35">
      <c r="B72" s="174" t="s">
        <v>1313</v>
      </c>
      <c r="C72" s="27" t="s">
        <v>1264</v>
      </c>
      <c r="D72" s="11" t="s">
        <v>1265</v>
      </c>
      <c r="E72" s="11"/>
      <c r="F72" s="11"/>
    </row>
    <row r="73" spans="2:6" x14ac:dyDescent="0.35">
      <c r="B73" s="175" t="s">
        <v>1314</v>
      </c>
      <c r="C73" s="116" t="s">
        <v>1252</v>
      </c>
      <c r="D73" s="229" t="s">
        <v>1253</v>
      </c>
      <c r="E73" s="229"/>
      <c r="F73" s="229"/>
    </row>
    <row r="74" spans="2:6" x14ac:dyDescent="0.35">
      <c r="B74" s="174" t="s">
        <v>1315</v>
      </c>
      <c r="C74" s="27" t="s">
        <v>1252</v>
      </c>
      <c r="D74" s="11" t="s">
        <v>1253</v>
      </c>
      <c r="E74" s="11"/>
      <c r="F74" s="11"/>
    </row>
    <row r="75" spans="2:6" x14ac:dyDescent="0.35">
      <c r="B75" s="175" t="s">
        <v>1316</v>
      </c>
      <c r="C75" s="116" t="s">
        <v>1264</v>
      </c>
      <c r="D75" s="229" t="s">
        <v>1265</v>
      </c>
      <c r="E75" s="229"/>
      <c r="F75" s="229"/>
    </row>
    <row r="76" spans="2:6" x14ac:dyDescent="0.35">
      <c r="B76" s="174" t="s">
        <v>1317</v>
      </c>
      <c r="C76" s="27" t="s">
        <v>1252</v>
      </c>
      <c r="D76" s="11" t="s">
        <v>1253</v>
      </c>
      <c r="E76" s="11"/>
      <c r="F76" s="11"/>
    </row>
    <row r="77" spans="2:6" x14ac:dyDescent="0.35">
      <c r="B77" s="175" t="s">
        <v>1318</v>
      </c>
      <c r="C77" s="116" t="s">
        <v>1264</v>
      </c>
      <c r="D77" s="229" t="s">
        <v>1265</v>
      </c>
      <c r="E77" s="229"/>
      <c r="F77" s="229"/>
    </row>
    <row r="78" spans="2:6" x14ac:dyDescent="0.35">
      <c r="B78" s="174" t="s">
        <v>1319</v>
      </c>
      <c r="C78" s="27" t="s">
        <v>1264</v>
      </c>
      <c r="D78" s="11" t="s">
        <v>1265</v>
      </c>
      <c r="E78" s="11"/>
      <c r="F78" s="11"/>
    </row>
    <row r="79" spans="2:6" x14ac:dyDescent="0.35">
      <c r="B79" s="175" t="s">
        <v>1320</v>
      </c>
      <c r="C79" s="116" t="s">
        <v>1259</v>
      </c>
      <c r="D79" s="229" t="s">
        <v>1260</v>
      </c>
      <c r="E79" s="229"/>
      <c r="F79" s="229"/>
    </row>
    <row r="80" spans="2:6" x14ac:dyDescent="0.35">
      <c r="B80" s="174" t="s">
        <v>1321</v>
      </c>
      <c r="C80" s="27" t="s">
        <v>1252</v>
      </c>
      <c r="D80" s="11" t="s">
        <v>1253</v>
      </c>
      <c r="E80" s="11"/>
      <c r="F80" s="11"/>
    </row>
    <row r="81" spans="2:6" x14ac:dyDescent="0.35">
      <c r="B81" s="175" t="s">
        <v>1322</v>
      </c>
      <c r="C81" s="116" t="s">
        <v>1252</v>
      </c>
      <c r="D81" s="229" t="s">
        <v>1253</v>
      </c>
      <c r="E81" s="229"/>
      <c r="F81" s="229"/>
    </row>
    <row r="82" spans="2:6" x14ac:dyDescent="0.35">
      <c r="B82" s="174" t="s">
        <v>1323</v>
      </c>
      <c r="C82" s="27" t="s">
        <v>1252</v>
      </c>
      <c r="D82" s="11" t="s">
        <v>1253</v>
      </c>
      <c r="E82" s="11"/>
      <c r="F82" s="11"/>
    </row>
    <row r="83" spans="2:6" x14ac:dyDescent="0.35">
      <c r="B83" s="175" t="s">
        <v>1324</v>
      </c>
      <c r="C83" s="116" t="s">
        <v>1252</v>
      </c>
      <c r="D83" s="229" t="s">
        <v>1253</v>
      </c>
      <c r="E83" s="229"/>
      <c r="F83" s="229"/>
    </row>
    <row r="84" spans="2:6" x14ac:dyDescent="0.35">
      <c r="B84" s="174" t="s">
        <v>1325</v>
      </c>
      <c r="C84" s="27" t="s">
        <v>1252</v>
      </c>
      <c r="D84" s="11" t="s">
        <v>1253</v>
      </c>
      <c r="E84" s="11"/>
      <c r="F84" s="11"/>
    </row>
    <row r="85" spans="2:6" x14ac:dyDescent="0.35">
      <c r="B85" s="175" t="s">
        <v>1326</v>
      </c>
      <c r="C85" s="116" t="s">
        <v>1252</v>
      </c>
      <c r="D85" s="229" t="s">
        <v>1253</v>
      </c>
      <c r="E85" s="229"/>
      <c r="F85" s="229"/>
    </row>
    <row r="86" spans="2:6" x14ac:dyDescent="0.35">
      <c r="B86" s="174" t="s">
        <v>1327</v>
      </c>
      <c r="C86" s="27" t="s">
        <v>1252</v>
      </c>
      <c r="D86" s="11" t="s">
        <v>1253</v>
      </c>
      <c r="E86" s="11"/>
      <c r="F86" s="11"/>
    </row>
    <row r="87" spans="2:6" x14ac:dyDescent="0.35">
      <c r="B87" s="175" t="s">
        <v>1328</v>
      </c>
      <c r="C87" s="116" t="s">
        <v>1252</v>
      </c>
      <c r="D87" s="229" t="s">
        <v>1253</v>
      </c>
      <c r="E87" s="229"/>
      <c r="F87" s="229"/>
    </row>
    <row r="88" spans="2:6" x14ac:dyDescent="0.35">
      <c r="B88" s="174" t="s">
        <v>1329</v>
      </c>
      <c r="C88" s="27" t="s">
        <v>1252</v>
      </c>
      <c r="D88" s="11" t="s">
        <v>1253</v>
      </c>
      <c r="E88" s="11"/>
      <c r="F88" s="11"/>
    </row>
    <row r="89" spans="2:6" x14ac:dyDescent="0.35">
      <c r="B89" s="175" t="s">
        <v>1330</v>
      </c>
      <c r="C89" s="116" t="s">
        <v>1252</v>
      </c>
      <c r="D89" s="229" t="s">
        <v>1253</v>
      </c>
      <c r="E89" s="229"/>
      <c r="F89" s="229"/>
    </row>
    <row r="90" spans="2:6" x14ac:dyDescent="0.35">
      <c r="B90" s="174" t="s">
        <v>1331</v>
      </c>
      <c r="C90" s="27" t="s">
        <v>1240</v>
      </c>
      <c r="D90" s="11" t="s">
        <v>1241</v>
      </c>
      <c r="E90" s="11"/>
      <c r="F90" s="11"/>
    </row>
    <row r="91" spans="2:6" x14ac:dyDescent="0.35">
      <c r="B91" s="175" t="s">
        <v>1332</v>
      </c>
      <c r="C91" s="116" t="s">
        <v>1240</v>
      </c>
      <c r="D91" s="229" t="s">
        <v>1241</v>
      </c>
      <c r="E91" s="229"/>
      <c r="F91" s="229"/>
    </row>
    <row r="92" spans="2:6" x14ac:dyDescent="0.35">
      <c r="B92" s="174" t="s">
        <v>1333</v>
      </c>
      <c r="C92" s="27" t="s">
        <v>1240</v>
      </c>
      <c r="D92" s="11" t="s">
        <v>1241</v>
      </c>
      <c r="E92" s="11"/>
      <c r="F92" s="11"/>
    </row>
    <row r="93" spans="2:6" x14ac:dyDescent="0.35">
      <c r="B93" s="175" t="s">
        <v>1334</v>
      </c>
      <c r="C93" s="116" t="s">
        <v>1240</v>
      </c>
      <c r="D93" s="229" t="s">
        <v>1241</v>
      </c>
      <c r="E93" s="229"/>
      <c r="F93" s="229"/>
    </row>
    <row r="94" spans="2:6" x14ac:dyDescent="0.35">
      <c r="B94" s="174" t="s">
        <v>1335</v>
      </c>
      <c r="C94" s="27" t="s">
        <v>1240</v>
      </c>
      <c r="D94" s="11" t="s">
        <v>1241</v>
      </c>
      <c r="E94" s="11"/>
      <c r="F94" s="11"/>
    </row>
    <row r="95" spans="2:6" x14ac:dyDescent="0.35">
      <c r="B95" s="175" t="s">
        <v>1336</v>
      </c>
      <c r="C95" s="116" t="s">
        <v>1240</v>
      </c>
      <c r="D95" s="229" t="s">
        <v>1241</v>
      </c>
      <c r="E95" s="229"/>
      <c r="F95" s="229"/>
    </row>
    <row r="96" spans="2:6" x14ac:dyDescent="0.35">
      <c r="B96" s="174" t="s">
        <v>1337</v>
      </c>
      <c r="C96" s="27" t="s">
        <v>1240</v>
      </c>
      <c r="D96" s="11" t="s">
        <v>1241</v>
      </c>
      <c r="E96" s="11"/>
      <c r="F96" s="11"/>
    </row>
    <row r="97" spans="2:6" x14ac:dyDescent="0.35">
      <c r="B97" s="175" t="s">
        <v>1338</v>
      </c>
      <c r="C97" s="116" t="s">
        <v>1264</v>
      </c>
      <c r="D97" s="229" t="s">
        <v>1265</v>
      </c>
      <c r="E97" s="229"/>
      <c r="F97" s="229"/>
    </row>
    <row r="98" spans="2:6" x14ac:dyDescent="0.35">
      <c r="B98" s="174" t="s">
        <v>1339</v>
      </c>
      <c r="C98" s="27" t="s">
        <v>1252</v>
      </c>
      <c r="D98" s="11" t="s">
        <v>1253</v>
      </c>
      <c r="E98" s="11"/>
      <c r="F98" s="11"/>
    </row>
    <row r="99" spans="2:6" x14ac:dyDescent="0.35">
      <c r="B99" s="175" t="s">
        <v>1340</v>
      </c>
      <c r="C99" s="116" t="s">
        <v>1264</v>
      </c>
      <c r="D99" s="229" t="s">
        <v>1265</v>
      </c>
      <c r="E99" s="229"/>
      <c r="F99" s="229"/>
    </row>
    <row r="100" spans="2:6" x14ac:dyDescent="0.35">
      <c r="B100" s="174" t="s">
        <v>1341</v>
      </c>
      <c r="C100" s="27" t="s">
        <v>1264</v>
      </c>
      <c r="D100" s="11" t="s">
        <v>1265</v>
      </c>
      <c r="E100" s="11"/>
      <c r="F100" s="11"/>
    </row>
    <row r="101" spans="2:6" x14ac:dyDescent="0.35">
      <c r="B101" s="175" t="s">
        <v>1342</v>
      </c>
      <c r="C101" s="116" t="s">
        <v>1252</v>
      </c>
      <c r="D101" s="229" t="s">
        <v>1253</v>
      </c>
      <c r="E101" s="229"/>
      <c r="F101" s="229"/>
    </row>
    <row r="102" spans="2:6" x14ac:dyDescent="0.35">
      <c r="B102" s="174" t="s">
        <v>1343</v>
      </c>
      <c r="C102" s="27" t="s">
        <v>1264</v>
      </c>
      <c r="D102" s="11" t="s">
        <v>1265</v>
      </c>
      <c r="E102" s="11"/>
      <c r="F102" s="11"/>
    </row>
    <row r="103" spans="2:6" x14ac:dyDescent="0.35">
      <c r="B103" s="175" t="s">
        <v>1344</v>
      </c>
      <c r="C103" s="116" t="s">
        <v>1264</v>
      </c>
      <c r="D103" s="229" t="s">
        <v>1265</v>
      </c>
      <c r="E103" s="229"/>
      <c r="F103" s="229"/>
    </row>
    <row r="104" spans="2:6" x14ac:dyDescent="0.35">
      <c r="B104" s="174" t="s">
        <v>1345</v>
      </c>
      <c r="C104" s="27" t="s">
        <v>1259</v>
      </c>
      <c r="D104" s="11" t="s">
        <v>1260</v>
      </c>
      <c r="E104" s="11"/>
      <c r="F104" s="11"/>
    </row>
    <row r="105" spans="2:6" x14ac:dyDescent="0.35">
      <c r="B105" s="175" t="s">
        <v>1346</v>
      </c>
      <c r="C105" s="116" t="s">
        <v>1240</v>
      </c>
      <c r="D105" s="229" t="s">
        <v>1241</v>
      </c>
      <c r="E105" s="229"/>
      <c r="F105" s="229"/>
    </row>
    <row r="106" spans="2:6" x14ac:dyDescent="0.35">
      <c r="B106" s="174" t="s">
        <v>1347</v>
      </c>
      <c r="C106" s="27" t="s">
        <v>1240</v>
      </c>
      <c r="D106" s="11" t="s">
        <v>1241</v>
      </c>
      <c r="E106" s="11"/>
      <c r="F106" s="11"/>
    </row>
    <row r="107" spans="2:6" x14ac:dyDescent="0.35">
      <c r="B107" s="175" t="s">
        <v>1348</v>
      </c>
      <c r="C107" s="116" t="s">
        <v>1240</v>
      </c>
      <c r="D107" s="229" t="s">
        <v>1241</v>
      </c>
      <c r="E107" s="229"/>
      <c r="F107" s="229"/>
    </row>
    <row r="108" spans="2:6" x14ac:dyDescent="0.35">
      <c r="B108" s="174" t="s">
        <v>1349</v>
      </c>
      <c r="C108" s="27" t="s">
        <v>1240</v>
      </c>
      <c r="D108" s="11" t="s">
        <v>1241</v>
      </c>
      <c r="E108" s="11"/>
      <c r="F108" s="11"/>
    </row>
    <row r="109" spans="2:6" x14ac:dyDescent="0.35">
      <c r="B109" s="175" t="s">
        <v>1350</v>
      </c>
      <c r="C109" s="116" t="s">
        <v>1240</v>
      </c>
      <c r="D109" s="229" t="s">
        <v>1241</v>
      </c>
      <c r="E109" s="229"/>
      <c r="F109" s="229"/>
    </row>
    <row r="110" spans="2:6" x14ac:dyDescent="0.35">
      <c r="B110" s="174" t="s">
        <v>1351</v>
      </c>
      <c r="C110" s="27" t="s">
        <v>1240</v>
      </c>
      <c r="D110" s="11" t="s">
        <v>1241</v>
      </c>
      <c r="E110" s="11"/>
      <c r="F110" s="11"/>
    </row>
    <row r="111" spans="2:6" x14ac:dyDescent="0.35">
      <c r="B111" s="175" t="s">
        <v>1352</v>
      </c>
      <c r="C111" s="116" t="s">
        <v>1240</v>
      </c>
      <c r="D111" s="229" t="s">
        <v>1241</v>
      </c>
      <c r="E111" s="229"/>
      <c r="F111" s="229"/>
    </row>
    <row r="112" spans="2:6" x14ac:dyDescent="0.35">
      <c r="B112" s="174" t="s">
        <v>1353</v>
      </c>
      <c r="C112" s="27" t="s">
        <v>1240</v>
      </c>
      <c r="D112" s="11" t="s">
        <v>1241</v>
      </c>
      <c r="E112" s="11"/>
      <c r="F112" s="11"/>
    </row>
    <row r="113" spans="2:6" x14ac:dyDescent="0.35">
      <c r="B113" s="175" t="s">
        <v>1354</v>
      </c>
      <c r="C113" s="116" t="s">
        <v>1240</v>
      </c>
      <c r="D113" s="229" t="s">
        <v>1241</v>
      </c>
      <c r="E113" s="229"/>
      <c r="F113" s="229"/>
    </row>
    <row r="114" spans="2:6" x14ac:dyDescent="0.35">
      <c r="B114" s="174" t="s">
        <v>1355</v>
      </c>
      <c r="C114" s="27" t="s">
        <v>1240</v>
      </c>
      <c r="D114" s="11" t="s">
        <v>1241</v>
      </c>
      <c r="E114" s="11"/>
      <c r="F114" s="11"/>
    </row>
    <row r="115" spans="2:6" x14ac:dyDescent="0.35">
      <c r="B115" s="175" t="s">
        <v>1356</v>
      </c>
      <c r="C115" s="116" t="s">
        <v>1240</v>
      </c>
      <c r="D115" s="229" t="s">
        <v>1241</v>
      </c>
      <c r="E115" s="229"/>
      <c r="F115" s="229"/>
    </row>
    <row r="116" spans="2:6" x14ac:dyDescent="0.35">
      <c r="B116" s="174" t="s">
        <v>1357</v>
      </c>
      <c r="C116" s="27" t="s">
        <v>1240</v>
      </c>
      <c r="D116" s="11" t="s">
        <v>1241</v>
      </c>
      <c r="E116" s="11"/>
      <c r="F116" s="11"/>
    </row>
    <row r="117" spans="2:6" x14ac:dyDescent="0.35">
      <c r="B117" s="175" t="s">
        <v>1358</v>
      </c>
      <c r="C117" s="116" t="s">
        <v>1240</v>
      </c>
      <c r="D117" s="229" t="s">
        <v>1241</v>
      </c>
      <c r="E117" s="229"/>
      <c r="F117" s="229"/>
    </row>
    <row r="118" spans="2:6" x14ac:dyDescent="0.35">
      <c r="B118" s="174" t="s">
        <v>1359</v>
      </c>
      <c r="C118" s="27" t="s">
        <v>1240</v>
      </c>
      <c r="D118" s="11" t="s">
        <v>1241</v>
      </c>
      <c r="E118" s="11"/>
      <c r="F118" s="11"/>
    </row>
    <row r="119" spans="2:6" x14ac:dyDescent="0.35">
      <c r="B119" s="175" t="s">
        <v>1360</v>
      </c>
      <c r="C119" s="116" t="s">
        <v>1240</v>
      </c>
      <c r="D119" s="229" t="s">
        <v>1241</v>
      </c>
      <c r="E119" s="229"/>
      <c r="F119" s="229"/>
    </row>
    <row r="120" spans="2:6" x14ac:dyDescent="0.35">
      <c r="B120" s="174" t="s">
        <v>1361</v>
      </c>
      <c r="C120" s="27" t="s">
        <v>1240</v>
      </c>
      <c r="D120" s="11" t="s">
        <v>1241</v>
      </c>
      <c r="E120" s="11"/>
      <c r="F120" s="11"/>
    </row>
    <row r="121" spans="2:6" x14ac:dyDescent="0.35">
      <c r="B121" s="175" t="s">
        <v>1362</v>
      </c>
      <c r="C121" s="116" t="s">
        <v>1240</v>
      </c>
      <c r="D121" s="229" t="s">
        <v>1241</v>
      </c>
      <c r="E121" s="229"/>
      <c r="F121" s="229"/>
    </row>
    <row r="122" spans="2:6" x14ac:dyDescent="0.35">
      <c r="B122" s="174" t="s">
        <v>1363</v>
      </c>
      <c r="C122" s="27" t="s">
        <v>1240</v>
      </c>
      <c r="D122" s="11" t="s">
        <v>1241</v>
      </c>
      <c r="E122" s="11"/>
      <c r="F122" s="11"/>
    </row>
    <row r="123" spans="2:6" x14ac:dyDescent="0.35">
      <c r="B123" s="175" t="s">
        <v>1364</v>
      </c>
      <c r="C123" s="116" t="s">
        <v>1240</v>
      </c>
      <c r="D123" s="229" t="s">
        <v>1241</v>
      </c>
      <c r="E123" s="229"/>
      <c r="F123" s="229"/>
    </row>
    <row r="124" spans="2:6" x14ac:dyDescent="0.35">
      <c r="B124" s="174" t="s">
        <v>1365</v>
      </c>
      <c r="C124" s="27" t="s">
        <v>1240</v>
      </c>
      <c r="D124" s="11" t="s">
        <v>1241</v>
      </c>
      <c r="E124" s="11"/>
      <c r="F124" s="11"/>
    </row>
    <row r="125" spans="2:6" x14ac:dyDescent="0.35">
      <c r="B125" s="175" t="s">
        <v>1366</v>
      </c>
      <c r="C125" s="116" t="s">
        <v>1240</v>
      </c>
      <c r="D125" s="229" t="s">
        <v>1241</v>
      </c>
      <c r="E125" s="229"/>
      <c r="F125" s="229"/>
    </row>
    <row r="126" spans="2:6" x14ac:dyDescent="0.35">
      <c r="B126" s="174" t="s">
        <v>1367</v>
      </c>
      <c r="C126" s="27" t="s">
        <v>1240</v>
      </c>
      <c r="D126" s="11" t="s">
        <v>1241</v>
      </c>
      <c r="E126" s="11"/>
      <c r="F126" s="11"/>
    </row>
    <row r="127" spans="2:6" x14ac:dyDescent="0.35">
      <c r="B127" s="175" t="s">
        <v>1368</v>
      </c>
      <c r="C127" s="116" t="s">
        <v>1240</v>
      </c>
      <c r="D127" s="229" t="s">
        <v>1241</v>
      </c>
      <c r="E127" s="229"/>
      <c r="F127" s="229"/>
    </row>
    <row r="128" spans="2:6" x14ac:dyDescent="0.35">
      <c r="B128" s="174" t="s">
        <v>1369</v>
      </c>
      <c r="C128" s="27" t="s">
        <v>1240</v>
      </c>
      <c r="D128" s="11" t="s">
        <v>1241</v>
      </c>
      <c r="E128" s="11"/>
      <c r="F128" s="11"/>
    </row>
    <row r="129" spans="2:6" x14ac:dyDescent="0.35">
      <c r="B129" s="175" t="s">
        <v>1370</v>
      </c>
      <c r="C129" s="116" t="s">
        <v>1240</v>
      </c>
      <c r="D129" s="229" t="s">
        <v>1241</v>
      </c>
      <c r="E129" s="229"/>
      <c r="F129" s="229"/>
    </row>
    <row r="130" spans="2:6" x14ac:dyDescent="0.35">
      <c r="B130" s="174" t="s">
        <v>1371</v>
      </c>
      <c r="C130" s="27" t="s">
        <v>1240</v>
      </c>
      <c r="D130" s="11" t="s">
        <v>1241</v>
      </c>
      <c r="E130" s="11"/>
      <c r="F130" s="11"/>
    </row>
    <row r="131" spans="2:6" x14ac:dyDescent="0.35">
      <c r="B131" s="175" t="s">
        <v>1372</v>
      </c>
      <c r="C131" s="116" t="s">
        <v>1240</v>
      </c>
      <c r="D131" s="229" t="s">
        <v>1241</v>
      </c>
      <c r="E131" s="229"/>
      <c r="F131" s="229"/>
    </row>
    <row r="132" spans="2:6" x14ac:dyDescent="0.35">
      <c r="B132" s="174" t="s">
        <v>1373</v>
      </c>
      <c r="C132" s="27" t="s">
        <v>1240</v>
      </c>
      <c r="D132" s="11" t="s">
        <v>1241</v>
      </c>
      <c r="E132" s="11"/>
      <c r="F132" s="11"/>
    </row>
    <row r="133" spans="2:6" x14ac:dyDescent="0.35">
      <c r="B133" s="175" t="s">
        <v>1374</v>
      </c>
      <c r="C133" s="116" t="s">
        <v>1240</v>
      </c>
      <c r="D133" s="229" t="s">
        <v>1241</v>
      </c>
      <c r="E133" s="229"/>
      <c r="F133" s="229"/>
    </row>
    <row r="134" spans="2:6" x14ac:dyDescent="0.35">
      <c r="B134" s="174" t="s">
        <v>1375</v>
      </c>
      <c r="C134" s="27" t="s">
        <v>1240</v>
      </c>
      <c r="D134" s="11" t="s">
        <v>1241</v>
      </c>
      <c r="E134" s="11"/>
      <c r="F134" s="11"/>
    </row>
    <row r="135" spans="2:6" x14ac:dyDescent="0.35">
      <c r="B135" s="175" t="s">
        <v>1376</v>
      </c>
      <c r="C135" s="116" t="s">
        <v>1377</v>
      </c>
      <c r="D135" s="229" t="s">
        <v>1241</v>
      </c>
      <c r="E135" s="229"/>
      <c r="F135" s="229"/>
    </row>
    <row r="136" spans="2:6" x14ac:dyDescent="0.35">
      <c r="B136" s="174" t="s">
        <v>1378</v>
      </c>
      <c r="C136" s="27" t="s">
        <v>1377</v>
      </c>
      <c r="D136" s="11" t="s">
        <v>1241</v>
      </c>
      <c r="E136" s="11"/>
      <c r="F136" s="11"/>
    </row>
    <row r="137" spans="2:6" x14ac:dyDescent="0.35">
      <c r="B137" s="175" t="s">
        <v>1379</v>
      </c>
      <c r="C137" s="116" t="s">
        <v>1377</v>
      </c>
      <c r="D137" s="229" t="s">
        <v>1241</v>
      </c>
      <c r="E137" s="229"/>
      <c r="F137" s="229"/>
    </row>
    <row r="138" spans="2:6" x14ac:dyDescent="0.35">
      <c r="B138" s="174" t="s">
        <v>1380</v>
      </c>
      <c r="C138" s="27" t="s">
        <v>1377</v>
      </c>
      <c r="D138" s="11" t="s">
        <v>1241</v>
      </c>
      <c r="E138" s="11"/>
      <c r="F138" s="11"/>
    </row>
    <row r="139" spans="2:6" x14ac:dyDescent="0.35">
      <c r="B139" s="175" t="s">
        <v>1381</v>
      </c>
      <c r="C139" s="116" t="s">
        <v>1377</v>
      </c>
      <c r="D139" s="229" t="s">
        <v>1241</v>
      </c>
      <c r="E139" s="229"/>
      <c r="F139" s="229"/>
    </row>
    <row r="140" spans="2:6" x14ac:dyDescent="0.35">
      <c r="B140" s="174" t="s">
        <v>1382</v>
      </c>
      <c r="C140" s="27" t="s">
        <v>1377</v>
      </c>
      <c r="D140" s="11" t="s">
        <v>1241</v>
      </c>
      <c r="E140" s="11"/>
      <c r="F140" s="11"/>
    </row>
    <row r="141" spans="2:6" x14ac:dyDescent="0.35">
      <c r="B141" s="175" t="s">
        <v>1383</v>
      </c>
      <c r="C141" s="116" t="s">
        <v>1377</v>
      </c>
      <c r="D141" s="229" t="s">
        <v>1241</v>
      </c>
      <c r="E141" s="229"/>
      <c r="F141" s="229"/>
    </row>
    <row r="142" spans="2:6" x14ac:dyDescent="0.35">
      <c r="B142" s="174" t="s">
        <v>1384</v>
      </c>
      <c r="C142" s="27" t="s">
        <v>1377</v>
      </c>
      <c r="D142" s="11" t="s">
        <v>1241</v>
      </c>
      <c r="E142" s="11"/>
      <c r="F142" s="11"/>
    </row>
    <row r="143" spans="2:6" x14ac:dyDescent="0.35">
      <c r="B143" s="175" t="s">
        <v>1385</v>
      </c>
      <c r="C143" s="116" t="s">
        <v>1377</v>
      </c>
      <c r="D143" s="229" t="s">
        <v>1241</v>
      </c>
      <c r="E143" s="229"/>
      <c r="F143" s="229"/>
    </row>
    <row r="144" spans="2:6" x14ac:dyDescent="0.35">
      <c r="B144" s="174" t="s">
        <v>1386</v>
      </c>
      <c r="C144" s="27" t="s">
        <v>1377</v>
      </c>
      <c r="D144" s="11" t="s">
        <v>1241</v>
      </c>
      <c r="E144" s="11"/>
      <c r="F144" s="11"/>
    </row>
    <row r="145" spans="2:6" x14ac:dyDescent="0.35">
      <c r="B145" s="175" t="s">
        <v>1387</v>
      </c>
      <c r="C145" s="116" t="s">
        <v>1377</v>
      </c>
      <c r="D145" s="229" t="s">
        <v>1241</v>
      </c>
      <c r="E145" s="229"/>
      <c r="F145" s="229"/>
    </row>
    <row r="146" spans="2:6" x14ac:dyDescent="0.35">
      <c r="B146" s="174" t="s">
        <v>1388</v>
      </c>
      <c r="C146" s="27" t="s">
        <v>1377</v>
      </c>
      <c r="D146" s="11" t="s">
        <v>1241</v>
      </c>
      <c r="E146" s="11"/>
      <c r="F146" s="11"/>
    </row>
    <row r="147" spans="2:6" x14ac:dyDescent="0.35">
      <c r="B147" s="175" t="s">
        <v>1389</v>
      </c>
      <c r="C147" s="116" t="s">
        <v>1377</v>
      </c>
      <c r="D147" s="229" t="s">
        <v>1241</v>
      </c>
      <c r="E147" s="229"/>
      <c r="F147" s="229"/>
    </row>
    <row r="148" spans="2:6" x14ac:dyDescent="0.35">
      <c r="B148" s="174" t="s">
        <v>1390</v>
      </c>
      <c r="C148" s="27" t="s">
        <v>1377</v>
      </c>
      <c r="D148" s="11" t="s">
        <v>1241</v>
      </c>
      <c r="E148" s="11"/>
      <c r="F148" s="11"/>
    </row>
    <row r="149" spans="2:6" x14ac:dyDescent="0.35">
      <c r="B149" s="175" t="s">
        <v>1391</v>
      </c>
      <c r="C149" s="116" t="s">
        <v>1377</v>
      </c>
      <c r="D149" s="229" t="s">
        <v>1241</v>
      </c>
      <c r="E149" s="229"/>
      <c r="F149" s="229"/>
    </row>
    <row r="150" spans="2:6" x14ac:dyDescent="0.35">
      <c r="B150" s="174" t="s">
        <v>1392</v>
      </c>
      <c r="C150" s="27" t="s">
        <v>1377</v>
      </c>
      <c r="D150" s="11" t="s">
        <v>1241</v>
      </c>
      <c r="E150" s="11"/>
      <c r="F150" s="11"/>
    </row>
    <row r="151" spans="2:6" x14ac:dyDescent="0.35">
      <c r="B151" s="175" t="s">
        <v>1393</v>
      </c>
      <c r="C151" s="116" t="s">
        <v>1377</v>
      </c>
      <c r="D151" s="229" t="s">
        <v>1241</v>
      </c>
      <c r="E151" s="229"/>
      <c r="F151" s="229"/>
    </row>
    <row r="152" spans="2:6" x14ac:dyDescent="0.35">
      <c r="B152" s="174" t="s">
        <v>1394</v>
      </c>
      <c r="C152" s="27" t="s">
        <v>1377</v>
      </c>
      <c r="D152" s="11" t="s">
        <v>1241</v>
      </c>
      <c r="E152" s="11"/>
      <c r="F152" s="11"/>
    </row>
    <row r="153" spans="2:6" x14ac:dyDescent="0.35">
      <c r="B153" s="175" t="s">
        <v>1395</v>
      </c>
      <c r="C153" s="116" t="s">
        <v>1377</v>
      </c>
      <c r="D153" s="229" t="s">
        <v>1241</v>
      </c>
      <c r="E153" s="229"/>
      <c r="F153" s="229"/>
    </row>
    <row r="154" spans="2:6" x14ac:dyDescent="0.35">
      <c r="B154" s="174" t="s">
        <v>1396</v>
      </c>
      <c r="C154" s="27" t="s">
        <v>1377</v>
      </c>
      <c r="D154" s="11" t="s">
        <v>1241</v>
      </c>
      <c r="E154" s="11"/>
      <c r="F154" s="11"/>
    </row>
    <row r="155" spans="2:6" x14ac:dyDescent="0.35">
      <c r="B155" s="175" t="s">
        <v>1397</v>
      </c>
      <c r="C155" s="116" t="s">
        <v>1377</v>
      </c>
      <c r="D155" s="229" t="s">
        <v>1241</v>
      </c>
      <c r="E155" s="229"/>
      <c r="F155" s="229"/>
    </row>
    <row r="156" spans="2:6" x14ac:dyDescent="0.35">
      <c r="B156" s="174" t="s">
        <v>1398</v>
      </c>
      <c r="C156" s="27" t="s">
        <v>1377</v>
      </c>
      <c r="D156" s="11" t="s">
        <v>1241</v>
      </c>
      <c r="E156" s="11"/>
      <c r="F156" s="11"/>
    </row>
    <row r="157" spans="2:6" x14ac:dyDescent="0.35">
      <c r="B157" s="175" t="s">
        <v>1399</v>
      </c>
      <c r="C157" s="116" t="s">
        <v>1377</v>
      </c>
      <c r="D157" s="229" t="s">
        <v>1241</v>
      </c>
      <c r="E157" s="229"/>
      <c r="F157" s="229"/>
    </row>
    <row r="158" spans="2:6" x14ac:dyDescent="0.35">
      <c r="B158" s="174" t="s">
        <v>1400</v>
      </c>
      <c r="C158" s="27" t="s">
        <v>1377</v>
      </c>
      <c r="D158" s="11" t="s">
        <v>1241</v>
      </c>
      <c r="E158" s="11"/>
      <c r="F158" s="11"/>
    </row>
    <row r="159" spans="2:6" x14ac:dyDescent="0.35">
      <c r="B159" s="175" t="s">
        <v>1401</v>
      </c>
      <c r="C159" s="116" t="s">
        <v>1377</v>
      </c>
      <c r="D159" s="229" t="s">
        <v>1241</v>
      </c>
      <c r="E159" s="229"/>
      <c r="F159" s="229"/>
    </row>
    <row r="160" spans="2:6" x14ac:dyDescent="0.35">
      <c r="B160" s="174" t="s">
        <v>1402</v>
      </c>
      <c r="C160" s="27" t="s">
        <v>1377</v>
      </c>
      <c r="D160" s="11" t="s">
        <v>1241</v>
      </c>
      <c r="E160" s="11"/>
      <c r="F160" s="11"/>
    </row>
    <row r="161" spans="2:6" x14ac:dyDescent="0.35">
      <c r="B161" s="175" t="s">
        <v>1403</v>
      </c>
      <c r="C161" s="116" t="s">
        <v>1377</v>
      </c>
      <c r="D161" s="229" t="s">
        <v>1241</v>
      </c>
      <c r="E161" s="229"/>
      <c r="F161" s="229"/>
    </row>
    <row r="162" spans="2:6" x14ac:dyDescent="0.35">
      <c r="B162" s="174" t="s">
        <v>1404</v>
      </c>
      <c r="C162" s="27" t="s">
        <v>1377</v>
      </c>
      <c r="D162" s="11" t="s">
        <v>1241</v>
      </c>
      <c r="E162" s="11"/>
      <c r="F162" s="11"/>
    </row>
    <row r="163" spans="2:6" x14ac:dyDescent="0.35">
      <c r="B163" s="175" t="s">
        <v>1405</v>
      </c>
      <c r="C163" s="116" t="s">
        <v>1377</v>
      </c>
      <c r="D163" s="229" t="s">
        <v>1241</v>
      </c>
      <c r="E163" s="229"/>
      <c r="F163" s="229"/>
    </row>
    <row r="164" spans="2:6" x14ac:dyDescent="0.35">
      <c r="B164" s="174" t="s">
        <v>1406</v>
      </c>
      <c r="C164" s="27" t="s">
        <v>1377</v>
      </c>
      <c r="D164" s="11" t="s">
        <v>1241</v>
      </c>
      <c r="E164" s="11"/>
      <c r="F164" s="11"/>
    </row>
    <row r="165" spans="2:6" x14ac:dyDescent="0.35">
      <c r="B165" s="175" t="s">
        <v>1407</v>
      </c>
      <c r="C165" s="116" t="s">
        <v>1377</v>
      </c>
      <c r="D165" s="229" t="s">
        <v>1241</v>
      </c>
      <c r="E165" s="229"/>
      <c r="F165" s="229"/>
    </row>
    <row r="166" spans="2:6" x14ac:dyDescent="0.35">
      <c r="B166" s="174" t="s">
        <v>1408</v>
      </c>
      <c r="C166" s="27" t="s">
        <v>1377</v>
      </c>
      <c r="D166" s="11" t="s">
        <v>1241</v>
      </c>
      <c r="E166" s="11"/>
      <c r="F166" s="11"/>
    </row>
    <row r="167" spans="2:6" x14ac:dyDescent="0.35">
      <c r="B167" s="175" t="s">
        <v>1409</v>
      </c>
      <c r="C167" s="116" t="s">
        <v>1377</v>
      </c>
      <c r="D167" s="229" t="s">
        <v>1241</v>
      </c>
      <c r="E167" s="229"/>
      <c r="F167" s="229"/>
    </row>
    <row r="168" spans="2:6" x14ac:dyDescent="0.35">
      <c r="B168" s="174" t="s">
        <v>1410</v>
      </c>
      <c r="C168" s="27" t="s">
        <v>1377</v>
      </c>
      <c r="D168" s="11" t="s">
        <v>1241</v>
      </c>
      <c r="E168" s="11"/>
      <c r="F168" s="11"/>
    </row>
    <row r="169" spans="2:6" x14ac:dyDescent="0.35">
      <c r="B169" s="175" t="s">
        <v>1411</v>
      </c>
      <c r="C169" s="116" t="s">
        <v>1377</v>
      </c>
      <c r="D169" s="229" t="s">
        <v>1241</v>
      </c>
      <c r="E169" s="229"/>
      <c r="F169" s="229"/>
    </row>
    <row r="170" spans="2:6" x14ac:dyDescent="0.35">
      <c r="B170" s="174" t="s">
        <v>1412</v>
      </c>
      <c r="C170" s="27" t="s">
        <v>1377</v>
      </c>
      <c r="D170" s="11" t="s">
        <v>1241</v>
      </c>
      <c r="E170" s="11"/>
      <c r="F170" s="11"/>
    </row>
    <row r="171" spans="2:6" x14ac:dyDescent="0.35">
      <c r="B171" s="175" t="s">
        <v>1413</v>
      </c>
      <c r="C171" s="116" t="s">
        <v>1377</v>
      </c>
      <c r="D171" s="229" t="s">
        <v>1241</v>
      </c>
      <c r="E171" s="229"/>
      <c r="F171" s="229"/>
    </row>
    <row r="172" spans="2:6" x14ac:dyDescent="0.35">
      <c r="B172" s="174" t="s">
        <v>1414</v>
      </c>
      <c r="C172" s="27" t="s">
        <v>1377</v>
      </c>
      <c r="D172" s="11" t="s">
        <v>1241</v>
      </c>
      <c r="E172" s="11"/>
      <c r="F172" s="11"/>
    </row>
    <row r="173" spans="2:6" x14ac:dyDescent="0.35">
      <c r="B173" s="175" t="s">
        <v>1415</v>
      </c>
      <c r="C173" s="116" t="s">
        <v>1377</v>
      </c>
      <c r="D173" s="229" t="s">
        <v>1241</v>
      </c>
      <c r="E173" s="229"/>
      <c r="F173" s="229"/>
    </row>
    <row r="174" spans="2:6" x14ac:dyDescent="0.35">
      <c r="B174" s="174" t="s">
        <v>1416</v>
      </c>
      <c r="C174" s="27" t="s">
        <v>1377</v>
      </c>
      <c r="D174" s="11" t="s">
        <v>1241</v>
      </c>
      <c r="E174" s="11"/>
      <c r="F174" s="11"/>
    </row>
    <row r="175" spans="2:6" x14ac:dyDescent="0.35">
      <c r="B175" s="175" t="s">
        <v>1417</v>
      </c>
      <c r="C175" s="116" t="s">
        <v>1377</v>
      </c>
      <c r="D175" s="229" t="s">
        <v>1241</v>
      </c>
      <c r="E175" s="229"/>
      <c r="F175" s="229"/>
    </row>
    <row r="176" spans="2:6" x14ac:dyDescent="0.35">
      <c r="B176" s="174" t="s">
        <v>1418</v>
      </c>
      <c r="C176" s="27" t="s">
        <v>1377</v>
      </c>
      <c r="D176" s="11" t="s">
        <v>1241</v>
      </c>
      <c r="E176" s="11"/>
      <c r="F176" s="11"/>
    </row>
    <row r="177" spans="2:6" x14ac:dyDescent="0.35">
      <c r="B177" s="175" t="s">
        <v>1419</v>
      </c>
      <c r="C177" s="116" t="s">
        <v>1377</v>
      </c>
      <c r="D177" s="229" t="s">
        <v>1241</v>
      </c>
      <c r="E177" s="229"/>
      <c r="F177" s="229"/>
    </row>
    <row r="178" spans="2:6" x14ac:dyDescent="0.35">
      <c r="B178" s="174" t="s">
        <v>1420</v>
      </c>
      <c r="C178" s="27" t="s">
        <v>1377</v>
      </c>
      <c r="D178" s="11" t="s">
        <v>1241</v>
      </c>
      <c r="E178" s="11"/>
      <c r="F178" s="11"/>
    </row>
    <row r="179" spans="2:6" x14ac:dyDescent="0.35">
      <c r="B179" s="175" t="s">
        <v>1421</v>
      </c>
      <c r="C179" s="116" t="s">
        <v>1377</v>
      </c>
      <c r="D179" s="229" t="s">
        <v>1241</v>
      </c>
      <c r="E179" s="229"/>
      <c r="F179" s="229"/>
    </row>
    <row r="180" spans="2:6" x14ac:dyDescent="0.35">
      <c r="B180" s="174" t="s">
        <v>1422</v>
      </c>
      <c r="C180" s="27" t="s">
        <v>1377</v>
      </c>
      <c r="D180" s="11" t="s">
        <v>1241</v>
      </c>
      <c r="E180" s="11"/>
      <c r="F180" s="11"/>
    </row>
    <row r="181" spans="2:6" x14ac:dyDescent="0.35">
      <c r="B181" s="175" t="s">
        <v>1423</v>
      </c>
      <c r="C181" s="116" t="s">
        <v>1377</v>
      </c>
      <c r="D181" s="229" t="s">
        <v>1241</v>
      </c>
      <c r="E181" s="229"/>
      <c r="F181" s="229"/>
    </row>
    <row r="182" spans="2:6" x14ac:dyDescent="0.35">
      <c r="B182" s="174" t="s">
        <v>1424</v>
      </c>
      <c r="C182" s="27" t="s">
        <v>1425</v>
      </c>
      <c r="D182" s="11" t="s">
        <v>1253</v>
      </c>
      <c r="E182" s="11"/>
      <c r="F182" s="11"/>
    </row>
    <row r="183" spans="2:6" x14ac:dyDescent="0.35">
      <c r="B183" s="175" t="s">
        <v>1426</v>
      </c>
      <c r="C183" s="116" t="s">
        <v>1425</v>
      </c>
      <c r="D183" s="229" t="s">
        <v>1253</v>
      </c>
      <c r="E183" s="229"/>
      <c r="F183" s="229"/>
    </row>
    <row r="184" spans="2:6" x14ac:dyDescent="0.35">
      <c r="B184" s="174" t="s">
        <v>1427</v>
      </c>
      <c r="C184" s="27" t="s">
        <v>1425</v>
      </c>
      <c r="D184" s="11" t="s">
        <v>1253</v>
      </c>
      <c r="E184" s="11"/>
      <c r="F184" s="11"/>
    </row>
    <row r="185" spans="2:6" x14ac:dyDescent="0.35">
      <c r="B185" s="175" t="s">
        <v>1428</v>
      </c>
      <c r="C185" s="116" t="s">
        <v>1377</v>
      </c>
      <c r="D185" s="229" t="s">
        <v>1241</v>
      </c>
      <c r="E185" s="229"/>
      <c r="F185" s="229"/>
    </row>
    <row r="186" spans="2:6" x14ac:dyDescent="0.35">
      <c r="B186" s="174" t="s">
        <v>1429</v>
      </c>
      <c r="C186" s="27" t="s">
        <v>1425</v>
      </c>
      <c r="D186" s="11" t="s">
        <v>1253</v>
      </c>
      <c r="E186" s="11"/>
      <c r="F186" s="11"/>
    </row>
    <row r="187" spans="2:6" x14ac:dyDescent="0.35">
      <c r="B187" s="175" t="s">
        <v>1430</v>
      </c>
      <c r="C187" s="116" t="s">
        <v>1425</v>
      </c>
      <c r="D187" s="229" t="s">
        <v>1253</v>
      </c>
      <c r="E187" s="229"/>
      <c r="F187" s="229"/>
    </row>
    <row r="188" spans="2:6" x14ac:dyDescent="0.35">
      <c r="B188" s="174" t="s">
        <v>1431</v>
      </c>
      <c r="C188" s="27" t="s">
        <v>1425</v>
      </c>
      <c r="D188" s="11" t="s">
        <v>1253</v>
      </c>
      <c r="E188" s="11"/>
      <c r="F188" s="11"/>
    </row>
    <row r="189" spans="2:6" x14ac:dyDescent="0.35">
      <c r="B189" s="175" t="s">
        <v>1432</v>
      </c>
      <c r="C189" s="116" t="s">
        <v>1425</v>
      </c>
      <c r="D189" s="229" t="s">
        <v>1253</v>
      </c>
      <c r="E189" s="229"/>
      <c r="F189" s="229"/>
    </row>
    <row r="190" spans="2:6" x14ac:dyDescent="0.35">
      <c r="B190" s="174" t="s">
        <v>1433</v>
      </c>
      <c r="C190" s="27" t="s">
        <v>1425</v>
      </c>
      <c r="D190" s="11" t="s">
        <v>1253</v>
      </c>
      <c r="E190" s="11"/>
      <c r="F190" s="11"/>
    </row>
    <row r="191" spans="2:6" x14ac:dyDescent="0.35">
      <c r="B191" s="175" t="s">
        <v>1434</v>
      </c>
      <c r="C191" s="116" t="s">
        <v>1435</v>
      </c>
      <c r="D191" s="229" t="s">
        <v>1265</v>
      </c>
      <c r="E191" s="229"/>
      <c r="F191" s="229"/>
    </row>
    <row r="192" spans="2:6" x14ac:dyDescent="0.35">
      <c r="B192" s="174" t="s">
        <v>1436</v>
      </c>
      <c r="C192" s="27" t="s">
        <v>1435</v>
      </c>
      <c r="D192" s="11" t="s">
        <v>1265</v>
      </c>
      <c r="E192" s="11"/>
      <c r="F192" s="11"/>
    </row>
    <row r="193" spans="2:6" x14ac:dyDescent="0.35">
      <c r="B193" s="175" t="s">
        <v>1437</v>
      </c>
      <c r="C193" s="116" t="s">
        <v>1377</v>
      </c>
      <c r="D193" s="229" t="s">
        <v>1241</v>
      </c>
      <c r="E193" s="229"/>
      <c r="F193" s="229"/>
    </row>
    <row r="194" spans="2:6" x14ac:dyDescent="0.35">
      <c r="B194" s="174" t="s">
        <v>1438</v>
      </c>
      <c r="C194" s="27" t="s">
        <v>1377</v>
      </c>
      <c r="D194" s="11" t="s">
        <v>1241</v>
      </c>
      <c r="E194" s="11"/>
      <c r="F194" s="11"/>
    </row>
    <row r="195" spans="2:6" x14ac:dyDescent="0.35">
      <c r="B195" s="175" t="s">
        <v>1439</v>
      </c>
      <c r="C195" s="116" t="s">
        <v>1377</v>
      </c>
      <c r="D195" s="229" t="s">
        <v>1241</v>
      </c>
      <c r="E195" s="229"/>
      <c r="F195" s="229"/>
    </row>
    <row r="196" spans="2:6" x14ac:dyDescent="0.35">
      <c r="B196" s="174" t="s">
        <v>1440</v>
      </c>
      <c r="C196" s="27" t="s">
        <v>1377</v>
      </c>
      <c r="D196" s="11" t="s">
        <v>1241</v>
      </c>
      <c r="E196" s="11"/>
      <c r="F196" s="11"/>
    </row>
    <row r="197" spans="2:6" x14ac:dyDescent="0.35">
      <c r="B197" s="175" t="s">
        <v>1441</v>
      </c>
      <c r="C197" s="116" t="s">
        <v>1377</v>
      </c>
      <c r="D197" s="229" t="s">
        <v>1241</v>
      </c>
      <c r="E197" s="229"/>
      <c r="F197" s="229"/>
    </row>
    <row r="198" spans="2:6" x14ac:dyDescent="0.35">
      <c r="B198" s="174" t="s">
        <v>1442</v>
      </c>
      <c r="C198" s="27" t="s">
        <v>1377</v>
      </c>
      <c r="D198" s="11" t="s">
        <v>1241</v>
      </c>
      <c r="E198" s="11"/>
      <c r="F198" s="11"/>
    </row>
    <row r="199" spans="2:6" x14ac:dyDescent="0.35">
      <c r="B199" s="175" t="s">
        <v>1443</v>
      </c>
      <c r="C199" s="116" t="s">
        <v>1377</v>
      </c>
      <c r="D199" s="229" t="s">
        <v>1241</v>
      </c>
      <c r="E199" s="229"/>
      <c r="F199" s="229"/>
    </row>
    <row r="200" spans="2:6" x14ac:dyDescent="0.35">
      <c r="B200" s="174" t="s">
        <v>1444</v>
      </c>
      <c r="C200" s="27" t="s">
        <v>1377</v>
      </c>
      <c r="D200" s="11" t="s">
        <v>1241</v>
      </c>
      <c r="E200" s="11"/>
      <c r="F200" s="11"/>
    </row>
    <row r="201" spans="2:6" x14ac:dyDescent="0.35">
      <c r="B201" s="175" t="s">
        <v>1445</v>
      </c>
      <c r="C201" s="116" t="s">
        <v>1377</v>
      </c>
      <c r="D201" s="229" t="s">
        <v>1241</v>
      </c>
      <c r="E201" s="229"/>
      <c r="F201" s="229"/>
    </row>
    <row r="202" spans="2:6" x14ac:dyDescent="0.35">
      <c r="B202" s="174" t="s">
        <v>1446</v>
      </c>
      <c r="C202" s="27" t="s">
        <v>1377</v>
      </c>
      <c r="D202" s="11" t="s">
        <v>1241</v>
      </c>
      <c r="E202" s="11"/>
      <c r="F202" s="11"/>
    </row>
    <row r="203" spans="2:6" x14ac:dyDescent="0.35">
      <c r="B203" s="175" t="s">
        <v>1447</v>
      </c>
      <c r="C203" s="116" t="s">
        <v>1425</v>
      </c>
      <c r="D203" s="229" t="s">
        <v>1253</v>
      </c>
      <c r="E203" s="229"/>
      <c r="F203" s="229"/>
    </row>
    <row r="204" spans="2:6" x14ac:dyDescent="0.35">
      <c r="B204" s="174" t="s">
        <v>1448</v>
      </c>
      <c r="C204" s="27" t="s">
        <v>1425</v>
      </c>
      <c r="D204" s="11" t="s">
        <v>1253</v>
      </c>
      <c r="E204" s="11"/>
      <c r="F204" s="11"/>
    </row>
    <row r="205" spans="2:6" x14ac:dyDescent="0.35">
      <c r="B205" s="175" t="s">
        <v>1449</v>
      </c>
      <c r="C205" s="116" t="s">
        <v>1425</v>
      </c>
      <c r="D205" s="229" t="s">
        <v>1253</v>
      </c>
      <c r="E205" s="229"/>
      <c r="F205" s="229"/>
    </row>
    <row r="206" spans="2:6" x14ac:dyDescent="0.35">
      <c r="B206" s="174" t="s">
        <v>1450</v>
      </c>
      <c r="C206" s="27" t="s">
        <v>1435</v>
      </c>
      <c r="D206" s="11" t="s">
        <v>1265</v>
      </c>
      <c r="E206" s="11"/>
      <c r="F206" s="11"/>
    </row>
    <row r="207" spans="2:6" x14ac:dyDescent="0.35">
      <c r="B207" s="175" t="s">
        <v>1451</v>
      </c>
      <c r="C207" s="116" t="s">
        <v>1435</v>
      </c>
      <c r="D207" s="229" t="s">
        <v>1265</v>
      </c>
      <c r="E207" s="229"/>
      <c r="F207" s="229"/>
    </row>
    <row r="208" spans="2:6" x14ac:dyDescent="0.35">
      <c r="B208" s="174" t="s">
        <v>1452</v>
      </c>
      <c r="C208" s="27" t="s">
        <v>1425</v>
      </c>
      <c r="D208" s="11" t="s">
        <v>1253</v>
      </c>
      <c r="E208" s="11"/>
      <c r="F208" s="11"/>
    </row>
    <row r="209" spans="2:6" x14ac:dyDescent="0.35">
      <c r="B209" s="175" t="s">
        <v>1453</v>
      </c>
      <c r="C209" s="116" t="s">
        <v>1425</v>
      </c>
      <c r="D209" s="229" t="s">
        <v>1253</v>
      </c>
      <c r="E209" s="229"/>
      <c r="F209" s="229"/>
    </row>
    <row r="210" spans="2:6" x14ac:dyDescent="0.35">
      <c r="B210" s="174" t="s">
        <v>1454</v>
      </c>
      <c r="C210" s="27" t="s">
        <v>1425</v>
      </c>
      <c r="D210" s="11" t="s">
        <v>1253</v>
      </c>
      <c r="E210" s="11"/>
      <c r="F210" s="11"/>
    </row>
    <row r="211" spans="2:6" x14ac:dyDescent="0.35">
      <c r="B211" s="175" t="s">
        <v>1455</v>
      </c>
      <c r="C211" s="116" t="s">
        <v>1377</v>
      </c>
      <c r="D211" s="229" t="s">
        <v>1241</v>
      </c>
      <c r="E211" s="229"/>
      <c r="F211" s="229"/>
    </row>
    <row r="212" spans="2:6" x14ac:dyDescent="0.35">
      <c r="B212" s="174" t="s">
        <v>1456</v>
      </c>
      <c r="C212" s="27" t="s">
        <v>1377</v>
      </c>
      <c r="D212" s="11" t="s">
        <v>1241</v>
      </c>
      <c r="E212" s="11"/>
      <c r="F212" s="11"/>
    </row>
    <row r="213" spans="2:6" x14ac:dyDescent="0.35">
      <c r="B213" s="175" t="s">
        <v>1457</v>
      </c>
      <c r="C213" s="116" t="s">
        <v>1377</v>
      </c>
      <c r="D213" s="229" t="s">
        <v>1241</v>
      </c>
      <c r="E213" s="229"/>
      <c r="F213" s="229"/>
    </row>
    <row r="214" spans="2:6" x14ac:dyDescent="0.35">
      <c r="B214" s="174" t="s">
        <v>1458</v>
      </c>
      <c r="C214" s="27" t="s">
        <v>1377</v>
      </c>
      <c r="D214" s="11" t="s">
        <v>1241</v>
      </c>
      <c r="E214" s="11"/>
      <c r="F214" s="11"/>
    </row>
    <row r="215" spans="2:6" x14ac:dyDescent="0.35">
      <c r="B215" s="175" t="s">
        <v>1459</v>
      </c>
      <c r="C215" s="116" t="s">
        <v>1377</v>
      </c>
      <c r="D215" s="229" t="s">
        <v>1241</v>
      </c>
      <c r="E215" s="229"/>
      <c r="F215" s="229"/>
    </row>
    <row r="216" spans="2:6" x14ac:dyDescent="0.35">
      <c r="B216" s="174" t="s">
        <v>1460</v>
      </c>
      <c r="C216" s="27" t="s">
        <v>1377</v>
      </c>
      <c r="D216" s="11" t="s">
        <v>1241</v>
      </c>
      <c r="E216" s="11"/>
      <c r="F216" s="11"/>
    </row>
    <row r="217" spans="2:6" x14ac:dyDescent="0.35">
      <c r="B217" s="175" t="s">
        <v>1461</v>
      </c>
      <c r="C217" s="116" t="s">
        <v>1377</v>
      </c>
      <c r="D217" s="229" t="s">
        <v>1241</v>
      </c>
      <c r="E217" s="229"/>
      <c r="F217" s="229"/>
    </row>
    <row r="218" spans="2:6" x14ac:dyDescent="0.35">
      <c r="B218" s="174" t="s">
        <v>1462</v>
      </c>
      <c r="C218" s="27" t="s">
        <v>1377</v>
      </c>
      <c r="D218" s="11" t="s">
        <v>1241</v>
      </c>
      <c r="E218" s="11"/>
      <c r="F218" s="11"/>
    </row>
    <row r="219" spans="2:6" x14ac:dyDescent="0.35">
      <c r="B219" s="175" t="s">
        <v>1463</v>
      </c>
      <c r="C219" s="116" t="s">
        <v>1377</v>
      </c>
      <c r="D219" s="229" t="s">
        <v>1241</v>
      </c>
      <c r="E219" s="229"/>
      <c r="F219" s="229"/>
    </row>
    <row r="220" spans="2:6" x14ac:dyDescent="0.35">
      <c r="B220" s="174" t="s">
        <v>1464</v>
      </c>
      <c r="C220" s="27" t="s">
        <v>1377</v>
      </c>
      <c r="D220" s="11" t="s">
        <v>1241</v>
      </c>
      <c r="E220" s="11"/>
      <c r="F220" s="11"/>
    </row>
    <row r="221" spans="2:6" x14ac:dyDescent="0.35">
      <c r="B221" s="175" t="s">
        <v>1465</v>
      </c>
      <c r="C221" s="116" t="s">
        <v>1377</v>
      </c>
      <c r="D221" s="229" t="s">
        <v>1241</v>
      </c>
      <c r="E221" s="229"/>
      <c r="F221" s="229"/>
    </row>
    <row r="222" spans="2:6" x14ac:dyDescent="0.35">
      <c r="B222" s="174" t="s">
        <v>1466</v>
      </c>
      <c r="C222" s="27" t="s">
        <v>1377</v>
      </c>
      <c r="D222" s="11" t="s">
        <v>1241</v>
      </c>
      <c r="E222" s="11"/>
      <c r="F222" s="11"/>
    </row>
    <row r="223" spans="2:6" x14ac:dyDescent="0.35">
      <c r="B223" s="175" t="s">
        <v>1467</v>
      </c>
      <c r="C223" s="116" t="s">
        <v>1377</v>
      </c>
      <c r="D223" s="229" t="s">
        <v>1241</v>
      </c>
      <c r="E223" s="229"/>
      <c r="F223" s="229"/>
    </row>
    <row r="224" spans="2:6" x14ac:dyDescent="0.35">
      <c r="B224" s="174" t="s">
        <v>1468</v>
      </c>
      <c r="C224" s="27" t="s">
        <v>1377</v>
      </c>
      <c r="D224" s="11" t="s">
        <v>1241</v>
      </c>
      <c r="E224" s="11"/>
      <c r="F224" s="11"/>
    </row>
    <row r="225" spans="2:6" x14ac:dyDescent="0.35">
      <c r="B225" s="175" t="s">
        <v>1469</v>
      </c>
      <c r="C225" s="116" t="s">
        <v>1377</v>
      </c>
      <c r="D225" s="229" t="s">
        <v>1241</v>
      </c>
      <c r="E225" s="229"/>
      <c r="F225" s="229"/>
    </row>
    <row r="226" spans="2:6" x14ac:dyDescent="0.35">
      <c r="B226" s="174" t="s">
        <v>1470</v>
      </c>
      <c r="C226" s="27" t="s">
        <v>1377</v>
      </c>
      <c r="D226" s="11" t="s">
        <v>1241</v>
      </c>
      <c r="E226" s="11"/>
      <c r="F226" s="11"/>
    </row>
    <row r="227" spans="2:6" x14ac:dyDescent="0.35">
      <c r="B227" s="175" t="s">
        <v>1471</v>
      </c>
      <c r="C227" s="116" t="s">
        <v>1377</v>
      </c>
      <c r="D227" s="229" t="s">
        <v>1241</v>
      </c>
      <c r="E227" s="229"/>
      <c r="F227" s="229"/>
    </row>
    <row r="228" spans="2:6" x14ac:dyDescent="0.35">
      <c r="B228" s="174" t="s">
        <v>1472</v>
      </c>
      <c r="C228" s="27" t="s">
        <v>1377</v>
      </c>
      <c r="D228" s="11" t="s">
        <v>1241</v>
      </c>
      <c r="E228" s="11"/>
      <c r="F228" s="11"/>
    </row>
    <row r="229" spans="2:6" x14ac:dyDescent="0.35">
      <c r="B229" s="175" t="s">
        <v>1473</v>
      </c>
      <c r="C229" s="116" t="s">
        <v>1377</v>
      </c>
      <c r="D229" s="229" t="s">
        <v>1241</v>
      </c>
      <c r="E229" s="229"/>
      <c r="F229" s="229"/>
    </row>
    <row r="230" spans="2:6" x14ac:dyDescent="0.35">
      <c r="B230" s="174" t="s">
        <v>1474</v>
      </c>
      <c r="C230" s="27" t="s">
        <v>1377</v>
      </c>
      <c r="D230" s="11" t="s">
        <v>1241</v>
      </c>
      <c r="E230" s="11"/>
      <c r="F230" s="11"/>
    </row>
    <row r="231" spans="2:6" x14ac:dyDescent="0.35">
      <c r="B231" s="175" t="s">
        <v>1475</v>
      </c>
      <c r="C231" s="116" t="s">
        <v>1377</v>
      </c>
      <c r="D231" s="229" t="s">
        <v>1241</v>
      </c>
      <c r="E231" s="229"/>
      <c r="F231" s="229"/>
    </row>
    <row r="232" spans="2:6" x14ac:dyDescent="0.35">
      <c r="B232" s="174" t="s">
        <v>1476</v>
      </c>
      <c r="C232" s="27" t="s">
        <v>1377</v>
      </c>
      <c r="D232" s="11" t="s">
        <v>1241</v>
      </c>
      <c r="E232" s="11"/>
      <c r="F232" s="11"/>
    </row>
    <row r="233" spans="2:6" x14ac:dyDescent="0.35">
      <c r="B233" s="175" t="s">
        <v>1477</v>
      </c>
      <c r="C233" s="116" t="s">
        <v>1377</v>
      </c>
      <c r="D233" s="229" t="s">
        <v>1241</v>
      </c>
      <c r="E233" s="229"/>
      <c r="F233" s="229"/>
    </row>
    <row r="234" spans="2:6" x14ac:dyDescent="0.35">
      <c r="B234" s="174" t="s">
        <v>1478</v>
      </c>
      <c r="C234" s="27" t="s">
        <v>1377</v>
      </c>
      <c r="D234" s="11" t="s">
        <v>1241</v>
      </c>
      <c r="E234" s="11"/>
      <c r="F234" s="11"/>
    </row>
    <row r="235" spans="2:6" x14ac:dyDescent="0.35">
      <c r="B235" s="175" t="s">
        <v>1479</v>
      </c>
      <c r="C235" s="116" t="s">
        <v>1377</v>
      </c>
      <c r="D235" s="229" t="s">
        <v>1241</v>
      </c>
      <c r="E235" s="229"/>
      <c r="F235" s="229"/>
    </row>
    <row r="236" spans="2:6" x14ac:dyDescent="0.35">
      <c r="B236" s="174" t="s">
        <v>1480</v>
      </c>
      <c r="C236" s="27" t="s">
        <v>1377</v>
      </c>
      <c r="D236" s="11" t="s">
        <v>1241</v>
      </c>
      <c r="E236" s="11"/>
      <c r="F236" s="11"/>
    </row>
    <row r="237" spans="2:6" x14ac:dyDescent="0.35">
      <c r="B237" s="175" t="s">
        <v>1481</v>
      </c>
      <c r="C237" s="116" t="s">
        <v>1377</v>
      </c>
      <c r="D237" s="229" t="s">
        <v>1241</v>
      </c>
      <c r="E237" s="229"/>
      <c r="F237" s="229"/>
    </row>
    <row r="238" spans="2:6" x14ac:dyDescent="0.35">
      <c r="B238" s="174" t="s">
        <v>1482</v>
      </c>
      <c r="C238" s="27" t="s">
        <v>1377</v>
      </c>
      <c r="D238" s="11" t="s">
        <v>1241</v>
      </c>
      <c r="E238" s="11"/>
      <c r="F238" s="11"/>
    </row>
    <row r="239" spans="2:6" x14ac:dyDescent="0.35">
      <c r="B239" s="175" t="s">
        <v>1483</v>
      </c>
      <c r="C239" s="116" t="s">
        <v>1484</v>
      </c>
      <c r="D239" s="229" t="s">
        <v>1253</v>
      </c>
      <c r="E239" s="229"/>
      <c r="F239" s="229"/>
    </row>
    <row r="240" spans="2:6" x14ac:dyDescent="0.35">
      <c r="B240" s="174" t="s">
        <v>1485</v>
      </c>
      <c r="C240" s="27" t="s">
        <v>1484</v>
      </c>
      <c r="D240" s="11" t="s">
        <v>1253</v>
      </c>
      <c r="E240" s="11"/>
      <c r="F240" s="11"/>
    </row>
    <row r="241" spans="2:6" x14ac:dyDescent="0.35">
      <c r="B241" s="175" t="s">
        <v>1486</v>
      </c>
      <c r="C241" s="116" t="s">
        <v>1484</v>
      </c>
      <c r="D241" s="229" t="s">
        <v>1253</v>
      </c>
      <c r="E241" s="229"/>
      <c r="F241" s="229"/>
    </row>
    <row r="242" spans="2:6" x14ac:dyDescent="0.35">
      <c r="B242" s="174" t="s">
        <v>1487</v>
      </c>
      <c r="C242" s="27" t="s">
        <v>1484</v>
      </c>
      <c r="D242" s="11" t="s">
        <v>1253</v>
      </c>
      <c r="E242" s="11"/>
      <c r="F242" s="11"/>
    </row>
    <row r="243" spans="2:6" x14ac:dyDescent="0.35">
      <c r="B243" s="175" t="s">
        <v>1488</v>
      </c>
      <c r="C243" s="116" t="s">
        <v>1489</v>
      </c>
      <c r="D243" s="229" t="s">
        <v>1265</v>
      </c>
      <c r="E243" s="229"/>
      <c r="F243" s="229"/>
    </row>
    <row r="244" spans="2:6" x14ac:dyDescent="0.35">
      <c r="B244" s="174" t="s">
        <v>1490</v>
      </c>
      <c r="C244" s="27" t="s">
        <v>1491</v>
      </c>
      <c r="D244" s="11" t="s">
        <v>1492</v>
      </c>
      <c r="E244" s="11"/>
      <c r="F244" s="11"/>
    </row>
    <row r="245" spans="2:6" x14ac:dyDescent="0.35">
      <c r="B245" s="175" t="s">
        <v>1493</v>
      </c>
      <c r="C245" s="116" t="s">
        <v>1491</v>
      </c>
      <c r="D245" s="229" t="s">
        <v>1492</v>
      </c>
      <c r="E245" s="229"/>
      <c r="F245" s="229"/>
    </row>
    <row r="246" spans="2:6" x14ac:dyDescent="0.35">
      <c r="B246" s="174" t="s">
        <v>1494</v>
      </c>
      <c r="C246" s="27" t="s">
        <v>1491</v>
      </c>
      <c r="D246" s="11" t="s">
        <v>1492</v>
      </c>
      <c r="E246" s="11"/>
      <c r="F246" s="11"/>
    </row>
    <row r="247" spans="2:6" x14ac:dyDescent="0.35">
      <c r="B247" s="175" t="s">
        <v>1495</v>
      </c>
      <c r="C247" s="116" t="s">
        <v>1484</v>
      </c>
      <c r="D247" s="229" t="s">
        <v>1253</v>
      </c>
      <c r="E247" s="229"/>
      <c r="F247" s="229"/>
    </row>
    <row r="248" spans="2:6" x14ac:dyDescent="0.35">
      <c r="B248" s="174" t="s">
        <v>1496</v>
      </c>
      <c r="C248" s="27" t="s">
        <v>1497</v>
      </c>
      <c r="D248" s="11" t="s">
        <v>1260</v>
      </c>
      <c r="E248" s="11"/>
      <c r="F248" s="11"/>
    </row>
    <row r="249" spans="2:6" x14ac:dyDescent="0.35">
      <c r="B249" s="175" t="s">
        <v>1498</v>
      </c>
      <c r="C249" s="116" t="s">
        <v>1489</v>
      </c>
      <c r="D249" s="229" t="s">
        <v>1265</v>
      </c>
      <c r="E249" s="229"/>
      <c r="F249" s="229"/>
    </row>
    <row r="250" spans="2:6" x14ac:dyDescent="0.35">
      <c r="B250" s="174" t="s">
        <v>1499</v>
      </c>
      <c r="C250" s="27" t="s">
        <v>1484</v>
      </c>
      <c r="D250" s="11" t="s">
        <v>1253</v>
      </c>
      <c r="E250" s="11"/>
      <c r="F250" s="11"/>
    </row>
    <row r="251" spans="2:6" x14ac:dyDescent="0.35">
      <c r="B251" s="175" t="s">
        <v>1500</v>
      </c>
      <c r="C251" s="116" t="s">
        <v>1491</v>
      </c>
      <c r="D251" s="229" t="s">
        <v>1492</v>
      </c>
      <c r="E251" s="229"/>
      <c r="F251" s="229"/>
    </row>
    <row r="252" spans="2:6" x14ac:dyDescent="0.35">
      <c r="B252" s="174" t="s">
        <v>1501</v>
      </c>
      <c r="C252" s="27" t="s">
        <v>1491</v>
      </c>
      <c r="D252" s="11" t="s">
        <v>1492</v>
      </c>
      <c r="E252" s="11"/>
      <c r="F252" s="11"/>
    </row>
    <row r="253" spans="2:6" x14ac:dyDescent="0.35">
      <c r="B253" s="175" t="s">
        <v>1502</v>
      </c>
      <c r="C253" s="116" t="s">
        <v>1489</v>
      </c>
      <c r="D253" s="229" t="s">
        <v>1265</v>
      </c>
      <c r="E253" s="229"/>
      <c r="F253" s="229"/>
    </row>
    <row r="254" spans="2:6" x14ac:dyDescent="0.35">
      <c r="B254" s="174" t="s">
        <v>1503</v>
      </c>
      <c r="C254" s="27" t="s">
        <v>1491</v>
      </c>
      <c r="D254" s="11" t="s">
        <v>1492</v>
      </c>
      <c r="E254" s="11"/>
      <c r="F254" s="11"/>
    </row>
    <row r="255" spans="2:6" x14ac:dyDescent="0.35">
      <c r="B255" s="175" t="s">
        <v>1504</v>
      </c>
      <c r="C255" s="116" t="s">
        <v>1491</v>
      </c>
      <c r="D255" s="229" t="s">
        <v>1492</v>
      </c>
      <c r="E255" s="229"/>
      <c r="F255" s="229"/>
    </row>
    <row r="256" spans="2:6" x14ac:dyDescent="0.35">
      <c r="B256" s="174" t="s">
        <v>1505</v>
      </c>
      <c r="C256" s="27" t="s">
        <v>1491</v>
      </c>
      <c r="D256" s="11" t="s">
        <v>1492</v>
      </c>
      <c r="E256" s="11"/>
      <c r="F256" s="11"/>
    </row>
    <row r="257" spans="2:6" x14ac:dyDescent="0.35">
      <c r="B257" s="175" t="s">
        <v>1506</v>
      </c>
      <c r="C257" s="116" t="s">
        <v>1491</v>
      </c>
      <c r="D257" s="229" t="s">
        <v>1492</v>
      </c>
      <c r="E257" s="229"/>
      <c r="F257" s="229"/>
    </row>
    <row r="258" spans="2:6" x14ac:dyDescent="0.35">
      <c r="B258" s="174" t="s">
        <v>1507</v>
      </c>
      <c r="C258" s="27" t="s">
        <v>1497</v>
      </c>
      <c r="D258" s="11" t="s">
        <v>1260</v>
      </c>
      <c r="E258" s="11"/>
      <c r="F258" s="11"/>
    </row>
    <row r="259" spans="2:6" x14ac:dyDescent="0.35">
      <c r="B259" s="175" t="s">
        <v>1508</v>
      </c>
      <c r="C259" s="116" t="s">
        <v>1484</v>
      </c>
      <c r="D259" s="229" t="s">
        <v>1253</v>
      </c>
      <c r="E259" s="229"/>
      <c r="F259" s="229"/>
    </row>
    <row r="260" spans="2:6" x14ac:dyDescent="0.35">
      <c r="B260" s="174" t="s">
        <v>1509</v>
      </c>
      <c r="C260" s="27" t="s">
        <v>1484</v>
      </c>
      <c r="D260" s="11" t="s">
        <v>1253</v>
      </c>
      <c r="E260" s="11"/>
      <c r="F260" s="11"/>
    </row>
    <row r="261" spans="2:6" x14ac:dyDescent="0.35">
      <c r="B261" s="175" t="s">
        <v>1510</v>
      </c>
      <c r="C261" s="116" t="s">
        <v>1497</v>
      </c>
      <c r="D261" s="229" t="s">
        <v>1260</v>
      </c>
      <c r="E261" s="229"/>
      <c r="F261" s="229"/>
    </row>
    <row r="262" spans="2:6" x14ac:dyDescent="0.35">
      <c r="B262" s="174" t="s">
        <v>1511</v>
      </c>
      <c r="C262" s="27" t="s">
        <v>1491</v>
      </c>
      <c r="D262" s="11" t="s">
        <v>1492</v>
      </c>
      <c r="E262" s="11"/>
      <c r="F262" s="11"/>
    </row>
    <row r="263" spans="2:6" x14ac:dyDescent="0.35">
      <c r="B263" s="175" t="s">
        <v>1512</v>
      </c>
      <c r="C263" s="116" t="s">
        <v>1491</v>
      </c>
      <c r="D263" s="229" t="s">
        <v>1492</v>
      </c>
      <c r="E263" s="229"/>
      <c r="F263" s="229"/>
    </row>
    <row r="264" spans="2:6" x14ac:dyDescent="0.35">
      <c r="B264" s="174" t="s">
        <v>1513</v>
      </c>
      <c r="C264" s="27" t="s">
        <v>1491</v>
      </c>
      <c r="D264" s="11" t="s">
        <v>1492</v>
      </c>
      <c r="E264" s="11"/>
      <c r="F264" s="11"/>
    </row>
    <row r="265" spans="2:6" x14ac:dyDescent="0.35">
      <c r="B265" s="175" t="s">
        <v>1514</v>
      </c>
      <c r="C265" s="116" t="s">
        <v>1491</v>
      </c>
      <c r="D265" s="229" t="s">
        <v>1492</v>
      </c>
      <c r="E265" s="229"/>
      <c r="F265" s="229"/>
    </row>
    <row r="266" spans="2:6" x14ac:dyDescent="0.35">
      <c r="B266" s="174" t="s">
        <v>1515</v>
      </c>
      <c r="C266" s="27" t="s">
        <v>1491</v>
      </c>
      <c r="D266" s="11" t="s">
        <v>1492</v>
      </c>
      <c r="E266" s="11"/>
      <c r="F266" s="11"/>
    </row>
    <row r="267" spans="2:6" x14ac:dyDescent="0.35">
      <c r="B267" s="175" t="s">
        <v>1516</v>
      </c>
      <c r="C267" s="116" t="s">
        <v>1491</v>
      </c>
      <c r="D267" s="229" t="s">
        <v>1492</v>
      </c>
      <c r="E267" s="229"/>
      <c r="F267" s="229"/>
    </row>
    <row r="268" spans="2:6" x14ac:dyDescent="0.35">
      <c r="B268" s="174" t="s">
        <v>1517</v>
      </c>
      <c r="C268" s="27" t="s">
        <v>1491</v>
      </c>
      <c r="D268" s="11" t="s">
        <v>1492</v>
      </c>
      <c r="E268" s="11"/>
      <c r="F268" s="11"/>
    </row>
    <row r="269" spans="2:6" x14ac:dyDescent="0.35">
      <c r="B269" s="175" t="s">
        <v>1518</v>
      </c>
      <c r="C269" s="116" t="s">
        <v>1491</v>
      </c>
      <c r="D269" s="229" t="s">
        <v>1492</v>
      </c>
      <c r="E269" s="229"/>
      <c r="F269" s="229"/>
    </row>
    <row r="270" spans="2:6" x14ac:dyDescent="0.35">
      <c r="B270" s="174" t="s">
        <v>1519</v>
      </c>
      <c r="C270" s="27" t="s">
        <v>1491</v>
      </c>
      <c r="D270" s="11" t="s">
        <v>1492</v>
      </c>
      <c r="E270" s="11"/>
      <c r="F270" s="11"/>
    </row>
    <row r="271" spans="2:6" x14ac:dyDescent="0.35">
      <c r="B271" s="175" t="s">
        <v>1520</v>
      </c>
      <c r="C271" s="116" t="s">
        <v>1484</v>
      </c>
      <c r="D271" s="229" t="s">
        <v>1253</v>
      </c>
      <c r="E271" s="229"/>
      <c r="F271" s="229"/>
    </row>
    <row r="272" spans="2:6" x14ac:dyDescent="0.35">
      <c r="B272" s="174" t="s">
        <v>1521</v>
      </c>
      <c r="C272" s="27" t="s">
        <v>1484</v>
      </c>
      <c r="D272" s="11" t="s">
        <v>1253</v>
      </c>
      <c r="E272" s="11"/>
      <c r="F272" s="11"/>
    </row>
    <row r="273" spans="2:6" x14ac:dyDescent="0.35">
      <c r="B273" s="175" t="s">
        <v>1522</v>
      </c>
      <c r="C273" s="116" t="s">
        <v>1497</v>
      </c>
      <c r="D273" s="229" t="s">
        <v>1260</v>
      </c>
      <c r="E273" s="229"/>
      <c r="F273" s="229"/>
    </row>
    <row r="274" spans="2:6" x14ac:dyDescent="0.35">
      <c r="B274" s="174" t="s">
        <v>1523</v>
      </c>
      <c r="C274" s="27" t="s">
        <v>1489</v>
      </c>
      <c r="D274" s="11" t="s">
        <v>1265</v>
      </c>
      <c r="E274" s="11"/>
      <c r="F274" s="11"/>
    </row>
    <row r="275" spans="2:6" x14ac:dyDescent="0.35">
      <c r="B275" s="175" t="s">
        <v>1524</v>
      </c>
      <c r="C275" s="116" t="s">
        <v>1489</v>
      </c>
      <c r="D275" s="229" t="s">
        <v>1265</v>
      </c>
      <c r="E275" s="229"/>
      <c r="F275" s="229"/>
    </row>
    <row r="276" spans="2:6" x14ac:dyDescent="0.35">
      <c r="B276" s="174" t="s">
        <v>1525</v>
      </c>
      <c r="C276" s="27" t="s">
        <v>1484</v>
      </c>
      <c r="D276" s="11" t="s">
        <v>1253</v>
      </c>
      <c r="E276" s="11"/>
      <c r="F276" s="11"/>
    </row>
    <row r="277" spans="2:6" x14ac:dyDescent="0.35">
      <c r="B277" s="175" t="s">
        <v>1526</v>
      </c>
      <c r="C277" s="116" t="s">
        <v>1484</v>
      </c>
      <c r="D277" s="229" t="s">
        <v>1253</v>
      </c>
      <c r="E277" s="229"/>
      <c r="F277" s="229"/>
    </row>
    <row r="278" spans="2:6" x14ac:dyDescent="0.35">
      <c r="B278" s="174" t="s">
        <v>1527</v>
      </c>
      <c r="C278" s="27" t="s">
        <v>1528</v>
      </c>
      <c r="D278" s="11" t="s">
        <v>1265</v>
      </c>
      <c r="E278" s="11"/>
      <c r="F278" s="11"/>
    </row>
    <row r="279" spans="2:6" x14ac:dyDescent="0.35">
      <c r="B279" s="175" t="s">
        <v>1529</v>
      </c>
      <c r="C279" s="116" t="s">
        <v>1528</v>
      </c>
      <c r="D279" s="229" t="s">
        <v>1265</v>
      </c>
      <c r="E279" s="229"/>
      <c r="F279" s="229"/>
    </row>
    <row r="280" spans="2:6" x14ac:dyDescent="0.35">
      <c r="B280" s="174" t="s">
        <v>1530</v>
      </c>
      <c r="C280" s="27" t="s">
        <v>1528</v>
      </c>
      <c r="D280" s="11" t="s">
        <v>1265</v>
      </c>
      <c r="E280" s="11"/>
      <c r="F280" s="11"/>
    </row>
    <row r="281" spans="2:6" x14ac:dyDescent="0.35">
      <c r="B281" s="175" t="s">
        <v>1531</v>
      </c>
      <c r="C281" s="116" t="s">
        <v>1532</v>
      </c>
      <c r="D281" s="229" t="s">
        <v>1253</v>
      </c>
      <c r="E281" s="229"/>
      <c r="F281" s="229"/>
    </row>
    <row r="282" spans="2:6" x14ac:dyDescent="0.35">
      <c r="B282" s="174" t="s">
        <v>1533</v>
      </c>
      <c r="C282" s="27" t="s">
        <v>1534</v>
      </c>
      <c r="D282" s="11" t="s">
        <v>1260</v>
      </c>
      <c r="E282" s="11"/>
      <c r="F282" s="11"/>
    </row>
    <row r="283" spans="2:6" x14ac:dyDescent="0.35">
      <c r="B283" s="175" t="s">
        <v>1535</v>
      </c>
      <c r="C283" s="116" t="s">
        <v>1534</v>
      </c>
      <c r="D283" s="229" t="s">
        <v>1260</v>
      </c>
      <c r="E283" s="229"/>
      <c r="F283" s="229"/>
    </row>
    <row r="284" spans="2:6" x14ac:dyDescent="0.35">
      <c r="B284" s="174" t="s">
        <v>1536</v>
      </c>
      <c r="C284" s="27" t="s">
        <v>1532</v>
      </c>
      <c r="D284" s="11" t="s">
        <v>1253</v>
      </c>
      <c r="E284" s="11"/>
      <c r="F284" s="11"/>
    </row>
    <row r="285" spans="2:6" x14ac:dyDescent="0.35">
      <c r="B285" s="175" t="s">
        <v>1537</v>
      </c>
      <c r="C285" s="116" t="s">
        <v>1532</v>
      </c>
      <c r="D285" s="229" t="s">
        <v>1253</v>
      </c>
      <c r="E285" s="229"/>
      <c r="F285" s="229"/>
    </row>
    <row r="286" spans="2:6" x14ac:dyDescent="0.35">
      <c r="B286" s="174" t="s">
        <v>1538</v>
      </c>
      <c r="C286" s="27" t="s">
        <v>1532</v>
      </c>
      <c r="D286" s="11" t="s">
        <v>1253</v>
      </c>
      <c r="E286" s="11"/>
      <c r="F286" s="11"/>
    </row>
    <row r="287" spans="2:6" x14ac:dyDescent="0.35">
      <c r="B287" s="175" t="s">
        <v>1539</v>
      </c>
      <c r="C287" s="116" t="s">
        <v>1528</v>
      </c>
      <c r="D287" s="229" t="s">
        <v>1265</v>
      </c>
      <c r="E287" s="229"/>
      <c r="F287" s="229"/>
    </row>
    <row r="288" spans="2:6" x14ac:dyDescent="0.35">
      <c r="B288" s="174" t="s">
        <v>1540</v>
      </c>
      <c r="C288" s="27" t="s">
        <v>1528</v>
      </c>
      <c r="D288" s="11" t="s">
        <v>1265</v>
      </c>
      <c r="E288" s="11"/>
      <c r="F288" s="11"/>
    </row>
    <row r="289" spans="2:6" x14ac:dyDescent="0.35">
      <c r="B289" s="175" t="s">
        <v>1541</v>
      </c>
      <c r="C289" s="116" t="s">
        <v>1534</v>
      </c>
      <c r="D289" s="229" t="s">
        <v>1260</v>
      </c>
      <c r="E289" s="229"/>
      <c r="F289" s="229"/>
    </row>
    <row r="290" spans="2:6" x14ac:dyDescent="0.35">
      <c r="B290" s="174" t="s">
        <v>1542</v>
      </c>
      <c r="C290" s="27" t="s">
        <v>1528</v>
      </c>
      <c r="D290" s="11" t="s">
        <v>1265</v>
      </c>
      <c r="E290" s="11"/>
      <c r="F290" s="11"/>
    </row>
    <row r="291" spans="2:6" x14ac:dyDescent="0.35">
      <c r="B291" s="175" t="s">
        <v>1543</v>
      </c>
      <c r="C291" s="116" t="s">
        <v>1528</v>
      </c>
      <c r="D291" s="229" t="s">
        <v>1265</v>
      </c>
      <c r="E291" s="229"/>
      <c r="F291" s="229"/>
    </row>
    <row r="292" spans="2:6" x14ac:dyDescent="0.35">
      <c r="B292" s="174" t="s">
        <v>1544</v>
      </c>
      <c r="C292" s="27" t="s">
        <v>1528</v>
      </c>
      <c r="D292" s="11" t="s">
        <v>1265</v>
      </c>
      <c r="E292" s="11"/>
      <c r="F292" s="11"/>
    </row>
    <row r="293" spans="2:6" x14ac:dyDescent="0.35">
      <c r="B293" s="175" t="s">
        <v>1545</v>
      </c>
      <c r="C293" s="116" t="s">
        <v>1528</v>
      </c>
      <c r="D293" s="229" t="s">
        <v>1265</v>
      </c>
      <c r="E293" s="229"/>
      <c r="F293" s="229"/>
    </row>
    <row r="294" spans="2:6" x14ac:dyDescent="0.35">
      <c r="B294" s="174" t="s">
        <v>1546</v>
      </c>
      <c r="C294" s="27" t="s">
        <v>1528</v>
      </c>
      <c r="D294" s="11" t="s">
        <v>1265</v>
      </c>
      <c r="E294" s="11"/>
      <c r="F294" s="11"/>
    </row>
    <row r="295" spans="2:6" x14ac:dyDescent="0.35">
      <c r="B295" s="175" t="s">
        <v>1547</v>
      </c>
      <c r="C295" s="116" t="s">
        <v>1534</v>
      </c>
      <c r="D295" s="229" t="s">
        <v>1260</v>
      </c>
      <c r="E295" s="229"/>
      <c r="F295" s="229"/>
    </row>
    <row r="296" spans="2:6" x14ac:dyDescent="0.35">
      <c r="B296" s="174" t="s">
        <v>1548</v>
      </c>
      <c r="C296" s="27" t="s">
        <v>1532</v>
      </c>
      <c r="D296" s="11" t="s">
        <v>1253</v>
      </c>
      <c r="E296" s="11"/>
      <c r="F296" s="11"/>
    </row>
    <row r="297" spans="2:6" x14ac:dyDescent="0.35">
      <c r="B297" s="175" t="s">
        <v>1549</v>
      </c>
      <c r="C297" s="116" t="s">
        <v>1534</v>
      </c>
      <c r="D297" s="229" t="s">
        <v>1260</v>
      </c>
      <c r="E297" s="229"/>
      <c r="F297" s="229"/>
    </row>
    <row r="298" spans="2:6" x14ac:dyDescent="0.35">
      <c r="B298" s="174" t="s">
        <v>1550</v>
      </c>
      <c r="C298" s="27" t="s">
        <v>1534</v>
      </c>
      <c r="D298" s="11" t="s">
        <v>1260</v>
      </c>
      <c r="E298" s="11"/>
      <c r="F298" s="11"/>
    </row>
    <row r="299" spans="2:6" x14ac:dyDescent="0.35">
      <c r="B299" s="175" t="s">
        <v>1551</v>
      </c>
      <c r="C299" s="116" t="s">
        <v>1534</v>
      </c>
      <c r="D299" s="229" t="s">
        <v>1260</v>
      </c>
      <c r="E299" s="229"/>
      <c r="F299" s="229"/>
    </row>
    <row r="300" spans="2:6" x14ac:dyDescent="0.35">
      <c r="B300" s="174" t="s">
        <v>1552</v>
      </c>
      <c r="C300" s="27" t="s">
        <v>1532</v>
      </c>
      <c r="D300" s="11" t="s">
        <v>1253</v>
      </c>
      <c r="E300" s="11"/>
      <c r="F300" s="11"/>
    </row>
    <row r="301" spans="2:6" x14ac:dyDescent="0.35">
      <c r="B301" s="175" t="s">
        <v>1553</v>
      </c>
      <c r="C301" s="116" t="s">
        <v>1532</v>
      </c>
      <c r="D301" s="229" t="s">
        <v>1253</v>
      </c>
      <c r="E301" s="229"/>
      <c r="F301" s="229"/>
    </row>
    <row r="302" spans="2:6" x14ac:dyDescent="0.35">
      <c r="B302" s="174" t="s">
        <v>1554</v>
      </c>
      <c r="C302" s="27" t="s">
        <v>1532</v>
      </c>
      <c r="D302" s="11" t="s">
        <v>1253</v>
      </c>
      <c r="E302" s="11"/>
      <c r="F302" s="11"/>
    </row>
    <row r="303" spans="2:6" x14ac:dyDescent="0.35">
      <c r="B303" s="175" t="s">
        <v>1555</v>
      </c>
      <c r="C303" s="116" t="s">
        <v>1534</v>
      </c>
      <c r="D303" s="229" t="s">
        <v>1260</v>
      </c>
      <c r="E303" s="229"/>
      <c r="F303" s="229"/>
    </row>
    <row r="304" spans="2:6" x14ac:dyDescent="0.35">
      <c r="B304" s="174" t="s">
        <v>1556</v>
      </c>
      <c r="C304" s="27" t="s">
        <v>1557</v>
      </c>
      <c r="D304" s="11" t="s">
        <v>1492</v>
      </c>
      <c r="E304" s="11"/>
      <c r="F304" s="11"/>
    </row>
    <row r="305" spans="2:6" x14ac:dyDescent="0.35">
      <c r="B305" s="175" t="s">
        <v>1558</v>
      </c>
      <c r="C305" s="116" t="s">
        <v>1557</v>
      </c>
      <c r="D305" s="229" t="s">
        <v>1492</v>
      </c>
      <c r="E305" s="229"/>
      <c r="F305" s="229"/>
    </row>
    <row r="306" spans="2:6" x14ac:dyDescent="0.35">
      <c r="B306" s="174" t="s">
        <v>1559</v>
      </c>
      <c r="C306" s="27" t="s">
        <v>1557</v>
      </c>
      <c r="D306" s="11" t="s">
        <v>1492</v>
      </c>
      <c r="E306" s="11"/>
      <c r="F306" s="11"/>
    </row>
    <row r="307" spans="2:6" x14ac:dyDescent="0.35">
      <c r="B307" s="175" t="s">
        <v>1560</v>
      </c>
      <c r="C307" s="116" t="s">
        <v>1557</v>
      </c>
      <c r="D307" s="229" t="s">
        <v>1492</v>
      </c>
      <c r="E307" s="229"/>
      <c r="F307" s="229"/>
    </row>
    <row r="308" spans="2:6" x14ac:dyDescent="0.35">
      <c r="B308" s="174" t="s">
        <v>1561</v>
      </c>
      <c r="C308" s="27" t="s">
        <v>1557</v>
      </c>
      <c r="D308" s="11" t="s">
        <v>1492</v>
      </c>
      <c r="E308" s="11"/>
      <c r="F308" s="11"/>
    </row>
    <row r="309" spans="2:6" x14ac:dyDescent="0.35">
      <c r="B309" s="175" t="s">
        <v>1562</v>
      </c>
      <c r="C309" s="116" t="s">
        <v>1557</v>
      </c>
      <c r="D309" s="229" t="s">
        <v>1492</v>
      </c>
      <c r="E309" s="229"/>
      <c r="F309" s="229"/>
    </row>
    <row r="310" spans="2:6" x14ac:dyDescent="0.35">
      <c r="B310" s="174" t="s">
        <v>1563</v>
      </c>
      <c r="C310" s="27" t="s">
        <v>1564</v>
      </c>
      <c r="D310" s="11" t="s">
        <v>1253</v>
      </c>
      <c r="E310" s="11"/>
      <c r="F310" s="11"/>
    </row>
    <row r="311" spans="2:6" x14ac:dyDescent="0.35">
      <c r="B311" s="175" t="s">
        <v>1565</v>
      </c>
      <c r="C311" s="116" t="s">
        <v>1564</v>
      </c>
      <c r="D311" s="229" t="s">
        <v>1253</v>
      </c>
      <c r="E311" s="229"/>
      <c r="F311" s="229"/>
    </row>
    <row r="312" spans="2:6" x14ac:dyDescent="0.35">
      <c r="B312" s="174" t="s">
        <v>1566</v>
      </c>
      <c r="C312" s="27" t="s">
        <v>1567</v>
      </c>
      <c r="D312" s="11" t="s">
        <v>1260</v>
      </c>
      <c r="E312" s="11"/>
      <c r="F312" s="11"/>
    </row>
    <row r="313" spans="2:6" x14ac:dyDescent="0.35">
      <c r="B313" s="175" t="s">
        <v>1568</v>
      </c>
      <c r="C313" s="116" t="s">
        <v>1569</v>
      </c>
      <c r="D313" s="229" t="s">
        <v>1265</v>
      </c>
      <c r="E313" s="229"/>
      <c r="F313" s="229"/>
    </row>
    <row r="314" spans="2:6" x14ac:dyDescent="0.35">
      <c r="B314" s="174" t="s">
        <v>1570</v>
      </c>
      <c r="C314" s="27" t="s">
        <v>1571</v>
      </c>
      <c r="D314" s="11" t="s">
        <v>1492</v>
      </c>
      <c r="E314" s="11"/>
      <c r="F314" s="11"/>
    </row>
    <row r="315" spans="2:6" x14ac:dyDescent="0.35">
      <c r="B315" s="175" t="s">
        <v>1572</v>
      </c>
      <c r="C315" s="116" t="s">
        <v>1571</v>
      </c>
      <c r="D315" s="229" t="s">
        <v>1492</v>
      </c>
      <c r="E315" s="229"/>
      <c r="F315" s="229"/>
    </row>
    <row r="316" spans="2:6" x14ac:dyDescent="0.35">
      <c r="B316" s="174" t="s">
        <v>1573</v>
      </c>
      <c r="C316" s="27" t="s">
        <v>1571</v>
      </c>
      <c r="D316" s="11" t="s">
        <v>1492</v>
      </c>
      <c r="E316" s="11"/>
      <c r="F316" s="11"/>
    </row>
    <row r="317" spans="2:6" x14ac:dyDescent="0.35">
      <c r="B317" s="175" t="s">
        <v>1574</v>
      </c>
      <c r="C317" s="116" t="s">
        <v>1571</v>
      </c>
      <c r="D317" s="229" t="s">
        <v>1492</v>
      </c>
      <c r="E317" s="229"/>
      <c r="F317" s="229"/>
    </row>
    <row r="318" spans="2:6" x14ac:dyDescent="0.35">
      <c r="B318" s="174" t="s">
        <v>1575</v>
      </c>
      <c r="C318" s="27" t="s">
        <v>1571</v>
      </c>
      <c r="D318" s="11" t="s">
        <v>1492</v>
      </c>
      <c r="E318" s="11"/>
      <c r="F318" s="11"/>
    </row>
    <row r="319" spans="2:6" x14ac:dyDescent="0.35">
      <c r="B319" s="175" t="s">
        <v>1576</v>
      </c>
      <c r="C319" s="116" t="s">
        <v>1571</v>
      </c>
      <c r="D319" s="229" t="s">
        <v>1492</v>
      </c>
      <c r="E319" s="229"/>
      <c r="F319" s="229"/>
    </row>
    <row r="320" spans="2:6" x14ac:dyDescent="0.35">
      <c r="B320" s="174" t="s">
        <v>1577</v>
      </c>
      <c r="C320" s="27" t="s">
        <v>1571</v>
      </c>
      <c r="D320" s="11" t="s">
        <v>1492</v>
      </c>
      <c r="E320" s="11"/>
      <c r="F320" s="11"/>
    </row>
    <row r="321" spans="2:6" x14ac:dyDescent="0.35">
      <c r="B321" s="175" t="s">
        <v>1578</v>
      </c>
      <c r="C321" s="116" t="s">
        <v>1571</v>
      </c>
      <c r="D321" s="229" t="s">
        <v>1492</v>
      </c>
      <c r="E321" s="229"/>
      <c r="F321" s="229"/>
    </row>
    <row r="322" spans="2:6" x14ac:dyDescent="0.35">
      <c r="B322" s="174" t="s">
        <v>1579</v>
      </c>
      <c r="C322" s="27" t="s">
        <v>1571</v>
      </c>
      <c r="D322" s="11" t="s">
        <v>1492</v>
      </c>
      <c r="E322" s="11"/>
      <c r="F322" s="11"/>
    </row>
    <row r="323" spans="2:6" x14ac:dyDescent="0.35">
      <c r="B323" s="175" t="s">
        <v>1580</v>
      </c>
      <c r="C323" s="116" t="s">
        <v>1571</v>
      </c>
      <c r="D323" s="229" t="s">
        <v>1492</v>
      </c>
      <c r="E323" s="229"/>
      <c r="F323" s="229"/>
    </row>
    <row r="324" spans="2:6" x14ac:dyDescent="0.35">
      <c r="B324" s="174" t="s">
        <v>1581</v>
      </c>
      <c r="C324" s="27" t="s">
        <v>1571</v>
      </c>
      <c r="D324" s="11" t="s">
        <v>1492</v>
      </c>
      <c r="E324" s="11"/>
      <c r="F324" s="11"/>
    </row>
    <row r="325" spans="2:6" x14ac:dyDescent="0.35">
      <c r="B325" s="175" t="s">
        <v>1582</v>
      </c>
      <c r="C325" s="116" t="s">
        <v>1571</v>
      </c>
      <c r="D325" s="229" t="s">
        <v>1492</v>
      </c>
      <c r="E325" s="229"/>
      <c r="F325" s="229"/>
    </row>
    <row r="326" spans="2:6" x14ac:dyDescent="0.35">
      <c r="B326" s="174" t="s">
        <v>1583</v>
      </c>
      <c r="C326" s="27" t="s">
        <v>1571</v>
      </c>
      <c r="D326" s="11" t="s">
        <v>1492</v>
      </c>
      <c r="E326" s="11"/>
      <c r="F326" s="11"/>
    </row>
    <row r="327" spans="2:6" x14ac:dyDescent="0.35">
      <c r="B327" s="175" t="s">
        <v>1584</v>
      </c>
      <c r="C327" s="116" t="s">
        <v>1571</v>
      </c>
      <c r="D327" s="229" t="s">
        <v>1492</v>
      </c>
      <c r="E327" s="229"/>
      <c r="F327" s="229"/>
    </row>
    <row r="328" spans="2:6" x14ac:dyDescent="0.35">
      <c r="B328" s="174" t="s">
        <v>1585</v>
      </c>
      <c r="C328" s="27" t="s">
        <v>1571</v>
      </c>
      <c r="D328" s="11" t="s">
        <v>1492</v>
      </c>
      <c r="E328" s="11"/>
      <c r="F328" s="11"/>
    </row>
    <row r="329" spans="2:6" x14ac:dyDescent="0.35">
      <c r="B329" s="175" t="s">
        <v>1586</v>
      </c>
      <c r="C329" s="116" t="s">
        <v>1571</v>
      </c>
      <c r="D329" s="229" t="s">
        <v>1492</v>
      </c>
      <c r="E329" s="229"/>
      <c r="F329" s="229"/>
    </row>
    <row r="330" spans="2:6" x14ac:dyDescent="0.35">
      <c r="B330" s="174" t="s">
        <v>1587</v>
      </c>
      <c r="C330" s="27" t="s">
        <v>1564</v>
      </c>
      <c r="D330" s="11" t="s">
        <v>1253</v>
      </c>
      <c r="E330" s="11"/>
      <c r="F330" s="11"/>
    </row>
    <row r="331" spans="2:6" x14ac:dyDescent="0.35">
      <c r="B331" s="175" t="s">
        <v>1588</v>
      </c>
      <c r="C331" s="116" t="s">
        <v>1564</v>
      </c>
      <c r="D331" s="229" t="s">
        <v>1253</v>
      </c>
      <c r="E331" s="229"/>
      <c r="F331" s="229"/>
    </row>
    <row r="332" spans="2:6" x14ac:dyDescent="0.35">
      <c r="B332" s="174" t="s">
        <v>1589</v>
      </c>
      <c r="C332" s="27" t="s">
        <v>1564</v>
      </c>
      <c r="D332" s="11" t="s">
        <v>1253</v>
      </c>
      <c r="E332" s="11"/>
      <c r="F332" s="11"/>
    </row>
    <row r="333" spans="2:6" x14ac:dyDescent="0.35">
      <c r="B333" s="175" t="s">
        <v>1590</v>
      </c>
      <c r="C333" s="116" t="s">
        <v>1564</v>
      </c>
      <c r="D333" s="229" t="s">
        <v>1253</v>
      </c>
      <c r="E333" s="229"/>
      <c r="F333" s="229"/>
    </row>
    <row r="334" spans="2:6" x14ac:dyDescent="0.35">
      <c r="B334" s="174" t="s">
        <v>1591</v>
      </c>
      <c r="C334" s="27" t="s">
        <v>1569</v>
      </c>
      <c r="D334" s="11" t="s">
        <v>1265</v>
      </c>
      <c r="E334" s="11"/>
      <c r="F334" s="11"/>
    </row>
    <row r="335" spans="2:6" x14ac:dyDescent="0.35">
      <c r="B335" s="175" t="s">
        <v>1592</v>
      </c>
      <c r="C335" s="116" t="s">
        <v>1567</v>
      </c>
      <c r="D335" s="229" t="s">
        <v>1260</v>
      </c>
      <c r="E335" s="229"/>
      <c r="F335" s="229"/>
    </row>
    <row r="336" spans="2:6" x14ac:dyDescent="0.35">
      <c r="B336" s="174" t="s">
        <v>1593</v>
      </c>
      <c r="C336" s="27" t="s">
        <v>1571</v>
      </c>
      <c r="D336" s="11" t="s">
        <v>1492</v>
      </c>
      <c r="E336" s="11"/>
      <c r="F336" s="11"/>
    </row>
    <row r="337" spans="2:6" x14ac:dyDescent="0.35">
      <c r="B337" s="175" t="s">
        <v>1594</v>
      </c>
      <c r="C337" s="116" t="s">
        <v>1571</v>
      </c>
      <c r="D337" s="229" t="s">
        <v>1492</v>
      </c>
      <c r="E337" s="229"/>
      <c r="F337" s="229"/>
    </row>
    <row r="338" spans="2:6" x14ac:dyDescent="0.35">
      <c r="B338" s="174" t="s">
        <v>1595</v>
      </c>
      <c r="C338" s="27" t="s">
        <v>1571</v>
      </c>
      <c r="D338" s="11" t="s">
        <v>1492</v>
      </c>
      <c r="E338" s="11"/>
      <c r="F338" s="11"/>
    </row>
    <row r="339" spans="2:6" x14ac:dyDescent="0.35">
      <c r="B339" s="175" t="s">
        <v>1596</v>
      </c>
      <c r="C339" s="116" t="s">
        <v>1571</v>
      </c>
      <c r="D339" s="229" t="s">
        <v>1492</v>
      </c>
      <c r="E339" s="229"/>
      <c r="F339" s="229"/>
    </row>
    <row r="340" spans="2:6" x14ac:dyDescent="0.35">
      <c r="B340" s="174" t="s">
        <v>1597</v>
      </c>
      <c r="C340" s="27" t="s">
        <v>1571</v>
      </c>
      <c r="D340" s="11" t="s">
        <v>1492</v>
      </c>
      <c r="E340" s="11"/>
      <c r="F340" s="11"/>
    </row>
    <row r="341" spans="2:6" x14ac:dyDescent="0.35">
      <c r="B341" s="175" t="s">
        <v>1598</v>
      </c>
      <c r="C341" s="116" t="s">
        <v>1571</v>
      </c>
      <c r="D341" s="229" t="s">
        <v>1492</v>
      </c>
      <c r="E341" s="229"/>
      <c r="F341" s="229"/>
    </row>
    <row r="342" spans="2:6" x14ac:dyDescent="0.35">
      <c r="B342" s="174" t="s">
        <v>1599</v>
      </c>
      <c r="C342" s="27" t="s">
        <v>1571</v>
      </c>
      <c r="D342" s="11" t="s">
        <v>1492</v>
      </c>
      <c r="E342" s="11"/>
      <c r="F342" s="11"/>
    </row>
    <row r="343" spans="2:6" x14ac:dyDescent="0.35">
      <c r="B343" s="175" t="s">
        <v>1600</v>
      </c>
      <c r="C343" s="116" t="s">
        <v>1571</v>
      </c>
      <c r="D343" s="229" t="s">
        <v>1492</v>
      </c>
      <c r="E343" s="229"/>
      <c r="F343" s="229"/>
    </row>
    <row r="344" spans="2:6" x14ac:dyDescent="0.35">
      <c r="B344" s="174" t="s">
        <v>1601</v>
      </c>
      <c r="C344" s="27" t="s">
        <v>1571</v>
      </c>
      <c r="D344" s="11" t="s">
        <v>1492</v>
      </c>
      <c r="E344" s="11"/>
      <c r="F344" s="11"/>
    </row>
    <row r="345" spans="2:6" x14ac:dyDescent="0.35">
      <c r="B345" s="175" t="s">
        <v>1602</v>
      </c>
      <c r="C345" s="116" t="s">
        <v>1571</v>
      </c>
      <c r="D345" s="229" t="s">
        <v>1492</v>
      </c>
      <c r="E345" s="229"/>
      <c r="F345" s="229"/>
    </row>
    <row r="346" spans="2:6" x14ac:dyDescent="0.35">
      <c r="B346" s="174" t="s">
        <v>1603</v>
      </c>
      <c r="C346" s="27" t="s">
        <v>1571</v>
      </c>
      <c r="D346" s="11" t="s">
        <v>1492</v>
      </c>
      <c r="E346" s="11"/>
      <c r="F346" s="11"/>
    </row>
    <row r="347" spans="2:6" x14ac:dyDescent="0.35">
      <c r="B347" s="175" t="s">
        <v>1604</v>
      </c>
      <c r="C347" s="116" t="s">
        <v>1571</v>
      </c>
      <c r="D347" s="229" t="s">
        <v>1492</v>
      </c>
      <c r="E347" s="229"/>
      <c r="F347" s="229"/>
    </row>
    <row r="348" spans="2:6" x14ac:dyDescent="0.35">
      <c r="B348" s="174" t="s">
        <v>1605</v>
      </c>
      <c r="C348" s="27" t="s">
        <v>1571</v>
      </c>
      <c r="D348" s="11" t="s">
        <v>1492</v>
      </c>
      <c r="E348" s="11"/>
      <c r="F348" s="11"/>
    </row>
    <row r="349" spans="2:6" x14ac:dyDescent="0.35">
      <c r="B349" s="175" t="s">
        <v>1606</v>
      </c>
      <c r="C349" s="116" t="s">
        <v>1571</v>
      </c>
      <c r="D349" s="229" t="s">
        <v>1492</v>
      </c>
      <c r="E349" s="229"/>
      <c r="F349" s="229"/>
    </row>
    <row r="350" spans="2:6" x14ac:dyDescent="0.35">
      <c r="B350" s="174" t="s">
        <v>1607</v>
      </c>
      <c r="C350" s="27" t="s">
        <v>1571</v>
      </c>
      <c r="D350" s="11" t="s">
        <v>1492</v>
      </c>
      <c r="E350" s="11"/>
      <c r="F350" s="11"/>
    </row>
    <row r="351" spans="2:6" x14ac:dyDescent="0.35">
      <c r="B351" s="175" t="s">
        <v>1608</v>
      </c>
      <c r="C351" s="116" t="s">
        <v>1571</v>
      </c>
      <c r="D351" s="229" t="s">
        <v>1492</v>
      </c>
      <c r="E351" s="229"/>
      <c r="F351" s="229"/>
    </row>
    <row r="352" spans="2:6" x14ac:dyDescent="0.35">
      <c r="B352" s="174" t="s">
        <v>1609</v>
      </c>
      <c r="C352" s="27" t="s">
        <v>1571</v>
      </c>
      <c r="D352" s="11" t="s">
        <v>1492</v>
      </c>
      <c r="E352" s="11"/>
      <c r="F352" s="11"/>
    </row>
    <row r="353" spans="2:6" x14ac:dyDescent="0.35">
      <c r="B353" s="175" t="s">
        <v>1610</v>
      </c>
      <c r="C353" s="116" t="s">
        <v>1571</v>
      </c>
      <c r="D353" s="229" t="s">
        <v>1492</v>
      </c>
      <c r="E353" s="229"/>
      <c r="F353" s="229"/>
    </row>
    <row r="354" spans="2:6" x14ac:dyDescent="0.35">
      <c r="B354" s="174" t="s">
        <v>1611</v>
      </c>
      <c r="C354" s="27" t="s">
        <v>1571</v>
      </c>
      <c r="D354" s="11" t="s">
        <v>1492</v>
      </c>
      <c r="E354" s="11"/>
      <c r="F354" s="11"/>
    </row>
    <row r="355" spans="2:6" x14ac:dyDescent="0.35">
      <c r="B355" s="175" t="s">
        <v>1612</v>
      </c>
      <c r="C355" s="116" t="s">
        <v>1571</v>
      </c>
      <c r="D355" s="229" t="s">
        <v>1492</v>
      </c>
      <c r="E355" s="229"/>
      <c r="F355" s="229"/>
    </row>
    <row r="356" spans="2:6" x14ac:dyDescent="0.35">
      <c r="B356" s="174" t="s">
        <v>1613</v>
      </c>
      <c r="C356" s="27" t="s">
        <v>1571</v>
      </c>
      <c r="D356" s="11" t="s">
        <v>1492</v>
      </c>
      <c r="E356" s="11"/>
      <c r="F356" s="11"/>
    </row>
    <row r="357" spans="2:6" x14ac:dyDescent="0.35">
      <c r="B357" s="175" t="s">
        <v>1614</v>
      </c>
      <c r="C357" s="116" t="s">
        <v>1571</v>
      </c>
      <c r="D357" s="229" t="s">
        <v>1492</v>
      </c>
      <c r="E357" s="229"/>
      <c r="F357" s="229"/>
    </row>
    <row r="358" spans="2:6" x14ac:dyDescent="0.35">
      <c r="B358" s="174" t="s">
        <v>1615</v>
      </c>
      <c r="C358" s="27" t="s">
        <v>1571</v>
      </c>
      <c r="D358" s="11" t="s">
        <v>1492</v>
      </c>
      <c r="E358" s="11"/>
      <c r="F358" s="11"/>
    </row>
    <row r="359" spans="2:6" x14ac:dyDescent="0.35">
      <c r="B359" s="175" t="s">
        <v>1616</v>
      </c>
      <c r="C359" s="116" t="s">
        <v>1571</v>
      </c>
      <c r="D359" s="229" t="s">
        <v>1492</v>
      </c>
      <c r="E359" s="229"/>
      <c r="F359" s="229"/>
    </row>
    <row r="360" spans="2:6" x14ac:dyDescent="0.35">
      <c r="B360" s="174" t="s">
        <v>1617</v>
      </c>
      <c r="C360" s="27" t="s">
        <v>1571</v>
      </c>
      <c r="D360" s="11" t="s">
        <v>1492</v>
      </c>
      <c r="E360" s="11"/>
      <c r="F360" s="11"/>
    </row>
    <row r="361" spans="2:6" x14ac:dyDescent="0.35">
      <c r="B361" s="175" t="s">
        <v>1618</v>
      </c>
      <c r="C361" s="116" t="s">
        <v>1571</v>
      </c>
      <c r="D361" s="229" t="s">
        <v>1492</v>
      </c>
      <c r="E361" s="229"/>
      <c r="F361" s="229"/>
    </row>
    <row r="362" spans="2:6" x14ac:dyDescent="0.35">
      <c r="B362" s="174" t="s">
        <v>1619</v>
      </c>
      <c r="C362" s="27" t="s">
        <v>1571</v>
      </c>
      <c r="D362" s="11" t="s">
        <v>1492</v>
      </c>
      <c r="E362" s="11"/>
      <c r="F362" s="11"/>
    </row>
    <row r="363" spans="2:6" x14ac:dyDescent="0.35">
      <c r="B363" s="175" t="s">
        <v>1620</v>
      </c>
      <c r="C363" s="116" t="s">
        <v>1571</v>
      </c>
      <c r="D363" s="229" t="s">
        <v>1492</v>
      </c>
      <c r="E363" s="229"/>
      <c r="F363" s="229"/>
    </row>
    <row r="364" spans="2:6" x14ac:dyDescent="0.35">
      <c r="B364" s="174" t="s">
        <v>1621</v>
      </c>
      <c r="C364" s="27" t="s">
        <v>1571</v>
      </c>
      <c r="D364" s="11" t="s">
        <v>1492</v>
      </c>
      <c r="E364" s="11"/>
      <c r="F364" s="11"/>
    </row>
    <row r="365" spans="2:6" x14ac:dyDescent="0.35">
      <c r="B365" s="175" t="s">
        <v>1622</v>
      </c>
      <c r="C365" s="116" t="s">
        <v>1571</v>
      </c>
      <c r="D365" s="229" t="s">
        <v>1492</v>
      </c>
      <c r="E365" s="229"/>
      <c r="F365" s="229"/>
    </row>
    <row r="366" spans="2:6" x14ac:dyDescent="0.35">
      <c r="B366" s="174" t="s">
        <v>1623</v>
      </c>
      <c r="C366" s="27" t="s">
        <v>1571</v>
      </c>
      <c r="D366" s="11" t="s">
        <v>1492</v>
      </c>
      <c r="E366" s="11"/>
      <c r="F366" s="11"/>
    </row>
    <row r="367" spans="2:6" x14ac:dyDescent="0.35">
      <c r="B367" s="175" t="s">
        <v>1624</v>
      </c>
      <c r="C367" s="116" t="s">
        <v>1571</v>
      </c>
      <c r="D367" s="229" t="s">
        <v>1492</v>
      </c>
      <c r="E367" s="229"/>
      <c r="F367" s="229"/>
    </row>
    <row r="368" spans="2:6" x14ac:dyDescent="0.35">
      <c r="B368" s="174" t="s">
        <v>1625</v>
      </c>
      <c r="C368" s="27" t="s">
        <v>1571</v>
      </c>
      <c r="D368" s="11" t="s">
        <v>1492</v>
      </c>
      <c r="E368" s="11"/>
      <c r="F368" s="11"/>
    </row>
    <row r="369" spans="2:6" x14ac:dyDescent="0.35">
      <c r="B369" s="175" t="s">
        <v>1626</v>
      </c>
      <c r="C369" s="116" t="s">
        <v>1571</v>
      </c>
      <c r="D369" s="229" t="s">
        <v>1492</v>
      </c>
      <c r="E369" s="229"/>
      <c r="F369" s="229"/>
    </row>
    <row r="370" spans="2:6" x14ac:dyDescent="0.35">
      <c r="B370" s="174" t="s">
        <v>1627</v>
      </c>
      <c r="C370" s="27" t="s">
        <v>1571</v>
      </c>
      <c r="D370" s="11" t="s">
        <v>1492</v>
      </c>
      <c r="E370" s="11"/>
      <c r="F370" s="11"/>
    </row>
    <row r="371" spans="2:6" x14ac:dyDescent="0.35">
      <c r="B371" s="175" t="s">
        <v>1628</v>
      </c>
      <c r="C371" s="116" t="s">
        <v>1571</v>
      </c>
      <c r="D371" s="229" t="s">
        <v>1492</v>
      </c>
      <c r="E371" s="229"/>
      <c r="F371" s="229"/>
    </row>
    <row r="372" spans="2:6" x14ac:dyDescent="0.35">
      <c r="B372" s="174" t="s">
        <v>1629</v>
      </c>
      <c r="C372" s="27" t="s">
        <v>1571</v>
      </c>
      <c r="D372" s="11" t="s">
        <v>1492</v>
      </c>
      <c r="E372" s="11"/>
      <c r="F372" s="11"/>
    </row>
    <row r="373" spans="2:6" x14ac:dyDescent="0.35">
      <c r="B373" s="175" t="s">
        <v>1630</v>
      </c>
      <c r="C373" s="116" t="s">
        <v>1571</v>
      </c>
      <c r="D373" s="229" t="s">
        <v>1492</v>
      </c>
      <c r="E373" s="229"/>
      <c r="F373" s="229"/>
    </row>
    <row r="374" spans="2:6" x14ac:dyDescent="0.35">
      <c r="B374" s="174" t="s">
        <v>1631</v>
      </c>
      <c r="C374" s="27" t="s">
        <v>1571</v>
      </c>
      <c r="D374" s="11" t="s">
        <v>1492</v>
      </c>
      <c r="E374" s="11"/>
      <c r="F374" s="11"/>
    </row>
    <row r="375" spans="2:6" x14ac:dyDescent="0.35">
      <c r="B375" s="175" t="s">
        <v>1632</v>
      </c>
      <c r="C375" s="116" t="s">
        <v>1571</v>
      </c>
      <c r="D375" s="229" t="s">
        <v>1492</v>
      </c>
      <c r="E375" s="229"/>
      <c r="F375" s="229"/>
    </row>
    <row r="376" spans="2:6" x14ac:dyDescent="0.35">
      <c r="B376" s="174" t="s">
        <v>1633</v>
      </c>
      <c r="C376" s="27" t="s">
        <v>1571</v>
      </c>
      <c r="D376" s="11" t="s">
        <v>1492</v>
      </c>
      <c r="E376" s="11"/>
      <c r="F376" s="11"/>
    </row>
    <row r="377" spans="2:6" x14ac:dyDescent="0.35">
      <c r="B377" s="175" t="s">
        <v>1634</v>
      </c>
      <c r="C377" s="116" t="s">
        <v>1571</v>
      </c>
      <c r="D377" s="229" t="s">
        <v>1492</v>
      </c>
      <c r="E377" s="229"/>
      <c r="F377" s="229"/>
    </row>
    <row r="378" spans="2:6" x14ac:dyDescent="0.35">
      <c r="B378" s="174" t="s">
        <v>1635</v>
      </c>
      <c r="C378" s="27" t="s">
        <v>1571</v>
      </c>
      <c r="D378" s="11" t="s">
        <v>1492</v>
      </c>
      <c r="E378" s="11"/>
      <c r="F378" s="11"/>
    </row>
    <row r="379" spans="2:6" x14ac:dyDescent="0.35">
      <c r="B379" s="175" t="s">
        <v>1636</v>
      </c>
      <c r="C379" s="116" t="s">
        <v>1571</v>
      </c>
      <c r="D379" s="229" t="s">
        <v>1492</v>
      </c>
      <c r="E379" s="229"/>
      <c r="F379" s="229"/>
    </row>
    <row r="380" spans="2:6" x14ac:dyDescent="0.35">
      <c r="B380" s="174" t="s">
        <v>1637</v>
      </c>
      <c r="C380" s="27" t="s">
        <v>1571</v>
      </c>
      <c r="D380" s="11" t="s">
        <v>1492</v>
      </c>
      <c r="E380" s="11"/>
      <c r="F380" s="11"/>
    </row>
    <row r="381" spans="2:6" x14ac:dyDescent="0.35">
      <c r="B381" s="175" t="s">
        <v>1638</v>
      </c>
      <c r="C381" s="116" t="s">
        <v>1571</v>
      </c>
      <c r="D381" s="229" t="s">
        <v>1492</v>
      </c>
      <c r="E381" s="229"/>
      <c r="F381" s="229"/>
    </row>
    <row r="382" spans="2:6" x14ac:dyDescent="0.35">
      <c r="B382" s="174" t="s">
        <v>1639</v>
      </c>
      <c r="C382" s="27" t="s">
        <v>1571</v>
      </c>
      <c r="D382" s="11" t="s">
        <v>1492</v>
      </c>
      <c r="E382" s="11"/>
      <c r="F382" s="11"/>
    </row>
    <row r="383" spans="2:6" x14ac:dyDescent="0.35">
      <c r="B383" s="175" t="s">
        <v>1640</v>
      </c>
      <c r="C383" s="116" t="s">
        <v>1571</v>
      </c>
      <c r="D383" s="229" t="s">
        <v>1492</v>
      </c>
      <c r="E383" s="229"/>
      <c r="F383" s="229"/>
    </row>
    <row r="384" spans="2:6" x14ac:dyDescent="0.35">
      <c r="B384" s="174" t="s">
        <v>1641</v>
      </c>
      <c r="C384" s="27" t="s">
        <v>1571</v>
      </c>
      <c r="D384" s="11" t="s">
        <v>1492</v>
      </c>
      <c r="E384" s="11"/>
      <c r="F384" s="11"/>
    </row>
    <row r="385" spans="2:6" x14ac:dyDescent="0.35">
      <c r="B385" s="175" t="s">
        <v>1642</v>
      </c>
      <c r="C385" s="116" t="s">
        <v>1571</v>
      </c>
      <c r="D385" s="229" t="s">
        <v>1492</v>
      </c>
      <c r="E385" s="229"/>
      <c r="F385" s="229"/>
    </row>
    <row r="386" spans="2:6" x14ac:dyDescent="0.35">
      <c r="B386" s="174" t="s">
        <v>1643</v>
      </c>
      <c r="C386" s="27" t="s">
        <v>1571</v>
      </c>
      <c r="D386" s="11" t="s">
        <v>1492</v>
      </c>
      <c r="E386" s="11"/>
      <c r="F386" s="11"/>
    </row>
    <row r="387" spans="2:6" x14ac:dyDescent="0.35">
      <c r="B387" s="175" t="s">
        <v>1644</v>
      </c>
      <c r="C387" s="116" t="s">
        <v>1571</v>
      </c>
      <c r="D387" s="229" t="s">
        <v>1492</v>
      </c>
      <c r="E387" s="229"/>
      <c r="F387" s="229"/>
    </row>
    <row r="388" spans="2:6" x14ac:dyDescent="0.35">
      <c r="B388" s="174" t="s">
        <v>1645</v>
      </c>
      <c r="C388" s="27" t="s">
        <v>1571</v>
      </c>
      <c r="D388" s="11" t="s">
        <v>1492</v>
      </c>
      <c r="E388" s="11"/>
      <c r="F388" s="11"/>
    </row>
    <row r="389" spans="2:6" x14ac:dyDescent="0.35">
      <c r="B389" s="175" t="s">
        <v>1646</v>
      </c>
      <c r="C389" s="116" t="s">
        <v>1571</v>
      </c>
      <c r="D389" s="229" t="s">
        <v>1492</v>
      </c>
      <c r="E389" s="229"/>
      <c r="F389" s="229"/>
    </row>
    <row r="390" spans="2:6" x14ac:dyDescent="0.35">
      <c r="B390" s="174" t="s">
        <v>1647</v>
      </c>
      <c r="C390" s="27" t="s">
        <v>1571</v>
      </c>
      <c r="D390" s="11" t="s">
        <v>1492</v>
      </c>
      <c r="E390" s="11"/>
      <c r="F390" s="11"/>
    </row>
    <row r="391" spans="2:6" x14ac:dyDescent="0.35">
      <c r="B391" s="175" t="s">
        <v>1648</v>
      </c>
      <c r="C391" s="116" t="s">
        <v>1571</v>
      </c>
      <c r="D391" s="229" t="s">
        <v>1492</v>
      </c>
      <c r="E391" s="229"/>
      <c r="F391" s="229"/>
    </row>
    <row r="392" spans="2:6" x14ac:dyDescent="0.35">
      <c r="B392" s="174" t="s">
        <v>1649</v>
      </c>
      <c r="C392" s="27" t="s">
        <v>1571</v>
      </c>
      <c r="D392" s="11" t="s">
        <v>1492</v>
      </c>
      <c r="E392" s="11"/>
      <c r="F392" s="11"/>
    </row>
    <row r="393" spans="2:6" x14ac:dyDescent="0.35">
      <c r="B393" s="175" t="s">
        <v>1650</v>
      </c>
      <c r="C393" s="116" t="s">
        <v>1571</v>
      </c>
      <c r="D393" s="229" t="s">
        <v>1492</v>
      </c>
      <c r="E393" s="229"/>
      <c r="F393" s="229"/>
    </row>
    <row r="394" spans="2:6" x14ac:dyDescent="0.35">
      <c r="B394" s="174" t="s">
        <v>1651</v>
      </c>
      <c r="C394" s="27" t="s">
        <v>1571</v>
      </c>
      <c r="D394" s="11" t="s">
        <v>1492</v>
      </c>
      <c r="E394" s="11"/>
      <c r="F394" s="11"/>
    </row>
    <row r="395" spans="2:6" x14ac:dyDescent="0.35">
      <c r="B395" s="175" t="s">
        <v>1652</v>
      </c>
      <c r="C395" s="116" t="s">
        <v>1571</v>
      </c>
      <c r="D395" s="229" t="s">
        <v>1492</v>
      </c>
      <c r="E395" s="229"/>
      <c r="F395" s="229"/>
    </row>
    <row r="396" spans="2:6" x14ac:dyDescent="0.35">
      <c r="B396" s="174" t="s">
        <v>1653</v>
      </c>
      <c r="C396" s="27" t="s">
        <v>1571</v>
      </c>
      <c r="D396" s="11" t="s">
        <v>1492</v>
      </c>
      <c r="E396" s="11"/>
      <c r="F396" s="11"/>
    </row>
    <row r="397" spans="2:6" x14ac:dyDescent="0.35">
      <c r="B397" s="175" t="s">
        <v>1654</v>
      </c>
      <c r="C397" s="116" t="s">
        <v>1571</v>
      </c>
      <c r="D397" s="229" t="s">
        <v>1492</v>
      </c>
      <c r="E397" s="229"/>
      <c r="F397" s="229"/>
    </row>
    <row r="398" spans="2:6" x14ac:dyDescent="0.35">
      <c r="B398" s="174" t="s">
        <v>1655</v>
      </c>
      <c r="C398" s="27" t="s">
        <v>1571</v>
      </c>
      <c r="D398" s="11" t="s">
        <v>1492</v>
      </c>
      <c r="E398" s="11"/>
      <c r="F398" s="11"/>
    </row>
    <row r="399" spans="2:6" x14ac:dyDescent="0.35">
      <c r="B399" s="175" t="s">
        <v>1656</v>
      </c>
      <c r="C399" s="116" t="s">
        <v>1571</v>
      </c>
      <c r="D399" s="229" t="s">
        <v>1492</v>
      </c>
      <c r="E399" s="229"/>
      <c r="F399" s="229"/>
    </row>
    <row r="400" spans="2:6" x14ac:dyDescent="0.35">
      <c r="B400" s="174" t="s">
        <v>1657</v>
      </c>
      <c r="C400" s="27" t="s">
        <v>1571</v>
      </c>
      <c r="D400" s="11" t="s">
        <v>1492</v>
      </c>
      <c r="E400" s="11"/>
      <c r="F400" s="11"/>
    </row>
    <row r="401" spans="2:6" x14ac:dyDescent="0.35">
      <c r="B401" s="175" t="s">
        <v>1658</v>
      </c>
      <c r="C401" s="116" t="s">
        <v>1571</v>
      </c>
      <c r="D401" s="229" t="s">
        <v>1492</v>
      </c>
      <c r="E401" s="229"/>
      <c r="F401" s="229"/>
    </row>
    <row r="402" spans="2:6" x14ac:dyDescent="0.35">
      <c r="B402" s="174" t="s">
        <v>1659</v>
      </c>
      <c r="C402" s="27" t="s">
        <v>1571</v>
      </c>
      <c r="D402" s="11" t="s">
        <v>1492</v>
      </c>
      <c r="E402" s="11"/>
      <c r="F402" s="11"/>
    </row>
    <row r="403" spans="2:6" x14ac:dyDescent="0.35">
      <c r="B403" s="175" t="s">
        <v>1660</v>
      </c>
      <c r="C403" s="116" t="s">
        <v>1571</v>
      </c>
      <c r="D403" s="229" t="s">
        <v>1492</v>
      </c>
      <c r="E403" s="229"/>
      <c r="F403" s="229"/>
    </row>
    <row r="404" spans="2:6" x14ac:dyDescent="0.35">
      <c r="B404" s="174" t="s">
        <v>1661</v>
      </c>
      <c r="C404" s="27" t="s">
        <v>1571</v>
      </c>
      <c r="D404" s="11" t="s">
        <v>1492</v>
      </c>
      <c r="E404" s="11"/>
      <c r="F404" s="11"/>
    </row>
    <row r="405" spans="2:6" x14ac:dyDescent="0.35">
      <c r="B405" s="175" t="s">
        <v>1662</v>
      </c>
      <c r="C405" s="116" t="s">
        <v>1571</v>
      </c>
      <c r="D405" s="229" t="s">
        <v>1492</v>
      </c>
      <c r="E405" s="229"/>
      <c r="F405" s="229"/>
    </row>
    <row r="406" spans="2:6" x14ac:dyDescent="0.35">
      <c r="B406" s="174" t="s">
        <v>1663</v>
      </c>
      <c r="C406" s="27" t="s">
        <v>1571</v>
      </c>
      <c r="D406" s="11" t="s">
        <v>1492</v>
      </c>
      <c r="E406" s="11"/>
      <c r="F406" s="11"/>
    </row>
    <row r="407" spans="2:6" x14ac:dyDescent="0.35">
      <c r="B407" s="175" t="s">
        <v>1664</v>
      </c>
      <c r="C407" s="116" t="s">
        <v>1571</v>
      </c>
      <c r="D407" s="229" t="s">
        <v>1492</v>
      </c>
      <c r="E407" s="229"/>
      <c r="F407" s="229"/>
    </row>
    <row r="408" spans="2:6" x14ac:dyDescent="0.35">
      <c r="B408" s="174" t="s">
        <v>1665</v>
      </c>
      <c r="C408" s="27" t="s">
        <v>1571</v>
      </c>
      <c r="D408" s="11" t="s">
        <v>1492</v>
      </c>
      <c r="E408" s="11"/>
      <c r="F408" s="11"/>
    </row>
    <row r="409" spans="2:6" x14ac:dyDescent="0.35">
      <c r="B409" s="175" t="s">
        <v>1666</v>
      </c>
      <c r="C409" s="116" t="s">
        <v>1571</v>
      </c>
      <c r="D409" s="229" t="s">
        <v>1492</v>
      </c>
      <c r="E409" s="229"/>
      <c r="F409" s="229"/>
    </row>
    <row r="410" spans="2:6" x14ac:dyDescent="0.35">
      <c r="B410" s="174" t="s">
        <v>1667</v>
      </c>
      <c r="C410" s="27" t="s">
        <v>1571</v>
      </c>
      <c r="D410" s="11" t="s">
        <v>1492</v>
      </c>
      <c r="E410" s="11"/>
      <c r="F410" s="11"/>
    </row>
    <row r="411" spans="2:6" x14ac:dyDescent="0.35">
      <c r="B411" s="175" t="s">
        <v>1668</v>
      </c>
      <c r="C411" s="116" t="s">
        <v>1571</v>
      </c>
      <c r="D411" s="229" t="s">
        <v>1492</v>
      </c>
      <c r="E411" s="229"/>
      <c r="F411" s="229"/>
    </row>
    <row r="412" spans="2:6" x14ac:dyDescent="0.35">
      <c r="B412" s="174" t="s">
        <v>1669</v>
      </c>
      <c r="C412" s="27" t="s">
        <v>1670</v>
      </c>
      <c r="D412" s="11" t="s">
        <v>1241</v>
      </c>
      <c r="E412" s="11"/>
      <c r="F412" s="11"/>
    </row>
    <row r="413" spans="2:6" x14ac:dyDescent="0.35">
      <c r="B413" s="175" t="s">
        <v>1671</v>
      </c>
      <c r="C413" s="116" t="s">
        <v>1670</v>
      </c>
      <c r="D413" s="229" t="s">
        <v>1241</v>
      </c>
      <c r="E413" s="229"/>
      <c r="F413" s="229"/>
    </row>
    <row r="414" spans="2:6" x14ac:dyDescent="0.35">
      <c r="B414" s="174" t="s">
        <v>1672</v>
      </c>
      <c r="C414" s="27" t="s">
        <v>1670</v>
      </c>
      <c r="D414" s="11" t="s">
        <v>1241</v>
      </c>
      <c r="E414" s="11"/>
      <c r="F414" s="11"/>
    </row>
    <row r="415" spans="2:6" x14ac:dyDescent="0.35">
      <c r="B415" s="175" t="s">
        <v>1673</v>
      </c>
      <c r="C415" s="116" t="s">
        <v>1670</v>
      </c>
      <c r="D415" s="229" t="s">
        <v>1241</v>
      </c>
      <c r="E415" s="229"/>
      <c r="F415" s="229"/>
    </row>
    <row r="416" spans="2:6" x14ac:dyDescent="0.35">
      <c r="B416" s="174" t="s">
        <v>1674</v>
      </c>
      <c r="C416" s="27" t="s">
        <v>1670</v>
      </c>
      <c r="D416" s="11" t="s">
        <v>1241</v>
      </c>
      <c r="E416" s="11"/>
      <c r="F416" s="11"/>
    </row>
    <row r="417" spans="2:6" x14ac:dyDescent="0.35">
      <c r="B417" s="175" t="s">
        <v>1675</v>
      </c>
      <c r="C417" s="116" t="s">
        <v>1670</v>
      </c>
      <c r="D417" s="229" t="s">
        <v>1241</v>
      </c>
      <c r="E417" s="229"/>
      <c r="F417" s="229"/>
    </row>
    <row r="418" spans="2:6" x14ac:dyDescent="0.35">
      <c r="B418" s="174" t="s">
        <v>1676</v>
      </c>
      <c r="C418" s="27" t="s">
        <v>1670</v>
      </c>
      <c r="D418" s="11" t="s">
        <v>1241</v>
      </c>
      <c r="E418" s="11"/>
      <c r="F418" s="11"/>
    </row>
    <row r="419" spans="2:6" x14ac:dyDescent="0.35">
      <c r="B419" s="175" t="s">
        <v>1677</v>
      </c>
      <c r="C419" s="116" t="s">
        <v>1670</v>
      </c>
      <c r="D419" s="229" t="s">
        <v>1241</v>
      </c>
      <c r="E419" s="229"/>
      <c r="F419" s="229"/>
    </row>
    <row r="420" spans="2:6" x14ac:dyDescent="0.35">
      <c r="B420" s="174" t="s">
        <v>1678</v>
      </c>
      <c r="C420" s="27" t="s">
        <v>1670</v>
      </c>
      <c r="D420" s="11" t="s">
        <v>1241</v>
      </c>
      <c r="E420" s="11"/>
      <c r="F420" s="11"/>
    </row>
    <row r="421" spans="2:6" x14ac:dyDescent="0.35">
      <c r="B421" s="175" t="s">
        <v>1679</v>
      </c>
      <c r="C421" s="116" t="s">
        <v>1670</v>
      </c>
      <c r="D421" s="229" t="s">
        <v>1241</v>
      </c>
      <c r="E421" s="229"/>
      <c r="F421" s="229"/>
    </row>
    <row r="422" spans="2:6" x14ac:dyDescent="0.35">
      <c r="B422" s="174" t="s">
        <v>1680</v>
      </c>
      <c r="C422" s="27" t="s">
        <v>1670</v>
      </c>
      <c r="D422" s="11" t="s">
        <v>1241</v>
      </c>
      <c r="E422" s="11"/>
      <c r="F422" s="11"/>
    </row>
    <row r="423" spans="2:6" x14ac:dyDescent="0.35">
      <c r="B423" s="175" t="s">
        <v>1681</v>
      </c>
      <c r="C423" s="116" t="s">
        <v>1670</v>
      </c>
      <c r="D423" s="229" t="s">
        <v>1241</v>
      </c>
      <c r="E423" s="229"/>
      <c r="F423" s="229"/>
    </row>
    <row r="424" spans="2:6" x14ac:dyDescent="0.35">
      <c r="B424" s="174" t="s">
        <v>1682</v>
      </c>
      <c r="C424" s="27" t="s">
        <v>1670</v>
      </c>
      <c r="D424" s="11" t="s">
        <v>1241</v>
      </c>
      <c r="E424" s="11"/>
      <c r="F424" s="11"/>
    </row>
    <row r="425" spans="2:6" x14ac:dyDescent="0.35">
      <c r="B425" s="175" t="s">
        <v>1683</v>
      </c>
      <c r="C425" s="116" t="s">
        <v>1670</v>
      </c>
      <c r="D425" s="229" t="s">
        <v>1241</v>
      </c>
      <c r="E425" s="229"/>
      <c r="F425" s="229"/>
    </row>
    <row r="426" spans="2:6" x14ac:dyDescent="0.35">
      <c r="B426" s="174" t="s">
        <v>1684</v>
      </c>
      <c r="C426" s="27" t="s">
        <v>1670</v>
      </c>
      <c r="D426" s="11" t="s">
        <v>1241</v>
      </c>
      <c r="E426" s="11"/>
      <c r="F426" s="11"/>
    </row>
    <row r="427" spans="2:6" x14ac:dyDescent="0.35">
      <c r="B427" s="175" t="s">
        <v>1685</v>
      </c>
      <c r="C427" s="116" t="s">
        <v>1670</v>
      </c>
      <c r="D427" s="229" t="s">
        <v>1241</v>
      </c>
      <c r="E427" s="229"/>
      <c r="F427" s="229"/>
    </row>
    <row r="428" spans="2:6" x14ac:dyDescent="0.35">
      <c r="B428" s="174" t="s">
        <v>1686</v>
      </c>
      <c r="C428" s="27" t="s">
        <v>1670</v>
      </c>
      <c r="D428" s="11" t="s">
        <v>1241</v>
      </c>
      <c r="E428" s="11"/>
      <c r="F428" s="11"/>
    </row>
    <row r="429" spans="2:6" x14ac:dyDescent="0.35">
      <c r="B429" s="175" t="s">
        <v>1687</v>
      </c>
      <c r="C429" s="116" t="s">
        <v>1670</v>
      </c>
      <c r="D429" s="229" t="s">
        <v>1241</v>
      </c>
      <c r="E429" s="229"/>
      <c r="F429" s="229"/>
    </row>
    <row r="430" spans="2:6" x14ac:dyDescent="0.35">
      <c r="B430" s="174" t="s">
        <v>1688</v>
      </c>
      <c r="C430" s="27" t="s">
        <v>1670</v>
      </c>
      <c r="D430" s="11" t="s">
        <v>1241</v>
      </c>
      <c r="E430" s="11"/>
      <c r="F430" s="11"/>
    </row>
    <row r="431" spans="2:6" x14ac:dyDescent="0.35">
      <c r="B431" s="175" t="s">
        <v>1689</v>
      </c>
      <c r="C431" s="116" t="s">
        <v>1670</v>
      </c>
      <c r="D431" s="229" t="s">
        <v>1241</v>
      </c>
      <c r="E431" s="229"/>
      <c r="F431" s="229"/>
    </row>
    <row r="432" spans="2:6" x14ac:dyDescent="0.35">
      <c r="B432" s="174" t="s">
        <v>1690</v>
      </c>
      <c r="C432" s="27" t="s">
        <v>1571</v>
      </c>
      <c r="D432" s="11" t="s">
        <v>1492</v>
      </c>
      <c r="E432" s="11"/>
      <c r="F432" s="11"/>
    </row>
    <row r="433" spans="2:6" x14ac:dyDescent="0.35">
      <c r="B433" s="175" t="s">
        <v>1691</v>
      </c>
      <c r="C433" s="116" t="s">
        <v>1571</v>
      </c>
      <c r="D433" s="229" t="s">
        <v>1492</v>
      </c>
      <c r="E433" s="229"/>
      <c r="F433" s="229"/>
    </row>
    <row r="434" spans="2:6" x14ac:dyDescent="0.35">
      <c r="B434" s="174" t="s">
        <v>1692</v>
      </c>
      <c r="C434" s="27" t="s">
        <v>1571</v>
      </c>
      <c r="D434" s="11" t="s">
        <v>1492</v>
      </c>
      <c r="E434" s="11"/>
      <c r="F434" s="11"/>
    </row>
    <row r="435" spans="2:6" x14ac:dyDescent="0.35">
      <c r="B435" s="175" t="s">
        <v>1693</v>
      </c>
      <c r="C435" s="116" t="s">
        <v>1571</v>
      </c>
      <c r="D435" s="229" t="s">
        <v>1492</v>
      </c>
      <c r="E435" s="229"/>
      <c r="F435" s="229"/>
    </row>
    <row r="436" spans="2:6" x14ac:dyDescent="0.35">
      <c r="B436" s="174" t="s">
        <v>1694</v>
      </c>
      <c r="C436" s="27" t="s">
        <v>1571</v>
      </c>
      <c r="D436" s="11" t="s">
        <v>1492</v>
      </c>
      <c r="E436" s="11"/>
      <c r="F436" s="11"/>
    </row>
    <row r="437" spans="2:6" x14ac:dyDescent="0.35">
      <c r="B437" s="175" t="s">
        <v>1695</v>
      </c>
      <c r="C437" s="116" t="s">
        <v>1571</v>
      </c>
      <c r="D437" s="229" t="s">
        <v>1492</v>
      </c>
      <c r="E437" s="229"/>
      <c r="F437" s="229"/>
    </row>
    <row r="438" spans="2:6" x14ac:dyDescent="0.35">
      <c r="B438" s="174" t="s">
        <v>1696</v>
      </c>
      <c r="C438" s="27" t="s">
        <v>1571</v>
      </c>
      <c r="D438" s="11" t="s">
        <v>1492</v>
      </c>
      <c r="E438" s="11"/>
      <c r="F438" s="11"/>
    </row>
    <row r="439" spans="2:6" x14ac:dyDescent="0.35">
      <c r="B439" s="175" t="s">
        <v>1697</v>
      </c>
      <c r="C439" s="116" t="s">
        <v>1571</v>
      </c>
      <c r="D439" s="229" t="s">
        <v>1492</v>
      </c>
      <c r="E439" s="229"/>
      <c r="F439" s="229"/>
    </row>
    <row r="440" spans="2:6" x14ac:dyDescent="0.35">
      <c r="B440" s="174" t="s">
        <v>1698</v>
      </c>
      <c r="C440" s="27" t="s">
        <v>1571</v>
      </c>
      <c r="D440" s="11" t="s">
        <v>1492</v>
      </c>
      <c r="E440" s="11"/>
      <c r="F440" s="11"/>
    </row>
    <row r="441" spans="2:6" x14ac:dyDescent="0.35">
      <c r="B441" s="175" t="s">
        <v>1699</v>
      </c>
      <c r="C441" s="116" t="s">
        <v>1571</v>
      </c>
      <c r="D441" s="229" t="s">
        <v>1492</v>
      </c>
      <c r="E441" s="229"/>
      <c r="F441" s="229"/>
    </row>
    <row r="442" spans="2:6" x14ac:dyDescent="0.35">
      <c r="B442" s="174" t="s">
        <v>1700</v>
      </c>
      <c r="C442" s="27" t="s">
        <v>1571</v>
      </c>
      <c r="D442" s="11" t="s">
        <v>1492</v>
      </c>
      <c r="E442" s="11"/>
      <c r="F442" s="11"/>
    </row>
    <row r="443" spans="2:6" x14ac:dyDescent="0.35">
      <c r="B443" s="175" t="s">
        <v>1701</v>
      </c>
      <c r="C443" s="116" t="s">
        <v>1571</v>
      </c>
      <c r="D443" s="229" t="s">
        <v>1492</v>
      </c>
      <c r="E443" s="229"/>
      <c r="F443" s="229"/>
    </row>
    <row r="444" spans="2:6" x14ac:dyDescent="0.35">
      <c r="B444" s="174" t="s">
        <v>1702</v>
      </c>
      <c r="C444" s="27" t="s">
        <v>1571</v>
      </c>
      <c r="D444" s="11" t="s">
        <v>1492</v>
      </c>
      <c r="E444" s="11"/>
      <c r="F444" s="11"/>
    </row>
    <row r="445" spans="2:6" x14ac:dyDescent="0.35">
      <c r="B445" s="175" t="s">
        <v>1703</v>
      </c>
      <c r="C445" s="116" t="s">
        <v>1571</v>
      </c>
      <c r="D445" s="229" t="s">
        <v>1492</v>
      </c>
      <c r="E445" s="229"/>
      <c r="F445" s="229"/>
    </row>
    <row r="446" spans="2:6" x14ac:dyDescent="0.35">
      <c r="B446" s="174" t="s">
        <v>1704</v>
      </c>
      <c r="C446" s="27" t="s">
        <v>1571</v>
      </c>
      <c r="D446" s="11" t="s">
        <v>1492</v>
      </c>
      <c r="E446" s="11"/>
      <c r="F446" s="11"/>
    </row>
    <row r="447" spans="2:6" x14ac:dyDescent="0.35">
      <c r="B447" s="175" t="s">
        <v>1705</v>
      </c>
      <c r="C447" s="116" t="s">
        <v>1571</v>
      </c>
      <c r="D447" s="229" t="s">
        <v>1492</v>
      </c>
      <c r="E447" s="229"/>
      <c r="F447" s="229"/>
    </row>
    <row r="448" spans="2:6" x14ac:dyDescent="0.35">
      <c r="B448" s="174" t="s">
        <v>1706</v>
      </c>
      <c r="C448" s="27" t="s">
        <v>1571</v>
      </c>
      <c r="D448" s="11" t="s">
        <v>1492</v>
      </c>
      <c r="E448" s="11"/>
      <c r="F448" s="11"/>
    </row>
    <row r="449" spans="2:6" x14ac:dyDescent="0.35">
      <c r="B449" s="175" t="s">
        <v>1707</v>
      </c>
      <c r="C449" s="116" t="s">
        <v>1571</v>
      </c>
      <c r="D449" s="229" t="s">
        <v>1492</v>
      </c>
      <c r="E449" s="229"/>
      <c r="F449" s="229"/>
    </row>
    <row r="450" spans="2:6" x14ac:dyDescent="0.35">
      <c r="B450" s="174" t="s">
        <v>1708</v>
      </c>
      <c r="C450" s="27" t="s">
        <v>1571</v>
      </c>
      <c r="D450" s="11" t="s">
        <v>1492</v>
      </c>
      <c r="E450" s="11"/>
      <c r="F450" s="11"/>
    </row>
    <row r="451" spans="2:6" x14ac:dyDescent="0.35">
      <c r="B451" s="175" t="s">
        <v>1709</v>
      </c>
      <c r="C451" s="116" t="s">
        <v>1571</v>
      </c>
      <c r="D451" s="229" t="s">
        <v>1492</v>
      </c>
      <c r="E451" s="229"/>
      <c r="F451" s="229"/>
    </row>
    <row r="452" spans="2:6" x14ac:dyDescent="0.35">
      <c r="B452" s="174" t="s">
        <v>1710</v>
      </c>
      <c r="C452" s="27" t="s">
        <v>1571</v>
      </c>
      <c r="D452" s="11" t="s">
        <v>1492</v>
      </c>
      <c r="E452" s="11"/>
      <c r="F452" s="11"/>
    </row>
    <row r="453" spans="2:6" x14ac:dyDescent="0.35">
      <c r="B453" s="175" t="s">
        <v>1711</v>
      </c>
      <c r="C453" s="116" t="s">
        <v>1571</v>
      </c>
      <c r="D453" s="229" t="s">
        <v>1492</v>
      </c>
      <c r="E453" s="229"/>
      <c r="F453" s="229"/>
    </row>
    <row r="454" spans="2:6" x14ac:dyDescent="0.35">
      <c r="B454" s="174" t="s">
        <v>1712</v>
      </c>
      <c r="C454" s="27" t="s">
        <v>1571</v>
      </c>
      <c r="D454" s="11" t="s">
        <v>1492</v>
      </c>
      <c r="E454" s="11"/>
      <c r="F454" s="11"/>
    </row>
    <row r="455" spans="2:6" x14ac:dyDescent="0.35">
      <c r="B455" s="175" t="s">
        <v>1713</v>
      </c>
      <c r="C455" s="116" t="s">
        <v>1571</v>
      </c>
      <c r="D455" s="229" t="s">
        <v>1492</v>
      </c>
      <c r="E455" s="229"/>
      <c r="F455" s="229"/>
    </row>
    <row r="456" spans="2:6" x14ac:dyDescent="0.35">
      <c r="B456" s="174" t="s">
        <v>1714</v>
      </c>
      <c r="C456" s="27" t="s">
        <v>1571</v>
      </c>
      <c r="D456" s="11" t="s">
        <v>1492</v>
      </c>
      <c r="E456" s="11"/>
      <c r="F456" s="11"/>
    </row>
    <row r="457" spans="2:6" x14ac:dyDescent="0.35">
      <c r="B457" s="175" t="s">
        <v>1715</v>
      </c>
      <c r="C457" s="116" t="s">
        <v>1571</v>
      </c>
      <c r="D457" s="229" t="s">
        <v>1492</v>
      </c>
      <c r="E457" s="229"/>
      <c r="F457" s="229"/>
    </row>
    <row r="458" spans="2:6" x14ac:dyDescent="0.35">
      <c r="B458" s="174" t="s">
        <v>1716</v>
      </c>
      <c r="C458" s="27" t="s">
        <v>1670</v>
      </c>
      <c r="D458" s="11" t="s">
        <v>1241</v>
      </c>
      <c r="E458" s="11"/>
      <c r="F458" s="11"/>
    </row>
    <row r="459" spans="2:6" x14ac:dyDescent="0.35">
      <c r="B459" s="175" t="s">
        <v>1717</v>
      </c>
      <c r="C459" s="116" t="s">
        <v>1670</v>
      </c>
      <c r="D459" s="229" t="s">
        <v>1241</v>
      </c>
      <c r="E459" s="229"/>
      <c r="F459" s="229"/>
    </row>
    <row r="460" spans="2:6" x14ac:dyDescent="0.35">
      <c r="B460" s="174" t="s">
        <v>1718</v>
      </c>
      <c r="C460" s="27" t="s">
        <v>1670</v>
      </c>
      <c r="D460" s="11" t="s">
        <v>1241</v>
      </c>
      <c r="E460" s="11"/>
      <c r="F460" s="11"/>
    </row>
    <row r="461" spans="2:6" x14ac:dyDescent="0.35">
      <c r="B461" s="175" t="s">
        <v>1719</v>
      </c>
      <c r="C461" s="116" t="s">
        <v>1670</v>
      </c>
      <c r="D461" s="229" t="s">
        <v>1241</v>
      </c>
      <c r="E461" s="229"/>
      <c r="F461" s="229"/>
    </row>
    <row r="462" spans="2:6" x14ac:dyDescent="0.35">
      <c r="B462" s="174" t="s">
        <v>1720</v>
      </c>
      <c r="C462" s="27" t="s">
        <v>1670</v>
      </c>
      <c r="D462" s="11" t="s">
        <v>1241</v>
      </c>
      <c r="E462" s="11"/>
      <c r="F462" s="11"/>
    </row>
    <row r="463" spans="2:6" x14ac:dyDescent="0.35">
      <c r="B463" s="175" t="s">
        <v>1721</v>
      </c>
      <c r="C463" s="116" t="s">
        <v>1670</v>
      </c>
      <c r="D463" s="229" t="s">
        <v>1241</v>
      </c>
      <c r="E463" s="229"/>
      <c r="F463" s="229"/>
    </row>
    <row r="464" spans="2:6" x14ac:dyDescent="0.35">
      <c r="B464" s="174" t="s">
        <v>1722</v>
      </c>
      <c r="C464" s="27" t="s">
        <v>1670</v>
      </c>
      <c r="D464" s="11" t="s">
        <v>1241</v>
      </c>
      <c r="E464" s="11"/>
      <c r="F464" s="11"/>
    </row>
    <row r="465" spans="2:6" x14ac:dyDescent="0.35">
      <c r="B465" s="175" t="s">
        <v>1723</v>
      </c>
      <c r="C465" s="116" t="s">
        <v>1670</v>
      </c>
      <c r="D465" s="229" t="s">
        <v>1241</v>
      </c>
      <c r="E465" s="229"/>
      <c r="F465" s="229"/>
    </row>
    <row r="466" spans="2:6" x14ac:dyDescent="0.35">
      <c r="B466" s="174" t="s">
        <v>1724</v>
      </c>
      <c r="C466" s="27" t="s">
        <v>1670</v>
      </c>
      <c r="D466" s="11" t="s">
        <v>1241</v>
      </c>
      <c r="E466" s="11"/>
      <c r="F466" s="11"/>
    </row>
    <row r="467" spans="2:6" x14ac:dyDescent="0.35">
      <c r="B467" s="175" t="s">
        <v>1725</v>
      </c>
      <c r="C467" s="116" t="s">
        <v>1670</v>
      </c>
      <c r="D467" s="229" t="s">
        <v>1241</v>
      </c>
      <c r="E467" s="229"/>
      <c r="F467" s="229"/>
    </row>
    <row r="468" spans="2:6" x14ac:dyDescent="0.35">
      <c r="B468" s="174" t="s">
        <v>1726</v>
      </c>
      <c r="C468" s="27" t="s">
        <v>1670</v>
      </c>
      <c r="D468" s="11" t="s">
        <v>1241</v>
      </c>
      <c r="E468" s="11"/>
      <c r="F468" s="11"/>
    </row>
    <row r="469" spans="2:6" x14ac:dyDescent="0.35">
      <c r="B469" s="175" t="s">
        <v>1727</v>
      </c>
      <c r="C469" s="116" t="s">
        <v>1670</v>
      </c>
      <c r="D469" s="229" t="s">
        <v>1241</v>
      </c>
      <c r="E469" s="229"/>
      <c r="F469" s="229"/>
    </row>
    <row r="470" spans="2:6" x14ac:dyDescent="0.35">
      <c r="B470" s="174" t="s">
        <v>1728</v>
      </c>
      <c r="C470" s="27" t="s">
        <v>1670</v>
      </c>
      <c r="D470" s="11" t="s">
        <v>1241</v>
      </c>
      <c r="E470" s="11"/>
      <c r="F470" s="11"/>
    </row>
    <row r="471" spans="2:6" x14ac:dyDescent="0.35">
      <c r="B471" s="175" t="s">
        <v>1729</v>
      </c>
      <c r="C471" s="116" t="s">
        <v>1670</v>
      </c>
      <c r="D471" s="229" t="s">
        <v>1241</v>
      </c>
      <c r="E471" s="229"/>
      <c r="F471" s="229"/>
    </row>
    <row r="472" spans="2:6" x14ac:dyDescent="0.35">
      <c r="B472" s="174" t="s">
        <v>1730</v>
      </c>
      <c r="C472" s="27" t="s">
        <v>1670</v>
      </c>
      <c r="D472" s="11" t="s">
        <v>1241</v>
      </c>
      <c r="E472" s="11"/>
      <c r="F472" s="11"/>
    </row>
    <row r="473" spans="2:6" x14ac:dyDescent="0.35">
      <c r="B473" s="175" t="s">
        <v>1731</v>
      </c>
      <c r="C473" s="116" t="s">
        <v>1670</v>
      </c>
      <c r="D473" s="229" t="s">
        <v>1241</v>
      </c>
      <c r="E473" s="229"/>
      <c r="F473" s="229"/>
    </row>
    <row r="474" spans="2:6" x14ac:dyDescent="0.35">
      <c r="B474" s="174" t="s">
        <v>1732</v>
      </c>
      <c r="C474" s="27" t="s">
        <v>1670</v>
      </c>
      <c r="D474" s="11" t="s">
        <v>1241</v>
      </c>
      <c r="E474" s="11"/>
      <c r="F474" s="11"/>
    </row>
    <row r="475" spans="2:6" x14ac:dyDescent="0.35">
      <c r="B475" s="175" t="s">
        <v>1733</v>
      </c>
      <c r="C475" s="116" t="s">
        <v>1670</v>
      </c>
      <c r="D475" s="229" t="s">
        <v>1241</v>
      </c>
      <c r="E475" s="229"/>
      <c r="F475" s="229"/>
    </row>
    <row r="476" spans="2:6" x14ac:dyDescent="0.35">
      <c r="B476" s="174" t="s">
        <v>1734</v>
      </c>
      <c r="C476" s="27" t="s">
        <v>1670</v>
      </c>
      <c r="D476" s="11" t="s">
        <v>1241</v>
      </c>
      <c r="E476" s="11"/>
      <c r="F476" s="11"/>
    </row>
    <row r="477" spans="2:6" x14ac:dyDescent="0.35">
      <c r="B477" s="175" t="s">
        <v>1735</v>
      </c>
      <c r="C477" s="116" t="s">
        <v>1670</v>
      </c>
      <c r="D477" s="229" t="s">
        <v>1241</v>
      </c>
      <c r="E477" s="229"/>
      <c r="F477" s="229"/>
    </row>
    <row r="478" spans="2:6" x14ac:dyDescent="0.35">
      <c r="B478" s="174" t="s">
        <v>1736</v>
      </c>
      <c r="C478" s="27" t="s">
        <v>1670</v>
      </c>
      <c r="D478" s="11" t="s">
        <v>1241</v>
      </c>
      <c r="E478" s="11"/>
      <c r="F478" s="11"/>
    </row>
    <row r="479" spans="2:6" x14ac:dyDescent="0.35">
      <c r="B479" s="175" t="s">
        <v>1737</v>
      </c>
      <c r="C479" s="116" t="s">
        <v>1670</v>
      </c>
      <c r="D479" s="229" t="s">
        <v>1241</v>
      </c>
      <c r="E479" s="229"/>
      <c r="F479" s="229"/>
    </row>
    <row r="480" spans="2:6" x14ac:dyDescent="0.35">
      <c r="B480" s="174" t="s">
        <v>1738</v>
      </c>
      <c r="C480" s="27" t="s">
        <v>1670</v>
      </c>
      <c r="D480" s="11" t="s">
        <v>1241</v>
      </c>
      <c r="E480" s="11"/>
      <c r="F480" s="11"/>
    </row>
    <row r="481" spans="2:6" x14ac:dyDescent="0.35">
      <c r="B481" s="175" t="s">
        <v>1739</v>
      </c>
      <c r="C481" s="116" t="s">
        <v>1670</v>
      </c>
      <c r="D481" s="229" t="s">
        <v>1241</v>
      </c>
      <c r="E481" s="229"/>
      <c r="F481" s="229"/>
    </row>
    <row r="482" spans="2:6" x14ac:dyDescent="0.35">
      <c r="B482" s="174" t="s">
        <v>1740</v>
      </c>
      <c r="C482" s="27" t="s">
        <v>1670</v>
      </c>
      <c r="D482" s="11" t="s">
        <v>1241</v>
      </c>
      <c r="E482" s="11"/>
      <c r="F482" s="11"/>
    </row>
    <row r="483" spans="2:6" x14ac:dyDescent="0.35">
      <c r="B483" s="175" t="s">
        <v>1741</v>
      </c>
      <c r="C483" s="116" t="s">
        <v>1670</v>
      </c>
      <c r="D483" s="229" t="s">
        <v>1241</v>
      </c>
      <c r="E483" s="229"/>
      <c r="F483" s="229"/>
    </row>
    <row r="484" spans="2:6" x14ac:dyDescent="0.35">
      <c r="B484" s="174" t="s">
        <v>1742</v>
      </c>
      <c r="C484" s="27" t="s">
        <v>1670</v>
      </c>
      <c r="D484" s="11" t="s">
        <v>1241</v>
      </c>
      <c r="E484" s="11"/>
      <c r="F484" s="11"/>
    </row>
    <row r="485" spans="2:6" x14ac:dyDescent="0.35">
      <c r="B485" s="175" t="s">
        <v>1743</v>
      </c>
      <c r="C485" s="116" t="s">
        <v>1670</v>
      </c>
      <c r="D485" s="229" t="s">
        <v>1241</v>
      </c>
      <c r="E485" s="229"/>
      <c r="F485" s="229"/>
    </row>
    <row r="486" spans="2:6" x14ac:dyDescent="0.35">
      <c r="B486" s="174" t="s">
        <v>1744</v>
      </c>
      <c r="C486" s="27" t="s">
        <v>1670</v>
      </c>
      <c r="D486" s="11" t="s">
        <v>1241</v>
      </c>
      <c r="E486" s="11"/>
      <c r="F486" s="11"/>
    </row>
    <row r="487" spans="2:6" x14ac:dyDescent="0.35">
      <c r="B487" s="175" t="s">
        <v>1745</v>
      </c>
      <c r="C487" s="116" t="s">
        <v>1670</v>
      </c>
      <c r="D487" s="229" t="s">
        <v>1241</v>
      </c>
      <c r="E487" s="229"/>
      <c r="F487" s="229"/>
    </row>
    <row r="488" spans="2:6" x14ac:dyDescent="0.35">
      <c r="B488" s="174" t="s">
        <v>1746</v>
      </c>
      <c r="C488" s="27" t="s">
        <v>1670</v>
      </c>
      <c r="D488" s="11" t="s">
        <v>1241</v>
      </c>
      <c r="E488" s="11"/>
      <c r="F488" s="11"/>
    </row>
    <row r="489" spans="2:6" x14ac:dyDescent="0.35">
      <c r="B489" s="175" t="s">
        <v>1747</v>
      </c>
      <c r="C489" s="116" t="s">
        <v>1670</v>
      </c>
      <c r="D489" s="229" t="s">
        <v>1241</v>
      </c>
      <c r="E489" s="229"/>
      <c r="F489" s="229"/>
    </row>
    <row r="490" spans="2:6" x14ac:dyDescent="0.35">
      <c r="B490" s="174" t="s">
        <v>1748</v>
      </c>
      <c r="C490" s="27" t="s">
        <v>1670</v>
      </c>
      <c r="D490" s="11" t="s">
        <v>1241</v>
      </c>
      <c r="E490" s="11"/>
      <c r="F490" s="11"/>
    </row>
    <row r="491" spans="2:6" x14ac:dyDescent="0.35">
      <c r="B491" s="175" t="s">
        <v>1749</v>
      </c>
      <c r="C491" s="116" t="s">
        <v>1670</v>
      </c>
      <c r="D491" s="229" t="s">
        <v>1241</v>
      </c>
      <c r="E491" s="229"/>
      <c r="F491" s="229"/>
    </row>
    <row r="492" spans="2:6" x14ac:dyDescent="0.35">
      <c r="B492" s="174" t="s">
        <v>1750</v>
      </c>
      <c r="C492" s="27" t="s">
        <v>1670</v>
      </c>
      <c r="D492" s="11" t="s">
        <v>1241</v>
      </c>
      <c r="E492" s="11"/>
      <c r="F492" s="11"/>
    </row>
    <row r="493" spans="2:6" x14ac:dyDescent="0.35">
      <c r="B493" s="175" t="s">
        <v>1751</v>
      </c>
      <c r="C493" s="116" t="s">
        <v>1670</v>
      </c>
      <c r="D493" s="229" t="s">
        <v>1241</v>
      </c>
      <c r="E493" s="229"/>
      <c r="F493" s="229"/>
    </row>
    <row r="494" spans="2:6" x14ac:dyDescent="0.35">
      <c r="B494" s="174" t="s">
        <v>1752</v>
      </c>
      <c r="C494" s="27" t="s">
        <v>1670</v>
      </c>
      <c r="D494" s="11" t="s">
        <v>1241</v>
      </c>
      <c r="E494" s="11"/>
      <c r="F494" s="11"/>
    </row>
    <row r="495" spans="2:6" x14ac:dyDescent="0.35">
      <c r="B495" s="175" t="s">
        <v>1753</v>
      </c>
      <c r="C495" s="116" t="s">
        <v>1670</v>
      </c>
      <c r="D495" s="229" t="s">
        <v>1241</v>
      </c>
      <c r="E495" s="229"/>
      <c r="F495" s="229"/>
    </row>
    <row r="496" spans="2:6" x14ac:dyDescent="0.35">
      <c r="B496" s="174" t="s">
        <v>1754</v>
      </c>
      <c r="C496" s="27" t="s">
        <v>1670</v>
      </c>
      <c r="D496" s="11" t="s">
        <v>1241</v>
      </c>
      <c r="E496" s="11"/>
      <c r="F496" s="11"/>
    </row>
    <row r="497" spans="2:6" x14ac:dyDescent="0.35">
      <c r="B497" s="175" t="s">
        <v>1755</v>
      </c>
      <c r="C497" s="116" t="s">
        <v>1670</v>
      </c>
      <c r="D497" s="229" t="s">
        <v>1241</v>
      </c>
      <c r="E497" s="229"/>
      <c r="F497" s="229"/>
    </row>
    <row r="498" spans="2:6" x14ac:dyDescent="0.35">
      <c r="B498" s="174" t="s">
        <v>1756</v>
      </c>
      <c r="C498" s="27" t="s">
        <v>1670</v>
      </c>
      <c r="D498" s="11" t="s">
        <v>1241</v>
      </c>
      <c r="E498" s="11"/>
      <c r="F498" s="11"/>
    </row>
    <row r="499" spans="2:6" x14ac:dyDescent="0.35">
      <c r="B499" s="175" t="s">
        <v>1757</v>
      </c>
      <c r="C499" s="116" t="s">
        <v>1670</v>
      </c>
      <c r="D499" s="229" t="s">
        <v>1241</v>
      </c>
      <c r="E499" s="229"/>
      <c r="F499" s="229"/>
    </row>
    <row r="500" spans="2:6" x14ac:dyDescent="0.35">
      <c r="B500" s="174" t="s">
        <v>1758</v>
      </c>
      <c r="C500" s="27" t="s">
        <v>1670</v>
      </c>
      <c r="D500" s="11" t="s">
        <v>1241</v>
      </c>
      <c r="E500" s="11"/>
      <c r="F500" s="11"/>
    </row>
    <row r="501" spans="2:6" x14ac:dyDescent="0.35">
      <c r="B501" s="175" t="s">
        <v>1759</v>
      </c>
      <c r="C501" s="116" t="s">
        <v>1670</v>
      </c>
      <c r="D501" s="229" t="s">
        <v>1241</v>
      </c>
      <c r="E501" s="229"/>
      <c r="F501" s="229"/>
    </row>
    <row r="502" spans="2:6" x14ac:dyDescent="0.35">
      <c r="B502" s="174" t="s">
        <v>1760</v>
      </c>
      <c r="C502" s="27" t="s">
        <v>1670</v>
      </c>
      <c r="D502" s="11" t="s">
        <v>1241</v>
      </c>
      <c r="E502" s="11"/>
      <c r="F502" s="11"/>
    </row>
    <row r="503" spans="2:6" x14ac:dyDescent="0.35">
      <c r="B503" s="175" t="s">
        <v>1761</v>
      </c>
      <c r="C503" s="116" t="s">
        <v>1670</v>
      </c>
      <c r="D503" s="229" t="s">
        <v>1241</v>
      </c>
      <c r="E503" s="229"/>
      <c r="F503" s="229"/>
    </row>
    <row r="504" spans="2:6" x14ac:dyDescent="0.35">
      <c r="B504" s="174" t="s">
        <v>1762</v>
      </c>
      <c r="C504" s="27" t="s">
        <v>1670</v>
      </c>
      <c r="D504" s="11" t="s">
        <v>1241</v>
      </c>
      <c r="E504" s="11"/>
      <c r="F504" s="11"/>
    </row>
    <row r="505" spans="2:6" x14ac:dyDescent="0.35">
      <c r="B505" s="175" t="s">
        <v>1763</v>
      </c>
      <c r="C505" s="116" t="s">
        <v>1670</v>
      </c>
      <c r="D505" s="229" t="s">
        <v>1241</v>
      </c>
      <c r="E505" s="229"/>
      <c r="F505" s="229"/>
    </row>
    <row r="506" spans="2:6" x14ac:dyDescent="0.35">
      <c r="B506" s="174" t="s">
        <v>1764</v>
      </c>
      <c r="C506" s="27" t="s">
        <v>1670</v>
      </c>
      <c r="D506" s="11" t="s">
        <v>1241</v>
      </c>
      <c r="E506" s="11"/>
      <c r="F506" s="11"/>
    </row>
    <row r="507" spans="2:6" x14ac:dyDescent="0.35">
      <c r="B507" s="175" t="s">
        <v>1765</v>
      </c>
      <c r="C507" s="116" t="s">
        <v>1670</v>
      </c>
      <c r="D507" s="229" t="s">
        <v>1241</v>
      </c>
      <c r="E507" s="229"/>
      <c r="F507" s="229"/>
    </row>
    <row r="508" spans="2:6" x14ac:dyDescent="0.35">
      <c r="B508" s="174" t="s">
        <v>1766</v>
      </c>
      <c r="C508" s="27" t="s">
        <v>1670</v>
      </c>
      <c r="D508" s="11" t="s">
        <v>1241</v>
      </c>
      <c r="E508" s="11"/>
      <c r="F508" s="11"/>
    </row>
    <row r="509" spans="2:6" x14ac:dyDescent="0.35">
      <c r="B509" s="175" t="s">
        <v>1767</v>
      </c>
      <c r="C509" s="116" t="s">
        <v>1670</v>
      </c>
      <c r="D509" s="229" t="s">
        <v>1241</v>
      </c>
      <c r="E509" s="229"/>
      <c r="F509" s="229"/>
    </row>
    <row r="510" spans="2:6" x14ac:dyDescent="0.35">
      <c r="B510" s="174" t="s">
        <v>1768</v>
      </c>
      <c r="C510" s="27" t="s">
        <v>1769</v>
      </c>
      <c r="D510" s="11" t="s">
        <v>1770</v>
      </c>
      <c r="E510" s="11"/>
      <c r="F510" s="11"/>
    </row>
    <row r="511" spans="2:6" x14ac:dyDescent="0.35">
      <c r="B511" s="175" t="s">
        <v>1771</v>
      </c>
      <c r="C511" s="116" t="s">
        <v>1769</v>
      </c>
      <c r="D511" s="229" t="s">
        <v>1770</v>
      </c>
      <c r="E511" s="229"/>
      <c r="F511" s="229"/>
    </row>
    <row r="512" spans="2:6" x14ac:dyDescent="0.35">
      <c r="B512" s="174" t="s">
        <v>1772</v>
      </c>
      <c r="C512" s="27" t="s">
        <v>1769</v>
      </c>
      <c r="D512" s="11" t="s">
        <v>1770</v>
      </c>
      <c r="E512" s="11"/>
      <c r="F512" s="11"/>
    </row>
    <row r="513" spans="2:6" x14ac:dyDescent="0.35">
      <c r="B513" s="175" t="s">
        <v>1773</v>
      </c>
      <c r="C513" s="116" t="s">
        <v>1769</v>
      </c>
      <c r="D513" s="229" t="s">
        <v>1770</v>
      </c>
      <c r="E513" s="229"/>
      <c r="F513" s="229"/>
    </row>
    <row r="514" spans="2:6" x14ac:dyDescent="0.35">
      <c r="B514" s="174" t="s">
        <v>1774</v>
      </c>
      <c r="C514" s="27" t="s">
        <v>1769</v>
      </c>
      <c r="D514" s="11" t="s">
        <v>1770</v>
      </c>
      <c r="E514" s="11"/>
      <c r="F514" s="11"/>
    </row>
    <row r="515" spans="2:6" x14ac:dyDescent="0.35">
      <c r="B515" s="175" t="s">
        <v>1775</v>
      </c>
      <c r="C515" s="116" t="s">
        <v>1769</v>
      </c>
      <c r="D515" s="229" t="s">
        <v>1770</v>
      </c>
      <c r="E515" s="229"/>
      <c r="F515" s="229"/>
    </row>
    <row r="516" spans="2:6" x14ac:dyDescent="0.35">
      <c r="B516" s="174" t="s">
        <v>1776</v>
      </c>
      <c r="C516" s="27" t="s">
        <v>1769</v>
      </c>
      <c r="D516" s="11" t="s">
        <v>1770</v>
      </c>
      <c r="E516" s="11"/>
      <c r="F516" s="11"/>
    </row>
    <row r="517" spans="2:6" x14ac:dyDescent="0.35">
      <c r="B517" s="175" t="s">
        <v>1777</v>
      </c>
      <c r="C517" s="116" t="s">
        <v>1769</v>
      </c>
      <c r="D517" s="229" t="s">
        <v>1770</v>
      </c>
      <c r="E517" s="229"/>
      <c r="F517" s="229"/>
    </row>
    <row r="518" spans="2:6" x14ac:dyDescent="0.35">
      <c r="B518" s="174" t="s">
        <v>1778</v>
      </c>
      <c r="C518" s="27" t="s">
        <v>1769</v>
      </c>
      <c r="D518" s="11" t="s">
        <v>1770</v>
      </c>
      <c r="E518" s="11"/>
      <c r="F518" s="11"/>
    </row>
    <row r="519" spans="2:6" x14ac:dyDescent="0.35">
      <c r="B519" s="175" t="s">
        <v>1779</v>
      </c>
      <c r="C519" s="116" t="s">
        <v>1769</v>
      </c>
      <c r="D519" s="229" t="s">
        <v>1770</v>
      </c>
      <c r="E519" s="229"/>
      <c r="F519" s="229"/>
    </row>
    <row r="520" spans="2:6" x14ac:dyDescent="0.35">
      <c r="B520" s="174" t="s">
        <v>1780</v>
      </c>
      <c r="C520" s="27" t="s">
        <v>1571</v>
      </c>
      <c r="D520" s="11" t="s">
        <v>1492</v>
      </c>
      <c r="E520" s="11"/>
      <c r="F520" s="11"/>
    </row>
    <row r="521" spans="2:6" x14ac:dyDescent="0.35">
      <c r="B521" s="175" t="s">
        <v>1781</v>
      </c>
      <c r="C521" s="116" t="s">
        <v>1571</v>
      </c>
      <c r="D521" s="229" t="s">
        <v>1492</v>
      </c>
      <c r="E521" s="229"/>
      <c r="F521" s="229"/>
    </row>
    <row r="522" spans="2:6" x14ac:dyDescent="0.35">
      <c r="B522" s="174" t="s">
        <v>1782</v>
      </c>
      <c r="C522" s="27" t="s">
        <v>1571</v>
      </c>
      <c r="D522" s="11" t="s">
        <v>1492</v>
      </c>
      <c r="E522" s="11"/>
      <c r="F522" s="11"/>
    </row>
    <row r="523" spans="2:6" x14ac:dyDescent="0.35">
      <c r="B523" s="175" t="s">
        <v>1783</v>
      </c>
      <c r="C523" s="116" t="s">
        <v>1571</v>
      </c>
      <c r="D523" s="229" t="s">
        <v>1492</v>
      </c>
      <c r="E523" s="229"/>
      <c r="F523" s="229"/>
    </row>
    <row r="524" spans="2:6" x14ac:dyDescent="0.35">
      <c r="B524" s="174" t="s">
        <v>1784</v>
      </c>
      <c r="C524" s="27" t="s">
        <v>1571</v>
      </c>
      <c r="D524" s="11" t="s">
        <v>1492</v>
      </c>
      <c r="E524" s="11"/>
      <c r="F524" s="11"/>
    </row>
    <row r="525" spans="2:6" x14ac:dyDescent="0.35">
      <c r="B525" s="175" t="s">
        <v>1785</v>
      </c>
      <c r="C525" s="116" t="s">
        <v>1571</v>
      </c>
      <c r="D525" s="229" t="s">
        <v>1492</v>
      </c>
      <c r="E525" s="229"/>
      <c r="F525" s="229"/>
    </row>
    <row r="526" spans="2:6" x14ac:dyDescent="0.35">
      <c r="B526" s="174" t="s">
        <v>1786</v>
      </c>
      <c r="C526" s="27" t="s">
        <v>1571</v>
      </c>
      <c r="D526" s="11" t="s">
        <v>1492</v>
      </c>
      <c r="E526" s="11"/>
      <c r="F526" s="11"/>
    </row>
    <row r="527" spans="2:6" x14ac:dyDescent="0.35">
      <c r="B527" s="175" t="s">
        <v>1787</v>
      </c>
      <c r="C527" s="116" t="s">
        <v>1571</v>
      </c>
      <c r="D527" s="229" t="s">
        <v>1492</v>
      </c>
      <c r="E527" s="229"/>
      <c r="F527" s="229"/>
    </row>
    <row r="528" spans="2:6" x14ac:dyDescent="0.35">
      <c r="B528" s="174" t="s">
        <v>1788</v>
      </c>
      <c r="C528" s="27" t="s">
        <v>1571</v>
      </c>
      <c r="D528" s="11" t="s">
        <v>1492</v>
      </c>
      <c r="E528" s="11"/>
      <c r="F528" s="11"/>
    </row>
    <row r="529" spans="2:6" x14ac:dyDescent="0.35">
      <c r="B529" s="175" t="s">
        <v>1789</v>
      </c>
      <c r="C529" s="116" t="s">
        <v>1571</v>
      </c>
      <c r="D529" s="229" t="s">
        <v>1492</v>
      </c>
      <c r="E529" s="229"/>
      <c r="F529" s="229"/>
    </row>
    <row r="530" spans="2:6" x14ac:dyDescent="0.35">
      <c r="B530" s="174" t="s">
        <v>1790</v>
      </c>
      <c r="C530" s="27" t="s">
        <v>1571</v>
      </c>
      <c r="D530" s="11" t="s">
        <v>1492</v>
      </c>
      <c r="E530" s="11"/>
      <c r="F530" s="11"/>
    </row>
    <row r="531" spans="2:6" x14ac:dyDescent="0.35">
      <c r="B531" s="175" t="s">
        <v>1791</v>
      </c>
      <c r="C531" s="116" t="s">
        <v>1571</v>
      </c>
      <c r="D531" s="229" t="s">
        <v>1492</v>
      </c>
      <c r="E531" s="229"/>
      <c r="F531" s="229"/>
    </row>
    <row r="532" spans="2:6" x14ac:dyDescent="0.35">
      <c r="B532" s="174" t="s">
        <v>1792</v>
      </c>
      <c r="C532" s="27" t="s">
        <v>1571</v>
      </c>
      <c r="D532" s="11" t="s">
        <v>1492</v>
      </c>
      <c r="E532" s="11"/>
      <c r="F532" s="11"/>
    </row>
    <row r="533" spans="2:6" x14ac:dyDescent="0.35">
      <c r="B533" s="175" t="s">
        <v>1793</v>
      </c>
      <c r="C533" s="116" t="s">
        <v>1571</v>
      </c>
      <c r="D533" s="229" t="s">
        <v>1492</v>
      </c>
      <c r="E533" s="229"/>
      <c r="F533" s="229"/>
    </row>
    <row r="534" spans="2:6" x14ac:dyDescent="0.35">
      <c r="B534" s="174" t="s">
        <v>1794</v>
      </c>
      <c r="C534" s="27" t="s">
        <v>1571</v>
      </c>
      <c r="D534" s="11" t="s">
        <v>1492</v>
      </c>
      <c r="E534" s="11"/>
      <c r="F534" s="11"/>
    </row>
    <row r="535" spans="2:6" x14ac:dyDescent="0.35">
      <c r="B535" s="175" t="s">
        <v>1795</v>
      </c>
      <c r="C535" s="116" t="s">
        <v>1571</v>
      </c>
      <c r="D535" s="229" t="s">
        <v>1492</v>
      </c>
      <c r="E535" s="229"/>
      <c r="F535" s="229"/>
    </row>
    <row r="536" spans="2:6" x14ac:dyDescent="0.35">
      <c r="B536" s="174" t="s">
        <v>1796</v>
      </c>
      <c r="C536" s="27" t="s">
        <v>1571</v>
      </c>
      <c r="D536" s="11" t="s">
        <v>1492</v>
      </c>
      <c r="E536" s="11"/>
      <c r="F536" s="11"/>
    </row>
    <row r="537" spans="2:6" x14ac:dyDescent="0.35">
      <c r="B537" s="175" t="s">
        <v>1797</v>
      </c>
      <c r="C537" s="116" t="s">
        <v>1571</v>
      </c>
      <c r="D537" s="229" t="s">
        <v>1492</v>
      </c>
      <c r="E537" s="229"/>
      <c r="F537" s="229"/>
    </row>
    <row r="538" spans="2:6" x14ac:dyDescent="0.35">
      <c r="B538" s="174" t="s">
        <v>1798</v>
      </c>
      <c r="C538" s="27" t="s">
        <v>1571</v>
      </c>
      <c r="D538" s="11" t="s">
        <v>1492</v>
      </c>
      <c r="E538" s="11"/>
      <c r="F538" s="11"/>
    </row>
    <row r="539" spans="2:6" x14ac:dyDescent="0.35">
      <c r="B539" s="175" t="s">
        <v>1799</v>
      </c>
      <c r="C539" s="116" t="s">
        <v>1571</v>
      </c>
      <c r="D539" s="229" t="s">
        <v>1492</v>
      </c>
      <c r="E539" s="229"/>
      <c r="F539" s="229"/>
    </row>
    <row r="540" spans="2:6" x14ac:dyDescent="0.35">
      <c r="B540" s="174" t="s">
        <v>1800</v>
      </c>
      <c r="C540" s="27" t="s">
        <v>1571</v>
      </c>
      <c r="D540" s="11" t="s">
        <v>1492</v>
      </c>
      <c r="E540" s="11"/>
      <c r="F540" s="11"/>
    </row>
    <row r="541" spans="2:6" x14ac:dyDescent="0.35">
      <c r="B541" s="175" t="s">
        <v>1801</v>
      </c>
      <c r="C541" s="116" t="s">
        <v>1571</v>
      </c>
      <c r="D541" s="229" t="s">
        <v>1492</v>
      </c>
      <c r="E541" s="229"/>
      <c r="F541" s="229"/>
    </row>
    <row r="542" spans="2:6" x14ac:dyDescent="0.35">
      <c r="B542" s="174" t="s">
        <v>1802</v>
      </c>
      <c r="C542" s="27" t="s">
        <v>1571</v>
      </c>
      <c r="D542" s="11" t="s">
        <v>1492</v>
      </c>
      <c r="E542" s="11"/>
      <c r="F542" s="11"/>
    </row>
    <row r="543" spans="2:6" x14ac:dyDescent="0.35">
      <c r="B543" s="175" t="s">
        <v>1803</v>
      </c>
      <c r="C543" s="116" t="s">
        <v>1571</v>
      </c>
      <c r="D543" s="229" t="s">
        <v>1492</v>
      </c>
      <c r="E543" s="229"/>
      <c r="F543" s="229"/>
    </row>
    <row r="544" spans="2:6" x14ac:dyDescent="0.35">
      <c r="B544" s="174" t="s">
        <v>1804</v>
      </c>
      <c r="C544" s="27" t="s">
        <v>1571</v>
      </c>
      <c r="D544" s="11" t="s">
        <v>1492</v>
      </c>
      <c r="E544" s="11"/>
      <c r="F544" s="11"/>
    </row>
    <row r="545" spans="2:6" x14ac:dyDescent="0.35">
      <c r="B545" s="175" t="s">
        <v>1805</v>
      </c>
      <c r="C545" s="116" t="s">
        <v>1571</v>
      </c>
      <c r="D545" s="229" t="s">
        <v>1492</v>
      </c>
      <c r="E545" s="229"/>
      <c r="F545" s="229"/>
    </row>
    <row r="546" spans="2:6" x14ac:dyDescent="0.35">
      <c r="B546" s="174" t="s">
        <v>1806</v>
      </c>
      <c r="C546" s="27" t="s">
        <v>1571</v>
      </c>
      <c r="D546" s="11" t="s">
        <v>1492</v>
      </c>
      <c r="E546" s="11"/>
      <c r="F546" s="11"/>
    </row>
    <row r="547" spans="2:6" x14ac:dyDescent="0.35">
      <c r="B547" s="175" t="s">
        <v>1807</v>
      </c>
      <c r="C547" s="116" t="s">
        <v>1571</v>
      </c>
      <c r="D547" s="229" t="s">
        <v>1492</v>
      </c>
      <c r="E547" s="229"/>
      <c r="F547" s="229"/>
    </row>
    <row r="548" spans="2:6" x14ac:dyDescent="0.35">
      <c r="B548" s="174" t="s">
        <v>1808</v>
      </c>
      <c r="C548" s="27" t="s">
        <v>1571</v>
      </c>
      <c r="D548" s="11" t="s">
        <v>1492</v>
      </c>
      <c r="E548" s="11"/>
      <c r="F548" s="11"/>
    </row>
    <row r="549" spans="2:6" x14ac:dyDescent="0.35">
      <c r="B549" s="175" t="s">
        <v>1809</v>
      </c>
      <c r="C549" s="116" t="s">
        <v>1571</v>
      </c>
      <c r="D549" s="229" t="s">
        <v>1492</v>
      </c>
      <c r="E549" s="229"/>
      <c r="F549" s="229"/>
    </row>
    <row r="550" spans="2:6" x14ac:dyDescent="0.35">
      <c r="B550" s="174" t="s">
        <v>1810</v>
      </c>
      <c r="C550" s="27" t="s">
        <v>1571</v>
      </c>
      <c r="D550" s="11" t="s">
        <v>1492</v>
      </c>
      <c r="E550" s="11"/>
      <c r="F550" s="11"/>
    </row>
    <row r="551" spans="2:6" x14ac:dyDescent="0.35">
      <c r="B551" s="175" t="s">
        <v>1811</v>
      </c>
      <c r="C551" s="116" t="s">
        <v>1571</v>
      </c>
      <c r="D551" s="229" t="s">
        <v>1492</v>
      </c>
      <c r="E551" s="229"/>
      <c r="F551" s="229"/>
    </row>
    <row r="552" spans="2:6" x14ac:dyDescent="0.35">
      <c r="B552" s="174" t="s">
        <v>1812</v>
      </c>
      <c r="C552" s="27" t="s">
        <v>1571</v>
      </c>
      <c r="D552" s="11" t="s">
        <v>1492</v>
      </c>
      <c r="E552" s="11"/>
      <c r="F552" s="11"/>
    </row>
    <row r="553" spans="2:6" x14ac:dyDescent="0.35">
      <c r="B553" s="175" t="s">
        <v>1813</v>
      </c>
      <c r="C553" s="116" t="s">
        <v>1571</v>
      </c>
      <c r="D553" s="229" t="s">
        <v>1492</v>
      </c>
      <c r="E553" s="229"/>
      <c r="F553" s="229"/>
    </row>
    <row r="554" spans="2:6" x14ac:dyDescent="0.35">
      <c r="B554" s="174" t="s">
        <v>1814</v>
      </c>
      <c r="C554" s="27" t="s">
        <v>1571</v>
      </c>
      <c r="D554" s="11" t="s">
        <v>1492</v>
      </c>
      <c r="E554" s="11"/>
      <c r="F554" s="11"/>
    </row>
    <row r="555" spans="2:6" x14ac:dyDescent="0.35">
      <c r="B555" s="175" t="s">
        <v>1815</v>
      </c>
      <c r="C555" s="116" t="s">
        <v>1571</v>
      </c>
      <c r="D555" s="229" t="s">
        <v>1492</v>
      </c>
      <c r="E555" s="229"/>
      <c r="F555" s="229"/>
    </row>
    <row r="556" spans="2:6" x14ac:dyDescent="0.35">
      <c r="B556" s="174" t="s">
        <v>1816</v>
      </c>
      <c r="C556" s="27" t="s">
        <v>1571</v>
      </c>
      <c r="D556" s="11" t="s">
        <v>1492</v>
      </c>
      <c r="E556" s="11"/>
      <c r="F556" s="11"/>
    </row>
    <row r="557" spans="2:6" x14ac:dyDescent="0.35">
      <c r="B557" s="175" t="s">
        <v>1817</v>
      </c>
      <c r="C557" s="116" t="s">
        <v>1571</v>
      </c>
      <c r="D557" s="229" t="s">
        <v>1492</v>
      </c>
      <c r="E557" s="229"/>
      <c r="F557" s="229"/>
    </row>
    <row r="558" spans="2:6" x14ac:dyDescent="0.35">
      <c r="B558" s="174" t="s">
        <v>1818</v>
      </c>
      <c r="C558" s="27" t="s">
        <v>1571</v>
      </c>
      <c r="D558" s="11" t="s">
        <v>1492</v>
      </c>
      <c r="E558" s="11"/>
      <c r="F558" s="11"/>
    </row>
    <row r="559" spans="2:6" x14ac:dyDescent="0.35">
      <c r="B559" s="175" t="s">
        <v>1819</v>
      </c>
      <c r="C559" s="116" t="s">
        <v>1571</v>
      </c>
      <c r="D559" s="229" t="s">
        <v>1492</v>
      </c>
      <c r="E559" s="229"/>
      <c r="F559" s="229"/>
    </row>
    <row r="560" spans="2:6" x14ac:dyDescent="0.35">
      <c r="B560" s="174" t="s">
        <v>1820</v>
      </c>
      <c r="C560" s="27" t="s">
        <v>1571</v>
      </c>
      <c r="D560" s="11" t="s">
        <v>1492</v>
      </c>
      <c r="E560" s="11"/>
      <c r="F560" s="11"/>
    </row>
    <row r="561" spans="2:6" x14ac:dyDescent="0.35">
      <c r="B561" s="175" t="s">
        <v>1821</v>
      </c>
      <c r="C561" s="116" t="s">
        <v>1571</v>
      </c>
      <c r="D561" s="229" t="s">
        <v>1492</v>
      </c>
      <c r="E561" s="229"/>
      <c r="F561" s="229"/>
    </row>
    <row r="562" spans="2:6" x14ac:dyDescent="0.35">
      <c r="B562" s="174" t="s">
        <v>1822</v>
      </c>
      <c r="C562" s="27" t="s">
        <v>1571</v>
      </c>
      <c r="D562" s="11" t="s">
        <v>1492</v>
      </c>
      <c r="E562" s="11"/>
      <c r="F562" s="11"/>
    </row>
    <row r="563" spans="2:6" x14ac:dyDescent="0.35">
      <c r="B563" s="175" t="s">
        <v>1823</v>
      </c>
      <c r="C563" s="116" t="s">
        <v>1571</v>
      </c>
      <c r="D563" s="229" t="s">
        <v>1492</v>
      </c>
      <c r="E563" s="229"/>
      <c r="F563" s="229"/>
    </row>
    <row r="564" spans="2:6" x14ac:dyDescent="0.35">
      <c r="B564" s="174" t="s">
        <v>1824</v>
      </c>
      <c r="C564" s="27" t="s">
        <v>1571</v>
      </c>
      <c r="D564" s="11" t="s">
        <v>1492</v>
      </c>
      <c r="E564" s="11"/>
      <c r="F564" s="11"/>
    </row>
    <row r="565" spans="2:6" x14ac:dyDescent="0.35">
      <c r="B565" s="175" t="s">
        <v>1825</v>
      </c>
      <c r="C565" s="116" t="s">
        <v>1571</v>
      </c>
      <c r="D565" s="229" t="s">
        <v>1492</v>
      </c>
      <c r="E565" s="229"/>
      <c r="F565" s="229"/>
    </row>
    <row r="566" spans="2:6" x14ac:dyDescent="0.35">
      <c r="B566" s="174" t="s">
        <v>1826</v>
      </c>
      <c r="C566" s="27" t="s">
        <v>1571</v>
      </c>
      <c r="D566" s="11" t="s">
        <v>1492</v>
      </c>
      <c r="E566" s="11"/>
      <c r="F566" s="11"/>
    </row>
    <row r="567" spans="2:6" x14ac:dyDescent="0.35">
      <c r="B567" s="175" t="s">
        <v>1827</v>
      </c>
      <c r="C567" s="116" t="s">
        <v>1571</v>
      </c>
      <c r="D567" s="229" t="s">
        <v>1492</v>
      </c>
      <c r="E567" s="229"/>
      <c r="F567" s="229"/>
    </row>
    <row r="568" spans="2:6" x14ac:dyDescent="0.35">
      <c r="B568" s="174" t="s">
        <v>1828</v>
      </c>
      <c r="C568" s="27" t="s">
        <v>1571</v>
      </c>
      <c r="D568" s="11" t="s">
        <v>1492</v>
      </c>
      <c r="E568" s="11"/>
      <c r="F568" s="11"/>
    </row>
    <row r="569" spans="2:6" x14ac:dyDescent="0.35">
      <c r="B569" s="175" t="s">
        <v>1829</v>
      </c>
      <c r="C569" s="116" t="s">
        <v>1571</v>
      </c>
      <c r="D569" s="229" t="s">
        <v>1492</v>
      </c>
      <c r="E569" s="229"/>
      <c r="F569" s="229"/>
    </row>
    <row r="570" spans="2:6" x14ac:dyDescent="0.35">
      <c r="B570" s="174" t="s">
        <v>1830</v>
      </c>
      <c r="C570" s="27" t="s">
        <v>1571</v>
      </c>
      <c r="D570" s="11" t="s">
        <v>1492</v>
      </c>
      <c r="E570" s="11"/>
      <c r="F570" s="11"/>
    </row>
    <row r="571" spans="2:6" x14ac:dyDescent="0.35">
      <c r="B571" s="175" t="s">
        <v>1831</v>
      </c>
      <c r="C571" s="116" t="s">
        <v>1571</v>
      </c>
      <c r="D571" s="229" t="s">
        <v>1492</v>
      </c>
      <c r="E571" s="229"/>
      <c r="F571" s="229"/>
    </row>
    <row r="572" spans="2:6" x14ac:dyDescent="0.35">
      <c r="B572" s="174" t="s">
        <v>1832</v>
      </c>
      <c r="C572" s="27" t="s">
        <v>1571</v>
      </c>
      <c r="D572" s="11" t="s">
        <v>1492</v>
      </c>
      <c r="E572" s="11"/>
      <c r="F572" s="11"/>
    </row>
    <row r="573" spans="2:6" x14ac:dyDescent="0.35">
      <c r="B573" s="175" t="s">
        <v>1833</v>
      </c>
      <c r="C573" s="116" t="s">
        <v>1571</v>
      </c>
      <c r="D573" s="229" t="s">
        <v>1492</v>
      </c>
      <c r="E573" s="229"/>
      <c r="F573" s="229"/>
    </row>
    <row r="574" spans="2:6" x14ac:dyDescent="0.35">
      <c r="B574" s="174" t="s">
        <v>1834</v>
      </c>
      <c r="C574" s="27" t="s">
        <v>1835</v>
      </c>
      <c r="D574" s="11" t="s">
        <v>1836</v>
      </c>
      <c r="E574" s="11"/>
      <c r="F574" s="11"/>
    </row>
    <row r="575" spans="2:6" x14ac:dyDescent="0.35">
      <c r="B575" s="175" t="s">
        <v>1837</v>
      </c>
      <c r="C575" s="116" t="s">
        <v>1835</v>
      </c>
      <c r="D575" s="229" t="s">
        <v>1836</v>
      </c>
      <c r="E575" s="229"/>
      <c r="F575" s="229"/>
    </row>
    <row r="576" spans="2:6" x14ac:dyDescent="0.35">
      <c r="B576" s="174" t="s">
        <v>1838</v>
      </c>
      <c r="C576" s="27" t="s">
        <v>1835</v>
      </c>
      <c r="D576" s="11" t="s">
        <v>1836</v>
      </c>
      <c r="E576" s="11"/>
      <c r="F576" s="11"/>
    </row>
    <row r="577" spans="2:6" x14ac:dyDescent="0.35">
      <c r="B577" s="175" t="s">
        <v>1839</v>
      </c>
      <c r="C577" s="116" t="s">
        <v>1835</v>
      </c>
      <c r="D577" s="229" t="s">
        <v>1836</v>
      </c>
      <c r="E577" s="229"/>
      <c r="F577" s="229"/>
    </row>
    <row r="578" spans="2:6" x14ac:dyDescent="0.35">
      <c r="B578" s="174" t="s">
        <v>1840</v>
      </c>
      <c r="C578" s="27" t="s">
        <v>1835</v>
      </c>
      <c r="D578" s="11" t="s">
        <v>1836</v>
      </c>
      <c r="E578" s="11"/>
      <c r="F578" s="11"/>
    </row>
    <row r="579" spans="2:6" x14ac:dyDescent="0.35">
      <c r="B579" s="175" t="s">
        <v>1841</v>
      </c>
      <c r="C579" s="116" t="s">
        <v>1835</v>
      </c>
      <c r="D579" s="229" t="s">
        <v>1836</v>
      </c>
      <c r="E579" s="229"/>
      <c r="F579" s="229"/>
    </row>
    <row r="580" spans="2:6" x14ac:dyDescent="0.35">
      <c r="B580" s="174" t="s">
        <v>1842</v>
      </c>
      <c r="C580" s="27" t="s">
        <v>1835</v>
      </c>
      <c r="D580" s="11" t="s">
        <v>1836</v>
      </c>
      <c r="E580" s="11"/>
      <c r="F580" s="11"/>
    </row>
    <row r="581" spans="2:6" x14ac:dyDescent="0.35">
      <c r="B581" s="175" t="s">
        <v>1843</v>
      </c>
      <c r="C581" s="116" t="s">
        <v>1835</v>
      </c>
      <c r="D581" s="229" t="s">
        <v>1836</v>
      </c>
      <c r="E581" s="229"/>
      <c r="F581" s="229"/>
    </row>
    <row r="582" spans="2:6" x14ac:dyDescent="0.35">
      <c r="B582" s="174" t="s">
        <v>1844</v>
      </c>
      <c r="C582" s="27" t="s">
        <v>1835</v>
      </c>
      <c r="D582" s="11" t="s">
        <v>1836</v>
      </c>
      <c r="E582" s="11"/>
      <c r="F582" s="11"/>
    </row>
    <row r="583" spans="2:6" x14ac:dyDescent="0.35">
      <c r="B583" s="175" t="s">
        <v>1845</v>
      </c>
      <c r="C583" s="116" t="s">
        <v>1835</v>
      </c>
      <c r="D583" s="229" t="s">
        <v>1836</v>
      </c>
      <c r="E583" s="229"/>
      <c r="F583" s="229"/>
    </row>
    <row r="584" spans="2:6" x14ac:dyDescent="0.35">
      <c r="B584" s="174" t="s">
        <v>1846</v>
      </c>
      <c r="C584" s="27" t="s">
        <v>1835</v>
      </c>
      <c r="D584" s="11" t="s">
        <v>1836</v>
      </c>
      <c r="E584" s="11"/>
      <c r="F584" s="11"/>
    </row>
    <row r="585" spans="2:6" x14ac:dyDescent="0.35">
      <c r="B585" s="175" t="s">
        <v>1847</v>
      </c>
      <c r="C585" s="116" t="s">
        <v>1835</v>
      </c>
      <c r="D585" s="229" t="s">
        <v>1836</v>
      </c>
      <c r="E585" s="229"/>
      <c r="F585" s="229"/>
    </row>
    <row r="586" spans="2:6" x14ac:dyDescent="0.35">
      <c r="B586" s="174" t="s">
        <v>1848</v>
      </c>
      <c r="C586" s="27" t="s">
        <v>1835</v>
      </c>
      <c r="D586" s="11" t="s">
        <v>1836</v>
      </c>
      <c r="E586" s="11"/>
      <c r="F586" s="11"/>
    </row>
    <row r="587" spans="2:6" x14ac:dyDescent="0.35">
      <c r="B587" s="175" t="s">
        <v>1849</v>
      </c>
      <c r="C587" s="116" t="s">
        <v>1835</v>
      </c>
      <c r="D587" s="229" t="s">
        <v>1836</v>
      </c>
      <c r="E587" s="229"/>
      <c r="F587" s="229"/>
    </row>
    <row r="588" spans="2:6" x14ac:dyDescent="0.35">
      <c r="B588" s="174" t="s">
        <v>1850</v>
      </c>
      <c r="C588" s="27" t="s">
        <v>1835</v>
      </c>
      <c r="D588" s="11" t="s">
        <v>1836</v>
      </c>
      <c r="E588" s="11"/>
      <c r="F588" s="11"/>
    </row>
    <row r="589" spans="2:6" x14ac:dyDescent="0.35">
      <c r="B589" s="175" t="s">
        <v>1851</v>
      </c>
      <c r="C589" s="116" t="s">
        <v>1835</v>
      </c>
      <c r="D589" s="229" t="s">
        <v>1836</v>
      </c>
      <c r="E589" s="229"/>
      <c r="F589" s="229"/>
    </row>
    <row r="590" spans="2:6" x14ac:dyDescent="0.35">
      <c r="B590" s="174" t="s">
        <v>1852</v>
      </c>
      <c r="C590" s="27" t="s">
        <v>1835</v>
      </c>
      <c r="D590" s="11" t="s">
        <v>1836</v>
      </c>
      <c r="E590" s="11"/>
      <c r="F590" s="11"/>
    </row>
    <row r="591" spans="2:6" x14ac:dyDescent="0.35">
      <c r="B591" s="175" t="s">
        <v>1853</v>
      </c>
      <c r="C591" s="116" t="s">
        <v>1835</v>
      </c>
      <c r="D591" s="229" t="s">
        <v>1836</v>
      </c>
      <c r="E591" s="229"/>
      <c r="F591" s="229"/>
    </row>
    <row r="592" spans="2:6" x14ac:dyDescent="0.35">
      <c r="B592" s="174" t="s">
        <v>1854</v>
      </c>
      <c r="C592" s="27" t="s">
        <v>1835</v>
      </c>
      <c r="D592" s="11" t="s">
        <v>1836</v>
      </c>
      <c r="E592" s="11"/>
      <c r="F592" s="11"/>
    </row>
    <row r="593" spans="2:6" x14ac:dyDescent="0.35">
      <c r="B593" s="175" t="s">
        <v>1855</v>
      </c>
      <c r="C593" s="116" t="s">
        <v>1835</v>
      </c>
      <c r="D593" s="229" t="s">
        <v>1836</v>
      </c>
      <c r="E593" s="229"/>
      <c r="F593" s="229"/>
    </row>
    <row r="594" spans="2:6" x14ac:dyDescent="0.35">
      <c r="B594" s="174" t="s">
        <v>1856</v>
      </c>
      <c r="C594" s="27" t="s">
        <v>1835</v>
      </c>
      <c r="D594" s="11" t="s">
        <v>1836</v>
      </c>
      <c r="E594" s="11"/>
      <c r="F594" s="11"/>
    </row>
    <row r="595" spans="2:6" x14ac:dyDescent="0.35">
      <c r="B595" s="175" t="s">
        <v>1857</v>
      </c>
      <c r="C595" s="116" t="s">
        <v>1835</v>
      </c>
      <c r="D595" s="229" t="s">
        <v>1836</v>
      </c>
      <c r="E595" s="229"/>
      <c r="F595" s="229"/>
    </row>
    <row r="596" spans="2:6" x14ac:dyDescent="0.35">
      <c r="B596" s="174" t="s">
        <v>1858</v>
      </c>
      <c r="C596" s="27" t="s">
        <v>1835</v>
      </c>
      <c r="D596" s="11" t="s">
        <v>1836</v>
      </c>
      <c r="E596" s="11"/>
      <c r="F596" s="11"/>
    </row>
    <row r="597" spans="2:6" x14ac:dyDescent="0.35">
      <c r="B597" s="175" t="s">
        <v>1859</v>
      </c>
      <c r="C597" s="116" t="s">
        <v>1835</v>
      </c>
      <c r="D597" s="229" t="s">
        <v>1836</v>
      </c>
      <c r="E597" s="229"/>
      <c r="F597" s="229"/>
    </row>
    <row r="598" spans="2:6" x14ac:dyDescent="0.35">
      <c r="B598" s="174" t="s">
        <v>1860</v>
      </c>
      <c r="C598" s="27" t="s">
        <v>1835</v>
      </c>
      <c r="D598" s="11" t="s">
        <v>1836</v>
      </c>
      <c r="E598" s="11"/>
      <c r="F598" s="11"/>
    </row>
    <row r="599" spans="2:6" x14ac:dyDescent="0.35">
      <c r="B599" s="175" t="s">
        <v>1861</v>
      </c>
      <c r="C599" s="116" t="s">
        <v>1835</v>
      </c>
      <c r="D599" s="229" t="s">
        <v>1836</v>
      </c>
      <c r="E599" s="229"/>
      <c r="F599" s="229"/>
    </row>
    <row r="600" spans="2:6" x14ac:dyDescent="0.35">
      <c r="B600" s="174" t="s">
        <v>1862</v>
      </c>
      <c r="C600" s="27" t="s">
        <v>1835</v>
      </c>
      <c r="D600" s="11" t="s">
        <v>1836</v>
      </c>
      <c r="E600" s="11"/>
      <c r="F600" s="11"/>
    </row>
    <row r="601" spans="2:6" x14ac:dyDescent="0.35">
      <c r="B601" s="175" t="s">
        <v>1863</v>
      </c>
      <c r="C601" s="116" t="s">
        <v>1835</v>
      </c>
      <c r="D601" s="229" t="s">
        <v>1836</v>
      </c>
      <c r="E601" s="229"/>
      <c r="F601" s="229"/>
    </row>
    <row r="602" spans="2:6" x14ac:dyDescent="0.35">
      <c r="B602" s="174" t="s">
        <v>1864</v>
      </c>
      <c r="C602" s="27" t="s">
        <v>1835</v>
      </c>
      <c r="D602" s="11" t="s">
        <v>1836</v>
      </c>
      <c r="E602" s="11"/>
      <c r="F602" s="11"/>
    </row>
    <row r="603" spans="2:6" x14ac:dyDescent="0.35">
      <c r="B603" s="175" t="s">
        <v>1865</v>
      </c>
      <c r="C603" s="116" t="s">
        <v>1835</v>
      </c>
      <c r="D603" s="229" t="s">
        <v>1836</v>
      </c>
      <c r="E603" s="229"/>
      <c r="F603" s="229"/>
    </row>
    <row r="604" spans="2:6" x14ac:dyDescent="0.35">
      <c r="B604" s="174" t="s">
        <v>1866</v>
      </c>
      <c r="C604" s="27" t="s">
        <v>1835</v>
      </c>
      <c r="D604" s="11" t="s">
        <v>1836</v>
      </c>
      <c r="E604" s="11"/>
      <c r="F604" s="11"/>
    </row>
    <row r="605" spans="2:6" x14ac:dyDescent="0.35">
      <c r="B605" s="175" t="s">
        <v>1867</v>
      </c>
      <c r="C605" s="116" t="s">
        <v>1835</v>
      </c>
      <c r="D605" s="229" t="s">
        <v>1836</v>
      </c>
      <c r="E605" s="229"/>
      <c r="F605" s="229"/>
    </row>
    <row r="606" spans="2:6" x14ac:dyDescent="0.35">
      <c r="B606" s="174" t="s">
        <v>1868</v>
      </c>
      <c r="C606" s="27" t="s">
        <v>1567</v>
      </c>
      <c r="D606" s="11" t="s">
        <v>1260</v>
      </c>
      <c r="E606" s="11"/>
      <c r="F606" s="11"/>
    </row>
    <row r="607" spans="2:6" x14ac:dyDescent="0.35">
      <c r="B607" s="175" t="s">
        <v>1869</v>
      </c>
      <c r="C607" s="116" t="s">
        <v>1567</v>
      </c>
      <c r="D607" s="229" t="s">
        <v>1260</v>
      </c>
      <c r="E607" s="229"/>
      <c r="F607" s="229"/>
    </row>
    <row r="608" spans="2:6" x14ac:dyDescent="0.35">
      <c r="B608" s="174" t="s">
        <v>1870</v>
      </c>
      <c r="C608" s="27" t="s">
        <v>1567</v>
      </c>
      <c r="D608" s="11" t="s">
        <v>1260</v>
      </c>
      <c r="E608" s="11"/>
      <c r="F608" s="11"/>
    </row>
    <row r="609" spans="2:6" x14ac:dyDescent="0.35">
      <c r="B609" s="175" t="s">
        <v>1871</v>
      </c>
      <c r="C609" s="116" t="s">
        <v>1569</v>
      </c>
      <c r="D609" s="229" t="s">
        <v>1265</v>
      </c>
      <c r="E609" s="229"/>
      <c r="F609" s="229"/>
    </row>
    <row r="610" spans="2:6" x14ac:dyDescent="0.35">
      <c r="B610" s="174" t="s">
        <v>1872</v>
      </c>
      <c r="C610" s="27" t="s">
        <v>1569</v>
      </c>
      <c r="D610" s="11" t="s">
        <v>1265</v>
      </c>
      <c r="E610" s="11"/>
      <c r="F610" s="11"/>
    </row>
    <row r="611" spans="2:6" x14ac:dyDescent="0.35">
      <c r="B611" s="175" t="s">
        <v>1873</v>
      </c>
      <c r="C611" s="116" t="s">
        <v>1567</v>
      </c>
      <c r="D611" s="229" t="s">
        <v>1260</v>
      </c>
      <c r="E611" s="229"/>
      <c r="F611" s="229"/>
    </row>
    <row r="612" spans="2:6" x14ac:dyDescent="0.35">
      <c r="B612" s="174" t="s">
        <v>1874</v>
      </c>
      <c r="C612" s="27" t="s">
        <v>1564</v>
      </c>
      <c r="D612" s="11" t="s">
        <v>1253</v>
      </c>
      <c r="E612" s="11"/>
      <c r="F612" s="11"/>
    </row>
    <row r="613" spans="2:6" x14ac:dyDescent="0.35">
      <c r="B613" s="175" t="s">
        <v>1875</v>
      </c>
      <c r="C613" s="116" t="s">
        <v>1564</v>
      </c>
      <c r="D613" s="229" t="s">
        <v>1253</v>
      </c>
      <c r="E613" s="229"/>
      <c r="F613" s="229"/>
    </row>
    <row r="614" spans="2:6" x14ac:dyDescent="0.35">
      <c r="B614" s="174" t="s">
        <v>1876</v>
      </c>
      <c r="C614" s="27" t="s">
        <v>1557</v>
      </c>
      <c r="D614" s="11" t="s">
        <v>1492</v>
      </c>
      <c r="E614" s="11"/>
      <c r="F614" s="11"/>
    </row>
    <row r="615" spans="2:6" x14ac:dyDescent="0.35">
      <c r="B615" s="175" t="s">
        <v>1877</v>
      </c>
      <c r="C615" s="116" t="s">
        <v>1557</v>
      </c>
      <c r="D615" s="229" t="s">
        <v>1492</v>
      </c>
      <c r="E615" s="229"/>
      <c r="F615" s="229"/>
    </row>
    <row r="616" spans="2:6" x14ac:dyDescent="0.35">
      <c r="B616" s="174" t="s">
        <v>1878</v>
      </c>
      <c r="C616" s="27" t="s">
        <v>1557</v>
      </c>
      <c r="D616" s="11" t="s">
        <v>1492</v>
      </c>
      <c r="E616" s="11"/>
      <c r="F616" s="11"/>
    </row>
    <row r="617" spans="2:6" x14ac:dyDescent="0.35">
      <c r="B617" s="175" t="s">
        <v>1879</v>
      </c>
      <c r="C617" s="116" t="s">
        <v>1557</v>
      </c>
      <c r="D617" s="229" t="s">
        <v>1492</v>
      </c>
      <c r="E617" s="229"/>
      <c r="F617" s="229"/>
    </row>
    <row r="618" spans="2:6" x14ac:dyDescent="0.35">
      <c r="B618" s="174" t="s">
        <v>1880</v>
      </c>
      <c r="C618" s="27" t="s">
        <v>1557</v>
      </c>
      <c r="D618" s="11" t="s">
        <v>1492</v>
      </c>
      <c r="E618" s="11"/>
      <c r="F618" s="11"/>
    </row>
    <row r="619" spans="2:6" x14ac:dyDescent="0.35">
      <c r="B619" s="175" t="s">
        <v>1881</v>
      </c>
      <c r="C619" s="116" t="s">
        <v>1571</v>
      </c>
      <c r="D619" s="229" t="s">
        <v>1492</v>
      </c>
      <c r="E619" s="229"/>
      <c r="F619" s="229"/>
    </row>
    <row r="620" spans="2:6" x14ac:dyDescent="0.35">
      <c r="B620" s="174" t="s">
        <v>1882</v>
      </c>
      <c r="C620" s="27" t="s">
        <v>1571</v>
      </c>
      <c r="D620" s="11" t="s">
        <v>1492</v>
      </c>
      <c r="E620" s="11"/>
      <c r="F620" s="11"/>
    </row>
    <row r="621" spans="2:6" x14ac:dyDescent="0.35">
      <c r="B621" s="175" t="s">
        <v>1883</v>
      </c>
      <c r="C621" s="116" t="s">
        <v>1571</v>
      </c>
      <c r="D621" s="229" t="s">
        <v>1492</v>
      </c>
      <c r="E621" s="229"/>
      <c r="F621" s="229"/>
    </row>
    <row r="622" spans="2:6" x14ac:dyDescent="0.35">
      <c r="B622" s="174" t="s">
        <v>1884</v>
      </c>
      <c r="C622" s="27" t="s">
        <v>1571</v>
      </c>
      <c r="D622" s="11" t="s">
        <v>1492</v>
      </c>
      <c r="E622" s="11"/>
      <c r="F622" s="11"/>
    </row>
    <row r="623" spans="2:6" x14ac:dyDescent="0.35">
      <c r="B623" s="175" t="s">
        <v>1885</v>
      </c>
      <c r="C623" s="116" t="s">
        <v>1571</v>
      </c>
      <c r="D623" s="229" t="s">
        <v>1492</v>
      </c>
      <c r="E623" s="229"/>
      <c r="F623" s="229"/>
    </row>
    <row r="624" spans="2:6" x14ac:dyDescent="0.35">
      <c r="B624" s="174" t="s">
        <v>1886</v>
      </c>
      <c r="C624" s="27" t="s">
        <v>1571</v>
      </c>
      <c r="D624" s="11" t="s">
        <v>1492</v>
      </c>
      <c r="E624" s="11"/>
      <c r="F624" s="11"/>
    </row>
    <row r="625" spans="2:6" x14ac:dyDescent="0.35">
      <c r="B625" s="175" t="s">
        <v>1887</v>
      </c>
      <c r="C625" s="116" t="s">
        <v>1571</v>
      </c>
      <c r="D625" s="229" t="s">
        <v>1492</v>
      </c>
      <c r="E625" s="229"/>
      <c r="F625" s="229"/>
    </row>
    <row r="626" spans="2:6" x14ac:dyDescent="0.35">
      <c r="B626" s="174" t="s">
        <v>1888</v>
      </c>
      <c r="C626" s="27" t="s">
        <v>1571</v>
      </c>
      <c r="D626" s="11" t="s">
        <v>1492</v>
      </c>
      <c r="E626" s="11"/>
      <c r="F626" s="11"/>
    </row>
    <row r="627" spans="2:6" x14ac:dyDescent="0.35">
      <c r="B627" s="175" t="s">
        <v>1889</v>
      </c>
      <c r="C627" s="116" t="s">
        <v>1571</v>
      </c>
      <c r="D627" s="229" t="s">
        <v>1492</v>
      </c>
      <c r="E627" s="229"/>
      <c r="F627" s="229"/>
    </row>
    <row r="628" spans="2:6" x14ac:dyDescent="0.35">
      <c r="B628" s="174" t="s">
        <v>1890</v>
      </c>
      <c r="C628" s="27" t="s">
        <v>1571</v>
      </c>
      <c r="D628" s="11" t="s">
        <v>1492</v>
      </c>
      <c r="E628" s="11"/>
      <c r="F628" s="11"/>
    </row>
    <row r="629" spans="2:6" x14ac:dyDescent="0.35">
      <c r="B629" s="175" t="s">
        <v>1891</v>
      </c>
      <c r="C629" s="116" t="s">
        <v>1571</v>
      </c>
      <c r="D629" s="229" t="s">
        <v>1492</v>
      </c>
      <c r="E629" s="229"/>
      <c r="F629" s="229"/>
    </row>
    <row r="630" spans="2:6" x14ac:dyDescent="0.35">
      <c r="B630" s="174" t="s">
        <v>1892</v>
      </c>
      <c r="C630" s="27" t="s">
        <v>1571</v>
      </c>
      <c r="D630" s="11" t="s">
        <v>1492</v>
      </c>
      <c r="E630" s="11"/>
      <c r="F630" s="11"/>
    </row>
    <row r="631" spans="2:6" x14ac:dyDescent="0.35">
      <c r="B631" s="175" t="s">
        <v>1893</v>
      </c>
      <c r="C631" s="116" t="s">
        <v>1571</v>
      </c>
      <c r="D631" s="229" t="s">
        <v>1492</v>
      </c>
      <c r="E631" s="229"/>
      <c r="F631" s="229"/>
    </row>
    <row r="632" spans="2:6" x14ac:dyDescent="0.35">
      <c r="B632" s="174" t="s">
        <v>1894</v>
      </c>
      <c r="C632" s="27" t="s">
        <v>1571</v>
      </c>
      <c r="D632" s="11" t="s">
        <v>1492</v>
      </c>
      <c r="E632" s="11"/>
      <c r="F632" s="11"/>
    </row>
    <row r="633" spans="2:6" x14ac:dyDescent="0.35">
      <c r="B633" s="175" t="s">
        <v>1895</v>
      </c>
      <c r="C633" s="116" t="s">
        <v>1835</v>
      </c>
      <c r="D633" s="229" t="s">
        <v>1836</v>
      </c>
      <c r="E633" s="229"/>
      <c r="F633" s="229"/>
    </row>
    <row r="634" spans="2:6" x14ac:dyDescent="0.35">
      <c r="B634" s="174" t="s">
        <v>1896</v>
      </c>
      <c r="C634" s="27" t="s">
        <v>1835</v>
      </c>
      <c r="D634" s="11" t="s">
        <v>1836</v>
      </c>
      <c r="E634" s="11"/>
      <c r="F634" s="11"/>
    </row>
    <row r="635" spans="2:6" x14ac:dyDescent="0.35">
      <c r="B635" s="175" t="s">
        <v>1897</v>
      </c>
      <c r="C635" s="116" t="s">
        <v>1835</v>
      </c>
      <c r="D635" s="229" t="s">
        <v>1836</v>
      </c>
      <c r="E635" s="229"/>
      <c r="F635" s="229"/>
    </row>
    <row r="636" spans="2:6" x14ac:dyDescent="0.35">
      <c r="B636" s="174" t="s">
        <v>1898</v>
      </c>
      <c r="C636" s="27" t="s">
        <v>1835</v>
      </c>
      <c r="D636" s="11" t="s">
        <v>1836</v>
      </c>
      <c r="E636" s="11"/>
      <c r="F636" s="11"/>
    </row>
    <row r="637" spans="2:6" x14ac:dyDescent="0.35">
      <c r="B637" s="175" t="s">
        <v>1899</v>
      </c>
      <c r="C637" s="116" t="s">
        <v>1835</v>
      </c>
      <c r="D637" s="229" t="s">
        <v>1836</v>
      </c>
      <c r="E637" s="229"/>
      <c r="F637" s="229"/>
    </row>
    <row r="638" spans="2:6" x14ac:dyDescent="0.35">
      <c r="B638" s="174" t="s">
        <v>1900</v>
      </c>
      <c r="C638" s="27" t="s">
        <v>1835</v>
      </c>
      <c r="D638" s="11" t="s">
        <v>1836</v>
      </c>
      <c r="E638" s="11"/>
      <c r="F638" s="11"/>
    </row>
    <row r="639" spans="2:6" x14ac:dyDescent="0.35">
      <c r="B639" s="175" t="s">
        <v>1901</v>
      </c>
      <c r="C639" s="116" t="s">
        <v>1835</v>
      </c>
      <c r="D639" s="229" t="s">
        <v>1836</v>
      </c>
      <c r="E639" s="229"/>
      <c r="F639" s="229"/>
    </row>
    <row r="640" spans="2:6" x14ac:dyDescent="0.35">
      <c r="B640" s="174" t="s">
        <v>1902</v>
      </c>
      <c r="C640" s="27" t="s">
        <v>1835</v>
      </c>
      <c r="D640" s="11" t="s">
        <v>1836</v>
      </c>
      <c r="E640" s="11"/>
      <c r="F640" s="11"/>
    </row>
    <row r="641" spans="2:6" x14ac:dyDescent="0.35">
      <c r="B641" s="175" t="s">
        <v>1903</v>
      </c>
      <c r="C641" s="116" t="s">
        <v>1835</v>
      </c>
      <c r="D641" s="229" t="s">
        <v>1836</v>
      </c>
      <c r="E641" s="229"/>
      <c r="F641" s="229"/>
    </row>
    <row r="642" spans="2:6" x14ac:dyDescent="0.35">
      <c r="B642" s="174" t="s">
        <v>1904</v>
      </c>
      <c r="C642" s="27" t="s">
        <v>1835</v>
      </c>
      <c r="D642" s="11" t="s">
        <v>1836</v>
      </c>
      <c r="E642" s="11"/>
      <c r="F642" s="11"/>
    </row>
    <row r="643" spans="2:6" x14ac:dyDescent="0.35">
      <c r="B643" s="175" t="s">
        <v>1905</v>
      </c>
      <c r="C643" s="116" t="s">
        <v>1835</v>
      </c>
      <c r="D643" s="229" t="s">
        <v>1836</v>
      </c>
      <c r="E643" s="229"/>
      <c r="F643" s="229"/>
    </row>
    <row r="644" spans="2:6" x14ac:dyDescent="0.35">
      <c r="B644" s="174" t="s">
        <v>1906</v>
      </c>
      <c r="C644" s="27" t="s">
        <v>1835</v>
      </c>
      <c r="D644" s="11" t="s">
        <v>1836</v>
      </c>
      <c r="E644" s="11"/>
      <c r="F644" s="11"/>
    </row>
    <row r="645" spans="2:6" x14ac:dyDescent="0.35">
      <c r="B645" s="175" t="s">
        <v>1907</v>
      </c>
      <c r="C645" s="116" t="s">
        <v>1835</v>
      </c>
      <c r="D645" s="229" t="s">
        <v>1836</v>
      </c>
      <c r="E645" s="229"/>
      <c r="F645" s="229"/>
    </row>
    <row r="646" spans="2:6" x14ac:dyDescent="0.35">
      <c r="B646" s="174" t="s">
        <v>1908</v>
      </c>
      <c r="C646" s="27" t="s">
        <v>1835</v>
      </c>
      <c r="D646" s="11" t="s">
        <v>1836</v>
      </c>
      <c r="E646" s="11"/>
      <c r="F646" s="11"/>
    </row>
    <row r="647" spans="2:6" x14ac:dyDescent="0.35">
      <c r="B647" s="175" t="s">
        <v>1909</v>
      </c>
      <c r="C647" s="116" t="s">
        <v>1835</v>
      </c>
      <c r="D647" s="229" t="s">
        <v>1836</v>
      </c>
      <c r="E647" s="229"/>
      <c r="F647" s="229"/>
    </row>
    <row r="648" spans="2:6" x14ac:dyDescent="0.35">
      <c r="B648" s="174" t="s">
        <v>1910</v>
      </c>
      <c r="C648" s="27" t="s">
        <v>1835</v>
      </c>
      <c r="D648" s="11" t="s">
        <v>1836</v>
      </c>
      <c r="E648" s="11"/>
      <c r="F648" s="11"/>
    </row>
    <row r="649" spans="2:6" x14ac:dyDescent="0.35">
      <c r="B649" s="175" t="s">
        <v>1911</v>
      </c>
      <c r="C649" s="116" t="s">
        <v>1835</v>
      </c>
      <c r="D649" s="229" t="s">
        <v>1836</v>
      </c>
      <c r="E649" s="229"/>
      <c r="F649" s="229"/>
    </row>
    <row r="650" spans="2:6" x14ac:dyDescent="0.35">
      <c r="B650" s="174" t="s">
        <v>1912</v>
      </c>
      <c r="C650" s="27" t="s">
        <v>1913</v>
      </c>
      <c r="D650" s="11" t="s">
        <v>1836</v>
      </c>
      <c r="E650" s="11"/>
      <c r="F650" s="11"/>
    </row>
    <row r="651" spans="2:6" x14ac:dyDescent="0.35">
      <c r="B651" s="175" t="s">
        <v>1914</v>
      </c>
      <c r="C651" s="116" t="s">
        <v>1913</v>
      </c>
      <c r="D651" s="229" t="s">
        <v>1836</v>
      </c>
      <c r="E651" s="229"/>
      <c r="F651" s="229"/>
    </row>
    <row r="652" spans="2:6" x14ac:dyDescent="0.35">
      <c r="B652" s="174" t="s">
        <v>1915</v>
      </c>
      <c r="C652" s="27" t="s">
        <v>1913</v>
      </c>
      <c r="D652" s="11" t="s">
        <v>1836</v>
      </c>
      <c r="E652" s="11"/>
      <c r="F652" s="11"/>
    </row>
    <row r="653" spans="2:6" x14ac:dyDescent="0.35">
      <c r="B653" s="175" t="s">
        <v>1916</v>
      </c>
      <c r="C653" s="116" t="s">
        <v>1913</v>
      </c>
      <c r="D653" s="229" t="s">
        <v>1836</v>
      </c>
      <c r="E653" s="229"/>
      <c r="F653" s="229"/>
    </row>
    <row r="654" spans="2:6" x14ac:dyDescent="0.35">
      <c r="B654" s="174" t="s">
        <v>1917</v>
      </c>
      <c r="C654" s="27" t="s">
        <v>1913</v>
      </c>
      <c r="D654" s="11" t="s">
        <v>1836</v>
      </c>
      <c r="E654" s="11"/>
      <c r="F654" s="11"/>
    </row>
    <row r="655" spans="2:6" x14ac:dyDescent="0.35">
      <c r="B655" s="175" t="s">
        <v>1918</v>
      </c>
      <c r="C655" s="116" t="s">
        <v>1913</v>
      </c>
      <c r="D655" s="229" t="s">
        <v>1836</v>
      </c>
      <c r="E655" s="229"/>
      <c r="F655" s="229"/>
    </row>
    <row r="656" spans="2:6" x14ac:dyDescent="0.35">
      <c r="B656" s="174" t="s">
        <v>1919</v>
      </c>
      <c r="C656" s="27" t="s">
        <v>1913</v>
      </c>
      <c r="D656" s="11" t="s">
        <v>1836</v>
      </c>
      <c r="E656" s="11"/>
      <c r="F656" s="11"/>
    </row>
    <row r="657" spans="2:6" x14ac:dyDescent="0.35">
      <c r="B657" s="175" t="s">
        <v>1920</v>
      </c>
      <c r="C657" s="116" t="s">
        <v>1913</v>
      </c>
      <c r="D657" s="229" t="s">
        <v>1836</v>
      </c>
      <c r="E657" s="229"/>
      <c r="F657" s="229"/>
    </row>
    <row r="658" spans="2:6" x14ac:dyDescent="0.35">
      <c r="B658" s="174" t="s">
        <v>1921</v>
      </c>
      <c r="C658" s="27" t="s">
        <v>1913</v>
      </c>
      <c r="D658" s="11" t="s">
        <v>1836</v>
      </c>
      <c r="E658" s="11"/>
      <c r="F658" s="11"/>
    </row>
    <row r="659" spans="2:6" x14ac:dyDescent="0.35">
      <c r="B659" s="175" t="s">
        <v>1922</v>
      </c>
      <c r="C659" s="116" t="s">
        <v>1913</v>
      </c>
      <c r="D659" s="229" t="s">
        <v>1836</v>
      </c>
      <c r="E659" s="229"/>
      <c r="F659" s="229"/>
    </row>
    <row r="660" spans="2:6" x14ac:dyDescent="0.35">
      <c r="B660" s="174" t="s">
        <v>1923</v>
      </c>
      <c r="C660" s="27" t="s">
        <v>1913</v>
      </c>
      <c r="D660" s="11" t="s">
        <v>1836</v>
      </c>
      <c r="E660" s="11"/>
      <c r="F660" s="11"/>
    </row>
    <row r="661" spans="2:6" x14ac:dyDescent="0.35">
      <c r="B661" s="175" t="s">
        <v>1924</v>
      </c>
      <c r="C661" s="116" t="s">
        <v>1913</v>
      </c>
      <c r="D661" s="229" t="s">
        <v>1836</v>
      </c>
      <c r="E661" s="229"/>
      <c r="F661" s="229"/>
    </row>
    <row r="662" spans="2:6" x14ac:dyDescent="0.35">
      <c r="B662" s="174" t="s">
        <v>1925</v>
      </c>
      <c r="C662" s="27" t="s">
        <v>1913</v>
      </c>
      <c r="D662" s="11" t="s">
        <v>1836</v>
      </c>
      <c r="E662" s="11"/>
      <c r="F662" s="11"/>
    </row>
    <row r="663" spans="2:6" x14ac:dyDescent="0.35">
      <c r="B663" s="175" t="s">
        <v>1926</v>
      </c>
      <c r="C663" s="116" t="s">
        <v>1913</v>
      </c>
      <c r="D663" s="229" t="s">
        <v>1836</v>
      </c>
      <c r="E663" s="229"/>
      <c r="F663" s="229"/>
    </row>
    <row r="664" spans="2:6" x14ac:dyDescent="0.35">
      <c r="B664" s="174" t="s">
        <v>1927</v>
      </c>
      <c r="C664" s="27" t="s">
        <v>1913</v>
      </c>
      <c r="D664" s="11" t="s">
        <v>1836</v>
      </c>
      <c r="E664" s="11"/>
      <c r="F664" s="11"/>
    </row>
    <row r="665" spans="2:6" x14ac:dyDescent="0.35">
      <c r="B665" s="175" t="s">
        <v>1928</v>
      </c>
      <c r="C665" s="116" t="s">
        <v>1913</v>
      </c>
      <c r="D665" s="229" t="s">
        <v>1836</v>
      </c>
      <c r="E665" s="229"/>
      <c r="F665" s="229"/>
    </row>
    <row r="666" spans="2:6" x14ac:dyDescent="0.35">
      <c r="B666" s="174" t="s">
        <v>1929</v>
      </c>
      <c r="C666" s="27" t="s">
        <v>1913</v>
      </c>
      <c r="D666" s="11" t="s">
        <v>1836</v>
      </c>
      <c r="E666" s="11"/>
      <c r="F666" s="11"/>
    </row>
    <row r="667" spans="2:6" x14ac:dyDescent="0.35">
      <c r="B667" s="175" t="s">
        <v>1930</v>
      </c>
      <c r="C667" s="116" t="s">
        <v>1931</v>
      </c>
      <c r="D667" s="229" t="s">
        <v>1265</v>
      </c>
      <c r="E667" s="229"/>
      <c r="F667" s="229"/>
    </row>
    <row r="668" spans="2:6" x14ac:dyDescent="0.35">
      <c r="B668" s="174" t="s">
        <v>1932</v>
      </c>
      <c r="C668" s="27" t="s">
        <v>1931</v>
      </c>
      <c r="D668" s="11" t="s">
        <v>1265</v>
      </c>
      <c r="E668" s="11"/>
      <c r="F668" s="11"/>
    </row>
    <row r="669" spans="2:6" x14ac:dyDescent="0.35">
      <c r="B669" s="175" t="s">
        <v>1933</v>
      </c>
      <c r="C669" s="116" t="s">
        <v>1931</v>
      </c>
      <c r="D669" s="229" t="s">
        <v>1265</v>
      </c>
      <c r="E669" s="229"/>
      <c r="F669" s="229"/>
    </row>
    <row r="670" spans="2:6" x14ac:dyDescent="0.35">
      <c r="B670" s="174" t="s">
        <v>1934</v>
      </c>
      <c r="C670" s="27" t="s">
        <v>1931</v>
      </c>
      <c r="D670" s="11" t="s">
        <v>1265</v>
      </c>
      <c r="E670" s="11"/>
      <c r="F670" s="11"/>
    </row>
    <row r="671" spans="2:6" x14ac:dyDescent="0.35">
      <c r="B671" s="175" t="s">
        <v>1935</v>
      </c>
      <c r="C671" s="116" t="s">
        <v>1936</v>
      </c>
      <c r="D671" s="229" t="s">
        <v>1260</v>
      </c>
      <c r="E671" s="229"/>
      <c r="F671" s="229"/>
    </row>
    <row r="672" spans="2:6" x14ac:dyDescent="0.35">
      <c r="B672" s="174" t="s">
        <v>1937</v>
      </c>
      <c r="C672" s="27" t="s">
        <v>1931</v>
      </c>
      <c r="D672" s="11" t="s">
        <v>1265</v>
      </c>
      <c r="E672" s="11"/>
      <c r="F672" s="11"/>
    </row>
    <row r="673" spans="2:6" x14ac:dyDescent="0.35">
      <c r="B673" s="175" t="s">
        <v>1938</v>
      </c>
      <c r="C673" s="116" t="s">
        <v>1936</v>
      </c>
      <c r="D673" s="229" t="s">
        <v>1260</v>
      </c>
      <c r="E673" s="229"/>
      <c r="F673" s="229"/>
    </row>
    <row r="674" spans="2:6" x14ac:dyDescent="0.35">
      <c r="B674" s="174" t="s">
        <v>1939</v>
      </c>
      <c r="C674" s="27" t="s">
        <v>1931</v>
      </c>
      <c r="D674" s="11" t="s">
        <v>1265</v>
      </c>
      <c r="E674" s="11"/>
      <c r="F674" s="11"/>
    </row>
    <row r="675" spans="2:6" x14ac:dyDescent="0.35">
      <c r="B675" s="175" t="s">
        <v>1940</v>
      </c>
      <c r="C675" s="116" t="s">
        <v>1931</v>
      </c>
      <c r="D675" s="229" t="s">
        <v>1265</v>
      </c>
      <c r="E675" s="229"/>
      <c r="F675" s="229"/>
    </row>
    <row r="676" spans="2:6" x14ac:dyDescent="0.35">
      <c r="B676" s="174" t="s">
        <v>1941</v>
      </c>
      <c r="C676" s="27" t="s">
        <v>1942</v>
      </c>
      <c r="D676" s="11" t="s">
        <v>1492</v>
      </c>
      <c r="E676" s="11"/>
      <c r="F676" s="11"/>
    </row>
    <row r="677" spans="2:6" x14ac:dyDescent="0.35">
      <c r="B677" s="175" t="s">
        <v>1943</v>
      </c>
      <c r="C677" s="116" t="s">
        <v>1942</v>
      </c>
      <c r="D677" s="229" t="s">
        <v>1492</v>
      </c>
      <c r="E677" s="229"/>
      <c r="F677" s="229"/>
    </row>
    <row r="678" spans="2:6" x14ac:dyDescent="0.35">
      <c r="B678" s="174" t="s">
        <v>1944</v>
      </c>
      <c r="C678" s="27" t="s">
        <v>1942</v>
      </c>
      <c r="D678" s="11" t="s">
        <v>1492</v>
      </c>
      <c r="E678" s="11"/>
      <c r="F678" s="11"/>
    </row>
    <row r="679" spans="2:6" x14ac:dyDescent="0.35">
      <c r="B679" s="175" t="s">
        <v>1945</v>
      </c>
      <c r="C679" s="116" t="s">
        <v>1936</v>
      </c>
      <c r="D679" s="229" t="s">
        <v>1260</v>
      </c>
      <c r="E679" s="229"/>
      <c r="F679" s="229"/>
    </row>
    <row r="680" spans="2:6" x14ac:dyDescent="0.35">
      <c r="B680" s="174" t="s">
        <v>1946</v>
      </c>
      <c r="C680" s="27" t="s">
        <v>1936</v>
      </c>
      <c r="D680" s="11" t="s">
        <v>1260</v>
      </c>
      <c r="E680" s="11"/>
      <c r="F680" s="11"/>
    </row>
    <row r="681" spans="2:6" x14ac:dyDescent="0.35">
      <c r="B681" s="175" t="s">
        <v>1947</v>
      </c>
      <c r="C681" s="116" t="s">
        <v>1936</v>
      </c>
      <c r="D681" s="229" t="s">
        <v>1260</v>
      </c>
      <c r="E681" s="229"/>
      <c r="F681" s="229"/>
    </row>
    <row r="682" spans="2:6" x14ac:dyDescent="0.35">
      <c r="B682" s="174" t="s">
        <v>1948</v>
      </c>
      <c r="C682" s="27" t="s">
        <v>1942</v>
      </c>
      <c r="D682" s="11" t="s">
        <v>1492</v>
      </c>
      <c r="E682" s="11"/>
      <c r="F682" s="11"/>
    </row>
    <row r="683" spans="2:6" x14ac:dyDescent="0.35">
      <c r="B683" s="175" t="s">
        <v>1949</v>
      </c>
      <c r="C683" s="116" t="s">
        <v>1942</v>
      </c>
      <c r="D683" s="229" t="s">
        <v>1492</v>
      </c>
      <c r="E683" s="229"/>
      <c r="F683" s="229"/>
    </row>
    <row r="684" spans="2:6" x14ac:dyDescent="0.35">
      <c r="B684" s="174" t="s">
        <v>1950</v>
      </c>
      <c r="C684" s="27" t="s">
        <v>1942</v>
      </c>
      <c r="D684" s="11" t="s">
        <v>1492</v>
      </c>
      <c r="E684" s="11"/>
      <c r="F684" s="11"/>
    </row>
    <row r="685" spans="2:6" x14ac:dyDescent="0.35">
      <c r="B685" s="175" t="s">
        <v>1951</v>
      </c>
      <c r="C685" s="116" t="s">
        <v>1942</v>
      </c>
      <c r="D685" s="229" t="s">
        <v>1492</v>
      </c>
      <c r="E685" s="229"/>
      <c r="F685" s="229"/>
    </row>
    <row r="686" spans="2:6" x14ac:dyDescent="0.35">
      <c r="B686" s="174" t="s">
        <v>1952</v>
      </c>
      <c r="C686" s="27" t="s">
        <v>1913</v>
      </c>
      <c r="D686" s="11" t="s">
        <v>1836</v>
      </c>
      <c r="E686" s="11"/>
      <c r="F686" s="11"/>
    </row>
    <row r="687" spans="2:6" x14ac:dyDescent="0.35">
      <c r="B687" s="175" t="s">
        <v>1953</v>
      </c>
      <c r="C687" s="116" t="s">
        <v>1913</v>
      </c>
      <c r="D687" s="229" t="s">
        <v>1836</v>
      </c>
      <c r="E687" s="229"/>
      <c r="F687" s="229"/>
    </row>
    <row r="688" spans="2:6" x14ac:dyDescent="0.35">
      <c r="B688" s="174" t="s">
        <v>1954</v>
      </c>
      <c r="C688" s="27" t="s">
        <v>1913</v>
      </c>
      <c r="D688" s="11" t="s">
        <v>1836</v>
      </c>
      <c r="E688" s="11"/>
      <c r="F688" s="11"/>
    </row>
    <row r="689" spans="2:6" x14ac:dyDescent="0.35">
      <c r="B689" s="175" t="s">
        <v>1955</v>
      </c>
      <c r="C689" s="116" t="s">
        <v>1913</v>
      </c>
      <c r="D689" s="229" t="s">
        <v>1836</v>
      </c>
      <c r="E689" s="229"/>
      <c r="F689" s="229"/>
    </row>
    <row r="690" spans="2:6" x14ac:dyDescent="0.35">
      <c r="B690" s="174" t="s">
        <v>1956</v>
      </c>
      <c r="C690" s="27" t="s">
        <v>1913</v>
      </c>
      <c r="D690" s="11" t="s">
        <v>1836</v>
      </c>
      <c r="E690" s="11"/>
      <c r="F690" s="11"/>
    </row>
    <row r="691" spans="2:6" x14ac:dyDescent="0.35">
      <c r="B691" s="175" t="s">
        <v>1957</v>
      </c>
      <c r="C691" s="116" t="s">
        <v>1913</v>
      </c>
      <c r="D691" s="229" t="s">
        <v>1836</v>
      </c>
      <c r="E691" s="229"/>
      <c r="F691" s="229"/>
    </row>
    <row r="692" spans="2:6" x14ac:dyDescent="0.35">
      <c r="B692" s="174" t="s">
        <v>1958</v>
      </c>
      <c r="C692" s="27" t="s">
        <v>1913</v>
      </c>
      <c r="D692" s="11" t="s">
        <v>1836</v>
      </c>
      <c r="E692" s="11"/>
      <c r="F692" s="11"/>
    </row>
    <row r="693" spans="2:6" x14ac:dyDescent="0.35">
      <c r="B693" s="175" t="s">
        <v>1959</v>
      </c>
      <c r="C693" s="116" t="s">
        <v>1942</v>
      </c>
      <c r="D693" s="229" t="s">
        <v>1492</v>
      </c>
      <c r="E693" s="229"/>
      <c r="F693" s="229"/>
    </row>
    <row r="694" spans="2:6" x14ac:dyDescent="0.35">
      <c r="B694" s="174" t="s">
        <v>1960</v>
      </c>
      <c r="C694" s="27" t="s">
        <v>1942</v>
      </c>
      <c r="D694" s="11" t="s">
        <v>1492</v>
      </c>
      <c r="E694" s="11"/>
      <c r="F694" s="11"/>
    </row>
    <row r="695" spans="2:6" x14ac:dyDescent="0.35">
      <c r="B695" s="175" t="s">
        <v>1961</v>
      </c>
      <c r="C695" s="116" t="s">
        <v>1835</v>
      </c>
      <c r="D695" s="229" t="s">
        <v>1836</v>
      </c>
      <c r="E695" s="229"/>
      <c r="F695" s="229"/>
    </row>
    <row r="696" spans="2:6" x14ac:dyDescent="0.35">
      <c r="B696" s="174" t="s">
        <v>1962</v>
      </c>
      <c r="C696" s="27" t="s">
        <v>1835</v>
      </c>
      <c r="D696" s="11" t="s">
        <v>1836</v>
      </c>
      <c r="E696" s="11"/>
      <c r="F696" s="11"/>
    </row>
    <row r="697" spans="2:6" x14ac:dyDescent="0.35">
      <c r="B697" s="175" t="s">
        <v>1963</v>
      </c>
      <c r="C697" s="116" t="s">
        <v>1835</v>
      </c>
      <c r="D697" s="229" t="s">
        <v>1836</v>
      </c>
      <c r="E697" s="229"/>
      <c r="F697" s="229"/>
    </row>
    <row r="698" spans="2:6" x14ac:dyDescent="0.35">
      <c r="B698" s="174" t="s">
        <v>1964</v>
      </c>
      <c r="C698" s="27" t="s">
        <v>1835</v>
      </c>
      <c r="D698" s="11" t="s">
        <v>1836</v>
      </c>
      <c r="E698" s="11"/>
      <c r="F698" s="11"/>
    </row>
    <row r="699" spans="2:6" x14ac:dyDescent="0.35">
      <c r="B699" s="175" t="s">
        <v>1965</v>
      </c>
      <c r="C699" s="116" t="s">
        <v>1835</v>
      </c>
      <c r="D699" s="229" t="s">
        <v>1836</v>
      </c>
      <c r="E699" s="229"/>
      <c r="F699" s="229"/>
    </row>
    <row r="700" spans="2:6" x14ac:dyDescent="0.35">
      <c r="B700" s="174" t="s">
        <v>1966</v>
      </c>
      <c r="C700" s="27" t="s">
        <v>1835</v>
      </c>
      <c r="D700" s="11" t="s">
        <v>1836</v>
      </c>
      <c r="E700" s="11"/>
      <c r="F700" s="11"/>
    </row>
    <row r="701" spans="2:6" x14ac:dyDescent="0.35">
      <c r="B701" s="175" t="s">
        <v>1967</v>
      </c>
      <c r="C701" s="116" t="s">
        <v>1835</v>
      </c>
      <c r="D701" s="229" t="s">
        <v>1836</v>
      </c>
      <c r="E701" s="229"/>
      <c r="F701" s="229"/>
    </row>
    <row r="702" spans="2:6" x14ac:dyDescent="0.35">
      <c r="B702" s="174" t="s">
        <v>1968</v>
      </c>
      <c r="C702" s="27" t="s">
        <v>1835</v>
      </c>
      <c r="D702" s="11" t="s">
        <v>1836</v>
      </c>
      <c r="E702" s="11"/>
      <c r="F702" s="11"/>
    </row>
    <row r="703" spans="2:6" x14ac:dyDescent="0.35">
      <c r="B703" s="175" t="s">
        <v>1969</v>
      </c>
      <c r="C703" s="116" t="s">
        <v>1835</v>
      </c>
      <c r="D703" s="229" t="s">
        <v>1836</v>
      </c>
      <c r="E703" s="229"/>
      <c r="F703" s="229"/>
    </row>
    <row r="704" spans="2:6" x14ac:dyDescent="0.35">
      <c r="B704" s="174" t="s">
        <v>1970</v>
      </c>
      <c r="C704" s="27" t="s">
        <v>1835</v>
      </c>
      <c r="D704" s="11" t="s">
        <v>1836</v>
      </c>
      <c r="E704" s="11"/>
      <c r="F704" s="11"/>
    </row>
    <row r="705" spans="2:6" x14ac:dyDescent="0.35">
      <c r="B705" s="175" t="s">
        <v>1971</v>
      </c>
      <c r="C705" s="116" t="s">
        <v>1835</v>
      </c>
      <c r="D705" s="229" t="s">
        <v>1836</v>
      </c>
      <c r="E705" s="229"/>
      <c r="F705" s="229"/>
    </row>
    <row r="706" spans="2:6" x14ac:dyDescent="0.35">
      <c r="B706" s="174" t="s">
        <v>1972</v>
      </c>
      <c r="C706" s="27" t="s">
        <v>1973</v>
      </c>
      <c r="D706" s="11" t="s">
        <v>1492</v>
      </c>
      <c r="E706" s="11"/>
      <c r="F706" s="11"/>
    </row>
    <row r="707" spans="2:6" x14ac:dyDescent="0.35">
      <c r="B707" s="175" t="s">
        <v>1974</v>
      </c>
      <c r="C707" s="116" t="s">
        <v>1973</v>
      </c>
      <c r="D707" s="229" t="s">
        <v>1492</v>
      </c>
      <c r="E707" s="229"/>
      <c r="F707" s="229"/>
    </row>
    <row r="708" spans="2:6" x14ac:dyDescent="0.35">
      <c r="B708" s="174" t="s">
        <v>1975</v>
      </c>
      <c r="C708" s="27" t="s">
        <v>1973</v>
      </c>
      <c r="D708" s="11" t="s">
        <v>1492</v>
      </c>
      <c r="E708" s="11"/>
      <c r="F708" s="11"/>
    </row>
    <row r="709" spans="2:6" x14ac:dyDescent="0.35">
      <c r="B709" s="175" t="s">
        <v>1976</v>
      </c>
      <c r="C709" s="116" t="s">
        <v>1973</v>
      </c>
      <c r="D709" s="229" t="s">
        <v>1492</v>
      </c>
      <c r="E709" s="229"/>
      <c r="F709" s="229"/>
    </row>
    <row r="710" spans="2:6" x14ac:dyDescent="0.35">
      <c r="B710" s="174" t="s">
        <v>1977</v>
      </c>
      <c r="C710" s="27" t="s">
        <v>1973</v>
      </c>
      <c r="D710" s="11" t="s">
        <v>1492</v>
      </c>
      <c r="E710" s="11"/>
      <c r="F710" s="11"/>
    </row>
    <row r="711" spans="2:6" x14ac:dyDescent="0.35">
      <c r="B711" s="175" t="s">
        <v>1978</v>
      </c>
      <c r="C711" s="116" t="s">
        <v>1973</v>
      </c>
      <c r="D711" s="229" t="s">
        <v>1492</v>
      </c>
      <c r="E711" s="229"/>
      <c r="F711" s="229"/>
    </row>
    <row r="712" spans="2:6" x14ac:dyDescent="0.35">
      <c r="B712" s="174" t="s">
        <v>1979</v>
      </c>
      <c r="C712" s="27" t="s">
        <v>1973</v>
      </c>
      <c r="D712" s="11" t="s">
        <v>1492</v>
      </c>
      <c r="E712" s="11"/>
      <c r="F712" s="11"/>
    </row>
    <row r="713" spans="2:6" x14ac:dyDescent="0.35">
      <c r="B713" s="175" t="s">
        <v>1980</v>
      </c>
      <c r="C713" s="116" t="s">
        <v>1973</v>
      </c>
      <c r="D713" s="229" t="s">
        <v>1492</v>
      </c>
      <c r="E713" s="229"/>
      <c r="F713" s="229"/>
    </row>
    <row r="714" spans="2:6" x14ac:dyDescent="0.35">
      <c r="B714" s="174" t="s">
        <v>1981</v>
      </c>
      <c r="C714" s="27" t="s">
        <v>1973</v>
      </c>
      <c r="D714" s="11" t="s">
        <v>1492</v>
      </c>
      <c r="E714" s="11"/>
      <c r="F714" s="11"/>
    </row>
    <row r="715" spans="2:6" x14ac:dyDescent="0.35">
      <c r="B715" s="175" t="s">
        <v>1982</v>
      </c>
      <c r="C715" s="116" t="s">
        <v>1973</v>
      </c>
      <c r="D715" s="229" t="s">
        <v>1492</v>
      </c>
      <c r="E715" s="229"/>
      <c r="F715" s="229"/>
    </row>
    <row r="716" spans="2:6" x14ac:dyDescent="0.35">
      <c r="B716" s="174" t="s">
        <v>1983</v>
      </c>
      <c r="C716" s="27" t="s">
        <v>1769</v>
      </c>
      <c r="D716" s="11" t="s">
        <v>1770</v>
      </c>
      <c r="E716" s="11"/>
      <c r="F716" s="11"/>
    </row>
    <row r="717" spans="2:6" x14ac:dyDescent="0.35">
      <c r="B717" s="175" t="s">
        <v>1984</v>
      </c>
      <c r="C717" s="116" t="s">
        <v>1769</v>
      </c>
      <c r="D717" s="229" t="s">
        <v>1770</v>
      </c>
      <c r="E717" s="229"/>
      <c r="F717" s="229"/>
    </row>
    <row r="718" spans="2:6" x14ac:dyDescent="0.35">
      <c r="B718" s="174" t="s">
        <v>1985</v>
      </c>
      <c r="C718" s="27" t="s">
        <v>1769</v>
      </c>
      <c r="D718" s="11" t="s">
        <v>1770</v>
      </c>
      <c r="E718" s="11"/>
      <c r="F718" s="11"/>
    </row>
    <row r="719" spans="2:6" x14ac:dyDescent="0.35">
      <c r="B719" s="175" t="s">
        <v>1986</v>
      </c>
      <c r="C719" s="116" t="s">
        <v>1769</v>
      </c>
      <c r="D719" s="229" t="s">
        <v>1770</v>
      </c>
      <c r="E719" s="229"/>
      <c r="F719" s="229"/>
    </row>
    <row r="720" spans="2:6" x14ac:dyDescent="0.35">
      <c r="B720" s="174" t="s">
        <v>1987</v>
      </c>
      <c r="C720" s="27" t="s">
        <v>1769</v>
      </c>
      <c r="D720" s="11" t="s">
        <v>1770</v>
      </c>
      <c r="E720" s="11"/>
      <c r="F720" s="11"/>
    </row>
    <row r="721" spans="2:6" x14ac:dyDescent="0.35">
      <c r="B721" s="175" t="s">
        <v>1988</v>
      </c>
      <c r="C721" s="116" t="s">
        <v>1769</v>
      </c>
      <c r="D721" s="229" t="s">
        <v>1770</v>
      </c>
      <c r="E721" s="229"/>
      <c r="F721" s="229"/>
    </row>
    <row r="722" spans="2:6" x14ac:dyDescent="0.35">
      <c r="B722" s="174" t="s">
        <v>1989</v>
      </c>
      <c r="C722" s="27" t="s">
        <v>1769</v>
      </c>
      <c r="D722" s="11" t="s">
        <v>1770</v>
      </c>
      <c r="E722" s="11"/>
      <c r="F722" s="11"/>
    </row>
    <row r="723" spans="2:6" x14ac:dyDescent="0.35">
      <c r="B723" s="175" t="s">
        <v>1990</v>
      </c>
      <c r="C723" s="116" t="s">
        <v>1769</v>
      </c>
      <c r="D723" s="229" t="s">
        <v>1770</v>
      </c>
      <c r="E723" s="229"/>
      <c r="F723" s="229"/>
    </row>
    <row r="724" spans="2:6" x14ac:dyDescent="0.35">
      <c r="B724" s="174" t="s">
        <v>1991</v>
      </c>
      <c r="C724" s="27" t="s">
        <v>1769</v>
      </c>
      <c r="D724" s="11" t="s">
        <v>1770</v>
      </c>
      <c r="E724" s="11"/>
      <c r="F724" s="11"/>
    </row>
    <row r="725" spans="2:6" x14ac:dyDescent="0.35">
      <c r="B725" s="175" t="s">
        <v>1992</v>
      </c>
      <c r="C725" s="116" t="s">
        <v>1973</v>
      </c>
      <c r="D725" s="229" t="s">
        <v>1492</v>
      </c>
      <c r="E725" s="229"/>
      <c r="F725" s="229"/>
    </row>
    <row r="726" spans="2:6" x14ac:dyDescent="0.35">
      <c r="B726" s="174" t="s">
        <v>1993</v>
      </c>
      <c r="C726" s="27" t="s">
        <v>1973</v>
      </c>
      <c r="D726" s="11" t="s">
        <v>1492</v>
      </c>
      <c r="E726" s="11"/>
      <c r="F726" s="11"/>
    </row>
    <row r="727" spans="2:6" x14ac:dyDescent="0.35">
      <c r="B727" s="175" t="s">
        <v>1994</v>
      </c>
      <c r="C727" s="116" t="s">
        <v>1973</v>
      </c>
      <c r="D727" s="229" t="s">
        <v>1492</v>
      </c>
      <c r="E727" s="229"/>
      <c r="F727" s="229"/>
    </row>
    <row r="728" spans="2:6" x14ac:dyDescent="0.35">
      <c r="B728" s="174" t="s">
        <v>1995</v>
      </c>
      <c r="C728" s="27" t="s">
        <v>1973</v>
      </c>
      <c r="D728" s="11" t="s">
        <v>1492</v>
      </c>
      <c r="E728" s="11"/>
      <c r="F728" s="11"/>
    </row>
    <row r="729" spans="2:6" x14ac:dyDescent="0.35">
      <c r="B729" s="175" t="s">
        <v>1996</v>
      </c>
      <c r="C729" s="116" t="s">
        <v>1973</v>
      </c>
      <c r="D729" s="229" t="s">
        <v>1492</v>
      </c>
      <c r="E729" s="229"/>
      <c r="F729" s="229"/>
    </row>
    <row r="730" spans="2:6" x14ac:dyDescent="0.35">
      <c r="B730" s="174" t="s">
        <v>1997</v>
      </c>
      <c r="C730" s="27" t="s">
        <v>1973</v>
      </c>
      <c r="D730" s="11" t="s">
        <v>1492</v>
      </c>
      <c r="E730" s="11"/>
      <c r="F730" s="11"/>
    </row>
    <row r="731" spans="2:6" x14ac:dyDescent="0.35">
      <c r="B731" s="175" t="s">
        <v>1998</v>
      </c>
      <c r="C731" s="116" t="s">
        <v>1973</v>
      </c>
      <c r="D731" s="229" t="s">
        <v>1492</v>
      </c>
      <c r="E731" s="229"/>
      <c r="F731" s="229"/>
    </row>
    <row r="732" spans="2:6" x14ac:dyDescent="0.35">
      <c r="B732" s="174" t="s">
        <v>1999</v>
      </c>
      <c r="C732" s="27" t="s">
        <v>1973</v>
      </c>
      <c r="D732" s="11" t="s">
        <v>1492</v>
      </c>
      <c r="E732" s="11"/>
      <c r="F732" s="11"/>
    </row>
    <row r="733" spans="2:6" x14ac:dyDescent="0.35">
      <c r="B733" s="175" t="s">
        <v>2000</v>
      </c>
      <c r="C733" s="116" t="s">
        <v>1973</v>
      </c>
      <c r="D733" s="229" t="s">
        <v>1492</v>
      </c>
      <c r="E733" s="229"/>
      <c r="F733" s="229"/>
    </row>
    <row r="734" spans="2:6" x14ac:dyDescent="0.35">
      <c r="B734" s="174" t="s">
        <v>2001</v>
      </c>
      <c r="C734" s="27" t="s">
        <v>1973</v>
      </c>
      <c r="D734" s="11" t="s">
        <v>1492</v>
      </c>
      <c r="E734" s="11"/>
      <c r="F734" s="11"/>
    </row>
    <row r="735" spans="2:6" x14ac:dyDescent="0.35">
      <c r="B735" s="175" t="s">
        <v>2002</v>
      </c>
      <c r="C735" s="116" t="s">
        <v>1973</v>
      </c>
      <c r="D735" s="229" t="s">
        <v>1492</v>
      </c>
      <c r="E735" s="229"/>
      <c r="F735" s="229"/>
    </row>
    <row r="736" spans="2:6" x14ac:dyDescent="0.35">
      <c r="B736" s="174" t="s">
        <v>2003</v>
      </c>
      <c r="C736" s="27" t="s">
        <v>1973</v>
      </c>
      <c r="D736" s="11" t="s">
        <v>1492</v>
      </c>
      <c r="E736" s="11"/>
      <c r="F736" s="11"/>
    </row>
    <row r="737" spans="2:6" x14ac:dyDescent="0.35">
      <c r="B737" s="175" t="s">
        <v>2004</v>
      </c>
      <c r="C737" s="116" t="s">
        <v>1973</v>
      </c>
      <c r="D737" s="229" t="s">
        <v>1492</v>
      </c>
      <c r="E737" s="229"/>
      <c r="F737" s="229"/>
    </row>
    <row r="738" spans="2:6" x14ac:dyDescent="0.35">
      <c r="B738" s="174" t="s">
        <v>2005</v>
      </c>
      <c r="C738" s="27" t="s">
        <v>1973</v>
      </c>
      <c r="D738" s="11" t="s">
        <v>1492</v>
      </c>
      <c r="E738" s="11"/>
      <c r="F738" s="11"/>
    </row>
    <row r="739" spans="2:6" x14ac:dyDescent="0.35">
      <c r="B739" s="175" t="s">
        <v>2006</v>
      </c>
      <c r="C739" s="116" t="s">
        <v>1769</v>
      </c>
      <c r="D739" s="229" t="s">
        <v>1770</v>
      </c>
      <c r="E739" s="229"/>
      <c r="F739" s="229"/>
    </row>
    <row r="740" spans="2:6" x14ac:dyDescent="0.35">
      <c r="B740" s="174" t="s">
        <v>2006</v>
      </c>
      <c r="C740" s="27" t="s">
        <v>1973</v>
      </c>
      <c r="D740" s="11" t="s">
        <v>1492</v>
      </c>
      <c r="E740" s="11"/>
      <c r="F740" s="11"/>
    </row>
    <row r="741" spans="2:6" x14ac:dyDescent="0.35">
      <c r="B741" s="175" t="s">
        <v>2007</v>
      </c>
      <c r="C741" s="116" t="s">
        <v>1769</v>
      </c>
      <c r="D741" s="229" t="s">
        <v>1770</v>
      </c>
      <c r="E741" s="229"/>
      <c r="F741" s="229"/>
    </row>
    <row r="742" spans="2:6" x14ac:dyDescent="0.35">
      <c r="B742" s="174" t="s">
        <v>2008</v>
      </c>
      <c r="C742" s="27" t="s">
        <v>1769</v>
      </c>
      <c r="D742" s="11" t="s">
        <v>1770</v>
      </c>
      <c r="E742" s="11"/>
      <c r="F742" s="11"/>
    </row>
    <row r="743" spans="2:6" x14ac:dyDescent="0.35">
      <c r="B743" s="175" t="s">
        <v>2009</v>
      </c>
      <c r="C743" s="116" t="s">
        <v>1769</v>
      </c>
      <c r="D743" s="229" t="s">
        <v>1770</v>
      </c>
      <c r="E743" s="229"/>
      <c r="F743" s="229"/>
    </row>
    <row r="744" spans="2:6" x14ac:dyDescent="0.35">
      <c r="B744" s="174" t="s">
        <v>2010</v>
      </c>
      <c r="C744" s="27" t="s">
        <v>1769</v>
      </c>
      <c r="D744" s="11" t="s">
        <v>1770</v>
      </c>
      <c r="E744" s="11"/>
      <c r="F744" s="11"/>
    </row>
    <row r="745" spans="2:6" x14ac:dyDescent="0.35">
      <c r="B745" s="175" t="s">
        <v>2011</v>
      </c>
      <c r="C745" s="116" t="s">
        <v>1973</v>
      </c>
      <c r="D745" s="229" t="s">
        <v>1492</v>
      </c>
      <c r="E745" s="229"/>
      <c r="F745" s="229"/>
    </row>
    <row r="746" spans="2:6" x14ac:dyDescent="0.35">
      <c r="B746" s="174" t="s">
        <v>2012</v>
      </c>
      <c r="C746" s="27" t="s">
        <v>1973</v>
      </c>
      <c r="D746" s="11" t="s">
        <v>1492</v>
      </c>
      <c r="E746" s="11"/>
      <c r="F746" s="11"/>
    </row>
    <row r="747" spans="2:6" x14ac:dyDescent="0.35">
      <c r="B747" s="175" t="s">
        <v>2013</v>
      </c>
      <c r="C747" s="116" t="s">
        <v>1973</v>
      </c>
      <c r="D747" s="229" t="s">
        <v>1492</v>
      </c>
      <c r="E747" s="229"/>
      <c r="F747" s="229"/>
    </row>
    <row r="748" spans="2:6" x14ac:dyDescent="0.35">
      <c r="B748" s="174" t="s">
        <v>2014</v>
      </c>
      <c r="C748" s="27" t="s">
        <v>1973</v>
      </c>
      <c r="D748" s="11" t="s">
        <v>1492</v>
      </c>
      <c r="E748" s="11"/>
      <c r="F748" s="11"/>
    </row>
    <row r="749" spans="2:6" x14ac:dyDescent="0.35">
      <c r="B749" s="175" t="s">
        <v>2015</v>
      </c>
      <c r="C749" s="116" t="s">
        <v>1973</v>
      </c>
      <c r="D749" s="229" t="s">
        <v>1492</v>
      </c>
      <c r="E749" s="229"/>
      <c r="F749" s="229"/>
    </row>
    <row r="750" spans="2:6" x14ac:dyDescent="0.35">
      <c r="B750" s="174" t="s">
        <v>2016</v>
      </c>
      <c r="C750" s="27" t="s">
        <v>1973</v>
      </c>
      <c r="D750" s="11" t="s">
        <v>1492</v>
      </c>
      <c r="E750" s="11"/>
      <c r="F750" s="11"/>
    </row>
    <row r="751" spans="2:6" x14ac:dyDescent="0.35">
      <c r="B751" s="175" t="s">
        <v>2017</v>
      </c>
      <c r="C751" s="116" t="s">
        <v>1973</v>
      </c>
      <c r="D751" s="229" t="s">
        <v>1492</v>
      </c>
      <c r="E751" s="229"/>
      <c r="F751" s="229"/>
    </row>
    <row r="752" spans="2:6" x14ac:dyDescent="0.35">
      <c r="B752" s="174" t="s">
        <v>2018</v>
      </c>
      <c r="C752" s="27" t="s">
        <v>1973</v>
      </c>
      <c r="D752" s="11" t="s">
        <v>1492</v>
      </c>
      <c r="E752" s="11"/>
      <c r="F752" s="11"/>
    </row>
    <row r="753" spans="2:6" x14ac:dyDescent="0.35">
      <c r="B753" s="175" t="s">
        <v>2019</v>
      </c>
      <c r="C753" s="116" t="s">
        <v>1973</v>
      </c>
      <c r="D753" s="229" t="s">
        <v>1492</v>
      </c>
      <c r="E753" s="229"/>
      <c r="F753" s="229"/>
    </row>
    <row r="754" spans="2:6" x14ac:dyDescent="0.35">
      <c r="B754" s="174" t="s">
        <v>2020</v>
      </c>
      <c r="C754" s="27" t="s">
        <v>1973</v>
      </c>
      <c r="D754" s="11" t="s">
        <v>1492</v>
      </c>
      <c r="E754" s="11"/>
      <c r="F754" s="11"/>
    </row>
    <row r="755" spans="2:6" x14ac:dyDescent="0.35">
      <c r="B755" s="175" t="s">
        <v>2021</v>
      </c>
      <c r="C755" s="116" t="s">
        <v>1973</v>
      </c>
      <c r="D755" s="229" t="s">
        <v>1492</v>
      </c>
      <c r="E755" s="229"/>
      <c r="F755" s="229"/>
    </row>
    <row r="756" spans="2:6" x14ac:dyDescent="0.35">
      <c r="B756" s="174" t="s">
        <v>2022</v>
      </c>
      <c r="C756" s="27" t="s">
        <v>1973</v>
      </c>
      <c r="D756" s="11" t="s">
        <v>1492</v>
      </c>
      <c r="E756" s="11"/>
      <c r="F756" s="11"/>
    </row>
    <row r="757" spans="2:6" x14ac:dyDescent="0.35">
      <c r="B757" s="175" t="s">
        <v>2023</v>
      </c>
      <c r="C757" s="116" t="s">
        <v>1973</v>
      </c>
      <c r="D757" s="229" t="s">
        <v>1492</v>
      </c>
      <c r="E757" s="229"/>
      <c r="F757" s="229"/>
    </row>
    <row r="758" spans="2:6" x14ac:dyDescent="0.35">
      <c r="B758" s="174" t="s">
        <v>2024</v>
      </c>
      <c r="C758" s="27" t="s">
        <v>2025</v>
      </c>
      <c r="D758" s="11" t="s">
        <v>2026</v>
      </c>
      <c r="E758" s="11"/>
      <c r="F758" s="11"/>
    </row>
    <row r="759" spans="2:6" x14ac:dyDescent="0.35">
      <c r="B759" s="175" t="s">
        <v>2027</v>
      </c>
      <c r="C759" s="116" t="s">
        <v>2025</v>
      </c>
      <c r="D759" s="229" t="s">
        <v>2026</v>
      </c>
      <c r="E759" s="229"/>
      <c r="F759" s="229"/>
    </row>
    <row r="760" spans="2:6" x14ac:dyDescent="0.35">
      <c r="B760" s="174" t="s">
        <v>2028</v>
      </c>
      <c r="C760" s="27" t="s">
        <v>2025</v>
      </c>
      <c r="D760" s="11" t="s">
        <v>2026</v>
      </c>
      <c r="E760" s="11"/>
      <c r="F760" s="11"/>
    </row>
    <row r="761" spans="2:6" x14ac:dyDescent="0.35">
      <c r="B761" s="175" t="s">
        <v>2029</v>
      </c>
      <c r="C761" s="116" t="s">
        <v>2025</v>
      </c>
      <c r="D761" s="229" t="s">
        <v>2026</v>
      </c>
      <c r="E761" s="229"/>
      <c r="F761" s="229"/>
    </row>
    <row r="762" spans="2:6" x14ac:dyDescent="0.35">
      <c r="B762" s="174" t="s">
        <v>2030</v>
      </c>
      <c r="C762" s="27" t="s">
        <v>1769</v>
      </c>
      <c r="D762" s="11" t="s">
        <v>1770</v>
      </c>
      <c r="E762" s="11"/>
      <c r="F762" s="11"/>
    </row>
    <row r="763" spans="2:6" x14ac:dyDescent="0.35">
      <c r="B763" s="175" t="s">
        <v>2031</v>
      </c>
      <c r="C763" s="116" t="s">
        <v>1769</v>
      </c>
      <c r="D763" s="229" t="s">
        <v>1770</v>
      </c>
      <c r="E763" s="229"/>
      <c r="F763" s="229"/>
    </row>
    <row r="764" spans="2:6" x14ac:dyDescent="0.35">
      <c r="B764" s="174" t="s">
        <v>2032</v>
      </c>
      <c r="C764" s="27" t="s">
        <v>1769</v>
      </c>
      <c r="D764" s="11" t="s">
        <v>1770</v>
      </c>
      <c r="E764" s="11"/>
      <c r="F764" s="11"/>
    </row>
    <row r="765" spans="2:6" x14ac:dyDescent="0.35">
      <c r="B765" s="175" t="s">
        <v>2033</v>
      </c>
      <c r="C765" s="116" t="s">
        <v>1769</v>
      </c>
      <c r="D765" s="229" t="s">
        <v>1770</v>
      </c>
      <c r="E765" s="229"/>
      <c r="F765" s="229"/>
    </row>
    <row r="766" spans="2:6" x14ac:dyDescent="0.35">
      <c r="B766" s="174" t="s">
        <v>2034</v>
      </c>
      <c r="C766" s="27" t="s">
        <v>1769</v>
      </c>
      <c r="D766" s="11" t="s">
        <v>1770</v>
      </c>
      <c r="E766" s="11"/>
      <c r="F766" s="11"/>
    </row>
    <row r="767" spans="2:6" x14ac:dyDescent="0.35">
      <c r="B767" s="175" t="s">
        <v>2035</v>
      </c>
      <c r="C767" s="116" t="s">
        <v>1769</v>
      </c>
      <c r="D767" s="229" t="s">
        <v>1770</v>
      </c>
      <c r="E767" s="229"/>
      <c r="F767" s="229"/>
    </row>
    <row r="768" spans="2:6" x14ac:dyDescent="0.35">
      <c r="B768" s="174" t="s">
        <v>2036</v>
      </c>
      <c r="C768" s="27" t="s">
        <v>1769</v>
      </c>
      <c r="D768" s="11" t="s">
        <v>1770</v>
      </c>
      <c r="E768" s="11"/>
      <c r="F768" s="11"/>
    </row>
    <row r="769" spans="2:6" x14ac:dyDescent="0.35">
      <c r="B769" s="175" t="s">
        <v>2037</v>
      </c>
      <c r="C769" s="116" t="s">
        <v>1769</v>
      </c>
      <c r="D769" s="229" t="s">
        <v>1770</v>
      </c>
      <c r="E769" s="229"/>
      <c r="F769" s="229"/>
    </row>
    <row r="770" spans="2:6" x14ac:dyDescent="0.35">
      <c r="B770" s="174" t="s">
        <v>2038</v>
      </c>
      <c r="C770" s="27" t="s">
        <v>1769</v>
      </c>
      <c r="D770" s="11" t="s">
        <v>1770</v>
      </c>
      <c r="E770" s="11"/>
      <c r="F770" s="11"/>
    </row>
    <row r="771" spans="2:6" x14ac:dyDescent="0.35">
      <c r="B771" s="175" t="s">
        <v>2039</v>
      </c>
      <c r="C771" s="116" t="s">
        <v>1769</v>
      </c>
      <c r="D771" s="229" t="s">
        <v>1770</v>
      </c>
      <c r="E771" s="229"/>
      <c r="F771" s="229"/>
    </row>
    <row r="772" spans="2:6" x14ac:dyDescent="0.35">
      <c r="B772" s="174" t="s">
        <v>2040</v>
      </c>
      <c r="C772" s="27" t="s">
        <v>1769</v>
      </c>
      <c r="D772" s="11" t="s">
        <v>1770</v>
      </c>
      <c r="E772" s="11"/>
      <c r="F772" s="11"/>
    </row>
    <row r="773" spans="2:6" x14ac:dyDescent="0.35">
      <c r="B773" s="175" t="s">
        <v>2041</v>
      </c>
      <c r="C773" s="116" t="s">
        <v>1769</v>
      </c>
      <c r="D773" s="229" t="s">
        <v>1770</v>
      </c>
      <c r="E773" s="229"/>
      <c r="F773" s="229"/>
    </row>
    <row r="774" spans="2:6" x14ac:dyDescent="0.35">
      <c r="B774" s="174" t="s">
        <v>2042</v>
      </c>
      <c r="C774" s="27" t="s">
        <v>1769</v>
      </c>
      <c r="D774" s="11" t="s">
        <v>1770</v>
      </c>
      <c r="E774" s="11"/>
      <c r="F774" s="11"/>
    </row>
    <row r="775" spans="2:6" x14ac:dyDescent="0.35">
      <c r="B775" s="175" t="s">
        <v>2043</v>
      </c>
      <c r="C775" s="116" t="s">
        <v>1769</v>
      </c>
      <c r="D775" s="229" t="s">
        <v>1770</v>
      </c>
      <c r="E775" s="229"/>
      <c r="F775" s="229"/>
    </row>
    <row r="776" spans="2:6" x14ac:dyDescent="0.35">
      <c r="B776" s="174" t="s">
        <v>2044</v>
      </c>
      <c r="C776" s="27" t="s">
        <v>2045</v>
      </c>
      <c r="D776" s="11" t="s">
        <v>2046</v>
      </c>
      <c r="E776" s="11"/>
      <c r="F776" s="11"/>
    </row>
    <row r="777" spans="2:6" x14ac:dyDescent="0.35">
      <c r="B777" s="175" t="s">
        <v>2047</v>
      </c>
      <c r="C777" s="116" t="s">
        <v>2045</v>
      </c>
      <c r="D777" s="229" t="s">
        <v>2046</v>
      </c>
      <c r="E777" s="229"/>
      <c r="F777" s="229"/>
    </row>
    <row r="778" spans="2:6" x14ac:dyDescent="0.35">
      <c r="B778" s="174" t="s">
        <v>2048</v>
      </c>
      <c r="C778" s="27" t="s">
        <v>2045</v>
      </c>
      <c r="D778" s="11" t="s">
        <v>2046</v>
      </c>
      <c r="E778" s="11"/>
      <c r="F778" s="11"/>
    </row>
    <row r="779" spans="2:6" x14ac:dyDescent="0.35">
      <c r="B779" s="175" t="s">
        <v>2049</v>
      </c>
      <c r="C779" s="116" t="s">
        <v>2045</v>
      </c>
      <c r="D779" s="229" t="s">
        <v>2046</v>
      </c>
      <c r="E779" s="229"/>
      <c r="F779" s="229"/>
    </row>
    <row r="780" spans="2:6" x14ac:dyDescent="0.35">
      <c r="B780" s="174" t="s">
        <v>2050</v>
      </c>
      <c r="C780" s="27" t="s">
        <v>2045</v>
      </c>
      <c r="D780" s="11" t="s">
        <v>2046</v>
      </c>
      <c r="E780" s="11"/>
      <c r="F780" s="11"/>
    </row>
    <row r="781" spans="2:6" x14ac:dyDescent="0.35">
      <c r="B781" s="175" t="s">
        <v>2051</v>
      </c>
      <c r="C781" s="116" t="s">
        <v>2045</v>
      </c>
      <c r="D781" s="229" t="s">
        <v>2046</v>
      </c>
      <c r="E781" s="229"/>
      <c r="F781" s="229"/>
    </row>
    <row r="782" spans="2:6" x14ac:dyDescent="0.35">
      <c r="B782" s="174" t="s">
        <v>2052</v>
      </c>
      <c r="C782" s="27" t="s">
        <v>2045</v>
      </c>
      <c r="D782" s="11" t="s">
        <v>2046</v>
      </c>
      <c r="E782" s="11"/>
      <c r="F782" s="11"/>
    </row>
    <row r="783" spans="2:6" x14ac:dyDescent="0.35">
      <c r="B783" s="175" t="s">
        <v>2053</v>
      </c>
      <c r="C783" s="116" t="s">
        <v>2045</v>
      </c>
      <c r="D783" s="229" t="s">
        <v>2046</v>
      </c>
      <c r="E783" s="229"/>
      <c r="F783" s="229"/>
    </row>
    <row r="784" spans="2:6" x14ac:dyDescent="0.35">
      <c r="B784" s="174" t="s">
        <v>2054</v>
      </c>
      <c r="C784" s="27" t="s">
        <v>2045</v>
      </c>
      <c r="D784" s="11" t="s">
        <v>2046</v>
      </c>
      <c r="E784" s="11"/>
      <c r="F784" s="11"/>
    </row>
    <row r="785" spans="2:6" x14ac:dyDescent="0.35">
      <c r="B785" s="175" t="s">
        <v>2055</v>
      </c>
      <c r="C785" s="116" t="s">
        <v>1769</v>
      </c>
      <c r="D785" s="229" t="s">
        <v>1770</v>
      </c>
      <c r="E785" s="229"/>
      <c r="F785" s="229"/>
    </row>
    <row r="786" spans="2:6" x14ac:dyDescent="0.35">
      <c r="B786" s="174" t="s">
        <v>2056</v>
      </c>
      <c r="C786" s="27" t="s">
        <v>1769</v>
      </c>
      <c r="D786" s="11" t="s">
        <v>1770</v>
      </c>
      <c r="E786" s="11"/>
      <c r="F786" s="11"/>
    </row>
    <row r="787" spans="2:6" x14ac:dyDescent="0.35">
      <c r="B787" s="175" t="s">
        <v>2057</v>
      </c>
      <c r="C787" s="116" t="s">
        <v>1769</v>
      </c>
      <c r="D787" s="229" t="s">
        <v>1770</v>
      </c>
      <c r="E787" s="229"/>
      <c r="F787" s="229"/>
    </row>
    <row r="788" spans="2:6" x14ac:dyDescent="0.35">
      <c r="B788" s="174" t="s">
        <v>2058</v>
      </c>
      <c r="C788" s="27" t="s">
        <v>1769</v>
      </c>
      <c r="D788" s="11" t="s">
        <v>1770</v>
      </c>
      <c r="E788" s="11"/>
      <c r="F788" s="11"/>
    </row>
    <row r="789" spans="2:6" x14ac:dyDescent="0.35">
      <c r="B789" s="175" t="s">
        <v>2059</v>
      </c>
      <c r="C789" s="116" t="s">
        <v>2045</v>
      </c>
      <c r="D789" s="229" t="s">
        <v>2046</v>
      </c>
      <c r="E789" s="229"/>
      <c r="F789" s="229"/>
    </row>
    <row r="790" spans="2:6" x14ac:dyDescent="0.35">
      <c r="B790" s="174" t="s">
        <v>2060</v>
      </c>
      <c r="C790" s="27" t="s">
        <v>2045</v>
      </c>
      <c r="D790" s="11" t="s">
        <v>2046</v>
      </c>
      <c r="E790" s="11"/>
      <c r="F790" s="11"/>
    </row>
    <row r="791" spans="2:6" x14ac:dyDescent="0.35">
      <c r="B791" s="175" t="s">
        <v>2061</v>
      </c>
      <c r="C791" s="116" t="s">
        <v>2045</v>
      </c>
      <c r="D791" s="229" t="s">
        <v>2046</v>
      </c>
      <c r="E791" s="229"/>
      <c r="F791" s="229"/>
    </row>
    <row r="792" spans="2:6" x14ac:dyDescent="0.35">
      <c r="B792" s="174" t="s">
        <v>2062</v>
      </c>
      <c r="C792" s="27" t="s">
        <v>1769</v>
      </c>
      <c r="D792" s="11" t="s">
        <v>1770</v>
      </c>
      <c r="E792" s="11"/>
      <c r="F792" s="11"/>
    </row>
    <row r="793" spans="2:6" x14ac:dyDescent="0.35">
      <c r="B793" s="175" t="s">
        <v>2063</v>
      </c>
      <c r="C793" s="116" t="s">
        <v>1769</v>
      </c>
      <c r="D793" s="229" t="s">
        <v>1770</v>
      </c>
      <c r="E793" s="229"/>
      <c r="F793" s="229"/>
    </row>
    <row r="794" spans="2:6" x14ac:dyDescent="0.35">
      <c r="B794" s="174" t="s">
        <v>2064</v>
      </c>
      <c r="C794" s="27" t="s">
        <v>1769</v>
      </c>
      <c r="D794" s="11" t="s">
        <v>1770</v>
      </c>
      <c r="E794" s="11"/>
      <c r="F794" s="11"/>
    </row>
    <row r="795" spans="2:6" x14ac:dyDescent="0.35">
      <c r="B795" s="175" t="s">
        <v>2065</v>
      </c>
      <c r="C795" s="116" t="s">
        <v>1769</v>
      </c>
      <c r="D795" s="229" t="s">
        <v>1770</v>
      </c>
      <c r="E795" s="229"/>
      <c r="F795" s="229"/>
    </row>
    <row r="796" spans="2:6" x14ac:dyDescent="0.35">
      <c r="B796" s="174" t="s">
        <v>2066</v>
      </c>
      <c r="C796" s="27" t="s">
        <v>2045</v>
      </c>
      <c r="D796" s="11" t="s">
        <v>2046</v>
      </c>
      <c r="E796" s="11"/>
      <c r="F796" s="11"/>
    </row>
    <row r="797" spans="2:6" x14ac:dyDescent="0.35">
      <c r="B797" s="175" t="s">
        <v>2067</v>
      </c>
      <c r="C797" s="116" t="s">
        <v>1769</v>
      </c>
      <c r="D797" s="229" t="s">
        <v>1770</v>
      </c>
      <c r="E797" s="229"/>
      <c r="F797" s="229"/>
    </row>
    <row r="798" spans="2:6" x14ac:dyDescent="0.35">
      <c r="B798" s="174" t="s">
        <v>2068</v>
      </c>
      <c r="C798" s="27" t="s">
        <v>1769</v>
      </c>
      <c r="D798" s="11" t="s">
        <v>1770</v>
      </c>
      <c r="E798" s="11"/>
      <c r="F798" s="11"/>
    </row>
    <row r="799" spans="2:6" x14ac:dyDescent="0.35">
      <c r="B799" s="175" t="s">
        <v>2069</v>
      </c>
      <c r="C799" s="116" t="s">
        <v>2045</v>
      </c>
      <c r="D799" s="229" t="s">
        <v>2046</v>
      </c>
      <c r="E799" s="229"/>
      <c r="F799" s="229"/>
    </row>
    <row r="800" spans="2:6" x14ac:dyDescent="0.35">
      <c r="B800" s="174" t="s">
        <v>2070</v>
      </c>
      <c r="C800" s="27" t="s">
        <v>2045</v>
      </c>
      <c r="D800" s="11" t="s">
        <v>2046</v>
      </c>
      <c r="E800" s="11"/>
      <c r="F800" s="11"/>
    </row>
    <row r="801" spans="2:6" x14ac:dyDescent="0.35">
      <c r="B801" s="175" t="s">
        <v>2071</v>
      </c>
      <c r="C801" s="116" t="s">
        <v>1769</v>
      </c>
      <c r="D801" s="229" t="s">
        <v>1770</v>
      </c>
      <c r="E801" s="229"/>
      <c r="F801" s="229"/>
    </row>
    <row r="802" spans="2:6" x14ac:dyDescent="0.35">
      <c r="B802" s="174" t="s">
        <v>2072</v>
      </c>
      <c r="C802" s="27" t="s">
        <v>1769</v>
      </c>
      <c r="D802" s="11" t="s">
        <v>1770</v>
      </c>
      <c r="E802" s="11"/>
      <c r="F802" s="11"/>
    </row>
    <row r="803" spans="2:6" x14ac:dyDescent="0.35">
      <c r="B803" s="175" t="s">
        <v>2073</v>
      </c>
      <c r="C803" s="116" t="s">
        <v>1769</v>
      </c>
      <c r="D803" s="229" t="s">
        <v>1770</v>
      </c>
      <c r="E803" s="229"/>
      <c r="F803" s="229"/>
    </row>
    <row r="804" spans="2:6" x14ac:dyDescent="0.35">
      <c r="B804" s="174" t="s">
        <v>2074</v>
      </c>
      <c r="C804" s="27" t="s">
        <v>2045</v>
      </c>
      <c r="D804" s="11" t="s">
        <v>2046</v>
      </c>
      <c r="E804" s="11"/>
      <c r="F804" s="11"/>
    </row>
    <row r="805" spans="2:6" x14ac:dyDescent="0.35">
      <c r="B805" s="175" t="s">
        <v>2075</v>
      </c>
      <c r="C805" s="116" t="s">
        <v>2076</v>
      </c>
      <c r="D805" s="229" t="s">
        <v>2077</v>
      </c>
      <c r="E805" s="229"/>
      <c r="F805" s="229"/>
    </row>
    <row r="806" spans="2:6" x14ac:dyDescent="0.35">
      <c r="B806" s="174" t="s">
        <v>2078</v>
      </c>
      <c r="C806" s="27" t="s">
        <v>2076</v>
      </c>
      <c r="D806" s="11" t="s">
        <v>2077</v>
      </c>
      <c r="E806" s="11"/>
      <c r="F806" s="11"/>
    </row>
    <row r="807" spans="2:6" x14ac:dyDescent="0.35">
      <c r="B807" s="175" t="s">
        <v>2079</v>
      </c>
      <c r="C807" s="116" t="s">
        <v>2076</v>
      </c>
      <c r="D807" s="229" t="s">
        <v>2077</v>
      </c>
      <c r="E807" s="229"/>
      <c r="F807" s="229"/>
    </row>
    <row r="808" spans="2:6" x14ac:dyDescent="0.35">
      <c r="B808" s="174" t="s">
        <v>2080</v>
      </c>
      <c r="C808" s="27" t="s">
        <v>2076</v>
      </c>
      <c r="D808" s="11" t="s">
        <v>2077</v>
      </c>
      <c r="E808" s="11"/>
      <c r="F808" s="11"/>
    </row>
    <row r="809" spans="2:6" x14ac:dyDescent="0.35">
      <c r="B809" s="175" t="s">
        <v>2081</v>
      </c>
      <c r="C809" s="116" t="s">
        <v>2076</v>
      </c>
      <c r="D809" s="229" t="s">
        <v>2077</v>
      </c>
      <c r="E809" s="229"/>
      <c r="F809" s="229"/>
    </row>
    <row r="810" spans="2:6" x14ac:dyDescent="0.35">
      <c r="B810" s="174" t="s">
        <v>2082</v>
      </c>
      <c r="C810" s="27" t="s">
        <v>2076</v>
      </c>
      <c r="D810" s="11" t="s">
        <v>2077</v>
      </c>
      <c r="E810" s="11"/>
      <c r="F810" s="11"/>
    </row>
    <row r="811" spans="2:6" x14ac:dyDescent="0.35">
      <c r="B811" s="175" t="s">
        <v>2083</v>
      </c>
      <c r="C811" s="116" t="s">
        <v>2076</v>
      </c>
      <c r="D811" s="229" t="s">
        <v>2077</v>
      </c>
      <c r="E811" s="229"/>
      <c r="F811" s="229"/>
    </row>
    <row r="812" spans="2:6" x14ac:dyDescent="0.35">
      <c r="B812" s="174" t="s">
        <v>2084</v>
      </c>
      <c r="C812" s="27" t="s">
        <v>2076</v>
      </c>
      <c r="D812" s="11" t="s">
        <v>2077</v>
      </c>
      <c r="E812" s="11"/>
      <c r="F812" s="11"/>
    </row>
    <row r="813" spans="2:6" x14ac:dyDescent="0.35">
      <c r="B813" s="175" t="s">
        <v>2085</v>
      </c>
      <c r="C813" s="116" t="s">
        <v>2045</v>
      </c>
      <c r="D813" s="229" t="s">
        <v>2046</v>
      </c>
      <c r="E813" s="229"/>
      <c r="F813" s="229"/>
    </row>
    <row r="814" spans="2:6" x14ac:dyDescent="0.35">
      <c r="B814" s="174" t="s">
        <v>2086</v>
      </c>
      <c r="C814" s="27" t="s">
        <v>2045</v>
      </c>
      <c r="D814" s="11" t="s">
        <v>2046</v>
      </c>
      <c r="E814" s="11"/>
      <c r="F814" s="11"/>
    </row>
    <row r="815" spans="2:6" x14ac:dyDescent="0.35">
      <c r="B815" s="175" t="s">
        <v>2087</v>
      </c>
      <c r="C815" s="116" t="s">
        <v>2045</v>
      </c>
      <c r="D815" s="229" t="s">
        <v>2046</v>
      </c>
      <c r="E815" s="229"/>
      <c r="F815" s="229"/>
    </row>
    <row r="816" spans="2:6" x14ac:dyDescent="0.35">
      <c r="B816" s="174" t="s">
        <v>2088</v>
      </c>
      <c r="C816" s="27" t="s">
        <v>2076</v>
      </c>
      <c r="D816" s="11" t="s">
        <v>2077</v>
      </c>
      <c r="E816" s="11"/>
      <c r="F816" s="11"/>
    </row>
    <row r="817" spans="2:6" x14ac:dyDescent="0.35">
      <c r="B817" s="175" t="s">
        <v>2089</v>
      </c>
      <c r="C817" s="116" t="s">
        <v>2045</v>
      </c>
      <c r="D817" s="229" t="s">
        <v>2046</v>
      </c>
      <c r="E817" s="229"/>
      <c r="F817" s="229"/>
    </row>
    <row r="818" spans="2:6" x14ac:dyDescent="0.35">
      <c r="B818" s="174" t="s">
        <v>2090</v>
      </c>
      <c r="C818" s="27" t="s">
        <v>2045</v>
      </c>
      <c r="D818" s="11" t="s">
        <v>2046</v>
      </c>
      <c r="E818" s="11"/>
      <c r="F818" s="11"/>
    </row>
    <row r="819" spans="2:6" x14ac:dyDescent="0.35">
      <c r="B819" s="175" t="s">
        <v>2091</v>
      </c>
      <c r="C819" s="116" t="s">
        <v>2045</v>
      </c>
      <c r="D819" s="229" t="s">
        <v>2046</v>
      </c>
      <c r="E819" s="229"/>
      <c r="F819" s="229"/>
    </row>
    <row r="820" spans="2:6" x14ac:dyDescent="0.35">
      <c r="B820" s="174" t="s">
        <v>2092</v>
      </c>
      <c r="C820" s="27" t="s">
        <v>2045</v>
      </c>
      <c r="D820" s="11" t="s">
        <v>2046</v>
      </c>
      <c r="E820" s="11"/>
      <c r="F820" s="11"/>
    </row>
    <row r="821" spans="2:6" x14ac:dyDescent="0.35">
      <c r="B821" s="175" t="s">
        <v>2093</v>
      </c>
      <c r="C821" s="116" t="s">
        <v>2045</v>
      </c>
      <c r="D821" s="229" t="s">
        <v>2046</v>
      </c>
      <c r="E821" s="229"/>
      <c r="F821" s="229"/>
    </row>
    <row r="822" spans="2:6" x14ac:dyDescent="0.35">
      <c r="B822" s="174" t="s">
        <v>2094</v>
      </c>
      <c r="C822" s="27" t="s">
        <v>2045</v>
      </c>
      <c r="D822" s="11" t="s">
        <v>2046</v>
      </c>
      <c r="E822" s="11"/>
      <c r="F822" s="11"/>
    </row>
    <row r="823" spans="2:6" x14ac:dyDescent="0.35">
      <c r="B823" s="175" t="s">
        <v>2095</v>
      </c>
      <c r="C823" s="116" t="s">
        <v>2045</v>
      </c>
      <c r="D823" s="229" t="s">
        <v>2046</v>
      </c>
      <c r="E823" s="229"/>
      <c r="F823" s="229"/>
    </row>
    <row r="824" spans="2:6" x14ac:dyDescent="0.35">
      <c r="B824" s="174" t="s">
        <v>2096</v>
      </c>
      <c r="C824" s="27" t="s">
        <v>2045</v>
      </c>
      <c r="D824" s="11" t="s">
        <v>2046</v>
      </c>
      <c r="E824" s="11"/>
      <c r="F824" s="11"/>
    </row>
    <row r="825" spans="2:6" x14ac:dyDescent="0.35">
      <c r="B825" s="175" t="s">
        <v>2097</v>
      </c>
      <c r="C825" s="116" t="s">
        <v>2045</v>
      </c>
      <c r="D825" s="229" t="s">
        <v>2046</v>
      </c>
      <c r="E825" s="229"/>
      <c r="F825" s="229"/>
    </row>
    <row r="826" spans="2:6" x14ac:dyDescent="0.35">
      <c r="B826" s="174" t="s">
        <v>2098</v>
      </c>
      <c r="C826" s="27" t="s">
        <v>2025</v>
      </c>
      <c r="D826" s="11" t="s">
        <v>2026</v>
      </c>
      <c r="E826" s="11"/>
      <c r="F826" s="11"/>
    </row>
    <row r="827" spans="2:6" x14ac:dyDescent="0.35">
      <c r="B827" s="175" t="s">
        <v>2099</v>
      </c>
      <c r="C827" s="116" t="s">
        <v>2025</v>
      </c>
      <c r="D827" s="229" t="s">
        <v>2026</v>
      </c>
      <c r="E827" s="229"/>
      <c r="F827" s="229"/>
    </row>
    <row r="828" spans="2:6" x14ac:dyDescent="0.35">
      <c r="B828" s="174" t="s">
        <v>2100</v>
      </c>
      <c r="C828" s="27" t="s">
        <v>1769</v>
      </c>
      <c r="D828" s="11" t="s">
        <v>1770</v>
      </c>
      <c r="E828" s="11"/>
      <c r="F828" s="11"/>
    </row>
    <row r="829" spans="2:6" x14ac:dyDescent="0.35">
      <c r="B829" s="175" t="s">
        <v>2101</v>
      </c>
      <c r="C829" s="116" t="s">
        <v>1769</v>
      </c>
      <c r="D829" s="229" t="s">
        <v>1770</v>
      </c>
      <c r="E829" s="229"/>
      <c r="F829" s="229"/>
    </row>
    <row r="830" spans="2:6" x14ac:dyDescent="0.35">
      <c r="B830" s="174" t="s">
        <v>2102</v>
      </c>
      <c r="C830" s="27" t="s">
        <v>1769</v>
      </c>
      <c r="D830" s="11" t="s">
        <v>1770</v>
      </c>
      <c r="E830" s="11"/>
      <c r="F830" s="11"/>
    </row>
    <row r="831" spans="2:6" x14ac:dyDescent="0.35">
      <c r="B831" s="175" t="s">
        <v>2103</v>
      </c>
      <c r="C831" s="116" t="s">
        <v>1769</v>
      </c>
      <c r="D831" s="229" t="s">
        <v>1770</v>
      </c>
      <c r="E831" s="229"/>
      <c r="F831" s="229"/>
    </row>
    <row r="832" spans="2:6" x14ac:dyDescent="0.35">
      <c r="B832" s="174" t="s">
        <v>2104</v>
      </c>
      <c r="C832" s="27" t="s">
        <v>1769</v>
      </c>
      <c r="D832" s="11" t="s">
        <v>1770</v>
      </c>
      <c r="E832" s="11"/>
      <c r="F832" s="11"/>
    </row>
    <row r="833" spans="2:6" x14ac:dyDescent="0.35">
      <c r="B833" s="175" t="s">
        <v>2105</v>
      </c>
      <c r="C833" s="116" t="s">
        <v>1769</v>
      </c>
      <c r="D833" s="229" t="s">
        <v>1770</v>
      </c>
      <c r="E833" s="229"/>
      <c r="F833" s="229"/>
    </row>
    <row r="834" spans="2:6" x14ac:dyDescent="0.35">
      <c r="B834" s="174" t="s">
        <v>2106</v>
      </c>
      <c r="C834" s="27" t="s">
        <v>1769</v>
      </c>
      <c r="D834" s="11" t="s">
        <v>1770</v>
      </c>
      <c r="E834" s="11"/>
      <c r="F834" s="11"/>
    </row>
    <row r="835" spans="2:6" x14ac:dyDescent="0.35">
      <c r="B835" s="175" t="s">
        <v>2107</v>
      </c>
      <c r="C835" s="116" t="s">
        <v>1769</v>
      </c>
      <c r="D835" s="229" t="s">
        <v>1770</v>
      </c>
      <c r="E835" s="229"/>
      <c r="F835" s="229"/>
    </row>
    <row r="836" spans="2:6" x14ac:dyDescent="0.35">
      <c r="B836" s="174" t="s">
        <v>2108</v>
      </c>
      <c r="C836" s="27" t="s">
        <v>1769</v>
      </c>
      <c r="D836" s="11" t="s">
        <v>1770</v>
      </c>
      <c r="E836" s="11"/>
      <c r="F836" s="11"/>
    </row>
    <row r="837" spans="2:6" x14ac:dyDescent="0.35">
      <c r="B837" s="175" t="s">
        <v>2109</v>
      </c>
      <c r="C837" s="116" t="s">
        <v>1769</v>
      </c>
      <c r="D837" s="229" t="s">
        <v>1770</v>
      </c>
      <c r="E837" s="229"/>
      <c r="F837" s="229"/>
    </row>
    <row r="838" spans="2:6" x14ac:dyDescent="0.35">
      <c r="B838" s="174" t="s">
        <v>2110</v>
      </c>
      <c r="C838" s="27" t="s">
        <v>2076</v>
      </c>
      <c r="D838" s="11" t="s">
        <v>2077</v>
      </c>
      <c r="E838" s="11"/>
      <c r="F838" s="11"/>
    </row>
    <row r="839" spans="2:6" x14ac:dyDescent="0.35">
      <c r="B839" s="175" t="s">
        <v>2111</v>
      </c>
      <c r="C839" s="116" t="s">
        <v>2076</v>
      </c>
      <c r="D839" s="229" t="s">
        <v>2077</v>
      </c>
      <c r="E839" s="229"/>
      <c r="F839" s="229"/>
    </row>
    <row r="840" spans="2:6" x14ac:dyDescent="0.35">
      <c r="B840" s="174" t="s">
        <v>2112</v>
      </c>
      <c r="C840" s="27" t="s">
        <v>2076</v>
      </c>
      <c r="D840" s="11" t="s">
        <v>2077</v>
      </c>
      <c r="E840" s="11"/>
      <c r="F840" s="11"/>
    </row>
    <row r="841" spans="2:6" x14ac:dyDescent="0.35">
      <c r="B841" s="175" t="s">
        <v>2113</v>
      </c>
      <c r="C841" s="116" t="s">
        <v>2076</v>
      </c>
      <c r="D841" s="229" t="s">
        <v>2077</v>
      </c>
      <c r="E841" s="229"/>
      <c r="F841" s="229"/>
    </row>
    <row r="842" spans="2:6" x14ac:dyDescent="0.35">
      <c r="B842" s="174" t="s">
        <v>2114</v>
      </c>
      <c r="C842" s="27" t="s">
        <v>2076</v>
      </c>
      <c r="D842" s="11" t="s">
        <v>2077</v>
      </c>
      <c r="E842" s="11"/>
      <c r="F842" s="11"/>
    </row>
    <row r="843" spans="2:6" x14ac:dyDescent="0.35">
      <c r="B843" s="175" t="s">
        <v>2115</v>
      </c>
      <c r="C843" s="116" t="s">
        <v>2076</v>
      </c>
      <c r="D843" s="229" t="s">
        <v>2077</v>
      </c>
      <c r="E843" s="229"/>
      <c r="F843" s="229"/>
    </row>
    <row r="844" spans="2:6" x14ac:dyDescent="0.35">
      <c r="B844" s="174" t="s">
        <v>2116</v>
      </c>
      <c r="C844" s="27" t="s">
        <v>1769</v>
      </c>
      <c r="D844" s="11" t="s">
        <v>1770</v>
      </c>
      <c r="E844" s="11"/>
      <c r="F844" s="11"/>
    </row>
    <row r="845" spans="2:6" x14ac:dyDescent="0.35">
      <c r="B845" s="175" t="s">
        <v>2117</v>
      </c>
      <c r="C845" s="116" t="s">
        <v>1769</v>
      </c>
      <c r="D845" s="229" t="s">
        <v>1770</v>
      </c>
      <c r="E845" s="229"/>
      <c r="F845" s="229"/>
    </row>
    <row r="846" spans="2:6" x14ac:dyDescent="0.35">
      <c r="B846" s="174" t="s">
        <v>2118</v>
      </c>
      <c r="C846" s="27" t="s">
        <v>1769</v>
      </c>
      <c r="D846" s="11" t="s">
        <v>1770</v>
      </c>
      <c r="E846" s="11"/>
      <c r="F846" s="11"/>
    </row>
    <row r="847" spans="2:6" x14ac:dyDescent="0.35">
      <c r="B847" s="175" t="s">
        <v>2119</v>
      </c>
      <c r="C847" s="116" t="s">
        <v>1769</v>
      </c>
      <c r="D847" s="229" t="s">
        <v>1770</v>
      </c>
      <c r="E847" s="229"/>
      <c r="F847" s="229"/>
    </row>
    <row r="848" spans="2:6" x14ac:dyDescent="0.35">
      <c r="B848" s="174" t="s">
        <v>2120</v>
      </c>
      <c r="C848" s="27" t="s">
        <v>1769</v>
      </c>
      <c r="D848" s="11" t="s">
        <v>1770</v>
      </c>
      <c r="E848" s="11"/>
      <c r="F848" s="11"/>
    </row>
    <row r="849" spans="2:6" x14ac:dyDescent="0.35">
      <c r="B849" s="175" t="s">
        <v>2121</v>
      </c>
      <c r="C849" s="116" t="s">
        <v>1769</v>
      </c>
      <c r="D849" s="229" t="s">
        <v>1770</v>
      </c>
      <c r="E849" s="229"/>
      <c r="F849" s="229"/>
    </row>
    <row r="850" spans="2:6" x14ac:dyDescent="0.35">
      <c r="B850" s="174" t="s">
        <v>2122</v>
      </c>
      <c r="C850" s="27" t="s">
        <v>1769</v>
      </c>
      <c r="D850" s="11" t="s">
        <v>1770</v>
      </c>
      <c r="E850" s="11"/>
      <c r="F850" s="11"/>
    </row>
    <row r="851" spans="2:6" x14ac:dyDescent="0.35">
      <c r="B851" s="175" t="s">
        <v>2123</v>
      </c>
      <c r="C851" s="116" t="s">
        <v>1769</v>
      </c>
      <c r="D851" s="229" t="s">
        <v>1770</v>
      </c>
      <c r="E851" s="229"/>
      <c r="F851" s="229"/>
    </row>
    <row r="852" spans="2:6" x14ac:dyDescent="0.35">
      <c r="B852" s="174" t="s">
        <v>2124</v>
      </c>
      <c r="C852" s="27" t="s">
        <v>2025</v>
      </c>
      <c r="D852" s="11" t="s">
        <v>2026</v>
      </c>
      <c r="E852" s="11"/>
      <c r="F852" s="11"/>
    </row>
    <row r="853" spans="2:6" x14ac:dyDescent="0.35">
      <c r="B853" s="175" t="s">
        <v>2125</v>
      </c>
      <c r="C853" s="116" t="s">
        <v>2025</v>
      </c>
      <c r="D853" s="229" t="s">
        <v>2026</v>
      </c>
      <c r="E853" s="229"/>
      <c r="F853" s="229"/>
    </row>
    <row r="854" spans="2:6" x14ac:dyDescent="0.35">
      <c r="B854" s="174" t="s">
        <v>2126</v>
      </c>
      <c r="C854" s="27" t="s">
        <v>2025</v>
      </c>
      <c r="D854" s="11" t="s">
        <v>2026</v>
      </c>
      <c r="E854" s="11"/>
      <c r="F854" s="11"/>
    </row>
    <row r="855" spans="2:6" x14ac:dyDescent="0.35">
      <c r="B855" s="175" t="s">
        <v>2127</v>
      </c>
      <c r="C855" s="116" t="s">
        <v>2025</v>
      </c>
      <c r="D855" s="229" t="s">
        <v>2026</v>
      </c>
      <c r="E855" s="229"/>
      <c r="F855" s="229"/>
    </row>
    <row r="856" spans="2:6" x14ac:dyDescent="0.35">
      <c r="B856" s="174" t="s">
        <v>2128</v>
      </c>
      <c r="C856" s="27" t="s">
        <v>2025</v>
      </c>
      <c r="D856" s="11" t="s">
        <v>2026</v>
      </c>
      <c r="E856" s="11"/>
      <c r="F856" s="11"/>
    </row>
    <row r="858" spans="2:6" ht="18" customHeight="1" x14ac:dyDescent="0.35">
      <c r="B858" s="12" t="s">
        <v>2129</v>
      </c>
      <c r="C858" s="12"/>
      <c r="D858" s="12"/>
      <c r="E858" s="12"/>
      <c r="F858" s="12"/>
    </row>
    <row r="859" spans="2:6" ht="30" customHeight="1" x14ac:dyDescent="0.35">
      <c r="B859" s="22" t="s">
        <v>606</v>
      </c>
      <c r="C859" s="22" t="s">
        <v>2130</v>
      </c>
    </row>
    <row r="860" spans="2:6" x14ac:dyDescent="0.35">
      <c r="B860" s="20" t="s">
        <v>955</v>
      </c>
      <c r="C860" s="11" t="s">
        <v>1253</v>
      </c>
      <c r="D860" s="11"/>
      <c r="E860" s="11"/>
      <c r="F860" s="11"/>
    </row>
    <row r="861" spans="2:6" x14ac:dyDescent="0.35">
      <c r="B861" s="121" t="s">
        <v>959</v>
      </c>
      <c r="C861" s="229" t="s">
        <v>2026</v>
      </c>
      <c r="D861" s="229"/>
      <c r="E861" s="229"/>
      <c r="F861" s="229"/>
    </row>
    <row r="862" spans="2:6" x14ac:dyDescent="0.35">
      <c r="B862" s="20" t="s">
        <v>508</v>
      </c>
      <c r="C862" s="11" t="s">
        <v>1492</v>
      </c>
      <c r="D862" s="11"/>
      <c r="E862" s="11"/>
      <c r="F862" s="11"/>
    </row>
    <row r="863" spans="2:6" x14ac:dyDescent="0.35">
      <c r="B863" s="121" t="s">
        <v>966</v>
      </c>
      <c r="C863" s="229" t="s">
        <v>1492</v>
      </c>
      <c r="D863" s="229"/>
      <c r="E863" s="229"/>
      <c r="F863" s="229"/>
    </row>
    <row r="864" spans="2:6" x14ac:dyDescent="0.35">
      <c r="B864" s="20" t="s">
        <v>573</v>
      </c>
      <c r="C864" s="11" t="s">
        <v>1770</v>
      </c>
      <c r="D864" s="11"/>
      <c r="E864" s="11"/>
      <c r="F864" s="11"/>
    </row>
    <row r="865" spans="2:6" x14ac:dyDescent="0.35">
      <c r="B865" s="121" t="s">
        <v>973</v>
      </c>
      <c r="C865" s="229" t="s">
        <v>1836</v>
      </c>
      <c r="D865" s="229"/>
      <c r="E865" s="229"/>
      <c r="F865" s="229"/>
    </row>
    <row r="866" spans="2:6" x14ac:dyDescent="0.35">
      <c r="B866" s="20" t="s">
        <v>695</v>
      </c>
      <c r="C866" s="11" t="s">
        <v>1241</v>
      </c>
      <c r="D866" s="11"/>
      <c r="E866" s="11"/>
      <c r="F866" s="11"/>
    </row>
    <row r="867" spans="2:6" x14ac:dyDescent="0.35">
      <c r="B867" s="121" t="s">
        <v>980</v>
      </c>
      <c r="C867" s="229" t="s">
        <v>1253</v>
      </c>
      <c r="D867" s="229"/>
      <c r="E867" s="229"/>
      <c r="F867" s="229"/>
    </row>
    <row r="868" spans="2:6" x14ac:dyDescent="0.35">
      <c r="B868" s="20" t="s">
        <v>984</v>
      </c>
      <c r="C868" s="11" t="s">
        <v>1241</v>
      </c>
      <c r="D868" s="11"/>
      <c r="E868" s="11"/>
      <c r="F868" s="11"/>
    </row>
    <row r="869" spans="2:6" x14ac:dyDescent="0.35">
      <c r="B869" s="121" t="s">
        <v>173</v>
      </c>
      <c r="C869" s="229" t="s">
        <v>1253</v>
      </c>
      <c r="D869" s="229"/>
      <c r="E869" s="229"/>
      <c r="F869" s="229"/>
    </row>
    <row r="870" spans="2:6" x14ac:dyDescent="0.35">
      <c r="B870" s="20" t="s">
        <v>989</v>
      </c>
      <c r="C870" s="11" t="s">
        <v>1492</v>
      </c>
      <c r="D870" s="11"/>
      <c r="E870" s="11"/>
      <c r="F870" s="11"/>
    </row>
    <row r="871" spans="2:6" x14ac:dyDescent="0.35">
      <c r="B871" s="121" t="s">
        <v>992</v>
      </c>
      <c r="C871" s="229" t="s">
        <v>1253</v>
      </c>
      <c r="D871" s="229"/>
      <c r="E871" s="229"/>
      <c r="F871" s="229"/>
    </row>
    <row r="872" spans="2:6" x14ac:dyDescent="0.35">
      <c r="B872" s="20" t="s">
        <v>995</v>
      </c>
      <c r="C872" s="11" t="s">
        <v>1770</v>
      </c>
      <c r="D872" s="11"/>
      <c r="E872" s="11"/>
      <c r="F872" s="11"/>
    </row>
    <row r="873" spans="2:6" x14ac:dyDescent="0.35">
      <c r="B873" s="121" t="s">
        <v>998</v>
      </c>
      <c r="C873" s="229" t="s">
        <v>1492</v>
      </c>
      <c r="D873" s="229"/>
      <c r="E873" s="229"/>
      <c r="F873" s="229"/>
    </row>
    <row r="874" spans="2:6" x14ac:dyDescent="0.35">
      <c r="B874" s="20" t="s">
        <v>1002</v>
      </c>
      <c r="C874" s="11" t="s">
        <v>1492</v>
      </c>
      <c r="D874" s="11"/>
      <c r="E874" s="11"/>
      <c r="F874" s="11"/>
    </row>
    <row r="875" spans="2:6" x14ac:dyDescent="0.35">
      <c r="B875" s="121" t="s">
        <v>1005</v>
      </c>
      <c r="C875" s="229" t="s">
        <v>1492</v>
      </c>
      <c r="D875" s="229"/>
      <c r="E875" s="229"/>
      <c r="F875" s="229"/>
    </row>
    <row r="876" spans="2:6" x14ac:dyDescent="0.35">
      <c r="B876" s="20" t="s">
        <v>1008</v>
      </c>
      <c r="C876" s="11" t="s">
        <v>1836</v>
      </c>
      <c r="D876" s="11"/>
      <c r="E876" s="11"/>
      <c r="F876" s="11"/>
    </row>
    <row r="877" spans="2:6" x14ac:dyDescent="0.35">
      <c r="B877" s="121" t="s">
        <v>1011</v>
      </c>
      <c r="C877" s="229" t="s">
        <v>1492</v>
      </c>
      <c r="D877" s="229"/>
      <c r="E877" s="229"/>
      <c r="F877" s="229"/>
    </row>
    <row r="878" spans="2:6" x14ac:dyDescent="0.35">
      <c r="B878" s="20" t="s">
        <v>1014</v>
      </c>
      <c r="C878" s="11" t="s">
        <v>1265</v>
      </c>
      <c r="D878" s="11"/>
      <c r="E878" s="11"/>
      <c r="F878" s="11"/>
    </row>
    <row r="879" spans="2:6" x14ac:dyDescent="0.35">
      <c r="B879" s="121" t="s">
        <v>1017</v>
      </c>
      <c r="C879" s="229" t="s">
        <v>1241</v>
      </c>
      <c r="D879" s="229"/>
      <c r="E879" s="229"/>
      <c r="F879" s="229"/>
    </row>
    <row r="880" spans="2:6" x14ac:dyDescent="0.35">
      <c r="B880" s="20" t="s">
        <v>1020</v>
      </c>
      <c r="C880" s="11" t="s">
        <v>1253</v>
      </c>
      <c r="D880" s="11"/>
      <c r="E880" s="11"/>
      <c r="F880" s="11"/>
    </row>
    <row r="881" spans="2:6" x14ac:dyDescent="0.35">
      <c r="B881" s="121" t="s">
        <v>1023</v>
      </c>
      <c r="C881" s="229" t="s">
        <v>1241</v>
      </c>
      <c r="D881" s="229"/>
      <c r="E881" s="229"/>
      <c r="F881" s="229"/>
    </row>
    <row r="882" spans="2:6" x14ac:dyDescent="0.35">
      <c r="B882" s="20" t="s">
        <v>1026</v>
      </c>
      <c r="C882" s="11" t="s">
        <v>1241</v>
      </c>
      <c r="D882" s="11"/>
      <c r="E882" s="11"/>
      <c r="F882" s="11"/>
    </row>
    <row r="883" spans="2:6" x14ac:dyDescent="0.35">
      <c r="B883" s="121" t="s">
        <v>1029</v>
      </c>
      <c r="C883" s="229" t="s">
        <v>1241</v>
      </c>
      <c r="D883" s="229"/>
      <c r="E883" s="229"/>
      <c r="F883" s="229"/>
    </row>
    <row r="884" spans="2:6" x14ac:dyDescent="0.35">
      <c r="B884" s="20" t="s">
        <v>1032</v>
      </c>
      <c r="C884" s="11" t="s">
        <v>1253</v>
      </c>
      <c r="D884" s="11"/>
      <c r="E884" s="11"/>
      <c r="F884" s="11"/>
    </row>
    <row r="885" spans="2:6" x14ac:dyDescent="0.35">
      <c r="B885" s="121" t="s">
        <v>1035</v>
      </c>
      <c r="C885" s="229" t="s">
        <v>1492</v>
      </c>
      <c r="D885" s="229"/>
      <c r="E885" s="229"/>
      <c r="F885" s="229"/>
    </row>
    <row r="886" spans="2:6" x14ac:dyDescent="0.35">
      <c r="B886" s="20" t="s">
        <v>1038</v>
      </c>
      <c r="C886" s="11" t="s">
        <v>1770</v>
      </c>
      <c r="D886" s="11"/>
      <c r="E886" s="11"/>
      <c r="F886" s="11"/>
    </row>
    <row r="887" spans="2:6" x14ac:dyDescent="0.35">
      <c r="B887" s="121" t="s">
        <v>1041</v>
      </c>
      <c r="C887" s="229" t="s">
        <v>1836</v>
      </c>
      <c r="D887" s="229"/>
      <c r="E887" s="229"/>
      <c r="F887" s="229"/>
    </row>
    <row r="888" spans="2:6" x14ac:dyDescent="0.35">
      <c r="B888" s="20" t="s">
        <v>539</v>
      </c>
      <c r="C888" s="11" t="s">
        <v>2026</v>
      </c>
      <c r="D888" s="11"/>
      <c r="E888" s="11"/>
      <c r="F888" s="11"/>
    </row>
    <row r="889" spans="2:6" x14ac:dyDescent="0.35">
      <c r="B889" s="121" t="s">
        <v>1046</v>
      </c>
      <c r="C889" s="229" t="s">
        <v>1241</v>
      </c>
      <c r="D889" s="229"/>
      <c r="E889" s="229"/>
      <c r="F889" s="229"/>
    </row>
    <row r="890" spans="2:6" x14ac:dyDescent="0.35">
      <c r="B890" s="20" t="s">
        <v>1049</v>
      </c>
      <c r="C890" s="11" t="s">
        <v>1253</v>
      </c>
      <c r="D890" s="11"/>
      <c r="E890" s="11"/>
      <c r="F890" s="11"/>
    </row>
    <row r="891" spans="2:6" x14ac:dyDescent="0.35">
      <c r="B891" s="121" t="s">
        <v>1052</v>
      </c>
      <c r="C891" s="229" t="s">
        <v>1492</v>
      </c>
      <c r="D891" s="229"/>
      <c r="E891" s="229"/>
      <c r="F891" s="229"/>
    </row>
    <row r="892" spans="2:6" x14ac:dyDescent="0.35">
      <c r="B892" s="20" t="s">
        <v>1055</v>
      </c>
      <c r="C892" s="11" t="s">
        <v>1241</v>
      </c>
      <c r="D892" s="11"/>
      <c r="E892" s="11"/>
      <c r="F892" s="11"/>
    </row>
    <row r="893" spans="2:6" x14ac:dyDescent="0.35">
      <c r="B893" s="121" t="s">
        <v>1058</v>
      </c>
      <c r="C893" s="229" t="s">
        <v>1253</v>
      </c>
      <c r="D893" s="229"/>
      <c r="E893" s="229"/>
      <c r="F893" s="229"/>
    </row>
    <row r="894" spans="2:6" x14ac:dyDescent="0.35">
      <c r="B894" s="20" t="s">
        <v>1061</v>
      </c>
      <c r="C894" s="11" t="s">
        <v>1241</v>
      </c>
      <c r="D894" s="11"/>
      <c r="E894" s="11"/>
      <c r="F894" s="11"/>
    </row>
    <row r="895" spans="2:6" x14ac:dyDescent="0.35">
      <c r="B895" s="121" t="s">
        <v>1064</v>
      </c>
      <c r="C895" s="229" t="s">
        <v>1492</v>
      </c>
      <c r="D895" s="229"/>
      <c r="E895" s="229"/>
      <c r="F895" s="229"/>
    </row>
    <row r="896" spans="2:6" x14ac:dyDescent="0.35">
      <c r="B896" s="20" t="s">
        <v>1067</v>
      </c>
      <c r="C896" s="11" t="s">
        <v>1836</v>
      </c>
      <c r="D896" s="11"/>
      <c r="E896" s="11"/>
      <c r="F896" s="11"/>
    </row>
    <row r="897" spans="2:6" x14ac:dyDescent="0.35">
      <c r="B897" s="121" t="s">
        <v>1070</v>
      </c>
      <c r="C897" s="229" t="s">
        <v>1770</v>
      </c>
      <c r="D897" s="229"/>
      <c r="E897" s="229"/>
      <c r="F897" s="229"/>
    </row>
    <row r="898" spans="2:6" x14ac:dyDescent="0.35">
      <c r="B898" s="20" t="s">
        <v>1074</v>
      </c>
      <c r="C898" s="11" t="s">
        <v>1241</v>
      </c>
      <c r="D898" s="11"/>
      <c r="E898" s="11"/>
      <c r="F898" s="11"/>
    </row>
    <row r="899" spans="2:6" x14ac:dyDescent="0.35">
      <c r="B899" s="121" t="s">
        <v>562</v>
      </c>
      <c r="C899" s="229" t="s">
        <v>1253</v>
      </c>
      <c r="D899" s="229"/>
      <c r="E899" s="229"/>
      <c r="F899" s="229"/>
    </row>
    <row r="900" spans="2:6" x14ac:dyDescent="0.35">
      <c r="B900" s="20" t="s">
        <v>1079</v>
      </c>
      <c r="C900" s="11" t="s">
        <v>1253</v>
      </c>
      <c r="D900" s="11"/>
      <c r="E900" s="11"/>
      <c r="F900" s="11"/>
    </row>
    <row r="901" spans="2:6" x14ac:dyDescent="0.35">
      <c r="B901" s="121" t="s">
        <v>1082</v>
      </c>
      <c r="C901" s="229" t="s">
        <v>1241</v>
      </c>
      <c r="D901" s="229"/>
      <c r="E901" s="229"/>
      <c r="F901" s="229"/>
    </row>
    <row r="902" spans="2:6" x14ac:dyDescent="0.35">
      <c r="B902" s="20" t="s">
        <v>1085</v>
      </c>
      <c r="C902" s="11" t="s">
        <v>1492</v>
      </c>
      <c r="D902" s="11"/>
      <c r="E902" s="11"/>
      <c r="F902" s="11"/>
    </row>
    <row r="903" spans="2:6" x14ac:dyDescent="0.35">
      <c r="B903" s="121" t="s">
        <v>696</v>
      </c>
      <c r="C903" s="229" t="s">
        <v>1836</v>
      </c>
      <c r="D903" s="229"/>
      <c r="E903" s="229"/>
      <c r="F903" s="229"/>
    </row>
    <row r="904" spans="2:6" x14ac:dyDescent="0.35">
      <c r="B904" s="20" t="s">
        <v>1090</v>
      </c>
      <c r="C904" s="11" t="s">
        <v>1492</v>
      </c>
      <c r="D904" s="11"/>
      <c r="E904" s="11"/>
      <c r="F904" s="11"/>
    </row>
    <row r="905" spans="2:6" x14ac:dyDescent="0.35">
      <c r="B905" s="121" t="s">
        <v>1093</v>
      </c>
      <c r="C905" s="229" t="s">
        <v>1241</v>
      </c>
      <c r="D905" s="229"/>
      <c r="E905" s="229"/>
      <c r="F905" s="229"/>
    </row>
    <row r="906" spans="2:6" x14ac:dyDescent="0.35">
      <c r="B906" s="20" t="s">
        <v>1096</v>
      </c>
      <c r="C906" s="11" t="s">
        <v>1253</v>
      </c>
      <c r="D906" s="11"/>
      <c r="E906" s="11"/>
      <c r="F906" s="11"/>
    </row>
    <row r="907" spans="2:6" x14ac:dyDescent="0.35">
      <c r="B907" s="121" t="s">
        <v>1099</v>
      </c>
      <c r="C907" s="229" t="s">
        <v>1770</v>
      </c>
      <c r="D907" s="229"/>
      <c r="E907" s="229"/>
      <c r="F907" s="229"/>
    </row>
    <row r="908" spans="2:6" x14ac:dyDescent="0.35">
      <c r="B908" s="20" t="s">
        <v>1102</v>
      </c>
      <c r="C908" s="11" t="s">
        <v>1241</v>
      </c>
      <c r="D908" s="11"/>
      <c r="E908" s="11"/>
      <c r="F908" s="11"/>
    </row>
    <row r="909" spans="2:6" x14ac:dyDescent="0.35">
      <c r="B909" s="121" t="s">
        <v>1105</v>
      </c>
      <c r="C909" s="229" t="s">
        <v>1241</v>
      </c>
      <c r="D909" s="229"/>
      <c r="E909" s="229"/>
      <c r="F909" s="229"/>
    </row>
    <row r="910" spans="2:6" x14ac:dyDescent="0.35">
      <c r="B910" s="20" t="s">
        <v>1108</v>
      </c>
      <c r="C910" s="11" t="s">
        <v>1492</v>
      </c>
      <c r="D910" s="11"/>
      <c r="E910" s="11"/>
      <c r="F910" s="11"/>
    </row>
    <row r="912" spans="2:6" x14ac:dyDescent="0.35">
      <c r="B912" s="15" t="s">
        <v>713</v>
      </c>
    </row>
    <row r="913" spans="2:6" ht="15" customHeight="1" x14ac:dyDescent="0.35">
      <c r="B913" s="9" t="s">
        <v>2131</v>
      </c>
      <c r="C913" s="9"/>
      <c r="D913" s="9"/>
      <c r="E913" s="9"/>
      <c r="F913" s="9"/>
    </row>
    <row r="914" spans="2:6" x14ac:dyDescent="0.35">
      <c r="B914" s="9"/>
      <c r="C914" s="9"/>
      <c r="D914" s="9"/>
      <c r="E914" s="9"/>
      <c r="F914" s="9"/>
    </row>
    <row r="915" spans="2:6" x14ac:dyDescent="0.35">
      <c r="B915" s="9"/>
      <c r="C915" s="9"/>
      <c r="D915" s="9"/>
      <c r="E915" s="9"/>
      <c r="F915" s="9"/>
    </row>
    <row r="916" spans="2:6" x14ac:dyDescent="0.35">
      <c r="B916" s="9"/>
      <c r="C916" s="9"/>
      <c r="D916" s="9"/>
      <c r="E916" s="9"/>
      <c r="F916" s="9"/>
    </row>
    <row r="917" spans="2:6" x14ac:dyDescent="0.35">
      <c r="B917" s="9"/>
      <c r="C917" s="9"/>
      <c r="D917" s="9"/>
      <c r="E917" s="9"/>
      <c r="F917" s="9"/>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election activeCell="H42" sqref="H42"/>
    </sheetView>
  </sheetViews>
  <sheetFormatPr defaultColWidth="8.6328125" defaultRowHeight="14.5" x14ac:dyDescent="0.3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35">
      <c r="B1" s="14" t="s">
        <v>2132</v>
      </c>
      <c r="C1" s="14"/>
      <c r="D1" s="14"/>
      <c r="E1" s="14"/>
      <c r="F1" s="14"/>
      <c r="G1" s="14"/>
      <c r="H1" s="14"/>
      <c r="I1" s="14"/>
    </row>
    <row r="2" spans="2:9" ht="15" customHeight="1" x14ac:dyDescent="0.35">
      <c r="B2" s="13" t="s">
        <v>2133</v>
      </c>
      <c r="C2" s="13"/>
      <c r="D2" s="13"/>
      <c r="E2" s="13"/>
      <c r="F2" s="13"/>
      <c r="G2" s="13"/>
      <c r="H2" s="13"/>
      <c r="I2" s="13"/>
    </row>
    <row r="4" spans="2:9" ht="18" customHeight="1" x14ac:dyDescent="0.35">
      <c r="B4" s="12" t="s">
        <v>2134</v>
      </c>
      <c r="C4" s="12"/>
      <c r="D4" s="12"/>
      <c r="E4" s="12"/>
      <c r="F4" s="12"/>
      <c r="G4" s="12"/>
      <c r="H4" s="12"/>
      <c r="I4" s="12"/>
    </row>
    <row r="5" spans="2:9" ht="30" customHeight="1" x14ac:dyDescent="0.35">
      <c r="B5" s="22" t="s">
        <v>609</v>
      </c>
      <c r="C5" s="22" t="s">
        <v>82</v>
      </c>
      <c r="D5" s="22" t="s">
        <v>2135</v>
      </c>
      <c r="E5" s="22" t="s">
        <v>2136</v>
      </c>
      <c r="F5" s="22" t="s">
        <v>2137</v>
      </c>
    </row>
    <row r="6" spans="2:9" ht="39.75" customHeight="1" x14ac:dyDescent="0.35">
      <c r="B6" s="23" t="s">
        <v>1260</v>
      </c>
      <c r="C6" s="24" t="s">
        <v>2138</v>
      </c>
      <c r="D6" s="163">
        <v>3</v>
      </c>
      <c r="E6" s="24" t="s">
        <v>707</v>
      </c>
      <c r="F6" s="6" t="s">
        <v>2139</v>
      </c>
      <c r="G6" s="6"/>
      <c r="H6" s="6"/>
      <c r="I6" s="6"/>
    </row>
    <row r="7" spans="2:9" ht="39.75" customHeight="1" x14ac:dyDescent="0.35">
      <c r="B7" s="25" t="s">
        <v>1265</v>
      </c>
      <c r="C7" s="26" t="s">
        <v>2140</v>
      </c>
      <c r="D7" s="165">
        <v>2.1</v>
      </c>
      <c r="E7" s="26" t="s">
        <v>2141</v>
      </c>
      <c r="F7" s="5" t="s">
        <v>2142</v>
      </c>
      <c r="G7" s="5"/>
      <c r="H7" s="5"/>
      <c r="I7" s="5"/>
    </row>
    <row r="8" spans="2:9" ht="39.75" customHeight="1" x14ac:dyDescent="0.35">
      <c r="B8" s="23" t="s">
        <v>1253</v>
      </c>
      <c r="C8" s="24" t="s">
        <v>2143</v>
      </c>
      <c r="D8" s="163">
        <v>1.4</v>
      </c>
      <c r="E8" s="24" t="s">
        <v>2144</v>
      </c>
      <c r="F8" s="6" t="s">
        <v>2145</v>
      </c>
      <c r="G8" s="6"/>
      <c r="H8" s="6"/>
      <c r="I8" s="6"/>
    </row>
    <row r="9" spans="2:9" ht="39.75" customHeight="1" x14ac:dyDescent="0.35">
      <c r="B9" s="25" t="s">
        <v>2146</v>
      </c>
      <c r="C9" s="26" t="s">
        <v>2147</v>
      </c>
      <c r="D9" s="165">
        <v>0.85</v>
      </c>
      <c r="E9" s="26" t="s">
        <v>2148</v>
      </c>
      <c r="F9" s="5" t="s">
        <v>2149</v>
      </c>
      <c r="G9" s="5"/>
      <c r="H9" s="5"/>
      <c r="I9" s="5"/>
    </row>
    <row r="10" spans="2:9" ht="39.75" customHeight="1" x14ac:dyDescent="0.35">
      <c r="B10" s="23" t="s">
        <v>1836</v>
      </c>
      <c r="C10" s="24" t="s">
        <v>2150</v>
      </c>
      <c r="D10" s="163">
        <v>2.4</v>
      </c>
      <c r="E10" s="24" t="s">
        <v>2151</v>
      </c>
      <c r="F10" s="6" t="s">
        <v>2152</v>
      </c>
      <c r="G10" s="6"/>
      <c r="H10" s="6"/>
      <c r="I10" s="6"/>
    </row>
    <row r="11" spans="2:9" ht="39.75" customHeight="1" x14ac:dyDescent="0.35">
      <c r="B11" s="25" t="s">
        <v>1492</v>
      </c>
      <c r="C11" s="26" t="s">
        <v>2153</v>
      </c>
      <c r="D11" s="165">
        <v>1.5</v>
      </c>
      <c r="E11" s="26" t="s">
        <v>2154</v>
      </c>
      <c r="F11" s="5" t="s">
        <v>2155</v>
      </c>
      <c r="G11" s="5"/>
      <c r="H11" s="5"/>
      <c r="I11" s="5"/>
    </row>
    <row r="12" spans="2:9" ht="39.75" customHeight="1" x14ac:dyDescent="0.35">
      <c r="B12" s="23" t="s">
        <v>2046</v>
      </c>
      <c r="C12" s="24" t="s">
        <v>2156</v>
      </c>
      <c r="D12" s="163">
        <v>2.6</v>
      </c>
      <c r="E12" s="24" t="s">
        <v>2157</v>
      </c>
      <c r="F12" s="6" t="s">
        <v>2158</v>
      </c>
      <c r="G12" s="6"/>
      <c r="H12" s="6"/>
      <c r="I12" s="6"/>
    </row>
    <row r="13" spans="2:9" ht="39.75" customHeight="1" x14ac:dyDescent="0.35">
      <c r="B13" s="25" t="s">
        <v>1770</v>
      </c>
      <c r="C13" s="26" t="s">
        <v>2159</v>
      </c>
      <c r="D13" s="165">
        <v>1.3</v>
      </c>
      <c r="E13" s="26" t="s">
        <v>2148</v>
      </c>
      <c r="F13" s="5" t="s">
        <v>2160</v>
      </c>
      <c r="G13" s="5"/>
      <c r="H13" s="5"/>
      <c r="I13" s="5"/>
    </row>
    <row r="14" spans="2:9" ht="39.75" customHeight="1" x14ac:dyDescent="0.35">
      <c r="B14" s="23" t="s">
        <v>2077</v>
      </c>
      <c r="C14" s="24" t="s">
        <v>2161</v>
      </c>
      <c r="D14" s="163">
        <v>1.8</v>
      </c>
      <c r="E14" s="24" t="s">
        <v>2162</v>
      </c>
      <c r="F14" s="6" t="s">
        <v>2163</v>
      </c>
      <c r="G14" s="6"/>
      <c r="H14" s="6"/>
      <c r="I14" s="6"/>
    </row>
    <row r="15" spans="2:9" ht="39.75" customHeight="1" x14ac:dyDescent="0.35">
      <c r="B15" s="25" t="s">
        <v>2164</v>
      </c>
      <c r="C15" s="26" t="s">
        <v>2165</v>
      </c>
      <c r="D15" s="165">
        <v>2.8</v>
      </c>
      <c r="E15" s="26" t="s">
        <v>2166</v>
      </c>
      <c r="F15" s="5" t="s">
        <v>2167</v>
      </c>
      <c r="G15" s="5"/>
      <c r="H15" s="5"/>
      <c r="I15" s="5"/>
    </row>
    <row r="16" spans="2:9" ht="39.75" customHeight="1" x14ac:dyDescent="0.35">
      <c r="B16" s="23" t="s">
        <v>1241</v>
      </c>
      <c r="C16" s="24" t="s">
        <v>2168</v>
      </c>
      <c r="D16" s="163">
        <v>0.9</v>
      </c>
      <c r="E16" s="24" t="s">
        <v>2169</v>
      </c>
      <c r="F16" s="6" t="s">
        <v>2170</v>
      </c>
      <c r="G16" s="6"/>
      <c r="H16" s="6"/>
      <c r="I16" s="6"/>
    </row>
    <row r="17" spans="2:9" ht="39.75" customHeight="1" x14ac:dyDescent="0.35">
      <c r="B17" s="25" t="s">
        <v>2026</v>
      </c>
      <c r="C17" s="26" t="s">
        <v>2171</v>
      </c>
      <c r="D17" s="165">
        <v>0.45</v>
      </c>
      <c r="E17" s="26" t="s">
        <v>2169</v>
      </c>
      <c r="F17" s="5" t="s">
        <v>2149</v>
      </c>
      <c r="G17" s="5"/>
      <c r="H17" s="5"/>
      <c r="I17" s="5"/>
    </row>
    <row r="19" spans="2:9" ht="18" customHeight="1" x14ac:dyDescent="0.35">
      <c r="B19" s="12" t="s">
        <v>2172</v>
      </c>
      <c r="C19" s="12"/>
      <c r="D19" s="12"/>
      <c r="E19" s="12"/>
      <c r="F19" s="12"/>
      <c r="G19" s="12"/>
      <c r="H19" s="12"/>
      <c r="I19" s="12"/>
    </row>
    <row r="20" spans="2:9" ht="30" customHeight="1" x14ac:dyDescent="0.35">
      <c r="B20" s="22" t="s">
        <v>2173</v>
      </c>
      <c r="C20" s="22" t="s">
        <v>2174</v>
      </c>
      <c r="D20" s="22" t="s">
        <v>2175</v>
      </c>
    </row>
    <row r="21" spans="2:9" ht="15" customHeight="1" x14ac:dyDescent="0.35">
      <c r="B21" s="20" t="s">
        <v>552</v>
      </c>
      <c r="C21" s="163">
        <v>1</v>
      </c>
      <c r="D21" s="6" t="s">
        <v>2176</v>
      </c>
      <c r="E21" s="6"/>
      <c r="F21" s="6"/>
      <c r="G21" s="6"/>
      <c r="H21" s="6"/>
      <c r="I21" s="6"/>
    </row>
    <row r="22" spans="2:9" ht="15" customHeight="1" x14ac:dyDescent="0.35">
      <c r="B22" s="121" t="s">
        <v>533</v>
      </c>
      <c r="C22" s="165">
        <v>0.9</v>
      </c>
      <c r="D22" s="5" t="s">
        <v>2177</v>
      </c>
      <c r="E22" s="5"/>
      <c r="F22" s="5"/>
      <c r="G22" s="5"/>
      <c r="H22" s="5"/>
      <c r="I22" s="5"/>
    </row>
    <row r="23" spans="2:9" ht="15" customHeight="1" x14ac:dyDescent="0.35">
      <c r="B23" s="20" t="s">
        <v>220</v>
      </c>
      <c r="C23" s="163">
        <v>0.8</v>
      </c>
      <c r="D23" s="6" t="s">
        <v>2178</v>
      </c>
      <c r="E23" s="6"/>
      <c r="F23" s="6"/>
      <c r="G23" s="6"/>
      <c r="H23" s="6"/>
      <c r="I23" s="6"/>
    </row>
    <row r="24" spans="2:9" ht="15" customHeight="1" x14ac:dyDescent="0.35">
      <c r="B24" s="121" t="s">
        <v>707</v>
      </c>
      <c r="C24" s="165">
        <v>0.62</v>
      </c>
      <c r="D24" s="5" t="s">
        <v>2179</v>
      </c>
      <c r="E24" s="5"/>
      <c r="F24" s="5"/>
      <c r="G24" s="5"/>
      <c r="H24" s="5"/>
      <c r="I24" s="5"/>
    </row>
    <row r="25" spans="2:9" ht="15" customHeight="1" x14ac:dyDescent="0.35">
      <c r="B25" s="20" t="s">
        <v>2180</v>
      </c>
      <c r="C25" s="163">
        <v>0.45</v>
      </c>
      <c r="D25" s="6" t="s">
        <v>2181</v>
      </c>
      <c r="E25" s="6"/>
      <c r="F25" s="6"/>
      <c r="G25" s="6"/>
      <c r="H25" s="6"/>
      <c r="I25" s="6"/>
    </row>
    <row r="26" spans="2:9" ht="15" customHeight="1" x14ac:dyDescent="0.35">
      <c r="B26" s="121" t="s">
        <v>2182</v>
      </c>
      <c r="C26" s="165">
        <v>0.1</v>
      </c>
      <c r="D26" s="5" t="s">
        <v>2183</v>
      </c>
      <c r="E26" s="5"/>
      <c r="F26" s="5"/>
      <c r="G26" s="5"/>
      <c r="H26" s="5"/>
      <c r="I26" s="5"/>
    </row>
    <row r="28" spans="2:9" ht="18" customHeight="1" x14ac:dyDescent="0.35">
      <c r="B28" s="12" t="s">
        <v>2184</v>
      </c>
      <c r="C28" s="12"/>
      <c r="D28" s="12"/>
      <c r="E28" s="12"/>
      <c r="F28" s="12"/>
      <c r="G28" s="12"/>
      <c r="H28" s="12"/>
      <c r="I28" s="12"/>
    </row>
    <row r="29" spans="2:9" ht="30" customHeight="1" x14ac:dyDescent="0.35">
      <c r="B29" s="22" t="s">
        <v>2185</v>
      </c>
      <c r="C29" s="22" t="s">
        <v>2186</v>
      </c>
      <c r="D29" s="22" t="s">
        <v>2187</v>
      </c>
      <c r="E29" s="22" t="s">
        <v>2188</v>
      </c>
      <c r="F29" s="22" t="s">
        <v>2189</v>
      </c>
    </row>
    <row r="30" spans="2:9" ht="45.75" customHeight="1" x14ac:dyDescent="0.35">
      <c r="B30" s="23" t="s">
        <v>2190</v>
      </c>
      <c r="C30" s="6" t="s">
        <v>2191</v>
      </c>
      <c r="D30" s="6"/>
      <c r="E30" s="24" t="s">
        <v>2192</v>
      </c>
      <c r="F30" s="6" t="s">
        <v>2193</v>
      </c>
      <c r="G30" s="6"/>
      <c r="H30" s="6" t="s">
        <v>2194</v>
      </c>
      <c r="I30" s="6"/>
    </row>
    <row r="31" spans="2:9" ht="45.75" customHeight="1" x14ac:dyDescent="0.35">
      <c r="B31" s="25" t="s">
        <v>2195</v>
      </c>
      <c r="C31" s="5" t="s">
        <v>2196</v>
      </c>
      <c r="D31" s="5"/>
      <c r="E31" s="26" t="s">
        <v>2197</v>
      </c>
      <c r="F31" s="5" t="s">
        <v>2198</v>
      </c>
      <c r="G31" s="5"/>
      <c r="H31" s="5" t="s">
        <v>2199</v>
      </c>
      <c r="I31" s="5"/>
    </row>
    <row r="32" spans="2:9" ht="45.75" customHeight="1" x14ac:dyDescent="0.35">
      <c r="B32" s="23" t="s">
        <v>2200</v>
      </c>
      <c r="C32" s="6" t="s">
        <v>2201</v>
      </c>
      <c r="D32" s="6"/>
      <c r="E32" s="24" t="s">
        <v>2202</v>
      </c>
      <c r="F32" s="6" t="s">
        <v>2203</v>
      </c>
      <c r="G32" s="6"/>
      <c r="H32" s="6" t="s">
        <v>2204</v>
      </c>
      <c r="I32" s="6"/>
    </row>
    <row r="33" spans="2:9" ht="45.75" customHeight="1" x14ac:dyDescent="0.35">
      <c r="B33" s="25" t="s">
        <v>1215</v>
      </c>
      <c r="C33" s="5" t="s">
        <v>2205</v>
      </c>
      <c r="D33" s="5"/>
      <c r="E33" s="26" t="s">
        <v>2206</v>
      </c>
      <c r="F33" s="5" t="s">
        <v>2207</v>
      </c>
      <c r="G33" s="5"/>
      <c r="H33" s="5" t="s">
        <v>2208</v>
      </c>
      <c r="I33" s="5"/>
    </row>
    <row r="34" spans="2:9" ht="45.75" customHeight="1" x14ac:dyDescent="0.35">
      <c r="B34" s="23" t="s">
        <v>2209</v>
      </c>
      <c r="C34" s="6" t="s">
        <v>2210</v>
      </c>
      <c r="D34" s="6"/>
      <c r="E34" s="24" t="s">
        <v>2211</v>
      </c>
      <c r="F34" s="6" t="s">
        <v>2212</v>
      </c>
      <c r="G34" s="6"/>
      <c r="H34" s="6" t="s">
        <v>2213</v>
      </c>
      <c r="I34" s="6"/>
    </row>
    <row r="35" spans="2:9" ht="45.75" customHeight="1" x14ac:dyDescent="0.35">
      <c r="B35" s="25" t="s">
        <v>2214</v>
      </c>
      <c r="C35" s="5" t="s">
        <v>2215</v>
      </c>
      <c r="D35" s="5"/>
      <c r="E35" s="26" t="s">
        <v>2216</v>
      </c>
      <c r="F35" s="5" t="s">
        <v>2217</v>
      </c>
      <c r="G35" s="5"/>
      <c r="H35" s="5" t="s">
        <v>2218</v>
      </c>
      <c r="I35" s="5"/>
    </row>
    <row r="36" spans="2:9" ht="45.75" customHeight="1" x14ac:dyDescent="0.35">
      <c r="B36" s="23" t="s">
        <v>2219</v>
      </c>
      <c r="C36" s="6" t="s">
        <v>2220</v>
      </c>
      <c r="D36" s="6"/>
      <c r="E36" s="24" t="s">
        <v>2221</v>
      </c>
      <c r="F36" s="6" t="s">
        <v>2222</v>
      </c>
      <c r="G36" s="6"/>
      <c r="H36" s="6" t="s">
        <v>2223</v>
      </c>
      <c r="I36" s="6"/>
    </row>
    <row r="37" spans="2:9" ht="45.75" customHeight="1" x14ac:dyDescent="0.35">
      <c r="B37" s="25" t="s">
        <v>2224</v>
      </c>
      <c r="C37" s="5" t="s">
        <v>2225</v>
      </c>
      <c r="D37" s="5"/>
      <c r="E37" s="26" t="s">
        <v>2226</v>
      </c>
      <c r="F37" s="5" t="s">
        <v>2227</v>
      </c>
      <c r="G37" s="5"/>
      <c r="H37" s="5" t="s">
        <v>2228</v>
      </c>
      <c r="I37" s="5"/>
    </row>
    <row r="38" spans="2:9" ht="45.75" customHeight="1" x14ac:dyDescent="0.35">
      <c r="B38" s="23" t="s">
        <v>2229</v>
      </c>
      <c r="C38" s="6" t="s">
        <v>2230</v>
      </c>
      <c r="D38" s="6"/>
      <c r="E38" s="24" t="s">
        <v>2226</v>
      </c>
      <c r="F38" s="6" t="s">
        <v>2212</v>
      </c>
      <c r="G38" s="6"/>
      <c r="H38" s="6" t="s">
        <v>2231</v>
      </c>
      <c r="I38" s="6"/>
    </row>
    <row r="39" spans="2:9" ht="45.75" customHeight="1" x14ac:dyDescent="0.35">
      <c r="B39" s="25" t="s">
        <v>2232</v>
      </c>
      <c r="C39" s="5" t="s">
        <v>2233</v>
      </c>
      <c r="D39" s="5"/>
      <c r="E39" s="26" t="s">
        <v>2226</v>
      </c>
      <c r="F39" s="5" t="s">
        <v>2234</v>
      </c>
      <c r="G39" s="5"/>
      <c r="H39" s="5" t="s">
        <v>2235</v>
      </c>
      <c r="I39" s="5"/>
    </row>
    <row r="41" spans="2:9" ht="18" customHeight="1" x14ac:dyDescent="0.35">
      <c r="B41" s="12" t="s">
        <v>2236</v>
      </c>
      <c r="C41" s="12"/>
      <c r="D41" s="12"/>
      <c r="E41" s="12"/>
      <c r="F41" s="12"/>
      <c r="G41" s="12"/>
      <c r="H41" s="12"/>
      <c r="I41" s="12"/>
    </row>
    <row r="42" spans="2:9" ht="30" customHeight="1" x14ac:dyDescent="0.35">
      <c r="B42" s="22" t="s">
        <v>609</v>
      </c>
      <c r="C42" s="230" t="s">
        <v>2237</v>
      </c>
      <c r="D42" s="230"/>
      <c r="E42" s="22" t="s">
        <v>2238</v>
      </c>
      <c r="F42" s="230" t="s">
        <v>2239</v>
      </c>
      <c r="G42" s="230"/>
      <c r="H42" s="22" t="s">
        <v>2240</v>
      </c>
      <c r="I42" s="22" t="s">
        <v>671</v>
      </c>
    </row>
    <row r="43" spans="2:9" x14ac:dyDescent="0.35">
      <c r="B43" s="24" t="s">
        <v>1260</v>
      </c>
      <c r="C43" s="231">
        <f>IFERROR(INDEX('Portfolio Summary'!$D$96:$D$107,MATCH($B43,'Portfolio Summary'!$B$96:$B$107,0)),0)</f>
        <v>425000</v>
      </c>
      <c r="D43" s="231"/>
      <c r="E43" s="176">
        <v>0.65</v>
      </c>
      <c r="F43" s="232">
        <f t="shared" ref="F43:F54" si="0">C43*E43</f>
        <v>276250</v>
      </c>
      <c r="G43" s="232"/>
      <c r="H43" s="177">
        <f t="shared" ref="H43:H54" si="1">IF($C$57=0,0,F43/$C$57)</f>
        <v>1.8416666666666668E-2</v>
      </c>
      <c r="I43" s="174" t="str">
        <f t="shared" ref="I43:I54" si="2">IF(C43=0,"No exposure",IF(H43&gt;1,"BREACH - STOP BINDING",IF(H43&gt;0.8,"WATCH","OK")))</f>
        <v>OK</v>
      </c>
    </row>
    <row r="44" spans="2:9" x14ac:dyDescent="0.35">
      <c r="B44" s="24" t="s">
        <v>1265</v>
      </c>
      <c r="C44" s="231">
        <f>IFERROR(INDEX('Portfolio Summary'!$D$96:$D$107,MATCH($B44,'Portfolio Summary'!$B$96:$B$107,0)),0)</f>
        <v>185000</v>
      </c>
      <c r="D44" s="231"/>
      <c r="E44" s="176">
        <v>0.4</v>
      </c>
      <c r="F44" s="232">
        <f t="shared" si="0"/>
        <v>74000</v>
      </c>
      <c r="G44" s="232"/>
      <c r="H44" s="177">
        <f t="shared" si="1"/>
        <v>4.933333333333333E-3</v>
      </c>
      <c r="I44" s="174" t="str">
        <f t="shared" si="2"/>
        <v>OK</v>
      </c>
    </row>
    <row r="45" spans="2:9" x14ac:dyDescent="0.35">
      <c r="B45" s="24" t="s">
        <v>1253</v>
      </c>
      <c r="C45" s="231">
        <f>IFERROR(INDEX('Portfolio Summary'!$D$96:$D$107,MATCH($B45,'Portfolio Summary'!$B$96:$B$107,0)),0)</f>
        <v>0</v>
      </c>
      <c r="D45" s="231"/>
      <c r="E45" s="176">
        <v>0.22</v>
      </c>
      <c r="F45" s="232">
        <f t="shared" si="0"/>
        <v>0</v>
      </c>
      <c r="G45" s="232"/>
      <c r="H45" s="177">
        <f t="shared" si="1"/>
        <v>0</v>
      </c>
      <c r="I45" s="174" t="str">
        <f t="shared" si="2"/>
        <v>No exposure</v>
      </c>
    </row>
    <row r="46" spans="2:9" x14ac:dyDescent="0.35">
      <c r="B46" s="24" t="s">
        <v>2146</v>
      </c>
      <c r="C46" s="231">
        <f>IFERROR(INDEX('Portfolio Summary'!$D$96:$D$107,MATCH($B46,'Portfolio Summary'!$B$96:$B$107,0)),0)</f>
        <v>0</v>
      </c>
      <c r="D46" s="231"/>
      <c r="E46" s="176">
        <v>0.1</v>
      </c>
      <c r="F46" s="232">
        <f t="shared" si="0"/>
        <v>0</v>
      </c>
      <c r="G46" s="232"/>
      <c r="H46" s="177">
        <f t="shared" si="1"/>
        <v>0</v>
      </c>
      <c r="I46" s="174" t="str">
        <f t="shared" si="2"/>
        <v>No exposure</v>
      </c>
    </row>
    <row r="47" spans="2:9" x14ac:dyDescent="0.35">
      <c r="B47" s="24" t="s">
        <v>1836</v>
      </c>
      <c r="C47" s="231">
        <f>IFERROR(INDEX('Portfolio Summary'!$D$96:$D$107,MATCH($B47,'Portfolio Summary'!$B$96:$B$107,0)),0)</f>
        <v>0</v>
      </c>
      <c r="D47" s="231"/>
      <c r="E47" s="176">
        <v>0.3</v>
      </c>
      <c r="F47" s="232">
        <f t="shared" si="0"/>
        <v>0</v>
      </c>
      <c r="G47" s="232"/>
      <c r="H47" s="177">
        <f t="shared" si="1"/>
        <v>0</v>
      </c>
      <c r="I47" s="174" t="str">
        <f t="shared" si="2"/>
        <v>No exposure</v>
      </c>
    </row>
    <row r="48" spans="2:9" x14ac:dyDescent="0.35">
      <c r="B48" s="24" t="s">
        <v>1492</v>
      </c>
      <c r="C48" s="231">
        <f>IFERROR(INDEX('Portfolio Summary'!$D$96:$D$107,MATCH($B48,'Portfolio Summary'!$B$96:$B$107,0)),0)</f>
        <v>5050000</v>
      </c>
      <c r="D48" s="231"/>
      <c r="E48" s="176">
        <v>0.18</v>
      </c>
      <c r="F48" s="232">
        <f t="shared" si="0"/>
        <v>909000</v>
      </c>
      <c r="G48" s="232"/>
      <c r="H48" s="177">
        <f t="shared" si="1"/>
        <v>6.0600000000000001E-2</v>
      </c>
      <c r="I48" s="174" t="str">
        <f t="shared" si="2"/>
        <v>OK</v>
      </c>
    </row>
    <row r="49" spans="2:9" x14ac:dyDescent="0.35">
      <c r="B49" s="24" t="s">
        <v>2046</v>
      </c>
      <c r="C49" s="231">
        <f>IFERROR(INDEX('Portfolio Summary'!$D$96:$D$107,MATCH($B49,'Portfolio Summary'!$B$96:$B$107,0)),0)</f>
        <v>2200000</v>
      </c>
      <c r="D49" s="231"/>
      <c r="E49" s="176">
        <v>0.55000000000000004</v>
      </c>
      <c r="F49" s="232">
        <f t="shared" si="0"/>
        <v>1210000</v>
      </c>
      <c r="G49" s="232"/>
      <c r="H49" s="177">
        <f t="shared" si="1"/>
        <v>8.0666666666666664E-2</v>
      </c>
      <c r="I49" s="174" t="str">
        <f t="shared" si="2"/>
        <v>OK</v>
      </c>
    </row>
    <row r="50" spans="2:9" x14ac:dyDescent="0.35">
      <c r="B50" s="24" t="s">
        <v>1770</v>
      </c>
      <c r="C50" s="231">
        <f>IFERROR(INDEX('Portfolio Summary'!$D$96:$D$107,MATCH($B50,'Portfolio Summary'!$B$96:$B$107,0)),0)</f>
        <v>0</v>
      </c>
      <c r="D50" s="231"/>
      <c r="E50" s="176">
        <v>0.2</v>
      </c>
      <c r="F50" s="232">
        <f t="shared" si="0"/>
        <v>0</v>
      </c>
      <c r="G50" s="232"/>
      <c r="H50" s="177">
        <f t="shared" si="1"/>
        <v>0</v>
      </c>
      <c r="I50" s="174" t="str">
        <f t="shared" si="2"/>
        <v>No exposure</v>
      </c>
    </row>
    <row r="51" spans="2:9" x14ac:dyDescent="0.35">
      <c r="B51" s="24" t="s">
        <v>2077</v>
      </c>
      <c r="C51" s="231">
        <f>IFERROR(INDEX('Portfolio Summary'!$D$96:$D$107,MATCH($B51,'Portfolio Summary'!$B$96:$B$107,0)),0)</f>
        <v>0</v>
      </c>
      <c r="D51" s="231"/>
      <c r="E51" s="176">
        <v>0.18</v>
      </c>
      <c r="F51" s="232">
        <f t="shared" si="0"/>
        <v>0</v>
      </c>
      <c r="G51" s="232"/>
      <c r="H51" s="177">
        <f t="shared" si="1"/>
        <v>0</v>
      </c>
      <c r="I51" s="174" t="str">
        <f t="shared" si="2"/>
        <v>No exposure</v>
      </c>
    </row>
    <row r="52" spans="2:9" x14ac:dyDescent="0.35">
      <c r="B52" s="24" t="s">
        <v>2164</v>
      </c>
      <c r="C52" s="231">
        <f>IFERROR(INDEX('Portfolio Summary'!$D$96:$D$107,MATCH($B52,'Portfolio Summary'!$B$96:$B$107,0)),0)</f>
        <v>0</v>
      </c>
      <c r="D52" s="231"/>
      <c r="E52" s="176">
        <v>0.7</v>
      </c>
      <c r="F52" s="232">
        <f t="shared" si="0"/>
        <v>0</v>
      </c>
      <c r="G52" s="232"/>
      <c r="H52" s="177">
        <f t="shared" si="1"/>
        <v>0</v>
      </c>
      <c r="I52" s="174" t="str">
        <f t="shared" si="2"/>
        <v>No exposure</v>
      </c>
    </row>
    <row r="53" spans="2:9" x14ac:dyDescent="0.35">
      <c r="B53" s="24" t="s">
        <v>1241</v>
      </c>
      <c r="C53" s="231">
        <f>IFERROR(INDEX('Portfolio Summary'!$D$96:$D$107,MATCH($B53,'Portfolio Summary'!$B$96:$B$107,0)),0)</f>
        <v>0</v>
      </c>
      <c r="D53" s="231"/>
      <c r="E53" s="176">
        <v>0.08</v>
      </c>
      <c r="F53" s="232">
        <f t="shared" si="0"/>
        <v>0</v>
      </c>
      <c r="G53" s="232"/>
      <c r="H53" s="177">
        <f t="shared" si="1"/>
        <v>0</v>
      </c>
      <c r="I53" s="174" t="str">
        <f t="shared" si="2"/>
        <v>No exposure</v>
      </c>
    </row>
    <row r="54" spans="2:9" x14ac:dyDescent="0.35">
      <c r="B54" s="24" t="s">
        <v>2026</v>
      </c>
      <c r="C54" s="231">
        <f>IFERROR(INDEX('Portfolio Summary'!$D$96:$D$107,MATCH($B54,'Portfolio Summary'!$B$96:$B$107,0)),0)</f>
        <v>280000</v>
      </c>
      <c r="D54" s="231"/>
      <c r="E54" s="176">
        <v>0.03</v>
      </c>
      <c r="F54" s="232">
        <f t="shared" si="0"/>
        <v>8400</v>
      </c>
      <c r="G54" s="232"/>
      <c r="H54" s="177">
        <f t="shared" si="1"/>
        <v>5.5999999999999995E-4</v>
      </c>
      <c r="I54" s="174" t="str">
        <f t="shared" si="2"/>
        <v>OK</v>
      </c>
    </row>
    <row r="55" spans="2:9" x14ac:dyDescent="0.35">
      <c r="B55" s="32" t="s">
        <v>2241</v>
      </c>
      <c r="F55" s="233">
        <f>MAX(F43:F54)</f>
        <v>1210000</v>
      </c>
      <c r="G55" s="233"/>
    </row>
    <row r="57" spans="2:9" x14ac:dyDescent="0.35">
      <c r="B57" s="15" t="s">
        <v>2242</v>
      </c>
      <c r="C57" s="234">
        <v>15000000</v>
      </c>
      <c r="D57" s="234"/>
      <c r="E57" s="129" t="s">
        <v>2243</v>
      </c>
    </row>
    <row r="58" spans="2:9" x14ac:dyDescent="0.35">
      <c r="B58" s="15" t="s">
        <v>2244</v>
      </c>
      <c r="C58" s="234">
        <v>10000000</v>
      </c>
      <c r="D58" s="234"/>
      <c r="E58" s="129" t="s">
        <v>2245</v>
      </c>
    </row>
    <row r="60" spans="2:9" ht="18" customHeight="1" x14ac:dyDescent="0.35">
      <c r="B60" s="235" t="s">
        <v>2246</v>
      </c>
      <c r="C60" s="235"/>
      <c r="D60" s="235"/>
      <c r="E60" s="235"/>
      <c r="F60" s="235"/>
      <c r="G60" s="235"/>
      <c r="H60" s="235"/>
      <c r="I60" s="235"/>
    </row>
    <row r="61" spans="2:9" ht="30" customHeight="1" x14ac:dyDescent="0.35">
      <c r="B61" s="7" t="s">
        <v>2247</v>
      </c>
      <c r="C61" s="7"/>
      <c r="D61" s="7"/>
      <c r="E61" s="7"/>
      <c r="F61" s="7"/>
      <c r="G61" s="7"/>
      <c r="H61" s="7"/>
      <c r="I61" s="7"/>
    </row>
    <row r="62" spans="2:9" ht="30" customHeight="1" x14ac:dyDescent="0.35">
      <c r="B62" s="236"/>
      <c r="C62" s="236"/>
      <c r="D62" s="236"/>
      <c r="E62" s="236"/>
      <c r="F62" s="236"/>
      <c r="G62" s="236"/>
      <c r="H62" s="236"/>
      <c r="I62" s="236"/>
    </row>
    <row r="63" spans="2:9" ht="30" customHeight="1" x14ac:dyDescent="0.35">
      <c r="B63" s="236"/>
      <c r="C63" s="236"/>
      <c r="D63" s="236"/>
      <c r="E63" s="236"/>
      <c r="F63" s="236"/>
      <c r="G63" s="236"/>
      <c r="H63" s="236"/>
      <c r="I63" s="236"/>
    </row>
    <row r="64" spans="2:9" ht="30" customHeight="1" x14ac:dyDescent="0.35">
      <c r="B64" s="10" t="s">
        <v>2248</v>
      </c>
      <c r="C64" s="10"/>
      <c r="D64" s="10"/>
      <c r="E64" s="10"/>
      <c r="F64" s="10"/>
      <c r="G64" s="10"/>
      <c r="H64" s="10"/>
      <c r="I64" s="10"/>
    </row>
    <row r="65" spans="2:9" ht="30" customHeight="1" x14ac:dyDescent="0.35">
      <c r="B65" s="10" t="s">
        <v>2249</v>
      </c>
      <c r="C65" s="10"/>
      <c r="D65" s="10"/>
      <c r="E65" s="10"/>
      <c r="F65" s="10"/>
      <c r="G65" s="10"/>
      <c r="H65" s="10"/>
      <c r="I65" s="10"/>
    </row>
    <row r="66" spans="2:9" ht="30" customHeight="1" x14ac:dyDescent="0.35">
      <c r="B66" s="10" t="s">
        <v>2250</v>
      </c>
      <c r="C66" s="10"/>
      <c r="D66" s="10"/>
      <c r="E66" s="10"/>
      <c r="F66" s="10"/>
      <c r="G66" s="10"/>
      <c r="H66" s="10"/>
      <c r="I66" s="10"/>
    </row>
    <row r="67" spans="2:9" ht="30" customHeight="1" x14ac:dyDescent="0.35">
      <c r="B67" s="10" t="s">
        <v>2251</v>
      </c>
      <c r="C67" s="10"/>
      <c r="D67" s="10"/>
      <c r="E67" s="10"/>
      <c r="F67" s="10"/>
      <c r="G67" s="10"/>
      <c r="H67" s="10"/>
      <c r="I67" s="10"/>
    </row>
    <row r="68" spans="2:9" ht="30" customHeight="1" x14ac:dyDescent="0.35">
      <c r="B68" s="10" t="s">
        <v>2252</v>
      </c>
      <c r="C68" s="10"/>
      <c r="D68" s="10"/>
      <c r="E68" s="10"/>
      <c r="F68" s="10"/>
      <c r="G68" s="10"/>
      <c r="H68" s="10"/>
      <c r="I68" s="10"/>
    </row>
    <row r="70" spans="2:9" x14ac:dyDescent="0.35">
      <c r="B70" s="15" t="s">
        <v>713</v>
      </c>
    </row>
    <row r="71" spans="2:9" ht="15" customHeight="1" x14ac:dyDescent="0.35">
      <c r="B71" s="7" t="s">
        <v>2253</v>
      </c>
      <c r="C71" s="7"/>
      <c r="D71" s="7"/>
      <c r="E71" s="7"/>
      <c r="F71" s="7"/>
      <c r="G71" s="7"/>
      <c r="H71" s="7"/>
      <c r="I71" s="7"/>
    </row>
    <row r="72" spans="2:9" x14ac:dyDescent="0.35">
      <c r="B72" s="7"/>
      <c r="C72" s="7"/>
      <c r="D72" s="7"/>
      <c r="E72" s="7"/>
      <c r="F72" s="7"/>
      <c r="G72" s="7"/>
      <c r="H72" s="7"/>
      <c r="I72" s="7"/>
    </row>
    <row r="73" spans="2:9" x14ac:dyDescent="0.35">
      <c r="B73" s="7"/>
      <c r="C73" s="7"/>
      <c r="D73" s="7"/>
      <c r="E73" s="7"/>
      <c r="F73" s="7"/>
      <c r="G73" s="7"/>
      <c r="H73" s="7"/>
      <c r="I73" s="7"/>
    </row>
    <row r="74" spans="2:9" x14ac:dyDescent="0.35">
      <c r="B74" s="7"/>
      <c r="C74" s="7"/>
      <c r="D74" s="7"/>
      <c r="E74" s="7"/>
      <c r="F74" s="7"/>
      <c r="G74" s="7"/>
      <c r="H74" s="7"/>
      <c r="I74" s="7"/>
    </row>
  </sheetData>
  <mergeCells count="93">
    <mergeCell ref="B67:I67"/>
    <mergeCell ref="B68:I68"/>
    <mergeCell ref="B71:I74"/>
    <mergeCell ref="B62:I62"/>
    <mergeCell ref="B63:I63"/>
    <mergeCell ref="B64:I64"/>
    <mergeCell ref="B65:I65"/>
    <mergeCell ref="B66:I66"/>
    <mergeCell ref="F55:G55"/>
    <mergeCell ref="C57:D57"/>
    <mergeCell ref="C58:D58"/>
    <mergeCell ref="B60:I60"/>
    <mergeCell ref="B61:I61"/>
    <mergeCell ref="C52:D52"/>
    <mergeCell ref="F52:G52"/>
    <mergeCell ref="C53:D53"/>
    <mergeCell ref="F53:G53"/>
    <mergeCell ref="C54:D54"/>
    <mergeCell ref="F54:G54"/>
    <mergeCell ref="C49:D49"/>
    <mergeCell ref="F49:G49"/>
    <mergeCell ref="C50:D50"/>
    <mergeCell ref="F50:G50"/>
    <mergeCell ref="C51:D51"/>
    <mergeCell ref="F51:G51"/>
    <mergeCell ref="C46:D46"/>
    <mergeCell ref="F46:G46"/>
    <mergeCell ref="C47:D47"/>
    <mergeCell ref="F47:G47"/>
    <mergeCell ref="C48:D48"/>
    <mergeCell ref="F48:G48"/>
    <mergeCell ref="C43:D43"/>
    <mergeCell ref="F43:G43"/>
    <mergeCell ref="C44:D44"/>
    <mergeCell ref="F44:G44"/>
    <mergeCell ref="C45:D45"/>
    <mergeCell ref="F45:G45"/>
    <mergeCell ref="C39:D39"/>
    <mergeCell ref="F39:G39"/>
    <mergeCell ref="H39:I39"/>
    <mergeCell ref="B41:I41"/>
    <mergeCell ref="C42:D42"/>
    <mergeCell ref="F42:G42"/>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topLeftCell="B1" zoomScaleNormal="100" workbookViewId="0">
      <selection activeCell="D54" sqref="D54"/>
    </sheetView>
  </sheetViews>
  <sheetFormatPr defaultColWidth="8.6328125" defaultRowHeight="14.5" x14ac:dyDescent="0.35"/>
  <cols>
    <col min="1" max="1" width="2" customWidth="1"/>
    <col min="2" max="2" width="34" customWidth="1"/>
    <col min="3" max="9" width="15" customWidth="1"/>
    <col min="10" max="10" width="66" customWidth="1"/>
  </cols>
  <sheetData>
    <row r="1" spans="2:10" ht="25.5" customHeight="1" x14ac:dyDescent="0.35">
      <c r="B1" s="14" t="s">
        <v>2254</v>
      </c>
      <c r="C1" s="14"/>
      <c r="D1" s="14"/>
      <c r="E1" s="14"/>
      <c r="F1" s="14"/>
      <c r="G1" s="14"/>
      <c r="H1" s="14"/>
      <c r="I1" s="14"/>
      <c r="J1" s="14"/>
    </row>
    <row r="2" spans="2:10" ht="15" customHeight="1" x14ac:dyDescent="0.35">
      <c r="B2" s="13" t="s">
        <v>2255</v>
      </c>
      <c r="C2" s="13"/>
      <c r="D2" s="13"/>
      <c r="E2" s="13"/>
      <c r="F2" s="13"/>
      <c r="G2" s="13"/>
      <c r="H2" s="13"/>
      <c r="I2" s="13"/>
      <c r="J2" s="13"/>
    </row>
    <row r="4" spans="2:10" ht="18" customHeight="1" x14ac:dyDescent="0.35">
      <c r="B4" s="12" t="s">
        <v>2256</v>
      </c>
      <c r="C4" s="12"/>
      <c r="D4" s="12"/>
      <c r="E4" s="12"/>
      <c r="F4" s="12"/>
      <c r="G4" s="12"/>
      <c r="H4" s="12"/>
      <c r="I4" s="12"/>
      <c r="J4" s="12"/>
    </row>
    <row r="5" spans="2:10" ht="30" customHeight="1" x14ac:dyDescent="0.35">
      <c r="B5" s="22" t="s">
        <v>2257</v>
      </c>
      <c r="C5" s="22" t="s">
        <v>719</v>
      </c>
      <c r="D5" s="22" t="s">
        <v>720</v>
      </c>
      <c r="E5" s="22" t="s">
        <v>721</v>
      </c>
      <c r="F5" s="22" t="s">
        <v>722</v>
      </c>
      <c r="G5" s="22" t="s">
        <v>723</v>
      </c>
      <c r="H5" s="22" t="s">
        <v>724</v>
      </c>
      <c r="I5" s="22" t="s">
        <v>725</v>
      </c>
      <c r="J5" s="22" t="s">
        <v>2258</v>
      </c>
    </row>
    <row r="6" spans="2:10" x14ac:dyDescent="0.35">
      <c r="B6" s="20" t="s">
        <v>2259</v>
      </c>
      <c r="C6" s="163">
        <v>1.1599999999999999</v>
      </c>
      <c r="D6" s="163">
        <v>1.1000000000000001</v>
      </c>
      <c r="E6" s="163">
        <v>1.07</v>
      </c>
      <c r="F6" s="163">
        <v>1.05</v>
      </c>
      <c r="G6" s="163">
        <v>1.03</v>
      </c>
      <c r="H6" s="163">
        <v>1.02</v>
      </c>
      <c r="I6" s="163">
        <v>1.01</v>
      </c>
      <c r="J6" s="179" t="s">
        <v>2260</v>
      </c>
    </row>
    <row r="7" spans="2:10" ht="24" customHeight="1" x14ac:dyDescent="0.35">
      <c r="B7" s="121" t="s">
        <v>2261</v>
      </c>
      <c r="C7" s="165">
        <v>1</v>
      </c>
      <c r="D7" s="165">
        <v>1</v>
      </c>
      <c r="E7" s="165">
        <v>1</v>
      </c>
      <c r="F7" s="165">
        <v>1</v>
      </c>
      <c r="G7" s="165">
        <v>1</v>
      </c>
      <c r="H7" s="165">
        <v>1</v>
      </c>
      <c r="I7" s="165">
        <v>1</v>
      </c>
      <c r="J7" s="180" t="s">
        <v>2262</v>
      </c>
    </row>
    <row r="8" spans="2:10" x14ac:dyDescent="0.35">
      <c r="B8" s="20" t="s">
        <v>209</v>
      </c>
      <c r="C8" s="163">
        <v>0.9</v>
      </c>
      <c r="D8" s="163">
        <v>0.94</v>
      </c>
      <c r="E8" s="163">
        <v>0.96</v>
      </c>
      <c r="F8" s="163">
        <v>0.98</v>
      </c>
      <c r="G8" s="163">
        <v>0.99</v>
      </c>
      <c r="H8" s="163">
        <v>0.995</v>
      </c>
      <c r="I8" s="163">
        <v>1</v>
      </c>
      <c r="J8" s="179"/>
    </row>
    <row r="9" spans="2:10" x14ac:dyDescent="0.35">
      <c r="B9" s="121" t="s">
        <v>240</v>
      </c>
      <c r="C9" s="165">
        <v>0.82</v>
      </c>
      <c r="D9" s="165">
        <v>0.87</v>
      </c>
      <c r="E9" s="165">
        <v>0.9</v>
      </c>
      <c r="F9" s="165">
        <v>0.94</v>
      </c>
      <c r="G9" s="165">
        <v>0.97</v>
      </c>
      <c r="H9" s="165">
        <v>0.98</v>
      </c>
      <c r="I9" s="165">
        <v>0.99</v>
      </c>
      <c r="J9" s="180"/>
    </row>
    <row r="10" spans="2:10" x14ac:dyDescent="0.35">
      <c r="B10" s="20" t="s">
        <v>237</v>
      </c>
      <c r="C10" s="163">
        <v>0.7</v>
      </c>
      <c r="D10" s="163">
        <v>0.78</v>
      </c>
      <c r="E10" s="163">
        <v>0.82</v>
      </c>
      <c r="F10" s="163">
        <v>0.87</v>
      </c>
      <c r="G10" s="163">
        <v>0.92</v>
      </c>
      <c r="H10" s="163">
        <v>0.95</v>
      </c>
      <c r="I10" s="163">
        <v>0.97</v>
      </c>
      <c r="J10" s="179"/>
    </row>
    <row r="11" spans="2:10" x14ac:dyDescent="0.35">
      <c r="B11" s="121" t="s">
        <v>2263</v>
      </c>
      <c r="C11" s="165">
        <v>0.6</v>
      </c>
      <c r="D11" s="165">
        <v>0.7</v>
      </c>
      <c r="E11" s="165">
        <v>0.74</v>
      </c>
      <c r="F11" s="165">
        <v>0.8</v>
      </c>
      <c r="G11" s="165">
        <v>0.86</v>
      </c>
      <c r="H11" s="165">
        <v>0.91</v>
      </c>
      <c r="I11" s="165">
        <v>0.94</v>
      </c>
      <c r="J11" s="180"/>
    </row>
    <row r="12" spans="2:10" x14ac:dyDescent="0.35">
      <c r="B12" s="20" t="s">
        <v>246</v>
      </c>
      <c r="C12" s="163">
        <v>0.52</v>
      </c>
      <c r="D12" s="163">
        <v>0.62</v>
      </c>
      <c r="E12" s="163">
        <v>0.65</v>
      </c>
      <c r="F12" s="163">
        <v>0.71</v>
      </c>
      <c r="G12" s="163">
        <v>0.78</v>
      </c>
      <c r="H12" s="163">
        <v>0.85</v>
      </c>
      <c r="I12" s="163">
        <v>0.9</v>
      </c>
      <c r="J12" s="179"/>
    </row>
    <row r="13" spans="2:10" x14ac:dyDescent="0.35">
      <c r="B13" s="121" t="s">
        <v>521</v>
      </c>
      <c r="C13" s="165">
        <v>0.46</v>
      </c>
      <c r="D13" s="165">
        <v>0.55000000000000004</v>
      </c>
      <c r="E13" s="165">
        <v>0.56000000000000005</v>
      </c>
      <c r="F13" s="165">
        <v>0.61</v>
      </c>
      <c r="G13" s="165">
        <v>0.68</v>
      </c>
      <c r="H13" s="165">
        <v>0.76</v>
      </c>
      <c r="I13" s="165">
        <v>0.83</v>
      </c>
      <c r="J13" s="180"/>
    </row>
    <row r="14" spans="2:10" x14ac:dyDescent="0.35">
      <c r="B14" s="20" t="s">
        <v>576</v>
      </c>
      <c r="C14" s="163">
        <v>0.93</v>
      </c>
      <c r="D14" s="163">
        <v>0.9</v>
      </c>
      <c r="E14" s="163">
        <v>0.87</v>
      </c>
      <c r="F14" s="163">
        <v>0.85</v>
      </c>
      <c r="G14" s="163">
        <v>0.83</v>
      </c>
      <c r="H14" s="163">
        <v>0.81</v>
      </c>
      <c r="I14" s="163">
        <v>0.79</v>
      </c>
      <c r="J14" s="179" t="s">
        <v>2264</v>
      </c>
    </row>
    <row r="15" spans="2:10" x14ac:dyDescent="0.35">
      <c r="B15" s="121" t="s">
        <v>2144</v>
      </c>
      <c r="C15" s="165">
        <v>0.86</v>
      </c>
      <c r="D15" s="165">
        <v>0.82</v>
      </c>
      <c r="E15" s="165">
        <v>0.79</v>
      </c>
      <c r="F15" s="165">
        <v>0.77</v>
      </c>
      <c r="G15" s="165">
        <v>0.75</v>
      </c>
      <c r="H15" s="165">
        <v>0.73</v>
      </c>
      <c r="I15" s="165">
        <v>0.71</v>
      </c>
      <c r="J15" s="180" t="s">
        <v>2264</v>
      </c>
    </row>
    <row r="17" spans="2:10" ht="18" customHeight="1" x14ac:dyDescent="0.35">
      <c r="B17" s="12" t="s">
        <v>2265</v>
      </c>
      <c r="C17" s="12"/>
      <c r="D17" s="12"/>
      <c r="E17" s="12"/>
      <c r="F17" s="12"/>
      <c r="G17" s="12"/>
      <c r="H17" s="12"/>
      <c r="I17" s="12"/>
      <c r="J17" s="12"/>
    </row>
    <row r="18" spans="2:10" ht="30" customHeight="1" x14ac:dyDescent="0.35">
      <c r="B18" s="22" t="s">
        <v>2266</v>
      </c>
      <c r="C18" s="22" t="s">
        <v>2187</v>
      </c>
      <c r="D18" s="22" t="s">
        <v>2258</v>
      </c>
    </row>
    <row r="19" spans="2:10" ht="27.75" customHeight="1" x14ac:dyDescent="0.35">
      <c r="B19" s="23" t="s">
        <v>2267</v>
      </c>
      <c r="C19" s="6" t="s">
        <v>2268</v>
      </c>
      <c r="D19" s="6"/>
      <c r="E19" s="6"/>
      <c r="F19" s="6" t="s">
        <v>2269</v>
      </c>
      <c r="G19" s="6"/>
      <c r="H19" s="6"/>
      <c r="I19" s="6"/>
      <c r="J19" s="6"/>
    </row>
    <row r="20" spans="2:10" ht="27.75" customHeight="1" x14ac:dyDescent="0.35">
      <c r="B20" s="25" t="s">
        <v>2270</v>
      </c>
      <c r="C20" s="5" t="s">
        <v>2271</v>
      </c>
      <c r="D20" s="5"/>
      <c r="E20" s="5"/>
      <c r="F20" s="5" t="s">
        <v>2272</v>
      </c>
      <c r="G20" s="5"/>
      <c r="H20" s="5"/>
      <c r="I20" s="5"/>
      <c r="J20" s="5"/>
    </row>
    <row r="21" spans="2:10" ht="27.75" customHeight="1" x14ac:dyDescent="0.35">
      <c r="B21" s="23" t="s">
        <v>2273</v>
      </c>
      <c r="C21" s="6" t="s">
        <v>2274</v>
      </c>
      <c r="D21" s="6"/>
      <c r="E21" s="6"/>
      <c r="F21" s="6" t="s">
        <v>2275</v>
      </c>
      <c r="G21" s="6"/>
      <c r="H21" s="6"/>
      <c r="I21" s="6"/>
      <c r="J21" s="6"/>
    </row>
    <row r="22" spans="2:10" ht="27.75" customHeight="1" x14ac:dyDescent="0.35">
      <c r="B22" s="25" t="s">
        <v>2276</v>
      </c>
      <c r="C22" s="5" t="s">
        <v>2277</v>
      </c>
      <c r="D22" s="5"/>
      <c r="E22" s="5"/>
      <c r="F22" s="5" t="s">
        <v>2278</v>
      </c>
      <c r="G22" s="5"/>
      <c r="H22" s="5"/>
      <c r="I22" s="5"/>
      <c r="J22" s="5"/>
    </row>
    <row r="23" spans="2:10" ht="27.75" customHeight="1" x14ac:dyDescent="0.35">
      <c r="B23" s="23" t="s">
        <v>2279</v>
      </c>
      <c r="C23" s="6" t="s">
        <v>2280</v>
      </c>
      <c r="D23" s="6"/>
      <c r="E23" s="6"/>
      <c r="F23" s="6" t="s">
        <v>2281</v>
      </c>
      <c r="G23" s="6"/>
      <c r="H23" s="6"/>
      <c r="I23" s="6"/>
      <c r="J23" s="6"/>
    </row>
    <row r="24" spans="2:10" ht="27.75" customHeight="1" x14ac:dyDescent="0.35">
      <c r="B24" s="25" t="s">
        <v>2282</v>
      </c>
      <c r="C24" s="5" t="s">
        <v>2283</v>
      </c>
      <c r="D24" s="5"/>
      <c r="E24" s="5"/>
      <c r="F24" s="5" t="s">
        <v>2284</v>
      </c>
      <c r="G24" s="5"/>
      <c r="H24" s="5"/>
      <c r="I24" s="5"/>
      <c r="J24" s="5"/>
    </row>
    <row r="25" spans="2:10" ht="27.75" customHeight="1" x14ac:dyDescent="0.35">
      <c r="B25" s="23" t="s">
        <v>2190</v>
      </c>
      <c r="C25" s="6" t="s">
        <v>2285</v>
      </c>
      <c r="D25" s="6"/>
      <c r="E25" s="6"/>
      <c r="F25" s="6" t="s">
        <v>2286</v>
      </c>
      <c r="G25" s="6"/>
      <c r="H25" s="6"/>
      <c r="I25" s="6"/>
      <c r="J25" s="6"/>
    </row>
    <row r="26" spans="2:10" ht="27.75" customHeight="1" x14ac:dyDescent="0.35">
      <c r="B26" s="25" t="s">
        <v>1215</v>
      </c>
      <c r="C26" s="5" t="s">
        <v>2287</v>
      </c>
      <c r="D26" s="5"/>
      <c r="E26" s="5"/>
      <c r="F26" s="5" t="s">
        <v>2288</v>
      </c>
      <c r="G26" s="5"/>
      <c r="H26" s="5"/>
      <c r="I26" s="5"/>
      <c r="J26" s="5"/>
    </row>
    <row r="27" spans="2:10" ht="27.75" customHeight="1" x14ac:dyDescent="0.35">
      <c r="B27" s="23" t="s">
        <v>2289</v>
      </c>
      <c r="C27" s="6" t="s">
        <v>2141</v>
      </c>
      <c r="D27" s="6"/>
      <c r="E27" s="6"/>
      <c r="F27" s="6" t="s">
        <v>2290</v>
      </c>
      <c r="G27" s="6"/>
      <c r="H27" s="6"/>
      <c r="I27" s="6"/>
      <c r="J27" s="6"/>
    </row>
    <row r="28" spans="2:10" ht="27.75" customHeight="1" x14ac:dyDescent="0.35">
      <c r="B28" s="25" t="s">
        <v>2214</v>
      </c>
      <c r="C28" s="5" t="s">
        <v>2291</v>
      </c>
      <c r="D28" s="5"/>
      <c r="E28" s="5"/>
      <c r="F28" s="5" t="s">
        <v>2292</v>
      </c>
      <c r="G28" s="5"/>
      <c r="H28" s="5"/>
      <c r="I28" s="5"/>
      <c r="J28" s="5"/>
    </row>
    <row r="29" spans="2:10" ht="27.75" customHeight="1" x14ac:dyDescent="0.35">
      <c r="B29" s="23" t="s">
        <v>2219</v>
      </c>
      <c r="C29" s="6" t="s">
        <v>2293</v>
      </c>
      <c r="D29" s="6"/>
      <c r="E29" s="6"/>
      <c r="F29" s="6" t="s">
        <v>2294</v>
      </c>
      <c r="G29" s="6"/>
      <c r="H29" s="6"/>
      <c r="I29" s="6"/>
      <c r="J29" s="6"/>
    </row>
    <row r="30" spans="2:10" ht="27.75" customHeight="1" x14ac:dyDescent="0.35">
      <c r="B30" s="25" t="s">
        <v>2295</v>
      </c>
      <c r="C30" s="5" t="s">
        <v>2296</v>
      </c>
      <c r="D30" s="5"/>
      <c r="E30" s="5"/>
      <c r="F30" s="5" t="s">
        <v>2297</v>
      </c>
      <c r="G30" s="5"/>
      <c r="H30" s="5"/>
      <c r="I30" s="5"/>
      <c r="J30" s="5"/>
    </row>
    <row r="31" spans="2:10" ht="27.75" customHeight="1" x14ac:dyDescent="0.35">
      <c r="B31" s="23" t="s">
        <v>2298</v>
      </c>
      <c r="C31" s="6" t="s">
        <v>2299</v>
      </c>
      <c r="D31" s="6"/>
      <c r="E31" s="6"/>
      <c r="F31" s="6" t="s">
        <v>2300</v>
      </c>
      <c r="G31" s="6"/>
      <c r="H31" s="6"/>
      <c r="I31" s="6"/>
      <c r="J31" s="6"/>
    </row>
    <row r="32" spans="2:10" ht="27.75" customHeight="1" x14ac:dyDescent="0.35">
      <c r="B32" s="25" t="s">
        <v>2301</v>
      </c>
      <c r="C32" s="5" t="s">
        <v>2302</v>
      </c>
      <c r="D32" s="5"/>
      <c r="E32" s="5"/>
      <c r="F32" s="5" t="s">
        <v>2303</v>
      </c>
      <c r="G32" s="5"/>
      <c r="H32" s="5"/>
      <c r="I32" s="5"/>
      <c r="J32" s="5"/>
    </row>
    <row r="33" spans="2:10" ht="27.75" customHeight="1" x14ac:dyDescent="0.35">
      <c r="B33" s="23" t="s">
        <v>2304</v>
      </c>
      <c r="C33" s="6" t="s">
        <v>2305</v>
      </c>
      <c r="D33" s="6"/>
      <c r="E33" s="6"/>
      <c r="F33" s="6" t="s">
        <v>2306</v>
      </c>
      <c r="G33" s="6"/>
      <c r="H33" s="6"/>
      <c r="I33" s="6"/>
      <c r="J33" s="6"/>
    </row>
    <row r="35" spans="2:10" ht="18" customHeight="1" x14ac:dyDescent="0.35">
      <c r="B35" s="12" t="s">
        <v>2307</v>
      </c>
      <c r="C35" s="12"/>
      <c r="D35" s="12"/>
      <c r="E35" s="12"/>
      <c r="F35" s="12"/>
      <c r="G35" s="12"/>
      <c r="H35" s="12"/>
      <c r="I35" s="12"/>
      <c r="J35" s="12"/>
    </row>
    <row r="36" spans="2:10" ht="30" customHeight="1" x14ac:dyDescent="0.35">
      <c r="B36" s="10" t="s">
        <v>2308</v>
      </c>
      <c r="C36" s="10"/>
      <c r="D36" s="10"/>
      <c r="E36" s="10"/>
      <c r="F36" s="10"/>
      <c r="G36" s="10"/>
      <c r="H36" s="10"/>
      <c r="I36" s="10"/>
      <c r="J36" s="10"/>
    </row>
    <row r="37" spans="2:10" ht="30" customHeight="1" x14ac:dyDescent="0.35">
      <c r="B37" s="10" t="s">
        <v>2309</v>
      </c>
      <c r="C37" s="10"/>
      <c r="D37" s="10"/>
      <c r="E37" s="10"/>
      <c r="F37" s="10"/>
      <c r="G37" s="10"/>
      <c r="H37" s="10"/>
      <c r="I37" s="10"/>
      <c r="J37" s="10"/>
    </row>
    <row r="38" spans="2:10" ht="30" customHeight="1" x14ac:dyDescent="0.35">
      <c r="B38" s="10" t="s">
        <v>2310</v>
      </c>
      <c r="C38" s="10"/>
      <c r="D38" s="10"/>
      <c r="E38" s="10"/>
      <c r="F38" s="10"/>
      <c r="G38" s="10"/>
      <c r="H38" s="10"/>
      <c r="I38" s="10"/>
      <c r="J38" s="10"/>
    </row>
    <row r="39" spans="2:10" ht="30" customHeight="1" x14ac:dyDescent="0.35">
      <c r="B39" s="10" t="s">
        <v>2311</v>
      </c>
      <c r="C39" s="10"/>
      <c r="D39" s="10"/>
      <c r="E39" s="10"/>
      <c r="F39" s="10"/>
      <c r="G39" s="10"/>
      <c r="H39" s="10"/>
      <c r="I39" s="10"/>
      <c r="J39" s="10"/>
    </row>
    <row r="40" spans="2:10" ht="30" customHeight="1" x14ac:dyDescent="0.35">
      <c r="B40" s="10" t="s">
        <v>2312</v>
      </c>
      <c r="C40" s="10"/>
      <c r="D40" s="10"/>
      <c r="E40" s="10"/>
      <c r="F40" s="10"/>
      <c r="G40" s="10"/>
      <c r="H40" s="10"/>
      <c r="I40" s="10"/>
      <c r="J40" s="10"/>
    </row>
    <row r="41" spans="2:10" ht="30" customHeight="1" x14ac:dyDescent="0.35">
      <c r="B41" s="10" t="s">
        <v>2313</v>
      </c>
      <c r="C41" s="10"/>
      <c r="D41" s="10"/>
      <c r="E41" s="10"/>
      <c r="F41" s="10"/>
      <c r="G41" s="10"/>
      <c r="H41" s="10"/>
      <c r="I41" s="10"/>
      <c r="J41" s="10"/>
    </row>
    <row r="42" spans="2:10" ht="30" customHeight="1" x14ac:dyDescent="0.35">
      <c r="B42" s="10" t="s">
        <v>2314</v>
      </c>
      <c r="C42" s="10"/>
      <c r="D42" s="10"/>
      <c r="E42" s="10"/>
      <c r="F42" s="10"/>
      <c r="G42" s="10"/>
      <c r="H42" s="10"/>
      <c r="I42" s="10"/>
      <c r="J42" s="10"/>
    </row>
    <row r="43" spans="2:10" ht="30" customHeight="1" x14ac:dyDescent="0.35">
      <c r="B43" s="10" t="s">
        <v>2315</v>
      </c>
      <c r="C43" s="10"/>
      <c r="D43" s="10"/>
      <c r="E43" s="10"/>
      <c r="F43" s="10"/>
      <c r="G43" s="10"/>
      <c r="H43" s="10"/>
      <c r="I43" s="10"/>
      <c r="J43" s="10"/>
    </row>
    <row r="45" spans="2:10" ht="18" customHeight="1" x14ac:dyDescent="0.35">
      <c r="B45" s="12" t="s">
        <v>2316</v>
      </c>
      <c r="C45" s="12"/>
      <c r="D45" s="12"/>
      <c r="E45" s="12"/>
      <c r="F45" s="12"/>
      <c r="G45" s="12"/>
      <c r="H45" s="12"/>
      <c r="I45" s="12"/>
      <c r="J45" s="12"/>
    </row>
    <row r="46" spans="2:10" x14ac:dyDescent="0.35">
      <c r="B46" s="237" t="s">
        <v>2317</v>
      </c>
      <c r="C46" s="237"/>
      <c r="D46" s="237"/>
      <c r="E46" s="237"/>
      <c r="F46" s="237"/>
      <c r="G46" s="237"/>
      <c r="H46" s="237"/>
      <c r="I46" s="237"/>
      <c r="J46" s="237"/>
    </row>
    <row r="47" spans="2:10" ht="15.75" customHeight="1" x14ac:dyDescent="0.35">
      <c r="B47" s="22" t="s">
        <v>2318</v>
      </c>
      <c r="C47" s="22" t="s">
        <v>357</v>
      </c>
      <c r="D47" s="22" t="s">
        <v>2258</v>
      </c>
    </row>
    <row r="48" spans="2:10" ht="15" customHeight="1" x14ac:dyDescent="0.35">
      <c r="B48" s="27" t="s">
        <v>223</v>
      </c>
      <c r="C48" s="163">
        <v>1</v>
      </c>
      <c r="D48" s="238" t="s">
        <v>2319</v>
      </c>
      <c r="E48" s="238"/>
      <c r="F48" s="238"/>
      <c r="G48" s="238"/>
      <c r="H48" s="238"/>
      <c r="I48" s="238"/>
      <c r="J48" s="238"/>
    </row>
    <row r="49" spans="2:10" ht="15" customHeight="1" x14ac:dyDescent="0.35">
      <c r="B49" s="116" t="s">
        <v>2320</v>
      </c>
      <c r="C49" s="165">
        <v>1.0249999999999999</v>
      </c>
      <c r="D49" s="239" t="s">
        <v>2321</v>
      </c>
      <c r="E49" s="239"/>
      <c r="F49" s="239"/>
      <c r="G49" s="239"/>
      <c r="H49" s="239"/>
      <c r="I49" s="239"/>
      <c r="J49" s="239"/>
    </row>
    <row r="50" spans="2:10" ht="15" customHeight="1" x14ac:dyDescent="0.35">
      <c r="B50" s="27" t="s">
        <v>2322</v>
      </c>
      <c r="C50" s="163">
        <v>1.07</v>
      </c>
      <c r="D50" s="238" t="s">
        <v>2323</v>
      </c>
      <c r="E50" s="238"/>
      <c r="F50" s="238"/>
      <c r="G50" s="238"/>
      <c r="H50" s="238"/>
      <c r="I50" s="238"/>
      <c r="J50" s="238"/>
    </row>
    <row r="51" spans="2:10" ht="15" customHeight="1" x14ac:dyDescent="0.35">
      <c r="B51" s="116" t="s">
        <v>553</v>
      </c>
      <c r="C51" s="165">
        <v>0.97499999999999998</v>
      </c>
      <c r="D51" s="239" t="s">
        <v>2324</v>
      </c>
      <c r="E51" s="239"/>
      <c r="F51" s="239"/>
      <c r="G51" s="239"/>
      <c r="H51" s="239"/>
      <c r="I51" s="239"/>
      <c r="J51" s="239"/>
    </row>
    <row r="53" spans="2:10" x14ac:dyDescent="0.35">
      <c r="B53" s="237" t="s">
        <v>225</v>
      </c>
      <c r="C53" s="237"/>
      <c r="D53" s="237"/>
      <c r="E53" s="237"/>
      <c r="F53" s="237"/>
      <c r="G53" s="237"/>
      <c r="H53" s="237"/>
      <c r="I53" s="237"/>
      <c r="J53" s="237"/>
    </row>
    <row r="54" spans="2:10" ht="15.75" customHeight="1" x14ac:dyDescent="0.35">
      <c r="B54" s="22" t="s">
        <v>2318</v>
      </c>
      <c r="C54" s="22" t="s">
        <v>357</v>
      </c>
      <c r="D54" s="22" t="s">
        <v>2258</v>
      </c>
    </row>
    <row r="55" spans="2:10" ht="15" customHeight="1" x14ac:dyDescent="0.35">
      <c r="B55" s="27" t="s">
        <v>226</v>
      </c>
      <c r="C55" s="163">
        <v>1</v>
      </c>
      <c r="D55" s="238" t="s">
        <v>2319</v>
      </c>
      <c r="E55" s="238"/>
      <c r="F55" s="238"/>
      <c r="G55" s="238"/>
      <c r="H55" s="238"/>
      <c r="I55" s="238"/>
      <c r="J55" s="238"/>
    </row>
    <row r="56" spans="2:10" ht="15" customHeight="1" x14ac:dyDescent="0.35">
      <c r="B56" s="116" t="s">
        <v>578</v>
      </c>
      <c r="C56" s="165">
        <v>1.0149999999999999</v>
      </c>
      <c r="D56" s="239" t="s">
        <v>2325</v>
      </c>
      <c r="E56" s="239"/>
      <c r="F56" s="239"/>
      <c r="G56" s="239"/>
      <c r="H56" s="239"/>
      <c r="I56" s="239"/>
      <c r="J56" s="239"/>
    </row>
    <row r="57" spans="2:10" x14ac:dyDescent="0.35">
      <c r="B57" s="27" t="s">
        <v>228</v>
      </c>
      <c r="C57" s="163">
        <v>0.99199999999999999</v>
      </c>
      <c r="D57" s="238"/>
      <c r="E57" s="238"/>
      <c r="F57" s="238"/>
      <c r="G57" s="238"/>
      <c r="H57" s="238"/>
      <c r="I57" s="238"/>
      <c r="J57" s="238"/>
    </row>
    <row r="59" spans="2:10" x14ac:dyDescent="0.35">
      <c r="B59" s="237" t="s">
        <v>227</v>
      </c>
      <c r="C59" s="237"/>
      <c r="D59" s="237"/>
      <c r="E59" s="237"/>
      <c r="F59" s="237"/>
      <c r="G59" s="237"/>
      <c r="H59" s="237"/>
      <c r="I59" s="237"/>
      <c r="J59" s="237"/>
    </row>
    <row r="60" spans="2:10" ht="15.75" customHeight="1" x14ac:dyDescent="0.35">
      <c r="B60" s="22" t="s">
        <v>2318</v>
      </c>
      <c r="C60" s="22" t="s">
        <v>357</v>
      </c>
      <c r="D60" s="22" t="s">
        <v>2258</v>
      </c>
    </row>
    <row r="61" spans="2:10" ht="15" customHeight="1" x14ac:dyDescent="0.35">
      <c r="B61" s="27" t="s">
        <v>228</v>
      </c>
      <c r="C61" s="163">
        <v>1</v>
      </c>
      <c r="D61" s="238" t="s">
        <v>2319</v>
      </c>
      <c r="E61" s="238"/>
      <c r="F61" s="238"/>
      <c r="G61" s="238"/>
      <c r="H61" s="238"/>
      <c r="I61" s="238"/>
      <c r="J61" s="238"/>
    </row>
    <row r="62" spans="2:10" ht="15" customHeight="1" x14ac:dyDescent="0.35">
      <c r="B62" s="116" t="s">
        <v>554</v>
      </c>
      <c r="C62" s="165">
        <v>0.97499999999999998</v>
      </c>
      <c r="D62" s="239" t="s">
        <v>2326</v>
      </c>
      <c r="E62" s="239"/>
      <c r="F62" s="239"/>
      <c r="G62" s="239"/>
      <c r="H62" s="239"/>
      <c r="I62" s="239"/>
      <c r="J62" s="239"/>
    </row>
    <row r="63" spans="2:10" ht="15" customHeight="1" x14ac:dyDescent="0.35">
      <c r="B63" s="27" t="s">
        <v>2327</v>
      </c>
      <c r="C63" s="163">
        <v>1.02</v>
      </c>
      <c r="D63" s="238" t="s">
        <v>2328</v>
      </c>
      <c r="E63" s="238"/>
      <c r="F63" s="238"/>
      <c r="G63" s="238"/>
      <c r="H63" s="238"/>
      <c r="I63" s="238"/>
      <c r="J63" s="238"/>
    </row>
    <row r="65" spans="2:10" x14ac:dyDescent="0.35">
      <c r="B65" s="237" t="s">
        <v>229</v>
      </c>
      <c r="C65" s="237"/>
      <c r="D65" s="237"/>
      <c r="E65" s="237"/>
      <c r="F65" s="237"/>
      <c r="G65" s="237"/>
      <c r="H65" s="237"/>
      <c r="I65" s="237"/>
      <c r="J65" s="237"/>
    </row>
    <row r="66" spans="2:10" ht="15.75" customHeight="1" x14ac:dyDescent="0.35">
      <c r="B66" s="22" t="s">
        <v>2318</v>
      </c>
      <c r="C66" s="22" t="s">
        <v>357</v>
      </c>
      <c r="D66" s="22" t="s">
        <v>2258</v>
      </c>
    </row>
    <row r="67" spans="2:10" ht="15" customHeight="1" x14ac:dyDescent="0.35">
      <c r="B67" s="27" t="s">
        <v>230</v>
      </c>
      <c r="C67" s="163">
        <v>1</v>
      </c>
      <c r="D67" s="238" t="s">
        <v>2319</v>
      </c>
      <c r="E67" s="238"/>
      <c r="F67" s="238"/>
      <c r="G67" s="238"/>
      <c r="H67" s="238"/>
      <c r="I67" s="238"/>
      <c r="J67" s="238"/>
    </row>
    <row r="68" spans="2:10" ht="15" customHeight="1" x14ac:dyDescent="0.35">
      <c r="B68" s="116" t="s">
        <v>708</v>
      </c>
      <c r="C68" s="165">
        <v>0.95499999999999996</v>
      </c>
      <c r="D68" s="239" t="s">
        <v>2329</v>
      </c>
      <c r="E68" s="239"/>
      <c r="F68" s="239"/>
      <c r="G68" s="239"/>
      <c r="H68" s="239"/>
      <c r="I68" s="239"/>
      <c r="J68" s="239"/>
    </row>
    <row r="69" spans="2:10" ht="15" customHeight="1" x14ac:dyDescent="0.35">
      <c r="B69" s="27" t="s">
        <v>709</v>
      </c>
      <c r="C69" s="163">
        <v>0.92</v>
      </c>
      <c r="D69" s="238" t="s">
        <v>2329</v>
      </c>
      <c r="E69" s="238"/>
      <c r="F69" s="238"/>
      <c r="G69" s="238"/>
      <c r="H69" s="238"/>
      <c r="I69" s="238"/>
      <c r="J69" s="238"/>
    </row>
    <row r="71" spans="2:10" x14ac:dyDescent="0.35">
      <c r="B71" s="237" t="s">
        <v>231</v>
      </c>
      <c r="C71" s="237"/>
      <c r="D71" s="237"/>
      <c r="E71" s="237"/>
      <c r="F71" s="237"/>
      <c r="G71" s="237"/>
      <c r="H71" s="237"/>
      <c r="I71" s="237"/>
      <c r="J71" s="237"/>
    </row>
    <row r="72" spans="2:10" ht="15.75" customHeight="1" x14ac:dyDescent="0.35">
      <c r="B72" s="22" t="s">
        <v>2318</v>
      </c>
      <c r="C72" s="22" t="s">
        <v>357</v>
      </c>
      <c r="D72" s="22" t="s">
        <v>2258</v>
      </c>
    </row>
    <row r="73" spans="2:10" ht="15" customHeight="1" x14ac:dyDescent="0.35">
      <c r="B73" s="27" t="s">
        <v>232</v>
      </c>
      <c r="C73" s="163">
        <v>1</v>
      </c>
      <c r="D73" s="238" t="s">
        <v>2330</v>
      </c>
      <c r="E73" s="238"/>
      <c r="F73" s="238"/>
      <c r="G73" s="238"/>
      <c r="H73" s="238"/>
      <c r="I73" s="238"/>
      <c r="J73" s="238"/>
    </row>
    <row r="74" spans="2:10" ht="15" customHeight="1" x14ac:dyDescent="0.35">
      <c r="B74" s="116" t="s">
        <v>710</v>
      </c>
      <c r="C74" s="165">
        <v>1.02</v>
      </c>
      <c r="D74" s="239" t="s">
        <v>2331</v>
      </c>
      <c r="E74" s="239"/>
      <c r="F74" s="239"/>
      <c r="G74" s="239"/>
      <c r="H74" s="239"/>
      <c r="I74" s="239"/>
      <c r="J74" s="239"/>
    </row>
    <row r="76" spans="2:10" x14ac:dyDescent="0.35">
      <c r="B76" s="15" t="s">
        <v>713</v>
      </c>
    </row>
    <row r="77" spans="2:10" ht="15" customHeight="1" x14ac:dyDescent="0.35">
      <c r="B77" s="7" t="s">
        <v>2332</v>
      </c>
      <c r="C77" s="7"/>
      <c r="D77" s="7"/>
      <c r="E77" s="7"/>
      <c r="F77" s="7"/>
      <c r="G77" s="7"/>
      <c r="H77" s="7"/>
      <c r="I77" s="7"/>
      <c r="J77" s="7"/>
    </row>
    <row r="78" spans="2:10" x14ac:dyDescent="0.35">
      <c r="B78" s="7"/>
      <c r="C78" s="7"/>
      <c r="D78" s="7"/>
      <c r="E78" s="7"/>
      <c r="F78" s="7"/>
      <c r="G78" s="7"/>
      <c r="H78" s="7"/>
      <c r="I78" s="7"/>
      <c r="J78" s="7"/>
    </row>
    <row r="79" spans="2:10" x14ac:dyDescent="0.35">
      <c r="B79" s="7"/>
      <c r="C79" s="7"/>
      <c r="D79" s="7"/>
      <c r="E79" s="7"/>
      <c r="F79" s="7"/>
      <c r="G79" s="7"/>
      <c r="H79" s="7"/>
      <c r="I79" s="7"/>
      <c r="J79" s="7"/>
    </row>
    <row r="80" spans="2:10" x14ac:dyDescent="0.35">
      <c r="B80" s="7"/>
      <c r="C80" s="7"/>
      <c r="D80" s="7"/>
      <c r="E80" s="7"/>
      <c r="F80" s="7"/>
      <c r="G80" s="7"/>
      <c r="H80" s="7"/>
      <c r="I80" s="7"/>
      <c r="J80" s="7"/>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topLeftCell="A69" zoomScaleNormal="100" workbookViewId="0"/>
  </sheetViews>
  <sheetFormatPr defaultColWidth="8.6328125" defaultRowHeight="14.5" x14ac:dyDescent="0.3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35">
      <c r="B1" s="14" t="s">
        <v>2333</v>
      </c>
      <c r="C1" s="14"/>
      <c r="D1" s="14"/>
      <c r="E1" s="14"/>
      <c r="F1" s="14"/>
    </row>
    <row r="2" spans="2:6" ht="15" customHeight="1" x14ac:dyDescent="0.35">
      <c r="B2" s="13" t="s">
        <v>2334</v>
      </c>
      <c r="C2" s="13"/>
      <c r="D2" s="13"/>
      <c r="E2" s="13"/>
      <c r="F2" s="13"/>
    </row>
    <row r="4" spans="2:6" ht="18" customHeight="1" x14ac:dyDescent="0.35">
      <c r="B4" s="12" t="s">
        <v>2335</v>
      </c>
      <c r="C4" s="12"/>
      <c r="D4" s="12"/>
      <c r="E4" s="12"/>
      <c r="F4" s="12"/>
    </row>
    <row r="5" spans="2:6" ht="30" customHeight="1" x14ac:dyDescent="0.35">
      <c r="B5" s="22" t="s">
        <v>178</v>
      </c>
      <c r="C5" s="22" t="s">
        <v>181</v>
      </c>
      <c r="D5" s="22" t="s">
        <v>357</v>
      </c>
      <c r="E5" s="22" t="s">
        <v>2175</v>
      </c>
    </row>
    <row r="6" spans="2:6" x14ac:dyDescent="0.35">
      <c r="B6" s="27" t="s">
        <v>179</v>
      </c>
      <c r="C6" s="20" t="s">
        <v>510</v>
      </c>
      <c r="D6" s="163">
        <v>0.85</v>
      </c>
      <c r="E6" s="27" t="s">
        <v>2336</v>
      </c>
    </row>
    <row r="7" spans="2:6" x14ac:dyDescent="0.35">
      <c r="B7" s="116" t="s">
        <v>179</v>
      </c>
      <c r="C7" s="121" t="s">
        <v>182</v>
      </c>
      <c r="D7" s="165">
        <v>1</v>
      </c>
      <c r="E7" s="116" t="s">
        <v>903</v>
      </c>
    </row>
    <row r="8" spans="2:6" x14ac:dyDescent="0.35">
      <c r="B8" s="27" t="s">
        <v>179</v>
      </c>
      <c r="C8" s="20" t="s">
        <v>699</v>
      </c>
      <c r="D8" s="163">
        <v>0.65</v>
      </c>
      <c r="E8" s="27" t="s">
        <v>2337</v>
      </c>
    </row>
    <row r="9" spans="2:6" x14ac:dyDescent="0.35">
      <c r="B9" s="116" t="s">
        <v>179</v>
      </c>
      <c r="C9" s="121" t="s">
        <v>530</v>
      </c>
      <c r="D9" s="165">
        <v>1.05</v>
      </c>
      <c r="E9" s="116" t="s">
        <v>2338</v>
      </c>
    </row>
    <row r="10" spans="2:6" x14ac:dyDescent="0.35">
      <c r="B10" s="27" t="s">
        <v>179</v>
      </c>
      <c r="C10" s="20" t="s">
        <v>2339</v>
      </c>
      <c r="D10" s="163">
        <v>1.2</v>
      </c>
      <c r="E10" s="27" t="s">
        <v>2340</v>
      </c>
    </row>
    <row r="11" spans="2:6" x14ac:dyDescent="0.35">
      <c r="B11" s="116" t="s">
        <v>179</v>
      </c>
      <c r="C11" s="121" t="s">
        <v>2341</v>
      </c>
      <c r="D11" s="165">
        <v>2.1</v>
      </c>
      <c r="E11" s="116" t="s">
        <v>2342</v>
      </c>
    </row>
    <row r="12" spans="2:6" x14ac:dyDescent="0.35">
      <c r="B12" s="27" t="s">
        <v>541</v>
      </c>
      <c r="C12" s="20" t="s">
        <v>700</v>
      </c>
      <c r="D12" s="163">
        <v>1.45</v>
      </c>
      <c r="E12" s="27" t="s">
        <v>2343</v>
      </c>
    </row>
    <row r="13" spans="2:6" x14ac:dyDescent="0.35">
      <c r="B13" s="116" t="s">
        <v>541</v>
      </c>
      <c r="C13" s="121" t="s">
        <v>542</v>
      </c>
      <c r="D13" s="165">
        <v>2.9</v>
      </c>
      <c r="E13" s="116" t="s">
        <v>2344</v>
      </c>
    </row>
    <row r="14" spans="2:6" x14ac:dyDescent="0.35">
      <c r="B14" s="27" t="s">
        <v>541</v>
      </c>
      <c r="C14" s="20" t="s">
        <v>2345</v>
      </c>
      <c r="D14" s="163">
        <v>2.2999999999999998</v>
      </c>
      <c r="E14" s="27" t="s">
        <v>2346</v>
      </c>
    </row>
    <row r="15" spans="2:6" x14ac:dyDescent="0.35">
      <c r="B15" s="116" t="s">
        <v>541</v>
      </c>
      <c r="C15" s="121" t="s">
        <v>2347</v>
      </c>
      <c r="D15" s="165">
        <v>1.55</v>
      </c>
      <c r="E15" s="116" t="s">
        <v>2348</v>
      </c>
    </row>
    <row r="16" spans="2:6" x14ac:dyDescent="0.35">
      <c r="B16" s="27" t="s">
        <v>541</v>
      </c>
      <c r="C16" s="20" t="s">
        <v>2349</v>
      </c>
      <c r="D16" s="163">
        <v>0.75</v>
      </c>
      <c r="E16" s="27" t="s">
        <v>2350</v>
      </c>
    </row>
    <row r="17" spans="2:6" x14ac:dyDescent="0.35">
      <c r="B17" s="116" t="s">
        <v>541</v>
      </c>
      <c r="C17" s="121" t="s">
        <v>2351</v>
      </c>
      <c r="D17" s="165">
        <v>1.1499999999999999</v>
      </c>
      <c r="E17" s="116" t="s">
        <v>2352</v>
      </c>
    </row>
    <row r="18" spans="2:6" x14ac:dyDescent="0.35">
      <c r="B18" s="27" t="s">
        <v>541</v>
      </c>
      <c r="C18" s="20" t="s">
        <v>2353</v>
      </c>
      <c r="D18" s="163">
        <v>1.3</v>
      </c>
      <c r="E18" s="27" t="s">
        <v>2354</v>
      </c>
    </row>
    <row r="19" spans="2:6" x14ac:dyDescent="0.35">
      <c r="B19" s="116" t="s">
        <v>541</v>
      </c>
      <c r="C19" s="121" t="s">
        <v>2355</v>
      </c>
      <c r="D19" s="165">
        <v>1.6</v>
      </c>
      <c r="E19" s="116" t="s">
        <v>2356</v>
      </c>
    </row>
    <row r="20" spans="2:6" x14ac:dyDescent="0.35">
      <c r="B20" s="27" t="s">
        <v>541</v>
      </c>
      <c r="C20" s="20" t="s">
        <v>2357</v>
      </c>
      <c r="D20" s="163">
        <v>3.4</v>
      </c>
      <c r="E20" s="27" t="s">
        <v>2358</v>
      </c>
    </row>
    <row r="22" spans="2:6" ht="18" customHeight="1" x14ac:dyDescent="0.35">
      <c r="B22" s="12" t="s">
        <v>2359</v>
      </c>
      <c r="C22" s="12"/>
      <c r="D22" s="12"/>
      <c r="E22" s="12"/>
      <c r="F22" s="12"/>
    </row>
    <row r="23" spans="2:6" ht="30" customHeight="1" x14ac:dyDescent="0.35">
      <c r="B23" s="22" t="s">
        <v>184</v>
      </c>
      <c r="C23" s="22" t="s">
        <v>357</v>
      </c>
      <c r="D23" s="22"/>
    </row>
    <row r="24" spans="2:6" x14ac:dyDescent="0.35">
      <c r="B24" s="20" t="s">
        <v>511</v>
      </c>
      <c r="C24" s="163">
        <v>0.75</v>
      </c>
      <c r="D24" s="240"/>
      <c r="E24" s="240"/>
      <c r="F24" s="240"/>
    </row>
    <row r="25" spans="2:6" x14ac:dyDescent="0.35">
      <c r="B25" s="121" t="s">
        <v>531</v>
      </c>
      <c r="C25" s="165">
        <v>0.85</v>
      </c>
      <c r="D25" s="241"/>
      <c r="E25" s="241"/>
      <c r="F25" s="241"/>
    </row>
    <row r="26" spans="2:6" x14ac:dyDescent="0.35">
      <c r="B26" s="20" t="s">
        <v>185</v>
      </c>
      <c r="C26" s="163">
        <v>1</v>
      </c>
      <c r="D26" s="240"/>
      <c r="E26" s="240"/>
      <c r="F26" s="240"/>
    </row>
    <row r="27" spans="2:6" x14ac:dyDescent="0.35">
      <c r="B27" s="121" t="s">
        <v>2360</v>
      </c>
      <c r="C27" s="165">
        <v>1.1499999999999999</v>
      </c>
      <c r="D27" s="241"/>
      <c r="E27" s="241"/>
      <c r="F27" s="241"/>
    </row>
    <row r="28" spans="2:6" x14ac:dyDescent="0.35">
      <c r="B28" s="20" t="s">
        <v>2361</v>
      </c>
      <c r="C28" s="163">
        <v>1.3</v>
      </c>
      <c r="D28" s="240"/>
      <c r="E28" s="240"/>
      <c r="F28" s="240"/>
    </row>
    <row r="29" spans="2:6" x14ac:dyDescent="0.35">
      <c r="B29" s="121" t="s">
        <v>2362</v>
      </c>
      <c r="C29" s="165">
        <v>1.55</v>
      </c>
      <c r="D29" s="241"/>
      <c r="E29" s="241"/>
      <c r="F29" s="241"/>
    </row>
    <row r="30" spans="2:6" x14ac:dyDescent="0.35">
      <c r="B30" s="20" t="s">
        <v>543</v>
      </c>
      <c r="C30" s="163">
        <v>1.85</v>
      </c>
      <c r="D30" s="240"/>
      <c r="E30" s="240"/>
      <c r="F30" s="240"/>
    </row>
    <row r="32" spans="2:6" ht="18" customHeight="1" x14ac:dyDescent="0.35">
      <c r="B32" s="12" t="s">
        <v>2363</v>
      </c>
      <c r="C32" s="12"/>
      <c r="D32" s="12"/>
      <c r="E32" s="12"/>
      <c r="F32" s="12"/>
    </row>
    <row r="33" spans="2:6" ht="30" customHeight="1" x14ac:dyDescent="0.35">
      <c r="B33" s="22" t="s">
        <v>2364</v>
      </c>
      <c r="C33" s="22" t="s">
        <v>357</v>
      </c>
      <c r="D33" s="22" t="s">
        <v>2175</v>
      </c>
    </row>
    <row r="34" spans="2:6" x14ac:dyDescent="0.35">
      <c r="B34" s="20" t="s">
        <v>512</v>
      </c>
      <c r="C34" s="163">
        <v>0.85</v>
      </c>
      <c r="D34" s="27" t="s">
        <v>2365</v>
      </c>
    </row>
    <row r="35" spans="2:6" x14ac:dyDescent="0.35">
      <c r="B35" s="121" t="s">
        <v>188</v>
      </c>
      <c r="C35" s="165">
        <v>0.9</v>
      </c>
      <c r="D35" s="116" t="s">
        <v>904</v>
      </c>
    </row>
    <row r="36" spans="2:6" x14ac:dyDescent="0.35">
      <c r="B36" s="20" t="s">
        <v>2366</v>
      </c>
      <c r="C36" s="163">
        <v>1</v>
      </c>
      <c r="D36" s="27" t="s">
        <v>903</v>
      </c>
    </row>
    <row r="37" spans="2:6" x14ac:dyDescent="0.35">
      <c r="B37" s="121" t="s">
        <v>544</v>
      </c>
      <c r="C37" s="165">
        <v>1.05</v>
      </c>
      <c r="D37" s="116" t="s">
        <v>2367</v>
      </c>
    </row>
    <row r="38" spans="2:6" x14ac:dyDescent="0.35">
      <c r="B38" s="20" t="s">
        <v>2368</v>
      </c>
      <c r="C38" s="163">
        <v>1.1499999999999999</v>
      </c>
      <c r="D38" s="27" t="s">
        <v>892</v>
      </c>
    </row>
    <row r="39" spans="2:6" x14ac:dyDescent="0.35">
      <c r="B39" s="121" t="s">
        <v>2369</v>
      </c>
      <c r="C39" s="165">
        <v>1.3</v>
      </c>
      <c r="D39" s="116" t="s">
        <v>891</v>
      </c>
    </row>
    <row r="40" spans="2:6" x14ac:dyDescent="0.35">
      <c r="B40" s="20" t="s">
        <v>2370</v>
      </c>
      <c r="C40" s="163">
        <v>1.6</v>
      </c>
      <c r="D40" s="27" t="s">
        <v>2371</v>
      </c>
    </row>
    <row r="42" spans="2:6" ht="18" customHeight="1" x14ac:dyDescent="0.35">
      <c r="B42" s="12" t="s">
        <v>2372</v>
      </c>
      <c r="C42" s="12"/>
      <c r="D42" s="12"/>
      <c r="E42" s="12"/>
      <c r="F42" s="12"/>
    </row>
    <row r="43" spans="2:6" ht="30" customHeight="1" x14ac:dyDescent="0.35">
      <c r="B43" s="22" t="s">
        <v>190</v>
      </c>
      <c r="C43" s="22" t="s">
        <v>357</v>
      </c>
      <c r="D43" s="22" t="s">
        <v>2175</v>
      </c>
    </row>
    <row r="44" spans="2:6" x14ac:dyDescent="0.35">
      <c r="B44" s="20" t="s">
        <v>513</v>
      </c>
      <c r="C44" s="163">
        <v>0.85</v>
      </c>
      <c r="D44" s="27" t="s">
        <v>2373</v>
      </c>
    </row>
    <row r="45" spans="2:6" x14ac:dyDescent="0.35">
      <c r="B45" s="121" t="s">
        <v>191</v>
      </c>
      <c r="C45" s="165">
        <v>0.9</v>
      </c>
      <c r="D45" s="116" t="s">
        <v>904</v>
      </c>
    </row>
    <row r="46" spans="2:6" x14ac:dyDescent="0.35">
      <c r="B46" s="20" t="s">
        <v>702</v>
      </c>
      <c r="C46" s="163">
        <v>0.95</v>
      </c>
      <c r="D46" s="27" t="s">
        <v>892</v>
      </c>
    </row>
    <row r="47" spans="2:6" x14ac:dyDescent="0.35">
      <c r="B47" s="121" t="s">
        <v>2374</v>
      </c>
      <c r="C47" s="165">
        <v>1</v>
      </c>
      <c r="D47" s="116" t="s">
        <v>903</v>
      </c>
    </row>
    <row r="48" spans="2:6" x14ac:dyDescent="0.35">
      <c r="B48" s="20" t="s">
        <v>2375</v>
      </c>
      <c r="C48" s="163">
        <v>1.05</v>
      </c>
      <c r="D48" s="27" t="s">
        <v>892</v>
      </c>
    </row>
    <row r="49" spans="2:6" x14ac:dyDescent="0.35">
      <c r="B49" s="121" t="s">
        <v>701</v>
      </c>
      <c r="C49" s="165">
        <v>1.1499999999999999</v>
      </c>
      <c r="D49" s="116" t="s">
        <v>2376</v>
      </c>
    </row>
    <row r="51" spans="2:6" ht="18" customHeight="1" x14ac:dyDescent="0.35">
      <c r="B51" s="12" t="s">
        <v>2377</v>
      </c>
      <c r="C51" s="12"/>
      <c r="D51" s="12"/>
      <c r="E51" s="12"/>
      <c r="F51" s="12"/>
    </row>
    <row r="52" spans="2:6" ht="30" customHeight="1" x14ac:dyDescent="0.35">
      <c r="B52" s="22" t="s">
        <v>2257</v>
      </c>
      <c r="C52" s="22" t="s">
        <v>2378</v>
      </c>
      <c r="D52" s="22"/>
    </row>
    <row r="53" spans="2:6" x14ac:dyDescent="0.35">
      <c r="B53" s="20" t="s">
        <v>2259</v>
      </c>
      <c r="C53" s="163">
        <v>1.1000000000000001</v>
      </c>
      <c r="D53" s="240"/>
      <c r="E53" s="240"/>
      <c r="F53" s="240"/>
    </row>
    <row r="54" spans="2:6" x14ac:dyDescent="0.35">
      <c r="B54" s="121" t="s">
        <v>2261</v>
      </c>
      <c r="C54" s="165">
        <v>1</v>
      </c>
      <c r="D54" s="241"/>
      <c r="E54" s="241"/>
      <c r="F54" s="241"/>
    </row>
    <row r="55" spans="2:6" x14ac:dyDescent="0.35">
      <c r="B55" s="20" t="s">
        <v>209</v>
      </c>
      <c r="C55" s="163">
        <v>0.94</v>
      </c>
      <c r="D55" s="240"/>
      <c r="E55" s="240"/>
      <c r="F55" s="240"/>
    </row>
    <row r="56" spans="2:6" x14ac:dyDescent="0.35">
      <c r="B56" s="121" t="s">
        <v>240</v>
      </c>
      <c r="C56" s="165">
        <v>0.87</v>
      </c>
      <c r="D56" s="241"/>
      <c r="E56" s="241"/>
      <c r="F56" s="241"/>
    </row>
    <row r="57" spans="2:6" x14ac:dyDescent="0.35">
      <c r="B57" s="20" t="s">
        <v>237</v>
      </c>
      <c r="C57" s="163">
        <v>0.78</v>
      </c>
      <c r="D57" s="240"/>
      <c r="E57" s="240"/>
      <c r="F57" s="240"/>
    </row>
    <row r="58" spans="2:6" x14ac:dyDescent="0.35">
      <c r="B58" s="121" t="s">
        <v>2263</v>
      </c>
      <c r="C58" s="165">
        <v>0.7</v>
      </c>
      <c r="D58" s="241"/>
      <c r="E58" s="241"/>
      <c r="F58" s="241"/>
    </row>
    <row r="59" spans="2:6" x14ac:dyDescent="0.35">
      <c r="B59" s="20" t="s">
        <v>246</v>
      </c>
      <c r="C59" s="163">
        <v>0.62</v>
      </c>
      <c r="D59" s="240"/>
      <c r="E59" s="240"/>
      <c r="F59" s="240"/>
    </row>
    <row r="61" spans="2:6" ht="18" customHeight="1" x14ac:dyDescent="0.35">
      <c r="B61" s="12" t="s">
        <v>2379</v>
      </c>
      <c r="C61" s="12"/>
      <c r="D61" s="12"/>
      <c r="E61" s="12"/>
      <c r="F61" s="12"/>
    </row>
    <row r="62" spans="2:6" ht="30" customHeight="1" x14ac:dyDescent="0.35">
      <c r="B62" s="22" t="s">
        <v>211</v>
      </c>
      <c r="C62" s="22" t="s">
        <v>357</v>
      </c>
      <c r="D62" s="22" t="s">
        <v>2175</v>
      </c>
    </row>
    <row r="63" spans="2:6" x14ac:dyDescent="0.35">
      <c r="B63" s="20" t="s">
        <v>212</v>
      </c>
      <c r="C63" s="163">
        <v>1</v>
      </c>
      <c r="D63" s="27" t="s">
        <v>2380</v>
      </c>
    </row>
    <row r="64" spans="2:6" x14ac:dyDescent="0.35">
      <c r="B64" s="121" t="s">
        <v>518</v>
      </c>
      <c r="C64" s="165">
        <v>1.06</v>
      </c>
      <c r="D64" s="116" t="s">
        <v>2381</v>
      </c>
    </row>
    <row r="65" spans="2:6" x14ac:dyDescent="0.35">
      <c r="B65" s="20" t="s">
        <v>550</v>
      </c>
      <c r="C65" s="163">
        <v>0.92</v>
      </c>
      <c r="D65" s="27" t="s">
        <v>2382</v>
      </c>
    </row>
    <row r="66" spans="2:6" x14ac:dyDescent="0.35">
      <c r="B66" s="121" t="s">
        <v>2383</v>
      </c>
      <c r="C66" s="165">
        <v>0.88</v>
      </c>
      <c r="D66" s="116" t="s">
        <v>2384</v>
      </c>
    </row>
    <row r="68" spans="2:6" ht="18" customHeight="1" x14ac:dyDescent="0.35">
      <c r="B68" s="12" t="s">
        <v>2385</v>
      </c>
      <c r="C68" s="12"/>
      <c r="D68" s="12"/>
      <c r="E68" s="12"/>
      <c r="F68" s="12"/>
    </row>
    <row r="69" spans="2:6" ht="30" customHeight="1" x14ac:dyDescent="0.35">
      <c r="B69" s="22" t="s">
        <v>2386</v>
      </c>
      <c r="C69" s="22" t="s">
        <v>357</v>
      </c>
      <c r="D69" s="22"/>
    </row>
    <row r="70" spans="2:6" x14ac:dyDescent="0.35">
      <c r="B70" s="20" t="s">
        <v>2387</v>
      </c>
      <c r="C70" s="163">
        <v>1</v>
      </c>
      <c r="D70" s="240"/>
      <c r="E70" s="240"/>
      <c r="F70" s="240"/>
    </row>
    <row r="71" spans="2:6" x14ac:dyDescent="0.35">
      <c r="B71" s="121" t="s">
        <v>206</v>
      </c>
      <c r="C71" s="165">
        <v>0.95</v>
      </c>
      <c r="D71" s="241"/>
      <c r="E71" s="241"/>
      <c r="F71" s="241"/>
    </row>
    <row r="72" spans="2:6" x14ac:dyDescent="0.35">
      <c r="B72" s="20" t="s">
        <v>575</v>
      </c>
      <c r="C72" s="163">
        <v>0.9</v>
      </c>
      <c r="D72" s="240"/>
      <c r="E72" s="240"/>
      <c r="F72" s="240"/>
    </row>
    <row r="73" spans="2:6" x14ac:dyDescent="0.35">
      <c r="B73" s="121" t="s">
        <v>549</v>
      </c>
      <c r="C73" s="165">
        <v>0.86</v>
      </c>
      <c r="D73" s="241"/>
      <c r="E73" s="241"/>
      <c r="F73" s="241"/>
    </row>
    <row r="74" spans="2:6" x14ac:dyDescent="0.35">
      <c r="B74" s="20" t="s">
        <v>517</v>
      </c>
      <c r="C74" s="163">
        <v>0.82</v>
      </c>
      <c r="D74" s="240"/>
      <c r="E74" s="240"/>
      <c r="F74" s="240"/>
    </row>
    <row r="75" spans="2:6" x14ac:dyDescent="0.35">
      <c r="B75" s="121" t="s">
        <v>705</v>
      </c>
      <c r="C75" s="165">
        <v>0.78</v>
      </c>
      <c r="D75" s="241"/>
      <c r="E75" s="241"/>
      <c r="F75" s="241"/>
    </row>
    <row r="77" spans="2:6" ht="18" customHeight="1" x14ac:dyDescent="0.35">
      <c r="B77" s="12" t="s">
        <v>2388</v>
      </c>
      <c r="C77" s="12"/>
      <c r="D77" s="12"/>
      <c r="E77" s="12"/>
      <c r="F77" s="12"/>
    </row>
    <row r="78" spans="2:6" ht="30" customHeight="1" x14ac:dyDescent="0.35">
      <c r="B78" s="22" t="s">
        <v>2389</v>
      </c>
      <c r="C78" s="22" t="s">
        <v>357</v>
      </c>
      <c r="D78" s="22"/>
    </row>
    <row r="79" spans="2:6" x14ac:dyDescent="0.35">
      <c r="B79" s="20" t="s">
        <v>2390</v>
      </c>
      <c r="C79" s="163">
        <v>1</v>
      </c>
      <c r="D79" s="240"/>
      <c r="E79" s="240"/>
      <c r="F79" s="240"/>
    </row>
    <row r="80" spans="2:6" x14ac:dyDescent="0.35">
      <c r="B80" s="121" t="s">
        <v>2391</v>
      </c>
      <c r="C80" s="165">
        <v>1.18</v>
      </c>
      <c r="D80" s="241"/>
      <c r="E80" s="241"/>
      <c r="F80" s="241"/>
    </row>
    <row r="81" spans="2:6" x14ac:dyDescent="0.35">
      <c r="B81" s="20" t="s">
        <v>214</v>
      </c>
      <c r="C81" s="163">
        <v>1.42</v>
      </c>
      <c r="D81" s="240"/>
      <c r="E81" s="240"/>
      <c r="F81" s="240"/>
    </row>
    <row r="82" spans="2:6" x14ac:dyDescent="0.35">
      <c r="B82" s="121" t="s">
        <v>532</v>
      </c>
      <c r="C82" s="165">
        <v>1.68</v>
      </c>
      <c r="D82" s="241"/>
      <c r="E82" s="241"/>
      <c r="F82" s="241"/>
    </row>
    <row r="83" spans="2:6" x14ac:dyDescent="0.35">
      <c r="B83" s="20" t="s">
        <v>519</v>
      </c>
      <c r="C83" s="163">
        <v>2.0499999999999998</v>
      </c>
      <c r="D83" s="240"/>
      <c r="E83" s="240"/>
      <c r="F83" s="240"/>
    </row>
    <row r="84" spans="2:6" x14ac:dyDescent="0.35">
      <c r="B84" s="121" t="s">
        <v>2392</v>
      </c>
      <c r="C84" s="165">
        <v>2.35</v>
      </c>
      <c r="D84" s="241"/>
      <c r="E84" s="241"/>
      <c r="F84" s="241"/>
    </row>
    <row r="86" spans="2:6" x14ac:dyDescent="0.35">
      <c r="B86" s="15" t="s">
        <v>713</v>
      </c>
    </row>
    <row r="87" spans="2:6" ht="15" customHeight="1" x14ac:dyDescent="0.35">
      <c r="B87" s="7" t="s">
        <v>2393</v>
      </c>
      <c r="C87" s="7"/>
      <c r="D87" s="7"/>
      <c r="E87" s="7"/>
      <c r="F87" s="7"/>
    </row>
    <row r="88" spans="2:6" x14ac:dyDescent="0.35">
      <c r="B88" s="7"/>
      <c r="C88" s="7"/>
      <c r="D88" s="7"/>
      <c r="E88" s="7"/>
      <c r="F88" s="7"/>
    </row>
    <row r="89" spans="2:6" x14ac:dyDescent="0.35">
      <c r="B89" s="7"/>
      <c r="C89" s="7"/>
      <c r="D89" s="7"/>
      <c r="E89" s="7"/>
      <c r="F89" s="7"/>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topLeftCell="A33" zoomScaleNormal="100" workbookViewId="0">
      <selection activeCell="A25" sqref="A25"/>
    </sheetView>
  </sheetViews>
  <sheetFormatPr defaultColWidth="8.6328125" defaultRowHeight="14.5" x14ac:dyDescent="0.35"/>
  <cols>
    <col min="1" max="1" width="2" customWidth="1"/>
    <col min="2" max="2" width="9" customWidth="1"/>
    <col min="3" max="3" width="38" customWidth="1"/>
    <col min="4" max="4" width="30" customWidth="1"/>
    <col min="5" max="6" width="62" customWidth="1"/>
  </cols>
  <sheetData>
    <row r="1" spans="2:6" ht="25.5" customHeight="1" x14ac:dyDescent="0.35">
      <c r="B1" s="14" t="s">
        <v>2394</v>
      </c>
      <c r="C1" s="14"/>
      <c r="D1" s="14"/>
      <c r="E1" s="14"/>
      <c r="F1" s="14"/>
    </row>
    <row r="2" spans="2:6" ht="15" customHeight="1" x14ac:dyDescent="0.35">
      <c r="B2" s="13" t="s">
        <v>2395</v>
      </c>
      <c r="C2" s="13"/>
      <c r="D2" s="13"/>
      <c r="E2" s="13"/>
      <c r="F2" s="13"/>
    </row>
    <row r="4" spans="2:6" ht="18" customHeight="1" x14ac:dyDescent="0.35">
      <c r="B4" s="12" t="s">
        <v>2396</v>
      </c>
      <c r="C4" s="12"/>
      <c r="D4" s="12"/>
      <c r="E4" s="12"/>
      <c r="F4" s="12"/>
    </row>
    <row r="5" spans="2:6" ht="30" customHeight="1" x14ac:dyDescent="0.35">
      <c r="B5" s="22" t="s">
        <v>945</v>
      </c>
      <c r="C5" s="22" t="s">
        <v>2397</v>
      </c>
      <c r="D5" s="22" t="s">
        <v>2398</v>
      </c>
      <c r="E5" s="22" t="s">
        <v>2399</v>
      </c>
      <c r="F5" s="22" t="s">
        <v>2400</v>
      </c>
    </row>
    <row r="6" spans="2:6" ht="31.5" customHeight="1" x14ac:dyDescent="0.35">
      <c r="B6" s="58" t="s">
        <v>2401</v>
      </c>
      <c r="C6" s="20" t="s">
        <v>2402</v>
      </c>
      <c r="D6" s="181" t="s">
        <v>2403</v>
      </c>
      <c r="E6" s="24" t="s">
        <v>2404</v>
      </c>
      <c r="F6" s="24" t="s">
        <v>2405</v>
      </c>
    </row>
    <row r="7" spans="2:6" ht="31.5" customHeight="1" x14ac:dyDescent="0.35">
      <c r="B7" s="65" t="s">
        <v>2406</v>
      </c>
      <c r="C7" s="121" t="s">
        <v>2407</v>
      </c>
      <c r="D7" s="182" t="s">
        <v>2403</v>
      </c>
      <c r="E7" s="26" t="s">
        <v>2408</v>
      </c>
      <c r="F7" s="26" t="s">
        <v>2409</v>
      </c>
    </row>
    <row r="8" spans="2:6" ht="31.5" customHeight="1" x14ac:dyDescent="0.35">
      <c r="B8" s="58" t="s">
        <v>2410</v>
      </c>
      <c r="C8" s="20" t="s">
        <v>2411</v>
      </c>
      <c r="D8" s="181" t="s">
        <v>2412</v>
      </c>
      <c r="E8" s="24" t="s">
        <v>2413</v>
      </c>
      <c r="F8" s="24" t="s">
        <v>2414</v>
      </c>
    </row>
    <row r="9" spans="2:6" ht="31.5" customHeight="1" x14ac:dyDescent="0.35">
      <c r="B9" s="65" t="s">
        <v>2415</v>
      </c>
      <c r="C9" s="121" t="s">
        <v>2416</v>
      </c>
      <c r="D9" s="182" t="s">
        <v>2417</v>
      </c>
      <c r="E9" s="26" t="s">
        <v>2418</v>
      </c>
      <c r="F9" s="26" t="s">
        <v>2419</v>
      </c>
    </row>
    <row r="10" spans="2:6" ht="31.5" customHeight="1" x14ac:dyDescent="0.35">
      <c r="B10" s="58" t="s">
        <v>2420</v>
      </c>
      <c r="C10" s="20" t="s">
        <v>2421</v>
      </c>
      <c r="D10" s="181" t="s">
        <v>2422</v>
      </c>
      <c r="E10" s="24" t="s">
        <v>2423</v>
      </c>
      <c r="F10" s="24" t="s">
        <v>2424</v>
      </c>
    </row>
    <row r="11" spans="2:6" ht="31.5" customHeight="1" x14ac:dyDescent="0.35">
      <c r="B11" s="65" t="s">
        <v>2425</v>
      </c>
      <c r="C11" s="121" t="s">
        <v>2426</v>
      </c>
      <c r="D11" s="182" t="s">
        <v>2427</v>
      </c>
      <c r="E11" s="26" t="s">
        <v>2428</v>
      </c>
      <c r="F11" s="26" t="s">
        <v>2429</v>
      </c>
    </row>
    <row r="12" spans="2:6" ht="31.5" customHeight="1" x14ac:dyDescent="0.35">
      <c r="B12" s="58" t="s">
        <v>2430</v>
      </c>
      <c r="C12" s="20" t="s">
        <v>2431</v>
      </c>
      <c r="D12" s="181" t="s">
        <v>2432</v>
      </c>
      <c r="E12" s="24" t="s">
        <v>2433</v>
      </c>
      <c r="F12" s="24" t="s">
        <v>2434</v>
      </c>
    </row>
    <row r="13" spans="2:6" ht="31.5" customHeight="1" x14ac:dyDescent="0.35">
      <c r="B13" s="65" t="s">
        <v>2435</v>
      </c>
      <c r="C13" s="121" t="s">
        <v>2436</v>
      </c>
      <c r="D13" s="182" t="s">
        <v>2437</v>
      </c>
      <c r="E13" s="26" t="s">
        <v>2438</v>
      </c>
      <c r="F13" s="26" t="s">
        <v>2439</v>
      </c>
    </row>
    <row r="14" spans="2:6" ht="31.5" customHeight="1" x14ac:dyDescent="0.35">
      <c r="B14" s="58" t="s">
        <v>2440</v>
      </c>
      <c r="C14" s="20" t="s">
        <v>2441</v>
      </c>
      <c r="D14" s="181" t="s">
        <v>2442</v>
      </c>
      <c r="E14" s="24" t="s">
        <v>2443</v>
      </c>
      <c r="F14" s="24" t="s">
        <v>2444</v>
      </c>
    </row>
    <row r="15" spans="2:6" ht="31.5" customHeight="1" x14ac:dyDescent="0.35">
      <c r="B15" s="65" t="s">
        <v>2445</v>
      </c>
      <c r="C15" s="121" t="s">
        <v>2446</v>
      </c>
      <c r="D15" s="182" t="s">
        <v>2403</v>
      </c>
      <c r="E15" s="26" t="s">
        <v>2447</v>
      </c>
      <c r="F15" s="26" t="s">
        <v>2448</v>
      </c>
    </row>
    <row r="16" spans="2:6" ht="31.5" customHeight="1" x14ac:dyDescent="0.35">
      <c r="B16" s="58" t="s">
        <v>2449</v>
      </c>
      <c r="C16" s="20" t="s">
        <v>2450</v>
      </c>
      <c r="D16" s="181" t="s">
        <v>2451</v>
      </c>
      <c r="E16" s="24" t="s">
        <v>2452</v>
      </c>
      <c r="F16" s="24" t="s">
        <v>2453</v>
      </c>
    </row>
    <row r="17" spans="2:6" ht="31.5" customHeight="1" x14ac:dyDescent="0.35">
      <c r="B17" s="65" t="s">
        <v>2454</v>
      </c>
      <c r="C17" s="121" t="s">
        <v>2455</v>
      </c>
      <c r="D17" s="182" t="s">
        <v>2456</v>
      </c>
      <c r="E17" s="26" t="s">
        <v>2457</v>
      </c>
      <c r="F17" s="26" t="s">
        <v>2458</v>
      </c>
    </row>
    <row r="18" spans="2:6" ht="31.5" customHeight="1" x14ac:dyDescent="0.35">
      <c r="B18" s="58" t="s">
        <v>2459</v>
      </c>
      <c r="C18" s="20" t="s">
        <v>2460</v>
      </c>
      <c r="D18" s="181" t="s">
        <v>2461</v>
      </c>
      <c r="E18" s="24" t="s">
        <v>2462</v>
      </c>
      <c r="F18" s="24" t="s">
        <v>2463</v>
      </c>
    </row>
    <row r="19" spans="2:6" ht="31.5" customHeight="1" x14ac:dyDescent="0.35">
      <c r="B19" s="65" t="s">
        <v>2464</v>
      </c>
      <c r="C19" s="121" t="s">
        <v>2465</v>
      </c>
      <c r="D19" s="182" t="s">
        <v>2403</v>
      </c>
      <c r="E19" s="26" t="s">
        <v>2466</v>
      </c>
      <c r="F19" s="26" t="s">
        <v>2467</v>
      </c>
    </row>
    <row r="20" spans="2:6" ht="31.5" customHeight="1" x14ac:dyDescent="0.35">
      <c r="B20" s="58" t="s">
        <v>2468</v>
      </c>
      <c r="C20" s="20" t="s">
        <v>2469</v>
      </c>
      <c r="D20" s="181" t="s">
        <v>2470</v>
      </c>
      <c r="E20" s="24" t="s">
        <v>2471</v>
      </c>
      <c r="F20" s="24" t="s">
        <v>2331</v>
      </c>
    </row>
    <row r="21" spans="2:6" ht="31.5" customHeight="1" x14ac:dyDescent="0.35">
      <c r="B21" s="65" t="s">
        <v>2472</v>
      </c>
      <c r="C21" s="121" t="s">
        <v>2473</v>
      </c>
      <c r="D21" s="182" t="s">
        <v>2474</v>
      </c>
      <c r="E21" s="26" t="s">
        <v>2475</v>
      </c>
      <c r="F21" s="26"/>
    </row>
    <row r="22" spans="2:6" ht="31.5" customHeight="1" x14ac:dyDescent="0.35">
      <c r="B22" s="58" t="s">
        <v>2476</v>
      </c>
      <c r="C22" s="20" t="s">
        <v>2477</v>
      </c>
      <c r="D22" s="181" t="s">
        <v>2427</v>
      </c>
      <c r="E22" s="24" t="s">
        <v>2478</v>
      </c>
      <c r="F22" s="24" t="s">
        <v>2479</v>
      </c>
    </row>
    <row r="23" spans="2:6" ht="31.5" customHeight="1" x14ac:dyDescent="0.35">
      <c r="B23" s="65" t="s">
        <v>2480</v>
      </c>
      <c r="C23" s="121" t="s">
        <v>2481</v>
      </c>
      <c r="D23" s="182" t="s">
        <v>2482</v>
      </c>
      <c r="E23" s="26" t="s">
        <v>2483</v>
      </c>
      <c r="F23" s="26" t="s">
        <v>2484</v>
      </c>
    </row>
    <row r="24" spans="2:6" ht="31.5" customHeight="1" x14ac:dyDescent="0.35">
      <c r="B24" s="58" t="s">
        <v>2485</v>
      </c>
      <c r="C24" s="20" t="s">
        <v>2486</v>
      </c>
      <c r="D24" s="181" t="s">
        <v>2487</v>
      </c>
      <c r="E24" s="24" t="s">
        <v>2488</v>
      </c>
      <c r="F24" s="24" t="s">
        <v>2489</v>
      </c>
    </row>
    <row r="25" spans="2:6" ht="31.5" customHeight="1" x14ac:dyDescent="0.35">
      <c r="B25" s="65" t="s">
        <v>2490</v>
      </c>
      <c r="C25" s="121" t="s">
        <v>2491</v>
      </c>
      <c r="D25" s="182" t="s">
        <v>2492</v>
      </c>
      <c r="E25" s="26" t="s">
        <v>2493</v>
      </c>
      <c r="F25" s="26" t="s">
        <v>2494</v>
      </c>
    </row>
    <row r="26" spans="2:6" ht="31.5" customHeight="1" x14ac:dyDescent="0.35">
      <c r="B26" s="58" t="s">
        <v>2495</v>
      </c>
      <c r="C26" s="20" t="s">
        <v>2496</v>
      </c>
      <c r="D26" s="181" t="s">
        <v>2497</v>
      </c>
      <c r="E26" s="24" t="s">
        <v>2498</v>
      </c>
      <c r="F26" s="24" t="s">
        <v>2499</v>
      </c>
    </row>
    <row r="27" spans="2:6" ht="31.5" customHeight="1" x14ac:dyDescent="0.35">
      <c r="B27" s="65" t="s">
        <v>2500</v>
      </c>
      <c r="C27" s="121" t="s">
        <v>2501</v>
      </c>
      <c r="D27" s="182" t="s">
        <v>2502</v>
      </c>
      <c r="E27" s="26" t="s">
        <v>2503</v>
      </c>
      <c r="F27" s="26" t="s">
        <v>2504</v>
      </c>
    </row>
    <row r="28" spans="2:6" ht="31.5" customHeight="1" x14ac:dyDescent="0.35">
      <c r="B28" s="58" t="s">
        <v>2505</v>
      </c>
      <c r="C28" s="20" t="s">
        <v>2506</v>
      </c>
      <c r="D28" s="181" t="s">
        <v>2502</v>
      </c>
      <c r="E28" s="24" t="s">
        <v>2507</v>
      </c>
      <c r="F28" s="24" t="s">
        <v>2508</v>
      </c>
    </row>
    <row r="29" spans="2:6" ht="31.5" customHeight="1" x14ac:dyDescent="0.35">
      <c r="B29" s="65" t="s">
        <v>2509</v>
      </c>
      <c r="C29" s="121" t="s">
        <v>2510</v>
      </c>
      <c r="D29" s="182" t="s">
        <v>2511</v>
      </c>
      <c r="E29" s="26" t="s">
        <v>2512</v>
      </c>
      <c r="F29" s="26" t="s">
        <v>2513</v>
      </c>
    </row>
    <row r="30" spans="2:6" ht="31.5" customHeight="1" x14ac:dyDescent="0.35">
      <c r="B30" s="58" t="s">
        <v>2514</v>
      </c>
      <c r="C30" s="20" t="s">
        <v>2515</v>
      </c>
      <c r="D30" s="181" t="s">
        <v>2403</v>
      </c>
      <c r="E30" s="24" t="s">
        <v>2516</v>
      </c>
      <c r="F30" s="24" t="s">
        <v>2517</v>
      </c>
    </row>
    <row r="32" spans="2:6" ht="18" customHeight="1" x14ac:dyDescent="0.35">
      <c r="B32" s="12" t="s">
        <v>2518</v>
      </c>
      <c r="C32" s="12"/>
      <c r="D32" s="12"/>
      <c r="E32" s="12"/>
      <c r="F32" s="12"/>
    </row>
    <row r="33" spans="2:6" ht="30" customHeight="1" x14ac:dyDescent="0.35">
      <c r="B33" s="22" t="s">
        <v>2519</v>
      </c>
      <c r="C33" s="22" t="s">
        <v>2520</v>
      </c>
      <c r="D33" s="22" t="s">
        <v>2521</v>
      </c>
      <c r="E33" s="22" t="s">
        <v>2522</v>
      </c>
      <c r="F33" s="22" t="s">
        <v>2523</v>
      </c>
    </row>
    <row r="34" spans="2:6" ht="39.75" customHeight="1" x14ac:dyDescent="0.35">
      <c r="B34" s="23" t="s">
        <v>734</v>
      </c>
      <c r="C34" s="24" t="s">
        <v>2524</v>
      </c>
      <c r="D34" s="24" t="s">
        <v>2525</v>
      </c>
      <c r="E34" s="24" t="s">
        <v>2526</v>
      </c>
      <c r="F34" s="24" t="s">
        <v>2527</v>
      </c>
    </row>
    <row r="35" spans="2:6" ht="39.75" customHeight="1" x14ac:dyDescent="0.35">
      <c r="B35" s="25" t="s">
        <v>529</v>
      </c>
      <c r="C35" s="26" t="s">
        <v>2528</v>
      </c>
      <c r="D35" s="26" t="s">
        <v>2529</v>
      </c>
      <c r="E35" s="26" t="s">
        <v>2530</v>
      </c>
      <c r="F35" s="26" t="s">
        <v>2531</v>
      </c>
    </row>
    <row r="36" spans="2:6" ht="39.75" customHeight="1" x14ac:dyDescent="0.35">
      <c r="B36" s="23" t="s">
        <v>737</v>
      </c>
      <c r="C36" s="24" t="s">
        <v>2532</v>
      </c>
      <c r="D36" s="24" t="s">
        <v>2533</v>
      </c>
      <c r="E36" s="24" t="s">
        <v>2534</v>
      </c>
      <c r="F36" s="24" t="s">
        <v>2535</v>
      </c>
    </row>
    <row r="37" spans="2:6" ht="39.75" customHeight="1" x14ac:dyDescent="0.35">
      <c r="B37" s="25" t="s">
        <v>739</v>
      </c>
      <c r="C37" s="26" t="s">
        <v>2536</v>
      </c>
      <c r="D37" s="26" t="s">
        <v>2537</v>
      </c>
      <c r="E37" s="26" t="s">
        <v>2538</v>
      </c>
      <c r="F37" s="26" t="s">
        <v>2539</v>
      </c>
    </row>
    <row r="38" spans="2:6" ht="39.75" customHeight="1" x14ac:dyDescent="0.35">
      <c r="B38" s="23" t="s">
        <v>2540</v>
      </c>
      <c r="C38" s="24" t="s">
        <v>2541</v>
      </c>
      <c r="D38" s="24" t="s">
        <v>2542</v>
      </c>
      <c r="E38" s="24" t="s">
        <v>2543</v>
      </c>
      <c r="F38" s="24" t="s">
        <v>2544</v>
      </c>
    </row>
    <row r="39" spans="2:6" ht="39.75" customHeight="1" x14ac:dyDescent="0.35">
      <c r="B39" s="25" t="s">
        <v>572</v>
      </c>
      <c r="C39" s="26" t="s">
        <v>2541</v>
      </c>
      <c r="D39" s="26" t="s">
        <v>2545</v>
      </c>
      <c r="E39" s="26" t="s">
        <v>2546</v>
      </c>
      <c r="F39" s="26" t="s">
        <v>2547</v>
      </c>
    </row>
    <row r="41" spans="2:6" x14ac:dyDescent="0.35">
      <c r="B41" s="15" t="s">
        <v>2548</v>
      </c>
    </row>
    <row r="42" spans="2:6" ht="15" customHeight="1" x14ac:dyDescent="0.35">
      <c r="B42" s="7" t="s">
        <v>2549</v>
      </c>
      <c r="C42" s="7"/>
      <c r="D42" s="7"/>
      <c r="E42" s="7"/>
      <c r="F42" s="7"/>
    </row>
    <row r="43" spans="2:6" x14ac:dyDescent="0.35">
      <c r="B43" s="7"/>
      <c r="C43" s="7"/>
      <c r="D43" s="7"/>
      <c r="E43" s="7"/>
      <c r="F43" s="7"/>
    </row>
    <row r="44" spans="2:6" x14ac:dyDescent="0.35">
      <c r="B44" s="7"/>
      <c r="C44" s="7"/>
      <c r="D44" s="7"/>
      <c r="E44" s="7"/>
      <c r="F44" s="7"/>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6328125" defaultRowHeight="14.5" x14ac:dyDescent="0.3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35">
      <c r="B1" s="14" t="s">
        <v>2550</v>
      </c>
      <c r="C1" s="14"/>
      <c r="D1" s="14"/>
      <c r="E1" s="14"/>
      <c r="F1" s="14"/>
      <c r="G1" s="14"/>
      <c r="H1" s="14"/>
    </row>
    <row r="2" spans="2:8" ht="15" customHeight="1" x14ac:dyDescent="0.35">
      <c r="B2" s="13" t="s">
        <v>2551</v>
      </c>
      <c r="C2" s="13"/>
      <c r="D2" s="13"/>
      <c r="E2" s="13"/>
      <c r="F2" s="13"/>
      <c r="G2" s="13"/>
      <c r="H2" s="13"/>
    </row>
    <row r="4" spans="2:8" ht="18" customHeight="1" x14ac:dyDescent="0.35">
      <c r="B4" s="12" t="s">
        <v>2552</v>
      </c>
      <c r="C4" s="12"/>
      <c r="D4" s="12"/>
      <c r="E4" s="12"/>
      <c r="F4" s="12"/>
      <c r="G4" s="12"/>
      <c r="H4" s="12"/>
    </row>
    <row r="5" spans="2:8" ht="30" customHeight="1" x14ac:dyDescent="0.35">
      <c r="B5" s="22" t="s">
        <v>2553</v>
      </c>
      <c r="C5" s="22" t="s">
        <v>2554</v>
      </c>
      <c r="D5" s="22" t="s">
        <v>2555</v>
      </c>
      <c r="E5" s="22" t="s">
        <v>2556</v>
      </c>
      <c r="F5" s="22" t="s">
        <v>2258</v>
      </c>
    </row>
    <row r="6" spans="2:8" ht="37.5" customHeight="1" x14ac:dyDescent="0.35">
      <c r="B6" s="183" t="s">
        <v>2557</v>
      </c>
      <c r="C6" s="184" t="s">
        <v>2558</v>
      </c>
      <c r="D6" s="185" t="s">
        <v>2559</v>
      </c>
      <c r="E6" s="185" t="s">
        <v>2560</v>
      </c>
      <c r="F6" s="242" t="s">
        <v>2561</v>
      </c>
      <c r="G6" s="242"/>
      <c r="H6" s="242"/>
    </row>
    <row r="7" spans="2:8" ht="37.5" customHeight="1" x14ac:dyDescent="0.35">
      <c r="B7" s="25" t="s">
        <v>2562</v>
      </c>
      <c r="C7" s="186" t="s">
        <v>234</v>
      </c>
      <c r="D7" s="26" t="s">
        <v>2563</v>
      </c>
      <c r="E7" s="26" t="s">
        <v>2564</v>
      </c>
      <c r="F7" s="5" t="s">
        <v>2565</v>
      </c>
      <c r="G7" s="5"/>
      <c r="H7" s="5"/>
    </row>
    <row r="8" spans="2:8" ht="37.5" customHeight="1" x14ac:dyDescent="0.35">
      <c r="B8" s="23" t="s">
        <v>236</v>
      </c>
      <c r="C8" s="187" t="s">
        <v>237</v>
      </c>
      <c r="D8" s="24" t="s">
        <v>521</v>
      </c>
      <c r="E8" s="24" t="s">
        <v>2566</v>
      </c>
      <c r="F8" s="6" t="s">
        <v>2414</v>
      </c>
      <c r="G8" s="6"/>
      <c r="H8" s="6"/>
    </row>
    <row r="9" spans="2:8" ht="37.5" customHeight="1" x14ac:dyDescent="0.35">
      <c r="B9" s="25" t="s">
        <v>2567</v>
      </c>
      <c r="C9" s="186" t="s">
        <v>209</v>
      </c>
      <c r="D9" s="26" t="s">
        <v>237</v>
      </c>
      <c r="E9" s="26" t="s">
        <v>2568</v>
      </c>
      <c r="F9" s="5" t="s">
        <v>2569</v>
      </c>
      <c r="G9" s="5"/>
      <c r="H9" s="5"/>
    </row>
    <row r="10" spans="2:8" ht="37.5" customHeight="1" x14ac:dyDescent="0.35">
      <c r="B10" s="23" t="s">
        <v>2570</v>
      </c>
      <c r="C10" s="187" t="s">
        <v>2263</v>
      </c>
      <c r="D10" s="24" t="s">
        <v>521</v>
      </c>
      <c r="E10" s="24" t="s">
        <v>2571</v>
      </c>
      <c r="F10" s="6" t="s">
        <v>2572</v>
      </c>
      <c r="G10" s="6"/>
      <c r="H10" s="6"/>
    </row>
    <row r="11" spans="2:8" ht="37.5" customHeight="1" x14ac:dyDescent="0.35">
      <c r="B11" s="25" t="s">
        <v>239</v>
      </c>
      <c r="C11" s="186" t="s">
        <v>2573</v>
      </c>
      <c r="D11" s="26" t="s">
        <v>237</v>
      </c>
      <c r="E11" s="26" t="s">
        <v>2568</v>
      </c>
      <c r="F11" s="5" t="s">
        <v>2574</v>
      </c>
      <c r="G11" s="5"/>
      <c r="H11" s="5"/>
    </row>
    <row r="12" spans="2:8" ht="37.5" customHeight="1" x14ac:dyDescent="0.35">
      <c r="B12" s="23" t="s">
        <v>2575</v>
      </c>
      <c r="C12" s="187" t="s">
        <v>2576</v>
      </c>
      <c r="D12" s="24" t="s">
        <v>209</v>
      </c>
      <c r="E12" s="24" t="s">
        <v>2568</v>
      </c>
      <c r="F12" s="6" t="s">
        <v>2577</v>
      </c>
      <c r="G12" s="6"/>
      <c r="H12" s="6"/>
    </row>
    <row r="13" spans="2:8" ht="37.5" customHeight="1" x14ac:dyDescent="0.35">
      <c r="B13" s="25" t="s">
        <v>2578</v>
      </c>
      <c r="C13" s="186" t="s">
        <v>2579</v>
      </c>
      <c r="D13" s="26" t="s">
        <v>2559</v>
      </c>
      <c r="E13" s="26" t="s">
        <v>2580</v>
      </c>
      <c r="F13" s="5" t="s">
        <v>2581</v>
      </c>
      <c r="G13" s="5"/>
      <c r="H13" s="5"/>
    </row>
    <row r="14" spans="2:8" ht="37.5" customHeight="1" x14ac:dyDescent="0.35">
      <c r="B14" s="23" t="s">
        <v>2582</v>
      </c>
      <c r="C14" s="187" t="s">
        <v>522</v>
      </c>
      <c r="D14" s="24" t="s">
        <v>2583</v>
      </c>
      <c r="E14" s="24" t="s">
        <v>2584</v>
      </c>
      <c r="F14" s="6" t="s">
        <v>2585</v>
      </c>
      <c r="G14" s="6"/>
      <c r="H14" s="6"/>
    </row>
    <row r="15" spans="2:8" ht="37.5" customHeight="1" x14ac:dyDescent="0.35">
      <c r="B15" s="25" t="s">
        <v>2289</v>
      </c>
      <c r="C15" s="186" t="s">
        <v>2586</v>
      </c>
      <c r="D15" s="26" t="s">
        <v>2583</v>
      </c>
      <c r="E15" s="26" t="s">
        <v>2587</v>
      </c>
      <c r="F15" s="5" t="s">
        <v>2588</v>
      </c>
      <c r="G15" s="5"/>
      <c r="H15" s="5"/>
    </row>
    <row r="16" spans="2:8" ht="37.5" customHeight="1" x14ac:dyDescent="0.35">
      <c r="B16" s="23" t="s">
        <v>2589</v>
      </c>
      <c r="C16" s="187" t="s">
        <v>2590</v>
      </c>
      <c r="D16" s="24" t="s">
        <v>2583</v>
      </c>
      <c r="E16" s="24" t="s">
        <v>2587</v>
      </c>
      <c r="F16" s="6" t="s">
        <v>2591</v>
      </c>
      <c r="G16" s="6"/>
      <c r="H16" s="6"/>
    </row>
    <row r="17" spans="2:8" ht="37.5" customHeight="1" x14ac:dyDescent="0.35">
      <c r="B17" s="25" t="s">
        <v>2592</v>
      </c>
      <c r="C17" s="186" t="s">
        <v>2593</v>
      </c>
      <c r="D17" s="26" t="s">
        <v>2583</v>
      </c>
      <c r="E17" s="26" t="s">
        <v>2587</v>
      </c>
      <c r="F17" s="5" t="s">
        <v>2594</v>
      </c>
      <c r="G17" s="5"/>
      <c r="H17" s="5"/>
    </row>
    <row r="18" spans="2:8" ht="37.5" customHeight="1" x14ac:dyDescent="0.35">
      <c r="B18" s="23" t="s">
        <v>2595</v>
      </c>
      <c r="C18" s="187" t="s">
        <v>250</v>
      </c>
      <c r="D18" s="24" t="s">
        <v>2596</v>
      </c>
      <c r="E18" s="24" t="s">
        <v>2597</v>
      </c>
      <c r="F18" s="6" t="s">
        <v>2598</v>
      </c>
      <c r="G18" s="6"/>
      <c r="H18" s="6"/>
    </row>
    <row r="19" spans="2:8" ht="37.5" customHeight="1" x14ac:dyDescent="0.35">
      <c r="B19" s="25" t="s">
        <v>2599</v>
      </c>
      <c r="C19" s="186" t="s">
        <v>2600</v>
      </c>
      <c r="D19" s="26" t="s">
        <v>2601</v>
      </c>
      <c r="E19" s="26" t="s">
        <v>2568</v>
      </c>
      <c r="F19" s="5" t="s">
        <v>2602</v>
      </c>
      <c r="G19" s="5"/>
      <c r="H19" s="5"/>
    </row>
    <row r="20" spans="2:8" ht="37.5" customHeight="1" x14ac:dyDescent="0.35">
      <c r="B20" s="23" t="s">
        <v>2603</v>
      </c>
      <c r="C20" s="187" t="s">
        <v>2604</v>
      </c>
      <c r="D20" s="24" t="s">
        <v>2559</v>
      </c>
      <c r="E20" s="24" t="s">
        <v>2605</v>
      </c>
      <c r="F20" s="6" t="s">
        <v>2606</v>
      </c>
      <c r="G20" s="6"/>
      <c r="H20" s="6"/>
    </row>
    <row r="21" spans="2:8" ht="37.5" customHeight="1" x14ac:dyDescent="0.35">
      <c r="B21" s="25" t="s">
        <v>245</v>
      </c>
      <c r="C21" s="186" t="s">
        <v>2607</v>
      </c>
      <c r="D21" s="26" t="s">
        <v>2583</v>
      </c>
      <c r="E21" s="26" t="s">
        <v>2568</v>
      </c>
      <c r="F21" s="5" t="s">
        <v>2608</v>
      </c>
      <c r="G21" s="5"/>
      <c r="H21" s="5"/>
    </row>
    <row r="22" spans="2:8" ht="37.5" customHeight="1" x14ac:dyDescent="0.35">
      <c r="B22" s="23" t="s">
        <v>2609</v>
      </c>
      <c r="C22" s="187" t="s">
        <v>2610</v>
      </c>
      <c r="D22" s="24" t="s">
        <v>2559</v>
      </c>
      <c r="E22" s="24" t="s">
        <v>2568</v>
      </c>
      <c r="F22" s="6" t="s">
        <v>2611</v>
      </c>
      <c r="G22" s="6"/>
      <c r="H22" s="6"/>
    </row>
    <row r="23" spans="2:8" ht="37.5" customHeight="1" x14ac:dyDescent="0.35">
      <c r="B23" s="25" t="s">
        <v>2612</v>
      </c>
      <c r="C23" s="186" t="s">
        <v>2613</v>
      </c>
      <c r="D23" s="26" t="s">
        <v>237</v>
      </c>
      <c r="E23" s="26" t="s">
        <v>2614</v>
      </c>
      <c r="F23" s="5" t="s">
        <v>2615</v>
      </c>
      <c r="G23" s="5"/>
      <c r="H23" s="5"/>
    </row>
    <row r="24" spans="2:8" ht="37.5" customHeight="1" x14ac:dyDescent="0.35">
      <c r="B24" s="23" t="s">
        <v>2616</v>
      </c>
      <c r="C24" s="187" t="s">
        <v>2617</v>
      </c>
      <c r="D24" s="24" t="s">
        <v>2502</v>
      </c>
      <c r="E24" s="24" t="s">
        <v>2618</v>
      </c>
      <c r="F24" s="6" t="s">
        <v>2508</v>
      </c>
      <c r="G24" s="6"/>
      <c r="H24" s="6"/>
    </row>
    <row r="26" spans="2:8" ht="18" customHeight="1" x14ac:dyDescent="0.35">
      <c r="B26" s="12" t="s">
        <v>2619</v>
      </c>
      <c r="C26" s="12"/>
      <c r="D26" s="12"/>
      <c r="E26" s="12"/>
      <c r="F26" s="12"/>
      <c r="G26" s="12"/>
      <c r="H26" s="12"/>
    </row>
    <row r="27" spans="2:8" ht="30" customHeight="1" x14ac:dyDescent="0.35">
      <c r="B27" s="22" t="s">
        <v>2620</v>
      </c>
      <c r="C27" s="22" t="s">
        <v>2621</v>
      </c>
      <c r="D27" s="22" t="s">
        <v>2622</v>
      </c>
      <c r="E27" s="22" t="s">
        <v>2623</v>
      </c>
    </row>
    <row r="28" spans="2:8" ht="61.5" customHeight="1" x14ac:dyDescent="0.35">
      <c r="B28" s="23" t="s">
        <v>2624</v>
      </c>
      <c r="C28" s="6" t="s">
        <v>2625</v>
      </c>
      <c r="D28" s="6"/>
      <c r="E28" s="6" t="s">
        <v>2626</v>
      </c>
      <c r="F28" s="6"/>
      <c r="G28" s="6" t="s">
        <v>2627</v>
      </c>
      <c r="H28" s="6"/>
    </row>
    <row r="29" spans="2:8" ht="61.5" customHeight="1" x14ac:dyDescent="0.35">
      <c r="B29" s="25" t="s">
        <v>2628</v>
      </c>
      <c r="C29" s="5" t="s">
        <v>2629</v>
      </c>
      <c r="D29" s="5"/>
      <c r="E29" s="5" t="s">
        <v>2630</v>
      </c>
      <c r="F29" s="5"/>
      <c r="G29" s="5" t="s">
        <v>2631</v>
      </c>
      <c r="H29" s="5"/>
    </row>
    <row r="30" spans="2:8" ht="61.5" customHeight="1" x14ac:dyDescent="0.35">
      <c r="B30" s="23" t="s">
        <v>2632</v>
      </c>
      <c r="C30" s="6" t="s">
        <v>2633</v>
      </c>
      <c r="D30" s="6"/>
      <c r="E30" s="6" t="s">
        <v>2634</v>
      </c>
      <c r="F30" s="6"/>
      <c r="G30" s="6" t="s">
        <v>2635</v>
      </c>
      <c r="H30" s="6"/>
    </row>
    <row r="31" spans="2:8" ht="61.5" customHeight="1" x14ac:dyDescent="0.35">
      <c r="B31" s="25" t="s">
        <v>2636</v>
      </c>
      <c r="C31" s="5" t="s">
        <v>2637</v>
      </c>
      <c r="D31" s="5"/>
      <c r="E31" s="5" t="s">
        <v>2638</v>
      </c>
      <c r="F31" s="5"/>
      <c r="G31" s="5" t="s">
        <v>2639</v>
      </c>
      <c r="H31" s="5"/>
    </row>
    <row r="32" spans="2:8" ht="61.5" customHeight="1" x14ac:dyDescent="0.35">
      <c r="B32" s="23" t="s">
        <v>2640</v>
      </c>
      <c r="C32" s="6" t="s">
        <v>2641</v>
      </c>
      <c r="D32" s="6"/>
      <c r="E32" s="6" t="s">
        <v>2642</v>
      </c>
      <c r="F32" s="6"/>
      <c r="G32" s="6" t="s">
        <v>2643</v>
      </c>
      <c r="H32" s="6"/>
    </row>
    <row r="33" spans="2:8" ht="61.5" customHeight="1" x14ac:dyDescent="0.35">
      <c r="B33" s="25" t="s">
        <v>2644</v>
      </c>
      <c r="C33" s="5" t="s">
        <v>2645</v>
      </c>
      <c r="D33" s="5"/>
      <c r="E33" s="5" t="s">
        <v>2646</v>
      </c>
      <c r="F33" s="5"/>
      <c r="G33" s="5" t="s">
        <v>2647</v>
      </c>
      <c r="H33" s="5"/>
    </row>
    <row r="34" spans="2:8" ht="61.5" customHeight="1" x14ac:dyDescent="0.35">
      <c r="B34" s="23" t="s">
        <v>2648</v>
      </c>
      <c r="C34" s="6" t="s">
        <v>2649</v>
      </c>
      <c r="D34" s="6"/>
      <c r="E34" s="6" t="s">
        <v>2650</v>
      </c>
      <c r="F34" s="6"/>
      <c r="G34" s="6" t="s">
        <v>2651</v>
      </c>
      <c r="H34" s="6"/>
    </row>
    <row r="35" spans="2:8" ht="61.5" customHeight="1" x14ac:dyDescent="0.35">
      <c r="B35" s="25" t="s">
        <v>2652</v>
      </c>
      <c r="C35" s="5" t="s">
        <v>2653</v>
      </c>
      <c r="D35" s="5"/>
      <c r="E35" s="5" t="s">
        <v>2654</v>
      </c>
      <c r="F35" s="5"/>
      <c r="G35" s="5" t="s">
        <v>2655</v>
      </c>
      <c r="H35" s="5"/>
    </row>
    <row r="36" spans="2:8" ht="61.5" customHeight="1" x14ac:dyDescent="0.35">
      <c r="B36" s="23" t="s">
        <v>2656</v>
      </c>
      <c r="C36" s="6" t="s">
        <v>2657</v>
      </c>
      <c r="D36" s="6"/>
      <c r="E36" s="6" t="s">
        <v>2658</v>
      </c>
      <c r="F36" s="6"/>
      <c r="G36" s="6" t="s">
        <v>2659</v>
      </c>
      <c r="H36" s="6"/>
    </row>
    <row r="37" spans="2:8" ht="61.5" customHeight="1" x14ac:dyDescent="0.35">
      <c r="B37" s="25" t="s">
        <v>2660</v>
      </c>
      <c r="C37" s="5" t="s">
        <v>2661</v>
      </c>
      <c r="D37" s="5"/>
      <c r="E37" s="5" t="s">
        <v>2662</v>
      </c>
      <c r="F37" s="5"/>
      <c r="G37" s="5" t="s">
        <v>2663</v>
      </c>
      <c r="H37" s="5"/>
    </row>
    <row r="39" spans="2:8" ht="18" customHeight="1" x14ac:dyDescent="0.35">
      <c r="B39" s="12" t="s">
        <v>2664</v>
      </c>
      <c r="C39" s="12"/>
      <c r="D39" s="12"/>
      <c r="E39" s="12"/>
      <c r="F39" s="12"/>
      <c r="G39" s="12"/>
      <c r="H39" s="12"/>
    </row>
    <row r="40" spans="2:8" ht="39.75" customHeight="1" x14ac:dyDescent="0.35">
      <c r="B40" s="10" t="s">
        <v>2665</v>
      </c>
      <c r="C40" s="10"/>
      <c r="D40" s="10"/>
      <c r="E40" s="10"/>
      <c r="F40" s="10"/>
      <c r="G40" s="10"/>
      <c r="H40" s="10"/>
    </row>
    <row r="41" spans="2:8" ht="39.75" customHeight="1" x14ac:dyDescent="0.35">
      <c r="B41" s="10" t="s">
        <v>2666</v>
      </c>
      <c r="C41" s="10"/>
      <c r="D41" s="10"/>
      <c r="E41" s="10"/>
      <c r="F41" s="10"/>
      <c r="G41" s="10"/>
      <c r="H41" s="10"/>
    </row>
    <row r="42" spans="2:8" ht="39.75" customHeight="1" x14ac:dyDescent="0.35">
      <c r="B42" s="10" t="s">
        <v>2667</v>
      </c>
      <c r="C42" s="10"/>
      <c r="D42" s="10"/>
      <c r="E42" s="10"/>
      <c r="F42" s="10"/>
      <c r="G42" s="10"/>
      <c r="H42" s="10"/>
    </row>
    <row r="43" spans="2:8" ht="39.75" customHeight="1" x14ac:dyDescent="0.35">
      <c r="B43" s="10" t="s">
        <v>2668</v>
      </c>
      <c r="C43" s="10"/>
      <c r="D43" s="10"/>
      <c r="E43" s="10"/>
      <c r="F43" s="10"/>
      <c r="G43" s="10"/>
      <c r="H43" s="10"/>
    </row>
    <row r="44" spans="2:8" ht="39.75" customHeight="1" x14ac:dyDescent="0.35">
      <c r="B44" s="10" t="s">
        <v>2669</v>
      </c>
      <c r="C44" s="10"/>
      <c r="D44" s="10"/>
      <c r="E44" s="10"/>
      <c r="F44" s="10"/>
      <c r="G44" s="10"/>
      <c r="H44" s="10"/>
    </row>
    <row r="46" spans="2:8" ht="18" customHeight="1" x14ac:dyDescent="0.35">
      <c r="B46" s="12" t="s">
        <v>2670</v>
      </c>
      <c r="C46" s="12"/>
      <c r="D46" s="12"/>
      <c r="E46" s="12"/>
      <c r="F46" s="12"/>
      <c r="G46" s="12"/>
      <c r="H46" s="12"/>
    </row>
    <row r="47" spans="2:8" x14ac:dyDescent="0.35">
      <c r="B47" s="237" t="s">
        <v>2562</v>
      </c>
      <c r="C47" s="237"/>
      <c r="D47" s="237"/>
      <c r="E47" s="237"/>
      <c r="F47" s="237"/>
      <c r="G47" s="237"/>
      <c r="H47" s="237"/>
    </row>
    <row r="48" spans="2:8" ht="15.75" customHeight="1" x14ac:dyDescent="0.35">
      <c r="B48" s="22" t="s">
        <v>2318</v>
      </c>
      <c r="C48" s="22" t="s">
        <v>357</v>
      </c>
      <c r="D48" s="22" t="s">
        <v>2258</v>
      </c>
    </row>
    <row r="49" spans="2:8" x14ac:dyDescent="0.35">
      <c r="B49" s="27" t="s">
        <v>2671</v>
      </c>
      <c r="C49" s="163">
        <v>0.99</v>
      </c>
      <c r="D49" s="238"/>
      <c r="E49" s="238"/>
      <c r="F49" s="238"/>
      <c r="G49" s="238"/>
      <c r="H49" s="238"/>
    </row>
    <row r="50" spans="2:8" ht="15" customHeight="1" x14ac:dyDescent="0.35">
      <c r="B50" s="116" t="s">
        <v>234</v>
      </c>
      <c r="C50" s="165">
        <v>1</v>
      </c>
      <c r="D50" s="239" t="s">
        <v>2672</v>
      </c>
      <c r="E50" s="239"/>
      <c r="F50" s="239"/>
      <c r="G50" s="239"/>
      <c r="H50" s="239"/>
    </row>
    <row r="51" spans="2:8" x14ac:dyDescent="0.35">
      <c r="B51" s="27" t="s">
        <v>2563</v>
      </c>
      <c r="C51" s="163">
        <v>1.02</v>
      </c>
      <c r="D51" s="238"/>
      <c r="E51" s="238"/>
      <c r="F51" s="238"/>
      <c r="G51" s="238"/>
      <c r="H51" s="238"/>
    </row>
    <row r="52" spans="2:8" ht="15" customHeight="1" x14ac:dyDescent="0.35">
      <c r="B52" s="116" t="s">
        <v>2673</v>
      </c>
      <c r="C52" s="165">
        <v>1.04</v>
      </c>
      <c r="D52" s="239" t="s">
        <v>2674</v>
      </c>
      <c r="E52" s="239"/>
      <c r="F52" s="239"/>
      <c r="G52" s="239"/>
      <c r="H52" s="239"/>
    </row>
    <row r="54" spans="2:8" x14ac:dyDescent="0.35">
      <c r="B54" s="237" t="s">
        <v>236</v>
      </c>
      <c r="C54" s="237"/>
      <c r="D54" s="237"/>
      <c r="E54" s="237"/>
      <c r="F54" s="237"/>
      <c r="G54" s="237"/>
      <c r="H54" s="237"/>
    </row>
    <row r="55" spans="2:8" ht="15.75" customHeight="1" x14ac:dyDescent="0.35">
      <c r="B55" s="22" t="s">
        <v>2318</v>
      </c>
      <c r="C55" s="22" t="s">
        <v>357</v>
      </c>
      <c r="D55" s="22" t="s">
        <v>2258</v>
      </c>
    </row>
    <row r="56" spans="2:8" x14ac:dyDescent="0.35">
      <c r="B56" s="27" t="s">
        <v>555</v>
      </c>
      <c r="C56" s="163">
        <v>0.99</v>
      </c>
      <c r="D56" s="238"/>
      <c r="E56" s="238"/>
      <c r="F56" s="238"/>
      <c r="G56" s="238"/>
      <c r="H56" s="238"/>
    </row>
    <row r="57" spans="2:8" ht="15" customHeight="1" x14ac:dyDescent="0.35">
      <c r="B57" s="116" t="s">
        <v>237</v>
      </c>
      <c r="C57" s="165">
        <v>1</v>
      </c>
      <c r="D57" s="239" t="s">
        <v>2319</v>
      </c>
      <c r="E57" s="239"/>
      <c r="F57" s="239"/>
      <c r="G57" s="239"/>
      <c r="H57" s="239"/>
    </row>
    <row r="58" spans="2:8" x14ac:dyDescent="0.35">
      <c r="B58" s="27" t="s">
        <v>2263</v>
      </c>
      <c r="C58" s="163">
        <v>1.008</v>
      </c>
      <c r="D58" s="238"/>
      <c r="E58" s="238"/>
      <c r="F58" s="238"/>
      <c r="G58" s="238"/>
      <c r="H58" s="238"/>
    </row>
    <row r="59" spans="2:8" x14ac:dyDescent="0.35">
      <c r="B59" s="116" t="s">
        <v>246</v>
      </c>
      <c r="C59" s="165">
        <v>1.018</v>
      </c>
      <c r="D59" s="239"/>
      <c r="E59" s="239"/>
      <c r="F59" s="239"/>
      <c r="G59" s="239"/>
      <c r="H59" s="239"/>
    </row>
    <row r="60" spans="2:8" ht="15" customHeight="1" x14ac:dyDescent="0.35">
      <c r="B60" s="27" t="s">
        <v>521</v>
      </c>
      <c r="C60" s="163">
        <v>1.0349999999999999</v>
      </c>
      <c r="D60" s="238" t="s">
        <v>2675</v>
      </c>
      <c r="E60" s="238"/>
      <c r="F60" s="238"/>
      <c r="G60" s="238"/>
      <c r="H60" s="238"/>
    </row>
    <row r="62" spans="2:8" x14ac:dyDescent="0.35">
      <c r="B62" s="237" t="s">
        <v>238</v>
      </c>
      <c r="C62" s="237"/>
      <c r="D62" s="237"/>
      <c r="E62" s="237"/>
      <c r="F62" s="237"/>
      <c r="G62" s="237"/>
      <c r="H62" s="237"/>
    </row>
    <row r="63" spans="2:8" ht="15.75" customHeight="1" x14ac:dyDescent="0.35">
      <c r="B63" s="22" t="s">
        <v>2318</v>
      </c>
      <c r="C63" s="22" t="s">
        <v>357</v>
      </c>
      <c r="D63" s="22" t="s">
        <v>2258</v>
      </c>
    </row>
    <row r="64" spans="2:8" x14ac:dyDescent="0.35">
      <c r="B64" s="27" t="s">
        <v>555</v>
      </c>
      <c r="C64" s="163">
        <v>0.997</v>
      </c>
      <c r="D64" s="238"/>
      <c r="E64" s="238"/>
      <c r="F64" s="238"/>
      <c r="G64" s="238"/>
      <c r="H64" s="238"/>
    </row>
    <row r="65" spans="2:8" ht="15" customHeight="1" x14ac:dyDescent="0.35">
      <c r="B65" s="116" t="s">
        <v>209</v>
      </c>
      <c r="C65" s="165">
        <v>1</v>
      </c>
      <c r="D65" s="239" t="s">
        <v>2319</v>
      </c>
      <c r="E65" s="239"/>
      <c r="F65" s="239"/>
      <c r="G65" s="239"/>
      <c r="H65" s="239"/>
    </row>
    <row r="66" spans="2:8" x14ac:dyDescent="0.35">
      <c r="B66" s="27" t="s">
        <v>240</v>
      </c>
      <c r="C66" s="163">
        <v>1.004</v>
      </c>
      <c r="D66" s="238"/>
      <c r="E66" s="238"/>
      <c r="F66" s="238"/>
      <c r="G66" s="238"/>
      <c r="H66" s="238"/>
    </row>
    <row r="67" spans="2:8" x14ac:dyDescent="0.35">
      <c r="B67" s="116" t="s">
        <v>237</v>
      </c>
      <c r="C67" s="165">
        <v>1.01</v>
      </c>
      <c r="D67" s="239"/>
      <c r="E67" s="239"/>
      <c r="F67" s="239"/>
      <c r="G67" s="239"/>
      <c r="H67" s="239"/>
    </row>
    <row r="69" spans="2:8" x14ac:dyDescent="0.35">
      <c r="B69" s="237" t="s">
        <v>239</v>
      </c>
      <c r="C69" s="237"/>
      <c r="D69" s="237"/>
      <c r="E69" s="237"/>
      <c r="F69" s="237"/>
      <c r="G69" s="237"/>
      <c r="H69" s="237"/>
    </row>
    <row r="70" spans="2:8" ht="15.75" customHeight="1" x14ac:dyDescent="0.35">
      <c r="B70" s="22" t="s">
        <v>2318</v>
      </c>
      <c r="C70" s="22" t="s">
        <v>357</v>
      </c>
      <c r="D70" s="22" t="s">
        <v>2258</v>
      </c>
    </row>
    <row r="71" spans="2:8" ht="15" customHeight="1" x14ac:dyDescent="0.35">
      <c r="B71" s="27" t="s">
        <v>555</v>
      </c>
      <c r="C71" s="163">
        <v>0.98499999999999999</v>
      </c>
      <c r="D71" s="238" t="s">
        <v>2676</v>
      </c>
      <c r="E71" s="238"/>
      <c r="F71" s="238"/>
      <c r="G71" s="238"/>
      <c r="H71" s="238"/>
    </row>
    <row r="72" spans="2:8" ht="15" customHeight="1" x14ac:dyDescent="0.35">
      <c r="B72" s="116" t="s">
        <v>240</v>
      </c>
      <c r="C72" s="165">
        <v>1</v>
      </c>
      <c r="D72" s="239" t="s">
        <v>2319</v>
      </c>
      <c r="E72" s="239"/>
      <c r="F72" s="239"/>
      <c r="G72" s="239"/>
      <c r="H72" s="239"/>
    </row>
    <row r="73" spans="2:8" x14ac:dyDescent="0.35">
      <c r="B73" s="27" t="s">
        <v>237</v>
      </c>
      <c r="C73" s="163">
        <v>1.018</v>
      </c>
      <c r="D73" s="238"/>
      <c r="E73" s="238"/>
      <c r="F73" s="238"/>
      <c r="G73" s="238"/>
      <c r="H73" s="238"/>
    </row>
    <row r="74" spans="2:8" x14ac:dyDescent="0.35">
      <c r="B74" s="116" t="s">
        <v>2263</v>
      </c>
      <c r="C74" s="165">
        <v>1.0349999999999999</v>
      </c>
      <c r="D74" s="239"/>
      <c r="E74" s="239"/>
      <c r="F74" s="239"/>
      <c r="G74" s="239"/>
      <c r="H74" s="239"/>
    </row>
    <row r="76" spans="2:8" x14ac:dyDescent="0.35">
      <c r="B76" s="237" t="s">
        <v>241</v>
      </c>
      <c r="C76" s="237"/>
      <c r="D76" s="237"/>
      <c r="E76" s="237"/>
      <c r="F76" s="237"/>
      <c r="G76" s="237"/>
      <c r="H76" s="237"/>
    </row>
    <row r="77" spans="2:8" ht="15.75" customHeight="1" x14ac:dyDescent="0.35">
      <c r="B77" s="22" t="s">
        <v>2318</v>
      </c>
      <c r="C77" s="22" t="s">
        <v>357</v>
      </c>
      <c r="D77" s="22" t="s">
        <v>2258</v>
      </c>
    </row>
    <row r="78" spans="2:8" ht="15" customHeight="1" x14ac:dyDescent="0.35">
      <c r="B78" s="27" t="s">
        <v>242</v>
      </c>
      <c r="C78" s="163">
        <v>1</v>
      </c>
      <c r="D78" s="238" t="s">
        <v>2319</v>
      </c>
      <c r="E78" s="238"/>
      <c r="F78" s="238"/>
      <c r="G78" s="238"/>
      <c r="H78" s="238"/>
    </row>
    <row r="79" spans="2:8" x14ac:dyDescent="0.35">
      <c r="B79" s="116" t="s">
        <v>711</v>
      </c>
      <c r="C79" s="165">
        <v>1.0249999999999999</v>
      </c>
      <c r="D79" s="239"/>
      <c r="E79" s="239"/>
      <c r="F79" s="239"/>
      <c r="G79" s="239"/>
      <c r="H79" s="239"/>
    </row>
    <row r="80" spans="2:8" ht="15" customHeight="1" x14ac:dyDescent="0.35">
      <c r="B80" s="27" t="s">
        <v>2677</v>
      </c>
      <c r="C80" s="163">
        <v>1.06</v>
      </c>
      <c r="D80" s="238" t="s">
        <v>2678</v>
      </c>
      <c r="E80" s="238"/>
      <c r="F80" s="238"/>
      <c r="G80" s="238"/>
      <c r="H80" s="238"/>
    </row>
    <row r="82" spans="2:8" x14ac:dyDescent="0.35">
      <c r="B82" s="237" t="s">
        <v>243</v>
      </c>
      <c r="C82" s="237"/>
      <c r="D82" s="237"/>
      <c r="E82" s="237"/>
      <c r="F82" s="237"/>
      <c r="G82" s="237"/>
      <c r="H82" s="237"/>
    </row>
    <row r="83" spans="2:8" ht="15.75" customHeight="1" x14ac:dyDescent="0.35">
      <c r="B83" s="22" t="s">
        <v>2318</v>
      </c>
      <c r="C83" s="22" t="s">
        <v>357</v>
      </c>
      <c r="D83" s="22" t="s">
        <v>2258</v>
      </c>
    </row>
    <row r="84" spans="2:8" ht="15" customHeight="1" x14ac:dyDescent="0.35">
      <c r="B84" s="27" t="s">
        <v>244</v>
      </c>
      <c r="C84" s="163">
        <v>1</v>
      </c>
      <c r="D84" s="238" t="s">
        <v>2319</v>
      </c>
      <c r="E84" s="238"/>
      <c r="F84" s="238"/>
      <c r="G84" s="238"/>
      <c r="H84" s="238"/>
    </row>
    <row r="85" spans="2:8" ht="15" customHeight="1" x14ac:dyDescent="0.35">
      <c r="B85" s="116" t="s">
        <v>522</v>
      </c>
      <c r="C85" s="165">
        <v>1.1000000000000001</v>
      </c>
      <c r="D85" s="239" t="s">
        <v>2674</v>
      </c>
      <c r="E85" s="239"/>
      <c r="F85" s="239"/>
      <c r="G85" s="239"/>
      <c r="H85" s="239"/>
    </row>
    <row r="86" spans="2:8" ht="15" customHeight="1" x14ac:dyDescent="0.35">
      <c r="B86" s="27" t="s">
        <v>2679</v>
      </c>
      <c r="C86" s="163">
        <v>1.18</v>
      </c>
      <c r="D86" s="238" t="s">
        <v>2674</v>
      </c>
      <c r="E86" s="238"/>
      <c r="F86" s="238"/>
      <c r="G86" s="238"/>
      <c r="H86" s="238"/>
    </row>
    <row r="87" spans="2:8" ht="15" customHeight="1" x14ac:dyDescent="0.35">
      <c r="B87" s="116" t="s">
        <v>2680</v>
      </c>
      <c r="C87" s="165">
        <v>1.26</v>
      </c>
      <c r="D87" s="239" t="s">
        <v>2681</v>
      </c>
      <c r="E87" s="239"/>
      <c r="F87" s="239"/>
      <c r="G87" s="239"/>
      <c r="H87" s="239"/>
    </row>
    <row r="89" spans="2:8" x14ac:dyDescent="0.35">
      <c r="B89" s="237" t="s">
        <v>245</v>
      </c>
      <c r="C89" s="237"/>
      <c r="D89" s="237"/>
      <c r="E89" s="237"/>
      <c r="F89" s="237"/>
      <c r="G89" s="237"/>
      <c r="H89" s="237"/>
    </row>
    <row r="90" spans="2:8" ht="15.75" customHeight="1" x14ac:dyDescent="0.35">
      <c r="B90" s="22" t="s">
        <v>2318</v>
      </c>
      <c r="C90" s="22" t="s">
        <v>357</v>
      </c>
      <c r="D90" s="22" t="s">
        <v>2258</v>
      </c>
    </row>
    <row r="91" spans="2:8" x14ac:dyDescent="0.35">
      <c r="B91" s="27" t="s">
        <v>2263</v>
      </c>
      <c r="C91" s="163">
        <v>0.98499999999999999</v>
      </c>
      <c r="D91" s="238"/>
      <c r="E91" s="238"/>
      <c r="F91" s="238"/>
      <c r="G91" s="238"/>
      <c r="H91" s="238"/>
    </row>
    <row r="92" spans="2:8" ht="15" customHeight="1" x14ac:dyDescent="0.35">
      <c r="B92" s="116" t="s">
        <v>246</v>
      </c>
      <c r="C92" s="165">
        <v>1</v>
      </c>
      <c r="D92" s="239" t="s">
        <v>2319</v>
      </c>
      <c r="E92" s="239"/>
      <c r="F92" s="239"/>
      <c r="G92" s="239"/>
      <c r="H92" s="239"/>
    </row>
    <row r="93" spans="2:8" ht="15" customHeight="1" x14ac:dyDescent="0.35">
      <c r="B93" s="27" t="s">
        <v>521</v>
      </c>
      <c r="C93" s="163">
        <v>1.03</v>
      </c>
      <c r="D93" s="238" t="s">
        <v>2682</v>
      </c>
      <c r="E93" s="238"/>
      <c r="F93" s="238"/>
      <c r="G93" s="238"/>
      <c r="H93" s="238"/>
    </row>
    <row r="94" spans="2:8" ht="15" customHeight="1" x14ac:dyDescent="0.35">
      <c r="B94" s="116" t="s">
        <v>2683</v>
      </c>
      <c r="C94" s="165">
        <v>1.0649999999999999</v>
      </c>
      <c r="D94" s="239" t="s">
        <v>2684</v>
      </c>
      <c r="E94" s="239"/>
      <c r="F94" s="239"/>
      <c r="G94" s="239"/>
      <c r="H94" s="239"/>
    </row>
    <row r="96" spans="2:8" x14ac:dyDescent="0.35">
      <c r="B96" s="237" t="s">
        <v>247</v>
      </c>
      <c r="C96" s="237"/>
      <c r="D96" s="237"/>
      <c r="E96" s="237"/>
      <c r="F96" s="237"/>
      <c r="G96" s="237"/>
      <c r="H96" s="237"/>
    </row>
    <row r="97" spans="2:8" ht="15.75" customHeight="1" x14ac:dyDescent="0.35">
      <c r="B97" s="22" t="s">
        <v>2318</v>
      </c>
      <c r="C97" s="22" t="s">
        <v>357</v>
      </c>
      <c r="D97" s="22" t="s">
        <v>2258</v>
      </c>
    </row>
    <row r="98" spans="2:8" x14ac:dyDescent="0.35">
      <c r="B98" s="27" t="s">
        <v>555</v>
      </c>
      <c r="C98" s="163">
        <v>0.96</v>
      </c>
      <c r="D98" s="238"/>
      <c r="E98" s="238"/>
      <c r="F98" s="238"/>
      <c r="G98" s="238"/>
      <c r="H98" s="238"/>
    </row>
    <row r="99" spans="2:8" ht="15" customHeight="1" x14ac:dyDescent="0.35">
      <c r="B99" s="116" t="s">
        <v>248</v>
      </c>
      <c r="C99" s="165">
        <v>1</v>
      </c>
      <c r="D99" s="239" t="s">
        <v>2319</v>
      </c>
      <c r="E99" s="239"/>
      <c r="F99" s="239"/>
      <c r="G99" s="239"/>
      <c r="H99" s="239"/>
    </row>
    <row r="100" spans="2:8" x14ac:dyDescent="0.35">
      <c r="B100" s="27" t="s">
        <v>523</v>
      </c>
      <c r="C100" s="163">
        <v>1.0449999999999999</v>
      </c>
      <c r="D100" s="238"/>
      <c r="E100" s="238"/>
      <c r="F100" s="238"/>
      <c r="G100" s="238"/>
      <c r="H100" s="238"/>
    </row>
    <row r="101" spans="2:8" ht="15" customHeight="1" x14ac:dyDescent="0.35">
      <c r="B101" s="116" t="s">
        <v>2685</v>
      </c>
      <c r="C101" s="165">
        <v>1.07</v>
      </c>
      <c r="D101" s="239" t="s">
        <v>2674</v>
      </c>
      <c r="E101" s="239"/>
      <c r="F101" s="239"/>
      <c r="G101" s="239"/>
      <c r="H101" s="239"/>
    </row>
    <row r="103" spans="2:8" x14ac:dyDescent="0.35">
      <c r="B103" s="237" t="s">
        <v>249</v>
      </c>
      <c r="C103" s="237"/>
      <c r="D103" s="237"/>
      <c r="E103" s="237"/>
      <c r="F103" s="237"/>
      <c r="G103" s="237"/>
      <c r="H103" s="237"/>
    </row>
    <row r="104" spans="2:8" ht="15.75" customHeight="1" x14ac:dyDescent="0.35">
      <c r="B104" s="22" t="s">
        <v>2318</v>
      </c>
      <c r="C104" s="22" t="s">
        <v>357</v>
      </c>
      <c r="D104" s="22" t="s">
        <v>2258</v>
      </c>
    </row>
    <row r="105" spans="2:8" ht="15" customHeight="1" x14ac:dyDescent="0.35">
      <c r="B105" s="27" t="s">
        <v>712</v>
      </c>
      <c r="C105" s="163">
        <v>0.98</v>
      </c>
      <c r="D105" s="238" t="s">
        <v>2686</v>
      </c>
      <c r="E105" s="238"/>
      <c r="F105" s="238"/>
      <c r="G105" s="238"/>
      <c r="H105" s="238"/>
    </row>
    <row r="106" spans="2:8" ht="15" customHeight="1" x14ac:dyDescent="0.35">
      <c r="B106" s="116" t="s">
        <v>250</v>
      </c>
      <c r="C106" s="165">
        <v>1</v>
      </c>
      <c r="D106" s="239" t="s">
        <v>2687</v>
      </c>
      <c r="E106" s="239"/>
      <c r="F106" s="239"/>
      <c r="G106" s="239"/>
      <c r="H106" s="239"/>
    </row>
    <row r="107" spans="2:8" ht="15" customHeight="1" x14ac:dyDescent="0.35">
      <c r="B107" s="27" t="s">
        <v>524</v>
      </c>
      <c r="C107" s="163">
        <v>1.03</v>
      </c>
      <c r="D107" s="238" t="s">
        <v>2688</v>
      </c>
      <c r="E107" s="238"/>
      <c r="F107" s="238"/>
      <c r="G107" s="238"/>
      <c r="H107" s="238"/>
    </row>
    <row r="108" spans="2:8" ht="15" customHeight="1" x14ac:dyDescent="0.35">
      <c r="B108" s="116" t="s">
        <v>2689</v>
      </c>
      <c r="C108" s="165">
        <v>1.0549999999999999</v>
      </c>
      <c r="D108" s="239" t="s">
        <v>2688</v>
      </c>
      <c r="E108" s="239"/>
      <c r="F108" s="239"/>
      <c r="G108" s="239"/>
      <c r="H108" s="239"/>
    </row>
    <row r="109" spans="2:8" ht="15" customHeight="1" x14ac:dyDescent="0.35">
      <c r="B109" s="27" t="s">
        <v>2690</v>
      </c>
      <c r="C109" s="163">
        <v>1.0900000000000001</v>
      </c>
      <c r="D109" s="238" t="s">
        <v>2691</v>
      </c>
      <c r="E109" s="238"/>
      <c r="F109" s="238"/>
      <c r="G109" s="238"/>
      <c r="H109" s="238"/>
    </row>
    <row r="111" spans="2:8" x14ac:dyDescent="0.35">
      <c r="B111" s="15" t="s">
        <v>713</v>
      </c>
    </row>
    <row r="112" spans="2:8" ht="15" customHeight="1" x14ac:dyDescent="0.35">
      <c r="B112" s="7" t="s">
        <v>2692</v>
      </c>
      <c r="C112" s="7"/>
      <c r="D112" s="7"/>
      <c r="E112" s="7"/>
      <c r="F112" s="7"/>
      <c r="G112" s="7"/>
      <c r="H112" s="7"/>
    </row>
    <row r="113" spans="2:8" x14ac:dyDescent="0.35">
      <c r="B113" s="7"/>
      <c r="C113" s="7"/>
      <c r="D113" s="7"/>
      <c r="E113" s="7"/>
      <c r="F113" s="7"/>
      <c r="G113" s="7"/>
      <c r="H113" s="7"/>
    </row>
    <row r="114" spans="2:8" x14ac:dyDescent="0.35">
      <c r="B114" s="7"/>
      <c r="C114" s="7"/>
      <c r="D114" s="7"/>
      <c r="E114" s="7"/>
      <c r="F114" s="7"/>
      <c r="G114" s="7"/>
      <c r="H114" s="7"/>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topLeftCell="A44" zoomScaleNormal="100" workbookViewId="0"/>
  </sheetViews>
  <sheetFormatPr defaultColWidth="8.6328125" defaultRowHeight="14.5" x14ac:dyDescent="0.35"/>
  <cols>
    <col min="1" max="1" width="2" customWidth="1"/>
    <col min="2" max="2" width="46" customWidth="1"/>
    <col min="3" max="9" width="16" customWidth="1"/>
    <col min="10" max="10" width="60" customWidth="1"/>
  </cols>
  <sheetData>
    <row r="1" spans="2:10" ht="25.5" customHeight="1" x14ac:dyDescent="0.35">
      <c r="B1" s="14" t="s">
        <v>2693</v>
      </c>
      <c r="C1" s="14"/>
      <c r="D1" s="14"/>
      <c r="E1" s="14"/>
      <c r="F1" s="14"/>
      <c r="G1" s="14"/>
      <c r="H1" s="14"/>
      <c r="I1" s="14"/>
      <c r="J1" s="14"/>
    </row>
    <row r="2" spans="2:10" ht="15" customHeight="1" x14ac:dyDescent="0.35">
      <c r="B2" s="13" t="s">
        <v>2694</v>
      </c>
      <c r="C2" s="13"/>
      <c r="D2" s="13"/>
      <c r="E2" s="13"/>
      <c r="F2" s="13"/>
      <c r="G2" s="13"/>
      <c r="H2" s="13"/>
      <c r="I2" s="13"/>
      <c r="J2" s="13"/>
    </row>
    <row r="4" spans="2:10" ht="18" customHeight="1" x14ac:dyDescent="0.35">
      <c r="B4" s="12" t="s">
        <v>2695</v>
      </c>
      <c r="C4" s="12"/>
      <c r="D4" s="12"/>
      <c r="E4" s="12"/>
      <c r="F4" s="12"/>
      <c r="G4" s="12"/>
      <c r="H4" s="12"/>
      <c r="I4" s="12"/>
      <c r="J4" s="12"/>
    </row>
    <row r="5" spans="2:10" x14ac:dyDescent="0.35">
      <c r="B5" s="127" t="s">
        <v>2696</v>
      </c>
      <c r="C5" s="176">
        <v>0.08</v>
      </c>
      <c r="J5" s="129" t="s">
        <v>2697</v>
      </c>
    </row>
    <row r="6" spans="2:10" x14ac:dyDescent="0.35">
      <c r="B6" s="127" t="s">
        <v>2698</v>
      </c>
      <c r="C6" s="176">
        <v>0.05</v>
      </c>
      <c r="J6" s="129" t="s">
        <v>2699</v>
      </c>
    </row>
    <row r="7" spans="2:10" x14ac:dyDescent="0.35">
      <c r="B7" s="127" t="s">
        <v>374</v>
      </c>
      <c r="C7" s="176">
        <v>7.4999999999999997E-2</v>
      </c>
      <c r="J7" s="129" t="s">
        <v>2700</v>
      </c>
    </row>
    <row r="8" spans="2:10" x14ac:dyDescent="0.35">
      <c r="B8" s="127" t="s">
        <v>2701</v>
      </c>
      <c r="C8" s="176">
        <v>0.1</v>
      </c>
      <c r="J8" s="129" t="s">
        <v>2702</v>
      </c>
    </row>
    <row r="9" spans="2:10" x14ac:dyDescent="0.35">
      <c r="B9" s="127" t="s">
        <v>2703</v>
      </c>
      <c r="C9" s="176">
        <v>0.05</v>
      </c>
      <c r="J9" s="129" t="s">
        <v>2704</v>
      </c>
    </row>
    <row r="10" spans="2:10" x14ac:dyDescent="0.35">
      <c r="B10" s="127" t="s">
        <v>2705</v>
      </c>
      <c r="C10" s="176">
        <v>0.02</v>
      </c>
      <c r="J10" s="129" t="s">
        <v>2706</v>
      </c>
    </row>
    <row r="11" spans="2:10" x14ac:dyDescent="0.35">
      <c r="B11" s="127" t="s">
        <v>2707</v>
      </c>
      <c r="C11" s="188">
        <f>'Commission Structure'!C5</f>
        <v>0.25</v>
      </c>
      <c r="J11" s="129" t="s">
        <v>2708</v>
      </c>
    </row>
    <row r="12" spans="2:10" x14ac:dyDescent="0.35">
      <c r="B12" s="15" t="s">
        <v>2709</v>
      </c>
      <c r="C12" s="189">
        <f>SUM(C8:C11)</f>
        <v>0.42000000000000004</v>
      </c>
      <c r="J12" s="129" t="s">
        <v>2710</v>
      </c>
    </row>
    <row r="13" spans="2:10" x14ac:dyDescent="0.35">
      <c r="B13" s="190" t="s">
        <v>2711</v>
      </c>
      <c r="C13" s="77">
        <f>1-C12</f>
        <v>0.57999999999999996</v>
      </c>
      <c r="J13" s="129" t="s">
        <v>2712</v>
      </c>
    </row>
    <row r="14" spans="2:10" x14ac:dyDescent="0.35">
      <c r="B14" s="127" t="s">
        <v>2713</v>
      </c>
      <c r="C14" s="178">
        <v>350</v>
      </c>
      <c r="J14" s="129" t="s">
        <v>2714</v>
      </c>
    </row>
    <row r="15" spans="2:10" x14ac:dyDescent="0.35">
      <c r="B15" s="127" t="s">
        <v>2715</v>
      </c>
      <c r="C15" s="178">
        <v>250</v>
      </c>
      <c r="J15" s="129" t="s">
        <v>2716</v>
      </c>
    </row>
    <row r="16" spans="2:10" x14ac:dyDescent="0.35">
      <c r="B16" s="127" t="s">
        <v>2717</v>
      </c>
      <c r="C16" s="178">
        <v>2000000</v>
      </c>
      <c r="J16" s="129" t="s">
        <v>2718</v>
      </c>
    </row>
    <row r="17" spans="2:10" x14ac:dyDescent="0.35">
      <c r="B17" s="127" t="s">
        <v>2719</v>
      </c>
      <c r="C17" s="162">
        <v>5</v>
      </c>
      <c r="J17" s="129" t="s">
        <v>2720</v>
      </c>
    </row>
    <row r="18" spans="2:10" x14ac:dyDescent="0.35">
      <c r="B18" s="127" t="s">
        <v>2721</v>
      </c>
      <c r="C18" s="178">
        <v>100000</v>
      </c>
      <c r="J18" s="129" t="s">
        <v>2722</v>
      </c>
    </row>
    <row r="19" spans="2:10" x14ac:dyDescent="0.35">
      <c r="B19" s="15" t="s">
        <v>2723</v>
      </c>
      <c r="C19" s="191">
        <v>-0.15</v>
      </c>
      <c r="J19" s="192" t="s">
        <v>2724</v>
      </c>
    </row>
    <row r="20" spans="2:10" x14ac:dyDescent="0.35">
      <c r="B20" s="127" t="s">
        <v>2725</v>
      </c>
      <c r="C20" s="191">
        <v>0.25</v>
      </c>
      <c r="J20" s="129" t="s">
        <v>2726</v>
      </c>
    </row>
    <row r="21" spans="2:10" ht="18" customHeight="1" x14ac:dyDescent="0.35">
      <c r="B21" s="12" t="s">
        <v>2727</v>
      </c>
      <c r="C21" s="12"/>
      <c r="D21" s="12"/>
      <c r="E21" s="12"/>
      <c r="F21" s="12"/>
      <c r="G21" s="12"/>
      <c r="H21" s="12"/>
      <c r="I21" s="12"/>
      <c r="J21" s="12"/>
    </row>
    <row r="22" spans="2:10" x14ac:dyDescent="0.35">
      <c r="B22" s="127" t="s">
        <v>2728</v>
      </c>
      <c r="C22" s="162">
        <v>1</v>
      </c>
      <c r="J22" s="129" t="s">
        <v>2729</v>
      </c>
    </row>
    <row r="23" spans="2:10" x14ac:dyDescent="0.35">
      <c r="B23" s="127" t="s">
        <v>2730</v>
      </c>
      <c r="C23" s="178">
        <v>500</v>
      </c>
      <c r="J23" s="129" t="s">
        <v>2731</v>
      </c>
    </row>
    <row r="24" spans="2:10" x14ac:dyDescent="0.35">
      <c r="B24" s="127" t="s">
        <v>2732</v>
      </c>
      <c r="C24" s="176">
        <v>0.05</v>
      </c>
      <c r="J24" s="129" t="s">
        <v>2733</v>
      </c>
    </row>
    <row r="27" spans="2:10" x14ac:dyDescent="0.35">
      <c r="B27" s="15" t="s">
        <v>268</v>
      </c>
      <c r="C27" s="112" t="s">
        <v>719</v>
      </c>
      <c r="D27" s="112" t="s">
        <v>720</v>
      </c>
      <c r="E27" s="112" t="s">
        <v>721</v>
      </c>
      <c r="F27" s="112" t="s">
        <v>722</v>
      </c>
      <c r="G27" s="112" t="s">
        <v>723</v>
      </c>
      <c r="H27" s="112" t="s">
        <v>724</v>
      </c>
      <c r="I27" s="112" t="s">
        <v>725</v>
      </c>
    </row>
    <row r="28" spans="2:10" x14ac:dyDescent="0.35">
      <c r="B28" s="127" t="s">
        <v>2734</v>
      </c>
      <c r="C28" s="178">
        <v>175000</v>
      </c>
      <c r="D28" s="178">
        <v>375000</v>
      </c>
      <c r="E28" s="178">
        <v>750000</v>
      </c>
      <c r="F28" s="178">
        <v>1500000</v>
      </c>
      <c r="G28" s="178">
        <v>3500000</v>
      </c>
      <c r="H28" s="178">
        <v>7500000</v>
      </c>
      <c r="I28" s="178">
        <v>15000000</v>
      </c>
    </row>
    <row r="30" spans="2:10" ht="18" customHeight="1" x14ac:dyDescent="0.35">
      <c r="B30" s="12" t="s">
        <v>2735</v>
      </c>
      <c r="C30" s="12"/>
      <c r="D30" s="12"/>
      <c r="E30" s="12"/>
      <c r="F30" s="12"/>
      <c r="G30" s="12"/>
      <c r="H30" s="12"/>
      <c r="I30" s="12"/>
      <c r="J30" s="12"/>
    </row>
    <row r="31" spans="2:10" ht="30" customHeight="1" x14ac:dyDescent="0.35">
      <c r="B31" s="22" t="s">
        <v>718</v>
      </c>
      <c r="C31" s="22" t="s">
        <v>719</v>
      </c>
      <c r="D31" s="22" t="s">
        <v>720</v>
      </c>
      <c r="E31" s="22" t="s">
        <v>721</v>
      </c>
      <c r="F31" s="22" t="s">
        <v>722</v>
      </c>
      <c r="G31" s="22" t="s">
        <v>723</v>
      </c>
      <c r="H31" s="22" t="s">
        <v>724</v>
      </c>
      <c r="I31" s="22" t="s">
        <v>725</v>
      </c>
    </row>
    <row r="32" spans="2:10" x14ac:dyDescent="0.35">
      <c r="B32" s="27" t="s">
        <v>727</v>
      </c>
      <c r="C32" s="114">
        <f>(((C$28/100*'Base Rates'!C5*$C$22)+$C$23)*(1+$C$5)*(1+$C$6)+(C$28/100*'Base Rates'!C5*$C$22*$C$24))*(1+$C$7)/$C$13</f>
        <v>4584.0224137931036</v>
      </c>
      <c r="D32" s="114">
        <f>(((D$28/100*'Base Rates'!D5*$C$22)+$C$23)*(1+$C$5)*(1+$C$6)+(D$28/100*'Base Rates'!D5*$C$22*$C$24))*(1+$C$7)/$C$13</f>
        <v>7222.8879310344846</v>
      </c>
      <c r="E32" s="114">
        <f>(((E$28/100*'Base Rates'!E5*$C$22)+$C$23)*(1+$C$5)*(1+$C$6)+(E$28/100*'Base Rates'!E5*$C$22*$C$24))*(1+$C$7)/$C$13</f>
        <v>11749.008620689654</v>
      </c>
      <c r="F32" s="114">
        <f>(((F$28/100*'Base Rates'!F5*$C$22)+$C$23)*(1+$C$5)*(1+$C$6)+(F$28/100*'Base Rates'!F5*$C$22*$C$24))*(1+$C$7)/$C$13</f>
        <v>19155.387931034486</v>
      </c>
      <c r="G32" s="114">
        <f>(((G$28/100*'Base Rates'!G5*$C$22)+$C$23)*(1+$C$5)*(1+$C$6)+(G$28/100*'Base Rates'!G5*$C$22*$C$24))*(1+$C$7)/$C$13</f>
        <v>37918.215517241377</v>
      </c>
      <c r="H32" s="114">
        <f>(((H$28/100*'Base Rates'!H5*$C$22)+$C$23)*(1+$C$5)*(1+$C$6)+(H$28/100*'Base Rates'!H5*$C$22*$C$24))*(1+$C$7)/$C$13</f>
        <v>70177.112068965522</v>
      </c>
      <c r="I32" s="114">
        <f>(((I$28/100*'Base Rates'!I5*$C$22)+$C$23)*(1+$C$5)*(1+$C$6)+(I$28/100*'Base Rates'!I5*$C$22*$C$24))*(1+$C$7)/$C$13</f>
        <v>126136.42241379312</v>
      </c>
    </row>
    <row r="33" spans="2:10" x14ac:dyDescent="0.35">
      <c r="B33" s="116" t="s">
        <v>561</v>
      </c>
      <c r="C33" s="118">
        <f>(((C$28/100*'Base Rates'!C6*$C$22)+$C$23)*(1+$C$5)*(1+$C$6)+(C$28/100*'Base Rates'!C6*$C$22*$C$24))*(1+$C$7)/$C$13</f>
        <v>5582.5120689655187</v>
      </c>
      <c r="D33" s="118">
        <f>(((D$28/100*'Base Rates'!D6*$C$22)+$C$23)*(1+$C$5)*(1+$C$6)+(D$28/100*'Base Rates'!D6*$C$22*$C$24))*(1+$C$7)/$C$13</f>
        <v>8868.75</v>
      </c>
      <c r="E33" s="118">
        <f>(((E$28/100*'Base Rates'!E6*$C$22)+$C$23)*(1+$C$5)*(1+$C$6)+(E$28/100*'Base Rates'!E6*$C$22*$C$24))*(1+$C$7)/$C$13</f>
        <v>14546.974137931036</v>
      </c>
      <c r="F33" s="118">
        <f>(((F$28/100*'Base Rates'!F6*$C$22)+$C$23)*(1+$C$5)*(1+$C$6)+(F$28/100*'Base Rates'!F6*$C$22*$C$24))*(1+$C$7)/$C$13</f>
        <v>24092.974137931036</v>
      </c>
      <c r="G33" s="118">
        <f>(((G$28/100*'Base Rates'!G6*$C$22)+$C$23)*(1+$C$5)*(1+$C$6)+(G$28/100*'Base Rates'!G6*$C$22*$C$24))*(1+$C$7)/$C$13</f>
        <v>45598.90517241379</v>
      </c>
      <c r="H33" s="118">
        <f>(((H$28/100*'Base Rates'!H6*$C$22)+$C$23)*(1+$C$5)*(1+$C$6)+(H$28/100*'Base Rates'!H6*$C$22*$C$24))*(1+$C$7)/$C$13</f>
        <v>83344.008620689667</v>
      </c>
      <c r="I33" s="118">
        <f>(((I$28/100*'Base Rates'!I6*$C$22)+$C$23)*(1+$C$5)*(1+$C$6)+(I$28/100*'Base Rates'!I6*$C$22*$C$24))*(1+$C$7)/$C$13</f>
        <v>139303.31896551725</v>
      </c>
    </row>
    <row r="34" spans="2:10" x14ac:dyDescent="0.35">
      <c r="B34" s="27" t="s">
        <v>168</v>
      </c>
      <c r="C34" s="114">
        <f>(((C$28/100*'Base Rates'!C7*$C$22)+$C$23)*(1+$C$5)*(1+$C$6)+(C$28/100*'Base Rates'!C7*$C$22*$C$24))*(1+$C$7)/$C$13</f>
        <v>6504.1948275862069</v>
      </c>
      <c r="D34" s="114">
        <f>(((D$28/100*'Base Rates'!D7*$C$22)+$C$23)*(1+$C$5)*(1+$C$6)+(D$28/100*'Base Rates'!D7*$C$22*$C$24))*(1+$C$7)/$C$13</f>
        <v>10514.612068965516</v>
      </c>
      <c r="E34" s="114">
        <f>(((E$28/100*'Base Rates'!E7*$C$22)+$C$23)*(1+$C$5)*(1+$C$6)+(E$28/100*'Base Rates'!E7*$C$22*$C$24))*(1+$C$7)/$C$13</f>
        <v>16686.59482758621</v>
      </c>
      <c r="F34" s="114">
        <f>(((F$28/100*'Base Rates'!F7*$C$22)+$C$23)*(1+$C$5)*(1+$C$6)+(F$28/100*'Base Rates'!F7*$C$22*$C$24))*(1+$C$7)/$C$13</f>
        <v>27384.698275862072</v>
      </c>
      <c r="G34" s="114">
        <f>(((G$28/100*'Base Rates'!G7*$C$22)+$C$23)*(1+$C$5)*(1+$C$6)+(G$28/100*'Base Rates'!G7*$C$22*$C$24))*(1+$C$7)/$C$13</f>
        <v>50975.387931034486</v>
      </c>
      <c r="H34" s="114">
        <f>(((H$28/100*'Base Rates'!H7*$C$22)+$C$23)*(1+$C$5)*(1+$C$6)+(H$28/100*'Base Rates'!H7*$C$22*$C$24))*(1+$C$7)/$C$13</f>
        <v>91573.318965517232</v>
      </c>
      <c r="I34" s="114">
        <f>(((I$28/100*'Base Rates'!I7*$C$22)+$C$23)*(1+$C$5)*(1+$C$6)+(I$28/100*'Base Rates'!I7*$C$22*$C$24))*(1+$C$7)/$C$13</f>
        <v>149178.49137931035</v>
      </c>
    </row>
    <row r="35" spans="2:10" x14ac:dyDescent="0.35">
      <c r="B35" s="116" t="s">
        <v>507</v>
      </c>
      <c r="C35" s="118">
        <f>(((C$28/100*'Base Rates'!C8*$C$22)+$C$23)*(1+$C$5)*(1+$C$6)+(C$28/100*'Base Rates'!C8*$C$22*$C$24))*(1+$C$7)/$C$13</f>
        <v>7771.5086206896549</v>
      </c>
      <c r="D35" s="118">
        <f>(((D$28/100*'Base Rates'!D8*$C$22)+$C$23)*(1+$C$5)*(1+$C$6)+(D$28/100*'Base Rates'!D8*$C$22*$C$24))*(1+$C$7)/$C$13</f>
        <v>12983.405172413793</v>
      </c>
      <c r="E35" s="118">
        <f>(((E$28/100*'Base Rates'!E8*$C$22)+$C$23)*(1+$C$5)*(1+$C$6)+(E$28/100*'Base Rates'!E8*$C$22*$C$24))*(1+$C$7)/$C$13</f>
        <v>20801.250000000004</v>
      </c>
      <c r="F35" s="118">
        <f>(((F$28/100*'Base Rates'!F8*$C$22)+$C$23)*(1+$C$5)*(1+$C$6)+(F$28/100*'Base Rates'!F8*$C$22*$C$24))*(1+$C$7)/$C$13</f>
        <v>33968.146551724138</v>
      </c>
      <c r="G35" s="118">
        <f>(((G$28/100*'Base Rates'!G8*$C$22)+$C$23)*(1+$C$5)*(1+$C$6)+(G$28/100*'Base Rates'!G8*$C$22*$C$24))*(1+$C$7)/$C$13</f>
        <v>64032.560344827594</v>
      </c>
      <c r="H35" s="118">
        <f>(((H$28/100*'Base Rates'!H8*$C$22)+$C$23)*(1+$C$5)*(1+$C$6)+(H$28/100*'Base Rates'!H8*$C$22*$C$24))*(1+$C$7)/$C$13</f>
        <v>112969.525862069</v>
      </c>
      <c r="I35" s="118">
        <f>(((I$28/100*'Base Rates'!I8*$C$22)+$C$23)*(1+$C$5)*(1+$C$6)+(I$28/100*'Base Rates'!I8*$C$22*$C$24))*(1+$C$7)/$C$13</f>
        <v>182095.7327586207</v>
      </c>
    </row>
    <row r="36" spans="2:10" x14ac:dyDescent="0.35">
      <c r="B36" s="27" t="s">
        <v>732</v>
      </c>
      <c r="C36" s="114">
        <f>(((C$28/100*'Base Rates'!C9*$C$22)+$C$23)*(1+$C$5)*(1+$C$6)+(C$28/100*'Base Rates'!C9*$C$22*$C$24))*(1+$C$7)/$C$13</f>
        <v>7387.4741379310362</v>
      </c>
      <c r="D36" s="114">
        <f>(((D$28/100*'Base Rates'!D9*$C$22)+$C$23)*(1+$C$5)*(1+$C$6)+(D$28/100*'Base Rates'!D9*$C$22*$C$24))*(1+$C$7)/$C$13</f>
        <v>12160.474137931034</v>
      </c>
      <c r="E36" s="114">
        <f>(((E$28/100*'Base Rates'!E9*$C$22)+$C$23)*(1+$C$5)*(1+$C$6)+(E$28/100*'Base Rates'!E9*$C$22*$C$24))*(1+$C$7)/$C$13</f>
        <v>19155.387931034486</v>
      </c>
      <c r="F36" s="114">
        <f>(((F$28/100*'Base Rates'!F9*$C$22)+$C$23)*(1+$C$5)*(1+$C$6)+(F$28/100*'Base Rates'!F9*$C$22*$C$24))*(1+$C$7)/$C$13</f>
        <v>31334.767241379319</v>
      </c>
      <c r="G36" s="114">
        <f>(((G$28/100*'Base Rates'!G9*$C$22)+$C$23)*(1+$C$5)*(1+$C$6)+(G$28/100*'Base Rates'!G9*$C$22*$C$24))*(1+$C$7)/$C$13</f>
        <v>60960.28448275863</v>
      </c>
      <c r="H36" s="114">
        <f>(((H$28/100*'Base Rates'!H9*$C$22)+$C$23)*(1+$C$5)*(1+$C$6)+(H$28/100*'Base Rates'!H9*$C$22*$C$24))*(1+$C$7)/$C$13</f>
        <v>106386.0775862069</v>
      </c>
      <c r="I36" s="114">
        <f>(((I$28/100*'Base Rates'!I9*$C$22)+$C$23)*(1+$C$5)*(1+$C$6)+(I$28/100*'Base Rates'!I9*$C$22*$C$24))*(1+$C$7)/$C$13</f>
        <v>172220.56034482759</v>
      </c>
    </row>
    <row r="37" spans="2:10" x14ac:dyDescent="0.35">
      <c r="B37" s="116" t="s">
        <v>734</v>
      </c>
      <c r="C37" s="118">
        <f>(((C$28/100*'Base Rates'!C10*$C$22)+$C$23)*(1+$C$5)*(1+$C$6)+(C$28/100*'Base Rates'!C10*$C$22*$C$24))*(1+$C$7)/$C$13</f>
        <v>2971.0775862068967</v>
      </c>
      <c r="D37" s="118">
        <f>(((D$28/100*'Base Rates'!D10*$C$22)+$C$23)*(1+$C$5)*(1+$C$6)+(D$28/100*'Base Rates'!D10*$C$22*$C$24))*(1+$C$7)/$C$13</f>
        <v>4507.2155172413795</v>
      </c>
      <c r="E37" s="118">
        <f>(((E$28/100*'Base Rates'!E10*$C$22)+$C$23)*(1+$C$5)*(1+$C$6)+(E$28/100*'Base Rates'!E10*$C$22*$C$24))*(1+$C$7)/$C$13</f>
        <v>7305.1810344827591</v>
      </c>
      <c r="F37" s="118">
        <f>(((F$28/100*'Base Rates'!F10*$C$22)+$C$23)*(1+$C$5)*(1+$C$6)+(F$28/100*'Base Rates'!F10*$C$22*$C$24))*(1+$C$7)/$C$13</f>
        <v>12242.767241379312</v>
      </c>
      <c r="G37" s="118">
        <f>(((G$28/100*'Base Rates'!G10*$C$22)+$C$23)*(1+$C$5)*(1+$C$6)+(G$28/100*'Base Rates'!G10*$C$22*$C$24))*(1+$C$7)/$C$13</f>
        <v>24092.974137931036</v>
      </c>
      <c r="H37" s="118">
        <f>(((H$28/100*'Base Rates'!H10*$C$22)+$C$23)*(1+$C$5)*(1+$C$6)+(H$28/100*'Base Rates'!H10*$C$22*$C$24))*(1+$C$7)/$C$13</f>
        <v>45489.181034482761</v>
      </c>
      <c r="I37" s="118">
        <f>(((I$28/100*'Base Rates'!I10*$C$22)+$C$23)*(1+$C$5)*(1+$C$6)+(I$28/100*'Base Rates'!I10*$C$22*$C$24))*(1+$C$7)/$C$13</f>
        <v>80052.284482758623</v>
      </c>
    </row>
    <row r="38" spans="2:10" x14ac:dyDescent="0.35">
      <c r="B38" s="27" t="s">
        <v>529</v>
      </c>
      <c r="C38" s="114">
        <f>(((C$28/100*'Base Rates'!C11*$C$22)+$C$23)*(1+$C$5)*(1+$C$6)+(C$28/100*'Base Rates'!C11*$C$22*$C$24))*(1+$C$7)/$C$13</f>
        <v>3239.9017241379315</v>
      </c>
      <c r="D38" s="114">
        <f>(((D$28/100*'Base Rates'!D11*$C$22)+$C$23)*(1+$C$5)*(1+$C$6)+(D$28/100*'Base Rates'!D11*$C$22*$C$24))*(1+$C$7)/$C$13</f>
        <v>5000.9741379310353</v>
      </c>
      <c r="E38" s="114">
        <f>(((E$28/100*'Base Rates'!E11*$C$22)+$C$23)*(1+$C$5)*(1+$C$6)+(E$28/100*'Base Rates'!E11*$C$22*$C$24))*(1+$C$7)/$C$13</f>
        <v>8128.1120689655181</v>
      </c>
      <c r="F38" s="114">
        <f>(((F$28/100*'Base Rates'!F11*$C$22)+$C$23)*(1+$C$5)*(1+$C$6)+(F$28/100*'Base Rates'!F11*$C$22*$C$24))*(1+$C$7)/$C$13</f>
        <v>13559.456896551725</v>
      </c>
      <c r="G38" s="114">
        <f>(((G$28/100*'Base Rates'!G11*$C$22)+$C$23)*(1+$C$5)*(1+$C$6)+(G$28/100*'Base Rates'!G11*$C$22*$C$24))*(1+$C$7)/$C$13</f>
        <v>26397.181034482761</v>
      </c>
      <c r="H38" s="114">
        <f>(((H$28/100*'Base Rates'!H11*$C$22)+$C$23)*(1+$C$5)*(1+$C$6)+(H$28/100*'Base Rates'!H11*$C$22*$C$24))*(1+$C$7)/$C$13</f>
        <v>48780.905172413797</v>
      </c>
      <c r="I38" s="114">
        <f>(((I$28/100*'Base Rates'!I11*$C$22)+$C$23)*(1+$C$5)*(1+$C$6)+(I$28/100*'Base Rates'!I11*$C$22*$C$24))*(1+$C$7)/$C$13</f>
        <v>86635.732758620696</v>
      </c>
    </row>
    <row r="39" spans="2:10" x14ac:dyDescent="0.35">
      <c r="B39" s="116" t="s">
        <v>737</v>
      </c>
      <c r="C39" s="118">
        <f>(((C$28/100*'Base Rates'!C12*$C$22)+$C$23)*(1+$C$5)*(1+$C$6)+(C$28/100*'Base Rates'!C12*$C$22*$C$24))*(1+$C$7)/$C$13</f>
        <v>3892.7603448275863</v>
      </c>
      <c r="D39" s="118">
        <f>(((D$28/100*'Base Rates'!D12*$C$22)+$C$23)*(1+$C$5)*(1+$C$6)+(D$28/100*'Base Rates'!D12*$C$22*$C$24))*(1+$C$7)/$C$13</f>
        <v>6153.0775862068967</v>
      </c>
      <c r="E39" s="118">
        <f>(((E$28/100*'Base Rates'!E12*$C$22)+$C$23)*(1+$C$5)*(1+$C$6)+(E$28/100*'Base Rates'!E12*$C$22*$C$24))*(1+$C$7)/$C$13</f>
        <v>10103.146551724138</v>
      </c>
      <c r="F39" s="118">
        <f>(((F$28/100*'Base Rates'!F12*$C$22)+$C$23)*(1+$C$5)*(1+$C$6)+(F$28/100*'Base Rates'!F12*$C$22*$C$24))*(1+$C$7)/$C$13</f>
        <v>16851.181034482761</v>
      </c>
      <c r="G39" s="118">
        <f>(((G$28/100*'Base Rates'!G12*$C$22)+$C$23)*(1+$C$5)*(1+$C$6)+(G$28/100*'Base Rates'!G12*$C$22*$C$24))*(1+$C$7)/$C$13</f>
        <v>33309.801724137928</v>
      </c>
      <c r="H39" s="118">
        <f>(((H$28/100*'Base Rates'!H12*$C$22)+$C$23)*(1+$C$5)*(1+$C$6)+(H$28/100*'Base Rates'!H12*$C$22*$C$24))*(1+$C$7)/$C$13</f>
        <v>60301.93965517242</v>
      </c>
      <c r="I39" s="118">
        <f>(((I$28/100*'Base Rates'!I12*$C$22)+$C$23)*(1+$C$5)*(1+$C$6)+(I$28/100*'Base Rates'!I12*$C$22*$C$24))*(1+$C$7)/$C$13</f>
        <v>106386.0775862069</v>
      </c>
    </row>
    <row r="40" spans="2:10" x14ac:dyDescent="0.35">
      <c r="B40" s="27" t="s">
        <v>739</v>
      </c>
      <c r="C40" s="114">
        <f>(((C$28/100*'Base Rates'!C13*$C$22)+$C$23)*(1+$C$5)*(1+$C$6)+(C$28/100*'Base Rates'!C13*$C$22*$C$24))*(1+$C$7)/$C$13</f>
        <v>4353.6017241379313</v>
      </c>
      <c r="D40" s="114">
        <f>(((D$28/100*'Base Rates'!D13*$C$22)+$C$23)*(1+$C$5)*(1+$C$6)+(D$28/100*'Base Rates'!D13*$C$22*$C$24))*(1+$C$7)/$C$13</f>
        <v>6976.0086206896558</v>
      </c>
      <c r="E40" s="114">
        <f>(((E$28/100*'Base Rates'!E13*$C$22)+$C$23)*(1+$C$5)*(1+$C$6)+(E$28/100*'Base Rates'!E13*$C$22*$C$24))*(1+$C$7)/$C$13</f>
        <v>11419.836206896553</v>
      </c>
      <c r="F40" s="114">
        <f>(((F$28/100*'Base Rates'!F13*$C$22)+$C$23)*(1+$C$5)*(1+$C$6)+(F$28/100*'Base Rates'!F13*$C$22*$C$24))*(1+$C$7)/$C$13</f>
        <v>19155.387931034486</v>
      </c>
      <c r="G40" s="114">
        <f>(((G$28/100*'Base Rates'!G13*$C$22)+$C$23)*(1+$C$5)*(1+$C$6)+(G$28/100*'Base Rates'!G13*$C$22*$C$24))*(1+$C$7)/$C$13</f>
        <v>37150.146551724138</v>
      </c>
      <c r="H40" s="114">
        <f>(((H$28/100*'Base Rates'!H13*$C$22)+$C$23)*(1+$C$5)*(1+$C$6)+(H$28/100*'Base Rates'!H13*$C$22*$C$24))*(1+$C$7)/$C$13</f>
        <v>68531.25</v>
      </c>
      <c r="I40" s="114">
        <f>(((I$28/100*'Base Rates'!I13*$C$22)+$C$23)*(1+$C$5)*(1+$C$6)+(I$28/100*'Base Rates'!I13*$C$22*$C$24))*(1+$C$7)/$C$13</f>
        <v>116261.25000000003</v>
      </c>
    </row>
    <row r="41" spans="2:10" x14ac:dyDescent="0.35">
      <c r="B41" s="116" t="s">
        <v>741</v>
      </c>
      <c r="C41" s="118">
        <f>(((C$28/100*'Base Rates'!C14*$C$22)+$C$23)*(1+$C$5)*(1+$C$6)+(C$28/100*'Base Rates'!C14*$C$22*$C$24))*(1+$C$7)/$C$13</f>
        <v>4891.25</v>
      </c>
      <c r="D41" s="118">
        <f>(((D$28/100*'Base Rates'!D14*$C$22)+$C$23)*(1+$C$5)*(1+$C$6)+(D$28/100*'Base Rates'!D14*$C$22*$C$24))*(1+$C$7)/$C$13</f>
        <v>8045.8189655172428</v>
      </c>
      <c r="E41" s="118">
        <f>(((E$28/100*'Base Rates'!E14*$C$22)+$C$23)*(1+$C$5)*(1+$C$6)+(E$28/100*'Base Rates'!E14*$C$22*$C$24))*(1+$C$7)/$C$13</f>
        <v>13394.870689655172</v>
      </c>
      <c r="F41" s="118">
        <f>(((F$28/100*'Base Rates'!F14*$C$22)+$C$23)*(1+$C$5)*(1+$C$6)+(F$28/100*'Base Rates'!F14*$C$22*$C$24))*(1+$C$7)/$C$13</f>
        <v>22447.112068965518</v>
      </c>
      <c r="G41" s="118">
        <f>(((G$28/100*'Base Rates'!G14*$C$22)+$C$23)*(1+$C$5)*(1+$C$6)+(G$28/100*'Base Rates'!G14*$C$22*$C$24))*(1+$C$7)/$C$13</f>
        <v>44062.767241379326</v>
      </c>
      <c r="H41" s="118">
        <f>(((H$28/100*'Base Rates'!H14*$C$22)+$C$23)*(1+$C$5)*(1+$C$6)+(H$28/100*'Base Rates'!H14*$C$22*$C$24))*(1+$C$7)/$C$13</f>
        <v>80052.284482758623</v>
      </c>
      <c r="I41" s="118">
        <f>(((I$28/100*'Base Rates'!I14*$C$22)+$C$23)*(1+$C$5)*(1+$C$6)+(I$28/100*'Base Rates'!I14*$C$22*$C$24))*(1+$C$7)/$C$13</f>
        <v>139303.31896551725</v>
      </c>
    </row>
    <row r="42" spans="2:10" x14ac:dyDescent="0.35">
      <c r="B42" s="27" t="s">
        <v>572</v>
      </c>
      <c r="C42" s="114">
        <f>(((C$28/100*'Base Rates'!C15*$C$22)+$C$23)*(1+$C$5)*(1+$C$6)+(C$28/100*'Base Rates'!C15*$C$22*$C$24))*(1+$C$7)/$C$13</f>
        <v>5083.2672413793098</v>
      </c>
      <c r="D42" s="114">
        <f>(((D$28/100*'Base Rates'!D15*$C$22)+$C$23)*(1+$C$5)*(1+$C$6)+(D$28/100*'Base Rates'!D15*$C$22*$C$24))*(1+$C$7)/$C$13</f>
        <v>8292.6982758620688</v>
      </c>
      <c r="E42" s="114">
        <f>(((E$28/100*'Base Rates'!E15*$C$22)+$C$23)*(1+$C$5)*(1+$C$6)+(E$28/100*'Base Rates'!E15*$C$22*$C$24))*(1+$C$7)/$C$13</f>
        <v>13888.62931034483</v>
      </c>
      <c r="F42" s="114">
        <f>(((F$28/100*'Base Rates'!F15*$C$22)+$C$23)*(1+$C$5)*(1+$C$6)+(F$28/100*'Base Rates'!F15*$C$22*$C$24))*(1+$C$7)/$C$13</f>
        <v>23434.62931034483</v>
      </c>
      <c r="G42" s="114">
        <f>(((G$28/100*'Base Rates'!G15*$C$22)+$C$23)*(1+$C$5)*(1+$C$6)+(G$28/100*'Base Rates'!G15*$C$22*$C$24))*(1+$C$7)/$C$13</f>
        <v>45598.90517241379</v>
      </c>
      <c r="H42" s="114">
        <f>(((H$28/100*'Base Rates'!H15*$C$22)+$C$23)*(1+$C$5)*(1+$C$6)+(H$28/100*'Base Rates'!H15*$C$22*$C$24))*(1+$C$7)/$C$13</f>
        <v>83344.008620689667</v>
      </c>
      <c r="I42" s="114">
        <f>(((I$28/100*'Base Rates'!I15*$C$22)+$C$23)*(1+$C$5)*(1+$C$6)+(I$28/100*'Base Rates'!I15*$C$22*$C$24))*(1+$C$7)/$C$13</f>
        <v>142595.04310344829</v>
      </c>
    </row>
    <row r="43" spans="2:10" x14ac:dyDescent="0.35">
      <c r="B43" s="116" t="s">
        <v>744</v>
      </c>
      <c r="C43" s="118">
        <f>(((C$28/100*'Base Rates'!C16*$C$22)+$C$23)*(1+$C$5)*(1+$C$6)+(C$28/100*'Base Rates'!C16*$C$22*$C$24))*(1+$C$7)/$C$13</f>
        <v>7118.6500000000005</v>
      </c>
      <c r="D43" s="118">
        <f>(((D$28/100*'Base Rates'!D16*$C$22)+$C$23)*(1+$C$5)*(1+$C$6)+(D$28/100*'Base Rates'!D16*$C$22*$C$24))*(1+$C$7)/$C$13</f>
        <v>11749.008620689654</v>
      </c>
      <c r="E43" s="118">
        <f>(((E$28/100*'Base Rates'!E16*$C$22)+$C$23)*(1+$C$5)*(1+$C$6)+(E$28/100*'Base Rates'!E16*$C$22*$C$24))*(1+$C$7)/$C$13</f>
        <v>19155.387931034486</v>
      </c>
      <c r="F43" s="118">
        <f>(((F$28/100*'Base Rates'!F16*$C$22)+$C$23)*(1+$C$5)*(1+$C$6)+(F$28/100*'Base Rates'!F16*$C$22*$C$24))*(1+$C$7)/$C$13</f>
        <v>32322.284482758627</v>
      </c>
      <c r="G43" s="118">
        <f>(((G$28/100*'Base Rates'!G16*$C$22)+$C$23)*(1+$C$5)*(1+$C$6)+(G$28/100*'Base Rates'!G16*$C$22*$C$24))*(1+$C$7)/$C$13</f>
        <v>62496.422413793101</v>
      </c>
      <c r="H43" s="118">
        <f>(((H$28/100*'Base Rates'!H16*$C$22)+$C$23)*(1+$C$5)*(1+$C$6)+(H$28/100*'Base Rates'!H16*$C$22*$C$24))*(1+$C$7)/$C$13</f>
        <v>109677.80172413794</v>
      </c>
      <c r="I43" s="118">
        <f>(((I$28/100*'Base Rates'!I16*$C$22)+$C$23)*(1+$C$5)*(1+$C$6)+(I$28/100*'Base Rates'!I16*$C$22*$C$24))*(1+$C$7)/$C$13</f>
        <v>182095.7327586207</v>
      </c>
    </row>
    <row r="46" spans="2:10" ht="18" customHeight="1" x14ac:dyDescent="0.35">
      <c r="B46" s="12" t="s">
        <v>2736</v>
      </c>
      <c r="C46" s="12"/>
      <c r="D46" s="12"/>
      <c r="E46" s="12"/>
      <c r="F46" s="12"/>
      <c r="G46" s="12"/>
      <c r="H46" s="12"/>
      <c r="I46" s="12"/>
      <c r="J46" s="12"/>
    </row>
    <row r="47" spans="2:10" ht="30" customHeight="1" x14ac:dyDescent="0.35">
      <c r="B47" s="22" t="s">
        <v>718</v>
      </c>
      <c r="C47" s="22" t="s">
        <v>719</v>
      </c>
      <c r="D47" s="22" t="s">
        <v>720</v>
      </c>
      <c r="E47" s="22" t="s">
        <v>721</v>
      </c>
      <c r="F47" s="22" t="s">
        <v>722</v>
      </c>
      <c r="G47" s="22" t="s">
        <v>723</v>
      </c>
      <c r="H47" s="22" t="s">
        <v>724</v>
      </c>
      <c r="I47" s="22" t="s">
        <v>725</v>
      </c>
    </row>
    <row r="48" spans="2:10" x14ac:dyDescent="0.35">
      <c r="B48" s="27" t="s">
        <v>727</v>
      </c>
      <c r="C48" s="115">
        <f t="shared" ref="C48:I59" si="0">C32/C$28*100</f>
        <v>2.619441379310345</v>
      </c>
      <c r="D48" s="115">
        <f t="shared" si="0"/>
        <v>1.9261034482758626</v>
      </c>
      <c r="E48" s="115">
        <f t="shared" si="0"/>
        <v>1.5665344827586205</v>
      </c>
      <c r="F48" s="115">
        <f t="shared" si="0"/>
        <v>1.2770258620689656</v>
      </c>
      <c r="G48" s="115">
        <f t="shared" si="0"/>
        <v>1.0833775862068966</v>
      </c>
      <c r="H48" s="115">
        <f t="shared" si="0"/>
        <v>0.93569482758620692</v>
      </c>
      <c r="I48" s="115">
        <f t="shared" si="0"/>
        <v>0.84090948275862087</v>
      </c>
    </row>
    <row r="49" spans="2:10" x14ac:dyDescent="0.35">
      <c r="B49" s="116" t="s">
        <v>561</v>
      </c>
      <c r="C49" s="119">
        <f t="shared" si="0"/>
        <v>3.1900068965517248</v>
      </c>
      <c r="D49" s="119">
        <f t="shared" si="0"/>
        <v>2.3650000000000002</v>
      </c>
      <c r="E49" s="119">
        <f t="shared" si="0"/>
        <v>1.9395965517241383</v>
      </c>
      <c r="F49" s="119">
        <f t="shared" si="0"/>
        <v>1.606198275862069</v>
      </c>
      <c r="G49" s="119">
        <f t="shared" si="0"/>
        <v>1.3028258620689654</v>
      </c>
      <c r="H49" s="119">
        <f t="shared" si="0"/>
        <v>1.1112534482758623</v>
      </c>
      <c r="I49" s="119">
        <f t="shared" si="0"/>
        <v>0.92868879310344832</v>
      </c>
    </row>
    <row r="50" spans="2:10" x14ac:dyDescent="0.35">
      <c r="B50" s="27" t="s">
        <v>168</v>
      </c>
      <c r="C50" s="115">
        <f t="shared" si="0"/>
        <v>3.7166827586206894</v>
      </c>
      <c r="D50" s="115">
        <f t="shared" si="0"/>
        <v>2.8038965517241379</v>
      </c>
      <c r="E50" s="115">
        <f t="shared" si="0"/>
        <v>2.2248793103448281</v>
      </c>
      <c r="F50" s="115">
        <f t="shared" si="0"/>
        <v>1.825646551724138</v>
      </c>
      <c r="G50" s="115">
        <f t="shared" si="0"/>
        <v>1.4564396551724139</v>
      </c>
      <c r="H50" s="115">
        <f t="shared" si="0"/>
        <v>1.2209775862068963</v>
      </c>
      <c r="I50" s="115">
        <f t="shared" si="0"/>
        <v>0.99452327586206901</v>
      </c>
    </row>
    <row r="51" spans="2:10" x14ac:dyDescent="0.35">
      <c r="B51" s="116" t="s">
        <v>507</v>
      </c>
      <c r="C51" s="119">
        <f t="shared" si="0"/>
        <v>4.4408620689655169</v>
      </c>
      <c r="D51" s="119">
        <f t="shared" si="0"/>
        <v>3.462241379310345</v>
      </c>
      <c r="E51" s="119">
        <f t="shared" si="0"/>
        <v>2.7735000000000007</v>
      </c>
      <c r="F51" s="119">
        <f t="shared" si="0"/>
        <v>2.2645431034482759</v>
      </c>
      <c r="G51" s="119">
        <f t="shared" si="0"/>
        <v>1.8295017241379312</v>
      </c>
      <c r="H51" s="119">
        <f t="shared" si="0"/>
        <v>1.5062603448275866</v>
      </c>
      <c r="I51" s="119">
        <f t="shared" si="0"/>
        <v>1.2139715517241381</v>
      </c>
    </row>
    <row r="52" spans="2:10" x14ac:dyDescent="0.35">
      <c r="B52" s="27" t="s">
        <v>732</v>
      </c>
      <c r="C52" s="115">
        <f t="shared" si="0"/>
        <v>4.2214137931034488</v>
      </c>
      <c r="D52" s="115">
        <f t="shared" si="0"/>
        <v>3.2427931034482755</v>
      </c>
      <c r="E52" s="115">
        <f t="shared" si="0"/>
        <v>2.5540517241379312</v>
      </c>
      <c r="F52" s="115">
        <f t="shared" si="0"/>
        <v>2.0889844827586215</v>
      </c>
      <c r="G52" s="115">
        <f t="shared" si="0"/>
        <v>1.7417224137931036</v>
      </c>
      <c r="H52" s="115">
        <f t="shared" si="0"/>
        <v>1.4184810344827585</v>
      </c>
      <c r="I52" s="115">
        <f t="shared" si="0"/>
        <v>1.1481370689655173</v>
      </c>
    </row>
    <row r="53" spans="2:10" x14ac:dyDescent="0.35">
      <c r="B53" s="116" t="s">
        <v>734</v>
      </c>
      <c r="C53" s="119">
        <f t="shared" si="0"/>
        <v>1.6977586206896551</v>
      </c>
      <c r="D53" s="119">
        <f t="shared" si="0"/>
        <v>1.2019241379310346</v>
      </c>
      <c r="E53" s="119">
        <f t="shared" si="0"/>
        <v>0.97402413793103459</v>
      </c>
      <c r="F53" s="119">
        <f t="shared" si="0"/>
        <v>0.81618448275862077</v>
      </c>
      <c r="G53" s="119">
        <f t="shared" si="0"/>
        <v>0.68837068965517245</v>
      </c>
      <c r="H53" s="119">
        <f t="shared" si="0"/>
        <v>0.60652241379310345</v>
      </c>
      <c r="I53" s="119">
        <f t="shared" si="0"/>
        <v>0.53368189655172416</v>
      </c>
    </row>
    <row r="54" spans="2:10" x14ac:dyDescent="0.35">
      <c r="B54" s="27" t="s">
        <v>529</v>
      </c>
      <c r="C54" s="115">
        <f t="shared" si="0"/>
        <v>1.8513724137931038</v>
      </c>
      <c r="D54" s="115">
        <f t="shared" si="0"/>
        <v>1.3335931034482762</v>
      </c>
      <c r="E54" s="115">
        <f t="shared" si="0"/>
        <v>1.0837482758620691</v>
      </c>
      <c r="F54" s="115">
        <f t="shared" si="0"/>
        <v>0.90396379310344832</v>
      </c>
      <c r="G54" s="115">
        <f t="shared" si="0"/>
        <v>0.75420517241379326</v>
      </c>
      <c r="H54" s="115">
        <f t="shared" si="0"/>
        <v>0.65041206896551729</v>
      </c>
      <c r="I54" s="115">
        <f t="shared" si="0"/>
        <v>0.57757155172413799</v>
      </c>
    </row>
    <row r="55" spans="2:10" x14ac:dyDescent="0.35">
      <c r="B55" s="116" t="s">
        <v>737</v>
      </c>
      <c r="C55" s="119">
        <f t="shared" si="0"/>
        <v>2.2244344827586207</v>
      </c>
      <c r="D55" s="119">
        <f t="shared" si="0"/>
        <v>1.6408206896551722</v>
      </c>
      <c r="E55" s="119">
        <f t="shared" si="0"/>
        <v>1.3470862068965517</v>
      </c>
      <c r="F55" s="119">
        <f t="shared" si="0"/>
        <v>1.1234120689655174</v>
      </c>
      <c r="G55" s="119">
        <f t="shared" si="0"/>
        <v>0.95170862068965512</v>
      </c>
      <c r="H55" s="119">
        <f t="shared" si="0"/>
        <v>0.80402586206896554</v>
      </c>
      <c r="I55" s="119">
        <f t="shared" si="0"/>
        <v>0.70924051724137926</v>
      </c>
    </row>
    <row r="56" spans="2:10" x14ac:dyDescent="0.35">
      <c r="B56" s="27" t="s">
        <v>739</v>
      </c>
      <c r="C56" s="115">
        <f t="shared" si="0"/>
        <v>2.4877724137931034</v>
      </c>
      <c r="D56" s="115">
        <f t="shared" si="0"/>
        <v>1.8602689655172415</v>
      </c>
      <c r="E56" s="115">
        <f t="shared" si="0"/>
        <v>1.522644827586207</v>
      </c>
      <c r="F56" s="115">
        <f t="shared" si="0"/>
        <v>1.2770258620689656</v>
      </c>
      <c r="G56" s="115">
        <f t="shared" si="0"/>
        <v>1.0614327586206898</v>
      </c>
      <c r="H56" s="115">
        <f t="shared" si="0"/>
        <v>0.91374999999999995</v>
      </c>
      <c r="I56" s="115">
        <f t="shared" si="0"/>
        <v>0.77507500000000018</v>
      </c>
    </row>
    <row r="57" spans="2:10" x14ac:dyDescent="0.35">
      <c r="B57" s="116" t="s">
        <v>741</v>
      </c>
      <c r="C57" s="119">
        <f t="shared" si="0"/>
        <v>2.7949999999999999</v>
      </c>
      <c r="D57" s="119">
        <f t="shared" si="0"/>
        <v>2.1455517241379312</v>
      </c>
      <c r="E57" s="119">
        <f t="shared" si="0"/>
        <v>1.7859827586206898</v>
      </c>
      <c r="F57" s="119">
        <f t="shared" si="0"/>
        <v>1.4964741379310345</v>
      </c>
      <c r="G57" s="119">
        <f t="shared" si="0"/>
        <v>1.2589362068965522</v>
      </c>
      <c r="H57" s="119">
        <f t="shared" si="0"/>
        <v>1.0673637931034483</v>
      </c>
      <c r="I57" s="119">
        <f t="shared" si="0"/>
        <v>0.92868879310344832</v>
      </c>
    </row>
    <row r="58" spans="2:10" x14ac:dyDescent="0.35">
      <c r="B58" s="27" t="s">
        <v>572</v>
      </c>
      <c r="C58" s="115">
        <f t="shared" si="0"/>
        <v>2.904724137931034</v>
      </c>
      <c r="D58" s="115">
        <f t="shared" si="0"/>
        <v>2.2113862068965515</v>
      </c>
      <c r="E58" s="115">
        <f t="shared" si="0"/>
        <v>1.8518172413793106</v>
      </c>
      <c r="F58" s="115">
        <f t="shared" si="0"/>
        <v>1.5623086206896553</v>
      </c>
      <c r="G58" s="115">
        <f t="shared" si="0"/>
        <v>1.3028258620689654</v>
      </c>
      <c r="H58" s="115">
        <f t="shared" si="0"/>
        <v>1.1112534482758623</v>
      </c>
      <c r="I58" s="115">
        <f t="shared" si="0"/>
        <v>0.95063362068965529</v>
      </c>
    </row>
    <row r="59" spans="2:10" x14ac:dyDescent="0.35">
      <c r="B59" s="116" t="s">
        <v>744</v>
      </c>
      <c r="C59" s="119">
        <f t="shared" si="0"/>
        <v>4.067800000000001</v>
      </c>
      <c r="D59" s="119">
        <f t="shared" si="0"/>
        <v>3.133068965517241</v>
      </c>
      <c r="E59" s="119">
        <f t="shared" si="0"/>
        <v>2.5540517241379312</v>
      </c>
      <c r="F59" s="119">
        <f t="shared" si="0"/>
        <v>2.1548189655172418</v>
      </c>
      <c r="G59" s="119">
        <f t="shared" si="0"/>
        <v>1.7856120689655173</v>
      </c>
      <c r="H59" s="119">
        <f t="shared" si="0"/>
        <v>1.4623706896551725</v>
      </c>
      <c r="I59" s="119">
        <f t="shared" si="0"/>
        <v>1.2139715517241381</v>
      </c>
    </row>
    <row r="62" spans="2:10" x14ac:dyDescent="0.35">
      <c r="B62" s="15" t="s">
        <v>713</v>
      </c>
    </row>
    <row r="63" spans="2:10" ht="15" customHeight="1" x14ac:dyDescent="0.35">
      <c r="B63" s="7" t="s">
        <v>2737</v>
      </c>
      <c r="C63" s="7"/>
      <c r="D63" s="7"/>
      <c r="E63" s="7"/>
      <c r="F63" s="7"/>
      <c r="G63" s="7"/>
      <c r="H63" s="7"/>
      <c r="I63" s="7"/>
      <c r="J63" s="7"/>
    </row>
    <row r="64" spans="2:10" x14ac:dyDescent="0.35">
      <c r="B64" s="7"/>
      <c r="C64" s="7"/>
      <c r="D64" s="7"/>
      <c r="E64" s="7"/>
      <c r="F64" s="7"/>
      <c r="G64" s="7"/>
      <c r="H64" s="7"/>
      <c r="I64" s="7"/>
      <c r="J64" s="7"/>
    </row>
    <row r="65" spans="2:10" x14ac:dyDescent="0.35">
      <c r="B65" s="7"/>
      <c r="C65" s="7"/>
      <c r="D65" s="7"/>
      <c r="E65" s="7"/>
      <c r="F65" s="7"/>
      <c r="G65" s="7"/>
      <c r="H65" s="7"/>
      <c r="I65" s="7"/>
      <c r="J65" s="7"/>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election activeCell="C6" sqref="C6"/>
    </sheetView>
  </sheetViews>
  <sheetFormatPr defaultColWidth="8.6328125" defaultRowHeight="14.5" x14ac:dyDescent="0.3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35">
      <c r="B1" s="14" t="s">
        <v>2738</v>
      </c>
      <c r="C1" s="14"/>
      <c r="D1" s="14"/>
      <c r="E1" s="14"/>
      <c r="F1" s="14"/>
      <c r="G1" s="14"/>
    </row>
    <row r="2" spans="2:7" ht="15" customHeight="1" x14ac:dyDescent="0.35">
      <c r="B2" s="13" t="s">
        <v>2739</v>
      </c>
      <c r="C2" s="13"/>
      <c r="D2" s="13"/>
      <c r="E2" s="13"/>
      <c r="F2" s="13"/>
      <c r="G2" s="13"/>
    </row>
    <row r="4" spans="2:7" ht="18" customHeight="1" x14ac:dyDescent="0.35">
      <c r="B4" s="12" t="s">
        <v>2740</v>
      </c>
      <c r="C4" s="12"/>
      <c r="D4" s="12"/>
      <c r="E4" s="12"/>
      <c r="F4" s="12"/>
      <c r="G4" s="12"/>
    </row>
    <row r="5" spans="2:7" x14ac:dyDescent="0.35">
      <c r="B5" s="15" t="s">
        <v>2741</v>
      </c>
      <c r="C5" s="176">
        <v>0.25</v>
      </c>
      <c r="E5" s="129" t="s">
        <v>2742</v>
      </c>
    </row>
    <row r="6" spans="2:7" x14ac:dyDescent="0.35">
      <c r="B6" s="127" t="s">
        <v>2743</v>
      </c>
      <c r="C6" s="176">
        <v>0.125</v>
      </c>
      <c r="E6" s="129" t="s">
        <v>2744</v>
      </c>
    </row>
    <row r="7" spans="2:7" x14ac:dyDescent="0.35">
      <c r="B7" s="127" t="s">
        <v>2745</v>
      </c>
      <c r="C7" s="176">
        <v>0</v>
      </c>
      <c r="E7" s="129" t="s">
        <v>2746</v>
      </c>
    </row>
    <row r="8" spans="2:7" x14ac:dyDescent="0.35">
      <c r="B8" s="190" t="s">
        <v>347</v>
      </c>
      <c r="C8" s="88">
        <f>C5-C6-C7</f>
        <v>0.125</v>
      </c>
      <c r="E8" s="129" t="s">
        <v>2747</v>
      </c>
    </row>
    <row r="9" spans="2:7" x14ac:dyDescent="0.35">
      <c r="B9" s="15" t="s">
        <v>2748</v>
      </c>
      <c r="C9" s="189">
        <f>1-C5</f>
        <v>0.75</v>
      </c>
      <c r="E9" s="129" t="s">
        <v>2749</v>
      </c>
    </row>
    <row r="11" spans="2:7" ht="18" customHeight="1" x14ac:dyDescent="0.35">
      <c r="B11" s="12" t="s">
        <v>2750</v>
      </c>
      <c r="C11" s="12"/>
      <c r="D11" s="12"/>
      <c r="E11" s="12"/>
      <c r="F11" s="12"/>
      <c r="G11" s="12"/>
    </row>
    <row r="12" spans="2:7" x14ac:dyDescent="0.35">
      <c r="B12" s="127" t="s">
        <v>2751</v>
      </c>
      <c r="C12" s="176">
        <v>0.15</v>
      </c>
      <c r="E12" s="129" t="s">
        <v>2752</v>
      </c>
    </row>
    <row r="13" spans="2:7" x14ac:dyDescent="0.35">
      <c r="B13" s="127" t="s">
        <v>2753</v>
      </c>
      <c r="C13" s="176">
        <v>0.6</v>
      </c>
      <c r="E13" s="129" t="s">
        <v>2754</v>
      </c>
    </row>
    <row r="14" spans="2:7" x14ac:dyDescent="0.35">
      <c r="B14" s="127" t="s">
        <v>2755</v>
      </c>
      <c r="C14" s="176">
        <v>0.05</v>
      </c>
      <c r="E14" s="129" t="s">
        <v>2756</v>
      </c>
    </row>
    <row r="15" spans="2:7" x14ac:dyDescent="0.35">
      <c r="B15" s="127" t="s">
        <v>2757</v>
      </c>
      <c r="C15" s="193">
        <v>3</v>
      </c>
      <c r="E15" s="129" t="s">
        <v>2758</v>
      </c>
    </row>
    <row r="17" spans="2:7" ht="18" customHeight="1" x14ac:dyDescent="0.35">
      <c r="B17" s="12" t="s">
        <v>2759</v>
      </c>
      <c r="C17" s="12"/>
      <c r="D17" s="12"/>
      <c r="E17" s="12"/>
      <c r="F17" s="12"/>
      <c r="G17" s="12"/>
    </row>
    <row r="18" spans="2:7" x14ac:dyDescent="0.35">
      <c r="B18" s="127" t="s">
        <v>337</v>
      </c>
      <c r="C18" s="31">
        <f>'Technical Premium'!C14</f>
        <v>350</v>
      </c>
      <c r="E18" s="129" t="s">
        <v>2760</v>
      </c>
    </row>
    <row r="19" spans="2:7" x14ac:dyDescent="0.35">
      <c r="B19" s="127" t="s">
        <v>2715</v>
      </c>
      <c r="C19" s="31">
        <f>'Technical Premium'!C15</f>
        <v>250</v>
      </c>
      <c r="E19" s="129" t="s">
        <v>2761</v>
      </c>
    </row>
    <row r="20" spans="2:7" x14ac:dyDescent="0.35">
      <c r="B20" s="127" t="s">
        <v>953</v>
      </c>
      <c r="C20" s="194" t="s">
        <v>2762</v>
      </c>
      <c r="E20" s="129" t="s">
        <v>2763</v>
      </c>
    </row>
    <row r="21" spans="2:7" x14ac:dyDescent="0.35">
      <c r="B21" s="127" t="s">
        <v>2764</v>
      </c>
      <c r="C21" s="195">
        <v>1.8E-3</v>
      </c>
      <c r="E21" s="129" t="s">
        <v>2765</v>
      </c>
    </row>
    <row r="23" spans="2:7" ht="18" customHeight="1" x14ac:dyDescent="0.35">
      <c r="B23" s="12" t="s">
        <v>2766</v>
      </c>
      <c r="C23" s="12"/>
      <c r="D23" s="12"/>
      <c r="E23" s="12"/>
      <c r="F23" s="12"/>
      <c r="G23" s="12"/>
    </row>
    <row r="24" spans="2:7" x14ac:dyDescent="0.35">
      <c r="B24" s="127" t="s">
        <v>2767</v>
      </c>
      <c r="C24" s="178">
        <v>10000000</v>
      </c>
    </row>
    <row r="25" spans="2:7" x14ac:dyDescent="0.35">
      <c r="B25" s="127" t="s">
        <v>2768</v>
      </c>
      <c r="C25" s="178">
        <v>9500</v>
      </c>
    </row>
    <row r="26" spans="2:7" x14ac:dyDescent="0.35">
      <c r="B26" s="127" t="s">
        <v>2769</v>
      </c>
      <c r="C26" s="109">
        <f>C24/C25</f>
        <v>1052.6315789473683</v>
      </c>
    </row>
    <row r="27" spans="2:7" x14ac:dyDescent="0.35">
      <c r="B27" s="127" t="s">
        <v>2770</v>
      </c>
      <c r="C27" s="176">
        <v>0.55000000000000004</v>
      </c>
    </row>
    <row r="29" spans="2:7" ht="30" customHeight="1" x14ac:dyDescent="0.35">
      <c r="B29" s="22" t="s">
        <v>2771</v>
      </c>
      <c r="C29" s="22" t="s">
        <v>367</v>
      </c>
      <c r="D29" s="22" t="s">
        <v>617</v>
      </c>
      <c r="E29" s="22" t="s">
        <v>2258</v>
      </c>
    </row>
    <row r="30" spans="2:7" x14ac:dyDescent="0.35">
      <c r="B30" s="36" t="s">
        <v>2772</v>
      </c>
      <c r="C30" s="196">
        <f>C24</f>
        <v>10000000</v>
      </c>
      <c r="D30" s="177">
        <f t="shared" ref="D30:D45" si="0">C30/$C$24</f>
        <v>1</v>
      </c>
      <c r="E30" s="129" t="s">
        <v>2773</v>
      </c>
    </row>
    <row r="31" spans="2:7" x14ac:dyDescent="0.35">
      <c r="B31" s="36" t="s">
        <v>2774</v>
      </c>
      <c r="C31" s="196">
        <f>C24*C5</f>
        <v>2500000</v>
      </c>
      <c r="D31" s="177">
        <f t="shared" si="0"/>
        <v>0.25</v>
      </c>
      <c r="E31" s="129" t="s">
        <v>2775</v>
      </c>
    </row>
    <row r="32" spans="2:7" x14ac:dyDescent="0.35">
      <c r="B32" s="36" t="s">
        <v>2776</v>
      </c>
      <c r="C32" s="196">
        <f>-C24*C6</f>
        <v>-1250000</v>
      </c>
      <c r="D32" s="177">
        <f t="shared" si="0"/>
        <v>-0.125</v>
      </c>
      <c r="E32" s="129" t="s">
        <v>2777</v>
      </c>
    </row>
    <row r="33" spans="2:5" x14ac:dyDescent="0.35">
      <c r="B33" s="36" t="s">
        <v>2778</v>
      </c>
      <c r="C33" s="196">
        <f>-C24*C7</f>
        <v>0</v>
      </c>
      <c r="D33" s="177">
        <f t="shared" si="0"/>
        <v>0</v>
      </c>
      <c r="E33" s="129" t="s">
        <v>2779</v>
      </c>
    </row>
    <row r="34" spans="2:5" x14ac:dyDescent="0.35">
      <c r="B34" s="32" t="s">
        <v>2780</v>
      </c>
      <c r="C34" s="197">
        <f>C31+C32+C33</f>
        <v>1250000</v>
      </c>
      <c r="D34" s="88">
        <f t="shared" si="0"/>
        <v>0.125</v>
      </c>
      <c r="E34" s="129" t="s">
        <v>2781</v>
      </c>
    </row>
    <row r="35" spans="2:5" x14ac:dyDescent="0.35">
      <c r="B35" s="36" t="s">
        <v>2782</v>
      </c>
      <c r="C35" s="196">
        <f>C26*(C18+C19*0.25)</f>
        <v>434210.52631578944</v>
      </c>
      <c r="D35" s="177">
        <f t="shared" si="0"/>
        <v>4.3421052631578944E-2</v>
      </c>
      <c r="E35" s="129" t="s">
        <v>2783</v>
      </c>
    </row>
    <row r="36" spans="2:5" x14ac:dyDescent="0.35">
      <c r="B36" s="36" t="s">
        <v>2784</v>
      </c>
      <c r="C36" s="196">
        <f>MAX(0,(1-C27-C14)*C12*C24*(1-C5))</f>
        <v>449999.99999999988</v>
      </c>
      <c r="D36" s="177">
        <f t="shared" si="0"/>
        <v>4.4999999999999991E-2</v>
      </c>
      <c r="E36" s="129" t="s">
        <v>2785</v>
      </c>
    </row>
    <row r="37" spans="2:5" x14ac:dyDescent="0.35">
      <c r="B37" s="32" t="s">
        <v>2786</v>
      </c>
      <c r="C37" s="197">
        <f>C34+C35+C36</f>
        <v>2134210.5263157892</v>
      </c>
      <c r="D37" s="88">
        <f t="shared" si="0"/>
        <v>0.21342105263157893</v>
      </c>
      <c r="E37" s="129"/>
    </row>
    <row r="38" spans="2:5" x14ac:dyDescent="0.35">
      <c r="B38" s="36" t="s">
        <v>2787</v>
      </c>
      <c r="C38" s="196">
        <f>-C24*0.045</f>
        <v>-450000</v>
      </c>
      <c r="D38" s="177">
        <f t="shared" si="0"/>
        <v>-4.4999999999999998E-2</v>
      </c>
      <c r="E38" s="129" t="s">
        <v>2788</v>
      </c>
    </row>
    <row r="39" spans="2:5" x14ac:dyDescent="0.35">
      <c r="B39" s="36" t="s">
        <v>2789</v>
      </c>
      <c r="C39" s="196">
        <f>-C24*0.012</f>
        <v>-120000</v>
      </c>
      <c r="D39" s="177">
        <f t="shared" si="0"/>
        <v>-1.2E-2</v>
      </c>
      <c r="E39" s="129" t="s">
        <v>2790</v>
      </c>
    </row>
    <row r="40" spans="2:5" x14ac:dyDescent="0.35">
      <c r="B40" s="36" t="s">
        <v>2791</v>
      </c>
      <c r="C40" s="196">
        <f>-C24*0.01</f>
        <v>-100000</v>
      </c>
      <c r="D40" s="177">
        <f t="shared" si="0"/>
        <v>-0.01</v>
      </c>
      <c r="E40" s="129" t="s">
        <v>2792</v>
      </c>
    </row>
    <row r="41" spans="2:5" x14ac:dyDescent="0.35">
      <c r="B41" s="36" t="s">
        <v>2793</v>
      </c>
      <c r="C41" s="196">
        <f>-C24*0.004</f>
        <v>-40000</v>
      </c>
      <c r="D41" s="177">
        <f t="shared" si="0"/>
        <v>-4.0000000000000001E-3</v>
      </c>
      <c r="E41" s="129" t="s">
        <v>2794</v>
      </c>
    </row>
    <row r="42" spans="2:5" x14ac:dyDescent="0.35">
      <c r="B42" s="36" t="s">
        <v>2795</v>
      </c>
      <c r="C42" s="196">
        <f>-C24*0.006</f>
        <v>-60000</v>
      </c>
      <c r="D42" s="177">
        <f t="shared" si="0"/>
        <v>-6.0000000000000001E-3</v>
      </c>
      <c r="E42" s="129" t="s">
        <v>2796</v>
      </c>
    </row>
    <row r="43" spans="2:5" x14ac:dyDescent="0.35">
      <c r="B43" s="36" t="s">
        <v>2797</v>
      </c>
      <c r="C43" s="196">
        <f>-C24*0.012</f>
        <v>-120000</v>
      </c>
      <c r="D43" s="177">
        <f t="shared" si="0"/>
        <v>-1.2E-2</v>
      </c>
      <c r="E43" s="129"/>
    </row>
    <row r="44" spans="2:5" x14ac:dyDescent="0.35">
      <c r="B44" s="32" t="s">
        <v>2798</v>
      </c>
      <c r="C44" s="197">
        <f>SUM(C38:C43)</f>
        <v>-890000</v>
      </c>
      <c r="D44" s="88">
        <f t="shared" si="0"/>
        <v>-8.8999999999999996E-2</v>
      </c>
      <c r="E44" s="129"/>
    </row>
    <row r="45" spans="2:5" x14ac:dyDescent="0.35">
      <c r="B45" s="32" t="s">
        <v>2799</v>
      </c>
      <c r="C45" s="197">
        <f>C37+C44</f>
        <v>1244210.5263157892</v>
      </c>
      <c r="D45" s="88">
        <f t="shared" si="0"/>
        <v>0.12442105263157892</v>
      </c>
      <c r="E45" s="129"/>
    </row>
    <row r="46" spans="2:5" x14ac:dyDescent="0.35">
      <c r="B46" s="15" t="s">
        <v>2800</v>
      </c>
      <c r="C46" s="198">
        <f>IF(C37=0,0,C45/C37)</f>
        <v>0.58298397040690497</v>
      </c>
    </row>
    <row r="49" spans="2:7" x14ac:dyDescent="0.35">
      <c r="B49" s="15" t="s">
        <v>713</v>
      </c>
    </row>
    <row r="50" spans="2:7" ht="15" customHeight="1" x14ac:dyDescent="0.35">
      <c r="B50" s="7" t="s">
        <v>2801</v>
      </c>
      <c r="C50" s="7"/>
      <c r="D50" s="7"/>
      <c r="E50" s="7"/>
      <c r="F50" s="7"/>
      <c r="G50" s="7"/>
    </row>
    <row r="51" spans="2:7" x14ac:dyDescent="0.35">
      <c r="B51" s="7"/>
      <c r="C51" s="7"/>
      <c r="D51" s="7"/>
      <c r="E51" s="7"/>
      <c r="F51" s="7"/>
      <c r="G51" s="7"/>
    </row>
    <row r="52" spans="2:7" x14ac:dyDescent="0.35">
      <c r="B52" s="7"/>
      <c r="C52" s="7"/>
      <c r="D52" s="7"/>
      <c r="E52" s="7"/>
      <c r="F52" s="7"/>
      <c r="G52" s="7"/>
    </row>
    <row r="53" spans="2:7" x14ac:dyDescent="0.35">
      <c r="B53" s="7"/>
      <c r="C53" s="7"/>
      <c r="D53" s="7"/>
      <c r="E53" s="7"/>
      <c r="F53" s="7"/>
      <c r="G53" s="7"/>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45"/>
  <sheetViews>
    <sheetView showGridLines="0" topLeftCell="B19" zoomScaleNormal="100" workbookViewId="0">
      <selection activeCell="G16" sqref="G16"/>
    </sheetView>
  </sheetViews>
  <sheetFormatPr defaultColWidth="8.6328125" defaultRowHeight="14.5" x14ac:dyDescent="0.35"/>
  <cols>
    <col min="1" max="1" width="2" customWidth="1"/>
    <col min="2" max="2" width="12" customWidth="1"/>
    <col min="3" max="3" width="30" customWidth="1"/>
    <col min="4" max="4" width="14" customWidth="1"/>
    <col min="5" max="5" width="40" customWidth="1"/>
    <col min="6" max="7" width="13" customWidth="1"/>
    <col min="8" max="8" width="26" customWidth="1"/>
    <col min="9" max="11" width="14" customWidth="1"/>
    <col min="12" max="13" width="13" customWidth="1"/>
    <col min="14" max="14" width="12" customWidth="1"/>
    <col min="15" max="15" width="56" customWidth="1"/>
  </cols>
  <sheetData>
    <row r="1" spans="2:15" ht="25.5" customHeight="1" x14ac:dyDescent="0.35">
      <c r="B1" s="14" t="s">
        <v>2802</v>
      </c>
      <c r="C1" s="14"/>
      <c r="D1" s="14"/>
      <c r="E1" s="14"/>
      <c r="F1" s="14"/>
      <c r="G1" s="14"/>
      <c r="H1" s="14"/>
      <c r="I1" s="14"/>
      <c r="J1" s="14"/>
      <c r="K1" s="14"/>
      <c r="L1" s="14"/>
      <c r="M1" s="14"/>
      <c r="N1" s="14"/>
      <c r="O1" s="14"/>
    </row>
    <row r="2" spans="2:15" ht="15" customHeight="1" x14ac:dyDescent="0.35">
      <c r="B2" s="13" t="s">
        <v>2803</v>
      </c>
      <c r="C2" s="13"/>
      <c r="D2" s="13"/>
      <c r="E2" s="13"/>
      <c r="F2" s="13"/>
      <c r="G2" s="13"/>
      <c r="H2" s="13"/>
      <c r="I2" s="13"/>
      <c r="J2" s="13"/>
      <c r="K2" s="13"/>
      <c r="L2" s="13"/>
      <c r="M2" s="13"/>
      <c r="N2" s="13"/>
      <c r="O2" s="13"/>
    </row>
    <row r="5" spans="2:15" ht="39.75" customHeight="1" x14ac:dyDescent="0.35">
      <c r="B5" s="22" t="s">
        <v>2804</v>
      </c>
      <c r="C5" s="22" t="s">
        <v>2805</v>
      </c>
      <c r="D5" s="22" t="s">
        <v>640</v>
      </c>
      <c r="E5" s="22" t="s">
        <v>2806</v>
      </c>
      <c r="F5" s="22" t="s">
        <v>2807</v>
      </c>
      <c r="G5" s="22" t="s">
        <v>2808</v>
      </c>
      <c r="H5" s="22" t="s">
        <v>2809</v>
      </c>
      <c r="I5" s="22" t="s">
        <v>2810</v>
      </c>
      <c r="J5" s="22" t="s">
        <v>483</v>
      </c>
      <c r="K5" s="22" t="s">
        <v>2811</v>
      </c>
      <c r="L5" s="22" t="s">
        <v>2812</v>
      </c>
      <c r="M5" s="22" t="s">
        <v>2813</v>
      </c>
      <c r="N5" s="22" t="s">
        <v>2814</v>
      </c>
      <c r="O5" s="22" t="s">
        <v>497</v>
      </c>
    </row>
    <row r="6" spans="2:15" ht="30" customHeight="1" x14ac:dyDescent="0.35">
      <c r="B6" s="174" t="s">
        <v>2815</v>
      </c>
      <c r="C6" s="27" t="s">
        <v>2816</v>
      </c>
      <c r="D6" s="58" t="s">
        <v>2817</v>
      </c>
      <c r="E6" s="24" t="s">
        <v>2818</v>
      </c>
      <c r="F6" s="199">
        <v>45</v>
      </c>
      <c r="G6" s="167">
        <v>0.1</v>
      </c>
      <c r="H6" s="24" t="s">
        <v>2819</v>
      </c>
      <c r="I6" s="200">
        <f>'Commission Structure'!$C$8</f>
        <v>0.125</v>
      </c>
      <c r="J6" s="200">
        <f>'Commission Structure'!$C$6</f>
        <v>0.125</v>
      </c>
      <c r="K6" s="201">
        <f t="shared" ref="K6:K15" si="0">I6+J6</f>
        <v>0.25</v>
      </c>
      <c r="L6" s="167">
        <v>0.15</v>
      </c>
      <c r="M6" s="167">
        <v>0.62</v>
      </c>
      <c r="N6" s="135">
        <v>5000</v>
      </c>
      <c r="O6" s="24" t="s">
        <v>2820</v>
      </c>
    </row>
    <row r="7" spans="2:15" ht="30" customHeight="1" x14ac:dyDescent="0.35">
      <c r="B7" s="175" t="s">
        <v>2821</v>
      </c>
      <c r="C7" s="116" t="s">
        <v>2822</v>
      </c>
      <c r="D7" s="65" t="s">
        <v>2817</v>
      </c>
      <c r="E7" s="26" t="s">
        <v>2823</v>
      </c>
      <c r="F7" s="202">
        <v>40</v>
      </c>
      <c r="G7" s="168">
        <v>0.1</v>
      </c>
      <c r="H7" s="26" t="s">
        <v>2819</v>
      </c>
      <c r="I7" s="203">
        <f>'Commission Structure'!$C$8</f>
        <v>0.125</v>
      </c>
      <c r="J7" s="200">
        <f>'Commission Structure'!$C$6</f>
        <v>0.125</v>
      </c>
      <c r="K7" s="201">
        <f t="shared" si="0"/>
        <v>0.25</v>
      </c>
      <c r="L7" s="168">
        <v>0.15</v>
      </c>
      <c r="M7" s="168">
        <v>0.6</v>
      </c>
      <c r="N7" s="137">
        <v>5000</v>
      </c>
      <c r="O7" s="26" t="s">
        <v>2824</v>
      </c>
    </row>
    <row r="8" spans="2:15" ht="30" customHeight="1" x14ac:dyDescent="0.35">
      <c r="B8" s="174" t="s">
        <v>2825</v>
      </c>
      <c r="C8" s="27" t="s">
        <v>2826</v>
      </c>
      <c r="D8" s="58" t="s">
        <v>2827</v>
      </c>
      <c r="E8" s="24" t="s">
        <v>2828</v>
      </c>
      <c r="F8" s="199">
        <v>35</v>
      </c>
      <c r="G8" s="167">
        <v>0.1</v>
      </c>
      <c r="H8" s="24" t="s">
        <v>2819</v>
      </c>
      <c r="I8" s="200">
        <f>'Commission Structure'!$C$8</f>
        <v>0.125</v>
      </c>
      <c r="J8" s="200">
        <f>'Commission Structure'!$C$6</f>
        <v>0.125</v>
      </c>
      <c r="K8" s="201">
        <f t="shared" si="0"/>
        <v>0.25</v>
      </c>
      <c r="L8" s="167">
        <v>0.125</v>
      </c>
      <c r="M8" s="167">
        <v>0.62</v>
      </c>
      <c r="N8" s="135">
        <v>7500</v>
      </c>
      <c r="O8" s="24" t="s">
        <v>2829</v>
      </c>
    </row>
    <row r="9" spans="2:15" ht="30" customHeight="1" x14ac:dyDescent="0.35">
      <c r="B9" s="175" t="s">
        <v>2830</v>
      </c>
      <c r="C9" s="116" t="s">
        <v>2831</v>
      </c>
      <c r="D9" s="65" t="s">
        <v>2832</v>
      </c>
      <c r="E9" s="26" t="s">
        <v>2833</v>
      </c>
      <c r="F9" s="202">
        <v>30</v>
      </c>
      <c r="G9" s="168">
        <v>0.1</v>
      </c>
      <c r="H9" s="26" t="s">
        <v>2819</v>
      </c>
      <c r="I9" s="203">
        <f>'Commission Structure'!$C$8</f>
        <v>0.125</v>
      </c>
      <c r="J9" s="200">
        <f>'Commission Structure'!$C$6</f>
        <v>0.125</v>
      </c>
      <c r="K9" s="201">
        <f t="shared" si="0"/>
        <v>0.25</v>
      </c>
      <c r="L9" s="168">
        <v>0.125</v>
      </c>
      <c r="M9" s="168">
        <v>0.62</v>
      </c>
      <c r="N9" s="137">
        <v>5000</v>
      </c>
      <c r="O9" s="26" t="s">
        <v>2834</v>
      </c>
    </row>
    <row r="10" spans="2:15" ht="30" customHeight="1" x14ac:dyDescent="0.35">
      <c r="B10" s="174" t="s">
        <v>2835</v>
      </c>
      <c r="C10" s="27" t="s">
        <v>2836</v>
      </c>
      <c r="D10" s="58" t="s">
        <v>2832</v>
      </c>
      <c r="E10" s="24" t="s">
        <v>2837</v>
      </c>
      <c r="F10" s="199">
        <v>30</v>
      </c>
      <c r="G10" s="167">
        <v>0.1</v>
      </c>
      <c r="H10" s="24" t="s">
        <v>2819</v>
      </c>
      <c r="I10" s="200">
        <f>'Commission Structure'!$C$8</f>
        <v>0.125</v>
      </c>
      <c r="J10" s="200">
        <f>'Commission Structure'!$C$6</f>
        <v>0.125</v>
      </c>
      <c r="K10" s="201">
        <f t="shared" si="0"/>
        <v>0.25</v>
      </c>
      <c r="L10" s="167">
        <v>0.125</v>
      </c>
      <c r="M10" s="167">
        <v>0.6</v>
      </c>
      <c r="N10" s="135">
        <v>7500</v>
      </c>
      <c r="O10" s="24" t="s">
        <v>2838</v>
      </c>
    </row>
    <row r="11" spans="2:15" ht="30" customHeight="1" x14ac:dyDescent="0.35">
      <c r="B11" s="175" t="s">
        <v>2839</v>
      </c>
      <c r="C11" s="116" t="s">
        <v>2840</v>
      </c>
      <c r="D11" s="65" t="s">
        <v>2832</v>
      </c>
      <c r="E11" s="26" t="s">
        <v>2841</v>
      </c>
      <c r="F11" s="202">
        <v>30</v>
      </c>
      <c r="G11" s="168">
        <v>0.1</v>
      </c>
      <c r="H11" s="26" t="s">
        <v>2819</v>
      </c>
      <c r="I11" s="203">
        <f>'Commission Structure'!$C$8</f>
        <v>0.125</v>
      </c>
      <c r="J11" s="200">
        <f>'Commission Structure'!$C$6</f>
        <v>0.125</v>
      </c>
      <c r="K11" s="201">
        <f t="shared" si="0"/>
        <v>0.25</v>
      </c>
      <c r="L11" s="168">
        <v>0.1</v>
      </c>
      <c r="M11" s="168">
        <v>0.6</v>
      </c>
      <c r="N11" s="137">
        <v>7500</v>
      </c>
      <c r="O11" s="26" t="s">
        <v>2842</v>
      </c>
    </row>
    <row r="12" spans="2:15" ht="30" customHeight="1" x14ac:dyDescent="0.35">
      <c r="B12" s="174" t="s">
        <v>2843</v>
      </c>
      <c r="C12" s="27" t="s">
        <v>2844</v>
      </c>
      <c r="D12" s="58" t="s">
        <v>2845</v>
      </c>
      <c r="E12" s="24" t="s">
        <v>2846</v>
      </c>
      <c r="F12" s="199">
        <v>25</v>
      </c>
      <c r="G12" s="167">
        <v>0.1</v>
      </c>
      <c r="H12" s="24" t="s">
        <v>2847</v>
      </c>
      <c r="I12" s="200">
        <f>'Commission Structure'!$C$8</f>
        <v>0.125</v>
      </c>
      <c r="J12" s="200">
        <f>'Commission Structure'!$C$6</f>
        <v>0.125</v>
      </c>
      <c r="K12" s="201">
        <f t="shared" si="0"/>
        <v>0.25</v>
      </c>
      <c r="L12" s="167">
        <v>0.15</v>
      </c>
      <c r="M12" s="167">
        <v>0.63</v>
      </c>
      <c r="N12" s="135">
        <v>5000</v>
      </c>
      <c r="O12" s="24" t="s">
        <v>2848</v>
      </c>
    </row>
    <row r="13" spans="2:15" ht="30" customHeight="1" x14ac:dyDescent="0.35">
      <c r="B13" s="175" t="s">
        <v>2849</v>
      </c>
      <c r="C13" s="116" t="s">
        <v>2850</v>
      </c>
      <c r="D13" s="65" t="s">
        <v>2832</v>
      </c>
      <c r="E13" s="26" t="s">
        <v>2851</v>
      </c>
      <c r="F13" s="202">
        <v>25</v>
      </c>
      <c r="G13" s="168">
        <v>0.1</v>
      </c>
      <c r="H13" s="26" t="s">
        <v>2819</v>
      </c>
      <c r="I13" s="203">
        <f>'Commission Structure'!$C$8</f>
        <v>0.125</v>
      </c>
      <c r="J13" s="200">
        <f>'Commission Structure'!$C$6</f>
        <v>0.125</v>
      </c>
      <c r="K13" s="201">
        <f t="shared" si="0"/>
        <v>0.25</v>
      </c>
      <c r="L13" s="168">
        <v>0.125</v>
      </c>
      <c r="M13" s="168">
        <v>0.6</v>
      </c>
      <c r="N13" s="137">
        <v>7500</v>
      </c>
      <c r="O13" s="26" t="s">
        <v>2852</v>
      </c>
    </row>
    <row r="14" spans="2:15" ht="30" customHeight="1" x14ac:dyDescent="0.35">
      <c r="B14" s="174" t="s">
        <v>2853</v>
      </c>
      <c r="C14" s="27" t="s">
        <v>2854</v>
      </c>
      <c r="D14" s="58" t="s">
        <v>2832</v>
      </c>
      <c r="E14" s="24" t="s">
        <v>2855</v>
      </c>
      <c r="F14" s="199">
        <v>35</v>
      </c>
      <c r="G14" s="167">
        <v>0.1</v>
      </c>
      <c r="H14" s="24" t="s">
        <v>2819</v>
      </c>
      <c r="I14" s="200">
        <f>'Commission Structure'!$C$8</f>
        <v>0.125</v>
      </c>
      <c r="J14" s="200">
        <f>'Commission Structure'!$C$6</f>
        <v>0.125</v>
      </c>
      <c r="K14" s="201">
        <f t="shared" si="0"/>
        <v>0.25</v>
      </c>
      <c r="L14" s="167">
        <v>0.1</v>
      </c>
      <c r="M14" s="167">
        <v>0.57999999999999996</v>
      </c>
      <c r="N14" s="135">
        <v>10000</v>
      </c>
      <c r="O14" s="24" t="s">
        <v>2856</v>
      </c>
    </row>
    <row r="15" spans="2:15" ht="30" customHeight="1" x14ac:dyDescent="0.35">
      <c r="B15" s="175" t="s">
        <v>2857</v>
      </c>
      <c r="C15" s="116" t="s">
        <v>2858</v>
      </c>
      <c r="D15" s="65" t="s">
        <v>2832</v>
      </c>
      <c r="E15" s="26" t="s">
        <v>2859</v>
      </c>
      <c r="F15" s="202">
        <v>30</v>
      </c>
      <c r="G15" s="168">
        <v>0.1</v>
      </c>
      <c r="H15" s="26" t="s">
        <v>2819</v>
      </c>
      <c r="I15" s="203">
        <f>'Commission Structure'!$C$8</f>
        <v>0.125</v>
      </c>
      <c r="J15" s="200">
        <f>'Commission Structure'!$C$6</f>
        <v>0.125</v>
      </c>
      <c r="K15" s="201">
        <f t="shared" si="0"/>
        <v>0.25</v>
      </c>
      <c r="L15" s="168">
        <v>0.125</v>
      </c>
      <c r="M15" s="168">
        <v>0.6</v>
      </c>
      <c r="N15" s="137">
        <v>7500</v>
      </c>
      <c r="O15" s="26" t="s">
        <v>2860</v>
      </c>
    </row>
    <row r="16" spans="2:15" x14ac:dyDescent="0.35">
      <c r="B16" s="190" t="s">
        <v>2861</v>
      </c>
      <c r="E16" s="204" t="s">
        <v>2862</v>
      </c>
      <c r="F16" s="205">
        <f>SUM(F6:F15)</f>
        <v>325</v>
      </c>
      <c r="G16" s="88">
        <f>SUM(G6:G15)</f>
        <v>0.99999999999999989</v>
      </c>
      <c r="I16" s="206">
        <f>SUMPRODUCT($G$6:$G$15,I6:I15)/SUM($G$6:$G$15)</f>
        <v>0.125</v>
      </c>
      <c r="J16" s="206">
        <f>SUMPRODUCT($G$6:$G$15,J6:J15)/SUM($G$6:$G$15)</f>
        <v>0.125</v>
      </c>
      <c r="K16" s="206">
        <f>SUMPRODUCT($G$6:$G$15,K6:K15)/SUM($G$6:$G$15)</f>
        <v>0.25</v>
      </c>
    </row>
    <row r="17" spans="2:15" x14ac:dyDescent="0.35">
      <c r="F17" s="129" t="s">
        <v>2863</v>
      </c>
    </row>
    <row r="18" spans="2:15" x14ac:dyDescent="0.35">
      <c r="F18" s="129" t="s">
        <v>2864</v>
      </c>
    </row>
    <row r="19" spans="2:15" ht="18" customHeight="1" x14ac:dyDescent="0.35">
      <c r="B19" s="12" t="s">
        <v>2865</v>
      </c>
      <c r="C19" s="12"/>
      <c r="D19" s="12"/>
      <c r="E19" s="12"/>
      <c r="F19" s="12"/>
      <c r="G19" s="12"/>
      <c r="H19" s="12"/>
      <c r="I19" s="12"/>
      <c r="J19" s="12"/>
      <c r="K19" s="12"/>
      <c r="L19" s="12"/>
      <c r="M19" s="12"/>
      <c r="N19" s="12"/>
      <c r="O19" s="12"/>
    </row>
    <row r="20" spans="2:15" ht="30" customHeight="1" x14ac:dyDescent="0.35">
      <c r="B20" s="22" t="s">
        <v>2804</v>
      </c>
      <c r="C20" s="22" t="s">
        <v>2805</v>
      </c>
      <c r="D20" s="22" t="s">
        <v>2866</v>
      </c>
    </row>
    <row r="21" spans="2:15" x14ac:dyDescent="0.35">
      <c r="B21" s="174" t="s">
        <v>1700</v>
      </c>
      <c r="C21" s="27" t="s">
        <v>2867</v>
      </c>
      <c r="D21" s="11" t="s">
        <v>2868</v>
      </c>
      <c r="E21" s="11"/>
      <c r="F21" s="11"/>
    </row>
    <row r="22" spans="2:15" x14ac:dyDescent="0.35">
      <c r="B22" s="174" t="s">
        <v>1789</v>
      </c>
      <c r="C22" s="27" t="s">
        <v>2869</v>
      </c>
      <c r="D22" s="11" t="s">
        <v>2870</v>
      </c>
      <c r="E22" s="11"/>
      <c r="F22" s="11"/>
    </row>
    <row r="23" spans="2:15" x14ac:dyDescent="0.35">
      <c r="B23" s="174" t="s">
        <v>2871</v>
      </c>
      <c r="C23" s="27" t="s">
        <v>2872</v>
      </c>
      <c r="D23" s="11" t="s">
        <v>2873</v>
      </c>
      <c r="E23" s="11"/>
      <c r="F23" s="11"/>
    </row>
    <row r="24" spans="2:15" x14ac:dyDescent="0.35">
      <c r="B24" s="174" t="s">
        <v>1586</v>
      </c>
      <c r="C24" s="27" t="s">
        <v>2874</v>
      </c>
      <c r="D24" s="11" t="s">
        <v>2875</v>
      </c>
      <c r="E24" s="11"/>
      <c r="F24" s="11"/>
    </row>
    <row r="25" spans="2:15" x14ac:dyDescent="0.35">
      <c r="B25" s="174" t="s">
        <v>1647</v>
      </c>
      <c r="C25" s="27" t="s">
        <v>2876</v>
      </c>
      <c r="D25" s="11" t="s">
        <v>2877</v>
      </c>
      <c r="E25" s="11"/>
      <c r="F25" s="11"/>
    </row>
    <row r="26" spans="2:15" x14ac:dyDescent="0.35">
      <c r="B26" s="174" t="s">
        <v>2878</v>
      </c>
      <c r="C26" s="27" t="s">
        <v>2879</v>
      </c>
      <c r="D26" s="11" t="s">
        <v>2880</v>
      </c>
      <c r="E26" s="11"/>
      <c r="F26" s="11"/>
    </row>
    <row r="29" spans="2:15" ht="18" customHeight="1" x14ac:dyDescent="0.35">
      <c r="B29" s="12" t="s">
        <v>2881</v>
      </c>
      <c r="C29" s="12"/>
      <c r="D29" s="12"/>
      <c r="E29" s="12"/>
      <c r="F29" s="12"/>
      <c r="G29" s="12"/>
      <c r="H29" s="12"/>
      <c r="I29" s="12"/>
      <c r="J29" s="12"/>
      <c r="K29" s="12"/>
      <c r="L29" s="12"/>
      <c r="M29" s="12"/>
      <c r="N29" s="12"/>
      <c r="O29" s="12"/>
    </row>
    <row r="31" spans="2:15" ht="27.75" customHeight="1" x14ac:dyDescent="0.35">
      <c r="B31" s="10" t="s">
        <v>2882</v>
      </c>
      <c r="C31" s="10"/>
      <c r="D31" s="10"/>
      <c r="E31" s="10"/>
      <c r="F31" s="10"/>
      <c r="G31" s="10"/>
      <c r="H31" s="10"/>
      <c r="I31" s="10"/>
      <c r="J31" s="10"/>
      <c r="K31" s="10"/>
      <c r="L31" s="10"/>
      <c r="M31" s="10"/>
      <c r="N31" s="10"/>
      <c r="O31" s="10"/>
    </row>
    <row r="32" spans="2:15" ht="27.75" customHeight="1" x14ac:dyDescent="0.35">
      <c r="B32" s="10" t="s">
        <v>2883</v>
      </c>
      <c r="C32" s="10"/>
      <c r="D32" s="10"/>
      <c r="E32" s="10"/>
      <c r="F32" s="10"/>
      <c r="G32" s="10"/>
      <c r="H32" s="10"/>
      <c r="I32" s="10"/>
      <c r="J32" s="10"/>
      <c r="K32" s="10"/>
      <c r="L32" s="10"/>
      <c r="M32" s="10"/>
      <c r="N32" s="10"/>
      <c r="O32" s="10"/>
    </row>
    <row r="33" spans="2:15" ht="27.75" customHeight="1" x14ac:dyDescent="0.35">
      <c r="B33" s="10" t="s">
        <v>2884</v>
      </c>
      <c r="C33" s="10"/>
      <c r="D33" s="10"/>
      <c r="E33" s="10"/>
      <c r="F33" s="10"/>
      <c r="G33" s="10"/>
      <c r="H33" s="10"/>
      <c r="I33" s="10"/>
      <c r="J33" s="10"/>
      <c r="K33" s="10"/>
      <c r="L33" s="10"/>
      <c r="M33" s="10"/>
      <c r="N33" s="10"/>
      <c r="O33" s="10"/>
    </row>
    <row r="34" spans="2:15" ht="27.75" customHeight="1" x14ac:dyDescent="0.35">
      <c r="B34" s="10" t="s">
        <v>2885</v>
      </c>
      <c r="C34" s="10"/>
      <c r="D34" s="10"/>
      <c r="E34" s="10"/>
      <c r="F34" s="10"/>
      <c r="G34" s="10"/>
      <c r="H34" s="10"/>
      <c r="I34" s="10"/>
      <c r="J34" s="10"/>
      <c r="K34" s="10"/>
      <c r="L34" s="10"/>
      <c r="M34" s="10"/>
      <c r="N34" s="10"/>
      <c r="O34" s="10"/>
    </row>
    <row r="35" spans="2:15" ht="27.75" customHeight="1" x14ac:dyDescent="0.35">
      <c r="B35" s="10" t="s">
        <v>2886</v>
      </c>
      <c r="C35" s="10"/>
      <c r="D35" s="10"/>
      <c r="E35" s="10"/>
      <c r="F35" s="10"/>
      <c r="G35" s="10"/>
      <c r="H35" s="10"/>
      <c r="I35" s="10"/>
      <c r="J35" s="10"/>
      <c r="K35" s="10"/>
      <c r="L35" s="10"/>
      <c r="M35" s="10"/>
      <c r="N35" s="10"/>
      <c r="O35" s="10"/>
    </row>
    <row r="36" spans="2:15" ht="27.75" customHeight="1" x14ac:dyDescent="0.35">
      <c r="B36" s="10" t="s">
        <v>2887</v>
      </c>
      <c r="C36" s="10"/>
      <c r="D36" s="10"/>
      <c r="E36" s="10"/>
      <c r="F36" s="10"/>
      <c r="G36" s="10"/>
      <c r="H36" s="10"/>
      <c r="I36" s="10"/>
      <c r="J36" s="10"/>
      <c r="K36" s="10"/>
      <c r="L36" s="10"/>
      <c r="M36" s="10"/>
      <c r="N36" s="10"/>
      <c r="O36" s="10"/>
    </row>
    <row r="37" spans="2:15" ht="27.75" customHeight="1" x14ac:dyDescent="0.35">
      <c r="B37" s="10" t="s">
        <v>2888</v>
      </c>
      <c r="C37" s="10"/>
      <c r="D37" s="10"/>
      <c r="E37" s="10"/>
      <c r="F37" s="10"/>
      <c r="G37" s="10"/>
      <c r="H37" s="10"/>
      <c r="I37" s="10"/>
      <c r="J37" s="10"/>
      <c r="K37" s="10"/>
      <c r="L37" s="10"/>
      <c r="M37" s="10"/>
      <c r="N37" s="10"/>
      <c r="O37" s="10"/>
    </row>
    <row r="38" spans="2:15" ht="27.75" customHeight="1" x14ac:dyDescent="0.35">
      <c r="B38" s="10" t="s">
        <v>2889</v>
      </c>
      <c r="C38" s="10"/>
      <c r="D38" s="10"/>
      <c r="E38" s="10"/>
      <c r="F38" s="10"/>
      <c r="G38" s="10"/>
      <c r="H38" s="10"/>
      <c r="I38" s="10"/>
      <c r="J38" s="10"/>
      <c r="K38" s="10"/>
      <c r="L38" s="10"/>
      <c r="M38" s="10"/>
      <c r="N38" s="10"/>
      <c r="O38" s="10"/>
    </row>
    <row r="39" spans="2:15" ht="27.75" customHeight="1" x14ac:dyDescent="0.35">
      <c r="B39" s="10" t="s">
        <v>2890</v>
      </c>
      <c r="C39" s="10"/>
      <c r="D39" s="10"/>
      <c r="E39" s="10"/>
      <c r="F39" s="10"/>
      <c r="G39" s="10"/>
      <c r="H39" s="10"/>
      <c r="I39" s="10"/>
      <c r="J39" s="10"/>
      <c r="K39" s="10"/>
      <c r="L39" s="10"/>
      <c r="M39" s="10"/>
      <c r="N39" s="10"/>
      <c r="O39" s="10"/>
    </row>
    <row r="41" spans="2:15" x14ac:dyDescent="0.35">
      <c r="B41" s="15" t="s">
        <v>713</v>
      </c>
    </row>
    <row r="42" spans="2:15" ht="15" customHeight="1" x14ac:dyDescent="0.35">
      <c r="B42" s="9" t="s">
        <v>2891</v>
      </c>
      <c r="C42" s="9"/>
      <c r="D42" s="9"/>
      <c r="E42" s="9"/>
      <c r="F42" s="9"/>
      <c r="G42" s="9"/>
      <c r="H42" s="9"/>
      <c r="I42" s="9"/>
      <c r="J42" s="9"/>
      <c r="K42" s="9"/>
      <c r="L42" s="9"/>
      <c r="M42" s="9"/>
      <c r="N42" s="9"/>
      <c r="O42" s="9"/>
    </row>
    <row r="43" spans="2:15" x14ac:dyDescent="0.35">
      <c r="B43" s="9"/>
      <c r="C43" s="9"/>
      <c r="D43" s="9"/>
      <c r="E43" s="9"/>
      <c r="F43" s="9"/>
      <c r="G43" s="9"/>
      <c r="H43" s="9"/>
      <c r="I43" s="9"/>
      <c r="J43" s="9"/>
      <c r="K43" s="9"/>
      <c r="L43" s="9"/>
      <c r="M43" s="9"/>
      <c r="N43" s="9"/>
      <c r="O43" s="9"/>
    </row>
    <row r="44" spans="2:15" x14ac:dyDescent="0.35">
      <c r="B44" s="9"/>
      <c r="C44" s="9"/>
      <c r="D44" s="9"/>
      <c r="E44" s="9"/>
      <c r="F44" s="9"/>
      <c r="G44" s="9"/>
      <c r="H44" s="9"/>
      <c r="I44" s="9"/>
      <c r="J44" s="9"/>
      <c r="K44" s="9"/>
      <c r="L44" s="9"/>
      <c r="M44" s="9"/>
      <c r="N44" s="9"/>
      <c r="O44" s="9"/>
    </row>
    <row r="45" spans="2:15" x14ac:dyDescent="0.35">
      <c r="B45" s="9"/>
      <c r="C45" s="9"/>
      <c r="D45" s="9"/>
      <c r="E45" s="9"/>
      <c r="F45" s="9"/>
      <c r="G45" s="9"/>
      <c r="H45" s="9"/>
      <c r="I45" s="9"/>
      <c r="J45" s="9"/>
      <c r="K45" s="9"/>
      <c r="L45" s="9"/>
      <c r="M45" s="9"/>
      <c r="N45" s="9"/>
      <c r="O45" s="9"/>
    </row>
  </sheetData>
  <mergeCells count="20">
    <mergeCell ref="B36:O36"/>
    <mergeCell ref="B37:O37"/>
    <mergeCell ref="B38:O38"/>
    <mergeCell ref="B39:O39"/>
    <mergeCell ref="B42:O45"/>
    <mergeCell ref="B31:O31"/>
    <mergeCell ref="B32:O32"/>
    <mergeCell ref="B33:O33"/>
    <mergeCell ref="B34:O34"/>
    <mergeCell ref="B35:O35"/>
    <mergeCell ref="D23:F23"/>
    <mergeCell ref="D24:F24"/>
    <mergeCell ref="D25:F25"/>
    <mergeCell ref="D26:F26"/>
    <mergeCell ref="B29:O29"/>
    <mergeCell ref="B1:O1"/>
    <mergeCell ref="B2:O2"/>
    <mergeCell ref="B19:O19"/>
    <mergeCell ref="D21:F21"/>
    <mergeCell ref="D22:F22"/>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C351"/>
  <sheetViews>
    <sheetView showGridLines="0" zoomScaleNormal="100" workbookViewId="0"/>
  </sheetViews>
  <sheetFormatPr defaultColWidth="8.6328125" defaultRowHeight="14.5" x14ac:dyDescent="0.35"/>
  <cols>
    <col min="1" max="1" width="2" customWidth="1"/>
    <col min="2" max="2" width="12" customWidth="1"/>
    <col min="3" max="4" width="30" customWidth="1"/>
    <col min="5" max="5" width="22" customWidth="1"/>
    <col min="6" max="7" width="13" customWidth="1"/>
    <col min="8" max="13" width="16" customWidth="1"/>
    <col min="14" max="14" width="13" customWidth="1"/>
    <col min="15" max="15" width="20" customWidth="1"/>
    <col min="16" max="16" width="16" customWidth="1"/>
    <col min="17" max="29" width="14" customWidth="1"/>
  </cols>
  <sheetData>
    <row r="1" spans="2:16" ht="25.5" customHeight="1" x14ac:dyDescent="0.35">
      <c r="B1" s="14" t="s">
        <v>2892</v>
      </c>
      <c r="C1" s="14"/>
      <c r="D1" s="14"/>
      <c r="E1" s="14"/>
      <c r="F1" s="14"/>
      <c r="G1" s="14"/>
      <c r="H1" s="14"/>
      <c r="I1" s="14"/>
      <c r="J1" s="14"/>
      <c r="K1" s="14"/>
      <c r="L1" s="14"/>
      <c r="M1" s="14"/>
      <c r="N1" s="14"/>
      <c r="O1" s="14"/>
      <c r="P1" s="14"/>
    </row>
    <row r="2" spans="2:16" ht="15" customHeight="1" x14ac:dyDescent="0.35">
      <c r="B2" s="13" t="s">
        <v>2893</v>
      </c>
      <c r="C2" s="13"/>
      <c r="D2" s="13"/>
      <c r="E2" s="13"/>
      <c r="F2" s="13"/>
      <c r="G2" s="13"/>
      <c r="H2" s="13"/>
      <c r="I2" s="13"/>
      <c r="J2" s="13"/>
      <c r="K2" s="13"/>
      <c r="L2" s="13"/>
      <c r="M2" s="13"/>
      <c r="N2" s="13"/>
      <c r="O2" s="13"/>
      <c r="P2" s="13"/>
    </row>
    <row r="4" spans="2:16" ht="18" customHeight="1" x14ac:dyDescent="0.35">
      <c r="B4" s="12" t="s">
        <v>2894</v>
      </c>
      <c r="C4" s="12"/>
      <c r="D4" s="12"/>
      <c r="E4" s="12"/>
      <c r="F4" s="12"/>
      <c r="G4" s="12"/>
      <c r="H4" s="12"/>
      <c r="I4" s="12"/>
      <c r="J4" s="12"/>
      <c r="K4" s="12"/>
      <c r="L4" s="12"/>
      <c r="M4" s="12"/>
      <c r="N4" s="12"/>
      <c r="O4" s="12"/>
      <c r="P4" s="12"/>
    </row>
    <row r="5" spans="2:16" x14ac:dyDescent="0.35">
      <c r="B5" s="243" t="s">
        <v>2895</v>
      </c>
      <c r="C5" s="243"/>
      <c r="D5" s="207" t="s">
        <v>2896</v>
      </c>
      <c r="E5" s="129" t="s">
        <v>2897</v>
      </c>
    </row>
    <row r="6" spans="2:16" x14ac:dyDescent="0.35">
      <c r="B6" s="243" t="s">
        <v>2898</v>
      </c>
      <c r="C6" s="243"/>
      <c r="D6" s="207"/>
      <c r="E6" s="129" t="s">
        <v>2899</v>
      </c>
    </row>
    <row r="7" spans="2:16" x14ac:dyDescent="0.35">
      <c r="B7" s="243" t="s">
        <v>2900</v>
      </c>
      <c r="C7" s="243"/>
      <c r="D7" s="207"/>
      <c r="E7" s="129" t="s">
        <v>2901</v>
      </c>
    </row>
    <row r="8" spans="2:16" x14ac:dyDescent="0.35">
      <c r="B8" s="243" t="s">
        <v>2902</v>
      </c>
      <c r="C8" s="243"/>
      <c r="D8" s="207"/>
      <c r="E8" s="129" t="s">
        <v>2903</v>
      </c>
    </row>
    <row r="9" spans="2:16" x14ac:dyDescent="0.35">
      <c r="B9" s="243" t="s">
        <v>2904</v>
      </c>
      <c r="C9" s="243"/>
      <c r="D9" s="208" t="str">
        <f>'Lloyds Markets'!$B$6&amp;"  -  "&amp;'Lloyds Markets'!$C$6</f>
        <v>2623 / 623  -  Beazley Furlonge Ltd</v>
      </c>
      <c r="E9" s="129" t="s">
        <v>2905</v>
      </c>
    </row>
    <row r="10" spans="2:16" x14ac:dyDescent="0.35">
      <c r="B10" s="243" t="s">
        <v>582</v>
      </c>
      <c r="C10" s="243"/>
      <c r="D10" s="209">
        <f>'Portfolio Summary'!$C$5</f>
        <v>6</v>
      </c>
      <c r="E10" s="129" t="s">
        <v>2906</v>
      </c>
    </row>
    <row r="11" spans="2:16" x14ac:dyDescent="0.35">
      <c r="B11" s="243" t="s">
        <v>2907</v>
      </c>
      <c r="C11" s="243"/>
      <c r="D11" s="210">
        <f>SUMPRODUCT(--(LEFT('Portfolio Register'!$DG$5:$DG$304,3)="YES"))</f>
        <v>3</v>
      </c>
      <c r="E11" s="129" t="s">
        <v>2908</v>
      </c>
    </row>
    <row r="12" spans="2:16" x14ac:dyDescent="0.35">
      <c r="B12" s="243" t="s">
        <v>2909</v>
      </c>
      <c r="C12" s="243"/>
      <c r="D12" s="210">
        <f>D10-D11</f>
        <v>3</v>
      </c>
      <c r="E12" s="129" t="s">
        <v>2910</v>
      </c>
    </row>
    <row r="13" spans="2:16" x14ac:dyDescent="0.35">
      <c r="B13" s="244" t="s">
        <v>2911</v>
      </c>
      <c r="C13" s="244"/>
      <c r="D13" s="212">
        <f>IF($D$5="Whole register",D10,D11)</f>
        <v>3</v>
      </c>
    </row>
    <row r="14" spans="2:16" x14ac:dyDescent="0.35">
      <c r="B14" s="244" t="s">
        <v>2912</v>
      </c>
      <c r="C14" s="244"/>
      <c r="D14" s="213">
        <f>IF($D$5="Whole register",'Portfolio Summary'!$C$6,SUMPRODUCT(--(LEFT('Portfolio Register'!$DG$5:$DG$304,3)="YES"),'Portfolio Register'!$J$5:$J$304))</f>
        <v>2060000</v>
      </c>
      <c r="E14" s="129" t="s">
        <v>2913</v>
      </c>
    </row>
    <row r="15" spans="2:16" x14ac:dyDescent="0.35">
      <c r="B15" s="244" t="s">
        <v>2914</v>
      </c>
      <c r="C15" s="244"/>
      <c r="D15" s="213">
        <f>IF($D$5="Whole register",'Portfolio Summary'!$C$8,SUMPRODUCT(--(LEFT('Portfolio Register'!$DG$5:$DG$304,3)="YES"),'Portfolio Register'!$CO$5:$CO$304))</f>
        <v>35632.796285171433</v>
      </c>
      <c r="E15" s="129" t="s">
        <v>2915</v>
      </c>
    </row>
    <row r="16" spans="2:16" x14ac:dyDescent="0.35">
      <c r="B16" s="243" t="s">
        <v>2916</v>
      </c>
      <c r="C16" s="243"/>
      <c r="D16" s="214">
        <f>D15*'Commission Structure'!$C$5</f>
        <v>8908.1990712928582</v>
      </c>
      <c r="E16" s="129" t="s">
        <v>2917</v>
      </c>
    </row>
    <row r="17" spans="2:16" x14ac:dyDescent="0.35">
      <c r="B17" s="243" t="s">
        <v>2918</v>
      </c>
      <c r="C17" s="243"/>
      <c r="D17" s="214">
        <f>D15*'Commission Structure'!$C$6</f>
        <v>4454.0995356464291</v>
      </c>
      <c r="E17" s="129" t="s">
        <v>2919</v>
      </c>
    </row>
    <row r="18" spans="2:16" x14ac:dyDescent="0.35">
      <c r="B18" s="243" t="s">
        <v>2920</v>
      </c>
      <c r="C18" s="243"/>
      <c r="D18" s="214">
        <f>D15*'Commission Structure'!$C$8</f>
        <v>4454.0995356464291</v>
      </c>
      <c r="E18" s="129" t="s">
        <v>2921</v>
      </c>
    </row>
    <row r="19" spans="2:16" x14ac:dyDescent="0.35">
      <c r="B19" s="244" t="s">
        <v>2922</v>
      </c>
      <c r="C19" s="244"/>
      <c r="D19" s="213">
        <f>D15-D16</f>
        <v>26724.597213878573</v>
      </c>
      <c r="E19" s="129" t="s">
        <v>2923</v>
      </c>
    </row>
    <row r="20" spans="2:16" x14ac:dyDescent="0.35">
      <c r="B20" s="243" t="s">
        <v>2924</v>
      </c>
      <c r="C20" s="243"/>
      <c r="D20" s="214">
        <f>IF($D$5="Whole register",'Portfolio Summary'!$C$18,SUMPRODUCT(MAX(--(LEFT('Portfolio Register'!$DG$5:$DG$304,3)="YES")*'Portfolio Register'!$J$5:$J$304)))</f>
        <v>0</v>
      </c>
      <c r="E20" s="129" t="s">
        <v>2925</v>
      </c>
    </row>
    <row r="21" spans="2:16" x14ac:dyDescent="0.35">
      <c r="B21" s="243" t="s">
        <v>2926</v>
      </c>
      <c r="C21" s="243"/>
      <c r="D21" s="201">
        <f>SUM(F25:F34)</f>
        <v>0.99999999999999989</v>
      </c>
      <c r="E21" s="215" t="str">
        <f>IF(ABS(D21-1)&lt;0.0001,"OK - panel is 100% placed","PANEL DOES NOT TOTAL 100% - fix the lines on Lloyds Markets")</f>
        <v>OK - panel is 100% placed</v>
      </c>
    </row>
    <row r="23" spans="2:16" ht="18" customHeight="1" x14ac:dyDescent="0.35">
      <c r="B23" s="12" t="s">
        <v>2927</v>
      </c>
      <c r="C23" s="12"/>
      <c r="D23" s="12"/>
      <c r="E23" s="12"/>
      <c r="F23" s="12"/>
      <c r="G23" s="12"/>
      <c r="H23" s="12"/>
      <c r="I23" s="12"/>
      <c r="J23" s="12"/>
      <c r="K23" s="12"/>
      <c r="L23" s="12"/>
      <c r="M23" s="12"/>
      <c r="N23" s="12"/>
      <c r="O23" s="12"/>
      <c r="P23" s="12"/>
    </row>
    <row r="24" spans="2:16" ht="42" customHeight="1" x14ac:dyDescent="0.35">
      <c r="B24" s="216" t="s">
        <v>2928</v>
      </c>
      <c r="C24" s="216" t="s">
        <v>2804</v>
      </c>
      <c r="D24" s="216" t="s">
        <v>2805</v>
      </c>
      <c r="E24" s="216" t="s">
        <v>640</v>
      </c>
      <c r="F24" s="216" t="s">
        <v>2929</v>
      </c>
      <c r="G24" s="216" t="s">
        <v>2930</v>
      </c>
      <c r="H24" s="216" t="s">
        <v>2931</v>
      </c>
      <c r="I24" s="216" t="s">
        <v>2932</v>
      </c>
      <c r="J24" s="216" t="s">
        <v>2933</v>
      </c>
      <c r="K24" s="216" t="s">
        <v>2934</v>
      </c>
      <c r="L24" s="216" t="s">
        <v>2935</v>
      </c>
      <c r="M24" s="216" t="s">
        <v>2936</v>
      </c>
      <c r="N24" s="216" t="s">
        <v>2807</v>
      </c>
      <c r="O24" s="216" t="s">
        <v>2937</v>
      </c>
      <c r="P24" s="216" t="s">
        <v>2938</v>
      </c>
    </row>
    <row r="25" spans="2:16" x14ac:dyDescent="0.35">
      <c r="B25" s="210">
        <v>1</v>
      </c>
      <c r="C25" s="217" t="str">
        <f>'Lloyds Markets'!$B$6</f>
        <v>2623 / 623</v>
      </c>
      <c r="D25" s="208" t="str">
        <f>'Lloyds Markets'!$C$6</f>
        <v>Beazley Furlonge Ltd</v>
      </c>
      <c r="E25" s="218" t="str">
        <f>'Lloyds Markets'!$D$6</f>
        <v>Lead</v>
      </c>
      <c r="F25" s="200">
        <f>'Lloyds Markets'!$G$6</f>
        <v>0.1</v>
      </c>
      <c r="G25" s="201">
        <f>SUM($F$25:F25)</f>
        <v>0.1</v>
      </c>
      <c r="H25" s="214">
        <f t="shared" ref="H25:H34" si="0">$D$14*F25</f>
        <v>206000</v>
      </c>
      <c r="I25" s="214">
        <f t="shared" ref="I25:I34" si="1">$D$15*F25</f>
        <v>3563.2796285171435</v>
      </c>
      <c r="J25" s="214">
        <f t="shared" ref="J25:J34" si="2">$D$17*F25</f>
        <v>445.40995356464293</v>
      </c>
      <c r="K25" s="214">
        <f t="shared" ref="K25:K34" si="3">$D$18*F25</f>
        <v>445.40995356464293</v>
      </c>
      <c r="L25" s="214">
        <f t="shared" ref="L25:L34" si="4">I25-J25-K25</f>
        <v>2672.4597213878578</v>
      </c>
      <c r="M25" s="214">
        <f t="shared" ref="M25:M34" si="5">$D$20*F25</f>
        <v>0</v>
      </c>
      <c r="N25" s="219">
        <f>'Lloyds Markets'!$F$6</f>
        <v>45</v>
      </c>
      <c r="O25" s="220" t="str">
        <f t="shared" ref="O25:O34" si="6">IF(M25&gt;N25*1000000,"EXCEEDS MAX LINE","OK")</f>
        <v>OK</v>
      </c>
      <c r="P25" s="214">
        <f>'Natural Catastrophe'!$F$55*F25</f>
        <v>121000</v>
      </c>
    </row>
    <row r="26" spans="2:16" x14ac:dyDescent="0.35">
      <c r="B26" s="210">
        <v>2</v>
      </c>
      <c r="C26" s="217" t="str">
        <f>'Lloyds Markets'!$B$7</f>
        <v>33</v>
      </c>
      <c r="D26" s="208" t="str">
        <f>'Lloyds Markets'!$C$7</f>
        <v>Hiscox Syndicates Ltd</v>
      </c>
      <c r="E26" s="218" t="str">
        <f>'Lloyds Markets'!$D$7</f>
        <v>Lead</v>
      </c>
      <c r="F26" s="200">
        <f>'Lloyds Markets'!$G$7</f>
        <v>0.1</v>
      </c>
      <c r="G26" s="201">
        <f>SUM($F$25:F26)</f>
        <v>0.2</v>
      </c>
      <c r="H26" s="214">
        <f t="shared" si="0"/>
        <v>206000</v>
      </c>
      <c r="I26" s="214">
        <f t="shared" si="1"/>
        <v>3563.2796285171435</v>
      </c>
      <c r="J26" s="214">
        <f t="shared" si="2"/>
        <v>445.40995356464293</v>
      </c>
      <c r="K26" s="214">
        <f t="shared" si="3"/>
        <v>445.40995356464293</v>
      </c>
      <c r="L26" s="214">
        <f t="shared" si="4"/>
        <v>2672.4597213878578</v>
      </c>
      <c r="M26" s="214">
        <f t="shared" si="5"/>
        <v>0</v>
      </c>
      <c r="N26" s="219">
        <f>'Lloyds Markets'!$F$7</f>
        <v>40</v>
      </c>
      <c r="O26" s="220" t="str">
        <f t="shared" si="6"/>
        <v>OK</v>
      </c>
      <c r="P26" s="214">
        <f>'Natural Catastrophe'!$F$55*F26</f>
        <v>121000</v>
      </c>
    </row>
    <row r="27" spans="2:16" x14ac:dyDescent="0.35">
      <c r="B27" s="210">
        <v>3</v>
      </c>
      <c r="C27" s="217" t="str">
        <f>'Lloyds Markets'!$B$8</f>
        <v>1084</v>
      </c>
      <c r="D27" s="208" t="str">
        <f>'Lloyds Markets'!$C$8</f>
        <v>Chaucer Syndicates Ltd</v>
      </c>
      <c r="E27" s="218" t="str">
        <f>'Lloyds Markets'!$D$8</f>
        <v>Lead / Follow</v>
      </c>
      <c r="F27" s="200">
        <f>'Lloyds Markets'!$G$8</f>
        <v>0.1</v>
      </c>
      <c r="G27" s="201">
        <f>SUM($F$25:F27)</f>
        <v>0.30000000000000004</v>
      </c>
      <c r="H27" s="214">
        <f t="shared" si="0"/>
        <v>206000</v>
      </c>
      <c r="I27" s="214">
        <f t="shared" si="1"/>
        <v>3563.2796285171435</v>
      </c>
      <c r="J27" s="214">
        <f t="shared" si="2"/>
        <v>445.40995356464293</v>
      </c>
      <c r="K27" s="214">
        <f t="shared" si="3"/>
        <v>445.40995356464293</v>
      </c>
      <c r="L27" s="214">
        <f t="shared" si="4"/>
        <v>2672.4597213878578</v>
      </c>
      <c r="M27" s="214">
        <f t="shared" si="5"/>
        <v>0</v>
      </c>
      <c r="N27" s="219">
        <f>'Lloyds Markets'!$F$8</f>
        <v>35</v>
      </c>
      <c r="O27" s="220" t="str">
        <f t="shared" si="6"/>
        <v>OK</v>
      </c>
      <c r="P27" s="214">
        <f>'Natural Catastrophe'!$F$55*F27</f>
        <v>121000</v>
      </c>
    </row>
    <row r="28" spans="2:16" x14ac:dyDescent="0.35">
      <c r="B28" s="210">
        <v>4</v>
      </c>
      <c r="C28" s="217" t="str">
        <f>'Lloyds Markets'!$B$9</f>
        <v>4020</v>
      </c>
      <c r="D28" s="208" t="str">
        <f>'Lloyds Markets'!$C$9</f>
        <v>Ark Syndicate Management Ltd</v>
      </c>
      <c r="E28" s="218" t="str">
        <f>'Lloyds Markets'!$D$9</f>
        <v>Follow</v>
      </c>
      <c r="F28" s="200">
        <f>'Lloyds Markets'!$G$9</f>
        <v>0.1</v>
      </c>
      <c r="G28" s="201">
        <f>SUM($F$25:F28)</f>
        <v>0.4</v>
      </c>
      <c r="H28" s="214">
        <f t="shared" si="0"/>
        <v>206000</v>
      </c>
      <c r="I28" s="214">
        <f t="shared" si="1"/>
        <v>3563.2796285171435</v>
      </c>
      <c r="J28" s="214">
        <f t="shared" si="2"/>
        <v>445.40995356464293</v>
      </c>
      <c r="K28" s="214">
        <f t="shared" si="3"/>
        <v>445.40995356464293</v>
      </c>
      <c r="L28" s="214">
        <f t="shared" si="4"/>
        <v>2672.4597213878578</v>
      </c>
      <c r="M28" s="214">
        <f t="shared" si="5"/>
        <v>0</v>
      </c>
      <c r="N28" s="219">
        <f>'Lloyds Markets'!$F$9</f>
        <v>30</v>
      </c>
      <c r="O28" s="220" t="str">
        <f t="shared" si="6"/>
        <v>OK</v>
      </c>
      <c r="P28" s="214">
        <f>'Natural Catastrophe'!$F$55*F28</f>
        <v>121000</v>
      </c>
    </row>
    <row r="29" spans="2:16" x14ac:dyDescent="0.35">
      <c r="B29" s="210">
        <v>5</v>
      </c>
      <c r="C29" s="217" t="str">
        <f>'Lloyds Markets'!$B$10</f>
        <v>2987</v>
      </c>
      <c r="D29" s="208" t="str">
        <f>'Lloyds Markets'!$C$10</f>
        <v>Brit Syndicates Ltd</v>
      </c>
      <c r="E29" s="218" t="str">
        <f>'Lloyds Markets'!$D$10</f>
        <v>Follow</v>
      </c>
      <c r="F29" s="200">
        <f>'Lloyds Markets'!$G$10</f>
        <v>0.1</v>
      </c>
      <c r="G29" s="201">
        <f>SUM($F$25:F29)</f>
        <v>0.5</v>
      </c>
      <c r="H29" s="214">
        <f t="shared" si="0"/>
        <v>206000</v>
      </c>
      <c r="I29" s="214">
        <f t="shared" si="1"/>
        <v>3563.2796285171435</v>
      </c>
      <c r="J29" s="214">
        <f t="shared" si="2"/>
        <v>445.40995356464293</v>
      </c>
      <c r="K29" s="214">
        <f t="shared" si="3"/>
        <v>445.40995356464293</v>
      </c>
      <c r="L29" s="214">
        <f t="shared" si="4"/>
        <v>2672.4597213878578</v>
      </c>
      <c r="M29" s="214">
        <f t="shared" si="5"/>
        <v>0</v>
      </c>
      <c r="N29" s="219">
        <f>'Lloyds Markets'!$F$10</f>
        <v>30</v>
      </c>
      <c r="O29" s="220" t="str">
        <f t="shared" si="6"/>
        <v>OK</v>
      </c>
      <c r="P29" s="214">
        <f>'Natural Catastrophe'!$F$55*F29</f>
        <v>121000</v>
      </c>
    </row>
    <row r="30" spans="2:16" x14ac:dyDescent="0.35">
      <c r="B30" s="210">
        <v>6</v>
      </c>
      <c r="C30" s="217" t="str">
        <f>'Lloyds Markets'!$B$11</f>
        <v>4444</v>
      </c>
      <c r="D30" s="208" t="str">
        <f>'Lloyds Markets'!$C$11</f>
        <v>Canopius Managing Agents Ltd</v>
      </c>
      <c r="E30" s="218" t="str">
        <f>'Lloyds Markets'!$D$11</f>
        <v>Follow</v>
      </c>
      <c r="F30" s="200">
        <f>'Lloyds Markets'!$G$11</f>
        <v>0.1</v>
      </c>
      <c r="G30" s="201">
        <f>SUM($F$25:F30)</f>
        <v>0.6</v>
      </c>
      <c r="H30" s="214">
        <f t="shared" si="0"/>
        <v>206000</v>
      </c>
      <c r="I30" s="214">
        <f t="shared" si="1"/>
        <v>3563.2796285171435</v>
      </c>
      <c r="J30" s="214">
        <f t="shared" si="2"/>
        <v>445.40995356464293</v>
      </c>
      <c r="K30" s="214">
        <f t="shared" si="3"/>
        <v>445.40995356464293</v>
      </c>
      <c r="L30" s="214">
        <f t="shared" si="4"/>
        <v>2672.4597213878578</v>
      </c>
      <c r="M30" s="214">
        <f t="shared" si="5"/>
        <v>0</v>
      </c>
      <c r="N30" s="219">
        <f>'Lloyds Markets'!$F$11</f>
        <v>30</v>
      </c>
      <c r="O30" s="220" t="str">
        <f t="shared" si="6"/>
        <v>OK</v>
      </c>
      <c r="P30" s="214">
        <f>'Natural Catastrophe'!$F$55*F30</f>
        <v>121000</v>
      </c>
    </row>
    <row r="31" spans="2:16" x14ac:dyDescent="0.35">
      <c r="B31" s="210">
        <v>7</v>
      </c>
      <c r="C31" s="217" t="str">
        <f>'Lloyds Markets'!$B$12</f>
        <v>1969</v>
      </c>
      <c r="D31" s="208" t="str">
        <f>'Lloyds Markets'!$C$12</f>
        <v>Apollo Syndicate Management Ltd</v>
      </c>
      <c r="E31" s="218" t="str">
        <f>'Lloyds Markets'!$D$12</f>
        <v>Follow / Innovation</v>
      </c>
      <c r="F31" s="200">
        <f>'Lloyds Markets'!$G$12</f>
        <v>0.1</v>
      </c>
      <c r="G31" s="201">
        <f>SUM($F$25:F31)</f>
        <v>0.7</v>
      </c>
      <c r="H31" s="214">
        <f t="shared" si="0"/>
        <v>206000</v>
      </c>
      <c r="I31" s="214">
        <f t="shared" si="1"/>
        <v>3563.2796285171435</v>
      </c>
      <c r="J31" s="214">
        <f t="shared" si="2"/>
        <v>445.40995356464293</v>
      </c>
      <c r="K31" s="214">
        <f t="shared" si="3"/>
        <v>445.40995356464293</v>
      </c>
      <c r="L31" s="214">
        <f t="shared" si="4"/>
        <v>2672.4597213878578</v>
      </c>
      <c r="M31" s="214">
        <f t="shared" si="5"/>
        <v>0</v>
      </c>
      <c r="N31" s="219">
        <f>'Lloyds Markets'!$F$12</f>
        <v>25</v>
      </c>
      <c r="O31" s="220" t="str">
        <f t="shared" si="6"/>
        <v>OK</v>
      </c>
      <c r="P31" s="214">
        <f>'Natural Catastrophe'!$F$55*F31</f>
        <v>121000</v>
      </c>
    </row>
    <row r="32" spans="2:16" x14ac:dyDescent="0.35">
      <c r="B32" s="210">
        <v>8</v>
      </c>
      <c r="C32" s="217" t="str">
        <f>'Lloyds Markets'!$B$13</f>
        <v>1274</v>
      </c>
      <c r="D32" s="208" t="str">
        <f>'Lloyds Markets'!$C$13</f>
        <v>Antares Managing Agency Ltd</v>
      </c>
      <c r="E32" s="218" t="str">
        <f>'Lloyds Markets'!$D$13</f>
        <v>Follow</v>
      </c>
      <c r="F32" s="200">
        <f>'Lloyds Markets'!$G$13</f>
        <v>0.1</v>
      </c>
      <c r="G32" s="201">
        <f>SUM($F$25:F32)</f>
        <v>0.79999999999999993</v>
      </c>
      <c r="H32" s="214">
        <f t="shared" si="0"/>
        <v>206000</v>
      </c>
      <c r="I32" s="214">
        <f t="shared" si="1"/>
        <v>3563.2796285171435</v>
      </c>
      <c r="J32" s="214">
        <f t="shared" si="2"/>
        <v>445.40995356464293</v>
      </c>
      <c r="K32" s="214">
        <f t="shared" si="3"/>
        <v>445.40995356464293</v>
      </c>
      <c r="L32" s="214">
        <f t="shared" si="4"/>
        <v>2672.4597213878578</v>
      </c>
      <c r="M32" s="214">
        <f t="shared" si="5"/>
        <v>0</v>
      </c>
      <c r="N32" s="219">
        <f>'Lloyds Markets'!$F$13</f>
        <v>25</v>
      </c>
      <c r="O32" s="220" t="str">
        <f t="shared" si="6"/>
        <v>OK</v>
      </c>
      <c r="P32" s="214">
        <f>'Natural Catastrophe'!$F$55*F32</f>
        <v>121000</v>
      </c>
    </row>
    <row r="33" spans="2:29" x14ac:dyDescent="0.35">
      <c r="B33" s="210">
        <v>9</v>
      </c>
      <c r="C33" s="217" t="str">
        <f>'Lloyds Markets'!$B$14</f>
        <v>2001</v>
      </c>
      <c r="D33" s="208" t="str">
        <f>'Lloyds Markets'!$C$14</f>
        <v>MS Amlin Underwriting Ltd</v>
      </c>
      <c r="E33" s="218" t="str">
        <f>'Lloyds Markets'!$D$14</f>
        <v>Follow</v>
      </c>
      <c r="F33" s="200">
        <f>'Lloyds Markets'!$G$14</f>
        <v>0.1</v>
      </c>
      <c r="G33" s="201">
        <f>SUM($F$25:F33)</f>
        <v>0.89999999999999991</v>
      </c>
      <c r="H33" s="214">
        <f t="shared" si="0"/>
        <v>206000</v>
      </c>
      <c r="I33" s="214">
        <f t="shared" si="1"/>
        <v>3563.2796285171435</v>
      </c>
      <c r="J33" s="214">
        <f t="shared" si="2"/>
        <v>445.40995356464293</v>
      </c>
      <c r="K33" s="214">
        <f t="shared" si="3"/>
        <v>445.40995356464293</v>
      </c>
      <c r="L33" s="214">
        <f t="shared" si="4"/>
        <v>2672.4597213878578</v>
      </c>
      <c r="M33" s="214">
        <f t="shared" si="5"/>
        <v>0</v>
      </c>
      <c r="N33" s="219">
        <f>'Lloyds Markets'!$F$14</f>
        <v>35</v>
      </c>
      <c r="O33" s="220" t="str">
        <f t="shared" si="6"/>
        <v>OK</v>
      </c>
      <c r="P33" s="214">
        <f>'Natural Catastrophe'!$F$55*F33</f>
        <v>121000</v>
      </c>
    </row>
    <row r="34" spans="2:29" x14ac:dyDescent="0.35">
      <c r="B34" s="210">
        <v>10</v>
      </c>
      <c r="C34" s="217" t="str">
        <f>'Lloyds Markets'!$B$15</f>
        <v>1414</v>
      </c>
      <c r="D34" s="208" t="str">
        <f>'Lloyds Markets'!$C$15</f>
        <v>Ascot Underwriting Ltd</v>
      </c>
      <c r="E34" s="218" t="str">
        <f>'Lloyds Markets'!$D$15</f>
        <v>Follow</v>
      </c>
      <c r="F34" s="200">
        <f>'Lloyds Markets'!$G$15</f>
        <v>0.1</v>
      </c>
      <c r="G34" s="201">
        <f>SUM($F$25:F34)</f>
        <v>0.99999999999999989</v>
      </c>
      <c r="H34" s="214">
        <f t="shared" si="0"/>
        <v>206000</v>
      </c>
      <c r="I34" s="214">
        <f t="shared" si="1"/>
        <v>3563.2796285171435</v>
      </c>
      <c r="J34" s="214">
        <f t="shared" si="2"/>
        <v>445.40995356464293</v>
      </c>
      <c r="K34" s="214">
        <f t="shared" si="3"/>
        <v>445.40995356464293</v>
      </c>
      <c r="L34" s="214">
        <f t="shared" si="4"/>
        <v>2672.4597213878578</v>
      </c>
      <c r="M34" s="214">
        <f t="shared" si="5"/>
        <v>0</v>
      </c>
      <c r="N34" s="219">
        <f>'Lloyds Markets'!$F$15</f>
        <v>30</v>
      </c>
      <c r="O34" s="220" t="str">
        <f t="shared" si="6"/>
        <v>OK</v>
      </c>
      <c r="P34" s="214">
        <f>'Natural Catastrophe'!$F$55*F34</f>
        <v>121000</v>
      </c>
    </row>
    <row r="35" spans="2:29" x14ac:dyDescent="0.35">
      <c r="B35" s="211" t="s">
        <v>2861</v>
      </c>
      <c r="C35" s="211"/>
      <c r="D35" s="211"/>
      <c r="E35" s="211"/>
      <c r="F35" s="206">
        <f>SUM(F25:F34)</f>
        <v>0.99999999999999989</v>
      </c>
      <c r="G35" s="211"/>
      <c r="H35" s="213">
        <f t="shared" ref="H35:N35" si="7">SUM(H25:H34)</f>
        <v>2060000</v>
      </c>
      <c r="I35" s="213">
        <f t="shared" si="7"/>
        <v>35632.796285171433</v>
      </c>
      <c r="J35" s="213">
        <f t="shared" si="7"/>
        <v>4454.0995356464291</v>
      </c>
      <c r="K35" s="213">
        <f t="shared" si="7"/>
        <v>4454.0995356464291</v>
      </c>
      <c r="L35" s="213">
        <f t="shared" si="7"/>
        <v>26724.597213878584</v>
      </c>
      <c r="M35" s="213">
        <f t="shared" si="7"/>
        <v>0</v>
      </c>
      <c r="N35" s="221">
        <f t="shared" si="7"/>
        <v>325</v>
      </c>
      <c r="O35" s="222" t="str">
        <f>IF(ABS(F35-1)&lt;0.0001,"PANEL = 100%","PANEL &lt;&gt; 100%")</f>
        <v>PANEL = 100%</v>
      </c>
      <c r="P35" s="213">
        <f>SUM(P25:P34)</f>
        <v>1210000</v>
      </c>
    </row>
    <row r="36" spans="2:29" x14ac:dyDescent="0.35">
      <c r="B36" s="129" t="s">
        <v>2939</v>
      </c>
      <c r="H36" s="223" t="str">
        <f>IF(ABS(H35-$D$14)&lt;0.5,"OK","MISMATCH")</f>
        <v>OK</v>
      </c>
      <c r="I36" s="223" t="str">
        <f>IF(ABS(I35-$D$15)&lt;0.5,"OK","MISMATCH")</f>
        <v>OK</v>
      </c>
      <c r="J36" s="223" t="str">
        <f>IF(ABS(J35-$D$17)&lt;0.5,"OK","MISMATCH")</f>
        <v>OK</v>
      </c>
      <c r="K36" s="223" t="str">
        <f>IF(ABS(K35-$D$18)&lt;0.5,"OK","MISMATCH")</f>
        <v>OK</v>
      </c>
      <c r="L36" s="223" t="str">
        <f>IF(ABS(L35-$D$19)&lt;0.5,"OK","MISMATCH")</f>
        <v>OK</v>
      </c>
      <c r="M36" s="223" t="str">
        <f>IF(ABS(M35-$D$20)&lt;0.5,"OK","MISMATCH")</f>
        <v>OK</v>
      </c>
    </row>
    <row r="38" spans="2:29" ht="18" customHeight="1" x14ac:dyDescent="0.35">
      <c r="B38" s="12" t="s">
        <v>2940</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spans="2:29" ht="15" customHeight="1" x14ac:dyDescent="0.35">
      <c r="B39" s="245" t="s">
        <v>2941</v>
      </c>
      <c r="C39" s="245"/>
      <c r="D39" s="245"/>
      <c r="E39" s="245"/>
      <c r="F39" s="245"/>
      <c r="G39" s="245"/>
      <c r="H39" s="245"/>
      <c r="I39" s="245"/>
      <c r="J39" s="245" t="s">
        <v>2942</v>
      </c>
      <c r="K39" s="245"/>
      <c r="L39" s="245"/>
      <c r="M39" s="245"/>
      <c r="N39" s="245"/>
      <c r="O39" s="245"/>
      <c r="P39" s="245"/>
      <c r="Q39" s="245"/>
      <c r="R39" s="245"/>
      <c r="S39" s="245"/>
      <c r="T39" s="245" t="s">
        <v>2943</v>
      </c>
      <c r="U39" s="245"/>
      <c r="V39" s="245"/>
      <c r="W39" s="245"/>
      <c r="X39" s="245"/>
      <c r="Y39" s="245"/>
      <c r="Z39" s="245"/>
      <c r="AA39" s="245"/>
      <c r="AB39" s="245"/>
      <c r="AC39" s="245"/>
    </row>
    <row r="40" spans="2:29" ht="30" customHeight="1" x14ac:dyDescent="0.35">
      <c r="B40" s="216" t="s">
        <v>668</v>
      </c>
      <c r="C40" s="216" t="s">
        <v>405</v>
      </c>
      <c r="D40" s="216" t="s">
        <v>167</v>
      </c>
      <c r="E40" s="216" t="s">
        <v>2944</v>
      </c>
      <c r="F40" s="216" t="s">
        <v>2945</v>
      </c>
      <c r="G40" s="216" t="s">
        <v>2946</v>
      </c>
      <c r="H40" s="216" t="s">
        <v>2932</v>
      </c>
      <c r="I40" s="216" t="s">
        <v>2947</v>
      </c>
      <c r="J40" s="216" t="str">
        <f>'Lloyds Markets'!$B$6</f>
        <v>2623 / 623</v>
      </c>
      <c r="K40" s="216" t="str">
        <f>'Lloyds Markets'!$B$7</f>
        <v>33</v>
      </c>
      <c r="L40" s="216" t="str">
        <f>'Lloyds Markets'!$B$8</f>
        <v>1084</v>
      </c>
      <c r="M40" s="216" t="str">
        <f>'Lloyds Markets'!$B$9</f>
        <v>4020</v>
      </c>
      <c r="N40" s="216" t="str">
        <f>'Lloyds Markets'!$B$10</f>
        <v>2987</v>
      </c>
      <c r="O40" s="216" t="str">
        <f>'Lloyds Markets'!$B$11</f>
        <v>4444</v>
      </c>
      <c r="P40" s="216" t="str">
        <f>'Lloyds Markets'!$B$12</f>
        <v>1969</v>
      </c>
      <c r="Q40" s="216" t="str">
        <f>'Lloyds Markets'!$B$13</f>
        <v>1274</v>
      </c>
      <c r="R40" s="216" t="str">
        <f>'Lloyds Markets'!$B$14</f>
        <v>2001</v>
      </c>
      <c r="S40" s="216" t="str">
        <f>'Lloyds Markets'!$B$15</f>
        <v>1414</v>
      </c>
      <c r="T40" s="216" t="str">
        <f>'Lloyds Markets'!$B$6</f>
        <v>2623 / 623</v>
      </c>
      <c r="U40" s="216" t="str">
        <f>'Lloyds Markets'!$B$7</f>
        <v>33</v>
      </c>
      <c r="V40" s="216" t="str">
        <f>'Lloyds Markets'!$B$8</f>
        <v>1084</v>
      </c>
      <c r="W40" s="216" t="str">
        <f>'Lloyds Markets'!$B$9</f>
        <v>4020</v>
      </c>
      <c r="X40" s="216" t="str">
        <f>'Lloyds Markets'!$B$10</f>
        <v>2987</v>
      </c>
      <c r="Y40" s="216" t="str">
        <f>'Lloyds Markets'!$B$11</f>
        <v>4444</v>
      </c>
      <c r="Z40" s="216" t="str">
        <f>'Lloyds Markets'!$B$12</f>
        <v>1969</v>
      </c>
      <c r="AA40" s="216" t="str">
        <f>'Lloyds Markets'!$B$13</f>
        <v>1274</v>
      </c>
      <c r="AB40" s="216" t="str">
        <f>'Lloyds Markets'!$B$14</f>
        <v>2001</v>
      </c>
      <c r="AC40" s="216" t="str">
        <f>'Lloyds Markets'!$B$15</f>
        <v>1414</v>
      </c>
    </row>
    <row r="41" spans="2:29" x14ac:dyDescent="0.35">
      <c r="B41" s="208" t="str">
        <f>IF('Portfolio Register'!$A5="","",'Portfolio Register'!$A5)</f>
        <v>V-0001</v>
      </c>
      <c r="C41" s="208" t="str">
        <f>IF($B41="","",'Portfolio Register'!$B5)</f>
        <v>Carrera Holdings LLC</v>
      </c>
      <c r="D41" s="208" t="str">
        <f>IF($B41="","",'Portfolio Register'!$I5)</f>
        <v>03 - Supercar</v>
      </c>
      <c r="E41" s="208" t="str">
        <f>IF($B41="","",'Portfolio Register'!$DG5)</f>
        <v>YES - within authority</v>
      </c>
      <c r="F41" s="224" t="str">
        <f t="shared" ref="F41:F104" si="8">IF($B41="","",IF(OR($D$5="Whole register",LEFT($E41,3)="YES"),"YES","NO"))</f>
        <v>YES</v>
      </c>
      <c r="G41" s="225">
        <f>IF($B41="","",'Portfolio Register'!$J5)</f>
        <v>425000</v>
      </c>
      <c r="H41" s="225">
        <f>IF($B41="","",'Portfolio Register'!$CO5)</f>
        <v>23977.501341598858</v>
      </c>
      <c r="I41" s="225">
        <f>IF($B41="","",'Portfolio Register'!$CW5)</f>
        <v>17983.126006199142</v>
      </c>
      <c r="J41" s="214">
        <f t="shared" ref="J41:J104" si="9">IF($B41="","",IF($F41="YES",$G41*$F$25,0))</f>
        <v>42500</v>
      </c>
      <c r="K41" s="214">
        <f t="shared" ref="K41:K104" si="10">IF($B41="","",IF($F41="YES",$G41*$F$26,0))</f>
        <v>42500</v>
      </c>
      <c r="L41" s="214">
        <f t="shared" ref="L41:L104" si="11">IF($B41="","",IF($F41="YES",$G41*$F$27,0))</f>
        <v>42500</v>
      </c>
      <c r="M41" s="214">
        <f t="shared" ref="M41:M104" si="12">IF($B41="","",IF($F41="YES",$G41*$F$28,0))</f>
        <v>42500</v>
      </c>
      <c r="N41" s="214">
        <f t="shared" ref="N41:N104" si="13">IF($B41="","",IF($F41="YES",$G41*$F$29,0))</f>
        <v>42500</v>
      </c>
      <c r="O41" s="214">
        <f t="shared" ref="O41:O104" si="14">IF($B41="","",IF($F41="YES",$G41*$F$30,0))</f>
        <v>42500</v>
      </c>
      <c r="P41" s="214">
        <f t="shared" ref="P41:P104" si="15">IF($B41="","",IF($F41="YES",$G41*$F$31,0))</f>
        <v>42500</v>
      </c>
      <c r="Q41" s="214">
        <f t="shared" ref="Q41:Q104" si="16">IF($B41="","",IF($F41="YES",$G41*$F$32,0))</f>
        <v>42500</v>
      </c>
      <c r="R41" s="214">
        <f t="shared" ref="R41:R104" si="17">IF($B41="","",IF($F41="YES",$G41*$F$33,0))</f>
        <v>42500</v>
      </c>
      <c r="S41" s="214">
        <f t="shared" ref="S41:S104" si="18">IF($B41="","",IF($F41="YES",$G41*$F$34,0))</f>
        <v>42500</v>
      </c>
      <c r="T41" s="214">
        <f t="shared" ref="T41:T104" si="19">IF($B41="","",IF($F41="YES",$H41*$F$25,0))</f>
        <v>2397.7501341598859</v>
      </c>
      <c r="U41" s="214">
        <f t="shared" ref="U41:U104" si="20">IF($B41="","",IF($F41="YES",$H41*$F$26,0))</f>
        <v>2397.7501341598859</v>
      </c>
      <c r="V41" s="214">
        <f t="shared" ref="V41:V104" si="21">IF($B41="","",IF($F41="YES",$H41*$F$27,0))</f>
        <v>2397.7501341598859</v>
      </c>
      <c r="W41" s="214">
        <f t="shared" ref="W41:W104" si="22">IF($B41="","",IF($F41="YES",$H41*$F$28,0))</f>
        <v>2397.7501341598859</v>
      </c>
      <c r="X41" s="214">
        <f t="shared" ref="X41:X104" si="23">IF($B41="","",IF($F41="YES",$H41*$F$29,0))</f>
        <v>2397.7501341598859</v>
      </c>
      <c r="Y41" s="214">
        <f t="shared" ref="Y41:Y104" si="24">IF($B41="","",IF($F41="YES",$H41*$F$30,0))</f>
        <v>2397.7501341598859</v>
      </c>
      <c r="Z41" s="214">
        <f t="shared" ref="Z41:Z104" si="25">IF($B41="","",IF($F41="YES",$H41*$F$31,0))</f>
        <v>2397.7501341598859</v>
      </c>
      <c r="AA41" s="214">
        <f t="shared" ref="AA41:AA104" si="26">IF($B41="","",IF($F41="YES",$H41*$F$32,0))</f>
        <v>2397.7501341598859</v>
      </c>
      <c r="AB41" s="214">
        <f t="shared" ref="AB41:AB104" si="27">IF($B41="","",IF($F41="YES",$H41*$F$33,0))</f>
        <v>2397.7501341598859</v>
      </c>
      <c r="AC41" s="214">
        <f t="shared" ref="AC41:AC104" si="28">IF($B41="","",IF($F41="YES",$H41*$F$34,0))</f>
        <v>2397.7501341598859</v>
      </c>
    </row>
    <row r="42" spans="2:29" x14ac:dyDescent="0.35">
      <c r="B42" s="208" t="str">
        <f>IF('Portfolio Register'!$A6="","",'Portfolio Register'!$A6)</f>
        <v>V-0002</v>
      </c>
      <c r="C42" s="208" t="str">
        <f>IF($B42="","",'Portfolio Register'!$B6)</f>
        <v>Sonoran Collection Trust</v>
      </c>
      <c r="D42" s="208" t="str">
        <f>IF($B42="","",'Portfolio Register'!$I6)</f>
        <v>04 - Hypercar</v>
      </c>
      <c r="E42" s="208" t="str">
        <f>IF($B42="","",'Portfolio Register'!$DG6)</f>
        <v>NO - AWAITING APPROVAL</v>
      </c>
      <c r="F42" s="224" t="str">
        <f t="shared" si="8"/>
        <v>NO</v>
      </c>
      <c r="G42" s="225">
        <f>IF($B42="","",'Portfolio Register'!$J6)</f>
        <v>3600000</v>
      </c>
      <c r="H42" s="225">
        <f>IF($B42="","",'Portfolio Register'!$CO6)</f>
        <v>43327.919987477027</v>
      </c>
      <c r="I42" s="225">
        <f>IF($B42="","",'Portfolio Register'!$CW6)</f>
        <v>32495.939990607771</v>
      </c>
      <c r="J42" s="214">
        <f t="shared" si="9"/>
        <v>0</v>
      </c>
      <c r="K42" s="214">
        <f t="shared" si="10"/>
        <v>0</v>
      </c>
      <c r="L42" s="214">
        <f t="shared" si="11"/>
        <v>0</v>
      </c>
      <c r="M42" s="214">
        <f t="shared" si="12"/>
        <v>0</v>
      </c>
      <c r="N42" s="214">
        <f t="shared" si="13"/>
        <v>0</v>
      </c>
      <c r="O42" s="214">
        <f t="shared" si="14"/>
        <v>0</v>
      </c>
      <c r="P42" s="214">
        <f t="shared" si="15"/>
        <v>0</v>
      </c>
      <c r="Q42" s="214">
        <f t="shared" si="16"/>
        <v>0</v>
      </c>
      <c r="R42" s="214">
        <f t="shared" si="17"/>
        <v>0</v>
      </c>
      <c r="S42" s="214">
        <f t="shared" si="18"/>
        <v>0</v>
      </c>
      <c r="T42" s="214">
        <f t="shared" si="19"/>
        <v>0</v>
      </c>
      <c r="U42" s="214">
        <f t="shared" si="20"/>
        <v>0</v>
      </c>
      <c r="V42" s="214">
        <f t="shared" si="21"/>
        <v>0</v>
      </c>
      <c r="W42" s="214">
        <f t="shared" si="22"/>
        <v>0</v>
      </c>
      <c r="X42" s="214">
        <f t="shared" si="23"/>
        <v>0</v>
      </c>
      <c r="Y42" s="214">
        <f t="shared" si="24"/>
        <v>0</v>
      </c>
      <c r="Z42" s="214">
        <f t="shared" si="25"/>
        <v>0</v>
      </c>
      <c r="AA42" s="214">
        <f t="shared" si="26"/>
        <v>0</v>
      </c>
      <c r="AB42" s="214">
        <f t="shared" si="27"/>
        <v>0</v>
      </c>
      <c r="AC42" s="214">
        <f t="shared" si="28"/>
        <v>0</v>
      </c>
    </row>
    <row r="43" spans="2:29" x14ac:dyDescent="0.35">
      <c r="B43" s="208" t="str">
        <f>IF('Portfolio Register'!$A7="","",'Portfolio Register'!$A7)</f>
        <v>V-0003</v>
      </c>
      <c r="C43" s="208" t="str">
        <f>IF($B43="","",'Portfolio Register'!$B7)</f>
        <v>Sonoran Collection Trust</v>
      </c>
      <c r="D43" s="208" t="str">
        <f>IF($B43="","",'Portfolio Register'!$I7)</f>
        <v>07 - Post-War Classic (1946-1972)</v>
      </c>
      <c r="E43" s="208" t="str">
        <f>IF($B43="","",'Portfolio Register'!$DG7)</f>
        <v>YES - within authority</v>
      </c>
      <c r="F43" s="224" t="str">
        <f t="shared" si="8"/>
        <v>YES</v>
      </c>
      <c r="G43" s="225">
        <f>IF($B43="","",'Portfolio Register'!$J7)</f>
        <v>1450000</v>
      </c>
      <c r="H43" s="225">
        <f>IF($B43="","",'Portfolio Register'!$CO7)</f>
        <v>8722.8137080012475</v>
      </c>
      <c r="I43" s="225">
        <f>IF($B43="","",'Portfolio Register'!$CW7)</f>
        <v>6542.1102810009361</v>
      </c>
      <c r="J43" s="214">
        <f t="shared" si="9"/>
        <v>145000</v>
      </c>
      <c r="K43" s="214">
        <f t="shared" si="10"/>
        <v>145000</v>
      </c>
      <c r="L43" s="214">
        <f t="shared" si="11"/>
        <v>145000</v>
      </c>
      <c r="M43" s="214">
        <f t="shared" si="12"/>
        <v>145000</v>
      </c>
      <c r="N43" s="214">
        <f t="shared" si="13"/>
        <v>145000</v>
      </c>
      <c r="O43" s="214">
        <f t="shared" si="14"/>
        <v>145000</v>
      </c>
      <c r="P43" s="214">
        <f t="shared" si="15"/>
        <v>145000</v>
      </c>
      <c r="Q43" s="214">
        <f t="shared" si="16"/>
        <v>145000</v>
      </c>
      <c r="R43" s="214">
        <f t="shared" si="17"/>
        <v>145000</v>
      </c>
      <c r="S43" s="214">
        <f t="shared" si="18"/>
        <v>145000</v>
      </c>
      <c r="T43" s="214">
        <f t="shared" si="19"/>
        <v>872.28137080012482</v>
      </c>
      <c r="U43" s="214">
        <f t="shared" si="20"/>
        <v>872.28137080012482</v>
      </c>
      <c r="V43" s="214">
        <f t="shared" si="21"/>
        <v>872.28137080012482</v>
      </c>
      <c r="W43" s="214">
        <f t="shared" si="22"/>
        <v>872.28137080012482</v>
      </c>
      <c r="X43" s="214">
        <f t="shared" si="23"/>
        <v>872.28137080012482</v>
      </c>
      <c r="Y43" s="214">
        <f t="shared" si="24"/>
        <v>872.28137080012482</v>
      </c>
      <c r="Z43" s="214">
        <f t="shared" si="25"/>
        <v>872.28137080012482</v>
      </c>
      <c r="AA43" s="214">
        <f t="shared" si="26"/>
        <v>872.28137080012482</v>
      </c>
      <c r="AB43" s="214">
        <f t="shared" si="27"/>
        <v>872.28137080012482</v>
      </c>
      <c r="AC43" s="214">
        <f t="shared" si="28"/>
        <v>872.28137080012482</v>
      </c>
    </row>
    <row r="44" spans="2:29" x14ac:dyDescent="0.35">
      <c r="B44" s="208" t="str">
        <f>IF('Portfolio Register'!$A8="","",'Portfolio Register'!$A8)</f>
        <v>V-0004</v>
      </c>
      <c r="C44" s="208" t="str">
        <f>IF($B44="","",'Portfolio Register'!$B8)</f>
        <v>Meridian Motorcars LLC</v>
      </c>
      <c r="D44" s="208" t="str">
        <f>IF($B44="","",'Portfolio Register'!$I8)</f>
        <v>03 - Supercar</v>
      </c>
      <c r="E44" s="208" t="str">
        <f>IF($B44="","",'Portfolio Register'!$DG8)</f>
        <v>NO - AWAITING APPROVAL</v>
      </c>
      <c r="F44" s="224" t="str">
        <f t="shared" si="8"/>
        <v>NO</v>
      </c>
      <c r="G44" s="225">
        <f>IF($B44="","",'Portfolio Register'!$J8)</f>
        <v>280000</v>
      </c>
      <c r="H44" s="225">
        <f>IF($B44="","",'Portfolio Register'!$CO8)</f>
        <v>48615.655616379321</v>
      </c>
      <c r="I44" s="225">
        <f>IF($B44="","",'Portfolio Register'!$CW8)</f>
        <v>36461.741712284493</v>
      </c>
      <c r="J44" s="214">
        <f t="shared" si="9"/>
        <v>0</v>
      </c>
      <c r="K44" s="214">
        <f t="shared" si="10"/>
        <v>0</v>
      </c>
      <c r="L44" s="214">
        <f t="shared" si="11"/>
        <v>0</v>
      </c>
      <c r="M44" s="214">
        <f t="shared" si="12"/>
        <v>0</v>
      </c>
      <c r="N44" s="214">
        <f t="shared" si="13"/>
        <v>0</v>
      </c>
      <c r="O44" s="214">
        <f t="shared" si="14"/>
        <v>0</v>
      </c>
      <c r="P44" s="214">
        <f t="shared" si="15"/>
        <v>0</v>
      </c>
      <c r="Q44" s="214">
        <f t="shared" si="16"/>
        <v>0</v>
      </c>
      <c r="R44" s="214">
        <f t="shared" si="17"/>
        <v>0</v>
      </c>
      <c r="S44" s="214">
        <f t="shared" si="18"/>
        <v>0</v>
      </c>
      <c r="T44" s="214">
        <f t="shared" si="19"/>
        <v>0</v>
      </c>
      <c r="U44" s="214">
        <f t="shared" si="20"/>
        <v>0</v>
      </c>
      <c r="V44" s="214">
        <f t="shared" si="21"/>
        <v>0</v>
      </c>
      <c r="W44" s="214">
        <f t="shared" si="22"/>
        <v>0</v>
      </c>
      <c r="X44" s="214">
        <f t="shared" si="23"/>
        <v>0</v>
      </c>
      <c r="Y44" s="214">
        <f t="shared" si="24"/>
        <v>0</v>
      </c>
      <c r="Z44" s="214">
        <f t="shared" si="25"/>
        <v>0</v>
      </c>
      <c r="AA44" s="214">
        <f t="shared" si="26"/>
        <v>0</v>
      </c>
      <c r="AB44" s="214">
        <f t="shared" si="27"/>
        <v>0</v>
      </c>
      <c r="AC44" s="214">
        <f t="shared" si="28"/>
        <v>0</v>
      </c>
    </row>
    <row r="45" spans="2:29" x14ac:dyDescent="0.35">
      <c r="B45" s="208" t="str">
        <f>IF('Portfolio Register'!$A9="","",'Portfolio Register'!$A9)</f>
        <v>V-0005</v>
      </c>
      <c r="C45" s="208" t="str">
        <f>IF($B45="","",'Portfolio Register'!$B9)</f>
        <v>K. Reyes</v>
      </c>
      <c r="D45" s="208" t="str">
        <f>IF($B45="","",'Portfolio Register'!$I9)</f>
        <v>02 - Sports / GT</v>
      </c>
      <c r="E45" s="208" t="str">
        <f>IF($B45="","",'Portfolio Register'!$DG9)</f>
        <v>YES - within authority</v>
      </c>
      <c r="F45" s="224" t="str">
        <f t="shared" si="8"/>
        <v>YES</v>
      </c>
      <c r="G45" s="225">
        <f>IF($B45="","",'Portfolio Register'!$J9)</f>
        <v>185000</v>
      </c>
      <c r="H45" s="225">
        <f>IF($B45="","",'Portfolio Register'!$CO9)</f>
        <v>2932.4812355713316</v>
      </c>
      <c r="I45" s="225">
        <f>IF($B45="","",'Portfolio Register'!$CW9)</f>
        <v>2199.3609266784988</v>
      </c>
      <c r="J45" s="214">
        <f t="shared" si="9"/>
        <v>18500</v>
      </c>
      <c r="K45" s="214">
        <f t="shared" si="10"/>
        <v>18500</v>
      </c>
      <c r="L45" s="214">
        <f t="shared" si="11"/>
        <v>18500</v>
      </c>
      <c r="M45" s="214">
        <f t="shared" si="12"/>
        <v>18500</v>
      </c>
      <c r="N45" s="214">
        <f t="shared" si="13"/>
        <v>18500</v>
      </c>
      <c r="O45" s="214">
        <f t="shared" si="14"/>
        <v>18500</v>
      </c>
      <c r="P45" s="214">
        <f t="shared" si="15"/>
        <v>18500</v>
      </c>
      <c r="Q45" s="214">
        <f t="shared" si="16"/>
        <v>18500</v>
      </c>
      <c r="R45" s="214">
        <f t="shared" si="17"/>
        <v>18500</v>
      </c>
      <c r="S45" s="214">
        <f t="shared" si="18"/>
        <v>18500</v>
      </c>
      <c r="T45" s="214">
        <f t="shared" si="19"/>
        <v>293.24812355713317</v>
      </c>
      <c r="U45" s="214">
        <f t="shared" si="20"/>
        <v>293.24812355713317</v>
      </c>
      <c r="V45" s="214">
        <f t="shared" si="21"/>
        <v>293.24812355713317</v>
      </c>
      <c r="W45" s="214">
        <f t="shared" si="22"/>
        <v>293.24812355713317</v>
      </c>
      <c r="X45" s="214">
        <f t="shared" si="23"/>
        <v>293.24812355713317</v>
      </c>
      <c r="Y45" s="214">
        <f t="shared" si="24"/>
        <v>293.24812355713317</v>
      </c>
      <c r="Z45" s="214">
        <f t="shared" si="25"/>
        <v>293.24812355713317</v>
      </c>
      <c r="AA45" s="214">
        <f t="shared" si="26"/>
        <v>293.24812355713317</v>
      </c>
      <c r="AB45" s="214">
        <f t="shared" si="27"/>
        <v>293.24812355713317</v>
      </c>
      <c r="AC45" s="214">
        <f t="shared" si="28"/>
        <v>293.24812355713317</v>
      </c>
    </row>
    <row r="46" spans="2:29" x14ac:dyDescent="0.35">
      <c r="B46" s="208" t="str">
        <f>IF('Portfolio Register'!$A10="","",'Portfolio Register'!$A10)</f>
        <v>V-0006</v>
      </c>
      <c r="C46" s="208" t="str">
        <f>IF($B46="","",'Portfolio Register'!$B10)</f>
        <v>Pacific Crest Garage LLC</v>
      </c>
      <c r="D46" s="208" t="str">
        <f>IF($B46="","",'Portfolio Register'!$I10)</f>
        <v>11 - Restomod / Coachbuilt / Bespoke</v>
      </c>
      <c r="E46" s="208" t="str">
        <f>IF($B46="","",'Portfolio Register'!$DG10)</f>
        <v>NO - AWAITING APPROVAL</v>
      </c>
      <c r="F46" s="224" t="str">
        <f t="shared" si="8"/>
        <v>NO</v>
      </c>
      <c r="G46" s="225">
        <f>IF($B46="","",'Portfolio Register'!$J10)</f>
        <v>2200000</v>
      </c>
      <c r="H46" s="225">
        <f>IF($B46="","",'Portfolio Register'!$CO10)</f>
        <v>76861.635644163209</v>
      </c>
      <c r="I46" s="225">
        <f>IF($B46="","",'Portfolio Register'!$CW10)</f>
        <v>57646.226733122407</v>
      </c>
      <c r="J46" s="214">
        <f t="shared" si="9"/>
        <v>0</v>
      </c>
      <c r="K46" s="214">
        <f t="shared" si="10"/>
        <v>0</v>
      </c>
      <c r="L46" s="214">
        <f t="shared" si="11"/>
        <v>0</v>
      </c>
      <c r="M46" s="214">
        <f t="shared" si="12"/>
        <v>0</v>
      </c>
      <c r="N46" s="214">
        <f t="shared" si="13"/>
        <v>0</v>
      </c>
      <c r="O46" s="214">
        <f t="shared" si="14"/>
        <v>0</v>
      </c>
      <c r="P46" s="214">
        <f t="shared" si="15"/>
        <v>0</v>
      </c>
      <c r="Q46" s="214">
        <f t="shared" si="16"/>
        <v>0</v>
      </c>
      <c r="R46" s="214">
        <f t="shared" si="17"/>
        <v>0</v>
      </c>
      <c r="S46" s="214">
        <f t="shared" si="18"/>
        <v>0</v>
      </c>
      <c r="T46" s="214">
        <f t="shared" si="19"/>
        <v>0</v>
      </c>
      <c r="U46" s="214">
        <f t="shared" si="20"/>
        <v>0</v>
      </c>
      <c r="V46" s="214">
        <f t="shared" si="21"/>
        <v>0</v>
      </c>
      <c r="W46" s="214">
        <f t="shared" si="22"/>
        <v>0</v>
      </c>
      <c r="X46" s="214">
        <f t="shared" si="23"/>
        <v>0</v>
      </c>
      <c r="Y46" s="214">
        <f t="shared" si="24"/>
        <v>0</v>
      </c>
      <c r="Z46" s="214">
        <f t="shared" si="25"/>
        <v>0</v>
      </c>
      <c r="AA46" s="214">
        <f t="shared" si="26"/>
        <v>0</v>
      </c>
      <c r="AB46" s="214">
        <f t="shared" si="27"/>
        <v>0</v>
      </c>
      <c r="AC46" s="214">
        <f t="shared" si="28"/>
        <v>0</v>
      </c>
    </row>
    <row r="47" spans="2:29" x14ac:dyDescent="0.35">
      <c r="B47" s="208" t="str">
        <f>IF('Portfolio Register'!$A11="","",'Portfolio Register'!$A11)</f>
        <v/>
      </c>
      <c r="C47" s="208" t="str">
        <f>IF($B47="","",'Portfolio Register'!$B11)</f>
        <v/>
      </c>
      <c r="D47" s="208" t="str">
        <f>IF($B47="","",'Portfolio Register'!$I11)</f>
        <v/>
      </c>
      <c r="E47" s="208" t="str">
        <f>IF($B47="","",'Portfolio Register'!$DG11)</f>
        <v/>
      </c>
      <c r="F47" s="224" t="str">
        <f t="shared" si="8"/>
        <v/>
      </c>
      <c r="G47" s="225" t="str">
        <f>IF($B47="","",'Portfolio Register'!$J11)</f>
        <v/>
      </c>
      <c r="H47" s="225" t="str">
        <f>IF($B47="","",'Portfolio Register'!$CO11)</f>
        <v/>
      </c>
      <c r="I47" s="225" t="str">
        <f>IF($B47="","",'Portfolio Register'!$CW11)</f>
        <v/>
      </c>
      <c r="J47" s="214" t="str">
        <f t="shared" si="9"/>
        <v/>
      </c>
      <c r="K47" s="214" t="str">
        <f t="shared" si="10"/>
        <v/>
      </c>
      <c r="L47" s="214" t="str">
        <f t="shared" si="11"/>
        <v/>
      </c>
      <c r="M47" s="214" t="str">
        <f t="shared" si="12"/>
        <v/>
      </c>
      <c r="N47" s="214" t="str">
        <f t="shared" si="13"/>
        <v/>
      </c>
      <c r="O47" s="214" t="str">
        <f t="shared" si="14"/>
        <v/>
      </c>
      <c r="P47" s="214" t="str">
        <f t="shared" si="15"/>
        <v/>
      </c>
      <c r="Q47" s="214" t="str">
        <f t="shared" si="16"/>
        <v/>
      </c>
      <c r="R47" s="214" t="str">
        <f t="shared" si="17"/>
        <v/>
      </c>
      <c r="S47" s="214" t="str">
        <f t="shared" si="18"/>
        <v/>
      </c>
      <c r="T47" s="214" t="str">
        <f t="shared" si="19"/>
        <v/>
      </c>
      <c r="U47" s="214" t="str">
        <f t="shared" si="20"/>
        <v/>
      </c>
      <c r="V47" s="214" t="str">
        <f t="shared" si="21"/>
        <v/>
      </c>
      <c r="W47" s="214" t="str">
        <f t="shared" si="22"/>
        <v/>
      </c>
      <c r="X47" s="214" t="str">
        <f t="shared" si="23"/>
        <v/>
      </c>
      <c r="Y47" s="214" t="str">
        <f t="shared" si="24"/>
        <v/>
      </c>
      <c r="Z47" s="214" t="str">
        <f t="shared" si="25"/>
        <v/>
      </c>
      <c r="AA47" s="214" t="str">
        <f t="shared" si="26"/>
        <v/>
      </c>
      <c r="AB47" s="214" t="str">
        <f t="shared" si="27"/>
        <v/>
      </c>
      <c r="AC47" s="214" t="str">
        <f t="shared" si="28"/>
        <v/>
      </c>
    </row>
    <row r="48" spans="2:29" x14ac:dyDescent="0.35">
      <c r="B48" s="208" t="str">
        <f>IF('Portfolio Register'!$A12="","",'Portfolio Register'!$A12)</f>
        <v/>
      </c>
      <c r="C48" s="208" t="str">
        <f>IF($B48="","",'Portfolio Register'!$B12)</f>
        <v/>
      </c>
      <c r="D48" s="208" t="str">
        <f>IF($B48="","",'Portfolio Register'!$I12)</f>
        <v/>
      </c>
      <c r="E48" s="208" t="str">
        <f>IF($B48="","",'Portfolio Register'!$DG12)</f>
        <v/>
      </c>
      <c r="F48" s="224" t="str">
        <f t="shared" si="8"/>
        <v/>
      </c>
      <c r="G48" s="225" t="str">
        <f>IF($B48="","",'Portfolio Register'!$J12)</f>
        <v/>
      </c>
      <c r="H48" s="225" t="str">
        <f>IF($B48="","",'Portfolio Register'!$CO12)</f>
        <v/>
      </c>
      <c r="I48" s="225" t="str">
        <f>IF($B48="","",'Portfolio Register'!$CW12)</f>
        <v/>
      </c>
      <c r="J48" s="214" t="str">
        <f t="shared" si="9"/>
        <v/>
      </c>
      <c r="K48" s="214" t="str">
        <f t="shared" si="10"/>
        <v/>
      </c>
      <c r="L48" s="214" t="str">
        <f t="shared" si="11"/>
        <v/>
      </c>
      <c r="M48" s="214" t="str">
        <f t="shared" si="12"/>
        <v/>
      </c>
      <c r="N48" s="214" t="str">
        <f t="shared" si="13"/>
        <v/>
      </c>
      <c r="O48" s="214" t="str">
        <f t="shared" si="14"/>
        <v/>
      </c>
      <c r="P48" s="214" t="str">
        <f t="shared" si="15"/>
        <v/>
      </c>
      <c r="Q48" s="214" t="str">
        <f t="shared" si="16"/>
        <v/>
      </c>
      <c r="R48" s="214" t="str">
        <f t="shared" si="17"/>
        <v/>
      </c>
      <c r="S48" s="214" t="str">
        <f t="shared" si="18"/>
        <v/>
      </c>
      <c r="T48" s="214" t="str">
        <f t="shared" si="19"/>
        <v/>
      </c>
      <c r="U48" s="214" t="str">
        <f t="shared" si="20"/>
        <v/>
      </c>
      <c r="V48" s="214" t="str">
        <f t="shared" si="21"/>
        <v/>
      </c>
      <c r="W48" s="214" t="str">
        <f t="shared" si="22"/>
        <v/>
      </c>
      <c r="X48" s="214" t="str">
        <f t="shared" si="23"/>
        <v/>
      </c>
      <c r="Y48" s="214" t="str">
        <f t="shared" si="24"/>
        <v/>
      </c>
      <c r="Z48" s="214" t="str">
        <f t="shared" si="25"/>
        <v/>
      </c>
      <c r="AA48" s="214" t="str">
        <f t="shared" si="26"/>
        <v/>
      </c>
      <c r="AB48" s="214" t="str">
        <f t="shared" si="27"/>
        <v/>
      </c>
      <c r="AC48" s="214" t="str">
        <f t="shared" si="28"/>
        <v/>
      </c>
    </row>
    <row r="49" spans="2:29" x14ac:dyDescent="0.35">
      <c r="B49" s="208" t="str">
        <f>IF('Portfolio Register'!$A13="","",'Portfolio Register'!$A13)</f>
        <v/>
      </c>
      <c r="C49" s="208" t="str">
        <f>IF($B49="","",'Portfolio Register'!$B13)</f>
        <v/>
      </c>
      <c r="D49" s="208" t="str">
        <f>IF($B49="","",'Portfolio Register'!$I13)</f>
        <v/>
      </c>
      <c r="E49" s="208" t="str">
        <f>IF($B49="","",'Portfolio Register'!$DG13)</f>
        <v/>
      </c>
      <c r="F49" s="224" t="str">
        <f t="shared" si="8"/>
        <v/>
      </c>
      <c r="G49" s="225" t="str">
        <f>IF($B49="","",'Portfolio Register'!$J13)</f>
        <v/>
      </c>
      <c r="H49" s="225" t="str">
        <f>IF($B49="","",'Portfolio Register'!$CO13)</f>
        <v/>
      </c>
      <c r="I49" s="225" t="str">
        <f>IF($B49="","",'Portfolio Register'!$CW13)</f>
        <v/>
      </c>
      <c r="J49" s="214" t="str">
        <f t="shared" si="9"/>
        <v/>
      </c>
      <c r="K49" s="214" t="str">
        <f t="shared" si="10"/>
        <v/>
      </c>
      <c r="L49" s="214" t="str">
        <f t="shared" si="11"/>
        <v/>
      </c>
      <c r="M49" s="214" t="str">
        <f t="shared" si="12"/>
        <v/>
      </c>
      <c r="N49" s="214" t="str">
        <f t="shared" si="13"/>
        <v/>
      </c>
      <c r="O49" s="214" t="str">
        <f t="shared" si="14"/>
        <v/>
      </c>
      <c r="P49" s="214" t="str">
        <f t="shared" si="15"/>
        <v/>
      </c>
      <c r="Q49" s="214" t="str">
        <f t="shared" si="16"/>
        <v/>
      </c>
      <c r="R49" s="214" t="str">
        <f t="shared" si="17"/>
        <v/>
      </c>
      <c r="S49" s="214" t="str">
        <f t="shared" si="18"/>
        <v/>
      </c>
      <c r="T49" s="214" t="str">
        <f t="shared" si="19"/>
        <v/>
      </c>
      <c r="U49" s="214" t="str">
        <f t="shared" si="20"/>
        <v/>
      </c>
      <c r="V49" s="214" t="str">
        <f t="shared" si="21"/>
        <v/>
      </c>
      <c r="W49" s="214" t="str">
        <f t="shared" si="22"/>
        <v/>
      </c>
      <c r="X49" s="214" t="str">
        <f t="shared" si="23"/>
        <v/>
      </c>
      <c r="Y49" s="214" t="str">
        <f t="shared" si="24"/>
        <v/>
      </c>
      <c r="Z49" s="214" t="str">
        <f t="shared" si="25"/>
        <v/>
      </c>
      <c r="AA49" s="214" t="str">
        <f t="shared" si="26"/>
        <v/>
      </c>
      <c r="AB49" s="214" t="str">
        <f t="shared" si="27"/>
        <v/>
      </c>
      <c r="AC49" s="214" t="str">
        <f t="shared" si="28"/>
        <v/>
      </c>
    </row>
    <row r="50" spans="2:29" x14ac:dyDescent="0.35">
      <c r="B50" s="208" t="str">
        <f>IF('Portfolio Register'!$A14="","",'Portfolio Register'!$A14)</f>
        <v/>
      </c>
      <c r="C50" s="208" t="str">
        <f>IF($B50="","",'Portfolio Register'!$B14)</f>
        <v/>
      </c>
      <c r="D50" s="208" t="str">
        <f>IF($B50="","",'Portfolio Register'!$I14)</f>
        <v/>
      </c>
      <c r="E50" s="208" t="str">
        <f>IF($B50="","",'Portfolio Register'!$DG14)</f>
        <v/>
      </c>
      <c r="F50" s="224" t="str">
        <f t="shared" si="8"/>
        <v/>
      </c>
      <c r="G50" s="225" t="str">
        <f>IF($B50="","",'Portfolio Register'!$J14)</f>
        <v/>
      </c>
      <c r="H50" s="225" t="str">
        <f>IF($B50="","",'Portfolio Register'!$CO14)</f>
        <v/>
      </c>
      <c r="I50" s="225" t="str">
        <f>IF($B50="","",'Portfolio Register'!$CW14)</f>
        <v/>
      </c>
      <c r="J50" s="214" t="str">
        <f t="shared" si="9"/>
        <v/>
      </c>
      <c r="K50" s="214" t="str">
        <f t="shared" si="10"/>
        <v/>
      </c>
      <c r="L50" s="214" t="str">
        <f t="shared" si="11"/>
        <v/>
      </c>
      <c r="M50" s="214" t="str">
        <f t="shared" si="12"/>
        <v/>
      </c>
      <c r="N50" s="214" t="str">
        <f t="shared" si="13"/>
        <v/>
      </c>
      <c r="O50" s="214" t="str">
        <f t="shared" si="14"/>
        <v/>
      </c>
      <c r="P50" s="214" t="str">
        <f t="shared" si="15"/>
        <v/>
      </c>
      <c r="Q50" s="214" t="str">
        <f t="shared" si="16"/>
        <v/>
      </c>
      <c r="R50" s="214" t="str">
        <f t="shared" si="17"/>
        <v/>
      </c>
      <c r="S50" s="214" t="str">
        <f t="shared" si="18"/>
        <v/>
      </c>
      <c r="T50" s="214" t="str">
        <f t="shared" si="19"/>
        <v/>
      </c>
      <c r="U50" s="214" t="str">
        <f t="shared" si="20"/>
        <v/>
      </c>
      <c r="V50" s="214" t="str">
        <f t="shared" si="21"/>
        <v/>
      </c>
      <c r="W50" s="214" t="str">
        <f t="shared" si="22"/>
        <v/>
      </c>
      <c r="X50" s="214" t="str">
        <f t="shared" si="23"/>
        <v/>
      </c>
      <c r="Y50" s="214" t="str">
        <f t="shared" si="24"/>
        <v/>
      </c>
      <c r="Z50" s="214" t="str">
        <f t="shared" si="25"/>
        <v/>
      </c>
      <c r="AA50" s="214" t="str">
        <f t="shared" si="26"/>
        <v/>
      </c>
      <c r="AB50" s="214" t="str">
        <f t="shared" si="27"/>
        <v/>
      </c>
      <c r="AC50" s="214" t="str">
        <f t="shared" si="28"/>
        <v/>
      </c>
    </row>
    <row r="51" spans="2:29" x14ac:dyDescent="0.35">
      <c r="B51" s="208" t="str">
        <f>IF('Portfolio Register'!$A15="","",'Portfolio Register'!$A15)</f>
        <v/>
      </c>
      <c r="C51" s="208" t="str">
        <f>IF($B51="","",'Portfolio Register'!$B15)</f>
        <v/>
      </c>
      <c r="D51" s="208" t="str">
        <f>IF($B51="","",'Portfolio Register'!$I15)</f>
        <v/>
      </c>
      <c r="E51" s="208" t="str">
        <f>IF($B51="","",'Portfolio Register'!$DG15)</f>
        <v/>
      </c>
      <c r="F51" s="224" t="str">
        <f t="shared" si="8"/>
        <v/>
      </c>
      <c r="G51" s="225" t="str">
        <f>IF($B51="","",'Portfolio Register'!$J15)</f>
        <v/>
      </c>
      <c r="H51" s="225" t="str">
        <f>IF($B51="","",'Portfolio Register'!$CO15)</f>
        <v/>
      </c>
      <c r="I51" s="225" t="str">
        <f>IF($B51="","",'Portfolio Register'!$CW15)</f>
        <v/>
      </c>
      <c r="J51" s="214" t="str">
        <f t="shared" si="9"/>
        <v/>
      </c>
      <c r="K51" s="214" t="str">
        <f t="shared" si="10"/>
        <v/>
      </c>
      <c r="L51" s="214" t="str">
        <f t="shared" si="11"/>
        <v/>
      </c>
      <c r="M51" s="214" t="str">
        <f t="shared" si="12"/>
        <v/>
      </c>
      <c r="N51" s="214" t="str">
        <f t="shared" si="13"/>
        <v/>
      </c>
      <c r="O51" s="214" t="str">
        <f t="shared" si="14"/>
        <v/>
      </c>
      <c r="P51" s="214" t="str">
        <f t="shared" si="15"/>
        <v/>
      </c>
      <c r="Q51" s="214" t="str">
        <f t="shared" si="16"/>
        <v/>
      </c>
      <c r="R51" s="214" t="str">
        <f t="shared" si="17"/>
        <v/>
      </c>
      <c r="S51" s="214" t="str">
        <f t="shared" si="18"/>
        <v/>
      </c>
      <c r="T51" s="214" t="str">
        <f t="shared" si="19"/>
        <v/>
      </c>
      <c r="U51" s="214" t="str">
        <f t="shared" si="20"/>
        <v/>
      </c>
      <c r="V51" s="214" t="str">
        <f t="shared" si="21"/>
        <v/>
      </c>
      <c r="W51" s="214" t="str">
        <f t="shared" si="22"/>
        <v/>
      </c>
      <c r="X51" s="214" t="str">
        <f t="shared" si="23"/>
        <v/>
      </c>
      <c r="Y51" s="214" t="str">
        <f t="shared" si="24"/>
        <v/>
      </c>
      <c r="Z51" s="214" t="str">
        <f t="shared" si="25"/>
        <v/>
      </c>
      <c r="AA51" s="214" t="str">
        <f t="shared" si="26"/>
        <v/>
      </c>
      <c r="AB51" s="214" t="str">
        <f t="shared" si="27"/>
        <v/>
      </c>
      <c r="AC51" s="214" t="str">
        <f t="shared" si="28"/>
        <v/>
      </c>
    </row>
    <row r="52" spans="2:29" x14ac:dyDescent="0.35">
      <c r="B52" s="208" t="str">
        <f>IF('Portfolio Register'!$A16="","",'Portfolio Register'!$A16)</f>
        <v/>
      </c>
      <c r="C52" s="208" t="str">
        <f>IF($B52="","",'Portfolio Register'!$B16)</f>
        <v/>
      </c>
      <c r="D52" s="208" t="str">
        <f>IF($B52="","",'Portfolio Register'!$I16)</f>
        <v/>
      </c>
      <c r="E52" s="208" t="str">
        <f>IF($B52="","",'Portfolio Register'!$DG16)</f>
        <v/>
      </c>
      <c r="F52" s="224" t="str">
        <f t="shared" si="8"/>
        <v/>
      </c>
      <c r="G52" s="225" t="str">
        <f>IF($B52="","",'Portfolio Register'!$J16)</f>
        <v/>
      </c>
      <c r="H52" s="225" t="str">
        <f>IF($B52="","",'Portfolio Register'!$CO16)</f>
        <v/>
      </c>
      <c r="I52" s="225" t="str">
        <f>IF($B52="","",'Portfolio Register'!$CW16)</f>
        <v/>
      </c>
      <c r="J52" s="214" t="str">
        <f t="shared" si="9"/>
        <v/>
      </c>
      <c r="K52" s="214" t="str">
        <f t="shared" si="10"/>
        <v/>
      </c>
      <c r="L52" s="214" t="str">
        <f t="shared" si="11"/>
        <v/>
      </c>
      <c r="M52" s="214" t="str">
        <f t="shared" si="12"/>
        <v/>
      </c>
      <c r="N52" s="214" t="str">
        <f t="shared" si="13"/>
        <v/>
      </c>
      <c r="O52" s="214" t="str">
        <f t="shared" si="14"/>
        <v/>
      </c>
      <c r="P52" s="214" t="str">
        <f t="shared" si="15"/>
        <v/>
      </c>
      <c r="Q52" s="214" t="str">
        <f t="shared" si="16"/>
        <v/>
      </c>
      <c r="R52" s="214" t="str">
        <f t="shared" si="17"/>
        <v/>
      </c>
      <c r="S52" s="214" t="str">
        <f t="shared" si="18"/>
        <v/>
      </c>
      <c r="T52" s="214" t="str">
        <f t="shared" si="19"/>
        <v/>
      </c>
      <c r="U52" s="214" t="str">
        <f t="shared" si="20"/>
        <v/>
      </c>
      <c r="V52" s="214" t="str">
        <f t="shared" si="21"/>
        <v/>
      </c>
      <c r="W52" s="214" t="str">
        <f t="shared" si="22"/>
        <v/>
      </c>
      <c r="X52" s="214" t="str">
        <f t="shared" si="23"/>
        <v/>
      </c>
      <c r="Y52" s="214" t="str">
        <f t="shared" si="24"/>
        <v/>
      </c>
      <c r="Z52" s="214" t="str">
        <f t="shared" si="25"/>
        <v/>
      </c>
      <c r="AA52" s="214" t="str">
        <f t="shared" si="26"/>
        <v/>
      </c>
      <c r="AB52" s="214" t="str">
        <f t="shared" si="27"/>
        <v/>
      </c>
      <c r="AC52" s="214" t="str">
        <f t="shared" si="28"/>
        <v/>
      </c>
    </row>
    <row r="53" spans="2:29" x14ac:dyDescent="0.35">
      <c r="B53" s="208" t="str">
        <f>IF('Portfolio Register'!$A17="","",'Portfolio Register'!$A17)</f>
        <v/>
      </c>
      <c r="C53" s="208" t="str">
        <f>IF($B53="","",'Portfolio Register'!$B17)</f>
        <v/>
      </c>
      <c r="D53" s="208" t="str">
        <f>IF($B53="","",'Portfolio Register'!$I17)</f>
        <v/>
      </c>
      <c r="E53" s="208" t="str">
        <f>IF($B53="","",'Portfolio Register'!$DG17)</f>
        <v/>
      </c>
      <c r="F53" s="224" t="str">
        <f t="shared" si="8"/>
        <v/>
      </c>
      <c r="G53" s="225" t="str">
        <f>IF($B53="","",'Portfolio Register'!$J17)</f>
        <v/>
      </c>
      <c r="H53" s="225" t="str">
        <f>IF($B53="","",'Portfolio Register'!$CO17)</f>
        <v/>
      </c>
      <c r="I53" s="225" t="str">
        <f>IF($B53="","",'Portfolio Register'!$CW17)</f>
        <v/>
      </c>
      <c r="J53" s="214" t="str">
        <f t="shared" si="9"/>
        <v/>
      </c>
      <c r="K53" s="214" t="str">
        <f t="shared" si="10"/>
        <v/>
      </c>
      <c r="L53" s="214" t="str">
        <f t="shared" si="11"/>
        <v/>
      </c>
      <c r="M53" s="214" t="str">
        <f t="shared" si="12"/>
        <v/>
      </c>
      <c r="N53" s="214" t="str">
        <f t="shared" si="13"/>
        <v/>
      </c>
      <c r="O53" s="214" t="str">
        <f t="shared" si="14"/>
        <v/>
      </c>
      <c r="P53" s="214" t="str">
        <f t="shared" si="15"/>
        <v/>
      </c>
      <c r="Q53" s="214" t="str">
        <f t="shared" si="16"/>
        <v/>
      </c>
      <c r="R53" s="214" t="str">
        <f t="shared" si="17"/>
        <v/>
      </c>
      <c r="S53" s="214" t="str">
        <f t="shared" si="18"/>
        <v/>
      </c>
      <c r="T53" s="214" t="str">
        <f t="shared" si="19"/>
        <v/>
      </c>
      <c r="U53" s="214" t="str">
        <f t="shared" si="20"/>
        <v/>
      </c>
      <c r="V53" s="214" t="str">
        <f t="shared" si="21"/>
        <v/>
      </c>
      <c r="W53" s="214" t="str">
        <f t="shared" si="22"/>
        <v/>
      </c>
      <c r="X53" s="214" t="str">
        <f t="shared" si="23"/>
        <v/>
      </c>
      <c r="Y53" s="214" t="str">
        <f t="shared" si="24"/>
        <v/>
      </c>
      <c r="Z53" s="214" t="str">
        <f t="shared" si="25"/>
        <v/>
      </c>
      <c r="AA53" s="214" t="str">
        <f t="shared" si="26"/>
        <v/>
      </c>
      <c r="AB53" s="214" t="str">
        <f t="shared" si="27"/>
        <v/>
      </c>
      <c r="AC53" s="214" t="str">
        <f t="shared" si="28"/>
        <v/>
      </c>
    </row>
    <row r="54" spans="2:29" x14ac:dyDescent="0.35">
      <c r="B54" s="208" t="str">
        <f>IF('Portfolio Register'!$A18="","",'Portfolio Register'!$A18)</f>
        <v/>
      </c>
      <c r="C54" s="208" t="str">
        <f>IF($B54="","",'Portfolio Register'!$B18)</f>
        <v/>
      </c>
      <c r="D54" s="208" t="str">
        <f>IF($B54="","",'Portfolio Register'!$I18)</f>
        <v/>
      </c>
      <c r="E54" s="208" t="str">
        <f>IF($B54="","",'Portfolio Register'!$DG18)</f>
        <v/>
      </c>
      <c r="F54" s="224" t="str">
        <f t="shared" si="8"/>
        <v/>
      </c>
      <c r="G54" s="225" t="str">
        <f>IF($B54="","",'Portfolio Register'!$J18)</f>
        <v/>
      </c>
      <c r="H54" s="225" t="str">
        <f>IF($B54="","",'Portfolio Register'!$CO18)</f>
        <v/>
      </c>
      <c r="I54" s="225" t="str">
        <f>IF($B54="","",'Portfolio Register'!$CW18)</f>
        <v/>
      </c>
      <c r="J54" s="214" t="str">
        <f t="shared" si="9"/>
        <v/>
      </c>
      <c r="K54" s="214" t="str">
        <f t="shared" si="10"/>
        <v/>
      </c>
      <c r="L54" s="214" t="str">
        <f t="shared" si="11"/>
        <v/>
      </c>
      <c r="M54" s="214" t="str">
        <f t="shared" si="12"/>
        <v/>
      </c>
      <c r="N54" s="214" t="str">
        <f t="shared" si="13"/>
        <v/>
      </c>
      <c r="O54" s="214" t="str">
        <f t="shared" si="14"/>
        <v/>
      </c>
      <c r="P54" s="214" t="str">
        <f t="shared" si="15"/>
        <v/>
      </c>
      <c r="Q54" s="214" t="str">
        <f t="shared" si="16"/>
        <v/>
      </c>
      <c r="R54" s="214" t="str">
        <f t="shared" si="17"/>
        <v/>
      </c>
      <c r="S54" s="214" t="str">
        <f t="shared" si="18"/>
        <v/>
      </c>
      <c r="T54" s="214" t="str">
        <f t="shared" si="19"/>
        <v/>
      </c>
      <c r="U54" s="214" t="str">
        <f t="shared" si="20"/>
        <v/>
      </c>
      <c r="V54" s="214" t="str">
        <f t="shared" si="21"/>
        <v/>
      </c>
      <c r="W54" s="214" t="str">
        <f t="shared" si="22"/>
        <v/>
      </c>
      <c r="X54" s="214" t="str">
        <f t="shared" si="23"/>
        <v/>
      </c>
      <c r="Y54" s="214" t="str">
        <f t="shared" si="24"/>
        <v/>
      </c>
      <c r="Z54" s="214" t="str">
        <f t="shared" si="25"/>
        <v/>
      </c>
      <c r="AA54" s="214" t="str">
        <f t="shared" si="26"/>
        <v/>
      </c>
      <c r="AB54" s="214" t="str">
        <f t="shared" si="27"/>
        <v/>
      </c>
      <c r="AC54" s="214" t="str">
        <f t="shared" si="28"/>
        <v/>
      </c>
    </row>
    <row r="55" spans="2:29" x14ac:dyDescent="0.35">
      <c r="B55" s="208" t="str">
        <f>IF('Portfolio Register'!$A19="","",'Portfolio Register'!$A19)</f>
        <v/>
      </c>
      <c r="C55" s="208" t="str">
        <f>IF($B55="","",'Portfolio Register'!$B19)</f>
        <v/>
      </c>
      <c r="D55" s="208" t="str">
        <f>IF($B55="","",'Portfolio Register'!$I19)</f>
        <v/>
      </c>
      <c r="E55" s="208" t="str">
        <f>IF($B55="","",'Portfolio Register'!$DG19)</f>
        <v/>
      </c>
      <c r="F55" s="224" t="str">
        <f t="shared" si="8"/>
        <v/>
      </c>
      <c r="G55" s="225" t="str">
        <f>IF($B55="","",'Portfolio Register'!$J19)</f>
        <v/>
      </c>
      <c r="H55" s="225" t="str">
        <f>IF($B55="","",'Portfolio Register'!$CO19)</f>
        <v/>
      </c>
      <c r="I55" s="225" t="str">
        <f>IF($B55="","",'Portfolio Register'!$CW19)</f>
        <v/>
      </c>
      <c r="J55" s="214" t="str">
        <f t="shared" si="9"/>
        <v/>
      </c>
      <c r="K55" s="214" t="str">
        <f t="shared" si="10"/>
        <v/>
      </c>
      <c r="L55" s="214" t="str">
        <f t="shared" si="11"/>
        <v/>
      </c>
      <c r="M55" s="214" t="str">
        <f t="shared" si="12"/>
        <v/>
      </c>
      <c r="N55" s="214" t="str">
        <f t="shared" si="13"/>
        <v/>
      </c>
      <c r="O55" s="214" t="str">
        <f t="shared" si="14"/>
        <v/>
      </c>
      <c r="P55" s="214" t="str">
        <f t="shared" si="15"/>
        <v/>
      </c>
      <c r="Q55" s="214" t="str">
        <f t="shared" si="16"/>
        <v/>
      </c>
      <c r="R55" s="214" t="str">
        <f t="shared" si="17"/>
        <v/>
      </c>
      <c r="S55" s="214" t="str">
        <f t="shared" si="18"/>
        <v/>
      </c>
      <c r="T55" s="214" t="str">
        <f t="shared" si="19"/>
        <v/>
      </c>
      <c r="U55" s="214" t="str">
        <f t="shared" si="20"/>
        <v/>
      </c>
      <c r="V55" s="214" t="str">
        <f t="shared" si="21"/>
        <v/>
      </c>
      <c r="W55" s="214" t="str">
        <f t="shared" si="22"/>
        <v/>
      </c>
      <c r="X55" s="214" t="str">
        <f t="shared" si="23"/>
        <v/>
      </c>
      <c r="Y55" s="214" t="str">
        <f t="shared" si="24"/>
        <v/>
      </c>
      <c r="Z55" s="214" t="str">
        <f t="shared" si="25"/>
        <v/>
      </c>
      <c r="AA55" s="214" t="str">
        <f t="shared" si="26"/>
        <v/>
      </c>
      <c r="AB55" s="214" t="str">
        <f t="shared" si="27"/>
        <v/>
      </c>
      <c r="AC55" s="214" t="str">
        <f t="shared" si="28"/>
        <v/>
      </c>
    </row>
    <row r="56" spans="2:29" x14ac:dyDescent="0.35">
      <c r="B56" s="208" t="str">
        <f>IF('Portfolio Register'!$A20="","",'Portfolio Register'!$A20)</f>
        <v/>
      </c>
      <c r="C56" s="208" t="str">
        <f>IF($B56="","",'Portfolio Register'!$B20)</f>
        <v/>
      </c>
      <c r="D56" s="208" t="str">
        <f>IF($B56="","",'Portfolio Register'!$I20)</f>
        <v/>
      </c>
      <c r="E56" s="208" t="str">
        <f>IF($B56="","",'Portfolio Register'!$DG20)</f>
        <v/>
      </c>
      <c r="F56" s="224" t="str">
        <f t="shared" si="8"/>
        <v/>
      </c>
      <c r="G56" s="225" t="str">
        <f>IF($B56="","",'Portfolio Register'!$J20)</f>
        <v/>
      </c>
      <c r="H56" s="225" t="str">
        <f>IF($B56="","",'Portfolio Register'!$CO20)</f>
        <v/>
      </c>
      <c r="I56" s="225" t="str">
        <f>IF($B56="","",'Portfolio Register'!$CW20)</f>
        <v/>
      </c>
      <c r="J56" s="214" t="str">
        <f t="shared" si="9"/>
        <v/>
      </c>
      <c r="K56" s="214" t="str">
        <f t="shared" si="10"/>
        <v/>
      </c>
      <c r="L56" s="214" t="str">
        <f t="shared" si="11"/>
        <v/>
      </c>
      <c r="M56" s="214" t="str">
        <f t="shared" si="12"/>
        <v/>
      </c>
      <c r="N56" s="214" t="str">
        <f t="shared" si="13"/>
        <v/>
      </c>
      <c r="O56" s="214" t="str">
        <f t="shared" si="14"/>
        <v/>
      </c>
      <c r="P56" s="214" t="str">
        <f t="shared" si="15"/>
        <v/>
      </c>
      <c r="Q56" s="214" t="str">
        <f t="shared" si="16"/>
        <v/>
      </c>
      <c r="R56" s="214" t="str">
        <f t="shared" si="17"/>
        <v/>
      </c>
      <c r="S56" s="214" t="str">
        <f t="shared" si="18"/>
        <v/>
      </c>
      <c r="T56" s="214" t="str">
        <f t="shared" si="19"/>
        <v/>
      </c>
      <c r="U56" s="214" t="str">
        <f t="shared" si="20"/>
        <v/>
      </c>
      <c r="V56" s="214" t="str">
        <f t="shared" si="21"/>
        <v/>
      </c>
      <c r="W56" s="214" t="str">
        <f t="shared" si="22"/>
        <v/>
      </c>
      <c r="X56" s="214" t="str">
        <f t="shared" si="23"/>
        <v/>
      </c>
      <c r="Y56" s="214" t="str">
        <f t="shared" si="24"/>
        <v/>
      </c>
      <c r="Z56" s="214" t="str">
        <f t="shared" si="25"/>
        <v/>
      </c>
      <c r="AA56" s="214" t="str">
        <f t="shared" si="26"/>
        <v/>
      </c>
      <c r="AB56" s="214" t="str">
        <f t="shared" si="27"/>
        <v/>
      </c>
      <c r="AC56" s="214" t="str">
        <f t="shared" si="28"/>
        <v/>
      </c>
    </row>
    <row r="57" spans="2:29" x14ac:dyDescent="0.35">
      <c r="B57" s="208" t="str">
        <f>IF('Portfolio Register'!$A21="","",'Portfolio Register'!$A21)</f>
        <v/>
      </c>
      <c r="C57" s="208" t="str">
        <f>IF($B57="","",'Portfolio Register'!$B21)</f>
        <v/>
      </c>
      <c r="D57" s="208" t="str">
        <f>IF($B57="","",'Portfolio Register'!$I21)</f>
        <v/>
      </c>
      <c r="E57" s="208" t="str">
        <f>IF($B57="","",'Portfolio Register'!$DG21)</f>
        <v/>
      </c>
      <c r="F57" s="224" t="str">
        <f t="shared" si="8"/>
        <v/>
      </c>
      <c r="G57" s="225" t="str">
        <f>IF($B57="","",'Portfolio Register'!$J21)</f>
        <v/>
      </c>
      <c r="H57" s="225" t="str">
        <f>IF($B57="","",'Portfolio Register'!$CO21)</f>
        <v/>
      </c>
      <c r="I57" s="225" t="str">
        <f>IF($B57="","",'Portfolio Register'!$CW21)</f>
        <v/>
      </c>
      <c r="J57" s="214" t="str">
        <f t="shared" si="9"/>
        <v/>
      </c>
      <c r="K57" s="214" t="str">
        <f t="shared" si="10"/>
        <v/>
      </c>
      <c r="L57" s="214" t="str">
        <f t="shared" si="11"/>
        <v/>
      </c>
      <c r="M57" s="214" t="str">
        <f t="shared" si="12"/>
        <v/>
      </c>
      <c r="N57" s="214" t="str">
        <f t="shared" si="13"/>
        <v/>
      </c>
      <c r="O57" s="214" t="str">
        <f t="shared" si="14"/>
        <v/>
      </c>
      <c r="P57" s="214" t="str">
        <f t="shared" si="15"/>
        <v/>
      </c>
      <c r="Q57" s="214" t="str">
        <f t="shared" si="16"/>
        <v/>
      </c>
      <c r="R57" s="214" t="str">
        <f t="shared" si="17"/>
        <v/>
      </c>
      <c r="S57" s="214" t="str">
        <f t="shared" si="18"/>
        <v/>
      </c>
      <c r="T57" s="214" t="str">
        <f t="shared" si="19"/>
        <v/>
      </c>
      <c r="U57" s="214" t="str">
        <f t="shared" si="20"/>
        <v/>
      </c>
      <c r="V57" s="214" t="str">
        <f t="shared" si="21"/>
        <v/>
      </c>
      <c r="W57" s="214" t="str">
        <f t="shared" si="22"/>
        <v/>
      </c>
      <c r="X57" s="214" t="str">
        <f t="shared" si="23"/>
        <v/>
      </c>
      <c r="Y57" s="214" t="str">
        <f t="shared" si="24"/>
        <v/>
      </c>
      <c r="Z57" s="214" t="str">
        <f t="shared" si="25"/>
        <v/>
      </c>
      <c r="AA57" s="214" t="str">
        <f t="shared" si="26"/>
        <v/>
      </c>
      <c r="AB57" s="214" t="str">
        <f t="shared" si="27"/>
        <v/>
      </c>
      <c r="AC57" s="214" t="str">
        <f t="shared" si="28"/>
        <v/>
      </c>
    </row>
    <row r="58" spans="2:29" x14ac:dyDescent="0.35">
      <c r="B58" s="208" t="str">
        <f>IF('Portfolio Register'!$A22="","",'Portfolio Register'!$A22)</f>
        <v/>
      </c>
      <c r="C58" s="208" t="str">
        <f>IF($B58="","",'Portfolio Register'!$B22)</f>
        <v/>
      </c>
      <c r="D58" s="208" t="str">
        <f>IF($B58="","",'Portfolio Register'!$I22)</f>
        <v/>
      </c>
      <c r="E58" s="208" t="str">
        <f>IF($B58="","",'Portfolio Register'!$DG22)</f>
        <v/>
      </c>
      <c r="F58" s="224" t="str">
        <f t="shared" si="8"/>
        <v/>
      </c>
      <c r="G58" s="225" t="str">
        <f>IF($B58="","",'Portfolio Register'!$J22)</f>
        <v/>
      </c>
      <c r="H58" s="225" t="str">
        <f>IF($B58="","",'Portfolio Register'!$CO22)</f>
        <v/>
      </c>
      <c r="I58" s="225" t="str">
        <f>IF($B58="","",'Portfolio Register'!$CW22)</f>
        <v/>
      </c>
      <c r="J58" s="214" t="str">
        <f t="shared" si="9"/>
        <v/>
      </c>
      <c r="K58" s="214" t="str">
        <f t="shared" si="10"/>
        <v/>
      </c>
      <c r="L58" s="214" t="str">
        <f t="shared" si="11"/>
        <v/>
      </c>
      <c r="M58" s="214" t="str">
        <f t="shared" si="12"/>
        <v/>
      </c>
      <c r="N58" s="214" t="str">
        <f t="shared" si="13"/>
        <v/>
      </c>
      <c r="O58" s="214" t="str">
        <f t="shared" si="14"/>
        <v/>
      </c>
      <c r="P58" s="214" t="str">
        <f t="shared" si="15"/>
        <v/>
      </c>
      <c r="Q58" s="214" t="str">
        <f t="shared" si="16"/>
        <v/>
      </c>
      <c r="R58" s="214" t="str">
        <f t="shared" si="17"/>
        <v/>
      </c>
      <c r="S58" s="214" t="str">
        <f t="shared" si="18"/>
        <v/>
      </c>
      <c r="T58" s="214" t="str">
        <f t="shared" si="19"/>
        <v/>
      </c>
      <c r="U58" s="214" t="str">
        <f t="shared" si="20"/>
        <v/>
      </c>
      <c r="V58" s="214" t="str">
        <f t="shared" si="21"/>
        <v/>
      </c>
      <c r="W58" s="214" t="str">
        <f t="shared" si="22"/>
        <v/>
      </c>
      <c r="X58" s="214" t="str">
        <f t="shared" si="23"/>
        <v/>
      </c>
      <c r="Y58" s="214" t="str">
        <f t="shared" si="24"/>
        <v/>
      </c>
      <c r="Z58" s="214" t="str">
        <f t="shared" si="25"/>
        <v/>
      </c>
      <c r="AA58" s="214" t="str">
        <f t="shared" si="26"/>
        <v/>
      </c>
      <c r="AB58" s="214" t="str">
        <f t="shared" si="27"/>
        <v/>
      </c>
      <c r="AC58" s="214" t="str">
        <f t="shared" si="28"/>
        <v/>
      </c>
    </row>
    <row r="59" spans="2:29" x14ac:dyDescent="0.35">
      <c r="B59" s="208" t="str">
        <f>IF('Portfolio Register'!$A23="","",'Portfolio Register'!$A23)</f>
        <v/>
      </c>
      <c r="C59" s="208" t="str">
        <f>IF($B59="","",'Portfolio Register'!$B23)</f>
        <v/>
      </c>
      <c r="D59" s="208" t="str">
        <f>IF($B59="","",'Portfolio Register'!$I23)</f>
        <v/>
      </c>
      <c r="E59" s="208" t="str">
        <f>IF($B59="","",'Portfolio Register'!$DG23)</f>
        <v/>
      </c>
      <c r="F59" s="224" t="str">
        <f t="shared" si="8"/>
        <v/>
      </c>
      <c r="G59" s="225" t="str">
        <f>IF($B59="","",'Portfolio Register'!$J23)</f>
        <v/>
      </c>
      <c r="H59" s="225" t="str">
        <f>IF($B59="","",'Portfolio Register'!$CO23)</f>
        <v/>
      </c>
      <c r="I59" s="225" t="str">
        <f>IF($B59="","",'Portfolio Register'!$CW23)</f>
        <v/>
      </c>
      <c r="J59" s="214" t="str">
        <f t="shared" si="9"/>
        <v/>
      </c>
      <c r="K59" s="214" t="str">
        <f t="shared" si="10"/>
        <v/>
      </c>
      <c r="L59" s="214" t="str">
        <f t="shared" si="11"/>
        <v/>
      </c>
      <c r="M59" s="214" t="str">
        <f t="shared" si="12"/>
        <v/>
      </c>
      <c r="N59" s="214" t="str">
        <f t="shared" si="13"/>
        <v/>
      </c>
      <c r="O59" s="214" t="str">
        <f t="shared" si="14"/>
        <v/>
      </c>
      <c r="P59" s="214" t="str">
        <f t="shared" si="15"/>
        <v/>
      </c>
      <c r="Q59" s="214" t="str">
        <f t="shared" si="16"/>
        <v/>
      </c>
      <c r="R59" s="214" t="str">
        <f t="shared" si="17"/>
        <v/>
      </c>
      <c r="S59" s="214" t="str">
        <f t="shared" si="18"/>
        <v/>
      </c>
      <c r="T59" s="214" t="str">
        <f t="shared" si="19"/>
        <v/>
      </c>
      <c r="U59" s="214" t="str">
        <f t="shared" si="20"/>
        <v/>
      </c>
      <c r="V59" s="214" t="str">
        <f t="shared" si="21"/>
        <v/>
      </c>
      <c r="W59" s="214" t="str">
        <f t="shared" si="22"/>
        <v/>
      </c>
      <c r="X59" s="214" t="str">
        <f t="shared" si="23"/>
        <v/>
      </c>
      <c r="Y59" s="214" t="str">
        <f t="shared" si="24"/>
        <v/>
      </c>
      <c r="Z59" s="214" t="str">
        <f t="shared" si="25"/>
        <v/>
      </c>
      <c r="AA59" s="214" t="str">
        <f t="shared" si="26"/>
        <v/>
      </c>
      <c r="AB59" s="214" t="str">
        <f t="shared" si="27"/>
        <v/>
      </c>
      <c r="AC59" s="214" t="str">
        <f t="shared" si="28"/>
        <v/>
      </c>
    </row>
    <row r="60" spans="2:29" x14ac:dyDescent="0.35">
      <c r="B60" s="208" t="str">
        <f>IF('Portfolio Register'!$A24="","",'Portfolio Register'!$A24)</f>
        <v/>
      </c>
      <c r="C60" s="208" t="str">
        <f>IF($B60="","",'Portfolio Register'!$B24)</f>
        <v/>
      </c>
      <c r="D60" s="208" t="str">
        <f>IF($B60="","",'Portfolio Register'!$I24)</f>
        <v/>
      </c>
      <c r="E60" s="208" t="str">
        <f>IF($B60="","",'Portfolio Register'!$DG24)</f>
        <v/>
      </c>
      <c r="F60" s="224" t="str">
        <f t="shared" si="8"/>
        <v/>
      </c>
      <c r="G60" s="225" t="str">
        <f>IF($B60="","",'Portfolio Register'!$J24)</f>
        <v/>
      </c>
      <c r="H60" s="225" t="str">
        <f>IF($B60="","",'Portfolio Register'!$CO24)</f>
        <v/>
      </c>
      <c r="I60" s="225" t="str">
        <f>IF($B60="","",'Portfolio Register'!$CW24)</f>
        <v/>
      </c>
      <c r="J60" s="214" t="str">
        <f t="shared" si="9"/>
        <v/>
      </c>
      <c r="K60" s="214" t="str">
        <f t="shared" si="10"/>
        <v/>
      </c>
      <c r="L60" s="214" t="str">
        <f t="shared" si="11"/>
        <v/>
      </c>
      <c r="M60" s="214" t="str">
        <f t="shared" si="12"/>
        <v/>
      </c>
      <c r="N60" s="214" t="str">
        <f t="shared" si="13"/>
        <v/>
      </c>
      <c r="O60" s="214" t="str">
        <f t="shared" si="14"/>
        <v/>
      </c>
      <c r="P60" s="214" t="str">
        <f t="shared" si="15"/>
        <v/>
      </c>
      <c r="Q60" s="214" t="str">
        <f t="shared" si="16"/>
        <v/>
      </c>
      <c r="R60" s="214" t="str">
        <f t="shared" si="17"/>
        <v/>
      </c>
      <c r="S60" s="214" t="str">
        <f t="shared" si="18"/>
        <v/>
      </c>
      <c r="T60" s="214" t="str">
        <f t="shared" si="19"/>
        <v/>
      </c>
      <c r="U60" s="214" t="str">
        <f t="shared" si="20"/>
        <v/>
      </c>
      <c r="V60" s="214" t="str">
        <f t="shared" si="21"/>
        <v/>
      </c>
      <c r="W60" s="214" t="str">
        <f t="shared" si="22"/>
        <v/>
      </c>
      <c r="X60" s="214" t="str">
        <f t="shared" si="23"/>
        <v/>
      </c>
      <c r="Y60" s="214" t="str">
        <f t="shared" si="24"/>
        <v/>
      </c>
      <c r="Z60" s="214" t="str">
        <f t="shared" si="25"/>
        <v/>
      </c>
      <c r="AA60" s="214" t="str">
        <f t="shared" si="26"/>
        <v/>
      </c>
      <c r="AB60" s="214" t="str">
        <f t="shared" si="27"/>
        <v/>
      </c>
      <c r="AC60" s="214" t="str">
        <f t="shared" si="28"/>
        <v/>
      </c>
    </row>
    <row r="61" spans="2:29" x14ac:dyDescent="0.35">
      <c r="B61" s="208" t="str">
        <f>IF('Portfolio Register'!$A25="","",'Portfolio Register'!$A25)</f>
        <v/>
      </c>
      <c r="C61" s="208" t="str">
        <f>IF($B61="","",'Portfolio Register'!$B25)</f>
        <v/>
      </c>
      <c r="D61" s="208" t="str">
        <f>IF($B61="","",'Portfolio Register'!$I25)</f>
        <v/>
      </c>
      <c r="E61" s="208" t="str">
        <f>IF($B61="","",'Portfolio Register'!$DG25)</f>
        <v/>
      </c>
      <c r="F61" s="224" t="str">
        <f t="shared" si="8"/>
        <v/>
      </c>
      <c r="G61" s="225" t="str">
        <f>IF($B61="","",'Portfolio Register'!$J25)</f>
        <v/>
      </c>
      <c r="H61" s="225" t="str">
        <f>IF($B61="","",'Portfolio Register'!$CO25)</f>
        <v/>
      </c>
      <c r="I61" s="225" t="str">
        <f>IF($B61="","",'Portfolio Register'!$CW25)</f>
        <v/>
      </c>
      <c r="J61" s="214" t="str">
        <f t="shared" si="9"/>
        <v/>
      </c>
      <c r="K61" s="214" t="str">
        <f t="shared" si="10"/>
        <v/>
      </c>
      <c r="L61" s="214" t="str">
        <f t="shared" si="11"/>
        <v/>
      </c>
      <c r="M61" s="214" t="str">
        <f t="shared" si="12"/>
        <v/>
      </c>
      <c r="N61" s="214" t="str">
        <f t="shared" si="13"/>
        <v/>
      </c>
      <c r="O61" s="214" t="str">
        <f t="shared" si="14"/>
        <v/>
      </c>
      <c r="P61" s="214" t="str">
        <f t="shared" si="15"/>
        <v/>
      </c>
      <c r="Q61" s="214" t="str">
        <f t="shared" si="16"/>
        <v/>
      </c>
      <c r="R61" s="214" t="str">
        <f t="shared" si="17"/>
        <v/>
      </c>
      <c r="S61" s="214" t="str">
        <f t="shared" si="18"/>
        <v/>
      </c>
      <c r="T61" s="214" t="str">
        <f t="shared" si="19"/>
        <v/>
      </c>
      <c r="U61" s="214" t="str">
        <f t="shared" si="20"/>
        <v/>
      </c>
      <c r="V61" s="214" t="str">
        <f t="shared" si="21"/>
        <v/>
      </c>
      <c r="W61" s="214" t="str">
        <f t="shared" si="22"/>
        <v/>
      </c>
      <c r="X61" s="214" t="str">
        <f t="shared" si="23"/>
        <v/>
      </c>
      <c r="Y61" s="214" t="str">
        <f t="shared" si="24"/>
        <v/>
      </c>
      <c r="Z61" s="214" t="str">
        <f t="shared" si="25"/>
        <v/>
      </c>
      <c r="AA61" s="214" t="str">
        <f t="shared" si="26"/>
        <v/>
      </c>
      <c r="AB61" s="214" t="str">
        <f t="shared" si="27"/>
        <v/>
      </c>
      <c r="AC61" s="214" t="str">
        <f t="shared" si="28"/>
        <v/>
      </c>
    </row>
    <row r="62" spans="2:29" x14ac:dyDescent="0.35">
      <c r="B62" s="208" t="str">
        <f>IF('Portfolio Register'!$A26="","",'Portfolio Register'!$A26)</f>
        <v/>
      </c>
      <c r="C62" s="208" t="str">
        <f>IF($B62="","",'Portfolio Register'!$B26)</f>
        <v/>
      </c>
      <c r="D62" s="208" t="str">
        <f>IF($B62="","",'Portfolio Register'!$I26)</f>
        <v/>
      </c>
      <c r="E62" s="208" t="str">
        <f>IF($B62="","",'Portfolio Register'!$DG26)</f>
        <v/>
      </c>
      <c r="F62" s="224" t="str">
        <f t="shared" si="8"/>
        <v/>
      </c>
      <c r="G62" s="225" t="str">
        <f>IF($B62="","",'Portfolio Register'!$J26)</f>
        <v/>
      </c>
      <c r="H62" s="225" t="str">
        <f>IF($B62="","",'Portfolio Register'!$CO26)</f>
        <v/>
      </c>
      <c r="I62" s="225" t="str">
        <f>IF($B62="","",'Portfolio Register'!$CW26)</f>
        <v/>
      </c>
      <c r="J62" s="214" t="str">
        <f t="shared" si="9"/>
        <v/>
      </c>
      <c r="K62" s="214" t="str">
        <f t="shared" si="10"/>
        <v/>
      </c>
      <c r="L62" s="214" t="str">
        <f t="shared" si="11"/>
        <v/>
      </c>
      <c r="M62" s="214" t="str">
        <f t="shared" si="12"/>
        <v/>
      </c>
      <c r="N62" s="214" t="str">
        <f t="shared" si="13"/>
        <v/>
      </c>
      <c r="O62" s="214" t="str">
        <f t="shared" si="14"/>
        <v/>
      </c>
      <c r="P62" s="214" t="str">
        <f t="shared" si="15"/>
        <v/>
      </c>
      <c r="Q62" s="214" t="str">
        <f t="shared" si="16"/>
        <v/>
      </c>
      <c r="R62" s="214" t="str">
        <f t="shared" si="17"/>
        <v/>
      </c>
      <c r="S62" s="214" t="str">
        <f t="shared" si="18"/>
        <v/>
      </c>
      <c r="T62" s="214" t="str">
        <f t="shared" si="19"/>
        <v/>
      </c>
      <c r="U62" s="214" t="str">
        <f t="shared" si="20"/>
        <v/>
      </c>
      <c r="V62" s="214" t="str">
        <f t="shared" si="21"/>
        <v/>
      </c>
      <c r="W62" s="214" t="str">
        <f t="shared" si="22"/>
        <v/>
      </c>
      <c r="X62" s="214" t="str">
        <f t="shared" si="23"/>
        <v/>
      </c>
      <c r="Y62" s="214" t="str">
        <f t="shared" si="24"/>
        <v/>
      </c>
      <c r="Z62" s="214" t="str">
        <f t="shared" si="25"/>
        <v/>
      </c>
      <c r="AA62" s="214" t="str">
        <f t="shared" si="26"/>
        <v/>
      </c>
      <c r="AB62" s="214" t="str">
        <f t="shared" si="27"/>
        <v/>
      </c>
      <c r="AC62" s="214" t="str">
        <f t="shared" si="28"/>
        <v/>
      </c>
    </row>
    <row r="63" spans="2:29" x14ac:dyDescent="0.35">
      <c r="B63" s="208" t="str">
        <f>IF('Portfolio Register'!$A27="","",'Portfolio Register'!$A27)</f>
        <v/>
      </c>
      <c r="C63" s="208" t="str">
        <f>IF($B63="","",'Portfolio Register'!$B27)</f>
        <v/>
      </c>
      <c r="D63" s="208" t="str">
        <f>IF($B63="","",'Portfolio Register'!$I27)</f>
        <v/>
      </c>
      <c r="E63" s="208" t="str">
        <f>IF($B63="","",'Portfolio Register'!$DG27)</f>
        <v/>
      </c>
      <c r="F63" s="224" t="str">
        <f t="shared" si="8"/>
        <v/>
      </c>
      <c r="G63" s="225" t="str">
        <f>IF($B63="","",'Portfolio Register'!$J27)</f>
        <v/>
      </c>
      <c r="H63" s="225" t="str">
        <f>IF($B63="","",'Portfolio Register'!$CO27)</f>
        <v/>
      </c>
      <c r="I63" s="225" t="str">
        <f>IF($B63="","",'Portfolio Register'!$CW27)</f>
        <v/>
      </c>
      <c r="J63" s="214" t="str">
        <f t="shared" si="9"/>
        <v/>
      </c>
      <c r="K63" s="214" t="str">
        <f t="shared" si="10"/>
        <v/>
      </c>
      <c r="L63" s="214" t="str">
        <f t="shared" si="11"/>
        <v/>
      </c>
      <c r="M63" s="214" t="str">
        <f t="shared" si="12"/>
        <v/>
      </c>
      <c r="N63" s="214" t="str">
        <f t="shared" si="13"/>
        <v/>
      </c>
      <c r="O63" s="214" t="str">
        <f t="shared" si="14"/>
        <v/>
      </c>
      <c r="P63" s="214" t="str">
        <f t="shared" si="15"/>
        <v/>
      </c>
      <c r="Q63" s="214" t="str">
        <f t="shared" si="16"/>
        <v/>
      </c>
      <c r="R63" s="214" t="str">
        <f t="shared" si="17"/>
        <v/>
      </c>
      <c r="S63" s="214" t="str">
        <f t="shared" si="18"/>
        <v/>
      </c>
      <c r="T63" s="214" t="str">
        <f t="shared" si="19"/>
        <v/>
      </c>
      <c r="U63" s="214" t="str">
        <f t="shared" si="20"/>
        <v/>
      </c>
      <c r="V63" s="214" t="str">
        <f t="shared" si="21"/>
        <v/>
      </c>
      <c r="W63" s="214" t="str">
        <f t="shared" si="22"/>
        <v/>
      </c>
      <c r="X63" s="214" t="str">
        <f t="shared" si="23"/>
        <v/>
      </c>
      <c r="Y63" s="214" t="str">
        <f t="shared" si="24"/>
        <v/>
      </c>
      <c r="Z63" s="214" t="str">
        <f t="shared" si="25"/>
        <v/>
      </c>
      <c r="AA63" s="214" t="str">
        <f t="shared" si="26"/>
        <v/>
      </c>
      <c r="AB63" s="214" t="str">
        <f t="shared" si="27"/>
        <v/>
      </c>
      <c r="AC63" s="214" t="str">
        <f t="shared" si="28"/>
        <v/>
      </c>
    </row>
    <row r="64" spans="2:29" x14ac:dyDescent="0.35">
      <c r="B64" s="208" t="str">
        <f>IF('Portfolio Register'!$A28="","",'Portfolio Register'!$A28)</f>
        <v/>
      </c>
      <c r="C64" s="208" t="str">
        <f>IF($B64="","",'Portfolio Register'!$B28)</f>
        <v/>
      </c>
      <c r="D64" s="208" t="str">
        <f>IF($B64="","",'Portfolio Register'!$I28)</f>
        <v/>
      </c>
      <c r="E64" s="208" t="str">
        <f>IF($B64="","",'Portfolio Register'!$DG28)</f>
        <v/>
      </c>
      <c r="F64" s="224" t="str">
        <f t="shared" si="8"/>
        <v/>
      </c>
      <c r="G64" s="225" t="str">
        <f>IF($B64="","",'Portfolio Register'!$J28)</f>
        <v/>
      </c>
      <c r="H64" s="225" t="str">
        <f>IF($B64="","",'Portfolio Register'!$CO28)</f>
        <v/>
      </c>
      <c r="I64" s="225" t="str">
        <f>IF($B64="","",'Portfolio Register'!$CW28)</f>
        <v/>
      </c>
      <c r="J64" s="214" t="str">
        <f t="shared" si="9"/>
        <v/>
      </c>
      <c r="K64" s="214" t="str">
        <f t="shared" si="10"/>
        <v/>
      </c>
      <c r="L64" s="214" t="str">
        <f t="shared" si="11"/>
        <v/>
      </c>
      <c r="M64" s="214" t="str">
        <f t="shared" si="12"/>
        <v/>
      </c>
      <c r="N64" s="214" t="str">
        <f t="shared" si="13"/>
        <v/>
      </c>
      <c r="O64" s="214" t="str">
        <f t="shared" si="14"/>
        <v/>
      </c>
      <c r="P64" s="214" t="str">
        <f t="shared" si="15"/>
        <v/>
      </c>
      <c r="Q64" s="214" t="str">
        <f t="shared" si="16"/>
        <v/>
      </c>
      <c r="R64" s="214" t="str">
        <f t="shared" si="17"/>
        <v/>
      </c>
      <c r="S64" s="214" t="str">
        <f t="shared" si="18"/>
        <v/>
      </c>
      <c r="T64" s="214" t="str">
        <f t="shared" si="19"/>
        <v/>
      </c>
      <c r="U64" s="214" t="str">
        <f t="shared" si="20"/>
        <v/>
      </c>
      <c r="V64" s="214" t="str">
        <f t="shared" si="21"/>
        <v/>
      </c>
      <c r="W64" s="214" t="str">
        <f t="shared" si="22"/>
        <v/>
      </c>
      <c r="X64" s="214" t="str">
        <f t="shared" si="23"/>
        <v/>
      </c>
      <c r="Y64" s="214" t="str">
        <f t="shared" si="24"/>
        <v/>
      </c>
      <c r="Z64" s="214" t="str">
        <f t="shared" si="25"/>
        <v/>
      </c>
      <c r="AA64" s="214" t="str">
        <f t="shared" si="26"/>
        <v/>
      </c>
      <c r="AB64" s="214" t="str">
        <f t="shared" si="27"/>
        <v/>
      </c>
      <c r="AC64" s="214" t="str">
        <f t="shared" si="28"/>
        <v/>
      </c>
    </row>
    <row r="65" spans="2:29" x14ac:dyDescent="0.35">
      <c r="B65" s="208" t="str">
        <f>IF('Portfolio Register'!$A29="","",'Portfolio Register'!$A29)</f>
        <v/>
      </c>
      <c r="C65" s="208" t="str">
        <f>IF($B65="","",'Portfolio Register'!$B29)</f>
        <v/>
      </c>
      <c r="D65" s="208" t="str">
        <f>IF($B65="","",'Portfolio Register'!$I29)</f>
        <v/>
      </c>
      <c r="E65" s="208" t="str">
        <f>IF($B65="","",'Portfolio Register'!$DG29)</f>
        <v/>
      </c>
      <c r="F65" s="224" t="str">
        <f t="shared" si="8"/>
        <v/>
      </c>
      <c r="G65" s="225" t="str">
        <f>IF($B65="","",'Portfolio Register'!$J29)</f>
        <v/>
      </c>
      <c r="H65" s="225" t="str">
        <f>IF($B65="","",'Portfolio Register'!$CO29)</f>
        <v/>
      </c>
      <c r="I65" s="225" t="str">
        <f>IF($B65="","",'Portfolio Register'!$CW29)</f>
        <v/>
      </c>
      <c r="J65" s="214" t="str">
        <f t="shared" si="9"/>
        <v/>
      </c>
      <c r="K65" s="214" t="str">
        <f t="shared" si="10"/>
        <v/>
      </c>
      <c r="L65" s="214" t="str">
        <f t="shared" si="11"/>
        <v/>
      </c>
      <c r="M65" s="214" t="str">
        <f t="shared" si="12"/>
        <v/>
      </c>
      <c r="N65" s="214" t="str">
        <f t="shared" si="13"/>
        <v/>
      </c>
      <c r="O65" s="214" t="str">
        <f t="shared" si="14"/>
        <v/>
      </c>
      <c r="P65" s="214" t="str">
        <f t="shared" si="15"/>
        <v/>
      </c>
      <c r="Q65" s="214" t="str">
        <f t="shared" si="16"/>
        <v/>
      </c>
      <c r="R65" s="214" t="str">
        <f t="shared" si="17"/>
        <v/>
      </c>
      <c r="S65" s="214" t="str">
        <f t="shared" si="18"/>
        <v/>
      </c>
      <c r="T65" s="214" t="str">
        <f t="shared" si="19"/>
        <v/>
      </c>
      <c r="U65" s="214" t="str">
        <f t="shared" si="20"/>
        <v/>
      </c>
      <c r="V65" s="214" t="str">
        <f t="shared" si="21"/>
        <v/>
      </c>
      <c r="W65" s="214" t="str">
        <f t="shared" si="22"/>
        <v/>
      </c>
      <c r="X65" s="214" t="str">
        <f t="shared" si="23"/>
        <v/>
      </c>
      <c r="Y65" s="214" t="str">
        <f t="shared" si="24"/>
        <v/>
      </c>
      <c r="Z65" s="214" t="str">
        <f t="shared" si="25"/>
        <v/>
      </c>
      <c r="AA65" s="214" t="str">
        <f t="shared" si="26"/>
        <v/>
      </c>
      <c r="AB65" s="214" t="str">
        <f t="shared" si="27"/>
        <v/>
      </c>
      <c r="AC65" s="214" t="str">
        <f t="shared" si="28"/>
        <v/>
      </c>
    </row>
    <row r="66" spans="2:29" x14ac:dyDescent="0.35">
      <c r="B66" s="208" t="str">
        <f>IF('Portfolio Register'!$A30="","",'Portfolio Register'!$A30)</f>
        <v/>
      </c>
      <c r="C66" s="208" t="str">
        <f>IF($B66="","",'Portfolio Register'!$B30)</f>
        <v/>
      </c>
      <c r="D66" s="208" t="str">
        <f>IF($B66="","",'Portfolio Register'!$I30)</f>
        <v/>
      </c>
      <c r="E66" s="208" t="str">
        <f>IF($B66="","",'Portfolio Register'!$DG30)</f>
        <v/>
      </c>
      <c r="F66" s="224" t="str">
        <f t="shared" si="8"/>
        <v/>
      </c>
      <c r="G66" s="225" t="str">
        <f>IF($B66="","",'Portfolio Register'!$J30)</f>
        <v/>
      </c>
      <c r="H66" s="225" t="str">
        <f>IF($B66="","",'Portfolio Register'!$CO30)</f>
        <v/>
      </c>
      <c r="I66" s="225" t="str">
        <f>IF($B66="","",'Portfolio Register'!$CW30)</f>
        <v/>
      </c>
      <c r="J66" s="214" t="str">
        <f t="shared" si="9"/>
        <v/>
      </c>
      <c r="K66" s="214" t="str">
        <f t="shared" si="10"/>
        <v/>
      </c>
      <c r="L66" s="214" t="str">
        <f t="shared" si="11"/>
        <v/>
      </c>
      <c r="M66" s="214" t="str">
        <f t="shared" si="12"/>
        <v/>
      </c>
      <c r="N66" s="214" t="str">
        <f t="shared" si="13"/>
        <v/>
      </c>
      <c r="O66" s="214" t="str">
        <f t="shared" si="14"/>
        <v/>
      </c>
      <c r="P66" s="214" t="str">
        <f t="shared" si="15"/>
        <v/>
      </c>
      <c r="Q66" s="214" t="str">
        <f t="shared" si="16"/>
        <v/>
      </c>
      <c r="R66" s="214" t="str">
        <f t="shared" si="17"/>
        <v/>
      </c>
      <c r="S66" s="214" t="str">
        <f t="shared" si="18"/>
        <v/>
      </c>
      <c r="T66" s="214" t="str">
        <f t="shared" si="19"/>
        <v/>
      </c>
      <c r="U66" s="214" t="str">
        <f t="shared" si="20"/>
        <v/>
      </c>
      <c r="V66" s="214" t="str">
        <f t="shared" si="21"/>
        <v/>
      </c>
      <c r="W66" s="214" t="str">
        <f t="shared" si="22"/>
        <v/>
      </c>
      <c r="X66" s="214" t="str">
        <f t="shared" si="23"/>
        <v/>
      </c>
      <c r="Y66" s="214" t="str">
        <f t="shared" si="24"/>
        <v/>
      </c>
      <c r="Z66" s="214" t="str">
        <f t="shared" si="25"/>
        <v/>
      </c>
      <c r="AA66" s="214" t="str">
        <f t="shared" si="26"/>
        <v/>
      </c>
      <c r="AB66" s="214" t="str">
        <f t="shared" si="27"/>
        <v/>
      </c>
      <c r="AC66" s="214" t="str">
        <f t="shared" si="28"/>
        <v/>
      </c>
    </row>
    <row r="67" spans="2:29" x14ac:dyDescent="0.35">
      <c r="B67" s="208" t="str">
        <f>IF('Portfolio Register'!$A31="","",'Portfolio Register'!$A31)</f>
        <v/>
      </c>
      <c r="C67" s="208" t="str">
        <f>IF($B67="","",'Portfolio Register'!$B31)</f>
        <v/>
      </c>
      <c r="D67" s="208" t="str">
        <f>IF($B67="","",'Portfolio Register'!$I31)</f>
        <v/>
      </c>
      <c r="E67" s="208" t="str">
        <f>IF($B67="","",'Portfolio Register'!$DG31)</f>
        <v/>
      </c>
      <c r="F67" s="224" t="str">
        <f t="shared" si="8"/>
        <v/>
      </c>
      <c r="G67" s="225" t="str">
        <f>IF($B67="","",'Portfolio Register'!$J31)</f>
        <v/>
      </c>
      <c r="H67" s="225" t="str">
        <f>IF($B67="","",'Portfolio Register'!$CO31)</f>
        <v/>
      </c>
      <c r="I67" s="225" t="str">
        <f>IF($B67="","",'Portfolio Register'!$CW31)</f>
        <v/>
      </c>
      <c r="J67" s="214" t="str">
        <f t="shared" si="9"/>
        <v/>
      </c>
      <c r="K67" s="214" t="str">
        <f t="shared" si="10"/>
        <v/>
      </c>
      <c r="L67" s="214" t="str">
        <f t="shared" si="11"/>
        <v/>
      </c>
      <c r="M67" s="214" t="str">
        <f t="shared" si="12"/>
        <v/>
      </c>
      <c r="N67" s="214" t="str">
        <f t="shared" si="13"/>
        <v/>
      </c>
      <c r="O67" s="214" t="str">
        <f t="shared" si="14"/>
        <v/>
      </c>
      <c r="P67" s="214" t="str">
        <f t="shared" si="15"/>
        <v/>
      </c>
      <c r="Q67" s="214" t="str">
        <f t="shared" si="16"/>
        <v/>
      </c>
      <c r="R67" s="214" t="str">
        <f t="shared" si="17"/>
        <v/>
      </c>
      <c r="S67" s="214" t="str">
        <f t="shared" si="18"/>
        <v/>
      </c>
      <c r="T67" s="214" t="str">
        <f t="shared" si="19"/>
        <v/>
      </c>
      <c r="U67" s="214" t="str">
        <f t="shared" si="20"/>
        <v/>
      </c>
      <c r="V67" s="214" t="str">
        <f t="shared" si="21"/>
        <v/>
      </c>
      <c r="W67" s="214" t="str">
        <f t="shared" si="22"/>
        <v/>
      </c>
      <c r="X67" s="214" t="str">
        <f t="shared" si="23"/>
        <v/>
      </c>
      <c r="Y67" s="214" t="str">
        <f t="shared" si="24"/>
        <v/>
      </c>
      <c r="Z67" s="214" t="str">
        <f t="shared" si="25"/>
        <v/>
      </c>
      <c r="AA67" s="214" t="str">
        <f t="shared" si="26"/>
        <v/>
      </c>
      <c r="AB67" s="214" t="str">
        <f t="shared" si="27"/>
        <v/>
      </c>
      <c r="AC67" s="214" t="str">
        <f t="shared" si="28"/>
        <v/>
      </c>
    </row>
    <row r="68" spans="2:29" x14ac:dyDescent="0.35">
      <c r="B68" s="208" t="str">
        <f>IF('Portfolio Register'!$A32="","",'Portfolio Register'!$A32)</f>
        <v/>
      </c>
      <c r="C68" s="208" t="str">
        <f>IF($B68="","",'Portfolio Register'!$B32)</f>
        <v/>
      </c>
      <c r="D68" s="208" t="str">
        <f>IF($B68="","",'Portfolio Register'!$I32)</f>
        <v/>
      </c>
      <c r="E68" s="208" t="str">
        <f>IF($B68="","",'Portfolio Register'!$DG32)</f>
        <v/>
      </c>
      <c r="F68" s="224" t="str">
        <f t="shared" si="8"/>
        <v/>
      </c>
      <c r="G68" s="225" t="str">
        <f>IF($B68="","",'Portfolio Register'!$J32)</f>
        <v/>
      </c>
      <c r="H68" s="225" t="str">
        <f>IF($B68="","",'Portfolio Register'!$CO32)</f>
        <v/>
      </c>
      <c r="I68" s="225" t="str">
        <f>IF($B68="","",'Portfolio Register'!$CW32)</f>
        <v/>
      </c>
      <c r="J68" s="214" t="str">
        <f t="shared" si="9"/>
        <v/>
      </c>
      <c r="K68" s="214" t="str">
        <f t="shared" si="10"/>
        <v/>
      </c>
      <c r="L68" s="214" t="str">
        <f t="shared" si="11"/>
        <v/>
      </c>
      <c r="M68" s="214" t="str">
        <f t="shared" si="12"/>
        <v/>
      </c>
      <c r="N68" s="214" t="str">
        <f t="shared" si="13"/>
        <v/>
      </c>
      <c r="O68" s="214" t="str">
        <f t="shared" si="14"/>
        <v/>
      </c>
      <c r="P68" s="214" t="str">
        <f t="shared" si="15"/>
        <v/>
      </c>
      <c r="Q68" s="214" t="str">
        <f t="shared" si="16"/>
        <v/>
      </c>
      <c r="R68" s="214" t="str">
        <f t="shared" si="17"/>
        <v/>
      </c>
      <c r="S68" s="214" t="str">
        <f t="shared" si="18"/>
        <v/>
      </c>
      <c r="T68" s="214" t="str">
        <f t="shared" si="19"/>
        <v/>
      </c>
      <c r="U68" s="214" t="str">
        <f t="shared" si="20"/>
        <v/>
      </c>
      <c r="V68" s="214" t="str">
        <f t="shared" si="21"/>
        <v/>
      </c>
      <c r="W68" s="214" t="str">
        <f t="shared" si="22"/>
        <v/>
      </c>
      <c r="X68" s="214" t="str">
        <f t="shared" si="23"/>
        <v/>
      </c>
      <c r="Y68" s="214" t="str">
        <f t="shared" si="24"/>
        <v/>
      </c>
      <c r="Z68" s="214" t="str">
        <f t="shared" si="25"/>
        <v/>
      </c>
      <c r="AA68" s="214" t="str">
        <f t="shared" si="26"/>
        <v/>
      </c>
      <c r="AB68" s="214" t="str">
        <f t="shared" si="27"/>
        <v/>
      </c>
      <c r="AC68" s="214" t="str">
        <f t="shared" si="28"/>
        <v/>
      </c>
    </row>
    <row r="69" spans="2:29" x14ac:dyDescent="0.35">
      <c r="B69" s="208" t="str">
        <f>IF('Portfolio Register'!$A33="","",'Portfolio Register'!$A33)</f>
        <v/>
      </c>
      <c r="C69" s="208" t="str">
        <f>IF($B69="","",'Portfolio Register'!$B33)</f>
        <v/>
      </c>
      <c r="D69" s="208" t="str">
        <f>IF($B69="","",'Portfolio Register'!$I33)</f>
        <v/>
      </c>
      <c r="E69" s="208" t="str">
        <f>IF($B69="","",'Portfolio Register'!$DG33)</f>
        <v/>
      </c>
      <c r="F69" s="224" t="str">
        <f t="shared" si="8"/>
        <v/>
      </c>
      <c r="G69" s="225" t="str">
        <f>IF($B69="","",'Portfolio Register'!$J33)</f>
        <v/>
      </c>
      <c r="H69" s="225" t="str">
        <f>IF($B69="","",'Portfolio Register'!$CO33)</f>
        <v/>
      </c>
      <c r="I69" s="225" t="str">
        <f>IF($B69="","",'Portfolio Register'!$CW33)</f>
        <v/>
      </c>
      <c r="J69" s="214" t="str">
        <f t="shared" si="9"/>
        <v/>
      </c>
      <c r="K69" s="214" t="str">
        <f t="shared" si="10"/>
        <v/>
      </c>
      <c r="L69" s="214" t="str">
        <f t="shared" si="11"/>
        <v/>
      </c>
      <c r="M69" s="214" t="str">
        <f t="shared" si="12"/>
        <v/>
      </c>
      <c r="N69" s="214" t="str">
        <f t="shared" si="13"/>
        <v/>
      </c>
      <c r="O69" s="214" t="str">
        <f t="shared" si="14"/>
        <v/>
      </c>
      <c r="P69" s="214" t="str">
        <f t="shared" si="15"/>
        <v/>
      </c>
      <c r="Q69" s="214" t="str">
        <f t="shared" si="16"/>
        <v/>
      </c>
      <c r="R69" s="214" t="str">
        <f t="shared" si="17"/>
        <v/>
      </c>
      <c r="S69" s="214" t="str">
        <f t="shared" si="18"/>
        <v/>
      </c>
      <c r="T69" s="214" t="str">
        <f t="shared" si="19"/>
        <v/>
      </c>
      <c r="U69" s="214" t="str">
        <f t="shared" si="20"/>
        <v/>
      </c>
      <c r="V69" s="214" t="str">
        <f t="shared" si="21"/>
        <v/>
      </c>
      <c r="W69" s="214" t="str">
        <f t="shared" si="22"/>
        <v/>
      </c>
      <c r="X69" s="214" t="str">
        <f t="shared" si="23"/>
        <v/>
      </c>
      <c r="Y69" s="214" t="str">
        <f t="shared" si="24"/>
        <v/>
      </c>
      <c r="Z69" s="214" t="str">
        <f t="shared" si="25"/>
        <v/>
      </c>
      <c r="AA69" s="214" t="str">
        <f t="shared" si="26"/>
        <v/>
      </c>
      <c r="AB69" s="214" t="str">
        <f t="shared" si="27"/>
        <v/>
      </c>
      <c r="AC69" s="214" t="str">
        <f t="shared" si="28"/>
        <v/>
      </c>
    </row>
    <row r="70" spans="2:29" x14ac:dyDescent="0.35">
      <c r="B70" s="208" t="str">
        <f>IF('Portfolio Register'!$A34="","",'Portfolio Register'!$A34)</f>
        <v/>
      </c>
      <c r="C70" s="208" t="str">
        <f>IF($B70="","",'Portfolio Register'!$B34)</f>
        <v/>
      </c>
      <c r="D70" s="208" t="str">
        <f>IF($B70="","",'Portfolio Register'!$I34)</f>
        <v/>
      </c>
      <c r="E70" s="208" t="str">
        <f>IF($B70="","",'Portfolio Register'!$DG34)</f>
        <v/>
      </c>
      <c r="F70" s="224" t="str">
        <f t="shared" si="8"/>
        <v/>
      </c>
      <c r="G70" s="225" t="str">
        <f>IF($B70="","",'Portfolio Register'!$J34)</f>
        <v/>
      </c>
      <c r="H70" s="225" t="str">
        <f>IF($B70="","",'Portfolio Register'!$CO34)</f>
        <v/>
      </c>
      <c r="I70" s="225" t="str">
        <f>IF($B70="","",'Portfolio Register'!$CW34)</f>
        <v/>
      </c>
      <c r="J70" s="214" t="str">
        <f t="shared" si="9"/>
        <v/>
      </c>
      <c r="K70" s="214" t="str">
        <f t="shared" si="10"/>
        <v/>
      </c>
      <c r="L70" s="214" t="str">
        <f t="shared" si="11"/>
        <v/>
      </c>
      <c r="M70" s="214" t="str">
        <f t="shared" si="12"/>
        <v/>
      </c>
      <c r="N70" s="214" t="str">
        <f t="shared" si="13"/>
        <v/>
      </c>
      <c r="O70" s="214" t="str">
        <f t="shared" si="14"/>
        <v/>
      </c>
      <c r="P70" s="214" t="str">
        <f t="shared" si="15"/>
        <v/>
      </c>
      <c r="Q70" s="214" t="str">
        <f t="shared" si="16"/>
        <v/>
      </c>
      <c r="R70" s="214" t="str">
        <f t="shared" si="17"/>
        <v/>
      </c>
      <c r="S70" s="214" t="str">
        <f t="shared" si="18"/>
        <v/>
      </c>
      <c r="T70" s="214" t="str">
        <f t="shared" si="19"/>
        <v/>
      </c>
      <c r="U70" s="214" t="str">
        <f t="shared" si="20"/>
        <v/>
      </c>
      <c r="V70" s="214" t="str">
        <f t="shared" si="21"/>
        <v/>
      </c>
      <c r="W70" s="214" t="str">
        <f t="shared" si="22"/>
        <v/>
      </c>
      <c r="X70" s="214" t="str">
        <f t="shared" si="23"/>
        <v/>
      </c>
      <c r="Y70" s="214" t="str">
        <f t="shared" si="24"/>
        <v/>
      </c>
      <c r="Z70" s="214" t="str">
        <f t="shared" si="25"/>
        <v/>
      </c>
      <c r="AA70" s="214" t="str">
        <f t="shared" si="26"/>
        <v/>
      </c>
      <c r="AB70" s="214" t="str">
        <f t="shared" si="27"/>
        <v/>
      </c>
      <c r="AC70" s="214" t="str">
        <f t="shared" si="28"/>
        <v/>
      </c>
    </row>
    <row r="71" spans="2:29" x14ac:dyDescent="0.35">
      <c r="B71" s="208" t="str">
        <f>IF('Portfolio Register'!$A35="","",'Portfolio Register'!$A35)</f>
        <v/>
      </c>
      <c r="C71" s="208" t="str">
        <f>IF($B71="","",'Portfolio Register'!$B35)</f>
        <v/>
      </c>
      <c r="D71" s="208" t="str">
        <f>IF($B71="","",'Portfolio Register'!$I35)</f>
        <v/>
      </c>
      <c r="E71" s="208" t="str">
        <f>IF($B71="","",'Portfolio Register'!$DG35)</f>
        <v/>
      </c>
      <c r="F71" s="224" t="str">
        <f t="shared" si="8"/>
        <v/>
      </c>
      <c r="G71" s="225" t="str">
        <f>IF($B71="","",'Portfolio Register'!$J35)</f>
        <v/>
      </c>
      <c r="H71" s="225" t="str">
        <f>IF($B71="","",'Portfolio Register'!$CO35)</f>
        <v/>
      </c>
      <c r="I71" s="225" t="str">
        <f>IF($B71="","",'Portfolio Register'!$CW35)</f>
        <v/>
      </c>
      <c r="J71" s="214" t="str">
        <f t="shared" si="9"/>
        <v/>
      </c>
      <c r="K71" s="214" t="str">
        <f t="shared" si="10"/>
        <v/>
      </c>
      <c r="L71" s="214" t="str">
        <f t="shared" si="11"/>
        <v/>
      </c>
      <c r="M71" s="214" t="str">
        <f t="shared" si="12"/>
        <v/>
      </c>
      <c r="N71" s="214" t="str">
        <f t="shared" si="13"/>
        <v/>
      </c>
      <c r="O71" s="214" t="str">
        <f t="shared" si="14"/>
        <v/>
      </c>
      <c r="P71" s="214" t="str">
        <f t="shared" si="15"/>
        <v/>
      </c>
      <c r="Q71" s="214" t="str">
        <f t="shared" si="16"/>
        <v/>
      </c>
      <c r="R71" s="214" t="str">
        <f t="shared" si="17"/>
        <v/>
      </c>
      <c r="S71" s="214" t="str">
        <f t="shared" si="18"/>
        <v/>
      </c>
      <c r="T71" s="214" t="str">
        <f t="shared" si="19"/>
        <v/>
      </c>
      <c r="U71" s="214" t="str">
        <f t="shared" si="20"/>
        <v/>
      </c>
      <c r="V71" s="214" t="str">
        <f t="shared" si="21"/>
        <v/>
      </c>
      <c r="W71" s="214" t="str">
        <f t="shared" si="22"/>
        <v/>
      </c>
      <c r="X71" s="214" t="str">
        <f t="shared" si="23"/>
        <v/>
      </c>
      <c r="Y71" s="214" t="str">
        <f t="shared" si="24"/>
        <v/>
      </c>
      <c r="Z71" s="214" t="str">
        <f t="shared" si="25"/>
        <v/>
      </c>
      <c r="AA71" s="214" t="str">
        <f t="shared" si="26"/>
        <v/>
      </c>
      <c r="AB71" s="214" t="str">
        <f t="shared" si="27"/>
        <v/>
      </c>
      <c r="AC71" s="214" t="str">
        <f t="shared" si="28"/>
        <v/>
      </c>
    </row>
    <row r="72" spans="2:29" x14ac:dyDescent="0.35">
      <c r="B72" s="208" t="str">
        <f>IF('Portfolio Register'!$A36="","",'Portfolio Register'!$A36)</f>
        <v/>
      </c>
      <c r="C72" s="208" t="str">
        <f>IF($B72="","",'Portfolio Register'!$B36)</f>
        <v/>
      </c>
      <c r="D72" s="208" t="str">
        <f>IF($B72="","",'Portfolio Register'!$I36)</f>
        <v/>
      </c>
      <c r="E72" s="208" t="str">
        <f>IF($B72="","",'Portfolio Register'!$DG36)</f>
        <v/>
      </c>
      <c r="F72" s="224" t="str">
        <f t="shared" si="8"/>
        <v/>
      </c>
      <c r="G72" s="225" t="str">
        <f>IF($B72="","",'Portfolio Register'!$J36)</f>
        <v/>
      </c>
      <c r="H72" s="225" t="str">
        <f>IF($B72="","",'Portfolio Register'!$CO36)</f>
        <v/>
      </c>
      <c r="I72" s="225" t="str">
        <f>IF($B72="","",'Portfolio Register'!$CW36)</f>
        <v/>
      </c>
      <c r="J72" s="214" t="str">
        <f t="shared" si="9"/>
        <v/>
      </c>
      <c r="K72" s="214" t="str">
        <f t="shared" si="10"/>
        <v/>
      </c>
      <c r="L72" s="214" t="str">
        <f t="shared" si="11"/>
        <v/>
      </c>
      <c r="M72" s="214" t="str">
        <f t="shared" si="12"/>
        <v/>
      </c>
      <c r="N72" s="214" t="str">
        <f t="shared" si="13"/>
        <v/>
      </c>
      <c r="O72" s="214" t="str">
        <f t="shared" si="14"/>
        <v/>
      </c>
      <c r="P72" s="214" t="str">
        <f t="shared" si="15"/>
        <v/>
      </c>
      <c r="Q72" s="214" t="str">
        <f t="shared" si="16"/>
        <v/>
      </c>
      <c r="R72" s="214" t="str">
        <f t="shared" si="17"/>
        <v/>
      </c>
      <c r="S72" s="214" t="str">
        <f t="shared" si="18"/>
        <v/>
      </c>
      <c r="T72" s="214" t="str">
        <f t="shared" si="19"/>
        <v/>
      </c>
      <c r="U72" s="214" t="str">
        <f t="shared" si="20"/>
        <v/>
      </c>
      <c r="V72" s="214" t="str">
        <f t="shared" si="21"/>
        <v/>
      </c>
      <c r="W72" s="214" t="str">
        <f t="shared" si="22"/>
        <v/>
      </c>
      <c r="X72" s="214" t="str">
        <f t="shared" si="23"/>
        <v/>
      </c>
      <c r="Y72" s="214" t="str">
        <f t="shared" si="24"/>
        <v/>
      </c>
      <c r="Z72" s="214" t="str">
        <f t="shared" si="25"/>
        <v/>
      </c>
      <c r="AA72" s="214" t="str">
        <f t="shared" si="26"/>
        <v/>
      </c>
      <c r="AB72" s="214" t="str">
        <f t="shared" si="27"/>
        <v/>
      </c>
      <c r="AC72" s="214" t="str">
        <f t="shared" si="28"/>
        <v/>
      </c>
    </row>
    <row r="73" spans="2:29" x14ac:dyDescent="0.35">
      <c r="B73" s="208" t="str">
        <f>IF('Portfolio Register'!$A37="","",'Portfolio Register'!$A37)</f>
        <v/>
      </c>
      <c r="C73" s="208" t="str">
        <f>IF($B73="","",'Portfolio Register'!$B37)</f>
        <v/>
      </c>
      <c r="D73" s="208" t="str">
        <f>IF($B73="","",'Portfolio Register'!$I37)</f>
        <v/>
      </c>
      <c r="E73" s="208" t="str">
        <f>IF($B73="","",'Portfolio Register'!$DG37)</f>
        <v/>
      </c>
      <c r="F73" s="224" t="str">
        <f t="shared" si="8"/>
        <v/>
      </c>
      <c r="G73" s="225" t="str">
        <f>IF($B73="","",'Portfolio Register'!$J37)</f>
        <v/>
      </c>
      <c r="H73" s="225" t="str">
        <f>IF($B73="","",'Portfolio Register'!$CO37)</f>
        <v/>
      </c>
      <c r="I73" s="225" t="str">
        <f>IF($B73="","",'Portfolio Register'!$CW37)</f>
        <v/>
      </c>
      <c r="J73" s="214" t="str">
        <f t="shared" si="9"/>
        <v/>
      </c>
      <c r="K73" s="214" t="str">
        <f t="shared" si="10"/>
        <v/>
      </c>
      <c r="L73" s="214" t="str">
        <f t="shared" si="11"/>
        <v/>
      </c>
      <c r="M73" s="214" t="str">
        <f t="shared" si="12"/>
        <v/>
      </c>
      <c r="N73" s="214" t="str">
        <f t="shared" si="13"/>
        <v/>
      </c>
      <c r="O73" s="214" t="str">
        <f t="shared" si="14"/>
        <v/>
      </c>
      <c r="P73" s="214" t="str">
        <f t="shared" si="15"/>
        <v/>
      </c>
      <c r="Q73" s="214" t="str">
        <f t="shared" si="16"/>
        <v/>
      </c>
      <c r="R73" s="214" t="str">
        <f t="shared" si="17"/>
        <v/>
      </c>
      <c r="S73" s="214" t="str">
        <f t="shared" si="18"/>
        <v/>
      </c>
      <c r="T73" s="214" t="str">
        <f t="shared" si="19"/>
        <v/>
      </c>
      <c r="U73" s="214" t="str">
        <f t="shared" si="20"/>
        <v/>
      </c>
      <c r="V73" s="214" t="str">
        <f t="shared" si="21"/>
        <v/>
      </c>
      <c r="W73" s="214" t="str">
        <f t="shared" si="22"/>
        <v/>
      </c>
      <c r="X73" s="214" t="str">
        <f t="shared" si="23"/>
        <v/>
      </c>
      <c r="Y73" s="214" t="str">
        <f t="shared" si="24"/>
        <v/>
      </c>
      <c r="Z73" s="214" t="str">
        <f t="shared" si="25"/>
        <v/>
      </c>
      <c r="AA73" s="214" t="str">
        <f t="shared" si="26"/>
        <v/>
      </c>
      <c r="AB73" s="214" t="str">
        <f t="shared" si="27"/>
        <v/>
      </c>
      <c r="AC73" s="214" t="str">
        <f t="shared" si="28"/>
        <v/>
      </c>
    </row>
    <row r="74" spans="2:29" x14ac:dyDescent="0.35">
      <c r="B74" s="208" t="str">
        <f>IF('Portfolio Register'!$A38="","",'Portfolio Register'!$A38)</f>
        <v/>
      </c>
      <c r="C74" s="208" t="str">
        <f>IF($B74="","",'Portfolio Register'!$B38)</f>
        <v/>
      </c>
      <c r="D74" s="208" t="str">
        <f>IF($B74="","",'Portfolio Register'!$I38)</f>
        <v/>
      </c>
      <c r="E74" s="208" t="str">
        <f>IF($B74="","",'Portfolio Register'!$DG38)</f>
        <v/>
      </c>
      <c r="F74" s="224" t="str">
        <f t="shared" si="8"/>
        <v/>
      </c>
      <c r="G74" s="225" t="str">
        <f>IF($B74="","",'Portfolio Register'!$J38)</f>
        <v/>
      </c>
      <c r="H74" s="225" t="str">
        <f>IF($B74="","",'Portfolio Register'!$CO38)</f>
        <v/>
      </c>
      <c r="I74" s="225" t="str">
        <f>IF($B74="","",'Portfolio Register'!$CW38)</f>
        <v/>
      </c>
      <c r="J74" s="214" t="str">
        <f t="shared" si="9"/>
        <v/>
      </c>
      <c r="K74" s="214" t="str">
        <f t="shared" si="10"/>
        <v/>
      </c>
      <c r="L74" s="214" t="str">
        <f t="shared" si="11"/>
        <v/>
      </c>
      <c r="M74" s="214" t="str">
        <f t="shared" si="12"/>
        <v/>
      </c>
      <c r="N74" s="214" t="str">
        <f t="shared" si="13"/>
        <v/>
      </c>
      <c r="O74" s="214" t="str">
        <f t="shared" si="14"/>
        <v/>
      </c>
      <c r="P74" s="214" t="str">
        <f t="shared" si="15"/>
        <v/>
      </c>
      <c r="Q74" s="214" t="str">
        <f t="shared" si="16"/>
        <v/>
      </c>
      <c r="R74" s="214" t="str">
        <f t="shared" si="17"/>
        <v/>
      </c>
      <c r="S74" s="214" t="str">
        <f t="shared" si="18"/>
        <v/>
      </c>
      <c r="T74" s="214" t="str">
        <f t="shared" si="19"/>
        <v/>
      </c>
      <c r="U74" s="214" t="str">
        <f t="shared" si="20"/>
        <v/>
      </c>
      <c r="V74" s="214" t="str">
        <f t="shared" si="21"/>
        <v/>
      </c>
      <c r="W74" s="214" t="str">
        <f t="shared" si="22"/>
        <v/>
      </c>
      <c r="X74" s="214" t="str">
        <f t="shared" si="23"/>
        <v/>
      </c>
      <c r="Y74" s="214" t="str">
        <f t="shared" si="24"/>
        <v/>
      </c>
      <c r="Z74" s="214" t="str">
        <f t="shared" si="25"/>
        <v/>
      </c>
      <c r="AA74" s="214" t="str">
        <f t="shared" si="26"/>
        <v/>
      </c>
      <c r="AB74" s="214" t="str">
        <f t="shared" si="27"/>
        <v/>
      </c>
      <c r="AC74" s="214" t="str">
        <f t="shared" si="28"/>
        <v/>
      </c>
    </row>
    <row r="75" spans="2:29" x14ac:dyDescent="0.35">
      <c r="B75" s="208" t="str">
        <f>IF('Portfolio Register'!$A39="","",'Portfolio Register'!$A39)</f>
        <v/>
      </c>
      <c r="C75" s="208" t="str">
        <f>IF($B75="","",'Portfolio Register'!$B39)</f>
        <v/>
      </c>
      <c r="D75" s="208" t="str">
        <f>IF($B75="","",'Portfolio Register'!$I39)</f>
        <v/>
      </c>
      <c r="E75" s="208" t="str">
        <f>IF($B75="","",'Portfolio Register'!$DG39)</f>
        <v/>
      </c>
      <c r="F75" s="224" t="str">
        <f t="shared" si="8"/>
        <v/>
      </c>
      <c r="G75" s="225" t="str">
        <f>IF($B75="","",'Portfolio Register'!$J39)</f>
        <v/>
      </c>
      <c r="H75" s="225" t="str">
        <f>IF($B75="","",'Portfolio Register'!$CO39)</f>
        <v/>
      </c>
      <c r="I75" s="225" t="str">
        <f>IF($B75="","",'Portfolio Register'!$CW39)</f>
        <v/>
      </c>
      <c r="J75" s="214" t="str">
        <f t="shared" si="9"/>
        <v/>
      </c>
      <c r="K75" s="214" t="str">
        <f t="shared" si="10"/>
        <v/>
      </c>
      <c r="L75" s="214" t="str">
        <f t="shared" si="11"/>
        <v/>
      </c>
      <c r="M75" s="214" t="str">
        <f t="shared" si="12"/>
        <v/>
      </c>
      <c r="N75" s="214" t="str">
        <f t="shared" si="13"/>
        <v/>
      </c>
      <c r="O75" s="214" t="str">
        <f t="shared" si="14"/>
        <v/>
      </c>
      <c r="P75" s="214" t="str">
        <f t="shared" si="15"/>
        <v/>
      </c>
      <c r="Q75" s="214" t="str">
        <f t="shared" si="16"/>
        <v/>
      </c>
      <c r="R75" s="214" t="str">
        <f t="shared" si="17"/>
        <v/>
      </c>
      <c r="S75" s="214" t="str">
        <f t="shared" si="18"/>
        <v/>
      </c>
      <c r="T75" s="214" t="str">
        <f t="shared" si="19"/>
        <v/>
      </c>
      <c r="U75" s="214" t="str">
        <f t="shared" si="20"/>
        <v/>
      </c>
      <c r="V75" s="214" t="str">
        <f t="shared" si="21"/>
        <v/>
      </c>
      <c r="W75" s="214" t="str">
        <f t="shared" si="22"/>
        <v/>
      </c>
      <c r="X75" s="214" t="str">
        <f t="shared" si="23"/>
        <v/>
      </c>
      <c r="Y75" s="214" t="str">
        <f t="shared" si="24"/>
        <v/>
      </c>
      <c r="Z75" s="214" t="str">
        <f t="shared" si="25"/>
        <v/>
      </c>
      <c r="AA75" s="214" t="str">
        <f t="shared" si="26"/>
        <v/>
      </c>
      <c r="AB75" s="214" t="str">
        <f t="shared" si="27"/>
        <v/>
      </c>
      <c r="AC75" s="214" t="str">
        <f t="shared" si="28"/>
        <v/>
      </c>
    </row>
    <row r="76" spans="2:29" x14ac:dyDescent="0.35">
      <c r="B76" s="208" t="str">
        <f>IF('Portfolio Register'!$A40="","",'Portfolio Register'!$A40)</f>
        <v/>
      </c>
      <c r="C76" s="208" t="str">
        <f>IF($B76="","",'Portfolio Register'!$B40)</f>
        <v/>
      </c>
      <c r="D76" s="208" t="str">
        <f>IF($B76="","",'Portfolio Register'!$I40)</f>
        <v/>
      </c>
      <c r="E76" s="208" t="str">
        <f>IF($B76="","",'Portfolio Register'!$DG40)</f>
        <v/>
      </c>
      <c r="F76" s="224" t="str">
        <f t="shared" si="8"/>
        <v/>
      </c>
      <c r="G76" s="225" t="str">
        <f>IF($B76="","",'Portfolio Register'!$J40)</f>
        <v/>
      </c>
      <c r="H76" s="225" t="str">
        <f>IF($B76="","",'Portfolio Register'!$CO40)</f>
        <v/>
      </c>
      <c r="I76" s="225" t="str">
        <f>IF($B76="","",'Portfolio Register'!$CW40)</f>
        <v/>
      </c>
      <c r="J76" s="214" t="str">
        <f t="shared" si="9"/>
        <v/>
      </c>
      <c r="K76" s="214" t="str">
        <f t="shared" si="10"/>
        <v/>
      </c>
      <c r="L76" s="214" t="str">
        <f t="shared" si="11"/>
        <v/>
      </c>
      <c r="M76" s="214" t="str">
        <f t="shared" si="12"/>
        <v/>
      </c>
      <c r="N76" s="214" t="str">
        <f t="shared" si="13"/>
        <v/>
      </c>
      <c r="O76" s="214" t="str">
        <f t="shared" si="14"/>
        <v/>
      </c>
      <c r="P76" s="214" t="str">
        <f t="shared" si="15"/>
        <v/>
      </c>
      <c r="Q76" s="214" t="str">
        <f t="shared" si="16"/>
        <v/>
      </c>
      <c r="R76" s="214" t="str">
        <f t="shared" si="17"/>
        <v/>
      </c>
      <c r="S76" s="214" t="str">
        <f t="shared" si="18"/>
        <v/>
      </c>
      <c r="T76" s="214" t="str">
        <f t="shared" si="19"/>
        <v/>
      </c>
      <c r="U76" s="214" t="str">
        <f t="shared" si="20"/>
        <v/>
      </c>
      <c r="V76" s="214" t="str">
        <f t="shared" si="21"/>
        <v/>
      </c>
      <c r="W76" s="214" t="str">
        <f t="shared" si="22"/>
        <v/>
      </c>
      <c r="X76" s="214" t="str">
        <f t="shared" si="23"/>
        <v/>
      </c>
      <c r="Y76" s="214" t="str">
        <f t="shared" si="24"/>
        <v/>
      </c>
      <c r="Z76" s="214" t="str">
        <f t="shared" si="25"/>
        <v/>
      </c>
      <c r="AA76" s="214" t="str">
        <f t="shared" si="26"/>
        <v/>
      </c>
      <c r="AB76" s="214" t="str">
        <f t="shared" si="27"/>
        <v/>
      </c>
      <c r="AC76" s="214" t="str">
        <f t="shared" si="28"/>
        <v/>
      </c>
    </row>
    <row r="77" spans="2:29" x14ac:dyDescent="0.35">
      <c r="B77" s="208" t="str">
        <f>IF('Portfolio Register'!$A41="","",'Portfolio Register'!$A41)</f>
        <v/>
      </c>
      <c r="C77" s="208" t="str">
        <f>IF($B77="","",'Portfolio Register'!$B41)</f>
        <v/>
      </c>
      <c r="D77" s="208" t="str">
        <f>IF($B77="","",'Portfolio Register'!$I41)</f>
        <v/>
      </c>
      <c r="E77" s="208" t="str">
        <f>IF($B77="","",'Portfolio Register'!$DG41)</f>
        <v/>
      </c>
      <c r="F77" s="224" t="str">
        <f t="shared" si="8"/>
        <v/>
      </c>
      <c r="G77" s="225" t="str">
        <f>IF($B77="","",'Portfolio Register'!$J41)</f>
        <v/>
      </c>
      <c r="H77" s="225" t="str">
        <f>IF($B77="","",'Portfolio Register'!$CO41)</f>
        <v/>
      </c>
      <c r="I77" s="225" t="str">
        <f>IF($B77="","",'Portfolio Register'!$CW41)</f>
        <v/>
      </c>
      <c r="J77" s="214" t="str">
        <f t="shared" si="9"/>
        <v/>
      </c>
      <c r="K77" s="214" t="str">
        <f t="shared" si="10"/>
        <v/>
      </c>
      <c r="L77" s="214" t="str">
        <f t="shared" si="11"/>
        <v/>
      </c>
      <c r="M77" s="214" t="str">
        <f t="shared" si="12"/>
        <v/>
      </c>
      <c r="N77" s="214" t="str">
        <f t="shared" si="13"/>
        <v/>
      </c>
      <c r="O77" s="214" t="str">
        <f t="shared" si="14"/>
        <v/>
      </c>
      <c r="P77" s="214" t="str">
        <f t="shared" si="15"/>
        <v/>
      </c>
      <c r="Q77" s="214" t="str">
        <f t="shared" si="16"/>
        <v/>
      </c>
      <c r="R77" s="214" t="str">
        <f t="shared" si="17"/>
        <v/>
      </c>
      <c r="S77" s="214" t="str">
        <f t="shared" si="18"/>
        <v/>
      </c>
      <c r="T77" s="214" t="str">
        <f t="shared" si="19"/>
        <v/>
      </c>
      <c r="U77" s="214" t="str">
        <f t="shared" si="20"/>
        <v/>
      </c>
      <c r="V77" s="214" t="str">
        <f t="shared" si="21"/>
        <v/>
      </c>
      <c r="W77" s="214" t="str">
        <f t="shared" si="22"/>
        <v/>
      </c>
      <c r="X77" s="214" t="str">
        <f t="shared" si="23"/>
        <v/>
      </c>
      <c r="Y77" s="214" t="str">
        <f t="shared" si="24"/>
        <v/>
      </c>
      <c r="Z77" s="214" t="str">
        <f t="shared" si="25"/>
        <v/>
      </c>
      <c r="AA77" s="214" t="str">
        <f t="shared" si="26"/>
        <v/>
      </c>
      <c r="AB77" s="214" t="str">
        <f t="shared" si="27"/>
        <v/>
      </c>
      <c r="AC77" s="214" t="str">
        <f t="shared" si="28"/>
        <v/>
      </c>
    </row>
    <row r="78" spans="2:29" x14ac:dyDescent="0.35">
      <c r="B78" s="208" t="str">
        <f>IF('Portfolio Register'!$A42="","",'Portfolio Register'!$A42)</f>
        <v/>
      </c>
      <c r="C78" s="208" t="str">
        <f>IF($B78="","",'Portfolio Register'!$B42)</f>
        <v/>
      </c>
      <c r="D78" s="208" t="str">
        <f>IF($B78="","",'Portfolio Register'!$I42)</f>
        <v/>
      </c>
      <c r="E78" s="208" t="str">
        <f>IF($B78="","",'Portfolio Register'!$DG42)</f>
        <v/>
      </c>
      <c r="F78" s="224" t="str">
        <f t="shared" si="8"/>
        <v/>
      </c>
      <c r="G78" s="225" t="str">
        <f>IF($B78="","",'Portfolio Register'!$J42)</f>
        <v/>
      </c>
      <c r="H78" s="225" t="str">
        <f>IF($B78="","",'Portfolio Register'!$CO42)</f>
        <v/>
      </c>
      <c r="I78" s="225" t="str">
        <f>IF($B78="","",'Portfolio Register'!$CW42)</f>
        <v/>
      </c>
      <c r="J78" s="214" t="str">
        <f t="shared" si="9"/>
        <v/>
      </c>
      <c r="K78" s="214" t="str">
        <f t="shared" si="10"/>
        <v/>
      </c>
      <c r="L78" s="214" t="str">
        <f t="shared" si="11"/>
        <v/>
      </c>
      <c r="M78" s="214" t="str">
        <f t="shared" si="12"/>
        <v/>
      </c>
      <c r="N78" s="214" t="str">
        <f t="shared" si="13"/>
        <v/>
      </c>
      <c r="O78" s="214" t="str">
        <f t="shared" si="14"/>
        <v/>
      </c>
      <c r="P78" s="214" t="str">
        <f t="shared" si="15"/>
        <v/>
      </c>
      <c r="Q78" s="214" t="str">
        <f t="shared" si="16"/>
        <v/>
      </c>
      <c r="R78" s="214" t="str">
        <f t="shared" si="17"/>
        <v/>
      </c>
      <c r="S78" s="214" t="str">
        <f t="shared" si="18"/>
        <v/>
      </c>
      <c r="T78" s="214" t="str">
        <f t="shared" si="19"/>
        <v/>
      </c>
      <c r="U78" s="214" t="str">
        <f t="shared" si="20"/>
        <v/>
      </c>
      <c r="V78" s="214" t="str">
        <f t="shared" si="21"/>
        <v/>
      </c>
      <c r="W78" s="214" t="str">
        <f t="shared" si="22"/>
        <v/>
      </c>
      <c r="X78" s="214" t="str">
        <f t="shared" si="23"/>
        <v/>
      </c>
      <c r="Y78" s="214" t="str">
        <f t="shared" si="24"/>
        <v/>
      </c>
      <c r="Z78" s="214" t="str">
        <f t="shared" si="25"/>
        <v/>
      </c>
      <c r="AA78" s="214" t="str">
        <f t="shared" si="26"/>
        <v/>
      </c>
      <c r="AB78" s="214" t="str">
        <f t="shared" si="27"/>
        <v/>
      </c>
      <c r="AC78" s="214" t="str">
        <f t="shared" si="28"/>
        <v/>
      </c>
    </row>
    <row r="79" spans="2:29" x14ac:dyDescent="0.35">
      <c r="B79" s="208" t="str">
        <f>IF('Portfolio Register'!$A43="","",'Portfolio Register'!$A43)</f>
        <v/>
      </c>
      <c r="C79" s="208" t="str">
        <f>IF($B79="","",'Portfolio Register'!$B43)</f>
        <v/>
      </c>
      <c r="D79" s="208" t="str">
        <f>IF($B79="","",'Portfolio Register'!$I43)</f>
        <v/>
      </c>
      <c r="E79" s="208" t="str">
        <f>IF($B79="","",'Portfolio Register'!$DG43)</f>
        <v/>
      </c>
      <c r="F79" s="224" t="str">
        <f t="shared" si="8"/>
        <v/>
      </c>
      <c r="G79" s="225" t="str">
        <f>IF($B79="","",'Portfolio Register'!$J43)</f>
        <v/>
      </c>
      <c r="H79" s="225" t="str">
        <f>IF($B79="","",'Portfolio Register'!$CO43)</f>
        <v/>
      </c>
      <c r="I79" s="225" t="str">
        <f>IF($B79="","",'Portfolio Register'!$CW43)</f>
        <v/>
      </c>
      <c r="J79" s="214" t="str">
        <f t="shared" si="9"/>
        <v/>
      </c>
      <c r="K79" s="214" t="str">
        <f t="shared" si="10"/>
        <v/>
      </c>
      <c r="L79" s="214" t="str">
        <f t="shared" si="11"/>
        <v/>
      </c>
      <c r="M79" s="214" t="str">
        <f t="shared" si="12"/>
        <v/>
      </c>
      <c r="N79" s="214" t="str">
        <f t="shared" si="13"/>
        <v/>
      </c>
      <c r="O79" s="214" t="str">
        <f t="shared" si="14"/>
        <v/>
      </c>
      <c r="P79" s="214" t="str">
        <f t="shared" si="15"/>
        <v/>
      </c>
      <c r="Q79" s="214" t="str">
        <f t="shared" si="16"/>
        <v/>
      </c>
      <c r="R79" s="214" t="str">
        <f t="shared" si="17"/>
        <v/>
      </c>
      <c r="S79" s="214" t="str">
        <f t="shared" si="18"/>
        <v/>
      </c>
      <c r="T79" s="214" t="str">
        <f t="shared" si="19"/>
        <v/>
      </c>
      <c r="U79" s="214" t="str">
        <f t="shared" si="20"/>
        <v/>
      </c>
      <c r="V79" s="214" t="str">
        <f t="shared" si="21"/>
        <v/>
      </c>
      <c r="W79" s="214" t="str">
        <f t="shared" si="22"/>
        <v/>
      </c>
      <c r="X79" s="214" t="str">
        <f t="shared" si="23"/>
        <v/>
      </c>
      <c r="Y79" s="214" t="str">
        <f t="shared" si="24"/>
        <v/>
      </c>
      <c r="Z79" s="214" t="str">
        <f t="shared" si="25"/>
        <v/>
      </c>
      <c r="AA79" s="214" t="str">
        <f t="shared" si="26"/>
        <v/>
      </c>
      <c r="AB79" s="214" t="str">
        <f t="shared" si="27"/>
        <v/>
      </c>
      <c r="AC79" s="214" t="str">
        <f t="shared" si="28"/>
        <v/>
      </c>
    </row>
    <row r="80" spans="2:29" x14ac:dyDescent="0.35">
      <c r="B80" s="208" t="str">
        <f>IF('Portfolio Register'!$A44="","",'Portfolio Register'!$A44)</f>
        <v/>
      </c>
      <c r="C80" s="208" t="str">
        <f>IF($B80="","",'Portfolio Register'!$B44)</f>
        <v/>
      </c>
      <c r="D80" s="208" t="str">
        <f>IF($B80="","",'Portfolio Register'!$I44)</f>
        <v/>
      </c>
      <c r="E80" s="208" t="str">
        <f>IF($B80="","",'Portfolio Register'!$DG44)</f>
        <v/>
      </c>
      <c r="F80" s="224" t="str">
        <f t="shared" si="8"/>
        <v/>
      </c>
      <c r="G80" s="225" t="str">
        <f>IF($B80="","",'Portfolio Register'!$J44)</f>
        <v/>
      </c>
      <c r="H80" s="225" t="str">
        <f>IF($B80="","",'Portfolio Register'!$CO44)</f>
        <v/>
      </c>
      <c r="I80" s="225" t="str">
        <f>IF($B80="","",'Portfolio Register'!$CW44)</f>
        <v/>
      </c>
      <c r="J80" s="214" t="str">
        <f t="shared" si="9"/>
        <v/>
      </c>
      <c r="K80" s="214" t="str">
        <f t="shared" si="10"/>
        <v/>
      </c>
      <c r="L80" s="214" t="str">
        <f t="shared" si="11"/>
        <v/>
      </c>
      <c r="M80" s="214" t="str">
        <f t="shared" si="12"/>
        <v/>
      </c>
      <c r="N80" s="214" t="str">
        <f t="shared" si="13"/>
        <v/>
      </c>
      <c r="O80" s="214" t="str">
        <f t="shared" si="14"/>
        <v/>
      </c>
      <c r="P80" s="214" t="str">
        <f t="shared" si="15"/>
        <v/>
      </c>
      <c r="Q80" s="214" t="str">
        <f t="shared" si="16"/>
        <v/>
      </c>
      <c r="R80" s="214" t="str">
        <f t="shared" si="17"/>
        <v/>
      </c>
      <c r="S80" s="214" t="str">
        <f t="shared" si="18"/>
        <v/>
      </c>
      <c r="T80" s="214" t="str">
        <f t="shared" si="19"/>
        <v/>
      </c>
      <c r="U80" s="214" t="str">
        <f t="shared" si="20"/>
        <v/>
      </c>
      <c r="V80" s="214" t="str">
        <f t="shared" si="21"/>
        <v/>
      </c>
      <c r="W80" s="214" t="str">
        <f t="shared" si="22"/>
        <v/>
      </c>
      <c r="X80" s="214" t="str">
        <f t="shared" si="23"/>
        <v/>
      </c>
      <c r="Y80" s="214" t="str">
        <f t="shared" si="24"/>
        <v/>
      </c>
      <c r="Z80" s="214" t="str">
        <f t="shared" si="25"/>
        <v/>
      </c>
      <c r="AA80" s="214" t="str">
        <f t="shared" si="26"/>
        <v/>
      </c>
      <c r="AB80" s="214" t="str">
        <f t="shared" si="27"/>
        <v/>
      </c>
      <c r="AC80" s="214" t="str">
        <f t="shared" si="28"/>
        <v/>
      </c>
    </row>
    <row r="81" spans="2:29" x14ac:dyDescent="0.35">
      <c r="B81" s="208" t="str">
        <f>IF('Portfolio Register'!$A45="","",'Portfolio Register'!$A45)</f>
        <v/>
      </c>
      <c r="C81" s="208" t="str">
        <f>IF($B81="","",'Portfolio Register'!$B45)</f>
        <v/>
      </c>
      <c r="D81" s="208" t="str">
        <f>IF($B81="","",'Portfolio Register'!$I45)</f>
        <v/>
      </c>
      <c r="E81" s="208" t="str">
        <f>IF($B81="","",'Portfolio Register'!$DG45)</f>
        <v/>
      </c>
      <c r="F81" s="224" t="str">
        <f t="shared" si="8"/>
        <v/>
      </c>
      <c r="G81" s="225" t="str">
        <f>IF($B81="","",'Portfolio Register'!$J45)</f>
        <v/>
      </c>
      <c r="H81" s="225" t="str">
        <f>IF($B81="","",'Portfolio Register'!$CO45)</f>
        <v/>
      </c>
      <c r="I81" s="225" t="str">
        <f>IF($B81="","",'Portfolio Register'!$CW45)</f>
        <v/>
      </c>
      <c r="J81" s="214" t="str">
        <f t="shared" si="9"/>
        <v/>
      </c>
      <c r="K81" s="214" t="str">
        <f t="shared" si="10"/>
        <v/>
      </c>
      <c r="L81" s="214" t="str">
        <f t="shared" si="11"/>
        <v/>
      </c>
      <c r="M81" s="214" t="str">
        <f t="shared" si="12"/>
        <v/>
      </c>
      <c r="N81" s="214" t="str">
        <f t="shared" si="13"/>
        <v/>
      </c>
      <c r="O81" s="214" t="str">
        <f t="shared" si="14"/>
        <v/>
      </c>
      <c r="P81" s="214" t="str">
        <f t="shared" si="15"/>
        <v/>
      </c>
      <c r="Q81" s="214" t="str">
        <f t="shared" si="16"/>
        <v/>
      </c>
      <c r="R81" s="214" t="str">
        <f t="shared" si="17"/>
        <v/>
      </c>
      <c r="S81" s="214" t="str">
        <f t="shared" si="18"/>
        <v/>
      </c>
      <c r="T81" s="214" t="str">
        <f t="shared" si="19"/>
        <v/>
      </c>
      <c r="U81" s="214" t="str">
        <f t="shared" si="20"/>
        <v/>
      </c>
      <c r="V81" s="214" t="str">
        <f t="shared" si="21"/>
        <v/>
      </c>
      <c r="W81" s="214" t="str">
        <f t="shared" si="22"/>
        <v/>
      </c>
      <c r="X81" s="214" t="str">
        <f t="shared" si="23"/>
        <v/>
      </c>
      <c r="Y81" s="214" t="str">
        <f t="shared" si="24"/>
        <v/>
      </c>
      <c r="Z81" s="214" t="str">
        <f t="shared" si="25"/>
        <v/>
      </c>
      <c r="AA81" s="214" t="str">
        <f t="shared" si="26"/>
        <v/>
      </c>
      <c r="AB81" s="214" t="str">
        <f t="shared" si="27"/>
        <v/>
      </c>
      <c r="AC81" s="214" t="str">
        <f t="shared" si="28"/>
        <v/>
      </c>
    </row>
    <row r="82" spans="2:29" x14ac:dyDescent="0.35">
      <c r="B82" s="208" t="str">
        <f>IF('Portfolio Register'!$A46="","",'Portfolio Register'!$A46)</f>
        <v/>
      </c>
      <c r="C82" s="208" t="str">
        <f>IF($B82="","",'Portfolio Register'!$B46)</f>
        <v/>
      </c>
      <c r="D82" s="208" t="str">
        <f>IF($B82="","",'Portfolio Register'!$I46)</f>
        <v/>
      </c>
      <c r="E82" s="208" t="str">
        <f>IF($B82="","",'Portfolio Register'!$DG46)</f>
        <v/>
      </c>
      <c r="F82" s="224" t="str">
        <f t="shared" si="8"/>
        <v/>
      </c>
      <c r="G82" s="225" t="str">
        <f>IF($B82="","",'Portfolio Register'!$J46)</f>
        <v/>
      </c>
      <c r="H82" s="225" t="str">
        <f>IF($B82="","",'Portfolio Register'!$CO46)</f>
        <v/>
      </c>
      <c r="I82" s="225" t="str">
        <f>IF($B82="","",'Portfolio Register'!$CW46)</f>
        <v/>
      </c>
      <c r="J82" s="214" t="str">
        <f t="shared" si="9"/>
        <v/>
      </c>
      <c r="K82" s="214" t="str">
        <f t="shared" si="10"/>
        <v/>
      </c>
      <c r="L82" s="214" t="str">
        <f t="shared" si="11"/>
        <v/>
      </c>
      <c r="M82" s="214" t="str">
        <f t="shared" si="12"/>
        <v/>
      </c>
      <c r="N82" s="214" t="str">
        <f t="shared" si="13"/>
        <v/>
      </c>
      <c r="O82" s="214" t="str">
        <f t="shared" si="14"/>
        <v/>
      </c>
      <c r="P82" s="214" t="str">
        <f t="shared" si="15"/>
        <v/>
      </c>
      <c r="Q82" s="214" t="str">
        <f t="shared" si="16"/>
        <v/>
      </c>
      <c r="R82" s="214" t="str">
        <f t="shared" si="17"/>
        <v/>
      </c>
      <c r="S82" s="214" t="str">
        <f t="shared" si="18"/>
        <v/>
      </c>
      <c r="T82" s="214" t="str">
        <f t="shared" si="19"/>
        <v/>
      </c>
      <c r="U82" s="214" t="str">
        <f t="shared" si="20"/>
        <v/>
      </c>
      <c r="V82" s="214" t="str">
        <f t="shared" si="21"/>
        <v/>
      </c>
      <c r="W82" s="214" t="str">
        <f t="shared" si="22"/>
        <v/>
      </c>
      <c r="X82" s="214" t="str">
        <f t="shared" si="23"/>
        <v/>
      </c>
      <c r="Y82" s="214" t="str">
        <f t="shared" si="24"/>
        <v/>
      </c>
      <c r="Z82" s="214" t="str">
        <f t="shared" si="25"/>
        <v/>
      </c>
      <c r="AA82" s="214" t="str">
        <f t="shared" si="26"/>
        <v/>
      </c>
      <c r="AB82" s="214" t="str">
        <f t="shared" si="27"/>
        <v/>
      </c>
      <c r="AC82" s="214" t="str">
        <f t="shared" si="28"/>
        <v/>
      </c>
    </row>
    <row r="83" spans="2:29" x14ac:dyDescent="0.35">
      <c r="B83" s="208" t="str">
        <f>IF('Portfolio Register'!$A47="","",'Portfolio Register'!$A47)</f>
        <v/>
      </c>
      <c r="C83" s="208" t="str">
        <f>IF($B83="","",'Portfolio Register'!$B47)</f>
        <v/>
      </c>
      <c r="D83" s="208" t="str">
        <f>IF($B83="","",'Portfolio Register'!$I47)</f>
        <v/>
      </c>
      <c r="E83" s="208" t="str">
        <f>IF($B83="","",'Portfolio Register'!$DG47)</f>
        <v/>
      </c>
      <c r="F83" s="224" t="str">
        <f t="shared" si="8"/>
        <v/>
      </c>
      <c r="G83" s="225" t="str">
        <f>IF($B83="","",'Portfolio Register'!$J47)</f>
        <v/>
      </c>
      <c r="H83" s="225" t="str">
        <f>IF($B83="","",'Portfolio Register'!$CO47)</f>
        <v/>
      </c>
      <c r="I83" s="225" t="str">
        <f>IF($B83="","",'Portfolio Register'!$CW47)</f>
        <v/>
      </c>
      <c r="J83" s="214" t="str">
        <f t="shared" si="9"/>
        <v/>
      </c>
      <c r="K83" s="214" t="str">
        <f t="shared" si="10"/>
        <v/>
      </c>
      <c r="L83" s="214" t="str">
        <f t="shared" si="11"/>
        <v/>
      </c>
      <c r="M83" s="214" t="str">
        <f t="shared" si="12"/>
        <v/>
      </c>
      <c r="N83" s="214" t="str">
        <f t="shared" si="13"/>
        <v/>
      </c>
      <c r="O83" s="214" t="str">
        <f t="shared" si="14"/>
        <v/>
      </c>
      <c r="P83" s="214" t="str">
        <f t="shared" si="15"/>
        <v/>
      </c>
      <c r="Q83" s="214" t="str">
        <f t="shared" si="16"/>
        <v/>
      </c>
      <c r="R83" s="214" t="str">
        <f t="shared" si="17"/>
        <v/>
      </c>
      <c r="S83" s="214" t="str">
        <f t="shared" si="18"/>
        <v/>
      </c>
      <c r="T83" s="214" t="str">
        <f t="shared" si="19"/>
        <v/>
      </c>
      <c r="U83" s="214" t="str">
        <f t="shared" si="20"/>
        <v/>
      </c>
      <c r="V83" s="214" t="str">
        <f t="shared" si="21"/>
        <v/>
      </c>
      <c r="W83" s="214" t="str">
        <f t="shared" si="22"/>
        <v/>
      </c>
      <c r="X83" s="214" t="str">
        <f t="shared" si="23"/>
        <v/>
      </c>
      <c r="Y83" s="214" t="str">
        <f t="shared" si="24"/>
        <v/>
      </c>
      <c r="Z83" s="214" t="str">
        <f t="shared" si="25"/>
        <v/>
      </c>
      <c r="AA83" s="214" t="str">
        <f t="shared" si="26"/>
        <v/>
      </c>
      <c r="AB83" s="214" t="str">
        <f t="shared" si="27"/>
        <v/>
      </c>
      <c r="AC83" s="214" t="str">
        <f t="shared" si="28"/>
        <v/>
      </c>
    </row>
    <row r="84" spans="2:29" x14ac:dyDescent="0.35">
      <c r="B84" s="208" t="str">
        <f>IF('Portfolio Register'!$A48="","",'Portfolio Register'!$A48)</f>
        <v/>
      </c>
      <c r="C84" s="208" t="str">
        <f>IF($B84="","",'Portfolio Register'!$B48)</f>
        <v/>
      </c>
      <c r="D84" s="208" t="str">
        <f>IF($B84="","",'Portfolio Register'!$I48)</f>
        <v/>
      </c>
      <c r="E84" s="208" t="str">
        <f>IF($B84="","",'Portfolio Register'!$DG48)</f>
        <v/>
      </c>
      <c r="F84" s="224" t="str">
        <f t="shared" si="8"/>
        <v/>
      </c>
      <c r="G84" s="225" t="str">
        <f>IF($B84="","",'Portfolio Register'!$J48)</f>
        <v/>
      </c>
      <c r="H84" s="225" t="str">
        <f>IF($B84="","",'Portfolio Register'!$CO48)</f>
        <v/>
      </c>
      <c r="I84" s="225" t="str">
        <f>IF($B84="","",'Portfolio Register'!$CW48)</f>
        <v/>
      </c>
      <c r="J84" s="214" t="str">
        <f t="shared" si="9"/>
        <v/>
      </c>
      <c r="K84" s="214" t="str">
        <f t="shared" si="10"/>
        <v/>
      </c>
      <c r="L84" s="214" t="str">
        <f t="shared" si="11"/>
        <v/>
      </c>
      <c r="M84" s="214" t="str">
        <f t="shared" si="12"/>
        <v/>
      </c>
      <c r="N84" s="214" t="str">
        <f t="shared" si="13"/>
        <v/>
      </c>
      <c r="O84" s="214" t="str">
        <f t="shared" si="14"/>
        <v/>
      </c>
      <c r="P84" s="214" t="str">
        <f t="shared" si="15"/>
        <v/>
      </c>
      <c r="Q84" s="214" t="str">
        <f t="shared" si="16"/>
        <v/>
      </c>
      <c r="R84" s="214" t="str">
        <f t="shared" si="17"/>
        <v/>
      </c>
      <c r="S84" s="214" t="str">
        <f t="shared" si="18"/>
        <v/>
      </c>
      <c r="T84" s="214" t="str">
        <f t="shared" si="19"/>
        <v/>
      </c>
      <c r="U84" s="214" t="str">
        <f t="shared" si="20"/>
        <v/>
      </c>
      <c r="V84" s="214" t="str">
        <f t="shared" si="21"/>
        <v/>
      </c>
      <c r="W84" s="214" t="str">
        <f t="shared" si="22"/>
        <v/>
      </c>
      <c r="X84" s="214" t="str">
        <f t="shared" si="23"/>
        <v/>
      </c>
      <c r="Y84" s="214" t="str">
        <f t="shared" si="24"/>
        <v/>
      </c>
      <c r="Z84" s="214" t="str">
        <f t="shared" si="25"/>
        <v/>
      </c>
      <c r="AA84" s="214" t="str">
        <f t="shared" si="26"/>
        <v/>
      </c>
      <c r="AB84" s="214" t="str">
        <f t="shared" si="27"/>
        <v/>
      </c>
      <c r="AC84" s="214" t="str">
        <f t="shared" si="28"/>
        <v/>
      </c>
    </row>
    <row r="85" spans="2:29" x14ac:dyDescent="0.35">
      <c r="B85" s="208" t="str">
        <f>IF('Portfolio Register'!$A49="","",'Portfolio Register'!$A49)</f>
        <v/>
      </c>
      <c r="C85" s="208" t="str">
        <f>IF($B85="","",'Portfolio Register'!$B49)</f>
        <v/>
      </c>
      <c r="D85" s="208" t="str">
        <f>IF($B85="","",'Portfolio Register'!$I49)</f>
        <v/>
      </c>
      <c r="E85" s="208" t="str">
        <f>IF($B85="","",'Portfolio Register'!$DG49)</f>
        <v/>
      </c>
      <c r="F85" s="224" t="str">
        <f t="shared" si="8"/>
        <v/>
      </c>
      <c r="G85" s="225" t="str">
        <f>IF($B85="","",'Portfolio Register'!$J49)</f>
        <v/>
      </c>
      <c r="H85" s="225" t="str">
        <f>IF($B85="","",'Portfolio Register'!$CO49)</f>
        <v/>
      </c>
      <c r="I85" s="225" t="str">
        <f>IF($B85="","",'Portfolio Register'!$CW49)</f>
        <v/>
      </c>
      <c r="J85" s="214" t="str">
        <f t="shared" si="9"/>
        <v/>
      </c>
      <c r="K85" s="214" t="str">
        <f t="shared" si="10"/>
        <v/>
      </c>
      <c r="L85" s="214" t="str">
        <f t="shared" si="11"/>
        <v/>
      </c>
      <c r="M85" s="214" t="str">
        <f t="shared" si="12"/>
        <v/>
      </c>
      <c r="N85" s="214" t="str">
        <f t="shared" si="13"/>
        <v/>
      </c>
      <c r="O85" s="214" t="str">
        <f t="shared" si="14"/>
        <v/>
      </c>
      <c r="P85" s="214" t="str">
        <f t="shared" si="15"/>
        <v/>
      </c>
      <c r="Q85" s="214" t="str">
        <f t="shared" si="16"/>
        <v/>
      </c>
      <c r="R85" s="214" t="str">
        <f t="shared" si="17"/>
        <v/>
      </c>
      <c r="S85" s="214" t="str">
        <f t="shared" si="18"/>
        <v/>
      </c>
      <c r="T85" s="214" t="str">
        <f t="shared" si="19"/>
        <v/>
      </c>
      <c r="U85" s="214" t="str">
        <f t="shared" si="20"/>
        <v/>
      </c>
      <c r="V85" s="214" t="str">
        <f t="shared" si="21"/>
        <v/>
      </c>
      <c r="W85" s="214" t="str">
        <f t="shared" si="22"/>
        <v/>
      </c>
      <c r="X85" s="214" t="str">
        <f t="shared" si="23"/>
        <v/>
      </c>
      <c r="Y85" s="214" t="str">
        <f t="shared" si="24"/>
        <v/>
      </c>
      <c r="Z85" s="214" t="str">
        <f t="shared" si="25"/>
        <v/>
      </c>
      <c r="AA85" s="214" t="str">
        <f t="shared" si="26"/>
        <v/>
      </c>
      <c r="AB85" s="214" t="str">
        <f t="shared" si="27"/>
        <v/>
      </c>
      <c r="AC85" s="214" t="str">
        <f t="shared" si="28"/>
        <v/>
      </c>
    </row>
    <row r="86" spans="2:29" x14ac:dyDescent="0.35">
      <c r="B86" s="208" t="str">
        <f>IF('Portfolio Register'!$A50="","",'Portfolio Register'!$A50)</f>
        <v/>
      </c>
      <c r="C86" s="208" t="str">
        <f>IF($B86="","",'Portfolio Register'!$B50)</f>
        <v/>
      </c>
      <c r="D86" s="208" t="str">
        <f>IF($B86="","",'Portfolio Register'!$I50)</f>
        <v/>
      </c>
      <c r="E86" s="208" t="str">
        <f>IF($B86="","",'Portfolio Register'!$DG50)</f>
        <v/>
      </c>
      <c r="F86" s="224" t="str">
        <f t="shared" si="8"/>
        <v/>
      </c>
      <c r="G86" s="225" t="str">
        <f>IF($B86="","",'Portfolio Register'!$J50)</f>
        <v/>
      </c>
      <c r="H86" s="225" t="str">
        <f>IF($B86="","",'Portfolio Register'!$CO50)</f>
        <v/>
      </c>
      <c r="I86" s="225" t="str">
        <f>IF($B86="","",'Portfolio Register'!$CW50)</f>
        <v/>
      </c>
      <c r="J86" s="214" t="str">
        <f t="shared" si="9"/>
        <v/>
      </c>
      <c r="K86" s="214" t="str">
        <f t="shared" si="10"/>
        <v/>
      </c>
      <c r="L86" s="214" t="str">
        <f t="shared" si="11"/>
        <v/>
      </c>
      <c r="M86" s="214" t="str">
        <f t="shared" si="12"/>
        <v/>
      </c>
      <c r="N86" s="214" t="str">
        <f t="shared" si="13"/>
        <v/>
      </c>
      <c r="O86" s="214" t="str">
        <f t="shared" si="14"/>
        <v/>
      </c>
      <c r="P86" s="214" t="str">
        <f t="shared" si="15"/>
        <v/>
      </c>
      <c r="Q86" s="214" t="str">
        <f t="shared" si="16"/>
        <v/>
      </c>
      <c r="R86" s="214" t="str">
        <f t="shared" si="17"/>
        <v/>
      </c>
      <c r="S86" s="214" t="str">
        <f t="shared" si="18"/>
        <v/>
      </c>
      <c r="T86" s="214" t="str">
        <f t="shared" si="19"/>
        <v/>
      </c>
      <c r="U86" s="214" t="str">
        <f t="shared" si="20"/>
        <v/>
      </c>
      <c r="V86" s="214" t="str">
        <f t="shared" si="21"/>
        <v/>
      </c>
      <c r="W86" s="214" t="str">
        <f t="shared" si="22"/>
        <v/>
      </c>
      <c r="X86" s="214" t="str">
        <f t="shared" si="23"/>
        <v/>
      </c>
      <c r="Y86" s="214" t="str">
        <f t="shared" si="24"/>
        <v/>
      </c>
      <c r="Z86" s="214" t="str">
        <f t="shared" si="25"/>
        <v/>
      </c>
      <c r="AA86" s="214" t="str">
        <f t="shared" si="26"/>
        <v/>
      </c>
      <c r="AB86" s="214" t="str">
        <f t="shared" si="27"/>
        <v/>
      </c>
      <c r="AC86" s="214" t="str">
        <f t="shared" si="28"/>
        <v/>
      </c>
    </row>
    <row r="87" spans="2:29" x14ac:dyDescent="0.35">
      <c r="B87" s="208" t="str">
        <f>IF('Portfolio Register'!$A51="","",'Portfolio Register'!$A51)</f>
        <v/>
      </c>
      <c r="C87" s="208" t="str">
        <f>IF($B87="","",'Portfolio Register'!$B51)</f>
        <v/>
      </c>
      <c r="D87" s="208" t="str">
        <f>IF($B87="","",'Portfolio Register'!$I51)</f>
        <v/>
      </c>
      <c r="E87" s="208" t="str">
        <f>IF($B87="","",'Portfolio Register'!$DG51)</f>
        <v/>
      </c>
      <c r="F87" s="224" t="str">
        <f t="shared" si="8"/>
        <v/>
      </c>
      <c r="G87" s="225" t="str">
        <f>IF($B87="","",'Portfolio Register'!$J51)</f>
        <v/>
      </c>
      <c r="H87" s="225" t="str">
        <f>IF($B87="","",'Portfolio Register'!$CO51)</f>
        <v/>
      </c>
      <c r="I87" s="225" t="str">
        <f>IF($B87="","",'Portfolio Register'!$CW51)</f>
        <v/>
      </c>
      <c r="J87" s="214" t="str">
        <f t="shared" si="9"/>
        <v/>
      </c>
      <c r="K87" s="214" t="str">
        <f t="shared" si="10"/>
        <v/>
      </c>
      <c r="L87" s="214" t="str">
        <f t="shared" si="11"/>
        <v/>
      </c>
      <c r="M87" s="214" t="str">
        <f t="shared" si="12"/>
        <v/>
      </c>
      <c r="N87" s="214" t="str">
        <f t="shared" si="13"/>
        <v/>
      </c>
      <c r="O87" s="214" t="str">
        <f t="shared" si="14"/>
        <v/>
      </c>
      <c r="P87" s="214" t="str">
        <f t="shared" si="15"/>
        <v/>
      </c>
      <c r="Q87" s="214" t="str">
        <f t="shared" si="16"/>
        <v/>
      </c>
      <c r="R87" s="214" t="str">
        <f t="shared" si="17"/>
        <v/>
      </c>
      <c r="S87" s="214" t="str">
        <f t="shared" si="18"/>
        <v/>
      </c>
      <c r="T87" s="214" t="str">
        <f t="shared" si="19"/>
        <v/>
      </c>
      <c r="U87" s="214" t="str">
        <f t="shared" si="20"/>
        <v/>
      </c>
      <c r="V87" s="214" t="str">
        <f t="shared" si="21"/>
        <v/>
      </c>
      <c r="W87" s="214" t="str">
        <f t="shared" si="22"/>
        <v/>
      </c>
      <c r="X87" s="214" t="str">
        <f t="shared" si="23"/>
        <v/>
      </c>
      <c r="Y87" s="214" t="str">
        <f t="shared" si="24"/>
        <v/>
      </c>
      <c r="Z87" s="214" t="str">
        <f t="shared" si="25"/>
        <v/>
      </c>
      <c r="AA87" s="214" t="str">
        <f t="shared" si="26"/>
        <v/>
      </c>
      <c r="AB87" s="214" t="str">
        <f t="shared" si="27"/>
        <v/>
      </c>
      <c r="AC87" s="214" t="str">
        <f t="shared" si="28"/>
        <v/>
      </c>
    </row>
    <row r="88" spans="2:29" x14ac:dyDescent="0.35">
      <c r="B88" s="208" t="str">
        <f>IF('Portfolio Register'!$A52="","",'Portfolio Register'!$A52)</f>
        <v/>
      </c>
      <c r="C88" s="208" t="str">
        <f>IF($B88="","",'Portfolio Register'!$B52)</f>
        <v/>
      </c>
      <c r="D88" s="208" t="str">
        <f>IF($B88="","",'Portfolio Register'!$I52)</f>
        <v/>
      </c>
      <c r="E88" s="208" t="str">
        <f>IF($B88="","",'Portfolio Register'!$DG52)</f>
        <v/>
      </c>
      <c r="F88" s="224" t="str">
        <f t="shared" si="8"/>
        <v/>
      </c>
      <c r="G88" s="225" t="str">
        <f>IF($B88="","",'Portfolio Register'!$J52)</f>
        <v/>
      </c>
      <c r="H88" s="225" t="str">
        <f>IF($B88="","",'Portfolio Register'!$CO52)</f>
        <v/>
      </c>
      <c r="I88" s="225" t="str">
        <f>IF($B88="","",'Portfolio Register'!$CW52)</f>
        <v/>
      </c>
      <c r="J88" s="214" t="str">
        <f t="shared" si="9"/>
        <v/>
      </c>
      <c r="K88" s="214" t="str">
        <f t="shared" si="10"/>
        <v/>
      </c>
      <c r="L88" s="214" t="str">
        <f t="shared" si="11"/>
        <v/>
      </c>
      <c r="M88" s="214" t="str">
        <f t="shared" si="12"/>
        <v/>
      </c>
      <c r="N88" s="214" t="str">
        <f t="shared" si="13"/>
        <v/>
      </c>
      <c r="O88" s="214" t="str">
        <f t="shared" si="14"/>
        <v/>
      </c>
      <c r="P88" s="214" t="str">
        <f t="shared" si="15"/>
        <v/>
      </c>
      <c r="Q88" s="214" t="str">
        <f t="shared" si="16"/>
        <v/>
      </c>
      <c r="R88" s="214" t="str">
        <f t="shared" si="17"/>
        <v/>
      </c>
      <c r="S88" s="214" t="str">
        <f t="shared" si="18"/>
        <v/>
      </c>
      <c r="T88" s="214" t="str">
        <f t="shared" si="19"/>
        <v/>
      </c>
      <c r="U88" s="214" t="str">
        <f t="shared" si="20"/>
        <v/>
      </c>
      <c r="V88" s="214" t="str">
        <f t="shared" si="21"/>
        <v/>
      </c>
      <c r="W88" s="214" t="str">
        <f t="shared" si="22"/>
        <v/>
      </c>
      <c r="X88" s="214" t="str">
        <f t="shared" si="23"/>
        <v/>
      </c>
      <c r="Y88" s="214" t="str">
        <f t="shared" si="24"/>
        <v/>
      </c>
      <c r="Z88" s="214" t="str">
        <f t="shared" si="25"/>
        <v/>
      </c>
      <c r="AA88" s="214" t="str">
        <f t="shared" si="26"/>
        <v/>
      </c>
      <c r="AB88" s="214" t="str">
        <f t="shared" si="27"/>
        <v/>
      </c>
      <c r="AC88" s="214" t="str">
        <f t="shared" si="28"/>
        <v/>
      </c>
    </row>
    <row r="89" spans="2:29" x14ac:dyDescent="0.35">
      <c r="B89" s="208" t="str">
        <f>IF('Portfolio Register'!$A53="","",'Portfolio Register'!$A53)</f>
        <v/>
      </c>
      <c r="C89" s="208" t="str">
        <f>IF($B89="","",'Portfolio Register'!$B53)</f>
        <v/>
      </c>
      <c r="D89" s="208" t="str">
        <f>IF($B89="","",'Portfolio Register'!$I53)</f>
        <v/>
      </c>
      <c r="E89" s="208" t="str">
        <f>IF($B89="","",'Portfolio Register'!$DG53)</f>
        <v/>
      </c>
      <c r="F89" s="224" t="str">
        <f t="shared" si="8"/>
        <v/>
      </c>
      <c r="G89" s="225" t="str">
        <f>IF($B89="","",'Portfolio Register'!$J53)</f>
        <v/>
      </c>
      <c r="H89" s="225" t="str">
        <f>IF($B89="","",'Portfolio Register'!$CO53)</f>
        <v/>
      </c>
      <c r="I89" s="225" t="str">
        <f>IF($B89="","",'Portfolio Register'!$CW53)</f>
        <v/>
      </c>
      <c r="J89" s="214" t="str">
        <f t="shared" si="9"/>
        <v/>
      </c>
      <c r="K89" s="214" t="str">
        <f t="shared" si="10"/>
        <v/>
      </c>
      <c r="L89" s="214" t="str">
        <f t="shared" si="11"/>
        <v/>
      </c>
      <c r="M89" s="214" t="str">
        <f t="shared" si="12"/>
        <v/>
      </c>
      <c r="N89" s="214" t="str">
        <f t="shared" si="13"/>
        <v/>
      </c>
      <c r="O89" s="214" t="str">
        <f t="shared" si="14"/>
        <v/>
      </c>
      <c r="P89" s="214" t="str">
        <f t="shared" si="15"/>
        <v/>
      </c>
      <c r="Q89" s="214" t="str">
        <f t="shared" si="16"/>
        <v/>
      </c>
      <c r="R89" s="214" t="str">
        <f t="shared" si="17"/>
        <v/>
      </c>
      <c r="S89" s="214" t="str">
        <f t="shared" si="18"/>
        <v/>
      </c>
      <c r="T89" s="214" t="str">
        <f t="shared" si="19"/>
        <v/>
      </c>
      <c r="U89" s="214" t="str">
        <f t="shared" si="20"/>
        <v/>
      </c>
      <c r="V89" s="214" t="str">
        <f t="shared" si="21"/>
        <v/>
      </c>
      <c r="W89" s="214" t="str">
        <f t="shared" si="22"/>
        <v/>
      </c>
      <c r="X89" s="214" t="str">
        <f t="shared" si="23"/>
        <v/>
      </c>
      <c r="Y89" s="214" t="str">
        <f t="shared" si="24"/>
        <v/>
      </c>
      <c r="Z89" s="214" t="str">
        <f t="shared" si="25"/>
        <v/>
      </c>
      <c r="AA89" s="214" t="str">
        <f t="shared" si="26"/>
        <v/>
      </c>
      <c r="AB89" s="214" t="str">
        <f t="shared" si="27"/>
        <v/>
      </c>
      <c r="AC89" s="214" t="str">
        <f t="shared" si="28"/>
        <v/>
      </c>
    </row>
    <row r="90" spans="2:29" x14ac:dyDescent="0.35">
      <c r="B90" s="208" t="str">
        <f>IF('Portfolio Register'!$A54="","",'Portfolio Register'!$A54)</f>
        <v/>
      </c>
      <c r="C90" s="208" t="str">
        <f>IF($B90="","",'Portfolio Register'!$B54)</f>
        <v/>
      </c>
      <c r="D90" s="208" t="str">
        <f>IF($B90="","",'Portfolio Register'!$I54)</f>
        <v/>
      </c>
      <c r="E90" s="208" t="str">
        <f>IF($B90="","",'Portfolio Register'!$DG54)</f>
        <v/>
      </c>
      <c r="F90" s="224" t="str">
        <f t="shared" si="8"/>
        <v/>
      </c>
      <c r="G90" s="225" t="str">
        <f>IF($B90="","",'Portfolio Register'!$J54)</f>
        <v/>
      </c>
      <c r="H90" s="225" t="str">
        <f>IF($B90="","",'Portfolio Register'!$CO54)</f>
        <v/>
      </c>
      <c r="I90" s="225" t="str">
        <f>IF($B90="","",'Portfolio Register'!$CW54)</f>
        <v/>
      </c>
      <c r="J90" s="214" t="str">
        <f t="shared" si="9"/>
        <v/>
      </c>
      <c r="K90" s="214" t="str">
        <f t="shared" si="10"/>
        <v/>
      </c>
      <c r="L90" s="214" t="str">
        <f t="shared" si="11"/>
        <v/>
      </c>
      <c r="M90" s="214" t="str">
        <f t="shared" si="12"/>
        <v/>
      </c>
      <c r="N90" s="214" t="str">
        <f t="shared" si="13"/>
        <v/>
      </c>
      <c r="O90" s="214" t="str">
        <f t="shared" si="14"/>
        <v/>
      </c>
      <c r="P90" s="214" t="str">
        <f t="shared" si="15"/>
        <v/>
      </c>
      <c r="Q90" s="214" t="str">
        <f t="shared" si="16"/>
        <v/>
      </c>
      <c r="R90" s="214" t="str">
        <f t="shared" si="17"/>
        <v/>
      </c>
      <c r="S90" s="214" t="str">
        <f t="shared" si="18"/>
        <v/>
      </c>
      <c r="T90" s="214" t="str">
        <f t="shared" si="19"/>
        <v/>
      </c>
      <c r="U90" s="214" t="str">
        <f t="shared" si="20"/>
        <v/>
      </c>
      <c r="V90" s="214" t="str">
        <f t="shared" si="21"/>
        <v/>
      </c>
      <c r="W90" s="214" t="str">
        <f t="shared" si="22"/>
        <v/>
      </c>
      <c r="X90" s="214" t="str">
        <f t="shared" si="23"/>
        <v/>
      </c>
      <c r="Y90" s="214" t="str">
        <f t="shared" si="24"/>
        <v/>
      </c>
      <c r="Z90" s="214" t="str">
        <f t="shared" si="25"/>
        <v/>
      </c>
      <c r="AA90" s="214" t="str">
        <f t="shared" si="26"/>
        <v/>
      </c>
      <c r="AB90" s="214" t="str">
        <f t="shared" si="27"/>
        <v/>
      </c>
      <c r="AC90" s="214" t="str">
        <f t="shared" si="28"/>
        <v/>
      </c>
    </row>
    <row r="91" spans="2:29" x14ac:dyDescent="0.35">
      <c r="B91" s="208" t="str">
        <f>IF('Portfolio Register'!$A55="","",'Portfolio Register'!$A55)</f>
        <v/>
      </c>
      <c r="C91" s="208" t="str">
        <f>IF($B91="","",'Portfolio Register'!$B55)</f>
        <v/>
      </c>
      <c r="D91" s="208" t="str">
        <f>IF($B91="","",'Portfolio Register'!$I55)</f>
        <v/>
      </c>
      <c r="E91" s="208" t="str">
        <f>IF($B91="","",'Portfolio Register'!$DG55)</f>
        <v/>
      </c>
      <c r="F91" s="224" t="str">
        <f t="shared" si="8"/>
        <v/>
      </c>
      <c r="G91" s="225" t="str">
        <f>IF($B91="","",'Portfolio Register'!$J55)</f>
        <v/>
      </c>
      <c r="H91" s="225" t="str">
        <f>IF($B91="","",'Portfolio Register'!$CO55)</f>
        <v/>
      </c>
      <c r="I91" s="225" t="str">
        <f>IF($B91="","",'Portfolio Register'!$CW55)</f>
        <v/>
      </c>
      <c r="J91" s="214" t="str">
        <f t="shared" si="9"/>
        <v/>
      </c>
      <c r="K91" s="214" t="str">
        <f t="shared" si="10"/>
        <v/>
      </c>
      <c r="L91" s="214" t="str">
        <f t="shared" si="11"/>
        <v/>
      </c>
      <c r="M91" s="214" t="str">
        <f t="shared" si="12"/>
        <v/>
      </c>
      <c r="N91" s="214" t="str">
        <f t="shared" si="13"/>
        <v/>
      </c>
      <c r="O91" s="214" t="str">
        <f t="shared" si="14"/>
        <v/>
      </c>
      <c r="P91" s="214" t="str">
        <f t="shared" si="15"/>
        <v/>
      </c>
      <c r="Q91" s="214" t="str">
        <f t="shared" si="16"/>
        <v/>
      </c>
      <c r="R91" s="214" t="str">
        <f t="shared" si="17"/>
        <v/>
      </c>
      <c r="S91" s="214" t="str">
        <f t="shared" si="18"/>
        <v/>
      </c>
      <c r="T91" s="214" t="str">
        <f t="shared" si="19"/>
        <v/>
      </c>
      <c r="U91" s="214" t="str">
        <f t="shared" si="20"/>
        <v/>
      </c>
      <c r="V91" s="214" t="str">
        <f t="shared" si="21"/>
        <v/>
      </c>
      <c r="W91" s="214" t="str">
        <f t="shared" si="22"/>
        <v/>
      </c>
      <c r="X91" s="214" t="str">
        <f t="shared" si="23"/>
        <v/>
      </c>
      <c r="Y91" s="214" t="str">
        <f t="shared" si="24"/>
        <v/>
      </c>
      <c r="Z91" s="214" t="str">
        <f t="shared" si="25"/>
        <v/>
      </c>
      <c r="AA91" s="214" t="str">
        <f t="shared" si="26"/>
        <v/>
      </c>
      <c r="AB91" s="214" t="str">
        <f t="shared" si="27"/>
        <v/>
      </c>
      <c r="AC91" s="214" t="str">
        <f t="shared" si="28"/>
        <v/>
      </c>
    </row>
    <row r="92" spans="2:29" x14ac:dyDescent="0.35">
      <c r="B92" s="208" t="str">
        <f>IF('Portfolio Register'!$A56="","",'Portfolio Register'!$A56)</f>
        <v/>
      </c>
      <c r="C92" s="208" t="str">
        <f>IF($B92="","",'Portfolio Register'!$B56)</f>
        <v/>
      </c>
      <c r="D92" s="208" t="str">
        <f>IF($B92="","",'Portfolio Register'!$I56)</f>
        <v/>
      </c>
      <c r="E92" s="208" t="str">
        <f>IF($B92="","",'Portfolio Register'!$DG56)</f>
        <v/>
      </c>
      <c r="F92" s="224" t="str">
        <f t="shared" si="8"/>
        <v/>
      </c>
      <c r="G92" s="225" t="str">
        <f>IF($B92="","",'Portfolio Register'!$J56)</f>
        <v/>
      </c>
      <c r="H92" s="225" t="str">
        <f>IF($B92="","",'Portfolio Register'!$CO56)</f>
        <v/>
      </c>
      <c r="I92" s="225" t="str">
        <f>IF($B92="","",'Portfolio Register'!$CW56)</f>
        <v/>
      </c>
      <c r="J92" s="214" t="str">
        <f t="shared" si="9"/>
        <v/>
      </c>
      <c r="K92" s="214" t="str">
        <f t="shared" si="10"/>
        <v/>
      </c>
      <c r="L92" s="214" t="str">
        <f t="shared" si="11"/>
        <v/>
      </c>
      <c r="M92" s="214" t="str">
        <f t="shared" si="12"/>
        <v/>
      </c>
      <c r="N92" s="214" t="str">
        <f t="shared" si="13"/>
        <v/>
      </c>
      <c r="O92" s="214" t="str">
        <f t="shared" si="14"/>
        <v/>
      </c>
      <c r="P92" s="214" t="str">
        <f t="shared" si="15"/>
        <v/>
      </c>
      <c r="Q92" s="214" t="str">
        <f t="shared" si="16"/>
        <v/>
      </c>
      <c r="R92" s="214" t="str">
        <f t="shared" si="17"/>
        <v/>
      </c>
      <c r="S92" s="214" t="str">
        <f t="shared" si="18"/>
        <v/>
      </c>
      <c r="T92" s="214" t="str">
        <f t="shared" si="19"/>
        <v/>
      </c>
      <c r="U92" s="214" t="str">
        <f t="shared" si="20"/>
        <v/>
      </c>
      <c r="V92" s="214" t="str">
        <f t="shared" si="21"/>
        <v/>
      </c>
      <c r="W92" s="214" t="str">
        <f t="shared" si="22"/>
        <v/>
      </c>
      <c r="X92" s="214" t="str">
        <f t="shared" si="23"/>
        <v/>
      </c>
      <c r="Y92" s="214" t="str">
        <f t="shared" si="24"/>
        <v/>
      </c>
      <c r="Z92" s="214" t="str">
        <f t="shared" si="25"/>
        <v/>
      </c>
      <c r="AA92" s="214" t="str">
        <f t="shared" si="26"/>
        <v/>
      </c>
      <c r="AB92" s="214" t="str">
        <f t="shared" si="27"/>
        <v/>
      </c>
      <c r="AC92" s="214" t="str">
        <f t="shared" si="28"/>
        <v/>
      </c>
    </row>
    <row r="93" spans="2:29" x14ac:dyDescent="0.35">
      <c r="B93" s="208" t="str">
        <f>IF('Portfolio Register'!$A57="","",'Portfolio Register'!$A57)</f>
        <v/>
      </c>
      <c r="C93" s="208" t="str">
        <f>IF($B93="","",'Portfolio Register'!$B57)</f>
        <v/>
      </c>
      <c r="D93" s="208" t="str">
        <f>IF($B93="","",'Portfolio Register'!$I57)</f>
        <v/>
      </c>
      <c r="E93" s="208" t="str">
        <f>IF($B93="","",'Portfolio Register'!$DG57)</f>
        <v/>
      </c>
      <c r="F93" s="224" t="str">
        <f t="shared" si="8"/>
        <v/>
      </c>
      <c r="G93" s="225" t="str">
        <f>IF($B93="","",'Portfolio Register'!$J57)</f>
        <v/>
      </c>
      <c r="H93" s="225" t="str">
        <f>IF($B93="","",'Portfolio Register'!$CO57)</f>
        <v/>
      </c>
      <c r="I93" s="225" t="str">
        <f>IF($B93="","",'Portfolio Register'!$CW57)</f>
        <v/>
      </c>
      <c r="J93" s="214" t="str">
        <f t="shared" si="9"/>
        <v/>
      </c>
      <c r="K93" s="214" t="str">
        <f t="shared" si="10"/>
        <v/>
      </c>
      <c r="L93" s="214" t="str">
        <f t="shared" si="11"/>
        <v/>
      </c>
      <c r="M93" s="214" t="str">
        <f t="shared" si="12"/>
        <v/>
      </c>
      <c r="N93" s="214" t="str">
        <f t="shared" si="13"/>
        <v/>
      </c>
      <c r="O93" s="214" t="str">
        <f t="shared" si="14"/>
        <v/>
      </c>
      <c r="P93" s="214" t="str">
        <f t="shared" si="15"/>
        <v/>
      </c>
      <c r="Q93" s="214" t="str">
        <f t="shared" si="16"/>
        <v/>
      </c>
      <c r="R93" s="214" t="str">
        <f t="shared" si="17"/>
        <v/>
      </c>
      <c r="S93" s="214" t="str">
        <f t="shared" si="18"/>
        <v/>
      </c>
      <c r="T93" s="214" t="str">
        <f t="shared" si="19"/>
        <v/>
      </c>
      <c r="U93" s="214" t="str">
        <f t="shared" si="20"/>
        <v/>
      </c>
      <c r="V93" s="214" t="str">
        <f t="shared" si="21"/>
        <v/>
      </c>
      <c r="W93" s="214" t="str">
        <f t="shared" si="22"/>
        <v/>
      </c>
      <c r="X93" s="214" t="str">
        <f t="shared" si="23"/>
        <v/>
      </c>
      <c r="Y93" s="214" t="str">
        <f t="shared" si="24"/>
        <v/>
      </c>
      <c r="Z93" s="214" t="str">
        <f t="shared" si="25"/>
        <v/>
      </c>
      <c r="AA93" s="214" t="str">
        <f t="shared" si="26"/>
        <v/>
      </c>
      <c r="AB93" s="214" t="str">
        <f t="shared" si="27"/>
        <v/>
      </c>
      <c r="AC93" s="214" t="str">
        <f t="shared" si="28"/>
        <v/>
      </c>
    </row>
    <row r="94" spans="2:29" x14ac:dyDescent="0.35">
      <c r="B94" s="208" t="str">
        <f>IF('Portfolio Register'!$A58="","",'Portfolio Register'!$A58)</f>
        <v/>
      </c>
      <c r="C94" s="208" t="str">
        <f>IF($B94="","",'Portfolio Register'!$B58)</f>
        <v/>
      </c>
      <c r="D94" s="208" t="str">
        <f>IF($B94="","",'Portfolio Register'!$I58)</f>
        <v/>
      </c>
      <c r="E94" s="208" t="str">
        <f>IF($B94="","",'Portfolio Register'!$DG58)</f>
        <v/>
      </c>
      <c r="F94" s="224" t="str">
        <f t="shared" si="8"/>
        <v/>
      </c>
      <c r="G94" s="225" t="str">
        <f>IF($B94="","",'Portfolio Register'!$J58)</f>
        <v/>
      </c>
      <c r="H94" s="225" t="str">
        <f>IF($B94="","",'Portfolio Register'!$CO58)</f>
        <v/>
      </c>
      <c r="I94" s="225" t="str">
        <f>IF($B94="","",'Portfolio Register'!$CW58)</f>
        <v/>
      </c>
      <c r="J94" s="214" t="str">
        <f t="shared" si="9"/>
        <v/>
      </c>
      <c r="K94" s="214" t="str">
        <f t="shared" si="10"/>
        <v/>
      </c>
      <c r="L94" s="214" t="str">
        <f t="shared" si="11"/>
        <v/>
      </c>
      <c r="M94" s="214" t="str">
        <f t="shared" si="12"/>
        <v/>
      </c>
      <c r="N94" s="214" t="str">
        <f t="shared" si="13"/>
        <v/>
      </c>
      <c r="O94" s="214" t="str">
        <f t="shared" si="14"/>
        <v/>
      </c>
      <c r="P94" s="214" t="str">
        <f t="shared" si="15"/>
        <v/>
      </c>
      <c r="Q94" s="214" t="str">
        <f t="shared" si="16"/>
        <v/>
      </c>
      <c r="R94" s="214" t="str">
        <f t="shared" si="17"/>
        <v/>
      </c>
      <c r="S94" s="214" t="str">
        <f t="shared" si="18"/>
        <v/>
      </c>
      <c r="T94" s="214" t="str">
        <f t="shared" si="19"/>
        <v/>
      </c>
      <c r="U94" s="214" t="str">
        <f t="shared" si="20"/>
        <v/>
      </c>
      <c r="V94" s="214" t="str">
        <f t="shared" si="21"/>
        <v/>
      </c>
      <c r="W94" s="214" t="str">
        <f t="shared" si="22"/>
        <v/>
      </c>
      <c r="X94" s="214" t="str">
        <f t="shared" si="23"/>
        <v/>
      </c>
      <c r="Y94" s="214" t="str">
        <f t="shared" si="24"/>
        <v/>
      </c>
      <c r="Z94" s="214" t="str">
        <f t="shared" si="25"/>
        <v/>
      </c>
      <c r="AA94" s="214" t="str">
        <f t="shared" si="26"/>
        <v/>
      </c>
      <c r="AB94" s="214" t="str">
        <f t="shared" si="27"/>
        <v/>
      </c>
      <c r="AC94" s="214" t="str">
        <f t="shared" si="28"/>
        <v/>
      </c>
    </row>
    <row r="95" spans="2:29" x14ac:dyDescent="0.35">
      <c r="B95" s="208" t="str">
        <f>IF('Portfolio Register'!$A59="","",'Portfolio Register'!$A59)</f>
        <v/>
      </c>
      <c r="C95" s="208" t="str">
        <f>IF($B95="","",'Portfolio Register'!$B59)</f>
        <v/>
      </c>
      <c r="D95" s="208" t="str">
        <f>IF($B95="","",'Portfolio Register'!$I59)</f>
        <v/>
      </c>
      <c r="E95" s="208" t="str">
        <f>IF($B95="","",'Portfolio Register'!$DG59)</f>
        <v/>
      </c>
      <c r="F95" s="224" t="str">
        <f t="shared" si="8"/>
        <v/>
      </c>
      <c r="G95" s="225" t="str">
        <f>IF($B95="","",'Portfolio Register'!$J59)</f>
        <v/>
      </c>
      <c r="H95" s="225" t="str">
        <f>IF($B95="","",'Portfolio Register'!$CO59)</f>
        <v/>
      </c>
      <c r="I95" s="225" t="str">
        <f>IF($B95="","",'Portfolio Register'!$CW59)</f>
        <v/>
      </c>
      <c r="J95" s="214" t="str">
        <f t="shared" si="9"/>
        <v/>
      </c>
      <c r="K95" s="214" t="str">
        <f t="shared" si="10"/>
        <v/>
      </c>
      <c r="L95" s="214" t="str">
        <f t="shared" si="11"/>
        <v/>
      </c>
      <c r="M95" s="214" t="str">
        <f t="shared" si="12"/>
        <v/>
      </c>
      <c r="N95" s="214" t="str">
        <f t="shared" si="13"/>
        <v/>
      </c>
      <c r="O95" s="214" t="str">
        <f t="shared" si="14"/>
        <v/>
      </c>
      <c r="P95" s="214" t="str">
        <f t="shared" si="15"/>
        <v/>
      </c>
      <c r="Q95" s="214" t="str">
        <f t="shared" si="16"/>
        <v/>
      </c>
      <c r="R95" s="214" t="str">
        <f t="shared" si="17"/>
        <v/>
      </c>
      <c r="S95" s="214" t="str">
        <f t="shared" si="18"/>
        <v/>
      </c>
      <c r="T95" s="214" t="str">
        <f t="shared" si="19"/>
        <v/>
      </c>
      <c r="U95" s="214" t="str">
        <f t="shared" si="20"/>
        <v/>
      </c>
      <c r="V95" s="214" t="str">
        <f t="shared" si="21"/>
        <v/>
      </c>
      <c r="W95" s="214" t="str">
        <f t="shared" si="22"/>
        <v/>
      </c>
      <c r="X95" s="214" t="str">
        <f t="shared" si="23"/>
        <v/>
      </c>
      <c r="Y95" s="214" t="str">
        <f t="shared" si="24"/>
        <v/>
      </c>
      <c r="Z95" s="214" t="str">
        <f t="shared" si="25"/>
        <v/>
      </c>
      <c r="AA95" s="214" t="str">
        <f t="shared" si="26"/>
        <v/>
      </c>
      <c r="AB95" s="214" t="str">
        <f t="shared" si="27"/>
        <v/>
      </c>
      <c r="AC95" s="214" t="str">
        <f t="shared" si="28"/>
        <v/>
      </c>
    </row>
    <row r="96" spans="2:29" x14ac:dyDescent="0.35">
      <c r="B96" s="208" t="str">
        <f>IF('Portfolio Register'!$A60="","",'Portfolio Register'!$A60)</f>
        <v/>
      </c>
      <c r="C96" s="208" t="str">
        <f>IF($B96="","",'Portfolio Register'!$B60)</f>
        <v/>
      </c>
      <c r="D96" s="208" t="str">
        <f>IF($B96="","",'Portfolio Register'!$I60)</f>
        <v/>
      </c>
      <c r="E96" s="208" t="str">
        <f>IF($B96="","",'Portfolio Register'!$DG60)</f>
        <v/>
      </c>
      <c r="F96" s="224" t="str">
        <f t="shared" si="8"/>
        <v/>
      </c>
      <c r="G96" s="225" t="str">
        <f>IF($B96="","",'Portfolio Register'!$J60)</f>
        <v/>
      </c>
      <c r="H96" s="225" t="str">
        <f>IF($B96="","",'Portfolio Register'!$CO60)</f>
        <v/>
      </c>
      <c r="I96" s="225" t="str">
        <f>IF($B96="","",'Portfolio Register'!$CW60)</f>
        <v/>
      </c>
      <c r="J96" s="214" t="str">
        <f t="shared" si="9"/>
        <v/>
      </c>
      <c r="K96" s="214" t="str">
        <f t="shared" si="10"/>
        <v/>
      </c>
      <c r="L96" s="214" t="str">
        <f t="shared" si="11"/>
        <v/>
      </c>
      <c r="M96" s="214" t="str">
        <f t="shared" si="12"/>
        <v/>
      </c>
      <c r="N96" s="214" t="str">
        <f t="shared" si="13"/>
        <v/>
      </c>
      <c r="O96" s="214" t="str">
        <f t="shared" si="14"/>
        <v/>
      </c>
      <c r="P96" s="214" t="str">
        <f t="shared" si="15"/>
        <v/>
      </c>
      <c r="Q96" s="214" t="str">
        <f t="shared" si="16"/>
        <v/>
      </c>
      <c r="R96" s="214" t="str">
        <f t="shared" si="17"/>
        <v/>
      </c>
      <c r="S96" s="214" t="str">
        <f t="shared" si="18"/>
        <v/>
      </c>
      <c r="T96" s="214" t="str">
        <f t="shared" si="19"/>
        <v/>
      </c>
      <c r="U96" s="214" t="str">
        <f t="shared" si="20"/>
        <v/>
      </c>
      <c r="V96" s="214" t="str">
        <f t="shared" si="21"/>
        <v/>
      </c>
      <c r="W96" s="214" t="str">
        <f t="shared" si="22"/>
        <v/>
      </c>
      <c r="X96" s="214" t="str">
        <f t="shared" si="23"/>
        <v/>
      </c>
      <c r="Y96" s="214" t="str">
        <f t="shared" si="24"/>
        <v/>
      </c>
      <c r="Z96" s="214" t="str">
        <f t="shared" si="25"/>
        <v/>
      </c>
      <c r="AA96" s="214" t="str">
        <f t="shared" si="26"/>
        <v/>
      </c>
      <c r="AB96" s="214" t="str">
        <f t="shared" si="27"/>
        <v/>
      </c>
      <c r="AC96" s="214" t="str">
        <f t="shared" si="28"/>
        <v/>
      </c>
    </row>
    <row r="97" spans="2:29" x14ac:dyDescent="0.35">
      <c r="B97" s="208" t="str">
        <f>IF('Portfolio Register'!$A61="","",'Portfolio Register'!$A61)</f>
        <v/>
      </c>
      <c r="C97" s="208" t="str">
        <f>IF($B97="","",'Portfolio Register'!$B61)</f>
        <v/>
      </c>
      <c r="D97" s="208" t="str">
        <f>IF($B97="","",'Portfolio Register'!$I61)</f>
        <v/>
      </c>
      <c r="E97" s="208" t="str">
        <f>IF($B97="","",'Portfolio Register'!$DG61)</f>
        <v/>
      </c>
      <c r="F97" s="224" t="str">
        <f t="shared" si="8"/>
        <v/>
      </c>
      <c r="G97" s="225" t="str">
        <f>IF($B97="","",'Portfolio Register'!$J61)</f>
        <v/>
      </c>
      <c r="H97" s="225" t="str">
        <f>IF($B97="","",'Portfolio Register'!$CO61)</f>
        <v/>
      </c>
      <c r="I97" s="225" t="str">
        <f>IF($B97="","",'Portfolio Register'!$CW61)</f>
        <v/>
      </c>
      <c r="J97" s="214" t="str">
        <f t="shared" si="9"/>
        <v/>
      </c>
      <c r="K97" s="214" t="str">
        <f t="shared" si="10"/>
        <v/>
      </c>
      <c r="L97" s="214" t="str">
        <f t="shared" si="11"/>
        <v/>
      </c>
      <c r="M97" s="214" t="str">
        <f t="shared" si="12"/>
        <v/>
      </c>
      <c r="N97" s="214" t="str">
        <f t="shared" si="13"/>
        <v/>
      </c>
      <c r="O97" s="214" t="str">
        <f t="shared" si="14"/>
        <v/>
      </c>
      <c r="P97" s="214" t="str">
        <f t="shared" si="15"/>
        <v/>
      </c>
      <c r="Q97" s="214" t="str">
        <f t="shared" si="16"/>
        <v/>
      </c>
      <c r="R97" s="214" t="str">
        <f t="shared" si="17"/>
        <v/>
      </c>
      <c r="S97" s="214" t="str">
        <f t="shared" si="18"/>
        <v/>
      </c>
      <c r="T97" s="214" t="str">
        <f t="shared" si="19"/>
        <v/>
      </c>
      <c r="U97" s="214" t="str">
        <f t="shared" si="20"/>
        <v/>
      </c>
      <c r="V97" s="214" t="str">
        <f t="shared" si="21"/>
        <v/>
      </c>
      <c r="W97" s="214" t="str">
        <f t="shared" si="22"/>
        <v/>
      </c>
      <c r="X97" s="214" t="str">
        <f t="shared" si="23"/>
        <v/>
      </c>
      <c r="Y97" s="214" t="str">
        <f t="shared" si="24"/>
        <v/>
      </c>
      <c r="Z97" s="214" t="str">
        <f t="shared" si="25"/>
        <v/>
      </c>
      <c r="AA97" s="214" t="str">
        <f t="shared" si="26"/>
        <v/>
      </c>
      <c r="AB97" s="214" t="str">
        <f t="shared" si="27"/>
        <v/>
      </c>
      <c r="AC97" s="214" t="str">
        <f t="shared" si="28"/>
        <v/>
      </c>
    </row>
    <row r="98" spans="2:29" x14ac:dyDescent="0.35">
      <c r="B98" s="208" t="str">
        <f>IF('Portfolio Register'!$A62="","",'Portfolio Register'!$A62)</f>
        <v/>
      </c>
      <c r="C98" s="208" t="str">
        <f>IF($B98="","",'Portfolio Register'!$B62)</f>
        <v/>
      </c>
      <c r="D98" s="208" t="str">
        <f>IF($B98="","",'Portfolio Register'!$I62)</f>
        <v/>
      </c>
      <c r="E98" s="208" t="str">
        <f>IF($B98="","",'Portfolio Register'!$DG62)</f>
        <v/>
      </c>
      <c r="F98" s="224" t="str">
        <f t="shared" si="8"/>
        <v/>
      </c>
      <c r="G98" s="225" t="str">
        <f>IF($B98="","",'Portfolio Register'!$J62)</f>
        <v/>
      </c>
      <c r="H98" s="225" t="str">
        <f>IF($B98="","",'Portfolio Register'!$CO62)</f>
        <v/>
      </c>
      <c r="I98" s="225" t="str">
        <f>IF($B98="","",'Portfolio Register'!$CW62)</f>
        <v/>
      </c>
      <c r="J98" s="214" t="str">
        <f t="shared" si="9"/>
        <v/>
      </c>
      <c r="K98" s="214" t="str">
        <f t="shared" si="10"/>
        <v/>
      </c>
      <c r="L98" s="214" t="str">
        <f t="shared" si="11"/>
        <v/>
      </c>
      <c r="M98" s="214" t="str">
        <f t="shared" si="12"/>
        <v/>
      </c>
      <c r="N98" s="214" t="str">
        <f t="shared" si="13"/>
        <v/>
      </c>
      <c r="O98" s="214" t="str">
        <f t="shared" si="14"/>
        <v/>
      </c>
      <c r="P98" s="214" t="str">
        <f t="shared" si="15"/>
        <v/>
      </c>
      <c r="Q98" s="214" t="str">
        <f t="shared" si="16"/>
        <v/>
      </c>
      <c r="R98" s="214" t="str">
        <f t="shared" si="17"/>
        <v/>
      </c>
      <c r="S98" s="214" t="str">
        <f t="shared" si="18"/>
        <v/>
      </c>
      <c r="T98" s="214" t="str">
        <f t="shared" si="19"/>
        <v/>
      </c>
      <c r="U98" s="214" t="str">
        <f t="shared" si="20"/>
        <v/>
      </c>
      <c r="V98" s="214" t="str">
        <f t="shared" si="21"/>
        <v/>
      </c>
      <c r="W98" s="214" t="str">
        <f t="shared" si="22"/>
        <v/>
      </c>
      <c r="X98" s="214" t="str">
        <f t="shared" si="23"/>
        <v/>
      </c>
      <c r="Y98" s="214" t="str">
        <f t="shared" si="24"/>
        <v/>
      </c>
      <c r="Z98" s="214" t="str">
        <f t="shared" si="25"/>
        <v/>
      </c>
      <c r="AA98" s="214" t="str">
        <f t="shared" si="26"/>
        <v/>
      </c>
      <c r="AB98" s="214" t="str">
        <f t="shared" si="27"/>
        <v/>
      </c>
      <c r="AC98" s="214" t="str">
        <f t="shared" si="28"/>
        <v/>
      </c>
    </row>
    <row r="99" spans="2:29" x14ac:dyDescent="0.35">
      <c r="B99" s="208" t="str">
        <f>IF('Portfolio Register'!$A63="","",'Portfolio Register'!$A63)</f>
        <v/>
      </c>
      <c r="C99" s="208" t="str">
        <f>IF($B99="","",'Portfolio Register'!$B63)</f>
        <v/>
      </c>
      <c r="D99" s="208" t="str">
        <f>IF($B99="","",'Portfolio Register'!$I63)</f>
        <v/>
      </c>
      <c r="E99" s="208" t="str">
        <f>IF($B99="","",'Portfolio Register'!$DG63)</f>
        <v/>
      </c>
      <c r="F99" s="224" t="str">
        <f t="shared" si="8"/>
        <v/>
      </c>
      <c r="G99" s="225" t="str">
        <f>IF($B99="","",'Portfolio Register'!$J63)</f>
        <v/>
      </c>
      <c r="H99" s="225" t="str">
        <f>IF($B99="","",'Portfolio Register'!$CO63)</f>
        <v/>
      </c>
      <c r="I99" s="225" t="str">
        <f>IF($B99="","",'Portfolio Register'!$CW63)</f>
        <v/>
      </c>
      <c r="J99" s="214" t="str">
        <f t="shared" si="9"/>
        <v/>
      </c>
      <c r="K99" s="214" t="str">
        <f t="shared" si="10"/>
        <v/>
      </c>
      <c r="L99" s="214" t="str">
        <f t="shared" si="11"/>
        <v/>
      </c>
      <c r="M99" s="214" t="str">
        <f t="shared" si="12"/>
        <v/>
      </c>
      <c r="N99" s="214" t="str">
        <f t="shared" si="13"/>
        <v/>
      </c>
      <c r="O99" s="214" t="str">
        <f t="shared" si="14"/>
        <v/>
      </c>
      <c r="P99" s="214" t="str">
        <f t="shared" si="15"/>
        <v/>
      </c>
      <c r="Q99" s="214" t="str">
        <f t="shared" si="16"/>
        <v/>
      </c>
      <c r="R99" s="214" t="str">
        <f t="shared" si="17"/>
        <v/>
      </c>
      <c r="S99" s="214" t="str">
        <f t="shared" si="18"/>
        <v/>
      </c>
      <c r="T99" s="214" t="str">
        <f t="shared" si="19"/>
        <v/>
      </c>
      <c r="U99" s="214" t="str">
        <f t="shared" si="20"/>
        <v/>
      </c>
      <c r="V99" s="214" t="str">
        <f t="shared" si="21"/>
        <v/>
      </c>
      <c r="W99" s="214" t="str">
        <f t="shared" si="22"/>
        <v/>
      </c>
      <c r="X99" s="214" t="str">
        <f t="shared" si="23"/>
        <v/>
      </c>
      <c r="Y99" s="214" t="str">
        <f t="shared" si="24"/>
        <v/>
      </c>
      <c r="Z99" s="214" t="str">
        <f t="shared" si="25"/>
        <v/>
      </c>
      <c r="AA99" s="214" t="str">
        <f t="shared" si="26"/>
        <v/>
      </c>
      <c r="AB99" s="214" t="str">
        <f t="shared" si="27"/>
        <v/>
      </c>
      <c r="AC99" s="214" t="str">
        <f t="shared" si="28"/>
        <v/>
      </c>
    </row>
    <row r="100" spans="2:29" x14ac:dyDescent="0.35">
      <c r="B100" s="208" t="str">
        <f>IF('Portfolio Register'!$A64="","",'Portfolio Register'!$A64)</f>
        <v/>
      </c>
      <c r="C100" s="208" t="str">
        <f>IF($B100="","",'Portfolio Register'!$B64)</f>
        <v/>
      </c>
      <c r="D100" s="208" t="str">
        <f>IF($B100="","",'Portfolio Register'!$I64)</f>
        <v/>
      </c>
      <c r="E100" s="208" t="str">
        <f>IF($B100="","",'Portfolio Register'!$DG64)</f>
        <v/>
      </c>
      <c r="F100" s="224" t="str">
        <f t="shared" si="8"/>
        <v/>
      </c>
      <c r="G100" s="225" t="str">
        <f>IF($B100="","",'Portfolio Register'!$J64)</f>
        <v/>
      </c>
      <c r="H100" s="225" t="str">
        <f>IF($B100="","",'Portfolio Register'!$CO64)</f>
        <v/>
      </c>
      <c r="I100" s="225" t="str">
        <f>IF($B100="","",'Portfolio Register'!$CW64)</f>
        <v/>
      </c>
      <c r="J100" s="214" t="str">
        <f t="shared" si="9"/>
        <v/>
      </c>
      <c r="K100" s="214" t="str">
        <f t="shared" si="10"/>
        <v/>
      </c>
      <c r="L100" s="214" t="str">
        <f t="shared" si="11"/>
        <v/>
      </c>
      <c r="M100" s="214" t="str">
        <f t="shared" si="12"/>
        <v/>
      </c>
      <c r="N100" s="214" t="str">
        <f t="shared" si="13"/>
        <v/>
      </c>
      <c r="O100" s="214" t="str">
        <f t="shared" si="14"/>
        <v/>
      </c>
      <c r="P100" s="214" t="str">
        <f t="shared" si="15"/>
        <v/>
      </c>
      <c r="Q100" s="214" t="str">
        <f t="shared" si="16"/>
        <v/>
      </c>
      <c r="R100" s="214" t="str">
        <f t="shared" si="17"/>
        <v/>
      </c>
      <c r="S100" s="214" t="str">
        <f t="shared" si="18"/>
        <v/>
      </c>
      <c r="T100" s="214" t="str">
        <f t="shared" si="19"/>
        <v/>
      </c>
      <c r="U100" s="214" t="str">
        <f t="shared" si="20"/>
        <v/>
      </c>
      <c r="V100" s="214" t="str">
        <f t="shared" si="21"/>
        <v/>
      </c>
      <c r="W100" s="214" t="str">
        <f t="shared" si="22"/>
        <v/>
      </c>
      <c r="X100" s="214" t="str">
        <f t="shared" si="23"/>
        <v/>
      </c>
      <c r="Y100" s="214" t="str">
        <f t="shared" si="24"/>
        <v/>
      </c>
      <c r="Z100" s="214" t="str">
        <f t="shared" si="25"/>
        <v/>
      </c>
      <c r="AA100" s="214" t="str">
        <f t="shared" si="26"/>
        <v/>
      </c>
      <c r="AB100" s="214" t="str">
        <f t="shared" si="27"/>
        <v/>
      </c>
      <c r="AC100" s="214" t="str">
        <f t="shared" si="28"/>
        <v/>
      </c>
    </row>
    <row r="101" spans="2:29" x14ac:dyDescent="0.35">
      <c r="B101" s="208" t="str">
        <f>IF('Portfolio Register'!$A65="","",'Portfolio Register'!$A65)</f>
        <v/>
      </c>
      <c r="C101" s="208" t="str">
        <f>IF($B101="","",'Portfolio Register'!$B65)</f>
        <v/>
      </c>
      <c r="D101" s="208" t="str">
        <f>IF($B101="","",'Portfolio Register'!$I65)</f>
        <v/>
      </c>
      <c r="E101" s="208" t="str">
        <f>IF($B101="","",'Portfolio Register'!$DG65)</f>
        <v/>
      </c>
      <c r="F101" s="224" t="str">
        <f t="shared" si="8"/>
        <v/>
      </c>
      <c r="G101" s="225" t="str">
        <f>IF($B101="","",'Portfolio Register'!$J65)</f>
        <v/>
      </c>
      <c r="H101" s="225" t="str">
        <f>IF($B101="","",'Portfolio Register'!$CO65)</f>
        <v/>
      </c>
      <c r="I101" s="225" t="str">
        <f>IF($B101="","",'Portfolio Register'!$CW65)</f>
        <v/>
      </c>
      <c r="J101" s="214" t="str">
        <f t="shared" si="9"/>
        <v/>
      </c>
      <c r="K101" s="214" t="str">
        <f t="shared" si="10"/>
        <v/>
      </c>
      <c r="L101" s="214" t="str">
        <f t="shared" si="11"/>
        <v/>
      </c>
      <c r="M101" s="214" t="str">
        <f t="shared" si="12"/>
        <v/>
      </c>
      <c r="N101" s="214" t="str">
        <f t="shared" si="13"/>
        <v/>
      </c>
      <c r="O101" s="214" t="str">
        <f t="shared" si="14"/>
        <v/>
      </c>
      <c r="P101" s="214" t="str">
        <f t="shared" si="15"/>
        <v/>
      </c>
      <c r="Q101" s="214" t="str">
        <f t="shared" si="16"/>
        <v/>
      </c>
      <c r="R101" s="214" t="str">
        <f t="shared" si="17"/>
        <v/>
      </c>
      <c r="S101" s="214" t="str">
        <f t="shared" si="18"/>
        <v/>
      </c>
      <c r="T101" s="214" t="str">
        <f t="shared" si="19"/>
        <v/>
      </c>
      <c r="U101" s="214" t="str">
        <f t="shared" si="20"/>
        <v/>
      </c>
      <c r="V101" s="214" t="str">
        <f t="shared" si="21"/>
        <v/>
      </c>
      <c r="W101" s="214" t="str">
        <f t="shared" si="22"/>
        <v/>
      </c>
      <c r="X101" s="214" t="str">
        <f t="shared" si="23"/>
        <v/>
      </c>
      <c r="Y101" s="214" t="str">
        <f t="shared" si="24"/>
        <v/>
      </c>
      <c r="Z101" s="214" t="str">
        <f t="shared" si="25"/>
        <v/>
      </c>
      <c r="AA101" s="214" t="str">
        <f t="shared" si="26"/>
        <v/>
      </c>
      <c r="AB101" s="214" t="str">
        <f t="shared" si="27"/>
        <v/>
      </c>
      <c r="AC101" s="214" t="str">
        <f t="shared" si="28"/>
        <v/>
      </c>
    </row>
    <row r="102" spans="2:29" x14ac:dyDescent="0.35">
      <c r="B102" s="208" t="str">
        <f>IF('Portfolio Register'!$A66="","",'Portfolio Register'!$A66)</f>
        <v/>
      </c>
      <c r="C102" s="208" t="str">
        <f>IF($B102="","",'Portfolio Register'!$B66)</f>
        <v/>
      </c>
      <c r="D102" s="208" t="str">
        <f>IF($B102="","",'Portfolio Register'!$I66)</f>
        <v/>
      </c>
      <c r="E102" s="208" t="str">
        <f>IF($B102="","",'Portfolio Register'!$DG66)</f>
        <v/>
      </c>
      <c r="F102" s="224" t="str">
        <f t="shared" si="8"/>
        <v/>
      </c>
      <c r="G102" s="225" t="str">
        <f>IF($B102="","",'Portfolio Register'!$J66)</f>
        <v/>
      </c>
      <c r="H102" s="225" t="str">
        <f>IF($B102="","",'Portfolio Register'!$CO66)</f>
        <v/>
      </c>
      <c r="I102" s="225" t="str">
        <f>IF($B102="","",'Portfolio Register'!$CW66)</f>
        <v/>
      </c>
      <c r="J102" s="214" t="str">
        <f t="shared" si="9"/>
        <v/>
      </c>
      <c r="K102" s="214" t="str">
        <f t="shared" si="10"/>
        <v/>
      </c>
      <c r="L102" s="214" t="str">
        <f t="shared" si="11"/>
        <v/>
      </c>
      <c r="M102" s="214" t="str">
        <f t="shared" si="12"/>
        <v/>
      </c>
      <c r="N102" s="214" t="str">
        <f t="shared" si="13"/>
        <v/>
      </c>
      <c r="O102" s="214" t="str">
        <f t="shared" si="14"/>
        <v/>
      </c>
      <c r="P102" s="214" t="str">
        <f t="shared" si="15"/>
        <v/>
      </c>
      <c r="Q102" s="214" t="str">
        <f t="shared" si="16"/>
        <v/>
      </c>
      <c r="R102" s="214" t="str">
        <f t="shared" si="17"/>
        <v/>
      </c>
      <c r="S102" s="214" t="str">
        <f t="shared" si="18"/>
        <v/>
      </c>
      <c r="T102" s="214" t="str">
        <f t="shared" si="19"/>
        <v/>
      </c>
      <c r="U102" s="214" t="str">
        <f t="shared" si="20"/>
        <v/>
      </c>
      <c r="V102" s="214" t="str">
        <f t="shared" si="21"/>
        <v/>
      </c>
      <c r="W102" s="214" t="str">
        <f t="shared" si="22"/>
        <v/>
      </c>
      <c r="X102" s="214" t="str">
        <f t="shared" si="23"/>
        <v/>
      </c>
      <c r="Y102" s="214" t="str">
        <f t="shared" si="24"/>
        <v/>
      </c>
      <c r="Z102" s="214" t="str">
        <f t="shared" si="25"/>
        <v/>
      </c>
      <c r="AA102" s="214" t="str">
        <f t="shared" si="26"/>
        <v/>
      </c>
      <c r="AB102" s="214" t="str">
        <f t="shared" si="27"/>
        <v/>
      </c>
      <c r="AC102" s="214" t="str">
        <f t="shared" si="28"/>
        <v/>
      </c>
    </row>
    <row r="103" spans="2:29" x14ac:dyDescent="0.35">
      <c r="B103" s="208" t="str">
        <f>IF('Portfolio Register'!$A67="","",'Portfolio Register'!$A67)</f>
        <v/>
      </c>
      <c r="C103" s="208" t="str">
        <f>IF($B103="","",'Portfolio Register'!$B67)</f>
        <v/>
      </c>
      <c r="D103" s="208" t="str">
        <f>IF($B103="","",'Portfolio Register'!$I67)</f>
        <v/>
      </c>
      <c r="E103" s="208" t="str">
        <f>IF($B103="","",'Portfolio Register'!$DG67)</f>
        <v/>
      </c>
      <c r="F103" s="224" t="str">
        <f t="shared" si="8"/>
        <v/>
      </c>
      <c r="G103" s="225" t="str">
        <f>IF($B103="","",'Portfolio Register'!$J67)</f>
        <v/>
      </c>
      <c r="H103" s="225" t="str">
        <f>IF($B103="","",'Portfolio Register'!$CO67)</f>
        <v/>
      </c>
      <c r="I103" s="225" t="str">
        <f>IF($B103="","",'Portfolio Register'!$CW67)</f>
        <v/>
      </c>
      <c r="J103" s="214" t="str">
        <f t="shared" si="9"/>
        <v/>
      </c>
      <c r="K103" s="214" t="str">
        <f t="shared" si="10"/>
        <v/>
      </c>
      <c r="L103" s="214" t="str">
        <f t="shared" si="11"/>
        <v/>
      </c>
      <c r="M103" s="214" t="str">
        <f t="shared" si="12"/>
        <v/>
      </c>
      <c r="N103" s="214" t="str">
        <f t="shared" si="13"/>
        <v/>
      </c>
      <c r="O103" s="214" t="str">
        <f t="shared" si="14"/>
        <v/>
      </c>
      <c r="P103" s="214" t="str">
        <f t="shared" si="15"/>
        <v/>
      </c>
      <c r="Q103" s="214" t="str">
        <f t="shared" si="16"/>
        <v/>
      </c>
      <c r="R103" s="214" t="str">
        <f t="shared" si="17"/>
        <v/>
      </c>
      <c r="S103" s="214" t="str">
        <f t="shared" si="18"/>
        <v/>
      </c>
      <c r="T103" s="214" t="str">
        <f t="shared" si="19"/>
        <v/>
      </c>
      <c r="U103" s="214" t="str">
        <f t="shared" si="20"/>
        <v/>
      </c>
      <c r="V103" s="214" t="str">
        <f t="shared" si="21"/>
        <v/>
      </c>
      <c r="W103" s="214" t="str">
        <f t="shared" si="22"/>
        <v/>
      </c>
      <c r="X103" s="214" t="str">
        <f t="shared" si="23"/>
        <v/>
      </c>
      <c r="Y103" s="214" t="str">
        <f t="shared" si="24"/>
        <v/>
      </c>
      <c r="Z103" s="214" t="str">
        <f t="shared" si="25"/>
        <v/>
      </c>
      <c r="AA103" s="214" t="str">
        <f t="shared" si="26"/>
        <v/>
      </c>
      <c r="AB103" s="214" t="str">
        <f t="shared" si="27"/>
        <v/>
      </c>
      <c r="AC103" s="214" t="str">
        <f t="shared" si="28"/>
        <v/>
      </c>
    </row>
    <row r="104" spans="2:29" x14ac:dyDescent="0.35">
      <c r="B104" s="208" t="str">
        <f>IF('Portfolio Register'!$A68="","",'Portfolio Register'!$A68)</f>
        <v/>
      </c>
      <c r="C104" s="208" t="str">
        <f>IF($B104="","",'Portfolio Register'!$B68)</f>
        <v/>
      </c>
      <c r="D104" s="208" t="str">
        <f>IF($B104="","",'Portfolio Register'!$I68)</f>
        <v/>
      </c>
      <c r="E104" s="208" t="str">
        <f>IF($B104="","",'Portfolio Register'!$DG68)</f>
        <v/>
      </c>
      <c r="F104" s="224" t="str">
        <f t="shared" si="8"/>
        <v/>
      </c>
      <c r="G104" s="225" t="str">
        <f>IF($B104="","",'Portfolio Register'!$J68)</f>
        <v/>
      </c>
      <c r="H104" s="225" t="str">
        <f>IF($B104="","",'Portfolio Register'!$CO68)</f>
        <v/>
      </c>
      <c r="I104" s="225" t="str">
        <f>IF($B104="","",'Portfolio Register'!$CW68)</f>
        <v/>
      </c>
      <c r="J104" s="214" t="str">
        <f t="shared" si="9"/>
        <v/>
      </c>
      <c r="K104" s="214" t="str">
        <f t="shared" si="10"/>
        <v/>
      </c>
      <c r="L104" s="214" t="str">
        <f t="shared" si="11"/>
        <v/>
      </c>
      <c r="M104" s="214" t="str">
        <f t="shared" si="12"/>
        <v/>
      </c>
      <c r="N104" s="214" t="str">
        <f t="shared" si="13"/>
        <v/>
      </c>
      <c r="O104" s="214" t="str">
        <f t="shared" si="14"/>
        <v/>
      </c>
      <c r="P104" s="214" t="str">
        <f t="shared" si="15"/>
        <v/>
      </c>
      <c r="Q104" s="214" t="str">
        <f t="shared" si="16"/>
        <v/>
      </c>
      <c r="R104" s="214" t="str">
        <f t="shared" si="17"/>
        <v/>
      </c>
      <c r="S104" s="214" t="str">
        <f t="shared" si="18"/>
        <v/>
      </c>
      <c r="T104" s="214" t="str">
        <f t="shared" si="19"/>
        <v/>
      </c>
      <c r="U104" s="214" t="str">
        <f t="shared" si="20"/>
        <v/>
      </c>
      <c r="V104" s="214" t="str">
        <f t="shared" si="21"/>
        <v/>
      </c>
      <c r="W104" s="214" t="str">
        <f t="shared" si="22"/>
        <v/>
      </c>
      <c r="X104" s="214" t="str">
        <f t="shared" si="23"/>
        <v/>
      </c>
      <c r="Y104" s="214" t="str">
        <f t="shared" si="24"/>
        <v/>
      </c>
      <c r="Z104" s="214" t="str">
        <f t="shared" si="25"/>
        <v/>
      </c>
      <c r="AA104" s="214" t="str">
        <f t="shared" si="26"/>
        <v/>
      </c>
      <c r="AB104" s="214" t="str">
        <f t="shared" si="27"/>
        <v/>
      </c>
      <c r="AC104" s="214" t="str">
        <f t="shared" si="28"/>
        <v/>
      </c>
    </row>
    <row r="105" spans="2:29" x14ac:dyDescent="0.35">
      <c r="B105" s="208" t="str">
        <f>IF('Portfolio Register'!$A69="","",'Portfolio Register'!$A69)</f>
        <v/>
      </c>
      <c r="C105" s="208" t="str">
        <f>IF($B105="","",'Portfolio Register'!$B69)</f>
        <v/>
      </c>
      <c r="D105" s="208" t="str">
        <f>IF($B105="","",'Portfolio Register'!$I69)</f>
        <v/>
      </c>
      <c r="E105" s="208" t="str">
        <f>IF($B105="","",'Portfolio Register'!$DG69)</f>
        <v/>
      </c>
      <c r="F105" s="224" t="str">
        <f t="shared" ref="F105:F168" si="29">IF($B105="","",IF(OR($D$5="Whole register",LEFT($E105,3)="YES"),"YES","NO"))</f>
        <v/>
      </c>
      <c r="G105" s="225" t="str">
        <f>IF($B105="","",'Portfolio Register'!$J69)</f>
        <v/>
      </c>
      <c r="H105" s="225" t="str">
        <f>IF($B105="","",'Portfolio Register'!$CO69)</f>
        <v/>
      </c>
      <c r="I105" s="225" t="str">
        <f>IF($B105="","",'Portfolio Register'!$CW69)</f>
        <v/>
      </c>
      <c r="J105" s="214" t="str">
        <f t="shared" ref="J105:J168" si="30">IF($B105="","",IF($F105="YES",$G105*$F$25,0))</f>
        <v/>
      </c>
      <c r="K105" s="214" t="str">
        <f t="shared" ref="K105:K168" si="31">IF($B105="","",IF($F105="YES",$G105*$F$26,0))</f>
        <v/>
      </c>
      <c r="L105" s="214" t="str">
        <f t="shared" ref="L105:L168" si="32">IF($B105="","",IF($F105="YES",$G105*$F$27,0))</f>
        <v/>
      </c>
      <c r="M105" s="214" t="str">
        <f t="shared" ref="M105:M168" si="33">IF($B105="","",IF($F105="YES",$G105*$F$28,0))</f>
        <v/>
      </c>
      <c r="N105" s="214" t="str">
        <f t="shared" ref="N105:N168" si="34">IF($B105="","",IF($F105="YES",$G105*$F$29,0))</f>
        <v/>
      </c>
      <c r="O105" s="214" t="str">
        <f t="shared" ref="O105:O168" si="35">IF($B105="","",IF($F105="YES",$G105*$F$30,0))</f>
        <v/>
      </c>
      <c r="P105" s="214" t="str">
        <f t="shared" ref="P105:P168" si="36">IF($B105="","",IF($F105="YES",$G105*$F$31,0))</f>
        <v/>
      </c>
      <c r="Q105" s="214" t="str">
        <f t="shared" ref="Q105:Q168" si="37">IF($B105="","",IF($F105="YES",$G105*$F$32,0))</f>
        <v/>
      </c>
      <c r="R105" s="214" t="str">
        <f t="shared" ref="R105:R168" si="38">IF($B105="","",IF($F105="YES",$G105*$F$33,0))</f>
        <v/>
      </c>
      <c r="S105" s="214" t="str">
        <f t="shared" ref="S105:S168" si="39">IF($B105="","",IF($F105="YES",$G105*$F$34,0))</f>
        <v/>
      </c>
      <c r="T105" s="214" t="str">
        <f t="shared" ref="T105:T168" si="40">IF($B105="","",IF($F105="YES",$H105*$F$25,0))</f>
        <v/>
      </c>
      <c r="U105" s="214" t="str">
        <f t="shared" ref="U105:U168" si="41">IF($B105="","",IF($F105="YES",$H105*$F$26,0))</f>
        <v/>
      </c>
      <c r="V105" s="214" t="str">
        <f t="shared" ref="V105:V168" si="42">IF($B105="","",IF($F105="YES",$H105*$F$27,0))</f>
        <v/>
      </c>
      <c r="W105" s="214" t="str">
        <f t="shared" ref="W105:W168" si="43">IF($B105="","",IF($F105="YES",$H105*$F$28,0))</f>
        <v/>
      </c>
      <c r="X105" s="214" t="str">
        <f t="shared" ref="X105:X168" si="44">IF($B105="","",IF($F105="YES",$H105*$F$29,0))</f>
        <v/>
      </c>
      <c r="Y105" s="214" t="str">
        <f t="shared" ref="Y105:Y168" si="45">IF($B105="","",IF($F105="YES",$H105*$F$30,0))</f>
        <v/>
      </c>
      <c r="Z105" s="214" t="str">
        <f t="shared" ref="Z105:Z168" si="46">IF($B105="","",IF($F105="YES",$H105*$F$31,0))</f>
        <v/>
      </c>
      <c r="AA105" s="214" t="str">
        <f t="shared" ref="AA105:AA168" si="47">IF($B105="","",IF($F105="YES",$H105*$F$32,0))</f>
        <v/>
      </c>
      <c r="AB105" s="214" t="str">
        <f t="shared" ref="AB105:AB168" si="48">IF($B105="","",IF($F105="YES",$H105*$F$33,0))</f>
        <v/>
      </c>
      <c r="AC105" s="214" t="str">
        <f t="shared" ref="AC105:AC168" si="49">IF($B105="","",IF($F105="YES",$H105*$F$34,0))</f>
        <v/>
      </c>
    </row>
    <row r="106" spans="2:29" x14ac:dyDescent="0.35">
      <c r="B106" s="208" t="str">
        <f>IF('Portfolio Register'!$A70="","",'Portfolio Register'!$A70)</f>
        <v/>
      </c>
      <c r="C106" s="208" t="str">
        <f>IF($B106="","",'Portfolio Register'!$B70)</f>
        <v/>
      </c>
      <c r="D106" s="208" t="str">
        <f>IF($B106="","",'Portfolio Register'!$I70)</f>
        <v/>
      </c>
      <c r="E106" s="208" t="str">
        <f>IF($B106="","",'Portfolio Register'!$DG70)</f>
        <v/>
      </c>
      <c r="F106" s="224" t="str">
        <f t="shared" si="29"/>
        <v/>
      </c>
      <c r="G106" s="225" t="str">
        <f>IF($B106="","",'Portfolio Register'!$J70)</f>
        <v/>
      </c>
      <c r="H106" s="225" t="str">
        <f>IF($B106="","",'Portfolio Register'!$CO70)</f>
        <v/>
      </c>
      <c r="I106" s="225" t="str">
        <f>IF($B106="","",'Portfolio Register'!$CW70)</f>
        <v/>
      </c>
      <c r="J106" s="214" t="str">
        <f t="shared" si="30"/>
        <v/>
      </c>
      <c r="K106" s="214" t="str">
        <f t="shared" si="31"/>
        <v/>
      </c>
      <c r="L106" s="214" t="str">
        <f t="shared" si="32"/>
        <v/>
      </c>
      <c r="M106" s="214" t="str">
        <f t="shared" si="33"/>
        <v/>
      </c>
      <c r="N106" s="214" t="str">
        <f t="shared" si="34"/>
        <v/>
      </c>
      <c r="O106" s="214" t="str">
        <f t="shared" si="35"/>
        <v/>
      </c>
      <c r="P106" s="214" t="str">
        <f t="shared" si="36"/>
        <v/>
      </c>
      <c r="Q106" s="214" t="str">
        <f t="shared" si="37"/>
        <v/>
      </c>
      <c r="R106" s="214" t="str">
        <f t="shared" si="38"/>
        <v/>
      </c>
      <c r="S106" s="214" t="str">
        <f t="shared" si="39"/>
        <v/>
      </c>
      <c r="T106" s="214" t="str">
        <f t="shared" si="40"/>
        <v/>
      </c>
      <c r="U106" s="214" t="str">
        <f t="shared" si="41"/>
        <v/>
      </c>
      <c r="V106" s="214" t="str">
        <f t="shared" si="42"/>
        <v/>
      </c>
      <c r="W106" s="214" t="str">
        <f t="shared" si="43"/>
        <v/>
      </c>
      <c r="X106" s="214" t="str">
        <f t="shared" si="44"/>
        <v/>
      </c>
      <c r="Y106" s="214" t="str">
        <f t="shared" si="45"/>
        <v/>
      </c>
      <c r="Z106" s="214" t="str">
        <f t="shared" si="46"/>
        <v/>
      </c>
      <c r="AA106" s="214" t="str">
        <f t="shared" si="47"/>
        <v/>
      </c>
      <c r="AB106" s="214" t="str">
        <f t="shared" si="48"/>
        <v/>
      </c>
      <c r="AC106" s="214" t="str">
        <f t="shared" si="49"/>
        <v/>
      </c>
    </row>
    <row r="107" spans="2:29" x14ac:dyDescent="0.35">
      <c r="B107" s="208" t="str">
        <f>IF('Portfolio Register'!$A71="","",'Portfolio Register'!$A71)</f>
        <v/>
      </c>
      <c r="C107" s="208" t="str">
        <f>IF($B107="","",'Portfolio Register'!$B71)</f>
        <v/>
      </c>
      <c r="D107" s="208" t="str">
        <f>IF($B107="","",'Portfolio Register'!$I71)</f>
        <v/>
      </c>
      <c r="E107" s="208" t="str">
        <f>IF($B107="","",'Portfolio Register'!$DG71)</f>
        <v/>
      </c>
      <c r="F107" s="224" t="str">
        <f t="shared" si="29"/>
        <v/>
      </c>
      <c r="G107" s="225" t="str">
        <f>IF($B107="","",'Portfolio Register'!$J71)</f>
        <v/>
      </c>
      <c r="H107" s="225" t="str">
        <f>IF($B107="","",'Portfolio Register'!$CO71)</f>
        <v/>
      </c>
      <c r="I107" s="225" t="str">
        <f>IF($B107="","",'Portfolio Register'!$CW71)</f>
        <v/>
      </c>
      <c r="J107" s="214" t="str">
        <f t="shared" si="30"/>
        <v/>
      </c>
      <c r="K107" s="214" t="str">
        <f t="shared" si="31"/>
        <v/>
      </c>
      <c r="L107" s="214" t="str">
        <f t="shared" si="32"/>
        <v/>
      </c>
      <c r="M107" s="214" t="str">
        <f t="shared" si="33"/>
        <v/>
      </c>
      <c r="N107" s="214" t="str">
        <f t="shared" si="34"/>
        <v/>
      </c>
      <c r="O107" s="214" t="str">
        <f t="shared" si="35"/>
        <v/>
      </c>
      <c r="P107" s="214" t="str">
        <f t="shared" si="36"/>
        <v/>
      </c>
      <c r="Q107" s="214" t="str">
        <f t="shared" si="37"/>
        <v/>
      </c>
      <c r="R107" s="214" t="str">
        <f t="shared" si="38"/>
        <v/>
      </c>
      <c r="S107" s="214" t="str">
        <f t="shared" si="39"/>
        <v/>
      </c>
      <c r="T107" s="214" t="str">
        <f t="shared" si="40"/>
        <v/>
      </c>
      <c r="U107" s="214" t="str">
        <f t="shared" si="41"/>
        <v/>
      </c>
      <c r="V107" s="214" t="str">
        <f t="shared" si="42"/>
        <v/>
      </c>
      <c r="W107" s="214" t="str">
        <f t="shared" si="43"/>
        <v/>
      </c>
      <c r="X107" s="214" t="str">
        <f t="shared" si="44"/>
        <v/>
      </c>
      <c r="Y107" s="214" t="str">
        <f t="shared" si="45"/>
        <v/>
      </c>
      <c r="Z107" s="214" t="str">
        <f t="shared" si="46"/>
        <v/>
      </c>
      <c r="AA107" s="214" t="str">
        <f t="shared" si="47"/>
        <v/>
      </c>
      <c r="AB107" s="214" t="str">
        <f t="shared" si="48"/>
        <v/>
      </c>
      <c r="AC107" s="214" t="str">
        <f t="shared" si="49"/>
        <v/>
      </c>
    </row>
    <row r="108" spans="2:29" x14ac:dyDescent="0.35">
      <c r="B108" s="208" t="str">
        <f>IF('Portfolio Register'!$A72="","",'Portfolio Register'!$A72)</f>
        <v/>
      </c>
      <c r="C108" s="208" t="str">
        <f>IF($B108="","",'Portfolio Register'!$B72)</f>
        <v/>
      </c>
      <c r="D108" s="208" t="str">
        <f>IF($B108="","",'Portfolio Register'!$I72)</f>
        <v/>
      </c>
      <c r="E108" s="208" t="str">
        <f>IF($B108="","",'Portfolio Register'!$DG72)</f>
        <v/>
      </c>
      <c r="F108" s="224" t="str">
        <f t="shared" si="29"/>
        <v/>
      </c>
      <c r="G108" s="225" t="str">
        <f>IF($B108="","",'Portfolio Register'!$J72)</f>
        <v/>
      </c>
      <c r="H108" s="225" t="str">
        <f>IF($B108="","",'Portfolio Register'!$CO72)</f>
        <v/>
      </c>
      <c r="I108" s="225" t="str">
        <f>IF($B108="","",'Portfolio Register'!$CW72)</f>
        <v/>
      </c>
      <c r="J108" s="214" t="str">
        <f t="shared" si="30"/>
        <v/>
      </c>
      <c r="K108" s="214" t="str">
        <f t="shared" si="31"/>
        <v/>
      </c>
      <c r="L108" s="214" t="str">
        <f t="shared" si="32"/>
        <v/>
      </c>
      <c r="M108" s="214" t="str">
        <f t="shared" si="33"/>
        <v/>
      </c>
      <c r="N108" s="214" t="str">
        <f t="shared" si="34"/>
        <v/>
      </c>
      <c r="O108" s="214" t="str">
        <f t="shared" si="35"/>
        <v/>
      </c>
      <c r="P108" s="214" t="str">
        <f t="shared" si="36"/>
        <v/>
      </c>
      <c r="Q108" s="214" t="str">
        <f t="shared" si="37"/>
        <v/>
      </c>
      <c r="R108" s="214" t="str">
        <f t="shared" si="38"/>
        <v/>
      </c>
      <c r="S108" s="214" t="str">
        <f t="shared" si="39"/>
        <v/>
      </c>
      <c r="T108" s="214" t="str">
        <f t="shared" si="40"/>
        <v/>
      </c>
      <c r="U108" s="214" t="str">
        <f t="shared" si="41"/>
        <v/>
      </c>
      <c r="V108" s="214" t="str">
        <f t="shared" si="42"/>
        <v/>
      </c>
      <c r="W108" s="214" t="str">
        <f t="shared" si="43"/>
        <v/>
      </c>
      <c r="X108" s="214" t="str">
        <f t="shared" si="44"/>
        <v/>
      </c>
      <c r="Y108" s="214" t="str">
        <f t="shared" si="45"/>
        <v/>
      </c>
      <c r="Z108" s="214" t="str">
        <f t="shared" si="46"/>
        <v/>
      </c>
      <c r="AA108" s="214" t="str">
        <f t="shared" si="47"/>
        <v/>
      </c>
      <c r="AB108" s="214" t="str">
        <f t="shared" si="48"/>
        <v/>
      </c>
      <c r="AC108" s="214" t="str">
        <f t="shared" si="49"/>
        <v/>
      </c>
    </row>
    <row r="109" spans="2:29" x14ac:dyDescent="0.35">
      <c r="B109" s="208" t="str">
        <f>IF('Portfolio Register'!$A73="","",'Portfolio Register'!$A73)</f>
        <v/>
      </c>
      <c r="C109" s="208" t="str">
        <f>IF($B109="","",'Portfolio Register'!$B73)</f>
        <v/>
      </c>
      <c r="D109" s="208" t="str">
        <f>IF($B109="","",'Portfolio Register'!$I73)</f>
        <v/>
      </c>
      <c r="E109" s="208" t="str">
        <f>IF($B109="","",'Portfolio Register'!$DG73)</f>
        <v/>
      </c>
      <c r="F109" s="224" t="str">
        <f t="shared" si="29"/>
        <v/>
      </c>
      <c r="G109" s="225" t="str">
        <f>IF($B109="","",'Portfolio Register'!$J73)</f>
        <v/>
      </c>
      <c r="H109" s="225" t="str">
        <f>IF($B109="","",'Portfolio Register'!$CO73)</f>
        <v/>
      </c>
      <c r="I109" s="225" t="str">
        <f>IF($B109="","",'Portfolio Register'!$CW73)</f>
        <v/>
      </c>
      <c r="J109" s="214" t="str">
        <f t="shared" si="30"/>
        <v/>
      </c>
      <c r="K109" s="214" t="str">
        <f t="shared" si="31"/>
        <v/>
      </c>
      <c r="L109" s="214" t="str">
        <f t="shared" si="32"/>
        <v/>
      </c>
      <c r="M109" s="214" t="str">
        <f t="shared" si="33"/>
        <v/>
      </c>
      <c r="N109" s="214" t="str">
        <f t="shared" si="34"/>
        <v/>
      </c>
      <c r="O109" s="214" t="str">
        <f t="shared" si="35"/>
        <v/>
      </c>
      <c r="P109" s="214" t="str">
        <f t="shared" si="36"/>
        <v/>
      </c>
      <c r="Q109" s="214" t="str">
        <f t="shared" si="37"/>
        <v/>
      </c>
      <c r="R109" s="214" t="str">
        <f t="shared" si="38"/>
        <v/>
      </c>
      <c r="S109" s="214" t="str">
        <f t="shared" si="39"/>
        <v/>
      </c>
      <c r="T109" s="214" t="str">
        <f t="shared" si="40"/>
        <v/>
      </c>
      <c r="U109" s="214" t="str">
        <f t="shared" si="41"/>
        <v/>
      </c>
      <c r="V109" s="214" t="str">
        <f t="shared" si="42"/>
        <v/>
      </c>
      <c r="W109" s="214" t="str">
        <f t="shared" si="43"/>
        <v/>
      </c>
      <c r="X109" s="214" t="str">
        <f t="shared" si="44"/>
        <v/>
      </c>
      <c r="Y109" s="214" t="str">
        <f t="shared" si="45"/>
        <v/>
      </c>
      <c r="Z109" s="214" t="str">
        <f t="shared" si="46"/>
        <v/>
      </c>
      <c r="AA109" s="214" t="str">
        <f t="shared" si="47"/>
        <v/>
      </c>
      <c r="AB109" s="214" t="str">
        <f t="shared" si="48"/>
        <v/>
      </c>
      <c r="AC109" s="214" t="str">
        <f t="shared" si="49"/>
        <v/>
      </c>
    </row>
    <row r="110" spans="2:29" x14ac:dyDescent="0.35">
      <c r="B110" s="208" t="str">
        <f>IF('Portfolio Register'!$A74="","",'Portfolio Register'!$A74)</f>
        <v/>
      </c>
      <c r="C110" s="208" t="str">
        <f>IF($B110="","",'Portfolio Register'!$B74)</f>
        <v/>
      </c>
      <c r="D110" s="208" t="str">
        <f>IF($B110="","",'Portfolio Register'!$I74)</f>
        <v/>
      </c>
      <c r="E110" s="208" t="str">
        <f>IF($B110="","",'Portfolio Register'!$DG74)</f>
        <v/>
      </c>
      <c r="F110" s="224" t="str">
        <f t="shared" si="29"/>
        <v/>
      </c>
      <c r="G110" s="225" t="str">
        <f>IF($B110="","",'Portfolio Register'!$J74)</f>
        <v/>
      </c>
      <c r="H110" s="225" t="str">
        <f>IF($B110="","",'Portfolio Register'!$CO74)</f>
        <v/>
      </c>
      <c r="I110" s="225" t="str">
        <f>IF($B110="","",'Portfolio Register'!$CW74)</f>
        <v/>
      </c>
      <c r="J110" s="214" t="str">
        <f t="shared" si="30"/>
        <v/>
      </c>
      <c r="K110" s="214" t="str">
        <f t="shared" si="31"/>
        <v/>
      </c>
      <c r="L110" s="214" t="str">
        <f t="shared" si="32"/>
        <v/>
      </c>
      <c r="M110" s="214" t="str">
        <f t="shared" si="33"/>
        <v/>
      </c>
      <c r="N110" s="214" t="str">
        <f t="shared" si="34"/>
        <v/>
      </c>
      <c r="O110" s="214" t="str">
        <f t="shared" si="35"/>
        <v/>
      </c>
      <c r="P110" s="214" t="str">
        <f t="shared" si="36"/>
        <v/>
      </c>
      <c r="Q110" s="214" t="str">
        <f t="shared" si="37"/>
        <v/>
      </c>
      <c r="R110" s="214" t="str">
        <f t="shared" si="38"/>
        <v/>
      </c>
      <c r="S110" s="214" t="str">
        <f t="shared" si="39"/>
        <v/>
      </c>
      <c r="T110" s="214" t="str">
        <f t="shared" si="40"/>
        <v/>
      </c>
      <c r="U110" s="214" t="str">
        <f t="shared" si="41"/>
        <v/>
      </c>
      <c r="V110" s="214" t="str">
        <f t="shared" si="42"/>
        <v/>
      </c>
      <c r="W110" s="214" t="str">
        <f t="shared" si="43"/>
        <v/>
      </c>
      <c r="X110" s="214" t="str">
        <f t="shared" si="44"/>
        <v/>
      </c>
      <c r="Y110" s="214" t="str">
        <f t="shared" si="45"/>
        <v/>
      </c>
      <c r="Z110" s="214" t="str">
        <f t="shared" si="46"/>
        <v/>
      </c>
      <c r="AA110" s="214" t="str">
        <f t="shared" si="47"/>
        <v/>
      </c>
      <c r="AB110" s="214" t="str">
        <f t="shared" si="48"/>
        <v/>
      </c>
      <c r="AC110" s="214" t="str">
        <f t="shared" si="49"/>
        <v/>
      </c>
    </row>
    <row r="111" spans="2:29" x14ac:dyDescent="0.35">
      <c r="B111" s="208" t="str">
        <f>IF('Portfolio Register'!$A75="","",'Portfolio Register'!$A75)</f>
        <v/>
      </c>
      <c r="C111" s="208" t="str">
        <f>IF($B111="","",'Portfolio Register'!$B75)</f>
        <v/>
      </c>
      <c r="D111" s="208" t="str">
        <f>IF($B111="","",'Portfolio Register'!$I75)</f>
        <v/>
      </c>
      <c r="E111" s="208" t="str">
        <f>IF($B111="","",'Portfolio Register'!$DG75)</f>
        <v/>
      </c>
      <c r="F111" s="224" t="str">
        <f t="shared" si="29"/>
        <v/>
      </c>
      <c r="G111" s="225" t="str">
        <f>IF($B111="","",'Portfolio Register'!$J75)</f>
        <v/>
      </c>
      <c r="H111" s="225" t="str">
        <f>IF($B111="","",'Portfolio Register'!$CO75)</f>
        <v/>
      </c>
      <c r="I111" s="225" t="str">
        <f>IF($B111="","",'Portfolio Register'!$CW75)</f>
        <v/>
      </c>
      <c r="J111" s="214" t="str">
        <f t="shared" si="30"/>
        <v/>
      </c>
      <c r="K111" s="214" t="str">
        <f t="shared" si="31"/>
        <v/>
      </c>
      <c r="L111" s="214" t="str">
        <f t="shared" si="32"/>
        <v/>
      </c>
      <c r="M111" s="214" t="str">
        <f t="shared" si="33"/>
        <v/>
      </c>
      <c r="N111" s="214" t="str">
        <f t="shared" si="34"/>
        <v/>
      </c>
      <c r="O111" s="214" t="str">
        <f t="shared" si="35"/>
        <v/>
      </c>
      <c r="P111" s="214" t="str">
        <f t="shared" si="36"/>
        <v/>
      </c>
      <c r="Q111" s="214" t="str">
        <f t="shared" si="37"/>
        <v/>
      </c>
      <c r="R111" s="214" t="str">
        <f t="shared" si="38"/>
        <v/>
      </c>
      <c r="S111" s="214" t="str">
        <f t="shared" si="39"/>
        <v/>
      </c>
      <c r="T111" s="214" t="str">
        <f t="shared" si="40"/>
        <v/>
      </c>
      <c r="U111" s="214" t="str">
        <f t="shared" si="41"/>
        <v/>
      </c>
      <c r="V111" s="214" t="str">
        <f t="shared" si="42"/>
        <v/>
      </c>
      <c r="W111" s="214" t="str">
        <f t="shared" si="43"/>
        <v/>
      </c>
      <c r="X111" s="214" t="str">
        <f t="shared" si="44"/>
        <v/>
      </c>
      <c r="Y111" s="214" t="str">
        <f t="shared" si="45"/>
        <v/>
      </c>
      <c r="Z111" s="214" t="str">
        <f t="shared" si="46"/>
        <v/>
      </c>
      <c r="AA111" s="214" t="str">
        <f t="shared" si="47"/>
        <v/>
      </c>
      <c r="AB111" s="214" t="str">
        <f t="shared" si="48"/>
        <v/>
      </c>
      <c r="AC111" s="214" t="str">
        <f t="shared" si="49"/>
        <v/>
      </c>
    </row>
    <row r="112" spans="2:29" x14ac:dyDescent="0.35">
      <c r="B112" s="208" t="str">
        <f>IF('Portfolio Register'!$A76="","",'Portfolio Register'!$A76)</f>
        <v/>
      </c>
      <c r="C112" s="208" t="str">
        <f>IF($B112="","",'Portfolio Register'!$B76)</f>
        <v/>
      </c>
      <c r="D112" s="208" t="str">
        <f>IF($B112="","",'Portfolio Register'!$I76)</f>
        <v/>
      </c>
      <c r="E112" s="208" t="str">
        <f>IF($B112="","",'Portfolio Register'!$DG76)</f>
        <v/>
      </c>
      <c r="F112" s="224" t="str">
        <f t="shared" si="29"/>
        <v/>
      </c>
      <c r="G112" s="225" t="str">
        <f>IF($B112="","",'Portfolio Register'!$J76)</f>
        <v/>
      </c>
      <c r="H112" s="225" t="str">
        <f>IF($B112="","",'Portfolio Register'!$CO76)</f>
        <v/>
      </c>
      <c r="I112" s="225" t="str">
        <f>IF($B112="","",'Portfolio Register'!$CW76)</f>
        <v/>
      </c>
      <c r="J112" s="214" t="str">
        <f t="shared" si="30"/>
        <v/>
      </c>
      <c r="K112" s="214" t="str">
        <f t="shared" si="31"/>
        <v/>
      </c>
      <c r="L112" s="214" t="str">
        <f t="shared" si="32"/>
        <v/>
      </c>
      <c r="M112" s="214" t="str">
        <f t="shared" si="33"/>
        <v/>
      </c>
      <c r="N112" s="214" t="str">
        <f t="shared" si="34"/>
        <v/>
      </c>
      <c r="O112" s="214" t="str">
        <f t="shared" si="35"/>
        <v/>
      </c>
      <c r="P112" s="214" t="str">
        <f t="shared" si="36"/>
        <v/>
      </c>
      <c r="Q112" s="214" t="str">
        <f t="shared" si="37"/>
        <v/>
      </c>
      <c r="R112" s="214" t="str">
        <f t="shared" si="38"/>
        <v/>
      </c>
      <c r="S112" s="214" t="str">
        <f t="shared" si="39"/>
        <v/>
      </c>
      <c r="T112" s="214" t="str">
        <f t="shared" si="40"/>
        <v/>
      </c>
      <c r="U112" s="214" t="str">
        <f t="shared" si="41"/>
        <v/>
      </c>
      <c r="V112" s="214" t="str">
        <f t="shared" si="42"/>
        <v/>
      </c>
      <c r="W112" s="214" t="str">
        <f t="shared" si="43"/>
        <v/>
      </c>
      <c r="X112" s="214" t="str">
        <f t="shared" si="44"/>
        <v/>
      </c>
      <c r="Y112" s="214" t="str">
        <f t="shared" si="45"/>
        <v/>
      </c>
      <c r="Z112" s="214" t="str">
        <f t="shared" si="46"/>
        <v/>
      </c>
      <c r="AA112" s="214" t="str">
        <f t="shared" si="47"/>
        <v/>
      </c>
      <c r="AB112" s="214" t="str">
        <f t="shared" si="48"/>
        <v/>
      </c>
      <c r="AC112" s="214" t="str">
        <f t="shared" si="49"/>
        <v/>
      </c>
    </row>
    <row r="113" spans="2:29" x14ac:dyDescent="0.35">
      <c r="B113" s="208" t="str">
        <f>IF('Portfolio Register'!$A77="","",'Portfolio Register'!$A77)</f>
        <v/>
      </c>
      <c r="C113" s="208" t="str">
        <f>IF($B113="","",'Portfolio Register'!$B77)</f>
        <v/>
      </c>
      <c r="D113" s="208" t="str">
        <f>IF($B113="","",'Portfolio Register'!$I77)</f>
        <v/>
      </c>
      <c r="E113" s="208" t="str">
        <f>IF($B113="","",'Portfolio Register'!$DG77)</f>
        <v/>
      </c>
      <c r="F113" s="224" t="str">
        <f t="shared" si="29"/>
        <v/>
      </c>
      <c r="G113" s="225" t="str">
        <f>IF($B113="","",'Portfolio Register'!$J77)</f>
        <v/>
      </c>
      <c r="H113" s="225" t="str">
        <f>IF($B113="","",'Portfolio Register'!$CO77)</f>
        <v/>
      </c>
      <c r="I113" s="225" t="str">
        <f>IF($B113="","",'Portfolio Register'!$CW77)</f>
        <v/>
      </c>
      <c r="J113" s="214" t="str">
        <f t="shared" si="30"/>
        <v/>
      </c>
      <c r="K113" s="214" t="str">
        <f t="shared" si="31"/>
        <v/>
      </c>
      <c r="L113" s="214" t="str">
        <f t="shared" si="32"/>
        <v/>
      </c>
      <c r="M113" s="214" t="str">
        <f t="shared" si="33"/>
        <v/>
      </c>
      <c r="N113" s="214" t="str">
        <f t="shared" si="34"/>
        <v/>
      </c>
      <c r="O113" s="214" t="str">
        <f t="shared" si="35"/>
        <v/>
      </c>
      <c r="P113" s="214" t="str">
        <f t="shared" si="36"/>
        <v/>
      </c>
      <c r="Q113" s="214" t="str">
        <f t="shared" si="37"/>
        <v/>
      </c>
      <c r="R113" s="214" t="str">
        <f t="shared" si="38"/>
        <v/>
      </c>
      <c r="S113" s="214" t="str">
        <f t="shared" si="39"/>
        <v/>
      </c>
      <c r="T113" s="214" t="str">
        <f t="shared" si="40"/>
        <v/>
      </c>
      <c r="U113" s="214" t="str">
        <f t="shared" si="41"/>
        <v/>
      </c>
      <c r="V113" s="214" t="str">
        <f t="shared" si="42"/>
        <v/>
      </c>
      <c r="W113" s="214" t="str">
        <f t="shared" si="43"/>
        <v/>
      </c>
      <c r="X113" s="214" t="str">
        <f t="shared" si="44"/>
        <v/>
      </c>
      <c r="Y113" s="214" t="str">
        <f t="shared" si="45"/>
        <v/>
      </c>
      <c r="Z113" s="214" t="str">
        <f t="shared" si="46"/>
        <v/>
      </c>
      <c r="AA113" s="214" t="str">
        <f t="shared" si="47"/>
        <v/>
      </c>
      <c r="AB113" s="214" t="str">
        <f t="shared" si="48"/>
        <v/>
      </c>
      <c r="AC113" s="214" t="str">
        <f t="shared" si="49"/>
        <v/>
      </c>
    </row>
    <row r="114" spans="2:29" x14ac:dyDescent="0.35">
      <c r="B114" s="208" t="str">
        <f>IF('Portfolio Register'!$A78="","",'Portfolio Register'!$A78)</f>
        <v/>
      </c>
      <c r="C114" s="208" t="str">
        <f>IF($B114="","",'Portfolio Register'!$B78)</f>
        <v/>
      </c>
      <c r="D114" s="208" t="str">
        <f>IF($B114="","",'Portfolio Register'!$I78)</f>
        <v/>
      </c>
      <c r="E114" s="208" t="str">
        <f>IF($B114="","",'Portfolio Register'!$DG78)</f>
        <v/>
      </c>
      <c r="F114" s="224" t="str">
        <f t="shared" si="29"/>
        <v/>
      </c>
      <c r="G114" s="225" t="str">
        <f>IF($B114="","",'Portfolio Register'!$J78)</f>
        <v/>
      </c>
      <c r="H114" s="225" t="str">
        <f>IF($B114="","",'Portfolio Register'!$CO78)</f>
        <v/>
      </c>
      <c r="I114" s="225" t="str">
        <f>IF($B114="","",'Portfolio Register'!$CW78)</f>
        <v/>
      </c>
      <c r="J114" s="214" t="str">
        <f t="shared" si="30"/>
        <v/>
      </c>
      <c r="K114" s="214" t="str">
        <f t="shared" si="31"/>
        <v/>
      </c>
      <c r="L114" s="214" t="str">
        <f t="shared" si="32"/>
        <v/>
      </c>
      <c r="M114" s="214" t="str">
        <f t="shared" si="33"/>
        <v/>
      </c>
      <c r="N114" s="214" t="str">
        <f t="shared" si="34"/>
        <v/>
      </c>
      <c r="O114" s="214" t="str">
        <f t="shared" si="35"/>
        <v/>
      </c>
      <c r="P114" s="214" t="str">
        <f t="shared" si="36"/>
        <v/>
      </c>
      <c r="Q114" s="214" t="str">
        <f t="shared" si="37"/>
        <v/>
      </c>
      <c r="R114" s="214" t="str">
        <f t="shared" si="38"/>
        <v/>
      </c>
      <c r="S114" s="214" t="str">
        <f t="shared" si="39"/>
        <v/>
      </c>
      <c r="T114" s="214" t="str">
        <f t="shared" si="40"/>
        <v/>
      </c>
      <c r="U114" s="214" t="str">
        <f t="shared" si="41"/>
        <v/>
      </c>
      <c r="V114" s="214" t="str">
        <f t="shared" si="42"/>
        <v/>
      </c>
      <c r="W114" s="214" t="str">
        <f t="shared" si="43"/>
        <v/>
      </c>
      <c r="X114" s="214" t="str">
        <f t="shared" si="44"/>
        <v/>
      </c>
      <c r="Y114" s="214" t="str">
        <f t="shared" si="45"/>
        <v/>
      </c>
      <c r="Z114" s="214" t="str">
        <f t="shared" si="46"/>
        <v/>
      </c>
      <c r="AA114" s="214" t="str">
        <f t="shared" si="47"/>
        <v/>
      </c>
      <c r="AB114" s="214" t="str">
        <f t="shared" si="48"/>
        <v/>
      </c>
      <c r="AC114" s="214" t="str">
        <f t="shared" si="49"/>
        <v/>
      </c>
    </row>
    <row r="115" spans="2:29" x14ac:dyDescent="0.35">
      <c r="B115" s="208" t="str">
        <f>IF('Portfolio Register'!$A79="","",'Portfolio Register'!$A79)</f>
        <v/>
      </c>
      <c r="C115" s="208" t="str">
        <f>IF($B115="","",'Portfolio Register'!$B79)</f>
        <v/>
      </c>
      <c r="D115" s="208" t="str">
        <f>IF($B115="","",'Portfolio Register'!$I79)</f>
        <v/>
      </c>
      <c r="E115" s="208" t="str">
        <f>IF($B115="","",'Portfolio Register'!$DG79)</f>
        <v/>
      </c>
      <c r="F115" s="224" t="str">
        <f t="shared" si="29"/>
        <v/>
      </c>
      <c r="G115" s="225" t="str">
        <f>IF($B115="","",'Portfolio Register'!$J79)</f>
        <v/>
      </c>
      <c r="H115" s="225" t="str">
        <f>IF($B115="","",'Portfolio Register'!$CO79)</f>
        <v/>
      </c>
      <c r="I115" s="225" t="str">
        <f>IF($B115="","",'Portfolio Register'!$CW79)</f>
        <v/>
      </c>
      <c r="J115" s="214" t="str">
        <f t="shared" si="30"/>
        <v/>
      </c>
      <c r="K115" s="214" t="str">
        <f t="shared" si="31"/>
        <v/>
      </c>
      <c r="L115" s="214" t="str">
        <f t="shared" si="32"/>
        <v/>
      </c>
      <c r="M115" s="214" t="str">
        <f t="shared" si="33"/>
        <v/>
      </c>
      <c r="N115" s="214" t="str">
        <f t="shared" si="34"/>
        <v/>
      </c>
      <c r="O115" s="214" t="str">
        <f t="shared" si="35"/>
        <v/>
      </c>
      <c r="P115" s="214" t="str">
        <f t="shared" si="36"/>
        <v/>
      </c>
      <c r="Q115" s="214" t="str">
        <f t="shared" si="37"/>
        <v/>
      </c>
      <c r="R115" s="214" t="str">
        <f t="shared" si="38"/>
        <v/>
      </c>
      <c r="S115" s="214" t="str">
        <f t="shared" si="39"/>
        <v/>
      </c>
      <c r="T115" s="214" t="str">
        <f t="shared" si="40"/>
        <v/>
      </c>
      <c r="U115" s="214" t="str">
        <f t="shared" si="41"/>
        <v/>
      </c>
      <c r="V115" s="214" t="str">
        <f t="shared" si="42"/>
        <v/>
      </c>
      <c r="W115" s="214" t="str">
        <f t="shared" si="43"/>
        <v/>
      </c>
      <c r="X115" s="214" t="str">
        <f t="shared" si="44"/>
        <v/>
      </c>
      <c r="Y115" s="214" t="str">
        <f t="shared" si="45"/>
        <v/>
      </c>
      <c r="Z115" s="214" t="str">
        <f t="shared" si="46"/>
        <v/>
      </c>
      <c r="AA115" s="214" t="str">
        <f t="shared" si="47"/>
        <v/>
      </c>
      <c r="AB115" s="214" t="str">
        <f t="shared" si="48"/>
        <v/>
      </c>
      <c r="AC115" s="214" t="str">
        <f t="shared" si="49"/>
        <v/>
      </c>
    </row>
    <row r="116" spans="2:29" x14ac:dyDescent="0.35">
      <c r="B116" s="208" t="str">
        <f>IF('Portfolio Register'!$A80="","",'Portfolio Register'!$A80)</f>
        <v/>
      </c>
      <c r="C116" s="208" t="str">
        <f>IF($B116="","",'Portfolio Register'!$B80)</f>
        <v/>
      </c>
      <c r="D116" s="208" t="str">
        <f>IF($B116="","",'Portfolio Register'!$I80)</f>
        <v/>
      </c>
      <c r="E116" s="208" t="str">
        <f>IF($B116="","",'Portfolio Register'!$DG80)</f>
        <v/>
      </c>
      <c r="F116" s="224" t="str">
        <f t="shared" si="29"/>
        <v/>
      </c>
      <c r="G116" s="225" t="str">
        <f>IF($B116="","",'Portfolio Register'!$J80)</f>
        <v/>
      </c>
      <c r="H116" s="225" t="str">
        <f>IF($B116="","",'Portfolio Register'!$CO80)</f>
        <v/>
      </c>
      <c r="I116" s="225" t="str">
        <f>IF($B116="","",'Portfolio Register'!$CW80)</f>
        <v/>
      </c>
      <c r="J116" s="214" t="str">
        <f t="shared" si="30"/>
        <v/>
      </c>
      <c r="K116" s="214" t="str">
        <f t="shared" si="31"/>
        <v/>
      </c>
      <c r="L116" s="214" t="str">
        <f t="shared" si="32"/>
        <v/>
      </c>
      <c r="M116" s="214" t="str">
        <f t="shared" si="33"/>
        <v/>
      </c>
      <c r="N116" s="214" t="str">
        <f t="shared" si="34"/>
        <v/>
      </c>
      <c r="O116" s="214" t="str">
        <f t="shared" si="35"/>
        <v/>
      </c>
      <c r="P116" s="214" t="str">
        <f t="shared" si="36"/>
        <v/>
      </c>
      <c r="Q116" s="214" t="str">
        <f t="shared" si="37"/>
        <v/>
      </c>
      <c r="R116" s="214" t="str">
        <f t="shared" si="38"/>
        <v/>
      </c>
      <c r="S116" s="214" t="str">
        <f t="shared" si="39"/>
        <v/>
      </c>
      <c r="T116" s="214" t="str">
        <f t="shared" si="40"/>
        <v/>
      </c>
      <c r="U116" s="214" t="str">
        <f t="shared" si="41"/>
        <v/>
      </c>
      <c r="V116" s="214" t="str">
        <f t="shared" si="42"/>
        <v/>
      </c>
      <c r="W116" s="214" t="str">
        <f t="shared" si="43"/>
        <v/>
      </c>
      <c r="X116" s="214" t="str">
        <f t="shared" si="44"/>
        <v/>
      </c>
      <c r="Y116" s="214" t="str">
        <f t="shared" si="45"/>
        <v/>
      </c>
      <c r="Z116" s="214" t="str">
        <f t="shared" si="46"/>
        <v/>
      </c>
      <c r="AA116" s="214" t="str">
        <f t="shared" si="47"/>
        <v/>
      </c>
      <c r="AB116" s="214" t="str">
        <f t="shared" si="48"/>
        <v/>
      </c>
      <c r="AC116" s="214" t="str">
        <f t="shared" si="49"/>
        <v/>
      </c>
    </row>
    <row r="117" spans="2:29" x14ac:dyDescent="0.35">
      <c r="B117" s="208" t="str">
        <f>IF('Portfolio Register'!$A81="","",'Portfolio Register'!$A81)</f>
        <v/>
      </c>
      <c r="C117" s="208" t="str">
        <f>IF($B117="","",'Portfolio Register'!$B81)</f>
        <v/>
      </c>
      <c r="D117" s="208" t="str">
        <f>IF($B117="","",'Portfolio Register'!$I81)</f>
        <v/>
      </c>
      <c r="E117" s="208" t="str">
        <f>IF($B117="","",'Portfolio Register'!$DG81)</f>
        <v/>
      </c>
      <c r="F117" s="224" t="str">
        <f t="shared" si="29"/>
        <v/>
      </c>
      <c r="G117" s="225" t="str">
        <f>IF($B117="","",'Portfolio Register'!$J81)</f>
        <v/>
      </c>
      <c r="H117" s="225" t="str">
        <f>IF($B117="","",'Portfolio Register'!$CO81)</f>
        <v/>
      </c>
      <c r="I117" s="225" t="str">
        <f>IF($B117="","",'Portfolio Register'!$CW81)</f>
        <v/>
      </c>
      <c r="J117" s="214" t="str">
        <f t="shared" si="30"/>
        <v/>
      </c>
      <c r="K117" s="214" t="str">
        <f t="shared" si="31"/>
        <v/>
      </c>
      <c r="L117" s="214" t="str">
        <f t="shared" si="32"/>
        <v/>
      </c>
      <c r="M117" s="214" t="str">
        <f t="shared" si="33"/>
        <v/>
      </c>
      <c r="N117" s="214" t="str">
        <f t="shared" si="34"/>
        <v/>
      </c>
      <c r="O117" s="214" t="str">
        <f t="shared" si="35"/>
        <v/>
      </c>
      <c r="P117" s="214" t="str">
        <f t="shared" si="36"/>
        <v/>
      </c>
      <c r="Q117" s="214" t="str">
        <f t="shared" si="37"/>
        <v/>
      </c>
      <c r="R117" s="214" t="str">
        <f t="shared" si="38"/>
        <v/>
      </c>
      <c r="S117" s="214" t="str">
        <f t="shared" si="39"/>
        <v/>
      </c>
      <c r="T117" s="214" t="str">
        <f t="shared" si="40"/>
        <v/>
      </c>
      <c r="U117" s="214" t="str">
        <f t="shared" si="41"/>
        <v/>
      </c>
      <c r="V117" s="214" t="str">
        <f t="shared" si="42"/>
        <v/>
      </c>
      <c r="W117" s="214" t="str">
        <f t="shared" si="43"/>
        <v/>
      </c>
      <c r="X117" s="214" t="str">
        <f t="shared" si="44"/>
        <v/>
      </c>
      <c r="Y117" s="214" t="str">
        <f t="shared" si="45"/>
        <v/>
      </c>
      <c r="Z117" s="214" t="str">
        <f t="shared" si="46"/>
        <v/>
      </c>
      <c r="AA117" s="214" t="str">
        <f t="shared" si="47"/>
        <v/>
      </c>
      <c r="AB117" s="214" t="str">
        <f t="shared" si="48"/>
        <v/>
      </c>
      <c r="AC117" s="214" t="str">
        <f t="shared" si="49"/>
        <v/>
      </c>
    </row>
    <row r="118" spans="2:29" x14ac:dyDescent="0.35">
      <c r="B118" s="208" t="str">
        <f>IF('Portfolio Register'!$A82="","",'Portfolio Register'!$A82)</f>
        <v/>
      </c>
      <c r="C118" s="208" t="str">
        <f>IF($B118="","",'Portfolio Register'!$B82)</f>
        <v/>
      </c>
      <c r="D118" s="208" t="str">
        <f>IF($B118="","",'Portfolio Register'!$I82)</f>
        <v/>
      </c>
      <c r="E118" s="208" t="str">
        <f>IF($B118="","",'Portfolio Register'!$DG82)</f>
        <v/>
      </c>
      <c r="F118" s="224" t="str">
        <f t="shared" si="29"/>
        <v/>
      </c>
      <c r="G118" s="225" t="str">
        <f>IF($B118="","",'Portfolio Register'!$J82)</f>
        <v/>
      </c>
      <c r="H118" s="225" t="str">
        <f>IF($B118="","",'Portfolio Register'!$CO82)</f>
        <v/>
      </c>
      <c r="I118" s="225" t="str">
        <f>IF($B118="","",'Portfolio Register'!$CW82)</f>
        <v/>
      </c>
      <c r="J118" s="214" t="str">
        <f t="shared" si="30"/>
        <v/>
      </c>
      <c r="K118" s="214" t="str">
        <f t="shared" si="31"/>
        <v/>
      </c>
      <c r="L118" s="214" t="str">
        <f t="shared" si="32"/>
        <v/>
      </c>
      <c r="M118" s="214" t="str">
        <f t="shared" si="33"/>
        <v/>
      </c>
      <c r="N118" s="214" t="str">
        <f t="shared" si="34"/>
        <v/>
      </c>
      <c r="O118" s="214" t="str">
        <f t="shared" si="35"/>
        <v/>
      </c>
      <c r="P118" s="214" t="str">
        <f t="shared" si="36"/>
        <v/>
      </c>
      <c r="Q118" s="214" t="str">
        <f t="shared" si="37"/>
        <v/>
      </c>
      <c r="R118" s="214" t="str">
        <f t="shared" si="38"/>
        <v/>
      </c>
      <c r="S118" s="214" t="str">
        <f t="shared" si="39"/>
        <v/>
      </c>
      <c r="T118" s="214" t="str">
        <f t="shared" si="40"/>
        <v/>
      </c>
      <c r="U118" s="214" t="str">
        <f t="shared" si="41"/>
        <v/>
      </c>
      <c r="V118" s="214" t="str">
        <f t="shared" si="42"/>
        <v/>
      </c>
      <c r="W118" s="214" t="str">
        <f t="shared" si="43"/>
        <v/>
      </c>
      <c r="X118" s="214" t="str">
        <f t="shared" si="44"/>
        <v/>
      </c>
      <c r="Y118" s="214" t="str">
        <f t="shared" si="45"/>
        <v/>
      </c>
      <c r="Z118" s="214" t="str">
        <f t="shared" si="46"/>
        <v/>
      </c>
      <c r="AA118" s="214" t="str">
        <f t="shared" si="47"/>
        <v/>
      </c>
      <c r="AB118" s="214" t="str">
        <f t="shared" si="48"/>
        <v/>
      </c>
      <c r="AC118" s="214" t="str">
        <f t="shared" si="49"/>
        <v/>
      </c>
    </row>
    <row r="119" spans="2:29" x14ac:dyDescent="0.35">
      <c r="B119" s="208" t="str">
        <f>IF('Portfolio Register'!$A83="","",'Portfolio Register'!$A83)</f>
        <v/>
      </c>
      <c r="C119" s="208" t="str">
        <f>IF($B119="","",'Portfolio Register'!$B83)</f>
        <v/>
      </c>
      <c r="D119" s="208" t="str">
        <f>IF($B119="","",'Portfolio Register'!$I83)</f>
        <v/>
      </c>
      <c r="E119" s="208" t="str">
        <f>IF($B119="","",'Portfolio Register'!$DG83)</f>
        <v/>
      </c>
      <c r="F119" s="224" t="str">
        <f t="shared" si="29"/>
        <v/>
      </c>
      <c r="G119" s="225" t="str">
        <f>IF($B119="","",'Portfolio Register'!$J83)</f>
        <v/>
      </c>
      <c r="H119" s="225" t="str">
        <f>IF($B119="","",'Portfolio Register'!$CO83)</f>
        <v/>
      </c>
      <c r="I119" s="225" t="str">
        <f>IF($B119="","",'Portfolio Register'!$CW83)</f>
        <v/>
      </c>
      <c r="J119" s="214" t="str">
        <f t="shared" si="30"/>
        <v/>
      </c>
      <c r="K119" s="214" t="str">
        <f t="shared" si="31"/>
        <v/>
      </c>
      <c r="L119" s="214" t="str">
        <f t="shared" si="32"/>
        <v/>
      </c>
      <c r="M119" s="214" t="str">
        <f t="shared" si="33"/>
        <v/>
      </c>
      <c r="N119" s="214" t="str">
        <f t="shared" si="34"/>
        <v/>
      </c>
      <c r="O119" s="214" t="str">
        <f t="shared" si="35"/>
        <v/>
      </c>
      <c r="P119" s="214" t="str">
        <f t="shared" si="36"/>
        <v/>
      </c>
      <c r="Q119" s="214" t="str">
        <f t="shared" si="37"/>
        <v/>
      </c>
      <c r="R119" s="214" t="str">
        <f t="shared" si="38"/>
        <v/>
      </c>
      <c r="S119" s="214" t="str">
        <f t="shared" si="39"/>
        <v/>
      </c>
      <c r="T119" s="214" t="str">
        <f t="shared" si="40"/>
        <v/>
      </c>
      <c r="U119" s="214" t="str">
        <f t="shared" si="41"/>
        <v/>
      </c>
      <c r="V119" s="214" t="str">
        <f t="shared" si="42"/>
        <v/>
      </c>
      <c r="W119" s="214" t="str">
        <f t="shared" si="43"/>
        <v/>
      </c>
      <c r="X119" s="214" t="str">
        <f t="shared" si="44"/>
        <v/>
      </c>
      <c r="Y119" s="214" t="str">
        <f t="shared" si="45"/>
        <v/>
      </c>
      <c r="Z119" s="214" t="str">
        <f t="shared" si="46"/>
        <v/>
      </c>
      <c r="AA119" s="214" t="str">
        <f t="shared" si="47"/>
        <v/>
      </c>
      <c r="AB119" s="214" t="str">
        <f t="shared" si="48"/>
        <v/>
      </c>
      <c r="AC119" s="214" t="str">
        <f t="shared" si="49"/>
        <v/>
      </c>
    </row>
    <row r="120" spans="2:29" x14ac:dyDescent="0.35">
      <c r="B120" s="208" t="str">
        <f>IF('Portfolio Register'!$A84="","",'Portfolio Register'!$A84)</f>
        <v/>
      </c>
      <c r="C120" s="208" t="str">
        <f>IF($B120="","",'Portfolio Register'!$B84)</f>
        <v/>
      </c>
      <c r="D120" s="208" t="str">
        <f>IF($B120="","",'Portfolio Register'!$I84)</f>
        <v/>
      </c>
      <c r="E120" s="208" t="str">
        <f>IF($B120="","",'Portfolio Register'!$DG84)</f>
        <v/>
      </c>
      <c r="F120" s="224" t="str">
        <f t="shared" si="29"/>
        <v/>
      </c>
      <c r="G120" s="225" t="str">
        <f>IF($B120="","",'Portfolio Register'!$J84)</f>
        <v/>
      </c>
      <c r="H120" s="225" t="str">
        <f>IF($B120="","",'Portfolio Register'!$CO84)</f>
        <v/>
      </c>
      <c r="I120" s="225" t="str">
        <f>IF($B120="","",'Portfolio Register'!$CW84)</f>
        <v/>
      </c>
      <c r="J120" s="214" t="str">
        <f t="shared" si="30"/>
        <v/>
      </c>
      <c r="K120" s="214" t="str">
        <f t="shared" si="31"/>
        <v/>
      </c>
      <c r="L120" s="214" t="str">
        <f t="shared" si="32"/>
        <v/>
      </c>
      <c r="M120" s="214" t="str">
        <f t="shared" si="33"/>
        <v/>
      </c>
      <c r="N120" s="214" t="str">
        <f t="shared" si="34"/>
        <v/>
      </c>
      <c r="O120" s="214" t="str">
        <f t="shared" si="35"/>
        <v/>
      </c>
      <c r="P120" s="214" t="str">
        <f t="shared" si="36"/>
        <v/>
      </c>
      <c r="Q120" s="214" t="str">
        <f t="shared" si="37"/>
        <v/>
      </c>
      <c r="R120" s="214" t="str">
        <f t="shared" si="38"/>
        <v/>
      </c>
      <c r="S120" s="214" t="str">
        <f t="shared" si="39"/>
        <v/>
      </c>
      <c r="T120" s="214" t="str">
        <f t="shared" si="40"/>
        <v/>
      </c>
      <c r="U120" s="214" t="str">
        <f t="shared" si="41"/>
        <v/>
      </c>
      <c r="V120" s="214" t="str">
        <f t="shared" si="42"/>
        <v/>
      </c>
      <c r="W120" s="214" t="str">
        <f t="shared" si="43"/>
        <v/>
      </c>
      <c r="X120" s="214" t="str">
        <f t="shared" si="44"/>
        <v/>
      </c>
      <c r="Y120" s="214" t="str">
        <f t="shared" si="45"/>
        <v/>
      </c>
      <c r="Z120" s="214" t="str">
        <f t="shared" si="46"/>
        <v/>
      </c>
      <c r="AA120" s="214" t="str">
        <f t="shared" si="47"/>
        <v/>
      </c>
      <c r="AB120" s="214" t="str">
        <f t="shared" si="48"/>
        <v/>
      </c>
      <c r="AC120" s="214" t="str">
        <f t="shared" si="49"/>
        <v/>
      </c>
    </row>
    <row r="121" spans="2:29" x14ac:dyDescent="0.35">
      <c r="B121" s="208" t="str">
        <f>IF('Portfolio Register'!$A85="","",'Portfolio Register'!$A85)</f>
        <v/>
      </c>
      <c r="C121" s="208" t="str">
        <f>IF($B121="","",'Portfolio Register'!$B85)</f>
        <v/>
      </c>
      <c r="D121" s="208" t="str">
        <f>IF($B121="","",'Portfolio Register'!$I85)</f>
        <v/>
      </c>
      <c r="E121" s="208" t="str">
        <f>IF($B121="","",'Portfolio Register'!$DG85)</f>
        <v/>
      </c>
      <c r="F121" s="224" t="str">
        <f t="shared" si="29"/>
        <v/>
      </c>
      <c r="G121" s="225" t="str">
        <f>IF($B121="","",'Portfolio Register'!$J85)</f>
        <v/>
      </c>
      <c r="H121" s="225" t="str">
        <f>IF($B121="","",'Portfolio Register'!$CO85)</f>
        <v/>
      </c>
      <c r="I121" s="225" t="str">
        <f>IF($B121="","",'Portfolio Register'!$CW85)</f>
        <v/>
      </c>
      <c r="J121" s="214" t="str">
        <f t="shared" si="30"/>
        <v/>
      </c>
      <c r="K121" s="214" t="str">
        <f t="shared" si="31"/>
        <v/>
      </c>
      <c r="L121" s="214" t="str">
        <f t="shared" si="32"/>
        <v/>
      </c>
      <c r="M121" s="214" t="str">
        <f t="shared" si="33"/>
        <v/>
      </c>
      <c r="N121" s="214" t="str">
        <f t="shared" si="34"/>
        <v/>
      </c>
      <c r="O121" s="214" t="str">
        <f t="shared" si="35"/>
        <v/>
      </c>
      <c r="P121" s="214" t="str">
        <f t="shared" si="36"/>
        <v/>
      </c>
      <c r="Q121" s="214" t="str">
        <f t="shared" si="37"/>
        <v/>
      </c>
      <c r="R121" s="214" t="str">
        <f t="shared" si="38"/>
        <v/>
      </c>
      <c r="S121" s="214" t="str">
        <f t="shared" si="39"/>
        <v/>
      </c>
      <c r="T121" s="214" t="str">
        <f t="shared" si="40"/>
        <v/>
      </c>
      <c r="U121" s="214" t="str">
        <f t="shared" si="41"/>
        <v/>
      </c>
      <c r="V121" s="214" t="str">
        <f t="shared" si="42"/>
        <v/>
      </c>
      <c r="W121" s="214" t="str">
        <f t="shared" si="43"/>
        <v/>
      </c>
      <c r="X121" s="214" t="str">
        <f t="shared" si="44"/>
        <v/>
      </c>
      <c r="Y121" s="214" t="str">
        <f t="shared" si="45"/>
        <v/>
      </c>
      <c r="Z121" s="214" t="str">
        <f t="shared" si="46"/>
        <v/>
      </c>
      <c r="AA121" s="214" t="str">
        <f t="shared" si="47"/>
        <v/>
      </c>
      <c r="AB121" s="214" t="str">
        <f t="shared" si="48"/>
        <v/>
      </c>
      <c r="AC121" s="214" t="str">
        <f t="shared" si="49"/>
        <v/>
      </c>
    </row>
    <row r="122" spans="2:29" x14ac:dyDescent="0.35">
      <c r="B122" s="208" t="str">
        <f>IF('Portfolio Register'!$A86="","",'Portfolio Register'!$A86)</f>
        <v/>
      </c>
      <c r="C122" s="208" t="str">
        <f>IF($B122="","",'Portfolio Register'!$B86)</f>
        <v/>
      </c>
      <c r="D122" s="208" t="str">
        <f>IF($B122="","",'Portfolio Register'!$I86)</f>
        <v/>
      </c>
      <c r="E122" s="208" t="str">
        <f>IF($B122="","",'Portfolio Register'!$DG86)</f>
        <v/>
      </c>
      <c r="F122" s="224" t="str">
        <f t="shared" si="29"/>
        <v/>
      </c>
      <c r="G122" s="225" t="str">
        <f>IF($B122="","",'Portfolio Register'!$J86)</f>
        <v/>
      </c>
      <c r="H122" s="225" t="str">
        <f>IF($B122="","",'Portfolio Register'!$CO86)</f>
        <v/>
      </c>
      <c r="I122" s="225" t="str">
        <f>IF($B122="","",'Portfolio Register'!$CW86)</f>
        <v/>
      </c>
      <c r="J122" s="214" t="str">
        <f t="shared" si="30"/>
        <v/>
      </c>
      <c r="K122" s="214" t="str">
        <f t="shared" si="31"/>
        <v/>
      </c>
      <c r="L122" s="214" t="str">
        <f t="shared" si="32"/>
        <v/>
      </c>
      <c r="M122" s="214" t="str">
        <f t="shared" si="33"/>
        <v/>
      </c>
      <c r="N122" s="214" t="str">
        <f t="shared" si="34"/>
        <v/>
      </c>
      <c r="O122" s="214" t="str">
        <f t="shared" si="35"/>
        <v/>
      </c>
      <c r="P122" s="214" t="str">
        <f t="shared" si="36"/>
        <v/>
      </c>
      <c r="Q122" s="214" t="str">
        <f t="shared" si="37"/>
        <v/>
      </c>
      <c r="R122" s="214" t="str">
        <f t="shared" si="38"/>
        <v/>
      </c>
      <c r="S122" s="214" t="str">
        <f t="shared" si="39"/>
        <v/>
      </c>
      <c r="T122" s="214" t="str">
        <f t="shared" si="40"/>
        <v/>
      </c>
      <c r="U122" s="214" t="str">
        <f t="shared" si="41"/>
        <v/>
      </c>
      <c r="V122" s="214" t="str">
        <f t="shared" si="42"/>
        <v/>
      </c>
      <c r="W122" s="214" t="str">
        <f t="shared" si="43"/>
        <v/>
      </c>
      <c r="X122" s="214" t="str">
        <f t="shared" si="44"/>
        <v/>
      </c>
      <c r="Y122" s="214" t="str">
        <f t="shared" si="45"/>
        <v/>
      </c>
      <c r="Z122" s="214" t="str">
        <f t="shared" si="46"/>
        <v/>
      </c>
      <c r="AA122" s="214" t="str">
        <f t="shared" si="47"/>
        <v/>
      </c>
      <c r="AB122" s="214" t="str">
        <f t="shared" si="48"/>
        <v/>
      </c>
      <c r="AC122" s="214" t="str">
        <f t="shared" si="49"/>
        <v/>
      </c>
    </row>
    <row r="123" spans="2:29" x14ac:dyDescent="0.35">
      <c r="B123" s="208" t="str">
        <f>IF('Portfolio Register'!$A87="","",'Portfolio Register'!$A87)</f>
        <v/>
      </c>
      <c r="C123" s="208" t="str">
        <f>IF($B123="","",'Portfolio Register'!$B87)</f>
        <v/>
      </c>
      <c r="D123" s="208" t="str">
        <f>IF($B123="","",'Portfolio Register'!$I87)</f>
        <v/>
      </c>
      <c r="E123" s="208" t="str">
        <f>IF($B123="","",'Portfolio Register'!$DG87)</f>
        <v/>
      </c>
      <c r="F123" s="224" t="str">
        <f t="shared" si="29"/>
        <v/>
      </c>
      <c r="G123" s="225" t="str">
        <f>IF($B123="","",'Portfolio Register'!$J87)</f>
        <v/>
      </c>
      <c r="H123" s="225" t="str">
        <f>IF($B123="","",'Portfolio Register'!$CO87)</f>
        <v/>
      </c>
      <c r="I123" s="225" t="str">
        <f>IF($B123="","",'Portfolio Register'!$CW87)</f>
        <v/>
      </c>
      <c r="J123" s="214" t="str">
        <f t="shared" si="30"/>
        <v/>
      </c>
      <c r="K123" s="214" t="str">
        <f t="shared" si="31"/>
        <v/>
      </c>
      <c r="L123" s="214" t="str">
        <f t="shared" si="32"/>
        <v/>
      </c>
      <c r="M123" s="214" t="str">
        <f t="shared" si="33"/>
        <v/>
      </c>
      <c r="N123" s="214" t="str">
        <f t="shared" si="34"/>
        <v/>
      </c>
      <c r="O123" s="214" t="str">
        <f t="shared" si="35"/>
        <v/>
      </c>
      <c r="P123" s="214" t="str">
        <f t="shared" si="36"/>
        <v/>
      </c>
      <c r="Q123" s="214" t="str">
        <f t="shared" si="37"/>
        <v/>
      </c>
      <c r="R123" s="214" t="str">
        <f t="shared" si="38"/>
        <v/>
      </c>
      <c r="S123" s="214" t="str">
        <f t="shared" si="39"/>
        <v/>
      </c>
      <c r="T123" s="214" t="str">
        <f t="shared" si="40"/>
        <v/>
      </c>
      <c r="U123" s="214" t="str">
        <f t="shared" si="41"/>
        <v/>
      </c>
      <c r="V123" s="214" t="str">
        <f t="shared" si="42"/>
        <v/>
      </c>
      <c r="W123" s="214" t="str">
        <f t="shared" si="43"/>
        <v/>
      </c>
      <c r="X123" s="214" t="str">
        <f t="shared" si="44"/>
        <v/>
      </c>
      <c r="Y123" s="214" t="str">
        <f t="shared" si="45"/>
        <v/>
      </c>
      <c r="Z123" s="214" t="str">
        <f t="shared" si="46"/>
        <v/>
      </c>
      <c r="AA123" s="214" t="str">
        <f t="shared" si="47"/>
        <v/>
      </c>
      <c r="AB123" s="214" t="str">
        <f t="shared" si="48"/>
        <v/>
      </c>
      <c r="AC123" s="214" t="str">
        <f t="shared" si="49"/>
        <v/>
      </c>
    </row>
    <row r="124" spans="2:29" x14ac:dyDescent="0.35">
      <c r="B124" s="208" t="str">
        <f>IF('Portfolio Register'!$A88="","",'Portfolio Register'!$A88)</f>
        <v/>
      </c>
      <c r="C124" s="208" t="str">
        <f>IF($B124="","",'Portfolio Register'!$B88)</f>
        <v/>
      </c>
      <c r="D124" s="208" t="str">
        <f>IF($B124="","",'Portfolio Register'!$I88)</f>
        <v/>
      </c>
      <c r="E124" s="208" t="str">
        <f>IF($B124="","",'Portfolio Register'!$DG88)</f>
        <v/>
      </c>
      <c r="F124" s="224" t="str">
        <f t="shared" si="29"/>
        <v/>
      </c>
      <c r="G124" s="225" t="str">
        <f>IF($B124="","",'Portfolio Register'!$J88)</f>
        <v/>
      </c>
      <c r="H124" s="225" t="str">
        <f>IF($B124="","",'Portfolio Register'!$CO88)</f>
        <v/>
      </c>
      <c r="I124" s="225" t="str">
        <f>IF($B124="","",'Portfolio Register'!$CW88)</f>
        <v/>
      </c>
      <c r="J124" s="214" t="str">
        <f t="shared" si="30"/>
        <v/>
      </c>
      <c r="K124" s="214" t="str">
        <f t="shared" si="31"/>
        <v/>
      </c>
      <c r="L124" s="214" t="str">
        <f t="shared" si="32"/>
        <v/>
      </c>
      <c r="M124" s="214" t="str">
        <f t="shared" si="33"/>
        <v/>
      </c>
      <c r="N124" s="214" t="str">
        <f t="shared" si="34"/>
        <v/>
      </c>
      <c r="O124" s="214" t="str">
        <f t="shared" si="35"/>
        <v/>
      </c>
      <c r="P124" s="214" t="str">
        <f t="shared" si="36"/>
        <v/>
      </c>
      <c r="Q124" s="214" t="str">
        <f t="shared" si="37"/>
        <v/>
      </c>
      <c r="R124" s="214" t="str">
        <f t="shared" si="38"/>
        <v/>
      </c>
      <c r="S124" s="214" t="str">
        <f t="shared" si="39"/>
        <v/>
      </c>
      <c r="T124" s="214" t="str">
        <f t="shared" si="40"/>
        <v/>
      </c>
      <c r="U124" s="214" t="str">
        <f t="shared" si="41"/>
        <v/>
      </c>
      <c r="V124" s="214" t="str">
        <f t="shared" si="42"/>
        <v/>
      </c>
      <c r="W124" s="214" t="str">
        <f t="shared" si="43"/>
        <v/>
      </c>
      <c r="X124" s="214" t="str">
        <f t="shared" si="44"/>
        <v/>
      </c>
      <c r="Y124" s="214" t="str">
        <f t="shared" si="45"/>
        <v/>
      </c>
      <c r="Z124" s="214" t="str">
        <f t="shared" si="46"/>
        <v/>
      </c>
      <c r="AA124" s="214" t="str">
        <f t="shared" si="47"/>
        <v/>
      </c>
      <c r="AB124" s="214" t="str">
        <f t="shared" si="48"/>
        <v/>
      </c>
      <c r="AC124" s="214" t="str">
        <f t="shared" si="49"/>
        <v/>
      </c>
    </row>
    <row r="125" spans="2:29" x14ac:dyDescent="0.35">
      <c r="B125" s="208" t="str">
        <f>IF('Portfolio Register'!$A89="","",'Portfolio Register'!$A89)</f>
        <v/>
      </c>
      <c r="C125" s="208" t="str">
        <f>IF($B125="","",'Portfolio Register'!$B89)</f>
        <v/>
      </c>
      <c r="D125" s="208" t="str">
        <f>IF($B125="","",'Portfolio Register'!$I89)</f>
        <v/>
      </c>
      <c r="E125" s="208" t="str">
        <f>IF($B125="","",'Portfolio Register'!$DG89)</f>
        <v/>
      </c>
      <c r="F125" s="224" t="str">
        <f t="shared" si="29"/>
        <v/>
      </c>
      <c r="G125" s="225" t="str">
        <f>IF($B125="","",'Portfolio Register'!$J89)</f>
        <v/>
      </c>
      <c r="H125" s="225" t="str">
        <f>IF($B125="","",'Portfolio Register'!$CO89)</f>
        <v/>
      </c>
      <c r="I125" s="225" t="str">
        <f>IF($B125="","",'Portfolio Register'!$CW89)</f>
        <v/>
      </c>
      <c r="J125" s="214" t="str">
        <f t="shared" si="30"/>
        <v/>
      </c>
      <c r="K125" s="214" t="str">
        <f t="shared" si="31"/>
        <v/>
      </c>
      <c r="L125" s="214" t="str">
        <f t="shared" si="32"/>
        <v/>
      </c>
      <c r="M125" s="214" t="str">
        <f t="shared" si="33"/>
        <v/>
      </c>
      <c r="N125" s="214" t="str">
        <f t="shared" si="34"/>
        <v/>
      </c>
      <c r="O125" s="214" t="str">
        <f t="shared" si="35"/>
        <v/>
      </c>
      <c r="P125" s="214" t="str">
        <f t="shared" si="36"/>
        <v/>
      </c>
      <c r="Q125" s="214" t="str">
        <f t="shared" si="37"/>
        <v/>
      </c>
      <c r="R125" s="214" t="str">
        <f t="shared" si="38"/>
        <v/>
      </c>
      <c r="S125" s="214" t="str">
        <f t="shared" si="39"/>
        <v/>
      </c>
      <c r="T125" s="214" t="str">
        <f t="shared" si="40"/>
        <v/>
      </c>
      <c r="U125" s="214" t="str">
        <f t="shared" si="41"/>
        <v/>
      </c>
      <c r="V125" s="214" t="str">
        <f t="shared" si="42"/>
        <v/>
      </c>
      <c r="W125" s="214" t="str">
        <f t="shared" si="43"/>
        <v/>
      </c>
      <c r="X125" s="214" t="str">
        <f t="shared" si="44"/>
        <v/>
      </c>
      <c r="Y125" s="214" t="str">
        <f t="shared" si="45"/>
        <v/>
      </c>
      <c r="Z125" s="214" t="str">
        <f t="shared" si="46"/>
        <v/>
      </c>
      <c r="AA125" s="214" t="str">
        <f t="shared" si="47"/>
        <v/>
      </c>
      <c r="AB125" s="214" t="str">
        <f t="shared" si="48"/>
        <v/>
      </c>
      <c r="AC125" s="214" t="str">
        <f t="shared" si="49"/>
        <v/>
      </c>
    </row>
    <row r="126" spans="2:29" x14ac:dyDescent="0.35">
      <c r="B126" s="208" t="str">
        <f>IF('Portfolio Register'!$A90="","",'Portfolio Register'!$A90)</f>
        <v/>
      </c>
      <c r="C126" s="208" t="str">
        <f>IF($B126="","",'Portfolio Register'!$B90)</f>
        <v/>
      </c>
      <c r="D126" s="208" t="str">
        <f>IF($B126="","",'Portfolio Register'!$I90)</f>
        <v/>
      </c>
      <c r="E126" s="208" t="str">
        <f>IF($B126="","",'Portfolio Register'!$DG90)</f>
        <v/>
      </c>
      <c r="F126" s="224" t="str">
        <f t="shared" si="29"/>
        <v/>
      </c>
      <c r="G126" s="225" t="str">
        <f>IF($B126="","",'Portfolio Register'!$J90)</f>
        <v/>
      </c>
      <c r="H126" s="225" t="str">
        <f>IF($B126="","",'Portfolio Register'!$CO90)</f>
        <v/>
      </c>
      <c r="I126" s="225" t="str">
        <f>IF($B126="","",'Portfolio Register'!$CW90)</f>
        <v/>
      </c>
      <c r="J126" s="214" t="str">
        <f t="shared" si="30"/>
        <v/>
      </c>
      <c r="K126" s="214" t="str">
        <f t="shared" si="31"/>
        <v/>
      </c>
      <c r="L126" s="214" t="str">
        <f t="shared" si="32"/>
        <v/>
      </c>
      <c r="M126" s="214" t="str">
        <f t="shared" si="33"/>
        <v/>
      </c>
      <c r="N126" s="214" t="str">
        <f t="shared" si="34"/>
        <v/>
      </c>
      <c r="O126" s="214" t="str">
        <f t="shared" si="35"/>
        <v/>
      </c>
      <c r="P126" s="214" t="str">
        <f t="shared" si="36"/>
        <v/>
      </c>
      <c r="Q126" s="214" t="str">
        <f t="shared" si="37"/>
        <v/>
      </c>
      <c r="R126" s="214" t="str">
        <f t="shared" si="38"/>
        <v/>
      </c>
      <c r="S126" s="214" t="str">
        <f t="shared" si="39"/>
        <v/>
      </c>
      <c r="T126" s="214" t="str">
        <f t="shared" si="40"/>
        <v/>
      </c>
      <c r="U126" s="214" t="str">
        <f t="shared" si="41"/>
        <v/>
      </c>
      <c r="V126" s="214" t="str">
        <f t="shared" si="42"/>
        <v/>
      </c>
      <c r="W126" s="214" t="str">
        <f t="shared" si="43"/>
        <v/>
      </c>
      <c r="X126" s="214" t="str">
        <f t="shared" si="44"/>
        <v/>
      </c>
      <c r="Y126" s="214" t="str">
        <f t="shared" si="45"/>
        <v/>
      </c>
      <c r="Z126" s="214" t="str">
        <f t="shared" si="46"/>
        <v/>
      </c>
      <c r="AA126" s="214" t="str">
        <f t="shared" si="47"/>
        <v/>
      </c>
      <c r="AB126" s="214" t="str">
        <f t="shared" si="48"/>
        <v/>
      </c>
      <c r="AC126" s="214" t="str">
        <f t="shared" si="49"/>
        <v/>
      </c>
    </row>
    <row r="127" spans="2:29" x14ac:dyDescent="0.35">
      <c r="B127" s="208" t="str">
        <f>IF('Portfolio Register'!$A91="","",'Portfolio Register'!$A91)</f>
        <v/>
      </c>
      <c r="C127" s="208" t="str">
        <f>IF($B127="","",'Portfolio Register'!$B91)</f>
        <v/>
      </c>
      <c r="D127" s="208" t="str">
        <f>IF($B127="","",'Portfolio Register'!$I91)</f>
        <v/>
      </c>
      <c r="E127" s="208" t="str">
        <f>IF($B127="","",'Portfolio Register'!$DG91)</f>
        <v/>
      </c>
      <c r="F127" s="224" t="str">
        <f t="shared" si="29"/>
        <v/>
      </c>
      <c r="G127" s="225" t="str">
        <f>IF($B127="","",'Portfolio Register'!$J91)</f>
        <v/>
      </c>
      <c r="H127" s="225" t="str">
        <f>IF($B127="","",'Portfolio Register'!$CO91)</f>
        <v/>
      </c>
      <c r="I127" s="225" t="str">
        <f>IF($B127="","",'Portfolio Register'!$CW91)</f>
        <v/>
      </c>
      <c r="J127" s="214" t="str">
        <f t="shared" si="30"/>
        <v/>
      </c>
      <c r="K127" s="214" t="str">
        <f t="shared" si="31"/>
        <v/>
      </c>
      <c r="L127" s="214" t="str">
        <f t="shared" si="32"/>
        <v/>
      </c>
      <c r="M127" s="214" t="str">
        <f t="shared" si="33"/>
        <v/>
      </c>
      <c r="N127" s="214" t="str">
        <f t="shared" si="34"/>
        <v/>
      </c>
      <c r="O127" s="214" t="str">
        <f t="shared" si="35"/>
        <v/>
      </c>
      <c r="P127" s="214" t="str">
        <f t="shared" si="36"/>
        <v/>
      </c>
      <c r="Q127" s="214" t="str">
        <f t="shared" si="37"/>
        <v/>
      </c>
      <c r="R127" s="214" t="str">
        <f t="shared" si="38"/>
        <v/>
      </c>
      <c r="S127" s="214" t="str">
        <f t="shared" si="39"/>
        <v/>
      </c>
      <c r="T127" s="214" t="str">
        <f t="shared" si="40"/>
        <v/>
      </c>
      <c r="U127" s="214" t="str">
        <f t="shared" si="41"/>
        <v/>
      </c>
      <c r="V127" s="214" t="str">
        <f t="shared" si="42"/>
        <v/>
      </c>
      <c r="W127" s="214" t="str">
        <f t="shared" si="43"/>
        <v/>
      </c>
      <c r="X127" s="214" t="str">
        <f t="shared" si="44"/>
        <v/>
      </c>
      <c r="Y127" s="214" t="str">
        <f t="shared" si="45"/>
        <v/>
      </c>
      <c r="Z127" s="214" t="str">
        <f t="shared" si="46"/>
        <v/>
      </c>
      <c r="AA127" s="214" t="str">
        <f t="shared" si="47"/>
        <v/>
      </c>
      <c r="AB127" s="214" t="str">
        <f t="shared" si="48"/>
        <v/>
      </c>
      <c r="AC127" s="214" t="str">
        <f t="shared" si="49"/>
        <v/>
      </c>
    </row>
    <row r="128" spans="2:29" x14ac:dyDescent="0.35">
      <c r="B128" s="208" t="str">
        <f>IF('Portfolio Register'!$A92="","",'Portfolio Register'!$A92)</f>
        <v/>
      </c>
      <c r="C128" s="208" t="str">
        <f>IF($B128="","",'Portfolio Register'!$B92)</f>
        <v/>
      </c>
      <c r="D128" s="208" t="str">
        <f>IF($B128="","",'Portfolio Register'!$I92)</f>
        <v/>
      </c>
      <c r="E128" s="208" t="str">
        <f>IF($B128="","",'Portfolio Register'!$DG92)</f>
        <v/>
      </c>
      <c r="F128" s="224" t="str">
        <f t="shared" si="29"/>
        <v/>
      </c>
      <c r="G128" s="225" t="str">
        <f>IF($B128="","",'Portfolio Register'!$J92)</f>
        <v/>
      </c>
      <c r="H128" s="225" t="str">
        <f>IF($B128="","",'Portfolio Register'!$CO92)</f>
        <v/>
      </c>
      <c r="I128" s="225" t="str">
        <f>IF($B128="","",'Portfolio Register'!$CW92)</f>
        <v/>
      </c>
      <c r="J128" s="214" t="str">
        <f t="shared" si="30"/>
        <v/>
      </c>
      <c r="K128" s="214" t="str">
        <f t="shared" si="31"/>
        <v/>
      </c>
      <c r="L128" s="214" t="str">
        <f t="shared" si="32"/>
        <v/>
      </c>
      <c r="M128" s="214" t="str">
        <f t="shared" si="33"/>
        <v/>
      </c>
      <c r="N128" s="214" t="str">
        <f t="shared" si="34"/>
        <v/>
      </c>
      <c r="O128" s="214" t="str">
        <f t="shared" si="35"/>
        <v/>
      </c>
      <c r="P128" s="214" t="str">
        <f t="shared" si="36"/>
        <v/>
      </c>
      <c r="Q128" s="214" t="str">
        <f t="shared" si="37"/>
        <v/>
      </c>
      <c r="R128" s="214" t="str">
        <f t="shared" si="38"/>
        <v/>
      </c>
      <c r="S128" s="214" t="str">
        <f t="shared" si="39"/>
        <v/>
      </c>
      <c r="T128" s="214" t="str">
        <f t="shared" si="40"/>
        <v/>
      </c>
      <c r="U128" s="214" t="str">
        <f t="shared" si="41"/>
        <v/>
      </c>
      <c r="V128" s="214" t="str">
        <f t="shared" si="42"/>
        <v/>
      </c>
      <c r="W128" s="214" t="str">
        <f t="shared" si="43"/>
        <v/>
      </c>
      <c r="X128" s="214" t="str">
        <f t="shared" si="44"/>
        <v/>
      </c>
      <c r="Y128" s="214" t="str">
        <f t="shared" si="45"/>
        <v/>
      </c>
      <c r="Z128" s="214" t="str">
        <f t="shared" si="46"/>
        <v/>
      </c>
      <c r="AA128" s="214" t="str">
        <f t="shared" si="47"/>
        <v/>
      </c>
      <c r="AB128" s="214" t="str">
        <f t="shared" si="48"/>
        <v/>
      </c>
      <c r="AC128" s="214" t="str">
        <f t="shared" si="49"/>
        <v/>
      </c>
    </row>
    <row r="129" spans="2:29" x14ac:dyDescent="0.35">
      <c r="B129" s="208" t="str">
        <f>IF('Portfolio Register'!$A93="","",'Portfolio Register'!$A93)</f>
        <v/>
      </c>
      <c r="C129" s="208" t="str">
        <f>IF($B129="","",'Portfolio Register'!$B93)</f>
        <v/>
      </c>
      <c r="D129" s="208" t="str">
        <f>IF($B129="","",'Portfolio Register'!$I93)</f>
        <v/>
      </c>
      <c r="E129" s="208" t="str">
        <f>IF($B129="","",'Portfolio Register'!$DG93)</f>
        <v/>
      </c>
      <c r="F129" s="224" t="str">
        <f t="shared" si="29"/>
        <v/>
      </c>
      <c r="G129" s="225" t="str">
        <f>IF($B129="","",'Portfolio Register'!$J93)</f>
        <v/>
      </c>
      <c r="H129" s="225" t="str">
        <f>IF($B129="","",'Portfolio Register'!$CO93)</f>
        <v/>
      </c>
      <c r="I129" s="225" t="str">
        <f>IF($B129="","",'Portfolio Register'!$CW93)</f>
        <v/>
      </c>
      <c r="J129" s="214" t="str">
        <f t="shared" si="30"/>
        <v/>
      </c>
      <c r="K129" s="214" t="str">
        <f t="shared" si="31"/>
        <v/>
      </c>
      <c r="L129" s="214" t="str">
        <f t="shared" si="32"/>
        <v/>
      </c>
      <c r="M129" s="214" t="str">
        <f t="shared" si="33"/>
        <v/>
      </c>
      <c r="N129" s="214" t="str">
        <f t="shared" si="34"/>
        <v/>
      </c>
      <c r="O129" s="214" t="str">
        <f t="shared" si="35"/>
        <v/>
      </c>
      <c r="P129" s="214" t="str">
        <f t="shared" si="36"/>
        <v/>
      </c>
      <c r="Q129" s="214" t="str">
        <f t="shared" si="37"/>
        <v/>
      </c>
      <c r="R129" s="214" t="str">
        <f t="shared" si="38"/>
        <v/>
      </c>
      <c r="S129" s="214" t="str">
        <f t="shared" si="39"/>
        <v/>
      </c>
      <c r="T129" s="214" t="str">
        <f t="shared" si="40"/>
        <v/>
      </c>
      <c r="U129" s="214" t="str">
        <f t="shared" si="41"/>
        <v/>
      </c>
      <c r="V129" s="214" t="str">
        <f t="shared" si="42"/>
        <v/>
      </c>
      <c r="W129" s="214" t="str">
        <f t="shared" si="43"/>
        <v/>
      </c>
      <c r="X129" s="214" t="str">
        <f t="shared" si="44"/>
        <v/>
      </c>
      <c r="Y129" s="214" t="str">
        <f t="shared" si="45"/>
        <v/>
      </c>
      <c r="Z129" s="214" t="str">
        <f t="shared" si="46"/>
        <v/>
      </c>
      <c r="AA129" s="214" t="str">
        <f t="shared" si="47"/>
        <v/>
      </c>
      <c r="AB129" s="214" t="str">
        <f t="shared" si="48"/>
        <v/>
      </c>
      <c r="AC129" s="214" t="str">
        <f t="shared" si="49"/>
        <v/>
      </c>
    </row>
    <row r="130" spans="2:29" x14ac:dyDescent="0.35">
      <c r="B130" s="208" t="str">
        <f>IF('Portfolio Register'!$A94="","",'Portfolio Register'!$A94)</f>
        <v/>
      </c>
      <c r="C130" s="208" t="str">
        <f>IF($B130="","",'Portfolio Register'!$B94)</f>
        <v/>
      </c>
      <c r="D130" s="208" t="str">
        <f>IF($B130="","",'Portfolio Register'!$I94)</f>
        <v/>
      </c>
      <c r="E130" s="208" t="str">
        <f>IF($B130="","",'Portfolio Register'!$DG94)</f>
        <v/>
      </c>
      <c r="F130" s="224" t="str">
        <f t="shared" si="29"/>
        <v/>
      </c>
      <c r="G130" s="225" t="str">
        <f>IF($B130="","",'Portfolio Register'!$J94)</f>
        <v/>
      </c>
      <c r="H130" s="225" t="str">
        <f>IF($B130="","",'Portfolio Register'!$CO94)</f>
        <v/>
      </c>
      <c r="I130" s="225" t="str">
        <f>IF($B130="","",'Portfolio Register'!$CW94)</f>
        <v/>
      </c>
      <c r="J130" s="214" t="str">
        <f t="shared" si="30"/>
        <v/>
      </c>
      <c r="K130" s="214" t="str">
        <f t="shared" si="31"/>
        <v/>
      </c>
      <c r="L130" s="214" t="str">
        <f t="shared" si="32"/>
        <v/>
      </c>
      <c r="M130" s="214" t="str">
        <f t="shared" si="33"/>
        <v/>
      </c>
      <c r="N130" s="214" t="str">
        <f t="shared" si="34"/>
        <v/>
      </c>
      <c r="O130" s="214" t="str">
        <f t="shared" si="35"/>
        <v/>
      </c>
      <c r="P130" s="214" t="str">
        <f t="shared" si="36"/>
        <v/>
      </c>
      <c r="Q130" s="214" t="str">
        <f t="shared" si="37"/>
        <v/>
      </c>
      <c r="R130" s="214" t="str">
        <f t="shared" si="38"/>
        <v/>
      </c>
      <c r="S130" s="214" t="str">
        <f t="shared" si="39"/>
        <v/>
      </c>
      <c r="T130" s="214" t="str">
        <f t="shared" si="40"/>
        <v/>
      </c>
      <c r="U130" s="214" t="str">
        <f t="shared" si="41"/>
        <v/>
      </c>
      <c r="V130" s="214" t="str">
        <f t="shared" si="42"/>
        <v/>
      </c>
      <c r="W130" s="214" t="str">
        <f t="shared" si="43"/>
        <v/>
      </c>
      <c r="X130" s="214" t="str">
        <f t="shared" si="44"/>
        <v/>
      </c>
      <c r="Y130" s="214" t="str">
        <f t="shared" si="45"/>
        <v/>
      </c>
      <c r="Z130" s="214" t="str">
        <f t="shared" si="46"/>
        <v/>
      </c>
      <c r="AA130" s="214" t="str">
        <f t="shared" si="47"/>
        <v/>
      </c>
      <c r="AB130" s="214" t="str">
        <f t="shared" si="48"/>
        <v/>
      </c>
      <c r="AC130" s="214" t="str">
        <f t="shared" si="49"/>
        <v/>
      </c>
    </row>
    <row r="131" spans="2:29" x14ac:dyDescent="0.35">
      <c r="B131" s="208" t="str">
        <f>IF('Portfolio Register'!$A95="","",'Portfolio Register'!$A95)</f>
        <v/>
      </c>
      <c r="C131" s="208" t="str">
        <f>IF($B131="","",'Portfolio Register'!$B95)</f>
        <v/>
      </c>
      <c r="D131" s="208" t="str">
        <f>IF($B131="","",'Portfolio Register'!$I95)</f>
        <v/>
      </c>
      <c r="E131" s="208" t="str">
        <f>IF($B131="","",'Portfolio Register'!$DG95)</f>
        <v/>
      </c>
      <c r="F131" s="224" t="str">
        <f t="shared" si="29"/>
        <v/>
      </c>
      <c r="G131" s="225" t="str">
        <f>IF($B131="","",'Portfolio Register'!$J95)</f>
        <v/>
      </c>
      <c r="H131" s="225" t="str">
        <f>IF($B131="","",'Portfolio Register'!$CO95)</f>
        <v/>
      </c>
      <c r="I131" s="225" t="str">
        <f>IF($B131="","",'Portfolio Register'!$CW95)</f>
        <v/>
      </c>
      <c r="J131" s="214" t="str">
        <f t="shared" si="30"/>
        <v/>
      </c>
      <c r="K131" s="214" t="str">
        <f t="shared" si="31"/>
        <v/>
      </c>
      <c r="L131" s="214" t="str">
        <f t="shared" si="32"/>
        <v/>
      </c>
      <c r="M131" s="214" t="str">
        <f t="shared" si="33"/>
        <v/>
      </c>
      <c r="N131" s="214" t="str">
        <f t="shared" si="34"/>
        <v/>
      </c>
      <c r="O131" s="214" t="str">
        <f t="shared" si="35"/>
        <v/>
      </c>
      <c r="P131" s="214" t="str">
        <f t="shared" si="36"/>
        <v/>
      </c>
      <c r="Q131" s="214" t="str">
        <f t="shared" si="37"/>
        <v/>
      </c>
      <c r="R131" s="214" t="str">
        <f t="shared" si="38"/>
        <v/>
      </c>
      <c r="S131" s="214" t="str">
        <f t="shared" si="39"/>
        <v/>
      </c>
      <c r="T131" s="214" t="str">
        <f t="shared" si="40"/>
        <v/>
      </c>
      <c r="U131" s="214" t="str">
        <f t="shared" si="41"/>
        <v/>
      </c>
      <c r="V131" s="214" t="str">
        <f t="shared" si="42"/>
        <v/>
      </c>
      <c r="W131" s="214" t="str">
        <f t="shared" si="43"/>
        <v/>
      </c>
      <c r="X131" s="214" t="str">
        <f t="shared" si="44"/>
        <v/>
      </c>
      <c r="Y131" s="214" t="str">
        <f t="shared" si="45"/>
        <v/>
      </c>
      <c r="Z131" s="214" t="str">
        <f t="shared" si="46"/>
        <v/>
      </c>
      <c r="AA131" s="214" t="str">
        <f t="shared" si="47"/>
        <v/>
      </c>
      <c r="AB131" s="214" t="str">
        <f t="shared" si="48"/>
        <v/>
      </c>
      <c r="AC131" s="214" t="str">
        <f t="shared" si="49"/>
        <v/>
      </c>
    </row>
    <row r="132" spans="2:29" x14ac:dyDescent="0.35">
      <c r="B132" s="208" t="str">
        <f>IF('Portfolio Register'!$A96="","",'Portfolio Register'!$A96)</f>
        <v/>
      </c>
      <c r="C132" s="208" t="str">
        <f>IF($B132="","",'Portfolio Register'!$B96)</f>
        <v/>
      </c>
      <c r="D132" s="208" t="str">
        <f>IF($B132="","",'Portfolio Register'!$I96)</f>
        <v/>
      </c>
      <c r="E132" s="208" t="str">
        <f>IF($B132="","",'Portfolio Register'!$DG96)</f>
        <v/>
      </c>
      <c r="F132" s="224" t="str">
        <f t="shared" si="29"/>
        <v/>
      </c>
      <c r="G132" s="225" t="str">
        <f>IF($B132="","",'Portfolio Register'!$J96)</f>
        <v/>
      </c>
      <c r="H132" s="225" t="str">
        <f>IF($B132="","",'Portfolio Register'!$CO96)</f>
        <v/>
      </c>
      <c r="I132" s="225" t="str">
        <f>IF($B132="","",'Portfolio Register'!$CW96)</f>
        <v/>
      </c>
      <c r="J132" s="214" t="str">
        <f t="shared" si="30"/>
        <v/>
      </c>
      <c r="K132" s="214" t="str">
        <f t="shared" si="31"/>
        <v/>
      </c>
      <c r="L132" s="214" t="str">
        <f t="shared" si="32"/>
        <v/>
      </c>
      <c r="M132" s="214" t="str">
        <f t="shared" si="33"/>
        <v/>
      </c>
      <c r="N132" s="214" t="str">
        <f t="shared" si="34"/>
        <v/>
      </c>
      <c r="O132" s="214" t="str">
        <f t="shared" si="35"/>
        <v/>
      </c>
      <c r="P132" s="214" t="str">
        <f t="shared" si="36"/>
        <v/>
      </c>
      <c r="Q132" s="214" t="str">
        <f t="shared" si="37"/>
        <v/>
      </c>
      <c r="R132" s="214" t="str">
        <f t="shared" si="38"/>
        <v/>
      </c>
      <c r="S132" s="214" t="str">
        <f t="shared" si="39"/>
        <v/>
      </c>
      <c r="T132" s="214" t="str">
        <f t="shared" si="40"/>
        <v/>
      </c>
      <c r="U132" s="214" t="str">
        <f t="shared" si="41"/>
        <v/>
      </c>
      <c r="V132" s="214" t="str">
        <f t="shared" si="42"/>
        <v/>
      </c>
      <c r="W132" s="214" t="str">
        <f t="shared" si="43"/>
        <v/>
      </c>
      <c r="X132" s="214" t="str">
        <f t="shared" si="44"/>
        <v/>
      </c>
      <c r="Y132" s="214" t="str">
        <f t="shared" si="45"/>
        <v/>
      </c>
      <c r="Z132" s="214" t="str">
        <f t="shared" si="46"/>
        <v/>
      </c>
      <c r="AA132" s="214" t="str">
        <f t="shared" si="47"/>
        <v/>
      </c>
      <c r="AB132" s="214" t="str">
        <f t="shared" si="48"/>
        <v/>
      </c>
      <c r="AC132" s="214" t="str">
        <f t="shared" si="49"/>
        <v/>
      </c>
    </row>
    <row r="133" spans="2:29" x14ac:dyDescent="0.35">
      <c r="B133" s="208" t="str">
        <f>IF('Portfolio Register'!$A97="","",'Portfolio Register'!$A97)</f>
        <v/>
      </c>
      <c r="C133" s="208" t="str">
        <f>IF($B133="","",'Portfolio Register'!$B97)</f>
        <v/>
      </c>
      <c r="D133" s="208" t="str">
        <f>IF($B133="","",'Portfolio Register'!$I97)</f>
        <v/>
      </c>
      <c r="E133" s="208" t="str">
        <f>IF($B133="","",'Portfolio Register'!$DG97)</f>
        <v/>
      </c>
      <c r="F133" s="224" t="str">
        <f t="shared" si="29"/>
        <v/>
      </c>
      <c r="G133" s="225" t="str">
        <f>IF($B133="","",'Portfolio Register'!$J97)</f>
        <v/>
      </c>
      <c r="H133" s="225" t="str">
        <f>IF($B133="","",'Portfolio Register'!$CO97)</f>
        <v/>
      </c>
      <c r="I133" s="225" t="str">
        <f>IF($B133="","",'Portfolio Register'!$CW97)</f>
        <v/>
      </c>
      <c r="J133" s="214" t="str">
        <f t="shared" si="30"/>
        <v/>
      </c>
      <c r="K133" s="214" t="str">
        <f t="shared" si="31"/>
        <v/>
      </c>
      <c r="L133" s="214" t="str">
        <f t="shared" si="32"/>
        <v/>
      </c>
      <c r="M133" s="214" t="str">
        <f t="shared" si="33"/>
        <v/>
      </c>
      <c r="N133" s="214" t="str">
        <f t="shared" si="34"/>
        <v/>
      </c>
      <c r="O133" s="214" t="str">
        <f t="shared" si="35"/>
        <v/>
      </c>
      <c r="P133" s="214" t="str">
        <f t="shared" si="36"/>
        <v/>
      </c>
      <c r="Q133" s="214" t="str">
        <f t="shared" si="37"/>
        <v/>
      </c>
      <c r="R133" s="214" t="str">
        <f t="shared" si="38"/>
        <v/>
      </c>
      <c r="S133" s="214" t="str">
        <f t="shared" si="39"/>
        <v/>
      </c>
      <c r="T133" s="214" t="str">
        <f t="shared" si="40"/>
        <v/>
      </c>
      <c r="U133" s="214" t="str">
        <f t="shared" si="41"/>
        <v/>
      </c>
      <c r="V133" s="214" t="str">
        <f t="shared" si="42"/>
        <v/>
      </c>
      <c r="W133" s="214" t="str">
        <f t="shared" si="43"/>
        <v/>
      </c>
      <c r="X133" s="214" t="str">
        <f t="shared" si="44"/>
        <v/>
      </c>
      <c r="Y133" s="214" t="str">
        <f t="shared" si="45"/>
        <v/>
      </c>
      <c r="Z133" s="214" t="str">
        <f t="shared" si="46"/>
        <v/>
      </c>
      <c r="AA133" s="214" t="str">
        <f t="shared" si="47"/>
        <v/>
      </c>
      <c r="AB133" s="214" t="str">
        <f t="shared" si="48"/>
        <v/>
      </c>
      <c r="AC133" s="214" t="str">
        <f t="shared" si="49"/>
        <v/>
      </c>
    </row>
    <row r="134" spans="2:29" x14ac:dyDescent="0.35">
      <c r="B134" s="208" t="str">
        <f>IF('Portfolio Register'!$A98="","",'Portfolio Register'!$A98)</f>
        <v/>
      </c>
      <c r="C134" s="208" t="str">
        <f>IF($B134="","",'Portfolio Register'!$B98)</f>
        <v/>
      </c>
      <c r="D134" s="208" t="str">
        <f>IF($B134="","",'Portfolio Register'!$I98)</f>
        <v/>
      </c>
      <c r="E134" s="208" t="str">
        <f>IF($B134="","",'Portfolio Register'!$DG98)</f>
        <v/>
      </c>
      <c r="F134" s="224" t="str">
        <f t="shared" si="29"/>
        <v/>
      </c>
      <c r="G134" s="225" t="str">
        <f>IF($B134="","",'Portfolio Register'!$J98)</f>
        <v/>
      </c>
      <c r="H134" s="225" t="str">
        <f>IF($B134="","",'Portfolio Register'!$CO98)</f>
        <v/>
      </c>
      <c r="I134" s="225" t="str">
        <f>IF($B134="","",'Portfolio Register'!$CW98)</f>
        <v/>
      </c>
      <c r="J134" s="214" t="str">
        <f t="shared" si="30"/>
        <v/>
      </c>
      <c r="K134" s="214" t="str">
        <f t="shared" si="31"/>
        <v/>
      </c>
      <c r="L134" s="214" t="str">
        <f t="shared" si="32"/>
        <v/>
      </c>
      <c r="M134" s="214" t="str">
        <f t="shared" si="33"/>
        <v/>
      </c>
      <c r="N134" s="214" t="str">
        <f t="shared" si="34"/>
        <v/>
      </c>
      <c r="O134" s="214" t="str">
        <f t="shared" si="35"/>
        <v/>
      </c>
      <c r="P134" s="214" t="str">
        <f t="shared" si="36"/>
        <v/>
      </c>
      <c r="Q134" s="214" t="str">
        <f t="shared" si="37"/>
        <v/>
      </c>
      <c r="R134" s="214" t="str">
        <f t="shared" si="38"/>
        <v/>
      </c>
      <c r="S134" s="214" t="str">
        <f t="shared" si="39"/>
        <v/>
      </c>
      <c r="T134" s="214" t="str">
        <f t="shared" si="40"/>
        <v/>
      </c>
      <c r="U134" s="214" t="str">
        <f t="shared" si="41"/>
        <v/>
      </c>
      <c r="V134" s="214" t="str">
        <f t="shared" si="42"/>
        <v/>
      </c>
      <c r="W134" s="214" t="str">
        <f t="shared" si="43"/>
        <v/>
      </c>
      <c r="X134" s="214" t="str">
        <f t="shared" si="44"/>
        <v/>
      </c>
      <c r="Y134" s="214" t="str">
        <f t="shared" si="45"/>
        <v/>
      </c>
      <c r="Z134" s="214" t="str">
        <f t="shared" si="46"/>
        <v/>
      </c>
      <c r="AA134" s="214" t="str">
        <f t="shared" si="47"/>
        <v/>
      </c>
      <c r="AB134" s="214" t="str">
        <f t="shared" si="48"/>
        <v/>
      </c>
      <c r="AC134" s="214" t="str">
        <f t="shared" si="49"/>
        <v/>
      </c>
    </row>
    <row r="135" spans="2:29" x14ac:dyDescent="0.35">
      <c r="B135" s="208" t="str">
        <f>IF('Portfolio Register'!$A99="","",'Portfolio Register'!$A99)</f>
        <v/>
      </c>
      <c r="C135" s="208" t="str">
        <f>IF($B135="","",'Portfolio Register'!$B99)</f>
        <v/>
      </c>
      <c r="D135" s="208" t="str">
        <f>IF($B135="","",'Portfolio Register'!$I99)</f>
        <v/>
      </c>
      <c r="E135" s="208" t="str">
        <f>IF($B135="","",'Portfolio Register'!$DG99)</f>
        <v/>
      </c>
      <c r="F135" s="224" t="str">
        <f t="shared" si="29"/>
        <v/>
      </c>
      <c r="G135" s="225" t="str">
        <f>IF($B135="","",'Portfolio Register'!$J99)</f>
        <v/>
      </c>
      <c r="H135" s="225" t="str">
        <f>IF($B135="","",'Portfolio Register'!$CO99)</f>
        <v/>
      </c>
      <c r="I135" s="225" t="str">
        <f>IF($B135="","",'Portfolio Register'!$CW99)</f>
        <v/>
      </c>
      <c r="J135" s="214" t="str">
        <f t="shared" si="30"/>
        <v/>
      </c>
      <c r="K135" s="214" t="str">
        <f t="shared" si="31"/>
        <v/>
      </c>
      <c r="L135" s="214" t="str">
        <f t="shared" si="32"/>
        <v/>
      </c>
      <c r="M135" s="214" t="str">
        <f t="shared" si="33"/>
        <v/>
      </c>
      <c r="N135" s="214" t="str">
        <f t="shared" si="34"/>
        <v/>
      </c>
      <c r="O135" s="214" t="str">
        <f t="shared" si="35"/>
        <v/>
      </c>
      <c r="P135" s="214" t="str">
        <f t="shared" si="36"/>
        <v/>
      </c>
      <c r="Q135" s="214" t="str">
        <f t="shared" si="37"/>
        <v/>
      </c>
      <c r="R135" s="214" t="str">
        <f t="shared" si="38"/>
        <v/>
      </c>
      <c r="S135" s="214" t="str">
        <f t="shared" si="39"/>
        <v/>
      </c>
      <c r="T135" s="214" t="str">
        <f t="shared" si="40"/>
        <v/>
      </c>
      <c r="U135" s="214" t="str">
        <f t="shared" si="41"/>
        <v/>
      </c>
      <c r="V135" s="214" t="str">
        <f t="shared" si="42"/>
        <v/>
      </c>
      <c r="W135" s="214" t="str">
        <f t="shared" si="43"/>
        <v/>
      </c>
      <c r="X135" s="214" t="str">
        <f t="shared" si="44"/>
        <v/>
      </c>
      <c r="Y135" s="214" t="str">
        <f t="shared" si="45"/>
        <v/>
      </c>
      <c r="Z135" s="214" t="str">
        <f t="shared" si="46"/>
        <v/>
      </c>
      <c r="AA135" s="214" t="str">
        <f t="shared" si="47"/>
        <v/>
      </c>
      <c r="AB135" s="214" t="str">
        <f t="shared" si="48"/>
        <v/>
      </c>
      <c r="AC135" s="214" t="str">
        <f t="shared" si="49"/>
        <v/>
      </c>
    </row>
    <row r="136" spans="2:29" x14ac:dyDescent="0.35">
      <c r="B136" s="208" t="str">
        <f>IF('Portfolio Register'!$A100="","",'Portfolio Register'!$A100)</f>
        <v/>
      </c>
      <c r="C136" s="208" t="str">
        <f>IF($B136="","",'Portfolio Register'!$B100)</f>
        <v/>
      </c>
      <c r="D136" s="208" t="str">
        <f>IF($B136="","",'Portfolio Register'!$I100)</f>
        <v/>
      </c>
      <c r="E136" s="208" t="str">
        <f>IF($B136="","",'Portfolio Register'!$DG100)</f>
        <v/>
      </c>
      <c r="F136" s="224" t="str">
        <f t="shared" si="29"/>
        <v/>
      </c>
      <c r="G136" s="225" t="str">
        <f>IF($B136="","",'Portfolio Register'!$J100)</f>
        <v/>
      </c>
      <c r="H136" s="225" t="str">
        <f>IF($B136="","",'Portfolio Register'!$CO100)</f>
        <v/>
      </c>
      <c r="I136" s="225" t="str">
        <f>IF($B136="","",'Portfolio Register'!$CW100)</f>
        <v/>
      </c>
      <c r="J136" s="214" t="str">
        <f t="shared" si="30"/>
        <v/>
      </c>
      <c r="K136" s="214" t="str">
        <f t="shared" si="31"/>
        <v/>
      </c>
      <c r="L136" s="214" t="str">
        <f t="shared" si="32"/>
        <v/>
      </c>
      <c r="M136" s="214" t="str">
        <f t="shared" si="33"/>
        <v/>
      </c>
      <c r="N136" s="214" t="str">
        <f t="shared" si="34"/>
        <v/>
      </c>
      <c r="O136" s="214" t="str">
        <f t="shared" si="35"/>
        <v/>
      </c>
      <c r="P136" s="214" t="str">
        <f t="shared" si="36"/>
        <v/>
      </c>
      <c r="Q136" s="214" t="str">
        <f t="shared" si="37"/>
        <v/>
      </c>
      <c r="R136" s="214" t="str">
        <f t="shared" si="38"/>
        <v/>
      </c>
      <c r="S136" s="214" t="str">
        <f t="shared" si="39"/>
        <v/>
      </c>
      <c r="T136" s="214" t="str">
        <f t="shared" si="40"/>
        <v/>
      </c>
      <c r="U136" s="214" t="str">
        <f t="shared" si="41"/>
        <v/>
      </c>
      <c r="V136" s="214" t="str">
        <f t="shared" si="42"/>
        <v/>
      </c>
      <c r="W136" s="214" t="str">
        <f t="shared" si="43"/>
        <v/>
      </c>
      <c r="X136" s="214" t="str">
        <f t="shared" si="44"/>
        <v/>
      </c>
      <c r="Y136" s="214" t="str">
        <f t="shared" si="45"/>
        <v/>
      </c>
      <c r="Z136" s="214" t="str">
        <f t="shared" si="46"/>
        <v/>
      </c>
      <c r="AA136" s="214" t="str">
        <f t="shared" si="47"/>
        <v/>
      </c>
      <c r="AB136" s="214" t="str">
        <f t="shared" si="48"/>
        <v/>
      </c>
      <c r="AC136" s="214" t="str">
        <f t="shared" si="49"/>
        <v/>
      </c>
    </row>
    <row r="137" spans="2:29" x14ac:dyDescent="0.35">
      <c r="B137" s="208" t="str">
        <f>IF('Portfolio Register'!$A101="","",'Portfolio Register'!$A101)</f>
        <v/>
      </c>
      <c r="C137" s="208" t="str">
        <f>IF($B137="","",'Portfolio Register'!$B101)</f>
        <v/>
      </c>
      <c r="D137" s="208" t="str">
        <f>IF($B137="","",'Portfolio Register'!$I101)</f>
        <v/>
      </c>
      <c r="E137" s="208" t="str">
        <f>IF($B137="","",'Portfolio Register'!$DG101)</f>
        <v/>
      </c>
      <c r="F137" s="224" t="str">
        <f t="shared" si="29"/>
        <v/>
      </c>
      <c r="G137" s="225" t="str">
        <f>IF($B137="","",'Portfolio Register'!$J101)</f>
        <v/>
      </c>
      <c r="H137" s="225" t="str">
        <f>IF($B137="","",'Portfolio Register'!$CO101)</f>
        <v/>
      </c>
      <c r="I137" s="225" t="str">
        <f>IF($B137="","",'Portfolio Register'!$CW101)</f>
        <v/>
      </c>
      <c r="J137" s="214" t="str">
        <f t="shared" si="30"/>
        <v/>
      </c>
      <c r="K137" s="214" t="str">
        <f t="shared" si="31"/>
        <v/>
      </c>
      <c r="L137" s="214" t="str">
        <f t="shared" si="32"/>
        <v/>
      </c>
      <c r="M137" s="214" t="str">
        <f t="shared" si="33"/>
        <v/>
      </c>
      <c r="N137" s="214" t="str">
        <f t="shared" si="34"/>
        <v/>
      </c>
      <c r="O137" s="214" t="str">
        <f t="shared" si="35"/>
        <v/>
      </c>
      <c r="P137" s="214" t="str">
        <f t="shared" si="36"/>
        <v/>
      </c>
      <c r="Q137" s="214" t="str">
        <f t="shared" si="37"/>
        <v/>
      </c>
      <c r="R137" s="214" t="str">
        <f t="shared" si="38"/>
        <v/>
      </c>
      <c r="S137" s="214" t="str">
        <f t="shared" si="39"/>
        <v/>
      </c>
      <c r="T137" s="214" t="str">
        <f t="shared" si="40"/>
        <v/>
      </c>
      <c r="U137" s="214" t="str">
        <f t="shared" si="41"/>
        <v/>
      </c>
      <c r="V137" s="214" t="str">
        <f t="shared" si="42"/>
        <v/>
      </c>
      <c r="W137" s="214" t="str">
        <f t="shared" si="43"/>
        <v/>
      </c>
      <c r="X137" s="214" t="str">
        <f t="shared" si="44"/>
        <v/>
      </c>
      <c r="Y137" s="214" t="str">
        <f t="shared" si="45"/>
        <v/>
      </c>
      <c r="Z137" s="214" t="str">
        <f t="shared" si="46"/>
        <v/>
      </c>
      <c r="AA137" s="214" t="str">
        <f t="shared" si="47"/>
        <v/>
      </c>
      <c r="AB137" s="214" t="str">
        <f t="shared" si="48"/>
        <v/>
      </c>
      <c r="AC137" s="214" t="str">
        <f t="shared" si="49"/>
        <v/>
      </c>
    </row>
    <row r="138" spans="2:29" x14ac:dyDescent="0.35">
      <c r="B138" s="208" t="str">
        <f>IF('Portfolio Register'!$A102="","",'Portfolio Register'!$A102)</f>
        <v/>
      </c>
      <c r="C138" s="208" t="str">
        <f>IF($B138="","",'Portfolio Register'!$B102)</f>
        <v/>
      </c>
      <c r="D138" s="208" t="str">
        <f>IF($B138="","",'Portfolio Register'!$I102)</f>
        <v/>
      </c>
      <c r="E138" s="208" t="str">
        <f>IF($B138="","",'Portfolio Register'!$DG102)</f>
        <v/>
      </c>
      <c r="F138" s="224" t="str">
        <f t="shared" si="29"/>
        <v/>
      </c>
      <c r="G138" s="225" t="str">
        <f>IF($B138="","",'Portfolio Register'!$J102)</f>
        <v/>
      </c>
      <c r="H138" s="225" t="str">
        <f>IF($B138="","",'Portfolio Register'!$CO102)</f>
        <v/>
      </c>
      <c r="I138" s="225" t="str">
        <f>IF($B138="","",'Portfolio Register'!$CW102)</f>
        <v/>
      </c>
      <c r="J138" s="214" t="str">
        <f t="shared" si="30"/>
        <v/>
      </c>
      <c r="K138" s="214" t="str">
        <f t="shared" si="31"/>
        <v/>
      </c>
      <c r="L138" s="214" t="str">
        <f t="shared" si="32"/>
        <v/>
      </c>
      <c r="M138" s="214" t="str">
        <f t="shared" si="33"/>
        <v/>
      </c>
      <c r="N138" s="214" t="str">
        <f t="shared" si="34"/>
        <v/>
      </c>
      <c r="O138" s="214" t="str">
        <f t="shared" si="35"/>
        <v/>
      </c>
      <c r="P138" s="214" t="str">
        <f t="shared" si="36"/>
        <v/>
      </c>
      <c r="Q138" s="214" t="str">
        <f t="shared" si="37"/>
        <v/>
      </c>
      <c r="R138" s="214" t="str">
        <f t="shared" si="38"/>
        <v/>
      </c>
      <c r="S138" s="214" t="str">
        <f t="shared" si="39"/>
        <v/>
      </c>
      <c r="T138" s="214" t="str">
        <f t="shared" si="40"/>
        <v/>
      </c>
      <c r="U138" s="214" t="str">
        <f t="shared" si="41"/>
        <v/>
      </c>
      <c r="V138" s="214" t="str">
        <f t="shared" si="42"/>
        <v/>
      </c>
      <c r="W138" s="214" t="str">
        <f t="shared" si="43"/>
        <v/>
      </c>
      <c r="X138" s="214" t="str">
        <f t="shared" si="44"/>
        <v/>
      </c>
      <c r="Y138" s="214" t="str">
        <f t="shared" si="45"/>
        <v/>
      </c>
      <c r="Z138" s="214" t="str">
        <f t="shared" si="46"/>
        <v/>
      </c>
      <c r="AA138" s="214" t="str">
        <f t="shared" si="47"/>
        <v/>
      </c>
      <c r="AB138" s="214" t="str">
        <f t="shared" si="48"/>
        <v/>
      </c>
      <c r="AC138" s="214" t="str">
        <f t="shared" si="49"/>
        <v/>
      </c>
    </row>
    <row r="139" spans="2:29" x14ac:dyDescent="0.35">
      <c r="B139" s="208" t="str">
        <f>IF('Portfolio Register'!$A103="","",'Portfolio Register'!$A103)</f>
        <v/>
      </c>
      <c r="C139" s="208" t="str">
        <f>IF($B139="","",'Portfolio Register'!$B103)</f>
        <v/>
      </c>
      <c r="D139" s="208" t="str">
        <f>IF($B139="","",'Portfolio Register'!$I103)</f>
        <v/>
      </c>
      <c r="E139" s="208" t="str">
        <f>IF($B139="","",'Portfolio Register'!$DG103)</f>
        <v/>
      </c>
      <c r="F139" s="224" t="str">
        <f t="shared" si="29"/>
        <v/>
      </c>
      <c r="G139" s="225" t="str">
        <f>IF($B139="","",'Portfolio Register'!$J103)</f>
        <v/>
      </c>
      <c r="H139" s="225" t="str">
        <f>IF($B139="","",'Portfolio Register'!$CO103)</f>
        <v/>
      </c>
      <c r="I139" s="225" t="str">
        <f>IF($B139="","",'Portfolio Register'!$CW103)</f>
        <v/>
      </c>
      <c r="J139" s="214" t="str">
        <f t="shared" si="30"/>
        <v/>
      </c>
      <c r="K139" s="214" t="str">
        <f t="shared" si="31"/>
        <v/>
      </c>
      <c r="L139" s="214" t="str">
        <f t="shared" si="32"/>
        <v/>
      </c>
      <c r="M139" s="214" t="str">
        <f t="shared" si="33"/>
        <v/>
      </c>
      <c r="N139" s="214" t="str">
        <f t="shared" si="34"/>
        <v/>
      </c>
      <c r="O139" s="214" t="str">
        <f t="shared" si="35"/>
        <v/>
      </c>
      <c r="P139" s="214" t="str">
        <f t="shared" si="36"/>
        <v/>
      </c>
      <c r="Q139" s="214" t="str">
        <f t="shared" si="37"/>
        <v/>
      </c>
      <c r="R139" s="214" t="str">
        <f t="shared" si="38"/>
        <v/>
      </c>
      <c r="S139" s="214" t="str">
        <f t="shared" si="39"/>
        <v/>
      </c>
      <c r="T139" s="214" t="str">
        <f t="shared" si="40"/>
        <v/>
      </c>
      <c r="U139" s="214" t="str">
        <f t="shared" si="41"/>
        <v/>
      </c>
      <c r="V139" s="214" t="str">
        <f t="shared" si="42"/>
        <v/>
      </c>
      <c r="W139" s="214" t="str">
        <f t="shared" si="43"/>
        <v/>
      </c>
      <c r="X139" s="214" t="str">
        <f t="shared" si="44"/>
        <v/>
      </c>
      <c r="Y139" s="214" t="str">
        <f t="shared" si="45"/>
        <v/>
      </c>
      <c r="Z139" s="214" t="str">
        <f t="shared" si="46"/>
        <v/>
      </c>
      <c r="AA139" s="214" t="str">
        <f t="shared" si="47"/>
        <v/>
      </c>
      <c r="AB139" s="214" t="str">
        <f t="shared" si="48"/>
        <v/>
      </c>
      <c r="AC139" s="214" t="str">
        <f t="shared" si="49"/>
        <v/>
      </c>
    </row>
    <row r="140" spans="2:29" x14ac:dyDescent="0.35">
      <c r="B140" s="208" t="str">
        <f>IF('Portfolio Register'!$A104="","",'Portfolio Register'!$A104)</f>
        <v/>
      </c>
      <c r="C140" s="208" t="str">
        <f>IF($B140="","",'Portfolio Register'!$B104)</f>
        <v/>
      </c>
      <c r="D140" s="208" t="str">
        <f>IF($B140="","",'Portfolio Register'!$I104)</f>
        <v/>
      </c>
      <c r="E140" s="208" t="str">
        <f>IF($B140="","",'Portfolio Register'!$DG104)</f>
        <v/>
      </c>
      <c r="F140" s="224" t="str">
        <f t="shared" si="29"/>
        <v/>
      </c>
      <c r="G140" s="225" t="str">
        <f>IF($B140="","",'Portfolio Register'!$J104)</f>
        <v/>
      </c>
      <c r="H140" s="225" t="str">
        <f>IF($B140="","",'Portfolio Register'!$CO104)</f>
        <v/>
      </c>
      <c r="I140" s="225" t="str">
        <f>IF($B140="","",'Portfolio Register'!$CW104)</f>
        <v/>
      </c>
      <c r="J140" s="214" t="str">
        <f t="shared" si="30"/>
        <v/>
      </c>
      <c r="K140" s="214" t="str">
        <f t="shared" si="31"/>
        <v/>
      </c>
      <c r="L140" s="214" t="str">
        <f t="shared" si="32"/>
        <v/>
      </c>
      <c r="M140" s="214" t="str">
        <f t="shared" si="33"/>
        <v/>
      </c>
      <c r="N140" s="214" t="str">
        <f t="shared" si="34"/>
        <v/>
      </c>
      <c r="O140" s="214" t="str">
        <f t="shared" si="35"/>
        <v/>
      </c>
      <c r="P140" s="214" t="str">
        <f t="shared" si="36"/>
        <v/>
      </c>
      <c r="Q140" s="214" t="str">
        <f t="shared" si="37"/>
        <v/>
      </c>
      <c r="R140" s="214" t="str">
        <f t="shared" si="38"/>
        <v/>
      </c>
      <c r="S140" s="214" t="str">
        <f t="shared" si="39"/>
        <v/>
      </c>
      <c r="T140" s="214" t="str">
        <f t="shared" si="40"/>
        <v/>
      </c>
      <c r="U140" s="214" t="str">
        <f t="shared" si="41"/>
        <v/>
      </c>
      <c r="V140" s="214" t="str">
        <f t="shared" si="42"/>
        <v/>
      </c>
      <c r="W140" s="214" t="str">
        <f t="shared" si="43"/>
        <v/>
      </c>
      <c r="X140" s="214" t="str">
        <f t="shared" si="44"/>
        <v/>
      </c>
      <c r="Y140" s="214" t="str">
        <f t="shared" si="45"/>
        <v/>
      </c>
      <c r="Z140" s="214" t="str">
        <f t="shared" si="46"/>
        <v/>
      </c>
      <c r="AA140" s="214" t="str">
        <f t="shared" si="47"/>
        <v/>
      </c>
      <c r="AB140" s="214" t="str">
        <f t="shared" si="48"/>
        <v/>
      </c>
      <c r="AC140" s="214" t="str">
        <f t="shared" si="49"/>
        <v/>
      </c>
    </row>
    <row r="141" spans="2:29" x14ac:dyDescent="0.35">
      <c r="B141" s="208" t="str">
        <f>IF('Portfolio Register'!$A105="","",'Portfolio Register'!$A105)</f>
        <v/>
      </c>
      <c r="C141" s="208" t="str">
        <f>IF($B141="","",'Portfolio Register'!$B105)</f>
        <v/>
      </c>
      <c r="D141" s="208" t="str">
        <f>IF($B141="","",'Portfolio Register'!$I105)</f>
        <v/>
      </c>
      <c r="E141" s="208" t="str">
        <f>IF($B141="","",'Portfolio Register'!$DG105)</f>
        <v/>
      </c>
      <c r="F141" s="224" t="str">
        <f t="shared" si="29"/>
        <v/>
      </c>
      <c r="G141" s="225" t="str">
        <f>IF($B141="","",'Portfolio Register'!$J105)</f>
        <v/>
      </c>
      <c r="H141" s="225" t="str">
        <f>IF($B141="","",'Portfolio Register'!$CO105)</f>
        <v/>
      </c>
      <c r="I141" s="225" t="str">
        <f>IF($B141="","",'Portfolio Register'!$CW105)</f>
        <v/>
      </c>
      <c r="J141" s="214" t="str">
        <f t="shared" si="30"/>
        <v/>
      </c>
      <c r="K141" s="214" t="str">
        <f t="shared" si="31"/>
        <v/>
      </c>
      <c r="L141" s="214" t="str">
        <f t="shared" si="32"/>
        <v/>
      </c>
      <c r="M141" s="214" t="str">
        <f t="shared" si="33"/>
        <v/>
      </c>
      <c r="N141" s="214" t="str">
        <f t="shared" si="34"/>
        <v/>
      </c>
      <c r="O141" s="214" t="str">
        <f t="shared" si="35"/>
        <v/>
      </c>
      <c r="P141" s="214" t="str">
        <f t="shared" si="36"/>
        <v/>
      </c>
      <c r="Q141" s="214" t="str">
        <f t="shared" si="37"/>
        <v/>
      </c>
      <c r="R141" s="214" t="str">
        <f t="shared" si="38"/>
        <v/>
      </c>
      <c r="S141" s="214" t="str">
        <f t="shared" si="39"/>
        <v/>
      </c>
      <c r="T141" s="214" t="str">
        <f t="shared" si="40"/>
        <v/>
      </c>
      <c r="U141" s="214" t="str">
        <f t="shared" si="41"/>
        <v/>
      </c>
      <c r="V141" s="214" t="str">
        <f t="shared" si="42"/>
        <v/>
      </c>
      <c r="W141" s="214" t="str">
        <f t="shared" si="43"/>
        <v/>
      </c>
      <c r="X141" s="214" t="str">
        <f t="shared" si="44"/>
        <v/>
      </c>
      <c r="Y141" s="214" t="str">
        <f t="shared" si="45"/>
        <v/>
      </c>
      <c r="Z141" s="214" t="str">
        <f t="shared" si="46"/>
        <v/>
      </c>
      <c r="AA141" s="214" t="str">
        <f t="shared" si="47"/>
        <v/>
      </c>
      <c r="AB141" s="214" t="str">
        <f t="shared" si="48"/>
        <v/>
      </c>
      <c r="AC141" s="214" t="str">
        <f t="shared" si="49"/>
        <v/>
      </c>
    </row>
    <row r="142" spans="2:29" x14ac:dyDescent="0.35">
      <c r="B142" s="208" t="str">
        <f>IF('Portfolio Register'!$A106="","",'Portfolio Register'!$A106)</f>
        <v/>
      </c>
      <c r="C142" s="208" t="str">
        <f>IF($B142="","",'Portfolio Register'!$B106)</f>
        <v/>
      </c>
      <c r="D142" s="208" t="str">
        <f>IF($B142="","",'Portfolio Register'!$I106)</f>
        <v/>
      </c>
      <c r="E142" s="208" t="str">
        <f>IF($B142="","",'Portfolio Register'!$DG106)</f>
        <v/>
      </c>
      <c r="F142" s="224" t="str">
        <f t="shared" si="29"/>
        <v/>
      </c>
      <c r="G142" s="225" t="str">
        <f>IF($B142="","",'Portfolio Register'!$J106)</f>
        <v/>
      </c>
      <c r="H142" s="225" t="str">
        <f>IF($B142="","",'Portfolio Register'!$CO106)</f>
        <v/>
      </c>
      <c r="I142" s="225" t="str">
        <f>IF($B142="","",'Portfolio Register'!$CW106)</f>
        <v/>
      </c>
      <c r="J142" s="214" t="str">
        <f t="shared" si="30"/>
        <v/>
      </c>
      <c r="K142" s="214" t="str">
        <f t="shared" si="31"/>
        <v/>
      </c>
      <c r="L142" s="214" t="str">
        <f t="shared" si="32"/>
        <v/>
      </c>
      <c r="M142" s="214" t="str">
        <f t="shared" si="33"/>
        <v/>
      </c>
      <c r="N142" s="214" t="str">
        <f t="shared" si="34"/>
        <v/>
      </c>
      <c r="O142" s="214" t="str">
        <f t="shared" si="35"/>
        <v/>
      </c>
      <c r="P142" s="214" t="str">
        <f t="shared" si="36"/>
        <v/>
      </c>
      <c r="Q142" s="214" t="str">
        <f t="shared" si="37"/>
        <v/>
      </c>
      <c r="R142" s="214" t="str">
        <f t="shared" si="38"/>
        <v/>
      </c>
      <c r="S142" s="214" t="str">
        <f t="shared" si="39"/>
        <v/>
      </c>
      <c r="T142" s="214" t="str">
        <f t="shared" si="40"/>
        <v/>
      </c>
      <c r="U142" s="214" t="str">
        <f t="shared" si="41"/>
        <v/>
      </c>
      <c r="V142" s="214" t="str">
        <f t="shared" si="42"/>
        <v/>
      </c>
      <c r="W142" s="214" t="str">
        <f t="shared" si="43"/>
        <v/>
      </c>
      <c r="X142" s="214" t="str">
        <f t="shared" si="44"/>
        <v/>
      </c>
      <c r="Y142" s="214" t="str">
        <f t="shared" si="45"/>
        <v/>
      </c>
      <c r="Z142" s="214" t="str">
        <f t="shared" si="46"/>
        <v/>
      </c>
      <c r="AA142" s="214" t="str">
        <f t="shared" si="47"/>
        <v/>
      </c>
      <c r="AB142" s="214" t="str">
        <f t="shared" si="48"/>
        <v/>
      </c>
      <c r="AC142" s="214" t="str">
        <f t="shared" si="49"/>
        <v/>
      </c>
    </row>
    <row r="143" spans="2:29" x14ac:dyDescent="0.35">
      <c r="B143" s="208" t="str">
        <f>IF('Portfolio Register'!$A107="","",'Portfolio Register'!$A107)</f>
        <v/>
      </c>
      <c r="C143" s="208" t="str">
        <f>IF($B143="","",'Portfolio Register'!$B107)</f>
        <v/>
      </c>
      <c r="D143" s="208" t="str">
        <f>IF($B143="","",'Portfolio Register'!$I107)</f>
        <v/>
      </c>
      <c r="E143" s="208" t="str">
        <f>IF($B143="","",'Portfolio Register'!$DG107)</f>
        <v/>
      </c>
      <c r="F143" s="224" t="str">
        <f t="shared" si="29"/>
        <v/>
      </c>
      <c r="G143" s="225" t="str">
        <f>IF($B143="","",'Portfolio Register'!$J107)</f>
        <v/>
      </c>
      <c r="H143" s="225" t="str">
        <f>IF($B143="","",'Portfolio Register'!$CO107)</f>
        <v/>
      </c>
      <c r="I143" s="225" t="str">
        <f>IF($B143="","",'Portfolio Register'!$CW107)</f>
        <v/>
      </c>
      <c r="J143" s="214" t="str">
        <f t="shared" si="30"/>
        <v/>
      </c>
      <c r="K143" s="214" t="str">
        <f t="shared" si="31"/>
        <v/>
      </c>
      <c r="L143" s="214" t="str">
        <f t="shared" si="32"/>
        <v/>
      </c>
      <c r="M143" s="214" t="str">
        <f t="shared" si="33"/>
        <v/>
      </c>
      <c r="N143" s="214" t="str">
        <f t="shared" si="34"/>
        <v/>
      </c>
      <c r="O143" s="214" t="str">
        <f t="shared" si="35"/>
        <v/>
      </c>
      <c r="P143" s="214" t="str">
        <f t="shared" si="36"/>
        <v/>
      </c>
      <c r="Q143" s="214" t="str">
        <f t="shared" si="37"/>
        <v/>
      </c>
      <c r="R143" s="214" t="str">
        <f t="shared" si="38"/>
        <v/>
      </c>
      <c r="S143" s="214" t="str">
        <f t="shared" si="39"/>
        <v/>
      </c>
      <c r="T143" s="214" t="str">
        <f t="shared" si="40"/>
        <v/>
      </c>
      <c r="U143" s="214" t="str">
        <f t="shared" si="41"/>
        <v/>
      </c>
      <c r="V143" s="214" t="str">
        <f t="shared" si="42"/>
        <v/>
      </c>
      <c r="W143" s="214" t="str">
        <f t="shared" si="43"/>
        <v/>
      </c>
      <c r="X143" s="214" t="str">
        <f t="shared" si="44"/>
        <v/>
      </c>
      <c r="Y143" s="214" t="str">
        <f t="shared" si="45"/>
        <v/>
      </c>
      <c r="Z143" s="214" t="str">
        <f t="shared" si="46"/>
        <v/>
      </c>
      <c r="AA143" s="214" t="str">
        <f t="shared" si="47"/>
        <v/>
      </c>
      <c r="AB143" s="214" t="str">
        <f t="shared" si="48"/>
        <v/>
      </c>
      <c r="AC143" s="214" t="str">
        <f t="shared" si="49"/>
        <v/>
      </c>
    </row>
    <row r="144" spans="2:29" x14ac:dyDescent="0.35">
      <c r="B144" s="208" t="str">
        <f>IF('Portfolio Register'!$A108="","",'Portfolio Register'!$A108)</f>
        <v/>
      </c>
      <c r="C144" s="208" t="str">
        <f>IF($B144="","",'Portfolio Register'!$B108)</f>
        <v/>
      </c>
      <c r="D144" s="208" t="str">
        <f>IF($B144="","",'Portfolio Register'!$I108)</f>
        <v/>
      </c>
      <c r="E144" s="208" t="str">
        <f>IF($B144="","",'Portfolio Register'!$DG108)</f>
        <v/>
      </c>
      <c r="F144" s="224" t="str">
        <f t="shared" si="29"/>
        <v/>
      </c>
      <c r="G144" s="225" t="str">
        <f>IF($B144="","",'Portfolio Register'!$J108)</f>
        <v/>
      </c>
      <c r="H144" s="225" t="str">
        <f>IF($B144="","",'Portfolio Register'!$CO108)</f>
        <v/>
      </c>
      <c r="I144" s="225" t="str">
        <f>IF($B144="","",'Portfolio Register'!$CW108)</f>
        <v/>
      </c>
      <c r="J144" s="214" t="str">
        <f t="shared" si="30"/>
        <v/>
      </c>
      <c r="K144" s="214" t="str">
        <f t="shared" si="31"/>
        <v/>
      </c>
      <c r="L144" s="214" t="str">
        <f t="shared" si="32"/>
        <v/>
      </c>
      <c r="M144" s="214" t="str">
        <f t="shared" si="33"/>
        <v/>
      </c>
      <c r="N144" s="214" t="str">
        <f t="shared" si="34"/>
        <v/>
      </c>
      <c r="O144" s="214" t="str">
        <f t="shared" si="35"/>
        <v/>
      </c>
      <c r="P144" s="214" t="str">
        <f t="shared" si="36"/>
        <v/>
      </c>
      <c r="Q144" s="214" t="str">
        <f t="shared" si="37"/>
        <v/>
      </c>
      <c r="R144" s="214" t="str">
        <f t="shared" si="38"/>
        <v/>
      </c>
      <c r="S144" s="214" t="str">
        <f t="shared" si="39"/>
        <v/>
      </c>
      <c r="T144" s="214" t="str">
        <f t="shared" si="40"/>
        <v/>
      </c>
      <c r="U144" s="214" t="str">
        <f t="shared" si="41"/>
        <v/>
      </c>
      <c r="V144" s="214" t="str">
        <f t="shared" si="42"/>
        <v/>
      </c>
      <c r="W144" s="214" t="str">
        <f t="shared" si="43"/>
        <v/>
      </c>
      <c r="X144" s="214" t="str">
        <f t="shared" si="44"/>
        <v/>
      </c>
      <c r="Y144" s="214" t="str">
        <f t="shared" si="45"/>
        <v/>
      </c>
      <c r="Z144" s="214" t="str">
        <f t="shared" si="46"/>
        <v/>
      </c>
      <c r="AA144" s="214" t="str">
        <f t="shared" si="47"/>
        <v/>
      </c>
      <c r="AB144" s="214" t="str">
        <f t="shared" si="48"/>
        <v/>
      </c>
      <c r="AC144" s="214" t="str">
        <f t="shared" si="49"/>
        <v/>
      </c>
    </row>
    <row r="145" spans="2:29" x14ac:dyDescent="0.35">
      <c r="B145" s="208" t="str">
        <f>IF('Portfolio Register'!$A109="","",'Portfolio Register'!$A109)</f>
        <v/>
      </c>
      <c r="C145" s="208" t="str">
        <f>IF($B145="","",'Portfolio Register'!$B109)</f>
        <v/>
      </c>
      <c r="D145" s="208" t="str">
        <f>IF($B145="","",'Portfolio Register'!$I109)</f>
        <v/>
      </c>
      <c r="E145" s="208" t="str">
        <f>IF($B145="","",'Portfolio Register'!$DG109)</f>
        <v/>
      </c>
      <c r="F145" s="224" t="str">
        <f t="shared" si="29"/>
        <v/>
      </c>
      <c r="G145" s="225" t="str">
        <f>IF($B145="","",'Portfolio Register'!$J109)</f>
        <v/>
      </c>
      <c r="H145" s="225" t="str">
        <f>IF($B145="","",'Portfolio Register'!$CO109)</f>
        <v/>
      </c>
      <c r="I145" s="225" t="str">
        <f>IF($B145="","",'Portfolio Register'!$CW109)</f>
        <v/>
      </c>
      <c r="J145" s="214" t="str">
        <f t="shared" si="30"/>
        <v/>
      </c>
      <c r="K145" s="214" t="str">
        <f t="shared" si="31"/>
        <v/>
      </c>
      <c r="L145" s="214" t="str">
        <f t="shared" si="32"/>
        <v/>
      </c>
      <c r="M145" s="214" t="str">
        <f t="shared" si="33"/>
        <v/>
      </c>
      <c r="N145" s="214" t="str">
        <f t="shared" si="34"/>
        <v/>
      </c>
      <c r="O145" s="214" t="str">
        <f t="shared" si="35"/>
        <v/>
      </c>
      <c r="P145" s="214" t="str">
        <f t="shared" si="36"/>
        <v/>
      </c>
      <c r="Q145" s="214" t="str">
        <f t="shared" si="37"/>
        <v/>
      </c>
      <c r="R145" s="214" t="str">
        <f t="shared" si="38"/>
        <v/>
      </c>
      <c r="S145" s="214" t="str">
        <f t="shared" si="39"/>
        <v/>
      </c>
      <c r="T145" s="214" t="str">
        <f t="shared" si="40"/>
        <v/>
      </c>
      <c r="U145" s="214" t="str">
        <f t="shared" si="41"/>
        <v/>
      </c>
      <c r="V145" s="214" t="str">
        <f t="shared" si="42"/>
        <v/>
      </c>
      <c r="W145" s="214" t="str">
        <f t="shared" si="43"/>
        <v/>
      </c>
      <c r="X145" s="214" t="str">
        <f t="shared" si="44"/>
        <v/>
      </c>
      <c r="Y145" s="214" t="str">
        <f t="shared" si="45"/>
        <v/>
      </c>
      <c r="Z145" s="214" t="str">
        <f t="shared" si="46"/>
        <v/>
      </c>
      <c r="AA145" s="214" t="str">
        <f t="shared" si="47"/>
        <v/>
      </c>
      <c r="AB145" s="214" t="str">
        <f t="shared" si="48"/>
        <v/>
      </c>
      <c r="AC145" s="214" t="str">
        <f t="shared" si="49"/>
        <v/>
      </c>
    </row>
    <row r="146" spans="2:29" x14ac:dyDescent="0.35">
      <c r="B146" s="208" t="str">
        <f>IF('Portfolio Register'!$A110="","",'Portfolio Register'!$A110)</f>
        <v/>
      </c>
      <c r="C146" s="208" t="str">
        <f>IF($B146="","",'Portfolio Register'!$B110)</f>
        <v/>
      </c>
      <c r="D146" s="208" t="str">
        <f>IF($B146="","",'Portfolio Register'!$I110)</f>
        <v/>
      </c>
      <c r="E146" s="208" t="str">
        <f>IF($B146="","",'Portfolio Register'!$DG110)</f>
        <v/>
      </c>
      <c r="F146" s="224" t="str">
        <f t="shared" si="29"/>
        <v/>
      </c>
      <c r="G146" s="225" t="str">
        <f>IF($B146="","",'Portfolio Register'!$J110)</f>
        <v/>
      </c>
      <c r="H146" s="225" t="str">
        <f>IF($B146="","",'Portfolio Register'!$CO110)</f>
        <v/>
      </c>
      <c r="I146" s="225" t="str">
        <f>IF($B146="","",'Portfolio Register'!$CW110)</f>
        <v/>
      </c>
      <c r="J146" s="214" t="str">
        <f t="shared" si="30"/>
        <v/>
      </c>
      <c r="K146" s="214" t="str">
        <f t="shared" si="31"/>
        <v/>
      </c>
      <c r="L146" s="214" t="str">
        <f t="shared" si="32"/>
        <v/>
      </c>
      <c r="M146" s="214" t="str">
        <f t="shared" si="33"/>
        <v/>
      </c>
      <c r="N146" s="214" t="str">
        <f t="shared" si="34"/>
        <v/>
      </c>
      <c r="O146" s="214" t="str">
        <f t="shared" si="35"/>
        <v/>
      </c>
      <c r="P146" s="214" t="str">
        <f t="shared" si="36"/>
        <v/>
      </c>
      <c r="Q146" s="214" t="str">
        <f t="shared" si="37"/>
        <v/>
      </c>
      <c r="R146" s="214" t="str">
        <f t="shared" si="38"/>
        <v/>
      </c>
      <c r="S146" s="214" t="str">
        <f t="shared" si="39"/>
        <v/>
      </c>
      <c r="T146" s="214" t="str">
        <f t="shared" si="40"/>
        <v/>
      </c>
      <c r="U146" s="214" t="str">
        <f t="shared" si="41"/>
        <v/>
      </c>
      <c r="V146" s="214" t="str">
        <f t="shared" si="42"/>
        <v/>
      </c>
      <c r="W146" s="214" t="str">
        <f t="shared" si="43"/>
        <v/>
      </c>
      <c r="X146" s="214" t="str">
        <f t="shared" si="44"/>
        <v/>
      </c>
      <c r="Y146" s="214" t="str">
        <f t="shared" si="45"/>
        <v/>
      </c>
      <c r="Z146" s="214" t="str">
        <f t="shared" si="46"/>
        <v/>
      </c>
      <c r="AA146" s="214" t="str">
        <f t="shared" si="47"/>
        <v/>
      </c>
      <c r="AB146" s="214" t="str">
        <f t="shared" si="48"/>
        <v/>
      </c>
      <c r="AC146" s="214" t="str">
        <f t="shared" si="49"/>
        <v/>
      </c>
    </row>
    <row r="147" spans="2:29" x14ac:dyDescent="0.35">
      <c r="B147" s="208" t="str">
        <f>IF('Portfolio Register'!$A111="","",'Portfolio Register'!$A111)</f>
        <v/>
      </c>
      <c r="C147" s="208" t="str">
        <f>IF($B147="","",'Portfolio Register'!$B111)</f>
        <v/>
      </c>
      <c r="D147" s="208" t="str">
        <f>IF($B147="","",'Portfolio Register'!$I111)</f>
        <v/>
      </c>
      <c r="E147" s="208" t="str">
        <f>IF($B147="","",'Portfolio Register'!$DG111)</f>
        <v/>
      </c>
      <c r="F147" s="224" t="str">
        <f t="shared" si="29"/>
        <v/>
      </c>
      <c r="G147" s="225" t="str">
        <f>IF($B147="","",'Portfolio Register'!$J111)</f>
        <v/>
      </c>
      <c r="H147" s="225" t="str">
        <f>IF($B147="","",'Portfolio Register'!$CO111)</f>
        <v/>
      </c>
      <c r="I147" s="225" t="str">
        <f>IF($B147="","",'Portfolio Register'!$CW111)</f>
        <v/>
      </c>
      <c r="J147" s="214" t="str">
        <f t="shared" si="30"/>
        <v/>
      </c>
      <c r="K147" s="214" t="str">
        <f t="shared" si="31"/>
        <v/>
      </c>
      <c r="L147" s="214" t="str">
        <f t="shared" si="32"/>
        <v/>
      </c>
      <c r="M147" s="214" t="str">
        <f t="shared" si="33"/>
        <v/>
      </c>
      <c r="N147" s="214" t="str">
        <f t="shared" si="34"/>
        <v/>
      </c>
      <c r="O147" s="214" t="str">
        <f t="shared" si="35"/>
        <v/>
      </c>
      <c r="P147" s="214" t="str">
        <f t="shared" si="36"/>
        <v/>
      </c>
      <c r="Q147" s="214" t="str">
        <f t="shared" si="37"/>
        <v/>
      </c>
      <c r="R147" s="214" t="str">
        <f t="shared" si="38"/>
        <v/>
      </c>
      <c r="S147" s="214" t="str">
        <f t="shared" si="39"/>
        <v/>
      </c>
      <c r="T147" s="214" t="str">
        <f t="shared" si="40"/>
        <v/>
      </c>
      <c r="U147" s="214" t="str">
        <f t="shared" si="41"/>
        <v/>
      </c>
      <c r="V147" s="214" t="str">
        <f t="shared" si="42"/>
        <v/>
      </c>
      <c r="W147" s="214" t="str">
        <f t="shared" si="43"/>
        <v/>
      </c>
      <c r="X147" s="214" t="str">
        <f t="shared" si="44"/>
        <v/>
      </c>
      <c r="Y147" s="214" t="str">
        <f t="shared" si="45"/>
        <v/>
      </c>
      <c r="Z147" s="214" t="str">
        <f t="shared" si="46"/>
        <v/>
      </c>
      <c r="AA147" s="214" t="str">
        <f t="shared" si="47"/>
        <v/>
      </c>
      <c r="AB147" s="214" t="str">
        <f t="shared" si="48"/>
        <v/>
      </c>
      <c r="AC147" s="214" t="str">
        <f t="shared" si="49"/>
        <v/>
      </c>
    </row>
    <row r="148" spans="2:29" x14ac:dyDescent="0.35">
      <c r="B148" s="208" t="str">
        <f>IF('Portfolio Register'!$A112="","",'Portfolio Register'!$A112)</f>
        <v/>
      </c>
      <c r="C148" s="208" t="str">
        <f>IF($B148="","",'Portfolio Register'!$B112)</f>
        <v/>
      </c>
      <c r="D148" s="208" t="str">
        <f>IF($B148="","",'Portfolio Register'!$I112)</f>
        <v/>
      </c>
      <c r="E148" s="208" t="str">
        <f>IF($B148="","",'Portfolio Register'!$DG112)</f>
        <v/>
      </c>
      <c r="F148" s="224" t="str">
        <f t="shared" si="29"/>
        <v/>
      </c>
      <c r="G148" s="225" t="str">
        <f>IF($B148="","",'Portfolio Register'!$J112)</f>
        <v/>
      </c>
      <c r="H148" s="225" t="str">
        <f>IF($B148="","",'Portfolio Register'!$CO112)</f>
        <v/>
      </c>
      <c r="I148" s="225" t="str">
        <f>IF($B148="","",'Portfolio Register'!$CW112)</f>
        <v/>
      </c>
      <c r="J148" s="214" t="str">
        <f t="shared" si="30"/>
        <v/>
      </c>
      <c r="K148" s="214" t="str">
        <f t="shared" si="31"/>
        <v/>
      </c>
      <c r="L148" s="214" t="str">
        <f t="shared" si="32"/>
        <v/>
      </c>
      <c r="M148" s="214" t="str">
        <f t="shared" si="33"/>
        <v/>
      </c>
      <c r="N148" s="214" t="str">
        <f t="shared" si="34"/>
        <v/>
      </c>
      <c r="O148" s="214" t="str">
        <f t="shared" si="35"/>
        <v/>
      </c>
      <c r="P148" s="214" t="str">
        <f t="shared" si="36"/>
        <v/>
      </c>
      <c r="Q148" s="214" t="str">
        <f t="shared" si="37"/>
        <v/>
      </c>
      <c r="R148" s="214" t="str">
        <f t="shared" si="38"/>
        <v/>
      </c>
      <c r="S148" s="214" t="str">
        <f t="shared" si="39"/>
        <v/>
      </c>
      <c r="T148" s="214" t="str">
        <f t="shared" si="40"/>
        <v/>
      </c>
      <c r="U148" s="214" t="str">
        <f t="shared" si="41"/>
        <v/>
      </c>
      <c r="V148" s="214" t="str">
        <f t="shared" si="42"/>
        <v/>
      </c>
      <c r="W148" s="214" t="str">
        <f t="shared" si="43"/>
        <v/>
      </c>
      <c r="X148" s="214" t="str">
        <f t="shared" si="44"/>
        <v/>
      </c>
      <c r="Y148" s="214" t="str">
        <f t="shared" si="45"/>
        <v/>
      </c>
      <c r="Z148" s="214" t="str">
        <f t="shared" si="46"/>
        <v/>
      </c>
      <c r="AA148" s="214" t="str">
        <f t="shared" si="47"/>
        <v/>
      </c>
      <c r="AB148" s="214" t="str">
        <f t="shared" si="48"/>
        <v/>
      </c>
      <c r="AC148" s="214" t="str">
        <f t="shared" si="49"/>
        <v/>
      </c>
    </row>
    <row r="149" spans="2:29" x14ac:dyDescent="0.35">
      <c r="B149" s="208" t="str">
        <f>IF('Portfolio Register'!$A113="","",'Portfolio Register'!$A113)</f>
        <v/>
      </c>
      <c r="C149" s="208" t="str">
        <f>IF($B149="","",'Portfolio Register'!$B113)</f>
        <v/>
      </c>
      <c r="D149" s="208" t="str">
        <f>IF($B149="","",'Portfolio Register'!$I113)</f>
        <v/>
      </c>
      <c r="E149" s="208" t="str">
        <f>IF($B149="","",'Portfolio Register'!$DG113)</f>
        <v/>
      </c>
      <c r="F149" s="224" t="str">
        <f t="shared" si="29"/>
        <v/>
      </c>
      <c r="G149" s="225" t="str">
        <f>IF($B149="","",'Portfolio Register'!$J113)</f>
        <v/>
      </c>
      <c r="H149" s="225" t="str">
        <f>IF($B149="","",'Portfolio Register'!$CO113)</f>
        <v/>
      </c>
      <c r="I149" s="225" t="str">
        <f>IF($B149="","",'Portfolio Register'!$CW113)</f>
        <v/>
      </c>
      <c r="J149" s="214" t="str">
        <f t="shared" si="30"/>
        <v/>
      </c>
      <c r="K149" s="214" t="str">
        <f t="shared" si="31"/>
        <v/>
      </c>
      <c r="L149" s="214" t="str">
        <f t="shared" si="32"/>
        <v/>
      </c>
      <c r="M149" s="214" t="str">
        <f t="shared" si="33"/>
        <v/>
      </c>
      <c r="N149" s="214" t="str">
        <f t="shared" si="34"/>
        <v/>
      </c>
      <c r="O149" s="214" t="str">
        <f t="shared" si="35"/>
        <v/>
      </c>
      <c r="P149" s="214" t="str">
        <f t="shared" si="36"/>
        <v/>
      </c>
      <c r="Q149" s="214" t="str">
        <f t="shared" si="37"/>
        <v/>
      </c>
      <c r="R149" s="214" t="str">
        <f t="shared" si="38"/>
        <v/>
      </c>
      <c r="S149" s="214" t="str">
        <f t="shared" si="39"/>
        <v/>
      </c>
      <c r="T149" s="214" t="str">
        <f t="shared" si="40"/>
        <v/>
      </c>
      <c r="U149" s="214" t="str">
        <f t="shared" si="41"/>
        <v/>
      </c>
      <c r="V149" s="214" t="str">
        <f t="shared" si="42"/>
        <v/>
      </c>
      <c r="W149" s="214" t="str">
        <f t="shared" si="43"/>
        <v/>
      </c>
      <c r="X149" s="214" t="str">
        <f t="shared" si="44"/>
        <v/>
      </c>
      <c r="Y149" s="214" t="str">
        <f t="shared" si="45"/>
        <v/>
      </c>
      <c r="Z149" s="214" t="str">
        <f t="shared" si="46"/>
        <v/>
      </c>
      <c r="AA149" s="214" t="str">
        <f t="shared" si="47"/>
        <v/>
      </c>
      <c r="AB149" s="214" t="str">
        <f t="shared" si="48"/>
        <v/>
      </c>
      <c r="AC149" s="214" t="str">
        <f t="shared" si="49"/>
        <v/>
      </c>
    </row>
    <row r="150" spans="2:29" x14ac:dyDescent="0.35">
      <c r="B150" s="208" t="str">
        <f>IF('Portfolio Register'!$A114="","",'Portfolio Register'!$A114)</f>
        <v/>
      </c>
      <c r="C150" s="208" t="str">
        <f>IF($B150="","",'Portfolio Register'!$B114)</f>
        <v/>
      </c>
      <c r="D150" s="208" t="str">
        <f>IF($B150="","",'Portfolio Register'!$I114)</f>
        <v/>
      </c>
      <c r="E150" s="208" t="str">
        <f>IF($B150="","",'Portfolio Register'!$DG114)</f>
        <v/>
      </c>
      <c r="F150" s="224" t="str">
        <f t="shared" si="29"/>
        <v/>
      </c>
      <c r="G150" s="225" t="str">
        <f>IF($B150="","",'Portfolio Register'!$J114)</f>
        <v/>
      </c>
      <c r="H150" s="225" t="str">
        <f>IF($B150="","",'Portfolio Register'!$CO114)</f>
        <v/>
      </c>
      <c r="I150" s="225" t="str">
        <f>IF($B150="","",'Portfolio Register'!$CW114)</f>
        <v/>
      </c>
      <c r="J150" s="214" t="str">
        <f t="shared" si="30"/>
        <v/>
      </c>
      <c r="K150" s="214" t="str">
        <f t="shared" si="31"/>
        <v/>
      </c>
      <c r="L150" s="214" t="str">
        <f t="shared" si="32"/>
        <v/>
      </c>
      <c r="M150" s="214" t="str">
        <f t="shared" si="33"/>
        <v/>
      </c>
      <c r="N150" s="214" t="str">
        <f t="shared" si="34"/>
        <v/>
      </c>
      <c r="O150" s="214" t="str">
        <f t="shared" si="35"/>
        <v/>
      </c>
      <c r="P150" s="214" t="str">
        <f t="shared" si="36"/>
        <v/>
      </c>
      <c r="Q150" s="214" t="str">
        <f t="shared" si="37"/>
        <v/>
      </c>
      <c r="R150" s="214" t="str">
        <f t="shared" si="38"/>
        <v/>
      </c>
      <c r="S150" s="214" t="str">
        <f t="shared" si="39"/>
        <v/>
      </c>
      <c r="T150" s="214" t="str">
        <f t="shared" si="40"/>
        <v/>
      </c>
      <c r="U150" s="214" t="str">
        <f t="shared" si="41"/>
        <v/>
      </c>
      <c r="V150" s="214" t="str">
        <f t="shared" si="42"/>
        <v/>
      </c>
      <c r="W150" s="214" t="str">
        <f t="shared" si="43"/>
        <v/>
      </c>
      <c r="X150" s="214" t="str">
        <f t="shared" si="44"/>
        <v/>
      </c>
      <c r="Y150" s="214" t="str">
        <f t="shared" si="45"/>
        <v/>
      </c>
      <c r="Z150" s="214" t="str">
        <f t="shared" si="46"/>
        <v/>
      </c>
      <c r="AA150" s="214" t="str">
        <f t="shared" si="47"/>
        <v/>
      </c>
      <c r="AB150" s="214" t="str">
        <f t="shared" si="48"/>
        <v/>
      </c>
      <c r="AC150" s="214" t="str">
        <f t="shared" si="49"/>
        <v/>
      </c>
    </row>
    <row r="151" spans="2:29" x14ac:dyDescent="0.35">
      <c r="B151" s="208" t="str">
        <f>IF('Portfolio Register'!$A115="","",'Portfolio Register'!$A115)</f>
        <v/>
      </c>
      <c r="C151" s="208" t="str">
        <f>IF($B151="","",'Portfolio Register'!$B115)</f>
        <v/>
      </c>
      <c r="D151" s="208" t="str">
        <f>IF($B151="","",'Portfolio Register'!$I115)</f>
        <v/>
      </c>
      <c r="E151" s="208" t="str">
        <f>IF($B151="","",'Portfolio Register'!$DG115)</f>
        <v/>
      </c>
      <c r="F151" s="224" t="str">
        <f t="shared" si="29"/>
        <v/>
      </c>
      <c r="G151" s="225" t="str">
        <f>IF($B151="","",'Portfolio Register'!$J115)</f>
        <v/>
      </c>
      <c r="H151" s="225" t="str">
        <f>IF($B151="","",'Portfolio Register'!$CO115)</f>
        <v/>
      </c>
      <c r="I151" s="225" t="str">
        <f>IF($B151="","",'Portfolio Register'!$CW115)</f>
        <v/>
      </c>
      <c r="J151" s="214" t="str">
        <f t="shared" si="30"/>
        <v/>
      </c>
      <c r="K151" s="214" t="str">
        <f t="shared" si="31"/>
        <v/>
      </c>
      <c r="L151" s="214" t="str">
        <f t="shared" si="32"/>
        <v/>
      </c>
      <c r="M151" s="214" t="str">
        <f t="shared" si="33"/>
        <v/>
      </c>
      <c r="N151" s="214" t="str">
        <f t="shared" si="34"/>
        <v/>
      </c>
      <c r="O151" s="214" t="str">
        <f t="shared" si="35"/>
        <v/>
      </c>
      <c r="P151" s="214" t="str">
        <f t="shared" si="36"/>
        <v/>
      </c>
      <c r="Q151" s="214" t="str">
        <f t="shared" si="37"/>
        <v/>
      </c>
      <c r="R151" s="214" t="str">
        <f t="shared" si="38"/>
        <v/>
      </c>
      <c r="S151" s="214" t="str">
        <f t="shared" si="39"/>
        <v/>
      </c>
      <c r="T151" s="214" t="str">
        <f t="shared" si="40"/>
        <v/>
      </c>
      <c r="U151" s="214" t="str">
        <f t="shared" si="41"/>
        <v/>
      </c>
      <c r="V151" s="214" t="str">
        <f t="shared" si="42"/>
        <v/>
      </c>
      <c r="W151" s="214" t="str">
        <f t="shared" si="43"/>
        <v/>
      </c>
      <c r="X151" s="214" t="str">
        <f t="shared" si="44"/>
        <v/>
      </c>
      <c r="Y151" s="214" t="str">
        <f t="shared" si="45"/>
        <v/>
      </c>
      <c r="Z151" s="214" t="str">
        <f t="shared" si="46"/>
        <v/>
      </c>
      <c r="AA151" s="214" t="str">
        <f t="shared" si="47"/>
        <v/>
      </c>
      <c r="AB151" s="214" t="str">
        <f t="shared" si="48"/>
        <v/>
      </c>
      <c r="AC151" s="214" t="str">
        <f t="shared" si="49"/>
        <v/>
      </c>
    </row>
    <row r="152" spans="2:29" x14ac:dyDescent="0.35">
      <c r="B152" s="208" t="str">
        <f>IF('Portfolio Register'!$A116="","",'Portfolio Register'!$A116)</f>
        <v/>
      </c>
      <c r="C152" s="208" t="str">
        <f>IF($B152="","",'Portfolio Register'!$B116)</f>
        <v/>
      </c>
      <c r="D152" s="208" t="str">
        <f>IF($B152="","",'Portfolio Register'!$I116)</f>
        <v/>
      </c>
      <c r="E152" s="208" t="str">
        <f>IF($B152="","",'Portfolio Register'!$DG116)</f>
        <v/>
      </c>
      <c r="F152" s="224" t="str">
        <f t="shared" si="29"/>
        <v/>
      </c>
      <c r="G152" s="225" t="str">
        <f>IF($B152="","",'Portfolio Register'!$J116)</f>
        <v/>
      </c>
      <c r="H152" s="225" t="str">
        <f>IF($B152="","",'Portfolio Register'!$CO116)</f>
        <v/>
      </c>
      <c r="I152" s="225" t="str">
        <f>IF($B152="","",'Portfolio Register'!$CW116)</f>
        <v/>
      </c>
      <c r="J152" s="214" t="str">
        <f t="shared" si="30"/>
        <v/>
      </c>
      <c r="K152" s="214" t="str">
        <f t="shared" si="31"/>
        <v/>
      </c>
      <c r="L152" s="214" t="str">
        <f t="shared" si="32"/>
        <v/>
      </c>
      <c r="M152" s="214" t="str">
        <f t="shared" si="33"/>
        <v/>
      </c>
      <c r="N152" s="214" t="str">
        <f t="shared" si="34"/>
        <v/>
      </c>
      <c r="O152" s="214" t="str">
        <f t="shared" si="35"/>
        <v/>
      </c>
      <c r="P152" s="214" t="str">
        <f t="shared" si="36"/>
        <v/>
      </c>
      <c r="Q152" s="214" t="str">
        <f t="shared" si="37"/>
        <v/>
      </c>
      <c r="R152" s="214" t="str">
        <f t="shared" si="38"/>
        <v/>
      </c>
      <c r="S152" s="214" t="str">
        <f t="shared" si="39"/>
        <v/>
      </c>
      <c r="T152" s="214" t="str">
        <f t="shared" si="40"/>
        <v/>
      </c>
      <c r="U152" s="214" t="str">
        <f t="shared" si="41"/>
        <v/>
      </c>
      <c r="V152" s="214" t="str">
        <f t="shared" si="42"/>
        <v/>
      </c>
      <c r="W152" s="214" t="str">
        <f t="shared" si="43"/>
        <v/>
      </c>
      <c r="X152" s="214" t="str">
        <f t="shared" si="44"/>
        <v/>
      </c>
      <c r="Y152" s="214" t="str">
        <f t="shared" si="45"/>
        <v/>
      </c>
      <c r="Z152" s="214" t="str">
        <f t="shared" si="46"/>
        <v/>
      </c>
      <c r="AA152" s="214" t="str">
        <f t="shared" si="47"/>
        <v/>
      </c>
      <c r="AB152" s="214" t="str">
        <f t="shared" si="48"/>
        <v/>
      </c>
      <c r="AC152" s="214" t="str">
        <f t="shared" si="49"/>
        <v/>
      </c>
    </row>
    <row r="153" spans="2:29" x14ac:dyDescent="0.35">
      <c r="B153" s="208" t="str">
        <f>IF('Portfolio Register'!$A117="","",'Portfolio Register'!$A117)</f>
        <v/>
      </c>
      <c r="C153" s="208" t="str">
        <f>IF($B153="","",'Portfolio Register'!$B117)</f>
        <v/>
      </c>
      <c r="D153" s="208" t="str">
        <f>IF($B153="","",'Portfolio Register'!$I117)</f>
        <v/>
      </c>
      <c r="E153" s="208" t="str">
        <f>IF($B153="","",'Portfolio Register'!$DG117)</f>
        <v/>
      </c>
      <c r="F153" s="224" t="str">
        <f t="shared" si="29"/>
        <v/>
      </c>
      <c r="G153" s="225" t="str">
        <f>IF($B153="","",'Portfolio Register'!$J117)</f>
        <v/>
      </c>
      <c r="H153" s="225" t="str">
        <f>IF($B153="","",'Portfolio Register'!$CO117)</f>
        <v/>
      </c>
      <c r="I153" s="225" t="str">
        <f>IF($B153="","",'Portfolio Register'!$CW117)</f>
        <v/>
      </c>
      <c r="J153" s="214" t="str">
        <f t="shared" si="30"/>
        <v/>
      </c>
      <c r="K153" s="214" t="str">
        <f t="shared" si="31"/>
        <v/>
      </c>
      <c r="L153" s="214" t="str">
        <f t="shared" si="32"/>
        <v/>
      </c>
      <c r="M153" s="214" t="str">
        <f t="shared" si="33"/>
        <v/>
      </c>
      <c r="N153" s="214" t="str">
        <f t="shared" si="34"/>
        <v/>
      </c>
      <c r="O153" s="214" t="str">
        <f t="shared" si="35"/>
        <v/>
      </c>
      <c r="P153" s="214" t="str">
        <f t="shared" si="36"/>
        <v/>
      </c>
      <c r="Q153" s="214" t="str">
        <f t="shared" si="37"/>
        <v/>
      </c>
      <c r="R153" s="214" t="str">
        <f t="shared" si="38"/>
        <v/>
      </c>
      <c r="S153" s="214" t="str">
        <f t="shared" si="39"/>
        <v/>
      </c>
      <c r="T153" s="214" t="str">
        <f t="shared" si="40"/>
        <v/>
      </c>
      <c r="U153" s="214" t="str">
        <f t="shared" si="41"/>
        <v/>
      </c>
      <c r="V153" s="214" t="str">
        <f t="shared" si="42"/>
        <v/>
      </c>
      <c r="W153" s="214" t="str">
        <f t="shared" si="43"/>
        <v/>
      </c>
      <c r="X153" s="214" t="str">
        <f t="shared" si="44"/>
        <v/>
      </c>
      <c r="Y153" s="214" t="str">
        <f t="shared" si="45"/>
        <v/>
      </c>
      <c r="Z153" s="214" t="str">
        <f t="shared" si="46"/>
        <v/>
      </c>
      <c r="AA153" s="214" t="str">
        <f t="shared" si="47"/>
        <v/>
      </c>
      <c r="AB153" s="214" t="str">
        <f t="shared" si="48"/>
        <v/>
      </c>
      <c r="AC153" s="214" t="str">
        <f t="shared" si="49"/>
        <v/>
      </c>
    </row>
    <row r="154" spans="2:29" x14ac:dyDescent="0.35">
      <c r="B154" s="208" t="str">
        <f>IF('Portfolio Register'!$A118="","",'Portfolio Register'!$A118)</f>
        <v/>
      </c>
      <c r="C154" s="208" t="str">
        <f>IF($B154="","",'Portfolio Register'!$B118)</f>
        <v/>
      </c>
      <c r="D154" s="208" t="str">
        <f>IF($B154="","",'Portfolio Register'!$I118)</f>
        <v/>
      </c>
      <c r="E154" s="208" t="str">
        <f>IF($B154="","",'Portfolio Register'!$DG118)</f>
        <v/>
      </c>
      <c r="F154" s="224" t="str">
        <f t="shared" si="29"/>
        <v/>
      </c>
      <c r="G154" s="225" t="str">
        <f>IF($B154="","",'Portfolio Register'!$J118)</f>
        <v/>
      </c>
      <c r="H154" s="225" t="str">
        <f>IF($B154="","",'Portfolio Register'!$CO118)</f>
        <v/>
      </c>
      <c r="I154" s="225" t="str">
        <f>IF($B154="","",'Portfolio Register'!$CW118)</f>
        <v/>
      </c>
      <c r="J154" s="214" t="str">
        <f t="shared" si="30"/>
        <v/>
      </c>
      <c r="K154" s="214" t="str">
        <f t="shared" si="31"/>
        <v/>
      </c>
      <c r="L154" s="214" t="str">
        <f t="shared" si="32"/>
        <v/>
      </c>
      <c r="M154" s="214" t="str">
        <f t="shared" si="33"/>
        <v/>
      </c>
      <c r="N154" s="214" t="str">
        <f t="shared" si="34"/>
        <v/>
      </c>
      <c r="O154" s="214" t="str">
        <f t="shared" si="35"/>
        <v/>
      </c>
      <c r="P154" s="214" t="str">
        <f t="shared" si="36"/>
        <v/>
      </c>
      <c r="Q154" s="214" t="str">
        <f t="shared" si="37"/>
        <v/>
      </c>
      <c r="R154" s="214" t="str">
        <f t="shared" si="38"/>
        <v/>
      </c>
      <c r="S154" s="214" t="str">
        <f t="shared" si="39"/>
        <v/>
      </c>
      <c r="T154" s="214" t="str">
        <f t="shared" si="40"/>
        <v/>
      </c>
      <c r="U154" s="214" t="str">
        <f t="shared" si="41"/>
        <v/>
      </c>
      <c r="V154" s="214" t="str">
        <f t="shared" si="42"/>
        <v/>
      </c>
      <c r="W154" s="214" t="str">
        <f t="shared" si="43"/>
        <v/>
      </c>
      <c r="X154" s="214" t="str">
        <f t="shared" si="44"/>
        <v/>
      </c>
      <c r="Y154" s="214" t="str">
        <f t="shared" si="45"/>
        <v/>
      </c>
      <c r="Z154" s="214" t="str">
        <f t="shared" si="46"/>
        <v/>
      </c>
      <c r="AA154" s="214" t="str">
        <f t="shared" si="47"/>
        <v/>
      </c>
      <c r="AB154" s="214" t="str">
        <f t="shared" si="48"/>
        <v/>
      </c>
      <c r="AC154" s="214" t="str">
        <f t="shared" si="49"/>
        <v/>
      </c>
    </row>
    <row r="155" spans="2:29" x14ac:dyDescent="0.35">
      <c r="B155" s="208" t="str">
        <f>IF('Portfolio Register'!$A119="","",'Portfolio Register'!$A119)</f>
        <v/>
      </c>
      <c r="C155" s="208" t="str">
        <f>IF($B155="","",'Portfolio Register'!$B119)</f>
        <v/>
      </c>
      <c r="D155" s="208" t="str">
        <f>IF($B155="","",'Portfolio Register'!$I119)</f>
        <v/>
      </c>
      <c r="E155" s="208" t="str">
        <f>IF($B155="","",'Portfolio Register'!$DG119)</f>
        <v/>
      </c>
      <c r="F155" s="224" t="str">
        <f t="shared" si="29"/>
        <v/>
      </c>
      <c r="G155" s="225" t="str">
        <f>IF($B155="","",'Portfolio Register'!$J119)</f>
        <v/>
      </c>
      <c r="H155" s="225" t="str">
        <f>IF($B155="","",'Portfolio Register'!$CO119)</f>
        <v/>
      </c>
      <c r="I155" s="225" t="str">
        <f>IF($B155="","",'Portfolio Register'!$CW119)</f>
        <v/>
      </c>
      <c r="J155" s="214" t="str">
        <f t="shared" si="30"/>
        <v/>
      </c>
      <c r="K155" s="214" t="str">
        <f t="shared" si="31"/>
        <v/>
      </c>
      <c r="L155" s="214" t="str">
        <f t="shared" si="32"/>
        <v/>
      </c>
      <c r="M155" s="214" t="str">
        <f t="shared" si="33"/>
        <v/>
      </c>
      <c r="N155" s="214" t="str">
        <f t="shared" si="34"/>
        <v/>
      </c>
      <c r="O155" s="214" t="str">
        <f t="shared" si="35"/>
        <v/>
      </c>
      <c r="P155" s="214" t="str">
        <f t="shared" si="36"/>
        <v/>
      </c>
      <c r="Q155" s="214" t="str">
        <f t="shared" si="37"/>
        <v/>
      </c>
      <c r="R155" s="214" t="str">
        <f t="shared" si="38"/>
        <v/>
      </c>
      <c r="S155" s="214" t="str">
        <f t="shared" si="39"/>
        <v/>
      </c>
      <c r="T155" s="214" t="str">
        <f t="shared" si="40"/>
        <v/>
      </c>
      <c r="U155" s="214" t="str">
        <f t="shared" si="41"/>
        <v/>
      </c>
      <c r="V155" s="214" t="str">
        <f t="shared" si="42"/>
        <v/>
      </c>
      <c r="W155" s="214" t="str">
        <f t="shared" si="43"/>
        <v/>
      </c>
      <c r="X155" s="214" t="str">
        <f t="shared" si="44"/>
        <v/>
      </c>
      <c r="Y155" s="214" t="str">
        <f t="shared" si="45"/>
        <v/>
      </c>
      <c r="Z155" s="214" t="str">
        <f t="shared" si="46"/>
        <v/>
      </c>
      <c r="AA155" s="214" t="str">
        <f t="shared" si="47"/>
        <v/>
      </c>
      <c r="AB155" s="214" t="str">
        <f t="shared" si="48"/>
        <v/>
      </c>
      <c r="AC155" s="214" t="str">
        <f t="shared" si="49"/>
        <v/>
      </c>
    </row>
    <row r="156" spans="2:29" x14ac:dyDescent="0.35">
      <c r="B156" s="208" t="str">
        <f>IF('Portfolio Register'!$A120="","",'Portfolio Register'!$A120)</f>
        <v/>
      </c>
      <c r="C156" s="208" t="str">
        <f>IF($B156="","",'Portfolio Register'!$B120)</f>
        <v/>
      </c>
      <c r="D156" s="208" t="str">
        <f>IF($B156="","",'Portfolio Register'!$I120)</f>
        <v/>
      </c>
      <c r="E156" s="208" t="str">
        <f>IF($B156="","",'Portfolio Register'!$DG120)</f>
        <v/>
      </c>
      <c r="F156" s="224" t="str">
        <f t="shared" si="29"/>
        <v/>
      </c>
      <c r="G156" s="225" t="str">
        <f>IF($B156="","",'Portfolio Register'!$J120)</f>
        <v/>
      </c>
      <c r="H156" s="225" t="str">
        <f>IF($B156="","",'Portfolio Register'!$CO120)</f>
        <v/>
      </c>
      <c r="I156" s="225" t="str">
        <f>IF($B156="","",'Portfolio Register'!$CW120)</f>
        <v/>
      </c>
      <c r="J156" s="214" t="str">
        <f t="shared" si="30"/>
        <v/>
      </c>
      <c r="K156" s="214" t="str">
        <f t="shared" si="31"/>
        <v/>
      </c>
      <c r="L156" s="214" t="str">
        <f t="shared" si="32"/>
        <v/>
      </c>
      <c r="M156" s="214" t="str">
        <f t="shared" si="33"/>
        <v/>
      </c>
      <c r="N156" s="214" t="str">
        <f t="shared" si="34"/>
        <v/>
      </c>
      <c r="O156" s="214" t="str">
        <f t="shared" si="35"/>
        <v/>
      </c>
      <c r="P156" s="214" t="str">
        <f t="shared" si="36"/>
        <v/>
      </c>
      <c r="Q156" s="214" t="str">
        <f t="shared" si="37"/>
        <v/>
      </c>
      <c r="R156" s="214" t="str">
        <f t="shared" si="38"/>
        <v/>
      </c>
      <c r="S156" s="214" t="str">
        <f t="shared" si="39"/>
        <v/>
      </c>
      <c r="T156" s="214" t="str">
        <f t="shared" si="40"/>
        <v/>
      </c>
      <c r="U156" s="214" t="str">
        <f t="shared" si="41"/>
        <v/>
      </c>
      <c r="V156" s="214" t="str">
        <f t="shared" si="42"/>
        <v/>
      </c>
      <c r="W156" s="214" t="str">
        <f t="shared" si="43"/>
        <v/>
      </c>
      <c r="X156" s="214" t="str">
        <f t="shared" si="44"/>
        <v/>
      </c>
      <c r="Y156" s="214" t="str">
        <f t="shared" si="45"/>
        <v/>
      </c>
      <c r="Z156" s="214" t="str">
        <f t="shared" si="46"/>
        <v/>
      </c>
      <c r="AA156" s="214" t="str">
        <f t="shared" si="47"/>
        <v/>
      </c>
      <c r="AB156" s="214" t="str">
        <f t="shared" si="48"/>
        <v/>
      </c>
      <c r="AC156" s="214" t="str">
        <f t="shared" si="49"/>
        <v/>
      </c>
    </row>
    <row r="157" spans="2:29" x14ac:dyDescent="0.35">
      <c r="B157" s="208" t="str">
        <f>IF('Portfolio Register'!$A121="","",'Portfolio Register'!$A121)</f>
        <v/>
      </c>
      <c r="C157" s="208" t="str">
        <f>IF($B157="","",'Portfolio Register'!$B121)</f>
        <v/>
      </c>
      <c r="D157" s="208" t="str">
        <f>IF($B157="","",'Portfolio Register'!$I121)</f>
        <v/>
      </c>
      <c r="E157" s="208" t="str">
        <f>IF($B157="","",'Portfolio Register'!$DG121)</f>
        <v/>
      </c>
      <c r="F157" s="224" t="str">
        <f t="shared" si="29"/>
        <v/>
      </c>
      <c r="G157" s="225" t="str">
        <f>IF($B157="","",'Portfolio Register'!$J121)</f>
        <v/>
      </c>
      <c r="H157" s="225" t="str">
        <f>IF($B157="","",'Portfolio Register'!$CO121)</f>
        <v/>
      </c>
      <c r="I157" s="225" t="str">
        <f>IF($B157="","",'Portfolio Register'!$CW121)</f>
        <v/>
      </c>
      <c r="J157" s="214" t="str">
        <f t="shared" si="30"/>
        <v/>
      </c>
      <c r="K157" s="214" t="str">
        <f t="shared" si="31"/>
        <v/>
      </c>
      <c r="L157" s="214" t="str">
        <f t="shared" si="32"/>
        <v/>
      </c>
      <c r="M157" s="214" t="str">
        <f t="shared" si="33"/>
        <v/>
      </c>
      <c r="N157" s="214" t="str">
        <f t="shared" si="34"/>
        <v/>
      </c>
      <c r="O157" s="214" t="str">
        <f t="shared" si="35"/>
        <v/>
      </c>
      <c r="P157" s="214" t="str">
        <f t="shared" si="36"/>
        <v/>
      </c>
      <c r="Q157" s="214" t="str">
        <f t="shared" si="37"/>
        <v/>
      </c>
      <c r="R157" s="214" t="str">
        <f t="shared" si="38"/>
        <v/>
      </c>
      <c r="S157" s="214" t="str">
        <f t="shared" si="39"/>
        <v/>
      </c>
      <c r="T157" s="214" t="str">
        <f t="shared" si="40"/>
        <v/>
      </c>
      <c r="U157" s="214" t="str">
        <f t="shared" si="41"/>
        <v/>
      </c>
      <c r="V157" s="214" t="str">
        <f t="shared" si="42"/>
        <v/>
      </c>
      <c r="W157" s="214" t="str">
        <f t="shared" si="43"/>
        <v/>
      </c>
      <c r="X157" s="214" t="str">
        <f t="shared" si="44"/>
        <v/>
      </c>
      <c r="Y157" s="214" t="str">
        <f t="shared" si="45"/>
        <v/>
      </c>
      <c r="Z157" s="214" t="str">
        <f t="shared" si="46"/>
        <v/>
      </c>
      <c r="AA157" s="214" t="str">
        <f t="shared" si="47"/>
        <v/>
      </c>
      <c r="AB157" s="214" t="str">
        <f t="shared" si="48"/>
        <v/>
      </c>
      <c r="AC157" s="214" t="str">
        <f t="shared" si="49"/>
        <v/>
      </c>
    </row>
    <row r="158" spans="2:29" x14ac:dyDescent="0.35">
      <c r="B158" s="208" t="str">
        <f>IF('Portfolio Register'!$A122="","",'Portfolio Register'!$A122)</f>
        <v/>
      </c>
      <c r="C158" s="208" t="str">
        <f>IF($B158="","",'Portfolio Register'!$B122)</f>
        <v/>
      </c>
      <c r="D158" s="208" t="str">
        <f>IF($B158="","",'Portfolio Register'!$I122)</f>
        <v/>
      </c>
      <c r="E158" s="208" t="str">
        <f>IF($B158="","",'Portfolio Register'!$DG122)</f>
        <v/>
      </c>
      <c r="F158" s="224" t="str">
        <f t="shared" si="29"/>
        <v/>
      </c>
      <c r="G158" s="225" t="str">
        <f>IF($B158="","",'Portfolio Register'!$J122)</f>
        <v/>
      </c>
      <c r="H158" s="225" t="str">
        <f>IF($B158="","",'Portfolio Register'!$CO122)</f>
        <v/>
      </c>
      <c r="I158" s="225" t="str">
        <f>IF($B158="","",'Portfolio Register'!$CW122)</f>
        <v/>
      </c>
      <c r="J158" s="214" t="str">
        <f t="shared" si="30"/>
        <v/>
      </c>
      <c r="K158" s="214" t="str">
        <f t="shared" si="31"/>
        <v/>
      </c>
      <c r="L158" s="214" t="str">
        <f t="shared" si="32"/>
        <v/>
      </c>
      <c r="M158" s="214" t="str">
        <f t="shared" si="33"/>
        <v/>
      </c>
      <c r="N158" s="214" t="str">
        <f t="shared" si="34"/>
        <v/>
      </c>
      <c r="O158" s="214" t="str">
        <f t="shared" si="35"/>
        <v/>
      </c>
      <c r="P158" s="214" t="str">
        <f t="shared" si="36"/>
        <v/>
      </c>
      <c r="Q158" s="214" t="str">
        <f t="shared" si="37"/>
        <v/>
      </c>
      <c r="R158" s="214" t="str">
        <f t="shared" si="38"/>
        <v/>
      </c>
      <c r="S158" s="214" t="str">
        <f t="shared" si="39"/>
        <v/>
      </c>
      <c r="T158" s="214" t="str">
        <f t="shared" si="40"/>
        <v/>
      </c>
      <c r="U158" s="214" t="str">
        <f t="shared" si="41"/>
        <v/>
      </c>
      <c r="V158" s="214" t="str">
        <f t="shared" si="42"/>
        <v/>
      </c>
      <c r="W158" s="214" t="str">
        <f t="shared" si="43"/>
        <v/>
      </c>
      <c r="X158" s="214" t="str">
        <f t="shared" si="44"/>
        <v/>
      </c>
      <c r="Y158" s="214" t="str">
        <f t="shared" si="45"/>
        <v/>
      </c>
      <c r="Z158" s="214" t="str">
        <f t="shared" si="46"/>
        <v/>
      </c>
      <c r="AA158" s="214" t="str">
        <f t="shared" si="47"/>
        <v/>
      </c>
      <c r="AB158" s="214" t="str">
        <f t="shared" si="48"/>
        <v/>
      </c>
      <c r="AC158" s="214" t="str">
        <f t="shared" si="49"/>
        <v/>
      </c>
    </row>
    <row r="159" spans="2:29" x14ac:dyDescent="0.35">
      <c r="B159" s="208" t="str">
        <f>IF('Portfolio Register'!$A123="","",'Portfolio Register'!$A123)</f>
        <v/>
      </c>
      <c r="C159" s="208" t="str">
        <f>IF($B159="","",'Portfolio Register'!$B123)</f>
        <v/>
      </c>
      <c r="D159" s="208" t="str">
        <f>IF($B159="","",'Portfolio Register'!$I123)</f>
        <v/>
      </c>
      <c r="E159" s="208" t="str">
        <f>IF($B159="","",'Portfolio Register'!$DG123)</f>
        <v/>
      </c>
      <c r="F159" s="224" t="str">
        <f t="shared" si="29"/>
        <v/>
      </c>
      <c r="G159" s="225" t="str">
        <f>IF($B159="","",'Portfolio Register'!$J123)</f>
        <v/>
      </c>
      <c r="H159" s="225" t="str">
        <f>IF($B159="","",'Portfolio Register'!$CO123)</f>
        <v/>
      </c>
      <c r="I159" s="225" t="str">
        <f>IF($B159="","",'Portfolio Register'!$CW123)</f>
        <v/>
      </c>
      <c r="J159" s="214" t="str">
        <f t="shared" si="30"/>
        <v/>
      </c>
      <c r="K159" s="214" t="str">
        <f t="shared" si="31"/>
        <v/>
      </c>
      <c r="L159" s="214" t="str">
        <f t="shared" si="32"/>
        <v/>
      </c>
      <c r="M159" s="214" t="str">
        <f t="shared" si="33"/>
        <v/>
      </c>
      <c r="N159" s="214" t="str">
        <f t="shared" si="34"/>
        <v/>
      </c>
      <c r="O159" s="214" t="str">
        <f t="shared" si="35"/>
        <v/>
      </c>
      <c r="P159" s="214" t="str">
        <f t="shared" si="36"/>
        <v/>
      </c>
      <c r="Q159" s="214" t="str">
        <f t="shared" si="37"/>
        <v/>
      </c>
      <c r="R159" s="214" t="str">
        <f t="shared" si="38"/>
        <v/>
      </c>
      <c r="S159" s="214" t="str">
        <f t="shared" si="39"/>
        <v/>
      </c>
      <c r="T159" s="214" t="str">
        <f t="shared" si="40"/>
        <v/>
      </c>
      <c r="U159" s="214" t="str">
        <f t="shared" si="41"/>
        <v/>
      </c>
      <c r="V159" s="214" t="str">
        <f t="shared" si="42"/>
        <v/>
      </c>
      <c r="W159" s="214" t="str">
        <f t="shared" si="43"/>
        <v/>
      </c>
      <c r="X159" s="214" t="str">
        <f t="shared" si="44"/>
        <v/>
      </c>
      <c r="Y159" s="214" t="str">
        <f t="shared" si="45"/>
        <v/>
      </c>
      <c r="Z159" s="214" t="str">
        <f t="shared" si="46"/>
        <v/>
      </c>
      <c r="AA159" s="214" t="str">
        <f t="shared" si="47"/>
        <v/>
      </c>
      <c r="AB159" s="214" t="str">
        <f t="shared" si="48"/>
        <v/>
      </c>
      <c r="AC159" s="214" t="str">
        <f t="shared" si="49"/>
        <v/>
      </c>
    </row>
    <row r="160" spans="2:29" x14ac:dyDescent="0.35">
      <c r="B160" s="208" t="str">
        <f>IF('Portfolio Register'!$A124="","",'Portfolio Register'!$A124)</f>
        <v/>
      </c>
      <c r="C160" s="208" t="str">
        <f>IF($B160="","",'Portfolio Register'!$B124)</f>
        <v/>
      </c>
      <c r="D160" s="208" t="str">
        <f>IF($B160="","",'Portfolio Register'!$I124)</f>
        <v/>
      </c>
      <c r="E160" s="208" t="str">
        <f>IF($B160="","",'Portfolio Register'!$DG124)</f>
        <v/>
      </c>
      <c r="F160" s="224" t="str">
        <f t="shared" si="29"/>
        <v/>
      </c>
      <c r="G160" s="225" t="str">
        <f>IF($B160="","",'Portfolio Register'!$J124)</f>
        <v/>
      </c>
      <c r="H160" s="225" t="str">
        <f>IF($B160="","",'Portfolio Register'!$CO124)</f>
        <v/>
      </c>
      <c r="I160" s="225" t="str">
        <f>IF($B160="","",'Portfolio Register'!$CW124)</f>
        <v/>
      </c>
      <c r="J160" s="214" t="str">
        <f t="shared" si="30"/>
        <v/>
      </c>
      <c r="K160" s="214" t="str">
        <f t="shared" si="31"/>
        <v/>
      </c>
      <c r="L160" s="214" t="str">
        <f t="shared" si="32"/>
        <v/>
      </c>
      <c r="M160" s="214" t="str">
        <f t="shared" si="33"/>
        <v/>
      </c>
      <c r="N160" s="214" t="str">
        <f t="shared" si="34"/>
        <v/>
      </c>
      <c r="O160" s="214" t="str">
        <f t="shared" si="35"/>
        <v/>
      </c>
      <c r="P160" s="214" t="str">
        <f t="shared" si="36"/>
        <v/>
      </c>
      <c r="Q160" s="214" t="str">
        <f t="shared" si="37"/>
        <v/>
      </c>
      <c r="R160" s="214" t="str">
        <f t="shared" si="38"/>
        <v/>
      </c>
      <c r="S160" s="214" t="str">
        <f t="shared" si="39"/>
        <v/>
      </c>
      <c r="T160" s="214" t="str">
        <f t="shared" si="40"/>
        <v/>
      </c>
      <c r="U160" s="214" t="str">
        <f t="shared" si="41"/>
        <v/>
      </c>
      <c r="V160" s="214" t="str">
        <f t="shared" si="42"/>
        <v/>
      </c>
      <c r="W160" s="214" t="str">
        <f t="shared" si="43"/>
        <v/>
      </c>
      <c r="X160" s="214" t="str">
        <f t="shared" si="44"/>
        <v/>
      </c>
      <c r="Y160" s="214" t="str">
        <f t="shared" si="45"/>
        <v/>
      </c>
      <c r="Z160" s="214" t="str">
        <f t="shared" si="46"/>
        <v/>
      </c>
      <c r="AA160" s="214" t="str">
        <f t="shared" si="47"/>
        <v/>
      </c>
      <c r="AB160" s="214" t="str">
        <f t="shared" si="48"/>
        <v/>
      </c>
      <c r="AC160" s="214" t="str">
        <f t="shared" si="49"/>
        <v/>
      </c>
    </row>
    <row r="161" spans="2:29" x14ac:dyDescent="0.35">
      <c r="B161" s="208" t="str">
        <f>IF('Portfolio Register'!$A125="","",'Portfolio Register'!$A125)</f>
        <v/>
      </c>
      <c r="C161" s="208" t="str">
        <f>IF($B161="","",'Portfolio Register'!$B125)</f>
        <v/>
      </c>
      <c r="D161" s="208" t="str">
        <f>IF($B161="","",'Portfolio Register'!$I125)</f>
        <v/>
      </c>
      <c r="E161" s="208" t="str">
        <f>IF($B161="","",'Portfolio Register'!$DG125)</f>
        <v/>
      </c>
      <c r="F161" s="224" t="str">
        <f t="shared" si="29"/>
        <v/>
      </c>
      <c r="G161" s="225" t="str">
        <f>IF($B161="","",'Portfolio Register'!$J125)</f>
        <v/>
      </c>
      <c r="H161" s="225" t="str">
        <f>IF($B161="","",'Portfolio Register'!$CO125)</f>
        <v/>
      </c>
      <c r="I161" s="225" t="str">
        <f>IF($B161="","",'Portfolio Register'!$CW125)</f>
        <v/>
      </c>
      <c r="J161" s="214" t="str">
        <f t="shared" si="30"/>
        <v/>
      </c>
      <c r="K161" s="214" t="str">
        <f t="shared" si="31"/>
        <v/>
      </c>
      <c r="L161" s="214" t="str">
        <f t="shared" si="32"/>
        <v/>
      </c>
      <c r="M161" s="214" t="str">
        <f t="shared" si="33"/>
        <v/>
      </c>
      <c r="N161" s="214" t="str">
        <f t="shared" si="34"/>
        <v/>
      </c>
      <c r="O161" s="214" t="str">
        <f t="shared" si="35"/>
        <v/>
      </c>
      <c r="P161" s="214" t="str">
        <f t="shared" si="36"/>
        <v/>
      </c>
      <c r="Q161" s="214" t="str">
        <f t="shared" si="37"/>
        <v/>
      </c>
      <c r="R161" s="214" t="str">
        <f t="shared" si="38"/>
        <v/>
      </c>
      <c r="S161" s="214" t="str">
        <f t="shared" si="39"/>
        <v/>
      </c>
      <c r="T161" s="214" t="str">
        <f t="shared" si="40"/>
        <v/>
      </c>
      <c r="U161" s="214" t="str">
        <f t="shared" si="41"/>
        <v/>
      </c>
      <c r="V161" s="214" t="str">
        <f t="shared" si="42"/>
        <v/>
      </c>
      <c r="W161" s="214" t="str">
        <f t="shared" si="43"/>
        <v/>
      </c>
      <c r="X161" s="214" t="str">
        <f t="shared" si="44"/>
        <v/>
      </c>
      <c r="Y161" s="214" t="str">
        <f t="shared" si="45"/>
        <v/>
      </c>
      <c r="Z161" s="214" t="str">
        <f t="shared" si="46"/>
        <v/>
      </c>
      <c r="AA161" s="214" t="str">
        <f t="shared" si="47"/>
        <v/>
      </c>
      <c r="AB161" s="214" t="str">
        <f t="shared" si="48"/>
        <v/>
      </c>
      <c r="AC161" s="214" t="str">
        <f t="shared" si="49"/>
        <v/>
      </c>
    </row>
    <row r="162" spans="2:29" x14ac:dyDescent="0.35">
      <c r="B162" s="208" t="str">
        <f>IF('Portfolio Register'!$A126="","",'Portfolio Register'!$A126)</f>
        <v/>
      </c>
      <c r="C162" s="208" t="str">
        <f>IF($B162="","",'Portfolio Register'!$B126)</f>
        <v/>
      </c>
      <c r="D162" s="208" t="str">
        <f>IF($B162="","",'Portfolio Register'!$I126)</f>
        <v/>
      </c>
      <c r="E162" s="208" t="str">
        <f>IF($B162="","",'Portfolio Register'!$DG126)</f>
        <v/>
      </c>
      <c r="F162" s="224" t="str">
        <f t="shared" si="29"/>
        <v/>
      </c>
      <c r="G162" s="225" t="str">
        <f>IF($B162="","",'Portfolio Register'!$J126)</f>
        <v/>
      </c>
      <c r="H162" s="225" t="str">
        <f>IF($B162="","",'Portfolio Register'!$CO126)</f>
        <v/>
      </c>
      <c r="I162" s="225" t="str">
        <f>IF($B162="","",'Portfolio Register'!$CW126)</f>
        <v/>
      </c>
      <c r="J162" s="214" t="str">
        <f t="shared" si="30"/>
        <v/>
      </c>
      <c r="K162" s="214" t="str">
        <f t="shared" si="31"/>
        <v/>
      </c>
      <c r="L162" s="214" t="str">
        <f t="shared" si="32"/>
        <v/>
      </c>
      <c r="M162" s="214" t="str">
        <f t="shared" si="33"/>
        <v/>
      </c>
      <c r="N162" s="214" t="str">
        <f t="shared" si="34"/>
        <v/>
      </c>
      <c r="O162" s="214" t="str">
        <f t="shared" si="35"/>
        <v/>
      </c>
      <c r="P162" s="214" t="str">
        <f t="shared" si="36"/>
        <v/>
      </c>
      <c r="Q162" s="214" t="str">
        <f t="shared" si="37"/>
        <v/>
      </c>
      <c r="R162" s="214" t="str">
        <f t="shared" si="38"/>
        <v/>
      </c>
      <c r="S162" s="214" t="str">
        <f t="shared" si="39"/>
        <v/>
      </c>
      <c r="T162" s="214" t="str">
        <f t="shared" si="40"/>
        <v/>
      </c>
      <c r="U162" s="214" t="str">
        <f t="shared" si="41"/>
        <v/>
      </c>
      <c r="V162" s="214" t="str">
        <f t="shared" si="42"/>
        <v/>
      </c>
      <c r="W162" s="214" t="str">
        <f t="shared" si="43"/>
        <v/>
      </c>
      <c r="X162" s="214" t="str">
        <f t="shared" si="44"/>
        <v/>
      </c>
      <c r="Y162" s="214" t="str">
        <f t="shared" si="45"/>
        <v/>
      </c>
      <c r="Z162" s="214" t="str">
        <f t="shared" si="46"/>
        <v/>
      </c>
      <c r="AA162" s="214" t="str">
        <f t="shared" si="47"/>
        <v/>
      </c>
      <c r="AB162" s="214" t="str">
        <f t="shared" si="48"/>
        <v/>
      </c>
      <c r="AC162" s="214" t="str">
        <f t="shared" si="49"/>
        <v/>
      </c>
    </row>
    <row r="163" spans="2:29" x14ac:dyDescent="0.35">
      <c r="B163" s="208" t="str">
        <f>IF('Portfolio Register'!$A127="","",'Portfolio Register'!$A127)</f>
        <v/>
      </c>
      <c r="C163" s="208" t="str">
        <f>IF($B163="","",'Portfolio Register'!$B127)</f>
        <v/>
      </c>
      <c r="D163" s="208" t="str">
        <f>IF($B163="","",'Portfolio Register'!$I127)</f>
        <v/>
      </c>
      <c r="E163" s="208" t="str">
        <f>IF($B163="","",'Portfolio Register'!$DG127)</f>
        <v/>
      </c>
      <c r="F163" s="224" t="str">
        <f t="shared" si="29"/>
        <v/>
      </c>
      <c r="G163" s="225" t="str">
        <f>IF($B163="","",'Portfolio Register'!$J127)</f>
        <v/>
      </c>
      <c r="H163" s="225" t="str">
        <f>IF($B163="","",'Portfolio Register'!$CO127)</f>
        <v/>
      </c>
      <c r="I163" s="225" t="str">
        <f>IF($B163="","",'Portfolio Register'!$CW127)</f>
        <v/>
      </c>
      <c r="J163" s="214" t="str">
        <f t="shared" si="30"/>
        <v/>
      </c>
      <c r="K163" s="214" t="str">
        <f t="shared" si="31"/>
        <v/>
      </c>
      <c r="L163" s="214" t="str">
        <f t="shared" si="32"/>
        <v/>
      </c>
      <c r="M163" s="214" t="str">
        <f t="shared" si="33"/>
        <v/>
      </c>
      <c r="N163" s="214" t="str">
        <f t="shared" si="34"/>
        <v/>
      </c>
      <c r="O163" s="214" t="str">
        <f t="shared" si="35"/>
        <v/>
      </c>
      <c r="P163" s="214" t="str">
        <f t="shared" si="36"/>
        <v/>
      </c>
      <c r="Q163" s="214" t="str">
        <f t="shared" si="37"/>
        <v/>
      </c>
      <c r="R163" s="214" t="str">
        <f t="shared" si="38"/>
        <v/>
      </c>
      <c r="S163" s="214" t="str">
        <f t="shared" si="39"/>
        <v/>
      </c>
      <c r="T163" s="214" t="str">
        <f t="shared" si="40"/>
        <v/>
      </c>
      <c r="U163" s="214" t="str">
        <f t="shared" si="41"/>
        <v/>
      </c>
      <c r="V163" s="214" t="str">
        <f t="shared" si="42"/>
        <v/>
      </c>
      <c r="W163" s="214" t="str">
        <f t="shared" si="43"/>
        <v/>
      </c>
      <c r="X163" s="214" t="str">
        <f t="shared" si="44"/>
        <v/>
      </c>
      <c r="Y163" s="214" t="str">
        <f t="shared" si="45"/>
        <v/>
      </c>
      <c r="Z163" s="214" t="str">
        <f t="shared" si="46"/>
        <v/>
      </c>
      <c r="AA163" s="214" t="str">
        <f t="shared" si="47"/>
        <v/>
      </c>
      <c r="AB163" s="214" t="str">
        <f t="shared" si="48"/>
        <v/>
      </c>
      <c r="AC163" s="214" t="str">
        <f t="shared" si="49"/>
        <v/>
      </c>
    </row>
    <row r="164" spans="2:29" x14ac:dyDescent="0.35">
      <c r="B164" s="208" t="str">
        <f>IF('Portfolio Register'!$A128="","",'Portfolio Register'!$A128)</f>
        <v/>
      </c>
      <c r="C164" s="208" t="str">
        <f>IF($B164="","",'Portfolio Register'!$B128)</f>
        <v/>
      </c>
      <c r="D164" s="208" t="str">
        <f>IF($B164="","",'Portfolio Register'!$I128)</f>
        <v/>
      </c>
      <c r="E164" s="208" t="str">
        <f>IF($B164="","",'Portfolio Register'!$DG128)</f>
        <v/>
      </c>
      <c r="F164" s="224" t="str">
        <f t="shared" si="29"/>
        <v/>
      </c>
      <c r="G164" s="225" t="str">
        <f>IF($B164="","",'Portfolio Register'!$J128)</f>
        <v/>
      </c>
      <c r="H164" s="225" t="str">
        <f>IF($B164="","",'Portfolio Register'!$CO128)</f>
        <v/>
      </c>
      <c r="I164" s="225" t="str">
        <f>IF($B164="","",'Portfolio Register'!$CW128)</f>
        <v/>
      </c>
      <c r="J164" s="214" t="str">
        <f t="shared" si="30"/>
        <v/>
      </c>
      <c r="K164" s="214" t="str">
        <f t="shared" si="31"/>
        <v/>
      </c>
      <c r="L164" s="214" t="str">
        <f t="shared" si="32"/>
        <v/>
      </c>
      <c r="M164" s="214" t="str">
        <f t="shared" si="33"/>
        <v/>
      </c>
      <c r="N164" s="214" t="str">
        <f t="shared" si="34"/>
        <v/>
      </c>
      <c r="O164" s="214" t="str">
        <f t="shared" si="35"/>
        <v/>
      </c>
      <c r="P164" s="214" t="str">
        <f t="shared" si="36"/>
        <v/>
      </c>
      <c r="Q164" s="214" t="str">
        <f t="shared" si="37"/>
        <v/>
      </c>
      <c r="R164" s="214" t="str">
        <f t="shared" si="38"/>
        <v/>
      </c>
      <c r="S164" s="214" t="str">
        <f t="shared" si="39"/>
        <v/>
      </c>
      <c r="T164" s="214" t="str">
        <f t="shared" si="40"/>
        <v/>
      </c>
      <c r="U164" s="214" t="str">
        <f t="shared" si="41"/>
        <v/>
      </c>
      <c r="V164" s="214" t="str">
        <f t="shared" si="42"/>
        <v/>
      </c>
      <c r="W164" s="214" t="str">
        <f t="shared" si="43"/>
        <v/>
      </c>
      <c r="X164" s="214" t="str">
        <f t="shared" si="44"/>
        <v/>
      </c>
      <c r="Y164" s="214" t="str">
        <f t="shared" si="45"/>
        <v/>
      </c>
      <c r="Z164" s="214" t="str">
        <f t="shared" si="46"/>
        <v/>
      </c>
      <c r="AA164" s="214" t="str">
        <f t="shared" si="47"/>
        <v/>
      </c>
      <c r="AB164" s="214" t="str">
        <f t="shared" si="48"/>
        <v/>
      </c>
      <c r="AC164" s="214" t="str">
        <f t="shared" si="49"/>
        <v/>
      </c>
    </row>
    <row r="165" spans="2:29" x14ac:dyDescent="0.35">
      <c r="B165" s="208" t="str">
        <f>IF('Portfolio Register'!$A129="","",'Portfolio Register'!$A129)</f>
        <v/>
      </c>
      <c r="C165" s="208" t="str">
        <f>IF($B165="","",'Portfolio Register'!$B129)</f>
        <v/>
      </c>
      <c r="D165" s="208" t="str">
        <f>IF($B165="","",'Portfolio Register'!$I129)</f>
        <v/>
      </c>
      <c r="E165" s="208" t="str">
        <f>IF($B165="","",'Portfolio Register'!$DG129)</f>
        <v/>
      </c>
      <c r="F165" s="224" t="str">
        <f t="shared" si="29"/>
        <v/>
      </c>
      <c r="G165" s="225" t="str">
        <f>IF($B165="","",'Portfolio Register'!$J129)</f>
        <v/>
      </c>
      <c r="H165" s="225" t="str">
        <f>IF($B165="","",'Portfolio Register'!$CO129)</f>
        <v/>
      </c>
      <c r="I165" s="225" t="str">
        <f>IF($B165="","",'Portfolio Register'!$CW129)</f>
        <v/>
      </c>
      <c r="J165" s="214" t="str">
        <f t="shared" si="30"/>
        <v/>
      </c>
      <c r="K165" s="214" t="str">
        <f t="shared" si="31"/>
        <v/>
      </c>
      <c r="L165" s="214" t="str">
        <f t="shared" si="32"/>
        <v/>
      </c>
      <c r="M165" s="214" t="str">
        <f t="shared" si="33"/>
        <v/>
      </c>
      <c r="N165" s="214" t="str">
        <f t="shared" si="34"/>
        <v/>
      </c>
      <c r="O165" s="214" t="str">
        <f t="shared" si="35"/>
        <v/>
      </c>
      <c r="P165" s="214" t="str">
        <f t="shared" si="36"/>
        <v/>
      </c>
      <c r="Q165" s="214" t="str">
        <f t="shared" si="37"/>
        <v/>
      </c>
      <c r="R165" s="214" t="str">
        <f t="shared" si="38"/>
        <v/>
      </c>
      <c r="S165" s="214" t="str">
        <f t="shared" si="39"/>
        <v/>
      </c>
      <c r="T165" s="214" t="str">
        <f t="shared" si="40"/>
        <v/>
      </c>
      <c r="U165" s="214" t="str">
        <f t="shared" si="41"/>
        <v/>
      </c>
      <c r="V165" s="214" t="str">
        <f t="shared" si="42"/>
        <v/>
      </c>
      <c r="W165" s="214" t="str">
        <f t="shared" si="43"/>
        <v/>
      </c>
      <c r="X165" s="214" t="str">
        <f t="shared" si="44"/>
        <v/>
      </c>
      <c r="Y165" s="214" t="str">
        <f t="shared" si="45"/>
        <v/>
      </c>
      <c r="Z165" s="214" t="str">
        <f t="shared" si="46"/>
        <v/>
      </c>
      <c r="AA165" s="214" t="str">
        <f t="shared" si="47"/>
        <v/>
      </c>
      <c r="AB165" s="214" t="str">
        <f t="shared" si="48"/>
        <v/>
      </c>
      <c r="AC165" s="214" t="str">
        <f t="shared" si="49"/>
        <v/>
      </c>
    </row>
    <row r="166" spans="2:29" x14ac:dyDescent="0.35">
      <c r="B166" s="208" t="str">
        <f>IF('Portfolio Register'!$A130="","",'Portfolio Register'!$A130)</f>
        <v/>
      </c>
      <c r="C166" s="208" t="str">
        <f>IF($B166="","",'Portfolio Register'!$B130)</f>
        <v/>
      </c>
      <c r="D166" s="208" t="str">
        <f>IF($B166="","",'Portfolio Register'!$I130)</f>
        <v/>
      </c>
      <c r="E166" s="208" t="str">
        <f>IF($B166="","",'Portfolio Register'!$DG130)</f>
        <v/>
      </c>
      <c r="F166" s="224" t="str">
        <f t="shared" si="29"/>
        <v/>
      </c>
      <c r="G166" s="225" t="str">
        <f>IF($B166="","",'Portfolio Register'!$J130)</f>
        <v/>
      </c>
      <c r="H166" s="225" t="str">
        <f>IF($B166="","",'Portfolio Register'!$CO130)</f>
        <v/>
      </c>
      <c r="I166" s="225" t="str">
        <f>IF($B166="","",'Portfolio Register'!$CW130)</f>
        <v/>
      </c>
      <c r="J166" s="214" t="str">
        <f t="shared" si="30"/>
        <v/>
      </c>
      <c r="K166" s="214" t="str">
        <f t="shared" si="31"/>
        <v/>
      </c>
      <c r="L166" s="214" t="str">
        <f t="shared" si="32"/>
        <v/>
      </c>
      <c r="M166" s="214" t="str">
        <f t="shared" si="33"/>
        <v/>
      </c>
      <c r="N166" s="214" t="str">
        <f t="shared" si="34"/>
        <v/>
      </c>
      <c r="O166" s="214" t="str">
        <f t="shared" si="35"/>
        <v/>
      </c>
      <c r="P166" s="214" t="str">
        <f t="shared" si="36"/>
        <v/>
      </c>
      <c r="Q166" s="214" t="str">
        <f t="shared" si="37"/>
        <v/>
      </c>
      <c r="R166" s="214" t="str">
        <f t="shared" si="38"/>
        <v/>
      </c>
      <c r="S166" s="214" t="str">
        <f t="shared" si="39"/>
        <v/>
      </c>
      <c r="T166" s="214" t="str">
        <f t="shared" si="40"/>
        <v/>
      </c>
      <c r="U166" s="214" t="str">
        <f t="shared" si="41"/>
        <v/>
      </c>
      <c r="V166" s="214" t="str">
        <f t="shared" si="42"/>
        <v/>
      </c>
      <c r="W166" s="214" t="str">
        <f t="shared" si="43"/>
        <v/>
      </c>
      <c r="X166" s="214" t="str">
        <f t="shared" si="44"/>
        <v/>
      </c>
      <c r="Y166" s="214" t="str">
        <f t="shared" si="45"/>
        <v/>
      </c>
      <c r="Z166" s="214" t="str">
        <f t="shared" si="46"/>
        <v/>
      </c>
      <c r="AA166" s="214" t="str">
        <f t="shared" si="47"/>
        <v/>
      </c>
      <c r="AB166" s="214" t="str">
        <f t="shared" si="48"/>
        <v/>
      </c>
      <c r="AC166" s="214" t="str">
        <f t="shared" si="49"/>
        <v/>
      </c>
    </row>
    <row r="167" spans="2:29" x14ac:dyDescent="0.35">
      <c r="B167" s="208" t="str">
        <f>IF('Portfolio Register'!$A131="","",'Portfolio Register'!$A131)</f>
        <v/>
      </c>
      <c r="C167" s="208" t="str">
        <f>IF($B167="","",'Portfolio Register'!$B131)</f>
        <v/>
      </c>
      <c r="D167" s="208" t="str">
        <f>IF($B167="","",'Portfolio Register'!$I131)</f>
        <v/>
      </c>
      <c r="E167" s="208" t="str">
        <f>IF($B167="","",'Portfolio Register'!$DG131)</f>
        <v/>
      </c>
      <c r="F167" s="224" t="str">
        <f t="shared" si="29"/>
        <v/>
      </c>
      <c r="G167" s="225" t="str">
        <f>IF($B167="","",'Portfolio Register'!$J131)</f>
        <v/>
      </c>
      <c r="H167" s="225" t="str">
        <f>IF($B167="","",'Portfolio Register'!$CO131)</f>
        <v/>
      </c>
      <c r="I167" s="225" t="str">
        <f>IF($B167="","",'Portfolio Register'!$CW131)</f>
        <v/>
      </c>
      <c r="J167" s="214" t="str">
        <f t="shared" si="30"/>
        <v/>
      </c>
      <c r="K167" s="214" t="str">
        <f t="shared" si="31"/>
        <v/>
      </c>
      <c r="L167" s="214" t="str">
        <f t="shared" si="32"/>
        <v/>
      </c>
      <c r="M167" s="214" t="str">
        <f t="shared" si="33"/>
        <v/>
      </c>
      <c r="N167" s="214" t="str">
        <f t="shared" si="34"/>
        <v/>
      </c>
      <c r="O167" s="214" t="str">
        <f t="shared" si="35"/>
        <v/>
      </c>
      <c r="P167" s="214" t="str">
        <f t="shared" si="36"/>
        <v/>
      </c>
      <c r="Q167" s="214" t="str">
        <f t="shared" si="37"/>
        <v/>
      </c>
      <c r="R167" s="214" t="str">
        <f t="shared" si="38"/>
        <v/>
      </c>
      <c r="S167" s="214" t="str">
        <f t="shared" si="39"/>
        <v/>
      </c>
      <c r="T167" s="214" t="str">
        <f t="shared" si="40"/>
        <v/>
      </c>
      <c r="U167" s="214" t="str">
        <f t="shared" si="41"/>
        <v/>
      </c>
      <c r="V167" s="214" t="str">
        <f t="shared" si="42"/>
        <v/>
      </c>
      <c r="W167" s="214" t="str">
        <f t="shared" si="43"/>
        <v/>
      </c>
      <c r="X167" s="214" t="str">
        <f t="shared" si="44"/>
        <v/>
      </c>
      <c r="Y167" s="214" t="str">
        <f t="shared" si="45"/>
        <v/>
      </c>
      <c r="Z167" s="214" t="str">
        <f t="shared" si="46"/>
        <v/>
      </c>
      <c r="AA167" s="214" t="str">
        <f t="shared" si="47"/>
        <v/>
      </c>
      <c r="AB167" s="214" t="str">
        <f t="shared" si="48"/>
        <v/>
      </c>
      <c r="AC167" s="214" t="str">
        <f t="shared" si="49"/>
        <v/>
      </c>
    </row>
    <row r="168" spans="2:29" x14ac:dyDescent="0.35">
      <c r="B168" s="208" t="str">
        <f>IF('Portfolio Register'!$A132="","",'Portfolio Register'!$A132)</f>
        <v/>
      </c>
      <c r="C168" s="208" t="str">
        <f>IF($B168="","",'Portfolio Register'!$B132)</f>
        <v/>
      </c>
      <c r="D168" s="208" t="str">
        <f>IF($B168="","",'Portfolio Register'!$I132)</f>
        <v/>
      </c>
      <c r="E168" s="208" t="str">
        <f>IF($B168="","",'Portfolio Register'!$DG132)</f>
        <v/>
      </c>
      <c r="F168" s="224" t="str">
        <f t="shared" si="29"/>
        <v/>
      </c>
      <c r="G168" s="225" t="str">
        <f>IF($B168="","",'Portfolio Register'!$J132)</f>
        <v/>
      </c>
      <c r="H168" s="225" t="str">
        <f>IF($B168="","",'Portfolio Register'!$CO132)</f>
        <v/>
      </c>
      <c r="I168" s="225" t="str">
        <f>IF($B168="","",'Portfolio Register'!$CW132)</f>
        <v/>
      </c>
      <c r="J168" s="214" t="str">
        <f t="shared" si="30"/>
        <v/>
      </c>
      <c r="K168" s="214" t="str">
        <f t="shared" si="31"/>
        <v/>
      </c>
      <c r="L168" s="214" t="str">
        <f t="shared" si="32"/>
        <v/>
      </c>
      <c r="M168" s="214" t="str">
        <f t="shared" si="33"/>
        <v/>
      </c>
      <c r="N168" s="214" t="str">
        <f t="shared" si="34"/>
        <v/>
      </c>
      <c r="O168" s="214" t="str">
        <f t="shared" si="35"/>
        <v/>
      </c>
      <c r="P168" s="214" t="str">
        <f t="shared" si="36"/>
        <v/>
      </c>
      <c r="Q168" s="214" t="str">
        <f t="shared" si="37"/>
        <v/>
      </c>
      <c r="R168" s="214" t="str">
        <f t="shared" si="38"/>
        <v/>
      </c>
      <c r="S168" s="214" t="str">
        <f t="shared" si="39"/>
        <v/>
      </c>
      <c r="T168" s="214" t="str">
        <f t="shared" si="40"/>
        <v/>
      </c>
      <c r="U168" s="214" t="str">
        <f t="shared" si="41"/>
        <v/>
      </c>
      <c r="V168" s="214" t="str">
        <f t="shared" si="42"/>
        <v/>
      </c>
      <c r="W168" s="214" t="str">
        <f t="shared" si="43"/>
        <v/>
      </c>
      <c r="X168" s="214" t="str">
        <f t="shared" si="44"/>
        <v/>
      </c>
      <c r="Y168" s="214" t="str">
        <f t="shared" si="45"/>
        <v/>
      </c>
      <c r="Z168" s="214" t="str">
        <f t="shared" si="46"/>
        <v/>
      </c>
      <c r="AA168" s="214" t="str">
        <f t="shared" si="47"/>
        <v/>
      </c>
      <c r="AB168" s="214" t="str">
        <f t="shared" si="48"/>
        <v/>
      </c>
      <c r="AC168" s="214" t="str">
        <f t="shared" si="49"/>
        <v/>
      </c>
    </row>
    <row r="169" spans="2:29" x14ac:dyDescent="0.35">
      <c r="B169" s="208" t="str">
        <f>IF('Portfolio Register'!$A133="","",'Portfolio Register'!$A133)</f>
        <v/>
      </c>
      <c r="C169" s="208" t="str">
        <f>IF($B169="","",'Portfolio Register'!$B133)</f>
        <v/>
      </c>
      <c r="D169" s="208" t="str">
        <f>IF($B169="","",'Portfolio Register'!$I133)</f>
        <v/>
      </c>
      <c r="E169" s="208" t="str">
        <f>IF($B169="","",'Portfolio Register'!$DG133)</f>
        <v/>
      </c>
      <c r="F169" s="224" t="str">
        <f t="shared" ref="F169:F232" si="50">IF($B169="","",IF(OR($D$5="Whole register",LEFT($E169,3)="YES"),"YES","NO"))</f>
        <v/>
      </c>
      <c r="G169" s="225" t="str">
        <f>IF($B169="","",'Portfolio Register'!$J133)</f>
        <v/>
      </c>
      <c r="H169" s="225" t="str">
        <f>IF($B169="","",'Portfolio Register'!$CO133)</f>
        <v/>
      </c>
      <c r="I169" s="225" t="str">
        <f>IF($B169="","",'Portfolio Register'!$CW133)</f>
        <v/>
      </c>
      <c r="J169" s="214" t="str">
        <f t="shared" ref="J169:J232" si="51">IF($B169="","",IF($F169="YES",$G169*$F$25,0))</f>
        <v/>
      </c>
      <c r="K169" s="214" t="str">
        <f t="shared" ref="K169:K232" si="52">IF($B169="","",IF($F169="YES",$G169*$F$26,0))</f>
        <v/>
      </c>
      <c r="L169" s="214" t="str">
        <f t="shared" ref="L169:L232" si="53">IF($B169="","",IF($F169="YES",$G169*$F$27,0))</f>
        <v/>
      </c>
      <c r="M169" s="214" t="str">
        <f t="shared" ref="M169:M232" si="54">IF($B169="","",IF($F169="YES",$G169*$F$28,0))</f>
        <v/>
      </c>
      <c r="N169" s="214" t="str">
        <f t="shared" ref="N169:N232" si="55">IF($B169="","",IF($F169="YES",$G169*$F$29,0))</f>
        <v/>
      </c>
      <c r="O169" s="214" t="str">
        <f t="shared" ref="O169:O232" si="56">IF($B169="","",IF($F169="YES",$G169*$F$30,0))</f>
        <v/>
      </c>
      <c r="P169" s="214" t="str">
        <f t="shared" ref="P169:P232" si="57">IF($B169="","",IF($F169="YES",$G169*$F$31,0))</f>
        <v/>
      </c>
      <c r="Q169" s="214" t="str">
        <f t="shared" ref="Q169:Q232" si="58">IF($B169="","",IF($F169="YES",$G169*$F$32,0))</f>
        <v/>
      </c>
      <c r="R169" s="214" t="str">
        <f t="shared" ref="R169:R232" si="59">IF($B169="","",IF($F169="YES",$G169*$F$33,0))</f>
        <v/>
      </c>
      <c r="S169" s="214" t="str">
        <f t="shared" ref="S169:S232" si="60">IF($B169="","",IF($F169="YES",$G169*$F$34,0))</f>
        <v/>
      </c>
      <c r="T169" s="214" t="str">
        <f t="shared" ref="T169:T232" si="61">IF($B169="","",IF($F169="YES",$H169*$F$25,0))</f>
        <v/>
      </c>
      <c r="U169" s="214" t="str">
        <f t="shared" ref="U169:U232" si="62">IF($B169="","",IF($F169="YES",$H169*$F$26,0))</f>
        <v/>
      </c>
      <c r="V169" s="214" t="str">
        <f t="shared" ref="V169:V232" si="63">IF($B169="","",IF($F169="YES",$H169*$F$27,0))</f>
        <v/>
      </c>
      <c r="W169" s="214" t="str">
        <f t="shared" ref="W169:W232" si="64">IF($B169="","",IF($F169="YES",$H169*$F$28,0))</f>
        <v/>
      </c>
      <c r="X169" s="214" t="str">
        <f t="shared" ref="X169:X232" si="65">IF($B169="","",IF($F169="YES",$H169*$F$29,0))</f>
        <v/>
      </c>
      <c r="Y169" s="214" t="str">
        <f t="shared" ref="Y169:Y232" si="66">IF($B169="","",IF($F169="YES",$H169*$F$30,0))</f>
        <v/>
      </c>
      <c r="Z169" s="214" t="str">
        <f t="shared" ref="Z169:Z232" si="67">IF($B169="","",IF($F169="YES",$H169*$F$31,0))</f>
        <v/>
      </c>
      <c r="AA169" s="214" t="str">
        <f t="shared" ref="AA169:AA232" si="68">IF($B169="","",IF($F169="YES",$H169*$F$32,0))</f>
        <v/>
      </c>
      <c r="AB169" s="214" t="str">
        <f t="shared" ref="AB169:AB232" si="69">IF($B169="","",IF($F169="YES",$H169*$F$33,0))</f>
        <v/>
      </c>
      <c r="AC169" s="214" t="str">
        <f t="shared" ref="AC169:AC232" si="70">IF($B169="","",IF($F169="YES",$H169*$F$34,0))</f>
        <v/>
      </c>
    </row>
    <row r="170" spans="2:29" x14ac:dyDescent="0.35">
      <c r="B170" s="208" t="str">
        <f>IF('Portfolio Register'!$A134="","",'Portfolio Register'!$A134)</f>
        <v/>
      </c>
      <c r="C170" s="208" t="str">
        <f>IF($B170="","",'Portfolio Register'!$B134)</f>
        <v/>
      </c>
      <c r="D170" s="208" t="str">
        <f>IF($B170="","",'Portfolio Register'!$I134)</f>
        <v/>
      </c>
      <c r="E170" s="208" t="str">
        <f>IF($B170="","",'Portfolio Register'!$DG134)</f>
        <v/>
      </c>
      <c r="F170" s="224" t="str">
        <f t="shared" si="50"/>
        <v/>
      </c>
      <c r="G170" s="225" t="str">
        <f>IF($B170="","",'Portfolio Register'!$J134)</f>
        <v/>
      </c>
      <c r="H170" s="225" t="str">
        <f>IF($B170="","",'Portfolio Register'!$CO134)</f>
        <v/>
      </c>
      <c r="I170" s="225" t="str">
        <f>IF($B170="","",'Portfolio Register'!$CW134)</f>
        <v/>
      </c>
      <c r="J170" s="214" t="str">
        <f t="shared" si="51"/>
        <v/>
      </c>
      <c r="K170" s="214" t="str">
        <f t="shared" si="52"/>
        <v/>
      </c>
      <c r="L170" s="214" t="str">
        <f t="shared" si="53"/>
        <v/>
      </c>
      <c r="M170" s="214" t="str">
        <f t="shared" si="54"/>
        <v/>
      </c>
      <c r="N170" s="214" t="str">
        <f t="shared" si="55"/>
        <v/>
      </c>
      <c r="O170" s="214" t="str">
        <f t="shared" si="56"/>
        <v/>
      </c>
      <c r="P170" s="214" t="str">
        <f t="shared" si="57"/>
        <v/>
      </c>
      <c r="Q170" s="214" t="str">
        <f t="shared" si="58"/>
        <v/>
      </c>
      <c r="R170" s="214" t="str">
        <f t="shared" si="59"/>
        <v/>
      </c>
      <c r="S170" s="214" t="str">
        <f t="shared" si="60"/>
        <v/>
      </c>
      <c r="T170" s="214" t="str">
        <f t="shared" si="61"/>
        <v/>
      </c>
      <c r="U170" s="214" t="str">
        <f t="shared" si="62"/>
        <v/>
      </c>
      <c r="V170" s="214" t="str">
        <f t="shared" si="63"/>
        <v/>
      </c>
      <c r="W170" s="214" t="str">
        <f t="shared" si="64"/>
        <v/>
      </c>
      <c r="X170" s="214" t="str">
        <f t="shared" si="65"/>
        <v/>
      </c>
      <c r="Y170" s="214" t="str">
        <f t="shared" si="66"/>
        <v/>
      </c>
      <c r="Z170" s="214" t="str">
        <f t="shared" si="67"/>
        <v/>
      </c>
      <c r="AA170" s="214" t="str">
        <f t="shared" si="68"/>
        <v/>
      </c>
      <c r="AB170" s="214" t="str">
        <f t="shared" si="69"/>
        <v/>
      </c>
      <c r="AC170" s="214" t="str">
        <f t="shared" si="70"/>
        <v/>
      </c>
    </row>
    <row r="171" spans="2:29" x14ac:dyDescent="0.35">
      <c r="B171" s="208" t="str">
        <f>IF('Portfolio Register'!$A135="","",'Portfolio Register'!$A135)</f>
        <v/>
      </c>
      <c r="C171" s="208" t="str">
        <f>IF($B171="","",'Portfolio Register'!$B135)</f>
        <v/>
      </c>
      <c r="D171" s="208" t="str">
        <f>IF($B171="","",'Portfolio Register'!$I135)</f>
        <v/>
      </c>
      <c r="E171" s="208" t="str">
        <f>IF($B171="","",'Portfolio Register'!$DG135)</f>
        <v/>
      </c>
      <c r="F171" s="224" t="str">
        <f t="shared" si="50"/>
        <v/>
      </c>
      <c r="G171" s="225" t="str">
        <f>IF($B171="","",'Portfolio Register'!$J135)</f>
        <v/>
      </c>
      <c r="H171" s="225" t="str">
        <f>IF($B171="","",'Portfolio Register'!$CO135)</f>
        <v/>
      </c>
      <c r="I171" s="225" t="str">
        <f>IF($B171="","",'Portfolio Register'!$CW135)</f>
        <v/>
      </c>
      <c r="J171" s="214" t="str">
        <f t="shared" si="51"/>
        <v/>
      </c>
      <c r="K171" s="214" t="str">
        <f t="shared" si="52"/>
        <v/>
      </c>
      <c r="L171" s="214" t="str">
        <f t="shared" si="53"/>
        <v/>
      </c>
      <c r="M171" s="214" t="str">
        <f t="shared" si="54"/>
        <v/>
      </c>
      <c r="N171" s="214" t="str">
        <f t="shared" si="55"/>
        <v/>
      </c>
      <c r="O171" s="214" t="str">
        <f t="shared" si="56"/>
        <v/>
      </c>
      <c r="P171" s="214" t="str">
        <f t="shared" si="57"/>
        <v/>
      </c>
      <c r="Q171" s="214" t="str">
        <f t="shared" si="58"/>
        <v/>
      </c>
      <c r="R171" s="214" t="str">
        <f t="shared" si="59"/>
        <v/>
      </c>
      <c r="S171" s="214" t="str">
        <f t="shared" si="60"/>
        <v/>
      </c>
      <c r="T171" s="214" t="str">
        <f t="shared" si="61"/>
        <v/>
      </c>
      <c r="U171" s="214" t="str">
        <f t="shared" si="62"/>
        <v/>
      </c>
      <c r="V171" s="214" t="str">
        <f t="shared" si="63"/>
        <v/>
      </c>
      <c r="W171" s="214" t="str">
        <f t="shared" si="64"/>
        <v/>
      </c>
      <c r="X171" s="214" t="str">
        <f t="shared" si="65"/>
        <v/>
      </c>
      <c r="Y171" s="214" t="str">
        <f t="shared" si="66"/>
        <v/>
      </c>
      <c r="Z171" s="214" t="str">
        <f t="shared" si="67"/>
        <v/>
      </c>
      <c r="AA171" s="214" t="str">
        <f t="shared" si="68"/>
        <v/>
      </c>
      <c r="AB171" s="214" t="str">
        <f t="shared" si="69"/>
        <v/>
      </c>
      <c r="AC171" s="214" t="str">
        <f t="shared" si="70"/>
        <v/>
      </c>
    </row>
    <row r="172" spans="2:29" x14ac:dyDescent="0.35">
      <c r="B172" s="208" t="str">
        <f>IF('Portfolio Register'!$A136="","",'Portfolio Register'!$A136)</f>
        <v/>
      </c>
      <c r="C172" s="208" t="str">
        <f>IF($B172="","",'Portfolio Register'!$B136)</f>
        <v/>
      </c>
      <c r="D172" s="208" t="str">
        <f>IF($B172="","",'Portfolio Register'!$I136)</f>
        <v/>
      </c>
      <c r="E172" s="208" t="str">
        <f>IF($B172="","",'Portfolio Register'!$DG136)</f>
        <v/>
      </c>
      <c r="F172" s="224" t="str">
        <f t="shared" si="50"/>
        <v/>
      </c>
      <c r="G172" s="225" t="str">
        <f>IF($B172="","",'Portfolio Register'!$J136)</f>
        <v/>
      </c>
      <c r="H172" s="225" t="str">
        <f>IF($B172="","",'Portfolio Register'!$CO136)</f>
        <v/>
      </c>
      <c r="I172" s="225" t="str">
        <f>IF($B172="","",'Portfolio Register'!$CW136)</f>
        <v/>
      </c>
      <c r="J172" s="214" t="str">
        <f t="shared" si="51"/>
        <v/>
      </c>
      <c r="K172" s="214" t="str">
        <f t="shared" si="52"/>
        <v/>
      </c>
      <c r="L172" s="214" t="str">
        <f t="shared" si="53"/>
        <v/>
      </c>
      <c r="M172" s="214" t="str">
        <f t="shared" si="54"/>
        <v/>
      </c>
      <c r="N172" s="214" t="str">
        <f t="shared" si="55"/>
        <v/>
      </c>
      <c r="O172" s="214" t="str">
        <f t="shared" si="56"/>
        <v/>
      </c>
      <c r="P172" s="214" t="str">
        <f t="shared" si="57"/>
        <v/>
      </c>
      <c r="Q172" s="214" t="str">
        <f t="shared" si="58"/>
        <v/>
      </c>
      <c r="R172" s="214" t="str">
        <f t="shared" si="59"/>
        <v/>
      </c>
      <c r="S172" s="214" t="str">
        <f t="shared" si="60"/>
        <v/>
      </c>
      <c r="T172" s="214" t="str">
        <f t="shared" si="61"/>
        <v/>
      </c>
      <c r="U172" s="214" t="str">
        <f t="shared" si="62"/>
        <v/>
      </c>
      <c r="V172" s="214" t="str">
        <f t="shared" si="63"/>
        <v/>
      </c>
      <c r="W172" s="214" t="str">
        <f t="shared" si="64"/>
        <v/>
      </c>
      <c r="X172" s="214" t="str">
        <f t="shared" si="65"/>
        <v/>
      </c>
      <c r="Y172" s="214" t="str">
        <f t="shared" si="66"/>
        <v/>
      </c>
      <c r="Z172" s="214" t="str">
        <f t="shared" si="67"/>
        <v/>
      </c>
      <c r="AA172" s="214" t="str">
        <f t="shared" si="68"/>
        <v/>
      </c>
      <c r="AB172" s="214" t="str">
        <f t="shared" si="69"/>
        <v/>
      </c>
      <c r="AC172" s="214" t="str">
        <f t="shared" si="70"/>
        <v/>
      </c>
    </row>
    <row r="173" spans="2:29" x14ac:dyDescent="0.35">
      <c r="B173" s="208" t="str">
        <f>IF('Portfolio Register'!$A137="","",'Portfolio Register'!$A137)</f>
        <v/>
      </c>
      <c r="C173" s="208" t="str">
        <f>IF($B173="","",'Portfolio Register'!$B137)</f>
        <v/>
      </c>
      <c r="D173" s="208" t="str">
        <f>IF($B173="","",'Portfolio Register'!$I137)</f>
        <v/>
      </c>
      <c r="E173" s="208" t="str">
        <f>IF($B173="","",'Portfolio Register'!$DG137)</f>
        <v/>
      </c>
      <c r="F173" s="224" t="str">
        <f t="shared" si="50"/>
        <v/>
      </c>
      <c r="G173" s="225" t="str">
        <f>IF($B173="","",'Portfolio Register'!$J137)</f>
        <v/>
      </c>
      <c r="H173" s="225" t="str">
        <f>IF($B173="","",'Portfolio Register'!$CO137)</f>
        <v/>
      </c>
      <c r="I173" s="225" t="str">
        <f>IF($B173="","",'Portfolio Register'!$CW137)</f>
        <v/>
      </c>
      <c r="J173" s="214" t="str">
        <f t="shared" si="51"/>
        <v/>
      </c>
      <c r="K173" s="214" t="str">
        <f t="shared" si="52"/>
        <v/>
      </c>
      <c r="L173" s="214" t="str">
        <f t="shared" si="53"/>
        <v/>
      </c>
      <c r="M173" s="214" t="str">
        <f t="shared" si="54"/>
        <v/>
      </c>
      <c r="N173" s="214" t="str">
        <f t="shared" si="55"/>
        <v/>
      </c>
      <c r="O173" s="214" t="str">
        <f t="shared" si="56"/>
        <v/>
      </c>
      <c r="P173" s="214" t="str">
        <f t="shared" si="57"/>
        <v/>
      </c>
      <c r="Q173" s="214" t="str">
        <f t="shared" si="58"/>
        <v/>
      </c>
      <c r="R173" s="214" t="str">
        <f t="shared" si="59"/>
        <v/>
      </c>
      <c r="S173" s="214" t="str">
        <f t="shared" si="60"/>
        <v/>
      </c>
      <c r="T173" s="214" t="str">
        <f t="shared" si="61"/>
        <v/>
      </c>
      <c r="U173" s="214" t="str">
        <f t="shared" si="62"/>
        <v/>
      </c>
      <c r="V173" s="214" t="str">
        <f t="shared" si="63"/>
        <v/>
      </c>
      <c r="W173" s="214" t="str">
        <f t="shared" si="64"/>
        <v/>
      </c>
      <c r="X173" s="214" t="str">
        <f t="shared" si="65"/>
        <v/>
      </c>
      <c r="Y173" s="214" t="str">
        <f t="shared" si="66"/>
        <v/>
      </c>
      <c r="Z173" s="214" t="str">
        <f t="shared" si="67"/>
        <v/>
      </c>
      <c r="AA173" s="214" t="str">
        <f t="shared" si="68"/>
        <v/>
      </c>
      <c r="AB173" s="214" t="str">
        <f t="shared" si="69"/>
        <v/>
      </c>
      <c r="AC173" s="214" t="str">
        <f t="shared" si="70"/>
        <v/>
      </c>
    </row>
    <row r="174" spans="2:29" x14ac:dyDescent="0.35">
      <c r="B174" s="208" t="str">
        <f>IF('Portfolio Register'!$A138="","",'Portfolio Register'!$A138)</f>
        <v/>
      </c>
      <c r="C174" s="208" t="str">
        <f>IF($B174="","",'Portfolio Register'!$B138)</f>
        <v/>
      </c>
      <c r="D174" s="208" t="str">
        <f>IF($B174="","",'Portfolio Register'!$I138)</f>
        <v/>
      </c>
      <c r="E174" s="208" t="str">
        <f>IF($B174="","",'Portfolio Register'!$DG138)</f>
        <v/>
      </c>
      <c r="F174" s="224" t="str">
        <f t="shared" si="50"/>
        <v/>
      </c>
      <c r="G174" s="225" t="str">
        <f>IF($B174="","",'Portfolio Register'!$J138)</f>
        <v/>
      </c>
      <c r="H174" s="225" t="str">
        <f>IF($B174="","",'Portfolio Register'!$CO138)</f>
        <v/>
      </c>
      <c r="I174" s="225" t="str">
        <f>IF($B174="","",'Portfolio Register'!$CW138)</f>
        <v/>
      </c>
      <c r="J174" s="214" t="str">
        <f t="shared" si="51"/>
        <v/>
      </c>
      <c r="K174" s="214" t="str">
        <f t="shared" si="52"/>
        <v/>
      </c>
      <c r="L174" s="214" t="str">
        <f t="shared" si="53"/>
        <v/>
      </c>
      <c r="M174" s="214" t="str">
        <f t="shared" si="54"/>
        <v/>
      </c>
      <c r="N174" s="214" t="str">
        <f t="shared" si="55"/>
        <v/>
      </c>
      <c r="O174" s="214" t="str">
        <f t="shared" si="56"/>
        <v/>
      </c>
      <c r="P174" s="214" t="str">
        <f t="shared" si="57"/>
        <v/>
      </c>
      <c r="Q174" s="214" t="str">
        <f t="shared" si="58"/>
        <v/>
      </c>
      <c r="R174" s="214" t="str">
        <f t="shared" si="59"/>
        <v/>
      </c>
      <c r="S174" s="214" t="str">
        <f t="shared" si="60"/>
        <v/>
      </c>
      <c r="T174" s="214" t="str">
        <f t="shared" si="61"/>
        <v/>
      </c>
      <c r="U174" s="214" t="str">
        <f t="shared" si="62"/>
        <v/>
      </c>
      <c r="V174" s="214" t="str">
        <f t="shared" si="63"/>
        <v/>
      </c>
      <c r="W174" s="214" t="str">
        <f t="shared" si="64"/>
        <v/>
      </c>
      <c r="X174" s="214" t="str">
        <f t="shared" si="65"/>
        <v/>
      </c>
      <c r="Y174" s="214" t="str">
        <f t="shared" si="66"/>
        <v/>
      </c>
      <c r="Z174" s="214" t="str">
        <f t="shared" si="67"/>
        <v/>
      </c>
      <c r="AA174" s="214" t="str">
        <f t="shared" si="68"/>
        <v/>
      </c>
      <c r="AB174" s="214" t="str">
        <f t="shared" si="69"/>
        <v/>
      </c>
      <c r="AC174" s="214" t="str">
        <f t="shared" si="70"/>
        <v/>
      </c>
    </row>
    <row r="175" spans="2:29" x14ac:dyDescent="0.35">
      <c r="B175" s="208" t="str">
        <f>IF('Portfolio Register'!$A139="","",'Portfolio Register'!$A139)</f>
        <v/>
      </c>
      <c r="C175" s="208" t="str">
        <f>IF($B175="","",'Portfolio Register'!$B139)</f>
        <v/>
      </c>
      <c r="D175" s="208" t="str">
        <f>IF($B175="","",'Portfolio Register'!$I139)</f>
        <v/>
      </c>
      <c r="E175" s="208" t="str">
        <f>IF($B175="","",'Portfolio Register'!$DG139)</f>
        <v/>
      </c>
      <c r="F175" s="224" t="str">
        <f t="shared" si="50"/>
        <v/>
      </c>
      <c r="G175" s="225" t="str">
        <f>IF($B175="","",'Portfolio Register'!$J139)</f>
        <v/>
      </c>
      <c r="H175" s="225" t="str">
        <f>IF($B175="","",'Portfolio Register'!$CO139)</f>
        <v/>
      </c>
      <c r="I175" s="225" t="str">
        <f>IF($B175="","",'Portfolio Register'!$CW139)</f>
        <v/>
      </c>
      <c r="J175" s="214" t="str">
        <f t="shared" si="51"/>
        <v/>
      </c>
      <c r="K175" s="214" t="str">
        <f t="shared" si="52"/>
        <v/>
      </c>
      <c r="L175" s="214" t="str">
        <f t="shared" si="53"/>
        <v/>
      </c>
      <c r="M175" s="214" t="str">
        <f t="shared" si="54"/>
        <v/>
      </c>
      <c r="N175" s="214" t="str">
        <f t="shared" si="55"/>
        <v/>
      </c>
      <c r="O175" s="214" t="str">
        <f t="shared" si="56"/>
        <v/>
      </c>
      <c r="P175" s="214" t="str">
        <f t="shared" si="57"/>
        <v/>
      </c>
      <c r="Q175" s="214" t="str">
        <f t="shared" si="58"/>
        <v/>
      </c>
      <c r="R175" s="214" t="str">
        <f t="shared" si="59"/>
        <v/>
      </c>
      <c r="S175" s="214" t="str">
        <f t="shared" si="60"/>
        <v/>
      </c>
      <c r="T175" s="214" t="str">
        <f t="shared" si="61"/>
        <v/>
      </c>
      <c r="U175" s="214" t="str">
        <f t="shared" si="62"/>
        <v/>
      </c>
      <c r="V175" s="214" t="str">
        <f t="shared" si="63"/>
        <v/>
      </c>
      <c r="W175" s="214" t="str">
        <f t="shared" si="64"/>
        <v/>
      </c>
      <c r="X175" s="214" t="str">
        <f t="shared" si="65"/>
        <v/>
      </c>
      <c r="Y175" s="214" t="str">
        <f t="shared" si="66"/>
        <v/>
      </c>
      <c r="Z175" s="214" t="str">
        <f t="shared" si="67"/>
        <v/>
      </c>
      <c r="AA175" s="214" t="str">
        <f t="shared" si="68"/>
        <v/>
      </c>
      <c r="AB175" s="214" t="str">
        <f t="shared" si="69"/>
        <v/>
      </c>
      <c r="AC175" s="214" t="str">
        <f t="shared" si="70"/>
        <v/>
      </c>
    </row>
    <row r="176" spans="2:29" x14ac:dyDescent="0.35">
      <c r="B176" s="208" t="str">
        <f>IF('Portfolio Register'!$A140="","",'Portfolio Register'!$A140)</f>
        <v/>
      </c>
      <c r="C176" s="208" t="str">
        <f>IF($B176="","",'Portfolio Register'!$B140)</f>
        <v/>
      </c>
      <c r="D176" s="208" t="str">
        <f>IF($B176="","",'Portfolio Register'!$I140)</f>
        <v/>
      </c>
      <c r="E176" s="208" t="str">
        <f>IF($B176="","",'Portfolio Register'!$DG140)</f>
        <v/>
      </c>
      <c r="F176" s="224" t="str">
        <f t="shared" si="50"/>
        <v/>
      </c>
      <c r="G176" s="225" t="str">
        <f>IF($B176="","",'Portfolio Register'!$J140)</f>
        <v/>
      </c>
      <c r="H176" s="225" t="str">
        <f>IF($B176="","",'Portfolio Register'!$CO140)</f>
        <v/>
      </c>
      <c r="I176" s="225" t="str">
        <f>IF($B176="","",'Portfolio Register'!$CW140)</f>
        <v/>
      </c>
      <c r="J176" s="214" t="str">
        <f t="shared" si="51"/>
        <v/>
      </c>
      <c r="K176" s="214" t="str">
        <f t="shared" si="52"/>
        <v/>
      </c>
      <c r="L176" s="214" t="str">
        <f t="shared" si="53"/>
        <v/>
      </c>
      <c r="M176" s="214" t="str">
        <f t="shared" si="54"/>
        <v/>
      </c>
      <c r="N176" s="214" t="str">
        <f t="shared" si="55"/>
        <v/>
      </c>
      <c r="O176" s="214" t="str">
        <f t="shared" si="56"/>
        <v/>
      </c>
      <c r="P176" s="214" t="str">
        <f t="shared" si="57"/>
        <v/>
      </c>
      <c r="Q176" s="214" t="str">
        <f t="shared" si="58"/>
        <v/>
      </c>
      <c r="R176" s="214" t="str">
        <f t="shared" si="59"/>
        <v/>
      </c>
      <c r="S176" s="214" t="str">
        <f t="shared" si="60"/>
        <v/>
      </c>
      <c r="T176" s="214" t="str">
        <f t="shared" si="61"/>
        <v/>
      </c>
      <c r="U176" s="214" t="str">
        <f t="shared" si="62"/>
        <v/>
      </c>
      <c r="V176" s="214" t="str">
        <f t="shared" si="63"/>
        <v/>
      </c>
      <c r="W176" s="214" t="str">
        <f t="shared" si="64"/>
        <v/>
      </c>
      <c r="X176" s="214" t="str">
        <f t="shared" si="65"/>
        <v/>
      </c>
      <c r="Y176" s="214" t="str">
        <f t="shared" si="66"/>
        <v/>
      </c>
      <c r="Z176" s="214" t="str">
        <f t="shared" si="67"/>
        <v/>
      </c>
      <c r="AA176" s="214" t="str">
        <f t="shared" si="68"/>
        <v/>
      </c>
      <c r="AB176" s="214" t="str">
        <f t="shared" si="69"/>
        <v/>
      </c>
      <c r="AC176" s="214" t="str">
        <f t="shared" si="70"/>
        <v/>
      </c>
    </row>
    <row r="177" spans="2:29" x14ac:dyDescent="0.35">
      <c r="B177" s="208" t="str">
        <f>IF('Portfolio Register'!$A141="","",'Portfolio Register'!$A141)</f>
        <v/>
      </c>
      <c r="C177" s="208" t="str">
        <f>IF($B177="","",'Portfolio Register'!$B141)</f>
        <v/>
      </c>
      <c r="D177" s="208" t="str">
        <f>IF($B177="","",'Portfolio Register'!$I141)</f>
        <v/>
      </c>
      <c r="E177" s="208" t="str">
        <f>IF($B177="","",'Portfolio Register'!$DG141)</f>
        <v/>
      </c>
      <c r="F177" s="224" t="str">
        <f t="shared" si="50"/>
        <v/>
      </c>
      <c r="G177" s="225" t="str">
        <f>IF($B177="","",'Portfolio Register'!$J141)</f>
        <v/>
      </c>
      <c r="H177" s="225" t="str">
        <f>IF($B177="","",'Portfolio Register'!$CO141)</f>
        <v/>
      </c>
      <c r="I177" s="225" t="str">
        <f>IF($B177="","",'Portfolio Register'!$CW141)</f>
        <v/>
      </c>
      <c r="J177" s="214" t="str">
        <f t="shared" si="51"/>
        <v/>
      </c>
      <c r="K177" s="214" t="str">
        <f t="shared" si="52"/>
        <v/>
      </c>
      <c r="L177" s="214" t="str">
        <f t="shared" si="53"/>
        <v/>
      </c>
      <c r="M177" s="214" t="str">
        <f t="shared" si="54"/>
        <v/>
      </c>
      <c r="N177" s="214" t="str">
        <f t="shared" si="55"/>
        <v/>
      </c>
      <c r="O177" s="214" t="str">
        <f t="shared" si="56"/>
        <v/>
      </c>
      <c r="P177" s="214" t="str">
        <f t="shared" si="57"/>
        <v/>
      </c>
      <c r="Q177" s="214" t="str">
        <f t="shared" si="58"/>
        <v/>
      </c>
      <c r="R177" s="214" t="str">
        <f t="shared" si="59"/>
        <v/>
      </c>
      <c r="S177" s="214" t="str">
        <f t="shared" si="60"/>
        <v/>
      </c>
      <c r="T177" s="214" t="str">
        <f t="shared" si="61"/>
        <v/>
      </c>
      <c r="U177" s="214" t="str">
        <f t="shared" si="62"/>
        <v/>
      </c>
      <c r="V177" s="214" t="str">
        <f t="shared" si="63"/>
        <v/>
      </c>
      <c r="W177" s="214" t="str">
        <f t="shared" si="64"/>
        <v/>
      </c>
      <c r="X177" s="214" t="str">
        <f t="shared" si="65"/>
        <v/>
      </c>
      <c r="Y177" s="214" t="str">
        <f t="shared" si="66"/>
        <v/>
      </c>
      <c r="Z177" s="214" t="str">
        <f t="shared" si="67"/>
        <v/>
      </c>
      <c r="AA177" s="214" t="str">
        <f t="shared" si="68"/>
        <v/>
      </c>
      <c r="AB177" s="214" t="str">
        <f t="shared" si="69"/>
        <v/>
      </c>
      <c r="AC177" s="214" t="str">
        <f t="shared" si="70"/>
        <v/>
      </c>
    </row>
    <row r="178" spans="2:29" x14ac:dyDescent="0.35">
      <c r="B178" s="208" t="str">
        <f>IF('Portfolio Register'!$A142="","",'Portfolio Register'!$A142)</f>
        <v/>
      </c>
      <c r="C178" s="208" t="str">
        <f>IF($B178="","",'Portfolio Register'!$B142)</f>
        <v/>
      </c>
      <c r="D178" s="208" t="str">
        <f>IF($B178="","",'Portfolio Register'!$I142)</f>
        <v/>
      </c>
      <c r="E178" s="208" t="str">
        <f>IF($B178="","",'Portfolio Register'!$DG142)</f>
        <v/>
      </c>
      <c r="F178" s="224" t="str">
        <f t="shared" si="50"/>
        <v/>
      </c>
      <c r="G178" s="225" t="str">
        <f>IF($B178="","",'Portfolio Register'!$J142)</f>
        <v/>
      </c>
      <c r="H178" s="225" t="str">
        <f>IF($B178="","",'Portfolio Register'!$CO142)</f>
        <v/>
      </c>
      <c r="I178" s="225" t="str">
        <f>IF($B178="","",'Portfolio Register'!$CW142)</f>
        <v/>
      </c>
      <c r="J178" s="214" t="str">
        <f t="shared" si="51"/>
        <v/>
      </c>
      <c r="K178" s="214" t="str">
        <f t="shared" si="52"/>
        <v/>
      </c>
      <c r="L178" s="214" t="str">
        <f t="shared" si="53"/>
        <v/>
      </c>
      <c r="M178" s="214" t="str">
        <f t="shared" si="54"/>
        <v/>
      </c>
      <c r="N178" s="214" t="str">
        <f t="shared" si="55"/>
        <v/>
      </c>
      <c r="O178" s="214" t="str">
        <f t="shared" si="56"/>
        <v/>
      </c>
      <c r="P178" s="214" t="str">
        <f t="shared" si="57"/>
        <v/>
      </c>
      <c r="Q178" s="214" t="str">
        <f t="shared" si="58"/>
        <v/>
      </c>
      <c r="R178" s="214" t="str">
        <f t="shared" si="59"/>
        <v/>
      </c>
      <c r="S178" s="214" t="str">
        <f t="shared" si="60"/>
        <v/>
      </c>
      <c r="T178" s="214" t="str">
        <f t="shared" si="61"/>
        <v/>
      </c>
      <c r="U178" s="214" t="str">
        <f t="shared" si="62"/>
        <v/>
      </c>
      <c r="V178" s="214" t="str">
        <f t="shared" si="63"/>
        <v/>
      </c>
      <c r="W178" s="214" t="str">
        <f t="shared" si="64"/>
        <v/>
      </c>
      <c r="X178" s="214" t="str">
        <f t="shared" si="65"/>
        <v/>
      </c>
      <c r="Y178" s="214" t="str">
        <f t="shared" si="66"/>
        <v/>
      </c>
      <c r="Z178" s="214" t="str">
        <f t="shared" si="67"/>
        <v/>
      </c>
      <c r="AA178" s="214" t="str">
        <f t="shared" si="68"/>
        <v/>
      </c>
      <c r="AB178" s="214" t="str">
        <f t="shared" si="69"/>
        <v/>
      </c>
      <c r="AC178" s="214" t="str">
        <f t="shared" si="70"/>
        <v/>
      </c>
    </row>
    <row r="179" spans="2:29" x14ac:dyDescent="0.35">
      <c r="B179" s="208" t="str">
        <f>IF('Portfolio Register'!$A143="","",'Portfolio Register'!$A143)</f>
        <v/>
      </c>
      <c r="C179" s="208" t="str">
        <f>IF($B179="","",'Portfolio Register'!$B143)</f>
        <v/>
      </c>
      <c r="D179" s="208" t="str">
        <f>IF($B179="","",'Portfolio Register'!$I143)</f>
        <v/>
      </c>
      <c r="E179" s="208" t="str">
        <f>IF($B179="","",'Portfolio Register'!$DG143)</f>
        <v/>
      </c>
      <c r="F179" s="224" t="str">
        <f t="shared" si="50"/>
        <v/>
      </c>
      <c r="G179" s="225" t="str">
        <f>IF($B179="","",'Portfolio Register'!$J143)</f>
        <v/>
      </c>
      <c r="H179" s="225" t="str">
        <f>IF($B179="","",'Portfolio Register'!$CO143)</f>
        <v/>
      </c>
      <c r="I179" s="225" t="str">
        <f>IF($B179="","",'Portfolio Register'!$CW143)</f>
        <v/>
      </c>
      <c r="J179" s="214" t="str">
        <f t="shared" si="51"/>
        <v/>
      </c>
      <c r="K179" s="214" t="str">
        <f t="shared" si="52"/>
        <v/>
      </c>
      <c r="L179" s="214" t="str">
        <f t="shared" si="53"/>
        <v/>
      </c>
      <c r="M179" s="214" t="str">
        <f t="shared" si="54"/>
        <v/>
      </c>
      <c r="N179" s="214" t="str">
        <f t="shared" si="55"/>
        <v/>
      </c>
      <c r="O179" s="214" t="str">
        <f t="shared" si="56"/>
        <v/>
      </c>
      <c r="P179" s="214" t="str">
        <f t="shared" si="57"/>
        <v/>
      </c>
      <c r="Q179" s="214" t="str">
        <f t="shared" si="58"/>
        <v/>
      </c>
      <c r="R179" s="214" t="str">
        <f t="shared" si="59"/>
        <v/>
      </c>
      <c r="S179" s="214" t="str">
        <f t="shared" si="60"/>
        <v/>
      </c>
      <c r="T179" s="214" t="str">
        <f t="shared" si="61"/>
        <v/>
      </c>
      <c r="U179" s="214" t="str">
        <f t="shared" si="62"/>
        <v/>
      </c>
      <c r="V179" s="214" t="str">
        <f t="shared" si="63"/>
        <v/>
      </c>
      <c r="W179" s="214" t="str">
        <f t="shared" si="64"/>
        <v/>
      </c>
      <c r="X179" s="214" t="str">
        <f t="shared" si="65"/>
        <v/>
      </c>
      <c r="Y179" s="214" t="str">
        <f t="shared" si="66"/>
        <v/>
      </c>
      <c r="Z179" s="214" t="str">
        <f t="shared" si="67"/>
        <v/>
      </c>
      <c r="AA179" s="214" t="str">
        <f t="shared" si="68"/>
        <v/>
      </c>
      <c r="AB179" s="214" t="str">
        <f t="shared" si="69"/>
        <v/>
      </c>
      <c r="AC179" s="214" t="str">
        <f t="shared" si="70"/>
        <v/>
      </c>
    </row>
    <row r="180" spans="2:29" x14ac:dyDescent="0.35">
      <c r="B180" s="208" t="str">
        <f>IF('Portfolio Register'!$A144="","",'Portfolio Register'!$A144)</f>
        <v/>
      </c>
      <c r="C180" s="208" t="str">
        <f>IF($B180="","",'Portfolio Register'!$B144)</f>
        <v/>
      </c>
      <c r="D180" s="208" t="str">
        <f>IF($B180="","",'Portfolio Register'!$I144)</f>
        <v/>
      </c>
      <c r="E180" s="208" t="str">
        <f>IF($B180="","",'Portfolio Register'!$DG144)</f>
        <v/>
      </c>
      <c r="F180" s="224" t="str">
        <f t="shared" si="50"/>
        <v/>
      </c>
      <c r="G180" s="225" t="str">
        <f>IF($B180="","",'Portfolio Register'!$J144)</f>
        <v/>
      </c>
      <c r="H180" s="225" t="str">
        <f>IF($B180="","",'Portfolio Register'!$CO144)</f>
        <v/>
      </c>
      <c r="I180" s="225" t="str">
        <f>IF($B180="","",'Portfolio Register'!$CW144)</f>
        <v/>
      </c>
      <c r="J180" s="214" t="str">
        <f t="shared" si="51"/>
        <v/>
      </c>
      <c r="K180" s="214" t="str">
        <f t="shared" si="52"/>
        <v/>
      </c>
      <c r="L180" s="214" t="str">
        <f t="shared" si="53"/>
        <v/>
      </c>
      <c r="M180" s="214" t="str">
        <f t="shared" si="54"/>
        <v/>
      </c>
      <c r="N180" s="214" t="str">
        <f t="shared" si="55"/>
        <v/>
      </c>
      <c r="O180" s="214" t="str">
        <f t="shared" si="56"/>
        <v/>
      </c>
      <c r="P180" s="214" t="str">
        <f t="shared" si="57"/>
        <v/>
      </c>
      <c r="Q180" s="214" t="str">
        <f t="shared" si="58"/>
        <v/>
      </c>
      <c r="R180" s="214" t="str">
        <f t="shared" si="59"/>
        <v/>
      </c>
      <c r="S180" s="214" t="str">
        <f t="shared" si="60"/>
        <v/>
      </c>
      <c r="T180" s="214" t="str">
        <f t="shared" si="61"/>
        <v/>
      </c>
      <c r="U180" s="214" t="str">
        <f t="shared" si="62"/>
        <v/>
      </c>
      <c r="V180" s="214" t="str">
        <f t="shared" si="63"/>
        <v/>
      </c>
      <c r="W180" s="214" t="str">
        <f t="shared" si="64"/>
        <v/>
      </c>
      <c r="X180" s="214" t="str">
        <f t="shared" si="65"/>
        <v/>
      </c>
      <c r="Y180" s="214" t="str">
        <f t="shared" si="66"/>
        <v/>
      </c>
      <c r="Z180" s="214" t="str">
        <f t="shared" si="67"/>
        <v/>
      </c>
      <c r="AA180" s="214" t="str">
        <f t="shared" si="68"/>
        <v/>
      </c>
      <c r="AB180" s="214" t="str">
        <f t="shared" si="69"/>
        <v/>
      </c>
      <c r="AC180" s="214" t="str">
        <f t="shared" si="70"/>
        <v/>
      </c>
    </row>
    <row r="181" spans="2:29" x14ac:dyDescent="0.35">
      <c r="B181" s="208" t="str">
        <f>IF('Portfolio Register'!$A145="","",'Portfolio Register'!$A145)</f>
        <v/>
      </c>
      <c r="C181" s="208" t="str">
        <f>IF($B181="","",'Portfolio Register'!$B145)</f>
        <v/>
      </c>
      <c r="D181" s="208" t="str">
        <f>IF($B181="","",'Portfolio Register'!$I145)</f>
        <v/>
      </c>
      <c r="E181" s="208" t="str">
        <f>IF($B181="","",'Portfolio Register'!$DG145)</f>
        <v/>
      </c>
      <c r="F181" s="224" t="str">
        <f t="shared" si="50"/>
        <v/>
      </c>
      <c r="G181" s="225" t="str">
        <f>IF($B181="","",'Portfolio Register'!$J145)</f>
        <v/>
      </c>
      <c r="H181" s="225" t="str">
        <f>IF($B181="","",'Portfolio Register'!$CO145)</f>
        <v/>
      </c>
      <c r="I181" s="225" t="str">
        <f>IF($B181="","",'Portfolio Register'!$CW145)</f>
        <v/>
      </c>
      <c r="J181" s="214" t="str">
        <f t="shared" si="51"/>
        <v/>
      </c>
      <c r="K181" s="214" t="str">
        <f t="shared" si="52"/>
        <v/>
      </c>
      <c r="L181" s="214" t="str">
        <f t="shared" si="53"/>
        <v/>
      </c>
      <c r="M181" s="214" t="str">
        <f t="shared" si="54"/>
        <v/>
      </c>
      <c r="N181" s="214" t="str">
        <f t="shared" si="55"/>
        <v/>
      </c>
      <c r="O181" s="214" t="str">
        <f t="shared" si="56"/>
        <v/>
      </c>
      <c r="P181" s="214" t="str">
        <f t="shared" si="57"/>
        <v/>
      </c>
      <c r="Q181" s="214" t="str">
        <f t="shared" si="58"/>
        <v/>
      </c>
      <c r="R181" s="214" t="str">
        <f t="shared" si="59"/>
        <v/>
      </c>
      <c r="S181" s="214" t="str">
        <f t="shared" si="60"/>
        <v/>
      </c>
      <c r="T181" s="214" t="str">
        <f t="shared" si="61"/>
        <v/>
      </c>
      <c r="U181" s="214" t="str">
        <f t="shared" si="62"/>
        <v/>
      </c>
      <c r="V181" s="214" t="str">
        <f t="shared" si="63"/>
        <v/>
      </c>
      <c r="W181" s="214" t="str">
        <f t="shared" si="64"/>
        <v/>
      </c>
      <c r="X181" s="214" t="str">
        <f t="shared" si="65"/>
        <v/>
      </c>
      <c r="Y181" s="214" t="str">
        <f t="shared" si="66"/>
        <v/>
      </c>
      <c r="Z181" s="214" t="str">
        <f t="shared" si="67"/>
        <v/>
      </c>
      <c r="AA181" s="214" t="str">
        <f t="shared" si="68"/>
        <v/>
      </c>
      <c r="AB181" s="214" t="str">
        <f t="shared" si="69"/>
        <v/>
      </c>
      <c r="AC181" s="214" t="str">
        <f t="shared" si="70"/>
        <v/>
      </c>
    </row>
    <row r="182" spans="2:29" x14ac:dyDescent="0.35">
      <c r="B182" s="208" t="str">
        <f>IF('Portfolio Register'!$A146="","",'Portfolio Register'!$A146)</f>
        <v/>
      </c>
      <c r="C182" s="208" t="str">
        <f>IF($B182="","",'Portfolio Register'!$B146)</f>
        <v/>
      </c>
      <c r="D182" s="208" t="str">
        <f>IF($B182="","",'Portfolio Register'!$I146)</f>
        <v/>
      </c>
      <c r="E182" s="208" t="str">
        <f>IF($B182="","",'Portfolio Register'!$DG146)</f>
        <v/>
      </c>
      <c r="F182" s="224" t="str">
        <f t="shared" si="50"/>
        <v/>
      </c>
      <c r="G182" s="225" t="str">
        <f>IF($B182="","",'Portfolio Register'!$J146)</f>
        <v/>
      </c>
      <c r="H182" s="225" t="str">
        <f>IF($B182="","",'Portfolio Register'!$CO146)</f>
        <v/>
      </c>
      <c r="I182" s="225" t="str">
        <f>IF($B182="","",'Portfolio Register'!$CW146)</f>
        <v/>
      </c>
      <c r="J182" s="214" t="str">
        <f t="shared" si="51"/>
        <v/>
      </c>
      <c r="K182" s="214" t="str">
        <f t="shared" si="52"/>
        <v/>
      </c>
      <c r="L182" s="214" t="str">
        <f t="shared" si="53"/>
        <v/>
      </c>
      <c r="M182" s="214" t="str">
        <f t="shared" si="54"/>
        <v/>
      </c>
      <c r="N182" s="214" t="str">
        <f t="shared" si="55"/>
        <v/>
      </c>
      <c r="O182" s="214" t="str">
        <f t="shared" si="56"/>
        <v/>
      </c>
      <c r="P182" s="214" t="str">
        <f t="shared" si="57"/>
        <v/>
      </c>
      <c r="Q182" s="214" t="str">
        <f t="shared" si="58"/>
        <v/>
      </c>
      <c r="R182" s="214" t="str">
        <f t="shared" si="59"/>
        <v/>
      </c>
      <c r="S182" s="214" t="str">
        <f t="shared" si="60"/>
        <v/>
      </c>
      <c r="T182" s="214" t="str">
        <f t="shared" si="61"/>
        <v/>
      </c>
      <c r="U182" s="214" t="str">
        <f t="shared" si="62"/>
        <v/>
      </c>
      <c r="V182" s="214" t="str">
        <f t="shared" si="63"/>
        <v/>
      </c>
      <c r="W182" s="214" t="str">
        <f t="shared" si="64"/>
        <v/>
      </c>
      <c r="X182" s="214" t="str">
        <f t="shared" si="65"/>
        <v/>
      </c>
      <c r="Y182" s="214" t="str">
        <f t="shared" si="66"/>
        <v/>
      </c>
      <c r="Z182" s="214" t="str">
        <f t="shared" si="67"/>
        <v/>
      </c>
      <c r="AA182" s="214" t="str">
        <f t="shared" si="68"/>
        <v/>
      </c>
      <c r="AB182" s="214" t="str">
        <f t="shared" si="69"/>
        <v/>
      </c>
      <c r="AC182" s="214" t="str">
        <f t="shared" si="70"/>
        <v/>
      </c>
    </row>
    <row r="183" spans="2:29" x14ac:dyDescent="0.35">
      <c r="B183" s="208" t="str">
        <f>IF('Portfolio Register'!$A147="","",'Portfolio Register'!$A147)</f>
        <v/>
      </c>
      <c r="C183" s="208" t="str">
        <f>IF($B183="","",'Portfolio Register'!$B147)</f>
        <v/>
      </c>
      <c r="D183" s="208" t="str">
        <f>IF($B183="","",'Portfolio Register'!$I147)</f>
        <v/>
      </c>
      <c r="E183" s="208" t="str">
        <f>IF($B183="","",'Portfolio Register'!$DG147)</f>
        <v/>
      </c>
      <c r="F183" s="224" t="str">
        <f t="shared" si="50"/>
        <v/>
      </c>
      <c r="G183" s="225" t="str">
        <f>IF($B183="","",'Portfolio Register'!$J147)</f>
        <v/>
      </c>
      <c r="H183" s="225" t="str">
        <f>IF($B183="","",'Portfolio Register'!$CO147)</f>
        <v/>
      </c>
      <c r="I183" s="225" t="str">
        <f>IF($B183="","",'Portfolio Register'!$CW147)</f>
        <v/>
      </c>
      <c r="J183" s="214" t="str">
        <f t="shared" si="51"/>
        <v/>
      </c>
      <c r="K183" s="214" t="str">
        <f t="shared" si="52"/>
        <v/>
      </c>
      <c r="L183" s="214" t="str">
        <f t="shared" si="53"/>
        <v/>
      </c>
      <c r="M183" s="214" t="str">
        <f t="shared" si="54"/>
        <v/>
      </c>
      <c r="N183" s="214" t="str">
        <f t="shared" si="55"/>
        <v/>
      </c>
      <c r="O183" s="214" t="str">
        <f t="shared" si="56"/>
        <v/>
      </c>
      <c r="P183" s="214" t="str">
        <f t="shared" si="57"/>
        <v/>
      </c>
      <c r="Q183" s="214" t="str">
        <f t="shared" si="58"/>
        <v/>
      </c>
      <c r="R183" s="214" t="str">
        <f t="shared" si="59"/>
        <v/>
      </c>
      <c r="S183" s="214" t="str">
        <f t="shared" si="60"/>
        <v/>
      </c>
      <c r="T183" s="214" t="str">
        <f t="shared" si="61"/>
        <v/>
      </c>
      <c r="U183" s="214" t="str">
        <f t="shared" si="62"/>
        <v/>
      </c>
      <c r="V183" s="214" t="str">
        <f t="shared" si="63"/>
        <v/>
      </c>
      <c r="W183" s="214" t="str">
        <f t="shared" si="64"/>
        <v/>
      </c>
      <c r="X183" s="214" t="str">
        <f t="shared" si="65"/>
        <v/>
      </c>
      <c r="Y183" s="214" t="str">
        <f t="shared" si="66"/>
        <v/>
      </c>
      <c r="Z183" s="214" t="str">
        <f t="shared" si="67"/>
        <v/>
      </c>
      <c r="AA183" s="214" t="str">
        <f t="shared" si="68"/>
        <v/>
      </c>
      <c r="AB183" s="214" t="str">
        <f t="shared" si="69"/>
        <v/>
      </c>
      <c r="AC183" s="214" t="str">
        <f t="shared" si="70"/>
        <v/>
      </c>
    </row>
    <row r="184" spans="2:29" x14ac:dyDescent="0.35">
      <c r="B184" s="208" t="str">
        <f>IF('Portfolio Register'!$A148="","",'Portfolio Register'!$A148)</f>
        <v/>
      </c>
      <c r="C184" s="208" t="str">
        <f>IF($B184="","",'Portfolio Register'!$B148)</f>
        <v/>
      </c>
      <c r="D184" s="208" t="str">
        <f>IF($B184="","",'Portfolio Register'!$I148)</f>
        <v/>
      </c>
      <c r="E184" s="208" t="str">
        <f>IF($B184="","",'Portfolio Register'!$DG148)</f>
        <v/>
      </c>
      <c r="F184" s="224" t="str">
        <f t="shared" si="50"/>
        <v/>
      </c>
      <c r="G184" s="225" t="str">
        <f>IF($B184="","",'Portfolio Register'!$J148)</f>
        <v/>
      </c>
      <c r="H184" s="225" t="str">
        <f>IF($B184="","",'Portfolio Register'!$CO148)</f>
        <v/>
      </c>
      <c r="I184" s="225" t="str">
        <f>IF($B184="","",'Portfolio Register'!$CW148)</f>
        <v/>
      </c>
      <c r="J184" s="214" t="str">
        <f t="shared" si="51"/>
        <v/>
      </c>
      <c r="K184" s="214" t="str">
        <f t="shared" si="52"/>
        <v/>
      </c>
      <c r="L184" s="214" t="str">
        <f t="shared" si="53"/>
        <v/>
      </c>
      <c r="M184" s="214" t="str">
        <f t="shared" si="54"/>
        <v/>
      </c>
      <c r="N184" s="214" t="str">
        <f t="shared" si="55"/>
        <v/>
      </c>
      <c r="O184" s="214" t="str">
        <f t="shared" si="56"/>
        <v/>
      </c>
      <c r="P184" s="214" t="str">
        <f t="shared" si="57"/>
        <v/>
      </c>
      <c r="Q184" s="214" t="str">
        <f t="shared" si="58"/>
        <v/>
      </c>
      <c r="R184" s="214" t="str">
        <f t="shared" si="59"/>
        <v/>
      </c>
      <c r="S184" s="214" t="str">
        <f t="shared" si="60"/>
        <v/>
      </c>
      <c r="T184" s="214" t="str">
        <f t="shared" si="61"/>
        <v/>
      </c>
      <c r="U184" s="214" t="str">
        <f t="shared" si="62"/>
        <v/>
      </c>
      <c r="V184" s="214" t="str">
        <f t="shared" si="63"/>
        <v/>
      </c>
      <c r="W184" s="214" t="str">
        <f t="shared" si="64"/>
        <v/>
      </c>
      <c r="X184" s="214" t="str">
        <f t="shared" si="65"/>
        <v/>
      </c>
      <c r="Y184" s="214" t="str">
        <f t="shared" si="66"/>
        <v/>
      </c>
      <c r="Z184" s="214" t="str">
        <f t="shared" si="67"/>
        <v/>
      </c>
      <c r="AA184" s="214" t="str">
        <f t="shared" si="68"/>
        <v/>
      </c>
      <c r="AB184" s="214" t="str">
        <f t="shared" si="69"/>
        <v/>
      </c>
      <c r="AC184" s="214" t="str">
        <f t="shared" si="70"/>
        <v/>
      </c>
    </row>
    <row r="185" spans="2:29" x14ac:dyDescent="0.35">
      <c r="B185" s="208" t="str">
        <f>IF('Portfolio Register'!$A149="","",'Portfolio Register'!$A149)</f>
        <v/>
      </c>
      <c r="C185" s="208" t="str">
        <f>IF($B185="","",'Portfolio Register'!$B149)</f>
        <v/>
      </c>
      <c r="D185" s="208" t="str">
        <f>IF($B185="","",'Portfolio Register'!$I149)</f>
        <v/>
      </c>
      <c r="E185" s="208" t="str">
        <f>IF($B185="","",'Portfolio Register'!$DG149)</f>
        <v/>
      </c>
      <c r="F185" s="224" t="str">
        <f t="shared" si="50"/>
        <v/>
      </c>
      <c r="G185" s="225" t="str">
        <f>IF($B185="","",'Portfolio Register'!$J149)</f>
        <v/>
      </c>
      <c r="H185" s="225" t="str">
        <f>IF($B185="","",'Portfolio Register'!$CO149)</f>
        <v/>
      </c>
      <c r="I185" s="225" t="str">
        <f>IF($B185="","",'Portfolio Register'!$CW149)</f>
        <v/>
      </c>
      <c r="J185" s="214" t="str">
        <f t="shared" si="51"/>
        <v/>
      </c>
      <c r="K185" s="214" t="str">
        <f t="shared" si="52"/>
        <v/>
      </c>
      <c r="L185" s="214" t="str">
        <f t="shared" si="53"/>
        <v/>
      </c>
      <c r="M185" s="214" t="str">
        <f t="shared" si="54"/>
        <v/>
      </c>
      <c r="N185" s="214" t="str">
        <f t="shared" si="55"/>
        <v/>
      </c>
      <c r="O185" s="214" t="str">
        <f t="shared" si="56"/>
        <v/>
      </c>
      <c r="P185" s="214" t="str">
        <f t="shared" si="57"/>
        <v/>
      </c>
      <c r="Q185" s="214" t="str">
        <f t="shared" si="58"/>
        <v/>
      </c>
      <c r="R185" s="214" t="str">
        <f t="shared" si="59"/>
        <v/>
      </c>
      <c r="S185" s="214" t="str">
        <f t="shared" si="60"/>
        <v/>
      </c>
      <c r="T185" s="214" t="str">
        <f t="shared" si="61"/>
        <v/>
      </c>
      <c r="U185" s="214" t="str">
        <f t="shared" si="62"/>
        <v/>
      </c>
      <c r="V185" s="214" t="str">
        <f t="shared" si="63"/>
        <v/>
      </c>
      <c r="W185" s="214" t="str">
        <f t="shared" si="64"/>
        <v/>
      </c>
      <c r="X185" s="214" t="str">
        <f t="shared" si="65"/>
        <v/>
      </c>
      <c r="Y185" s="214" t="str">
        <f t="shared" si="66"/>
        <v/>
      </c>
      <c r="Z185" s="214" t="str">
        <f t="shared" si="67"/>
        <v/>
      </c>
      <c r="AA185" s="214" t="str">
        <f t="shared" si="68"/>
        <v/>
      </c>
      <c r="AB185" s="214" t="str">
        <f t="shared" si="69"/>
        <v/>
      </c>
      <c r="AC185" s="214" t="str">
        <f t="shared" si="70"/>
        <v/>
      </c>
    </row>
    <row r="186" spans="2:29" x14ac:dyDescent="0.35">
      <c r="B186" s="208" t="str">
        <f>IF('Portfolio Register'!$A150="","",'Portfolio Register'!$A150)</f>
        <v/>
      </c>
      <c r="C186" s="208" t="str">
        <f>IF($B186="","",'Portfolio Register'!$B150)</f>
        <v/>
      </c>
      <c r="D186" s="208" t="str">
        <f>IF($B186="","",'Portfolio Register'!$I150)</f>
        <v/>
      </c>
      <c r="E186" s="208" t="str">
        <f>IF($B186="","",'Portfolio Register'!$DG150)</f>
        <v/>
      </c>
      <c r="F186" s="224" t="str">
        <f t="shared" si="50"/>
        <v/>
      </c>
      <c r="G186" s="225" t="str">
        <f>IF($B186="","",'Portfolio Register'!$J150)</f>
        <v/>
      </c>
      <c r="H186" s="225" t="str">
        <f>IF($B186="","",'Portfolio Register'!$CO150)</f>
        <v/>
      </c>
      <c r="I186" s="225" t="str">
        <f>IF($B186="","",'Portfolio Register'!$CW150)</f>
        <v/>
      </c>
      <c r="J186" s="214" t="str">
        <f t="shared" si="51"/>
        <v/>
      </c>
      <c r="K186" s="214" t="str">
        <f t="shared" si="52"/>
        <v/>
      </c>
      <c r="L186" s="214" t="str">
        <f t="shared" si="53"/>
        <v/>
      </c>
      <c r="M186" s="214" t="str">
        <f t="shared" si="54"/>
        <v/>
      </c>
      <c r="N186" s="214" t="str">
        <f t="shared" si="55"/>
        <v/>
      </c>
      <c r="O186" s="214" t="str">
        <f t="shared" si="56"/>
        <v/>
      </c>
      <c r="P186" s="214" t="str">
        <f t="shared" si="57"/>
        <v/>
      </c>
      <c r="Q186" s="214" t="str">
        <f t="shared" si="58"/>
        <v/>
      </c>
      <c r="R186" s="214" t="str">
        <f t="shared" si="59"/>
        <v/>
      </c>
      <c r="S186" s="214" t="str">
        <f t="shared" si="60"/>
        <v/>
      </c>
      <c r="T186" s="214" t="str">
        <f t="shared" si="61"/>
        <v/>
      </c>
      <c r="U186" s="214" t="str">
        <f t="shared" si="62"/>
        <v/>
      </c>
      <c r="V186" s="214" t="str">
        <f t="shared" si="63"/>
        <v/>
      </c>
      <c r="W186" s="214" t="str">
        <f t="shared" si="64"/>
        <v/>
      </c>
      <c r="X186" s="214" t="str">
        <f t="shared" si="65"/>
        <v/>
      </c>
      <c r="Y186" s="214" t="str">
        <f t="shared" si="66"/>
        <v/>
      </c>
      <c r="Z186" s="214" t="str">
        <f t="shared" si="67"/>
        <v/>
      </c>
      <c r="AA186" s="214" t="str">
        <f t="shared" si="68"/>
        <v/>
      </c>
      <c r="AB186" s="214" t="str">
        <f t="shared" si="69"/>
        <v/>
      </c>
      <c r="AC186" s="214" t="str">
        <f t="shared" si="70"/>
        <v/>
      </c>
    </row>
    <row r="187" spans="2:29" x14ac:dyDescent="0.35">
      <c r="B187" s="208" t="str">
        <f>IF('Portfolio Register'!$A151="","",'Portfolio Register'!$A151)</f>
        <v/>
      </c>
      <c r="C187" s="208" t="str">
        <f>IF($B187="","",'Portfolio Register'!$B151)</f>
        <v/>
      </c>
      <c r="D187" s="208" t="str">
        <f>IF($B187="","",'Portfolio Register'!$I151)</f>
        <v/>
      </c>
      <c r="E187" s="208" t="str">
        <f>IF($B187="","",'Portfolio Register'!$DG151)</f>
        <v/>
      </c>
      <c r="F187" s="224" t="str">
        <f t="shared" si="50"/>
        <v/>
      </c>
      <c r="G187" s="225" t="str">
        <f>IF($B187="","",'Portfolio Register'!$J151)</f>
        <v/>
      </c>
      <c r="H187" s="225" t="str">
        <f>IF($B187="","",'Portfolio Register'!$CO151)</f>
        <v/>
      </c>
      <c r="I187" s="225" t="str">
        <f>IF($B187="","",'Portfolio Register'!$CW151)</f>
        <v/>
      </c>
      <c r="J187" s="214" t="str">
        <f t="shared" si="51"/>
        <v/>
      </c>
      <c r="K187" s="214" t="str">
        <f t="shared" si="52"/>
        <v/>
      </c>
      <c r="L187" s="214" t="str">
        <f t="shared" si="53"/>
        <v/>
      </c>
      <c r="M187" s="214" t="str">
        <f t="shared" si="54"/>
        <v/>
      </c>
      <c r="N187" s="214" t="str">
        <f t="shared" si="55"/>
        <v/>
      </c>
      <c r="O187" s="214" t="str">
        <f t="shared" si="56"/>
        <v/>
      </c>
      <c r="P187" s="214" t="str">
        <f t="shared" si="57"/>
        <v/>
      </c>
      <c r="Q187" s="214" t="str">
        <f t="shared" si="58"/>
        <v/>
      </c>
      <c r="R187" s="214" t="str">
        <f t="shared" si="59"/>
        <v/>
      </c>
      <c r="S187" s="214" t="str">
        <f t="shared" si="60"/>
        <v/>
      </c>
      <c r="T187" s="214" t="str">
        <f t="shared" si="61"/>
        <v/>
      </c>
      <c r="U187" s="214" t="str">
        <f t="shared" si="62"/>
        <v/>
      </c>
      <c r="V187" s="214" t="str">
        <f t="shared" si="63"/>
        <v/>
      </c>
      <c r="W187" s="214" t="str">
        <f t="shared" si="64"/>
        <v/>
      </c>
      <c r="X187" s="214" t="str">
        <f t="shared" si="65"/>
        <v/>
      </c>
      <c r="Y187" s="214" t="str">
        <f t="shared" si="66"/>
        <v/>
      </c>
      <c r="Z187" s="214" t="str">
        <f t="shared" si="67"/>
        <v/>
      </c>
      <c r="AA187" s="214" t="str">
        <f t="shared" si="68"/>
        <v/>
      </c>
      <c r="AB187" s="214" t="str">
        <f t="shared" si="69"/>
        <v/>
      </c>
      <c r="AC187" s="214" t="str">
        <f t="shared" si="70"/>
        <v/>
      </c>
    </row>
    <row r="188" spans="2:29" x14ac:dyDescent="0.35">
      <c r="B188" s="208" t="str">
        <f>IF('Portfolio Register'!$A152="","",'Portfolio Register'!$A152)</f>
        <v/>
      </c>
      <c r="C188" s="208" t="str">
        <f>IF($B188="","",'Portfolio Register'!$B152)</f>
        <v/>
      </c>
      <c r="D188" s="208" t="str">
        <f>IF($B188="","",'Portfolio Register'!$I152)</f>
        <v/>
      </c>
      <c r="E188" s="208" t="str">
        <f>IF($B188="","",'Portfolio Register'!$DG152)</f>
        <v/>
      </c>
      <c r="F188" s="224" t="str">
        <f t="shared" si="50"/>
        <v/>
      </c>
      <c r="G188" s="225" t="str">
        <f>IF($B188="","",'Portfolio Register'!$J152)</f>
        <v/>
      </c>
      <c r="H188" s="225" t="str">
        <f>IF($B188="","",'Portfolio Register'!$CO152)</f>
        <v/>
      </c>
      <c r="I188" s="225" t="str">
        <f>IF($B188="","",'Portfolio Register'!$CW152)</f>
        <v/>
      </c>
      <c r="J188" s="214" t="str">
        <f t="shared" si="51"/>
        <v/>
      </c>
      <c r="K188" s="214" t="str">
        <f t="shared" si="52"/>
        <v/>
      </c>
      <c r="L188" s="214" t="str">
        <f t="shared" si="53"/>
        <v/>
      </c>
      <c r="M188" s="214" t="str">
        <f t="shared" si="54"/>
        <v/>
      </c>
      <c r="N188" s="214" t="str">
        <f t="shared" si="55"/>
        <v/>
      </c>
      <c r="O188" s="214" t="str">
        <f t="shared" si="56"/>
        <v/>
      </c>
      <c r="P188" s="214" t="str">
        <f t="shared" si="57"/>
        <v/>
      </c>
      <c r="Q188" s="214" t="str">
        <f t="shared" si="58"/>
        <v/>
      </c>
      <c r="R188" s="214" t="str">
        <f t="shared" si="59"/>
        <v/>
      </c>
      <c r="S188" s="214" t="str">
        <f t="shared" si="60"/>
        <v/>
      </c>
      <c r="T188" s="214" t="str">
        <f t="shared" si="61"/>
        <v/>
      </c>
      <c r="U188" s="214" t="str">
        <f t="shared" si="62"/>
        <v/>
      </c>
      <c r="V188" s="214" t="str">
        <f t="shared" si="63"/>
        <v/>
      </c>
      <c r="W188" s="214" t="str">
        <f t="shared" si="64"/>
        <v/>
      </c>
      <c r="X188" s="214" t="str">
        <f t="shared" si="65"/>
        <v/>
      </c>
      <c r="Y188" s="214" t="str">
        <f t="shared" si="66"/>
        <v/>
      </c>
      <c r="Z188" s="214" t="str">
        <f t="shared" si="67"/>
        <v/>
      </c>
      <c r="AA188" s="214" t="str">
        <f t="shared" si="68"/>
        <v/>
      </c>
      <c r="AB188" s="214" t="str">
        <f t="shared" si="69"/>
        <v/>
      </c>
      <c r="AC188" s="214" t="str">
        <f t="shared" si="70"/>
        <v/>
      </c>
    </row>
    <row r="189" spans="2:29" x14ac:dyDescent="0.35">
      <c r="B189" s="208" t="str">
        <f>IF('Portfolio Register'!$A153="","",'Portfolio Register'!$A153)</f>
        <v/>
      </c>
      <c r="C189" s="208" t="str">
        <f>IF($B189="","",'Portfolio Register'!$B153)</f>
        <v/>
      </c>
      <c r="D189" s="208" t="str">
        <f>IF($B189="","",'Portfolio Register'!$I153)</f>
        <v/>
      </c>
      <c r="E189" s="208" t="str">
        <f>IF($B189="","",'Portfolio Register'!$DG153)</f>
        <v/>
      </c>
      <c r="F189" s="224" t="str">
        <f t="shared" si="50"/>
        <v/>
      </c>
      <c r="G189" s="225" t="str">
        <f>IF($B189="","",'Portfolio Register'!$J153)</f>
        <v/>
      </c>
      <c r="H189" s="225" t="str">
        <f>IF($B189="","",'Portfolio Register'!$CO153)</f>
        <v/>
      </c>
      <c r="I189" s="225" t="str">
        <f>IF($B189="","",'Portfolio Register'!$CW153)</f>
        <v/>
      </c>
      <c r="J189" s="214" t="str">
        <f t="shared" si="51"/>
        <v/>
      </c>
      <c r="K189" s="214" t="str">
        <f t="shared" si="52"/>
        <v/>
      </c>
      <c r="L189" s="214" t="str">
        <f t="shared" si="53"/>
        <v/>
      </c>
      <c r="M189" s="214" t="str">
        <f t="shared" si="54"/>
        <v/>
      </c>
      <c r="N189" s="214" t="str">
        <f t="shared" si="55"/>
        <v/>
      </c>
      <c r="O189" s="214" t="str">
        <f t="shared" si="56"/>
        <v/>
      </c>
      <c r="P189" s="214" t="str">
        <f t="shared" si="57"/>
        <v/>
      </c>
      <c r="Q189" s="214" t="str">
        <f t="shared" si="58"/>
        <v/>
      </c>
      <c r="R189" s="214" t="str">
        <f t="shared" si="59"/>
        <v/>
      </c>
      <c r="S189" s="214" t="str">
        <f t="shared" si="60"/>
        <v/>
      </c>
      <c r="T189" s="214" t="str">
        <f t="shared" si="61"/>
        <v/>
      </c>
      <c r="U189" s="214" t="str">
        <f t="shared" si="62"/>
        <v/>
      </c>
      <c r="V189" s="214" t="str">
        <f t="shared" si="63"/>
        <v/>
      </c>
      <c r="W189" s="214" t="str">
        <f t="shared" si="64"/>
        <v/>
      </c>
      <c r="X189" s="214" t="str">
        <f t="shared" si="65"/>
        <v/>
      </c>
      <c r="Y189" s="214" t="str">
        <f t="shared" si="66"/>
        <v/>
      </c>
      <c r="Z189" s="214" t="str">
        <f t="shared" si="67"/>
        <v/>
      </c>
      <c r="AA189" s="214" t="str">
        <f t="shared" si="68"/>
        <v/>
      </c>
      <c r="AB189" s="214" t="str">
        <f t="shared" si="69"/>
        <v/>
      </c>
      <c r="AC189" s="214" t="str">
        <f t="shared" si="70"/>
        <v/>
      </c>
    </row>
    <row r="190" spans="2:29" x14ac:dyDescent="0.35">
      <c r="B190" s="208" t="str">
        <f>IF('Portfolio Register'!$A154="","",'Portfolio Register'!$A154)</f>
        <v/>
      </c>
      <c r="C190" s="208" t="str">
        <f>IF($B190="","",'Portfolio Register'!$B154)</f>
        <v/>
      </c>
      <c r="D190" s="208" t="str">
        <f>IF($B190="","",'Portfolio Register'!$I154)</f>
        <v/>
      </c>
      <c r="E190" s="208" t="str">
        <f>IF($B190="","",'Portfolio Register'!$DG154)</f>
        <v/>
      </c>
      <c r="F190" s="224" t="str">
        <f t="shared" si="50"/>
        <v/>
      </c>
      <c r="G190" s="225" t="str">
        <f>IF($B190="","",'Portfolio Register'!$J154)</f>
        <v/>
      </c>
      <c r="H190" s="225" t="str">
        <f>IF($B190="","",'Portfolio Register'!$CO154)</f>
        <v/>
      </c>
      <c r="I190" s="225" t="str">
        <f>IF($B190="","",'Portfolio Register'!$CW154)</f>
        <v/>
      </c>
      <c r="J190" s="214" t="str">
        <f t="shared" si="51"/>
        <v/>
      </c>
      <c r="K190" s="214" t="str">
        <f t="shared" si="52"/>
        <v/>
      </c>
      <c r="L190" s="214" t="str">
        <f t="shared" si="53"/>
        <v/>
      </c>
      <c r="M190" s="214" t="str">
        <f t="shared" si="54"/>
        <v/>
      </c>
      <c r="N190" s="214" t="str">
        <f t="shared" si="55"/>
        <v/>
      </c>
      <c r="O190" s="214" t="str">
        <f t="shared" si="56"/>
        <v/>
      </c>
      <c r="P190" s="214" t="str">
        <f t="shared" si="57"/>
        <v/>
      </c>
      <c r="Q190" s="214" t="str">
        <f t="shared" si="58"/>
        <v/>
      </c>
      <c r="R190" s="214" t="str">
        <f t="shared" si="59"/>
        <v/>
      </c>
      <c r="S190" s="214" t="str">
        <f t="shared" si="60"/>
        <v/>
      </c>
      <c r="T190" s="214" t="str">
        <f t="shared" si="61"/>
        <v/>
      </c>
      <c r="U190" s="214" t="str">
        <f t="shared" si="62"/>
        <v/>
      </c>
      <c r="V190" s="214" t="str">
        <f t="shared" si="63"/>
        <v/>
      </c>
      <c r="W190" s="214" t="str">
        <f t="shared" si="64"/>
        <v/>
      </c>
      <c r="X190" s="214" t="str">
        <f t="shared" si="65"/>
        <v/>
      </c>
      <c r="Y190" s="214" t="str">
        <f t="shared" si="66"/>
        <v/>
      </c>
      <c r="Z190" s="214" t="str">
        <f t="shared" si="67"/>
        <v/>
      </c>
      <c r="AA190" s="214" t="str">
        <f t="shared" si="68"/>
        <v/>
      </c>
      <c r="AB190" s="214" t="str">
        <f t="shared" si="69"/>
        <v/>
      </c>
      <c r="AC190" s="214" t="str">
        <f t="shared" si="70"/>
        <v/>
      </c>
    </row>
    <row r="191" spans="2:29" x14ac:dyDescent="0.35">
      <c r="B191" s="208" t="str">
        <f>IF('Portfolio Register'!$A155="","",'Portfolio Register'!$A155)</f>
        <v/>
      </c>
      <c r="C191" s="208" t="str">
        <f>IF($B191="","",'Portfolio Register'!$B155)</f>
        <v/>
      </c>
      <c r="D191" s="208" t="str">
        <f>IF($B191="","",'Portfolio Register'!$I155)</f>
        <v/>
      </c>
      <c r="E191" s="208" t="str">
        <f>IF($B191="","",'Portfolio Register'!$DG155)</f>
        <v/>
      </c>
      <c r="F191" s="224" t="str">
        <f t="shared" si="50"/>
        <v/>
      </c>
      <c r="G191" s="225" t="str">
        <f>IF($B191="","",'Portfolio Register'!$J155)</f>
        <v/>
      </c>
      <c r="H191" s="225" t="str">
        <f>IF($B191="","",'Portfolio Register'!$CO155)</f>
        <v/>
      </c>
      <c r="I191" s="225" t="str">
        <f>IF($B191="","",'Portfolio Register'!$CW155)</f>
        <v/>
      </c>
      <c r="J191" s="214" t="str">
        <f t="shared" si="51"/>
        <v/>
      </c>
      <c r="K191" s="214" t="str">
        <f t="shared" si="52"/>
        <v/>
      </c>
      <c r="L191" s="214" t="str">
        <f t="shared" si="53"/>
        <v/>
      </c>
      <c r="M191" s="214" t="str">
        <f t="shared" si="54"/>
        <v/>
      </c>
      <c r="N191" s="214" t="str">
        <f t="shared" si="55"/>
        <v/>
      </c>
      <c r="O191" s="214" t="str">
        <f t="shared" si="56"/>
        <v/>
      </c>
      <c r="P191" s="214" t="str">
        <f t="shared" si="57"/>
        <v/>
      </c>
      <c r="Q191" s="214" t="str">
        <f t="shared" si="58"/>
        <v/>
      </c>
      <c r="R191" s="214" t="str">
        <f t="shared" si="59"/>
        <v/>
      </c>
      <c r="S191" s="214" t="str">
        <f t="shared" si="60"/>
        <v/>
      </c>
      <c r="T191" s="214" t="str">
        <f t="shared" si="61"/>
        <v/>
      </c>
      <c r="U191" s="214" t="str">
        <f t="shared" si="62"/>
        <v/>
      </c>
      <c r="V191" s="214" t="str">
        <f t="shared" si="63"/>
        <v/>
      </c>
      <c r="W191" s="214" t="str">
        <f t="shared" si="64"/>
        <v/>
      </c>
      <c r="X191" s="214" t="str">
        <f t="shared" si="65"/>
        <v/>
      </c>
      <c r="Y191" s="214" t="str">
        <f t="shared" si="66"/>
        <v/>
      </c>
      <c r="Z191" s="214" t="str">
        <f t="shared" si="67"/>
        <v/>
      </c>
      <c r="AA191" s="214" t="str">
        <f t="shared" si="68"/>
        <v/>
      </c>
      <c r="AB191" s="214" t="str">
        <f t="shared" si="69"/>
        <v/>
      </c>
      <c r="AC191" s="214" t="str">
        <f t="shared" si="70"/>
        <v/>
      </c>
    </row>
    <row r="192" spans="2:29" x14ac:dyDescent="0.35">
      <c r="B192" s="208" t="str">
        <f>IF('Portfolio Register'!$A156="","",'Portfolio Register'!$A156)</f>
        <v/>
      </c>
      <c r="C192" s="208" t="str">
        <f>IF($B192="","",'Portfolio Register'!$B156)</f>
        <v/>
      </c>
      <c r="D192" s="208" t="str">
        <f>IF($B192="","",'Portfolio Register'!$I156)</f>
        <v/>
      </c>
      <c r="E192" s="208" t="str">
        <f>IF($B192="","",'Portfolio Register'!$DG156)</f>
        <v/>
      </c>
      <c r="F192" s="224" t="str">
        <f t="shared" si="50"/>
        <v/>
      </c>
      <c r="G192" s="225" t="str">
        <f>IF($B192="","",'Portfolio Register'!$J156)</f>
        <v/>
      </c>
      <c r="H192" s="225" t="str">
        <f>IF($B192="","",'Portfolio Register'!$CO156)</f>
        <v/>
      </c>
      <c r="I192" s="225" t="str">
        <f>IF($B192="","",'Portfolio Register'!$CW156)</f>
        <v/>
      </c>
      <c r="J192" s="214" t="str">
        <f t="shared" si="51"/>
        <v/>
      </c>
      <c r="K192" s="214" t="str">
        <f t="shared" si="52"/>
        <v/>
      </c>
      <c r="L192" s="214" t="str">
        <f t="shared" si="53"/>
        <v/>
      </c>
      <c r="M192" s="214" t="str">
        <f t="shared" si="54"/>
        <v/>
      </c>
      <c r="N192" s="214" t="str">
        <f t="shared" si="55"/>
        <v/>
      </c>
      <c r="O192" s="214" t="str">
        <f t="shared" si="56"/>
        <v/>
      </c>
      <c r="P192" s="214" t="str">
        <f t="shared" si="57"/>
        <v/>
      </c>
      <c r="Q192" s="214" t="str">
        <f t="shared" si="58"/>
        <v/>
      </c>
      <c r="R192" s="214" t="str">
        <f t="shared" si="59"/>
        <v/>
      </c>
      <c r="S192" s="214" t="str">
        <f t="shared" si="60"/>
        <v/>
      </c>
      <c r="T192" s="214" t="str">
        <f t="shared" si="61"/>
        <v/>
      </c>
      <c r="U192" s="214" t="str">
        <f t="shared" si="62"/>
        <v/>
      </c>
      <c r="V192" s="214" t="str">
        <f t="shared" si="63"/>
        <v/>
      </c>
      <c r="W192" s="214" t="str">
        <f t="shared" si="64"/>
        <v/>
      </c>
      <c r="X192" s="214" t="str">
        <f t="shared" si="65"/>
        <v/>
      </c>
      <c r="Y192" s="214" t="str">
        <f t="shared" si="66"/>
        <v/>
      </c>
      <c r="Z192" s="214" t="str">
        <f t="shared" si="67"/>
        <v/>
      </c>
      <c r="AA192" s="214" t="str">
        <f t="shared" si="68"/>
        <v/>
      </c>
      <c r="AB192" s="214" t="str">
        <f t="shared" si="69"/>
        <v/>
      </c>
      <c r="AC192" s="214" t="str">
        <f t="shared" si="70"/>
        <v/>
      </c>
    </row>
    <row r="193" spans="2:29" x14ac:dyDescent="0.35">
      <c r="B193" s="208" t="str">
        <f>IF('Portfolio Register'!$A157="","",'Portfolio Register'!$A157)</f>
        <v/>
      </c>
      <c r="C193" s="208" t="str">
        <f>IF($B193="","",'Portfolio Register'!$B157)</f>
        <v/>
      </c>
      <c r="D193" s="208" t="str">
        <f>IF($B193="","",'Portfolio Register'!$I157)</f>
        <v/>
      </c>
      <c r="E193" s="208" t="str">
        <f>IF($B193="","",'Portfolio Register'!$DG157)</f>
        <v/>
      </c>
      <c r="F193" s="224" t="str">
        <f t="shared" si="50"/>
        <v/>
      </c>
      <c r="G193" s="225" t="str">
        <f>IF($B193="","",'Portfolio Register'!$J157)</f>
        <v/>
      </c>
      <c r="H193" s="225" t="str">
        <f>IF($B193="","",'Portfolio Register'!$CO157)</f>
        <v/>
      </c>
      <c r="I193" s="225" t="str">
        <f>IF($B193="","",'Portfolio Register'!$CW157)</f>
        <v/>
      </c>
      <c r="J193" s="214" t="str">
        <f t="shared" si="51"/>
        <v/>
      </c>
      <c r="K193" s="214" t="str">
        <f t="shared" si="52"/>
        <v/>
      </c>
      <c r="L193" s="214" t="str">
        <f t="shared" si="53"/>
        <v/>
      </c>
      <c r="M193" s="214" t="str">
        <f t="shared" si="54"/>
        <v/>
      </c>
      <c r="N193" s="214" t="str">
        <f t="shared" si="55"/>
        <v/>
      </c>
      <c r="O193" s="214" t="str">
        <f t="shared" si="56"/>
        <v/>
      </c>
      <c r="P193" s="214" t="str">
        <f t="shared" si="57"/>
        <v/>
      </c>
      <c r="Q193" s="214" t="str">
        <f t="shared" si="58"/>
        <v/>
      </c>
      <c r="R193" s="214" t="str">
        <f t="shared" si="59"/>
        <v/>
      </c>
      <c r="S193" s="214" t="str">
        <f t="shared" si="60"/>
        <v/>
      </c>
      <c r="T193" s="214" t="str">
        <f t="shared" si="61"/>
        <v/>
      </c>
      <c r="U193" s="214" t="str">
        <f t="shared" si="62"/>
        <v/>
      </c>
      <c r="V193" s="214" t="str">
        <f t="shared" si="63"/>
        <v/>
      </c>
      <c r="W193" s="214" t="str">
        <f t="shared" si="64"/>
        <v/>
      </c>
      <c r="X193" s="214" t="str">
        <f t="shared" si="65"/>
        <v/>
      </c>
      <c r="Y193" s="214" t="str">
        <f t="shared" si="66"/>
        <v/>
      </c>
      <c r="Z193" s="214" t="str">
        <f t="shared" si="67"/>
        <v/>
      </c>
      <c r="AA193" s="214" t="str">
        <f t="shared" si="68"/>
        <v/>
      </c>
      <c r="AB193" s="214" t="str">
        <f t="shared" si="69"/>
        <v/>
      </c>
      <c r="AC193" s="214" t="str">
        <f t="shared" si="70"/>
        <v/>
      </c>
    </row>
    <row r="194" spans="2:29" x14ac:dyDescent="0.35">
      <c r="B194" s="208" t="str">
        <f>IF('Portfolio Register'!$A158="","",'Portfolio Register'!$A158)</f>
        <v/>
      </c>
      <c r="C194" s="208" t="str">
        <f>IF($B194="","",'Portfolio Register'!$B158)</f>
        <v/>
      </c>
      <c r="D194" s="208" t="str">
        <f>IF($B194="","",'Portfolio Register'!$I158)</f>
        <v/>
      </c>
      <c r="E194" s="208" t="str">
        <f>IF($B194="","",'Portfolio Register'!$DG158)</f>
        <v/>
      </c>
      <c r="F194" s="224" t="str">
        <f t="shared" si="50"/>
        <v/>
      </c>
      <c r="G194" s="225" t="str">
        <f>IF($B194="","",'Portfolio Register'!$J158)</f>
        <v/>
      </c>
      <c r="H194" s="225" t="str">
        <f>IF($B194="","",'Portfolio Register'!$CO158)</f>
        <v/>
      </c>
      <c r="I194" s="225" t="str">
        <f>IF($B194="","",'Portfolio Register'!$CW158)</f>
        <v/>
      </c>
      <c r="J194" s="214" t="str">
        <f t="shared" si="51"/>
        <v/>
      </c>
      <c r="K194" s="214" t="str">
        <f t="shared" si="52"/>
        <v/>
      </c>
      <c r="L194" s="214" t="str">
        <f t="shared" si="53"/>
        <v/>
      </c>
      <c r="M194" s="214" t="str">
        <f t="shared" si="54"/>
        <v/>
      </c>
      <c r="N194" s="214" t="str">
        <f t="shared" si="55"/>
        <v/>
      </c>
      <c r="O194" s="214" t="str">
        <f t="shared" si="56"/>
        <v/>
      </c>
      <c r="P194" s="214" t="str">
        <f t="shared" si="57"/>
        <v/>
      </c>
      <c r="Q194" s="214" t="str">
        <f t="shared" si="58"/>
        <v/>
      </c>
      <c r="R194" s="214" t="str">
        <f t="shared" si="59"/>
        <v/>
      </c>
      <c r="S194" s="214" t="str">
        <f t="shared" si="60"/>
        <v/>
      </c>
      <c r="T194" s="214" t="str">
        <f t="shared" si="61"/>
        <v/>
      </c>
      <c r="U194" s="214" t="str">
        <f t="shared" si="62"/>
        <v/>
      </c>
      <c r="V194" s="214" t="str">
        <f t="shared" si="63"/>
        <v/>
      </c>
      <c r="W194" s="214" t="str">
        <f t="shared" si="64"/>
        <v/>
      </c>
      <c r="X194" s="214" t="str">
        <f t="shared" si="65"/>
        <v/>
      </c>
      <c r="Y194" s="214" t="str">
        <f t="shared" si="66"/>
        <v/>
      </c>
      <c r="Z194" s="214" t="str">
        <f t="shared" si="67"/>
        <v/>
      </c>
      <c r="AA194" s="214" t="str">
        <f t="shared" si="68"/>
        <v/>
      </c>
      <c r="AB194" s="214" t="str">
        <f t="shared" si="69"/>
        <v/>
      </c>
      <c r="AC194" s="214" t="str">
        <f t="shared" si="70"/>
        <v/>
      </c>
    </row>
    <row r="195" spans="2:29" x14ac:dyDescent="0.35">
      <c r="B195" s="208" t="str">
        <f>IF('Portfolio Register'!$A159="","",'Portfolio Register'!$A159)</f>
        <v/>
      </c>
      <c r="C195" s="208" t="str">
        <f>IF($B195="","",'Portfolio Register'!$B159)</f>
        <v/>
      </c>
      <c r="D195" s="208" t="str">
        <f>IF($B195="","",'Portfolio Register'!$I159)</f>
        <v/>
      </c>
      <c r="E195" s="208" t="str">
        <f>IF($B195="","",'Portfolio Register'!$DG159)</f>
        <v/>
      </c>
      <c r="F195" s="224" t="str">
        <f t="shared" si="50"/>
        <v/>
      </c>
      <c r="G195" s="225" t="str">
        <f>IF($B195="","",'Portfolio Register'!$J159)</f>
        <v/>
      </c>
      <c r="H195" s="225" t="str">
        <f>IF($B195="","",'Portfolio Register'!$CO159)</f>
        <v/>
      </c>
      <c r="I195" s="225" t="str">
        <f>IF($B195="","",'Portfolio Register'!$CW159)</f>
        <v/>
      </c>
      <c r="J195" s="214" t="str">
        <f t="shared" si="51"/>
        <v/>
      </c>
      <c r="K195" s="214" t="str">
        <f t="shared" si="52"/>
        <v/>
      </c>
      <c r="L195" s="214" t="str">
        <f t="shared" si="53"/>
        <v/>
      </c>
      <c r="M195" s="214" t="str">
        <f t="shared" si="54"/>
        <v/>
      </c>
      <c r="N195" s="214" t="str">
        <f t="shared" si="55"/>
        <v/>
      </c>
      <c r="O195" s="214" t="str">
        <f t="shared" si="56"/>
        <v/>
      </c>
      <c r="P195" s="214" t="str">
        <f t="shared" si="57"/>
        <v/>
      </c>
      <c r="Q195" s="214" t="str">
        <f t="shared" si="58"/>
        <v/>
      </c>
      <c r="R195" s="214" t="str">
        <f t="shared" si="59"/>
        <v/>
      </c>
      <c r="S195" s="214" t="str">
        <f t="shared" si="60"/>
        <v/>
      </c>
      <c r="T195" s="214" t="str">
        <f t="shared" si="61"/>
        <v/>
      </c>
      <c r="U195" s="214" t="str">
        <f t="shared" si="62"/>
        <v/>
      </c>
      <c r="V195" s="214" t="str">
        <f t="shared" si="63"/>
        <v/>
      </c>
      <c r="W195" s="214" t="str">
        <f t="shared" si="64"/>
        <v/>
      </c>
      <c r="X195" s="214" t="str">
        <f t="shared" si="65"/>
        <v/>
      </c>
      <c r="Y195" s="214" t="str">
        <f t="shared" si="66"/>
        <v/>
      </c>
      <c r="Z195" s="214" t="str">
        <f t="shared" si="67"/>
        <v/>
      </c>
      <c r="AA195" s="214" t="str">
        <f t="shared" si="68"/>
        <v/>
      </c>
      <c r="AB195" s="214" t="str">
        <f t="shared" si="69"/>
        <v/>
      </c>
      <c r="AC195" s="214" t="str">
        <f t="shared" si="70"/>
        <v/>
      </c>
    </row>
    <row r="196" spans="2:29" x14ac:dyDescent="0.35">
      <c r="B196" s="208" t="str">
        <f>IF('Portfolio Register'!$A160="","",'Portfolio Register'!$A160)</f>
        <v/>
      </c>
      <c r="C196" s="208" t="str">
        <f>IF($B196="","",'Portfolio Register'!$B160)</f>
        <v/>
      </c>
      <c r="D196" s="208" t="str">
        <f>IF($B196="","",'Portfolio Register'!$I160)</f>
        <v/>
      </c>
      <c r="E196" s="208" t="str">
        <f>IF($B196="","",'Portfolio Register'!$DG160)</f>
        <v/>
      </c>
      <c r="F196" s="224" t="str">
        <f t="shared" si="50"/>
        <v/>
      </c>
      <c r="G196" s="225" t="str">
        <f>IF($B196="","",'Portfolio Register'!$J160)</f>
        <v/>
      </c>
      <c r="H196" s="225" t="str">
        <f>IF($B196="","",'Portfolio Register'!$CO160)</f>
        <v/>
      </c>
      <c r="I196" s="225" t="str">
        <f>IF($B196="","",'Portfolio Register'!$CW160)</f>
        <v/>
      </c>
      <c r="J196" s="214" t="str">
        <f t="shared" si="51"/>
        <v/>
      </c>
      <c r="K196" s="214" t="str">
        <f t="shared" si="52"/>
        <v/>
      </c>
      <c r="L196" s="214" t="str">
        <f t="shared" si="53"/>
        <v/>
      </c>
      <c r="M196" s="214" t="str">
        <f t="shared" si="54"/>
        <v/>
      </c>
      <c r="N196" s="214" t="str">
        <f t="shared" si="55"/>
        <v/>
      </c>
      <c r="O196" s="214" t="str">
        <f t="shared" si="56"/>
        <v/>
      </c>
      <c r="P196" s="214" t="str">
        <f t="shared" si="57"/>
        <v/>
      </c>
      <c r="Q196" s="214" t="str">
        <f t="shared" si="58"/>
        <v/>
      </c>
      <c r="R196" s="214" t="str">
        <f t="shared" si="59"/>
        <v/>
      </c>
      <c r="S196" s="214" t="str">
        <f t="shared" si="60"/>
        <v/>
      </c>
      <c r="T196" s="214" t="str">
        <f t="shared" si="61"/>
        <v/>
      </c>
      <c r="U196" s="214" t="str">
        <f t="shared" si="62"/>
        <v/>
      </c>
      <c r="V196" s="214" t="str">
        <f t="shared" si="63"/>
        <v/>
      </c>
      <c r="W196" s="214" t="str">
        <f t="shared" si="64"/>
        <v/>
      </c>
      <c r="X196" s="214" t="str">
        <f t="shared" si="65"/>
        <v/>
      </c>
      <c r="Y196" s="214" t="str">
        <f t="shared" si="66"/>
        <v/>
      </c>
      <c r="Z196" s="214" t="str">
        <f t="shared" si="67"/>
        <v/>
      </c>
      <c r="AA196" s="214" t="str">
        <f t="shared" si="68"/>
        <v/>
      </c>
      <c r="AB196" s="214" t="str">
        <f t="shared" si="69"/>
        <v/>
      </c>
      <c r="AC196" s="214" t="str">
        <f t="shared" si="70"/>
        <v/>
      </c>
    </row>
    <row r="197" spans="2:29" x14ac:dyDescent="0.35">
      <c r="B197" s="208" t="str">
        <f>IF('Portfolio Register'!$A161="","",'Portfolio Register'!$A161)</f>
        <v/>
      </c>
      <c r="C197" s="208" t="str">
        <f>IF($B197="","",'Portfolio Register'!$B161)</f>
        <v/>
      </c>
      <c r="D197" s="208" t="str">
        <f>IF($B197="","",'Portfolio Register'!$I161)</f>
        <v/>
      </c>
      <c r="E197" s="208" t="str">
        <f>IF($B197="","",'Portfolio Register'!$DG161)</f>
        <v/>
      </c>
      <c r="F197" s="224" t="str">
        <f t="shared" si="50"/>
        <v/>
      </c>
      <c r="G197" s="225" t="str">
        <f>IF($B197="","",'Portfolio Register'!$J161)</f>
        <v/>
      </c>
      <c r="H197" s="225" t="str">
        <f>IF($B197="","",'Portfolio Register'!$CO161)</f>
        <v/>
      </c>
      <c r="I197" s="225" t="str">
        <f>IF($B197="","",'Portfolio Register'!$CW161)</f>
        <v/>
      </c>
      <c r="J197" s="214" t="str">
        <f t="shared" si="51"/>
        <v/>
      </c>
      <c r="K197" s="214" t="str">
        <f t="shared" si="52"/>
        <v/>
      </c>
      <c r="L197" s="214" t="str">
        <f t="shared" si="53"/>
        <v/>
      </c>
      <c r="M197" s="214" t="str">
        <f t="shared" si="54"/>
        <v/>
      </c>
      <c r="N197" s="214" t="str">
        <f t="shared" si="55"/>
        <v/>
      </c>
      <c r="O197" s="214" t="str">
        <f t="shared" si="56"/>
        <v/>
      </c>
      <c r="P197" s="214" t="str">
        <f t="shared" si="57"/>
        <v/>
      </c>
      <c r="Q197" s="214" t="str">
        <f t="shared" si="58"/>
        <v/>
      </c>
      <c r="R197" s="214" t="str">
        <f t="shared" si="59"/>
        <v/>
      </c>
      <c r="S197" s="214" t="str">
        <f t="shared" si="60"/>
        <v/>
      </c>
      <c r="T197" s="214" t="str">
        <f t="shared" si="61"/>
        <v/>
      </c>
      <c r="U197" s="214" t="str">
        <f t="shared" si="62"/>
        <v/>
      </c>
      <c r="V197" s="214" t="str">
        <f t="shared" si="63"/>
        <v/>
      </c>
      <c r="W197" s="214" t="str">
        <f t="shared" si="64"/>
        <v/>
      </c>
      <c r="X197" s="214" t="str">
        <f t="shared" si="65"/>
        <v/>
      </c>
      <c r="Y197" s="214" t="str">
        <f t="shared" si="66"/>
        <v/>
      </c>
      <c r="Z197" s="214" t="str">
        <f t="shared" si="67"/>
        <v/>
      </c>
      <c r="AA197" s="214" t="str">
        <f t="shared" si="68"/>
        <v/>
      </c>
      <c r="AB197" s="214" t="str">
        <f t="shared" si="69"/>
        <v/>
      </c>
      <c r="AC197" s="214" t="str">
        <f t="shared" si="70"/>
        <v/>
      </c>
    </row>
    <row r="198" spans="2:29" x14ac:dyDescent="0.35">
      <c r="B198" s="208" t="str">
        <f>IF('Portfolio Register'!$A162="","",'Portfolio Register'!$A162)</f>
        <v/>
      </c>
      <c r="C198" s="208" t="str">
        <f>IF($B198="","",'Portfolio Register'!$B162)</f>
        <v/>
      </c>
      <c r="D198" s="208" t="str">
        <f>IF($B198="","",'Portfolio Register'!$I162)</f>
        <v/>
      </c>
      <c r="E198" s="208" t="str">
        <f>IF($B198="","",'Portfolio Register'!$DG162)</f>
        <v/>
      </c>
      <c r="F198" s="224" t="str">
        <f t="shared" si="50"/>
        <v/>
      </c>
      <c r="G198" s="225" t="str">
        <f>IF($B198="","",'Portfolio Register'!$J162)</f>
        <v/>
      </c>
      <c r="H198" s="225" t="str">
        <f>IF($B198="","",'Portfolio Register'!$CO162)</f>
        <v/>
      </c>
      <c r="I198" s="225" t="str">
        <f>IF($B198="","",'Portfolio Register'!$CW162)</f>
        <v/>
      </c>
      <c r="J198" s="214" t="str">
        <f t="shared" si="51"/>
        <v/>
      </c>
      <c r="K198" s="214" t="str">
        <f t="shared" si="52"/>
        <v/>
      </c>
      <c r="L198" s="214" t="str">
        <f t="shared" si="53"/>
        <v/>
      </c>
      <c r="M198" s="214" t="str">
        <f t="shared" si="54"/>
        <v/>
      </c>
      <c r="N198" s="214" t="str">
        <f t="shared" si="55"/>
        <v/>
      </c>
      <c r="O198" s="214" t="str">
        <f t="shared" si="56"/>
        <v/>
      </c>
      <c r="P198" s="214" t="str">
        <f t="shared" si="57"/>
        <v/>
      </c>
      <c r="Q198" s="214" t="str">
        <f t="shared" si="58"/>
        <v/>
      </c>
      <c r="R198" s="214" t="str">
        <f t="shared" si="59"/>
        <v/>
      </c>
      <c r="S198" s="214" t="str">
        <f t="shared" si="60"/>
        <v/>
      </c>
      <c r="T198" s="214" t="str">
        <f t="shared" si="61"/>
        <v/>
      </c>
      <c r="U198" s="214" t="str">
        <f t="shared" si="62"/>
        <v/>
      </c>
      <c r="V198" s="214" t="str">
        <f t="shared" si="63"/>
        <v/>
      </c>
      <c r="W198" s="214" t="str">
        <f t="shared" si="64"/>
        <v/>
      </c>
      <c r="X198" s="214" t="str">
        <f t="shared" si="65"/>
        <v/>
      </c>
      <c r="Y198" s="214" t="str">
        <f t="shared" si="66"/>
        <v/>
      </c>
      <c r="Z198" s="214" t="str">
        <f t="shared" si="67"/>
        <v/>
      </c>
      <c r="AA198" s="214" t="str">
        <f t="shared" si="68"/>
        <v/>
      </c>
      <c r="AB198" s="214" t="str">
        <f t="shared" si="69"/>
        <v/>
      </c>
      <c r="AC198" s="214" t="str">
        <f t="shared" si="70"/>
        <v/>
      </c>
    </row>
    <row r="199" spans="2:29" x14ac:dyDescent="0.35">
      <c r="B199" s="208" t="str">
        <f>IF('Portfolio Register'!$A163="","",'Portfolio Register'!$A163)</f>
        <v/>
      </c>
      <c r="C199" s="208" t="str">
        <f>IF($B199="","",'Portfolio Register'!$B163)</f>
        <v/>
      </c>
      <c r="D199" s="208" t="str">
        <f>IF($B199="","",'Portfolio Register'!$I163)</f>
        <v/>
      </c>
      <c r="E199" s="208" t="str">
        <f>IF($B199="","",'Portfolio Register'!$DG163)</f>
        <v/>
      </c>
      <c r="F199" s="224" t="str">
        <f t="shared" si="50"/>
        <v/>
      </c>
      <c r="G199" s="225" t="str">
        <f>IF($B199="","",'Portfolio Register'!$J163)</f>
        <v/>
      </c>
      <c r="H199" s="225" t="str">
        <f>IF($B199="","",'Portfolio Register'!$CO163)</f>
        <v/>
      </c>
      <c r="I199" s="225" t="str">
        <f>IF($B199="","",'Portfolio Register'!$CW163)</f>
        <v/>
      </c>
      <c r="J199" s="214" t="str">
        <f t="shared" si="51"/>
        <v/>
      </c>
      <c r="K199" s="214" t="str">
        <f t="shared" si="52"/>
        <v/>
      </c>
      <c r="L199" s="214" t="str">
        <f t="shared" si="53"/>
        <v/>
      </c>
      <c r="M199" s="214" t="str">
        <f t="shared" si="54"/>
        <v/>
      </c>
      <c r="N199" s="214" t="str">
        <f t="shared" si="55"/>
        <v/>
      </c>
      <c r="O199" s="214" t="str">
        <f t="shared" si="56"/>
        <v/>
      </c>
      <c r="P199" s="214" t="str">
        <f t="shared" si="57"/>
        <v/>
      </c>
      <c r="Q199" s="214" t="str">
        <f t="shared" si="58"/>
        <v/>
      </c>
      <c r="R199" s="214" t="str">
        <f t="shared" si="59"/>
        <v/>
      </c>
      <c r="S199" s="214" t="str">
        <f t="shared" si="60"/>
        <v/>
      </c>
      <c r="T199" s="214" t="str">
        <f t="shared" si="61"/>
        <v/>
      </c>
      <c r="U199" s="214" t="str">
        <f t="shared" si="62"/>
        <v/>
      </c>
      <c r="V199" s="214" t="str">
        <f t="shared" si="63"/>
        <v/>
      </c>
      <c r="W199" s="214" t="str">
        <f t="shared" si="64"/>
        <v/>
      </c>
      <c r="X199" s="214" t="str">
        <f t="shared" si="65"/>
        <v/>
      </c>
      <c r="Y199" s="214" t="str">
        <f t="shared" si="66"/>
        <v/>
      </c>
      <c r="Z199" s="214" t="str">
        <f t="shared" si="67"/>
        <v/>
      </c>
      <c r="AA199" s="214" t="str">
        <f t="shared" si="68"/>
        <v/>
      </c>
      <c r="AB199" s="214" t="str">
        <f t="shared" si="69"/>
        <v/>
      </c>
      <c r="AC199" s="214" t="str">
        <f t="shared" si="70"/>
        <v/>
      </c>
    </row>
    <row r="200" spans="2:29" x14ac:dyDescent="0.35">
      <c r="B200" s="208" t="str">
        <f>IF('Portfolio Register'!$A164="","",'Portfolio Register'!$A164)</f>
        <v/>
      </c>
      <c r="C200" s="208" t="str">
        <f>IF($B200="","",'Portfolio Register'!$B164)</f>
        <v/>
      </c>
      <c r="D200" s="208" t="str">
        <f>IF($B200="","",'Portfolio Register'!$I164)</f>
        <v/>
      </c>
      <c r="E200" s="208" t="str">
        <f>IF($B200="","",'Portfolio Register'!$DG164)</f>
        <v/>
      </c>
      <c r="F200" s="224" t="str">
        <f t="shared" si="50"/>
        <v/>
      </c>
      <c r="G200" s="225" t="str">
        <f>IF($B200="","",'Portfolio Register'!$J164)</f>
        <v/>
      </c>
      <c r="H200" s="225" t="str">
        <f>IF($B200="","",'Portfolio Register'!$CO164)</f>
        <v/>
      </c>
      <c r="I200" s="225" t="str">
        <f>IF($B200="","",'Portfolio Register'!$CW164)</f>
        <v/>
      </c>
      <c r="J200" s="214" t="str">
        <f t="shared" si="51"/>
        <v/>
      </c>
      <c r="K200" s="214" t="str">
        <f t="shared" si="52"/>
        <v/>
      </c>
      <c r="L200" s="214" t="str">
        <f t="shared" si="53"/>
        <v/>
      </c>
      <c r="M200" s="214" t="str">
        <f t="shared" si="54"/>
        <v/>
      </c>
      <c r="N200" s="214" t="str">
        <f t="shared" si="55"/>
        <v/>
      </c>
      <c r="O200" s="214" t="str">
        <f t="shared" si="56"/>
        <v/>
      </c>
      <c r="P200" s="214" t="str">
        <f t="shared" si="57"/>
        <v/>
      </c>
      <c r="Q200" s="214" t="str">
        <f t="shared" si="58"/>
        <v/>
      </c>
      <c r="R200" s="214" t="str">
        <f t="shared" si="59"/>
        <v/>
      </c>
      <c r="S200" s="214" t="str">
        <f t="shared" si="60"/>
        <v/>
      </c>
      <c r="T200" s="214" t="str">
        <f t="shared" si="61"/>
        <v/>
      </c>
      <c r="U200" s="214" t="str">
        <f t="shared" si="62"/>
        <v/>
      </c>
      <c r="V200" s="214" t="str">
        <f t="shared" si="63"/>
        <v/>
      </c>
      <c r="W200" s="214" t="str">
        <f t="shared" si="64"/>
        <v/>
      </c>
      <c r="X200" s="214" t="str">
        <f t="shared" si="65"/>
        <v/>
      </c>
      <c r="Y200" s="214" t="str">
        <f t="shared" si="66"/>
        <v/>
      </c>
      <c r="Z200" s="214" t="str">
        <f t="shared" si="67"/>
        <v/>
      </c>
      <c r="AA200" s="214" t="str">
        <f t="shared" si="68"/>
        <v/>
      </c>
      <c r="AB200" s="214" t="str">
        <f t="shared" si="69"/>
        <v/>
      </c>
      <c r="AC200" s="214" t="str">
        <f t="shared" si="70"/>
        <v/>
      </c>
    </row>
    <row r="201" spans="2:29" x14ac:dyDescent="0.35">
      <c r="B201" s="208" t="str">
        <f>IF('Portfolio Register'!$A165="","",'Portfolio Register'!$A165)</f>
        <v/>
      </c>
      <c r="C201" s="208" t="str">
        <f>IF($B201="","",'Portfolio Register'!$B165)</f>
        <v/>
      </c>
      <c r="D201" s="208" t="str">
        <f>IF($B201="","",'Portfolio Register'!$I165)</f>
        <v/>
      </c>
      <c r="E201" s="208" t="str">
        <f>IF($B201="","",'Portfolio Register'!$DG165)</f>
        <v/>
      </c>
      <c r="F201" s="224" t="str">
        <f t="shared" si="50"/>
        <v/>
      </c>
      <c r="G201" s="225" t="str">
        <f>IF($B201="","",'Portfolio Register'!$J165)</f>
        <v/>
      </c>
      <c r="H201" s="225" t="str">
        <f>IF($B201="","",'Portfolio Register'!$CO165)</f>
        <v/>
      </c>
      <c r="I201" s="225" t="str">
        <f>IF($B201="","",'Portfolio Register'!$CW165)</f>
        <v/>
      </c>
      <c r="J201" s="214" t="str">
        <f t="shared" si="51"/>
        <v/>
      </c>
      <c r="K201" s="214" t="str">
        <f t="shared" si="52"/>
        <v/>
      </c>
      <c r="L201" s="214" t="str">
        <f t="shared" si="53"/>
        <v/>
      </c>
      <c r="M201" s="214" t="str">
        <f t="shared" si="54"/>
        <v/>
      </c>
      <c r="N201" s="214" t="str">
        <f t="shared" si="55"/>
        <v/>
      </c>
      <c r="O201" s="214" t="str">
        <f t="shared" si="56"/>
        <v/>
      </c>
      <c r="P201" s="214" t="str">
        <f t="shared" si="57"/>
        <v/>
      </c>
      <c r="Q201" s="214" t="str">
        <f t="shared" si="58"/>
        <v/>
      </c>
      <c r="R201" s="214" t="str">
        <f t="shared" si="59"/>
        <v/>
      </c>
      <c r="S201" s="214" t="str">
        <f t="shared" si="60"/>
        <v/>
      </c>
      <c r="T201" s="214" t="str">
        <f t="shared" si="61"/>
        <v/>
      </c>
      <c r="U201" s="214" t="str">
        <f t="shared" si="62"/>
        <v/>
      </c>
      <c r="V201" s="214" t="str">
        <f t="shared" si="63"/>
        <v/>
      </c>
      <c r="W201" s="214" t="str">
        <f t="shared" si="64"/>
        <v/>
      </c>
      <c r="X201" s="214" t="str">
        <f t="shared" si="65"/>
        <v/>
      </c>
      <c r="Y201" s="214" t="str">
        <f t="shared" si="66"/>
        <v/>
      </c>
      <c r="Z201" s="214" t="str">
        <f t="shared" si="67"/>
        <v/>
      </c>
      <c r="AA201" s="214" t="str">
        <f t="shared" si="68"/>
        <v/>
      </c>
      <c r="AB201" s="214" t="str">
        <f t="shared" si="69"/>
        <v/>
      </c>
      <c r="AC201" s="214" t="str">
        <f t="shared" si="70"/>
        <v/>
      </c>
    </row>
    <row r="202" spans="2:29" x14ac:dyDescent="0.35">
      <c r="B202" s="208" t="str">
        <f>IF('Portfolio Register'!$A166="","",'Portfolio Register'!$A166)</f>
        <v/>
      </c>
      <c r="C202" s="208" t="str">
        <f>IF($B202="","",'Portfolio Register'!$B166)</f>
        <v/>
      </c>
      <c r="D202" s="208" t="str">
        <f>IF($B202="","",'Portfolio Register'!$I166)</f>
        <v/>
      </c>
      <c r="E202" s="208" t="str">
        <f>IF($B202="","",'Portfolio Register'!$DG166)</f>
        <v/>
      </c>
      <c r="F202" s="224" t="str">
        <f t="shared" si="50"/>
        <v/>
      </c>
      <c r="G202" s="225" t="str">
        <f>IF($B202="","",'Portfolio Register'!$J166)</f>
        <v/>
      </c>
      <c r="H202" s="225" t="str">
        <f>IF($B202="","",'Portfolio Register'!$CO166)</f>
        <v/>
      </c>
      <c r="I202" s="225" t="str">
        <f>IF($B202="","",'Portfolio Register'!$CW166)</f>
        <v/>
      </c>
      <c r="J202" s="214" t="str">
        <f t="shared" si="51"/>
        <v/>
      </c>
      <c r="K202" s="214" t="str">
        <f t="shared" si="52"/>
        <v/>
      </c>
      <c r="L202" s="214" t="str">
        <f t="shared" si="53"/>
        <v/>
      </c>
      <c r="M202" s="214" t="str">
        <f t="shared" si="54"/>
        <v/>
      </c>
      <c r="N202" s="214" t="str">
        <f t="shared" si="55"/>
        <v/>
      </c>
      <c r="O202" s="214" t="str">
        <f t="shared" si="56"/>
        <v/>
      </c>
      <c r="P202" s="214" t="str">
        <f t="shared" si="57"/>
        <v/>
      </c>
      <c r="Q202" s="214" t="str">
        <f t="shared" si="58"/>
        <v/>
      </c>
      <c r="R202" s="214" t="str">
        <f t="shared" si="59"/>
        <v/>
      </c>
      <c r="S202" s="214" t="str">
        <f t="shared" si="60"/>
        <v/>
      </c>
      <c r="T202" s="214" t="str">
        <f t="shared" si="61"/>
        <v/>
      </c>
      <c r="U202" s="214" t="str">
        <f t="shared" si="62"/>
        <v/>
      </c>
      <c r="V202" s="214" t="str">
        <f t="shared" si="63"/>
        <v/>
      </c>
      <c r="W202" s="214" t="str">
        <f t="shared" si="64"/>
        <v/>
      </c>
      <c r="X202" s="214" t="str">
        <f t="shared" si="65"/>
        <v/>
      </c>
      <c r="Y202" s="214" t="str">
        <f t="shared" si="66"/>
        <v/>
      </c>
      <c r="Z202" s="214" t="str">
        <f t="shared" si="67"/>
        <v/>
      </c>
      <c r="AA202" s="214" t="str">
        <f t="shared" si="68"/>
        <v/>
      </c>
      <c r="AB202" s="214" t="str">
        <f t="shared" si="69"/>
        <v/>
      </c>
      <c r="AC202" s="214" t="str">
        <f t="shared" si="70"/>
        <v/>
      </c>
    </row>
    <row r="203" spans="2:29" x14ac:dyDescent="0.35">
      <c r="B203" s="208" t="str">
        <f>IF('Portfolio Register'!$A167="","",'Portfolio Register'!$A167)</f>
        <v/>
      </c>
      <c r="C203" s="208" t="str">
        <f>IF($B203="","",'Portfolio Register'!$B167)</f>
        <v/>
      </c>
      <c r="D203" s="208" t="str">
        <f>IF($B203="","",'Portfolio Register'!$I167)</f>
        <v/>
      </c>
      <c r="E203" s="208" t="str">
        <f>IF($B203="","",'Portfolio Register'!$DG167)</f>
        <v/>
      </c>
      <c r="F203" s="224" t="str">
        <f t="shared" si="50"/>
        <v/>
      </c>
      <c r="G203" s="225" t="str">
        <f>IF($B203="","",'Portfolio Register'!$J167)</f>
        <v/>
      </c>
      <c r="H203" s="225" t="str">
        <f>IF($B203="","",'Portfolio Register'!$CO167)</f>
        <v/>
      </c>
      <c r="I203" s="225" t="str">
        <f>IF($B203="","",'Portfolio Register'!$CW167)</f>
        <v/>
      </c>
      <c r="J203" s="214" t="str">
        <f t="shared" si="51"/>
        <v/>
      </c>
      <c r="K203" s="214" t="str">
        <f t="shared" si="52"/>
        <v/>
      </c>
      <c r="L203" s="214" t="str">
        <f t="shared" si="53"/>
        <v/>
      </c>
      <c r="M203" s="214" t="str">
        <f t="shared" si="54"/>
        <v/>
      </c>
      <c r="N203" s="214" t="str">
        <f t="shared" si="55"/>
        <v/>
      </c>
      <c r="O203" s="214" t="str">
        <f t="shared" si="56"/>
        <v/>
      </c>
      <c r="P203" s="214" t="str">
        <f t="shared" si="57"/>
        <v/>
      </c>
      <c r="Q203" s="214" t="str">
        <f t="shared" si="58"/>
        <v/>
      </c>
      <c r="R203" s="214" t="str">
        <f t="shared" si="59"/>
        <v/>
      </c>
      <c r="S203" s="214" t="str">
        <f t="shared" si="60"/>
        <v/>
      </c>
      <c r="T203" s="214" t="str">
        <f t="shared" si="61"/>
        <v/>
      </c>
      <c r="U203" s="214" t="str">
        <f t="shared" si="62"/>
        <v/>
      </c>
      <c r="V203" s="214" t="str">
        <f t="shared" si="63"/>
        <v/>
      </c>
      <c r="W203" s="214" t="str">
        <f t="shared" si="64"/>
        <v/>
      </c>
      <c r="X203" s="214" t="str">
        <f t="shared" si="65"/>
        <v/>
      </c>
      <c r="Y203" s="214" t="str">
        <f t="shared" si="66"/>
        <v/>
      </c>
      <c r="Z203" s="214" t="str">
        <f t="shared" si="67"/>
        <v/>
      </c>
      <c r="AA203" s="214" t="str">
        <f t="shared" si="68"/>
        <v/>
      </c>
      <c r="AB203" s="214" t="str">
        <f t="shared" si="69"/>
        <v/>
      </c>
      <c r="AC203" s="214" t="str">
        <f t="shared" si="70"/>
        <v/>
      </c>
    </row>
    <row r="204" spans="2:29" x14ac:dyDescent="0.35">
      <c r="B204" s="208" t="str">
        <f>IF('Portfolio Register'!$A168="","",'Portfolio Register'!$A168)</f>
        <v/>
      </c>
      <c r="C204" s="208" t="str">
        <f>IF($B204="","",'Portfolio Register'!$B168)</f>
        <v/>
      </c>
      <c r="D204" s="208" t="str">
        <f>IF($B204="","",'Portfolio Register'!$I168)</f>
        <v/>
      </c>
      <c r="E204" s="208" t="str">
        <f>IF($B204="","",'Portfolio Register'!$DG168)</f>
        <v/>
      </c>
      <c r="F204" s="224" t="str">
        <f t="shared" si="50"/>
        <v/>
      </c>
      <c r="G204" s="225" t="str">
        <f>IF($B204="","",'Portfolio Register'!$J168)</f>
        <v/>
      </c>
      <c r="H204" s="225" t="str">
        <f>IF($B204="","",'Portfolio Register'!$CO168)</f>
        <v/>
      </c>
      <c r="I204" s="225" t="str">
        <f>IF($B204="","",'Portfolio Register'!$CW168)</f>
        <v/>
      </c>
      <c r="J204" s="214" t="str">
        <f t="shared" si="51"/>
        <v/>
      </c>
      <c r="K204" s="214" t="str">
        <f t="shared" si="52"/>
        <v/>
      </c>
      <c r="L204" s="214" t="str">
        <f t="shared" si="53"/>
        <v/>
      </c>
      <c r="M204" s="214" t="str">
        <f t="shared" si="54"/>
        <v/>
      </c>
      <c r="N204" s="214" t="str">
        <f t="shared" si="55"/>
        <v/>
      </c>
      <c r="O204" s="214" t="str">
        <f t="shared" si="56"/>
        <v/>
      </c>
      <c r="P204" s="214" t="str">
        <f t="shared" si="57"/>
        <v/>
      </c>
      <c r="Q204" s="214" t="str">
        <f t="shared" si="58"/>
        <v/>
      </c>
      <c r="R204" s="214" t="str">
        <f t="shared" si="59"/>
        <v/>
      </c>
      <c r="S204" s="214" t="str">
        <f t="shared" si="60"/>
        <v/>
      </c>
      <c r="T204" s="214" t="str">
        <f t="shared" si="61"/>
        <v/>
      </c>
      <c r="U204" s="214" t="str">
        <f t="shared" si="62"/>
        <v/>
      </c>
      <c r="V204" s="214" t="str">
        <f t="shared" si="63"/>
        <v/>
      </c>
      <c r="W204" s="214" t="str">
        <f t="shared" si="64"/>
        <v/>
      </c>
      <c r="X204" s="214" t="str">
        <f t="shared" si="65"/>
        <v/>
      </c>
      <c r="Y204" s="214" t="str">
        <f t="shared" si="66"/>
        <v/>
      </c>
      <c r="Z204" s="214" t="str">
        <f t="shared" si="67"/>
        <v/>
      </c>
      <c r="AA204" s="214" t="str">
        <f t="shared" si="68"/>
        <v/>
      </c>
      <c r="AB204" s="214" t="str">
        <f t="shared" si="69"/>
        <v/>
      </c>
      <c r="AC204" s="214" t="str">
        <f t="shared" si="70"/>
        <v/>
      </c>
    </row>
    <row r="205" spans="2:29" x14ac:dyDescent="0.35">
      <c r="B205" s="208" t="str">
        <f>IF('Portfolio Register'!$A169="","",'Portfolio Register'!$A169)</f>
        <v/>
      </c>
      <c r="C205" s="208" t="str">
        <f>IF($B205="","",'Portfolio Register'!$B169)</f>
        <v/>
      </c>
      <c r="D205" s="208" t="str">
        <f>IF($B205="","",'Portfolio Register'!$I169)</f>
        <v/>
      </c>
      <c r="E205" s="208" t="str">
        <f>IF($B205="","",'Portfolio Register'!$DG169)</f>
        <v/>
      </c>
      <c r="F205" s="224" t="str">
        <f t="shared" si="50"/>
        <v/>
      </c>
      <c r="G205" s="225" t="str">
        <f>IF($B205="","",'Portfolio Register'!$J169)</f>
        <v/>
      </c>
      <c r="H205" s="225" t="str">
        <f>IF($B205="","",'Portfolio Register'!$CO169)</f>
        <v/>
      </c>
      <c r="I205" s="225" t="str">
        <f>IF($B205="","",'Portfolio Register'!$CW169)</f>
        <v/>
      </c>
      <c r="J205" s="214" t="str">
        <f t="shared" si="51"/>
        <v/>
      </c>
      <c r="K205" s="214" t="str">
        <f t="shared" si="52"/>
        <v/>
      </c>
      <c r="L205" s="214" t="str">
        <f t="shared" si="53"/>
        <v/>
      </c>
      <c r="M205" s="214" t="str">
        <f t="shared" si="54"/>
        <v/>
      </c>
      <c r="N205" s="214" t="str">
        <f t="shared" si="55"/>
        <v/>
      </c>
      <c r="O205" s="214" t="str">
        <f t="shared" si="56"/>
        <v/>
      </c>
      <c r="P205" s="214" t="str">
        <f t="shared" si="57"/>
        <v/>
      </c>
      <c r="Q205" s="214" t="str">
        <f t="shared" si="58"/>
        <v/>
      </c>
      <c r="R205" s="214" t="str">
        <f t="shared" si="59"/>
        <v/>
      </c>
      <c r="S205" s="214" t="str">
        <f t="shared" si="60"/>
        <v/>
      </c>
      <c r="T205" s="214" t="str">
        <f t="shared" si="61"/>
        <v/>
      </c>
      <c r="U205" s="214" t="str">
        <f t="shared" si="62"/>
        <v/>
      </c>
      <c r="V205" s="214" t="str">
        <f t="shared" si="63"/>
        <v/>
      </c>
      <c r="W205" s="214" t="str">
        <f t="shared" si="64"/>
        <v/>
      </c>
      <c r="X205" s="214" t="str">
        <f t="shared" si="65"/>
        <v/>
      </c>
      <c r="Y205" s="214" t="str">
        <f t="shared" si="66"/>
        <v/>
      </c>
      <c r="Z205" s="214" t="str">
        <f t="shared" si="67"/>
        <v/>
      </c>
      <c r="AA205" s="214" t="str">
        <f t="shared" si="68"/>
        <v/>
      </c>
      <c r="AB205" s="214" t="str">
        <f t="shared" si="69"/>
        <v/>
      </c>
      <c r="AC205" s="214" t="str">
        <f t="shared" si="70"/>
        <v/>
      </c>
    </row>
    <row r="206" spans="2:29" x14ac:dyDescent="0.35">
      <c r="B206" s="208" t="str">
        <f>IF('Portfolio Register'!$A170="","",'Portfolio Register'!$A170)</f>
        <v/>
      </c>
      <c r="C206" s="208" t="str">
        <f>IF($B206="","",'Portfolio Register'!$B170)</f>
        <v/>
      </c>
      <c r="D206" s="208" t="str">
        <f>IF($B206="","",'Portfolio Register'!$I170)</f>
        <v/>
      </c>
      <c r="E206" s="208" t="str">
        <f>IF($B206="","",'Portfolio Register'!$DG170)</f>
        <v/>
      </c>
      <c r="F206" s="224" t="str">
        <f t="shared" si="50"/>
        <v/>
      </c>
      <c r="G206" s="225" t="str">
        <f>IF($B206="","",'Portfolio Register'!$J170)</f>
        <v/>
      </c>
      <c r="H206" s="225" t="str">
        <f>IF($B206="","",'Portfolio Register'!$CO170)</f>
        <v/>
      </c>
      <c r="I206" s="225" t="str">
        <f>IF($B206="","",'Portfolio Register'!$CW170)</f>
        <v/>
      </c>
      <c r="J206" s="214" t="str">
        <f t="shared" si="51"/>
        <v/>
      </c>
      <c r="K206" s="214" t="str">
        <f t="shared" si="52"/>
        <v/>
      </c>
      <c r="L206" s="214" t="str">
        <f t="shared" si="53"/>
        <v/>
      </c>
      <c r="M206" s="214" t="str">
        <f t="shared" si="54"/>
        <v/>
      </c>
      <c r="N206" s="214" t="str">
        <f t="shared" si="55"/>
        <v/>
      </c>
      <c r="O206" s="214" t="str">
        <f t="shared" si="56"/>
        <v/>
      </c>
      <c r="P206" s="214" t="str">
        <f t="shared" si="57"/>
        <v/>
      </c>
      <c r="Q206" s="214" t="str">
        <f t="shared" si="58"/>
        <v/>
      </c>
      <c r="R206" s="214" t="str">
        <f t="shared" si="59"/>
        <v/>
      </c>
      <c r="S206" s="214" t="str">
        <f t="shared" si="60"/>
        <v/>
      </c>
      <c r="T206" s="214" t="str">
        <f t="shared" si="61"/>
        <v/>
      </c>
      <c r="U206" s="214" t="str">
        <f t="shared" si="62"/>
        <v/>
      </c>
      <c r="V206" s="214" t="str">
        <f t="shared" si="63"/>
        <v/>
      </c>
      <c r="W206" s="214" t="str">
        <f t="shared" si="64"/>
        <v/>
      </c>
      <c r="X206" s="214" t="str">
        <f t="shared" si="65"/>
        <v/>
      </c>
      <c r="Y206" s="214" t="str">
        <f t="shared" si="66"/>
        <v/>
      </c>
      <c r="Z206" s="214" t="str">
        <f t="shared" si="67"/>
        <v/>
      </c>
      <c r="AA206" s="214" t="str">
        <f t="shared" si="68"/>
        <v/>
      </c>
      <c r="AB206" s="214" t="str">
        <f t="shared" si="69"/>
        <v/>
      </c>
      <c r="AC206" s="214" t="str">
        <f t="shared" si="70"/>
        <v/>
      </c>
    </row>
    <row r="207" spans="2:29" x14ac:dyDescent="0.35">
      <c r="B207" s="208" t="str">
        <f>IF('Portfolio Register'!$A171="","",'Portfolio Register'!$A171)</f>
        <v/>
      </c>
      <c r="C207" s="208" t="str">
        <f>IF($B207="","",'Portfolio Register'!$B171)</f>
        <v/>
      </c>
      <c r="D207" s="208" t="str">
        <f>IF($B207="","",'Portfolio Register'!$I171)</f>
        <v/>
      </c>
      <c r="E207" s="208" t="str">
        <f>IF($B207="","",'Portfolio Register'!$DG171)</f>
        <v/>
      </c>
      <c r="F207" s="224" t="str">
        <f t="shared" si="50"/>
        <v/>
      </c>
      <c r="G207" s="225" t="str">
        <f>IF($B207="","",'Portfolio Register'!$J171)</f>
        <v/>
      </c>
      <c r="H207" s="225" t="str">
        <f>IF($B207="","",'Portfolio Register'!$CO171)</f>
        <v/>
      </c>
      <c r="I207" s="225" t="str">
        <f>IF($B207="","",'Portfolio Register'!$CW171)</f>
        <v/>
      </c>
      <c r="J207" s="214" t="str">
        <f t="shared" si="51"/>
        <v/>
      </c>
      <c r="K207" s="214" t="str">
        <f t="shared" si="52"/>
        <v/>
      </c>
      <c r="L207" s="214" t="str">
        <f t="shared" si="53"/>
        <v/>
      </c>
      <c r="M207" s="214" t="str">
        <f t="shared" si="54"/>
        <v/>
      </c>
      <c r="N207" s="214" t="str">
        <f t="shared" si="55"/>
        <v/>
      </c>
      <c r="O207" s="214" t="str">
        <f t="shared" si="56"/>
        <v/>
      </c>
      <c r="P207" s="214" t="str">
        <f t="shared" si="57"/>
        <v/>
      </c>
      <c r="Q207" s="214" t="str">
        <f t="shared" si="58"/>
        <v/>
      </c>
      <c r="R207" s="214" t="str">
        <f t="shared" si="59"/>
        <v/>
      </c>
      <c r="S207" s="214" t="str">
        <f t="shared" si="60"/>
        <v/>
      </c>
      <c r="T207" s="214" t="str">
        <f t="shared" si="61"/>
        <v/>
      </c>
      <c r="U207" s="214" t="str">
        <f t="shared" si="62"/>
        <v/>
      </c>
      <c r="V207" s="214" t="str">
        <f t="shared" si="63"/>
        <v/>
      </c>
      <c r="W207" s="214" t="str">
        <f t="shared" si="64"/>
        <v/>
      </c>
      <c r="X207" s="214" t="str">
        <f t="shared" si="65"/>
        <v/>
      </c>
      <c r="Y207" s="214" t="str">
        <f t="shared" si="66"/>
        <v/>
      </c>
      <c r="Z207" s="214" t="str">
        <f t="shared" si="67"/>
        <v/>
      </c>
      <c r="AA207" s="214" t="str">
        <f t="shared" si="68"/>
        <v/>
      </c>
      <c r="AB207" s="214" t="str">
        <f t="shared" si="69"/>
        <v/>
      </c>
      <c r="AC207" s="214" t="str">
        <f t="shared" si="70"/>
        <v/>
      </c>
    </row>
    <row r="208" spans="2:29" x14ac:dyDescent="0.35">
      <c r="B208" s="208" t="str">
        <f>IF('Portfolio Register'!$A172="","",'Portfolio Register'!$A172)</f>
        <v/>
      </c>
      <c r="C208" s="208" t="str">
        <f>IF($B208="","",'Portfolio Register'!$B172)</f>
        <v/>
      </c>
      <c r="D208" s="208" t="str">
        <f>IF($B208="","",'Portfolio Register'!$I172)</f>
        <v/>
      </c>
      <c r="E208" s="208" t="str">
        <f>IF($B208="","",'Portfolio Register'!$DG172)</f>
        <v/>
      </c>
      <c r="F208" s="224" t="str">
        <f t="shared" si="50"/>
        <v/>
      </c>
      <c r="G208" s="225" t="str">
        <f>IF($B208="","",'Portfolio Register'!$J172)</f>
        <v/>
      </c>
      <c r="H208" s="225" t="str">
        <f>IF($B208="","",'Portfolio Register'!$CO172)</f>
        <v/>
      </c>
      <c r="I208" s="225" t="str">
        <f>IF($B208="","",'Portfolio Register'!$CW172)</f>
        <v/>
      </c>
      <c r="J208" s="214" t="str">
        <f t="shared" si="51"/>
        <v/>
      </c>
      <c r="K208" s="214" t="str">
        <f t="shared" si="52"/>
        <v/>
      </c>
      <c r="L208" s="214" t="str">
        <f t="shared" si="53"/>
        <v/>
      </c>
      <c r="M208" s="214" t="str">
        <f t="shared" si="54"/>
        <v/>
      </c>
      <c r="N208" s="214" t="str">
        <f t="shared" si="55"/>
        <v/>
      </c>
      <c r="O208" s="214" t="str">
        <f t="shared" si="56"/>
        <v/>
      </c>
      <c r="P208" s="214" t="str">
        <f t="shared" si="57"/>
        <v/>
      </c>
      <c r="Q208" s="214" t="str">
        <f t="shared" si="58"/>
        <v/>
      </c>
      <c r="R208" s="214" t="str">
        <f t="shared" si="59"/>
        <v/>
      </c>
      <c r="S208" s="214" t="str">
        <f t="shared" si="60"/>
        <v/>
      </c>
      <c r="T208" s="214" t="str">
        <f t="shared" si="61"/>
        <v/>
      </c>
      <c r="U208" s="214" t="str">
        <f t="shared" si="62"/>
        <v/>
      </c>
      <c r="V208" s="214" t="str">
        <f t="shared" si="63"/>
        <v/>
      </c>
      <c r="W208" s="214" t="str">
        <f t="shared" si="64"/>
        <v/>
      </c>
      <c r="X208" s="214" t="str">
        <f t="shared" si="65"/>
        <v/>
      </c>
      <c r="Y208" s="214" t="str">
        <f t="shared" si="66"/>
        <v/>
      </c>
      <c r="Z208" s="214" t="str">
        <f t="shared" si="67"/>
        <v/>
      </c>
      <c r="AA208" s="214" t="str">
        <f t="shared" si="68"/>
        <v/>
      </c>
      <c r="AB208" s="214" t="str">
        <f t="shared" si="69"/>
        <v/>
      </c>
      <c r="AC208" s="214" t="str">
        <f t="shared" si="70"/>
        <v/>
      </c>
    </row>
    <row r="209" spans="2:29" x14ac:dyDescent="0.35">
      <c r="B209" s="208" t="str">
        <f>IF('Portfolio Register'!$A173="","",'Portfolio Register'!$A173)</f>
        <v/>
      </c>
      <c r="C209" s="208" t="str">
        <f>IF($B209="","",'Portfolio Register'!$B173)</f>
        <v/>
      </c>
      <c r="D209" s="208" t="str">
        <f>IF($B209="","",'Portfolio Register'!$I173)</f>
        <v/>
      </c>
      <c r="E209" s="208" t="str">
        <f>IF($B209="","",'Portfolio Register'!$DG173)</f>
        <v/>
      </c>
      <c r="F209" s="224" t="str">
        <f t="shared" si="50"/>
        <v/>
      </c>
      <c r="G209" s="225" t="str">
        <f>IF($B209="","",'Portfolio Register'!$J173)</f>
        <v/>
      </c>
      <c r="H209" s="225" t="str">
        <f>IF($B209="","",'Portfolio Register'!$CO173)</f>
        <v/>
      </c>
      <c r="I209" s="225" t="str">
        <f>IF($B209="","",'Portfolio Register'!$CW173)</f>
        <v/>
      </c>
      <c r="J209" s="214" t="str">
        <f t="shared" si="51"/>
        <v/>
      </c>
      <c r="K209" s="214" t="str">
        <f t="shared" si="52"/>
        <v/>
      </c>
      <c r="L209" s="214" t="str">
        <f t="shared" si="53"/>
        <v/>
      </c>
      <c r="M209" s="214" t="str">
        <f t="shared" si="54"/>
        <v/>
      </c>
      <c r="N209" s="214" t="str">
        <f t="shared" si="55"/>
        <v/>
      </c>
      <c r="O209" s="214" t="str">
        <f t="shared" si="56"/>
        <v/>
      </c>
      <c r="P209" s="214" t="str">
        <f t="shared" si="57"/>
        <v/>
      </c>
      <c r="Q209" s="214" t="str">
        <f t="shared" si="58"/>
        <v/>
      </c>
      <c r="R209" s="214" t="str">
        <f t="shared" si="59"/>
        <v/>
      </c>
      <c r="S209" s="214" t="str">
        <f t="shared" si="60"/>
        <v/>
      </c>
      <c r="T209" s="214" t="str">
        <f t="shared" si="61"/>
        <v/>
      </c>
      <c r="U209" s="214" t="str">
        <f t="shared" si="62"/>
        <v/>
      </c>
      <c r="V209" s="214" t="str">
        <f t="shared" si="63"/>
        <v/>
      </c>
      <c r="W209" s="214" t="str">
        <f t="shared" si="64"/>
        <v/>
      </c>
      <c r="X209" s="214" t="str">
        <f t="shared" si="65"/>
        <v/>
      </c>
      <c r="Y209" s="214" t="str">
        <f t="shared" si="66"/>
        <v/>
      </c>
      <c r="Z209" s="214" t="str">
        <f t="shared" si="67"/>
        <v/>
      </c>
      <c r="AA209" s="214" t="str">
        <f t="shared" si="68"/>
        <v/>
      </c>
      <c r="AB209" s="214" t="str">
        <f t="shared" si="69"/>
        <v/>
      </c>
      <c r="AC209" s="214" t="str">
        <f t="shared" si="70"/>
        <v/>
      </c>
    </row>
    <row r="210" spans="2:29" x14ac:dyDescent="0.35">
      <c r="B210" s="208" t="str">
        <f>IF('Portfolio Register'!$A174="","",'Portfolio Register'!$A174)</f>
        <v/>
      </c>
      <c r="C210" s="208" t="str">
        <f>IF($B210="","",'Portfolio Register'!$B174)</f>
        <v/>
      </c>
      <c r="D210" s="208" t="str">
        <f>IF($B210="","",'Portfolio Register'!$I174)</f>
        <v/>
      </c>
      <c r="E210" s="208" t="str">
        <f>IF($B210="","",'Portfolio Register'!$DG174)</f>
        <v/>
      </c>
      <c r="F210" s="224" t="str">
        <f t="shared" si="50"/>
        <v/>
      </c>
      <c r="G210" s="225" t="str">
        <f>IF($B210="","",'Portfolio Register'!$J174)</f>
        <v/>
      </c>
      <c r="H210" s="225" t="str">
        <f>IF($B210="","",'Portfolio Register'!$CO174)</f>
        <v/>
      </c>
      <c r="I210" s="225" t="str">
        <f>IF($B210="","",'Portfolio Register'!$CW174)</f>
        <v/>
      </c>
      <c r="J210" s="214" t="str">
        <f t="shared" si="51"/>
        <v/>
      </c>
      <c r="K210" s="214" t="str">
        <f t="shared" si="52"/>
        <v/>
      </c>
      <c r="L210" s="214" t="str">
        <f t="shared" si="53"/>
        <v/>
      </c>
      <c r="M210" s="214" t="str">
        <f t="shared" si="54"/>
        <v/>
      </c>
      <c r="N210" s="214" t="str">
        <f t="shared" si="55"/>
        <v/>
      </c>
      <c r="O210" s="214" t="str">
        <f t="shared" si="56"/>
        <v/>
      </c>
      <c r="P210" s="214" t="str">
        <f t="shared" si="57"/>
        <v/>
      </c>
      <c r="Q210" s="214" t="str">
        <f t="shared" si="58"/>
        <v/>
      </c>
      <c r="R210" s="214" t="str">
        <f t="shared" si="59"/>
        <v/>
      </c>
      <c r="S210" s="214" t="str">
        <f t="shared" si="60"/>
        <v/>
      </c>
      <c r="T210" s="214" t="str">
        <f t="shared" si="61"/>
        <v/>
      </c>
      <c r="U210" s="214" t="str">
        <f t="shared" si="62"/>
        <v/>
      </c>
      <c r="V210" s="214" t="str">
        <f t="shared" si="63"/>
        <v/>
      </c>
      <c r="W210" s="214" t="str">
        <f t="shared" si="64"/>
        <v/>
      </c>
      <c r="X210" s="214" t="str">
        <f t="shared" si="65"/>
        <v/>
      </c>
      <c r="Y210" s="214" t="str">
        <f t="shared" si="66"/>
        <v/>
      </c>
      <c r="Z210" s="214" t="str">
        <f t="shared" si="67"/>
        <v/>
      </c>
      <c r="AA210" s="214" t="str">
        <f t="shared" si="68"/>
        <v/>
      </c>
      <c r="AB210" s="214" t="str">
        <f t="shared" si="69"/>
        <v/>
      </c>
      <c r="AC210" s="214" t="str">
        <f t="shared" si="70"/>
        <v/>
      </c>
    </row>
    <row r="211" spans="2:29" x14ac:dyDescent="0.35">
      <c r="B211" s="208" t="str">
        <f>IF('Portfolio Register'!$A175="","",'Portfolio Register'!$A175)</f>
        <v/>
      </c>
      <c r="C211" s="208" t="str">
        <f>IF($B211="","",'Portfolio Register'!$B175)</f>
        <v/>
      </c>
      <c r="D211" s="208" t="str">
        <f>IF($B211="","",'Portfolio Register'!$I175)</f>
        <v/>
      </c>
      <c r="E211" s="208" t="str">
        <f>IF($B211="","",'Portfolio Register'!$DG175)</f>
        <v/>
      </c>
      <c r="F211" s="224" t="str">
        <f t="shared" si="50"/>
        <v/>
      </c>
      <c r="G211" s="225" t="str">
        <f>IF($B211="","",'Portfolio Register'!$J175)</f>
        <v/>
      </c>
      <c r="H211" s="225" t="str">
        <f>IF($B211="","",'Portfolio Register'!$CO175)</f>
        <v/>
      </c>
      <c r="I211" s="225" t="str">
        <f>IF($B211="","",'Portfolio Register'!$CW175)</f>
        <v/>
      </c>
      <c r="J211" s="214" t="str">
        <f t="shared" si="51"/>
        <v/>
      </c>
      <c r="K211" s="214" t="str">
        <f t="shared" si="52"/>
        <v/>
      </c>
      <c r="L211" s="214" t="str">
        <f t="shared" si="53"/>
        <v/>
      </c>
      <c r="M211" s="214" t="str">
        <f t="shared" si="54"/>
        <v/>
      </c>
      <c r="N211" s="214" t="str">
        <f t="shared" si="55"/>
        <v/>
      </c>
      <c r="O211" s="214" t="str">
        <f t="shared" si="56"/>
        <v/>
      </c>
      <c r="P211" s="214" t="str">
        <f t="shared" si="57"/>
        <v/>
      </c>
      <c r="Q211" s="214" t="str">
        <f t="shared" si="58"/>
        <v/>
      </c>
      <c r="R211" s="214" t="str">
        <f t="shared" si="59"/>
        <v/>
      </c>
      <c r="S211" s="214" t="str">
        <f t="shared" si="60"/>
        <v/>
      </c>
      <c r="T211" s="214" t="str">
        <f t="shared" si="61"/>
        <v/>
      </c>
      <c r="U211" s="214" t="str">
        <f t="shared" si="62"/>
        <v/>
      </c>
      <c r="V211" s="214" t="str">
        <f t="shared" si="63"/>
        <v/>
      </c>
      <c r="W211" s="214" t="str">
        <f t="shared" si="64"/>
        <v/>
      </c>
      <c r="X211" s="214" t="str">
        <f t="shared" si="65"/>
        <v/>
      </c>
      <c r="Y211" s="214" t="str">
        <f t="shared" si="66"/>
        <v/>
      </c>
      <c r="Z211" s="214" t="str">
        <f t="shared" si="67"/>
        <v/>
      </c>
      <c r="AA211" s="214" t="str">
        <f t="shared" si="68"/>
        <v/>
      </c>
      <c r="AB211" s="214" t="str">
        <f t="shared" si="69"/>
        <v/>
      </c>
      <c r="AC211" s="214" t="str">
        <f t="shared" si="70"/>
        <v/>
      </c>
    </row>
    <row r="212" spans="2:29" x14ac:dyDescent="0.35">
      <c r="B212" s="208" t="str">
        <f>IF('Portfolio Register'!$A176="","",'Portfolio Register'!$A176)</f>
        <v/>
      </c>
      <c r="C212" s="208" t="str">
        <f>IF($B212="","",'Portfolio Register'!$B176)</f>
        <v/>
      </c>
      <c r="D212" s="208" t="str">
        <f>IF($B212="","",'Portfolio Register'!$I176)</f>
        <v/>
      </c>
      <c r="E212" s="208" t="str">
        <f>IF($B212="","",'Portfolio Register'!$DG176)</f>
        <v/>
      </c>
      <c r="F212" s="224" t="str">
        <f t="shared" si="50"/>
        <v/>
      </c>
      <c r="G212" s="225" t="str">
        <f>IF($B212="","",'Portfolio Register'!$J176)</f>
        <v/>
      </c>
      <c r="H212" s="225" t="str">
        <f>IF($B212="","",'Portfolio Register'!$CO176)</f>
        <v/>
      </c>
      <c r="I212" s="225" t="str">
        <f>IF($B212="","",'Portfolio Register'!$CW176)</f>
        <v/>
      </c>
      <c r="J212" s="214" t="str">
        <f t="shared" si="51"/>
        <v/>
      </c>
      <c r="K212" s="214" t="str">
        <f t="shared" si="52"/>
        <v/>
      </c>
      <c r="L212" s="214" t="str">
        <f t="shared" si="53"/>
        <v/>
      </c>
      <c r="M212" s="214" t="str">
        <f t="shared" si="54"/>
        <v/>
      </c>
      <c r="N212" s="214" t="str">
        <f t="shared" si="55"/>
        <v/>
      </c>
      <c r="O212" s="214" t="str">
        <f t="shared" si="56"/>
        <v/>
      </c>
      <c r="P212" s="214" t="str">
        <f t="shared" si="57"/>
        <v/>
      </c>
      <c r="Q212" s="214" t="str">
        <f t="shared" si="58"/>
        <v/>
      </c>
      <c r="R212" s="214" t="str">
        <f t="shared" si="59"/>
        <v/>
      </c>
      <c r="S212" s="214" t="str">
        <f t="shared" si="60"/>
        <v/>
      </c>
      <c r="T212" s="214" t="str">
        <f t="shared" si="61"/>
        <v/>
      </c>
      <c r="U212" s="214" t="str">
        <f t="shared" si="62"/>
        <v/>
      </c>
      <c r="V212" s="214" t="str">
        <f t="shared" si="63"/>
        <v/>
      </c>
      <c r="W212" s="214" t="str">
        <f t="shared" si="64"/>
        <v/>
      </c>
      <c r="X212" s="214" t="str">
        <f t="shared" si="65"/>
        <v/>
      </c>
      <c r="Y212" s="214" t="str">
        <f t="shared" si="66"/>
        <v/>
      </c>
      <c r="Z212" s="214" t="str">
        <f t="shared" si="67"/>
        <v/>
      </c>
      <c r="AA212" s="214" t="str">
        <f t="shared" si="68"/>
        <v/>
      </c>
      <c r="AB212" s="214" t="str">
        <f t="shared" si="69"/>
        <v/>
      </c>
      <c r="AC212" s="214" t="str">
        <f t="shared" si="70"/>
        <v/>
      </c>
    </row>
    <row r="213" spans="2:29" x14ac:dyDescent="0.35">
      <c r="B213" s="208" t="str">
        <f>IF('Portfolio Register'!$A177="","",'Portfolio Register'!$A177)</f>
        <v/>
      </c>
      <c r="C213" s="208" t="str">
        <f>IF($B213="","",'Portfolio Register'!$B177)</f>
        <v/>
      </c>
      <c r="D213" s="208" t="str">
        <f>IF($B213="","",'Portfolio Register'!$I177)</f>
        <v/>
      </c>
      <c r="E213" s="208" t="str">
        <f>IF($B213="","",'Portfolio Register'!$DG177)</f>
        <v/>
      </c>
      <c r="F213" s="224" t="str">
        <f t="shared" si="50"/>
        <v/>
      </c>
      <c r="G213" s="225" t="str">
        <f>IF($B213="","",'Portfolio Register'!$J177)</f>
        <v/>
      </c>
      <c r="H213" s="225" t="str">
        <f>IF($B213="","",'Portfolio Register'!$CO177)</f>
        <v/>
      </c>
      <c r="I213" s="225" t="str">
        <f>IF($B213="","",'Portfolio Register'!$CW177)</f>
        <v/>
      </c>
      <c r="J213" s="214" t="str">
        <f t="shared" si="51"/>
        <v/>
      </c>
      <c r="K213" s="214" t="str">
        <f t="shared" si="52"/>
        <v/>
      </c>
      <c r="L213" s="214" t="str">
        <f t="shared" si="53"/>
        <v/>
      </c>
      <c r="M213" s="214" t="str">
        <f t="shared" si="54"/>
        <v/>
      </c>
      <c r="N213" s="214" t="str">
        <f t="shared" si="55"/>
        <v/>
      </c>
      <c r="O213" s="214" t="str">
        <f t="shared" si="56"/>
        <v/>
      </c>
      <c r="P213" s="214" t="str">
        <f t="shared" si="57"/>
        <v/>
      </c>
      <c r="Q213" s="214" t="str">
        <f t="shared" si="58"/>
        <v/>
      </c>
      <c r="R213" s="214" t="str">
        <f t="shared" si="59"/>
        <v/>
      </c>
      <c r="S213" s="214" t="str">
        <f t="shared" si="60"/>
        <v/>
      </c>
      <c r="T213" s="214" t="str">
        <f t="shared" si="61"/>
        <v/>
      </c>
      <c r="U213" s="214" t="str">
        <f t="shared" si="62"/>
        <v/>
      </c>
      <c r="V213" s="214" t="str">
        <f t="shared" si="63"/>
        <v/>
      </c>
      <c r="W213" s="214" t="str">
        <f t="shared" si="64"/>
        <v/>
      </c>
      <c r="X213" s="214" t="str">
        <f t="shared" si="65"/>
        <v/>
      </c>
      <c r="Y213" s="214" t="str">
        <f t="shared" si="66"/>
        <v/>
      </c>
      <c r="Z213" s="214" t="str">
        <f t="shared" si="67"/>
        <v/>
      </c>
      <c r="AA213" s="214" t="str">
        <f t="shared" si="68"/>
        <v/>
      </c>
      <c r="AB213" s="214" t="str">
        <f t="shared" si="69"/>
        <v/>
      </c>
      <c r="AC213" s="214" t="str">
        <f t="shared" si="70"/>
        <v/>
      </c>
    </row>
    <row r="214" spans="2:29" x14ac:dyDescent="0.35">
      <c r="B214" s="208" t="str">
        <f>IF('Portfolio Register'!$A178="","",'Portfolio Register'!$A178)</f>
        <v/>
      </c>
      <c r="C214" s="208" t="str">
        <f>IF($B214="","",'Portfolio Register'!$B178)</f>
        <v/>
      </c>
      <c r="D214" s="208" t="str">
        <f>IF($B214="","",'Portfolio Register'!$I178)</f>
        <v/>
      </c>
      <c r="E214" s="208" t="str">
        <f>IF($B214="","",'Portfolio Register'!$DG178)</f>
        <v/>
      </c>
      <c r="F214" s="224" t="str">
        <f t="shared" si="50"/>
        <v/>
      </c>
      <c r="G214" s="225" t="str">
        <f>IF($B214="","",'Portfolio Register'!$J178)</f>
        <v/>
      </c>
      <c r="H214" s="225" t="str">
        <f>IF($B214="","",'Portfolio Register'!$CO178)</f>
        <v/>
      </c>
      <c r="I214" s="225" t="str">
        <f>IF($B214="","",'Portfolio Register'!$CW178)</f>
        <v/>
      </c>
      <c r="J214" s="214" t="str">
        <f t="shared" si="51"/>
        <v/>
      </c>
      <c r="K214" s="214" t="str">
        <f t="shared" si="52"/>
        <v/>
      </c>
      <c r="L214" s="214" t="str">
        <f t="shared" si="53"/>
        <v/>
      </c>
      <c r="M214" s="214" t="str">
        <f t="shared" si="54"/>
        <v/>
      </c>
      <c r="N214" s="214" t="str">
        <f t="shared" si="55"/>
        <v/>
      </c>
      <c r="O214" s="214" t="str">
        <f t="shared" si="56"/>
        <v/>
      </c>
      <c r="P214" s="214" t="str">
        <f t="shared" si="57"/>
        <v/>
      </c>
      <c r="Q214" s="214" t="str">
        <f t="shared" si="58"/>
        <v/>
      </c>
      <c r="R214" s="214" t="str">
        <f t="shared" si="59"/>
        <v/>
      </c>
      <c r="S214" s="214" t="str">
        <f t="shared" si="60"/>
        <v/>
      </c>
      <c r="T214" s="214" t="str">
        <f t="shared" si="61"/>
        <v/>
      </c>
      <c r="U214" s="214" t="str">
        <f t="shared" si="62"/>
        <v/>
      </c>
      <c r="V214" s="214" t="str">
        <f t="shared" si="63"/>
        <v/>
      </c>
      <c r="W214" s="214" t="str">
        <f t="shared" si="64"/>
        <v/>
      </c>
      <c r="X214" s="214" t="str">
        <f t="shared" si="65"/>
        <v/>
      </c>
      <c r="Y214" s="214" t="str">
        <f t="shared" si="66"/>
        <v/>
      </c>
      <c r="Z214" s="214" t="str">
        <f t="shared" si="67"/>
        <v/>
      </c>
      <c r="AA214" s="214" t="str">
        <f t="shared" si="68"/>
        <v/>
      </c>
      <c r="AB214" s="214" t="str">
        <f t="shared" si="69"/>
        <v/>
      </c>
      <c r="AC214" s="214" t="str">
        <f t="shared" si="70"/>
        <v/>
      </c>
    </row>
    <row r="215" spans="2:29" x14ac:dyDescent="0.35">
      <c r="B215" s="208" t="str">
        <f>IF('Portfolio Register'!$A179="","",'Portfolio Register'!$A179)</f>
        <v/>
      </c>
      <c r="C215" s="208" t="str">
        <f>IF($B215="","",'Portfolio Register'!$B179)</f>
        <v/>
      </c>
      <c r="D215" s="208" t="str">
        <f>IF($B215="","",'Portfolio Register'!$I179)</f>
        <v/>
      </c>
      <c r="E215" s="208" t="str">
        <f>IF($B215="","",'Portfolio Register'!$DG179)</f>
        <v/>
      </c>
      <c r="F215" s="224" t="str">
        <f t="shared" si="50"/>
        <v/>
      </c>
      <c r="G215" s="225" t="str">
        <f>IF($B215="","",'Portfolio Register'!$J179)</f>
        <v/>
      </c>
      <c r="H215" s="225" t="str">
        <f>IF($B215="","",'Portfolio Register'!$CO179)</f>
        <v/>
      </c>
      <c r="I215" s="225" t="str">
        <f>IF($B215="","",'Portfolio Register'!$CW179)</f>
        <v/>
      </c>
      <c r="J215" s="214" t="str">
        <f t="shared" si="51"/>
        <v/>
      </c>
      <c r="K215" s="214" t="str">
        <f t="shared" si="52"/>
        <v/>
      </c>
      <c r="L215" s="214" t="str">
        <f t="shared" si="53"/>
        <v/>
      </c>
      <c r="M215" s="214" t="str">
        <f t="shared" si="54"/>
        <v/>
      </c>
      <c r="N215" s="214" t="str">
        <f t="shared" si="55"/>
        <v/>
      </c>
      <c r="O215" s="214" t="str">
        <f t="shared" si="56"/>
        <v/>
      </c>
      <c r="P215" s="214" t="str">
        <f t="shared" si="57"/>
        <v/>
      </c>
      <c r="Q215" s="214" t="str">
        <f t="shared" si="58"/>
        <v/>
      </c>
      <c r="R215" s="214" t="str">
        <f t="shared" si="59"/>
        <v/>
      </c>
      <c r="S215" s="214" t="str">
        <f t="shared" si="60"/>
        <v/>
      </c>
      <c r="T215" s="214" t="str">
        <f t="shared" si="61"/>
        <v/>
      </c>
      <c r="U215" s="214" t="str">
        <f t="shared" si="62"/>
        <v/>
      </c>
      <c r="V215" s="214" t="str">
        <f t="shared" si="63"/>
        <v/>
      </c>
      <c r="W215" s="214" t="str">
        <f t="shared" si="64"/>
        <v/>
      </c>
      <c r="X215" s="214" t="str">
        <f t="shared" si="65"/>
        <v/>
      </c>
      <c r="Y215" s="214" t="str">
        <f t="shared" si="66"/>
        <v/>
      </c>
      <c r="Z215" s="214" t="str">
        <f t="shared" si="67"/>
        <v/>
      </c>
      <c r="AA215" s="214" t="str">
        <f t="shared" si="68"/>
        <v/>
      </c>
      <c r="AB215" s="214" t="str">
        <f t="shared" si="69"/>
        <v/>
      </c>
      <c r="AC215" s="214" t="str">
        <f t="shared" si="70"/>
        <v/>
      </c>
    </row>
    <row r="216" spans="2:29" x14ac:dyDescent="0.35">
      <c r="B216" s="208" t="str">
        <f>IF('Portfolio Register'!$A180="","",'Portfolio Register'!$A180)</f>
        <v/>
      </c>
      <c r="C216" s="208" t="str">
        <f>IF($B216="","",'Portfolio Register'!$B180)</f>
        <v/>
      </c>
      <c r="D216" s="208" t="str">
        <f>IF($B216="","",'Portfolio Register'!$I180)</f>
        <v/>
      </c>
      <c r="E216" s="208" t="str">
        <f>IF($B216="","",'Portfolio Register'!$DG180)</f>
        <v/>
      </c>
      <c r="F216" s="224" t="str">
        <f t="shared" si="50"/>
        <v/>
      </c>
      <c r="G216" s="225" t="str">
        <f>IF($B216="","",'Portfolio Register'!$J180)</f>
        <v/>
      </c>
      <c r="H216" s="225" t="str">
        <f>IF($B216="","",'Portfolio Register'!$CO180)</f>
        <v/>
      </c>
      <c r="I216" s="225" t="str">
        <f>IF($B216="","",'Portfolio Register'!$CW180)</f>
        <v/>
      </c>
      <c r="J216" s="214" t="str">
        <f t="shared" si="51"/>
        <v/>
      </c>
      <c r="K216" s="214" t="str">
        <f t="shared" si="52"/>
        <v/>
      </c>
      <c r="L216" s="214" t="str">
        <f t="shared" si="53"/>
        <v/>
      </c>
      <c r="M216" s="214" t="str">
        <f t="shared" si="54"/>
        <v/>
      </c>
      <c r="N216" s="214" t="str">
        <f t="shared" si="55"/>
        <v/>
      </c>
      <c r="O216" s="214" t="str">
        <f t="shared" si="56"/>
        <v/>
      </c>
      <c r="P216" s="214" t="str">
        <f t="shared" si="57"/>
        <v/>
      </c>
      <c r="Q216" s="214" t="str">
        <f t="shared" si="58"/>
        <v/>
      </c>
      <c r="R216" s="214" t="str">
        <f t="shared" si="59"/>
        <v/>
      </c>
      <c r="S216" s="214" t="str">
        <f t="shared" si="60"/>
        <v/>
      </c>
      <c r="T216" s="214" t="str">
        <f t="shared" si="61"/>
        <v/>
      </c>
      <c r="U216" s="214" t="str">
        <f t="shared" si="62"/>
        <v/>
      </c>
      <c r="V216" s="214" t="str">
        <f t="shared" si="63"/>
        <v/>
      </c>
      <c r="W216" s="214" t="str">
        <f t="shared" si="64"/>
        <v/>
      </c>
      <c r="X216" s="214" t="str">
        <f t="shared" si="65"/>
        <v/>
      </c>
      <c r="Y216" s="214" t="str">
        <f t="shared" si="66"/>
        <v/>
      </c>
      <c r="Z216" s="214" t="str">
        <f t="shared" si="67"/>
        <v/>
      </c>
      <c r="AA216" s="214" t="str">
        <f t="shared" si="68"/>
        <v/>
      </c>
      <c r="AB216" s="214" t="str">
        <f t="shared" si="69"/>
        <v/>
      </c>
      <c r="AC216" s="214" t="str">
        <f t="shared" si="70"/>
        <v/>
      </c>
    </row>
    <row r="217" spans="2:29" x14ac:dyDescent="0.35">
      <c r="B217" s="208" t="str">
        <f>IF('Portfolio Register'!$A181="","",'Portfolio Register'!$A181)</f>
        <v/>
      </c>
      <c r="C217" s="208" t="str">
        <f>IF($B217="","",'Portfolio Register'!$B181)</f>
        <v/>
      </c>
      <c r="D217" s="208" t="str">
        <f>IF($B217="","",'Portfolio Register'!$I181)</f>
        <v/>
      </c>
      <c r="E217" s="208" t="str">
        <f>IF($B217="","",'Portfolio Register'!$DG181)</f>
        <v/>
      </c>
      <c r="F217" s="224" t="str">
        <f t="shared" si="50"/>
        <v/>
      </c>
      <c r="G217" s="225" t="str">
        <f>IF($B217="","",'Portfolio Register'!$J181)</f>
        <v/>
      </c>
      <c r="H217" s="225" t="str">
        <f>IF($B217="","",'Portfolio Register'!$CO181)</f>
        <v/>
      </c>
      <c r="I217" s="225" t="str">
        <f>IF($B217="","",'Portfolio Register'!$CW181)</f>
        <v/>
      </c>
      <c r="J217" s="214" t="str">
        <f t="shared" si="51"/>
        <v/>
      </c>
      <c r="K217" s="214" t="str">
        <f t="shared" si="52"/>
        <v/>
      </c>
      <c r="L217" s="214" t="str">
        <f t="shared" si="53"/>
        <v/>
      </c>
      <c r="M217" s="214" t="str">
        <f t="shared" si="54"/>
        <v/>
      </c>
      <c r="N217" s="214" t="str">
        <f t="shared" si="55"/>
        <v/>
      </c>
      <c r="O217" s="214" t="str">
        <f t="shared" si="56"/>
        <v/>
      </c>
      <c r="P217" s="214" t="str">
        <f t="shared" si="57"/>
        <v/>
      </c>
      <c r="Q217" s="214" t="str">
        <f t="shared" si="58"/>
        <v/>
      </c>
      <c r="R217" s="214" t="str">
        <f t="shared" si="59"/>
        <v/>
      </c>
      <c r="S217" s="214" t="str">
        <f t="shared" si="60"/>
        <v/>
      </c>
      <c r="T217" s="214" t="str">
        <f t="shared" si="61"/>
        <v/>
      </c>
      <c r="U217" s="214" t="str">
        <f t="shared" si="62"/>
        <v/>
      </c>
      <c r="V217" s="214" t="str">
        <f t="shared" si="63"/>
        <v/>
      </c>
      <c r="W217" s="214" t="str">
        <f t="shared" si="64"/>
        <v/>
      </c>
      <c r="X217" s="214" t="str">
        <f t="shared" si="65"/>
        <v/>
      </c>
      <c r="Y217" s="214" t="str">
        <f t="shared" si="66"/>
        <v/>
      </c>
      <c r="Z217" s="214" t="str">
        <f t="shared" si="67"/>
        <v/>
      </c>
      <c r="AA217" s="214" t="str">
        <f t="shared" si="68"/>
        <v/>
      </c>
      <c r="AB217" s="214" t="str">
        <f t="shared" si="69"/>
        <v/>
      </c>
      <c r="AC217" s="214" t="str">
        <f t="shared" si="70"/>
        <v/>
      </c>
    </row>
    <row r="218" spans="2:29" x14ac:dyDescent="0.35">
      <c r="B218" s="208" t="str">
        <f>IF('Portfolio Register'!$A182="","",'Portfolio Register'!$A182)</f>
        <v/>
      </c>
      <c r="C218" s="208" t="str">
        <f>IF($B218="","",'Portfolio Register'!$B182)</f>
        <v/>
      </c>
      <c r="D218" s="208" t="str">
        <f>IF($B218="","",'Portfolio Register'!$I182)</f>
        <v/>
      </c>
      <c r="E218" s="208" t="str">
        <f>IF($B218="","",'Portfolio Register'!$DG182)</f>
        <v/>
      </c>
      <c r="F218" s="224" t="str">
        <f t="shared" si="50"/>
        <v/>
      </c>
      <c r="G218" s="225" t="str">
        <f>IF($B218="","",'Portfolio Register'!$J182)</f>
        <v/>
      </c>
      <c r="H218" s="225" t="str">
        <f>IF($B218="","",'Portfolio Register'!$CO182)</f>
        <v/>
      </c>
      <c r="I218" s="225" t="str">
        <f>IF($B218="","",'Portfolio Register'!$CW182)</f>
        <v/>
      </c>
      <c r="J218" s="214" t="str">
        <f t="shared" si="51"/>
        <v/>
      </c>
      <c r="K218" s="214" t="str">
        <f t="shared" si="52"/>
        <v/>
      </c>
      <c r="L218" s="214" t="str">
        <f t="shared" si="53"/>
        <v/>
      </c>
      <c r="M218" s="214" t="str">
        <f t="shared" si="54"/>
        <v/>
      </c>
      <c r="N218" s="214" t="str">
        <f t="shared" si="55"/>
        <v/>
      </c>
      <c r="O218" s="214" t="str">
        <f t="shared" si="56"/>
        <v/>
      </c>
      <c r="P218" s="214" t="str">
        <f t="shared" si="57"/>
        <v/>
      </c>
      <c r="Q218" s="214" t="str">
        <f t="shared" si="58"/>
        <v/>
      </c>
      <c r="R218" s="214" t="str">
        <f t="shared" si="59"/>
        <v/>
      </c>
      <c r="S218" s="214" t="str">
        <f t="shared" si="60"/>
        <v/>
      </c>
      <c r="T218" s="214" t="str">
        <f t="shared" si="61"/>
        <v/>
      </c>
      <c r="U218" s="214" t="str">
        <f t="shared" si="62"/>
        <v/>
      </c>
      <c r="V218" s="214" t="str">
        <f t="shared" si="63"/>
        <v/>
      </c>
      <c r="W218" s="214" t="str">
        <f t="shared" si="64"/>
        <v/>
      </c>
      <c r="X218" s="214" t="str">
        <f t="shared" si="65"/>
        <v/>
      </c>
      <c r="Y218" s="214" t="str">
        <f t="shared" si="66"/>
        <v/>
      </c>
      <c r="Z218" s="214" t="str">
        <f t="shared" si="67"/>
        <v/>
      </c>
      <c r="AA218" s="214" t="str">
        <f t="shared" si="68"/>
        <v/>
      </c>
      <c r="AB218" s="214" t="str">
        <f t="shared" si="69"/>
        <v/>
      </c>
      <c r="AC218" s="214" t="str">
        <f t="shared" si="70"/>
        <v/>
      </c>
    </row>
    <row r="219" spans="2:29" x14ac:dyDescent="0.35">
      <c r="B219" s="208" t="str">
        <f>IF('Portfolio Register'!$A183="","",'Portfolio Register'!$A183)</f>
        <v/>
      </c>
      <c r="C219" s="208" t="str">
        <f>IF($B219="","",'Portfolio Register'!$B183)</f>
        <v/>
      </c>
      <c r="D219" s="208" t="str">
        <f>IF($B219="","",'Portfolio Register'!$I183)</f>
        <v/>
      </c>
      <c r="E219" s="208" t="str">
        <f>IF($B219="","",'Portfolio Register'!$DG183)</f>
        <v/>
      </c>
      <c r="F219" s="224" t="str">
        <f t="shared" si="50"/>
        <v/>
      </c>
      <c r="G219" s="225" t="str">
        <f>IF($B219="","",'Portfolio Register'!$J183)</f>
        <v/>
      </c>
      <c r="H219" s="225" t="str">
        <f>IF($B219="","",'Portfolio Register'!$CO183)</f>
        <v/>
      </c>
      <c r="I219" s="225" t="str">
        <f>IF($B219="","",'Portfolio Register'!$CW183)</f>
        <v/>
      </c>
      <c r="J219" s="214" t="str">
        <f t="shared" si="51"/>
        <v/>
      </c>
      <c r="K219" s="214" t="str">
        <f t="shared" si="52"/>
        <v/>
      </c>
      <c r="L219" s="214" t="str">
        <f t="shared" si="53"/>
        <v/>
      </c>
      <c r="M219" s="214" t="str">
        <f t="shared" si="54"/>
        <v/>
      </c>
      <c r="N219" s="214" t="str">
        <f t="shared" si="55"/>
        <v/>
      </c>
      <c r="O219" s="214" t="str">
        <f t="shared" si="56"/>
        <v/>
      </c>
      <c r="P219" s="214" t="str">
        <f t="shared" si="57"/>
        <v/>
      </c>
      <c r="Q219" s="214" t="str">
        <f t="shared" si="58"/>
        <v/>
      </c>
      <c r="R219" s="214" t="str">
        <f t="shared" si="59"/>
        <v/>
      </c>
      <c r="S219" s="214" t="str">
        <f t="shared" si="60"/>
        <v/>
      </c>
      <c r="T219" s="214" t="str">
        <f t="shared" si="61"/>
        <v/>
      </c>
      <c r="U219" s="214" t="str">
        <f t="shared" si="62"/>
        <v/>
      </c>
      <c r="V219" s="214" t="str">
        <f t="shared" si="63"/>
        <v/>
      </c>
      <c r="W219" s="214" t="str">
        <f t="shared" si="64"/>
        <v/>
      </c>
      <c r="X219" s="214" t="str">
        <f t="shared" si="65"/>
        <v/>
      </c>
      <c r="Y219" s="214" t="str">
        <f t="shared" si="66"/>
        <v/>
      </c>
      <c r="Z219" s="214" t="str">
        <f t="shared" si="67"/>
        <v/>
      </c>
      <c r="AA219" s="214" t="str">
        <f t="shared" si="68"/>
        <v/>
      </c>
      <c r="AB219" s="214" t="str">
        <f t="shared" si="69"/>
        <v/>
      </c>
      <c r="AC219" s="214" t="str">
        <f t="shared" si="70"/>
        <v/>
      </c>
    </row>
    <row r="220" spans="2:29" x14ac:dyDescent="0.35">
      <c r="B220" s="208" t="str">
        <f>IF('Portfolio Register'!$A184="","",'Portfolio Register'!$A184)</f>
        <v/>
      </c>
      <c r="C220" s="208" t="str">
        <f>IF($B220="","",'Portfolio Register'!$B184)</f>
        <v/>
      </c>
      <c r="D220" s="208" t="str">
        <f>IF($B220="","",'Portfolio Register'!$I184)</f>
        <v/>
      </c>
      <c r="E220" s="208" t="str">
        <f>IF($B220="","",'Portfolio Register'!$DG184)</f>
        <v/>
      </c>
      <c r="F220" s="224" t="str">
        <f t="shared" si="50"/>
        <v/>
      </c>
      <c r="G220" s="225" t="str">
        <f>IF($B220="","",'Portfolio Register'!$J184)</f>
        <v/>
      </c>
      <c r="H220" s="225" t="str">
        <f>IF($B220="","",'Portfolio Register'!$CO184)</f>
        <v/>
      </c>
      <c r="I220" s="225" t="str">
        <f>IF($B220="","",'Portfolio Register'!$CW184)</f>
        <v/>
      </c>
      <c r="J220" s="214" t="str">
        <f t="shared" si="51"/>
        <v/>
      </c>
      <c r="K220" s="214" t="str">
        <f t="shared" si="52"/>
        <v/>
      </c>
      <c r="L220" s="214" t="str">
        <f t="shared" si="53"/>
        <v/>
      </c>
      <c r="M220" s="214" t="str">
        <f t="shared" si="54"/>
        <v/>
      </c>
      <c r="N220" s="214" t="str">
        <f t="shared" si="55"/>
        <v/>
      </c>
      <c r="O220" s="214" t="str">
        <f t="shared" si="56"/>
        <v/>
      </c>
      <c r="P220" s="214" t="str">
        <f t="shared" si="57"/>
        <v/>
      </c>
      <c r="Q220" s="214" t="str">
        <f t="shared" si="58"/>
        <v/>
      </c>
      <c r="R220" s="214" t="str">
        <f t="shared" si="59"/>
        <v/>
      </c>
      <c r="S220" s="214" t="str">
        <f t="shared" si="60"/>
        <v/>
      </c>
      <c r="T220" s="214" t="str">
        <f t="shared" si="61"/>
        <v/>
      </c>
      <c r="U220" s="214" t="str">
        <f t="shared" si="62"/>
        <v/>
      </c>
      <c r="V220" s="214" t="str">
        <f t="shared" si="63"/>
        <v/>
      </c>
      <c r="W220" s="214" t="str">
        <f t="shared" si="64"/>
        <v/>
      </c>
      <c r="X220" s="214" t="str">
        <f t="shared" si="65"/>
        <v/>
      </c>
      <c r="Y220" s="214" t="str">
        <f t="shared" si="66"/>
        <v/>
      </c>
      <c r="Z220" s="214" t="str">
        <f t="shared" si="67"/>
        <v/>
      </c>
      <c r="AA220" s="214" t="str">
        <f t="shared" si="68"/>
        <v/>
      </c>
      <c r="AB220" s="214" t="str">
        <f t="shared" si="69"/>
        <v/>
      </c>
      <c r="AC220" s="214" t="str">
        <f t="shared" si="70"/>
        <v/>
      </c>
    </row>
    <row r="221" spans="2:29" x14ac:dyDescent="0.35">
      <c r="B221" s="208" t="str">
        <f>IF('Portfolio Register'!$A185="","",'Portfolio Register'!$A185)</f>
        <v/>
      </c>
      <c r="C221" s="208" t="str">
        <f>IF($B221="","",'Portfolio Register'!$B185)</f>
        <v/>
      </c>
      <c r="D221" s="208" t="str">
        <f>IF($B221="","",'Portfolio Register'!$I185)</f>
        <v/>
      </c>
      <c r="E221" s="208" t="str">
        <f>IF($B221="","",'Portfolio Register'!$DG185)</f>
        <v/>
      </c>
      <c r="F221" s="224" t="str">
        <f t="shared" si="50"/>
        <v/>
      </c>
      <c r="G221" s="225" t="str">
        <f>IF($B221="","",'Portfolio Register'!$J185)</f>
        <v/>
      </c>
      <c r="H221" s="225" t="str">
        <f>IF($B221="","",'Portfolio Register'!$CO185)</f>
        <v/>
      </c>
      <c r="I221" s="225" t="str">
        <f>IF($B221="","",'Portfolio Register'!$CW185)</f>
        <v/>
      </c>
      <c r="J221" s="214" t="str">
        <f t="shared" si="51"/>
        <v/>
      </c>
      <c r="K221" s="214" t="str">
        <f t="shared" si="52"/>
        <v/>
      </c>
      <c r="L221" s="214" t="str">
        <f t="shared" si="53"/>
        <v/>
      </c>
      <c r="M221" s="214" t="str">
        <f t="shared" si="54"/>
        <v/>
      </c>
      <c r="N221" s="214" t="str">
        <f t="shared" si="55"/>
        <v/>
      </c>
      <c r="O221" s="214" t="str">
        <f t="shared" si="56"/>
        <v/>
      </c>
      <c r="P221" s="214" t="str">
        <f t="shared" si="57"/>
        <v/>
      </c>
      <c r="Q221" s="214" t="str">
        <f t="shared" si="58"/>
        <v/>
      </c>
      <c r="R221" s="214" t="str">
        <f t="shared" si="59"/>
        <v/>
      </c>
      <c r="S221" s="214" t="str">
        <f t="shared" si="60"/>
        <v/>
      </c>
      <c r="T221" s="214" t="str">
        <f t="shared" si="61"/>
        <v/>
      </c>
      <c r="U221" s="214" t="str">
        <f t="shared" si="62"/>
        <v/>
      </c>
      <c r="V221" s="214" t="str">
        <f t="shared" si="63"/>
        <v/>
      </c>
      <c r="W221" s="214" t="str">
        <f t="shared" si="64"/>
        <v/>
      </c>
      <c r="X221" s="214" t="str">
        <f t="shared" si="65"/>
        <v/>
      </c>
      <c r="Y221" s="214" t="str">
        <f t="shared" si="66"/>
        <v/>
      </c>
      <c r="Z221" s="214" t="str">
        <f t="shared" si="67"/>
        <v/>
      </c>
      <c r="AA221" s="214" t="str">
        <f t="shared" si="68"/>
        <v/>
      </c>
      <c r="AB221" s="214" t="str">
        <f t="shared" si="69"/>
        <v/>
      </c>
      <c r="AC221" s="214" t="str">
        <f t="shared" si="70"/>
        <v/>
      </c>
    </row>
    <row r="222" spans="2:29" x14ac:dyDescent="0.35">
      <c r="B222" s="208" t="str">
        <f>IF('Portfolio Register'!$A186="","",'Portfolio Register'!$A186)</f>
        <v/>
      </c>
      <c r="C222" s="208" t="str">
        <f>IF($B222="","",'Portfolio Register'!$B186)</f>
        <v/>
      </c>
      <c r="D222" s="208" t="str">
        <f>IF($B222="","",'Portfolio Register'!$I186)</f>
        <v/>
      </c>
      <c r="E222" s="208" t="str">
        <f>IF($B222="","",'Portfolio Register'!$DG186)</f>
        <v/>
      </c>
      <c r="F222" s="224" t="str">
        <f t="shared" si="50"/>
        <v/>
      </c>
      <c r="G222" s="225" t="str">
        <f>IF($B222="","",'Portfolio Register'!$J186)</f>
        <v/>
      </c>
      <c r="H222" s="225" t="str">
        <f>IF($B222="","",'Portfolio Register'!$CO186)</f>
        <v/>
      </c>
      <c r="I222" s="225" t="str">
        <f>IF($B222="","",'Portfolio Register'!$CW186)</f>
        <v/>
      </c>
      <c r="J222" s="214" t="str">
        <f t="shared" si="51"/>
        <v/>
      </c>
      <c r="K222" s="214" t="str">
        <f t="shared" si="52"/>
        <v/>
      </c>
      <c r="L222" s="214" t="str">
        <f t="shared" si="53"/>
        <v/>
      </c>
      <c r="M222" s="214" t="str">
        <f t="shared" si="54"/>
        <v/>
      </c>
      <c r="N222" s="214" t="str">
        <f t="shared" si="55"/>
        <v/>
      </c>
      <c r="O222" s="214" t="str">
        <f t="shared" si="56"/>
        <v/>
      </c>
      <c r="P222" s="214" t="str">
        <f t="shared" si="57"/>
        <v/>
      </c>
      <c r="Q222" s="214" t="str">
        <f t="shared" si="58"/>
        <v/>
      </c>
      <c r="R222" s="214" t="str">
        <f t="shared" si="59"/>
        <v/>
      </c>
      <c r="S222" s="214" t="str">
        <f t="shared" si="60"/>
        <v/>
      </c>
      <c r="T222" s="214" t="str">
        <f t="shared" si="61"/>
        <v/>
      </c>
      <c r="U222" s="214" t="str">
        <f t="shared" si="62"/>
        <v/>
      </c>
      <c r="V222" s="214" t="str">
        <f t="shared" si="63"/>
        <v/>
      </c>
      <c r="W222" s="214" t="str">
        <f t="shared" si="64"/>
        <v/>
      </c>
      <c r="X222" s="214" t="str">
        <f t="shared" si="65"/>
        <v/>
      </c>
      <c r="Y222" s="214" t="str">
        <f t="shared" si="66"/>
        <v/>
      </c>
      <c r="Z222" s="214" t="str">
        <f t="shared" si="67"/>
        <v/>
      </c>
      <c r="AA222" s="214" t="str">
        <f t="shared" si="68"/>
        <v/>
      </c>
      <c r="AB222" s="214" t="str">
        <f t="shared" si="69"/>
        <v/>
      </c>
      <c r="AC222" s="214" t="str">
        <f t="shared" si="70"/>
        <v/>
      </c>
    </row>
    <row r="223" spans="2:29" x14ac:dyDescent="0.35">
      <c r="B223" s="208" t="str">
        <f>IF('Portfolio Register'!$A187="","",'Portfolio Register'!$A187)</f>
        <v/>
      </c>
      <c r="C223" s="208" t="str">
        <f>IF($B223="","",'Portfolio Register'!$B187)</f>
        <v/>
      </c>
      <c r="D223" s="208" t="str">
        <f>IF($B223="","",'Portfolio Register'!$I187)</f>
        <v/>
      </c>
      <c r="E223" s="208" t="str">
        <f>IF($B223="","",'Portfolio Register'!$DG187)</f>
        <v/>
      </c>
      <c r="F223" s="224" t="str">
        <f t="shared" si="50"/>
        <v/>
      </c>
      <c r="G223" s="225" t="str">
        <f>IF($B223="","",'Portfolio Register'!$J187)</f>
        <v/>
      </c>
      <c r="H223" s="225" t="str">
        <f>IF($B223="","",'Portfolio Register'!$CO187)</f>
        <v/>
      </c>
      <c r="I223" s="225" t="str">
        <f>IF($B223="","",'Portfolio Register'!$CW187)</f>
        <v/>
      </c>
      <c r="J223" s="214" t="str">
        <f t="shared" si="51"/>
        <v/>
      </c>
      <c r="K223" s="214" t="str">
        <f t="shared" si="52"/>
        <v/>
      </c>
      <c r="L223" s="214" t="str">
        <f t="shared" si="53"/>
        <v/>
      </c>
      <c r="M223" s="214" t="str">
        <f t="shared" si="54"/>
        <v/>
      </c>
      <c r="N223" s="214" t="str">
        <f t="shared" si="55"/>
        <v/>
      </c>
      <c r="O223" s="214" t="str">
        <f t="shared" si="56"/>
        <v/>
      </c>
      <c r="P223" s="214" t="str">
        <f t="shared" si="57"/>
        <v/>
      </c>
      <c r="Q223" s="214" t="str">
        <f t="shared" si="58"/>
        <v/>
      </c>
      <c r="R223" s="214" t="str">
        <f t="shared" si="59"/>
        <v/>
      </c>
      <c r="S223" s="214" t="str">
        <f t="shared" si="60"/>
        <v/>
      </c>
      <c r="T223" s="214" t="str">
        <f t="shared" si="61"/>
        <v/>
      </c>
      <c r="U223" s="214" t="str">
        <f t="shared" si="62"/>
        <v/>
      </c>
      <c r="V223" s="214" t="str">
        <f t="shared" si="63"/>
        <v/>
      </c>
      <c r="W223" s="214" t="str">
        <f t="shared" si="64"/>
        <v/>
      </c>
      <c r="X223" s="214" t="str">
        <f t="shared" si="65"/>
        <v/>
      </c>
      <c r="Y223" s="214" t="str">
        <f t="shared" si="66"/>
        <v/>
      </c>
      <c r="Z223" s="214" t="str">
        <f t="shared" si="67"/>
        <v/>
      </c>
      <c r="AA223" s="214" t="str">
        <f t="shared" si="68"/>
        <v/>
      </c>
      <c r="AB223" s="214" t="str">
        <f t="shared" si="69"/>
        <v/>
      </c>
      <c r="AC223" s="214" t="str">
        <f t="shared" si="70"/>
        <v/>
      </c>
    </row>
    <row r="224" spans="2:29" x14ac:dyDescent="0.35">
      <c r="B224" s="208" t="str">
        <f>IF('Portfolio Register'!$A188="","",'Portfolio Register'!$A188)</f>
        <v/>
      </c>
      <c r="C224" s="208" t="str">
        <f>IF($B224="","",'Portfolio Register'!$B188)</f>
        <v/>
      </c>
      <c r="D224" s="208" t="str">
        <f>IF($B224="","",'Portfolio Register'!$I188)</f>
        <v/>
      </c>
      <c r="E224" s="208" t="str">
        <f>IF($B224="","",'Portfolio Register'!$DG188)</f>
        <v/>
      </c>
      <c r="F224" s="224" t="str">
        <f t="shared" si="50"/>
        <v/>
      </c>
      <c r="G224" s="225" t="str">
        <f>IF($B224="","",'Portfolio Register'!$J188)</f>
        <v/>
      </c>
      <c r="H224" s="225" t="str">
        <f>IF($B224="","",'Portfolio Register'!$CO188)</f>
        <v/>
      </c>
      <c r="I224" s="225" t="str">
        <f>IF($B224="","",'Portfolio Register'!$CW188)</f>
        <v/>
      </c>
      <c r="J224" s="214" t="str">
        <f t="shared" si="51"/>
        <v/>
      </c>
      <c r="K224" s="214" t="str">
        <f t="shared" si="52"/>
        <v/>
      </c>
      <c r="L224" s="214" t="str">
        <f t="shared" si="53"/>
        <v/>
      </c>
      <c r="M224" s="214" t="str">
        <f t="shared" si="54"/>
        <v/>
      </c>
      <c r="N224" s="214" t="str">
        <f t="shared" si="55"/>
        <v/>
      </c>
      <c r="O224" s="214" t="str">
        <f t="shared" si="56"/>
        <v/>
      </c>
      <c r="P224" s="214" t="str">
        <f t="shared" si="57"/>
        <v/>
      </c>
      <c r="Q224" s="214" t="str">
        <f t="shared" si="58"/>
        <v/>
      </c>
      <c r="R224" s="214" t="str">
        <f t="shared" si="59"/>
        <v/>
      </c>
      <c r="S224" s="214" t="str">
        <f t="shared" si="60"/>
        <v/>
      </c>
      <c r="T224" s="214" t="str">
        <f t="shared" si="61"/>
        <v/>
      </c>
      <c r="U224" s="214" t="str">
        <f t="shared" si="62"/>
        <v/>
      </c>
      <c r="V224" s="214" t="str">
        <f t="shared" si="63"/>
        <v/>
      </c>
      <c r="W224" s="214" t="str">
        <f t="shared" si="64"/>
        <v/>
      </c>
      <c r="X224" s="214" t="str">
        <f t="shared" si="65"/>
        <v/>
      </c>
      <c r="Y224" s="214" t="str">
        <f t="shared" si="66"/>
        <v/>
      </c>
      <c r="Z224" s="214" t="str">
        <f t="shared" si="67"/>
        <v/>
      </c>
      <c r="AA224" s="214" t="str">
        <f t="shared" si="68"/>
        <v/>
      </c>
      <c r="AB224" s="214" t="str">
        <f t="shared" si="69"/>
        <v/>
      </c>
      <c r="AC224" s="214" t="str">
        <f t="shared" si="70"/>
        <v/>
      </c>
    </row>
    <row r="225" spans="2:29" x14ac:dyDescent="0.35">
      <c r="B225" s="208" t="str">
        <f>IF('Portfolio Register'!$A189="","",'Portfolio Register'!$A189)</f>
        <v/>
      </c>
      <c r="C225" s="208" t="str">
        <f>IF($B225="","",'Portfolio Register'!$B189)</f>
        <v/>
      </c>
      <c r="D225" s="208" t="str">
        <f>IF($B225="","",'Portfolio Register'!$I189)</f>
        <v/>
      </c>
      <c r="E225" s="208" t="str">
        <f>IF($B225="","",'Portfolio Register'!$DG189)</f>
        <v/>
      </c>
      <c r="F225" s="224" t="str">
        <f t="shared" si="50"/>
        <v/>
      </c>
      <c r="G225" s="225" t="str">
        <f>IF($B225="","",'Portfolio Register'!$J189)</f>
        <v/>
      </c>
      <c r="H225" s="225" t="str">
        <f>IF($B225="","",'Portfolio Register'!$CO189)</f>
        <v/>
      </c>
      <c r="I225" s="225" t="str">
        <f>IF($B225="","",'Portfolio Register'!$CW189)</f>
        <v/>
      </c>
      <c r="J225" s="214" t="str">
        <f t="shared" si="51"/>
        <v/>
      </c>
      <c r="K225" s="214" t="str">
        <f t="shared" si="52"/>
        <v/>
      </c>
      <c r="L225" s="214" t="str">
        <f t="shared" si="53"/>
        <v/>
      </c>
      <c r="M225" s="214" t="str">
        <f t="shared" si="54"/>
        <v/>
      </c>
      <c r="N225" s="214" t="str">
        <f t="shared" si="55"/>
        <v/>
      </c>
      <c r="O225" s="214" t="str">
        <f t="shared" si="56"/>
        <v/>
      </c>
      <c r="P225" s="214" t="str">
        <f t="shared" si="57"/>
        <v/>
      </c>
      <c r="Q225" s="214" t="str">
        <f t="shared" si="58"/>
        <v/>
      </c>
      <c r="R225" s="214" t="str">
        <f t="shared" si="59"/>
        <v/>
      </c>
      <c r="S225" s="214" t="str">
        <f t="shared" si="60"/>
        <v/>
      </c>
      <c r="T225" s="214" t="str">
        <f t="shared" si="61"/>
        <v/>
      </c>
      <c r="U225" s="214" t="str">
        <f t="shared" si="62"/>
        <v/>
      </c>
      <c r="V225" s="214" t="str">
        <f t="shared" si="63"/>
        <v/>
      </c>
      <c r="W225" s="214" t="str">
        <f t="shared" si="64"/>
        <v/>
      </c>
      <c r="X225" s="214" t="str">
        <f t="shared" si="65"/>
        <v/>
      </c>
      <c r="Y225" s="214" t="str">
        <f t="shared" si="66"/>
        <v/>
      </c>
      <c r="Z225" s="214" t="str">
        <f t="shared" si="67"/>
        <v/>
      </c>
      <c r="AA225" s="214" t="str">
        <f t="shared" si="68"/>
        <v/>
      </c>
      <c r="AB225" s="214" t="str">
        <f t="shared" si="69"/>
        <v/>
      </c>
      <c r="AC225" s="214" t="str">
        <f t="shared" si="70"/>
        <v/>
      </c>
    </row>
    <row r="226" spans="2:29" x14ac:dyDescent="0.35">
      <c r="B226" s="208" t="str">
        <f>IF('Portfolio Register'!$A190="","",'Portfolio Register'!$A190)</f>
        <v/>
      </c>
      <c r="C226" s="208" t="str">
        <f>IF($B226="","",'Portfolio Register'!$B190)</f>
        <v/>
      </c>
      <c r="D226" s="208" t="str">
        <f>IF($B226="","",'Portfolio Register'!$I190)</f>
        <v/>
      </c>
      <c r="E226" s="208" t="str">
        <f>IF($B226="","",'Portfolio Register'!$DG190)</f>
        <v/>
      </c>
      <c r="F226" s="224" t="str">
        <f t="shared" si="50"/>
        <v/>
      </c>
      <c r="G226" s="225" t="str">
        <f>IF($B226="","",'Portfolio Register'!$J190)</f>
        <v/>
      </c>
      <c r="H226" s="225" t="str">
        <f>IF($B226="","",'Portfolio Register'!$CO190)</f>
        <v/>
      </c>
      <c r="I226" s="225" t="str">
        <f>IF($B226="","",'Portfolio Register'!$CW190)</f>
        <v/>
      </c>
      <c r="J226" s="214" t="str">
        <f t="shared" si="51"/>
        <v/>
      </c>
      <c r="K226" s="214" t="str">
        <f t="shared" si="52"/>
        <v/>
      </c>
      <c r="L226" s="214" t="str">
        <f t="shared" si="53"/>
        <v/>
      </c>
      <c r="M226" s="214" t="str">
        <f t="shared" si="54"/>
        <v/>
      </c>
      <c r="N226" s="214" t="str">
        <f t="shared" si="55"/>
        <v/>
      </c>
      <c r="O226" s="214" t="str">
        <f t="shared" si="56"/>
        <v/>
      </c>
      <c r="P226" s="214" t="str">
        <f t="shared" si="57"/>
        <v/>
      </c>
      <c r="Q226" s="214" t="str">
        <f t="shared" si="58"/>
        <v/>
      </c>
      <c r="R226" s="214" t="str">
        <f t="shared" si="59"/>
        <v/>
      </c>
      <c r="S226" s="214" t="str">
        <f t="shared" si="60"/>
        <v/>
      </c>
      <c r="T226" s="214" t="str">
        <f t="shared" si="61"/>
        <v/>
      </c>
      <c r="U226" s="214" t="str">
        <f t="shared" si="62"/>
        <v/>
      </c>
      <c r="V226" s="214" t="str">
        <f t="shared" si="63"/>
        <v/>
      </c>
      <c r="W226" s="214" t="str">
        <f t="shared" si="64"/>
        <v/>
      </c>
      <c r="X226" s="214" t="str">
        <f t="shared" si="65"/>
        <v/>
      </c>
      <c r="Y226" s="214" t="str">
        <f t="shared" si="66"/>
        <v/>
      </c>
      <c r="Z226" s="214" t="str">
        <f t="shared" si="67"/>
        <v/>
      </c>
      <c r="AA226" s="214" t="str">
        <f t="shared" si="68"/>
        <v/>
      </c>
      <c r="AB226" s="214" t="str">
        <f t="shared" si="69"/>
        <v/>
      </c>
      <c r="AC226" s="214" t="str">
        <f t="shared" si="70"/>
        <v/>
      </c>
    </row>
    <row r="227" spans="2:29" x14ac:dyDescent="0.35">
      <c r="B227" s="208" t="str">
        <f>IF('Portfolio Register'!$A191="","",'Portfolio Register'!$A191)</f>
        <v/>
      </c>
      <c r="C227" s="208" t="str">
        <f>IF($B227="","",'Portfolio Register'!$B191)</f>
        <v/>
      </c>
      <c r="D227" s="208" t="str">
        <f>IF($B227="","",'Portfolio Register'!$I191)</f>
        <v/>
      </c>
      <c r="E227" s="208" t="str">
        <f>IF($B227="","",'Portfolio Register'!$DG191)</f>
        <v/>
      </c>
      <c r="F227" s="224" t="str">
        <f t="shared" si="50"/>
        <v/>
      </c>
      <c r="G227" s="225" t="str">
        <f>IF($B227="","",'Portfolio Register'!$J191)</f>
        <v/>
      </c>
      <c r="H227" s="225" t="str">
        <f>IF($B227="","",'Portfolio Register'!$CO191)</f>
        <v/>
      </c>
      <c r="I227" s="225" t="str">
        <f>IF($B227="","",'Portfolio Register'!$CW191)</f>
        <v/>
      </c>
      <c r="J227" s="214" t="str">
        <f t="shared" si="51"/>
        <v/>
      </c>
      <c r="K227" s="214" t="str">
        <f t="shared" si="52"/>
        <v/>
      </c>
      <c r="L227" s="214" t="str">
        <f t="shared" si="53"/>
        <v/>
      </c>
      <c r="M227" s="214" t="str">
        <f t="shared" si="54"/>
        <v/>
      </c>
      <c r="N227" s="214" t="str">
        <f t="shared" si="55"/>
        <v/>
      </c>
      <c r="O227" s="214" t="str">
        <f t="shared" si="56"/>
        <v/>
      </c>
      <c r="P227" s="214" t="str">
        <f t="shared" si="57"/>
        <v/>
      </c>
      <c r="Q227" s="214" t="str">
        <f t="shared" si="58"/>
        <v/>
      </c>
      <c r="R227" s="214" t="str">
        <f t="shared" si="59"/>
        <v/>
      </c>
      <c r="S227" s="214" t="str">
        <f t="shared" si="60"/>
        <v/>
      </c>
      <c r="T227" s="214" t="str">
        <f t="shared" si="61"/>
        <v/>
      </c>
      <c r="U227" s="214" t="str">
        <f t="shared" si="62"/>
        <v/>
      </c>
      <c r="V227" s="214" t="str">
        <f t="shared" si="63"/>
        <v/>
      </c>
      <c r="W227" s="214" t="str">
        <f t="shared" si="64"/>
        <v/>
      </c>
      <c r="X227" s="214" t="str">
        <f t="shared" si="65"/>
        <v/>
      </c>
      <c r="Y227" s="214" t="str">
        <f t="shared" si="66"/>
        <v/>
      </c>
      <c r="Z227" s="214" t="str">
        <f t="shared" si="67"/>
        <v/>
      </c>
      <c r="AA227" s="214" t="str">
        <f t="shared" si="68"/>
        <v/>
      </c>
      <c r="AB227" s="214" t="str">
        <f t="shared" si="69"/>
        <v/>
      </c>
      <c r="AC227" s="214" t="str">
        <f t="shared" si="70"/>
        <v/>
      </c>
    </row>
    <row r="228" spans="2:29" x14ac:dyDescent="0.35">
      <c r="B228" s="208" t="str">
        <f>IF('Portfolio Register'!$A192="","",'Portfolio Register'!$A192)</f>
        <v/>
      </c>
      <c r="C228" s="208" t="str">
        <f>IF($B228="","",'Portfolio Register'!$B192)</f>
        <v/>
      </c>
      <c r="D228" s="208" t="str">
        <f>IF($B228="","",'Portfolio Register'!$I192)</f>
        <v/>
      </c>
      <c r="E228" s="208" t="str">
        <f>IF($B228="","",'Portfolio Register'!$DG192)</f>
        <v/>
      </c>
      <c r="F228" s="224" t="str">
        <f t="shared" si="50"/>
        <v/>
      </c>
      <c r="G228" s="225" t="str">
        <f>IF($B228="","",'Portfolio Register'!$J192)</f>
        <v/>
      </c>
      <c r="H228" s="225" t="str">
        <f>IF($B228="","",'Portfolio Register'!$CO192)</f>
        <v/>
      </c>
      <c r="I228" s="225" t="str">
        <f>IF($B228="","",'Portfolio Register'!$CW192)</f>
        <v/>
      </c>
      <c r="J228" s="214" t="str">
        <f t="shared" si="51"/>
        <v/>
      </c>
      <c r="K228" s="214" t="str">
        <f t="shared" si="52"/>
        <v/>
      </c>
      <c r="L228" s="214" t="str">
        <f t="shared" si="53"/>
        <v/>
      </c>
      <c r="M228" s="214" t="str">
        <f t="shared" si="54"/>
        <v/>
      </c>
      <c r="N228" s="214" t="str">
        <f t="shared" si="55"/>
        <v/>
      </c>
      <c r="O228" s="214" t="str">
        <f t="shared" si="56"/>
        <v/>
      </c>
      <c r="P228" s="214" t="str">
        <f t="shared" si="57"/>
        <v/>
      </c>
      <c r="Q228" s="214" t="str">
        <f t="shared" si="58"/>
        <v/>
      </c>
      <c r="R228" s="214" t="str">
        <f t="shared" si="59"/>
        <v/>
      </c>
      <c r="S228" s="214" t="str">
        <f t="shared" si="60"/>
        <v/>
      </c>
      <c r="T228" s="214" t="str">
        <f t="shared" si="61"/>
        <v/>
      </c>
      <c r="U228" s="214" t="str">
        <f t="shared" si="62"/>
        <v/>
      </c>
      <c r="V228" s="214" t="str">
        <f t="shared" si="63"/>
        <v/>
      </c>
      <c r="W228" s="214" t="str">
        <f t="shared" si="64"/>
        <v/>
      </c>
      <c r="X228" s="214" t="str">
        <f t="shared" si="65"/>
        <v/>
      </c>
      <c r="Y228" s="214" t="str">
        <f t="shared" si="66"/>
        <v/>
      </c>
      <c r="Z228" s="214" t="str">
        <f t="shared" si="67"/>
        <v/>
      </c>
      <c r="AA228" s="214" t="str">
        <f t="shared" si="68"/>
        <v/>
      </c>
      <c r="AB228" s="214" t="str">
        <f t="shared" si="69"/>
        <v/>
      </c>
      <c r="AC228" s="214" t="str">
        <f t="shared" si="70"/>
        <v/>
      </c>
    </row>
    <row r="229" spans="2:29" x14ac:dyDescent="0.35">
      <c r="B229" s="208" t="str">
        <f>IF('Portfolio Register'!$A193="","",'Portfolio Register'!$A193)</f>
        <v/>
      </c>
      <c r="C229" s="208" t="str">
        <f>IF($B229="","",'Portfolio Register'!$B193)</f>
        <v/>
      </c>
      <c r="D229" s="208" t="str">
        <f>IF($B229="","",'Portfolio Register'!$I193)</f>
        <v/>
      </c>
      <c r="E229" s="208" t="str">
        <f>IF($B229="","",'Portfolio Register'!$DG193)</f>
        <v/>
      </c>
      <c r="F229" s="224" t="str">
        <f t="shared" si="50"/>
        <v/>
      </c>
      <c r="G229" s="225" t="str">
        <f>IF($B229="","",'Portfolio Register'!$J193)</f>
        <v/>
      </c>
      <c r="H229" s="225" t="str">
        <f>IF($B229="","",'Portfolio Register'!$CO193)</f>
        <v/>
      </c>
      <c r="I229" s="225" t="str">
        <f>IF($B229="","",'Portfolio Register'!$CW193)</f>
        <v/>
      </c>
      <c r="J229" s="214" t="str">
        <f t="shared" si="51"/>
        <v/>
      </c>
      <c r="K229" s="214" t="str">
        <f t="shared" si="52"/>
        <v/>
      </c>
      <c r="L229" s="214" t="str">
        <f t="shared" si="53"/>
        <v/>
      </c>
      <c r="M229" s="214" t="str">
        <f t="shared" si="54"/>
        <v/>
      </c>
      <c r="N229" s="214" t="str">
        <f t="shared" si="55"/>
        <v/>
      </c>
      <c r="O229" s="214" t="str">
        <f t="shared" si="56"/>
        <v/>
      </c>
      <c r="P229" s="214" t="str">
        <f t="shared" si="57"/>
        <v/>
      </c>
      <c r="Q229" s="214" t="str">
        <f t="shared" si="58"/>
        <v/>
      </c>
      <c r="R229" s="214" t="str">
        <f t="shared" si="59"/>
        <v/>
      </c>
      <c r="S229" s="214" t="str">
        <f t="shared" si="60"/>
        <v/>
      </c>
      <c r="T229" s="214" t="str">
        <f t="shared" si="61"/>
        <v/>
      </c>
      <c r="U229" s="214" t="str">
        <f t="shared" si="62"/>
        <v/>
      </c>
      <c r="V229" s="214" t="str">
        <f t="shared" si="63"/>
        <v/>
      </c>
      <c r="W229" s="214" t="str">
        <f t="shared" si="64"/>
        <v/>
      </c>
      <c r="X229" s="214" t="str">
        <f t="shared" si="65"/>
        <v/>
      </c>
      <c r="Y229" s="214" t="str">
        <f t="shared" si="66"/>
        <v/>
      </c>
      <c r="Z229" s="214" t="str">
        <f t="shared" si="67"/>
        <v/>
      </c>
      <c r="AA229" s="214" t="str">
        <f t="shared" si="68"/>
        <v/>
      </c>
      <c r="AB229" s="214" t="str">
        <f t="shared" si="69"/>
        <v/>
      </c>
      <c r="AC229" s="214" t="str">
        <f t="shared" si="70"/>
        <v/>
      </c>
    </row>
    <row r="230" spans="2:29" x14ac:dyDescent="0.35">
      <c r="B230" s="208" t="str">
        <f>IF('Portfolio Register'!$A194="","",'Portfolio Register'!$A194)</f>
        <v/>
      </c>
      <c r="C230" s="208" t="str">
        <f>IF($B230="","",'Portfolio Register'!$B194)</f>
        <v/>
      </c>
      <c r="D230" s="208" t="str">
        <f>IF($B230="","",'Portfolio Register'!$I194)</f>
        <v/>
      </c>
      <c r="E230" s="208" t="str">
        <f>IF($B230="","",'Portfolio Register'!$DG194)</f>
        <v/>
      </c>
      <c r="F230" s="224" t="str">
        <f t="shared" si="50"/>
        <v/>
      </c>
      <c r="G230" s="225" t="str">
        <f>IF($B230="","",'Portfolio Register'!$J194)</f>
        <v/>
      </c>
      <c r="H230" s="225" t="str">
        <f>IF($B230="","",'Portfolio Register'!$CO194)</f>
        <v/>
      </c>
      <c r="I230" s="225" t="str">
        <f>IF($B230="","",'Portfolio Register'!$CW194)</f>
        <v/>
      </c>
      <c r="J230" s="214" t="str">
        <f t="shared" si="51"/>
        <v/>
      </c>
      <c r="K230" s="214" t="str">
        <f t="shared" si="52"/>
        <v/>
      </c>
      <c r="L230" s="214" t="str">
        <f t="shared" si="53"/>
        <v/>
      </c>
      <c r="M230" s="214" t="str">
        <f t="shared" si="54"/>
        <v/>
      </c>
      <c r="N230" s="214" t="str">
        <f t="shared" si="55"/>
        <v/>
      </c>
      <c r="O230" s="214" t="str">
        <f t="shared" si="56"/>
        <v/>
      </c>
      <c r="P230" s="214" t="str">
        <f t="shared" si="57"/>
        <v/>
      </c>
      <c r="Q230" s="214" t="str">
        <f t="shared" si="58"/>
        <v/>
      </c>
      <c r="R230" s="214" t="str">
        <f t="shared" si="59"/>
        <v/>
      </c>
      <c r="S230" s="214" t="str">
        <f t="shared" si="60"/>
        <v/>
      </c>
      <c r="T230" s="214" t="str">
        <f t="shared" si="61"/>
        <v/>
      </c>
      <c r="U230" s="214" t="str">
        <f t="shared" si="62"/>
        <v/>
      </c>
      <c r="V230" s="214" t="str">
        <f t="shared" si="63"/>
        <v/>
      </c>
      <c r="W230" s="214" t="str">
        <f t="shared" si="64"/>
        <v/>
      </c>
      <c r="X230" s="214" t="str">
        <f t="shared" si="65"/>
        <v/>
      </c>
      <c r="Y230" s="214" t="str">
        <f t="shared" si="66"/>
        <v/>
      </c>
      <c r="Z230" s="214" t="str">
        <f t="shared" si="67"/>
        <v/>
      </c>
      <c r="AA230" s="214" t="str">
        <f t="shared" si="68"/>
        <v/>
      </c>
      <c r="AB230" s="214" t="str">
        <f t="shared" si="69"/>
        <v/>
      </c>
      <c r="AC230" s="214" t="str">
        <f t="shared" si="70"/>
        <v/>
      </c>
    </row>
    <row r="231" spans="2:29" x14ac:dyDescent="0.35">
      <c r="B231" s="208" t="str">
        <f>IF('Portfolio Register'!$A195="","",'Portfolio Register'!$A195)</f>
        <v/>
      </c>
      <c r="C231" s="208" t="str">
        <f>IF($B231="","",'Portfolio Register'!$B195)</f>
        <v/>
      </c>
      <c r="D231" s="208" t="str">
        <f>IF($B231="","",'Portfolio Register'!$I195)</f>
        <v/>
      </c>
      <c r="E231" s="208" t="str">
        <f>IF($B231="","",'Portfolio Register'!$DG195)</f>
        <v/>
      </c>
      <c r="F231" s="224" t="str">
        <f t="shared" si="50"/>
        <v/>
      </c>
      <c r="G231" s="225" t="str">
        <f>IF($B231="","",'Portfolio Register'!$J195)</f>
        <v/>
      </c>
      <c r="H231" s="225" t="str">
        <f>IF($B231="","",'Portfolio Register'!$CO195)</f>
        <v/>
      </c>
      <c r="I231" s="225" t="str">
        <f>IF($B231="","",'Portfolio Register'!$CW195)</f>
        <v/>
      </c>
      <c r="J231" s="214" t="str">
        <f t="shared" si="51"/>
        <v/>
      </c>
      <c r="K231" s="214" t="str">
        <f t="shared" si="52"/>
        <v/>
      </c>
      <c r="L231" s="214" t="str">
        <f t="shared" si="53"/>
        <v/>
      </c>
      <c r="M231" s="214" t="str">
        <f t="shared" si="54"/>
        <v/>
      </c>
      <c r="N231" s="214" t="str">
        <f t="shared" si="55"/>
        <v/>
      </c>
      <c r="O231" s="214" t="str">
        <f t="shared" si="56"/>
        <v/>
      </c>
      <c r="P231" s="214" t="str">
        <f t="shared" si="57"/>
        <v/>
      </c>
      <c r="Q231" s="214" t="str">
        <f t="shared" si="58"/>
        <v/>
      </c>
      <c r="R231" s="214" t="str">
        <f t="shared" si="59"/>
        <v/>
      </c>
      <c r="S231" s="214" t="str">
        <f t="shared" si="60"/>
        <v/>
      </c>
      <c r="T231" s="214" t="str">
        <f t="shared" si="61"/>
        <v/>
      </c>
      <c r="U231" s="214" t="str">
        <f t="shared" si="62"/>
        <v/>
      </c>
      <c r="V231" s="214" t="str">
        <f t="shared" si="63"/>
        <v/>
      </c>
      <c r="W231" s="214" t="str">
        <f t="shared" si="64"/>
        <v/>
      </c>
      <c r="X231" s="214" t="str">
        <f t="shared" si="65"/>
        <v/>
      </c>
      <c r="Y231" s="214" t="str">
        <f t="shared" si="66"/>
        <v/>
      </c>
      <c r="Z231" s="214" t="str">
        <f t="shared" si="67"/>
        <v/>
      </c>
      <c r="AA231" s="214" t="str">
        <f t="shared" si="68"/>
        <v/>
      </c>
      <c r="AB231" s="214" t="str">
        <f t="shared" si="69"/>
        <v/>
      </c>
      <c r="AC231" s="214" t="str">
        <f t="shared" si="70"/>
        <v/>
      </c>
    </row>
    <row r="232" spans="2:29" x14ac:dyDescent="0.35">
      <c r="B232" s="208" t="str">
        <f>IF('Portfolio Register'!$A196="","",'Portfolio Register'!$A196)</f>
        <v/>
      </c>
      <c r="C232" s="208" t="str">
        <f>IF($B232="","",'Portfolio Register'!$B196)</f>
        <v/>
      </c>
      <c r="D232" s="208" t="str">
        <f>IF($B232="","",'Portfolio Register'!$I196)</f>
        <v/>
      </c>
      <c r="E232" s="208" t="str">
        <f>IF($B232="","",'Portfolio Register'!$DG196)</f>
        <v/>
      </c>
      <c r="F232" s="224" t="str">
        <f t="shared" si="50"/>
        <v/>
      </c>
      <c r="G232" s="225" t="str">
        <f>IF($B232="","",'Portfolio Register'!$J196)</f>
        <v/>
      </c>
      <c r="H232" s="225" t="str">
        <f>IF($B232="","",'Portfolio Register'!$CO196)</f>
        <v/>
      </c>
      <c r="I232" s="225" t="str">
        <f>IF($B232="","",'Portfolio Register'!$CW196)</f>
        <v/>
      </c>
      <c r="J232" s="214" t="str">
        <f t="shared" si="51"/>
        <v/>
      </c>
      <c r="K232" s="214" t="str">
        <f t="shared" si="52"/>
        <v/>
      </c>
      <c r="L232" s="214" t="str">
        <f t="shared" si="53"/>
        <v/>
      </c>
      <c r="M232" s="214" t="str">
        <f t="shared" si="54"/>
        <v/>
      </c>
      <c r="N232" s="214" t="str">
        <f t="shared" si="55"/>
        <v/>
      </c>
      <c r="O232" s="214" t="str">
        <f t="shared" si="56"/>
        <v/>
      </c>
      <c r="P232" s="214" t="str">
        <f t="shared" si="57"/>
        <v/>
      </c>
      <c r="Q232" s="214" t="str">
        <f t="shared" si="58"/>
        <v/>
      </c>
      <c r="R232" s="214" t="str">
        <f t="shared" si="59"/>
        <v/>
      </c>
      <c r="S232" s="214" t="str">
        <f t="shared" si="60"/>
        <v/>
      </c>
      <c r="T232" s="214" t="str">
        <f t="shared" si="61"/>
        <v/>
      </c>
      <c r="U232" s="214" t="str">
        <f t="shared" si="62"/>
        <v/>
      </c>
      <c r="V232" s="214" t="str">
        <f t="shared" si="63"/>
        <v/>
      </c>
      <c r="W232" s="214" t="str">
        <f t="shared" si="64"/>
        <v/>
      </c>
      <c r="X232" s="214" t="str">
        <f t="shared" si="65"/>
        <v/>
      </c>
      <c r="Y232" s="214" t="str">
        <f t="shared" si="66"/>
        <v/>
      </c>
      <c r="Z232" s="214" t="str">
        <f t="shared" si="67"/>
        <v/>
      </c>
      <c r="AA232" s="214" t="str">
        <f t="shared" si="68"/>
        <v/>
      </c>
      <c r="AB232" s="214" t="str">
        <f t="shared" si="69"/>
        <v/>
      </c>
      <c r="AC232" s="214" t="str">
        <f t="shared" si="70"/>
        <v/>
      </c>
    </row>
    <row r="233" spans="2:29" x14ac:dyDescent="0.35">
      <c r="B233" s="208" t="str">
        <f>IF('Portfolio Register'!$A197="","",'Portfolio Register'!$A197)</f>
        <v/>
      </c>
      <c r="C233" s="208" t="str">
        <f>IF($B233="","",'Portfolio Register'!$B197)</f>
        <v/>
      </c>
      <c r="D233" s="208" t="str">
        <f>IF($B233="","",'Portfolio Register'!$I197)</f>
        <v/>
      </c>
      <c r="E233" s="208" t="str">
        <f>IF($B233="","",'Portfolio Register'!$DG197)</f>
        <v/>
      </c>
      <c r="F233" s="224" t="str">
        <f t="shared" ref="F233:F296" si="71">IF($B233="","",IF(OR($D$5="Whole register",LEFT($E233,3)="YES"),"YES","NO"))</f>
        <v/>
      </c>
      <c r="G233" s="225" t="str">
        <f>IF($B233="","",'Portfolio Register'!$J197)</f>
        <v/>
      </c>
      <c r="H233" s="225" t="str">
        <f>IF($B233="","",'Portfolio Register'!$CO197)</f>
        <v/>
      </c>
      <c r="I233" s="225" t="str">
        <f>IF($B233="","",'Portfolio Register'!$CW197)</f>
        <v/>
      </c>
      <c r="J233" s="214" t="str">
        <f t="shared" ref="J233:J296" si="72">IF($B233="","",IF($F233="YES",$G233*$F$25,0))</f>
        <v/>
      </c>
      <c r="K233" s="214" t="str">
        <f t="shared" ref="K233:K296" si="73">IF($B233="","",IF($F233="YES",$G233*$F$26,0))</f>
        <v/>
      </c>
      <c r="L233" s="214" t="str">
        <f t="shared" ref="L233:L296" si="74">IF($B233="","",IF($F233="YES",$G233*$F$27,0))</f>
        <v/>
      </c>
      <c r="M233" s="214" t="str">
        <f t="shared" ref="M233:M296" si="75">IF($B233="","",IF($F233="YES",$G233*$F$28,0))</f>
        <v/>
      </c>
      <c r="N233" s="214" t="str">
        <f t="shared" ref="N233:N296" si="76">IF($B233="","",IF($F233="YES",$G233*$F$29,0))</f>
        <v/>
      </c>
      <c r="O233" s="214" t="str">
        <f t="shared" ref="O233:O296" si="77">IF($B233="","",IF($F233="YES",$G233*$F$30,0))</f>
        <v/>
      </c>
      <c r="P233" s="214" t="str">
        <f t="shared" ref="P233:P296" si="78">IF($B233="","",IF($F233="YES",$G233*$F$31,0))</f>
        <v/>
      </c>
      <c r="Q233" s="214" t="str">
        <f t="shared" ref="Q233:Q296" si="79">IF($B233="","",IF($F233="YES",$G233*$F$32,0))</f>
        <v/>
      </c>
      <c r="R233" s="214" t="str">
        <f t="shared" ref="R233:R296" si="80">IF($B233="","",IF($F233="YES",$G233*$F$33,0))</f>
        <v/>
      </c>
      <c r="S233" s="214" t="str">
        <f t="shared" ref="S233:S296" si="81">IF($B233="","",IF($F233="YES",$G233*$F$34,0))</f>
        <v/>
      </c>
      <c r="T233" s="214" t="str">
        <f t="shared" ref="T233:T296" si="82">IF($B233="","",IF($F233="YES",$H233*$F$25,0))</f>
        <v/>
      </c>
      <c r="U233" s="214" t="str">
        <f t="shared" ref="U233:U296" si="83">IF($B233="","",IF($F233="YES",$H233*$F$26,0))</f>
        <v/>
      </c>
      <c r="V233" s="214" t="str">
        <f t="shared" ref="V233:V296" si="84">IF($B233="","",IF($F233="YES",$H233*$F$27,0))</f>
        <v/>
      </c>
      <c r="W233" s="214" t="str">
        <f t="shared" ref="W233:W296" si="85">IF($B233="","",IF($F233="YES",$H233*$F$28,0))</f>
        <v/>
      </c>
      <c r="X233" s="214" t="str">
        <f t="shared" ref="X233:X296" si="86">IF($B233="","",IF($F233="YES",$H233*$F$29,0))</f>
        <v/>
      </c>
      <c r="Y233" s="214" t="str">
        <f t="shared" ref="Y233:Y296" si="87">IF($B233="","",IF($F233="YES",$H233*$F$30,0))</f>
        <v/>
      </c>
      <c r="Z233" s="214" t="str">
        <f t="shared" ref="Z233:Z296" si="88">IF($B233="","",IF($F233="YES",$H233*$F$31,0))</f>
        <v/>
      </c>
      <c r="AA233" s="214" t="str">
        <f t="shared" ref="AA233:AA296" si="89">IF($B233="","",IF($F233="YES",$H233*$F$32,0))</f>
        <v/>
      </c>
      <c r="AB233" s="214" t="str">
        <f t="shared" ref="AB233:AB296" si="90">IF($B233="","",IF($F233="YES",$H233*$F$33,0))</f>
        <v/>
      </c>
      <c r="AC233" s="214" t="str">
        <f t="shared" ref="AC233:AC296" si="91">IF($B233="","",IF($F233="YES",$H233*$F$34,0))</f>
        <v/>
      </c>
    </row>
    <row r="234" spans="2:29" x14ac:dyDescent="0.35">
      <c r="B234" s="208" t="str">
        <f>IF('Portfolio Register'!$A198="","",'Portfolio Register'!$A198)</f>
        <v/>
      </c>
      <c r="C234" s="208" t="str">
        <f>IF($B234="","",'Portfolio Register'!$B198)</f>
        <v/>
      </c>
      <c r="D234" s="208" t="str">
        <f>IF($B234="","",'Portfolio Register'!$I198)</f>
        <v/>
      </c>
      <c r="E234" s="208" t="str">
        <f>IF($B234="","",'Portfolio Register'!$DG198)</f>
        <v/>
      </c>
      <c r="F234" s="224" t="str">
        <f t="shared" si="71"/>
        <v/>
      </c>
      <c r="G234" s="225" t="str">
        <f>IF($B234="","",'Portfolio Register'!$J198)</f>
        <v/>
      </c>
      <c r="H234" s="225" t="str">
        <f>IF($B234="","",'Portfolio Register'!$CO198)</f>
        <v/>
      </c>
      <c r="I234" s="225" t="str">
        <f>IF($B234="","",'Portfolio Register'!$CW198)</f>
        <v/>
      </c>
      <c r="J234" s="214" t="str">
        <f t="shared" si="72"/>
        <v/>
      </c>
      <c r="K234" s="214" t="str">
        <f t="shared" si="73"/>
        <v/>
      </c>
      <c r="L234" s="214" t="str">
        <f t="shared" si="74"/>
        <v/>
      </c>
      <c r="M234" s="214" t="str">
        <f t="shared" si="75"/>
        <v/>
      </c>
      <c r="N234" s="214" t="str">
        <f t="shared" si="76"/>
        <v/>
      </c>
      <c r="O234" s="214" t="str">
        <f t="shared" si="77"/>
        <v/>
      </c>
      <c r="P234" s="214" t="str">
        <f t="shared" si="78"/>
        <v/>
      </c>
      <c r="Q234" s="214" t="str">
        <f t="shared" si="79"/>
        <v/>
      </c>
      <c r="R234" s="214" t="str">
        <f t="shared" si="80"/>
        <v/>
      </c>
      <c r="S234" s="214" t="str">
        <f t="shared" si="81"/>
        <v/>
      </c>
      <c r="T234" s="214" t="str">
        <f t="shared" si="82"/>
        <v/>
      </c>
      <c r="U234" s="214" t="str">
        <f t="shared" si="83"/>
        <v/>
      </c>
      <c r="V234" s="214" t="str">
        <f t="shared" si="84"/>
        <v/>
      </c>
      <c r="W234" s="214" t="str">
        <f t="shared" si="85"/>
        <v/>
      </c>
      <c r="X234" s="214" t="str">
        <f t="shared" si="86"/>
        <v/>
      </c>
      <c r="Y234" s="214" t="str">
        <f t="shared" si="87"/>
        <v/>
      </c>
      <c r="Z234" s="214" t="str">
        <f t="shared" si="88"/>
        <v/>
      </c>
      <c r="AA234" s="214" t="str">
        <f t="shared" si="89"/>
        <v/>
      </c>
      <c r="AB234" s="214" t="str">
        <f t="shared" si="90"/>
        <v/>
      </c>
      <c r="AC234" s="214" t="str">
        <f t="shared" si="91"/>
        <v/>
      </c>
    </row>
    <row r="235" spans="2:29" x14ac:dyDescent="0.35">
      <c r="B235" s="208" t="str">
        <f>IF('Portfolio Register'!$A199="","",'Portfolio Register'!$A199)</f>
        <v/>
      </c>
      <c r="C235" s="208" t="str">
        <f>IF($B235="","",'Portfolio Register'!$B199)</f>
        <v/>
      </c>
      <c r="D235" s="208" t="str">
        <f>IF($B235="","",'Portfolio Register'!$I199)</f>
        <v/>
      </c>
      <c r="E235" s="208" t="str">
        <f>IF($B235="","",'Portfolio Register'!$DG199)</f>
        <v/>
      </c>
      <c r="F235" s="224" t="str">
        <f t="shared" si="71"/>
        <v/>
      </c>
      <c r="G235" s="225" t="str">
        <f>IF($B235="","",'Portfolio Register'!$J199)</f>
        <v/>
      </c>
      <c r="H235" s="225" t="str">
        <f>IF($B235="","",'Portfolio Register'!$CO199)</f>
        <v/>
      </c>
      <c r="I235" s="225" t="str">
        <f>IF($B235="","",'Portfolio Register'!$CW199)</f>
        <v/>
      </c>
      <c r="J235" s="214" t="str">
        <f t="shared" si="72"/>
        <v/>
      </c>
      <c r="K235" s="214" t="str">
        <f t="shared" si="73"/>
        <v/>
      </c>
      <c r="L235" s="214" t="str">
        <f t="shared" si="74"/>
        <v/>
      </c>
      <c r="M235" s="214" t="str">
        <f t="shared" si="75"/>
        <v/>
      </c>
      <c r="N235" s="214" t="str">
        <f t="shared" si="76"/>
        <v/>
      </c>
      <c r="O235" s="214" t="str">
        <f t="shared" si="77"/>
        <v/>
      </c>
      <c r="P235" s="214" t="str">
        <f t="shared" si="78"/>
        <v/>
      </c>
      <c r="Q235" s="214" t="str">
        <f t="shared" si="79"/>
        <v/>
      </c>
      <c r="R235" s="214" t="str">
        <f t="shared" si="80"/>
        <v/>
      </c>
      <c r="S235" s="214" t="str">
        <f t="shared" si="81"/>
        <v/>
      </c>
      <c r="T235" s="214" t="str">
        <f t="shared" si="82"/>
        <v/>
      </c>
      <c r="U235" s="214" t="str">
        <f t="shared" si="83"/>
        <v/>
      </c>
      <c r="V235" s="214" t="str">
        <f t="shared" si="84"/>
        <v/>
      </c>
      <c r="W235" s="214" t="str">
        <f t="shared" si="85"/>
        <v/>
      </c>
      <c r="X235" s="214" t="str">
        <f t="shared" si="86"/>
        <v/>
      </c>
      <c r="Y235" s="214" t="str">
        <f t="shared" si="87"/>
        <v/>
      </c>
      <c r="Z235" s="214" t="str">
        <f t="shared" si="88"/>
        <v/>
      </c>
      <c r="AA235" s="214" t="str">
        <f t="shared" si="89"/>
        <v/>
      </c>
      <c r="AB235" s="214" t="str">
        <f t="shared" si="90"/>
        <v/>
      </c>
      <c r="AC235" s="214" t="str">
        <f t="shared" si="91"/>
        <v/>
      </c>
    </row>
    <row r="236" spans="2:29" x14ac:dyDescent="0.35">
      <c r="B236" s="208" t="str">
        <f>IF('Portfolio Register'!$A200="","",'Portfolio Register'!$A200)</f>
        <v/>
      </c>
      <c r="C236" s="208" t="str">
        <f>IF($B236="","",'Portfolio Register'!$B200)</f>
        <v/>
      </c>
      <c r="D236" s="208" t="str">
        <f>IF($B236="","",'Portfolio Register'!$I200)</f>
        <v/>
      </c>
      <c r="E236" s="208" t="str">
        <f>IF($B236="","",'Portfolio Register'!$DG200)</f>
        <v/>
      </c>
      <c r="F236" s="224" t="str">
        <f t="shared" si="71"/>
        <v/>
      </c>
      <c r="G236" s="225" t="str">
        <f>IF($B236="","",'Portfolio Register'!$J200)</f>
        <v/>
      </c>
      <c r="H236" s="225" t="str">
        <f>IF($B236="","",'Portfolio Register'!$CO200)</f>
        <v/>
      </c>
      <c r="I236" s="225" t="str">
        <f>IF($B236="","",'Portfolio Register'!$CW200)</f>
        <v/>
      </c>
      <c r="J236" s="214" t="str">
        <f t="shared" si="72"/>
        <v/>
      </c>
      <c r="K236" s="214" t="str">
        <f t="shared" si="73"/>
        <v/>
      </c>
      <c r="L236" s="214" t="str">
        <f t="shared" si="74"/>
        <v/>
      </c>
      <c r="M236" s="214" t="str">
        <f t="shared" si="75"/>
        <v/>
      </c>
      <c r="N236" s="214" t="str">
        <f t="shared" si="76"/>
        <v/>
      </c>
      <c r="O236" s="214" t="str">
        <f t="shared" si="77"/>
        <v/>
      </c>
      <c r="P236" s="214" t="str">
        <f t="shared" si="78"/>
        <v/>
      </c>
      <c r="Q236" s="214" t="str">
        <f t="shared" si="79"/>
        <v/>
      </c>
      <c r="R236" s="214" t="str">
        <f t="shared" si="80"/>
        <v/>
      </c>
      <c r="S236" s="214" t="str">
        <f t="shared" si="81"/>
        <v/>
      </c>
      <c r="T236" s="214" t="str">
        <f t="shared" si="82"/>
        <v/>
      </c>
      <c r="U236" s="214" t="str">
        <f t="shared" si="83"/>
        <v/>
      </c>
      <c r="V236" s="214" t="str">
        <f t="shared" si="84"/>
        <v/>
      </c>
      <c r="W236" s="214" t="str">
        <f t="shared" si="85"/>
        <v/>
      </c>
      <c r="X236" s="214" t="str">
        <f t="shared" si="86"/>
        <v/>
      </c>
      <c r="Y236" s="214" t="str">
        <f t="shared" si="87"/>
        <v/>
      </c>
      <c r="Z236" s="214" t="str">
        <f t="shared" si="88"/>
        <v/>
      </c>
      <c r="AA236" s="214" t="str">
        <f t="shared" si="89"/>
        <v/>
      </c>
      <c r="AB236" s="214" t="str">
        <f t="shared" si="90"/>
        <v/>
      </c>
      <c r="AC236" s="214" t="str">
        <f t="shared" si="91"/>
        <v/>
      </c>
    </row>
    <row r="237" spans="2:29" x14ac:dyDescent="0.35">
      <c r="B237" s="208" t="str">
        <f>IF('Portfolio Register'!$A201="","",'Portfolio Register'!$A201)</f>
        <v/>
      </c>
      <c r="C237" s="208" t="str">
        <f>IF($B237="","",'Portfolio Register'!$B201)</f>
        <v/>
      </c>
      <c r="D237" s="208" t="str">
        <f>IF($B237="","",'Portfolio Register'!$I201)</f>
        <v/>
      </c>
      <c r="E237" s="208" t="str">
        <f>IF($B237="","",'Portfolio Register'!$DG201)</f>
        <v/>
      </c>
      <c r="F237" s="224" t="str">
        <f t="shared" si="71"/>
        <v/>
      </c>
      <c r="G237" s="225" t="str">
        <f>IF($B237="","",'Portfolio Register'!$J201)</f>
        <v/>
      </c>
      <c r="H237" s="225" t="str">
        <f>IF($B237="","",'Portfolio Register'!$CO201)</f>
        <v/>
      </c>
      <c r="I237" s="225" t="str">
        <f>IF($B237="","",'Portfolio Register'!$CW201)</f>
        <v/>
      </c>
      <c r="J237" s="214" t="str">
        <f t="shared" si="72"/>
        <v/>
      </c>
      <c r="K237" s="214" t="str">
        <f t="shared" si="73"/>
        <v/>
      </c>
      <c r="L237" s="214" t="str">
        <f t="shared" si="74"/>
        <v/>
      </c>
      <c r="M237" s="214" t="str">
        <f t="shared" si="75"/>
        <v/>
      </c>
      <c r="N237" s="214" t="str">
        <f t="shared" si="76"/>
        <v/>
      </c>
      <c r="O237" s="214" t="str">
        <f t="shared" si="77"/>
        <v/>
      </c>
      <c r="P237" s="214" t="str">
        <f t="shared" si="78"/>
        <v/>
      </c>
      <c r="Q237" s="214" t="str">
        <f t="shared" si="79"/>
        <v/>
      </c>
      <c r="R237" s="214" t="str">
        <f t="shared" si="80"/>
        <v/>
      </c>
      <c r="S237" s="214" t="str">
        <f t="shared" si="81"/>
        <v/>
      </c>
      <c r="T237" s="214" t="str">
        <f t="shared" si="82"/>
        <v/>
      </c>
      <c r="U237" s="214" t="str">
        <f t="shared" si="83"/>
        <v/>
      </c>
      <c r="V237" s="214" t="str">
        <f t="shared" si="84"/>
        <v/>
      </c>
      <c r="W237" s="214" t="str">
        <f t="shared" si="85"/>
        <v/>
      </c>
      <c r="X237" s="214" t="str">
        <f t="shared" si="86"/>
        <v/>
      </c>
      <c r="Y237" s="214" t="str">
        <f t="shared" si="87"/>
        <v/>
      </c>
      <c r="Z237" s="214" t="str">
        <f t="shared" si="88"/>
        <v/>
      </c>
      <c r="AA237" s="214" t="str">
        <f t="shared" si="89"/>
        <v/>
      </c>
      <c r="AB237" s="214" t="str">
        <f t="shared" si="90"/>
        <v/>
      </c>
      <c r="AC237" s="214" t="str">
        <f t="shared" si="91"/>
        <v/>
      </c>
    </row>
    <row r="238" spans="2:29" x14ac:dyDescent="0.35">
      <c r="B238" s="208" t="str">
        <f>IF('Portfolio Register'!$A202="","",'Portfolio Register'!$A202)</f>
        <v/>
      </c>
      <c r="C238" s="208" t="str">
        <f>IF($B238="","",'Portfolio Register'!$B202)</f>
        <v/>
      </c>
      <c r="D238" s="208" t="str">
        <f>IF($B238="","",'Portfolio Register'!$I202)</f>
        <v/>
      </c>
      <c r="E238" s="208" t="str">
        <f>IF($B238="","",'Portfolio Register'!$DG202)</f>
        <v/>
      </c>
      <c r="F238" s="224" t="str">
        <f t="shared" si="71"/>
        <v/>
      </c>
      <c r="G238" s="225" t="str">
        <f>IF($B238="","",'Portfolio Register'!$J202)</f>
        <v/>
      </c>
      <c r="H238" s="225" t="str">
        <f>IF($B238="","",'Portfolio Register'!$CO202)</f>
        <v/>
      </c>
      <c r="I238" s="225" t="str">
        <f>IF($B238="","",'Portfolio Register'!$CW202)</f>
        <v/>
      </c>
      <c r="J238" s="214" t="str">
        <f t="shared" si="72"/>
        <v/>
      </c>
      <c r="K238" s="214" t="str">
        <f t="shared" si="73"/>
        <v/>
      </c>
      <c r="L238" s="214" t="str">
        <f t="shared" si="74"/>
        <v/>
      </c>
      <c r="M238" s="214" t="str">
        <f t="shared" si="75"/>
        <v/>
      </c>
      <c r="N238" s="214" t="str">
        <f t="shared" si="76"/>
        <v/>
      </c>
      <c r="O238" s="214" t="str">
        <f t="shared" si="77"/>
        <v/>
      </c>
      <c r="P238" s="214" t="str">
        <f t="shared" si="78"/>
        <v/>
      </c>
      <c r="Q238" s="214" t="str">
        <f t="shared" si="79"/>
        <v/>
      </c>
      <c r="R238" s="214" t="str">
        <f t="shared" si="80"/>
        <v/>
      </c>
      <c r="S238" s="214" t="str">
        <f t="shared" si="81"/>
        <v/>
      </c>
      <c r="T238" s="214" t="str">
        <f t="shared" si="82"/>
        <v/>
      </c>
      <c r="U238" s="214" t="str">
        <f t="shared" si="83"/>
        <v/>
      </c>
      <c r="V238" s="214" t="str">
        <f t="shared" si="84"/>
        <v/>
      </c>
      <c r="W238" s="214" t="str">
        <f t="shared" si="85"/>
        <v/>
      </c>
      <c r="X238" s="214" t="str">
        <f t="shared" si="86"/>
        <v/>
      </c>
      <c r="Y238" s="214" t="str">
        <f t="shared" si="87"/>
        <v/>
      </c>
      <c r="Z238" s="214" t="str">
        <f t="shared" si="88"/>
        <v/>
      </c>
      <c r="AA238" s="214" t="str">
        <f t="shared" si="89"/>
        <v/>
      </c>
      <c r="AB238" s="214" t="str">
        <f t="shared" si="90"/>
        <v/>
      </c>
      <c r="AC238" s="214" t="str">
        <f t="shared" si="91"/>
        <v/>
      </c>
    </row>
    <row r="239" spans="2:29" x14ac:dyDescent="0.35">
      <c r="B239" s="208" t="str">
        <f>IF('Portfolio Register'!$A203="","",'Portfolio Register'!$A203)</f>
        <v/>
      </c>
      <c r="C239" s="208" t="str">
        <f>IF($B239="","",'Portfolio Register'!$B203)</f>
        <v/>
      </c>
      <c r="D239" s="208" t="str">
        <f>IF($B239="","",'Portfolio Register'!$I203)</f>
        <v/>
      </c>
      <c r="E239" s="208" t="str">
        <f>IF($B239="","",'Portfolio Register'!$DG203)</f>
        <v/>
      </c>
      <c r="F239" s="224" t="str">
        <f t="shared" si="71"/>
        <v/>
      </c>
      <c r="G239" s="225" t="str">
        <f>IF($B239="","",'Portfolio Register'!$J203)</f>
        <v/>
      </c>
      <c r="H239" s="225" t="str">
        <f>IF($B239="","",'Portfolio Register'!$CO203)</f>
        <v/>
      </c>
      <c r="I239" s="225" t="str">
        <f>IF($B239="","",'Portfolio Register'!$CW203)</f>
        <v/>
      </c>
      <c r="J239" s="214" t="str">
        <f t="shared" si="72"/>
        <v/>
      </c>
      <c r="K239" s="214" t="str">
        <f t="shared" si="73"/>
        <v/>
      </c>
      <c r="L239" s="214" t="str">
        <f t="shared" si="74"/>
        <v/>
      </c>
      <c r="M239" s="214" t="str">
        <f t="shared" si="75"/>
        <v/>
      </c>
      <c r="N239" s="214" t="str">
        <f t="shared" si="76"/>
        <v/>
      </c>
      <c r="O239" s="214" t="str">
        <f t="shared" si="77"/>
        <v/>
      </c>
      <c r="P239" s="214" t="str">
        <f t="shared" si="78"/>
        <v/>
      </c>
      <c r="Q239" s="214" t="str">
        <f t="shared" si="79"/>
        <v/>
      </c>
      <c r="R239" s="214" t="str">
        <f t="shared" si="80"/>
        <v/>
      </c>
      <c r="S239" s="214" t="str">
        <f t="shared" si="81"/>
        <v/>
      </c>
      <c r="T239" s="214" t="str">
        <f t="shared" si="82"/>
        <v/>
      </c>
      <c r="U239" s="214" t="str">
        <f t="shared" si="83"/>
        <v/>
      </c>
      <c r="V239" s="214" t="str">
        <f t="shared" si="84"/>
        <v/>
      </c>
      <c r="W239" s="214" t="str">
        <f t="shared" si="85"/>
        <v/>
      </c>
      <c r="X239" s="214" t="str">
        <f t="shared" si="86"/>
        <v/>
      </c>
      <c r="Y239" s="214" t="str">
        <f t="shared" si="87"/>
        <v/>
      </c>
      <c r="Z239" s="214" t="str">
        <f t="shared" si="88"/>
        <v/>
      </c>
      <c r="AA239" s="214" t="str">
        <f t="shared" si="89"/>
        <v/>
      </c>
      <c r="AB239" s="214" t="str">
        <f t="shared" si="90"/>
        <v/>
      </c>
      <c r="AC239" s="214" t="str">
        <f t="shared" si="91"/>
        <v/>
      </c>
    </row>
    <row r="240" spans="2:29" x14ac:dyDescent="0.35">
      <c r="B240" s="208" t="str">
        <f>IF('Portfolio Register'!$A204="","",'Portfolio Register'!$A204)</f>
        <v/>
      </c>
      <c r="C240" s="208" t="str">
        <f>IF($B240="","",'Portfolio Register'!$B204)</f>
        <v/>
      </c>
      <c r="D240" s="208" t="str">
        <f>IF($B240="","",'Portfolio Register'!$I204)</f>
        <v/>
      </c>
      <c r="E240" s="208" t="str">
        <f>IF($B240="","",'Portfolio Register'!$DG204)</f>
        <v/>
      </c>
      <c r="F240" s="224" t="str">
        <f t="shared" si="71"/>
        <v/>
      </c>
      <c r="G240" s="225" t="str">
        <f>IF($B240="","",'Portfolio Register'!$J204)</f>
        <v/>
      </c>
      <c r="H240" s="225" t="str">
        <f>IF($B240="","",'Portfolio Register'!$CO204)</f>
        <v/>
      </c>
      <c r="I240" s="225" t="str">
        <f>IF($B240="","",'Portfolio Register'!$CW204)</f>
        <v/>
      </c>
      <c r="J240" s="214" t="str">
        <f t="shared" si="72"/>
        <v/>
      </c>
      <c r="K240" s="214" t="str">
        <f t="shared" si="73"/>
        <v/>
      </c>
      <c r="L240" s="214" t="str">
        <f t="shared" si="74"/>
        <v/>
      </c>
      <c r="M240" s="214" t="str">
        <f t="shared" si="75"/>
        <v/>
      </c>
      <c r="N240" s="214" t="str">
        <f t="shared" si="76"/>
        <v/>
      </c>
      <c r="O240" s="214" t="str">
        <f t="shared" si="77"/>
        <v/>
      </c>
      <c r="P240" s="214" t="str">
        <f t="shared" si="78"/>
        <v/>
      </c>
      <c r="Q240" s="214" t="str">
        <f t="shared" si="79"/>
        <v/>
      </c>
      <c r="R240" s="214" t="str">
        <f t="shared" si="80"/>
        <v/>
      </c>
      <c r="S240" s="214" t="str">
        <f t="shared" si="81"/>
        <v/>
      </c>
      <c r="T240" s="214" t="str">
        <f t="shared" si="82"/>
        <v/>
      </c>
      <c r="U240" s="214" t="str">
        <f t="shared" si="83"/>
        <v/>
      </c>
      <c r="V240" s="214" t="str">
        <f t="shared" si="84"/>
        <v/>
      </c>
      <c r="W240" s="214" t="str">
        <f t="shared" si="85"/>
        <v/>
      </c>
      <c r="X240" s="214" t="str">
        <f t="shared" si="86"/>
        <v/>
      </c>
      <c r="Y240" s="214" t="str">
        <f t="shared" si="87"/>
        <v/>
      </c>
      <c r="Z240" s="214" t="str">
        <f t="shared" si="88"/>
        <v/>
      </c>
      <c r="AA240" s="214" t="str">
        <f t="shared" si="89"/>
        <v/>
      </c>
      <c r="AB240" s="214" t="str">
        <f t="shared" si="90"/>
        <v/>
      </c>
      <c r="AC240" s="214" t="str">
        <f t="shared" si="91"/>
        <v/>
      </c>
    </row>
    <row r="241" spans="2:29" x14ac:dyDescent="0.35">
      <c r="B241" s="208" t="str">
        <f>IF('Portfolio Register'!$A205="","",'Portfolio Register'!$A205)</f>
        <v/>
      </c>
      <c r="C241" s="208" t="str">
        <f>IF($B241="","",'Portfolio Register'!$B205)</f>
        <v/>
      </c>
      <c r="D241" s="208" t="str">
        <f>IF($B241="","",'Portfolio Register'!$I205)</f>
        <v/>
      </c>
      <c r="E241" s="208" t="str">
        <f>IF($B241="","",'Portfolio Register'!$DG205)</f>
        <v/>
      </c>
      <c r="F241" s="224" t="str">
        <f t="shared" si="71"/>
        <v/>
      </c>
      <c r="G241" s="225" t="str">
        <f>IF($B241="","",'Portfolio Register'!$J205)</f>
        <v/>
      </c>
      <c r="H241" s="225" t="str">
        <f>IF($B241="","",'Portfolio Register'!$CO205)</f>
        <v/>
      </c>
      <c r="I241" s="225" t="str">
        <f>IF($B241="","",'Portfolio Register'!$CW205)</f>
        <v/>
      </c>
      <c r="J241" s="214" t="str">
        <f t="shared" si="72"/>
        <v/>
      </c>
      <c r="K241" s="214" t="str">
        <f t="shared" si="73"/>
        <v/>
      </c>
      <c r="L241" s="214" t="str">
        <f t="shared" si="74"/>
        <v/>
      </c>
      <c r="M241" s="214" t="str">
        <f t="shared" si="75"/>
        <v/>
      </c>
      <c r="N241" s="214" t="str">
        <f t="shared" si="76"/>
        <v/>
      </c>
      <c r="O241" s="214" t="str">
        <f t="shared" si="77"/>
        <v/>
      </c>
      <c r="P241" s="214" t="str">
        <f t="shared" si="78"/>
        <v/>
      </c>
      <c r="Q241" s="214" t="str">
        <f t="shared" si="79"/>
        <v/>
      </c>
      <c r="R241" s="214" t="str">
        <f t="shared" si="80"/>
        <v/>
      </c>
      <c r="S241" s="214" t="str">
        <f t="shared" si="81"/>
        <v/>
      </c>
      <c r="T241" s="214" t="str">
        <f t="shared" si="82"/>
        <v/>
      </c>
      <c r="U241" s="214" t="str">
        <f t="shared" si="83"/>
        <v/>
      </c>
      <c r="V241" s="214" t="str">
        <f t="shared" si="84"/>
        <v/>
      </c>
      <c r="W241" s="214" t="str">
        <f t="shared" si="85"/>
        <v/>
      </c>
      <c r="X241" s="214" t="str">
        <f t="shared" si="86"/>
        <v/>
      </c>
      <c r="Y241" s="214" t="str">
        <f t="shared" si="87"/>
        <v/>
      </c>
      <c r="Z241" s="214" t="str">
        <f t="shared" si="88"/>
        <v/>
      </c>
      <c r="AA241" s="214" t="str">
        <f t="shared" si="89"/>
        <v/>
      </c>
      <c r="AB241" s="214" t="str">
        <f t="shared" si="90"/>
        <v/>
      </c>
      <c r="AC241" s="214" t="str">
        <f t="shared" si="91"/>
        <v/>
      </c>
    </row>
    <row r="242" spans="2:29" x14ac:dyDescent="0.35">
      <c r="B242" s="208" t="str">
        <f>IF('Portfolio Register'!$A206="","",'Portfolio Register'!$A206)</f>
        <v/>
      </c>
      <c r="C242" s="208" t="str">
        <f>IF($B242="","",'Portfolio Register'!$B206)</f>
        <v/>
      </c>
      <c r="D242" s="208" t="str">
        <f>IF($B242="","",'Portfolio Register'!$I206)</f>
        <v/>
      </c>
      <c r="E242" s="208" t="str">
        <f>IF($B242="","",'Portfolio Register'!$DG206)</f>
        <v/>
      </c>
      <c r="F242" s="224" t="str">
        <f t="shared" si="71"/>
        <v/>
      </c>
      <c r="G242" s="225" t="str">
        <f>IF($B242="","",'Portfolio Register'!$J206)</f>
        <v/>
      </c>
      <c r="H242" s="225" t="str">
        <f>IF($B242="","",'Portfolio Register'!$CO206)</f>
        <v/>
      </c>
      <c r="I242" s="225" t="str">
        <f>IF($B242="","",'Portfolio Register'!$CW206)</f>
        <v/>
      </c>
      <c r="J242" s="214" t="str">
        <f t="shared" si="72"/>
        <v/>
      </c>
      <c r="K242" s="214" t="str">
        <f t="shared" si="73"/>
        <v/>
      </c>
      <c r="L242" s="214" t="str">
        <f t="shared" si="74"/>
        <v/>
      </c>
      <c r="M242" s="214" t="str">
        <f t="shared" si="75"/>
        <v/>
      </c>
      <c r="N242" s="214" t="str">
        <f t="shared" si="76"/>
        <v/>
      </c>
      <c r="O242" s="214" t="str">
        <f t="shared" si="77"/>
        <v/>
      </c>
      <c r="P242" s="214" t="str">
        <f t="shared" si="78"/>
        <v/>
      </c>
      <c r="Q242" s="214" t="str">
        <f t="shared" si="79"/>
        <v/>
      </c>
      <c r="R242" s="214" t="str">
        <f t="shared" si="80"/>
        <v/>
      </c>
      <c r="S242" s="214" t="str">
        <f t="shared" si="81"/>
        <v/>
      </c>
      <c r="T242" s="214" t="str">
        <f t="shared" si="82"/>
        <v/>
      </c>
      <c r="U242" s="214" t="str">
        <f t="shared" si="83"/>
        <v/>
      </c>
      <c r="V242" s="214" t="str">
        <f t="shared" si="84"/>
        <v/>
      </c>
      <c r="W242" s="214" t="str">
        <f t="shared" si="85"/>
        <v/>
      </c>
      <c r="X242" s="214" t="str">
        <f t="shared" si="86"/>
        <v/>
      </c>
      <c r="Y242" s="214" t="str">
        <f t="shared" si="87"/>
        <v/>
      </c>
      <c r="Z242" s="214" t="str">
        <f t="shared" si="88"/>
        <v/>
      </c>
      <c r="AA242" s="214" t="str">
        <f t="shared" si="89"/>
        <v/>
      </c>
      <c r="AB242" s="214" t="str">
        <f t="shared" si="90"/>
        <v/>
      </c>
      <c r="AC242" s="214" t="str">
        <f t="shared" si="91"/>
        <v/>
      </c>
    </row>
    <row r="243" spans="2:29" x14ac:dyDescent="0.35">
      <c r="B243" s="208" t="str">
        <f>IF('Portfolio Register'!$A207="","",'Portfolio Register'!$A207)</f>
        <v/>
      </c>
      <c r="C243" s="208" t="str">
        <f>IF($B243="","",'Portfolio Register'!$B207)</f>
        <v/>
      </c>
      <c r="D243" s="208" t="str">
        <f>IF($B243="","",'Portfolio Register'!$I207)</f>
        <v/>
      </c>
      <c r="E243" s="208" t="str">
        <f>IF($B243="","",'Portfolio Register'!$DG207)</f>
        <v/>
      </c>
      <c r="F243" s="224" t="str">
        <f t="shared" si="71"/>
        <v/>
      </c>
      <c r="G243" s="225" t="str">
        <f>IF($B243="","",'Portfolio Register'!$J207)</f>
        <v/>
      </c>
      <c r="H243" s="225" t="str">
        <f>IF($B243="","",'Portfolio Register'!$CO207)</f>
        <v/>
      </c>
      <c r="I243" s="225" t="str">
        <f>IF($B243="","",'Portfolio Register'!$CW207)</f>
        <v/>
      </c>
      <c r="J243" s="214" t="str">
        <f t="shared" si="72"/>
        <v/>
      </c>
      <c r="K243" s="214" t="str">
        <f t="shared" si="73"/>
        <v/>
      </c>
      <c r="L243" s="214" t="str">
        <f t="shared" si="74"/>
        <v/>
      </c>
      <c r="M243" s="214" t="str">
        <f t="shared" si="75"/>
        <v/>
      </c>
      <c r="N243" s="214" t="str">
        <f t="shared" si="76"/>
        <v/>
      </c>
      <c r="O243" s="214" t="str">
        <f t="shared" si="77"/>
        <v/>
      </c>
      <c r="P243" s="214" t="str">
        <f t="shared" si="78"/>
        <v/>
      </c>
      <c r="Q243" s="214" t="str">
        <f t="shared" si="79"/>
        <v/>
      </c>
      <c r="R243" s="214" t="str">
        <f t="shared" si="80"/>
        <v/>
      </c>
      <c r="S243" s="214" t="str">
        <f t="shared" si="81"/>
        <v/>
      </c>
      <c r="T243" s="214" t="str">
        <f t="shared" si="82"/>
        <v/>
      </c>
      <c r="U243" s="214" t="str">
        <f t="shared" si="83"/>
        <v/>
      </c>
      <c r="V243" s="214" t="str">
        <f t="shared" si="84"/>
        <v/>
      </c>
      <c r="W243" s="214" t="str">
        <f t="shared" si="85"/>
        <v/>
      </c>
      <c r="X243" s="214" t="str">
        <f t="shared" si="86"/>
        <v/>
      </c>
      <c r="Y243" s="214" t="str">
        <f t="shared" si="87"/>
        <v/>
      </c>
      <c r="Z243" s="214" t="str">
        <f t="shared" si="88"/>
        <v/>
      </c>
      <c r="AA243" s="214" t="str">
        <f t="shared" si="89"/>
        <v/>
      </c>
      <c r="AB243" s="214" t="str">
        <f t="shared" si="90"/>
        <v/>
      </c>
      <c r="AC243" s="214" t="str">
        <f t="shared" si="91"/>
        <v/>
      </c>
    </row>
    <row r="244" spans="2:29" x14ac:dyDescent="0.35">
      <c r="B244" s="208" t="str">
        <f>IF('Portfolio Register'!$A208="","",'Portfolio Register'!$A208)</f>
        <v/>
      </c>
      <c r="C244" s="208" t="str">
        <f>IF($B244="","",'Portfolio Register'!$B208)</f>
        <v/>
      </c>
      <c r="D244" s="208" t="str">
        <f>IF($B244="","",'Portfolio Register'!$I208)</f>
        <v/>
      </c>
      <c r="E244" s="208" t="str">
        <f>IF($B244="","",'Portfolio Register'!$DG208)</f>
        <v/>
      </c>
      <c r="F244" s="224" t="str">
        <f t="shared" si="71"/>
        <v/>
      </c>
      <c r="G244" s="225" t="str">
        <f>IF($B244="","",'Portfolio Register'!$J208)</f>
        <v/>
      </c>
      <c r="H244" s="225" t="str">
        <f>IF($B244="","",'Portfolio Register'!$CO208)</f>
        <v/>
      </c>
      <c r="I244" s="225" t="str">
        <f>IF($B244="","",'Portfolio Register'!$CW208)</f>
        <v/>
      </c>
      <c r="J244" s="214" t="str">
        <f t="shared" si="72"/>
        <v/>
      </c>
      <c r="K244" s="214" t="str">
        <f t="shared" si="73"/>
        <v/>
      </c>
      <c r="L244" s="214" t="str">
        <f t="shared" si="74"/>
        <v/>
      </c>
      <c r="M244" s="214" t="str">
        <f t="shared" si="75"/>
        <v/>
      </c>
      <c r="N244" s="214" t="str">
        <f t="shared" si="76"/>
        <v/>
      </c>
      <c r="O244" s="214" t="str">
        <f t="shared" si="77"/>
        <v/>
      </c>
      <c r="P244" s="214" t="str">
        <f t="shared" si="78"/>
        <v/>
      </c>
      <c r="Q244" s="214" t="str">
        <f t="shared" si="79"/>
        <v/>
      </c>
      <c r="R244" s="214" t="str">
        <f t="shared" si="80"/>
        <v/>
      </c>
      <c r="S244" s="214" t="str">
        <f t="shared" si="81"/>
        <v/>
      </c>
      <c r="T244" s="214" t="str">
        <f t="shared" si="82"/>
        <v/>
      </c>
      <c r="U244" s="214" t="str">
        <f t="shared" si="83"/>
        <v/>
      </c>
      <c r="V244" s="214" t="str">
        <f t="shared" si="84"/>
        <v/>
      </c>
      <c r="W244" s="214" t="str">
        <f t="shared" si="85"/>
        <v/>
      </c>
      <c r="X244" s="214" t="str">
        <f t="shared" si="86"/>
        <v/>
      </c>
      <c r="Y244" s="214" t="str">
        <f t="shared" si="87"/>
        <v/>
      </c>
      <c r="Z244" s="214" t="str">
        <f t="shared" si="88"/>
        <v/>
      </c>
      <c r="AA244" s="214" t="str">
        <f t="shared" si="89"/>
        <v/>
      </c>
      <c r="AB244" s="214" t="str">
        <f t="shared" si="90"/>
        <v/>
      </c>
      <c r="AC244" s="214" t="str">
        <f t="shared" si="91"/>
        <v/>
      </c>
    </row>
    <row r="245" spans="2:29" x14ac:dyDescent="0.35">
      <c r="B245" s="208" t="str">
        <f>IF('Portfolio Register'!$A209="","",'Portfolio Register'!$A209)</f>
        <v/>
      </c>
      <c r="C245" s="208" t="str">
        <f>IF($B245="","",'Portfolio Register'!$B209)</f>
        <v/>
      </c>
      <c r="D245" s="208" t="str">
        <f>IF($B245="","",'Portfolio Register'!$I209)</f>
        <v/>
      </c>
      <c r="E245" s="208" t="str">
        <f>IF($B245="","",'Portfolio Register'!$DG209)</f>
        <v/>
      </c>
      <c r="F245" s="224" t="str">
        <f t="shared" si="71"/>
        <v/>
      </c>
      <c r="G245" s="225" t="str">
        <f>IF($B245="","",'Portfolio Register'!$J209)</f>
        <v/>
      </c>
      <c r="H245" s="225" t="str">
        <f>IF($B245="","",'Portfolio Register'!$CO209)</f>
        <v/>
      </c>
      <c r="I245" s="225" t="str">
        <f>IF($B245="","",'Portfolio Register'!$CW209)</f>
        <v/>
      </c>
      <c r="J245" s="214" t="str">
        <f t="shared" si="72"/>
        <v/>
      </c>
      <c r="K245" s="214" t="str">
        <f t="shared" si="73"/>
        <v/>
      </c>
      <c r="L245" s="214" t="str">
        <f t="shared" si="74"/>
        <v/>
      </c>
      <c r="M245" s="214" t="str">
        <f t="shared" si="75"/>
        <v/>
      </c>
      <c r="N245" s="214" t="str">
        <f t="shared" si="76"/>
        <v/>
      </c>
      <c r="O245" s="214" t="str">
        <f t="shared" si="77"/>
        <v/>
      </c>
      <c r="P245" s="214" t="str">
        <f t="shared" si="78"/>
        <v/>
      </c>
      <c r="Q245" s="214" t="str">
        <f t="shared" si="79"/>
        <v/>
      </c>
      <c r="R245" s="214" t="str">
        <f t="shared" si="80"/>
        <v/>
      </c>
      <c r="S245" s="214" t="str">
        <f t="shared" si="81"/>
        <v/>
      </c>
      <c r="T245" s="214" t="str">
        <f t="shared" si="82"/>
        <v/>
      </c>
      <c r="U245" s="214" t="str">
        <f t="shared" si="83"/>
        <v/>
      </c>
      <c r="V245" s="214" t="str">
        <f t="shared" si="84"/>
        <v/>
      </c>
      <c r="W245" s="214" t="str">
        <f t="shared" si="85"/>
        <v/>
      </c>
      <c r="X245" s="214" t="str">
        <f t="shared" si="86"/>
        <v/>
      </c>
      <c r="Y245" s="214" t="str">
        <f t="shared" si="87"/>
        <v/>
      </c>
      <c r="Z245" s="214" t="str">
        <f t="shared" si="88"/>
        <v/>
      </c>
      <c r="AA245" s="214" t="str">
        <f t="shared" si="89"/>
        <v/>
      </c>
      <c r="AB245" s="214" t="str">
        <f t="shared" si="90"/>
        <v/>
      </c>
      <c r="AC245" s="214" t="str">
        <f t="shared" si="91"/>
        <v/>
      </c>
    </row>
    <row r="246" spans="2:29" x14ac:dyDescent="0.35">
      <c r="B246" s="208" t="str">
        <f>IF('Portfolio Register'!$A210="","",'Portfolio Register'!$A210)</f>
        <v/>
      </c>
      <c r="C246" s="208" t="str">
        <f>IF($B246="","",'Portfolio Register'!$B210)</f>
        <v/>
      </c>
      <c r="D246" s="208" t="str">
        <f>IF($B246="","",'Portfolio Register'!$I210)</f>
        <v/>
      </c>
      <c r="E246" s="208" t="str">
        <f>IF($B246="","",'Portfolio Register'!$DG210)</f>
        <v/>
      </c>
      <c r="F246" s="224" t="str">
        <f t="shared" si="71"/>
        <v/>
      </c>
      <c r="G246" s="225" t="str">
        <f>IF($B246="","",'Portfolio Register'!$J210)</f>
        <v/>
      </c>
      <c r="H246" s="225" t="str">
        <f>IF($B246="","",'Portfolio Register'!$CO210)</f>
        <v/>
      </c>
      <c r="I246" s="225" t="str">
        <f>IF($B246="","",'Portfolio Register'!$CW210)</f>
        <v/>
      </c>
      <c r="J246" s="214" t="str">
        <f t="shared" si="72"/>
        <v/>
      </c>
      <c r="K246" s="214" t="str">
        <f t="shared" si="73"/>
        <v/>
      </c>
      <c r="L246" s="214" t="str">
        <f t="shared" si="74"/>
        <v/>
      </c>
      <c r="M246" s="214" t="str">
        <f t="shared" si="75"/>
        <v/>
      </c>
      <c r="N246" s="214" t="str">
        <f t="shared" si="76"/>
        <v/>
      </c>
      <c r="O246" s="214" t="str">
        <f t="shared" si="77"/>
        <v/>
      </c>
      <c r="P246" s="214" t="str">
        <f t="shared" si="78"/>
        <v/>
      </c>
      <c r="Q246" s="214" t="str">
        <f t="shared" si="79"/>
        <v/>
      </c>
      <c r="R246" s="214" t="str">
        <f t="shared" si="80"/>
        <v/>
      </c>
      <c r="S246" s="214" t="str">
        <f t="shared" si="81"/>
        <v/>
      </c>
      <c r="T246" s="214" t="str">
        <f t="shared" si="82"/>
        <v/>
      </c>
      <c r="U246" s="214" t="str">
        <f t="shared" si="83"/>
        <v/>
      </c>
      <c r="V246" s="214" t="str">
        <f t="shared" si="84"/>
        <v/>
      </c>
      <c r="W246" s="214" t="str">
        <f t="shared" si="85"/>
        <v/>
      </c>
      <c r="X246" s="214" t="str">
        <f t="shared" si="86"/>
        <v/>
      </c>
      <c r="Y246" s="214" t="str">
        <f t="shared" si="87"/>
        <v/>
      </c>
      <c r="Z246" s="214" t="str">
        <f t="shared" si="88"/>
        <v/>
      </c>
      <c r="AA246" s="214" t="str">
        <f t="shared" si="89"/>
        <v/>
      </c>
      <c r="AB246" s="214" t="str">
        <f t="shared" si="90"/>
        <v/>
      </c>
      <c r="AC246" s="214" t="str">
        <f t="shared" si="91"/>
        <v/>
      </c>
    </row>
    <row r="247" spans="2:29" x14ac:dyDescent="0.35">
      <c r="B247" s="208" t="str">
        <f>IF('Portfolio Register'!$A211="","",'Portfolio Register'!$A211)</f>
        <v/>
      </c>
      <c r="C247" s="208" t="str">
        <f>IF($B247="","",'Portfolio Register'!$B211)</f>
        <v/>
      </c>
      <c r="D247" s="208" t="str">
        <f>IF($B247="","",'Portfolio Register'!$I211)</f>
        <v/>
      </c>
      <c r="E247" s="208" t="str">
        <f>IF($B247="","",'Portfolio Register'!$DG211)</f>
        <v/>
      </c>
      <c r="F247" s="224" t="str">
        <f t="shared" si="71"/>
        <v/>
      </c>
      <c r="G247" s="225" t="str">
        <f>IF($B247="","",'Portfolio Register'!$J211)</f>
        <v/>
      </c>
      <c r="H247" s="225" t="str">
        <f>IF($B247="","",'Portfolio Register'!$CO211)</f>
        <v/>
      </c>
      <c r="I247" s="225" t="str">
        <f>IF($B247="","",'Portfolio Register'!$CW211)</f>
        <v/>
      </c>
      <c r="J247" s="214" t="str">
        <f t="shared" si="72"/>
        <v/>
      </c>
      <c r="K247" s="214" t="str">
        <f t="shared" si="73"/>
        <v/>
      </c>
      <c r="L247" s="214" t="str">
        <f t="shared" si="74"/>
        <v/>
      </c>
      <c r="M247" s="214" t="str">
        <f t="shared" si="75"/>
        <v/>
      </c>
      <c r="N247" s="214" t="str">
        <f t="shared" si="76"/>
        <v/>
      </c>
      <c r="O247" s="214" t="str">
        <f t="shared" si="77"/>
        <v/>
      </c>
      <c r="P247" s="214" t="str">
        <f t="shared" si="78"/>
        <v/>
      </c>
      <c r="Q247" s="214" t="str">
        <f t="shared" si="79"/>
        <v/>
      </c>
      <c r="R247" s="214" t="str">
        <f t="shared" si="80"/>
        <v/>
      </c>
      <c r="S247" s="214" t="str">
        <f t="shared" si="81"/>
        <v/>
      </c>
      <c r="T247" s="214" t="str">
        <f t="shared" si="82"/>
        <v/>
      </c>
      <c r="U247" s="214" t="str">
        <f t="shared" si="83"/>
        <v/>
      </c>
      <c r="V247" s="214" t="str">
        <f t="shared" si="84"/>
        <v/>
      </c>
      <c r="W247" s="214" t="str">
        <f t="shared" si="85"/>
        <v/>
      </c>
      <c r="X247" s="214" t="str">
        <f t="shared" si="86"/>
        <v/>
      </c>
      <c r="Y247" s="214" t="str">
        <f t="shared" si="87"/>
        <v/>
      </c>
      <c r="Z247" s="214" t="str">
        <f t="shared" si="88"/>
        <v/>
      </c>
      <c r="AA247" s="214" t="str">
        <f t="shared" si="89"/>
        <v/>
      </c>
      <c r="AB247" s="214" t="str">
        <f t="shared" si="90"/>
        <v/>
      </c>
      <c r="AC247" s="214" t="str">
        <f t="shared" si="91"/>
        <v/>
      </c>
    </row>
    <row r="248" spans="2:29" x14ac:dyDescent="0.35">
      <c r="B248" s="208" t="str">
        <f>IF('Portfolio Register'!$A212="","",'Portfolio Register'!$A212)</f>
        <v/>
      </c>
      <c r="C248" s="208" t="str">
        <f>IF($B248="","",'Portfolio Register'!$B212)</f>
        <v/>
      </c>
      <c r="D248" s="208" t="str">
        <f>IF($B248="","",'Portfolio Register'!$I212)</f>
        <v/>
      </c>
      <c r="E248" s="208" t="str">
        <f>IF($B248="","",'Portfolio Register'!$DG212)</f>
        <v/>
      </c>
      <c r="F248" s="224" t="str">
        <f t="shared" si="71"/>
        <v/>
      </c>
      <c r="G248" s="225" t="str">
        <f>IF($B248="","",'Portfolio Register'!$J212)</f>
        <v/>
      </c>
      <c r="H248" s="225" t="str">
        <f>IF($B248="","",'Portfolio Register'!$CO212)</f>
        <v/>
      </c>
      <c r="I248" s="225" t="str">
        <f>IF($B248="","",'Portfolio Register'!$CW212)</f>
        <v/>
      </c>
      <c r="J248" s="214" t="str">
        <f t="shared" si="72"/>
        <v/>
      </c>
      <c r="K248" s="214" t="str">
        <f t="shared" si="73"/>
        <v/>
      </c>
      <c r="L248" s="214" t="str">
        <f t="shared" si="74"/>
        <v/>
      </c>
      <c r="M248" s="214" t="str">
        <f t="shared" si="75"/>
        <v/>
      </c>
      <c r="N248" s="214" t="str">
        <f t="shared" si="76"/>
        <v/>
      </c>
      <c r="O248" s="214" t="str">
        <f t="shared" si="77"/>
        <v/>
      </c>
      <c r="P248" s="214" t="str">
        <f t="shared" si="78"/>
        <v/>
      </c>
      <c r="Q248" s="214" t="str">
        <f t="shared" si="79"/>
        <v/>
      </c>
      <c r="R248" s="214" t="str">
        <f t="shared" si="80"/>
        <v/>
      </c>
      <c r="S248" s="214" t="str">
        <f t="shared" si="81"/>
        <v/>
      </c>
      <c r="T248" s="214" t="str">
        <f t="shared" si="82"/>
        <v/>
      </c>
      <c r="U248" s="214" t="str">
        <f t="shared" si="83"/>
        <v/>
      </c>
      <c r="V248" s="214" t="str">
        <f t="shared" si="84"/>
        <v/>
      </c>
      <c r="W248" s="214" t="str">
        <f t="shared" si="85"/>
        <v/>
      </c>
      <c r="X248" s="214" t="str">
        <f t="shared" si="86"/>
        <v/>
      </c>
      <c r="Y248" s="214" t="str">
        <f t="shared" si="87"/>
        <v/>
      </c>
      <c r="Z248" s="214" t="str">
        <f t="shared" si="88"/>
        <v/>
      </c>
      <c r="AA248" s="214" t="str">
        <f t="shared" si="89"/>
        <v/>
      </c>
      <c r="AB248" s="214" t="str">
        <f t="shared" si="90"/>
        <v/>
      </c>
      <c r="AC248" s="214" t="str">
        <f t="shared" si="91"/>
        <v/>
      </c>
    </row>
    <row r="249" spans="2:29" x14ac:dyDescent="0.35">
      <c r="B249" s="208" t="str">
        <f>IF('Portfolio Register'!$A213="","",'Portfolio Register'!$A213)</f>
        <v/>
      </c>
      <c r="C249" s="208" t="str">
        <f>IF($B249="","",'Portfolio Register'!$B213)</f>
        <v/>
      </c>
      <c r="D249" s="208" t="str">
        <f>IF($B249="","",'Portfolio Register'!$I213)</f>
        <v/>
      </c>
      <c r="E249" s="208" t="str">
        <f>IF($B249="","",'Portfolio Register'!$DG213)</f>
        <v/>
      </c>
      <c r="F249" s="224" t="str">
        <f t="shared" si="71"/>
        <v/>
      </c>
      <c r="G249" s="225" t="str">
        <f>IF($B249="","",'Portfolio Register'!$J213)</f>
        <v/>
      </c>
      <c r="H249" s="225" t="str">
        <f>IF($B249="","",'Portfolio Register'!$CO213)</f>
        <v/>
      </c>
      <c r="I249" s="225" t="str">
        <f>IF($B249="","",'Portfolio Register'!$CW213)</f>
        <v/>
      </c>
      <c r="J249" s="214" t="str">
        <f t="shared" si="72"/>
        <v/>
      </c>
      <c r="K249" s="214" t="str">
        <f t="shared" si="73"/>
        <v/>
      </c>
      <c r="L249" s="214" t="str">
        <f t="shared" si="74"/>
        <v/>
      </c>
      <c r="M249" s="214" t="str">
        <f t="shared" si="75"/>
        <v/>
      </c>
      <c r="N249" s="214" t="str">
        <f t="shared" si="76"/>
        <v/>
      </c>
      <c r="O249" s="214" t="str">
        <f t="shared" si="77"/>
        <v/>
      </c>
      <c r="P249" s="214" t="str">
        <f t="shared" si="78"/>
        <v/>
      </c>
      <c r="Q249" s="214" t="str">
        <f t="shared" si="79"/>
        <v/>
      </c>
      <c r="R249" s="214" t="str">
        <f t="shared" si="80"/>
        <v/>
      </c>
      <c r="S249" s="214" t="str">
        <f t="shared" si="81"/>
        <v/>
      </c>
      <c r="T249" s="214" t="str">
        <f t="shared" si="82"/>
        <v/>
      </c>
      <c r="U249" s="214" t="str">
        <f t="shared" si="83"/>
        <v/>
      </c>
      <c r="V249" s="214" t="str">
        <f t="shared" si="84"/>
        <v/>
      </c>
      <c r="W249" s="214" t="str">
        <f t="shared" si="85"/>
        <v/>
      </c>
      <c r="X249" s="214" t="str">
        <f t="shared" si="86"/>
        <v/>
      </c>
      <c r="Y249" s="214" t="str">
        <f t="shared" si="87"/>
        <v/>
      </c>
      <c r="Z249" s="214" t="str">
        <f t="shared" si="88"/>
        <v/>
      </c>
      <c r="AA249" s="214" t="str">
        <f t="shared" si="89"/>
        <v/>
      </c>
      <c r="AB249" s="214" t="str">
        <f t="shared" si="90"/>
        <v/>
      </c>
      <c r="AC249" s="214" t="str">
        <f t="shared" si="91"/>
        <v/>
      </c>
    </row>
    <row r="250" spans="2:29" x14ac:dyDescent="0.35">
      <c r="B250" s="208" t="str">
        <f>IF('Portfolio Register'!$A214="","",'Portfolio Register'!$A214)</f>
        <v/>
      </c>
      <c r="C250" s="208" t="str">
        <f>IF($B250="","",'Portfolio Register'!$B214)</f>
        <v/>
      </c>
      <c r="D250" s="208" t="str">
        <f>IF($B250="","",'Portfolio Register'!$I214)</f>
        <v/>
      </c>
      <c r="E250" s="208" t="str">
        <f>IF($B250="","",'Portfolio Register'!$DG214)</f>
        <v/>
      </c>
      <c r="F250" s="224" t="str">
        <f t="shared" si="71"/>
        <v/>
      </c>
      <c r="G250" s="225" t="str">
        <f>IF($B250="","",'Portfolio Register'!$J214)</f>
        <v/>
      </c>
      <c r="H250" s="225" t="str">
        <f>IF($B250="","",'Portfolio Register'!$CO214)</f>
        <v/>
      </c>
      <c r="I250" s="225" t="str">
        <f>IF($B250="","",'Portfolio Register'!$CW214)</f>
        <v/>
      </c>
      <c r="J250" s="214" t="str">
        <f t="shared" si="72"/>
        <v/>
      </c>
      <c r="K250" s="214" t="str">
        <f t="shared" si="73"/>
        <v/>
      </c>
      <c r="L250" s="214" t="str">
        <f t="shared" si="74"/>
        <v/>
      </c>
      <c r="M250" s="214" t="str">
        <f t="shared" si="75"/>
        <v/>
      </c>
      <c r="N250" s="214" t="str">
        <f t="shared" si="76"/>
        <v/>
      </c>
      <c r="O250" s="214" t="str">
        <f t="shared" si="77"/>
        <v/>
      </c>
      <c r="P250" s="214" t="str">
        <f t="shared" si="78"/>
        <v/>
      </c>
      <c r="Q250" s="214" t="str">
        <f t="shared" si="79"/>
        <v/>
      </c>
      <c r="R250" s="214" t="str">
        <f t="shared" si="80"/>
        <v/>
      </c>
      <c r="S250" s="214" t="str">
        <f t="shared" si="81"/>
        <v/>
      </c>
      <c r="T250" s="214" t="str">
        <f t="shared" si="82"/>
        <v/>
      </c>
      <c r="U250" s="214" t="str">
        <f t="shared" si="83"/>
        <v/>
      </c>
      <c r="V250" s="214" t="str">
        <f t="shared" si="84"/>
        <v/>
      </c>
      <c r="W250" s="214" t="str">
        <f t="shared" si="85"/>
        <v/>
      </c>
      <c r="X250" s="214" t="str">
        <f t="shared" si="86"/>
        <v/>
      </c>
      <c r="Y250" s="214" t="str">
        <f t="shared" si="87"/>
        <v/>
      </c>
      <c r="Z250" s="214" t="str">
        <f t="shared" si="88"/>
        <v/>
      </c>
      <c r="AA250" s="214" t="str">
        <f t="shared" si="89"/>
        <v/>
      </c>
      <c r="AB250" s="214" t="str">
        <f t="shared" si="90"/>
        <v/>
      </c>
      <c r="AC250" s="214" t="str">
        <f t="shared" si="91"/>
        <v/>
      </c>
    </row>
    <row r="251" spans="2:29" x14ac:dyDescent="0.35">
      <c r="B251" s="208" t="str">
        <f>IF('Portfolio Register'!$A215="","",'Portfolio Register'!$A215)</f>
        <v/>
      </c>
      <c r="C251" s="208" t="str">
        <f>IF($B251="","",'Portfolio Register'!$B215)</f>
        <v/>
      </c>
      <c r="D251" s="208" t="str">
        <f>IF($B251="","",'Portfolio Register'!$I215)</f>
        <v/>
      </c>
      <c r="E251" s="208" t="str">
        <f>IF($B251="","",'Portfolio Register'!$DG215)</f>
        <v/>
      </c>
      <c r="F251" s="224" t="str">
        <f t="shared" si="71"/>
        <v/>
      </c>
      <c r="G251" s="225" t="str">
        <f>IF($B251="","",'Portfolio Register'!$J215)</f>
        <v/>
      </c>
      <c r="H251" s="225" t="str">
        <f>IF($B251="","",'Portfolio Register'!$CO215)</f>
        <v/>
      </c>
      <c r="I251" s="225" t="str">
        <f>IF($B251="","",'Portfolio Register'!$CW215)</f>
        <v/>
      </c>
      <c r="J251" s="214" t="str">
        <f t="shared" si="72"/>
        <v/>
      </c>
      <c r="K251" s="214" t="str">
        <f t="shared" si="73"/>
        <v/>
      </c>
      <c r="L251" s="214" t="str">
        <f t="shared" si="74"/>
        <v/>
      </c>
      <c r="M251" s="214" t="str">
        <f t="shared" si="75"/>
        <v/>
      </c>
      <c r="N251" s="214" t="str">
        <f t="shared" si="76"/>
        <v/>
      </c>
      <c r="O251" s="214" t="str">
        <f t="shared" si="77"/>
        <v/>
      </c>
      <c r="P251" s="214" t="str">
        <f t="shared" si="78"/>
        <v/>
      </c>
      <c r="Q251" s="214" t="str">
        <f t="shared" si="79"/>
        <v/>
      </c>
      <c r="R251" s="214" t="str">
        <f t="shared" si="80"/>
        <v/>
      </c>
      <c r="S251" s="214" t="str">
        <f t="shared" si="81"/>
        <v/>
      </c>
      <c r="T251" s="214" t="str">
        <f t="shared" si="82"/>
        <v/>
      </c>
      <c r="U251" s="214" t="str">
        <f t="shared" si="83"/>
        <v/>
      </c>
      <c r="V251" s="214" t="str">
        <f t="shared" si="84"/>
        <v/>
      </c>
      <c r="W251" s="214" t="str">
        <f t="shared" si="85"/>
        <v/>
      </c>
      <c r="X251" s="214" t="str">
        <f t="shared" si="86"/>
        <v/>
      </c>
      <c r="Y251" s="214" t="str">
        <f t="shared" si="87"/>
        <v/>
      </c>
      <c r="Z251" s="214" t="str">
        <f t="shared" si="88"/>
        <v/>
      </c>
      <c r="AA251" s="214" t="str">
        <f t="shared" si="89"/>
        <v/>
      </c>
      <c r="AB251" s="214" t="str">
        <f t="shared" si="90"/>
        <v/>
      </c>
      <c r="AC251" s="214" t="str">
        <f t="shared" si="91"/>
        <v/>
      </c>
    </row>
    <row r="252" spans="2:29" x14ac:dyDescent="0.35">
      <c r="B252" s="208" t="str">
        <f>IF('Portfolio Register'!$A216="","",'Portfolio Register'!$A216)</f>
        <v/>
      </c>
      <c r="C252" s="208" t="str">
        <f>IF($B252="","",'Portfolio Register'!$B216)</f>
        <v/>
      </c>
      <c r="D252" s="208" t="str">
        <f>IF($B252="","",'Portfolio Register'!$I216)</f>
        <v/>
      </c>
      <c r="E252" s="208" t="str">
        <f>IF($B252="","",'Portfolio Register'!$DG216)</f>
        <v/>
      </c>
      <c r="F252" s="224" t="str">
        <f t="shared" si="71"/>
        <v/>
      </c>
      <c r="G252" s="225" t="str">
        <f>IF($B252="","",'Portfolio Register'!$J216)</f>
        <v/>
      </c>
      <c r="H252" s="225" t="str">
        <f>IF($B252="","",'Portfolio Register'!$CO216)</f>
        <v/>
      </c>
      <c r="I252" s="225" t="str">
        <f>IF($B252="","",'Portfolio Register'!$CW216)</f>
        <v/>
      </c>
      <c r="J252" s="214" t="str">
        <f t="shared" si="72"/>
        <v/>
      </c>
      <c r="K252" s="214" t="str">
        <f t="shared" si="73"/>
        <v/>
      </c>
      <c r="L252" s="214" t="str">
        <f t="shared" si="74"/>
        <v/>
      </c>
      <c r="M252" s="214" t="str">
        <f t="shared" si="75"/>
        <v/>
      </c>
      <c r="N252" s="214" t="str">
        <f t="shared" si="76"/>
        <v/>
      </c>
      <c r="O252" s="214" t="str">
        <f t="shared" si="77"/>
        <v/>
      </c>
      <c r="P252" s="214" t="str">
        <f t="shared" si="78"/>
        <v/>
      </c>
      <c r="Q252" s="214" t="str">
        <f t="shared" si="79"/>
        <v/>
      </c>
      <c r="R252" s="214" t="str">
        <f t="shared" si="80"/>
        <v/>
      </c>
      <c r="S252" s="214" t="str">
        <f t="shared" si="81"/>
        <v/>
      </c>
      <c r="T252" s="214" t="str">
        <f t="shared" si="82"/>
        <v/>
      </c>
      <c r="U252" s="214" t="str">
        <f t="shared" si="83"/>
        <v/>
      </c>
      <c r="V252" s="214" t="str">
        <f t="shared" si="84"/>
        <v/>
      </c>
      <c r="W252" s="214" t="str">
        <f t="shared" si="85"/>
        <v/>
      </c>
      <c r="X252" s="214" t="str">
        <f t="shared" si="86"/>
        <v/>
      </c>
      <c r="Y252" s="214" t="str">
        <f t="shared" si="87"/>
        <v/>
      </c>
      <c r="Z252" s="214" t="str">
        <f t="shared" si="88"/>
        <v/>
      </c>
      <c r="AA252" s="214" t="str">
        <f t="shared" si="89"/>
        <v/>
      </c>
      <c r="AB252" s="214" t="str">
        <f t="shared" si="90"/>
        <v/>
      </c>
      <c r="AC252" s="214" t="str">
        <f t="shared" si="91"/>
        <v/>
      </c>
    </row>
    <row r="253" spans="2:29" x14ac:dyDescent="0.35">
      <c r="B253" s="208" t="str">
        <f>IF('Portfolio Register'!$A217="","",'Portfolio Register'!$A217)</f>
        <v/>
      </c>
      <c r="C253" s="208" t="str">
        <f>IF($B253="","",'Portfolio Register'!$B217)</f>
        <v/>
      </c>
      <c r="D253" s="208" t="str">
        <f>IF($B253="","",'Portfolio Register'!$I217)</f>
        <v/>
      </c>
      <c r="E253" s="208" t="str">
        <f>IF($B253="","",'Portfolio Register'!$DG217)</f>
        <v/>
      </c>
      <c r="F253" s="224" t="str">
        <f t="shared" si="71"/>
        <v/>
      </c>
      <c r="G253" s="225" t="str">
        <f>IF($B253="","",'Portfolio Register'!$J217)</f>
        <v/>
      </c>
      <c r="H253" s="225" t="str">
        <f>IF($B253="","",'Portfolio Register'!$CO217)</f>
        <v/>
      </c>
      <c r="I253" s="225" t="str">
        <f>IF($B253="","",'Portfolio Register'!$CW217)</f>
        <v/>
      </c>
      <c r="J253" s="214" t="str">
        <f t="shared" si="72"/>
        <v/>
      </c>
      <c r="K253" s="214" t="str">
        <f t="shared" si="73"/>
        <v/>
      </c>
      <c r="L253" s="214" t="str">
        <f t="shared" si="74"/>
        <v/>
      </c>
      <c r="M253" s="214" t="str">
        <f t="shared" si="75"/>
        <v/>
      </c>
      <c r="N253" s="214" t="str">
        <f t="shared" si="76"/>
        <v/>
      </c>
      <c r="O253" s="214" t="str">
        <f t="shared" si="77"/>
        <v/>
      </c>
      <c r="P253" s="214" t="str">
        <f t="shared" si="78"/>
        <v/>
      </c>
      <c r="Q253" s="214" t="str">
        <f t="shared" si="79"/>
        <v/>
      </c>
      <c r="R253" s="214" t="str">
        <f t="shared" si="80"/>
        <v/>
      </c>
      <c r="S253" s="214" t="str">
        <f t="shared" si="81"/>
        <v/>
      </c>
      <c r="T253" s="214" t="str">
        <f t="shared" si="82"/>
        <v/>
      </c>
      <c r="U253" s="214" t="str">
        <f t="shared" si="83"/>
        <v/>
      </c>
      <c r="V253" s="214" t="str">
        <f t="shared" si="84"/>
        <v/>
      </c>
      <c r="W253" s="214" t="str">
        <f t="shared" si="85"/>
        <v/>
      </c>
      <c r="X253" s="214" t="str">
        <f t="shared" si="86"/>
        <v/>
      </c>
      <c r="Y253" s="214" t="str">
        <f t="shared" si="87"/>
        <v/>
      </c>
      <c r="Z253" s="214" t="str">
        <f t="shared" si="88"/>
        <v/>
      </c>
      <c r="AA253" s="214" t="str">
        <f t="shared" si="89"/>
        <v/>
      </c>
      <c r="AB253" s="214" t="str">
        <f t="shared" si="90"/>
        <v/>
      </c>
      <c r="AC253" s="214" t="str">
        <f t="shared" si="91"/>
        <v/>
      </c>
    </row>
    <row r="254" spans="2:29" x14ac:dyDescent="0.35">
      <c r="B254" s="208" t="str">
        <f>IF('Portfolio Register'!$A218="","",'Portfolio Register'!$A218)</f>
        <v/>
      </c>
      <c r="C254" s="208" t="str">
        <f>IF($B254="","",'Portfolio Register'!$B218)</f>
        <v/>
      </c>
      <c r="D254" s="208" t="str">
        <f>IF($B254="","",'Portfolio Register'!$I218)</f>
        <v/>
      </c>
      <c r="E254" s="208" t="str">
        <f>IF($B254="","",'Portfolio Register'!$DG218)</f>
        <v/>
      </c>
      <c r="F254" s="224" t="str">
        <f t="shared" si="71"/>
        <v/>
      </c>
      <c r="G254" s="225" t="str">
        <f>IF($B254="","",'Portfolio Register'!$J218)</f>
        <v/>
      </c>
      <c r="H254" s="225" t="str">
        <f>IF($B254="","",'Portfolio Register'!$CO218)</f>
        <v/>
      </c>
      <c r="I254" s="225" t="str">
        <f>IF($B254="","",'Portfolio Register'!$CW218)</f>
        <v/>
      </c>
      <c r="J254" s="214" t="str">
        <f t="shared" si="72"/>
        <v/>
      </c>
      <c r="K254" s="214" t="str">
        <f t="shared" si="73"/>
        <v/>
      </c>
      <c r="L254" s="214" t="str">
        <f t="shared" si="74"/>
        <v/>
      </c>
      <c r="M254" s="214" t="str">
        <f t="shared" si="75"/>
        <v/>
      </c>
      <c r="N254" s="214" t="str">
        <f t="shared" si="76"/>
        <v/>
      </c>
      <c r="O254" s="214" t="str">
        <f t="shared" si="77"/>
        <v/>
      </c>
      <c r="P254" s="214" t="str">
        <f t="shared" si="78"/>
        <v/>
      </c>
      <c r="Q254" s="214" t="str">
        <f t="shared" si="79"/>
        <v/>
      </c>
      <c r="R254" s="214" t="str">
        <f t="shared" si="80"/>
        <v/>
      </c>
      <c r="S254" s="214" t="str">
        <f t="shared" si="81"/>
        <v/>
      </c>
      <c r="T254" s="214" t="str">
        <f t="shared" si="82"/>
        <v/>
      </c>
      <c r="U254" s="214" t="str">
        <f t="shared" si="83"/>
        <v/>
      </c>
      <c r="V254" s="214" t="str">
        <f t="shared" si="84"/>
        <v/>
      </c>
      <c r="W254" s="214" t="str">
        <f t="shared" si="85"/>
        <v/>
      </c>
      <c r="X254" s="214" t="str">
        <f t="shared" si="86"/>
        <v/>
      </c>
      <c r="Y254" s="214" t="str">
        <f t="shared" si="87"/>
        <v/>
      </c>
      <c r="Z254" s="214" t="str">
        <f t="shared" si="88"/>
        <v/>
      </c>
      <c r="AA254" s="214" t="str">
        <f t="shared" si="89"/>
        <v/>
      </c>
      <c r="AB254" s="214" t="str">
        <f t="shared" si="90"/>
        <v/>
      </c>
      <c r="AC254" s="214" t="str">
        <f t="shared" si="91"/>
        <v/>
      </c>
    </row>
    <row r="255" spans="2:29" x14ac:dyDescent="0.35">
      <c r="B255" s="208" t="str">
        <f>IF('Portfolio Register'!$A219="","",'Portfolio Register'!$A219)</f>
        <v/>
      </c>
      <c r="C255" s="208" t="str">
        <f>IF($B255="","",'Portfolio Register'!$B219)</f>
        <v/>
      </c>
      <c r="D255" s="208" t="str">
        <f>IF($B255="","",'Portfolio Register'!$I219)</f>
        <v/>
      </c>
      <c r="E255" s="208" t="str">
        <f>IF($B255="","",'Portfolio Register'!$DG219)</f>
        <v/>
      </c>
      <c r="F255" s="224" t="str">
        <f t="shared" si="71"/>
        <v/>
      </c>
      <c r="G255" s="225" t="str">
        <f>IF($B255="","",'Portfolio Register'!$J219)</f>
        <v/>
      </c>
      <c r="H255" s="225" t="str">
        <f>IF($B255="","",'Portfolio Register'!$CO219)</f>
        <v/>
      </c>
      <c r="I255" s="225" t="str">
        <f>IF($B255="","",'Portfolio Register'!$CW219)</f>
        <v/>
      </c>
      <c r="J255" s="214" t="str">
        <f t="shared" si="72"/>
        <v/>
      </c>
      <c r="K255" s="214" t="str">
        <f t="shared" si="73"/>
        <v/>
      </c>
      <c r="L255" s="214" t="str">
        <f t="shared" si="74"/>
        <v/>
      </c>
      <c r="M255" s="214" t="str">
        <f t="shared" si="75"/>
        <v/>
      </c>
      <c r="N255" s="214" t="str">
        <f t="shared" si="76"/>
        <v/>
      </c>
      <c r="O255" s="214" t="str">
        <f t="shared" si="77"/>
        <v/>
      </c>
      <c r="P255" s="214" t="str">
        <f t="shared" si="78"/>
        <v/>
      </c>
      <c r="Q255" s="214" t="str">
        <f t="shared" si="79"/>
        <v/>
      </c>
      <c r="R255" s="214" t="str">
        <f t="shared" si="80"/>
        <v/>
      </c>
      <c r="S255" s="214" t="str">
        <f t="shared" si="81"/>
        <v/>
      </c>
      <c r="T255" s="214" t="str">
        <f t="shared" si="82"/>
        <v/>
      </c>
      <c r="U255" s="214" t="str">
        <f t="shared" si="83"/>
        <v/>
      </c>
      <c r="V255" s="214" t="str">
        <f t="shared" si="84"/>
        <v/>
      </c>
      <c r="W255" s="214" t="str">
        <f t="shared" si="85"/>
        <v/>
      </c>
      <c r="X255" s="214" t="str">
        <f t="shared" si="86"/>
        <v/>
      </c>
      <c r="Y255" s="214" t="str">
        <f t="shared" si="87"/>
        <v/>
      </c>
      <c r="Z255" s="214" t="str">
        <f t="shared" si="88"/>
        <v/>
      </c>
      <c r="AA255" s="214" t="str">
        <f t="shared" si="89"/>
        <v/>
      </c>
      <c r="AB255" s="214" t="str">
        <f t="shared" si="90"/>
        <v/>
      </c>
      <c r="AC255" s="214" t="str">
        <f t="shared" si="91"/>
        <v/>
      </c>
    </row>
    <row r="256" spans="2:29" x14ac:dyDescent="0.35">
      <c r="B256" s="208" t="str">
        <f>IF('Portfolio Register'!$A220="","",'Portfolio Register'!$A220)</f>
        <v/>
      </c>
      <c r="C256" s="208" t="str">
        <f>IF($B256="","",'Portfolio Register'!$B220)</f>
        <v/>
      </c>
      <c r="D256" s="208" t="str">
        <f>IF($B256="","",'Portfolio Register'!$I220)</f>
        <v/>
      </c>
      <c r="E256" s="208" t="str">
        <f>IF($B256="","",'Portfolio Register'!$DG220)</f>
        <v/>
      </c>
      <c r="F256" s="224" t="str">
        <f t="shared" si="71"/>
        <v/>
      </c>
      <c r="G256" s="225" t="str">
        <f>IF($B256="","",'Portfolio Register'!$J220)</f>
        <v/>
      </c>
      <c r="H256" s="225" t="str">
        <f>IF($B256="","",'Portfolio Register'!$CO220)</f>
        <v/>
      </c>
      <c r="I256" s="225" t="str">
        <f>IF($B256="","",'Portfolio Register'!$CW220)</f>
        <v/>
      </c>
      <c r="J256" s="214" t="str">
        <f t="shared" si="72"/>
        <v/>
      </c>
      <c r="K256" s="214" t="str">
        <f t="shared" si="73"/>
        <v/>
      </c>
      <c r="L256" s="214" t="str">
        <f t="shared" si="74"/>
        <v/>
      </c>
      <c r="M256" s="214" t="str">
        <f t="shared" si="75"/>
        <v/>
      </c>
      <c r="N256" s="214" t="str">
        <f t="shared" si="76"/>
        <v/>
      </c>
      <c r="O256" s="214" t="str">
        <f t="shared" si="77"/>
        <v/>
      </c>
      <c r="P256" s="214" t="str">
        <f t="shared" si="78"/>
        <v/>
      </c>
      <c r="Q256" s="214" t="str">
        <f t="shared" si="79"/>
        <v/>
      </c>
      <c r="R256" s="214" t="str">
        <f t="shared" si="80"/>
        <v/>
      </c>
      <c r="S256" s="214" t="str">
        <f t="shared" si="81"/>
        <v/>
      </c>
      <c r="T256" s="214" t="str">
        <f t="shared" si="82"/>
        <v/>
      </c>
      <c r="U256" s="214" t="str">
        <f t="shared" si="83"/>
        <v/>
      </c>
      <c r="V256" s="214" t="str">
        <f t="shared" si="84"/>
        <v/>
      </c>
      <c r="W256" s="214" t="str">
        <f t="shared" si="85"/>
        <v/>
      </c>
      <c r="X256" s="214" t="str">
        <f t="shared" si="86"/>
        <v/>
      </c>
      <c r="Y256" s="214" t="str">
        <f t="shared" si="87"/>
        <v/>
      </c>
      <c r="Z256" s="214" t="str">
        <f t="shared" si="88"/>
        <v/>
      </c>
      <c r="AA256" s="214" t="str">
        <f t="shared" si="89"/>
        <v/>
      </c>
      <c r="AB256" s="214" t="str">
        <f t="shared" si="90"/>
        <v/>
      </c>
      <c r="AC256" s="214" t="str">
        <f t="shared" si="91"/>
        <v/>
      </c>
    </row>
    <row r="257" spans="2:29" x14ac:dyDescent="0.35">
      <c r="B257" s="208" t="str">
        <f>IF('Portfolio Register'!$A221="","",'Portfolio Register'!$A221)</f>
        <v/>
      </c>
      <c r="C257" s="208" t="str">
        <f>IF($B257="","",'Portfolio Register'!$B221)</f>
        <v/>
      </c>
      <c r="D257" s="208" t="str">
        <f>IF($B257="","",'Portfolio Register'!$I221)</f>
        <v/>
      </c>
      <c r="E257" s="208" t="str">
        <f>IF($B257="","",'Portfolio Register'!$DG221)</f>
        <v/>
      </c>
      <c r="F257" s="224" t="str">
        <f t="shared" si="71"/>
        <v/>
      </c>
      <c r="G257" s="225" t="str">
        <f>IF($B257="","",'Portfolio Register'!$J221)</f>
        <v/>
      </c>
      <c r="H257" s="225" t="str">
        <f>IF($B257="","",'Portfolio Register'!$CO221)</f>
        <v/>
      </c>
      <c r="I257" s="225" t="str">
        <f>IF($B257="","",'Portfolio Register'!$CW221)</f>
        <v/>
      </c>
      <c r="J257" s="214" t="str">
        <f t="shared" si="72"/>
        <v/>
      </c>
      <c r="K257" s="214" t="str">
        <f t="shared" si="73"/>
        <v/>
      </c>
      <c r="L257" s="214" t="str">
        <f t="shared" si="74"/>
        <v/>
      </c>
      <c r="M257" s="214" t="str">
        <f t="shared" si="75"/>
        <v/>
      </c>
      <c r="N257" s="214" t="str">
        <f t="shared" si="76"/>
        <v/>
      </c>
      <c r="O257" s="214" t="str">
        <f t="shared" si="77"/>
        <v/>
      </c>
      <c r="P257" s="214" t="str">
        <f t="shared" si="78"/>
        <v/>
      </c>
      <c r="Q257" s="214" t="str">
        <f t="shared" si="79"/>
        <v/>
      </c>
      <c r="R257" s="214" t="str">
        <f t="shared" si="80"/>
        <v/>
      </c>
      <c r="S257" s="214" t="str">
        <f t="shared" si="81"/>
        <v/>
      </c>
      <c r="T257" s="214" t="str">
        <f t="shared" si="82"/>
        <v/>
      </c>
      <c r="U257" s="214" t="str">
        <f t="shared" si="83"/>
        <v/>
      </c>
      <c r="V257" s="214" t="str">
        <f t="shared" si="84"/>
        <v/>
      </c>
      <c r="W257" s="214" t="str">
        <f t="shared" si="85"/>
        <v/>
      </c>
      <c r="X257" s="214" t="str">
        <f t="shared" si="86"/>
        <v/>
      </c>
      <c r="Y257" s="214" t="str">
        <f t="shared" si="87"/>
        <v/>
      </c>
      <c r="Z257" s="214" t="str">
        <f t="shared" si="88"/>
        <v/>
      </c>
      <c r="AA257" s="214" t="str">
        <f t="shared" si="89"/>
        <v/>
      </c>
      <c r="AB257" s="214" t="str">
        <f t="shared" si="90"/>
        <v/>
      </c>
      <c r="AC257" s="214" t="str">
        <f t="shared" si="91"/>
        <v/>
      </c>
    </row>
    <row r="258" spans="2:29" x14ac:dyDescent="0.35">
      <c r="B258" s="208" t="str">
        <f>IF('Portfolio Register'!$A222="","",'Portfolio Register'!$A222)</f>
        <v/>
      </c>
      <c r="C258" s="208" t="str">
        <f>IF($B258="","",'Portfolio Register'!$B222)</f>
        <v/>
      </c>
      <c r="D258" s="208" t="str">
        <f>IF($B258="","",'Portfolio Register'!$I222)</f>
        <v/>
      </c>
      <c r="E258" s="208" t="str">
        <f>IF($B258="","",'Portfolio Register'!$DG222)</f>
        <v/>
      </c>
      <c r="F258" s="224" t="str">
        <f t="shared" si="71"/>
        <v/>
      </c>
      <c r="G258" s="225" t="str">
        <f>IF($B258="","",'Portfolio Register'!$J222)</f>
        <v/>
      </c>
      <c r="H258" s="225" t="str">
        <f>IF($B258="","",'Portfolio Register'!$CO222)</f>
        <v/>
      </c>
      <c r="I258" s="225" t="str">
        <f>IF($B258="","",'Portfolio Register'!$CW222)</f>
        <v/>
      </c>
      <c r="J258" s="214" t="str">
        <f t="shared" si="72"/>
        <v/>
      </c>
      <c r="K258" s="214" t="str">
        <f t="shared" si="73"/>
        <v/>
      </c>
      <c r="L258" s="214" t="str">
        <f t="shared" si="74"/>
        <v/>
      </c>
      <c r="M258" s="214" t="str">
        <f t="shared" si="75"/>
        <v/>
      </c>
      <c r="N258" s="214" t="str">
        <f t="shared" si="76"/>
        <v/>
      </c>
      <c r="O258" s="214" t="str">
        <f t="shared" si="77"/>
        <v/>
      </c>
      <c r="P258" s="214" t="str">
        <f t="shared" si="78"/>
        <v/>
      </c>
      <c r="Q258" s="214" t="str">
        <f t="shared" si="79"/>
        <v/>
      </c>
      <c r="R258" s="214" t="str">
        <f t="shared" si="80"/>
        <v/>
      </c>
      <c r="S258" s="214" t="str">
        <f t="shared" si="81"/>
        <v/>
      </c>
      <c r="T258" s="214" t="str">
        <f t="shared" si="82"/>
        <v/>
      </c>
      <c r="U258" s="214" t="str">
        <f t="shared" si="83"/>
        <v/>
      </c>
      <c r="V258" s="214" t="str">
        <f t="shared" si="84"/>
        <v/>
      </c>
      <c r="W258" s="214" t="str">
        <f t="shared" si="85"/>
        <v/>
      </c>
      <c r="X258" s="214" t="str">
        <f t="shared" si="86"/>
        <v/>
      </c>
      <c r="Y258" s="214" t="str">
        <f t="shared" si="87"/>
        <v/>
      </c>
      <c r="Z258" s="214" t="str">
        <f t="shared" si="88"/>
        <v/>
      </c>
      <c r="AA258" s="214" t="str">
        <f t="shared" si="89"/>
        <v/>
      </c>
      <c r="AB258" s="214" t="str">
        <f t="shared" si="90"/>
        <v/>
      </c>
      <c r="AC258" s="214" t="str">
        <f t="shared" si="91"/>
        <v/>
      </c>
    </row>
    <row r="259" spans="2:29" x14ac:dyDescent="0.35">
      <c r="B259" s="208" t="str">
        <f>IF('Portfolio Register'!$A223="","",'Portfolio Register'!$A223)</f>
        <v/>
      </c>
      <c r="C259" s="208" t="str">
        <f>IF($B259="","",'Portfolio Register'!$B223)</f>
        <v/>
      </c>
      <c r="D259" s="208" t="str">
        <f>IF($B259="","",'Portfolio Register'!$I223)</f>
        <v/>
      </c>
      <c r="E259" s="208" t="str">
        <f>IF($B259="","",'Portfolio Register'!$DG223)</f>
        <v/>
      </c>
      <c r="F259" s="224" t="str">
        <f t="shared" si="71"/>
        <v/>
      </c>
      <c r="G259" s="225" t="str">
        <f>IF($B259="","",'Portfolio Register'!$J223)</f>
        <v/>
      </c>
      <c r="H259" s="225" t="str">
        <f>IF($B259="","",'Portfolio Register'!$CO223)</f>
        <v/>
      </c>
      <c r="I259" s="225" t="str">
        <f>IF($B259="","",'Portfolio Register'!$CW223)</f>
        <v/>
      </c>
      <c r="J259" s="214" t="str">
        <f t="shared" si="72"/>
        <v/>
      </c>
      <c r="K259" s="214" t="str">
        <f t="shared" si="73"/>
        <v/>
      </c>
      <c r="L259" s="214" t="str">
        <f t="shared" si="74"/>
        <v/>
      </c>
      <c r="M259" s="214" t="str">
        <f t="shared" si="75"/>
        <v/>
      </c>
      <c r="N259" s="214" t="str">
        <f t="shared" si="76"/>
        <v/>
      </c>
      <c r="O259" s="214" t="str">
        <f t="shared" si="77"/>
        <v/>
      </c>
      <c r="P259" s="214" t="str">
        <f t="shared" si="78"/>
        <v/>
      </c>
      <c r="Q259" s="214" t="str">
        <f t="shared" si="79"/>
        <v/>
      </c>
      <c r="R259" s="214" t="str">
        <f t="shared" si="80"/>
        <v/>
      </c>
      <c r="S259" s="214" t="str">
        <f t="shared" si="81"/>
        <v/>
      </c>
      <c r="T259" s="214" t="str">
        <f t="shared" si="82"/>
        <v/>
      </c>
      <c r="U259" s="214" t="str">
        <f t="shared" si="83"/>
        <v/>
      </c>
      <c r="V259" s="214" t="str">
        <f t="shared" si="84"/>
        <v/>
      </c>
      <c r="W259" s="214" t="str">
        <f t="shared" si="85"/>
        <v/>
      </c>
      <c r="X259" s="214" t="str">
        <f t="shared" si="86"/>
        <v/>
      </c>
      <c r="Y259" s="214" t="str">
        <f t="shared" si="87"/>
        <v/>
      </c>
      <c r="Z259" s="214" t="str">
        <f t="shared" si="88"/>
        <v/>
      </c>
      <c r="AA259" s="214" t="str">
        <f t="shared" si="89"/>
        <v/>
      </c>
      <c r="AB259" s="214" t="str">
        <f t="shared" si="90"/>
        <v/>
      </c>
      <c r="AC259" s="214" t="str">
        <f t="shared" si="91"/>
        <v/>
      </c>
    </row>
    <row r="260" spans="2:29" x14ac:dyDescent="0.35">
      <c r="B260" s="208" t="str">
        <f>IF('Portfolio Register'!$A224="","",'Portfolio Register'!$A224)</f>
        <v/>
      </c>
      <c r="C260" s="208" t="str">
        <f>IF($B260="","",'Portfolio Register'!$B224)</f>
        <v/>
      </c>
      <c r="D260" s="208" t="str">
        <f>IF($B260="","",'Portfolio Register'!$I224)</f>
        <v/>
      </c>
      <c r="E260" s="208" t="str">
        <f>IF($B260="","",'Portfolio Register'!$DG224)</f>
        <v/>
      </c>
      <c r="F260" s="224" t="str">
        <f t="shared" si="71"/>
        <v/>
      </c>
      <c r="G260" s="225" t="str">
        <f>IF($B260="","",'Portfolio Register'!$J224)</f>
        <v/>
      </c>
      <c r="H260" s="225" t="str">
        <f>IF($B260="","",'Portfolio Register'!$CO224)</f>
        <v/>
      </c>
      <c r="I260" s="225" t="str">
        <f>IF($B260="","",'Portfolio Register'!$CW224)</f>
        <v/>
      </c>
      <c r="J260" s="214" t="str">
        <f t="shared" si="72"/>
        <v/>
      </c>
      <c r="K260" s="214" t="str">
        <f t="shared" si="73"/>
        <v/>
      </c>
      <c r="L260" s="214" t="str">
        <f t="shared" si="74"/>
        <v/>
      </c>
      <c r="M260" s="214" t="str">
        <f t="shared" si="75"/>
        <v/>
      </c>
      <c r="N260" s="214" t="str">
        <f t="shared" si="76"/>
        <v/>
      </c>
      <c r="O260" s="214" t="str">
        <f t="shared" si="77"/>
        <v/>
      </c>
      <c r="P260" s="214" t="str">
        <f t="shared" si="78"/>
        <v/>
      </c>
      <c r="Q260" s="214" t="str">
        <f t="shared" si="79"/>
        <v/>
      </c>
      <c r="R260" s="214" t="str">
        <f t="shared" si="80"/>
        <v/>
      </c>
      <c r="S260" s="214" t="str">
        <f t="shared" si="81"/>
        <v/>
      </c>
      <c r="T260" s="214" t="str">
        <f t="shared" si="82"/>
        <v/>
      </c>
      <c r="U260" s="214" t="str">
        <f t="shared" si="83"/>
        <v/>
      </c>
      <c r="V260" s="214" t="str">
        <f t="shared" si="84"/>
        <v/>
      </c>
      <c r="W260" s="214" t="str">
        <f t="shared" si="85"/>
        <v/>
      </c>
      <c r="X260" s="214" t="str">
        <f t="shared" si="86"/>
        <v/>
      </c>
      <c r="Y260" s="214" t="str">
        <f t="shared" si="87"/>
        <v/>
      </c>
      <c r="Z260" s="214" t="str">
        <f t="shared" si="88"/>
        <v/>
      </c>
      <c r="AA260" s="214" t="str">
        <f t="shared" si="89"/>
        <v/>
      </c>
      <c r="AB260" s="214" t="str">
        <f t="shared" si="90"/>
        <v/>
      </c>
      <c r="AC260" s="214" t="str">
        <f t="shared" si="91"/>
        <v/>
      </c>
    </row>
    <row r="261" spans="2:29" x14ac:dyDescent="0.35">
      <c r="B261" s="208" t="str">
        <f>IF('Portfolio Register'!$A225="","",'Portfolio Register'!$A225)</f>
        <v/>
      </c>
      <c r="C261" s="208" t="str">
        <f>IF($B261="","",'Portfolio Register'!$B225)</f>
        <v/>
      </c>
      <c r="D261" s="208" t="str">
        <f>IF($B261="","",'Portfolio Register'!$I225)</f>
        <v/>
      </c>
      <c r="E261" s="208" t="str">
        <f>IF($B261="","",'Portfolio Register'!$DG225)</f>
        <v/>
      </c>
      <c r="F261" s="224" t="str">
        <f t="shared" si="71"/>
        <v/>
      </c>
      <c r="G261" s="225" t="str">
        <f>IF($B261="","",'Portfolio Register'!$J225)</f>
        <v/>
      </c>
      <c r="H261" s="225" t="str">
        <f>IF($B261="","",'Portfolio Register'!$CO225)</f>
        <v/>
      </c>
      <c r="I261" s="225" t="str">
        <f>IF($B261="","",'Portfolio Register'!$CW225)</f>
        <v/>
      </c>
      <c r="J261" s="214" t="str">
        <f t="shared" si="72"/>
        <v/>
      </c>
      <c r="K261" s="214" t="str">
        <f t="shared" si="73"/>
        <v/>
      </c>
      <c r="L261" s="214" t="str">
        <f t="shared" si="74"/>
        <v/>
      </c>
      <c r="M261" s="214" t="str">
        <f t="shared" si="75"/>
        <v/>
      </c>
      <c r="N261" s="214" t="str">
        <f t="shared" si="76"/>
        <v/>
      </c>
      <c r="O261" s="214" t="str">
        <f t="shared" si="77"/>
        <v/>
      </c>
      <c r="P261" s="214" t="str">
        <f t="shared" si="78"/>
        <v/>
      </c>
      <c r="Q261" s="214" t="str">
        <f t="shared" si="79"/>
        <v/>
      </c>
      <c r="R261" s="214" t="str">
        <f t="shared" si="80"/>
        <v/>
      </c>
      <c r="S261" s="214" t="str">
        <f t="shared" si="81"/>
        <v/>
      </c>
      <c r="T261" s="214" t="str">
        <f t="shared" si="82"/>
        <v/>
      </c>
      <c r="U261" s="214" t="str">
        <f t="shared" si="83"/>
        <v/>
      </c>
      <c r="V261" s="214" t="str">
        <f t="shared" si="84"/>
        <v/>
      </c>
      <c r="W261" s="214" t="str">
        <f t="shared" si="85"/>
        <v/>
      </c>
      <c r="X261" s="214" t="str">
        <f t="shared" si="86"/>
        <v/>
      </c>
      <c r="Y261" s="214" t="str">
        <f t="shared" si="87"/>
        <v/>
      </c>
      <c r="Z261" s="214" t="str">
        <f t="shared" si="88"/>
        <v/>
      </c>
      <c r="AA261" s="214" t="str">
        <f t="shared" si="89"/>
        <v/>
      </c>
      <c r="AB261" s="214" t="str">
        <f t="shared" si="90"/>
        <v/>
      </c>
      <c r="AC261" s="214" t="str">
        <f t="shared" si="91"/>
        <v/>
      </c>
    </row>
    <row r="262" spans="2:29" x14ac:dyDescent="0.35">
      <c r="B262" s="208" t="str">
        <f>IF('Portfolio Register'!$A226="","",'Portfolio Register'!$A226)</f>
        <v/>
      </c>
      <c r="C262" s="208" t="str">
        <f>IF($B262="","",'Portfolio Register'!$B226)</f>
        <v/>
      </c>
      <c r="D262" s="208" t="str">
        <f>IF($B262="","",'Portfolio Register'!$I226)</f>
        <v/>
      </c>
      <c r="E262" s="208" t="str">
        <f>IF($B262="","",'Portfolio Register'!$DG226)</f>
        <v/>
      </c>
      <c r="F262" s="224" t="str">
        <f t="shared" si="71"/>
        <v/>
      </c>
      <c r="G262" s="225" t="str">
        <f>IF($B262="","",'Portfolio Register'!$J226)</f>
        <v/>
      </c>
      <c r="H262" s="225" t="str">
        <f>IF($B262="","",'Portfolio Register'!$CO226)</f>
        <v/>
      </c>
      <c r="I262" s="225" t="str">
        <f>IF($B262="","",'Portfolio Register'!$CW226)</f>
        <v/>
      </c>
      <c r="J262" s="214" t="str">
        <f t="shared" si="72"/>
        <v/>
      </c>
      <c r="K262" s="214" t="str">
        <f t="shared" si="73"/>
        <v/>
      </c>
      <c r="L262" s="214" t="str">
        <f t="shared" si="74"/>
        <v/>
      </c>
      <c r="M262" s="214" t="str">
        <f t="shared" si="75"/>
        <v/>
      </c>
      <c r="N262" s="214" t="str">
        <f t="shared" si="76"/>
        <v/>
      </c>
      <c r="O262" s="214" t="str">
        <f t="shared" si="77"/>
        <v/>
      </c>
      <c r="P262" s="214" t="str">
        <f t="shared" si="78"/>
        <v/>
      </c>
      <c r="Q262" s="214" t="str">
        <f t="shared" si="79"/>
        <v/>
      </c>
      <c r="R262" s="214" t="str">
        <f t="shared" si="80"/>
        <v/>
      </c>
      <c r="S262" s="214" t="str">
        <f t="shared" si="81"/>
        <v/>
      </c>
      <c r="T262" s="214" t="str">
        <f t="shared" si="82"/>
        <v/>
      </c>
      <c r="U262" s="214" t="str">
        <f t="shared" si="83"/>
        <v/>
      </c>
      <c r="V262" s="214" t="str">
        <f t="shared" si="84"/>
        <v/>
      </c>
      <c r="W262" s="214" t="str">
        <f t="shared" si="85"/>
        <v/>
      </c>
      <c r="X262" s="214" t="str">
        <f t="shared" si="86"/>
        <v/>
      </c>
      <c r="Y262" s="214" t="str">
        <f t="shared" si="87"/>
        <v/>
      </c>
      <c r="Z262" s="214" t="str">
        <f t="shared" si="88"/>
        <v/>
      </c>
      <c r="AA262" s="214" t="str">
        <f t="shared" si="89"/>
        <v/>
      </c>
      <c r="AB262" s="214" t="str">
        <f t="shared" si="90"/>
        <v/>
      </c>
      <c r="AC262" s="214" t="str">
        <f t="shared" si="91"/>
        <v/>
      </c>
    </row>
    <row r="263" spans="2:29" x14ac:dyDescent="0.35">
      <c r="B263" s="208" t="str">
        <f>IF('Portfolio Register'!$A227="","",'Portfolio Register'!$A227)</f>
        <v/>
      </c>
      <c r="C263" s="208" t="str">
        <f>IF($B263="","",'Portfolio Register'!$B227)</f>
        <v/>
      </c>
      <c r="D263" s="208" t="str">
        <f>IF($B263="","",'Portfolio Register'!$I227)</f>
        <v/>
      </c>
      <c r="E263" s="208" t="str">
        <f>IF($B263="","",'Portfolio Register'!$DG227)</f>
        <v/>
      </c>
      <c r="F263" s="224" t="str">
        <f t="shared" si="71"/>
        <v/>
      </c>
      <c r="G263" s="225" t="str">
        <f>IF($B263="","",'Portfolio Register'!$J227)</f>
        <v/>
      </c>
      <c r="H263" s="225" t="str">
        <f>IF($B263="","",'Portfolio Register'!$CO227)</f>
        <v/>
      </c>
      <c r="I263" s="225" t="str">
        <f>IF($B263="","",'Portfolio Register'!$CW227)</f>
        <v/>
      </c>
      <c r="J263" s="214" t="str">
        <f t="shared" si="72"/>
        <v/>
      </c>
      <c r="K263" s="214" t="str">
        <f t="shared" si="73"/>
        <v/>
      </c>
      <c r="L263" s="214" t="str">
        <f t="shared" si="74"/>
        <v/>
      </c>
      <c r="M263" s="214" t="str">
        <f t="shared" si="75"/>
        <v/>
      </c>
      <c r="N263" s="214" t="str">
        <f t="shared" si="76"/>
        <v/>
      </c>
      <c r="O263" s="214" t="str">
        <f t="shared" si="77"/>
        <v/>
      </c>
      <c r="P263" s="214" t="str">
        <f t="shared" si="78"/>
        <v/>
      </c>
      <c r="Q263" s="214" t="str">
        <f t="shared" si="79"/>
        <v/>
      </c>
      <c r="R263" s="214" t="str">
        <f t="shared" si="80"/>
        <v/>
      </c>
      <c r="S263" s="214" t="str">
        <f t="shared" si="81"/>
        <v/>
      </c>
      <c r="T263" s="214" t="str">
        <f t="shared" si="82"/>
        <v/>
      </c>
      <c r="U263" s="214" t="str">
        <f t="shared" si="83"/>
        <v/>
      </c>
      <c r="V263" s="214" t="str">
        <f t="shared" si="84"/>
        <v/>
      </c>
      <c r="W263" s="214" t="str">
        <f t="shared" si="85"/>
        <v/>
      </c>
      <c r="X263" s="214" t="str">
        <f t="shared" si="86"/>
        <v/>
      </c>
      <c r="Y263" s="214" t="str">
        <f t="shared" si="87"/>
        <v/>
      </c>
      <c r="Z263" s="214" t="str">
        <f t="shared" si="88"/>
        <v/>
      </c>
      <c r="AA263" s="214" t="str">
        <f t="shared" si="89"/>
        <v/>
      </c>
      <c r="AB263" s="214" t="str">
        <f t="shared" si="90"/>
        <v/>
      </c>
      <c r="AC263" s="214" t="str">
        <f t="shared" si="91"/>
        <v/>
      </c>
    </row>
    <row r="264" spans="2:29" x14ac:dyDescent="0.35">
      <c r="B264" s="208" t="str">
        <f>IF('Portfolio Register'!$A228="","",'Portfolio Register'!$A228)</f>
        <v/>
      </c>
      <c r="C264" s="208" t="str">
        <f>IF($B264="","",'Portfolio Register'!$B228)</f>
        <v/>
      </c>
      <c r="D264" s="208" t="str">
        <f>IF($B264="","",'Portfolio Register'!$I228)</f>
        <v/>
      </c>
      <c r="E264" s="208" t="str">
        <f>IF($B264="","",'Portfolio Register'!$DG228)</f>
        <v/>
      </c>
      <c r="F264" s="224" t="str">
        <f t="shared" si="71"/>
        <v/>
      </c>
      <c r="G264" s="225" t="str">
        <f>IF($B264="","",'Portfolio Register'!$J228)</f>
        <v/>
      </c>
      <c r="H264" s="225" t="str">
        <f>IF($B264="","",'Portfolio Register'!$CO228)</f>
        <v/>
      </c>
      <c r="I264" s="225" t="str">
        <f>IF($B264="","",'Portfolio Register'!$CW228)</f>
        <v/>
      </c>
      <c r="J264" s="214" t="str">
        <f t="shared" si="72"/>
        <v/>
      </c>
      <c r="K264" s="214" t="str">
        <f t="shared" si="73"/>
        <v/>
      </c>
      <c r="L264" s="214" t="str">
        <f t="shared" si="74"/>
        <v/>
      </c>
      <c r="M264" s="214" t="str">
        <f t="shared" si="75"/>
        <v/>
      </c>
      <c r="N264" s="214" t="str">
        <f t="shared" si="76"/>
        <v/>
      </c>
      <c r="O264" s="214" t="str">
        <f t="shared" si="77"/>
        <v/>
      </c>
      <c r="P264" s="214" t="str">
        <f t="shared" si="78"/>
        <v/>
      </c>
      <c r="Q264" s="214" t="str">
        <f t="shared" si="79"/>
        <v/>
      </c>
      <c r="R264" s="214" t="str">
        <f t="shared" si="80"/>
        <v/>
      </c>
      <c r="S264" s="214" t="str">
        <f t="shared" si="81"/>
        <v/>
      </c>
      <c r="T264" s="214" t="str">
        <f t="shared" si="82"/>
        <v/>
      </c>
      <c r="U264" s="214" t="str">
        <f t="shared" si="83"/>
        <v/>
      </c>
      <c r="V264" s="214" t="str">
        <f t="shared" si="84"/>
        <v/>
      </c>
      <c r="W264" s="214" t="str">
        <f t="shared" si="85"/>
        <v/>
      </c>
      <c r="X264" s="214" t="str">
        <f t="shared" si="86"/>
        <v/>
      </c>
      <c r="Y264" s="214" t="str">
        <f t="shared" si="87"/>
        <v/>
      </c>
      <c r="Z264" s="214" t="str">
        <f t="shared" si="88"/>
        <v/>
      </c>
      <c r="AA264" s="214" t="str">
        <f t="shared" si="89"/>
        <v/>
      </c>
      <c r="AB264" s="214" t="str">
        <f t="shared" si="90"/>
        <v/>
      </c>
      <c r="AC264" s="214" t="str">
        <f t="shared" si="91"/>
        <v/>
      </c>
    </row>
    <row r="265" spans="2:29" x14ac:dyDescent="0.35">
      <c r="B265" s="208" t="str">
        <f>IF('Portfolio Register'!$A229="","",'Portfolio Register'!$A229)</f>
        <v/>
      </c>
      <c r="C265" s="208" t="str">
        <f>IF($B265="","",'Portfolio Register'!$B229)</f>
        <v/>
      </c>
      <c r="D265" s="208" t="str">
        <f>IF($B265="","",'Portfolio Register'!$I229)</f>
        <v/>
      </c>
      <c r="E265" s="208" t="str">
        <f>IF($B265="","",'Portfolio Register'!$DG229)</f>
        <v/>
      </c>
      <c r="F265" s="224" t="str">
        <f t="shared" si="71"/>
        <v/>
      </c>
      <c r="G265" s="225" t="str">
        <f>IF($B265="","",'Portfolio Register'!$J229)</f>
        <v/>
      </c>
      <c r="H265" s="225" t="str">
        <f>IF($B265="","",'Portfolio Register'!$CO229)</f>
        <v/>
      </c>
      <c r="I265" s="225" t="str">
        <f>IF($B265="","",'Portfolio Register'!$CW229)</f>
        <v/>
      </c>
      <c r="J265" s="214" t="str">
        <f t="shared" si="72"/>
        <v/>
      </c>
      <c r="K265" s="214" t="str">
        <f t="shared" si="73"/>
        <v/>
      </c>
      <c r="L265" s="214" t="str">
        <f t="shared" si="74"/>
        <v/>
      </c>
      <c r="M265" s="214" t="str">
        <f t="shared" si="75"/>
        <v/>
      </c>
      <c r="N265" s="214" t="str">
        <f t="shared" si="76"/>
        <v/>
      </c>
      <c r="O265" s="214" t="str">
        <f t="shared" si="77"/>
        <v/>
      </c>
      <c r="P265" s="214" t="str">
        <f t="shared" si="78"/>
        <v/>
      </c>
      <c r="Q265" s="214" t="str">
        <f t="shared" si="79"/>
        <v/>
      </c>
      <c r="R265" s="214" t="str">
        <f t="shared" si="80"/>
        <v/>
      </c>
      <c r="S265" s="214" t="str">
        <f t="shared" si="81"/>
        <v/>
      </c>
      <c r="T265" s="214" t="str">
        <f t="shared" si="82"/>
        <v/>
      </c>
      <c r="U265" s="214" t="str">
        <f t="shared" si="83"/>
        <v/>
      </c>
      <c r="V265" s="214" t="str">
        <f t="shared" si="84"/>
        <v/>
      </c>
      <c r="W265" s="214" t="str">
        <f t="shared" si="85"/>
        <v/>
      </c>
      <c r="X265" s="214" t="str">
        <f t="shared" si="86"/>
        <v/>
      </c>
      <c r="Y265" s="214" t="str">
        <f t="shared" si="87"/>
        <v/>
      </c>
      <c r="Z265" s="214" t="str">
        <f t="shared" si="88"/>
        <v/>
      </c>
      <c r="AA265" s="214" t="str">
        <f t="shared" si="89"/>
        <v/>
      </c>
      <c r="AB265" s="214" t="str">
        <f t="shared" si="90"/>
        <v/>
      </c>
      <c r="AC265" s="214" t="str">
        <f t="shared" si="91"/>
        <v/>
      </c>
    </row>
    <row r="266" spans="2:29" x14ac:dyDescent="0.35">
      <c r="B266" s="208" t="str">
        <f>IF('Portfolio Register'!$A230="","",'Portfolio Register'!$A230)</f>
        <v/>
      </c>
      <c r="C266" s="208" t="str">
        <f>IF($B266="","",'Portfolio Register'!$B230)</f>
        <v/>
      </c>
      <c r="D266" s="208" t="str">
        <f>IF($B266="","",'Portfolio Register'!$I230)</f>
        <v/>
      </c>
      <c r="E266" s="208" t="str">
        <f>IF($B266="","",'Portfolio Register'!$DG230)</f>
        <v/>
      </c>
      <c r="F266" s="224" t="str">
        <f t="shared" si="71"/>
        <v/>
      </c>
      <c r="G266" s="225" t="str">
        <f>IF($B266="","",'Portfolio Register'!$J230)</f>
        <v/>
      </c>
      <c r="H266" s="225" t="str">
        <f>IF($B266="","",'Portfolio Register'!$CO230)</f>
        <v/>
      </c>
      <c r="I266" s="225" t="str">
        <f>IF($B266="","",'Portfolio Register'!$CW230)</f>
        <v/>
      </c>
      <c r="J266" s="214" t="str">
        <f t="shared" si="72"/>
        <v/>
      </c>
      <c r="K266" s="214" t="str">
        <f t="shared" si="73"/>
        <v/>
      </c>
      <c r="L266" s="214" t="str">
        <f t="shared" si="74"/>
        <v/>
      </c>
      <c r="M266" s="214" t="str">
        <f t="shared" si="75"/>
        <v/>
      </c>
      <c r="N266" s="214" t="str">
        <f t="shared" si="76"/>
        <v/>
      </c>
      <c r="O266" s="214" t="str">
        <f t="shared" si="77"/>
        <v/>
      </c>
      <c r="P266" s="214" t="str">
        <f t="shared" si="78"/>
        <v/>
      </c>
      <c r="Q266" s="214" t="str">
        <f t="shared" si="79"/>
        <v/>
      </c>
      <c r="R266" s="214" t="str">
        <f t="shared" si="80"/>
        <v/>
      </c>
      <c r="S266" s="214" t="str">
        <f t="shared" si="81"/>
        <v/>
      </c>
      <c r="T266" s="214" t="str">
        <f t="shared" si="82"/>
        <v/>
      </c>
      <c r="U266" s="214" t="str">
        <f t="shared" si="83"/>
        <v/>
      </c>
      <c r="V266" s="214" t="str">
        <f t="shared" si="84"/>
        <v/>
      </c>
      <c r="W266" s="214" t="str">
        <f t="shared" si="85"/>
        <v/>
      </c>
      <c r="X266" s="214" t="str">
        <f t="shared" si="86"/>
        <v/>
      </c>
      <c r="Y266" s="214" t="str">
        <f t="shared" si="87"/>
        <v/>
      </c>
      <c r="Z266" s="214" t="str">
        <f t="shared" si="88"/>
        <v/>
      </c>
      <c r="AA266" s="214" t="str">
        <f t="shared" si="89"/>
        <v/>
      </c>
      <c r="AB266" s="214" t="str">
        <f t="shared" si="90"/>
        <v/>
      </c>
      <c r="AC266" s="214" t="str">
        <f t="shared" si="91"/>
        <v/>
      </c>
    </row>
    <row r="267" spans="2:29" x14ac:dyDescent="0.35">
      <c r="B267" s="208" t="str">
        <f>IF('Portfolio Register'!$A231="","",'Portfolio Register'!$A231)</f>
        <v/>
      </c>
      <c r="C267" s="208" t="str">
        <f>IF($B267="","",'Portfolio Register'!$B231)</f>
        <v/>
      </c>
      <c r="D267" s="208" t="str">
        <f>IF($B267="","",'Portfolio Register'!$I231)</f>
        <v/>
      </c>
      <c r="E267" s="208" t="str">
        <f>IF($B267="","",'Portfolio Register'!$DG231)</f>
        <v/>
      </c>
      <c r="F267" s="224" t="str">
        <f t="shared" si="71"/>
        <v/>
      </c>
      <c r="G267" s="225" t="str">
        <f>IF($B267="","",'Portfolio Register'!$J231)</f>
        <v/>
      </c>
      <c r="H267" s="225" t="str">
        <f>IF($B267="","",'Portfolio Register'!$CO231)</f>
        <v/>
      </c>
      <c r="I267" s="225" t="str">
        <f>IF($B267="","",'Portfolio Register'!$CW231)</f>
        <v/>
      </c>
      <c r="J267" s="214" t="str">
        <f t="shared" si="72"/>
        <v/>
      </c>
      <c r="K267" s="214" t="str">
        <f t="shared" si="73"/>
        <v/>
      </c>
      <c r="L267" s="214" t="str">
        <f t="shared" si="74"/>
        <v/>
      </c>
      <c r="M267" s="214" t="str">
        <f t="shared" si="75"/>
        <v/>
      </c>
      <c r="N267" s="214" t="str">
        <f t="shared" si="76"/>
        <v/>
      </c>
      <c r="O267" s="214" t="str">
        <f t="shared" si="77"/>
        <v/>
      </c>
      <c r="P267" s="214" t="str">
        <f t="shared" si="78"/>
        <v/>
      </c>
      <c r="Q267" s="214" t="str">
        <f t="shared" si="79"/>
        <v/>
      </c>
      <c r="R267" s="214" t="str">
        <f t="shared" si="80"/>
        <v/>
      </c>
      <c r="S267" s="214" t="str">
        <f t="shared" si="81"/>
        <v/>
      </c>
      <c r="T267" s="214" t="str">
        <f t="shared" si="82"/>
        <v/>
      </c>
      <c r="U267" s="214" t="str">
        <f t="shared" si="83"/>
        <v/>
      </c>
      <c r="V267" s="214" t="str">
        <f t="shared" si="84"/>
        <v/>
      </c>
      <c r="W267" s="214" t="str">
        <f t="shared" si="85"/>
        <v/>
      </c>
      <c r="X267" s="214" t="str">
        <f t="shared" si="86"/>
        <v/>
      </c>
      <c r="Y267" s="214" t="str">
        <f t="shared" si="87"/>
        <v/>
      </c>
      <c r="Z267" s="214" t="str">
        <f t="shared" si="88"/>
        <v/>
      </c>
      <c r="AA267" s="214" t="str">
        <f t="shared" si="89"/>
        <v/>
      </c>
      <c r="AB267" s="214" t="str">
        <f t="shared" si="90"/>
        <v/>
      </c>
      <c r="AC267" s="214" t="str">
        <f t="shared" si="91"/>
        <v/>
      </c>
    </row>
    <row r="268" spans="2:29" x14ac:dyDescent="0.35">
      <c r="B268" s="208" t="str">
        <f>IF('Portfolio Register'!$A232="","",'Portfolio Register'!$A232)</f>
        <v/>
      </c>
      <c r="C268" s="208" t="str">
        <f>IF($B268="","",'Portfolio Register'!$B232)</f>
        <v/>
      </c>
      <c r="D268" s="208" t="str">
        <f>IF($B268="","",'Portfolio Register'!$I232)</f>
        <v/>
      </c>
      <c r="E268" s="208" t="str">
        <f>IF($B268="","",'Portfolio Register'!$DG232)</f>
        <v/>
      </c>
      <c r="F268" s="224" t="str">
        <f t="shared" si="71"/>
        <v/>
      </c>
      <c r="G268" s="225" t="str">
        <f>IF($B268="","",'Portfolio Register'!$J232)</f>
        <v/>
      </c>
      <c r="H268" s="225" t="str">
        <f>IF($B268="","",'Portfolio Register'!$CO232)</f>
        <v/>
      </c>
      <c r="I268" s="225" t="str">
        <f>IF($B268="","",'Portfolio Register'!$CW232)</f>
        <v/>
      </c>
      <c r="J268" s="214" t="str">
        <f t="shared" si="72"/>
        <v/>
      </c>
      <c r="K268" s="214" t="str">
        <f t="shared" si="73"/>
        <v/>
      </c>
      <c r="L268" s="214" t="str">
        <f t="shared" si="74"/>
        <v/>
      </c>
      <c r="M268" s="214" t="str">
        <f t="shared" si="75"/>
        <v/>
      </c>
      <c r="N268" s="214" t="str">
        <f t="shared" si="76"/>
        <v/>
      </c>
      <c r="O268" s="214" t="str">
        <f t="shared" si="77"/>
        <v/>
      </c>
      <c r="P268" s="214" t="str">
        <f t="shared" si="78"/>
        <v/>
      </c>
      <c r="Q268" s="214" t="str">
        <f t="shared" si="79"/>
        <v/>
      </c>
      <c r="R268" s="214" t="str">
        <f t="shared" si="80"/>
        <v/>
      </c>
      <c r="S268" s="214" t="str">
        <f t="shared" si="81"/>
        <v/>
      </c>
      <c r="T268" s="214" t="str">
        <f t="shared" si="82"/>
        <v/>
      </c>
      <c r="U268" s="214" t="str">
        <f t="shared" si="83"/>
        <v/>
      </c>
      <c r="V268" s="214" t="str">
        <f t="shared" si="84"/>
        <v/>
      </c>
      <c r="W268" s="214" t="str">
        <f t="shared" si="85"/>
        <v/>
      </c>
      <c r="X268" s="214" t="str">
        <f t="shared" si="86"/>
        <v/>
      </c>
      <c r="Y268" s="214" t="str">
        <f t="shared" si="87"/>
        <v/>
      </c>
      <c r="Z268" s="214" t="str">
        <f t="shared" si="88"/>
        <v/>
      </c>
      <c r="AA268" s="214" t="str">
        <f t="shared" si="89"/>
        <v/>
      </c>
      <c r="AB268" s="214" t="str">
        <f t="shared" si="90"/>
        <v/>
      </c>
      <c r="AC268" s="214" t="str">
        <f t="shared" si="91"/>
        <v/>
      </c>
    </row>
    <row r="269" spans="2:29" x14ac:dyDescent="0.35">
      <c r="B269" s="208" t="str">
        <f>IF('Portfolio Register'!$A233="","",'Portfolio Register'!$A233)</f>
        <v/>
      </c>
      <c r="C269" s="208" t="str">
        <f>IF($B269="","",'Portfolio Register'!$B233)</f>
        <v/>
      </c>
      <c r="D269" s="208" t="str">
        <f>IF($B269="","",'Portfolio Register'!$I233)</f>
        <v/>
      </c>
      <c r="E269" s="208" t="str">
        <f>IF($B269="","",'Portfolio Register'!$DG233)</f>
        <v/>
      </c>
      <c r="F269" s="224" t="str">
        <f t="shared" si="71"/>
        <v/>
      </c>
      <c r="G269" s="225" t="str">
        <f>IF($B269="","",'Portfolio Register'!$J233)</f>
        <v/>
      </c>
      <c r="H269" s="225" t="str">
        <f>IF($B269="","",'Portfolio Register'!$CO233)</f>
        <v/>
      </c>
      <c r="I269" s="225" t="str">
        <f>IF($B269="","",'Portfolio Register'!$CW233)</f>
        <v/>
      </c>
      <c r="J269" s="214" t="str">
        <f t="shared" si="72"/>
        <v/>
      </c>
      <c r="K269" s="214" t="str">
        <f t="shared" si="73"/>
        <v/>
      </c>
      <c r="L269" s="214" t="str">
        <f t="shared" si="74"/>
        <v/>
      </c>
      <c r="M269" s="214" t="str">
        <f t="shared" si="75"/>
        <v/>
      </c>
      <c r="N269" s="214" t="str">
        <f t="shared" si="76"/>
        <v/>
      </c>
      <c r="O269" s="214" t="str">
        <f t="shared" si="77"/>
        <v/>
      </c>
      <c r="P269" s="214" t="str">
        <f t="shared" si="78"/>
        <v/>
      </c>
      <c r="Q269" s="214" t="str">
        <f t="shared" si="79"/>
        <v/>
      </c>
      <c r="R269" s="214" t="str">
        <f t="shared" si="80"/>
        <v/>
      </c>
      <c r="S269" s="214" t="str">
        <f t="shared" si="81"/>
        <v/>
      </c>
      <c r="T269" s="214" t="str">
        <f t="shared" si="82"/>
        <v/>
      </c>
      <c r="U269" s="214" t="str">
        <f t="shared" si="83"/>
        <v/>
      </c>
      <c r="V269" s="214" t="str">
        <f t="shared" si="84"/>
        <v/>
      </c>
      <c r="W269" s="214" t="str">
        <f t="shared" si="85"/>
        <v/>
      </c>
      <c r="X269" s="214" t="str">
        <f t="shared" si="86"/>
        <v/>
      </c>
      <c r="Y269" s="214" t="str">
        <f t="shared" si="87"/>
        <v/>
      </c>
      <c r="Z269" s="214" t="str">
        <f t="shared" si="88"/>
        <v/>
      </c>
      <c r="AA269" s="214" t="str">
        <f t="shared" si="89"/>
        <v/>
      </c>
      <c r="AB269" s="214" t="str">
        <f t="shared" si="90"/>
        <v/>
      </c>
      <c r="AC269" s="214" t="str">
        <f t="shared" si="91"/>
        <v/>
      </c>
    </row>
    <row r="270" spans="2:29" x14ac:dyDescent="0.35">
      <c r="B270" s="208" t="str">
        <f>IF('Portfolio Register'!$A234="","",'Portfolio Register'!$A234)</f>
        <v/>
      </c>
      <c r="C270" s="208" t="str">
        <f>IF($B270="","",'Portfolio Register'!$B234)</f>
        <v/>
      </c>
      <c r="D270" s="208" t="str">
        <f>IF($B270="","",'Portfolio Register'!$I234)</f>
        <v/>
      </c>
      <c r="E270" s="208" t="str">
        <f>IF($B270="","",'Portfolio Register'!$DG234)</f>
        <v/>
      </c>
      <c r="F270" s="224" t="str">
        <f t="shared" si="71"/>
        <v/>
      </c>
      <c r="G270" s="225" t="str">
        <f>IF($B270="","",'Portfolio Register'!$J234)</f>
        <v/>
      </c>
      <c r="H270" s="225" t="str">
        <f>IF($B270="","",'Portfolio Register'!$CO234)</f>
        <v/>
      </c>
      <c r="I270" s="225" t="str">
        <f>IF($B270="","",'Portfolio Register'!$CW234)</f>
        <v/>
      </c>
      <c r="J270" s="214" t="str">
        <f t="shared" si="72"/>
        <v/>
      </c>
      <c r="K270" s="214" t="str">
        <f t="shared" si="73"/>
        <v/>
      </c>
      <c r="L270" s="214" t="str">
        <f t="shared" si="74"/>
        <v/>
      </c>
      <c r="M270" s="214" t="str">
        <f t="shared" si="75"/>
        <v/>
      </c>
      <c r="N270" s="214" t="str">
        <f t="shared" si="76"/>
        <v/>
      </c>
      <c r="O270" s="214" t="str">
        <f t="shared" si="77"/>
        <v/>
      </c>
      <c r="P270" s="214" t="str">
        <f t="shared" si="78"/>
        <v/>
      </c>
      <c r="Q270" s="214" t="str">
        <f t="shared" si="79"/>
        <v/>
      </c>
      <c r="R270" s="214" t="str">
        <f t="shared" si="80"/>
        <v/>
      </c>
      <c r="S270" s="214" t="str">
        <f t="shared" si="81"/>
        <v/>
      </c>
      <c r="T270" s="214" t="str">
        <f t="shared" si="82"/>
        <v/>
      </c>
      <c r="U270" s="214" t="str">
        <f t="shared" si="83"/>
        <v/>
      </c>
      <c r="V270" s="214" t="str">
        <f t="shared" si="84"/>
        <v/>
      </c>
      <c r="W270" s="214" t="str">
        <f t="shared" si="85"/>
        <v/>
      </c>
      <c r="X270" s="214" t="str">
        <f t="shared" si="86"/>
        <v/>
      </c>
      <c r="Y270" s="214" t="str">
        <f t="shared" si="87"/>
        <v/>
      </c>
      <c r="Z270" s="214" t="str">
        <f t="shared" si="88"/>
        <v/>
      </c>
      <c r="AA270" s="214" t="str">
        <f t="shared" si="89"/>
        <v/>
      </c>
      <c r="AB270" s="214" t="str">
        <f t="shared" si="90"/>
        <v/>
      </c>
      <c r="AC270" s="214" t="str">
        <f t="shared" si="91"/>
        <v/>
      </c>
    </row>
    <row r="271" spans="2:29" x14ac:dyDescent="0.35">
      <c r="B271" s="208" t="str">
        <f>IF('Portfolio Register'!$A235="","",'Portfolio Register'!$A235)</f>
        <v/>
      </c>
      <c r="C271" s="208" t="str">
        <f>IF($B271="","",'Portfolio Register'!$B235)</f>
        <v/>
      </c>
      <c r="D271" s="208" t="str">
        <f>IF($B271="","",'Portfolio Register'!$I235)</f>
        <v/>
      </c>
      <c r="E271" s="208" t="str">
        <f>IF($B271="","",'Portfolio Register'!$DG235)</f>
        <v/>
      </c>
      <c r="F271" s="224" t="str">
        <f t="shared" si="71"/>
        <v/>
      </c>
      <c r="G271" s="225" t="str">
        <f>IF($B271="","",'Portfolio Register'!$J235)</f>
        <v/>
      </c>
      <c r="H271" s="225" t="str">
        <f>IF($B271="","",'Portfolio Register'!$CO235)</f>
        <v/>
      </c>
      <c r="I271" s="225" t="str">
        <f>IF($B271="","",'Portfolio Register'!$CW235)</f>
        <v/>
      </c>
      <c r="J271" s="214" t="str">
        <f t="shared" si="72"/>
        <v/>
      </c>
      <c r="K271" s="214" t="str">
        <f t="shared" si="73"/>
        <v/>
      </c>
      <c r="L271" s="214" t="str">
        <f t="shared" si="74"/>
        <v/>
      </c>
      <c r="M271" s="214" t="str">
        <f t="shared" si="75"/>
        <v/>
      </c>
      <c r="N271" s="214" t="str">
        <f t="shared" si="76"/>
        <v/>
      </c>
      <c r="O271" s="214" t="str">
        <f t="shared" si="77"/>
        <v/>
      </c>
      <c r="P271" s="214" t="str">
        <f t="shared" si="78"/>
        <v/>
      </c>
      <c r="Q271" s="214" t="str">
        <f t="shared" si="79"/>
        <v/>
      </c>
      <c r="R271" s="214" t="str">
        <f t="shared" si="80"/>
        <v/>
      </c>
      <c r="S271" s="214" t="str">
        <f t="shared" si="81"/>
        <v/>
      </c>
      <c r="T271" s="214" t="str">
        <f t="shared" si="82"/>
        <v/>
      </c>
      <c r="U271" s="214" t="str">
        <f t="shared" si="83"/>
        <v/>
      </c>
      <c r="V271" s="214" t="str">
        <f t="shared" si="84"/>
        <v/>
      </c>
      <c r="W271" s="214" t="str">
        <f t="shared" si="85"/>
        <v/>
      </c>
      <c r="X271" s="214" t="str">
        <f t="shared" si="86"/>
        <v/>
      </c>
      <c r="Y271" s="214" t="str">
        <f t="shared" si="87"/>
        <v/>
      </c>
      <c r="Z271" s="214" t="str">
        <f t="shared" si="88"/>
        <v/>
      </c>
      <c r="AA271" s="214" t="str">
        <f t="shared" si="89"/>
        <v/>
      </c>
      <c r="AB271" s="214" t="str">
        <f t="shared" si="90"/>
        <v/>
      </c>
      <c r="AC271" s="214" t="str">
        <f t="shared" si="91"/>
        <v/>
      </c>
    </row>
    <row r="272" spans="2:29" x14ac:dyDescent="0.35">
      <c r="B272" s="208" t="str">
        <f>IF('Portfolio Register'!$A236="","",'Portfolio Register'!$A236)</f>
        <v/>
      </c>
      <c r="C272" s="208" t="str">
        <f>IF($B272="","",'Portfolio Register'!$B236)</f>
        <v/>
      </c>
      <c r="D272" s="208" t="str">
        <f>IF($B272="","",'Portfolio Register'!$I236)</f>
        <v/>
      </c>
      <c r="E272" s="208" t="str">
        <f>IF($B272="","",'Portfolio Register'!$DG236)</f>
        <v/>
      </c>
      <c r="F272" s="224" t="str">
        <f t="shared" si="71"/>
        <v/>
      </c>
      <c r="G272" s="225" t="str">
        <f>IF($B272="","",'Portfolio Register'!$J236)</f>
        <v/>
      </c>
      <c r="H272" s="225" t="str">
        <f>IF($B272="","",'Portfolio Register'!$CO236)</f>
        <v/>
      </c>
      <c r="I272" s="225" t="str">
        <f>IF($B272="","",'Portfolio Register'!$CW236)</f>
        <v/>
      </c>
      <c r="J272" s="214" t="str">
        <f t="shared" si="72"/>
        <v/>
      </c>
      <c r="K272" s="214" t="str">
        <f t="shared" si="73"/>
        <v/>
      </c>
      <c r="L272" s="214" t="str">
        <f t="shared" si="74"/>
        <v/>
      </c>
      <c r="M272" s="214" t="str">
        <f t="shared" si="75"/>
        <v/>
      </c>
      <c r="N272" s="214" t="str">
        <f t="shared" si="76"/>
        <v/>
      </c>
      <c r="O272" s="214" t="str">
        <f t="shared" si="77"/>
        <v/>
      </c>
      <c r="P272" s="214" t="str">
        <f t="shared" si="78"/>
        <v/>
      </c>
      <c r="Q272" s="214" t="str">
        <f t="shared" si="79"/>
        <v/>
      </c>
      <c r="R272" s="214" t="str">
        <f t="shared" si="80"/>
        <v/>
      </c>
      <c r="S272" s="214" t="str">
        <f t="shared" si="81"/>
        <v/>
      </c>
      <c r="T272" s="214" t="str">
        <f t="shared" si="82"/>
        <v/>
      </c>
      <c r="U272" s="214" t="str">
        <f t="shared" si="83"/>
        <v/>
      </c>
      <c r="V272" s="214" t="str">
        <f t="shared" si="84"/>
        <v/>
      </c>
      <c r="W272" s="214" t="str">
        <f t="shared" si="85"/>
        <v/>
      </c>
      <c r="X272" s="214" t="str">
        <f t="shared" si="86"/>
        <v/>
      </c>
      <c r="Y272" s="214" t="str">
        <f t="shared" si="87"/>
        <v/>
      </c>
      <c r="Z272" s="214" t="str">
        <f t="shared" si="88"/>
        <v/>
      </c>
      <c r="AA272" s="214" t="str">
        <f t="shared" si="89"/>
        <v/>
      </c>
      <c r="AB272" s="214" t="str">
        <f t="shared" si="90"/>
        <v/>
      </c>
      <c r="AC272" s="214" t="str">
        <f t="shared" si="91"/>
        <v/>
      </c>
    </row>
    <row r="273" spans="2:29" x14ac:dyDescent="0.35">
      <c r="B273" s="208" t="str">
        <f>IF('Portfolio Register'!$A237="","",'Portfolio Register'!$A237)</f>
        <v/>
      </c>
      <c r="C273" s="208" t="str">
        <f>IF($B273="","",'Portfolio Register'!$B237)</f>
        <v/>
      </c>
      <c r="D273" s="208" t="str">
        <f>IF($B273="","",'Portfolio Register'!$I237)</f>
        <v/>
      </c>
      <c r="E273" s="208" t="str">
        <f>IF($B273="","",'Portfolio Register'!$DG237)</f>
        <v/>
      </c>
      <c r="F273" s="224" t="str">
        <f t="shared" si="71"/>
        <v/>
      </c>
      <c r="G273" s="225" t="str">
        <f>IF($B273="","",'Portfolio Register'!$J237)</f>
        <v/>
      </c>
      <c r="H273" s="225" t="str">
        <f>IF($B273="","",'Portfolio Register'!$CO237)</f>
        <v/>
      </c>
      <c r="I273" s="225" t="str">
        <f>IF($B273="","",'Portfolio Register'!$CW237)</f>
        <v/>
      </c>
      <c r="J273" s="214" t="str">
        <f t="shared" si="72"/>
        <v/>
      </c>
      <c r="K273" s="214" t="str">
        <f t="shared" si="73"/>
        <v/>
      </c>
      <c r="L273" s="214" t="str">
        <f t="shared" si="74"/>
        <v/>
      </c>
      <c r="M273" s="214" t="str">
        <f t="shared" si="75"/>
        <v/>
      </c>
      <c r="N273" s="214" t="str">
        <f t="shared" si="76"/>
        <v/>
      </c>
      <c r="O273" s="214" t="str">
        <f t="shared" si="77"/>
        <v/>
      </c>
      <c r="P273" s="214" t="str">
        <f t="shared" si="78"/>
        <v/>
      </c>
      <c r="Q273" s="214" t="str">
        <f t="shared" si="79"/>
        <v/>
      </c>
      <c r="R273" s="214" t="str">
        <f t="shared" si="80"/>
        <v/>
      </c>
      <c r="S273" s="214" t="str">
        <f t="shared" si="81"/>
        <v/>
      </c>
      <c r="T273" s="214" t="str">
        <f t="shared" si="82"/>
        <v/>
      </c>
      <c r="U273" s="214" t="str">
        <f t="shared" si="83"/>
        <v/>
      </c>
      <c r="V273" s="214" t="str">
        <f t="shared" si="84"/>
        <v/>
      </c>
      <c r="W273" s="214" t="str">
        <f t="shared" si="85"/>
        <v/>
      </c>
      <c r="X273" s="214" t="str">
        <f t="shared" si="86"/>
        <v/>
      </c>
      <c r="Y273" s="214" t="str">
        <f t="shared" si="87"/>
        <v/>
      </c>
      <c r="Z273" s="214" t="str">
        <f t="shared" si="88"/>
        <v/>
      </c>
      <c r="AA273" s="214" t="str">
        <f t="shared" si="89"/>
        <v/>
      </c>
      <c r="AB273" s="214" t="str">
        <f t="shared" si="90"/>
        <v/>
      </c>
      <c r="AC273" s="214" t="str">
        <f t="shared" si="91"/>
        <v/>
      </c>
    </row>
    <row r="274" spans="2:29" x14ac:dyDescent="0.35">
      <c r="B274" s="208" t="str">
        <f>IF('Portfolio Register'!$A238="","",'Portfolio Register'!$A238)</f>
        <v/>
      </c>
      <c r="C274" s="208" t="str">
        <f>IF($B274="","",'Portfolio Register'!$B238)</f>
        <v/>
      </c>
      <c r="D274" s="208" t="str">
        <f>IF($B274="","",'Portfolio Register'!$I238)</f>
        <v/>
      </c>
      <c r="E274" s="208" t="str">
        <f>IF($B274="","",'Portfolio Register'!$DG238)</f>
        <v/>
      </c>
      <c r="F274" s="224" t="str">
        <f t="shared" si="71"/>
        <v/>
      </c>
      <c r="G274" s="225" t="str">
        <f>IF($B274="","",'Portfolio Register'!$J238)</f>
        <v/>
      </c>
      <c r="H274" s="225" t="str">
        <f>IF($B274="","",'Portfolio Register'!$CO238)</f>
        <v/>
      </c>
      <c r="I274" s="225" t="str">
        <f>IF($B274="","",'Portfolio Register'!$CW238)</f>
        <v/>
      </c>
      <c r="J274" s="214" t="str">
        <f t="shared" si="72"/>
        <v/>
      </c>
      <c r="K274" s="214" t="str">
        <f t="shared" si="73"/>
        <v/>
      </c>
      <c r="L274" s="214" t="str">
        <f t="shared" si="74"/>
        <v/>
      </c>
      <c r="M274" s="214" t="str">
        <f t="shared" si="75"/>
        <v/>
      </c>
      <c r="N274" s="214" t="str">
        <f t="shared" si="76"/>
        <v/>
      </c>
      <c r="O274" s="214" t="str">
        <f t="shared" si="77"/>
        <v/>
      </c>
      <c r="P274" s="214" t="str">
        <f t="shared" si="78"/>
        <v/>
      </c>
      <c r="Q274" s="214" t="str">
        <f t="shared" si="79"/>
        <v/>
      </c>
      <c r="R274" s="214" t="str">
        <f t="shared" si="80"/>
        <v/>
      </c>
      <c r="S274" s="214" t="str">
        <f t="shared" si="81"/>
        <v/>
      </c>
      <c r="T274" s="214" t="str">
        <f t="shared" si="82"/>
        <v/>
      </c>
      <c r="U274" s="214" t="str">
        <f t="shared" si="83"/>
        <v/>
      </c>
      <c r="V274" s="214" t="str">
        <f t="shared" si="84"/>
        <v/>
      </c>
      <c r="W274" s="214" t="str">
        <f t="shared" si="85"/>
        <v/>
      </c>
      <c r="X274" s="214" t="str">
        <f t="shared" si="86"/>
        <v/>
      </c>
      <c r="Y274" s="214" t="str">
        <f t="shared" si="87"/>
        <v/>
      </c>
      <c r="Z274" s="214" t="str">
        <f t="shared" si="88"/>
        <v/>
      </c>
      <c r="AA274" s="214" t="str">
        <f t="shared" si="89"/>
        <v/>
      </c>
      <c r="AB274" s="214" t="str">
        <f t="shared" si="90"/>
        <v/>
      </c>
      <c r="AC274" s="214" t="str">
        <f t="shared" si="91"/>
        <v/>
      </c>
    </row>
    <row r="275" spans="2:29" x14ac:dyDescent="0.35">
      <c r="B275" s="208" t="str">
        <f>IF('Portfolio Register'!$A239="","",'Portfolio Register'!$A239)</f>
        <v/>
      </c>
      <c r="C275" s="208" t="str">
        <f>IF($B275="","",'Portfolio Register'!$B239)</f>
        <v/>
      </c>
      <c r="D275" s="208" t="str">
        <f>IF($B275="","",'Portfolio Register'!$I239)</f>
        <v/>
      </c>
      <c r="E275" s="208" t="str">
        <f>IF($B275="","",'Portfolio Register'!$DG239)</f>
        <v/>
      </c>
      <c r="F275" s="224" t="str">
        <f t="shared" si="71"/>
        <v/>
      </c>
      <c r="G275" s="225" t="str">
        <f>IF($B275="","",'Portfolio Register'!$J239)</f>
        <v/>
      </c>
      <c r="H275" s="225" t="str">
        <f>IF($B275="","",'Portfolio Register'!$CO239)</f>
        <v/>
      </c>
      <c r="I275" s="225" t="str">
        <f>IF($B275="","",'Portfolio Register'!$CW239)</f>
        <v/>
      </c>
      <c r="J275" s="214" t="str">
        <f t="shared" si="72"/>
        <v/>
      </c>
      <c r="K275" s="214" t="str">
        <f t="shared" si="73"/>
        <v/>
      </c>
      <c r="L275" s="214" t="str">
        <f t="shared" si="74"/>
        <v/>
      </c>
      <c r="M275" s="214" t="str">
        <f t="shared" si="75"/>
        <v/>
      </c>
      <c r="N275" s="214" t="str">
        <f t="shared" si="76"/>
        <v/>
      </c>
      <c r="O275" s="214" t="str">
        <f t="shared" si="77"/>
        <v/>
      </c>
      <c r="P275" s="214" t="str">
        <f t="shared" si="78"/>
        <v/>
      </c>
      <c r="Q275" s="214" t="str">
        <f t="shared" si="79"/>
        <v/>
      </c>
      <c r="R275" s="214" t="str">
        <f t="shared" si="80"/>
        <v/>
      </c>
      <c r="S275" s="214" t="str">
        <f t="shared" si="81"/>
        <v/>
      </c>
      <c r="T275" s="214" t="str">
        <f t="shared" si="82"/>
        <v/>
      </c>
      <c r="U275" s="214" t="str">
        <f t="shared" si="83"/>
        <v/>
      </c>
      <c r="V275" s="214" t="str">
        <f t="shared" si="84"/>
        <v/>
      </c>
      <c r="W275" s="214" t="str">
        <f t="shared" si="85"/>
        <v/>
      </c>
      <c r="X275" s="214" t="str">
        <f t="shared" si="86"/>
        <v/>
      </c>
      <c r="Y275" s="214" t="str">
        <f t="shared" si="87"/>
        <v/>
      </c>
      <c r="Z275" s="214" t="str">
        <f t="shared" si="88"/>
        <v/>
      </c>
      <c r="AA275" s="214" t="str">
        <f t="shared" si="89"/>
        <v/>
      </c>
      <c r="AB275" s="214" t="str">
        <f t="shared" si="90"/>
        <v/>
      </c>
      <c r="AC275" s="214" t="str">
        <f t="shared" si="91"/>
        <v/>
      </c>
    </row>
    <row r="276" spans="2:29" x14ac:dyDescent="0.35">
      <c r="B276" s="208" t="str">
        <f>IF('Portfolio Register'!$A240="","",'Portfolio Register'!$A240)</f>
        <v/>
      </c>
      <c r="C276" s="208" t="str">
        <f>IF($B276="","",'Portfolio Register'!$B240)</f>
        <v/>
      </c>
      <c r="D276" s="208" t="str">
        <f>IF($B276="","",'Portfolio Register'!$I240)</f>
        <v/>
      </c>
      <c r="E276" s="208" t="str">
        <f>IF($B276="","",'Portfolio Register'!$DG240)</f>
        <v/>
      </c>
      <c r="F276" s="224" t="str">
        <f t="shared" si="71"/>
        <v/>
      </c>
      <c r="G276" s="225" t="str">
        <f>IF($B276="","",'Portfolio Register'!$J240)</f>
        <v/>
      </c>
      <c r="H276" s="225" t="str">
        <f>IF($B276="","",'Portfolio Register'!$CO240)</f>
        <v/>
      </c>
      <c r="I276" s="225" t="str">
        <f>IF($B276="","",'Portfolio Register'!$CW240)</f>
        <v/>
      </c>
      <c r="J276" s="214" t="str">
        <f t="shared" si="72"/>
        <v/>
      </c>
      <c r="K276" s="214" t="str">
        <f t="shared" si="73"/>
        <v/>
      </c>
      <c r="L276" s="214" t="str">
        <f t="shared" si="74"/>
        <v/>
      </c>
      <c r="M276" s="214" t="str">
        <f t="shared" si="75"/>
        <v/>
      </c>
      <c r="N276" s="214" t="str">
        <f t="shared" si="76"/>
        <v/>
      </c>
      <c r="O276" s="214" t="str">
        <f t="shared" si="77"/>
        <v/>
      </c>
      <c r="P276" s="214" t="str">
        <f t="shared" si="78"/>
        <v/>
      </c>
      <c r="Q276" s="214" t="str">
        <f t="shared" si="79"/>
        <v/>
      </c>
      <c r="R276" s="214" t="str">
        <f t="shared" si="80"/>
        <v/>
      </c>
      <c r="S276" s="214" t="str">
        <f t="shared" si="81"/>
        <v/>
      </c>
      <c r="T276" s="214" t="str">
        <f t="shared" si="82"/>
        <v/>
      </c>
      <c r="U276" s="214" t="str">
        <f t="shared" si="83"/>
        <v/>
      </c>
      <c r="V276" s="214" t="str">
        <f t="shared" si="84"/>
        <v/>
      </c>
      <c r="W276" s="214" t="str">
        <f t="shared" si="85"/>
        <v/>
      </c>
      <c r="X276" s="214" t="str">
        <f t="shared" si="86"/>
        <v/>
      </c>
      <c r="Y276" s="214" t="str">
        <f t="shared" si="87"/>
        <v/>
      </c>
      <c r="Z276" s="214" t="str">
        <f t="shared" si="88"/>
        <v/>
      </c>
      <c r="AA276" s="214" t="str">
        <f t="shared" si="89"/>
        <v/>
      </c>
      <c r="AB276" s="214" t="str">
        <f t="shared" si="90"/>
        <v/>
      </c>
      <c r="AC276" s="214" t="str">
        <f t="shared" si="91"/>
        <v/>
      </c>
    </row>
    <row r="277" spans="2:29" x14ac:dyDescent="0.35">
      <c r="B277" s="208" t="str">
        <f>IF('Portfolio Register'!$A241="","",'Portfolio Register'!$A241)</f>
        <v/>
      </c>
      <c r="C277" s="208" t="str">
        <f>IF($B277="","",'Portfolio Register'!$B241)</f>
        <v/>
      </c>
      <c r="D277" s="208" t="str">
        <f>IF($B277="","",'Portfolio Register'!$I241)</f>
        <v/>
      </c>
      <c r="E277" s="208" t="str">
        <f>IF($B277="","",'Portfolio Register'!$DG241)</f>
        <v/>
      </c>
      <c r="F277" s="224" t="str">
        <f t="shared" si="71"/>
        <v/>
      </c>
      <c r="G277" s="225" t="str">
        <f>IF($B277="","",'Portfolio Register'!$J241)</f>
        <v/>
      </c>
      <c r="H277" s="225" t="str">
        <f>IF($B277="","",'Portfolio Register'!$CO241)</f>
        <v/>
      </c>
      <c r="I277" s="225" t="str">
        <f>IF($B277="","",'Portfolio Register'!$CW241)</f>
        <v/>
      </c>
      <c r="J277" s="214" t="str">
        <f t="shared" si="72"/>
        <v/>
      </c>
      <c r="K277" s="214" t="str">
        <f t="shared" si="73"/>
        <v/>
      </c>
      <c r="L277" s="214" t="str">
        <f t="shared" si="74"/>
        <v/>
      </c>
      <c r="M277" s="214" t="str">
        <f t="shared" si="75"/>
        <v/>
      </c>
      <c r="N277" s="214" t="str">
        <f t="shared" si="76"/>
        <v/>
      </c>
      <c r="O277" s="214" t="str">
        <f t="shared" si="77"/>
        <v/>
      </c>
      <c r="P277" s="214" t="str">
        <f t="shared" si="78"/>
        <v/>
      </c>
      <c r="Q277" s="214" t="str">
        <f t="shared" si="79"/>
        <v/>
      </c>
      <c r="R277" s="214" t="str">
        <f t="shared" si="80"/>
        <v/>
      </c>
      <c r="S277" s="214" t="str">
        <f t="shared" si="81"/>
        <v/>
      </c>
      <c r="T277" s="214" t="str">
        <f t="shared" si="82"/>
        <v/>
      </c>
      <c r="U277" s="214" t="str">
        <f t="shared" si="83"/>
        <v/>
      </c>
      <c r="V277" s="214" t="str">
        <f t="shared" si="84"/>
        <v/>
      </c>
      <c r="W277" s="214" t="str">
        <f t="shared" si="85"/>
        <v/>
      </c>
      <c r="X277" s="214" t="str">
        <f t="shared" si="86"/>
        <v/>
      </c>
      <c r="Y277" s="214" t="str">
        <f t="shared" si="87"/>
        <v/>
      </c>
      <c r="Z277" s="214" t="str">
        <f t="shared" si="88"/>
        <v/>
      </c>
      <c r="AA277" s="214" t="str">
        <f t="shared" si="89"/>
        <v/>
      </c>
      <c r="AB277" s="214" t="str">
        <f t="shared" si="90"/>
        <v/>
      </c>
      <c r="AC277" s="214" t="str">
        <f t="shared" si="91"/>
        <v/>
      </c>
    </row>
    <row r="278" spans="2:29" x14ac:dyDescent="0.35">
      <c r="B278" s="208" t="str">
        <f>IF('Portfolio Register'!$A242="","",'Portfolio Register'!$A242)</f>
        <v/>
      </c>
      <c r="C278" s="208" t="str">
        <f>IF($B278="","",'Portfolio Register'!$B242)</f>
        <v/>
      </c>
      <c r="D278" s="208" t="str">
        <f>IF($B278="","",'Portfolio Register'!$I242)</f>
        <v/>
      </c>
      <c r="E278" s="208" t="str">
        <f>IF($B278="","",'Portfolio Register'!$DG242)</f>
        <v/>
      </c>
      <c r="F278" s="224" t="str">
        <f t="shared" si="71"/>
        <v/>
      </c>
      <c r="G278" s="225" t="str">
        <f>IF($B278="","",'Portfolio Register'!$J242)</f>
        <v/>
      </c>
      <c r="H278" s="225" t="str">
        <f>IF($B278="","",'Portfolio Register'!$CO242)</f>
        <v/>
      </c>
      <c r="I278" s="225" t="str">
        <f>IF($B278="","",'Portfolio Register'!$CW242)</f>
        <v/>
      </c>
      <c r="J278" s="214" t="str">
        <f t="shared" si="72"/>
        <v/>
      </c>
      <c r="K278" s="214" t="str">
        <f t="shared" si="73"/>
        <v/>
      </c>
      <c r="L278" s="214" t="str">
        <f t="shared" si="74"/>
        <v/>
      </c>
      <c r="M278" s="214" t="str">
        <f t="shared" si="75"/>
        <v/>
      </c>
      <c r="N278" s="214" t="str">
        <f t="shared" si="76"/>
        <v/>
      </c>
      <c r="O278" s="214" t="str">
        <f t="shared" si="77"/>
        <v/>
      </c>
      <c r="P278" s="214" t="str">
        <f t="shared" si="78"/>
        <v/>
      </c>
      <c r="Q278" s="214" t="str">
        <f t="shared" si="79"/>
        <v/>
      </c>
      <c r="R278" s="214" t="str">
        <f t="shared" si="80"/>
        <v/>
      </c>
      <c r="S278" s="214" t="str">
        <f t="shared" si="81"/>
        <v/>
      </c>
      <c r="T278" s="214" t="str">
        <f t="shared" si="82"/>
        <v/>
      </c>
      <c r="U278" s="214" t="str">
        <f t="shared" si="83"/>
        <v/>
      </c>
      <c r="V278" s="214" t="str">
        <f t="shared" si="84"/>
        <v/>
      </c>
      <c r="W278" s="214" t="str">
        <f t="shared" si="85"/>
        <v/>
      </c>
      <c r="X278" s="214" t="str">
        <f t="shared" si="86"/>
        <v/>
      </c>
      <c r="Y278" s="214" t="str">
        <f t="shared" si="87"/>
        <v/>
      </c>
      <c r="Z278" s="214" t="str">
        <f t="shared" si="88"/>
        <v/>
      </c>
      <c r="AA278" s="214" t="str">
        <f t="shared" si="89"/>
        <v/>
      </c>
      <c r="AB278" s="214" t="str">
        <f t="shared" si="90"/>
        <v/>
      </c>
      <c r="AC278" s="214" t="str">
        <f t="shared" si="91"/>
        <v/>
      </c>
    </row>
    <row r="279" spans="2:29" x14ac:dyDescent="0.35">
      <c r="B279" s="208" t="str">
        <f>IF('Portfolio Register'!$A243="","",'Portfolio Register'!$A243)</f>
        <v/>
      </c>
      <c r="C279" s="208" t="str">
        <f>IF($B279="","",'Portfolio Register'!$B243)</f>
        <v/>
      </c>
      <c r="D279" s="208" t="str">
        <f>IF($B279="","",'Portfolio Register'!$I243)</f>
        <v/>
      </c>
      <c r="E279" s="208" t="str">
        <f>IF($B279="","",'Portfolio Register'!$DG243)</f>
        <v/>
      </c>
      <c r="F279" s="224" t="str">
        <f t="shared" si="71"/>
        <v/>
      </c>
      <c r="G279" s="225" t="str">
        <f>IF($B279="","",'Portfolio Register'!$J243)</f>
        <v/>
      </c>
      <c r="H279" s="225" t="str">
        <f>IF($B279="","",'Portfolio Register'!$CO243)</f>
        <v/>
      </c>
      <c r="I279" s="225" t="str">
        <f>IF($B279="","",'Portfolio Register'!$CW243)</f>
        <v/>
      </c>
      <c r="J279" s="214" t="str">
        <f t="shared" si="72"/>
        <v/>
      </c>
      <c r="K279" s="214" t="str">
        <f t="shared" si="73"/>
        <v/>
      </c>
      <c r="L279" s="214" t="str">
        <f t="shared" si="74"/>
        <v/>
      </c>
      <c r="M279" s="214" t="str">
        <f t="shared" si="75"/>
        <v/>
      </c>
      <c r="N279" s="214" t="str">
        <f t="shared" si="76"/>
        <v/>
      </c>
      <c r="O279" s="214" t="str">
        <f t="shared" si="77"/>
        <v/>
      </c>
      <c r="P279" s="214" t="str">
        <f t="shared" si="78"/>
        <v/>
      </c>
      <c r="Q279" s="214" t="str">
        <f t="shared" si="79"/>
        <v/>
      </c>
      <c r="R279" s="214" t="str">
        <f t="shared" si="80"/>
        <v/>
      </c>
      <c r="S279" s="214" t="str">
        <f t="shared" si="81"/>
        <v/>
      </c>
      <c r="T279" s="214" t="str">
        <f t="shared" si="82"/>
        <v/>
      </c>
      <c r="U279" s="214" t="str">
        <f t="shared" si="83"/>
        <v/>
      </c>
      <c r="V279" s="214" t="str">
        <f t="shared" si="84"/>
        <v/>
      </c>
      <c r="W279" s="214" t="str">
        <f t="shared" si="85"/>
        <v/>
      </c>
      <c r="X279" s="214" t="str">
        <f t="shared" si="86"/>
        <v/>
      </c>
      <c r="Y279" s="214" t="str">
        <f t="shared" si="87"/>
        <v/>
      </c>
      <c r="Z279" s="214" t="str">
        <f t="shared" si="88"/>
        <v/>
      </c>
      <c r="AA279" s="214" t="str">
        <f t="shared" si="89"/>
        <v/>
      </c>
      <c r="AB279" s="214" t="str">
        <f t="shared" si="90"/>
        <v/>
      </c>
      <c r="AC279" s="214" t="str">
        <f t="shared" si="91"/>
        <v/>
      </c>
    </row>
    <row r="280" spans="2:29" x14ac:dyDescent="0.35">
      <c r="B280" s="208" t="str">
        <f>IF('Portfolio Register'!$A244="","",'Portfolio Register'!$A244)</f>
        <v/>
      </c>
      <c r="C280" s="208" t="str">
        <f>IF($B280="","",'Portfolio Register'!$B244)</f>
        <v/>
      </c>
      <c r="D280" s="208" t="str">
        <f>IF($B280="","",'Portfolio Register'!$I244)</f>
        <v/>
      </c>
      <c r="E280" s="208" t="str">
        <f>IF($B280="","",'Portfolio Register'!$DG244)</f>
        <v/>
      </c>
      <c r="F280" s="224" t="str">
        <f t="shared" si="71"/>
        <v/>
      </c>
      <c r="G280" s="225" t="str">
        <f>IF($B280="","",'Portfolio Register'!$J244)</f>
        <v/>
      </c>
      <c r="H280" s="225" t="str">
        <f>IF($B280="","",'Portfolio Register'!$CO244)</f>
        <v/>
      </c>
      <c r="I280" s="225" t="str">
        <f>IF($B280="","",'Portfolio Register'!$CW244)</f>
        <v/>
      </c>
      <c r="J280" s="214" t="str">
        <f t="shared" si="72"/>
        <v/>
      </c>
      <c r="K280" s="214" t="str">
        <f t="shared" si="73"/>
        <v/>
      </c>
      <c r="L280" s="214" t="str">
        <f t="shared" si="74"/>
        <v/>
      </c>
      <c r="M280" s="214" t="str">
        <f t="shared" si="75"/>
        <v/>
      </c>
      <c r="N280" s="214" t="str">
        <f t="shared" si="76"/>
        <v/>
      </c>
      <c r="O280" s="214" t="str">
        <f t="shared" si="77"/>
        <v/>
      </c>
      <c r="P280" s="214" t="str">
        <f t="shared" si="78"/>
        <v/>
      </c>
      <c r="Q280" s="214" t="str">
        <f t="shared" si="79"/>
        <v/>
      </c>
      <c r="R280" s="214" t="str">
        <f t="shared" si="80"/>
        <v/>
      </c>
      <c r="S280" s="214" t="str">
        <f t="shared" si="81"/>
        <v/>
      </c>
      <c r="T280" s="214" t="str">
        <f t="shared" si="82"/>
        <v/>
      </c>
      <c r="U280" s="214" t="str">
        <f t="shared" si="83"/>
        <v/>
      </c>
      <c r="V280" s="214" t="str">
        <f t="shared" si="84"/>
        <v/>
      </c>
      <c r="W280" s="214" t="str">
        <f t="shared" si="85"/>
        <v/>
      </c>
      <c r="X280" s="214" t="str">
        <f t="shared" si="86"/>
        <v/>
      </c>
      <c r="Y280" s="214" t="str">
        <f t="shared" si="87"/>
        <v/>
      </c>
      <c r="Z280" s="214" t="str">
        <f t="shared" si="88"/>
        <v/>
      </c>
      <c r="AA280" s="214" t="str">
        <f t="shared" si="89"/>
        <v/>
      </c>
      <c r="AB280" s="214" t="str">
        <f t="shared" si="90"/>
        <v/>
      </c>
      <c r="AC280" s="214" t="str">
        <f t="shared" si="91"/>
        <v/>
      </c>
    </row>
    <row r="281" spans="2:29" x14ac:dyDescent="0.35">
      <c r="B281" s="208" t="str">
        <f>IF('Portfolio Register'!$A245="","",'Portfolio Register'!$A245)</f>
        <v/>
      </c>
      <c r="C281" s="208" t="str">
        <f>IF($B281="","",'Portfolio Register'!$B245)</f>
        <v/>
      </c>
      <c r="D281" s="208" t="str">
        <f>IF($B281="","",'Portfolio Register'!$I245)</f>
        <v/>
      </c>
      <c r="E281" s="208" t="str">
        <f>IF($B281="","",'Portfolio Register'!$DG245)</f>
        <v/>
      </c>
      <c r="F281" s="224" t="str">
        <f t="shared" si="71"/>
        <v/>
      </c>
      <c r="G281" s="225" t="str">
        <f>IF($B281="","",'Portfolio Register'!$J245)</f>
        <v/>
      </c>
      <c r="H281" s="225" t="str">
        <f>IF($B281="","",'Portfolio Register'!$CO245)</f>
        <v/>
      </c>
      <c r="I281" s="225" t="str">
        <f>IF($B281="","",'Portfolio Register'!$CW245)</f>
        <v/>
      </c>
      <c r="J281" s="214" t="str">
        <f t="shared" si="72"/>
        <v/>
      </c>
      <c r="K281" s="214" t="str">
        <f t="shared" si="73"/>
        <v/>
      </c>
      <c r="L281" s="214" t="str">
        <f t="shared" si="74"/>
        <v/>
      </c>
      <c r="M281" s="214" t="str">
        <f t="shared" si="75"/>
        <v/>
      </c>
      <c r="N281" s="214" t="str">
        <f t="shared" si="76"/>
        <v/>
      </c>
      <c r="O281" s="214" t="str">
        <f t="shared" si="77"/>
        <v/>
      </c>
      <c r="P281" s="214" t="str">
        <f t="shared" si="78"/>
        <v/>
      </c>
      <c r="Q281" s="214" t="str">
        <f t="shared" si="79"/>
        <v/>
      </c>
      <c r="R281" s="214" t="str">
        <f t="shared" si="80"/>
        <v/>
      </c>
      <c r="S281" s="214" t="str">
        <f t="shared" si="81"/>
        <v/>
      </c>
      <c r="T281" s="214" t="str">
        <f t="shared" si="82"/>
        <v/>
      </c>
      <c r="U281" s="214" t="str">
        <f t="shared" si="83"/>
        <v/>
      </c>
      <c r="V281" s="214" t="str">
        <f t="shared" si="84"/>
        <v/>
      </c>
      <c r="W281" s="214" t="str">
        <f t="shared" si="85"/>
        <v/>
      </c>
      <c r="X281" s="214" t="str">
        <f t="shared" si="86"/>
        <v/>
      </c>
      <c r="Y281" s="214" t="str">
        <f t="shared" si="87"/>
        <v/>
      </c>
      <c r="Z281" s="214" t="str">
        <f t="shared" si="88"/>
        <v/>
      </c>
      <c r="AA281" s="214" t="str">
        <f t="shared" si="89"/>
        <v/>
      </c>
      <c r="AB281" s="214" t="str">
        <f t="shared" si="90"/>
        <v/>
      </c>
      <c r="AC281" s="214" t="str">
        <f t="shared" si="91"/>
        <v/>
      </c>
    </row>
    <row r="282" spans="2:29" x14ac:dyDescent="0.35">
      <c r="B282" s="208" t="str">
        <f>IF('Portfolio Register'!$A246="","",'Portfolio Register'!$A246)</f>
        <v/>
      </c>
      <c r="C282" s="208" t="str">
        <f>IF($B282="","",'Portfolio Register'!$B246)</f>
        <v/>
      </c>
      <c r="D282" s="208" t="str">
        <f>IF($B282="","",'Portfolio Register'!$I246)</f>
        <v/>
      </c>
      <c r="E282" s="208" t="str">
        <f>IF($B282="","",'Portfolio Register'!$DG246)</f>
        <v/>
      </c>
      <c r="F282" s="224" t="str">
        <f t="shared" si="71"/>
        <v/>
      </c>
      <c r="G282" s="225" t="str">
        <f>IF($B282="","",'Portfolio Register'!$J246)</f>
        <v/>
      </c>
      <c r="H282" s="225" t="str">
        <f>IF($B282="","",'Portfolio Register'!$CO246)</f>
        <v/>
      </c>
      <c r="I282" s="225" t="str">
        <f>IF($B282="","",'Portfolio Register'!$CW246)</f>
        <v/>
      </c>
      <c r="J282" s="214" t="str">
        <f t="shared" si="72"/>
        <v/>
      </c>
      <c r="K282" s="214" t="str">
        <f t="shared" si="73"/>
        <v/>
      </c>
      <c r="L282" s="214" t="str">
        <f t="shared" si="74"/>
        <v/>
      </c>
      <c r="M282" s="214" t="str">
        <f t="shared" si="75"/>
        <v/>
      </c>
      <c r="N282" s="214" t="str">
        <f t="shared" si="76"/>
        <v/>
      </c>
      <c r="O282" s="214" t="str">
        <f t="shared" si="77"/>
        <v/>
      </c>
      <c r="P282" s="214" t="str">
        <f t="shared" si="78"/>
        <v/>
      </c>
      <c r="Q282" s="214" t="str">
        <f t="shared" si="79"/>
        <v/>
      </c>
      <c r="R282" s="214" t="str">
        <f t="shared" si="80"/>
        <v/>
      </c>
      <c r="S282" s="214" t="str">
        <f t="shared" si="81"/>
        <v/>
      </c>
      <c r="T282" s="214" t="str">
        <f t="shared" si="82"/>
        <v/>
      </c>
      <c r="U282" s="214" t="str">
        <f t="shared" si="83"/>
        <v/>
      </c>
      <c r="V282" s="214" t="str">
        <f t="shared" si="84"/>
        <v/>
      </c>
      <c r="W282" s="214" t="str">
        <f t="shared" si="85"/>
        <v/>
      </c>
      <c r="X282" s="214" t="str">
        <f t="shared" si="86"/>
        <v/>
      </c>
      <c r="Y282" s="214" t="str">
        <f t="shared" si="87"/>
        <v/>
      </c>
      <c r="Z282" s="214" t="str">
        <f t="shared" si="88"/>
        <v/>
      </c>
      <c r="AA282" s="214" t="str">
        <f t="shared" si="89"/>
        <v/>
      </c>
      <c r="AB282" s="214" t="str">
        <f t="shared" si="90"/>
        <v/>
      </c>
      <c r="AC282" s="214" t="str">
        <f t="shared" si="91"/>
        <v/>
      </c>
    </row>
    <row r="283" spans="2:29" x14ac:dyDescent="0.35">
      <c r="B283" s="208" t="str">
        <f>IF('Portfolio Register'!$A247="","",'Portfolio Register'!$A247)</f>
        <v/>
      </c>
      <c r="C283" s="208" t="str">
        <f>IF($B283="","",'Portfolio Register'!$B247)</f>
        <v/>
      </c>
      <c r="D283" s="208" t="str">
        <f>IF($B283="","",'Portfolio Register'!$I247)</f>
        <v/>
      </c>
      <c r="E283" s="208" t="str">
        <f>IF($B283="","",'Portfolio Register'!$DG247)</f>
        <v/>
      </c>
      <c r="F283" s="224" t="str">
        <f t="shared" si="71"/>
        <v/>
      </c>
      <c r="G283" s="225" t="str">
        <f>IF($B283="","",'Portfolio Register'!$J247)</f>
        <v/>
      </c>
      <c r="H283" s="225" t="str">
        <f>IF($B283="","",'Portfolio Register'!$CO247)</f>
        <v/>
      </c>
      <c r="I283" s="225" t="str">
        <f>IF($B283="","",'Portfolio Register'!$CW247)</f>
        <v/>
      </c>
      <c r="J283" s="214" t="str">
        <f t="shared" si="72"/>
        <v/>
      </c>
      <c r="K283" s="214" t="str">
        <f t="shared" si="73"/>
        <v/>
      </c>
      <c r="L283" s="214" t="str">
        <f t="shared" si="74"/>
        <v/>
      </c>
      <c r="M283" s="214" t="str">
        <f t="shared" si="75"/>
        <v/>
      </c>
      <c r="N283" s="214" t="str">
        <f t="shared" si="76"/>
        <v/>
      </c>
      <c r="O283" s="214" t="str">
        <f t="shared" si="77"/>
        <v/>
      </c>
      <c r="P283" s="214" t="str">
        <f t="shared" si="78"/>
        <v/>
      </c>
      <c r="Q283" s="214" t="str">
        <f t="shared" si="79"/>
        <v/>
      </c>
      <c r="R283" s="214" t="str">
        <f t="shared" si="80"/>
        <v/>
      </c>
      <c r="S283" s="214" t="str">
        <f t="shared" si="81"/>
        <v/>
      </c>
      <c r="T283" s="214" t="str">
        <f t="shared" si="82"/>
        <v/>
      </c>
      <c r="U283" s="214" t="str">
        <f t="shared" si="83"/>
        <v/>
      </c>
      <c r="V283" s="214" t="str">
        <f t="shared" si="84"/>
        <v/>
      </c>
      <c r="W283" s="214" t="str">
        <f t="shared" si="85"/>
        <v/>
      </c>
      <c r="X283" s="214" t="str">
        <f t="shared" si="86"/>
        <v/>
      </c>
      <c r="Y283" s="214" t="str">
        <f t="shared" si="87"/>
        <v/>
      </c>
      <c r="Z283" s="214" t="str">
        <f t="shared" si="88"/>
        <v/>
      </c>
      <c r="AA283" s="214" t="str">
        <f t="shared" si="89"/>
        <v/>
      </c>
      <c r="AB283" s="214" t="str">
        <f t="shared" si="90"/>
        <v/>
      </c>
      <c r="AC283" s="214" t="str">
        <f t="shared" si="91"/>
        <v/>
      </c>
    </row>
    <row r="284" spans="2:29" x14ac:dyDescent="0.35">
      <c r="B284" s="208" t="str">
        <f>IF('Portfolio Register'!$A248="","",'Portfolio Register'!$A248)</f>
        <v/>
      </c>
      <c r="C284" s="208" t="str">
        <f>IF($B284="","",'Portfolio Register'!$B248)</f>
        <v/>
      </c>
      <c r="D284" s="208" t="str">
        <f>IF($B284="","",'Portfolio Register'!$I248)</f>
        <v/>
      </c>
      <c r="E284" s="208" t="str">
        <f>IF($B284="","",'Portfolio Register'!$DG248)</f>
        <v/>
      </c>
      <c r="F284" s="224" t="str">
        <f t="shared" si="71"/>
        <v/>
      </c>
      <c r="G284" s="225" t="str">
        <f>IF($B284="","",'Portfolio Register'!$J248)</f>
        <v/>
      </c>
      <c r="H284" s="225" t="str">
        <f>IF($B284="","",'Portfolio Register'!$CO248)</f>
        <v/>
      </c>
      <c r="I284" s="225" t="str">
        <f>IF($B284="","",'Portfolio Register'!$CW248)</f>
        <v/>
      </c>
      <c r="J284" s="214" t="str">
        <f t="shared" si="72"/>
        <v/>
      </c>
      <c r="K284" s="214" t="str">
        <f t="shared" si="73"/>
        <v/>
      </c>
      <c r="L284" s="214" t="str">
        <f t="shared" si="74"/>
        <v/>
      </c>
      <c r="M284" s="214" t="str">
        <f t="shared" si="75"/>
        <v/>
      </c>
      <c r="N284" s="214" t="str">
        <f t="shared" si="76"/>
        <v/>
      </c>
      <c r="O284" s="214" t="str">
        <f t="shared" si="77"/>
        <v/>
      </c>
      <c r="P284" s="214" t="str">
        <f t="shared" si="78"/>
        <v/>
      </c>
      <c r="Q284" s="214" t="str">
        <f t="shared" si="79"/>
        <v/>
      </c>
      <c r="R284" s="214" t="str">
        <f t="shared" si="80"/>
        <v/>
      </c>
      <c r="S284" s="214" t="str">
        <f t="shared" si="81"/>
        <v/>
      </c>
      <c r="T284" s="214" t="str">
        <f t="shared" si="82"/>
        <v/>
      </c>
      <c r="U284" s="214" t="str">
        <f t="shared" si="83"/>
        <v/>
      </c>
      <c r="V284" s="214" t="str">
        <f t="shared" si="84"/>
        <v/>
      </c>
      <c r="W284" s="214" t="str">
        <f t="shared" si="85"/>
        <v/>
      </c>
      <c r="X284" s="214" t="str">
        <f t="shared" si="86"/>
        <v/>
      </c>
      <c r="Y284" s="214" t="str">
        <f t="shared" si="87"/>
        <v/>
      </c>
      <c r="Z284" s="214" t="str">
        <f t="shared" si="88"/>
        <v/>
      </c>
      <c r="AA284" s="214" t="str">
        <f t="shared" si="89"/>
        <v/>
      </c>
      <c r="AB284" s="214" t="str">
        <f t="shared" si="90"/>
        <v/>
      </c>
      <c r="AC284" s="214" t="str">
        <f t="shared" si="91"/>
        <v/>
      </c>
    </row>
    <row r="285" spans="2:29" x14ac:dyDescent="0.35">
      <c r="B285" s="208" t="str">
        <f>IF('Portfolio Register'!$A249="","",'Portfolio Register'!$A249)</f>
        <v/>
      </c>
      <c r="C285" s="208" t="str">
        <f>IF($B285="","",'Portfolio Register'!$B249)</f>
        <v/>
      </c>
      <c r="D285" s="208" t="str">
        <f>IF($B285="","",'Portfolio Register'!$I249)</f>
        <v/>
      </c>
      <c r="E285" s="208" t="str">
        <f>IF($B285="","",'Portfolio Register'!$DG249)</f>
        <v/>
      </c>
      <c r="F285" s="224" t="str">
        <f t="shared" si="71"/>
        <v/>
      </c>
      <c r="G285" s="225" t="str">
        <f>IF($B285="","",'Portfolio Register'!$J249)</f>
        <v/>
      </c>
      <c r="H285" s="225" t="str">
        <f>IF($B285="","",'Portfolio Register'!$CO249)</f>
        <v/>
      </c>
      <c r="I285" s="225" t="str">
        <f>IF($B285="","",'Portfolio Register'!$CW249)</f>
        <v/>
      </c>
      <c r="J285" s="214" t="str">
        <f t="shared" si="72"/>
        <v/>
      </c>
      <c r="K285" s="214" t="str">
        <f t="shared" si="73"/>
        <v/>
      </c>
      <c r="L285" s="214" t="str">
        <f t="shared" si="74"/>
        <v/>
      </c>
      <c r="M285" s="214" t="str">
        <f t="shared" si="75"/>
        <v/>
      </c>
      <c r="N285" s="214" t="str">
        <f t="shared" si="76"/>
        <v/>
      </c>
      <c r="O285" s="214" t="str">
        <f t="shared" si="77"/>
        <v/>
      </c>
      <c r="P285" s="214" t="str">
        <f t="shared" si="78"/>
        <v/>
      </c>
      <c r="Q285" s="214" t="str">
        <f t="shared" si="79"/>
        <v/>
      </c>
      <c r="R285" s="214" t="str">
        <f t="shared" si="80"/>
        <v/>
      </c>
      <c r="S285" s="214" t="str">
        <f t="shared" si="81"/>
        <v/>
      </c>
      <c r="T285" s="214" t="str">
        <f t="shared" si="82"/>
        <v/>
      </c>
      <c r="U285" s="214" t="str">
        <f t="shared" si="83"/>
        <v/>
      </c>
      <c r="V285" s="214" t="str">
        <f t="shared" si="84"/>
        <v/>
      </c>
      <c r="W285" s="214" t="str">
        <f t="shared" si="85"/>
        <v/>
      </c>
      <c r="X285" s="214" t="str">
        <f t="shared" si="86"/>
        <v/>
      </c>
      <c r="Y285" s="214" t="str">
        <f t="shared" si="87"/>
        <v/>
      </c>
      <c r="Z285" s="214" t="str">
        <f t="shared" si="88"/>
        <v/>
      </c>
      <c r="AA285" s="214" t="str">
        <f t="shared" si="89"/>
        <v/>
      </c>
      <c r="AB285" s="214" t="str">
        <f t="shared" si="90"/>
        <v/>
      </c>
      <c r="AC285" s="214" t="str">
        <f t="shared" si="91"/>
        <v/>
      </c>
    </row>
    <row r="286" spans="2:29" x14ac:dyDescent="0.35">
      <c r="B286" s="208" t="str">
        <f>IF('Portfolio Register'!$A250="","",'Portfolio Register'!$A250)</f>
        <v/>
      </c>
      <c r="C286" s="208" t="str">
        <f>IF($B286="","",'Portfolio Register'!$B250)</f>
        <v/>
      </c>
      <c r="D286" s="208" t="str">
        <f>IF($B286="","",'Portfolio Register'!$I250)</f>
        <v/>
      </c>
      <c r="E286" s="208" t="str">
        <f>IF($B286="","",'Portfolio Register'!$DG250)</f>
        <v/>
      </c>
      <c r="F286" s="224" t="str">
        <f t="shared" si="71"/>
        <v/>
      </c>
      <c r="G286" s="225" t="str">
        <f>IF($B286="","",'Portfolio Register'!$J250)</f>
        <v/>
      </c>
      <c r="H286" s="225" t="str">
        <f>IF($B286="","",'Portfolio Register'!$CO250)</f>
        <v/>
      </c>
      <c r="I286" s="225" t="str">
        <f>IF($B286="","",'Portfolio Register'!$CW250)</f>
        <v/>
      </c>
      <c r="J286" s="214" t="str">
        <f t="shared" si="72"/>
        <v/>
      </c>
      <c r="K286" s="214" t="str">
        <f t="shared" si="73"/>
        <v/>
      </c>
      <c r="L286" s="214" t="str">
        <f t="shared" si="74"/>
        <v/>
      </c>
      <c r="M286" s="214" t="str">
        <f t="shared" si="75"/>
        <v/>
      </c>
      <c r="N286" s="214" t="str">
        <f t="shared" si="76"/>
        <v/>
      </c>
      <c r="O286" s="214" t="str">
        <f t="shared" si="77"/>
        <v/>
      </c>
      <c r="P286" s="214" t="str">
        <f t="shared" si="78"/>
        <v/>
      </c>
      <c r="Q286" s="214" t="str">
        <f t="shared" si="79"/>
        <v/>
      </c>
      <c r="R286" s="214" t="str">
        <f t="shared" si="80"/>
        <v/>
      </c>
      <c r="S286" s="214" t="str">
        <f t="shared" si="81"/>
        <v/>
      </c>
      <c r="T286" s="214" t="str">
        <f t="shared" si="82"/>
        <v/>
      </c>
      <c r="U286" s="214" t="str">
        <f t="shared" si="83"/>
        <v/>
      </c>
      <c r="V286" s="214" t="str">
        <f t="shared" si="84"/>
        <v/>
      </c>
      <c r="W286" s="214" t="str">
        <f t="shared" si="85"/>
        <v/>
      </c>
      <c r="X286" s="214" t="str">
        <f t="shared" si="86"/>
        <v/>
      </c>
      <c r="Y286" s="214" t="str">
        <f t="shared" si="87"/>
        <v/>
      </c>
      <c r="Z286" s="214" t="str">
        <f t="shared" si="88"/>
        <v/>
      </c>
      <c r="AA286" s="214" t="str">
        <f t="shared" si="89"/>
        <v/>
      </c>
      <c r="AB286" s="214" t="str">
        <f t="shared" si="90"/>
        <v/>
      </c>
      <c r="AC286" s="214" t="str">
        <f t="shared" si="91"/>
        <v/>
      </c>
    </row>
    <row r="287" spans="2:29" x14ac:dyDescent="0.35">
      <c r="B287" s="208" t="str">
        <f>IF('Portfolio Register'!$A251="","",'Portfolio Register'!$A251)</f>
        <v/>
      </c>
      <c r="C287" s="208" t="str">
        <f>IF($B287="","",'Portfolio Register'!$B251)</f>
        <v/>
      </c>
      <c r="D287" s="208" t="str">
        <f>IF($B287="","",'Portfolio Register'!$I251)</f>
        <v/>
      </c>
      <c r="E287" s="208" t="str">
        <f>IF($B287="","",'Portfolio Register'!$DG251)</f>
        <v/>
      </c>
      <c r="F287" s="224" t="str">
        <f t="shared" si="71"/>
        <v/>
      </c>
      <c r="G287" s="225" t="str">
        <f>IF($B287="","",'Portfolio Register'!$J251)</f>
        <v/>
      </c>
      <c r="H287" s="225" t="str">
        <f>IF($B287="","",'Portfolio Register'!$CO251)</f>
        <v/>
      </c>
      <c r="I287" s="225" t="str">
        <f>IF($B287="","",'Portfolio Register'!$CW251)</f>
        <v/>
      </c>
      <c r="J287" s="214" t="str">
        <f t="shared" si="72"/>
        <v/>
      </c>
      <c r="K287" s="214" t="str">
        <f t="shared" si="73"/>
        <v/>
      </c>
      <c r="L287" s="214" t="str">
        <f t="shared" si="74"/>
        <v/>
      </c>
      <c r="M287" s="214" t="str">
        <f t="shared" si="75"/>
        <v/>
      </c>
      <c r="N287" s="214" t="str">
        <f t="shared" si="76"/>
        <v/>
      </c>
      <c r="O287" s="214" t="str">
        <f t="shared" si="77"/>
        <v/>
      </c>
      <c r="P287" s="214" t="str">
        <f t="shared" si="78"/>
        <v/>
      </c>
      <c r="Q287" s="214" t="str">
        <f t="shared" si="79"/>
        <v/>
      </c>
      <c r="R287" s="214" t="str">
        <f t="shared" si="80"/>
        <v/>
      </c>
      <c r="S287" s="214" t="str">
        <f t="shared" si="81"/>
        <v/>
      </c>
      <c r="T287" s="214" t="str">
        <f t="shared" si="82"/>
        <v/>
      </c>
      <c r="U287" s="214" t="str">
        <f t="shared" si="83"/>
        <v/>
      </c>
      <c r="V287" s="214" t="str">
        <f t="shared" si="84"/>
        <v/>
      </c>
      <c r="W287" s="214" t="str">
        <f t="shared" si="85"/>
        <v/>
      </c>
      <c r="X287" s="214" t="str">
        <f t="shared" si="86"/>
        <v/>
      </c>
      <c r="Y287" s="214" t="str">
        <f t="shared" si="87"/>
        <v/>
      </c>
      <c r="Z287" s="214" t="str">
        <f t="shared" si="88"/>
        <v/>
      </c>
      <c r="AA287" s="214" t="str">
        <f t="shared" si="89"/>
        <v/>
      </c>
      <c r="AB287" s="214" t="str">
        <f t="shared" si="90"/>
        <v/>
      </c>
      <c r="AC287" s="214" t="str">
        <f t="shared" si="91"/>
        <v/>
      </c>
    </row>
    <row r="288" spans="2:29" x14ac:dyDescent="0.35">
      <c r="B288" s="208" t="str">
        <f>IF('Portfolio Register'!$A252="","",'Portfolio Register'!$A252)</f>
        <v/>
      </c>
      <c r="C288" s="208" t="str">
        <f>IF($B288="","",'Portfolio Register'!$B252)</f>
        <v/>
      </c>
      <c r="D288" s="208" t="str">
        <f>IF($B288="","",'Portfolio Register'!$I252)</f>
        <v/>
      </c>
      <c r="E288" s="208" t="str">
        <f>IF($B288="","",'Portfolio Register'!$DG252)</f>
        <v/>
      </c>
      <c r="F288" s="224" t="str">
        <f t="shared" si="71"/>
        <v/>
      </c>
      <c r="G288" s="225" t="str">
        <f>IF($B288="","",'Portfolio Register'!$J252)</f>
        <v/>
      </c>
      <c r="H288" s="225" t="str">
        <f>IF($B288="","",'Portfolio Register'!$CO252)</f>
        <v/>
      </c>
      <c r="I288" s="225" t="str">
        <f>IF($B288="","",'Portfolio Register'!$CW252)</f>
        <v/>
      </c>
      <c r="J288" s="214" t="str">
        <f t="shared" si="72"/>
        <v/>
      </c>
      <c r="K288" s="214" t="str">
        <f t="shared" si="73"/>
        <v/>
      </c>
      <c r="L288" s="214" t="str">
        <f t="shared" si="74"/>
        <v/>
      </c>
      <c r="M288" s="214" t="str">
        <f t="shared" si="75"/>
        <v/>
      </c>
      <c r="N288" s="214" t="str">
        <f t="shared" si="76"/>
        <v/>
      </c>
      <c r="O288" s="214" t="str">
        <f t="shared" si="77"/>
        <v/>
      </c>
      <c r="P288" s="214" t="str">
        <f t="shared" si="78"/>
        <v/>
      </c>
      <c r="Q288" s="214" t="str">
        <f t="shared" si="79"/>
        <v/>
      </c>
      <c r="R288" s="214" t="str">
        <f t="shared" si="80"/>
        <v/>
      </c>
      <c r="S288" s="214" t="str">
        <f t="shared" si="81"/>
        <v/>
      </c>
      <c r="T288" s="214" t="str">
        <f t="shared" si="82"/>
        <v/>
      </c>
      <c r="U288" s="214" t="str">
        <f t="shared" si="83"/>
        <v/>
      </c>
      <c r="V288" s="214" t="str">
        <f t="shared" si="84"/>
        <v/>
      </c>
      <c r="W288" s="214" t="str">
        <f t="shared" si="85"/>
        <v/>
      </c>
      <c r="X288" s="214" t="str">
        <f t="shared" si="86"/>
        <v/>
      </c>
      <c r="Y288" s="214" t="str">
        <f t="shared" si="87"/>
        <v/>
      </c>
      <c r="Z288" s="214" t="str">
        <f t="shared" si="88"/>
        <v/>
      </c>
      <c r="AA288" s="214" t="str">
        <f t="shared" si="89"/>
        <v/>
      </c>
      <c r="AB288" s="214" t="str">
        <f t="shared" si="90"/>
        <v/>
      </c>
      <c r="AC288" s="214" t="str">
        <f t="shared" si="91"/>
        <v/>
      </c>
    </row>
    <row r="289" spans="2:29" x14ac:dyDescent="0.35">
      <c r="B289" s="208" t="str">
        <f>IF('Portfolio Register'!$A253="","",'Portfolio Register'!$A253)</f>
        <v/>
      </c>
      <c r="C289" s="208" t="str">
        <f>IF($B289="","",'Portfolio Register'!$B253)</f>
        <v/>
      </c>
      <c r="D289" s="208" t="str">
        <f>IF($B289="","",'Portfolio Register'!$I253)</f>
        <v/>
      </c>
      <c r="E289" s="208" t="str">
        <f>IF($B289="","",'Portfolio Register'!$DG253)</f>
        <v/>
      </c>
      <c r="F289" s="224" t="str">
        <f t="shared" si="71"/>
        <v/>
      </c>
      <c r="G289" s="225" t="str">
        <f>IF($B289="","",'Portfolio Register'!$J253)</f>
        <v/>
      </c>
      <c r="H289" s="225" t="str">
        <f>IF($B289="","",'Portfolio Register'!$CO253)</f>
        <v/>
      </c>
      <c r="I289" s="225" t="str">
        <f>IF($B289="","",'Portfolio Register'!$CW253)</f>
        <v/>
      </c>
      <c r="J289" s="214" t="str">
        <f t="shared" si="72"/>
        <v/>
      </c>
      <c r="K289" s="214" t="str">
        <f t="shared" si="73"/>
        <v/>
      </c>
      <c r="L289" s="214" t="str">
        <f t="shared" si="74"/>
        <v/>
      </c>
      <c r="M289" s="214" t="str">
        <f t="shared" si="75"/>
        <v/>
      </c>
      <c r="N289" s="214" t="str">
        <f t="shared" si="76"/>
        <v/>
      </c>
      <c r="O289" s="214" t="str">
        <f t="shared" si="77"/>
        <v/>
      </c>
      <c r="P289" s="214" t="str">
        <f t="shared" si="78"/>
        <v/>
      </c>
      <c r="Q289" s="214" t="str">
        <f t="shared" si="79"/>
        <v/>
      </c>
      <c r="R289" s="214" t="str">
        <f t="shared" si="80"/>
        <v/>
      </c>
      <c r="S289" s="214" t="str">
        <f t="shared" si="81"/>
        <v/>
      </c>
      <c r="T289" s="214" t="str">
        <f t="shared" si="82"/>
        <v/>
      </c>
      <c r="U289" s="214" t="str">
        <f t="shared" si="83"/>
        <v/>
      </c>
      <c r="V289" s="214" t="str">
        <f t="shared" si="84"/>
        <v/>
      </c>
      <c r="W289" s="214" t="str">
        <f t="shared" si="85"/>
        <v/>
      </c>
      <c r="X289" s="214" t="str">
        <f t="shared" si="86"/>
        <v/>
      </c>
      <c r="Y289" s="214" t="str">
        <f t="shared" si="87"/>
        <v/>
      </c>
      <c r="Z289" s="214" t="str">
        <f t="shared" si="88"/>
        <v/>
      </c>
      <c r="AA289" s="214" t="str">
        <f t="shared" si="89"/>
        <v/>
      </c>
      <c r="AB289" s="214" t="str">
        <f t="shared" si="90"/>
        <v/>
      </c>
      <c r="AC289" s="214" t="str">
        <f t="shared" si="91"/>
        <v/>
      </c>
    </row>
    <row r="290" spans="2:29" x14ac:dyDescent="0.35">
      <c r="B290" s="208" t="str">
        <f>IF('Portfolio Register'!$A254="","",'Portfolio Register'!$A254)</f>
        <v/>
      </c>
      <c r="C290" s="208" t="str">
        <f>IF($B290="","",'Portfolio Register'!$B254)</f>
        <v/>
      </c>
      <c r="D290" s="208" t="str">
        <f>IF($B290="","",'Portfolio Register'!$I254)</f>
        <v/>
      </c>
      <c r="E290" s="208" t="str">
        <f>IF($B290="","",'Portfolio Register'!$DG254)</f>
        <v/>
      </c>
      <c r="F290" s="224" t="str">
        <f t="shared" si="71"/>
        <v/>
      </c>
      <c r="G290" s="225" t="str">
        <f>IF($B290="","",'Portfolio Register'!$J254)</f>
        <v/>
      </c>
      <c r="H290" s="225" t="str">
        <f>IF($B290="","",'Portfolio Register'!$CO254)</f>
        <v/>
      </c>
      <c r="I290" s="225" t="str">
        <f>IF($B290="","",'Portfolio Register'!$CW254)</f>
        <v/>
      </c>
      <c r="J290" s="214" t="str">
        <f t="shared" si="72"/>
        <v/>
      </c>
      <c r="K290" s="214" t="str">
        <f t="shared" si="73"/>
        <v/>
      </c>
      <c r="L290" s="214" t="str">
        <f t="shared" si="74"/>
        <v/>
      </c>
      <c r="M290" s="214" t="str">
        <f t="shared" si="75"/>
        <v/>
      </c>
      <c r="N290" s="214" t="str">
        <f t="shared" si="76"/>
        <v/>
      </c>
      <c r="O290" s="214" t="str">
        <f t="shared" si="77"/>
        <v/>
      </c>
      <c r="P290" s="214" t="str">
        <f t="shared" si="78"/>
        <v/>
      </c>
      <c r="Q290" s="214" t="str">
        <f t="shared" si="79"/>
        <v/>
      </c>
      <c r="R290" s="214" t="str">
        <f t="shared" si="80"/>
        <v/>
      </c>
      <c r="S290" s="214" t="str">
        <f t="shared" si="81"/>
        <v/>
      </c>
      <c r="T290" s="214" t="str">
        <f t="shared" si="82"/>
        <v/>
      </c>
      <c r="U290" s="214" t="str">
        <f t="shared" si="83"/>
        <v/>
      </c>
      <c r="V290" s="214" t="str">
        <f t="shared" si="84"/>
        <v/>
      </c>
      <c r="W290" s="214" t="str">
        <f t="shared" si="85"/>
        <v/>
      </c>
      <c r="X290" s="214" t="str">
        <f t="shared" si="86"/>
        <v/>
      </c>
      <c r="Y290" s="214" t="str">
        <f t="shared" si="87"/>
        <v/>
      </c>
      <c r="Z290" s="214" t="str">
        <f t="shared" si="88"/>
        <v/>
      </c>
      <c r="AA290" s="214" t="str">
        <f t="shared" si="89"/>
        <v/>
      </c>
      <c r="AB290" s="214" t="str">
        <f t="shared" si="90"/>
        <v/>
      </c>
      <c r="AC290" s="214" t="str">
        <f t="shared" si="91"/>
        <v/>
      </c>
    </row>
    <row r="291" spans="2:29" x14ac:dyDescent="0.35">
      <c r="B291" s="208" t="str">
        <f>IF('Portfolio Register'!$A255="","",'Portfolio Register'!$A255)</f>
        <v/>
      </c>
      <c r="C291" s="208" t="str">
        <f>IF($B291="","",'Portfolio Register'!$B255)</f>
        <v/>
      </c>
      <c r="D291" s="208" t="str">
        <f>IF($B291="","",'Portfolio Register'!$I255)</f>
        <v/>
      </c>
      <c r="E291" s="208" t="str">
        <f>IF($B291="","",'Portfolio Register'!$DG255)</f>
        <v/>
      </c>
      <c r="F291" s="224" t="str">
        <f t="shared" si="71"/>
        <v/>
      </c>
      <c r="G291" s="225" t="str">
        <f>IF($B291="","",'Portfolio Register'!$J255)</f>
        <v/>
      </c>
      <c r="H291" s="225" t="str">
        <f>IF($B291="","",'Portfolio Register'!$CO255)</f>
        <v/>
      </c>
      <c r="I291" s="225" t="str">
        <f>IF($B291="","",'Portfolio Register'!$CW255)</f>
        <v/>
      </c>
      <c r="J291" s="214" t="str">
        <f t="shared" si="72"/>
        <v/>
      </c>
      <c r="K291" s="214" t="str">
        <f t="shared" si="73"/>
        <v/>
      </c>
      <c r="L291" s="214" t="str">
        <f t="shared" si="74"/>
        <v/>
      </c>
      <c r="M291" s="214" t="str">
        <f t="shared" si="75"/>
        <v/>
      </c>
      <c r="N291" s="214" t="str">
        <f t="shared" si="76"/>
        <v/>
      </c>
      <c r="O291" s="214" t="str">
        <f t="shared" si="77"/>
        <v/>
      </c>
      <c r="P291" s="214" t="str">
        <f t="shared" si="78"/>
        <v/>
      </c>
      <c r="Q291" s="214" t="str">
        <f t="shared" si="79"/>
        <v/>
      </c>
      <c r="R291" s="214" t="str">
        <f t="shared" si="80"/>
        <v/>
      </c>
      <c r="S291" s="214" t="str">
        <f t="shared" si="81"/>
        <v/>
      </c>
      <c r="T291" s="214" t="str">
        <f t="shared" si="82"/>
        <v/>
      </c>
      <c r="U291" s="214" t="str">
        <f t="shared" si="83"/>
        <v/>
      </c>
      <c r="V291" s="214" t="str">
        <f t="shared" si="84"/>
        <v/>
      </c>
      <c r="W291" s="214" t="str">
        <f t="shared" si="85"/>
        <v/>
      </c>
      <c r="X291" s="214" t="str">
        <f t="shared" si="86"/>
        <v/>
      </c>
      <c r="Y291" s="214" t="str">
        <f t="shared" si="87"/>
        <v/>
      </c>
      <c r="Z291" s="214" t="str">
        <f t="shared" si="88"/>
        <v/>
      </c>
      <c r="AA291" s="214" t="str">
        <f t="shared" si="89"/>
        <v/>
      </c>
      <c r="AB291" s="214" t="str">
        <f t="shared" si="90"/>
        <v/>
      </c>
      <c r="AC291" s="214" t="str">
        <f t="shared" si="91"/>
        <v/>
      </c>
    </row>
    <row r="292" spans="2:29" x14ac:dyDescent="0.35">
      <c r="B292" s="208" t="str">
        <f>IF('Portfolio Register'!$A256="","",'Portfolio Register'!$A256)</f>
        <v/>
      </c>
      <c r="C292" s="208" t="str">
        <f>IF($B292="","",'Portfolio Register'!$B256)</f>
        <v/>
      </c>
      <c r="D292" s="208" t="str">
        <f>IF($B292="","",'Portfolio Register'!$I256)</f>
        <v/>
      </c>
      <c r="E292" s="208" t="str">
        <f>IF($B292="","",'Portfolio Register'!$DG256)</f>
        <v/>
      </c>
      <c r="F292" s="224" t="str">
        <f t="shared" si="71"/>
        <v/>
      </c>
      <c r="G292" s="225" t="str">
        <f>IF($B292="","",'Portfolio Register'!$J256)</f>
        <v/>
      </c>
      <c r="H292" s="225" t="str">
        <f>IF($B292="","",'Portfolio Register'!$CO256)</f>
        <v/>
      </c>
      <c r="I292" s="225" t="str">
        <f>IF($B292="","",'Portfolio Register'!$CW256)</f>
        <v/>
      </c>
      <c r="J292" s="214" t="str">
        <f t="shared" si="72"/>
        <v/>
      </c>
      <c r="K292" s="214" t="str">
        <f t="shared" si="73"/>
        <v/>
      </c>
      <c r="L292" s="214" t="str">
        <f t="shared" si="74"/>
        <v/>
      </c>
      <c r="M292" s="214" t="str">
        <f t="shared" si="75"/>
        <v/>
      </c>
      <c r="N292" s="214" t="str">
        <f t="shared" si="76"/>
        <v/>
      </c>
      <c r="O292" s="214" t="str">
        <f t="shared" si="77"/>
        <v/>
      </c>
      <c r="P292" s="214" t="str">
        <f t="shared" si="78"/>
        <v/>
      </c>
      <c r="Q292" s="214" t="str">
        <f t="shared" si="79"/>
        <v/>
      </c>
      <c r="R292" s="214" t="str">
        <f t="shared" si="80"/>
        <v/>
      </c>
      <c r="S292" s="214" t="str">
        <f t="shared" si="81"/>
        <v/>
      </c>
      <c r="T292" s="214" t="str">
        <f t="shared" si="82"/>
        <v/>
      </c>
      <c r="U292" s="214" t="str">
        <f t="shared" si="83"/>
        <v/>
      </c>
      <c r="V292" s="214" t="str">
        <f t="shared" si="84"/>
        <v/>
      </c>
      <c r="W292" s="214" t="str">
        <f t="shared" si="85"/>
        <v/>
      </c>
      <c r="X292" s="214" t="str">
        <f t="shared" si="86"/>
        <v/>
      </c>
      <c r="Y292" s="214" t="str">
        <f t="shared" si="87"/>
        <v/>
      </c>
      <c r="Z292" s="214" t="str">
        <f t="shared" si="88"/>
        <v/>
      </c>
      <c r="AA292" s="214" t="str">
        <f t="shared" si="89"/>
        <v/>
      </c>
      <c r="AB292" s="214" t="str">
        <f t="shared" si="90"/>
        <v/>
      </c>
      <c r="AC292" s="214" t="str">
        <f t="shared" si="91"/>
        <v/>
      </c>
    </row>
    <row r="293" spans="2:29" x14ac:dyDescent="0.35">
      <c r="B293" s="208" t="str">
        <f>IF('Portfolio Register'!$A257="","",'Portfolio Register'!$A257)</f>
        <v/>
      </c>
      <c r="C293" s="208" t="str">
        <f>IF($B293="","",'Portfolio Register'!$B257)</f>
        <v/>
      </c>
      <c r="D293" s="208" t="str">
        <f>IF($B293="","",'Portfolio Register'!$I257)</f>
        <v/>
      </c>
      <c r="E293" s="208" t="str">
        <f>IF($B293="","",'Portfolio Register'!$DG257)</f>
        <v/>
      </c>
      <c r="F293" s="224" t="str">
        <f t="shared" si="71"/>
        <v/>
      </c>
      <c r="G293" s="225" t="str">
        <f>IF($B293="","",'Portfolio Register'!$J257)</f>
        <v/>
      </c>
      <c r="H293" s="225" t="str">
        <f>IF($B293="","",'Portfolio Register'!$CO257)</f>
        <v/>
      </c>
      <c r="I293" s="225" t="str">
        <f>IF($B293="","",'Portfolio Register'!$CW257)</f>
        <v/>
      </c>
      <c r="J293" s="214" t="str">
        <f t="shared" si="72"/>
        <v/>
      </c>
      <c r="K293" s="214" t="str">
        <f t="shared" si="73"/>
        <v/>
      </c>
      <c r="L293" s="214" t="str">
        <f t="shared" si="74"/>
        <v/>
      </c>
      <c r="M293" s="214" t="str">
        <f t="shared" si="75"/>
        <v/>
      </c>
      <c r="N293" s="214" t="str">
        <f t="shared" si="76"/>
        <v/>
      </c>
      <c r="O293" s="214" t="str">
        <f t="shared" si="77"/>
        <v/>
      </c>
      <c r="P293" s="214" t="str">
        <f t="shared" si="78"/>
        <v/>
      </c>
      <c r="Q293" s="214" t="str">
        <f t="shared" si="79"/>
        <v/>
      </c>
      <c r="R293" s="214" t="str">
        <f t="shared" si="80"/>
        <v/>
      </c>
      <c r="S293" s="214" t="str">
        <f t="shared" si="81"/>
        <v/>
      </c>
      <c r="T293" s="214" t="str">
        <f t="shared" si="82"/>
        <v/>
      </c>
      <c r="U293" s="214" t="str">
        <f t="shared" si="83"/>
        <v/>
      </c>
      <c r="V293" s="214" t="str">
        <f t="shared" si="84"/>
        <v/>
      </c>
      <c r="W293" s="214" t="str">
        <f t="shared" si="85"/>
        <v/>
      </c>
      <c r="X293" s="214" t="str">
        <f t="shared" si="86"/>
        <v/>
      </c>
      <c r="Y293" s="214" t="str">
        <f t="shared" si="87"/>
        <v/>
      </c>
      <c r="Z293" s="214" t="str">
        <f t="shared" si="88"/>
        <v/>
      </c>
      <c r="AA293" s="214" t="str">
        <f t="shared" si="89"/>
        <v/>
      </c>
      <c r="AB293" s="214" t="str">
        <f t="shared" si="90"/>
        <v/>
      </c>
      <c r="AC293" s="214" t="str">
        <f t="shared" si="91"/>
        <v/>
      </c>
    </row>
    <row r="294" spans="2:29" x14ac:dyDescent="0.35">
      <c r="B294" s="208" t="str">
        <f>IF('Portfolio Register'!$A258="","",'Portfolio Register'!$A258)</f>
        <v/>
      </c>
      <c r="C294" s="208" t="str">
        <f>IF($B294="","",'Portfolio Register'!$B258)</f>
        <v/>
      </c>
      <c r="D294" s="208" t="str">
        <f>IF($B294="","",'Portfolio Register'!$I258)</f>
        <v/>
      </c>
      <c r="E294" s="208" t="str">
        <f>IF($B294="","",'Portfolio Register'!$DG258)</f>
        <v/>
      </c>
      <c r="F294" s="224" t="str">
        <f t="shared" si="71"/>
        <v/>
      </c>
      <c r="G294" s="225" t="str">
        <f>IF($B294="","",'Portfolio Register'!$J258)</f>
        <v/>
      </c>
      <c r="H294" s="225" t="str">
        <f>IF($B294="","",'Portfolio Register'!$CO258)</f>
        <v/>
      </c>
      <c r="I294" s="225" t="str">
        <f>IF($B294="","",'Portfolio Register'!$CW258)</f>
        <v/>
      </c>
      <c r="J294" s="214" t="str">
        <f t="shared" si="72"/>
        <v/>
      </c>
      <c r="K294" s="214" t="str">
        <f t="shared" si="73"/>
        <v/>
      </c>
      <c r="L294" s="214" t="str">
        <f t="shared" si="74"/>
        <v/>
      </c>
      <c r="M294" s="214" t="str">
        <f t="shared" si="75"/>
        <v/>
      </c>
      <c r="N294" s="214" t="str">
        <f t="shared" si="76"/>
        <v/>
      </c>
      <c r="O294" s="214" t="str">
        <f t="shared" si="77"/>
        <v/>
      </c>
      <c r="P294" s="214" t="str">
        <f t="shared" si="78"/>
        <v/>
      </c>
      <c r="Q294" s="214" t="str">
        <f t="shared" si="79"/>
        <v/>
      </c>
      <c r="R294" s="214" t="str">
        <f t="shared" si="80"/>
        <v/>
      </c>
      <c r="S294" s="214" t="str">
        <f t="shared" si="81"/>
        <v/>
      </c>
      <c r="T294" s="214" t="str">
        <f t="shared" si="82"/>
        <v/>
      </c>
      <c r="U294" s="214" t="str">
        <f t="shared" si="83"/>
        <v/>
      </c>
      <c r="V294" s="214" t="str">
        <f t="shared" si="84"/>
        <v/>
      </c>
      <c r="W294" s="214" t="str">
        <f t="shared" si="85"/>
        <v/>
      </c>
      <c r="X294" s="214" t="str">
        <f t="shared" si="86"/>
        <v/>
      </c>
      <c r="Y294" s="214" t="str">
        <f t="shared" si="87"/>
        <v/>
      </c>
      <c r="Z294" s="214" t="str">
        <f t="shared" si="88"/>
        <v/>
      </c>
      <c r="AA294" s="214" t="str">
        <f t="shared" si="89"/>
        <v/>
      </c>
      <c r="AB294" s="214" t="str">
        <f t="shared" si="90"/>
        <v/>
      </c>
      <c r="AC294" s="214" t="str">
        <f t="shared" si="91"/>
        <v/>
      </c>
    </row>
    <row r="295" spans="2:29" x14ac:dyDescent="0.35">
      <c r="B295" s="208" t="str">
        <f>IF('Portfolio Register'!$A259="","",'Portfolio Register'!$A259)</f>
        <v/>
      </c>
      <c r="C295" s="208" t="str">
        <f>IF($B295="","",'Portfolio Register'!$B259)</f>
        <v/>
      </c>
      <c r="D295" s="208" t="str">
        <f>IF($B295="","",'Portfolio Register'!$I259)</f>
        <v/>
      </c>
      <c r="E295" s="208" t="str">
        <f>IF($B295="","",'Portfolio Register'!$DG259)</f>
        <v/>
      </c>
      <c r="F295" s="224" t="str">
        <f t="shared" si="71"/>
        <v/>
      </c>
      <c r="G295" s="225" t="str">
        <f>IF($B295="","",'Portfolio Register'!$J259)</f>
        <v/>
      </c>
      <c r="H295" s="225" t="str">
        <f>IF($B295="","",'Portfolio Register'!$CO259)</f>
        <v/>
      </c>
      <c r="I295" s="225" t="str">
        <f>IF($B295="","",'Portfolio Register'!$CW259)</f>
        <v/>
      </c>
      <c r="J295" s="214" t="str">
        <f t="shared" si="72"/>
        <v/>
      </c>
      <c r="K295" s="214" t="str">
        <f t="shared" si="73"/>
        <v/>
      </c>
      <c r="L295" s="214" t="str">
        <f t="shared" si="74"/>
        <v/>
      </c>
      <c r="M295" s="214" t="str">
        <f t="shared" si="75"/>
        <v/>
      </c>
      <c r="N295" s="214" t="str">
        <f t="shared" si="76"/>
        <v/>
      </c>
      <c r="O295" s="214" t="str">
        <f t="shared" si="77"/>
        <v/>
      </c>
      <c r="P295" s="214" t="str">
        <f t="shared" si="78"/>
        <v/>
      </c>
      <c r="Q295" s="214" t="str">
        <f t="shared" si="79"/>
        <v/>
      </c>
      <c r="R295" s="214" t="str">
        <f t="shared" si="80"/>
        <v/>
      </c>
      <c r="S295" s="214" t="str">
        <f t="shared" si="81"/>
        <v/>
      </c>
      <c r="T295" s="214" t="str">
        <f t="shared" si="82"/>
        <v/>
      </c>
      <c r="U295" s="214" t="str">
        <f t="shared" si="83"/>
        <v/>
      </c>
      <c r="V295" s="214" t="str">
        <f t="shared" si="84"/>
        <v/>
      </c>
      <c r="W295" s="214" t="str">
        <f t="shared" si="85"/>
        <v/>
      </c>
      <c r="X295" s="214" t="str">
        <f t="shared" si="86"/>
        <v/>
      </c>
      <c r="Y295" s="214" t="str">
        <f t="shared" si="87"/>
        <v/>
      </c>
      <c r="Z295" s="214" t="str">
        <f t="shared" si="88"/>
        <v/>
      </c>
      <c r="AA295" s="214" t="str">
        <f t="shared" si="89"/>
        <v/>
      </c>
      <c r="AB295" s="214" t="str">
        <f t="shared" si="90"/>
        <v/>
      </c>
      <c r="AC295" s="214" t="str">
        <f t="shared" si="91"/>
        <v/>
      </c>
    </row>
    <row r="296" spans="2:29" x14ac:dyDescent="0.35">
      <c r="B296" s="208" t="str">
        <f>IF('Portfolio Register'!$A260="","",'Portfolio Register'!$A260)</f>
        <v/>
      </c>
      <c r="C296" s="208" t="str">
        <f>IF($B296="","",'Portfolio Register'!$B260)</f>
        <v/>
      </c>
      <c r="D296" s="208" t="str">
        <f>IF($B296="","",'Portfolio Register'!$I260)</f>
        <v/>
      </c>
      <c r="E296" s="208" t="str">
        <f>IF($B296="","",'Portfolio Register'!$DG260)</f>
        <v/>
      </c>
      <c r="F296" s="224" t="str">
        <f t="shared" si="71"/>
        <v/>
      </c>
      <c r="G296" s="225" t="str">
        <f>IF($B296="","",'Portfolio Register'!$J260)</f>
        <v/>
      </c>
      <c r="H296" s="225" t="str">
        <f>IF($B296="","",'Portfolio Register'!$CO260)</f>
        <v/>
      </c>
      <c r="I296" s="225" t="str">
        <f>IF($B296="","",'Portfolio Register'!$CW260)</f>
        <v/>
      </c>
      <c r="J296" s="214" t="str">
        <f t="shared" si="72"/>
        <v/>
      </c>
      <c r="K296" s="214" t="str">
        <f t="shared" si="73"/>
        <v/>
      </c>
      <c r="L296" s="214" t="str">
        <f t="shared" si="74"/>
        <v/>
      </c>
      <c r="M296" s="214" t="str">
        <f t="shared" si="75"/>
        <v/>
      </c>
      <c r="N296" s="214" t="str">
        <f t="shared" si="76"/>
        <v/>
      </c>
      <c r="O296" s="214" t="str">
        <f t="shared" si="77"/>
        <v/>
      </c>
      <c r="P296" s="214" t="str">
        <f t="shared" si="78"/>
        <v/>
      </c>
      <c r="Q296" s="214" t="str">
        <f t="shared" si="79"/>
        <v/>
      </c>
      <c r="R296" s="214" t="str">
        <f t="shared" si="80"/>
        <v/>
      </c>
      <c r="S296" s="214" t="str">
        <f t="shared" si="81"/>
        <v/>
      </c>
      <c r="T296" s="214" t="str">
        <f t="shared" si="82"/>
        <v/>
      </c>
      <c r="U296" s="214" t="str">
        <f t="shared" si="83"/>
        <v/>
      </c>
      <c r="V296" s="214" t="str">
        <f t="shared" si="84"/>
        <v/>
      </c>
      <c r="W296" s="214" t="str">
        <f t="shared" si="85"/>
        <v/>
      </c>
      <c r="X296" s="214" t="str">
        <f t="shared" si="86"/>
        <v/>
      </c>
      <c r="Y296" s="214" t="str">
        <f t="shared" si="87"/>
        <v/>
      </c>
      <c r="Z296" s="214" t="str">
        <f t="shared" si="88"/>
        <v/>
      </c>
      <c r="AA296" s="214" t="str">
        <f t="shared" si="89"/>
        <v/>
      </c>
      <c r="AB296" s="214" t="str">
        <f t="shared" si="90"/>
        <v/>
      </c>
      <c r="AC296" s="214" t="str">
        <f t="shared" si="91"/>
        <v/>
      </c>
    </row>
    <row r="297" spans="2:29" x14ac:dyDescent="0.35">
      <c r="B297" s="208" t="str">
        <f>IF('Portfolio Register'!$A261="","",'Portfolio Register'!$A261)</f>
        <v/>
      </c>
      <c r="C297" s="208" t="str">
        <f>IF($B297="","",'Portfolio Register'!$B261)</f>
        <v/>
      </c>
      <c r="D297" s="208" t="str">
        <f>IF($B297="","",'Portfolio Register'!$I261)</f>
        <v/>
      </c>
      <c r="E297" s="208" t="str">
        <f>IF($B297="","",'Portfolio Register'!$DG261)</f>
        <v/>
      </c>
      <c r="F297" s="224" t="str">
        <f t="shared" ref="F297:F340" si="92">IF($B297="","",IF(OR($D$5="Whole register",LEFT($E297,3)="YES"),"YES","NO"))</f>
        <v/>
      </c>
      <c r="G297" s="225" t="str">
        <f>IF($B297="","",'Portfolio Register'!$J261)</f>
        <v/>
      </c>
      <c r="H297" s="225" t="str">
        <f>IF($B297="","",'Portfolio Register'!$CO261)</f>
        <v/>
      </c>
      <c r="I297" s="225" t="str">
        <f>IF($B297="","",'Portfolio Register'!$CW261)</f>
        <v/>
      </c>
      <c r="J297" s="214" t="str">
        <f t="shared" ref="J297:J340" si="93">IF($B297="","",IF($F297="YES",$G297*$F$25,0))</f>
        <v/>
      </c>
      <c r="K297" s="214" t="str">
        <f t="shared" ref="K297:K340" si="94">IF($B297="","",IF($F297="YES",$G297*$F$26,0))</f>
        <v/>
      </c>
      <c r="L297" s="214" t="str">
        <f t="shared" ref="L297:L340" si="95">IF($B297="","",IF($F297="YES",$G297*$F$27,0))</f>
        <v/>
      </c>
      <c r="M297" s="214" t="str">
        <f t="shared" ref="M297:M340" si="96">IF($B297="","",IF($F297="YES",$G297*$F$28,0))</f>
        <v/>
      </c>
      <c r="N297" s="214" t="str">
        <f t="shared" ref="N297:N340" si="97">IF($B297="","",IF($F297="YES",$G297*$F$29,0))</f>
        <v/>
      </c>
      <c r="O297" s="214" t="str">
        <f t="shared" ref="O297:O340" si="98">IF($B297="","",IF($F297="YES",$G297*$F$30,0))</f>
        <v/>
      </c>
      <c r="P297" s="214" t="str">
        <f t="shared" ref="P297:P340" si="99">IF($B297="","",IF($F297="YES",$G297*$F$31,0))</f>
        <v/>
      </c>
      <c r="Q297" s="214" t="str">
        <f t="shared" ref="Q297:Q340" si="100">IF($B297="","",IF($F297="YES",$G297*$F$32,0))</f>
        <v/>
      </c>
      <c r="R297" s="214" t="str">
        <f t="shared" ref="R297:R340" si="101">IF($B297="","",IF($F297="YES",$G297*$F$33,0))</f>
        <v/>
      </c>
      <c r="S297" s="214" t="str">
        <f t="shared" ref="S297:S340" si="102">IF($B297="","",IF($F297="YES",$G297*$F$34,0))</f>
        <v/>
      </c>
      <c r="T297" s="214" t="str">
        <f t="shared" ref="T297:T340" si="103">IF($B297="","",IF($F297="YES",$H297*$F$25,0))</f>
        <v/>
      </c>
      <c r="U297" s="214" t="str">
        <f t="shared" ref="U297:U340" si="104">IF($B297="","",IF($F297="YES",$H297*$F$26,0))</f>
        <v/>
      </c>
      <c r="V297" s="214" t="str">
        <f t="shared" ref="V297:V340" si="105">IF($B297="","",IF($F297="YES",$H297*$F$27,0))</f>
        <v/>
      </c>
      <c r="W297" s="214" t="str">
        <f t="shared" ref="W297:W340" si="106">IF($B297="","",IF($F297="YES",$H297*$F$28,0))</f>
        <v/>
      </c>
      <c r="X297" s="214" t="str">
        <f t="shared" ref="X297:X340" si="107">IF($B297="","",IF($F297="YES",$H297*$F$29,0))</f>
        <v/>
      </c>
      <c r="Y297" s="214" t="str">
        <f t="shared" ref="Y297:Y340" si="108">IF($B297="","",IF($F297="YES",$H297*$F$30,0))</f>
        <v/>
      </c>
      <c r="Z297" s="214" t="str">
        <f t="shared" ref="Z297:Z340" si="109">IF($B297="","",IF($F297="YES",$H297*$F$31,0))</f>
        <v/>
      </c>
      <c r="AA297" s="214" t="str">
        <f t="shared" ref="AA297:AA340" si="110">IF($B297="","",IF($F297="YES",$H297*$F$32,0))</f>
        <v/>
      </c>
      <c r="AB297" s="214" t="str">
        <f t="shared" ref="AB297:AB340" si="111">IF($B297="","",IF($F297="YES",$H297*$F$33,0))</f>
        <v/>
      </c>
      <c r="AC297" s="214" t="str">
        <f t="shared" ref="AC297:AC340" si="112">IF($B297="","",IF($F297="YES",$H297*$F$34,0))</f>
        <v/>
      </c>
    </row>
    <row r="298" spans="2:29" x14ac:dyDescent="0.35">
      <c r="B298" s="208" t="str">
        <f>IF('Portfolio Register'!$A262="","",'Portfolio Register'!$A262)</f>
        <v/>
      </c>
      <c r="C298" s="208" t="str">
        <f>IF($B298="","",'Portfolio Register'!$B262)</f>
        <v/>
      </c>
      <c r="D298" s="208" t="str">
        <f>IF($B298="","",'Portfolio Register'!$I262)</f>
        <v/>
      </c>
      <c r="E298" s="208" t="str">
        <f>IF($B298="","",'Portfolio Register'!$DG262)</f>
        <v/>
      </c>
      <c r="F298" s="224" t="str">
        <f t="shared" si="92"/>
        <v/>
      </c>
      <c r="G298" s="225" t="str">
        <f>IF($B298="","",'Portfolio Register'!$J262)</f>
        <v/>
      </c>
      <c r="H298" s="225" t="str">
        <f>IF($B298="","",'Portfolio Register'!$CO262)</f>
        <v/>
      </c>
      <c r="I298" s="225" t="str">
        <f>IF($B298="","",'Portfolio Register'!$CW262)</f>
        <v/>
      </c>
      <c r="J298" s="214" t="str">
        <f t="shared" si="93"/>
        <v/>
      </c>
      <c r="K298" s="214" t="str">
        <f t="shared" si="94"/>
        <v/>
      </c>
      <c r="L298" s="214" t="str">
        <f t="shared" si="95"/>
        <v/>
      </c>
      <c r="M298" s="214" t="str">
        <f t="shared" si="96"/>
        <v/>
      </c>
      <c r="N298" s="214" t="str">
        <f t="shared" si="97"/>
        <v/>
      </c>
      <c r="O298" s="214" t="str">
        <f t="shared" si="98"/>
        <v/>
      </c>
      <c r="P298" s="214" t="str">
        <f t="shared" si="99"/>
        <v/>
      </c>
      <c r="Q298" s="214" t="str">
        <f t="shared" si="100"/>
        <v/>
      </c>
      <c r="R298" s="214" t="str">
        <f t="shared" si="101"/>
        <v/>
      </c>
      <c r="S298" s="214" t="str">
        <f t="shared" si="102"/>
        <v/>
      </c>
      <c r="T298" s="214" t="str">
        <f t="shared" si="103"/>
        <v/>
      </c>
      <c r="U298" s="214" t="str">
        <f t="shared" si="104"/>
        <v/>
      </c>
      <c r="V298" s="214" t="str">
        <f t="shared" si="105"/>
        <v/>
      </c>
      <c r="W298" s="214" t="str">
        <f t="shared" si="106"/>
        <v/>
      </c>
      <c r="X298" s="214" t="str">
        <f t="shared" si="107"/>
        <v/>
      </c>
      <c r="Y298" s="214" t="str">
        <f t="shared" si="108"/>
        <v/>
      </c>
      <c r="Z298" s="214" t="str">
        <f t="shared" si="109"/>
        <v/>
      </c>
      <c r="AA298" s="214" t="str">
        <f t="shared" si="110"/>
        <v/>
      </c>
      <c r="AB298" s="214" t="str">
        <f t="shared" si="111"/>
        <v/>
      </c>
      <c r="AC298" s="214" t="str">
        <f t="shared" si="112"/>
        <v/>
      </c>
    </row>
    <row r="299" spans="2:29" x14ac:dyDescent="0.35">
      <c r="B299" s="208" t="str">
        <f>IF('Portfolio Register'!$A263="","",'Portfolio Register'!$A263)</f>
        <v/>
      </c>
      <c r="C299" s="208" t="str">
        <f>IF($B299="","",'Portfolio Register'!$B263)</f>
        <v/>
      </c>
      <c r="D299" s="208" t="str">
        <f>IF($B299="","",'Portfolio Register'!$I263)</f>
        <v/>
      </c>
      <c r="E299" s="208" t="str">
        <f>IF($B299="","",'Portfolio Register'!$DG263)</f>
        <v/>
      </c>
      <c r="F299" s="224" t="str">
        <f t="shared" si="92"/>
        <v/>
      </c>
      <c r="G299" s="225" t="str">
        <f>IF($B299="","",'Portfolio Register'!$J263)</f>
        <v/>
      </c>
      <c r="H299" s="225" t="str">
        <f>IF($B299="","",'Portfolio Register'!$CO263)</f>
        <v/>
      </c>
      <c r="I299" s="225" t="str">
        <f>IF($B299="","",'Portfolio Register'!$CW263)</f>
        <v/>
      </c>
      <c r="J299" s="214" t="str">
        <f t="shared" si="93"/>
        <v/>
      </c>
      <c r="K299" s="214" t="str">
        <f t="shared" si="94"/>
        <v/>
      </c>
      <c r="L299" s="214" t="str">
        <f t="shared" si="95"/>
        <v/>
      </c>
      <c r="M299" s="214" t="str">
        <f t="shared" si="96"/>
        <v/>
      </c>
      <c r="N299" s="214" t="str">
        <f t="shared" si="97"/>
        <v/>
      </c>
      <c r="O299" s="214" t="str">
        <f t="shared" si="98"/>
        <v/>
      </c>
      <c r="P299" s="214" t="str">
        <f t="shared" si="99"/>
        <v/>
      </c>
      <c r="Q299" s="214" t="str">
        <f t="shared" si="100"/>
        <v/>
      </c>
      <c r="R299" s="214" t="str">
        <f t="shared" si="101"/>
        <v/>
      </c>
      <c r="S299" s="214" t="str">
        <f t="shared" si="102"/>
        <v/>
      </c>
      <c r="T299" s="214" t="str">
        <f t="shared" si="103"/>
        <v/>
      </c>
      <c r="U299" s="214" t="str">
        <f t="shared" si="104"/>
        <v/>
      </c>
      <c r="V299" s="214" t="str">
        <f t="shared" si="105"/>
        <v/>
      </c>
      <c r="W299" s="214" t="str">
        <f t="shared" si="106"/>
        <v/>
      </c>
      <c r="X299" s="214" t="str">
        <f t="shared" si="107"/>
        <v/>
      </c>
      <c r="Y299" s="214" t="str">
        <f t="shared" si="108"/>
        <v/>
      </c>
      <c r="Z299" s="214" t="str">
        <f t="shared" si="109"/>
        <v/>
      </c>
      <c r="AA299" s="214" t="str">
        <f t="shared" si="110"/>
        <v/>
      </c>
      <c r="AB299" s="214" t="str">
        <f t="shared" si="111"/>
        <v/>
      </c>
      <c r="AC299" s="214" t="str">
        <f t="shared" si="112"/>
        <v/>
      </c>
    </row>
    <row r="300" spans="2:29" x14ac:dyDescent="0.35">
      <c r="B300" s="208" t="str">
        <f>IF('Portfolio Register'!$A264="","",'Portfolio Register'!$A264)</f>
        <v/>
      </c>
      <c r="C300" s="208" t="str">
        <f>IF($B300="","",'Portfolio Register'!$B264)</f>
        <v/>
      </c>
      <c r="D300" s="208" t="str">
        <f>IF($B300="","",'Portfolio Register'!$I264)</f>
        <v/>
      </c>
      <c r="E300" s="208" t="str">
        <f>IF($B300="","",'Portfolio Register'!$DG264)</f>
        <v/>
      </c>
      <c r="F300" s="224" t="str">
        <f t="shared" si="92"/>
        <v/>
      </c>
      <c r="G300" s="225" t="str">
        <f>IF($B300="","",'Portfolio Register'!$J264)</f>
        <v/>
      </c>
      <c r="H300" s="225" t="str">
        <f>IF($B300="","",'Portfolio Register'!$CO264)</f>
        <v/>
      </c>
      <c r="I300" s="225" t="str">
        <f>IF($B300="","",'Portfolio Register'!$CW264)</f>
        <v/>
      </c>
      <c r="J300" s="214" t="str">
        <f t="shared" si="93"/>
        <v/>
      </c>
      <c r="K300" s="214" t="str">
        <f t="shared" si="94"/>
        <v/>
      </c>
      <c r="L300" s="214" t="str">
        <f t="shared" si="95"/>
        <v/>
      </c>
      <c r="M300" s="214" t="str">
        <f t="shared" si="96"/>
        <v/>
      </c>
      <c r="N300" s="214" t="str">
        <f t="shared" si="97"/>
        <v/>
      </c>
      <c r="O300" s="214" t="str">
        <f t="shared" si="98"/>
        <v/>
      </c>
      <c r="P300" s="214" t="str">
        <f t="shared" si="99"/>
        <v/>
      </c>
      <c r="Q300" s="214" t="str">
        <f t="shared" si="100"/>
        <v/>
      </c>
      <c r="R300" s="214" t="str">
        <f t="shared" si="101"/>
        <v/>
      </c>
      <c r="S300" s="214" t="str">
        <f t="shared" si="102"/>
        <v/>
      </c>
      <c r="T300" s="214" t="str">
        <f t="shared" si="103"/>
        <v/>
      </c>
      <c r="U300" s="214" t="str">
        <f t="shared" si="104"/>
        <v/>
      </c>
      <c r="V300" s="214" t="str">
        <f t="shared" si="105"/>
        <v/>
      </c>
      <c r="W300" s="214" t="str">
        <f t="shared" si="106"/>
        <v/>
      </c>
      <c r="X300" s="214" t="str">
        <f t="shared" si="107"/>
        <v/>
      </c>
      <c r="Y300" s="214" t="str">
        <f t="shared" si="108"/>
        <v/>
      </c>
      <c r="Z300" s="214" t="str">
        <f t="shared" si="109"/>
        <v/>
      </c>
      <c r="AA300" s="214" t="str">
        <f t="shared" si="110"/>
        <v/>
      </c>
      <c r="AB300" s="214" t="str">
        <f t="shared" si="111"/>
        <v/>
      </c>
      <c r="AC300" s="214" t="str">
        <f t="shared" si="112"/>
        <v/>
      </c>
    </row>
    <row r="301" spans="2:29" x14ac:dyDescent="0.35">
      <c r="B301" s="208" t="str">
        <f>IF('Portfolio Register'!$A265="","",'Portfolio Register'!$A265)</f>
        <v/>
      </c>
      <c r="C301" s="208" t="str">
        <f>IF($B301="","",'Portfolio Register'!$B265)</f>
        <v/>
      </c>
      <c r="D301" s="208" t="str">
        <f>IF($B301="","",'Portfolio Register'!$I265)</f>
        <v/>
      </c>
      <c r="E301" s="208" t="str">
        <f>IF($B301="","",'Portfolio Register'!$DG265)</f>
        <v/>
      </c>
      <c r="F301" s="224" t="str">
        <f t="shared" si="92"/>
        <v/>
      </c>
      <c r="G301" s="225" t="str">
        <f>IF($B301="","",'Portfolio Register'!$J265)</f>
        <v/>
      </c>
      <c r="H301" s="225" t="str">
        <f>IF($B301="","",'Portfolio Register'!$CO265)</f>
        <v/>
      </c>
      <c r="I301" s="225" t="str">
        <f>IF($B301="","",'Portfolio Register'!$CW265)</f>
        <v/>
      </c>
      <c r="J301" s="214" t="str">
        <f t="shared" si="93"/>
        <v/>
      </c>
      <c r="K301" s="214" t="str">
        <f t="shared" si="94"/>
        <v/>
      </c>
      <c r="L301" s="214" t="str">
        <f t="shared" si="95"/>
        <v/>
      </c>
      <c r="M301" s="214" t="str">
        <f t="shared" si="96"/>
        <v/>
      </c>
      <c r="N301" s="214" t="str">
        <f t="shared" si="97"/>
        <v/>
      </c>
      <c r="O301" s="214" t="str">
        <f t="shared" si="98"/>
        <v/>
      </c>
      <c r="P301" s="214" t="str">
        <f t="shared" si="99"/>
        <v/>
      </c>
      <c r="Q301" s="214" t="str">
        <f t="shared" si="100"/>
        <v/>
      </c>
      <c r="R301" s="214" t="str">
        <f t="shared" si="101"/>
        <v/>
      </c>
      <c r="S301" s="214" t="str">
        <f t="shared" si="102"/>
        <v/>
      </c>
      <c r="T301" s="214" t="str">
        <f t="shared" si="103"/>
        <v/>
      </c>
      <c r="U301" s="214" t="str">
        <f t="shared" si="104"/>
        <v/>
      </c>
      <c r="V301" s="214" t="str">
        <f t="shared" si="105"/>
        <v/>
      </c>
      <c r="W301" s="214" t="str">
        <f t="shared" si="106"/>
        <v/>
      </c>
      <c r="X301" s="214" t="str">
        <f t="shared" si="107"/>
        <v/>
      </c>
      <c r="Y301" s="214" t="str">
        <f t="shared" si="108"/>
        <v/>
      </c>
      <c r="Z301" s="214" t="str">
        <f t="shared" si="109"/>
        <v/>
      </c>
      <c r="AA301" s="214" t="str">
        <f t="shared" si="110"/>
        <v/>
      </c>
      <c r="AB301" s="214" t="str">
        <f t="shared" si="111"/>
        <v/>
      </c>
      <c r="AC301" s="214" t="str">
        <f t="shared" si="112"/>
        <v/>
      </c>
    </row>
    <row r="302" spans="2:29" x14ac:dyDescent="0.35">
      <c r="B302" s="208" t="str">
        <f>IF('Portfolio Register'!$A266="","",'Portfolio Register'!$A266)</f>
        <v/>
      </c>
      <c r="C302" s="208" t="str">
        <f>IF($B302="","",'Portfolio Register'!$B266)</f>
        <v/>
      </c>
      <c r="D302" s="208" t="str">
        <f>IF($B302="","",'Portfolio Register'!$I266)</f>
        <v/>
      </c>
      <c r="E302" s="208" t="str">
        <f>IF($B302="","",'Portfolio Register'!$DG266)</f>
        <v/>
      </c>
      <c r="F302" s="224" t="str">
        <f t="shared" si="92"/>
        <v/>
      </c>
      <c r="G302" s="225" t="str">
        <f>IF($B302="","",'Portfolio Register'!$J266)</f>
        <v/>
      </c>
      <c r="H302" s="225" t="str">
        <f>IF($B302="","",'Portfolio Register'!$CO266)</f>
        <v/>
      </c>
      <c r="I302" s="225" t="str">
        <f>IF($B302="","",'Portfolio Register'!$CW266)</f>
        <v/>
      </c>
      <c r="J302" s="214" t="str">
        <f t="shared" si="93"/>
        <v/>
      </c>
      <c r="K302" s="214" t="str">
        <f t="shared" si="94"/>
        <v/>
      </c>
      <c r="L302" s="214" t="str">
        <f t="shared" si="95"/>
        <v/>
      </c>
      <c r="M302" s="214" t="str">
        <f t="shared" si="96"/>
        <v/>
      </c>
      <c r="N302" s="214" t="str">
        <f t="shared" si="97"/>
        <v/>
      </c>
      <c r="O302" s="214" t="str">
        <f t="shared" si="98"/>
        <v/>
      </c>
      <c r="P302" s="214" t="str">
        <f t="shared" si="99"/>
        <v/>
      </c>
      <c r="Q302" s="214" t="str">
        <f t="shared" si="100"/>
        <v/>
      </c>
      <c r="R302" s="214" t="str">
        <f t="shared" si="101"/>
        <v/>
      </c>
      <c r="S302" s="214" t="str">
        <f t="shared" si="102"/>
        <v/>
      </c>
      <c r="T302" s="214" t="str">
        <f t="shared" si="103"/>
        <v/>
      </c>
      <c r="U302" s="214" t="str">
        <f t="shared" si="104"/>
        <v/>
      </c>
      <c r="V302" s="214" t="str">
        <f t="shared" si="105"/>
        <v/>
      </c>
      <c r="W302" s="214" t="str">
        <f t="shared" si="106"/>
        <v/>
      </c>
      <c r="X302" s="214" t="str">
        <f t="shared" si="107"/>
        <v/>
      </c>
      <c r="Y302" s="214" t="str">
        <f t="shared" si="108"/>
        <v/>
      </c>
      <c r="Z302" s="214" t="str">
        <f t="shared" si="109"/>
        <v/>
      </c>
      <c r="AA302" s="214" t="str">
        <f t="shared" si="110"/>
        <v/>
      </c>
      <c r="AB302" s="214" t="str">
        <f t="shared" si="111"/>
        <v/>
      </c>
      <c r="AC302" s="214" t="str">
        <f t="shared" si="112"/>
        <v/>
      </c>
    </row>
    <row r="303" spans="2:29" x14ac:dyDescent="0.35">
      <c r="B303" s="208" t="str">
        <f>IF('Portfolio Register'!$A267="","",'Portfolio Register'!$A267)</f>
        <v/>
      </c>
      <c r="C303" s="208" t="str">
        <f>IF($B303="","",'Portfolio Register'!$B267)</f>
        <v/>
      </c>
      <c r="D303" s="208" t="str">
        <f>IF($B303="","",'Portfolio Register'!$I267)</f>
        <v/>
      </c>
      <c r="E303" s="208" t="str">
        <f>IF($B303="","",'Portfolio Register'!$DG267)</f>
        <v/>
      </c>
      <c r="F303" s="224" t="str">
        <f t="shared" si="92"/>
        <v/>
      </c>
      <c r="G303" s="225" t="str">
        <f>IF($B303="","",'Portfolio Register'!$J267)</f>
        <v/>
      </c>
      <c r="H303" s="225" t="str">
        <f>IF($B303="","",'Portfolio Register'!$CO267)</f>
        <v/>
      </c>
      <c r="I303" s="225" t="str">
        <f>IF($B303="","",'Portfolio Register'!$CW267)</f>
        <v/>
      </c>
      <c r="J303" s="214" t="str">
        <f t="shared" si="93"/>
        <v/>
      </c>
      <c r="K303" s="214" t="str">
        <f t="shared" si="94"/>
        <v/>
      </c>
      <c r="L303" s="214" t="str">
        <f t="shared" si="95"/>
        <v/>
      </c>
      <c r="M303" s="214" t="str">
        <f t="shared" si="96"/>
        <v/>
      </c>
      <c r="N303" s="214" t="str">
        <f t="shared" si="97"/>
        <v/>
      </c>
      <c r="O303" s="214" t="str">
        <f t="shared" si="98"/>
        <v/>
      </c>
      <c r="P303" s="214" t="str">
        <f t="shared" si="99"/>
        <v/>
      </c>
      <c r="Q303" s="214" t="str">
        <f t="shared" si="100"/>
        <v/>
      </c>
      <c r="R303" s="214" t="str">
        <f t="shared" si="101"/>
        <v/>
      </c>
      <c r="S303" s="214" t="str">
        <f t="shared" si="102"/>
        <v/>
      </c>
      <c r="T303" s="214" t="str">
        <f t="shared" si="103"/>
        <v/>
      </c>
      <c r="U303" s="214" t="str">
        <f t="shared" si="104"/>
        <v/>
      </c>
      <c r="V303" s="214" t="str">
        <f t="shared" si="105"/>
        <v/>
      </c>
      <c r="W303" s="214" t="str">
        <f t="shared" si="106"/>
        <v/>
      </c>
      <c r="X303" s="214" t="str">
        <f t="shared" si="107"/>
        <v/>
      </c>
      <c r="Y303" s="214" t="str">
        <f t="shared" si="108"/>
        <v/>
      </c>
      <c r="Z303" s="214" t="str">
        <f t="shared" si="109"/>
        <v/>
      </c>
      <c r="AA303" s="214" t="str">
        <f t="shared" si="110"/>
        <v/>
      </c>
      <c r="AB303" s="214" t="str">
        <f t="shared" si="111"/>
        <v/>
      </c>
      <c r="AC303" s="214" t="str">
        <f t="shared" si="112"/>
        <v/>
      </c>
    </row>
    <row r="304" spans="2:29" x14ac:dyDescent="0.35">
      <c r="B304" s="208" t="str">
        <f>IF('Portfolio Register'!$A268="","",'Portfolio Register'!$A268)</f>
        <v/>
      </c>
      <c r="C304" s="208" t="str">
        <f>IF($B304="","",'Portfolio Register'!$B268)</f>
        <v/>
      </c>
      <c r="D304" s="208" t="str">
        <f>IF($B304="","",'Portfolio Register'!$I268)</f>
        <v/>
      </c>
      <c r="E304" s="208" t="str">
        <f>IF($B304="","",'Portfolio Register'!$DG268)</f>
        <v/>
      </c>
      <c r="F304" s="224" t="str">
        <f t="shared" si="92"/>
        <v/>
      </c>
      <c r="G304" s="225" t="str">
        <f>IF($B304="","",'Portfolio Register'!$J268)</f>
        <v/>
      </c>
      <c r="H304" s="225" t="str">
        <f>IF($B304="","",'Portfolio Register'!$CO268)</f>
        <v/>
      </c>
      <c r="I304" s="225" t="str">
        <f>IF($B304="","",'Portfolio Register'!$CW268)</f>
        <v/>
      </c>
      <c r="J304" s="214" t="str">
        <f t="shared" si="93"/>
        <v/>
      </c>
      <c r="K304" s="214" t="str">
        <f t="shared" si="94"/>
        <v/>
      </c>
      <c r="L304" s="214" t="str">
        <f t="shared" si="95"/>
        <v/>
      </c>
      <c r="M304" s="214" t="str">
        <f t="shared" si="96"/>
        <v/>
      </c>
      <c r="N304" s="214" t="str">
        <f t="shared" si="97"/>
        <v/>
      </c>
      <c r="O304" s="214" t="str">
        <f t="shared" si="98"/>
        <v/>
      </c>
      <c r="P304" s="214" t="str">
        <f t="shared" si="99"/>
        <v/>
      </c>
      <c r="Q304" s="214" t="str">
        <f t="shared" si="100"/>
        <v/>
      </c>
      <c r="R304" s="214" t="str">
        <f t="shared" si="101"/>
        <v/>
      </c>
      <c r="S304" s="214" t="str">
        <f t="shared" si="102"/>
        <v/>
      </c>
      <c r="T304" s="214" t="str">
        <f t="shared" si="103"/>
        <v/>
      </c>
      <c r="U304" s="214" t="str">
        <f t="shared" si="104"/>
        <v/>
      </c>
      <c r="V304" s="214" t="str">
        <f t="shared" si="105"/>
        <v/>
      </c>
      <c r="W304" s="214" t="str">
        <f t="shared" si="106"/>
        <v/>
      </c>
      <c r="X304" s="214" t="str">
        <f t="shared" si="107"/>
        <v/>
      </c>
      <c r="Y304" s="214" t="str">
        <f t="shared" si="108"/>
        <v/>
      </c>
      <c r="Z304" s="214" t="str">
        <f t="shared" si="109"/>
        <v/>
      </c>
      <c r="AA304" s="214" t="str">
        <f t="shared" si="110"/>
        <v/>
      </c>
      <c r="AB304" s="214" t="str">
        <f t="shared" si="111"/>
        <v/>
      </c>
      <c r="AC304" s="214" t="str">
        <f t="shared" si="112"/>
        <v/>
      </c>
    </row>
    <row r="305" spans="2:29" x14ac:dyDescent="0.35">
      <c r="B305" s="208" t="str">
        <f>IF('Portfolio Register'!$A269="","",'Portfolio Register'!$A269)</f>
        <v/>
      </c>
      <c r="C305" s="208" t="str">
        <f>IF($B305="","",'Portfolio Register'!$B269)</f>
        <v/>
      </c>
      <c r="D305" s="208" t="str">
        <f>IF($B305="","",'Portfolio Register'!$I269)</f>
        <v/>
      </c>
      <c r="E305" s="208" t="str">
        <f>IF($B305="","",'Portfolio Register'!$DG269)</f>
        <v/>
      </c>
      <c r="F305" s="224" t="str">
        <f t="shared" si="92"/>
        <v/>
      </c>
      <c r="G305" s="225" t="str">
        <f>IF($B305="","",'Portfolio Register'!$J269)</f>
        <v/>
      </c>
      <c r="H305" s="225" t="str">
        <f>IF($B305="","",'Portfolio Register'!$CO269)</f>
        <v/>
      </c>
      <c r="I305" s="225" t="str">
        <f>IF($B305="","",'Portfolio Register'!$CW269)</f>
        <v/>
      </c>
      <c r="J305" s="214" t="str">
        <f t="shared" si="93"/>
        <v/>
      </c>
      <c r="K305" s="214" t="str">
        <f t="shared" si="94"/>
        <v/>
      </c>
      <c r="L305" s="214" t="str">
        <f t="shared" si="95"/>
        <v/>
      </c>
      <c r="M305" s="214" t="str">
        <f t="shared" si="96"/>
        <v/>
      </c>
      <c r="N305" s="214" t="str">
        <f t="shared" si="97"/>
        <v/>
      </c>
      <c r="O305" s="214" t="str">
        <f t="shared" si="98"/>
        <v/>
      </c>
      <c r="P305" s="214" t="str">
        <f t="shared" si="99"/>
        <v/>
      </c>
      <c r="Q305" s="214" t="str">
        <f t="shared" si="100"/>
        <v/>
      </c>
      <c r="R305" s="214" t="str">
        <f t="shared" si="101"/>
        <v/>
      </c>
      <c r="S305" s="214" t="str">
        <f t="shared" si="102"/>
        <v/>
      </c>
      <c r="T305" s="214" t="str">
        <f t="shared" si="103"/>
        <v/>
      </c>
      <c r="U305" s="214" t="str">
        <f t="shared" si="104"/>
        <v/>
      </c>
      <c r="V305" s="214" t="str">
        <f t="shared" si="105"/>
        <v/>
      </c>
      <c r="W305" s="214" t="str">
        <f t="shared" si="106"/>
        <v/>
      </c>
      <c r="X305" s="214" t="str">
        <f t="shared" si="107"/>
        <v/>
      </c>
      <c r="Y305" s="214" t="str">
        <f t="shared" si="108"/>
        <v/>
      </c>
      <c r="Z305" s="214" t="str">
        <f t="shared" si="109"/>
        <v/>
      </c>
      <c r="AA305" s="214" t="str">
        <f t="shared" si="110"/>
        <v/>
      </c>
      <c r="AB305" s="214" t="str">
        <f t="shared" si="111"/>
        <v/>
      </c>
      <c r="AC305" s="214" t="str">
        <f t="shared" si="112"/>
        <v/>
      </c>
    </row>
    <row r="306" spans="2:29" x14ac:dyDescent="0.35">
      <c r="B306" s="208" t="str">
        <f>IF('Portfolio Register'!$A270="","",'Portfolio Register'!$A270)</f>
        <v/>
      </c>
      <c r="C306" s="208" t="str">
        <f>IF($B306="","",'Portfolio Register'!$B270)</f>
        <v/>
      </c>
      <c r="D306" s="208" t="str">
        <f>IF($B306="","",'Portfolio Register'!$I270)</f>
        <v/>
      </c>
      <c r="E306" s="208" t="str">
        <f>IF($B306="","",'Portfolio Register'!$DG270)</f>
        <v/>
      </c>
      <c r="F306" s="224" t="str">
        <f t="shared" si="92"/>
        <v/>
      </c>
      <c r="G306" s="225" t="str">
        <f>IF($B306="","",'Portfolio Register'!$J270)</f>
        <v/>
      </c>
      <c r="H306" s="225" t="str">
        <f>IF($B306="","",'Portfolio Register'!$CO270)</f>
        <v/>
      </c>
      <c r="I306" s="225" t="str">
        <f>IF($B306="","",'Portfolio Register'!$CW270)</f>
        <v/>
      </c>
      <c r="J306" s="214" t="str">
        <f t="shared" si="93"/>
        <v/>
      </c>
      <c r="K306" s="214" t="str">
        <f t="shared" si="94"/>
        <v/>
      </c>
      <c r="L306" s="214" t="str">
        <f t="shared" si="95"/>
        <v/>
      </c>
      <c r="M306" s="214" t="str">
        <f t="shared" si="96"/>
        <v/>
      </c>
      <c r="N306" s="214" t="str">
        <f t="shared" si="97"/>
        <v/>
      </c>
      <c r="O306" s="214" t="str">
        <f t="shared" si="98"/>
        <v/>
      </c>
      <c r="P306" s="214" t="str">
        <f t="shared" si="99"/>
        <v/>
      </c>
      <c r="Q306" s="214" t="str">
        <f t="shared" si="100"/>
        <v/>
      </c>
      <c r="R306" s="214" t="str">
        <f t="shared" si="101"/>
        <v/>
      </c>
      <c r="S306" s="214" t="str">
        <f t="shared" si="102"/>
        <v/>
      </c>
      <c r="T306" s="214" t="str">
        <f t="shared" si="103"/>
        <v/>
      </c>
      <c r="U306" s="214" t="str">
        <f t="shared" si="104"/>
        <v/>
      </c>
      <c r="V306" s="214" t="str">
        <f t="shared" si="105"/>
        <v/>
      </c>
      <c r="W306" s="214" t="str">
        <f t="shared" si="106"/>
        <v/>
      </c>
      <c r="X306" s="214" t="str">
        <f t="shared" si="107"/>
        <v/>
      </c>
      <c r="Y306" s="214" t="str">
        <f t="shared" si="108"/>
        <v/>
      </c>
      <c r="Z306" s="214" t="str">
        <f t="shared" si="109"/>
        <v/>
      </c>
      <c r="AA306" s="214" t="str">
        <f t="shared" si="110"/>
        <v/>
      </c>
      <c r="AB306" s="214" t="str">
        <f t="shared" si="111"/>
        <v/>
      </c>
      <c r="AC306" s="214" t="str">
        <f t="shared" si="112"/>
        <v/>
      </c>
    </row>
    <row r="307" spans="2:29" x14ac:dyDescent="0.35">
      <c r="B307" s="208" t="str">
        <f>IF('Portfolio Register'!$A271="","",'Portfolio Register'!$A271)</f>
        <v/>
      </c>
      <c r="C307" s="208" t="str">
        <f>IF($B307="","",'Portfolio Register'!$B271)</f>
        <v/>
      </c>
      <c r="D307" s="208" t="str">
        <f>IF($B307="","",'Portfolio Register'!$I271)</f>
        <v/>
      </c>
      <c r="E307" s="208" t="str">
        <f>IF($B307="","",'Portfolio Register'!$DG271)</f>
        <v/>
      </c>
      <c r="F307" s="224" t="str">
        <f t="shared" si="92"/>
        <v/>
      </c>
      <c r="G307" s="225" t="str">
        <f>IF($B307="","",'Portfolio Register'!$J271)</f>
        <v/>
      </c>
      <c r="H307" s="225" t="str">
        <f>IF($B307="","",'Portfolio Register'!$CO271)</f>
        <v/>
      </c>
      <c r="I307" s="225" t="str">
        <f>IF($B307="","",'Portfolio Register'!$CW271)</f>
        <v/>
      </c>
      <c r="J307" s="214" t="str">
        <f t="shared" si="93"/>
        <v/>
      </c>
      <c r="K307" s="214" t="str">
        <f t="shared" si="94"/>
        <v/>
      </c>
      <c r="L307" s="214" t="str">
        <f t="shared" si="95"/>
        <v/>
      </c>
      <c r="M307" s="214" t="str">
        <f t="shared" si="96"/>
        <v/>
      </c>
      <c r="N307" s="214" t="str">
        <f t="shared" si="97"/>
        <v/>
      </c>
      <c r="O307" s="214" t="str">
        <f t="shared" si="98"/>
        <v/>
      </c>
      <c r="P307" s="214" t="str">
        <f t="shared" si="99"/>
        <v/>
      </c>
      <c r="Q307" s="214" t="str">
        <f t="shared" si="100"/>
        <v/>
      </c>
      <c r="R307" s="214" t="str">
        <f t="shared" si="101"/>
        <v/>
      </c>
      <c r="S307" s="214" t="str">
        <f t="shared" si="102"/>
        <v/>
      </c>
      <c r="T307" s="214" t="str">
        <f t="shared" si="103"/>
        <v/>
      </c>
      <c r="U307" s="214" t="str">
        <f t="shared" si="104"/>
        <v/>
      </c>
      <c r="V307" s="214" t="str">
        <f t="shared" si="105"/>
        <v/>
      </c>
      <c r="W307" s="214" t="str">
        <f t="shared" si="106"/>
        <v/>
      </c>
      <c r="X307" s="214" t="str">
        <f t="shared" si="107"/>
        <v/>
      </c>
      <c r="Y307" s="214" t="str">
        <f t="shared" si="108"/>
        <v/>
      </c>
      <c r="Z307" s="214" t="str">
        <f t="shared" si="109"/>
        <v/>
      </c>
      <c r="AA307" s="214" t="str">
        <f t="shared" si="110"/>
        <v/>
      </c>
      <c r="AB307" s="214" t="str">
        <f t="shared" si="111"/>
        <v/>
      </c>
      <c r="AC307" s="214" t="str">
        <f t="shared" si="112"/>
        <v/>
      </c>
    </row>
    <row r="308" spans="2:29" x14ac:dyDescent="0.35">
      <c r="B308" s="208" t="str">
        <f>IF('Portfolio Register'!$A272="","",'Portfolio Register'!$A272)</f>
        <v/>
      </c>
      <c r="C308" s="208" t="str">
        <f>IF($B308="","",'Portfolio Register'!$B272)</f>
        <v/>
      </c>
      <c r="D308" s="208" t="str">
        <f>IF($B308="","",'Portfolio Register'!$I272)</f>
        <v/>
      </c>
      <c r="E308" s="208" t="str">
        <f>IF($B308="","",'Portfolio Register'!$DG272)</f>
        <v/>
      </c>
      <c r="F308" s="224" t="str">
        <f t="shared" si="92"/>
        <v/>
      </c>
      <c r="G308" s="225" t="str">
        <f>IF($B308="","",'Portfolio Register'!$J272)</f>
        <v/>
      </c>
      <c r="H308" s="225" t="str">
        <f>IF($B308="","",'Portfolio Register'!$CO272)</f>
        <v/>
      </c>
      <c r="I308" s="225" t="str">
        <f>IF($B308="","",'Portfolio Register'!$CW272)</f>
        <v/>
      </c>
      <c r="J308" s="214" t="str">
        <f t="shared" si="93"/>
        <v/>
      </c>
      <c r="K308" s="214" t="str">
        <f t="shared" si="94"/>
        <v/>
      </c>
      <c r="L308" s="214" t="str">
        <f t="shared" si="95"/>
        <v/>
      </c>
      <c r="M308" s="214" t="str">
        <f t="shared" si="96"/>
        <v/>
      </c>
      <c r="N308" s="214" t="str">
        <f t="shared" si="97"/>
        <v/>
      </c>
      <c r="O308" s="214" t="str">
        <f t="shared" si="98"/>
        <v/>
      </c>
      <c r="P308" s="214" t="str">
        <f t="shared" si="99"/>
        <v/>
      </c>
      <c r="Q308" s="214" t="str">
        <f t="shared" si="100"/>
        <v/>
      </c>
      <c r="R308" s="214" t="str">
        <f t="shared" si="101"/>
        <v/>
      </c>
      <c r="S308" s="214" t="str">
        <f t="shared" si="102"/>
        <v/>
      </c>
      <c r="T308" s="214" t="str">
        <f t="shared" si="103"/>
        <v/>
      </c>
      <c r="U308" s="214" t="str">
        <f t="shared" si="104"/>
        <v/>
      </c>
      <c r="V308" s="214" t="str">
        <f t="shared" si="105"/>
        <v/>
      </c>
      <c r="W308" s="214" t="str">
        <f t="shared" si="106"/>
        <v/>
      </c>
      <c r="X308" s="214" t="str">
        <f t="shared" si="107"/>
        <v/>
      </c>
      <c r="Y308" s="214" t="str">
        <f t="shared" si="108"/>
        <v/>
      </c>
      <c r="Z308" s="214" t="str">
        <f t="shared" si="109"/>
        <v/>
      </c>
      <c r="AA308" s="214" t="str">
        <f t="shared" si="110"/>
        <v/>
      </c>
      <c r="AB308" s="214" t="str">
        <f t="shared" si="111"/>
        <v/>
      </c>
      <c r="AC308" s="214" t="str">
        <f t="shared" si="112"/>
        <v/>
      </c>
    </row>
    <row r="309" spans="2:29" x14ac:dyDescent="0.35">
      <c r="B309" s="208" t="str">
        <f>IF('Portfolio Register'!$A273="","",'Portfolio Register'!$A273)</f>
        <v/>
      </c>
      <c r="C309" s="208" t="str">
        <f>IF($B309="","",'Portfolio Register'!$B273)</f>
        <v/>
      </c>
      <c r="D309" s="208" t="str">
        <f>IF($B309="","",'Portfolio Register'!$I273)</f>
        <v/>
      </c>
      <c r="E309" s="208" t="str">
        <f>IF($B309="","",'Portfolio Register'!$DG273)</f>
        <v/>
      </c>
      <c r="F309" s="224" t="str">
        <f t="shared" si="92"/>
        <v/>
      </c>
      <c r="G309" s="225" t="str">
        <f>IF($B309="","",'Portfolio Register'!$J273)</f>
        <v/>
      </c>
      <c r="H309" s="225" t="str">
        <f>IF($B309="","",'Portfolio Register'!$CO273)</f>
        <v/>
      </c>
      <c r="I309" s="225" t="str">
        <f>IF($B309="","",'Portfolio Register'!$CW273)</f>
        <v/>
      </c>
      <c r="J309" s="214" t="str">
        <f t="shared" si="93"/>
        <v/>
      </c>
      <c r="K309" s="214" t="str">
        <f t="shared" si="94"/>
        <v/>
      </c>
      <c r="L309" s="214" t="str">
        <f t="shared" si="95"/>
        <v/>
      </c>
      <c r="M309" s="214" t="str">
        <f t="shared" si="96"/>
        <v/>
      </c>
      <c r="N309" s="214" t="str">
        <f t="shared" si="97"/>
        <v/>
      </c>
      <c r="O309" s="214" t="str">
        <f t="shared" si="98"/>
        <v/>
      </c>
      <c r="P309" s="214" t="str">
        <f t="shared" si="99"/>
        <v/>
      </c>
      <c r="Q309" s="214" t="str">
        <f t="shared" si="100"/>
        <v/>
      </c>
      <c r="R309" s="214" t="str">
        <f t="shared" si="101"/>
        <v/>
      </c>
      <c r="S309" s="214" t="str">
        <f t="shared" si="102"/>
        <v/>
      </c>
      <c r="T309" s="214" t="str">
        <f t="shared" si="103"/>
        <v/>
      </c>
      <c r="U309" s="214" t="str">
        <f t="shared" si="104"/>
        <v/>
      </c>
      <c r="V309" s="214" t="str">
        <f t="shared" si="105"/>
        <v/>
      </c>
      <c r="W309" s="214" t="str">
        <f t="shared" si="106"/>
        <v/>
      </c>
      <c r="X309" s="214" t="str">
        <f t="shared" si="107"/>
        <v/>
      </c>
      <c r="Y309" s="214" t="str">
        <f t="shared" si="108"/>
        <v/>
      </c>
      <c r="Z309" s="214" t="str">
        <f t="shared" si="109"/>
        <v/>
      </c>
      <c r="AA309" s="214" t="str">
        <f t="shared" si="110"/>
        <v/>
      </c>
      <c r="AB309" s="214" t="str">
        <f t="shared" si="111"/>
        <v/>
      </c>
      <c r="AC309" s="214" t="str">
        <f t="shared" si="112"/>
        <v/>
      </c>
    </row>
    <row r="310" spans="2:29" x14ac:dyDescent="0.35">
      <c r="B310" s="208" t="str">
        <f>IF('Portfolio Register'!$A274="","",'Portfolio Register'!$A274)</f>
        <v/>
      </c>
      <c r="C310" s="208" t="str">
        <f>IF($B310="","",'Portfolio Register'!$B274)</f>
        <v/>
      </c>
      <c r="D310" s="208" t="str">
        <f>IF($B310="","",'Portfolio Register'!$I274)</f>
        <v/>
      </c>
      <c r="E310" s="208" t="str">
        <f>IF($B310="","",'Portfolio Register'!$DG274)</f>
        <v/>
      </c>
      <c r="F310" s="224" t="str">
        <f t="shared" si="92"/>
        <v/>
      </c>
      <c r="G310" s="225" t="str">
        <f>IF($B310="","",'Portfolio Register'!$J274)</f>
        <v/>
      </c>
      <c r="H310" s="225" t="str">
        <f>IF($B310="","",'Portfolio Register'!$CO274)</f>
        <v/>
      </c>
      <c r="I310" s="225" t="str">
        <f>IF($B310="","",'Portfolio Register'!$CW274)</f>
        <v/>
      </c>
      <c r="J310" s="214" t="str">
        <f t="shared" si="93"/>
        <v/>
      </c>
      <c r="K310" s="214" t="str">
        <f t="shared" si="94"/>
        <v/>
      </c>
      <c r="L310" s="214" t="str">
        <f t="shared" si="95"/>
        <v/>
      </c>
      <c r="M310" s="214" t="str">
        <f t="shared" si="96"/>
        <v/>
      </c>
      <c r="N310" s="214" t="str">
        <f t="shared" si="97"/>
        <v/>
      </c>
      <c r="O310" s="214" t="str">
        <f t="shared" si="98"/>
        <v/>
      </c>
      <c r="P310" s="214" t="str">
        <f t="shared" si="99"/>
        <v/>
      </c>
      <c r="Q310" s="214" t="str">
        <f t="shared" si="100"/>
        <v/>
      </c>
      <c r="R310" s="214" t="str">
        <f t="shared" si="101"/>
        <v/>
      </c>
      <c r="S310" s="214" t="str">
        <f t="shared" si="102"/>
        <v/>
      </c>
      <c r="T310" s="214" t="str">
        <f t="shared" si="103"/>
        <v/>
      </c>
      <c r="U310" s="214" t="str">
        <f t="shared" si="104"/>
        <v/>
      </c>
      <c r="V310" s="214" t="str">
        <f t="shared" si="105"/>
        <v/>
      </c>
      <c r="W310" s="214" t="str">
        <f t="shared" si="106"/>
        <v/>
      </c>
      <c r="X310" s="214" t="str">
        <f t="shared" si="107"/>
        <v/>
      </c>
      <c r="Y310" s="214" t="str">
        <f t="shared" si="108"/>
        <v/>
      </c>
      <c r="Z310" s="214" t="str">
        <f t="shared" si="109"/>
        <v/>
      </c>
      <c r="AA310" s="214" t="str">
        <f t="shared" si="110"/>
        <v/>
      </c>
      <c r="AB310" s="214" t="str">
        <f t="shared" si="111"/>
        <v/>
      </c>
      <c r="AC310" s="214" t="str">
        <f t="shared" si="112"/>
        <v/>
      </c>
    </row>
    <row r="311" spans="2:29" x14ac:dyDescent="0.35">
      <c r="B311" s="208" t="str">
        <f>IF('Portfolio Register'!$A275="","",'Portfolio Register'!$A275)</f>
        <v/>
      </c>
      <c r="C311" s="208" t="str">
        <f>IF($B311="","",'Portfolio Register'!$B275)</f>
        <v/>
      </c>
      <c r="D311" s="208" t="str">
        <f>IF($B311="","",'Portfolio Register'!$I275)</f>
        <v/>
      </c>
      <c r="E311" s="208" t="str">
        <f>IF($B311="","",'Portfolio Register'!$DG275)</f>
        <v/>
      </c>
      <c r="F311" s="224" t="str">
        <f t="shared" si="92"/>
        <v/>
      </c>
      <c r="G311" s="225" t="str">
        <f>IF($B311="","",'Portfolio Register'!$J275)</f>
        <v/>
      </c>
      <c r="H311" s="225" t="str">
        <f>IF($B311="","",'Portfolio Register'!$CO275)</f>
        <v/>
      </c>
      <c r="I311" s="225" t="str">
        <f>IF($B311="","",'Portfolio Register'!$CW275)</f>
        <v/>
      </c>
      <c r="J311" s="214" t="str">
        <f t="shared" si="93"/>
        <v/>
      </c>
      <c r="K311" s="214" t="str">
        <f t="shared" si="94"/>
        <v/>
      </c>
      <c r="L311" s="214" t="str">
        <f t="shared" si="95"/>
        <v/>
      </c>
      <c r="M311" s="214" t="str">
        <f t="shared" si="96"/>
        <v/>
      </c>
      <c r="N311" s="214" t="str">
        <f t="shared" si="97"/>
        <v/>
      </c>
      <c r="O311" s="214" t="str">
        <f t="shared" si="98"/>
        <v/>
      </c>
      <c r="P311" s="214" t="str">
        <f t="shared" si="99"/>
        <v/>
      </c>
      <c r="Q311" s="214" t="str">
        <f t="shared" si="100"/>
        <v/>
      </c>
      <c r="R311" s="214" t="str">
        <f t="shared" si="101"/>
        <v/>
      </c>
      <c r="S311" s="214" t="str">
        <f t="shared" si="102"/>
        <v/>
      </c>
      <c r="T311" s="214" t="str">
        <f t="shared" si="103"/>
        <v/>
      </c>
      <c r="U311" s="214" t="str">
        <f t="shared" si="104"/>
        <v/>
      </c>
      <c r="V311" s="214" t="str">
        <f t="shared" si="105"/>
        <v/>
      </c>
      <c r="W311" s="214" t="str">
        <f t="shared" si="106"/>
        <v/>
      </c>
      <c r="X311" s="214" t="str">
        <f t="shared" si="107"/>
        <v/>
      </c>
      <c r="Y311" s="214" t="str">
        <f t="shared" si="108"/>
        <v/>
      </c>
      <c r="Z311" s="214" t="str">
        <f t="shared" si="109"/>
        <v/>
      </c>
      <c r="AA311" s="214" t="str">
        <f t="shared" si="110"/>
        <v/>
      </c>
      <c r="AB311" s="214" t="str">
        <f t="shared" si="111"/>
        <v/>
      </c>
      <c r="AC311" s="214" t="str">
        <f t="shared" si="112"/>
        <v/>
      </c>
    </row>
    <row r="312" spans="2:29" x14ac:dyDescent="0.35">
      <c r="B312" s="208" t="str">
        <f>IF('Portfolio Register'!$A276="","",'Portfolio Register'!$A276)</f>
        <v/>
      </c>
      <c r="C312" s="208" t="str">
        <f>IF($B312="","",'Portfolio Register'!$B276)</f>
        <v/>
      </c>
      <c r="D312" s="208" t="str">
        <f>IF($B312="","",'Portfolio Register'!$I276)</f>
        <v/>
      </c>
      <c r="E312" s="208" t="str">
        <f>IF($B312="","",'Portfolio Register'!$DG276)</f>
        <v/>
      </c>
      <c r="F312" s="224" t="str">
        <f t="shared" si="92"/>
        <v/>
      </c>
      <c r="G312" s="225" t="str">
        <f>IF($B312="","",'Portfolio Register'!$J276)</f>
        <v/>
      </c>
      <c r="H312" s="225" t="str">
        <f>IF($B312="","",'Portfolio Register'!$CO276)</f>
        <v/>
      </c>
      <c r="I312" s="225" t="str">
        <f>IF($B312="","",'Portfolio Register'!$CW276)</f>
        <v/>
      </c>
      <c r="J312" s="214" t="str">
        <f t="shared" si="93"/>
        <v/>
      </c>
      <c r="K312" s="214" t="str">
        <f t="shared" si="94"/>
        <v/>
      </c>
      <c r="L312" s="214" t="str">
        <f t="shared" si="95"/>
        <v/>
      </c>
      <c r="M312" s="214" t="str">
        <f t="shared" si="96"/>
        <v/>
      </c>
      <c r="N312" s="214" t="str">
        <f t="shared" si="97"/>
        <v/>
      </c>
      <c r="O312" s="214" t="str">
        <f t="shared" si="98"/>
        <v/>
      </c>
      <c r="P312" s="214" t="str">
        <f t="shared" si="99"/>
        <v/>
      </c>
      <c r="Q312" s="214" t="str">
        <f t="shared" si="100"/>
        <v/>
      </c>
      <c r="R312" s="214" t="str">
        <f t="shared" si="101"/>
        <v/>
      </c>
      <c r="S312" s="214" t="str">
        <f t="shared" si="102"/>
        <v/>
      </c>
      <c r="T312" s="214" t="str">
        <f t="shared" si="103"/>
        <v/>
      </c>
      <c r="U312" s="214" t="str">
        <f t="shared" si="104"/>
        <v/>
      </c>
      <c r="V312" s="214" t="str">
        <f t="shared" si="105"/>
        <v/>
      </c>
      <c r="W312" s="214" t="str">
        <f t="shared" si="106"/>
        <v/>
      </c>
      <c r="X312" s="214" t="str">
        <f t="shared" si="107"/>
        <v/>
      </c>
      <c r="Y312" s="214" t="str">
        <f t="shared" si="108"/>
        <v/>
      </c>
      <c r="Z312" s="214" t="str">
        <f t="shared" si="109"/>
        <v/>
      </c>
      <c r="AA312" s="214" t="str">
        <f t="shared" si="110"/>
        <v/>
      </c>
      <c r="AB312" s="214" t="str">
        <f t="shared" si="111"/>
        <v/>
      </c>
      <c r="AC312" s="214" t="str">
        <f t="shared" si="112"/>
        <v/>
      </c>
    </row>
    <row r="313" spans="2:29" x14ac:dyDescent="0.35">
      <c r="B313" s="208" t="str">
        <f>IF('Portfolio Register'!$A277="","",'Portfolio Register'!$A277)</f>
        <v/>
      </c>
      <c r="C313" s="208" t="str">
        <f>IF($B313="","",'Portfolio Register'!$B277)</f>
        <v/>
      </c>
      <c r="D313" s="208" t="str">
        <f>IF($B313="","",'Portfolio Register'!$I277)</f>
        <v/>
      </c>
      <c r="E313" s="208" t="str">
        <f>IF($B313="","",'Portfolio Register'!$DG277)</f>
        <v/>
      </c>
      <c r="F313" s="224" t="str">
        <f t="shared" si="92"/>
        <v/>
      </c>
      <c r="G313" s="225" t="str">
        <f>IF($B313="","",'Portfolio Register'!$J277)</f>
        <v/>
      </c>
      <c r="H313" s="225" t="str">
        <f>IF($B313="","",'Portfolio Register'!$CO277)</f>
        <v/>
      </c>
      <c r="I313" s="225" t="str">
        <f>IF($B313="","",'Portfolio Register'!$CW277)</f>
        <v/>
      </c>
      <c r="J313" s="214" t="str">
        <f t="shared" si="93"/>
        <v/>
      </c>
      <c r="K313" s="214" t="str">
        <f t="shared" si="94"/>
        <v/>
      </c>
      <c r="L313" s="214" t="str">
        <f t="shared" si="95"/>
        <v/>
      </c>
      <c r="M313" s="214" t="str">
        <f t="shared" si="96"/>
        <v/>
      </c>
      <c r="N313" s="214" t="str">
        <f t="shared" si="97"/>
        <v/>
      </c>
      <c r="O313" s="214" t="str">
        <f t="shared" si="98"/>
        <v/>
      </c>
      <c r="P313" s="214" t="str">
        <f t="shared" si="99"/>
        <v/>
      </c>
      <c r="Q313" s="214" t="str">
        <f t="shared" si="100"/>
        <v/>
      </c>
      <c r="R313" s="214" t="str">
        <f t="shared" si="101"/>
        <v/>
      </c>
      <c r="S313" s="214" t="str">
        <f t="shared" si="102"/>
        <v/>
      </c>
      <c r="T313" s="214" t="str">
        <f t="shared" si="103"/>
        <v/>
      </c>
      <c r="U313" s="214" t="str">
        <f t="shared" si="104"/>
        <v/>
      </c>
      <c r="V313" s="214" t="str">
        <f t="shared" si="105"/>
        <v/>
      </c>
      <c r="W313" s="214" t="str">
        <f t="shared" si="106"/>
        <v/>
      </c>
      <c r="X313" s="214" t="str">
        <f t="shared" si="107"/>
        <v/>
      </c>
      <c r="Y313" s="214" t="str">
        <f t="shared" si="108"/>
        <v/>
      </c>
      <c r="Z313" s="214" t="str">
        <f t="shared" si="109"/>
        <v/>
      </c>
      <c r="AA313" s="214" t="str">
        <f t="shared" si="110"/>
        <v/>
      </c>
      <c r="AB313" s="214" t="str">
        <f t="shared" si="111"/>
        <v/>
      </c>
      <c r="AC313" s="214" t="str">
        <f t="shared" si="112"/>
        <v/>
      </c>
    </row>
    <row r="314" spans="2:29" x14ac:dyDescent="0.35">
      <c r="B314" s="208" t="str">
        <f>IF('Portfolio Register'!$A278="","",'Portfolio Register'!$A278)</f>
        <v/>
      </c>
      <c r="C314" s="208" t="str">
        <f>IF($B314="","",'Portfolio Register'!$B278)</f>
        <v/>
      </c>
      <c r="D314" s="208" t="str">
        <f>IF($B314="","",'Portfolio Register'!$I278)</f>
        <v/>
      </c>
      <c r="E314" s="208" t="str">
        <f>IF($B314="","",'Portfolio Register'!$DG278)</f>
        <v/>
      </c>
      <c r="F314" s="224" t="str">
        <f t="shared" si="92"/>
        <v/>
      </c>
      <c r="G314" s="225" t="str">
        <f>IF($B314="","",'Portfolio Register'!$J278)</f>
        <v/>
      </c>
      <c r="H314" s="225" t="str">
        <f>IF($B314="","",'Portfolio Register'!$CO278)</f>
        <v/>
      </c>
      <c r="I314" s="225" t="str">
        <f>IF($B314="","",'Portfolio Register'!$CW278)</f>
        <v/>
      </c>
      <c r="J314" s="214" t="str">
        <f t="shared" si="93"/>
        <v/>
      </c>
      <c r="K314" s="214" t="str">
        <f t="shared" si="94"/>
        <v/>
      </c>
      <c r="L314" s="214" t="str">
        <f t="shared" si="95"/>
        <v/>
      </c>
      <c r="M314" s="214" t="str">
        <f t="shared" si="96"/>
        <v/>
      </c>
      <c r="N314" s="214" t="str">
        <f t="shared" si="97"/>
        <v/>
      </c>
      <c r="O314" s="214" t="str">
        <f t="shared" si="98"/>
        <v/>
      </c>
      <c r="P314" s="214" t="str">
        <f t="shared" si="99"/>
        <v/>
      </c>
      <c r="Q314" s="214" t="str">
        <f t="shared" si="100"/>
        <v/>
      </c>
      <c r="R314" s="214" t="str">
        <f t="shared" si="101"/>
        <v/>
      </c>
      <c r="S314" s="214" t="str">
        <f t="shared" si="102"/>
        <v/>
      </c>
      <c r="T314" s="214" t="str">
        <f t="shared" si="103"/>
        <v/>
      </c>
      <c r="U314" s="214" t="str">
        <f t="shared" si="104"/>
        <v/>
      </c>
      <c r="V314" s="214" t="str">
        <f t="shared" si="105"/>
        <v/>
      </c>
      <c r="W314" s="214" t="str">
        <f t="shared" si="106"/>
        <v/>
      </c>
      <c r="X314" s="214" t="str">
        <f t="shared" si="107"/>
        <v/>
      </c>
      <c r="Y314" s="214" t="str">
        <f t="shared" si="108"/>
        <v/>
      </c>
      <c r="Z314" s="214" t="str">
        <f t="shared" si="109"/>
        <v/>
      </c>
      <c r="AA314" s="214" t="str">
        <f t="shared" si="110"/>
        <v/>
      </c>
      <c r="AB314" s="214" t="str">
        <f t="shared" si="111"/>
        <v/>
      </c>
      <c r="AC314" s="214" t="str">
        <f t="shared" si="112"/>
        <v/>
      </c>
    </row>
    <row r="315" spans="2:29" x14ac:dyDescent="0.35">
      <c r="B315" s="208" t="str">
        <f>IF('Portfolio Register'!$A279="","",'Portfolio Register'!$A279)</f>
        <v/>
      </c>
      <c r="C315" s="208" t="str">
        <f>IF($B315="","",'Portfolio Register'!$B279)</f>
        <v/>
      </c>
      <c r="D315" s="208" t="str">
        <f>IF($B315="","",'Portfolio Register'!$I279)</f>
        <v/>
      </c>
      <c r="E315" s="208" t="str">
        <f>IF($B315="","",'Portfolio Register'!$DG279)</f>
        <v/>
      </c>
      <c r="F315" s="224" t="str">
        <f t="shared" si="92"/>
        <v/>
      </c>
      <c r="G315" s="225" t="str">
        <f>IF($B315="","",'Portfolio Register'!$J279)</f>
        <v/>
      </c>
      <c r="H315" s="225" t="str">
        <f>IF($B315="","",'Portfolio Register'!$CO279)</f>
        <v/>
      </c>
      <c r="I315" s="225" t="str">
        <f>IF($B315="","",'Portfolio Register'!$CW279)</f>
        <v/>
      </c>
      <c r="J315" s="214" t="str">
        <f t="shared" si="93"/>
        <v/>
      </c>
      <c r="K315" s="214" t="str">
        <f t="shared" si="94"/>
        <v/>
      </c>
      <c r="L315" s="214" t="str">
        <f t="shared" si="95"/>
        <v/>
      </c>
      <c r="M315" s="214" t="str">
        <f t="shared" si="96"/>
        <v/>
      </c>
      <c r="N315" s="214" t="str">
        <f t="shared" si="97"/>
        <v/>
      </c>
      <c r="O315" s="214" t="str">
        <f t="shared" si="98"/>
        <v/>
      </c>
      <c r="P315" s="214" t="str">
        <f t="shared" si="99"/>
        <v/>
      </c>
      <c r="Q315" s="214" t="str">
        <f t="shared" si="100"/>
        <v/>
      </c>
      <c r="R315" s="214" t="str">
        <f t="shared" si="101"/>
        <v/>
      </c>
      <c r="S315" s="214" t="str">
        <f t="shared" si="102"/>
        <v/>
      </c>
      <c r="T315" s="214" t="str">
        <f t="shared" si="103"/>
        <v/>
      </c>
      <c r="U315" s="214" t="str">
        <f t="shared" si="104"/>
        <v/>
      </c>
      <c r="V315" s="214" t="str">
        <f t="shared" si="105"/>
        <v/>
      </c>
      <c r="W315" s="214" t="str">
        <f t="shared" si="106"/>
        <v/>
      </c>
      <c r="X315" s="214" t="str">
        <f t="shared" si="107"/>
        <v/>
      </c>
      <c r="Y315" s="214" t="str">
        <f t="shared" si="108"/>
        <v/>
      </c>
      <c r="Z315" s="214" t="str">
        <f t="shared" si="109"/>
        <v/>
      </c>
      <c r="AA315" s="214" t="str">
        <f t="shared" si="110"/>
        <v/>
      </c>
      <c r="AB315" s="214" t="str">
        <f t="shared" si="111"/>
        <v/>
      </c>
      <c r="AC315" s="214" t="str">
        <f t="shared" si="112"/>
        <v/>
      </c>
    </row>
    <row r="316" spans="2:29" x14ac:dyDescent="0.35">
      <c r="B316" s="208" t="str">
        <f>IF('Portfolio Register'!$A280="","",'Portfolio Register'!$A280)</f>
        <v/>
      </c>
      <c r="C316" s="208" t="str">
        <f>IF($B316="","",'Portfolio Register'!$B280)</f>
        <v/>
      </c>
      <c r="D316" s="208" t="str">
        <f>IF($B316="","",'Portfolio Register'!$I280)</f>
        <v/>
      </c>
      <c r="E316" s="208" t="str">
        <f>IF($B316="","",'Portfolio Register'!$DG280)</f>
        <v/>
      </c>
      <c r="F316" s="224" t="str">
        <f t="shared" si="92"/>
        <v/>
      </c>
      <c r="G316" s="225" t="str">
        <f>IF($B316="","",'Portfolio Register'!$J280)</f>
        <v/>
      </c>
      <c r="H316" s="225" t="str">
        <f>IF($B316="","",'Portfolio Register'!$CO280)</f>
        <v/>
      </c>
      <c r="I316" s="225" t="str">
        <f>IF($B316="","",'Portfolio Register'!$CW280)</f>
        <v/>
      </c>
      <c r="J316" s="214" t="str">
        <f t="shared" si="93"/>
        <v/>
      </c>
      <c r="K316" s="214" t="str">
        <f t="shared" si="94"/>
        <v/>
      </c>
      <c r="L316" s="214" t="str">
        <f t="shared" si="95"/>
        <v/>
      </c>
      <c r="M316" s="214" t="str">
        <f t="shared" si="96"/>
        <v/>
      </c>
      <c r="N316" s="214" t="str">
        <f t="shared" si="97"/>
        <v/>
      </c>
      <c r="O316" s="214" t="str">
        <f t="shared" si="98"/>
        <v/>
      </c>
      <c r="P316" s="214" t="str">
        <f t="shared" si="99"/>
        <v/>
      </c>
      <c r="Q316" s="214" t="str">
        <f t="shared" si="100"/>
        <v/>
      </c>
      <c r="R316" s="214" t="str">
        <f t="shared" si="101"/>
        <v/>
      </c>
      <c r="S316" s="214" t="str">
        <f t="shared" si="102"/>
        <v/>
      </c>
      <c r="T316" s="214" t="str">
        <f t="shared" si="103"/>
        <v/>
      </c>
      <c r="U316" s="214" t="str">
        <f t="shared" si="104"/>
        <v/>
      </c>
      <c r="V316" s="214" t="str">
        <f t="shared" si="105"/>
        <v/>
      </c>
      <c r="W316" s="214" t="str">
        <f t="shared" si="106"/>
        <v/>
      </c>
      <c r="X316" s="214" t="str">
        <f t="shared" si="107"/>
        <v/>
      </c>
      <c r="Y316" s="214" t="str">
        <f t="shared" si="108"/>
        <v/>
      </c>
      <c r="Z316" s="214" t="str">
        <f t="shared" si="109"/>
        <v/>
      </c>
      <c r="AA316" s="214" t="str">
        <f t="shared" si="110"/>
        <v/>
      </c>
      <c r="AB316" s="214" t="str">
        <f t="shared" si="111"/>
        <v/>
      </c>
      <c r="AC316" s="214" t="str">
        <f t="shared" si="112"/>
        <v/>
      </c>
    </row>
    <row r="317" spans="2:29" x14ac:dyDescent="0.35">
      <c r="B317" s="208" t="str">
        <f>IF('Portfolio Register'!$A281="","",'Portfolio Register'!$A281)</f>
        <v/>
      </c>
      <c r="C317" s="208" t="str">
        <f>IF($B317="","",'Portfolio Register'!$B281)</f>
        <v/>
      </c>
      <c r="D317" s="208" t="str">
        <f>IF($B317="","",'Portfolio Register'!$I281)</f>
        <v/>
      </c>
      <c r="E317" s="208" t="str">
        <f>IF($B317="","",'Portfolio Register'!$DG281)</f>
        <v/>
      </c>
      <c r="F317" s="224" t="str">
        <f t="shared" si="92"/>
        <v/>
      </c>
      <c r="G317" s="225" t="str">
        <f>IF($B317="","",'Portfolio Register'!$J281)</f>
        <v/>
      </c>
      <c r="H317" s="225" t="str">
        <f>IF($B317="","",'Portfolio Register'!$CO281)</f>
        <v/>
      </c>
      <c r="I317" s="225" t="str">
        <f>IF($B317="","",'Portfolio Register'!$CW281)</f>
        <v/>
      </c>
      <c r="J317" s="214" t="str">
        <f t="shared" si="93"/>
        <v/>
      </c>
      <c r="K317" s="214" t="str">
        <f t="shared" si="94"/>
        <v/>
      </c>
      <c r="L317" s="214" t="str">
        <f t="shared" si="95"/>
        <v/>
      </c>
      <c r="M317" s="214" t="str">
        <f t="shared" si="96"/>
        <v/>
      </c>
      <c r="N317" s="214" t="str">
        <f t="shared" si="97"/>
        <v/>
      </c>
      <c r="O317" s="214" t="str">
        <f t="shared" si="98"/>
        <v/>
      </c>
      <c r="P317" s="214" t="str">
        <f t="shared" si="99"/>
        <v/>
      </c>
      <c r="Q317" s="214" t="str">
        <f t="shared" si="100"/>
        <v/>
      </c>
      <c r="R317" s="214" t="str">
        <f t="shared" si="101"/>
        <v/>
      </c>
      <c r="S317" s="214" t="str">
        <f t="shared" si="102"/>
        <v/>
      </c>
      <c r="T317" s="214" t="str">
        <f t="shared" si="103"/>
        <v/>
      </c>
      <c r="U317" s="214" t="str">
        <f t="shared" si="104"/>
        <v/>
      </c>
      <c r="V317" s="214" t="str">
        <f t="shared" si="105"/>
        <v/>
      </c>
      <c r="W317" s="214" t="str">
        <f t="shared" si="106"/>
        <v/>
      </c>
      <c r="X317" s="214" t="str">
        <f t="shared" si="107"/>
        <v/>
      </c>
      <c r="Y317" s="214" t="str">
        <f t="shared" si="108"/>
        <v/>
      </c>
      <c r="Z317" s="214" t="str">
        <f t="shared" si="109"/>
        <v/>
      </c>
      <c r="AA317" s="214" t="str">
        <f t="shared" si="110"/>
        <v/>
      </c>
      <c r="AB317" s="214" t="str">
        <f t="shared" si="111"/>
        <v/>
      </c>
      <c r="AC317" s="214" t="str">
        <f t="shared" si="112"/>
        <v/>
      </c>
    </row>
    <row r="318" spans="2:29" x14ac:dyDescent="0.35">
      <c r="B318" s="208" t="str">
        <f>IF('Portfolio Register'!$A282="","",'Portfolio Register'!$A282)</f>
        <v/>
      </c>
      <c r="C318" s="208" t="str">
        <f>IF($B318="","",'Portfolio Register'!$B282)</f>
        <v/>
      </c>
      <c r="D318" s="208" t="str">
        <f>IF($B318="","",'Portfolio Register'!$I282)</f>
        <v/>
      </c>
      <c r="E318" s="208" t="str">
        <f>IF($B318="","",'Portfolio Register'!$DG282)</f>
        <v/>
      </c>
      <c r="F318" s="224" t="str">
        <f t="shared" si="92"/>
        <v/>
      </c>
      <c r="G318" s="225" t="str">
        <f>IF($B318="","",'Portfolio Register'!$J282)</f>
        <v/>
      </c>
      <c r="H318" s="225" t="str">
        <f>IF($B318="","",'Portfolio Register'!$CO282)</f>
        <v/>
      </c>
      <c r="I318" s="225" t="str">
        <f>IF($B318="","",'Portfolio Register'!$CW282)</f>
        <v/>
      </c>
      <c r="J318" s="214" t="str">
        <f t="shared" si="93"/>
        <v/>
      </c>
      <c r="K318" s="214" t="str">
        <f t="shared" si="94"/>
        <v/>
      </c>
      <c r="L318" s="214" t="str">
        <f t="shared" si="95"/>
        <v/>
      </c>
      <c r="M318" s="214" t="str">
        <f t="shared" si="96"/>
        <v/>
      </c>
      <c r="N318" s="214" t="str">
        <f t="shared" si="97"/>
        <v/>
      </c>
      <c r="O318" s="214" t="str">
        <f t="shared" si="98"/>
        <v/>
      </c>
      <c r="P318" s="214" t="str">
        <f t="shared" si="99"/>
        <v/>
      </c>
      <c r="Q318" s="214" t="str">
        <f t="shared" si="100"/>
        <v/>
      </c>
      <c r="R318" s="214" t="str">
        <f t="shared" si="101"/>
        <v/>
      </c>
      <c r="S318" s="214" t="str">
        <f t="shared" si="102"/>
        <v/>
      </c>
      <c r="T318" s="214" t="str">
        <f t="shared" si="103"/>
        <v/>
      </c>
      <c r="U318" s="214" t="str">
        <f t="shared" si="104"/>
        <v/>
      </c>
      <c r="V318" s="214" t="str">
        <f t="shared" si="105"/>
        <v/>
      </c>
      <c r="W318" s="214" t="str">
        <f t="shared" si="106"/>
        <v/>
      </c>
      <c r="X318" s="214" t="str">
        <f t="shared" si="107"/>
        <v/>
      </c>
      <c r="Y318" s="214" t="str">
        <f t="shared" si="108"/>
        <v/>
      </c>
      <c r="Z318" s="214" t="str">
        <f t="shared" si="109"/>
        <v/>
      </c>
      <c r="AA318" s="214" t="str">
        <f t="shared" si="110"/>
        <v/>
      </c>
      <c r="AB318" s="214" t="str">
        <f t="shared" si="111"/>
        <v/>
      </c>
      <c r="AC318" s="214" t="str">
        <f t="shared" si="112"/>
        <v/>
      </c>
    </row>
    <row r="319" spans="2:29" x14ac:dyDescent="0.35">
      <c r="B319" s="208" t="str">
        <f>IF('Portfolio Register'!$A283="","",'Portfolio Register'!$A283)</f>
        <v/>
      </c>
      <c r="C319" s="208" t="str">
        <f>IF($B319="","",'Portfolio Register'!$B283)</f>
        <v/>
      </c>
      <c r="D319" s="208" t="str">
        <f>IF($B319="","",'Portfolio Register'!$I283)</f>
        <v/>
      </c>
      <c r="E319" s="208" t="str">
        <f>IF($B319="","",'Portfolio Register'!$DG283)</f>
        <v/>
      </c>
      <c r="F319" s="224" t="str">
        <f t="shared" si="92"/>
        <v/>
      </c>
      <c r="G319" s="225" t="str">
        <f>IF($B319="","",'Portfolio Register'!$J283)</f>
        <v/>
      </c>
      <c r="H319" s="225" t="str">
        <f>IF($B319="","",'Portfolio Register'!$CO283)</f>
        <v/>
      </c>
      <c r="I319" s="225" t="str">
        <f>IF($B319="","",'Portfolio Register'!$CW283)</f>
        <v/>
      </c>
      <c r="J319" s="214" t="str">
        <f t="shared" si="93"/>
        <v/>
      </c>
      <c r="K319" s="214" t="str">
        <f t="shared" si="94"/>
        <v/>
      </c>
      <c r="L319" s="214" t="str">
        <f t="shared" si="95"/>
        <v/>
      </c>
      <c r="M319" s="214" t="str">
        <f t="shared" si="96"/>
        <v/>
      </c>
      <c r="N319" s="214" t="str">
        <f t="shared" si="97"/>
        <v/>
      </c>
      <c r="O319" s="214" t="str">
        <f t="shared" si="98"/>
        <v/>
      </c>
      <c r="P319" s="214" t="str">
        <f t="shared" si="99"/>
        <v/>
      </c>
      <c r="Q319" s="214" t="str">
        <f t="shared" si="100"/>
        <v/>
      </c>
      <c r="R319" s="214" t="str">
        <f t="shared" si="101"/>
        <v/>
      </c>
      <c r="S319" s="214" t="str">
        <f t="shared" si="102"/>
        <v/>
      </c>
      <c r="T319" s="214" t="str">
        <f t="shared" si="103"/>
        <v/>
      </c>
      <c r="U319" s="214" t="str">
        <f t="shared" si="104"/>
        <v/>
      </c>
      <c r="V319" s="214" t="str">
        <f t="shared" si="105"/>
        <v/>
      </c>
      <c r="W319" s="214" t="str">
        <f t="shared" si="106"/>
        <v/>
      </c>
      <c r="X319" s="214" t="str">
        <f t="shared" si="107"/>
        <v/>
      </c>
      <c r="Y319" s="214" t="str">
        <f t="shared" si="108"/>
        <v/>
      </c>
      <c r="Z319" s="214" t="str">
        <f t="shared" si="109"/>
        <v/>
      </c>
      <c r="AA319" s="214" t="str">
        <f t="shared" si="110"/>
        <v/>
      </c>
      <c r="AB319" s="214" t="str">
        <f t="shared" si="111"/>
        <v/>
      </c>
      <c r="AC319" s="214" t="str">
        <f t="shared" si="112"/>
        <v/>
      </c>
    </row>
    <row r="320" spans="2:29" x14ac:dyDescent="0.35">
      <c r="B320" s="208" t="str">
        <f>IF('Portfolio Register'!$A284="","",'Portfolio Register'!$A284)</f>
        <v/>
      </c>
      <c r="C320" s="208" t="str">
        <f>IF($B320="","",'Portfolio Register'!$B284)</f>
        <v/>
      </c>
      <c r="D320" s="208" t="str">
        <f>IF($B320="","",'Portfolio Register'!$I284)</f>
        <v/>
      </c>
      <c r="E320" s="208" t="str">
        <f>IF($B320="","",'Portfolio Register'!$DG284)</f>
        <v/>
      </c>
      <c r="F320" s="224" t="str">
        <f t="shared" si="92"/>
        <v/>
      </c>
      <c r="G320" s="225" t="str">
        <f>IF($B320="","",'Portfolio Register'!$J284)</f>
        <v/>
      </c>
      <c r="H320" s="225" t="str">
        <f>IF($B320="","",'Portfolio Register'!$CO284)</f>
        <v/>
      </c>
      <c r="I320" s="225" t="str">
        <f>IF($B320="","",'Portfolio Register'!$CW284)</f>
        <v/>
      </c>
      <c r="J320" s="214" t="str">
        <f t="shared" si="93"/>
        <v/>
      </c>
      <c r="K320" s="214" t="str">
        <f t="shared" si="94"/>
        <v/>
      </c>
      <c r="L320" s="214" t="str">
        <f t="shared" si="95"/>
        <v/>
      </c>
      <c r="M320" s="214" t="str">
        <f t="shared" si="96"/>
        <v/>
      </c>
      <c r="N320" s="214" t="str">
        <f t="shared" si="97"/>
        <v/>
      </c>
      <c r="O320" s="214" t="str">
        <f t="shared" si="98"/>
        <v/>
      </c>
      <c r="P320" s="214" t="str">
        <f t="shared" si="99"/>
        <v/>
      </c>
      <c r="Q320" s="214" t="str">
        <f t="shared" si="100"/>
        <v/>
      </c>
      <c r="R320" s="214" t="str">
        <f t="shared" si="101"/>
        <v/>
      </c>
      <c r="S320" s="214" t="str">
        <f t="shared" si="102"/>
        <v/>
      </c>
      <c r="T320" s="214" t="str">
        <f t="shared" si="103"/>
        <v/>
      </c>
      <c r="U320" s="214" t="str">
        <f t="shared" si="104"/>
        <v/>
      </c>
      <c r="V320" s="214" t="str">
        <f t="shared" si="105"/>
        <v/>
      </c>
      <c r="W320" s="214" t="str">
        <f t="shared" si="106"/>
        <v/>
      </c>
      <c r="X320" s="214" t="str">
        <f t="shared" si="107"/>
        <v/>
      </c>
      <c r="Y320" s="214" t="str">
        <f t="shared" si="108"/>
        <v/>
      </c>
      <c r="Z320" s="214" t="str">
        <f t="shared" si="109"/>
        <v/>
      </c>
      <c r="AA320" s="214" t="str">
        <f t="shared" si="110"/>
        <v/>
      </c>
      <c r="AB320" s="214" t="str">
        <f t="shared" si="111"/>
        <v/>
      </c>
      <c r="AC320" s="214" t="str">
        <f t="shared" si="112"/>
        <v/>
      </c>
    </row>
    <row r="321" spans="2:29" x14ac:dyDescent="0.35">
      <c r="B321" s="208" t="str">
        <f>IF('Portfolio Register'!$A285="","",'Portfolio Register'!$A285)</f>
        <v/>
      </c>
      <c r="C321" s="208" t="str">
        <f>IF($B321="","",'Portfolio Register'!$B285)</f>
        <v/>
      </c>
      <c r="D321" s="208" t="str">
        <f>IF($B321="","",'Portfolio Register'!$I285)</f>
        <v/>
      </c>
      <c r="E321" s="208" t="str">
        <f>IF($B321="","",'Portfolio Register'!$DG285)</f>
        <v/>
      </c>
      <c r="F321" s="224" t="str">
        <f t="shared" si="92"/>
        <v/>
      </c>
      <c r="G321" s="225" t="str">
        <f>IF($B321="","",'Portfolio Register'!$J285)</f>
        <v/>
      </c>
      <c r="H321" s="225" t="str">
        <f>IF($B321="","",'Portfolio Register'!$CO285)</f>
        <v/>
      </c>
      <c r="I321" s="225" t="str">
        <f>IF($B321="","",'Portfolio Register'!$CW285)</f>
        <v/>
      </c>
      <c r="J321" s="214" t="str">
        <f t="shared" si="93"/>
        <v/>
      </c>
      <c r="K321" s="214" t="str">
        <f t="shared" si="94"/>
        <v/>
      </c>
      <c r="L321" s="214" t="str">
        <f t="shared" si="95"/>
        <v/>
      </c>
      <c r="M321" s="214" t="str">
        <f t="shared" si="96"/>
        <v/>
      </c>
      <c r="N321" s="214" t="str">
        <f t="shared" si="97"/>
        <v/>
      </c>
      <c r="O321" s="214" t="str">
        <f t="shared" si="98"/>
        <v/>
      </c>
      <c r="P321" s="214" t="str">
        <f t="shared" si="99"/>
        <v/>
      </c>
      <c r="Q321" s="214" t="str">
        <f t="shared" si="100"/>
        <v/>
      </c>
      <c r="R321" s="214" t="str">
        <f t="shared" si="101"/>
        <v/>
      </c>
      <c r="S321" s="214" t="str">
        <f t="shared" si="102"/>
        <v/>
      </c>
      <c r="T321" s="214" t="str">
        <f t="shared" si="103"/>
        <v/>
      </c>
      <c r="U321" s="214" t="str">
        <f t="shared" si="104"/>
        <v/>
      </c>
      <c r="V321" s="214" t="str">
        <f t="shared" si="105"/>
        <v/>
      </c>
      <c r="W321" s="214" t="str">
        <f t="shared" si="106"/>
        <v/>
      </c>
      <c r="X321" s="214" t="str">
        <f t="shared" si="107"/>
        <v/>
      </c>
      <c r="Y321" s="214" t="str">
        <f t="shared" si="108"/>
        <v/>
      </c>
      <c r="Z321" s="214" t="str">
        <f t="shared" si="109"/>
        <v/>
      </c>
      <c r="AA321" s="214" t="str">
        <f t="shared" si="110"/>
        <v/>
      </c>
      <c r="AB321" s="214" t="str">
        <f t="shared" si="111"/>
        <v/>
      </c>
      <c r="AC321" s="214" t="str">
        <f t="shared" si="112"/>
        <v/>
      </c>
    </row>
    <row r="322" spans="2:29" x14ac:dyDescent="0.35">
      <c r="B322" s="208" t="str">
        <f>IF('Portfolio Register'!$A286="","",'Portfolio Register'!$A286)</f>
        <v/>
      </c>
      <c r="C322" s="208" t="str">
        <f>IF($B322="","",'Portfolio Register'!$B286)</f>
        <v/>
      </c>
      <c r="D322" s="208" t="str">
        <f>IF($B322="","",'Portfolio Register'!$I286)</f>
        <v/>
      </c>
      <c r="E322" s="208" t="str">
        <f>IF($B322="","",'Portfolio Register'!$DG286)</f>
        <v/>
      </c>
      <c r="F322" s="224" t="str">
        <f t="shared" si="92"/>
        <v/>
      </c>
      <c r="G322" s="225" t="str">
        <f>IF($B322="","",'Portfolio Register'!$J286)</f>
        <v/>
      </c>
      <c r="H322" s="225" t="str">
        <f>IF($B322="","",'Portfolio Register'!$CO286)</f>
        <v/>
      </c>
      <c r="I322" s="225" t="str">
        <f>IF($B322="","",'Portfolio Register'!$CW286)</f>
        <v/>
      </c>
      <c r="J322" s="214" t="str">
        <f t="shared" si="93"/>
        <v/>
      </c>
      <c r="K322" s="214" t="str">
        <f t="shared" si="94"/>
        <v/>
      </c>
      <c r="L322" s="214" t="str">
        <f t="shared" si="95"/>
        <v/>
      </c>
      <c r="M322" s="214" t="str">
        <f t="shared" si="96"/>
        <v/>
      </c>
      <c r="N322" s="214" t="str">
        <f t="shared" si="97"/>
        <v/>
      </c>
      <c r="O322" s="214" t="str">
        <f t="shared" si="98"/>
        <v/>
      </c>
      <c r="P322" s="214" t="str">
        <f t="shared" si="99"/>
        <v/>
      </c>
      <c r="Q322" s="214" t="str">
        <f t="shared" si="100"/>
        <v/>
      </c>
      <c r="R322" s="214" t="str">
        <f t="shared" si="101"/>
        <v/>
      </c>
      <c r="S322" s="214" t="str">
        <f t="shared" si="102"/>
        <v/>
      </c>
      <c r="T322" s="214" t="str">
        <f t="shared" si="103"/>
        <v/>
      </c>
      <c r="U322" s="214" t="str">
        <f t="shared" si="104"/>
        <v/>
      </c>
      <c r="V322" s="214" t="str">
        <f t="shared" si="105"/>
        <v/>
      </c>
      <c r="W322" s="214" t="str">
        <f t="shared" si="106"/>
        <v/>
      </c>
      <c r="X322" s="214" t="str">
        <f t="shared" si="107"/>
        <v/>
      </c>
      <c r="Y322" s="214" t="str">
        <f t="shared" si="108"/>
        <v/>
      </c>
      <c r="Z322" s="214" t="str">
        <f t="shared" si="109"/>
        <v/>
      </c>
      <c r="AA322" s="214" t="str">
        <f t="shared" si="110"/>
        <v/>
      </c>
      <c r="AB322" s="214" t="str">
        <f t="shared" si="111"/>
        <v/>
      </c>
      <c r="AC322" s="214" t="str">
        <f t="shared" si="112"/>
        <v/>
      </c>
    </row>
    <row r="323" spans="2:29" x14ac:dyDescent="0.35">
      <c r="B323" s="208" t="str">
        <f>IF('Portfolio Register'!$A287="","",'Portfolio Register'!$A287)</f>
        <v/>
      </c>
      <c r="C323" s="208" t="str">
        <f>IF($B323="","",'Portfolio Register'!$B287)</f>
        <v/>
      </c>
      <c r="D323" s="208" t="str">
        <f>IF($B323="","",'Portfolio Register'!$I287)</f>
        <v/>
      </c>
      <c r="E323" s="208" t="str">
        <f>IF($B323="","",'Portfolio Register'!$DG287)</f>
        <v/>
      </c>
      <c r="F323" s="224" t="str">
        <f t="shared" si="92"/>
        <v/>
      </c>
      <c r="G323" s="225" t="str">
        <f>IF($B323="","",'Portfolio Register'!$J287)</f>
        <v/>
      </c>
      <c r="H323" s="225" t="str">
        <f>IF($B323="","",'Portfolio Register'!$CO287)</f>
        <v/>
      </c>
      <c r="I323" s="225" t="str">
        <f>IF($B323="","",'Portfolio Register'!$CW287)</f>
        <v/>
      </c>
      <c r="J323" s="214" t="str">
        <f t="shared" si="93"/>
        <v/>
      </c>
      <c r="K323" s="214" t="str">
        <f t="shared" si="94"/>
        <v/>
      </c>
      <c r="L323" s="214" t="str">
        <f t="shared" si="95"/>
        <v/>
      </c>
      <c r="M323" s="214" t="str">
        <f t="shared" si="96"/>
        <v/>
      </c>
      <c r="N323" s="214" t="str">
        <f t="shared" si="97"/>
        <v/>
      </c>
      <c r="O323" s="214" t="str">
        <f t="shared" si="98"/>
        <v/>
      </c>
      <c r="P323" s="214" t="str">
        <f t="shared" si="99"/>
        <v/>
      </c>
      <c r="Q323" s="214" t="str">
        <f t="shared" si="100"/>
        <v/>
      </c>
      <c r="R323" s="214" t="str">
        <f t="shared" si="101"/>
        <v/>
      </c>
      <c r="S323" s="214" t="str">
        <f t="shared" si="102"/>
        <v/>
      </c>
      <c r="T323" s="214" t="str">
        <f t="shared" si="103"/>
        <v/>
      </c>
      <c r="U323" s="214" t="str">
        <f t="shared" si="104"/>
        <v/>
      </c>
      <c r="V323" s="214" t="str">
        <f t="shared" si="105"/>
        <v/>
      </c>
      <c r="W323" s="214" t="str">
        <f t="shared" si="106"/>
        <v/>
      </c>
      <c r="X323" s="214" t="str">
        <f t="shared" si="107"/>
        <v/>
      </c>
      <c r="Y323" s="214" t="str">
        <f t="shared" si="108"/>
        <v/>
      </c>
      <c r="Z323" s="214" t="str">
        <f t="shared" si="109"/>
        <v/>
      </c>
      <c r="AA323" s="214" t="str">
        <f t="shared" si="110"/>
        <v/>
      </c>
      <c r="AB323" s="214" t="str">
        <f t="shared" si="111"/>
        <v/>
      </c>
      <c r="AC323" s="214" t="str">
        <f t="shared" si="112"/>
        <v/>
      </c>
    </row>
    <row r="324" spans="2:29" x14ac:dyDescent="0.35">
      <c r="B324" s="208" t="str">
        <f>IF('Portfolio Register'!$A288="","",'Portfolio Register'!$A288)</f>
        <v/>
      </c>
      <c r="C324" s="208" t="str">
        <f>IF($B324="","",'Portfolio Register'!$B288)</f>
        <v/>
      </c>
      <c r="D324" s="208" t="str">
        <f>IF($B324="","",'Portfolio Register'!$I288)</f>
        <v/>
      </c>
      <c r="E324" s="208" t="str">
        <f>IF($B324="","",'Portfolio Register'!$DG288)</f>
        <v/>
      </c>
      <c r="F324" s="224" t="str">
        <f t="shared" si="92"/>
        <v/>
      </c>
      <c r="G324" s="225" t="str">
        <f>IF($B324="","",'Portfolio Register'!$J288)</f>
        <v/>
      </c>
      <c r="H324" s="225" t="str">
        <f>IF($B324="","",'Portfolio Register'!$CO288)</f>
        <v/>
      </c>
      <c r="I324" s="225" t="str">
        <f>IF($B324="","",'Portfolio Register'!$CW288)</f>
        <v/>
      </c>
      <c r="J324" s="214" t="str">
        <f t="shared" si="93"/>
        <v/>
      </c>
      <c r="K324" s="214" t="str">
        <f t="shared" si="94"/>
        <v/>
      </c>
      <c r="L324" s="214" t="str">
        <f t="shared" si="95"/>
        <v/>
      </c>
      <c r="M324" s="214" t="str">
        <f t="shared" si="96"/>
        <v/>
      </c>
      <c r="N324" s="214" t="str">
        <f t="shared" si="97"/>
        <v/>
      </c>
      <c r="O324" s="214" t="str">
        <f t="shared" si="98"/>
        <v/>
      </c>
      <c r="P324" s="214" t="str">
        <f t="shared" si="99"/>
        <v/>
      </c>
      <c r="Q324" s="214" t="str">
        <f t="shared" si="100"/>
        <v/>
      </c>
      <c r="R324" s="214" t="str">
        <f t="shared" si="101"/>
        <v/>
      </c>
      <c r="S324" s="214" t="str">
        <f t="shared" si="102"/>
        <v/>
      </c>
      <c r="T324" s="214" t="str">
        <f t="shared" si="103"/>
        <v/>
      </c>
      <c r="U324" s="214" t="str">
        <f t="shared" si="104"/>
        <v/>
      </c>
      <c r="V324" s="214" t="str">
        <f t="shared" si="105"/>
        <v/>
      </c>
      <c r="W324" s="214" t="str">
        <f t="shared" si="106"/>
        <v/>
      </c>
      <c r="X324" s="214" t="str">
        <f t="shared" si="107"/>
        <v/>
      </c>
      <c r="Y324" s="214" t="str">
        <f t="shared" si="108"/>
        <v/>
      </c>
      <c r="Z324" s="214" t="str">
        <f t="shared" si="109"/>
        <v/>
      </c>
      <c r="AA324" s="214" t="str">
        <f t="shared" si="110"/>
        <v/>
      </c>
      <c r="AB324" s="214" t="str">
        <f t="shared" si="111"/>
        <v/>
      </c>
      <c r="AC324" s="214" t="str">
        <f t="shared" si="112"/>
        <v/>
      </c>
    </row>
    <row r="325" spans="2:29" x14ac:dyDescent="0.35">
      <c r="B325" s="208" t="str">
        <f>IF('Portfolio Register'!$A289="","",'Portfolio Register'!$A289)</f>
        <v/>
      </c>
      <c r="C325" s="208" t="str">
        <f>IF($B325="","",'Portfolio Register'!$B289)</f>
        <v/>
      </c>
      <c r="D325" s="208" t="str">
        <f>IF($B325="","",'Portfolio Register'!$I289)</f>
        <v/>
      </c>
      <c r="E325" s="208" t="str">
        <f>IF($B325="","",'Portfolio Register'!$DG289)</f>
        <v/>
      </c>
      <c r="F325" s="224" t="str">
        <f t="shared" si="92"/>
        <v/>
      </c>
      <c r="G325" s="225" t="str">
        <f>IF($B325="","",'Portfolio Register'!$J289)</f>
        <v/>
      </c>
      <c r="H325" s="225" t="str">
        <f>IF($B325="","",'Portfolio Register'!$CO289)</f>
        <v/>
      </c>
      <c r="I325" s="225" t="str">
        <f>IF($B325="","",'Portfolio Register'!$CW289)</f>
        <v/>
      </c>
      <c r="J325" s="214" t="str">
        <f t="shared" si="93"/>
        <v/>
      </c>
      <c r="K325" s="214" t="str">
        <f t="shared" si="94"/>
        <v/>
      </c>
      <c r="L325" s="214" t="str">
        <f t="shared" si="95"/>
        <v/>
      </c>
      <c r="M325" s="214" t="str">
        <f t="shared" si="96"/>
        <v/>
      </c>
      <c r="N325" s="214" t="str">
        <f t="shared" si="97"/>
        <v/>
      </c>
      <c r="O325" s="214" t="str">
        <f t="shared" si="98"/>
        <v/>
      </c>
      <c r="P325" s="214" t="str">
        <f t="shared" si="99"/>
        <v/>
      </c>
      <c r="Q325" s="214" t="str">
        <f t="shared" si="100"/>
        <v/>
      </c>
      <c r="R325" s="214" t="str">
        <f t="shared" si="101"/>
        <v/>
      </c>
      <c r="S325" s="214" t="str">
        <f t="shared" si="102"/>
        <v/>
      </c>
      <c r="T325" s="214" t="str">
        <f t="shared" si="103"/>
        <v/>
      </c>
      <c r="U325" s="214" t="str">
        <f t="shared" si="104"/>
        <v/>
      </c>
      <c r="V325" s="214" t="str">
        <f t="shared" si="105"/>
        <v/>
      </c>
      <c r="W325" s="214" t="str">
        <f t="shared" si="106"/>
        <v/>
      </c>
      <c r="X325" s="214" t="str">
        <f t="shared" si="107"/>
        <v/>
      </c>
      <c r="Y325" s="214" t="str">
        <f t="shared" si="108"/>
        <v/>
      </c>
      <c r="Z325" s="214" t="str">
        <f t="shared" si="109"/>
        <v/>
      </c>
      <c r="AA325" s="214" t="str">
        <f t="shared" si="110"/>
        <v/>
      </c>
      <c r="AB325" s="214" t="str">
        <f t="shared" si="111"/>
        <v/>
      </c>
      <c r="AC325" s="214" t="str">
        <f t="shared" si="112"/>
        <v/>
      </c>
    </row>
    <row r="326" spans="2:29" x14ac:dyDescent="0.35">
      <c r="B326" s="208" t="str">
        <f>IF('Portfolio Register'!$A290="","",'Portfolio Register'!$A290)</f>
        <v/>
      </c>
      <c r="C326" s="208" t="str">
        <f>IF($B326="","",'Portfolio Register'!$B290)</f>
        <v/>
      </c>
      <c r="D326" s="208" t="str">
        <f>IF($B326="","",'Portfolio Register'!$I290)</f>
        <v/>
      </c>
      <c r="E326" s="208" t="str">
        <f>IF($B326="","",'Portfolio Register'!$DG290)</f>
        <v/>
      </c>
      <c r="F326" s="224" t="str">
        <f t="shared" si="92"/>
        <v/>
      </c>
      <c r="G326" s="225" t="str">
        <f>IF($B326="","",'Portfolio Register'!$J290)</f>
        <v/>
      </c>
      <c r="H326" s="225" t="str">
        <f>IF($B326="","",'Portfolio Register'!$CO290)</f>
        <v/>
      </c>
      <c r="I326" s="225" t="str">
        <f>IF($B326="","",'Portfolio Register'!$CW290)</f>
        <v/>
      </c>
      <c r="J326" s="214" t="str">
        <f t="shared" si="93"/>
        <v/>
      </c>
      <c r="K326" s="214" t="str">
        <f t="shared" si="94"/>
        <v/>
      </c>
      <c r="L326" s="214" t="str">
        <f t="shared" si="95"/>
        <v/>
      </c>
      <c r="M326" s="214" t="str">
        <f t="shared" si="96"/>
        <v/>
      </c>
      <c r="N326" s="214" t="str">
        <f t="shared" si="97"/>
        <v/>
      </c>
      <c r="O326" s="214" t="str">
        <f t="shared" si="98"/>
        <v/>
      </c>
      <c r="P326" s="214" t="str">
        <f t="shared" si="99"/>
        <v/>
      </c>
      <c r="Q326" s="214" t="str">
        <f t="shared" si="100"/>
        <v/>
      </c>
      <c r="R326" s="214" t="str">
        <f t="shared" si="101"/>
        <v/>
      </c>
      <c r="S326" s="214" t="str">
        <f t="shared" si="102"/>
        <v/>
      </c>
      <c r="T326" s="214" t="str">
        <f t="shared" si="103"/>
        <v/>
      </c>
      <c r="U326" s="214" t="str">
        <f t="shared" si="104"/>
        <v/>
      </c>
      <c r="V326" s="214" t="str">
        <f t="shared" si="105"/>
        <v/>
      </c>
      <c r="W326" s="214" t="str">
        <f t="shared" si="106"/>
        <v/>
      </c>
      <c r="X326" s="214" t="str">
        <f t="shared" si="107"/>
        <v/>
      </c>
      <c r="Y326" s="214" t="str">
        <f t="shared" si="108"/>
        <v/>
      </c>
      <c r="Z326" s="214" t="str">
        <f t="shared" si="109"/>
        <v/>
      </c>
      <c r="AA326" s="214" t="str">
        <f t="shared" si="110"/>
        <v/>
      </c>
      <c r="AB326" s="214" t="str">
        <f t="shared" si="111"/>
        <v/>
      </c>
      <c r="AC326" s="214" t="str">
        <f t="shared" si="112"/>
        <v/>
      </c>
    </row>
    <row r="327" spans="2:29" x14ac:dyDescent="0.35">
      <c r="B327" s="208" t="str">
        <f>IF('Portfolio Register'!$A291="","",'Portfolio Register'!$A291)</f>
        <v/>
      </c>
      <c r="C327" s="208" t="str">
        <f>IF($B327="","",'Portfolio Register'!$B291)</f>
        <v/>
      </c>
      <c r="D327" s="208" t="str">
        <f>IF($B327="","",'Portfolio Register'!$I291)</f>
        <v/>
      </c>
      <c r="E327" s="208" t="str">
        <f>IF($B327="","",'Portfolio Register'!$DG291)</f>
        <v/>
      </c>
      <c r="F327" s="224" t="str">
        <f t="shared" si="92"/>
        <v/>
      </c>
      <c r="G327" s="225" t="str">
        <f>IF($B327="","",'Portfolio Register'!$J291)</f>
        <v/>
      </c>
      <c r="H327" s="225" t="str">
        <f>IF($B327="","",'Portfolio Register'!$CO291)</f>
        <v/>
      </c>
      <c r="I327" s="225" t="str">
        <f>IF($B327="","",'Portfolio Register'!$CW291)</f>
        <v/>
      </c>
      <c r="J327" s="214" t="str">
        <f t="shared" si="93"/>
        <v/>
      </c>
      <c r="K327" s="214" t="str">
        <f t="shared" si="94"/>
        <v/>
      </c>
      <c r="L327" s="214" t="str">
        <f t="shared" si="95"/>
        <v/>
      </c>
      <c r="M327" s="214" t="str">
        <f t="shared" si="96"/>
        <v/>
      </c>
      <c r="N327" s="214" t="str">
        <f t="shared" si="97"/>
        <v/>
      </c>
      <c r="O327" s="214" t="str">
        <f t="shared" si="98"/>
        <v/>
      </c>
      <c r="P327" s="214" t="str">
        <f t="shared" si="99"/>
        <v/>
      </c>
      <c r="Q327" s="214" t="str">
        <f t="shared" si="100"/>
        <v/>
      </c>
      <c r="R327" s="214" t="str">
        <f t="shared" si="101"/>
        <v/>
      </c>
      <c r="S327" s="214" t="str">
        <f t="shared" si="102"/>
        <v/>
      </c>
      <c r="T327" s="214" t="str">
        <f t="shared" si="103"/>
        <v/>
      </c>
      <c r="U327" s="214" t="str">
        <f t="shared" si="104"/>
        <v/>
      </c>
      <c r="V327" s="214" t="str">
        <f t="shared" si="105"/>
        <v/>
      </c>
      <c r="W327" s="214" t="str">
        <f t="shared" si="106"/>
        <v/>
      </c>
      <c r="X327" s="214" t="str">
        <f t="shared" si="107"/>
        <v/>
      </c>
      <c r="Y327" s="214" t="str">
        <f t="shared" si="108"/>
        <v/>
      </c>
      <c r="Z327" s="214" t="str">
        <f t="shared" si="109"/>
        <v/>
      </c>
      <c r="AA327" s="214" t="str">
        <f t="shared" si="110"/>
        <v/>
      </c>
      <c r="AB327" s="214" t="str">
        <f t="shared" si="111"/>
        <v/>
      </c>
      <c r="AC327" s="214" t="str">
        <f t="shared" si="112"/>
        <v/>
      </c>
    </row>
    <row r="328" spans="2:29" x14ac:dyDescent="0.35">
      <c r="B328" s="208" t="str">
        <f>IF('Portfolio Register'!$A292="","",'Portfolio Register'!$A292)</f>
        <v/>
      </c>
      <c r="C328" s="208" t="str">
        <f>IF($B328="","",'Portfolio Register'!$B292)</f>
        <v/>
      </c>
      <c r="D328" s="208" t="str">
        <f>IF($B328="","",'Portfolio Register'!$I292)</f>
        <v/>
      </c>
      <c r="E328" s="208" t="str">
        <f>IF($B328="","",'Portfolio Register'!$DG292)</f>
        <v/>
      </c>
      <c r="F328" s="224" t="str">
        <f t="shared" si="92"/>
        <v/>
      </c>
      <c r="G328" s="225" t="str">
        <f>IF($B328="","",'Portfolio Register'!$J292)</f>
        <v/>
      </c>
      <c r="H328" s="225" t="str">
        <f>IF($B328="","",'Portfolio Register'!$CO292)</f>
        <v/>
      </c>
      <c r="I328" s="225" t="str">
        <f>IF($B328="","",'Portfolio Register'!$CW292)</f>
        <v/>
      </c>
      <c r="J328" s="214" t="str">
        <f t="shared" si="93"/>
        <v/>
      </c>
      <c r="K328" s="214" t="str">
        <f t="shared" si="94"/>
        <v/>
      </c>
      <c r="L328" s="214" t="str">
        <f t="shared" si="95"/>
        <v/>
      </c>
      <c r="M328" s="214" t="str">
        <f t="shared" si="96"/>
        <v/>
      </c>
      <c r="N328" s="214" t="str">
        <f t="shared" si="97"/>
        <v/>
      </c>
      <c r="O328" s="214" t="str">
        <f t="shared" si="98"/>
        <v/>
      </c>
      <c r="P328" s="214" t="str">
        <f t="shared" si="99"/>
        <v/>
      </c>
      <c r="Q328" s="214" t="str">
        <f t="shared" si="100"/>
        <v/>
      </c>
      <c r="R328" s="214" t="str">
        <f t="shared" si="101"/>
        <v/>
      </c>
      <c r="S328" s="214" t="str">
        <f t="shared" si="102"/>
        <v/>
      </c>
      <c r="T328" s="214" t="str">
        <f t="shared" si="103"/>
        <v/>
      </c>
      <c r="U328" s="214" t="str">
        <f t="shared" si="104"/>
        <v/>
      </c>
      <c r="V328" s="214" t="str">
        <f t="shared" si="105"/>
        <v/>
      </c>
      <c r="W328" s="214" t="str">
        <f t="shared" si="106"/>
        <v/>
      </c>
      <c r="X328" s="214" t="str">
        <f t="shared" si="107"/>
        <v/>
      </c>
      <c r="Y328" s="214" t="str">
        <f t="shared" si="108"/>
        <v/>
      </c>
      <c r="Z328" s="214" t="str">
        <f t="shared" si="109"/>
        <v/>
      </c>
      <c r="AA328" s="214" t="str">
        <f t="shared" si="110"/>
        <v/>
      </c>
      <c r="AB328" s="214" t="str">
        <f t="shared" si="111"/>
        <v/>
      </c>
      <c r="AC328" s="214" t="str">
        <f t="shared" si="112"/>
        <v/>
      </c>
    </row>
    <row r="329" spans="2:29" x14ac:dyDescent="0.35">
      <c r="B329" s="208" t="str">
        <f>IF('Portfolio Register'!$A293="","",'Portfolio Register'!$A293)</f>
        <v/>
      </c>
      <c r="C329" s="208" t="str">
        <f>IF($B329="","",'Portfolio Register'!$B293)</f>
        <v/>
      </c>
      <c r="D329" s="208" t="str">
        <f>IF($B329="","",'Portfolio Register'!$I293)</f>
        <v/>
      </c>
      <c r="E329" s="208" t="str">
        <f>IF($B329="","",'Portfolio Register'!$DG293)</f>
        <v/>
      </c>
      <c r="F329" s="224" t="str">
        <f t="shared" si="92"/>
        <v/>
      </c>
      <c r="G329" s="225" t="str">
        <f>IF($B329="","",'Portfolio Register'!$J293)</f>
        <v/>
      </c>
      <c r="H329" s="225" t="str">
        <f>IF($B329="","",'Portfolio Register'!$CO293)</f>
        <v/>
      </c>
      <c r="I329" s="225" t="str">
        <f>IF($B329="","",'Portfolio Register'!$CW293)</f>
        <v/>
      </c>
      <c r="J329" s="214" t="str">
        <f t="shared" si="93"/>
        <v/>
      </c>
      <c r="K329" s="214" t="str">
        <f t="shared" si="94"/>
        <v/>
      </c>
      <c r="L329" s="214" t="str">
        <f t="shared" si="95"/>
        <v/>
      </c>
      <c r="M329" s="214" t="str">
        <f t="shared" si="96"/>
        <v/>
      </c>
      <c r="N329" s="214" t="str">
        <f t="shared" si="97"/>
        <v/>
      </c>
      <c r="O329" s="214" t="str">
        <f t="shared" si="98"/>
        <v/>
      </c>
      <c r="P329" s="214" t="str">
        <f t="shared" si="99"/>
        <v/>
      </c>
      <c r="Q329" s="214" t="str">
        <f t="shared" si="100"/>
        <v/>
      </c>
      <c r="R329" s="214" t="str">
        <f t="shared" si="101"/>
        <v/>
      </c>
      <c r="S329" s="214" t="str">
        <f t="shared" si="102"/>
        <v/>
      </c>
      <c r="T329" s="214" t="str">
        <f t="shared" si="103"/>
        <v/>
      </c>
      <c r="U329" s="214" t="str">
        <f t="shared" si="104"/>
        <v/>
      </c>
      <c r="V329" s="214" t="str">
        <f t="shared" si="105"/>
        <v/>
      </c>
      <c r="W329" s="214" t="str">
        <f t="shared" si="106"/>
        <v/>
      </c>
      <c r="X329" s="214" t="str">
        <f t="shared" si="107"/>
        <v/>
      </c>
      <c r="Y329" s="214" t="str">
        <f t="shared" si="108"/>
        <v/>
      </c>
      <c r="Z329" s="214" t="str">
        <f t="shared" si="109"/>
        <v/>
      </c>
      <c r="AA329" s="214" t="str">
        <f t="shared" si="110"/>
        <v/>
      </c>
      <c r="AB329" s="214" t="str">
        <f t="shared" si="111"/>
        <v/>
      </c>
      <c r="AC329" s="214" t="str">
        <f t="shared" si="112"/>
        <v/>
      </c>
    </row>
    <row r="330" spans="2:29" x14ac:dyDescent="0.35">
      <c r="B330" s="208" t="str">
        <f>IF('Portfolio Register'!$A294="","",'Portfolio Register'!$A294)</f>
        <v/>
      </c>
      <c r="C330" s="208" t="str">
        <f>IF($B330="","",'Portfolio Register'!$B294)</f>
        <v/>
      </c>
      <c r="D330" s="208" t="str">
        <f>IF($B330="","",'Portfolio Register'!$I294)</f>
        <v/>
      </c>
      <c r="E330" s="208" t="str">
        <f>IF($B330="","",'Portfolio Register'!$DG294)</f>
        <v/>
      </c>
      <c r="F330" s="224" t="str">
        <f t="shared" si="92"/>
        <v/>
      </c>
      <c r="G330" s="225" t="str">
        <f>IF($B330="","",'Portfolio Register'!$J294)</f>
        <v/>
      </c>
      <c r="H330" s="225" t="str">
        <f>IF($B330="","",'Portfolio Register'!$CO294)</f>
        <v/>
      </c>
      <c r="I330" s="225" t="str">
        <f>IF($B330="","",'Portfolio Register'!$CW294)</f>
        <v/>
      </c>
      <c r="J330" s="214" t="str">
        <f t="shared" si="93"/>
        <v/>
      </c>
      <c r="K330" s="214" t="str">
        <f t="shared" si="94"/>
        <v/>
      </c>
      <c r="L330" s="214" t="str">
        <f t="shared" si="95"/>
        <v/>
      </c>
      <c r="M330" s="214" t="str">
        <f t="shared" si="96"/>
        <v/>
      </c>
      <c r="N330" s="214" t="str">
        <f t="shared" si="97"/>
        <v/>
      </c>
      <c r="O330" s="214" t="str">
        <f t="shared" si="98"/>
        <v/>
      </c>
      <c r="P330" s="214" t="str">
        <f t="shared" si="99"/>
        <v/>
      </c>
      <c r="Q330" s="214" t="str">
        <f t="shared" si="100"/>
        <v/>
      </c>
      <c r="R330" s="214" t="str">
        <f t="shared" si="101"/>
        <v/>
      </c>
      <c r="S330" s="214" t="str">
        <f t="shared" si="102"/>
        <v/>
      </c>
      <c r="T330" s="214" t="str">
        <f t="shared" si="103"/>
        <v/>
      </c>
      <c r="U330" s="214" t="str">
        <f t="shared" si="104"/>
        <v/>
      </c>
      <c r="V330" s="214" t="str">
        <f t="shared" si="105"/>
        <v/>
      </c>
      <c r="W330" s="214" t="str">
        <f t="shared" si="106"/>
        <v/>
      </c>
      <c r="X330" s="214" t="str">
        <f t="shared" si="107"/>
        <v/>
      </c>
      <c r="Y330" s="214" t="str">
        <f t="shared" si="108"/>
        <v/>
      </c>
      <c r="Z330" s="214" t="str">
        <f t="shared" si="109"/>
        <v/>
      </c>
      <c r="AA330" s="214" t="str">
        <f t="shared" si="110"/>
        <v/>
      </c>
      <c r="AB330" s="214" t="str">
        <f t="shared" si="111"/>
        <v/>
      </c>
      <c r="AC330" s="214" t="str">
        <f t="shared" si="112"/>
        <v/>
      </c>
    </row>
    <row r="331" spans="2:29" x14ac:dyDescent="0.35">
      <c r="B331" s="208" t="str">
        <f>IF('Portfolio Register'!$A295="","",'Portfolio Register'!$A295)</f>
        <v/>
      </c>
      <c r="C331" s="208" t="str">
        <f>IF($B331="","",'Portfolio Register'!$B295)</f>
        <v/>
      </c>
      <c r="D331" s="208" t="str">
        <f>IF($B331="","",'Portfolio Register'!$I295)</f>
        <v/>
      </c>
      <c r="E331" s="208" t="str">
        <f>IF($B331="","",'Portfolio Register'!$DG295)</f>
        <v/>
      </c>
      <c r="F331" s="224" t="str">
        <f t="shared" si="92"/>
        <v/>
      </c>
      <c r="G331" s="225" t="str">
        <f>IF($B331="","",'Portfolio Register'!$J295)</f>
        <v/>
      </c>
      <c r="H331" s="225" t="str">
        <f>IF($B331="","",'Portfolio Register'!$CO295)</f>
        <v/>
      </c>
      <c r="I331" s="225" t="str">
        <f>IF($B331="","",'Portfolio Register'!$CW295)</f>
        <v/>
      </c>
      <c r="J331" s="214" t="str">
        <f t="shared" si="93"/>
        <v/>
      </c>
      <c r="K331" s="214" t="str">
        <f t="shared" si="94"/>
        <v/>
      </c>
      <c r="L331" s="214" t="str">
        <f t="shared" si="95"/>
        <v/>
      </c>
      <c r="M331" s="214" t="str">
        <f t="shared" si="96"/>
        <v/>
      </c>
      <c r="N331" s="214" t="str">
        <f t="shared" si="97"/>
        <v/>
      </c>
      <c r="O331" s="214" t="str">
        <f t="shared" si="98"/>
        <v/>
      </c>
      <c r="P331" s="214" t="str">
        <f t="shared" si="99"/>
        <v/>
      </c>
      <c r="Q331" s="214" t="str">
        <f t="shared" si="100"/>
        <v/>
      </c>
      <c r="R331" s="214" t="str">
        <f t="shared" si="101"/>
        <v/>
      </c>
      <c r="S331" s="214" t="str">
        <f t="shared" si="102"/>
        <v/>
      </c>
      <c r="T331" s="214" t="str">
        <f t="shared" si="103"/>
        <v/>
      </c>
      <c r="U331" s="214" t="str">
        <f t="shared" si="104"/>
        <v/>
      </c>
      <c r="V331" s="214" t="str">
        <f t="shared" si="105"/>
        <v/>
      </c>
      <c r="W331" s="214" t="str">
        <f t="shared" si="106"/>
        <v/>
      </c>
      <c r="X331" s="214" t="str">
        <f t="shared" si="107"/>
        <v/>
      </c>
      <c r="Y331" s="214" t="str">
        <f t="shared" si="108"/>
        <v/>
      </c>
      <c r="Z331" s="214" t="str">
        <f t="shared" si="109"/>
        <v/>
      </c>
      <c r="AA331" s="214" t="str">
        <f t="shared" si="110"/>
        <v/>
      </c>
      <c r="AB331" s="214" t="str">
        <f t="shared" si="111"/>
        <v/>
      </c>
      <c r="AC331" s="214" t="str">
        <f t="shared" si="112"/>
        <v/>
      </c>
    </row>
    <row r="332" spans="2:29" x14ac:dyDescent="0.35">
      <c r="B332" s="208" t="str">
        <f>IF('Portfolio Register'!$A296="","",'Portfolio Register'!$A296)</f>
        <v/>
      </c>
      <c r="C332" s="208" t="str">
        <f>IF($B332="","",'Portfolio Register'!$B296)</f>
        <v/>
      </c>
      <c r="D332" s="208" t="str">
        <f>IF($B332="","",'Portfolio Register'!$I296)</f>
        <v/>
      </c>
      <c r="E332" s="208" t="str">
        <f>IF($B332="","",'Portfolio Register'!$DG296)</f>
        <v/>
      </c>
      <c r="F332" s="224" t="str">
        <f t="shared" si="92"/>
        <v/>
      </c>
      <c r="G332" s="225" t="str">
        <f>IF($B332="","",'Portfolio Register'!$J296)</f>
        <v/>
      </c>
      <c r="H332" s="225" t="str">
        <f>IF($B332="","",'Portfolio Register'!$CO296)</f>
        <v/>
      </c>
      <c r="I332" s="225" t="str">
        <f>IF($B332="","",'Portfolio Register'!$CW296)</f>
        <v/>
      </c>
      <c r="J332" s="214" t="str">
        <f t="shared" si="93"/>
        <v/>
      </c>
      <c r="K332" s="214" t="str">
        <f t="shared" si="94"/>
        <v/>
      </c>
      <c r="L332" s="214" t="str">
        <f t="shared" si="95"/>
        <v/>
      </c>
      <c r="M332" s="214" t="str">
        <f t="shared" si="96"/>
        <v/>
      </c>
      <c r="N332" s="214" t="str">
        <f t="shared" si="97"/>
        <v/>
      </c>
      <c r="O332" s="214" t="str">
        <f t="shared" si="98"/>
        <v/>
      </c>
      <c r="P332" s="214" t="str">
        <f t="shared" si="99"/>
        <v/>
      </c>
      <c r="Q332" s="214" t="str">
        <f t="shared" si="100"/>
        <v/>
      </c>
      <c r="R332" s="214" t="str">
        <f t="shared" si="101"/>
        <v/>
      </c>
      <c r="S332" s="214" t="str">
        <f t="shared" si="102"/>
        <v/>
      </c>
      <c r="T332" s="214" t="str">
        <f t="shared" si="103"/>
        <v/>
      </c>
      <c r="U332" s="214" t="str">
        <f t="shared" si="104"/>
        <v/>
      </c>
      <c r="V332" s="214" t="str">
        <f t="shared" si="105"/>
        <v/>
      </c>
      <c r="W332" s="214" t="str">
        <f t="shared" si="106"/>
        <v/>
      </c>
      <c r="X332" s="214" t="str">
        <f t="shared" si="107"/>
        <v/>
      </c>
      <c r="Y332" s="214" t="str">
        <f t="shared" si="108"/>
        <v/>
      </c>
      <c r="Z332" s="214" t="str">
        <f t="shared" si="109"/>
        <v/>
      </c>
      <c r="AA332" s="214" t="str">
        <f t="shared" si="110"/>
        <v/>
      </c>
      <c r="AB332" s="214" t="str">
        <f t="shared" si="111"/>
        <v/>
      </c>
      <c r="AC332" s="214" t="str">
        <f t="shared" si="112"/>
        <v/>
      </c>
    </row>
    <row r="333" spans="2:29" x14ac:dyDescent="0.35">
      <c r="B333" s="208" t="str">
        <f>IF('Portfolio Register'!$A297="","",'Portfolio Register'!$A297)</f>
        <v/>
      </c>
      <c r="C333" s="208" t="str">
        <f>IF($B333="","",'Portfolio Register'!$B297)</f>
        <v/>
      </c>
      <c r="D333" s="208" t="str">
        <f>IF($B333="","",'Portfolio Register'!$I297)</f>
        <v/>
      </c>
      <c r="E333" s="208" t="str">
        <f>IF($B333="","",'Portfolio Register'!$DG297)</f>
        <v/>
      </c>
      <c r="F333" s="224" t="str">
        <f t="shared" si="92"/>
        <v/>
      </c>
      <c r="G333" s="225" t="str">
        <f>IF($B333="","",'Portfolio Register'!$J297)</f>
        <v/>
      </c>
      <c r="H333" s="225" t="str">
        <f>IF($B333="","",'Portfolio Register'!$CO297)</f>
        <v/>
      </c>
      <c r="I333" s="225" t="str">
        <f>IF($B333="","",'Portfolio Register'!$CW297)</f>
        <v/>
      </c>
      <c r="J333" s="214" t="str">
        <f t="shared" si="93"/>
        <v/>
      </c>
      <c r="K333" s="214" t="str">
        <f t="shared" si="94"/>
        <v/>
      </c>
      <c r="L333" s="214" t="str">
        <f t="shared" si="95"/>
        <v/>
      </c>
      <c r="M333" s="214" t="str">
        <f t="shared" si="96"/>
        <v/>
      </c>
      <c r="N333" s="214" t="str">
        <f t="shared" si="97"/>
        <v/>
      </c>
      <c r="O333" s="214" t="str">
        <f t="shared" si="98"/>
        <v/>
      </c>
      <c r="P333" s="214" t="str">
        <f t="shared" si="99"/>
        <v/>
      </c>
      <c r="Q333" s="214" t="str">
        <f t="shared" si="100"/>
        <v/>
      </c>
      <c r="R333" s="214" t="str">
        <f t="shared" si="101"/>
        <v/>
      </c>
      <c r="S333" s="214" t="str">
        <f t="shared" si="102"/>
        <v/>
      </c>
      <c r="T333" s="214" t="str">
        <f t="shared" si="103"/>
        <v/>
      </c>
      <c r="U333" s="214" t="str">
        <f t="shared" si="104"/>
        <v/>
      </c>
      <c r="V333" s="214" t="str">
        <f t="shared" si="105"/>
        <v/>
      </c>
      <c r="W333" s="214" t="str">
        <f t="shared" si="106"/>
        <v/>
      </c>
      <c r="X333" s="214" t="str">
        <f t="shared" si="107"/>
        <v/>
      </c>
      <c r="Y333" s="214" t="str">
        <f t="shared" si="108"/>
        <v/>
      </c>
      <c r="Z333" s="214" t="str">
        <f t="shared" si="109"/>
        <v/>
      </c>
      <c r="AA333" s="214" t="str">
        <f t="shared" si="110"/>
        <v/>
      </c>
      <c r="AB333" s="214" t="str">
        <f t="shared" si="111"/>
        <v/>
      </c>
      <c r="AC333" s="214" t="str">
        <f t="shared" si="112"/>
        <v/>
      </c>
    </row>
    <row r="334" spans="2:29" x14ac:dyDescent="0.35">
      <c r="B334" s="208" t="str">
        <f>IF('Portfolio Register'!$A298="","",'Portfolio Register'!$A298)</f>
        <v/>
      </c>
      <c r="C334" s="208" t="str">
        <f>IF($B334="","",'Portfolio Register'!$B298)</f>
        <v/>
      </c>
      <c r="D334" s="208" t="str">
        <f>IF($B334="","",'Portfolio Register'!$I298)</f>
        <v/>
      </c>
      <c r="E334" s="208" t="str">
        <f>IF($B334="","",'Portfolio Register'!$DG298)</f>
        <v/>
      </c>
      <c r="F334" s="224" t="str">
        <f t="shared" si="92"/>
        <v/>
      </c>
      <c r="G334" s="225" t="str">
        <f>IF($B334="","",'Portfolio Register'!$J298)</f>
        <v/>
      </c>
      <c r="H334" s="225" t="str">
        <f>IF($B334="","",'Portfolio Register'!$CO298)</f>
        <v/>
      </c>
      <c r="I334" s="225" t="str">
        <f>IF($B334="","",'Portfolio Register'!$CW298)</f>
        <v/>
      </c>
      <c r="J334" s="214" t="str">
        <f t="shared" si="93"/>
        <v/>
      </c>
      <c r="K334" s="214" t="str">
        <f t="shared" si="94"/>
        <v/>
      </c>
      <c r="L334" s="214" t="str">
        <f t="shared" si="95"/>
        <v/>
      </c>
      <c r="M334" s="214" t="str">
        <f t="shared" si="96"/>
        <v/>
      </c>
      <c r="N334" s="214" t="str">
        <f t="shared" si="97"/>
        <v/>
      </c>
      <c r="O334" s="214" t="str">
        <f t="shared" si="98"/>
        <v/>
      </c>
      <c r="P334" s="214" t="str">
        <f t="shared" si="99"/>
        <v/>
      </c>
      <c r="Q334" s="214" t="str">
        <f t="shared" si="100"/>
        <v/>
      </c>
      <c r="R334" s="214" t="str">
        <f t="shared" si="101"/>
        <v/>
      </c>
      <c r="S334" s="214" t="str">
        <f t="shared" si="102"/>
        <v/>
      </c>
      <c r="T334" s="214" t="str">
        <f t="shared" si="103"/>
        <v/>
      </c>
      <c r="U334" s="214" t="str">
        <f t="shared" si="104"/>
        <v/>
      </c>
      <c r="V334" s="214" t="str">
        <f t="shared" si="105"/>
        <v/>
      </c>
      <c r="W334" s="214" t="str">
        <f t="shared" si="106"/>
        <v/>
      </c>
      <c r="X334" s="214" t="str">
        <f t="shared" si="107"/>
        <v/>
      </c>
      <c r="Y334" s="214" t="str">
        <f t="shared" si="108"/>
        <v/>
      </c>
      <c r="Z334" s="214" t="str">
        <f t="shared" si="109"/>
        <v/>
      </c>
      <c r="AA334" s="214" t="str">
        <f t="shared" si="110"/>
        <v/>
      </c>
      <c r="AB334" s="214" t="str">
        <f t="shared" si="111"/>
        <v/>
      </c>
      <c r="AC334" s="214" t="str">
        <f t="shared" si="112"/>
        <v/>
      </c>
    </row>
    <row r="335" spans="2:29" x14ac:dyDescent="0.35">
      <c r="B335" s="208" t="str">
        <f>IF('Portfolio Register'!$A299="","",'Portfolio Register'!$A299)</f>
        <v/>
      </c>
      <c r="C335" s="208" t="str">
        <f>IF($B335="","",'Portfolio Register'!$B299)</f>
        <v/>
      </c>
      <c r="D335" s="208" t="str">
        <f>IF($B335="","",'Portfolio Register'!$I299)</f>
        <v/>
      </c>
      <c r="E335" s="208" t="str">
        <f>IF($B335="","",'Portfolio Register'!$DG299)</f>
        <v/>
      </c>
      <c r="F335" s="224" t="str">
        <f t="shared" si="92"/>
        <v/>
      </c>
      <c r="G335" s="225" t="str">
        <f>IF($B335="","",'Portfolio Register'!$J299)</f>
        <v/>
      </c>
      <c r="H335" s="225" t="str">
        <f>IF($B335="","",'Portfolio Register'!$CO299)</f>
        <v/>
      </c>
      <c r="I335" s="225" t="str">
        <f>IF($B335="","",'Portfolio Register'!$CW299)</f>
        <v/>
      </c>
      <c r="J335" s="214" t="str">
        <f t="shared" si="93"/>
        <v/>
      </c>
      <c r="K335" s="214" t="str">
        <f t="shared" si="94"/>
        <v/>
      </c>
      <c r="L335" s="214" t="str">
        <f t="shared" si="95"/>
        <v/>
      </c>
      <c r="M335" s="214" t="str">
        <f t="shared" si="96"/>
        <v/>
      </c>
      <c r="N335" s="214" t="str">
        <f t="shared" si="97"/>
        <v/>
      </c>
      <c r="O335" s="214" t="str">
        <f t="shared" si="98"/>
        <v/>
      </c>
      <c r="P335" s="214" t="str">
        <f t="shared" si="99"/>
        <v/>
      </c>
      <c r="Q335" s="214" t="str">
        <f t="shared" si="100"/>
        <v/>
      </c>
      <c r="R335" s="214" t="str">
        <f t="shared" si="101"/>
        <v/>
      </c>
      <c r="S335" s="214" t="str">
        <f t="shared" si="102"/>
        <v/>
      </c>
      <c r="T335" s="214" t="str">
        <f t="shared" si="103"/>
        <v/>
      </c>
      <c r="U335" s="214" t="str">
        <f t="shared" si="104"/>
        <v/>
      </c>
      <c r="V335" s="214" t="str">
        <f t="shared" si="105"/>
        <v/>
      </c>
      <c r="W335" s="214" t="str">
        <f t="shared" si="106"/>
        <v/>
      </c>
      <c r="X335" s="214" t="str">
        <f t="shared" si="107"/>
        <v/>
      </c>
      <c r="Y335" s="214" t="str">
        <f t="shared" si="108"/>
        <v/>
      </c>
      <c r="Z335" s="214" t="str">
        <f t="shared" si="109"/>
        <v/>
      </c>
      <c r="AA335" s="214" t="str">
        <f t="shared" si="110"/>
        <v/>
      </c>
      <c r="AB335" s="214" t="str">
        <f t="shared" si="111"/>
        <v/>
      </c>
      <c r="AC335" s="214" t="str">
        <f t="shared" si="112"/>
        <v/>
      </c>
    </row>
    <row r="336" spans="2:29" x14ac:dyDescent="0.35">
      <c r="B336" s="208" t="str">
        <f>IF('Portfolio Register'!$A300="","",'Portfolio Register'!$A300)</f>
        <v/>
      </c>
      <c r="C336" s="208" t="str">
        <f>IF($B336="","",'Portfolio Register'!$B300)</f>
        <v/>
      </c>
      <c r="D336" s="208" t="str">
        <f>IF($B336="","",'Portfolio Register'!$I300)</f>
        <v/>
      </c>
      <c r="E336" s="208" t="str">
        <f>IF($B336="","",'Portfolio Register'!$DG300)</f>
        <v/>
      </c>
      <c r="F336" s="224" t="str">
        <f t="shared" si="92"/>
        <v/>
      </c>
      <c r="G336" s="225" t="str">
        <f>IF($B336="","",'Portfolio Register'!$J300)</f>
        <v/>
      </c>
      <c r="H336" s="225" t="str">
        <f>IF($B336="","",'Portfolio Register'!$CO300)</f>
        <v/>
      </c>
      <c r="I336" s="225" t="str">
        <f>IF($B336="","",'Portfolio Register'!$CW300)</f>
        <v/>
      </c>
      <c r="J336" s="214" t="str">
        <f t="shared" si="93"/>
        <v/>
      </c>
      <c r="K336" s="214" t="str">
        <f t="shared" si="94"/>
        <v/>
      </c>
      <c r="L336" s="214" t="str">
        <f t="shared" si="95"/>
        <v/>
      </c>
      <c r="M336" s="214" t="str">
        <f t="shared" si="96"/>
        <v/>
      </c>
      <c r="N336" s="214" t="str">
        <f t="shared" si="97"/>
        <v/>
      </c>
      <c r="O336" s="214" t="str">
        <f t="shared" si="98"/>
        <v/>
      </c>
      <c r="P336" s="214" t="str">
        <f t="shared" si="99"/>
        <v/>
      </c>
      <c r="Q336" s="214" t="str">
        <f t="shared" si="100"/>
        <v/>
      </c>
      <c r="R336" s="214" t="str">
        <f t="shared" si="101"/>
        <v/>
      </c>
      <c r="S336" s="214" t="str">
        <f t="shared" si="102"/>
        <v/>
      </c>
      <c r="T336" s="214" t="str">
        <f t="shared" si="103"/>
        <v/>
      </c>
      <c r="U336" s="214" t="str">
        <f t="shared" si="104"/>
        <v/>
      </c>
      <c r="V336" s="214" t="str">
        <f t="shared" si="105"/>
        <v/>
      </c>
      <c r="W336" s="214" t="str">
        <f t="shared" si="106"/>
        <v/>
      </c>
      <c r="X336" s="214" t="str">
        <f t="shared" si="107"/>
        <v/>
      </c>
      <c r="Y336" s="214" t="str">
        <f t="shared" si="108"/>
        <v/>
      </c>
      <c r="Z336" s="214" t="str">
        <f t="shared" si="109"/>
        <v/>
      </c>
      <c r="AA336" s="214" t="str">
        <f t="shared" si="110"/>
        <v/>
      </c>
      <c r="AB336" s="214" t="str">
        <f t="shared" si="111"/>
        <v/>
      </c>
      <c r="AC336" s="214" t="str">
        <f t="shared" si="112"/>
        <v/>
      </c>
    </row>
    <row r="337" spans="2:29" x14ac:dyDescent="0.35">
      <c r="B337" s="208" t="str">
        <f>IF('Portfolio Register'!$A301="","",'Portfolio Register'!$A301)</f>
        <v/>
      </c>
      <c r="C337" s="208" t="str">
        <f>IF($B337="","",'Portfolio Register'!$B301)</f>
        <v/>
      </c>
      <c r="D337" s="208" t="str">
        <f>IF($B337="","",'Portfolio Register'!$I301)</f>
        <v/>
      </c>
      <c r="E337" s="208" t="str">
        <f>IF($B337="","",'Portfolio Register'!$DG301)</f>
        <v/>
      </c>
      <c r="F337" s="224" t="str">
        <f t="shared" si="92"/>
        <v/>
      </c>
      <c r="G337" s="225" t="str">
        <f>IF($B337="","",'Portfolio Register'!$J301)</f>
        <v/>
      </c>
      <c r="H337" s="225" t="str">
        <f>IF($B337="","",'Portfolio Register'!$CO301)</f>
        <v/>
      </c>
      <c r="I337" s="225" t="str">
        <f>IF($B337="","",'Portfolio Register'!$CW301)</f>
        <v/>
      </c>
      <c r="J337" s="214" t="str">
        <f t="shared" si="93"/>
        <v/>
      </c>
      <c r="K337" s="214" t="str">
        <f t="shared" si="94"/>
        <v/>
      </c>
      <c r="L337" s="214" t="str">
        <f t="shared" si="95"/>
        <v/>
      </c>
      <c r="M337" s="214" t="str">
        <f t="shared" si="96"/>
        <v/>
      </c>
      <c r="N337" s="214" t="str">
        <f t="shared" si="97"/>
        <v/>
      </c>
      <c r="O337" s="214" t="str">
        <f t="shared" si="98"/>
        <v/>
      </c>
      <c r="P337" s="214" t="str">
        <f t="shared" si="99"/>
        <v/>
      </c>
      <c r="Q337" s="214" t="str">
        <f t="shared" si="100"/>
        <v/>
      </c>
      <c r="R337" s="214" t="str">
        <f t="shared" si="101"/>
        <v/>
      </c>
      <c r="S337" s="214" t="str">
        <f t="shared" si="102"/>
        <v/>
      </c>
      <c r="T337" s="214" t="str">
        <f t="shared" si="103"/>
        <v/>
      </c>
      <c r="U337" s="214" t="str">
        <f t="shared" si="104"/>
        <v/>
      </c>
      <c r="V337" s="214" t="str">
        <f t="shared" si="105"/>
        <v/>
      </c>
      <c r="W337" s="214" t="str">
        <f t="shared" si="106"/>
        <v/>
      </c>
      <c r="X337" s="214" t="str">
        <f t="shared" si="107"/>
        <v/>
      </c>
      <c r="Y337" s="214" t="str">
        <f t="shared" si="108"/>
        <v/>
      </c>
      <c r="Z337" s="214" t="str">
        <f t="shared" si="109"/>
        <v/>
      </c>
      <c r="AA337" s="214" t="str">
        <f t="shared" si="110"/>
        <v/>
      </c>
      <c r="AB337" s="214" t="str">
        <f t="shared" si="111"/>
        <v/>
      </c>
      <c r="AC337" s="214" t="str">
        <f t="shared" si="112"/>
        <v/>
      </c>
    </row>
    <row r="338" spans="2:29" x14ac:dyDescent="0.35">
      <c r="B338" s="208" t="str">
        <f>IF('Portfolio Register'!$A302="","",'Portfolio Register'!$A302)</f>
        <v/>
      </c>
      <c r="C338" s="208" t="str">
        <f>IF($B338="","",'Portfolio Register'!$B302)</f>
        <v/>
      </c>
      <c r="D338" s="208" t="str">
        <f>IF($B338="","",'Portfolio Register'!$I302)</f>
        <v/>
      </c>
      <c r="E338" s="208" t="str">
        <f>IF($B338="","",'Portfolio Register'!$DG302)</f>
        <v/>
      </c>
      <c r="F338" s="224" t="str">
        <f t="shared" si="92"/>
        <v/>
      </c>
      <c r="G338" s="225" t="str">
        <f>IF($B338="","",'Portfolio Register'!$J302)</f>
        <v/>
      </c>
      <c r="H338" s="225" t="str">
        <f>IF($B338="","",'Portfolio Register'!$CO302)</f>
        <v/>
      </c>
      <c r="I338" s="225" t="str">
        <f>IF($B338="","",'Portfolio Register'!$CW302)</f>
        <v/>
      </c>
      <c r="J338" s="214" t="str">
        <f t="shared" si="93"/>
        <v/>
      </c>
      <c r="K338" s="214" t="str">
        <f t="shared" si="94"/>
        <v/>
      </c>
      <c r="L338" s="214" t="str">
        <f t="shared" si="95"/>
        <v/>
      </c>
      <c r="M338" s="214" t="str">
        <f t="shared" si="96"/>
        <v/>
      </c>
      <c r="N338" s="214" t="str">
        <f t="shared" si="97"/>
        <v/>
      </c>
      <c r="O338" s="214" t="str">
        <f t="shared" si="98"/>
        <v/>
      </c>
      <c r="P338" s="214" t="str">
        <f t="shared" si="99"/>
        <v/>
      </c>
      <c r="Q338" s="214" t="str">
        <f t="shared" si="100"/>
        <v/>
      </c>
      <c r="R338" s="214" t="str">
        <f t="shared" si="101"/>
        <v/>
      </c>
      <c r="S338" s="214" t="str">
        <f t="shared" si="102"/>
        <v/>
      </c>
      <c r="T338" s="214" t="str">
        <f t="shared" si="103"/>
        <v/>
      </c>
      <c r="U338" s="214" t="str">
        <f t="shared" si="104"/>
        <v/>
      </c>
      <c r="V338" s="214" t="str">
        <f t="shared" si="105"/>
        <v/>
      </c>
      <c r="W338" s="214" t="str">
        <f t="shared" si="106"/>
        <v/>
      </c>
      <c r="X338" s="214" t="str">
        <f t="shared" si="107"/>
        <v/>
      </c>
      <c r="Y338" s="214" t="str">
        <f t="shared" si="108"/>
        <v/>
      </c>
      <c r="Z338" s="214" t="str">
        <f t="shared" si="109"/>
        <v/>
      </c>
      <c r="AA338" s="214" t="str">
        <f t="shared" si="110"/>
        <v/>
      </c>
      <c r="AB338" s="214" t="str">
        <f t="shared" si="111"/>
        <v/>
      </c>
      <c r="AC338" s="214" t="str">
        <f t="shared" si="112"/>
        <v/>
      </c>
    </row>
    <row r="339" spans="2:29" x14ac:dyDescent="0.35">
      <c r="B339" s="208" t="str">
        <f>IF('Portfolio Register'!$A303="","",'Portfolio Register'!$A303)</f>
        <v/>
      </c>
      <c r="C339" s="208" t="str">
        <f>IF($B339="","",'Portfolio Register'!$B303)</f>
        <v/>
      </c>
      <c r="D339" s="208" t="str">
        <f>IF($B339="","",'Portfolio Register'!$I303)</f>
        <v/>
      </c>
      <c r="E339" s="208" t="str">
        <f>IF($B339="","",'Portfolio Register'!$DG303)</f>
        <v/>
      </c>
      <c r="F339" s="224" t="str">
        <f t="shared" si="92"/>
        <v/>
      </c>
      <c r="G339" s="225" t="str">
        <f>IF($B339="","",'Portfolio Register'!$J303)</f>
        <v/>
      </c>
      <c r="H339" s="225" t="str">
        <f>IF($B339="","",'Portfolio Register'!$CO303)</f>
        <v/>
      </c>
      <c r="I339" s="225" t="str">
        <f>IF($B339="","",'Portfolio Register'!$CW303)</f>
        <v/>
      </c>
      <c r="J339" s="214" t="str">
        <f t="shared" si="93"/>
        <v/>
      </c>
      <c r="K339" s="214" t="str">
        <f t="shared" si="94"/>
        <v/>
      </c>
      <c r="L339" s="214" t="str">
        <f t="shared" si="95"/>
        <v/>
      </c>
      <c r="M339" s="214" t="str">
        <f t="shared" si="96"/>
        <v/>
      </c>
      <c r="N339" s="214" t="str">
        <f t="shared" si="97"/>
        <v/>
      </c>
      <c r="O339" s="214" t="str">
        <f t="shared" si="98"/>
        <v/>
      </c>
      <c r="P339" s="214" t="str">
        <f t="shared" si="99"/>
        <v/>
      </c>
      <c r="Q339" s="214" t="str">
        <f t="shared" si="100"/>
        <v/>
      </c>
      <c r="R339" s="214" t="str">
        <f t="shared" si="101"/>
        <v/>
      </c>
      <c r="S339" s="214" t="str">
        <f t="shared" si="102"/>
        <v/>
      </c>
      <c r="T339" s="214" t="str">
        <f t="shared" si="103"/>
        <v/>
      </c>
      <c r="U339" s="214" t="str">
        <f t="shared" si="104"/>
        <v/>
      </c>
      <c r="V339" s="214" t="str">
        <f t="shared" si="105"/>
        <v/>
      </c>
      <c r="W339" s="214" t="str">
        <f t="shared" si="106"/>
        <v/>
      </c>
      <c r="X339" s="214" t="str">
        <f t="shared" si="107"/>
        <v/>
      </c>
      <c r="Y339" s="214" t="str">
        <f t="shared" si="108"/>
        <v/>
      </c>
      <c r="Z339" s="214" t="str">
        <f t="shared" si="109"/>
        <v/>
      </c>
      <c r="AA339" s="214" t="str">
        <f t="shared" si="110"/>
        <v/>
      </c>
      <c r="AB339" s="214" t="str">
        <f t="shared" si="111"/>
        <v/>
      </c>
      <c r="AC339" s="214" t="str">
        <f t="shared" si="112"/>
        <v/>
      </c>
    </row>
    <row r="340" spans="2:29" x14ac:dyDescent="0.35">
      <c r="B340" s="208" t="str">
        <f>IF('Portfolio Register'!$A304="","",'Portfolio Register'!$A304)</f>
        <v/>
      </c>
      <c r="C340" s="208" t="str">
        <f>IF($B340="","",'Portfolio Register'!$B304)</f>
        <v/>
      </c>
      <c r="D340" s="208" t="str">
        <f>IF($B340="","",'Portfolio Register'!$I304)</f>
        <v/>
      </c>
      <c r="E340" s="208" t="str">
        <f>IF($B340="","",'Portfolio Register'!$DG304)</f>
        <v/>
      </c>
      <c r="F340" s="224" t="str">
        <f t="shared" si="92"/>
        <v/>
      </c>
      <c r="G340" s="225" t="str">
        <f>IF($B340="","",'Portfolio Register'!$J304)</f>
        <v/>
      </c>
      <c r="H340" s="225" t="str">
        <f>IF($B340="","",'Portfolio Register'!$CO304)</f>
        <v/>
      </c>
      <c r="I340" s="225" t="str">
        <f>IF($B340="","",'Portfolio Register'!$CW304)</f>
        <v/>
      </c>
      <c r="J340" s="214" t="str">
        <f t="shared" si="93"/>
        <v/>
      </c>
      <c r="K340" s="214" t="str">
        <f t="shared" si="94"/>
        <v/>
      </c>
      <c r="L340" s="214" t="str">
        <f t="shared" si="95"/>
        <v/>
      </c>
      <c r="M340" s="214" t="str">
        <f t="shared" si="96"/>
        <v/>
      </c>
      <c r="N340" s="214" t="str">
        <f t="shared" si="97"/>
        <v/>
      </c>
      <c r="O340" s="214" t="str">
        <f t="shared" si="98"/>
        <v/>
      </c>
      <c r="P340" s="214" t="str">
        <f t="shared" si="99"/>
        <v/>
      </c>
      <c r="Q340" s="214" t="str">
        <f t="shared" si="100"/>
        <v/>
      </c>
      <c r="R340" s="214" t="str">
        <f t="shared" si="101"/>
        <v/>
      </c>
      <c r="S340" s="214" t="str">
        <f t="shared" si="102"/>
        <v/>
      </c>
      <c r="T340" s="214" t="str">
        <f t="shared" si="103"/>
        <v/>
      </c>
      <c r="U340" s="214" t="str">
        <f t="shared" si="104"/>
        <v/>
      </c>
      <c r="V340" s="214" t="str">
        <f t="shared" si="105"/>
        <v/>
      </c>
      <c r="W340" s="214" t="str">
        <f t="shared" si="106"/>
        <v/>
      </c>
      <c r="X340" s="214" t="str">
        <f t="shared" si="107"/>
        <v/>
      </c>
      <c r="Y340" s="214" t="str">
        <f t="shared" si="108"/>
        <v/>
      </c>
      <c r="Z340" s="214" t="str">
        <f t="shared" si="109"/>
        <v/>
      </c>
      <c r="AA340" s="214" t="str">
        <f t="shared" si="110"/>
        <v/>
      </c>
      <c r="AB340" s="214" t="str">
        <f t="shared" si="111"/>
        <v/>
      </c>
      <c r="AC340" s="214" t="str">
        <f t="shared" si="112"/>
        <v/>
      </c>
    </row>
    <row r="341" spans="2:29" x14ac:dyDescent="0.35">
      <c r="B341" s="211" t="s">
        <v>2948</v>
      </c>
      <c r="C341" s="211"/>
      <c r="D341" s="211"/>
      <c r="E341" s="211"/>
      <c r="F341" s="211"/>
      <c r="G341" s="213">
        <f t="shared" ref="G341:AC341" si="113">SUM(G41:G340)</f>
        <v>8140000</v>
      </c>
      <c r="H341" s="213">
        <f t="shared" si="113"/>
        <v>204438.007533191</v>
      </c>
      <c r="I341" s="213">
        <f t="shared" si="113"/>
        <v>153328.50564989322</v>
      </c>
      <c r="J341" s="213">
        <f t="shared" si="113"/>
        <v>206000</v>
      </c>
      <c r="K341" s="213">
        <f t="shared" si="113"/>
        <v>206000</v>
      </c>
      <c r="L341" s="213">
        <f t="shared" si="113"/>
        <v>206000</v>
      </c>
      <c r="M341" s="213">
        <f t="shared" si="113"/>
        <v>206000</v>
      </c>
      <c r="N341" s="213">
        <f t="shared" si="113"/>
        <v>206000</v>
      </c>
      <c r="O341" s="213">
        <f t="shared" si="113"/>
        <v>206000</v>
      </c>
      <c r="P341" s="213">
        <f t="shared" si="113"/>
        <v>206000</v>
      </c>
      <c r="Q341" s="213">
        <f t="shared" si="113"/>
        <v>206000</v>
      </c>
      <c r="R341" s="213">
        <f t="shared" si="113"/>
        <v>206000</v>
      </c>
      <c r="S341" s="213">
        <f t="shared" si="113"/>
        <v>206000</v>
      </c>
      <c r="T341" s="213">
        <f t="shared" si="113"/>
        <v>3563.2796285171439</v>
      </c>
      <c r="U341" s="213">
        <f t="shared" si="113"/>
        <v>3563.2796285171439</v>
      </c>
      <c r="V341" s="213">
        <f t="shared" si="113"/>
        <v>3563.2796285171439</v>
      </c>
      <c r="W341" s="213">
        <f t="shared" si="113"/>
        <v>3563.2796285171439</v>
      </c>
      <c r="X341" s="213">
        <f t="shared" si="113"/>
        <v>3563.2796285171439</v>
      </c>
      <c r="Y341" s="213">
        <f t="shared" si="113"/>
        <v>3563.2796285171439</v>
      </c>
      <c r="Z341" s="213">
        <f t="shared" si="113"/>
        <v>3563.2796285171439</v>
      </c>
      <c r="AA341" s="213">
        <f t="shared" si="113"/>
        <v>3563.2796285171439</v>
      </c>
      <c r="AB341" s="213">
        <f t="shared" si="113"/>
        <v>3563.2796285171439</v>
      </c>
      <c r="AC341" s="213">
        <f t="shared" si="113"/>
        <v>3563.2796285171439</v>
      </c>
    </row>
    <row r="342" spans="2:29" x14ac:dyDescent="0.35">
      <c r="B342" s="211" t="s">
        <v>2949</v>
      </c>
      <c r="C342" s="211"/>
      <c r="D342" s="211"/>
      <c r="E342" s="211"/>
      <c r="F342" s="211"/>
      <c r="G342" s="213">
        <f t="shared" ref="G342:AC342" si="114">SUMIF($F$41:$F$340,"YES",G41:G340)</f>
        <v>2060000</v>
      </c>
      <c r="H342" s="213">
        <f t="shared" si="114"/>
        <v>35632.796285171433</v>
      </c>
      <c r="I342" s="213">
        <f t="shared" si="114"/>
        <v>26724.597213878576</v>
      </c>
      <c r="J342" s="213">
        <f t="shared" si="114"/>
        <v>206000</v>
      </c>
      <c r="K342" s="213">
        <f t="shared" si="114"/>
        <v>206000</v>
      </c>
      <c r="L342" s="213">
        <f t="shared" si="114"/>
        <v>206000</v>
      </c>
      <c r="M342" s="213">
        <f t="shared" si="114"/>
        <v>206000</v>
      </c>
      <c r="N342" s="213">
        <f t="shared" si="114"/>
        <v>206000</v>
      </c>
      <c r="O342" s="213">
        <f t="shared" si="114"/>
        <v>206000</v>
      </c>
      <c r="P342" s="213">
        <f t="shared" si="114"/>
        <v>206000</v>
      </c>
      <c r="Q342" s="213">
        <f t="shared" si="114"/>
        <v>206000</v>
      </c>
      <c r="R342" s="213">
        <f t="shared" si="114"/>
        <v>206000</v>
      </c>
      <c r="S342" s="213">
        <f t="shared" si="114"/>
        <v>206000</v>
      </c>
      <c r="T342" s="213">
        <f t="shared" si="114"/>
        <v>3563.2796285171439</v>
      </c>
      <c r="U342" s="213">
        <f t="shared" si="114"/>
        <v>3563.2796285171439</v>
      </c>
      <c r="V342" s="213">
        <f t="shared" si="114"/>
        <v>3563.2796285171439</v>
      </c>
      <c r="W342" s="213">
        <f t="shared" si="114"/>
        <v>3563.2796285171439</v>
      </c>
      <c r="X342" s="213">
        <f t="shared" si="114"/>
        <v>3563.2796285171439</v>
      </c>
      <c r="Y342" s="213">
        <f t="shared" si="114"/>
        <v>3563.2796285171439</v>
      </c>
      <c r="Z342" s="213">
        <f t="shared" si="114"/>
        <v>3563.2796285171439</v>
      </c>
      <c r="AA342" s="213">
        <f t="shared" si="114"/>
        <v>3563.2796285171439</v>
      </c>
      <c r="AB342" s="213">
        <f t="shared" si="114"/>
        <v>3563.2796285171439</v>
      </c>
      <c r="AC342" s="213">
        <f t="shared" si="114"/>
        <v>3563.2796285171439</v>
      </c>
    </row>
    <row r="343" spans="2:29" x14ac:dyDescent="0.35">
      <c r="B343" s="129" t="s">
        <v>2950</v>
      </c>
      <c r="G343" s="223" t="str">
        <f>IF(ABS(G342-$D$14)&lt;0.5,"OK","MISMATCH")</f>
        <v>OK</v>
      </c>
      <c r="H343" s="223" t="str">
        <f>IF(ABS(H342-$D$15)&lt;0.5,"OK","MISMATCH")</f>
        <v>OK</v>
      </c>
      <c r="J343" s="223" t="str">
        <f>IF(ABS(J342-$H$25)&lt;0.5,"OK","MISMATCH")</f>
        <v>OK</v>
      </c>
      <c r="K343" s="223" t="str">
        <f>IF(ABS(K342-$H$26)&lt;0.5,"OK","MISMATCH")</f>
        <v>OK</v>
      </c>
      <c r="L343" s="223" t="str">
        <f>IF(ABS(L342-$H$27)&lt;0.5,"OK","MISMATCH")</f>
        <v>OK</v>
      </c>
      <c r="M343" s="223" t="str">
        <f>IF(ABS(M342-$H$28)&lt;0.5,"OK","MISMATCH")</f>
        <v>OK</v>
      </c>
      <c r="N343" s="223" t="str">
        <f>IF(ABS(N342-$H$29)&lt;0.5,"OK","MISMATCH")</f>
        <v>OK</v>
      </c>
      <c r="O343" s="223" t="str">
        <f>IF(ABS(O342-$H$30)&lt;0.5,"OK","MISMATCH")</f>
        <v>OK</v>
      </c>
      <c r="P343" s="223" t="str">
        <f>IF(ABS(P342-$H$31)&lt;0.5,"OK","MISMATCH")</f>
        <v>OK</v>
      </c>
      <c r="Q343" s="223" t="str">
        <f>IF(ABS(Q342-$H$32)&lt;0.5,"OK","MISMATCH")</f>
        <v>OK</v>
      </c>
      <c r="R343" s="223" t="str">
        <f>IF(ABS(R342-$H$33)&lt;0.5,"OK","MISMATCH")</f>
        <v>OK</v>
      </c>
      <c r="S343" s="223" t="str">
        <f>IF(ABS(S342-$H$34)&lt;0.5,"OK","MISMATCH")</f>
        <v>OK</v>
      </c>
      <c r="T343" s="223" t="str">
        <f>IF(ABS(T342-$I$25)&lt;0.5,"OK","MISMATCH")</f>
        <v>OK</v>
      </c>
      <c r="U343" s="223" t="str">
        <f>IF(ABS(U342-$I$26)&lt;0.5,"OK","MISMATCH")</f>
        <v>OK</v>
      </c>
      <c r="V343" s="223" t="str">
        <f>IF(ABS(V342-$I$27)&lt;0.5,"OK","MISMATCH")</f>
        <v>OK</v>
      </c>
      <c r="W343" s="223" t="str">
        <f>IF(ABS(W342-$I$28)&lt;0.5,"OK","MISMATCH")</f>
        <v>OK</v>
      </c>
      <c r="X343" s="223" t="str">
        <f>IF(ABS(X342-$I$29)&lt;0.5,"OK","MISMATCH")</f>
        <v>OK</v>
      </c>
      <c r="Y343" s="223" t="str">
        <f>IF(ABS(Y342-$I$30)&lt;0.5,"OK","MISMATCH")</f>
        <v>OK</v>
      </c>
      <c r="Z343" s="223" t="str">
        <f>IF(ABS(Z342-$I$31)&lt;0.5,"OK","MISMATCH")</f>
        <v>OK</v>
      </c>
      <c r="AA343" s="223" t="str">
        <f>IF(ABS(AA342-$I$32)&lt;0.5,"OK","MISMATCH")</f>
        <v>OK</v>
      </c>
      <c r="AB343" s="223" t="str">
        <f>IF(ABS(AB342-$I$33)&lt;0.5,"OK","MISMATCH")</f>
        <v>OK</v>
      </c>
      <c r="AC343" s="223" t="str">
        <f>IF(ABS(AC342-$I$34)&lt;0.5,"OK","MISMATCH")</f>
        <v>OK</v>
      </c>
    </row>
    <row r="345" spans="2:29" x14ac:dyDescent="0.35">
      <c r="B345" s="15" t="s">
        <v>2548</v>
      </c>
    </row>
    <row r="346" spans="2:29" ht="27" customHeight="1" x14ac:dyDescent="0.35">
      <c r="B346" s="10" t="s">
        <v>2951</v>
      </c>
      <c r="C346" s="10"/>
      <c r="D346" s="10"/>
      <c r="E346" s="10"/>
      <c r="F346" s="10"/>
      <c r="G346" s="10"/>
      <c r="H346" s="10"/>
      <c r="I346" s="10"/>
      <c r="J346" s="10"/>
      <c r="K346" s="10"/>
      <c r="L346" s="10"/>
      <c r="M346" s="10"/>
      <c r="N346" s="10"/>
      <c r="O346" s="10"/>
      <c r="P346" s="10"/>
    </row>
    <row r="347" spans="2:29" ht="27" customHeight="1" x14ac:dyDescent="0.35">
      <c r="B347" s="10" t="s">
        <v>2952</v>
      </c>
      <c r="C347" s="10"/>
      <c r="D347" s="10"/>
      <c r="E347" s="10"/>
      <c r="F347" s="10"/>
      <c r="G347" s="10"/>
      <c r="H347" s="10"/>
      <c r="I347" s="10"/>
      <c r="J347" s="10"/>
      <c r="K347" s="10"/>
      <c r="L347" s="10"/>
      <c r="M347" s="10"/>
      <c r="N347" s="10"/>
      <c r="O347" s="10"/>
      <c r="P347" s="10"/>
    </row>
    <row r="348" spans="2:29" ht="27" customHeight="1" x14ac:dyDescent="0.35">
      <c r="B348" s="10" t="s">
        <v>2953</v>
      </c>
      <c r="C348" s="10"/>
      <c r="D348" s="10"/>
      <c r="E348" s="10"/>
      <c r="F348" s="10"/>
      <c r="G348" s="10"/>
      <c r="H348" s="10"/>
      <c r="I348" s="10"/>
      <c r="J348" s="10"/>
      <c r="K348" s="10"/>
      <c r="L348" s="10"/>
      <c r="M348" s="10"/>
      <c r="N348" s="10"/>
      <c r="O348" s="10"/>
      <c r="P348" s="10"/>
    </row>
    <row r="349" spans="2:29" ht="27" customHeight="1" x14ac:dyDescent="0.35">
      <c r="B349" s="10" t="s">
        <v>2954</v>
      </c>
      <c r="C349" s="10"/>
      <c r="D349" s="10"/>
      <c r="E349" s="10"/>
      <c r="F349" s="10"/>
      <c r="G349" s="10"/>
      <c r="H349" s="10"/>
      <c r="I349" s="10"/>
      <c r="J349" s="10"/>
      <c r="K349" s="10"/>
      <c r="L349" s="10"/>
      <c r="M349" s="10"/>
      <c r="N349" s="10"/>
      <c r="O349" s="10"/>
      <c r="P349" s="10"/>
    </row>
    <row r="350" spans="2:29" ht="27" customHeight="1" x14ac:dyDescent="0.35">
      <c r="B350" s="10" t="s">
        <v>2955</v>
      </c>
      <c r="C350" s="10"/>
      <c r="D350" s="10"/>
      <c r="E350" s="10"/>
      <c r="F350" s="10"/>
      <c r="G350" s="10"/>
      <c r="H350" s="10"/>
      <c r="I350" s="10"/>
      <c r="J350" s="10"/>
      <c r="K350" s="10"/>
      <c r="L350" s="10"/>
      <c r="M350" s="10"/>
      <c r="N350" s="10"/>
      <c r="O350" s="10"/>
      <c r="P350" s="10"/>
    </row>
    <row r="351" spans="2:29" ht="27" customHeight="1" x14ac:dyDescent="0.35">
      <c r="B351" s="10" t="s">
        <v>2956</v>
      </c>
      <c r="C351" s="10"/>
      <c r="D351" s="10"/>
      <c r="E351" s="10"/>
      <c r="F351" s="10"/>
      <c r="G351" s="10"/>
      <c r="H351" s="10"/>
      <c r="I351" s="10"/>
      <c r="J351" s="10"/>
      <c r="K351" s="10"/>
      <c r="L351" s="10"/>
      <c r="M351" s="10"/>
      <c r="N351" s="10"/>
      <c r="O351" s="10"/>
      <c r="P351" s="10"/>
    </row>
  </sheetData>
  <mergeCells count="31">
    <mergeCell ref="B351:P351"/>
    <mergeCell ref="B346:P346"/>
    <mergeCell ref="B347:P347"/>
    <mergeCell ref="B348:P348"/>
    <mergeCell ref="B349:P349"/>
    <mergeCell ref="B350:P350"/>
    <mergeCell ref="B23:P23"/>
    <mergeCell ref="B38:AC38"/>
    <mergeCell ref="B39:I39"/>
    <mergeCell ref="J39:S39"/>
    <mergeCell ref="T39:AC39"/>
    <mergeCell ref="B17:C17"/>
    <mergeCell ref="B18:C18"/>
    <mergeCell ref="B19:C19"/>
    <mergeCell ref="B20:C20"/>
    <mergeCell ref="B21:C21"/>
    <mergeCell ref="B12:C12"/>
    <mergeCell ref="B13:C13"/>
    <mergeCell ref="B14:C14"/>
    <mergeCell ref="B15:C15"/>
    <mergeCell ref="B16:C16"/>
    <mergeCell ref="B7:C7"/>
    <mergeCell ref="B8:C8"/>
    <mergeCell ref="B9:C9"/>
    <mergeCell ref="B10:C10"/>
    <mergeCell ref="B11:C11"/>
    <mergeCell ref="B1:P1"/>
    <mergeCell ref="B2:P2"/>
    <mergeCell ref="B4:P4"/>
    <mergeCell ref="B5:C5"/>
    <mergeCell ref="B6:C6"/>
  </mergeCells>
  <dataValidations count="1">
    <dataValidation type="list" sqref="D5" xr:uid="{00000000-0002-0000-1700-000000000000}">
      <formula1>"Bind-permitted rows only,Whole register"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lpstr>Security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 g</cp:lastModifiedBy>
  <cp:revision>2</cp:revision>
  <dcterms:created xsi:type="dcterms:W3CDTF">2026-08-21T21:23:45Z</dcterms:created>
  <dcterms:modified xsi:type="dcterms:W3CDTF">2026-08-29T02:17:29Z</dcterms:modified>
  <dc:language>en-US</dc:language>
</cp:coreProperties>
</file>